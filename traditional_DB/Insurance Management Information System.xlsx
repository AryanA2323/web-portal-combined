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8da6a1a4a5bdc5af/Shovel Solutions/Insurance/MIS/"/>
    </mc:Choice>
  </mc:AlternateContent>
  <xr:revisionPtr revIDLastSave="17924" documentId="6_{346B3CCA-52EB-46F9-8833-B0CA59C37C65}" xr6:coauthVersionLast="47" xr6:coauthVersionMax="47" xr10:uidLastSave="{18E2990F-A645-4C56-93EF-DBC0310C8117}"/>
  <bookViews>
    <workbookView xWindow="-110" yWindow="-110" windowWidth="19420" windowHeight="10300" activeTab="3" xr2:uid="{A652A10A-328D-4001-8D1A-C5DBE55276E9}"/>
  </bookViews>
  <sheets>
    <sheet name="CRN" sheetId="1" r:id="rId1"/>
    <sheet name="Ganesh" sheetId="9" state="hidden" r:id="rId2"/>
    <sheet name="Back_End_Data" sheetId="4" state="hidden" r:id="rId3"/>
    <sheet name="MIS_Backend_Data" sheetId="3" r:id="rId4"/>
    <sheet name="Case_Status" sheetId="13" r:id="rId5"/>
    <sheet name="MIS" sheetId="19" r:id="rId6"/>
    <sheet name="GTG" sheetId="5" r:id="rId7"/>
    <sheet name="Case_Details" sheetId="6" state="hidden" r:id="rId8"/>
    <sheet name="On-Boarding" sheetId="18" state="hidden" r:id="rId9"/>
    <sheet name="Cases_Summary" sheetId="14" state="hidden" r:id="rId10"/>
    <sheet name="CLIENT_CODE" sheetId="2" state="hidden" r:id="rId11"/>
    <sheet name="Invoice_Backend_Data" sheetId="7" state="hidden" r:id="rId12"/>
    <sheet name="Invoice_Data" sheetId="16" state="hidden" r:id="rId13"/>
    <sheet name="Client_Summary" sheetId="15" state="hidden" r:id="rId14"/>
    <sheet name="Allocation Sheet" sheetId="17" r:id="rId15"/>
    <sheet name="FE_List" sheetId="20" r:id="rId16"/>
  </sheets>
  <definedNames>
    <definedName name="_xlnm._FilterDatabase" localSheetId="14" hidden="1">'Allocation Sheet'!$A$1:$S$1</definedName>
    <definedName name="_xlnm._FilterDatabase" localSheetId="2" hidden="1">Back_End_Data!$B$2:$E$500</definedName>
    <definedName name="_xlnm._FilterDatabase" localSheetId="7" hidden="1">Case_Details!$A$1:$S$60</definedName>
    <definedName name="_xlnm._FilterDatabase" localSheetId="0" hidden="1">CRN!$A$1:$AB$1</definedName>
    <definedName name="_xlnm._FilterDatabase" localSheetId="15" hidden="1">FE_List!$A$1:$F$56</definedName>
    <definedName name="_xlnm._FilterDatabase" localSheetId="6" hidden="1">GTG!$H$3:$I$20</definedName>
    <definedName name="_xlnm._FilterDatabase" localSheetId="5" hidden="1">MIS!$A$1:$BE$223</definedName>
    <definedName name="_xlnm._FilterDatabase" localSheetId="3" hidden="1">MIS_Backend_Data!$B$1:$G$223</definedName>
  </definedNames>
  <calcPr calcId="191028"/>
  <pivotCaches>
    <pivotCache cacheId="0" r:id="rId17"/>
    <pivotCache cacheId="1" r:id="rId18"/>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6" i="1" l="1"/>
  <c r="Y226" i="1"/>
  <c r="E226" i="1"/>
  <c r="F226" i="1"/>
  <c r="I225" i="1"/>
  <c r="E225" i="1"/>
  <c r="F225" i="1"/>
  <c r="Y224" i="1" l="1"/>
  <c r="F224" i="1"/>
  <c r="E224" i="1"/>
  <c r="I171" i="3"/>
  <c r="I112" i="3"/>
  <c r="I67" i="3"/>
  <c r="I2" i="3"/>
  <c r="I126" i="3"/>
  <c r="Y223" i="1"/>
  <c r="I223" i="1"/>
  <c r="E223" i="1"/>
  <c r="F223" i="1"/>
  <c r="I75" i="3"/>
  <c r="I119" i="17"/>
  <c r="L175" i="3"/>
  <c r="L173" i="3"/>
  <c r="Y221" i="1"/>
  <c r="I221" i="1"/>
  <c r="F221" i="1"/>
  <c r="Y220" i="1"/>
  <c r="I220" i="1"/>
  <c r="F220" i="1"/>
  <c r="Y219" i="1"/>
  <c r="F219" i="1"/>
  <c r="I74" i="3"/>
  <c r="I53" i="3"/>
  <c r="I218" i="1"/>
  <c r="Y218" i="1"/>
  <c r="F218" i="1"/>
  <c r="Y217" i="1"/>
  <c r="I217" i="1"/>
  <c r="F217" i="1"/>
  <c r="I128" i="3"/>
  <c r="Y216" i="1"/>
  <c r="I60" i="3"/>
  <c r="F215" i="1"/>
  <c r="I157" i="3"/>
  <c r="I156" i="3"/>
  <c r="I78" i="3"/>
  <c r="I117" i="3"/>
  <c r="I212" i="1"/>
  <c r="F212" i="1"/>
  <c r="I44" i="3"/>
  <c r="I209" i="3"/>
  <c r="Y208" i="1"/>
  <c r="Y209" i="1"/>
  <c r="Y207" i="1"/>
  <c r="Y206" i="1"/>
  <c r="F205" i="1"/>
  <c r="F206" i="1"/>
  <c r="F207" i="1"/>
  <c r="F208" i="1"/>
  <c r="F209" i="1"/>
  <c r="F210" i="1"/>
  <c r="F211" i="1"/>
  <c r="F213" i="1"/>
  <c r="F214" i="1"/>
  <c r="F216" i="1"/>
  <c r="E222" i="1"/>
  <c r="F222" i="1"/>
  <c r="F204" i="1"/>
  <c r="I4" i="3"/>
  <c r="I5" i="3"/>
  <c r="I6" i="3"/>
  <c r="I7" i="3"/>
  <c r="I8" i="3"/>
  <c r="I9" i="3"/>
  <c r="I10" i="3"/>
  <c r="I11" i="3"/>
  <c r="I13" i="3"/>
  <c r="I14" i="3"/>
  <c r="I15" i="3"/>
  <c r="I16" i="3"/>
  <c r="I19" i="3"/>
  <c r="I20" i="3"/>
  <c r="I21" i="3"/>
  <c r="I22" i="3"/>
  <c r="I23" i="3"/>
  <c r="I24" i="3"/>
  <c r="I26" i="3"/>
  <c r="I30" i="3"/>
  <c r="I31" i="3"/>
  <c r="I33" i="3"/>
  <c r="I41" i="3"/>
  <c r="I42" i="3"/>
  <c r="I45" i="3"/>
  <c r="I46" i="3"/>
  <c r="I51" i="3"/>
  <c r="I61" i="3"/>
  <c r="I64" i="3"/>
  <c r="I65" i="3"/>
  <c r="I81" i="3"/>
  <c r="I83" i="3"/>
  <c r="I84" i="3"/>
  <c r="I85" i="3"/>
  <c r="I87" i="3"/>
  <c r="I88" i="3"/>
  <c r="I89" i="3"/>
  <c r="I90" i="3"/>
  <c r="I106" i="3"/>
  <c r="I107" i="3"/>
  <c r="I108" i="3"/>
  <c r="I109" i="3"/>
  <c r="I116" i="3"/>
  <c r="I131" i="3"/>
  <c r="I147" i="3"/>
  <c r="I148" i="3"/>
  <c r="I149" i="3"/>
  <c r="I150" i="3"/>
  <c r="I151" i="3"/>
  <c r="I158" i="3"/>
  <c r="I159" i="3"/>
  <c r="I160" i="3"/>
  <c r="I161" i="3"/>
  <c r="I162" i="3"/>
  <c r="I163" i="3"/>
  <c r="I167" i="3"/>
  <c r="I172" i="3"/>
  <c r="I173" i="3"/>
  <c r="I174" i="3"/>
  <c r="I175" i="3"/>
  <c r="I195" i="3"/>
  <c r="I196" i="3"/>
  <c r="I197" i="3"/>
  <c r="I198" i="3"/>
  <c r="I199" i="3"/>
  <c r="I210" i="3"/>
  <c r="I211" i="3"/>
  <c r="I212" i="3"/>
  <c r="I213" i="3"/>
  <c r="I214" i="3"/>
  <c r="I215" i="3"/>
  <c r="I216" i="3"/>
  <c r="I217" i="3"/>
  <c r="I218" i="3"/>
  <c r="I219" i="3"/>
  <c r="I220" i="3"/>
  <c r="I221" i="3"/>
  <c r="I222"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F203" i="1"/>
  <c r="F202" i="1"/>
  <c r="F201" i="1"/>
  <c r="F199" i="1" l="1"/>
  <c r="F198" i="1"/>
  <c r="Y197" i="1"/>
  <c r="F197" i="1"/>
  <c r="Y196" i="1"/>
  <c r="F196" i="1"/>
  <c r="Y195" i="1"/>
  <c r="F195" i="1"/>
  <c r="F194" i="1"/>
  <c r="Y194" i="1"/>
  <c r="I194" i="1"/>
  <c r="Y193" i="1"/>
  <c r="I193" i="1"/>
  <c r="F193" i="1"/>
  <c r="I192" i="1"/>
  <c r="Y191" i="1"/>
  <c r="F191" i="1"/>
  <c r="I190" i="1"/>
  <c r="Y190" i="1"/>
  <c r="F190" i="1"/>
  <c r="Y189" i="1"/>
  <c r="I189" i="1"/>
  <c r="F189" i="1"/>
  <c r="Y188" i="1"/>
  <c r="I188" i="1"/>
  <c r="F188" i="1"/>
  <c r="Y187" i="1"/>
  <c r="I187" i="1"/>
  <c r="F187" i="1"/>
  <c r="Y186" i="1"/>
  <c r="I186" i="1"/>
  <c r="F186" i="1"/>
  <c r="Y185" i="1"/>
  <c r="I185" i="1"/>
  <c r="F185" i="1"/>
  <c r="Y184" i="1"/>
  <c r="I184" i="1"/>
  <c r="F184" i="1"/>
  <c r="I183" i="1"/>
  <c r="Y183" i="1"/>
  <c r="F183" i="1"/>
  <c r="I182" i="1"/>
  <c r="Y182" i="1"/>
  <c r="F182" i="1"/>
  <c r="I181" i="1"/>
  <c r="Y181" i="1"/>
  <c r="F181" i="1"/>
  <c r="Y180" i="1"/>
  <c r="I180" i="1"/>
  <c r="F180" i="1"/>
  <c r="I179" i="1"/>
  <c r="Y179" i="1"/>
  <c r="F179" i="1"/>
  <c r="Y178" i="1"/>
  <c r="F178" i="1"/>
  <c r="AE1" i="7" a="1"/>
  <c r="AE1" i="7" s="1"/>
  <c r="T500" i="4"/>
  <c r="S500" i="4"/>
  <c r="R500" i="4"/>
  <c r="Q500" i="4"/>
  <c r="P500" i="4"/>
  <c r="O500" i="4"/>
  <c r="N500" i="4"/>
  <c r="M500" i="4"/>
  <c r="L500" i="4"/>
  <c r="K500" i="4"/>
  <c r="J500" i="4"/>
  <c r="I500" i="4"/>
  <c r="H500" i="4"/>
  <c r="G500" i="4"/>
  <c r="T499" i="4"/>
  <c r="S499" i="4"/>
  <c r="R499" i="4"/>
  <c r="Q499" i="4"/>
  <c r="P499" i="4"/>
  <c r="O499" i="4"/>
  <c r="N499" i="4"/>
  <c r="M499" i="4"/>
  <c r="L499" i="4"/>
  <c r="K499" i="4"/>
  <c r="J499" i="4"/>
  <c r="I499" i="4"/>
  <c r="H499" i="4"/>
  <c r="G499" i="4"/>
  <c r="T498" i="4"/>
  <c r="S498" i="4"/>
  <c r="R498" i="4"/>
  <c r="Q498" i="4"/>
  <c r="P498" i="4"/>
  <c r="O498" i="4"/>
  <c r="N498" i="4"/>
  <c r="M498" i="4"/>
  <c r="L498" i="4"/>
  <c r="K498" i="4"/>
  <c r="J498" i="4"/>
  <c r="I498" i="4"/>
  <c r="H498" i="4"/>
  <c r="G498" i="4"/>
  <c r="T497" i="4"/>
  <c r="S497" i="4"/>
  <c r="R497" i="4"/>
  <c r="Q497" i="4"/>
  <c r="P497" i="4"/>
  <c r="O497" i="4"/>
  <c r="N497" i="4"/>
  <c r="M497" i="4"/>
  <c r="L497" i="4"/>
  <c r="K497" i="4"/>
  <c r="J497" i="4"/>
  <c r="I497" i="4"/>
  <c r="H497" i="4"/>
  <c r="G497" i="4"/>
  <c r="T496" i="4"/>
  <c r="S496" i="4"/>
  <c r="R496" i="4"/>
  <c r="Q496" i="4"/>
  <c r="P496" i="4"/>
  <c r="O496" i="4"/>
  <c r="N496" i="4"/>
  <c r="M496" i="4"/>
  <c r="L496" i="4"/>
  <c r="K496" i="4"/>
  <c r="J496" i="4"/>
  <c r="I496" i="4"/>
  <c r="H496" i="4"/>
  <c r="G496" i="4"/>
  <c r="T495" i="4"/>
  <c r="S495" i="4"/>
  <c r="R495" i="4"/>
  <c r="Q495" i="4"/>
  <c r="P495" i="4"/>
  <c r="O495" i="4"/>
  <c r="N495" i="4"/>
  <c r="M495" i="4"/>
  <c r="L495" i="4"/>
  <c r="K495" i="4"/>
  <c r="J495" i="4"/>
  <c r="I495" i="4"/>
  <c r="H495" i="4"/>
  <c r="G495" i="4"/>
  <c r="T494" i="4"/>
  <c r="S494" i="4"/>
  <c r="R494" i="4"/>
  <c r="Q494" i="4"/>
  <c r="P494" i="4"/>
  <c r="O494" i="4"/>
  <c r="N494" i="4"/>
  <c r="M494" i="4"/>
  <c r="L494" i="4"/>
  <c r="K494" i="4"/>
  <c r="J494" i="4"/>
  <c r="I494" i="4"/>
  <c r="H494" i="4"/>
  <c r="G494" i="4"/>
  <c r="T493" i="4"/>
  <c r="S493" i="4"/>
  <c r="R493" i="4"/>
  <c r="Q493" i="4"/>
  <c r="P493" i="4"/>
  <c r="O493" i="4"/>
  <c r="N493" i="4"/>
  <c r="M493" i="4"/>
  <c r="L493" i="4"/>
  <c r="K493" i="4"/>
  <c r="J493" i="4"/>
  <c r="I493" i="4"/>
  <c r="H493" i="4"/>
  <c r="G493" i="4"/>
  <c r="T492" i="4"/>
  <c r="S492" i="4"/>
  <c r="R492" i="4"/>
  <c r="Q492" i="4"/>
  <c r="P492" i="4"/>
  <c r="O492" i="4"/>
  <c r="N492" i="4"/>
  <c r="M492" i="4"/>
  <c r="L492" i="4"/>
  <c r="K492" i="4"/>
  <c r="J492" i="4"/>
  <c r="I492" i="4"/>
  <c r="H492" i="4"/>
  <c r="G492" i="4"/>
  <c r="T491" i="4"/>
  <c r="S491" i="4"/>
  <c r="R491" i="4"/>
  <c r="Q491" i="4"/>
  <c r="P491" i="4"/>
  <c r="O491" i="4"/>
  <c r="N491" i="4"/>
  <c r="M491" i="4"/>
  <c r="L491" i="4"/>
  <c r="K491" i="4"/>
  <c r="J491" i="4"/>
  <c r="I491" i="4"/>
  <c r="H491" i="4"/>
  <c r="G491" i="4"/>
  <c r="T490" i="4"/>
  <c r="S490" i="4"/>
  <c r="R490" i="4"/>
  <c r="Q490" i="4"/>
  <c r="P490" i="4"/>
  <c r="O490" i="4"/>
  <c r="N490" i="4"/>
  <c r="M490" i="4"/>
  <c r="L490" i="4"/>
  <c r="K490" i="4"/>
  <c r="J490" i="4"/>
  <c r="I490" i="4"/>
  <c r="H490" i="4"/>
  <c r="G490" i="4"/>
  <c r="T489" i="4"/>
  <c r="S489" i="4"/>
  <c r="R489" i="4"/>
  <c r="Q489" i="4"/>
  <c r="P489" i="4"/>
  <c r="O489" i="4"/>
  <c r="N489" i="4"/>
  <c r="M489" i="4"/>
  <c r="L489" i="4"/>
  <c r="K489" i="4"/>
  <c r="J489" i="4"/>
  <c r="I489" i="4"/>
  <c r="H489" i="4"/>
  <c r="G489" i="4"/>
  <c r="T488" i="4"/>
  <c r="S488" i="4"/>
  <c r="R488" i="4"/>
  <c r="Q488" i="4"/>
  <c r="P488" i="4"/>
  <c r="O488" i="4"/>
  <c r="N488" i="4"/>
  <c r="M488" i="4"/>
  <c r="L488" i="4"/>
  <c r="K488" i="4"/>
  <c r="J488" i="4"/>
  <c r="I488" i="4"/>
  <c r="H488" i="4"/>
  <c r="G488" i="4"/>
  <c r="T487" i="4"/>
  <c r="S487" i="4"/>
  <c r="R487" i="4"/>
  <c r="Q487" i="4"/>
  <c r="P487" i="4"/>
  <c r="O487" i="4"/>
  <c r="N487" i="4"/>
  <c r="M487" i="4"/>
  <c r="L487" i="4"/>
  <c r="K487" i="4"/>
  <c r="J487" i="4"/>
  <c r="I487" i="4"/>
  <c r="H487" i="4"/>
  <c r="G487" i="4"/>
  <c r="T486" i="4"/>
  <c r="S486" i="4"/>
  <c r="R486" i="4"/>
  <c r="Q486" i="4"/>
  <c r="P486" i="4"/>
  <c r="O486" i="4"/>
  <c r="N486" i="4"/>
  <c r="M486" i="4"/>
  <c r="L486" i="4"/>
  <c r="K486" i="4"/>
  <c r="J486" i="4"/>
  <c r="I486" i="4"/>
  <c r="H486" i="4"/>
  <c r="G486" i="4"/>
  <c r="T485" i="4"/>
  <c r="S485" i="4"/>
  <c r="R485" i="4"/>
  <c r="Q485" i="4"/>
  <c r="P485" i="4"/>
  <c r="O485" i="4"/>
  <c r="N485" i="4"/>
  <c r="M485" i="4"/>
  <c r="L485" i="4"/>
  <c r="K485" i="4"/>
  <c r="J485" i="4"/>
  <c r="I485" i="4"/>
  <c r="H485" i="4"/>
  <c r="G485" i="4"/>
  <c r="T484" i="4"/>
  <c r="S484" i="4"/>
  <c r="R484" i="4"/>
  <c r="Q484" i="4"/>
  <c r="P484" i="4"/>
  <c r="O484" i="4"/>
  <c r="N484" i="4"/>
  <c r="M484" i="4"/>
  <c r="L484" i="4"/>
  <c r="K484" i="4"/>
  <c r="J484" i="4"/>
  <c r="I484" i="4"/>
  <c r="H484" i="4"/>
  <c r="G484" i="4"/>
  <c r="T483" i="4"/>
  <c r="S483" i="4"/>
  <c r="R483" i="4"/>
  <c r="Q483" i="4"/>
  <c r="P483" i="4"/>
  <c r="O483" i="4"/>
  <c r="N483" i="4"/>
  <c r="M483" i="4"/>
  <c r="L483" i="4"/>
  <c r="K483" i="4"/>
  <c r="J483" i="4"/>
  <c r="I483" i="4"/>
  <c r="H483" i="4"/>
  <c r="G483" i="4"/>
  <c r="T482" i="4"/>
  <c r="S482" i="4"/>
  <c r="R482" i="4"/>
  <c r="Q482" i="4"/>
  <c r="P482" i="4"/>
  <c r="O482" i="4"/>
  <c r="N482" i="4"/>
  <c r="M482" i="4"/>
  <c r="L482" i="4"/>
  <c r="K482" i="4"/>
  <c r="J482" i="4"/>
  <c r="I482" i="4"/>
  <c r="H482" i="4"/>
  <c r="G482" i="4"/>
  <c r="T481" i="4"/>
  <c r="S481" i="4"/>
  <c r="R481" i="4"/>
  <c r="Q481" i="4"/>
  <c r="P481" i="4"/>
  <c r="O481" i="4"/>
  <c r="N481" i="4"/>
  <c r="M481" i="4"/>
  <c r="L481" i="4"/>
  <c r="K481" i="4"/>
  <c r="J481" i="4"/>
  <c r="I481" i="4"/>
  <c r="H481" i="4"/>
  <c r="G481" i="4"/>
  <c r="T480" i="4"/>
  <c r="S480" i="4"/>
  <c r="R480" i="4"/>
  <c r="Q480" i="4"/>
  <c r="P480" i="4"/>
  <c r="O480" i="4"/>
  <c r="N480" i="4"/>
  <c r="M480" i="4"/>
  <c r="L480" i="4"/>
  <c r="K480" i="4"/>
  <c r="J480" i="4"/>
  <c r="I480" i="4"/>
  <c r="H480" i="4"/>
  <c r="G480" i="4"/>
  <c r="T479" i="4"/>
  <c r="S479" i="4"/>
  <c r="R479" i="4"/>
  <c r="Q479" i="4"/>
  <c r="P479" i="4"/>
  <c r="O479" i="4"/>
  <c r="N479" i="4"/>
  <c r="M479" i="4"/>
  <c r="L479" i="4"/>
  <c r="K479" i="4"/>
  <c r="J479" i="4"/>
  <c r="I479" i="4"/>
  <c r="H479" i="4"/>
  <c r="G479" i="4"/>
  <c r="T478" i="4"/>
  <c r="S478" i="4"/>
  <c r="R478" i="4"/>
  <c r="Q478" i="4"/>
  <c r="P478" i="4"/>
  <c r="O478" i="4"/>
  <c r="N478" i="4"/>
  <c r="M478" i="4"/>
  <c r="L478" i="4"/>
  <c r="K478" i="4"/>
  <c r="J478" i="4"/>
  <c r="I478" i="4"/>
  <c r="H478" i="4"/>
  <c r="G478" i="4"/>
  <c r="T477" i="4"/>
  <c r="S477" i="4"/>
  <c r="R477" i="4"/>
  <c r="Q477" i="4"/>
  <c r="P477" i="4"/>
  <c r="O477" i="4"/>
  <c r="N477" i="4"/>
  <c r="M477" i="4"/>
  <c r="L477" i="4"/>
  <c r="K477" i="4"/>
  <c r="J477" i="4"/>
  <c r="I477" i="4"/>
  <c r="H477" i="4"/>
  <c r="G477" i="4"/>
  <c r="T476" i="4"/>
  <c r="S476" i="4"/>
  <c r="R476" i="4"/>
  <c r="Q476" i="4"/>
  <c r="P476" i="4"/>
  <c r="O476" i="4"/>
  <c r="N476" i="4"/>
  <c r="M476" i="4"/>
  <c r="L476" i="4"/>
  <c r="K476" i="4"/>
  <c r="J476" i="4"/>
  <c r="I476" i="4"/>
  <c r="H476" i="4"/>
  <c r="G476" i="4"/>
  <c r="T475" i="4"/>
  <c r="S475" i="4"/>
  <c r="R475" i="4"/>
  <c r="Q475" i="4"/>
  <c r="P475" i="4"/>
  <c r="O475" i="4"/>
  <c r="N475" i="4"/>
  <c r="M475" i="4"/>
  <c r="L475" i="4"/>
  <c r="K475" i="4"/>
  <c r="J475" i="4"/>
  <c r="I475" i="4"/>
  <c r="H475" i="4"/>
  <c r="G475" i="4"/>
  <c r="T474" i="4"/>
  <c r="S474" i="4"/>
  <c r="R474" i="4"/>
  <c r="Q474" i="4"/>
  <c r="P474" i="4"/>
  <c r="O474" i="4"/>
  <c r="N474" i="4"/>
  <c r="M474" i="4"/>
  <c r="L474" i="4"/>
  <c r="K474" i="4"/>
  <c r="J474" i="4"/>
  <c r="I474" i="4"/>
  <c r="H474" i="4"/>
  <c r="G474" i="4"/>
  <c r="T473" i="4"/>
  <c r="S473" i="4"/>
  <c r="R473" i="4"/>
  <c r="Q473" i="4"/>
  <c r="P473" i="4"/>
  <c r="O473" i="4"/>
  <c r="N473" i="4"/>
  <c r="M473" i="4"/>
  <c r="L473" i="4"/>
  <c r="K473" i="4"/>
  <c r="J473" i="4"/>
  <c r="I473" i="4"/>
  <c r="H473" i="4"/>
  <c r="G473" i="4"/>
  <c r="T472" i="4"/>
  <c r="S472" i="4"/>
  <c r="R472" i="4"/>
  <c r="Q472" i="4"/>
  <c r="P472" i="4"/>
  <c r="O472" i="4"/>
  <c r="N472" i="4"/>
  <c r="M472" i="4"/>
  <c r="L472" i="4"/>
  <c r="K472" i="4"/>
  <c r="J472" i="4"/>
  <c r="I472" i="4"/>
  <c r="H472" i="4"/>
  <c r="G472" i="4"/>
  <c r="T471" i="4"/>
  <c r="S471" i="4"/>
  <c r="R471" i="4"/>
  <c r="Q471" i="4"/>
  <c r="P471" i="4"/>
  <c r="O471" i="4"/>
  <c r="N471" i="4"/>
  <c r="M471" i="4"/>
  <c r="L471" i="4"/>
  <c r="K471" i="4"/>
  <c r="J471" i="4"/>
  <c r="I471" i="4"/>
  <c r="H471" i="4"/>
  <c r="G471" i="4"/>
  <c r="T470" i="4"/>
  <c r="S470" i="4"/>
  <c r="R470" i="4"/>
  <c r="Q470" i="4"/>
  <c r="P470" i="4"/>
  <c r="O470" i="4"/>
  <c r="N470" i="4"/>
  <c r="M470" i="4"/>
  <c r="L470" i="4"/>
  <c r="K470" i="4"/>
  <c r="J470" i="4"/>
  <c r="I470" i="4"/>
  <c r="H470" i="4"/>
  <c r="G470" i="4"/>
  <c r="T469" i="4"/>
  <c r="S469" i="4"/>
  <c r="R469" i="4"/>
  <c r="Q469" i="4"/>
  <c r="P469" i="4"/>
  <c r="O469" i="4"/>
  <c r="N469" i="4"/>
  <c r="M469" i="4"/>
  <c r="L469" i="4"/>
  <c r="K469" i="4"/>
  <c r="J469" i="4"/>
  <c r="I469" i="4"/>
  <c r="H469" i="4"/>
  <c r="G469" i="4"/>
  <c r="T468" i="4"/>
  <c r="S468" i="4"/>
  <c r="R468" i="4"/>
  <c r="Q468" i="4"/>
  <c r="P468" i="4"/>
  <c r="O468" i="4"/>
  <c r="N468" i="4"/>
  <c r="M468" i="4"/>
  <c r="L468" i="4"/>
  <c r="K468" i="4"/>
  <c r="J468" i="4"/>
  <c r="I468" i="4"/>
  <c r="H468" i="4"/>
  <c r="G468" i="4"/>
  <c r="T467" i="4"/>
  <c r="S467" i="4"/>
  <c r="R467" i="4"/>
  <c r="Q467" i="4"/>
  <c r="P467" i="4"/>
  <c r="O467" i="4"/>
  <c r="N467" i="4"/>
  <c r="M467" i="4"/>
  <c r="L467" i="4"/>
  <c r="K467" i="4"/>
  <c r="J467" i="4"/>
  <c r="I467" i="4"/>
  <c r="H467" i="4"/>
  <c r="G467" i="4"/>
  <c r="T466" i="4"/>
  <c r="S466" i="4"/>
  <c r="R466" i="4"/>
  <c r="Q466" i="4"/>
  <c r="P466" i="4"/>
  <c r="O466" i="4"/>
  <c r="N466" i="4"/>
  <c r="M466" i="4"/>
  <c r="L466" i="4"/>
  <c r="K466" i="4"/>
  <c r="J466" i="4"/>
  <c r="I466" i="4"/>
  <c r="H466" i="4"/>
  <c r="G466" i="4"/>
  <c r="T465" i="4"/>
  <c r="S465" i="4"/>
  <c r="R465" i="4"/>
  <c r="Q465" i="4"/>
  <c r="P465" i="4"/>
  <c r="O465" i="4"/>
  <c r="N465" i="4"/>
  <c r="M465" i="4"/>
  <c r="L465" i="4"/>
  <c r="K465" i="4"/>
  <c r="J465" i="4"/>
  <c r="I465" i="4"/>
  <c r="H465" i="4"/>
  <c r="G465" i="4"/>
  <c r="T464" i="4"/>
  <c r="S464" i="4"/>
  <c r="R464" i="4"/>
  <c r="Q464" i="4"/>
  <c r="P464" i="4"/>
  <c r="O464" i="4"/>
  <c r="N464" i="4"/>
  <c r="M464" i="4"/>
  <c r="L464" i="4"/>
  <c r="K464" i="4"/>
  <c r="J464" i="4"/>
  <c r="I464" i="4"/>
  <c r="H464" i="4"/>
  <c r="G464" i="4"/>
  <c r="T463" i="4"/>
  <c r="S463" i="4"/>
  <c r="R463" i="4"/>
  <c r="Q463" i="4"/>
  <c r="P463" i="4"/>
  <c r="O463" i="4"/>
  <c r="N463" i="4"/>
  <c r="M463" i="4"/>
  <c r="L463" i="4"/>
  <c r="K463" i="4"/>
  <c r="J463" i="4"/>
  <c r="I463" i="4"/>
  <c r="H463" i="4"/>
  <c r="G463" i="4"/>
  <c r="T462" i="4"/>
  <c r="S462" i="4"/>
  <c r="R462" i="4"/>
  <c r="Q462" i="4"/>
  <c r="P462" i="4"/>
  <c r="O462" i="4"/>
  <c r="N462" i="4"/>
  <c r="M462" i="4"/>
  <c r="L462" i="4"/>
  <c r="K462" i="4"/>
  <c r="J462" i="4"/>
  <c r="I462" i="4"/>
  <c r="H462" i="4"/>
  <c r="G462" i="4"/>
  <c r="T461" i="4"/>
  <c r="S461" i="4"/>
  <c r="R461" i="4"/>
  <c r="Q461" i="4"/>
  <c r="P461" i="4"/>
  <c r="O461" i="4"/>
  <c r="N461" i="4"/>
  <c r="M461" i="4"/>
  <c r="L461" i="4"/>
  <c r="K461" i="4"/>
  <c r="J461" i="4"/>
  <c r="I461" i="4"/>
  <c r="H461" i="4"/>
  <c r="G461" i="4"/>
  <c r="T460" i="4"/>
  <c r="S460" i="4"/>
  <c r="R460" i="4"/>
  <c r="Q460" i="4"/>
  <c r="P460" i="4"/>
  <c r="O460" i="4"/>
  <c r="N460" i="4"/>
  <c r="M460" i="4"/>
  <c r="L460" i="4"/>
  <c r="K460" i="4"/>
  <c r="J460" i="4"/>
  <c r="I460" i="4"/>
  <c r="H460" i="4"/>
  <c r="G460" i="4"/>
  <c r="T459" i="4"/>
  <c r="S459" i="4"/>
  <c r="R459" i="4"/>
  <c r="Q459" i="4"/>
  <c r="P459" i="4"/>
  <c r="O459" i="4"/>
  <c r="N459" i="4"/>
  <c r="M459" i="4"/>
  <c r="L459" i="4"/>
  <c r="K459" i="4"/>
  <c r="J459" i="4"/>
  <c r="I459" i="4"/>
  <c r="H459" i="4"/>
  <c r="G459" i="4"/>
  <c r="T458" i="4"/>
  <c r="S458" i="4"/>
  <c r="R458" i="4"/>
  <c r="Q458" i="4"/>
  <c r="P458" i="4"/>
  <c r="O458" i="4"/>
  <c r="N458" i="4"/>
  <c r="M458" i="4"/>
  <c r="L458" i="4"/>
  <c r="K458" i="4"/>
  <c r="J458" i="4"/>
  <c r="I458" i="4"/>
  <c r="H458" i="4"/>
  <c r="G458" i="4"/>
  <c r="T457" i="4"/>
  <c r="S457" i="4"/>
  <c r="R457" i="4"/>
  <c r="Q457" i="4"/>
  <c r="P457" i="4"/>
  <c r="O457" i="4"/>
  <c r="N457" i="4"/>
  <c r="M457" i="4"/>
  <c r="L457" i="4"/>
  <c r="K457" i="4"/>
  <c r="J457" i="4"/>
  <c r="I457" i="4"/>
  <c r="H457" i="4"/>
  <c r="G457" i="4"/>
  <c r="T456" i="4"/>
  <c r="S456" i="4"/>
  <c r="R456" i="4"/>
  <c r="Q456" i="4"/>
  <c r="P456" i="4"/>
  <c r="O456" i="4"/>
  <c r="N456" i="4"/>
  <c r="M456" i="4"/>
  <c r="L456" i="4"/>
  <c r="K456" i="4"/>
  <c r="J456" i="4"/>
  <c r="I456" i="4"/>
  <c r="H456" i="4"/>
  <c r="G456" i="4"/>
  <c r="T455" i="4"/>
  <c r="S455" i="4"/>
  <c r="R455" i="4"/>
  <c r="Q455" i="4"/>
  <c r="P455" i="4"/>
  <c r="O455" i="4"/>
  <c r="N455" i="4"/>
  <c r="M455" i="4"/>
  <c r="L455" i="4"/>
  <c r="K455" i="4"/>
  <c r="J455" i="4"/>
  <c r="I455" i="4"/>
  <c r="H455" i="4"/>
  <c r="G455" i="4"/>
  <c r="T454" i="4"/>
  <c r="S454" i="4"/>
  <c r="R454" i="4"/>
  <c r="Q454" i="4"/>
  <c r="P454" i="4"/>
  <c r="O454" i="4"/>
  <c r="N454" i="4"/>
  <c r="M454" i="4"/>
  <c r="L454" i="4"/>
  <c r="K454" i="4"/>
  <c r="J454" i="4"/>
  <c r="I454" i="4"/>
  <c r="H454" i="4"/>
  <c r="G454" i="4"/>
  <c r="T453" i="4"/>
  <c r="S453" i="4"/>
  <c r="R453" i="4"/>
  <c r="Q453" i="4"/>
  <c r="P453" i="4"/>
  <c r="O453" i="4"/>
  <c r="N453" i="4"/>
  <c r="M453" i="4"/>
  <c r="L453" i="4"/>
  <c r="K453" i="4"/>
  <c r="J453" i="4"/>
  <c r="I453" i="4"/>
  <c r="H453" i="4"/>
  <c r="G453" i="4"/>
  <c r="T452" i="4"/>
  <c r="S452" i="4"/>
  <c r="R452" i="4"/>
  <c r="Q452" i="4"/>
  <c r="P452" i="4"/>
  <c r="O452" i="4"/>
  <c r="N452" i="4"/>
  <c r="M452" i="4"/>
  <c r="L452" i="4"/>
  <c r="K452" i="4"/>
  <c r="J452" i="4"/>
  <c r="I452" i="4"/>
  <c r="H452" i="4"/>
  <c r="G452" i="4"/>
  <c r="T451" i="4"/>
  <c r="S451" i="4"/>
  <c r="R451" i="4"/>
  <c r="Q451" i="4"/>
  <c r="P451" i="4"/>
  <c r="O451" i="4"/>
  <c r="N451" i="4"/>
  <c r="M451" i="4"/>
  <c r="L451" i="4"/>
  <c r="K451" i="4"/>
  <c r="J451" i="4"/>
  <c r="I451" i="4"/>
  <c r="H451" i="4"/>
  <c r="G451" i="4"/>
  <c r="T450" i="4"/>
  <c r="S450" i="4"/>
  <c r="R450" i="4"/>
  <c r="Q450" i="4"/>
  <c r="P450" i="4"/>
  <c r="O450" i="4"/>
  <c r="N450" i="4"/>
  <c r="M450" i="4"/>
  <c r="L450" i="4"/>
  <c r="K450" i="4"/>
  <c r="J450" i="4"/>
  <c r="I450" i="4"/>
  <c r="H450" i="4"/>
  <c r="G450" i="4"/>
  <c r="T449" i="4"/>
  <c r="S449" i="4"/>
  <c r="R449" i="4"/>
  <c r="Q449" i="4"/>
  <c r="P449" i="4"/>
  <c r="O449" i="4"/>
  <c r="N449" i="4"/>
  <c r="M449" i="4"/>
  <c r="L449" i="4"/>
  <c r="K449" i="4"/>
  <c r="J449" i="4"/>
  <c r="I449" i="4"/>
  <c r="H449" i="4"/>
  <c r="G449" i="4"/>
  <c r="T448" i="4"/>
  <c r="S448" i="4"/>
  <c r="R448" i="4"/>
  <c r="Q448" i="4"/>
  <c r="P448" i="4"/>
  <c r="O448" i="4"/>
  <c r="N448" i="4"/>
  <c r="M448" i="4"/>
  <c r="L448" i="4"/>
  <c r="K448" i="4"/>
  <c r="J448" i="4"/>
  <c r="I448" i="4"/>
  <c r="H448" i="4"/>
  <c r="G448" i="4"/>
  <c r="T447" i="4"/>
  <c r="S447" i="4"/>
  <c r="R447" i="4"/>
  <c r="Q447" i="4"/>
  <c r="P447" i="4"/>
  <c r="O447" i="4"/>
  <c r="N447" i="4"/>
  <c r="M447" i="4"/>
  <c r="L447" i="4"/>
  <c r="K447" i="4"/>
  <c r="J447" i="4"/>
  <c r="I447" i="4"/>
  <c r="H447" i="4"/>
  <c r="G447" i="4"/>
  <c r="T446" i="4"/>
  <c r="S446" i="4"/>
  <c r="R446" i="4"/>
  <c r="Q446" i="4"/>
  <c r="P446" i="4"/>
  <c r="O446" i="4"/>
  <c r="N446" i="4"/>
  <c r="M446" i="4"/>
  <c r="L446" i="4"/>
  <c r="K446" i="4"/>
  <c r="J446" i="4"/>
  <c r="I446" i="4"/>
  <c r="H446" i="4"/>
  <c r="G446" i="4"/>
  <c r="T445" i="4"/>
  <c r="S445" i="4"/>
  <c r="R445" i="4"/>
  <c r="Q445" i="4"/>
  <c r="P445" i="4"/>
  <c r="O445" i="4"/>
  <c r="N445" i="4"/>
  <c r="M445" i="4"/>
  <c r="L445" i="4"/>
  <c r="K445" i="4"/>
  <c r="J445" i="4"/>
  <c r="I445" i="4"/>
  <c r="H445" i="4"/>
  <c r="G445" i="4"/>
  <c r="T444" i="4"/>
  <c r="S444" i="4"/>
  <c r="R444" i="4"/>
  <c r="Q444" i="4"/>
  <c r="P444" i="4"/>
  <c r="O444" i="4"/>
  <c r="N444" i="4"/>
  <c r="M444" i="4"/>
  <c r="L444" i="4"/>
  <c r="K444" i="4"/>
  <c r="J444" i="4"/>
  <c r="I444" i="4"/>
  <c r="H444" i="4"/>
  <c r="G444" i="4"/>
  <c r="T443" i="4"/>
  <c r="S443" i="4"/>
  <c r="R443" i="4"/>
  <c r="Q443" i="4"/>
  <c r="P443" i="4"/>
  <c r="O443" i="4"/>
  <c r="N443" i="4"/>
  <c r="M443" i="4"/>
  <c r="L443" i="4"/>
  <c r="K443" i="4"/>
  <c r="J443" i="4"/>
  <c r="I443" i="4"/>
  <c r="H443" i="4"/>
  <c r="G443" i="4"/>
  <c r="T442" i="4"/>
  <c r="S442" i="4"/>
  <c r="R442" i="4"/>
  <c r="Q442" i="4"/>
  <c r="P442" i="4"/>
  <c r="O442" i="4"/>
  <c r="N442" i="4"/>
  <c r="M442" i="4"/>
  <c r="L442" i="4"/>
  <c r="K442" i="4"/>
  <c r="J442" i="4"/>
  <c r="I442" i="4"/>
  <c r="H442" i="4"/>
  <c r="G442" i="4"/>
  <c r="T441" i="4"/>
  <c r="S441" i="4"/>
  <c r="R441" i="4"/>
  <c r="Q441" i="4"/>
  <c r="P441" i="4"/>
  <c r="O441" i="4"/>
  <c r="N441" i="4"/>
  <c r="M441" i="4"/>
  <c r="L441" i="4"/>
  <c r="K441" i="4"/>
  <c r="J441" i="4"/>
  <c r="I441" i="4"/>
  <c r="H441" i="4"/>
  <c r="G441" i="4"/>
  <c r="T440" i="4"/>
  <c r="S440" i="4"/>
  <c r="R440" i="4"/>
  <c r="Q440" i="4"/>
  <c r="P440" i="4"/>
  <c r="O440" i="4"/>
  <c r="N440" i="4"/>
  <c r="M440" i="4"/>
  <c r="L440" i="4"/>
  <c r="K440" i="4"/>
  <c r="J440" i="4"/>
  <c r="I440" i="4"/>
  <c r="H440" i="4"/>
  <c r="G440" i="4"/>
  <c r="T439" i="4"/>
  <c r="S439" i="4"/>
  <c r="R439" i="4"/>
  <c r="Q439" i="4"/>
  <c r="P439" i="4"/>
  <c r="O439" i="4"/>
  <c r="N439" i="4"/>
  <c r="M439" i="4"/>
  <c r="L439" i="4"/>
  <c r="K439" i="4"/>
  <c r="J439" i="4"/>
  <c r="I439" i="4"/>
  <c r="H439" i="4"/>
  <c r="G439" i="4"/>
  <c r="T438" i="4"/>
  <c r="S438" i="4"/>
  <c r="R438" i="4"/>
  <c r="Q438" i="4"/>
  <c r="P438" i="4"/>
  <c r="O438" i="4"/>
  <c r="N438" i="4"/>
  <c r="M438" i="4"/>
  <c r="L438" i="4"/>
  <c r="K438" i="4"/>
  <c r="J438" i="4"/>
  <c r="I438" i="4"/>
  <c r="H438" i="4"/>
  <c r="G438" i="4"/>
  <c r="T437" i="4"/>
  <c r="S437" i="4"/>
  <c r="R437" i="4"/>
  <c r="Q437" i="4"/>
  <c r="P437" i="4"/>
  <c r="O437" i="4"/>
  <c r="N437" i="4"/>
  <c r="M437" i="4"/>
  <c r="L437" i="4"/>
  <c r="K437" i="4"/>
  <c r="J437" i="4"/>
  <c r="I437" i="4"/>
  <c r="H437" i="4"/>
  <c r="G437" i="4"/>
  <c r="T436" i="4"/>
  <c r="S436" i="4"/>
  <c r="R436" i="4"/>
  <c r="Q436" i="4"/>
  <c r="P436" i="4"/>
  <c r="O436" i="4"/>
  <c r="N436" i="4"/>
  <c r="M436" i="4"/>
  <c r="L436" i="4"/>
  <c r="K436" i="4"/>
  <c r="J436" i="4"/>
  <c r="I436" i="4"/>
  <c r="H436" i="4"/>
  <c r="G436" i="4"/>
  <c r="T435" i="4"/>
  <c r="S435" i="4"/>
  <c r="R435" i="4"/>
  <c r="Q435" i="4"/>
  <c r="P435" i="4"/>
  <c r="O435" i="4"/>
  <c r="N435" i="4"/>
  <c r="M435" i="4"/>
  <c r="L435" i="4"/>
  <c r="K435" i="4"/>
  <c r="J435" i="4"/>
  <c r="I435" i="4"/>
  <c r="H435" i="4"/>
  <c r="G435" i="4"/>
  <c r="T434" i="4"/>
  <c r="S434" i="4"/>
  <c r="R434" i="4"/>
  <c r="Q434" i="4"/>
  <c r="P434" i="4"/>
  <c r="O434" i="4"/>
  <c r="N434" i="4"/>
  <c r="M434" i="4"/>
  <c r="L434" i="4"/>
  <c r="K434" i="4"/>
  <c r="J434" i="4"/>
  <c r="I434" i="4"/>
  <c r="H434" i="4"/>
  <c r="G434" i="4"/>
  <c r="T433" i="4"/>
  <c r="S433" i="4"/>
  <c r="R433" i="4"/>
  <c r="Q433" i="4"/>
  <c r="P433" i="4"/>
  <c r="O433" i="4"/>
  <c r="N433" i="4"/>
  <c r="M433" i="4"/>
  <c r="L433" i="4"/>
  <c r="K433" i="4"/>
  <c r="J433" i="4"/>
  <c r="I433" i="4"/>
  <c r="H433" i="4"/>
  <c r="G433" i="4"/>
  <c r="T432" i="4"/>
  <c r="S432" i="4"/>
  <c r="R432" i="4"/>
  <c r="Q432" i="4"/>
  <c r="P432" i="4"/>
  <c r="O432" i="4"/>
  <c r="N432" i="4"/>
  <c r="M432" i="4"/>
  <c r="L432" i="4"/>
  <c r="K432" i="4"/>
  <c r="J432" i="4"/>
  <c r="I432" i="4"/>
  <c r="H432" i="4"/>
  <c r="G432" i="4"/>
  <c r="T431" i="4"/>
  <c r="S431" i="4"/>
  <c r="R431" i="4"/>
  <c r="Q431" i="4"/>
  <c r="P431" i="4"/>
  <c r="O431" i="4"/>
  <c r="N431" i="4"/>
  <c r="M431" i="4"/>
  <c r="L431" i="4"/>
  <c r="K431" i="4"/>
  <c r="J431" i="4"/>
  <c r="I431" i="4"/>
  <c r="H431" i="4"/>
  <c r="G431" i="4"/>
  <c r="T430" i="4"/>
  <c r="S430" i="4"/>
  <c r="R430" i="4"/>
  <c r="Q430" i="4"/>
  <c r="P430" i="4"/>
  <c r="O430" i="4"/>
  <c r="N430" i="4"/>
  <c r="M430" i="4"/>
  <c r="L430" i="4"/>
  <c r="K430" i="4"/>
  <c r="J430" i="4"/>
  <c r="I430" i="4"/>
  <c r="H430" i="4"/>
  <c r="G430" i="4"/>
  <c r="T429" i="4"/>
  <c r="S429" i="4"/>
  <c r="R429" i="4"/>
  <c r="Q429" i="4"/>
  <c r="P429" i="4"/>
  <c r="O429" i="4"/>
  <c r="N429" i="4"/>
  <c r="M429" i="4"/>
  <c r="L429" i="4"/>
  <c r="K429" i="4"/>
  <c r="J429" i="4"/>
  <c r="I429" i="4"/>
  <c r="H429" i="4"/>
  <c r="G429" i="4"/>
  <c r="T428" i="4"/>
  <c r="S428" i="4"/>
  <c r="R428" i="4"/>
  <c r="Q428" i="4"/>
  <c r="P428" i="4"/>
  <c r="O428" i="4"/>
  <c r="N428" i="4"/>
  <c r="M428" i="4"/>
  <c r="L428" i="4"/>
  <c r="K428" i="4"/>
  <c r="J428" i="4"/>
  <c r="I428" i="4"/>
  <c r="H428" i="4"/>
  <c r="G428" i="4"/>
  <c r="T427" i="4"/>
  <c r="S427" i="4"/>
  <c r="R427" i="4"/>
  <c r="Q427" i="4"/>
  <c r="P427" i="4"/>
  <c r="O427" i="4"/>
  <c r="N427" i="4"/>
  <c r="M427" i="4"/>
  <c r="L427" i="4"/>
  <c r="K427" i="4"/>
  <c r="J427" i="4"/>
  <c r="I427" i="4"/>
  <c r="H427" i="4"/>
  <c r="G427" i="4"/>
  <c r="T426" i="4"/>
  <c r="S426" i="4"/>
  <c r="R426" i="4"/>
  <c r="Q426" i="4"/>
  <c r="P426" i="4"/>
  <c r="O426" i="4"/>
  <c r="N426" i="4"/>
  <c r="M426" i="4"/>
  <c r="L426" i="4"/>
  <c r="K426" i="4"/>
  <c r="J426" i="4"/>
  <c r="I426" i="4"/>
  <c r="H426" i="4"/>
  <c r="G426" i="4"/>
  <c r="T425" i="4"/>
  <c r="S425" i="4"/>
  <c r="R425" i="4"/>
  <c r="Q425" i="4"/>
  <c r="P425" i="4"/>
  <c r="O425" i="4"/>
  <c r="N425" i="4"/>
  <c r="M425" i="4"/>
  <c r="L425" i="4"/>
  <c r="K425" i="4"/>
  <c r="J425" i="4"/>
  <c r="I425" i="4"/>
  <c r="H425" i="4"/>
  <c r="G425" i="4"/>
  <c r="T424" i="4"/>
  <c r="S424" i="4"/>
  <c r="R424" i="4"/>
  <c r="Q424" i="4"/>
  <c r="P424" i="4"/>
  <c r="O424" i="4"/>
  <c r="N424" i="4"/>
  <c r="M424" i="4"/>
  <c r="L424" i="4"/>
  <c r="K424" i="4"/>
  <c r="J424" i="4"/>
  <c r="I424" i="4"/>
  <c r="H424" i="4"/>
  <c r="G424" i="4"/>
  <c r="T423" i="4"/>
  <c r="S423" i="4"/>
  <c r="R423" i="4"/>
  <c r="Q423" i="4"/>
  <c r="P423" i="4"/>
  <c r="O423" i="4"/>
  <c r="N423" i="4"/>
  <c r="M423" i="4"/>
  <c r="L423" i="4"/>
  <c r="K423" i="4"/>
  <c r="J423" i="4"/>
  <c r="I423" i="4"/>
  <c r="H423" i="4"/>
  <c r="G423" i="4"/>
  <c r="T422" i="4"/>
  <c r="S422" i="4"/>
  <c r="R422" i="4"/>
  <c r="Q422" i="4"/>
  <c r="P422" i="4"/>
  <c r="O422" i="4"/>
  <c r="N422" i="4"/>
  <c r="M422" i="4"/>
  <c r="L422" i="4"/>
  <c r="K422" i="4"/>
  <c r="J422" i="4"/>
  <c r="I422" i="4"/>
  <c r="H422" i="4"/>
  <c r="G422" i="4"/>
  <c r="T421" i="4"/>
  <c r="S421" i="4"/>
  <c r="R421" i="4"/>
  <c r="Q421" i="4"/>
  <c r="P421" i="4"/>
  <c r="O421" i="4"/>
  <c r="N421" i="4"/>
  <c r="M421" i="4"/>
  <c r="L421" i="4"/>
  <c r="K421" i="4"/>
  <c r="J421" i="4"/>
  <c r="I421" i="4"/>
  <c r="H421" i="4"/>
  <c r="G421" i="4"/>
  <c r="T420" i="4"/>
  <c r="S420" i="4"/>
  <c r="R420" i="4"/>
  <c r="Q420" i="4"/>
  <c r="P420" i="4"/>
  <c r="O420" i="4"/>
  <c r="N420" i="4"/>
  <c r="M420" i="4"/>
  <c r="L420" i="4"/>
  <c r="K420" i="4"/>
  <c r="J420" i="4"/>
  <c r="I420" i="4"/>
  <c r="H420" i="4"/>
  <c r="G420" i="4"/>
  <c r="T419" i="4"/>
  <c r="S419" i="4"/>
  <c r="R419" i="4"/>
  <c r="Q419" i="4"/>
  <c r="P419" i="4"/>
  <c r="O419" i="4"/>
  <c r="N419" i="4"/>
  <c r="M419" i="4"/>
  <c r="L419" i="4"/>
  <c r="K419" i="4"/>
  <c r="J419" i="4"/>
  <c r="I419" i="4"/>
  <c r="H419" i="4"/>
  <c r="G419" i="4"/>
  <c r="T418" i="4"/>
  <c r="S418" i="4"/>
  <c r="R418" i="4"/>
  <c r="Q418" i="4"/>
  <c r="P418" i="4"/>
  <c r="O418" i="4"/>
  <c r="N418" i="4"/>
  <c r="M418" i="4"/>
  <c r="L418" i="4"/>
  <c r="K418" i="4"/>
  <c r="J418" i="4"/>
  <c r="I418" i="4"/>
  <c r="H418" i="4"/>
  <c r="G418" i="4"/>
  <c r="T417" i="4"/>
  <c r="S417" i="4"/>
  <c r="R417" i="4"/>
  <c r="Q417" i="4"/>
  <c r="P417" i="4"/>
  <c r="O417" i="4"/>
  <c r="N417" i="4"/>
  <c r="M417" i="4"/>
  <c r="L417" i="4"/>
  <c r="K417" i="4"/>
  <c r="J417" i="4"/>
  <c r="I417" i="4"/>
  <c r="H417" i="4"/>
  <c r="G417" i="4"/>
  <c r="T416" i="4"/>
  <c r="S416" i="4"/>
  <c r="R416" i="4"/>
  <c r="Q416" i="4"/>
  <c r="P416" i="4"/>
  <c r="O416" i="4"/>
  <c r="N416" i="4"/>
  <c r="M416" i="4"/>
  <c r="L416" i="4"/>
  <c r="K416" i="4"/>
  <c r="J416" i="4"/>
  <c r="I416" i="4"/>
  <c r="H416" i="4"/>
  <c r="G416" i="4"/>
  <c r="T415" i="4"/>
  <c r="S415" i="4"/>
  <c r="R415" i="4"/>
  <c r="Q415" i="4"/>
  <c r="P415" i="4"/>
  <c r="O415" i="4"/>
  <c r="N415" i="4"/>
  <c r="M415" i="4"/>
  <c r="L415" i="4"/>
  <c r="K415" i="4"/>
  <c r="J415" i="4"/>
  <c r="I415" i="4"/>
  <c r="H415" i="4"/>
  <c r="G415" i="4"/>
  <c r="T414" i="4"/>
  <c r="S414" i="4"/>
  <c r="R414" i="4"/>
  <c r="Q414" i="4"/>
  <c r="P414" i="4"/>
  <c r="O414" i="4"/>
  <c r="N414" i="4"/>
  <c r="M414" i="4"/>
  <c r="L414" i="4"/>
  <c r="K414" i="4"/>
  <c r="J414" i="4"/>
  <c r="I414" i="4"/>
  <c r="H414" i="4"/>
  <c r="G414" i="4"/>
  <c r="T413" i="4"/>
  <c r="S413" i="4"/>
  <c r="R413" i="4"/>
  <c r="Q413" i="4"/>
  <c r="P413" i="4"/>
  <c r="O413" i="4"/>
  <c r="N413" i="4"/>
  <c r="M413" i="4"/>
  <c r="L413" i="4"/>
  <c r="K413" i="4"/>
  <c r="J413" i="4"/>
  <c r="I413" i="4"/>
  <c r="H413" i="4"/>
  <c r="G413" i="4"/>
  <c r="T412" i="4"/>
  <c r="S412" i="4"/>
  <c r="R412" i="4"/>
  <c r="Q412" i="4"/>
  <c r="P412" i="4"/>
  <c r="O412" i="4"/>
  <c r="N412" i="4"/>
  <c r="M412" i="4"/>
  <c r="L412" i="4"/>
  <c r="K412" i="4"/>
  <c r="J412" i="4"/>
  <c r="I412" i="4"/>
  <c r="H412" i="4"/>
  <c r="G412" i="4"/>
  <c r="T411" i="4"/>
  <c r="S411" i="4"/>
  <c r="R411" i="4"/>
  <c r="Q411" i="4"/>
  <c r="P411" i="4"/>
  <c r="O411" i="4"/>
  <c r="N411" i="4"/>
  <c r="M411" i="4"/>
  <c r="L411" i="4"/>
  <c r="K411" i="4"/>
  <c r="J411" i="4"/>
  <c r="I411" i="4"/>
  <c r="H411" i="4"/>
  <c r="G411" i="4"/>
  <c r="T410" i="4"/>
  <c r="S410" i="4"/>
  <c r="R410" i="4"/>
  <c r="Q410" i="4"/>
  <c r="P410" i="4"/>
  <c r="O410" i="4"/>
  <c r="N410" i="4"/>
  <c r="M410" i="4"/>
  <c r="L410" i="4"/>
  <c r="K410" i="4"/>
  <c r="J410" i="4"/>
  <c r="I410" i="4"/>
  <c r="H410" i="4"/>
  <c r="G410" i="4"/>
  <c r="T409" i="4"/>
  <c r="S409" i="4"/>
  <c r="R409" i="4"/>
  <c r="Q409" i="4"/>
  <c r="P409" i="4"/>
  <c r="O409" i="4"/>
  <c r="N409" i="4"/>
  <c r="M409" i="4"/>
  <c r="L409" i="4"/>
  <c r="K409" i="4"/>
  <c r="J409" i="4"/>
  <c r="I409" i="4"/>
  <c r="H409" i="4"/>
  <c r="G409" i="4"/>
  <c r="T408" i="4"/>
  <c r="S408" i="4"/>
  <c r="R408" i="4"/>
  <c r="Q408" i="4"/>
  <c r="P408" i="4"/>
  <c r="O408" i="4"/>
  <c r="N408" i="4"/>
  <c r="M408" i="4"/>
  <c r="L408" i="4"/>
  <c r="K408" i="4"/>
  <c r="J408" i="4"/>
  <c r="I408" i="4"/>
  <c r="H408" i="4"/>
  <c r="G408" i="4"/>
  <c r="T407" i="4"/>
  <c r="S407" i="4"/>
  <c r="R407" i="4"/>
  <c r="Q407" i="4"/>
  <c r="P407" i="4"/>
  <c r="O407" i="4"/>
  <c r="N407" i="4"/>
  <c r="M407" i="4"/>
  <c r="L407" i="4"/>
  <c r="K407" i="4"/>
  <c r="J407" i="4"/>
  <c r="I407" i="4"/>
  <c r="H407" i="4"/>
  <c r="G407" i="4"/>
  <c r="T406" i="4"/>
  <c r="S406" i="4"/>
  <c r="R406" i="4"/>
  <c r="Q406" i="4"/>
  <c r="P406" i="4"/>
  <c r="O406" i="4"/>
  <c r="N406" i="4"/>
  <c r="M406" i="4"/>
  <c r="L406" i="4"/>
  <c r="K406" i="4"/>
  <c r="J406" i="4"/>
  <c r="I406" i="4"/>
  <c r="H406" i="4"/>
  <c r="G406" i="4"/>
  <c r="T405" i="4"/>
  <c r="S405" i="4"/>
  <c r="R405" i="4"/>
  <c r="Q405" i="4"/>
  <c r="P405" i="4"/>
  <c r="O405" i="4"/>
  <c r="N405" i="4"/>
  <c r="M405" i="4"/>
  <c r="L405" i="4"/>
  <c r="K405" i="4"/>
  <c r="J405" i="4"/>
  <c r="I405" i="4"/>
  <c r="H405" i="4"/>
  <c r="G405" i="4"/>
  <c r="T404" i="4"/>
  <c r="S404" i="4"/>
  <c r="R404" i="4"/>
  <c r="Q404" i="4"/>
  <c r="P404" i="4"/>
  <c r="O404" i="4"/>
  <c r="N404" i="4"/>
  <c r="M404" i="4"/>
  <c r="L404" i="4"/>
  <c r="K404" i="4"/>
  <c r="J404" i="4"/>
  <c r="I404" i="4"/>
  <c r="H404" i="4"/>
  <c r="G404" i="4"/>
  <c r="T403" i="4"/>
  <c r="S403" i="4"/>
  <c r="R403" i="4"/>
  <c r="Q403" i="4"/>
  <c r="P403" i="4"/>
  <c r="O403" i="4"/>
  <c r="N403" i="4"/>
  <c r="M403" i="4"/>
  <c r="L403" i="4"/>
  <c r="K403" i="4"/>
  <c r="J403" i="4"/>
  <c r="I403" i="4"/>
  <c r="H403" i="4"/>
  <c r="G403" i="4"/>
  <c r="T402" i="4"/>
  <c r="S402" i="4"/>
  <c r="R402" i="4"/>
  <c r="Q402" i="4"/>
  <c r="P402" i="4"/>
  <c r="O402" i="4"/>
  <c r="N402" i="4"/>
  <c r="M402" i="4"/>
  <c r="L402" i="4"/>
  <c r="K402" i="4"/>
  <c r="J402" i="4"/>
  <c r="I402" i="4"/>
  <c r="H402" i="4"/>
  <c r="G402" i="4"/>
  <c r="T401" i="4"/>
  <c r="S401" i="4"/>
  <c r="R401" i="4"/>
  <c r="Q401" i="4"/>
  <c r="P401" i="4"/>
  <c r="O401" i="4"/>
  <c r="N401" i="4"/>
  <c r="M401" i="4"/>
  <c r="L401" i="4"/>
  <c r="K401" i="4"/>
  <c r="J401" i="4"/>
  <c r="I401" i="4"/>
  <c r="H401" i="4"/>
  <c r="G401" i="4"/>
  <c r="T400" i="4"/>
  <c r="S400" i="4"/>
  <c r="R400" i="4"/>
  <c r="Q400" i="4"/>
  <c r="P400" i="4"/>
  <c r="O400" i="4"/>
  <c r="N400" i="4"/>
  <c r="M400" i="4"/>
  <c r="L400" i="4"/>
  <c r="K400" i="4"/>
  <c r="J400" i="4"/>
  <c r="I400" i="4"/>
  <c r="H400" i="4"/>
  <c r="G400" i="4"/>
  <c r="T399" i="4"/>
  <c r="S399" i="4"/>
  <c r="R399" i="4"/>
  <c r="Q399" i="4"/>
  <c r="P399" i="4"/>
  <c r="O399" i="4"/>
  <c r="N399" i="4"/>
  <c r="M399" i="4"/>
  <c r="L399" i="4"/>
  <c r="K399" i="4"/>
  <c r="J399" i="4"/>
  <c r="I399" i="4"/>
  <c r="H399" i="4"/>
  <c r="G399" i="4"/>
  <c r="T398" i="4"/>
  <c r="S398" i="4"/>
  <c r="R398" i="4"/>
  <c r="Q398" i="4"/>
  <c r="P398" i="4"/>
  <c r="O398" i="4"/>
  <c r="N398" i="4"/>
  <c r="M398" i="4"/>
  <c r="L398" i="4"/>
  <c r="K398" i="4"/>
  <c r="J398" i="4"/>
  <c r="I398" i="4"/>
  <c r="H398" i="4"/>
  <c r="G398" i="4"/>
  <c r="T397" i="4"/>
  <c r="S397" i="4"/>
  <c r="R397" i="4"/>
  <c r="Q397" i="4"/>
  <c r="P397" i="4"/>
  <c r="O397" i="4"/>
  <c r="N397" i="4"/>
  <c r="M397" i="4"/>
  <c r="L397" i="4"/>
  <c r="K397" i="4"/>
  <c r="J397" i="4"/>
  <c r="I397" i="4"/>
  <c r="H397" i="4"/>
  <c r="G397" i="4"/>
  <c r="T396" i="4"/>
  <c r="S396" i="4"/>
  <c r="R396" i="4"/>
  <c r="Q396" i="4"/>
  <c r="P396" i="4"/>
  <c r="O396" i="4"/>
  <c r="N396" i="4"/>
  <c r="M396" i="4"/>
  <c r="L396" i="4"/>
  <c r="K396" i="4"/>
  <c r="J396" i="4"/>
  <c r="I396" i="4"/>
  <c r="H396" i="4"/>
  <c r="G396" i="4"/>
  <c r="T395" i="4"/>
  <c r="S395" i="4"/>
  <c r="R395" i="4"/>
  <c r="Q395" i="4"/>
  <c r="P395" i="4"/>
  <c r="O395" i="4"/>
  <c r="N395" i="4"/>
  <c r="M395" i="4"/>
  <c r="L395" i="4"/>
  <c r="K395" i="4"/>
  <c r="J395" i="4"/>
  <c r="I395" i="4"/>
  <c r="H395" i="4"/>
  <c r="G395" i="4"/>
  <c r="T394" i="4"/>
  <c r="S394" i="4"/>
  <c r="R394" i="4"/>
  <c r="Q394" i="4"/>
  <c r="P394" i="4"/>
  <c r="O394" i="4"/>
  <c r="N394" i="4"/>
  <c r="M394" i="4"/>
  <c r="L394" i="4"/>
  <c r="K394" i="4"/>
  <c r="J394" i="4"/>
  <c r="I394" i="4"/>
  <c r="H394" i="4"/>
  <c r="G394" i="4"/>
  <c r="T393" i="4"/>
  <c r="S393" i="4"/>
  <c r="R393" i="4"/>
  <c r="Q393" i="4"/>
  <c r="P393" i="4"/>
  <c r="O393" i="4"/>
  <c r="N393" i="4"/>
  <c r="M393" i="4"/>
  <c r="L393" i="4"/>
  <c r="K393" i="4"/>
  <c r="J393" i="4"/>
  <c r="I393" i="4"/>
  <c r="H393" i="4"/>
  <c r="G393" i="4"/>
  <c r="T392" i="4"/>
  <c r="S392" i="4"/>
  <c r="R392" i="4"/>
  <c r="Q392" i="4"/>
  <c r="P392" i="4"/>
  <c r="O392" i="4"/>
  <c r="N392" i="4"/>
  <c r="M392" i="4"/>
  <c r="L392" i="4"/>
  <c r="K392" i="4"/>
  <c r="J392" i="4"/>
  <c r="I392" i="4"/>
  <c r="H392" i="4"/>
  <c r="G392" i="4"/>
  <c r="T391" i="4"/>
  <c r="S391" i="4"/>
  <c r="R391" i="4"/>
  <c r="Q391" i="4"/>
  <c r="P391" i="4"/>
  <c r="O391" i="4"/>
  <c r="N391" i="4"/>
  <c r="M391" i="4"/>
  <c r="L391" i="4"/>
  <c r="K391" i="4"/>
  <c r="J391" i="4"/>
  <c r="I391" i="4"/>
  <c r="H391" i="4"/>
  <c r="G391" i="4"/>
  <c r="T390" i="4"/>
  <c r="S390" i="4"/>
  <c r="R390" i="4"/>
  <c r="Q390" i="4"/>
  <c r="P390" i="4"/>
  <c r="O390" i="4"/>
  <c r="N390" i="4"/>
  <c r="M390" i="4"/>
  <c r="L390" i="4"/>
  <c r="K390" i="4"/>
  <c r="J390" i="4"/>
  <c r="I390" i="4"/>
  <c r="H390" i="4"/>
  <c r="G390" i="4"/>
  <c r="T389" i="4"/>
  <c r="S389" i="4"/>
  <c r="R389" i="4"/>
  <c r="Q389" i="4"/>
  <c r="P389" i="4"/>
  <c r="O389" i="4"/>
  <c r="N389" i="4"/>
  <c r="M389" i="4"/>
  <c r="L389" i="4"/>
  <c r="K389" i="4"/>
  <c r="J389" i="4"/>
  <c r="I389" i="4"/>
  <c r="H389" i="4"/>
  <c r="G389" i="4"/>
  <c r="T388" i="4"/>
  <c r="S388" i="4"/>
  <c r="R388" i="4"/>
  <c r="Q388" i="4"/>
  <c r="P388" i="4"/>
  <c r="O388" i="4"/>
  <c r="N388" i="4"/>
  <c r="M388" i="4"/>
  <c r="L388" i="4"/>
  <c r="K388" i="4"/>
  <c r="J388" i="4"/>
  <c r="I388" i="4"/>
  <c r="H388" i="4"/>
  <c r="G388" i="4"/>
  <c r="T387" i="4"/>
  <c r="S387" i="4"/>
  <c r="R387" i="4"/>
  <c r="Q387" i="4"/>
  <c r="P387" i="4"/>
  <c r="O387" i="4"/>
  <c r="N387" i="4"/>
  <c r="M387" i="4"/>
  <c r="L387" i="4"/>
  <c r="K387" i="4"/>
  <c r="J387" i="4"/>
  <c r="I387" i="4"/>
  <c r="H387" i="4"/>
  <c r="G387" i="4"/>
  <c r="T386" i="4"/>
  <c r="S386" i="4"/>
  <c r="R386" i="4"/>
  <c r="Q386" i="4"/>
  <c r="P386" i="4"/>
  <c r="O386" i="4"/>
  <c r="N386" i="4"/>
  <c r="M386" i="4"/>
  <c r="L386" i="4"/>
  <c r="K386" i="4"/>
  <c r="J386" i="4"/>
  <c r="I386" i="4"/>
  <c r="H386" i="4"/>
  <c r="G386" i="4"/>
  <c r="T385" i="4"/>
  <c r="S385" i="4"/>
  <c r="R385" i="4"/>
  <c r="Q385" i="4"/>
  <c r="P385" i="4"/>
  <c r="O385" i="4"/>
  <c r="N385" i="4"/>
  <c r="M385" i="4"/>
  <c r="L385" i="4"/>
  <c r="K385" i="4"/>
  <c r="J385" i="4"/>
  <c r="I385" i="4"/>
  <c r="H385" i="4"/>
  <c r="G385" i="4"/>
  <c r="T384" i="4"/>
  <c r="S384" i="4"/>
  <c r="R384" i="4"/>
  <c r="Q384" i="4"/>
  <c r="P384" i="4"/>
  <c r="O384" i="4"/>
  <c r="N384" i="4"/>
  <c r="M384" i="4"/>
  <c r="L384" i="4"/>
  <c r="K384" i="4"/>
  <c r="J384" i="4"/>
  <c r="I384" i="4"/>
  <c r="H384" i="4"/>
  <c r="G384" i="4"/>
  <c r="T383" i="4"/>
  <c r="S383" i="4"/>
  <c r="R383" i="4"/>
  <c r="Q383" i="4"/>
  <c r="P383" i="4"/>
  <c r="O383" i="4"/>
  <c r="N383" i="4"/>
  <c r="M383" i="4"/>
  <c r="L383" i="4"/>
  <c r="K383" i="4"/>
  <c r="J383" i="4"/>
  <c r="I383" i="4"/>
  <c r="H383" i="4"/>
  <c r="G383" i="4"/>
  <c r="T382" i="4"/>
  <c r="S382" i="4"/>
  <c r="R382" i="4"/>
  <c r="Q382" i="4"/>
  <c r="P382" i="4"/>
  <c r="O382" i="4"/>
  <c r="N382" i="4"/>
  <c r="M382" i="4"/>
  <c r="L382" i="4"/>
  <c r="K382" i="4"/>
  <c r="J382" i="4"/>
  <c r="I382" i="4"/>
  <c r="H382" i="4"/>
  <c r="G382" i="4"/>
  <c r="T381" i="4"/>
  <c r="S381" i="4"/>
  <c r="R381" i="4"/>
  <c r="Q381" i="4"/>
  <c r="P381" i="4"/>
  <c r="O381" i="4"/>
  <c r="N381" i="4"/>
  <c r="M381" i="4"/>
  <c r="L381" i="4"/>
  <c r="K381" i="4"/>
  <c r="J381" i="4"/>
  <c r="I381" i="4"/>
  <c r="H381" i="4"/>
  <c r="G381" i="4"/>
  <c r="T380" i="4"/>
  <c r="S380" i="4"/>
  <c r="R380" i="4"/>
  <c r="Q380" i="4"/>
  <c r="P380" i="4"/>
  <c r="O380" i="4"/>
  <c r="N380" i="4"/>
  <c r="M380" i="4"/>
  <c r="L380" i="4"/>
  <c r="K380" i="4"/>
  <c r="J380" i="4"/>
  <c r="I380" i="4"/>
  <c r="H380" i="4"/>
  <c r="G380" i="4"/>
  <c r="T379" i="4"/>
  <c r="S379" i="4"/>
  <c r="R379" i="4"/>
  <c r="Q379" i="4"/>
  <c r="P379" i="4"/>
  <c r="O379" i="4"/>
  <c r="N379" i="4"/>
  <c r="M379" i="4"/>
  <c r="L379" i="4"/>
  <c r="K379" i="4"/>
  <c r="J379" i="4"/>
  <c r="I379" i="4"/>
  <c r="H379" i="4"/>
  <c r="G379" i="4"/>
  <c r="T378" i="4"/>
  <c r="S378" i="4"/>
  <c r="R378" i="4"/>
  <c r="Q378" i="4"/>
  <c r="P378" i="4"/>
  <c r="O378" i="4"/>
  <c r="N378" i="4"/>
  <c r="M378" i="4"/>
  <c r="L378" i="4"/>
  <c r="K378" i="4"/>
  <c r="J378" i="4"/>
  <c r="I378" i="4"/>
  <c r="H378" i="4"/>
  <c r="G378" i="4"/>
  <c r="T377" i="4"/>
  <c r="S377" i="4"/>
  <c r="R377" i="4"/>
  <c r="Q377" i="4"/>
  <c r="P377" i="4"/>
  <c r="O377" i="4"/>
  <c r="N377" i="4"/>
  <c r="M377" i="4"/>
  <c r="L377" i="4"/>
  <c r="K377" i="4"/>
  <c r="J377" i="4"/>
  <c r="I377" i="4"/>
  <c r="H377" i="4"/>
  <c r="G377" i="4"/>
  <c r="T376" i="4"/>
  <c r="S376" i="4"/>
  <c r="R376" i="4"/>
  <c r="Q376" i="4"/>
  <c r="P376" i="4"/>
  <c r="O376" i="4"/>
  <c r="N376" i="4"/>
  <c r="M376" i="4"/>
  <c r="L376" i="4"/>
  <c r="K376" i="4"/>
  <c r="J376" i="4"/>
  <c r="I376" i="4"/>
  <c r="H376" i="4"/>
  <c r="G376" i="4"/>
  <c r="T375" i="4"/>
  <c r="S375" i="4"/>
  <c r="R375" i="4"/>
  <c r="Q375" i="4"/>
  <c r="P375" i="4"/>
  <c r="O375" i="4"/>
  <c r="N375" i="4"/>
  <c r="M375" i="4"/>
  <c r="L375" i="4"/>
  <c r="K375" i="4"/>
  <c r="J375" i="4"/>
  <c r="I375" i="4"/>
  <c r="H375" i="4"/>
  <c r="G375" i="4"/>
  <c r="T374" i="4"/>
  <c r="S374" i="4"/>
  <c r="R374" i="4"/>
  <c r="Q374" i="4"/>
  <c r="P374" i="4"/>
  <c r="O374" i="4"/>
  <c r="N374" i="4"/>
  <c r="M374" i="4"/>
  <c r="L374" i="4"/>
  <c r="K374" i="4"/>
  <c r="J374" i="4"/>
  <c r="I374" i="4"/>
  <c r="H374" i="4"/>
  <c r="G374" i="4"/>
  <c r="T373" i="4"/>
  <c r="S373" i="4"/>
  <c r="R373" i="4"/>
  <c r="Q373" i="4"/>
  <c r="P373" i="4"/>
  <c r="O373" i="4"/>
  <c r="N373" i="4"/>
  <c r="M373" i="4"/>
  <c r="L373" i="4"/>
  <c r="K373" i="4"/>
  <c r="J373" i="4"/>
  <c r="I373" i="4"/>
  <c r="H373" i="4"/>
  <c r="G373" i="4"/>
  <c r="T372" i="4"/>
  <c r="S372" i="4"/>
  <c r="R372" i="4"/>
  <c r="Q372" i="4"/>
  <c r="P372" i="4"/>
  <c r="O372" i="4"/>
  <c r="N372" i="4"/>
  <c r="M372" i="4"/>
  <c r="L372" i="4"/>
  <c r="K372" i="4"/>
  <c r="J372" i="4"/>
  <c r="I372" i="4"/>
  <c r="H372" i="4"/>
  <c r="G372" i="4"/>
  <c r="T371" i="4"/>
  <c r="S371" i="4"/>
  <c r="R371" i="4"/>
  <c r="Q371" i="4"/>
  <c r="P371" i="4"/>
  <c r="O371" i="4"/>
  <c r="N371" i="4"/>
  <c r="M371" i="4"/>
  <c r="L371" i="4"/>
  <c r="K371" i="4"/>
  <c r="J371" i="4"/>
  <c r="I371" i="4"/>
  <c r="H371" i="4"/>
  <c r="G371" i="4"/>
  <c r="T370" i="4"/>
  <c r="S370" i="4"/>
  <c r="R370" i="4"/>
  <c r="Q370" i="4"/>
  <c r="P370" i="4"/>
  <c r="O370" i="4"/>
  <c r="N370" i="4"/>
  <c r="M370" i="4"/>
  <c r="L370" i="4"/>
  <c r="K370" i="4"/>
  <c r="J370" i="4"/>
  <c r="I370" i="4"/>
  <c r="H370" i="4"/>
  <c r="G370" i="4"/>
  <c r="U369" i="4"/>
  <c r="T369" i="4"/>
  <c r="S369" i="4"/>
  <c r="R369" i="4"/>
  <c r="Q369" i="4"/>
  <c r="P369" i="4"/>
  <c r="O369" i="4"/>
  <c r="N369" i="4"/>
  <c r="M369" i="4"/>
  <c r="L369" i="4"/>
  <c r="K369" i="4"/>
  <c r="J369" i="4"/>
  <c r="I369" i="4"/>
  <c r="H369" i="4"/>
  <c r="G369" i="4"/>
  <c r="T368" i="4"/>
  <c r="S368" i="4"/>
  <c r="R368" i="4"/>
  <c r="Q368" i="4"/>
  <c r="P368" i="4"/>
  <c r="O368" i="4"/>
  <c r="N368" i="4"/>
  <c r="M368" i="4"/>
  <c r="L368" i="4"/>
  <c r="K368" i="4"/>
  <c r="J368" i="4"/>
  <c r="I368" i="4"/>
  <c r="H368" i="4"/>
  <c r="G368" i="4"/>
  <c r="T367" i="4"/>
  <c r="S367" i="4"/>
  <c r="R367" i="4"/>
  <c r="Q367" i="4"/>
  <c r="P367" i="4"/>
  <c r="O367" i="4"/>
  <c r="N367" i="4"/>
  <c r="M367" i="4"/>
  <c r="L367" i="4"/>
  <c r="K367" i="4"/>
  <c r="J367" i="4"/>
  <c r="I367" i="4"/>
  <c r="H367" i="4"/>
  <c r="G367" i="4"/>
  <c r="T366" i="4"/>
  <c r="S366" i="4"/>
  <c r="R366" i="4"/>
  <c r="Q366" i="4"/>
  <c r="P366" i="4"/>
  <c r="O366" i="4"/>
  <c r="N366" i="4"/>
  <c r="M366" i="4"/>
  <c r="L366" i="4"/>
  <c r="K366" i="4"/>
  <c r="J366" i="4"/>
  <c r="I366" i="4"/>
  <c r="H366" i="4"/>
  <c r="G366" i="4"/>
  <c r="T365" i="4"/>
  <c r="S365" i="4"/>
  <c r="R365" i="4"/>
  <c r="Q365" i="4"/>
  <c r="P365" i="4"/>
  <c r="O365" i="4"/>
  <c r="N365" i="4"/>
  <c r="M365" i="4"/>
  <c r="L365" i="4"/>
  <c r="K365" i="4"/>
  <c r="J365" i="4"/>
  <c r="I365" i="4"/>
  <c r="H365" i="4"/>
  <c r="G365" i="4"/>
  <c r="T364" i="4"/>
  <c r="S364" i="4"/>
  <c r="R364" i="4"/>
  <c r="Q364" i="4"/>
  <c r="P364" i="4"/>
  <c r="O364" i="4"/>
  <c r="N364" i="4"/>
  <c r="M364" i="4"/>
  <c r="L364" i="4"/>
  <c r="K364" i="4"/>
  <c r="J364" i="4"/>
  <c r="I364" i="4"/>
  <c r="H364" i="4"/>
  <c r="G364" i="4"/>
  <c r="T363" i="4"/>
  <c r="S363" i="4"/>
  <c r="R363" i="4"/>
  <c r="Q363" i="4"/>
  <c r="P363" i="4"/>
  <c r="O363" i="4"/>
  <c r="N363" i="4"/>
  <c r="M363" i="4"/>
  <c r="L363" i="4"/>
  <c r="K363" i="4"/>
  <c r="J363" i="4"/>
  <c r="I363" i="4"/>
  <c r="H363" i="4"/>
  <c r="G363" i="4"/>
  <c r="T362" i="4"/>
  <c r="S362" i="4"/>
  <c r="R362" i="4"/>
  <c r="Q362" i="4"/>
  <c r="P362" i="4"/>
  <c r="O362" i="4"/>
  <c r="N362" i="4"/>
  <c r="M362" i="4"/>
  <c r="L362" i="4"/>
  <c r="K362" i="4"/>
  <c r="J362" i="4"/>
  <c r="I362" i="4"/>
  <c r="H362" i="4"/>
  <c r="G362" i="4"/>
  <c r="T361" i="4"/>
  <c r="S361" i="4"/>
  <c r="R361" i="4"/>
  <c r="Q361" i="4"/>
  <c r="P361" i="4"/>
  <c r="O361" i="4"/>
  <c r="N361" i="4"/>
  <c r="M361" i="4"/>
  <c r="L361" i="4"/>
  <c r="K361" i="4"/>
  <c r="J361" i="4"/>
  <c r="I361" i="4"/>
  <c r="H361" i="4"/>
  <c r="G361" i="4"/>
  <c r="T360" i="4"/>
  <c r="S360" i="4"/>
  <c r="R360" i="4"/>
  <c r="Q360" i="4"/>
  <c r="P360" i="4"/>
  <c r="O360" i="4"/>
  <c r="N360" i="4"/>
  <c r="M360" i="4"/>
  <c r="L360" i="4"/>
  <c r="K360" i="4"/>
  <c r="J360" i="4"/>
  <c r="I360" i="4"/>
  <c r="H360" i="4"/>
  <c r="G360" i="4"/>
  <c r="T359" i="4"/>
  <c r="S359" i="4"/>
  <c r="R359" i="4"/>
  <c r="Q359" i="4"/>
  <c r="P359" i="4"/>
  <c r="O359" i="4"/>
  <c r="N359" i="4"/>
  <c r="M359" i="4"/>
  <c r="L359" i="4"/>
  <c r="K359" i="4"/>
  <c r="J359" i="4"/>
  <c r="I359" i="4"/>
  <c r="H359" i="4"/>
  <c r="G359" i="4"/>
  <c r="T358" i="4"/>
  <c r="S358" i="4"/>
  <c r="R358" i="4"/>
  <c r="Q358" i="4"/>
  <c r="P358" i="4"/>
  <c r="O358" i="4"/>
  <c r="N358" i="4"/>
  <c r="M358" i="4"/>
  <c r="L358" i="4"/>
  <c r="K358" i="4"/>
  <c r="J358" i="4"/>
  <c r="I358" i="4"/>
  <c r="H358" i="4"/>
  <c r="G358" i="4"/>
  <c r="T357" i="4"/>
  <c r="S357" i="4"/>
  <c r="R357" i="4"/>
  <c r="Q357" i="4"/>
  <c r="P357" i="4"/>
  <c r="O357" i="4"/>
  <c r="N357" i="4"/>
  <c r="M357" i="4"/>
  <c r="L357" i="4"/>
  <c r="K357" i="4"/>
  <c r="J357" i="4"/>
  <c r="I357" i="4"/>
  <c r="H357" i="4"/>
  <c r="G357" i="4"/>
  <c r="T356" i="4"/>
  <c r="S356" i="4"/>
  <c r="R356" i="4"/>
  <c r="Q356" i="4"/>
  <c r="P356" i="4"/>
  <c r="O356" i="4"/>
  <c r="N356" i="4"/>
  <c r="M356" i="4"/>
  <c r="L356" i="4"/>
  <c r="K356" i="4"/>
  <c r="J356" i="4"/>
  <c r="I356" i="4"/>
  <c r="H356" i="4"/>
  <c r="G356" i="4"/>
  <c r="T355" i="4"/>
  <c r="S355" i="4"/>
  <c r="R355" i="4"/>
  <c r="Q355" i="4"/>
  <c r="P355" i="4"/>
  <c r="O355" i="4"/>
  <c r="N355" i="4"/>
  <c r="M355" i="4"/>
  <c r="L355" i="4"/>
  <c r="K355" i="4"/>
  <c r="J355" i="4"/>
  <c r="I355" i="4"/>
  <c r="H355" i="4"/>
  <c r="G355" i="4"/>
  <c r="T354" i="4"/>
  <c r="S354" i="4"/>
  <c r="R354" i="4"/>
  <c r="Q354" i="4"/>
  <c r="P354" i="4"/>
  <c r="O354" i="4"/>
  <c r="N354" i="4"/>
  <c r="M354" i="4"/>
  <c r="L354" i="4"/>
  <c r="K354" i="4"/>
  <c r="J354" i="4"/>
  <c r="I354" i="4"/>
  <c r="H354" i="4"/>
  <c r="G354" i="4"/>
  <c r="T353" i="4"/>
  <c r="S353" i="4"/>
  <c r="R353" i="4"/>
  <c r="Q353" i="4"/>
  <c r="P353" i="4"/>
  <c r="O353" i="4"/>
  <c r="N353" i="4"/>
  <c r="M353" i="4"/>
  <c r="L353" i="4"/>
  <c r="K353" i="4"/>
  <c r="J353" i="4"/>
  <c r="I353" i="4"/>
  <c r="H353" i="4"/>
  <c r="G353" i="4"/>
  <c r="T352" i="4"/>
  <c r="S352" i="4"/>
  <c r="R352" i="4"/>
  <c r="Q352" i="4"/>
  <c r="P352" i="4"/>
  <c r="O352" i="4"/>
  <c r="N352" i="4"/>
  <c r="M352" i="4"/>
  <c r="L352" i="4"/>
  <c r="K352" i="4"/>
  <c r="J352" i="4"/>
  <c r="I352" i="4"/>
  <c r="H352" i="4"/>
  <c r="G352" i="4"/>
  <c r="T351" i="4"/>
  <c r="S351" i="4"/>
  <c r="R351" i="4"/>
  <c r="Q351" i="4"/>
  <c r="P351" i="4"/>
  <c r="O351" i="4"/>
  <c r="N351" i="4"/>
  <c r="M351" i="4"/>
  <c r="L351" i="4"/>
  <c r="K351" i="4"/>
  <c r="J351" i="4"/>
  <c r="I351" i="4"/>
  <c r="H351" i="4"/>
  <c r="G351" i="4"/>
  <c r="T350" i="4"/>
  <c r="S350" i="4"/>
  <c r="R350" i="4"/>
  <c r="Q350" i="4"/>
  <c r="P350" i="4"/>
  <c r="O350" i="4"/>
  <c r="N350" i="4"/>
  <c r="M350" i="4"/>
  <c r="L350" i="4"/>
  <c r="K350" i="4"/>
  <c r="J350" i="4"/>
  <c r="I350" i="4"/>
  <c r="H350" i="4"/>
  <c r="G350" i="4"/>
  <c r="T349" i="4"/>
  <c r="S349" i="4"/>
  <c r="R349" i="4"/>
  <c r="Q349" i="4"/>
  <c r="P349" i="4"/>
  <c r="O349" i="4"/>
  <c r="N349" i="4"/>
  <c r="M349" i="4"/>
  <c r="L349" i="4"/>
  <c r="K349" i="4"/>
  <c r="J349" i="4"/>
  <c r="I349" i="4"/>
  <c r="H349" i="4"/>
  <c r="G349" i="4"/>
  <c r="T348" i="4"/>
  <c r="S348" i="4"/>
  <c r="R348" i="4"/>
  <c r="Q348" i="4"/>
  <c r="P348" i="4"/>
  <c r="O348" i="4"/>
  <c r="N348" i="4"/>
  <c r="M348" i="4"/>
  <c r="L348" i="4"/>
  <c r="K348" i="4"/>
  <c r="J348" i="4"/>
  <c r="I348" i="4"/>
  <c r="H348" i="4"/>
  <c r="G348" i="4"/>
  <c r="T347" i="4"/>
  <c r="S347" i="4"/>
  <c r="R347" i="4"/>
  <c r="Q347" i="4"/>
  <c r="P347" i="4"/>
  <c r="O347" i="4"/>
  <c r="N347" i="4"/>
  <c r="M347" i="4"/>
  <c r="L347" i="4"/>
  <c r="K347" i="4"/>
  <c r="J347" i="4"/>
  <c r="I347" i="4"/>
  <c r="H347" i="4"/>
  <c r="G347" i="4"/>
  <c r="T346" i="4"/>
  <c r="S346" i="4"/>
  <c r="R346" i="4"/>
  <c r="Q346" i="4"/>
  <c r="P346" i="4"/>
  <c r="O346" i="4"/>
  <c r="N346" i="4"/>
  <c r="M346" i="4"/>
  <c r="L346" i="4"/>
  <c r="K346" i="4"/>
  <c r="J346" i="4"/>
  <c r="I346" i="4"/>
  <c r="H346" i="4"/>
  <c r="G346" i="4"/>
  <c r="T345" i="4"/>
  <c r="S345" i="4"/>
  <c r="R345" i="4"/>
  <c r="Q345" i="4"/>
  <c r="P345" i="4"/>
  <c r="O345" i="4"/>
  <c r="N345" i="4"/>
  <c r="M345" i="4"/>
  <c r="L345" i="4"/>
  <c r="K345" i="4"/>
  <c r="J345" i="4"/>
  <c r="I345" i="4"/>
  <c r="H345" i="4"/>
  <c r="G345" i="4"/>
  <c r="T344" i="4"/>
  <c r="S344" i="4"/>
  <c r="R344" i="4"/>
  <c r="Q344" i="4"/>
  <c r="P344" i="4"/>
  <c r="O344" i="4"/>
  <c r="N344" i="4"/>
  <c r="M344" i="4"/>
  <c r="L344" i="4"/>
  <c r="K344" i="4"/>
  <c r="J344" i="4"/>
  <c r="I344" i="4"/>
  <c r="H344" i="4"/>
  <c r="G344" i="4"/>
  <c r="T343" i="4"/>
  <c r="S343" i="4"/>
  <c r="R343" i="4"/>
  <c r="Q343" i="4"/>
  <c r="P343" i="4"/>
  <c r="O343" i="4"/>
  <c r="N343" i="4"/>
  <c r="M343" i="4"/>
  <c r="L343" i="4"/>
  <c r="K343" i="4"/>
  <c r="J343" i="4"/>
  <c r="I343" i="4"/>
  <c r="H343" i="4"/>
  <c r="G343" i="4"/>
  <c r="T342" i="4"/>
  <c r="S342" i="4"/>
  <c r="R342" i="4"/>
  <c r="Q342" i="4"/>
  <c r="P342" i="4"/>
  <c r="O342" i="4"/>
  <c r="N342" i="4"/>
  <c r="M342" i="4"/>
  <c r="L342" i="4"/>
  <c r="K342" i="4"/>
  <c r="J342" i="4"/>
  <c r="I342" i="4"/>
  <c r="H342" i="4"/>
  <c r="G342" i="4"/>
  <c r="T341" i="4"/>
  <c r="S341" i="4"/>
  <c r="R341" i="4"/>
  <c r="Q341" i="4"/>
  <c r="P341" i="4"/>
  <c r="O341" i="4"/>
  <c r="N341" i="4"/>
  <c r="M341" i="4"/>
  <c r="L341" i="4"/>
  <c r="K341" i="4"/>
  <c r="J341" i="4"/>
  <c r="I341" i="4"/>
  <c r="H341" i="4"/>
  <c r="G341" i="4"/>
  <c r="T340" i="4"/>
  <c r="S340" i="4"/>
  <c r="R340" i="4"/>
  <c r="Q340" i="4"/>
  <c r="P340" i="4"/>
  <c r="O340" i="4"/>
  <c r="N340" i="4"/>
  <c r="M340" i="4"/>
  <c r="L340" i="4"/>
  <c r="K340" i="4"/>
  <c r="J340" i="4"/>
  <c r="I340" i="4"/>
  <c r="H340" i="4"/>
  <c r="G340" i="4"/>
  <c r="T339" i="4"/>
  <c r="S339" i="4"/>
  <c r="R339" i="4"/>
  <c r="Q339" i="4"/>
  <c r="P339" i="4"/>
  <c r="O339" i="4"/>
  <c r="N339" i="4"/>
  <c r="M339" i="4"/>
  <c r="L339" i="4"/>
  <c r="K339" i="4"/>
  <c r="J339" i="4"/>
  <c r="I339" i="4"/>
  <c r="H339" i="4"/>
  <c r="G339" i="4"/>
  <c r="T338" i="4"/>
  <c r="S338" i="4"/>
  <c r="R338" i="4"/>
  <c r="Q338" i="4"/>
  <c r="P338" i="4"/>
  <c r="O338" i="4"/>
  <c r="N338" i="4"/>
  <c r="M338" i="4"/>
  <c r="L338" i="4"/>
  <c r="K338" i="4"/>
  <c r="J338" i="4"/>
  <c r="I338" i="4"/>
  <c r="H338" i="4"/>
  <c r="G338" i="4"/>
  <c r="T337" i="4"/>
  <c r="S337" i="4"/>
  <c r="R337" i="4"/>
  <c r="Q337" i="4"/>
  <c r="P337" i="4"/>
  <c r="O337" i="4"/>
  <c r="N337" i="4"/>
  <c r="M337" i="4"/>
  <c r="L337" i="4"/>
  <c r="K337" i="4"/>
  <c r="J337" i="4"/>
  <c r="I337" i="4"/>
  <c r="H337" i="4"/>
  <c r="G337" i="4"/>
  <c r="T336" i="4"/>
  <c r="S336" i="4"/>
  <c r="R336" i="4"/>
  <c r="Q336" i="4"/>
  <c r="P336" i="4"/>
  <c r="O336" i="4"/>
  <c r="N336" i="4"/>
  <c r="M336" i="4"/>
  <c r="L336" i="4"/>
  <c r="K336" i="4"/>
  <c r="J336" i="4"/>
  <c r="I336" i="4"/>
  <c r="H336" i="4"/>
  <c r="G336" i="4"/>
  <c r="T335" i="4"/>
  <c r="S335" i="4"/>
  <c r="R335" i="4"/>
  <c r="Q335" i="4"/>
  <c r="P335" i="4"/>
  <c r="O335" i="4"/>
  <c r="N335" i="4"/>
  <c r="M335" i="4"/>
  <c r="L335" i="4"/>
  <c r="K335" i="4"/>
  <c r="J335" i="4"/>
  <c r="I335" i="4"/>
  <c r="H335" i="4"/>
  <c r="G335" i="4"/>
  <c r="T334" i="4"/>
  <c r="S334" i="4"/>
  <c r="R334" i="4"/>
  <c r="Q334" i="4"/>
  <c r="P334" i="4"/>
  <c r="O334" i="4"/>
  <c r="N334" i="4"/>
  <c r="M334" i="4"/>
  <c r="L334" i="4"/>
  <c r="K334" i="4"/>
  <c r="J334" i="4"/>
  <c r="I334" i="4"/>
  <c r="H334" i="4"/>
  <c r="G334" i="4"/>
  <c r="T333" i="4"/>
  <c r="S333" i="4"/>
  <c r="R333" i="4"/>
  <c r="Q333" i="4"/>
  <c r="P333" i="4"/>
  <c r="O333" i="4"/>
  <c r="N333" i="4"/>
  <c r="M333" i="4"/>
  <c r="L333" i="4"/>
  <c r="K333" i="4"/>
  <c r="J333" i="4"/>
  <c r="I333" i="4"/>
  <c r="H333" i="4"/>
  <c r="G333" i="4"/>
  <c r="T332" i="4"/>
  <c r="S332" i="4"/>
  <c r="R332" i="4"/>
  <c r="Q332" i="4"/>
  <c r="P332" i="4"/>
  <c r="O332" i="4"/>
  <c r="N332" i="4"/>
  <c r="M332" i="4"/>
  <c r="L332" i="4"/>
  <c r="K332" i="4"/>
  <c r="J332" i="4"/>
  <c r="I332" i="4"/>
  <c r="H332" i="4"/>
  <c r="G332" i="4"/>
  <c r="T331" i="4"/>
  <c r="S331" i="4"/>
  <c r="R331" i="4"/>
  <c r="Q331" i="4"/>
  <c r="P331" i="4"/>
  <c r="O331" i="4"/>
  <c r="N331" i="4"/>
  <c r="M331" i="4"/>
  <c r="L331" i="4"/>
  <c r="K331" i="4"/>
  <c r="J331" i="4"/>
  <c r="I331" i="4"/>
  <c r="H331" i="4"/>
  <c r="G331" i="4"/>
  <c r="T330" i="4"/>
  <c r="S330" i="4"/>
  <c r="R330" i="4"/>
  <c r="Q330" i="4"/>
  <c r="P330" i="4"/>
  <c r="O330" i="4"/>
  <c r="N330" i="4"/>
  <c r="M330" i="4"/>
  <c r="L330" i="4"/>
  <c r="K330" i="4"/>
  <c r="J330" i="4"/>
  <c r="I330" i="4"/>
  <c r="H330" i="4"/>
  <c r="G330" i="4"/>
  <c r="T329" i="4"/>
  <c r="S329" i="4"/>
  <c r="R329" i="4"/>
  <c r="Q329" i="4"/>
  <c r="P329" i="4"/>
  <c r="O329" i="4"/>
  <c r="N329" i="4"/>
  <c r="M329" i="4"/>
  <c r="L329" i="4"/>
  <c r="K329" i="4"/>
  <c r="J329" i="4"/>
  <c r="I329" i="4"/>
  <c r="H329" i="4"/>
  <c r="G329" i="4"/>
  <c r="T328" i="4"/>
  <c r="S328" i="4"/>
  <c r="R328" i="4"/>
  <c r="Q328" i="4"/>
  <c r="P328" i="4"/>
  <c r="O328" i="4"/>
  <c r="N328" i="4"/>
  <c r="M328" i="4"/>
  <c r="L328" i="4"/>
  <c r="K328" i="4"/>
  <c r="J328" i="4"/>
  <c r="I328" i="4"/>
  <c r="H328" i="4"/>
  <c r="G328" i="4"/>
  <c r="T327" i="4"/>
  <c r="S327" i="4"/>
  <c r="R327" i="4"/>
  <c r="Q327" i="4"/>
  <c r="P327" i="4"/>
  <c r="O327" i="4"/>
  <c r="N327" i="4"/>
  <c r="M327" i="4"/>
  <c r="L327" i="4"/>
  <c r="K327" i="4"/>
  <c r="J327" i="4"/>
  <c r="I327" i="4"/>
  <c r="H327" i="4"/>
  <c r="G327" i="4"/>
  <c r="T326" i="4"/>
  <c r="S326" i="4"/>
  <c r="R326" i="4"/>
  <c r="Q326" i="4"/>
  <c r="P326" i="4"/>
  <c r="O326" i="4"/>
  <c r="N326" i="4"/>
  <c r="M326" i="4"/>
  <c r="L326" i="4"/>
  <c r="K326" i="4"/>
  <c r="J326" i="4"/>
  <c r="I326" i="4"/>
  <c r="H326" i="4"/>
  <c r="G326" i="4"/>
  <c r="T325" i="4"/>
  <c r="S325" i="4"/>
  <c r="R325" i="4"/>
  <c r="Q325" i="4"/>
  <c r="P325" i="4"/>
  <c r="O325" i="4"/>
  <c r="N325" i="4"/>
  <c r="M325" i="4"/>
  <c r="L325" i="4"/>
  <c r="K325" i="4"/>
  <c r="J325" i="4"/>
  <c r="I325" i="4"/>
  <c r="H325" i="4"/>
  <c r="G325" i="4"/>
  <c r="T324" i="4"/>
  <c r="S324" i="4"/>
  <c r="R324" i="4"/>
  <c r="Q324" i="4"/>
  <c r="P324" i="4"/>
  <c r="O324" i="4"/>
  <c r="N324" i="4"/>
  <c r="M324" i="4"/>
  <c r="L324" i="4"/>
  <c r="K324" i="4"/>
  <c r="J324" i="4"/>
  <c r="I324" i="4"/>
  <c r="H324" i="4"/>
  <c r="G324" i="4"/>
  <c r="T323" i="4"/>
  <c r="S323" i="4"/>
  <c r="R323" i="4"/>
  <c r="Q323" i="4"/>
  <c r="P323" i="4"/>
  <c r="O323" i="4"/>
  <c r="N323" i="4"/>
  <c r="M323" i="4"/>
  <c r="L323" i="4"/>
  <c r="K323" i="4"/>
  <c r="J323" i="4"/>
  <c r="I323" i="4"/>
  <c r="H323" i="4"/>
  <c r="G323" i="4"/>
  <c r="T322" i="4"/>
  <c r="S322" i="4"/>
  <c r="R322" i="4"/>
  <c r="Q322" i="4"/>
  <c r="P322" i="4"/>
  <c r="O322" i="4"/>
  <c r="N322" i="4"/>
  <c r="M322" i="4"/>
  <c r="L322" i="4"/>
  <c r="K322" i="4"/>
  <c r="J322" i="4"/>
  <c r="I322" i="4"/>
  <c r="H322" i="4"/>
  <c r="G322" i="4"/>
  <c r="T321" i="4"/>
  <c r="S321" i="4"/>
  <c r="R321" i="4"/>
  <c r="Q321" i="4"/>
  <c r="P321" i="4"/>
  <c r="O321" i="4"/>
  <c r="N321" i="4"/>
  <c r="M321" i="4"/>
  <c r="L321" i="4"/>
  <c r="K321" i="4"/>
  <c r="J321" i="4"/>
  <c r="I321" i="4"/>
  <c r="H321" i="4"/>
  <c r="G321" i="4"/>
  <c r="T320" i="4"/>
  <c r="S320" i="4"/>
  <c r="R320" i="4"/>
  <c r="Q320" i="4"/>
  <c r="P320" i="4"/>
  <c r="O320" i="4"/>
  <c r="N320" i="4"/>
  <c r="M320" i="4"/>
  <c r="L320" i="4"/>
  <c r="K320" i="4"/>
  <c r="J320" i="4"/>
  <c r="I320" i="4"/>
  <c r="H320" i="4"/>
  <c r="G320" i="4"/>
  <c r="T319" i="4"/>
  <c r="S319" i="4"/>
  <c r="R319" i="4"/>
  <c r="Q319" i="4"/>
  <c r="P319" i="4"/>
  <c r="O319" i="4"/>
  <c r="N319" i="4"/>
  <c r="M319" i="4"/>
  <c r="L319" i="4"/>
  <c r="K319" i="4"/>
  <c r="J319" i="4"/>
  <c r="I319" i="4"/>
  <c r="H319" i="4"/>
  <c r="G319" i="4"/>
  <c r="T318" i="4"/>
  <c r="S318" i="4"/>
  <c r="R318" i="4"/>
  <c r="Q318" i="4"/>
  <c r="P318" i="4"/>
  <c r="O318" i="4"/>
  <c r="N318" i="4"/>
  <c r="M318" i="4"/>
  <c r="L318" i="4"/>
  <c r="K318" i="4"/>
  <c r="J318" i="4"/>
  <c r="I318" i="4"/>
  <c r="H318" i="4"/>
  <c r="G318" i="4"/>
  <c r="T317" i="4"/>
  <c r="S317" i="4"/>
  <c r="R317" i="4"/>
  <c r="Q317" i="4"/>
  <c r="P317" i="4"/>
  <c r="O317" i="4"/>
  <c r="N317" i="4"/>
  <c r="M317" i="4"/>
  <c r="L317" i="4"/>
  <c r="K317" i="4"/>
  <c r="J317" i="4"/>
  <c r="I317" i="4"/>
  <c r="H317" i="4"/>
  <c r="G317" i="4"/>
  <c r="T316" i="4"/>
  <c r="S316" i="4"/>
  <c r="R316" i="4"/>
  <c r="Q316" i="4"/>
  <c r="P316" i="4"/>
  <c r="O316" i="4"/>
  <c r="N316" i="4"/>
  <c r="M316" i="4"/>
  <c r="L316" i="4"/>
  <c r="K316" i="4"/>
  <c r="J316" i="4"/>
  <c r="I316" i="4"/>
  <c r="H316" i="4"/>
  <c r="G316" i="4"/>
  <c r="T315" i="4"/>
  <c r="S315" i="4"/>
  <c r="R315" i="4"/>
  <c r="Q315" i="4"/>
  <c r="P315" i="4"/>
  <c r="O315" i="4"/>
  <c r="N315" i="4"/>
  <c r="M315" i="4"/>
  <c r="L315" i="4"/>
  <c r="K315" i="4"/>
  <c r="J315" i="4"/>
  <c r="I315" i="4"/>
  <c r="H315" i="4"/>
  <c r="G315" i="4"/>
  <c r="T314" i="4"/>
  <c r="S314" i="4"/>
  <c r="R314" i="4"/>
  <c r="Q314" i="4"/>
  <c r="P314" i="4"/>
  <c r="O314" i="4"/>
  <c r="N314" i="4"/>
  <c r="M314" i="4"/>
  <c r="L314" i="4"/>
  <c r="K314" i="4"/>
  <c r="J314" i="4"/>
  <c r="I314" i="4"/>
  <c r="H314" i="4"/>
  <c r="G314" i="4"/>
  <c r="T313" i="4"/>
  <c r="S313" i="4"/>
  <c r="R313" i="4"/>
  <c r="Q313" i="4"/>
  <c r="P313" i="4"/>
  <c r="O313" i="4"/>
  <c r="N313" i="4"/>
  <c r="M313" i="4"/>
  <c r="L313" i="4"/>
  <c r="K313" i="4"/>
  <c r="J313" i="4"/>
  <c r="I313" i="4"/>
  <c r="H313" i="4"/>
  <c r="G313" i="4"/>
  <c r="T312" i="4"/>
  <c r="S312" i="4"/>
  <c r="R312" i="4"/>
  <c r="Q312" i="4"/>
  <c r="P312" i="4"/>
  <c r="O312" i="4"/>
  <c r="N312" i="4"/>
  <c r="M312" i="4"/>
  <c r="L312" i="4"/>
  <c r="K312" i="4"/>
  <c r="J312" i="4"/>
  <c r="I312" i="4"/>
  <c r="H312" i="4"/>
  <c r="G312" i="4"/>
  <c r="T311" i="4"/>
  <c r="S311" i="4"/>
  <c r="R311" i="4"/>
  <c r="Q311" i="4"/>
  <c r="P311" i="4"/>
  <c r="O311" i="4"/>
  <c r="N311" i="4"/>
  <c r="M311" i="4"/>
  <c r="L311" i="4"/>
  <c r="K311" i="4"/>
  <c r="J311" i="4"/>
  <c r="I311" i="4"/>
  <c r="H311" i="4"/>
  <c r="G311" i="4"/>
  <c r="T310" i="4"/>
  <c r="S310" i="4"/>
  <c r="R310" i="4"/>
  <c r="Q310" i="4"/>
  <c r="P310" i="4"/>
  <c r="O310" i="4"/>
  <c r="N310" i="4"/>
  <c r="M310" i="4"/>
  <c r="L310" i="4"/>
  <c r="K310" i="4"/>
  <c r="J310" i="4"/>
  <c r="I310" i="4"/>
  <c r="H310" i="4"/>
  <c r="G310" i="4"/>
  <c r="T309" i="4"/>
  <c r="S309" i="4"/>
  <c r="R309" i="4"/>
  <c r="Q309" i="4"/>
  <c r="P309" i="4"/>
  <c r="O309" i="4"/>
  <c r="N309" i="4"/>
  <c r="M309" i="4"/>
  <c r="L309" i="4"/>
  <c r="K309" i="4"/>
  <c r="J309" i="4"/>
  <c r="I309" i="4"/>
  <c r="H309" i="4"/>
  <c r="G309" i="4"/>
  <c r="T308" i="4"/>
  <c r="S308" i="4"/>
  <c r="R308" i="4"/>
  <c r="Q308" i="4"/>
  <c r="P308" i="4"/>
  <c r="O308" i="4"/>
  <c r="N308" i="4"/>
  <c r="M308" i="4"/>
  <c r="L308" i="4"/>
  <c r="K308" i="4"/>
  <c r="J308" i="4"/>
  <c r="I308" i="4"/>
  <c r="H308" i="4"/>
  <c r="G308" i="4"/>
  <c r="T307" i="4"/>
  <c r="S307" i="4"/>
  <c r="R307" i="4"/>
  <c r="Q307" i="4"/>
  <c r="P307" i="4"/>
  <c r="O307" i="4"/>
  <c r="N307" i="4"/>
  <c r="M307" i="4"/>
  <c r="L307" i="4"/>
  <c r="K307" i="4"/>
  <c r="J307" i="4"/>
  <c r="I307" i="4"/>
  <c r="H307" i="4"/>
  <c r="G307" i="4"/>
  <c r="T306" i="4"/>
  <c r="S306" i="4"/>
  <c r="R306" i="4"/>
  <c r="Q306" i="4"/>
  <c r="P306" i="4"/>
  <c r="O306" i="4"/>
  <c r="N306" i="4"/>
  <c r="M306" i="4"/>
  <c r="L306" i="4"/>
  <c r="K306" i="4"/>
  <c r="J306" i="4"/>
  <c r="I306" i="4"/>
  <c r="H306" i="4"/>
  <c r="G306" i="4"/>
  <c r="T305" i="4"/>
  <c r="S305" i="4"/>
  <c r="R305" i="4"/>
  <c r="Q305" i="4"/>
  <c r="P305" i="4"/>
  <c r="O305" i="4"/>
  <c r="N305" i="4"/>
  <c r="M305" i="4"/>
  <c r="L305" i="4"/>
  <c r="K305" i="4"/>
  <c r="J305" i="4"/>
  <c r="I305" i="4"/>
  <c r="H305" i="4"/>
  <c r="G305" i="4"/>
  <c r="T304" i="4"/>
  <c r="S304" i="4"/>
  <c r="R304" i="4"/>
  <c r="Q304" i="4"/>
  <c r="P304" i="4"/>
  <c r="O304" i="4"/>
  <c r="N304" i="4"/>
  <c r="M304" i="4"/>
  <c r="L304" i="4"/>
  <c r="K304" i="4"/>
  <c r="J304" i="4"/>
  <c r="I304" i="4"/>
  <c r="H304" i="4"/>
  <c r="G304" i="4"/>
  <c r="T303" i="4"/>
  <c r="S303" i="4"/>
  <c r="R303" i="4"/>
  <c r="Q303" i="4"/>
  <c r="P303" i="4"/>
  <c r="O303" i="4"/>
  <c r="N303" i="4"/>
  <c r="M303" i="4"/>
  <c r="L303" i="4"/>
  <c r="K303" i="4"/>
  <c r="J303" i="4"/>
  <c r="I303" i="4"/>
  <c r="H303" i="4"/>
  <c r="G303" i="4"/>
  <c r="T302" i="4"/>
  <c r="S302" i="4"/>
  <c r="R302" i="4"/>
  <c r="Q302" i="4"/>
  <c r="P302" i="4"/>
  <c r="O302" i="4"/>
  <c r="N302" i="4"/>
  <c r="M302" i="4"/>
  <c r="L302" i="4"/>
  <c r="K302" i="4"/>
  <c r="J302" i="4"/>
  <c r="I302" i="4"/>
  <c r="H302" i="4"/>
  <c r="G302" i="4"/>
  <c r="T301" i="4"/>
  <c r="S301" i="4"/>
  <c r="R301" i="4"/>
  <c r="Q301" i="4"/>
  <c r="P301" i="4"/>
  <c r="O301" i="4"/>
  <c r="N301" i="4"/>
  <c r="M301" i="4"/>
  <c r="L301" i="4"/>
  <c r="K301" i="4"/>
  <c r="J301" i="4"/>
  <c r="I301" i="4"/>
  <c r="H301" i="4"/>
  <c r="G301" i="4"/>
  <c r="T300" i="4"/>
  <c r="S300" i="4"/>
  <c r="R300" i="4"/>
  <c r="Q300" i="4"/>
  <c r="P300" i="4"/>
  <c r="O300" i="4"/>
  <c r="N300" i="4"/>
  <c r="M300" i="4"/>
  <c r="L300" i="4"/>
  <c r="K300" i="4"/>
  <c r="J300" i="4"/>
  <c r="I300" i="4"/>
  <c r="H300" i="4"/>
  <c r="G300" i="4"/>
  <c r="T299" i="4"/>
  <c r="S299" i="4"/>
  <c r="R299" i="4"/>
  <c r="Q299" i="4"/>
  <c r="P299" i="4"/>
  <c r="O299" i="4"/>
  <c r="N299" i="4"/>
  <c r="M299" i="4"/>
  <c r="L299" i="4"/>
  <c r="K299" i="4"/>
  <c r="J299" i="4"/>
  <c r="I299" i="4"/>
  <c r="H299" i="4"/>
  <c r="G299" i="4"/>
  <c r="T298" i="4"/>
  <c r="S298" i="4"/>
  <c r="R298" i="4"/>
  <c r="Q298" i="4"/>
  <c r="P298" i="4"/>
  <c r="O298" i="4"/>
  <c r="N298" i="4"/>
  <c r="M298" i="4"/>
  <c r="L298" i="4"/>
  <c r="K298" i="4"/>
  <c r="J298" i="4"/>
  <c r="I298" i="4"/>
  <c r="H298" i="4"/>
  <c r="G298" i="4"/>
  <c r="T297" i="4"/>
  <c r="S297" i="4"/>
  <c r="R297" i="4"/>
  <c r="Q297" i="4"/>
  <c r="P297" i="4"/>
  <c r="O297" i="4"/>
  <c r="N297" i="4"/>
  <c r="M297" i="4"/>
  <c r="L297" i="4"/>
  <c r="K297" i="4"/>
  <c r="J297" i="4"/>
  <c r="I297" i="4"/>
  <c r="H297" i="4"/>
  <c r="G297" i="4"/>
  <c r="T296" i="4"/>
  <c r="S296" i="4"/>
  <c r="R296" i="4"/>
  <c r="Q296" i="4"/>
  <c r="P296" i="4"/>
  <c r="O296" i="4"/>
  <c r="N296" i="4"/>
  <c r="M296" i="4"/>
  <c r="L296" i="4"/>
  <c r="K296" i="4"/>
  <c r="J296" i="4"/>
  <c r="I296" i="4"/>
  <c r="H296" i="4"/>
  <c r="G296" i="4"/>
  <c r="T295" i="4"/>
  <c r="S295" i="4"/>
  <c r="R295" i="4"/>
  <c r="Q295" i="4"/>
  <c r="P295" i="4"/>
  <c r="O295" i="4"/>
  <c r="N295" i="4"/>
  <c r="M295" i="4"/>
  <c r="L295" i="4"/>
  <c r="K295" i="4"/>
  <c r="J295" i="4"/>
  <c r="I295" i="4"/>
  <c r="H295" i="4"/>
  <c r="G295" i="4"/>
  <c r="T294" i="4"/>
  <c r="S294" i="4"/>
  <c r="R294" i="4"/>
  <c r="Q294" i="4"/>
  <c r="P294" i="4"/>
  <c r="O294" i="4"/>
  <c r="N294" i="4"/>
  <c r="M294" i="4"/>
  <c r="L294" i="4"/>
  <c r="K294" i="4"/>
  <c r="J294" i="4"/>
  <c r="I294" i="4"/>
  <c r="H294" i="4"/>
  <c r="G294" i="4"/>
  <c r="T293" i="4"/>
  <c r="S293" i="4"/>
  <c r="R293" i="4"/>
  <c r="Q293" i="4"/>
  <c r="P293" i="4"/>
  <c r="O293" i="4"/>
  <c r="N293" i="4"/>
  <c r="M293" i="4"/>
  <c r="L293" i="4"/>
  <c r="K293" i="4"/>
  <c r="J293" i="4"/>
  <c r="I293" i="4"/>
  <c r="H293" i="4"/>
  <c r="G293" i="4"/>
  <c r="T292" i="4"/>
  <c r="S292" i="4"/>
  <c r="R292" i="4"/>
  <c r="Q292" i="4"/>
  <c r="P292" i="4"/>
  <c r="O292" i="4"/>
  <c r="N292" i="4"/>
  <c r="M292" i="4"/>
  <c r="L292" i="4"/>
  <c r="K292" i="4"/>
  <c r="J292" i="4"/>
  <c r="I292" i="4"/>
  <c r="H292" i="4"/>
  <c r="G292" i="4"/>
  <c r="T291" i="4"/>
  <c r="S291" i="4"/>
  <c r="R291" i="4"/>
  <c r="Q291" i="4"/>
  <c r="P291" i="4"/>
  <c r="O291" i="4"/>
  <c r="N291" i="4"/>
  <c r="M291" i="4"/>
  <c r="L291" i="4"/>
  <c r="K291" i="4"/>
  <c r="J291" i="4"/>
  <c r="I291" i="4"/>
  <c r="H291" i="4"/>
  <c r="G291" i="4"/>
  <c r="T290" i="4"/>
  <c r="S290" i="4"/>
  <c r="R290" i="4"/>
  <c r="Q290" i="4"/>
  <c r="P290" i="4"/>
  <c r="O290" i="4"/>
  <c r="N290" i="4"/>
  <c r="M290" i="4"/>
  <c r="L290" i="4"/>
  <c r="K290" i="4"/>
  <c r="J290" i="4"/>
  <c r="I290" i="4"/>
  <c r="H290" i="4"/>
  <c r="G290" i="4"/>
  <c r="T289" i="4"/>
  <c r="S289" i="4"/>
  <c r="R289" i="4"/>
  <c r="Q289" i="4"/>
  <c r="P289" i="4"/>
  <c r="O289" i="4"/>
  <c r="N289" i="4"/>
  <c r="M289" i="4"/>
  <c r="L289" i="4"/>
  <c r="K289" i="4"/>
  <c r="J289" i="4"/>
  <c r="I289" i="4"/>
  <c r="H289" i="4"/>
  <c r="G289" i="4"/>
  <c r="T288" i="4"/>
  <c r="S288" i="4"/>
  <c r="R288" i="4"/>
  <c r="Q288" i="4"/>
  <c r="P288" i="4"/>
  <c r="O288" i="4"/>
  <c r="N288" i="4"/>
  <c r="M288" i="4"/>
  <c r="L288" i="4"/>
  <c r="K288" i="4"/>
  <c r="J288" i="4"/>
  <c r="I288" i="4"/>
  <c r="H288" i="4"/>
  <c r="G288" i="4"/>
  <c r="T287" i="4"/>
  <c r="S287" i="4"/>
  <c r="R287" i="4"/>
  <c r="Q287" i="4"/>
  <c r="P287" i="4"/>
  <c r="O287" i="4"/>
  <c r="N287" i="4"/>
  <c r="M287" i="4"/>
  <c r="L287" i="4"/>
  <c r="K287" i="4"/>
  <c r="J287" i="4"/>
  <c r="I287" i="4"/>
  <c r="H287" i="4"/>
  <c r="G287" i="4"/>
  <c r="T286" i="4"/>
  <c r="S286" i="4"/>
  <c r="R286" i="4"/>
  <c r="Q286" i="4"/>
  <c r="P286" i="4"/>
  <c r="O286" i="4"/>
  <c r="N286" i="4"/>
  <c r="M286" i="4"/>
  <c r="L286" i="4"/>
  <c r="K286" i="4"/>
  <c r="J286" i="4"/>
  <c r="I286" i="4"/>
  <c r="H286" i="4"/>
  <c r="G286" i="4"/>
  <c r="T285" i="4"/>
  <c r="S285" i="4"/>
  <c r="R285" i="4"/>
  <c r="Q285" i="4"/>
  <c r="P285" i="4"/>
  <c r="O285" i="4"/>
  <c r="N285" i="4"/>
  <c r="M285" i="4"/>
  <c r="L285" i="4"/>
  <c r="K285" i="4"/>
  <c r="J285" i="4"/>
  <c r="I285" i="4"/>
  <c r="H285" i="4"/>
  <c r="G285" i="4"/>
  <c r="T284" i="4"/>
  <c r="S284" i="4"/>
  <c r="R284" i="4"/>
  <c r="Q284" i="4"/>
  <c r="P284" i="4"/>
  <c r="O284" i="4"/>
  <c r="N284" i="4"/>
  <c r="M284" i="4"/>
  <c r="L284" i="4"/>
  <c r="K284" i="4"/>
  <c r="J284" i="4"/>
  <c r="I284" i="4"/>
  <c r="H284" i="4"/>
  <c r="G284" i="4"/>
  <c r="T283" i="4"/>
  <c r="S283" i="4"/>
  <c r="R283" i="4"/>
  <c r="Q283" i="4"/>
  <c r="P283" i="4"/>
  <c r="O283" i="4"/>
  <c r="N283" i="4"/>
  <c r="M283" i="4"/>
  <c r="L283" i="4"/>
  <c r="K283" i="4"/>
  <c r="J283" i="4"/>
  <c r="I283" i="4"/>
  <c r="H283" i="4"/>
  <c r="G283" i="4"/>
  <c r="T282" i="4"/>
  <c r="S282" i="4"/>
  <c r="R282" i="4"/>
  <c r="Q282" i="4"/>
  <c r="P282" i="4"/>
  <c r="O282" i="4"/>
  <c r="N282" i="4"/>
  <c r="M282" i="4"/>
  <c r="L282" i="4"/>
  <c r="K282" i="4"/>
  <c r="J282" i="4"/>
  <c r="I282" i="4"/>
  <c r="H282" i="4"/>
  <c r="G282" i="4"/>
  <c r="T281" i="4"/>
  <c r="S281" i="4"/>
  <c r="R281" i="4"/>
  <c r="Q281" i="4"/>
  <c r="P281" i="4"/>
  <c r="O281" i="4"/>
  <c r="N281" i="4"/>
  <c r="M281" i="4"/>
  <c r="L281" i="4"/>
  <c r="K281" i="4"/>
  <c r="J281" i="4"/>
  <c r="I281" i="4"/>
  <c r="H281" i="4"/>
  <c r="G281" i="4"/>
  <c r="T280" i="4"/>
  <c r="S280" i="4"/>
  <c r="R280" i="4"/>
  <c r="Q280" i="4"/>
  <c r="P280" i="4"/>
  <c r="O280" i="4"/>
  <c r="N280" i="4"/>
  <c r="M280" i="4"/>
  <c r="L280" i="4"/>
  <c r="K280" i="4"/>
  <c r="J280" i="4"/>
  <c r="I280" i="4"/>
  <c r="H280" i="4"/>
  <c r="G280" i="4"/>
  <c r="T279" i="4"/>
  <c r="S279" i="4"/>
  <c r="R279" i="4"/>
  <c r="Q279" i="4"/>
  <c r="P279" i="4"/>
  <c r="O279" i="4"/>
  <c r="N279" i="4"/>
  <c r="M279" i="4"/>
  <c r="L279" i="4"/>
  <c r="K279" i="4"/>
  <c r="J279" i="4"/>
  <c r="I279" i="4"/>
  <c r="H279" i="4"/>
  <c r="G279" i="4"/>
  <c r="T278" i="4"/>
  <c r="S278" i="4"/>
  <c r="R278" i="4"/>
  <c r="Q278" i="4"/>
  <c r="P278" i="4"/>
  <c r="O278" i="4"/>
  <c r="N278" i="4"/>
  <c r="M278" i="4"/>
  <c r="L278" i="4"/>
  <c r="K278" i="4"/>
  <c r="J278" i="4"/>
  <c r="I278" i="4"/>
  <c r="H278" i="4"/>
  <c r="G278" i="4"/>
  <c r="T277" i="4"/>
  <c r="S277" i="4"/>
  <c r="R277" i="4"/>
  <c r="Q277" i="4"/>
  <c r="P277" i="4"/>
  <c r="O277" i="4"/>
  <c r="N277" i="4"/>
  <c r="M277" i="4"/>
  <c r="L277" i="4"/>
  <c r="K277" i="4"/>
  <c r="J277" i="4"/>
  <c r="I277" i="4"/>
  <c r="H277" i="4"/>
  <c r="G277" i="4"/>
  <c r="T276" i="4"/>
  <c r="S276" i="4"/>
  <c r="R276" i="4"/>
  <c r="Q276" i="4"/>
  <c r="P276" i="4"/>
  <c r="O276" i="4"/>
  <c r="N276" i="4"/>
  <c r="M276" i="4"/>
  <c r="L276" i="4"/>
  <c r="K276" i="4"/>
  <c r="J276" i="4"/>
  <c r="I276" i="4"/>
  <c r="H276" i="4"/>
  <c r="G276" i="4"/>
  <c r="T275" i="4"/>
  <c r="S275" i="4"/>
  <c r="R275" i="4"/>
  <c r="Q275" i="4"/>
  <c r="P275" i="4"/>
  <c r="O275" i="4"/>
  <c r="N275" i="4"/>
  <c r="M275" i="4"/>
  <c r="L275" i="4"/>
  <c r="K275" i="4"/>
  <c r="J275" i="4"/>
  <c r="I275" i="4"/>
  <c r="H275" i="4"/>
  <c r="G275" i="4"/>
  <c r="T274" i="4"/>
  <c r="S274" i="4"/>
  <c r="R274" i="4"/>
  <c r="Q274" i="4"/>
  <c r="P274" i="4"/>
  <c r="O274" i="4"/>
  <c r="N274" i="4"/>
  <c r="M274" i="4"/>
  <c r="L274" i="4"/>
  <c r="K274" i="4"/>
  <c r="J274" i="4"/>
  <c r="I274" i="4"/>
  <c r="H274" i="4"/>
  <c r="G274" i="4"/>
  <c r="T273" i="4"/>
  <c r="S273" i="4"/>
  <c r="R273" i="4"/>
  <c r="Q273" i="4"/>
  <c r="P273" i="4"/>
  <c r="O273" i="4"/>
  <c r="N273" i="4"/>
  <c r="M273" i="4"/>
  <c r="L273" i="4"/>
  <c r="K273" i="4"/>
  <c r="J273" i="4"/>
  <c r="I273" i="4"/>
  <c r="H273" i="4"/>
  <c r="G273" i="4"/>
  <c r="T272" i="4"/>
  <c r="S272" i="4"/>
  <c r="R272" i="4"/>
  <c r="Q272" i="4"/>
  <c r="P272" i="4"/>
  <c r="O272" i="4"/>
  <c r="N272" i="4"/>
  <c r="M272" i="4"/>
  <c r="L272" i="4"/>
  <c r="K272" i="4"/>
  <c r="J272" i="4"/>
  <c r="I272" i="4"/>
  <c r="H272" i="4"/>
  <c r="G272" i="4"/>
  <c r="T271" i="4"/>
  <c r="S271" i="4"/>
  <c r="R271" i="4"/>
  <c r="Q271" i="4"/>
  <c r="P271" i="4"/>
  <c r="O271" i="4"/>
  <c r="N271" i="4"/>
  <c r="M271" i="4"/>
  <c r="L271" i="4"/>
  <c r="K271" i="4"/>
  <c r="J271" i="4"/>
  <c r="I271" i="4"/>
  <c r="H271" i="4"/>
  <c r="G271" i="4"/>
  <c r="T270" i="4"/>
  <c r="S270" i="4"/>
  <c r="R270" i="4"/>
  <c r="Q270" i="4"/>
  <c r="P270" i="4"/>
  <c r="O270" i="4"/>
  <c r="N270" i="4"/>
  <c r="M270" i="4"/>
  <c r="L270" i="4"/>
  <c r="K270" i="4"/>
  <c r="J270" i="4"/>
  <c r="I270" i="4"/>
  <c r="H270" i="4"/>
  <c r="G270" i="4"/>
  <c r="T269" i="4"/>
  <c r="S269" i="4"/>
  <c r="R269" i="4"/>
  <c r="Q269" i="4"/>
  <c r="P269" i="4"/>
  <c r="O269" i="4"/>
  <c r="N269" i="4"/>
  <c r="M269" i="4"/>
  <c r="L269" i="4"/>
  <c r="K269" i="4"/>
  <c r="J269" i="4"/>
  <c r="I269" i="4"/>
  <c r="H269" i="4"/>
  <c r="G269" i="4"/>
  <c r="T268" i="4"/>
  <c r="S268" i="4"/>
  <c r="R268" i="4"/>
  <c r="Q268" i="4"/>
  <c r="P268" i="4"/>
  <c r="O268" i="4"/>
  <c r="N268" i="4"/>
  <c r="M268" i="4"/>
  <c r="L268" i="4"/>
  <c r="K268" i="4"/>
  <c r="J268" i="4"/>
  <c r="I268" i="4"/>
  <c r="H268" i="4"/>
  <c r="G268" i="4"/>
  <c r="T267" i="4"/>
  <c r="S267" i="4"/>
  <c r="R267" i="4"/>
  <c r="Q267" i="4"/>
  <c r="P267" i="4"/>
  <c r="O267" i="4"/>
  <c r="N267" i="4"/>
  <c r="M267" i="4"/>
  <c r="L267" i="4"/>
  <c r="K267" i="4"/>
  <c r="J267" i="4"/>
  <c r="I267" i="4"/>
  <c r="H267" i="4"/>
  <c r="G267" i="4"/>
  <c r="T266" i="4"/>
  <c r="S266" i="4"/>
  <c r="R266" i="4"/>
  <c r="Q266" i="4"/>
  <c r="P266" i="4"/>
  <c r="O266" i="4"/>
  <c r="N266" i="4"/>
  <c r="M266" i="4"/>
  <c r="L266" i="4"/>
  <c r="K266" i="4"/>
  <c r="J266" i="4"/>
  <c r="I266" i="4"/>
  <c r="H266" i="4"/>
  <c r="G266" i="4"/>
  <c r="T265" i="4"/>
  <c r="S265" i="4"/>
  <c r="R265" i="4"/>
  <c r="Q265" i="4"/>
  <c r="P265" i="4"/>
  <c r="O265" i="4"/>
  <c r="N265" i="4"/>
  <c r="M265" i="4"/>
  <c r="L265" i="4"/>
  <c r="K265" i="4"/>
  <c r="J265" i="4"/>
  <c r="I265" i="4"/>
  <c r="H265" i="4"/>
  <c r="G265" i="4"/>
  <c r="T264" i="4"/>
  <c r="S264" i="4"/>
  <c r="R264" i="4"/>
  <c r="Q264" i="4"/>
  <c r="P264" i="4"/>
  <c r="O264" i="4"/>
  <c r="N264" i="4"/>
  <c r="M264" i="4"/>
  <c r="L264" i="4"/>
  <c r="K264" i="4"/>
  <c r="J264" i="4"/>
  <c r="I264" i="4"/>
  <c r="H264" i="4"/>
  <c r="G264" i="4"/>
  <c r="T263" i="4"/>
  <c r="S263" i="4"/>
  <c r="R263" i="4"/>
  <c r="Q263" i="4"/>
  <c r="P263" i="4"/>
  <c r="O263" i="4"/>
  <c r="N263" i="4"/>
  <c r="M263" i="4"/>
  <c r="L263" i="4"/>
  <c r="K263" i="4"/>
  <c r="J263" i="4"/>
  <c r="I263" i="4"/>
  <c r="H263" i="4"/>
  <c r="G263" i="4"/>
  <c r="T262" i="4"/>
  <c r="S262" i="4"/>
  <c r="R262" i="4"/>
  <c r="Q262" i="4"/>
  <c r="P262" i="4"/>
  <c r="O262" i="4"/>
  <c r="N262" i="4"/>
  <c r="M262" i="4"/>
  <c r="L262" i="4"/>
  <c r="K262" i="4"/>
  <c r="J262" i="4"/>
  <c r="I262" i="4"/>
  <c r="H262" i="4"/>
  <c r="G262" i="4"/>
  <c r="T261" i="4"/>
  <c r="S261" i="4"/>
  <c r="R261" i="4"/>
  <c r="Q261" i="4"/>
  <c r="P261" i="4"/>
  <c r="O261" i="4"/>
  <c r="N261" i="4"/>
  <c r="M261" i="4"/>
  <c r="L261" i="4"/>
  <c r="K261" i="4"/>
  <c r="J261" i="4"/>
  <c r="I261" i="4"/>
  <c r="H261" i="4"/>
  <c r="G261" i="4"/>
  <c r="T260" i="4"/>
  <c r="S260" i="4"/>
  <c r="R260" i="4"/>
  <c r="Q260" i="4"/>
  <c r="P260" i="4"/>
  <c r="O260" i="4"/>
  <c r="N260" i="4"/>
  <c r="M260" i="4"/>
  <c r="L260" i="4"/>
  <c r="K260" i="4"/>
  <c r="J260" i="4"/>
  <c r="I260" i="4"/>
  <c r="H260" i="4"/>
  <c r="G260" i="4"/>
  <c r="T259" i="4"/>
  <c r="S259" i="4"/>
  <c r="R259" i="4"/>
  <c r="Q259" i="4"/>
  <c r="P259" i="4"/>
  <c r="O259" i="4"/>
  <c r="N259" i="4"/>
  <c r="M259" i="4"/>
  <c r="L259" i="4"/>
  <c r="K259" i="4"/>
  <c r="J259" i="4"/>
  <c r="I259" i="4"/>
  <c r="H259" i="4"/>
  <c r="G259" i="4"/>
  <c r="T258" i="4"/>
  <c r="S258" i="4"/>
  <c r="R258" i="4"/>
  <c r="Q258" i="4"/>
  <c r="P258" i="4"/>
  <c r="O258" i="4"/>
  <c r="N258" i="4"/>
  <c r="M258" i="4"/>
  <c r="L258" i="4"/>
  <c r="K258" i="4"/>
  <c r="J258" i="4"/>
  <c r="I258" i="4"/>
  <c r="H258" i="4"/>
  <c r="G258" i="4"/>
  <c r="T257" i="4"/>
  <c r="S257" i="4"/>
  <c r="R257" i="4"/>
  <c r="Q257" i="4"/>
  <c r="P257" i="4"/>
  <c r="O257" i="4"/>
  <c r="N257" i="4"/>
  <c r="M257" i="4"/>
  <c r="L257" i="4"/>
  <c r="K257" i="4"/>
  <c r="J257" i="4"/>
  <c r="I257" i="4"/>
  <c r="H257" i="4"/>
  <c r="G257" i="4"/>
  <c r="T256" i="4"/>
  <c r="S256" i="4"/>
  <c r="R256" i="4"/>
  <c r="Q256" i="4"/>
  <c r="P256" i="4"/>
  <c r="O256" i="4"/>
  <c r="N256" i="4"/>
  <c r="M256" i="4"/>
  <c r="L256" i="4"/>
  <c r="K256" i="4"/>
  <c r="J256" i="4"/>
  <c r="I256" i="4"/>
  <c r="H256" i="4"/>
  <c r="G256" i="4"/>
  <c r="T255" i="4"/>
  <c r="S255" i="4"/>
  <c r="R255" i="4"/>
  <c r="Q255" i="4"/>
  <c r="P255" i="4"/>
  <c r="O255" i="4"/>
  <c r="N255" i="4"/>
  <c r="M255" i="4"/>
  <c r="L255" i="4"/>
  <c r="K255" i="4"/>
  <c r="J255" i="4"/>
  <c r="I255" i="4"/>
  <c r="H255" i="4"/>
  <c r="G255" i="4"/>
  <c r="T254" i="4"/>
  <c r="S254" i="4"/>
  <c r="R254" i="4"/>
  <c r="Q254" i="4"/>
  <c r="P254" i="4"/>
  <c r="O254" i="4"/>
  <c r="N254" i="4"/>
  <c r="M254" i="4"/>
  <c r="L254" i="4"/>
  <c r="K254" i="4"/>
  <c r="J254" i="4"/>
  <c r="I254" i="4"/>
  <c r="H254" i="4"/>
  <c r="G254" i="4"/>
  <c r="T253" i="4"/>
  <c r="S253" i="4"/>
  <c r="R253" i="4"/>
  <c r="Q253" i="4"/>
  <c r="P253" i="4"/>
  <c r="O253" i="4"/>
  <c r="N253" i="4"/>
  <c r="M253" i="4"/>
  <c r="L253" i="4"/>
  <c r="K253" i="4"/>
  <c r="J253" i="4"/>
  <c r="I253" i="4"/>
  <c r="H253" i="4"/>
  <c r="G253" i="4"/>
  <c r="T252" i="4"/>
  <c r="S252" i="4"/>
  <c r="R252" i="4"/>
  <c r="Q252" i="4"/>
  <c r="P252" i="4"/>
  <c r="O252" i="4"/>
  <c r="N252" i="4"/>
  <c r="M252" i="4"/>
  <c r="L252" i="4"/>
  <c r="K252" i="4"/>
  <c r="J252" i="4"/>
  <c r="I252" i="4"/>
  <c r="H252" i="4"/>
  <c r="G252" i="4"/>
  <c r="T251" i="4"/>
  <c r="S251" i="4"/>
  <c r="R251" i="4"/>
  <c r="Q251" i="4"/>
  <c r="P251" i="4"/>
  <c r="O251" i="4"/>
  <c r="N251" i="4"/>
  <c r="M251" i="4"/>
  <c r="L251" i="4"/>
  <c r="K251" i="4"/>
  <c r="J251" i="4"/>
  <c r="I251" i="4"/>
  <c r="H251" i="4"/>
  <c r="G251" i="4"/>
  <c r="T250" i="4"/>
  <c r="S250" i="4"/>
  <c r="R250" i="4"/>
  <c r="Q250" i="4"/>
  <c r="P250" i="4"/>
  <c r="O250" i="4"/>
  <c r="N250" i="4"/>
  <c r="M250" i="4"/>
  <c r="L250" i="4"/>
  <c r="K250" i="4"/>
  <c r="J250" i="4"/>
  <c r="I250" i="4"/>
  <c r="H250" i="4"/>
  <c r="G250" i="4"/>
  <c r="T249" i="4"/>
  <c r="S249" i="4"/>
  <c r="R249" i="4"/>
  <c r="Q249" i="4"/>
  <c r="P249" i="4"/>
  <c r="O249" i="4"/>
  <c r="N249" i="4"/>
  <c r="M249" i="4"/>
  <c r="L249" i="4"/>
  <c r="K249" i="4"/>
  <c r="J249" i="4"/>
  <c r="I249" i="4"/>
  <c r="H249" i="4"/>
  <c r="G249" i="4"/>
  <c r="T248" i="4"/>
  <c r="S248" i="4"/>
  <c r="R248" i="4"/>
  <c r="Q248" i="4"/>
  <c r="P248" i="4"/>
  <c r="O248" i="4"/>
  <c r="N248" i="4"/>
  <c r="M248" i="4"/>
  <c r="L248" i="4"/>
  <c r="K248" i="4"/>
  <c r="J248" i="4"/>
  <c r="I248" i="4"/>
  <c r="H248" i="4"/>
  <c r="G248" i="4"/>
  <c r="T247" i="4"/>
  <c r="S247" i="4"/>
  <c r="R247" i="4"/>
  <c r="Q247" i="4"/>
  <c r="P247" i="4"/>
  <c r="O247" i="4"/>
  <c r="N247" i="4"/>
  <c r="M247" i="4"/>
  <c r="L247" i="4"/>
  <c r="K247" i="4"/>
  <c r="J247" i="4"/>
  <c r="I247" i="4"/>
  <c r="H247" i="4"/>
  <c r="G247" i="4"/>
  <c r="T246" i="4"/>
  <c r="S246" i="4"/>
  <c r="R246" i="4"/>
  <c r="Q246" i="4"/>
  <c r="P246" i="4"/>
  <c r="O246" i="4"/>
  <c r="N246" i="4"/>
  <c r="M246" i="4"/>
  <c r="L246" i="4"/>
  <c r="K246" i="4"/>
  <c r="J246" i="4"/>
  <c r="I246" i="4"/>
  <c r="H246" i="4"/>
  <c r="G246" i="4"/>
  <c r="T245" i="4"/>
  <c r="S245" i="4"/>
  <c r="R245" i="4"/>
  <c r="Q245" i="4"/>
  <c r="P245" i="4"/>
  <c r="O245" i="4"/>
  <c r="N245" i="4"/>
  <c r="M245" i="4"/>
  <c r="L245" i="4"/>
  <c r="K245" i="4"/>
  <c r="J245" i="4"/>
  <c r="I245" i="4"/>
  <c r="H245" i="4"/>
  <c r="G245" i="4"/>
  <c r="T244" i="4"/>
  <c r="S244" i="4"/>
  <c r="R244" i="4"/>
  <c r="Q244" i="4"/>
  <c r="P244" i="4"/>
  <c r="O244" i="4"/>
  <c r="N244" i="4"/>
  <c r="M244" i="4"/>
  <c r="L244" i="4"/>
  <c r="K244" i="4"/>
  <c r="J244" i="4"/>
  <c r="I244" i="4"/>
  <c r="H244" i="4"/>
  <c r="G244" i="4"/>
  <c r="T243" i="4"/>
  <c r="S243" i="4"/>
  <c r="R243" i="4"/>
  <c r="Q243" i="4"/>
  <c r="P243" i="4"/>
  <c r="O243" i="4"/>
  <c r="N243" i="4"/>
  <c r="M243" i="4"/>
  <c r="L243" i="4"/>
  <c r="K243" i="4"/>
  <c r="J243" i="4"/>
  <c r="I243" i="4"/>
  <c r="H243" i="4"/>
  <c r="G243" i="4"/>
  <c r="T242" i="4"/>
  <c r="S242" i="4"/>
  <c r="R242" i="4"/>
  <c r="Q242" i="4"/>
  <c r="P242" i="4"/>
  <c r="O242" i="4"/>
  <c r="N242" i="4"/>
  <c r="M242" i="4"/>
  <c r="L242" i="4"/>
  <c r="K242" i="4"/>
  <c r="J242" i="4"/>
  <c r="I242" i="4"/>
  <c r="H242" i="4"/>
  <c r="G242" i="4"/>
  <c r="T241" i="4"/>
  <c r="S241" i="4"/>
  <c r="R241" i="4"/>
  <c r="Q241" i="4"/>
  <c r="P241" i="4"/>
  <c r="O241" i="4"/>
  <c r="N241" i="4"/>
  <c r="M241" i="4"/>
  <c r="L241" i="4"/>
  <c r="K241" i="4"/>
  <c r="J241" i="4"/>
  <c r="I241" i="4"/>
  <c r="H241" i="4"/>
  <c r="G241" i="4"/>
  <c r="T240" i="4"/>
  <c r="S240" i="4"/>
  <c r="R240" i="4"/>
  <c r="Q240" i="4"/>
  <c r="P240" i="4"/>
  <c r="O240" i="4"/>
  <c r="N240" i="4"/>
  <c r="M240" i="4"/>
  <c r="L240" i="4"/>
  <c r="K240" i="4"/>
  <c r="J240" i="4"/>
  <c r="I240" i="4"/>
  <c r="H240" i="4"/>
  <c r="G240" i="4"/>
  <c r="T239" i="4"/>
  <c r="S239" i="4"/>
  <c r="R239" i="4"/>
  <c r="Q239" i="4"/>
  <c r="P239" i="4"/>
  <c r="O239" i="4"/>
  <c r="N239" i="4"/>
  <c r="M239" i="4"/>
  <c r="L239" i="4"/>
  <c r="K239" i="4"/>
  <c r="J239" i="4"/>
  <c r="I239" i="4"/>
  <c r="H239" i="4"/>
  <c r="G239" i="4"/>
  <c r="T238" i="4"/>
  <c r="S238" i="4"/>
  <c r="R238" i="4"/>
  <c r="Q238" i="4"/>
  <c r="P238" i="4"/>
  <c r="O238" i="4"/>
  <c r="N238" i="4"/>
  <c r="M238" i="4"/>
  <c r="L238" i="4"/>
  <c r="K238" i="4"/>
  <c r="J238" i="4"/>
  <c r="I238" i="4"/>
  <c r="H238" i="4"/>
  <c r="G238" i="4"/>
  <c r="T237" i="4"/>
  <c r="S237" i="4"/>
  <c r="R237" i="4"/>
  <c r="Q237" i="4"/>
  <c r="P237" i="4"/>
  <c r="O237" i="4"/>
  <c r="N237" i="4"/>
  <c r="M237" i="4"/>
  <c r="L237" i="4"/>
  <c r="K237" i="4"/>
  <c r="J237" i="4"/>
  <c r="I237" i="4"/>
  <c r="H237" i="4"/>
  <c r="G237" i="4"/>
  <c r="T236" i="4"/>
  <c r="S236" i="4"/>
  <c r="R236" i="4"/>
  <c r="Q236" i="4"/>
  <c r="P236" i="4"/>
  <c r="O236" i="4"/>
  <c r="N236" i="4"/>
  <c r="M236" i="4"/>
  <c r="L236" i="4"/>
  <c r="K236" i="4"/>
  <c r="J236" i="4"/>
  <c r="I236" i="4"/>
  <c r="H236" i="4"/>
  <c r="G236" i="4"/>
  <c r="T235" i="4"/>
  <c r="S235" i="4"/>
  <c r="R235" i="4"/>
  <c r="Q235" i="4"/>
  <c r="P235" i="4"/>
  <c r="O235" i="4"/>
  <c r="N235" i="4"/>
  <c r="M235" i="4"/>
  <c r="L235" i="4"/>
  <c r="K235" i="4"/>
  <c r="J235" i="4"/>
  <c r="I235" i="4"/>
  <c r="H235" i="4"/>
  <c r="G235" i="4"/>
  <c r="T234" i="4"/>
  <c r="S234" i="4"/>
  <c r="R234" i="4"/>
  <c r="Q234" i="4"/>
  <c r="P234" i="4"/>
  <c r="O234" i="4"/>
  <c r="N234" i="4"/>
  <c r="M234" i="4"/>
  <c r="L234" i="4"/>
  <c r="K234" i="4"/>
  <c r="J234" i="4"/>
  <c r="I234" i="4"/>
  <c r="H234" i="4"/>
  <c r="G234" i="4"/>
  <c r="T233" i="4"/>
  <c r="S233" i="4"/>
  <c r="R233" i="4"/>
  <c r="Q233" i="4"/>
  <c r="P233" i="4"/>
  <c r="O233" i="4"/>
  <c r="N233" i="4"/>
  <c r="M233" i="4"/>
  <c r="L233" i="4"/>
  <c r="K233" i="4"/>
  <c r="J233" i="4"/>
  <c r="I233" i="4"/>
  <c r="H233" i="4"/>
  <c r="G233" i="4"/>
  <c r="T232" i="4"/>
  <c r="S232" i="4"/>
  <c r="R232" i="4"/>
  <c r="Q232" i="4"/>
  <c r="P232" i="4"/>
  <c r="O232" i="4"/>
  <c r="N232" i="4"/>
  <c r="M232" i="4"/>
  <c r="L232" i="4"/>
  <c r="K232" i="4"/>
  <c r="J232" i="4"/>
  <c r="I232" i="4"/>
  <c r="H232" i="4"/>
  <c r="G232" i="4"/>
  <c r="T231" i="4"/>
  <c r="S231" i="4"/>
  <c r="R231" i="4"/>
  <c r="Q231" i="4"/>
  <c r="P231" i="4"/>
  <c r="O231" i="4"/>
  <c r="N231" i="4"/>
  <c r="M231" i="4"/>
  <c r="L231" i="4"/>
  <c r="K231" i="4"/>
  <c r="J231" i="4"/>
  <c r="I231" i="4"/>
  <c r="H231" i="4"/>
  <c r="G231" i="4"/>
  <c r="T230" i="4"/>
  <c r="S230" i="4"/>
  <c r="R230" i="4"/>
  <c r="Q230" i="4"/>
  <c r="P230" i="4"/>
  <c r="O230" i="4"/>
  <c r="N230" i="4"/>
  <c r="M230" i="4"/>
  <c r="L230" i="4"/>
  <c r="K230" i="4"/>
  <c r="J230" i="4"/>
  <c r="I230" i="4"/>
  <c r="H230" i="4"/>
  <c r="G230" i="4"/>
  <c r="T229" i="4"/>
  <c r="S229" i="4"/>
  <c r="R229" i="4"/>
  <c r="Q229" i="4"/>
  <c r="P229" i="4"/>
  <c r="O229" i="4"/>
  <c r="N229" i="4"/>
  <c r="M229" i="4"/>
  <c r="L229" i="4"/>
  <c r="K229" i="4"/>
  <c r="J229" i="4"/>
  <c r="I229" i="4"/>
  <c r="H229" i="4"/>
  <c r="G229" i="4"/>
  <c r="T228" i="4"/>
  <c r="S228" i="4"/>
  <c r="R228" i="4"/>
  <c r="Q228" i="4"/>
  <c r="P228" i="4"/>
  <c r="O228" i="4"/>
  <c r="N228" i="4"/>
  <c r="M228" i="4"/>
  <c r="L228" i="4"/>
  <c r="K228" i="4"/>
  <c r="J228" i="4"/>
  <c r="I228" i="4"/>
  <c r="H228" i="4"/>
  <c r="G228" i="4"/>
  <c r="T227" i="4"/>
  <c r="S227" i="4"/>
  <c r="R227" i="4"/>
  <c r="Q227" i="4"/>
  <c r="P227" i="4"/>
  <c r="O227" i="4"/>
  <c r="N227" i="4"/>
  <c r="M227" i="4"/>
  <c r="L227" i="4"/>
  <c r="K227" i="4"/>
  <c r="J227" i="4"/>
  <c r="I227" i="4"/>
  <c r="H227" i="4"/>
  <c r="G227" i="4"/>
  <c r="T226" i="4"/>
  <c r="S226" i="4"/>
  <c r="R226" i="4"/>
  <c r="Q226" i="4"/>
  <c r="P226" i="4"/>
  <c r="O226" i="4"/>
  <c r="N226" i="4"/>
  <c r="M226" i="4"/>
  <c r="L226" i="4"/>
  <c r="K226" i="4"/>
  <c r="J226" i="4"/>
  <c r="I226" i="4"/>
  <c r="H226" i="4"/>
  <c r="G226" i="4"/>
  <c r="T225" i="4"/>
  <c r="S225" i="4"/>
  <c r="R225" i="4"/>
  <c r="Q225" i="4"/>
  <c r="P225" i="4"/>
  <c r="O225" i="4"/>
  <c r="N225" i="4"/>
  <c r="M225" i="4"/>
  <c r="L225" i="4"/>
  <c r="K225" i="4"/>
  <c r="J225" i="4"/>
  <c r="I225" i="4"/>
  <c r="H225" i="4"/>
  <c r="G225" i="4"/>
  <c r="T224" i="4"/>
  <c r="S224" i="4"/>
  <c r="R224" i="4"/>
  <c r="Q224" i="4"/>
  <c r="P224" i="4"/>
  <c r="O224" i="4"/>
  <c r="N224" i="4"/>
  <c r="M224" i="4"/>
  <c r="L224" i="4"/>
  <c r="K224" i="4"/>
  <c r="J224" i="4"/>
  <c r="I224" i="4"/>
  <c r="H224" i="4"/>
  <c r="G224" i="4"/>
  <c r="T223" i="4"/>
  <c r="S223" i="4"/>
  <c r="R223" i="4"/>
  <c r="Q223" i="4"/>
  <c r="P223" i="4"/>
  <c r="O223" i="4"/>
  <c r="N223" i="4"/>
  <c r="M223" i="4"/>
  <c r="L223" i="4"/>
  <c r="K223" i="4"/>
  <c r="J223" i="4"/>
  <c r="I223" i="4"/>
  <c r="H223" i="4"/>
  <c r="G223" i="4"/>
  <c r="T222" i="4"/>
  <c r="S222" i="4"/>
  <c r="R222" i="4"/>
  <c r="Q222" i="4"/>
  <c r="P222" i="4"/>
  <c r="O222" i="4"/>
  <c r="N222" i="4"/>
  <c r="M222" i="4"/>
  <c r="L222" i="4"/>
  <c r="K222" i="4"/>
  <c r="J222" i="4"/>
  <c r="I222" i="4"/>
  <c r="H222" i="4"/>
  <c r="G222" i="4"/>
  <c r="T221" i="4"/>
  <c r="S221" i="4"/>
  <c r="R221" i="4"/>
  <c r="Q221" i="4"/>
  <c r="P221" i="4"/>
  <c r="O221" i="4"/>
  <c r="N221" i="4"/>
  <c r="M221" i="4"/>
  <c r="L221" i="4"/>
  <c r="K221" i="4"/>
  <c r="J221" i="4"/>
  <c r="I221" i="4"/>
  <c r="H221" i="4"/>
  <c r="G221" i="4"/>
  <c r="T220" i="4"/>
  <c r="S220" i="4"/>
  <c r="R220" i="4"/>
  <c r="Q220" i="4"/>
  <c r="P220" i="4"/>
  <c r="O220" i="4"/>
  <c r="N220" i="4"/>
  <c r="M220" i="4"/>
  <c r="L220" i="4"/>
  <c r="K220" i="4"/>
  <c r="J220" i="4"/>
  <c r="I220" i="4"/>
  <c r="H220" i="4"/>
  <c r="G220" i="4"/>
  <c r="T219" i="4"/>
  <c r="S219" i="4"/>
  <c r="R219" i="4"/>
  <c r="Q219" i="4"/>
  <c r="P219" i="4"/>
  <c r="O219" i="4"/>
  <c r="N219" i="4"/>
  <c r="M219" i="4"/>
  <c r="L219" i="4"/>
  <c r="K219" i="4"/>
  <c r="J219" i="4"/>
  <c r="I219" i="4"/>
  <c r="H219" i="4"/>
  <c r="G219" i="4"/>
  <c r="T218" i="4"/>
  <c r="S218" i="4"/>
  <c r="R218" i="4"/>
  <c r="Q218" i="4"/>
  <c r="P218" i="4"/>
  <c r="O218" i="4"/>
  <c r="N218" i="4"/>
  <c r="M218" i="4"/>
  <c r="L218" i="4"/>
  <c r="K218" i="4"/>
  <c r="J218" i="4"/>
  <c r="I218" i="4"/>
  <c r="H218" i="4"/>
  <c r="G218" i="4"/>
  <c r="T217" i="4"/>
  <c r="S217" i="4"/>
  <c r="R217" i="4"/>
  <c r="Q217" i="4"/>
  <c r="P217" i="4"/>
  <c r="O217" i="4"/>
  <c r="N217" i="4"/>
  <c r="M217" i="4"/>
  <c r="L217" i="4"/>
  <c r="K217" i="4"/>
  <c r="J217" i="4"/>
  <c r="I217" i="4"/>
  <c r="H217" i="4"/>
  <c r="G217" i="4"/>
  <c r="T216" i="4"/>
  <c r="S216" i="4"/>
  <c r="R216" i="4"/>
  <c r="Q216" i="4"/>
  <c r="P216" i="4"/>
  <c r="O216" i="4"/>
  <c r="N216" i="4"/>
  <c r="M216" i="4"/>
  <c r="L216" i="4"/>
  <c r="K216" i="4"/>
  <c r="J216" i="4"/>
  <c r="I216" i="4"/>
  <c r="H216" i="4"/>
  <c r="G216" i="4"/>
  <c r="T215" i="4"/>
  <c r="S215" i="4"/>
  <c r="R215" i="4"/>
  <c r="Q215" i="4"/>
  <c r="P215" i="4"/>
  <c r="O215" i="4"/>
  <c r="N215" i="4"/>
  <c r="M215" i="4"/>
  <c r="L215" i="4"/>
  <c r="K215" i="4"/>
  <c r="J215" i="4"/>
  <c r="I215" i="4"/>
  <c r="H215" i="4"/>
  <c r="G215" i="4"/>
  <c r="T214" i="4"/>
  <c r="S214" i="4"/>
  <c r="R214" i="4"/>
  <c r="Q214" i="4"/>
  <c r="P214" i="4"/>
  <c r="O214" i="4"/>
  <c r="N214" i="4"/>
  <c r="M214" i="4"/>
  <c r="L214" i="4"/>
  <c r="K214" i="4"/>
  <c r="J214" i="4"/>
  <c r="I214" i="4"/>
  <c r="H214" i="4"/>
  <c r="G214" i="4"/>
  <c r="T213" i="4"/>
  <c r="S213" i="4"/>
  <c r="R213" i="4"/>
  <c r="Q213" i="4"/>
  <c r="P213" i="4"/>
  <c r="O213" i="4"/>
  <c r="N213" i="4"/>
  <c r="M213" i="4"/>
  <c r="L213" i="4"/>
  <c r="K213" i="4"/>
  <c r="J213" i="4"/>
  <c r="I213" i="4"/>
  <c r="H213" i="4"/>
  <c r="G213" i="4"/>
  <c r="T212" i="4"/>
  <c r="S212" i="4"/>
  <c r="R212" i="4"/>
  <c r="Q212" i="4"/>
  <c r="P212" i="4"/>
  <c r="O212" i="4"/>
  <c r="N212" i="4"/>
  <c r="M212" i="4"/>
  <c r="L212" i="4"/>
  <c r="K212" i="4"/>
  <c r="J212" i="4"/>
  <c r="I212" i="4"/>
  <c r="H212" i="4"/>
  <c r="G212" i="4"/>
  <c r="T211" i="4"/>
  <c r="S211" i="4"/>
  <c r="R211" i="4"/>
  <c r="Q211" i="4"/>
  <c r="P211" i="4"/>
  <c r="O211" i="4"/>
  <c r="N211" i="4"/>
  <c r="M211" i="4"/>
  <c r="L211" i="4"/>
  <c r="K211" i="4"/>
  <c r="J211" i="4"/>
  <c r="I211" i="4"/>
  <c r="H211" i="4"/>
  <c r="G211" i="4"/>
  <c r="T210" i="4"/>
  <c r="S210" i="4"/>
  <c r="R210" i="4"/>
  <c r="Q210" i="4"/>
  <c r="P210" i="4"/>
  <c r="O210" i="4"/>
  <c r="N210" i="4"/>
  <c r="M210" i="4"/>
  <c r="L210" i="4"/>
  <c r="K210" i="4"/>
  <c r="J210" i="4"/>
  <c r="I210" i="4"/>
  <c r="H210" i="4"/>
  <c r="G210" i="4"/>
  <c r="T209" i="4"/>
  <c r="S209" i="4"/>
  <c r="R209" i="4"/>
  <c r="Q209" i="4"/>
  <c r="P209" i="4"/>
  <c r="O209" i="4"/>
  <c r="N209" i="4"/>
  <c r="M209" i="4"/>
  <c r="L209" i="4"/>
  <c r="K209" i="4"/>
  <c r="J209" i="4"/>
  <c r="I209" i="4"/>
  <c r="H209" i="4"/>
  <c r="G209" i="4"/>
  <c r="T208" i="4"/>
  <c r="S208" i="4"/>
  <c r="R208" i="4"/>
  <c r="Q208" i="4"/>
  <c r="P208" i="4"/>
  <c r="O208" i="4"/>
  <c r="N208" i="4"/>
  <c r="M208" i="4"/>
  <c r="L208" i="4"/>
  <c r="K208" i="4"/>
  <c r="J208" i="4"/>
  <c r="I208" i="4"/>
  <c r="H208" i="4"/>
  <c r="G208" i="4"/>
  <c r="T207" i="4"/>
  <c r="S207" i="4"/>
  <c r="R207" i="4"/>
  <c r="Q207" i="4"/>
  <c r="P207" i="4"/>
  <c r="O207" i="4"/>
  <c r="N207" i="4"/>
  <c r="M207" i="4"/>
  <c r="L207" i="4"/>
  <c r="K207" i="4"/>
  <c r="J207" i="4"/>
  <c r="I207" i="4"/>
  <c r="H207" i="4"/>
  <c r="G207" i="4"/>
  <c r="T206" i="4"/>
  <c r="S206" i="4"/>
  <c r="R206" i="4"/>
  <c r="Q206" i="4"/>
  <c r="P206" i="4"/>
  <c r="O206" i="4"/>
  <c r="N206" i="4"/>
  <c r="M206" i="4"/>
  <c r="L206" i="4"/>
  <c r="K206" i="4"/>
  <c r="J206" i="4"/>
  <c r="I206" i="4"/>
  <c r="H206" i="4"/>
  <c r="G206" i="4"/>
  <c r="T205" i="4"/>
  <c r="S205" i="4"/>
  <c r="R205" i="4"/>
  <c r="Q205" i="4"/>
  <c r="P205" i="4"/>
  <c r="O205" i="4"/>
  <c r="N205" i="4"/>
  <c r="M205" i="4"/>
  <c r="L205" i="4"/>
  <c r="K205" i="4"/>
  <c r="J205" i="4"/>
  <c r="I205" i="4"/>
  <c r="H205" i="4"/>
  <c r="G205" i="4"/>
  <c r="T204" i="4"/>
  <c r="S204" i="4"/>
  <c r="R204" i="4"/>
  <c r="Q204" i="4"/>
  <c r="P204" i="4"/>
  <c r="O204" i="4"/>
  <c r="N204" i="4"/>
  <c r="M204" i="4"/>
  <c r="L204" i="4"/>
  <c r="K204" i="4"/>
  <c r="J204" i="4"/>
  <c r="I204" i="4"/>
  <c r="H204" i="4"/>
  <c r="G204" i="4"/>
  <c r="T203" i="4"/>
  <c r="S203" i="4"/>
  <c r="R203" i="4"/>
  <c r="Q203" i="4"/>
  <c r="P203" i="4"/>
  <c r="O203" i="4"/>
  <c r="N203" i="4"/>
  <c r="M203" i="4"/>
  <c r="L203" i="4"/>
  <c r="K203" i="4"/>
  <c r="J203" i="4"/>
  <c r="I203" i="4"/>
  <c r="H203" i="4"/>
  <c r="G203" i="4"/>
  <c r="T202" i="4"/>
  <c r="S202" i="4"/>
  <c r="R202" i="4"/>
  <c r="Q202" i="4"/>
  <c r="P202" i="4"/>
  <c r="O202" i="4"/>
  <c r="N202" i="4"/>
  <c r="M202" i="4"/>
  <c r="L202" i="4"/>
  <c r="K202" i="4"/>
  <c r="J202" i="4"/>
  <c r="I202" i="4"/>
  <c r="H202" i="4"/>
  <c r="G202" i="4"/>
  <c r="T201" i="4"/>
  <c r="S201" i="4"/>
  <c r="R201" i="4"/>
  <c r="Q201" i="4"/>
  <c r="P201" i="4"/>
  <c r="O201" i="4"/>
  <c r="N201" i="4"/>
  <c r="M201" i="4"/>
  <c r="L201" i="4"/>
  <c r="K201" i="4"/>
  <c r="J201" i="4"/>
  <c r="I201" i="4"/>
  <c r="H201" i="4"/>
  <c r="G201" i="4"/>
  <c r="T200" i="4"/>
  <c r="S200" i="4"/>
  <c r="R200" i="4"/>
  <c r="Q200" i="4"/>
  <c r="P200" i="4"/>
  <c r="O200" i="4"/>
  <c r="N200" i="4"/>
  <c r="M200" i="4"/>
  <c r="L200" i="4"/>
  <c r="K200" i="4"/>
  <c r="J200" i="4"/>
  <c r="I200" i="4"/>
  <c r="H200" i="4"/>
  <c r="G200" i="4"/>
  <c r="T199" i="4"/>
  <c r="S199" i="4"/>
  <c r="R199" i="4"/>
  <c r="Q199" i="4"/>
  <c r="P199" i="4"/>
  <c r="O199" i="4"/>
  <c r="N199" i="4"/>
  <c r="M199" i="4"/>
  <c r="L199" i="4"/>
  <c r="K199" i="4"/>
  <c r="J199" i="4"/>
  <c r="I199" i="4"/>
  <c r="H199" i="4"/>
  <c r="G199" i="4"/>
  <c r="T198" i="4"/>
  <c r="S198" i="4"/>
  <c r="R198" i="4"/>
  <c r="Q198" i="4"/>
  <c r="P198" i="4"/>
  <c r="O198" i="4"/>
  <c r="N198" i="4"/>
  <c r="M198" i="4"/>
  <c r="L198" i="4"/>
  <c r="K198" i="4"/>
  <c r="J198" i="4"/>
  <c r="I198" i="4"/>
  <c r="H198" i="4"/>
  <c r="G198" i="4"/>
  <c r="T197" i="4"/>
  <c r="S197" i="4"/>
  <c r="R197" i="4"/>
  <c r="Q197" i="4"/>
  <c r="P197" i="4"/>
  <c r="O197" i="4"/>
  <c r="N197" i="4"/>
  <c r="M197" i="4"/>
  <c r="L197" i="4"/>
  <c r="K197" i="4"/>
  <c r="J197" i="4"/>
  <c r="I197" i="4"/>
  <c r="H197" i="4"/>
  <c r="G197" i="4"/>
  <c r="T196" i="4"/>
  <c r="S196" i="4"/>
  <c r="R196" i="4"/>
  <c r="Q196" i="4"/>
  <c r="P196" i="4"/>
  <c r="O196" i="4"/>
  <c r="N196" i="4"/>
  <c r="M196" i="4"/>
  <c r="L196" i="4"/>
  <c r="K196" i="4"/>
  <c r="J196" i="4"/>
  <c r="I196" i="4"/>
  <c r="H196" i="4"/>
  <c r="G196" i="4"/>
  <c r="T195" i="4"/>
  <c r="S195" i="4"/>
  <c r="R195" i="4"/>
  <c r="Q195" i="4"/>
  <c r="P195" i="4"/>
  <c r="O195" i="4"/>
  <c r="N195" i="4"/>
  <c r="M195" i="4"/>
  <c r="L195" i="4"/>
  <c r="K195" i="4"/>
  <c r="J195" i="4"/>
  <c r="I195" i="4"/>
  <c r="H195" i="4"/>
  <c r="G195" i="4"/>
  <c r="T194" i="4"/>
  <c r="S194" i="4"/>
  <c r="R194" i="4"/>
  <c r="Q194" i="4"/>
  <c r="P194" i="4"/>
  <c r="O194" i="4"/>
  <c r="N194" i="4"/>
  <c r="M194" i="4"/>
  <c r="L194" i="4"/>
  <c r="K194" i="4"/>
  <c r="J194" i="4"/>
  <c r="I194" i="4"/>
  <c r="H194" i="4"/>
  <c r="G194" i="4"/>
  <c r="T193" i="4"/>
  <c r="S193" i="4"/>
  <c r="R193" i="4"/>
  <c r="Q193" i="4"/>
  <c r="P193" i="4"/>
  <c r="O193" i="4"/>
  <c r="N193" i="4"/>
  <c r="M193" i="4"/>
  <c r="L193" i="4"/>
  <c r="K193" i="4"/>
  <c r="J193" i="4"/>
  <c r="I193" i="4"/>
  <c r="H193" i="4"/>
  <c r="G193" i="4"/>
  <c r="T192" i="4"/>
  <c r="S192" i="4"/>
  <c r="R192" i="4"/>
  <c r="Q192" i="4"/>
  <c r="P192" i="4"/>
  <c r="O192" i="4"/>
  <c r="N192" i="4"/>
  <c r="M192" i="4"/>
  <c r="L192" i="4"/>
  <c r="K192" i="4"/>
  <c r="J192" i="4"/>
  <c r="I192" i="4"/>
  <c r="H192" i="4"/>
  <c r="G192" i="4"/>
  <c r="T191" i="4"/>
  <c r="S191" i="4"/>
  <c r="R191" i="4"/>
  <c r="Q191" i="4"/>
  <c r="P191" i="4"/>
  <c r="O191" i="4"/>
  <c r="N191" i="4"/>
  <c r="M191" i="4"/>
  <c r="L191" i="4"/>
  <c r="K191" i="4"/>
  <c r="J191" i="4"/>
  <c r="I191" i="4"/>
  <c r="H191" i="4"/>
  <c r="G191" i="4"/>
  <c r="T190" i="4"/>
  <c r="S190" i="4"/>
  <c r="R190" i="4"/>
  <c r="Q190" i="4"/>
  <c r="P190" i="4"/>
  <c r="O190" i="4"/>
  <c r="N190" i="4"/>
  <c r="M190" i="4"/>
  <c r="L190" i="4"/>
  <c r="K190" i="4"/>
  <c r="J190" i="4"/>
  <c r="I190" i="4"/>
  <c r="H190" i="4"/>
  <c r="G190" i="4"/>
  <c r="T189" i="4"/>
  <c r="S189" i="4"/>
  <c r="R189" i="4"/>
  <c r="Q189" i="4"/>
  <c r="P189" i="4"/>
  <c r="O189" i="4"/>
  <c r="N189" i="4"/>
  <c r="M189" i="4"/>
  <c r="L189" i="4"/>
  <c r="K189" i="4"/>
  <c r="J189" i="4"/>
  <c r="I189" i="4"/>
  <c r="H189" i="4"/>
  <c r="G189" i="4"/>
  <c r="T188" i="4"/>
  <c r="S188" i="4"/>
  <c r="R188" i="4"/>
  <c r="Q188" i="4"/>
  <c r="P188" i="4"/>
  <c r="O188" i="4"/>
  <c r="N188" i="4"/>
  <c r="M188" i="4"/>
  <c r="L188" i="4"/>
  <c r="K188" i="4"/>
  <c r="J188" i="4"/>
  <c r="I188" i="4"/>
  <c r="H188" i="4"/>
  <c r="G188" i="4"/>
  <c r="T187" i="4"/>
  <c r="S187" i="4"/>
  <c r="R187" i="4"/>
  <c r="Q187" i="4"/>
  <c r="P187" i="4"/>
  <c r="O187" i="4"/>
  <c r="N187" i="4"/>
  <c r="M187" i="4"/>
  <c r="L187" i="4"/>
  <c r="K187" i="4"/>
  <c r="J187" i="4"/>
  <c r="I187" i="4"/>
  <c r="H187" i="4"/>
  <c r="G187" i="4"/>
  <c r="T186" i="4"/>
  <c r="S186" i="4"/>
  <c r="R186" i="4"/>
  <c r="Q186" i="4"/>
  <c r="P186" i="4"/>
  <c r="O186" i="4"/>
  <c r="N186" i="4"/>
  <c r="M186" i="4"/>
  <c r="L186" i="4"/>
  <c r="K186" i="4"/>
  <c r="J186" i="4"/>
  <c r="I186" i="4"/>
  <c r="H186" i="4"/>
  <c r="G186" i="4"/>
  <c r="T185" i="4"/>
  <c r="S185" i="4"/>
  <c r="R185" i="4"/>
  <c r="Q185" i="4"/>
  <c r="P185" i="4"/>
  <c r="O185" i="4"/>
  <c r="N185" i="4"/>
  <c r="M185" i="4"/>
  <c r="L185" i="4"/>
  <c r="K185" i="4"/>
  <c r="J185" i="4"/>
  <c r="I185" i="4"/>
  <c r="H185" i="4"/>
  <c r="G185" i="4"/>
  <c r="T184" i="4"/>
  <c r="S184" i="4"/>
  <c r="R184" i="4"/>
  <c r="Q184" i="4"/>
  <c r="P184" i="4"/>
  <c r="O184" i="4"/>
  <c r="N184" i="4"/>
  <c r="M184" i="4"/>
  <c r="L184" i="4"/>
  <c r="K184" i="4"/>
  <c r="J184" i="4"/>
  <c r="I184" i="4"/>
  <c r="H184" i="4"/>
  <c r="G184" i="4"/>
  <c r="T183" i="4"/>
  <c r="S183" i="4"/>
  <c r="R183" i="4"/>
  <c r="Q183" i="4"/>
  <c r="P183" i="4"/>
  <c r="O183" i="4"/>
  <c r="N183" i="4"/>
  <c r="M183" i="4"/>
  <c r="L183" i="4"/>
  <c r="K183" i="4"/>
  <c r="J183" i="4"/>
  <c r="I183" i="4"/>
  <c r="H183" i="4"/>
  <c r="G183" i="4"/>
  <c r="T182" i="4"/>
  <c r="S182" i="4"/>
  <c r="R182" i="4"/>
  <c r="Q182" i="4"/>
  <c r="P182" i="4"/>
  <c r="O182" i="4"/>
  <c r="N182" i="4"/>
  <c r="M182" i="4"/>
  <c r="L182" i="4"/>
  <c r="K182" i="4"/>
  <c r="J182" i="4"/>
  <c r="I182" i="4"/>
  <c r="H182" i="4"/>
  <c r="G182" i="4"/>
  <c r="T181" i="4"/>
  <c r="S181" i="4"/>
  <c r="R181" i="4"/>
  <c r="Q181" i="4"/>
  <c r="P181" i="4"/>
  <c r="O181" i="4"/>
  <c r="N181" i="4"/>
  <c r="M181" i="4"/>
  <c r="L181" i="4"/>
  <c r="K181" i="4"/>
  <c r="J181" i="4"/>
  <c r="I181" i="4"/>
  <c r="H181" i="4"/>
  <c r="G181" i="4"/>
  <c r="T180" i="4"/>
  <c r="S180" i="4"/>
  <c r="R180" i="4"/>
  <c r="Q180" i="4"/>
  <c r="P180" i="4"/>
  <c r="O180" i="4"/>
  <c r="N180" i="4"/>
  <c r="M180" i="4"/>
  <c r="L180" i="4"/>
  <c r="K180" i="4"/>
  <c r="J180" i="4"/>
  <c r="I180" i="4"/>
  <c r="H180" i="4"/>
  <c r="G180" i="4"/>
  <c r="T179" i="4"/>
  <c r="S179" i="4"/>
  <c r="R179" i="4"/>
  <c r="Q179" i="4"/>
  <c r="P179" i="4"/>
  <c r="O179" i="4"/>
  <c r="N179" i="4"/>
  <c r="M179" i="4"/>
  <c r="L179" i="4"/>
  <c r="K179" i="4"/>
  <c r="J179" i="4"/>
  <c r="I179" i="4"/>
  <c r="H179" i="4"/>
  <c r="G179" i="4"/>
  <c r="T178" i="4"/>
  <c r="S178" i="4"/>
  <c r="R178" i="4"/>
  <c r="Q178" i="4"/>
  <c r="P178" i="4"/>
  <c r="O178" i="4"/>
  <c r="N178" i="4"/>
  <c r="M178" i="4"/>
  <c r="L178" i="4"/>
  <c r="K178" i="4"/>
  <c r="J178" i="4"/>
  <c r="I178" i="4"/>
  <c r="H178" i="4"/>
  <c r="G178" i="4"/>
  <c r="T177" i="4"/>
  <c r="S177" i="4"/>
  <c r="R177" i="4"/>
  <c r="Q177" i="4"/>
  <c r="P177" i="4"/>
  <c r="O177" i="4"/>
  <c r="N177" i="4"/>
  <c r="M177" i="4"/>
  <c r="L177" i="4"/>
  <c r="K177" i="4"/>
  <c r="J177" i="4"/>
  <c r="I177" i="4"/>
  <c r="H177" i="4"/>
  <c r="G177" i="4"/>
  <c r="T176" i="4"/>
  <c r="S176" i="4"/>
  <c r="R176" i="4"/>
  <c r="Q176" i="4"/>
  <c r="P176" i="4"/>
  <c r="O176" i="4"/>
  <c r="N176" i="4"/>
  <c r="M176" i="4"/>
  <c r="L176" i="4"/>
  <c r="K176" i="4"/>
  <c r="J176" i="4"/>
  <c r="I176" i="4"/>
  <c r="H176" i="4"/>
  <c r="G176" i="4"/>
  <c r="T175" i="4"/>
  <c r="S175" i="4"/>
  <c r="R175" i="4"/>
  <c r="Q175" i="4"/>
  <c r="P175" i="4"/>
  <c r="O175" i="4"/>
  <c r="N175" i="4"/>
  <c r="M175" i="4"/>
  <c r="L175" i="4"/>
  <c r="K175" i="4"/>
  <c r="J175" i="4"/>
  <c r="I175" i="4"/>
  <c r="H175" i="4"/>
  <c r="G175" i="4"/>
  <c r="T174" i="4"/>
  <c r="S174" i="4"/>
  <c r="R174" i="4"/>
  <c r="Q174" i="4"/>
  <c r="P174" i="4"/>
  <c r="O174" i="4"/>
  <c r="N174" i="4"/>
  <c r="M174" i="4"/>
  <c r="L174" i="4"/>
  <c r="K174" i="4"/>
  <c r="J174" i="4"/>
  <c r="I174" i="4"/>
  <c r="H174" i="4"/>
  <c r="G174" i="4"/>
  <c r="T173" i="4"/>
  <c r="S173" i="4"/>
  <c r="R173" i="4"/>
  <c r="Q173" i="4"/>
  <c r="P173" i="4"/>
  <c r="O173" i="4"/>
  <c r="N173" i="4"/>
  <c r="M173" i="4"/>
  <c r="L173" i="4"/>
  <c r="K173" i="4"/>
  <c r="J173" i="4"/>
  <c r="I173" i="4"/>
  <c r="H173" i="4"/>
  <c r="G173" i="4"/>
  <c r="T172" i="4"/>
  <c r="S172" i="4"/>
  <c r="R172" i="4"/>
  <c r="Q172" i="4"/>
  <c r="P172" i="4"/>
  <c r="O172" i="4"/>
  <c r="N172" i="4"/>
  <c r="M172" i="4"/>
  <c r="L172" i="4"/>
  <c r="K172" i="4"/>
  <c r="J172" i="4"/>
  <c r="I172" i="4"/>
  <c r="H172" i="4"/>
  <c r="G172" i="4"/>
  <c r="T171" i="4"/>
  <c r="S171" i="4"/>
  <c r="R171" i="4"/>
  <c r="Q171" i="4"/>
  <c r="P171" i="4"/>
  <c r="O171" i="4"/>
  <c r="N171" i="4"/>
  <c r="M171" i="4"/>
  <c r="L171" i="4"/>
  <c r="K171" i="4"/>
  <c r="J171" i="4"/>
  <c r="I171" i="4"/>
  <c r="H171" i="4"/>
  <c r="G171" i="4"/>
  <c r="T170" i="4"/>
  <c r="S170" i="4"/>
  <c r="R170" i="4"/>
  <c r="Q170" i="4"/>
  <c r="P170" i="4"/>
  <c r="O170" i="4"/>
  <c r="N170" i="4"/>
  <c r="M170" i="4"/>
  <c r="L170" i="4"/>
  <c r="K170" i="4"/>
  <c r="J170" i="4"/>
  <c r="I170" i="4"/>
  <c r="H170" i="4"/>
  <c r="G170" i="4"/>
  <c r="T169" i="4"/>
  <c r="S169" i="4"/>
  <c r="R169" i="4"/>
  <c r="Q169" i="4"/>
  <c r="P169" i="4"/>
  <c r="O169" i="4"/>
  <c r="N169" i="4"/>
  <c r="M169" i="4"/>
  <c r="L169" i="4"/>
  <c r="K169" i="4"/>
  <c r="J169" i="4"/>
  <c r="I169" i="4"/>
  <c r="H169" i="4"/>
  <c r="G169" i="4"/>
  <c r="T168" i="4"/>
  <c r="S168" i="4"/>
  <c r="R168" i="4"/>
  <c r="Q168" i="4"/>
  <c r="P168" i="4"/>
  <c r="O168" i="4"/>
  <c r="N168" i="4"/>
  <c r="M168" i="4"/>
  <c r="L168" i="4"/>
  <c r="K168" i="4"/>
  <c r="J168" i="4"/>
  <c r="I168" i="4"/>
  <c r="H168" i="4"/>
  <c r="G168" i="4"/>
  <c r="T167" i="4"/>
  <c r="S167" i="4"/>
  <c r="R167" i="4"/>
  <c r="Q167" i="4"/>
  <c r="P167" i="4"/>
  <c r="O167" i="4"/>
  <c r="N167" i="4"/>
  <c r="M167" i="4"/>
  <c r="L167" i="4"/>
  <c r="K167" i="4"/>
  <c r="J167" i="4"/>
  <c r="I167" i="4"/>
  <c r="H167" i="4"/>
  <c r="G167" i="4"/>
  <c r="T166" i="4"/>
  <c r="S166" i="4"/>
  <c r="R166" i="4"/>
  <c r="Q166" i="4"/>
  <c r="P166" i="4"/>
  <c r="O166" i="4"/>
  <c r="N166" i="4"/>
  <c r="M166" i="4"/>
  <c r="L166" i="4"/>
  <c r="K166" i="4"/>
  <c r="J166" i="4"/>
  <c r="I166" i="4"/>
  <c r="H166" i="4"/>
  <c r="G166" i="4"/>
  <c r="T165" i="4"/>
  <c r="S165" i="4"/>
  <c r="R165" i="4"/>
  <c r="Q165" i="4"/>
  <c r="P165" i="4"/>
  <c r="O165" i="4"/>
  <c r="N165" i="4"/>
  <c r="M165" i="4"/>
  <c r="L165" i="4"/>
  <c r="K165" i="4"/>
  <c r="J165" i="4"/>
  <c r="I165" i="4"/>
  <c r="H165" i="4"/>
  <c r="G165" i="4"/>
  <c r="T164" i="4"/>
  <c r="S164" i="4"/>
  <c r="R164" i="4"/>
  <c r="Q164" i="4"/>
  <c r="P164" i="4"/>
  <c r="O164" i="4"/>
  <c r="N164" i="4"/>
  <c r="M164" i="4"/>
  <c r="L164" i="4"/>
  <c r="K164" i="4"/>
  <c r="J164" i="4"/>
  <c r="I164" i="4"/>
  <c r="H164" i="4"/>
  <c r="G164" i="4"/>
  <c r="T163" i="4"/>
  <c r="S163" i="4"/>
  <c r="R163" i="4"/>
  <c r="Q163" i="4"/>
  <c r="P163" i="4"/>
  <c r="O163" i="4"/>
  <c r="N163" i="4"/>
  <c r="M163" i="4"/>
  <c r="L163" i="4"/>
  <c r="K163" i="4"/>
  <c r="J163" i="4"/>
  <c r="I163" i="4"/>
  <c r="H163" i="4"/>
  <c r="G163" i="4"/>
  <c r="T162" i="4"/>
  <c r="S162" i="4"/>
  <c r="R162" i="4"/>
  <c r="Q162" i="4"/>
  <c r="P162" i="4"/>
  <c r="O162" i="4"/>
  <c r="N162" i="4"/>
  <c r="M162" i="4"/>
  <c r="L162" i="4"/>
  <c r="K162" i="4"/>
  <c r="J162" i="4"/>
  <c r="I162" i="4"/>
  <c r="H162" i="4"/>
  <c r="G162" i="4"/>
  <c r="T161" i="4"/>
  <c r="S161" i="4"/>
  <c r="R161" i="4"/>
  <c r="Q161" i="4"/>
  <c r="P161" i="4"/>
  <c r="O161" i="4"/>
  <c r="N161" i="4"/>
  <c r="M161" i="4"/>
  <c r="L161" i="4"/>
  <c r="K161" i="4"/>
  <c r="J161" i="4"/>
  <c r="I161" i="4"/>
  <c r="H161" i="4"/>
  <c r="G161" i="4"/>
  <c r="T160" i="4"/>
  <c r="S160" i="4"/>
  <c r="R160" i="4"/>
  <c r="Q160" i="4"/>
  <c r="P160" i="4"/>
  <c r="O160" i="4"/>
  <c r="N160" i="4"/>
  <c r="M160" i="4"/>
  <c r="L160" i="4"/>
  <c r="K160" i="4"/>
  <c r="J160" i="4"/>
  <c r="I160" i="4"/>
  <c r="H160" i="4"/>
  <c r="G160" i="4"/>
  <c r="T159" i="4"/>
  <c r="S159" i="4"/>
  <c r="R159" i="4"/>
  <c r="Q159" i="4"/>
  <c r="P159" i="4"/>
  <c r="O159" i="4"/>
  <c r="N159" i="4"/>
  <c r="M159" i="4"/>
  <c r="L159" i="4"/>
  <c r="K159" i="4"/>
  <c r="J159" i="4"/>
  <c r="I159" i="4"/>
  <c r="H159" i="4"/>
  <c r="G159" i="4"/>
  <c r="T158" i="4"/>
  <c r="S158" i="4"/>
  <c r="R158" i="4"/>
  <c r="Q158" i="4"/>
  <c r="P158" i="4"/>
  <c r="O158" i="4"/>
  <c r="N158" i="4"/>
  <c r="M158" i="4"/>
  <c r="L158" i="4"/>
  <c r="K158" i="4"/>
  <c r="J158" i="4"/>
  <c r="I158" i="4"/>
  <c r="H158" i="4"/>
  <c r="G158" i="4"/>
  <c r="T157" i="4"/>
  <c r="S157" i="4"/>
  <c r="R157" i="4"/>
  <c r="Q157" i="4"/>
  <c r="P157" i="4"/>
  <c r="O157" i="4"/>
  <c r="N157" i="4"/>
  <c r="M157" i="4"/>
  <c r="L157" i="4"/>
  <c r="K157" i="4"/>
  <c r="J157" i="4"/>
  <c r="I157" i="4"/>
  <c r="H157" i="4"/>
  <c r="G157" i="4"/>
  <c r="T156" i="4"/>
  <c r="S156" i="4"/>
  <c r="R156" i="4"/>
  <c r="Q156" i="4"/>
  <c r="P156" i="4"/>
  <c r="O156" i="4"/>
  <c r="N156" i="4"/>
  <c r="M156" i="4"/>
  <c r="L156" i="4"/>
  <c r="K156" i="4"/>
  <c r="J156" i="4"/>
  <c r="I156" i="4"/>
  <c r="H156" i="4"/>
  <c r="G156" i="4"/>
  <c r="T155" i="4"/>
  <c r="S155" i="4"/>
  <c r="R155" i="4"/>
  <c r="Q155" i="4"/>
  <c r="P155" i="4"/>
  <c r="O155" i="4"/>
  <c r="N155" i="4"/>
  <c r="M155" i="4"/>
  <c r="L155" i="4"/>
  <c r="K155" i="4"/>
  <c r="J155" i="4"/>
  <c r="I155" i="4"/>
  <c r="H155" i="4"/>
  <c r="G155" i="4"/>
  <c r="T154" i="4"/>
  <c r="S154" i="4"/>
  <c r="R154" i="4"/>
  <c r="Q154" i="4"/>
  <c r="P154" i="4"/>
  <c r="O154" i="4"/>
  <c r="N154" i="4"/>
  <c r="M154" i="4"/>
  <c r="L154" i="4"/>
  <c r="K154" i="4"/>
  <c r="J154" i="4"/>
  <c r="I154" i="4"/>
  <c r="H154" i="4"/>
  <c r="G154" i="4"/>
  <c r="T153" i="4"/>
  <c r="S153" i="4"/>
  <c r="R153" i="4"/>
  <c r="Q153" i="4"/>
  <c r="P153" i="4"/>
  <c r="O153" i="4"/>
  <c r="N153" i="4"/>
  <c r="M153" i="4"/>
  <c r="L153" i="4"/>
  <c r="K153" i="4"/>
  <c r="J153" i="4"/>
  <c r="I153" i="4"/>
  <c r="H153" i="4"/>
  <c r="G153" i="4"/>
  <c r="T152" i="4"/>
  <c r="S152" i="4"/>
  <c r="R152" i="4"/>
  <c r="Q152" i="4"/>
  <c r="P152" i="4"/>
  <c r="O152" i="4"/>
  <c r="N152" i="4"/>
  <c r="M152" i="4"/>
  <c r="L152" i="4"/>
  <c r="K152" i="4"/>
  <c r="J152" i="4"/>
  <c r="I152" i="4"/>
  <c r="H152" i="4"/>
  <c r="G152" i="4"/>
  <c r="T151" i="4"/>
  <c r="S151" i="4"/>
  <c r="R151" i="4"/>
  <c r="Q151" i="4"/>
  <c r="P151" i="4"/>
  <c r="O151" i="4"/>
  <c r="N151" i="4"/>
  <c r="M151" i="4"/>
  <c r="L151" i="4"/>
  <c r="K151" i="4"/>
  <c r="J151" i="4"/>
  <c r="I151" i="4"/>
  <c r="H151" i="4"/>
  <c r="G151" i="4"/>
  <c r="T150" i="4"/>
  <c r="S150" i="4"/>
  <c r="R150" i="4"/>
  <c r="Q150" i="4"/>
  <c r="P150" i="4"/>
  <c r="O150" i="4"/>
  <c r="N150" i="4"/>
  <c r="M150" i="4"/>
  <c r="L150" i="4"/>
  <c r="K150" i="4"/>
  <c r="J150" i="4"/>
  <c r="I150" i="4"/>
  <c r="H150" i="4"/>
  <c r="G150" i="4"/>
  <c r="T149" i="4"/>
  <c r="S149" i="4"/>
  <c r="R149" i="4"/>
  <c r="Q149" i="4"/>
  <c r="P149" i="4"/>
  <c r="O149" i="4"/>
  <c r="N149" i="4"/>
  <c r="M149" i="4"/>
  <c r="L149" i="4"/>
  <c r="K149" i="4"/>
  <c r="J149" i="4"/>
  <c r="I149" i="4"/>
  <c r="H149" i="4"/>
  <c r="G149" i="4"/>
  <c r="T148" i="4"/>
  <c r="S148" i="4"/>
  <c r="R148" i="4"/>
  <c r="Q148" i="4"/>
  <c r="P148" i="4"/>
  <c r="O148" i="4"/>
  <c r="N148" i="4"/>
  <c r="M148" i="4"/>
  <c r="L148" i="4"/>
  <c r="K148" i="4"/>
  <c r="J148" i="4"/>
  <c r="I148" i="4"/>
  <c r="H148" i="4"/>
  <c r="G148" i="4"/>
  <c r="T147" i="4"/>
  <c r="S147" i="4"/>
  <c r="R147" i="4"/>
  <c r="Q147" i="4"/>
  <c r="P147" i="4"/>
  <c r="O147" i="4"/>
  <c r="N147" i="4"/>
  <c r="M147" i="4"/>
  <c r="L147" i="4"/>
  <c r="K147" i="4"/>
  <c r="J147" i="4"/>
  <c r="I147" i="4"/>
  <c r="H147" i="4"/>
  <c r="G147" i="4"/>
  <c r="T146" i="4"/>
  <c r="S146" i="4"/>
  <c r="R146" i="4"/>
  <c r="Q146" i="4"/>
  <c r="P146" i="4"/>
  <c r="O146" i="4"/>
  <c r="N146" i="4"/>
  <c r="M146" i="4"/>
  <c r="L146" i="4"/>
  <c r="K146" i="4"/>
  <c r="J146" i="4"/>
  <c r="I146" i="4"/>
  <c r="H146" i="4"/>
  <c r="G146" i="4"/>
  <c r="T145" i="4"/>
  <c r="S145" i="4"/>
  <c r="R145" i="4"/>
  <c r="Q145" i="4"/>
  <c r="P145" i="4"/>
  <c r="O145" i="4"/>
  <c r="N145" i="4"/>
  <c r="M145" i="4"/>
  <c r="L145" i="4"/>
  <c r="K145" i="4"/>
  <c r="J145" i="4"/>
  <c r="I145" i="4"/>
  <c r="H145" i="4"/>
  <c r="G145" i="4"/>
  <c r="T144" i="4"/>
  <c r="S144" i="4"/>
  <c r="R144" i="4"/>
  <c r="Q144" i="4"/>
  <c r="P144" i="4"/>
  <c r="O144" i="4"/>
  <c r="N144" i="4"/>
  <c r="M144" i="4"/>
  <c r="L144" i="4"/>
  <c r="K144" i="4"/>
  <c r="J144" i="4"/>
  <c r="I144" i="4"/>
  <c r="H144" i="4"/>
  <c r="G144" i="4"/>
  <c r="T143" i="4"/>
  <c r="S143" i="4"/>
  <c r="R143" i="4"/>
  <c r="Q143" i="4"/>
  <c r="P143" i="4"/>
  <c r="O143" i="4"/>
  <c r="N143" i="4"/>
  <c r="M143" i="4"/>
  <c r="L143" i="4"/>
  <c r="K143" i="4"/>
  <c r="J143" i="4"/>
  <c r="I143" i="4"/>
  <c r="H143" i="4"/>
  <c r="G143" i="4"/>
  <c r="T142" i="4"/>
  <c r="S142" i="4"/>
  <c r="R142" i="4"/>
  <c r="Q142" i="4"/>
  <c r="P142" i="4"/>
  <c r="O142" i="4"/>
  <c r="N142" i="4"/>
  <c r="M142" i="4"/>
  <c r="L142" i="4"/>
  <c r="K142" i="4"/>
  <c r="J142" i="4"/>
  <c r="I142" i="4"/>
  <c r="H142" i="4"/>
  <c r="G142" i="4"/>
  <c r="T141" i="4"/>
  <c r="S141" i="4"/>
  <c r="R141" i="4"/>
  <c r="Q141" i="4"/>
  <c r="P141" i="4"/>
  <c r="O141" i="4"/>
  <c r="N141" i="4"/>
  <c r="M141" i="4"/>
  <c r="L141" i="4"/>
  <c r="K141" i="4"/>
  <c r="J141" i="4"/>
  <c r="I141" i="4"/>
  <c r="H141" i="4"/>
  <c r="G141" i="4"/>
  <c r="T140" i="4"/>
  <c r="S140" i="4"/>
  <c r="R140" i="4"/>
  <c r="Q140" i="4"/>
  <c r="P140" i="4"/>
  <c r="O140" i="4"/>
  <c r="N140" i="4"/>
  <c r="M140" i="4"/>
  <c r="L140" i="4"/>
  <c r="K140" i="4"/>
  <c r="J140" i="4"/>
  <c r="I140" i="4"/>
  <c r="H140" i="4"/>
  <c r="G140" i="4"/>
  <c r="T139" i="4"/>
  <c r="S139" i="4"/>
  <c r="R139" i="4"/>
  <c r="Q139" i="4"/>
  <c r="P139" i="4"/>
  <c r="O139" i="4"/>
  <c r="N139" i="4"/>
  <c r="M139" i="4"/>
  <c r="L139" i="4"/>
  <c r="K139" i="4"/>
  <c r="J139" i="4"/>
  <c r="I139" i="4"/>
  <c r="H139" i="4"/>
  <c r="G139" i="4"/>
  <c r="T138" i="4"/>
  <c r="S138" i="4"/>
  <c r="R138" i="4"/>
  <c r="Q138" i="4"/>
  <c r="P138" i="4"/>
  <c r="O138" i="4"/>
  <c r="N138" i="4"/>
  <c r="M138" i="4"/>
  <c r="L138" i="4"/>
  <c r="K138" i="4"/>
  <c r="J138" i="4"/>
  <c r="I138" i="4"/>
  <c r="H138" i="4"/>
  <c r="G138" i="4"/>
  <c r="T137" i="4"/>
  <c r="S137" i="4"/>
  <c r="R137" i="4"/>
  <c r="Q137" i="4"/>
  <c r="P137" i="4"/>
  <c r="O137" i="4"/>
  <c r="N137" i="4"/>
  <c r="M137" i="4"/>
  <c r="L137" i="4"/>
  <c r="K137" i="4"/>
  <c r="J137" i="4"/>
  <c r="I137" i="4"/>
  <c r="H137" i="4"/>
  <c r="G137" i="4"/>
  <c r="T136" i="4"/>
  <c r="S136" i="4"/>
  <c r="R136" i="4"/>
  <c r="Q136" i="4"/>
  <c r="P136" i="4"/>
  <c r="O136" i="4"/>
  <c r="N136" i="4"/>
  <c r="M136" i="4"/>
  <c r="L136" i="4"/>
  <c r="K136" i="4"/>
  <c r="J136" i="4"/>
  <c r="I136" i="4"/>
  <c r="H136" i="4"/>
  <c r="G136" i="4"/>
  <c r="T135" i="4"/>
  <c r="S135" i="4"/>
  <c r="R135" i="4"/>
  <c r="Q135" i="4"/>
  <c r="P135" i="4"/>
  <c r="O135" i="4"/>
  <c r="N135" i="4"/>
  <c r="M135" i="4"/>
  <c r="L135" i="4"/>
  <c r="K135" i="4"/>
  <c r="J135" i="4"/>
  <c r="I135" i="4"/>
  <c r="H135" i="4"/>
  <c r="G135" i="4"/>
  <c r="T134" i="4"/>
  <c r="S134" i="4"/>
  <c r="R134" i="4"/>
  <c r="Q134" i="4"/>
  <c r="P134" i="4"/>
  <c r="O134" i="4"/>
  <c r="N134" i="4"/>
  <c r="M134" i="4"/>
  <c r="L134" i="4"/>
  <c r="K134" i="4"/>
  <c r="J134" i="4"/>
  <c r="I134" i="4"/>
  <c r="H134" i="4"/>
  <c r="G134" i="4"/>
  <c r="T133" i="4"/>
  <c r="S133" i="4"/>
  <c r="R133" i="4"/>
  <c r="Q133" i="4"/>
  <c r="P133" i="4"/>
  <c r="O133" i="4"/>
  <c r="N133" i="4"/>
  <c r="M133" i="4"/>
  <c r="L133" i="4"/>
  <c r="K133" i="4"/>
  <c r="J133" i="4"/>
  <c r="I133" i="4"/>
  <c r="H133" i="4"/>
  <c r="G133" i="4"/>
  <c r="T132" i="4"/>
  <c r="S132" i="4"/>
  <c r="R132" i="4"/>
  <c r="Q132" i="4"/>
  <c r="P132" i="4"/>
  <c r="O132" i="4"/>
  <c r="N132" i="4"/>
  <c r="M132" i="4"/>
  <c r="L132" i="4"/>
  <c r="K132" i="4"/>
  <c r="J132" i="4"/>
  <c r="I132" i="4"/>
  <c r="H132" i="4"/>
  <c r="G132" i="4"/>
  <c r="T131" i="4"/>
  <c r="S131" i="4"/>
  <c r="R131" i="4"/>
  <c r="Q131" i="4"/>
  <c r="P131" i="4"/>
  <c r="O131" i="4"/>
  <c r="N131" i="4"/>
  <c r="M131" i="4"/>
  <c r="L131" i="4"/>
  <c r="K131" i="4"/>
  <c r="J131" i="4"/>
  <c r="I131" i="4"/>
  <c r="H131" i="4"/>
  <c r="G131" i="4"/>
  <c r="T130" i="4"/>
  <c r="S130" i="4"/>
  <c r="R130" i="4"/>
  <c r="Q130" i="4"/>
  <c r="P130" i="4"/>
  <c r="O130" i="4"/>
  <c r="N130" i="4"/>
  <c r="M130" i="4"/>
  <c r="L130" i="4"/>
  <c r="K130" i="4"/>
  <c r="J130" i="4"/>
  <c r="I130" i="4"/>
  <c r="H130" i="4"/>
  <c r="G130" i="4"/>
  <c r="T129" i="4"/>
  <c r="S129" i="4"/>
  <c r="R129" i="4"/>
  <c r="Q129" i="4"/>
  <c r="P129" i="4"/>
  <c r="O129" i="4"/>
  <c r="N129" i="4"/>
  <c r="M129" i="4"/>
  <c r="L129" i="4"/>
  <c r="K129" i="4"/>
  <c r="J129" i="4"/>
  <c r="I129" i="4"/>
  <c r="H129" i="4"/>
  <c r="G129" i="4"/>
  <c r="T128" i="4"/>
  <c r="S128" i="4"/>
  <c r="R128" i="4"/>
  <c r="Q128" i="4"/>
  <c r="P128" i="4"/>
  <c r="O128" i="4"/>
  <c r="N128" i="4"/>
  <c r="M128" i="4"/>
  <c r="L128" i="4"/>
  <c r="K128" i="4"/>
  <c r="J128" i="4"/>
  <c r="I128" i="4"/>
  <c r="H128" i="4"/>
  <c r="G128" i="4"/>
  <c r="T127" i="4"/>
  <c r="S127" i="4"/>
  <c r="R127" i="4"/>
  <c r="Q127" i="4"/>
  <c r="P127" i="4"/>
  <c r="O127" i="4"/>
  <c r="N127" i="4"/>
  <c r="M127" i="4"/>
  <c r="L127" i="4"/>
  <c r="K127" i="4"/>
  <c r="J127" i="4"/>
  <c r="I127" i="4"/>
  <c r="H127" i="4"/>
  <c r="G127" i="4"/>
  <c r="T126" i="4"/>
  <c r="S126" i="4"/>
  <c r="R126" i="4"/>
  <c r="Q126" i="4"/>
  <c r="P126" i="4"/>
  <c r="O126" i="4"/>
  <c r="N126" i="4"/>
  <c r="M126" i="4"/>
  <c r="L126" i="4"/>
  <c r="K126" i="4"/>
  <c r="J126" i="4"/>
  <c r="I126" i="4"/>
  <c r="H126" i="4"/>
  <c r="G126" i="4"/>
  <c r="T125" i="4"/>
  <c r="S125" i="4"/>
  <c r="R125" i="4"/>
  <c r="Q125" i="4"/>
  <c r="P125" i="4"/>
  <c r="O125" i="4"/>
  <c r="N125" i="4"/>
  <c r="M125" i="4"/>
  <c r="L125" i="4"/>
  <c r="K125" i="4"/>
  <c r="J125" i="4"/>
  <c r="I125" i="4"/>
  <c r="H125" i="4"/>
  <c r="G125" i="4"/>
  <c r="T124" i="4"/>
  <c r="S124" i="4"/>
  <c r="R124" i="4"/>
  <c r="Q124" i="4"/>
  <c r="P124" i="4"/>
  <c r="O124" i="4"/>
  <c r="N124" i="4"/>
  <c r="M124" i="4"/>
  <c r="L124" i="4"/>
  <c r="K124" i="4"/>
  <c r="J124" i="4"/>
  <c r="I124" i="4"/>
  <c r="H124" i="4"/>
  <c r="G124" i="4"/>
  <c r="T123" i="4"/>
  <c r="S123" i="4"/>
  <c r="R123" i="4"/>
  <c r="Q123" i="4"/>
  <c r="P123" i="4"/>
  <c r="O123" i="4"/>
  <c r="N123" i="4"/>
  <c r="M123" i="4"/>
  <c r="L123" i="4"/>
  <c r="K123" i="4"/>
  <c r="J123" i="4"/>
  <c r="I123" i="4"/>
  <c r="H123" i="4"/>
  <c r="G123" i="4"/>
  <c r="T122" i="4"/>
  <c r="S122" i="4"/>
  <c r="R122" i="4"/>
  <c r="Q122" i="4"/>
  <c r="P122" i="4"/>
  <c r="O122" i="4"/>
  <c r="N122" i="4"/>
  <c r="M122" i="4"/>
  <c r="L122" i="4"/>
  <c r="K122" i="4"/>
  <c r="J122" i="4"/>
  <c r="I122" i="4"/>
  <c r="H122" i="4"/>
  <c r="G122" i="4"/>
  <c r="T121" i="4"/>
  <c r="S121" i="4"/>
  <c r="R121" i="4"/>
  <c r="Q121" i="4"/>
  <c r="P121" i="4"/>
  <c r="O121" i="4"/>
  <c r="N121" i="4"/>
  <c r="M121" i="4"/>
  <c r="L121" i="4"/>
  <c r="K121" i="4"/>
  <c r="J121" i="4"/>
  <c r="I121" i="4"/>
  <c r="H121" i="4"/>
  <c r="G121" i="4"/>
  <c r="T120" i="4"/>
  <c r="S120" i="4"/>
  <c r="R120" i="4"/>
  <c r="Q120" i="4"/>
  <c r="P120" i="4"/>
  <c r="O120" i="4"/>
  <c r="N120" i="4"/>
  <c r="M120" i="4"/>
  <c r="L120" i="4"/>
  <c r="K120" i="4"/>
  <c r="J120" i="4"/>
  <c r="I120" i="4"/>
  <c r="H120" i="4"/>
  <c r="G120" i="4"/>
  <c r="T119" i="4"/>
  <c r="S119" i="4"/>
  <c r="R119" i="4"/>
  <c r="Q119" i="4"/>
  <c r="P119" i="4"/>
  <c r="O119" i="4"/>
  <c r="N119" i="4"/>
  <c r="M119" i="4"/>
  <c r="L119" i="4"/>
  <c r="K119" i="4"/>
  <c r="J119" i="4"/>
  <c r="I119" i="4"/>
  <c r="H119" i="4"/>
  <c r="G119" i="4"/>
  <c r="T118" i="4"/>
  <c r="S118" i="4"/>
  <c r="R118" i="4"/>
  <c r="Q118" i="4"/>
  <c r="P118" i="4"/>
  <c r="O118" i="4"/>
  <c r="N118" i="4"/>
  <c r="M118" i="4"/>
  <c r="L118" i="4"/>
  <c r="K118" i="4"/>
  <c r="J118" i="4"/>
  <c r="I118" i="4"/>
  <c r="H118" i="4"/>
  <c r="G118" i="4"/>
  <c r="T117" i="4"/>
  <c r="S117" i="4"/>
  <c r="R117" i="4"/>
  <c r="Q117" i="4"/>
  <c r="P117" i="4"/>
  <c r="O117" i="4"/>
  <c r="N117" i="4"/>
  <c r="M117" i="4"/>
  <c r="L117" i="4"/>
  <c r="K117" i="4"/>
  <c r="J117" i="4"/>
  <c r="I117" i="4"/>
  <c r="H117" i="4"/>
  <c r="G117" i="4"/>
  <c r="T116" i="4"/>
  <c r="S116" i="4"/>
  <c r="R116" i="4"/>
  <c r="Q116" i="4"/>
  <c r="P116" i="4"/>
  <c r="O116" i="4"/>
  <c r="N116" i="4"/>
  <c r="M116" i="4"/>
  <c r="L116" i="4"/>
  <c r="K116" i="4"/>
  <c r="J116" i="4"/>
  <c r="I116" i="4"/>
  <c r="H116" i="4"/>
  <c r="G116" i="4"/>
  <c r="T115" i="4"/>
  <c r="S115" i="4"/>
  <c r="R115" i="4"/>
  <c r="Q115" i="4"/>
  <c r="P115" i="4"/>
  <c r="O115" i="4"/>
  <c r="N115" i="4"/>
  <c r="M115" i="4"/>
  <c r="L115" i="4"/>
  <c r="K115" i="4"/>
  <c r="J115" i="4"/>
  <c r="I115" i="4"/>
  <c r="H115" i="4"/>
  <c r="G115" i="4"/>
  <c r="T114" i="4"/>
  <c r="S114" i="4"/>
  <c r="R114" i="4"/>
  <c r="Q114" i="4"/>
  <c r="P114" i="4"/>
  <c r="O114" i="4"/>
  <c r="N114" i="4"/>
  <c r="M114" i="4"/>
  <c r="L114" i="4"/>
  <c r="K114" i="4"/>
  <c r="J114" i="4"/>
  <c r="I114" i="4"/>
  <c r="H114" i="4"/>
  <c r="G114" i="4"/>
  <c r="T113" i="4"/>
  <c r="S113" i="4"/>
  <c r="R113" i="4"/>
  <c r="Q113" i="4"/>
  <c r="P113" i="4"/>
  <c r="O113" i="4"/>
  <c r="N113" i="4"/>
  <c r="M113" i="4"/>
  <c r="L113" i="4"/>
  <c r="K113" i="4"/>
  <c r="J113" i="4"/>
  <c r="I113" i="4"/>
  <c r="H113" i="4"/>
  <c r="G113" i="4"/>
  <c r="T112" i="4"/>
  <c r="S112" i="4"/>
  <c r="R112" i="4"/>
  <c r="Q112" i="4"/>
  <c r="P112" i="4"/>
  <c r="O112" i="4"/>
  <c r="N112" i="4"/>
  <c r="M112" i="4"/>
  <c r="L112" i="4"/>
  <c r="K112" i="4"/>
  <c r="J112" i="4"/>
  <c r="I112" i="4"/>
  <c r="H112" i="4"/>
  <c r="G112" i="4"/>
  <c r="T111" i="4"/>
  <c r="S111" i="4"/>
  <c r="R111" i="4"/>
  <c r="Q111" i="4"/>
  <c r="P111" i="4"/>
  <c r="O111" i="4"/>
  <c r="N111" i="4"/>
  <c r="M111" i="4"/>
  <c r="L111" i="4"/>
  <c r="K111" i="4"/>
  <c r="J111" i="4"/>
  <c r="I111" i="4"/>
  <c r="H111" i="4"/>
  <c r="G111" i="4"/>
  <c r="T110" i="4"/>
  <c r="S110" i="4"/>
  <c r="R110" i="4"/>
  <c r="Q110" i="4"/>
  <c r="P110" i="4"/>
  <c r="O110" i="4"/>
  <c r="N110" i="4"/>
  <c r="M110" i="4"/>
  <c r="L110" i="4"/>
  <c r="K110" i="4"/>
  <c r="J110" i="4"/>
  <c r="I110" i="4"/>
  <c r="H110" i="4"/>
  <c r="G110" i="4"/>
  <c r="T109" i="4"/>
  <c r="S109" i="4"/>
  <c r="R109" i="4"/>
  <c r="Q109" i="4"/>
  <c r="P109" i="4"/>
  <c r="O109" i="4"/>
  <c r="N109" i="4"/>
  <c r="M109" i="4"/>
  <c r="L109" i="4"/>
  <c r="K109" i="4"/>
  <c r="J109" i="4"/>
  <c r="I109" i="4"/>
  <c r="H109" i="4"/>
  <c r="G109" i="4"/>
  <c r="T108" i="4"/>
  <c r="S108" i="4"/>
  <c r="R108" i="4"/>
  <c r="Q108" i="4"/>
  <c r="P108" i="4"/>
  <c r="O108" i="4"/>
  <c r="N108" i="4"/>
  <c r="M108" i="4"/>
  <c r="L108" i="4"/>
  <c r="K108" i="4"/>
  <c r="J108" i="4"/>
  <c r="I108" i="4"/>
  <c r="H108" i="4"/>
  <c r="G108" i="4"/>
  <c r="T107" i="4"/>
  <c r="S107" i="4"/>
  <c r="R107" i="4"/>
  <c r="Q107" i="4"/>
  <c r="P107" i="4"/>
  <c r="O107" i="4"/>
  <c r="N107" i="4"/>
  <c r="M107" i="4"/>
  <c r="L107" i="4"/>
  <c r="K107" i="4"/>
  <c r="J107" i="4"/>
  <c r="I107" i="4"/>
  <c r="H107" i="4"/>
  <c r="G107" i="4"/>
  <c r="T106" i="4"/>
  <c r="S106" i="4"/>
  <c r="R106" i="4"/>
  <c r="Q106" i="4"/>
  <c r="P106" i="4"/>
  <c r="O106" i="4"/>
  <c r="N106" i="4"/>
  <c r="M106" i="4"/>
  <c r="L106" i="4"/>
  <c r="K106" i="4"/>
  <c r="J106" i="4"/>
  <c r="I106" i="4"/>
  <c r="H106" i="4"/>
  <c r="G106" i="4"/>
  <c r="T105" i="4"/>
  <c r="S105" i="4"/>
  <c r="R105" i="4"/>
  <c r="Q105" i="4"/>
  <c r="P105" i="4"/>
  <c r="O105" i="4"/>
  <c r="N105" i="4"/>
  <c r="M105" i="4"/>
  <c r="L105" i="4"/>
  <c r="K105" i="4"/>
  <c r="J105" i="4"/>
  <c r="I105" i="4"/>
  <c r="H105" i="4"/>
  <c r="G105" i="4"/>
  <c r="T104" i="4"/>
  <c r="S104" i="4"/>
  <c r="R104" i="4"/>
  <c r="Q104" i="4"/>
  <c r="P104" i="4"/>
  <c r="O104" i="4"/>
  <c r="N104" i="4"/>
  <c r="M104" i="4"/>
  <c r="L104" i="4"/>
  <c r="K104" i="4"/>
  <c r="J104" i="4"/>
  <c r="I104" i="4"/>
  <c r="H104" i="4"/>
  <c r="G104" i="4"/>
  <c r="T103" i="4"/>
  <c r="S103" i="4"/>
  <c r="R103" i="4"/>
  <c r="Q103" i="4"/>
  <c r="P103" i="4"/>
  <c r="O103" i="4"/>
  <c r="N103" i="4"/>
  <c r="M103" i="4"/>
  <c r="L103" i="4"/>
  <c r="K103" i="4"/>
  <c r="J103" i="4"/>
  <c r="I103" i="4"/>
  <c r="H103" i="4"/>
  <c r="G103" i="4"/>
  <c r="T102" i="4"/>
  <c r="S102" i="4"/>
  <c r="R102" i="4"/>
  <c r="Q102" i="4"/>
  <c r="P102" i="4"/>
  <c r="O102" i="4"/>
  <c r="N102" i="4"/>
  <c r="M102" i="4"/>
  <c r="L102" i="4"/>
  <c r="K102" i="4"/>
  <c r="J102" i="4"/>
  <c r="I102" i="4"/>
  <c r="H102" i="4"/>
  <c r="G102" i="4"/>
  <c r="T101" i="4"/>
  <c r="S101" i="4"/>
  <c r="R101" i="4"/>
  <c r="Q101" i="4"/>
  <c r="P101" i="4"/>
  <c r="O101" i="4"/>
  <c r="N101" i="4"/>
  <c r="M101" i="4"/>
  <c r="L101" i="4"/>
  <c r="K101" i="4"/>
  <c r="J101" i="4"/>
  <c r="I101" i="4"/>
  <c r="H101" i="4"/>
  <c r="G101" i="4"/>
  <c r="T100" i="4"/>
  <c r="S100" i="4"/>
  <c r="R100" i="4"/>
  <c r="Q100" i="4"/>
  <c r="P100" i="4"/>
  <c r="O100" i="4"/>
  <c r="N100" i="4"/>
  <c r="M100" i="4"/>
  <c r="L100" i="4"/>
  <c r="K100" i="4"/>
  <c r="J100" i="4"/>
  <c r="I100" i="4"/>
  <c r="H100" i="4"/>
  <c r="G100" i="4"/>
  <c r="T99" i="4"/>
  <c r="S99" i="4"/>
  <c r="R99" i="4"/>
  <c r="Q99" i="4"/>
  <c r="P99" i="4"/>
  <c r="O99" i="4"/>
  <c r="N99" i="4"/>
  <c r="M99" i="4"/>
  <c r="L99" i="4"/>
  <c r="K99" i="4"/>
  <c r="J99" i="4"/>
  <c r="I99" i="4"/>
  <c r="H99" i="4"/>
  <c r="G99" i="4"/>
  <c r="T98" i="4"/>
  <c r="S98" i="4"/>
  <c r="R98" i="4"/>
  <c r="Q98" i="4"/>
  <c r="P98" i="4"/>
  <c r="O98" i="4"/>
  <c r="N98" i="4"/>
  <c r="M98" i="4"/>
  <c r="L98" i="4"/>
  <c r="K98" i="4"/>
  <c r="J98" i="4"/>
  <c r="I98" i="4"/>
  <c r="H98" i="4"/>
  <c r="G98" i="4"/>
  <c r="T97" i="4"/>
  <c r="S97" i="4"/>
  <c r="R97" i="4"/>
  <c r="Q97" i="4"/>
  <c r="P97" i="4"/>
  <c r="O97" i="4"/>
  <c r="N97" i="4"/>
  <c r="M97" i="4"/>
  <c r="L97" i="4"/>
  <c r="K97" i="4"/>
  <c r="J97" i="4"/>
  <c r="I97" i="4"/>
  <c r="H97" i="4"/>
  <c r="G97" i="4"/>
  <c r="T96" i="4"/>
  <c r="S96" i="4"/>
  <c r="R96" i="4"/>
  <c r="Q96" i="4"/>
  <c r="P96" i="4"/>
  <c r="O96" i="4"/>
  <c r="N96" i="4"/>
  <c r="M96" i="4"/>
  <c r="L96" i="4"/>
  <c r="K96" i="4"/>
  <c r="J96" i="4"/>
  <c r="I96" i="4"/>
  <c r="H96" i="4"/>
  <c r="G96" i="4"/>
  <c r="T95" i="4"/>
  <c r="S95" i="4"/>
  <c r="R95" i="4"/>
  <c r="Q95" i="4"/>
  <c r="P95" i="4"/>
  <c r="O95" i="4"/>
  <c r="N95" i="4"/>
  <c r="M95" i="4"/>
  <c r="L95" i="4"/>
  <c r="K95" i="4"/>
  <c r="J95" i="4"/>
  <c r="I95" i="4"/>
  <c r="H95" i="4"/>
  <c r="G95" i="4"/>
  <c r="T94" i="4"/>
  <c r="S94" i="4"/>
  <c r="R94" i="4"/>
  <c r="Q94" i="4"/>
  <c r="P94" i="4"/>
  <c r="O94" i="4"/>
  <c r="N94" i="4"/>
  <c r="M94" i="4"/>
  <c r="L94" i="4"/>
  <c r="K94" i="4"/>
  <c r="J94" i="4"/>
  <c r="I94" i="4"/>
  <c r="H94" i="4"/>
  <c r="G94" i="4"/>
  <c r="T93" i="4"/>
  <c r="S93" i="4"/>
  <c r="R93" i="4"/>
  <c r="Q93" i="4"/>
  <c r="P93" i="4"/>
  <c r="O93" i="4"/>
  <c r="N93" i="4"/>
  <c r="M93" i="4"/>
  <c r="L93" i="4"/>
  <c r="K93" i="4"/>
  <c r="J93" i="4"/>
  <c r="I93" i="4"/>
  <c r="H93" i="4"/>
  <c r="G93" i="4"/>
  <c r="T92" i="4"/>
  <c r="S92" i="4"/>
  <c r="R92" i="4"/>
  <c r="Q92" i="4"/>
  <c r="P92" i="4"/>
  <c r="O92" i="4"/>
  <c r="N92" i="4"/>
  <c r="M92" i="4"/>
  <c r="L92" i="4"/>
  <c r="K92" i="4"/>
  <c r="J92" i="4"/>
  <c r="I92" i="4"/>
  <c r="H92" i="4"/>
  <c r="G92" i="4"/>
  <c r="T91" i="4"/>
  <c r="S91" i="4"/>
  <c r="R91" i="4"/>
  <c r="Q91" i="4"/>
  <c r="P91" i="4"/>
  <c r="O91" i="4"/>
  <c r="N91" i="4"/>
  <c r="M91" i="4"/>
  <c r="L91" i="4"/>
  <c r="K91" i="4"/>
  <c r="J91" i="4"/>
  <c r="I91" i="4"/>
  <c r="H91" i="4"/>
  <c r="G91" i="4"/>
  <c r="T90" i="4"/>
  <c r="S90" i="4"/>
  <c r="R90" i="4"/>
  <c r="Q90" i="4"/>
  <c r="P90" i="4"/>
  <c r="O90" i="4"/>
  <c r="N90" i="4"/>
  <c r="M90" i="4"/>
  <c r="L90" i="4"/>
  <c r="K90" i="4"/>
  <c r="J90" i="4"/>
  <c r="I90" i="4"/>
  <c r="H90" i="4"/>
  <c r="G90" i="4"/>
  <c r="T89" i="4"/>
  <c r="S89" i="4"/>
  <c r="R89" i="4"/>
  <c r="Q89" i="4"/>
  <c r="P89" i="4"/>
  <c r="O89" i="4"/>
  <c r="N89" i="4"/>
  <c r="M89" i="4"/>
  <c r="L89" i="4"/>
  <c r="K89" i="4"/>
  <c r="J89" i="4"/>
  <c r="I89" i="4"/>
  <c r="H89" i="4"/>
  <c r="G89" i="4"/>
  <c r="T88" i="4"/>
  <c r="S88" i="4"/>
  <c r="R88" i="4"/>
  <c r="Q88" i="4"/>
  <c r="P88" i="4"/>
  <c r="O88" i="4"/>
  <c r="N88" i="4"/>
  <c r="M88" i="4"/>
  <c r="L88" i="4"/>
  <c r="K88" i="4"/>
  <c r="J88" i="4"/>
  <c r="I88" i="4"/>
  <c r="H88" i="4"/>
  <c r="G88" i="4"/>
  <c r="T87" i="4"/>
  <c r="S87" i="4"/>
  <c r="R87" i="4"/>
  <c r="Q87" i="4"/>
  <c r="P87" i="4"/>
  <c r="O87" i="4"/>
  <c r="N87" i="4"/>
  <c r="M87" i="4"/>
  <c r="L87" i="4"/>
  <c r="K87" i="4"/>
  <c r="J87" i="4"/>
  <c r="I87" i="4"/>
  <c r="H87" i="4"/>
  <c r="G87" i="4"/>
  <c r="T86" i="4"/>
  <c r="S86" i="4"/>
  <c r="R86" i="4"/>
  <c r="Q86" i="4"/>
  <c r="P86" i="4"/>
  <c r="O86" i="4"/>
  <c r="N86" i="4"/>
  <c r="M86" i="4"/>
  <c r="L86" i="4"/>
  <c r="K86" i="4"/>
  <c r="J86" i="4"/>
  <c r="I86" i="4"/>
  <c r="H86" i="4"/>
  <c r="G86" i="4"/>
  <c r="T85" i="4"/>
  <c r="S85" i="4"/>
  <c r="R85" i="4"/>
  <c r="Q85" i="4"/>
  <c r="P85" i="4"/>
  <c r="O85" i="4"/>
  <c r="N85" i="4"/>
  <c r="M85" i="4"/>
  <c r="L85" i="4"/>
  <c r="K85" i="4"/>
  <c r="J85" i="4"/>
  <c r="I85" i="4"/>
  <c r="H85" i="4"/>
  <c r="G85" i="4"/>
  <c r="T84" i="4"/>
  <c r="S84" i="4"/>
  <c r="R84" i="4"/>
  <c r="Q84" i="4"/>
  <c r="P84" i="4"/>
  <c r="O84" i="4"/>
  <c r="N84" i="4"/>
  <c r="M84" i="4"/>
  <c r="L84" i="4"/>
  <c r="K84" i="4"/>
  <c r="J84" i="4"/>
  <c r="I84" i="4"/>
  <c r="H84" i="4"/>
  <c r="G84" i="4"/>
  <c r="T83" i="4"/>
  <c r="S83" i="4"/>
  <c r="R83" i="4"/>
  <c r="Q83" i="4"/>
  <c r="P83" i="4"/>
  <c r="O83" i="4"/>
  <c r="N83" i="4"/>
  <c r="M83" i="4"/>
  <c r="L83" i="4"/>
  <c r="K83" i="4"/>
  <c r="J83" i="4"/>
  <c r="I83" i="4"/>
  <c r="H83" i="4"/>
  <c r="G83" i="4"/>
  <c r="T82" i="4"/>
  <c r="S82" i="4"/>
  <c r="R82" i="4"/>
  <c r="Q82" i="4"/>
  <c r="P82" i="4"/>
  <c r="O82" i="4"/>
  <c r="N82" i="4"/>
  <c r="M82" i="4"/>
  <c r="L82" i="4"/>
  <c r="K82" i="4"/>
  <c r="J82" i="4"/>
  <c r="I82" i="4"/>
  <c r="H82" i="4"/>
  <c r="G82" i="4"/>
  <c r="T81" i="4"/>
  <c r="S81" i="4"/>
  <c r="R81" i="4"/>
  <c r="Q81" i="4"/>
  <c r="P81" i="4"/>
  <c r="O81" i="4"/>
  <c r="N81" i="4"/>
  <c r="M81" i="4"/>
  <c r="L81" i="4"/>
  <c r="K81" i="4"/>
  <c r="J81" i="4"/>
  <c r="I81" i="4"/>
  <c r="H81" i="4"/>
  <c r="G81" i="4"/>
  <c r="T80" i="4"/>
  <c r="S80" i="4"/>
  <c r="R80" i="4"/>
  <c r="Q80" i="4"/>
  <c r="P80" i="4"/>
  <c r="O80" i="4"/>
  <c r="N80" i="4"/>
  <c r="M80" i="4"/>
  <c r="L80" i="4"/>
  <c r="K80" i="4"/>
  <c r="J80" i="4"/>
  <c r="I80" i="4"/>
  <c r="H80" i="4"/>
  <c r="G80" i="4"/>
  <c r="T79" i="4"/>
  <c r="S79" i="4"/>
  <c r="R79" i="4"/>
  <c r="Q79" i="4"/>
  <c r="P79" i="4"/>
  <c r="O79" i="4"/>
  <c r="N79" i="4"/>
  <c r="M79" i="4"/>
  <c r="L79" i="4"/>
  <c r="K79" i="4"/>
  <c r="J79" i="4"/>
  <c r="I79" i="4"/>
  <c r="H79" i="4"/>
  <c r="G79" i="4"/>
  <c r="T78" i="4"/>
  <c r="S78" i="4"/>
  <c r="R78" i="4"/>
  <c r="Q78" i="4"/>
  <c r="P78" i="4"/>
  <c r="O78" i="4"/>
  <c r="N78" i="4"/>
  <c r="M78" i="4"/>
  <c r="L78" i="4"/>
  <c r="K78" i="4"/>
  <c r="J78" i="4"/>
  <c r="I78" i="4"/>
  <c r="H78" i="4"/>
  <c r="G78" i="4"/>
  <c r="T77" i="4"/>
  <c r="S77" i="4"/>
  <c r="R77" i="4"/>
  <c r="Q77" i="4"/>
  <c r="P77" i="4"/>
  <c r="O77" i="4"/>
  <c r="N77" i="4"/>
  <c r="M77" i="4"/>
  <c r="L77" i="4"/>
  <c r="K77" i="4"/>
  <c r="J77" i="4"/>
  <c r="I77" i="4"/>
  <c r="H77" i="4"/>
  <c r="G77" i="4"/>
  <c r="T76" i="4"/>
  <c r="S76" i="4"/>
  <c r="R76" i="4"/>
  <c r="Q76" i="4"/>
  <c r="P76" i="4"/>
  <c r="O76" i="4"/>
  <c r="N76" i="4"/>
  <c r="M76" i="4"/>
  <c r="L76" i="4"/>
  <c r="K76" i="4"/>
  <c r="J76" i="4"/>
  <c r="I76" i="4"/>
  <c r="H76" i="4"/>
  <c r="G76" i="4"/>
  <c r="T75" i="4"/>
  <c r="S75" i="4"/>
  <c r="R75" i="4"/>
  <c r="Q75" i="4"/>
  <c r="P75" i="4"/>
  <c r="O75" i="4"/>
  <c r="N75" i="4"/>
  <c r="M75" i="4"/>
  <c r="L75" i="4"/>
  <c r="K75" i="4"/>
  <c r="J75" i="4"/>
  <c r="I75" i="4"/>
  <c r="H75" i="4"/>
  <c r="G75" i="4"/>
  <c r="T74" i="4"/>
  <c r="S74" i="4"/>
  <c r="R74" i="4"/>
  <c r="Q74" i="4"/>
  <c r="P74" i="4"/>
  <c r="O74" i="4"/>
  <c r="N74" i="4"/>
  <c r="M74" i="4"/>
  <c r="L74" i="4"/>
  <c r="K74" i="4"/>
  <c r="J74" i="4"/>
  <c r="I74" i="4"/>
  <c r="H74" i="4"/>
  <c r="G74" i="4"/>
  <c r="T73" i="4"/>
  <c r="S73" i="4"/>
  <c r="R73" i="4"/>
  <c r="Q73" i="4"/>
  <c r="P73" i="4"/>
  <c r="O73" i="4"/>
  <c r="N73" i="4"/>
  <c r="M73" i="4"/>
  <c r="L73" i="4"/>
  <c r="K73" i="4"/>
  <c r="J73" i="4"/>
  <c r="I73" i="4"/>
  <c r="H73" i="4"/>
  <c r="G73" i="4"/>
  <c r="T72" i="4"/>
  <c r="S72" i="4"/>
  <c r="R72" i="4"/>
  <c r="Q72" i="4"/>
  <c r="P72" i="4"/>
  <c r="O72" i="4"/>
  <c r="N72" i="4"/>
  <c r="M72" i="4"/>
  <c r="L72" i="4"/>
  <c r="K72" i="4"/>
  <c r="J72" i="4"/>
  <c r="I72" i="4"/>
  <c r="H72" i="4"/>
  <c r="G72" i="4"/>
  <c r="T71" i="4"/>
  <c r="S71" i="4"/>
  <c r="R71" i="4"/>
  <c r="Q71" i="4"/>
  <c r="P71" i="4"/>
  <c r="O71" i="4"/>
  <c r="N71" i="4"/>
  <c r="M71" i="4"/>
  <c r="L71" i="4"/>
  <c r="K71" i="4"/>
  <c r="J71" i="4"/>
  <c r="I71" i="4"/>
  <c r="H71" i="4"/>
  <c r="G71" i="4"/>
  <c r="T70" i="4"/>
  <c r="S70" i="4"/>
  <c r="R70" i="4"/>
  <c r="Q70" i="4"/>
  <c r="P70" i="4"/>
  <c r="O70" i="4"/>
  <c r="N70" i="4"/>
  <c r="M70" i="4"/>
  <c r="L70" i="4"/>
  <c r="K70" i="4"/>
  <c r="J70" i="4"/>
  <c r="I70" i="4"/>
  <c r="H70" i="4"/>
  <c r="G70" i="4"/>
  <c r="T69" i="4"/>
  <c r="S69" i="4"/>
  <c r="R69" i="4"/>
  <c r="Q69" i="4"/>
  <c r="P69" i="4"/>
  <c r="O69" i="4"/>
  <c r="N69" i="4"/>
  <c r="M69" i="4"/>
  <c r="L69" i="4"/>
  <c r="K69" i="4"/>
  <c r="J69" i="4"/>
  <c r="I69" i="4"/>
  <c r="H69" i="4"/>
  <c r="G69" i="4"/>
  <c r="T68" i="4"/>
  <c r="S68" i="4"/>
  <c r="R68" i="4"/>
  <c r="Q68" i="4"/>
  <c r="P68" i="4"/>
  <c r="O68" i="4"/>
  <c r="N68" i="4"/>
  <c r="M68" i="4"/>
  <c r="L68" i="4"/>
  <c r="K68" i="4"/>
  <c r="J68" i="4"/>
  <c r="I68" i="4"/>
  <c r="H68" i="4"/>
  <c r="G68" i="4"/>
  <c r="T67" i="4"/>
  <c r="S67" i="4"/>
  <c r="R67" i="4"/>
  <c r="Q67" i="4"/>
  <c r="P67" i="4"/>
  <c r="O67" i="4"/>
  <c r="N67" i="4"/>
  <c r="M67" i="4"/>
  <c r="L67" i="4"/>
  <c r="K67" i="4"/>
  <c r="J67" i="4"/>
  <c r="I67" i="4"/>
  <c r="H67" i="4"/>
  <c r="G67" i="4"/>
  <c r="T66" i="4"/>
  <c r="S66" i="4"/>
  <c r="R66" i="4"/>
  <c r="Q66" i="4"/>
  <c r="P66" i="4"/>
  <c r="O66" i="4"/>
  <c r="N66" i="4"/>
  <c r="M66" i="4"/>
  <c r="L66" i="4"/>
  <c r="K66" i="4"/>
  <c r="J66" i="4"/>
  <c r="I66" i="4"/>
  <c r="H66" i="4"/>
  <c r="G66" i="4"/>
  <c r="T65" i="4"/>
  <c r="S65" i="4"/>
  <c r="R65" i="4"/>
  <c r="Q65" i="4"/>
  <c r="P65" i="4"/>
  <c r="O65" i="4"/>
  <c r="N65" i="4"/>
  <c r="M65" i="4"/>
  <c r="L65" i="4"/>
  <c r="K65" i="4"/>
  <c r="J65" i="4"/>
  <c r="I65" i="4"/>
  <c r="H65" i="4"/>
  <c r="G65" i="4"/>
  <c r="T64" i="4"/>
  <c r="S64" i="4"/>
  <c r="R64" i="4"/>
  <c r="Q64" i="4"/>
  <c r="P64" i="4"/>
  <c r="O64" i="4"/>
  <c r="N64" i="4"/>
  <c r="M64" i="4"/>
  <c r="L64" i="4"/>
  <c r="K64" i="4"/>
  <c r="J64" i="4"/>
  <c r="I64" i="4"/>
  <c r="H64" i="4"/>
  <c r="G64" i="4"/>
  <c r="T63" i="4"/>
  <c r="S63" i="4"/>
  <c r="R63" i="4"/>
  <c r="Q63" i="4"/>
  <c r="P63" i="4"/>
  <c r="O63" i="4"/>
  <c r="N63" i="4"/>
  <c r="M63" i="4"/>
  <c r="L63" i="4"/>
  <c r="K63" i="4"/>
  <c r="J63" i="4"/>
  <c r="I63" i="4"/>
  <c r="H63" i="4"/>
  <c r="G63" i="4"/>
  <c r="T62" i="4"/>
  <c r="S62" i="4"/>
  <c r="R62" i="4"/>
  <c r="Q62" i="4"/>
  <c r="P62" i="4"/>
  <c r="O62" i="4"/>
  <c r="N62" i="4"/>
  <c r="M62" i="4"/>
  <c r="L62" i="4"/>
  <c r="K62" i="4"/>
  <c r="J62" i="4"/>
  <c r="I62" i="4"/>
  <c r="H62" i="4"/>
  <c r="G62" i="4"/>
  <c r="T61" i="4"/>
  <c r="S61" i="4"/>
  <c r="R61" i="4"/>
  <c r="Q61" i="4"/>
  <c r="P61" i="4"/>
  <c r="O61" i="4"/>
  <c r="N61" i="4"/>
  <c r="M61" i="4"/>
  <c r="L61" i="4"/>
  <c r="K61" i="4"/>
  <c r="J61" i="4"/>
  <c r="I61" i="4"/>
  <c r="H61" i="4"/>
  <c r="G61" i="4"/>
  <c r="T60" i="4"/>
  <c r="S60" i="4"/>
  <c r="R60" i="4"/>
  <c r="Q60" i="4"/>
  <c r="P60" i="4"/>
  <c r="O60" i="4"/>
  <c r="N60" i="4"/>
  <c r="M60" i="4"/>
  <c r="L60" i="4"/>
  <c r="K60" i="4"/>
  <c r="J60" i="4"/>
  <c r="I60" i="4"/>
  <c r="H60" i="4"/>
  <c r="G60" i="4"/>
  <c r="T59" i="4"/>
  <c r="S59" i="4"/>
  <c r="R59" i="4"/>
  <c r="Q59" i="4"/>
  <c r="P59" i="4"/>
  <c r="O59" i="4"/>
  <c r="N59" i="4"/>
  <c r="M59" i="4"/>
  <c r="L59" i="4"/>
  <c r="K59" i="4"/>
  <c r="J59" i="4"/>
  <c r="I59" i="4"/>
  <c r="H59" i="4"/>
  <c r="G59" i="4"/>
  <c r="T58" i="4"/>
  <c r="S58" i="4"/>
  <c r="R58" i="4"/>
  <c r="Q58" i="4"/>
  <c r="P58" i="4"/>
  <c r="O58" i="4"/>
  <c r="N58" i="4"/>
  <c r="M58" i="4"/>
  <c r="L58" i="4"/>
  <c r="K58" i="4"/>
  <c r="J58" i="4"/>
  <c r="I58" i="4"/>
  <c r="H58" i="4"/>
  <c r="G58" i="4"/>
  <c r="T57" i="4"/>
  <c r="S57" i="4"/>
  <c r="R57" i="4"/>
  <c r="Q57" i="4"/>
  <c r="P57" i="4"/>
  <c r="O57" i="4"/>
  <c r="N57" i="4"/>
  <c r="M57" i="4"/>
  <c r="L57" i="4"/>
  <c r="K57" i="4"/>
  <c r="J57" i="4"/>
  <c r="I57" i="4"/>
  <c r="H57" i="4"/>
  <c r="G57" i="4"/>
  <c r="T56" i="4"/>
  <c r="S56" i="4"/>
  <c r="R56" i="4"/>
  <c r="Q56" i="4"/>
  <c r="P56" i="4"/>
  <c r="O56" i="4"/>
  <c r="N56" i="4"/>
  <c r="M56" i="4"/>
  <c r="L56" i="4"/>
  <c r="K56" i="4"/>
  <c r="J56" i="4"/>
  <c r="I56" i="4"/>
  <c r="H56" i="4"/>
  <c r="G56" i="4"/>
  <c r="T55" i="4"/>
  <c r="S55" i="4"/>
  <c r="R55" i="4"/>
  <c r="Q55" i="4"/>
  <c r="P55" i="4"/>
  <c r="O55" i="4"/>
  <c r="N55" i="4"/>
  <c r="M55" i="4"/>
  <c r="L55" i="4"/>
  <c r="K55" i="4"/>
  <c r="J55" i="4"/>
  <c r="I55" i="4"/>
  <c r="H55" i="4"/>
  <c r="G55" i="4"/>
  <c r="T54" i="4"/>
  <c r="S54" i="4"/>
  <c r="R54" i="4"/>
  <c r="Q54" i="4"/>
  <c r="P54" i="4"/>
  <c r="O54" i="4"/>
  <c r="N54" i="4"/>
  <c r="M54" i="4"/>
  <c r="L54" i="4"/>
  <c r="K54" i="4"/>
  <c r="J54" i="4"/>
  <c r="I54" i="4"/>
  <c r="H54" i="4"/>
  <c r="G54" i="4"/>
  <c r="T53" i="4"/>
  <c r="S53" i="4"/>
  <c r="R53" i="4"/>
  <c r="Q53" i="4"/>
  <c r="P53" i="4"/>
  <c r="O53" i="4"/>
  <c r="N53" i="4"/>
  <c r="M53" i="4"/>
  <c r="L53" i="4"/>
  <c r="K53" i="4"/>
  <c r="J53" i="4"/>
  <c r="I53" i="4"/>
  <c r="H53" i="4"/>
  <c r="G53" i="4"/>
  <c r="T52" i="4"/>
  <c r="S52" i="4"/>
  <c r="R52" i="4"/>
  <c r="Q52" i="4"/>
  <c r="P52" i="4"/>
  <c r="O52" i="4"/>
  <c r="N52" i="4"/>
  <c r="M52" i="4"/>
  <c r="L52" i="4"/>
  <c r="K52" i="4"/>
  <c r="J52" i="4"/>
  <c r="I52" i="4"/>
  <c r="H52" i="4"/>
  <c r="G52" i="4"/>
  <c r="T51" i="4"/>
  <c r="S51" i="4"/>
  <c r="R51" i="4"/>
  <c r="Q51" i="4"/>
  <c r="P51" i="4"/>
  <c r="O51" i="4"/>
  <c r="N51" i="4"/>
  <c r="M51" i="4"/>
  <c r="L51" i="4"/>
  <c r="K51" i="4"/>
  <c r="J51" i="4"/>
  <c r="I51" i="4"/>
  <c r="H51" i="4"/>
  <c r="G51" i="4"/>
  <c r="T50" i="4"/>
  <c r="S50" i="4"/>
  <c r="R50" i="4"/>
  <c r="Q50" i="4"/>
  <c r="P50" i="4"/>
  <c r="O50" i="4"/>
  <c r="N50" i="4"/>
  <c r="M50" i="4"/>
  <c r="L50" i="4"/>
  <c r="K50" i="4"/>
  <c r="J50" i="4"/>
  <c r="I50" i="4"/>
  <c r="H50" i="4"/>
  <c r="G50" i="4"/>
  <c r="T49" i="4"/>
  <c r="S49" i="4"/>
  <c r="R49" i="4"/>
  <c r="Q49" i="4"/>
  <c r="P49" i="4"/>
  <c r="O49" i="4"/>
  <c r="N49" i="4"/>
  <c r="M49" i="4"/>
  <c r="L49" i="4"/>
  <c r="K49" i="4"/>
  <c r="J49" i="4"/>
  <c r="I49" i="4"/>
  <c r="H49" i="4"/>
  <c r="G49" i="4"/>
  <c r="T48" i="4"/>
  <c r="S48" i="4"/>
  <c r="R48" i="4"/>
  <c r="Q48" i="4"/>
  <c r="P48" i="4"/>
  <c r="O48" i="4"/>
  <c r="N48" i="4"/>
  <c r="M48" i="4"/>
  <c r="L48" i="4"/>
  <c r="K48" i="4"/>
  <c r="J48" i="4"/>
  <c r="I48" i="4"/>
  <c r="H48" i="4"/>
  <c r="G48" i="4"/>
  <c r="T47" i="4"/>
  <c r="S47" i="4"/>
  <c r="R47" i="4"/>
  <c r="Q47" i="4"/>
  <c r="P47" i="4"/>
  <c r="O47" i="4"/>
  <c r="N47" i="4"/>
  <c r="M47" i="4"/>
  <c r="L47" i="4"/>
  <c r="K47" i="4"/>
  <c r="J47" i="4"/>
  <c r="I47" i="4"/>
  <c r="H47" i="4"/>
  <c r="G47" i="4"/>
  <c r="T46" i="4"/>
  <c r="S46" i="4"/>
  <c r="R46" i="4"/>
  <c r="Q46" i="4"/>
  <c r="P46" i="4"/>
  <c r="O46" i="4"/>
  <c r="N46" i="4"/>
  <c r="M46" i="4"/>
  <c r="L46" i="4"/>
  <c r="K46" i="4"/>
  <c r="J46" i="4"/>
  <c r="I46" i="4"/>
  <c r="H46" i="4"/>
  <c r="G46" i="4"/>
  <c r="T45" i="4"/>
  <c r="S45" i="4"/>
  <c r="R45" i="4"/>
  <c r="Q45" i="4"/>
  <c r="P45" i="4"/>
  <c r="O45" i="4"/>
  <c r="N45" i="4"/>
  <c r="M45" i="4"/>
  <c r="L45" i="4"/>
  <c r="K45" i="4"/>
  <c r="J45" i="4"/>
  <c r="I45" i="4"/>
  <c r="H45" i="4"/>
  <c r="G45" i="4"/>
  <c r="T44" i="4"/>
  <c r="S44" i="4"/>
  <c r="R44" i="4"/>
  <c r="Q44" i="4"/>
  <c r="P44" i="4"/>
  <c r="O44" i="4"/>
  <c r="N44" i="4"/>
  <c r="M44" i="4"/>
  <c r="L44" i="4"/>
  <c r="K44" i="4"/>
  <c r="J44" i="4"/>
  <c r="I44" i="4"/>
  <c r="H44" i="4"/>
  <c r="G44" i="4"/>
  <c r="T43" i="4"/>
  <c r="S43" i="4"/>
  <c r="R43" i="4"/>
  <c r="Q43" i="4"/>
  <c r="P43" i="4"/>
  <c r="O43" i="4"/>
  <c r="N43" i="4"/>
  <c r="M43" i="4"/>
  <c r="L43" i="4"/>
  <c r="K43" i="4"/>
  <c r="J43" i="4"/>
  <c r="I43" i="4"/>
  <c r="H43" i="4"/>
  <c r="G43" i="4"/>
  <c r="T42" i="4"/>
  <c r="S42" i="4"/>
  <c r="R42" i="4"/>
  <c r="Q42" i="4"/>
  <c r="P42" i="4"/>
  <c r="O42" i="4"/>
  <c r="N42" i="4"/>
  <c r="M42" i="4"/>
  <c r="L42" i="4"/>
  <c r="K42" i="4"/>
  <c r="J42" i="4"/>
  <c r="I42" i="4"/>
  <c r="H42" i="4"/>
  <c r="G42" i="4"/>
  <c r="T41" i="4"/>
  <c r="S41" i="4"/>
  <c r="R41" i="4"/>
  <c r="Q41" i="4"/>
  <c r="P41" i="4"/>
  <c r="O41" i="4"/>
  <c r="N41" i="4"/>
  <c r="M41" i="4"/>
  <c r="L41" i="4"/>
  <c r="K41" i="4"/>
  <c r="J41" i="4"/>
  <c r="I41" i="4"/>
  <c r="H41" i="4"/>
  <c r="G41" i="4"/>
  <c r="T40" i="4"/>
  <c r="S40" i="4"/>
  <c r="R40" i="4"/>
  <c r="Q40" i="4"/>
  <c r="P40" i="4"/>
  <c r="O40" i="4"/>
  <c r="N40" i="4"/>
  <c r="M40" i="4"/>
  <c r="L40" i="4"/>
  <c r="K40" i="4"/>
  <c r="J40" i="4"/>
  <c r="I40" i="4"/>
  <c r="H40" i="4"/>
  <c r="G40" i="4"/>
  <c r="T39" i="4"/>
  <c r="S39" i="4"/>
  <c r="R39" i="4"/>
  <c r="Q39" i="4"/>
  <c r="P39" i="4"/>
  <c r="O39" i="4"/>
  <c r="N39" i="4"/>
  <c r="M39" i="4"/>
  <c r="L39" i="4"/>
  <c r="K39" i="4"/>
  <c r="J39" i="4"/>
  <c r="I39" i="4"/>
  <c r="H39" i="4"/>
  <c r="G39" i="4"/>
  <c r="T38" i="4"/>
  <c r="S38" i="4"/>
  <c r="R38" i="4"/>
  <c r="Q38" i="4"/>
  <c r="P38" i="4"/>
  <c r="O38" i="4"/>
  <c r="N38" i="4"/>
  <c r="M38" i="4"/>
  <c r="L38" i="4"/>
  <c r="K38" i="4"/>
  <c r="J38" i="4"/>
  <c r="I38" i="4"/>
  <c r="H38" i="4"/>
  <c r="G38" i="4"/>
  <c r="T37" i="4"/>
  <c r="S37" i="4"/>
  <c r="R37" i="4"/>
  <c r="Q37" i="4"/>
  <c r="P37" i="4"/>
  <c r="O37" i="4"/>
  <c r="N37" i="4"/>
  <c r="M37" i="4"/>
  <c r="L37" i="4"/>
  <c r="K37" i="4"/>
  <c r="J37" i="4"/>
  <c r="I37" i="4"/>
  <c r="H37" i="4"/>
  <c r="G37" i="4"/>
  <c r="T36" i="4"/>
  <c r="S36" i="4"/>
  <c r="R36" i="4"/>
  <c r="Q36" i="4"/>
  <c r="P36" i="4"/>
  <c r="O36" i="4"/>
  <c r="N36" i="4"/>
  <c r="M36" i="4"/>
  <c r="L36" i="4"/>
  <c r="K36" i="4"/>
  <c r="J36" i="4"/>
  <c r="I36" i="4"/>
  <c r="H36" i="4"/>
  <c r="G36" i="4"/>
  <c r="T35" i="4"/>
  <c r="S35" i="4"/>
  <c r="R35" i="4"/>
  <c r="Q35" i="4"/>
  <c r="P35" i="4"/>
  <c r="O35" i="4"/>
  <c r="N35" i="4"/>
  <c r="M35" i="4"/>
  <c r="L35" i="4"/>
  <c r="K35" i="4"/>
  <c r="J35" i="4"/>
  <c r="I35" i="4"/>
  <c r="H35" i="4"/>
  <c r="G35" i="4"/>
  <c r="T34" i="4"/>
  <c r="S34" i="4"/>
  <c r="R34" i="4"/>
  <c r="Q34" i="4"/>
  <c r="P34" i="4"/>
  <c r="O34" i="4"/>
  <c r="N34" i="4"/>
  <c r="M34" i="4"/>
  <c r="L34" i="4"/>
  <c r="K34" i="4"/>
  <c r="J34" i="4"/>
  <c r="I34" i="4"/>
  <c r="H34" i="4"/>
  <c r="G34" i="4"/>
  <c r="T33" i="4"/>
  <c r="S33" i="4"/>
  <c r="R33" i="4"/>
  <c r="Q33" i="4"/>
  <c r="P33" i="4"/>
  <c r="O33" i="4"/>
  <c r="N33" i="4"/>
  <c r="M33" i="4"/>
  <c r="L33" i="4"/>
  <c r="K33" i="4"/>
  <c r="J33" i="4"/>
  <c r="I33" i="4"/>
  <c r="H33" i="4"/>
  <c r="G33" i="4"/>
  <c r="T32" i="4"/>
  <c r="S32" i="4"/>
  <c r="R32" i="4"/>
  <c r="Q32" i="4"/>
  <c r="P32" i="4"/>
  <c r="O32" i="4"/>
  <c r="N32" i="4"/>
  <c r="M32" i="4"/>
  <c r="L32" i="4"/>
  <c r="K32" i="4"/>
  <c r="J32" i="4"/>
  <c r="I32" i="4"/>
  <c r="H32" i="4"/>
  <c r="G32" i="4"/>
  <c r="T31" i="4"/>
  <c r="S31" i="4"/>
  <c r="R31" i="4"/>
  <c r="Q31" i="4"/>
  <c r="P31" i="4"/>
  <c r="O31" i="4"/>
  <c r="N31" i="4"/>
  <c r="M31" i="4"/>
  <c r="L31" i="4"/>
  <c r="K31" i="4"/>
  <c r="J31" i="4"/>
  <c r="I31" i="4"/>
  <c r="H31" i="4"/>
  <c r="G31" i="4"/>
  <c r="T30" i="4"/>
  <c r="S30" i="4"/>
  <c r="R30" i="4"/>
  <c r="Q30" i="4"/>
  <c r="P30" i="4"/>
  <c r="O30" i="4"/>
  <c r="N30" i="4"/>
  <c r="M30" i="4"/>
  <c r="L30" i="4"/>
  <c r="K30" i="4"/>
  <c r="J30" i="4"/>
  <c r="I30" i="4"/>
  <c r="H30" i="4"/>
  <c r="G30" i="4"/>
  <c r="T29" i="4"/>
  <c r="S29" i="4"/>
  <c r="R29" i="4"/>
  <c r="Q29" i="4"/>
  <c r="P29" i="4"/>
  <c r="O29" i="4"/>
  <c r="N29" i="4"/>
  <c r="M29" i="4"/>
  <c r="L29" i="4"/>
  <c r="K29" i="4"/>
  <c r="J29" i="4"/>
  <c r="I29" i="4"/>
  <c r="H29" i="4"/>
  <c r="G29" i="4"/>
  <c r="T28" i="4"/>
  <c r="S28" i="4"/>
  <c r="R28" i="4"/>
  <c r="Q28" i="4"/>
  <c r="P28" i="4"/>
  <c r="O28" i="4"/>
  <c r="N28" i="4"/>
  <c r="M28" i="4"/>
  <c r="L28" i="4"/>
  <c r="K28" i="4"/>
  <c r="J28" i="4"/>
  <c r="I28" i="4"/>
  <c r="H28" i="4"/>
  <c r="G28" i="4"/>
  <c r="T27" i="4"/>
  <c r="S27" i="4"/>
  <c r="R27" i="4"/>
  <c r="Q27" i="4"/>
  <c r="P27" i="4"/>
  <c r="O27" i="4"/>
  <c r="N27" i="4"/>
  <c r="M27" i="4"/>
  <c r="L27" i="4"/>
  <c r="K27" i="4"/>
  <c r="J27" i="4"/>
  <c r="I27" i="4"/>
  <c r="H27" i="4"/>
  <c r="G27" i="4"/>
  <c r="T26" i="4"/>
  <c r="S26" i="4"/>
  <c r="R26" i="4"/>
  <c r="Q26" i="4"/>
  <c r="P26" i="4"/>
  <c r="O26" i="4"/>
  <c r="N26" i="4"/>
  <c r="M26" i="4"/>
  <c r="L26" i="4"/>
  <c r="K26" i="4"/>
  <c r="J26" i="4"/>
  <c r="I26" i="4"/>
  <c r="H26" i="4"/>
  <c r="G26" i="4"/>
  <c r="T25" i="4"/>
  <c r="S25" i="4"/>
  <c r="R25" i="4"/>
  <c r="Q25" i="4"/>
  <c r="P25" i="4"/>
  <c r="O25" i="4"/>
  <c r="N25" i="4"/>
  <c r="M25" i="4"/>
  <c r="L25" i="4"/>
  <c r="K25" i="4"/>
  <c r="J25" i="4"/>
  <c r="I25" i="4"/>
  <c r="H25" i="4"/>
  <c r="G25" i="4"/>
  <c r="T24" i="4"/>
  <c r="S24" i="4"/>
  <c r="R24" i="4"/>
  <c r="Q24" i="4"/>
  <c r="P24" i="4"/>
  <c r="O24" i="4"/>
  <c r="N24" i="4"/>
  <c r="M24" i="4"/>
  <c r="L24" i="4"/>
  <c r="K24" i="4"/>
  <c r="J24" i="4"/>
  <c r="I24" i="4"/>
  <c r="H24" i="4"/>
  <c r="G24" i="4"/>
  <c r="T23" i="4"/>
  <c r="S23" i="4"/>
  <c r="R23" i="4"/>
  <c r="Q23" i="4"/>
  <c r="P23" i="4"/>
  <c r="O23" i="4"/>
  <c r="N23" i="4"/>
  <c r="M23" i="4"/>
  <c r="L23" i="4"/>
  <c r="K23" i="4"/>
  <c r="J23" i="4"/>
  <c r="I23" i="4"/>
  <c r="H23" i="4"/>
  <c r="G23" i="4"/>
  <c r="T22" i="4"/>
  <c r="S22" i="4"/>
  <c r="R22" i="4"/>
  <c r="Q22" i="4"/>
  <c r="P22" i="4"/>
  <c r="O22" i="4"/>
  <c r="N22" i="4"/>
  <c r="M22" i="4"/>
  <c r="L22" i="4"/>
  <c r="K22" i="4"/>
  <c r="J22" i="4"/>
  <c r="I22" i="4"/>
  <c r="H22" i="4"/>
  <c r="G22" i="4"/>
  <c r="T21" i="4"/>
  <c r="S21" i="4"/>
  <c r="R21" i="4"/>
  <c r="Q21" i="4"/>
  <c r="P21" i="4"/>
  <c r="O21" i="4"/>
  <c r="N21" i="4"/>
  <c r="M21" i="4"/>
  <c r="L21" i="4"/>
  <c r="K21" i="4"/>
  <c r="J21" i="4"/>
  <c r="I21" i="4"/>
  <c r="H21" i="4"/>
  <c r="G21" i="4"/>
  <c r="T20" i="4"/>
  <c r="S20" i="4"/>
  <c r="R20" i="4"/>
  <c r="Q20" i="4"/>
  <c r="P20" i="4"/>
  <c r="O20" i="4"/>
  <c r="N20" i="4"/>
  <c r="M20" i="4"/>
  <c r="L20" i="4"/>
  <c r="K20" i="4"/>
  <c r="J20" i="4"/>
  <c r="I20" i="4"/>
  <c r="H20" i="4"/>
  <c r="G20" i="4"/>
  <c r="T19" i="4"/>
  <c r="S19" i="4"/>
  <c r="R19" i="4"/>
  <c r="Q19" i="4"/>
  <c r="P19" i="4"/>
  <c r="O19" i="4"/>
  <c r="N19" i="4"/>
  <c r="M19" i="4"/>
  <c r="L19" i="4"/>
  <c r="K19" i="4"/>
  <c r="J19" i="4"/>
  <c r="I19" i="4"/>
  <c r="H19" i="4"/>
  <c r="G19" i="4"/>
  <c r="T18" i="4"/>
  <c r="S18" i="4"/>
  <c r="R18" i="4"/>
  <c r="Q18" i="4"/>
  <c r="P18" i="4"/>
  <c r="O18" i="4"/>
  <c r="N18" i="4"/>
  <c r="M18" i="4"/>
  <c r="L18" i="4"/>
  <c r="K18" i="4"/>
  <c r="J18" i="4"/>
  <c r="I18" i="4"/>
  <c r="H18" i="4"/>
  <c r="G18" i="4"/>
  <c r="T17" i="4"/>
  <c r="S17" i="4"/>
  <c r="R17" i="4"/>
  <c r="Q17" i="4"/>
  <c r="P17" i="4"/>
  <c r="O17" i="4"/>
  <c r="N17" i="4"/>
  <c r="M17" i="4"/>
  <c r="L17" i="4"/>
  <c r="K17" i="4"/>
  <c r="J17" i="4"/>
  <c r="I17" i="4"/>
  <c r="H17" i="4"/>
  <c r="G17" i="4"/>
  <c r="T16" i="4"/>
  <c r="S16" i="4"/>
  <c r="R16" i="4"/>
  <c r="Q16" i="4"/>
  <c r="P16" i="4"/>
  <c r="O16" i="4"/>
  <c r="N16" i="4"/>
  <c r="M16" i="4"/>
  <c r="L16" i="4"/>
  <c r="K16" i="4"/>
  <c r="J16" i="4"/>
  <c r="I16" i="4"/>
  <c r="H16" i="4"/>
  <c r="G16" i="4"/>
  <c r="T15" i="4"/>
  <c r="S15" i="4"/>
  <c r="R15" i="4"/>
  <c r="Q15" i="4"/>
  <c r="P15" i="4"/>
  <c r="O15" i="4"/>
  <c r="N15" i="4"/>
  <c r="M15" i="4"/>
  <c r="L15" i="4"/>
  <c r="K15" i="4"/>
  <c r="J15" i="4"/>
  <c r="I15" i="4"/>
  <c r="H15" i="4"/>
  <c r="G15" i="4"/>
  <c r="T14" i="4"/>
  <c r="S14" i="4"/>
  <c r="R14" i="4"/>
  <c r="Q14" i="4"/>
  <c r="P14" i="4"/>
  <c r="O14" i="4"/>
  <c r="N14" i="4"/>
  <c r="M14" i="4"/>
  <c r="L14" i="4"/>
  <c r="K14" i="4"/>
  <c r="J14" i="4"/>
  <c r="I14" i="4"/>
  <c r="H14" i="4"/>
  <c r="G14" i="4"/>
  <c r="T13" i="4"/>
  <c r="S13" i="4"/>
  <c r="R13" i="4"/>
  <c r="Q13" i="4"/>
  <c r="P13" i="4"/>
  <c r="O13" i="4"/>
  <c r="N13" i="4"/>
  <c r="M13" i="4"/>
  <c r="L13" i="4"/>
  <c r="K13" i="4"/>
  <c r="J13" i="4"/>
  <c r="I13" i="4"/>
  <c r="H13" i="4"/>
  <c r="G13" i="4"/>
  <c r="T12" i="4"/>
  <c r="S12" i="4"/>
  <c r="R12" i="4"/>
  <c r="Q12" i="4"/>
  <c r="P12" i="4"/>
  <c r="O12" i="4"/>
  <c r="N12" i="4"/>
  <c r="M12" i="4"/>
  <c r="L12" i="4"/>
  <c r="K12" i="4"/>
  <c r="J12" i="4"/>
  <c r="I12" i="4"/>
  <c r="H12" i="4"/>
  <c r="G12" i="4"/>
  <c r="T11" i="4"/>
  <c r="S11" i="4"/>
  <c r="R11" i="4"/>
  <c r="Q11" i="4"/>
  <c r="P11" i="4"/>
  <c r="O11" i="4"/>
  <c r="N11" i="4"/>
  <c r="M11" i="4"/>
  <c r="L11" i="4"/>
  <c r="K11" i="4"/>
  <c r="J11" i="4"/>
  <c r="I11" i="4"/>
  <c r="H11" i="4"/>
  <c r="G11" i="4"/>
  <c r="T10" i="4"/>
  <c r="S10" i="4"/>
  <c r="R10" i="4"/>
  <c r="Q10" i="4"/>
  <c r="P10" i="4"/>
  <c r="O10" i="4"/>
  <c r="N10" i="4"/>
  <c r="M10" i="4"/>
  <c r="L10" i="4"/>
  <c r="K10" i="4"/>
  <c r="J10" i="4"/>
  <c r="I10" i="4"/>
  <c r="H10" i="4"/>
  <c r="G10" i="4"/>
  <c r="T9" i="4"/>
  <c r="S9" i="4"/>
  <c r="R9" i="4"/>
  <c r="Q9" i="4"/>
  <c r="P9" i="4"/>
  <c r="O9" i="4"/>
  <c r="N9" i="4"/>
  <c r="M9" i="4"/>
  <c r="L9" i="4"/>
  <c r="K9" i="4"/>
  <c r="J9" i="4"/>
  <c r="I9" i="4"/>
  <c r="H9" i="4"/>
  <c r="G9" i="4"/>
  <c r="T8" i="4"/>
  <c r="S8" i="4"/>
  <c r="R8" i="4"/>
  <c r="Q8" i="4"/>
  <c r="P8" i="4"/>
  <c r="O8" i="4"/>
  <c r="N8" i="4"/>
  <c r="M8" i="4"/>
  <c r="L8" i="4"/>
  <c r="K8" i="4"/>
  <c r="J8" i="4"/>
  <c r="I8" i="4"/>
  <c r="H8" i="4"/>
  <c r="G8" i="4"/>
  <c r="T7" i="4"/>
  <c r="S7" i="4"/>
  <c r="R7" i="4"/>
  <c r="Q7" i="4"/>
  <c r="P7" i="4"/>
  <c r="O7" i="4"/>
  <c r="N7" i="4"/>
  <c r="M7" i="4"/>
  <c r="L7" i="4"/>
  <c r="K7" i="4"/>
  <c r="J7" i="4"/>
  <c r="I7" i="4"/>
  <c r="H7" i="4"/>
  <c r="G7" i="4"/>
  <c r="T6" i="4"/>
  <c r="S6" i="4"/>
  <c r="R6" i="4"/>
  <c r="Q6" i="4"/>
  <c r="P6" i="4"/>
  <c r="O6" i="4"/>
  <c r="N6" i="4"/>
  <c r="M6" i="4"/>
  <c r="L6" i="4"/>
  <c r="K6" i="4"/>
  <c r="J6" i="4"/>
  <c r="I6" i="4"/>
  <c r="H6" i="4"/>
  <c r="G6" i="4"/>
  <c r="T5" i="4"/>
  <c r="S5" i="4"/>
  <c r="R5" i="4"/>
  <c r="Q5" i="4"/>
  <c r="P5" i="4"/>
  <c r="O5" i="4"/>
  <c r="N5" i="4"/>
  <c r="M5" i="4"/>
  <c r="L5" i="4"/>
  <c r="K5" i="4"/>
  <c r="J5" i="4"/>
  <c r="I5" i="4"/>
  <c r="H5" i="4"/>
  <c r="G5" i="4"/>
  <c r="T4" i="4"/>
  <c r="S4" i="4"/>
  <c r="R4" i="4"/>
  <c r="Q4" i="4"/>
  <c r="P4" i="4"/>
  <c r="O4" i="4"/>
  <c r="N4" i="4"/>
  <c r="M4" i="4"/>
  <c r="L4" i="4"/>
  <c r="K4" i="4"/>
  <c r="J4" i="4"/>
  <c r="I4" i="4"/>
  <c r="H4" i="4"/>
  <c r="G4" i="4"/>
  <c r="F500" i="4"/>
  <c r="F499" i="4"/>
  <c r="F498" i="4"/>
  <c r="F497" i="4"/>
  <c r="F496" i="4"/>
  <c r="V496" i="4" s="1"/>
  <c r="F495" i="4"/>
  <c r="F494" i="4"/>
  <c r="F493" i="4"/>
  <c r="F492" i="4"/>
  <c r="F491" i="4"/>
  <c r="F490" i="4"/>
  <c r="F489" i="4"/>
  <c r="F488" i="4"/>
  <c r="F487" i="4"/>
  <c r="F486" i="4"/>
  <c r="F485" i="4"/>
  <c r="F484" i="4"/>
  <c r="F483" i="4"/>
  <c r="F482" i="4"/>
  <c r="F481" i="4"/>
  <c r="U481" i="4" s="1"/>
  <c r="F480" i="4"/>
  <c r="V480" i="4" s="1"/>
  <c r="F479" i="4"/>
  <c r="F478" i="4"/>
  <c r="F477" i="4"/>
  <c r="F476" i="4"/>
  <c r="F475" i="4"/>
  <c r="F474" i="4"/>
  <c r="F473" i="4"/>
  <c r="F472" i="4"/>
  <c r="F471" i="4"/>
  <c r="F470" i="4"/>
  <c r="F469" i="4"/>
  <c r="F468" i="4"/>
  <c r="F467" i="4"/>
  <c r="F466" i="4"/>
  <c r="F465" i="4"/>
  <c r="U465" i="4" s="1"/>
  <c r="F464" i="4"/>
  <c r="F463" i="4"/>
  <c r="F462" i="4"/>
  <c r="F461" i="4"/>
  <c r="F460" i="4"/>
  <c r="F459" i="4"/>
  <c r="F458" i="4"/>
  <c r="F457" i="4"/>
  <c r="U457" i="4" s="1"/>
  <c r="F456" i="4"/>
  <c r="V456" i="4" s="1"/>
  <c r="F455" i="4"/>
  <c r="F454" i="4"/>
  <c r="F453" i="4"/>
  <c r="F452" i="4"/>
  <c r="F451" i="4"/>
  <c r="F450" i="4"/>
  <c r="F449" i="4"/>
  <c r="F448" i="4"/>
  <c r="V448" i="4" s="1"/>
  <c r="F447" i="4"/>
  <c r="W447" i="4" s="1"/>
  <c r="F446" i="4"/>
  <c r="F445" i="4"/>
  <c r="F444" i="4"/>
  <c r="F443" i="4"/>
  <c r="F442" i="4"/>
  <c r="F441" i="4"/>
  <c r="U441" i="4" s="1"/>
  <c r="F440" i="4"/>
  <c r="F439" i="4"/>
  <c r="F438" i="4"/>
  <c r="F437" i="4"/>
  <c r="F436" i="4"/>
  <c r="F435" i="4"/>
  <c r="F434" i="4"/>
  <c r="F433" i="4"/>
  <c r="U433" i="4" s="1"/>
  <c r="F432" i="4"/>
  <c r="V432" i="4" s="1"/>
  <c r="F431" i="4"/>
  <c r="F430" i="4"/>
  <c r="F429" i="4"/>
  <c r="F428" i="4"/>
  <c r="F427" i="4"/>
  <c r="F426" i="4"/>
  <c r="F425" i="4"/>
  <c r="F424" i="4"/>
  <c r="F423" i="4"/>
  <c r="F422" i="4"/>
  <c r="F421" i="4"/>
  <c r="F420" i="4"/>
  <c r="F419" i="4"/>
  <c r="F418" i="4"/>
  <c r="F417" i="4"/>
  <c r="F416" i="4"/>
  <c r="F415" i="4"/>
  <c r="F414" i="4"/>
  <c r="F413" i="4"/>
  <c r="F412" i="4"/>
  <c r="F411" i="4"/>
  <c r="F410" i="4"/>
  <c r="F409" i="4"/>
  <c r="U409" i="4" s="1"/>
  <c r="F408" i="4"/>
  <c r="F407" i="4"/>
  <c r="F406" i="4"/>
  <c r="F405" i="4"/>
  <c r="F404" i="4"/>
  <c r="F403" i="4"/>
  <c r="F402" i="4"/>
  <c r="F401" i="4"/>
  <c r="F400" i="4"/>
  <c r="F399" i="4"/>
  <c r="F398" i="4"/>
  <c r="F397" i="4"/>
  <c r="F396" i="4"/>
  <c r="F395" i="4"/>
  <c r="F394" i="4"/>
  <c r="F393" i="4"/>
  <c r="U393" i="4" s="1"/>
  <c r="F392" i="4"/>
  <c r="V392" i="4" s="1"/>
  <c r="F391" i="4"/>
  <c r="F390" i="4"/>
  <c r="F389" i="4"/>
  <c r="F388" i="4"/>
  <c r="F387" i="4"/>
  <c r="F386" i="4"/>
  <c r="F385" i="4"/>
  <c r="F384" i="4"/>
  <c r="V384" i="4" s="1"/>
  <c r="F383" i="4"/>
  <c r="W383" i="4" s="1"/>
  <c r="F382" i="4"/>
  <c r="F381" i="4"/>
  <c r="F380" i="4"/>
  <c r="F379" i="4"/>
  <c r="F378" i="4"/>
  <c r="F377" i="4"/>
  <c r="F376" i="4"/>
  <c r="F375" i="4"/>
  <c r="F374" i="4"/>
  <c r="F373" i="4"/>
  <c r="F372" i="4"/>
  <c r="F371" i="4"/>
  <c r="F370" i="4"/>
  <c r="F369" i="4"/>
  <c r="F368" i="4"/>
  <c r="V368" i="4" s="1"/>
  <c r="F367" i="4"/>
  <c r="F366" i="4"/>
  <c r="F365" i="4"/>
  <c r="F364" i="4"/>
  <c r="F363" i="4"/>
  <c r="F362" i="4"/>
  <c r="F361" i="4"/>
  <c r="F360" i="4"/>
  <c r="F359" i="4"/>
  <c r="F358" i="4"/>
  <c r="F357" i="4"/>
  <c r="F356" i="4"/>
  <c r="F355" i="4"/>
  <c r="F354" i="4"/>
  <c r="F353" i="4"/>
  <c r="U353" i="4" s="1"/>
  <c r="F352" i="4"/>
  <c r="F351" i="4"/>
  <c r="F350" i="4"/>
  <c r="F349" i="4"/>
  <c r="F348" i="4"/>
  <c r="F347" i="4"/>
  <c r="F346" i="4"/>
  <c r="F345" i="4"/>
  <c r="U345" i="4" s="1"/>
  <c r="F344" i="4"/>
  <c r="V344" i="4" s="1"/>
  <c r="F343" i="4"/>
  <c r="F342" i="4"/>
  <c r="F341" i="4"/>
  <c r="F340" i="4"/>
  <c r="F339" i="4"/>
  <c r="F338" i="4"/>
  <c r="F337" i="4"/>
  <c r="U337" i="4" s="1"/>
  <c r="F336" i="4"/>
  <c r="F335" i="4"/>
  <c r="F334" i="4"/>
  <c r="F333" i="4"/>
  <c r="F332" i="4"/>
  <c r="F331" i="4"/>
  <c r="F330" i="4"/>
  <c r="F329" i="4"/>
  <c r="F328" i="4"/>
  <c r="V328" i="4" s="1"/>
  <c r="F327" i="4"/>
  <c r="F326" i="4"/>
  <c r="F325" i="4"/>
  <c r="F324" i="4"/>
  <c r="F323" i="4"/>
  <c r="F322" i="4"/>
  <c r="F321" i="4"/>
  <c r="F320" i="4"/>
  <c r="V320" i="4" s="1"/>
  <c r="F319" i="4"/>
  <c r="W319" i="4" s="1"/>
  <c r="F318" i="4"/>
  <c r="F317" i="4"/>
  <c r="F316" i="4"/>
  <c r="F315" i="4"/>
  <c r="F314" i="4"/>
  <c r="F313" i="4"/>
  <c r="F312" i="4"/>
  <c r="F311" i="4"/>
  <c r="F310" i="4"/>
  <c r="F309" i="4"/>
  <c r="F308" i="4"/>
  <c r="F307" i="4"/>
  <c r="F306" i="4"/>
  <c r="F305" i="4"/>
  <c r="U305" i="4" s="1"/>
  <c r="F304" i="4"/>
  <c r="F303" i="4"/>
  <c r="F302" i="4"/>
  <c r="F301" i="4"/>
  <c r="F300" i="4"/>
  <c r="F299" i="4"/>
  <c r="F298" i="4"/>
  <c r="F297" i="4"/>
  <c r="U297" i="4" s="1"/>
  <c r="F296" i="4"/>
  <c r="F295" i="4"/>
  <c r="F294" i="4"/>
  <c r="F293" i="4"/>
  <c r="F292" i="4"/>
  <c r="F291" i="4"/>
  <c r="F290" i="4"/>
  <c r="U290" i="4" s="1"/>
  <c r="F289" i="4"/>
  <c r="F288" i="4"/>
  <c r="U288" i="4" s="1"/>
  <c r="F287" i="4"/>
  <c r="F286" i="4"/>
  <c r="F285" i="4"/>
  <c r="F284" i="4"/>
  <c r="F283" i="4"/>
  <c r="F282" i="4"/>
  <c r="U282" i="4" s="1"/>
  <c r="F281" i="4"/>
  <c r="W281" i="4" s="1"/>
  <c r="F280" i="4"/>
  <c r="U280" i="4" s="1"/>
  <c r="F279" i="4"/>
  <c r="F278" i="4"/>
  <c r="F277" i="4"/>
  <c r="F276" i="4"/>
  <c r="W276" i="4" s="1"/>
  <c r="F275" i="4"/>
  <c r="V275" i="4" s="1"/>
  <c r="F274" i="4"/>
  <c r="W274" i="4" s="1"/>
  <c r="F273" i="4"/>
  <c r="W273" i="4" s="1"/>
  <c r="F272" i="4"/>
  <c r="W272" i="4" s="1"/>
  <c r="F271" i="4"/>
  <c r="W271" i="4" s="1"/>
  <c r="F270" i="4"/>
  <c r="F269" i="4"/>
  <c r="W269" i="4" s="1"/>
  <c r="F268" i="4"/>
  <c r="U268" i="4" s="1"/>
  <c r="F267" i="4"/>
  <c r="V267" i="4" s="1"/>
  <c r="F266" i="4"/>
  <c r="W266" i="4" s="1"/>
  <c r="F265" i="4"/>
  <c r="W265" i="4" s="1"/>
  <c r="F264" i="4"/>
  <c r="W264" i="4" s="1"/>
  <c r="F263" i="4"/>
  <c r="W263" i="4" s="1"/>
  <c r="F262" i="4"/>
  <c r="W262" i="4" s="1"/>
  <c r="F261" i="4"/>
  <c r="W261" i="4" s="1"/>
  <c r="F260" i="4"/>
  <c r="U260" i="4" s="1"/>
  <c r="F259" i="4"/>
  <c r="V259" i="4" s="1"/>
  <c r="F258" i="4"/>
  <c r="W258" i="4" s="1"/>
  <c r="F257" i="4"/>
  <c r="W257" i="4" s="1"/>
  <c r="F256" i="4"/>
  <c r="W256" i="4" s="1"/>
  <c r="F255" i="4"/>
  <c r="W255" i="4" s="1"/>
  <c r="F254" i="4"/>
  <c r="F253" i="4"/>
  <c r="W253" i="4" s="1"/>
  <c r="F252" i="4"/>
  <c r="U252" i="4" s="1"/>
  <c r="F251" i="4"/>
  <c r="V251" i="4" s="1"/>
  <c r="F250" i="4"/>
  <c r="W250" i="4" s="1"/>
  <c r="F249" i="4"/>
  <c r="W249" i="4" s="1"/>
  <c r="F248" i="4"/>
  <c r="W248" i="4" s="1"/>
  <c r="F247" i="4"/>
  <c r="W247" i="4" s="1"/>
  <c r="F246" i="4"/>
  <c r="W246" i="4" s="1"/>
  <c r="F245" i="4"/>
  <c r="W245" i="4" s="1"/>
  <c r="F244" i="4"/>
  <c r="U244" i="4" s="1"/>
  <c r="F243" i="4"/>
  <c r="V243" i="4" s="1"/>
  <c r="F242" i="4"/>
  <c r="W242" i="4" s="1"/>
  <c r="F241" i="4"/>
  <c r="W241" i="4" s="1"/>
  <c r="F240" i="4"/>
  <c r="W240" i="4" s="1"/>
  <c r="F239" i="4"/>
  <c r="W239" i="4" s="1"/>
  <c r="F238" i="4"/>
  <c r="W238" i="4" s="1"/>
  <c r="F237" i="4"/>
  <c r="W237" i="4" s="1"/>
  <c r="F236" i="4"/>
  <c r="U236" i="4" s="1"/>
  <c r="F235" i="4"/>
  <c r="V235" i="4" s="1"/>
  <c r="F234" i="4"/>
  <c r="W234" i="4" s="1"/>
  <c r="F233" i="4"/>
  <c r="W233" i="4" s="1"/>
  <c r="F232" i="4"/>
  <c r="W232" i="4" s="1"/>
  <c r="F231" i="4"/>
  <c r="W231" i="4" s="1"/>
  <c r="F230" i="4"/>
  <c r="W230" i="4" s="1"/>
  <c r="F229" i="4"/>
  <c r="W229" i="4" s="1"/>
  <c r="F228" i="4"/>
  <c r="U228" i="4" s="1"/>
  <c r="F227" i="4"/>
  <c r="V227" i="4" s="1"/>
  <c r="F226" i="4"/>
  <c r="W226" i="4" s="1"/>
  <c r="F225" i="4"/>
  <c r="W225" i="4" s="1"/>
  <c r="F224" i="4"/>
  <c r="W224" i="4" s="1"/>
  <c r="F223" i="4"/>
  <c r="W223" i="4" s="1"/>
  <c r="F222" i="4"/>
  <c r="W222" i="4" s="1"/>
  <c r="F221" i="4"/>
  <c r="W221" i="4" s="1"/>
  <c r="F220" i="4"/>
  <c r="U220" i="4" s="1"/>
  <c r="F219" i="4"/>
  <c r="V219" i="4" s="1"/>
  <c r="F218" i="4"/>
  <c r="W218" i="4" s="1"/>
  <c r="F217" i="4"/>
  <c r="W217" i="4" s="1"/>
  <c r="F216" i="4"/>
  <c r="W216" i="4" s="1"/>
  <c r="F215" i="4"/>
  <c r="W215" i="4" s="1"/>
  <c r="F214" i="4"/>
  <c r="F213" i="4"/>
  <c r="F212" i="4"/>
  <c r="F211" i="4"/>
  <c r="V211" i="4" s="1"/>
  <c r="F210" i="4"/>
  <c r="W210" i="4" s="1"/>
  <c r="F209" i="4"/>
  <c r="F208" i="4"/>
  <c r="F207" i="4"/>
  <c r="F206" i="4"/>
  <c r="F205" i="4"/>
  <c r="F204" i="4"/>
  <c r="F203" i="4"/>
  <c r="F202" i="4"/>
  <c r="W202" i="4" s="1"/>
  <c r="F201" i="4"/>
  <c r="F200" i="4"/>
  <c r="W200" i="4" s="1"/>
  <c r="F199" i="4"/>
  <c r="F198" i="4"/>
  <c r="W198" i="4" s="1"/>
  <c r="F197" i="4"/>
  <c r="F196" i="4"/>
  <c r="F195" i="4"/>
  <c r="F194" i="4"/>
  <c r="W194" i="4" s="1"/>
  <c r="F193" i="4"/>
  <c r="W193" i="4" s="1"/>
  <c r="F192" i="4"/>
  <c r="F191" i="4"/>
  <c r="F190" i="4"/>
  <c r="F189" i="4"/>
  <c r="F188" i="4"/>
  <c r="F187" i="4"/>
  <c r="F186" i="4"/>
  <c r="F185" i="4"/>
  <c r="F184" i="4"/>
  <c r="F183" i="4"/>
  <c r="F182" i="4"/>
  <c r="F181" i="4"/>
  <c r="F180" i="4"/>
  <c r="F179" i="4"/>
  <c r="F178" i="4"/>
  <c r="F177" i="4"/>
  <c r="F176" i="4"/>
  <c r="W176" i="4" s="1"/>
  <c r="F175" i="4"/>
  <c r="F174" i="4"/>
  <c r="W174" i="4" s="1"/>
  <c r="F173" i="4"/>
  <c r="F172" i="4"/>
  <c r="V172" i="4" s="1"/>
  <c r="F171" i="4"/>
  <c r="F170" i="4"/>
  <c r="V170" i="4" s="1"/>
  <c r="F169" i="4"/>
  <c r="V169" i="4" s="1"/>
  <c r="F168" i="4"/>
  <c r="F167" i="4"/>
  <c r="F166" i="4"/>
  <c r="F165" i="4"/>
  <c r="F164" i="4"/>
  <c r="F163" i="4"/>
  <c r="F162" i="4"/>
  <c r="F161" i="4"/>
  <c r="F160" i="4"/>
  <c r="F159" i="4"/>
  <c r="F158" i="4"/>
  <c r="F157" i="4"/>
  <c r="F156" i="4"/>
  <c r="W156" i="4" s="1"/>
  <c r="F155" i="4"/>
  <c r="F154" i="4"/>
  <c r="F153" i="4"/>
  <c r="F152" i="4"/>
  <c r="F151" i="4"/>
  <c r="V151" i="4" s="1"/>
  <c r="F150" i="4"/>
  <c r="F149" i="4"/>
  <c r="F148" i="4"/>
  <c r="F147" i="4"/>
  <c r="F146" i="4"/>
  <c r="F145" i="4"/>
  <c r="F144" i="4"/>
  <c r="F143" i="4"/>
  <c r="F142" i="4"/>
  <c r="F141" i="4"/>
  <c r="F140" i="4"/>
  <c r="W140" i="4" s="1"/>
  <c r="F139" i="4"/>
  <c r="W139" i="4" s="1"/>
  <c r="F138" i="4"/>
  <c r="F137" i="4"/>
  <c r="F136" i="4"/>
  <c r="U136" i="4" s="1"/>
  <c r="F135" i="4"/>
  <c r="U135" i="4" s="1"/>
  <c r="F134" i="4"/>
  <c r="U134" i="4" s="1"/>
  <c r="F133" i="4"/>
  <c r="F132" i="4"/>
  <c r="U132" i="4" s="1"/>
  <c r="F131" i="4"/>
  <c r="F130" i="4"/>
  <c r="F129" i="4"/>
  <c r="F128" i="4"/>
  <c r="F127" i="4"/>
  <c r="F126" i="4"/>
  <c r="F125" i="4"/>
  <c r="F124" i="4"/>
  <c r="F123" i="4"/>
  <c r="F122" i="4"/>
  <c r="F121" i="4"/>
  <c r="F120" i="4"/>
  <c r="U120" i="4" s="1"/>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W91" i="4" s="1"/>
  <c r="F90" i="4"/>
  <c r="W90" i="4" s="1"/>
  <c r="F89" i="4"/>
  <c r="W89" i="4" s="1"/>
  <c r="F88" i="4"/>
  <c r="U88" i="4" s="1"/>
  <c r="F87" i="4"/>
  <c r="F86" i="4"/>
  <c r="F85" i="4"/>
  <c r="F84" i="4"/>
  <c r="U84" i="4" s="1"/>
  <c r="F83" i="4"/>
  <c r="F82" i="4"/>
  <c r="F81" i="4"/>
  <c r="F80" i="4"/>
  <c r="F79" i="4"/>
  <c r="F78" i="4"/>
  <c r="F77" i="4"/>
  <c r="F76" i="4"/>
  <c r="F75" i="4"/>
  <c r="F74" i="4"/>
  <c r="F73" i="4"/>
  <c r="F72" i="4"/>
  <c r="F71" i="4"/>
  <c r="F70" i="4"/>
  <c r="F69" i="4"/>
  <c r="F68" i="4"/>
  <c r="F67" i="4"/>
  <c r="F66" i="4"/>
  <c r="U66" i="4" s="1"/>
  <c r="F65" i="4"/>
  <c r="F64" i="4"/>
  <c r="F63" i="4"/>
  <c r="F62" i="4"/>
  <c r="F61" i="4"/>
  <c r="F60" i="4"/>
  <c r="F59" i="4"/>
  <c r="F58" i="4"/>
  <c r="F57" i="4"/>
  <c r="F56" i="4"/>
  <c r="V56" i="4" s="1"/>
  <c r="F55" i="4"/>
  <c r="V55" i="4" s="1"/>
  <c r="F54" i="4"/>
  <c r="F53" i="4"/>
  <c r="F52" i="4"/>
  <c r="F51" i="4"/>
  <c r="F50" i="4"/>
  <c r="F49" i="4"/>
  <c r="F48" i="4"/>
  <c r="F47" i="4"/>
  <c r="F46" i="4"/>
  <c r="F45" i="4"/>
  <c r="F44" i="4"/>
  <c r="I398" i="17"/>
  <c r="U212" i="4" l="1"/>
  <c r="W213" i="4"/>
  <c r="W153" i="4"/>
  <c r="V203" i="4"/>
  <c r="W201" i="4"/>
  <c r="W155" i="4"/>
  <c r="W205" i="4"/>
  <c r="U204" i="4"/>
  <c r="W207" i="4"/>
  <c r="W208" i="4"/>
  <c r="W192" i="4"/>
  <c r="W209" i="4"/>
  <c r="W177" i="4"/>
  <c r="W191" i="4"/>
  <c r="W189" i="4"/>
  <c r="V187" i="4"/>
  <c r="W186" i="4"/>
  <c r="W185" i="4"/>
  <c r="W184" i="4"/>
  <c r="W144" i="4"/>
  <c r="W145" i="4"/>
  <c r="W130" i="4"/>
  <c r="W122" i="4"/>
  <c r="W99" i="4"/>
  <c r="V195" i="4"/>
  <c r="W100" i="4"/>
  <c r="V221" i="4"/>
  <c r="V205" i="4"/>
  <c r="W212" i="4"/>
  <c r="V237" i="4"/>
  <c r="W236" i="4"/>
  <c r="W252" i="4"/>
  <c r="V261" i="4"/>
  <c r="W244" i="4"/>
  <c r="V213" i="4"/>
  <c r="W260" i="4"/>
  <c r="V269" i="4"/>
  <c r="W199" i="4"/>
  <c r="W197" i="4"/>
  <c r="V197" i="4"/>
  <c r="U196" i="4"/>
  <c r="W196" i="4"/>
  <c r="V179" i="4"/>
  <c r="W181" i="4"/>
  <c r="W183" i="4"/>
  <c r="V178" i="4"/>
  <c r="U47" i="4"/>
  <c r="U137" i="4"/>
  <c r="V46" i="4"/>
  <c r="U188" i="4"/>
  <c r="W188" i="4"/>
  <c r="W182" i="4"/>
  <c r="U182" i="4"/>
  <c r="U180" i="4"/>
  <c r="W180" i="4"/>
  <c r="W107" i="4"/>
  <c r="W121" i="4"/>
  <c r="W86" i="4"/>
  <c r="W85" i="4"/>
  <c r="W190" i="4"/>
  <c r="U190" i="4"/>
  <c r="W206" i="4"/>
  <c r="U206" i="4"/>
  <c r="W214" i="4"/>
  <c r="U214" i="4"/>
  <c r="W254" i="4"/>
  <c r="U254" i="4"/>
  <c r="W270" i="4"/>
  <c r="U270" i="4"/>
  <c r="U246" i="4"/>
  <c r="U222" i="4"/>
  <c r="W289" i="4"/>
  <c r="U289" i="4"/>
  <c r="U230" i="4"/>
  <c r="U262" i="4"/>
  <c r="U198" i="4"/>
  <c r="U238" i="4"/>
  <c r="V181" i="4"/>
  <c r="W220" i="4"/>
  <c r="V245" i="4"/>
  <c r="W204" i="4"/>
  <c r="V229" i="4"/>
  <c r="W268" i="4"/>
  <c r="V189" i="4"/>
  <c r="W228" i="4"/>
  <c r="V253" i="4"/>
  <c r="W304" i="4"/>
  <c r="U304" i="4"/>
  <c r="W336" i="4"/>
  <c r="U336" i="4"/>
  <c r="W376" i="4"/>
  <c r="U376" i="4"/>
  <c r="W440" i="4"/>
  <c r="U440" i="4"/>
  <c r="W488" i="4"/>
  <c r="U488" i="4"/>
  <c r="W329" i="4"/>
  <c r="V329" i="4"/>
  <c r="W377" i="4"/>
  <c r="V377" i="4"/>
  <c r="W417" i="4"/>
  <c r="V417" i="4"/>
  <c r="W473" i="4"/>
  <c r="V473" i="4"/>
  <c r="V306" i="4"/>
  <c r="U306" i="4"/>
  <c r="W306" i="4"/>
  <c r="V346" i="4"/>
  <c r="U346" i="4"/>
  <c r="W346" i="4"/>
  <c r="V394" i="4"/>
  <c r="U394" i="4"/>
  <c r="W394" i="4"/>
  <c r="V450" i="4"/>
  <c r="U450" i="4"/>
  <c r="W450" i="4"/>
  <c r="V482" i="4"/>
  <c r="U482" i="4"/>
  <c r="W482" i="4"/>
  <c r="V279" i="4"/>
  <c r="U279" i="4"/>
  <c r="V287" i="4"/>
  <c r="U287" i="4"/>
  <c r="V295" i="4"/>
  <c r="U295" i="4"/>
  <c r="V303" i="4"/>
  <c r="U303" i="4"/>
  <c r="V311" i="4"/>
  <c r="U311" i="4"/>
  <c r="V319" i="4"/>
  <c r="U319" i="4"/>
  <c r="V327" i="4"/>
  <c r="U327" i="4"/>
  <c r="V335" i="4"/>
  <c r="U335" i="4"/>
  <c r="V343" i="4"/>
  <c r="U343" i="4"/>
  <c r="V351" i="4"/>
  <c r="U351" i="4"/>
  <c r="V359" i="4"/>
  <c r="U359" i="4"/>
  <c r="V367" i="4"/>
  <c r="U367" i="4"/>
  <c r="V375" i="4"/>
  <c r="U375" i="4"/>
  <c r="V383" i="4"/>
  <c r="U383" i="4"/>
  <c r="V391" i="4"/>
  <c r="U391" i="4"/>
  <c r="V399" i="4"/>
  <c r="U399" i="4"/>
  <c r="V407" i="4"/>
  <c r="U407" i="4"/>
  <c r="V415" i="4"/>
  <c r="U415" i="4"/>
  <c r="V423" i="4"/>
  <c r="U423" i="4"/>
  <c r="V431" i="4"/>
  <c r="U431" i="4"/>
  <c r="V439" i="4"/>
  <c r="U439" i="4"/>
  <c r="V447" i="4"/>
  <c r="U447" i="4"/>
  <c r="V455" i="4"/>
  <c r="U455" i="4"/>
  <c r="V463" i="4"/>
  <c r="U463" i="4"/>
  <c r="V471" i="4"/>
  <c r="U471" i="4"/>
  <c r="V479" i="4"/>
  <c r="U479" i="4"/>
  <c r="V487" i="4"/>
  <c r="U487" i="4"/>
  <c r="V495" i="4"/>
  <c r="U495" i="4"/>
  <c r="W179" i="4"/>
  <c r="V180" i="4"/>
  <c r="U181" i="4"/>
  <c r="W187" i="4"/>
  <c r="V188" i="4"/>
  <c r="U189" i="4"/>
  <c r="W195" i="4"/>
  <c r="V196" i="4"/>
  <c r="U197" i="4"/>
  <c r="W203" i="4"/>
  <c r="V204" i="4"/>
  <c r="U205" i="4"/>
  <c r="W211" i="4"/>
  <c r="V212" i="4"/>
  <c r="U213" i="4"/>
  <c r="W219" i="4"/>
  <c r="V220" i="4"/>
  <c r="U221" i="4"/>
  <c r="W227" i="4"/>
  <c r="V228" i="4"/>
  <c r="U229" i="4"/>
  <c r="W235" i="4"/>
  <c r="V236" i="4"/>
  <c r="U237" i="4"/>
  <c r="W243" i="4"/>
  <c r="V244" i="4"/>
  <c r="U245" i="4"/>
  <c r="W251" i="4"/>
  <c r="V252" i="4"/>
  <c r="U253" i="4"/>
  <c r="W259" i="4"/>
  <c r="V260" i="4"/>
  <c r="U261" i="4"/>
  <c r="W267" i="4"/>
  <c r="V268" i="4"/>
  <c r="U269" i="4"/>
  <c r="W275" i="4"/>
  <c r="V276" i="4"/>
  <c r="W295" i="4"/>
  <c r="W359" i="4"/>
  <c r="W423" i="4"/>
  <c r="U473" i="4"/>
  <c r="W487" i="4"/>
  <c r="V182" i="4"/>
  <c r="U183" i="4"/>
  <c r="V190" i="4"/>
  <c r="U191" i="4"/>
  <c r="V198" i="4"/>
  <c r="U199" i="4"/>
  <c r="V206" i="4"/>
  <c r="U207" i="4"/>
  <c r="V214" i="4"/>
  <c r="U215" i="4"/>
  <c r="V222" i="4"/>
  <c r="U223" i="4"/>
  <c r="V230" i="4"/>
  <c r="U231" i="4"/>
  <c r="V238" i="4"/>
  <c r="U239" i="4"/>
  <c r="V246" i="4"/>
  <c r="U247" i="4"/>
  <c r="V254" i="4"/>
  <c r="U255" i="4"/>
  <c r="V262" i="4"/>
  <c r="U263" i="4"/>
  <c r="V270" i="4"/>
  <c r="U271" i="4"/>
  <c r="W287" i="4"/>
  <c r="W288" i="4"/>
  <c r="V289" i="4"/>
  <c r="V304" i="4"/>
  <c r="U329" i="4"/>
  <c r="W343" i="4"/>
  <c r="W407" i="4"/>
  <c r="W471" i="4"/>
  <c r="W360" i="4"/>
  <c r="U360" i="4"/>
  <c r="W416" i="4"/>
  <c r="U416" i="4"/>
  <c r="W464" i="4"/>
  <c r="U464" i="4"/>
  <c r="W313" i="4"/>
  <c r="V313" i="4"/>
  <c r="W369" i="4"/>
  <c r="V369" i="4"/>
  <c r="W409" i="4"/>
  <c r="V409" i="4"/>
  <c r="W457" i="4"/>
  <c r="V457" i="4"/>
  <c r="V314" i="4"/>
  <c r="U314" i="4"/>
  <c r="W314" i="4"/>
  <c r="V370" i="4"/>
  <c r="U370" i="4"/>
  <c r="W370" i="4"/>
  <c r="V434" i="4"/>
  <c r="U434" i="4"/>
  <c r="W434" i="4"/>
  <c r="V498" i="4"/>
  <c r="U498" i="4"/>
  <c r="W498" i="4"/>
  <c r="V183" i="4"/>
  <c r="U184" i="4"/>
  <c r="V191" i="4"/>
  <c r="U192" i="4"/>
  <c r="V199" i="4"/>
  <c r="U200" i="4"/>
  <c r="V207" i="4"/>
  <c r="U208" i="4"/>
  <c r="V215" i="4"/>
  <c r="U216" i="4"/>
  <c r="V223" i="4"/>
  <c r="U224" i="4"/>
  <c r="V231" i="4"/>
  <c r="U232" i="4"/>
  <c r="V239" i="4"/>
  <c r="U240" i="4"/>
  <c r="V247" i="4"/>
  <c r="U248" i="4"/>
  <c r="V255" i="4"/>
  <c r="U256" i="4"/>
  <c r="V263" i="4"/>
  <c r="U264" i="4"/>
  <c r="V271" i="4"/>
  <c r="U272" i="4"/>
  <c r="V280" i="4"/>
  <c r="U281" i="4"/>
  <c r="W303" i="4"/>
  <c r="W367" i="4"/>
  <c r="U417" i="4"/>
  <c r="W431" i="4"/>
  <c r="W495" i="4"/>
  <c r="W312" i="4"/>
  <c r="U312" i="4"/>
  <c r="W352" i="4"/>
  <c r="U352" i="4"/>
  <c r="W408" i="4"/>
  <c r="U408" i="4"/>
  <c r="W448" i="4"/>
  <c r="U448" i="4"/>
  <c r="W496" i="4"/>
  <c r="U496" i="4"/>
  <c r="W305" i="4"/>
  <c r="V305" i="4"/>
  <c r="W345" i="4"/>
  <c r="V345" i="4"/>
  <c r="W401" i="4"/>
  <c r="V401" i="4"/>
  <c r="W449" i="4"/>
  <c r="V449" i="4"/>
  <c r="W497" i="4"/>
  <c r="V497" i="4"/>
  <c r="U497" i="4"/>
  <c r="V298" i="4"/>
  <c r="U298" i="4"/>
  <c r="W298" i="4"/>
  <c r="V338" i="4"/>
  <c r="U338" i="4"/>
  <c r="W338" i="4"/>
  <c r="V386" i="4"/>
  <c r="U386" i="4"/>
  <c r="W386" i="4"/>
  <c r="V426" i="4"/>
  <c r="U426" i="4"/>
  <c r="W426" i="4"/>
  <c r="V474" i="4"/>
  <c r="U474" i="4"/>
  <c r="W474" i="4"/>
  <c r="U283" i="4"/>
  <c r="W283" i="4"/>
  <c r="V283" i="4"/>
  <c r="U291" i="4"/>
  <c r="W291" i="4"/>
  <c r="V291" i="4"/>
  <c r="U299" i="4"/>
  <c r="W299" i="4"/>
  <c r="V299" i="4"/>
  <c r="U307" i="4"/>
  <c r="W307" i="4"/>
  <c r="V307" i="4"/>
  <c r="U315" i="4"/>
  <c r="W315" i="4"/>
  <c r="V315" i="4"/>
  <c r="U323" i="4"/>
  <c r="W323" i="4"/>
  <c r="V323" i="4"/>
  <c r="U331" i="4"/>
  <c r="W331" i="4"/>
  <c r="V331" i="4"/>
  <c r="U339" i="4"/>
  <c r="W339" i="4"/>
  <c r="V339" i="4"/>
  <c r="U347" i="4"/>
  <c r="W347" i="4"/>
  <c r="V347" i="4"/>
  <c r="U355" i="4"/>
  <c r="W355" i="4"/>
  <c r="V355" i="4"/>
  <c r="U363" i="4"/>
  <c r="W363" i="4"/>
  <c r="V363" i="4"/>
  <c r="U371" i="4"/>
  <c r="W371" i="4"/>
  <c r="V371" i="4"/>
  <c r="U379" i="4"/>
  <c r="W379" i="4"/>
  <c r="V379" i="4"/>
  <c r="U387" i="4"/>
  <c r="W387" i="4"/>
  <c r="V387" i="4"/>
  <c r="U395" i="4"/>
  <c r="W395" i="4"/>
  <c r="V395" i="4"/>
  <c r="U403" i="4"/>
  <c r="W403" i="4"/>
  <c r="V403" i="4"/>
  <c r="U411" i="4"/>
  <c r="W411" i="4"/>
  <c r="V411" i="4"/>
  <c r="U419" i="4"/>
  <c r="W419" i="4"/>
  <c r="V419" i="4"/>
  <c r="U427" i="4"/>
  <c r="W427" i="4"/>
  <c r="V427" i="4"/>
  <c r="U435" i="4"/>
  <c r="W435" i="4"/>
  <c r="V435" i="4"/>
  <c r="U443" i="4"/>
  <c r="W443" i="4"/>
  <c r="V443" i="4"/>
  <c r="U451" i="4"/>
  <c r="W451" i="4"/>
  <c r="V451" i="4"/>
  <c r="U459" i="4"/>
  <c r="W459" i="4"/>
  <c r="V459" i="4"/>
  <c r="U467" i="4"/>
  <c r="W467" i="4"/>
  <c r="V467" i="4"/>
  <c r="U475" i="4"/>
  <c r="W475" i="4"/>
  <c r="V475" i="4"/>
  <c r="U483" i="4"/>
  <c r="W483" i="4"/>
  <c r="V483" i="4"/>
  <c r="U491" i="4"/>
  <c r="W491" i="4"/>
  <c r="V491" i="4"/>
  <c r="U499" i="4"/>
  <c r="W499" i="4"/>
  <c r="V499" i="4"/>
  <c r="V184" i="4"/>
  <c r="U185" i="4"/>
  <c r="V192" i="4"/>
  <c r="U193" i="4"/>
  <c r="V200" i="4"/>
  <c r="U201" i="4"/>
  <c r="V208" i="4"/>
  <c r="U209" i="4"/>
  <c r="V216" i="4"/>
  <c r="U217" i="4"/>
  <c r="V224" i="4"/>
  <c r="U225" i="4"/>
  <c r="V232" i="4"/>
  <c r="U233" i="4"/>
  <c r="V240" i="4"/>
  <c r="U241" i="4"/>
  <c r="V248" i="4"/>
  <c r="U249" i="4"/>
  <c r="V256" i="4"/>
  <c r="U257" i="4"/>
  <c r="V264" i="4"/>
  <c r="U265" i="4"/>
  <c r="V272" i="4"/>
  <c r="U273" i="4"/>
  <c r="W279" i="4"/>
  <c r="W280" i="4"/>
  <c r="V281" i="4"/>
  <c r="U313" i="4"/>
  <c r="W327" i="4"/>
  <c r="V352" i="4"/>
  <c r="U377" i="4"/>
  <c r="W391" i="4"/>
  <c r="V416" i="4"/>
  <c r="W455" i="4"/>
  <c r="W320" i="4"/>
  <c r="U320" i="4"/>
  <c r="W368" i="4"/>
  <c r="U368" i="4"/>
  <c r="W400" i="4"/>
  <c r="U400" i="4"/>
  <c r="W424" i="4"/>
  <c r="U424" i="4"/>
  <c r="W472" i="4"/>
  <c r="U472" i="4"/>
  <c r="W321" i="4"/>
  <c r="V321" i="4"/>
  <c r="W361" i="4"/>
  <c r="V361" i="4"/>
  <c r="W393" i="4"/>
  <c r="V393" i="4"/>
  <c r="W441" i="4"/>
  <c r="V441" i="4"/>
  <c r="W481" i="4"/>
  <c r="V481" i="4"/>
  <c r="V290" i="4"/>
  <c r="W290" i="4"/>
  <c r="V330" i="4"/>
  <c r="U330" i="4"/>
  <c r="W330" i="4"/>
  <c r="V378" i="4"/>
  <c r="U378" i="4"/>
  <c r="W378" i="4"/>
  <c r="V418" i="4"/>
  <c r="U418" i="4"/>
  <c r="W418" i="4"/>
  <c r="V458" i="4"/>
  <c r="U458" i="4"/>
  <c r="W458" i="4"/>
  <c r="W284" i="4"/>
  <c r="V284" i="4"/>
  <c r="U284" i="4"/>
  <c r="W292" i="4"/>
  <c r="V292" i="4"/>
  <c r="U292" i="4"/>
  <c r="W300" i="4"/>
  <c r="V300" i="4"/>
  <c r="U300" i="4"/>
  <c r="W308" i="4"/>
  <c r="V308" i="4"/>
  <c r="U308" i="4"/>
  <c r="W316" i="4"/>
  <c r="V316" i="4"/>
  <c r="U316" i="4"/>
  <c r="W324" i="4"/>
  <c r="V324" i="4"/>
  <c r="U324" i="4"/>
  <c r="W332" i="4"/>
  <c r="V332" i="4"/>
  <c r="U332" i="4"/>
  <c r="W340" i="4"/>
  <c r="V340" i="4"/>
  <c r="U340" i="4"/>
  <c r="W348" i="4"/>
  <c r="V348" i="4"/>
  <c r="U348" i="4"/>
  <c r="W356" i="4"/>
  <c r="V356" i="4"/>
  <c r="U356" i="4"/>
  <c r="W364" i="4"/>
  <c r="V364" i="4"/>
  <c r="U364" i="4"/>
  <c r="W372" i="4"/>
  <c r="V372" i="4"/>
  <c r="U372" i="4"/>
  <c r="W380" i="4"/>
  <c r="V380" i="4"/>
  <c r="U380" i="4"/>
  <c r="W388" i="4"/>
  <c r="V388" i="4"/>
  <c r="U388" i="4"/>
  <c r="W396" i="4"/>
  <c r="V396" i="4"/>
  <c r="U396" i="4"/>
  <c r="W404" i="4"/>
  <c r="V404" i="4"/>
  <c r="U404" i="4"/>
  <c r="W412" i="4"/>
  <c r="V412" i="4"/>
  <c r="U412" i="4"/>
  <c r="W420" i="4"/>
  <c r="V420" i="4"/>
  <c r="U420" i="4"/>
  <c r="W428" i="4"/>
  <c r="V428" i="4"/>
  <c r="U428" i="4"/>
  <c r="W436" i="4"/>
  <c r="V436" i="4"/>
  <c r="U436" i="4"/>
  <c r="W444" i="4"/>
  <c r="V444" i="4"/>
  <c r="U444" i="4"/>
  <c r="W452" i="4"/>
  <c r="V452" i="4"/>
  <c r="U452" i="4"/>
  <c r="W460" i="4"/>
  <c r="V460" i="4"/>
  <c r="U460" i="4"/>
  <c r="W468" i="4"/>
  <c r="V468" i="4"/>
  <c r="U468" i="4"/>
  <c r="W476" i="4"/>
  <c r="V476" i="4"/>
  <c r="U476" i="4"/>
  <c r="W484" i="4"/>
  <c r="V484" i="4"/>
  <c r="U484" i="4"/>
  <c r="W492" i="4"/>
  <c r="V492" i="4"/>
  <c r="U492" i="4"/>
  <c r="W500" i="4"/>
  <c r="V500" i="4"/>
  <c r="U500" i="4"/>
  <c r="V185" i="4"/>
  <c r="U186" i="4"/>
  <c r="V193" i="4"/>
  <c r="U194" i="4"/>
  <c r="V201" i="4"/>
  <c r="U202" i="4"/>
  <c r="V209" i="4"/>
  <c r="U210" i="4"/>
  <c r="V217" i="4"/>
  <c r="U218" i="4"/>
  <c r="V225" i="4"/>
  <c r="U226" i="4"/>
  <c r="V233" i="4"/>
  <c r="U234" i="4"/>
  <c r="V241" i="4"/>
  <c r="U242" i="4"/>
  <c r="V249" i="4"/>
  <c r="U250" i="4"/>
  <c r="V257" i="4"/>
  <c r="U258" i="4"/>
  <c r="V265" i="4"/>
  <c r="U266" i="4"/>
  <c r="V273" i="4"/>
  <c r="U274" i="4"/>
  <c r="V312" i="4"/>
  <c r="W351" i="4"/>
  <c r="V376" i="4"/>
  <c r="U401" i="4"/>
  <c r="W415" i="4"/>
  <c r="V440" i="4"/>
  <c r="W479" i="4"/>
  <c r="W328" i="4"/>
  <c r="U328" i="4"/>
  <c r="W392" i="4"/>
  <c r="U392" i="4"/>
  <c r="W456" i="4"/>
  <c r="U456" i="4"/>
  <c r="V408" i="4"/>
  <c r="W353" i="4"/>
  <c r="V353" i="4"/>
  <c r="W425" i="4"/>
  <c r="V425" i="4"/>
  <c r="W489" i="4"/>
  <c r="V489" i="4"/>
  <c r="V282" i="4"/>
  <c r="W282" i="4"/>
  <c r="V354" i="4"/>
  <c r="U354" i="4"/>
  <c r="W354" i="4"/>
  <c r="V410" i="4"/>
  <c r="U410" i="4"/>
  <c r="W410" i="4"/>
  <c r="V466" i="4"/>
  <c r="U466" i="4"/>
  <c r="W466" i="4"/>
  <c r="W277" i="4"/>
  <c r="V277" i="4"/>
  <c r="W285" i="4"/>
  <c r="V285" i="4"/>
  <c r="U285" i="4"/>
  <c r="W293" i="4"/>
  <c r="V293" i="4"/>
  <c r="U293" i="4"/>
  <c r="W301" i="4"/>
  <c r="V301" i="4"/>
  <c r="U301" i="4"/>
  <c r="W309" i="4"/>
  <c r="V309" i="4"/>
  <c r="U309" i="4"/>
  <c r="W317" i="4"/>
  <c r="V317" i="4"/>
  <c r="U317" i="4"/>
  <c r="W325" i="4"/>
  <c r="V325" i="4"/>
  <c r="U325" i="4"/>
  <c r="W333" i="4"/>
  <c r="V333" i="4"/>
  <c r="U333" i="4"/>
  <c r="W341" i="4"/>
  <c r="V341" i="4"/>
  <c r="U341" i="4"/>
  <c r="W349" i="4"/>
  <c r="V349" i="4"/>
  <c r="U349" i="4"/>
  <c r="W357" i="4"/>
  <c r="V357" i="4"/>
  <c r="U357" i="4"/>
  <c r="W365" i="4"/>
  <c r="V365" i="4"/>
  <c r="U365" i="4"/>
  <c r="W373" i="4"/>
  <c r="V373" i="4"/>
  <c r="U373" i="4"/>
  <c r="W381" i="4"/>
  <c r="V381" i="4"/>
  <c r="U381" i="4"/>
  <c r="W389" i="4"/>
  <c r="V389" i="4"/>
  <c r="U389" i="4"/>
  <c r="W397" i="4"/>
  <c r="V397" i="4"/>
  <c r="U397" i="4"/>
  <c r="W405" i="4"/>
  <c r="V405" i="4"/>
  <c r="U405" i="4"/>
  <c r="W413" i="4"/>
  <c r="V413" i="4"/>
  <c r="U413" i="4"/>
  <c r="W421" i="4"/>
  <c r="V421" i="4"/>
  <c r="U421" i="4"/>
  <c r="W429" i="4"/>
  <c r="V429" i="4"/>
  <c r="U429" i="4"/>
  <c r="W437" i="4"/>
  <c r="V437" i="4"/>
  <c r="U437" i="4"/>
  <c r="W445" i="4"/>
  <c r="V445" i="4"/>
  <c r="U445" i="4"/>
  <c r="W453" i="4"/>
  <c r="V453" i="4"/>
  <c r="U453" i="4"/>
  <c r="W461" i="4"/>
  <c r="V461" i="4"/>
  <c r="U461" i="4"/>
  <c r="W469" i="4"/>
  <c r="V469" i="4"/>
  <c r="U469" i="4"/>
  <c r="W477" i="4"/>
  <c r="V477" i="4"/>
  <c r="U477" i="4"/>
  <c r="W485" i="4"/>
  <c r="V485" i="4"/>
  <c r="U485" i="4"/>
  <c r="W493" i="4"/>
  <c r="V493" i="4"/>
  <c r="U493" i="4"/>
  <c r="U179" i="4"/>
  <c r="V186" i="4"/>
  <c r="U187" i="4"/>
  <c r="V194" i="4"/>
  <c r="U195" i="4"/>
  <c r="V202" i="4"/>
  <c r="U203" i="4"/>
  <c r="V210" i="4"/>
  <c r="U211" i="4"/>
  <c r="V218" i="4"/>
  <c r="U219" i="4"/>
  <c r="V226" i="4"/>
  <c r="U227" i="4"/>
  <c r="V234" i="4"/>
  <c r="U235" i="4"/>
  <c r="V242" i="4"/>
  <c r="U243" i="4"/>
  <c r="V250" i="4"/>
  <c r="U251" i="4"/>
  <c r="V258" i="4"/>
  <c r="U259" i="4"/>
  <c r="V266" i="4"/>
  <c r="U267" i="4"/>
  <c r="V274" i="4"/>
  <c r="U275" i="4"/>
  <c r="W311" i="4"/>
  <c r="V336" i="4"/>
  <c r="U361" i="4"/>
  <c r="W375" i="4"/>
  <c r="V400" i="4"/>
  <c r="U425" i="4"/>
  <c r="W439" i="4"/>
  <c r="V464" i="4"/>
  <c r="U489" i="4"/>
  <c r="W296" i="4"/>
  <c r="U296" i="4"/>
  <c r="W344" i="4"/>
  <c r="U344" i="4"/>
  <c r="W384" i="4"/>
  <c r="U384" i="4"/>
  <c r="W432" i="4"/>
  <c r="U432" i="4"/>
  <c r="W480" i="4"/>
  <c r="U480" i="4"/>
  <c r="V288" i="4"/>
  <c r="V472" i="4"/>
  <c r="W297" i="4"/>
  <c r="V297" i="4"/>
  <c r="W337" i="4"/>
  <c r="V337" i="4"/>
  <c r="W385" i="4"/>
  <c r="V385" i="4"/>
  <c r="W433" i="4"/>
  <c r="V433" i="4"/>
  <c r="W465" i="4"/>
  <c r="V465" i="4"/>
  <c r="V322" i="4"/>
  <c r="U322" i="4"/>
  <c r="W322" i="4"/>
  <c r="V362" i="4"/>
  <c r="U362" i="4"/>
  <c r="W362" i="4"/>
  <c r="V402" i="4"/>
  <c r="U402" i="4"/>
  <c r="W402" i="4"/>
  <c r="V442" i="4"/>
  <c r="U442" i="4"/>
  <c r="W442" i="4"/>
  <c r="V490" i="4"/>
  <c r="U490" i="4"/>
  <c r="W490" i="4"/>
  <c r="W278" i="4"/>
  <c r="V278" i="4"/>
  <c r="U278" i="4"/>
  <c r="W286" i="4"/>
  <c r="V286" i="4"/>
  <c r="U286" i="4"/>
  <c r="W294" i="4"/>
  <c r="V294" i="4"/>
  <c r="U294" i="4"/>
  <c r="W302" i="4"/>
  <c r="V302" i="4"/>
  <c r="U302" i="4"/>
  <c r="W310" i="4"/>
  <c r="V310" i="4"/>
  <c r="U310" i="4"/>
  <c r="W318" i="4"/>
  <c r="V318" i="4"/>
  <c r="U318" i="4"/>
  <c r="W326" i="4"/>
  <c r="V326" i="4"/>
  <c r="U326" i="4"/>
  <c r="W334" i="4"/>
  <c r="V334" i="4"/>
  <c r="U334" i="4"/>
  <c r="W342" i="4"/>
  <c r="V342" i="4"/>
  <c r="U342" i="4"/>
  <c r="W350" i="4"/>
  <c r="V350" i="4"/>
  <c r="U350" i="4"/>
  <c r="W358" i="4"/>
  <c r="V358" i="4"/>
  <c r="U358" i="4"/>
  <c r="W366" i="4"/>
  <c r="V366" i="4"/>
  <c r="U366" i="4"/>
  <c r="W374" i="4"/>
  <c r="V374" i="4"/>
  <c r="U374" i="4"/>
  <c r="W382" i="4"/>
  <c r="V382" i="4"/>
  <c r="U382" i="4"/>
  <c r="W390" i="4"/>
  <c r="V390" i="4"/>
  <c r="U390" i="4"/>
  <c r="W398" i="4"/>
  <c r="V398" i="4"/>
  <c r="U398" i="4"/>
  <c r="W406" i="4"/>
  <c r="V406" i="4"/>
  <c r="U406" i="4"/>
  <c r="W414" i="4"/>
  <c r="V414" i="4"/>
  <c r="U414" i="4"/>
  <c r="W422" i="4"/>
  <c r="V422" i="4"/>
  <c r="U422" i="4"/>
  <c r="W430" i="4"/>
  <c r="V430" i="4"/>
  <c r="U430" i="4"/>
  <c r="W438" i="4"/>
  <c r="V438" i="4"/>
  <c r="U438" i="4"/>
  <c r="W446" i="4"/>
  <c r="V446" i="4"/>
  <c r="U446" i="4"/>
  <c r="W454" i="4"/>
  <c r="V454" i="4"/>
  <c r="U454" i="4"/>
  <c r="W462" i="4"/>
  <c r="V462" i="4"/>
  <c r="U462" i="4"/>
  <c r="W470" i="4"/>
  <c r="V470" i="4"/>
  <c r="U470" i="4"/>
  <c r="W478" i="4"/>
  <c r="V478" i="4"/>
  <c r="U478" i="4"/>
  <c r="W486" i="4"/>
  <c r="V486" i="4"/>
  <c r="U486" i="4"/>
  <c r="W494" i="4"/>
  <c r="V494" i="4"/>
  <c r="U494" i="4"/>
  <c r="U276" i="4"/>
  <c r="U277" i="4"/>
  <c r="V296" i="4"/>
  <c r="U321" i="4"/>
  <c r="W335" i="4"/>
  <c r="V360" i="4"/>
  <c r="U385" i="4"/>
  <c r="W399" i="4"/>
  <c r="V424" i="4"/>
  <c r="U449" i="4"/>
  <c r="W463" i="4"/>
  <c r="V488" i="4"/>
  <c r="W178" i="4"/>
  <c r="U177" i="4"/>
  <c r="V177" i="4"/>
  <c r="U178" i="4"/>
  <c r="W127" i="4"/>
  <c r="U119" i="4"/>
  <c r="W61" i="4"/>
  <c r="W77" i="4"/>
  <c r="W101" i="4"/>
  <c r="W125" i="4"/>
  <c r="V118" i="4"/>
  <c r="W142" i="4"/>
  <c r="V135" i="4"/>
  <c r="U152" i="4"/>
  <c r="W168" i="4"/>
  <c r="U64" i="4"/>
  <c r="W81" i="4"/>
  <c r="U138" i="4"/>
  <c r="W154" i="4"/>
  <c r="U78" i="4"/>
  <c r="W123" i="4"/>
  <c r="V131" i="4"/>
  <c r="U148" i="4"/>
  <c r="W164" i="4"/>
  <c r="W53" i="4"/>
  <c r="W69" i="4"/>
  <c r="W93" i="4"/>
  <c r="W109" i="4"/>
  <c r="W117" i="4"/>
  <c r="W133" i="4"/>
  <c r="W141" i="4"/>
  <c r="W157" i="4"/>
  <c r="W165" i="4"/>
  <c r="W173" i="4"/>
  <c r="V47" i="4"/>
  <c r="U95" i="4"/>
  <c r="V54" i="4"/>
  <c r="V94" i="4"/>
  <c r="V150" i="4"/>
  <c r="U63" i="4"/>
  <c r="U79" i="4"/>
  <c r="U87" i="4"/>
  <c r="U111" i="4"/>
  <c r="U159" i="4"/>
  <c r="U167" i="4"/>
  <c r="U175" i="4"/>
  <c r="V71" i="4"/>
  <c r="V84" i="4"/>
  <c r="U85" i="4"/>
  <c r="U86" i="4"/>
  <c r="V92" i="4"/>
  <c r="V119" i="4"/>
  <c r="V143" i="4"/>
  <c r="V148" i="4"/>
  <c r="V70" i="4"/>
  <c r="V110" i="4"/>
  <c r="W108" i="4"/>
  <c r="V134" i="4"/>
  <c r="U71" i="4"/>
  <c r="U103" i="4"/>
  <c r="U143" i="4"/>
  <c r="W45" i="4"/>
  <c r="V60" i="4"/>
  <c r="W84" i="4"/>
  <c r="V85" i="4"/>
  <c r="U127" i="4"/>
  <c r="V132" i="4"/>
  <c r="U139" i="4"/>
  <c r="V126" i="4"/>
  <c r="V66" i="4"/>
  <c r="W68" i="4"/>
  <c r="W131" i="4"/>
  <c r="V138" i="4"/>
  <c r="V78" i="4"/>
  <c r="V166" i="4"/>
  <c r="W66" i="4"/>
  <c r="V137" i="4"/>
  <c r="W151" i="4"/>
  <c r="V62" i="4"/>
  <c r="V158" i="4"/>
  <c r="W149" i="4"/>
  <c r="V102" i="4"/>
  <c r="V87" i="4"/>
  <c r="W97" i="4"/>
  <c r="V152" i="4"/>
  <c r="U153" i="4"/>
  <c r="U172" i="4"/>
  <c r="U173" i="4"/>
  <c r="U112" i="4"/>
  <c r="V77" i="4"/>
  <c r="W106" i="4"/>
  <c r="V108" i="4"/>
  <c r="W114" i="4"/>
  <c r="W119" i="4"/>
  <c r="V120" i="4"/>
  <c r="U121" i="4"/>
  <c r="V127" i="4"/>
  <c r="W129" i="4"/>
  <c r="W132" i="4"/>
  <c r="W134" i="4"/>
  <c r="W135" i="4"/>
  <c r="W136" i="4"/>
  <c r="W137" i="4"/>
  <c r="W138" i="4"/>
  <c r="V139" i="4"/>
  <c r="U140" i="4"/>
  <c r="U142" i="4"/>
  <c r="U144" i="4"/>
  <c r="W148" i="4"/>
  <c r="U150" i="4"/>
  <c r="W152" i="4"/>
  <c r="V153" i="4"/>
  <c r="U154" i="4"/>
  <c r="W161" i="4"/>
  <c r="U164" i="4"/>
  <c r="U168" i="4"/>
  <c r="V173" i="4"/>
  <c r="U174" i="4"/>
  <c r="U176" i="4"/>
  <c r="W52" i="4"/>
  <c r="V68" i="4"/>
  <c r="U46" i="4"/>
  <c r="V52" i="4"/>
  <c r="W64" i="4"/>
  <c r="V67" i="4"/>
  <c r="U81" i="4"/>
  <c r="V86" i="4"/>
  <c r="V88" i="4"/>
  <c r="U89" i="4"/>
  <c r="W96" i="4"/>
  <c r="U99" i="4"/>
  <c r="V103" i="4"/>
  <c r="V111" i="4"/>
  <c r="U118" i="4"/>
  <c r="W120" i="4"/>
  <c r="V121" i="4"/>
  <c r="U122" i="4"/>
  <c r="V133" i="4"/>
  <c r="V140" i="4"/>
  <c r="V142" i="4"/>
  <c r="V144" i="4"/>
  <c r="U145" i="4"/>
  <c r="V149" i="4"/>
  <c r="V154" i="4"/>
  <c r="U155" i="4"/>
  <c r="V164" i="4"/>
  <c r="U165" i="4"/>
  <c r="V168" i="4"/>
  <c r="U169" i="4"/>
  <c r="U170" i="4"/>
  <c r="W172" i="4"/>
  <c r="V174" i="4"/>
  <c r="V176" i="4"/>
  <c r="V45" i="4"/>
  <c r="V51" i="4"/>
  <c r="U55" i="4"/>
  <c r="U56" i="4"/>
  <c r="W58" i="4"/>
  <c r="W59" i="4"/>
  <c r="W63" i="4"/>
  <c r="W65" i="4"/>
  <c r="W72" i="4"/>
  <c r="U73" i="4"/>
  <c r="W76" i="4"/>
  <c r="V79" i="4"/>
  <c r="V81" i="4"/>
  <c r="W83" i="4"/>
  <c r="W88" i="4"/>
  <c r="V89" i="4"/>
  <c r="U90" i="4"/>
  <c r="W95" i="4"/>
  <c r="V99" i="4"/>
  <c r="U100" i="4"/>
  <c r="W105" i="4"/>
  <c r="W113" i="4"/>
  <c r="V117" i="4"/>
  <c r="V122" i="4"/>
  <c r="U123" i="4"/>
  <c r="U126" i="4"/>
  <c r="W128" i="4"/>
  <c r="V145" i="4"/>
  <c r="W147" i="4"/>
  <c r="V155" i="4"/>
  <c r="U156" i="4"/>
  <c r="W160" i="4"/>
  <c r="V165" i="4"/>
  <c r="U48" i="4"/>
  <c r="U62" i="4"/>
  <c r="W67" i="4"/>
  <c r="W71" i="4"/>
  <c r="V76" i="4"/>
  <c r="W87" i="4"/>
  <c r="V90" i="4"/>
  <c r="U91" i="4"/>
  <c r="U94" i="4"/>
  <c r="V100" i="4"/>
  <c r="U101" i="4"/>
  <c r="U109" i="4"/>
  <c r="V123" i="4"/>
  <c r="V125" i="4"/>
  <c r="V128" i="4"/>
  <c r="V141" i="4"/>
  <c r="W143" i="4"/>
  <c r="V156" i="4"/>
  <c r="W159" i="4"/>
  <c r="W167" i="4"/>
  <c r="W169" i="4"/>
  <c r="W170" i="4"/>
  <c r="W171" i="4"/>
  <c r="W175" i="4"/>
  <c r="W48" i="4"/>
  <c r="V64" i="4"/>
  <c r="W73" i="4"/>
  <c r="W44" i="4"/>
  <c r="W50" i="4"/>
  <c r="W51" i="4"/>
  <c r="W55" i="4"/>
  <c r="W56" i="4"/>
  <c r="W57" i="4"/>
  <c r="V61" i="4"/>
  <c r="U65" i="4"/>
  <c r="U70" i="4"/>
  <c r="V75" i="4"/>
  <c r="W82" i="4"/>
  <c r="V91" i="4"/>
  <c r="V93" i="4"/>
  <c r="U96" i="4"/>
  <c r="V101" i="4"/>
  <c r="W104" i="4"/>
  <c r="U107" i="4"/>
  <c r="V109" i="4"/>
  <c r="W112" i="4"/>
  <c r="W116" i="4"/>
  <c r="U130" i="4"/>
  <c r="W146" i="4"/>
  <c r="U158" i="4"/>
  <c r="W163" i="4"/>
  <c r="U166" i="4"/>
  <c r="U104" i="4"/>
  <c r="W47" i="4"/>
  <c r="V80" i="4"/>
  <c r="V44" i="4"/>
  <c r="U54" i="4"/>
  <c r="V69" i="4"/>
  <c r="V72" i="4"/>
  <c r="W80" i="4"/>
  <c r="W98" i="4"/>
  <c r="W103" i="4"/>
  <c r="V107" i="4"/>
  <c r="W111" i="4"/>
  <c r="V116" i="4"/>
  <c r="W124" i="4"/>
  <c r="U128" i="4"/>
  <c r="V130" i="4"/>
  <c r="U131" i="4"/>
  <c r="V146" i="4"/>
  <c r="U151" i="4"/>
  <c r="V157" i="4"/>
  <c r="V160" i="4"/>
  <c r="V136" i="4"/>
  <c r="V59" i="4"/>
  <c r="W49" i="4"/>
  <c r="V53" i="4"/>
  <c r="W60" i="4"/>
  <c r="V63" i="4"/>
  <c r="W74" i="4"/>
  <c r="W75" i="4"/>
  <c r="W79" i="4"/>
  <c r="W92" i="4"/>
  <c r="V95" i="4"/>
  <c r="U102" i="4"/>
  <c r="U110" i="4"/>
  <c r="W115" i="4"/>
  <c r="V124" i="4"/>
  <c r="W162" i="4"/>
  <c r="W46" i="4"/>
  <c r="W54" i="4"/>
  <c r="W62" i="4"/>
  <c r="W70" i="4"/>
  <c r="U72" i="4"/>
  <c r="W78" i="4"/>
  <c r="U80" i="4"/>
  <c r="W94" i="4"/>
  <c r="W102" i="4"/>
  <c r="W110" i="4"/>
  <c r="W118" i="4"/>
  <c r="W126" i="4"/>
  <c r="W150" i="4"/>
  <c r="W158" i="4"/>
  <c r="V159" i="4"/>
  <c r="U160" i="4"/>
  <c r="W166" i="4"/>
  <c r="V167" i="4"/>
  <c r="V175" i="4"/>
  <c r="V48" i="4"/>
  <c r="U49" i="4"/>
  <c r="U57" i="4"/>
  <c r="V96" i="4"/>
  <c r="U97" i="4"/>
  <c r="V104" i="4"/>
  <c r="U105" i="4"/>
  <c r="V112" i="4"/>
  <c r="U113" i="4"/>
  <c r="U129" i="4"/>
  <c r="U161" i="4"/>
  <c r="V49" i="4"/>
  <c r="U50" i="4"/>
  <c r="V57" i="4"/>
  <c r="U58" i="4"/>
  <c r="V65" i="4"/>
  <c r="V73" i="4"/>
  <c r="U74" i="4"/>
  <c r="U82" i="4"/>
  <c r="V97" i="4"/>
  <c r="U98" i="4"/>
  <c r="V105" i="4"/>
  <c r="U106" i="4"/>
  <c r="V113" i="4"/>
  <c r="U114" i="4"/>
  <c r="V129" i="4"/>
  <c r="U146" i="4"/>
  <c r="V161" i="4"/>
  <c r="U162" i="4"/>
  <c r="V50" i="4"/>
  <c r="U51" i="4"/>
  <c r="V58" i="4"/>
  <c r="U59" i="4"/>
  <c r="U67" i="4"/>
  <c r="V74" i="4"/>
  <c r="U75" i="4"/>
  <c r="V82" i="4"/>
  <c r="U83" i="4"/>
  <c r="V98" i="4"/>
  <c r="V106" i="4"/>
  <c r="V114" i="4"/>
  <c r="U115" i="4"/>
  <c r="U147" i="4"/>
  <c r="V162" i="4"/>
  <c r="U163" i="4"/>
  <c r="U171" i="4"/>
  <c r="U44" i="4"/>
  <c r="U52" i="4"/>
  <c r="U60" i="4"/>
  <c r="U68" i="4"/>
  <c r="U76" i="4"/>
  <c r="V83" i="4"/>
  <c r="U92" i="4"/>
  <c r="U108" i="4"/>
  <c r="V115" i="4"/>
  <c r="U116" i="4"/>
  <c r="U124" i="4"/>
  <c r="V147" i="4"/>
  <c r="V163" i="4"/>
  <c r="V171" i="4"/>
  <c r="U53" i="4"/>
  <c r="U93" i="4"/>
  <c r="U117" i="4"/>
  <c r="U125" i="4"/>
  <c r="U133" i="4"/>
  <c r="U141" i="4"/>
  <c r="U149" i="4"/>
  <c r="U157" i="4"/>
  <c r="U45" i="4"/>
  <c r="U61" i="4"/>
  <c r="U69" i="4"/>
  <c r="U77" i="4"/>
  <c r="Y174" i="1"/>
  <c r="F172" i="1" l="1"/>
  <c r="I503" i="17"/>
  <c r="I502" i="17"/>
  <c r="I501" i="17"/>
  <c r="I500" i="17"/>
  <c r="I499" i="17"/>
  <c r="I498" i="17"/>
  <c r="I497" i="17"/>
  <c r="I496" i="17"/>
  <c r="I495" i="17"/>
  <c r="I494" i="17"/>
  <c r="I493" i="17"/>
  <c r="I492" i="17"/>
  <c r="I491" i="17"/>
  <c r="I490" i="17"/>
  <c r="I489" i="17"/>
  <c r="I488" i="17"/>
  <c r="I487" i="17"/>
  <c r="I486" i="17"/>
  <c r="I485" i="17"/>
  <c r="I484" i="17"/>
  <c r="I483" i="17"/>
  <c r="I482" i="17"/>
  <c r="I481" i="17"/>
  <c r="I480" i="17"/>
  <c r="I479" i="17"/>
  <c r="I478" i="17"/>
  <c r="I477" i="17"/>
  <c r="I476" i="17"/>
  <c r="I475" i="17"/>
  <c r="I474" i="17"/>
  <c r="I473" i="17"/>
  <c r="I472" i="17"/>
  <c r="I471" i="17"/>
  <c r="I470" i="17"/>
  <c r="I469" i="17"/>
  <c r="I468" i="17"/>
  <c r="I467" i="17"/>
  <c r="I466" i="17"/>
  <c r="I465" i="17"/>
  <c r="I464" i="17"/>
  <c r="I463" i="17"/>
  <c r="I462" i="17"/>
  <c r="I461" i="17"/>
  <c r="I460" i="17"/>
  <c r="I459" i="17"/>
  <c r="I458" i="17"/>
  <c r="I457" i="17"/>
  <c r="I456" i="17"/>
  <c r="I455" i="17"/>
  <c r="I454" i="17"/>
  <c r="I453" i="17"/>
  <c r="I452" i="17"/>
  <c r="I451" i="17"/>
  <c r="I450" i="17"/>
  <c r="I449" i="17"/>
  <c r="I448" i="17"/>
  <c r="I447" i="17"/>
  <c r="I446" i="17"/>
  <c r="I445" i="17"/>
  <c r="I444" i="17"/>
  <c r="I443" i="17"/>
  <c r="I442" i="17"/>
  <c r="I441" i="17"/>
  <c r="I440" i="17"/>
  <c r="I439" i="17"/>
  <c r="I438" i="17"/>
  <c r="I437" i="17"/>
  <c r="I436" i="17"/>
  <c r="I435" i="17"/>
  <c r="I434" i="17"/>
  <c r="I433" i="17"/>
  <c r="I432" i="17"/>
  <c r="I431" i="17"/>
  <c r="I430" i="17"/>
  <c r="I429" i="17"/>
  <c r="I428" i="17"/>
  <c r="I427" i="17"/>
  <c r="I426" i="17"/>
  <c r="I425" i="17"/>
  <c r="I424" i="17"/>
  <c r="I423" i="17"/>
  <c r="I422" i="17"/>
  <c r="I421" i="17"/>
  <c r="I420" i="17"/>
  <c r="I419" i="17"/>
  <c r="I418" i="17"/>
  <c r="I417" i="17"/>
  <c r="I416" i="17"/>
  <c r="I415" i="17"/>
  <c r="I414" i="17"/>
  <c r="I413" i="17"/>
  <c r="I412" i="17"/>
  <c r="I411" i="17"/>
  <c r="I409" i="17"/>
  <c r="I408" i="17"/>
  <c r="I407" i="17"/>
  <c r="I406" i="17"/>
  <c r="I405" i="17"/>
  <c r="I404" i="17"/>
  <c r="I401" i="17"/>
  <c r="I400" i="17"/>
  <c r="I399" i="17"/>
  <c r="I397" i="17"/>
  <c r="I396" i="17"/>
  <c r="I395" i="17"/>
  <c r="I394" i="17"/>
  <c r="I393" i="17"/>
  <c r="I392" i="17"/>
  <c r="I391" i="17"/>
  <c r="I390" i="17"/>
  <c r="I389" i="17"/>
  <c r="I388" i="17"/>
  <c r="I387" i="17"/>
  <c r="I386" i="17"/>
  <c r="I385" i="17"/>
  <c r="I384" i="17"/>
  <c r="I383" i="17"/>
  <c r="I382" i="17"/>
  <c r="I381" i="17"/>
  <c r="I380" i="17"/>
  <c r="I379" i="17"/>
  <c r="I378" i="17"/>
  <c r="I377" i="17"/>
  <c r="I376" i="17"/>
  <c r="I375" i="17"/>
  <c r="I374" i="17"/>
  <c r="I373" i="17"/>
  <c r="I372" i="17"/>
  <c r="I371" i="17"/>
  <c r="I370" i="17"/>
  <c r="I368" i="17"/>
  <c r="I367" i="17"/>
  <c r="I366" i="17"/>
  <c r="I365" i="17"/>
  <c r="I364" i="17"/>
  <c r="I363" i="17"/>
  <c r="I362" i="17"/>
  <c r="I361" i="17"/>
  <c r="I357" i="17"/>
  <c r="I356" i="17"/>
  <c r="I355" i="17"/>
  <c r="I354" i="17"/>
  <c r="I353" i="17"/>
  <c r="I352" i="17"/>
  <c r="I351" i="17"/>
  <c r="I350" i="17"/>
  <c r="I349" i="17"/>
  <c r="I348" i="17"/>
  <c r="I347" i="17"/>
  <c r="I346" i="17"/>
  <c r="I345" i="17"/>
  <c r="I344" i="17"/>
  <c r="I343" i="17"/>
  <c r="I342" i="17"/>
  <c r="I341" i="17"/>
  <c r="I340" i="17"/>
  <c r="I339" i="17"/>
  <c r="I338" i="17"/>
  <c r="I337" i="17"/>
  <c r="I336" i="17"/>
  <c r="I335" i="17"/>
  <c r="I334" i="17"/>
  <c r="I333" i="17"/>
  <c r="I332" i="17"/>
  <c r="I331" i="17"/>
  <c r="I330" i="17"/>
  <c r="I329" i="17"/>
  <c r="I328" i="17"/>
  <c r="I327" i="17"/>
  <c r="I326" i="17"/>
  <c r="I325" i="17"/>
  <c r="I324" i="17"/>
  <c r="I323" i="17"/>
  <c r="I322" i="17"/>
  <c r="I321" i="17"/>
  <c r="I320" i="17"/>
  <c r="I319" i="17"/>
  <c r="I318" i="17"/>
  <c r="I317" i="17"/>
  <c r="I316" i="17"/>
  <c r="I315" i="17"/>
  <c r="I314" i="17"/>
  <c r="I313" i="17"/>
  <c r="I312" i="17"/>
  <c r="I311" i="17"/>
  <c r="I310" i="17"/>
  <c r="I309" i="17"/>
  <c r="I308" i="17"/>
  <c r="I307" i="17"/>
  <c r="I306" i="17"/>
  <c r="I305" i="17"/>
  <c r="I304" i="17"/>
  <c r="I303" i="17"/>
  <c r="I302" i="17"/>
  <c r="I301" i="17"/>
  <c r="I300" i="17"/>
  <c r="I299" i="17"/>
  <c r="I298" i="17"/>
  <c r="I297" i="17"/>
  <c r="I296" i="17"/>
  <c r="I294" i="17"/>
  <c r="I293" i="17"/>
  <c r="I292" i="17"/>
  <c r="I291" i="17"/>
  <c r="I290" i="17"/>
  <c r="I289" i="17"/>
  <c r="I288" i="17"/>
  <c r="I287" i="17"/>
  <c r="I286" i="17"/>
  <c r="I285" i="17"/>
  <c r="I284" i="17"/>
  <c r="I283" i="17"/>
  <c r="I282" i="17"/>
  <c r="I281" i="17"/>
  <c r="I280" i="17"/>
  <c r="I279" i="17"/>
  <c r="I278" i="17"/>
  <c r="I277" i="17"/>
  <c r="I276" i="17"/>
  <c r="I271" i="17"/>
  <c r="I270" i="17"/>
  <c r="I269" i="17"/>
  <c r="I268" i="17"/>
  <c r="I260" i="17"/>
  <c r="I259" i="17"/>
  <c r="I258" i="17"/>
  <c r="I257" i="17"/>
  <c r="I256" i="17"/>
  <c r="I254" i="17"/>
  <c r="I253" i="17"/>
  <c r="I252" i="17"/>
  <c r="I251" i="17"/>
  <c r="I250" i="17"/>
  <c r="I249" i="17"/>
  <c r="I248" i="17"/>
  <c r="I247" i="17"/>
  <c r="I246" i="17"/>
  <c r="I245" i="17"/>
  <c r="I242" i="17"/>
  <c r="I241" i="17"/>
  <c r="I240" i="17"/>
  <c r="I239" i="17"/>
  <c r="I238" i="17"/>
  <c r="I237" i="17"/>
  <c r="I236" i="17"/>
  <c r="I235" i="17"/>
  <c r="I234" i="17"/>
  <c r="I233" i="17"/>
  <c r="I232" i="17"/>
  <c r="I231" i="17"/>
  <c r="I230" i="17"/>
  <c r="I229" i="17"/>
  <c r="I228" i="17"/>
  <c r="I227" i="17"/>
  <c r="I226" i="17"/>
  <c r="I225" i="17"/>
  <c r="I224" i="17"/>
  <c r="I223" i="17"/>
  <c r="I222" i="17"/>
  <c r="I221" i="17"/>
  <c r="I220" i="17"/>
  <c r="I219" i="17"/>
  <c r="I215" i="17"/>
  <c r="I214" i="17"/>
  <c r="I213" i="17"/>
  <c r="I212" i="17"/>
  <c r="I211" i="17"/>
  <c r="I210" i="17"/>
  <c r="I209" i="17"/>
  <c r="I208" i="17"/>
  <c r="I207" i="17"/>
  <c r="I206" i="17"/>
  <c r="I205" i="17"/>
  <c r="I204" i="17"/>
  <c r="I203" i="17"/>
  <c r="I202" i="17"/>
  <c r="I201" i="17"/>
  <c r="I200" i="17"/>
  <c r="I199" i="17"/>
  <c r="I198" i="17"/>
  <c r="I197" i="17"/>
  <c r="I196" i="17"/>
  <c r="I195" i="17"/>
  <c r="I194" i="17"/>
  <c r="I193" i="17"/>
  <c r="I192" i="17"/>
  <c r="I191" i="17"/>
  <c r="I190" i="17"/>
  <c r="I189" i="17"/>
  <c r="I188" i="17"/>
  <c r="I187" i="17"/>
  <c r="I186" i="17"/>
  <c r="I185" i="17"/>
  <c r="I184" i="17"/>
  <c r="I183" i="17"/>
  <c r="I182" i="17"/>
  <c r="I181" i="17"/>
  <c r="I180" i="17"/>
  <c r="I179" i="17"/>
  <c r="I178" i="17"/>
  <c r="I177" i="17"/>
  <c r="I176" i="17"/>
  <c r="I175" i="17"/>
  <c r="I174" i="17"/>
  <c r="I173" i="17"/>
  <c r="I172" i="17"/>
  <c r="I171" i="17"/>
  <c r="I170" i="17"/>
  <c r="I169" i="17"/>
  <c r="I168" i="17"/>
  <c r="I167" i="17"/>
  <c r="I166" i="17"/>
  <c r="I165" i="17"/>
  <c r="I164" i="17"/>
  <c r="I163" i="17"/>
  <c r="I162" i="17"/>
  <c r="I161" i="17"/>
  <c r="I160" i="17"/>
  <c r="I159" i="17"/>
  <c r="I158" i="17"/>
  <c r="I157" i="17"/>
  <c r="I156" i="17"/>
  <c r="I155" i="17"/>
  <c r="I154" i="17"/>
  <c r="I153" i="17"/>
  <c r="I152" i="17"/>
  <c r="I151" i="17"/>
  <c r="I150" i="17"/>
  <c r="I149" i="17"/>
  <c r="I148" i="17"/>
  <c r="I147" i="17"/>
  <c r="I146" i="17"/>
  <c r="I145" i="17"/>
  <c r="I143" i="17"/>
  <c r="I142" i="17"/>
  <c r="I141" i="17"/>
  <c r="I140" i="17"/>
  <c r="I139" i="17"/>
  <c r="I138" i="17"/>
  <c r="I137" i="17"/>
  <c r="I136" i="17"/>
  <c r="I135" i="17"/>
  <c r="I134" i="17"/>
  <c r="I133" i="17"/>
  <c r="I132" i="17"/>
  <c r="I131" i="17"/>
  <c r="I130" i="17"/>
  <c r="I129" i="17"/>
  <c r="I128" i="17"/>
  <c r="I127" i="17"/>
  <c r="I126" i="17"/>
  <c r="I125" i="17"/>
  <c r="I124" i="17"/>
  <c r="I123" i="17"/>
  <c r="I122" i="17"/>
  <c r="I121" i="17"/>
  <c r="I120" i="17"/>
  <c r="I118" i="17"/>
  <c r="I117" i="17"/>
  <c r="I116" i="17"/>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4" i="17"/>
  <c r="I83" i="17"/>
  <c r="I82" i="17"/>
  <c r="I78" i="17"/>
  <c r="I77" i="17"/>
  <c r="I76" i="17"/>
  <c r="I75" i="17"/>
  <c r="I74" i="17"/>
  <c r="I73" i="17"/>
  <c r="I72" i="17"/>
  <c r="I71" i="17"/>
  <c r="I70" i="17"/>
  <c r="I69" i="17"/>
  <c r="I68" i="17"/>
  <c r="I67" i="17"/>
  <c r="I66" i="17"/>
  <c r="I65" i="17"/>
  <c r="I64" i="17"/>
  <c r="I63" i="17"/>
  <c r="I62" i="17"/>
  <c r="I61" i="17"/>
  <c r="I60" i="17"/>
  <c r="I59" i="17"/>
  <c r="I57" i="17"/>
  <c r="I56" i="17"/>
  <c r="I55" i="17"/>
  <c r="I54" i="17"/>
  <c r="I53" i="17"/>
  <c r="I52" i="17"/>
  <c r="I51" i="17"/>
  <c r="I50" i="17"/>
  <c r="I49" i="17"/>
  <c r="I48" i="17"/>
  <c r="I47" i="17"/>
  <c r="I46" i="17"/>
  <c r="I44" i="17"/>
  <c r="I43" i="17"/>
  <c r="I42" i="17"/>
  <c r="I41" i="17"/>
  <c r="I40" i="17"/>
  <c r="I39" i="17"/>
  <c r="I38" i="17"/>
  <c r="I37" i="17"/>
  <c r="I36" i="17"/>
  <c r="I35" i="17"/>
  <c r="I34" i="17"/>
  <c r="I33" i="17"/>
  <c r="I32" i="17"/>
  <c r="I31" i="17"/>
  <c r="I30" i="17"/>
  <c r="I29" i="17"/>
  <c r="I28" i="17"/>
  <c r="I27" i="17"/>
  <c r="I26" i="17"/>
  <c r="I25" i="17"/>
  <c r="I24" i="17"/>
  <c r="I23" i="17"/>
  <c r="I22" i="17"/>
  <c r="I21" i="17"/>
  <c r="I19" i="17"/>
  <c r="I18" i="17"/>
  <c r="I17" i="17"/>
  <c r="I16" i="17"/>
  <c r="I15" i="17"/>
  <c r="I14" i="17"/>
  <c r="I13" i="17"/>
  <c r="I12" i="17"/>
  <c r="I11" i="17"/>
  <c r="I10" i="17"/>
  <c r="I9" i="17"/>
  <c r="I8" i="17"/>
  <c r="I7" i="17"/>
  <c r="I6" i="17"/>
  <c r="I5" i="17"/>
  <c r="I4" i="17"/>
  <c r="I3" i="17"/>
  <c r="I2" i="17"/>
  <c r="F163" i="1"/>
  <c r="I163" i="1"/>
  <c r="I162" i="1"/>
  <c r="F162" i="1"/>
  <c r="I161" i="1"/>
  <c r="F161" i="1"/>
  <c r="I160" i="1"/>
  <c r="I159" i="1"/>
  <c r="T3" i="4"/>
  <c r="F146" i="1"/>
  <c r="I146" i="1"/>
  <c r="F144" i="1"/>
  <c r="AG500" i="7"/>
  <c r="AG499" i="7"/>
  <c r="AG498" i="7"/>
  <c r="AG497" i="7"/>
  <c r="AG496" i="7"/>
  <c r="AG495" i="7"/>
  <c r="AG494" i="7"/>
  <c r="AG493" i="7"/>
  <c r="AG492" i="7"/>
  <c r="AG491" i="7"/>
  <c r="AG490" i="7"/>
  <c r="AG489" i="7"/>
  <c r="AG488" i="7"/>
  <c r="AG487" i="7"/>
  <c r="AG486" i="7"/>
  <c r="AG485" i="7"/>
  <c r="AG484" i="7"/>
  <c r="AG483" i="7"/>
  <c r="AG482" i="7"/>
  <c r="AG481" i="7"/>
  <c r="AG480" i="7"/>
  <c r="AG479" i="7"/>
  <c r="AG478" i="7"/>
  <c r="AG477" i="7"/>
  <c r="AG476" i="7"/>
  <c r="AG475" i="7"/>
  <c r="AG474" i="7"/>
  <c r="AG473" i="7"/>
  <c r="AG472" i="7"/>
  <c r="AG471" i="7"/>
  <c r="AG470" i="7"/>
  <c r="AG469" i="7"/>
  <c r="AG468" i="7"/>
  <c r="AG467" i="7"/>
  <c r="AG466" i="7"/>
  <c r="AG465" i="7"/>
  <c r="AG464" i="7"/>
  <c r="AG463" i="7"/>
  <c r="AG462" i="7"/>
  <c r="AG461" i="7"/>
  <c r="AG460" i="7"/>
  <c r="AG459" i="7"/>
  <c r="AG458" i="7"/>
  <c r="AG457" i="7"/>
  <c r="AG456" i="7"/>
  <c r="AG455" i="7"/>
  <c r="AG454" i="7"/>
  <c r="AG453" i="7"/>
  <c r="AG452" i="7"/>
  <c r="AG451" i="7"/>
  <c r="AG450" i="7"/>
  <c r="AG449" i="7"/>
  <c r="AG448" i="7"/>
  <c r="AG447" i="7"/>
  <c r="AG446" i="7"/>
  <c r="AG445" i="7"/>
  <c r="AG444" i="7"/>
  <c r="AG443" i="7"/>
  <c r="AG442" i="7"/>
  <c r="AG441" i="7"/>
  <c r="AG440" i="7"/>
  <c r="AG439" i="7"/>
  <c r="AG438" i="7"/>
  <c r="AG437" i="7"/>
  <c r="AG436" i="7"/>
  <c r="AG435" i="7"/>
  <c r="AG434" i="7"/>
  <c r="AG433" i="7"/>
  <c r="AG432" i="7"/>
  <c r="AG431" i="7"/>
  <c r="AG430" i="7"/>
  <c r="AG429" i="7"/>
  <c r="AG428" i="7"/>
  <c r="AG427" i="7"/>
  <c r="AG426" i="7"/>
  <c r="AG425" i="7"/>
  <c r="AG424" i="7"/>
  <c r="AG423" i="7"/>
  <c r="AG422" i="7"/>
  <c r="AG421" i="7"/>
  <c r="AG420" i="7"/>
  <c r="AG419" i="7"/>
  <c r="AG418" i="7"/>
  <c r="AG417" i="7"/>
  <c r="AG416" i="7"/>
  <c r="AG415" i="7"/>
  <c r="AG414" i="7"/>
  <c r="AG413" i="7"/>
  <c r="AG412" i="7"/>
  <c r="AG411" i="7"/>
  <c r="AG410" i="7"/>
  <c r="AG409" i="7"/>
  <c r="AG408" i="7"/>
  <c r="AG407" i="7"/>
  <c r="AG406" i="7"/>
  <c r="AG405" i="7"/>
  <c r="AG404" i="7"/>
  <c r="AG403" i="7"/>
  <c r="AG402" i="7"/>
  <c r="AG401" i="7"/>
  <c r="AG400" i="7"/>
  <c r="AG399" i="7"/>
  <c r="AG398" i="7"/>
  <c r="AG397" i="7"/>
  <c r="AG396" i="7"/>
  <c r="AG395" i="7"/>
  <c r="AG394" i="7"/>
  <c r="AG393" i="7"/>
  <c r="AG392" i="7"/>
  <c r="AG391" i="7"/>
  <c r="AG390" i="7"/>
  <c r="AG389" i="7"/>
  <c r="AG388" i="7"/>
  <c r="AG387" i="7"/>
  <c r="AG386" i="7"/>
  <c r="AG385" i="7"/>
  <c r="AG384" i="7"/>
  <c r="AG383" i="7"/>
  <c r="AG382" i="7"/>
  <c r="AG381" i="7"/>
  <c r="AG380" i="7"/>
  <c r="AG379" i="7"/>
  <c r="AG378" i="7"/>
  <c r="AG377" i="7"/>
  <c r="AG376" i="7"/>
  <c r="AG375" i="7"/>
  <c r="AG374" i="7"/>
  <c r="AG373" i="7"/>
  <c r="AG372" i="7"/>
  <c r="AG371" i="7"/>
  <c r="AG370" i="7"/>
  <c r="AG369" i="7"/>
  <c r="AG368" i="7"/>
  <c r="AG367" i="7"/>
  <c r="AG366" i="7"/>
  <c r="AG365" i="7"/>
  <c r="AG364" i="7"/>
  <c r="AG363" i="7"/>
  <c r="AG362" i="7"/>
  <c r="AG361" i="7"/>
  <c r="AG360" i="7"/>
  <c r="AG359" i="7"/>
  <c r="AG358" i="7"/>
  <c r="AG357" i="7"/>
  <c r="AG356" i="7"/>
  <c r="AG355" i="7"/>
  <c r="AG354" i="7"/>
  <c r="AG353" i="7"/>
  <c r="AG352" i="7"/>
  <c r="AG351" i="7"/>
  <c r="AG350" i="7"/>
  <c r="AG349" i="7"/>
  <c r="AG348" i="7"/>
  <c r="AG347" i="7"/>
  <c r="AG346" i="7"/>
  <c r="AG345" i="7"/>
  <c r="AG344" i="7"/>
  <c r="AG343" i="7"/>
  <c r="AG342" i="7"/>
  <c r="AG341" i="7"/>
  <c r="AG340" i="7"/>
  <c r="AG339" i="7"/>
  <c r="AG338" i="7"/>
  <c r="AG337" i="7"/>
  <c r="AG336" i="7"/>
  <c r="AG335" i="7"/>
  <c r="AG334" i="7"/>
  <c r="AG333" i="7"/>
  <c r="AG332" i="7"/>
  <c r="AG331" i="7"/>
  <c r="AG330" i="7"/>
  <c r="AG329" i="7"/>
  <c r="AG328" i="7"/>
  <c r="AG327" i="7"/>
  <c r="AG326" i="7"/>
  <c r="AG325" i="7"/>
  <c r="AG324" i="7"/>
  <c r="AG323" i="7"/>
  <c r="AG322" i="7"/>
  <c r="AG321" i="7"/>
  <c r="AG320" i="7"/>
  <c r="AG319" i="7"/>
  <c r="AG318" i="7"/>
  <c r="AG317" i="7"/>
  <c r="AG316" i="7"/>
  <c r="AG315" i="7"/>
  <c r="AG314" i="7"/>
  <c r="AG313" i="7"/>
  <c r="AG312" i="7"/>
  <c r="AG311" i="7"/>
  <c r="AG310" i="7"/>
  <c r="AG309" i="7"/>
  <c r="AG308" i="7"/>
  <c r="AG307" i="7"/>
  <c r="AG306" i="7"/>
  <c r="AG305" i="7"/>
  <c r="AG304" i="7"/>
  <c r="AG303" i="7"/>
  <c r="AG302" i="7"/>
  <c r="AG301" i="7"/>
  <c r="AG300" i="7"/>
  <c r="AG299" i="7"/>
  <c r="AG298" i="7"/>
  <c r="AG297" i="7"/>
  <c r="AG296" i="7"/>
  <c r="AG295" i="7"/>
  <c r="AG294" i="7"/>
  <c r="AG293" i="7"/>
  <c r="AG292" i="7"/>
  <c r="AG291" i="7"/>
  <c r="AG290" i="7"/>
  <c r="AG289" i="7"/>
  <c r="AG288" i="7"/>
  <c r="AG287" i="7"/>
  <c r="AG286" i="7"/>
  <c r="AG285" i="7"/>
  <c r="AG284" i="7"/>
  <c r="AG283" i="7"/>
  <c r="AG282" i="7"/>
  <c r="AG281" i="7"/>
  <c r="AG280" i="7"/>
  <c r="AG279" i="7"/>
  <c r="AG278" i="7"/>
  <c r="AG277" i="7"/>
  <c r="AG276" i="7"/>
  <c r="AG275" i="7"/>
  <c r="AG274" i="7"/>
  <c r="AG273" i="7"/>
  <c r="AG272" i="7"/>
  <c r="AG271" i="7"/>
  <c r="AG270" i="7"/>
  <c r="AG269" i="7"/>
  <c r="AG268" i="7"/>
  <c r="AG267" i="7"/>
  <c r="AG266" i="7"/>
  <c r="AG265" i="7"/>
  <c r="AG264" i="7"/>
  <c r="AG263" i="7"/>
  <c r="AG262" i="7"/>
  <c r="AG261" i="7"/>
  <c r="AG260" i="7"/>
  <c r="AG259" i="7"/>
  <c r="AG258" i="7"/>
  <c r="AG257" i="7"/>
  <c r="AG256" i="7"/>
  <c r="AG255" i="7"/>
  <c r="AG254" i="7"/>
  <c r="AG253" i="7"/>
  <c r="AG252" i="7"/>
  <c r="AG251" i="7"/>
  <c r="AG250" i="7"/>
  <c r="AG249" i="7"/>
  <c r="AG248" i="7"/>
  <c r="AG247" i="7"/>
  <c r="AG246" i="7"/>
  <c r="AG245" i="7"/>
  <c r="AG244" i="7"/>
  <c r="AG243" i="7"/>
  <c r="AG242" i="7"/>
  <c r="AG241" i="7"/>
  <c r="AG240" i="7"/>
  <c r="AG239" i="7"/>
  <c r="AG238" i="7"/>
  <c r="AG237" i="7"/>
  <c r="AG236" i="7"/>
  <c r="AG235" i="7"/>
  <c r="AG234" i="7"/>
  <c r="AG233" i="7"/>
  <c r="AG232" i="7"/>
  <c r="AG231" i="7"/>
  <c r="AG230" i="7"/>
  <c r="AG229" i="7"/>
  <c r="AG228" i="7"/>
  <c r="AG227" i="7"/>
  <c r="AG226" i="7"/>
  <c r="AG225" i="7"/>
  <c r="AG224" i="7"/>
  <c r="AG223" i="7"/>
  <c r="AG222" i="7"/>
  <c r="AG221" i="7"/>
  <c r="AG220" i="7"/>
  <c r="AG219" i="7"/>
  <c r="AG218" i="7"/>
  <c r="AG217" i="7"/>
  <c r="AG216" i="7"/>
  <c r="AG215" i="7"/>
  <c r="AG214" i="7"/>
  <c r="AG213" i="7"/>
  <c r="AG212" i="7"/>
  <c r="AG211" i="7"/>
  <c r="AG210" i="7"/>
  <c r="AG209" i="7"/>
  <c r="AG208" i="7"/>
  <c r="AG207" i="7"/>
  <c r="AG206" i="7"/>
  <c r="AG205" i="7"/>
  <c r="AG204" i="7"/>
  <c r="AG203" i="7"/>
  <c r="AG202" i="7"/>
  <c r="AG201" i="7"/>
  <c r="AG200" i="7"/>
  <c r="AG199" i="7"/>
  <c r="AG198" i="7"/>
  <c r="AG197" i="7"/>
  <c r="AG196" i="7"/>
  <c r="AG195" i="7"/>
  <c r="AG194" i="7"/>
  <c r="AG193" i="7"/>
  <c r="AG192" i="7"/>
  <c r="AG191" i="7"/>
  <c r="AG190" i="7"/>
  <c r="AG189" i="7"/>
  <c r="AG188" i="7"/>
  <c r="AG187" i="7"/>
  <c r="AG186" i="7"/>
  <c r="AG185" i="7"/>
  <c r="AG184" i="7"/>
  <c r="AG183" i="7"/>
  <c r="AG182" i="7"/>
  <c r="AG181" i="7"/>
  <c r="AG180" i="7"/>
  <c r="AG179" i="7"/>
  <c r="AG178" i="7"/>
  <c r="AG177" i="7"/>
  <c r="AG176" i="7"/>
  <c r="AG175" i="7"/>
  <c r="AG174" i="7"/>
  <c r="AG173" i="7"/>
  <c r="AG172" i="7"/>
  <c r="AG171" i="7"/>
  <c r="AG170" i="7"/>
  <c r="AG169" i="7"/>
  <c r="AG168" i="7"/>
  <c r="AG167" i="7"/>
  <c r="AG166" i="7"/>
  <c r="AG165" i="7"/>
  <c r="AG164" i="7"/>
  <c r="AG163" i="7"/>
  <c r="AG162" i="7"/>
  <c r="AG161" i="7"/>
  <c r="AG160" i="7"/>
  <c r="AG159" i="7"/>
  <c r="AG158" i="7"/>
  <c r="AG157" i="7"/>
  <c r="T500" i="7"/>
  <c r="T499" i="7"/>
  <c r="T498" i="7"/>
  <c r="T497" i="7"/>
  <c r="T496" i="7"/>
  <c r="T495" i="7"/>
  <c r="T494" i="7"/>
  <c r="T493" i="7"/>
  <c r="T492" i="7"/>
  <c r="T491" i="7"/>
  <c r="T490" i="7"/>
  <c r="T489" i="7"/>
  <c r="T488" i="7"/>
  <c r="T487" i="7"/>
  <c r="T486" i="7"/>
  <c r="T485" i="7"/>
  <c r="T484" i="7"/>
  <c r="T483" i="7"/>
  <c r="T482" i="7"/>
  <c r="T481" i="7"/>
  <c r="T480" i="7"/>
  <c r="T479" i="7"/>
  <c r="T478" i="7"/>
  <c r="T477" i="7"/>
  <c r="T476" i="7"/>
  <c r="T475" i="7"/>
  <c r="T474" i="7"/>
  <c r="T473" i="7"/>
  <c r="T472" i="7"/>
  <c r="T471" i="7"/>
  <c r="T470" i="7"/>
  <c r="T469" i="7"/>
  <c r="T468" i="7"/>
  <c r="T467" i="7"/>
  <c r="T466" i="7"/>
  <c r="T465" i="7"/>
  <c r="T464" i="7"/>
  <c r="T463" i="7"/>
  <c r="T462" i="7"/>
  <c r="T461" i="7"/>
  <c r="T460" i="7"/>
  <c r="T459" i="7"/>
  <c r="T458" i="7"/>
  <c r="T457" i="7"/>
  <c r="T456" i="7"/>
  <c r="T455" i="7"/>
  <c r="T454" i="7"/>
  <c r="T453" i="7"/>
  <c r="T452" i="7"/>
  <c r="T451" i="7"/>
  <c r="T450" i="7"/>
  <c r="T449" i="7"/>
  <c r="T448" i="7"/>
  <c r="T447" i="7"/>
  <c r="T446" i="7"/>
  <c r="T445" i="7"/>
  <c r="T444" i="7"/>
  <c r="T443" i="7"/>
  <c r="T442" i="7"/>
  <c r="T441" i="7"/>
  <c r="T440" i="7"/>
  <c r="T439" i="7"/>
  <c r="T438" i="7"/>
  <c r="T437" i="7"/>
  <c r="T436" i="7"/>
  <c r="T435" i="7"/>
  <c r="T434" i="7"/>
  <c r="T433" i="7"/>
  <c r="T432" i="7"/>
  <c r="T431" i="7"/>
  <c r="T430" i="7"/>
  <c r="T429" i="7"/>
  <c r="T428" i="7"/>
  <c r="T427" i="7"/>
  <c r="T426" i="7"/>
  <c r="T425" i="7"/>
  <c r="T424" i="7"/>
  <c r="T423" i="7"/>
  <c r="T422" i="7"/>
  <c r="T421" i="7"/>
  <c r="T420" i="7"/>
  <c r="T419" i="7"/>
  <c r="T418" i="7"/>
  <c r="T417" i="7"/>
  <c r="T416" i="7"/>
  <c r="T415" i="7"/>
  <c r="T414" i="7"/>
  <c r="T413" i="7"/>
  <c r="T412" i="7"/>
  <c r="T411" i="7"/>
  <c r="T410" i="7"/>
  <c r="T409" i="7"/>
  <c r="T408" i="7"/>
  <c r="T407" i="7"/>
  <c r="T406" i="7"/>
  <c r="T405" i="7"/>
  <c r="T404" i="7"/>
  <c r="T403" i="7"/>
  <c r="T402" i="7"/>
  <c r="T401" i="7"/>
  <c r="T400" i="7"/>
  <c r="T399" i="7"/>
  <c r="T398" i="7"/>
  <c r="T397" i="7"/>
  <c r="T396" i="7"/>
  <c r="T395" i="7"/>
  <c r="T394" i="7"/>
  <c r="T393" i="7"/>
  <c r="T392" i="7"/>
  <c r="T391" i="7"/>
  <c r="T390" i="7"/>
  <c r="T389" i="7"/>
  <c r="T388" i="7"/>
  <c r="T387" i="7"/>
  <c r="T386" i="7"/>
  <c r="T385" i="7"/>
  <c r="T384" i="7"/>
  <c r="T383" i="7"/>
  <c r="T382" i="7"/>
  <c r="T381" i="7"/>
  <c r="T380" i="7"/>
  <c r="T379" i="7"/>
  <c r="T378" i="7"/>
  <c r="T377" i="7"/>
  <c r="T376" i="7"/>
  <c r="T375" i="7"/>
  <c r="T374" i="7"/>
  <c r="T373" i="7"/>
  <c r="T372" i="7"/>
  <c r="T371" i="7"/>
  <c r="T370" i="7"/>
  <c r="T369" i="7"/>
  <c r="T368" i="7"/>
  <c r="T367" i="7"/>
  <c r="T366" i="7"/>
  <c r="T365" i="7"/>
  <c r="T364" i="7"/>
  <c r="T363" i="7"/>
  <c r="T362" i="7"/>
  <c r="T361" i="7"/>
  <c r="T360" i="7"/>
  <c r="T359" i="7"/>
  <c r="T358" i="7"/>
  <c r="T357" i="7"/>
  <c r="T356" i="7"/>
  <c r="T355" i="7"/>
  <c r="T354" i="7"/>
  <c r="T353" i="7"/>
  <c r="T352" i="7"/>
  <c r="T351" i="7"/>
  <c r="T350" i="7"/>
  <c r="T349" i="7"/>
  <c r="T348" i="7"/>
  <c r="T347" i="7"/>
  <c r="T346" i="7"/>
  <c r="T345" i="7"/>
  <c r="T344" i="7"/>
  <c r="T343" i="7"/>
  <c r="T342" i="7"/>
  <c r="T341" i="7"/>
  <c r="T340" i="7"/>
  <c r="T339" i="7"/>
  <c r="T338" i="7"/>
  <c r="T337" i="7"/>
  <c r="T336" i="7"/>
  <c r="T335" i="7"/>
  <c r="T334" i="7"/>
  <c r="T333" i="7"/>
  <c r="T332" i="7"/>
  <c r="T331" i="7"/>
  <c r="T330" i="7"/>
  <c r="T329" i="7"/>
  <c r="T328" i="7"/>
  <c r="T327" i="7"/>
  <c r="T326" i="7"/>
  <c r="T325" i="7"/>
  <c r="T324" i="7"/>
  <c r="T323" i="7"/>
  <c r="T322" i="7"/>
  <c r="T321" i="7"/>
  <c r="T320" i="7"/>
  <c r="T319" i="7"/>
  <c r="T318" i="7"/>
  <c r="T317" i="7"/>
  <c r="T316" i="7"/>
  <c r="T315" i="7"/>
  <c r="T314" i="7"/>
  <c r="T313" i="7"/>
  <c r="T312" i="7"/>
  <c r="T311" i="7"/>
  <c r="T310" i="7"/>
  <c r="T309" i="7"/>
  <c r="T308" i="7"/>
  <c r="T307" i="7"/>
  <c r="T306" i="7"/>
  <c r="T305" i="7"/>
  <c r="T304" i="7"/>
  <c r="T303" i="7"/>
  <c r="T302" i="7"/>
  <c r="T301" i="7"/>
  <c r="T300" i="7"/>
  <c r="T299" i="7"/>
  <c r="T298" i="7"/>
  <c r="T297" i="7"/>
  <c r="T296" i="7"/>
  <c r="T295" i="7"/>
  <c r="T294" i="7"/>
  <c r="T293" i="7"/>
  <c r="T292" i="7"/>
  <c r="T291" i="7"/>
  <c r="T290" i="7"/>
  <c r="T289" i="7"/>
  <c r="T288" i="7"/>
  <c r="T287" i="7"/>
  <c r="T286" i="7"/>
  <c r="T285" i="7"/>
  <c r="T284" i="7"/>
  <c r="T283" i="7"/>
  <c r="T282" i="7"/>
  <c r="T281" i="7"/>
  <c r="T280" i="7"/>
  <c r="T279" i="7"/>
  <c r="T278" i="7"/>
  <c r="T277" i="7"/>
  <c r="T276" i="7"/>
  <c r="T275" i="7"/>
  <c r="T274" i="7"/>
  <c r="T273" i="7"/>
  <c r="T272" i="7"/>
  <c r="T271" i="7"/>
  <c r="T270" i="7"/>
  <c r="T269" i="7"/>
  <c r="T268" i="7"/>
  <c r="T267" i="7"/>
  <c r="T266" i="7"/>
  <c r="T265" i="7"/>
  <c r="T264" i="7"/>
  <c r="T263" i="7"/>
  <c r="T262" i="7"/>
  <c r="T261" i="7"/>
  <c r="T260" i="7"/>
  <c r="T259" i="7"/>
  <c r="T258" i="7"/>
  <c r="T257" i="7"/>
  <c r="T256" i="7"/>
  <c r="T255" i="7"/>
  <c r="T254" i="7"/>
  <c r="T253" i="7"/>
  <c r="T252" i="7"/>
  <c r="T251" i="7"/>
  <c r="T250" i="7"/>
  <c r="T249" i="7"/>
  <c r="T248" i="7"/>
  <c r="T247" i="7"/>
  <c r="T246" i="7"/>
  <c r="T245" i="7"/>
  <c r="T244" i="7"/>
  <c r="T243" i="7"/>
  <c r="T242" i="7"/>
  <c r="T241" i="7"/>
  <c r="T240" i="7"/>
  <c r="T239" i="7"/>
  <c r="T238" i="7"/>
  <c r="T237" i="7"/>
  <c r="T236" i="7"/>
  <c r="T235" i="7"/>
  <c r="T234" i="7"/>
  <c r="T233" i="7"/>
  <c r="T232" i="7"/>
  <c r="T231" i="7"/>
  <c r="T230" i="7"/>
  <c r="T229" i="7"/>
  <c r="T228" i="7"/>
  <c r="T227" i="7"/>
  <c r="T226" i="7"/>
  <c r="T225" i="7"/>
  <c r="T224" i="7"/>
  <c r="T223" i="7"/>
  <c r="T222" i="7"/>
  <c r="T221" i="7"/>
  <c r="T220" i="7"/>
  <c r="T219" i="7"/>
  <c r="T218" i="7"/>
  <c r="T217" i="7"/>
  <c r="T216" i="7"/>
  <c r="T215" i="7"/>
  <c r="T214" i="7"/>
  <c r="T213" i="7"/>
  <c r="T212" i="7"/>
  <c r="T211" i="7"/>
  <c r="T210" i="7"/>
  <c r="T209" i="7"/>
  <c r="T208" i="7"/>
  <c r="T207" i="7"/>
  <c r="T206" i="7"/>
  <c r="T205" i="7"/>
  <c r="T204" i="7"/>
  <c r="T203" i="7"/>
  <c r="T202" i="7"/>
  <c r="T201" i="7"/>
  <c r="T200" i="7"/>
  <c r="T199" i="7"/>
  <c r="T198" i="7"/>
  <c r="T197" i="7"/>
  <c r="T196" i="7"/>
  <c r="T195" i="7"/>
  <c r="T194" i="7"/>
  <c r="T193" i="7"/>
  <c r="T192" i="7"/>
  <c r="T191" i="7"/>
  <c r="T190" i="7"/>
  <c r="T189" i="7"/>
  <c r="T188" i="7"/>
  <c r="T187" i="7"/>
  <c r="T186" i="7"/>
  <c r="T185" i="7"/>
  <c r="T184" i="7"/>
  <c r="T183" i="7"/>
  <c r="T182" i="7"/>
  <c r="T181" i="7"/>
  <c r="T180" i="7"/>
  <c r="T179" i="7"/>
  <c r="T178" i="7"/>
  <c r="T177" i="7"/>
  <c r="T176" i="7"/>
  <c r="T175" i="7"/>
  <c r="T174" i="7"/>
  <c r="T173" i="7"/>
  <c r="T172" i="7"/>
  <c r="T171" i="7"/>
  <c r="T170" i="7"/>
  <c r="T169" i="7"/>
  <c r="T168" i="7"/>
  <c r="T167" i="7"/>
  <c r="T166" i="7"/>
  <c r="T165" i="7"/>
  <c r="T164" i="7"/>
  <c r="T163" i="7"/>
  <c r="T162" i="7"/>
  <c r="T161" i="7"/>
  <c r="T160" i="7"/>
  <c r="T159" i="7"/>
  <c r="T158" i="7"/>
  <c r="T157" i="7"/>
  <c r="T156" i="7"/>
  <c r="T155" i="7"/>
  <c r="T154" i="7"/>
  <c r="T153" i="7"/>
  <c r="T152" i="7"/>
  <c r="T151" i="7"/>
  <c r="T150" i="7"/>
  <c r="T149" i="7"/>
  <c r="T148" i="7"/>
  <c r="T147" i="7"/>
  <c r="T146" i="7"/>
  <c r="T145" i="7"/>
  <c r="T144" i="7"/>
  <c r="T143" i="7"/>
  <c r="T142" i="7"/>
  <c r="T141" i="7"/>
  <c r="T140" i="7"/>
  <c r="T139" i="7"/>
  <c r="T138" i="7"/>
  <c r="T137" i="7"/>
  <c r="T136" i="7"/>
  <c r="T135" i="7"/>
  <c r="T134" i="7"/>
  <c r="T133" i="7"/>
  <c r="T132" i="7"/>
  <c r="T131" i="7"/>
  <c r="T130" i="7"/>
  <c r="T129" i="7"/>
  <c r="T128" i="7"/>
  <c r="T127" i="7"/>
  <c r="T126" i="7"/>
  <c r="T125" i="7"/>
  <c r="T124" i="7"/>
  <c r="T123" i="7"/>
  <c r="T122" i="7"/>
  <c r="T121" i="7"/>
  <c r="T120" i="7"/>
  <c r="T119" i="7"/>
  <c r="T118" i="7"/>
  <c r="T117" i="7"/>
  <c r="T116" i="7"/>
  <c r="T115" i="7"/>
  <c r="T114" i="7"/>
  <c r="T113" i="7"/>
  <c r="T112" i="7"/>
  <c r="T111" i="7"/>
  <c r="T110" i="7"/>
  <c r="T109" i="7"/>
  <c r="T108" i="7"/>
  <c r="T107" i="7"/>
  <c r="T106" i="7"/>
  <c r="T105" i="7"/>
  <c r="T104" i="7"/>
  <c r="T103" i="7"/>
  <c r="T102" i="7"/>
  <c r="T101" i="7"/>
  <c r="T100" i="7"/>
  <c r="T99" i="7"/>
  <c r="T98" i="7"/>
  <c r="T97" i="7"/>
  <c r="T96" i="7"/>
  <c r="T95" i="7"/>
  <c r="T94" i="7"/>
  <c r="T93" i="7"/>
  <c r="T92" i="7"/>
  <c r="T91" i="7"/>
  <c r="T90" i="7"/>
  <c r="T89" i="7"/>
  <c r="T88" i="7"/>
  <c r="T87" i="7"/>
  <c r="T86" i="7"/>
  <c r="T85" i="7"/>
  <c r="T84" i="7"/>
  <c r="T83" i="7"/>
  <c r="T82" i="7"/>
  <c r="T81" i="7"/>
  <c r="T80" i="7"/>
  <c r="T79" i="7"/>
  <c r="T78" i="7"/>
  <c r="T77" i="7"/>
  <c r="T76" i="7"/>
  <c r="T75" i="7"/>
  <c r="T74" i="7"/>
  <c r="T73" i="7"/>
  <c r="T72" i="7"/>
  <c r="T71" i="7"/>
  <c r="T70" i="7"/>
  <c r="T69" i="7"/>
  <c r="T68" i="7"/>
  <c r="T67" i="7"/>
  <c r="T66" i="7"/>
  <c r="T65" i="7"/>
  <c r="T64" i="7"/>
  <c r="T63" i="7"/>
  <c r="T62" i="7"/>
  <c r="T61"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T9" i="7"/>
  <c r="T8" i="7"/>
  <c r="T7" i="7"/>
  <c r="T6" i="7"/>
  <c r="T5" i="7"/>
  <c r="T4" i="7"/>
  <c r="S3" i="4"/>
  <c r="T3" i="7" s="1"/>
  <c r="R3" i="4"/>
  <c r="S3" i="7" s="1"/>
  <c r="S500" i="7"/>
  <c r="Q500" i="7"/>
  <c r="O500" i="7"/>
  <c r="M500" i="7"/>
  <c r="N500" i="7"/>
  <c r="L500" i="7"/>
  <c r="K500" i="7"/>
  <c r="J500" i="7"/>
  <c r="I500" i="7"/>
  <c r="P500" i="7"/>
  <c r="H500" i="7"/>
  <c r="S499" i="7"/>
  <c r="Q499" i="7"/>
  <c r="O499" i="7"/>
  <c r="M499" i="7"/>
  <c r="N499" i="7"/>
  <c r="L499" i="7"/>
  <c r="K499" i="7"/>
  <c r="J499" i="7"/>
  <c r="I499" i="7"/>
  <c r="P499" i="7"/>
  <c r="H499" i="7"/>
  <c r="S498" i="7"/>
  <c r="U499" i="7"/>
  <c r="Q498" i="7"/>
  <c r="O498" i="7"/>
  <c r="M498" i="7"/>
  <c r="N498" i="7"/>
  <c r="L498" i="7"/>
  <c r="K498" i="7"/>
  <c r="J498" i="7"/>
  <c r="I498" i="7"/>
  <c r="P498" i="7"/>
  <c r="H498" i="7"/>
  <c r="S497" i="7"/>
  <c r="Q497" i="7"/>
  <c r="O497" i="7"/>
  <c r="M497" i="7"/>
  <c r="N497" i="7"/>
  <c r="L497" i="7"/>
  <c r="K497" i="7"/>
  <c r="J497" i="7"/>
  <c r="I497" i="7"/>
  <c r="P497" i="7"/>
  <c r="H497" i="7"/>
  <c r="S496" i="7"/>
  <c r="Q496" i="7"/>
  <c r="O496" i="7"/>
  <c r="M496" i="7"/>
  <c r="N496" i="7"/>
  <c r="L496" i="7"/>
  <c r="K496" i="7"/>
  <c r="J496" i="7"/>
  <c r="I496" i="7"/>
  <c r="P496" i="7"/>
  <c r="H496" i="7"/>
  <c r="S495" i="7"/>
  <c r="Q495" i="7"/>
  <c r="O495" i="7"/>
  <c r="M495" i="7"/>
  <c r="N495" i="7"/>
  <c r="L495" i="7"/>
  <c r="K495" i="7"/>
  <c r="J495" i="7"/>
  <c r="I495" i="7"/>
  <c r="P495" i="7"/>
  <c r="H495" i="7"/>
  <c r="S494" i="7"/>
  <c r="Q494" i="7"/>
  <c r="O494" i="7"/>
  <c r="M494" i="7"/>
  <c r="N494" i="7"/>
  <c r="L494" i="7"/>
  <c r="K494" i="7"/>
  <c r="J494" i="7"/>
  <c r="I494" i="7"/>
  <c r="P494" i="7"/>
  <c r="H494" i="7"/>
  <c r="S493" i="7"/>
  <c r="Q493" i="7"/>
  <c r="O493" i="7"/>
  <c r="M493" i="7"/>
  <c r="N493" i="7"/>
  <c r="L493" i="7"/>
  <c r="K493" i="7"/>
  <c r="J493" i="7"/>
  <c r="I493" i="7"/>
  <c r="P493" i="7"/>
  <c r="H493" i="7"/>
  <c r="S492" i="7"/>
  <c r="Q492" i="7"/>
  <c r="O492" i="7"/>
  <c r="M492" i="7"/>
  <c r="N492" i="7"/>
  <c r="L492" i="7"/>
  <c r="K492" i="7"/>
  <c r="J492" i="7"/>
  <c r="I492" i="7"/>
  <c r="P492" i="7"/>
  <c r="H492" i="7"/>
  <c r="S491" i="7"/>
  <c r="Q491" i="7"/>
  <c r="O491" i="7"/>
  <c r="M491" i="7"/>
  <c r="N491" i="7"/>
  <c r="L491" i="7"/>
  <c r="K491" i="7"/>
  <c r="J491" i="7"/>
  <c r="I491" i="7"/>
  <c r="P491" i="7"/>
  <c r="H491" i="7"/>
  <c r="S490" i="7"/>
  <c r="U491" i="7"/>
  <c r="Q490" i="7"/>
  <c r="O490" i="7"/>
  <c r="M490" i="7"/>
  <c r="N490" i="7"/>
  <c r="L490" i="7"/>
  <c r="K490" i="7"/>
  <c r="J490" i="7"/>
  <c r="I490" i="7"/>
  <c r="P490" i="7"/>
  <c r="H490" i="7"/>
  <c r="S489" i="7"/>
  <c r="Q489" i="7"/>
  <c r="O489" i="7"/>
  <c r="M489" i="7"/>
  <c r="N489" i="7"/>
  <c r="L489" i="7"/>
  <c r="K489" i="7"/>
  <c r="J489" i="7"/>
  <c r="I489" i="7"/>
  <c r="P489" i="7"/>
  <c r="H489" i="7"/>
  <c r="S488" i="7"/>
  <c r="Q488" i="7"/>
  <c r="O488" i="7"/>
  <c r="M488" i="7"/>
  <c r="N488" i="7"/>
  <c r="L488" i="7"/>
  <c r="K488" i="7"/>
  <c r="J488" i="7"/>
  <c r="I488" i="7"/>
  <c r="P488" i="7"/>
  <c r="H488" i="7"/>
  <c r="S487" i="7"/>
  <c r="Q487" i="7"/>
  <c r="O487" i="7"/>
  <c r="M487" i="7"/>
  <c r="N487" i="7"/>
  <c r="L487" i="7"/>
  <c r="K487" i="7"/>
  <c r="J487" i="7"/>
  <c r="I487" i="7"/>
  <c r="P487" i="7"/>
  <c r="H487" i="7"/>
  <c r="S486" i="7"/>
  <c r="Q486" i="7"/>
  <c r="O486" i="7"/>
  <c r="M486" i="7"/>
  <c r="N486" i="7"/>
  <c r="L486" i="7"/>
  <c r="K486" i="7"/>
  <c r="J486" i="7"/>
  <c r="I486" i="7"/>
  <c r="P486" i="7"/>
  <c r="H486" i="7"/>
  <c r="S485" i="7"/>
  <c r="Q485" i="7"/>
  <c r="O485" i="7"/>
  <c r="M485" i="7"/>
  <c r="N485" i="7"/>
  <c r="L485" i="7"/>
  <c r="K485" i="7"/>
  <c r="J485" i="7"/>
  <c r="I485" i="7"/>
  <c r="P485" i="7"/>
  <c r="H485" i="7"/>
  <c r="S484" i="7"/>
  <c r="Q484" i="7"/>
  <c r="O484" i="7"/>
  <c r="M484" i="7"/>
  <c r="N484" i="7"/>
  <c r="L484" i="7"/>
  <c r="K484" i="7"/>
  <c r="J484" i="7"/>
  <c r="I484" i="7"/>
  <c r="P484" i="7"/>
  <c r="H484" i="7"/>
  <c r="S483" i="7"/>
  <c r="Q483" i="7"/>
  <c r="O483" i="7"/>
  <c r="M483" i="7"/>
  <c r="N483" i="7"/>
  <c r="L483" i="7"/>
  <c r="K483" i="7"/>
  <c r="J483" i="7"/>
  <c r="I483" i="7"/>
  <c r="P483" i="7"/>
  <c r="H483" i="7"/>
  <c r="S482" i="7"/>
  <c r="U483" i="7"/>
  <c r="Q482" i="7"/>
  <c r="O482" i="7"/>
  <c r="M482" i="7"/>
  <c r="N482" i="7"/>
  <c r="L482" i="7"/>
  <c r="K482" i="7"/>
  <c r="J482" i="7"/>
  <c r="I482" i="7"/>
  <c r="P482" i="7"/>
  <c r="H482" i="7"/>
  <c r="S481" i="7"/>
  <c r="Q481" i="7"/>
  <c r="O481" i="7"/>
  <c r="M481" i="7"/>
  <c r="N481" i="7"/>
  <c r="L481" i="7"/>
  <c r="K481" i="7"/>
  <c r="J481" i="7"/>
  <c r="I481" i="7"/>
  <c r="P481" i="7"/>
  <c r="H481" i="7"/>
  <c r="S480" i="7"/>
  <c r="Q480" i="7"/>
  <c r="O480" i="7"/>
  <c r="M480" i="7"/>
  <c r="N480" i="7"/>
  <c r="L480" i="7"/>
  <c r="K480" i="7"/>
  <c r="J480" i="7"/>
  <c r="I480" i="7"/>
  <c r="P480" i="7"/>
  <c r="H480" i="7"/>
  <c r="S479" i="7"/>
  <c r="Q479" i="7"/>
  <c r="O479" i="7"/>
  <c r="M479" i="7"/>
  <c r="N479" i="7"/>
  <c r="L479" i="7"/>
  <c r="K479" i="7"/>
  <c r="J479" i="7"/>
  <c r="I479" i="7"/>
  <c r="P479" i="7"/>
  <c r="H479" i="7"/>
  <c r="S478" i="7"/>
  <c r="Q478" i="7"/>
  <c r="O478" i="7"/>
  <c r="M478" i="7"/>
  <c r="N478" i="7"/>
  <c r="L478" i="7"/>
  <c r="K478" i="7"/>
  <c r="J478" i="7"/>
  <c r="I478" i="7"/>
  <c r="P478" i="7"/>
  <c r="H478" i="7"/>
  <c r="S477" i="7"/>
  <c r="Q477" i="7"/>
  <c r="O477" i="7"/>
  <c r="M477" i="7"/>
  <c r="N477" i="7"/>
  <c r="L477" i="7"/>
  <c r="K477" i="7"/>
  <c r="J477" i="7"/>
  <c r="I477" i="7"/>
  <c r="P477" i="7"/>
  <c r="H477" i="7"/>
  <c r="S476" i="7"/>
  <c r="Q476" i="7"/>
  <c r="O476" i="7"/>
  <c r="M476" i="7"/>
  <c r="N476" i="7"/>
  <c r="L476" i="7"/>
  <c r="K476" i="7"/>
  <c r="J476" i="7"/>
  <c r="I476" i="7"/>
  <c r="P476" i="7"/>
  <c r="H476" i="7"/>
  <c r="S475" i="7"/>
  <c r="Q475" i="7"/>
  <c r="O475" i="7"/>
  <c r="M475" i="7"/>
  <c r="N475" i="7"/>
  <c r="L475" i="7"/>
  <c r="K475" i="7"/>
  <c r="J475" i="7"/>
  <c r="I475" i="7"/>
  <c r="P475" i="7"/>
  <c r="H475" i="7"/>
  <c r="S474" i="7"/>
  <c r="U475" i="7"/>
  <c r="Q474" i="7"/>
  <c r="O474" i="7"/>
  <c r="M474" i="7"/>
  <c r="N474" i="7"/>
  <c r="L474" i="7"/>
  <c r="K474" i="7"/>
  <c r="J474" i="7"/>
  <c r="I474" i="7"/>
  <c r="P474" i="7"/>
  <c r="H474" i="7"/>
  <c r="S473" i="7"/>
  <c r="Q473" i="7"/>
  <c r="O473" i="7"/>
  <c r="M473" i="7"/>
  <c r="N473" i="7"/>
  <c r="L473" i="7"/>
  <c r="K473" i="7"/>
  <c r="J473" i="7"/>
  <c r="I473" i="7"/>
  <c r="P473" i="7"/>
  <c r="H473" i="7"/>
  <c r="S472" i="7"/>
  <c r="Q472" i="7"/>
  <c r="O472" i="7"/>
  <c r="M472" i="7"/>
  <c r="N472" i="7"/>
  <c r="L472" i="7"/>
  <c r="K472" i="7"/>
  <c r="J472" i="7"/>
  <c r="I472" i="7"/>
  <c r="P472" i="7"/>
  <c r="H472" i="7"/>
  <c r="S471" i="7"/>
  <c r="Q471" i="7"/>
  <c r="O471" i="7"/>
  <c r="M471" i="7"/>
  <c r="N471" i="7"/>
  <c r="L471" i="7"/>
  <c r="K471" i="7"/>
  <c r="J471" i="7"/>
  <c r="I471" i="7"/>
  <c r="P471" i="7"/>
  <c r="H471" i="7"/>
  <c r="S470" i="7"/>
  <c r="Q470" i="7"/>
  <c r="O470" i="7"/>
  <c r="M470" i="7"/>
  <c r="N470" i="7"/>
  <c r="L470" i="7"/>
  <c r="K470" i="7"/>
  <c r="J470" i="7"/>
  <c r="I470" i="7"/>
  <c r="P470" i="7"/>
  <c r="H470" i="7"/>
  <c r="S469" i="7"/>
  <c r="Q469" i="7"/>
  <c r="O469" i="7"/>
  <c r="M469" i="7"/>
  <c r="N469" i="7"/>
  <c r="L469" i="7"/>
  <c r="K469" i="7"/>
  <c r="J469" i="7"/>
  <c r="I469" i="7"/>
  <c r="P469" i="7"/>
  <c r="H469" i="7"/>
  <c r="S468" i="7"/>
  <c r="Q468" i="7"/>
  <c r="O468" i="7"/>
  <c r="M468" i="7"/>
  <c r="N468" i="7"/>
  <c r="L468" i="7"/>
  <c r="K468" i="7"/>
  <c r="J468" i="7"/>
  <c r="I468" i="7"/>
  <c r="P468" i="7"/>
  <c r="H468" i="7"/>
  <c r="S467" i="7"/>
  <c r="Q467" i="7"/>
  <c r="O467" i="7"/>
  <c r="M467" i="7"/>
  <c r="N467" i="7"/>
  <c r="L467" i="7"/>
  <c r="K467" i="7"/>
  <c r="J467" i="7"/>
  <c r="I467" i="7"/>
  <c r="P467" i="7"/>
  <c r="H467" i="7"/>
  <c r="S466" i="7"/>
  <c r="U467" i="7"/>
  <c r="Q466" i="7"/>
  <c r="O466" i="7"/>
  <c r="M466" i="7"/>
  <c r="N466" i="7"/>
  <c r="L466" i="7"/>
  <c r="K466" i="7"/>
  <c r="J466" i="7"/>
  <c r="I466" i="7"/>
  <c r="P466" i="7"/>
  <c r="H466" i="7"/>
  <c r="S465" i="7"/>
  <c r="Q465" i="7"/>
  <c r="O465" i="7"/>
  <c r="M465" i="7"/>
  <c r="N465" i="7"/>
  <c r="L465" i="7"/>
  <c r="K465" i="7"/>
  <c r="J465" i="7"/>
  <c r="I465" i="7"/>
  <c r="P465" i="7"/>
  <c r="H465" i="7"/>
  <c r="S464" i="7"/>
  <c r="Q464" i="7"/>
  <c r="O464" i="7"/>
  <c r="M464" i="7"/>
  <c r="N464" i="7"/>
  <c r="L464" i="7"/>
  <c r="K464" i="7"/>
  <c r="J464" i="7"/>
  <c r="I464" i="7"/>
  <c r="P464" i="7"/>
  <c r="H464" i="7"/>
  <c r="S463" i="7"/>
  <c r="Q463" i="7"/>
  <c r="O463" i="7"/>
  <c r="M463" i="7"/>
  <c r="N463" i="7"/>
  <c r="L463" i="7"/>
  <c r="K463" i="7"/>
  <c r="J463" i="7"/>
  <c r="I463" i="7"/>
  <c r="P463" i="7"/>
  <c r="H463" i="7"/>
  <c r="S462" i="7"/>
  <c r="Q462" i="7"/>
  <c r="O462" i="7"/>
  <c r="M462" i="7"/>
  <c r="N462" i="7"/>
  <c r="L462" i="7"/>
  <c r="K462" i="7"/>
  <c r="J462" i="7"/>
  <c r="I462" i="7"/>
  <c r="P462" i="7"/>
  <c r="H462" i="7"/>
  <c r="S461" i="7"/>
  <c r="Q461" i="7"/>
  <c r="O461" i="7"/>
  <c r="M461" i="7"/>
  <c r="N461" i="7"/>
  <c r="L461" i="7"/>
  <c r="K461" i="7"/>
  <c r="J461" i="7"/>
  <c r="I461" i="7"/>
  <c r="P461" i="7"/>
  <c r="H461" i="7"/>
  <c r="S460" i="7"/>
  <c r="Q460" i="7"/>
  <c r="O460" i="7"/>
  <c r="M460" i="7"/>
  <c r="N460" i="7"/>
  <c r="L460" i="7"/>
  <c r="K460" i="7"/>
  <c r="J460" i="7"/>
  <c r="I460" i="7"/>
  <c r="P460" i="7"/>
  <c r="H460" i="7"/>
  <c r="S459" i="7"/>
  <c r="Q459" i="7"/>
  <c r="O459" i="7"/>
  <c r="M459" i="7"/>
  <c r="N459" i="7"/>
  <c r="L459" i="7"/>
  <c r="K459" i="7"/>
  <c r="J459" i="7"/>
  <c r="I459" i="7"/>
  <c r="P459" i="7"/>
  <c r="H459" i="7"/>
  <c r="S458" i="7"/>
  <c r="U459" i="7"/>
  <c r="Q458" i="7"/>
  <c r="O458" i="7"/>
  <c r="M458" i="7"/>
  <c r="N458" i="7"/>
  <c r="L458" i="7"/>
  <c r="K458" i="7"/>
  <c r="J458" i="7"/>
  <c r="I458" i="7"/>
  <c r="P458" i="7"/>
  <c r="H458" i="7"/>
  <c r="S457" i="7"/>
  <c r="Q457" i="7"/>
  <c r="O457" i="7"/>
  <c r="M457" i="7"/>
  <c r="N457" i="7"/>
  <c r="L457" i="7"/>
  <c r="K457" i="7"/>
  <c r="J457" i="7"/>
  <c r="I457" i="7"/>
  <c r="P457" i="7"/>
  <c r="H457" i="7"/>
  <c r="S456" i="7"/>
  <c r="Q456" i="7"/>
  <c r="O456" i="7"/>
  <c r="M456" i="7"/>
  <c r="N456" i="7"/>
  <c r="L456" i="7"/>
  <c r="K456" i="7"/>
  <c r="J456" i="7"/>
  <c r="I456" i="7"/>
  <c r="P456" i="7"/>
  <c r="H456" i="7"/>
  <c r="S455" i="7"/>
  <c r="Q455" i="7"/>
  <c r="O455" i="7"/>
  <c r="M455" i="7"/>
  <c r="N455" i="7"/>
  <c r="L455" i="7"/>
  <c r="K455" i="7"/>
  <c r="J455" i="7"/>
  <c r="I455" i="7"/>
  <c r="P455" i="7"/>
  <c r="H455" i="7"/>
  <c r="S454" i="7"/>
  <c r="Q454" i="7"/>
  <c r="O454" i="7"/>
  <c r="M454" i="7"/>
  <c r="N454" i="7"/>
  <c r="L454" i="7"/>
  <c r="K454" i="7"/>
  <c r="J454" i="7"/>
  <c r="I454" i="7"/>
  <c r="P454" i="7"/>
  <c r="H454" i="7"/>
  <c r="S453" i="7"/>
  <c r="Q453" i="7"/>
  <c r="O453" i="7"/>
  <c r="M453" i="7"/>
  <c r="N453" i="7"/>
  <c r="L453" i="7"/>
  <c r="K453" i="7"/>
  <c r="J453" i="7"/>
  <c r="I453" i="7"/>
  <c r="P453" i="7"/>
  <c r="H453" i="7"/>
  <c r="S452" i="7"/>
  <c r="Q452" i="7"/>
  <c r="O452" i="7"/>
  <c r="M452" i="7"/>
  <c r="N452" i="7"/>
  <c r="L452" i="7"/>
  <c r="K452" i="7"/>
  <c r="J452" i="7"/>
  <c r="I452" i="7"/>
  <c r="P452" i="7"/>
  <c r="H452" i="7"/>
  <c r="S451" i="7"/>
  <c r="Q451" i="7"/>
  <c r="O451" i="7"/>
  <c r="M451" i="7"/>
  <c r="N451" i="7"/>
  <c r="L451" i="7"/>
  <c r="K451" i="7"/>
  <c r="J451" i="7"/>
  <c r="I451" i="7"/>
  <c r="P451" i="7"/>
  <c r="H451" i="7"/>
  <c r="S450" i="7"/>
  <c r="U451" i="7"/>
  <c r="Q450" i="7"/>
  <c r="O450" i="7"/>
  <c r="M450" i="7"/>
  <c r="N450" i="7"/>
  <c r="L450" i="7"/>
  <c r="K450" i="7"/>
  <c r="J450" i="7"/>
  <c r="I450" i="7"/>
  <c r="P450" i="7"/>
  <c r="H450" i="7"/>
  <c r="S449" i="7"/>
  <c r="Q449" i="7"/>
  <c r="O449" i="7"/>
  <c r="M449" i="7"/>
  <c r="N449" i="7"/>
  <c r="L449" i="7"/>
  <c r="K449" i="7"/>
  <c r="J449" i="7"/>
  <c r="I449" i="7"/>
  <c r="P449" i="7"/>
  <c r="H449" i="7"/>
  <c r="S448" i="7"/>
  <c r="Q448" i="7"/>
  <c r="O448" i="7"/>
  <c r="M448" i="7"/>
  <c r="N448" i="7"/>
  <c r="L448" i="7"/>
  <c r="K448" i="7"/>
  <c r="J448" i="7"/>
  <c r="I448" i="7"/>
  <c r="P448" i="7"/>
  <c r="H448" i="7"/>
  <c r="S447" i="7"/>
  <c r="Q447" i="7"/>
  <c r="O447" i="7"/>
  <c r="M447" i="7"/>
  <c r="N447" i="7"/>
  <c r="L447" i="7"/>
  <c r="K447" i="7"/>
  <c r="J447" i="7"/>
  <c r="I447" i="7"/>
  <c r="P447" i="7"/>
  <c r="H447" i="7"/>
  <c r="S446" i="7"/>
  <c r="Q446" i="7"/>
  <c r="O446" i="7"/>
  <c r="M446" i="7"/>
  <c r="N446" i="7"/>
  <c r="L446" i="7"/>
  <c r="K446" i="7"/>
  <c r="J446" i="7"/>
  <c r="I446" i="7"/>
  <c r="P446" i="7"/>
  <c r="H446" i="7"/>
  <c r="S445" i="7"/>
  <c r="Q445" i="7"/>
  <c r="O445" i="7"/>
  <c r="M445" i="7"/>
  <c r="N445" i="7"/>
  <c r="L445" i="7"/>
  <c r="K445" i="7"/>
  <c r="J445" i="7"/>
  <c r="I445" i="7"/>
  <c r="P445" i="7"/>
  <c r="H445" i="7"/>
  <c r="S444" i="7"/>
  <c r="Q444" i="7"/>
  <c r="O444" i="7"/>
  <c r="M444" i="7"/>
  <c r="N444" i="7"/>
  <c r="L444" i="7"/>
  <c r="K444" i="7"/>
  <c r="J444" i="7"/>
  <c r="I444" i="7"/>
  <c r="P444" i="7"/>
  <c r="H444" i="7"/>
  <c r="S443" i="7"/>
  <c r="Q443" i="7"/>
  <c r="O443" i="7"/>
  <c r="M443" i="7"/>
  <c r="N443" i="7"/>
  <c r="L443" i="7"/>
  <c r="K443" i="7"/>
  <c r="J443" i="7"/>
  <c r="I443" i="7"/>
  <c r="P443" i="7"/>
  <c r="H443" i="7"/>
  <c r="S442" i="7"/>
  <c r="U443" i="7"/>
  <c r="Q442" i="7"/>
  <c r="O442" i="7"/>
  <c r="M442" i="7"/>
  <c r="N442" i="7"/>
  <c r="L442" i="7"/>
  <c r="K442" i="7"/>
  <c r="J442" i="7"/>
  <c r="I442" i="7"/>
  <c r="P442" i="7"/>
  <c r="H442" i="7"/>
  <c r="S441" i="7"/>
  <c r="Q441" i="7"/>
  <c r="O441" i="7"/>
  <c r="M441" i="7"/>
  <c r="N441" i="7"/>
  <c r="L441" i="7"/>
  <c r="K441" i="7"/>
  <c r="J441" i="7"/>
  <c r="I441" i="7"/>
  <c r="P441" i="7"/>
  <c r="H441" i="7"/>
  <c r="S440" i="7"/>
  <c r="Q440" i="7"/>
  <c r="O440" i="7"/>
  <c r="M440" i="7"/>
  <c r="N440" i="7"/>
  <c r="L440" i="7"/>
  <c r="K440" i="7"/>
  <c r="J440" i="7"/>
  <c r="I440" i="7"/>
  <c r="P440" i="7"/>
  <c r="H440" i="7"/>
  <c r="S439" i="7"/>
  <c r="Q439" i="7"/>
  <c r="O439" i="7"/>
  <c r="M439" i="7"/>
  <c r="N439" i="7"/>
  <c r="L439" i="7"/>
  <c r="K439" i="7"/>
  <c r="J439" i="7"/>
  <c r="I439" i="7"/>
  <c r="P439" i="7"/>
  <c r="H439" i="7"/>
  <c r="S438" i="7"/>
  <c r="Q438" i="7"/>
  <c r="O438" i="7"/>
  <c r="M438" i="7"/>
  <c r="N438" i="7"/>
  <c r="L438" i="7"/>
  <c r="K438" i="7"/>
  <c r="J438" i="7"/>
  <c r="I438" i="7"/>
  <c r="P438" i="7"/>
  <c r="H438" i="7"/>
  <c r="S437" i="7"/>
  <c r="Q437" i="7"/>
  <c r="O437" i="7"/>
  <c r="M437" i="7"/>
  <c r="N437" i="7"/>
  <c r="L437" i="7"/>
  <c r="K437" i="7"/>
  <c r="J437" i="7"/>
  <c r="I437" i="7"/>
  <c r="P437" i="7"/>
  <c r="H437" i="7"/>
  <c r="S436" i="7"/>
  <c r="Q436" i="7"/>
  <c r="O436" i="7"/>
  <c r="M436" i="7"/>
  <c r="N436" i="7"/>
  <c r="L436" i="7"/>
  <c r="K436" i="7"/>
  <c r="J436" i="7"/>
  <c r="I436" i="7"/>
  <c r="P436" i="7"/>
  <c r="H436" i="7"/>
  <c r="S435" i="7"/>
  <c r="Q435" i="7"/>
  <c r="O435" i="7"/>
  <c r="M435" i="7"/>
  <c r="N435" i="7"/>
  <c r="L435" i="7"/>
  <c r="K435" i="7"/>
  <c r="J435" i="7"/>
  <c r="I435" i="7"/>
  <c r="P435" i="7"/>
  <c r="H435" i="7"/>
  <c r="S434" i="7"/>
  <c r="U435" i="7"/>
  <c r="Q434" i="7"/>
  <c r="O434" i="7"/>
  <c r="M434" i="7"/>
  <c r="N434" i="7"/>
  <c r="L434" i="7"/>
  <c r="K434" i="7"/>
  <c r="J434" i="7"/>
  <c r="I434" i="7"/>
  <c r="P434" i="7"/>
  <c r="H434" i="7"/>
  <c r="S433" i="7"/>
  <c r="Q433" i="7"/>
  <c r="O433" i="7"/>
  <c r="M433" i="7"/>
  <c r="N433" i="7"/>
  <c r="L433" i="7"/>
  <c r="K433" i="7"/>
  <c r="J433" i="7"/>
  <c r="I433" i="7"/>
  <c r="P433" i="7"/>
  <c r="H433" i="7"/>
  <c r="S432" i="7"/>
  <c r="Q432" i="7"/>
  <c r="O432" i="7"/>
  <c r="M432" i="7"/>
  <c r="N432" i="7"/>
  <c r="L432" i="7"/>
  <c r="K432" i="7"/>
  <c r="J432" i="7"/>
  <c r="I432" i="7"/>
  <c r="P432" i="7"/>
  <c r="H432" i="7"/>
  <c r="S431" i="7"/>
  <c r="Q431" i="7"/>
  <c r="O431" i="7"/>
  <c r="M431" i="7"/>
  <c r="N431" i="7"/>
  <c r="L431" i="7"/>
  <c r="K431" i="7"/>
  <c r="J431" i="7"/>
  <c r="I431" i="7"/>
  <c r="P431" i="7"/>
  <c r="H431" i="7"/>
  <c r="S430" i="7"/>
  <c r="Q430" i="7"/>
  <c r="O430" i="7"/>
  <c r="M430" i="7"/>
  <c r="N430" i="7"/>
  <c r="L430" i="7"/>
  <c r="K430" i="7"/>
  <c r="J430" i="7"/>
  <c r="I430" i="7"/>
  <c r="P430" i="7"/>
  <c r="H430" i="7"/>
  <c r="S429" i="7"/>
  <c r="Q429" i="7"/>
  <c r="O429" i="7"/>
  <c r="M429" i="7"/>
  <c r="N429" i="7"/>
  <c r="L429" i="7"/>
  <c r="K429" i="7"/>
  <c r="J429" i="7"/>
  <c r="I429" i="7"/>
  <c r="P429" i="7"/>
  <c r="H429" i="7"/>
  <c r="S428" i="7"/>
  <c r="Q428" i="7"/>
  <c r="O428" i="7"/>
  <c r="M428" i="7"/>
  <c r="N428" i="7"/>
  <c r="L428" i="7"/>
  <c r="K428" i="7"/>
  <c r="J428" i="7"/>
  <c r="I428" i="7"/>
  <c r="P428" i="7"/>
  <c r="H428" i="7"/>
  <c r="S427" i="7"/>
  <c r="Q427" i="7"/>
  <c r="O427" i="7"/>
  <c r="M427" i="7"/>
  <c r="N427" i="7"/>
  <c r="L427" i="7"/>
  <c r="K427" i="7"/>
  <c r="J427" i="7"/>
  <c r="I427" i="7"/>
  <c r="P427" i="7"/>
  <c r="H427" i="7"/>
  <c r="S426" i="7"/>
  <c r="U427" i="7"/>
  <c r="Q426" i="7"/>
  <c r="O426" i="7"/>
  <c r="M426" i="7"/>
  <c r="N426" i="7"/>
  <c r="L426" i="7"/>
  <c r="K426" i="7"/>
  <c r="J426" i="7"/>
  <c r="I426" i="7"/>
  <c r="P426" i="7"/>
  <c r="H426" i="7"/>
  <c r="S425" i="7"/>
  <c r="Q425" i="7"/>
  <c r="O425" i="7"/>
  <c r="M425" i="7"/>
  <c r="N425" i="7"/>
  <c r="L425" i="7"/>
  <c r="K425" i="7"/>
  <c r="J425" i="7"/>
  <c r="I425" i="7"/>
  <c r="P425" i="7"/>
  <c r="H425" i="7"/>
  <c r="S424" i="7"/>
  <c r="Q424" i="7"/>
  <c r="O424" i="7"/>
  <c r="M424" i="7"/>
  <c r="N424" i="7"/>
  <c r="L424" i="7"/>
  <c r="K424" i="7"/>
  <c r="J424" i="7"/>
  <c r="I424" i="7"/>
  <c r="P424" i="7"/>
  <c r="H424" i="7"/>
  <c r="S423" i="7"/>
  <c r="Q423" i="7"/>
  <c r="O423" i="7"/>
  <c r="M423" i="7"/>
  <c r="N423" i="7"/>
  <c r="L423" i="7"/>
  <c r="K423" i="7"/>
  <c r="J423" i="7"/>
  <c r="I423" i="7"/>
  <c r="P423" i="7"/>
  <c r="H423" i="7"/>
  <c r="S422" i="7"/>
  <c r="Q422" i="7"/>
  <c r="O422" i="7"/>
  <c r="M422" i="7"/>
  <c r="N422" i="7"/>
  <c r="L422" i="7"/>
  <c r="K422" i="7"/>
  <c r="J422" i="7"/>
  <c r="I422" i="7"/>
  <c r="P422" i="7"/>
  <c r="H422" i="7"/>
  <c r="S421" i="7"/>
  <c r="Q421" i="7"/>
  <c r="O421" i="7"/>
  <c r="M421" i="7"/>
  <c r="N421" i="7"/>
  <c r="L421" i="7"/>
  <c r="K421" i="7"/>
  <c r="J421" i="7"/>
  <c r="I421" i="7"/>
  <c r="P421" i="7"/>
  <c r="H421" i="7"/>
  <c r="S420" i="7"/>
  <c r="Q420" i="7"/>
  <c r="O420" i="7"/>
  <c r="M420" i="7"/>
  <c r="N420" i="7"/>
  <c r="L420" i="7"/>
  <c r="K420" i="7"/>
  <c r="J420" i="7"/>
  <c r="I420" i="7"/>
  <c r="P420" i="7"/>
  <c r="H420" i="7"/>
  <c r="S419" i="7"/>
  <c r="Q419" i="7"/>
  <c r="O419" i="7"/>
  <c r="M419" i="7"/>
  <c r="N419" i="7"/>
  <c r="L419" i="7"/>
  <c r="K419" i="7"/>
  <c r="J419" i="7"/>
  <c r="I419" i="7"/>
  <c r="P419" i="7"/>
  <c r="H419" i="7"/>
  <c r="S418" i="7"/>
  <c r="U419" i="7"/>
  <c r="Q418" i="7"/>
  <c r="O418" i="7"/>
  <c r="M418" i="7"/>
  <c r="N418" i="7"/>
  <c r="L418" i="7"/>
  <c r="K418" i="7"/>
  <c r="J418" i="7"/>
  <c r="I418" i="7"/>
  <c r="P418" i="7"/>
  <c r="H418" i="7"/>
  <c r="S417" i="7"/>
  <c r="U418" i="7"/>
  <c r="Q417" i="7"/>
  <c r="O417" i="7"/>
  <c r="M417" i="7"/>
  <c r="N417" i="7"/>
  <c r="L417" i="7"/>
  <c r="K417" i="7"/>
  <c r="J417" i="7"/>
  <c r="I417" i="7"/>
  <c r="P417" i="7"/>
  <c r="H417" i="7"/>
  <c r="S416" i="7"/>
  <c r="Q416" i="7"/>
  <c r="O416" i="7"/>
  <c r="M416" i="7"/>
  <c r="N416" i="7"/>
  <c r="L416" i="7"/>
  <c r="K416" i="7"/>
  <c r="J416" i="7"/>
  <c r="I416" i="7"/>
  <c r="P416" i="7"/>
  <c r="H416" i="7"/>
  <c r="S415" i="7"/>
  <c r="Q415" i="7"/>
  <c r="O415" i="7"/>
  <c r="M415" i="7"/>
  <c r="N415" i="7"/>
  <c r="L415" i="7"/>
  <c r="K415" i="7"/>
  <c r="J415" i="7"/>
  <c r="I415" i="7"/>
  <c r="P415" i="7"/>
  <c r="H415" i="7"/>
  <c r="S414" i="7"/>
  <c r="Q414" i="7"/>
  <c r="O414" i="7"/>
  <c r="M414" i="7"/>
  <c r="N414" i="7"/>
  <c r="L414" i="7"/>
  <c r="K414" i="7"/>
  <c r="J414" i="7"/>
  <c r="I414" i="7"/>
  <c r="P414" i="7"/>
  <c r="H414" i="7"/>
  <c r="S413" i="7"/>
  <c r="Q413" i="7"/>
  <c r="O413" i="7"/>
  <c r="M413" i="7"/>
  <c r="N413" i="7"/>
  <c r="L413" i="7"/>
  <c r="K413" i="7"/>
  <c r="J413" i="7"/>
  <c r="I413" i="7"/>
  <c r="P413" i="7"/>
  <c r="H413" i="7"/>
  <c r="S412" i="7"/>
  <c r="Q412" i="7"/>
  <c r="O412" i="7"/>
  <c r="M412" i="7"/>
  <c r="N412" i="7"/>
  <c r="L412" i="7"/>
  <c r="K412" i="7"/>
  <c r="J412" i="7"/>
  <c r="I412" i="7"/>
  <c r="P412" i="7"/>
  <c r="H412" i="7"/>
  <c r="S411" i="7"/>
  <c r="Q411" i="7"/>
  <c r="O411" i="7"/>
  <c r="M411" i="7"/>
  <c r="N411" i="7"/>
  <c r="L411" i="7"/>
  <c r="K411" i="7"/>
  <c r="J411" i="7"/>
  <c r="I411" i="7"/>
  <c r="P411" i="7"/>
  <c r="H411" i="7"/>
  <c r="S410" i="7"/>
  <c r="U411" i="7"/>
  <c r="Q410" i="7"/>
  <c r="O410" i="7"/>
  <c r="M410" i="7"/>
  <c r="N410" i="7"/>
  <c r="L410" i="7"/>
  <c r="K410" i="7"/>
  <c r="J410" i="7"/>
  <c r="I410" i="7"/>
  <c r="P410" i="7"/>
  <c r="H410" i="7"/>
  <c r="S409" i="7"/>
  <c r="U410" i="7"/>
  <c r="Q409" i="7"/>
  <c r="O409" i="7"/>
  <c r="M409" i="7"/>
  <c r="N409" i="7"/>
  <c r="L409" i="7"/>
  <c r="K409" i="7"/>
  <c r="J409" i="7"/>
  <c r="I409" i="7"/>
  <c r="P409" i="7"/>
  <c r="H409" i="7"/>
  <c r="S408" i="7"/>
  <c r="Q408" i="7"/>
  <c r="O408" i="7"/>
  <c r="M408" i="7"/>
  <c r="N408" i="7"/>
  <c r="L408" i="7"/>
  <c r="K408" i="7"/>
  <c r="J408" i="7"/>
  <c r="I408" i="7"/>
  <c r="P408" i="7"/>
  <c r="H408" i="7"/>
  <c r="S407" i="7"/>
  <c r="Q407" i="7"/>
  <c r="O407" i="7"/>
  <c r="M407" i="7"/>
  <c r="N407" i="7"/>
  <c r="L407" i="7"/>
  <c r="K407" i="7"/>
  <c r="J407" i="7"/>
  <c r="I407" i="7"/>
  <c r="P407" i="7"/>
  <c r="H407" i="7"/>
  <c r="S406" i="7"/>
  <c r="Q406" i="7"/>
  <c r="O406" i="7"/>
  <c r="M406" i="7"/>
  <c r="N406" i="7"/>
  <c r="L406" i="7"/>
  <c r="K406" i="7"/>
  <c r="J406" i="7"/>
  <c r="I406" i="7"/>
  <c r="P406" i="7"/>
  <c r="H406" i="7"/>
  <c r="S405" i="7"/>
  <c r="Q405" i="7"/>
  <c r="O405" i="7"/>
  <c r="M405" i="7"/>
  <c r="N405" i="7"/>
  <c r="L405" i="7"/>
  <c r="K405" i="7"/>
  <c r="J405" i="7"/>
  <c r="I405" i="7"/>
  <c r="P405" i="7"/>
  <c r="H405" i="7"/>
  <c r="S404" i="7"/>
  <c r="Q404" i="7"/>
  <c r="O404" i="7"/>
  <c r="M404" i="7"/>
  <c r="N404" i="7"/>
  <c r="L404" i="7"/>
  <c r="K404" i="7"/>
  <c r="J404" i="7"/>
  <c r="I404" i="7"/>
  <c r="P404" i="7"/>
  <c r="H404" i="7"/>
  <c r="S403" i="7"/>
  <c r="Q403" i="7"/>
  <c r="O403" i="7"/>
  <c r="M403" i="7"/>
  <c r="N403" i="7"/>
  <c r="L403" i="7"/>
  <c r="K403" i="7"/>
  <c r="J403" i="7"/>
  <c r="I403" i="7"/>
  <c r="P403" i="7"/>
  <c r="H403" i="7"/>
  <c r="S402" i="7"/>
  <c r="Q402" i="7"/>
  <c r="O402" i="7"/>
  <c r="M402" i="7"/>
  <c r="N402" i="7"/>
  <c r="L402" i="7"/>
  <c r="K402" i="7"/>
  <c r="J402" i="7"/>
  <c r="I402" i="7"/>
  <c r="P402" i="7"/>
  <c r="H402" i="7"/>
  <c r="S401" i="7"/>
  <c r="U402" i="7"/>
  <c r="Q401" i="7"/>
  <c r="O401" i="7"/>
  <c r="M401" i="7"/>
  <c r="N401" i="7"/>
  <c r="L401" i="7"/>
  <c r="K401" i="7"/>
  <c r="J401" i="7"/>
  <c r="I401" i="7"/>
  <c r="P401" i="7"/>
  <c r="H401" i="7"/>
  <c r="S400" i="7"/>
  <c r="Q400" i="7"/>
  <c r="O400" i="7"/>
  <c r="M400" i="7"/>
  <c r="N400" i="7"/>
  <c r="L400" i="7"/>
  <c r="K400" i="7"/>
  <c r="J400" i="7"/>
  <c r="I400" i="7"/>
  <c r="P400" i="7"/>
  <c r="H400" i="7"/>
  <c r="S399" i="7"/>
  <c r="Q399" i="7"/>
  <c r="O399" i="7"/>
  <c r="M399" i="7"/>
  <c r="N399" i="7"/>
  <c r="L399" i="7"/>
  <c r="K399" i="7"/>
  <c r="J399" i="7"/>
  <c r="I399" i="7"/>
  <c r="P399" i="7"/>
  <c r="H399" i="7"/>
  <c r="S398" i="7"/>
  <c r="Q398" i="7"/>
  <c r="O398" i="7"/>
  <c r="M398" i="7"/>
  <c r="N398" i="7"/>
  <c r="L398" i="7"/>
  <c r="K398" i="7"/>
  <c r="J398" i="7"/>
  <c r="I398" i="7"/>
  <c r="P398" i="7"/>
  <c r="H398" i="7"/>
  <c r="S397" i="7"/>
  <c r="U398" i="7"/>
  <c r="Q397" i="7"/>
  <c r="O397" i="7"/>
  <c r="M397" i="7"/>
  <c r="N397" i="7"/>
  <c r="L397" i="7"/>
  <c r="K397" i="7"/>
  <c r="J397" i="7"/>
  <c r="I397" i="7"/>
  <c r="P397" i="7"/>
  <c r="H397" i="7"/>
  <c r="S396" i="7"/>
  <c r="U397" i="7"/>
  <c r="Q396" i="7"/>
  <c r="O396" i="7"/>
  <c r="M396" i="7"/>
  <c r="N396" i="7"/>
  <c r="L396" i="7"/>
  <c r="K396" i="7"/>
  <c r="J396" i="7"/>
  <c r="I396" i="7"/>
  <c r="P396" i="7"/>
  <c r="H396" i="7"/>
  <c r="S395" i="7"/>
  <c r="Q395" i="7"/>
  <c r="O395" i="7"/>
  <c r="M395" i="7"/>
  <c r="N395" i="7"/>
  <c r="L395" i="7"/>
  <c r="K395" i="7"/>
  <c r="J395" i="7"/>
  <c r="I395" i="7"/>
  <c r="P395" i="7"/>
  <c r="H395" i="7"/>
  <c r="S394" i="7"/>
  <c r="U395" i="7"/>
  <c r="Q394" i="7"/>
  <c r="O394" i="7"/>
  <c r="M394" i="7"/>
  <c r="N394" i="7"/>
  <c r="L394" i="7"/>
  <c r="K394" i="7"/>
  <c r="J394" i="7"/>
  <c r="I394" i="7"/>
  <c r="P394" i="7"/>
  <c r="H394" i="7"/>
  <c r="S393" i="7"/>
  <c r="U394" i="7"/>
  <c r="Q393" i="7"/>
  <c r="O393" i="7"/>
  <c r="M393" i="7"/>
  <c r="N393" i="7"/>
  <c r="L393" i="7"/>
  <c r="K393" i="7"/>
  <c r="J393" i="7"/>
  <c r="I393" i="7"/>
  <c r="P393" i="7"/>
  <c r="H393" i="7"/>
  <c r="S392" i="7"/>
  <c r="Q392" i="7"/>
  <c r="O392" i="7"/>
  <c r="M392" i="7"/>
  <c r="N392" i="7"/>
  <c r="L392" i="7"/>
  <c r="K392" i="7"/>
  <c r="J392" i="7"/>
  <c r="I392" i="7"/>
  <c r="P392" i="7"/>
  <c r="H392" i="7"/>
  <c r="S391" i="7"/>
  <c r="Q391" i="7"/>
  <c r="O391" i="7"/>
  <c r="M391" i="7"/>
  <c r="N391" i="7"/>
  <c r="L391" i="7"/>
  <c r="K391" i="7"/>
  <c r="J391" i="7"/>
  <c r="I391" i="7"/>
  <c r="P391" i="7"/>
  <c r="H391" i="7"/>
  <c r="S390" i="7"/>
  <c r="Q390" i="7"/>
  <c r="O390" i="7"/>
  <c r="M390" i="7"/>
  <c r="N390" i="7"/>
  <c r="L390" i="7"/>
  <c r="K390" i="7"/>
  <c r="J390" i="7"/>
  <c r="I390" i="7"/>
  <c r="P390" i="7"/>
  <c r="H390" i="7"/>
  <c r="S389" i="7"/>
  <c r="U390" i="7"/>
  <c r="Q389" i="7"/>
  <c r="O389" i="7"/>
  <c r="M389" i="7"/>
  <c r="N389" i="7"/>
  <c r="L389" i="7"/>
  <c r="K389" i="7"/>
  <c r="J389" i="7"/>
  <c r="I389" i="7"/>
  <c r="P389" i="7"/>
  <c r="H389" i="7"/>
  <c r="S388" i="7"/>
  <c r="Q388" i="7"/>
  <c r="O388" i="7"/>
  <c r="M388" i="7"/>
  <c r="N388" i="7"/>
  <c r="L388" i="7"/>
  <c r="K388" i="7"/>
  <c r="J388" i="7"/>
  <c r="I388" i="7"/>
  <c r="P388" i="7"/>
  <c r="H388" i="7"/>
  <c r="S387" i="7"/>
  <c r="Q387" i="7"/>
  <c r="O387" i="7"/>
  <c r="M387" i="7"/>
  <c r="N387" i="7"/>
  <c r="L387" i="7"/>
  <c r="K387" i="7"/>
  <c r="J387" i="7"/>
  <c r="I387" i="7"/>
  <c r="P387" i="7"/>
  <c r="H387" i="7"/>
  <c r="S386" i="7"/>
  <c r="U387" i="7"/>
  <c r="Q386" i="7"/>
  <c r="O386" i="7"/>
  <c r="M386" i="7"/>
  <c r="N386" i="7"/>
  <c r="L386" i="7"/>
  <c r="K386" i="7"/>
  <c r="J386" i="7"/>
  <c r="I386" i="7"/>
  <c r="P386" i="7"/>
  <c r="H386" i="7"/>
  <c r="S385" i="7"/>
  <c r="U386" i="7"/>
  <c r="Q385" i="7"/>
  <c r="O385" i="7"/>
  <c r="M385" i="7"/>
  <c r="N385" i="7"/>
  <c r="L385" i="7"/>
  <c r="K385" i="7"/>
  <c r="J385" i="7"/>
  <c r="I385" i="7"/>
  <c r="P385" i="7"/>
  <c r="H385" i="7"/>
  <c r="S384" i="7"/>
  <c r="Q384" i="7"/>
  <c r="O384" i="7"/>
  <c r="M384" i="7"/>
  <c r="N384" i="7"/>
  <c r="L384" i="7"/>
  <c r="K384" i="7"/>
  <c r="J384" i="7"/>
  <c r="I384" i="7"/>
  <c r="P384" i="7"/>
  <c r="H384" i="7"/>
  <c r="S383" i="7"/>
  <c r="Q383" i="7"/>
  <c r="O383" i="7"/>
  <c r="M383" i="7"/>
  <c r="N383" i="7"/>
  <c r="L383" i="7"/>
  <c r="K383" i="7"/>
  <c r="J383" i="7"/>
  <c r="I383" i="7"/>
  <c r="P383" i="7"/>
  <c r="H383" i="7"/>
  <c r="S382" i="7"/>
  <c r="Q382" i="7"/>
  <c r="O382" i="7"/>
  <c r="M382" i="7"/>
  <c r="N382" i="7"/>
  <c r="L382" i="7"/>
  <c r="K382" i="7"/>
  <c r="J382" i="7"/>
  <c r="I382" i="7"/>
  <c r="P382" i="7"/>
  <c r="H382" i="7"/>
  <c r="S381" i="7"/>
  <c r="Q381" i="7"/>
  <c r="O381" i="7"/>
  <c r="M381" i="7"/>
  <c r="N381" i="7"/>
  <c r="L381" i="7"/>
  <c r="K381" i="7"/>
  <c r="J381" i="7"/>
  <c r="I381" i="7"/>
  <c r="P381" i="7"/>
  <c r="H381" i="7"/>
  <c r="S380" i="7"/>
  <c r="U381" i="7"/>
  <c r="Q380" i="7"/>
  <c r="O380" i="7"/>
  <c r="M380" i="7"/>
  <c r="N380" i="7"/>
  <c r="L380" i="7"/>
  <c r="K380" i="7"/>
  <c r="J380" i="7"/>
  <c r="I380" i="7"/>
  <c r="P380" i="7"/>
  <c r="H380" i="7"/>
  <c r="S379" i="7"/>
  <c r="Q379" i="7"/>
  <c r="O379" i="7"/>
  <c r="M379" i="7"/>
  <c r="N379" i="7"/>
  <c r="L379" i="7"/>
  <c r="K379" i="7"/>
  <c r="J379" i="7"/>
  <c r="I379" i="7"/>
  <c r="P379" i="7"/>
  <c r="H379" i="7"/>
  <c r="S378" i="7"/>
  <c r="U379" i="7"/>
  <c r="Q378" i="7"/>
  <c r="O378" i="7"/>
  <c r="M378" i="7"/>
  <c r="N378" i="7"/>
  <c r="L378" i="7"/>
  <c r="K378" i="7"/>
  <c r="J378" i="7"/>
  <c r="I378" i="7"/>
  <c r="P378" i="7"/>
  <c r="H378" i="7"/>
  <c r="S377" i="7"/>
  <c r="U378" i="7"/>
  <c r="Q377" i="7"/>
  <c r="O377" i="7"/>
  <c r="M377" i="7"/>
  <c r="N377" i="7"/>
  <c r="L377" i="7"/>
  <c r="K377" i="7"/>
  <c r="J377" i="7"/>
  <c r="I377" i="7"/>
  <c r="P377" i="7"/>
  <c r="H377" i="7"/>
  <c r="S376" i="7"/>
  <c r="Q376" i="7"/>
  <c r="O376" i="7"/>
  <c r="M376" i="7"/>
  <c r="N376" i="7"/>
  <c r="L376" i="7"/>
  <c r="K376" i="7"/>
  <c r="J376" i="7"/>
  <c r="I376" i="7"/>
  <c r="P376" i="7"/>
  <c r="H376" i="7"/>
  <c r="S375" i="7"/>
  <c r="Q375" i="7"/>
  <c r="O375" i="7"/>
  <c r="M375" i="7"/>
  <c r="N375" i="7"/>
  <c r="L375" i="7"/>
  <c r="K375" i="7"/>
  <c r="J375" i="7"/>
  <c r="I375" i="7"/>
  <c r="P375" i="7"/>
  <c r="H375" i="7"/>
  <c r="S374" i="7"/>
  <c r="Q374" i="7"/>
  <c r="O374" i="7"/>
  <c r="M374" i="7"/>
  <c r="N374" i="7"/>
  <c r="L374" i="7"/>
  <c r="K374" i="7"/>
  <c r="J374" i="7"/>
  <c r="I374" i="7"/>
  <c r="P374" i="7"/>
  <c r="H374" i="7"/>
  <c r="S373" i="7"/>
  <c r="Q373" i="7"/>
  <c r="O373" i="7"/>
  <c r="M373" i="7"/>
  <c r="N373" i="7"/>
  <c r="L373" i="7"/>
  <c r="K373" i="7"/>
  <c r="J373" i="7"/>
  <c r="I373" i="7"/>
  <c r="P373" i="7"/>
  <c r="H373" i="7"/>
  <c r="S372" i="7"/>
  <c r="Q372" i="7"/>
  <c r="O372" i="7"/>
  <c r="M372" i="7"/>
  <c r="N372" i="7"/>
  <c r="L372" i="7"/>
  <c r="K372" i="7"/>
  <c r="J372" i="7"/>
  <c r="I372" i="7"/>
  <c r="P372" i="7"/>
  <c r="H372" i="7"/>
  <c r="S371" i="7"/>
  <c r="Q371" i="7"/>
  <c r="O371" i="7"/>
  <c r="M371" i="7"/>
  <c r="N371" i="7"/>
  <c r="L371" i="7"/>
  <c r="K371" i="7"/>
  <c r="J371" i="7"/>
  <c r="I371" i="7"/>
  <c r="P371" i="7"/>
  <c r="H371" i="7"/>
  <c r="S370" i="7"/>
  <c r="Q370" i="7"/>
  <c r="O370" i="7"/>
  <c r="M370" i="7"/>
  <c r="N370" i="7"/>
  <c r="L370" i="7"/>
  <c r="K370" i="7"/>
  <c r="J370" i="7"/>
  <c r="I370" i="7"/>
  <c r="P370" i="7"/>
  <c r="H370" i="7"/>
  <c r="S369" i="7"/>
  <c r="U370" i="7"/>
  <c r="Q369" i="7"/>
  <c r="O369" i="7"/>
  <c r="M369" i="7"/>
  <c r="N369" i="7"/>
  <c r="L369" i="7"/>
  <c r="K369" i="7"/>
  <c r="J369" i="7"/>
  <c r="I369" i="7"/>
  <c r="P369" i="7"/>
  <c r="H369" i="7"/>
  <c r="S368" i="7"/>
  <c r="Q368" i="7"/>
  <c r="O368" i="7"/>
  <c r="M368" i="7"/>
  <c r="N368" i="7"/>
  <c r="L368" i="7"/>
  <c r="K368" i="7"/>
  <c r="J368" i="7"/>
  <c r="I368" i="7"/>
  <c r="P368" i="7"/>
  <c r="H368" i="7"/>
  <c r="S367" i="7"/>
  <c r="Q367" i="7"/>
  <c r="O367" i="7"/>
  <c r="M367" i="7"/>
  <c r="N367" i="7"/>
  <c r="L367" i="7"/>
  <c r="K367" i="7"/>
  <c r="J367" i="7"/>
  <c r="I367" i="7"/>
  <c r="P367" i="7"/>
  <c r="H367" i="7"/>
  <c r="S366" i="7"/>
  <c r="Q366" i="7"/>
  <c r="O366" i="7"/>
  <c r="M366" i="7"/>
  <c r="N366" i="7"/>
  <c r="L366" i="7"/>
  <c r="K366" i="7"/>
  <c r="J366" i="7"/>
  <c r="I366" i="7"/>
  <c r="P366" i="7"/>
  <c r="H366" i="7"/>
  <c r="S365" i="7"/>
  <c r="Q365" i="7"/>
  <c r="O365" i="7"/>
  <c r="M365" i="7"/>
  <c r="N365" i="7"/>
  <c r="L365" i="7"/>
  <c r="K365" i="7"/>
  <c r="J365" i="7"/>
  <c r="I365" i="7"/>
  <c r="P365" i="7"/>
  <c r="H365" i="7"/>
  <c r="S364" i="7"/>
  <c r="Q364" i="7"/>
  <c r="O364" i="7"/>
  <c r="M364" i="7"/>
  <c r="N364" i="7"/>
  <c r="L364" i="7"/>
  <c r="K364" i="7"/>
  <c r="J364" i="7"/>
  <c r="I364" i="7"/>
  <c r="P364" i="7"/>
  <c r="H364" i="7"/>
  <c r="S363" i="7"/>
  <c r="Q363" i="7"/>
  <c r="O363" i="7"/>
  <c r="M363" i="7"/>
  <c r="N363" i="7"/>
  <c r="L363" i="7"/>
  <c r="K363" i="7"/>
  <c r="J363" i="7"/>
  <c r="I363" i="7"/>
  <c r="P363" i="7"/>
  <c r="H363" i="7"/>
  <c r="S362" i="7"/>
  <c r="U363" i="7"/>
  <c r="Q362" i="7"/>
  <c r="O362" i="7"/>
  <c r="M362" i="7"/>
  <c r="N362" i="7"/>
  <c r="L362" i="7"/>
  <c r="K362" i="7"/>
  <c r="J362" i="7"/>
  <c r="I362" i="7"/>
  <c r="P362" i="7"/>
  <c r="H362" i="7"/>
  <c r="S361" i="7"/>
  <c r="U362" i="7"/>
  <c r="Q361" i="7"/>
  <c r="O361" i="7"/>
  <c r="M361" i="7"/>
  <c r="N361" i="7"/>
  <c r="L361" i="7"/>
  <c r="K361" i="7"/>
  <c r="J361" i="7"/>
  <c r="I361" i="7"/>
  <c r="P361" i="7"/>
  <c r="H361" i="7"/>
  <c r="S360" i="7"/>
  <c r="Q360" i="7"/>
  <c r="O360" i="7"/>
  <c r="M360" i="7"/>
  <c r="N360" i="7"/>
  <c r="L360" i="7"/>
  <c r="K360" i="7"/>
  <c r="J360" i="7"/>
  <c r="I360" i="7"/>
  <c r="P360" i="7"/>
  <c r="H360" i="7"/>
  <c r="S359" i="7"/>
  <c r="Q359" i="7"/>
  <c r="O359" i="7"/>
  <c r="M359" i="7"/>
  <c r="N359" i="7"/>
  <c r="L359" i="7"/>
  <c r="K359" i="7"/>
  <c r="J359" i="7"/>
  <c r="I359" i="7"/>
  <c r="P359" i="7"/>
  <c r="H359" i="7"/>
  <c r="S358" i="7"/>
  <c r="Q358" i="7"/>
  <c r="O358" i="7"/>
  <c r="M358" i="7"/>
  <c r="N358" i="7"/>
  <c r="L358" i="7"/>
  <c r="K358" i="7"/>
  <c r="J358" i="7"/>
  <c r="I358" i="7"/>
  <c r="P358" i="7"/>
  <c r="H358" i="7"/>
  <c r="S357" i="7"/>
  <c r="U358" i="7"/>
  <c r="Q357" i="7"/>
  <c r="O357" i="7"/>
  <c r="M357" i="7"/>
  <c r="N357" i="7"/>
  <c r="L357" i="7"/>
  <c r="K357" i="7"/>
  <c r="J357" i="7"/>
  <c r="I357" i="7"/>
  <c r="P357" i="7"/>
  <c r="H357" i="7"/>
  <c r="S356" i="7"/>
  <c r="Q356" i="7"/>
  <c r="O356" i="7"/>
  <c r="M356" i="7"/>
  <c r="N356" i="7"/>
  <c r="L356" i="7"/>
  <c r="K356" i="7"/>
  <c r="J356" i="7"/>
  <c r="I356" i="7"/>
  <c r="P356" i="7"/>
  <c r="H356" i="7"/>
  <c r="S355" i="7"/>
  <c r="Q355" i="7"/>
  <c r="O355" i="7"/>
  <c r="M355" i="7"/>
  <c r="N355" i="7"/>
  <c r="L355" i="7"/>
  <c r="K355" i="7"/>
  <c r="J355" i="7"/>
  <c r="I355" i="7"/>
  <c r="P355" i="7"/>
  <c r="H355" i="7"/>
  <c r="S354" i="7"/>
  <c r="U355" i="7"/>
  <c r="Q354" i="7"/>
  <c r="O354" i="7"/>
  <c r="M354" i="7"/>
  <c r="N354" i="7"/>
  <c r="L354" i="7"/>
  <c r="K354" i="7"/>
  <c r="J354" i="7"/>
  <c r="I354" i="7"/>
  <c r="P354" i="7"/>
  <c r="H354" i="7"/>
  <c r="S353" i="7"/>
  <c r="U354" i="7"/>
  <c r="Q353" i="7"/>
  <c r="O353" i="7"/>
  <c r="M353" i="7"/>
  <c r="N353" i="7"/>
  <c r="L353" i="7"/>
  <c r="K353" i="7"/>
  <c r="J353" i="7"/>
  <c r="I353" i="7"/>
  <c r="P353" i="7"/>
  <c r="H353" i="7"/>
  <c r="S352" i="7"/>
  <c r="Q352" i="7"/>
  <c r="O352" i="7"/>
  <c r="M352" i="7"/>
  <c r="N352" i="7"/>
  <c r="L352" i="7"/>
  <c r="K352" i="7"/>
  <c r="J352" i="7"/>
  <c r="I352" i="7"/>
  <c r="P352" i="7"/>
  <c r="H352" i="7"/>
  <c r="S351" i="7"/>
  <c r="Q351" i="7"/>
  <c r="O351" i="7"/>
  <c r="M351" i="7"/>
  <c r="N351" i="7"/>
  <c r="L351" i="7"/>
  <c r="K351" i="7"/>
  <c r="J351" i="7"/>
  <c r="I351" i="7"/>
  <c r="P351" i="7"/>
  <c r="H351" i="7"/>
  <c r="S350" i="7"/>
  <c r="Q350" i="7"/>
  <c r="O350" i="7"/>
  <c r="M350" i="7"/>
  <c r="N350" i="7"/>
  <c r="L350" i="7"/>
  <c r="K350" i="7"/>
  <c r="J350" i="7"/>
  <c r="I350" i="7"/>
  <c r="P350" i="7"/>
  <c r="H350" i="7"/>
  <c r="S349" i="7"/>
  <c r="U350" i="7"/>
  <c r="Q349" i="7"/>
  <c r="O349" i="7"/>
  <c r="M349" i="7"/>
  <c r="N349" i="7"/>
  <c r="L349" i="7"/>
  <c r="K349" i="7"/>
  <c r="J349" i="7"/>
  <c r="I349" i="7"/>
  <c r="P349" i="7"/>
  <c r="H349" i="7"/>
  <c r="S348" i="7"/>
  <c r="Q348" i="7"/>
  <c r="O348" i="7"/>
  <c r="M348" i="7"/>
  <c r="N348" i="7"/>
  <c r="L348" i="7"/>
  <c r="K348" i="7"/>
  <c r="J348" i="7"/>
  <c r="I348" i="7"/>
  <c r="P348" i="7"/>
  <c r="H348" i="7"/>
  <c r="S347" i="7"/>
  <c r="Q347" i="7"/>
  <c r="O347" i="7"/>
  <c r="M347" i="7"/>
  <c r="N347" i="7"/>
  <c r="L347" i="7"/>
  <c r="K347" i="7"/>
  <c r="J347" i="7"/>
  <c r="I347" i="7"/>
  <c r="P347" i="7"/>
  <c r="H347" i="7"/>
  <c r="S346" i="7"/>
  <c r="U347" i="7"/>
  <c r="Q346" i="7"/>
  <c r="O346" i="7"/>
  <c r="M346" i="7"/>
  <c r="N346" i="7"/>
  <c r="L346" i="7"/>
  <c r="K346" i="7"/>
  <c r="J346" i="7"/>
  <c r="I346" i="7"/>
  <c r="P346" i="7"/>
  <c r="H346" i="7"/>
  <c r="S345" i="7"/>
  <c r="U346" i="7"/>
  <c r="Q345" i="7"/>
  <c r="O345" i="7"/>
  <c r="M345" i="7"/>
  <c r="N345" i="7"/>
  <c r="L345" i="7"/>
  <c r="K345" i="7"/>
  <c r="J345" i="7"/>
  <c r="I345" i="7"/>
  <c r="P345" i="7"/>
  <c r="H345" i="7"/>
  <c r="S344" i="7"/>
  <c r="U345" i="7"/>
  <c r="Q344" i="7"/>
  <c r="O344" i="7"/>
  <c r="M344" i="7"/>
  <c r="N344" i="7"/>
  <c r="L344" i="7"/>
  <c r="K344" i="7"/>
  <c r="J344" i="7"/>
  <c r="I344" i="7"/>
  <c r="P344" i="7"/>
  <c r="H344" i="7"/>
  <c r="S343" i="7"/>
  <c r="Q343" i="7"/>
  <c r="O343" i="7"/>
  <c r="M343" i="7"/>
  <c r="N343" i="7"/>
  <c r="L343" i="7"/>
  <c r="K343" i="7"/>
  <c r="J343" i="7"/>
  <c r="I343" i="7"/>
  <c r="P343" i="7"/>
  <c r="H343" i="7"/>
  <c r="S342" i="7"/>
  <c r="Q342" i="7"/>
  <c r="O342" i="7"/>
  <c r="M342" i="7"/>
  <c r="N342" i="7"/>
  <c r="L342" i="7"/>
  <c r="K342" i="7"/>
  <c r="J342" i="7"/>
  <c r="I342" i="7"/>
  <c r="P342" i="7"/>
  <c r="H342" i="7"/>
  <c r="S341" i="7"/>
  <c r="U342" i="7"/>
  <c r="Q341" i="7"/>
  <c r="O341" i="7"/>
  <c r="M341" i="7"/>
  <c r="N341" i="7"/>
  <c r="L341" i="7"/>
  <c r="K341" i="7"/>
  <c r="J341" i="7"/>
  <c r="I341" i="7"/>
  <c r="P341" i="7"/>
  <c r="H341" i="7"/>
  <c r="S340" i="7"/>
  <c r="Q340" i="7"/>
  <c r="O340" i="7"/>
  <c r="M340" i="7"/>
  <c r="N340" i="7"/>
  <c r="L340" i="7"/>
  <c r="K340" i="7"/>
  <c r="J340" i="7"/>
  <c r="I340" i="7"/>
  <c r="P340" i="7"/>
  <c r="H340" i="7"/>
  <c r="S339" i="7"/>
  <c r="Q339" i="7"/>
  <c r="O339" i="7"/>
  <c r="M339" i="7"/>
  <c r="N339" i="7"/>
  <c r="L339" i="7"/>
  <c r="K339" i="7"/>
  <c r="J339" i="7"/>
  <c r="I339" i="7"/>
  <c r="P339" i="7"/>
  <c r="H339" i="7"/>
  <c r="S338" i="7"/>
  <c r="U339" i="7"/>
  <c r="Q338" i="7"/>
  <c r="O338" i="7"/>
  <c r="M338" i="7"/>
  <c r="N338" i="7"/>
  <c r="L338" i="7"/>
  <c r="K338" i="7"/>
  <c r="J338" i="7"/>
  <c r="I338" i="7"/>
  <c r="P338" i="7"/>
  <c r="H338" i="7"/>
  <c r="S337" i="7"/>
  <c r="U338" i="7"/>
  <c r="Q337" i="7"/>
  <c r="O337" i="7"/>
  <c r="M337" i="7"/>
  <c r="N337" i="7"/>
  <c r="L337" i="7"/>
  <c r="K337" i="7"/>
  <c r="J337" i="7"/>
  <c r="I337" i="7"/>
  <c r="P337" i="7"/>
  <c r="H337" i="7"/>
  <c r="S336" i="7"/>
  <c r="Q336" i="7"/>
  <c r="O336" i="7"/>
  <c r="M336" i="7"/>
  <c r="N336" i="7"/>
  <c r="L336" i="7"/>
  <c r="K336" i="7"/>
  <c r="J336" i="7"/>
  <c r="I336" i="7"/>
  <c r="P336" i="7"/>
  <c r="H336" i="7"/>
  <c r="S335" i="7"/>
  <c r="Q335" i="7"/>
  <c r="O335" i="7"/>
  <c r="M335" i="7"/>
  <c r="N335" i="7"/>
  <c r="L335" i="7"/>
  <c r="K335" i="7"/>
  <c r="J335" i="7"/>
  <c r="I335" i="7"/>
  <c r="P335" i="7"/>
  <c r="H335" i="7"/>
  <c r="S334" i="7"/>
  <c r="Q334" i="7"/>
  <c r="O334" i="7"/>
  <c r="M334" i="7"/>
  <c r="N334" i="7"/>
  <c r="L334" i="7"/>
  <c r="K334" i="7"/>
  <c r="J334" i="7"/>
  <c r="I334" i="7"/>
  <c r="P334" i="7"/>
  <c r="H334" i="7"/>
  <c r="S333" i="7"/>
  <c r="Q333" i="7"/>
  <c r="O333" i="7"/>
  <c r="M333" i="7"/>
  <c r="N333" i="7"/>
  <c r="L333" i="7"/>
  <c r="K333" i="7"/>
  <c r="J333" i="7"/>
  <c r="I333" i="7"/>
  <c r="P333" i="7"/>
  <c r="H333" i="7"/>
  <c r="S332" i="7"/>
  <c r="U333" i="7"/>
  <c r="Q332" i="7"/>
  <c r="O332" i="7"/>
  <c r="M332" i="7"/>
  <c r="N332" i="7"/>
  <c r="L332" i="7"/>
  <c r="K332" i="7"/>
  <c r="J332" i="7"/>
  <c r="I332" i="7"/>
  <c r="P332" i="7"/>
  <c r="H332" i="7"/>
  <c r="S331" i="7"/>
  <c r="Q331" i="7"/>
  <c r="O331" i="7"/>
  <c r="M331" i="7"/>
  <c r="N331" i="7"/>
  <c r="L331" i="7"/>
  <c r="K331" i="7"/>
  <c r="J331" i="7"/>
  <c r="I331" i="7"/>
  <c r="P331" i="7"/>
  <c r="H331" i="7"/>
  <c r="S330" i="7"/>
  <c r="U331" i="7"/>
  <c r="Q330" i="7"/>
  <c r="O330" i="7"/>
  <c r="M330" i="7"/>
  <c r="N330" i="7"/>
  <c r="L330" i="7"/>
  <c r="K330" i="7"/>
  <c r="J330" i="7"/>
  <c r="I330" i="7"/>
  <c r="P330" i="7"/>
  <c r="H330" i="7"/>
  <c r="S329" i="7"/>
  <c r="U330" i="7"/>
  <c r="Q329" i="7"/>
  <c r="O329" i="7"/>
  <c r="M329" i="7"/>
  <c r="N329" i="7"/>
  <c r="L329" i="7"/>
  <c r="K329" i="7"/>
  <c r="J329" i="7"/>
  <c r="I329" i="7"/>
  <c r="P329" i="7"/>
  <c r="H329" i="7"/>
  <c r="S328" i="7"/>
  <c r="Q328" i="7"/>
  <c r="O328" i="7"/>
  <c r="M328" i="7"/>
  <c r="N328" i="7"/>
  <c r="L328" i="7"/>
  <c r="K328" i="7"/>
  <c r="J328" i="7"/>
  <c r="I328" i="7"/>
  <c r="P328" i="7"/>
  <c r="H328" i="7"/>
  <c r="S327" i="7"/>
  <c r="Q327" i="7"/>
  <c r="O327" i="7"/>
  <c r="M327" i="7"/>
  <c r="N327" i="7"/>
  <c r="L327" i="7"/>
  <c r="K327" i="7"/>
  <c r="J327" i="7"/>
  <c r="I327" i="7"/>
  <c r="P327" i="7"/>
  <c r="H327" i="7"/>
  <c r="S326" i="7"/>
  <c r="Q326" i="7"/>
  <c r="O326" i="7"/>
  <c r="M326" i="7"/>
  <c r="N326" i="7"/>
  <c r="L326" i="7"/>
  <c r="K326" i="7"/>
  <c r="J326" i="7"/>
  <c r="I326" i="7"/>
  <c r="P326" i="7"/>
  <c r="H326" i="7"/>
  <c r="S325" i="7"/>
  <c r="U326" i="7"/>
  <c r="Q325" i="7"/>
  <c r="O325" i="7"/>
  <c r="M325" i="7"/>
  <c r="N325" i="7"/>
  <c r="L325" i="7"/>
  <c r="K325" i="7"/>
  <c r="J325" i="7"/>
  <c r="I325" i="7"/>
  <c r="P325" i="7"/>
  <c r="H325" i="7"/>
  <c r="S324" i="7"/>
  <c r="Q324" i="7"/>
  <c r="O324" i="7"/>
  <c r="M324" i="7"/>
  <c r="N324" i="7"/>
  <c r="L324" i="7"/>
  <c r="K324" i="7"/>
  <c r="J324" i="7"/>
  <c r="I324" i="7"/>
  <c r="P324" i="7"/>
  <c r="H324" i="7"/>
  <c r="S323" i="7"/>
  <c r="U324" i="7"/>
  <c r="Q323" i="7"/>
  <c r="O323" i="7"/>
  <c r="M323" i="7"/>
  <c r="N323" i="7"/>
  <c r="L323" i="7"/>
  <c r="K323" i="7"/>
  <c r="J323" i="7"/>
  <c r="I323" i="7"/>
  <c r="P323" i="7"/>
  <c r="H323" i="7"/>
  <c r="S322" i="7"/>
  <c r="U323" i="7"/>
  <c r="Q322" i="7"/>
  <c r="O322" i="7"/>
  <c r="M322" i="7"/>
  <c r="N322" i="7"/>
  <c r="L322" i="7"/>
  <c r="K322" i="7"/>
  <c r="J322" i="7"/>
  <c r="I322" i="7"/>
  <c r="P322" i="7"/>
  <c r="H322" i="7"/>
  <c r="S321" i="7"/>
  <c r="Q321" i="7"/>
  <c r="O321" i="7"/>
  <c r="M321" i="7"/>
  <c r="N321" i="7"/>
  <c r="L321" i="7"/>
  <c r="K321" i="7"/>
  <c r="J321" i="7"/>
  <c r="I321" i="7"/>
  <c r="P321" i="7"/>
  <c r="H321" i="7"/>
  <c r="S320" i="7"/>
  <c r="U321" i="7"/>
  <c r="Q320" i="7"/>
  <c r="O320" i="7"/>
  <c r="M320" i="7"/>
  <c r="N320" i="7"/>
  <c r="L320" i="7"/>
  <c r="K320" i="7"/>
  <c r="J320" i="7"/>
  <c r="I320" i="7"/>
  <c r="P320" i="7"/>
  <c r="H320" i="7"/>
  <c r="S319" i="7"/>
  <c r="U320" i="7"/>
  <c r="Q319" i="7"/>
  <c r="O319" i="7"/>
  <c r="M319" i="7"/>
  <c r="N319" i="7"/>
  <c r="L319" i="7"/>
  <c r="K319" i="7"/>
  <c r="J319" i="7"/>
  <c r="I319" i="7"/>
  <c r="P319" i="7"/>
  <c r="H319" i="7"/>
  <c r="S318" i="7"/>
  <c r="Q318" i="7"/>
  <c r="O318" i="7"/>
  <c r="M318" i="7"/>
  <c r="N318" i="7"/>
  <c r="L318" i="7"/>
  <c r="K318" i="7"/>
  <c r="J318" i="7"/>
  <c r="I318" i="7"/>
  <c r="P318" i="7"/>
  <c r="H318" i="7"/>
  <c r="S317" i="7"/>
  <c r="U318" i="7"/>
  <c r="Q317" i="7"/>
  <c r="O317" i="7"/>
  <c r="M317" i="7"/>
  <c r="N317" i="7"/>
  <c r="L317" i="7"/>
  <c r="K317" i="7"/>
  <c r="J317" i="7"/>
  <c r="I317" i="7"/>
  <c r="P317" i="7"/>
  <c r="H317" i="7"/>
  <c r="S316" i="7"/>
  <c r="Q316" i="7"/>
  <c r="O316" i="7"/>
  <c r="M316" i="7"/>
  <c r="N316" i="7"/>
  <c r="L316" i="7"/>
  <c r="K316" i="7"/>
  <c r="J316" i="7"/>
  <c r="I316" i="7"/>
  <c r="P316" i="7"/>
  <c r="H316" i="7"/>
  <c r="S315" i="7"/>
  <c r="U316" i="7"/>
  <c r="Q315" i="7"/>
  <c r="O315" i="7"/>
  <c r="M315" i="7"/>
  <c r="N315" i="7"/>
  <c r="L315" i="7"/>
  <c r="K315" i="7"/>
  <c r="J315" i="7"/>
  <c r="I315" i="7"/>
  <c r="P315" i="7"/>
  <c r="H315" i="7"/>
  <c r="S314" i="7"/>
  <c r="U315" i="7"/>
  <c r="Q314" i="7"/>
  <c r="O314" i="7"/>
  <c r="M314" i="7"/>
  <c r="N314" i="7"/>
  <c r="L314" i="7"/>
  <c r="K314" i="7"/>
  <c r="J314" i="7"/>
  <c r="I314" i="7"/>
  <c r="P314" i="7"/>
  <c r="H314" i="7"/>
  <c r="S313" i="7"/>
  <c r="Q313" i="7"/>
  <c r="O313" i="7"/>
  <c r="M313" i="7"/>
  <c r="N313" i="7"/>
  <c r="L313" i="7"/>
  <c r="K313" i="7"/>
  <c r="J313" i="7"/>
  <c r="I313" i="7"/>
  <c r="P313" i="7"/>
  <c r="H313" i="7"/>
  <c r="S312" i="7"/>
  <c r="Q312" i="7"/>
  <c r="O312" i="7"/>
  <c r="M312" i="7"/>
  <c r="N312" i="7"/>
  <c r="L312" i="7"/>
  <c r="K312" i="7"/>
  <c r="J312" i="7"/>
  <c r="I312" i="7"/>
  <c r="P312" i="7"/>
  <c r="H312" i="7"/>
  <c r="S311" i="7"/>
  <c r="U312" i="7"/>
  <c r="Q311" i="7"/>
  <c r="O311" i="7"/>
  <c r="M311" i="7"/>
  <c r="N311" i="7"/>
  <c r="L311" i="7"/>
  <c r="K311" i="7"/>
  <c r="J311" i="7"/>
  <c r="I311" i="7"/>
  <c r="P311" i="7"/>
  <c r="H311" i="7"/>
  <c r="S310" i="7"/>
  <c r="Q310" i="7"/>
  <c r="O310" i="7"/>
  <c r="M310" i="7"/>
  <c r="N310" i="7"/>
  <c r="L310" i="7"/>
  <c r="K310" i="7"/>
  <c r="J310" i="7"/>
  <c r="I310" i="7"/>
  <c r="P310" i="7"/>
  <c r="H310" i="7"/>
  <c r="S309" i="7"/>
  <c r="Q309" i="7"/>
  <c r="O309" i="7"/>
  <c r="M309" i="7"/>
  <c r="N309" i="7"/>
  <c r="L309" i="7"/>
  <c r="K309" i="7"/>
  <c r="J309" i="7"/>
  <c r="I309" i="7"/>
  <c r="P309" i="7"/>
  <c r="H309" i="7"/>
  <c r="S308" i="7"/>
  <c r="Q308" i="7"/>
  <c r="O308" i="7"/>
  <c r="M308" i="7"/>
  <c r="N308" i="7"/>
  <c r="L308" i="7"/>
  <c r="K308" i="7"/>
  <c r="J308" i="7"/>
  <c r="I308" i="7"/>
  <c r="P308" i="7"/>
  <c r="H308" i="7"/>
  <c r="S307" i="7"/>
  <c r="U308" i="7"/>
  <c r="Q307" i="7"/>
  <c r="O307" i="7"/>
  <c r="M307" i="7"/>
  <c r="N307" i="7"/>
  <c r="L307" i="7"/>
  <c r="K307" i="7"/>
  <c r="J307" i="7"/>
  <c r="I307" i="7"/>
  <c r="P307" i="7"/>
  <c r="H307" i="7"/>
  <c r="S306" i="7"/>
  <c r="U307" i="7"/>
  <c r="Q306" i="7"/>
  <c r="O306" i="7"/>
  <c r="M306" i="7"/>
  <c r="N306" i="7"/>
  <c r="L306" i="7"/>
  <c r="K306" i="7"/>
  <c r="J306" i="7"/>
  <c r="I306" i="7"/>
  <c r="P306" i="7"/>
  <c r="H306" i="7"/>
  <c r="S305" i="7"/>
  <c r="U306" i="7"/>
  <c r="Q305" i="7"/>
  <c r="O305" i="7"/>
  <c r="M305" i="7"/>
  <c r="N305" i="7"/>
  <c r="L305" i="7"/>
  <c r="K305" i="7"/>
  <c r="J305" i="7"/>
  <c r="I305" i="7"/>
  <c r="P305" i="7"/>
  <c r="H305" i="7"/>
  <c r="S304" i="7"/>
  <c r="U305" i="7"/>
  <c r="Q304" i="7"/>
  <c r="O304" i="7"/>
  <c r="M304" i="7"/>
  <c r="N304" i="7"/>
  <c r="L304" i="7"/>
  <c r="K304" i="7"/>
  <c r="J304" i="7"/>
  <c r="I304" i="7"/>
  <c r="P304" i="7"/>
  <c r="H304" i="7"/>
  <c r="S303" i="7"/>
  <c r="U304" i="7"/>
  <c r="Q303" i="7"/>
  <c r="O303" i="7"/>
  <c r="M303" i="7"/>
  <c r="N303" i="7"/>
  <c r="L303" i="7"/>
  <c r="K303" i="7"/>
  <c r="J303" i="7"/>
  <c r="I303" i="7"/>
  <c r="P303" i="7"/>
  <c r="H303" i="7"/>
  <c r="S302" i="7"/>
  <c r="Q302" i="7"/>
  <c r="O302" i="7"/>
  <c r="M302" i="7"/>
  <c r="N302" i="7"/>
  <c r="L302" i="7"/>
  <c r="K302" i="7"/>
  <c r="J302" i="7"/>
  <c r="I302" i="7"/>
  <c r="P302" i="7"/>
  <c r="H302" i="7"/>
  <c r="S301" i="7"/>
  <c r="Q301" i="7"/>
  <c r="O301" i="7"/>
  <c r="M301" i="7"/>
  <c r="N301" i="7"/>
  <c r="L301" i="7"/>
  <c r="K301" i="7"/>
  <c r="J301" i="7"/>
  <c r="I301" i="7"/>
  <c r="P301" i="7"/>
  <c r="H301" i="7"/>
  <c r="S300" i="7"/>
  <c r="U301" i="7"/>
  <c r="Q300" i="7"/>
  <c r="O300" i="7"/>
  <c r="M300" i="7"/>
  <c r="N300" i="7"/>
  <c r="L300" i="7"/>
  <c r="K300" i="7"/>
  <c r="J300" i="7"/>
  <c r="I300" i="7"/>
  <c r="P300" i="7"/>
  <c r="H300" i="7"/>
  <c r="S299" i="7"/>
  <c r="U300" i="7"/>
  <c r="Q299" i="7"/>
  <c r="O299" i="7"/>
  <c r="M299" i="7"/>
  <c r="N299" i="7"/>
  <c r="L299" i="7"/>
  <c r="K299" i="7"/>
  <c r="J299" i="7"/>
  <c r="I299" i="7"/>
  <c r="P299" i="7"/>
  <c r="H299" i="7"/>
  <c r="S298" i="7"/>
  <c r="U299" i="7"/>
  <c r="Q298" i="7"/>
  <c r="O298" i="7"/>
  <c r="M298" i="7"/>
  <c r="N298" i="7"/>
  <c r="L298" i="7"/>
  <c r="K298" i="7"/>
  <c r="J298" i="7"/>
  <c r="I298" i="7"/>
  <c r="P298" i="7"/>
  <c r="H298" i="7"/>
  <c r="S297" i="7"/>
  <c r="U298" i="7"/>
  <c r="Q297" i="7"/>
  <c r="O297" i="7"/>
  <c r="M297" i="7"/>
  <c r="N297" i="7"/>
  <c r="L297" i="7"/>
  <c r="K297" i="7"/>
  <c r="J297" i="7"/>
  <c r="I297" i="7"/>
  <c r="P297" i="7"/>
  <c r="H297" i="7"/>
  <c r="S296" i="7"/>
  <c r="Q296" i="7"/>
  <c r="O296" i="7"/>
  <c r="M296" i="7"/>
  <c r="N296" i="7"/>
  <c r="L296" i="7"/>
  <c r="K296" i="7"/>
  <c r="J296" i="7"/>
  <c r="I296" i="7"/>
  <c r="P296" i="7"/>
  <c r="H296" i="7"/>
  <c r="S295" i="7"/>
  <c r="U296" i="7"/>
  <c r="Q295" i="7"/>
  <c r="O295" i="7"/>
  <c r="M295" i="7"/>
  <c r="N295" i="7"/>
  <c r="L295" i="7"/>
  <c r="K295" i="7"/>
  <c r="J295" i="7"/>
  <c r="I295" i="7"/>
  <c r="P295" i="7"/>
  <c r="H295" i="7"/>
  <c r="S294" i="7"/>
  <c r="Q294" i="7"/>
  <c r="O294" i="7"/>
  <c r="M294" i="7"/>
  <c r="N294" i="7"/>
  <c r="L294" i="7"/>
  <c r="K294" i="7"/>
  <c r="J294" i="7"/>
  <c r="I294" i="7"/>
  <c r="P294" i="7"/>
  <c r="H294" i="7"/>
  <c r="S293" i="7"/>
  <c r="Q293" i="7"/>
  <c r="O293" i="7"/>
  <c r="M293" i="7"/>
  <c r="N293" i="7"/>
  <c r="L293" i="7"/>
  <c r="K293" i="7"/>
  <c r="J293" i="7"/>
  <c r="I293" i="7"/>
  <c r="P293" i="7"/>
  <c r="H293" i="7"/>
  <c r="S292" i="7"/>
  <c r="U293" i="7"/>
  <c r="Q292" i="7"/>
  <c r="O292" i="7"/>
  <c r="M292" i="7"/>
  <c r="N292" i="7"/>
  <c r="L292" i="7"/>
  <c r="K292" i="7"/>
  <c r="J292" i="7"/>
  <c r="I292" i="7"/>
  <c r="P292" i="7"/>
  <c r="H292" i="7"/>
  <c r="S291" i="7"/>
  <c r="U292" i="7"/>
  <c r="Q291" i="7"/>
  <c r="O291" i="7"/>
  <c r="M291" i="7"/>
  <c r="N291" i="7"/>
  <c r="L291" i="7"/>
  <c r="K291" i="7"/>
  <c r="J291" i="7"/>
  <c r="I291" i="7"/>
  <c r="P291" i="7"/>
  <c r="H291" i="7"/>
  <c r="S290" i="7"/>
  <c r="U291" i="7"/>
  <c r="Q290" i="7"/>
  <c r="O290" i="7"/>
  <c r="M290" i="7"/>
  <c r="N290" i="7"/>
  <c r="L290" i="7"/>
  <c r="K290" i="7"/>
  <c r="J290" i="7"/>
  <c r="I290" i="7"/>
  <c r="P290" i="7"/>
  <c r="H290" i="7"/>
  <c r="S289" i="7"/>
  <c r="Q289" i="7"/>
  <c r="O289" i="7"/>
  <c r="M289" i="7"/>
  <c r="N289" i="7"/>
  <c r="L289" i="7"/>
  <c r="K289" i="7"/>
  <c r="J289" i="7"/>
  <c r="I289" i="7"/>
  <c r="P289" i="7"/>
  <c r="H289" i="7"/>
  <c r="S288" i="7"/>
  <c r="U289" i="7"/>
  <c r="Q288" i="7"/>
  <c r="O288" i="7"/>
  <c r="M288" i="7"/>
  <c r="N288" i="7"/>
  <c r="L288" i="7"/>
  <c r="K288" i="7"/>
  <c r="J288" i="7"/>
  <c r="I288" i="7"/>
  <c r="P288" i="7"/>
  <c r="H288" i="7"/>
  <c r="S287" i="7"/>
  <c r="U288" i="7"/>
  <c r="Q287" i="7"/>
  <c r="O287" i="7"/>
  <c r="M287" i="7"/>
  <c r="N287" i="7"/>
  <c r="L287" i="7"/>
  <c r="K287" i="7"/>
  <c r="J287" i="7"/>
  <c r="I287" i="7"/>
  <c r="P287" i="7"/>
  <c r="H287" i="7"/>
  <c r="S286" i="7"/>
  <c r="Q286" i="7"/>
  <c r="O286" i="7"/>
  <c r="M286" i="7"/>
  <c r="N286" i="7"/>
  <c r="L286" i="7"/>
  <c r="K286" i="7"/>
  <c r="J286" i="7"/>
  <c r="I286" i="7"/>
  <c r="P286" i="7"/>
  <c r="H286" i="7"/>
  <c r="S285" i="7"/>
  <c r="U286" i="7"/>
  <c r="Q285" i="7"/>
  <c r="O285" i="7"/>
  <c r="M285" i="7"/>
  <c r="N285" i="7"/>
  <c r="L285" i="7"/>
  <c r="K285" i="7"/>
  <c r="J285" i="7"/>
  <c r="I285" i="7"/>
  <c r="P285" i="7"/>
  <c r="H285" i="7"/>
  <c r="S284" i="7"/>
  <c r="Q284" i="7"/>
  <c r="O284" i="7"/>
  <c r="M284" i="7"/>
  <c r="N284" i="7"/>
  <c r="L284" i="7"/>
  <c r="K284" i="7"/>
  <c r="J284" i="7"/>
  <c r="I284" i="7"/>
  <c r="P284" i="7"/>
  <c r="H284" i="7"/>
  <c r="S283" i="7"/>
  <c r="U284" i="7"/>
  <c r="Q283" i="7"/>
  <c r="O283" i="7"/>
  <c r="M283" i="7"/>
  <c r="N283" i="7"/>
  <c r="L283" i="7"/>
  <c r="K283" i="7"/>
  <c r="J283" i="7"/>
  <c r="I283" i="7"/>
  <c r="P283" i="7"/>
  <c r="H283" i="7"/>
  <c r="S282" i="7"/>
  <c r="U283" i="7"/>
  <c r="Q282" i="7"/>
  <c r="O282" i="7"/>
  <c r="M282" i="7"/>
  <c r="N282" i="7"/>
  <c r="L282" i="7"/>
  <c r="K282" i="7"/>
  <c r="J282" i="7"/>
  <c r="I282" i="7"/>
  <c r="P282" i="7"/>
  <c r="H282" i="7"/>
  <c r="S281" i="7"/>
  <c r="Q281" i="7"/>
  <c r="O281" i="7"/>
  <c r="M281" i="7"/>
  <c r="N281" i="7"/>
  <c r="L281" i="7"/>
  <c r="K281" i="7"/>
  <c r="J281" i="7"/>
  <c r="I281" i="7"/>
  <c r="P281" i="7"/>
  <c r="H281" i="7"/>
  <c r="S280" i="7"/>
  <c r="Q280" i="7"/>
  <c r="O280" i="7"/>
  <c r="M280" i="7"/>
  <c r="N280" i="7"/>
  <c r="L280" i="7"/>
  <c r="K280" i="7"/>
  <c r="J280" i="7"/>
  <c r="I280" i="7"/>
  <c r="P280" i="7"/>
  <c r="H280" i="7"/>
  <c r="S279" i="7"/>
  <c r="U280" i="7"/>
  <c r="Q279" i="7"/>
  <c r="O279" i="7"/>
  <c r="M279" i="7"/>
  <c r="N279" i="7"/>
  <c r="L279" i="7"/>
  <c r="K279" i="7"/>
  <c r="J279" i="7"/>
  <c r="I279" i="7"/>
  <c r="P279" i="7"/>
  <c r="H279" i="7"/>
  <c r="S278" i="7"/>
  <c r="Q278" i="7"/>
  <c r="O278" i="7"/>
  <c r="M278" i="7"/>
  <c r="N278" i="7"/>
  <c r="L278" i="7"/>
  <c r="K278" i="7"/>
  <c r="J278" i="7"/>
  <c r="I278" i="7"/>
  <c r="P278" i="7"/>
  <c r="H278" i="7"/>
  <c r="S277" i="7"/>
  <c r="U278" i="7"/>
  <c r="Q277" i="7"/>
  <c r="O277" i="7"/>
  <c r="M277" i="7"/>
  <c r="N277" i="7"/>
  <c r="L277" i="7"/>
  <c r="K277" i="7"/>
  <c r="J277" i="7"/>
  <c r="I277" i="7"/>
  <c r="P277" i="7"/>
  <c r="H277" i="7"/>
  <c r="S276" i="7"/>
  <c r="U277" i="7"/>
  <c r="Q276" i="7"/>
  <c r="O276" i="7"/>
  <c r="M276" i="7"/>
  <c r="N276" i="7"/>
  <c r="L276" i="7"/>
  <c r="K276" i="7"/>
  <c r="J276" i="7"/>
  <c r="I276" i="7"/>
  <c r="P276" i="7"/>
  <c r="H276" i="7"/>
  <c r="S275" i="7"/>
  <c r="U276" i="7"/>
  <c r="Q275" i="7"/>
  <c r="O275" i="7"/>
  <c r="M275" i="7"/>
  <c r="N275" i="7"/>
  <c r="L275" i="7"/>
  <c r="K275" i="7"/>
  <c r="J275" i="7"/>
  <c r="I275" i="7"/>
  <c r="P275" i="7"/>
  <c r="H275" i="7"/>
  <c r="S274" i="7"/>
  <c r="Q274" i="7"/>
  <c r="O274" i="7"/>
  <c r="M274" i="7"/>
  <c r="N274" i="7"/>
  <c r="L274" i="7"/>
  <c r="K274" i="7"/>
  <c r="J274" i="7"/>
  <c r="I274" i="7"/>
  <c r="P274" i="7"/>
  <c r="H274" i="7"/>
  <c r="S273" i="7"/>
  <c r="U274" i="7"/>
  <c r="Q273" i="7"/>
  <c r="O273" i="7"/>
  <c r="M273" i="7"/>
  <c r="N273" i="7"/>
  <c r="L273" i="7"/>
  <c r="K273" i="7"/>
  <c r="J273" i="7"/>
  <c r="I273" i="7"/>
  <c r="P273" i="7"/>
  <c r="H273" i="7"/>
  <c r="S272" i="7"/>
  <c r="Q272" i="7"/>
  <c r="O272" i="7"/>
  <c r="M272" i="7"/>
  <c r="N272" i="7"/>
  <c r="L272" i="7"/>
  <c r="K272" i="7"/>
  <c r="J272" i="7"/>
  <c r="I272" i="7"/>
  <c r="P272" i="7"/>
  <c r="H272" i="7"/>
  <c r="S271" i="7"/>
  <c r="U272" i="7"/>
  <c r="Q271" i="7"/>
  <c r="O271" i="7"/>
  <c r="M271" i="7"/>
  <c r="N271" i="7"/>
  <c r="L271" i="7"/>
  <c r="K271" i="7"/>
  <c r="J271" i="7"/>
  <c r="I271" i="7"/>
  <c r="P271" i="7"/>
  <c r="H271" i="7"/>
  <c r="S270" i="7"/>
  <c r="Q270" i="7"/>
  <c r="O270" i="7"/>
  <c r="M270" i="7"/>
  <c r="N270" i="7"/>
  <c r="L270" i="7"/>
  <c r="K270" i="7"/>
  <c r="J270" i="7"/>
  <c r="I270" i="7"/>
  <c r="P270" i="7"/>
  <c r="H270" i="7"/>
  <c r="S269" i="7"/>
  <c r="U270" i="7"/>
  <c r="Q269" i="7"/>
  <c r="O269" i="7"/>
  <c r="M269" i="7"/>
  <c r="N269" i="7"/>
  <c r="L269" i="7"/>
  <c r="K269" i="7"/>
  <c r="J269" i="7"/>
  <c r="I269" i="7"/>
  <c r="P269" i="7"/>
  <c r="H269" i="7"/>
  <c r="S268" i="7"/>
  <c r="Q268" i="7"/>
  <c r="O268" i="7"/>
  <c r="M268" i="7"/>
  <c r="N268" i="7"/>
  <c r="L268" i="7"/>
  <c r="K268" i="7"/>
  <c r="J268" i="7"/>
  <c r="I268" i="7"/>
  <c r="P268" i="7"/>
  <c r="H268" i="7"/>
  <c r="S267" i="7"/>
  <c r="Q267" i="7"/>
  <c r="O267" i="7"/>
  <c r="M267" i="7"/>
  <c r="N267" i="7"/>
  <c r="L267" i="7"/>
  <c r="K267" i="7"/>
  <c r="J267" i="7"/>
  <c r="I267" i="7"/>
  <c r="P267" i="7"/>
  <c r="H267" i="7"/>
  <c r="S266" i="7"/>
  <c r="U267" i="7"/>
  <c r="Q266" i="7"/>
  <c r="O266" i="7"/>
  <c r="M266" i="7"/>
  <c r="N266" i="7"/>
  <c r="L266" i="7"/>
  <c r="K266" i="7"/>
  <c r="J266" i="7"/>
  <c r="I266" i="7"/>
  <c r="P266" i="7"/>
  <c r="H266" i="7"/>
  <c r="S265" i="7"/>
  <c r="U266" i="7"/>
  <c r="Q265" i="7"/>
  <c r="O265" i="7"/>
  <c r="M265" i="7"/>
  <c r="N265" i="7"/>
  <c r="L265" i="7"/>
  <c r="K265" i="7"/>
  <c r="J265" i="7"/>
  <c r="I265" i="7"/>
  <c r="P265" i="7"/>
  <c r="H265" i="7"/>
  <c r="S264" i="7"/>
  <c r="U265" i="7"/>
  <c r="Q264" i="7"/>
  <c r="O264" i="7"/>
  <c r="M264" i="7"/>
  <c r="N264" i="7"/>
  <c r="L264" i="7"/>
  <c r="K264" i="7"/>
  <c r="J264" i="7"/>
  <c r="I264" i="7"/>
  <c r="P264" i="7"/>
  <c r="H264" i="7"/>
  <c r="S263" i="7"/>
  <c r="U264" i="7"/>
  <c r="Q263" i="7"/>
  <c r="O263" i="7"/>
  <c r="M263" i="7"/>
  <c r="N263" i="7"/>
  <c r="L263" i="7"/>
  <c r="K263" i="7"/>
  <c r="J263" i="7"/>
  <c r="I263" i="7"/>
  <c r="P263" i="7"/>
  <c r="H263" i="7"/>
  <c r="S262" i="7"/>
  <c r="Q262" i="7"/>
  <c r="O262" i="7"/>
  <c r="M262" i="7"/>
  <c r="N262" i="7"/>
  <c r="L262" i="7"/>
  <c r="K262" i="7"/>
  <c r="J262" i="7"/>
  <c r="I262" i="7"/>
  <c r="P262" i="7"/>
  <c r="H262" i="7"/>
  <c r="S261" i="7"/>
  <c r="U262" i="7"/>
  <c r="Q261" i="7"/>
  <c r="O261" i="7"/>
  <c r="M261" i="7"/>
  <c r="N261" i="7"/>
  <c r="L261" i="7"/>
  <c r="K261" i="7"/>
  <c r="J261" i="7"/>
  <c r="I261" i="7"/>
  <c r="P261" i="7"/>
  <c r="H261" i="7"/>
  <c r="S260" i="7"/>
  <c r="U261" i="7"/>
  <c r="Q260" i="7"/>
  <c r="O260" i="7"/>
  <c r="M260" i="7"/>
  <c r="N260" i="7"/>
  <c r="L260" i="7"/>
  <c r="K260" i="7"/>
  <c r="J260" i="7"/>
  <c r="I260" i="7"/>
  <c r="P260" i="7"/>
  <c r="H260" i="7"/>
  <c r="S259" i="7"/>
  <c r="U260" i="7"/>
  <c r="Q259" i="7"/>
  <c r="O259" i="7"/>
  <c r="M259" i="7"/>
  <c r="N259" i="7"/>
  <c r="L259" i="7"/>
  <c r="K259" i="7"/>
  <c r="J259" i="7"/>
  <c r="I259" i="7"/>
  <c r="P259" i="7"/>
  <c r="H259" i="7"/>
  <c r="S258" i="7"/>
  <c r="U259" i="7"/>
  <c r="Q258" i="7"/>
  <c r="O258" i="7"/>
  <c r="M258" i="7"/>
  <c r="N258" i="7"/>
  <c r="L258" i="7"/>
  <c r="K258" i="7"/>
  <c r="J258" i="7"/>
  <c r="I258" i="7"/>
  <c r="P258" i="7"/>
  <c r="H258" i="7"/>
  <c r="S257" i="7"/>
  <c r="U258" i="7"/>
  <c r="Q257" i="7"/>
  <c r="O257" i="7"/>
  <c r="M257" i="7"/>
  <c r="N257" i="7"/>
  <c r="L257" i="7"/>
  <c r="K257" i="7"/>
  <c r="J257" i="7"/>
  <c r="I257" i="7"/>
  <c r="P257" i="7"/>
  <c r="H257" i="7"/>
  <c r="S256" i="7"/>
  <c r="Q256" i="7"/>
  <c r="O256" i="7"/>
  <c r="M256" i="7"/>
  <c r="N256" i="7"/>
  <c r="L256" i="7"/>
  <c r="K256" i="7"/>
  <c r="J256" i="7"/>
  <c r="I256" i="7"/>
  <c r="P256" i="7"/>
  <c r="H256" i="7"/>
  <c r="S255" i="7"/>
  <c r="U256" i="7"/>
  <c r="Q255" i="7"/>
  <c r="O255" i="7"/>
  <c r="M255" i="7"/>
  <c r="N255" i="7"/>
  <c r="L255" i="7"/>
  <c r="K255" i="7"/>
  <c r="J255" i="7"/>
  <c r="I255" i="7"/>
  <c r="P255" i="7"/>
  <c r="H255" i="7"/>
  <c r="S254" i="7"/>
  <c r="Q254" i="7"/>
  <c r="O254" i="7"/>
  <c r="M254" i="7"/>
  <c r="N254" i="7"/>
  <c r="L254" i="7"/>
  <c r="K254" i="7"/>
  <c r="J254" i="7"/>
  <c r="I254" i="7"/>
  <c r="P254" i="7"/>
  <c r="H254" i="7"/>
  <c r="S253" i="7"/>
  <c r="U254" i="7"/>
  <c r="Q253" i="7"/>
  <c r="O253" i="7"/>
  <c r="M253" i="7"/>
  <c r="N253" i="7"/>
  <c r="L253" i="7"/>
  <c r="K253" i="7"/>
  <c r="J253" i="7"/>
  <c r="I253" i="7"/>
  <c r="P253" i="7"/>
  <c r="H253" i="7"/>
  <c r="S252" i="7"/>
  <c r="Q252" i="7"/>
  <c r="O252" i="7"/>
  <c r="M252" i="7"/>
  <c r="N252" i="7"/>
  <c r="L252" i="7"/>
  <c r="K252" i="7"/>
  <c r="J252" i="7"/>
  <c r="I252" i="7"/>
  <c r="P252" i="7"/>
  <c r="H252" i="7"/>
  <c r="S251" i="7"/>
  <c r="U252" i="7"/>
  <c r="Q251" i="7"/>
  <c r="O251" i="7"/>
  <c r="M251" i="7"/>
  <c r="N251" i="7"/>
  <c r="L251" i="7"/>
  <c r="K251" i="7"/>
  <c r="J251" i="7"/>
  <c r="I251" i="7"/>
  <c r="P251" i="7"/>
  <c r="H251" i="7"/>
  <c r="S250" i="7"/>
  <c r="U251" i="7"/>
  <c r="Q250" i="7"/>
  <c r="O250" i="7"/>
  <c r="M250" i="7"/>
  <c r="N250" i="7"/>
  <c r="L250" i="7"/>
  <c r="K250" i="7"/>
  <c r="J250" i="7"/>
  <c r="I250" i="7"/>
  <c r="P250" i="7"/>
  <c r="H250" i="7"/>
  <c r="S249" i="7"/>
  <c r="U250" i="7"/>
  <c r="Q249" i="7"/>
  <c r="O249" i="7"/>
  <c r="M249" i="7"/>
  <c r="N249" i="7"/>
  <c r="L249" i="7"/>
  <c r="K249" i="7"/>
  <c r="J249" i="7"/>
  <c r="I249" i="7"/>
  <c r="P249" i="7"/>
  <c r="H249" i="7"/>
  <c r="S248" i="7"/>
  <c r="U249" i="7"/>
  <c r="Q248" i="7"/>
  <c r="O248" i="7"/>
  <c r="M248" i="7"/>
  <c r="N248" i="7"/>
  <c r="L248" i="7"/>
  <c r="K248" i="7"/>
  <c r="J248" i="7"/>
  <c r="I248" i="7"/>
  <c r="P248" i="7"/>
  <c r="H248" i="7"/>
  <c r="S247" i="7"/>
  <c r="U248" i="7"/>
  <c r="Q247" i="7"/>
  <c r="O247" i="7"/>
  <c r="M247" i="7"/>
  <c r="N247" i="7"/>
  <c r="L247" i="7"/>
  <c r="K247" i="7"/>
  <c r="J247" i="7"/>
  <c r="I247" i="7"/>
  <c r="P247" i="7"/>
  <c r="H247" i="7"/>
  <c r="S246" i="7"/>
  <c r="Q246" i="7"/>
  <c r="O246" i="7"/>
  <c r="M246" i="7"/>
  <c r="N246" i="7"/>
  <c r="L246" i="7"/>
  <c r="K246" i="7"/>
  <c r="J246" i="7"/>
  <c r="I246" i="7"/>
  <c r="P246" i="7"/>
  <c r="H246" i="7"/>
  <c r="S245" i="7"/>
  <c r="U246" i="7"/>
  <c r="Q245" i="7"/>
  <c r="O245" i="7"/>
  <c r="M245" i="7"/>
  <c r="N245" i="7"/>
  <c r="L245" i="7"/>
  <c r="K245" i="7"/>
  <c r="J245" i="7"/>
  <c r="I245" i="7"/>
  <c r="P245" i="7"/>
  <c r="H245" i="7"/>
  <c r="S244" i="7"/>
  <c r="U245" i="7"/>
  <c r="Q244" i="7"/>
  <c r="O244" i="7"/>
  <c r="M244" i="7"/>
  <c r="N244" i="7"/>
  <c r="L244" i="7"/>
  <c r="K244" i="7"/>
  <c r="J244" i="7"/>
  <c r="I244" i="7"/>
  <c r="P244" i="7"/>
  <c r="H244" i="7"/>
  <c r="S243" i="7"/>
  <c r="U244" i="7"/>
  <c r="Q243" i="7"/>
  <c r="O243" i="7"/>
  <c r="M243" i="7"/>
  <c r="N243" i="7"/>
  <c r="L243" i="7"/>
  <c r="K243" i="7"/>
  <c r="J243" i="7"/>
  <c r="I243" i="7"/>
  <c r="P243" i="7"/>
  <c r="H243" i="7"/>
  <c r="S242" i="7"/>
  <c r="U243" i="7"/>
  <c r="Q242" i="7"/>
  <c r="O242" i="7"/>
  <c r="M242" i="7"/>
  <c r="N242" i="7"/>
  <c r="L242" i="7"/>
  <c r="K242" i="7"/>
  <c r="J242" i="7"/>
  <c r="I242" i="7"/>
  <c r="P242" i="7"/>
  <c r="H242" i="7"/>
  <c r="S241" i="7"/>
  <c r="Q241" i="7"/>
  <c r="O241" i="7"/>
  <c r="M241" i="7"/>
  <c r="N241" i="7"/>
  <c r="L241" i="7"/>
  <c r="K241" i="7"/>
  <c r="J241" i="7"/>
  <c r="I241" i="7"/>
  <c r="P241" i="7"/>
  <c r="H241" i="7"/>
  <c r="S240" i="7"/>
  <c r="U241" i="7"/>
  <c r="Q240" i="7"/>
  <c r="O240" i="7"/>
  <c r="M240" i="7"/>
  <c r="N240" i="7"/>
  <c r="L240" i="7"/>
  <c r="K240" i="7"/>
  <c r="J240" i="7"/>
  <c r="I240" i="7"/>
  <c r="P240" i="7"/>
  <c r="H240" i="7"/>
  <c r="S239" i="7"/>
  <c r="U240" i="7"/>
  <c r="Q239" i="7"/>
  <c r="O239" i="7"/>
  <c r="M239" i="7"/>
  <c r="N239" i="7"/>
  <c r="L239" i="7"/>
  <c r="K239" i="7"/>
  <c r="J239" i="7"/>
  <c r="I239" i="7"/>
  <c r="P239" i="7"/>
  <c r="H239" i="7"/>
  <c r="S238" i="7"/>
  <c r="Q238" i="7"/>
  <c r="O238" i="7"/>
  <c r="M238" i="7"/>
  <c r="N238" i="7"/>
  <c r="L238" i="7"/>
  <c r="K238" i="7"/>
  <c r="J238" i="7"/>
  <c r="I238" i="7"/>
  <c r="P238" i="7"/>
  <c r="H238" i="7"/>
  <c r="S237" i="7"/>
  <c r="U238" i="7"/>
  <c r="Q237" i="7"/>
  <c r="O237" i="7"/>
  <c r="M237" i="7"/>
  <c r="N237" i="7"/>
  <c r="L237" i="7"/>
  <c r="K237" i="7"/>
  <c r="J237" i="7"/>
  <c r="I237" i="7"/>
  <c r="P237" i="7"/>
  <c r="H237" i="7"/>
  <c r="S236" i="7"/>
  <c r="Q236" i="7"/>
  <c r="O236" i="7"/>
  <c r="M236" i="7"/>
  <c r="N236" i="7"/>
  <c r="L236" i="7"/>
  <c r="K236" i="7"/>
  <c r="J236" i="7"/>
  <c r="I236" i="7"/>
  <c r="P236" i="7"/>
  <c r="H236" i="7"/>
  <c r="S235" i="7"/>
  <c r="U236" i="7"/>
  <c r="Q235" i="7"/>
  <c r="O235" i="7"/>
  <c r="M235" i="7"/>
  <c r="N235" i="7"/>
  <c r="L235" i="7"/>
  <c r="K235" i="7"/>
  <c r="J235" i="7"/>
  <c r="I235" i="7"/>
  <c r="P235" i="7"/>
  <c r="H235" i="7"/>
  <c r="S234" i="7"/>
  <c r="U235" i="7"/>
  <c r="Q234" i="7"/>
  <c r="O234" i="7"/>
  <c r="M234" i="7"/>
  <c r="N234" i="7"/>
  <c r="L234" i="7"/>
  <c r="K234" i="7"/>
  <c r="J234" i="7"/>
  <c r="I234" i="7"/>
  <c r="P234" i="7"/>
  <c r="H234" i="7"/>
  <c r="S233" i="7"/>
  <c r="U234" i="7"/>
  <c r="Q233" i="7"/>
  <c r="O233" i="7"/>
  <c r="M233" i="7"/>
  <c r="N233" i="7"/>
  <c r="L233" i="7"/>
  <c r="K233" i="7"/>
  <c r="J233" i="7"/>
  <c r="I233" i="7"/>
  <c r="P233" i="7"/>
  <c r="H233" i="7"/>
  <c r="S232" i="7"/>
  <c r="U233" i="7"/>
  <c r="Q232" i="7"/>
  <c r="O232" i="7"/>
  <c r="M232" i="7"/>
  <c r="N232" i="7"/>
  <c r="L232" i="7"/>
  <c r="K232" i="7"/>
  <c r="J232" i="7"/>
  <c r="I232" i="7"/>
  <c r="P232" i="7"/>
  <c r="H232" i="7"/>
  <c r="S231" i="7"/>
  <c r="U232" i="7"/>
  <c r="Q231" i="7"/>
  <c r="O231" i="7"/>
  <c r="M231" i="7"/>
  <c r="N231" i="7"/>
  <c r="L231" i="7"/>
  <c r="K231" i="7"/>
  <c r="J231" i="7"/>
  <c r="I231" i="7"/>
  <c r="P231" i="7"/>
  <c r="H231" i="7"/>
  <c r="S230" i="7"/>
  <c r="Q230" i="7"/>
  <c r="O230" i="7"/>
  <c r="M230" i="7"/>
  <c r="N230" i="7"/>
  <c r="L230" i="7"/>
  <c r="K230" i="7"/>
  <c r="J230" i="7"/>
  <c r="I230" i="7"/>
  <c r="P230" i="7"/>
  <c r="H230" i="7"/>
  <c r="S229" i="7"/>
  <c r="U230" i="7"/>
  <c r="Q229" i="7"/>
  <c r="O229" i="7"/>
  <c r="M229" i="7"/>
  <c r="N229" i="7"/>
  <c r="L229" i="7"/>
  <c r="K229" i="7"/>
  <c r="J229" i="7"/>
  <c r="I229" i="7"/>
  <c r="P229" i="7"/>
  <c r="H229" i="7"/>
  <c r="S228" i="7"/>
  <c r="Q228" i="7"/>
  <c r="O228" i="7"/>
  <c r="M228" i="7"/>
  <c r="N228" i="7"/>
  <c r="L228" i="7"/>
  <c r="K228" i="7"/>
  <c r="J228" i="7"/>
  <c r="I228" i="7"/>
  <c r="P228" i="7"/>
  <c r="H228" i="7"/>
  <c r="S227" i="7"/>
  <c r="U228" i="7"/>
  <c r="Q227" i="7"/>
  <c r="O227" i="7"/>
  <c r="M227" i="7"/>
  <c r="N227" i="7"/>
  <c r="L227" i="7"/>
  <c r="K227" i="7"/>
  <c r="J227" i="7"/>
  <c r="I227" i="7"/>
  <c r="P227" i="7"/>
  <c r="H227" i="7"/>
  <c r="S226" i="7"/>
  <c r="U227" i="7"/>
  <c r="Q226" i="7"/>
  <c r="O226" i="7"/>
  <c r="M226" i="7"/>
  <c r="N226" i="7"/>
  <c r="L226" i="7"/>
  <c r="K226" i="7"/>
  <c r="J226" i="7"/>
  <c r="I226" i="7"/>
  <c r="P226" i="7"/>
  <c r="H226" i="7"/>
  <c r="S225" i="7"/>
  <c r="U226" i="7"/>
  <c r="Q225" i="7"/>
  <c r="O225" i="7"/>
  <c r="M225" i="7"/>
  <c r="N225" i="7"/>
  <c r="L225" i="7"/>
  <c r="K225" i="7"/>
  <c r="J225" i="7"/>
  <c r="I225" i="7"/>
  <c r="P225" i="7"/>
  <c r="H225" i="7"/>
  <c r="S224" i="7"/>
  <c r="U225" i="7"/>
  <c r="Q224" i="7"/>
  <c r="O224" i="7"/>
  <c r="M224" i="7"/>
  <c r="N224" i="7"/>
  <c r="L224" i="7"/>
  <c r="K224" i="7"/>
  <c r="J224" i="7"/>
  <c r="I224" i="7"/>
  <c r="P224" i="7"/>
  <c r="H224" i="7"/>
  <c r="S223" i="7"/>
  <c r="U224" i="7"/>
  <c r="Q223" i="7"/>
  <c r="O223" i="7"/>
  <c r="M223" i="7"/>
  <c r="N223" i="7"/>
  <c r="L223" i="7"/>
  <c r="K223" i="7"/>
  <c r="J223" i="7"/>
  <c r="I223" i="7"/>
  <c r="P223" i="7"/>
  <c r="H223" i="7"/>
  <c r="S222" i="7"/>
  <c r="Q222" i="7"/>
  <c r="O222" i="7"/>
  <c r="M222" i="7"/>
  <c r="N222" i="7"/>
  <c r="L222" i="7"/>
  <c r="K222" i="7"/>
  <c r="J222" i="7"/>
  <c r="I222" i="7"/>
  <c r="P222" i="7"/>
  <c r="H222" i="7"/>
  <c r="S221" i="7"/>
  <c r="U222" i="7"/>
  <c r="Q221" i="7"/>
  <c r="O221" i="7"/>
  <c r="M221" i="7"/>
  <c r="N221" i="7"/>
  <c r="L221" i="7"/>
  <c r="K221" i="7"/>
  <c r="J221" i="7"/>
  <c r="I221" i="7"/>
  <c r="P221" i="7"/>
  <c r="H221" i="7"/>
  <c r="S220" i="7"/>
  <c r="U221" i="7"/>
  <c r="Q220" i="7"/>
  <c r="O220" i="7"/>
  <c r="M220" i="7"/>
  <c r="N220" i="7"/>
  <c r="L220" i="7"/>
  <c r="K220" i="7"/>
  <c r="J220" i="7"/>
  <c r="I220" i="7"/>
  <c r="P220" i="7"/>
  <c r="H220" i="7"/>
  <c r="S219" i="7"/>
  <c r="U220" i="7"/>
  <c r="Q219" i="7"/>
  <c r="O219" i="7"/>
  <c r="M219" i="7"/>
  <c r="N219" i="7"/>
  <c r="L219" i="7"/>
  <c r="K219" i="7"/>
  <c r="J219" i="7"/>
  <c r="I219" i="7"/>
  <c r="P219" i="7"/>
  <c r="H219" i="7"/>
  <c r="S218" i="7"/>
  <c r="U219" i="7"/>
  <c r="Q218" i="7"/>
  <c r="O218" i="7"/>
  <c r="M218" i="7"/>
  <c r="N218" i="7"/>
  <c r="L218" i="7"/>
  <c r="K218" i="7"/>
  <c r="J218" i="7"/>
  <c r="I218" i="7"/>
  <c r="P218" i="7"/>
  <c r="H218" i="7"/>
  <c r="S217" i="7"/>
  <c r="U218" i="7"/>
  <c r="Q217" i="7"/>
  <c r="O217" i="7"/>
  <c r="M217" i="7"/>
  <c r="N217" i="7"/>
  <c r="L217" i="7"/>
  <c r="K217" i="7"/>
  <c r="J217" i="7"/>
  <c r="I217" i="7"/>
  <c r="P217" i="7"/>
  <c r="H217" i="7"/>
  <c r="S216" i="7"/>
  <c r="U217" i="7"/>
  <c r="Q216" i="7"/>
  <c r="O216" i="7"/>
  <c r="M216" i="7"/>
  <c r="N216" i="7"/>
  <c r="L216" i="7"/>
  <c r="K216" i="7"/>
  <c r="J216" i="7"/>
  <c r="I216" i="7"/>
  <c r="P216" i="7"/>
  <c r="H216" i="7"/>
  <c r="S215" i="7"/>
  <c r="U216" i="7"/>
  <c r="Q215" i="7"/>
  <c r="O215" i="7"/>
  <c r="M215" i="7"/>
  <c r="N215" i="7"/>
  <c r="L215" i="7"/>
  <c r="K215" i="7"/>
  <c r="J215" i="7"/>
  <c r="I215" i="7"/>
  <c r="P215" i="7"/>
  <c r="H215" i="7"/>
  <c r="S214" i="7"/>
  <c r="U215" i="7"/>
  <c r="Q214" i="7"/>
  <c r="O214" i="7"/>
  <c r="M214" i="7"/>
  <c r="N214" i="7"/>
  <c r="L214" i="7"/>
  <c r="K214" i="7"/>
  <c r="J214" i="7"/>
  <c r="I214" i="7"/>
  <c r="P214" i="7"/>
  <c r="H214" i="7"/>
  <c r="S213" i="7"/>
  <c r="U214" i="7"/>
  <c r="Q213" i="7"/>
  <c r="O213" i="7"/>
  <c r="M213" i="7"/>
  <c r="N213" i="7"/>
  <c r="L213" i="7"/>
  <c r="K213" i="7"/>
  <c r="J213" i="7"/>
  <c r="I213" i="7"/>
  <c r="P213" i="7"/>
  <c r="H213" i="7"/>
  <c r="S212" i="7"/>
  <c r="U213" i="7"/>
  <c r="Q212" i="7"/>
  <c r="O212" i="7"/>
  <c r="M212" i="7"/>
  <c r="N212" i="7"/>
  <c r="L212" i="7"/>
  <c r="K212" i="7"/>
  <c r="J212" i="7"/>
  <c r="I212" i="7"/>
  <c r="P212" i="7"/>
  <c r="H212" i="7"/>
  <c r="S211" i="7"/>
  <c r="U212" i="7"/>
  <c r="Q211" i="7"/>
  <c r="O211" i="7"/>
  <c r="M211" i="7"/>
  <c r="N211" i="7"/>
  <c r="L211" i="7"/>
  <c r="K211" i="7"/>
  <c r="J211" i="7"/>
  <c r="I211" i="7"/>
  <c r="P211" i="7"/>
  <c r="H211" i="7"/>
  <c r="S210" i="7"/>
  <c r="U211" i="7"/>
  <c r="Q210" i="7"/>
  <c r="O210" i="7"/>
  <c r="M210" i="7"/>
  <c r="N210" i="7"/>
  <c r="L210" i="7"/>
  <c r="K210" i="7"/>
  <c r="J210" i="7"/>
  <c r="I210" i="7"/>
  <c r="P210" i="7"/>
  <c r="H210" i="7"/>
  <c r="S209" i="7"/>
  <c r="U210" i="7"/>
  <c r="Q209" i="7"/>
  <c r="O209" i="7"/>
  <c r="M209" i="7"/>
  <c r="N209" i="7"/>
  <c r="L209" i="7"/>
  <c r="K209" i="7"/>
  <c r="J209" i="7"/>
  <c r="I209" i="7"/>
  <c r="P209" i="7"/>
  <c r="H209" i="7"/>
  <c r="S208" i="7"/>
  <c r="U209" i="7"/>
  <c r="Q208" i="7"/>
  <c r="O208" i="7"/>
  <c r="M208" i="7"/>
  <c r="N208" i="7"/>
  <c r="L208" i="7"/>
  <c r="K208" i="7"/>
  <c r="J208" i="7"/>
  <c r="I208" i="7"/>
  <c r="P208" i="7"/>
  <c r="H208" i="7"/>
  <c r="S207" i="7"/>
  <c r="U208" i="7"/>
  <c r="Q207" i="7"/>
  <c r="O207" i="7"/>
  <c r="M207" i="7"/>
  <c r="N207" i="7"/>
  <c r="L207" i="7"/>
  <c r="K207" i="7"/>
  <c r="J207" i="7"/>
  <c r="I207" i="7"/>
  <c r="P207" i="7"/>
  <c r="H207" i="7"/>
  <c r="S206" i="7"/>
  <c r="U207" i="7"/>
  <c r="Q206" i="7"/>
  <c r="O206" i="7"/>
  <c r="M206" i="7"/>
  <c r="N206" i="7"/>
  <c r="L206" i="7"/>
  <c r="K206" i="7"/>
  <c r="J206" i="7"/>
  <c r="I206" i="7"/>
  <c r="P206" i="7"/>
  <c r="H206" i="7"/>
  <c r="S205" i="7"/>
  <c r="U206" i="7"/>
  <c r="Q205" i="7"/>
  <c r="O205" i="7"/>
  <c r="M205" i="7"/>
  <c r="N205" i="7"/>
  <c r="L205" i="7"/>
  <c r="K205" i="7"/>
  <c r="J205" i="7"/>
  <c r="I205" i="7"/>
  <c r="P205" i="7"/>
  <c r="H205" i="7"/>
  <c r="S204" i="7"/>
  <c r="U205" i="7"/>
  <c r="Q204" i="7"/>
  <c r="O204" i="7"/>
  <c r="M204" i="7"/>
  <c r="N204" i="7"/>
  <c r="L204" i="7"/>
  <c r="K204" i="7"/>
  <c r="J204" i="7"/>
  <c r="I204" i="7"/>
  <c r="P204" i="7"/>
  <c r="H204" i="7"/>
  <c r="S203" i="7"/>
  <c r="U204" i="7"/>
  <c r="Q203" i="7"/>
  <c r="O203" i="7"/>
  <c r="M203" i="7"/>
  <c r="N203" i="7"/>
  <c r="L203" i="7"/>
  <c r="K203" i="7"/>
  <c r="J203" i="7"/>
  <c r="I203" i="7"/>
  <c r="P203" i="7"/>
  <c r="H203" i="7"/>
  <c r="S202" i="7"/>
  <c r="U203" i="7"/>
  <c r="Q202" i="7"/>
  <c r="O202" i="7"/>
  <c r="M202" i="7"/>
  <c r="N202" i="7"/>
  <c r="L202" i="7"/>
  <c r="K202" i="7"/>
  <c r="J202" i="7"/>
  <c r="I202" i="7"/>
  <c r="P202" i="7"/>
  <c r="H202" i="7"/>
  <c r="S201" i="7"/>
  <c r="U202" i="7"/>
  <c r="Q201" i="7"/>
  <c r="O201" i="7"/>
  <c r="M201" i="7"/>
  <c r="N201" i="7"/>
  <c r="L201" i="7"/>
  <c r="K201" i="7"/>
  <c r="J201" i="7"/>
  <c r="I201" i="7"/>
  <c r="P201" i="7"/>
  <c r="H201" i="7"/>
  <c r="S200" i="7"/>
  <c r="U201" i="7"/>
  <c r="Q200" i="7"/>
  <c r="O200" i="7"/>
  <c r="M200" i="7"/>
  <c r="N200" i="7"/>
  <c r="L200" i="7"/>
  <c r="K200" i="7"/>
  <c r="J200" i="7"/>
  <c r="I200" i="7"/>
  <c r="P200" i="7"/>
  <c r="H200" i="7"/>
  <c r="S199" i="7"/>
  <c r="U200" i="7"/>
  <c r="Q199" i="7"/>
  <c r="O199" i="7"/>
  <c r="M199" i="7"/>
  <c r="N199" i="7"/>
  <c r="L199" i="7"/>
  <c r="K199" i="7"/>
  <c r="J199" i="7"/>
  <c r="I199" i="7"/>
  <c r="P199" i="7"/>
  <c r="H199" i="7"/>
  <c r="S198" i="7"/>
  <c r="Q198" i="7"/>
  <c r="O198" i="7"/>
  <c r="M198" i="7"/>
  <c r="N198" i="7"/>
  <c r="L198" i="7"/>
  <c r="K198" i="7"/>
  <c r="J198" i="7"/>
  <c r="I198" i="7"/>
  <c r="P198" i="7"/>
  <c r="H198" i="7"/>
  <c r="S197" i="7"/>
  <c r="U198" i="7"/>
  <c r="Q197" i="7"/>
  <c r="O197" i="7"/>
  <c r="M197" i="7"/>
  <c r="N197" i="7"/>
  <c r="L197" i="7"/>
  <c r="K197" i="7"/>
  <c r="J197" i="7"/>
  <c r="I197" i="7"/>
  <c r="P197" i="7"/>
  <c r="H197" i="7"/>
  <c r="S196" i="7"/>
  <c r="U197" i="7"/>
  <c r="Q196" i="7"/>
  <c r="O196" i="7"/>
  <c r="M196" i="7"/>
  <c r="N196" i="7"/>
  <c r="L196" i="7"/>
  <c r="K196" i="7"/>
  <c r="J196" i="7"/>
  <c r="I196" i="7"/>
  <c r="P196" i="7"/>
  <c r="H196" i="7"/>
  <c r="S195" i="7"/>
  <c r="U196" i="7"/>
  <c r="Q195" i="7"/>
  <c r="O195" i="7"/>
  <c r="M195" i="7"/>
  <c r="N195" i="7"/>
  <c r="L195" i="7"/>
  <c r="K195" i="7"/>
  <c r="J195" i="7"/>
  <c r="I195" i="7"/>
  <c r="P195" i="7"/>
  <c r="H195" i="7"/>
  <c r="S194" i="7"/>
  <c r="U195" i="7"/>
  <c r="Q194" i="7"/>
  <c r="O194" i="7"/>
  <c r="M194" i="7"/>
  <c r="N194" i="7"/>
  <c r="L194" i="7"/>
  <c r="K194" i="7"/>
  <c r="J194" i="7"/>
  <c r="I194" i="7"/>
  <c r="P194" i="7"/>
  <c r="H194" i="7"/>
  <c r="S193" i="7"/>
  <c r="U194" i="7"/>
  <c r="Q193" i="7"/>
  <c r="O193" i="7"/>
  <c r="M193" i="7"/>
  <c r="N193" i="7"/>
  <c r="L193" i="7"/>
  <c r="K193" i="7"/>
  <c r="J193" i="7"/>
  <c r="I193" i="7"/>
  <c r="P193" i="7"/>
  <c r="H193" i="7"/>
  <c r="S192" i="7"/>
  <c r="U193" i="7"/>
  <c r="Q192" i="7"/>
  <c r="O192" i="7"/>
  <c r="M192" i="7"/>
  <c r="N192" i="7"/>
  <c r="L192" i="7"/>
  <c r="K192" i="7"/>
  <c r="J192" i="7"/>
  <c r="I192" i="7"/>
  <c r="P192" i="7"/>
  <c r="H192" i="7"/>
  <c r="S191" i="7"/>
  <c r="U192" i="7"/>
  <c r="Q191" i="7"/>
  <c r="O191" i="7"/>
  <c r="M191" i="7"/>
  <c r="N191" i="7"/>
  <c r="L191" i="7"/>
  <c r="K191" i="7"/>
  <c r="J191" i="7"/>
  <c r="I191" i="7"/>
  <c r="P191" i="7"/>
  <c r="H191" i="7"/>
  <c r="S190" i="7"/>
  <c r="Q190" i="7"/>
  <c r="O190" i="7"/>
  <c r="M190" i="7"/>
  <c r="N190" i="7"/>
  <c r="L190" i="7"/>
  <c r="K190" i="7"/>
  <c r="J190" i="7"/>
  <c r="I190" i="7"/>
  <c r="P190" i="7"/>
  <c r="H190" i="7"/>
  <c r="S189" i="7"/>
  <c r="U190" i="7"/>
  <c r="Q189" i="7"/>
  <c r="O189" i="7"/>
  <c r="M189" i="7"/>
  <c r="N189" i="7"/>
  <c r="L189" i="7"/>
  <c r="K189" i="7"/>
  <c r="J189" i="7"/>
  <c r="I189" i="7"/>
  <c r="P189" i="7"/>
  <c r="H189" i="7"/>
  <c r="S188" i="7"/>
  <c r="U189" i="7"/>
  <c r="Q188" i="7"/>
  <c r="O188" i="7"/>
  <c r="M188" i="7"/>
  <c r="N188" i="7"/>
  <c r="L188" i="7"/>
  <c r="K188" i="7"/>
  <c r="J188" i="7"/>
  <c r="I188" i="7"/>
  <c r="P188" i="7"/>
  <c r="H188" i="7"/>
  <c r="S187" i="7"/>
  <c r="U188" i="7"/>
  <c r="Q187" i="7"/>
  <c r="O187" i="7"/>
  <c r="M187" i="7"/>
  <c r="N187" i="7"/>
  <c r="L187" i="7"/>
  <c r="K187" i="7"/>
  <c r="J187" i="7"/>
  <c r="I187" i="7"/>
  <c r="P187" i="7"/>
  <c r="H187" i="7"/>
  <c r="S186" i="7"/>
  <c r="U187" i="7"/>
  <c r="Q186" i="7"/>
  <c r="O186" i="7"/>
  <c r="M186" i="7"/>
  <c r="N186" i="7"/>
  <c r="L186" i="7"/>
  <c r="K186" i="7"/>
  <c r="J186" i="7"/>
  <c r="I186" i="7"/>
  <c r="P186" i="7"/>
  <c r="H186" i="7"/>
  <c r="S185" i="7"/>
  <c r="U186" i="7"/>
  <c r="Q185" i="7"/>
  <c r="O185" i="7"/>
  <c r="M185" i="7"/>
  <c r="N185" i="7"/>
  <c r="L185" i="7"/>
  <c r="K185" i="7"/>
  <c r="J185" i="7"/>
  <c r="I185" i="7"/>
  <c r="P185" i="7"/>
  <c r="H185" i="7"/>
  <c r="S184" i="7"/>
  <c r="U185" i="7"/>
  <c r="Q184" i="7"/>
  <c r="O184" i="7"/>
  <c r="M184" i="7"/>
  <c r="N184" i="7"/>
  <c r="L184" i="7"/>
  <c r="K184" i="7"/>
  <c r="J184" i="7"/>
  <c r="I184" i="7"/>
  <c r="P184" i="7"/>
  <c r="H184" i="7"/>
  <c r="S183" i="7"/>
  <c r="U184" i="7"/>
  <c r="Q183" i="7"/>
  <c r="O183" i="7"/>
  <c r="M183" i="7"/>
  <c r="N183" i="7"/>
  <c r="L183" i="7"/>
  <c r="K183" i="7"/>
  <c r="J183" i="7"/>
  <c r="I183" i="7"/>
  <c r="P183" i="7"/>
  <c r="H183" i="7"/>
  <c r="S182" i="7"/>
  <c r="U183" i="7"/>
  <c r="Q182" i="7"/>
  <c r="O182" i="7"/>
  <c r="M182" i="7"/>
  <c r="N182" i="7"/>
  <c r="L182" i="7"/>
  <c r="K182" i="7"/>
  <c r="J182" i="7"/>
  <c r="I182" i="7"/>
  <c r="P182" i="7"/>
  <c r="H182" i="7"/>
  <c r="S181" i="7"/>
  <c r="U182" i="7"/>
  <c r="Q181" i="7"/>
  <c r="O181" i="7"/>
  <c r="M181" i="7"/>
  <c r="N181" i="7"/>
  <c r="L181" i="7"/>
  <c r="K181" i="7"/>
  <c r="J181" i="7"/>
  <c r="I181" i="7"/>
  <c r="P181" i="7"/>
  <c r="H181" i="7"/>
  <c r="S180" i="7"/>
  <c r="Q180" i="7"/>
  <c r="O180" i="7"/>
  <c r="M180" i="7"/>
  <c r="N180" i="7"/>
  <c r="L180" i="7"/>
  <c r="K180" i="7"/>
  <c r="J180" i="7"/>
  <c r="I180" i="7"/>
  <c r="P180" i="7"/>
  <c r="H180" i="7"/>
  <c r="S179" i="7"/>
  <c r="U180" i="7"/>
  <c r="Q179" i="7"/>
  <c r="O179" i="7"/>
  <c r="M179" i="7"/>
  <c r="N179" i="7"/>
  <c r="L179" i="7"/>
  <c r="K179" i="7"/>
  <c r="J179" i="7"/>
  <c r="I179" i="7"/>
  <c r="P179" i="7"/>
  <c r="H179" i="7"/>
  <c r="S178" i="7"/>
  <c r="Q178" i="7"/>
  <c r="O178" i="7"/>
  <c r="M178" i="7"/>
  <c r="N178" i="7"/>
  <c r="L178" i="7"/>
  <c r="K178" i="7"/>
  <c r="J178" i="7"/>
  <c r="I178" i="7"/>
  <c r="P178" i="7"/>
  <c r="H178" i="7"/>
  <c r="S177" i="7"/>
  <c r="U178" i="7"/>
  <c r="Q177" i="7"/>
  <c r="O177" i="7"/>
  <c r="M177" i="7"/>
  <c r="N177" i="7"/>
  <c r="L177" i="7"/>
  <c r="K177" i="7"/>
  <c r="J177" i="7"/>
  <c r="I177" i="7"/>
  <c r="P177" i="7"/>
  <c r="H177" i="7"/>
  <c r="S176" i="7"/>
  <c r="U177" i="7"/>
  <c r="Q176" i="7"/>
  <c r="O176" i="7"/>
  <c r="M176" i="7"/>
  <c r="N176" i="7"/>
  <c r="L176" i="7"/>
  <c r="K176" i="7"/>
  <c r="J176" i="7"/>
  <c r="I176" i="7"/>
  <c r="P176" i="7"/>
  <c r="H176" i="7"/>
  <c r="S175" i="7"/>
  <c r="U176" i="7"/>
  <c r="Q175" i="7"/>
  <c r="O175" i="7"/>
  <c r="M175" i="7"/>
  <c r="N175" i="7"/>
  <c r="L175" i="7"/>
  <c r="K175" i="7"/>
  <c r="J175" i="7"/>
  <c r="I175" i="7"/>
  <c r="P175" i="7"/>
  <c r="H175" i="7"/>
  <c r="S174" i="7"/>
  <c r="U175" i="7"/>
  <c r="Q174" i="7"/>
  <c r="O174" i="7"/>
  <c r="M174" i="7"/>
  <c r="N174" i="7"/>
  <c r="L174" i="7"/>
  <c r="K174" i="7"/>
  <c r="J174" i="7"/>
  <c r="I174" i="7"/>
  <c r="P174" i="7"/>
  <c r="H174" i="7"/>
  <c r="S173" i="7"/>
  <c r="U174" i="7"/>
  <c r="Q173" i="7"/>
  <c r="O173" i="7"/>
  <c r="M173" i="7"/>
  <c r="N173" i="7"/>
  <c r="L173" i="7"/>
  <c r="K173" i="7"/>
  <c r="J173" i="7"/>
  <c r="I173" i="7"/>
  <c r="P173" i="7"/>
  <c r="H173" i="7"/>
  <c r="S172" i="7"/>
  <c r="U173" i="7"/>
  <c r="Q172" i="7"/>
  <c r="O172" i="7"/>
  <c r="M172" i="7"/>
  <c r="N172" i="7"/>
  <c r="L172" i="7"/>
  <c r="K172" i="7"/>
  <c r="J172" i="7"/>
  <c r="I172" i="7"/>
  <c r="P172" i="7"/>
  <c r="H172" i="7"/>
  <c r="S171" i="7"/>
  <c r="U172" i="7"/>
  <c r="Q171" i="7"/>
  <c r="O171" i="7"/>
  <c r="M171" i="7"/>
  <c r="N171" i="7"/>
  <c r="L171" i="7"/>
  <c r="K171" i="7"/>
  <c r="J171" i="7"/>
  <c r="I171" i="7"/>
  <c r="P171" i="7"/>
  <c r="H171" i="7"/>
  <c r="S170" i="7"/>
  <c r="U171" i="7"/>
  <c r="Q170" i="7"/>
  <c r="O170" i="7"/>
  <c r="M170" i="7"/>
  <c r="N170" i="7"/>
  <c r="L170" i="7"/>
  <c r="K170" i="7"/>
  <c r="J170" i="7"/>
  <c r="I170" i="7"/>
  <c r="P170" i="7"/>
  <c r="H170" i="7"/>
  <c r="S169" i="7"/>
  <c r="U170" i="7"/>
  <c r="Q169" i="7"/>
  <c r="O169" i="7"/>
  <c r="M169" i="7"/>
  <c r="N169" i="7"/>
  <c r="L169" i="7"/>
  <c r="K169" i="7"/>
  <c r="J169" i="7"/>
  <c r="I169" i="7"/>
  <c r="P169" i="7"/>
  <c r="H169" i="7"/>
  <c r="S168" i="7"/>
  <c r="U169" i="7"/>
  <c r="Q168" i="7"/>
  <c r="O168" i="7"/>
  <c r="M168" i="7"/>
  <c r="N168" i="7"/>
  <c r="L168" i="7"/>
  <c r="K168" i="7"/>
  <c r="J168" i="7"/>
  <c r="I168" i="7"/>
  <c r="P168" i="7"/>
  <c r="H168" i="7"/>
  <c r="S167" i="7"/>
  <c r="U168" i="7"/>
  <c r="Q167" i="7"/>
  <c r="O167" i="7"/>
  <c r="M167" i="7"/>
  <c r="N167" i="7"/>
  <c r="L167" i="7"/>
  <c r="K167" i="7"/>
  <c r="J167" i="7"/>
  <c r="I167" i="7"/>
  <c r="P167" i="7"/>
  <c r="H167" i="7"/>
  <c r="S166" i="7"/>
  <c r="U167" i="7"/>
  <c r="Q166" i="7"/>
  <c r="O166" i="7"/>
  <c r="M166" i="7"/>
  <c r="N166" i="7"/>
  <c r="L166" i="7"/>
  <c r="K166" i="7"/>
  <c r="J166" i="7"/>
  <c r="I166" i="7"/>
  <c r="P166" i="7"/>
  <c r="H166" i="7"/>
  <c r="S165" i="7"/>
  <c r="U166" i="7"/>
  <c r="Q165" i="7"/>
  <c r="O165" i="7"/>
  <c r="M165" i="7"/>
  <c r="N165" i="7"/>
  <c r="L165" i="7"/>
  <c r="K165" i="7"/>
  <c r="J165" i="7"/>
  <c r="I165" i="7"/>
  <c r="P165" i="7"/>
  <c r="H165" i="7"/>
  <c r="S164" i="7"/>
  <c r="U165" i="7"/>
  <c r="Q164" i="7"/>
  <c r="O164" i="7"/>
  <c r="M164" i="7"/>
  <c r="N164" i="7"/>
  <c r="L164" i="7"/>
  <c r="K164" i="7"/>
  <c r="J164" i="7"/>
  <c r="I164" i="7"/>
  <c r="P164" i="7"/>
  <c r="H164" i="7"/>
  <c r="S163" i="7"/>
  <c r="U164" i="7"/>
  <c r="Q163" i="7"/>
  <c r="O163" i="7"/>
  <c r="M163" i="7"/>
  <c r="N163" i="7"/>
  <c r="L163" i="7"/>
  <c r="K163" i="7"/>
  <c r="J163" i="7"/>
  <c r="I163" i="7"/>
  <c r="P163" i="7"/>
  <c r="H163" i="7"/>
  <c r="S162" i="7"/>
  <c r="U163" i="7"/>
  <c r="Q162" i="7"/>
  <c r="O162" i="7"/>
  <c r="M162" i="7"/>
  <c r="N162" i="7"/>
  <c r="L162" i="7"/>
  <c r="K162" i="7"/>
  <c r="J162" i="7"/>
  <c r="I162" i="7"/>
  <c r="P162" i="7"/>
  <c r="H162" i="7"/>
  <c r="S161" i="7"/>
  <c r="U162" i="7"/>
  <c r="Q161" i="7"/>
  <c r="O161" i="7"/>
  <c r="M161" i="7"/>
  <c r="N161" i="7"/>
  <c r="L161" i="7"/>
  <c r="K161" i="7"/>
  <c r="J161" i="7"/>
  <c r="I161" i="7"/>
  <c r="P161" i="7"/>
  <c r="H161" i="7"/>
  <c r="S160" i="7"/>
  <c r="U161" i="7"/>
  <c r="Q160" i="7"/>
  <c r="O160" i="7"/>
  <c r="M160" i="7"/>
  <c r="N160" i="7"/>
  <c r="L160" i="7"/>
  <c r="K160" i="7"/>
  <c r="J160" i="7"/>
  <c r="I160" i="7"/>
  <c r="P160" i="7"/>
  <c r="H160" i="7"/>
  <c r="S159" i="7"/>
  <c r="U160" i="7"/>
  <c r="Q159" i="7"/>
  <c r="O159" i="7"/>
  <c r="M159" i="7"/>
  <c r="N159" i="7"/>
  <c r="L159" i="7"/>
  <c r="K159" i="7"/>
  <c r="J159" i="7"/>
  <c r="I159" i="7"/>
  <c r="P159" i="7"/>
  <c r="H159" i="7"/>
  <c r="S158" i="7"/>
  <c r="U159" i="7"/>
  <c r="Q158" i="7"/>
  <c r="O158" i="7"/>
  <c r="M158" i="7"/>
  <c r="N158" i="7"/>
  <c r="L158" i="7"/>
  <c r="K158" i="7"/>
  <c r="J158" i="7"/>
  <c r="I158" i="7"/>
  <c r="P158" i="7"/>
  <c r="H158" i="7"/>
  <c r="S157" i="7"/>
  <c r="U158" i="7"/>
  <c r="Q157" i="7"/>
  <c r="O157" i="7"/>
  <c r="M157" i="7"/>
  <c r="N157" i="7"/>
  <c r="L157" i="7"/>
  <c r="K157" i="7"/>
  <c r="J157" i="7"/>
  <c r="I157" i="7"/>
  <c r="P157" i="7"/>
  <c r="H157" i="7"/>
  <c r="S156" i="7"/>
  <c r="U157" i="7"/>
  <c r="Q156" i="7"/>
  <c r="O156" i="7"/>
  <c r="M156" i="7"/>
  <c r="N156" i="7"/>
  <c r="L156" i="7"/>
  <c r="K156" i="7"/>
  <c r="J156" i="7"/>
  <c r="I156" i="7"/>
  <c r="P156" i="7"/>
  <c r="H156" i="7"/>
  <c r="S155" i="7"/>
  <c r="U156" i="7"/>
  <c r="Q155" i="7"/>
  <c r="O155" i="7"/>
  <c r="M155" i="7"/>
  <c r="N155" i="7"/>
  <c r="L155" i="7"/>
  <c r="K155" i="7"/>
  <c r="J155" i="7"/>
  <c r="I155" i="7"/>
  <c r="P155" i="7"/>
  <c r="H155" i="7"/>
  <c r="S154" i="7"/>
  <c r="U155" i="7"/>
  <c r="Q154" i="7"/>
  <c r="O154" i="7"/>
  <c r="M154" i="7"/>
  <c r="N154" i="7"/>
  <c r="L154" i="7"/>
  <c r="K154" i="7"/>
  <c r="J154" i="7"/>
  <c r="I154" i="7"/>
  <c r="P154" i="7"/>
  <c r="H154" i="7"/>
  <c r="S153" i="7"/>
  <c r="U154" i="7"/>
  <c r="Q153" i="7"/>
  <c r="O153" i="7"/>
  <c r="M153" i="7"/>
  <c r="N153" i="7"/>
  <c r="L153" i="7"/>
  <c r="K153" i="7"/>
  <c r="J153" i="7"/>
  <c r="I153" i="7"/>
  <c r="P153" i="7"/>
  <c r="H153" i="7"/>
  <c r="S152" i="7"/>
  <c r="U153" i="7"/>
  <c r="Q152" i="7"/>
  <c r="O152" i="7"/>
  <c r="M152" i="7"/>
  <c r="N152" i="7"/>
  <c r="L152" i="7"/>
  <c r="K152" i="7"/>
  <c r="J152" i="7"/>
  <c r="I152" i="7"/>
  <c r="P152" i="7"/>
  <c r="H152" i="7"/>
  <c r="S151" i="7"/>
  <c r="U152" i="7"/>
  <c r="Q151" i="7"/>
  <c r="O151" i="7"/>
  <c r="M151" i="7"/>
  <c r="N151" i="7"/>
  <c r="L151" i="7"/>
  <c r="K151" i="7"/>
  <c r="J151" i="7"/>
  <c r="I151" i="7"/>
  <c r="P151" i="7"/>
  <c r="H151" i="7"/>
  <c r="S150" i="7"/>
  <c r="U151" i="7"/>
  <c r="Q150" i="7"/>
  <c r="O150" i="7"/>
  <c r="M150" i="7"/>
  <c r="N150" i="7"/>
  <c r="L150" i="7"/>
  <c r="K150" i="7"/>
  <c r="J150" i="7"/>
  <c r="I150" i="7"/>
  <c r="P150" i="7"/>
  <c r="H150" i="7"/>
  <c r="S149" i="7"/>
  <c r="U150" i="7"/>
  <c r="Q149" i="7"/>
  <c r="O149" i="7"/>
  <c r="M149" i="7"/>
  <c r="N149" i="7"/>
  <c r="L149" i="7"/>
  <c r="K149" i="7"/>
  <c r="J149" i="7"/>
  <c r="I149" i="7"/>
  <c r="P149" i="7"/>
  <c r="H149" i="7"/>
  <c r="S148" i="7"/>
  <c r="U149" i="7"/>
  <c r="Q148" i="7"/>
  <c r="O148" i="7"/>
  <c r="M148" i="7"/>
  <c r="N148" i="7"/>
  <c r="L148" i="7"/>
  <c r="K148" i="7"/>
  <c r="J148" i="7"/>
  <c r="I148" i="7"/>
  <c r="P148" i="7"/>
  <c r="H148" i="7"/>
  <c r="S147" i="7"/>
  <c r="U148" i="7"/>
  <c r="Q147" i="7"/>
  <c r="O147" i="7"/>
  <c r="M147" i="7"/>
  <c r="N147" i="7"/>
  <c r="L147" i="7"/>
  <c r="K147" i="7"/>
  <c r="J147" i="7"/>
  <c r="I147" i="7"/>
  <c r="P147" i="7"/>
  <c r="H147" i="7"/>
  <c r="S146" i="7"/>
  <c r="U147" i="7"/>
  <c r="Q146" i="7"/>
  <c r="O146" i="7"/>
  <c r="M146" i="7"/>
  <c r="N146" i="7"/>
  <c r="L146" i="7"/>
  <c r="K146" i="7"/>
  <c r="J146" i="7"/>
  <c r="I146" i="7"/>
  <c r="P146" i="7"/>
  <c r="H146" i="7"/>
  <c r="S145" i="7"/>
  <c r="U146" i="7"/>
  <c r="Q145" i="7"/>
  <c r="O145" i="7"/>
  <c r="M145" i="7"/>
  <c r="N145" i="7"/>
  <c r="L145" i="7"/>
  <c r="K145" i="7"/>
  <c r="J145" i="7"/>
  <c r="I145" i="7"/>
  <c r="P145" i="7"/>
  <c r="H145" i="7"/>
  <c r="S144" i="7"/>
  <c r="U145" i="7"/>
  <c r="Q144" i="7"/>
  <c r="O144" i="7"/>
  <c r="M144" i="7"/>
  <c r="N144" i="7"/>
  <c r="L144" i="7"/>
  <c r="K144" i="7"/>
  <c r="J144" i="7"/>
  <c r="I144" i="7"/>
  <c r="P144" i="7"/>
  <c r="H144" i="7"/>
  <c r="S143" i="7"/>
  <c r="U144" i="7"/>
  <c r="Q143" i="7"/>
  <c r="O143" i="7"/>
  <c r="M143" i="7"/>
  <c r="N143" i="7"/>
  <c r="L143" i="7"/>
  <c r="K143" i="7"/>
  <c r="J143" i="7"/>
  <c r="I143" i="7"/>
  <c r="H143" i="7"/>
  <c r="S142" i="7"/>
  <c r="U143" i="7"/>
  <c r="Q142" i="7"/>
  <c r="O142" i="7"/>
  <c r="M142" i="7"/>
  <c r="N142" i="7"/>
  <c r="L142" i="7"/>
  <c r="K142" i="7"/>
  <c r="J142" i="7"/>
  <c r="I142" i="7"/>
  <c r="H142" i="7"/>
  <c r="S141" i="7"/>
  <c r="U142" i="7"/>
  <c r="Q141" i="7"/>
  <c r="O141" i="7"/>
  <c r="M141" i="7"/>
  <c r="N141" i="7"/>
  <c r="L141" i="7"/>
  <c r="K141" i="7"/>
  <c r="J141" i="7"/>
  <c r="I141" i="7"/>
  <c r="H141" i="7"/>
  <c r="S140" i="7"/>
  <c r="U141" i="7"/>
  <c r="Q140" i="7"/>
  <c r="O140" i="7"/>
  <c r="M140" i="7"/>
  <c r="N140" i="7"/>
  <c r="L140" i="7"/>
  <c r="K140" i="7"/>
  <c r="J140" i="7"/>
  <c r="H140" i="7"/>
  <c r="S139" i="7"/>
  <c r="U140" i="7"/>
  <c r="Q139" i="7"/>
  <c r="O139" i="7"/>
  <c r="M139" i="7"/>
  <c r="N139" i="7"/>
  <c r="L139" i="7"/>
  <c r="K139" i="7"/>
  <c r="J139" i="7"/>
  <c r="I139" i="7"/>
  <c r="H139" i="7"/>
  <c r="S138" i="7"/>
  <c r="U139" i="7"/>
  <c r="Q138" i="7"/>
  <c r="O138" i="7"/>
  <c r="M138" i="7"/>
  <c r="N138" i="7"/>
  <c r="L138" i="7"/>
  <c r="K138" i="7"/>
  <c r="J138" i="7"/>
  <c r="I138" i="7"/>
  <c r="H138" i="7"/>
  <c r="S137" i="7"/>
  <c r="U138" i="7"/>
  <c r="Q137" i="7"/>
  <c r="O137" i="7"/>
  <c r="M137" i="7"/>
  <c r="N137" i="7"/>
  <c r="L137" i="7"/>
  <c r="K137" i="7"/>
  <c r="J137" i="7"/>
  <c r="I137" i="7"/>
  <c r="H137" i="7"/>
  <c r="S136" i="7"/>
  <c r="U137" i="7"/>
  <c r="Q136" i="7"/>
  <c r="O136" i="7"/>
  <c r="M136" i="7"/>
  <c r="N136" i="7"/>
  <c r="L136" i="7"/>
  <c r="K136" i="7"/>
  <c r="J136" i="7"/>
  <c r="I136" i="7"/>
  <c r="H136" i="7"/>
  <c r="S135" i="7"/>
  <c r="U136" i="7"/>
  <c r="Q135" i="7"/>
  <c r="O135" i="7"/>
  <c r="M135" i="7"/>
  <c r="N135" i="7"/>
  <c r="L135" i="7"/>
  <c r="K135" i="7"/>
  <c r="J135" i="7"/>
  <c r="I135" i="7"/>
  <c r="H135" i="7"/>
  <c r="S134" i="7"/>
  <c r="U135" i="7"/>
  <c r="Q134" i="7"/>
  <c r="O134" i="7"/>
  <c r="M134" i="7"/>
  <c r="N134" i="7"/>
  <c r="L134" i="7"/>
  <c r="K134" i="7"/>
  <c r="J134" i="7"/>
  <c r="I134" i="7"/>
  <c r="H134" i="7"/>
  <c r="S133" i="7"/>
  <c r="U134" i="7"/>
  <c r="Q133" i="7"/>
  <c r="O133" i="7"/>
  <c r="M133" i="7"/>
  <c r="N133" i="7"/>
  <c r="L133" i="7"/>
  <c r="K133" i="7"/>
  <c r="J133" i="7"/>
  <c r="I133" i="7"/>
  <c r="H133" i="7"/>
  <c r="S132" i="7"/>
  <c r="U133" i="7"/>
  <c r="Q132" i="7"/>
  <c r="O132" i="7"/>
  <c r="M132" i="7"/>
  <c r="N132" i="7"/>
  <c r="L132" i="7"/>
  <c r="K132" i="7"/>
  <c r="J132" i="7"/>
  <c r="I132" i="7"/>
  <c r="H132" i="7"/>
  <c r="S131" i="7"/>
  <c r="U132" i="7"/>
  <c r="Q131" i="7"/>
  <c r="O131" i="7"/>
  <c r="M131" i="7"/>
  <c r="N131" i="7"/>
  <c r="L131" i="7"/>
  <c r="K131" i="7"/>
  <c r="J131" i="7"/>
  <c r="I131" i="7"/>
  <c r="H131" i="7"/>
  <c r="S130" i="7"/>
  <c r="U131" i="7"/>
  <c r="Q130" i="7"/>
  <c r="O130" i="7"/>
  <c r="M130" i="7"/>
  <c r="N130" i="7"/>
  <c r="L130" i="7"/>
  <c r="K130" i="7"/>
  <c r="J130" i="7"/>
  <c r="I130" i="7"/>
  <c r="H130" i="7"/>
  <c r="S129" i="7"/>
  <c r="U130" i="7"/>
  <c r="Q129" i="7"/>
  <c r="O129" i="7"/>
  <c r="M129" i="7"/>
  <c r="N129" i="7"/>
  <c r="L129" i="7"/>
  <c r="K129" i="7"/>
  <c r="J129" i="7"/>
  <c r="I129" i="7"/>
  <c r="H129" i="7"/>
  <c r="S128" i="7"/>
  <c r="U129" i="7"/>
  <c r="Q128" i="7"/>
  <c r="O128" i="7"/>
  <c r="M128" i="7"/>
  <c r="N128" i="7"/>
  <c r="L128" i="7"/>
  <c r="K128" i="7"/>
  <c r="J128" i="7"/>
  <c r="I128" i="7"/>
  <c r="H128" i="7"/>
  <c r="S127" i="7"/>
  <c r="U128" i="7"/>
  <c r="Q127" i="7"/>
  <c r="O127" i="7"/>
  <c r="M127" i="7"/>
  <c r="N127" i="7"/>
  <c r="L127" i="7"/>
  <c r="K127" i="7"/>
  <c r="J127" i="7"/>
  <c r="I127" i="7"/>
  <c r="H127" i="7"/>
  <c r="S126" i="7"/>
  <c r="U127" i="7"/>
  <c r="Q126" i="7"/>
  <c r="O126" i="7"/>
  <c r="M126" i="7"/>
  <c r="N126" i="7"/>
  <c r="L126" i="7"/>
  <c r="K126" i="7"/>
  <c r="J126" i="7"/>
  <c r="I126" i="7"/>
  <c r="P126" i="7"/>
  <c r="H126" i="7"/>
  <c r="S125" i="7"/>
  <c r="U126" i="7"/>
  <c r="Q125" i="7"/>
  <c r="O125" i="7"/>
  <c r="M125" i="7"/>
  <c r="N125" i="7"/>
  <c r="L125" i="7"/>
  <c r="K125" i="7"/>
  <c r="J125" i="7"/>
  <c r="I125" i="7"/>
  <c r="H125" i="7"/>
  <c r="S124" i="7"/>
  <c r="U125" i="7"/>
  <c r="Q124" i="7"/>
  <c r="O124" i="7"/>
  <c r="M124" i="7"/>
  <c r="N124" i="7"/>
  <c r="L124" i="7"/>
  <c r="K124" i="7"/>
  <c r="J124" i="7"/>
  <c r="I124" i="7"/>
  <c r="H124" i="7"/>
  <c r="S123" i="7"/>
  <c r="U124" i="7"/>
  <c r="Q123" i="7"/>
  <c r="O123" i="7"/>
  <c r="M123" i="7"/>
  <c r="N123" i="7"/>
  <c r="L123" i="7"/>
  <c r="K123" i="7"/>
  <c r="J123" i="7"/>
  <c r="I123" i="7"/>
  <c r="H123" i="7"/>
  <c r="S122" i="7"/>
  <c r="U123" i="7"/>
  <c r="Q122" i="7"/>
  <c r="O122" i="7"/>
  <c r="M122" i="7"/>
  <c r="N122" i="7"/>
  <c r="L122" i="7"/>
  <c r="K122" i="7"/>
  <c r="J122" i="7"/>
  <c r="I122" i="7"/>
  <c r="H122" i="7"/>
  <c r="S121" i="7"/>
  <c r="U122" i="7"/>
  <c r="Q121" i="7"/>
  <c r="O121" i="7"/>
  <c r="M121" i="7"/>
  <c r="N121" i="7"/>
  <c r="L121" i="7"/>
  <c r="K121" i="7"/>
  <c r="J121" i="7"/>
  <c r="I121" i="7"/>
  <c r="H121" i="7"/>
  <c r="S120" i="7"/>
  <c r="U121" i="7"/>
  <c r="Q120" i="7"/>
  <c r="O120" i="7"/>
  <c r="M120" i="7"/>
  <c r="N120" i="7"/>
  <c r="L120" i="7"/>
  <c r="K120" i="7"/>
  <c r="J120" i="7"/>
  <c r="I120" i="7"/>
  <c r="H120" i="7"/>
  <c r="S119" i="7"/>
  <c r="U120" i="7"/>
  <c r="Q119" i="7"/>
  <c r="O119" i="7"/>
  <c r="M119" i="7"/>
  <c r="N119" i="7"/>
  <c r="L119" i="7"/>
  <c r="K119" i="7"/>
  <c r="J119" i="7"/>
  <c r="I119" i="7"/>
  <c r="H119" i="7"/>
  <c r="S118" i="7"/>
  <c r="U119" i="7"/>
  <c r="Q118" i="7"/>
  <c r="O118" i="7"/>
  <c r="M118" i="7"/>
  <c r="N118" i="7"/>
  <c r="L118" i="7"/>
  <c r="K118" i="7"/>
  <c r="J118" i="7"/>
  <c r="I118" i="7"/>
  <c r="P118" i="7"/>
  <c r="H118" i="7"/>
  <c r="S117" i="7"/>
  <c r="U118" i="7"/>
  <c r="Q117" i="7"/>
  <c r="O117" i="7"/>
  <c r="M117" i="7"/>
  <c r="N117" i="7"/>
  <c r="L117" i="7"/>
  <c r="K117" i="7"/>
  <c r="J117" i="7"/>
  <c r="I117" i="7"/>
  <c r="P117" i="7"/>
  <c r="H117" i="7"/>
  <c r="S116" i="7"/>
  <c r="U117" i="7"/>
  <c r="Q116" i="7"/>
  <c r="O116" i="7"/>
  <c r="M116" i="7"/>
  <c r="N116" i="7"/>
  <c r="L116" i="7"/>
  <c r="K116" i="7"/>
  <c r="J116" i="7"/>
  <c r="I116" i="7"/>
  <c r="H116" i="7"/>
  <c r="S115" i="7"/>
  <c r="U116" i="7"/>
  <c r="Q115" i="7"/>
  <c r="O115" i="7"/>
  <c r="M115" i="7"/>
  <c r="N115" i="7"/>
  <c r="L115" i="7"/>
  <c r="K115" i="7"/>
  <c r="J115" i="7"/>
  <c r="I115" i="7"/>
  <c r="H115" i="7"/>
  <c r="S114" i="7"/>
  <c r="U115" i="7"/>
  <c r="Q114" i="7"/>
  <c r="O114" i="7"/>
  <c r="M114" i="7"/>
  <c r="N114" i="7"/>
  <c r="L114" i="7"/>
  <c r="K114" i="7"/>
  <c r="J114" i="7"/>
  <c r="I114" i="7"/>
  <c r="H114" i="7"/>
  <c r="S113" i="7"/>
  <c r="U114" i="7"/>
  <c r="Q113" i="7"/>
  <c r="O113" i="7"/>
  <c r="M113" i="7"/>
  <c r="N113" i="7"/>
  <c r="L113" i="7"/>
  <c r="K113" i="7"/>
  <c r="J113" i="7"/>
  <c r="I113" i="7"/>
  <c r="H113" i="7"/>
  <c r="S112" i="7"/>
  <c r="U113" i="7"/>
  <c r="Q112" i="7"/>
  <c r="O112" i="7"/>
  <c r="M112" i="7"/>
  <c r="N112" i="7"/>
  <c r="L112" i="7"/>
  <c r="K112" i="7"/>
  <c r="J112" i="7"/>
  <c r="I112" i="7"/>
  <c r="P112" i="7"/>
  <c r="S111" i="7"/>
  <c r="U112" i="7"/>
  <c r="Q111" i="7"/>
  <c r="O111" i="7"/>
  <c r="M111" i="7"/>
  <c r="N111" i="7"/>
  <c r="L111" i="7"/>
  <c r="K111" i="7"/>
  <c r="J111" i="7"/>
  <c r="I111" i="7"/>
  <c r="H111" i="7"/>
  <c r="S110" i="7"/>
  <c r="U111" i="7"/>
  <c r="Q110" i="7"/>
  <c r="O110" i="7"/>
  <c r="M110" i="7"/>
  <c r="N110" i="7"/>
  <c r="L110" i="7"/>
  <c r="K110" i="7"/>
  <c r="J110" i="7"/>
  <c r="I110" i="7"/>
  <c r="H110" i="7"/>
  <c r="S109" i="7"/>
  <c r="U110" i="7"/>
  <c r="Q109" i="7"/>
  <c r="O109" i="7"/>
  <c r="M109" i="7"/>
  <c r="N109" i="7"/>
  <c r="L109" i="7"/>
  <c r="K109" i="7"/>
  <c r="J109" i="7"/>
  <c r="I109" i="7"/>
  <c r="H109" i="7"/>
  <c r="S108" i="7"/>
  <c r="U109" i="7"/>
  <c r="Q108" i="7"/>
  <c r="O108" i="7"/>
  <c r="M108" i="7"/>
  <c r="N108" i="7"/>
  <c r="L108" i="7"/>
  <c r="K108" i="7"/>
  <c r="J108" i="7"/>
  <c r="I108" i="7"/>
  <c r="H108" i="7"/>
  <c r="S107" i="7"/>
  <c r="U108" i="7"/>
  <c r="Q107" i="7"/>
  <c r="O107" i="7"/>
  <c r="M107" i="7"/>
  <c r="N107" i="7"/>
  <c r="L107" i="7"/>
  <c r="K107" i="7"/>
  <c r="J107" i="7"/>
  <c r="I107" i="7"/>
  <c r="H107" i="7"/>
  <c r="S106" i="7"/>
  <c r="U107" i="7"/>
  <c r="Q106" i="7"/>
  <c r="O106" i="7"/>
  <c r="M106" i="7"/>
  <c r="N106" i="7"/>
  <c r="L106" i="7"/>
  <c r="K106" i="7"/>
  <c r="J106" i="7"/>
  <c r="I106" i="7"/>
  <c r="P106" i="7"/>
  <c r="S105" i="7"/>
  <c r="U106" i="7"/>
  <c r="Q105" i="7"/>
  <c r="O105" i="7"/>
  <c r="M105" i="7"/>
  <c r="N105" i="7"/>
  <c r="L105" i="7"/>
  <c r="K105" i="7"/>
  <c r="J105" i="7"/>
  <c r="I105" i="7"/>
  <c r="H105" i="7"/>
  <c r="S104" i="7"/>
  <c r="U105" i="7"/>
  <c r="Q104" i="7"/>
  <c r="O104" i="7"/>
  <c r="M104" i="7"/>
  <c r="N104" i="7"/>
  <c r="L104" i="7"/>
  <c r="K104" i="7"/>
  <c r="J104" i="7"/>
  <c r="I104" i="7"/>
  <c r="H104" i="7"/>
  <c r="S103" i="7"/>
  <c r="U104" i="7"/>
  <c r="Q103" i="7"/>
  <c r="O103" i="7"/>
  <c r="M103" i="7"/>
  <c r="N103" i="7"/>
  <c r="L103" i="7"/>
  <c r="K103" i="7"/>
  <c r="J103" i="7"/>
  <c r="I103" i="7"/>
  <c r="H103" i="7"/>
  <c r="S102" i="7"/>
  <c r="U103" i="7"/>
  <c r="Q102" i="7"/>
  <c r="O102" i="7"/>
  <c r="M102" i="7"/>
  <c r="N102" i="7"/>
  <c r="L102" i="7"/>
  <c r="K102" i="7"/>
  <c r="J102" i="7"/>
  <c r="I102" i="7"/>
  <c r="H102" i="7"/>
  <c r="S101" i="7"/>
  <c r="U102" i="7"/>
  <c r="Q101" i="7"/>
  <c r="O101" i="7"/>
  <c r="M101" i="7"/>
  <c r="N101" i="7"/>
  <c r="L101" i="7"/>
  <c r="K101" i="7"/>
  <c r="J101" i="7"/>
  <c r="I101" i="7"/>
  <c r="H101" i="7"/>
  <c r="S100" i="7"/>
  <c r="U101" i="7"/>
  <c r="Q100" i="7"/>
  <c r="O100" i="7"/>
  <c r="M100" i="7"/>
  <c r="N100" i="7"/>
  <c r="L100" i="7"/>
  <c r="K100" i="7"/>
  <c r="J100" i="7"/>
  <c r="I100" i="7"/>
  <c r="H100" i="7"/>
  <c r="S99" i="7"/>
  <c r="U100" i="7"/>
  <c r="Q99" i="7"/>
  <c r="O99" i="7"/>
  <c r="M99" i="7"/>
  <c r="N99" i="7"/>
  <c r="L99" i="7"/>
  <c r="K99" i="7"/>
  <c r="J99" i="7"/>
  <c r="I99" i="7"/>
  <c r="H99" i="7"/>
  <c r="S98" i="7"/>
  <c r="U99" i="7"/>
  <c r="Q98" i="7"/>
  <c r="O98" i="7"/>
  <c r="M98" i="7"/>
  <c r="N98" i="7"/>
  <c r="L98" i="7"/>
  <c r="K98" i="7"/>
  <c r="J98" i="7"/>
  <c r="I98" i="7"/>
  <c r="H98" i="7"/>
  <c r="S97" i="7"/>
  <c r="U98" i="7"/>
  <c r="Q97" i="7"/>
  <c r="O97" i="7"/>
  <c r="M97" i="7"/>
  <c r="N97" i="7"/>
  <c r="L97" i="7"/>
  <c r="K97" i="7"/>
  <c r="J97" i="7"/>
  <c r="I97" i="7"/>
  <c r="H97" i="7"/>
  <c r="S96" i="7"/>
  <c r="U97" i="7"/>
  <c r="Q96" i="7"/>
  <c r="O96" i="7"/>
  <c r="M96" i="7"/>
  <c r="N96" i="7"/>
  <c r="L96" i="7"/>
  <c r="K96" i="7"/>
  <c r="J96" i="7"/>
  <c r="I96" i="7"/>
  <c r="H96" i="7"/>
  <c r="S95" i="7"/>
  <c r="U96" i="7"/>
  <c r="Q95" i="7"/>
  <c r="O95" i="7"/>
  <c r="M95" i="7"/>
  <c r="N95" i="7"/>
  <c r="L95" i="7"/>
  <c r="K95" i="7"/>
  <c r="J95" i="7"/>
  <c r="I95" i="7"/>
  <c r="H95" i="7"/>
  <c r="S94" i="7"/>
  <c r="U95" i="7"/>
  <c r="Q94" i="7"/>
  <c r="O94" i="7"/>
  <c r="M94" i="7"/>
  <c r="N94" i="7"/>
  <c r="L94" i="7"/>
  <c r="K94" i="7"/>
  <c r="J94" i="7"/>
  <c r="I94" i="7"/>
  <c r="H94" i="7"/>
  <c r="S93" i="7"/>
  <c r="U94" i="7"/>
  <c r="Q93" i="7"/>
  <c r="O93" i="7"/>
  <c r="M93" i="7"/>
  <c r="N93" i="7"/>
  <c r="L93" i="7"/>
  <c r="K93" i="7"/>
  <c r="J93" i="7"/>
  <c r="I93" i="7"/>
  <c r="H93" i="7"/>
  <c r="S92" i="7"/>
  <c r="U93" i="7"/>
  <c r="Q92" i="7"/>
  <c r="O92" i="7"/>
  <c r="M92" i="7"/>
  <c r="N92" i="7"/>
  <c r="L92" i="7"/>
  <c r="K92" i="7"/>
  <c r="J92" i="7"/>
  <c r="I92" i="7"/>
  <c r="H92" i="7"/>
  <c r="S91" i="7"/>
  <c r="U92" i="7"/>
  <c r="Q91" i="7"/>
  <c r="O91" i="7"/>
  <c r="M91" i="7"/>
  <c r="N91" i="7"/>
  <c r="L91" i="7"/>
  <c r="K91" i="7"/>
  <c r="J91" i="7"/>
  <c r="I91" i="7"/>
  <c r="H91" i="7"/>
  <c r="S90" i="7"/>
  <c r="U91" i="7"/>
  <c r="Q90" i="7"/>
  <c r="O90" i="7"/>
  <c r="M90" i="7"/>
  <c r="N90" i="7"/>
  <c r="L90" i="7"/>
  <c r="K90" i="7"/>
  <c r="J90" i="7"/>
  <c r="I90" i="7"/>
  <c r="H90" i="7"/>
  <c r="S89" i="7"/>
  <c r="U90" i="7"/>
  <c r="Q89" i="7"/>
  <c r="O89" i="7"/>
  <c r="M89" i="7"/>
  <c r="N89" i="7"/>
  <c r="L89" i="7"/>
  <c r="K89" i="7"/>
  <c r="J89" i="7"/>
  <c r="I89" i="7"/>
  <c r="H89" i="7"/>
  <c r="S88" i="7"/>
  <c r="U89" i="7"/>
  <c r="Q88" i="7"/>
  <c r="O88" i="7"/>
  <c r="M88" i="7"/>
  <c r="N88" i="7"/>
  <c r="L88" i="7"/>
  <c r="K88" i="7"/>
  <c r="J88" i="7"/>
  <c r="I88" i="7"/>
  <c r="H88" i="7"/>
  <c r="S87" i="7"/>
  <c r="U88" i="7"/>
  <c r="Q87" i="7"/>
  <c r="O87" i="7"/>
  <c r="M87" i="7"/>
  <c r="N87" i="7"/>
  <c r="L87" i="7"/>
  <c r="K87" i="7"/>
  <c r="J87" i="7"/>
  <c r="I87" i="7"/>
  <c r="H87" i="7"/>
  <c r="S86" i="7"/>
  <c r="U87" i="7"/>
  <c r="Q86" i="7"/>
  <c r="O86" i="7"/>
  <c r="M86" i="7"/>
  <c r="N86" i="7"/>
  <c r="L86" i="7"/>
  <c r="K86" i="7"/>
  <c r="J86" i="7"/>
  <c r="I86" i="7"/>
  <c r="P86" i="7"/>
  <c r="S85" i="7"/>
  <c r="U86" i="7"/>
  <c r="Q85" i="7"/>
  <c r="O85" i="7"/>
  <c r="M85" i="7"/>
  <c r="N85" i="7"/>
  <c r="L85" i="7"/>
  <c r="K85" i="7"/>
  <c r="J85" i="7"/>
  <c r="I85" i="7"/>
  <c r="H85" i="7"/>
  <c r="S84" i="7"/>
  <c r="U85" i="7"/>
  <c r="Q84" i="7"/>
  <c r="O84" i="7"/>
  <c r="M84" i="7"/>
  <c r="N84" i="7"/>
  <c r="L84" i="7"/>
  <c r="K84" i="7"/>
  <c r="J84" i="7"/>
  <c r="I84" i="7"/>
  <c r="P84" i="7"/>
  <c r="S83" i="7"/>
  <c r="U84" i="7"/>
  <c r="Q83" i="7"/>
  <c r="O83" i="7"/>
  <c r="M83" i="7"/>
  <c r="N83" i="7"/>
  <c r="L83" i="7"/>
  <c r="K83" i="7"/>
  <c r="J83" i="7"/>
  <c r="I83" i="7"/>
  <c r="P83" i="7"/>
  <c r="S82" i="7"/>
  <c r="U83" i="7"/>
  <c r="Q82" i="7"/>
  <c r="O82" i="7"/>
  <c r="M82" i="7"/>
  <c r="N82" i="7"/>
  <c r="L82" i="7"/>
  <c r="K82" i="7"/>
  <c r="J82" i="7"/>
  <c r="I82" i="7"/>
  <c r="P82" i="7"/>
  <c r="H82" i="7"/>
  <c r="S81" i="7"/>
  <c r="U82" i="7"/>
  <c r="Q81" i="7"/>
  <c r="O81" i="7"/>
  <c r="M81" i="7"/>
  <c r="N81" i="7"/>
  <c r="L81" i="7"/>
  <c r="K81" i="7"/>
  <c r="J81" i="7"/>
  <c r="I81" i="7"/>
  <c r="H81" i="7"/>
  <c r="S80" i="7"/>
  <c r="U81" i="7"/>
  <c r="Q80" i="7"/>
  <c r="O80" i="7"/>
  <c r="M80" i="7"/>
  <c r="N80" i="7"/>
  <c r="L80" i="7"/>
  <c r="K80" i="7"/>
  <c r="J80" i="7"/>
  <c r="I80" i="7"/>
  <c r="P80" i="7"/>
  <c r="S79" i="7"/>
  <c r="U80" i="7"/>
  <c r="Q79" i="7"/>
  <c r="O79" i="7"/>
  <c r="M79" i="7"/>
  <c r="N79" i="7"/>
  <c r="L79" i="7"/>
  <c r="K79" i="7"/>
  <c r="J79" i="7"/>
  <c r="I79" i="7"/>
  <c r="H79" i="7"/>
  <c r="S78" i="7"/>
  <c r="U79" i="7"/>
  <c r="Q78" i="7"/>
  <c r="O78" i="7"/>
  <c r="M78" i="7"/>
  <c r="N78" i="7"/>
  <c r="L78" i="7"/>
  <c r="K78" i="7"/>
  <c r="J78" i="7"/>
  <c r="I78" i="7"/>
  <c r="P78" i="7"/>
  <c r="H78" i="7"/>
  <c r="S77" i="7"/>
  <c r="U78" i="7"/>
  <c r="Q77" i="7"/>
  <c r="O77" i="7"/>
  <c r="M77" i="7"/>
  <c r="N77" i="7"/>
  <c r="L77" i="7"/>
  <c r="K77" i="7"/>
  <c r="J77" i="7"/>
  <c r="I77" i="7"/>
  <c r="P77" i="7"/>
  <c r="H77" i="7"/>
  <c r="S76" i="7"/>
  <c r="U77" i="7"/>
  <c r="Q76" i="7"/>
  <c r="O76" i="7"/>
  <c r="M76" i="7"/>
  <c r="N76" i="7"/>
  <c r="L76" i="7"/>
  <c r="K76" i="7"/>
  <c r="J76" i="7"/>
  <c r="I76" i="7"/>
  <c r="H76" i="7"/>
  <c r="S75" i="7"/>
  <c r="U76" i="7"/>
  <c r="Q75" i="7"/>
  <c r="O75" i="7"/>
  <c r="M75" i="7"/>
  <c r="N75" i="7"/>
  <c r="L75" i="7"/>
  <c r="K75" i="7"/>
  <c r="J75" i="7"/>
  <c r="I75" i="7"/>
  <c r="H75" i="7"/>
  <c r="S74" i="7"/>
  <c r="U75" i="7"/>
  <c r="Q74" i="7"/>
  <c r="O74" i="7"/>
  <c r="M74" i="7"/>
  <c r="N74" i="7"/>
  <c r="L74" i="7"/>
  <c r="K74" i="7"/>
  <c r="J74" i="7"/>
  <c r="I74" i="7"/>
  <c r="H74" i="7"/>
  <c r="S73" i="7"/>
  <c r="U74" i="7"/>
  <c r="Q73" i="7"/>
  <c r="O73" i="7"/>
  <c r="M73" i="7"/>
  <c r="N73" i="7"/>
  <c r="L73" i="7"/>
  <c r="K73" i="7"/>
  <c r="J73" i="7"/>
  <c r="I73" i="7"/>
  <c r="H73" i="7"/>
  <c r="S72" i="7"/>
  <c r="U73" i="7"/>
  <c r="Q72" i="7"/>
  <c r="O72" i="7"/>
  <c r="M72" i="7"/>
  <c r="N72" i="7"/>
  <c r="L72" i="7"/>
  <c r="K72" i="7"/>
  <c r="J72" i="7"/>
  <c r="I72" i="7"/>
  <c r="H72" i="7"/>
  <c r="S71" i="7"/>
  <c r="U72" i="7"/>
  <c r="Q71" i="7"/>
  <c r="O71" i="7"/>
  <c r="M71" i="7"/>
  <c r="N71" i="7"/>
  <c r="L71" i="7"/>
  <c r="K71" i="7"/>
  <c r="J71" i="7"/>
  <c r="I71" i="7"/>
  <c r="H71" i="7"/>
  <c r="S70" i="7"/>
  <c r="U71" i="7"/>
  <c r="Q70" i="7"/>
  <c r="O70" i="7"/>
  <c r="M70" i="7"/>
  <c r="N70" i="7"/>
  <c r="L70" i="7"/>
  <c r="K70" i="7"/>
  <c r="J70" i="7"/>
  <c r="I70" i="7"/>
  <c r="H70" i="7"/>
  <c r="S69" i="7"/>
  <c r="U70" i="7"/>
  <c r="Q69" i="7"/>
  <c r="O69" i="7"/>
  <c r="M69" i="7"/>
  <c r="N69" i="7"/>
  <c r="L69" i="7"/>
  <c r="K69" i="7"/>
  <c r="J69" i="7"/>
  <c r="I69" i="7"/>
  <c r="H69" i="7"/>
  <c r="S68" i="7"/>
  <c r="U69" i="7"/>
  <c r="Q68" i="7"/>
  <c r="O68" i="7"/>
  <c r="M68" i="7"/>
  <c r="N68" i="7"/>
  <c r="L68" i="7"/>
  <c r="K68" i="7"/>
  <c r="J68" i="7"/>
  <c r="I68" i="7"/>
  <c r="H68" i="7"/>
  <c r="S67" i="7"/>
  <c r="U68" i="7"/>
  <c r="Q67" i="7"/>
  <c r="O67" i="7"/>
  <c r="M67" i="7"/>
  <c r="N67" i="7"/>
  <c r="L67" i="7"/>
  <c r="K67" i="7"/>
  <c r="J67" i="7"/>
  <c r="I67" i="7"/>
  <c r="H67" i="7"/>
  <c r="S66" i="7"/>
  <c r="U67" i="7"/>
  <c r="Q66" i="7"/>
  <c r="O66" i="7"/>
  <c r="M66" i="7"/>
  <c r="N66" i="7"/>
  <c r="L66" i="7"/>
  <c r="K66" i="7"/>
  <c r="J66" i="7"/>
  <c r="I66" i="7"/>
  <c r="P66" i="7"/>
  <c r="H66" i="7"/>
  <c r="S65" i="7"/>
  <c r="U66" i="7"/>
  <c r="Q65" i="7"/>
  <c r="O65" i="7"/>
  <c r="M65" i="7"/>
  <c r="N65" i="7"/>
  <c r="L65" i="7"/>
  <c r="K65" i="7"/>
  <c r="J65" i="7"/>
  <c r="I65" i="7"/>
  <c r="P65" i="7"/>
  <c r="H65" i="7"/>
  <c r="S64" i="7"/>
  <c r="U65" i="7"/>
  <c r="Q64" i="7"/>
  <c r="O64" i="7"/>
  <c r="M64" i="7"/>
  <c r="N64" i="7"/>
  <c r="L64" i="7"/>
  <c r="K64" i="7"/>
  <c r="J64" i="7"/>
  <c r="I64" i="7"/>
  <c r="H64" i="7"/>
  <c r="S63" i="7"/>
  <c r="U64" i="7"/>
  <c r="Q63" i="7"/>
  <c r="O63" i="7"/>
  <c r="M63" i="7"/>
  <c r="N63" i="7"/>
  <c r="L63" i="7"/>
  <c r="K63" i="7"/>
  <c r="J63" i="7"/>
  <c r="I63" i="7"/>
  <c r="H63" i="7"/>
  <c r="S62" i="7"/>
  <c r="U63" i="7"/>
  <c r="Q62" i="7"/>
  <c r="O62" i="7"/>
  <c r="M62" i="7"/>
  <c r="N62" i="7"/>
  <c r="L62" i="7"/>
  <c r="K62" i="7"/>
  <c r="J62" i="7"/>
  <c r="I62" i="7"/>
  <c r="H62" i="7"/>
  <c r="S61" i="7"/>
  <c r="U62" i="7"/>
  <c r="Q61" i="7"/>
  <c r="O61" i="7"/>
  <c r="M61" i="7"/>
  <c r="N61" i="7"/>
  <c r="L61" i="7"/>
  <c r="K61" i="7"/>
  <c r="J61" i="7"/>
  <c r="I61" i="7"/>
  <c r="H61" i="7"/>
  <c r="S60" i="7"/>
  <c r="U61" i="7"/>
  <c r="Q60" i="7"/>
  <c r="O60" i="7"/>
  <c r="M60" i="7"/>
  <c r="N60" i="7"/>
  <c r="L60" i="7"/>
  <c r="K60" i="7"/>
  <c r="J60" i="7"/>
  <c r="I60" i="7"/>
  <c r="H60" i="7"/>
  <c r="S59" i="7"/>
  <c r="U60" i="7"/>
  <c r="Q59" i="7"/>
  <c r="O59" i="7"/>
  <c r="M59" i="7"/>
  <c r="N59" i="7"/>
  <c r="L59" i="7"/>
  <c r="K59" i="7"/>
  <c r="J59" i="7"/>
  <c r="I59" i="7"/>
  <c r="H59" i="7"/>
  <c r="S58" i="7"/>
  <c r="U59" i="7"/>
  <c r="Q58" i="7"/>
  <c r="O58" i="7"/>
  <c r="M58" i="7"/>
  <c r="N58" i="7"/>
  <c r="L58" i="7"/>
  <c r="K58" i="7"/>
  <c r="J58" i="7"/>
  <c r="I58" i="7"/>
  <c r="H58" i="7"/>
  <c r="S57" i="7"/>
  <c r="U58" i="7"/>
  <c r="Q57" i="7"/>
  <c r="O57" i="7"/>
  <c r="M57" i="7"/>
  <c r="N57" i="7"/>
  <c r="L57" i="7"/>
  <c r="K57" i="7"/>
  <c r="J57" i="7"/>
  <c r="I57" i="7"/>
  <c r="H57" i="7"/>
  <c r="S56" i="7"/>
  <c r="U57" i="7"/>
  <c r="Q56" i="7"/>
  <c r="O56" i="7"/>
  <c r="M56" i="7"/>
  <c r="N56" i="7"/>
  <c r="L56" i="7"/>
  <c r="K56" i="7"/>
  <c r="J56" i="7"/>
  <c r="I56" i="7"/>
  <c r="H56" i="7"/>
  <c r="S55" i="7"/>
  <c r="U56" i="7"/>
  <c r="Q55" i="7"/>
  <c r="O55" i="7"/>
  <c r="M55" i="7"/>
  <c r="N55" i="7"/>
  <c r="L55" i="7"/>
  <c r="K55" i="7"/>
  <c r="J55" i="7"/>
  <c r="I55" i="7"/>
  <c r="H55" i="7"/>
  <c r="S54" i="7"/>
  <c r="U55" i="7"/>
  <c r="Q54" i="7"/>
  <c r="O54" i="7"/>
  <c r="M54" i="7"/>
  <c r="N54" i="7"/>
  <c r="L54" i="7"/>
  <c r="K54" i="7"/>
  <c r="J54" i="7"/>
  <c r="I54" i="7"/>
  <c r="H54" i="7"/>
  <c r="S53" i="7"/>
  <c r="U54" i="7"/>
  <c r="Q53" i="7"/>
  <c r="O53" i="7"/>
  <c r="M53" i="7"/>
  <c r="N53" i="7"/>
  <c r="L53" i="7"/>
  <c r="K53" i="7"/>
  <c r="J53" i="7"/>
  <c r="I53" i="7"/>
  <c r="H53" i="7"/>
  <c r="S52" i="7"/>
  <c r="U53" i="7"/>
  <c r="Q52" i="7"/>
  <c r="O52" i="7"/>
  <c r="M52" i="7"/>
  <c r="N52" i="7"/>
  <c r="L52" i="7"/>
  <c r="K52" i="7"/>
  <c r="J52" i="7"/>
  <c r="I52" i="7"/>
  <c r="H52" i="7"/>
  <c r="S51" i="7"/>
  <c r="U52" i="7"/>
  <c r="Q51" i="7"/>
  <c r="O51" i="7"/>
  <c r="M51" i="7"/>
  <c r="N51" i="7"/>
  <c r="L51" i="7"/>
  <c r="K51" i="7"/>
  <c r="J51" i="7"/>
  <c r="I51" i="7"/>
  <c r="H51" i="7"/>
  <c r="S50" i="7"/>
  <c r="U51" i="7"/>
  <c r="Q50" i="7"/>
  <c r="O50" i="7"/>
  <c r="M50" i="7"/>
  <c r="N50" i="7"/>
  <c r="L50" i="7"/>
  <c r="K50" i="7"/>
  <c r="J50" i="7"/>
  <c r="I50" i="7"/>
  <c r="H50" i="7"/>
  <c r="S49" i="7"/>
  <c r="U50" i="7"/>
  <c r="Q49" i="7"/>
  <c r="O49" i="7"/>
  <c r="M49" i="7"/>
  <c r="N49" i="7"/>
  <c r="L49" i="7"/>
  <c r="K49" i="7"/>
  <c r="J49" i="7"/>
  <c r="I49" i="7"/>
  <c r="H49" i="7"/>
  <c r="S48" i="7"/>
  <c r="U49" i="7"/>
  <c r="Q48" i="7"/>
  <c r="O48" i="7"/>
  <c r="M48" i="7"/>
  <c r="N48" i="7"/>
  <c r="L48" i="7"/>
  <c r="K48" i="7"/>
  <c r="J48" i="7"/>
  <c r="I48" i="7"/>
  <c r="H48" i="7"/>
  <c r="S47" i="7"/>
  <c r="U48" i="7"/>
  <c r="Q47" i="7"/>
  <c r="O47" i="7"/>
  <c r="M47" i="7"/>
  <c r="N47" i="7"/>
  <c r="L47" i="7"/>
  <c r="K47" i="7"/>
  <c r="J47" i="7"/>
  <c r="I47" i="7"/>
  <c r="H47" i="7"/>
  <c r="S46" i="7"/>
  <c r="U47" i="7"/>
  <c r="Q46" i="7"/>
  <c r="O46" i="7"/>
  <c r="M46" i="7"/>
  <c r="N46" i="7"/>
  <c r="L46" i="7"/>
  <c r="J46" i="7"/>
  <c r="I46" i="7"/>
  <c r="P46" i="7"/>
  <c r="H46" i="7"/>
  <c r="S45" i="7"/>
  <c r="U46" i="7"/>
  <c r="Q45" i="7"/>
  <c r="O45" i="7"/>
  <c r="M45" i="7"/>
  <c r="N45" i="7"/>
  <c r="L45" i="7"/>
  <c r="K45" i="7"/>
  <c r="J45" i="7"/>
  <c r="I45" i="7"/>
  <c r="H45" i="7"/>
  <c r="S44" i="7"/>
  <c r="U45" i="7"/>
  <c r="Q44" i="7"/>
  <c r="O44" i="7"/>
  <c r="M44" i="7"/>
  <c r="N44" i="7"/>
  <c r="L44" i="7"/>
  <c r="K44" i="7"/>
  <c r="J44" i="7"/>
  <c r="I44" i="7"/>
  <c r="P44" i="7"/>
  <c r="H44" i="7"/>
  <c r="S43" i="7"/>
  <c r="U44" i="7"/>
  <c r="Q43" i="7"/>
  <c r="O43" i="7"/>
  <c r="M43" i="7"/>
  <c r="N43" i="7"/>
  <c r="L43" i="7"/>
  <c r="K43" i="7"/>
  <c r="J43" i="7"/>
  <c r="I43" i="7"/>
  <c r="H43" i="7"/>
  <c r="F43" i="4"/>
  <c r="S42" i="7"/>
  <c r="U43" i="7"/>
  <c r="Q42" i="7"/>
  <c r="O42" i="7"/>
  <c r="M42" i="7"/>
  <c r="N42" i="7"/>
  <c r="L42" i="7"/>
  <c r="K42" i="7"/>
  <c r="J42" i="7"/>
  <c r="I42" i="7"/>
  <c r="H42" i="7"/>
  <c r="F42" i="4"/>
  <c r="S41" i="7"/>
  <c r="U42" i="7"/>
  <c r="Q41" i="7"/>
  <c r="O41" i="7"/>
  <c r="M41" i="7"/>
  <c r="N41" i="7"/>
  <c r="L41" i="7"/>
  <c r="K41" i="7"/>
  <c r="J41" i="7"/>
  <c r="I41" i="7"/>
  <c r="H41" i="7"/>
  <c r="F41" i="4"/>
  <c r="S40" i="7"/>
  <c r="U41" i="7"/>
  <c r="Q40" i="7"/>
  <c r="O40" i="7"/>
  <c r="M40" i="7"/>
  <c r="N40" i="7"/>
  <c r="L40" i="7"/>
  <c r="K40" i="7"/>
  <c r="J40" i="7"/>
  <c r="I40" i="7"/>
  <c r="H40" i="7"/>
  <c r="F40" i="4"/>
  <c r="S39" i="7"/>
  <c r="U40" i="7"/>
  <c r="Q39" i="7"/>
  <c r="O39" i="7"/>
  <c r="M39" i="7"/>
  <c r="N39" i="7"/>
  <c r="L39" i="7"/>
  <c r="K39" i="7"/>
  <c r="J39" i="7"/>
  <c r="I39" i="7"/>
  <c r="H39" i="7"/>
  <c r="F39" i="4"/>
  <c r="S38" i="7"/>
  <c r="U39" i="7"/>
  <c r="Q38" i="7"/>
  <c r="O38" i="7"/>
  <c r="M38" i="7"/>
  <c r="N38" i="7"/>
  <c r="L38" i="7"/>
  <c r="K38" i="7"/>
  <c r="J38" i="7"/>
  <c r="I38" i="7"/>
  <c r="H38" i="7"/>
  <c r="F38" i="4"/>
  <c r="S37" i="7"/>
  <c r="U38" i="7"/>
  <c r="Q37" i="7"/>
  <c r="O37" i="7"/>
  <c r="M37" i="7"/>
  <c r="N37" i="7"/>
  <c r="L37" i="7"/>
  <c r="K37" i="7"/>
  <c r="J37" i="7"/>
  <c r="I37" i="7"/>
  <c r="H37" i="7"/>
  <c r="F37" i="4"/>
  <c r="S36" i="7"/>
  <c r="U37" i="7"/>
  <c r="Q36" i="7"/>
  <c r="O36" i="7"/>
  <c r="M36" i="7"/>
  <c r="N36" i="7"/>
  <c r="L36" i="7"/>
  <c r="K36" i="7"/>
  <c r="J36" i="7"/>
  <c r="I36" i="7"/>
  <c r="H36" i="7"/>
  <c r="F36" i="4"/>
  <c r="S35" i="7"/>
  <c r="U36" i="7"/>
  <c r="Q35" i="7"/>
  <c r="O35" i="7"/>
  <c r="M35" i="7"/>
  <c r="N35" i="7"/>
  <c r="L35" i="7"/>
  <c r="K35" i="7"/>
  <c r="J35" i="7"/>
  <c r="I35" i="7"/>
  <c r="H35" i="7"/>
  <c r="F35" i="4"/>
  <c r="S34" i="7"/>
  <c r="U35" i="7"/>
  <c r="Q34" i="7"/>
  <c r="O34" i="7"/>
  <c r="M34" i="7"/>
  <c r="N34" i="7"/>
  <c r="L34" i="7"/>
  <c r="K34" i="7"/>
  <c r="J34" i="7"/>
  <c r="I34" i="7"/>
  <c r="P34" i="7"/>
  <c r="H34" i="7"/>
  <c r="F34" i="4"/>
  <c r="S33" i="7"/>
  <c r="U34" i="7"/>
  <c r="Q33" i="7"/>
  <c r="O33" i="7"/>
  <c r="M33" i="7"/>
  <c r="N33" i="7"/>
  <c r="L33" i="7"/>
  <c r="K33" i="7"/>
  <c r="J33" i="7"/>
  <c r="I33" i="7"/>
  <c r="H33" i="7"/>
  <c r="F33" i="4"/>
  <c r="S32" i="7"/>
  <c r="U33" i="7"/>
  <c r="Q32" i="7"/>
  <c r="O32" i="7"/>
  <c r="M32" i="7"/>
  <c r="N32" i="7"/>
  <c r="L32" i="7"/>
  <c r="K32" i="7"/>
  <c r="J32" i="7"/>
  <c r="I32" i="7"/>
  <c r="H32" i="7"/>
  <c r="F32" i="4"/>
  <c r="S31" i="7"/>
  <c r="U32" i="7"/>
  <c r="Q31" i="7"/>
  <c r="O31" i="7"/>
  <c r="M31" i="7"/>
  <c r="N31" i="7"/>
  <c r="L31" i="7"/>
  <c r="K31" i="7"/>
  <c r="J31" i="7"/>
  <c r="I31" i="7"/>
  <c r="P31" i="7"/>
  <c r="H31" i="7"/>
  <c r="F31" i="4"/>
  <c r="S30" i="7"/>
  <c r="U31" i="7"/>
  <c r="Q30" i="7"/>
  <c r="O30" i="7"/>
  <c r="M30" i="7"/>
  <c r="N30" i="7"/>
  <c r="L30" i="7"/>
  <c r="K30" i="7"/>
  <c r="J30" i="7"/>
  <c r="I30" i="7"/>
  <c r="P30" i="7"/>
  <c r="F30" i="4"/>
  <c r="S29" i="7"/>
  <c r="U30" i="7"/>
  <c r="Q29" i="7"/>
  <c r="O29" i="7"/>
  <c r="M29" i="7"/>
  <c r="N29" i="7"/>
  <c r="L29" i="7"/>
  <c r="K29" i="7"/>
  <c r="J29" i="7"/>
  <c r="I29" i="7"/>
  <c r="H29" i="7"/>
  <c r="F29" i="4"/>
  <c r="S28" i="7"/>
  <c r="U29" i="7"/>
  <c r="Q28" i="7"/>
  <c r="O28" i="7"/>
  <c r="M28" i="7"/>
  <c r="N28" i="7"/>
  <c r="L28" i="7"/>
  <c r="K28" i="7"/>
  <c r="J28" i="7"/>
  <c r="I28" i="7"/>
  <c r="H28" i="7"/>
  <c r="F28" i="4"/>
  <c r="S27" i="7"/>
  <c r="U28" i="7"/>
  <c r="Q27" i="7"/>
  <c r="O27" i="7"/>
  <c r="M27" i="7"/>
  <c r="N27" i="7"/>
  <c r="L27" i="7"/>
  <c r="K27" i="7"/>
  <c r="J27" i="7"/>
  <c r="I27" i="7"/>
  <c r="P27" i="7"/>
  <c r="H27" i="7"/>
  <c r="F27" i="4"/>
  <c r="S26" i="7"/>
  <c r="U27" i="7"/>
  <c r="Q26" i="7"/>
  <c r="O26" i="7"/>
  <c r="M26" i="7"/>
  <c r="N26" i="7"/>
  <c r="L26" i="7"/>
  <c r="K26" i="7"/>
  <c r="J26" i="7"/>
  <c r="I26" i="7"/>
  <c r="P26" i="7"/>
  <c r="F26" i="4"/>
  <c r="S25" i="7"/>
  <c r="U26" i="7"/>
  <c r="Q25" i="7"/>
  <c r="O25" i="7"/>
  <c r="M25" i="7"/>
  <c r="N25" i="7"/>
  <c r="L25" i="7"/>
  <c r="K25" i="7"/>
  <c r="J25" i="7"/>
  <c r="I25" i="7"/>
  <c r="H25" i="7"/>
  <c r="F25" i="4"/>
  <c r="S24" i="7"/>
  <c r="U25" i="7"/>
  <c r="Q24" i="7"/>
  <c r="O24" i="7"/>
  <c r="M24" i="7"/>
  <c r="N24" i="7"/>
  <c r="L24" i="7"/>
  <c r="K24" i="7"/>
  <c r="J24" i="7"/>
  <c r="I24" i="7"/>
  <c r="H24" i="7"/>
  <c r="F24" i="4"/>
  <c r="S23" i="7"/>
  <c r="U24" i="7"/>
  <c r="Q23" i="7"/>
  <c r="O23" i="7"/>
  <c r="M23" i="7"/>
  <c r="N23" i="7"/>
  <c r="L23" i="7"/>
  <c r="K23" i="7"/>
  <c r="J23" i="7"/>
  <c r="I23" i="7"/>
  <c r="P23" i="7"/>
  <c r="H23" i="7"/>
  <c r="F23" i="4"/>
  <c r="S22" i="7"/>
  <c r="U23" i="7"/>
  <c r="Q22" i="7"/>
  <c r="O22" i="7"/>
  <c r="M22" i="7"/>
  <c r="N22" i="7"/>
  <c r="L22" i="7"/>
  <c r="K22" i="7"/>
  <c r="J22" i="7"/>
  <c r="I22" i="7"/>
  <c r="P22" i="7"/>
  <c r="H22" i="7"/>
  <c r="F22" i="4"/>
  <c r="S21" i="7"/>
  <c r="U22" i="7"/>
  <c r="Q21" i="7"/>
  <c r="O21" i="7"/>
  <c r="M21" i="7"/>
  <c r="N21" i="7"/>
  <c r="L21" i="7"/>
  <c r="K21" i="7"/>
  <c r="J21" i="7"/>
  <c r="I21" i="7"/>
  <c r="P21" i="7"/>
  <c r="H21" i="7"/>
  <c r="F21" i="4"/>
  <c r="S20" i="7"/>
  <c r="U21" i="7"/>
  <c r="Q20" i="7"/>
  <c r="O20" i="7"/>
  <c r="M20" i="7"/>
  <c r="N20" i="7"/>
  <c r="L20" i="7"/>
  <c r="K20" i="7"/>
  <c r="J20" i="7"/>
  <c r="I20" i="7"/>
  <c r="P20" i="7"/>
  <c r="H20" i="7"/>
  <c r="F20" i="4"/>
  <c r="S19" i="7"/>
  <c r="U20" i="7"/>
  <c r="Q19" i="7"/>
  <c r="O19" i="7"/>
  <c r="M19" i="7"/>
  <c r="N19" i="7"/>
  <c r="L19" i="7"/>
  <c r="K19" i="7"/>
  <c r="J19" i="7"/>
  <c r="I19" i="7"/>
  <c r="H19" i="7"/>
  <c r="F19" i="4"/>
  <c r="S18" i="7"/>
  <c r="U19" i="7"/>
  <c r="Q18" i="7"/>
  <c r="O18" i="7"/>
  <c r="M18" i="7"/>
  <c r="N18" i="7"/>
  <c r="L18" i="7"/>
  <c r="K18" i="7"/>
  <c r="J18" i="7"/>
  <c r="I18" i="7"/>
  <c r="H18" i="7"/>
  <c r="F18" i="4"/>
  <c r="S17" i="7"/>
  <c r="U18" i="7"/>
  <c r="Q17" i="7"/>
  <c r="O17" i="7"/>
  <c r="M17" i="7"/>
  <c r="N17" i="7"/>
  <c r="L17" i="7"/>
  <c r="K17" i="7"/>
  <c r="J17" i="7"/>
  <c r="I17" i="7"/>
  <c r="P17" i="7"/>
  <c r="H17" i="7"/>
  <c r="F17" i="4"/>
  <c r="S16" i="7"/>
  <c r="U17" i="7"/>
  <c r="Q16" i="7"/>
  <c r="O16" i="7"/>
  <c r="M16" i="7"/>
  <c r="N16" i="7"/>
  <c r="L16" i="7"/>
  <c r="K16" i="7"/>
  <c r="J16" i="7"/>
  <c r="I16" i="7"/>
  <c r="P16" i="7"/>
  <c r="H16" i="7"/>
  <c r="F16" i="4"/>
  <c r="S15" i="7"/>
  <c r="U16" i="7"/>
  <c r="Q15" i="7"/>
  <c r="O15" i="7"/>
  <c r="M15" i="7"/>
  <c r="N15" i="7"/>
  <c r="L15" i="7"/>
  <c r="K15" i="7"/>
  <c r="J15" i="7"/>
  <c r="I15" i="7"/>
  <c r="P15" i="7"/>
  <c r="H15" i="7"/>
  <c r="F15" i="4"/>
  <c r="S14" i="7"/>
  <c r="U15" i="7"/>
  <c r="Q14" i="7"/>
  <c r="O14" i="7"/>
  <c r="M14" i="7"/>
  <c r="N14" i="7"/>
  <c r="L14" i="7"/>
  <c r="K14" i="7"/>
  <c r="J14" i="7"/>
  <c r="I14" i="7"/>
  <c r="P14" i="7"/>
  <c r="H14" i="7"/>
  <c r="F14" i="4"/>
  <c r="S13" i="7"/>
  <c r="U14" i="7"/>
  <c r="Q13" i="7"/>
  <c r="O13" i="7"/>
  <c r="M13" i="7"/>
  <c r="N13" i="7"/>
  <c r="L13" i="7"/>
  <c r="K13" i="7"/>
  <c r="J13" i="7"/>
  <c r="I13" i="7"/>
  <c r="P13" i="7"/>
  <c r="F13" i="4"/>
  <c r="S12" i="7"/>
  <c r="U13" i="7"/>
  <c r="Q12" i="7"/>
  <c r="O12" i="7"/>
  <c r="M12" i="7"/>
  <c r="N12" i="7"/>
  <c r="K12" i="7"/>
  <c r="J12" i="7"/>
  <c r="I12" i="7"/>
  <c r="H12" i="7"/>
  <c r="F12" i="4"/>
  <c r="S11" i="7"/>
  <c r="U12" i="7"/>
  <c r="Q11" i="7"/>
  <c r="O11" i="7"/>
  <c r="M11" i="7"/>
  <c r="N11" i="7"/>
  <c r="L11" i="7"/>
  <c r="K11" i="7"/>
  <c r="J11" i="7"/>
  <c r="I11" i="7"/>
  <c r="P11" i="7"/>
  <c r="H11" i="7"/>
  <c r="F11" i="4"/>
  <c r="S10" i="7"/>
  <c r="U11" i="7"/>
  <c r="Q10" i="7"/>
  <c r="O10" i="7"/>
  <c r="M10" i="7"/>
  <c r="N10" i="7"/>
  <c r="L10" i="7"/>
  <c r="K10" i="7"/>
  <c r="J10" i="7"/>
  <c r="I10" i="7"/>
  <c r="P10" i="7"/>
  <c r="H10" i="7"/>
  <c r="F10" i="4"/>
  <c r="S9" i="7"/>
  <c r="U10" i="7"/>
  <c r="Q9" i="7"/>
  <c r="O9" i="7"/>
  <c r="M9" i="7"/>
  <c r="N9" i="7"/>
  <c r="L9" i="7"/>
  <c r="K9" i="7"/>
  <c r="J9" i="7"/>
  <c r="I9" i="7"/>
  <c r="H9" i="7"/>
  <c r="F9" i="4"/>
  <c r="S8" i="7"/>
  <c r="U9" i="7"/>
  <c r="Q8" i="7"/>
  <c r="O8" i="7"/>
  <c r="M8" i="7"/>
  <c r="N8" i="7"/>
  <c r="L8" i="7"/>
  <c r="K8" i="7"/>
  <c r="J8" i="7"/>
  <c r="I8" i="7"/>
  <c r="P8" i="7"/>
  <c r="H8" i="7"/>
  <c r="F8" i="4"/>
  <c r="S7" i="7"/>
  <c r="U8" i="7"/>
  <c r="Q7" i="7"/>
  <c r="O7" i="7"/>
  <c r="M7" i="7"/>
  <c r="N7" i="7"/>
  <c r="L7" i="7"/>
  <c r="K7" i="7"/>
  <c r="J7" i="7"/>
  <c r="I7" i="7"/>
  <c r="P7" i="7"/>
  <c r="H7" i="7"/>
  <c r="F7" i="4"/>
  <c r="S6" i="7"/>
  <c r="U7" i="7"/>
  <c r="Q6" i="7"/>
  <c r="O6" i="7"/>
  <c r="M6" i="7"/>
  <c r="N6" i="7"/>
  <c r="L6" i="7"/>
  <c r="K6" i="7"/>
  <c r="J6" i="7"/>
  <c r="I6" i="7"/>
  <c r="P6" i="7"/>
  <c r="H6" i="7"/>
  <c r="F6" i="4"/>
  <c r="S5" i="7"/>
  <c r="U6" i="7"/>
  <c r="Q5" i="7"/>
  <c r="O5" i="7"/>
  <c r="M5" i="7"/>
  <c r="N5" i="7"/>
  <c r="L5" i="7"/>
  <c r="K5" i="7"/>
  <c r="J5" i="7"/>
  <c r="I5" i="7"/>
  <c r="H5" i="7"/>
  <c r="F5" i="4"/>
  <c r="S4" i="7"/>
  <c r="U4" i="7"/>
  <c r="Q4" i="7"/>
  <c r="O4" i="7"/>
  <c r="M4" i="7"/>
  <c r="N4" i="7"/>
  <c r="L4" i="7"/>
  <c r="K4" i="7"/>
  <c r="J4" i="7"/>
  <c r="I4" i="7"/>
  <c r="H4" i="7"/>
  <c r="F4" i="4"/>
  <c r="U500" i="7"/>
  <c r="U498" i="7"/>
  <c r="U497" i="7"/>
  <c r="U496" i="7"/>
  <c r="U495" i="7"/>
  <c r="U494" i="7"/>
  <c r="U493" i="7"/>
  <c r="U492" i="7"/>
  <c r="U490" i="7"/>
  <c r="U489" i="7"/>
  <c r="U488" i="7"/>
  <c r="U487" i="7"/>
  <c r="U486" i="7"/>
  <c r="U485" i="7"/>
  <c r="U484" i="7"/>
  <c r="U482" i="7"/>
  <c r="U481" i="7"/>
  <c r="U480" i="7"/>
  <c r="U479" i="7"/>
  <c r="U478" i="7"/>
  <c r="U477" i="7"/>
  <c r="U476" i="7"/>
  <c r="U474" i="7"/>
  <c r="U473" i="7"/>
  <c r="U472" i="7"/>
  <c r="U471" i="7"/>
  <c r="U470" i="7"/>
  <c r="U469" i="7"/>
  <c r="U468" i="7"/>
  <c r="U466" i="7"/>
  <c r="U465" i="7"/>
  <c r="U464" i="7"/>
  <c r="U463" i="7"/>
  <c r="U462" i="7"/>
  <c r="U461" i="7"/>
  <c r="U460" i="7"/>
  <c r="U458" i="7"/>
  <c r="U457" i="7"/>
  <c r="U456" i="7"/>
  <c r="U455" i="7"/>
  <c r="U454" i="7"/>
  <c r="U453" i="7"/>
  <c r="U452" i="7"/>
  <c r="U450" i="7"/>
  <c r="U449" i="7"/>
  <c r="U448" i="7"/>
  <c r="U447" i="7"/>
  <c r="U446" i="7"/>
  <c r="U445" i="7"/>
  <c r="U444" i="7"/>
  <c r="U442" i="7"/>
  <c r="U441" i="7"/>
  <c r="U440" i="7"/>
  <c r="U439" i="7"/>
  <c r="U438" i="7"/>
  <c r="U437" i="7"/>
  <c r="U436" i="7"/>
  <c r="U434" i="7"/>
  <c r="U433" i="7"/>
  <c r="U432" i="7"/>
  <c r="U431" i="7"/>
  <c r="U430" i="7"/>
  <c r="U429" i="7"/>
  <c r="U428" i="7"/>
  <c r="U426" i="7"/>
  <c r="U425" i="7"/>
  <c r="U424" i="7"/>
  <c r="U423" i="7"/>
  <c r="U422" i="7"/>
  <c r="U421" i="7"/>
  <c r="U420" i="7"/>
  <c r="U417" i="7"/>
  <c r="U416" i="7"/>
  <c r="U415" i="7"/>
  <c r="U414" i="7"/>
  <c r="U413" i="7"/>
  <c r="U412" i="7"/>
  <c r="U409" i="7"/>
  <c r="U408" i="7"/>
  <c r="U407" i="7"/>
  <c r="U406" i="7"/>
  <c r="U405" i="7"/>
  <c r="U404" i="7"/>
  <c r="U403" i="7"/>
  <c r="U401" i="7"/>
  <c r="U400" i="7"/>
  <c r="U399" i="7"/>
  <c r="U396" i="7"/>
  <c r="U393" i="7"/>
  <c r="U392" i="7"/>
  <c r="U391" i="7"/>
  <c r="U389" i="7"/>
  <c r="U388" i="7"/>
  <c r="U385" i="7"/>
  <c r="U384" i="7"/>
  <c r="U383" i="7"/>
  <c r="U382" i="7"/>
  <c r="U380" i="7"/>
  <c r="U377" i="7"/>
  <c r="U376" i="7"/>
  <c r="U375" i="7"/>
  <c r="U374" i="7"/>
  <c r="U373" i="7"/>
  <c r="U372" i="7"/>
  <c r="U371" i="7"/>
  <c r="U369" i="7"/>
  <c r="U368" i="7"/>
  <c r="U367" i="7"/>
  <c r="U366" i="7"/>
  <c r="U365" i="7"/>
  <c r="U364" i="7"/>
  <c r="U361" i="7"/>
  <c r="U360" i="7"/>
  <c r="U359" i="7"/>
  <c r="U357" i="7"/>
  <c r="U356" i="7"/>
  <c r="U353" i="7"/>
  <c r="U352" i="7"/>
  <c r="U351" i="7"/>
  <c r="U349" i="7"/>
  <c r="U348" i="7"/>
  <c r="U344" i="7"/>
  <c r="U343" i="7"/>
  <c r="U341" i="7"/>
  <c r="U340" i="7"/>
  <c r="U337" i="7"/>
  <c r="U336" i="7"/>
  <c r="U335" i="7"/>
  <c r="U334" i="7"/>
  <c r="U332" i="7"/>
  <c r="U329" i="7"/>
  <c r="U328" i="7"/>
  <c r="U327" i="7"/>
  <c r="U325" i="7"/>
  <c r="U322" i="7"/>
  <c r="U319" i="7"/>
  <c r="U317" i="7"/>
  <c r="U314" i="7"/>
  <c r="U313" i="7"/>
  <c r="U311" i="7"/>
  <c r="U310" i="7"/>
  <c r="U309" i="7"/>
  <c r="U303" i="7"/>
  <c r="U302" i="7"/>
  <c r="U297" i="7"/>
  <c r="U295" i="7"/>
  <c r="U294" i="7"/>
  <c r="U290" i="7"/>
  <c r="U287" i="7"/>
  <c r="U285" i="7"/>
  <c r="U282" i="7"/>
  <c r="U281" i="7"/>
  <c r="U279" i="7"/>
  <c r="U275" i="7"/>
  <c r="U273" i="7"/>
  <c r="U271" i="7"/>
  <c r="U269" i="7"/>
  <c r="U268" i="7"/>
  <c r="U263" i="7"/>
  <c r="U257" i="7"/>
  <c r="U255" i="7"/>
  <c r="U253" i="7"/>
  <c r="U247" i="7"/>
  <c r="U242" i="7"/>
  <c r="U239" i="7"/>
  <c r="U237" i="7"/>
  <c r="U231" i="7"/>
  <c r="U229" i="7"/>
  <c r="U223" i="7"/>
  <c r="U199" i="7"/>
  <c r="U191" i="7"/>
  <c r="U181" i="7"/>
  <c r="U179" i="7"/>
  <c r="Y142" i="1"/>
  <c r="Y138" i="1"/>
  <c r="Y137" i="1"/>
  <c r="Y136" i="1"/>
  <c r="Y135" i="1"/>
  <c r="Y130" i="1"/>
  <c r="Y119" i="1"/>
  <c r="Y120" i="1"/>
  <c r="Y121" i="1"/>
  <c r="Y122" i="1"/>
  <c r="Y116" i="1"/>
  <c r="Y114" i="1"/>
  <c r="Y115" i="1"/>
  <c r="Y106" i="1"/>
  <c r="Y107" i="1"/>
  <c r="Y108" i="1"/>
  <c r="Y103" i="1"/>
  <c r="Y104" i="1"/>
  <c r="Y105" i="1"/>
  <c r="M87" i="6"/>
  <c r="Y82" i="1"/>
  <c r="Y83" i="1"/>
  <c r="Y84" i="1"/>
  <c r="Y85" i="1"/>
  <c r="Y86" i="1"/>
  <c r="AB500" i="9"/>
  <c r="AC500" i="9" s="1"/>
  <c r="Z500" i="9"/>
  <c r="X500" i="9"/>
  <c r="V500" i="9"/>
  <c r="W500" i="9" s="1"/>
  <c r="T500" i="9"/>
  <c r="U500" i="9" s="1"/>
  <c r="R500" i="9"/>
  <c r="S500" i="9" s="1"/>
  <c r="P500" i="9"/>
  <c r="Q500" i="9" s="1"/>
  <c r="N500" i="9"/>
  <c r="O500" i="9" s="1"/>
  <c r="L500" i="9"/>
  <c r="M500" i="9" s="1"/>
  <c r="J500" i="9"/>
  <c r="K500" i="9" s="1"/>
  <c r="H500" i="9"/>
  <c r="I500" i="9" s="1"/>
  <c r="F500" i="9"/>
  <c r="G500" i="9" s="1"/>
  <c r="E500" i="9"/>
  <c r="AB499" i="9"/>
  <c r="AC499" i="9" s="1"/>
  <c r="Z499" i="9"/>
  <c r="X499" i="9"/>
  <c r="V499" i="9"/>
  <c r="W499" i="9" s="1"/>
  <c r="T499" i="9"/>
  <c r="U499" i="9" s="1"/>
  <c r="R499" i="9"/>
  <c r="S499" i="9" s="1"/>
  <c r="P499" i="9"/>
  <c r="Q499" i="9" s="1"/>
  <c r="N499" i="9"/>
  <c r="O499" i="9" s="1"/>
  <c r="L499" i="9"/>
  <c r="M499" i="9" s="1"/>
  <c r="J499" i="9"/>
  <c r="K499" i="9" s="1"/>
  <c r="H499" i="9"/>
  <c r="I499" i="9" s="1"/>
  <c r="F499" i="9"/>
  <c r="G499" i="9" s="1"/>
  <c r="E499" i="9"/>
  <c r="AB498" i="9"/>
  <c r="AC498" i="9" s="1"/>
  <c r="Z498" i="9"/>
  <c r="X498" i="9"/>
  <c r="V498" i="9"/>
  <c r="W498" i="9" s="1"/>
  <c r="T498" i="9"/>
  <c r="U498" i="9" s="1"/>
  <c r="R498" i="9"/>
  <c r="S498" i="9" s="1"/>
  <c r="P498" i="9"/>
  <c r="Q498" i="9" s="1"/>
  <c r="N498" i="9"/>
  <c r="O498" i="9" s="1"/>
  <c r="L498" i="9"/>
  <c r="M498" i="9" s="1"/>
  <c r="J498" i="9"/>
  <c r="K498" i="9" s="1"/>
  <c r="H498" i="9"/>
  <c r="I498" i="9" s="1"/>
  <c r="F498" i="9"/>
  <c r="G498" i="9" s="1"/>
  <c r="E498" i="9"/>
  <c r="AB497" i="9"/>
  <c r="AC497" i="9" s="1"/>
  <c r="Z497" i="9"/>
  <c r="X497" i="9"/>
  <c r="V497" i="9"/>
  <c r="W497" i="9" s="1"/>
  <c r="T497" i="9"/>
  <c r="U497" i="9" s="1"/>
  <c r="R497" i="9"/>
  <c r="S497" i="9" s="1"/>
  <c r="P497" i="9"/>
  <c r="Q497" i="9" s="1"/>
  <c r="N497" i="9"/>
  <c r="O497" i="9" s="1"/>
  <c r="L497" i="9"/>
  <c r="M497" i="9" s="1"/>
  <c r="J497" i="9"/>
  <c r="K497" i="9" s="1"/>
  <c r="H497" i="9"/>
  <c r="I497" i="9" s="1"/>
  <c r="F497" i="9"/>
  <c r="G497" i="9" s="1"/>
  <c r="E497" i="9"/>
  <c r="AB496" i="9"/>
  <c r="AC496" i="9" s="1"/>
  <c r="Z496" i="9"/>
  <c r="X496" i="9"/>
  <c r="V496" i="9"/>
  <c r="W496" i="9" s="1"/>
  <c r="T496" i="9"/>
  <c r="U496" i="9" s="1"/>
  <c r="R496" i="9"/>
  <c r="S496" i="9" s="1"/>
  <c r="P496" i="9"/>
  <c r="Q496" i="9" s="1"/>
  <c r="N496" i="9"/>
  <c r="O496" i="9" s="1"/>
  <c r="L496" i="9"/>
  <c r="M496" i="9" s="1"/>
  <c r="J496" i="9"/>
  <c r="K496" i="9" s="1"/>
  <c r="H496" i="9"/>
  <c r="I496" i="9" s="1"/>
  <c r="F496" i="9"/>
  <c r="G496" i="9" s="1"/>
  <c r="E496" i="9"/>
  <c r="AB495" i="9"/>
  <c r="AC495" i="9" s="1"/>
  <c r="Z495" i="9"/>
  <c r="X495" i="9"/>
  <c r="V495" i="9"/>
  <c r="W495" i="9" s="1"/>
  <c r="T495" i="9"/>
  <c r="U495" i="9" s="1"/>
  <c r="R495" i="9"/>
  <c r="S495" i="9" s="1"/>
  <c r="P495" i="9"/>
  <c r="Q495" i="9" s="1"/>
  <c r="N495" i="9"/>
  <c r="O495" i="9" s="1"/>
  <c r="L495" i="9"/>
  <c r="M495" i="9" s="1"/>
  <c r="J495" i="9"/>
  <c r="K495" i="9" s="1"/>
  <c r="H495" i="9"/>
  <c r="I495" i="9" s="1"/>
  <c r="F495" i="9"/>
  <c r="G495" i="9" s="1"/>
  <c r="E495" i="9"/>
  <c r="AB494" i="9"/>
  <c r="AC494" i="9" s="1"/>
  <c r="Z494" i="9"/>
  <c r="X494" i="9"/>
  <c r="V494" i="9"/>
  <c r="W494" i="9" s="1"/>
  <c r="T494" i="9"/>
  <c r="U494" i="9" s="1"/>
  <c r="R494" i="9"/>
  <c r="S494" i="9" s="1"/>
  <c r="P494" i="9"/>
  <c r="Q494" i="9" s="1"/>
  <c r="N494" i="9"/>
  <c r="O494" i="9" s="1"/>
  <c r="L494" i="9"/>
  <c r="M494" i="9" s="1"/>
  <c r="J494" i="9"/>
  <c r="K494" i="9" s="1"/>
  <c r="H494" i="9"/>
  <c r="I494" i="9" s="1"/>
  <c r="F494" i="9"/>
  <c r="G494" i="9" s="1"/>
  <c r="E494" i="9"/>
  <c r="AB493" i="9"/>
  <c r="AC493" i="9" s="1"/>
  <c r="Z493" i="9"/>
  <c r="X493" i="9"/>
  <c r="V493" i="9"/>
  <c r="W493" i="9" s="1"/>
  <c r="T493" i="9"/>
  <c r="U493" i="9" s="1"/>
  <c r="R493" i="9"/>
  <c r="S493" i="9" s="1"/>
  <c r="P493" i="9"/>
  <c r="Q493" i="9" s="1"/>
  <c r="N493" i="9"/>
  <c r="O493" i="9" s="1"/>
  <c r="L493" i="9"/>
  <c r="M493" i="9" s="1"/>
  <c r="J493" i="9"/>
  <c r="K493" i="9" s="1"/>
  <c r="H493" i="9"/>
  <c r="I493" i="9" s="1"/>
  <c r="F493" i="9"/>
  <c r="G493" i="9" s="1"/>
  <c r="E493" i="9"/>
  <c r="AB492" i="9"/>
  <c r="AC492" i="9" s="1"/>
  <c r="Z492" i="9"/>
  <c r="X492" i="9"/>
  <c r="V492" i="9"/>
  <c r="W492" i="9" s="1"/>
  <c r="T492" i="9"/>
  <c r="U492" i="9" s="1"/>
  <c r="R492" i="9"/>
  <c r="S492" i="9" s="1"/>
  <c r="P492" i="9"/>
  <c r="Q492" i="9" s="1"/>
  <c r="N492" i="9"/>
  <c r="O492" i="9" s="1"/>
  <c r="L492" i="9"/>
  <c r="M492" i="9" s="1"/>
  <c r="J492" i="9"/>
  <c r="K492" i="9" s="1"/>
  <c r="H492" i="9"/>
  <c r="I492" i="9" s="1"/>
  <c r="F492" i="9"/>
  <c r="G492" i="9" s="1"/>
  <c r="E492" i="9"/>
  <c r="AB491" i="9"/>
  <c r="AC491" i="9" s="1"/>
  <c r="Z491" i="9"/>
  <c r="X491" i="9"/>
  <c r="V491" i="9"/>
  <c r="W491" i="9" s="1"/>
  <c r="T491" i="9"/>
  <c r="U491" i="9" s="1"/>
  <c r="R491" i="9"/>
  <c r="S491" i="9" s="1"/>
  <c r="P491" i="9"/>
  <c r="Q491" i="9" s="1"/>
  <c r="N491" i="9"/>
  <c r="O491" i="9" s="1"/>
  <c r="L491" i="9"/>
  <c r="M491" i="9" s="1"/>
  <c r="J491" i="9"/>
  <c r="K491" i="9" s="1"/>
  <c r="H491" i="9"/>
  <c r="I491" i="9" s="1"/>
  <c r="F491" i="9"/>
  <c r="G491" i="9" s="1"/>
  <c r="E491" i="9"/>
  <c r="AB490" i="9"/>
  <c r="AC490" i="9" s="1"/>
  <c r="Z490" i="9"/>
  <c r="X490" i="9"/>
  <c r="V490" i="9"/>
  <c r="W490" i="9" s="1"/>
  <c r="T490" i="9"/>
  <c r="U490" i="9" s="1"/>
  <c r="R490" i="9"/>
  <c r="S490" i="9" s="1"/>
  <c r="P490" i="9"/>
  <c r="Q490" i="9" s="1"/>
  <c r="N490" i="9"/>
  <c r="O490" i="9" s="1"/>
  <c r="L490" i="9"/>
  <c r="M490" i="9" s="1"/>
  <c r="J490" i="9"/>
  <c r="K490" i="9" s="1"/>
  <c r="H490" i="9"/>
  <c r="I490" i="9" s="1"/>
  <c r="F490" i="9"/>
  <c r="G490" i="9" s="1"/>
  <c r="E490" i="9"/>
  <c r="AB489" i="9"/>
  <c r="AC489" i="9" s="1"/>
  <c r="Z489" i="9"/>
  <c r="X489" i="9"/>
  <c r="V489" i="9"/>
  <c r="W489" i="9" s="1"/>
  <c r="T489" i="9"/>
  <c r="U489" i="9" s="1"/>
  <c r="R489" i="9"/>
  <c r="S489" i="9" s="1"/>
  <c r="P489" i="9"/>
  <c r="Q489" i="9" s="1"/>
  <c r="N489" i="9"/>
  <c r="O489" i="9" s="1"/>
  <c r="L489" i="9"/>
  <c r="M489" i="9" s="1"/>
  <c r="J489" i="9"/>
  <c r="K489" i="9" s="1"/>
  <c r="H489" i="9"/>
  <c r="I489" i="9" s="1"/>
  <c r="F489" i="9"/>
  <c r="G489" i="9" s="1"/>
  <c r="E489" i="9"/>
  <c r="AB488" i="9"/>
  <c r="AC488" i="9" s="1"/>
  <c r="Z488" i="9"/>
  <c r="X488" i="9"/>
  <c r="V488" i="9"/>
  <c r="W488" i="9" s="1"/>
  <c r="T488" i="9"/>
  <c r="U488" i="9" s="1"/>
  <c r="R488" i="9"/>
  <c r="S488" i="9" s="1"/>
  <c r="P488" i="9"/>
  <c r="Q488" i="9" s="1"/>
  <c r="N488" i="9"/>
  <c r="O488" i="9" s="1"/>
  <c r="L488" i="9"/>
  <c r="M488" i="9" s="1"/>
  <c r="J488" i="9"/>
  <c r="K488" i="9" s="1"/>
  <c r="H488" i="9"/>
  <c r="I488" i="9" s="1"/>
  <c r="F488" i="9"/>
  <c r="G488" i="9" s="1"/>
  <c r="E488" i="9"/>
  <c r="AB487" i="9"/>
  <c r="AC487" i="9" s="1"/>
  <c r="Z487" i="9"/>
  <c r="X487" i="9"/>
  <c r="V487" i="9"/>
  <c r="W487" i="9" s="1"/>
  <c r="T487" i="9"/>
  <c r="U487" i="9" s="1"/>
  <c r="R487" i="9"/>
  <c r="S487" i="9" s="1"/>
  <c r="P487" i="9"/>
  <c r="Q487" i="9" s="1"/>
  <c r="N487" i="9"/>
  <c r="O487" i="9" s="1"/>
  <c r="L487" i="9"/>
  <c r="M487" i="9" s="1"/>
  <c r="J487" i="9"/>
  <c r="K487" i="9" s="1"/>
  <c r="H487" i="9"/>
  <c r="I487" i="9" s="1"/>
  <c r="F487" i="9"/>
  <c r="G487" i="9" s="1"/>
  <c r="E487" i="9"/>
  <c r="AB486" i="9"/>
  <c r="AC486" i="9" s="1"/>
  <c r="Z486" i="9"/>
  <c r="X486" i="9"/>
  <c r="V486" i="9"/>
  <c r="W486" i="9" s="1"/>
  <c r="T486" i="9"/>
  <c r="U486" i="9" s="1"/>
  <c r="R486" i="9"/>
  <c r="S486" i="9" s="1"/>
  <c r="P486" i="9"/>
  <c r="Q486" i="9" s="1"/>
  <c r="N486" i="9"/>
  <c r="O486" i="9" s="1"/>
  <c r="L486" i="9"/>
  <c r="M486" i="9" s="1"/>
  <c r="J486" i="9"/>
  <c r="K486" i="9" s="1"/>
  <c r="H486" i="9"/>
  <c r="I486" i="9" s="1"/>
  <c r="F486" i="9"/>
  <c r="G486" i="9" s="1"/>
  <c r="E486" i="9"/>
  <c r="AB485" i="9"/>
  <c r="AC485" i="9" s="1"/>
  <c r="Z485" i="9"/>
  <c r="X485" i="9"/>
  <c r="V485" i="9"/>
  <c r="W485" i="9" s="1"/>
  <c r="T485" i="9"/>
  <c r="U485" i="9" s="1"/>
  <c r="R485" i="9"/>
  <c r="S485" i="9" s="1"/>
  <c r="P485" i="9"/>
  <c r="Q485" i="9" s="1"/>
  <c r="N485" i="9"/>
  <c r="O485" i="9" s="1"/>
  <c r="L485" i="9"/>
  <c r="M485" i="9" s="1"/>
  <c r="J485" i="9"/>
  <c r="K485" i="9" s="1"/>
  <c r="H485" i="9"/>
  <c r="I485" i="9" s="1"/>
  <c r="F485" i="9"/>
  <c r="G485" i="9" s="1"/>
  <c r="E485" i="9"/>
  <c r="AB484" i="9"/>
  <c r="AC484" i="9" s="1"/>
  <c r="Z484" i="9"/>
  <c r="X484" i="9"/>
  <c r="V484" i="9"/>
  <c r="W484" i="9" s="1"/>
  <c r="T484" i="9"/>
  <c r="U484" i="9" s="1"/>
  <c r="R484" i="9"/>
  <c r="S484" i="9" s="1"/>
  <c r="P484" i="9"/>
  <c r="Q484" i="9" s="1"/>
  <c r="N484" i="9"/>
  <c r="O484" i="9" s="1"/>
  <c r="L484" i="9"/>
  <c r="M484" i="9" s="1"/>
  <c r="J484" i="9"/>
  <c r="K484" i="9" s="1"/>
  <c r="H484" i="9"/>
  <c r="I484" i="9" s="1"/>
  <c r="F484" i="9"/>
  <c r="G484" i="9" s="1"/>
  <c r="E484" i="9"/>
  <c r="AB483" i="9"/>
  <c r="AC483" i="9" s="1"/>
  <c r="Z483" i="9"/>
  <c r="X483" i="9"/>
  <c r="V483" i="9"/>
  <c r="W483" i="9" s="1"/>
  <c r="T483" i="9"/>
  <c r="U483" i="9" s="1"/>
  <c r="R483" i="9"/>
  <c r="S483" i="9" s="1"/>
  <c r="P483" i="9"/>
  <c r="Q483" i="9" s="1"/>
  <c r="N483" i="9"/>
  <c r="O483" i="9" s="1"/>
  <c r="L483" i="9"/>
  <c r="M483" i="9" s="1"/>
  <c r="J483" i="9"/>
  <c r="K483" i="9" s="1"/>
  <c r="H483" i="9"/>
  <c r="I483" i="9" s="1"/>
  <c r="F483" i="9"/>
  <c r="G483" i="9" s="1"/>
  <c r="E483" i="9"/>
  <c r="AB482" i="9"/>
  <c r="AC482" i="9" s="1"/>
  <c r="Z482" i="9"/>
  <c r="X482" i="9"/>
  <c r="V482" i="9"/>
  <c r="W482" i="9" s="1"/>
  <c r="T482" i="9"/>
  <c r="U482" i="9" s="1"/>
  <c r="R482" i="9"/>
  <c r="S482" i="9" s="1"/>
  <c r="P482" i="9"/>
  <c r="Q482" i="9" s="1"/>
  <c r="N482" i="9"/>
  <c r="O482" i="9" s="1"/>
  <c r="L482" i="9"/>
  <c r="M482" i="9" s="1"/>
  <c r="J482" i="9"/>
  <c r="K482" i="9" s="1"/>
  <c r="H482" i="9"/>
  <c r="I482" i="9" s="1"/>
  <c r="F482" i="9"/>
  <c r="G482" i="9" s="1"/>
  <c r="E482" i="9"/>
  <c r="AB481" i="9"/>
  <c r="AC481" i="9" s="1"/>
  <c r="Z481" i="9"/>
  <c r="X481" i="9"/>
  <c r="V481" i="9"/>
  <c r="W481" i="9" s="1"/>
  <c r="T481" i="9"/>
  <c r="U481" i="9" s="1"/>
  <c r="R481" i="9"/>
  <c r="S481" i="9" s="1"/>
  <c r="P481" i="9"/>
  <c r="Q481" i="9" s="1"/>
  <c r="N481" i="9"/>
  <c r="O481" i="9" s="1"/>
  <c r="L481" i="9"/>
  <c r="M481" i="9" s="1"/>
  <c r="J481" i="9"/>
  <c r="K481" i="9" s="1"/>
  <c r="H481" i="9"/>
  <c r="I481" i="9" s="1"/>
  <c r="F481" i="9"/>
  <c r="G481" i="9" s="1"/>
  <c r="E481" i="9"/>
  <c r="AB480" i="9"/>
  <c r="AC480" i="9" s="1"/>
  <c r="Z480" i="9"/>
  <c r="X480" i="9"/>
  <c r="V480" i="9"/>
  <c r="W480" i="9" s="1"/>
  <c r="T480" i="9"/>
  <c r="U480" i="9" s="1"/>
  <c r="R480" i="9"/>
  <c r="S480" i="9" s="1"/>
  <c r="P480" i="9"/>
  <c r="Q480" i="9" s="1"/>
  <c r="N480" i="9"/>
  <c r="O480" i="9" s="1"/>
  <c r="L480" i="9"/>
  <c r="M480" i="9" s="1"/>
  <c r="J480" i="9"/>
  <c r="K480" i="9" s="1"/>
  <c r="H480" i="9"/>
  <c r="I480" i="9" s="1"/>
  <c r="F480" i="9"/>
  <c r="G480" i="9" s="1"/>
  <c r="E480" i="9"/>
  <c r="AB479" i="9"/>
  <c r="AC479" i="9" s="1"/>
  <c r="Z479" i="9"/>
  <c r="X479" i="9"/>
  <c r="V479" i="9"/>
  <c r="W479" i="9" s="1"/>
  <c r="T479" i="9"/>
  <c r="U479" i="9" s="1"/>
  <c r="R479" i="9"/>
  <c r="S479" i="9" s="1"/>
  <c r="P479" i="9"/>
  <c r="Q479" i="9" s="1"/>
  <c r="N479" i="9"/>
  <c r="O479" i="9" s="1"/>
  <c r="L479" i="9"/>
  <c r="M479" i="9" s="1"/>
  <c r="J479" i="9"/>
  <c r="K479" i="9" s="1"/>
  <c r="H479" i="9"/>
  <c r="I479" i="9" s="1"/>
  <c r="F479" i="9"/>
  <c r="G479" i="9" s="1"/>
  <c r="E479" i="9"/>
  <c r="AB478" i="9"/>
  <c r="AC478" i="9" s="1"/>
  <c r="Z478" i="9"/>
  <c r="X478" i="9"/>
  <c r="V478" i="9"/>
  <c r="W478" i="9" s="1"/>
  <c r="T478" i="9"/>
  <c r="U478" i="9" s="1"/>
  <c r="R478" i="9"/>
  <c r="S478" i="9" s="1"/>
  <c r="P478" i="9"/>
  <c r="Q478" i="9" s="1"/>
  <c r="N478" i="9"/>
  <c r="O478" i="9" s="1"/>
  <c r="L478" i="9"/>
  <c r="M478" i="9" s="1"/>
  <c r="J478" i="9"/>
  <c r="K478" i="9" s="1"/>
  <c r="H478" i="9"/>
  <c r="I478" i="9" s="1"/>
  <c r="F478" i="9"/>
  <c r="G478" i="9" s="1"/>
  <c r="E478" i="9"/>
  <c r="AB477" i="9"/>
  <c r="AC477" i="9" s="1"/>
  <c r="Z477" i="9"/>
  <c r="X477" i="9"/>
  <c r="V477" i="9"/>
  <c r="W477" i="9" s="1"/>
  <c r="T477" i="9"/>
  <c r="U477" i="9" s="1"/>
  <c r="R477" i="9"/>
  <c r="S477" i="9" s="1"/>
  <c r="P477" i="9"/>
  <c r="Q477" i="9" s="1"/>
  <c r="N477" i="9"/>
  <c r="O477" i="9" s="1"/>
  <c r="L477" i="9"/>
  <c r="M477" i="9" s="1"/>
  <c r="J477" i="9"/>
  <c r="K477" i="9" s="1"/>
  <c r="H477" i="9"/>
  <c r="I477" i="9" s="1"/>
  <c r="F477" i="9"/>
  <c r="G477" i="9" s="1"/>
  <c r="E477" i="9"/>
  <c r="AB476" i="9"/>
  <c r="AC476" i="9" s="1"/>
  <c r="Z476" i="9"/>
  <c r="X476" i="9"/>
  <c r="V476" i="9"/>
  <c r="W476" i="9" s="1"/>
  <c r="T476" i="9"/>
  <c r="U476" i="9" s="1"/>
  <c r="R476" i="9"/>
  <c r="S476" i="9" s="1"/>
  <c r="P476" i="9"/>
  <c r="Q476" i="9" s="1"/>
  <c r="N476" i="9"/>
  <c r="O476" i="9" s="1"/>
  <c r="L476" i="9"/>
  <c r="M476" i="9" s="1"/>
  <c r="J476" i="9"/>
  <c r="K476" i="9" s="1"/>
  <c r="H476" i="9"/>
  <c r="I476" i="9" s="1"/>
  <c r="F476" i="9"/>
  <c r="G476" i="9" s="1"/>
  <c r="E476" i="9"/>
  <c r="AB475" i="9"/>
  <c r="AC475" i="9" s="1"/>
  <c r="Z475" i="9"/>
  <c r="X475" i="9"/>
  <c r="V475" i="9"/>
  <c r="W475" i="9" s="1"/>
  <c r="T475" i="9"/>
  <c r="U475" i="9" s="1"/>
  <c r="R475" i="9"/>
  <c r="S475" i="9" s="1"/>
  <c r="P475" i="9"/>
  <c r="Q475" i="9" s="1"/>
  <c r="N475" i="9"/>
  <c r="O475" i="9" s="1"/>
  <c r="L475" i="9"/>
  <c r="M475" i="9" s="1"/>
  <c r="J475" i="9"/>
  <c r="K475" i="9" s="1"/>
  <c r="H475" i="9"/>
  <c r="I475" i="9" s="1"/>
  <c r="F475" i="9"/>
  <c r="G475" i="9" s="1"/>
  <c r="E475" i="9"/>
  <c r="AB474" i="9"/>
  <c r="AC474" i="9" s="1"/>
  <c r="Z474" i="9"/>
  <c r="X474" i="9"/>
  <c r="V474" i="9"/>
  <c r="W474" i="9" s="1"/>
  <c r="T474" i="9"/>
  <c r="U474" i="9" s="1"/>
  <c r="R474" i="9"/>
  <c r="S474" i="9" s="1"/>
  <c r="P474" i="9"/>
  <c r="Q474" i="9" s="1"/>
  <c r="N474" i="9"/>
  <c r="O474" i="9" s="1"/>
  <c r="L474" i="9"/>
  <c r="M474" i="9" s="1"/>
  <c r="J474" i="9"/>
  <c r="K474" i="9" s="1"/>
  <c r="H474" i="9"/>
  <c r="I474" i="9" s="1"/>
  <c r="F474" i="9"/>
  <c r="G474" i="9" s="1"/>
  <c r="E474" i="9"/>
  <c r="AB473" i="9"/>
  <c r="AC473" i="9" s="1"/>
  <c r="Z473" i="9"/>
  <c r="X473" i="9"/>
  <c r="V473" i="9"/>
  <c r="W473" i="9" s="1"/>
  <c r="T473" i="9"/>
  <c r="U473" i="9" s="1"/>
  <c r="R473" i="9"/>
  <c r="S473" i="9" s="1"/>
  <c r="P473" i="9"/>
  <c r="Q473" i="9" s="1"/>
  <c r="N473" i="9"/>
  <c r="O473" i="9" s="1"/>
  <c r="L473" i="9"/>
  <c r="M473" i="9" s="1"/>
  <c r="J473" i="9"/>
  <c r="K473" i="9" s="1"/>
  <c r="H473" i="9"/>
  <c r="I473" i="9" s="1"/>
  <c r="F473" i="9"/>
  <c r="G473" i="9" s="1"/>
  <c r="E473" i="9"/>
  <c r="AB472" i="9"/>
  <c r="AC472" i="9" s="1"/>
  <c r="Z472" i="9"/>
  <c r="X472" i="9"/>
  <c r="V472" i="9"/>
  <c r="W472" i="9" s="1"/>
  <c r="T472" i="9"/>
  <c r="U472" i="9" s="1"/>
  <c r="R472" i="9"/>
  <c r="S472" i="9" s="1"/>
  <c r="P472" i="9"/>
  <c r="Q472" i="9" s="1"/>
  <c r="N472" i="9"/>
  <c r="O472" i="9" s="1"/>
  <c r="L472" i="9"/>
  <c r="M472" i="9" s="1"/>
  <c r="J472" i="9"/>
  <c r="K472" i="9" s="1"/>
  <c r="H472" i="9"/>
  <c r="I472" i="9" s="1"/>
  <c r="F472" i="9"/>
  <c r="G472" i="9" s="1"/>
  <c r="E472" i="9"/>
  <c r="AB471" i="9"/>
  <c r="AC471" i="9" s="1"/>
  <c r="Z471" i="9"/>
  <c r="X471" i="9"/>
  <c r="V471" i="9"/>
  <c r="W471" i="9" s="1"/>
  <c r="T471" i="9"/>
  <c r="U471" i="9" s="1"/>
  <c r="R471" i="9"/>
  <c r="S471" i="9" s="1"/>
  <c r="P471" i="9"/>
  <c r="Q471" i="9" s="1"/>
  <c r="N471" i="9"/>
  <c r="O471" i="9" s="1"/>
  <c r="L471" i="9"/>
  <c r="M471" i="9" s="1"/>
  <c r="J471" i="9"/>
  <c r="K471" i="9" s="1"/>
  <c r="H471" i="9"/>
  <c r="I471" i="9" s="1"/>
  <c r="F471" i="9"/>
  <c r="G471" i="9" s="1"/>
  <c r="E471" i="9"/>
  <c r="AB470" i="9"/>
  <c r="AC470" i="9" s="1"/>
  <c r="Z470" i="9"/>
  <c r="X470" i="9"/>
  <c r="V470" i="9"/>
  <c r="W470" i="9" s="1"/>
  <c r="T470" i="9"/>
  <c r="U470" i="9" s="1"/>
  <c r="R470" i="9"/>
  <c r="S470" i="9" s="1"/>
  <c r="P470" i="9"/>
  <c r="Q470" i="9" s="1"/>
  <c r="N470" i="9"/>
  <c r="O470" i="9" s="1"/>
  <c r="L470" i="9"/>
  <c r="M470" i="9" s="1"/>
  <c r="J470" i="9"/>
  <c r="K470" i="9" s="1"/>
  <c r="H470" i="9"/>
  <c r="I470" i="9" s="1"/>
  <c r="F470" i="9"/>
  <c r="G470" i="9" s="1"/>
  <c r="E470" i="9"/>
  <c r="AB469" i="9"/>
  <c r="AC469" i="9" s="1"/>
  <c r="Z469" i="9"/>
  <c r="X469" i="9"/>
  <c r="V469" i="9"/>
  <c r="W469" i="9" s="1"/>
  <c r="T469" i="9"/>
  <c r="U469" i="9" s="1"/>
  <c r="R469" i="9"/>
  <c r="S469" i="9" s="1"/>
  <c r="P469" i="9"/>
  <c r="Q469" i="9" s="1"/>
  <c r="N469" i="9"/>
  <c r="O469" i="9" s="1"/>
  <c r="L469" i="9"/>
  <c r="M469" i="9" s="1"/>
  <c r="J469" i="9"/>
  <c r="K469" i="9" s="1"/>
  <c r="H469" i="9"/>
  <c r="I469" i="9" s="1"/>
  <c r="F469" i="9"/>
  <c r="G469" i="9" s="1"/>
  <c r="E469" i="9"/>
  <c r="AB468" i="9"/>
  <c r="AC468" i="9" s="1"/>
  <c r="Z468" i="9"/>
  <c r="X468" i="9"/>
  <c r="V468" i="9"/>
  <c r="W468" i="9" s="1"/>
  <c r="T468" i="9"/>
  <c r="U468" i="9" s="1"/>
  <c r="R468" i="9"/>
  <c r="S468" i="9" s="1"/>
  <c r="P468" i="9"/>
  <c r="Q468" i="9" s="1"/>
  <c r="N468" i="9"/>
  <c r="O468" i="9" s="1"/>
  <c r="L468" i="9"/>
  <c r="M468" i="9" s="1"/>
  <c r="J468" i="9"/>
  <c r="K468" i="9" s="1"/>
  <c r="H468" i="9"/>
  <c r="I468" i="9" s="1"/>
  <c r="F468" i="9"/>
  <c r="G468" i="9" s="1"/>
  <c r="E468" i="9"/>
  <c r="AB467" i="9"/>
  <c r="AC467" i="9" s="1"/>
  <c r="Z467" i="9"/>
  <c r="X467" i="9"/>
  <c r="V467" i="9"/>
  <c r="W467" i="9" s="1"/>
  <c r="T467" i="9"/>
  <c r="U467" i="9" s="1"/>
  <c r="R467" i="9"/>
  <c r="S467" i="9" s="1"/>
  <c r="P467" i="9"/>
  <c r="Q467" i="9" s="1"/>
  <c r="N467" i="9"/>
  <c r="O467" i="9" s="1"/>
  <c r="L467" i="9"/>
  <c r="M467" i="9" s="1"/>
  <c r="J467" i="9"/>
  <c r="K467" i="9" s="1"/>
  <c r="H467" i="9"/>
  <c r="I467" i="9" s="1"/>
  <c r="F467" i="9"/>
  <c r="G467" i="9" s="1"/>
  <c r="E467" i="9"/>
  <c r="AB466" i="9"/>
  <c r="AC466" i="9" s="1"/>
  <c r="Z466" i="9"/>
  <c r="X466" i="9"/>
  <c r="V466" i="9"/>
  <c r="W466" i="9" s="1"/>
  <c r="T466" i="9"/>
  <c r="U466" i="9" s="1"/>
  <c r="R466" i="9"/>
  <c r="S466" i="9" s="1"/>
  <c r="P466" i="9"/>
  <c r="Q466" i="9" s="1"/>
  <c r="N466" i="9"/>
  <c r="O466" i="9" s="1"/>
  <c r="L466" i="9"/>
  <c r="M466" i="9" s="1"/>
  <c r="J466" i="9"/>
  <c r="K466" i="9" s="1"/>
  <c r="H466" i="9"/>
  <c r="I466" i="9" s="1"/>
  <c r="F466" i="9"/>
  <c r="G466" i="9" s="1"/>
  <c r="E466" i="9"/>
  <c r="AB465" i="9"/>
  <c r="AC465" i="9" s="1"/>
  <c r="Z465" i="9"/>
  <c r="X465" i="9"/>
  <c r="V465" i="9"/>
  <c r="W465" i="9" s="1"/>
  <c r="T465" i="9"/>
  <c r="U465" i="9" s="1"/>
  <c r="R465" i="9"/>
  <c r="S465" i="9" s="1"/>
  <c r="P465" i="9"/>
  <c r="Q465" i="9" s="1"/>
  <c r="N465" i="9"/>
  <c r="O465" i="9" s="1"/>
  <c r="L465" i="9"/>
  <c r="M465" i="9" s="1"/>
  <c r="J465" i="9"/>
  <c r="K465" i="9" s="1"/>
  <c r="H465" i="9"/>
  <c r="I465" i="9" s="1"/>
  <c r="F465" i="9"/>
  <c r="G465" i="9" s="1"/>
  <c r="E465" i="9"/>
  <c r="AB464" i="9"/>
  <c r="AC464" i="9" s="1"/>
  <c r="Z464" i="9"/>
  <c r="X464" i="9"/>
  <c r="V464" i="9"/>
  <c r="W464" i="9" s="1"/>
  <c r="T464" i="9"/>
  <c r="U464" i="9" s="1"/>
  <c r="R464" i="9"/>
  <c r="S464" i="9" s="1"/>
  <c r="P464" i="9"/>
  <c r="Q464" i="9" s="1"/>
  <c r="N464" i="9"/>
  <c r="O464" i="9" s="1"/>
  <c r="L464" i="9"/>
  <c r="M464" i="9" s="1"/>
  <c r="J464" i="9"/>
  <c r="K464" i="9" s="1"/>
  <c r="H464" i="9"/>
  <c r="I464" i="9" s="1"/>
  <c r="F464" i="9"/>
  <c r="G464" i="9" s="1"/>
  <c r="E464" i="9"/>
  <c r="AB463" i="9"/>
  <c r="AC463" i="9" s="1"/>
  <c r="Z463" i="9"/>
  <c r="X463" i="9"/>
  <c r="V463" i="9"/>
  <c r="W463" i="9" s="1"/>
  <c r="T463" i="9"/>
  <c r="U463" i="9" s="1"/>
  <c r="R463" i="9"/>
  <c r="S463" i="9" s="1"/>
  <c r="P463" i="9"/>
  <c r="Q463" i="9" s="1"/>
  <c r="N463" i="9"/>
  <c r="O463" i="9" s="1"/>
  <c r="L463" i="9"/>
  <c r="M463" i="9" s="1"/>
  <c r="J463" i="9"/>
  <c r="K463" i="9" s="1"/>
  <c r="H463" i="9"/>
  <c r="I463" i="9" s="1"/>
  <c r="F463" i="9"/>
  <c r="G463" i="9" s="1"/>
  <c r="E463" i="9"/>
  <c r="AB462" i="9"/>
  <c r="AC462" i="9" s="1"/>
  <c r="Z462" i="9"/>
  <c r="X462" i="9"/>
  <c r="V462" i="9"/>
  <c r="W462" i="9" s="1"/>
  <c r="T462" i="9"/>
  <c r="U462" i="9" s="1"/>
  <c r="R462" i="9"/>
  <c r="S462" i="9" s="1"/>
  <c r="P462" i="9"/>
  <c r="Q462" i="9" s="1"/>
  <c r="N462" i="9"/>
  <c r="O462" i="9" s="1"/>
  <c r="L462" i="9"/>
  <c r="M462" i="9" s="1"/>
  <c r="J462" i="9"/>
  <c r="K462" i="9" s="1"/>
  <c r="H462" i="9"/>
  <c r="I462" i="9" s="1"/>
  <c r="F462" i="9"/>
  <c r="G462" i="9" s="1"/>
  <c r="E462" i="9"/>
  <c r="AB461" i="9"/>
  <c r="AC461" i="9" s="1"/>
  <c r="Z461" i="9"/>
  <c r="X461" i="9"/>
  <c r="V461" i="9"/>
  <c r="W461" i="9" s="1"/>
  <c r="T461" i="9"/>
  <c r="U461" i="9" s="1"/>
  <c r="R461" i="9"/>
  <c r="S461" i="9" s="1"/>
  <c r="P461" i="9"/>
  <c r="Q461" i="9" s="1"/>
  <c r="N461" i="9"/>
  <c r="O461" i="9" s="1"/>
  <c r="L461" i="9"/>
  <c r="M461" i="9" s="1"/>
  <c r="J461" i="9"/>
  <c r="K461" i="9" s="1"/>
  <c r="H461" i="9"/>
  <c r="I461" i="9" s="1"/>
  <c r="F461" i="9"/>
  <c r="G461" i="9" s="1"/>
  <c r="E461" i="9"/>
  <c r="AB460" i="9"/>
  <c r="AC460" i="9" s="1"/>
  <c r="Z460" i="9"/>
  <c r="X460" i="9"/>
  <c r="V460" i="9"/>
  <c r="W460" i="9" s="1"/>
  <c r="T460" i="9"/>
  <c r="U460" i="9" s="1"/>
  <c r="R460" i="9"/>
  <c r="S460" i="9" s="1"/>
  <c r="P460" i="9"/>
  <c r="Q460" i="9" s="1"/>
  <c r="N460" i="9"/>
  <c r="O460" i="9" s="1"/>
  <c r="L460" i="9"/>
  <c r="M460" i="9" s="1"/>
  <c r="J460" i="9"/>
  <c r="K460" i="9" s="1"/>
  <c r="H460" i="9"/>
  <c r="I460" i="9" s="1"/>
  <c r="F460" i="9"/>
  <c r="G460" i="9" s="1"/>
  <c r="E460" i="9"/>
  <c r="AB459" i="9"/>
  <c r="AC459" i="9" s="1"/>
  <c r="Z459" i="9"/>
  <c r="X459" i="9"/>
  <c r="V459" i="9"/>
  <c r="W459" i="9" s="1"/>
  <c r="T459" i="9"/>
  <c r="U459" i="9" s="1"/>
  <c r="R459" i="9"/>
  <c r="S459" i="9" s="1"/>
  <c r="P459" i="9"/>
  <c r="Q459" i="9" s="1"/>
  <c r="N459" i="9"/>
  <c r="O459" i="9" s="1"/>
  <c r="L459" i="9"/>
  <c r="M459" i="9" s="1"/>
  <c r="J459" i="9"/>
  <c r="K459" i="9" s="1"/>
  <c r="H459" i="9"/>
  <c r="I459" i="9" s="1"/>
  <c r="F459" i="9"/>
  <c r="G459" i="9" s="1"/>
  <c r="E459" i="9"/>
  <c r="AB458" i="9"/>
  <c r="AC458" i="9" s="1"/>
  <c r="Z458" i="9"/>
  <c r="X458" i="9"/>
  <c r="V458" i="9"/>
  <c r="W458" i="9" s="1"/>
  <c r="T458" i="9"/>
  <c r="U458" i="9" s="1"/>
  <c r="R458" i="9"/>
  <c r="S458" i="9" s="1"/>
  <c r="P458" i="9"/>
  <c r="Q458" i="9" s="1"/>
  <c r="N458" i="9"/>
  <c r="O458" i="9" s="1"/>
  <c r="L458" i="9"/>
  <c r="M458" i="9" s="1"/>
  <c r="J458" i="9"/>
  <c r="K458" i="9" s="1"/>
  <c r="H458" i="9"/>
  <c r="I458" i="9" s="1"/>
  <c r="F458" i="9"/>
  <c r="G458" i="9" s="1"/>
  <c r="E458" i="9"/>
  <c r="AB457" i="9"/>
  <c r="AC457" i="9" s="1"/>
  <c r="Z457" i="9"/>
  <c r="X457" i="9"/>
  <c r="V457" i="9"/>
  <c r="W457" i="9" s="1"/>
  <c r="T457" i="9"/>
  <c r="U457" i="9" s="1"/>
  <c r="R457" i="9"/>
  <c r="S457" i="9" s="1"/>
  <c r="P457" i="9"/>
  <c r="Q457" i="9" s="1"/>
  <c r="N457" i="9"/>
  <c r="O457" i="9" s="1"/>
  <c r="L457" i="9"/>
  <c r="M457" i="9" s="1"/>
  <c r="J457" i="9"/>
  <c r="K457" i="9" s="1"/>
  <c r="H457" i="9"/>
  <c r="I457" i="9" s="1"/>
  <c r="F457" i="9"/>
  <c r="G457" i="9" s="1"/>
  <c r="E457" i="9"/>
  <c r="AB456" i="9"/>
  <c r="AC456" i="9" s="1"/>
  <c r="Z456" i="9"/>
  <c r="X456" i="9"/>
  <c r="V456" i="9"/>
  <c r="W456" i="9" s="1"/>
  <c r="T456" i="9"/>
  <c r="U456" i="9" s="1"/>
  <c r="R456" i="9"/>
  <c r="S456" i="9" s="1"/>
  <c r="P456" i="9"/>
  <c r="Q456" i="9" s="1"/>
  <c r="N456" i="9"/>
  <c r="O456" i="9" s="1"/>
  <c r="L456" i="9"/>
  <c r="M456" i="9" s="1"/>
  <c r="J456" i="9"/>
  <c r="K456" i="9" s="1"/>
  <c r="H456" i="9"/>
  <c r="I456" i="9" s="1"/>
  <c r="F456" i="9"/>
  <c r="G456" i="9" s="1"/>
  <c r="E456" i="9"/>
  <c r="AB455" i="9"/>
  <c r="AC455" i="9" s="1"/>
  <c r="Z455" i="9"/>
  <c r="X455" i="9"/>
  <c r="V455" i="9"/>
  <c r="W455" i="9" s="1"/>
  <c r="T455" i="9"/>
  <c r="U455" i="9" s="1"/>
  <c r="R455" i="9"/>
  <c r="S455" i="9" s="1"/>
  <c r="P455" i="9"/>
  <c r="Q455" i="9" s="1"/>
  <c r="N455" i="9"/>
  <c r="O455" i="9" s="1"/>
  <c r="L455" i="9"/>
  <c r="M455" i="9" s="1"/>
  <c r="J455" i="9"/>
  <c r="K455" i="9" s="1"/>
  <c r="H455" i="9"/>
  <c r="I455" i="9" s="1"/>
  <c r="F455" i="9"/>
  <c r="G455" i="9" s="1"/>
  <c r="E455" i="9"/>
  <c r="AB454" i="9"/>
  <c r="AC454" i="9" s="1"/>
  <c r="Z454" i="9"/>
  <c r="X454" i="9"/>
  <c r="V454" i="9"/>
  <c r="W454" i="9" s="1"/>
  <c r="T454" i="9"/>
  <c r="U454" i="9" s="1"/>
  <c r="R454" i="9"/>
  <c r="S454" i="9" s="1"/>
  <c r="P454" i="9"/>
  <c r="Q454" i="9" s="1"/>
  <c r="N454" i="9"/>
  <c r="O454" i="9" s="1"/>
  <c r="L454" i="9"/>
  <c r="M454" i="9" s="1"/>
  <c r="J454" i="9"/>
  <c r="K454" i="9" s="1"/>
  <c r="H454" i="9"/>
  <c r="I454" i="9" s="1"/>
  <c r="F454" i="9"/>
  <c r="G454" i="9" s="1"/>
  <c r="E454" i="9"/>
  <c r="AB453" i="9"/>
  <c r="AC453" i="9" s="1"/>
  <c r="Z453" i="9"/>
  <c r="X453" i="9"/>
  <c r="V453" i="9"/>
  <c r="W453" i="9" s="1"/>
  <c r="T453" i="9"/>
  <c r="U453" i="9" s="1"/>
  <c r="R453" i="9"/>
  <c r="S453" i="9" s="1"/>
  <c r="P453" i="9"/>
  <c r="Q453" i="9" s="1"/>
  <c r="N453" i="9"/>
  <c r="O453" i="9" s="1"/>
  <c r="L453" i="9"/>
  <c r="M453" i="9" s="1"/>
  <c r="J453" i="9"/>
  <c r="K453" i="9" s="1"/>
  <c r="H453" i="9"/>
  <c r="I453" i="9" s="1"/>
  <c r="F453" i="9"/>
  <c r="G453" i="9" s="1"/>
  <c r="E453" i="9"/>
  <c r="AB452" i="9"/>
  <c r="AC452" i="9" s="1"/>
  <c r="Z452" i="9"/>
  <c r="X452" i="9"/>
  <c r="V452" i="9"/>
  <c r="W452" i="9" s="1"/>
  <c r="T452" i="9"/>
  <c r="U452" i="9" s="1"/>
  <c r="R452" i="9"/>
  <c r="S452" i="9" s="1"/>
  <c r="P452" i="9"/>
  <c r="Q452" i="9" s="1"/>
  <c r="N452" i="9"/>
  <c r="O452" i="9" s="1"/>
  <c r="L452" i="9"/>
  <c r="M452" i="9" s="1"/>
  <c r="J452" i="9"/>
  <c r="K452" i="9" s="1"/>
  <c r="H452" i="9"/>
  <c r="I452" i="9" s="1"/>
  <c r="F452" i="9"/>
  <c r="G452" i="9" s="1"/>
  <c r="E452" i="9"/>
  <c r="AB451" i="9"/>
  <c r="AC451" i="9" s="1"/>
  <c r="Z451" i="9"/>
  <c r="X451" i="9"/>
  <c r="V451" i="9"/>
  <c r="W451" i="9" s="1"/>
  <c r="T451" i="9"/>
  <c r="U451" i="9" s="1"/>
  <c r="R451" i="9"/>
  <c r="S451" i="9" s="1"/>
  <c r="P451" i="9"/>
  <c r="Q451" i="9" s="1"/>
  <c r="N451" i="9"/>
  <c r="O451" i="9" s="1"/>
  <c r="L451" i="9"/>
  <c r="M451" i="9" s="1"/>
  <c r="J451" i="9"/>
  <c r="K451" i="9" s="1"/>
  <c r="H451" i="9"/>
  <c r="I451" i="9" s="1"/>
  <c r="F451" i="9"/>
  <c r="G451" i="9" s="1"/>
  <c r="E451" i="9"/>
  <c r="AB450" i="9"/>
  <c r="AC450" i="9" s="1"/>
  <c r="Z450" i="9"/>
  <c r="X450" i="9"/>
  <c r="V450" i="9"/>
  <c r="W450" i="9" s="1"/>
  <c r="T450" i="9"/>
  <c r="U450" i="9" s="1"/>
  <c r="R450" i="9"/>
  <c r="S450" i="9" s="1"/>
  <c r="P450" i="9"/>
  <c r="Q450" i="9" s="1"/>
  <c r="N450" i="9"/>
  <c r="O450" i="9" s="1"/>
  <c r="L450" i="9"/>
  <c r="M450" i="9" s="1"/>
  <c r="J450" i="9"/>
  <c r="K450" i="9" s="1"/>
  <c r="H450" i="9"/>
  <c r="I450" i="9" s="1"/>
  <c r="F450" i="9"/>
  <c r="G450" i="9" s="1"/>
  <c r="E450" i="9"/>
  <c r="AB449" i="9"/>
  <c r="AC449" i="9" s="1"/>
  <c r="Z449" i="9"/>
  <c r="X449" i="9"/>
  <c r="V449" i="9"/>
  <c r="W449" i="9" s="1"/>
  <c r="T449" i="9"/>
  <c r="U449" i="9" s="1"/>
  <c r="R449" i="9"/>
  <c r="S449" i="9" s="1"/>
  <c r="P449" i="9"/>
  <c r="Q449" i="9" s="1"/>
  <c r="N449" i="9"/>
  <c r="O449" i="9" s="1"/>
  <c r="L449" i="9"/>
  <c r="M449" i="9" s="1"/>
  <c r="J449" i="9"/>
  <c r="K449" i="9" s="1"/>
  <c r="H449" i="9"/>
  <c r="I449" i="9" s="1"/>
  <c r="F449" i="9"/>
  <c r="G449" i="9" s="1"/>
  <c r="E449" i="9"/>
  <c r="AB448" i="9"/>
  <c r="AC448" i="9" s="1"/>
  <c r="Z448" i="9"/>
  <c r="X448" i="9"/>
  <c r="V448" i="9"/>
  <c r="W448" i="9" s="1"/>
  <c r="T448" i="9"/>
  <c r="U448" i="9" s="1"/>
  <c r="R448" i="9"/>
  <c r="S448" i="9" s="1"/>
  <c r="P448" i="9"/>
  <c r="Q448" i="9" s="1"/>
  <c r="N448" i="9"/>
  <c r="O448" i="9" s="1"/>
  <c r="L448" i="9"/>
  <c r="M448" i="9" s="1"/>
  <c r="J448" i="9"/>
  <c r="K448" i="9" s="1"/>
  <c r="H448" i="9"/>
  <c r="I448" i="9" s="1"/>
  <c r="F448" i="9"/>
  <c r="G448" i="9" s="1"/>
  <c r="E448" i="9"/>
  <c r="AB447" i="9"/>
  <c r="AC447" i="9" s="1"/>
  <c r="Z447" i="9"/>
  <c r="X447" i="9"/>
  <c r="V447" i="9"/>
  <c r="W447" i="9" s="1"/>
  <c r="T447" i="9"/>
  <c r="U447" i="9" s="1"/>
  <c r="R447" i="9"/>
  <c r="S447" i="9" s="1"/>
  <c r="P447" i="9"/>
  <c r="Q447" i="9" s="1"/>
  <c r="N447" i="9"/>
  <c r="O447" i="9" s="1"/>
  <c r="L447" i="9"/>
  <c r="M447" i="9" s="1"/>
  <c r="J447" i="9"/>
  <c r="K447" i="9" s="1"/>
  <c r="H447" i="9"/>
  <c r="I447" i="9" s="1"/>
  <c r="F447" i="9"/>
  <c r="G447" i="9" s="1"/>
  <c r="E447" i="9"/>
  <c r="AB446" i="9"/>
  <c r="AC446" i="9" s="1"/>
  <c r="Z446" i="9"/>
  <c r="X446" i="9"/>
  <c r="V446" i="9"/>
  <c r="W446" i="9" s="1"/>
  <c r="T446" i="9"/>
  <c r="U446" i="9" s="1"/>
  <c r="R446" i="9"/>
  <c r="S446" i="9" s="1"/>
  <c r="P446" i="9"/>
  <c r="Q446" i="9" s="1"/>
  <c r="N446" i="9"/>
  <c r="O446" i="9" s="1"/>
  <c r="L446" i="9"/>
  <c r="M446" i="9" s="1"/>
  <c r="J446" i="9"/>
  <c r="K446" i="9" s="1"/>
  <c r="H446" i="9"/>
  <c r="I446" i="9" s="1"/>
  <c r="F446" i="9"/>
  <c r="G446" i="9" s="1"/>
  <c r="E446" i="9"/>
  <c r="AB445" i="9"/>
  <c r="AC445" i="9" s="1"/>
  <c r="Z445" i="9"/>
  <c r="X445" i="9"/>
  <c r="V445" i="9"/>
  <c r="W445" i="9" s="1"/>
  <c r="T445" i="9"/>
  <c r="U445" i="9" s="1"/>
  <c r="R445" i="9"/>
  <c r="S445" i="9" s="1"/>
  <c r="P445" i="9"/>
  <c r="Q445" i="9" s="1"/>
  <c r="N445" i="9"/>
  <c r="O445" i="9" s="1"/>
  <c r="L445" i="9"/>
  <c r="M445" i="9" s="1"/>
  <c r="J445" i="9"/>
  <c r="K445" i="9" s="1"/>
  <c r="H445" i="9"/>
  <c r="I445" i="9" s="1"/>
  <c r="F445" i="9"/>
  <c r="G445" i="9" s="1"/>
  <c r="E445" i="9"/>
  <c r="AB444" i="9"/>
  <c r="AC444" i="9" s="1"/>
  <c r="Z444" i="9"/>
  <c r="X444" i="9"/>
  <c r="V444" i="9"/>
  <c r="W444" i="9" s="1"/>
  <c r="T444" i="9"/>
  <c r="U444" i="9" s="1"/>
  <c r="R444" i="9"/>
  <c r="S444" i="9" s="1"/>
  <c r="P444" i="9"/>
  <c r="Q444" i="9" s="1"/>
  <c r="N444" i="9"/>
  <c r="O444" i="9" s="1"/>
  <c r="L444" i="9"/>
  <c r="M444" i="9" s="1"/>
  <c r="J444" i="9"/>
  <c r="K444" i="9" s="1"/>
  <c r="H444" i="9"/>
  <c r="I444" i="9" s="1"/>
  <c r="F444" i="9"/>
  <c r="G444" i="9" s="1"/>
  <c r="E444" i="9"/>
  <c r="AB443" i="9"/>
  <c r="AC443" i="9" s="1"/>
  <c r="Z443" i="9"/>
  <c r="X443" i="9"/>
  <c r="V443" i="9"/>
  <c r="W443" i="9" s="1"/>
  <c r="T443" i="9"/>
  <c r="U443" i="9" s="1"/>
  <c r="R443" i="9"/>
  <c r="S443" i="9" s="1"/>
  <c r="P443" i="9"/>
  <c r="Q443" i="9" s="1"/>
  <c r="N443" i="9"/>
  <c r="O443" i="9" s="1"/>
  <c r="L443" i="9"/>
  <c r="M443" i="9" s="1"/>
  <c r="J443" i="9"/>
  <c r="K443" i="9" s="1"/>
  <c r="H443" i="9"/>
  <c r="I443" i="9" s="1"/>
  <c r="F443" i="9"/>
  <c r="G443" i="9" s="1"/>
  <c r="E443" i="9"/>
  <c r="AB442" i="9"/>
  <c r="AC442" i="9" s="1"/>
  <c r="Z442" i="9"/>
  <c r="X442" i="9"/>
  <c r="V442" i="9"/>
  <c r="W442" i="9" s="1"/>
  <c r="T442" i="9"/>
  <c r="U442" i="9" s="1"/>
  <c r="R442" i="9"/>
  <c r="S442" i="9" s="1"/>
  <c r="P442" i="9"/>
  <c r="Q442" i="9" s="1"/>
  <c r="N442" i="9"/>
  <c r="O442" i="9" s="1"/>
  <c r="L442" i="9"/>
  <c r="M442" i="9" s="1"/>
  <c r="J442" i="9"/>
  <c r="K442" i="9" s="1"/>
  <c r="H442" i="9"/>
  <c r="I442" i="9" s="1"/>
  <c r="F442" i="9"/>
  <c r="G442" i="9" s="1"/>
  <c r="E442" i="9"/>
  <c r="AB441" i="9"/>
  <c r="AC441" i="9" s="1"/>
  <c r="Z441" i="9"/>
  <c r="X441" i="9"/>
  <c r="V441" i="9"/>
  <c r="W441" i="9" s="1"/>
  <c r="T441" i="9"/>
  <c r="U441" i="9" s="1"/>
  <c r="R441" i="9"/>
  <c r="S441" i="9" s="1"/>
  <c r="P441" i="9"/>
  <c r="Q441" i="9" s="1"/>
  <c r="N441" i="9"/>
  <c r="O441" i="9" s="1"/>
  <c r="L441" i="9"/>
  <c r="M441" i="9" s="1"/>
  <c r="J441" i="9"/>
  <c r="K441" i="9" s="1"/>
  <c r="H441" i="9"/>
  <c r="I441" i="9" s="1"/>
  <c r="F441" i="9"/>
  <c r="G441" i="9" s="1"/>
  <c r="E441" i="9"/>
  <c r="AB440" i="9"/>
  <c r="AC440" i="9" s="1"/>
  <c r="Z440" i="9"/>
  <c r="X440" i="9"/>
  <c r="V440" i="9"/>
  <c r="W440" i="9" s="1"/>
  <c r="T440" i="9"/>
  <c r="U440" i="9" s="1"/>
  <c r="R440" i="9"/>
  <c r="S440" i="9" s="1"/>
  <c r="P440" i="9"/>
  <c r="Q440" i="9" s="1"/>
  <c r="N440" i="9"/>
  <c r="O440" i="9" s="1"/>
  <c r="L440" i="9"/>
  <c r="M440" i="9" s="1"/>
  <c r="J440" i="9"/>
  <c r="K440" i="9" s="1"/>
  <c r="H440" i="9"/>
  <c r="I440" i="9" s="1"/>
  <c r="F440" i="9"/>
  <c r="G440" i="9" s="1"/>
  <c r="E440" i="9"/>
  <c r="AB439" i="9"/>
  <c r="AC439" i="9" s="1"/>
  <c r="Z439" i="9"/>
  <c r="X439" i="9"/>
  <c r="V439" i="9"/>
  <c r="W439" i="9" s="1"/>
  <c r="T439" i="9"/>
  <c r="U439" i="9" s="1"/>
  <c r="R439" i="9"/>
  <c r="S439" i="9" s="1"/>
  <c r="P439" i="9"/>
  <c r="Q439" i="9" s="1"/>
  <c r="N439" i="9"/>
  <c r="O439" i="9" s="1"/>
  <c r="L439" i="9"/>
  <c r="M439" i="9" s="1"/>
  <c r="J439" i="9"/>
  <c r="K439" i="9" s="1"/>
  <c r="H439" i="9"/>
  <c r="I439" i="9" s="1"/>
  <c r="F439" i="9"/>
  <c r="G439" i="9" s="1"/>
  <c r="E439" i="9"/>
  <c r="AB438" i="9"/>
  <c r="AC438" i="9" s="1"/>
  <c r="Z438" i="9"/>
  <c r="X438" i="9"/>
  <c r="V438" i="9"/>
  <c r="W438" i="9" s="1"/>
  <c r="T438" i="9"/>
  <c r="U438" i="9" s="1"/>
  <c r="R438" i="9"/>
  <c r="S438" i="9" s="1"/>
  <c r="P438" i="9"/>
  <c r="Q438" i="9" s="1"/>
  <c r="N438" i="9"/>
  <c r="O438" i="9" s="1"/>
  <c r="L438" i="9"/>
  <c r="M438" i="9" s="1"/>
  <c r="J438" i="9"/>
  <c r="K438" i="9" s="1"/>
  <c r="H438" i="9"/>
  <c r="I438" i="9" s="1"/>
  <c r="F438" i="9"/>
  <c r="G438" i="9" s="1"/>
  <c r="E438" i="9"/>
  <c r="AB437" i="9"/>
  <c r="AC437" i="9" s="1"/>
  <c r="Z437" i="9"/>
  <c r="X437" i="9"/>
  <c r="V437" i="9"/>
  <c r="W437" i="9" s="1"/>
  <c r="T437" i="9"/>
  <c r="U437" i="9" s="1"/>
  <c r="R437" i="9"/>
  <c r="S437" i="9" s="1"/>
  <c r="P437" i="9"/>
  <c r="Q437" i="9" s="1"/>
  <c r="N437" i="9"/>
  <c r="O437" i="9" s="1"/>
  <c r="L437" i="9"/>
  <c r="M437" i="9" s="1"/>
  <c r="J437" i="9"/>
  <c r="K437" i="9" s="1"/>
  <c r="H437" i="9"/>
  <c r="I437" i="9" s="1"/>
  <c r="F437" i="9"/>
  <c r="G437" i="9" s="1"/>
  <c r="E437" i="9"/>
  <c r="AB436" i="9"/>
  <c r="AC436" i="9" s="1"/>
  <c r="Z436" i="9"/>
  <c r="X436" i="9"/>
  <c r="V436" i="9"/>
  <c r="W436" i="9" s="1"/>
  <c r="T436" i="9"/>
  <c r="U436" i="9" s="1"/>
  <c r="R436" i="9"/>
  <c r="S436" i="9" s="1"/>
  <c r="P436" i="9"/>
  <c r="Q436" i="9" s="1"/>
  <c r="N436" i="9"/>
  <c r="O436" i="9" s="1"/>
  <c r="L436" i="9"/>
  <c r="M436" i="9" s="1"/>
  <c r="J436" i="9"/>
  <c r="K436" i="9" s="1"/>
  <c r="H436" i="9"/>
  <c r="I436" i="9" s="1"/>
  <c r="F436" i="9"/>
  <c r="G436" i="9" s="1"/>
  <c r="E436" i="9"/>
  <c r="AB435" i="9"/>
  <c r="AC435" i="9" s="1"/>
  <c r="Z435" i="9"/>
  <c r="X435" i="9"/>
  <c r="V435" i="9"/>
  <c r="W435" i="9" s="1"/>
  <c r="T435" i="9"/>
  <c r="U435" i="9" s="1"/>
  <c r="R435" i="9"/>
  <c r="S435" i="9" s="1"/>
  <c r="P435" i="9"/>
  <c r="Q435" i="9" s="1"/>
  <c r="N435" i="9"/>
  <c r="O435" i="9" s="1"/>
  <c r="L435" i="9"/>
  <c r="M435" i="9" s="1"/>
  <c r="J435" i="9"/>
  <c r="K435" i="9" s="1"/>
  <c r="H435" i="9"/>
  <c r="I435" i="9" s="1"/>
  <c r="F435" i="9"/>
  <c r="G435" i="9" s="1"/>
  <c r="E435" i="9"/>
  <c r="AB434" i="9"/>
  <c r="AC434" i="9" s="1"/>
  <c r="Z434" i="9"/>
  <c r="X434" i="9"/>
  <c r="V434" i="9"/>
  <c r="W434" i="9" s="1"/>
  <c r="T434" i="9"/>
  <c r="U434" i="9" s="1"/>
  <c r="R434" i="9"/>
  <c r="S434" i="9" s="1"/>
  <c r="P434" i="9"/>
  <c r="Q434" i="9" s="1"/>
  <c r="N434" i="9"/>
  <c r="O434" i="9" s="1"/>
  <c r="L434" i="9"/>
  <c r="M434" i="9" s="1"/>
  <c r="J434" i="9"/>
  <c r="K434" i="9" s="1"/>
  <c r="H434" i="9"/>
  <c r="I434" i="9" s="1"/>
  <c r="F434" i="9"/>
  <c r="G434" i="9" s="1"/>
  <c r="E434" i="9"/>
  <c r="AB433" i="9"/>
  <c r="AC433" i="9" s="1"/>
  <c r="Z433" i="9"/>
  <c r="X433" i="9"/>
  <c r="V433" i="9"/>
  <c r="W433" i="9" s="1"/>
  <c r="T433" i="9"/>
  <c r="U433" i="9" s="1"/>
  <c r="R433" i="9"/>
  <c r="S433" i="9" s="1"/>
  <c r="P433" i="9"/>
  <c r="Q433" i="9" s="1"/>
  <c r="N433" i="9"/>
  <c r="O433" i="9" s="1"/>
  <c r="L433" i="9"/>
  <c r="M433" i="9" s="1"/>
  <c r="J433" i="9"/>
  <c r="K433" i="9" s="1"/>
  <c r="H433" i="9"/>
  <c r="I433" i="9" s="1"/>
  <c r="F433" i="9"/>
  <c r="G433" i="9" s="1"/>
  <c r="E433" i="9"/>
  <c r="AB432" i="9"/>
  <c r="AC432" i="9" s="1"/>
  <c r="Z432" i="9"/>
  <c r="X432" i="9"/>
  <c r="V432" i="9"/>
  <c r="W432" i="9" s="1"/>
  <c r="T432" i="9"/>
  <c r="U432" i="9" s="1"/>
  <c r="R432" i="9"/>
  <c r="S432" i="9" s="1"/>
  <c r="P432" i="9"/>
  <c r="Q432" i="9" s="1"/>
  <c r="N432" i="9"/>
  <c r="O432" i="9" s="1"/>
  <c r="L432" i="9"/>
  <c r="M432" i="9" s="1"/>
  <c r="J432" i="9"/>
  <c r="K432" i="9" s="1"/>
  <c r="H432" i="9"/>
  <c r="I432" i="9" s="1"/>
  <c r="F432" i="9"/>
  <c r="G432" i="9" s="1"/>
  <c r="E432" i="9"/>
  <c r="AB431" i="9"/>
  <c r="AC431" i="9" s="1"/>
  <c r="Z431" i="9"/>
  <c r="X431" i="9"/>
  <c r="V431" i="9"/>
  <c r="W431" i="9" s="1"/>
  <c r="T431" i="9"/>
  <c r="U431" i="9" s="1"/>
  <c r="R431" i="9"/>
  <c r="S431" i="9" s="1"/>
  <c r="P431" i="9"/>
  <c r="Q431" i="9" s="1"/>
  <c r="N431" i="9"/>
  <c r="O431" i="9" s="1"/>
  <c r="L431" i="9"/>
  <c r="M431" i="9" s="1"/>
  <c r="J431" i="9"/>
  <c r="K431" i="9" s="1"/>
  <c r="H431" i="9"/>
  <c r="I431" i="9" s="1"/>
  <c r="F431" i="9"/>
  <c r="G431" i="9" s="1"/>
  <c r="E431" i="9"/>
  <c r="AB430" i="9"/>
  <c r="AC430" i="9" s="1"/>
  <c r="Z430" i="9"/>
  <c r="X430" i="9"/>
  <c r="V430" i="9"/>
  <c r="W430" i="9" s="1"/>
  <c r="T430" i="9"/>
  <c r="U430" i="9" s="1"/>
  <c r="R430" i="9"/>
  <c r="S430" i="9" s="1"/>
  <c r="P430" i="9"/>
  <c r="Q430" i="9" s="1"/>
  <c r="N430" i="9"/>
  <c r="O430" i="9" s="1"/>
  <c r="L430" i="9"/>
  <c r="M430" i="9" s="1"/>
  <c r="J430" i="9"/>
  <c r="K430" i="9" s="1"/>
  <c r="H430" i="9"/>
  <c r="I430" i="9" s="1"/>
  <c r="F430" i="9"/>
  <c r="G430" i="9" s="1"/>
  <c r="E430" i="9"/>
  <c r="AB429" i="9"/>
  <c r="AC429" i="9" s="1"/>
  <c r="Z429" i="9"/>
  <c r="X429" i="9"/>
  <c r="V429" i="9"/>
  <c r="W429" i="9" s="1"/>
  <c r="T429" i="9"/>
  <c r="U429" i="9" s="1"/>
  <c r="R429" i="9"/>
  <c r="S429" i="9" s="1"/>
  <c r="P429" i="9"/>
  <c r="Q429" i="9" s="1"/>
  <c r="N429" i="9"/>
  <c r="O429" i="9" s="1"/>
  <c r="L429" i="9"/>
  <c r="M429" i="9" s="1"/>
  <c r="J429" i="9"/>
  <c r="K429" i="9" s="1"/>
  <c r="H429" i="9"/>
  <c r="I429" i="9" s="1"/>
  <c r="F429" i="9"/>
  <c r="G429" i="9" s="1"/>
  <c r="E429" i="9"/>
  <c r="AB428" i="9"/>
  <c r="AC428" i="9" s="1"/>
  <c r="Z428" i="9"/>
  <c r="X428" i="9"/>
  <c r="V428" i="9"/>
  <c r="W428" i="9" s="1"/>
  <c r="T428" i="9"/>
  <c r="U428" i="9" s="1"/>
  <c r="R428" i="9"/>
  <c r="S428" i="9" s="1"/>
  <c r="P428" i="9"/>
  <c r="Q428" i="9" s="1"/>
  <c r="N428" i="9"/>
  <c r="O428" i="9" s="1"/>
  <c r="L428" i="9"/>
  <c r="M428" i="9" s="1"/>
  <c r="J428" i="9"/>
  <c r="K428" i="9" s="1"/>
  <c r="H428" i="9"/>
  <c r="I428" i="9" s="1"/>
  <c r="F428" i="9"/>
  <c r="G428" i="9" s="1"/>
  <c r="E428" i="9"/>
  <c r="AB427" i="9"/>
  <c r="AC427" i="9" s="1"/>
  <c r="Z427" i="9"/>
  <c r="X427" i="9"/>
  <c r="V427" i="9"/>
  <c r="W427" i="9" s="1"/>
  <c r="T427" i="9"/>
  <c r="U427" i="9" s="1"/>
  <c r="R427" i="9"/>
  <c r="S427" i="9" s="1"/>
  <c r="P427" i="9"/>
  <c r="Q427" i="9" s="1"/>
  <c r="N427" i="9"/>
  <c r="O427" i="9" s="1"/>
  <c r="L427" i="9"/>
  <c r="M427" i="9" s="1"/>
  <c r="J427" i="9"/>
  <c r="K427" i="9" s="1"/>
  <c r="H427" i="9"/>
  <c r="I427" i="9" s="1"/>
  <c r="F427" i="9"/>
  <c r="G427" i="9" s="1"/>
  <c r="E427" i="9"/>
  <c r="AB426" i="9"/>
  <c r="AC426" i="9" s="1"/>
  <c r="Z426" i="9"/>
  <c r="X426" i="9"/>
  <c r="V426" i="9"/>
  <c r="W426" i="9" s="1"/>
  <c r="T426" i="9"/>
  <c r="U426" i="9" s="1"/>
  <c r="R426" i="9"/>
  <c r="S426" i="9" s="1"/>
  <c r="P426" i="9"/>
  <c r="Q426" i="9" s="1"/>
  <c r="N426" i="9"/>
  <c r="O426" i="9" s="1"/>
  <c r="L426" i="9"/>
  <c r="M426" i="9" s="1"/>
  <c r="J426" i="9"/>
  <c r="K426" i="9" s="1"/>
  <c r="H426" i="9"/>
  <c r="I426" i="9" s="1"/>
  <c r="F426" i="9"/>
  <c r="G426" i="9" s="1"/>
  <c r="E426" i="9"/>
  <c r="AB425" i="9"/>
  <c r="AC425" i="9" s="1"/>
  <c r="Z425" i="9"/>
  <c r="X425" i="9"/>
  <c r="V425" i="9"/>
  <c r="W425" i="9" s="1"/>
  <c r="T425" i="9"/>
  <c r="U425" i="9" s="1"/>
  <c r="R425" i="9"/>
  <c r="S425" i="9" s="1"/>
  <c r="P425" i="9"/>
  <c r="Q425" i="9" s="1"/>
  <c r="N425" i="9"/>
  <c r="O425" i="9" s="1"/>
  <c r="L425" i="9"/>
  <c r="M425" i="9" s="1"/>
  <c r="J425" i="9"/>
  <c r="K425" i="9" s="1"/>
  <c r="H425" i="9"/>
  <c r="I425" i="9" s="1"/>
  <c r="F425" i="9"/>
  <c r="G425" i="9" s="1"/>
  <c r="E425" i="9"/>
  <c r="AB424" i="9"/>
  <c r="AC424" i="9" s="1"/>
  <c r="Z424" i="9"/>
  <c r="X424" i="9"/>
  <c r="V424" i="9"/>
  <c r="W424" i="9" s="1"/>
  <c r="T424" i="9"/>
  <c r="U424" i="9" s="1"/>
  <c r="R424" i="9"/>
  <c r="S424" i="9" s="1"/>
  <c r="P424" i="9"/>
  <c r="Q424" i="9" s="1"/>
  <c r="N424" i="9"/>
  <c r="O424" i="9" s="1"/>
  <c r="L424" i="9"/>
  <c r="M424" i="9" s="1"/>
  <c r="J424" i="9"/>
  <c r="K424" i="9" s="1"/>
  <c r="H424" i="9"/>
  <c r="I424" i="9" s="1"/>
  <c r="F424" i="9"/>
  <c r="G424" i="9" s="1"/>
  <c r="E424" i="9"/>
  <c r="AB423" i="9"/>
  <c r="AC423" i="9" s="1"/>
  <c r="Z423" i="9"/>
  <c r="X423" i="9"/>
  <c r="V423" i="9"/>
  <c r="W423" i="9" s="1"/>
  <c r="T423" i="9"/>
  <c r="U423" i="9" s="1"/>
  <c r="R423" i="9"/>
  <c r="S423" i="9" s="1"/>
  <c r="P423" i="9"/>
  <c r="Q423" i="9" s="1"/>
  <c r="N423" i="9"/>
  <c r="O423" i="9" s="1"/>
  <c r="L423" i="9"/>
  <c r="M423" i="9" s="1"/>
  <c r="J423" i="9"/>
  <c r="K423" i="9" s="1"/>
  <c r="H423" i="9"/>
  <c r="I423" i="9" s="1"/>
  <c r="F423" i="9"/>
  <c r="G423" i="9" s="1"/>
  <c r="E423" i="9"/>
  <c r="AB422" i="9"/>
  <c r="AC422" i="9" s="1"/>
  <c r="Z422" i="9"/>
  <c r="X422" i="9"/>
  <c r="V422" i="9"/>
  <c r="W422" i="9" s="1"/>
  <c r="T422" i="9"/>
  <c r="U422" i="9" s="1"/>
  <c r="R422" i="9"/>
  <c r="S422" i="9" s="1"/>
  <c r="P422" i="9"/>
  <c r="Q422" i="9" s="1"/>
  <c r="N422" i="9"/>
  <c r="O422" i="9" s="1"/>
  <c r="L422" i="9"/>
  <c r="M422" i="9" s="1"/>
  <c r="J422" i="9"/>
  <c r="K422" i="9" s="1"/>
  <c r="H422" i="9"/>
  <c r="I422" i="9" s="1"/>
  <c r="F422" i="9"/>
  <c r="G422" i="9" s="1"/>
  <c r="E422" i="9"/>
  <c r="AB421" i="9"/>
  <c r="AC421" i="9" s="1"/>
  <c r="Z421" i="9"/>
  <c r="X421" i="9"/>
  <c r="V421" i="9"/>
  <c r="W421" i="9" s="1"/>
  <c r="T421" i="9"/>
  <c r="U421" i="9" s="1"/>
  <c r="R421" i="9"/>
  <c r="S421" i="9" s="1"/>
  <c r="P421" i="9"/>
  <c r="Q421" i="9" s="1"/>
  <c r="N421" i="9"/>
  <c r="O421" i="9" s="1"/>
  <c r="L421" i="9"/>
  <c r="M421" i="9" s="1"/>
  <c r="J421" i="9"/>
  <c r="K421" i="9" s="1"/>
  <c r="H421" i="9"/>
  <c r="I421" i="9" s="1"/>
  <c r="F421" i="9"/>
  <c r="G421" i="9" s="1"/>
  <c r="E421" i="9"/>
  <c r="AB420" i="9"/>
  <c r="AC420" i="9" s="1"/>
  <c r="Z420" i="9"/>
  <c r="X420" i="9"/>
  <c r="V420" i="9"/>
  <c r="W420" i="9" s="1"/>
  <c r="T420" i="9"/>
  <c r="U420" i="9" s="1"/>
  <c r="R420" i="9"/>
  <c r="S420" i="9" s="1"/>
  <c r="P420" i="9"/>
  <c r="Q420" i="9" s="1"/>
  <c r="N420" i="9"/>
  <c r="O420" i="9" s="1"/>
  <c r="L420" i="9"/>
  <c r="M420" i="9" s="1"/>
  <c r="J420" i="9"/>
  <c r="K420" i="9" s="1"/>
  <c r="H420" i="9"/>
  <c r="I420" i="9" s="1"/>
  <c r="F420" i="9"/>
  <c r="G420" i="9" s="1"/>
  <c r="E420" i="9"/>
  <c r="AB419" i="9"/>
  <c r="AC419" i="9" s="1"/>
  <c r="Z419" i="9"/>
  <c r="X419" i="9"/>
  <c r="V419" i="9"/>
  <c r="W419" i="9" s="1"/>
  <c r="T419" i="9"/>
  <c r="U419" i="9" s="1"/>
  <c r="R419" i="9"/>
  <c r="S419" i="9" s="1"/>
  <c r="P419" i="9"/>
  <c r="Q419" i="9" s="1"/>
  <c r="N419" i="9"/>
  <c r="O419" i="9" s="1"/>
  <c r="L419" i="9"/>
  <c r="M419" i="9" s="1"/>
  <c r="J419" i="9"/>
  <c r="K419" i="9" s="1"/>
  <c r="H419" i="9"/>
  <c r="I419" i="9" s="1"/>
  <c r="F419" i="9"/>
  <c r="G419" i="9" s="1"/>
  <c r="E419" i="9"/>
  <c r="AB418" i="9"/>
  <c r="AC418" i="9" s="1"/>
  <c r="Z418" i="9"/>
  <c r="X418" i="9"/>
  <c r="V418" i="9"/>
  <c r="W418" i="9" s="1"/>
  <c r="T418" i="9"/>
  <c r="U418" i="9" s="1"/>
  <c r="R418" i="9"/>
  <c r="S418" i="9" s="1"/>
  <c r="P418" i="9"/>
  <c r="Q418" i="9" s="1"/>
  <c r="N418" i="9"/>
  <c r="O418" i="9" s="1"/>
  <c r="L418" i="9"/>
  <c r="M418" i="9" s="1"/>
  <c r="J418" i="9"/>
  <c r="K418" i="9" s="1"/>
  <c r="H418" i="9"/>
  <c r="I418" i="9" s="1"/>
  <c r="F418" i="9"/>
  <c r="G418" i="9" s="1"/>
  <c r="E418" i="9"/>
  <c r="AB417" i="9"/>
  <c r="AC417" i="9" s="1"/>
  <c r="Z417" i="9"/>
  <c r="X417" i="9"/>
  <c r="V417" i="9"/>
  <c r="W417" i="9" s="1"/>
  <c r="T417" i="9"/>
  <c r="U417" i="9" s="1"/>
  <c r="R417" i="9"/>
  <c r="S417" i="9" s="1"/>
  <c r="P417" i="9"/>
  <c r="Q417" i="9" s="1"/>
  <c r="N417" i="9"/>
  <c r="O417" i="9" s="1"/>
  <c r="L417" i="9"/>
  <c r="M417" i="9" s="1"/>
  <c r="J417" i="9"/>
  <c r="K417" i="9" s="1"/>
  <c r="H417" i="9"/>
  <c r="I417" i="9" s="1"/>
  <c r="F417" i="9"/>
  <c r="G417" i="9" s="1"/>
  <c r="E417" i="9"/>
  <c r="AB416" i="9"/>
  <c r="AC416" i="9" s="1"/>
  <c r="Z416" i="9"/>
  <c r="X416" i="9"/>
  <c r="V416" i="9"/>
  <c r="W416" i="9" s="1"/>
  <c r="T416" i="9"/>
  <c r="U416" i="9" s="1"/>
  <c r="R416" i="9"/>
  <c r="S416" i="9" s="1"/>
  <c r="P416" i="9"/>
  <c r="Q416" i="9" s="1"/>
  <c r="N416" i="9"/>
  <c r="O416" i="9" s="1"/>
  <c r="L416" i="9"/>
  <c r="M416" i="9" s="1"/>
  <c r="J416" i="9"/>
  <c r="K416" i="9" s="1"/>
  <c r="H416" i="9"/>
  <c r="I416" i="9" s="1"/>
  <c r="F416" i="9"/>
  <c r="G416" i="9" s="1"/>
  <c r="E416" i="9"/>
  <c r="AB415" i="9"/>
  <c r="AC415" i="9" s="1"/>
  <c r="Z415" i="9"/>
  <c r="X415" i="9"/>
  <c r="V415" i="9"/>
  <c r="W415" i="9" s="1"/>
  <c r="T415" i="9"/>
  <c r="U415" i="9" s="1"/>
  <c r="R415" i="9"/>
  <c r="S415" i="9" s="1"/>
  <c r="P415" i="9"/>
  <c r="Q415" i="9" s="1"/>
  <c r="N415" i="9"/>
  <c r="O415" i="9" s="1"/>
  <c r="L415" i="9"/>
  <c r="M415" i="9" s="1"/>
  <c r="J415" i="9"/>
  <c r="K415" i="9" s="1"/>
  <c r="H415" i="9"/>
  <c r="I415" i="9" s="1"/>
  <c r="F415" i="9"/>
  <c r="G415" i="9" s="1"/>
  <c r="E415" i="9"/>
  <c r="AB414" i="9"/>
  <c r="AC414" i="9" s="1"/>
  <c r="Z414" i="9"/>
  <c r="X414" i="9"/>
  <c r="V414" i="9"/>
  <c r="W414" i="9" s="1"/>
  <c r="T414" i="9"/>
  <c r="U414" i="9" s="1"/>
  <c r="R414" i="9"/>
  <c r="S414" i="9" s="1"/>
  <c r="P414" i="9"/>
  <c r="Q414" i="9" s="1"/>
  <c r="N414" i="9"/>
  <c r="O414" i="9" s="1"/>
  <c r="L414" i="9"/>
  <c r="M414" i="9" s="1"/>
  <c r="J414" i="9"/>
  <c r="K414" i="9" s="1"/>
  <c r="H414" i="9"/>
  <c r="I414" i="9" s="1"/>
  <c r="F414" i="9"/>
  <c r="G414" i="9" s="1"/>
  <c r="E414" i="9"/>
  <c r="AB413" i="9"/>
  <c r="AC413" i="9" s="1"/>
  <c r="Z413" i="9"/>
  <c r="X413" i="9"/>
  <c r="V413" i="9"/>
  <c r="W413" i="9" s="1"/>
  <c r="T413" i="9"/>
  <c r="U413" i="9" s="1"/>
  <c r="R413" i="9"/>
  <c r="S413" i="9" s="1"/>
  <c r="P413" i="9"/>
  <c r="Q413" i="9" s="1"/>
  <c r="N413" i="9"/>
  <c r="O413" i="9" s="1"/>
  <c r="L413" i="9"/>
  <c r="M413" i="9" s="1"/>
  <c r="J413" i="9"/>
  <c r="K413" i="9" s="1"/>
  <c r="H413" i="9"/>
  <c r="I413" i="9" s="1"/>
  <c r="F413" i="9"/>
  <c r="G413" i="9" s="1"/>
  <c r="E413" i="9"/>
  <c r="AB412" i="9"/>
  <c r="AC412" i="9" s="1"/>
  <c r="Z412" i="9"/>
  <c r="X412" i="9"/>
  <c r="V412" i="9"/>
  <c r="W412" i="9" s="1"/>
  <c r="T412" i="9"/>
  <c r="U412" i="9" s="1"/>
  <c r="R412" i="9"/>
  <c r="S412" i="9" s="1"/>
  <c r="P412" i="9"/>
  <c r="Q412" i="9" s="1"/>
  <c r="N412" i="9"/>
  <c r="O412" i="9" s="1"/>
  <c r="L412" i="9"/>
  <c r="M412" i="9" s="1"/>
  <c r="J412" i="9"/>
  <c r="K412" i="9" s="1"/>
  <c r="H412" i="9"/>
  <c r="I412" i="9" s="1"/>
  <c r="F412" i="9"/>
  <c r="G412" i="9" s="1"/>
  <c r="E412" i="9"/>
  <c r="AB411" i="9"/>
  <c r="AC411" i="9" s="1"/>
  <c r="Z411" i="9"/>
  <c r="X411" i="9"/>
  <c r="V411" i="9"/>
  <c r="W411" i="9" s="1"/>
  <c r="T411" i="9"/>
  <c r="U411" i="9" s="1"/>
  <c r="R411" i="9"/>
  <c r="S411" i="9" s="1"/>
  <c r="P411" i="9"/>
  <c r="Q411" i="9" s="1"/>
  <c r="N411" i="9"/>
  <c r="O411" i="9" s="1"/>
  <c r="L411" i="9"/>
  <c r="M411" i="9" s="1"/>
  <c r="J411" i="9"/>
  <c r="K411" i="9" s="1"/>
  <c r="H411" i="9"/>
  <c r="I411" i="9" s="1"/>
  <c r="F411" i="9"/>
  <c r="G411" i="9" s="1"/>
  <c r="E411" i="9"/>
  <c r="AB410" i="9"/>
  <c r="AC410" i="9" s="1"/>
  <c r="Z410" i="9"/>
  <c r="X410" i="9"/>
  <c r="V410" i="9"/>
  <c r="W410" i="9" s="1"/>
  <c r="T410" i="9"/>
  <c r="U410" i="9" s="1"/>
  <c r="R410" i="9"/>
  <c r="S410" i="9" s="1"/>
  <c r="P410" i="9"/>
  <c r="Q410" i="9" s="1"/>
  <c r="N410" i="9"/>
  <c r="O410" i="9" s="1"/>
  <c r="L410" i="9"/>
  <c r="M410" i="9" s="1"/>
  <c r="J410" i="9"/>
  <c r="K410" i="9" s="1"/>
  <c r="H410" i="9"/>
  <c r="I410" i="9" s="1"/>
  <c r="F410" i="9"/>
  <c r="G410" i="9" s="1"/>
  <c r="E410" i="9"/>
  <c r="AB409" i="9"/>
  <c r="AC409" i="9" s="1"/>
  <c r="Z409" i="9"/>
  <c r="X409" i="9"/>
  <c r="V409" i="9"/>
  <c r="W409" i="9" s="1"/>
  <c r="T409" i="9"/>
  <c r="U409" i="9" s="1"/>
  <c r="R409" i="9"/>
  <c r="S409" i="9" s="1"/>
  <c r="P409" i="9"/>
  <c r="Q409" i="9" s="1"/>
  <c r="N409" i="9"/>
  <c r="O409" i="9" s="1"/>
  <c r="L409" i="9"/>
  <c r="M409" i="9" s="1"/>
  <c r="J409" i="9"/>
  <c r="K409" i="9" s="1"/>
  <c r="H409" i="9"/>
  <c r="I409" i="9" s="1"/>
  <c r="F409" i="9"/>
  <c r="G409" i="9" s="1"/>
  <c r="E409" i="9"/>
  <c r="AB408" i="9"/>
  <c r="AC408" i="9" s="1"/>
  <c r="Z408" i="9"/>
  <c r="X408" i="9"/>
  <c r="V408" i="9"/>
  <c r="W408" i="9" s="1"/>
  <c r="T408" i="9"/>
  <c r="U408" i="9" s="1"/>
  <c r="R408" i="9"/>
  <c r="S408" i="9" s="1"/>
  <c r="P408" i="9"/>
  <c r="Q408" i="9" s="1"/>
  <c r="N408" i="9"/>
  <c r="O408" i="9" s="1"/>
  <c r="L408" i="9"/>
  <c r="M408" i="9" s="1"/>
  <c r="J408" i="9"/>
  <c r="K408" i="9" s="1"/>
  <c r="H408" i="9"/>
  <c r="I408" i="9" s="1"/>
  <c r="F408" i="9"/>
  <c r="G408" i="9" s="1"/>
  <c r="E408" i="9"/>
  <c r="AB407" i="9"/>
  <c r="AC407" i="9" s="1"/>
  <c r="Z407" i="9"/>
  <c r="X407" i="9"/>
  <c r="V407" i="9"/>
  <c r="W407" i="9" s="1"/>
  <c r="T407" i="9"/>
  <c r="U407" i="9" s="1"/>
  <c r="R407" i="9"/>
  <c r="S407" i="9" s="1"/>
  <c r="P407" i="9"/>
  <c r="Q407" i="9" s="1"/>
  <c r="N407" i="9"/>
  <c r="O407" i="9" s="1"/>
  <c r="L407" i="9"/>
  <c r="M407" i="9" s="1"/>
  <c r="J407" i="9"/>
  <c r="K407" i="9" s="1"/>
  <c r="H407" i="9"/>
  <c r="I407" i="9" s="1"/>
  <c r="F407" i="9"/>
  <c r="G407" i="9" s="1"/>
  <c r="E407" i="9"/>
  <c r="AB406" i="9"/>
  <c r="AC406" i="9" s="1"/>
  <c r="Z406" i="9"/>
  <c r="X406" i="9"/>
  <c r="V406" i="9"/>
  <c r="W406" i="9" s="1"/>
  <c r="T406" i="9"/>
  <c r="U406" i="9" s="1"/>
  <c r="R406" i="9"/>
  <c r="S406" i="9" s="1"/>
  <c r="P406" i="9"/>
  <c r="Q406" i="9" s="1"/>
  <c r="N406" i="9"/>
  <c r="O406" i="9" s="1"/>
  <c r="L406" i="9"/>
  <c r="M406" i="9" s="1"/>
  <c r="J406" i="9"/>
  <c r="K406" i="9" s="1"/>
  <c r="H406" i="9"/>
  <c r="I406" i="9" s="1"/>
  <c r="F406" i="9"/>
  <c r="G406" i="9" s="1"/>
  <c r="E406" i="9"/>
  <c r="AB405" i="9"/>
  <c r="AC405" i="9" s="1"/>
  <c r="Z405" i="9"/>
  <c r="X405" i="9"/>
  <c r="V405" i="9"/>
  <c r="W405" i="9" s="1"/>
  <c r="T405" i="9"/>
  <c r="U405" i="9" s="1"/>
  <c r="R405" i="9"/>
  <c r="S405" i="9" s="1"/>
  <c r="P405" i="9"/>
  <c r="Q405" i="9" s="1"/>
  <c r="N405" i="9"/>
  <c r="O405" i="9" s="1"/>
  <c r="L405" i="9"/>
  <c r="M405" i="9" s="1"/>
  <c r="J405" i="9"/>
  <c r="K405" i="9" s="1"/>
  <c r="H405" i="9"/>
  <c r="I405" i="9" s="1"/>
  <c r="F405" i="9"/>
  <c r="G405" i="9" s="1"/>
  <c r="E405" i="9"/>
  <c r="AB404" i="9"/>
  <c r="AC404" i="9" s="1"/>
  <c r="Z404" i="9"/>
  <c r="X404" i="9"/>
  <c r="V404" i="9"/>
  <c r="W404" i="9" s="1"/>
  <c r="T404" i="9"/>
  <c r="U404" i="9" s="1"/>
  <c r="R404" i="9"/>
  <c r="S404" i="9" s="1"/>
  <c r="P404" i="9"/>
  <c r="Q404" i="9" s="1"/>
  <c r="N404" i="9"/>
  <c r="O404" i="9" s="1"/>
  <c r="L404" i="9"/>
  <c r="M404" i="9" s="1"/>
  <c r="J404" i="9"/>
  <c r="K404" i="9" s="1"/>
  <c r="H404" i="9"/>
  <c r="I404" i="9" s="1"/>
  <c r="F404" i="9"/>
  <c r="G404" i="9" s="1"/>
  <c r="E404" i="9"/>
  <c r="AB403" i="9"/>
  <c r="AC403" i="9" s="1"/>
  <c r="Z403" i="9"/>
  <c r="X403" i="9"/>
  <c r="V403" i="9"/>
  <c r="W403" i="9" s="1"/>
  <c r="T403" i="9"/>
  <c r="U403" i="9" s="1"/>
  <c r="R403" i="9"/>
  <c r="S403" i="9" s="1"/>
  <c r="P403" i="9"/>
  <c r="Q403" i="9" s="1"/>
  <c r="N403" i="9"/>
  <c r="O403" i="9" s="1"/>
  <c r="L403" i="9"/>
  <c r="M403" i="9" s="1"/>
  <c r="J403" i="9"/>
  <c r="K403" i="9" s="1"/>
  <c r="H403" i="9"/>
  <c r="I403" i="9" s="1"/>
  <c r="F403" i="9"/>
  <c r="G403" i="9" s="1"/>
  <c r="E403" i="9"/>
  <c r="AB402" i="9"/>
  <c r="AC402" i="9" s="1"/>
  <c r="Z402" i="9"/>
  <c r="X402" i="9"/>
  <c r="V402" i="9"/>
  <c r="W402" i="9" s="1"/>
  <c r="T402" i="9"/>
  <c r="U402" i="9" s="1"/>
  <c r="R402" i="9"/>
  <c r="S402" i="9" s="1"/>
  <c r="P402" i="9"/>
  <c r="Q402" i="9" s="1"/>
  <c r="N402" i="9"/>
  <c r="O402" i="9" s="1"/>
  <c r="L402" i="9"/>
  <c r="M402" i="9" s="1"/>
  <c r="J402" i="9"/>
  <c r="K402" i="9" s="1"/>
  <c r="H402" i="9"/>
  <c r="I402" i="9" s="1"/>
  <c r="F402" i="9"/>
  <c r="G402" i="9" s="1"/>
  <c r="E402" i="9"/>
  <c r="AB401" i="9"/>
  <c r="AC401" i="9" s="1"/>
  <c r="Z401" i="9"/>
  <c r="X401" i="9"/>
  <c r="V401" i="9"/>
  <c r="W401" i="9" s="1"/>
  <c r="T401" i="9"/>
  <c r="U401" i="9" s="1"/>
  <c r="R401" i="9"/>
  <c r="S401" i="9" s="1"/>
  <c r="P401" i="9"/>
  <c r="Q401" i="9" s="1"/>
  <c r="N401" i="9"/>
  <c r="O401" i="9" s="1"/>
  <c r="L401" i="9"/>
  <c r="M401" i="9" s="1"/>
  <c r="J401" i="9"/>
  <c r="K401" i="9" s="1"/>
  <c r="H401" i="9"/>
  <c r="I401" i="9" s="1"/>
  <c r="F401" i="9"/>
  <c r="G401" i="9" s="1"/>
  <c r="E401" i="9"/>
  <c r="AB400" i="9"/>
  <c r="AC400" i="9" s="1"/>
  <c r="Z400" i="9"/>
  <c r="X400" i="9"/>
  <c r="V400" i="9"/>
  <c r="W400" i="9" s="1"/>
  <c r="T400" i="9"/>
  <c r="U400" i="9" s="1"/>
  <c r="R400" i="9"/>
  <c r="S400" i="9" s="1"/>
  <c r="P400" i="9"/>
  <c r="Q400" i="9" s="1"/>
  <c r="N400" i="9"/>
  <c r="O400" i="9" s="1"/>
  <c r="L400" i="9"/>
  <c r="M400" i="9" s="1"/>
  <c r="J400" i="9"/>
  <c r="K400" i="9" s="1"/>
  <c r="H400" i="9"/>
  <c r="I400" i="9" s="1"/>
  <c r="F400" i="9"/>
  <c r="G400" i="9" s="1"/>
  <c r="E400" i="9"/>
  <c r="AB399" i="9"/>
  <c r="AC399" i="9" s="1"/>
  <c r="Z399" i="9"/>
  <c r="X399" i="9"/>
  <c r="V399" i="9"/>
  <c r="W399" i="9" s="1"/>
  <c r="T399" i="9"/>
  <c r="U399" i="9" s="1"/>
  <c r="R399" i="9"/>
  <c r="S399" i="9" s="1"/>
  <c r="P399" i="9"/>
  <c r="Q399" i="9" s="1"/>
  <c r="N399" i="9"/>
  <c r="O399" i="9" s="1"/>
  <c r="L399" i="9"/>
  <c r="M399" i="9" s="1"/>
  <c r="J399" i="9"/>
  <c r="K399" i="9" s="1"/>
  <c r="H399" i="9"/>
  <c r="I399" i="9" s="1"/>
  <c r="F399" i="9"/>
  <c r="G399" i="9" s="1"/>
  <c r="E399" i="9"/>
  <c r="AB398" i="9"/>
  <c r="AC398" i="9" s="1"/>
  <c r="Z398" i="9"/>
  <c r="X398" i="9"/>
  <c r="V398" i="9"/>
  <c r="W398" i="9" s="1"/>
  <c r="T398" i="9"/>
  <c r="U398" i="9" s="1"/>
  <c r="R398" i="9"/>
  <c r="S398" i="9" s="1"/>
  <c r="P398" i="9"/>
  <c r="Q398" i="9" s="1"/>
  <c r="N398" i="9"/>
  <c r="O398" i="9" s="1"/>
  <c r="L398" i="9"/>
  <c r="M398" i="9" s="1"/>
  <c r="J398" i="9"/>
  <c r="K398" i="9" s="1"/>
  <c r="H398" i="9"/>
  <c r="I398" i="9" s="1"/>
  <c r="F398" i="9"/>
  <c r="G398" i="9" s="1"/>
  <c r="E398" i="9"/>
  <c r="AB397" i="9"/>
  <c r="AC397" i="9" s="1"/>
  <c r="Z397" i="9"/>
  <c r="X397" i="9"/>
  <c r="V397" i="9"/>
  <c r="W397" i="9" s="1"/>
  <c r="T397" i="9"/>
  <c r="U397" i="9" s="1"/>
  <c r="R397" i="9"/>
  <c r="S397" i="9" s="1"/>
  <c r="P397" i="9"/>
  <c r="Q397" i="9" s="1"/>
  <c r="N397" i="9"/>
  <c r="O397" i="9" s="1"/>
  <c r="L397" i="9"/>
  <c r="M397" i="9" s="1"/>
  <c r="J397" i="9"/>
  <c r="K397" i="9" s="1"/>
  <c r="H397" i="9"/>
  <c r="I397" i="9" s="1"/>
  <c r="F397" i="9"/>
  <c r="G397" i="9" s="1"/>
  <c r="E397" i="9"/>
  <c r="AB396" i="9"/>
  <c r="AC396" i="9" s="1"/>
  <c r="Z396" i="9"/>
  <c r="X396" i="9"/>
  <c r="V396" i="9"/>
  <c r="W396" i="9" s="1"/>
  <c r="T396" i="9"/>
  <c r="U396" i="9" s="1"/>
  <c r="R396" i="9"/>
  <c r="S396" i="9" s="1"/>
  <c r="P396" i="9"/>
  <c r="Q396" i="9" s="1"/>
  <c r="N396" i="9"/>
  <c r="O396" i="9" s="1"/>
  <c r="L396" i="9"/>
  <c r="M396" i="9" s="1"/>
  <c r="J396" i="9"/>
  <c r="K396" i="9" s="1"/>
  <c r="H396" i="9"/>
  <c r="I396" i="9" s="1"/>
  <c r="F396" i="9"/>
  <c r="G396" i="9" s="1"/>
  <c r="E396" i="9"/>
  <c r="AB395" i="9"/>
  <c r="AC395" i="9" s="1"/>
  <c r="Z395" i="9"/>
  <c r="X395" i="9"/>
  <c r="V395" i="9"/>
  <c r="W395" i="9" s="1"/>
  <c r="T395" i="9"/>
  <c r="U395" i="9" s="1"/>
  <c r="R395" i="9"/>
  <c r="S395" i="9" s="1"/>
  <c r="P395" i="9"/>
  <c r="Q395" i="9" s="1"/>
  <c r="N395" i="9"/>
  <c r="O395" i="9" s="1"/>
  <c r="L395" i="9"/>
  <c r="M395" i="9" s="1"/>
  <c r="J395" i="9"/>
  <c r="K395" i="9" s="1"/>
  <c r="H395" i="9"/>
  <c r="I395" i="9" s="1"/>
  <c r="F395" i="9"/>
  <c r="G395" i="9" s="1"/>
  <c r="E395" i="9"/>
  <c r="AB394" i="9"/>
  <c r="AC394" i="9" s="1"/>
  <c r="Z394" i="9"/>
  <c r="X394" i="9"/>
  <c r="V394" i="9"/>
  <c r="W394" i="9" s="1"/>
  <c r="T394" i="9"/>
  <c r="U394" i="9" s="1"/>
  <c r="R394" i="9"/>
  <c r="S394" i="9" s="1"/>
  <c r="P394" i="9"/>
  <c r="Q394" i="9" s="1"/>
  <c r="N394" i="9"/>
  <c r="O394" i="9" s="1"/>
  <c r="L394" i="9"/>
  <c r="M394" i="9" s="1"/>
  <c r="J394" i="9"/>
  <c r="K394" i="9" s="1"/>
  <c r="H394" i="9"/>
  <c r="I394" i="9" s="1"/>
  <c r="F394" i="9"/>
  <c r="G394" i="9" s="1"/>
  <c r="E394" i="9"/>
  <c r="AB393" i="9"/>
  <c r="AC393" i="9" s="1"/>
  <c r="Z393" i="9"/>
  <c r="X393" i="9"/>
  <c r="V393" i="9"/>
  <c r="W393" i="9" s="1"/>
  <c r="T393" i="9"/>
  <c r="U393" i="9" s="1"/>
  <c r="R393" i="9"/>
  <c r="S393" i="9" s="1"/>
  <c r="P393" i="9"/>
  <c r="Q393" i="9" s="1"/>
  <c r="N393" i="9"/>
  <c r="O393" i="9" s="1"/>
  <c r="L393" i="9"/>
  <c r="M393" i="9" s="1"/>
  <c r="J393" i="9"/>
  <c r="K393" i="9" s="1"/>
  <c r="H393" i="9"/>
  <c r="I393" i="9" s="1"/>
  <c r="F393" i="9"/>
  <c r="G393" i="9" s="1"/>
  <c r="E393" i="9"/>
  <c r="AB392" i="9"/>
  <c r="AC392" i="9" s="1"/>
  <c r="Z392" i="9"/>
  <c r="X392" i="9"/>
  <c r="V392" i="9"/>
  <c r="W392" i="9" s="1"/>
  <c r="T392" i="9"/>
  <c r="U392" i="9" s="1"/>
  <c r="R392" i="9"/>
  <c r="S392" i="9" s="1"/>
  <c r="P392" i="9"/>
  <c r="Q392" i="9" s="1"/>
  <c r="N392" i="9"/>
  <c r="O392" i="9" s="1"/>
  <c r="L392" i="9"/>
  <c r="M392" i="9" s="1"/>
  <c r="J392" i="9"/>
  <c r="K392" i="9" s="1"/>
  <c r="H392" i="9"/>
  <c r="I392" i="9" s="1"/>
  <c r="F392" i="9"/>
  <c r="G392" i="9" s="1"/>
  <c r="E392" i="9"/>
  <c r="AB391" i="9"/>
  <c r="AC391" i="9" s="1"/>
  <c r="Z391" i="9"/>
  <c r="X391" i="9"/>
  <c r="V391" i="9"/>
  <c r="W391" i="9" s="1"/>
  <c r="T391" i="9"/>
  <c r="U391" i="9" s="1"/>
  <c r="R391" i="9"/>
  <c r="S391" i="9" s="1"/>
  <c r="P391" i="9"/>
  <c r="Q391" i="9" s="1"/>
  <c r="N391" i="9"/>
  <c r="O391" i="9" s="1"/>
  <c r="L391" i="9"/>
  <c r="M391" i="9" s="1"/>
  <c r="J391" i="9"/>
  <c r="K391" i="9" s="1"/>
  <c r="H391" i="9"/>
  <c r="I391" i="9" s="1"/>
  <c r="F391" i="9"/>
  <c r="G391" i="9" s="1"/>
  <c r="E391" i="9"/>
  <c r="AB390" i="9"/>
  <c r="AC390" i="9" s="1"/>
  <c r="Z390" i="9"/>
  <c r="X390" i="9"/>
  <c r="V390" i="9"/>
  <c r="W390" i="9" s="1"/>
  <c r="T390" i="9"/>
  <c r="U390" i="9" s="1"/>
  <c r="R390" i="9"/>
  <c r="S390" i="9" s="1"/>
  <c r="P390" i="9"/>
  <c r="Q390" i="9" s="1"/>
  <c r="N390" i="9"/>
  <c r="O390" i="9" s="1"/>
  <c r="L390" i="9"/>
  <c r="M390" i="9" s="1"/>
  <c r="J390" i="9"/>
  <c r="K390" i="9" s="1"/>
  <c r="H390" i="9"/>
  <c r="I390" i="9" s="1"/>
  <c r="F390" i="9"/>
  <c r="G390" i="9" s="1"/>
  <c r="E390" i="9"/>
  <c r="AB389" i="9"/>
  <c r="AC389" i="9" s="1"/>
  <c r="Z389" i="9"/>
  <c r="X389" i="9"/>
  <c r="V389" i="9"/>
  <c r="W389" i="9" s="1"/>
  <c r="T389" i="9"/>
  <c r="U389" i="9" s="1"/>
  <c r="R389" i="9"/>
  <c r="S389" i="9" s="1"/>
  <c r="P389" i="9"/>
  <c r="Q389" i="9" s="1"/>
  <c r="N389" i="9"/>
  <c r="O389" i="9" s="1"/>
  <c r="L389" i="9"/>
  <c r="M389" i="9" s="1"/>
  <c r="J389" i="9"/>
  <c r="K389" i="9" s="1"/>
  <c r="H389" i="9"/>
  <c r="I389" i="9" s="1"/>
  <c r="F389" i="9"/>
  <c r="G389" i="9" s="1"/>
  <c r="E389" i="9"/>
  <c r="AB388" i="9"/>
  <c r="AC388" i="9" s="1"/>
  <c r="Z388" i="9"/>
  <c r="X388" i="9"/>
  <c r="V388" i="9"/>
  <c r="W388" i="9" s="1"/>
  <c r="T388" i="9"/>
  <c r="U388" i="9" s="1"/>
  <c r="R388" i="9"/>
  <c r="S388" i="9" s="1"/>
  <c r="P388" i="9"/>
  <c r="Q388" i="9" s="1"/>
  <c r="N388" i="9"/>
  <c r="O388" i="9" s="1"/>
  <c r="L388" i="9"/>
  <c r="M388" i="9" s="1"/>
  <c r="J388" i="9"/>
  <c r="K388" i="9" s="1"/>
  <c r="H388" i="9"/>
  <c r="I388" i="9" s="1"/>
  <c r="F388" i="9"/>
  <c r="G388" i="9" s="1"/>
  <c r="E388" i="9"/>
  <c r="AB387" i="9"/>
  <c r="AC387" i="9" s="1"/>
  <c r="Z387" i="9"/>
  <c r="X387" i="9"/>
  <c r="V387" i="9"/>
  <c r="W387" i="9" s="1"/>
  <c r="T387" i="9"/>
  <c r="U387" i="9" s="1"/>
  <c r="R387" i="9"/>
  <c r="S387" i="9" s="1"/>
  <c r="P387" i="9"/>
  <c r="Q387" i="9" s="1"/>
  <c r="N387" i="9"/>
  <c r="O387" i="9" s="1"/>
  <c r="L387" i="9"/>
  <c r="M387" i="9" s="1"/>
  <c r="J387" i="9"/>
  <c r="K387" i="9" s="1"/>
  <c r="H387" i="9"/>
  <c r="I387" i="9" s="1"/>
  <c r="F387" i="9"/>
  <c r="G387" i="9" s="1"/>
  <c r="E387" i="9"/>
  <c r="AB386" i="9"/>
  <c r="AC386" i="9" s="1"/>
  <c r="Z386" i="9"/>
  <c r="X386" i="9"/>
  <c r="V386" i="9"/>
  <c r="W386" i="9" s="1"/>
  <c r="T386" i="9"/>
  <c r="U386" i="9" s="1"/>
  <c r="R386" i="9"/>
  <c r="S386" i="9" s="1"/>
  <c r="P386" i="9"/>
  <c r="Q386" i="9" s="1"/>
  <c r="N386" i="9"/>
  <c r="O386" i="9" s="1"/>
  <c r="L386" i="9"/>
  <c r="M386" i="9" s="1"/>
  <c r="J386" i="9"/>
  <c r="K386" i="9" s="1"/>
  <c r="H386" i="9"/>
  <c r="I386" i="9" s="1"/>
  <c r="F386" i="9"/>
  <c r="G386" i="9" s="1"/>
  <c r="E386" i="9"/>
  <c r="AB385" i="9"/>
  <c r="AC385" i="9" s="1"/>
  <c r="Z385" i="9"/>
  <c r="X385" i="9"/>
  <c r="V385" i="9"/>
  <c r="W385" i="9" s="1"/>
  <c r="T385" i="9"/>
  <c r="U385" i="9" s="1"/>
  <c r="R385" i="9"/>
  <c r="S385" i="9" s="1"/>
  <c r="P385" i="9"/>
  <c r="Q385" i="9" s="1"/>
  <c r="N385" i="9"/>
  <c r="O385" i="9" s="1"/>
  <c r="L385" i="9"/>
  <c r="M385" i="9" s="1"/>
  <c r="J385" i="9"/>
  <c r="K385" i="9" s="1"/>
  <c r="H385" i="9"/>
  <c r="I385" i="9" s="1"/>
  <c r="F385" i="9"/>
  <c r="G385" i="9" s="1"/>
  <c r="E385" i="9"/>
  <c r="AB384" i="9"/>
  <c r="AC384" i="9" s="1"/>
  <c r="Z384" i="9"/>
  <c r="X384" i="9"/>
  <c r="V384" i="9"/>
  <c r="W384" i="9" s="1"/>
  <c r="T384" i="9"/>
  <c r="U384" i="9" s="1"/>
  <c r="R384" i="9"/>
  <c r="S384" i="9" s="1"/>
  <c r="P384" i="9"/>
  <c r="Q384" i="9" s="1"/>
  <c r="N384" i="9"/>
  <c r="O384" i="9" s="1"/>
  <c r="L384" i="9"/>
  <c r="M384" i="9" s="1"/>
  <c r="J384" i="9"/>
  <c r="K384" i="9" s="1"/>
  <c r="H384" i="9"/>
  <c r="I384" i="9" s="1"/>
  <c r="F384" i="9"/>
  <c r="G384" i="9" s="1"/>
  <c r="E384" i="9"/>
  <c r="AB383" i="9"/>
  <c r="AC383" i="9" s="1"/>
  <c r="Z383" i="9"/>
  <c r="X383" i="9"/>
  <c r="V383" i="9"/>
  <c r="W383" i="9" s="1"/>
  <c r="T383" i="9"/>
  <c r="U383" i="9" s="1"/>
  <c r="R383" i="9"/>
  <c r="S383" i="9" s="1"/>
  <c r="P383" i="9"/>
  <c r="Q383" i="9" s="1"/>
  <c r="N383" i="9"/>
  <c r="O383" i="9" s="1"/>
  <c r="L383" i="9"/>
  <c r="M383" i="9" s="1"/>
  <c r="J383" i="9"/>
  <c r="K383" i="9" s="1"/>
  <c r="H383" i="9"/>
  <c r="I383" i="9" s="1"/>
  <c r="F383" i="9"/>
  <c r="G383" i="9" s="1"/>
  <c r="E383" i="9"/>
  <c r="AB382" i="9"/>
  <c r="AC382" i="9" s="1"/>
  <c r="Z382" i="9"/>
  <c r="X382" i="9"/>
  <c r="V382" i="9"/>
  <c r="W382" i="9" s="1"/>
  <c r="T382" i="9"/>
  <c r="U382" i="9" s="1"/>
  <c r="R382" i="9"/>
  <c r="S382" i="9" s="1"/>
  <c r="P382" i="9"/>
  <c r="Q382" i="9" s="1"/>
  <c r="N382" i="9"/>
  <c r="O382" i="9" s="1"/>
  <c r="L382" i="9"/>
  <c r="M382" i="9" s="1"/>
  <c r="J382" i="9"/>
  <c r="K382" i="9" s="1"/>
  <c r="H382" i="9"/>
  <c r="I382" i="9" s="1"/>
  <c r="F382" i="9"/>
  <c r="G382" i="9" s="1"/>
  <c r="E382" i="9"/>
  <c r="AB381" i="9"/>
  <c r="AC381" i="9" s="1"/>
  <c r="Z381" i="9"/>
  <c r="X381" i="9"/>
  <c r="V381" i="9"/>
  <c r="W381" i="9" s="1"/>
  <c r="T381" i="9"/>
  <c r="U381" i="9" s="1"/>
  <c r="R381" i="9"/>
  <c r="S381" i="9" s="1"/>
  <c r="P381" i="9"/>
  <c r="Q381" i="9" s="1"/>
  <c r="N381" i="9"/>
  <c r="O381" i="9" s="1"/>
  <c r="L381" i="9"/>
  <c r="M381" i="9" s="1"/>
  <c r="J381" i="9"/>
  <c r="K381" i="9" s="1"/>
  <c r="H381" i="9"/>
  <c r="I381" i="9" s="1"/>
  <c r="F381" i="9"/>
  <c r="G381" i="9" s="1"/>
  <c r="E381" i="9"/>
  <c r="AB380" i="9"/>
  <c r="AC380" i="9" s="1"/>
  <c r="Z380" i="9"/>
  <c r="X380" i="9"/>
  <c r="V380" i="9"/>
  <c r="W380" i="9" s="1"/>
  <c r="T380" i="9"/>
  <c r="U380" i="9" s="1"/>
  <c r="R380" i="9"/>
  <c r="S380" i="9" s="1"/>
  <c r="P380" i="9"/>
  <c r="Q380" i="9" s="1"/>
  <c r="N380" i="9"/>
  <c r="O380" i="9" s="1"/>
  <c r="L380" i="9"/>
  <c r="M380" i="9" s="1"/>
  <c r="J380" i="9"/>
  <c r="K380" i="9" s="1"/>
  <c r="H380" i="9"/>
  <c r="I380" i="9" s="1"/>
  <c r="F380" i="9"/>
  <c r="G380" i="9" s="1"/>
  <c r="E380" i="9"/>
  <c r="AB379" i="9"/>
  <c r="AC379" i="9" s="1"/>
  <c r="Z379" i="9"/>
  <c r="X379" i="9"/>
  <c r="V379" i="9"/>
  <c r="W379" i="9" s="1"/>
  <c r="T379" i="9"/>
  <c r="U379" i="9" s="1"/>
  <c r="R379" i="9"/>
  <c r="S379" i="9" s="1"/>
  <c r="P379" i="9"/>
  <c r="Q379" i="9" s="1"/>
  <c r="N379" i="9"/>
  <c r="O379" i="9" s="1"/>
  <c r="L379" i="9"/>
  <c r="M379" i="9" s="1"/>
  <c r="J379" i="9"/>
  <c r="K379" i="9" s="1"/>
  <c r="H379" i="9"/>
  <c r="I379" i="9" s="1"/>
  <c r="F379" i="9"/>
  <c r="G379" i="9" s="1"/>
  <c r="E379" i="9"/>
  <c r="AB378" i="9"/>
  <c r="AC378" i="9" s="1"/>
  <c r="Z378" i="9"/>
  <c r="X378" i="9"/>
  <c r="V378" i="9"/>
  <c r="W378" i="9" s="1"/>
  <c r="T378" i="9"/>
  <c r="U378" i="9" s="1"/>
  <c r="R378" i="9"/>
  <c r="S378" i="9" s="1"/>
  <c r="P378" i="9"/>
  <c r="Q378" i="9" s="1"/>
  <c r="N378" i="9"/>
  <c r="O378" i="9" s="1"/>
  <c r="L378" i="9"/>
  <c r="M378" i="9" s="1"/>
  <c r="J378" i="9"/>
  <c r="K378" i="9" s="1"/>
  <c r="H378" i="9"/>
  <c r="I378" i="9" s="1"/>
  <c r="F378" i="9"/>
  <c r="G378" i="9" s="1"/>
  <c r="E378" i="9"/>
  <c r="AB377" i="9"/>
  <c r="AC377" i="9" s="1"/>
  <c r="Z377" i="9"/>
  <c r="X377" i="9"/>
  <c r="V377" i="9"/>
  <c r="W377" i="9" s="1"/>
  <c r="T377" i="9"/>
  <c r="U377" i="9" s="1"/>
  <c r="R377" i="9"/>
  <c r="S377" i="9" s="1"/>
  <c r="P377" i="9"/>
  <c r="Q377" i="9" s="1"/>
  <c r="N377" i="9"/>
  <c r="O377" i="9" s="1"/>
  <c r="L377" i="9"/>
  <c r="M377" i="9" s="1"/>
  <c r="J377" i="9"/>
  <c r="K377" i="9" s="1"/>
  <c r="H377" i="9"/>
  <c r="I377" i="9" s="1"/>
  <c r="F377" i="9"/>
  <c r="G377" i="9" s="1"/>
  <c r="E377" i="9"/>
  <c r="AB376" i="9"/>
  <c r="AC376" i="9" s="1"/>
  <c r="Z376" i="9"/>
  <c r="X376" i="9"/>
  <c r="V376" i="9"/>
  <c r="W376" i="9" s="1"/>
  <c r="T376" i="9"/>
  <c r="U376" i="9" s="1"/>
  <c r="R376" i="9"/>
  <c r="S376" i="9" s="1"/>
  <c r="P376" i="9"/>
  <c r="Q376" i="9" s="1"/>
  <c r="N376" i="9"/>
  <c r="O376" i="9" s="1"/>
  <c r="L376" i="9"/>
  <c r="M376" i="9" s="1"/>
  <c r="J376" i="9"/>
  <c r="K376" i="9" s="1"/>
  <c r="H376" i="9"/>
  <c r="I376" i="9" s="1"/>
  <c r="F376" i="9"/>
  <c r="G376" i="9" s="1"/>
  <c r="E376" i="9"/>
  <c r="AB375" i="9"/>
  <c r="AC375" i="9" s="1"/>
  <c r="Z375" i="9"/>
  <c r="X375" i="9"/>
  <c r="V375" i="9"/>
  <c r="W375" i="9" s="1"/>
  <c r="T375" i="9"/>
  <c r="U375" i="9" s="1"/>
  <c r="R375" i="9"/>
  <c r="S375" i="9" s="1"/>
  <c r="P375" i="9"/>
  <c r="Q375" i="9" s="1"/>
  <c r="N375" i="9"/>
  <c r="O375" i="9" s="1"/>
  <c r="L375" i="9"/>
  <c r="M375" i="9" s="1"/>
  <c r="J375" i="9"/>
  <c r="K375" i="9" s="1"/>
  <c r="H375" i="9"/>
  <c r="I375" i="9" s="1"/>
  <c r="F375" i="9"/>
  <c r="G375" i="9" s="1"/>
  <c r="E375" i="9"/>
  <c r="AB374" i="9"/>
  <c r="AC374" i="9" s="1"/>
  <c r="Z374" i="9"/>
  <c r="X374" i="9"/>
  <c r="V374" i="9"/>
  <c r="W374" i="9" s="1"/>
  <c r="T374" i="9"/>
  <c r="U374" i="9" s="1"/>
  <c r="R374" i="9"/>
  <c r="S374" i="9" s="1"/>
  <c r="P374" i="9"/>
  <c r="Q374" i="9" s="1"/>
  <c r="N374" i="9"/>
  <c r="O374" i="9" s="1"/>
  <c r="L374" i="9"/>
  <c r="M374" i="9" s="1"/>
  <c r="J374" i="9"/>
  <c r="K374" i="9" s="1"/>
  <c r="H374" i="9"/>
  <c r="I374" i="9" s="1"/>
  <c r="F374" i="9"/>
  <c r="G374" i="9" s="1"/>
  <c r="E374" i="9"/>
  <c r="AB373" i="9"/>
  <c r="AC373" i="9" s="1"/>
  <c r="Z373" i="9"/>
  <c r="X373" i="9"/>
  <c r="V373" i="9"/>
  <c r="W373" i="9" s="1"/>
  <c r="T373" i="9"/>
  <c r="U373" i="9" s="1"/>
  <c r="R373" i="9"/>
  <c r="S373" i="9" s="1"/>
  <c r="P373" i="9"/>
  <c r="Q373" i="9" s="1"/>
  <c r="N373" i="9"/>
  <c r="O373" i="9" s="1"/>
  <c r="L373" i="9"/>
  <c r="M373" i="9" s="1"/>
  <c r="J373" i="9"/>
  <c r="K373" i="9" s="1"/>
  <c r="H373" i="9"/>
  <c r="I373" i="9" s="1"/>
  <c r="F373" i="9"/>
  <c r="G373" i="9" s="1"/>
  <c r="E373" i="9"/>
  <c r="AB372" i="9"/>
  <c r="AC372" i="9" s="1"/>
  <c r="Z372" i="9"/>
  <c r="X372" i="9"/>
  <c r="V372" i="9"/>
  <c r="W372" i="9" s="1"/>
  <c r="T372" i="9"/>
  <c r="U372" i="9" s="1"/>
  <c r="R372" i="9"/>
  <c r="S372" i="9" s="1"/>
  <c r="P372" i="9"/>
  <c r="Q372" i="9" s="1"/>
  <c r="N372" i="9"/>
  <c r="O372" i="9" s="1"/>
  <c r="L372" i="9"/>
  <c r="M372" i="9" s="1"/>
  <c r="J372" i="9"/>
  <c r="K372" i="9" s="1"/>
  <c r="H372" i="9"/>
  <c r="I372" i="9" s="1"/>
  <c r="F372" i="9"/>
  <c r="G372" i="9" s="1"/>
  <c r="E372" i="9"/>
  <c r="AB371" i="9"/>
  <c r="AC371" i="9" s="1"/>
  <c r="Z371" i="9"/>
  <c r="X371" i="9"/>
  <c r="V371" i="9"/>
  <c r="W371" i="9" s="1"/>
  <c r="T371" i="9"/>
  <c r="U371" i="9" s="1"/>
  <c r="R371" i="9"/>
  <c r="S371" i="9" s="1"/>
  <c r="P371" i="9"/>
  <c r="Q371" i="9" s="1"/>
  <c r="N371" i="9"/>
  <c r="O371" i="9" s="1"/>
  <c r="L371" i="9"/>
  <c r="M371" i="9" s="1"/>
  <c r="J371" i="9"/>
  <c r="K371" i="9" s="1"/>
  <c r="H371" i="9"/>
  <c r="I371" i="9" s="1"/>
  <c r="F371" i="9"/>
  <c r="G371" i="9" s="1"/>
  <c r="E371" i="9"/>
  <c r="AB370" i="9"/>
  <c r="AC370" i="9" s="1"/>
  <c r="Z370" i="9"/>
  <c r="X370" i="9"/>
  <c r="V370" i="9"/>
  <c r="W370" i="9" s="1"/>
  <c r="T370" i="9"/>
  <c r="U370" i="9" s="1"/>
  <c r="R370" i="9"/>
  <c r="S370" i="9" s="1"/>
  <c r="P370" i="9"/>
  <c r="Q370" i="9" s="1"/>
  <c r="N370" i="9"/>
  <c r="O370" i="9" s="1"/>
  <c r="L370" i="9"/>
  <c r="M370" i="9" s="1"/>
  <c r="J370" i="9"/>
  <c r="K370" i="9" s="1"/>
  <c r="H370" i="9"/>
  <c r="I370" i="9" s="1"/>
  <c r="F370" i="9"/>
  <c r="G370" i="9" s="1"/>
  <c r="E370" i="9"/>
  <c r="AB369" i="9"/>
  <c r="AC369" i="9" s="1"/>
  <c r="Z369" i="9"/>
  <c r="X369" i="9"/>
  <c r="V369" i="9"/>
  <c r="W369" i="9" s="1"/>
  <c r="T369" i="9"/>
  <c r="U369" i="9" s="1"/>
  <c r="R369" i="9"/>
  <c r="S369" i="9" s="1"/>
  <c r="P369" i="9"/>
  <c r="Q369" i="9" s="1"/>
  <c r="N369" i="9"/>
  <c r="O369" i="9" s="1"/>
  <c r="L369" i="9"/>
  <c r="M369" i="9" s="1"/>
  <c r="J369" i="9"/>
  <c r="K369" i="9" s="1"/>
  <c r="H369" i="9"/>
  <c r="I369" i="9" s="1"/>
  <c r="F369" i="9"/>
  <c r="G369" i="9" s="1"/>
  <c r="E369" i="9"/>
  <c r="AB368" i="9"/>
  <c r="AC368" i="9" s="1"/>
  <c r="Z368" i="9"/>
  <c r="X368" i="9"/>
  <c r="V368" i="9"/>
  <c r="W368" i="9" s="1"/>
  <c r="T368" i="9"/>
  <c r="U368" i="9" s="1"/>
  <c r="R368" i="9"/>
  <c r="S368" i="9" s="1"/>
  <c r="P368" i="9"/>
  <c r="Q368" i="9" s="1"/>
  <c r="N368" i="9"/>
  <c r="O368" i="9" s="1"/>
  <c r="L368" i="9"/>
  <c r="M368" i="9" s="1"/>
  <c r="J368" i="9"/>
  <c r="K368" i="9" s="1"/>
  <c r="H368" i="9"/>
  <c r="I368" i="9" s="1"/>
  <c r="F368" i="9"/>
  <c r="G368" i="9" s="1"/>
  <c r="E368" i="9"/>
  <c r="AB367" i="9"/>
  <c r="AC367" i="9" s="1"/>
  <c r="Z367" i="9"/>
  <c r="X367" i="9"/>
  <c r="V367" i="9"/>
  <c r="W367" i="9" s="1"/>
  <c r="T367" i="9"/>
  <c r="U367" i="9" s="1"/>
  <c r="R367" i="9"/>
  <c r="S367" i="9" s="1"/>
  <c r="P367" i="9"/>
  <c r="Q367" i="9" s="1"/>
  <c r="N367" i="9"/>
  <c r="O367" i="9" s="1"/>
  <c r="L367" i="9"/>
  <c r="M367" i="9" s="1"/>
  <c r="J367" i="9"/>
  <c r="K367" i="9" s="1"/>
  <c r="H367" i="9"/>
  <c r="I367" i="9" s="1"/>
  <c r="F367" i="9"/>
  <c r="G367" i="9" s="1"/>
  <c r="E367" i="9"/>
  <c r="AB366" i="9"/>
  <c r="AC366" i="9" s="1"/>
  <c r="Z366" i="9"/>
  <c r="X366" i="9"/>
  <c r="V366" i="9"/>
  <c r="W366" i="9" s="1"/>
  <c r="T366" i="9"/>
  <c r="U366" i="9" s="1"/>
  <c r="R366" i="9"/>
  <c r="S366" i="9" s="1"/>
  <c r="P366" i="9"/>
  <c r="Q366" i="9" s="1"/>
  <c r="N366" i="9"/>
  <c r="O366" i="9" s="1"/>
  <c r="L366" i="9"/>
  <c r="M366" i="9" s="1"/>
  <c r="J366" i="9"/>
  <c r="K366" i="9" s="1"/>
  <c r="H366" i="9"/>
  <c r="I366" i="9" s="1"/>
  <c r="F366" i="9"/>
  <c r="G366" i="9" s="1"/>
  <c r="E366" i="9"/>
  <c r="AB365" i="9"/>
  <c r="AC365" i="9" s="1"/>
  <c r="Z365" i="9"/>
  <c r="X365" i="9"/>
  <c r="V365" i="9"/>
  <c r="W365" i="9" s="1"/>
  <c r="T365" i="9"/>
  <c r="U365" i="9" s="1"/>
  <c r="R365" i="9"/>
  <c r="S365" i="9" s="1"/>
  <c r="P365" i="9"/>
  <c r="Q365" i="9" s="1"/>
  <c r="N365" i="9"/>
  <c r="O365" i="9" s="1"/>
  <c r="L365" i="9"/>
  <c r="M365" i="9" s="1"/>
  <c r="J365" i="9"/>
  <c r="K365" i="9" s="1"/>
  <c r="H365" i="9"/>
  <c r="I365" i="9" s="1"/>
  <c r="F365" i="9"/>
  <c r="G365" i="9" s="1"/>
  <c r="E365" i="9"/>
  <c r="AB364" i="9"/>
  <c r="AC364" i="9" s="1"/>
  <c r="Z364" i="9"/>
  <c r="X364" i="9"/>
  <c r="V364" i="9"/>
  <c r="W364" i="9" s="1"/>
  <c r="T364" i="9"/>
  <c r="U364" i="9" s="1"/>
  <c r="R364" i="9"/>
  <c r="S364" i="9" s="1"/>
  <c r="P364" i="9"/>
  <c r="Q364" i="9" s="1"/>
  <c r="N364" i="9"/>
  <c r="O364" i="9" s="1"/>
  <c r="L364" i="9"/>
  <c r="M364" i="9" s="1"/>
  <c r="J364" i="9"/>
  <c r="K364" i="9" s="1"/>
  <c r="H364" i="9"/>
  <c r="I364" i="9" s="1"/>
  <c r="F364" i="9"/>
  <c r="G364" i="9" s="1"/>
  <c r="E364" i="9"/>
  <c r="AB363" i="9"/>
  <c r="AC363" i="9" s="1"/>
  <c r="Z363" i="9"/>
  <c r="X363" i="9"/>
  <c r="V363" i="9"/>
  <c r="W363" i="9" s="1"/>
  <c r="T363" i="9"/>
  <c r="U363" i="9" s="1"/>
  <c r="R363" i="9"/>
  <c r="S363" i="9" s="1"/>
  <c r="P363" i="9"/>
  <c r="Q363" i="9" s="1"/>
  <c r="N363" i="9"/>
  <c r="O363" i="9" s="1"/>
  <c r="L363" i="9"/>
  <c r="M363" i="9" s="1"/>
  <c r="J363" i="9"/>
  <c r="K363" i="9" s="1"/>
  <c r="H363" i="9"/>
  <c r="I363" i="9" s="1"/>
  <c r="F363" i="9"/>
  <c r="G363" i="9" s="1"/>
  <c r="E363" i="9"/>
  <c r="AB362" i="9"/>
  <c r="AC362" i="9" s="1"/>
  <c r="Z362" i="9"/>
  <c r="X362" i="9"/>
  <c r="V362" i="9"/>
  <c r="W362" i="9" s="1"/>
  <c r="T362" i="9"/>
  <c r="U362" i="9" s="1"/>
  <c r="R362" i="9"/>
  <c r="S362" i="9" s="1"/>
  <c r="P362" i="9"/>
  <c r="Q362" i="9" s="1"/>
  <c r="N362" i="9"/>
  <c r="O362" i="9" s="1"/>
  <c r="L362" i="9"/>
  <c r="M362" i="9" s="1"/>
  <c r="J362" i="9"/>
  <c r="K362" i="9" s="1"/>
  <c r="H362" i="9"/>
  <c r="I362" i="9" s="1"/>
  <c r="F362" i="9"/>
  <c r="G362" i="9" s="1"/>
  <c r="E362" i="9"/>
  <c r="AB361" i="9"/>
  <c r="AC361" i="9" s="1"/>
  <c r="Z361" i="9"/>
  <c r="X361" i="9"/>
  <c r="V361" i="9"/>
  <c r="W361" i="9" s="1"/>
  <c r="T361" i="9"/>
  <c r="U361" i="9" s="1"/>
  <c r="R361" i="9"/>
  <c r="S361" i="9" s="1"/>
  <c r="P361" i="9"/>
  <c r="Q361" i="9" s="1"/>
  <c r="N361" i="9"/>
  <c r="O361" i="9" s="1"/>
  <c r="L361" i="9"/>
  <c r="M361" i="9" s="1"/>
  <c r="J361" i="9"/>
  <c r="K361" i="9" s="1"/>
  <c r="H361" i="9"/>
  <c r="I361" i="9" s="1"/>
  <c r="F361" i="9"/>
  <c r="G361" i="9" s="1"/>
  <c r="E361" i="9"/>
  <c r="AB360" i="9"/>
  <c r="AC360" i="9" s="1"/>
  <c r="Z360" i="9"/>
  <c r="X360" i="9"/>
  <c r="V360" i="9"/>
  <c r="W360" i="9" s="1"/>
  <c r="T360" i="9"/>
  <c r="U360" i="9" s="1"/>
  <c r="R360" i="9"/>
  <c r="S360" i="9" s="1"/>
  <c r="P360" i="9"/>
  <c r="Q360" i="9" s="1"/>
  <c r="N360" i="9"/>
  <c r="O360" i="9" s="1"/>
  <c r="L360" i="9"/>
  <c r="M360" i="9" s="1"/>
  <c r="J360" i="9"/>
  <c r="K360" i="9" s="1"/>
  <c r="H360" i="9"/>
  <c r="I360" i="9" s="1"/>
  <c r="F360" i="9"/>
  <c r="G360" i="9" s="1"/>
  <c r="E360" i="9"/>
  <c r="AB359" i="9"/>
  <c r="AC359" i="9" s="1"/>
  <c r="Z359" i="9"/>
  <c r="X359" i="9"/>
  <c r="V359" i="9"/>
  <c r="W359" i="9" s="1"/>
  <c r="T359" i="9"/>
  <c r="U359" i="9" s="1"/>
  <c r="R359" i="9"/>
  <c r="S359" i="9" s="1"/>
  <c r="P359" i="9"/>
  <c r="Q359" i="9" s="1"/>
  <c r="N359" i="9"/>
  <c r="O359" i="9" s="1"/>
  <c r="L359" i="9"/>
  <c r="M359" i="9" s="1"/>
  <c r="J359" i="9"/>
  <c r="K359" i="9" s="1"/>
  <c r="H359" i="9"/>
  <c r="I359" i="9" s="1"/>
  <c r="F359" i="9"/>
  <c r="G359" i="9" s="1"/>
  <c r="E359" i="9"/>
  <c r="AB358" i="9"/>
  <c r="AC358" i="9" s="1"/>
  <c r="Z358" i="9"/>
  <c r="X358" i="9"/>
  <c r="V358" i="9"/>
  <c r="W358" i="9" s="1"/>
  <c r="T358" i="9"/>
  <c r="U358" i="9" s="1"/>
  <c r="R358" i="9"/>
  <c r="S358" i="9" s="1"/>
  <c r="P358" i="9"/>
  <c r="Q358" i="9" s="1"/>
  <c r="N358" i="9"/>
  <c r="O358" i="9" s="1"/>
  <c r="L358" i="9"/>
  <c r="M358" i="9" s="1"/>
  <c r="J358" i="9"/>
  <c r="K358" i="9" s="1"/>
  <c r="H358" i="9"/>
  <c r="I358" i="9" s="1"/>
  <c r="F358" i="9"/>
  <c r="G358" i="9" s="1"/>
  <c r="E358" i="9"/>
  <c r="AB357" i="9"/>
  <c r="AC357" i="9" s="1"/>
  <c r="Z357" i="9"/>
  <c r="X357" i="9"/>
  <c r="V357" i="9"/>
  <c r="W357" i="9" s="1"/>
  <c r="T357" i="9"/>
  <c r="U357" i="9" s="1"/>
  <c r="R357" i="9"/>
  <c r="S357" i="9" s="1"/>
  <c r="P357" i="9"/>
  <c r="Q357" i="9" s="1"/>
  <c r="N357" i="9"/>
  <c r="O357" i="9" s="1"/>
  <c r="L357" i="9"/>
  <c r="M357" i="9" s="1"/>
  <c r="J357" i="9"/>
  <c r="K357" i="9" s="1"/>
  <c r="H357" i="9"/>
  <c r="I357" i="9" s="1"/>
  <c r="F357" i="9"/>
  <c r="G357" i="9" s="1"/>
  <c r="E357" i="9"/>
  <c r="AB356" i="9"/>
  <c r="AC356" i="9" s="1"/>
  <c r="Z356" i="9"/>
  <c r="X356" i="9"/>
  <c r="V356" i="9"/>
  <c r="W356" i="9" s="1"/>
  <c r="T356" i="9"/>
  <c r="U356" i="9" s="1"/>
  <c r="R356" i="9"/>
  <c r="S356" i="9" s="1"/>
  <c r="P356" i="9"/>
  <c r="Q356" i="9" s="1"/>
  <c r="N356" i="9"/>
  <c r="O356" i="9" s="1"/>
  <c r="L356" i="9"/>
  <c r="M356" i="9" s="1"/>
  <c r="J356" i="9"/>
  <c r="K356" i="9" s="1"/>
  <c r="H356" i="9"/>
  <c r="I356" i="9" s="1"/>
  <c r="F356" i="9"/>
  <c r="G356" i="9" s="1"/>
  <c r="E356" i="9"/>
  <c r="AB355" i="9"/>
  <c r="AC355" i="9" s="1"/>
  <c r="Z355" i="9"/>
  <c r="X355" i="9"/>
  <c r="V355" i="9"/>
  <c r="W355" i="9" s="1"/>
  <c r="T355" i="9"/>
  <c r="U355" i="9" s="1"/>
  <c r="R355" i="9"/>
  <c r="S355" i="9" s="1"/>
  <c r="P355" i="9"/>
  <c r="Q355" i="9" s="1"/>
  <c r="N355" i="9"/>
  <c r="O355" i="9" s="1"/>
  <c r="L355" i="9"/>
  <c r="M355" i="9" s="1"/>
  <c r="J355" i="9"/>
  <c r="K355" i="9" s="1"/>
  <c r="H355" i="9"/>
  <c r="I355" i="9" s="1"/>
  <c r="F355" i="9"/>
  <c r="G355" i="9" s="1"/>
  <c r="E355" i="9"/>
  <c r="AB354" i="9"/>
  <c r="AC354" i="9" s="1"/>
  <c r="Z354" i="9"/>
  <c r="X354" i="9"/>
  <c r="V354" i="9"/>
  <c r="W354" i="9" s="1"/>
  <c r="T354" i="9"/>
  <c r="U354" i="9" s="1"/>
  <c r="R354" i="9"/>
  <c r="S354" i="9" s="1"/>
  <c r="P354" i="9"/>
  <c r="Q354" i="9" s="1"/>
  <c r="N354" i="9"/>
  <c r="O354" i="9" s="1"/>
  <c r="L354" i="9"/>
  <c r="M354" i="9" s="1"/>
  <c r="J354" i="9"/>
  <c r="K354" i="9" s="1"/>
  <c r="H354" i="9"/>
  <c r="I354" i="9" s="1"/>
  <c r="F354" i="9"/>
  <c r="G354" i="9" s="1"/>
  <c r="E354" i="9"/>
  <c r="AB353" i="9"/>
  <c r="AC353" i="9" s="1"/>
  <c r="Z353" i="9"/>
  <c r="X353" i="9"/>
  <c r="V353" i="9"/>
  <c r="W353" i="9" s="1"/>
  <c r="T353" i="9"/>
  <c r="U353" i="9" s="1"/>
  <c r="R353" i="9"/>
  <c r="S353" i="9" s="1"/>
  <c r="P353" i="9"/>
  <c r="Q353" i="9" s="1"/>
  <c r="N353" i="9"/>
  <c r="O353" i="9" s="1"/>
  <c r="L353" i="9"/>
  <c r="M353" i="9" s="1"/>
  <c r="J353" i="9"/>
  <c r="K353" i="9" s="1"/>
  <c r="H353" i="9"/>
  <c r="I353" i="9" s="1"/>
  <c r="F353" i="9"/>
  <c r="G353" i="9" s="1"/>
  <c r="E353" i="9"/>
  <c r="AB352" i="9"/>
  <c r="AC352" i="9" s="1"/>
  <c r="Z352" i="9"/>
  <c r="X352" i="9"/>
  <c r="V352" i="9"/>
  <c r="W352" i="9" s="1"/>
  <c r="T352" i="9"/>
  <c r="U352" i="9" s="1"/>
  <c r="R352" i="9"/>
  <c r="S352" i="9" s="1"/>
  <c r="P352" i="9"/>
  <c r="Q352" i="9" s="1"/>
  <c r="N352" i="9"/>
  <c r="O352" i="9" s="1"/>
  <c r="L352" i="9"/>
  <c r="M352" i="9" s="1"/>
  <c r="J352" i="9"/>
  <c r="K352" i="9" s="1"/>
  <c r="H352" i="9"/>
  <c r="I352" i="9" s="1"/>
  <c r="F352" i="9"/>
  <c r="G352" i="9" s="1"/>
  <c r="E352" i="9"/>
  <c r="AB351" i="9"/>
  <c r="AC351" i="9" s="1"/>
  <c r="Z351" i="9"/>
  <c r="X351" i="9"/>
  <c r="V351" i="9"/>
  <c r="W351" i="9" s="1"/>
  <c r="T351" i="9"/>
  <c r="U351" i="9" s="1"/>
  <c r="R351" i="9"/>
  <c r="S351" i="9" s="1"/>
  <c r="P351" i="9"/>
  <c r="Q351" i="9" s="1"/>
  <c r="N351" i="9"/>
  <c r="O351" i="9" s="1"/>
  <c r="L351" i="9"/>
  <c r="M351" i="9" s="1"/>
  <c r="J351" i="9"/>
  <c r="K351" i="9" s="1"/>
  <c r="H351" i="9"/>
  <c r="I351" i="9" s="1"/>
  <c r="F351" i="9"/>
  <c r="G351" i="9" s="1"/>
  <c r="E351" i="9"/>
  <c r="AB350" i="9"/>
  <c r="AC350" i="9" s="1"/>
  <c r="Z350" i="9"/>
  <c r="X350" i="9"/>
  <c r="V350" i="9"/>
  <c r="W350" i="9" s="1"/>
  <c r="T350" i="9"/>
  <c r="U350" i="9" s="1"/>
  <c r="R350" i="9"/>
  <c r="S350" i="9" s="1"/>
  <c r="P350" i="9"/>
  <c r="Q350" i="9" s="1"/>
  <c r="N350" i="9"/>
  <c r="O350" i="9" s="1"/>
  <c r="L350" i="9"/>
  <c r="M350" i="9" s="1"/>
  <c r="J350" i="9"/>
  <c r="K350" i="9" s="1"/>
  <c r="H350" i="9"/>
  <c r="I350" i="9" s="1"/>
  <c r="F350" i="9"/>
  <c r="G350" i="9" s="1"/>
  <c r="E350" i="9"/>
  <c r="AB349" i="9"/>
  <c r="AC349" i="9" s="1"/>
  <c r="Z349" i="9"/>
  <c r="X349" i="9"/>
  <c r="V349" i="9"/>
  <c r="W349" i="9" s="1"/>
  <c r="T349" i="9"/>
  <c r="U349" i="9" s="1"/>
  <c r="R349" i="9"/>
  <c r="S349" i="9" s="1"/>
  <c r="P349" i="9"/>
  <c r="Q349" i="9" s="1"/>
  <c r="N349" i="9"/>
  <c r="O349" i="9" s="1"/>
  <c r="L349" i="9"/>
  <c r="M349" i="9" s="1"/>
  <c r="J349" i="9"/>
  <c r="K349" i="9" s="1"/>
  <c r="H349" i="9"/>
  <c r="I349" i="9" s="1"/>
  <c r="F349" i="9"/>
  <c r="G349" i="9" s="1"/>
  <c r="E349" i="9"/>
  <c r="AB348" i="9"/>
  <c r="AC348" i="9" s="1"/>
  <c r="Z348" i="9"/>
  <c r="X348" i="9"/>
  <c r="V348" i="9"/>
  <c r="W348" i="9" s="1"/>
  <c r="T348" i="9"/>
  <c r="U348" i="9" s="1"/>
  <c r="R348" i="9"/>
  <c r="S348" i="9" s="1"/>
  <c r="P348" i="9"/>
  <c r="Q348" i="9" s="1"/>
  <c r="N348" i="9"/>
  <c r="O348" i="9" s="1"/>
  <c r="L348" i="9"/>
  <c r="M348" i="9" s="1"/>
  <c r="J348" i="9"/>
  <c r="K348" i="9" s="1"/>
  <c r="H348" i="9"/>
  <c r="I348" i="9" s="1"/>
  <c r="F348" i="9"/>
  <c r="G348" i="9" s="1"/>
  <c r="E348" i="9"/>
  <c r="AB347" i="9"/>
  <c r="AC347" i="9" s="1"/>
  <c r="Z347" i="9"/>
  <c r="X347" i="9"/>
  <c r="V347" i="9"/>
  <c r="W347" i="9" s="1"/>
  <c r="T347" i="9"/>
  <c r="U347" i="9" s="1"/>
  <c r="R347" i="9"/>
  <c r="S347" i="9" s="1"/>
  <c r="P347" i="9"/>
  <c r="Q347" i="9" s="1"/>
  <c r="N347" i="9"/>
  <c r="O347" i="9" s="1"/>
  <c r="L347" i="9"/>
  <c r="M347" i="9" s="1"/>
  <c r="J347" i="9"/>
  <c r="K347" i="9" s="1"/>
  <c r="H347" i="9"/>
  <c r="I347" i="9" s="1"/>
  <c r="F347" i="9"/>
  <c r="G347" i="9" s="1"/>
  <c r="E347" i="9"/>
  <c r="AB346" i="9"/>
  <c r="AC346" i="9" s="1"/>
  <c r="Z346" i="9"/>
  <c r="X346" i="9"/>
  <c r="V346" i="9"/>
  <c r="W346" i="9" s="1"/>
  <c r="T346" i="9"/>
  <c r="U346" i="9" s="1"/>
  <c r="R346" i="9"/>
  <c r="S346" i="9" s="1"/>
  <c r="P346" i="9"/>
  <c r="Q346" i="9" s="1"/>
  <c r="N346" i="9"/>
  <c r="O346" i="9" s="1"/>
  <c r="L346" i="9"/>
  <c r="M346" i="9" s="1"/>
  <c r="J346" i="9"/>
  <c r="K346" i="9" s="1"/>
  <c r="H346" i="9"/>
  <c r="I346" i="9" s="1"/>
  <c r="F346" i="9"/>
  <c r="G346" i="9" s="1"/>
  <c r="E346" i="9"/>
  <c r="AB345" i="9"/>
  <c r="AC345" i="9" s="1"/>
  <c r="Z345" i="9"/>
  <c r="X345" i="9"/>
  <c r="V345" i="9"/>
  <c r="W345" i="9" s="1"/>
  <c r="T345" i="9"/>
  <c r="U345" i="9" s="1"/>
  <c r="R345" i="9"/>
  <c r="S345" i="9" s="1"/>
  <c r="P345" i="9"/>
  <c r="Q345" i="9" s="1"/>
  <c r="N345" i="9"/>
  <c r="O345" i="9" s="1"/>
  <c r="L345" i="9"/>
  <c r="M345" i="9" s="1"/>
  <c r="J345" i="9"/>
  <c r="K345" i="9" s="1"/>
  <c r="H345" i="9"/>
  <c r="I345" i="9" s="1"/>
  <c r="F345" i="9"/>
  <c r="G345" i="9" s="1"/>
  <c r="E345" i="9"/>
  <c r="AB344" i="9"/>
  <c r="AC344" i="9" s="1"/>
  <c r="Z344" i="9"/>
  <c r="X344" i="9"/>
  <c r="V344" i="9"/>
  <c r="W344" i="9" s="1"/>
  <c r="T344" i="9"/>
  <c r="U344" i="9" s="1"/>
  <c r="R344" i="9"/>
  <c r="S344" i="9" s="1"/>
  <c r="P344" i="9"/>
  <c r="Q344" i="9" s="1"/>
  <c r="N344" i="9"/>
  <c r="O344" i="9" s="1"/>
  <c r="L344" i="9"/>
  <c r="M344" i="9" s="1"/>
  <c r="J344" i="9"/>
  <c r="K344" i="9" s="1"/>
  <c r="H344" i="9"/>
  <c r="I344" i="9" s="1"/>
  <c r="F344" i="9"/>
  <c r="G344" i="9" s="1"/>
  <c r="E344" i="9"/>
  <c r="AB343" i="9"/>
  <c r="AC343" i="9" s="1"/>
  <c r="Z343" i="9"/>
  <c r="X343" i="9"/>
  <c r="V343" i="9"/>
  <c r="W343" i="9" s="1"/>
  <c r="T343" i="9"/>
  <c r="U343" i="9" s="1"/>
  <c r="R343" i="9"/>
  <c r="S343" i="9" s="1"/>
  <c r="P343" i="9"/>
  <c r="Q343" i="9" s="1"/>
  <c r="N343" i="9"/>
  <c r="O343" i="9" s="1"/>
  <c r="L343" i="9"/>
  <c r="M343" i="9" s="1"/>
  <c r="J343" i="9"/>
  <c r="K343" i="9" s="1"/>
  <c r="H343" i="9"/>
  <c r="I343" i="9" s="1"/>
  <c r="F343" i="9"/>
  <c r="G343" i="9" s="1"/>
  <c r="E343" i="9"/>
  <c r="AB342" i="9"/>
  <c r="AC342" i="9" s="1"/>
  <c r="Z342" i="9"/>
  <c r="X342" i="9"/>
  <c r="V342" i="9"/>
  <c r="W342" i="9" s="1"/>
  <c r="T342" i="9"/>
  <c r="U342" i="9" s="1"/>
  <c r="R342" i="9"/>
  <c r="S342" i="9" s="1"/>
  <c r="P342" i="9"/>
  <c r="Q342" i="9" s="1"/>
  <c r="N342" i="9"/>
  <c r="O342" i="9" s="1"/>
  <c r="L342" i="9"/>
  <c r="M342" i="9" s="1"/>
  <c r="J342" i="9"/>
  <c r="K342" i="9" s="1"/>
  <c r="H342" i="9"/>
  <c r="I342" i="9" s="1"/>
  <c r="F342" i="9"/>
  <c r="G342" i="9" s="1"/>
  <c r="E342" i="9"/>
  <c r="AB341" i="9"/>
  <c r="AC341" i="9" s="1"/>
  <c r="Z341" i="9"/>
  <c r="X341" i="9"/>
  <c r="V341" i="9"/>
  <c r="W341" i="9" s="1"/>
  <c r="T341" i="9"/>
  <c r="U341" i="9" s="1"/>
  <c r="R341" i="9"/>
  <c r="S341" i="9" s="1"/>
  <c r="P341" i="9"/>
  <c r="Q341" i="9" s="1"/>
  <c r="N341" i="9"/>
  <c r="O341" i="9" s="1"/>
  <c r="L341" i="9"/>
  <c r="M341" i="9" s="1"/>
  <c r="J341" i="9"/>
  <c r="K341" i="9" s="1"/>
  <c r="H341" i="9"/>
  <c r="I341" i="9" s="1"/>
  <c r="F341" i="9"/>
  <c r="G341" i="9" s="1"/>
  <c r="E341" i="9"/>
  <c r="AB340" i="9"/>
  <c r="AC340" i="9" s="1"/>
  <c r="Z340" i="9"/>
  <c r="X340" i="9"/>
  <c r="V340" i="9"/>
  <c r="W340" i="9" s="1"/>
  <c r="T340" i="9"/>
  <c r="U340" i="9" s="1"/>
  <c r="R340" i="9"/>
  <c r="S340" i="9" s="1"/>
  <c r="P340" i="9"/>
  <c r="Q340" i="9" s="1"/>
  <c r="N340" i="9"/>
  <c r="O340" i="9" s="1"/>
  <c r="L340" i="9"/>
  <c r="M340" i="9" s="1"/>
  <c r="J340" i="9"/>
  <c r="K340" i="9" s="1"/>
  <c r="H340" i="9"/>
  <c r="I340" i="9" s="1"/>
  <c r="F340" i="9"/>
  <c r="G340" i="9" s="1"/>
  <c r="E340" i="9"/>
  <c r="AB339" i="9"/>
  <c r="AC339" i="9" s="1"/>
  <c r="Z339" i="9"/>
  <c r="X339" i="9"/>
  <c r="V339" i="9"/>
  <c r="W339" i="9" s="1"/>
  <c r="T339" i="9"/>
  <c r="U339" i="9" s="1"/>
  <c r="R339" i="9"/>
  <c r="S339" i="9" s="1"/>
  <c r="P339" i="9"/>
  <c r="Q339" i="9" s="1"/>
  <c r="N339" i="9"/>
  <c r="O339" i="9" s="1"/>
  <c r="L339" i="9"/>
  <c r="M339" i="9" s="1"/>
  <c r="J339" i="9"/>
  <c r="K339" i="9" s="1"/>
  <c r="H339" i="9"/>
  <c r="I339" i="9" s="1"/>
  <c r="F339" i="9"/>
  <c r="G339" i="9" s="1"/>
  <c r="E339" i="9"/>
  <c r="AB338" i="9"/>
  <c r="AC338" i="9" s="1"/>
  <c r="Z338" i="9"/>
  <c r="X338" i="9"/>
  <c r="V338" i="9"/>
  <c r="W338" i="9" s="1"/>
  <c r="T338" i="9"/>
  <c r="U338" i="9" s="1"/>
  <c r="R338" i="9"/>
  <c r="S338" i="9" s="1"/>
  <c r="P338" i="9"/>
  <c r="Q338" i="9" s="1"/>
  <c r="N338" i="9"/>
  <c r="O338" i="9" s="1"/>
  <c r="L338" i="9"/>
  <c r="M338" i="9" s="1"/>
  <c r="J338" i="9"/>
  <c r="K338" i="9" s="1"/>
  <c r="H338" i="9"/>
  <c r="I338" i="9" s="1"/>
  <c r="F338" i="9"/>
  <c r="G338" i="9" s="1"/>
  <c r="E338" i="9"/>
  <c r="AB337" i="9"/>
  <c r="AC337" i="9" s="1"/>
  <c r="Z337" i="9"/>
  <c r="X337" i="9"/>
  <c r="V337" i="9"/>
  <c r="W337" i="9" s="1"/>
  <c r="T337" i="9"/>
  <c r="U337" i="9" s="1"/>
  <c r="R337" i="9"/>
  <c r="S337" i="9" s="1"/>
  <c r="P337" i="9"/>
  <c r="Q337" i="9" s="1"/>
  <c r="N337" i="9"/>
  <c r="O337" i="9" s="1"/>
  <c r="L337" i="9"/>
  <c r="M337" i="9" s="1"/>
  <c r="J337" i="9"/>
  <c r="K337" i="9" s="1"/>
  <c r="H337" i="9"/>
  <c r="I337" i="9" s="1"/>
  <c r="F337" i="9"/>
  <c r="G337" i="9" s="1"/>
  <c r="E337" i="9"/>
  <c r="AB336" i="9"/>
  <c r="AC336" i="9" s="1"/>
  <c r="Z336" i="9"/>
  <c r="X336" i="9"/>
  <c r="V336" i="9"/>
  <c r="W336" i="9" s="1"/>
  <c r="T336" i="9"/>
  <c r="U336" i="9" s="1"/>
  <c r="R336" i="9"/>
  <c r="S336" i="9" s="1"/>
  <c r="P336" i="9"/>
  <c r="Q336" i="9" s="1"/>
  <c r="N336" i="9"/>
  <c r="O336" i="9" s="1"/>
  <c r="L336" i="9"/>
  <c r="M336" i="9" s="1"/>
  <c r="J336" i="9"/>
  <c r="K336" i="9" s="1"/>
  <c r="H336" i="9"/>
  <c r="I336" i="9" s="1"/>
  <c r="F336" i="9"/>
  <c r="G336" i="9" s="1"/>
  <c r="E336" i="9"/>
  <c r="AB335" i="9"/>
  <c r="AC335" i="9" s="1"/>
  <c r="Z335" i="9"/>
  <c r="X335" i="9"/>
  <c r="V335" i="9"/>
  <c r="W335" i="9" s="1"/>
  <c r="T335" i="9"/>
  <c r="U335" i="9" s="1"/>
  <c r="R335" i="9"/>
  <c r="S335" i="9" s="1"/>
  <c r="P335" i="9"/>
  <c r="Q335" i="9" s="1"/>
  <c r="N335" i="9"/>
  <c r="O335" i="9" s="1"/>
  <c r="L335" i="9"/>
  <c r="M335" i="9" s="1"/>
  <c r="J335" i="9"/>
  <c r="K335" i="9" s="1"/>
  <c r="H335" i="9"/>
  <c r="I335" i="9" s="1"/>
  <c r="F335" i="9"/>
  <c r="G335" i="9" s="1"/>
  <c r="E335" i="9"/>
  <c r="AB334" i="9"/>
  <c r="AC334" i="9" s="1"/>
  <c r="Z334" i="9"/>
  <c r="X334" i="9"/>
  <c r="V334" i="9"/>
  <c r="W334" i="9" s="1"/>
  <c r="T334" i="9"/>
  <c r="U334" i="9" s="1"/>
  <c r="R334" i="9"/>
  <c r="S334" i="9" s="1"/>
  <c r="P334" i="9"/>
  <c r="Q334" i="9" s="1"/>
  <c r="N334" i="9"/>
  <c r="O334" i="9" s="1"/>
  <c r="L334" i="9"/>
  <c r="M334" i="9" s="1"/>
  <c r="J334" i="9"/>
  <c r="K334" i="9" s="1"/>
  <c r="H334" i="9"/>
  <c r="I334" i="9" s="1"/>
  <c r="F334" i="9"/>
  <c r="G334" i="9" s="1"/>
  <c r="E334" i="9"/>
  <c r="AB333" i="9"/>
  <c r="AC333" i="9" s="1"/>
  <c r="Z333" i="9"/>
  <c r="X333" i="9"/>
  <c r="V333" i="9"/>
  <c r="W333" i="9" s="1"/>
  <c r="T333" i="9"/>
  <c r="U333" i="9" s="1"/>
  <c r="R333" i="9"/>
  <c r="S333" i="9" s="1"/>
  <c r="P333" i="9"/>
  <c r="Q333" i="9" s="1"/>
  <c r="N333" i="9"/>
  <c r="O333" i="9" s="1"/>
  <c r="L333" i="9"/>
  <c r="M333" i="9" s="1"/>
  <c r="J333" i="9"/>
  <c r="K333" i="9" s="1"/>
  <c r="H333" i="9"/>
  <c r="I333" i="9" s="1"/>
  <c r="F333" i="9"/>
  <c r="G333" i="9" s="1"/>
  <c r="E333" i="9"/>
  <c r="AB332" i="9"/>
  <c r="AC332" i="9" s="1"/>
  <c r="Z332" i="9"/>
  <c r="X332" i="9"/>
  <c r="V332" i="9"/>
  <c r="W332" i="9" s="1"/>
  <c r="T332" i="9"/>
  <c r="U332" i="9" s="1"/>
  <c r="R332" i="9"/>
  <c r="S332" i="9" s="1"/>
  <c r="P332" i="9"/>
  <c r="Q332" i="9" s="1"/>
  <c r="N332" i="9"/>
  <c r="O332" i="9" s="1"/>
  <c r="L332" i="9"/>
  <c r="M332" i="9" s="1"/>
  <c r="J332" i="9"/>
  <c r="K332" i="9" s="1"/>
  <c r="H332" i="9"/>
  <c r="I332" i="9" s="1"/>
  <c r="F332" i="9"/>
  <c r="G332" i="9" s="1"/>
  <c r="E332" i="9"/>
  <c r="AB331" i="9"/>
  <c r="AC331" i="9" s="1"/>
  <c r="Z331" i="9"/>
  <c r="X331" i="9"/>
  <c r="V331" i="9"/>
  <c r="W331" i="9" s="1"/>
  <c r="T331" i="9"/>
  <c r="U331" i="9" s="1"/>
  <c r="R331" i="9"/>
  <c r="S331" i="9" s="1"/>
  <c r="P331" i="9"/>
  <c r="Q331" i="9" s="1"/>
  <c r="N331" i="9"/>
  <c r="O331" i="9" s="1"/>
  <c r="L331" i="9"/>
  <c r="M331" i="9" s="1"/>
  <c r="J331" i="9"/>
  <c r="K331" i="9" s="1"/>
  <c r="H331" i="9"/>
  <c r="I331" i="9" s="1"/>
  <c r="F331" i="9"/>
  <c r="G331" i="9" s="1"/>
  <c r="E331" i="9"/>
  <c r="AB330" i="9"/>
  <c r="AC330" i="9" s="1"/>
  <c r="Z330" i="9"/>
  <c r="X330" i="9"/>
  <c r="V330" i="9"/>
  <c r="W330" i="9" s="1"/>
  <c r="T330" i="9"/>
  <c r="U330" i="9" s="1"/>
  <c r="R330" i="9"/>
  <c r="S330" i="9" s="1"/>
  <c r="P330" i="9"/>
  <c r="Q330" i="9" s="1"/>
  <c r="N330" i="9"/>
  <c r="O330" i="9" s="1"/>
  <c r="L330" i="9"/>
  <c r="M330" i="9" s="1"/>
  <c r="J330" i="9"/>
  <c r="K330" i="9" s="1"/>
  <c r="H330" i="9"/>
  <c r="I330" i="9" s="1"/>
  <c r="F330" i="9"/>
  <c r="G330" i="9" s="1"/>
  <c r="E330" i="9"/>
  <c r="AB329" i="9"/>
  <c r="AC329" i="9" s="1"/>
  <c r="Z329" i="9"/>
  <c r="X329" i="9"/>
  <c r="V329" i="9"/>
  <c r="W329" i="9" s="1"/>
  <c r="T329" i="9"/>
  <c r="U329" i="9" s="1"/>
  <c r="R329" i="9"/>
  <c r="S329" i="9" s="1"/>
  <c r="P329" i="9"/>
  <c r="Q329" i="9" s="1"/>
  <c r="N329" i="9"/>
  <c r="O329" i="9" s="1"/>
  <c r="L329" i="9"/>
  <c r="M329" i="9" s="1"/>
  <c r="J329" i="9"/>
  <c r="K329" i="9" s="1"/>
  <c r="H329" i="9"/>
  <c r="I329" i="9" s="1"/>
  <c r="F329" i="9"/>
  <c r="G329" i="9" s="1"/>
  <c r="E329" i="9"/>
  <c r="AB328" i="9"/>
  <c r="AC328" i="9" s="1"/>
  <c r="Z328" i="9"/>
  <c r="X328" i="9"/>
  <c r="V328" i="9"/>
  <c r="W328" i="9" s="1"/>
  <c r="T328" i="9"/>
  <c r="U328" i="9" s="1"/>
  <c r="R328" i="9"/>
  <c r="S328" i="9" s="1"/>
  <c r="P328" i="9"/>
  <c r="Q328" i="9" s="1"/>
  <c r="N328" i="9"/>
  <c r="O328" i="9" s="1"/>
  <c r="L328" i="9"/>
  <c r="M328" i="9" s="1"/>
  <c r="J328" i="9"/>
  <c r="K328" i="9" s="1"/>
  <c r="H328" i="9"/>
  <c r="I328" i="9" s="1"/>
  <c r="F328" i="9"/>
  <c r="G328" i="9" s="1"/>
  <c r="E328" i="9"/>
  <c r="AB327" i="9"/>
  <c r="AC327" i="9" s="1"/>
  <c r="Z327" i="9"/>
  <c r="X327" i="9"/>
  <c r="V327" i="9"/>
  <c r="W327" i="9" s="1"/>
  <c r="T327" i="9"/>
  <c r="U327" i="9" s="1"/>
  <c r="R327" i="9"/>
  <c r="S327" i="9" s="1"/>
  <c r="P327" i="9"/>
  <c r="Q327" i="9" s="1"/>
  <c r="N327" i="9"/>
  <c r="O327" i="9" s="1"/>
  <c r="L327" i="9"/>
  <c r="M327" i="9" s="1"/>
  <c r="J327" i="9"/>
  <c r="K327" i="9" s="1"/>
  <c r="H327" i="9"/>
  <c r="I327" i="9" s="1"/>
  <c r="F327" i="9"/>
  <c r="G327" i="9" s="1"/>
  <c r="E327" i="9"/>
  <c r="AB326" i="9"/>
  <c r="AC326" i="9" s="1"/>
  <c r="Z326" i="9"/>
  <c r="X326" i="9"/>
  <c r="V326" i="9"/>
  <c r="W326" i="9" s="1"/>
  <c r="T326" i="9"/>
  <c r="U326" i="9" s="1"/>
  <c r="R326" i="9"/>
  <c r="S326" i="9" s="1"/>
  <c r="P326" i="9"/>
  <c r="Q326" i="9" s="1"/>
  <c r="N326" i="9"/>
  <c r="O326" i="9" s="1"/>
  <c r="L326" i="9"/>
  <c r="M326" i="9" s="1"/>
  <c r="J326" i="9"/>
  <c r="K326" i="9" s="1"/>
  <c r="H326" i="9"/>
  <c r="I326" i="9" s="1"/>
  <c r="F326" i="9"/>
  <c r="G326" i="9" s="1"/>
  <c r="E326" i="9"/>
  <c r="AB325" i="9"/>
  <c r="AC325" i="9" s="1"/>
  <c r="Z325" i="9"/>
  <c r="X325" i="9"/>
  <c r="V325" i="9"/>
  <c r="W325" i="9" s="1"/>
  <c r="T325" i="9"/>
  <c r="U325" i="9" s="1"/>
  <c r="R325" i="9"/>
  <c r="S325" i="9" s="1"/>
  <c r="P325" i="9"/>
  <c r="Q325" i="9" s="1"/>
  <c r="N325" i="9"/>
  <c r="O325" i="9" s="1"/>
  <c r="L325" i="9"/>
  <c r="M325" i="9" s="1"/>
  <c r="J325" i="9"/>
  <c r="K325" i="9" s="1"/>
  <c r="H325" i="9"/>
  <c r="I325" i="9" s="1"/>
  <c r="F325" i="9"/>
  <c r="G325" i="9" s="1"/>
  <c r="E325" i="9"/>
  <c r="AB324" i="9"/>
  <c r="AC324" i="9" s="1"/>
  <c r="Z324" i="9"/>
  <c r="X324" i="9"/>
  <c r="V324" i="9"/>
  <c r="W324" i="9" s="1"/>
  <c r="T324" i="9"/>
  <c r="U324" i="9" s="1"/>
  <c r="R324" i="9"/>
  <c r="S324" i="9" s="1"/>
  <c r="P324" i="9"/>
  <c r="Q324" i="9" s="1"/>
  <c r="N324" i="9"/>
  <c r="O324" i="9" s="1"/>
  <c r="L324" i="9"/>
  <c r="M324" i="9" s="1"/>
  <c r="J324" i="9"/>
  <c r="K324" i="9" s="1"/>
  <c r="H324" i="9"/>
  <c r="I324" i="9" s="1"/>
  <c r="F324" i="9"/>
  <c r="G324" i="9" s="1"/>
  <c r="E324" i="9"/>
  <c r="AB323" i="9"/>
  <c r="AC323" i="9" s="1"/>
  <c r="Z323" i="9"/>
  <c r="X323" i="9"/>
  <c r="V323" i="9"/>
  <c r="W323" i="9" s="1"/>
  <c r="T323" i="9"/>
  <c r="U323" i="9" s="1"/>
  <c r="R323" i="9"/>
  <c r="S323" i="9" s="1"/>
  <c r="P323" i="9"/>
  <c r="Q323" i="9" s="1"/>
  <c r="N323" i="9"/>
  <c r="O323" i="9" s="1"/>
  <c r="L323" i="9"/>
  <c r="M323" i="9" s="1"/>
  <c r="J323" i="9"/>
  <c r="K323" i="9" s="1"/>
  <c r="H323" i="9"/>
  <c r="I323" i="9" s="1"/>
  <c r="F323" i="9"/>
  <c r="G323" i="9" s="1"/>
  <c r="E323" i="9"/>
  <c r="AB322" i="9"/>
  <c r="AC322" i="9" s="1"/>
  <c r="Z322" i="9"/>
  <c r="X322" i="9"/>
  <c r="V322" i="9"/>
  <c r="W322" i="9" s="1"/>
  <c r="T322" i="9"/>
  <c r="U322" i="9" s="1"/>
  <c r="R322" i="9"/>
  <c r="S322" i="9" s="1"/>
  <c r="P322" i="9"/>
  <c r="Q322" i="9" s="1"/>
  <c r="N322" i="9"/>
  <c r="O322" i="9" s="1"/>
  <c r="L322" i="9"/>
  <c r="M322" i="9" s="1"/>
  <c r="J322" i="9"/>
  <c r="K322" i="9" s="1"/>
  <c r="H322" i="9"/>
  <c r="I322" i="9" s="1"/>
  <c r="F322" i="9"/>
  <c r="G322" i="9" s="1"/>
  <c r="E322" i="9"/>
  <c r="AB321" i="9"/>
  <c r="AC321" i="9" s="1"/>
  <c r="Z321" i="9"/>
  <c r="X321" i="9"/>
  <c r="V321" i="9"/>
  <c r="W321" i="9" s="1"/>
  <c r="T321" i="9"/>
  <c r="U321" i="9" s="1"/>
  <c r="R321" i="9"/>
  <c r="S321" i="9" s="1"/>
  <c r="P321" i="9"/>
  <c r="Q321" i="9" s="1"/>
  <c r="N321" i="9"/>
  <c r="O321" i="9" s="1"/>
  <c r="L321" i="9"/>
  <c r="M321" i="9" s="1"/>
  <c r="J321" i="9"/>
  <c r="K321" i="9" s="1"/>
  <c r="H321" i="9"/>
  <c r="I321" i="9" s="1"/>
  <c r="F321" i="9"/>
  <c r="G321" i="9" s="1"/>
  <c r="E321" i="9"/>
  <c r="AB320" i="9"/>
  <c r="AC320" i="9" s="1"/>
  <c r="Z320" i="9"/>
  <c r="X320" i="9"/>
  <c r="V320" i="9"/>
  <c r="W320" i="9" s="1"/>
  <c r="T320" i="9"/>
  <c r="U320" i="9" s="1"/>
  <c r="R320" i="9"/>
  <c r="S320" i="9" s="1"/>
  <c r="P320" i="9"/>
  <c r="Q320" i="9" s="1"/>
  <c r="N320" i="9"/>
  <c r="O320" i="9" s="1"/>
  <c r="L320" i="9"/>
  <c r="M320" i="9" s="1"/>
  <c r="J320" i="9"/>
  <c r="K320" i="9" s="1"/>
  <c r="H320" i="9"/>
  <c r="I320" i="9" s="1"/>
  <c r="F320" i="9"/>
  <c r="G320" i="9" s="1"/>
  <c r="E320" i="9"/>
  <c r="AB319" i="9"/>
  <c r="AC319" i="9" s="1"/>
  <c r="Z319" i="9"/>
  <c r="X319" i="9"/>
  <c r="V319" i="9"/>
  <c r="W319" i="9" s="1"/>
  <c r="T319" i="9"/>
  <c r="U319" i="9" s="1"/>
  <c r="R319" i="9"/>
  <c r="S319" i="9" s="1"/>
  <c r="P319" i="9"/>
  <c r="Q319" i="9" s="1"/>
  <c r="N319" i="9"/>
  <c r="O319" i="9" s="1"/>
  <c r="L319" i="9"/>
  <c r="M319" i="9" s="1"/>
  <c r="J319" i="9"/>
  <c r="K319" i="9" s="1"/>
  <c r="H319" i="9"/>
  <c r="I319" i="9" s="1"/>
  <c r="F319" i="9"/>
  <c r="G319" i="9" s="1"/>
  <c r="E319" i="9"/>
  <c r="AB318" i="9"/>
  <c r="AC318" i="9" s="1"/>
  <c r="Z318" i="9"/>
  <c r="X318" i="9"/>
  <c r="V318" i="9"/>
  <c r="W318" i="9" s="1"/>
  <c r="T318" i="9"/>
  <c r="U318" i="9" s="1"/>
  <c r="R318" i="9"/>
  <c r="S318" i="9" s="1"/>
  <c r="P318" i="9"/>
  <c r="Q318" i="9" s="1"/>
  <c r="N318" i="9"/>
  <c r="O318" i="9" s="1"/>
  <c r="L318" i="9"/>
  <c r="M318" i="9" s="1"/>
  <c r="J318" i="9"/>
  <c r="K318" i="9" s="1"/>
  <c r="H318" i="9"/>
  <c r="I318" i="9" s="1"/>
  <c r="F318" i="9"/>
  <c r="G318" i="9" s="1"/>
  <c r="E318" i="9"/>
  <c r="AB317" i="9"/>
  <c r="AC317" i="9" s="1"/>
  <c r="Z317" i="9"/>
  <c r="X317" i="9"/>
  <c r="V317" i="9"/>
  <c r="W317" i="9" s="1"/>
  <c r="T317" i="9"/>
  <c r="U317" i="9" s="1"/>
  <c r="R317" i="9"/>
  <c r="S317" i="9" s="1"/>
  <c r="P317" i="9"/>
  <c r="Q317" i="9" s="1"/>
  <c r="N317" i="9"/>
  <c r="O317" i="9" s="1"/>
  <c r="L317" i="9"/>
  <c r="M317" i="9" s="1"/>
  <c r="J317" i="9"/>
  <c r="K317" i="9" s="1"/>
  <c r="H317" i="9"/>
  <c r="I317" i="9" s="1"/>
  <c r="F317" i="9"/>
  <c r="G317" i="9" s="1"/>
  <c r="E317" i="9"/>
  <c r="AB316" i="9"/>
  <c r="AC316" i="9" s="1"/>
  <c r="Z316" i="9"/>
  <c r="X316" i="9"/>
  <c r="V316" i="9"/>
  <c r="W316" i="9" s="1"/>
  <c r="T316" i="9"/>
  <c r="U316" i="9" s="1"/>
  <c r="R316" i="9"/>
  <c r="S316" i="9" s="1"/>
  <c r="P316" i="9"/>
  <c r="Q316" i="9" s="1"/>
  <c r="N316" i="9"/>
  <c r="O316" i="9" s="1"/>
  <c r="L316" i="9"/>
  <c r="M316" i="9" s="1"/>
  <c r="J316" i="9"/>
  <c r="K316" i="9" s="1"/>
  <c r="H316" i="9"/>
  <c r="I316" i="9" s="1"/>
  <c r="F316" i="9"/>
  <c r="G316" i="9" s="1"/>
  <c r="E316" i="9"/>
  <c r="AB315" i="9"/>
  <c r="AC315" i="9" s="1"/>
  <c r="Z315" i="9"/>
  <c r="X315" i="9"/>
  <c r="V315" i="9"/>
  <c r="W315" i="9" s="1"/>
  <c r="T315" i="9"/>
  <c r="U315" i="9" s="1"/>
  <c r="R315" i="9"/>
  <c r="S315" i="9" s="1"/>
  <c r="P315" i="9"/>
  <c r="Q315" i="9" s="1"/>
  <c r="N315" i="9"/>
  <c r="O315" i="9" s="1"/>
  <c r="L315" i="9"/>
  <c r="M315" i="9" s="1"/>
  <c r="J315" i="9"/>
  <c r="K315" i="9" s="1"/>
  <c r="H315" i="9"/>
  <c r="I315" i="9" s="1"/>
  <c r="F315" i="9"/>
  <c r="G315" i="9" s="1"/>
  <c r="E315" i="9"/>
  <c r="AB314" i="9"/>
  <c r="AC314" i="9" s="1"/>
  <c r="Z314" i="9"/>
  <c r="X314" i="9"/>
  <c r="V314" i="9"/>
  <c r="W314" i="9" s="1"/>
  <c r="T314" i="9"/>
  <c r="U314" i="9" s="1"/>
  <c r="R314" i="9"/>
  <c r="S314" i="9" s="1"/>
  <c r="P314" i="9"/>
  <c r="Q314" i="9" s="1"/>
  <c r="N314" i="9"/>
  <c r="O314" i="9" s="1"/>
  <c r="L314" i="9"/>
  <c r="M314" i="9" s="1"/>
  <c r="J314" i="9"/>
  <c r="K314" i="9" s="1"/>
  <c r="H314" i="9"/>
  <c r="I314" i="9" s="1"/>
  <c r="F314" i="9"/>
  <c r="G314" i="9" s="1"/>
  <c r="E314" i="9"/>
  <c r="AB313" i="9"/>
  <c r="AC313" i="9" s="1"/>
  <c r="Z313" i="9"/>
  <c r="X313" i="9"/>
  <c r="V313" i="9"/>
  <c r="W313" i="9" s="1"/>
  <c r="T313" i="9"/>
  <c r="U313" i="9" s="1"/>
  <c r="R313" i="9"/>
  <c r="S313" i="9" s="1"/>
  <c r="P313" i="9"/>
  <c r="Q313" i="9" s="1"/>
  <c r="N313" i="9"/>
  <c r="O313" i="9" s="1"/>
  <c r="L313" i="9"/>
  <c r="M313" i="9" s="1"/>
  <c r="J313" i="9"/>
  <c r="K313" i="9" s="1"/>
  <c r="H313" i="9"/>
  <c r="I313" i="9" s="1"/>
  <c r="F313" i="9"/>
  <c r="G313" i="9" s="1"/>
  <c r="E313" i="9"/>
  <c r="AB312" i="9"/>
  <c r="AC312" i="9" s="1"/>
  <c r="Z312" i="9"/>
  <c r="X312" i="9"/>
  <c r="V312" i="9"/>
  <c r="W312" i="9" s="1"/>
  <c r="T312" i="9"/>
  <c r="U312" i="9" s="1"/>
  <c r="R312" i="9"/>
  <c r="S312" i="9" s="1"/>
  <c r="P312" i="9"/>
  <c r="Q312" i="9" s="1"/>
  <c r="N312" i="9"/>
  <c r="O312" i="9" s="1"/>
  <c r="L312" i="9"/>
  <c r="M312" i="9" s="1"/>
  <c r="J312" i="9"/>
  <c r="K312" i="9" s="1"/>
  <c r="H312" i="9"/>
  <c r="I312" i="9" s="1"/>
  <c r="F312" i="9"/>
  <c r="G312" i="9" s="1"/>
  <c r="E312" i="9"/>
  <c r="AB311" i="9"/>
  <c r="AC311" i="9" s="1"/>
  <c r="Z311" i="9"/>
  <c r="X311" i="9"/>
  <c r="V311" i="9"/>
  <c r="W311" i="9" s="1"/>
  <c r="T311" i="9"/>
  <c r="U311" i="9" s="1"/>
  <c r="R311" i="9"/>
  <c r="S311" i="9" s="1"/>
  <c r="P311" i="9"/>
  <c r="Q311" i="9" s="1"/>
  <c r="N311" i="9"/>
  <c r="O311" i="9" s="1"/>
  <c r="L311" i="9"/>
  <c r="M311" i="9" s="1"/>
  <c r="J311" i="9"/>
  <c r="K311" i="9" s="1"/>
  <c r="H311" i="9"/>
  <c r="I311" i="9" s="1"/>
  <c r="F311" i="9"/>
  <c r="G311" i="9" s="1"/>
  <c r="E311" i="9"/>
  <c r="AB310" i="9"/>
  <c r="AC310" i="9" s="1"/>
  <c r="Z310" i="9"/>
  <c r="X310" i="9"/>
  <c r="V310" i="9"/>
  <c r="W310" i="9" s="1"/>
  <c r="T310" i="9"/>
  <c r="U310" i="9" s="1"/>
  <c r="R310" i="9"/>
  <c r="S310" i="9" s="1"/>
  <c r="P310" i="9"/>
  <c r="Q310" i="9" s="1"/>
  <c r="N310" i="9"/>
  <c r="O310" i="9" s="1"/>
  <c r="L310" i="9"/>
  <c r="M310" i="9" s="1"/>
  <c r="J310" i="9"/>
  <c r="K310" i="9" s="1"/>
  <c r="H310" i="9"/>
  <c r="I310" i="9" s="1"/>
  <c r="F310" i="9"/>
  <c r="G310" i="9" s="1"/>
  <c r="E310" i="9"/>
  <c r="AB309" i="9"/>
  <c r="AC309" i="9" s="1"/>
  <c r="Z309" i="9"/>
  <c r="X309" i="9"/>
  <c r="V309" i="9"/>
  <c r="W309" i="9" s="1"/>
  <c r="T309" i="9"/>
  <c r="U309" i="9" s="1"/>
  <c r="R309" i="9"/>
  <c r="S309" i="9" s="1"/>
  <c r="P309" i="9"/>
  <c r="Q309" i="9" s="1"/>
  <c r="N309" i="9"/>
  <c r="O309" i="9" s="1"/>
  <c r="L309" i="9"/>
  <c r="M309" i="9" s="1"/>
  <c r="J309" i="9"/>
  <c r="K309" i="9" s="1"/>
  <c r="H309" i="9"/>
  <c r="I309" i="9" s="1"/>
  <c r="F309" i="9"/>
  <c r="G309" i="9" s="1"/>
  <c r="E309" i="9"/>
  <c r="AB308" i="9"/>
  <c r="AC308" i="9" s="1"/>
  <c r="Z308" i="9"/>
  <c r="X308" i="9"/>
  <c r="V308" i="9"/>
  <c r="W308" i="9" s="1"/>
  <c r="T308" i="9"/>
  <c r="U308" i="9" s="1"/>
  <c r="R308" i="9"/>
  <c r="S308" i="9" s="1"/>
  <c r="P308" i="9"/>
  <c r="Q308" i="9" s="1"/>
  <c r="N308" i="9"/>
  <c r="O308" i="9" s="1"/>
  <c r="L308" i="9"/>
  <c r="M308" i="9" s="1"/>
  <c r="J308" i="9"/>
  <c r="K308" i="9" s="1"/>
  <c r="H308" i="9"/>
  <c r="I308" i="9" s="1"/>
  <c r="F308" i="9"/>
  <c r="G308" i="9" s="1"/>
  <c r="E308" i="9"/>
  <c r="AB307" i="9"/>
  <c r="AC307" i="9" s="1"/>
  <c r="Z307" i="9"/>
  <c r="X307" i="9"/>
  <c r="V307" i="9"/>
  <c r="W307" i="9" s="1"/>
  <c r="T307" i="9"/>
  <c r="U307" i="9" s="1"/>
  <c r="R307" i="9"/>
  <c r="S307" i="9" s="1"/>
  <c r="P307" i="9"/>
  <c r="Q307" i="9" s="1"/>
  <c r="N307" i="9"/>
  <c r="O307" i="9" s="1"/>
  <c r="L307" i="9"/>
  <c r="M307" i="9" s="1"/>
  <c r="J307" i="9"/>
  <c r="K307" i="9" s="1"/>
  <c r="H307" i="9"/>
  <c r="I307" i="9" s="1"/>
  <c r="F307" i="9"/>
  <c r="G307" i="9" s="1"/>
  <c r="E307" i="9"/>
  <c r="AB306" i="9"/>
  <c r="AC306" i="9" s="1"/>
  <c r="Z306" i="9"/>
  <c r="X306" i="9"/>
  <c r="V306" i="9"/>
  <c r="W306" i="9" s="1"/>
  <c r="T306" i="9"/>
  <c r="U306" i="9" s="1"/>
  <c r="R306" i="9"/>
  <c r="S306" i="9" s="1"/>
  <c r="P306" i="9"/>
  <c r="Q306" i="9" s="1"/>
  <c r="N306" i="9"/>
  <c r="O306" i="9" s="1"/>
  <c r="L306" i="9"/>
  <c r="M306" i="9" s="1"/>
  <c r="J306" i="9"/>
  <c r="K306" i="9" s="1"/>
  <c r="H306" i="9"/>
  <c r="I306" i="9" s="1"/>
  <c r="F306" i="9"/>
  <c r="G306" i="9" s="1"/>
  <c r="E306" i="9"/>
  <c r="AB305" i="9"/>
  <c r="AC305" i="9" s="1"/>
  <c r="Z305" i="9"/>
  <c r="X305" i="9"/>
  <c r="V305" i="9"/>
  <c r="W305" i="9" s="1"/>
  <c r="T305" i="9"/>
  <c r="U305" i="9" s="1"/>
  <c r="R305" i="9"/>
  <c r="S305" i="9" s="1"/>
  <c r="P305" i="9"/>
  <c r="Q305" i="9" s="1"/>
  <c r="N305" i="9"/>
  <c r="O305" i="9" s="1"/>
  <c r="L305" i="9"/>
  <c r="M305" i="9" s="1"/>
  <c r="J305" i="9"/>
  <c r="K305" i="9" s="1"/>
  <c r="H305" i="9"/>
  <c r="I305" i="9" s="1"/>
  <c r="F305" i="9"/>
  <c r="G305" i="9" s="1"/>
  <c r="E305" i="9"/>
  <c r="AB304" i="9"/>
  <c r="AC304" i="9" s="1"/>
  <c r="Z304" i="9"/>
  <c r="X304" i="9"/>
  <c r="V304" i="9"/>
  <c r="W304" i="9" s="1"/>
  <c r="T304" i="9"/>
  <c r="U304" i="9" s="1"/>
  <c r="R304" i="9"/>
  <c r="S304" i="9" s="1"/>
  <c r="P304" i="9"/>
  <c r="Q304" i="9" s="1"/>
  <c r="N304" i="9"/>
  <c r="O304" i="9" s="1"/>
  <c r="L304" i="9"/>
  <c r="M304" i="9" s="1"/>
  <c r="J304" i="9"/>
  <c r="K304" i="9" s="1"/>
  <c r="H304" i="9"/>
  <c r="I304" i="9" s="1"/>
  <c r="F304" i="9"/>
  <c r="G304" i="9" s="1"/>
  <c r="E304" i="9"/>
  <c r="AB303" i="9"/>
  <c r="AC303" i="9" s="1"/>
  <c r="Z303" i="9"/>
  <c r="X303" i="9"/>
  <c r="V303" i="9"/>
  <c r="W303" i="9" s="1"/>
  <c r="T303" i="9"/>
  <c r="U303" i="9" s="1"/>
  <c r="R303" i="9"/>
  <c r="S303" i="9" s="1"/>
  <c r="P303" i="9"/>
  <c r="Q303" i="9" s="1"/>
  <c r="N303" i="9"/>
  <c r="O303" i="9" s="1"/>
  <c r="L303" i="9"/>
  <c r="M303" i="9" s="1"/>
  <c r="J303" i="9"/>
  <c r="K303" i="9" s="1"/>
  <c r="H303" i="9"/>
  <c r="I303" i="9" s="1"/>
  <c r="F303" i="9"/>
  <c r="G303" i="9" s="1"/>
  <c r="E303" i="9"/>
  <c r="AB302" i="9"/>
  <c r="AC302" i="9" s="1"/>
  <c r="Z302" i="9"/>
  <c r="X302" i="9"/>
  <c r="V302" i="9"/>
  <c r="W302" i="9" s="1"/>
  <c r="T302" i="9"/>
  <c r="U302" i="9" s="1"/>
  <c r="R302" i="9"/>
  <c r="S302" i="9" s="1"/>
  <c r="P302" i="9"/>
  <c r="Q302" i="9" s="1"/>
  <c r="N302" i="9"/>
  <c r="O302" i="9" s="1"/>
  <c r="L302" i="9"/>
  <c r="M302" i="9" s="1"/>
  <c r="J302" i="9"/>
  <c r="K302" i="9" s="1"/>
  <c r="H302" i="9"/>
  <c r="I302" i="9" s="1"/>
  <c r="F302" i="9"/>
  <c r="G302" i="9" s="1"/>
  <c r="E302" i="9"/>
  <c r="AB301" i="9"/>
  <c r="AC301" i="9" s="1"/>
  <c r="Z301" i="9"/>
  <c r="X301" i="9"/>
  <c r="V301" i="9"/>
  <c r="W301" i="9" s="1"/>
  <c r="T301" i="9"/>
  <c r="U301" i="9" s="1"/>
  <c r="R301" i="9"/>
  <c r="S301" i="9" s="1"/>
  <c r="P301" i="9"/>
  <c r="Q301" i="9" s="1"/>
  <c r="N301" i="9"/>
  <c r="O301" i="9" s="1"/>
  <c r="L301" i="9"/>
  <c r="M301" i="9" s="1"/>
  <c r="J301" i="9"/>
  <c r="K301" i="9" s="1"/>
  <c r="H301" i="9"/>
  <c r="I301" i="9" s="1"/>
  <c r="F301" i="9"/>
  <c r="G301" i="9" s="1"/>
  <c r="E301" i="9"/>
  <c r="AB300" i="9"/>
  <c r="AC300" i="9" s="1"/>
  <c r="Z300" i="9"/>
  <c r="X300" i="9"/>
  <c r="V300" i="9"/>
  <c r="W300" i="9" s="1"/>
  <c r="T300" i="9"/>
  <c r="U300" i="9" s="1"/>
  <c r="R300" i="9"/>
  <c r="S300" i="9" s="1"/>
  <c r="P300" i="9"/>
  <c r="Q300" i="9" s="1"/>
  <c r="N300" i="9"/>
  <c r="O300" i="9" s="1"/>
  <c r="L300" i="9"/>
  <c r="M300" i="9" s="1"/>
  <c r="J300" i="9"/>
  <c r="K300" i="9" s="1"/>
  <c r="H300" i="9"/>
  <c r="I300" i="9" s="1"/>
  <c r="F300" i="9"/>
  <c r="G300" i="9" s="1"/>
  <c r="E300" i="9"/>
  <c r="AB299" i="9"/>
  <c r="AC299" i="9" s="1"/>
  <c r="Z299" i="9"/>
  <c r="X299" i="9"/>
  <c r="V299" i="9"/>
  <c r="W299" i="9" s="1"/>
  <c r="T299" i="9"/>
  <c r="U299" i="9" s="1"/>
  <c r="R299" i="9"/>
  <c r="S299" i="9" s="1"/>
  <c r="P299" i="9"/>
  <c r="Q299" i="9" s="1"/>
  <c r="N299" i="9"/>
  <c r="O299" i="9" s="1"/>
  <c r="L299" i="9"/>
  <c r="M299" i="9" s="1"/>
  <c r="J299" i="9"/>
  <c r="K299" i="9" s="1"/>
  <c r="H299" i="9"/>
  <c r="I299" i="9" s="1"/>
  <c r="F299" i="9"/>
  <c r="G299" i="9" s="1"/>
  <c r="E299" i="9"/>
  <c r="AB298" i="9"/>
  <c r="AC298" i="9" s="1"/>
  <c r="Z298" i="9"/>
  <c r="X298" i="9"/>
  <c r="V298" i="9"/>
  <c r="W298" i="9" s="1"/>
  <c r="T298" i="9"/>
  <c r="U298" i="9" s="1"/>
  <c r="R298" i="9"/>
  <c r="S298" i="9" s="1"/>
  <c r="P298" i="9"/>
  <c r="Q298" i="9" s="1"/>
  <c r="N298" i="9"/>
  <c r="O298" i="9" s="1"/>
  <c r="L298" i="9"/>
  <c r="M298" i="9" s="1"/>
  <c r="J298" i="9"/>
  <c r="K298" i="9" s="1"/>
  <c r="H298" i="9"/>
  <c r="I298" i="9" s="1"/>
  <c r="F298" i="9"/>
  <c r="G298" i="9" s="1"/>
  <c r="E298" i="9"/>
  <c r="AB297" i="9"/>
  <c r="AC297" i="9" s="1"/>
  <c r="Z297" i="9"/>
  <c r="X297" i="9"/>
  <c r="V297" i="9"/>
  <c r="W297" i="9" s="1"/>
  <c r="T297" i="9"/>
  <c r="U297" i="9" s="1"/>
  <c r="R297" i="9"/>
  <c r="S297" i="9" s="1"/>
  <c r="P297" i="9"/>
  <c r="Q297" i="9" s="1"/>
  <c r="N297" i="9"/>
  <c r="O297" i="9" s="1"/>
  <c r="L297" i="9"/>
  <c r="M297" i="9" s="1"/>
  <c r="J297" i="9"/>
  <c r="K297" i="9" s="1"/>
  <c r="H297" i="9"/>
  <c r="I297" i="9" s="1"/>
  <c r="F297" i="9"/>
  <c r="G297" i="9" s="1"/>
  <c r="E297" i="9"/>
  <c r="AB296" i="9"/>
  <c r="AC296" i="9" s="1"/>
  <c r="Z296" i="9"/>
  <c r="X296" i="9"/>
  <c r="V296" i="9"/>
  <c r="W296" i="9" s="1"/>
  <c r="T296" i="9"/>
  <c r="U296" i="9" s="1"/>
  <c r="R296" i="9"/>
  <c r="S296" i="9" s="1"/>
  <c r="P296" i="9"/>
  <c r="Q296" i="9" s="1"/>
  <c r="N296" i="9"/>
  <c r="O296" i="9" s="1"/>
  <c r="L296" i="9"/>
  <c r="M296" i="9" s="1"/>
  <c r="J296" i="9"/>
  <c r="K296" i="9" s="1"/>
  <c r="H296" i="9"/>
  <c r="I296" i="9" s="1"/>
  <c r="F296" i="9"/>
  <c r="G296" i="9" s="1"/>
  <c r="E296" i="9"/>
  <c r="AB295" i="9"/>
  <c r="AC295" i="9" s="1"/>
  <c r="Z295" i="9"/>
  <c r="X295" i="9"/>
  <c r="V295" i="9"/>
  <c r="W295" i="9" s="1"/>
  <c r="T295" i="9"/>
  <c r="U295" i="9" s="1"/>
  <c r="R295" i="9"/>
  <c r="S295" i="9" s="1"/>
  <c r="P295" i="9"/>
  <c r="Q295" i="9" s="1"/>
  <c r="N295" i="9"/>
  <c r="O295" i="9" s="1"/>
  <c r="L295" i="9"/>
  <c r="M295" i="9" s="1"/>
  <c r="J295" i="9"/>
  <c r="K295" i="9" s="1"/>
  <c r="H295" i="9"/>
  <c r="I295" i="9" s="1"/>
  <c r="F295" i="9"/>
  <c r="G295" i="9" s="1"/>
  <c r="E295" i="9"/>
  <c r="AB294" i="9"/>
  <c r="AC294" i="9" s="1"/>
  <c r="Z294" i="9"/>
  <c r="X294" i="9"/>
  <c r="V294" i="9"/>
  <c r="W294" i="9" s="1"/>
  <c r="T294" i="9"/>
  <c r="U294" i="9" s="1"/>
  <c r="R294" i="9"/>
  <c r="S294" i="9" s="1"/>
  <c r="P294" i="9"/>
  <c r="Q294" i="9" s="1"/>
  <c r="N294" i="9"/>
  <c r="O294" i="9" s="1"/>
  <c r="L294" i="9"/>
  <c r="M294" i="9" s="1"/>
  <c r="J294" i="9"/>
  <c r="K294" i="9" s="1"/>
  <c r="H294" i="9"/>
  <c r="I294" i="9" s="1"/>
  <c r="F294" i="9"/>
  <c r="G294" i="9" s="1"/>
  <c r="E294" i="9"/>
  <c r="AB293" i="9"/>
  <c r="AC293" i="9" s="1"/>
  <c r="Z293" i="9"/>
  <c r="X293" i="9"/>
  <c r="V293" i="9"/>
  <c r="W293" i="9" s="1"/>
  <c r="T293" i="9"/>
  <c r="U293" i="9" s="1"/>
  <c r="R293" i="9"/>
  <c r="S293" i="9" s="1"/>
  <c r="P293" i="9"/>
  <c r="Q293" i="9" s="1"/>
  <c r="N293" i="9"/>
  <c r="O293" i="9" s="1"/>
  <c r="L293" i="9"/>
  <c r="M293" i="9" s="1"/>
  <c r="J293" i="9"/>
  <c r="K293" i="9" s="1"/>
  <c r="H293" i="9"/>
  <c r="I293" i="9" s="1"/>
  <c r="F293" i="9"/>
  <c r="G293" i="9" s="1"/>
  <c r="E293" i="9"/>
  <c r="AB292" i="9"/>
  <c r="AC292" i="9" s="1"/>
  <c r="Z292" i="9"/>
  <c r="X292" i="9"/>
  <c r="V292" i="9"/>
  <c r="W292" i="9" s="1"/>
  <c r="T292" i="9"/>
  <c r="U292" i="9" s="1"/>
  <c r="R292" i="9"/>
  <c r="S292" i="9" s="1"/>
  <c r="P292" i="9"/>
  <c r="Q292" i="9" s="1"/>
  <c r="N292" i="9"/>
  <c r="O292" i="9" s="1"/>
  <c r="L292" i="9"/>
  <c r="M292" i="9" s="1"/>
  <c r="J292" i="9"/>
  <c r="K292" i="9" s="1"/>
  <c r="H292" i="9"/>
  <c r="I292" i="9" s="1"/>
  <c r="F292" i="9"/>
  <c r="G292" i="9" s="1"/>
  <c r="E292" i="9"/>
  <c r="AB291" i="9"/>
  <c r="AC291" i="9" s="1"/>
  <c r="Z291" i="9"/>
  <c r="X291" i="9"/>
  <c r="V291" i="9"/>
  <c r="W291" i="9" s="1"/>
  <c r="T291" i="9"/>
  <c r="U291" i="9" s="1"/>
  <c r="R291" i="9"/>
  <c r="S291" i="9" s="1"/>
  <c r="P291" i="9"/>
  <c r="Q291" i="9" s="1"/>
  <c r="N291" i="9"/>
  <c r="O291" i="9" s="1"/>
  <c r="L291" i="9"/>
  <c r="M291" i="9" s="1"/>
  <c r="J291" i="9"/>
  <c r="K291" i="9" s="1"/>
  <c r="H291" i="9"/>
  <c r="I291" i="9" s="1"/>
  <c r="F291" i="9"/>
  <c r="G291" i="9" s="1"/>
  <c r="E291" i="9"/>
  <c r="AB290" i="9"/>
  <c r="AC290" i="9" s="1"/>
  <c r="Z290" i="9"/>
  <c r="X290" i="9"/>
  <c r="V290" i="9"/>
  <c r="W290" i="9" s="1"/>
  <c r="T290" i="9"/>
  <c r="U290" i="9" s="1"/>
  <c r="R290" i="9"/>
  <c r="S290" i="9" s="1"/>
  <c r="P290" i="9"/>
  <c r="Q290" i="9" s="1"/>
  <c r="N290" i="9"/>
  <c r="O290" i="9" s="1"/>
  <c r="L290" i="9"/>
  <c r="M290" i="9" s="1"/>
  <c r="J290" i="9"/>
  <c r="K290" i="9" s="1"/>
  <c r="H290" i="9"/>
  <c r="I290" i="9" s="1"/>
  <c r="F290" i="9"/>
  <c r="G290" i="9" s="1"/>
  <c r="E290" i="9"/>
  <c r="AB289" i="9"/>
  <c r="AC289" i="9" s="1"/>
  <c r="Z289" i="9"/>
  <c r="X289" i="9"/>
  <c r="V289" i="9"/>
  <c r="W289" i="9" s="1"/>
  <c r="T289" i="9"/>
  <c r="U289" i="9" s="1"/>
  <c r="R289" i="9"/>
  <c r="S289" i="9" s="1"/>
  <c r="P289" i="9"/>
  <c r="Q289" i="9" s="1"/>
  <c r="N289" i="9"/>
  <c r="O289" i="9" s="1"/>
  <c r="L289" i="9"/>
  <c r="M289" i="9" s="1"/>
  <c r="J289" i="9"/>
  <c r="K289" i="9" s="1"/>
  <c r="H289" i="9"/>
  <c r="I289" i="9" s="1"/>
  <c r="F289" i="9"/>
  <c r="G289" i="9" s="1"/>
  <c r="E289" i="9"/>
  <c r="AB288" i="9"/>
  <c r="AC288" i="9" s="1"/>
  <c r="Z288" i="9"/>
  <c r="X288" i="9"/>
  <c r="V288" i="9"/>
  <c r="W288" i="9" s="1"/>
  <c r="T288" i="9"/>
  <c r="U288" i="9" s="1"/>
  <c r="R288" i="9"/>
  <c r="S288" i="9" s="1"/>
  <c r="P288" i="9"/>
  <c r="Q288" i="9" s="1"/>
  <c r="N288" i="9"/>
  <c r="O288" i="9" s="1"/>
  <c r="L288" i="9"/>
  <c r="M288" i="9" s="1"/>
  <c r="J288" i="9"/>
  <c r="K288" i="9" s="1"/>
  <c r="H288" i="9"/>
  <c r="I288" i="9" s="1"/>
  <c r="F288" i="9"/>
  <c r="G288" i="9" s="1"/>
  <c r="E288" i="9"/>
  <c r="AB287" i="9"/>
  <c r="AC287" i="9" s="1"/>
  <c r="Z287" i="9"/>
  <c r="X287" i="9"/>
  <c r="V287" i="9"/>
  <c r="W287" i="9" s="1"/>
  <c r="T287" i="9"/>
  <c r="U287" i="9" s="1"/>
  <c r="R287" i="9"/>
  <c r="S287" i="9" s="1"/>
  <c r="P287" i="9"/>
  <c r="Q287" i="9" s="1"/>
  <c r="N287" i="9"/>
  <c r="O287" i="9" s="1"/>
  <c r="L287" i="9"/>
  <c r="M287" i="9" s="1"/>
  <c r="J287" i="9"/>
  <c r="K287" i="9" s="1"/>
  <c r="H287" i="9"/>
  <c r="I287" i="9" s="1"/>
  <c r="F287" i="9"/>
  <c r="G287" i="9" s="1"/>
  <c r="E287" i="9"/>
  <c r="AB286" i="9"/>
  <c r="AC286" i="9" s="1"/>
  <c r="Z286" i="9"/>
  <c r="X286" i="9"/>
  <c r="V286" i="9"/>
  <c r="W286" i="9" s="1"/>
  <c r="T286" i="9"/>
  <c r="U286" i="9" s="1"/>
  <c r="R286" i="9"/>
  <c r="S286" i="9" s="1"/>
  <c r="P286" i="9"/>
  <c r="Q286" i="9" s="1"/>
  <c r="N286" i="9"/>
  <c r="O286" i="9" s="1"/>
  <c r="L286" i="9"/>
  <c r="M286" i="9" s="1"/>
  <c r="J286" i="9"/>
  <c r="K286" i="9" s="1"/>
  <c r="H286" i="9"/>
  <c r="I286" i="9" s="1"/>
  <c r="F286" i="9"/>
  <c r="G286" i="9" s="1"/>
  <c r="E286" i="9"/>
  <c r="AB285" i="9"/>
  <c r="AC285" i="9" s="1"/>
  <c r="Z285" i="9"/>
  <c r="X285" i="9"/>
  <c r="V285" i="9"/>
  <c r="W285" i="9" s="1"/>
  <c r="T285" i="9"/>
  <c r="U285" i="9" s="1"/>
  <c r="R285" i="9"/>
  <c r="S285" i="9" s="1"/>
  <c r="P285" i="9"/>
  <c r="Q285" i="9" s="1"/>
  <c r="N285" i="9"/>
  <c r="O285" i="9" s="1"/>
  <c r="L285" i="9"/>
  <c r="M285" i="9" s="1"/>
  <c r="J285" i="9"/>
  <c r="K285" i="9" s="1"/>
  <c r="H285" i="9"/>
  <c r="I285" i="9" s="1"/>
  <c r="F285" i="9"/>
  <c r="G285" i="9" s="1"/>
  <c r="E285" i="9"/>
  <c r="AB284" i="9"/>
  <c r="AC284" i="9" s="1"/>
  <c r="Z284" i="9"/>
  <c r="X284" i="9"/>
  <c r="V284" i="9"/>
  <c r="W284" i="9" s="1"/>
  <c r="T284" i="9"/>
  <c r="U284" i="9" s="1"/>
  <c r="R284" i="9"/>
  <c r="S284" i="9" s="1"/>
  <c r="P284" i="9"/>
  <c r="Q284" i="9" s="1"/>
  <c r="N284" i="9"/>
  <c r="O284" i="9" s="1"/>
  <c r="L284" i="9"/>
  <c r="M284" i="9" s="1"/>
  <c r="J284" i="9"/>
  <c r="K284" i="9" s="1"/>
  <c r="H284" i="9"/>
  <c r="I284" i="9" s="1"/>
  <c r="F284" i="9"/>
  <c r="G284" i="9" s="1"/>
  <c r="E284" i="9"/>
  <c r="AB283" i="9"/>
  <c r="AC283" i="9" s="1"/>
  <c r="Z283" i="9"/>
  <c r="X283" i="9"/>
  <c r="V283" i="9"/>
  <c r="W283" i="9" s="1"/>
  <c r="T283" i="9"/>
  <c r="U283" i="9" s="1"/>
  <c r="R283" i="9"/>
  <c r="S283" i="9" s="1"/>
  <c r="P283" i="9"/>
  <c r="Q283" i="9" s="1"/>
  <c r="N283" i="9"/>
  <c r="O283" i="9" s="1"/>
  <c r="L283" i="9"/>
  <c r="M283" i="9" s="1"/>
  <c r="J283" i="9"/>
  <c r="K283" i="9" s="1"/>
  <c r="H283" i="9"/>
  <c r="I283" i="9" s="1"/>
  <c r="F283" i="9"/>
  <c r="G283" i="9" s="1"/>
  <c r="E283" i="9"/>
  <c r="AB282" i="9"/>
  <c r="AC282" i="9" s="1"/>
  <c r="Z282" i="9"/>
  <c r="X282" i="9"/>
  <c r="V282" i="9"/>
  <c r="W282" i="9" s="1"/>
  <c r="T282" i="9"/>
  <c r="U282" i="9" s="1"/>
  <c r="R282" i="9"/>
  <c r="S282" i="9" s="1"/>
  <c r="P282" i="9"/>
  <c r="Q282" i="9" s="1"/>
  <c r="N282" i="9"/>
  <c r="O282" i="9" s="1"/>
  <c r="L282" i="9"/>
  <c r="M282" i="9" s="1"/>
  <c r="J282" i="9"/>
  <c r="K282" i="9" s="1"/>
  <c r="H282" i="9"/>
  <c r="I282" i="9" s="1"/>
  <c r="F282" i="9"/>
  <c r="G282" i="9" s="1"/>
  <c r="E282" i="9"/>
  <c r="AB281" i="9"/>
  <c r="AC281" i="9" s="1"/>
  <c r="Z281" i="9"/>
  <c r="X281" i="9"/>
  <c r="V281" i="9"/>
  <c r="W281" i="9" s="1"/>
  <c r="T281" i="9"/>
  <c r="U281" i="9" s="1"/>
  <c r="R281" i="9"/>
  <c r="S281" i="9" s="1"/>
  <c r="P281" i="9"/>
  <c r="Q281" i="9" s="1"/>
  <c r="N281" i="9"/>
  <c r="O281" i="9" s="1"/>
  <c r="L281" i="9"/>
  <c r="M281" i="9" s="1"/>
  <c r="J281" i="9"/>
  <c r="K281" i="9" s="1"/>
  <c r="H281" i="9"/>
  <c r="I281" i="9" s="1"/>
  <c r="F281" i="9"/>
  <c r="G281" i="9" s="1"/>
  <c r="E281" i="9"/>
  <c r="AB280" i="9"/>
  <c r="AC280" i="9" s="1"/>
  <c r="Z280" i="9"/>
  <c r="X280" i="9"/>
  <c r="V280" i="9"/>
  <c r="W280" i="9" s="1"/>
  <c r="T280" i="9"/>
  <c r="U280" i="9" s="1"/>
  <c r="R280" i="9"/>
  <c r="S280" i="9" s="1"/>
  <c r="P280" i="9"/>
  <c r="Q280" i="9" s="1"/>
  <c r="N280" i="9"/>
  <c r="O280" i="9" s="1"/>
  <c r="L280" i="9"/>
  <c r="M280" i="9" s="1"/>
  <c r="J280" i="9"/>
  <c r="K280" i="9" s="1"/>
  <c r="H280" i="9"/>
  <c r="I280" i="9" s="1"/>
  <c r="F280" i="9"/>
  <c r="G280" i="9" s="1"/>
  <c r="E280" i="9"/>
  <c r="AB279" i="9"/>
  <c r="AC279" i="9" s="1"/>
  <c r="Z279" i="9"/>
  <c r="X279" i="9"/>
  <c r="V279" i="9"/>
  <c r="W279" i="9" s="1"/>
  <c r="T279" i="9"/>
  <c r="U279" i="9" s="1"/>
  <c r="R279" i="9"/>
  <c r="S279" i="9" s="1"/>
  <c r="P279" i="9"/>
  <c r="Q279" i="9" s="1"/>
  <c r="N279" i="9"/>
  <c r="O279" i="9" s="1"/>
  <c r="L279" i="9"/>
  <c r="M279" i="9" s="1"/>
  <c r="J279" i="9"/>
  <c r="K279" i="9" s="1"/>
  <c r="H279" i="9"/>
  <c r="I279" i="9" s="1"/>
  <c r="F279" i="9"/>
  <c r="G279" i="9" s="1"/>
  <c r="E279" i="9"/>
  <c r="AB278" i="9"/>
  <c r="AC278" i="9" s="1"/>
  <c r="Z278" i="9"/>
  <c r="X278" i="9"/>
  <c r="V278" i="9"/>
  <c r="W278" i="9" s="1"/>
  <c r="T278" i="9"/>
  <c r="U278" i="9" s="1"/>
  <c r="R278" i="9"/>
  <c r="S278" i="9" s="1"/>
  <c r="P278" i="9"/>
  <c r="Q278" i="9" s="1"/>
  <c r="N278" i="9"/>
  <c r="O278" i="9" s="1"/>
  <c r="L278" i="9"/>
  <c r="M278" i="9" s="1"/>
  <c r="J278" i="9"/>
  <c r="K278" i="9" s="1"/>
  <c r="H278" i="9"/>
  <c r="I278" i="9" s="1"/>
  <c r="F278" i="9"/>
  <c r="G278" i="9" s="1"/>
  <c r="E278" i="9"/>
  <c r="AB277" i="9"/>
  <c r="AC277" i="9" s="1"/>
  <c r="Z277" i="9"/>
  <c r="X277" i="9"/>
  <c r="V277" i="9"/>
  <c r="W277" i="9" s="1"/>
  <c r="T277" i="9"/>
  <c r="U277" i="9" s="1"/>
  <c r="R277" i="9"/>
  <c r="S277" i="9" s="1"/>
  <c r="P277" i="9"/>
  <c r="Q277" i="9" s="1"/>
  <c r="N277" i="9"/>
  <c r="O277" i="9" s="1"/>
  <c r="L277" i="9"/>
  <c r="M277" i="9" s="1"/>
  <c r="J277" i="9"/>
  <c r="K277" i="9" s="1"/>
  <c r="H277" i="9"/>
  <c r="I277" i="9" s="1"/>
  <c r="F277" i="9"/>
  <c r="G277" i="9" s="1"/>
  <c r="E277" i="9"/>
  <c r="AB276" i="9"/>
  <c r="AC276" i="9" s="1"/>
  <c r="Z276" i="9"/>
  <c r="X276" i="9"/>
  <c r="V276" i="9"/>
  <c r="W276" i="9" s="1"/>
  <c r="T276" i="9"/>
  <c r="U276" i="9" s="1"/>
  <c r="R276" i="9"/>
  <c r="S276" i="9" s="1"/>
  <c r="P276" i="9"/>
  <c r="Q276" i="9" s="1"/>
  <c r="N276" i="9"/>
  <c r="O276" i="9" s="1"/>
  <c r="L276" i="9"/>
  <c r="M276" i="9" s="1"/>
  <c r="J276" i="9"/>
  <c r="K276" i="9" s="1"/>
  <c r="H276" i="9"/>
  <c r="I276" i="9" s="1"/>
  <c r="F276" i="9"/>
  <c r="G276" i="9" s="1"/>
  <c r="E276" i="9"/>
  <c r="AB275" i="9"/>
  <c r="AC275" i="9" s="1"/>
  <c r="Z275" i="9"/>
  <c r="X275" i="9"/>
  <c r="V275" i="9"/>
  <c r="W275" i="9" s="1"/>
  <c r="T275" i="9"/>
  <c r="U275" i="9" s="1"/>
  <c r="R275" i="9"/>
  <c r="S275" i="9" s="1"/>
  <c r="P275" i="9"/>
  <c r="Q275" i="9" s="1"/>
  <c r="N275" i="9"/>
  <c r="O275" i="9" s="1"/>
  <c r="L275" i="9"/>
  <c r="M275" i="9" s="1"/>
  <c r="J275" i="9"/>
  <c r="K275" i="9" s="1"/>
  <c r="H275" i="9"/>
  <c r="I275" i="9" s="1"/>
  <c r="F275" i="9"/>
  <c r="G275" i="9" s="1"/>
  <c r="E275" i="9"/>
  <c r="AB274" i="9"/>
  <c r="AC274" i="9" s="1"/>
  <c r="Z274" i="9"/>
  <c r="X274" i="9"/>
  <c r="V274" i="9"/>
  <c r="W274" i="9" s="1"/>
  <c r="T274" i="9"/>
  <c r="U274" i="9" s="1"/>
  <c r="R274" i="9"/>
  <c r="S274" i="9" s="1"/>
  <c r="P274" i="9"/>
  <c r="Q274" i="9" s="1"/>
  <c r="N274" i="9"/>
  <c r="O274" i="9" s="1"/>
  <c r="L274" i="9"/>
  <c r="M274" i="9" s="1"/>
  <c r="J274" i="9"/>
  <c r="K274" i="9" s="1"/>
  <c r="H274" i="9"/>
  <c r="I274" i="9" s="1"/>
  <c r="F274" i="9"/>
  <c r="G274" i="9" s="1"/>
  <c r="E274" i="9"/>
  <c r="AB273" i="9"/>
  <c r="AC273" i="9" s="1"/>
  <c r="Z273" i="9"/>
  <c r="X273" i="9"/>
  <c r="V273" i="9"/>
  <c r="W273" i="9" s="1"/>
  <c r="T273" i="9"/>
  <c r="U273" i="9" s="1"/>
  <c r="R273" i="9"/>
  <c r="S273" i="9" s="1"/>
  <c r="P273" i="9"/>
  <c r="Q273" i="9" s="1"/>
  <c r="N273" i="9"/>
  <c r="O273" i="9" s="1"/>
  <c r="L273" i="9"/>
  <c r="M273" i="9" s="1"/>
  <c r="J273" i="9"/>
  <c r="K273" i="9" s="1"/>
  <c r="H273" i="9"/>
  <c r="I273" i="9" s="1"/>
  <c r="F273" i="9"/>
  <c r="G273" i="9" s="1"/>
  <c r="E273" i="9"/>
  <c r="AB272" i="9"/>
  <c r="AC272" i="9" s="1"/>
  <c r="Z272" i="9"/>
  <c r="X272" i="9"/>
  <c r="V272" i="9"/>
  <c r="W272" i="9" s="1"/>
  <c r="T272" i="9"/>
  <c r="U272" i="9" s="1"/>
  <c r="R272" i="9"/>
  <c r="S272" i="9" s="1"/>
  <c r="P272" i="9"/>
  <c r="Q272" i="9" s="1"/>
  <c r="N272" i="9"/>
  <c r="O272" i="9" s="1"/>
  <c r="L272" i="9"/>
  <c r="M272" i="9" s="1"/>
  <c r="J272" i="9"/>
  <c r="K272" i="9" s="1"/>
  <c r="H272" i="9"/>
  <c r="I272" i="9" s="1"/>
  <c r="F272" i="9"/>
  <c r="G272" i="9" s="1"/>
  <c r="E272" i="9"/>
  <c r="AB271" i="9"/>
  <c r="AC271" i="9" s="1"/>
  <c r="Z271" i="9"/>
  <c r="X271" i="9"/>
  <c r="V271" i="9"/>
  <c r="W271" i="9" s="1"/>
  <c r="T271" i="9"/>
  <c r="U271" i="9" s="1"/>
  <c r="R271" i="9"/>
  <c r="S271" i="9" s="1"/>
  <c r="P271" i="9"/>
  <c r="Q271" i="9" s="1"/>
  <c r="N271" i="9"/>
  <c r="O271" i="9" s="1"/>
  <c r="L271" i="9"/>
  <c r="M271" i="9" s="1"/>
  <c r="J271" i="9"/>
  <c r="K271" i="9" s="1"/>
  <c r="H271" i="9"/>
  <c r="I271" i="9" s="1"/>
  <c r="F271" i="9"/>
  <c r="G271" i="9" s="1"/>
  <c r="E271" i="9"/>
  <c r="AB270" i="9"/>
  <c r="AC270" i="9" s="1"/>
  <c r="Z270" i="9"/>
  <c r="X270" i="9"/>
  <c r="V270" i="9"/>
  <c r="W270" i="9" s="1"/>
  <c r="T270" i="9"/>
  <c r="U270" i="9" s="1"/>
  <c r="R270" i="9"/>
  <c r="S270" i="9" s="1"/>
  <c r="P270" i="9"/>
  <c r="Q270" i="9" s="1"/>
  <c r="N270" i="9"/>
  <c r="O270" i="9" s="1"/>
  <c r="L270" i="9"/>
  <c r="M270" i="9" s="1"/>
  <c r="J270" i="9"/>
  <c r="K270" i="9" s="1"/>
  <c r="H270" i="9"/>
  <c r="I270" i="9" s="1"/>
  <c r="F270" i="9"/>
  <c r="G270" i="9" s="1"/>
  <c r="E270" i="9"/>
  <c r="AB269" i="9"/>
  <c r="AC269" i="9" s="1"/>
  <c r="Z269" i="9"/>
  <c r="X269" i="9"/>
  <c r="V269" i="9"/>
  <c r="W269" i="9" s="1"/>
  <c r="T269" i="9"/>
  <c r="U269" i="9" s="1"/>
  <c r="R269" i="9"/>
  <c r="S269" i="9" s="1"/>
  <c r="P269" i="9"/>
  <c r="Q269" i="9" s="1"/>
  <c r="N269" i="9"/>
  <c r="O269" i="9" s="1"/>
  <c r="L269" i="9"/>
  <c r="M269" i="9" s="1"/>
  <c r="J269" i="9"/>
  <c r="K269" i="9" s="1"/>
  <c r="H269" i="9"/>
  <c r="I269" i="9" s="1"/>
  <c r="F269" i="9"/>
  <c r="G269" i="9" s="1"/>
  <c r="E269" i="9"/>
  <c r="AB268" i="9"/>
  <c r="AC268" i="9" s="1"/>
  <c r="Z268" i="9"/>
  <c r="X268" i="9"/>
  <c r="V268" i="9"/>
  <c r="W268" i="9" s="1"/>
  <c r="T268" i="9"/>
  <c r="U268" i="9" s="1"/>
  <c r="R268" i="9"/>
  <c r="S268" i="9" s="1"/>
  <c r="P268" i="9"/>
  <c r="Q268" i="9" s="1"/>
  <c r="N268" i="9"/>
  <c r="O268" i="9" s="1"/>
  <c r="L268" i="9"/>
  <c r="M268" i="9" s="1"/>
  <c r="J268" i="9"/>
  <c r="K268" i="9" s="1"/>
  <c r="H268" i="9"/>
  <c r="I268" i="9" s="1"/>
  <c r="F268" i="9"/>
  <c r="G268" i="9" s="1"/>
  <c r="E268" i="9"/>
  <c r="AB267" i="9"/>
  <c r="AC267" i="9" s="1"/>
  <c r="Z267" i="9"/>
  <c r="X267" i="9"/>
  <c r="V267" i="9"/>
  <c r="W267" i="9" s="1"/>
  <c r="T267" i="9"/>
  <c r="U267" i="9" s="1"/>
  <c r="R267" i="9"/>
  <c r="S267" i="9" s="1"/>
  <c r="P267" i="9"/>
  <c r="Q267" i="9" s="1"/>
  <c r="N267" i="9"/>
  <c r="O267" i="9" s="1"/>
  <c r="L267" i="9"/>
  <c r="M267" i="9" s="1"/>
  <c r="J267" i="9"/>
  <c r="K267" i="9" s="1"/>
  <c r="H267" i="9"/>
  <c r="I267" i="9" s="1"/>
  <c r="F267" i="9"/>
  <c r="G267" i="9" s="1"/>
  <c r="E267" i="9"/>
  <c r="AB266" i="9"/>
  <c r="AC266" i="9" s="1"/>
  <c r="Z266" i="9"/>
  <c r="X266" i="9"/>
  <c r="V266" i="9"/>
  <c r="W266" i="9" s="1"/>
  <c r="T266" i="9"/>
  <c r="U266" i="9" s="1"/>
  <c r="R266" i="9"/>
  <c r="S266" i="9" s="1"/>
  <c r="P266" i="9"/>
  <c r="Q266" i="9" s="1"/>
  <c r="N266" i="9"/>
  <c r="O266" i="9" s="1"/>
  <c r="L266" i="9"/>
  <c r="M266" i="9" s="1"/>
  <c r="J266" i="9"/>
  <c r="K266" i="9" s="1"/>
  <c r="H266" i="9"/>
  <c r="I266" i="9" s="1"/>
  <c r="F266" i="9"/>
  <c r="G266" i="9" s="1"/>
  <c r="E266" i="9"/>
  <c r="AB265" i="9"/>
  <c r="AC265" i="9" s="1"/>
  <c r="Z265" i="9"/>
  <c r="X265" i="9"/>
  <c r="V265" i="9"/>
  <c r="W265" i="9" s="1"/>
  <c r="T265" i="9"/>
  <c r="U265" i="9" s="1"/>
  <c r="R265" i="9"/>
  <c r="S265" i="9" s="1"/>
  <c r="P265" i="9"/>
  <c r="Q265" i="9" s="1"/>
  <c r="N265" i="9"/>
  <c r="O265" i="9" s="1"/>
  <c r="L265" i="9"/>
  <c r="M265" i="9" s="1"/>
  <c r="J265" i="9"/>
  <c r="K265" i="9" s="1"/>
  <c r="H265" i="9"/>
  <c r="I265" i="9" s="1"/>
  <c r="F265" i="9"/>
  <c r="G265" i="9" s="1"/>
  <c r="E265" i="9"/>
  <c r="AB264" i="9"/>
  <c r="AC264" i="9" s="1"/>
  <c r="Z264" i="9"/>
  <c r="X264" i="9"/>
  <c r="V264" i="9"/>
  <c r="W264" i="9" s="1"/>
  <c r="T264" i="9"/>
  <c r="U264" i="9" s="1"/>
  <c r="R264" i="9"/>
  <c r="S264" i="9" s="1"/>
  <c r="P264" i="9"/>
  <c r="Q264" i="9" s="1"/>
  <c r="N264" i="9"/>
  <c r="O264" i="9" s="1"/>
  <c r="L264" i="9"/>
  <c r="M264" i="9" s="1"/>
  <c r="J264" i="9"/>
  <c r="K264" i="9" s="1"/>
  <c r="H264" i="9"/>
  <c r="I264" i="9" s="1"/>
  <c r="F264" i="9"/>
  <c r="G264" i="9" s="1"/>
  <c r="E264" i="9"/>
  <c r="AB263" i="9"/>
  <c r="AC263" i="9" s="1"/>
  <c r="Z263" i="9"/>
  <c r="X263" i="9"/>
  <c r="V263" i="9"/>
  <c r="W263" i="9" s="1"/>
  <c r="T263" i="9"/>
  <c r="U263" i="9" s="1"/>
  <c r="R263" i="9"/>
  <c r="S263" i="9" s="1"/>
  <c r="P263" i="9"/>
  <c r="Q263" i="9" s="1"/>
  <c r="N263" i="9"/>
  <c r="O263" i="9" s="1"/>
  <c r="L263" i="9"/>
  <c r="M263" i="9" s="1"/>
  <c r="J263" i="9"/>
  <c r="K263" i="9" s="1"/>
  <c r="H263" i="9"/>
  <c r="I263" i="9" s="1"/>
  <c r="F263" i="9"/>
  <c r="G263" i="9" s="1"/>
  <c r="E263" i="9"/>
  <c r="AB262" i="9"/>
  <c r="AC262" i="9" s="1"/>
  <c r="Z262" i="9"/>
  <c r="X262" i="9"/>
  <c r="V262" i="9"/>
  <c r="W262" i="9" s="1"/>
  <c r="T262" i="9"/>
  <c r="U262" i="9" s="1"/>
  <c r="R262" i="9"/>
  <c r="S262" i="9" s="1"/>
  <c r="P262" i="9"/>
  <c r="Q262" i="9" s="1"/>
  <c r="N262" i="9"/>
  <c r="O262" i="9" s="1"/>
  <c r="L262" i="9"/>
  <c r="M262" i="9" s="1"/>
  <c r="J262" i="9"/>
  <c r="K262" i="9" s="1"/>
  <c r="H262" i="9"/>
  <c r="I262" i="9" s="1"/>
  <c r="F262" i="9"/>
  <c r="G262" i="9" s="1"/>
  <c r="E262" i="9"/>
  <c r="AB261" i="9"/>
  <c r="AC261" i="9" s="1"/>
  <c r="Z261" i="9"/>
  <c r="X261" i="9"/>
  <c r="V261" i="9"/>
  <c r="W261" i="9" s="1"/>
  <c r="T261" i="9"/>
  <c r="U261" i="9" s="1"/>
  <c r="R261" i="9"/>
  <c r="S261" i="9" s="1"/>
  <c r="P261" i="9"/>
  <c r="Q261" i="9" s="1"/>
  <c r="N261" i="9"/>
  <c r="O261" i="9" s="1"/>
  <c r="L261" i="9"/>
  <c r="M261" i="9" s="1"/>
  <c r="J261" i="9"/>
  <c r="K261" i="9" s="1"/>
  <c r="H261" i="9"/>
  <c r="I261" i="9" s="1"/>
  <c r="F261" i="9"/>
  <c r="G261" i="9" s="1"/>
  <c r="E261" i="9"/>
  <c r="AB260" i="9"/>
  <c r="AC260" i="9" s="1"/>
  <c r="Z260" i="9"/>
  <c r="X260" i="9"/>
  <c r="V260" i="9"/>
  <c r="W260" i="9" s="1"/>
  <c r="T260" i="9"/>
  <c r="U260" i="9" s="1"/>
  <c r="R260" i="9"/>
  <c r="S260" i="9" s="1"/>
  <c r="P260" i="9"/>
  <c r="Q260" i="9" s="1"/>
  <c r="N260" i="9"/>
  <c r="O260" i="9" s="1"/>
  <c r="L260" i="9"/>
  <c r="M260" i="9" s="1"/>
  <c r="J260" i="9"/>
  <c r="K260" i="9" s="1"/>
  <c r="H260" i="9"/>
  <c r="I260" i="9" s="1"/>
  <c r="F260" i="9"/>
  <c r="G260" i="9" s="1"/>
  <c r="E260" i="9"/>
  <c r="AB259" i="9"/>
  <c r="AC259" i="9" s="1"/>
  <c r="Z259" i="9"/>
  <c r="X259" i="9"/>
  <c r="V259" i="9"/>
  <c r="W259" i="9" s="1"/>
  <c r="T259" i="9"/>
  <c r="U259" i="9" s="1"/>
  <c r="R259" i="9"/>
  <c r="S259" i="9" s="1"/>
  <c r="P259" i="9"/>
  <c r="Q259" i="9" s="1"/>
  <c r="N259" i="9"/>
  <c r="O259" i="9" s="1"/>
  <c r="L259" i="9"/>
  <c r="M259" i="9" s="1"/>
  <c r="J259" i="9"/>
  <c r="K259" i="9" s="1"/>
  <c r="H259" i="9"/>
  <c r="I259" i="9" s="1"/>
  <c r="F259" i="9"/>
  <c r="G259" i="9" s="1"/>
  <c r="E259" i="9"/>
  <c r="AB258" i="9"/>
  <c r="AC258" i="9" s="1"/>
  <c r="Z258" i="9"/>
  <c r="X258" i="9"/>
  <c r="V258" i="9"/>
  <c r="W258" i="9" s="1"/>
  <c r="T258" i="9"/>
  <c r="U258" i="9" s="1"/>
  <c r="R258" i="9"/>
  <c r="S258" i="9" s="1"/>
  <c r="P258" i="9"/>
  <c r="Q258" i="9" s="1"/>
  <c r="N258" i="9"/>
  <c r="O258" i="9" s="1"/>
  <c r="L258" i="9"/>
  <c r="M258" i="9" s="1"/>
  <c r="J258" i="9"/>
  <c r="K258" i="9" s="1"/>
  <c r="H258" i="9"/>
  <c r="I258" i="9" s="1"/>
  <c r="F258" i="9"/>
  <c r="G258" i="9" s="1"/>
  <c r="E258" i="9"/>
  <c r="AB257" i="9"/>
  <c r="AC257" i="9" s="1"/>
  <c r="Z257" i="9"/>
  <c r="X257" i="9"/>
  <c r="V257" i="9"/>
  <c r="W257" i="9" s="1"/>
  <c r="T257" i="9"/>
  <c r="U257" i="9" s="1"/>
  <c r="R257" i="9"/>
  <c r="S257" i="9" s="1"/>
  <c r="P257" i="9"/>
  <c r="Q257" i="9" s="1"/>
  <c r="N257" i="9"/>
  <c r="O257" i="9" s="1"/>
  <c r="L257" i="9"/>
  <c r="M257" i="9" s="1"/>
  <c r="J257" i="9"/>
  <c r="K257" i="9" s="1"/>
  <c r="H257" i="9"/>
  <c r="I257" i="9" s="1"/>
  <c r="F257" i="9"/>
  <c r="G257" i="9" s="1"/>
  <c r="E257" i="9"/>
  <c r="AB256" i="9"/>
  <c r="AC256" i="9" s="1"/>
  <c r="Z256" i="9"/>
  <c r="X256" i="9"/>
  <c r="V256" i="9"/>
  <c r="W256" i="9" s="1"/>
  <c r="T256" i="9"/>
  <c r="U256" i="9" s="1"/>
  <c r="R256" i="9"/>
  <c r="S256" i="9" s="1"/>
  <c r="P256" i="9"/>
  <c r="Q256" i="9" s="1"/>
  <c r="N256" i="9"/>
  <c r="O256" i="9" s="1"/>
  <c r="L256" i="9"/>
  <c r="M256" i="9" s="1"/>
  <c r="J256" i="9"/>
  <c r="K256" i="9" s="1"/>
  <c r="H256" i="9"/>
  <c r="I256" i="9" s="1"/>
  <c r="F256" i="9"/>
  <c r="G256" i="9" s="1"/>
  <c r="E256" i="9"/>
  <c r="AB255" i="9"/>
  <c r="AC255" i="9" s="1"/>
  <c r="Z255" i="9"/>
  <c r="X255" i="9"/>
  <c r="V255" i="9"/>
  <c r="W255" i="9" s="1"/>
  <c r="T255" i="9"/>
  <c r="U255" i="9" s="1"/>
  <c r="R255" i="9"/>
  <c r="S255" i="9" s="1"/>
  <c r="P255" i="9"/>
  <c r="Q255" i="9" s="1"/>
  <c r="N255" i="9"/>
  <c r="O255" i="9" s="1"/>
  <c r="L255" i="9"/>
  <c r="M255" i="9" s="1"/>
  <c r="J255" i="9"/>
  <c r="K255" i="9" s="1"/>
  <c r="H255" i="9"/>
  <c r="I255" i="9" s="1"/>
  <c r="F255" i="9"/>
  <c r="G255" i="9" s="1"/>
  <c r="E255" i="9"/>
  <c r="AB254" i="9"/>
  <c r="AC254" i="9" s="1"/>
  <c r="Z254" i="9"/>
  <c r="X254" i="9"/>
  <c r="V254" i="9"/>
  <c r="W254" i="9" s="1"/>
  <c r="T254" i="9"/>
  <c r="U254" i="9" s="1"/>
  <c r="R254" i="9"/>
  <c r="S254" i="9" s="1"/>
  <c r="P254" i="9"/>
  <c r="Q254" i="9" s="1"/>
  <c r="N254" i="9"/>
  <c r="O254" i="9" s="1"/>
  <c r="L254" i="9"/>
  <c r="M254" i="9" s="1"/>
  <c r="J254" i="9"/>
  <c r="K254" i="9" s="1"/>
  <c r="H254" i="9"/>
  <c r="I254" i="9" s="1"/>
  <c r="F254" i="9"/>
  <c r="G254" i="9" s="1"/>
  <c r="E254" i="9"/>
  <c r="AB253" i="9"/>
  <c r="AC253" i="9" s="1"/>
  <c r="Z253" i="9"/>
  <c r="X253" i="9"/>
  <c r="V253" i="9"/>
  <c r="W253" i="9" s="1"/>
  <c r="T253" i="9"/>
  <c r="U253" i="9" s="1"/>
  <c r="R253" i="9"/>
  <c r="S253" i="9" s="1"/>
  <c r="P253" i="9"/>
  <c r="Q253" i="9" s="1"/>
  <c r="N253" i="9"/>
  <c r="O253" i="9" s="1"/>
  <c r="L253" i="9"/>
  <c r="M253" i="9" s="1"/>
  <c r="J253" i="9"/>
  <c r="K253" i="9" s="1"/>
  <c r="H253" i="9"/>
  <c r="I253" i="9" s="1"/>
  <c r="F253" i="9"/>
  <c r="G253" i="9" s="1"/>
  <c r="E253" i="9"/>
  <c r="AB252" i="9"/>
  <c r="AC252" i="9" s="1"/>
  <c r="Z252" i="9"/>
  <c r="X252" i="9"/>
  <c r="V252" i="9"/>
  <c r="W252" i="9" s="1"/>
  <c r="T252" i="9"/>
  <c r="U252" i="9" s="1"/>
  <c r="R252" i="9"/>
  <c r="S252" i="9" s="1"/>
  <c r="P252" i="9"/>
  <c r="Q252" i="9" s="1"/>
  <c r="N252" i="9"/>
  <c r="O252" i="9" s="1"/>
  <c r="L252" i="9"/>
  <c r="M252" i="9" s="1"/>
  <c r="J252" i="9"/>
  <c r="K252" i="9" s="1"/>
  <c r="H252" i="9"/>
  <c r="I252" i="9" s="1"/>
  <c r="F252" i="9"/>
  <c r="G252" i="9" s="1"/>
  <c r="E252" i="9"/>
  <c r="AB251" i="9"/>
  <c r="AC251" i="9" s="1"/>
  <c r="Z251" i="9"/>
  <c r="X251" i="9"/>
  <c r="V251" i="9"/>
  <c r="W251" i="9" s="1"/>
  <c r="T251" i="9"/>
  <c r="U251" i="9" s="1"/>
  <c r="R251" i="9"/>
  <c r="S251" i="9" s="1"/>
  <c r="P251" i="9"/>
  <c r="Q251" i="9" s="1"/>
  <c r="N251" i="9"/>
  <c r="O251" i="9" s="1"/>
  <c r="L251" i="9"/>
  <c r="M251" i="9" s="1"/>
  <c r="J251" i="9"/>
  <c r="K251" i="9" s="1"/>
  <c r="H251" i="9"/>
  <c r="I251" i="9" s="1"/>
  <c r="F251" i="9"/>
  <c r="G251" i="9" s="1"/>
  <c r="E251" i="9"/>
  <c r="AB250" i="9"/>
  <c r="AC250" i="9" s="1"/>
  <c r="Z250" i="9"/>
  <c r="X250" i="9"/>
  <c r="V250" i="9"/>
  <c r="W250" i="9" s="1"/>
  <c r="T250" i="9"/>
  <c r="U250" i="9" s="1"/>
  <c r="R250" i="9"/>
  <c r="S250" i="9" s="1"/>
  <c r="P250" i="9"/>
  <c r="Q250" i="9" s="1"/>
  <c r="N250" i="9"/>
  <c r="O250" i="9" s="1"/>
  <c r="L250" i="9"/>
  <c r="M250" i="9" s="1"/>
  <c r="J250" i="9"/>
  <c r="K250" i="9" s="1"/>
  <c r="H250" i="9"/>
  <c r="I250" i="9" s="1"/>
  <c r="F250" i="9"/>
  <c r="G250" i="9" s="1"/>
  <c r="E250" i="9"/>
  <c r="AB249" i="9"/>
  <c r="AC249" i="9" s="1"/>
  <c r="Z249" i="9"/>
  <c r="X249" i="9"/>
  <c r="V249" i="9"/>
  <c r="W249" i="9" s="1"/>
  <c r="T249" i="9"/>
  <c r="U249" i="9" s="1"/>
  <c r="R249" i="9"/>
  <c r="S249" i="9" s="1"/>
  <c r="P249" i="9"/>
  <c r="Q249" i="9" s="1"/>
  <c r="N249" i="9"/>
  <c r="O249" i="9" s="1"/>
  <c r="L249" i="9"/>
  <c r="M249" i="9" s="1"/>
  <c r="J249" i="9"/>
  <c r="K249" i="9" s="1"/>
  <c r="H249" i="9"/>
  <c r="I249" i="9" s="1"/>
  <c r="F249" i="9"/>
  <c r="G249" i="9" s="1"/>
  <c r="E249" i="9"/>
  <c r="AB248" i="9"/>
  <c r="AC248" i="9" s="1"/>
  <c r="Z248" i="9"/>
  <c r="X248" i="9"/>
  <c r="V248" i="9"/>
  <c r="W248" i="9" s="1"/>
  <c r="T248" i="9"/>
  <c r="U248" i="9" s="1"/>
  <c r="R248" i="9"/>
  <c r="S248" i="9" s="1"/>
  <c r="P248" i="9"/>
  <c r="Q248" i="9" s="1"/>
  <c r="N248" i="9"/>
  <c r="O248" i="9" s="1"/>
  <c r="L248" i="9"/>
  <c r="M248" i="9" s="1"/>
  <c r="J248" i="9"/>
  <c r="K248" i="9" s="1"/>
  <c r="H248" i="9"/>
  <c r="I248" i="9" s="1"/>
  <c r="F248" i="9"/>
  <c r="G248" i="9" s="1"/>
  <c r="E248" i="9"/>
  <c r="AB247" i="9"/>
  <c r="AC247" i="9" s="1"/>
  <c r="Z247" i="9"/>
  <c r="X247" i="9"/>
  <c r="V247" i="9"/>
  <c r="W247" i="9" s="1"/>
  <c r="T247" i="9"/>
  <c r="U247" i="9" s="1"/>
  <c r="R247" i="9"/>
  <c r="S247" i="9" s="1"/>
  <c r="P247" i="9"/>
  <c r="Q247" i="9" s="1"/>
  <c r="N247" i="9"/>
  <c r="O247" i="9" s="1"/>
  <c r="L247" i="9"/>
  <c r="M247" i="9" s="1"/>
  <c r="J247" i="9"/>
  <c r="K247" i="9" s="1"/>
  <c r="H247" i="9"/>
  <c r="I247" i="9" s="1"/>
  <c r="F247" i="9"/>
  <c r="G247" i="9" s="1"/>
  <c r="E247" i="9"/>
  <c r="AB246" i="9"/>
  <c r="AC246" i="9" s="1"/>
  <c r="Z246" i="9"/>
  <c r="X246" i="9"/>
  <c r="V246" i="9"/>
  <c r="W246" i="9" s="1"/>
  <c r="T246" i="9"/>
  <c r="U246" i="9" s="1"/>
  <c r="R246" i="9"/>
  <c r="S246" i="9" s="1"/>
  <c r="P246" i="9"/>
  <c r="Q246" i="9" s="1"/>
  <c r="N246" i="9"/>
  <c r="O246" i="9" s="1"/>
  <c r="L246" i="9"/>
  <c r="M246" i="9" s="1"/>
  <c r="J246" i="9"/>
  <c r="K246" i="9" s="1"/>
  <c r="H246" i="9"/>
  <c r="I246" i="9" s="1"/>
  <c r="F246" i="9"/>
  <c r="G246" i="9" s="1"/>
  <c r="E246" i="9"/>
  <c r="AB245" i="9"/>
  <c r="AC245" i="9" s="1"/>
  <c r="Z245" i="9"/>
  <c r="X245" i="9"/>
  <c r="V245" i="9"/>
  <c r="W245" i="9" s="1"/>
  <c r="T245" i="9"/>
  <c r="U245" i="9" s="1"/>
  <c r="R245" i="9"/>
  <c r="S245" i="9" s="1"/>
  <c r="P245" i="9"/>
  <c r="Q245" i="9" s="1"/>
  <c r="N245" i="9"/>
  <c r="O245" i="9" s="1"/>
  <c r="L245" i="9"/>
  <c r="M245" i="9" s="1"/>
  <c r="J245" i="9"/>
  <c r="K245" i="9" s="1"/>
  <c r="H245" i="9"/>
  <c r="I245" i="9" s="1"/>
  <c r="F245" i="9"/>
  <c r="G245" i="9" s="1"/>
  <c r="E245" i="9"/>
  <c r="AB244" i="9"/>
  <c r="AC244" i="9" s="1"/>
  <c r="Z244" i="9"/>
  <c r="X244" i="9"/>
  <c r="V244" i="9"/>
  <c r="W244" i="9" s="1"/>
  <c r="T244" i="9"/>
  <c r="U244" i="9" s="1"/>
  <c r="R244" i="9"/>
  <c r="S244" i="9" s="1"/>
  <c r="P244" i="9"/>
  <c r="Q244" i="9" s="1"/>
  <c r="N244" i="9"/>
  <c r="O244" i="9" s="1"/>
  <c r="L244" i="9"/>
  <c r="M244" i="9" s="1"/>
  <c r="J244" i="9"/>
  <c r="K244" i="9" s="1"/>
  <c r="H244" i="9"/>
  <c r="I244" i="9" s="1"/>
  <c r="F244" i="9"/>
  <c r="G244" i="9" s="1"/>
  <c r="E244" i="9"/>
  <c r="AB243" i="9"/>
  <c r="AC243" i="9" s="1"/>
  <c r="Z243" i="9"/>
  <c r="X243" i="9"/>
  <c r="V243" i="9"/>
  <c r="W243" i="9" s="1"/>
  <c r="T243" i="9"/>
  <c r="U243" i="9" s="1"/>
  <c r="R243" i="9"/>
  <c r="S243" i="9" s="1"/>
  <c r="P243" i="9"/>
  <c r="Q243" i="9" s="1"/>
  <c r="N243" i="9"/>
  <c r="O243" i="9" s="1"/>
  <c r="L243" i="9"/>
  <c r="M243" i="9" s="1"/>
  <c r="J243" i="9"/>
  <c r="K243" i="9" s="1"/>
  <c r="H243" i="9"/>
  <c r="I243" i="9" s="1"/>
  <c r="F243" i="9"/>
  <c r="G243" i="9" s="1"/>
  <c r="E243" i="9"/>
  <c r="AB242" i="9"/>
  <c r="AC242" i="9" s="1"/>
  <c r="Z242" i="9"/>
  <c r="X242" i="9"/>
  <c r="V242" i="9"/>
  <c r="W242" i="9" s="1"/>
  <c r="T242" i="9"/>
  <c r="U242" i="9" s="1"/>
  <c r="R242" i="9"/>
  <c r="S242" i="9" s="1"/>
  <c r="P242" i="9"/>
  <c r="Q242" i="9" s="1"/>
  <c r="N242" i="9"/>
  <c r="O242" i="9" s="1"/>
  <c r="L242" i="9"/>
  <c r="M242" i="9" s="1"/>
  <c r="J242" i="9"/>
  <c r="K242" i="9" s="1"/>
  <c r="H242" i="9"/>
  <c r="I242" i="9" s="1"/>
  <c r="F242" i="9"/>
  <c r="G242" i="9" s="1"/>
  <c r="E242" i="9"/>
  <c r="AB241" i="9"/>
  <c r="AC241" i="9" s="1"/>
  <c r="Z241" i="9"/>
  <c r="X241" i="9"/>
  <c r="V241" i="9"/>
  <c r="W241" i="9" s="1"/>
  <c r="T241" i="9"/>
  <c r="U241" i="9" s="1"/>
  <c r="R241" i="9"/>
  <c r="S241" i="9" s="1"/>
  <c r="P241" i="9"/>
  <c r="Q241" i="9" s="1"/>
  <c r="N241" i="9"/>
  <c r="O241" i="9" s="1"/>
  <c r="L241" i="9"/>
  <c r="M241" i="9" s="1"/>
  <c r="J241" i="9"/>
  <c r="K241" i="9" s="1"/>
  <c r="H241" i="9"/>
  <c r="I241" i="9" s="1"/>
  <c r="F241" i="9"/>
  <c r="G241" i="9" s="1"/>
  <c r="E241" i="9"/>
  <c r="AB240" i="9"/>
  <c r="AC240" i="9" s="1"/>
  <c r="Z240" i="9"/>
  <c r="X240" i="9"/>
  <c r="V240" i="9"/>
  <c r="W240" i="9" s="1"/>
  <c r="T240" i="9"/>
  <c r="U240" i="9" s="1"/>
  <c r="R240" i="9"/>
  <c r="S240" i="9" s="1"/>
  <c r="P240" i="9"/>
  <c r="Q240" i="9" s="1"/>
  <c r="N240" i="9"/>
  <c r="O240" i="9" s="1"/>
  <c r="L240" i="9"/>
  <c r="M240" i="9" s="1"/>
  <c r="J240" i="9"/>
  <c r="K240" i="9" s="1"/>
  <c r="H240" i="9"/>
  <c r="I240" i="9" s="1"/>
  <c r="F240" i="9"/>
  <c r="G240" i="9" s="1"/>
  <c r="E240" i="9"/>
  <c r="AB239" i="9"/>
  <c r="AC239" i="9" s="1"/>
  <c r="Z239" i="9"/>
  <c r="X239" i="9"/>
  <c r="V239" i="9"/>
  <c r="W239" i="9" s="1"/>
  <c r="T239" i="9"/>
  <c r="U239" i="9" s="1"/>
  <c r="R239" i="9"/>
  <c r="S239" i="9" s="1"/>
  <c r="P239" i="9"/>
  <c r="Q239" i="9" s="1"/>
  <c r="N239" i="9"/>
  <c r="O239" i="9" s="1"/>
  <c r="L239" i="9"/>
  <c r="M239" i="9" s="1"/>
  <c r="J239" i="9"/>
  <c r="K239" i="9" s="1"/>
  <c r="H239" i="9"/>
  <c r="I239" i="9" s="1"/>
  <c r="F239" i="9"/>
  <c r="G239" i="9" s="1"/>
  <c r="E239" i="9"/>
  <c r="AB238" i="9"/>
  <c r="AC238" i="9" s="1"/>
  <c r="Z238" i="9"/>
  <c r="X238" i="9"/>
  <c r="V238" i="9"/>
  <c r="W238" i="9" s="1"/>
  <c r="T238" i="9"/>
  <c r="U238" i="9" s="1"/>
  <c r="R238" i="9"/>
  <c r="S238" i="9" s="1"/>
  <c r="P238" i="9"/>
  <c r="Q238" i="9" s="1"/>
  <c r="N238" i="9"/>
  <c r="O238" i="9" s="1"/>
  <c r="L238" i="9"/>
  <c r="M238" i="9" s="1"/>
  <c r="J238" i="9"/>
  <c r="K238" i="9" s="1"/>
  <c r="H238" i="9"/>
  <c r="I238" i="9" s="1"/>
  <c r="F238" i="9"/>
  <c r="G238" i="9" s="1"/>
  <c r="E238" i="9"/>
  <c r="AB237" i="9"/>
  <c r="AC237" i="9" s="1"/>
  <c r="Z237" i="9"/>
  <c r="X237" i="9"/>
  <c r="V237" i="9"/>
  <c r="W237" i="9" s="1"/>
  <c r="T237" i="9"/>
  <c r="U237" i="9" s="1"/>
  <c r="R237" i="9"/>
  <c r="S237" i="9" s="1"/>
  <c r="P237" i="9"/>
  <c r="Q237" i="9" s="1"/>
  <c r="N237" i="9"/>
  <c r="O237" i="9" s="1"/>
  <c r="L237" i="9"/>
  <c r="M237" i="9" s="1"/>
  <c r="J237" i="9"/>
  <c r="K237" i="9" s="1"/>
  <c r="H237" i="9"/>
  <c r="I237" i="9" s="1"/>
  <c r="F237" i="9"/>
  <c r="G237" i="9" s="1"/>
  <c r="E237" i="9"/>
  <c r="AB236" i="9"/>
  <c r="AC236" i="9" s="1"/>
  <c r="Z236" i="9"/>
  <c r="X236" i="9"/>
  <c r="V236" i="9"/>
  <c r="W236" i="9" s="1"/>
  <c r="T236" i="9"/>
  <c r="U236" i="9" s="1"/>
  <c r="R236" i="9"/>
  <c r="S236" i="9" s="1"/>
  <c r="P236" i="9"/>
  <c r="Q236" i="9" s="1"/>
  <c r="N236" i="9"/>
  <c r="O236" i="9" s="1"/>
  <c r="L236" i="9"/>
  <c r="M236" i="9" s="1"/>
  <c r="J236" i="9"/>
  <c r="K236" i="9" s="1"/>
  <c r="H236" i="9"/>
  <c r="I236" i="9" s="1"/>
  <c r="F236" i="9"/>
  <c r="G236" i="9" s="1"/>
  <c r="E236" i="9"/>
  <c r="AB235" i="9"/>
  <c r="AC235" i="9" s="1"/>
  <c r="Z235" i="9"/>
  <c r="X235" i="9"/>
  <c r="V235" i="9"/>
  <c r="W235" i="9" s="1"/>
  <c r="T235" i="9"/>
  <c r="U235" i="9" s="1"/>
  <c r="R235" i="9"/>
  <c r="S235" i="9" s="1"/>
  <c r="P235" i="9"/>
  <c r="Q235" i="9" s="1"/>
  <c r="N235" i="9"/>
  <c r="O235" i="9" s="1"/>
  <c r="L235" i="9"/>
  <c r="M235" i="9" s="1"/>
  <c r="J235" i="9"/>
  <c r="K235" i="9" s="1"/>
  <c r="H235" i="9"/>
  <c r="I235" i="9" s="1"/>
  <c r="F235" i="9"/>
  <c r="G235" i="9" s="1"/>
  <c r="E235" i="9"/>
  <c r="AB234" i="9"/>
  <c r="AC234" i="9" s="1"/>
  <c r="Z234" i="9"/>
  <c r="X234" i="9"/>
  <c r="V234" i="9"/>
  <c r="W234" i="9" s="1"/>
  <c r="T234" i="9"/>
  <c r="U234" i="9" s="1"/>
  <c r="R234" i="9"/>
  <c r="S234" i="9" s="1"/>
  <c r="P234" i="9"/>
  <c r="Q234" i="9" s="1"/>
  <c r="N234" i="9"/>
  <c r="O234" i="9" s="1"/>
  <c r="L234" i="9"/>
  <c r="M234" i="9" s="1"/>
  <c r="J234" i="9"/>
  <c r="K234" i="9" s="1"/>
  <c r="H234" i="9"/>
  <c r="I234" i="9" s="1"/>
  <c r="F234" i="9"/>
  <c r="G234" i="9" s="1"/>
  <c r="E234" i="9"/>
  <c r="AB233" i="9"/>
  <c r="AC233" i="9" s="1"/>
  <c r="Z233" i="9"/>
  <c r="X233" i="9"/>
  <c r="V233" i="9"/>
  <c r="W233" i="9" s="1"/>
  <c r="T233" i="9"/>
  <c r="U233" i="9" s="1"/>
  <c r="R233" i="9"/>
  <c r="S233" i="9" s="1"/>
  <c r="P233" i="9"/>
  <c r="Q233" i="9" s="1"/>
  <c r="N233" i="9"/>
  <c r="O233" i="9" s="1"/>
  <c r="L233" i="9"/>
  <c r="M233" i="9" s="1"/>
  <c r="J233" i="9"/>
  <c r="K233" i="9" s="1"/>
  <c r="H233" i="9"/>
  <c r="I233" i="9" s="1"/>
  <c r="F233" i="9"/>
  <c r="G233" i="9" s="1"/>
  <c r="E233" i="9"/>
  <c r="AB232" i="9"/>
  <c r="AC232" i="9" s="1"/>
  <c r="Z232" i="9"/>
  <c r="X232" i="9"/>
  <c r="V232" i="9"/>
  <c r="W232" i="9" s="1"/>
  <c r="T232" i="9"/>
  <c r="U232" i="9" s="1"/>
  <c r="R232" i="9"/>
  <c r="S232" i="9" s="1"/>
  <c r="P232" i="9"/>
  <c r="Q232" i="9" s="1"/>
  <c r="N232" i="9"/>
  <c r="O232" i="9" s="1"/>
  <c r="L232" i="9"/>
  <c r="M232" i="9" s="1"/>
  <c r="J232" i="9"/>
  <c r="K232" i="9" s="1"/>
  <c r="H232" i="9"/>
  <c r="I232" i="9" s="1"/>
  <c r="F232" i="9"/>
  <c r="G232" i="9" s="1"/>
  <c r="E232" i="9"/>
  <c r="AB231" i="9"/>
  <c r="AC231" i="9" s="1"/>
  <c r="Z231" i="9"/>
  <c r="X231" i="9"/>
  <c r="V231" i="9"/>
  <c r="W231" i="9" s="1"/>
  <c r="T231" i="9"/>
  <c r="U231" i="9" s="1"/>
  <c r="R231" i="9"/>
  <c r="S231" i="9" s="1"/>
  <c r="P231" i="9"/>
  <c r="Q231" i="9" s="1"/>
  <c r="N231" i="9"/>
  <c r="O231" i="9" s="1"/>
  <c r="L231" i="9"/>
  <c r="M231" i="9" s="1"/>
  <c r="J231" i="9"/>
  <c r="K231" i="9" s="1"/>
  <c r="H231" i="9"/>
  <c r="I231" i="9" s="1"/>
  <c r="F231" i="9"/>
  <c r="G231" i="9" s="1"/>
  <c r="E231" i="9"/>
  <c r="AB230" i="9"/>
  <c r="AC230" i="9" s="1"/>
  <c r="Z230" i="9"/>
  <c r="X230" i="9"/>
  <c r="V230" i="9"/>
  <c r="W230" i="9" s="1"/>
  <c r="T230" i="9"/>
  <c r="U230" i="9" s="1"/>
  <c r="R230" i="9"/>
  <c r="S230" i="9" s="1"/>
  <c r="P230" i="9"/>
  <c r="Q230" i="9" s="1"/>
  <c r="N230" i="9"/>
  <c r="O230" i="9" s="1"/>
  <c r="L230" i="9"/>
  <c r="M230" i="9" s="1"/>
  <c r="J230" i="9"/>
  <c r="K230" i="9" s="1"/>
  <c r="H230" i="9"/>
  <c r="I230" i="9" s="1"/>
  <c r="F230" i="9"/>
  <c r="G230" i="9" s="1"/>
  <c r="E230" i="9"/>
  <c r="AB229" i="9"/>
  <c r="AC229" i="9" s="1"/>
  <c r="Z229" i="9"/>
  <c r="X229" i="9"/>
  <c r="V229" i="9"/>
  <c r="W229" i="9" s="1"/>
  <c r="T229" i="9"/>
  <c r="U229" i="9" s="1"/>
  <c r="R229" i="9"/>
  <c r="S229" i="9" s="1"/>
  <c r="P229" i="9"/>
  <c r="Q229" i="9" s="1"/>
  <c r="N229" i="9"/>
  <c r="O229" i="9" s="1"/>
  <c r="L229" i="9"/>
  <c r="M229" i="9" s="1"/>
  <c r="J229" i="9"/>
  <c r="K229" i="9" s="1"/>
  <c r="H229" i="9"/>
  <c r="I229" i="9" s="1"/>
  <c r="F229" i="9"/>
  <c r="G229" i="9" s="1"/>
  <c r="E229" i="9"/>
  <c r="AB228" i="9"/>
  <c r="AC228" i="9" s="1"/>
  <c r="Z228" i="9"/>
  <c r="X228" i="9"/>
  <c r="V228" i="9"/>
  <c r="W228" i="9" s="1"/>
  <c r="T228" i="9"/>
  <c r="U228" i="9" s="1"/>
  <c r="R228" i="9"/>
  <c r="S228" i="9" s="1"/>
  <c r="P228" i="9"/>
  <c r="Q228" i="9" s="1"/>
  <c r="N228" i="9"/>
  <c r="O228" i="9" s="1"/>
  <c r="L228" i="9"/>
  <c r="M228" i="9" s="1"/>
  <c r="J228" i="9"/>
  <c r="K228" i="9" s="1"/>
  <c r="H228" i="9"/>
  <c r="I228" i="9" s="1"/>
  <c r="F228" i="9"/>
  <c r="G228" i="9" s="1"/>
  <c r="E228" i="9"/>
  <c r="AB227" i="9"/>
  <c r="AC227" i="9" s="1"/>
  <c r="Z227" i="9"/>
  <c r="X227" i="9"/>
  <c r="V227" i="9"/>
  <c r="W227" i="9" s="1"/>
  <c r="T227" i="9"/>
  <c r="U227" i="9" s="1"/>
  <c r="R227" i="9"/>
  <c r="S227" i="9" s="1"/>
  <c r="P227" i="9"/>
  <c r="Q227" i="9" s="1"/>
  <c r="N227" i="9"/>
  <c r="O227" i="9" s="1"/>
  <c r="L227" i="9"/>
  <c r="M227" i="9" s="1"/>
  <c r="J227" i="9"/>
  <c r="K227" i="9" s="1"/>
  <c r="H227" i="9"/>
  <c r="I227" i="9" s="1"/>
  <c r="F227" i="9"/>
  <c r="G227" i="9" s="1"/>
  <c r="E227" i="9"/>
  <c r="AB226" i="9"/>
  <c r="AC226" i="9" s="1"/>
  <c r="Z226" i="9"/>
  <c r="X226" i="9"/>
  <c r="V226" i="9"/>
  <c r="W226" i="9" s="1"/>
  <c r="T226" i="9"/>
  <c r="U226" i="9" s="1"/>
  <c r="R226" i="9"/>
  <c r="S226" i="9" s="1"/>
  <c r="P226" i="9"/>
  <c r="Q226" i="9" s="1"/>
  <c r="N226" i="9"/>
  <c r="O226" i="9" s="1"/>
  <c r="L226" i="9"/>
  <c r="M226" i="9" s="1"/>
  <c r="J226" i="9"/>
  <c r="K226" i="9" s="1"/>
  <c r="H226" i="9"/>
  <c r="I226" i="9" s="1"/>
  <c r="F226" i="9"/>
  <c r="G226" i="9" s="1"/>
  <c r="E226" i="9"/>
  <c r="AB225" i="9"/>
  <c r="AC225" i="9" s="1"/>
  <c r="Z225" i="9"/>
  <c r="X225" i="9"/>
  <c r="V225" i="9"/>
  <c r="W225" i="9" s="1"/>
  <c r="T225" i="9"/>
  <c r="U225" i="9" s="1"/>
  <c r="R225" i="9"/>
  <c r="S225" i="9" s="1"/>
  <c r="P225" i="9"/>
  <c r="Q225" i="9" s="1"/>
  <c r="N225" i="9"/>
  <c r="O225" i="9" s="1"/>
  <c r="L225" i="9"/>
  <c r="M225" i="9" s="1"/>
  <c r="J225" i="9"/>
  <c r="K225" i="9" s="1"/>
  <c r="H225" i="9"/>
  <c r="I225" i="9" s="1"/>
  <c r="F225" i="9"/>
  <c r="G225" i="9" s="1"/>
  <c r="E225" i="9"/>
  <c r="AB224" i="9"/>
  <c r="AC224" i="9" s="1"/>
  <c r="Z224" i="9"/>
  <c r="X224" i="9"/>
  <c r="V224" i="9"/>
  <c r="W224" i="9" s="1"/>
  <c r="T224" i="9"/>
  <c r="U224" i="9" s="1"/>
  <c r="R224" i="9"/>
  <c r="S224" i="9" s="1"/>
  <c r="P224" i="9"/>
  <c r="Q224" i="9" s="1"/>
  <c r="N224" i="9"/>
  <c r="O224" i="9" s="1"/>
  <c r="L224" i="9"/>
  <c r="M224" i="9" s="1"/>
  <c r="J224" i="9"/>
  <c r="K224" i="9" s="1"/>
  <c r="H224" i="9"/>
  <c r="I224" i="9" s="1"/>
  <c r="F224" i="9"/>
  <c r="G224" i="9" s="1"/>
  <c r="E224" i="9"/>
  <c r="AB223" i="9"/>
  <c r="AC223" i="9" s="1"/>
  <c r="Z223" i="9"/>
  <c r="X223" i="9"/>
  <c r="V223" i="9"/>
  <c r="W223" i="9" s="1"/>
  <c r="T223" i="9"/>
  <c r="U223" i="9" s="1"/>
  <c r="R223" i="9"/>
  <c r="S223" i="9" s="1"/>
  <c r="P223" i="9"/>
  <c r="Q223" i="9" s="1"/>
  <c r="N223" i="9"/>
  <c r="O223" i="9" s="1"/>
  <c r="L223" i="9"/>
  <c r="M223" i="9" s="1"/>
  <c r="J223" i="9"/>
  <c r="K223" i="9" s="1"/>
  <c r="H223" i="9"/>
  <c r="I223" i="9" s="1"/>
  <c r="F223" i="9"/>
  <c r="G223" i="9" s="1"/>
  <c r="E223" i="9"/>
  <c r="AB222" i="9"/>
  <c r="AC222" i="9" s="1"/>
  <c r="Z222" i="9"/>
  <c r="X222" i="9"/>
  <c r="V222" i="9"/>
  <c r="W222" i="9" s="1"/>
  <c r="T222" i="9"/>
  <c r="U222" i="9" s="1"/>
  <c r="R222" i="9"/>
  <c r="S222" i="9" s="1"/>
  <c r="P222" i="9"/>
  <c r="Q222" i="9" s="1"/>
  <c r="N222" i="9"/>
  <c r="O222" i="9" s="1"/>
  <c r="L222" i="9"/>
  <c r="M222" i="9" s="1"/>
  <c r="J222" i="9"/>
  <c r="K222" i="9" s="1"/>
  <c r="H222" i="9"/>
  <c r="I222" i="9" s="1"/>
  <c r="F222" i="9"/>
  <c r="G222" i="9" s="1"/>
  <c r="E222" i="9"/>
  <c r="AB221" i="9"/>
  <c r="AC221" i="9" s="1"/>
  <c r="Z221" i="9"/>
  <c r="X221" i="9"/>
  <c r="V221" i="9"/>
  <c r="W221" i="9" s="1"/>
  <c r="T221" i="9"/>
  <c r="U221" i="9" s="1"/>
  <c r="R221" i="9"/>
  <c r="S221" i="9" s="1"/>
  <c r="P221" i="9"/>
  <c r="Q221" i="9" s="1"/>
  <c r="N221" i="9"/>
  <c r="O221" i="9" s="1"/>
  <c r="L221" i="9"/>
  <c r="M221" i="9" s="1"/>
  <c r="J221" i="9"/>
  <c r="K221" i="9" s="1"/>
  <c r="H221" i="9"/>
  <c r="I221" i="9" s="1"/>
  <c r="F221" i="9"/>
  <c r="G221" i="9" s="1"/>
  <c r="E221" i="9"/>
  <c r="AB220" i="9"/>
  <c r="AC220" i="9" s="1"/>
  <c r="Z220" i="9"/>
  <c r="X220" i="9"/>
  <c r="V220" i="9"/>
  <c r="W220" i="9" s="1"/>
  <c r="T220" i="9"/>
  <c r="U220" i="9" s="1"/>
  <c r="R220" i="9"/>
  <c r="S220" i="9" s="1"/>
  <c r="P220" i="9"/>
  <c r="Q220" i="9" s="1"/>
  <c r="N220" i="9"/>
  <c r="O220" i="9" s="1"/>
  <c r="L220" i="9"/>
  <c r="M220" i="9" s="1"/>
  <c r="J220" i="9"/>
  <c r="K220" i="9" s="1"/>
  <c r="H220" i="9"/>
  <c r="I220" i="9" s="1"/>
  <c r="F220" i="9"/>
  <c r="G220" i="9" s="1"/>
  <c r="E220" i="9"/>
  <c r="AB219" i="9"/>
  <c r="AC219" i="9" s="1"/>
  <c r="Z219" i="9"/>
  <c r="X219" i="9"/>
  <c r="V219" i="9"/>
  <c r="W219" i="9" s="1"/>
  <c r="T219" i="9"/>
  <c r="U219" i="9" s="1"/>
  <c r="R219" i="9"/>
  <c r="S219" i="9" s="1"/>
  <c r="P219" i="9"/>
  <c r="Q219" i="9" s="1"/>
  <c r="N219" i="9"/>
  <c r="O219" i="9" s="1"/>
  <c r="L219" i="9"/>
  <c r="M219" i="9" s="1"/>
  <c r="J219" i="9"/>
  <c r="K219" i="9" s="1"/>
  <c r="H219" i="9"/>
  <c r="I219" i="9" s="1"/>
  <c r="F219" i="9"/>
  <c r="G219" i="9" s="1"/>
  <c r="E219" i="9"/>
  <c r="AB218" i="9"/>
  <c r="AC218" i="9" s="1"/>
  <c r="Z218" i="9"/>
  <c r="X218" i="9"/>
  <c r="V218" i="9"/>
  <c r="W218" i="9" s="1"/>
  <c r="T218" i="9"/>
  <c r="U218" i="9" s="1"/>
  <c r="R218" i="9"/>
  <c r="S218" i="9" s="1"/>
  <c r="P218" i="9"/>
  <c r="Q218" i="9" s="1"/>
  <c r="N218" i="9"/>
  <c r="O218" i="9" s="1"/>
  <c r="L218" i="9"/>
  <c r="M218" i="9" s="1"/>
  <c r="J218" i="9"/>
  <c r="K218" i="9" s="1"/>
  <c r="H218" i="9"/>
  <c r="I218" i="9" s="1"/>
  <c r="F218" i="9"/>
  <c r="G218" i="9" s="1"/>
  <c r="E218" i="9"/>
  <c r="AB217" i="9"/>
  <c r="AC217" i="9" s="1"/>
  <c r="Z217" i="9"/>
  <c r="X217" i="9"/>
  <c r="V217" i="9"/>
  <c r="W217" i="9" s="1"/>
  <c r="T217" i="9"/>
  <c r="U217" i="9" s="1"/>
  <c r="R217" i="9"/>
  <c r="S217" i="9" s="1"/>
  <c r="P217" i="9"/>
  <c r="Q217" i="9" s="1"/>
  <c r="N217" i="9"/>
  <c r="O217" i="9" s="1"/>
  <c r="L217" i="9"/>
  <c r="M217" i="9" s="1"/>
  <c r="J217" i="9"/>
  <c r="K217" i="9" s="1"/>
  <c r="H217" i="9"/>
  <c r="I217" i="9" s="1"/>
  <c r="F217" i="9"/>
  <c r="G217" i="9" s="1"/>
  <c r="E217" i="9"/>
  <c r="AB216" i="9"/>
  <c r="AC216" i="9" s="1"/>
  <c r="Z216" i="9"/>
  <c r="X216" i="9"/>
  <c r="V216" i="9"/>
  <c r="W216" i="9" s="1"/>
  <c r="T216" i="9"/>
  <c r="U216" i="9" s="1"/>
  <c r="R216" i="9"/>
  <c r="S216" i="9" s="1"/>
  <c r="P216" i="9"/>
  <c r="Q216" i="9" s="1"/>
  <c r="N216" i="9"/>
  <c r="O216" i="9" s="1"/>
  <c r="L216" i="9"/>
  <c r="M216" i="9" s="1"/>
  <c r="J216" i="9"/>
  <c r="K216" i="9" s="1"/>
  <c r="H216" i="9"/>
  <c r="I216" i="9" s="1"/>
  <c r="F216" i="9"/>
  <c r="G216" i="9" s="1"/>
  <c r="E216" i="9"/>
  <c r="AB215" i="9"/>
  <c r="AC215" i="9" s="1"/>
  <c r="Z215" i="9"/>
  <c r="X215" i="9"/>
  <c r="V215" i="9"/>
  <c r="W215" i="9" s="1"/>
  <c r="T215" i="9"/>
  <c r="U215" i="9" s="1"/>
  <c r="R215" i="9"/>
  <c r="S215" i="9" s="1"/>
  <c r="P215" i="9"/>
  <c r="Q215" i="9" s="1"/>
  <c r="N215" i="9"/>
  <c r="O215" i="9" s="1"/>
  <c r="L215" i="9"/>
  <c r="M215" i="9" s="1"/>
  <c r="J215" i="9"/>
  <c r="K215" i="9" s="1"/>
  <c r="H215" i="9"/>
  <c r="I215" i="9" s="1"/>
  <c r="F215" i="9"/>
  <c r="G215" i="9" s="1"/>
  <c r="E215" i="9"/>
  <c r="AB214" i="9"/>
  <c r="AC214" i="9" s="1"/>
  <c r="Z214" i="9"/>
  <c r="X214" i="9"/>
  <c r="V214" i="9"/>
  <c r="W214" i="9" s="1"/>
  <c r="T214" i="9"/>
  <c r="U214" i="9" s="1"/>
  <c r="R214" i="9"/>
  <c r="S214" i="9" s="1"/>
  <c r="P214" i="9"/>
  <c r="Q214" i="9" s="1"/>
  <c r="N214" i="9"/>
  <c r="O214" i="9" s="1"/>
  <c r="L214" i="9"/>
  <c r="M214" i="9" s="1"/>
  <c r="J214" i="9"/>
  <c r="K214" i="9" s="1"/>
  <c r="H214" i="9"/>
  <c r="I214" i="9" s="1"/>
  <c r="F214" i="9"/>
  <c r="G214" i="9" s="1"/>
  <c r="E214" i="9"/>
  <c r="AB213" i="9"/>
  <c r="AC213" i="9" s="1"/>
  <c r="Z213" i="9"/>
  <c r="X213" i="9"/>
  <c r="V213" i="9"/>
  <c r="W213" i="9" s="1"/>
  <c r="T213" i="9"/>
  <c r="U213" i="9" s="1"/>
  <c r="R213" i="9"/>
  <c r="S213" i="9" s="1"/>
  <c r="P213" i="9"/>
  <c r="Q213" i="9" s="1"/>
  <c r="N213" i="9"/>
  <c r="O213" i="9" s="1"/>
  <c r="L213" i="9"/>
  <c r="M213" i="9" s="1"/>
  <c r="J213" i="9"/>
  <c r="K213" i="9" s="1"/>
  <c r="H213" i="9"/>
  <c r="I213" i="9" s="1"/>
  <c r="F213" i="9"/>
  <c r="G213" i="9" s="1"/>
  <c r="E213" i="9"/>
  <c r="AB212" i="9"/>
  <c r="AC212" i="9" s="1"/>
  <c r="Z212" i="9"/>
  <c r="X212" i="9"/>
  <c r="V212" i="9"/>
  <c r="W212" i="9" s="1"/>
  <c r="T212" i="9"/>
  <c r="U212" i="9" s="1"/>
  <c r="R212" i="9"/>
  <c r="S212" i="9" s="1"/>
  <c r="P212" i="9"/>
  <c r="Q212" i="9" s="1"/>
  <c r="N212" i="9"/>
  <c r="O212" i="9" s="1"/>
  <c r="L212" i="9"/>
  <c r="M212" i="9" s="1"/>
  <c r="J212" i="9"/>
  <c r="K212" i="9" s="1"/>
  <c r="H212" i="9"/>
  <c r="I212" i="9" s="1"/>
  <c r="F212" i="9"/>
  <c r="G212" i="9" s="1"/>
  <c r="E212" i="9"/>
  <c r="AB211" i="9"/>
  <c r="AC211" i="9" s="1"/>
  <c r="Z211" i="9"/>
  <c r="X211" i="9"/>
  <c r="V211" i="9"/>
  <c r="W211" i="9" s="1"/>
  <c r="T211" i="9"/>
  <c r="U211" i="9" s="1"/>
  <c r="R211" i="9"/>
  <c r="S211" i="9" s="1"/>
  <c r="P211" i="9"/>
  <c r="Q211" i="9" s="1"/>
  <c r="N211" i="9"/>
  <c r="O211" i="9" s="1"/>
  <c r="L211" i="9"/>
  <c r="M211" i="9" s="1"/>
  <c r="J211" i="9"/>
  <c r="K211" i="9" s="1"/>
  <c r="H211" i="9"/>
  <c r="I211" i="9" s="1"/>
  <c r="F211" i="9"/>
  <c r="G211" i="9" s="1"/>
  <c r="E211" i="9"/>
  <c r="AB210" i="9"/>
  <c r="AC210" i="9" s="1"/>
  <c r="Z210" i="9"/>
  <c r="X210" i="9"/>
  <c r="V210" i="9"/>
  <c r="W210" i="9" s="1"/>
  <c r="T210" i="9"/>
  <c r="U210" i="9" s="1"/>
  <c r="R210" i="9"/>
  <c r="S210" i="9" s="1"/>
  <c r="P210" i="9"/>
  <c r="Q210" i="9" s="1"/>
  <c r="N210" i="9"/>
  <c r="O210" i="9" s="1"/>
  <c r="L210" i="9"/>
  <c r="M210" i="9" s="1"/>
  <c r="J210" i="9"/>
  <c r="K210" i="9" s="1"/>
  <c r="H210" i="9"/>
  <c r="I210" i="9" s="1"/>
  <c r="F210" i="9"/>
  <c r="G210" i="9" s="1"/>
  <c r="E210" i="9"/>
  <c r="AB209" i="9"/>
  <c r="AC209" i="9" s="1"/>
  <c r="Z209" i="9"/>
  <c r="X209" i="9"/>
  <c r="V209" i="9"/>
  <c r="W209" i="9" s="1"/>
  <c r="T209" i="9"/>
  <c r="U209" i="9" s="1"/>
  <c r="R209" i="9"/>
  <c r="S209" i="9" s="1"/>
  <c r="P209" i="9"/>
  <c r="Q209" i="9" s="1"/>
  <c r="N209" i="9"/>
  <c r="O209" i="9" s="1"/>
  <c r="L209" i="9"/>
  <c r="M209" i="9" s="1"/>
  <c r="J209" i="9"/>
  <c r="K209" i="9" s="1"/>
  <c r="H209" i="9"/>
  <c r="I209" i="9" s="1"/>
  <c r="F209" i="9"/>
  <c r="G209" i="9" s="1"/>
  <c r="E209" i="9"/>
  <c r="AB208" i="9"/>
  <c r="AC208" i="9" s="1"/>
  <c r="Z208" i="9"/>
  <c r="X208" i="9"/>
  <c r="V208" i="9"/>
  <c r="W208" i="9" s="1"/>
  <c r="T208" i="9"/>
  <c r="U208" i="9" s="1"/>
  <c r="R208" i="9"/>
  <c r="S208" i="9" s="1"/>
  <c r="P208" i="9"/>
  <c r="Q208" i="9" s="1"/>
  <c r="N208" i="9"/>
  <c r="O208" i="9" s="1"/>
  <c r="L208" i="9"/>
  <c r="M208" i="9" s="1"/>
  <c r="J208" i="9"/>
  <c r="K208" i="9" s="1"/>
  <c r="H208" i="9"/>
  <c r="I208" i="9" s="1"/>
  <c r="F208" i="9"/>
  <c r="G208" i="9" s="1"/>
  <c r="E208" i="9"/>
  <c r="AB207" i="9"/>
  <c r="AC207" i="9" s="1"/>
  <c r="Z207" i="9"/>
  <c r="X207" i="9"/>
  <c r="V207" i="9"/>
  <c r="W207" i="9" s="1"/>
  <c r="T207" i="9"/>
  <c r="U207" i="9" s="1"/>
  <c r="R207" i="9"/>
  <c r="S207" i="9" s="1"/>
  <c r="P207" i="9"/>
  <c r="Q207" i="9" s="1"/>
  <c r="N207" i="9"/>
  <c r="O207" i="9" s="1"/>
  <c r="L207" i="9"/>
  <c r="M207" i="9" s="1"/>
  <c r="J207" i="9"/>
  <c r="K207" i="9" s="1"/>
  <c r="H207" i="9"/>
  <c r="I207" i="9" s="1"/>
  <c r="F207" i="9"/>
  <c r="G207" i="9" s="1"/>
  <c r="E207" i="9"/>
  <c r="AB206" i="9"/>
  <c r="AC206" i="9" s="1"/>
  <c r="Z206" i="9"/>
  <c r="X206" i="9"/>
  <c r="V206" i="9"/>
  <c r="W206" i="9" s="1"/>
  <c r="T206" i="9"/>
  <c r="U206" i="9" s="1"/>
  <c r="R206" i="9"/>
  <c r="S206" i="9" s="1"/>
  <c r="P206" i="9"/>
  <c r="Q206" i="9" s="1"/>
  <c r="N206" i="9"/>
  <c r="O206" i="9" s="1"/>
  <c r="L206" i="9"/>
  <c r="M206" i="9" s="1"/>
  <c r="J206" i="9"/>
  <c r="K206" i="9" s="1"/>
  <c r="H206" i="9"/>
  <c r="I206" i="9" s="1"/>
  <c r="F206" i="9"/>
  <c r="G206" i="9" s="1"/>
  <c r="E206" i="9"/>
  <c r="AB205" i="9"/>
  <c r="AC205" i="9" s="1"/>
  <c r="Z205" i="9"/>
  <c r="X205" i="9"/>
  <c r="V205" i="9"/>
  <c r="W205" i="9" s="1"/>
  <c r="T205" i="9"/>
  <c r="U205" i="9" s="1"/>
  <c r="R205" i="9"/>
  <c r="S205" i="9" s="1"/>
  <c r="P205" i="9"/>
  <c r="Q205" i="9" s="1"/>
  <c r="N205" i="9"/>
  <c r="O205" i="9" s="1"/>
  <c r="L205" i="9"/>
  <c r="M205" i="9" s="1"/>
  <c r="J205" i="9"/>
  <c r="K205" i="9" s="1"/>
  <c r="H205" i="9"/>
  <c r="I205" i="9" s="1"/>
  <c r="F205" i="9"/>
  <c r="G205" i="9" s="1"/>
  <c r="E205" i="9"/>
  <c r="AB204" i="9"/>
  <c r="AC204" i="9" s="1"/>
  <c r="Z204" i="9"/>
  <c r="X204" i="9"/>
  <c r="V204" i="9"/>
  <c r="W204" i="9" s="1"/>
  <c r="T204" i="9"/>
  <c r="U204" i="9" s="1"/>
  <c r="R204" i="9"/>
  <c r="S204" i="9" s="1"/>
  <c r="P204" i="9"/>
  <c r="Q204" i="9" s="1"/>
  <c r="N204" i="9"/>
  <c r="O204" i="9" s="1"/>
  <c r="L204" i="9"/>
  <c r="M204" i="9" s="1"/>
  <c r="J204" i="9"/>
  <c r="K204" i="9" s="1"/>
  <c r="H204" i="9"/>
  <c r="I204" i="9" s="1"/>
  <c r="F204" i="9"/>
  <c r="G204" i="9" s="1"/>
  <c r="E204" i="9"/>
  <c r="AB203" i="9"/>
  <c r="AC203" i="9" s="1"/>
  <c r="Z203" i="9"/>
  <c r="X203" i="9"/>
  <c r="V203" i="9"/>
  <c r="W203" i="9" s="1"/>
  <c r="T203" i="9"/>
  <c r="U203" i="9" s="1"/>
  <c r="R203" i="9"/>
  <c r="S203" i="9" s="1"/>
  <c r="P203" i="9"/>
  <c r="Q203" i="9" s="1"/>
  <c r="N203" i="9"/>
  <c r="O203" i="9" s="1"/>
  <c r="L203" i="9"/>
  <c r="M203" i="9" s="1"/>
  <c r="J203" i="9"/>
  <c r="K203" i="9" s="1"/>
  <c r="H203" i="9"/>
  <c r="I203" i="9" s="1"/>
  <c r="F203" i="9"/>
  <c r="G203" i="9" s="1"/>
  <c r="E203" i="9"/>
  <c r="AB202" i="9"/>
  <c r="AC202" i="9" s="1"/>
  <c r="Z202" i="9"/>
  <c r="X202" i="9"/>
  <c r="V202" i="9"/>
  <c r="W202" i="9" s="1"/>
  <c r="T202" i="9"/>
  <c r="U202" i="9" s="1"/>
  <c r="R202" i="9"/>
  <c r="S202" i="9" s="1"/>
  <c r="P202" i="9"/>
  <c r="Q202" i="9" s="1"/>
  <c r="N202" i="9"/>
  <c r="O202" i="9" s="1"/>
  <c r="L202" i="9"/>
  <c r="M202" i="9" s="1"/>
  <c r="J202" i="9"/>
  <c r="K202" i="9" s="1"/>
  <c r="H202" i="9"/>
  <c r="I202" i="9" s="1"/>
  <c r="F202" i="9"/>
  <c r="G202" i="9" s="1"/>
  <c r="E202" i="9"/>
  <c r="AB201" i="9"/>
  <c r="AC201" i="9" s="1"/>
  <c r="Z201" i="9"/>
  <c r="X201" i="9"/>
  <c r="V201" i="9"/>
  <c r="W201" i="9" s="1"/>
  <c r="T201" i="9"/>
  <c r="U201" i="9" s="1"/>
  <c r="R201" i="9"/>
  <c r="S201" i="9" s="1"/>
  <c r="P201" i="9"/>
  <c r="Q201" i="9" s="1"/>
  <c r="N201" i="9"/>
  <c r="O201" i="9" s="1"/>
  <c r="L201" i="9"/>
  <c r="M201" i="9" s="1"/>
  <c r="J201" i="9"/>
  <c r="K201" i="9" s="1"/>
  <c r="H201" i="9"/>
  <c r="I201" i="9" s="1"/>
  <c r="F201" i="9"/>
  <c r="G201" i="9" s="1"/>
  <c r="E201" i="9"/>
  <c r="AB200" i="9"/>
  <c r="AC200" i="9" s="1"/>
  <c r="Z200" i="9"/>
  <c r="X200" i="9"/>
  <c r="V200" i="9"/>
  <c r="W200" i="9" s="1"/>
  <c r="T200" i="9"/>
  <c r="U200" i="9" s="1"/>
  <c r="R200" i="9"/>
  <c r="S200" i="9" s="1"/>
  <c r="P200" i="9"/>
  <c r="Q200" i="9" s="1"/>
  <c r="N200" i="9"/>
  <c r="O200" i="9" s="1"/>
  <c r="L200" i="9"/>
  <c r="M200" i="9" s="1"/>
  <c r="J200" i="9"/>
  <c r="K200" i="9" s="1"/>
  <c r="H200" i="9"/>
  <c r="I200" i="9" s="1"/>
  <c r="F200" i="9"/>
  <c r="G200" i="9" s="1"/>
  <c r="E200" i="9"/>
  <c r="AB199" i="9"/>
  <c r="AC199" i="9" s="1"/>
  <c r="Z199" i="9"/>
  <c r="X199" i="9"/>
  <c r="V199" i="9"/>
  <c r="W199" i="9" s="1"/>
  <c r="T199" i="9"/>
  <c r="U199" i="9" s="1"/>
  <c r="R199" i="9"/>
  <c r="S199" i="9" s="1"/>
  <c r="P199" i="9"/>
  <c r="Q199" i="9" s="1"/>
  <c r="N199" i="9"/>
  <c r="O199" i="9" s="1"/>
  <c r="L199" i="9"/>
  <c r="M199" i="9" s="1"/>
  <c r="J199" i="9"/>
  <c r="K199" i="9" s="1"/>
  <c r="H199" i="9"/>
  <c r="I199" i="9" s="1"/>
  <c r="F199" i="9"/>
  <c r="G199" i="9" s="1"/>
  <c r="E199" i="9"/>
  <c r="AB198" i="9"/>
  <c r="AC198" i="9" s="1"/>
  <c r="Z198" i="9"/>
  <c r="X198" i="9"/>
  <c r="V198" i="9"/>
  <c r="W198" i="9" s="1"/>
  <c r="T198" i="9"/>
  <c r="U198" i="9" s="1"/>
  <c r="R198" i="9"/>
  <c r="S198" i="9" s="1"/>
  <c r="P198" i="9"/>
  <c r="Q198" i="9" s="1"/>
  <c r="N198" i="9"/>
  <c r="O198" i="9" s="1"/>
  <c r="L198" i="9"/>
  <c r="M198" i="9" s="1"/>
  <c r="J198" i="9"/>
  <c r="K198" i="9" s="1"/>
  <c r="H198" i="9"/>
  <c r="I198" i="9" s="1"/>
  <c r="F198" i="9"/>
  <c r="G198" i="9" s="1"/>
  <c r="E198" i="9"/>
  <c r="AB197" i="9"/>
  <c r="AC197" i="9" s="1"/>
  <c r="Z197" i="9"/>
  <c r="X197" i="9"/>
  <c r="V197" i="9"/>
  <c r="W197" i="9" s="1"/>
  <c r="T197" i="9"/>
  <c r="U197" i="9" s="1"/>
  <c r="R197" i="9"/>
  <c r="S197" i="9" s="1"/>
  <c r="P197" i="9"/>
  <c r="Q197" i="9" s="1"/>
  <c r="N197" i="9"/>
  <c r="O197" i="9" s="1"/>
  <c r="L197" i="9"/>
  <c r="M197" i="9" s="1"/>
  <c r="J197" i="9"/>
  <c r="K197" i="9" s="1"/>
  <c r="H197" i="9"/>
  <c r="I197" i="9" s="1"/>
  <c r="F197" i="9"/>
  <c r="G197" i="9" s="1"/>
  <c r="E197" i="9"/>
  <c r="AB196" i="9"/>
  <c r="AC196" i="9" s="1"/>
  <c r="Z196" i="9"/>
  <c r="X196" i="9"/>
  <c r="V196" i="9"/>
  <c r="W196" i="9" s="1"/>
  <c r="T196" i="9"/>
  <c r="U196" i="9" s="1"/>
  <c r="R196" i="9"/>
  <c r="S196" i="9" s="1"/>
  <c r="P196" i="9"/>
  <c r="Q196" i="9" s="1"/>
  <c r="N196" i="9"/>
  <c r="O196" i="9" s="1"/>
  <c r="L196" i="9"/>
  <c r="M196" i="9" s="1"/>
  <c r="J196" i="9"/>
  <c r="K196" i="9" s="1"/>
  <c r="H196" i="9"/>
  <c r="I196" i="9" s="1"/>
  <c r="F196" i="9"/>
  <c r="G196" i="9" s="1"/>
  <c r="E196" i="9"/>
  <c r="AB195" i="9"/>
  <c r="AC195" i="9" s="1"/>
  <c r="Z195" i="9"/>
  <c r="X195" i="9"/>
  <c r="V195" i="9"/>
  <c r="W195" i="9" s="1"/>
  <c r="T195" i="9"/>
  <c r="U195" i="9" s="1"/>
  <c r="R195" i="9"/>
  <c r="S195" i="9" s="1"/>
  <c r="P195" i="9"/>
  <c r="Q195" i="9" s="1"/>
  <c r="N195" i="9"/>
  <c r="O195" i="9" s="1"/>
  <c r="L195" i="9"/>
  <c r="M195" i="9" s="1"/>
  <c r="J195" i="9"/>
  <c r="K195" i="9" s="1"/>
  <c r="H195" i="9"/>
  <c r="I195" i="9" s="1"/>
  <c r="F195" i="9"/>
  <c r="G195" i="9" s="1"/>
  <c r="E195" i="9"/>
  <c r="AB194" i="9"/>
  <c r="AC194" i="9" s="1"/>
  <c r="Z194" i="9"/>
  <c r="X194" i="9"/>
  <c r="V194" i="9"/>
  <c r="W194" i="9" s="1"/>
  <c r="T194" i="9"/>
  <c r="U194" i="9" s="1"/>
  <c r="R194" i="9"/>
  <c r="S194" i="9" s="1"/>
  <c r="P194" i="9"/>
  <c r="Q194" i="9" s="1"/>
  <c r="N194" i="9"/>
  <c r="O194" i="9" s="1"/>
  <c r="L194" i="9"/>
  <c r="M194" i="9" s="1"/>
  <c r="J194" i="9"/>
  <c r="K194" i="9" s="1"/>
  <c r="H194" i="9"/>
  <c r="I194" i="9" s="1"/>
  <c r="F194" i="9"/>
  <c r="G194" i="9" s="1"/>
  <c r="E194" i="9"/>
  <c r="AB193" i="9"/>
  <c r="AC193" i="9" s="1"/>
  <c r="Z193" i="9"/>
  <c r="X193" i="9"/>
  <c r="V193" i="9"/>
  <c r="W193" i="9" s="1"/>
  <c r="T193" i="9"/>
  <c r="U193" i="9" s="1"/>
  <c r="R193" i="9"/>
  <c r="S193" i="9" s="1"/>
  <c r="P193" i="9"/>
  <c r="Q193" i="9" s="1"/>
  <c r="N193" i="9"/>
  <c r="O193" i="9" s="1"/>
  <c r="L193" i="9"/>
  <c r="M193" i="9" s="1"/>
  <c r="J193" i="9"/>
  <c r="K193" i="9" s="1"/>
  <c r="H193" i="9"/>
  <c r="I193" i="9" s="1"/>
  <c r="F193" i="9"/>
  <c r="G193" i="9" s="1"/>
  <c r="E193" i="9"/>
  <c r="AB192" i="9"/>
  <c r="AC192" i="9" s="1"/>
  <c r="Z192" i="9"/>
  <c r="X192" i="9"/>
  <c r="V192" i="9"/>
  <c r="W192" i="9" s="1"/>
  <c r="T192" i="9"/>
  <c r="U192" i="9" s="1"/>
  <c r="R192" i="9"/>
  <c r="S192" i="9" s="1"/>
  <c r="P192" i="9"/>
  <c r="Q192" i="9" s="1"/>
  <c r="N192" i="9"/>
  <c r="O192" i="9" s="1"/>
  <c r="L192" i="9"/>
  <c r="M192" i="9" s="1"/>
  <c r="J192" i="9"/>
  <c r="K192" i="9" s="1"/>
  <c r="H192" i="9"/>
  <c r="I192" i="9" s="1"/>
  <c r="F192" i="9"/>
  <c r="G192" i="9" s="1"/>
  <c r="E192" i="9"/>
  <c r="AB191" i="9"/>
  <c r="AC191" i="9" s="1"/>
  <c r="Z191" i="9"/>
  <c r="X191" i="9"/>
  <c r="V191" i="9"/>
  <c r="W191" i="9" s="1"/>
  <c r="T191" i="9"/>
  <c r="U191" i="9" s="1"/>
  <c r="R191" i="9"/>
  <c r="S191" i="9" s="1"/>
  <c r="P191" i="9"/>
  <c r="Q191" i="9" s="1"/>
  <c r="N191" i="9"/>
  <c r="O191" i="9" s="1"/>
  <c r="L191" i="9"/>
  <c r="M191" i="9" s="1"/>
  <c r="J191" i="9"/>
  <c r="K191" i="9" s="1"/>
  <c r="H191" i="9"/>
  <c r="I191" i="9" s="1"/>
  <c r="F191" i="9"/>
  <c r="G191" i="9" s="1"/>
  <c r="E191" i="9"/>
  <c r="AB190" i="9"/>
  <c r="AC190" i="9" s="1"/>
  <c r="Z190" i="9"/>
  <c r="X190" i="9"/>
  <c r="V190" i="9"/>
  <c r="W190" i="9" s="1"/>
  <c r="T190" i="9"/>
  <c r="U190" i="9" s="1"/>
  <c r="R190" i="9"/>
  <c r="S190" i="9" s="1"/>
  <c r="P190" i="9"/>
  <c r="Q190" i="9" s="1"/>
  <c r="N190" i="9"/>
  <c r="O190" i="9" s="1"/>
  <c r="L190" i="9"/>
  <c r="M190" i="9" s="1"/>
  <c r="J190" i="9"/>
  <c r="K190" i="9" s="1"/>
  <c r="H190" i="9"/>
  <c r="I190" i="9" s="1"/>
  <c r="F190" i="9"/>
  <c r="G190" i="9" s="1"/>
  <c r="E190" i="9"/>
  <c r="AB189" i="9"/>
  <c r="AC189" i="9" s="1"/>
  <c r="Z189" i="9"/>
  <c r="X189" i="9"/>
  <c r="V189" i="9"/>
  <c r="W189" i="9" s="1"/>
  <c r="T189" i="9"/>
  <c r="U189" i="9" s="1"/>
  <c r="R189" i="9"/>
  <c r="S189" i="9" s="1"/>
  <c r="P189" i="9"/>
  <c r="Q189" i="9" s="1"/>
  <c r="N189" i="9"/>
  <c r="O189" i="9" s="1"/>
  <c r="L189" i="9"/>
  <c r="M189" i="9" s="1"/>
  <c r="J189" i="9"/>
  <c r="K189" i="9" s="1"/>
  <c r="H189" i="9"/>
  <c r="I189" i="9" s="1"/>
  <c r="F189" i="9"/>
  <c r="G189" i="9" s="1"/>
  <c r="E189" i="9"/>
  <c r="AB188" i="9"/>
  <c r="AC188" i="9" s="1"/>
  <c r="Z188" i="9"/>
  <c r="X188" i="9"/>
  <c r="V188" i="9"/>
  <c r="W188" i="9" s="1"/>
  <c r="T188" i="9"/>
  <c r="U188" i="9" s="1"/>
  <c r="R188" i="9"/>
  <c r="S188" i="9" s="1"/>
  <c r="P188" i="9"/>
  <c r="Q188" i="9" s="1"/>
  <c r="N188" i="9"/>
  <c r="O188" i="9" s="1"/>
  <c r="L188" i="9"/>
  <c r="M188" i="9" s="1"/>
  <c r="J188" i="9"/>
  <c r="K188" i="9" s="1"/>
  <c r="H188" i="9"/>
  <c r="I188" i="9" s="1"/>
  <c r="F188" i="9"/>
  <c r="G188" i="9" s="1"/>
  <c r="E188" i="9"/>
  <c r="AB187" i="9"/>
  <c r="AC187" i="9" s="1"/>
  <c r="Z187" i="9"/>
  <c r="X187" i="9"/>
  <c r="V187" i="9"/>
  <c r="W187" i="9" s="1"/>
  <c r="T187" i="9"/>
  <c r="U187" i="9" s="1"/>
  <c r="R187" i="9"/>
  <c r="S187" i="9" s="1"/>
  <c r="P187" i="9"/>
  <c r="Q187" i="9" s="1"/>
  <c r="N187" i="9"/>
  <c r="O187" i="9" s="1"/>
  <c r="L187" i="9"/>
  <c r="M187" i="9" s="1"/>
  <c r="J187" i="9"/>
  <c r="K187" i="9" s="1"/>
  <c r="H187" i="9"/>
  <c r="I187" i="9" s="1"/>
  <c r="F187" i="9"/>
  <c r="G187" i="9" s="1"/>
  <c r="E187" i="9"/>
  <c r="AB186" i="9"/>
  <c r="AC186" i="9" s="1"/>
  <c r="Z186" i="9"/>
  <c r="X186" i="9"/>
  <c r="V186" i="9"/>
  <c r="W186" i="9" s="1"/>
  <c r="T186" i="9"/>
  <c r="U186" i="9" s="1"/>
  <c r="R186" i="9"/>
  <c r="S186" i="9" s="1"/>
  <c r="P186" i="9"/>
  <c r="Q186" i="9" s="1"/>
  <c r="N186" i="9"/>
  <c r="O186" i="9" s="1"/>
  <c r="L186" i="9"/>
  <c r="M186" i="9" s="1"/>
  <c r="J186" i="9"/>
  <c r="K186" i="9" s="1"/>
  <c r="H186" i="9"/>
  <c r="I186" i="9" s="1"/>
  <c r="F186" i="9"/>
  <c r="G186" i="9" s="1"/>
  <c r="E186" i="9"/>
  <c r="AB185" i="9"/>
  <c r="AC185" i="9" s="1"/>
  <c r="Z185" i="9"/>
  <c r="X185" i="9"/>
  <c r="V185" i="9"/>
  <c r="W185" i="9" s="1"/>
  <c r="T185" i="9"/>
  <c r="U185" i="9" s="1"/>
  <c r="R185" i="9"/>
  <c r="S185" i="9" s="1"/>
  <c r="P185" i="9"/>
  <c r="Q185" i="9" s="1"/>
  <c r="N185" i="9"/>
  <c r="O185" i="9" s="1"/>
  <c r="L185" i="9"/>
  <c r="M185" i="9" s="1"/>
  <c r="J185" i="9"/>
  <c r="K185" i="9" s="1"/>
  <c r="H185" i="9"/>
  <c r="I185" i="9" s="1"/>
  <c r="F185" i="9"/>
  <c r="G185" i="9" s="1"/>
  <c r="E185" i="9"/>
  <c r="AB184" i="9"/>
  <c r="AC184" i="9" s="1"/>
  <c r="Z184" i="9"/>
  <c r="X184" i="9"/>
  <c r="V184" i="9"/>
  <c r="W184" i="9" s="1"/>
  <c r="T184" i="9"/>
  <c r="U184" i="9" s="1"/>
  <c r="R184" i="9"/>
  <c r="S184" i="9" s="1"/>
  <c r="P184" i="9"/>
  <c r="Q184" i="9" s="1"/>
  <c r="N184" i="9"/>
  <c r="O184" i="9" s="1"/>
  <c r="L184" i="9"/>
  <c r="M184" i="9" s="1"/>
  <c r="J184" i="9"/>
  <c r="K184" i="9" s="1"/>
  <c r="H184" i="9"/>
  <c r="I184" i="9" s="1"/>
  <c r="F184" i="9"/>
  <c r="G184" i="9" s="1"/>
  <c r="E184" i="9"/>
  <c r="AB183" i="9"/>
  <c r="AC183" i="9" s="1"/>
  <c r="Z183" i="9"/>
  <c r="X183" i="9"/>
  <c r="V183" i="9"/>
  <c r="W183" i="9" s="1"/>
  <c r="T183" i="9"/>
  <c r="U183" i="9" s="1"/>
  <c r="R183" i="9"/>
  <c r="S183" i="9" s="1"/>
  <c r="P183" i="9"/>
  <c r="Q183" i="9" s="1"/>
  <c r="N183" i="9"/>
  <c r="O183" i="9" s="1"/>
  <c r="L183" i="9"/>
  <c r="M183" i="9" s="1"/>
  <c r="J183" i="9"/>
  <c r="K183" i="9" s="1"/>
  <c r="H183" i="9"/>
  <c r="I183" i="9" s="1"/>
  <c r="F183" i="9"/>
  <c r="G183" i="9" s="1"/>
  <c r="E183" i="9"/>
  <c r="AB182" i="9"/>
  <c r="AC182" i="9" s="1"/>
  <c r="Z182" i="9"/>
  <c r="X182" i="9"/>
  <c r="V182" i="9"/>
  <c r="W182" i="9" s="1"/>
  <c r="T182" i="9"/>
  <c r="U182" i="9" s="1"/>
  <c r="R182" i="9"/>
  <c r="S182" i="9" s="1"/>
  <c r="P182" i="9"/>
  <c r="Q182" i="9" s="1"/>
  <c r="N182" i="9"/>
  <c r="O182" i="9" s="1"/>
  <c r="L182" i="9"/>
  <c r="M182" i="9" s="1"/>
  <c r="J182" i="9"/>
  <c r="K182" i="9" s="1"/>
  <c r="H182" i="9"/>
  <c r="I182" i="9" s="1"/>
  <c r="F182" i="9"/>
  <c r="G182" i="9" s="1"/>
  <c r="E182" i="9"/>
  <c r="AB181" i="9"/>
  <c r="AC181" i="9" s="1"/>
  <c r="Z181" i="9"/>
  <c r="X181" i="9"/>
  <c r="V181" i="9"/>
  <c r="W181" i="9" s="1"/>
  <c r="T181" i="9"/>
  <c r="U181" i="9" s="1"/>
  <c r="R181" i="9"/>
  <c r="S181" i="9" s="1"/>
  <c r="P181" i="9"/>
  <c r="Q181" i="9" s="1"/>
  <c r="N181" i="9"/>
  <c r="O181" i="9" s="1"/>
  <c r="L181" i="9"/>
  <c r="M181" i="9" s="1"/>
  <c r="J181" i="9"/>
  <c r="K181" i="9" s="1"/>
  <c r="H181" i="9"/>
  <c r="I181" i="9" s="1"/>
  <c r="F181" i="9"/>
  <c r="G181" i="9" s="1"/>
  <c r="E181" i="9"/>
  <c r="AB180" i="9"/>
  <c r="AC180" i="9" s="1"/>
  <c r="Z180" i="9"/>
  <c r="X180" i="9"/>
  <c r="V180" i="9"/>
  <c r="W180" i="9" s="1"/>
  <c r="T180" i="9"/>
  <c r="U180" i="9" s="1"/>
  <c r="R180" i="9"/>
  <c r="S180" i="9" s="1"/>
  <c r="P180" i="9"/>
  <c r="Q180" i="9" s="1"/>
  <c r="N180" i="9"/>
  <c r="O180" i="9" s="1"/>
  <c r="L180" i="9"/>
  <c r="M180" i="9" s="1"/>
  <c r="J180" i="9"/>
  <c r="K180" i="9" s="1"/>
  <c r="H180" i="9"/>
  <c r="I180" i="9" s="1"/>
  <c r="F180" i="9"/>
  <c r="G180" i="9" s="1"/>
  <c r="E180" i="9"/>
  <c r="AB179" i="9"/>
  <c r="AC179" i="9" s="1"/>
  <c r="Z179" i="9"/>
  <c r="X179" i="9"/>
  <c r="V179" i="9"/>
  <c r="W179" i="9" s="1"/>
  <c r="T179" i="9"/>
  <c r="U179" i="9" s="1"/>
  <c r="R179" i="9"/>
  <c r="S179" i="9" s="1"/>
  <c r="P179" i="9"/>
  <c r="Q179" i="9" s="1"/>
  <c r="N179" i="9"/>
  <c r="O179" i="9" s="1"/>
  <c r="L179" i="9"/>
  <c r="M179" i="9" s="1"/>
  <c r="J179" i="9"/>
  <c r="K179" i="9" s="1"/>
  <c r="H179" i="9"/>
  <c r="I179" i="9" s="1"/>
  <c r="F179" i="9"/>
  <c r="G179" i="9" s="1"/>
  <c r="E179" i="9"/>
  <c r="AB178" i="9"/>
  <c r="AC178" i="9" s="1"/>
  <c r="Z178" i="9"/>
  <c r="X178" i="9"/>
  <c r="V178" i="9"/>
  <c r="W178" i="9" s="1"/>
  <c r="T178" i="9"/>
  <c r="U178" i="9" s="1"/>
  <c r="R178" i="9"/>
  <c r="S178" i="9" s="1"/>
  <c r="P178" i="9"/>
  <c r="Q178" i="9" s="1"/>
  <c r="N178" i="9"/>
  <c r="O178" i="9" s="1"/>
  <c r="L178" i="9"/>
  <c r="M178" i="9" s="1"/>
  <c r="J178" i="9"/>
  <c r="K178" i="9" s="1"/>
  <c r="H178" i="9"/>
  <c r="I178" i="9" s="1"/>
  <c r="F178" i="9"/>
  <c r="G178" i="9" s="1"/>
  <c r="E178" i="9"/>
  <c r="AB177" i="9"/>
  <c r="AC177" i="9" s="1"/>
  <c r="Z177" i="9"/>
  <c r="X177" i="9"/>
  <c r="V177" i="9"/>
  <c r="W177" i="9" s="1"/>
  <c r="T177" i="9"/>
  <c r="U177" i="9" s="1"/>
  <c r="R177" i="9"/>
  <c r="S177" i="9" s="1"/>
  <c r="P177" i="9"/>
  <c r="Q177" i="9" s="1"/>
  <c r="N177" i="9"/>
  <c r="O177" i="9" s="1"/>
  <c r="L177" i="9"/>
  <c r="M177" i="9" s="1"/>
  <c r="J177" i="9"/>
  <c r="K177" i="9" s="1"/>
  <c r="H177" i="9"/>
  <c r="I177" i="9" s="1"/>
  <c r="F177" i="9"/>
  <c r="G177" i="9" s="1"/>
  <c r="E177" i="9"/>
  <c r="AB176" i="9"/>
  <c r="AC176" i="9" s="1"/>
  <c r="Z176" i="9"/>
  <c r="X176" i="9"/>
  <c r="V176" i="9"/>
  <c r="W176" i="9" s="1"/>
  <c r="T176" i="9"/>
  <c r="U176" i="9" s="1"/>
  <c r="R176" i="9"/>
  <c r="S176" i="9" s="1"/>
  <c r="P176" i="9"/>
  <c r="Q176" i="9" s="1"/>
  <c r="N176" i="9"/>
  <c r="O176" i="9" s="1"/>
  <c r="L176" i="9"/>
  <c r="M176" i="9" s="1"/>
  <c r="J176" i="9"/>
  <c r="K176" i="9" s="1"/>
  <c r="H176" i="9"/>
  <c r="I176" i="9" s="1"/>
  <c r="F176" i="9"/>
  <c r="G176" i="9" s="1"/>
  <c r="E176" i="9"/>
  <c r="AB175" i="9"/>
  <c r="AC175" i="9" s="1"/>
  <c r="Z175" i="9"/>
  <c r="X175" i="9"/>
  <c r="V175" i="9"/>
  <c r="W175" i="9" s="1"/>
  <c r="T175" i="9"/>
  <c r="U175" i="9" s="1"/>
  <c r="R175" i="9"/>
  <c r="S175" i="9" s="1"/>
  <c r="P175" i="9"/>
  <c r="Q175" i="9" s="1"/>
  <c r="N175" i="9"/>
  <c r="O175" i="9" s="1"/>
  <c r="L175" i="9"/>
  <c r="M175" i="9" s="1"/>
  <c r="J175" i="9"/>
  <c r="K175" i="9" s="1"/>
  <c r="H175" i="9"/>
  <c r="I175" i="9" s="1"/>
  <c r="F175" i="9"/>
  <c r="G175" i="9" s="1"/>
  <c r="E175" i="9"/>
  <c r="AB174" i="9"/>
  <c r="AC174" i="9" s="1"/>
  <c r="Z174" i="9"/>
  <c r="X174" i="9"/>
  <c r="V174" i="9"/>
  <c r="W174" i="9" s="1"/>
  <c r="T174" i="9"/>
  <c r="U174" i="9" s="1"/>
  <c r="R174" i="9"/>
  <c r="S174" i="9" s="1"/>
  <c r="P174" i="9"/>
  <c r="Q174" i="9" s="1"/>
  <c r="N174" i="9"/>
  <c r="O174" i="9" s="1"/>
  <c r="L174" i="9"/>
  <c r="M174" i="9" s="1"/>
  <c r="J174" i="9"/>
  <c r="K174" i="9" s="1"/>
  <c r="H174" i="9"/>
  <c r="I174" i="9" s="1"/>
  <c r="F174" i="9"/>
  <c r="G174" i="9" s="1"/>
  <c r="E174" i="9"/>
  <c r="AB173" i="9"/>
  <c r="AC173" i="9" s="1"/>
  <c r="Z173" i="9"/>
  <c r="X173" i="9"/>
  <c r="V173" i="9"/>
  <c r="W173" i="9" s="1"/>
  <c r="T173" i="9"/>
  <c r="U173" i="9" s="1"/>
  <c r="R173" i="9"/>
  <c r="S173" i="9" s="1"/>
  <c r="P173" i="9"/>
  <c r="Q173" i="9" s="1"/>
  <c r="N173" i="9"/>
  <c r="O173" i="9" s="1"/>
  <c r="L173" i="9"/>
  <c r="M173" i="9" s="1"/>
  <c r="J173" i="9"/>
  <c r="K173" i="9" s="1"/>
  <c r="H173" i="9"/>
  <c r="I173" i="9" s="1"/>
  <c r="F173" i="9"/>
  <c r="G173" i="9" s="1"/>
  <c r="E173" i="9"/>
  <c r="AB172" i="9"/>
  <c r="AC172" i="9" s="1"/>
  <c r="Z172" i="9"/>
  <c r="X172" i="9"/>
  <c r="V172" i="9"/>
  <c r="W172" i="9" s="1"/>
  <c r="T172" i="9"/>
  <c r="U172" i="9" s="1"/>
  <c r="R172" i="9"/>
  <c r="S172" i="9" s="1"/>
  <c r="P172" i="9"/>
  <c r="Q172" i="9" s="1"/>
  <c r="N172" i="9"/>
  <c r="O172" i="9" s="1"/>
  <c r="L172" i="9"/>
  <c r="M172" i="9" s="1"/>
  <c r="J172" i="9"/>
  <c r="K172" i="9" s="1"/>
  <c r="H172" i="9"/>
  <c r="I172" i="9" s="1"/>
  <c r="F172" i="9"/>
  <c r="G172" i="9" s="1"/>
  <c r="E172" i="9"/>
  <c r="AB171" i="9"/>
  <c r="AC171" i="9" s="1"/>
  <c r="Z171" i="9"/>
  <c r="X171" i="9"/>
  <c r="V171" i="9"/>
  <c r="W171" i="9" s="1"/>
  <c r="T171" i="9"/>
  <c r="U171" i="9" s="1"/>
  <c r="R171" i="9"/>
  <c r="S171" i="9" s="1"/>
  <c r="P171" i="9"/>
  <c r="Q171" i="9" s="1"/>
  <c r="N171" i="9"/>
  <c r="O171" i="9" s="1"/>
  <c r="L171" i="9"/>
  <c r="M171" i="9" s="1"/>
  <c r="J171" i="9"/>
  <c r="K171" i="9" s="1"/>
  <c r="H171" i="9"/>
  <c r="I171" i="9" s="1"/>
  <c r="F171" i="9"/>
  <c r="G171" i="9" s="1"/>
  <c r="E171" i="9"/>
  <c r="AB170" i="9"/>
  <c r="AC170" i="9" s="1"/>
  <c r="Z170" i="9"/>
  <c r="X170" i="9"/>
  <c r="V170" i="9"/>
  <c r="W170" i="9" s="1"/>
  <c r="T170" i="9"/>
  <c r="U170" i="9" s="1"/>
  <c r="R170" i="9"/>
  <c r="S170" i="9" s="1"/>
  <c r="P170" i="9"/>
  <c r="Q170" i="9" s="1"/>
  <c r="N170" i="9"/>
  <c r="O170" i="9" s="1"/>
  <c r="L170" i="9"/>
  <c r="M170" i="9" s="1"/>
  <c r="J170" i="9"/>
  <c r="K170" i="9" s="1"/>
  <c r="H170" i="9"/>
  <c r="I170" i="9" s="1"/>
  <c r="F170" i="9"/>
  <c r="G170" i="9" s="1"/>
  <c r="E170" i="9"/>
  <c r="AB169" i="9"/>
  <c r="AC169" i="9" s="1"/>
  <c r="Z169" i="9"/>
  <c r="X169" i="9"/>
  <c r="V169" i="9"/>
  <c r="W169" i="9" s="1"/>
  <c r="T169" i="9"/>
  <c r="U169" i="9" s="1"/>
  <c r="R169" i="9"/>
  <c r="S169" i="9" s="1"/>
  <c r="P169" i="9"/>
  <c r="Q169" i="9" s="1"/>
  <c r="N169" i="9"/>
  <c r="O169" i="9" s="1"/>
  <c r="L169" i="9"/>
  <c r="M169" i="9" s="1"/>
  <c r="J169" i="9"/>
  <c r="K169" i="9" s="1"/>
  <c r="H169" i="9"/>
  <c r="I169" i="9" s="1"/>
  <c r="F169" i="9"/>
  <c r="G169" i="9" s="1"/>
  <c r="E169" i="9"/>
  <c r="AB168" i="9"/>
  <c r="AC168" i="9" s="1"/>
  <c r="Z168" i="9"/>
  <c r="X168" i="9"/>
  <c r="V168" i="9"/>
  <c r="W168" i="9" s="1"/>
  <c r="T168" i="9"/>
  <c r="U168" i="9" s="1"/>
  <c r="R168" i="9"/>
  <c r="S168" i="9" s="1"/>
  <c r="P168" i="9"/>
  <c r="Q168" i="9" s="1"/>
  <c r="N168" i="9"/>
  <c r="O168" i="9" s="1"/>
  <c r="L168" i="9"/>
  <c r="M168" i="9" s="1"/>
  <c r="J168" i="9"/>
  <c r="K168" i="9" s="1"/>
  <c r="H168" i="9"/>
  <c r="I168" i="9" s="1"/>
  <c r="F168" i="9"/>
  <c r="G168" i="9" s="1"/>
  <c r="E168" i="9"/>
  <c r="AB167" i="9"/>
  <c r="AC167" i="9" s="1"/>
  <c r="Z167" i="9"/>
  <c r="X167" i="9"/>
  <c r="V167" i="9"/>
  <c r="W167" i="9" s="1"/>
  <c r="T167" i="9"/>
  <c r="U167" i="9" s="1"/>
  <c r="R167" i="9"/>
  <c r="S167" i="9" s="1"/>
  <c r="P167" i="9"/>
  <c r="Q167" i="9" s="1"/>
  <c r="N167" i="9"/>
  <c r="O167" i="9" s="1"/>
  <c r="L167" i="9"/>
  <c r="M167" i="9" s="1"/>
  <c r="J167" i="9"/>
  <c r="K167" i="9" s="1"/>
  <c r="H167" i="9"/>
  <c r="I167" i="9" s="1"/>
  <c r="F167" i="9"/>
  <c r="G167" i="9" s="1"/>
  <c r="E167" i="9"/>
  <c r="AB166" i="9"/>
  <c r="AC166" i="9" s="1"/>
  <c r="Z166" i="9"/>
  <c r="X166" i="9"/>
  <c r="V166" i="9"/>
  <c r="W166" i="9" s="1"/>
  <c r="T166" i="9"/>
  <c r="U166" i="9" s="1"/>
  <c r="R166" i="9"/>
  <c r="S166" i="9" s="1"/>
  <c r="P166" i="9"/>
  <c r="Q166" i="9" s="1"/>
  <c r="N166" i="9"/>
  <c r="O166" i="9" s="1"/>
  <c r="L166" i="9"/>
  <c r="M166" i="9" s="1"/>
  <c r="J166" i="9"/>
  <c r="K166" i="9" s="1"/>
  <c r="H166" i="9"/>
  <c r="I166" i="9" s="1"/>
  <c r="F166" i="9"/>
  <c r="G166" i="9" s="1"/>
  <c r="E166" i="9"/>
  <c r="AB165" i="9"/>
  <c r="AC165" i="9" s="1"/>
  <c r="Z165" i="9"/>
  <c r="X165" i="9"/>
  <c r="V165" i="9"/>
  <c r="W165" i="9" s="1"/>
  <c r="T165" i="9"/>
  <c r="U165" i="9" s="1"/>
  <c r="R165" i="9"/>
  <c r="S165" i="9" s="1"/>
  <c r="P165" i="9"/>
  <c r="Q165" i="9" s="1"/>
  <c r="N165" i="9"/>
  <c r="O165" i="9" s="1"/>
  <c r="L165" i="9"/>
  <c r="M165" i="9" s="1"/>
  <c r="J165" i="9"/>
  <c r="K165" i="9" s="1"/>
  <c r="H165" i="9"/>
  <c r="I165" i="9" s="1"/>
  <c r="F165" i="9"/>
  <c r="G165" i="9" s="1"/>
  <c r="E165" i="9"/>
  <c r="AB164" i="9"/>
  <c r="AC164" i="9" s="1"/>
  <c r="Z164" i="9"/>
  <c r="X164" i="9"/>
  <c r="V164" i="9"/>
  <c r="W164" i="9" s="1"/>
  <c r="T164" i="9"/>
  <c r="U164" i="9" s="1"/>
  <c r="R164" i="9"/>
  <c r="S164" i="9" s="1"/>
  <c r="P164" i="9"/>
  <c r="Q164" i="9" s="1"/>
  <c r="N164" i="9"/>
  <c r="O164" i="9" s="1"/>
  <c r="L164" i="9"/>
  <c r="M164" i="9" s="1"/>
  <c r="J164" i="9"/>
  <c r="K164" i="9" s="1"/>
  <c r="H164" i="9"/>
  <c r="I164" i="9" s="1"/>
  <c r="F164" i="9"/>
  <c r="G164" i="9" s="1"/>
  <c r="E164" i="9"/>
  <c r="AB163" i="9"/>
  <c r="AC163" i="9" s="1"/>
  <c r="Z163" i="9"/>
  <c r="X163" i="9"/>
  <c r="V163" i="9"/>
  <c r="W163" i="9" s="1"/>
  <c r="T163" i="9"/>
  <c r="U163" i="9" s="1"/>
  <c r="R163" i="9"/>
  <c r="S163" i="9" s="1"/>
  <c r="P163" i="9"/>
  <c r="Q163" i="9" s="1"/>
  <c r="N163" i="9"/>
  <c r="O163" i="9" s="1"/>
  <c r="L163" i="9"/>
  <c r="M163" i="9" s="1"/>
  <c r="J163" i="9"/>
  <c r="K163" i="9" s="1"/>
  <c r="H163" i="9"/>
  <c r="I163" i="9" s="1"/>
  <c r="F163" i="9"/>
  <c r="G163" i="9" s="1"/>
  <c r="E163" i="9"/>
  <c r="AB162" i="9"/>
  <c r="AC162" i="9" s="1"/>
  <c r="Z162" i="9"/>
  <c r="X162" i="9"/>
  <c r="V162" i="9"/>
  <c r="W162" i="9" s="1"/>
  <c r="T162" i="9"/>
  <c r="U162" i="9" s="1"/>
  <c r="R162" i="9"/>
  <c r="S162" i="9" s="1"/>
  <c r="P162" i="9"/>
  <c r="Q162" i="9" s="1"/>
  <c r="N162" i="9"/>
  <c r="O162" i="9" s="1"/>
  <c r="L162" i="9"/>
  <c r="M162" i="9" s="1"/>
  <c r="J162" i="9"/>
  <c r="K162" i="9" s="1"/>
  <c r="H162" i="9"/>
  <c r="I162" i="9" s="1"/>
  <c r="F162" i="9"/>
  <c r="G162" i="9" s="1"/>
  <c r="E162" i="9"/>
  <c r="AB161" i="9"/>
  <c r="AC161" i="9" s="1"/>
  <c r="Z161" i="9"/>
  <c r="X161" i="9"/>
  <c r="V161" i="9"/>
  <c r="W161" i="9" s="1"/>
  <c r="T161" i="9"/>
  <c r="U161" i="9" s="1"/>
  <c r="R161" i="9"/>
  <c r="S161" i="9" s="1"/>
  <c r="P161" i="9"/>
  <c r="Q161" i="9" s="1"/>
  <c r="N161" i="9"/>
  <c r="O161" i="9" s="1"/>
  <c r="L161" i="9"/>
  <c r="M161" i="9" s="1"/>
  <c r="J161" i="9"/>
  <c r="K161" i="9" s="1"/>
  <c r="H161" i="9"/>
  <c r="I161" i="9" s="1"/>
  <c r="F161" i="9"/>
  <c r="G161" i="9" s="1"/>
  <c r="E161" i="9"/>
  <c r="AB160" i="9"/>
  <c r="AC160" i="9" s="1"/>
  <c r="Z160" i="9"/>
  <c r="X160" i="9"/>
  <c r="V160" i="9"/>
  <c r="W160" i="9" s="1"/>
  <c r="T160" i="9"/>
  <c r="U160" i="9" s="1"/>
  <c r="R160" i="9"/>
  <c r="S160" i="9" s="1"/>
  <c r="P160" i="9"/>
  <c r="Q160" i="9" s="1"/>
  <c r="N160" i="9"/>
  <c r="O160" i="9" s="1"/>
  <c r="L160" i="9"/>
  <c r="M160" i="9" s="1"/>
  <c r="J160" i="9"/>
  <c r="K160" i="9" s="1"/>
  <c r="H160" i="9"/>
  <c r="I160" i="9" s="1"/>
  <c r="F160" i="9"/>
  <c r="G160" i="9" s="1"/>
  <c r="E160" i="9"/>
  <c r="AB159" i="9"/>
  <c r="AC159" i="9" s="1"/>
  <c r="Z159" i="9"/>
  <c r="X159" i="9"/>
  <c r="V159" i="9"/>
  <c r="W159" i="9" s="1"/>
  <c r="T159" i="9"/>
  <c r="U159" i="9" s="1"/>
  <c r="R159" i="9"/>
  <c r="S159" i="9" s="1"/>
  <c r="P159" i="9"/>
  <c r="Q159" i="9" s="1"/>
  <c r="N159" i="9"/>
  <c r="O159" i="9" s="1"/>
  <c r="L159" i="9"/>
  <c r="M159" i="9" s="1"/>
  <c r="J159" i="9"/>
  <c r="K159" i="9" s="1"/>
  <c r="H159" i="9"/>
  <c r="I159" i="9" s="1"/>
  <c r="F159" i="9"/>
  <c r="G159" i="9" s="1"/>
  <c r="E159" i="9"/>
  <c r="AB158" i="9"/>
  <c r="AC158" i="9" s="1"/>
  <c r="Z158" i="9"/>
  <c r="X158" i="9"/>
  <c r="V158" i="9"/>
  <c r="W158" i="9" s="1"/>
  <c r="T158" i="9"/>
  <c r="U158" i="9" s="1"/>
  <c r="R158" i="9"/>
  <c r="S158" i="9" s="1"/>
  <c r="P158" i="9"/>
  <c r="Q158" i="9" s="1"/>
  <c r="N158" i="9"/>
  <c r="O158" i="9" s="1"/>
  <c r="L158" i="9"/>
  <c r="M158" i="9" s="1"/>
  <c r="J158" i="9"/>
  <c r="K158" i="9" s="1"/>
  <c r="H158" i="9"/>
  <c r="I158" i="9" s="1"/>
  <c r="F158" i="9"/>
  <c r="G158" i="9" s="1"/>
  <c r="E158" i="9"/>
  <c r="AB157" i="9"/>
  <c r="AC157" i="9" s="1"/>
  <c r="Z157" i="9"/>
  <c r="X157" i="9"/>
  <c r="V157" i="9"/>
  <c r="W157" i="9" s="1"/>
  <c r="T157" i="9"/>
  <c r="U157" i="9" s="1"/>
  <c r="R157" i="9"/>
  <c r="S157" i="9" s="1"/>
  <c r="P157" i="9"/>
  <c r="Q157" i="9" s="1"/>
  <c r="N157" i="9"/>
  <c r="O157" i="9" s="1"/>
  <c r="L157" i="9"/>
  <c r="M157" i="9" s="1"/>
  <c r="J157" i="9"/>
  <c r="K157" i="9" s="1"/>
  <c r="H157" i="9"/>
  <c r="I157" i="9" s="1"/>
  <c r="F157" i="9"/>
  <c r="G157" i="9" s="1"/>
  <c r="E157" i="9"/>
  <c r="AB156" i="9"/>
  <c r="AC156" i="9" s="1"/>
  <c r="Z156" i="9"/>
  <c r="X156" i="9"/>
  <c r="V156" i="9"/>
  <c r="W156" i="9" s="1"/>
  <c r="T156" i="9"/>
  <c r="U156" i="9" s="1"/>
  <c r="R156" i="9"/>
  <c r="S156" i="9" s="1"/>
  <c r="P156" i="9"/>
  <c r="Q156" i="9" s="1"/>
  <c r="N156" i="9"/>
  <c r="O156" i="9" s="1"/>
  <c r="L156" i="9"/>
  <c r="M156" i="9" s="1"/>
  <c r="J156" i="9"/>
  <c r="K156" i="9" s="1"/>
  <c r="H156" i="9"/>
  <c r="I156" i="9" s="1"/>
  <c r="F156" i="9"/>
  <c r="G156" i="9" s="1"/>
  <c r="E156" i="9"/>
  <c r="AB155" i="9"/>
  <c r="AC155" i="9" s="1"/>
  <c r="Z155" i="9"/>
  <c r="X155" i="9"/>
  <c r="V155" i="9"/>
  <c r="W155" i="9" s="1"/>
  <c r="T155" i="9"/>
  <c r="U155" i="9" s="1"/>
  <c r="R155" i="9"/>
  <c r="S155" i="9" s="1"/>
  <c r="P155" i="9"/>
  <c r="Q155" i="9" s="1"/>
  <c r="N155" i="9"/>
  <c r="O155" i="9" s="1"/>
  <c r="L155" i="9"/>
  <c r="M155" i="9" s="1"/>
  <c r="J155" i="9"/>
  <c r="K155" i="9" s="1"/>
  <c r="H155" i="9"/>
  <c r="I155" i="9" s="1"/>
  <c r="F155" i="9"/>
  <c r="G155" i="9" s="1"/>
  <c r="E155" i="9"/>
  <c r="AB154" i="9"/>
  <c r="AC154" i="9" s="1"/>
  <c r="Z154" i="9"/>
  <c r="X154" i="9"/>
  <c r="V154" i="9"/>
  <c r="W154" i="9" s="1"/>
  <c r="T154" i="9"/>
  <c r="U154" i="9" s="1"/>
  <c r="R154" i="9"/>
  <c r="S154" i="9" s="1"/>
  <c r="P154" i="9"/>
  <c r="Q154" i="9" s="1"/>
  <c r="N154" i="9"/>
  <c r="O154" i="9" s="1"/>
  <c r="L154" i="9"/>
  <c r="M154" i="9" s="1"/>
  <c r="J154" i="9"/>
  <c r="K154" i="9" s="1"/>
  <c r="H154" i="9"/>
  <c r="I154" i="9" s="1"/>
  <c r="F154" i="9"/>
  <c r="G154" i="9" s="1"/>
  <c r="E154" i="9"/>
  <c r="AB153" i="9"/>
  <c r="AC153" i="9" s="1"/>
  <c r="Z153" i="9"/>
  <c r="X153" i="9"/>
  <c r="V153" i="9"/>
  <c r="W153" i="9" s="1"/>
  <c r="T153" i="9"/>
  <c r="U153" i="9" s="1"/>
  <c r="R153" i="9"/>
  <c r="S153" i="9" s="1"/>
  <c r="P153" i="9"/>
  <c r="Q153" i="9" s="1"/>
  <c r="N153" i="9"/>
  <c r="O153" i="9" s="1"/>
  <c r="L153" i="9"/>
  <c r="M153" i="9" s="1"/>
  <c r="J153" i="9"/>
  <c r="K153" i="9" s="1"/>
  <c r="H153" i="9"/>
  <c r="I153" i="9" s="1"/>
  <c r="F153" i="9"/>
  <c r="G153" i="9" s="1"/>
  <c r="E153" i="9"/>
  <c r="AB152" i="9"/>
  <c r="AC152" i="9" s="1"/>
  <c r="Z152" i="9"/>
  <c r="X152" i="9"/>
  <c r="V152" i="9"/>
  <c r="W152" i="9" s="1"/>
  <c r="T152" i="9"/>
  <c r="U152" i="9" s="1"/>
  <c r="R152" i="9"/>
  <c r="S152" i="9" s="1"/>
  <c r="P152" i="9"/>
  <c r="Q152" i="9" s="1"/>
  <c r="N152" i="9"/>
  <c r="O152" i="9" s="1"/>
  <c r="L152" i="9"/>
  <c r="M152" i="9" s="1"/>
  <c r="J152" i="9"/>
  <c r="K152" i="9" s="1"/>
  <c r="H152" i="9"/>
  <c r="I152" i="9" s="1"/>
  <c r="F152" i="9"/>
  <c r="G152" i="9" s="1"/>
  <c r="E152" i="9"/>
  <c r="AB151" i="9"/>
  <c r="AC151" i="9" s="1"/>
  <c r="Z151" i="9"/>
  <c r="X151" i="9"/>
  <c r="V151" i="9"/>
  <c r="W151" i="9" s="1"/>
  <c r="T151" i="9"/>
  <c r="U151" i="9" s="1"/>
  <c r="R151" i="9"/>
  <c r="S151" i="9" s="1"/>
  <c r="P151" i="9"/>
  <c r="Q151" i="9" s="1"/>
  <c r="N151" i="9"/>
  <c r="O151" i="9" s="1"/>
  <c r="L151" i="9"/>
  <c r="M151" i="9" s="1"/>
  <c r="J151" i="9"/>
  <c r="K151" i="9" s="1"/>
  <c r="H151" i="9"/>
  <c r="I151" i="9" s="1"/>
  <c r="F151" i="9"/>
  <c r="G151" i="9" s="1"/>
  <c r="E151" i="9"/>
  <c r="AB150" i="9"/>
  <c r="AC150" i="9" s="1"/>
  <c r="Z150" i="9"/>
  <c r="X150" i="9"/>
  <c r="V150" i="9"/>
  <c r="W150" i="9" s="1"/>
  <c r="T150" i="9"/>
  <c r="U150" i="9" s="1"/>
  <c r="R150" i="9"/>
  <c r="S150" i="9" s="1"/>
  <c r="P150" i="9"/>
  <c r="Q150" i="9" s="1"/>
  <c r="N150" i="9"/>
  <c r="O150" i="9" s="1"/>
  <c r="L150" i="9"/>
  <c r="M150" i="9" s="1"/>
  <c r="J150" i="9"/>
  <c r="K150" i="9" s="1"/>
  <c r="H150" i="9"/>
  <c r="I150" i="9" s="1"/>
  <c r="F150" i="9"/>
  <c r="G150" i="9" s="1"/>
  <c r="E150" i="9"/>
  <c r="AB149" i="9"/>
  <c r="AC149" i="9" s="1"/>
  <c r="Z149" i="9"/>
  <c r="X149" i="9"/>
  <c r="V149" i="9"/>
  <c r="W149" i="9" s="1"/>
  <c r="T149" i="9"/>
  <c r="U149" i="9" s="1"/>
  <c r="R149" i="9"/>
  <c r="S149" i="9" s="1"/>
  <c r="P149" i="9"/>
  <c r="Q149" i="9" s="1"/>
  <c r="N149" i="9"/>
  <c r="O149" i="9" s="1"/>
  <c r="L149" i="9"/>
  <c r="M149" i="9" s="1"/>
  <c r="J149" i="9"/>
  <c r="K149" i="9" s="1"/>
  <c r="H149" i="9"/>
  <c r="I149" i="9" s="1"/>
  <c r="F149" i="9"/>
  <c r="G149" i="9" s="1"/>
  <c r="E149" i="9"/>
  <c r="AB148" i="9"/>
  <c r="AC148" i="9" s="1"/>
  <c r="Z148" i="9"/>
  <c r="X148" i="9"/>
  <c r="V148" i="9"/>
  <c r="W148" i="9" s="1"/>
  <c r="T148" i="9"/>
  <c r="U148" i="9" s="1"/>
  <c r="R148" i="9"/>
  <c r="S148" i="9" s="1"/>
  <c r="P148" i="9"/>
  <c r="Q148" i="9" s="1"/>
  <c r="N148" i="9"/>
  <c r="O148" i="9" s="1"/>
  <c r="L148" i="9"/>
  <c r="M148" i="9" s="1"/>
  <c r="J148" i="9"/>
  <c r="K148" i="9" s="1"/>
  <c r="H148" i="9"/>
  <c r="I148" i="9" s="1"/>
  <c r="F148" i="9"/>
  <c r="G148" i="9" s="1"/>
  <c r="E148" i="9"/>
  <c r="AB147" i="9"/>
  <c r="AC147" i="9" s="1"/>
  <c r="Z147" i="9"/>
  <c r="X147" i="9"/>
  <c r="V147" i="9"/>
  <c r="W147" i="9" s="1"/>
  <c r="T147" i="9"/>
  <c r="U147" i="9" s="1"/>
  <c r="R147" i="9"/>
  <c r="S147" i="9" s="1"/>
  <c r="P147" i="9"/>
  <c r="Q147" i="9" s="1"/>
  <c r="N147" i="9"/>
  <c r="O147" i="9" s="1"/>
  <c r="L147" i="9"/>
  <c r="M147" i="9" s="1"/>
  <c r="J147" i="9"/>
  <c r="K147" i="9" s="1"/>
  <c r="H147" i="9"/>
  <c r="I147" i="9" s="1"/>
  <c r="F147" i="9"/>
  <c r="G147" i="9" s="1"/>
  <c r="E147" i="9"/>
  <c r="AB146" i="9"/>
  <c r="AC146" i="9" s="1"/>
  <c r="Z146" i="9"/>
  <c r="X146" i="9"/>
  <c r="V146" i="9"/>
  <c r="W146" i="9" s="1"/>
  <c r="T146" i="9"/>
  <c r="U146" i="9" s="1"/>
  <c r="R146" i="9"/>
  <c r="S146" i="9" s="1"/>
  <c r="P146" i="9"/>
  <c r="Q146" i="9" s="1"/>
  <c r="N146" i="9"/>
  <c r="O146" i="9" s="1"/>
  <c r="L146" i="9"/>
  <c r="M146" i="9" s="1"/>
  <c r="J146" i="9"/>
  <c r="K146" i="9" s="1"/>
  <c r="H146" i="9"/>
  <c r="I146" i="9" s="1"/>
  <c r="F146" i="9"/>
  <c r="G146" i="9" s="1"/>
  <c r="E146" i="9"/>
  <c r="AB145" i="9"/>
  <c r="AC145" i="9" s="1"/>
  <c r="Z145" i="9"/>
  <c r="X145" i="9"/>
  <c r="V145" i="9"/>
  <c r="W145" i="9" s="1"/>
  <c r="T145" i="9"/>
  <c r="U145" i="9" s="1"/>
  <c r="R145" i="9"/>
  <c r="S145" i="9" s="1"/>
  <c r="P145" i="9"/>
  <c r="Q145" i="9" s="1"/>
  <c r="N145" i="9"/>
  <c r="O145" i="9" s="1"/>
  <c r="L145" i="9"/>
  <c r="M145" i="9" s="1"/>
  <c r="J145" i="9"/>
  <c r="K145" i="9" s="1"/>
  <c r="H145" i="9"/>
  <c r="I145" i="9" s="1"/>
  <c r="F145" i="9"/>
  <c r="G145" i="9" s="1"/>
  <c r="E145" i="9"/>
  <c r="AB144" i="9"/>
  <c r="AC144" i="9" s="1"/>
  <c r="Z144" i="9"/>
  <c r="X144" i="9"/>
  <c r="V144" i="9"/>
  <c r="W144" i="9" s="1"/>
  <c r="T144" i="9"/>
  <c r="U144" i="9" s="1"/>
  <c r="R144" i="9"/>
  <c r="S144" i="9" s="1"/>
  <c r="P144" i="9"/>
  <c r="Q144" i="9" s="1"/>
  <c r="N144" i="9"/>
  <c r="O144" i="9" s="1"/>
  <c r="L144" i="9"/>
  <c r="M144" i="9" s="1"/>
  <c r="J144" i="9"/>
  <c r="K144" i="9" s="1"/>
  <c r="H144" i="9"/>
  <c r="I144" i="9" s="1"/>
  <c r="F144" i="9"/>
  <c r="G144" i="9" s="1"/>
  <c r="E144" i="9"/>
  <c r="AB143" i="9"/>
  <c r="AC143" i="9" s="1"/>
  <c r="Z143" i="9"/>
  <c r="X143" i="9"/>
  <c r="V143" i="9"/>
  <c r="W143" i="9" s="1"/>
  <c r="T143" i="9"/>
  <c r="U143" i="9" s="1"/>
  <c r="R143" i="9"/>
  <c r="S143" i="9" s="1"/>
  <c r="P143" i="9"/>
  <c r="Q143" i="9" s="1"/>
  <c r="N143" i="9"/>
  <c r="O143" i="9" s="1"/>
  <c r="L143" i="9"/>
  <c r="M143" i="9" s="1"/>
  <c r="J143" i="9"/>
  <c r="K143" i="9" s="1"/>
  <c r="H143" i="9"/>
  <c r="I143" i="9" s="1"/>
  <c r="F143" i="9"/>
  <c r="G143" i="9" s="1"/>
  <c r="E143" i="9"/>
  <c r="AB142" i="9"/>
  <c r="AC142" i="9" s="1"/>
  <c r="Z142" i="9"/>
  <c r="X142" i="9"/>
  <c r="V142" i="9"/>
  <c r="W142" i="9" s="1"/>
  <c r="T142" i="9"/>
  <c r="U142" i="9" s="1"/>
  <c r="R142" i="9"/>
  <c r="S142" i="9" s="1"/>
  <c r="P142" i="9"/>
  <c r="Q142" i="9" s="1"/>
  <c r="N142" i="9"/>
  <c r="O142" i="9" s="1"/>
  <c r="L142" i="9"/>
  <c r="M142" i="9" s="1"/>
  <c r="J142" i="9"/>
  <c r="K142" i="9" s="1"/>
  <c r="H142" i="9"/>
  <c r="I142" i="9" s="1"/>
  <c r="F142" i="9"/>
  <c r="G142" i="9" s="1"/>
  <c r="E142" i="9"/>
  <c r="AB141" i="9"/>
  <c r="AC141" i="9" s="1"/>
  <c r="Z141" i="9"/>
  <c r="X141" i="9"/>
  <c r="V141" i="9"/>
  <c r="W141" i="9" s="1"/>
  <c r="T141" i="9"/>
  <c r="U141" i="9" s="1"/>
  <c r="R141" i="9"/>
  <c r="S141" i="9" s="1"/>
  <c r="P141" i="9"/>
  <c r="Q141" i="9" s="1"/>
  <c r="N141" i="9"/>
  <c r="O141" i="9" s="1"/>
  <c r="L141" i="9"/>
  <c r="M141" i="9" s="1"/>
  <c r="J141" i="9"/>
  <c r="K141" i="9" s="1"/>
  <c r="H141" i="9"/>
  <c r="I141" i="9" s="1"/>
  <c r="F141" i="9"/>
  <c r="G141" i="9" s="1"/>
  <c r="E141" i="9"/>
  <c r="AB140" i="9"/>
  <c r="AC140" i="9" s="1"/>
  <c r="Z140" i="9"/>
  <c r="X140" i="9"/>
  <c r="V140" i="9"/>
  <c r="W140" i="9" s="1"/>
  <c r="T140" i="9"/>
  <c r="U140" i="9" s="1"/>
  <c r="R140" i="9"/>
  <c r="S140" i="9" s="1"/>
  <c r="P140" i="9"/>
  <c r="Q140" i="9" s="1"/>
  <c r="N140" i="9"/>
  <c r="O140" i="9" s="1"/>
  <c r="L140" i="9"/>
  <c r="M140" i="9" s="1"/>
  <c r="J140" i="9"/>
  <c r="K140" i="9" s="1"/>
  <c r="H140" i="9"/>
  <c r="I140" i="9" s="1"/>
  <c r="F140" i="9"/>
  <c r="G140" i="9" s="1"/>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O64" i="6"/>
  <c r="N64" i="6"/>
  <c r="AF59" i="3"/>
  <c r="Y65" i="3"/>
  <c r="Y62" i="3"/>
  <c r="G63" i="6" s="1"/>
  <c r="Q61" i="3"/>
  <c r="I50" i="1"/>
  <c r="I51" i="1"/>
  <c r="Y47" i="1"/>
  <c r="Y37" i="1"/>
  <c r="Y38" i="1"/>
  <c r="Y35" i="1"/>
  <c r="Y27" i="1"/>
  <c r="Y20" i="1"/>
  <c r="Y21" i="1"/>
  <c r="I20" i="1"/>
  <c r="I21" i="1"/>
  <c r="F21" i="1"/>
  <c r="F20" i="1"/>
  <c r="Y24" i="1"/>
  <c r="F200" i="1"/>
  <c r="F192" i="1"/>
  <c r="F177" i="1"/>
  <c r="F176" i="1"/>
  <c r="F175" i="1"/>
  <c r="F174" i="1"/>
  <c r="F173" i="1"/>
  <c r="F171" i="1"/>
  <c r="F170" i="1"/>
  <c r="F169" i="1"/>
  <c r="F168" i="1"/>
  <c r="F167" i="1"/>
  <c r="F166" i="1"/>
  <c r="F165" i="1"/>
  <c r="F164" i="1"/>
  <c r="F160" i="1"/>
  <c r="F159" i="1"/>
  <c r="F158" i="1"/>
  <c r="F157" i="1"/>
  <c r="F156" i="1"/>
  <c r="F155" i="1"/>
  <c r="F154" i="1"/>
  <c r="F153" i="1"/>
  <c r="F152" i="1"/>
  <c r="F151" i="1"/>
  <c r="F150" i="1"/>
  <c r="F149" i="1"/>
  <c r="F148" i="1"/>
  <c r="F147" i="1"/>
  <c r="F145"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19" i="1"/>
  <c r="F18" i="1"/>
  <c r="F17" i="1"/>
  <c r="F16" i="1"/>
  <c r="F15" i="1"/>
  <c r="F14" i="1"/>
  <c r="F13" i="1"/>
  <c r="F12" i="1"/>
  <c r="F11" i="1"/>
  <c r="F10" i="1"/>
  <c r="F5" i="1"/>
  <c r="F9" i="1"/>
  <c r="F8" i="1"/>
  <c r="F3" i="1"/>
  <c r="F4" i="1"/>
  <c r="F2" i="1"/>
  <c r="Y3" i="1"/>
  <c r="Y4" i="1"/>
  <c r="I5" i="1"/>
  <c r="I4" i="1"/>
  <c r="I3" i="1"/>
  <c r="I2" i="1"/>
  <c r="B9" i="6"/>
  <c r="B4" i="6"/>
  <c r="F3" i="4"/>
  <c r="Q3" i="4"/>
  <c r="U3" i="7" s="1"/>
  <c r="P3" i="4"/>
  <c r="Q3" i="7" s="1"/>
  <c r="O3" i="4"/>
  <c r="O3" i="7" s="1"/>
  <c r="N3" i="4"/>
  <c r="M3" i="7" s="1"/>
  <c r="M3" i="4"/>
  <c r="N3" i="7" s="1"/>
  <c r="L3" i="4"/>
  <c r="L3" i="7" s="1"/>
  <c r="K3" i="4"/>
  <c r="K3" i="7" s="1"/>
  <c r="J3" i="4"/>
  <c r="J3" i="7" s="1"/>
  <c r="H3" i="4"/>
  <c r="P3" i="7" s="1"/>
  <c r="I3" i="4"/>
  <c r="I3" i="7" s="1"/>
  <c r="G3" i="4"/>
  <c r="H3" i="7" s="1"/>
  <c r="F7" i="1"/>
  <c r="F6" i="1"/>
  <c r="Y7" i="1"/>
  <c r="Y6" i="1"/>
  <c r="Y5" i="1"/>
  <c r="Y2" i="1"/>
  <c r="N503" i="6"/>
  <c r="L503" i="6"/>
  <c r="J503" i="6"/>
  <c r="I503" i="6"/>
  <c r="G503" i="6"/>
  <c r="F503" i="6"/>
  <c r="D503" i="6"/>
  <c r="B503" i="6"/>
  <c r="N502" i="6"/>
  <c r="L502" i="6"/>
  <c r="J502" i="6"/>
  <c r="I502" i="6"/>
  <c r="G502" i="6"/>
  <c r="F502" i="6"/>
  <c r="D502" i="6"/>
  <c r="B502" i="6"/>
  <c r="N501" i="6"/>
  <c r="L501" i="6"/>
  <c r="J501" i="6"/>
  <c r="I501" i="6"/>
  <c r="G501" i="6"/>
  <c r="F501" i="6"/>
  <c r="D501" i="6"/>
  <c r="B501" i="6"/>
  <c r="N500" i="6"/>
  <c r="L500" i="6"/>
  <c r="J500" i="6"/>
  <c r="I500" i="6"/>
  <c r="G500" i="6"/>
  <c r="F500" i="6"/>
  <c r="D500" i="6"/>
  <c r="B500" i="6"/>
  <c r="N499" i="6"/>
  <c r="L499" i="6"/>
  <c r="J499" i="6"/>
  <c r="I499" i="6"/>
  <c r="G499" i="6"/>
  <c r="F499" i="6"/>
  <c r="D499" i="6"/>
  <c r="B499" i="6"/>
  <c r="N498" i="6"/>
  <c r="L498" i="6"/>
  <c r="J498" i="6"/>
  <c r="I498" i="6"/>
  <c r="G498" i="6"/>
  <c r="F498" i="6"/>
  <c r="D498" i="6"/>
  <c r="B498" i="6"/>
  <c r="N497" i="6"/>
  <c r="L497" i="6"/>
  <c r="J497" i="6"/>
  <c r="I497" i="6"/>
  <c r="G497" i="6"/>
  <c r="F497" i="6"/>
  <c r="D497" i="6"/>
  <c r="B497" i="6"/>
  <c r="N496" i="6"/>
  <c r="L496" i="6"/>
  <c r="J496" i="6"/>
  <c r="I496" i="6"/>
  <c r="G496" i="6"/>
  <c r="F496" i="6"/>
  <c r="D496" i="6"/>
  <c r="B496" i="6"/>
  <c r="N495" i="6"/>
  <c r="L495" i="6"/>
  <c r="J495" i="6"/>
  <c r="I495" i="6"/>
  <c r="G495" i="6"/>
  <c r="F495" i="6"/>
  <c r="D495" i="6"/>
  <c r="B495" i="6"/>
  <c r="N494" i="6"/>
  <c r="L494" i="6"/>
  <c r="J494" i="6"/>
  <c r="I494" i="6"/>
  <c r="G494" i="6"/>
  <c r="F494" i="6"/>
  <c r="D494" i="6"/>
  <c r="B494" i="6"/>
  <c r="N493" i="6"/>
  <c r="L493" i="6"/>
  <c r="J493" i="6"/>
  <c r="I493" i="6"/>
  <c r="G493" i="6"/>
  <c r="F493" i="6"/>
  <c r="D493" i="6"/>
  <c r="B493" i="6"/>
  <c r="N492" i="6"/>
  <c r="L492" i="6"/>
  <c r="J492" i="6"/>
  <c r="I492" i="6"/>
  <c r="G492" i="6"/>
  <c r="F492" i="6"/>
  <c r="D492" i="6"/>
  <c r="B492" i="6"/>
  <c r="N491" i="6"/>
  <c r="L491" i="6"/>
  <c r="J491" i="6"/>
  <c r="I491" i="6"/>
  <c r="G491" i="6"/>
  <c r="F491" i="6"/>
  <c r="D491" i="6"/>
  <c r="B491" i="6"/>
  <c r="N490" i="6"/>
  <c r="L490" i="6"/>
  <c r="J490" i="6"/>
  <c r="I490" i="6"/>
  <c r="G490" i="6"/>
  <c r="F490" i="6"/>
  <c r="D490" i="6"/>
  <c r="B490" i="6"/>
  <c r="N489" i="6"/>
  <c r="L489" i="6"/>
  <c r="J489" i="6"/>
  <c r="I489" i="6"/>
  <c r="G489" i="6"/>
  <c r="F489" i="6"/>
  <c r="D489" i="6"/>
  <c r="B489" i="6"/>
  <c r="N488" i="6"/>
  <c r="L488" i="6"/>
  <c r="J488" i="6"/>
  <c r="I488" i="6"/>
  <c r="G488" i="6"/>
  <c r="F488" i="6"/>
  <c r="D488" i="6"/>
  <c r="B488" i="6"/>
  <c r="N487" i="6"/>
  <c r="L487" i="6"/>
  <c r="J487" i="6"/>
  <c r="I487" i="6"/>
  <c r="G487" i="6"/>
  <c r="F487" i="6"/>
  <c r="D487" i="6"/>
  <c r="B487" i="6"/>
  <c r="N486" i="6"/>
  <c r="L486" i="6"/>
  <c r="J486" i="6"/>
  <c r="I486" i="6"/>
  <c r="G486" i="6"/>
  <c r="F486" i="6"/>
  <c r="D486" i="6"/>
  <c r="B486" i="6"/>
  <c r="N485" i="6"/>
  <c r="L485" i="6"/>
  <c r="J485" i="6"/>
  <c r="I485" i="6"/>
  <c r="G485" i="6"/>
  <c r="F485" i="6"/>
  <c r="D485" i="6"/>
  <c r="B485" i="6"/>
  <c r="N484" i="6"/>
  <c r="L484" i="6"/>
  <c r="J484" i="6"/>
  <c r="I484" i="6"/>
  <c r="G484" i="6"/>
  <c r="F484" i="6"/>
  <c r="D484" i="6"/>
  <c r="B484" i="6"/>
  <c r="N483" i="6"/>
  <c r="L483" i="6"/>
  <c r="J483" i="6"/>
  <c r="I483" i="6"/>
  <c r="G483" i="6"/>
  <c r="F483" i="6"/>
  <c r="D483" i="6"/>
  <c r="B483" i="6"/>
  <c r="N482" i="6"/>
  <c r="L482" i="6"/>
  <c r="J482" i="6"/>
  <c r="I482" i="6"/>
  <c r="G482" i="6"/>
  <c r="F482" i="6"/>
  <c r="D482" i="6"/>
  <c r="B482" i="6"/>
  <c r="N481" i="6"/>
  <c r="L481" i="6"/>
  <c r="J481" i="6"/>
  <c r="I481" i="6"/>
  <c r="G481" i="6"/>
  <c r="F481" i="6"/>
  <c r="D481" i="6"/>
  <c r="B481" i="6"/>
  <c r="N480" i="6"/>
  <c r="L480" i="6"/>
  <c r="J480" i="6"/>
  <c r="I480" i="6"/>
  <c r="G480" i="6"/>
  <c r="F480" i="6"/>
  <c r="D480" i="6"/>
  <c r="B480" i="6"/>
  <c r="N479" i="6"/>
  <c r="L479" i="6"/>
  <c r="J479" i="6"/>
  <c r="I479" i="6"/>
  <c r="G479" i="6"/>
  <c r="F479" i="6"/>
  <c r="D479" i="6"/>
  <c r="B479" i="6"/>
  <c r="N478" i="6"/>
  <c r="L478" i="6"/>
  <c r="J478" i="6"/>
  <c r="I478" i="6"/>
  <c r="G478" i="6"/>
  <c r="F478" i="6"/>
  <c r="D478" i="6"/>
  <c r="B478" i="6"/>
  <c r="N477" i="6"/>
  <c r="L477" i="6"/>
  <c r="J477" i="6"/>
  <c r="I477" i="6"/>
  <c r="G477" i="6"/>
  <c r="F477" i="6"/>
  <c r="D477" i="6"/>
  <c r="B477" i="6"/>
  <c r="N476" i="6"/>
  <c r="L476" i="6"/>
  <c r="J476" i="6"/>
  <c r="I476" i="6"/>
  <c r="G476" i="6"/>
  <c r="F476" i="6"/>
  <c r="D476" i="6"/>
  <c r="B476" i="6"/>
  <c r="N475" i="6"/>
  <c r="L475" i="6"/>
  <c r="J475" i="6"/>
  <c r="I475" i="6"/>
  <c r="G475" i="6"/>
  <c r="F475" i="6"/>
  <c r="D475" i="6"/>
  <c r="B475" i="6"/>
  <c r="N474" i="6"/>
  <c r="L474" i="6"/>
  <c r="J474" i="6"/>
  <c r="I474" i="6"/>
  <c r="G474" i="6"/>
  <c r="F474" i="6"/>
  <c r="D474" i="6"/>
  <c r="B474" i="6"/>
  <c r="N473" i="6"/>
  <c r="L473" i="6"/>
  <c r="J473" i="6"/>
  <c r="I473" i="6"/>
  <c r="G473" i="6"/>
  <c r="F473" i="6"/>
  <c r="D473" i="6"/>
  <c r="B473" i="6"/>
  <c r="N472" i="6"/>
  <c r="L472" i="6"/>
  <c r="J472" i="6"/>
  <c r="I472" i="6"/>
  <c r="G472" i="6"/>
  <c r="F472" i="6"/>
  <c r="D472" i="6"/>
  <c r="B472" i="6"/>
  <c r="N471" i="6"/>
  <c r="L471" i="6"/>
  <c r="J471" i="6"/>
  <c r="I471" i="6"/>
  <c r="G471" i="6"/>
  <c r="F471" i="6"/>
  <c r="D471" i="6"/>
  <c r="B471" i="6"/>
  <c r="N470" i="6"/>
  <c r="L470" i="6"/>
  <c r="J470" i="6"/>
  <c r="I470" i="6"/>
  <c r="G470" i="6"/>
  <c r="F470" i="6"/>
  <c r="D470" i="6"/>
  <c r="B470" i="6"/>
  <c r="N469" i="6"/>
  <c r="L469" i="6"/>
  <c r="J469" i="6"/>
  <c r="I469" i="6"/>
  <c r="G469" i="6"/>
  <c r="F469" i="6"/>
  <c r="D469" i="6"/>
  <c r="B469" i="6"/>
  <c r="N468" i="6"/>
  <c r="L468" i="6"/>
  <c r="J468" i="6"/>
  <c r="I468" i="6"/>
  <c r="G468" i="6"/>
  <c r="F468" i="6"/>
  <c r="D468" i="6"/>
  <c r="B468" i="6"/>
  <c r="N467" i="6"/>
  <c r="L467" i="6"/>
  <c r="J467" i="6"/>
  <c r="I467" i="6"/>
  <c r="G467" i="6"/>
  <c r="F467" i="6"/>
  <c r="D467" i="6"/>
  <c r="B467" i="6"/>
  <c r="N466" i="6"/>
  <c r="L466" i="6"/>
  <c r="J466" i="6"/>
  <c r="I466" i="6"/>
  <c r="G466" i="6"/>
  <c r="F466" i="6"/>
  <c r="D466" i="6"/>
  <c r="B466" i="6"/>
  <c r="N465" i="6"/>
  <c r="L465" i="6"/>
  <c r="J465" i="6"/>
  <c r="I465" i="6"/>
  <c r="G465" i="6"/>
  <c r="F465" i="6"/>
  <c r="D465" i="6"/>
  <c r="B465" i="6"/>
  <c r="N464" i="6"/>
  <c r="L464" i="6"/>
  <c r="J464" i="6"/>
  <c r="I464" i="6"/>
  <c r="G464" i="6"/>
  <c r="F464" i="6"/>
  <c r="D464" i="6"/>
  <c r="B464" i="6"/>
  <c r="N463" i="6"/>
  <c r="L463" i="6"/>
  <c r="J463" i="6"/>
  <c r="I463" i="6"/>
  <c r="G463" i="6"/>
  <c r="F463" i="6"/>
  <c r="D463" i="6"/>
  <c r="B463" i="6"/>
  <c r="N462" i="6"/>
  <c r="L462" i="6"/>
  <c r="J462" i="6"/>
  <c r="I462" i="6"/>
  <c r="G462" i="6"/>
  <c r="F462" i="6"/>
  <c r="D462" i="6"/>
  <c r="B462" i="6"/>
  <c r="N461" i="6"/>
  <c r="L461" i="6"/>
  <c r="J461" i="6"/>
  <c r="I461" i="6"/>
  <c r="G461" i="6"/>
  <c r="F461" i="6"/>
  <c r="D461" i="6"/>
  <c r="B461" i="6"/>
  <c r="N460" i="6"/>
  <c r="L460" i="6"/>
  <c r="J460" i="6"/>
  <c r="I460" i="6"/>
  <c r="G460" i="6"/>
  <c r="F460" i="6"/>
  <c r="D460" i="6"/>
  <c r="B460" i="6"/>
  <c r="N459" i="6"/>
  <c r="L459" i="6"/>
  <c r="J459" i="6"/>
  <c r="I459" i="6"/>
  <c r="G459" i="6"/>
  <c r="F459" i="6"/>
  <c r="D459" i="6"/>
  <c r="B459" i="6"/>
  <c r="N458" i="6"/>
  <c r="L458" i="6"/>
  <c r="J458" i="6"/>
  <c r="I458" i="6"/>
  <c r="G458" i="6"/>
  <c r="F458" i="6"/>
  <c r="D458" i="6"/>
  <c r="B458" i="6"/>
  <c r="N457" i="6"/>
  <c r="L457" i="6"/>
  <c r="J457" i="6"/>
  <c r="I457" i="6"/>
  <c r="G457" i="6"/>
  <c r="F457" i="6"/>
  <c r="D457" i="6"/>
  <c r="B457" i="6"/>
  <c r="N456" i="6"/>
  <c r="L456" i="6"/>
  <c r="J456" i="6"/>
  <c r="I456" i="6"/>
  <c r="G456" i="6"/>
  <c r="F456" i="6"/>
  <c r="D456" i="6"/>
  <c r="B456" i="6"/>
  <c r="N455" i="6"/>
  <c r="L455" i="6"/>
  <c r="J455" i="6"/>
  <c r="I455" i="6"/>
  <c r="G455" i="6"/>
  <c r="F455" i="6"/>
  <c r="D455" i="6"/>
  <c r="B455" i="6"/>
  <c r="N454" i="6"/>
  <c r="L454" i="6"/>
  <c r="J454" i="6"/>
  <c r="I454" i="6"/>
  <c r="G454" i="6"/>
  <c r="F454" i="6"/>
  <c r="D454" i="6"/>
  <c r="B454" i="6"/>
  <c r="N453" i="6"/>
  <c r="L453" i="6"/>
  <c r="J453" i="6"/>
  <c r="I453" i="6"/>
  <c r="G453" i="6"/>
  <c r="F453" i="6"/>
  <c r="D453" i="6"/>
  <c r="B453" i="6"/>
  <c r="N452" i="6"/>
  <c r="L452" i="6"/>
  <c r="J452" i="6"/>
  <c r="I452" i="6"/>
  <c r="G452" i="6"/>
  <c r="F452" i="6"/>
  <c r="D452" i="6"/>
  <c r="B452" i="6"/>
  <c r="N451" i="6"/>
  <c r="L451" i="6"/>
  <c r="J451" i="6"/>
  <c r="I451" i="6"/>
  <c r="G451" i="6"/>
  <c r="F451" i="6"/>
  <c r="D451" i="6"/>
  <c r="B451" i="6"/>
  <c r="N450" i="6"/>
  <c r="L450" i="6"/>
  <c r="J450" i="6"/>
  <c r="I450" i="6"/>
  <c r="G450" i="6"/>
  <c r="F450" i="6"/>
  <c r="D450" i="6"/>
  <c r="B450" i="6"/>
  <c r="N449" i="6"/>
  <c r="L449" i="6"/>
  <c r="J449" i="6"/>
  <c r="I449" i="6"/>
  <c r="G449" i="6"/>
  <c r="F449" i="6"/>
  <c r="D449" i="6"/>
  <c r="B449" i="6"/>
  <c r="N448" i="6"/>
  <c r="L448" i="6"/>
  <c r="J448" i="6"/>
  <c r="I448" i="6"/>
  <c r="G448" i="6"/>
  <c r="F448" i="6"/>
  <c r="D448" i="6"/>
  <c r="B448" i="6"/>
  <c r="N447" i="6"/>
  <c r="L447" i="6"/>
  <c r="J447" i="6"/>
  <c r="I447" i="6"/>
  <c r="G447" i="6"/>
  <c r="F447" i="6"/>
  <c r="D447" i="6"/>
  <c r="B447" i="6"/>
  <c r="N446" i="6"/>
  <c r="L446" i="6"/>
  <c r="J446" i="6"/>
  <c r="I446" i="6"/>
  <c r="G446" i="6"/>
  <c r="F446" i="6"/>
  <c r="D446" i="6"/>
  <c r="B446" i="6"/>
  <c r="N445" i="6"/>
  <c r="L445" i="6"/>
  <c r="J445" i="6"/>
  <c r="I445" i="6"/>
  <c r="G445" i="6"/>
  <c r="F445" i="6"/>
  <c r="D445" i="6"/>
  <c r="B445" i="6"/>
  <c r="N444" i="6"/>
  <c r="L444" i="6"/>
  <c r="J444" i="6"/>
  <c r="I444" i="6"/>
  <c r="G444" i="6"/>
  <c r="F444" i="6"/>
  <c r="D444" i="6"/>
  <c r="B444" i="6"/>
  <c r="N443" i="6"/>
  <c r="L443" i="6"/>
  <c r="J443" i="6"/>
  <c r="I443" i="6"/>
  <c r="G443" i="6"/>
  <c r="F443" i="6"/>
  <c r="D443" i="6"/>
  <c r="B443" i="6"/>
  <c r="N442" i="6"/>
  <c r="L442" i="6"/>
  <c r="J442" i="6"/>
  <c r="I442" i="6"/>
  <c r="G442" i="6"/>
  <c r="F442" i="6"/>
  <c r="D442" i="6"/>
  <c r="B442" i="6"/>
  <c r="N441" i="6"/>
  <c r="L441" i="6"/>
  <c r="J441" i="6"/>
  <c r="I441" i="6"/>
  <c r="G441" i="6"/>
  <c r="F441" i="6"/>
  <c r="D441" i="6"/>
  <c r="B441" i="6"/>
  <c r="N440" i="6"/>
  <c r="L440" i="6"/>
  <c r="J440" i="6"/>
  <c r="I440" i="6"/>
  <c r="G440" i="6"/>
  <c r="F440" i="6"/>
  <c r="D440" i="6"/>
  <c r="B440" i="6"/>
  <c r="N439" i="6"/>
  <c r="L439" i="6"/>
  <c r="J439" i="6"/>
  <c r="I439" i="6"/>
  <c r="G439" i="6"/>
  <c r="F439" i="6"/>
  <c r="D439" i="6"/>
  <c r="B439" i="6"/>
  <c r="N438" i="6"/>
  <c r="L438" i="6"/>
  <c r="J438" i="6"/>
  <c r="I438" i="6"/>
  <c r="G438" i="6"/>
  <c r="F438" i="6"/>
  <c r="D438" i="6"/>
  <c r="B438" i="6"/>
  <c r="N437" i="6"/>
  <c r="L437" i="6"/>
  <c r="J437" i="6"/>
  <c r="I437" i="6"/>
  <c r="G437" i="6"/>
  <c r="F437" i="6"/>
  <c r="D437" i="6"/>
  <c r="B437" i="6"/>
  <c r="N436" i="6"/>
  <c r="L436" i="6"/>
  <c r="J436" i="6"/>
  <c r="I436" i="6"/>
  <c r="G436" i="6"/>
  <c r="F436" i="6"/>
  <c r="D436" i="6"/>
  <c r="B436" i="6"/>
  <c r="N435" i="6"/>
  <c r="L435" i="6"/>
  <c r="J435" i="6"/>
  <c r="I435" i="6"/>
  <c r="G435" i="6"/>
  <c r="F435" i="6"/>
  <c r="D435" i="6"/>
  <c r="B435" i="6"/>
  <c r="N434" i="6"/>
  <c r="L434" i="6"/>
  <c r="J434" i="6"/>
  <c r="I434" i="6"/>
  <c r="G434" i="6"/>
  <c r="F434" i="6"/>
  <c r="D434" i="6"/>
  <c r="B434" i="6"/>
  <c r="N433" i="6"/>
  <c r="L433" i="6"/>
  <c r="J433" i="6"/>
  <c r="I433" i="6"/>
  <c r="G433" i="6"/>
  <c r="F433" i="6"/>
  <c r="D433" i="6"/>
  <c r="B433" i="6"/>
  <c r="N432" i="6"/>
  <c r="L432" i="6"/>
  <c r="J432" i="6"/>
  <c r="I432" i="6"/>
  <c r="G432" i="6"/>
  <c r="F432" i="6"/>
  <c r="D432" i="6"/>
  <c r="B432" i="6"/>
  <c r="N431" i="6"/>
  <c r="L431" i="6"/>
  <c r="J431" i="6"/>
  <c r="I431" i="6"/>
  <c r="G431" i="6"/>
  <c r="F431" i="6"/>
  <c r="D431" i="6"/>
  <c r="B431" i="6"/>
  <c r="N430" i="6"/>
  <c r="L430" i="6"/>
  <c r="J430" i="6"/>
  <c r="I430" i="6"/>
  <c r="G430" i="6"/>
  <c r="F430" i="6"/>
  <c r="D430" i="6"/>
  <c r="B430" i="6"/>
  <c r="N429" i="6"/>
  <c r="L429" i="6"/>
  <c r="J429" i="6"/>
  <c r="I429" i="6"/>
  <c r="G429" i="6"/>
  <c r="F429" i="6"/>
  <c r="D429" i="6"/>
  <c r="B429" i="6"/>
  <c r="N428" i="6"/>
  <c r="L428" i="6"/>
  <c r="J428" i="6"/>
  <c r="I428" i="6"/>
  <c r="G428" i="6"/>
  <c r="F428" i="6"/>
  <c r="D428" i="6"/>
  <c r="B428" i="6"/>
  <c r="N427" i="6"/>
  <c r="L427" i="6"/>
  <c r="J427" i="6"/>
  <c r="I427" i="6"/>
  <c r="G427" i="6"/>
  <c r="F427" i="6"/>
  <c r="D427" i="6"/>
  <c r="B427" i="6"/>
  <c r="N426" i="6"/>
  <c r="L426" i="6"/>
  <c r="J426" i="6"/>
  <c r="I426" i="6"/>
  <c r="G426" i="6"/>
  <c r="F426" i="6"/>
  <c r="D426" i="6"/>
  <c r="B426" i="6"/>
  <c r="N425" i="6"/>
  <c r="L425" i="6"/>
  <c r="J425" i="6"/>
  <c r="I425" i="6"/>
  <c r="G425" i="6"/>
  <c r="F425" i="6"/>
  <c r="D425" i="6"/>
  <c r="B425" i="6"/>
  <c r="N424" i="6"/>
  <c r="L424" i="6"/>
  <c r="J424" i="6"/>
  <c r="I424" i="6"/>
  <c r="G424" i="6"/>
  <c r="F424" i="6"/>
  <c r="D424" i="6"/>
  <c r="B424" i="6"/>
  <c r="N423" i="6"/>
  <c r="L423" i="6"/>
  <c r="J423" i="6"/>
  <c r="I423" i="6"/>
  <c r="G423" i="6"/>
  <c r="F423" i="6"/>
  <c r="D423" i="6"/>
  <c r="B423" i="6"/>
  <c r="N422" i="6"/>
  <c r="L422" i="6"/>
  <c r="J422" i="6"/>
  <c r="I422" i="6"/>
  <c r="G422" i="6"/>
  <c r="F422" i="6"/>
  <c r="D422" i="6"/>
  <c r="B422" i="6"/>
  <c r="N421" i="6"/>
  <c r="L421" i="6"/>
  <c r="J421" i="6"/>
  <c r="I421" i="6"/>
  <c r="G421" i="6"/>
  <c r="F421" i="6"/>
  <c r="D421" i="6"/>
  <c r="B421" i="6"/>
  <c r="N420" i="6"/>
  <c r="L420" i="6"/>
  <c r="J420" i="6"/>
  <c r="I420" i="6"/>
  <c r="G420" i="6"/>
  <c r="F420" i="6"/>
  <c r="D420" i="6"/>
  <c r="B420" i="6"/>
  <c r="N419" i="6"/>
  <c r="L419" i="6"/>
  <c r="J419" i="6"/>
  <c r="I419" i="6"/>
  <c r="G419" i="6"/>
  <c r="F419" i="6"/>
  <c r="D419" i="6"/>
  <c r="B419" i="6"/>
  <c r="N418" i="6"/>
  <c r="L418" i="6"/>
  <c r="J418" i="6"/>
  <c r="I418" i="6"/>
  <c r="G418" i="6"/>
  <c r="F418" i="6"/>
  <c r="D418" i="6"/>
  <c r="B418" i="6"/>
  <c r="N417" i="6"/>
  <c r="L417" i="6"/>
  <c r="J417" i="6"/>
  <c r="I417" i="6"/>
  <c r="G417" i="6"/>
  <c r="F417" i="6"/>
  <c r="D417" i="6"/>
  <c r="B417" i="6"/>
  <c r="N416" i="6"/>
  <c r="L416" i="6"/>
  <c r="J416" i="6"/>
  <c r="I416" i="6"/>
  <c r="G416" i="6"/>
  <c r="F416" i="6"/>
  <c r="D416" i="6"/>
  <c r="B416" i="6"/>
  <c r="N415" i="6"/>
  <c r="L415" i="6"/>
  <c r="J415" i="6"/>
  <c r="I415" i="6"/>
  <c r="G415" i="6"/>
  <c r="F415" i="6"/>
  <c r="D415" i="6"/>
  <c r="B415" i="6"/>
  <c r="N414" i="6"/>
  <c r="L414" i="6"/>
  <c r="J414" i="6"/>
  <c r="I414" i="6"/>
  <c r="G414" i="6"/>
  <c r="F414" i="6"/>
  <c r="D414" i="6"/>
  <c r="B414" i="6"/>
  <c r="N413" i="6"/>
  <c r="L413" i="6"/>
  <c r="J413" i="6"/>
  <c r="I413" i="6"/>
  <c r="G413" i="6"/>
  <c r="F413" i="6"/>
  <c r="D413" i="6"/>
  <c r="B413" i="6"/>
  <c r="N412" i="6"/>
  <c r="L412" i="6"/>
  <c r="J412" i="6"/>
  <c r="I412" i="6"/>
  <c r="G412" i="6"/>
  <c r="F412" i="6"/>
  <c r="D412" i="6"/>
  <c r="B412" i="6"/>
  <c r="N411" i="6"/>
  <c r="L411" i="6"/>
  <c r="J411" i="6"/>
  <c r="I411" i="6"/>
  <c r="G411" i="6"/>
  <c r="F411" i="6"/>
  <c r="D411" i="6"/>
  <c r="B411" i="6"/>
  <c r="N410" i="6"/>
  <c r="L410" i="6"/>
  <c r="J410" i="6"/>
  <c r="I410" i="6"/>
  <c r="G410" i="6"/>
  <c r="F410" i="6"/>
  <c r="D410" i="6"/>
  <c r="B410" i="6"/>
  <c r="N409" i="6"/>
  <c r="L409" i="6"/>
  <c r="J409" i="6"/>
  <c r="I409" i="6"/>
  <c r="G409" i="6"/>
  <c r="F409" i="6"/>
  <c r="D409" i="6"/>
  <c r="B409" i="6"/>
  <c r="N408" i="6"/>
  <c r="L408" i="6"/>
  <c r="J408" i="6"/>
  <c r="I408" i="6"/>
  <c r="G408" i="6"/>
  <c r="F408" i="6"/>
  <c r="D408" i="6"/>
  <c r="B408" i="6"/>
  <c r="N407" i="6"/>
  <c r="L407" i="6"/>
  <c r="J407" i="6"/>
  <c r="I407" i="6"/>
  <c r="G407" i="6"/>
  <c r="F407" i="6"/>
  <c r="D407" i="6"/>
  <c r="B407" i="6"/>
  <c r="N406" i="6"/>
  <c r="L406" i="6"/>
  <c r="J406" i="6"/>
  <c r="I406" i="6"/>
  <c r="G406" i="6"/>
  <c r="F406" i="6"/>
  <c r="D406" i="6"/>
  <c r="B406" i="6"/>
  <c r="N405" i="6"/>
  <c r="L405" i="6"/>
  <c r="J405" i="6"/>
  <c r="I405" i="6"/>
  <c r="G405" i="6"/>
  <c r="F405" i="6"/>
  <c r="D405" i="6"/>
  <c r="B405" i="6"/>
  <c r="N404" i="6"/>
  <c r="L404" i="6"/>
  <c r="J404" i="6"/>
  <c r="I404" i="6"/>
  <c r="G404" i="6"/>
  <c r="F404" i="6"/>
  <c r="D404" i="6"/>
  <c r="B404" i="6"/>
  <c r="N403" i="6"/>
  <c r="L403" i="6"/>
  <c r="J403" i="6"/>
  <c r="I403" i="6"/>
  <c r="G403" i="6"/>
  <c r="F403" i="6"/>
  <c r="D403" i="6"/>
  <c r="B403" i="6"/>
  <c r="N402" i="6"/>
  <c r="L402" i="6"/>
  <c r="J402" i="6"/>
  <c r="I402" i="6"/>
  <c r="G402" i="6"/>
  <c r="F402" i="6"/>
  <c r="D402" i="6"/>
  <c r="B402" i="6"/>
  <c r="N401" i="6"/>
  <c r="L401" i="6"/>
  <c r="J401" i="6"/>
  <c r="I401" i="6"/>
  <c r="G401" i="6"/>
  <c r="F401" i="6"/>
  <c r="D401" i="6"/>
  <c r="B401" i="6"/>
  <c r="N400" i="6"/>
  <c r="L400" i="6"/>
  <c r="J400" i="6"/>
  <c r="I400" i="6"/>
  <c r="G400" i="6"/>
  <c r="F400" i="6"/>
  <c r="D400" i="6"/>
  <c r="B400" i="6"/>
  <c r="N399" i="6"/>
  <c r="L399" i="6"/>
  <c r="J399" i="6"/>
  <c r="I399" i="6"/>
  <c r="G399" i="6"/>
  <c r="F399" i="6"/>
  <c r="D399" i="6"/>
  <c r="B399" i="6"/>
  <c r="N398" i="6"/>
  <c r="L398" i="6"/>
  <c r="J398" i="6"/>
  <c r="I398" i="6"/>
  <c r="G398" i="6"/>
  <c r="F398" i="6"/>
  <c r="D398" i="6"/>
  <c r="B398" i="6"/>
  <c r="N397" i="6"/>
  <c r="L397" i="6"/>
  <c r="J397" i="6"/>
  <c r="I397" i="6"/>
  <c r="G397" i="6"/>
  <c r="F397" i="6"/>
  <c r="D397" i="6"/>
  <c r="B397" i="6"/>
  <c r="N396" i="6"/>
  <c r="L396" i="6"/>
  <c r="J396" i="6"/>
  <c r="I396" i="6"/>
  <c r="G396" i="6"/>
  <c r="F396" i="6"/>
  <c r="D396" i="6"/>
  <c r="B396" i="6"/>
  <c r="N395" i="6"/>
  <c r="L395" i="6"/>
  <c r="J395" i="6"/>
  <c r="I395" i="6"/>
  <c r="G395" i="6"/>
  <c r="F395" i="6"/>
  <c r="D395" i="6"/>
  <c r="B395" i="6"/>
  <c r="N394" i="6"/>
  <c r="L394" i="6"/>
  <c r="J394" i="6"/>
  <c r="I394" i="6"/>
  <c r="G394" i="6"/>
  <c r="F394" i="6"/>
  <c r="D394" i="6"/>
  <c r="B394" i="6"/>
  <c r="N393" i="6"/>
  <c r="L393" i="6"/>
  <c r="J393" i="6"/>
  <c r="I393" i="6"/>
  <c r="G393" i="6"/>
  <c r="F393" i="6"/>
  <c r="D393" i="6"/>
  <c r="B393" i="6"/>
  <c r="N392" i="6"/>
  <c r="L392" i="6"/>
  <c r="J392" i="6"/>
  <c r="I392" i="6"/>
  <c r="G392" i="6"/>
  <c r="F392" i="6"/>
  <c r="D392" i="6"/>
  <c r="B392" i="6"/>
  <c r="N391" i="6"/>
  <c r="L391" i="6"/>
  <c r="J391" i="6"/>
  <c r="I391" i="6"/>
  <c r="G391" i="6"/>
  <c r="F391" i="6"/>
  <c r="D391" i="6"/>
  <c r="B391" i="6"/>
  <c r="N390" i="6"/>
  <c r="L390" i="6"/>
  <c r="J390" i="6"/>
  <c r="I390" i="6"/>
  <c r="G390" i="6"/>
  <c r="F390" i="6"/>
  <c r="D390" i="6"/>
  <c r="B390" i="6"/>
  <c r="N389" i="6"/>
  <c r="L389" i="6"/>
  <c r="J389" i="6"/>
  <c r="I389" i="6"/>
  <c r="G389" i="6"/>
  <c r="F389" i="6"/>
  <c r="D389" i="6"/>
  <c r="B389" i="6"/>
  <c r="N388" i="6"/>
  <c r="L388" i="6"/>
  <c r="J388" i="6"/>
  <c r="I388" i="6"/>
  <c r="G388" i="6"/>
  <c r="F388" i="6"/>
  <c r="D388" i="6"/>
  <c r="B388" i="6"/>
  <c r="N387" i="6"/>
  <c r="L387" i="6"/>
  <c r="J387" i="6"/>
  <c r="I387" i="6"/>
  <c r="G387" i="6"/>
  <c r="F387" i="6"/>
  <c r="D387" i="6"/>
  <c r="B387" i="6"/>
  <c r="N386" i="6"/>
  <c r="L386" i="6"/>
  <c r="J386" i="6"/>
  <c r="I386" i="6"/>
  <c r="G386" i="6"/>
  <c r="F386" i="6"/>
  <c r="D386" i="6"/>
  <c r="B386" i="6"/>
  <c r="N385" i="6"/>
  <c r="L385" i="6"/>
  <c r="J385" i="6"/>
  <c r="I385" i="6"/>
  <c r="G385" i="6"/>
  <c r="F385" i="6"/>
  <c r="D385" i="6"/>
  <c r="B385" i="6"/>
  <c r="N384" i="6"/>
  <c r="L384" i="6"/>
  <c r="J384" i="6"/>
  <c r="I384" i="6"/>
  <c r="G384" i="6"/>
  <c r="F384" i="6"/>
  <c r="D384" i="6"/>
  <c r="B384" i="6"/>
  <c r="N383" i="6"/>
  <c r="L383" i="6"/>
  <c r="J383" i="6"/>
  <c r="I383" i="6"/>
  <c r="G383" i="6"/>
  <c r="F383" i="6"/>
  <c r="D383" i="6"/>
  <c r="B383" i="6"/>
  <c r="N382" i="6"/>
  <c r="L382" i="6"/>
  <c r="J382" i="6"/>
  <c r="I382" i="6"/>
  <c r="G382" i="6"/>
  <c r="F382" i="6"/>
  <c r="D382" i="6"/>
  <c r="B382" i="6"/>
  <c r="N381" i="6"/>
  <c r="L381" i="6"/>
  <c r="J381" i="6"/>
  <c r="I381" i="6"/>
  <c r="G381" i="6"/>
  <c r="F381" i="6"/>
  <c r="D381" i="6"/>
  <c r="B381" i="6"/>
  <c r="N380" i="6"/>
  <c r="L380" i="6"/>
  <c r="J380" i="6"/>
  <c r="I380" i="6"/>
  <c r="G380" i="6"/>
  <c r="F380" i="6"/>
  <c r="D380" i="6"/>
  <c r="B380" i="6"/>
  <c r="N379" i="6"/>
  <c r="L379" i="6"/>
  <c r="J379" i="6"/>
  <c r="I379" i="6"/>
  <c r="G379" i="6"/>
  <c r="F379" i="6"/>
  <c r="D379" i="6"/>
  <c r="B379" i="6"/>
  <c r="N378" i="6"/>
  <c r="L378" i="6"/>
  <c r="J378" i="6"/>
  <c r="I378" i="6"/>
  <c r="G378" i="6"/>
  <c r="F378" i="6"/>
  <c r="D378" i="6"/>
  <c r="B378" i="6"/>
  <c r="N377" i="6"/>
  <c r="L377" i="6"/>
  <c r="J377" i="6"/>
  <c r="I377" i="6"/>
  <c r="G377" i="6"/>
  <c r="F377" i="6"/>
  <c r="D377" i="6"/>
  <c r="B377" i="6"/>
  <c r="N376" i="6"/>
  <c r="L376" i="6"/>
  <c r="J376" i="6"/>
  <c r="I376" i="6"/>
  <c r="G376" i="6"/>
  <c r="F376" i="6"/>
  <c r="D376" i="6"/>
  <c r="B376" i="6"/>
  <c r="N375" i="6"/>
  <c r="L375" i="6"/>
  <c r="J375" i="6"/>
  <c r="I375" i="6"/>
  <c r="G375" i="6"/>
  <c r="F375" i="6"/>
  <c r="D375" i="6"/>
  <c r="B375" i="6"/>
  <c r="N374" i="6"/>
  <c r="L374" i="6"/>
  <c r="J374" i="6"/>
  <c r="I374" i="6"/>
  <c r="G374" i="6"/>
  <c r="F374" i="6"/>
  <c r="D374" i="6"/>
  <c r="B374" i="6"/>
  <c r="N373" i="6"/>
  <c r="L373" i="6"/>
  <c r="J373" i="6"/>
  <c r="I373" i="6"/>
  <c r="G373" i="6"/>
  <c r="F373" i="6"/>
  <c r="D373" i="6"/>
  <c r="B373" i="6"/>
  <c r="N372" i="6"/>
  <c r="L372" i="6"/>
  <c r="J372" i="6"/>
  <c r="I372" i="6"/>
  <c r="G372" i="6"/>
  <c r="F372" i="6"/>
  <c r="D372" i="6"/>
  <c r="B372" i="6"/>
  <c r="N371" i="6"/>
  <c r="L371" i="6"/>
  <c r="J371" i="6"/>
  <c r="I371" i="6"/>
  <c r="G371" i="6"/>
  <c r="F371" i="6"/>
  <c r="D371" i="6"/>
  <c r="B371" i="6"/>
  <c r="N370" i="6"/>
  <c r="L370" i="6"/>
  <c r="J370" i="6"/>
  <c r="I370" i="6"/>
  <c r="G370" i="6"/>
  <c r="F370" i="6"/>
  <c r="D370" i="6"/>
  <c r="B370" i="6"/>
  <c r="N369" i="6"/>
  <c r="L369" i="6"/>
  <c r="J369" i="6"/>
  <c r="I369" i="6"/>
  <c r="G369" i="6"/>
  <c r="F369" i="6"/>
  <c r="D369" i="6"/>
  <c r="B369" i="6"/>
  <c r="N368" i="6"/>
  <c r="L368" i="6"/>
  <c r="J368" i="6"/>
  <c r="I368" i="6"/>
  <c r="G368" i="6"/>
  <c r="F368" i="6"/>
  <c r="D368" i="6"/>
  <c r="B368" i="6"/>
  <c r="N367" i="6"/>
  <c r="L367" i="6"/>
  <c r="J367" i="6"/>
  <c r="I367" i="6"/>
  <c r="G367" i="6"/>
  <c r="F367" i="6"/>
  <c r="D367" i="6"/>
  <c r="B367" i="6"/>
  <c r="N366" i="6"/>
  <c r="L366" i="6"/>
  <c r="J366" i="6"/>
  <c r="I366" i="6"/>
  <c r="G366" i="6"/>
  <c r="F366" i="6"/>
  <c r="D366" i="6"/>
  <c r="B366" i="6"/>
  <c r="N365" i="6"/>
  <c r="L365" i="6"/>
  <c r="J365" i="6"/>
  <c r="I365" i="6"/>
  <c r="G365" i="6"/>
  <c r="F365" i="6"/>
  <c r="D365" i="6"/>
  <c r="B365" i="6"/>
  <c r="N364" i="6"/>
  <c r="L364" i="6"/>
  <c r="J364" i="6"/>
  <c r="I364" i="6"/>
  <c r="G364" i="6"/>
  <c r="F364" i="6"/>
  <c r="D364" i="6"/>
  <c r="B364" i="6"/>
  <c r="N363" i="6"/>
  <c r="L363" i="6"/>
  <c r="J363" i="6"/>
  <c r="I363" i="6"/>
  <c r="G363" i="6"/>
  <c r="F363" i="6"/>
  <c r="D363" i="6"/>
  <c r="B363" i="6"/>
  <c r="N362" i="6"/>
  <c r="L362" i="6"/>
  <c r="J362" i="6"/>
  <c r="I362" i="6"/>
  <c r="G362" i="6"/>
  <c r="F362" i="6"/>
  <c r="D362" i="6"/>
  <c r="B362" i="6"/>
  <c r="N361" i="6"/>
  <c r="L361" i="6"/>
  <c r="J361" i="6"/>
  <c r="I361" i="6"/>
  <c r="G361" i="6"/>
  <c r="F361" i="6"/>
  <c r="D361" i="6"/>
  <c r="B361" i="6"/>
  <c r="N360" i="6"/>
  <c r="L360" i="6"/>
  <c r="J360" i="6"/>
  <c r="I360" i="6"/>
  <c r="G360" i="6"/>
  <c r="F360" i="6"/>
  <c r="D360" i="6"/>
  <c r="B360" i="6"/>
  <c r="N359" i="6"/>
  <c r="L359" i="6"/>
  <c r="J359" i="6"/>
  <c r="I359" i="6"/>
  <c r="G359" i="6"/>
  <c r="F359" i="6"/>
  <c r="D359" i="6"/>
  <c r="B359" i="6"/>
  <c r="N358" i="6"/>
  <c r="L358" i="6"/>
  <c r="J358" i="6"/>
  <c r="I358" i="6"/>
  <c r="G358" i="6"/>
  <c r="F358" i="6"/>
  <c r="D358" i="6"/>
  <c r="B358" i="6"/>
  <c r="N357" i="6"/>
  <c r="L357" i="6"/>
  <c r="J357" i="6"/>
  <c r="I357" i="6"/>
  <c r="G357" i="6"/>
  <c r="F357" i="6"/>
  <c r="D357" i="6"/>
  <c r="B357" i="6"/>
  <c r="N356" i="6"/>
  <c r="L356" i="6"/>
  <c r="J356" i="6"/>
  <c r="I356" i="6"/>
  <c r="G356" i="6"/>
  <c r="F356" i="6"/>
  <c r="D356" i="6"/>
  <c r="B356" i="6"/>
  <c r="N355" i="6"/>
  <c r="L355" i="6"/>
  <c r="J355" i="6"/>
  <c r="I355" i="6"/>
  <c r="G355" i="6"/>
  <c r="F355" i="6"/>
  <c r="D355" i="6"/>
  <c r="B355" i="6"/>
  <c r="N354" i="6"/>
  <c r="L354" i="6"/>
  <c r="J354" i="6"/>
  <c r="I354" i="6"/>
  <c r="G354" i="6"/>
  <c r="F354" i="6"/>
  <c r="D354" i="6"/>
  <c r="B354" i="6"/>
  <c r="N353" i="6"/>
  <c r="L353" i="6"/>
  <c r="J353" i="6"/>
  <c r="I353" i="6"/>
  <c r="G353" i="6"/>
  <c r="F353" i="6"/>
  <c r="D353" i="6"/>
  <c r="B353" i="6"/>
  <c r="N352" i="6"/>
  <c r="L352" i="6"/>
  <c r="J352" i="6"/>
  <c r="I352" i="6"/>
  <c r="G352" i="6"/>
  <c r="F352" i="6"/>
  <c r="D352" i="6"/>
  <c r="B352" i="6"/>
  <c r="N351" i="6"/>
  <c r="L351" i="6"/>
  <c r="J351" i="6"/>
  <c r="I351" i="6"/>
  <c r="G351" i="6"/>
  <c r="F351" i="6"/>
  <c r="D351" i="6"/>
  <c r="B351" i="6"/>
  <c r="N350" i="6"/>
  <c r="L350" i="6"/>
  <c r="J350" i="6"/>
  <c r="I350" i="6"/>
  <c r="G350" i="6"/>
  <c r="F350" i="6"/>
  <c r="D350" i="6"/>
  <c r="B350" i="6"/>
  <c r="N349" i="6"/>
  <c r="L349" i="6"/>
  <c r="J349" i="6"/>
  <c r="I349" i="6"/>
  <c r="G349" i="6"/>
  <c r="F349" i="6"/>
  <c r="D349" i="6"/>
  <c r="B349" i="6"/>
  <c r="N348" i="6"/>
  <c r="L348" i="6"/>
  <c r="J348" i="6"/>
  <c r="I348" i="6"/>
  <c r="G348" i="6"/>
  <c r="F348" i="6"/>
  <c r="D348" i="6"/>
  <c r="B348" i="6"/>
  <c r="N347" i="6"/>
  <c r="L347" i="6"/>
  <c r="J347" i="6"/>
  <c r="I347" i="6"/>
  <c r="G347" i="6"/>
  <c r="F347" i="6"/>
  <c r="D347" i="6"/>
  <c r="B347" i="6"/>
  <c r="N346" i="6"/>
  <c r="L346" i="6"/>
  <c r="J346" i="6"/>
  <c r="I346" i="6"/>
  <c r="G346" i="6"/>
  <c r="F346" i="6"/>
  <c r="D346" i="6"/>
  <c r="B346" i="6"/>
  <c r="N345" i="6"/>
  <c r="L345" i="6"/>
  <c r="J345" i="6"/>
  <c r="I345" i="6"/>
  <c r="G345" i="6"/>
  <c r="F345" i="6"/>
  <c r="D345" i="6"/>
  <c r="B345" i="6"/>
  <c r="N344" i="6"/>
  <c r="L344" i="6"/>
  <c r="J344" i="6"/>
  <c r="I344" i="6"/>
  <c r="G344" i="6"/>
  <c r="F344" i="6"/>
  <c r="D344" i="6"/>
  <c r="B344" i="6"/>
  <c r="N343" i="6"/>
  <c r="L343" i="6"/>
  <c r="J343" i="6"/>
  <c r="I343" i="6"/>
  <c r="G343" i="6"/>
  <c r="F343" i="6"/>
  <c r="D343" i="6"/>
  <c r="B343" i="6"/>
  <c r="N342" i="6"/>
  <c r="L342" i="6"/>
  <c r="J342" i="6"/>
  <c r="I342" i="6"/>
  <c r="G342" i="6"/>
  <c r="F342" i="6"/>
  <c r="D342" i="6"/>
  <c r="B342" i="6"/>
  <c r="N341" i="6"/>
  <c r="L341" i="6"/>
  <c r="J341" i="6"/>
  <c r="I341" i="6"/>
  <c r="G341" i="6"/>
  <c r="F341" i="6"/>
  <c r="D341" i="6"/>
  <c r="B341" i="6"/>
  <c r="N340" i="6"/>
  <c r="L340" i="6"/>
  <c r="J340" i="6"/>
  <c r="I340" i="6"/>
  <c r="G340" i="6"/>
  <c r="F340" i="6"/>
  <c r="D340" i="6"/>
  <c r="B340" i="6"/>
  <c r="N339" i="6"/>
  <c r="L339" i="6"/>
  <c r="J339" i="6"/>
  <c r="I339" i="6"/>
  <c r="G339" i="6"/>
  <c r="F339" i="6"/>
  <c r="D339" i="6"/>
  <c r="B339" i="6"/>
  <c r="N338" i="6"/>
  <c r="L338" i="6"/>
  <c r="J338" i="6"/>
  <c r="I338" i="6"/>
  <c r="G338" i="6"/>
  <c r="F338" i="6"/>
  <c r="D338" i="6"/>
  <c r="B338" i="6"/>
  <c r="N337" i="6"/>
  <c r="L337" i="6"/>
  <c r="J337" i="6"/>
  <c r="I337" i="6"/>
  <c r="G337" i="6"/>
  <c r="F337" i="6"/>
  <c r="D337" i="6"/>
  <c r="B337" i="6"/>
  <c r="N336" i="6"/>
  <c r="L336" i="6"/>
  <c r="J336" i="6"/>
  <c r="I336" i="6"/>
  <c r="G336" i="6"/>
  <c r="F336" i="6"/>
  <c r="D336" i="6"/>
  <c r="B336" i="6"/>
  <c r="N335" i="6"/>
  <c r="L335" i="6"/>
  <c r="J335" i="6"/>
  <c r="I335" i="6"/>
  <c r="G335" i="6"/>
  <c r="F335" i="6"/>
  <c r="D335" i="6"/>
  <c r="B335" i="6"/>
  <c r="N334" i="6"/>
  <c r="L334" i="6"/>
  <c r="J334" i="6"/>
  <c r="I334" i="6"/>
  <c r="G334" i="6"/>
  <c r="F334" i="6"/>
  <c r="D334" i="6"/>
  <c r="B334" i="6"/>
  <c r="N333" i="6"/>
  <c r="L333" i="6"/>
  <c r="J333" i="6"/>
  <c r="I333" i="6"/>
  <c r="G333" i="6"/>
  <c r="F333" i="6"/>
  <c r="D333" i="6"/>
  <c r="B333" i="6"/>
  <c r="N332" i="6"/>
  <c r="L332" i="6"/>
  <c r="J332" i="6"/>
  <c r="I332" i="6"/>
  <c r="G332" i="6"/>
  <c r="F332" i="6"/>
  <c r="D332" i="6"/>
  <c r="B332" i="6"/>
  <c r="N331" i="6"/>
  <c r="L331" i="6"/>
  <c r="J331" i="6"/>
  <c r="I331" i="6"/>
  <c r="G331" i="6"/>
  <c r="F331" i="6"/>
  <c r="D331" i="6"/>
  <c r="B331" i="6"/>
  <c r="N330" i="6"/>
  <c r="L330" i="6"/>
  <c r="J330" i="6"/>
  <c r="I330" i="6"/>
  <c r="G330" i="6"/>
  <c r="F330" i="6"/>
  <c r="D330" i="6"/>
  <c r="B330" i="6"/>
  <c r="N329" i="6"/>
  <c r="L329" i="6"/>
  <c r="J329" i="6"/>
  <c r="I329" i="6"/>
  <c r="G329" i="6"/>
  <c r="F329" i="6"/>
  <c r="D329" i="6"/>
  <c r="B329" i="6"/>
  <c r="N328" i="6"/>
  <c r="L328" i="6"/>
  <c r="J328" i="6"/>
  <c r="I328" i="6"/>
  <c r="G328" i="6"/>
  <c r="F328" i="6"/>
  <c r="D328" i="6"/>
  <c r="B328" i="6"/>
  <c r="N327" i="6"/>
  <c r="L327" i="6"/>
  <c r="J327" i="6"/>
  <c r="I327" i="6"/>
  <c r="G327" i="6"/>
  <c r="F327" i="6"/>
  <c r="D327" i="6"/>
  <c r="B327" i="6"/>
  <c r="N326" i="6"/>
  <c r="L326" i="6"/>
  <c r="J326" i="6"/>
  <c r="I326" i="6"/>
  <c r="G326" i="6"/>
  <c r="F326" i="6"/>
  <c r="D326" i="6"/>
  <c r="B326" i="6"/>
  <c r="N325" i="6"/>
  <c r="L325" i="6"/>
  <c r="J325" i="6"/>
  <c r="I325" i="6"/>
  <c r="G325" i="6"/>
  <c r="F325" i="6"/>
  <c r="D325" i="6"/>
  <c r="B325" i="6"/>
  <c r="N324" i="6"/>
  <c r="L324" i="6"/>
  <c r="J324" i="6"/>
  <c r="I324" i="6"/>
  <c r="G324" i="6"/>
  <c r="F324" i="6"/>
  <c r="D324" i="6"/>
  <c r="B324" i="6"/>
  <c r="N323" i="6"/>
  <c r="L323" i="6"/>
  <c r="J323" i="6"/>
  <c r="I323" i="6"/>
  <c r="G323" i="6"/>
  <c r="F323" i="6"/>
  <c r="D323" i="6"/>
  <c r="B323" i="6"/>
  <c r="N322" i="6"/>
  <c r="L322" i="6"/>
  <c r="J322" i="6"/>
  <c r="I322" i="6"/>
  <c r="G322" i="6"/>
  <c r="F322" i="6"/>
  <c r="D322" i="6"/>
  <c r="B322" i="6"/>
  <c r="N321" i="6"/>
  <c r="L321" i="6"/>
  <c r="J321" i="6"/>
  <c r="I321" i="6"/>
  <c r="G321" i="6"/>
  <c r="F321" i="6"/>
  <c r="D321" i="6"/>
  <c r="B321" i="6"/>
  <c r="N320" i="6"/>
  <c r="L320" i="6"/>
  <c r="J320" i="6"/>
  <c r="I320" i="6"/>
  <c r="G320" i="6"/>
  <c r="F320" i="6"/>
  <c r="D320" i="6"/>
  <c r="B320" i="6"/>
  <c r="N319" i="6"/>
  <c r="L319" i="6"/>
  <c r="J319" i="6"/>
  <c r="I319" i="6"/>
  <c r="G319" i="6"/>
  <c r="F319" i="6"/>
  <c r="D319" i="6"/>
  <c r="B319" i="6"/>
  <c r="N318" i="6"/>
  <c r="L318" i="6"/>
  <c r="J318" i="6"/>
  <c r="I318" i="6"/>
  <c r="G318" i="6"/>
  <c r="F318" i="6"/>
  <c r="D318" i="6"/>
  <c r="B318" i="6"/>
  <c r="N317" i="6"/>
  <c r="L317" i="6"/>
  <c r="J317" i="6"/>
  <c r="I317" i="6"/>
  <c r="G317" i="6"/>
  <c r="F317" i="6"/>
  <c r="D317" i="6"/>
  <c r="B317" i="6"/>
  <c r="N316" i="6"/>
  <c r="L316" i="6"/>
  <c r="J316" i="6"/>
  <c r="I316" i="6"/>
  <c r="G316" i="6"/>
  <c r="F316" i="6"/>
  <c r="D316" i="6"/>
  <c r="B316" i="6"/>
  <c r="N315" i="6"/>
  <c r="L315" i="6"/>
  <c r="J315" i="6"/>
  <c r="I315" i="6"/>
  <c r="G315" i="6"/>
  <c r="F315" i="6"/>
  <c r="D315" i="6"/>
  <c r="B315" i="6"/>
  <c r="N314" i="6"/>
  <c r="L314" i="6"/>
  <c r="J314" i="6"/>
  <c r="I314" i="6"/>
  <c r="G314" i="6"/>
  <c r="F314" i="6"/>
  <c r="D314" i="6"/>
  <c r="B314" i="6"/>
  <c r="N313" i="6"/>
  <c r="L313" i="6"/>
  <c r="J313" i="6"/>
  <c r="I313" i="6"/>
  <c r="G313" i="6"/>
  <c r="F313" i="6"/>
  <c r="D313" i="6"/>
  <c r="B313" i="6"/>
  <c r="N312" i="6"/>
  <c r="L312" i="6"/>
  <c r="J312" i="6"/>
  <c r="I312" i="6"/>
  <c r="G312" i="6"/>
  <c r="F312" i="6"/>
  <c r="D312" i="6"/>
  <c r="B312" i="6"/>
  <c r="N311" i="6"/>
  <c r="L311" i="6"/>
  <c r="J311" i="6"/>
  <c r="I311" i="6"/>
  <c r="G311" i="6"/>
  <c r="F311" i="6"/>
  <c r="D311" i="6"/>
  <c r="B311" i="6"/>
  <c r="N310" i="6"/>
  <c r="L310" i="6"/>
  <c r="J310" i="6"/>
  <c r="I310" i="6"/>
  <c r="G310" i="6"/>
  <c r="F310" i="6"/>
  <c r="D310" i="6"/>
  <c r="B310" i="6"/>
  <c r="N309" i="6"/>
  <c r="L309" i="6"/>
  <c r="J309" i="6"/>
  <c r="I309" i="6"/>
  <c r="G309" i="6"/>
  <c r="F309" i="6"/>
  <c r="D309" i="6"/>
  <c r="B309" i="6"/>
  <c r="N308" i="6"/>
  <c r="L308" i="6"/>
  <c r="J308" i="6"/>
  <c r="I308" i="6"/>
  <c r="G308" i="6"/>
  <c r="F308" i="6"/>
  <c r="D308" i="6"/>
  <c r="B308" i="6"/>
  <c r="N307" i="6"/>
  <c r="L307" i="6"/>
  <c r="J307" i="6"/>
  <c r="I307" i="6"/>
  <c r="G307" i="6"/>
  <c r="F307" i="6"/>
  <c r="D307" i="6"/>
  <c r="B307" i="6"/>
  <c r="N306" i="6"/>
  <c r="L306" i="6"/>
  <c r="J306" i="6"/>
  <c r="I306" i="6"/>
  <c r="G306" i="6"/>
  <c r="F306" i="6"/>
  <c r="D306" i="6"/>
  <c r="B306" i="6"/>
  <c r="N305" i="6"/>
  <c r="L305" i="6"/>
  <c r="J305" i="6"/>
  <c r="I305" i="6"/>
  <c r="G305" i="6"/>
  <c r="F305" i="6"/>
  <c r="D305" i="6"/>
  <c r="B305" i="6"/>
  <c r="N304" i="6"/>
  <c r="L304" i="6"/>
  <c r="J304" i="6"/>
  <c r="I304" i="6"/>
  <c r="G304" i="6"/>
  <c r="F304" i="6"/>
  <c r="D304" i="6"/>
  <c r="B304" i="6"/>
  <c r="N303" i="6"/>
  <c r="L303" i="6"/>
  <c r="J303" i="6"/>
  <c r="I303" i="6"/>
  <c r="G303" i="6"/>
  <c r="F303" i="6"/>
  <c r="D303" i="6"/>
  <c r="B303" i="6"/>
  <c r="N302" i="6"/>
  <c r="L302" i="6"/>
  <c r="J302" i="6"/>
  <c r="I302" i="6"/>
  <c r="G302" i="6"/>
  <c r="F302" i="6"/>
  <c r="D302" i="6"/>
  <c r="B302" i="6"/>
  <c r="N301" i="6"/>
  <c r="L301" i="6"/>
  <c r="J301" i="6"/>
  <c r="I301" i="6"/>
  <c r="G301" i="6"/>
  <c r="F301" i="6"/>
  <c r="D301" i="6"/>
  <c r="B301" i="6"/>
  <c r="N300" i="6"/>
  <c r="L300" i="6"/>
  <c r="J300" i="6"/>
  <c r="I300" i="6"/>
  <c r="G300" i="6"/>
  <c r="F300" i="6"/>
  <c r="D300" i="6"/>
  <c r="B300" i="6"/>
  <c r="N299" i="6"/>
  <c r="L299" i="6"/>
  <c r="J299" i="6"/>
  <c r="I299" i="6"/>
  <c r="G299" i="6"/>
  <c r="F299" i="6"/>
  <c r="D299" i="6"/>
  <c r="B299" i="6"/>
  <c r="N298" i="6"/>
  <c r="L298" i="6"/>
  <c r="J298" i="6"/>
  <c r="I298" i="6"/>
  <c r="G298" i="6"/>
  <c r="F298" i="6"/>
  <c r="D298" i="6"/>
  <c r="B298" i="6"/>
  <c r="N297" i="6"/>
  <c r="L297" i="6"/>
  <c r="J297" i="6"/>
  <c r="I297" i="6"/>
  <c r="G297" i="6"/>
  <c r="F297" i="6"/>
  <c r="D297" i="6"/>
  <c r="B297" i="6"/>
  <c r="N296" i="6"/>
  <c r="L296" i="6"/>
  <c r="J296" i="6"/>
  <c r="I296" i="6"/>
  <c r="G296" i="6"/>
  <c r="F296" i="6"/>
  <c r="D296" i="6"/>
  <c r="B296" i="6"/>
  <c r="N295" i="6"/>
  <c r="L295" i="6"/>
  <c r="J295" i="6"/>
  <c r="I295" i="6"/>
  <c r="G295" i="6"/>
  <c r="F295" i="6"/>
  <c r="D295" i="6"/>
  <c r="B295" i="6"/>
  <c r="N294" i="6"/>
  <c r="L294" i="6"/>
  <c r="J294" i="6"/>
  <c r="I294" i="6"/>
  <c r="G294" i="6"/>
  <c r="F294" i="6"/>
  <c r="D294" i="6"/>
  <c r="B294" i="6"/>
  <c r="N293" i="6"/>
  <c r="L293" i="6"/>
  <c r="J293" i="6"/>
  <c r="I293" i="6"/>
  <c r="G293" i="6"/>
  <c r="F293" i="6"/>
  <c r="D293" i="6"/>
  <c r="B293" i="6"/>
  <c r="N292" i="6"/>
  <c r="L292" i="6"/>
  <c r="J292" i="6"/>
  <c r="I292" i="6"/>
  <c r="G292" i="6"/>
  <c r="F292" i="6"/>
  <c r="D292" i="6"/>
  <c r="B292" i="6"/>
  <c r="N291" i="6"/>
  <c r="L291" i="6"/>
  <c r="J291" i="6"/>
  <c r="I291" i="6"/>
  <c r="G291" i="6"/>
  <c r="F291" i="6"/>
  <c r="D291" i="6"/>
  <c r="B291" i="6"/>
  <c r="N290" i="6"/>
  <c r="L290" i="6"/>
  <c r="J290" i="6"/>
  <c r="I290" i="6"/>
  <c r="G290" i="6"/>
  <c r="F290" i="6"/>
  <c r="D290" i="6"/>
  <c r="B290" i="6"/>
  <c r="N289" i="6"/>
  <c r="L289" i="6"/>
  <c r="J289" i="6"/>
  <c r="I289" i="6"/>
  <c r="G289" i="6"/>
  <c r="F289" i="6"/>
  <c r="D289" i="6"/>
  <c r="B289" i="6"/>
  <c r="N288" i="6"/>
  <c r="L288" i="6"/>
  <c r="J288" i="6"/>
  <c r="I288" i="6"/>
  <c r="G288" i="6"/>
  <c r="F288" i="6"/>
  <c r="D288" i="6"/>
  <c r="B288" i="6"/>
  <c r="N287" i="6"/>
  <c r="L287" i="6"/>
  <c r="J287" i="6"/>
  <c r="I287" i="6"/>
  <c r="G287" i="6"/>
  <c r="F287" i="6"/>
  <c r="D287" i="6"/>
  <c r="B287" i="6"/>
  <c r="N286" i="6"/>
  <c r="L286" i="6"/>
  <c r="J286" i="6"/>
  <c r="I286" i="6"/>
  <c r="G286" i="6"/>
  <c r="F286" i="6"/>
  <c r="D286" i="6"/>
  <c r="B286" i="6"/>
  <c r="N285" i="6"/>
  <c r="L285" i="6"/>
  <c r="J285" i="6"/>
  <c r="I285" i="6"/>
  <c r="G285" i="6"/>
  <c r="F285" i="6"/>
  <c r="D285" i="6"/>
  <c r="B285" i="6"/>
  <c r="N284" i="6"/>
  <c r="L284" i="6"/>
  <c r="J284" i="6"/>
  <c r="I284" i="6"/>
  <c r="G284" i="6"/>
  <c r="F284" i="6"/>
  <c r="D284" i="6"/>
  <c r="B284" i="6"/>
  <c r="N283" i="6"/>
  <c r="L283" i="6"/>
  <c r="J283" i="6"/>
  <c r="I283" i="6"/>
  <c r="G283" i="6"/>
  <c r="F283" i="6"/>
  <c r="D283" i="6"/>
  <c r="B283" i="6"/>
  <c r="N282" i="6"/>
  <c r="L282" i="6"/>
  <c r="J282" i="6"/>
  <c r="I282" i="6"/>
  <c r="G282" i="6"/>
  <c r="F282" i="6"/>
  <c r="D282" i="6"/>
  <c r="B282" i="6"/>
  <c r="N281" i="6"/>
  <c r="L281" i="6"/>
  <c r="J281" i="6"/>
  <c r="I281" i="6"/>
  <c r="G281" i="6"/>
  <c r="F281" i="6"/>
  <c r="D281" i="6"/>
  <c r="B281" i="6"/>
  <c r="N280" i="6"/>
  <c r="L280" i="6"/>
  <c r="J280" i="6"/>
  <c r="I280" i="6"/>
  <c r="G280" i="6"/>
  <c r="F280" i="6"/>
  <c r="D280" i="6"/>
  <c r="B280" i="6"/>
  <c r="N279" i="6"/>
  <c r="L279" i="6"/>
  <c r="J279" i="6"/>
  <c r="I279" i="6"/>
  <c r="G279" i="6"/>
  <c r="F279" i="6"/>
  <c r="D279" i="6"/>
  <c r="B279" i="6"/>
  <c r="N278" i="6"/>
  <c r="L278" i="6"/>
  <c r="J278" i="6"/>
  <c r="I278" i="6"/>
  <c r="G278" i="6"/>
  <c r="F278" i="6"/>
  <c r="D278" i="6"/>
  <c r="B278" i="6"/>
  <c r="N277" i="6"/>
  <c r="L277" i="6"/>
  <c r="J277" i="6"/>
  <c r="I277" i="6"/>
  <c r="G277" i="6"/>
  <c r="F277" i="6"/>
  <c r="D277" i="6"/>
  <c r="B277" i="6"/>
  <c r="N276" i="6"/>
  <c r="L276" i="6"/>
  <c r="J276" i="6"/>
  <c r="I276" i="6"/>
  <c r="G276" i="6"/>
  <c r="F276" i="6"/>
  <c r="D276" i="6"/>
  <c r="B276" i="6"/>
  <c r="N275" i="6"/>
  <c r="L275" i="6"/>
  <c r="J275" i="6"/>
  <c r="I275" i="6"/>
  <c r="G275" i="6"/>
  <c r="F275" i="6"/>
  <c r="D275" i="6"/>
  <c r="B275" i="6"/>
  <c r="N274" i="6"/>
  <c r="L274" i="6"/>
  <c r="J274" i="6"/>
  <c r="I274" i="6"/>
  <c r="G274" i="6"/>
  <c r="F274" i="6"/>
  <c r="D274" i="6"/>
  <c r="B274" i="6"/>
  <c r="N273" i="6"/>
  <c r="L273" i="6"/>
  <c r="J273" i="6"/>
  <c r="I273" i="6"/>
  <c r="G273" i="6"/>
  <c r="F273" i="6"/>
  <c r="D273" i="6"/>
  <c r="B273" i="6"/>
  <c r="N272" i="6"/>
  <c r="L272" i="6"/>
  <c r="J272" i="6"/>
  <c r="I272" i="6"/>
  <c r="G272" i="6"/>
  <c r="F272" i="6"/>
  <c r="D272" i="6"/>
  <c r="B272" i="6"/>
  <c r="N271" i="6"/>
  <c r="L271" i="6"/>
  <c r="J271" i="6"/>
  <c r="I271" i="6"/>
  <c r="G271" i="6"/>
  <c r="F271" i="6"/>
  <c r="D271" i="6"/>
  <c r="B271" i="6"/>
  <c r="N270" i="6"/>
  <c r="L270" i="6"/>
  <c r="J270" i="6"/>
  <c r="I270" i="6"/>
  <c r="G270" i="6"/>
  <c r="F270" i="6"/>
  <c r="D270" i="6"/>
  <c r="B270" i="6"/>
  <c r="N269" i="6"/>
  <c r="L269" i="6"/>
  <c r="J269" i="6"/>
  <c r="I269" i="6"/>
  <c r="G269" i="6"/>
  <c r="F269" i="6"/>
  <c r="D269" i="6"/>
  <c r="B269" i="6"/>
  <c r="N268" i="6"/>
  <c r="L268" i="6"/>
  <c r="J268" i="6"/>
  <c r="I268" i="6"/>
  <c r="G268" i="6"/>
  <c r="F268" i="6"/>
  <c r="D268" i="6"/>
  <c r="B268" i="6"/>
  <c r="N267" i="6"/>
  <c r="L267" i="6"/>
  <c r="J267" i="6"/>
  <c r="I267" i="6"/>
  <c r="G267" i="6"/>
  <c r="F267" i="6"/>
  <c r="D267" i="6"/>
  <c r="B267" i="6"/>
  <c r="N266" i="6"/>
  <c r="L266" i="6"/>
  <c r="J266" i="6"/>
  <c r="I266" i="6"/>
  <c r="G266" i="6"/>
  <c r="F266" i="6"/>
  <c r="D266" i="6"/>
  <c r="B266" i="6"/>
  <c r="N265" i="6"/>
  <c r="L265" i="6"/>
  <c r="J265" i="6"/>
  <c r="I265" i="6"/>
  <c r="G265" i="6"/>
  <c r="F265" i="6"/>
  <c r="D265" i="6"/>
  <c r="B265" i="6"/>
  <c r="N264" i="6"/>
  <c r="L264" i="6"/>
  <c r="J264" i="6"/>
  <c r="I264" i="6"/>
  <c r="G264" i="6"/>
  <c r="F264" i="6"/>
  <c r="D264" i="6"/>
  <c r="B264" i="6"/>
  <c r="N263" i="6"/>
  <c r="L263" i="6"/>
  <c r="J263" i="6"/>
  <c r="I263" i="6"/>
  <c r="G263" i="6"/>
  <c r="F263" i="6"/>
  <c r="D263" i="6"/>
  <c r="B263" i="6"/>
  <c r="N262" i="6"/>
  <c r="L262" i="6"/>
  <c r="J262" i="6"/>
  <c r="I262" i="6"/>
  <c r="G262" i="6"/>
  <c r="F262" i="6"/>
  <c r="D262" i="6"/>
  <c r="B262" i="6"/>
  <c r="N261" i="6"/>
  <c r="L261" i="6"/>
  <c r="J261" i="6"/>
  <c r="I261" i="6"/>
  <c r="G261" i="6"/>
  <c r="F261" i="6"/>
  <c r="D261" i="6"/>
  <c r="B261" i="6"/>
  <c r="N260" i="6"/>
  <c r="L260" i="6"/>
  <c r="J260" i="6"/>
  <c r="I260" i="6"/>
  <c r="G260" i="6"/>
  <c r="F260" i="6"/>
  <c r="D260" i="6"/>
  <c r="B260" i="6"/>
  <c r="N259" i="6"/>
  <c r="L259" i="6"/>
  <c r="J259" i="6"/>
  <c r="I259" i="6"/>
  <c r="G259" i="6"/>
  <c r="F259" i="6"/>
  <c r="D259" i="6"/>
  <c r="B259" i="6"/>
  <c r="N258" i="6"/>
  <c r="L258" i="6"/>
  <c r="J258" i="6"/>
  <c r="I258" i="6"/>
  <c r="G258" i="6"/>
  <c r="F258" i="6"/>
  <c r="D258" i="6"/>
  <c r="B258" i="6"/>
  <c r="N257" i="6"/>
  <c r="L257" i="6"/>
  <c r="J257" i="6"/>
  <c r="I257" i="6"/>
  <c r="G257" i="6"/>
  <c r="F257" i="6"/>
  <c r="D257" i="6"/>
  <c r="B257" i="6"/>
  <c r="N256" i="6"/>
  <c r="L256" i="6"/>
  <c r="J256" i="6"/>
  <c r="I256" i="6"/>
  <c r="G256" i="6"/>
  <c r="F256" i="6"/>
  <c r="D256" i="6"/>
  <c r="B256" i="6"/>
  <c r="N255" i="6"/>
  <c r="L255" i="6"/>
  <c r="J255" i="6"/>
  <c r="I255" i="6"/>
  <c r="G255" i="6"/>
  <c r="F255" i="6"/>
  <c r="D255" i="6"/>
  <c r="B255" i="6"/>
  <c r="N254" i="6"/>
  <c r="L254" i="6"/>
  <c r="J254" i="6"/>
  <c r="I254" i="6"/>
  <c r="G254" i="6"/>
  <c r="F254" i="6"/>
  <c r="D254" i="6"/>
  <c r="B254" i="6"/>
  <c r="N253" i="6"/>
  <c r="L253" i="6"/>
  <c r="J253" i="6"/>
  <c r="I253" i="6"/>
  <c r="G253" i="6"/>
  <c r="F253" i="6"/>
  <c r="D253" i="6"/>
  <c r="B253" i="6"/>
  <c r="N252" i="6"/>
  <c r="L252" i="6"/>
  <c r="J252" i="6"/>
  <c r="I252" i="6"/>
  <c r="G252" i="6"/>
  <c r="F252" i="6"/>
  <c r="D252" i="6"/>
  <c r="B252" i="6"/>
  <c r="N251" i="6"/>
  <c r="L251" i="6"/>
  <c r="J251" i="6"/>
  <c r="I251" i="6"/>
  <c r="G251" i="6"/>
  <c r="F251" i="6"/>
  <c r="D251" i="6"/>
  <c r="B251" i="6"/>
  <c r="N250" i="6"/>
  <c r="L250" i="6"/>
  <c r="J250" i="6"/>
  <c r="I250" i="6"/>
  <c r="G250" i="6"/>
  <c r="F250" i="6"/>
  <c r="D250" i="6"/>
  <c r="B250" i="6"/>
  <c r="N249" i="6"/>
  <c r="L249" i="6"/>
  <c r="J249" i="6"/>
  <c r="I249" i="6"/>
  <c r="G249" i="6"/>
  <c r="F249" i="6"/>
  <c r="D249" i="6"/>
  <c r="B249" i="6"/>
  <c r="N248" i="6"/>
  <c r="L248" i="6"/>
  <c r="J248" i="6"/>
  <c r="I248" i="6"/>
  <c r="G248" i="6"/>
  <c r="F248" i="6"/>
  <c r="D248" i="6"/>
  <c r="B248" i="6"/>
  <c r="N247" i="6"/>
  <c r="L247" i="6"/>
  <c r="J247" i="6"/>
  <c r="I247" i="6"/>
  <c r="G247" i="6"/>
  <c r="F247" i="6"/>
  <c r="D247" i="6"/>
  <c r="B247" i="6"/>
  <c r="N246" i="6"/>
  <c r="L246" i="6"/>
  <c r="J246" i="6"/>
  <c r="I246" i="6"/>
  <c r="G246" i="6"/>
  <c r="F246" i="6"/>
  <c r="D246" i="6"/>
  <c r="B246" i="6"/>
  <c r="N245" i="6"/>
  <c r="L245" i="6"/>
  <c r="J245" i="6"/>
  <c r="I245" i="6"/>
  <c r="G245" i="6"/>
  <c r="F245" i="6"/>
  <c r="D245" i="6"/>
  <c r="B245" i="6"/>
  <c r="N244" i="6"/>
  <c r="L244" i="6"/>
  <c r="J244" i="6"/>
  <c r="I244" i="6"/>
  <c r="G244" i="6"/>
  <c r="F244" i="6"/>
  <c r="D244" i="6"/>
  <c r="B244" i="6"/>
  <c r="N243" i="6"/>
  <c r="L243" i="6"/>
  <c r="J243" i="6"/>
  <c r="I243" i="6"/>
  <c r="G243" i="6"/>
  <c r="F243" i="6"/>
  <c r="D243" i="6"/>
  <c r="B243" i="6"/>
  <c r="N242" i="6"/>
  <c r="L242" i="6"/>
  <c r="J242" i="6"/>
  <c r="I242" i="6"/>
  <c r="G242" i="6"/>
  <c r="F242" i="6"/>
  <c r="D242" i="6"/>
  <c r="B242" i="6"/>
  <c r="N241" i="6"/>
  <c r="L241" i="6"/>
  <c r="J241" i="6"/>
  <c r="I241" i="6"/>
  <c r="G241" i="6"/>
  <c r="F241" i="6"/>
  <c r="D241" i="6"/>
  <c r="B241" i="6"/>
  <c r="N240" i="6"/>
  <c r="L240" i="6"/>
  <c r="J240" i="6"/>
  <c r="I240" i="6"/>
  <c r="G240" i="6"/>
  <c r="F240" i="6"/>
  <c r="D240" i="6"/>
  <c r="B240" i="6"/>
  <c r="N239" i="6"/>
  <c r="L239" i="6"/>
  <c r="J239" i="6"/>
  <c r="I239" i="6"/>
  <c r="G239" i="6"/>
  <c r="F239" i="6"/>
  <c r="D239" i="6"/>
  <c r="B239" i="6"/>
  <c r="N238" i="6"/>
  <c r="L238" i="6"/>
  <c r="J238" i="6"/>
  <c r="I238" i="6"/>
  <c r="G238" i="6"/>
  <c r="F238" i="6"/>
  <c r="D238" i="6"/>
  <c r="B238" i="6"/>
  <c r="N237" i="6"/>
  <c r="L237" i="6"/>
  <c r="J237" i="6"/>
  <c r="I237" i="6"/>
  <c r="G237" i="6"/>
  <c r="F237" i="6"/>
  <c r="D237" i="6"/>
  <c r="B237" i="6"/>
  <c r="N236" i="6"/>
  <c r="L236" i="6"/>
  <c r="J236" i="6"/>
  <c r="I236" i="6"/>
  <c r="G236" i="6"/>
  <c r="F236" i="6"/>
  <c r="D236" i="6"/>
  <c r="B236" i="6"/>
  <c r="N235" i="6"/>
  <c r="L235" i="6"/>
  <c r="J235" i="6"/>
  <c r="I235" i="6"/>
  <c r="G235" i="6"/>
  <c r="F235" i="6"/>
  <c r="D235" i="6"/>
  <c r="B235" i="6"/>
  <c r="N234" i="6"/>
  <c r="L234" i="6"/>
  <c r="J234" i="6"/>
  <c r="I234" i="6"/>
  <c r="G234" i="6"/>
  <c r="F234" i="6"/>
  <c r="D234" i="6"/>
  <c r="B234" i="6"/>
  <c r="N233" i="6"/>
  <c r="L233" i="6"/>
  <c r="J233" i="6"/>
  <c r="I233" i="6"/>
  <c r="G233" i="6"/>
  <c r="F233" i="6"/>
  <c r="D233" i="6"/>
  <c r="B233" i="6"/>
  <c r="N232" i="6"/>
  <c r="L232" i="6"/>
  <c r="J232" i="6"/>
  <c r="I232" i="6"/>
  <c r="G232" i="6"/>
  <c r="F232" i="6"/>
  <c r="D232" i="6"/>
  <c r="B232" i="6"/>
  <c r="N231" i="6"/>
  <c r="L231" i="6"/>
  <c r="J231" i="6"/>
  <c r="I231" i="6"/>
  <c r="G231" i="6"/>
  <c r="F231" i="6"/>
  <c r="D231" i="6"/>
  <c r="B231" i="6"/>
  <c r="N230" i="6"/>
  <c r="L230" i="6"/>
  <c r="J230" i="6"/>
  <c r="I230" i="6"/>
  <c r="G230" i="6"/>
  <c r="F230" i="6"/>
  <c r="D230" i="6"/>
  <c r="B230" i="6"/>
  <c r="N229" i="6"/>
  <c r="L229" i="6"/>
  <c r="J229" i="6"/>
  <c r="I229" i="6"/>
  <c r="G229" i="6"/>
  <c r="F229" i="6"/>
  <c r="D229" i="6"/>
  <c r="B229" i="6"/>
  <c r="N228" i="6"/>
  <c r="L228" i="6"/>
  <c r="J228" i="6"/>
  <c r="I228" i="6"/>
  <c r="G228" i="6"/>
  <c r="F228" i="6"/>
  <c r="D228" i="6"/>
  <c r="B228" i="6"/>
  <c r="N227" i="6"/>
  <c r="L227" i="6"/>
  <c r="J227" i="6"/>
  <c r="I227" i="6"/>
  <c r="G227" i="6"/>
  <c r="F227" i="6"/>
  <c r="D227" i="6"/>
  <c r="B227" i="6"/>
  <c r="N226" i="6"/>
  <c r="L226" i="6"/>
  <c r="J226" i="6"/>
  <c r="I226" i="6"/>
  <c r="G226" i="6"/>
  <c r="F226" i="6"/>
  <c r="D226" i="6"/>
  <c r="B226" i="6"/>
  <c r="N225" i="6"/>
  <c r="L225" i="6"/>
  <c r="J225" i="6"/>
  <c r="I225" i="6"/>
  <c r="G225" i="6"/>
  <c r="F225" i="6"/>
  <c r="D225" i="6"/>
  <c r="B225" i="6"/>
  <c r="N224" i="6"/>
  <c r="L224" i="6"/>
  <c r="J224" i="6"/>
  <c r="I224" i="6"/>
  <c r="G224" i="6"/>
  <c r="F224" i="6"/>
  <c r="D224" i="6"/>
  <c r="B224" i="6"/>
  <c r="N223" i="6"/>
  <c r="L223" i="6"/>
  <c r="J223" i="6"/>
  <c r="I223" i="6"/>
  <c r="G223" i="6"/>
  <c r="F223" i="6"/>
  <c r="D223" i="6"/>
  <c r="B223" i="6"/>
  <c r="N222" i="6"/>
  <c r="L222" i="6"/>
  <c r="J222" i="6"/>
  <c r="I222" i="6"/>
  <c r="G222" i="6"/>
  <c r="F222" i="6"/>
  <c r="D222" i="6"/>
  <c r="B222" i="6"/>
  <c r="N221" i="6"/>
  <c r="L221" i="6"/>
  <c r="J221" i="6"/>
  <c r="I221" i="6"/>
  <c r="G221" i="6"/>
  <c r="F221" i="6"/>
  <c r="D221" i="6"/>
  <c r="B221" i="6"/>
  <c r="N220" i="6"/>
  <c r="L220" i="6"/>
  <c r="J220" i="6"/>
  <c r="I220" i="6"/>
  <c r="G220" i="6"/>
  <c r="F220" i="6"/>
  <c r="D220" i="6"/>
  <c r="B220" i="6"/>
  <c r="N219" i="6"/>
  <c r="L219" i="6"/>
  <c r="J219" i="6"/>
  <c r="I219" i="6"/>
  <c r="G219" i="6"/>
  <c r="F219" i="6"/>
  <c r="D219" i="6"/>
  <c r="B219" i="6"/>
  <c r="N218" i="6"/>
  <c r="L218" i="6"/>
  <c r="J218" i="6"/>
  <c r="I218" i="6"/>
  <c r="G218" i="6"/>
  <c r="F218" i="6"/>
  <c r="D218" i="6"/>
  <c r="B218" i="6"/>
  <c r="N217" i="6"/>
  <c r="L217" i="6"/>
  <c r="J217" i="6"/>
  <c r="I217" i="6"/>
  <c r="G217" i="6"/>
  <c r="F217" i="6"/>
  <c r="D217" i="6"/>
  <c r="B217" i="6"/>
  <c r="N216" i="6"/>
  <c r="L216" i="6"/>
  <c r="J216" i="6"/>
  <c r="I216" i="6"/>
  <c r="G216" i="6"/>
  <c r="F216" i="6"/>
  <c r="D216" i="6"/>
  <c r="B216" i="6"/>
  <c r="N215" i="6"/>
  <c r="L215" i="6"/>
  <c r="J215" i="6"/>
  <c r="I215" i="6"/>
  <c r="G215" i="6"/>
  <c r="F215" i="6"/>
  <c r="D215" i="6"/>
  <c r="B215" i="6"/>
  <c r="N214" i="6"/>
  <c r="L214" i="6"/>
  <c r="J214" i="6"/>
  <c r="I214" i="6"/>
  <c r="G214" i="6"/>
  <c r="F214" i="6"/>
  <c r="D214" i="6"/>
  <c r="B214" i="6"/>
  <c r="N213" i="6"/>
  <c r="L213" i="6"/>
  <c r="J213" i="6"/>
  <c r="I213" i="6"/>
  <c r="G213" i="6"/>
  <c r="F213" i="6"/>
  <c r="D213" i="6"/>
  <c r="B213" i="6"/>
  <c r="N212" i="6"/>
  <c r="L212" i="6"/>
  <c r="J212" i="6"/>
  <c r="I212" i="6"/>
  <c r="G212" i="6"/>
  <c r="F212" i="6"/>
  <c r="D212" i="6"/>
  <c r="B212" i="6"/>
  <c r="N211" i="6"/>
  <c r="L211" i="6"/>
  <c r="J211" i="6"/>
  <c r="I211" i="6"/>
  <c r="G211" i="6"/>
  <c r="F211" i="6"/>
  <c r="D211" i="6"/>
  <c r="B211" i="6"/>
  <c r="N210" i="6"/>
  <c r="L210" i="6"/>
  <c r="J210" i="6"/>
  <c r="I210" i="6"/>
  <c r="G210" i="6"/>
  <c r="F210" i="6"/>
  <c r="D210" i="6"/>
  <c r="B210" i="6"/>
  <c r="N209" i="6"/>
  <c r="L209" i="6"/>
  <c r="J209" i="6"/>
  <c r="I209" i="6"/>
  <c r="G209" i="6"/>
  <c r="F209" i="6"/>
  <c r="D209" i="6"/>
  <c r="B209" i="6"/>
  <c r="N208" i="6"/>
  <c r="L208" i="6"/>
  <c r="J208" i="6"/>
  <c r="I208" i="6"/>
  <c r="G208" i="6"/>
  <c r="F208" i="6"/>
  <c r="D208" i="6"/>
  <c r="B208" i="6"/>
  <c r="N207" i="6"/>
  <c r="L207" i="6"/>
  <c r="J207" i="6"/>
  <c r="I207" i="6"/>
  <c r="G207" i="6"/>
  <c r="F207" i="6"/>
  <c r="D207" i="6"/>
  <c r="B207" i="6"/>
  <c r="N206" i="6"/>
  <c r="L206" i="6"/>
  <c r="J206" i="6"/>
  <c r="I206" i="6"/>
  <c r="G206" i="6"/>
  <c r="F206" i="6"/>
  <c r="D206" i="6"/>
  <c r="B206" i="6"/>
  <c r="N205" i="6"/>
  <c r="L205" i="6"/>
  <c r="J205" i="6"/>
  <c r="I205" i="6"/>
  <c r="G205" i="6"/>
  <c r="F205" i="6"/>
  <c r="D205" i="6"/>
  <c r="B205" i="6"/>
  <c r="N204" i="6"/>
  <c r="L204" i="6"/>
  <c r="J204" i="6"/>
  <c r="I204" i="6"/>
  <c r="G204" i="6"/>
  <c r="F204" i="6"/>
  <c r="D204" i="6"/>
  <c r="B204" i="6"/>
  <c r="N203" i="6"/>
  <c r="L203" i="6"/>
  <c r="J203" i="6"/>
  <c r="I203" i="6"/>
  <c r="G203" i="6"/>
  <c r="F203" i="6"/>
  <c r="D203" i="6"/>
  <c r="B203" i="6"/>
  <c r="N202" i="6"/>
  <c r="L202" i="6"/>
  <c r="J202" i="6"/>
  <c r="I202" i="6"/>
  <c r="G202" i="6"/>
  <c r="F202" i="6"/>
  <c r="D202" i="6"/>
  <c r="B202" i="6"/>
  <c r="N201" i="6"/>
  <c r="L201" i="6"/>
  <c r="J201" i="6"/>
  <c r="I201" i="6"/>
  <c r="G201" i="6"/>
  <c r="F201" i="6"/>
  <c r="D201" i="6"/>
  <c r="B201" i="6"/>
  <c r="N200" i="6"/>
  <c r="L200" i="6"/>
  <c r="J200" i="6"/>
  <c r="I200" i="6"/>
  <c r="G200" i="6"/>
  <c r="F200" i="6"/>
  <c r="D200" i="6"/>
  <c r="B200" i="6"/>
  <c r="N199" i="6"/>
  <c r="L199" i="6"/>
  <c r="J199" i="6"/>
  <c r="I199" i="6"/>
  <c r="G199" i="6"/>
  <c r="F199" i="6"/>
  <c r="D199" i="6"/>
  <c r="B199" i="6"/>
  <c r="N198" i="6"/>
  <c r="L198" i="6"/>
  <c r="J198" i="6"/>
  <c r="I198" i="6"/>
  <c r="G198" i="6"/>
  <c r="F198" i="6"/>
  <c r="D198" i="6"/>
  <c r="B198" i="6"/>
  <c r="N197" i="6"/>
  <c r="L197" i="6"/>
  <c r="J197" i="6"/>
  <c r="I197" i="6"/>
  <c r="G197" i="6"/>
  <c r="F197" i="6"/>
  <c r="D197" i="6"/>
  <c r="B197" i="6"/>
  <c r="N196" i="6"/>
  <c r="L196" i="6"/>
  <c r="J196" i="6"/>
  <c r="I196" i="6"/>
  <c r="G196" i="6"/>
  <c r="F196" i="6"/>
  <c r="D196" i="6"/>
  <c r="B196" i="6"/>
  <c r="N195" i="6"/>
  <c r="L195" i="6"/>
  <c r="J195" i="6"/>
  <c r="I195" i="6"/>
  <c r="G195" i="6"/>
  <c r="F195" i="6"/>
  <c r="D195" i="6"/>
  <c r="B195" i="6"/>
  <c r="N194" i="6"/>
  <c r="L194" i="6"/>
  <c r="J194" i="6"/>
  <c r="I194" i="6"/>
  <c r="G194" i="6"/>
  <c r="F194" i="6"/>
  <c r="D194" i="6"/>
  <c r="B194" i="6"/>
  <c r="N193" i="6"/>
  <c r="L193" i="6"/>
  <c r="J193" i="6"/>
  <c r="I193" i="6"/>
  <c r="G193" i="6"/>
  <c r="F193" i="6"/>
  <c r="D193" i="6"/>
  <c r="B193" i="6"/>
  <c r="N192" i="6"/>
  <c r="L192" i="6"/>
  <c r="J192" i="6"/>
  <c r="I192" i="6"/>
  <c r="G192" i="6"/>
  <c r="F192" i="6"/>
  <c r="D192" i="6"/>
  <c r="B192" i="6"/>
  <c r="N191" i="6"/>
  <c r="L191" i="6"/>
  <c r="J191" i="6"/>
  <c r="I191" i="6"/>
  <c r="G191" i="6"/>
  <c r="F191" i="6"/>
  <c r="D191" i="6"/>
  <c r="B191" i="6"/>
  <c r="N190" i="6"/>
  <c r="L190" i="6"/>
  <c r="J190" i="6"/>
  <c r="I190" i="6"/>
  <c r="G190" i="6"/>
  <c r="F190" i="6"/>
  <c r="D190" i="6"/>
  <c r="B190" i="6"/>
  <c r="N189" i="6"/>
  <c r="L189" i="6"/>
  <c r="J189" i="6"/>
  <c r="I189" i="6"/>
  <c r="G189" i="6"/>
  <c r="F189" i="6"/>
  <c r="D189" i="6"/>
  <c r="B189" i="6"/>
  <c r="N188" i="6"/>
  <c r="L188" i="6"/>
  <c r="J188" i="6"/>
  <c r="I188" i="6"/>
  <c r="G188" i="6"/>
  <c r="F188" i="6"/>
  <c r="D188" i="6"/>
  <c r="B188" i="6"/>
  <c r="N187" i="6"/>
  <c r="L187" i="6"/>
  <c r="J187" i="6"/>
  <c r="I187" i="6"/>
  <c r="G187" i="6"/>
  <c r="F187" i="6"/>
  <c r="D187" i="6"/>
  <c r="B187" i="6"/>
  <c r="N186" i="6"/>
  <c r="L186" i="6"/>
  <c r="J186" i="6"/>
  <c r="I186" i="6"/>
  <c r="G186" i="6"/>
  <c r="F186" i="6"/>
  <c r="D186" i="6"/>
  <c r="B186" i="6"/>
  <c r="N185" i="6"/>
  <c r="L185" i="6"/>
  <c r="J185" i="6"/>
  <c r="I185" i="6"/>
  <c r="G185" i="6"/>
  <c r="F185" i="6"/>
  <c r="D185" i="6"/>
  <c r="B185" i="6"/>
  <c r="N184" i="6"/>
  <c r="L184" i="6"/>
  <c r="J184" i="6"/>
  <c r="I184" i="6"/>
  <c r="G184" i="6"/>
  <c r="F184" i="6"/>
  <c r="D184" i="6"/>
  <c r="B184" i="6"/>
  <c r="N183" i="6"/>
  <c r="L183" i="6"/>
  <c r="J183" i="6"/>
  <c r="I183" i="6"/>
  <c r="G183" i="6"/>
  <c r="F183" i="6"/>
  <c r="D183" i="6"/>
  <c r="B183" i="6"/>
  <c r="N182" i="6"/>
  <c r="L182" i="6"/>
  <c r="J182" i="6"/>
  <c r="I182" i="6"/>
  <c r="G182" i="6"/>
  <c r="F182" i="6"/>
  <c r="D182" i="6"/>
  <c r="B182" i="6"/>
  <c r="N181" i="6"/>
  <c r="L181" i="6"/>
  <c r="J181" i="6"/>
  <c r="I181" i="6"/>
  <c r="G181" i="6"/>
  <c r="F181" i="6"/>
  <c r="D181" i="6"/>
  <c r="B181" i="6"/>
  <c r="N180" i="6"/>
  <c r="L180" i="6"/>
  <c r="J180" i="6"/>
  <c r="I180" i="6"/>
  <c r="G180" i="6"/>
  <c r="F180" i="6"/>
  <c r="D180" i="6"/>
  <c r="B180" i="6"/>
  <c r="N179" i="6"/>
  <c r="L179" i="6"/>
  <c r="J179" i="6"/>
  <c r="I179" i="6"/>
  <c r="G179" i="6"/>
  <c r="F179" i="6"/>
  <c r="D179" i="6"/>
  <c r="B179" i="6"/>
  <c r="N178" i="6"/>
  <c r="L178" i="6"/>
  <c r="J178" i="6"/>
  <c r="I178" i="6"/>
  <c r="G178" i="6"/>
  <c r="F178" i="6"/>
  <c r="D178" i="6"/>
  <c r="B178" i="6"/>
  <c r="N177" i="6"/>
  <c r="L177" i="6"/>
  <c r="J177" i="6"/>
  <c r="I177" i="6"/>
  <c r="G177" i="6"/>
  <c r="F177" i="6"/>
  <c r="D177" i="6"/>
  <c r="B177" i="6"/>
  <c r="N176" i="6"/>
  <c r="L176" i="6"/>
  <c r="J176" i="6"/>
  <c r="I176" i="6"/>
  <c r="G176" i="6"/>
  <c r="F176" i="6"/>
  <c r="D176" i="6"/>
  <c r="B176" i="6"/>
  <c r="N175" i="6"/>
  <c r="L175" i="6"/>
  <c r="J175" i="6"/>
  <c r="I175" i="6"/>
  <c r="G175" i="6"/>
  <c r="F175" i="6"/>
  <c r="D175" i="6"/>
  <c r="B175" i="6"/>
  <c r="N174" i="6"/>
  <c r="L174" i="6"/>
  <c r="J174" i="6"/>
  <c r="I174" i="6"/>
  <c r="G174" i="6"/>
  <c r="F174" i="6"/>
  <c r="D174" i="6"/>
  <c r="B174" i="6"/>
  <c r="N173" i="6"/>
  <c r="L173" i="6"/>
  <c r="J173" i="6"/>
  <c r="I173" i="6"/>
  <c r="G173" i="6"/>
  <c r="F173" i="6"/>
  <c r="D173" i="6"/>
  <c r="B173" i="6"/>
  <c r="N172" i="6"/>
  <c r="L172" i="6"/>
  <c r="J172" i="6"/>
  <c r="I172" i="6"/>
  <c r="G172" i="6"/>
  <c r="F172" i="6"/>
  <c r="D172" i="6"/>
  <c r="B172" i="6"/>
  <c r="N171" i="6"/>
  <c r="L171" i="6"/>
  <c r="J171" i="6"/>
  <c r="I171" i="6"/>
  <c r="G171" i="6"/>
  <c r="F171" i="6"/>
  <c r="D171" i="6"/>
  <c r="B171" i="6"/>
  <c r="N170" i="6"/>
  <c r="L170" i="6"/>
  <c r="J170" i="6"/>
  <c r="I170" i="6"/>
  <c r="G170" i="6"/>
  <c r="F170" i="6"/>
  <c r="D170" i="6"/>
  <c r="B170" i="6"/>
  <c r="N169" i="6"/>
  <c r="L169" i="6"/>
  <c r="J169" i="6"/>
  <c r="I169" i="6"/>
  <c r="G169" i="6"/>
  <c r="F169" i="6"/>
  <c r="D169" i="6"/>
  <c r="B169" i="6"/>
  <c r="N168" i="6"/>
  <c r="L168" i="6"/>
  <c r="J168" i="6"/>
  <c r="I168" i="6"/>
  <c r="G168" i="6"/>
  <c r="F168" i="6"/>
  <c r="D168" i="6"/>
  <c r="B168" i="6"/>
  <c r="N167" i="6"/>
  <c r="L167" i="6"/>
  <c r="J167" i="6"/>
  <c r="I167" i="6"/>
  <c r="G167" i="6"/>
  <c r="F167" i="6"/>
  <c r="D167" i="6"/>
  <c r="B167" i="6"/>
  <c r="N166" i="6"/>
  <c r="L166" i="6"/>
  <c r="J166" i="6"/>
  <c r="I166" i="6"/>
  <c r="G166" i="6"/>
  <c r="F166" i="6"/>
  <c r="D166" i="6"/>
  <c r="B166" i="6"/>
  <c r="N165" i="6"/>
  <c r="L165" i="6"/>
  <c r="J165" i="6"/>
  <c r="I165" i="6"/>
  <c r="G165" i="6"/>
  <c r="F165" i="6"/>
  <c r="D165" i="6"/>
  <c r="B165" i="6"/>
  <c r="N164" i="6"/>
  <c r="L164" i="6"/>
  <c r="J164" i="6"/>
  <c r="I164" i="6"/>
  <c r="G164" i="6"/>
  <c r="F164" i="6"/>
  <c r="D164" i="6"/>
  <c r="B164" i="6"/>
  <c r="N163" i="6"/>
  <c r="L163" i="6"/>
  <c r="J163" i="6"/>
  <c r="I163" i="6"/>
  <c r="G163" i="6"/>
  <c r="F163" i="6"/>
  <c r="D163" i="6"/>
  <c r="B163" i="6"/>
  <c r="N162" i="6"/>
  <c r="L162" i="6"/>
  <c r="J162" i="6"/>
  <c r="I162" i="6"/>
  <c r="G162" i="6"/>
  <c r="F162" i="6"/>
  <c r="D162" i="6"/>
  <c r="B162" i="6"/>
  <c r="N161" i="6"/>
  <c r="L161" i="6"/>
  <c r="J161" i="6"/>
  <c r="I161" i="6"/>
  <c r="G161" i="6"/>
  <c r="F161" i="6"/>
  <c r="D161" i="6"/>
  <c r="B161" i="6"/>
  <c r="N160" i="6"/>
  <c r="L160" i="6"/>
  <c r="J160" i="6"/>
  <c r="I160" i="6"/>
  <c r="G160" i="6"/>
  <c r="F160" i="6"/>
  <c r="D160" i="6"/>
  <c r="B160" i="6"/>
  <c r="N159" i="6"/>
  <c r="L159" i="6"/>
  <c r="J159" i="6"/>
  <c r="I159" i="6"/>
  <c r="G159" i="6"/>
  <c r="F159" i="6"/>
  <c r="D159" i="6"/>
  <c r="B159" i="6"/>
  <c r="N158" i="6"/>
  <c r="L158" i="6"/>
  <c r="J158" i="6"/>
  <c r="I158" i="6"/>
  <c r="G158" i="6"/>
  <c r="F158" i="6"/>
  <c r="D158" i="6"/>
  <c r="B158" i="6"/>
  <c r="N157" i="6"/>
  <c r="L157" i="6"/>
  <c r="J157" i="6"/>
  <c r="I157" i="6"/>
  <c r="G157" i="6"/>
  <c r="F157" i="6"/>
  <c r="D157" i="6"/>
  <c r="B157" i="6"/>
  <c r="N156" i="6"/>
  <c r="L156" i="6"/>
  <c r="J156" i="6"/>
  <c r="I156" i="6"/>
  <c r="G156" i="6"/>
  <c r="F156" i="6"/>
  <c r="D156" i="6"/>
  <c r="B156" i="6"/>
  <c r="N155" i="6"/>
  <c r="L155" i="6"/>
  <c r="J155" i="6"/>
  <c r="I155" i="6"/>
  <c r="G155" i="6"/>
  <c r="F155" i="6"/>
  <c r="D155" i="6"/>
  <c r="B155" i="6"/>
  <c r="N154" i="6"/>
  <c r="L154" i="6"/>
  <c r="J154" i="6"/>
  <c r="I154" i="6"/>
  <c r="G154" i="6"/>
  <c r="F154" i="6"/>
  <c r="D154" i="6"/>
  <c r="B154" i="6"/>
  <c r="N153" i="6"/>
  <c r="L153" i="6"/>
  <c r="J153" i="6"/>
  <c r="I153" i="6"/>
  <c r="G153" i="6"/>
  <c r="F153" i="6"/>
  <c r="D153" i="6"/>
  <c r="B153" i="6"/>
  <c r="N152" i="6"/>
  <c r="L152" i="6"/>
  <c r="J152" i="6"/>
  <c r="I152" i="6"/>
  <c r="G152" i="6"/>
  <c r="F152" i="6"/>
  <c r="D152" i="6"/>
  <c r="B152" i="6"/>
  <c r="N151" i="6"/>
  <c r="L151" i="6"/>
  <c r="J151" i="6"/>
  <c r="I151" i="6"/>
  <c r="G151" i="6"/>
  <c r="F151" i="6"/>
  <c r="D151" i="6"/>
  <c r="B151" i="6"/>
  <c r="N150" i="6"/>
  <c r="L150" i="6"/>
  <c r="J150" i="6"/>
  <c r="I150" i="6"/>
  <c r="G150" i="6"/>
  <c r="F150" i="6"/>
  <c r="D150" i="6"/>
  <c r="B150" i="6"/>
  <c r="N149" i="6"/>
  <c r="L149" i="6"/>
  <c r="J149" i="6"/>
  <c r="I149" i="6"/>
  <c r="G149" i="6"/>
  <c r="F149" i="6"/>
  <c r="D149" i="6"/>
  <c r="B149" i="6"/>
  <c r="N148" i="6"/>
  <c r="L148" i="6"/>
  <c r="J148" i="6"/>
  <c r="I148" i="6"/>
  <c r="G148" i="6"/>
  <c r="F148" i="6"/>
  <c r="D148" i="6"/>
  <c r="B148" i="6"/>
  <c r="N147" i="6"/>
  <c r="L147" i="6"/>
  <c r="J147" i="6"/>
  <c r="I147" i="6"/>
  <c r="G147" i="6"/>
  <c r="F147" i="6"/>
  <c r="D147" i="6"/>
  <c r="B147" i="6"/>
  <c r="N146" i="6"/>
  <c r="L146" i="6"/>
  <c r="J146" i="6"/>
  <c r="I146" i="6"/>
  <c r="G146" i="6"/>
  <c r="F146" i="6"/>
  <c r="D146" i="6"/>
  <c r="B146" i="6"/>
  <c r="N145" i="6"/>
  <c r="L145" i="6"/>
  <c r="J145" i="6"/>
  <c r="I145" i="6"/>
  <c r="G145" i="6"/>
  <c r="F145" i="6"/>
  <c r="D145" i="6"/>
  <c r="B145" i="6"/>
  <c r="N144" i="6"/>
  <c r="L144" i="6"/>
  <c r="J144" i="6"/>
  <c r="I144" i="6"/>
  <c r="G144" i="6"/>
  <c r="F144" i="6"/>
  <c r="D144" i="6"/>
  <c r="B144" i="6"/>
  <c r="L126" i="6"/>
  <c r="I112" i="6"/>
  <c r="I111" i="6"/>
  <c r="F111" i="6"/>
  <c r="N110" i="6"/>
  <c r="L110" i="6"/>
  <c r="I110" i="6"/>
  <c r="N109" i="6"/>
  <c r="L109" i="6"/>
  <c r="I109" i="6"/>
  <c r="L108" i="6"/>
  <c r="N107" i="6"/>
  <c r="L107" i="6"/>
  <c r="I107" i="6"/>
  <c r="N106" i="6"/>
  <c r="L106" i="6"/>
  <c r="I106" i="6"/>
  <c r="N105" i="6"/>
  <c r="L105" i="6"/>
  <c r="L103" i="6"/>
  <c r="L102" i="6"/>
  <c r="N100" i="6"/>
  <c r="L100" i="6"/>
  <c r="I100" i="6"/>
  <c r="L99" i="6"/>
  <c r="N98" i="6"/>
  <c r="L98" i="6"/>
  <c r="I98" i="6"/>
  <c r="N96" i="6"/>
  <c r="L96" i="6"/>
  <c r="L95" i="6"/>
  <c r="N87" i="6"/>
  <c r="L80" i="6"/>
  <c r="J80" i="6"/>
  <c r="N63" i="6"/>
  <c r="L63" i="6"/>
  <c r="J63" i="6"/>
  <c r="I63" i="6"/>
  <c r="N62" i="6"/>
  <c r="L62" i="6"/>
  <c r="J62" i="6"/>
  <c r="I62" i="6"/>
  <c r="G62" i="6"/>
  <c r="D61" i="6"/>
  <c r="I33" i="6"/>
  <c r="J24" i="6"/>
  <c r="N4" i="6"/>
  <c r="L4" i="6"/>
  <c r="J4" i="6"/>
  <c r="I4" i="6"/>
  <c r="G4" i="6"/>
  <c r="D4" i="6"/>
  <c r="N3" i="6"/>
  <c r="L3" i="6"/>
  <c r="J3" i="6"/>
  <c r="I3" i="6"/>
  <c r="G3" i="6"/>
  <c r="F3" i="6"/>
  <c r="D3" i="6"/>
  <c r="N2" i="6"/>
  <c r="L2" i="6"/>
  <c r="J2" i="6"/>
  <c r="I2" i="6"/>
  <c r="G2" i="6"/>
  <c r="D2" i="6"/>
  <c r="C2" i="9" a="1"/>
  <c r="C2" i="9" s="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2" i="1"/>
  <c r="Y215" i="1"/>
  <c r="Y210" i="1"/>
  <c r="Y205" i="1"/>
  <c r="Y204" i="1"/>
  <c r="Y203" i="1"/>
  <c r="Y202" i="1"/>
  <c r="Y200" i="1"/>
  <c r="Y198" i="1"/>
  <c r="Y192" i="1"/>
  <c r="Y177" i="1"/>
  <c r="Y176" i="1"/>
  <c r="Y175" i="1"/>
  <c r="Y171" i="1"/>
  <c r="Y170" i="1"/>
  <c r="Y169" i="1"/>
  <c r="Y168" i="1"/>
  <c r="Y166" i="1"/>
  <c r="Y165" i="1"/>
  <c r="Y164" i="1"/>
  <c r="Y155" i="1"/>
  <c r="Y154" i="1"/>
  <c r="Y153" i="1"/>
  <c r="Y152" i="1"/>
  <c r="Y149" i="1"/>
  <c r="Y146" i="1"/>
  <c r="Y145" i="1"/>
  <c r="Y144" i="1"/>
  <c r="Y143" i="1"/>
  <c r="Y141" i="1"/>
  <c r="Y140" i="1"/>
  <c r="Y139" i="1"/>
  <c r="Y134" i="1"/>
  <c r="Y133" i="1"/>
  <c r="Y132" i="1"/>
  <c r="Y129" i="1"/>
  <c r="Y128" i="1"/>
  <c r="Y127" i="1"/>
  <c r="Y126" i="1"/>
  <c r="Y125" i="1"/>
  <c r="Y124" i="1"/>
  <c r="Y123" i="1"/>
  <c r="Y118" i="1"/>
  <c r="Y117" i="1"/>
  <c r="Y113" i="1"/>
  <c r="Y112" i="1"/>
  <c r="Y111" i="1"/>
  <c r="Y110" i="1"/>
  <c r="Y109" i="1"/>
  <c r="Y102" i="1"/>
  <c r="Y101" i="1"/>
  <c r="Y100" i="1"/>
  <c r="Y99" i="1"/>
  <c r="Y98" i="1"/>
  <c r="Y97" i="1"/>
  <c r="Y96" i="1"/>
  <c r="Y95" i="1"/>
  <c r="Y94" i="1"/>
  <c r="Y93" i="1"/>
  <c r="Y92" i="1"/>
  <c r="Y91" i="1"/>
  <c r="Y90" i="1"/>
  <c r="Y89" i="1"/>
  <c r="Y88" i="1"/>
  <c r="Y87"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0" i="1"/>
  <c r="Y49" i="1"/>
  <c r="Y48" i="1"/>
  <c r="Y46" i="1"/>
  <c r="Y45" i="1"/>
  <c r="Y44" i="1"/>
  <c r="Y43" i="1"/>
  <c r="Y42" i="1"/>
  <c r="Y41" i="1"/>
  <c r="Y40" i="1"/>
  <c r="Y39" i="1"/>
  <c r="Y36" i="1"/>
  <c r="Y34" i="1"/>
  <c r="Y33" i="1"/>
  <c r="Y32" i="1"/>
  <c r="Y31" i="1"/>
  <c r="Y30" i="1"/>
  <c r="Y29" i="1"/>
  <c r="Y28" i="1"/>
  <c r="Y26" i="1"/>
  <c r="Y25" i="1"/>
  <c r="Y23" i="1"/>
  <c r="Y22" i="1"/>
  <c r="Y19" i="1"/>
  <c r="Y18" i="1"/>
  <c r="Y17" i="1"/>
  <c r="Y16" i="1"/>
  <c r="Y15" i="1"/>
  <c r="Y14" i="1"/>
  <c r="Y13" i="1"/>
  <c r="Y12" i="1"/>
  <c r="Y11" i="1"/>
  <c r="Y10" i="1"/>
  <c r="Y9" i="1"/>
  <c r="Y8"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4" i="1"/>
  <c r="I222" i="1"/>
  <c r="I219" i="1"/>
  <c r="I216" i="1"/>
  <c r="I215" i="1"/>
  <c r="I214" i="1"/>
  <c r="I213" i="1"/>
  <c r="I211" i="1"/>
  <c r="I210" i="1"/>
  <c r="I209" i="1"/>
  <c r="I208" i="1"/>
  <c r="I207" i="1"/>
  <c r="I206" i="1"/>
  <c r="I205" i="1"/>
  <c r="I204" i="1"/>
  <c r="I203" i="1"/>
  <c r="I202" i="1"/>
  <c r="I201" i="1"/>
  <c r="I200" i="1"/>
  <c r="I198" i="1"/>
  <c r="I197" i="1"/>
  <c r="I196" i="1"/>
  <c r="I195" i="1"/>
  <c r="I191" i="1"/>
  <c r="I178" i="1"/>
  <c r="I177" i="1"/>
  <c r="I176" i="1"/>
  <c r="I175" i="1"/>
  <c r="I174" i="1"/>
  <c r="I173" i="1"/>
  <c r="I172" i="1"/>
  <c r="I171" i="1"/>
  <c r="I170" i="1"/>
  <c r="I169" i="1"/>
  <c r="I168" i="1"/>
  <c r="I167" i="1"/>
  <c r="I166" i="1"/>
  <c r="I165" i="1"/>
  <c r="I164" i="1"/>
  <c r="I158" i="1"/>
  <c r="I157" i="1"/>
  <c r="I156" i="1"/>
  <c r="I155" i="1"/>
  <c r="I154" i="1"/>
  <c r="I153" i="1"/>
  <c r="I152" i="1"/>
  <c r="I151" i="1"/>
  <c r="I150" i="1"/>
  <c r="I149" i="1"/>
  <c r="I148" i="1"/>
  <c r="I147"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19" i="1"/>
  <c r="I18" i="1"/>
  <c r="I17" i="1"/>
  <c r="I16" i="1"/>
  <c r="I15" i="1"/>
  <c r="I14" i="1"/>
  <c r="I13" i="1"/>
  <c r="I12" i="1"/>
  <c r="I11" i="1"/>
  <c r="I10" i="1"/>
  <c r="I9" i="1"/>
  <c r="I8" i="1"/>
  <c r="I7" i="1"/>
  <c r="I6" i="1"/>
  <c r="B1" i="3" l="1" a="1"/>
  <c r="W29" i="4"/>
  <c r="U29" i="4"/>
  <c r="V29" i="4"/>
  <c r="W10" i="4"/>
  <c r="V10" i="4"/>
  <c r="U10" i="4"/>
  <c r="W17" i="4"/>
  <c r="V17" i="4"/>
  <c r="U17" i="4"/>
  <c r="U35" i="4"/>
  <c r="W35" i="4"/>
  <c r="V35" i="4"/>
  <c r="W37" i="4"/>
  <c r="V37" i="4"/>
  <c r="U37" i="4"/>
  <c r="U39" i="4"/>
  <c r="W39" i="4"/>
  <c r="V39" i="4"/>
  <c r="U41" i="4"/>
  <c r="V41" i="4"/>
  <c r="W41" i="4"/>
  <c r="V43" i="4"/>
  <c r="W43" i="4"/>
  <c r="U43" i="4"/>
  <c r="W15" i="4"/>
  <c r="V15" i="4"/>
  <c r="U15" i="4"/>
  <c r="W8" i="4"/>
  <c r="V8" i="4"/>
  <c r="U8" i="4"/>
  <c r="W22" i="4"/>
  <c r="V22" i="4"/>
  <c r="U22" i="4"/>
  <c r="W5" i="4"/>
  <c r="V5" i="4"/>
  <c r="U5" i="4"/>
  <c r="U14" i="4"/>
  <c r="W14" i="4"/>
  <c r="V14" i="4"/>
  <c r="W19" i="4"/>
  <c r="V19" i="4"/>
  <c r="U19" i="4"/>
  <c r="U26" i="4"/>
  <c r="W26" i="4"/>
  <c r="V26" i="4"/>
  <c r="W7" i="4"/>
  <c r="V7" i="4"/>
  <c r="U7" i="4"/>
  <c r="V28" i="4"/>
  <c r="U28" i="4"/>
  <c r="W28" i="4"/>
  <c r="W16" i="4"/>
  <c r="V16" i="4"/>
  <c r="U16" i="4"/>
  <c r="W32" i="4"/>
  <c r="V32" i="4"/>
  <c r="U32" i="4"/>
  <c r="W34" i="4"/>
  <c r="V34" i="4"/>
  <c r="U34" i="4"/>
  <c r="U24" i="4"/>
  <c r="W24" i="4"/>
  <c r="V24" i="4"/>
  <c r="U12" i="4"/>
  <c r="W12" i="4"/>
  <c r="V12" i="4"/>
  <c r="W21" i="4"/>
  <c r="V21" i="4"/>
  <c r="U21" i="4"/>
  <c r="V30" i="4"/>
  <c r="U30" i="4"/>
  <c r="W30" i="4"/>
  <c r="V9" i="4"/>
  <c r="U9" i="4"/>
  <c r="W9" i="4"/>
  <c r="V23" i="4"/>
  <c r="U23" i="4"/>
  <c r="W23" i="4"/>
  <c r="V36" i="4"/>
  <c r="U36" i="4"/>
  <c r="W36" i="4"/>
  <c r="V38" i="4"/>
  <c r="U38" i="4"/>
  <c r="W38" i="4"/>
  <c r="U40" i="4"/>
  <c r="W40" i="4"/>
  <c r="V40" i="4"/>
  <c r="W42" i="4"/>
  <c r="V42" i="4"/>
  <c r="U42" i="4"/>
  <c r="W31" i="4"/>
  <c r="V31" i="4"/>
  <c r="U31" i="4"/>
  <c r="V33" i="4"/>
  <c r="U33" i="4"/>
  <c r="W33" i="4"/>
  <c r="W4" i="4"/>
  <c r="V4" i="4"/>
  <c r="U4" i="4"/>
  <c r="W6" i="4"/>
  <c r="V6" i="4"/>
  <c r="U6" i="4"/>
  <c r="V11" i="4"/>
  <c r="W11" i="4"/>
  <c r="U11" i="4"/>
  <c r="U13" i="4"/>
  <c r="V13" i="4"/>
  <c r="W13" i="4"/>
  <c r="V18" i="4"/>
  <c r="U18" i="4"/>
  <c r="W18" i="4"/>
  <c r="W20" i="4"/>
  <c r="V20" i="4"/>
  <c r="U20" i="4"/>
  <c r="V25" i="4"/>
  <c r="W25" i="4"/>
  <c r="U25" i="4"/>
  <c r="W27" i="4"/>
  <c r="V27" i="4"/>
  <c r="U27" i="4"/>
  <c r="W3" i="4"/>
  <c r="U3" i="4"/>
  <c r="U5" i="7"/>
  <c r="V3" i="4"/>
  <c r="P4" i="7"/>
  <c r="P5" i="7"/>
  <c r="P9" i="7"/>
  <c r="P18" i="7"/>
  <c r="P19" i="7"/>
  <c r="P24" i="7"/>
  <c r="P25" i="7"/>
  <c r="P28" i="7"/>
  <c r="P29" i="7"/>
  <c r="P33" i="7"/>
  <c r="P35" i="7"/>
  <c r="P36" i="7"/>
  <c r="P37" i="7"/>
  <c r="P38" i="7"/>
  <c r="P39" i="7"/>
  <c r="P40" i="7"/>
  <c r="P41" i="7"/>
  <c r="P42" i="7"/>
  <c r="P43" i="7"/>
  <c r="P45" i="7"/>
  <c r="P48" i="7"/>
  <c r="P49" i="7"/>
  <c r="P50" i="7"/>
  <c r="P51" i="7"/>
  <c r="P52" i="7"/>
  <c r="P53" i="7"/>
  <c r="P54" i="7"/>
  <c r="P55" i="7"/>
  <c r="P56" i="7"/>
  <c r="P57" i="7"/>
  <c r="P58" i="7"/>
  <c r="P59" i="7"/>
  <c r="P60" i="7"/>
  <c r="P61" i="7"/>
  <c r="P62" i="7"/>
  <c r="P63" i="7"/>
  <c r="P64" i="7"/>
  <c r="P67" i="7"/>
  <c r="P68" i="7"/>
  <c r="P69" i="7"/>
  <c r="P70" i="7"/>
  <c r="P71" i="7"/>
  <c r="P72" i="7"/>
  <c r="P73" i="7"/>
  <c r="P74" i="7"/>
  <c r="P75" i="7"/>
  <c r="P76" i="7"/>
  <c r="P79" i="7"/>
  <c r="P81" i="7"/>
  <c r="P85" i="7"/>
  <c r="P87" i="7"/>
  <c r="P88" i="7"/>
  <c r="P89" i="7"/>
  <c r="P90" i="7"/>
  <c r="P91" i="7"/>
  <c r="P92" i="7"/>
  <c r="P93" i="7"/>
  <c r="P94" i="7"/>
  <c r="P95" i="7"/>
  <c r="P96" i="7"/>
  <c r="P97" i="7"/>
  <c r="P98" i="7"/>
  <c r="P99" i="7"/>
  <c r="P100" i="7"/>
  <c r="P101" i="7"/>
  <c r="P102" i="7"/>
  <c r="P103" i="7"/>
  <c r="P104" i="7"/>
  <c r="P105" i="7"/>
  <c r="P107" i="7"/>
  <c r="P108" i="7"/>
  <c r="P109" i="7"/>
  <c r="P110" i="7"/>
  <c r="P111" i="7"/>
  <c r="P113" i="7"/>
  <c r="P114" i="7"/>
  <c r="P115" i="7"/>
  <c r="P116" i="7"/>
  <c r="P119" i="7"/>
  <c r="P120" i="7"/>
  <c r="P121" i="7"/>
  <c r="P122" i="7"/>
  <c r="P123" i="7"/>
  <c r="P124" i="7"/>
  <c r="P125" i="7"/>
  <c r="P127" i="7"/>
  <c r="P128" i="7"/>
  <c r="P129" i="7"/>
  <c r="P130" i="7"/>
  <c r="P131" i="7"/>
  <c r="P132" i="7"/>
  <c r="P133" i="7"/>
  <c r="P134" i="7"/>
  <c r="P135" i="7"/>
  <c r="P136" i="7"/>
  <c r="P137" i="7"/>
  <c r="P138" i="7"/>
  <c r="P139" i="7"/>
  <c r="P140" i="7"/>
  <c r="P141" i="7"/>
  <c r="P142" i="7"/>
  <c r="P143" i="7"/>
  <c r="P47" i="7"/>
  <c r="K46" i="7"/>
  <c r="H30" i="7"/>
  <c r="H26" i="7"/>
  <c r="L12" i="7"/>
  <c r="H106" i="7"/>
  <c r="H112" i="7"/>
  <c r="H13" i="7"/>
  <c r="H80" i="7"/>
  <c r="H83" i="7"/>
  <c r="H86" i="7"/>
  <c r="P32" i="7"/>
  <c r="P12" i="7"/>
  <c r="H84" i="7"/>
  <c r="I140" i="7"/>
  <c r="Z2" i="7" a="1"/>
  <c r="Z2" i="7" s="1"/>
  <c r="B2" i="6"/>
  <c r="AA140" i="9"/>
  <c r="Y140" i="9"/>
  <c r="AA141" i="9"/>
  <c r="Y141" i="9"/>
  <c r="AA142" i="9"/>
  <c r="Y142" i="9"/>
  <c r="AA143" i="9"/>
  <c r="Y143" i="9"/>
  <c r="AA144" i="9"/>
  <c r="Y144" i="9"/>
  <c r="AA145" i="9"/>
  <c r="Y145" i="9"/>
  <c r="AA146" i="9"/>
  <c r="Y146" i="9"/>
  <c r="AA147" i="9"/>
  <c r="Y147" i="9"/>
  <c r="AA148" i="9"/>
  <c r="Y148" i="9"/>
  <c r="AA149" i="9"/>
  <c r="Y149" i="9"/>
  <c r="AA150" i="9"/>
  <c r="Y150" i="9"/>
  <c r="AA151" i="9"/>
  <c r="Y151" i="9"/>
  <c r="AA152" i="9"/>
  <c r="Y152" i="9"/>
  <c r="AA153" i="9"/>
  <c r="Y153" i="9"/>
  <c r="AA154" i="9"/>
  <c r="Y154" i="9"/>
  <c r="AA155" i="9"/>
  <c r="Y155" i="9"/>
  <c r="AA156" i="9"/>
  <c r="Y156" i="9"/>
  <c r="AA157" i="9"/>
  <c r="Y157" i="9"/>
  <c r="AA158" i="9"/>
  <c r="Y158" i="9"/>
  <c r="AA159" i="9"/>
  <c r="Y159" i="9"/>
  <c r="AA160" i="9"/>
  <c r="Y160" i="9"/>
  <c r="AA161" i="9"/>
  <c r="Y161" i="9"/>
  <c r="AA162" i="9"/>
  <c r="Y162" i="9"/>
  <c r="AA163" i="9"/>
  <c r="Y163" i="9"/>
  <c r="AA164" i="9"/>
  <c r="Y164" i="9"/>
  <c r="AA165" i="9"/>
  <c r="Y165" i="9"/>
  <c r="AA166" i="9"/>
  <c r="Y166" i="9"/>
  <c r="AA167" i="9"/>
  <c r="Y167" i="9"/>
  <c r="AA168" i="9"/>
  <c r="Y168" i="9"/>
  <c r="AA169" i="9"/>
  <c r="Y169" i="9"/>
  <c r="AA170" i="9"/>
  <c r="Y170" i="9"/>
  <c r="AA171" i="9"/>
  <c r="Y171" i="9"/>
  <c r="AA172" i="9"/>
  <c r="Y172" i="9"/>
  <c r="AA173" i="9"/>
  <c r="Y173" i="9"/>
  <c r="AA174" i="9"/>
  <c r="Y174" i="9"/>
  <c r="AA175" i="9"/>
  <c r="Y175" i="9"/>
  <c r="AA176" i="9"/>
  <c r="Y176" i="9"/>
  <c r="AA177" i="9"/>
  <c r="Y177" i="9"/>
  <c r="AA178" i="9"/>
  <c r="Y178" i="9"/>
  <c r="AA179" i="9"/>
  <c r="Y179" i="9"/>
  <c r="AA180" i="9"/>
  <c r="Y180" i="9"/>
  <c r="AA181" i="9"/>
  <c r="Y181" i="9"/>
  <c r="AA182" i="9"/>
  <c r="Y182" i="9"/>
  <c r="AA183" i="9"/>
  <c r="Y183" i="9"/>
  <c r="AA184" i="9"/>
  <c r="Y184" i="9"/>
  <c r="AA185" i="9"/>
  <c r="Y185" i="9"/>
  <c r="AA186" i="9"/>
  <c r="Y186" i="9"/>
  <c r="AA187" i="9"/>
  <c r="Y187" i="9"/>
  <c r="AA188" i="9"/>
  <c r="Y188" i="9"/>
  <c r="AA189" i="9"/>
  <c r="Y189" i="9"/>
  <c r="AA190" i="9"/>
  <c r="Y190" i="9"/>
  <c r="AA191" i="9"/>
  <c r="Y191" i="9"/>
  <c r="AA192" i="9"/>
  <c r="Y192" i="9"/>
  <c r="AA193" i="9"/>
  <c r="Y193" i="9"/>
  <c r="AA194" i="9"/>
  <c r="Y194" i="9"/>
  <c r="AA195" i="9"/>
  <c r="Y195" i="9"/>
  <c r="AA196" i="9"/>
  <c r="Y196" i="9"/>
  <c r="AA197" i="9"/>
  <c r="Y197" i="9"/>
  <c r="AA198" i="9"/>
  <c r="Y198" i="9"/>
  <c r="AA199" i="9"/>
  <c r="Y199" i="9"/>
  <c r="AA200" i="9"/>
  <c r="Y200" i="9"/>
  <c r="AA201" i="9"/>
  <c r="Y201" i="9"/>
  <c r="AA202" i="9"/>
  <c r="Y202" i="9"/>
  <c r="AA203" i="9"/>
  <c r="Y203" i="9"/>
  <c r="AA204" i="9"/>
  <c r="Y204" i="9"/>
  <c r="AA205" i="9"/>
  <c r="Y205" i="9"/>
  <c r="AA206" i="9"/>
  <c r="Y206" i="9"/>
  <c r="AA207" i="9"/>
  <c r="Y207" i="9"/>
  <c r="AA208" i="9"/>
  <c r="Y208" i="9"/>
  <c r="AA209" i="9"/>
  <c r="Y209" i="9"/>
  <c r="AA210" i="9"/>
  <c r="Y210" i="9"/>
  <c r="AA211" i="9"/>
  <c r="Y211" i="9"/>
  <c r="AA212" i="9"/>
  <c r="Y212" i="9"/>
  <c r="AA213" i="9"/>
  <c r="Y213" i="9"/>
  <c r="AA214" i="9"/>
  <c r="Y214" i="9"/>
  <c r="AA215" i="9"/>
  <c r="Y215" i="9"/>
  <c r="AA216" i="9"/>
  <c r="Y216" i="9"/>
  <c r="AA217" i="9"/>
  <c r="Y217" i="9"/>
  <c r="AA218" i="9"/>
  <c r="Y218" i="9"/>
  <c r="AA219" i="9"/>
  <c r="Y219" i="9"/>
  <c r="AA220" i="9"/>
  <c r="Y220" i="9"/>
  <c r="AA221" i="9"/>
  <c r="Y221" i="9"/>
  <c r="AA222" i="9"/>
  <c r="Y222" i="9"/>
  <c r="AA223" i="9"/>
  <c r="Y223" i="9"/>
  <c r="AA224" i="9"/>
  <c r="Y224" i="9"/>
  <c r="AA225" i="9"/>
  <c r="Y225" i="9"/>
  <c r="AA226" i="9"/>
  <c r="Y226" i="9"/>
  <c r="AA227" i="9"/>
  <c r="Y227" i="9"/>
  <c r="AA228" i="9"/>
  <c r="Y228" i="9"/>
  <c r="AA229" i="9"/>
  <c r="Y229" i="9"/>
  <c r="AA230" i="9"/>
  <c r="Y230" i="9"/>
  <c r="AA231" i="9"/>
  <c r="Y231" i="9"/>
  <c r="AA232" i="9"/>
  <c r="Y232" i="9"/>
  <c r="AA233" i="9"/>
  <c r="Y233" i="9"/>
  <c r="AA234" i="9"/>
  <c r="Y234" i="9"/>
  <c r="AA235" i="9"/>
  <c r="Y235" i="9"/>
  <c r="AA236" i="9"/>
  <c r="Y236" i="9"/>
  <c r="AA237" i="9"/>
  <c r="Y237" i="9"/>
  <c r="AA238" i="9"/>
  <c r="Y238" i="9"/>
  <c r="AA239" i="9"/>
  <c r="Y239" i="9"/>
  <c r="AA240" i="9"/>
  <c r="Y240" i="9"/>
  <c r="AA241" i="9"/>
  <c r="Y241" i="9"/>
  <c r="AA242" i="9"/>
  <c r="Y242" i="9"/>
  <c r="AA243" i="9"/>
  <c r="Y243" i="9"/>
  <c r="AA244" i="9"/>
  <c r="Y244" i="9"/>
  <c r="AA245" i="9"/>
  <c r="Y245" i="9"/>
  <c r="AA246" i="9"/>
  <c r="Y246" i="9"/>
  <c r="AA247" i="9"/>
  <c r="Y247" i="9"/>
  <c r="AA248" i="9"/>
  <c r="Y248" i="9"/>
  <c r="AA249" i="9"/>
  <c r="Y249" i="9"/>
  <c r="AA250" i="9"/>
  <c r="Y250" i="9"/>
  <c r="AA251" i="9"/>
  <c r="Y251" i="9"/>
  <c r="AA252" i="9"/>
  <c r="Y252" i="9"/>
  <c r="AA253" i="9"/>
  <c r="Y253" i="9"/>
  <c r="AA254" i="9"/>
  <c r="Y254" i="9"/>
  <c r="AA255" i="9"/>
  <c r="Y255" i="9"/>
  <c r="AA256" i="9"/>
  <c r="Y256" i="9"/>
  <c r="AA257" i="9"/>
  <c r="Y257" i="9"/>
  <c r="AA258" i="9"/>
  <c r="Y258" i="9"/>
  <c r="AA259" i="9"/>
  <c r="Y259" i="9"/>
  <c r="AA260" i="9"/>
  <c r="Y260" i="9"/>
  <c r="AA261" i="9"/>
  <c r="Y261" i="9"/>
  <c r="AA262" i="9"/>
  <c r="Y262" i="9"/>
  <c r="AA263" i="9"/>
  <c r="Y263" i="9"/>
  <c r="AA264" i="9"/>
  <c r="Y264" i="9"/>
  <c r="AA265" i="9"/>
  <c r="Y265" i="9"/>
  <c r="AA266" i="9"/>
  <c r="Y266" i="9"/>
  <c r="AA267" i="9"/>
  <c r="Y267" i="9"/>
  <c r="AA268" i="9"/>
  <c r="Y268" i="9"/>
  <c r="AA269" i="9"/>
  <c r="Y269" i="9"/>
  <c r="AA270" i="9"/>
  <c r="Y270" i="9"/>
  <c r="AA271" i="9"/>
  <c r="Y271" i="9"/>
  <c r="AA272" i="9"/>
  <c r="Y272" i="9"/>
  <c r="AA273" i="9"/>
  <c r="Y273" i="9"/>
  <c r="AA274" i="9"/>
  <c r="Y274" i="9"/>
  <c r="AA275" i="9"/>
  <c r="Y275" i="9"/>
  <c r="AA276" i="9"/>
  <c r="Y276" i="9"/>
  <c r="AA277" i="9"/>
  <c r="Y277" i="9"/>
  <c r="AA278" i="9"/>
  <c r="Y278" i="9"/>
  <c r="AA279" i="9"/>
  <c r="Y279" i="9"/>
  <c r="AA280" i="9"/>
  <c r="Y280" i="9"/>
  <c r="AA281" i="9"/>
  <c r="Y281" i="9"/>
  <c r="AA282" i="9"/>
  <c r="Y282" i="9"/>
  <c r="AA283" i="9"/>
  <c r="Y283" i="9"/>
  <c r="AA284" i="9"/>
  <c r="Y284" i="9"/>
  <c r="AA285" i="9"/>
  <c r="Y285" i="9"/>
  <c r="AA286" i="9"/>
  <c r="Y286" i="9"/>
  <c r="AA287" i="9"/>
  <c r="Y287" i="9"/>
  <c r="AA288" i="9"/>
  <c r="Y288" i="9"/>
  <c r="AA289" i="9"/>
  <c r="Y289" i="9"/>
  <c r="AA290" i="9"/>
  <c r="Y290" i="9"/>
  <c r="AA291" i="9"/>
  <c r="Y291" i="9"/>
  <c r="AA292" i="9"/>
  <c r="Y292" i="9"/>
  <c r="AA293" i="9"/>
  <c r="Y293" i="9"/>
  <c r="AA294" i="9"/>
  <c r="Y294" i="9"/>
  <c r="AA295" i="9"/>
  <c r="Y295" i="9"/>
  <c r="AA296" i="9"/>
  <c r="Y296" i="9"/>
  <c r="AA297" i="9"/>
  <c r="Y297" i="9"/>
  <c r="AA298" i="9"/>
  <c r="Y298" i="9"/>
  <c r="AA299" i="9"/>
  <c r="Y299" i="9"/>
  <c r="AA300" i="9"/>
  <c r="Y300" i="9"/>
  <c r="AA301" i="9"/>
  <c r="Y301" i="9"/>
  <c r="AA302" i="9"/>
  <c r="Y302" i="9"/>
  <c r="AA303" i="9"/>
  <c r="Y303" i="9"/>
  <c r="AA304" i="9"/>
  <c r="Y304" i="9"/>
  <c r="AA305" i="9"/>
  <c r="Y305" i="9"/>
  <c r="AA306" i="9"/>
  <c r="Y306" i="9"/>
  <c r="AA307" i="9"/>
  <c r="Y307" i="9"/>
  <c r="AA308" i="9"/>
  <c r="Y308" i="9"/>
  <c r="AA309" i="9"/>
  <c r="Y309" i="9"/>
  <c r="AA310" i="9"/>
  <c r="Y310" i="9"/>
  <c r="AA311" i="9"/>
  <c r="Y311" i="9"/>
  <c r="AA312" i="9"/>
  <c r="Y312" i="9"/>
  <c r="AA313" i="9"/>
  <c r="Y313" i="9"/>
  <c r="AA314" i="9"/>
  <c r="Y314" i="9"/>
  <c r="AA315" i="9"/>
  <c r="Y315" i="9"/>
  <c r="AA316" i="9"/>
  <c r="Y316" i="9"/>
  <c r="AA317" i="9"/>
  <c r="Y317" i="9"/>
  <c r="AA318" i="9"/>
  <c r="Y318" i="9"/>
  <c r="AA319" i="9"/>
  <c r="Y319" i="9"/>
  <c r="AA320" i="9"/>
  <c r="Y320" i="9"/>
  <c r="AA321" i="9"/>
  <c r="Y321" i="9"/>
  <c r="AA322" i="9"/>
  <c r="Y322" i="9"/>
  <c r="AA323" i="9"/>
  <c r="Y323" i="9"/>
  <c r="AA324" i="9"/>
  <c r="Y324" i="9"/>
  <c r="AA325" i="9"/>
  <c r="Y325" i="9"/>
  <c r="AA326" i="9"/>
  <c r="Y326" i="9"/>
  <c r="AA327" i="9"/>
  <c r="Y327" i="9"/>
  <c r="AA328" i="9"/>
  <c r="Y328" i="9"/>
  <c r="AA329" i="9"/>
  <c r="Y329" i="9"/>
  <c r="AA330" i="9"/>
  <c r="Y330" i="9"/>
  <c r="AA331" i="9"/>
  <c r="Y331" i="9"/>
  <c r="AA332" i="9"/>
  <c r="Y332" i="9"/>
  <c r="AA333" i="9"/>
  <c r="Y333" i="9"/>
  <c r="AA334" i="9"/>
  <c r="Y334" i="9"/>
  <c r="AA335" i="9"/>
  <c r="Y335" i="9"/>
  <c r="AA336" i="9"/>
  <c r="Y336" i="9"/>
  <c r="AA337" i="9"/>
  <c r="Y337" i="9"/>
  <c r="AA338" i="9"/>
  <c r="Y338" i="9"/>
  <c r="AA339" i="9"/>
  <c r="Y339" i="9"/>
  <c r="AA340" i="9"/>
  <c r="Y340" i="9"/>
  <c r="AA341" i="9"/>
  <c r="Y341" i="9"/>
  <c r="AA342" i="9"/>
  <c r="Y342" i="9"/>
  <c r="AA343" i="9"/>
  <c r="Y343" i="9"/>
  <c r="AA344" i="9"/>
  <c r="Y344" i="9"/>
  <c r="AA345" i="9"/>
  <c r="Y345" i="9"/>
  <c r="AA346" i="9"/>
  <c r="Y346" i="9"/>
  <c r="AA347" i="9"/>
  <c r="Y347" i="9"/>
  <c r="AA348" i="9"/>
  <c r="Y348" i="9"/>
  <c r="AA349" i="9"/>
  <c r="Y349" i="9"/>
  <c r="AA350" i="9"/>
  <c r="Y350" i="9"/>
  <c r="AA351" i="9"/>
  <c r="Y351" i="9"/>
  <c r="AA352" i="9"/>
  <c r="Y352" i="9"/>
  <c r="AA353" i="9"/>
  <c r="Y353" i="9"/>
  <c r="AA354" i="9"/>
  <c r="Y354" i="9"/>
  <c r="AA355" i="9"/>
  <c r="Y355" i="9"/>
  <c r="AA356" i="9"/>
  <c r="Y356" i="9"/>
  <c r="AA357" i="9"/>
  <c r="Y357" i="9"/>
  <c r="AA358" i="9"/>
  <c r="Y358" i="9"/>
  <c r="AA359" i="9"/>
  <c r="Y359" i="9"/>
  <c r="AA360" i="9"/>
  <c r="Y360" i="9"/>
  <c r="AA361" i="9"/>
  <c r="Y361" i="9"/>
  <c r="AA362" i="9"/>
  <c r="Y362" i="9"/>
  <c r="AA363" i="9"/>
  <c r="Y363" i="9"/>
  <c r="AA364" i="9"/>
  <c r="Y364" i="9"/>
  <c r="AA365" i="9"/>
  <c r="Y365" i="9"/>
  <c r="AA366" i="9"/>
  <c r="Y366" i="9"/>
  <c r="AA367" i="9"/>
  <c r="Y367" i="9"/>
  <c r="AA368" i="9"/>
  <c r="Y368" i="9"/>
  <c r="AA369" i="9"/>
  <c r="Y369" i="9"/>
  <c r="AA370" i="9"/>
  <c r="Y370" i="9"/>
  <c r="AA371" i="9"/>
  <c r="Y371" i="9"/>
  <c r="AA372" i="9"/>
  <c r="Y372" i="9"/>
  <c r="AA373" i="9"/>
  <c r="Y373" i="9"/>
  <c r="AA374" i="9"/>
  <c r="Y374" i="9"/>
  <c r="AA375" i="9"/>
  <c r="Y375" i="9"/>
  <c r="AA376" i="9"/>
  <c r="Y376" i="9"/>
  <c r="AA377" i="9"/>
  <c r="Y377" i="9"/>
  <c r="AA378" i="9"/>
  <c r="Y378" i="9"/>
  <c r="AA379" i="9"/>
  <c r="Y379" i="9"/>
  <c r="AA380" i="9"/>
  <c r="Y380" i="9"/>
  <c r="AA381" i="9"/>
  <c r="Y381" i="9"/>
  <c r="AA382" i="9"/>
  <c r="Y382" i="9"/>
  <c r="AA383" i="9"/>
  <c r="Y383" i="9"/>
  <c r="AA384" i="9"/>
  <c r="Y384" i="9"/>
  <c r="AA385" i="9"/>
  <c r="Y385" i="9"/>
  <c r="AA386" i="9"/>
  <c r="Y386" i="9"/>
  <c r="AA387" i="9"/>
  <c r="Y387" i="9"/>
  <c r="AA388" i="9"/>
  <c r="Y388" i="9"/>
  <c r="AA389" i="9"/>
  <c r="Y389" i="9"/>
  <c r="AA390" i="9"/>
  <c r="Y390" i="9"/>
  <c r="AA391" i="9"/>
  <c r="Y391" i="9"/>
  <c r="AA392" i="9"/>
  <c r="Y392" i="9"/>
  <c r="AA393" i="9"/>
  <c r="Y393" i="9"/>
  <c r="AA394" i="9"/>
  <c r="Y394" i="9"/>
  <c r="AA395" i="9"/>
  <c r="Y395" i="9"/>
  <c r="AA396" i="9"/>
  <c r="Y396" i="9"/>
  <c r="AA397" i="9"/>
  <c r="Y397" i="9"/>
  <c r="AA398" i="9"/>
  <c r="Y398" i="9"/>
  <c r="AA399" i="9"/>
  <c r="Y399" i="9"/>
  <c r="AA400" i="9"/>
  <c r="Y400" i="9"/>
  <c r="AA401" i="9"/>
  <c r="Y401" i="9"/>
  <c r="AA402" i="9"/>
  <c r="Y402" i="9"/>
  <c r="AA403" i="9"/>
  <c r="Y403" i="9"/>
  <c r="AA404" i="9"/>
  <c r="Y404" i="9"/>
  <c r="AA405" i="9"/>
  <c r="Y405" i="9"/>
  <c r="AA406" i="9"/>
  <c r="Y406" i="9"/>
  <c r="AA407" i="9"/>
  <c r="Y407" i="9"/>
  <c r="AA408" i="9"/>
  <c r="Y408" i="9"/>
  <c r="AA409" i="9"/>
  <c r="Y409" i="9"/>
  <c r="AA410" i="9"/>
  <c r="Y410" i="9"/>
  <c r="AA411" i="9"/>
  <c r="Y411" i="9"/>
  <c r="AA412" i="9"/>
  <c r="Y412" i="9"/>
  <c r="AA413" i="9"/>
  <c r="Y413" i="9"/>
  <c r="AA414" i="9"/>
  <c r="Y414" i="9"/>
  <c r="AA415" i="9"/>
  <c r="Y415" i="9"/>
  <c r="AA416" i="9"/>
  <c r="Y416" i="9"/>
  <c r="AA417" i="9"/>
  <c r="Y417" i="9"/>
  <c r="AA418" i="9"/>
  <c r="Y418" i="9"/>
  <c r="AA419" i="9"/>
  <c r="Y419" i="9"/>
  <c r="AA420" i="9"/>
  <c r="Y420" i="9"/>
  <c r="AA421" i="9"/>
  <c r="Y421" i="9"/>
  <c r="AA422" i="9"/>
  <c r="Y422" i="9"/>
  <c r="AA423" i="9"/>
  <c r="Y423" i="9"/>
  <c r="AA424" i="9"/>
  <c r="Y424" i="9"/>
  <c r="AA425" i="9"/>
  <c r="Y425" i="9"/>
  <c r="AA426" i="9"/>
  <c r="Y426" i="9"/>
  <c r="AA427" i="9"/>
  <c r="Y427" i="9"/>
  <c r="AA428" i="9"/>
  <c r="Y428" i="9"/>
  <c r="AA429" i="9"/>
  <c r="Y429" i="9"/>
  <c r="AA430" i="9"/>
  <c r="Y430" i="9"/>
  <c r="AA431" i="9"/>
  <c r="Y431" i="9"/>
  <c r="AA432" i="9"/>
  <c r="Y432" i="9"/>
  <c r="AA433" i="9"/>
  <c r="Y433" i="9"/>
  <c r="AA434" i="9"/>
  <c r="Y434" i="9"/>
  <c r="AA435" i="9"/>
  <c r="Y435" i="9"/>
  <c r="AA436" i="9"/>
  <c r="Y436" i="9"/>
  <c r="AA437" i="9"/>
  <c r="Y437" i="9"/>
  <c r="AA438" i="9"/>
  <c r="Y438" i="9"/>
  <c r="AA439" i="9"/>
  <c r="Y439" i="9"/>
  <c r="AA440" i="9"/>
  <c r="Y440" i="9"/>
  <c r="AA441" i="9"/>
  <c r="Y441" i="9"/>
  <c r="AA442" i="9"/>
  <c r="Y442" i="9"/>
  <c r="AA443" i="9"/>
  <c r="Y443" i="9"/>
  <c r="AA444" i="9"/>
  <c r="Y444" i="9"/>
  <c r="AA445" i="9"/>
  <c r="Y445" i="9"/>
  <c r="AA446" i="9"/>
  <c r="Y446" i="9"/>
  <c r="AA447" i="9"/>
  <c r="Y447" i="9"/>
  <c r="AA448" i="9"/>
  <c r="Y448" i="9"/>
  <c r="AA449" i="9"/>
  <c r="Y449" i="9"/>
  <c r="AA450" i="9"/>
  <c r="Y450" i="9"/>
  <c r="AA451" i="9"/>
  <c r="Y451" i="9"/>
  <c r="AA452" i="9"/>
  <c r="Y452" i="9"/>
  <c r="AA453" i="9"/>
  <c r="Y453" i="9"/>
  <c r="AA454" i="9"/>
  <c r="Y454" i="9"/>
  <c r="AA455" i="9"/>
  <c r="Y455" i="9"/>
  <c r="AA456" i="9"/>
  <c r="Y456" i="9"/>
  <c r="AA457" i="9"/>
  <c r="Y457" i="9"/>
  <c r="AA458" i="9"/>
  <c r="Y458" i="9"/>
  <c r="AA459" i="9"/>
  <c r="Y459" i="9"/>
  <c r="AA460" i="9"/>
  <c r="Y460" i="9"/>
  <c r="AA461" i="9"/>
  <c r="Y461" i="9"/>
  <c r="AA462" i="9"/>
  <c r="Y462" i="9"/>
  <c r="AA463" i="9"/>
  <c r="Y463" i="9"/>
  <c r="AA464" i="9"/>
  <c r="Y464" i="9"/>
  <c r="AA465" i="9"/>
  <c r="Y465" i="9"/>
  <c r="AA466" i="9"/>
  <c r="Y466" i="9"/>
  <c r="AA467" i="9"/>
  <c r="Y467" i="9"/>
  <c r="AA468" i="9"/>
  <c r="Y468" i="9"/>
  <c r="AA469" i="9"/>
  <c r="Y469" i="9"/>
  <c r="AA470" i="9"/>
  <c r="Y470" i="9"/>
  <c r="AA471" i="9"/>
  <c r="Y471" i="9"/>
  <c r="AA472" i="9"/>
  <c r="Y472" i="9"/>
  <c r="AA473" i="9"/>
  <c r="Y473" i="9"/>
  <c r="AA474" i="9"/>
  <c r="Y474" i="9"/>
  <c r="AA475" i="9"/>
  <c r="Y475" i="9"/>
  <c r="AA476" i="9"/>
  <c r="Y476" i="9"/>
  <c r="AA477" i="9"/>
  <c r="Y477" i="9"/>
  <c r="AA478" i="9"/>
  <c r="Y478" i="9"/>
  <c r="AA479" i="9"/>
  <c r="Y479" i="9"/>
  <c r="AA480" i="9"/>
  <c r="Y480" i="9"/>
  <c r="AA481" i="9"/>
  <c r="Y481" i="9"/>
  <c r="AA482" i="9"/>
  <c r="Y482" i="9"/>
  <c r="AA483" i="9"/>
  <c r="Y483" i="9"/>
  <c r="AA484" i="9"/>
  <c r="Y484" i="9"/>
  <c r="AA485" i="9"/>
  <c r="Y485" i="9"/>
  <c r="AA486" i="9"/>
  <c r="Y486" i="9"/>
  <c r="AA487" i="9"/>
  <c r="Y487" i="9"/>
  <c r="AA488" i="9"/>
  <c r="Y488" i="9"/>
  <c r="AA489" i="9"/>
  <c r="Y489" i="9"/>
  <c r="AA490" i="9"/>
  <c r="Y490" i="9"/>
  <c r="AA491" i="9"/>
  <c r="Y491" i="9"/>
  <c r="AA492" i="9"/>
  <c r="Y492" i="9"/>
  <c r="AA493" i="9"/>
  <c r="Y493" i="9"/>
  <c r="AA494" i="9"/>
  <c r="Y494" i="9"/>
  <c r="AA495" i="9"/>
  <c r="Y495" i="9"/>
  <c r="AA496" i="9"/>
  <c r="Y496" i="9"/>
  <c r="AA497" i="9"/>
  <c r="Y497" i="9"/>
  <c r="AA498" i="9"/>
  <c r="Y498" i="9"/>
  <c r="AA499" i="9"/>
  <c r="Y499" i="9"/>
  <c r="AA500" i="9"/>
  <c r="Y500" i="9"/>
  <c r="B3" i="6"/>
  <c r="J226" i="3" l="1"/>
  <c r="K225" i="3"/>
  <c r="L225" i="3" s="1"/>
  <c r="K226" i="3"/>
  <c r="L226" i="3" s="1"/>
  <c r="J225" i="3"/>
  <c r="K224" i="3"/>
  <c r="L224" i="3" s="1"/>
  <c r="J224" i="3"/>
  <c r="J223" i="3"/>
  <c r="K204" i="3"/>
  <c r="L204" i="3" s="1"/>
  <c r="K205" i="3"/>
  <c r="L205" i="3" s="1"/>
  <c r="K206" i="3"/>
  <c r="L206" i="3" s="1"/>
  <c r="K207" i="3"/>
  <c r="L207" i="3" s="1"/>
  <c r="K208" i="3"/>
  <c r="L208" i="3" s="1"/>
  <c r="K209" i="3"/>
  <c r="L209" i="3" s="1"/>
  <c r="K210" i="3"/>
  <c r="L210" i="3" s="1"/>
  <c r="K211" i="3"/>
  <c r="L211" i="3" s="1"/>
  <c r="K212" i="3"/>
  <c r="L212" i="3" s="1"/>
  <c r="K213" i="3"/>
  <c r="L213" i="3" s="1"/>
  <c r="K214" i="3"/>
  <c r="L214" i="3" s="1"/>
  <c r="K215" i="3"/>
  <c r="L215" i="3" s="1"/>
  <c r="K216" i="3"/>
  <c r="L216" i="3" s="1"/>
  <c r="K217" i="3"/>
  <c r="L217" i="3" s="1"/>
  <c r="K218" i="3"/>
  <c r="L218" i="3" s="1"/>
  <c r="K219" i="3"/>
  <c r="L219" i="3" s="1"/>
  <c r="K220" i="3"/>
  <c r="L220" i="3" s="1"/>
  <c r="K221" i="3"/>
  <c r="L221" i="3" s="1"/>
  <c r="K222" i="3"/>
  <c r="L222" i="3" s="1"/>
  <c r="K223" i="3"/>
  <c r="L223" i="3" s="1"/>
  <c r="J222" i="3"/>
  <c r="J221" i="3"/>
  <c r="J219" i="3"/>
  <c r="J220" i="3"/>
  <c r="J218" i="3"/>
  <c r="J216" i="3"/>
  <c r="J217" i="3"/>
  <c r="J215" i="3"/>
  <c r="J213" i="3"/>
  <c r="J212" i="3"/>
  <c r="J210" i="3"/>
  <c r="J211" i="3"/>
  <c r="B1" i="3"/>
  <c r="E3" i="13" s="1"/>
  <c r="J209" i="3"/>
  <c r="J208" i="3"/>
  <c r="K176" i="3"/>
  <c r="L176" i="3" s="1"/>
  <c r="J176" i="3"/>
  <c r="J206" i="3"/>
  <c r="J207" i="3"/>
  <c r="J205" i="3"/>
  <c r="J204" i="3"/>
  <c r="J201" i="3"/>
  <c r="K201" i="3"/>
  <c r="L201" i="3" s="1"/>
  <c r="J202" i="3"/>
  <c r="K202" i="3"/>
  <c r="L202" i="3" s="1"/>
  <c r="J203" i="3"/>
  <c r="K203" i="3"/>
  <c r="L203" i="3" s="1"/>
  <c r="K199" i="3"/>
  <c r="L199" i="3" s="1"/>
  <c r="K200" i="3"/>
  <c r="L200" i="3" s="1"/>
  <c r="J200" i="3"/>
  <c r="J198" i="3"/>
  <c r="K198" i="3"/>
  <c r="L198" i="3" s="1"/>
  <c r="K197" i="3"/>
  <c r="L197" i="3" s="1"/>
  <c r="J197" i="3"/>
  <c r="K196" i="3"/>
  <c r="L196" i="3" s="1"/>
  <c r="J196" i="3"/>
  <c r="J195" i="3"/>
  <c r="K195" i="3"/>
  <c r="L195" i="3" s="1"/>
  <c r="K194" i="3"/>
  <c r="L194" i="3" s="1"/>
  <c r="J194" i="3"/>
  <c r="K193" i="3"/>
  <c r="L193" i="3" s="1"/>
  <c r="J193" i="3"/>
  <c r="K192" i="3"/>
  <c r="L192" i="3" s="1"/>
  <c r="J192" i="3"/>
  <c r="K191" i="3"/>
  <c r="L191" i="3" s="1"/>
  <c r="J191" i="3"/>
  <c r="J190" i="3"/>
  <c r="K190" i="3"/>
  <c r="L190" i="3" s="1"/>
  <c r="K189" i="3"/>
  <c r="L189" i="3" s="1"/>
  <c r="J189" i="3"/>
  <c r="K188" i="3"/>
  <c r="L188" i="3" s="1"/>
  <c r="J188" i="3"/>
  <c r="K187" i="3"/>
  <c r="L187" i="3" s="1"/>
  <c r="J187" i="3"/>
  <c r="K186" i="3"/>
  <c r="L186" i="3" s="1"/>
  <c r="J186" i="3"/>
  <c r="K185" i="3"/>
  <c r="L185" i="3" s="1"/>
  <c r="J185" i="3"/>
  <c r="K184" i="3"/>
  <c r="L184" i="3" s="1"/>
  <c r="J184" i="3"/>
  <c r="J183" i="3"/>
  <c r="K183" i="3"/>
  <c r="L183" i="3" s="1"/>
  <c r="J182" i="3"/>
  <c r="K182" i="3"/>
  <c r="L182" i="3" s="1"/>
  <c r="J181" i="3"/>
  <c r="K181" i="3"/>
  <c r="L181" i="3" s="1"/>
  <c r="J180" i="3"/>
  <c r="K180" i="3"/>
  <c r="L180" i="3" s="1"/>
  <c r="J177" i="3"/>
  <c r="K177" i="3"/>
  <c r="L177" i="3" s="1"/>
  <c r="J179" i="3"/>
  <c r="K179" i="3"/>
  <c r="L179" i="3" s="1"/>
  <c r="J178" i="3"/>
  <c r="K178" i="3"/>
  <c r="L178" i="3" s="1"/>
  <c r="K174" i="3"/>
  <c r="L174" i="3" s="1"/>
  <c r="AC1" i="7" a="1"/>
  <c r="AC1" i="7" s="1"/>
  <c r="B2" i="9" a="1"/>
  <c r="AD157" i="9"/>
  <c r="AD145" i="9"/>
  <c r="AD160" i="9"/>
  <c r="AD148" i="9"/>
  <c r="K172" i="3"/>
  <c r="L172" i="3" s="1"/>
  <c r="K164" i="3"/>
  <c r="L164" i="3" s="1"/>
  <c r="K156" i="3"/>
  <c r="L156" i="3" s="1"/>
  <c r="K148" i="3"/>
  <c r="L148" i="3" s="1"/>
  <c r="K140" i="3"/>
  <c r="L140" i="3" s="1"/>
  <c r="K132" i="3"/>
  <c r="L132" i="3" s="1"/>
  <c r="K124" i="3"/>
  <c r="L124" i="3" s="1"/>
  <c r="K116" i="3"/>
  <c r="L116" i="3" s="1"/>
  <c r="K108" i="3"/>
  <c r="L108" i="3" s="1"/>
  <c r="K100" i="3"/>
  <c r="L100" i="3" s="1"/>
  <c r="K92" i="3"/>
  <c r="L92" i="3" s="1"/>
  <c r="K84" i="3"/>
  <c r="L84" i="3" s="1"/>
  <c r="K76" i="3"/>
  <c r="L76" i="3" s="1"/>
  <c r="K68" i="3"/>
  <c r="L68" i="3" s="1"/>
  <c r="K60" i="3"/>
  <c r="L60" i="3" s="1"/>
  <c r="K52" i="3"/>
  <c r="L52" i="3" s="1"/>
  <c r="K44" i="3"/>
  <c r="L44" i="3" s="1"/>
  <c r="K36" i="3"/>
  <c r="L36" i="3" s="1"/>
  <c r="K28" i="3"/>
  <c r="L28" i="3" s="1"/>
  <c r="K20" i="3"/>
  <c r="L20" i="3" s="1"/>
  <c r="K12" i="3"/>
  <c r="L12" i="3" s="1"/>
  <c r="K4" i="3"/>
  <c r="L4" i="3" s="1"/>
  <c r="K117" i="3"/>
  <c r="L117" i="3" s="1"/>
  <c r="K171" i="3"/>
  <c r="L171" i="3" s="1"/>
  <c r="K163" i="3"/>
  <c r="L163" i="3" s="1"/>
  <c r="K155" i="3"/>
  <c r="L155" i="3" s="1"/>
  <c r="K147" i="3"/>
  <c r="L147" i="3" s="1"/>
  <c r="K139" i="3"/>
  <c r="L139" i="3" s="1"/>
  <c r="K131" i="3"/>
  <c r="L131" i="3" s="1"/>
  <c r="K123" i="3"/>
  <c r="L123" i="3" s="1"/>
  <c r="K115" i="3"/>
  <c r="L115" i="3" s="1"/>
  <c r="K107" i="3"/>
  <c r="L107" i="3" s="1"/>
  <c r="K99" i="3"/>
  <c r="L99" i="3" s="1"/>
  <c r="K91" i="3"/>
  <c r="L91" i="3" s="1"/>
  <c r="K83" i="3"/>
  <c r="L83" i="3" s="1"/>
  <c r="K75" i="3"/>
  <c r="L75" i="3" s="1"/>
  <c r="K67" i="3"/>
  <c r="L67" i="3" s="1"/>
  <c r="K59" i="3"/>
  <c r="L59" i="3" s="1"/>
  <c r="K51" i="3"/>
  <c r="L51" i="3" s="1"/>
  <c r="K43" i="3"/>
  <c r="L43" i="3" s="1"/>
  <c r="K35" i="3"/>
  <c r="L35" i="3" s="1"/>
  <c r="K27" i="3"/>
  <c r="L27" i="3" s="1"/>
  <c r="K19" i="3"/>
  <c r="L19" i="3" s="1"/>
  <c r="K11" i="3"/>
  <c r="L11" i="3" s="1"/>
  <c r="K3" i="3"/>
  <c r="L3" i="3" s="1"/>
  <c r="K125" i="3"/>
  <c r="L125" i="3" s="1"/>
  <c r="K170" i="3"/>
  <c r="L170" i="3" s="1"/>
  <c r="K162" i="3"/>
  <c r="L162" i="3" s="1"/>
  <c r="K154" i="3"/>
  <c r="L154" i="3" s="1"/>
  <c r="K146" i="3"/>
  <c r="L146" i="3" s="1"/>
  <c r="K138" i="3"/>
  <c r="L138" i="3" s="1"/>
  <c r="K130" i="3"/>
  <c r="L130" i="3" s="1"/>
  <c r="K122" i="3"/>
  <c r="L122" i="3" s="1"/>
  <c r="K114" i="3"/>
  <c r="L114" i="3" s="1"/>
  <c r="K106" i="3"/>
  <c r="L106" i="3" s="1"/>
  <c r="K98" i="3"/>
  <c r="L98" i="3" s="1"/>
  <c r="K90" i="3"/>
  <c r="L90" i="3" s="1"/>
  <c r="K82" i="3"/>
  <c r="L82" i="3" s="1"/>
  <c r="K74" i="3"/>
  <c r="L74" i="3" s="1"/>
  <c r="K66" i="3"/>
  <c r="L66" i="3" s="1"/>
  <c r="K58" i="3"/>
  <c r="L58" i="3" s="1"/>
  <c r="K50" i="3"/>
  <c r="L50" i="3" s="1"/>
  <c r="K42" i="3"/>
  <c r="L42" i="3" s="1"/>
  <c r="K34" i="3"/>
  <c r="L34" i="3" s="1"/>
  <c r="K26" i="3"/>
  <c r="L26" i="3" s="1"/>
  <c r="K18" i="3"/>
  <c r="L18" i="3" s="1"/>
  <c r="K10" i="3"/>
  <c r="L10" i="3" s="1"/>
  <c r="K141" i="3"/>
  <c r="L141" i="3" s="1"/>
  <c r="K109" i="3"/>
  <c r="L109" i="3" s="1"/>
  <c r="K69" i="3"/>
  <c r="L69" i="3" s="1"/>
  <c r="K37" i="3"/>
  <c r="L37" i="3" s="1"/>
  <c r="K5" i="3"/>
  <c r="L5" i="3" s="1"/>
  <c r="K169" i="3"/>
  <c r="L169" i="3" s="1"/>
  <c r="K161" i="3"/>
  <c r="L161" i="3" s="1"/>
  <c r="K153" i="3"/>
  <c r="L153" i="3" s="1"/>
  <c r="K145" i="3"/>
  <c r="L145" i="3" s="1"/>
  <c r="K137" i="3"/>
  <c r="L137" i="3" s="1"/>
  <c r="K129" i="3"/>
  <c r="L129" i="3" s="1"/>
  <c r="K121" i="3"/>
  <c r="L121" i="3" s="1"/>
  <c r="K113" i="3"/>
  <c r="L113" i="3" s="1"/>
  <c r="K105" i="3"/>
  <c r="L105" i="3" s="1"/>
  <c r="K97" i="3"/>
  <c r="L97" i="3" s="1"/>
  <c r="K89" i="3"/>
  <c r="L89" i="3" s="1"/>
  <c r="K81" i="3"/>
  <c r="L81" i="3" s="1"/>
  <c r="K73" i="3"/>
  <c r="L73" i="3" s="1"/>
  <c r="K65" i="3"/>
  <c r="L65" i="3" s="1"/>
  <c r="K57" i="3"/>
  <c r="L57" i="3" s="1"/>
  <c r="K49" i="3"/>
  <c r="L49" i="3" s="1"/>
  <c r="K41" i="3"/>
  <c r="L41" i="3" s="1"/>
  <c r="K33" i="3"/>
  <c r="L33" i="3" s="1"/>
  <c r="K25" i="3"/>
  <c r="L25" i="3" s="1"/>
  <c r="K17" i="3"/>
  <c r="L17" i="3" s="1"/>
  <c r="K9" i="3"/>
  <c r="L9" i="3" s="1"/>
  <c r="K133" i="3"/>
  <c r="L133" i="3" s="1"/>
  <c r="K93" i="3"/>
  <c r="L93" i="3" s="1"/>
  <c r="K77" i="3"/>
  <c r="L77" i="3" s="1"/>
  <c r="K45" i="3"/>
  <c r="L45" i="3" s="1"/>
  <c r="K13" i="3"/>
  <c r="L13" i="3" s="1"/>
  <c r="K168" i="3"/>
  <c r="L168" i="3" s="1"/>
  <c r="K160" i="3"/>
  <c r="L160" i="3" s="1"/>
  <c r="K152" i="3"/>
  <c r="L152" i="3" s="1"/>
  <c r="K144" i="3"/>
  <c r="L144" i="3" s="1"/>
  <c r="K136" i="3"/>
  <c r="L136" i="3" s="1"/>
  <c r="K128" i="3"/>
  <c r="L128" i="3" s="1"/>
  <c r="K120" i="3"/>
  <c r="L120" i="3" s="1"/>
  <c r="K112" i="3"/>
  <c r="L112" i="3" s="1"/>
  <c r="K104" i="3"/>
  <c r="L104" i="3" s="1"/>
  <c r="K96" i="3"/>
  <c r="L96" i="3" s="1"/>
  <c r="K88" i="3"/>
  <c r="L88" i="3" s="1"/>
  <c r="K80" i="3"/>
  <c r="L80" i="3" s="1"/>
  <c r="K72" i="3"/>
  <c r="L72" i="3" s="1"/>
  <c r="K64" i="3"/>
  <c r="L64" i="3" s="1"/>
  <c r="K56" i="3"/>
  <c r="L56" i="3" s="1"/>
  <c r="K48" i="3"/>
  <c r="L48" i="3" s="1"/>
  <c r="K40" i="3"/>
  <c r="L40" i="3" s="1"/>
  <c r="K32" i="3"/>
  <c r="L32" i="3" s="1"/>
  <c r="K24" i="3"/>
  <c r="L24" i="3" s="1"/>
  <c r="K16" i="3"/>
  <c r="L16" i="3" s="1"/>
  <c r="K8" i="3"/>
  <c r="L8" i="3" s="1"/>
  <c r="K149" i="3"/>
  <c r="L149" i="3" s="1"/>
  <c r="K167" i="3"/>
  <c r="L167" i="3" s="1"/>
  <c r="K159" i="3"/>
  <c r="L159" i="3" s="1"/>
  <c r="K151" i="3"/>
  <c r="L151" i="3" s="1"/>
  <c r="K143" i="3"/>
  <c r="L143" i="3" s="1"/>
  <c r="K135" i="3"/>
  <c r="L135" i="3" s="1"/>
  <c r="K127" i="3"/>
  <c r="L127" i="3" s="1"/>
  <c r="K119" i="3"/>
  <c r="L119" i="3" s="1"/>
  <c r="K111" i="3"/>
  <c r="L111" i="3" s="1"/>
  <c r="K103" i="3"/>
  <c r="L103" i="3" s="1"/>
  <c r="K95" i="3"/>
  <c r="L95" i="3" s="1"/>
  <c r="K87" i="3"/>
  <c r="L87" i="3" s="1"/>
  <c r="K79" i="3"/>
  <c r="L79" i="3" s="1"/>
  <c r="K71" i="3"/>
  <c r="L71" i="3" s="1"/>
  <c r="K63" i="3"/>
  <c r="L63" i="3" s="1"/>
  <c r="K55" i="3"/>
  <c r="L55" i="3" s="1"/>
  <c r="K47" i="3"/>
  <c r="L47" i="3" s="1"/>
  <c r="K39" i="3"/>
  <c r="L39" i="3" s="1"/>
  <c r="K31" i="3"/>
  <c r="L31" i="3" s="1"/>
  <c r="K23" i="3"/>
  <c r="L23" i="3" s="1"/>
  <c r="K15" i="3"/>
  <c r="L15" i="3" s="1"/>
  <c r="K7" i="3"/>
  <c r="L7" i="3" s="1"/>
  <c r="K157" i="3"/>
  <c r="L157" i="3" s="1"/>
  <c r="K85" i="3"/>
  <c r="L85" i="3" s="1"/>
  <c r="K53" i="3"/>
  <c r="L53" i="3" s="1"/>
  <c r="K29" i="3"/>
  <c r="L29" i="3" s="1"/>
  <c r="K166" i="3"/>
  <c r="L166" i="3" s="1"/>
  <c r="K158" i="3"/>
  <c r="L158" i="3" s="1"/>
  <c r="K150" i="3"/>
  <c r="L150" i="3" s="1"/>
  <c r="K142" i="3"/>
  <c r="L142" i="3" s="1"/>
  <c r="K134" i="3"/>
  <c r="L134" i="3" s="1"/>
  <c r="K126" i="3"/>
  <c r="L126" i="3" s="1"/>
  <c r="K118" i="3"/>
  <c r="L118" i="3" s="1"/>
  <c r="K110" i="3"/>
  <c r="L110" i="3" s="1"/>
  <c r="K102" i="3"/>
  <c r="L102" i="3" s="1"/>
  <c r="K94" i="3"/>
  <c r="L94" i="3" s="1"/>
  <c r="K86" i="3"/>
  <c r="L86" i="3" s="1"/>
  <c r="K78" i="3"/>
  <c r="L78" i="3" s="1"/>
  <c r="K70" i="3"/>
  <c r="L70" i="3" s="1"/>
  <c r="K62" i="3"/>
  <c r="L62" i="3" s="1"/>
  <c r="K54" i="3"/>
  <c r="L54" i="3" s="1"/>
  <c r="K46" i="3"/>
  <c r="L46" i="3" s="1"/>
  <c r="K38" i="3"/>
  <c r="L38" i="3" s="1"/>
  <c r="K30" i="3"/>
  <c r="L30" i="3" s="1"/>
  <c r="K22" i="3"/>
  <c r="L22" i="3" s="1"/>
  <c r="K14" i="3"/>
  <c r="L14" i="3" s="1"/>
  <c r="K6" i="3"/>
  <c r="L6" i="3" s="1"/>
  <c r="K165" i="3"/>
  <c r="L165" i="3" s="1"/>
  <c r="K101" i="3"/>
  <c r="L101" i="3" s="1"/>
  <c r="K61" i="3"/>
  <c r="L61" i="3" s="1"/>
  <c r="K21" i="3"/>
  <c r="L21" i="3" s="1"/>
  <c r="J2" i="3"/>
  <c r="J172" i="3"/>
  <c r="J164" i="3"/>
  <c r="J156" i="3"/>
  <c r="J148" i="3"/>
  <c r="J140" i="3"/>
  <c r="J132" i="3"/>
  <c r="J124" i="3"/>
  <c r="J116" i="3"/>
  <c r="J108" i="3"/>
  <c r="J100" i="3"/>
  <c r="J92" i="3"/>
  <c r="J84" i="3"/>
  <c r="J76" i="3"/>
  <c r="J68" i="3"/>
  <c r="J60" i="3"/>
  <c r="J52" i="3"/>
  <c r="J44" i="3"/>
  <c r="J36" i="3"/>
  <c r="J28" i="3"/>
  <c r="J20" i="3"/>
  <c r="J12" i="3"/>
  <c r="J4" i="3"/>
  <c r="J117" i="3"/>
  <c r="J101" i="3"/>
  <c r="J61" i="3"/>
  <c r="J29" i="3"/>
  <c r="J171" i="3"/>
  <c r="J163" i="3"/>
  <c r="J155" i="3"/>
  <c r="J147" i="3"/>
  <c r="J139" i="3"/>
  <c r="J131" i="3"/>
  <c r="J123" i="3"/>
  <c r="J115" i="3"/>
  <c r="J107" i="3"/>
  <c r="J99" i="3"/>
  <c r="J91" i="3"/>
  <c r="J83" i="3"/>
  <c r="J75" i="3"/>
  <c r="J67" i="3"/>
  <c r="J59" i="3"/>
  <c r="J51" i="3"/>
  <c r="J43" i="3"/>
  <c r="J35" i="3"/>
  <c r="J27" i="3"/>
  <c r="J19" i="3"/>
  <c r="J11" i="3"/>
  <c r="J3" i="3"/>
  <c r="J133" i="3"/>
  <c r="J93" i="3"/>
  <c r="J45" i="3"/>
  <c r="J13" i="3"/>
  <c r="J170" i="3"/>
  <c r="J162" i="3"/>
  <c r="J154" i="3"/>
  <c r="J146" i="3"/>
  <c r="J138" i="3"/>
  <c r="J130" i="3"/>
  <c r="J122" i="3"/>
  <c r="J114" i="3"/>
  <c r="J106" i="3"/>
  <c r="J98" i="3"/>
  <c r="J90" i="3"/>
  <c r="J82" i="3"/>
  <c r="J74" i="3"/>
  <c r="J66" i="3"/>
  <c r="J58" i="3"/>
  <c r="J50" i="3"/>
  <c r="J42" i="3"/>
  <c r="J34" i="3"/>
  <c r="J26" i="3"/>
  <c r="J18" i="3"/>
  <c r="J10" i="3"/>
  <c r="J125" i="3"/>
  <c r="J109" i="3"/>
  <c r="J77" i="3"/>
  <c r="J21" i="3"/>
  <c r="J169" i="3"/>
  <c r="J161" i="3"/>
  <c r="J153" i="3"/>
  <c r="J145" i="3"/>
  <c r="J137" i="3"/>
  <c r="J129" i="3"/>
  <c r="J121" i="3"/>
  <c r="J113" i="3"/>
  <c r="J105" i="3"/>
  <c r="J97" i="3"/>
  <c r="J89" i="3"/>
  <c r="J81" i="3"/>
  <c r="J73" i="3"/>
  <c r="J65" i="3"/>
  <c r="J57" i="3"/>
  <c r="J49" i="3"/>
  <c r="J41" i="3"/>
  <c r="J33" i="3"/>
  <c r="J25" i="3"/>
  <c r="J17" i="3"/>
  <c r="J9" i="3"/>
  <c r="J141" i="3"/>
  <c r="J85" i="3"/>
  <c r="J37" i="3"/>
  <c r="J168" i="3"/>
  <c r="J160" i="3"/>
  <c r="J152" i="3"/>
  <c r="J144" i="3"/>
  <c r="J136" i="3"/>
  <c r="J128" i="3"/>
  <c r="J120" i="3"/>
  <c r="J112" i="3"/>
  <c r="J104" i="3"/>
  <c r="J96" i="3"/>
  <c r="J88" i="3"/>
  <c r="J80" i="3"/>
  <c r="J72" i="3"/>
  <c r="J64" i="3"/>
  <c r="J56" i="3"/>
  <c r="J48" i="3"/>
  <c r="J40" i="3"/>
  <c r="J32" i="3"/>
  <c r="J24" i="3"/>
  <c r="J16" i="3"/>
  <c r="J8" i="3"/>
  <c r="J149" i="3"/>
  <c r="J167" i="3"/>
  <c r="J159" i="3"/>
  <c r="J151" i="3"/>
  <c r="J143" i="3"/>
  <c r="J135" i="3"/>
  <c r="J127" i="3"/>
  <c r="J119" i="3"/>
  <c r="J111" i="3"/>
  <c r="J103" i="3"/>
  <c r="J95" i="3"/>
  <c r="J87" i="3"/>
  <c r="J79" i="3"/>
  <c r="J71" i="3"/>
  <c r="J63" i="3"/>
  <c r="J55" i="3"/>
  <c r="J47" i="3"/>
  <c r="J39" i="3"/>
  <c r="J31" i="3"/>
  <c r="J23" i="3"/>
  <c r="J15" i="3"/>
  <c r="J7" i="3"/>
  <c r="J157" i="3"/>
  <c r="J53" i="3"/>
  <c r="J166" i="3"/>
  <c r="J158" i="3"/>
  <c r="J150" i="3"/>
  <c r="J142" i="3"/>
  <c r="J134" i="3"/>
  <c r="J126" i="3"/>
  <c r="J118" i="3"/>
  <c r="J110" i="3"/>
  <c r="J102" i="3"/>
  <c r="J94" i="3"/>
  <c r="J86" i="3"/>
  <c r="J78" i="3"/>
  <c r="J70" i="3"/>
  <c r="J62" i="3"/>
  <c r="J54" i="3"/>
  <c r="J46" i="3"/>
  <c r="J38" i="3"/>
  <c r="J30" i="3"/>
  <c r="J22" i="3"/>
  <c r="J14" i="3"/>
  <c r="J6" i="3"/>
  <c r="J165" i="3"/>
  <c r="J69" i="3"/>
  <c r="J5" i="3"/>
  <c r="AQ87" i="3"/>
  <c r="AD163" i="9"/>
  <c r="AD151" i="9"/>
  <c r="AD178" i="9"/>
  <c r="AD154" i="9"/>
  <c r="AD142" i="9"/>
  <c r="AD175" i="9"/>
  <c r="AD169" i="9"/>
  <c r="AD166" i="9"/>
  <c r="AD172" i="9"/>
  <c r="K2" i="3"/>
  <c r="L2" i="3" s="1"/>
  <c r="AD232" i="9"/>
  <c r="AD229" i="9"/>
  <c r="AD226" i="9"/>
  <c r="AD223" i="9"/>
  <c r="AD220" i="9"/>
  <c r="AD217" i="9"/>
  <c r="AD214" i="9"/>
  <c r="AG156" i="7"/>
  <c r="AD498" i="9"/>
  <c r="AD495" i="9"/>
  <c r="AD492" i="9"/>
  <c r="AD489" i="9"/>
  <c r="AD486" i="9"/>
  <c r="AD480" i="9"/>
  <c r="AD477" i="9"/>
  <c r="AD474" i="9"/>
  <c r="AD471" i="9"/>
  <c r="AD468" i="9"/>
  <c r="AD465" i="9"/>
  <c r="AD462" i="9"/>
  <c r="AD459" i="9"/>
  <c r="AD456" i="9"/>
  <c r="AD453" i="9"/>
  <c r="AD450" i="9"/>
  <c r="AD447" i="9"/>
  <c r="AD444" i="9"/>
  <c r="AD441" i="9"/>
  <c r="AD438" i="9"/>
  <c r="AD435" i="9"/>
  <c r="AD432" i="9"/>
  <c r="AD429" i="9"/>
  <c r="AD426" i="9"/>
  <c r="AD423" i="9"/>
  <c r="AD420" i="9"/>
  <c r="AD417" i="9"/>
  <c r="AD414" i="9"/>
  <c r="AD411" i="9"/>
  <c r="AD408" i="9"/>
  <c r="AD405" i="9"/>
  <c r="AD402" i="9"/>
  <c r="AD399" i="9"/>
  <c r="AD396" i="9"/>
  <c r="AD393" i="9"/>
  <c r="AD390" i="9"/>
  <c r="AD387" i="9"/>
  <c r="AD384" i="9"/>
  <c r="AD381" i="9"/>
  <c r="AD378" i="9"/>
  <c r="AD375" i="9"/>
  <c r="AD372" i="9"/>
  <c r="AD369" i="9"/>
  <c r="AD366" i="9"/>
  <c r="AD363" i="9"/>
  <c r="AD360" i="9"/>
  <c r="AD357" i="9"/>
  <c r="AD354" i="9"/>
  <c r="AD351" i="9"/>
  <c r="AD348" i="9"/>
  <c r="AD345" i="9"/>
  <c r="AD342" i="9"/>
  <c r="AD339" i="9"/>
  <c r="AD336" i="9"/>
  <c r="AD333" i="9"/>
  <c r="AD330" i="9"/>
  <c r="AD327" i="9"/>
  <c r="AD324" i="9"/>
  <c r="AD321" i="9"/>
  <c r="AD318" i="9"/>
  <c r="AD315" i="9"/>
  <c r="AD312" i="9"/>
  <c r="AD309" i="9"/>
  <c r="AD306" i="9"/>
  <c r="AD303" i="9"/>
  <c r="AD300" i="9"/>
  <c r="AD297" i="9"/>
  <c r="AD294" i="9"/>
  <c r="AD291" i="9"/>
  <c r="AD288" i="9"/>
  <c r="AD285" i="9"/>
  <c r="AD282" i="9"/>
  <c r="AD279" i="9"/>
  <c r="AD276" i="9"/>
  <c r="AD273" i="9"/>
  <c r="AD270" i="9"/>
  <c r="AD267" i="9"/>
  <c r="AD264" i="9"/>
  <c r="AD261" i="9"/>
  <c r="AD258" i="9"/>
  <c r="AD255" i="9"/>
  <c r="AD252" i="9"/>
  <c r="AD249" i="9"/>
  <c r="AD246" i="9"/>
  <c r="AD243" i="9"/>
  <c r="AD240" i="9"/>
  <c r="AD237" i="9"/>
  <c r="AD234" i="9"/>
  <c r="AD231" i="9"/>
  <c r="AD228" i="9"/>
  <c r="AD225" i="9"/>
  <c r="AD222" i="9"/>
  <c r="AD219" i="9"/>
  <c r="AD216" i="9"/>
  <c r="AD213" i="9"/>
  <c r="AD210" i="9"/>
  <c r="AD207" i="9"/>
  <c r="AD204" i="9"/>
  <c r="AD201" i="9"/>
  <c r="AD198" i="9"/>
  <c r="AD195" i="9"/>
  <c r="AD192" i="9"/>
  <c r="AD189" i="9"/>
  <c r="AD186" i="9"/>
  <c r="AD183" i="9"/>
  <c r="AD180" i="9"/>
  <c r="AD177" i="9"/>
  <c r="AD174" i="9"/>
  <c r="AD171" i="9"/>
  <c r="AD168" i="9"/>
  <c r="AD165" i="9"/>
  <c r="AD162" i="9"/>
  <c r="AD159" i="9"/>
  <c r="AD156" i="9"/>
  <c r="AD153" i="9"/>
  <c r="AD150" i="9"/>
  <c r="AD147" i="9"/>
  <c r="AD144" i="9"/>
  <c r="AD141" i="9"/>
  <c r="AD179" i="9"/>
  <c r="AD176" i="9"/>
  <c r="AD173" i="9"/>
  <c r="AD170" i="9"/>
  <c r="AD167" i="9"/>
  <c r="AD164" i="9"/>
  <c r="AD161" i="9"/>
  <c r="AD158" i="9"/>
  <c r="AD155" i="9"/>
  <c r="AD152" i="9"/>
  <c r="AD149" i="9"/>
  <c r="AD146" i="9"/>
  <c r="AD143" i="9"/>
  <c r="AD140" i="9"/>
  <c r="AD500" i="9"/>
  <c r="AD497" i="9"/>
  <c r="AD494" i="9"/>
  <c r="AD491" i="9"/>
  <c r="AD488" i="9"/>
  <c r="AD485" i="9"/>
  <c r="AD482" i="9"/>
  <c r="AD479" i="9"/>
  <c r="AD476" i="9"/>
  <c r="AD473" i="9"/>
  <c r="AD470" i="9"/>
  <c r="AD467" i="9"/>
  <c r="AD464" i="9"/>
  <c r="AD461" i="9"/>
  <c r="AD458" i="9"/>
  <c r="AD455" i="9"/>
  <c r="AD452" i="9"/>
  <c r="AD449" i="9"/>
  <c r="AD446" i="9"/>
  <c r="AD443" i="9"/>
  <c r="AD440" i="9"/>
  <c r="AD437" i="9"/>
  <c r="AD434" i="9"/>
  <c r="AD431" i="9"/>
  <c r="AD428" i="9"/>
  <c r="AD425" i="9"/>
  <c r="AD422" i="9"/>
  <c r="AD419" i="9"/>
  <c r="AD416" i="9"/>
  <c r="AD413" i="9"/>
  <c r="AD410" i="9"/>
  <c r="AD407" i="9"/>
  <c r="AD404" i="9"/>
  <c r="AD401" i="9"/>
  <c r="AD398" i="9"/>
  <c r="AD395" i="9"/>
  <c r="AD392" i="9"/>
  <c r="AD389" i="9"/>
  <c r="AD386" i="9"/>
  <c r="AD383" i="9"/>
  <c r="AD380" i="9"/>
  <c r="AD377" i="9"/>
  <c r="AD374" i="9"/>
  <c r="AD371" i="9"/>
  <c r="AD368" i="9"/>
  <c r="AD365" i="9"/>
  <c r="AD362" i="9"/>
  <c r="AD359" i="9"/>
  <c r="AD356" i="9"/>
  <c r="AD353" i="9"/>
  <c r="AD350" i="9"/>
  <c r="AD347" i="9"/>
  <c r="AD344" i="9"/>
  <c r="AD341" i="9"/>
  <c r="AD338" i="9"/>
  <c r="AD335" i="9"/>
  <c r="AD332" i="9"/>
  <c r="AD329" i="9"/>
  <c r="AD326" i="9"/>
  <c r="AD323" i="9"/>
  <c r="AD320" i="9"/>
  <c r="AD317" i="9"/>
  <c r="AD314" i="9"/>
  <c r="AD311" i="9"/>
  <c r="AD308" i="9"/>
  <c r="AD305" i="9"/>
  <c r="AD302" i="9"/>
  <c r="AD299" i="9"/>
  <c r="AD296" i="9"/>
  <c r="AD293" i="9"/>
  <c r="AD290" i="9"/>
  <c r="AD287" i="9"/>
  <c r="AD284" i="9"/>
  <c r="AD281" i="9"/>
  <c r="AD278" i="9"/>
  <c r="AD275" i="9"/>
  <c r="AD272" i="9"/>
  <c r="AD269" i="9"/>
  <c r="AD266" i="9"/>
  <c r="AD263" i="9"/>
  <c r="AD260" i="9"/>
  <c r="AD257" i="9"/>
  <c r="AD254" i="9"/>
  <c r="AD251" i="9"/>
  <c r="AD248" i="9"/>
  <c r="AD245" i="9"/>
  <c r="AD242" i="9"/>
  <c r="AD239" i="9"/>
  <c r="AD236" i="9"/>
  <c r="AD233" i="9"/>
  <c r="AD230" i="9"/>
  <c r="AD227" i="9"/>
  <c r="AD224" i="9"/>
  <c r="AD221" i="9"/>
  <c r="AD218" i="9"/>
  <c r="AD215" i="9"/>
  <c r="AD212" i="9"/>
  <c r="AD209" i="9"/>
  <c r="AD206" i="9"/>
  <c r="AD203" i="9"/>
  <c r="AD200" i="9"/>
  <c r="AD197" i="9"/>
  <c r="AD194" i="9"/>
  <c r="AD191" i="9"/>
  <c r="AD188" i="9"/>
  <c r="AD185" i="9"/>
  <c r="AD182" i="9"/>
  <c r="AD211" i="9"/>
  <c r="AD208" i="9"/>
  <c r="AD205" i="9"/>
  <c r="AD202" i="9"/>
  <c r="AD199" i="9"/>
  <c r="AD196" i="9"/>
  <c r="AD193" i="9"/>
  <c r="AD190" i="9"/>
  <c r="AD187" i="9"/>
  <c r="AD184" i="9"/>
  <c r="AD181" i="9"/>
  <c r="AD499" i="9"/>
  <c r="AD496" i="9"/>
  <c r="AD493" i="9"/>
  <c r="AD490" i="9"/>
  <c r="AD483" i="9"/>
  <c r="AD487" i="9"/>
  <c r="AD484" i="9"/>
  <c r="AD481" i="9"/>
  <c r="AD478" i="9"/>
  <c r="AD475" i="9"/>
  <c r="AD472" i="9"/>
  <c r="AD469" i="9"/>
  <c r="AD466" i="9"/>
  <c r="AD463" i="9"/>
  <c r="AD460" i="9"/>
  <c r="AD457" i="9"/>
  <c r="AD454" i="9"/>
  <c r="AD451" i="9"/>
  <c r="AD448" i="9"/>
  <c r="AD445" i="9"/>
  <c r="AD442" i="9"/>
  <c r="AD439" i="9"/>
  <c r="AD436" i="9"/>
  <c r="AD433" i="9"/>
  <c r="AD430" i="9"/>
  <c r="AD427" i="9"/>
  <c r="AD424" i="9"/>
  <c r="AD421" i="9"/>
  <c r="AD418" i="9"/>
  <c r="AD415" i="9"/>
  <c r="AD412" i="9"/>
  <c r="AD409" i="9"/>
  <c r="AD406" i="9"/>
  <c r="AD403" i="9"/>
  <c r="AD400" i="9"/>
  <c r="AD397" i="9"/>
  <c r="AD394" i="9"/>
  <c r="AD391" i="9"/>
  <c r="AD388" i="9"/>
  <c r="AD385" i="9"/>
  <c r="AD382" i="9"/>
  <c r="AD379" i="9"/>
  <c r="AD376" i="9"/>
  <c r="AD373" i="9"/>
  <c r="AD370" i="9"/>
  <c r="AD367" i="9"/>
  <c r="AD364" i="9"/>
  <c r="AD361" i="9"/>
  <c r="AD358" i="9"/>
  <c r="AD355" i="9"/>
  <c r="AD352" i="9"/>
  <c r="AD349" i="9"/>
  <c r="AD346" i="9"/>
  <c r="AD343" i="9"/>
  <c r="AD340" i="9"/>
  <c r="AD337" i="9"/>
  <c r="AD334" i="9"/>
  <c r="AD331" i="9"/>
  <c r="AD328" i="9"/>
  <c r="AD325" i="9"/>
  <c r="AD322" i="9"/>
  <c r="AD319" i="9"/>
  <c r="AD316" i="9"/>
  <c r="AD313" i="9"/>
  <c r="AD310" i="9"/>
  <c r="AD307" i="9"/>
  <c r="AD304" i="9"/>
  <c r="AD301" i="9"/>
  <c r="AD298" i="9"/>
  <c r="AD295" i="9"/>
  <c r="AD292" i="9"/>
  <c r="AD289" i="9"/>
  <c r="AD286" i="9"/>
  <c r="AD283" i="9"/>
  <c r="AD280" i="9"/>
  <c r="AD277" i="9"/>
  <c r="AD274" i="9"/>
  <c r="AD271" i="9"/>
  <c r="AD268" i="9"/>
  <c r="AD265" i="9"/>
  <c r="AD262" i="9"/>
  <c r="AD259" i="9"/>
  <c r="AD256" i="9"/>
  <c r="AD253" i="9"/>
  <c r="AD250" i="9"/>
  <c r="AD247" i="9"/>
  <c r="AD244" i="9"/>
  <c r="AD241" i="9"/>
  <c r="AD238" i="9"/>
  <c r="AD235" i="9"/>
  <c r="D3" i="13" l="1"/>
  <c r="D12" i="13"/>
  <c r="Z139" i="9"/>
  <c r="R139" i="9"/>
  <c r="S139" i="9" s="1"/>
  <c r="J139" i="9"/>
  <c r="K139" i="9" s="1"/>
  <c r="AB138" i="9"/>
  <c r="AC138" i="9" s="1"/>
  <c r="T138" i="9"/>
  <c r="U138" i="9" s="1"/>
  <c r="L138" i="9"/>
  <c r="M138" i="9" s="1"/>
  <c r="V137" i="9"/>
  <c r="W137" i="9" s="1"/>
  <c r="N137" i="9"/>
  <c r="O137" i="9" s="1"/>
  <c r="F137" i="9"/>
  <c r="G137" i="9" s="1"/>
  <c r="X136" i="9"/>
  <c r="P136" i="9"/>
  <c r="Q136" i="9" s="1"/>
  <c r="H136" i="9"/>
  <c r="I136" i="9" s="1"/>
  <c r="X139" i="9"/>
  <c r="P139" i="9"/>
  <c r="Q139" i="9" s="1"/>
  <c r="H139" i="9"/>
  <c r="I139" i="9" s="1"/>
  <c r="Z138" i="9"/>
  <c r="R138" i="9"/>
  <c r="S138" i="9" s="1"/>
  <c r="J138" i="9"/>
  <c r="K138" i="9" s="1"/>
  <c r="AB137" i="9"/>
  <c r="AC137" i="9" s="1"/>
  <c r="T137" i="9"/>
  <c r="U137" i="9" s="1"/>
  <c r="L137" i="9"/>
  <c r="M137" i="9" s="1"/>
  <c r="V136" i="9"/>
  <c r="W136" i="9" s="1"/>
  <c r="N136" i="9"/>
  <c r="O136" i="9" s="1"/>
  <c r="F136" i="9"/>
  <c r="G136" i="9" s="1"/>
  <c r="P137" i="9"/>
  <c r="Q137" i="9" s="1"/>
  <c r="R136" i="9"/>
  <c r="S136" i="9" s="1"/>
  <c r="V139" i="9"/>
  <c r="W139" i="9" s="1"/>
  <c r="N139" i="9"/>
  <c r="O139" i="9" s="1"/>
  <c r="F139" i="9"/>
  <c r="G139" i="9" s="1"/>
  <c r="X138" i="9"/>
  <c r="P138" i="9"/>
  <c r="Q138" i="9" s="1"/>
  <c r="H138" i="9"/>
  <c r="I138" i="9" s="1"/>
  <c r="Z137" i="9"/>
  <c r="R137" i="9"/>
  <c r="S137" i="9" s="1"/>
  <c r="J137" i="9"/>
  <c r="K137" i="9" s="1"/>
  <c r="AB136" i="9"/>
  <c r="AC136" i="9" s="1"/>
  <c r="T136" i="9"/>
  <c r="U136" i="9" s="1"/>
  <c r="L136" i="9"/>
  <c r="M136" i="9" s="1"/>
  <c r="F138" i="9"/>
  <c r="G138" i="9" s="1"/>
  <c r="J136" i="9"/>
  <c r="K136" i="9" s="1"/>
  <c r="AB139" i="9"/>
  <c r="AC139" i="9" s="1"/>
  <c r="T139" i="9"/>
  <c r="U139" i="9" s="1"/>
  <c r="L139" i="9"/>
  <c r="M139" i="9" s="1"/>
  <c r="V138" i="9"/>
  <c r="W138" i="9" s="1"/>
  <c r="N138" i="9"/>
  <c r="O138" i="9" s="1"/>
  <c r="X137" i="9"/>
  <c r="H137" i="9"/>
  <c r="I137" i="9" s="1"/>
  <c r="Z136" i="9"/>
  <c r="B2" i="9"/>
  <c r="R2" i="9" s="1"/>
  <c r="S2" i="9" s="1"/>
  <c r="Z135" i="9"/>
  <c r="R135" i="9"/>
  <c r="S135" i="9" s="1"/>
  <c r="J135" i="9"/>
  <c r="K135" i="9" s="1"/>
  <c r="AB134" i="9"/>
  <c r="AC134" i="9" s="1"/>
  <c r="T134" i="9"/>
  <c r="U134" i="9" s="1"/>
  <c r="L134" i="9"/>
  <c r="M134" i="9" s="1"/>
  <c r="V133" i="9"/>
  <c r="W133" i="9" s="1"/>
  <c r="N133" i="9"/>
  <c r="O133" i="9" s="1"/>
  <c r="F133" i="9"/>
  <c r="G133" i="9" s="1"/>
  <c r="X132" i="9"/>
  <c r="P132" i="9"/>
  <c r="Q132" i="9" s="1"/>
  <c r="H132" i="9"/>
  <c r="I132" i="9" s="1"/>
  <c r="Z131" i="9"/>
  <c r="R131" i="9"/>
  <c r="S131" i="9" s="1"/>
  <c r="J131" i="9"/>
  <c r="K131" i="9" s="1"/>
  <c r="X135" i="9"/>
  <c r="P135" i="9"/>
  <c r="Q135" i="9" s="1"/>
  <c r="H135" i="9"/>
  <c r="I135" i="9" s="1"/>
  <c r="Z134" i="9"/>
  <c r="R134" i="9"/>
  <c r="S134" i="9" s="1"/>
  <c r="J134" i="9"/>
  <c r="K134" i="9" s="1"/>
  <c r="AB133" i="9"/>
  <c r="AC133" i="9" s="1"/>
  <c r="T133" i="9"/>
  <c r="U133" i="9" s="1"/>
  <c r="L133" i="9"/>
  <c r="M133" i="9" s="1"/>
  <c r="V132" i="9"/>
  <c r="W132" i="9" s="1"/>
  <c r="N132" i="9"/>
  <c r="O132" i="9" s="1"/>
  <c r="F132" i="9"/>
  <c r="G132" i="9" s="1"/>
  <c r="X131" i="9"/>
  <c r="P131" i="9"/>
  <c r="Q131" i="9" s="1"/>
  <c r="H131" i="9"/>
  <c r="I131" i="9" s="1"/>
  <c r="V135" i="9"/>
  <c r="W135" i="9" s="1"/>
  <c r="N135" i="9"/>
  <c r="O135" i="9" s="1"/>
  <c r="F135" i="9"/>
  <c r="G135" i="9" s="1"/>
  <c r="X134" i="9"/>
  <c r="P134" i="9"/>
  <c r="Q134" i="9" s="1"/>
  <c r="H134" i="9"/>
  <c r="I134" i="9" s="1"/>
  <c r="Z133" i="9"/>
  <c r="R133" i="9"/>
  <c r="S133" i="9" s="1"/>
  <c r="J133" i="9"/>
  <c r="K133" i="9" s="1"/>
  <c r="AB132" i="9"/>
  <c r="AC132" i="9" s="1"/>
  <c r="T132" i="9"/>
  <c r="U132" i="9" s="1"/>
  <c r="L132" i="9"/>
  <c r="M132" i="9" s="1"/>
  <c r="V131" i="9"/>
  <c r="W131" i="9" s="1"/>
  <c r="N131" i="9"/>
  <c r="O131" i="9" s="1"/>
  <c r="F131" i="9"/>
  <c r="G131" i="9" s="1"/>
  <c r="T135" i="9"/>
  <c r="U135" i="9" s="1"/>
  <c r="AB135" i="9"/>
  <c r="AC135" i="9" s="1"/>
  <c r="L135" i="9"/>
  <c r="M135" i="9" s="1"/>
  <c r="V134" i="9"/>
  <c r="W134" i="9" s="1"/>
  <c r="N134" i="9"/>
  <c r="O134" i="9" s="1"/>
  <c r="F134" i="9"/>
  <c r="G134" i="9" s="1"/>
  <c r="X133" i="9"/>
  <c r="P133" i="9"/>
  <c r="Q133" i="9" s="1"/>
  <c r="H133" i="9"/>
  <c r="I133" i="9" s="1"/>
  <c r="Z132" i="9"/>
  <c r="R132" i="9"/>
  <c r="S132" i="9" s="1"/>
  <c r="J132" i="9"/>
  <c r="K132" i="9" s="1"/>
  <c r="AB131" i="9"/>
  <c r="AC131" i="9" s="1"/>
  <c r="T131" i="9"/>
  <c r="U131" i="9" s="1"/>
  <c r="L131" i="9"/>
  <c r="M131" i="9" s="1"/>
  <c r="F3" i="13"/>
  <c r="X130" i="9"/>
  <c r="AA130" i="9" s="1"/>
  <c r="AB130" i="9"/>
  <c r="AC130" i="9" s="1"/>
  <c r="T130" i="9"/>
  <c r="U130" i="9" s="1"/>
  <c r="F130" i="9"/>
  <c r="G130" i="9" s="1"/>
  <c r="J130" i="9"/>
  <c r="K130" i="9" s="1"/>
  <c r="N130" i="9"/>
  <c r="O130" i="9" s="1"/>
  <c r="V130" i="9"/>
  <c r="W130" i="9" s="1"/>
  <c r="Z130" i="9"/>
  <c r="P130" i="9"/>
  <c r="Q130" i="9" s="1"/>
  <c r="H130" i="9"/>
  <c r="I130" i="9" s="1"/>
  <c r="L130" i="9"/>
  <c r="M130" i="9" s="1"/>
  <c r="R130" i="9"/>
  <c r="S130" i="9" s="1"/>
  <c r="C23" i="5"/>
  <c r="C34" i="5"/>
  <c r="C26" i="5"/>
  <c r="C33" i="5"/>
  <c r="C25" i="5"/>
  <c r="C32" i="5"/>
  <c r="C24" i="5"/>
  <c r="C31" i="5"/>
  <c r="C30" i="5"/>
  <c r="C29" i="5"/>
  <c r="C28" i="5"/>
  <c r="C27" i="5"/>
  <c r="V316" i="7"/>
  <c r="AA316" i="7" s="1"/>
  <c r="W316" i="7" s="1"/>
  <c r="V358" i="7"/>
  <c r="AA358" i="7" s="1"/>
  <c r="W358" i="7" s="1"/>
  <c r="V488" i="7"/>
  <c r="AA488" i="7" s="1"/>
  <c r="W488" i="7" s="1"/>
  <c r="V281" i="7"/>
  <c r="AA281" i="7" s="1"/>
  <c r="W281" i="7" s="1"/>
  <c r="V362" i="7"/>
  <c r="AA362" i="7" s="1"/>
  <c r="W362" i="7" s="1"/>
  <c r="V370" i="7"/>
  <c r="AA370" i="7" s="1"/>
  <c r="W370" i="7" s="1"/>
  <c r="V349" i="7"/>
  <c r="AA349" i="7" s="1"/>
  <c r="W349" i="7" s="1"/>
  <c r="V496" i="7"/>
  <c r="AA496" i="7" s="1"/>
  <c r="W496" i="7" s="1"/>
  <c r="V489" i="7"/>
  <c r="AA489" i="7" s="1"/>
  <c r="W489" i="7" s="1"/>
  <c r="V282" i="7"/>
  <c r="AA282" i="7" s="1"/>
  <c r="W282" i="7" s="1"/>
  <c r="V458" i="7"/>
  <c r="AA458" i="7" s="1"/>
  <c r="W458" i="7" s="1"/>
  <c r="V448" i="7"/>
  <c r="AA448" i="7" s="1"/>
  <c r="W448" i="7" s="1"/>
  <c r="V330" i="7"/>
  <c r="AA330" i="7" s="1"/>
  <c r="W330" i="7" s="1"/>
  <c r="V235" i="7"/>
  <c r="AA235" i="7" s="1"/>
  <c r="W235" i="7" s="1"/>
  <c r="V232" i="7"/>
  <c r="AA232" i="7" s="1"/>
  <c r="W232" i="7" s="1"/>
  <c r="V289" i="7"/>
  <c r="AA289" i="7" s="1"/>
  <c r="W289" i="7" s="1"/>
  <c r="V360" i="7"/>
  <c r="AA360" i="7" s="1"/>
  <c r="W360" i="7" s="1"/>
  <c r="V440" i="7"/>
  <c r="AA440" i="7" s="1"/>
  <c r="W440" i="7" s="1"/>
  <c r="V422" i="7"/>
  <c r="AA422" i="7" s="1"/>
  <c r="W422" i="7" s="1"/>
  <c r="V345" i="7"/>
  <c r="AA345" i="7" s="1"/>
  <c r="W345" i="7" s="1"/>
  <c r="V390" i="7"/>
  <c r="AA390" i="7" s="1"/>
  <c r="W390" i="7" s="1"/>
  <c r="V270" i="7"/>
  <c r="AA270" i="7" s="1"/>
  <c r="W270" i="7" s="1"/>
  <c r="V494" i="7"/>
  <c r="AA494" i="7" s="1"/>
  <c r="W494" i="7" s="1"/>
  <c r="V454" i="7"/>
  <c r="AA454" i="7" s="1"/>
  <c r="W454" i="7" s="1"/>
  <c r="V401" i="7"/>
  <c r="AA401" i="7" s="1"/>
  <c r="W401" i="7" s="1"/>
  <c r="V328" i="7"/>
  <c r="AA328" i="7" s="1"/>
  <c r="W328" i="7" s="1"/>
  <c r="V441" i="7"/>
  <c r="AA441" i="7" s="1"/>
  <c r="W441" i="7" s="1"/>
  <c r="V338" i="7"/>
  <c r="AA338" i="7" s="1"/>
  <c r="W338" i="7" s="1"/>
  <c r="V320" i="7"/>
  <c r="AA320" i="7" s="1"/>
  <c r="W320" i="7" s="1"/>
  <c r="V240" i="7"/>
  <c r="AA240" i="7" s="1"/>
  <c r="W240" i="7" s="1"/>
  <c r="V258" i="7"/>
  <c r="AA258" i="7" s="1"/>
  <c r="W258" i="7" s="1"/>
  <c r="V280" i="7"/>
  <c r="AA280" i="7" s="1"/>
  <c r="W280" i="7" s="1"/>
  <c r="V366" i="7"/>
  <c r="AA366" i="7" s="1"/>
  <c r="W366" i="7" s="1"/>
  <c r="D4" i="13"/>
  <c r="V329" i="7"/>
  <c r="AA329" i="7" s="1"/>
  <c r="W329" i="7" s="1"/>
  <c r="V449" i="7"/>
  <c r="AA449" i="7" s="1"/>
  <c r="W449" i="7" s="1"/>
  <c r="V435" i="7"/>
  <c r="AA435" i="7" s="1"/>
  <c r="W435" i="7" s="1"/>
  <c r="V310" i="7"/>
  <c r="AA310" i="7" s="1"/>
  <c r="W310" i="7" s="1"/>
  <c r="V312" i="7"/>
  <c r="AA312" i="7" s="1"/>
  <c r="W312" i="7" s="1"/>
  <c r="V314" i="7"/>
  <c r="AA314" i="7" s="1"/>
  <c r="W314" i="7" s="1"/>
  <c r="V241" i="7"/>
  <c r="AA241" i="7" s="1"/>
  <c r="W241" i="7" s="1"/>
  <c r="V385" i="7"/>
  <c r="AA385" i="7" s="1"/>
  <c r="W385" i="7" s="1"/>
  <c r="V442" i="7"/>
  <c r="AA442" i="7" s="1"/>
  <c r="W442" i="7" s="1"/>
  <c r="V311" i="7"/>
  <c r="AA311" i="7" s="1"/>
  <c r="W311" i="7" s="1"/>
  <c r="V498" i="7"/>
  <c r="AA498" i="7" s="1"/>
  <c r="W498" i="7" s="1"/>
  <c r="V275" i="7"/>
  <c r="AA275" i="7" s="1"/>
  <c r="W275" i="7" s="1"/>
  <c r="V491" i="7"/>
  <c r="AA491" i="7" s="1"/>
  <c r="W491" i="7" s="1"/>
  <c r="V388" i="7"/>
  <c r="AA388" i="7" s="1"/>
  <c r="W388" i="7" s="1"/>
  <c r="F4" i="13"/>
  <c r="F10" i="13"/>
  <c r="V331" i="7"/>
  <c r="AA331" i="7" s="1"/>
  <c r="W331" i="7" s="1"/>
  <c r="V379" i="7"/>
  <c r="AA379" i="7" s="1"/>
  <c r="W379" i="7" s="1"/>
  <c r="V244" i="7"/>
  <c r="AA244" i="7" s="1"/>
  <c r="W244" i="7" s="1"/>
  <c r="V303" i="7"/>
  <c r="AA303" i="7" s="1"/>
  <c r="W303" i="7" s="1"/>
  <c r="V285" i="7"/>
  <c r="AA285" i="7" s="1"/>
  <c r="W285" i="7" s="1"/>
  <c r="V484" i="7"/>
  <c r="AA484" i="7" s="1"/>
  <c r="W484" i="7" s="1"/>
  <c r="V380" i="7"/>
  <c r="AA380" i="7" s="1"/>
  <c r="W380" i="7" s="1"/>
  <c r="V292" i="7"/>
  <c r="AA292" i="7" s="1"/>
  <c r="W292" i="7" s="1"/>
  <c r="V228" i="7"/>
  <c r="AA228" i="7" s="1"/>
  <c r="W228" i="7" s="1"/>
  <c r="H4" i="13"/>
  <c r="V475" i="7"/>
  <c r="AA475" i="7" s="1"/>
  <c r="W475" i="7" s="1"/>
  <c r="V419" i="7"/>
  <c r="AA419" i="7" s="1"/>
  <c r="W419" i="7" s="1"/>
  <c r="V371" i="7"/>
  <c r="AA371" i="7" s="1"/>
  <c r="W371" i="7" s="1"/>
  <c r="V315" i="7"/>
  <c r="AA315" i="7" s="1"/>
  <c r="W315" i="7" s="1"/>
  <c r="V259" i="7"/>
  <c r="AA259" i="7" s="1"/>
  <c r="W259" i="7" s="1"/>
  <c r="V482" i="7"/>
  <c r="AA482" i="7" s="1"/>
  <c r="W482" i="7" s="1"/>
  <c r="V426" i="7"/>
  <c r="AA426" i="7" s="1"/>
  <c r="W426" i="7" s="1"/>
  <c r="V481" i="7"/>
  <c r="AA481" i="7" s="1"/>
  <c r="W481" i="7" s="1"/>
  <c r="V425" i="7"/>
  <c r="AA425" i="7" s="1"/>
  <c r="W425" i="7" s="1"/>
  <c r="V369" i="7"/>
  <c r="AA369" i="7" s="1"/>
  <c r="W369" i="7" s="1"/>
  <c r="V321" i="7"/>
  <c r="AA321" i="7" s="1"/>
  <c r="W321" i="7" s="1"/>
  <c r="V265" i="7"/>
  <c r="AA265" i="7" s="1"/>
  <c r="W265" i="7" s="1"/>
  <c r="V424" i="7"/>
  <c r="AA424" i="7" s="1"/>
  <c r="W424" i="7" s="1"/>
  <c r="V272" i="7"/>
  <c r="AA272" i="7" s="1"/>
  <c r="W272" i="7" s="1"/>
  <c r="V302" i="7"/>
  <c r="AA302" i="7" s="1"/>
  <c r="W302" i="7" s="1"/>
  <c r="V376" i="7"/>
  <c r="AA376" i="7" s="1"/>
  <c r="W376" i="7" s="1"/>
  <c r="V416" i="7"/>
  <c r="AA416" i="7" s="1"/>
  <c r="W416" i="7" s="1"/>
  <c r="V266" i="7"/>
  <c r="AA266" i="7" s="1"/>
  <c r="W266" i="7" s="1"/>
  <c r="V446" i="7"/>
  <c r="AA446" i="7" s="1"/>
  <c r="W446" i="7" s="1"/>
  <c r="V306" i="7"/>
  <c r="AA306" i="7" s="1"/>
  <c r="W306" i="7" s="1"/>
  <c r="V344" i="7"/>
  <c r="AA344" i="7" s="1"/>
  <c r="W344" i="7" s="1"/>
  <c r="V346" i="7"/>
  <c r="AA346" i="7" s="1"/>
  <c r="W346" i="7" s="1"/>
  <c r="V432" i="7"/>
  <c r="AA432" i="7" s="1"/>
  <c r="W432" i="7" s="1"/>
  <c r="V278" i="7"/>
  <c r="AA278" i="7" s="1"/>
  <c r="W278" i="7" s="1"/>
  <c r="V462" i="7"/>
  <c r="AA462" i="7" s="1"/>
  <c r="W462" i="7" s="1"/>
  <c r="V296" i="7"/>
  <c r="AA296" i="7" s="1"/>
  <c r="W296" i="7" s="1"/>
  <c r="V477" i="7"/>
  <c r="AA477" i="7" s="1"/>
  <c r="W477" i="7" s="1"/>
  <c r="V245" i="7"/>
  <c r="AA245" i="7" s="1"/>
  <c r="W245" i="7" s="1"/>
  <c r="V468" i="7"/>
  <c r="AA468" i="7" s="1"/>
  <c r="W468" i="7" s="1"/>
  <c r="V348" i="7"/>
  <c r="AA348" i="7" s="1"/>
  <c r="W348" i="7" s="1"/>
  <c r="V268" i="7"/>
  <c r="AA268" i="7" s="1"/>
  <c r="W268" i="7" s="1"/>
  <c r="D6" i="13"/>
  <c r="V459" i="7"/>
  <c r="AA459" i="7" s="1"/>
  <c r="W459" i="7" s="1"/>
  <c r="V411" i="7"/>
  <c r="AA411" i="7" s="1"/>
  <c r="W411" i="7" s="1"/>
  <c r="V355" i="7"/>
  <c r="AA355" i="7" s="1"/>
  <c r="W355" i="7" s="1"/>
  <c r="V299" i="7"/>
  <c r="AA299" i="7" s="1"/>
  <c r="W299" i="7" s="1"/>
  <c r="V251" i="7"/>
  <c r="AA251" i="7" s="1"/>
  <c r="W251" i="7" s="1"/>
  <c r="V466" i="7"/>
  <c r="AA466" i="7" s="1"/>
  <c r="W466" i="7" s="1"/>
  <c r="V418" i="7"/>
  <c r="AA418" i="7" s="1"/>
  <c r="W418" i="7" s="1"/>
  <c r="V465" i="7"/>
  <c r="AA465" i="7" s="1"/>
  <c r="W465" i="7" s="1"/>
  <c r="V409" i="7"/>
  <c r="AA409" i="7" s="1"/>
  <c r="W409" i="7" s="1"/>
  <c r="V361" i="7"/>
  <c r="AA361" i="7" s="1"/>
  <c r="W361" i="7" s="1"/>
  <c r="V305" i="7"/>
  <c r="AA305" i="7" s="1"/>
  <c r="W305" i="7" s="1"/>
  <c r="V249" i="7"/>
  <c r="AA249" i="7" s="1"/>
  <c r="W249" i="7" s="1"/>
  <c r="V378" i="7"/>
  <c r="AA378" i="7" s="1"/>
  <c r="W378" i="7" s="1"/>
  <c r="V250" i="7"/>
  <c r="AA250" i="7" s="1"/>
  <c r="W250" i="7" s="1"/>
  <c r="D8" i="13"/>
  <c r="V334" i="7"/>
  <c r="AA334" i="7" s="1"/>
  <c r="W334" i="7" s="1"/>
  <c r="V374" i="7"/>
  <c r="AA374" i="7" s="1"/>
  <c r="W374" i="7" s="1"/>
  <c r="V414" i="7"/>
  <c r="AA414" i="7" s="1"/>
  <c r="W414" i="7" s="1"/>
  <c r="V264" i="7"/>
  <c r="AA264" i="7" s="1"/>
  <c r="W264" i="7" s="1"/>
  <c r="V472" i="7"/>
  <c r="AA472" i="7" s="1"/>
  <c r="W472" i="7" s="1"/>
  <c r="V326" i="7"/>
  <c r="AA326" i="7" s="1"/>
  <c r="W326" i="7" s="1"/>
  <c r="V386" i="7"/>
  <c r="AA386" i="7" s="1"/>
  <c r="W386" i="7" s="1"/>
  <c r="V384" i="7"/>
  <c r="AA384" i="7" s="1"/>
  <c r="W384" i="7" s="1"/>
  <c r="V256" i="7"/>
  <c r="AA256" i="7" s="1"/>
  <c r="W256" i="7" s="1"/>
  <c r="V402" i="7"/>
  <c r="AA402" i="7" s="1"/>
  <c r="W402" i="7" s="1"/>
  <c r="V254" i="7"/>
  <c r="AA254" i="7" s="1"/>
  <c r="W254" i="7" s="1"/>
  <c r="V413" i="7"/>
  <c r="AA413" i="7" s="1"/>
  <c r="W413" i="7" s="1"/>
  <c r="V229" i="7"/>
  <c r="AA229" i="7" s="1"/>
  <c r="W229" i="7" s="1"/>
  <c r="V428" i="7"/>
  <c r="AA428" i="7" s="1"/>
  <c r="W428" i="7" s="1"/>
  <c r="V324" i="7"/>
  <c r="AA324" i="7" s="1"/>
  <c r="W324" i="7" s="1"/>
  <c r="V260" i="7"/>
  <c r="AA260" i="7" s="1"/>
  <c r="W260" i="7" s="1"/>
  <c r="V499" i="7"/>
  <c r="AA499" i="7" s="1"/>
  <c r="W499" i="7" s="1"/>
  <c r="V451" i="7"/>
  <c r="AA451" i="7" s="1"/>
  <c r="W451" i="7" s="1"/>
  <c r="V395" i="7"/>
  <c r="AA395" i="7" s="1"/>
  <c r="W395" i="7" s="1"/>
  <c r="V339" i="7"/>
  <c r="AA339" i="7" s="1"/>
  <c r="W339" i="7" s="1"/>
  <c r="V291" i="7"/>
  <c r="AA291" i="7" s="1"/>
  <c r="W291" i="7" s="1"/>
  <c r="V357" i="7"/>
  <c r="AA357" i="7" s="1"/>
  <c r="W357" i="7" s="1"/>
  <c r="V485" i="7"/>
  <c r="AA485" i="7" s="1"/>
  <c r="W485" i="7" s="1"/>
  <c r="V423" i="7"/>
  <c r="AA423" i="7" s="1"/>
  <c r="W423" i="7" s="1"/>
  <c r="V274" i="7"/>
  <c r="AA274" i="7" s="1"/>
  <c r="W274" i="7" s="1"/>
  <c r="V382" i="7"/>
  <c r="AA382" i="7" s="1"/>
  <c r="W382" i="7" s="1"/>
  <c r="V298" i="7"/>
  <c r="AA298" i="7" s="1"/>
  <c r="W298" i="7" s="1"/>
  <c r="V406" i="7"/>
  <c r="AA406" i="7" s="1"/>
  <c r="W406" i="7" s="1"/>
  <c r="V322" i="7"/>
  <c r="AA322" i="7" s="1"/>
  <c r="W322" i="7" s="1"/>
  <c r="V262" i="7"/>
  <c r="AA262" i="7" s="1"/>
  <c r="W262" i="7" s="1"/>
  <c r="V368" i="7"/>
  <c r="AA368" i="7" s="1"/>
  <c r="W368" i="7" s="1"/>
  <c r="V238" i="7"/>
  <c r="AA238" i="7" s="1"/>
  <c r="W238" i="7" s="1"/>
  <c r="V242" i="7"/>
  <c r="AA242" i="7" s="1"/>
  <c r="W242" i="7" s="1"/>
  <c r="V350" i="7"/>
  <c r="AA350" i="7" s="1"/>
  <c r="W350" i="7" s="1"/>
  <c r="V478" i="7"/>
  <c r="AA478" i="7" s="1"/>
  <c r="W478" i="7" s="1"/>
  <c r="V246" i="7"/>
  <c r="AA246" i="7" s="1"/>
  <c r="W246" i="7" s="1"/>
  <c r="V352" i="7"/>
  <c r="AA352" i="7" s="1"/>
  <c r="W352" i="7" s="1"/>
  <c r="V480" i="7"/>
  <c r="AA480" i="7" s="1"/>
  <c r="W480" i="7" s="1"/>
  <c r="V248" i="7"/>
  <c r="AA248" i="7" s="1"/>
  <c r="W248" i="7" s="1"/>
  <c r="V354" i="7"/>
  <c r="AA354" i="7" s="1"/>
  <c r="W354" i="7" s="1"/>
  <c r="V486" i="7"/>
  <c r="AA486" i="7" s="1"/>
  <c r="W486" i="7" s="1"/>
  <c r="V294" i="7"/>
  <c r="AA294" i="7" s="1"/>
  <c r="W294" i="7" s="1"/>
  <c r="V400" i="7"/>
  <c r="AA400" i="7" s="1"/>
  <c r="W400" i="7" s="1"/>
  <c r="H8" i="13"/>
  <c r="V257" i="7"/>
  <c r="AA257" i="7" s="1"/>
  <c r="W257" i="7" s="1"/>
  <c r="V297" i="7"/>
  <c r="AA297" i="7" s="1"/>
  <c r="W297" i="7" s="1"/>
  <c r="V337" i="7"/>
  <c r="AA337" i="7" s="1"/>
  <c r="W337" i="7" s="1"/>
  <c r="V377" i="7"/>
  <c r="AA377" i="7" s="1"/>
  <c r="W377" i="7" s="1"/>
  <c r="V417" i="7"/>
  <c r="AA417" i="7" s="1"/>
  <c r="W417" i="7" s="1"/>
  <c r="V457" i="7"/>
  <c r="AA457" i="7" s="1"/>
  <c r="W457" i="7" s="1"/>
  <c r="V497" i="7"/>
  <c r="AA497" i="7" s="1"/>
  <c r="W497" i="7" s="1"/>
  <c r="V434" i="7"/>
  <c r="AA434" i="7" s="1"/>
  <c r="W434" i="7" s="1"/>
  <c r="V474" i="7"/>
  <c r="AA474" i="7" s="1"/>
  <c r="W474" i="7" s="1"/>
  <c r="V227" i="7"/>
  <c r="AA227" i="7" s="1"/>
  <c r="W227" i="7" s="1"/>
  <c r="V267" i="7"/>
  <c r="AA267" i="7" s="1"/>
  <c r="W267" i="7" s="1"/>
  <c r="V307" i="7"/>
  <c r="AA307" i="7" s="1"/>
  <c r="W307" i="7" s="1"/>
  <c r="V347" i="7"/>
  <c r="AA347" i="7" s="1"/>
  <c r="W347" i="7" s="1"/>
  <c r="V387" i="7"/>
  <c r="AA387" i="7" s="1"/>
  <c r="W387" i="7" s="1"/>
  <c r="V427" i="7"/>
  <c r="AA427" i="7" s="1"/>
  <c r="W427" i="7" s="1"/>
  <c r="V467" i="7"/>
  <c r="AA467" i="7" s="1"/>
  <c r="W467" i="7" s="1"/>
  <c r="V236" i="7"/>
  <c r="AA236" i="7" s="1"/>
  <c r="W236" i="7" s="1"/>
  <c r="V284" i="7"/>
  <c r="AA284" i="7" s="1"/>
  <c r="W284" i="7" s="1"/>
  <c r="V340" i="7"/>
  <c r="AA340" i="7" s="1"/>
  <c r="W340" i="7" s="1"/>
  <c r="V404" i="7"/>
  <c r="AA404" i="7" s="1"/>
  <c r="W404" i="7" s="1"/>
  <c r="V492" i="7"/>
  <c r="AA492" i="7" s="1"/>
  <c r="W492" i="7" s="1"/>
  <c r="V261" i="7"/>
  <c r="AA261" i="7" s="1"/>
  <c r="W261" i="7" s="1"/>
  <c r="V389" i="7"/>
  <c r="AA389" i="7" s="1"/>
  <c r="W389" i="7" s="1"/>
  <c r="F8" i="13"/>
  <c r="V318" i="7"/>
  <c r="AA318" i="7" s="1"/>
  <c r="W318" i="7" s="1"/>
  <c r="V430" i="7"/>
  <c r="AA430" i="7" s="1"/>
  <c r="W430" i="7" s="1"/>
  <c r="V234" i="7"/>
  <c r="AA234" i="7" s="1"/>
  <c r="W234" i="7" s="1"/>
  <c r="V342" i="7"/>
  <c r="AA342" i="7" s="1"/>
  <c r="W342" i="7" s="1"/>
  <c r="V464" i="7"/>
  <c r="AA464" i="7" s="1"/>
  <c r="W464" i="7" s="1"/>
  <c r="V304" i="7"/>
  <c r="AA304" i="7" s="1"/>
  <c r="W304" i="7" s="1"/>
  <c r="V410" i="7"/>
  <c r="AA410" i="7" s="1"/>
  <c r="W410" i="7" s="1"/>
  <c r="V408" i="7"/>
  <c r="AA408" i="7" s="1"/>
  <c r="W408" i="7" s="1"/>
  <c r="V286" i="7"/>
  <c r="AA286" i="7" s="1"/>
  <c r="W286" i="7" s="1"/>
  <c r="V392" i="7"/>
  <c r="AA392" i="7" s="1"/>
  <c r="W392" i="7" s="1"/>
  <c r="V470" i="7"/>
  <c r="AA470" i="7" s="1"/>
  <c r="W470" i="7" s="1"/>
  <c r="V288" i="7"/>
  <c r="AA288" i="7" s="1"/>
  <c r="W288" i="7" s="1"/>
  <c r="V394" i="7"/>
  <c r="AA394" i="7" s="1"/>
  <c r="W394" i="7" s="1"/>
  <c r="V438" i="7"/>
  <c r="AA438" i="7" s="1"/>
  <c r="W438" i="7" s="1"/>
  <c r="V290" i="7"/>
  <c r="AA290" i="7" s="1"/>
  <c r="W290" i="7" s="1"/>
  <c r="V398" i="7"/>
  <c r="AA398" i="7" s="1"/>
  <c r="W398" i="7" s="1"/>
  <c r="V230" i="7"/>
  <c r="AA230" i="7" s="1"/>
  <c r="W230" i="7" s="1"/>
  <c r="V336" i="7"/>
  <c r="AA336" i="7" s="1"/>
  <c r="W336" i="7" s="1"/>
  <c r="V456" i="7"/>
  <c r="AA456" i="7" s="1"/>
  <c r="W456" i="7" s="1"/>
  <c r="V233" i="7"/>
  <c r="AA233" i="7" s="1"/>
  <c r="W233" i="7" s="1"/>
  <c r="V273" i="7"/>
  <c r="AA273" i="7" s="1"/>
  <c r="W273" i="7" s="1"/>
  <c r="V313" i="7"/>
  <c r="AA313" i="7" s="1"/>
  <c r="W313" i="7" s="1"/>
  <c r="V353" i="7"/>
  <c r="AA353" i="7" s="1"/>
  <c r="W353" i="7" s="1"/>
  <c r="V393" i="7"/>
  <c r="AA393" i="7" s="1"/>
  <c r="W393" i="7" s="1"/>
  <c r="V433" i="7"/>
  <c r="AA433" i="7" s="1"/>
  <c r="W433" i="7" s="1"/>
  <c r="V473" i="7"/>
  <c r="AA473" i="7" s="1"/>
  <c r="W473" i="7" s="1"/>
  <c r="D10" i="13"/>
  <c r="V450" i="7"/>
  <c r="AA450" i="7" s="1"/>
  <c r="W450" i="7" s="1"/>
  <c r="V490" i="7"/>
  <c r="AA490" i="7" s="1"/>
  <c r="W490" i="7" s="1"/>
  <c r="V243" i="7"/>
  <c r="AA243" i="7" s="1"/>
  <c r="W243" i="7" s="1"/>
  <c r="V283" i="7"/>
  <c r="AA283" i="7" s="1"/>
  <c r="W283" i="7" s="1"/>
  <c r="V323" i="7"/>
  <c r="AA323" i="7" s="1"/>
  <c r="W323" i="7" s="1"/>
  <c r="V363" i="7"/>
  <c r="AA363" i="7" s="1"/>
  <c r="W363" i="7" s="1"/>
  <c r="V403" i="7"/>
  <c r="AA403" i="7" s="1"/>
  <c r="W403" i="7" s="1"/>
  <c r="V443" i="7"/>
  <c r="AA443" i="7" s="1"/>
  <c r="W443" i="7" s="1"/>
  <c r="V483" i="7"/>
  <c r="AA483" i="7" s="1"/>
  <c r="W483" i="7" s="1"/>
  <c r="H10" i="13"/>
  <c r="V252" i="7"/>
  <c r="AA252" i="7" s="1"/>
  <c r="W252" i="7" s="1"/>
  <c r="V300" i="7"/>
  <c r="AA300" i="7" s="1"/>
  <c r="W300" i="7" s="1"/>
  <c r="V364" i="7"/>
  <c r="AA364" i="7" s="1"/>
  <c r="W364" i="7" s="1"/>
  <c r="V444" i="7"/>
  <c r="AA444" i="7" s="1"/>
  <c r="W444" i="7" s="1"/>
  <c r="V293" i="7"/>
  <c r="AA293" i="7" s="1"/>
  <c r="W293" i="7" s="1"/>
  <c r="V421" i="7"/>
  <c r="AA421" i="7" s="1"/>
  <c r="W421" i="7" s="1"/>
  <c r="V471" i="7"/>
  <c r="AA471" i="7" s="1"/>
  <c r="W471" i="7" s="1"/>
  <c r="V276" i="7"/>
  <c r="AA276" i="7" s="1"/>
  <c r="W276" i="7" s="1"/>
  <c r="V356" i="7"/>
  <c r="AA356" i="7" s="1"/>
  <c r="W356" i="7" s="1"/>
  <c r="V452" i="7"/>
  <c r="AA452" i="7" s="1"/>
  <c r="W452" i="7" s="1"/>
  <c r="V325" i="7"/>
  <c r="AA325" i="7" s="1"/>
  <c r="W325" i="7" s="1"/>
  <c r="V453" i="7"/>
  <c r="AA453" i="7" s="1"/>
  <c r="W453" i="7" s="1"/>
  <c r="V263" i="7"/>
  <c r="AA263" i="7" s="1"/>
  <c r="W263" i="7" s="1"/>
  <c r="V333" i="7"/>
  <c r="AA333" i="7" s="1"/>
  <c r="W333" i="7" s="1"/>
  <c r="V461" i="7"/>
  <c r="AA461" i="7" s="1"/>
  <c r="W461" i="7" s="1"/>
  <c r="V279" i="7"/>
  <c r="AA279" i="7" s="1"/>
  <c r="W279" i="7" s="1"/>
  <c r="V420" i="7"/>
  <c r="AA420" i="7" s="1"/>
  <c r="W420" i="7" s="1"/>
  <c r="F6" i="13"/>
  <c r="V269" i="7"/>
  <c r="AA269" i="7" s="1"/>
  <c r="W269" i="7" s="1"/>
  <c r="V397" i="7"/>
  <c r="AA397" i="7" s="1"/>
  <c r="W397" i="7" s="1"/>
  <c r="V487" i="7"/>
  <c r="AA487" i="7" s="1"/>
  <c r="W487" i="7" s="1"/>
  <c r="V332" i="7"/>
  <c r="AA332" i="7" s="1"/>
  <c r="W332" i="7" s="1"/>
  <c r="V396" i="7"/>
  <c r="AA396" i="7" s="1"/>
  <c r="W396" i="7" s="1"/>
  <c r="V460" i="7"/>
  <c r="AA460" i="7" s="1"/>
  <c r="W460" i="7" s="1"/>
  <c r="V237" i="7"/>
  <c r="AA237" i="7" s="1"/>
  <c r="W237" i="7" s="1"/>
  <c r="V301" i="7"/>
  <c r="AA301" i="7" s="1"/>
  <c r="W301" i="7" s="1"/>
  <c r="V365" i="7"/>
  <c r="AA365" i="7" s="1"/>
  <c r="W365" i="7" s="1"/>
  <c r="V429" i="7"/>
  <c r="AA429" i="7" s="1"/>
  <c r="W429" i="7" s="1"/>
  <c r="V493" i="7"/>
  <c r="AA493" i="7" s="1"/>
  <c r="W493" i="7" s="1"/>
  <c r="V239" i="7"/>
  <c r="AA239" i="7" s="1"/>
  <c r="W239" i="7" s="1"/>
  <c r="V319" i="7"/>
  <c r="AA319" i="7" s="1"/>
  <c r="W319" i="7" s="1"/>
  <c r="V309" i="7"/>
  <c r="AA309" i="7" s="1"/>
  <c r="W309" i="7" s="1"/>
  <c r="V373" i="7"/>
  <c r="AA373" i="7" s="1"/>
  <c r="W373" i="7" s="1"/>
  <c r="V437" i="7"/>
  <c r="AA437" i="7" s="1"/>
  <c r="W437" i="7" s="1"/>
  <c r="V247" i="7"/>
  <c r="AA247" i="7" s="1"/>
  <c r="W247" i="7" s="1"/>
  <c r="V327" i="7"/>
  <c r="AA327" i="7" s="1"/>
  <c r="W327" i="7" s="1"/>
  <c r="V412" i="7"/>
  <c r="AA412" i="7" s="1"/>
  <c r="W412" i="7" s="1"/>
  <c r="V476" i="7"/>
  <c r="AA476" i="7" s="1"/>
  <c r="W476" i="7" s="1"/>
  <c r="V253" i="7"/>
  <c r="AA253" i="7" s="1"/>
  <c r="W253" i="7" s="1"/>
  <c r="V317" i="7"/>
  <c r="AA317" i="7" s="1"/>
  <c r="W317" i="7" s="1"/>
  <c r="V381" i="7"/>
  <c r="AA381" i="7" s="1"/>
  <c r="W381" i="7" s="1"/>
  <c r="V445" i="7"/>
  <c r="AA445" i="7" s="1"/>
  <c r="W445" i="7" s="1"/>
  <c r="H6" i="13"/>
  <c r="V255" i="7"/>
  <c r="AA255" i="7" s="1"/>
  <c r="W255" i="7" s="1"/>
  <c r="V375" i="7"/>
  <c r="AA375" i="7" s="1"/>
  <c r="W375" i="7" s="1"/>
  <c r="V308" i="7"/>
  <c r="AA308" i="7" s="1"/>
  <c r="W308" i="7" s="1"/>
  <c r="V372" i="7"/>
  <c r="AA372" i="7" s="1"/>
  <c r="W372" i="7" s="1"/>
  <c r="V436" i="7"/>
  <c r="AA436" i="7" s="1"/>
  <c r="W436" i="7" s="1"/>
  <c r="V500" i="7"/>
  <c r="AA500" i="7" s="1"/>
  <c r="W500" i="7" s="1"/>
  <c r="V277" i="7"/>
  <c r="AA277" i="7" s="1"/>
  <c r="W277" i="7" s="1"/>
  <c r="V341" i="7"/>
  <c r="AA341" i="7" s="1"/>
  <c r="W341" i="7" s="1"/>
  <c r="V405" i="7"/>
  <c r="AA405" i="7" s="1"/>
  <c r="W405" i="7" s="1"/>
  <c r="V469" i="7"/>
  <c r="AA469" i="7" s="1"/>
  <c r="W469" i="7" s="1"/>
  <c r="V287" i="7"/>
  <c r="AA287" i="7" s="1"/>
  <c r="W287" i="7" s="1"/>
  <c r="V391" i="7"/>
  <c r="AA391" i="7" s="1"/>
  <c r="W391" i="7" s="1"/>
  <c r="V271" i="7"/>
  <c r="AA271" i="7" s="1"/>
  <c r="W271" i="7" s="1"/>
  <c r="V351" i="7"/>
  <c r="AA351" i="7" s="1"/>
  <c r="W351" i="7" s="1"/>
  <c r="V367" i="7"/>
  <c r="AA367" i="7" s="1"/>
  <c r="W367" i="7" s="1"/>
  <c r="V231" i="7"/>
  <c r="AA231" i="7" s="1"/>
  <c r="W231" i="7" s="1"/>
  <c r="V295" i="7"/>
  <c r="AA295" i="7" s="1"/>
  <c r="W295" i="7" s="1"/>
  <c r="V479" i="7"/>
  <c r="AA479" i="7" s="1"/>
  <c r="W479" i="7" s="1"/>
  <c r="V335" i="7"/>
  <c r="AA335" i="7" s="1"/>
  <c r="W335" i="7" s="1"/>
  <c r="V399" i="7"/>
  <c r="AA399" i="7" s="1"/>
  <c r="W399" i="7" s="1"/>
  <c r="V343" i="7"/>
  <c r="AA343" i="7" s="1"/>
  <c r="W343" i="7" s="1"/>
  <c r="V407" i="7"/>
  <c r="AA407" i="7" s="1"/>
  <c r="W407" i="7" s="1"/>
  <c r="V359" i="7"/>
  <c r="AA359" i="7" s="1"/>
  <c r="W359" i="7" s="1"/>
  <c r="V447" i="7"/>
  <c r="AA447" i="7" s="1"/>
  <c r="W447" i="7" s="1"/>
  <c r="V383" i="7"/>
  <c r="AA383" i="7" s="1"/>
  <c r="W383" i="7" s="1"/>
  <c r="V495" i="7"/>
  <c r="AA495" i="7" s="1"/>
  <c r="W495" i="7" s="1"/>
  <c r="V415" i="7"/>
  <c r="AA415" i="7" s="1"/>
  <c r="W415" i="7" s="1"/>
  <c r="V439" i="7"/>
  <c r="AA439" i="7" s="1"/>
  <c r="W439" i="7" s="1"/>
  <c r="V431" i="7"/>
  <c r="AA431" i="7" s="1"/>
  <c r="W431" i="7" s="1"/>
  <c r="V463" i="7"/>
  <c r="AA463" i="7" s="1"/>
  <c r="W463" i="7" s="1"/>
  <c r="H3" i="13"/>
  <c r="V455" i="7"/>
  <c r="AA455" i="7" s="1"/>
  <c r="W455" i="7" s="1"/>
  <c r="B1" i="7" a="1"/>
  <c r="V191" i="7" s="1"/>
  <c r="AA191" i="7" s="1"/>
  <c r="W191" i="7" s="1"/>
  <c r="B2" i="4" a="1"/>
  <c r="B2" i="4" s="1"/>
  <c r="G3" i="13"/>
  <c r="V129" i="9"/>
  <c r="W129" i="9" s="1"/>
  <c r="N129" i="9"/>
  <c r="O129" i="9" s="1"/>
  <c r="F129" i="9"/>
  <c r="G129" i="9" s="1"/>
  <c r="AB129" i="9"/>
  <c r="AC129" i="9" s="1"/>
  <c r="T129" i="9"/>
  <c r="U129" i="9" s="1"/>
  <c r="L129" i="9"/>
  <c r="M129" i="9" s="1"/>
  <c r="Z129" i="9"/>
  <c r="R129" i="9"/>
  <c r="S129" i="9" s="1"/>
  <c r="J129" i="9"/>
  <c r="K129" i="9" s="1"/>
  <c r="X129" i="9"/>
  <c r="P129" i="9"/>
  <c r="Q129" i="9" s="1"/>
  <c r="H129" i="9"/>
  <c r="I129" i="9" s="1"/>
  <c r="X128" i="9"/>
  <c r="P128" i="9"/>
  <c r="Q128" i="9" s="1"/>
  <c r="H128" i="9"/>
  <c r="I128" i="9" s="1"/>
  <c r="V128" i="9"/>
  <c r="W128" i="9" s="1"/>
  <c r="N128" i="9"/>
  <c r="O128" i="9" s="1"/>
  <c r="F128" i="9"/>
  <c r="G128" i="9" s="1"/>
  <c r="AB128" i="9"/>
  <c r="AC128" i="9" s="1"/>
  <c r="T128" i="9"/>
  <c r="U128" i="9" s="1"/>
  <c r="L128" i="9"/>
  <c r="M128" i="9" s="1"/>
  <c r="Z128" i="9"/>
  <c r="R128" i="9"/>
  <c r="S128" i="9" s="1"/>
  <c r="J128" i="9"/>
  <c r="K128" i="9" s="1"/>
  <c r="Z127" i="9"/>
  <c r="R127" i="9"/>
  <c r="S127" i="9" s="1"/>
  <c r="J127" i="9"/>
  <c r="K127" i="9" s="1"/>
  <c r="X127" i="9"/>
  <c r="P127" i="9"/>
  <c r="Q127" i="9" s="1"/>
  <c r="H127" i="9"/>
  <c r="I127" i="9" s="1"/>
  <c r="V127" i="9"/>
  <c r="W127" i="9" s="1"/>
  <c r="N127" i="9"/>
  <c r="O127" i="9" s="1"/>
  <c r="F127" i="9"/>
  <c r="G127" i="9" s="1"/>
  <c r="AB127" i="9"/>
  <c r="AC127" i="9" s="1"/>
  <c r="T127" i="9"/>
  <c r="U127" i="9" s="1"/>
  <c r="L127" i="9"/>
  <c r="M127" i="9" s="1"/>
  <c r="AB126" i="9"/>
  <c r="AC126" i="9" s="1"/>
  <c r="T126" i="9"/>
  <c r="U126" i="9" s="1"/>
  <c r="L126" i="9"/>
  <c r="M126" i="9" s="1"/>
  <c r="X126" i="9"/>
  <c r="P126" i="9"/>
  <c r="Q126" i="9" s="1"/>
  <c r="H126" i="9"/>
  <c r="I126" i="9" s="1"/>
  <c r="Z126" i="9"/>
  <c r="R126" i="9"/>
  <c r="S126" i="9" s="1"/>
  <c r="J126" i="9"/>
  <c r="K126" i="9" s="1"/>
  <c r="V126" i="9"/>
  <c r="W126" i="9" s="1"/>
  <c r="N126" i="9"/>
  <c r="O126" i="9" s="1"/>
  <c r="F126" i="9"/>
  <c r="G126" i="9" s="1"/>
  <c r="V125" i="9"/>
  <c r="W125" i="9" s="1"/>
  <c r="N125" i="9"/>
  <c r="O125" i="9" s="1"/>
  <c r="F125" i="9"/>
  <c r="G125" i="9" s="1"/>
  <c r="AB125" i="9"/>
  <c r="AC125" i="9" s="1"/>
  <c r="T125" i="9"/>
  <c r="U125" i="9" s="1"/>
  <c r="L125" i="9"/>
  <c r="M125" i="9" s="1"/>
  <c r="Z125" i="9"/>
  <c r="R125" i="9"/>
  <c r="S125" i="9" s="1"/>
  <c r="J125" i="9"/>
  <c r="K125" i="9" s="1"/>
  <c r="X125" i="9"/>
  <c r="P125" i="9"/>
  <c r="Q125" i="9" s="1"/>
  <c r="H125" i="9"/>
  <c r="I125" i="9" s="1"/>
  <c r="X124" i="9"/>
  <c r="P124" i="9"/>
  <c r="Q124" i="9" s="1"/>
  <c r="H124" i="9"/>
  <c r="I124" i="9" s="1"/>
  <c r="V124" i="9"/>
  <c r="W124" i="9" s="1"/>
  <c r="N124" i="9"/>
  <c r="O124" i="9" s="1"/>
  <c r="F124" i="9"/>
  <c r="G124" i="9" s="1"/>
  <c r="AB124" i="9"/>
  <c r="AC124" i="9" s="1"/>
  <c r="T124" i="9"/>
  <c r="U124" i="9" s="1"/>
  <c r="L124" i="9"/>
  <c r="M124" i="9" s="1"/>
  <c r="Z124" i="9"/>
  <c r="R124" i="9"/>
  <c r="S124" i="9" s="1"/>
  <c r="J124" i="9"/>
  <c r="K124" i="9" s="1"/>
  <c r="Z123" i="9"/>
  <c r="R123" i="9"/>
  <c r="S123" i="9" s="1"/>
  <c r="J123" i="9"/>
  <c r="K123" i="9" s="1"/>
  <c r="X123" i="9"/>
  <c r="P123" i="9"/>
  <c r="Q123" i="9" s="1"/>
  <c r="H123" i="9"/>
  <c r="I123" i="9" s="1"/>
  <c r="V123" i="9"/>
  <c r="W123" i="9" s="1"/>
  <c r="N123" i="9"/>
  <c r="O123" i="9" s="1"/>
  <c r="F123" i="9"/>
  <c r="G123" i="9" s="1"/>
  <c r="AB123" i="9"/>
  <c r="AC123" i="9" s="1"/>
  <c r="T123" i="9"/>
  <c r="U123" i="9" s="1"/>
  <c r="L123" i="9"/>
  <c r="M123" i="9" s="1"/>
  <c r="N122" i="9"/>
  <c r="O122" i="9" s="1"/>
  <c r="H122" i="9"/>
  <c r="I122" i="9" s="1"/>
  <c r="R122" i="9"/>
  <c r="S122" i="9" s="1"/>
  <c r="AB122" i="9"/>
  <c r="AC122" i="9" s="1"/>
  <c r="J122" i="9"/>
  <c r="K122" i="9" s="1"/>
  <c r="T122" i="9"/>
  <c r="U122" i="9" s="1"/>
  <c r="L122" i="9"/>
  <c r="M122" i="9" s="1"/>
  <c r="V122" i="9"/>
  <c r="W122" i="9" s="1"/>
  <c r="X122" i="9"/>
  <c r="AA122" i="9" s="1"/>
  <c r="F122" i="9"/>
  <c r="G122" i="9" s="1"/>
  <c r="P122" i="9"/>
  <c r="Q122" i="9" s="1"/>
  <c r="Z122" i="9"/>
  <c r="R121" i="9"/>
  <c r="S121" i="9" s="1"/>
  <c r="L121" i="9"/>
  <c r="M121" i="9" s="1"/>
  <c r="V121" i="9"/>
  <c r="W121" i="9" s="1"/>
  <c r="N121" i="9"/>
  <c r="O121" i="9" s="1"/>
  <c r="X121" i="9"/>
  <c r="Y121" i="9" s="1"/>
  <c r="F121" i="9"/>
  <c r="G121" i="9" s="1"/>
  <c r="P121" i="9"/>
  <c r="Q121" i="9" s="1"/>
  <c r="Z121" i="9"/>
  <c r="H121" i="9"/>
  <c r="I121" i="9" s="1"/>
  <c r="AB121" i="9"/>
  <c r="AC121" i="9" s="1"/>
  <c r="J121" i="9"/>
  <c r="K121" i="9" s="1"/>
  <c r="T121" i="9"/>
  <c r="U121" i="9" s="1"/>
  <c r="V120" i="9"/>
  <c r="W120" i="9" s="1"/>
  <c r="F120" i="9"/>
  <c r="G120" i="9" s="1"/>
  <c r="P120" i="9"/>
  <c r="Q120" i="9" s="1"/>
  <c r="Z120" i="9"/>
  <c r="H120" i="9"/>
  <c r="I120" i="9" s="1"/>
  <c r="R120" i="9"/>
  <c r="S120" i="9" s="1"/>
  <c r="AB120" i="9"/>
  <c r="AC120" i="9" s="1"/>
  <c r="J120" i="9"/>
  <c r="K120" i="9" s="1"/>
  <c r="T120" i="9"/>
  <c r="U120" i="9" s="1"/>
  <c r="L120" i="9"/>
  <c r="M120" i="9" s="1"/>
  <c r="N120" i="9"/>
  <c r="O120" i="9" s="1"/>
  <c r="X120" i="9"/>
  <c r="Y120" i="9" s="1"/>
  <c r="N119" i="9"/>
  <c r="O119" i="9" s="1"/>
  <c r="X119" i="9"/>
  <c r="Y119" i="9" s="1"/>
  <c r="F119" i="9"/>
  <c r="G119" i="9" s="1"/>
  <c r="P119" i="9"/>
  <c r="Q119" i="9" s="1"/>
  <c r="Z119" i="9"/>
  <c r="H119" i="9"/>
  <c r="I119" i="9" s="1"/>
  <c r="R119" i="9"/>
  <c r="S119" i="9" s="1"/>
  <c r="AB119" i="9"/>
  <c r="AC119" i="9" s="1"/>
  <c r="J119" i="9"/>
  <c r="K119" i="9" s="1"/>
  <c r="T119" i="9"/>
  <c r="U119" i="9" s="1"/>
  <c r="L119" i="9"/>
  <c r="M119" i="9" s="1"/>
  <c r="V119" i="9"/>
  <c r="W119" i="9" s="1"/>
  <c r="F118" i="9"/>
  <c r="G118" i="9" s="1"/>
  <c r="P118" i="9"/>
  <c r="Q118" i="9" s="1"/>
  <c r="Z118" i="9"/>
  <c r="H118" i="9"/>
  <c r="I118" i="9" s="1"/>
  <c r="R118" i="9"/>
  <c r="S118" i="9" s="1"/>
  <c r="AB118" i="9"/>
  <c r="AC118" i="9" s="1"/>
  <c r="L118" i="9"/>
  <c r="M118" i="9" s="1"/>
  <c r="J118" i="9"/>
  <c r="K118" i="9" s="1"/>
  <c r="T118" i="9"/>
  <c r="U118" i="9" s="1"/>
  <c r="V118" i="9"/>
  <c r="W118" i="9" s="1"/>
  <c r="N118" i="9"/>
  <c r="O118" i="9" s="1"/>
  <c r="X118" i="9"/>
  <c r="AA118" i="9" s="1"/>
  <c r="N117" i="9"/>
  <c r="O117" i="9" s="1"/>
  <c r="H117" i="9"/>
  <c r="I117" i="9" s="1"/>
  <c r="P117" i="9"/>
  <c r="Q117" i="9" s="1"/>
  <c r="X117" i="9"/>
  <c r="Y117" i="9" s="1"/>
  <c r="L117" i="9"/>
  <c r="M117" i="9" s="1"/>
  <c r="T117" i="9"/>
  <c r="U117" i="9" s="1"/>
  <c r="AB117" i="9"/>
  <c r="AC117" i="9" s="1"/>
  <c r="F117" i="9"/>
  <c r="G117" i="9" s="1"/>
  <c r="V117" i="9"/>
  <c r="W117" i="9" s="1"/>
  <c r="J117" i="9"/>
  <c r="K117" i="9" s="1"/>
  <c r="R117" i="9"/>
  <c r="S117" i="9" s="1"/>
  <c r="Z117" i="9"/>
  <c r="N116" i="9"/>
  <c r="O116" i="9" s="1"/>
  <c r="J116" i="9"/>
  <c r="K116" i="9" s="1"/>
  <c r="R116" i="9"/>
  <c r="S116" i="9" s="1"/>
  <c r="Z116" i="9"/>
  <c r="L116" i="9"/>
  <c r="M116" i="9" s="1"/>
  <c r="T116" i="9"/>
  <c r="U116" i="9" s="1"/>
  <c r="AB116" i="9"/>
  <c r="AC116" i="9" s="1"/>
  <c r="F116" i="9"/>
  <c r="G116" i="9" s="1"/>
  <c r="V116" i="9"/>
  <c r="W116" i="9" s="1"/>
  <c r="H116" i="9"/>
  <c r="I116" i="9" s="1"/>
  <c r="P116" i="9"/>
  <c r="Q116" i="9" s="1"/>
  <c r="X116" i="9"/>
  <c r="AA116" i="9" s="1"/>
  <c r="J115" i="9"/>
  <c r="K115" i="9" s="1"/>
  <c r="R115" i="9"/>
  <c r="S115" i="9" s="1"/>
  <c r="Z115" i="9"/>
  <c r="L115" i="9"/>
  <c r="M115" i="9" s="1"/>
  <c r="T115" i="9"/>
  <c r="U115" i="9" s="1"/>
  <c r="AB115" i="9"/>
  <c r="AC115" i="9" s="1"/>
  <c r="F115" i="9"/>
  <c r="G115" i="9" s="1"/>
  <c r="N115" i="9"/>
  <c r="O115" i="9" s="1"/>
  <c r="V115" i="9"/>
  <c r="W115" i="9" s="1"/>
  <c r="H115" i="9"/>
  <c r="I115" i="9" s="1"/>
  <c r="P115" i="9"/>
  <c r="Q115" i="9" s="1"/>
  <c r="X115" i="9"/>
  <c r="AA115" i="9" s="1"/>
  <c r="J113" i="9"/>
  <c r="K113" i="9" s="1"/>
  <c r="R113" i="9"/>
  <c r="S113" i="9" s="1"/>
  <c r="Z113" i="9"/>
  <c r="J114" i="9"/>
  <c r="K114" i="9" s="1"/>
  <c r="R114" i="9"/>
  <c r="S114" i="9" s="1"/>
  <c r="Z114" i="9"/>
  <c r="L113" i="9"/>
  <c r="M113" i="9" s="1"/>
  <c r="T113" i="9"/>
  <c r="U113" i="9" s="1"/>
  <c r="AB113" i="9"/>
  <c r="AC113" i="9" s="1"/>
  <c r="L114" i="9"/>
  <c r="M114" i="9" s="1"/>
  <c r="T114" i="9"/>
  <c r="U114" i="9" s="1"/>
  <c r="AB114" i="9"/>
  <c r="AC114" i="9" s="1"/>
  <c r="F113" i="9"/>
  <c r="G113" i="9" s="1"/>
  <c r="N113" i="9"/>
  <c r="O113" i="9" s="1"/>
  <c r="V113" i="9"/>
  <c r="W113" i="9" s="1"/>
  <c r="F114" i="9"/>
  <c r="G114" i="9" s="1"/>
  <c r="N114" i="9"/>
  <c r="O114" i="9" s="1"/>
  <c r="V114" i="9"/>
  <c r="W114" i="9" s="1"/>
  <c r="H113" i="9"/>
  <c r="I113" i="9" s="1"/>
  <c r="P113" i="9"/>
  <c r="Q113" i="9" s="1"/>
  <c r="X113" i="9"/>
  <c r="Y113" i="9" s="1"/>
  <c r="H114" i="9"/>
  <c r="I114" i="9" s="1"/>
  <c r="P114" i="9"/>
  <c r="Q114" i="9" s="1"/>
  <c r="X114" i="9"/>
  <c r="Y114" i="9" s="1"/>
  <c r="J112" i="9"/>
  <c r="K112" i="9" s="1"/>
  <c r="R112" i="9"/>
  <c r="S112" i="9" s="1"/>
  <c r="Z112" i="9"/>
  <c r="L112" i="9"/>
  <c r="M112" i="9" s="1"/>
  <c r="T112" i="9"/>
  <c r="U112" i="9" s="1"/>
  <c r="AB112" i="9"/>
  <c r="AC112" i="9" s="1"/>
  <c r="F112" i="9"/>
  <c r="G112" i="9" s="1"/>
  <c r="N112" i="9"/>
  <c r="O112" i="9" s="1"/>
  <c r="V112" i="9"/>
  <c r="W112" i="9" s="1"/>
  <c r="H112" i="9"/>
  <c r="I112" i="9" s="1"/>
  <c r="P112" i="9"/>
  <c r="Q112" i="9" s="1"/>
  <c r="X112" i="9"/>
  <c r="AA112" i="9" s="1"/>
  <c r="J111" i="9"/>
  <c r="K111" i="9" s="1"/>
  <c r="R111" i="9"/>
  <c r="S111" i="9" s="1"/>
  <c r="Z111" i="9"/>
  <c r="L111" i="9"/>
  <c r="M111" i="9" s="1"/>
  <c r="T111" i="9"/>
  <c r="U111" i="9" s="1"/>
  <c r="AB111" i="9"/>
  <c r="AC111" i="9" s="1"/>
  <c r="F111" i="9"/>
  <c r="G111" i="9" s="1"/>
  <c r="N111" i="9"/>
  <c r="O111" i="9" s="1"/>
  <c r="V111" i="9"/>
  <c r="W111" i="9" s="1"/>
  <c r="H111" i="9"/>
  <c r="I111" i="9" s="1"/>
  <c r="P111" i="9"/>
  <c r="Q111" i="9" s="1"/>
  <c r="X111" i="9"/>
  <c r="AA111" i="9" s="1"/>
  <c r="L110" i="9"/>
  <c r="M110" i="9" s="1"/>
  <c r="T110" i="9"/>
  <c r="U110" i="9" s="1"/>
  <c r="AB110" i="9"/>
  <c r="AC110" i="9" s="1"/>
  <c r="F110" i="9"/>
  <c r="G110" i="9" s="1"/>
  <c r="N110" i="9"/>
  <c r="O110" i="9" s="1"/>
  <c r="V110" i="9"/>
  <c r="W110" i="9" s="1"/>
  <c r="J110" i="9"/>
  <c r="K110" i="9" s="1"/>
  <c r="R110" i="9"/>
  <c r="S110" i="9" s="1"/>
  <c r="Z110" i="9"/>
  <c r="H110" i="9"/>
  <c r="I110" i="9" s="1"/>
  <c r="P110" i="9"/>
  <c r="Q110" i="9" s="1"/>
  <c r="X110" i="9"/>
  <c r="AA110" i="9" s="1"/>
  <c r="T109" i="9"/>
  <c r="U109" i="9" s="1"/>
  <c r="N109" i="9"/>
  <c r="O109" i="9" s="1"/>
  <c r="J109" i="9"/>
  <c r="K109" i="9" s="1"/>
  <c r="R109" i="9"/>
  <c r="S109" i="9" s="1"/>
  <c r="Z109" i="9"/>
  <c r="L109" i="9"/>
  <c r="M109" i="9" s="1"/>
  <c r="AB109" i="9"/>
  <c r="AC109" i="9" s="1"/>
  <c r="F109" i="9"/>
  <c r="G109" i="9" s="1"/>
  <c r="V109" i="9"/>
  <c r="W109" i="9" s="1"/>
  <c r="H109" i="9"/>
  <c r="I109" i="9" s="1"/>
  <c r="P109" i="9"/>
  <c r="Q109" i="9" s="1"/>
  <c r="X109" i="9"/>
  <c r="AA109" i="9" s="1"/>
  <c r="H108" i="9"/>
  <c r="I108" i="9" s="1"/>
  <c r="P108" i="9"/>
  <c r="Q108" i="9" s="1"/>
  <c r="X108" i="9"/>
  <c r="Y108" i="9" s="1"/>
  <c r="J108" i="9"/>
  <c r="K108" i="9" s="1"/>
  <c r="R108" i="9"/>
  <c r="S108" i="9" s="1"/>
  <c r="Z108" i="9"/>
  <c r="F108" i="9"/>
  <c r="G108" i="9" s="1"/>
  <c r="N108" i="9"/>
  <c r="O108" i="9" s="1"/>
  <c r="V108" i="9"/>
  <c r="W108" i="9" s="1"/>
  <c r="L108" i="9"/>
  <c r="M108" i="9" s="1"/>
  <c r="T108" i="9"/>
  <c r="U108" i="9" s="1"/>
  <c r="AB108" i="9"/>
  <c r="AC108" i="9" s="1"/>
  <c r="N107" i="9"/>
  <c r="O107" i="9" s="1"/>
  <c r="V107" i="9"/>
  <c r="W107" i="9" s="1"/>
  <c r="H107" i="9"/>
  <c r="I107" i="9" s="1"/>
  <c r="P107" i="9"/>
  <c r="Q107" i="9" s="1"/>
  <c r="X107" i="9"/>
  <c r="Y107" i="9" s="1"/>
  <c r="F107" i="9"/>
  <c r="G107" i="9" s="1"/>
  <c r="J107" i="9"/>
  <c r="K107" i="9" s="1"/>
  <c r="R107" i="9"/>
  <c r="S107" i="9" s="1"/>
  <c r="Z107" i="9"/>
  <c r="L107" i="9"/>
  <c r="M107" i="9" s="1"/>
  <c r="T107" i="9"/>
  <c r="U107" i="9" s="1"/>
  <c r="AB107" i="9"/>
  <c r="AC107" i="9" s="1"/>
  <c r="F106" i="9"/>
  <c r="G106" i="9" s="1"/>
  <c r="V106" i="9"/>
  <c r="W106" i="9" s="1"/>
  <c r="H106" i="9"/>
  <c r="I106" i="9" s="1"/>
  <c r="P106" i="9"/>
  <c r="Q106" i="9" s="1"/>
  <c r="X106" i="9"/>
  <c r="AA106" i="9" s="1"/>
  <c r="N106" i="9"/>
  <c r="O106" i="9" s="1"/>
  <c r="J106" i="9"/>
  <c r="K106" i="9" s="1"/>
  <c r="R106" i="9"/>
  <c r="S106" i="9" s="1"/>
  <c r="Z106" i="9"/>
  <c r="L106" i="9"/>
  <c r="M106" i="9" s="1"/>
  <c r="T106" i="9"/>
  <c r="U106" i="9" s="1"/>
  <c r="AB106" i="9"/>
  <c r="AC106" i="9" s="1"/>
  <c r="H105" i="9"/>
  <c r="I105" i="9" s="1"/>
  <c r="P105" i="9"/>
  <c r="Q105" i="9" s="1"/>
  <c r="X105" i="9"/>
  <c r="Y105" i="9" s="1"/>
  <c r="F105" i="9"/>
  <c r="G105" i="9" s="1"/>
  <c r="V105" i="9"/>
  <c r="W105" i="9" s="1"/>
  <c r="J105" i="9"/>
  <c r="K105" i="9" s="1"/>
  <c r="R105" i="9"/>
  <c r="S105" i="9" s="1"/>
  <c r="Z105" i="9"/>
  <c r="N105" i="9"/>
  <c r="O105" i="9" s="1"/>
  <c r="L105" i="9"/>
  <c r="M105" i="9" s="1"/>
  <c r="T105" i="9"/>
  <c r="U105" i="9" s="1"/>
  <c r="AB105" i="9"/>
  <c r="AC105" i="9" s="1"/>
  <c r="H104" i="9"/>
  <c r="I104" i="9" s="1"/>
  <c r="P104" i="9"/>
  <c r="Q104" i="9" s="1"/>
  <c r="X104" i="9"/>
  <c r="AA104" i="9" s="1"/>
  <c r="J104" i="9"/>
  <c r="K104" i="9" s="1"/>
  <c r="R104" i="9"/>
  <c r="S104" i="9" s="1"/>
  <c r="Z104" i="9"/>
  <c r="F104" i="9"/>
  <c r="G104" i="9" s="1"/>
  <c r="N104" i="9"/>
  <c r="O104" i="9" s="1"/>
  <c r="V104" i="9"/>
  <c r="W104" i="9" s="1"/>
  <c r="L104" i="9"/>
  <c r="M104" i="9" s="1"/>
  <c r="T104" i="9"/>
  <c r="U104" i="9" s="1"/>
  <c r="AB104" i="9"/>
  <c r="AC104" i="9" s="1"/>
  <c r="R103" i="9"/>
  <c r="S103" i="9" s="1"/>
  <c r="T103" i="9"/>
  <c r="U103" i="9" s="1"/>
  <c r="H103" i="9"/>
  <c r="I103" i="9" s="1"/>
  <c r="X103" i="9"/>
  <c r="Y103" i="9" s="1"/>
  <c r="P103" i="9"/>
  <c r="Q103" i="9" s="1"/>
  <c r="F103" i="9"/>
  <c r="G103" i="9" s="1"/>
  <c r="J103" i="9"/>
  <c r="K103" i="9" s="1"/>
  <c r="Z103" i="9"/>
  <c r="V103" i="9"/>
  <c r="W103" i="9" s="1"/>
  <c r="L103" i="9"/>
  <c r="M103" i="9" s="1"/>
  <c r="AB103" i="9"/>
  <c r="AC103" i="9" s="1"/>
  <c r="N103" i="9"/>
  <c r="O103" i="9" s="1"/>
  <c r="H102" i="9"/>
  <c r="I102" i="9" s="1"/>
  <c r="X102" i="9"/>
  <c r="Y102" i="9" s="1"/>
  <c r="N102" i="9"/>
  <c r="O102" i="9" s="1"/>
  <c r="J102" i="9"/>
  <c r="K102" i="9" s="1"/>
  <c r="Z102" i="9"/>
  <c r="L102" i="9"/>
  <c r="M102" i="9" s="1"/>
  <c r="AB102" i="9"/>
  <c r="AC102" i="9" s="1"/>
  <c r="P102" i="9"/>
  <c r="Q102" i="9" s="1"/>
  <c r="R102" i="9"/>
  <c r="S102" i="9" s="1"/>
  <c r="T102" i="9"/>
  <c r="U102" i="9" s="1"/>
  <c r="F102" i="9"/>
  <c r="G102" i="9" s="1"/>
  <c r="V102" i="9"/>
  <c r="W102" i="9" s="1"/>
  <c r="P101" i="9"/>
  <c r="Q101" i="9" s="1"/>
  <c r="F101" i="9"/>
  <c r="G101" i="9" s="1"/>
  <c r="R101" i="9"/>
  <c r="S101" i="9" s="1"/>
  <c r="T101" i="9"/>
  <c r="U101" i="9" s="1"/>
  <c r="H101" i="9"/>
  <c r="I101" i="9" s="1"/>
  <c r="X101" i="9"/>
  <c r="AA101" i="9" s="1"/>
  <c r="J101" i="9"/>
  <c r="K101" i="9" s="1"/>
  <c r="Z101" i="9"/>
  <c r="V101" i="9"/>
  <c r="W101" i="9" s="1"/>
  <c r="L101" i="9"/>
  <c r="M101" i="9" s="1"/>
  <c r="AB101" i="9"/>
  <c r="AC101" i="9" s="1"/>
  <c r="N101" i="9"/>
  <c r="O101" i="9" s="1"/>
  <c r="H100" i="9"/>
  <c r="I100" i="9" s="1"/>
  <c r="J100" i="9"/>
  <c r="K100" i="9" s="1"/>
  <c r="Z100" i="9"/>
  <c r="X100" i="9"/>
  <c r="AA100" i="9" s="1"/>
  <c r="L100" i="9"/>
  <c r="M100" i="9" s="1"/>
  <c r="AB100" i="9"/>
  <c r="AC100" i="9" s="1"/>
  <c r="N100" i="9"/>
  <c r="O100" i="9" s="1"/>
  <c r="P100" i="9"/>
  <c r="Q100" i="9" s="1"/>
  <c r="R100" i="9"/>
  <c r="S100" i="9" s="1"/>
  <c r="T100" i="9"/>
  <c r="U100" i="9" s="1"/>
  <c r="F100" i="9"/>
  <c r="G100" i="9" s="1"/>
  <c r="V100" i="9"/>
  <c r="W100" i="9" s="1"/>
  <c r="R99" i="9"/>
  <c r="S99" i="9" s="1"/>
  <c r="F99" i="9"/>
  <c r="G99" i="9" s="1"/>
  <c r="P99" i="9"/>
  <c r="Q99" i="9" s="1"/>
  <c r="T99" i="9"/>
  <c r="U99" i="9" s="1"/>
  <c r="V99" i="9"/>
  <c r="W99" i="9" s="1"/>
  <c r="H99" i="9"/>
  <c r="I99" i="9" s="1"/>
  <c r="X99" i="9"/>
  <c r="Y99" i="9" s="1"/>
  <c r="J99" i="9"/>
  <c r="K99" i="9" s="1"/>
  <c r="Z99" i="9"/>
  <c r="L99" i="9"/>
  <c r="M99" i="9" s="1"/>
  <c r="AB99" i="9"/>
  <c r="AC99" i="9" s="1"/>
  <c r="N99" i="9"/>
  <c r="O99" i="9" s="1"/>
  <c r="H98" i="9"/>
  <c r="I98" i="9" s="1"/>
  <c r="X98" i="9"/>
  <c r="AA98" i="9" s="1"/>
  <c r="N98" i="9"/>
  <c r="O98" i="9" s="1"/>
  <c r="J98" i="9"/>
  <c r="K98" i="9" s="1"/>
  <c r="Z98" i="9"/>
  <c r="L98" i="9"/>
  <c r="M98" i="9" s="1"/>
  <c r="AB98" i="9"/>
  <c r="AC98" i="9" s="1"/>
  <c r="R98" i="9"/>
  <c r="S98" i="9" s="1"/>
  <c r="T98" i="9"/>
  <c r="U98" i="9" s="1"/>
  <c r="P98" i="9"/>
  <c r="Q98" i="9" s="1"/>
  <c r="F98" i="9"/>
  <c r="G98" i="9" s="1"/>
  <c r="V98" i="9"/>
  <c r="W98" i="9" s="1"/>
  <c r="P97" i="9"/>
  <c r="Q97" i="9" s="1"/>
  <c r="V97" i="9"/>
  <c r="W97" i="9" s="1"/>
  <c r="R97" i="9"/>
  <c r="S97" i="9" s="1"/>
  <c r="T97" i="9"/>
  <c r="U97" i="9" s="1"/>
  <c r="H97" i="9"/>
  <c r="I97" i="9" s="1"/>
  <c r="X97" i="9"/>
  <c r="AA97" i="9" s="1"/>
  <c r="J97" i="9"/>
  <c r="K97" i="9" s="1"/>
  <c r="Z97" i="9"/>
  <c r="F97" i="9"/>
  <c r="G97" i="9" s="1"/>
  <c r="L97" i="9"/>
  <c r="M97" i="9" s="1"/>
  <c r="AB97" i="9"/>
  <c r="AC97" i="9" s="1"/>
  <c r="N97" i="9"/>
  <c r="O97" i="9" s="1"/>
  <c r="H96" i="9"/>
  <c r="I96" i="9" s="1"/>
  <c r="X96" i="9"/>
  <c r="Y96" i="9" s="1"/>
  <c r="J96" i="9"/>
  <c r="K96" i="9" s="1"/>
  <c r="Z96" i="9"/>
  <c r="L96" i="9"/>
  <c r="M96" i="9" s="1"/>
  <c r="AB96" i="9"/>
  <c r="AC96" i="9" s="1"/>
  <c r="N96" i="9"/>
  <c r="O96" i="9" s="1"/>
  <c r="P96" i="9"/>
  <c r="Q96" i="9" s="1"/>
  <c r="R96" i="9"/>
  <c r="S96" i="9" s="1"/>
  <c r="T96" i="9"/>
  <c r="U96" i="9" s="1"/>
  <c r="F96" i="9"/>
  <c r="G96" i="9" s="1"/>
  <c r="V96" i="9"/>
  <c r="W96" i="9" s="1"/>
  <c r="R95" i="9"/>
  <c r="S95" i="9" s="1"/>
  <c r="P95" i="9"/>
  <c r="Q95" i="9" s="1"/>
  <c r="T95" i="9"/>
  <c r="U95" i="9" s="1"/>
  <c r="H95" i="9"/>
  <c r="I95" i="9" s="1"/>
  <c r="X95" i="9"/>
  <c r="AA95" i="9" s="1"/>
  <c r="F95" i="9"/>
  <c r="G95" i="9" s="1"/>
  <c r="V95" i="9"/>
  <c r="W95" i="9" s="1"/>
  <c r="J95" i="9"/>
  <c r="K95" i="9" s="1"/>
  <c r="Z95" i="9"/>
  <c r="L95" i="9"/>
  <c r="M95" i="9" s="1"/>
  <c r="AB95" i="9"/>
  <c r="AC95" i="9" s="1"/>
  <c r="N95" i="9"/>
  <c r="O95" i="9" s="1"/>
  <c r="H94" i="9"/>
  <c r="I94" i="9" s="1"/>
  <c r="X94" i="9"/>
  <c r="AA94" i="9" s="1"/>
  <c r="J94" i="9"/>
  <c r="K94" i="9" s="1"/>
  <c r="Z94" i="9"/>
  <c r="N94" i="9"/>
  <c r="O94" i="9" s="1"/>
  <c r="L94" i="9"/>
  <c r="M94" i="9" s="1"/>
  <c r="AB94" i="9"/>
  <c r="AC94" i="9" s="1"/>
  <c r="P94" i="9"/>
  <c r="Q94" i="9" s="1"/>
  <c r="R94" i="9"/>
  <c r="S94" i="9" s="1"/>
  <c r="T94" i="9"/>
  <c r="U94" i="9" s="1"/>
  <c r="F94" i="9"/>
  <c r="G94" i="9" s="1"/>
  <c r="V94" i="9"/>
  <c r="W94" i="9" s="1"/>
  <c r="P93" i="9"/>
  <c r="Q93" i="9" s="1"/>
  <c r="T93" i="9"/>
  <c r="U93" i="9" s="1"/>
  <c r="H93" i="9"/>
  <c r="I93" i="9" s="1"/>
  <c r="X93" i="9"/>
  <c r="AA93" i="9" s="1"/>
  <c r="F93" i="9"/>
  <c r="G93" i="9" s="1"/>
  <c r="J93" i="9"/>
  <c r="K93" i="9" s="1"/>
  <c r="Z93" i="9"/>
  <c r="R93" i="9"/>
  <c r="S93" i="9" s="1"/>
  <c r="V93" i="9"/>
  <c r="W93" i="9" s="1"/>
  <c r="L93" i="9"/>
  <c r="M93" i="9" s="1"/>
  <c r="AB93" i="9"/>
  <c r="AC93" i="9" s="1"/>
  <c r="N93" i="9"/>
  <c r="O93" i="9" s="1"/>
  <c r="N92" i="9"/>
  <c r="O92" i="9" s="1"/>
  <c r="P92" i="9"/>
  <c r="Q92" i="9" s="1"/>
  <c r="H92" i="9"/>
  <c r="I92" i="9" s="1"/>
  <c r="X92" i="9"/>
  <c r="AA92" i="9" s="1"/>
  <c r="J92" i="9"/>
  <c r="K92" i="9" s="1"/>
  <c r="Z92" i="9"/>
  <c r="L92" i="9"/>
  <c r="M92" i="9" s="1"/>
  <c r="AB92" i="9"/>
  <c r="AC92" i="9" s="1"/>
  <c r="R92" i="9"/>
  <c r="S92" i="9" s="1"/>
  <c r="T92" i="9"/>
  <c r="U92" i="9" s="1"/>
  <c r="F92" i="9"/>
  <c r="G92" i="9" s="1"/>
  <c r="V92" i="9"/>
  <c r="W92" i="9" s="1"/>
  <c r="R39" i="9"/>
  <c r="S39" i="9" s="1"/>
  <c r="V5" i="9"/>
  <c r="W5" i="9" s="1"/>
  <c r="F11" i="9"/>
  <c r="G11" i="9" s="1"/>
  <c r="N16" i="9"/>
  <c r="O16" i="9" s="1"/>
  <c r="V21" i="9"/>
  <c r="W21" i="9" s="1"/>
  <c r="F27" i="9"/>
  <c r="G27" i="9" s="1"/>
  <c r="N32" i="9"/>
  <c r="O32" i="9" s="1"/>
  <c r="R47" i="9"/>
  <c r="S47" i="9" s="1"/>
  <c r="Z68" i="9"/>
  <c r="F91" i="9"/>
  <c r="G91" i="9" s="1"/>
  <c r="V3" i="9"/>
  <c r="W3" i="9" s="1"/>
  <c r="N14" i="9"/>
  <c r="O14" i="9" s="1"/>
  <c r="F25" i="9"/>
  <c r="G25" i="9" s="1"/>
  <c r="Z60" i="9"/>
  <c r="N6" i="9"/>
  <c r="O6" i="9" s="1"/>
  <c r="V11" i="9"/>
  <c r="W11" i="9" s="1"/>
  <c r="F17" i="9"/>
  <c r="G17" i="9" s="1"/>
  <c r="N22" i="9"/>
  <c r="O22" i="9" s="1"/>
  <c r="V27" i="9"/>
  <c r="W27" i="9" s="1"/>
  <c r="F33" i="9"/>
  <c r="G33" i="9" s="1"/>
  <c r="J50" i="9"/>
  <c r="K50" i="9" s="1"/>
  <c r="R71" i="9"/>
  <c r="S71" i="9" s="1"/>
  <c r="V19" i="9"/>
  <c r="W19" i="9" s="1"/>
  <c r="N4" i="9"/>
  <c r="O4" i="9" s="1"/>
  <c r="N20" i="9"/>
  <c r="O20" i="9" s="1"/>
  <c r="F31" i="9"/>
  <c r="G31" i="9" s="1"/>
  <c r="V85" i="9"/>
  <c r="W85" i="9" s="1"/>
  <c r="F7" i="9"/>
  <c r="G7" i="9" s="1"/>
  <c r="N12" i="9"/>
  <c r="O12" i="9" s="1"/>
  <c r="V17" i="9"/>
  <c r="W17" i="9" s="1"/>
  <c r="F23" i="9"/>
  <c r="G23" i="9" s="1"/>
  <c r="N28" i="9"/>
  <c r="O28" i="9" s="1"/>
  <c r="V33" i="9"/>
  <c r="W33" i="9" s="1"/>
  <c r="Z52" i="9"/>
  <c r="F75" i="9"/>
  <c r="G75" i="9" s="1"/>
  <c r="F15" i="9"/>
  <c r="G15" i="9" s="1"/>
  <c r="R63" i="9"/>
  <c r="S63" i="9" s="1"/>
  <c r="N72" i="9"/>
  <c r="O72" i="9" s="1"/>
  <c r="V7" i="9"/>
  <c r="W7" i="9" s="1"/>
  <c r="F13" i="9"/>
  <c r="G13" i="9" s="1"/>
  <c r="N18" i="9"/>
  <c r="O18" i="9" s="1"/>
  <c r="V23" i="9"/>
  <c r="W23" i="9" s="1"/>
  <c r="F29" i="9"/>
  <c r="G29" i="9" s="1"/>
  <c r="N34" i="9"/>
  <c r="O34" i="9" s="1"/>
  <c r="R55" i="9"/>
  <c r="S55" i="9" s="1"/>
  <c r="V77" i="9"/>
  <c r="W77" i="9" s="1"/>
  <c r="F83" i="9"/>
  <c r="G83" i="9" s="1"/>
  <c r="V9" i="9"/>
  <c r="W9" i="9" s="1"/>
  <c r="J42" i="9"/>
  <c r="K42" i="9" s="1"/>
  <c r="F3" i="9"/>
  <c r="G3" i="9" s="1"/>
  <c r="N8" i="9"/>
  <c r="O8" i="9" s="1"/>
  <c r="V13" i="9"/>
  <c r="W13" i="9" s="1"/>
  <c r="F19" i="9"/>
  <c r="G19" i="9" s="1"/>
  <c r="N24" i="9"/>
  <c r="O24" i="9" s="1"/>
  <c r="V29" i="9"/>
  <c r="W29" i="9" s="1"/>
  <c r="Z36" i="9"/>
  <c r="J58" i="9"/>
  <c r="K58" i="9" s="1"/>
  <c r="N80" i="9"/>
  <c r="O80" i="9" s="1"/>
  <c r="F9" i="9"/>
  <c r="G9" i="9" s="1"/>
  <c r="N30" i="9"/>
  <c r="O30" i="9" s="1"/>
  <c r="V25" i="9"/>
  <c r="W25" i="9" s="1"/>
  <c r="F5" i="9"/>
  <c r="G5" i="9" s="1"/>
  <c r="N10" i="9"/>
  <c r="O10" i="9" s="1"/>
  <c r="V15" i="9"/>
  <c r="W15" i="9" s="1"/>
  <c r="F21" i="9"/>
  <c r="G21" i="9" s="1"/>
  <c r="N26" i="9"/>
  <c r="O26" i="9" s="1"/>
  <c r="V31" i="9"/>
  <c r="W31" i="9" s="1"/>
  <c r="Z44" i="9"/>
  <c r="J66" i="9"/>
  <c r="K66" i="9" s="1"/>
  <c r="N88" i="9"/>
  <c r="O88" i="9" s="1"/>
  <c r="H3" i="9"/>
  <c r="I3" i="9" s="1"/>
  <c r="P6" i="9"/>
  <c r="Q6" i="9" s="1"/>
  <c r="X7" i="9"/>
  <c r="Y7" i="9" s="1"/>
  <c r="X11" i="9"/>
  <c r="Y11" i="9" s="1"/>
  <c r="P16" i="9"/>
  <c r="Q16" i="9" s="1"/>
  <c r="X21" i="9"/>
  <c r="Y21" i="9" s="1"/>
  <c r="H27" i="9"/>
  <c r="I27" i="9" s="1"/>
  <c r="P30" i="9"/>
  <c r="Q30" i="9" s="1"/>
  <c r="H33" i="9"/>
  <c r="I33" i="9" s="1"/>
  <c r="AB44" i="9"/>
  <c r="AC44" i="9" s="1"/>
  <c r="T55" i="9"/>
  <c r="U55" i="9" s="1"/>
  <c r="T63" i="9"/>
  <c r="U63" i="9" s="1"/>
  <c r="AB68" i="9"/>
  <c r="AC68" i="9" s="1"/>
  <c r="H75" i="9"/>
  <c r="I75" i="9" s="1"/>
  <c r="X85" i="9"/>
  <c r="Y85" i="9" s="1"/>
  <c r="R72" i="9"/>
  <c r="S72" i="9" s="1"/>
  <c r="J3" i="9"/>
  <c r="K3" i="9" s="1"/>
  <c r="Z3" i="9"/>
  <c r="R4" i="9"/>
  <c r="S4" i="9" s="1"/>
  <c r="J5" i="9"/>
  <c r="K5" i="9" s="1"/>
  <c r="Z5" i="9"/>
  <c r="R6" i="9"/>
  <c r="S6" i="9" s="1"/>
  <c r="J7" i="9"/>
  <c r="K7" i="9" s="1"/>
  <c r="Z7" i="9"/>
  <c r="R8" i="9"/>
  <c r="S8" i="9" s="1"/>
  <c r="J9" i="9"/>
  <c r="K9" i="9" s="1"/>
  <c r="Z9" i="9"/>
  <c r="R10" i="9"/>
  <c r="S10" i="9" s="1"/>
  <c r="J11" i="9"/>
  <c r="K11" i="9" s="1"/>
  <c r="Z11" i="9"/>
  <c r="R12" i="9"/>
  <c r="S12" i="9" s="1"/>
  <c r="J13" i="9"/>
  <c r="K13" i="9" s="1"/>
  <c r="Z13" i="9"/>
  <c r="R14" i="9"/>
  <c r="S14" i="9" s="1"/>
  <c r="J15" i="9"/>
  <c r="K15" i="9" s="1"/>
  <c r="Z15" i="9"/>
  <c r="R16" i="9"/>
  <c r="S16" i="9" s="1"/>
  <c r="J17" i="9"/>
  <c r="K17" i="9" s="1"/>
  <c r="Z17" i="9"/>
  <c r="R18" i="9"/>
  <c r="S18" i="9" s="1"/>
  <c r="J19" i="9"/>
  <c r="K19" i="9" s="1"/>
  <c r="Z19" i="9"/>
  <c r="R20" i="9"/>
  <c r="S20" i="9" s="1"/>
  <c r="J21" i="9"/>
  <c r="K21" i="9" s="1"/>
  <c r="Z21" i="9"/>
  <c r="R22" i="9"/>
  <c r="S22" i="9" s="1"/>
  <c r="J23" i="9"/>
  <c r="K23" i="9" s="1"/>
  <c r="Z23" i="9"/>
  <c r="R24" i="9"/>
  <c r="S24" i="9" s="1"/>
  <c r="J25" i="9"/>
  <c r="K25" i="9" s="1"/>
  <c r="Z25" i="9"/>
  <c r="R26" i="9"/>
  <c r="S26" i="9" s="1"/>
  <c r="J27" i="9"/>
  <c r="K27" i="9" s="1"/>
  <c r="Z27" i="9"/>
  <c r="R28" i="9"/>
  <c r="S28" i="9" s="1"/>
  <c r="J29" i="9"/>
  <c r="K29" i="9" s="1"/>
  <c r="Z29" i="9"/>
  <c r="R30" i="9"/>
  <c r="S30" i="9" s="1"/>
  <c r="J31" i="9"/>
  <c r="K31" i="9" s="1"/>
  <c r="Z31" i="9"/>
  <c r="R32" i="9"/>
  <c r="S32" i="9" s="1"/>
  <c r="J33" i="9"/>
  <c r="K33" i="9" s="1"/>
  <c r="Z33" i="9"/>
  <c r="Z34" i="9"/>
  <c r="R37" i="9"/>
  <c r="S37" i="9" s="1"/>
  <c r="J40" i="9"/>
  <c r="K40" i="9" s="1"/>
  <c r="Z42" i="9"/>
  <c r="R45" i="9"/>
  <c r="S45" i="9" s="1"/>
  <c r="J48" i="9"/>
  <c r="K48" i="9" s="1"/>
  <c r="Z50" i="9"/>
  <c r="R53" i="9"/>
  <c r="S53" i="9" s="1"/>
  <c r="J56" i="9"/>
  <c r="K56" i="9" s="1"/>
  <c r="Z58" i="9"/>
  <c r="R61" i="9"/>
  <c r="S61" i="9" s="1"/>
  <c r="J64" i="9"/>
  <c r="K64" i="9" s="1"/>
  <c r="Z66" i="9"/>
  <c r="R69" i="9"/>
  <c r="S69" i="9" s="1"/>
  <c r="Z73" i="9"/>
  <c r="V75" i="9"/>
  <c r="W75" i="9" s="1"/>
  <c r="N78" i="9"/>
  <c r="O78" i="9" s="1"/>
  <c r="F81" i="9"/>
  <c r="G81" i="9" s="1"/>
  <c r="V83" i="9"/>
  <c r="W83" i="9" s="1"/>
  <c r="N86" i="9"/>
  <c r="O86" i="9" s="1"/>
  <c r="F89" i="9"/>
  <c r="G89" i="9" s="1"/>
  <c r="V91" i="9"/>
  <c r="W91" i="9" s="1"/>
  <c r="P4" i="9"/>
  <c r="Q4" i="9" s="1"/>
  <c r="P8" i="9"/>
  <c r="Q8" i="9" s="1"/>
  <c r="H13" i="9"/>
  <c r="I13" i="9" s="1"/>
  <c r="X17" i="9"/>
  <c r="AA17" i="9" s="1"/>
  <c r="P22" i="9"/>
  <c r="Q22" i="9" s="1"/>
  <c r="X27" i="9"/>
  <c r="AA27" i="9" s="1"/>
  <c r="L42" i="9"/>
  <c r="M42" i="9" s="1"/>
  <c r="T72" i="9"/>
  <c r="U72" i="9" s="1"/>
  <c r="L3" i="9"/>
  <c r="M3" i="9" s="1"/>
  <c r="AB3" i="9"/>
  <c r="AC3" i="9" s="1"/>
  <c r="T4" i="9"/>
  <c r="U4" i="9" s="1"/>
  <c r="L5" i="9"/>
  <c r="M5" i="9" s="1"/>
  <c r="AB5" i="9"/>
  <c r="AC5" i="9" s="1"/>
  <c r="T6" i="9"/>
  <c r="U6" i="9" s="1"/>
  <c r="L7" i="9"/>
  <c r="M7" i="9" s="1"/>
  <c r="AB7" i="9"/>
  <c r="AC7" i="9" s="1"/>
  <c r="T8" i="9"/>
  <c r="U8" i="9" s="1"/>
  <c r="L9" i="9"/>
  <c r="M9" i="9" s="1"/>
  <c r="AB9" i="9"/>
  <c r="AC9" i="9" s="1"/>
  <c r="T10" i="9"/>
  <c r="U10" i="9" s="1"/>
  <c r="L11" i="9"/>
  <c r="M11" i="9" s="1"/>
  <c r="AB11" i="9"/>
  <c r="AC11" i="9" s="1"/>
  <c r="T12" i="9"/>
  <c r="U12" i="9" s="1"/>
  <c r="L13" i="9"/>
  <c r="M13" i="9" s="1"/>
  <c r="AB13" i="9"/>
  <c r="AC13" i="9" s="1"/>
  <c r="T14" i="9"/>
  <c r="U14" i="9" s="1"/>
  <c r="L15" i="9"/>
  <c r="M15" i="9" s="1"/>
  <c r="AB15" i="9"/>
  <c r="AC15" i="9" s="1"/>
  <c r="T16" i="9"/>
  <c r="U16" i="9" s="1"/>
  <c r="L17" i="9"/>
  <c r="M17" i="9" s="1"/>
  <c r="AB17" i="9"/>
  <c r="AC17" i="9" s="1"/>
  <c r="T18" i="9"/>
  <c r="U18" i="9" s="1"/>
  <c r="L19" i="9"/>
  <c r="M19" i="9" s="1"/>
  <c r="AB19" i="9"/>
  <c r="AC19" i="9" s="1"/>
  <c r="T20" i="9"/>
  <c r="U20" i="9" s="1"/>
  <c r="L21" i="9"/>
  <c r="M21" i="9" s="1"/>
  <c r="AB21" i="9"/>
  <c r="AC21" i="9" s="1"/>
  <c r="T22" i="9"/>
  <c r="U22" i="9" s="1"/>
  <c r="L23" i="9"/>
  <c r="M23" i="9" s="1"/>
  <c r="AB23" i="9"/>
  <c r="AC23" i="9" s="1"/>
  <c r="T24" i="9"/>
  <c r="U24" i="9" s="1"/>
  <c r="L25" i="9"/>
  <c r="M25" i="9" s="1"/>
  <c r="AB25" i="9"/>
  <c r="AC25" i="9" s="1"/>
  <c r="T26" i="9"/>
  <c r="U26" i="9" s="1"/>
  <c r="L27" i="9"/>
  <c r="M27" i="9" s="1"/>
  <c r="AB27" i="9"/>
  <c r="AC27" i="9" s="1"/>
  <c r="T28" i="9"/>
  <c r="U28" i="9" s="1"/>
  <c r="L29" i="9"/>
  <c r="M29" i="9" s="1"/>
  <c r="AB29" i="9"/>
  <c r="AC29" i="9" s="1"/>
  <c r="T30" i="9"/>
  <c r="U30" i="9" s="1"/>
  <c r="L31" i="9"/>
  <c r="M31" i="9" s="1"/>
  <c r="AB31" i="9"/>
  <c r="AC31" i="9" s="1"/>
  <c r="T32" i="9"/>
  <c r="U32" i="9" s="1"/>
  <c r="L33" i="9"/>
  <c r="M33" i="9" s="1"/>
  <c r="AB33" i="9"/>
  <c r="AC33" i="9" s="1"/>
  <c r="AB34" i="9"/>
  <c r="AC34" i="9" s="1"/>
  <c r="T37" i="9"/>
  <c r="U37" i="9" s="1"/>
  <c r="L40" i="9"/>
  <c r="M40" i="9" s="1"/>
  <c r="AB42" i="9"/>
  <c r="AC42" i="9" s="1"/>
  <c r="T45" i="9"/>
  <c r="U45" i="9" s="1"/>
  <c r="L48" i="9"/>
  <c r="M48" i="9" s="1"/>
  <c r="AB50" i="9"/>
  <c r="AC50" i="9" s="1"/>
  <c r="T53" i="9"/>
  <c r="U53" i="9" s="1"/>
  <c r="L56" i="9"/>
  <c r="M56" i="9" s="1"/>
  <c r="AB58" i="9"/>
  <c r="AC58" i="9" s="1"/>
  <c r="T61" i="9"/>
  <c r="U61" i="9" s="1"/>
  <c r="L64" i="9"/>
  <c r="M64" i="9" s="1"/>
  <c r="AB66" i="9"/>
  <c r="AC66" i="9" s="1"/>
  <c r="T69" i="9"/>
  <c r="U69" i="9" s="1"/>
  <c r="AB73" i="9"/>
  <c r="AC73" i="9" s="1"/>
  <c r="X75" i="9"/>
  <c r="Y75" i="9" s="1"/>
  <c r="P78" i="9"/>
  <c r="Q78" i="9" s="1"/>
  <c r="H81" i="9"/>
  <c r="I81" i="9" s="1"/>
  <c r="X83" i="9"/>
  <c r="AA83" i="9" s="1"/>
  <c r="P86" i="9"/>
  <c r="Q86" i="9" s="1"/>
  <c r="H89" i="9"/>
  <c r="I89" i="9" s="1"/>
  <c r="X91" i="9"/>
  <c r="Y91" i="9" s="1"/>
  <c r="H7" i="9"/>
  <c r="I7" i="9" s="1"/>
  <c r="H11" i="9"/>
  <c r="I11" i="9" s="1"/>
  <c r="X13" i="9"/>
  <c r="Y13" i="9" s="1"/>
  <c r="H17" i="9"/>
  <c r="I17" i="9" s="1"/>
  <c r="H21" i="9"/>
  <c r="I21" i="9" s="1"/>
  <c r="H23" i="9"/>
  <c r="I23" i="9" s="1"/>
  <c r="P26" i="9"/>
  <c r="Q26" i="9" s="1"/>
  <c r="X29" i="9"/>
  <c r="AA29" i="9" s="1"/>
  <c r="X31" i="9"/>
  <c r="Y31" i="9" s="1"/>
  <c r="X33" i="9"/>
  <c r="Y33" i="9" s="1"/>
  <c r="L50" i="9"/>
  <c r="M50" i="9" s="1"/>
  <c r="P80" i="9"/>
  <c r="Q80" i="9" s="1"/>
  <c r="V72" i="9"/>
  <c r="W72" i="9" s="1"/>
  <c r="N3" i="9"/>
  <c r="O3" i="9" s="1"/>
  <c r="F4" i="9"/>
  <c r="G4" i="9" s="1"/>
  <c r="V4" i="9"/>
  <c r="W4" i="9" s="1"/>
  <c r="N5" i="9"/>
  <c r="O5" i="9" s="1"/>
  <c r="F6" i="9"/>
  <c r="G6" i="9" s="1"/>
  <c r="V6" i="9"/>
  <c r="W6" i="9" s="1"/>
  <c r="N7" i="9"/>
  <c r="O7" i="9" s="1"/>
  <c r="F8" i="9"/>
  <c r="G8" i="9" s="1"/>
  <c r="V8" i="9"/>
  <c r="W8" i="9" s="1"/>
  <c r="N9" i="9"/>
  <c r="O9" i="9" s="1"/>
  <c r="F10" i="9"/>
  <c r="G10" i="9" s="1"/>
  <c r="V10" i="9"/>
  <c r="W10" i="9" s="1"/>
  <c r="N11" i="9"/>
  <c r="O11" i="9" s="1"/>
  <c r="F12" i="9"/>
  <c r="G12" i="9" s="1"/>
  <c r="V12" i="9"/>
  <c r="W12" i="9" s="1"/>
  <c r="N13" i="9"/>
  <c r="O13" i="9" s="1"/>
  <c r="F14" i="9"/>
  <c r="G14" i="9" s="1"/>
  <c r="V14" i="9"/>
  <c r="W14" i="9" s="1"/>
  <c r="N15" i="9"/>
  <c r="O15" i="9" s="1"/>
  <c r="F16" i="9"/>
  <c r="G16" i="9" s="1"/>
  <c r="V16" i="9"/>
  <c r="W16" i="9" s="1"/>
  <c r="N17" i="9"/>
  <c r="O17" i="9" s="1"/>
  <c r="F18" i="9"/>
  <c r="G18" i="9" s="1"/>
  <c r="V18" i="9"/>
  <c r="W18" i="9" s="1"/>
  <c r="N19" i="9"/>
  <c r="O19" i="9" s="1"/>
  <c r="F20" i="9"/>
  <c r="G20" i="9" s="1"/>
  <c r="V20" i="9"/>
  <c r="W20" i="9" s="1"/>
  <c r="N21" i="9"/>
  <c r="O21" i="9" s="1"/>
  <c r="F22" i="9"/>
  <c r="G22" i="9" s="1"/>
  <c r="V22" i="9"/>
  <c r="W22" i="9" s="1"/>
  <c r="N23" i="9"/>
  <c r="O23" i="9" s="1"/>
  <c r="F24" i="9"/>
  <c r="G24" i="9" s="1"/>
  <c r="V24" i="9"/>
  <c r="W24" i="9" s="1"/>
  <c r="N25" i="9"/>
  <c r="O25" i="9" s="1"/>
  <c r="F26" i="9"/>
  <c r="G26" i="9" s="1"/>
  <c r="V26" i="9"/>
  <c r="W26" i="9" s="1"/>
  <c r="N27" i="9"/>
  <c r="O27" i="9" s="1"/>
  <c r="F28" i="9"/>
  <c r="G28" i="9" s="1"/>
  <c r="V28" i="9"/>
  <c r="W28" i="9" s="1"/>
  <c r="N29" i="9"/>
  <c r="O29" i="9" s="1"/>
  <c r="F30" i="9"/>
  <c r="G30" i="9" s="1"/>
  <c r="V30" i="9"/>
  <c r="W30" i="9" s="1"/>
  <c r="N31" i="9"/>
  <c r="O31" i="9" s="1"/>
  <c r="F32" i="9"/>
  <c r="G32" i="9" s="1"/>
  <c r="V32" i="9"/>
  <c r="W32" i="9" s="1"/>
  <c r="N33" i="9"/>
  <c r="O33" i="9" s="1"/>
  <c r="F34" i="9"/>
  <c r="G34" i="9" s="1"/>
  <c r="R35" i="9"/>
  <c r="S35" i="9" s="1"/>
  <c r="J38" i="9"/>
  <c r="K38" i="9" s="1"/>
  <c r="Z40" i="9"/>
  <c r="R43" i="9"/>
  <c r="S43" i="9" s="1"/>
  <c r="J46" i="9"/>
  <c r="K46" i="9" s="1"/>
  <c r="Z48" i="9"/>
  <c r="R51" i="9"/>
  <c r="S51" i="9" s="1"/>
  <c r="J54" i="9"/>
  <c r="K54" i="9" s="1"/>
  <c r="Z56" i="9"/>
  <c r="R59" i="9"/>
  <c r="S59" i="9" s="1"/>
  <c r="J62" i="9"/>
  <c r="K62" i="9" s="1"/>
  <c r="Z64" i="9"/>
  <c r="R67" i="9"/>
  <c r="S67" i="9" s="1"/>
  <c r="J70" i="9"/>
  <c r="K70" i="9" s="1"/>
  <c r="R74" i="9"/>
  <c r="S74" i="9" s="1"/>
  <c r="N76" i="9"/>
  <c r="O76" i="9" s="1"/>
  <c r="F79" i="9"/>
  <c r="G79" i="9" s="1"/>
  <c r="V81" i="9"/>
  <c r="W81" i="9" s="1"/>
  <c r="N84" i="9"/>
  <c r="O84" i="9" s="1"/>
  <c r="F87" i="9"/>
  <c r="G87" i="9" s="1"/>
  <c r="V89" i="9"/>
  <c r="W89" i="9" s="1"/>
  <c r="P72" i="9"/>
  <c r="Q72" i="9" s="1"/>
  <c r="X5" i="9"/>
  <c r="Y5" i="9" s="1"/>
  <c r="H9" i="9"/>
  <c r="I9" i="9" s="1"/>
  <c r="P12" i="9"/>
  <c r="Q12" i="9" s="1"/>
  <c r="X15" i="9"/>
  <c r="AA15" i="9" s="1"/>
  <c r="P18" i="9"/>
  <c r="Q18" i="9" s="1"/>
  <c r="P20" i="9"/>
  <c r="Q20" i="9" s="1"/>
  <c r="X23" i="9"/>
  <c r="Y23" i="9" s="1"/>
  <c r="X25" i="9"/>
  <c r="AA25" i="9" s="1"/>
  <c r="H29" i="9"/>
  <c r="I29" i="9" s="1"/>
  <c r="P32" i="9"/>
  <c r="Q32" i="9" s="1"/>
  <c r="AB36" i="9"/>
  <c r="AC36" i="9" s="1"/>
  <c r="L58" i="9"/>
  <c r="M58" i="9" s="1"/>
  <c r="H91" i="9"/>
  <c r="I91" i="9" s="1"/>
  <c r="H72" i="9"/>
  <c r="I72" i="9" s="1"/>
  <c r="X72" i="9"/>
  <c r="AA72" i="9" s="1"/>
  <c r="P3" i="9"/>
  <c r="Q3" i="9" s="1"/>
  <c r="H4" i="9"/>
  <c r="I4" i="9" s="1"/>
  <c r="X4" i="9"/>
  <c r="Y4" i="9" s="1"/>
  <c r="P5" i="9"/>
  <c r="Q5" i="9" s="1"/>
  <c r="H6" i="9"/>
  <c r="I6" i="9" s="1"/>
  <c r="X6" i="9"/>
  <c r="AA6" i="9" s="1"/>
  <c r="P7" i="9"/>
  <c r="Q7" i="9" s="1"/>
  <c r="H8" i="9"/>
  <c r="I8" i="9" s="1"/>
  <c r="X8" i="9"/>
  <c r="AA8" i="9" s="1"/>
  <c r="P9" i="9"/>
  <c r="Q9" i="9" s="1"/>
  <c r="H10" i="9"/>
  <c r="I10" i="9" s="1"/>
  <c r="X10" i="9"/>
  <c r="AA10" i="9" s="1"/>
  <c r="P11" i="9"/>
  <c r="Q11" i="9" s="1"/>
  <c r="H12" i="9"/>
  <c r="I12" i="9" s="1"/>
  <c r="X12" i="9"/>
  <c r="AA12" i="9" s="1"/>
  <c r="P13" i="9"/>
  <c r="Q13" i="9" s="1"/>
  <c r="H14" i="9"/>
  <c r="I14" i="9" s="1"/>
  <c r="X14" i="9"/>
  <c r="AA14" i="9" s="1"/>
  <c r="P15" i="9"/>
  <c r="Q15" i="9" s="1"/>
  <c r="H16" i="9"/>
  <c r="I16" i="9" s="1"/>
  <c r="X16" i="9"/>
  <c r="Y16" i="9" s="1"/>
  <c r="P17" i="9"/>
  <c r="Q17" i="9" s="1"/>
  <c r="H18" i="9"/>
  <c r="I18" i="9" s="1"/>
  <c r="X18" i="9"/>
  <c r="Y18" i="9" s="1"/>
  <c r="P19" i="9"/>
  <c r="Q19" i="9" s="1"/>
  <c r="H20" i="9"/>
  <c r="I20" i="9" s="1"/>
  <c r="X20" i="9"/>
  <c r="AA20" i="9" s="1"/>
  <c r="P21" i="9"/>
  <c r="Q21" i="9" s="1"/>
  <c r="H22" i="9"/>
  <c r="I22" i="9" s="1"/>
  <c r="X22" i="9"/>
  <c r="AA22" i="9" s="1"/>
  <c r="P23" i="9"/>
  <c r="Q23" i="9" s="1"/>
  <c r="H24" i="9"/>
  <c r="I24" i="9" s="1"/>
  <c r="X24" i="9"/>
  <c r="Y24" i="9" s="1"/>
  <c r="P25" i="9"/>
  <c r="Q25" i="9" s="1"/>
  <c r="H26" i="9"/>
  <c r="I26" i="9" s="1"/>
  <c r="X26" i="9"/>
  <c r="AA26" i="9" s="1"/>
  <c r="P27" i="9"/>
  <c r="Q27" i="9" s="1"/>
  <c r="H28" i="9"/>
  <c r="I28" i="9" s="1"/>
  <c r="X28" i="9"/>
  <c r="AA28" i="9" s="1"/>
  <c r="P29" i="9"/>
  <c r="Q29" i="9" s="1"/>
  <c r="H30" i="9"/>
  <c r="I30" i="9" s="1"/>
  <c r="X30" i="9"/>
  <c r="Y30" i="9" s="1"/>
  <c r="P31" i="9"/>
  <c r="Q31" i="9" s="1"/>
  <c r="H32" i="9"/>
  <c r="I32" i="9" s="1"/>
  <c r="X32" i="9"/>
  <c r="Y32" i="9" s="1"/>
  <c r="P33" i="9"/>
  <c r="Q33" i="9" s="1"/>
  <c r="H34" i="9"/>
  <c r="I34" i="9" s="1"/>
  <c r="T35" i="9"/>
  <c r="U35" i="9" s="1"/>
  <c r="L38" i="9"/>
  <c r="M38" i="9" s="1"/>
  <c r="AB40" i="9"/>
  <c r="AC40" i="9" s="1"/>
  <c r="T43" i="9"/>
  <c r="U43" i="9" s="1"/>
  <c r="L46" i="9"/>
  <c r="M46" i="9" s="1"/>
  <c r="AB48" i="9"/>
  <c r="AC48" i="9" s="1"/>
  <c r="T51" i="9"/>
  <c r="U51" i="9" s="1"/>
  <c r="L54" i="9"/>
  <c r="M54" i="9" s="1"/>
  <c r="AB56" i="9"/>
  <c r="AC56" i="9" s="1"/>
  <c r="T59" i="9"/>
  <c r="U59" i="9" s="1"/>
  <c r="L62" i="9"/>
  <c r="M62" i="9" s="1"/>
  <c r="AB64" i="9"/>
  <c r="AC64" i="9" s="1"/>
  <c r="T67" i="9"/>
  <c r="U67" i="9" s="1"/>
  <c r="L70" i="9"/>
  <c r="M70" i="9" s="1"/>
  <c r="T74" i="9"/>
  <c r="U74" i="9" s="1"/>
  <c r="P76" i="9"/>
  <c r="Q76" i="9" s="1"/>
  <c r="H79" i="9"/>
  <c r="I79" i="9" s="1"/>
  <c r="X81" i="9"/>
  <c r="Y81" i="9" s="1"/>
  <c r="P84" i="9"/>
  <c r="Q84" i="9" s="1"/>
  <c r="H87" i="9"/>
  <c r="I87" i="9" s="1"/>
  <c r="X89" i="9"/>
  <c r="AA89" i="9" s="1"/>
  <c r="H5" i="9"/>
  <c r="I5" i="9" s="1"/>
  <c r="P10" i="9"/>
  <c r="Q10" i="9" s="1"/>
  <c r="H15" i="9"/>
  <c r="I15" i="9" s="1"/>
  <c r="X19" i="9"/>
  <c r="Y19" i="9" s="1"/>
  <c r="P24" i="9"/>
  <c r="Q24" i="9" s="1"/>
  <c r="P28" i="9"/>
  <c r="Q28" i="9" s="1"/>
  <c r="H31" i="9"/>
  <c r="I31" i="9" s="1"/>
  <c r="P34" i="9"/>
  <c r="Q34" i="9" s="1"/>
  <c r="T47" i="9"/>
  <c r="U47" i="9" s="1"/>
  <c r="AB52" i="9"/>
  <c r="AC52" i="9" s="1"/>
  <c r="AB60" i="9"/>
  <c r="AC60" i="9" s="1"/>
  <c r="L66" i="9"/>
  <c r="M66" i="9" s="1"/>
  <c r="T71" i="9"/>
  <c r="U71" i="9" s="1"/>
  <c r="X77" i="9"/>
  <c r="AA77" i="9" s="1"/>
  <c r="H83" i="9"/>
  <c r="I83" i="9" s="1"/>
  <c r="J72" i="9"/>
  <c r="K72" i="9" s="1"/>
  <c r="Z72" i="9"/>
  <c r="R3" i="9"/>
  <c r="S3" i="9" s="1"/>
  <c r="J4" i="9"/>
  <c r="K4" i="9" s="1"/>
  <c r="Z4" i="9"/>
  <c r="R5" i="9"/>
  <c r="S5" i="9" s="1"/>
  <c r="J6" i="9"/>
  <c r="K6" i="9" s="1"/>
  <c r="Z6" i="9"/>
  <c r="R7" i="9"/>
  <c r="S7" i="9" s="1"/>
  <c r="J8" i="9"/>
  <c r="K8" i="9" s="1"/>
  <c r="Z8" i="9"/>
  <c r="R9" i="9"/>
  <c r="S9" i="9" s="1"/>
  <c r="J10" i="9"/>
  <c r="K10" i="9" s="1"/>
  <c r="Z10" i="9"/>
  <c r="R11" i="9"/>
  <c r="S11" i="9" s="1"/>
  <c r="J12" i="9"/>
  <c r="K12" i="9" s="1"/>
  <c r="Z12" i="9"/>
  <c r="R13" i="9"/>
  <c r="S13" i="9" s="1"/>
  <c r="J14" i="9"/>
  <c r="K14" i="9" s="1"/>
  <c r="Z14" i="9"/>
  <c r="R15" i="9"/>
  <c r="S15" i="9" s="1"/>
  <c r="J16" i="9"/>
  <c r="K16" i="9" s="1"/>
  <c r="Z16" i="9"/>
  <c r="R17" i="9"/>
  <c r="S17" i="9" s="1"/>
  <c r="J18" i="9"/>
  <c r="K18" i="9" s="1"/>
  <c r="Z18" i="9"/>
  <c r="R19" i="9"/>
  <c r="S19" i="9" s="1"/>
  <c r="J20" i="9"/>
  <c r="K20" i="9" s="1"/>
  <c r="Z20" i="9"/>
  <c r="R21" i="9"/>
  <c r="S21" i="9" s="1"/>
  <c r="J22" i="9"/>
  <c r="K22" i="9" s="1"/>
  <c r="Z22" i="9"/>
  <c r="R23" i="9"/>
  <c r="S23" i="9" s="1"/>
  <c r="J24" i="9"/>
  <c r="K24" i="9" s="1"/>
  <c r="Z24" i="9"/>
  <c r="R25" i="9"/>
  <c r="S25" i="9" s="1"/>
  <c r="J26" i="9"/>
  <c r="K26" i="9" s="1"/>
  <c r="Z26" i="9"/>
  <c r="R27" i="9"/>
  <c r="S27" i="9" s="1"/>
  <c r="J28" i="9"/>
  <c r="K28" i="9" s="1"/>
  <c r="Z28" i="9"/>
  <c r="R29" i="9"/>
  <c r="S29" i="9" s="1"/>
  <c r="J30" i="9"/>
  <c r="K30" i="9" s="1"/>
  <c r="Z30" i="9"/>
  <c r="R31" i="9"/>
  <c r="S31" i="9" s="1"/>
  <c r="J32" i="9"/>
  <c r="K32" i="9" s="1"/>
  <c r="Z32" i="9"/>
  <c r="R33" i="9"/>
  <c r="S33" i="9" s="1"/>
  <c r="J34" i="9"/>
  <c r="K34" i="9" s="1"/>
  <c r="J36" i="9"/>
  <c r="K36" i="9" s="1"/>
  <c r="Z38" i="9"/>
  <c r="R41" i="9"/>
  <c r="S41" i="9" s="1"/>
  <c r="J44" i="9"/>
  <c r="K44" i="9" s="1"/>
  <c r="Z46" i="9"/>
  <c r="R49" i="9"/>
  <c r="S49" i="9" s="1"/>
  <c r="J52" i="9"/>
  <c r="K52" i="9" s="1"/>
  <c r="Z54" i="9"/>
  <c r="R57" i="9"/>
  <c r="S57" i="9" s="1"/>
  <c r="J60" i="9"/>
  <c r="K60" i="9" s="1"/>
  <c r="Z62" i="9"/>
  <c r="R65" i="9"/>
  <c r="S65" i="9" s="1"/>
  <c r="J68" i="9"/>
  <c r="K68" i="9" s="1"/>
  <c r="Z70" i="9"/>
  <c r="J73" i="9"/>
  <c r="K73" i="9" s="1"/>
  <c r="F77" i="9"/>
  <c r="G77" i="9" s="1"/>
  <c r="V79" i="9"/>
  <c r="W79" i="9" s="1"/>
  <c r="N82" i="9"/>
  <c r="O82" i="9" s="1"/>
  <c r="F85" i="9"/>
  <c r="G85" i="9" s="1"/>
  <c r="V87" i="9"/>
  <c r="W87" i="9" s="1"/>
  <c r="N90" i="9"/>
  <c r="O90" i="9" s="1"/>
  <c r="X3" i="9"/>
  <c r="Y3" i="9" s="1"/>
  <c r="X9" i="9"/>
  <c r="AA9" i="9" s="1"/>
  <c r="P14" i="9"/>
  <c r="Q14" i="9" s="1"/>
  <c r="H19" i="9"/>
  <c r="I19" i="9" s="1"/>
  <c r="H25" i="9"/>
  <c r="I25" i="9" s="1"/>
  <c r="T39" i="9"/>
  <c r="U39" i="9" s="1"/>
  <c r="P88" i="9"/>
  <c r="Q88" i="9" s="1"/>
  <c r="L72" i="9"/>
  <c r="M72" i="9" s="1"/>
  <c r="AB72" i="9"/>
  <c r="AC72" i="9" s="1"/>
  <c r="T3" i="9"/>
  <c r="U3" i="9" s="1"/>
  <c r="L4" i="9"/>
  <c r="M4" i="9" s="1"/>
  <c r="AB4" i="9"/>
  <c r="AC4" i="9" s="1"/>
  <c r="T5" i="9"/>
  <c r="U5" i="9" s="1"/>
  <c r="L6" i="9"/>
  <c r="M6" i="9" s="1"/>
  <c r="AB6" i="9"/>
  <c r="AC6" i="9" s="1"/>
  <c r="T7" i="9"/>
  <c r="U7" i="9" s="1"/>
  <c r="L8" i="9"/>
  <c r="M8" i="9" s="1"/>
  <c r="AB8" i="9"/>
  <c r="AC8" i="9" s="1"/>
  <c r="T9" i="9"/>
  <c r="U9" i="9" s="1"/>
  <c r="L10" i="9"/>
  <c r="M10" i="9" s="1"/>
  <c r="AB10" i="9"/>
  <c r="AC10" i="9" s="1"/>
  <c r="T11" i="9"/>
  <c r="U11" i="9" s="1"/>
  <c r="L12" i="9"/>
  <c r="M12" i="9" s="1"/>
  <c r="AB12" i="9"/>
  <c r="AC12" i="9" s="1"/>
  <c r="T13" i="9"/>
  <c r="U13" i="9" s="1"/>
  <c r="L14" i="9"/>
  <c r="M14" i="9" s="1"/>
  <c r="AB14" i="9"/>
  <c r="AC14" i="9" s="1"/>
  <c r="T15" i="9"/>
  <c r="U15" i="9" s="1"/>
  <c r="L16" i="9"/>
  <c r="M16" i="9" s="1"/>
  <c r="AB16" i="9"/>
  <c r="AC16" i="9" s="1"/>
  <c r="T17" i="9"/>
  <c r="U17" i="9" s="1"/>
  <c r="L18" i="9"/>
  <c r="M18" i="9" s="1"/>
  <c r="AB18" i="9"/>
  <c r="AC18" i="9" s="1"/>
  <c r="T19" i="9"/>
  <c r="U19" i="9" s="1"/>
  <c r="L20" i="9"/>
  <c r="M20" i="9" s="1"/>
  <c r="AB20" i="9"/>
  <c r="AC20" i="9" s="1"/>
  <c r="T21" i="9"/>
  <c r="U21" i="9" s="1"/>
  <c r="L22" i="9"/>
  <c r="M22" i="9" s="1"/>
  <c r="AB22" i="9"/>
  <c r="AC22" i="9" s="1"/>
  <c r="T23" i="9"/>
  <c r="U23" i="9" s="1"/>
  <c r="L24" i="9"/>
  <c r="M24" i="9" s="1"/>
  <c r="AB24" i="9"/>
  <c r="AC24" i="9" s="1"/>
  <c r="T25" i="9"/>
  <c r="U25" i="9" s="1"/>
  <c r="L26" i="9"/>
  <c r="M26" i="9" s="1"/>
  <c r="AB26" i="9"/>
  <c r="AC26" i="9" s="1"/>
  <c r="T27" i="9"/>
  <c r="U27" i="9" s="1"/>
  <c r="L28" i="9"/>
  <c r="M28" i="9" s="1"/>
  <c r="AB28" i="9"/>
  <c r="AC28" i="9" s="1"/>
  <c r="T29" i="9"/>
  <c r="U29" i="9" s="1"/>
  <c r="L30" i="9"/>
  <c r="M30" i="9" s="1"/>
  <c r="AB30" i="9"/>
  <c r="AC30" i="9" s="1"/>
  <c r="T31" i="9"/>
  <c r="U31" i="9" s="1"/>
  <c r="L32" i="9"/>
  <c r="M32" i="9" s="1"/>
  <c r="AB32" i="9"/>
  <c r="AC32" i="9" s="1"/>
  <c r="T33" i="9"/>
  <c r="U33" i="9" s="1"/>
  <c r="L34" i="9"/>
  <c r="M34" i="9" s="1"/>
  <c r="L36" i="9"/>
  <c r="M36" i="9" s="1"/>
  <c r="AB38" i="9"/>
  <c r="AC38" i="9" s="1"/>
  <c r="T41" i="9"/>
  <c r="U41" i="9" s="1"/>
  <c r="L44" i="9"/>
  <c r="M44" i="9" s="1"/>
  <c r="AB46" i="9"/>
  <c r="AC46" i="9" s="1"/>
  <c r="T49" i="9"/>
  <c r="U49" i="9" s="1"/>
  <c r="L52" i="9"/>
  <c r="M52" i="9" s="1"/>
  <c r="AB54" i="9"/>
  <c r="AC54" i="9" s="1"/>
  <c r="T57" i="9"/>
  <c r="U57" i="9" s="1"/>
  <c r="L60" i="9"/>
  <c r="M60" i="9" s="1"/>
  <c r="AB62" i="9"/>
  <c r="AC62" i="9" s="1"/>
  <c r="T65" i="9"/>
  <c r="U65" i="9" s="1"/>
  <c r="L68" i="9"/>
  <c r="M68" i="9" s="1"/>
  <c r="AB70" i="9"/>
  <c r="AC70" i="9" s="1"/>
  <c r="L73" i="9"/>
  <c r="M73" i="9" s="1"/>
  <c r="H77" i="9"/>
  <c r="I77" i="9" s="1"/>
  <c r="X79" i="9"/>
  <c r="AA79" i="9" s="1"/>
  <c r="P82" i="9"/>
  <c r="Q82" i="9" s="1"/>
  <c r="H85" i="9"/>
  <c r="I85" i="9" s="1"/>
  <c r="X87" i="9"/>
  <c r="AA87" i="9" s="1"/>
  <c r="P90" i="9"/>
  <c r="Q90" i="9" s="1"/>
  <c r="F35" i="9"/>
  <c r="G35" i="9" s="1"/>
  <c r="V35" i="9"/>
  <c r="W35" i="9" s="1"/>
  <c r="N36" i="9"/>
  <c r="O36" i="9" s="1"/>
  <c r="F37" i="9"/>
  <c r="G37" i="9" s="1"/>
  <c r="V37" i="9"/>
  <c r="W37" i="9" s="1"/>
  <c r="N38" i="9"/>
  <c r="O38" i="9" s="1"/>
  <c r="F39" i="9"/>
  <c r="G39" i="9" s="1"/>
  <c r="V39" i="9"/>
  <c r="W39" i="9" s="1"/>
  <c r="N40" i="9"/>
  <c r="O40" i="9" s="1"/>
  <c r="F41" i="9"/>
  <c r="G41" i="9" s="1"/>
  <c r="V41" i="9"/>
  <c r="W41" i="9" s="1"/>
  <c r="N42" i="9"/>
  <c r="O42" i="9" s="1"/>
  <c r="F43" i="9"/>
  <c r="G43" i="9" s="1"/>
  <c r="V43" i="9"/>
  <c r="W43" i="9" s="1"/>
  <c r="N44" i="9"/>
  <c r="O44" i="9" s="1"/>
  <c r="F45" i="9"/>
  <c r="G45" i="9" s="1"/>
  <c r="V45" i="9"/>
  <c r="W45" i="9" s="1"/>
  <c r="N46" i="9"/>
  <c r="O46" i="9" s="1"/>
  <c r="F47" i="9"/>
  <c r="G47" i="9" s="1"/>
  <c r="V47" i="9"/>
  <c r="W47" i="9" s="1"/>
  <c r="N48" i="9"/>
  <c r="O48" i="9" s="1"/>
  <c r="F49" i="9"/>
  <c r="G49" i="9" s="1"/>
  <c r="V49" i="9"/>
  <c r="W49" i="9" s="1"/>
  <c r="N50" i="9"/>
  <c r="O50" i="9" s="1"/>
  <c r="F51" i="9"/>
  <c r="G51" i="9" s="1"/>
  <c r="V51" i="9"/>
  <c r="W51" i="9" s="1"/>
  <c r="N52" i="9"/>
  <c r="O52" i="9" s="1"/>
  <c r="F53" i="9"/>
  <c r="G53" i="9" s="1"/>
  <c r="V53" i="9"/>
  <c r="W53" i="9" s="1"/>
  <c r="N54" i="9"/>
  <c r="O54" i="9" s="1"/>
  <c r="F55" i="9"/>
  <c r="G55" i="9" s="1"/>
  <c r="V55" i="9"/>
  <c r="W55" i="9" s="1"/>
  <c r="N56" i="9"/>
  <c r="O56" i="9" s="1"/>
  <c r="F57" i="9"/>
  <c r="G57" i="9" s="1"/>
  <c r="V57" i="9"/>
  <c r="W57" i="9" s="1"/>
  <c r="N58" i="9"/>
  <c r="O58" i="9" s="1"/>
  <c r="F59" i="9"/>
  <c r="G59" i="9" s="1"/>
  <c r="V59" i="9"/>
  <c r="W59" i="9" s="1"/>
  <c r="N60" i="9"/>
  <c r="O60" i="9" s="1"/>
  <c r="F61" i="9"/>
  <c r="G61" i="9" s="1"/>
  <c r="V61" i="9"/>
  <c r="W61" i="9" s="1"/>
  <c r="N62" i="9"/>
  <c r="O62" i="9" s="1"/>
  <c r="F63" i="9"/>
  <c r="G63" i="9" s="1"/>
  <c r="V63" i="9"/>
  <c r="W63" i="9" s="1"/>
  <c r="N64" i="9"/>
  <c r="O64" i="9" s="1"/>
  <c r="F65" i="9"/>
  <c r="G65" i="9" s="1"/>
  <c r="V65" i="9"/>
  <c r="W65" i="9" s="1"/>
  <c r="N66" i="9"/>
  <c r="O66" i="9" s="1"/>
  <c r="F67" i="9"/>
  <c r="G67" i="9" s="1"/>
  <c r="V67" i="9"/>
  <c r="W67" i="9" s="1"/>
  <c r="N68" i="9"/>
  <c r="O68" i="9" s="1"/>
  <c r="F69" i="9"/>
  <c r="G69" i="9" s="1"/>
  <c r="V69" i="9"/>
  <c r="W69" i="9" s="1"/>
  <c r="N70" i="9"/>
  <c r="O70" i="9" s="1"/>
  <c r="F71" i="9"/>
  <c r="G71" i="9" s="1"/>
  <c r="V71" i="9"/>
  <c r="W71" i="9" s="1"/>
  <c r="F74" i="9"/>
  <c r="G74" i="9" s="1"/>
  <c r="V74" i="9"/>
  <c r="W74" i="9" s="1"/>
  <c r="N73" i="9"/>
  <c r="O73" i="9" s="1"/>
  <c r="J75" i="9"/>
  <c r="K75" i="9" s="1"/>
  <c r="Z75" i="9"/>
  <c r="R76" i="9"/>
  <c r="S76" i="9" s="1"/>
  <c r="J77" i="9"/>
  <c r="K77" i="9" s="1"/>
  <c r="Z77" i="9"/>
  <c r="R78" i="9"/>
  <c r="S78" i="9" s="1"/>
  <c r="J79" i="9"/>
  <c r="K79" i="9" s="1"/>
  <c r="Z79" i="9"/>
  <c r="R80" i="9"/>
  <c r="S80" i="9" s="1"/>
  <c r="J81" i="9"/>
  <c r="K81" i="9" s="1"/>
  <c r="Z81" i="9"/>
  <c r="R82" i="9"/>
  <c r="S82" i="9" s="1"/>
  <c r="J83" i="9"/>
  <c r="K83" i="9" s="1"/>
  <c r="Z83" i="9"/>
  <c r="R84" i="9"/>
  <c r="S84" i="9" s="1"/>
  <c r="J85" i="9"/>
  <c r="K85" i="9" s="1"/>
  <c r="Z85" i="9"/>
  <c r="R86" i="9"/>
  <c r="S86" i="9" s="1"/>
  <c r="J87" i="9"/>
  <c r="K87" i="9" s="1"/>
  <c r="Z87" i="9"/>
  <c r="R88" i="9"/>
  <c r="S88" i="9" s="1"/>
  <c r="J89" i="9"/>
  <c r="K89" i="9" s="1"/>
  <c r="Z89" i="9"/>
  <c r="R90" i="9"/>
  <c r="S90" i="9" s="1"/>
  <c r="J91" i="9"/>
  <c r="K91" i="9" s="1"/>
  <c r="Z91" i="9"/>
  <c r="H35" i="9"/>
  <c r="I35" i="9" s="1"/>
  <c r="X35" i="9"/>
  <c r="AA35" i="9" s="1"/>
  <c r="P36" i="9"/>
  <c r="Q36" i="9" s="1"/>
  <c r="H37" i="9"/>
  <c r="I37" i="9" s="1"/>
  <c r="X37" i="9"/>
  <c r="Y37" i="9" s="1"/>
  <c r="P38" i="9"/>
  <c r="Q38" i="9" s="1"/>
  <c r="H39" i="9"/>
  <c r="I39" i="9" s="1"/>
  <c r="X39" i="9"/>
  <c r="Y39" i="9" s="1"/>
  <c r="P40" i="9"/>
  <c r="Q40" i="9" s="1"/>
  <c r="H41" i="9"/>
  <c r="I41" i="9" s="1"/>
  <c r="X41" i="9"/>
  <c r="AA41" i="9" s="1"/>
  <c r="P42" i="9"/>
  <c r="Q42" i="9" s="1"/>
  <c r="H43" i="9"/>
  <c r="I43" i="9" s="1"/>
  <c r="X43" i="9"/>
  <c r="AA43" i="9" s="1"/>
  <c r="P44" i="9"/>
  <c r="Q44" i="9" s="1"/>
  <c r="H45" i="9"/>
  <c r="I45" i="9" s="1"/>
  <c r="X45" i="9"/>
  <c r="AA45" i="9" s="1"/>
  <c r="P46" i="9"/>
  <c r="Q46" i="9" s="1"/>
  <c r="H47" i="9"/>
  <c r="I47" i="9" s="1"/>
  <c r="X47" i="9"/>
  <c r="AA47" i="9" s="1"/>
  <c r="P48" i="9"/>
  <c r="Q48" i="9" s="1"/>
  <c r="H49" i="9"/>
  <c r="I49" i="9" s="1"/>
  <c r="X49" i="9"/>
  <c r="Y49" i="9" s="1"/>
  <c r="P50" i="9"/>
  <c r="Q50" i="9" s="1"/>
  <c r="H51" i="9"/>
  <c r="I51" i="9" s="1"/>
  <c r="X51" i="9"/>
  <c r="AA51" i="9" s="1"/>
  <c r="P52" i="9"/>
  <c r="Q52" i="9" s="1"/>
  <c r="H53" i="9"/>
  <c r="I53" i="9" s="1"/>
  <c r="X53" i="9"/>
  <c r="AA53" i="9" s="1"/>
  <c r="P54" i="9"/>
  <c r="Q54" i="9" s="1"/>
  <c r="H55" i="9"/>
  <c r="I55" i="9" s="1"/>
  <c r="X55" i="9"/>
  <c r="Y55" i="9" s="1"/>
  <c r="P56" i="9"/>
  <c r="Q56" i="9" s="1"/>
  <c r="H57" i="9"/>
  <c r="I57" i="9" s="1"/>
  <c r="X57" i="9"/>
  <c r="AA57" i="9" s="1"/>
  <c r="P58" i="9"/>
  <c r="Q58" i="9" s="1"/>
  <c r="H59" i="9"/>
  <c r="I59" i="9" s="1"/>
  <c r="X59" i="9"/>
  <c r="AA59" i="9" s="1"/>
  <c r="P60" i="9"/>
  <c r="Q60" i="9" s="1"/>
  <c r="H61" i="9"/>
  <c r="I61" i="9" s="1"/>
  <c r="X61" i="9"/>
  <c r="Y61" i="9" s="1"/>
  <c r="P62" i="9"/>
  <c r="Q62" i="9" s="1"/>
  <c r="H63" i="9"/>
  <c r="I63" i="9" s="1"/>
  <c r="X63" i="9"/>
  <c r="AA63" i="9" s="1"/>
  <c r="P64" i="9"/>
  <c r="Q64" i="9" s="1"/>
  <c r="H65" i="9"/>
  <c r="I65" i="9" s="1"/>
  <c r="X65" i="9"/>
  <c r="AA65" i="9" s="1"/>
  <c r="P66" i="9"/>
  <c r="Q66" i="9" s="1"/>
  <c r="H67" i="9"/>
  <c r="I67" i="9" s="1"/>
  <c r="X67" i="9"/>
  <c r="AA67" i="9" s="1"/>
  <c r="P68" i="9"/>
  <c r="Q68" i="9" s="1"/>
  <c r="H69" i="9"/>
  <c r="I69" i="9" s="1"/>
  <c r="X69" i="9"/>
  <c r="Y69" i="9" s="1"/>
  <c r="P70" i="9"/>
  <c r="Q70" i="9" s="1"/>
  <c r="H71" i="9"/>
  <c r="I71" i="9" s="1"/>
  <c r="X71" i="9"/>
  <c r="AA71" i="9" s="1"/>
  <c r="H74" i="9"/>
  <c r="I74" i="9" s="1"/>
  <c r="X74" i="9"/>
  <c r="Y74" i="9" s="1"/>
  <c r="P73" i="9"/>
  <c r="Q73" i="9" s="1"/>
  <c r="L75" i="9"/>
  <c r="M75" i="9" s="1"/>
  <c r="AB75" i="9"/>
  <c r="AC75" i="9" s="1"/>
  <c r="T76" i="9"/>
  <c r="U76" i="9" s="1"/>
  <c r="L77" i="9"/>
  <c r="M77" i="9" s="1"/>
  <c r="AB77" i="9"/>
  <c r="AC77" i="9" s="1"/>
  <c r="T78" i="9"/>
  <c r="U78" i="9" s="1"/>
  <c r="L79" i="9"/>
  <c r="M79" i="9" s="1"/>
  <c r="AB79" i="9"/>
  <c r="AC79" i="9" s="1"/>
  <c r="T80" i="9"/>
  <c r="U80" i="9" s="1"/>
  <c r="L81" i="9"/>
  <c r="M81" i="9" s="1"/>
  <c r="AB81" i="9"/>
  <c r="AC81" i="9" s="1"/>
  <c r="T82" i="9"/>
  <c r="U82" i="9" s="1"/>
  <c r="L83" i="9"/>
  <c r="M83" i="9" s="1"/>
  <c r="AB83" i="9"/>
  <c r="AC83" i="9" s="1"/>
  <c r="T84" i="9"/>
  <c r="U84" i="9" s="1"/>
  <c r="L85" i="9"/>
  <c r="M85" i="9" s="1"/>
  <c r="AB85" i="9"/>
  <c r="AC85" i="9" s="1"/>
  <c r="T86" i="9"/>
  <c r="U86" i="9" s="1"/>
  <c r="L87" i="9"/>
  <c r="M87" i="9" s="1"/>
  <c r="AB87" i="9"/>
  <c r="AC87" i="9" s="1"/>
  <c r="T88" i="9"/>
  <c r="U88" i="9" s="1"/>
  <c r="L89" i="9"/>
  <c r="M89" i="9" s="1"/>
  <c r="AB89" i="9"/>
  <c r="AC89" i="9" s="1"/>
  <c r="T90" i="9"/>
  <c r="U90" i="9" s="1"/>
  <c r="L91" i="9"/>
  <c r="M91" i="9" s="1"/>
  <c r="AB91" i="9"/>
  <c r="AC91" i="9" s="1"/>
  <c r="R34" i="9"/>
  <c r="S34" i="9" s="1"/>
  <c r="J35" i="9"/>
  <c r="K35" i="9" s="1"/>
  <c r="Z35" i="9"/>
  <c r="R36" i="9"/>
  <c r="S36" i="9" s="1"/>
  <c r="J37" i="9"/>
  <c r="K37" i="9" s="1"/>
  <c r="Z37" i="9"/>
  <c r="R38" i="9"/>
  <c r="S38" i="9" s="1"/>
  <c r="J39" i="9"/>
  <c r="K39" i="9" s="1"/>
  <c r="Z39" i="9"/>
  <c r="R40" i="9"/>
  <c r="S40" i="9" s="1"/>
  <c r="J41" i="9"/>
  <c r="K41" i="9" s="1"/>
  <c r="Z41" i="9"/>
  <c r="R42" i="9"/>
  <c r="S42" i="9" s="1"/>
  <c r="J43" i="9"/>
  <c r="K43" i="9" s="1"/>
  <c r="Z43" i="9"/>
  <c r="R44" i="9"/>
  <c r="S44" i="9" s="1"/>
  <c r="J45" i="9"/>
  <c r="K45" i="9" s="1"/>
  <c r="Z45" i="9"/>
  <c r="R46" i="9"/>
  <c r="S46" i="9" s="1"/>
  <c r="J47" i="9"/>
  <c r="K47" i="9" s="1"/>
  <c r="Z47" i="9"/>
  <c r="R48" i="9"/>
  <c r="S48" i="9" s="1"/>
  <c r="J49" i="9"/>
  <c r="K49" i="9" s="1"/>
  <c r="Z49" i="9"/>
  <c r="R50" i="9"/>
  <c r="S50" i="9" s="1"/>
  <c r="J51" i="9"/>
  <c r="K51" i="9" s="1"/>
  <c r="Z51" i="9"/>
  <c r="R52" i="9"/>
  <c r="S52" i="9" s="1"/>
  <c r="J53" i="9"/>
  <c r="K53" i="9" s="1"/>
  <c r="Z53" i="9"/>
  <c r="R54" i="9"/>
  <c r="S54" i="9" s="1"/>
  <c r="J55" i="9"/>
  <c r="K55" i="9" s="1"/>
  <c r="Z55" i="9"/>
  <c r="R56" i="9"/>
  <c r="S56" i="9" s="1"/>
  <c r="J57" i="9"/>
  <c r="K57" i="9" s="1"/>
  <c r="Z57" i="9"/>
  <c r="R58" i="9"/>
  <c r="S58" i="9" s="1"/>
  <c r="J59" i="9"/>
  <c r="K59" i="9" s="1"/>
  <c r="Z59" i="9"/>
  <c r="R60" i="9"/>
  <c r="S60" i="9" s="1"/>
  <c r="J61" i="9"/>
  <c r="K61" i="9" s="1"/>
  <c r="Z61" i="9"/>
  <c r="R62" i="9"/>
  <c r="S62" i="9" s="1"/>
  <c r="J63" i="9"/>
  <c r="K63" i="9" s="1"/>
  <c r="Z63" i="9"/>
  <c r="R64" i="9"/>
  <c r="S64" i="9" s="1"/>
  <c r="J65" i="9"/>
  <c r="K65" i="9" s="1"/>
  <c r="Z65" i="9"/>
  <c r="R66" i="9"/>
  <c r="S66" i="9" s="1"/>
  <c r="J67" i="9"/>
  <c r="K67" i="9" s="1"/>
  <c r="Z67" i="9"/>
  <c r="R68" i="9"/>
  <c r="S68" i="9" s="1"/>
  <c r="J69" i="9"/>
  <c r="K69" i="9" s="1"/>
  <c r="Z69" i="9"/>
  <c r="R70" i="9"/>
  <c r="S70" i="9" s="1"/>
  <c r="J71" i="9"/>
  <c r="K71" i="9" s="1"/>
  <c r="Z71" i="9"/>
  <c r="J74" i="9"/>
  <c r="K74" i="9" s="1"/>
  <c r="Z74" i="9"/>
  <c r="R73" i="9"/>
  <c r="S73" i="9" s="1"/>
  <c r="N75" i="9"/>
  <c r="O75" i="9" s="1"/>
  <c r="F76" i="9"/>
  <c r="G76" i="9" s="1"/>
  <c r="V76" i="9"/>
  <c r="W76" i="9" s="1"/>
  <c r="N77" i="9"/>
  <c r="O77" i="9" s="1"/>
  <c r="F78" i="9"/>
  <c r="G78" i="9" s="1"/>
  <c r="V78" i="9"/>
  <c r="W78" i="9" s="1"/>
  <c r="N79" i="9"/>
  <c r="O79" i="9" s="1"/>
  <c r="F80" i="9"/>
  <c r="G80" i="9" s="1"/>
  <c r="V80" i="9"/>
  <c r="W80" i="9" s="1"/>
  <c r="N81" i="9"/>
  <c r="O81" i="9" s="1"/>
  <c r="F82" i="9"/>
  <c r="G82" i="9" s="1"/>
  <c r="V82" i="9"/>
  <c r="W82" i="9" s="1"/>
  <c r="N83" i="9"/>
  <c r="O83" i="9" s="1"/>
  <c r="F84" i="9"/>
  <c r="G84" i="9" s="1"/>
  <c r="V84" i="9"/>
  <c r="W84" i="9" s="1"/>
  <c r="N85" i="9"/>
  <c r="O85" i="9" s="1"/>
  <c r="F86" i="9"/>
  <c r="G86" i="9" s="1"/>
  <c r="V86" i="9"/>
  <c r="W86" i="9" s="1"/>
  <c r="N87" i="9"/>
  <c r="O87" i="9" s="1"/>
  <c r="F88" i="9"/>
  <c r="G88" i="9" s="1"/>
  <c r="V88" i="9"/>
  <c r="W88" i="9" s="1"/>
  <c r="N89" i="9"/>
  <c r="O89" i="9" s="1"/>
  <c r="F90" i="9"/>
  <c r="G90" i="9" s="1"/>
  <c r="V90" i="9"/>
  <c r="W90" i="9" s="1"/>
  <c r="N91" i="9"/>
  <c r="O91" i="9" s="1"/>
  <c r="T34" i="9"/>
  <c r="U34" i="9" s="1"/>
  <c r="L35" i="9"/>
  <c r="M35" i="9" s="1"/>
  <c r="AB35" i="9"/>
  <c r="AC35" i="9" s="1"/>
  <c r="T36" i="9"/>
  <c r="U36" i="9" s="1"/>
  <c r="L37" i="9"/>
  <c r="M37" i="9" s="1"/>
  <c r="AB37" i="9"/>
  <c r="AC37" i="9" s="1"/>
  <c r="T38" i="9"/>
  <c r="U38" i="9" s="1"/>
  <c r="L39" i="9"/>
  <c r="M39" i="9" s="1"/>
  <c r="AB39" i="9"/>
  <c r="AC39" i="9" s="1"/>
  <c r="T40" i="9"/>
  <c r="U40" i="9" s="1"/>
  <c r="L41" i="9"/>
  <c r="M41" i="9" s="1"/>
  <c r="AB41" i="9"/>
  <c r="AC41" i="9" s="1"/>
  <c r="T42" i="9"/>
  <c r="U42" i="9" s="1"/>
  <c r="L43" i="9"/>
  <c r="M43" i="9" s="1"/>
  <c r="AB43" i="9"/>
  <c r="AC43" i="9" s="1"/>
  <c r="T44" i="9"/>
  <c r="U44" i="9" s="1"/>
  <c r="L45" i="9"/>
  <c r="M45" i="9" s="1"/>
  <c r="AB45" i="9"/>
  <c r="AC45" i="9" s="1"/>
  <c r="T46" i="9"/>
  <c r="U46" i="9" s="1"/>
  <c r="L47" i="9"/>
  <c r="M47" i="9" s="1"/>
  <c r="AB47" i="9"/>
  <c r="AC47" i="9" s="1"/>
  <c r="T48" i="9"/>
  <c r="U48" i="9" s="1"/>
  <c r="L49" i="9"/>
  <c r="M49" i="9" s="1"/>
  <c r="AB49" i="9"/>
  <c r="AC49" i="9" s="1"/>
  <c r="T50" i="9"/>
  <c r="U50" i="9" s="1"/>
  <c r="L51" i="9"/>
  <c r="M51" i="9" s="1"/>
  <c r="AB51" i="9"/>
  <c r="AC51" i="9" s="1"/>
  <c r="T52" i="9"/>
  <c r="U52" i="9" s="1"/>
  <c r="L53" i="9"/>
  <c r="M53" i="9" s="1"/>
  <c r="AB53" i="9"/>
  <c r="AC53" i="9" s="1"/>
  <c r="T54" i="9"/>
  <c r="U54" i="9" s="1"/>
  <c r="L55" i="9"/>
  <c r="M55" i="9" s="1"/>
  <c r="AB55" i="9"/>
  <c r="AC55" i="9" s="1"/>
  <c r="T56" i="9"/>
  <c r="U56" i="9" s="1"/>
  <c r="L57" i="9"/>
  <c r="M57" i="9" s="1"/>
  <c r="AB57" i="9"/>
  <c r="AC57" i="9" s="1"/>
  <c r="T58" i="9"/>
  <c r="U58" i="9" s="1"/>
  <c r="L59" i="9"/>
  <c r="M59" i="9" s="1"/>
  <c r="AB59" i="9"/>
  <c r="AC59" i="9" s="1"/>
  <c r="T60" i="9"/>
  <c r="U60" i="9" s="1"/>
  <c r="L61" i="9"/>
  <c r="M61" i="9" s="1"/>
  <c r="AB61" i="9"/>
  <c r="AC61" i="9" s="1"/>
  <c r="T62" i="9"/>
  <c r="U62" i="9" s="1"/>
  <c r="L63" i="9"/>
  <c r="M63" i="9" s="1"/>
  <c r="AB63" i="9"/>
  <c r="AC63" i="9" s="1"/>
  <c r="T64" i="9"/>
  <c r="U64" i="9" s="1"/>
  <c r="L65" i="9"/>
  <c r="M65" i="9" s="1"/>
  <c r="AB65" i="9"/>
  <c r="AC65" i="9" s="1"/>
  <c r="T66" i="9"/>
  <c r="U66" i="9" s="1"/>
  <c r="L67" i="9"/>
  <c r="M67" i="9" s="1"/>
  <c r="AB67" i="9"/>
  <c r="AC67" i="9" s="1"/>
  <c r="T68" i="9"/>
  <c r="U68" i="9" s="1"/>
  <c r="L69" i="9"/>
  <c r="M69" i="9" s="1"/>
  <c r="AB69" i="9"/>
  <c r="AC69" i="9" s="1"/>
  <c r="T70" i="9"/>
  <c r="U70" i="9" s="1"/>
  <c r="L71" i="9"/>
  <c r="M71" i="9" s="1"/>
  <c r="AB71" i="9"/>
  <c r="AC71" i="9" s="1"/>
  <c r="L74" i="9"/>
  <c r="M74" i="9" s="1"/>
  <c r="AB74" i="9"/>
  <c r="AC74" i="9" s="1"/>
  <c r="T73" i="9"/>
  <c r="U73" i="9" s="1"/>
  <c r="P75" i="9"/>
  <c r="Q75" i="9" s="1"/>
  <c r="H76" i="9"/>
  <c r="I76" i="9" s="1"/>
  <c r="X76" i="9"/>
  <c r="AA76" i="9" s="1"/>
  <c r="P77" i="9"/>
  <c r="Q77" i="9" s="1"/>
  <c r="H78" i="9"/>
  <c r="I78" i="9" s="1"/>
  <c r="X78" i="9"/>
  <c r="Y78" i="9" s="1"/>
  <c r="P79" i="9"/>
  <c r="Q79" i="9" s="1"/>
  <c r="H80" i="9"/>
  <c r="I80" i="9" s="1"/>
  <c r="X80" i="9"/>
  <c r="Y80" i="9" s="1"/>
  <c r="P81" i="9"/>
  <c r="Q81" i="9" s="1"/>
  <c r="H82" i="9"/>
  <c r="I82" i="9" s="1"/>
  <c r="X82" i="9"/>
  <c r="AA82" i="9" s="1"/>
  <c r="P83" i="9"/>
  <c r="Q83" i="9" s="1"/>
  <c r="H84" i="9"/>
  <c r="I84" i="9" s="1"/>
  <c r="X84" i="9"/>
  <c r="Y84" i="9" s="1"/>
  <c r="P85" i="9"/>
  <c r="Q85" i="9" s="1"/>
  <c r="H86" i="9"/>
  <c r="I86" i="9" s="1"/>
  <c r="X86" i="9"/>
  <c r="AA86" i="9" s="1"/>
  <c r="P87" i="9"/>
  <c r="Q87" i="9" s="1"/>
  <c r="H88" i="9"/>
  <c r="I88" i="9" s="1"/>
  <c r="X88" i="9"/>
  <c r="Y88" i="9" s="1"/>
  <c r="P89" i="9"/>
  <c r="Q89" i="9" s="1"/>
  <c r="H90" i="9"/>
  <c r="I90" i="9" s="1"/>
  <c r="X90" i="9"/>
  <c r="AA90" i="9" s="1"/>
  <c r="P91" i="9"/>
  <c r="Q91" i="9" s="1"/>
  <c r="V34" i="9"/>
  <c r="W34" i="9" s="1"/>
  <c r="N35" i="9"/>
  <c r="O35" i="9" s="1"/>
  <c r="F36" i="9"/>
  <c r="G36" i="9" s="1"/>
  <c r="V36" i="9"/>
  <c r="W36" i="9" s="1"/>
  <c r="N37" i="9"/>
  <c r="O37" i="9" s="1"/>
  <c r="F38" i="9"/>
  <c r="G38" i="9" s="1"/>
  <c r="V38" i="9"/>
  <c r="W38" i="9" s="1"/>
  <c r="N39" i="9"/>
  <c r="O39" i="9" s="1"/>
  <c r="F40" i="9"/>
  <c r="G40" i="9" s="1"/>
  <c r="V40" i="9"/>
  <c r="W40" i="9" s="1"/>
  <c r="N41" i="9"/>
  <c r="O41" i="9" s="1"/>
  <c r="F42" i="9"/>
  <c r="G42" i="9" s="1"/>
  <c r="V42" i="9"/>
  <c r="W42" i="9" s="1"/>
  <c r="N43" i="9"/>
  <c r="O43" i="9" s="1"/>
  <c r="F44" i="9"/>
  <c r="G44" i="9" s="1"/>
  <c r="V44" i="9"/>
  <c r="W44" i="9" s="1"/>
  <c r="N45" i="9"/>
  <c r="O45" i="9" s="1"/>
  <c r="F46" i="9"/>
  <c r="G46" i="9" s="1"/>
  <c r="V46" i="9"/>
  <c r="W46" i="9" s="1"/>
  <c r="N47" i="9"/>
  <c r="O47" i="9" s="1"/>
  <c r="F48" i="9"/>
  <c r="G48" i="9" s="1"/>
  <c r="V48" i="9"/>
  <c r="W48" i="9" s="1"/>
  <c r="N49" i="9"/>
  <c r="O49" i="9" s="1"/>
  <c r="F50" i="9"/>
  <c r="G50" i="9" s="1"/>
  <c r="V50" i="9"/>
  <c r="W50" i="9" s="1"/>
  <c r="N51" i="9"/>
  <c r="O51" i="9" s="1"/>
  <c r="F52" i="9"/>
  <c r="G52" i="9" s="1"/>
  <c r="V52" i="9"/>
  <c r="W52" i="9" s="1"/>
  <c r="N53" i="9"/>
  <c r="O53" i="9" s="1"/>
  <c r="F54" i="9"/>
  <c r="G54" i="9" s="1"/>
  <c r="V54" i="9"/>
  <c r="W54" i="9" s="1"/>
  <c r="N55" i="9"/>
  <c r="O55" i="9" s="1"/>
  <c r="F56" i="9"/>
  <c r="G56" i="9" s="1"/>
  <c r="V56" i="9"/>
  <c r="W56" i="9" s="1"/>
  <c r="N57" i="9"/>
  <c r="O57" i="9" s="1"/>
  <c r="F58" i="9"/>
  <c r="G58" i="9" s="1"/>
  <c r="V58" i="9"/>
  <c r="W58" i="9" s="1"/>
  <c r="N59" i="9"/>
  <c r="O59" i="9" s="1"/>
  <c r="F60" i="9"/>
  <c r="G60" i="9" s="1"/>
  <c r="V60" i="9"/>
  <c r="W60" i="9" s="1"/>
  <c r="N61" i="9"/>
  <c r="O61" i="9" s="1"/>
  <c r="F62" i="9"/>
  <c r="G62" i="9" s="1"/>
  <c r="V62" i="9"/>
  <c r="W62" i="9" s="1"/>
  <c r="N63" i="9"/>
  <c r="O63" i="9" s="1"/>
  <c r="F64" i="9"/>
  <c r="G64" i="9" s="1"/>
  <c r="V64" i="9"/>
  <c r="W64" i="9" s="1"/>
  <c r="N65" i="9"/>
  <c r="O65" i="9" s="1"/>
  <c r="F66" i="9"/>
  <c r="G66" i="9" s="1"/>
  <c r="V66" i="9"/>
  <c r="W66" i="9" s="1"/>
  <c r="N67" i="9"/>
  <c r="O67" i="9" s="1"/>
  <c r="F68" i="9"/>
  <c r="G68" i="9" s="1"/>
  <c r="V68" i="9"/>
  <c r="W68" i="9" s="1"/>
  <c r="N69" i="9"/>
  <c r="O69" i="9" s="1"/>
  <c r="F70" i="9"/>
  <c r="G70" i="9" s="1"/>
  <c r="V70" i="9"/>
  <c r="W70" i="9" s="1"/>
  <c r="N71" i="9"/>
  <c r="O71" i="9" s="1"/>
  <c r="F72" i="9"/>
  <c r="G72" i="9" s="1"/>
  <c r="N74" i="9"/>
  <c r="O74" i="9" s="1"/>
  <c r="F73" i="9"/>
  <c r="G73" i="9" s="1"/>
  <c r="V73" i="9"/>
  <c r="W73" i="9" s="1"/>
  <c r="R75" i="9"/>
  <c r="S75" i="9" s="1"/>
  <c r="J76" i="9"/>
  <c r="K76" i="9" s="1"/>
  <c r="Z76" i="9"/>
  <c r="R77" i="9"/>
  <c r="S77" i="9" s="1"/>
  <c r="J78" i="9"/>
  <c r="K78" i="9" s="1"/>
  <c r="Z78" i="9"/>
  <c r="R79" i="9"/>
  <c r="S79" i="9" s="1"/>
  <c r="J80" i="9"/>
  <c r="K80" i="9" s="1"/>
  <c r="Z80" i="9"/>
  <c r="R81" i="9"/>
  <c r="S81" i="9" s="1"/>
  <c r="J82" i="9"/>
  <c r="K82" i="9" s="1"/>
  <c r="Z82" i="9"/>
  <c r="R83" i="9"/>
  <c r="S83" i="9" s="1"/>
  <c r="J84" i="9"/>
  <c r="K84" i="9" s="1"/>
  <c r="Z84" i="9"/>
  <c r="R85" i="9"/>
  <c r="S85" i="9" s="1"/>
  <c r="J86" i="9"/>
  <c r="K86" i="9" s="1"/>
  <c r="Z86" i="9"/>
  <c r="R87" i="9"/>
  <c r="S87" i="9" s="1"/>
  <c r="J88" i="9"/>
  <c r="K88" i="9" s="1"/>
  <c r="Z88" i="9"/>
  <c r="R89" i="9"/>
  <c r="S89" i="9" s="1"/>
  <c r="J90" i="9"/>
  <c r="K90" i="9" s="1"/>
  <c r="Z90" i="9"/>
  <c r="R91" i="9"/>
  <c r="S91" i="9" s="1"/>
  <c r="X34" i="9"/>
  <c r="AA34" i="9" s="1"/>
  <c r="P35" i="9"/>
  <c r="Q35" i="9" s="1"/>
  <c r="H36" i="9"/>
  <c r="I36" i="9" s="1"/>
  <c r="X36" i="9"/>
  <c r="AA36" i="9" s="1"/>
  <c r="P37" i="9"/>
  <c r="Q37" i="9" s="1"/>
  <c r="H38" i="9"/>
  <c r="I38" i="9" s="1"/>
  <c r="X38" i="9"/>
  <c r="AA38" i="9" s="1"/>
  <c r="P39" i="9"/>
  <c r="Q39" i="9" s="1"/>
  <c r="H40" i="9"/>
  <c r="I40" i="9" s="1"/>
  <c r="X40" i="9"/>
  <c r="AA40" i="9" s="1"/>
  <c r="P41" i="9"/>
  <c r="Q41" i="9" s="1"/>
  <c r="H42" i="9"/>
  <c r="I42" i="9" s="1"/>
  <c r="X42" i="9"/>
  <c r="Y42" i="9" s="1"/>
  <c r="P43" i="9"/>
  <c r="Q43" i="9" s="1"/>
  <c r="H44" i="9"/>
  <c r="I44" i="9" s="1"/>
  <c r="X44" i="9"/>
  <c r="AA44" i="9" s="1"/>
  <c r="P45" i="9"/>
  <c r="Q45" i="9" s="1"/>
  <c r="H46" i="9"/>
  <c r="I46" i="9" s="1"/>
  <c r="X46" i="9"/>
  <c r="AA46" i="9" s="1"/>
  <c r="P47" i="9"/>
  <c r="Q47" i="9" s="1"/>
  <c r="H48" i="9"/>
  <c r="I48" i="9" s="1"/>
  <c r="X48" i="9"/>
  <c r="AA48" i="9" s="1"/>
  <c r="P49" i="9"/>
  <c r="Q49" i="9" s="1"/>
  <c r="H50" i="9"/>
  <c r="I50" i="9" s="1"/>
  <c r="X50" i="9"/>
  <c r="AA50" i="9" s="1"/>
  <c r="P51" i="9"/>
  <c r="Q51" i="9" s="1"/>
  <c r="H52" i="9"/>
  <c r="I52" i="9" s="1"/>
  <c r="X52" i="9"/>
  <c r="AA52" i="9" s="1"/>
  <c r="P53" i="9"/>
  <c r="Q53" i="9" s="1"/>
  <c r="H54" i="9"/>
  <c r="I54" i="9" s="1"/>
  <c r="X54" i="9"/>
  <c r="AA54" i="9" s="1"/>
  <c r="P55" i="9"/>
  <c r="Q55" i="9" s="1"/>
  <c r="H56" i="9"/>
  <c r="I56" i="9" s="1"/>
  <c r="X56" i="9"/>
  <c r="AA56" i="9" s="1"/>
  <c r="P57" i="9"/>
  <c r="Q57" i="9" s="1"/>
  <c r="H58" i="9"/>
  <c r="I58" i="9" s="1"/>
  <c r="X58" i="9"/>
  <c r="Y58" i="9" s="1"/>
  <c r="P59" i="9"/>
  <c r="Q59" i="9" s="1"/>
  <c r="H60" i="9"/>
  <c r="I60" i="9" s="1"/>
  <c r="X60" i="9"/>
  <c r="AA60" i="9" s="1"/>
  <c r="P61" i="9"/>
  <c r="Q61" i="9" s="1"/>
  <c r="H62" i="9"/>
  <c r="I62" i="9" s="1"/>
  <c r="X62" i="9"/>
  <c r="AA62" i="9" s="1"/>
  <c r="P63" i="9"/>
  <c r="Q63" i="9" s="1"/>
  <c r="H64" i="9"/>
  <c r="I64" i="9" s="1"/>
  <c r="X64" i="9"/>
  <c r="AA64" i="9" s="1"/>
  <c r="P65" i="9"/>
  <c r="Q65" i="9" s="1"/>
  <c r="H66" i="9"/>
  <c r="I66" i="9" s="1"/>
  <c r="X66" i="9"/>
  <c r="AA66" i="9" s="1"/>
  <c r="P67" i="9"/>
  <c r="Q67" i="9" s="1"/>
  <c r="H68" i="9"/>
  <c r="I68" i="9" s="1"/>
  <c r="X68" i="9"/>
  <c r="AA68" i="9" s="1"/>
  <c r="P69" i="9"/>
  <c r="Q69" i="9" s="1"/>
  <c r="H70" i="9"/>
  <c r="I70" i="9" s="1"/>
  <c r="X70" i="9"/>
  <c r="AA70" i="9" s="1"/>
  <c r="P71" i="9"/>
  <c r="Q71" i="9" s="1"/>
  <c r="P74" i="9"/>
  <c r="Q74" i="9" s="1"/>
  <c r="H73" i="9"/>
  <c r="I73" i="9" s="1"/>
  <c r="X73" i="9"/>
  <c r="T75" i="9"/>
  <c r="U75" i="9" s="1"/>
  <c r="L76" i="9"/>
  <c r="M76" i="9" s="1"/>
  <c r="AB76" i="9"/>
  <c r="AC76" i="9" s="1"/>
  <c r="T77" i="9"/>
  <c r="U77" i="9" s="1"/>
  <c r="L78" i="9"/>
  <c r="M78" i="9" s="1"/>
  <c r="AB78" i="9"/>
  <c r="AC78" i="9" s="1"/>
  <c r="T79" i="9"/>
  <c r="U79" i="9" s="1"/>
  <c r="L80" i="9"/>
  <c r="M80" i="9" s="1"/>
  <c r="AB80" i="9"/>
  <c r="AC80" i="9" s="1"/>
  <c r="T81" i="9"/>
  <c r="U81" i="9" s="1"/>
  <c r="L82" i="9"/>
  <c r="M82" i="9" s="1"/>
  <c r="AB82" i="9"/>
  <c r="AC82" i="9" s="1"/>
  <c r="T83" i="9"/>
  <c r="U83" i="9" s="1"/>
  <c r="L84" i="9"/>
  <c r="M84" i="9" s="1"/>
  <c r="AB84" i="9"/>
  <c r="AC84" i="9" s="1"/>
  <c r="T85" i="9"/>
  <c r="U85" i="9" s="1"/>
  <c r="L86" i="9"/>
  <c r="M86" i="9" s="1"/>
  <c r="AB86" i="9"/>
  <c r="AC86" i="9" s="1"/>
  <c r="T87" i="9"/>
  <c r="U87" i="9" s="1"/>
  <c r="L88" i="9"/>
  <c r="M88" i="9" s="1"/>
  <c r="AB88" i="9"/>
  <c r="AC88" i="9" s="1"/>
  <c r="T89" i="9"/>
  <c r="U89" i="9" s="1"/>
  <c r="L90" i="9"/>
  <c r="M90" i="9" s="1"/>
  <c r="AB90" i="9"/>
  <c r="AC90" i="9" s="1"/>
  <c r="T91" i="9"/>
  <c r="U91" i="9" s="1"/>
  <c r="AG154" i="7"/>
  <c r="AG155" i="7"/>
  <c r="AG152" i="7"/>
  <c r="AG153" i="7"/>
  <c r="AG150" i="7"/>
  <c r="AG151" i="7"/>
  <c r="AG148" i="7"/>
  <c r="AG149" i="7"/>
  <c r="AG144" i="7"/>
  <c r="AG147" i="7"/>
  <c r="AG146" i="7"/>
  <c r="AG145" i="7"/>
  <c r="AG3" i="7"/>
  <c r="AG143" i="7"/>
  <c r="AG142" i="7"/>
  <c r="AG141" i="7"/>
  <c r="AG140" i="7"/>
  <c r="AG139" i="7"/>
  <c r="AG138" i="7"/>
  <c r="AG137" i="7"/>
  <c r="AG136" i="7"/>
  <c r="AG135" i="7"/>
  <c r="AG134" i="7"/>
  <c r="AG133" i="7"/>
  <c r="AG132" i="7"/>
  <c r="AG131" i="7"/>
  <c r="AG130" i="7"/>
  <c r="AG129" i="7"/>
  <c r="AG128" i="7"/>
  <c r="AG127" i="7"/>
  <c r="AG126" i="7"/>
  <c r="AG125" i="7"/>
  <c r="AG124" i="7"/>
  <c r="AG123" i="7"/>
  <c r="AG122" i="7"/>
  <c r="AG121" i="7"/>
  <c r="AG120" i="7"/>
  <c r="AG119" i="7"/>
  <c r="AG118" i="7"/>
  <c r="AG117" i="7"/>
  <c r="AG116" i="7"/>
  <c r="AG115" i="7"/>
  <c r="AG114" i="7"/>
  <c r="AG113" i="7"/>
  <c r="AG112" i="7"/>
  <c r="AG111" i="7"/>
  <c r="AG110" i="7"/>
  <c r="AG109" i="7"/>
  <c r="AG108" i="7"/>
  <c r="AG107" i="7"/>
  <c r="AG106" i="7"/>
  <c r="AG105" i="7"/>
  <c r="AG104" i="7"/>
  <c r="AG103" i="7"/>
  <c r="AG102" i="7"/>
  <c r="AG101" i="7"/>
  <c r="AG100" i="7"/>
  <c r="AG99" i="7"/>
  <c r="AG98" i="7"/>
  <c r="AG97" i="7"/>
  <c r="AG96" i="7"/>
  <c r="AG95" i="7"/>
  <c r="AG94" i="7"/>
  <c r="AG93" i="7"/>
  <c r="AG92" i="7"/>
  <c r="AG91" i="7"/>
  <c r="AG90" i="7"/>
  <c r="AG89" i="7"/>
  <c r="AG88" i="7"/>
  <c r="AG87" i="7"/>
  <c r="AG86" i="7"/>
  <c r="AG85" i="7"/>
  <c r="AG84" i="7"/>
  <c r="AG83" i="7"/>
  <c r="AG82" i="7"/>
  <c r="AG81" i="7"/>
  <c r="AG80" i="7"/>
  <c r="AG79" i="7"/>
  <c r="AG78" i="7"/>
  <c r="AG77" i="7"/>
  <c r="AG76" i="7"/>
  <c r="AG75" i="7"/>
  <c r="AG74" i="7"/>
  <c r="AG73" i="7"/>
  <c r="AG72" i="7"/>
  <c r="AG71" i="7"/>
  <c r="AG70" i="7"/>
  <c r="AG69" i="7"/>
  <c r="AG68" i="7"/>
  <c r="AG67" i="7"/>
  <c r="AG66" i="7"/>
  <c r="AG65" i="7"/>
  <c r="AG64" i="7"/>
  <c r="AG63" i="7"/>
  <c r="AG62" i="7"/>
  <c r="AG61" i="7"/>
  <c r="AG60" i="7"/>
  <c r="AG59" i="7"/>
  <c r="AG58" i="7"/>
  <c r="AG57" i="7"/>
  <c r="AG56" i="7"/>
  <c r="AG55" i="7"/>
  <c r="AG54" i="7"/>
  <c r="AG53" i="7"/>
  <c r="AG52" i="7"/>
  <c r="AG51" i="7"/>
  <c r="AG50" i="7"/>
  <c r="AG49" i="7"/>
  <c r="AG48" i="7"/>
  <c r="AG47" i="7"/>
  <c r="AG46" i="7"/>
  <c r="AG45" i="7"/>
  <c r="AG44" i="7"/>
  <c r="AG43" i="7"/>
  <c r="AG42" i="7"/>
  <c r="AG41" i="7"/>
  <c r="AG40" i="7"/>
  <c r="AG39" i="7"/>
  <c r="AG38" i="7"/>
  <c r="AG37" i="7"/>
  <c r="AG36" i="7"/>
  <c r="AG35" i="7"/>
  <c r="AG34" i="7"/>
  <c r="AG33" i="7"/>
  <c r="AG32" i="7"/>
  <c r="AG31" i="7"/>
  <c r="AG30" i="7"/>
  <c r="AG29" i="7"/>
  <c r="AG28" i="7"/>
  <c r="AG27" i="7"/>
  <c r="AG26" i="7"/>
  <c r="AG25" i="7"/>
  <c r="AG24" i="7"/>
  <c r="AG23" i="7"/>
  <c r="AG22" i="7"/>
  <c r="AG21" i="7"/>
  <c r="AG20" i="7"/>
  <c r="AG19" i="7"/>
  <c r="AG18" i="7"/>
  <c r="AG17" i="7"/>
  <c r="AG16" i="7"/>
  <c r="AG15" i="7"/>
  <c r="AG14" i="7"/>
  <c r="AG13" i="7"/>
  <c r="AG12" i="7"/>
  <c r="AG11" i="7"/>
  <c r="AG10" i="7"/>
  <c r="AG9" i="7"/>
  <c r="AG8" i="7"/>
  <c r="AG7" i="7"/>
  <c r="AG6" i="7"/>
  <c r="AG5" i="7"/>
  <c r="AG4" i="7"/>
  <c r="V226" i="7" l="1"/>
  <c r="AA226" i="7" s="1"/>
  <c r="W226" i="7" s="1"/>
  <c r="V225" i="7"/>
  <c r="AA225" i="7" s="1"/>
  <c r="W225" i="7" s="1"/>
  <c r="V224" i="7"/>
  <c r="AA224" i="7" s="1"/>
  <c r="W224" i="7" s="1"/>
  <c r="V223" i="7"/>
  <c r="AA223" i="7" s="1"/>
  <c r="W223" i="7" s="1"/>
  <c r="V222" i="7"/>
  <c r="AA222" i="7" s="1"/>
  <c r="W222" i="7" s="1"/>
  <c r="V221" i="7"/>
  <c r="AA221" i="7" s="1"/>
  <c r="W221" i="7" s="1"/>
  <c r="V220" i="7"/>
  <c r="AA220" i="7" s="1"/>
  <c r="W220" i="7" s="1"/>
  <c r="V219" i="7"/>
  <c r="AA219" i="7" s="1"/>
  <c r="W219" i="7" s="1"/>
  <c r="V218" i="7"/>
  <c r="AA218" i="7" s="1"/>
  <c r="W218" i="7" s="1"/>
  <c r="V217" i="7"/>
  <c r="AA217" i="7" s="1"/>
  <c r="W217" i="7" s="1"/>
  <c r="V216" i="7"/>
  <c r="AA216" i="7" s="1"/>
  <c r="W216" i="7" s="1"/>
  <c r="V215" i="7"/>
  <c r="AA215" i="7" s="1"/>
  <c r="W215" i="7" s="1"/>
  <c r="V214" i="7"/>
  <c r="AA214" i="7" s="1"/>
  <c r="W214" i="7" s="1"/>
  <c r="A1" i="19" a="1"/>
  <c r="A1" i="19" s="1"/>
  <c r="V213" i="7"/>
  <c r="AA213" i="7" s="1"/>
  <c r="W213" i="7" s="1"/>
  <c r="X2" i="9"/>
  <c r="AA2" i="9" s="1"/>
  <c r="V212" i="7"/>
  <c r="AA212" i="7" s="1"/>
  <c r="W212" i="7" s="1"/>
  <c r="V211" i="7"/>
  <c r="AA211" i="7" s="1"/>
  <c r="W211" i="7" s="1"/>
  <c r="V210" i="7"/>
  <c r="AA210" i="7" s="1"/>
  <c r="W210" i="7" s="1"/>
  <c r="Z2" i="1" a="1"/>
  <c r="Z2" i="1" s="1"/>
  <c r="Y138" i="9"/>
  <c r="AA138" i="9"/>
  <c r="Y136" i="9"/>
  <c r="AA136" i="9"/>
  <c r="AA139" i="9"/>
  <c r="Y139" i="9"/>
  <c r="AA137" i="9"/>
  <c r="Y137" i="9"/>
  <c r="AA134" i="9"/>
  <c r="Y134" i="9"/>
  <c r="Y131" i="9"/>
  <c r="AA131" i="9"/>
  <c r="Y133" i="9"/>
  <c r="AA133" i="9"/>
  <c r="Y135" i="9"/>
  <c r="AA135" i="9"/>
  <c r="AA132" i="9"/>
  <c r="Y132" i="9"/>
  <c r="V209" i="7"/>
  <c r="AA209" i="7" s="1"/>
  <c r="W209" i="7" s="1"/>
  <c r="V208" i="7"/>
  <c r="AA208" i="7" s="1"/>
  <c r="W208" i="7" s="1"/>
  <c r="V207" i="7"/>
  <c r="AA207" i="7" s="1"/>
  <c r="W207" i="7" s="1"/>
  <c r="V206" i="7"/>
  <c r="AA206" i="7" s="1"/>
  <c r="W206" i="7" s="1"/>
  <c r="V205" i="7"/>
  <c r="AA205" i="7" s="1"/>
  <c r="W205" i="7" s="1"/>
  <c r="V204" i="7"/>
  <c r="AA204" i="7" s="1"/>
  <c r="W204" i="7" s="1"/>
  <c r="Y130" i="9"/>
  <c r="AD130" i="9" s="1"/>
  <c r="V203" i="7"/>
  <c r="AA203" i="7" s="1"/>
  <c r="W203" i="7" s="1"/>
  <c r="V202" i="7"/>
  <c r="AA202" i="7" s="1"/>
  <c r="W202" i="7" s="1"/>
  <c r="V201" i="7"/>
  <c r="AA201" i="7" s="1"/>
  <c r="W201" i="7" s="1"/>
  <c r="V200" i="7"/>
  <c r="AA200" i="7" s="1"/>
  <c r="W200" i="7" s="1"/>
  <c r="V199" i="7"/>
  <c r="AA199" i="7" s="1"/>
  <c r="W199" i="7" s="1"/>
  <c r="V198" i="7"/>
  <c r="AA198" i="7" s="1"/>
  <c r="W198" i="7" s="1"/>
  <c r="V197" i="7"/>
  <c r="AA197" i="7" s="1"/>
  <c r="W197" i="7" s="1"/>
  <c r="V196" i="7"/>
  <c r="AA196" i="7" s="1"/>
  <c r="W196" i="7" s="1"/>
  <c r="V195" i="7"/>
  <c r="AA195" i="7" s="1"/>
  <c r="W195" i="7" s="1"/>
  <c r="V194" i="7"/>
  <c r="AA194" i="7" s="1"/>
  <c r="W194" i="7" s="1"/>
  <c r="V193" i="7"/>
  <c r="AA193" i="7" s="1"/>
  <c r="W193" i="7" s="1"/>
  <c r="V192" i="7"/>
  <c r="AA192" i="7" s="1"/>
  <c r="W192" i="7" s="1"/>
  <c r="V185" i="7"/>
  <c r="AA185" i="7" s="1"/>
  <c r="W185" i="7" s="1"/>
  <c r="V190" i="7"/>
  <c r="AA190" i="7" s="1"/>
  <c r="W190" i="7" s="1"/>
  <c r="V189" i="7"/>
  <c r="AA189" i="7" s="1"/>
  <c r="W189" i="7" s="1"/>
  <c r="V188" i="7"/>
  <c r="AA188" i="7" s="1"/>
  <c r="W188" i="7" s="1"/>
  <c r="V187" i="7"/>
  <c r="AA187" i="7" s="1"/>
  <c r="W187" i="7" s="1"/>
  <c r="V186" i="7"/>
  <c r="AA186" i="7" s="1"/>
  <c r="W186" i="7" s="1"/>
  <c r="V183" i="7"/>
  <c r="AA183" i="7" s="1"/>
  <c r="W183" i="7" s="1"/>
  <c r="V184" i="7"/>
  <c r="AA184" i="7" s="1"/>
  <c r="W184" i="7" s="1"/>
  <c r="V181" i="7"/>
  <c r="AA181" i="7" s="1"/>
  <c r="W181" i="7" s="1"/>
  <c r="V182" i="7"/>
  <c r="AA182" i="7" s="1"/>
  <c r="W182" i="7" s="1"/>
  <c r="V179" i="7"/>
  <c r="AA179" i="7" s="1"/>
  <c r="W179" i="7" s="1"/>
  <c r="V180" i="7"/>
  <c r="AA180" i="7" s="1"/>
  <c r="W180" i="7" s="1"/>
  <c r="Y122" i="9"/>
  <c r="AD122" i="9" s="1"/>
  <c r="V177" i="7"/>
  <c r="AA177" i="7" s="1"/>
  <c r="W177" i="7" s="1"/>
  <c r="V178" i="7"/>
  <c r="AA178" i="7" s="1"/>
  <c r="W178" i="7" s="1"/>
  <c r="B1" i="7"/>
  <c r="V176" i="7"/>
  <c r="AA176" i="7" s="1"/>
  <c r="W176" i="7" s="1"/>
  <c r="V12" i="7"/>
  <c r="AA12" i="7" s="1"/>
  <c r="V63" i="7"/>
  <c r="AA63" i="7" s="1"/>
  <c r="V163" i="7"/>
  <c r="AA163" i="7" s="1"/>
  <c r="W163" i="7" s="1"/>
  <c r="V118" i="7"/>
  <c r="AA118" i="7" s="1"/>
  <c r="V46" i="7"/>
  <c r="AA46" i="7" s="1"/>
  <c r="V68" i="7"/>
  <c r="AA68" i="7" s="1"/>
  <c r="V56" i="7"/>
  <c r="AA56" i="7" s="1"/>
  <c r="V107" i="7"/>
  <c r="AA107" i="7" s="1"/>
  <c r="V124" i="7"/>
  <c r="AA124" i="7" s="1"/>
  <c r="V34" i="7"/>
  <c r="AA34" i="7" s="1"/>
  <c r="V31" i="7"/>
  <c r="V11" i="7"/>
  <c r="AA11" i="7" s="1"/>
  <c r="V154" i="7"/>
  <c r="AA154" i="7" s="1"/>
  <c r="W154" i="7" s="1"/>
  <c r="V93" i="7"/>
  <c r="AA93" i="7" s="1"/>
  <c r="V169" i="7"/>
  <c r="AA169" i="7" s="1"/>
  <c r="W169" i="7" s="1"/>
  <c r="V24" i="7"/>
  <c r="AA24" i="7" s="1"/>
  <c r="V143" i="7"/>
  <c r="V36" i="7"/>
  <c r="AA36" i="7" s="1"/>
  <c r="V10" i="7"/>
  <c r="AA10" i="7" s="1"/>
  <c r="V20" i="7"/>
  <c r="AA20" i="7" s="1"/>
  <c r="V13" i="7"/>
  <c r="AA13" i="7" s="1"/>
  <c r="V25" i="7"/>
  <c r="AA25" i="7" s="1"/>
  <c r="V170" i="7"/>
  <c r="AA170" i="7" s="1"/>
  <c r="W170" i="7" s="1"/>
  <c r="V78" i="7"/>
  <c r="AA78" i="7" s="1"/>
  <c r="V166" i="7"/>
  <c r="AA166" i="7" s="1"/>
  <c r="W166" i="7" s="1"/>
  <c r="V45" i="7"/>
  <c r="AA45" i="7" s="1"/>
  <c r="V144" i="7"/>
  <c r="AA144" i="7" s="1"/>
  <c r="W144" i="7" s="1"/>
  <c r="V75" i="7"/>
  <c r="AA75" i="7" s="1"/>
  <c r="V157" i="7"/>
  <c r="AA157" i="7" s="1"/>
  <c r="W157" i="7" s="1"/>
  <c r="V72" i="7"/>
  <c r="AA72" i="7" s="1"/>
  <c r="V100" i="7"/>
  <c r="AA100" i="7" s="1"/>
  <c r="V84" i="7"/>
  <c r="AA84" i="7" s="1"/>
  <c r="V89" i="7"/>
  <c r="AA89" i="7" s="1"/>
  <c r="V119" i="7"/>
  <c r="AA119" i="7" s="1"/>
  <c r="V99" i="7"/>
  <c r="AA99" i="7" s="1"/>
  <c r="V152" i="7"/>
  <c r="AA152" i="7" s="1"/>
  <c r="W152" i="7" s="1"/>
  <c r="V138" i="7"/>
  <c r="AA138" i="7" s="1"/>
  <c r="W138" i="7" s="1"/>
  <c r="V4" i="7"/>
  <c r="AA4" i="7" s="1"/>
  <c r="W4" i="7" s="1"/>
  <c r="V96" i="7"/>
  <c r="AA96" i="7" s="1"/>
  <c r="V81" i="7"/>
  <c r="AA81" i="7" s="1"/>
  <c r="V60" i="7"/>
  <c r="AA60" i="7" s="1"/>
  <c r="V74" i="7"/>
  <c r="AA74" i="7" s="1"/>
  <c r="V165" i="7"/>
  <c r="AA165" i="7" s="1"/>
  <c r="W165" i="7" s="1"/>
  <c r="V113" i="7"/>
  <c r="AA113" i="7" s="1"/>
  <c r="V64" i="7"/>
  <c r="AA64" i="7" s="1"/>
  <c r="V29" i="7"/>
  <c r="AA29" i="7" s="1"/>
  <c r="V105" i="7"/>
  <c r="AA105" i="7" s="1"/>
  <c r="V134" i="7"/>
  <c r="AA134" i="7" s="1"/>
  <c r="V79" i="7"/>
  <c r="AA79" i="7" s="1"/>
  <c r="V123" i="7"/>
  <c r="AA123" i="7" s="1"/>
  <c r="V50" i="7"/>
  <c r="AA50" i="7" s="1"/>
  <c r="V70" i="7"/>
  <c r="AA70" i="7" s="1"/>
  <c r="V156" i="7"/>
  <c r="AA156" i="7" s="1"/>
  <c r="W156" i="7" s="1"/>
  <c r="V58" i="7"/>
  <c r="AA58" i="7" s="1"/>
  <c r="V126" i="7"/>
  <c r="AA126" i="7" s="1"/>
  <c r="V127" i="7"/>
  <c r="AA127" i="7" s="1"/>
  <c r="V98" i="7"/>
  <c r="AA98" i="7" s="1"/>
  <c r="V132" i="7"/>
  <c r="AA132" i="7" s="1"/>
  <c r="V171" i="7"/>
  <c r="AA171" i="7" s="1"/>
  <c r="W171" i="7" s="1"/>
  <c r="V95" i="7"/>
  <c r="AA95" i="7" s="1"/>
  <c r="V130" i="7"/>
  <c r="AA130" i="7" s="1"/>
  <c r="V3" i="7"/>
  <c r="V17" i="7"/>
  <c r="AA17" i="7" s="1"/>
  <c r="V142" i="7"/>
  <c r="AA142" i="7" s="1"/>
  <c r="W142" i="7" s="1"/>
  <c r="V110" i="7"/>
  <c r="AA110" i="7" s="1"/>
  <c r="V55" i="7"/>
  <c r="V35" i="7"/>
  <c r="AA35" i="7" s="1"/>
  <c r="V158" i="7"/>
  <c r="AA158" i="7" s="1"/>
  <c r="W158" i="7" s="1"/>
  <c r="V175" i="7"/>
  <c r="AA175" i="7" s="1"/>
  <c r="W175" i="7" s="1"/>
  <c r="V155" i="7"/>
  <c r="AA155" i="7" s="1"/>
  <c r="W155" i="7" s="1"/>
  <c r="V66" i="7"/>
  <c r="AA66" i="7" s="1"/>
  <c r="V167" i="7"/>
  <c r="AA167" i="7" s="1"/>
  <c r="W167" i="7" s="1"/>
  <c r="V147" i="7"/>
  <c r="AA147" i="7" s="1"/>
  <c r="W147" i="7" s="1"/>
  <c r="V114" i="7"/>
  <c r="AA114" i="7" s="1"/>
  <c r="V101" i="7"/>
  <c r="AA101" i="7" s="1"/>
  <c r="V49" i="7"/>
  <c r="AA49" i="7" s="1"/>
  <c r="V18" i="7"/>
  <c r="AA18" i="7" s="1"/>
  <c r="V172" i="7"/>
  <c r="AA172" i="7" s="1"/>
  <c r="W172" i="7" s="1"/>
  <c r="V41" i="7"/>
  <c r="AA41" i="7" s="1"/>
  <c r="V42" i="7"/>
  <c r="AA42" i="7" s="1"/>
  <c r="V15" i="7"/>
  <c r="AA15" i="7" s="1"/>
  <c r="V59" i="7"/>
  <c r="AA59" i="7" s="1"/>
  <c r="V112" i="7"/>
  <c r="V150" i="7"/>
  <c r="AA150" i="7" s="1"/>
  <c r="W150" i="7" s="1"/>
  <c r="V92" i="7"/>
  <c r="V120" i="7"/>
  <c r="AA120" i="7" s="1"/>
  <c r="V69" i="7"/>
  <c r="AA69" i="7" s="1"/>
  <c r="V77" i="7"/>
  <c r="AA77" i="7" s="1"/>
  <c r="V125" i="7"/>
  <c r="AA125" i="7" s="1"/>
  <c r="V137" i="7"/>
  <c r="AA137" i="7" s="1"/>
  <c r="W137" i="7" s="1"/>
  <c r="V48" i="7"/>
  <c r="AA48" i="7" s="1"/>
  <c r="V111" i="7"/>
  <c r="AA111" i="7" s="1"/>
  <c r="V91" i="7"/>
  <c r="AA91" i="7" s="1"/>
  <c r="V136" i="7"/>
  <c r="V103" i="7"/>
  <c r="AA103" i="7" s="1"/>
  <c r="V83" i="7"/>
  <c r="AA83" i="7" s="1"/>
  <c r="V6" i="7"/>
  <c r="AA6" i="7" s="1"/>
  <c r="V37" i="7"/>
  <c r="AA37" i="7" s="1"/>
  <c r="V122" i="7"/>
  <c r="AA122" i="7" s="1"/>
  <c r="V104" i="7"/>
  <c r="AA104" i="7" s="1"/>
  <c r="V108" i="7"/>
  <c r="AA108" i="7" s="1"/>
  <c r="V102" i="7"/>
  <c r="AA102" i="7" s="1"/>
  <c r="V168" i="7"/>
  <c r="AA168" i="7" s="1"/>
  <c r="W168" i="7" s="1"/>
  <c r="V149" i="7"/>
  <c r="AA149" i="7" s="1"/>
  <c r="W149" i="7" s="1"/>
  <c r="V161" i="7"/>
  <c r="AA161" i="7" s="1"/>
  <c r="W161" i="7" s="1"/>
  <c r="V22" i="7"/>
  <c r="AA22" i="7" s="1"/>
  <c r="V135" i="7"/>
  <c r="AA135" i="7" s="1"/>
  <c r="W135" i="7" s="1"/>
  <c r="V28" i="7"/>
  <c r="AA28" i="7" s="1"/>
  <c r="V174" i="7"/>
  <c r="AA174" i="7" s="1"/>
  <c r="W174" i="7" s="1"/>
  <c r="V8" i="7"/>
  <c r="AA8" i="7" s="1"/>
  <c r="V160" i="7"/>
  <c r="AA160" i="7" s="1"/>
  <c r="W160" i="7" s="1"/>
  <c r="V140" i="7"/>
  <c r="AA140" i="7" s="1"/>
  <c r="W140" i="7" s="1"/>
  <c r="V9" i="7"/>
  <c r="AA9" i="7" s="1"/>
  <c r="V82" i="7"/>
  <c r="AA82" i="7" s="1"/>
  <c r="V117" i="7"/>
  <c r="AA117" i="7" s="1"/>
  <c r="V129" i="7"/>
  <c r="AA129" i="7" s="1"/>
  <c r="V106" i="7"/>
  <c r="AA106" i="7" s="1"/>
  <c r="V173" i="7"/>
  <c r="AA173" i="7" s="1"/>
  <c r="W173" i="7" s="1"/>
  <c r="V121" i="7"/>
  <c r="AA121" i="7" s="1"/>
  <c r="V40" i="7"/>
  <c r="AA40" i="7" s="1"/>
  <c r="V52" i="7"/>
  <c r="AA52" i="7" s="1"/>
  <c r="V54" i="7"/>
  <c r="AA54" i="7" s="1"/>
  <c r="V87" i="7"/>
  <c r="AA87" i="7" s="1"/>
  <c r="V131" i="7"/>
  <c r="AA131" i="7" s="1"/>
  <c r="V162" i="7"/>
  <c r="AA162" i="7" s="1"/>
  <c r="W162" i="7" s="1"/>
  <c r="V43" i="7"/>
  <c r="AA43" i="7" s="1"/>
  <c r="V21" i="7"/>
  <c r="AA21" i="7" s="1"/>
  <c r="V33" i="7"/>
  <c r="AA33" i="7" s="1"/>
  <c r="V133" i="7"/>
  <c r="AA133" i="7" s="1"/>
  <c r="V7" i="7"/>
  <c r="AA7" i="7" s="1"/>
  <c r="V51" i="7"/>
  <c r="AA51" i="7" s="1"/>
  <c r="V30" i="7"/>
  <c r="AA30" i="7" s="1"/>
  <c r="V61" i="7"/>
  <c r="AA61" i="7" s="1"/>
  <c r="V73" i="7"/>
  <c r="AA73" i="7" s="1"/>
  <c r="V128" i="7"/>
  <c r="AA128" i="7" s="1"/>
  <c r="V47" i="7"/>
  <c r="AA47" i="7" s="1"/>
  <c r="V27" i="7"/>
  <c r="AA27" i="7" s="1"/>
  <c r="V26" i="7"/>
  <c r="AA26" i="7" s="1"/>
  <c r="V39" i="7"/>
  <c r="AA39" i="7" s="1"/>
  <c r="V19" i="7"/>
  <c r="AA19" i="7" s="1"/>
  <c r="V86" i="7"/>
  <c r="AA86" i="7" s="1"/>
  <c r="V116" i="7"/>
  <c r="AA116" i="7" s="1"/>
  <c r="V14" i="7"/>
  <c r="AA14" i="7" s="1"/>
  <c r="V151" i="7"/>
  <c r="AA151" i="7" s="1"/>
  <c r="W151" i="7" s="1"/>
  <c r="V44" i="7"/>
  <c r="AA44" i="7" s="1"/>
  <c r="V88" i="7"/>
  <c r="AA88" i="7" s="1"/>
  <c r="V148" i="7"/>
  <c r="AA148" i="7" s="1"/>
  <c r="W148" i="7" s="1"/>
  <c r="V85" i="7"/>
  <c r="AA85" i="7" s="1"/>
  <c r="V97" i="7"/>
  <c r="AA97" i="7" s="1"/>
  <c r="V146" i="7"/>
  <c r="AA146" i="7" s="1"/>
  <c r="W146" i="7" s="1"/>
  <c r="V71" i="7"/>
  <c r="AA71" i="7" s="1"/>
  <c r="V115" i="7"/>
  <c r="AA115" i="7" s="1"/>
  <c r="V76" i="7"/>
  <c r="AA76" i="7" s="1"/>
  <c r="V16" i="7"/>
  <c r="AA16" i="7" s="1"/>
  <c r="V38" i="7"/>
  <c r="V53" i="7"/>
  <c r="AA53" i="7" s="1"/>
  <c r="V65" i="7"/>
  <c r="V62" i="7"/>
  <c r="AA62" i="7" s="1"/>
  <c r="V109" i="7"/>
  <c r="AA109" i="7" s="1"/>
  <c r="V57" i="7"/>
  <c r="AA57" i="7" s="1"/>
  <c r="V159" i="7"/>
  <c r="AA159" i="7" s="1"/>
  <c r="W159" i="7" s="1"/>
  <c r="V139" i="7"/>
  <c r="AA139" i="7" s="1"/>
  <c r="W139" i="7" s="1"/>
  <c r="V94" i="7"/>
  <c r="AA94" i="7" s="1"/>
  <c r="V23" i="7"/>
  <c r="AA23" i="7" s="1"/>
  <c r="V67" i="7"/>
  <c r="AA67" i="7" s="1"/>
  <c r="V32" i="7"/>
  <c r="AA32" i="7" s="1"/>
  <c r="V145" i="7"/>
  <c r="AA145" i="7" s="1"/>
  <c r="W145" i="7" s="1"/>
  <c r="V164" i="7"/>
  <c r="AA164" i="7" s="1"/>
  <c r="W164" i="7" s="1"/>
  <c r="V80" i="7"/>
  <c r="AA80" i="7" s="1"/>
  <c r="V5" i="7"/>
  <c r="AA5" i="7" s="1"/>
  <c r="V141" i="7"/>
  <c r="AA141" i="7" s="1"/>
  <c r="W141" i="7" s="1"/>
  <c r="V153" i="7"/>
  <c r="AA153" i="7" s="1"/>
  <c r="W153" i="7" s="1"/>
  <c r="V90" i="7"/>
  <c r="AA90" i="7" s="1"/>
  <c r="AA121" i="9"/>
  <c r="AD121" i="9" s="1"/>
  <c r="Z2" i="9"/>
  <c r="F2" i="9"/>
  <c r="G2" i="9" s="1"/>
  <c r="V2" i="9"/>
  <c r="W2" i="9" s="1"/>
  <c r="AA129" i="9"/>
  <c r="Y129" i="9"/>
  <c r="AA128" i="9"/>
  <c r="Y128" i="9"/>
  <c r="AA127" i="9"/>
  <c r="Y127" i="9"/>
  <c r="AA126" i="9"/>
  <c r="Y126" i="9"/>
  <c r="AA119" i="9"/>
  <c r="AD119" i="9" s="1"/>
  <c r="J2" i="9"/>
  <c r="K2" i="9" s="1"/>
  <c r="Y118" i="9"/>
  <c r="AD118" i="9" s="1"/>
  <c r="L2" i="9"/>
  <c r="M2" i="9" s="1"/>
  <c r="H2" i="9"/>
  <c r="I2" i="9" s="1"/>
  <c r="AB2" i="9"/>
  <c r="AC2" i="9" s="1"/>
  <c r="P2" i="9"/>
  <c r="Q2" i="9" s="1"/>
  <c r="AA120" i="9"/>
  <c r="AD120" i="9" s="1"/>
  <c r="T2" i="9"/>
  <c r="U2" i="9" s="1"/>
  <c r="N2" i="9"/>
  <c r="O2" i="9" s="1"/>
  <c r="D2" i="9"/>
  <c r="E2" i="9" s="1"/>
  <c r="AA125" i="9"/>
  <c r="Y125" i="9"/>
  <c r="AA124" i="9"/>
  <c r="Y124" i="9"/>
  <c r="AA123" i="9"/>
  <c r="Y123" i="9"/>
  <c r="Y106" i="9"/>
  <c r="AD106" i="9" s="1"/>
  <c r="AA113" i="9"/>
  <c r="AD113" i="9" s="1"/>
  <c r="Y111" i="9"/>
  <c r="AD111" i="9" s="1"/>
  <c r="Y112" i="9"/>
  <c r="AD112" i="9" s="1"/>
  <c r="AA107" i="9"/>
  <c r="AD107" i="9" s="1"/>
  <c r="Y109" i="9"/>
  <c r="AD109" i="9" s="1"/>
  <c r="AA114" i="9"/>
  <c r="AD114" i="9" s="1"/>
  <c r="Y115" i="9"/>
  <c r="AD115" i="9" s="1"/>
  <c r="Y116" i="9"/>
  <c r="AD116" i="9" s="1"/>
  <c r="Y110" i="9"/>
  <c r="AD110" i="9" s="1"/>
  <c r="AA117" i="9"/>
  <c r="AD117" i="9" s="1"/>
  <c r="AA102" i="9"/>
  <c r="AD102" i="9" s="1"/>
  <c r="AA105" i="9"/>
  <c r="AD105" i="9" s="1"/>
  <c r="AA103" i="9"/>
  <c r="AD103" i="9" s="1"/>
  <c r="AA19" i="9"/>
  <c r="AD19" i="9" s="1"/>
  <c r="AA96" i="9"/>
  <c r="AD96" i="9" s="1"/>
  <c r="Y104" i="9"/>
  <c r="AD104" i="9" s="1"/>
  <c r="AA108" i="9"/>
  <c r="AD108" i="9" s="1"/>
  <c r="Y98" i="9"/>
  <c r="AD98" i="9" s="1"/>
  <c r="Y94" i="9"/>
  <c r="AD94" i="9" s="1"/>
  <c r="Y101" i="9"/>
  <c r="AD101" i="9" s="1"/>
  <c r="Y97" i="9"/>
  <c r="AD97" i="9" s="1"/>
  <c r="AA24" i="9"/>
  <c r="AD24" i="9" s="1"/>
  <c r="AA69" i="9"/>
  <c r="AD69" i="9" s="1"/>
  <c r="AA37" i="9"/>
  <c r="AD37" i="9" s="1"/>
  <c r="AA91" i="9"/>
  <c r="AD91" i="9" s="1"/>
  <c r="AA31" i="9"/>
  <c r="AD31" i="9" s="1"/>
  <c r="AA7" i="9"/>
  <c r="AD7" i="9" s="1"/>
  <c r="Y100" i="9"/>
  <c r="AD100" i="9" s="1"/>
  <c r="AA23" i="9"/>
  <c r="AD23" i="9" s="1"/>
  <c r="AA99" i="9"/>
  <c r="AD99" i="9" s="1"/>
  <c r="Y83" i="9"/>
  <c r="AD83" i="9" s="1"/>
  <c r="Y95" i="9"/>
  <c r="AD95" i="9" s="1"/>
  <c r="Y89" i="9"/>
  <c r="AD89" i="9" s="1"/>
  <c r="AA85" i="9"/>
  <c r="AD85" i="9" s="1"/>
  <c r="Y93" i="9"/>
  <c r="AD93" i="9" s="1"/>
  <c r="AA58" i="9"/>
  <c r="AD58" i="9" s="1"/>
  <c r="Y92" i="9"/>
  <c r="AD92" i="9" s="1"/>
  <c r="AA32" i="9"/>
  <c r="AD32" i="9" s="1"/>
  <c r="AA11" i="9"/>
  <c r="AD11" i="9" s="1"/>
  <c r="Y66" i="9"/>
  <c r="AD66" i="9" s="1"/>
  <c r="AA18" i="9"/>
  <c r="AD18" i="9" s="1"/>
  <c r="Y34" i="9"/>
  <c r="AD34" i="9" s="1"/>
  <c r="AA84" i="9"/>
  <c r="AD84" i="9" s="1"/>
  <c r="Y27" i="9"/>
  <c r="AD27" i="9" s="1"/>
  <c r="Y72" i="9"/>
  <c r="AD72" i="9" s="1"/>
  <c r="Y53" i="9"/>
  <c r="AD53" i="9" s="1"/>
  <c r="Y63" i="9"/>
  <c r="AD63" i="9" s="1"/>
  <c r="Y20" i="9"/>
  <c r="AD20" i="9" s="1"/>
  <c r="AA78" i="9"/>
  <c r="AD78" i="9" s="1"/>
  <c r="Y47" i="9"/>
  <c r="AD47" i="9" s="1"/>
  <c r="AA55" i="9"/>
  <c r="AD55" i="9" s="1"/>
  <c r="Y71" i="9"/>
  <c r="AD71" i="9" s="1"/>
  <c r="AA30" i="9"/>
  <c r="AD30" i="9" s="1"/>
  <c r="AA39" i="9"/>
  <c r="AD39" i="9" s="1"/>
  <c r="AA4" i="9"/>
  <c r="AD4" i="9" s="1"/>
  <c r="Y36" i="9"/>
  <c r="AD36" i="9" s="1"/>
  <c r="Y68" i="9"/>
  <c r="AD68" i="9" s="1"/>
  <c r="Y52" i="9"/>
  <c r="AD52" i="9" s="1"/>
  <c r="Y9" i="9"/>
  <c r="AD9" i="9" s="1"/>
  <c r="AA21" i="9"/>
  <c r="AD21" i="9" s="1"/>
  <c r="Y86" i="9"/>
  <c r="AD86" i="9" s="1"/>
  <c r="AA61" i="9"/>
  <c r="AD61" i="9" s="1"/>
  <c r="Y10" i="9"/>
  <c r="AD10" i="9" s="1"/>
  <c r="Y41" i="9"/>
  <c r="AD41" i="9" s="1"/>
  <c r="Y67" i="9"/>
  <c r="AD67" i="9" s="1"/>
  <c r="Y22" i="9"/>
  <c r="AD22" i="9" s="1"/>
  <c r="AA13" i="9"/>
  <c r="AD13" i="9" s="1"/>
  <c r="Y50" i="9"/>
  <c r="AD50" i="9" s="1"/>
  <c r="Y59" i="9"/>
  <c r="AD59" i="9" s="1"/>
  <c r="AA42" i="9"/>
  <c r="AD42" i="9" s="1"/>
  <c r="AA88" i="9"/>
  <c r="AD88" i="9" s="1"/>
  <c r="Y35" i="9"/>
  <c r="AD35" i="9" s="1"/>
  <c r="Y51" i="9"/>
  <c r="AD51" i="9" s="1"/>
  <c r="Y87" i="9"/>
  <c r="AD87" i="9" s="1"/>
  <c r="Y82" i="9"/>
  <c r="AD82" i="9" s="1"/>
  <c r="AA16" i="9"/>
  <c r="AD16" i="9" s="1"/>
  <c r="AA5" i="9"/>
  <c r="AD5" i="9" s="1"/>
  <c r="Y15" i="9"/>
  <c r="AD15" i="9" s="1"/>
  <c r="Y64" i="9"/>
  <c r="AD64" i="9" s="1"/>
  <c r="Y48" i="9"/>
  <c r="AD48" i="9" s="1"/>
  <c r="AA74" i="9"/>
  <c r="AD74" i="9" s="1"/>
  <c r="Y79" i="9"/>
  <c r="AD79" i="9" s="1"/>
  <c r="AA3" i="9"/>
  <c r="AD3" i="9" s="1"/>
  <c r="Y62" i="9"/>
  <c r="AD62" i="9" s="1"/>
  <c r="Y65" i="9"/>
  <c r="AD65" i="9" s="1"/>
  <c r="Y14" i="9"/>
  <c r="AD14" i="9" s="1"/>
  <c r="AA49" i="9"/>
  <c r="AD49" i="9" s="1"/>
  <c r="Y46" i="9"/>
  <c r="AD46" i="9" s="1"/>
  <c r="Y77" i="9"/>
  <c r="AD77" i="9" s="1"/>
  <c r="AA80" i="9"/>
  <c r="AD80" i="9" s="1"/>
  <c r="Y45" i="9"/>
  <c r="AD45" i="9" s="1"/>
  <c r="Y26" i="9"/>
  <c r="AD26" i="9" s="1"/>
  <c r="Y76" i="9"/>
  <c r="AD76" i="9" s="1"/>
  <c r="Y70" i="9"/>
  <c r="AD70" i="9" s="1"/>
  <c r="Y54" i="9"/>
  <c r="AD54" i="9" s="1"/>
  <c r="Y38" i="9"/>
  <c r="AD38" i="9" s="1"/>
  <c r="Y17" i="9"/>
  <c r="AD17" i="9" s="1"/>
  <c r="Y6" i="9"/>
  <c r="AD6" i="9" s="1"/>
  <c r="Y57" i="9"/>
  <c r="AD57" i="9" s="1"/>
  <c r="AA81" i="9"/>
  <c r="AD81" i="9" s="1"/>
  <c r="AA75" i="9"/>
  <c r="AD75" i="9" s="1"/>
  <c r="Y90" i="9"/>
  <c r="AD90" i="9" s="1"/>
  <c r="Y40" i="9"/>
  <c r="AD40" i="9" s="1"/>
  <c r="Y25" i="9"/>
  <c r="AD25" i="9" s="1"/>
  <c r="Y8" i="9"/>
  <c r="AD8" i="9" s="1"/>
  <c r="AA33" i="9"/>
  <c r="AD33" i="9" s="1"/>
  <c r="Y56" i="9"/>
  <c r="AD56" i="9" s="1"/>
  <c r="Y43" i="9"/>
  <c r="AD43" i="9" s="1"/>
  <c r="Y29" i="9"/>
  <c r="AD29" i="9" s="1"/>
  <c r="Y60" i="9"/>
  <c r="AD60" i="9" s="1"/>
  <c r="Y44" i="9"/>
  <c r="AD44" i="9" s="1"/>
  <c r="Y28" i="9"/>
  <c r="AD28" i="9" s="1"/>
  <c r="Y12" i="9"/>
  <c r="AD12" i="9" s="1"/>
  <c r="Y73" i="9"/>
  <c r="AA73" i="9"/>
  <c r="B2" i="16" a="1"/>
  <c r="B2" i="16" s="1"/>
  <c r="B4" i="5" a="1"/>
  <c r="B4" i="5" s="1"/>
  <c r="C4" i="5" a="1"/>
  <c r="C4" i="5" s="1"/>
  <c r="I4" i="5" a="1"/>
  <c r="I4" i="5" s="1"/>
  <c r="H4" i="5" a="1"/>
  <c r="H4" i="5" s="1"/>
  <c r="F4" i="5" a="1"/>
  <c r="F4" i="5" s="1"/>
  <c r="E4" i="5" a="1"/>
  <c r="E4" i="5" s="1"/>
  <c r="AA2" i="7"/>
  <c r="W2" i="7" s="1"/>
  <c r="Y2" i="9" l="1"/>
  <c r="AD138" i="9"/>
  <c r="AD139" i="9"/>
  <c r="AD132" i="9"/>
  <c r="AD136" i="9"/>
  <c r="AD131" i="9"/>
  <c r="AD134" i="9"/>
  <c r="AD137" i="9"/>
  <c r="AD135" i="9"/>
  <c r="AD133" i="9"/>
  <c r="AD129" i="9"/>
  <c r="AD128" i="9"/>
  <c r="AD127" i="9"/>
  <c r="AD126" i="9"/>
  <c r="AD125" i="9"/>
  <c r="AD124" i="9"/>
  <c r="AD123" i="9"/>
  <c r="AD73" i="9"/>
  <c r="AA136" i="7"/>
  <c r="W136" i="7" s="1"/>
  <c r="AA92" i="7"/>
  <c r="W92" i="7" s="1"/>
  <c r="AA31" i="7"/>
  <c r="W31" i="7" s="1"/>
  <c r="AA112" i="7"/>
  <c r="W112" i="7" s="1"/>
  <c r="AA38" i="7"/>
  <c r="W38" i="7" s="1"/>
  <c r="AA65" i="7"/>
  <c r="W65" i="7" s="1"/>
  <c r="AA55" i="7"/>
  <c r="W55" i="7" s="1"/>
  <c r="AA143" i="7"/>
  <c r="W143" i="7" s="1"/>
  <c r="W5" i="7"/>
  <c r="W106" i="7"/>
  <c r="W25" i="7"/>
  <c r="W18" i="7"/>
  <c r="W90" i="7"/>
  <c r="W70" i="7"/>
  <c r="W37" i="7"/>
  <c r="W95" i="7"/>
  <c r="W75" i="7"/>
  <c r="W68" i="7"/>
  <c r="W125" i="7"/>
  <c r="W81" i="7"/>
  <c r="W19" i="7"/>
  <c r="W131" i="7"/>
  <c r="W72" i="7"/>
  <c r="W51" i="7"/>
  <c r="W105" i="7"/>
  <c r="W85" i="7"/>
  <c r="W113" i="7"/>
  <c r="W71" i="7"/>
  <c r="W77" i="7"/>
  <c r="W89" i="7"/>
  <c r="W93" i="7"/>
  <c r="W67" i="7"/>
  <c r="W8" i="7"/>
  <c r="W128" i="7"/>
  <c r="W28" i="7"/>
  <c r="W47" i="7"/>
  <c r="W114" i="7"/>
  <c r="W34" i="7"/>
  <c r="W44" i="7"/>
  <c r="W40" i="7"/>
  <c r="W56" i="7"/>
  <c r="W33" i="7"/>
  <c r="W15" i="7"/>
  <c r="W96" i="7"/>
  <c r="W43" i="7"/>
  <c r="W42" i="7"/>
  <c r="W116" i="7"/>
  <c r="W133" i="7"/>
  <c r="W50" i="7"/>
  <c r="W132" i="7"/>
  <c r="W82" i="7"/>
  <c r="W29" i="7"/>
  <c r="W69" i="7"/>
  <c r="W32" i="7"/>
  <c r="W53" i="7"/>
  <c r="W78" i="7"/>
  <c r="W26" i="7"/>
  <c r="W118" i="7"/>
  <c r="W48" i="7"/>
  <c r="W73" i="7"/>
  <c r="W97" i="7"/>
  <c r="W60" i="7"/>
  <c r="W86" i="7"/>
  <c r="W6" i="7"/>
  <c r="W66" i="7"/>
  <c r="W76" i="7"/>
  <c r="W35" i="7"/>
  <c r="W46" i="7"/>
  <c r="W12" i="7"/>
  <c r="W99" i="7"/>
  <c r="W124" i="7"/>
  <c r="W7" i="7"/>
  <c r="W17" i="7"/>
  <c r="W30" i="7"/>
  <c r="W130" i="7"/>
  <c r="W79" i="7"/>
  <c r="W109" i="7"/>
  <c r="W36" i="7"/>
  <c r="W23" i="7"/>
  <c r="W20" i="7"/>
  <c r="W122" i="7"/>
  <c r="W59" i="7"/>
  <c r="W13" i="7"/>
  <c r="W134" i="7"/>
  <c r="W74" i="7"/>
  <c r="W54" i="7"/>
  <c r="W121" i="7"/>
  <c r="W10" i="7"/>
  <c r="W16" i="7"/>
  <c r="W101" i="7"/>
  <c r="W108" i="7"/>
  <c r="W103" i="7"/>
  <c r="W88" i="7"/>
  <c r="W27" i="7"/>
  <c r="W58" i="7"/>
  <c r="W45" i="7"/>
  <c r="W126" i="7"/>
  <c r="W11" i="7"/>
  <c r="W61" i="7"/>
  <c r="W87" i="7"/>
  <c r="W120" i="7"/>
  <c r="W64" i="7"/>
  <c r="AA3" i="7"/>
  <c r="W3" i="7" s="1"/>
  <c r="W107" i="7"/>
  <c r="W83" i="7"/>
  <c r="W39" i="7"/>
  <c r="W102" i="7"/>
  <c r="W22" i="7"/>
  <c r="W84" i="7"/>
  <c r="W49" i="7"/>
  <c r="W24" i="7"/>
  <c r="W123" i="7"/>
  <c r="W119" i="7"/>
  <c r="W80" i="7"/>
  <c r="W110" i="7"/>
  <c r="W104" i="7"/>
  <c r="W127" i="7"/>
  <c r="W91" i="7"/>
  <c r="W62" i="7"/>
  <c r="W117" i="7"/>
  <c r="W41" i="7"/>
  <c r="W100" i="7"/>
  <c r="W57" i="7"/>
  <c r="W98" i="7"/>
  <c r="W9" i="7"/>
  <c r="W94" i="7"/>
  <c r="W52" i="7"/>
  <c r="W115" i="7"/>
  <c r="W21" i="7"/>
  <c r="W111" i="7"/>
  <c r="W14" i="7"/>
  <c r="W129" i="7"/>
  <c r="W63" i="7"/>
  <c r="AD2" i="9"/>
  <c r="F4" i="6"/>
  <c r="E2" i="16" l="1" a="1"/>
  <c r="E2"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tc={6C5158A1-60EF-4195-A8A2-FA475FA0EFA7}</author>
  </authors>
  <commentList>
    <comment ref="AA1" authorId="0" shapeId="0" xr:uid="{6C5158A1-60EF-4195-A8A2-FA475FA0EFA7}">
      <text>
        <t xml:space="preserve">[Threaded comment]
Your version of Excel allows you to read this threaded comment; however, any edits to it will get removed if the file is opened in a newer version of Excel. Learn more: https://go.microsoft.com/fwlink/?linkid=870924
Comment:
    Kindly add the details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tc={425CF6E7-00D1-4E02-B64D-66A7F5FC7E9A}</author>
  </authors>
  <commentList>
    <comment ref="B44" authorId="0" shapeId="0" xr:uid="{425CF6E7-00D1-4E02-B64D-66A7F5FC7E9A}">
      <text>
        <t>[Threaded comment]
Your version of Excel allows you to read this threaded comment; however, any edits to it will get removed if the file is opened in a newer version of Excel. Learn more: https://go.microsoft.com/fwlink/?linkid=870924
Comment:
    What is the update on this Nashik case?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<sst xmlns="http://schemas.openxmlformats.org/spreadsheetml/2006/main" count="17349" uniqueCount="3014">
  <si>
    <t>S | N</t>
  </si>
  <si>
    <t>INSURED NAME</t>
  </si>
  <si>
    <t>CATEGORY</t>
  </si>
  <si>
    <t>CLIENT CODE</t>
  </si>
  <si>
    <t>CRN</t>
  </si>
  <si>
    <t>CLIENT NAME</t>
  </si>
  <si>
    <t>CLAIM NUMBER</t>
  </si>
  <si>
    <t>CASE RECIPET DATE</t>
  </si>
  <si>
    <t>RECIPET MONTH</t>
  </si>
  <si>
    <t>INSURED</t>
  </si>
  <si>
    <t>134 NOTICE</t>
  </si>
  <si>
    <t>CLAIMANT</t>
  </si>
  <si>
    <t>INCOME</t>
  </si>
  <si>
    <t>DRIVER</t>
  </si>
  <si>
    <t>DL</t>
  </si>
  <si>
    <t>RC</t>
  </si>
  <si>
    <t>PERMIT</t>
  </si>
  <si>
    <t>SPOT</t>
  </si>
  <si>
    <t>COURT</t>
  </si>
  <si>
    <t>NOTICE</t>
  </si>
  <si>
    <t>RTI</t>
  </si>
  <si>
    <t>HOSPITAL</t>
  </si>
  <si>
    <t>WITNESS</t>
  </si>
  <si>
    <t>MEDICAL VERIFICATION</t>
  </si>
  <si>
    <t>TOTAl</t>
  </si>
  <si>
    <t>WT</t>
  </si>
  <si>
    <t>Inderdeep Construction Company</t>
  </si>
  <si>
    <t>MACT</t>
  </si>
  <si>
    <t>M002</t>
  </si>
  <si>
    <t>M002-1001-SS-2025</t>
  </si>
  <si>
    <t>C2264103101203-00</t>
  </si>
  <si>
    <t>Chandrabhaga Shivaji Pawar VS MAGMA</t>
  </si>
  <si>
    <t>M002-1002-SS-2025</t>
  </si>
  <si>
    <t>C2264191100006-00</t>
  </si>
  <si>
    <t>Balu Motiram Wagh VS MAGMA</t>
  </si>
  <si>
    <t>M002-1003-SS-2025</t>
  </si>
  <si>
    <t>C2264103101217-04</t>
  </si>
  <si>
    <t>Salim Ajgarali Sayyad</t>
  </si>
  <si>
    <t>F001</t>
  </si>
  <si>
    <t>F001-1004-SS-2025</t>
  </si>
  <si>
    <t xml:space="preserve">MTP-N-2526-002724 </t>
  </si>
  <si>
    <t>NA</t>
  </si>
  <si>
    <t>F001-1005-SS-2025</t>
  </si>
  <si>
    <t>MTP-N-2526-002725</t>
  </si>
  <si>
    <t>F001-1006-SS-2025</t>
  </si>
  <si>
    <t>MTP-N-2526-002726</t>
  </si>
  <si>
    <t xml:space="preserve">Gajanan  Wishvanath Kapuskari </t>
  </si>
  <si>
    <t>F001-1007-SS-2025</t>
  </si>
  <si>
    <t>MTP-N-2526-002845</t>
  </si>
  <si>
    <t>GorakhDamu Godage</t>
  </si>
  <si>
    <t>F001-1008-SS-2025</t>
  </si>
  <si>
    <t>MTP-N-2526-003010</t>
  </si>
  <si>
    <t xml:space="preserve">Sharad RaoSaheb Pathare </t>
  </si>
  <si>
    <t>R001</t>
  </si>
  <si>
    <t>R001-1009-SS-2025</t>
  </si>
  <si>
    <t>2025209111</t>
  </si>
  <si>
    <t>Ravindra Pandurang Patil</t>
  </si>
  <si>
    <t>F001-1010-SS-2025</t>
  </si>
  <si>
    <t>CN064878</t>
  </si>
  <si>
    <t>O</t>
  </si>
  <si>
    <t>Navnath Jagannatrh Navgire</t>
  </si>
  <si>
    <t>R001-1011-SS-2025</t>
  </si>
  <si>
    <t>2025201119</t>
  </si>
  <si>
    <t xml:space="preserve">Sunil Annasaheb Kulat </t>
  </si>
  <si>
    <t>R001-1012-SS-2025</t>
  </si>
  <si>
    <t>2025210107</t>
  </si>
  <si>
    <t xml:space="preserve">NA </t>
  </si>
  <si>
    <t>R001-1013-SS-2025</t>
  </si>
  <si>
    <t>2025209818</t>
  </si>
  <si>
    <t xml:space="preserve">Dilip Parshuram Salukhe </t>
  </si>
  <si>
    <t>R001-1014-SS-2025</t>
  </si>
  <si>
    <t>2025210174</t>
  </si>
  <si>
    <t>Jitendra Dyaneshwar Naik</t>
  </si>
  <si>
    <t>R001-1015-SS-2025</t>
  </si>
  <si>
    <t>2025210104</t>
  </si>
  <si>
    <t xml:space="preserve">Uday Bapurao Devekar </t>
  </si>
  <si>
    <t>R001-1016-SS-2025</t>
  </si>
  <si>
    <t>2025209654</t>
  </si>
  <si>
    <t xml:space="preserve">Mahadev Vayankat Panchal </t>
  </si>
  <si>
    <t>R001-1017-SS-2025</t>
  </si>
  <si>
    <t>2025209769</t>
  </si>
  <si>
    <t>Chand Babu Israr Ahmad Khan</t>
  </si>
  <si>
    <t>F001-1018-SS-2025</t>
  </si>
  <si>
    <t>CN065449</t>
  </si>
  <si>
    <t>F001-1019-SS-2025</t>
  </si>
  <si>
    <t>MTP-N-2526-003270</t>
  </si>
  <si>
    <t>F001-1020-SS-2025</t>
  </si>
  <si>
    <t>MTP-N-2526-003272</t>
  </si>
  <si>
    <t>HOUSRAO DASHRATH JAYBHAY</t>
  </si>
  <si>
    <t>M002-1021-SS-2025</t>
  </si>
  <si>
    <t>C2254103102949-00</t>
  </si>
  <si>
    <t>Ramchand Bhagchand Bhandare 9823327788</t>
  </si>
  <si>
    <t>R001-1022-SS-2025</t>
  </si>
  <si>
    <t>2024214888</t>
  </si>
  <si>
    <t>R001-1023-SS-2025</t>
  </si>
  <si>
    <t>2024214879</t>
  </si>
  <si>
    <t>Nabilal Hajilal MUjawar 9922273444</t>
  </si>
  <si>
    <t>F001-1024-SS-2025</t>
  </si>
  <si>
    <t>CM889835</t>
  </si>
  <si>
    <t>R001-1025-SS-2025</t>
  </si>
  <si>
    <t>2022201759</t>
  </si>
  <si>
    <t>Sangita Bharat Gajre</t>
  </si>
  <si>
    <t>R001-1026-SS-2025</t>
  </si>
  <si>
    <t>2025202327</t>
  </si>
  <si>
    <t>AKASH SANJAY KAMBLE</t>
  </si>
  <si>
    <t>R001-1027-SS-2025</t>
  </si>
  <si>
    <t>2025200573</t>
  </si>
  <si>
    <t>Deelip Ramsing Rathod</t>
  </si>
  <si>
    <t>R001-1028-SS-2025</t>
  </si>
  <si>
    <t>2025206296</t>
  </si>
  <si>
    <t>R001-1029-SS-2025</t>
  </si>
  <si>
    <t>2025202596</t>
  </si>
  <si>
    <t xml:space="preserve"> </t>
  </si>
  <si>
    <t>Kailas Nana Tayde</t>
  </si>
  <si>
    <t>R001-1030-SS-2025</t>
  </si>
  <si>
    <t>2025211210</t>
  </si>
  <si>
    <t>Anwar Khan Sattar Khan</t>
  </si>
  <si>
    <t>R001-1031-SS-2025</t>
  </si>
  <si>
    <t>2025211101</t>
  </si>
  <si>
    <t>Bipin Ramesh Choube</t>
  </si>
  <si>
    <t>F001-1032-SS-2025</t>
  </si>
  <si>
    <t>CN069407</t>
  </si>
  <si>
    <t>Santosh Tukaram Tandale</t>
  </si>
  <si>
    <t>R001-1033-SS-2025</t>
  </si>
  <si>
    <t>2025211134</t>
  </si>
  <si>
    <t>R001-1034-SS-2025</t>
  </si>
  <si>
    <t>2025207292</t>
  </si>
  <si>
    <t>Santosh Sampat Mhaske</t>
  </si>
  <si>
    <t>R001-1035-SS-2025</t>
  </si>
  <si>
    <t>2025211462</t>
  </si>
  <si>
    <t>Shrinivas Narsing Pal 7777072902</t>
  </si>
  <si>
    <t>R001-1036-SS-2025</t>
  </si>
  <si>
    <t>2025211458</t>
  </si>
  <si>
    <t xml:space="preserve">Aksha Ramesh Pawar </t>
  </si>
  <si>
    <t>R001-1037-SS-2025</t>
  </si>
  <si>
    <t>2025211454</t>
  </si>
  <si>
    <t>S</t>
  </si>
  <si>
    <t>Lalaji Manikrao Dhonde @ Dhande</t>
  </si>
  <si>
    <t>R001-1038-SS-2025</t>
  </si>
  <si>
    <t>2025211475</t>
  </si>
  <si>
    <t xml:space="preserve">Ajay Satyanarayan Totawar </t>
  </si>
  <si>
    <t>R001-1039-SS-2025</t>
  </si>
  <si>
    <t>2025211478</t>
  </si>
  <si>
    <t>Sanjay Sudam Gadgul</t>
  </si>
  <si>
    <t>R001-1040-SS-2025</t>
  </si>
  <si>
    <t>2025210709</t>
  </si>
  <si>
    <t>Umesh Govinda Gavli</t>
  </si>
  <si>
    <t>F001-1041-SS-2025</t>
  </si>
  <si>
    <t>CN066141</t>
  </si>
  <si>
    <t>Ranjeet Lala Chavan</t>
  </si>
  <si>
    <t>F001-1042-SS-2025</t>
  </si>
  <si>
    <t>MTP-N-2526-004127</t>
  </si>
  <si>
    <t>R001-1043-SS-2025</t>
  </si>
  <si>
    <t>2025212071</t>
  </si>
  <si>
    <t>Kakasaheb Shrirang Dhumal</t>
  </si>
  <si>
    <t>R001-1044-SS-2025</t>
  </si>
  <si>
    <t>2025212068</t>
  </si>
  <si>
    <t>S. CUBE INFRASTRUCTURE</t>
  </si>
  <si>
    <t>R001-1045-SS-2025</t>
  </si>
  <si>
    <t>2025212058</t>
  </si>
  <si>
    <t>R001-1046-SS-2025</t>
  </si>
  <si>
    <t>2025212055</t>
  </si>
  <si>
    <t>Umesh Laxman Sathe</t>
  </si>
  <si>
    <t>R001-1047-SS-2025</t>
  </si>
  <si>
    <t>2025212053</t>
  </si>
  <si>
    <t>Pravin Ashruba Andhale 9890471033</t>
  </si>
  <si>
    <t>R001-1048-SS-2025</t>
  </si>
  <si>
    <t>Rohit Dadarao Shirsath</t>
  </si>
  <si>
    <t>R001-1049-SS-2025</t>
  </si>
  <si>
    <t>2025212047</t>
  </si>
  <si>
    <t>Vishal Kumar Goutamchand 9845320803</t>
  </si>
  <si>
    <t>F001-1050-SS-2025</t>
  </si>
  <si>
    <t>MTP-N-2526-004166</t>
  </si>
  <si>
    <t xml:space="preserve">Prahlad Piraji Umbre </t>
  </si>
  <si>
    <t>R001-1051-SS-2025</t>
  </si>
  <si>
    <t>2025212181</t>
  </si>
  <si>
    <t>Bhagyashree Amol Shelke</t>
  </si>
  <si>
    <t>R001-1052-SS-2025</t>
  </si>
  <si>
    <t>2025212170</t>
  </si>
  <si>
    <t>Navnath Santu Gofne</t>
  </si>
  <si>
    <t>R001-1053-SS-2025</t>
  </si>
  <si>
    <t>2025212168</t>
  </si>
  <si>
    <t>Yogesh Digambar Mindad</t>
  </si>
  <si>
    <t>R001-1054-SS-2025</t>
  </si>
  <si>
    <t>2025212148</t>
  </si>
  <si>
    <t>Sagar Manohar Raska 9518771836</t>
  </si>
  <si>
    <t>R001-1055-SS-2025</t>
  </si>
  <si>
    <t>2025212191</t>
  </si>
  <si>
    <t>RAJENDRA SAHEBRAO CHAUDHARI   9096231099</t>
  </si>
  <si>
    <t>R001-1056-SS-2025</t>
  </si>
  <si>
    <t>2025212189</t>
  </si>
  <si>
    <t>RAMESHWAR VITTHAL BHAGYAWANT</t>
  </si>
  <si>
    <t>R001-1057-SS-2025</t>
  </si>
  <si>
    <t>2025212179</t>
  </si>
  <si>
    <t>Laxman Nawaji Thorat</t>
  </si>
  <si>
    <t>R001-1058-SS-2025</t>
  </si>
  <si>
    <t>2025212145</t>
  </si>
  <si>
    <t>Dnyaneshwar Bhimraj Pathak</t>
  </si>
  <si>
    <t>R001-1059-SS-2025</t>
  </si>
  <si>
    <t>2025212140</t>
  </si>
  <si>
    <t>VIJAY SHIVAJI THORAVE</t>
  </si>
  <si>
    <t>R001-1060-SS-2025</t>
  </si>
  <si>
    <t>2025212028</t>
  </si>
  <si>
    <t>R001-1061-SS-2025</t>
  </si>
  <si>
    <t>2025212222</t>
  </si>
  <si>
    <t>R001-1062-SS-2025</t>
  </si>
  <si>
    <t>2025212162</t>
  </si>
  <si>
    <t>Subhash Pratap Salariya</t>
  </si>
  <si>
    <t>F001-1063-SS-2025</t>
  </si>
  <si>
    <t xml:space="preserve">CN074856 </t>
  </si>
  <si>
    <t>F001-1064-SS-2025</t>
  </si>
  <si>
    <t xml:space="preserve">CM596085 </t>
  </si>
  <si>
    <t>Summons cases we will be charges 2000</t>
  </si>
  <si>
    <t xml:space="preserve">Laxmen S/o Gangadhar Jahane </t>
  </si>
  <si>
    <t>R001-1065-SS-2025</t>
  </si>
  <si>
    <t>2025212410</t>
  </si>
  <si>
    <t xml:space="preserve">Vishnu Ganesh Kale </t>
  </si>
  <si>
    <t>R001-1066-SS-2025</t>
  </si>
  <si>
    <t>2025212250</t>
  </si>
  <si>
    <t>Raj Umar Gaffer</t>
  </si>
  <si>
    <t>R001-1067-SS-2025</t>
  </si>
  <si>
    <t>2025212219</t>
  </si>
  <si>
    <t xml:space="preserve">Chandrakant Naryan Pise </t>
  </si>
  <si>
    <t>R001-1068-SS-2025</t>
  </si>
  <si>
    <t>2025212215</t>
  </si>
  <si>
    <t xml:space="preserve">Satish Bhalchandra More </t>
  </si>
  <si>
    <t>R001-1069-SS-2025</t>
  </si>
  <si>
    <t>2025212407</t>
  </si>
  <si>
    <t xml:space="preserve">Aatmaram jadhav </t>
  </si>
  <si>
    <t>R001-1070-SS-2025</t>
  </si>
  <si>
    <t>2025212443</t>
  </si>
  <si>
    <t xml:space="preserve">Shivand Niranjan Palmker </t>
  </si>
  <si>
    <t>R001-1071-SS-2025</t>
  </si>
  <si>
    <t>2025212467</t>
  </si>
  <si>
    <t>Darshan Suresh Nangre</t>
  </si>
  <si>
    <t>R001-1072-SS-2025</t>
  </si>
  <si>
    <t>2025212380</t>
  </si>
  <si>
    <t xml:space="preserve">Mohin Munir Pathan </t>
  </si>
  <si>
    <t>R001-1073-SS-2025</t>
  </si>
  <si>
    <t>2025212399</t>
  </si>
  <si>
    <t xml:space="preserve">Tirupati shikshan sanstha </t>
  </si>
  <si>
    <t>R001-1074-SS-2025</t>
  </si>
  <si>
    <t>2025212401</t>
  </si>
  <si>
    <t xml:space="preserve">Ramesh Laxmen Matangi </t>
  </si>
  <si>
    <t>R001-1075-SS-2025</t>
  </si>
  <si>
    <t>2025212349</t>
  </si>
  <si>
    <t>Yunush Nizam Pathan 9158589465</t>
  </si>
  <si>
    <t>R001-1076-SS-2025</t>
  </si>
  <si>
    <t>2025212447</t>
  </si>
  <si>
    <t>Gajendra Rangrao Patil SR Tours &amp; Travals 86258312621</t>
  </si>
  <si>
    <t>F001-1077-SS-2025</t>
  </si>
  <si>
    <t>MTP-N-2526-004298</t>
  </si>
  <si>
    <t>R001-1078-SS-2025</t>
  </si>
  <si>
    <t>2024213743</t>
  </si>
  <si>
    <t>Akshara Tours@Travels .</t>
  </si>
  <si>
    <t>R001-1079-SS-2025</t>
  </si>
  <si>
    <t>2025212533</t>
  </si>
  <si>
    <t>Mr. Sachin A. Kharmate,</t>
  </si>
  <si>
    <t>R001-1080-SS-2025</t>
  </si>
  <si>
    <t>2023205098</t>
  </si>
  <si>
    <t xml:space="preserve"> Injury Reassessment</t>
  </si>
  <si>
    <t>Ratanpal Sewakram Gawture</t>
  </si>
  <si>
    <t>R001-1081-SS-2025</t>
  </si>
  <si>
    <t>2021205783</t>
  </si>
  <si>
    <t>Nasir Ahmad QureshiS/o Abdul Gani Qureshi</t>
  </si>
  <si>
    <t>R001-1082-SS-2025</t>
  </si>
  <si>
    <t>2020208122</t>
  </si>
  <si>
    <t>Thakkar Corporation.</t>
  </si>
  <si>
    <t>R001-1083-SS-2025</t>
  </si>
  <si>
    <t>2019201744</t>
  </si>
  <si>
    <t>Shabeer Babusab Pahadwale.7028595337</t>
  </si>
  <si>
    <t>R001-1084-SS-2025</t>
  </si>
  <si>
    <t>2022209063</t>
  </si>
  <si>
    <t>Mohsin Babumiya Shaikh 7385504710</t>
  </si>
  <si>
    <t>R001-1085-SS-2025</t>
  </si>
  <si>
    <t>2017212612</t>
  </si>
  <si>
    <t>LOKMANGAL SUGAR ETHENOL AND CO GENERATION.</t>
  </si>
  <si>
    <t>F001-1086-SS-2025</t>
  </si>
  <si>
    <t>MISC-2025-001662</t>
  </si>
  <si>
    <t>WC</t>
  </si>
  <si>
    <t>Aarohi Tours @Travels /Mohan Pandhare</t>
  </si>
  <si>
    <t>R001-1087-SS-2025</t>
  </si>
  <si>
    <t>2025212670</t>
  </si>
  <si>
    <t>R001-1088-SS-2025</t>
  </si>
  <si>
    <t>2025212671</t>
  </si>
  <si>
    <t>R001-1089-SS-2025</t>
  </si>
  <si>
    <t>2025212673</t>
  </si>
  <si>
    <t xml:space="preserve">Sachin Pandurang Vaidhya </t>
  </si>
  <si>
    <t>R001-1090-SS-2025</t>
  </si>
  <si>
    <t>2025212540</t>
  </si>
  <si>
    <t xml:space="preserve">Shaikh Shahid </t>
  </si>
  <si>
    <t>R001-1091-SS-2025</t>
  </si>
  <si>
    <t>2025212595</t>
  </si>
  <si>
    <t xml:space="preserve">v </t>
  </si>
  <si>
    <t>R001-1092-SS-2025</t>
  </si>
  <si>
    <t>2025212716</t>
  </si>
  <si>
    <t>Gautam Ramchandar Kamble  9762968332</t>
  </si>
  <si>
    <t>R001-1093-SS-2025</t>
  </si>
  <si>
    <t>2025208486</t>
  </si>
  <si>
    <t>Asaram Sitaram Neharkar</t>
  </si>
  <si>
    <t>R001-1094-SS-2025</t>
  </si>
  <si>
    <t>2025209152</t>
  </si>
  <si>
    <t>Ravindra Mohan Tambe  9665127299</t>
  </si>
  <si>
    <t>R001-1095-SS-2025</t>
  </si>
  <si>
    <t>2025212593</t>
  </si>
  <si>
    <t>R001-1096-SS-2025</t>
  </si>
  <si>
    <t>2025212721</t>
  </si>
  <si>
    <t>Abdul Kabeer Abdul Rasheed</t>
  </si>
  <si>
    <t>R001-1097-SS-2025</t>
  </si>
  <si>
    <t>2025209441</t>
  </si>
  <si>
    <t>NIVARUTI VINAYAK KANDHARE</t>
  </si>
  <si>
    <t>R001-1098-SS-2025</t>
  </si>
  <si>
    <t>2025209731</t>
  </si>
  <si>
    <t>Ammen Khan Bismilla Khan Pathan</t>
  </si>
  <si>
    <t>R001-1099-SS-2025</t>
  </si>
  <si>
    <t>2025210423</t>
  </si>
  <si>
    <t>Maroti  Devrao Jadhav</t>
  </si>
  <si>
    <t>R001-1100-SS-2025</t>
  </si>
  <si>
    <t>2025210175</t>
  </si>
  <si>
    <t>Vitthal Bapurao Ghantewad</t>
  </si>
  <si>
    <t>R001-1101-SS-2025</t>
  </si>
  <si>
    <t>2025210211</t>
  </si>
  <si>
    <t>SHRI SAI TOURS AND TRAVELS  7875002182</t>
  </si>
  <si>
    <t>R001-1102-SS-2025</t>
  </si>
  <si>
    <t>2025209709</t>
  </si>
  <si>
    <t>SHIVAJI DATTA THADKE</t>
  </si>
  <si>
    <t>R001-1103-SS-2025</t>
  </si>
  <si>
    <t>2025210102</t>
  </si>
  <si>
    <t>SHAIKH SAMEER SHAIKH SALEEM</t>
  </si>
  <si>
    <t>R001-1104-SS-2025</t>
  </si>
  <si>
    <t>2025212758</t>
  </si>
  <si>
    <t>NITIN VITTHALRAO KAWALE</t>
  </si>
  <si>
    <t>R001-1105-SS-2025</t>
  </si>
  <si>
    <t>2025209132</t>
  </si>
  <si>
    <t>R001-1106-SS-2025</t>
  </si>
  <si>
    <t>2025209145</t>
  </si>
  <si>
    <t>R001-1107-SS-2025</t>
  </si>
  <si>
    <t>2025206806</t>
  </si>
  <si>
    <t>MIRZA AASIM BAIG MIRZA RAHEEM BAIG</t>
  </si>
  <si>
    <t>R001-1108-SS-2025</t>
  </si>
  <si>
    <t>2025210434</t>
  </si>
  <si>
    <t>Reliance General Ins. Co. Ltd</t>
  </si>
  <si>
    <t>R001-1109-SS-2025</t>
  </si>
  <si>
    <t>2025209745</t>
  </si>
  <si>
    <t>BIRADAR PANDARI NAMDEV</t>
  </si>
  <si>
    <t>R001-1110-SS-2025</t>
  </si>
  <si>
    <t>2023210048</t>
  </si>
  <si>
    <t>Mr.DNYANESHWAR TUKARAM KATKAR</t>
  </si>
  <si>
    <t>R001-1111-SS-2025</t>
  </si>
  <si>
    <t>2023202836</t>
  </si>
  <si>
    <t xml:space="preserve">Ishwar Vishnu Dhawale </t>
  </si>
  <si>
    <t>F001-1112-SS-2025</t>
  </si>
  <si>
    <t>MTP-N-2526-004387</t>
  </si>
  <si>
    <t>Mr.Syed Anis SyedMazhar.</t>
  </si>
  <si>
    <t>F001-1113-SS-2025</t>
  </si>
  <si>
    <t>MTP-N-2526-004507</t>
  </si>
  <si>
    <t>Mr,Akshara Narendra Sinh</t>
  </si>
  <si>
    <t>F001-1114-SS-2025</t>
  </si>
  <si>
    <t>MTP-N-2526-004327</t>
  </si>
  <si>
    <t xml:space="preserve">Radheshyam Hariram Chauhan </t>
  </si>
  <si>
    <t>F001-1115-SS-2025</t>
  </si>
  <si>
    <t>CM961508</t>
  </si>
  <si>
    <t>Supreme BuildCon,</t>
  </si>
  <si>
    <t>F001-1116-SS-2025</t>
  </si>
  <si>
    <t>L0016122</t>
  </si>
  <si>
    <t>BEharulka Shankarlal Rebari .</t>
  </si>
  <si>
    <t>S002</t>
  </si>
  <si>
    <t>S002-1117-SS-2025</t>
  </si>
  <si>
    <t>2002429</t>
  </si>
  <si>
    <t>Patil Kiran Subhash</t>
  </si>
  <si>
    <t>S002-1118-SS-2025</t>
  </si>
  <si>
    <t>2745855</t>
  </si>
  <si>
    <t>Hanoj ​​Viraf Jungalwala</t>
  </si>
  <si>
    <t>S002-1119-SS-2025</t>
  </si>
  <si>
    <t>2748309</t>
  </si>
  <si>
    <t>S002-1120-SS-2025</t>
  </si>
  <si>
    <t>2748311</t>
  </si>
  <si>
    <t>Sunrise Enterprises /Prop. Abdul Rauf Shaikh</t>
  </si>
  <si>
    <t>S002-1121-SS-2025</t>
  </si>
  <si>
    <t>2748142</t>
  </si>
  <si>
    <t>Keshav  Shripati Rathod</t>
  </si>
  <si>
    <t>R001-1122-SS-2025</t>
  </si>
  <si>
    <t>2025212933</t>
  </si>
  <si>
    <t>R001-1123-SS-2025</t>
  </si>
  <si>
    <t>R001-1124-SS-2025</t>
  </si>
  <si>
    <t>2022213651</t>
  </si>
  <si>
    <t>Vinod Atrinandan Mote</t>
  </si>
  <si>
    <t>R001-1125-SS-2025</t>
  </si>
  <si>
    <t>2025212966</t>
  </si>
  <si>
    <t>Shaikh Jamil  Shaikh Javed</t>
  </si>
  <si>
    <t>R001-1126-SS-2025</t>
  </si>
  <si>
    <t>2025212965</t>
  </si>
  <si>
    <t>Kondiba  Vithal Bhojane</t>
  </si>
  <si>
    <t>R001-1127-SS-2025</t>
  </si>
  <si>
    <t>2025212927</t>
  </si>
  <si>
    <t>Shrinivas Vitthal Nalbalwar</t>
  </si>
  <si>
    <t>R001-1128-SS-2025</t>
  </si>
  <si>
    <t>2025212925</t>
  </si>
  <si>
    <t>Karim Hasan Shaikh</t>
  </si>
  <si>
    <t>S002-1129-SS-2025</t>
  </si>
  <si>
    <t>2752072</t>
  </si>
  <si>
    <t>S002-1130-SS-2025</t>
  </si>
  <si>
    <t>2312792</t>
  </si>
  <si>
    <t>Manoj Ramchandra Chalke</t>
  </si>
  <si>
    <t>F001-1131-SS-2025</t>
  </si>
  <si>
    <t>MTP-N-2526-004746</t>
  </si>
  <si>
    <t>F001-1132-SS-2025</t>
  </si>
  <si>
    <t>CM570910</t>
  </si>
  <si>
    <t>R001-1133-SS-2025</t>
  </si>
  <si>
    <t>2023209914</t>
  </si>
  <si>
    <t>R001-1134-SS-2025</t>
  </si>
  <si>
    <t>2025200081</t>
  </si>
  <si>
    <t>R001-1135-SS-2025</t>
  </si>
  <si>
    <t>2024200689</t>
  </si>
  <si>
    <t>R001-1136-SS-2025</t>
  </si>
  <si>
    <t>2024216011</t>
  </si>
  <si>
    <t>R001-1137-SS-2025</t>
  </si>
  <si>
    <t>2025202308</t>
  </si>
  <si>
    <t>Sheikh Junaid Sheikh Nazir</t>
  </si>
  <si>
    <t>S002-1138-SS-2025</t>
  </si>
  <si>
    <t>2585893</t>
  </si>
  <si>
    <t>RAJU DADARAO BHAGAT</t>
  </si>
  <si>
    <t>R001-1139-SS-2025</t>
  </si>
  <si>
    <t>2025213092</t>
  </si>
  <si>
    <t>R001-1140-SS-2025</t>
  </si>
  <si>
    <t>2025204832</t>
  </si>
  <si>
    <t>Mohmad Javad Khan</t>
  </si>
  <si>
    <t>R001-1141-SS-2025</t>
  </si>
  <si>
    <t>2025213146</t>
  </si>
  <si>
    <t>PANDURANG GANPAT SHIGVAN</t>
  </si>
  <si>
    <t>R001-1142-SS-2025</t>
  </si>
  <si>
    <t>2025213359</t>
  </si>
  <si>
    <t>Dagdaji  Laxmanrao Shinde</t>
  </si>
  <si>
    <t>S002-1143-SS-2025</t>
  </si>
  <si>
    <t>2752851</t>
  </si>
  <si>
    <t>Anand Hanumant Limkar</t>
  </si>
  <si>
    <t>S002-1144-SS-2025</t>
  </si>
  <si>
    <t>2752855</t>
  </si>
  <si>
    <t>Ganesh Rajendra Shinde</t>
  </si>
  <si>
    <t>S002-1145-SS-2025</t>
  </si>
  <si>
    <t>2750504</t>
  </si>
  <si>
    <t>S002-1146-SS-2025</t>
  </si>
  <si>
    <t>2517801</t>
  </si>
  <si>
    <t>B001</t>
  </si>
  <si>
    <t>B001-1147-SS-2025</t>
  </si>
  <si>
    <t>Hold-228494</t>
  </si>
  <si>
    <t>F001-1148-SS-2025</t>
  </si>
  <si>
    <t>CN079727</t>
  </si>
  <si>
    <t>F001-1149-SS-2025</t>
  </si>
  <si>
    <t>CM839422</t>
  </si>
  <si>
    <t>S002-1150-SS-2025</t>
  </si>
  <si>
    <t>1033504</t>
  </si>
  <si>
    <t>Sahebrao Shankar Gaikwad</t>
  </si>
  <si>
    <t>R001-1151-SS-2025</t>
  </si>
  <si>
    <t>2025213437</t>
  </si>
  <si>
    <t>Ashok Vishwambhar Bhosale</t>
  </si>
  <si>
    <t>R001-1152-SS-2025</t>
  </si>
  <si>
    <t>2025206275</t>
  </si>
  <si>
    <t>Nilesh Ankush Nikat</t>
  </si>
  <si>
    <t>R001-1153-SS-2025</t>
  </si>
  <si>
    <t>2025204393</t>
  </si>
  <si>
    <t>Tanaji Udhav Gayakwad</t>
  </si>
  <si>
    <t>R001-1154-SS-2025</t>
  </si>
  <si>
    <t>2025213611</t>
  </si>
  <si>
    <t>S002-1155-SS-2025</t>
  </si>
  <si>
    <t>2719063</t>
  </si>
  <si>
    <t>S002-1156-SS-2025</t>
  </si>
  <si>
    <t>2719062</t>
  </si>
  <si>
    <t>S002-1157-SS-2025</t>
  </si>
  <si>
    <t>2687368</t>
  </si>
  <si>
    <t>S002-1158-SS-2025</t>
  </si>
  <si>
    <t>2675206</t>
  </si>
  <si>
    <t>S002-1159-SS-2025</t>
  </si>
  <si>
    <t>2688502</t>
  </si>
  <si>
    <t>S002-1160-SS-2025</t>
  </si>
  <si>
    <t>2688503</t>
  </si>
  <si>
    <t>S002-1161-SS-2025</t>
  </si>
  <si>
    <t>2531991</t>
  </si>
  <si>
    <t>S002-1162-SS-2025</t>
  </si>
  <si>
    <t>2675217</t>
  </si>
  <si>
    <t>RAHUL SIDDHARAM GAMAJI</t>
  </si>
  <si>
    <t>R001-1163-SS-2025</t>
  </si>
  <si>
    <t>2025201616</t>
  </si>
  <si>
    <t>VAIBHAV BALASAHEB BAGADE</t>
  </si>
  <si>
    <t>R001-1164-SS-2025</t>
  </si>
  <si>
    <t>2025202958</t>
  </si>
  <si>
    <t>R001-1165-SS-2025</t>
  </si>
  <si>
    <t>2025202883</t>
  </si>
  <si>
    <t>R001-1166-SS-2025</t>
  </si>
  <si>
    <t>2024209819</t>
  </si>
  <si>
    <t>Sujit Gopinath Patil</t>
  </si>
  <si>
    <t>R001-1167-SS-2025</t>
  </si>
  <si>
    <t>2025202179</t>
  </si>
  <si>
    <t>BABITA RAMESH SARUK</t>
  </si>
  <si>
    <t>R001-1168-SS-2025</t>
  </si>
  <si>
    <t>2025200082</t>
  </si>
  <si>
    <t>Mr. BALASAHEB BHAGWANRAO SATPUTE</t>
  </si>
  <si>
    <t>R001-1169-SS-2025</t>
  </si>
  <si>
    <t>2025200765</t>
  </si>
  <si>
    <t>EVEREST FLEET PRIVATE LIMITED</t>
  </si>
  <si>
    <t>R001-1170-SS-2025</t>
  </si>
  <si>
    <t>2024215431</t>
  </si>
  <si>
    <t>S002-1171-SS-2025</t>
  </si>
  <si>
    <t>2532036</t>
  </si>
  <si>
    <t>R001-1172-SS-2025</t>
  </si>
  <si>
    <t>2024215780</t>
  </si>
  <si>
    <t>AAYAN TOURS AND TRAVELS</t>
  </si>
  <si>
    <t>R001-1173-SS-2025</t>
  </si>
  <si>
    <t>2024215795</t>
  </si>
  <si>
    <t>Shaikh Alim Shaikh Unus</t>
  </si>
  <si>
    <t>R001-1174-SS-2025</t>
  </si>
  <si>
    <t>2024216019</t>
  </si>
  <si>
    <t>Shree Warana</t>
  </si>
  <si>
    <t>F001-1175-SS-2025</t>
  </si>
  <si>
    <t>MTP-N-2526-005139</t>
  </si>
  <si>
    <t>Vijay Sahebrao Rathod</t>
  </si>
  <si>
    <t>R001-1176-SS-2025</t>
  </si>
  <si>
    <t>2025213982</t>
  </si>
  <si>
    <t>Sanjay  Bandu Gaikwad</t>
  </si>
  <si>
    <t>R001-1177-SS-2025</t>
  </si>
  <si>
    <t>2025213945</t>
  </si>
  <si>
    <t>Subodh Umakant Gaikwad</t>
  </si>
  <si>
    <t>R001-1178-SS-2025</t>
  </si>
  <si>
    <t>2025213947</t>
  </si>
  <si>
    <t>Sachin Madhavrao Dure</t>
  </si>
  <si>
    <t>R001-1179-SS-2025</t>
  </si>
  <si>
    <t>2025213937</t>
  </si>
  <si>
    <t>Maroti Gangaram Ingale</t>
  </si>
  <si>
    <t>R001-1180-SS-2025</t>
  </si>
  <si>
    <t>2025213914</t>
  </si>
  <si>
    <t>Sayyad Shahed  Sayyad Ishaque</t>
  </si>
  <si>
    <t>R001-1181-SS-2025</t>
  </si>
  <si>
    <t>2025213905</t>
  </si>
  <si>
    <t>Nilesh  Govindrao Dhabe</t>
  </si>
  <si>
    <t>R001-1182-SS-2025</t>
  </si>
  <si>
    <t>2025213901</t>
  </si>
  <si>
    <t>Santosh Sadashiv Tejankar</t>
  </si>
  <si>
    <t>R001-1183-SS-2025</t>
  </si>
  <si>
    <t>2025213898</t>
  </si>
  <si>
    <t>Ankush  Bajirao Gadade</t>
  </si>
  <si>
    <t>R001-1184-SS-2025</t>
  </si>
  <si>
    <t>2025213881</t>
  </si>
  <si>
    <t>Gajanan  Narayanrao Solanke</t>
  </si>
  <si>
    <t>R001-1185-SS-2025</t>
  </si>
  <si>
    <t>2025213869</t>
  </si>
  <si>
    <t>Kedarling  Pralhad Gawali</t>
  </si>
  <si>
    <t>R001-1186-SS-2025</t>
  </si>
  <si>
    <t>2025213864</t>
  </si>
  <si>
    <t>Raju Panditrao Londhe</t>
  </si>
  <si>
    <t>R001-1187-SS-2025</t>
  </si>
  <si>
    <t>2025213860</t>
  </si>
  <si>
    <t>Santosh  Bhagwan Shelake</t>
  </si>
  <si>
    <t>R001-1188-SS-2025</t>
  </si>
  <si>
    <t>2025213854</t>
  </si>
  <si>
    <t>Chandrakant  Satwaji Kamble</t>
  </si>
  <si>
    <t>R001-1189-SS-2025</t>
  </si>
  <si>
    <t>2025213836</t>
  </si>
  <si>
    <t>SANJAY DHULA HIRAVE</t>
  </si>
  <si>
    <t>R001-1190-SS-2025</t>
  </si>
  <si>
    <t>2025213495</t>
  </si>
  <si>
    <t>R001-1191-SS-2025</t>
  </si>
  <si>
    <t>2025213494</t>
  </si>
  <si>
    <t>R001-1192-SS-2025</t>
  </si>
  <si>
    <t>2025213493</t>
  </si>
  <si>
    <t>R001-1193-SS-2025</t>
  </si>
  <si>
    <t>2025213492</t>
  </si>
  <si>
    <t>Shiv Om Travels</t>
  </si>
  <si>
    <t>R001-1194-SS-2025</t>
  </si>
  <si>
    <t>2024208871</t>
  </si>
  <si>
    <t>PRATIK VINAYAK MANE</t>
  </si>
  <si>
    <t>R001-1195-SS-2025</t>
  </si>
  <si>
    <t>2024210062</t>
  </si>
  <si>
    <t>Sattar Musa Pathan</t>
  </si>
  <si>
    <t>R001-1196-SS-2025</t>
  </si>
  <si>
    <t>2025200164</t>
  </si>
  <si>
    <t>Prahalad Tukaram Jadhav</t>
  </si>
  <si>
    <t>R001-1197-SS-2025</t>
  </si>
  <si>
    <t>2024216007</t>
  </si>
  <si>
    <t>R001-1198-SS-2025</t>
  </si>
  <si>
    <t>2018212712</t>
  </si>
  <si>
    <t>Samir Patel Bashir Patel</t>
  </si>
  <si>
    <t>F001-1199-SS-2025</t>
  </si>
  <si>
    <t>MTP-N-2526-005257</t>
  </si>
  <si>
    <t>R001-1200-SS-2025</t>
  </si>
  <si>
    <t>2025214146</t>
  </si>
  <si>
    <t>Ram Kumar Sahni</t>
  </si>
  <si>
    <t>F001-1201-SS-2025</t>
  </si>
  <si>
    <t>MTP-N-2526-005022</t>
  </si>
  <si>
    <t>Sanjay Dhondiba Ufalkar</t>
  </si>
  <si>
    <t>S002-1202-SS-2025</t>
  </si>
  <si>
    <t>2757549</t>
  </si>
  <si>
    <t>Rahul Shirish Munde</t>
  </si>
  <si>
    <t>R001-1203-SS-2025</t>
  </si>
  <si>
    <t>2025214269</t>
  </si>
  <si>
    <t>Ajay Sitaraam Jadhav</t>
  </si>
  <si>
    <t>R001-1204-SS-2025</t>
  </si>
  <si>
    <t>2025214177</t>
  </si>
  <si>
    <t>Gajanan Ganeshrao Solanke</t>
  </si>
  <si>
    <t>R001-1205-SS-2025</t>
  </si>
  <si>
    <t>2025214105</t>
  </si>
  <si>
    <t>Shekh Mujid Musa</t>
  </si>
  <si>
    <t>R001-1206-SS-2025</t>
  </si>
  <si>
    <t>2025213441</t>
  </si>
  <si>
    <t>Surajkumar Indarlal Jaiswal</t>
  </si>
  <si>
    <t>R001-1207-SS-2025</t>
  </si>
  <si>
    <t>2025214020</t>
  </si>
  <si>
    <t>DEVANAND BALASAHEB BANDGAR</t>
  </si>
  <si>
    <t>R001-1208-SS-2025</t>
  </si>
  <si>
    <t>2024213331</t>
  </si>
  <si>
    <t>Deepak Nivruti Kanse</t>
  </si>
  <si>
    <t>R001-1209-SS-2025</t>
  </si>
  <si>
    <t>Pramod Nivrutti Mandake</t>
  </si>
  <si>
    <t>S002-1210-SS-2025</t>
  </si>
  <si>
    <t>S002-1211-SS-2025</t>
  </si>
  <si>
    <t>R001-1212-SS-2025</t>
  </si>
  <si>
    <t>R001-1213-SS-2025</t>
  </si>
  <si>
    <t>Akash Kashinath Jadhv</t>
  </si>
  <si>
    <t>R001-1214-SS-2025</t>
  </si>
  <si>
    <t>Rahul Shankar Pawar</t>
  </si>
  <si>
    <t>S002-1215-SS-2025</t>
  </si>
  <si>
    <t>Mohammed Imran  Abdul Gaffar</t>
  </si>
  <si>
    <t>S002-1216-SS-2025</t>
  </si>
  <si>
    <t>Shoukatali  Aamir Kha</t>
  </si>
  <si>
    <t>S002-1217-SS-2025</t>
  </si>
  <si>
    <t>Santosh  Bajirao Jadhav</t>
  </si>
  <si>
    <t>Bhup Subhash Chand Singh</t>
  </si>
  <si>
    <t>Kadar  Gaffar Shaikh</t>
  </si>
  <si>
    <t>Muhammad Zahir father Muhammad Bakhsh</t>
  </si>
  <si>
    <t>Cliam Number</t>
  </si>
  <si>
    <t>Client Name</t>
  </si>
  <si>
    <t>INSURED/Back</t>
  </si>
  <si>
    <t>Insured</t>
  </si>
  <si>
    <t>134 NOTICE/Backend</t>
  </si>
  <si>
    <t>Claimant / Backend</t>
  </si>
  <si>
    <t>Claimant</t>
  </si>
  <si>
    <t>Income/Backend</t>
  </si>
  <si>
    <t>Income</t>
  </si>
  <si>
    <t>DRIVER/Backend</t>
  </si>
  <si>
    <t>Driver</t>
  </si>
  <si>
    <t>DL/Backend</t>
  </si>
  <si>
    <t>RC/Backend</t>
  </si>
  <si>
    <t>PERMIT/Backend</t>
  </si>
  <si>
    <t>SPOT/Backend</t>
  </si>
  <si>
    <t>COURT/Backend</t>
  </si>
  <si>
    <t>NOTICE/Backend</t>
  </si>
  <si>
    <t>RTI/Backend</t>
  </si>
  <si>
    <t>Hospital/Backend</t>
  </si>
  <si>
    <t>Hospital</t>
  </si>
  <si>
    <t>Total</t>
  </si>
  <si>
    <t>Full Case Status</t>
  </si>
  <si>
    <t>134 Notice</t>
  </si>
  <si>
    <t>Permit</t>
  </si>
  <si>
    <t>Fitness</t>
  </si>
  <si>
    <t>Spot</t>
  </si>
  <si>
    <t>Chargesheet</t>
  </si>
  <si>
    <t>IR Status</t>
  </si>
  <si>
    <t>2 - CP</t>
  </si>
  <si>
    <t>1 - CP</t>
  </si>
  <si>
    <t>Good To Go</t>
  </si>
  <si>
    <t>COMPLETION DATE</t>
  </si>
  <si>
    <t>COMPLETION MONTH</t>
  </si>
  <si>
    <t>CASE DUE DATE</t>
  </si>
  <si>
    <t>TAT</t>
  </si>
  <si>
    <t>SLA</t>
  </si>
  <si>
    <t>CASE TYPE</t>
  </si>
  <si>
    <t>INVESTIGATION REPORT</t>
  </si>
  <si>
    <t>FULL CASE STATUS</t>
  </si>
  <si>
    <t>SCOPE OF WORK</t>
  </si>
  <si>
    <t>CLAIMANT NAME</t>
  </si>
  <si>
    <t>CLAIMANT ADDRESS</t>
  </si>
  <si>
    <t>CLAIMANT DISTRICT</t>
  </si>
  <si>
    <t>CLAIMANT STATUS</t>
  </si>
  <si>
    <t>INCOME DETAILS</t>
  </si>
  <si>
    <t>INCOME ADDRESS</t>
  </si>
  <si>
    <t>DISTRICT</t>
  </si>
  <si>
    <t>INCOME STATUS</t>
  </si>
  <si>
    <t>INSURED ADDRESS</t>
  </si>
  <si>
    <t>INSURED DISTRICT</t>
  </si>
  <si>
    <t>132 NOTICE</t>
  </si>
  <si>
    <t>INSURED STATUS</t>
  </si>
  <si>
    <t>DRIVER NAME</t>
  </si>
  <si>
    <t>DRIVER ADDRESS</t>
  </si>
  <si>
    <t>DRIVER DISTRICT</t>
  </si>
  <si>
    <t>DRIVER STATUS</t>
  </si>
  <si>
    <t>DL STATUS</t>
  </si>
  <si>
    <t xml:space="preserve">RC </t>
  </si>
  <si>
    <t>RC STATUS</t>
  </si>
  <si>
    <t>PERMIT STATUS</t>
  </si>
  <si>
    <t>FITNESS</t>
  </si>
  <si>
    <t>FITNESS STATUS</t>
  </si>
  <si>
    <t>SPOT LOCATION</t>
  </si>
  <si>
    <t>SPOT DISTRICT</t>
  </si>
  <si>
    <t>SPOT STATUS</t>
  </si>
  <si>
    <t>FIR NUMBER</t>
  </si>
  <si>
    <t>POLICE STATION</t>
  </si>
  <si>
    <t>District</t>
  </si>
  <si>
    <t>CHARGESHEET STATUS</t>
  </si>
  <si>
    <t>HOSPITAL NAME</t>
  </si>
  <si>
    <t>HOSPITAL ADDRESS</t>
  </si>
  <si>
    <t>HOSPITAL DISTRICT</t>
  </si>
  <si>
    <t>HOSPITAL STATUS</t>
  </si>
  <si>
    <t>DISPATCH DATE</t>
  </si>
  <si>
    <t>DISPACTH STATUS</t>
  </si>
  <si>
    <t>CASE NOTES</t>
  </si>
  <si>
    <t>Full Case</t>
  </si>
  <si>
    <t>Dispatch</t>
  </si>
  <si>
    <t>Completed</t>
  </si>
  <si>
    <t>Shrimati Parvatibai Balu Kamble</t>
  </si>
  <si>
    <t>Pokhari, nandgaon, Nashik</t>
  </si>
  <si>
    <t>Nashik</t>
  </si>
  <si>
    <t>First Floor, 32/01, Cristal Pride, Hari Ghat, App. AVM Automoblie, Kalyan - 421003</t>
  </si>
  <si>
    <t>Kalyan</t>
  </si>
  <si>
    <t>Munnala Rajaram Saroj</t>
  </si>
  <si>
    <t>On Nandgaon to Chalisgaon road, In the vicinity of Gangadhari village, Opp D K Industries.</t>
  </si>
  <si>
    <t>Jalgaon</t>
  </si>
  <si>
    <t>Gramin Hospital</t>
  </si>
  <si>
    <t>Pending</t>
  </si>
  <si>
    <t>Spot/ Claimant/ Insured</t>
  </si>
  <si>
    <t>-</t>
  </si>
  <si>
    <t>Connected Case</t>
  </si>
  <si>
    <t>Open</t>
  </si>
  <si>
    <t>WIP</t>
  </si>
  <si>
    <t>Chandrabhaga Shivaji Pawar</t>
  </si>
  <si>
    <t>Bhilcot, Malegaon, Nashik.</t>
  </si>
  <si>
    <t>Momin Navid Akhtar Mohmd Shahid</t>
  </si>
  <si>
    <t>Naya Islampura, Malegaon, Nashik 423202</t>
  </si>
  <si>
    <t xml:space="preserve">Mukhtar Shaikh </t>
  </si>
  <si>
    <t>On Hatane to Tokane road, Near Pravin Thokes Veetbatti, In the visinity of Hatane village.</t>
  </si>
  <si>
    <t>Washim</t>
  </si>
  <si>
    <t>Balu Motiram Wagh</t>
  </si>
  <si>
    <t>Rajapur, Yevla, Nashik. (Nandgaon Depo)</t>
  </si>
  <si>
    <t>Shayan Raies Sayyad</t>
  </si>
  <si>
    <t>114/1 B, Sarvade Nagar, Near Iqbal Kirana Marchant, Mulegaon Road, Uttar Solapur, 413006.</t>
  </si>
  <si>
    <t>Solapur</t>
  </si>
  <si>
    <t>Sagar Ankush Bhosale</t>
  </si>
  <si>
    <t>On Sindhkhed Raja Road, Next of Vakhari Fhata, Jalna Navha Road.</t>
  </si>
  <si>
    <t>Jalna</t>
  </si>
  <si>
    <t>Vira Medicity Hosp</t>
  </si>
  <si>
    <t>Claimant/ Spot/ Insured / Driver / Chargesheet</t>
  </si>
  <si>
    <t>Popat Baburao Ghule</t>
  </si>
  <si>
    <t>Paregaon Terfe Khed, Pune</t>
  </si>
  <si>
    <t>Pune</t>
  </si>
  <si>
    <t>Yes</t>
  </si>
  <si>
    <t>Rajguru Nagar, Pune.</t>
  </si>
  <si>
    <t xml:space="preserve">On Pune Nashik Highway, Near Pancharatne Hotel, Jaidwadi,  Khed, Pune. </t>
  </si>
  <si>
    <t>Ramdas Baban Thorat</t>
  </si>
  <si>
    <t>Khed-Pune</t>
  </si>
  <si>
    <t>STOP</t>
  </si>
  <si>
    <t>Claimant/Insured/</t>
  </si>
  <si>
    <t>Nanda Ramdas Thorat</t>
  </si>
  <si>
    <t>Partial Case</t>
  </si>
  <si>
    <t>Pending CS</t>
  </si>
  <si>
    <t>Gajanan Wishvanath Kapuskari</t>
  </si>
  <si>
    <t>R/O C-394-1, MONDHA, 0, SHOPP, NO 2, MARKET YARD, Hingoli. 431512.</t>
  </si>
  <si>
    <t>Hingoli</t>
  </si>
  <si>
    <t xml:space="preserve">Omkar Ramkishan Bhalerao </t>
  </si>
  <si>
    <t>Gajanan Devkar</t>
  </si>
  <si>
    <t>yes</t>
  </si>
  <si>
    <t xml:space="preserve">WIP </t>
  </si>
  <si>
    <t>On Malegaon to Pasadgaon Road, Nr Shahapur.</t>
  </si>
  <si>
    <t>Malegaon</t>
  </si>
  <si>
    <t>0133/2025</t>
  </si>
  <si>
    <t>Limbgaon Police Station</t>
  </si>
  <si>
    <t>Nanded</t>
  </si>
  <si>
    <t>Insured/ Driver/ DL</t>
  </si>
  <si>
    <t>Sheetal Ganesh Dhere</t>
  </si>
  <si>
    <t>Kave, Mhada, Solapur.</t>
  </si>
  <si>
    <t xml:space="preserve">Na </t>
  </si>
  <si>
    <t>Shailesh Babu Gorakh Godage</t>
  </si>
  <si>
    <t xml:space="preserve">Chandrasen </t>
  </si>
  <si>
    <t>On a road Kave to Ropale road, Nr Hotel Patil raj.</t>
  </si>
  <si>
    <t>Insured/ Driver/ Spot/ Claimnat/ Pending for RC/ DL/ CS</t>
  </si>
  <si>
    <t>Kavita Vijay Rajule</t>
  </si>
  <si>
    <t>Narsali, Shreerampur, Ahilyanagar.</t>
  </si>
  <si>
    <t>Ahilyanagar</t>
  </si>
  <si>
    <t>Sharad Raosaheb Pathare</t>
  </si>
  <si>
    <t>Devlali Pravara, Rahuri, Ahilyanagar.</t>
  </si>
  <si>
    <t>Sandeep Lashkare</t>
  </si>
  <si>
    <t xml:space="preserve">From Devlali Pravra to Shrirampur Road, Near Nisarg Hotel, </t>
  </si>
  <si>
    <t>Claimant/ insured and Driver  / Spot Pending for  Chargesheet</t>
  </si>
  <si>
    <t>Rajendra Ramrao Patil 9657416085</t>
  </si>
  <si>
    <t>Galli No. 06, Umarkhed, Chalisgaon, Jalgaon. Current - Flat No. 12, ShreeKunj, Ambad Link road, Vrundavan Nagar, Kamathwadi, Back to  Vikhe Patil School, Nashik-Ambad.</t>
  </si>
  <si>
    <t xml:space="preserve">Ravindra Pandurang Patil </t>
  </si>
  <si>
    <t>Gudhe, Bhadgaon, Jalgaon.</t>
  </si>
  <si>
    <t>Rahul Lohar</t>
  </si>
  <si>
    <t>Nihal Shaikh</t>
  </si>
  <si>
    <t>On Wadegude to Umberkhed road, Near Gude Shivar, Chalisgaon, Nashik.</t>
  </si>
  <si>
    <t>Disptach</t>
  </si>
  <si>
    <t xml:space="preserve">Claimant Done / Driver Done  / Insured / Spot / Pending for RC and DL extract Chargesheet </t>
  </si>
  <si>
    <t>For Charge Sheet	Analogous matter allocated</t>
  </si>
  <si>
    <t>Near Pushpa Ganga Hotel, Dharashiv.</t>
  </si>
  <si>
    <t>Dharashiv</t>
  </si>
  <si>
    <t>0262/2024</t>
  </si>
  <si>
    <t>Anand Police Station</t>
  </si>
  <si>
    <t>NI</t>
  </si>
  <si>
    <t>Pending for Chargesheet</t>
  </si>
  <si>
    <t>Pratap Bhausaheb Pachange 9689450555</t>
  </si>
  <si>
    <t>Dhoksangvi, Shirur, Pune.</t>
  </si>
  <si>
    <t>Sunil Annasaheb Kulat 9923440484</t>
  </si>
  <si>
    <t>41, Gavthan, Khatgaon, Taklitral, Parner, Ahmadnagar. 414103</t>
  </si>
  <si>
    <t>Somnath Bhagwan Dahifhale</t>
  </si>
  <si>
    <t>On Pune-Nagar road, In the vicinity of Vaghunde village, Opp. H P Petrol pump, MIDC chowk.</t>
  </si>
  <si>
    <t>Spot/ Insured - recording and Visit location photos/ Claimant Part</t>
  </si>
  <si>
    <t>Babasaheb Urfa Santosh Sahebrao Kolekar</t>
  </si>
  <si>
    <t xml:space="preserve">Claimant Part done claimant is out of station </t>
  </si>
  <si>
    <t>Vrushali Ganesh Shelke 9860666287/9922339794</t>
  </si>
  <si>
    <t>Kolhar Budruk, Rahata, Ahilyanagar</t>
  </si>
  <si>
    <t>Dilip Parshuram Salunke</t>
  </si>
  <si>
    <t>Ambekar mala. 556, Room no. 1-2, Theur Fhata, Kunjirwadi, Pune 412201. Patas, Daund, Pune - 412219</t>
  </si>
  <si>
    <t xml:space="preserve">On Nagar-Manmad Road, In the vicinity of Shingvenaike village, </t>
  </si>
  <si>
    <t xml:space="preserve">Claimant/ Spot </t>
  </si>
  <si>
    <t>Investigator will be start the visit by tomorrow</t>
  </si>
  <si>
    <t>Manisha Rajaram Belote 9921119809</t>
  </si>
  <si>
    <t>Devibhoyre, Parner, Ahilyanagar</t>
  </si>
  <si>
    <t>Jitenrda Dnyaneshwar Naik</t>
  </si>
  <si>
    <t xml:space="preserve">On Nighij to Devibhoyre village road, In the vicinity of Vadgaon Gund village, Parner, </t>
  </si>
  <si>
    <t>Claimant  Pending for CS</t>
  </si>
  <si>
    <t>Dattatray Kundlik Shirke</t>
  </si>
  <si>
    <t>Bbaudi, Shregonda, Ahilyanagar.</t>
  </si>
  <si>
    <t>Uday Bapurao Divekar</t>
  </si>
  <si>
    <t>Railway Gate 14, Kadethanwadi, Kadetrhan, Daund, Pune -412215.</t>
  </si>
  <si>
    <t>Akshay Gorakh Divekar</t>
  </si>
  <si>
    <t>Adv. Sudhir Wakle</t>
  </si>
  <si>
    <t>On Daund Nagar road, Near Samrat Hotal.</t>
  </si>
  <si>
    <t xml:space="preserve">Claimant/ Spot / Insured visit Insured out of station driver Done Pending for CS </t>
  </si>
  <si>
    <t>Subhadra Ganesh Yadav 9763008813</t>
  </si>
  <si>
    <t>Jadid Javla, Harki, Majalgaon, Beed. Current - Vikasnagar, Dharashiv.</t>
  </si>
  <si>
    <t>Mahadev Vyankat Panchal</t>
  </si>
  <si>
    <t>C/O, Gorakh Rambhaji Konde-SR/No-240/1B, Gorakh House, Gajanan Nagar,  Urali Devachi,  Haveli, Pune.Current - Tadgaon, Kallam, Dharashiv.</t>
  </si>
  <si>
    <t xml:space="preserve">Pankaj Kawade </t>
  </si>
  <si>
    <t>On Barshi to Kusalamb road, Near Ayush Vyanshanmukti Kendra, Near field of Shridhar Govardhan Awate, In village Jamgaon, Barshi, Solapur.</t>
  </si>
  <si>
    <t>Sarfaraz Khan 9867183816</t>
  </si>
  <si>
    <t>Mustakh Muktar Ahmad</t>
  </si>
  <si>
    <t xml:space="preserve">Yes </t>
  </si>
  <si>
    <t>Garwarw, Mumbai Agra Highway, Ambad-Nashik.</t>
  </si>
  <si>
    <t>Zainab Chand Babu Khan</t>
  </si>
  <si>
    <t>Room No. 10, Mainuddin Chwal, Old CST road, Kalina, Santacruz-East, 400029.</t>
  </si>
  <si>
    <t>Mumbai</t>
  </si>
  <si>
    <t>DL extract</t>
  </si>
  <si>
    <t>Shan Babu Khan</t>
  </si>
  <si>
    <t>Hospital Visit/claimant Visit/ claimant Income</t>
  </si>
  <si>
    <t>The case was originally assigned on 18th March. However, the CRN was not created in the old sheet. Therefore, for CRN generation, we have added the claim details in the new sheet.</t>
  </si>
  <si>
    <t>Claimant/ Spot/ Chargesheet</t>
  </si>
  <si>
    <t>Nurjaha Rajak Shaikh 9890985537</t>
  </si>
  <si>
    <t>Gandhinagar, Kopargaon, Ahmadnagar</t>
  </si>
  <si>
    <t>Sambhaji Nagar</t>
  </si>
  <si>
    <t>Nr. Khandoba Mandir, Bhoygaon, Pendpur, Gangapur,  Sambhajinagar.</t>
  </si>
  <si>
    <t>Prashant Jeurkar</t>
  </si>
  <si>
    <t>On Bolegaon to Gangapur road, Before Vedant Hotel, Gangapur, Sambhajinagar.</t>
  </si>
  <si>
    <t>Sambhajinagar</t>
  </si>
  <si>
    <t>81/2024</t>
  </si>
  <si>
    <t>Gangapur Po. St.</t>
  </si>
  <si>
    <t>Insured/ Driver/ Spot / Claimant Out of station  / CS</t>
  </si>
  <si>
    <t>Connected 2024214888</t>
  </si>
  <si>
    <t>Suraj Satish Padar</t>
  </si>
  <si>
    <t xml:space="preserve">Nivara, Kopargaon, Ahmadnagar. </t>
  </si>
  <si>
    <t xml:space="preserve">Claimant Non Tracable </t>
  </si>
  <si>
    <t>QC</t>
  </si>
  <si>
    <t>Claimant/Eye Witness/Spot/MLC or GD/Insured</t>
  </si>
  <si>
    <t>Sagera Rashid Tamboli</t>
  </si>
  <si>
    <t>Ambehol, Dharashiv.</t>
  </si>
  <si>
    <t>R/O, B8, Manikgad Apartment, Bramhagiri Colony, Jail Road, Nashik.</t>
  </si>
  <si>
    <t>On Baleshwar Naka to Kasarwado road, Nr. Oxigen Park, at Barshi city po. St.</t>
  </si>
  <si>
    <t>187/2024</t>
  </si>
  <si>
    <t>Barshi City Police Station</t>
  </si>
  <si>
    <t>Barshi</t>
  </si>
  <si>
    <t xml:space="preserve">Insured recording / Police station recording </t>
  </si>
  <si>
    <t>Permit verification required from Nanded RTO</t>
  </si>
  <si>
    <t>Permit verification required</t>
  </si>
  <si>
    <t xml:space="preserve">   </t>
  </si>
  <si>
    <t>R/O. Kalmula, Tq-Purna, Dis-Parbhani.</t>
  </si>
  <si>
    <t>Parbhani</t>
  </si>
  <si>
    <t>B-320, Steel Chember, Plot-514, Sec-KWC, Panvel. 410218.</t>
  </si>
  <si>
    <t>Navi Mumbai</t>
  </si>
  <si>
    <t>At Limbgaon - Purna road, Near Opp Datta Mandir.</t>
  </si>
  <si>
    <t>55/2024</t>
  </si>
  <si>
    <t>Limbgaon Po. St.</t>
  </si>
  <si>
    <t>Spot / Driver non contactable / Claimant Part Pending Insured and CS</t>
  </si>
  <si>
    <t>Madhav Sheshrao Surve</t>
  </si>
  <si>
    <t>Datta Nagar, Kailash Nagar, Lane No. 04, Plot No. 04,  Sambhajinagar.</t>
  </si>
  <si>
    <t>In front of river bridgeOn Chickali Mahekar road,</t>
  </si>
  <si>
    <t>721/2023</t>
  </si>
  <si>
    <t>Mahekar po. St.</t>
  </si>
  <si>
    <t>Ashok Bansilal Dayma</t>
  </si>
  <si>
    <t xml:space="preserve">ND-42, P-01, 36/02, Wagala road, Back to Gajanan Tempale, Hudko, Kouta, Posi - CIDCO Nanded. </t>
  </si>
  <si>
    <t>Sanket, Geeta Nagar, Nr Anand Nagar, Nanded.</t>
  </si>
  <si>
    <t>At Bus Station MSRTC, Nanded.</t>
  </si>
  <si>
    <t>217/2024</t>
  </si>
  <si>
    <t>Vazirabad Po. St.</t>
  </si>
  <si>
    <t xml:space="preserve">Claimant Visit/ Driver- DL/ Insured/ Spot  Pending for CS </t>
  </si>
  <si>
    <t>Kusum Shravan Jadhav</t>
  </si>
  <si>
    <t>R/O. Chabra Tanda, hadgaon, Nanded.</t>
  </si>
  <si>
    <t>Bhagwan Amarshing Ade</t>
  </si>
  <si>
    <t>Walaki BK Tanda, Hadgaon, Nanded.</t>
  </si>
  <si>
    <t>Nr the field of Govind Amarsing Chavhan, On Chabra Tanda to Sonala Canal road.</t>
  </si>
  <si>
    <t>Ardhapur Po. St.</t>
  </si>
  <si>
    <t>Claimant/ Insured/ Spot/Driver Pending for CS</t>
  </si>
  <si>
    <t>Hayat Khan Husen Khan</t>
  </si>
  <si>
    <t>Near. Dr. Babasaheb Ambedkar Statue, Nutan Vasahat, Old Jalne.</t>
  </si>
  <si>
    <t>On Jalna to Rajur road, In Dagadwadi Shivar</t>
  </si>
  <si>
    <t>304/2019</t>
  </si>
  <si>
    <t>Chandanjira Po. St.</t>
  </si>
  <si>
    <t xml:space="preserve">Claimant/ Insured/ Driver/ Spot completed / Oposite party verification completed </t>
  </si>
  <si>
    <t>Shaikh Qayyum Shaikh Habib</t>
  </si>
  <si>
    <t>Millat Nagar, Degloor naka, Nanded.</t>
  </si>
  <si>
    <t>Devi Nagar, Degloor Naka, Nanded.</t>
  </si>
  <si>
    <t xml:space="preserve">Near Shakti Tractor Agancy, Wajegaon bridge, nanded. </t>
  </si>
  <si>
    <t>309/2016</t>
  </si>
  <si>
    <t>Nanded Rural Po. St.</t>
  </si>
  <si>
    <t>Claimant/ Insured/ Spot Pending for Driver and CS</t>
  </si>
  <si>
    <t xml:space="preserve">Investigator will be complete the visit with in 2-3 days </t>
  </si>
  <si>
    <t>Shubham Keshav Chavhan 7058119728</t>
  </si>
  <si>
    <t>383, Ramnagar, Chinchwad, Pune.19. khopoli.</t>
  </si>
  <si>
    <t>Raigad</t>
  </si>
  <si>
    <t>Rakamathi, Nagpur.</t>
  </si>
  <si>
    <t>Nagpur</t>
  </si>
  <si>
    <t>In the shivar of Milthakurwadi village, Old Pune-Mumbai highway, Down the bridge Khalapur.</t>
  </si>
  <si>
    <t>150/2025</t>
  </si>
  <si>
    <t>Khopoli po. St.</t>
  </si>
  <si>
    <t xml:space="preserve">Police Station vist and Spot done/ Insured Done Non cooprative / Claimant Part / CS - Pending for Claimant KYC </t>
  </si>
  <si>
    <t>Krishna Bhima Bhalbar 9130734143</t>
  </si>
  <si>
    <t>R/O. Mungurwadi, Tal - Gadhinglaj, Dis - Kolhapur. 416503.</t>
  </si>
  <si>
    <t>Kolapur</t>
  </si>
  <si>
    <t>R/O. Koregaon, Massajog, Kaij, Beed. 431123.</t>
  </si>
  <si>
    <t>Beed</t>
  </si>
  <si>
    <t>On Kadegaon Road, In frount of Warna Bank, Gadhinglaj, Kolhapur.</t>
  </si>
  <si>
    <t>Kolhapur</t>
  </si>
  <si>
    <t>007/2024</t>
  </si>
  <si>
    <t>Gadhinglaj Po. St.</t>
  </si>
  <si>
    <t xml:space="preserve">CS /Insured Done Pending for Claimant Driver/ Spot </t>
  </si>
  <si>
    <t xml:space="preserve">
Required Complete chargesheet</t>
  </si>
  <si>
    <t>Durga Yogesh Totewad</t>
  </si>
  <si>
    <t>From Shankar Nagar towards Mukhed, Nr, Mahalali waterservicing, in Berali shivar, Mukhed, Nanded.</t>
  </si>
  <si>
    <t>33/2025</t>
  </si>
  <si>
    <t>MUkhed Po. ST.</t>
  </si>
  <si>
    <t xml:space="preserve">Pending for CS </t>
  </si>
  <si>
    <t>Gajanan Bapurao Janakwade 9511894731</t>
  </si>
  <si>
    <t>Vishranti Chowk, Jai-Bhavani Nagar, Mukundwadi Railway Station, Lane No. 09, Sambhajinagar.</t>
  </si>
  <si>
    <t>House No. 116, Tadhegaon, Dusrbid, Sindhkhedraja, Buldhana.</t>
  </si>
  <si>
    <t>Buldhana</t>
  </si>
  <si>
    <t>Dharamraj Namdev Gawai</t>
  </si>
  <si>
    <t>On Mill Corner to Baba petrol pump road, Infront of central Bus stand, Sambhajinagar.</t>
  </si>
  <si>
    <t>184/2024</t>
  </si>
  <si>
    <t>Kranti Chwok Po. St.</t>
  </si>
  <si>
    <t>Claimant/ SPot Pending for Driver, Insured and CS</t>
  </si>
  <si>
    <t>Sandita Tukaram Hud 9022498025</t>
  </si>
  <si>
    <t>Padali, Paithan, Sambhajinagar.</t>
  </si>
  <si>
    <t>Near Sudhagad Highschool, Kopara, kharghar, Panvel.</t>
  </si>
  <si>
    <t>Amit Dalvi</t>
  </si>
  <si>
    <t>Near RJ feed company, In front of Shinde vasti, Bidkin to Shekta road, Bidkin, Paithan, Sambhajinagar.</t>
  </si>
  <si>
    <t>277/2024</t>
  </si>
  <si>
    <t>Bidkin Po. St.</t>
  </si>
  <si>
    <t>Spot/ Claimant/ Insured and Driver Pending for CS</t>
  </si>
  <si>
    <t>Balkrishna Punjaram Jadhav 77385358585</t>
  </si>
  <si>
    <t>Plot No. 03, Maroti Nagar, Mayur Park, Harsul, Sambhajinagar.</t>
  </si>
  <si>
    <t>Umarkheda, Kannad, Sambhajinagar.</t>
  </si>
  <si>
    <t>Sachin Santosh Awasarmol</t>
  </si>
  <si>
    <t>On Sambhajinagar to Fhulambri road, Opp Sai Engineering colledge, Chauka Village, Sambahjinagar.</t>
  </si>
  <si>
    <t>52/2024</t>
  </si>
  <si>
    <t>Phulambri Po. St.</t>
  </si>
  <si>
    <t>Rohit  Ramchandra Giri</t>
  </si>
  <si>
    <t xml:space="preserve"> R/o. Ekondi Tq. Lohara Dist. Dharashiv</t>
  </si>
  <si>
    <t xml:space="preserve"> R/o. Shelu Tq. Ausa Dist. Latur</t>
  </si>
  <si>
    <t>Latur</t>
  </si>
  <si>
    <t xml:space="preserve"> on Latur to Omerga road infront of Sandhya Bar in village Narangwadi</t>
  </si>
  <si>
    <t>398/2025</t>
  </si>
  <si>
    <t>Omerga po.st</t>
  </si>
  <si>
    <t xml:space="preserve">Claimant / Insured  Pending for Driver/ Spot and CS </t>
  </si>
  <si>
    <t>Ashmira Tazmeen Shaikh Khaled</t>
  </si>
  <si>
    <t>Both at present - Sharda Nagar, Degloor, Tq.- Degloor, Dist.- Nanded.</t>
  </si>
  <si>
    <t>R/o:- Shivneri nager, Rampur road, Degloor, Tq.- Degloor, Dist.-Nanded.</t>
  </si>
  <si>
    <t xml:space="preserve">On Nanded, deglur , Maharashtra </t>
  </si>
  <si>
    <t>0153/2025</t>
  </si>
  <si>
    <t>Deglur PS</t>
  </si>
  <si>
    <t>Claimant / Insured/ Spot Driver Out of station Pending for CS</t>
  </si>
  <si>
    <t xml:space="preserve">Chagan Sudam Gawai </t>
  </si>
  <si>
    <t>residence Rajnagar, Mukundwadi, Aurangabad</t>
  </si>
  <si>
    <t>Karodi, post Ghanegaon Tal. Dist. Aurangabad Mo. 8888260678</t>
  </si>
  <si>
    <t xml:space="preserve">On Dhule Solapur highway, Tisgaon Choufuli,On the Bridge west side, Tisgaon, Sambhajinagar. </t>
  </si>
  <si>
    <t>0150/2025</t>
  </si>
  <si>
    <t>MIDC Valunj</t>
  </si>
  <si>
    <t>Claimant/ Insured /Spot / Pending for driver and CS</t>
  </si>
  <si>
    <t>Hospital &amp; Eyewitness Verification</t>
  </si>
  <si>
    <t>Ravindra Motiram Mistry</t>
  </si>
  <si>
    <t>Public place on the road opposite Someshwar Temple, Songir Dondaicha Road</t>
  </si>
  <si>
    <t xml:space="preserve">Hire medical Colleage and Hospital </t>
  </si>
  <si>
    <t>Dhule</t>
  </si>
  <si>
    <t>Eyewitness Dipak/chetan and Hospital visit done pending for Eyewithness Lotan and Hospital documents</t>
  </si>
  <si>
    <t xml:space="preserve">Police Station visit/ Eye witness recording </t>
  </si>
  <si>
    <t>Gajanan Laxman Gadekar</t>
  </si>
  <si>
    <t>Pokhari Post Sao, Taluka,Dist: Buldana443101</t>
  </si>
  <si>
    <t>Buldana</t>
  </si>
  <si>
    <t>R/O  Khadaki,Post-Rajur,Taluka-Motala,Dist:Buldana-443101</t>
  </si>
  <si>
    <t>At Samruddhi Mahamarg Chanel No 536, Pathare Shivar,Sinner,Dist Nashik 423605</t>
  </si>
  <si>
    <t>Vavi PS</t>
  </si>
  <si>
    <t>Rural Hospital Kopergaon</t>
  </si>
  <si>
    <t>For Claimant Part Only. (Connected)</t>
  </si>
  <si>
    <t>Shushmita  Vijay Sure</t>
  </si>
  <si>
    <t>R/O   At Narsingpur, Taluka Kannad and District Aurangabad</t>
  </si>
  <si>
    <t xml:space="preserve">Noor Mohammad Shaikh </t>
  </si>
  <si>
    <t xml:space="preserve">R/o. Near Jama Masjid , Athwadi  Bazar , Taluka Kannad, Dist. Aurangabad </t>
  </si>
  <si>
    <t xml:space="preserve">Kannad to Aurangabad Road, Near  Reliance Petrol Pump, Taluka Kannad, sambhaji Nagar </t>
  </si>
  <si>
    <t>0154/2023</t>
  </si>
  <si>
    <t>Kannad PS</t>
  </si>
  <si>
    <t>Aurangabad</t>
  </si>
  <si>
    <t xml:space="preserve">claimant Part  </t>
  </si>
  <si>
    <t>Kusumbai Ramesh Bobde</t>
  </si>
  <si>
    <t xml:space="preserve"> Pendapur, Tal. Gangapur, District Aurangabad</t>
  </si>
  <si>
    <t>R/O   Khadgaon Taluka Gangapur Dist Aurangabad.</t>
  </si>
  <si>
    <t>Pendapur to Dhoregaon road. Near Farm Group No. 8</t>
  </si>
  <si>
    <t>0484/2024</t>
  </si>
  <si>
    <t>Gangapur PS</t>
  </si>
  <si>
    <t>Claimant/ Insured/ Spot done/ Driver DL and KYC pending for CS - Required Completed CS to The Client</t>
  </si>
  <si>
    <t>Mira Devi  Anil Kumar</t>
  </si>
  <si>
    <t>Parsa Kalan, Post: Semrai, Dist. Siddharth Nagar [Utter Pradesh] At present, Mangal Murti Colony, Ranjangaon Shenpunji, Waluj MIDC Area Aurangabad</t>
  </si>
  <si>
    <t>Vedant Nagar, Shop No.11, Labh Chambers, Opp. Vishal Holidays Resort, Station Road, Aurangabad, Maharashtra</t>
  </si>
  <si>
    <t xml:space="preserve">On Chikalthana to Naregaon Road at Cambridge Chowk, Aurangabad
</t>
  </si>
  <si>
    <t>0660/2024</t>
  </si>
  <si>
    <t>MIDC-CIDCO PS</t>
  </si>
  <si>
    <t>Insured/ Spot/ Claimant Part Pending for Driver and CS</t>
  </si>
  <si>
    <t>Claimant Part Only. (Connected Case - 2024211383)</t>
  </si>
  <si>
    <t>Shivaji Dnyaneshwar Salunke</t>
  </si>
  <si>
    <t>Khawdya Dongar, Tisgaon, Taluka, Dist. Aurangabad.</t>
  </si>
  <si>
    <t>Atmaram Baburao Deshmukh  8767255980</t>
  </si>
  <si>
    <t>Raipur Dongaon Tal. Gangapur Dist. Aurangabad.</t>
  </si>
  <si>
    <t>On the service road of the Dhule-Solapur road, near the road leading to Mhada Colony.</t>
  </si>
  <si>
    <t xml:space="preserve">Claimant Check petition varun </t>
  </si>
  <si>
    <t xml:space="preserve"> Shashikalabai  Santu Tupe</t>
  </si>
  <si>
    <t>At Shevta, Wadod Bazar, Taq- Fulambri, Dist-Chatrapati Sambhajinagar.</t>
  </si>
  <si>
    <t>Ramdas Asaram Tathe,</t>
  </si>
  <si>
    <t>Georai, Taq- Sillod, Dist- Chhat. Sambhajinagar</t>
  </si>
  <si>
    <t>Shubham Waghule</t>
  </si>
  <si>
    <t>On Shevta to Aland road, near farm of Vishwanath Sandu Bedke</t>
  </si>
  <si>
    <t>0143/2024</t>
  </si>
  <si>
    <t>Wadod Bazar PS</t>
  </si>
  <si>
    <t>Navnath Raju Burkul</t>
  </si>
  <si>
    <t>R/O Takli Mali, Taluka, Dist. Aurangabad.</t>
  </si>
  <si>
    <t>R/O Dhutre Andhale Gali, Limbodi Tal. Ashti Dist. Beed.</t>
  </si>
  <si>
    <t xml:space="preserve"> Anna Vaijinath Mulekar</t>
  </si>
  <si>
    <t>On near the farms of Karmad Shivar, Aram Korde and Vitthal Korde on the road leading to the village.</t>
  </si>
  <si>
    <t>0451/2023</t>
  </si>
  <si>
    <t>Karmad Police Station</t>
  </si>
  <si>
    <t xml:space="preserve">Spot and CS / Claimant Pending for Insured and driver </t>
  </si>
  <si>
    <t>Bebi  Dattatraya Kathar</t>
  </si>
  <si>
    <t>R/O  4-34-154, Lane No.1, Behind Sadbhavna Ganesh Mandir, New Hanuman Nagar, Garkheda Parisar, Chhatrapati Sambhajinagar.</t>
  </si>
  <si>
    <t>Rohit  Dadarao Shirsath</t>
  </si>
  <si>
    <t>R/O Near Ambedkar Putala, Osmanpura, Chh.Sambhajinagar.</t>
  </si>
  <si>
    <t>Akshay  Baban Jadhav</t>
  </si>
  <si>
    <t>At Chetak Ghoda T-Point on public road.</t>
  </si>
  <si>
    <t>0307/2024</t>
  </si>
  <si>
    <t>Jawahar police station</t>
  </si>
  <si>
    <t>Approval</t>
  </si>
  <si>
    <t>Shivalila Basavaraj Jamadi</t>
  </si>
  <si>
    <t>R/o Sulerjawalage, Tq. Akkalkot, Dist. Solapur, in Limbi Chincholi, Tq. South Solapur-Valasang, Dist. Solapur.</t>
  </si>
  <si>
    <t>solapur</t>
  </si>
  <si>
    <t>Vishal Kumar Goutamchand  9845320803</t>
  </si>
  <si>
    <t>R/o 6-1-2877, Opp: Annadaneshwari Hospital, Adarsha Colony, Ward no. 16, Sindhanoor Road, Raichur - 584128</t>
  </si>
  <si>
    <t>Shivaraj  Prabhurao Bugge</t>
  </si>
  <si>
    <t xml:space="preserve">near Vrundavan Hotel, Solapur- Akkalkot Road, Valsang, Tq. Solapur </t>
  </si>
  <si>
    <t>364/2025</t>
  </si>
  <si>
    <t>Valsang Police Station</t>
  </si>
  <si>
    <t xml:space="preserve">Dr. V.M. Hospital and Medical college </t>
  </si>
  <si>
    <t>Rupali Vinod Divate</t>
  </si>
  <si>
    <t>R/O Plot No. 4, Arya Apartment Swastik Nagar, Behind Sukhada Hospital Dindori Road, Panchvati Nashik 422003</t>
  </si>
  <si>
    <t>R/O  Res. Bajrang Wadi, Vilholi Tal. Dist. Nashik</t>
  </si>
  <si>
    <t>Amritdham Tarwala Nagar Road, near Siddheshwar Nagar board,</t>
  </si>
  <si>
    <t>Panchavati Police Station</t>
  </si>
  <si>
    <t xml:space="preserve">Claimant / Spot Pending </t>
  </si>
  <si>
    <t>Dipali Pradeep Sonwane</t>
  </si>
  <si>
    <t>R/O Malhar Road, near Khandoba Temple, Tal. Satana, Dist. Nashik.</t>
  </si>
  <si>
    <t>R/O Mahalakshmi Row-House No.06, Murari Nagar, Kamthwade, Ambad Khurd, Nashik- 422010.</t>
  </si>
  <si>
    <t>Nahik</t>
  </si>
  <si>
    <t>Swapnil Misal</t>
  </si>
  <si>
    <t>On Satana to Taharabad Road, Aundane Shivarat, opposite Yashwant Nagar Bus Stop, near S. S. Motors</t>
  </si>
  <si>
    <t>0285/2025</t>
  </si>
  <si>
    <t>Satana Police Station</t>
  </si>
  <si>
    <t xml:space="preserve">Driver Part/ Insured </t>
  </si>
  <si>
    <t>Sangita Gajendra Katare</t>
  </si>
  <si>
    <t>M.P.O. Manegaon, Tal. Sinnar, Dist. Nashik- 422103</t>
  </si>
  <si>
    <t>Md. Dhulwad, Po. Pimple, Ramoshiwadi, Dapur, Sinnar, Tal. Sinnar, Dist. Nashik 422606</t>
  </si>
  <si>
    <t>Manegaon Shivarat, near Manegaon Bypass Bridge.</t>
  </si>
  <si>
    <t>0127/2025</t>
  </si>
  <si>
    <t>Sinnar Police Station</t>
  </si>
  <si>
    <t>Manisha Bandu Bankar</t>
  </si>
  <si>
    <t>R/O Anu No. 1st to 3rd. Shringarwadi, Paithan, Dist. Chhatrapati Sambhajinagar (Aurangabad)</t>
  </si>
  <si>
    <t>R/O Mu.Akhadwara, P.O. Rahatgaon
Tal. Paithan, Dist. Chhatrapati Sambhajinagar (Aurangabad) 431107</t>
  </si>
  <si>
    <t>On the Paithan to Pachod Road, near Sarthak Hotel, on the road</t>
  </si>
  <si>
    <t>0038/2025</t>
  </si>
  <si>
    <t>PAINTHAN POLICE STATION</t>
  </si>
  <si>
    <t>Claimant/ Insured Non cooprative/ driver - No DL / Spot Pending for CS</t>
  </si>
  <si>
    <t>Kiran Ramdas Borude 7218753697</t>
  </si>
  <si>
    <t>R/O Borudevasti, Kokangaon Taluka Karjat Dist. Ahilyanagar Pin 414401</t>
  </si>
  <si>
    <t>R/O Konkangaon to Karjat Dist. Ahilyanagar Pin No 414401</t>
  </si>
  <si>
    <t>Deepak Balasaheb Khedkar</t>
  </si>
  <si>
    <t>Mohsin Shaikh</t>
  </si>
  <si>
    <t>An accident took place on Nagar Solapur Road within the limits of Mirjagaon village and the said accident was registered at Mirjagaon Police Station</t>
  </si>
  <si>
    <t>0024/2025</t>
  </si>
  <si>
    <t xml:space="preserve"> Mirjagaon Police Station</t>
  </si>
  <si>
    <t>Shrigonda</t>
  </si>
  <si>
    <t>Ujjwala Gokuldas Datir  9370245943</t>
  </si>
  <si>
    <t>R/o Pimpri Lauki Tal. Sangamner
Dist. Ahilyanagar</t>
  </si>
  <si>
    <t xml:space="preserve"> R/O AT SHEVARI MALSHEVAGE SHEVARI CHALISGAON CHALISGAON</t>
  </si>
  <si>
    <t>Sakharam Laxman Agdale</t>
  </si>
  <si>
    <t>while going from Rahuri to Ahilyanagar, at Rahuri Khu., within the limits of Rahuri Police Station</t>
  </si>
  <si>
    <t>0106/2025</t>
  </si>
  <si>
    <t>Rahuri Police Station</t>
  </si>
  <si>
    <t>IR - Wiritng</t>
  </si>
  <si>
    <t>PRADIP BANDU BHAVAR  7558461502</t>
  </si>
  <si>
    <t>R/O Pandharipul, Khospuri Tal-Nagar, Dist-Ahmednagar Pin Code-414501.</t>
  </si>
  <si>
    <t xml:space="preserve">R/O Dawalwadi, Tal- Badnapur, Dist-Jalna, State-Maharashtra </t>
  </si>
  <si>
    <t>SHUBHAM BHAGYAWANT</t>
  </si>
  <si>
    <t xml:space="preserve">At Pandharipul Near Hotel Radheshyam, on Nagar-Aurangabad road, </t>
  </si>
  <si>
    <t>0037/2025</t>
  </si>
  <si>
    <t>Sonai Police station</t>
  </si>
  <si>
    <t>Not Filed</t>
  </si>
  <si>
    <t>Pranav Prakash Pund   9579435707</t>
  </si>
  <si>
    <t xml:space="preserve">R/O Pundwasti, Shingve Naik
h Nagar Distt. Ahilyanagar
</t>
  </si>
  <si>
    <t>R/O Ra Mu Gavthan Babhulgaon
Taluka Rahuri District Ahilyanagar</t>
  </si>
  <si>
    <t>Santosh Namdev Pawar</t>
  </si>
  <si>
    <t xml:space="preserve">On Ramwadi Shingve Road around An accident occurred near the temple </t>
  </si>
  <si>
    <t>0152/2025</t>
  </si>
  <si>
    <t>MIDC Police Station</t>
  </si>
  <si>
    <t>Alka Parasram Navale</t>
  </si>
  <si>
    <t>Bhende Khurd, Taluka Nevasa, Dist. Ahmednagar</t>
  </si>
  <si>
    <t>Near Chincholi, Tal. Nevasa, Dist. Ahmednagar</t>
  </si>
  <si>
    <t>An accident occurred on the road from Bhende Khurd to Ghodegaon near Maruti Mandir</t>
  </si>
  <si>
    <t>0859/2024</t>
  </si>
  <si>
    <t>Nevasa Police Station</t>
  </si>
  <si>
    <t>Ahamadnagar</t>
  </si>
  <si>
    <t>For Insured Part.</t>
  </si>
  <si>
    <t>R/O FL 12 SANKALP APAR
 PIPELINE ROAD SAVEDI AHMEDNAGAR
 AHMADNAGAR</t>
  </si>
  <si>
    <t>At near Rashmi Metaliks 3 no Gate</t>
  </si>
  <si>
    <t>For Claimant and Police Part</t>
  </si>
  <si>
    <t>Sandhya Mahadev Nerlekar, 9552008253</t>
  </si>
  <si>
    <t xml:space="preserve">Kokangaon, Tal. Shrigonda District Ahilyanagar </t>
  </si>
  <si>
    <t>An accident occurred near Sarke Vasti on Nhavra to Talegaon Dhamdhere Road.</t>
  </si>
  <si>
    <t>0203/2025</t>
  </si>
  <si>
    <t>Shirur Police Station</t>
  </si>
  <si>
    <t>TPPD Details Only (Connected Case - 2025212222)</t>
  </si>
  <si>
    <t>Satish Narayan Kale</t>
  </si>
  <si>
    <t>R/o  Kalevasti, Athagaon Shrigonda District Ahilyanagar</t>
  </si>
  <si>
    <t>Vinayak Damaniya Vasava</t>
  </si>
  <si>
    <t>Pending For Damage Photos</t>
  </si>
  <si>
    <t>Shiv Sena Gali Amar Nagar Darga Road, Behind Gurudwara, Mulund West Mumbai 400082</t>
  </si>
  <si>
    <t>Talai Akrani, Nandurbar, Maharashtra 425414</t>
  </si>
  <si>
    <t xml:space="preserve">Done </t>
  </si>
  <si>
    <t>Summons to police station &amp; witness</t>
  </si>
  <si>
    <t>Nahavra to Talegaon An accident occurred near Sarke Vasti on Dhamdhere Road.</t>
  </si>
  <si>
    <t>404/2020</t>
  </si>
  <si>
    <t>MukundWadi Police Station</t>
  </si>
  <si>
    <t>Hanuman Bhanudas Hiwale</t>
  </si>
  <si>
    <t xml:space="preserve">R/O AT Jaitapur Mohalla Pathri Tq.Pathri,Dist Parbhani </t>
  </si>
  <si>
    <t>R/o Post Pingli tq ,dist Parbhani .</t>
  </si>
  <si>
    <t>JawaLA ZURA PATRI ROAD AT,KHERDA PATI AREA TQ,PATRI,DIST-PARBHANI.</t>
  </si>
  <si>
    <t>0047/2025</t>
  </si>
  <si>
    <t xml:space="preserve">Pathri Police station </t>
  </si>
  <si>
    <t>Parbhani.</t>
  </si>
  <si>
    <t xml:space="preserve">Ganesh Taktiya Kale </t>
  </si>
  <si>
    <t>R/o Jawala Bazar Tq -Aundha.N Dist -Hingoli.</t>
  </si>
  <si>
    <t>Jawala Bazar Tq Aundha N, Dist Hingoli.</t>
  </si>
  <si>
    <t xml:space="preserve">On Hingoli to Aundh Road on Bridge Near,Hiwara Jatu Village </t>
  </si>
  <si>
    <t>0345/2025</t>
  </si>
  <si>
    <t>Aundh Naganth police Staion hingoli .</t>
  </si>
  <si>
    <t xml:space="preserve">Hingoli </t>
  </si>
  <si>
    <t>Durga Nagnath Panchal</t>
  </si>
  <si>
    <t>R/O Nandurghat Tq.Kej Dist.Beed</t>
  </si>
  <si>
    <t>Suhas Walke</t>
  </si>
  <si>
    <t>On Para to Nandurghat road in the vicinity of village Para near the cowshed of Sakharam Sontakke. Police station Washi Tq. Washi District Dharashiv</t>
  </si>
  <si>
    <t>0135/2025</t>
  </si>
  <si>
    <t xml:space="preserve">Vashi Police Station </t>
  </si>
  <si>
    <t xml:space="preserve">Dharashiv </t>
  </si>
  <si>
    <t>Ashutosh Ravindra Gaikwad 9921918748</t>
  </si>
  <si>
    <t>R/O Upla,m.Tq@,Dist-Dharashiv.</t>
  </si>
  <si>
    <t>Sawmi Samarth Road,Kadegaon Staion Tq-Daund Dist-Pune.</t>
  </si>
  <si>
    <t xml:space="preserve"> Ravindra Budhan baiga </t>
  </si>
  <si>
    <t>Nitin Mane</t>
  </si>
  <si>
    <t>ON Solapur to  pune National Highway Road in   vicinity of Villages Pates at Bhagwat Vasti in Front of Hotel Nisarga.</t>
  </si>
  <si>
    <t>0463/2025</t>
  </si>
  <si>
    <t xml:space="preserve">yavat police Station  </t>
  </si>
  <si>
    <t xml:space="preserve">pune </t>
  </si>
  <si>
    <t>For Claimant Part Only</t>
  </si>
  <si>
    <t xml:space="preserve">Amol Ganesh More </t>
  </si>
  <si>
    <t>R/o Nimora,tal-soyagav,dist-sambhajinager</t>
  </si>
  <si>
    <t>Kajgav,Tal,Bhadgav,Kajagv-Railway Pull,ROAD.</t>
  </si>
  <si>
    <t>For Claimant Part Only.</t>
  </si>
  <si>
    <t xml:space="preserve">Ganesh Kawde </t>
  </si>
  <si>
    <t>R/oEkurki Tq-Kallamb Dist-Osmanabad.</t>
  </si>
  <si>
    <t xml:space="preserve">Ghargaon Tq-Kallam Dist-Osmanabad </t>
  </si>
  <si>
    <t>On Kallamb to Latur State Highway NO.160 Road At Tadgaon Village Chowk.</t>
  </si>
  <si>
    <t>0063/2025</t>
  </si>
  <si>
    <t xml:space="preserve">shiradhon Police Staion </t>
  </si>
  <si>
    <t xml:space="preserve">Osamanaabad </t>
  </si>
  <si>
    <t xml:space="preserve">Dyananeshwar Savant </t>
  </si>
  <si>
    <t>R/o Bangav,TAL_Aanband,Dist-Jalna</t>
  </si>
  <si>
    <t>New Bhartnagar,Rajangav,Dist-Aaurangabad.</t>
  </si>
  <si>
    <t xml:space="preserve">Radharaman farmhouse </t>
  </si>
  <si>
    <t>00749/2025</t>
  </si>
  <si>
    <t>Aanband police station</t>
  </si>
  <si>
    <t>Vanita Ashok Berde</t>
  </si>
  <si>
    <t>R/o Chincholi Fata,tal-Rahuri,Dist-Ahmednagar</t>
  </si>
  <si>
    <t>R/o Gaikwad Mla,Muktidham Mandir backside,krushn mandir ,Nashik Road Tal-Dist-Nashik</t>
  </si>
  <si>
    <t>Talegaon to Loni Road ,GauGalGav Area,Hotel  SadhGuru or Gavrde Petrol pump,Yashwant Dengle, farmside.</t>
  </si>
  <si>
    <t>640/ 2023</t>
  </si>
  <si>
    <t>Loni Police Station</t>
  </si>
  <si>
    <t xml:space="preserve">Sagar Ashok Nikam </t>
  </si>
  <si>
    <t>R/oBelPiplegav Tal-Nevasa D-Ahilyanagar</t>
  </si>
  <si>
    <t>RA,Samarthnagar,masjid,ashoknagar , Shrirampur,Ahilyanagar.</t>
  </si>
  <si>
    <t>Manun Hasan Abas Shaikh</t>
  </si>
  <si>
    <t>Haregaon,Shrirampur,Roaqd Teenvdi ,Haregav,SHrirampur</t>
  </si>
  <si>
    <t>00293/2025</t>
  </si>
  <si>
    <t>Shrirampur tal police sta.</t>
  </si>
  <si>
    <t>AhilyaNagar</t>
  </si>
  <si>
    <t xml:space="preserve">Rajaram Dinkar Suryawanshi </t>
  </si>
  <si>
    <t xml:space="preserve">RA,Devla,Tal-Devla,Dist-Nashik </t>
  </si>
  <si>
    <t>RA,Nivane,Tal,Kalwan,Dist,Nashik</t>
  </si>
  <si>
    <t>Vajgav to Matane Devla Road .</t>
  </si>
  <si>
    <t>0010/2024</t>
  </si>
  <si>
    <t>Devla Police St.</t>
  </si>
  <si>
    <t xml:space="preserve">vishal Gangadhar Zagade </t>
  </si>
  <si>
    <t xml:space="preserve">R/o bela -Nagpur </t>
  </si>
  <si>
    <t>Bajaj Nagar,Chowk,Behind,Akurdi Bajaj Nagar ,Nagpur.</t>
  </si>
  <si>
    <t>At Dhawlpeth Road ,Near Goyal Company ,Ps-bori Dist-nagpur .</t>
  </si>
  <si>
    <t>0492/2025</t>
  </si>
  <si>
    <t>Bori,Nagpur Police St</t>
  </si>
  <si>
    <t xml:space="preserve">Nagpur </t>
  </si>
  <si>
    <t xml:space="preserve">Uttam Keshav Sarude </t>
  </si>
  <si>
    <t>DhanGarwadi,KhamGav,Tal-Nevsa,Dist-Ahmadnagar</t>
  </si>
  <si>
    <t>R/o Bharsawada,Tal-,Dist-Parbhani.</t>
  </si>
  <si>
    <t>ShevGav-Nevasa Road,Sub-Station.</t>
  </si>
  <si>
    <t>0440/2025</t>
  </si>
  <si>
    <t>ShevGav,Police Station.</t>
  </si>
  <si>
    <t xml:space="preserve">Insured Part completed </t>
  </si>
  <si>
    <t>Pratham Tarun Bhenwal</t>
  </si>
  <si>
    <t xml:space="preserve">At R/at: Room no. 37/116, near Building no. 32, RCF T-3,Gate, Gandhi nagar, Chembur colony, Chembur, Mumbai, ]
Maharashtra 400074 </t>
  </si>
  <si>
    <t>328, Near Hanuman Temple, A/P Top, Tal- Hatkanangale, Dist- Kolhapur, TOP, Maharashtra 416122 / 1st floor, Shankar Dhangat Building, Vadgaon Budruk, Ghule Ngr, Happy Colony, Nr Newase clinic, Pune.</t>
  </si>
  <si>
    <t>Amol  Keshav Jadhav 7350716038</t>
  </si>
  <si>
    <t>Rajeev Sharma</t>
  </si>
  <si>
    <t>Near Sampada Highway,Bridge Signal,Navi Mum</t>
  </si>
  <si>
    <t>0529/2025</t>
  </si>
  <si>
    <t>Apmc Police Station</t>
  </si>
  <si>
    <t>Navi-Mumbai</t>
  </si>
  <si>
    <t xml:space="preserve">Spot/ Claimant/ Hospital / Insured Driver Non trcabel Pending for  CS , RC and DL extract </t>
  </si>
  <si>
    <t xml:space="preserve">
Required complete chargesheet.</t>
  </si>
  <si>
    <t>856/2023</t>
  </si>
  <si>
    <t>Waluj MIDC Po. ST.</t>
  </si>
  <si>
    <t>Sulochana Chandrakant Kamble7820964203</t>
  </si>
  <si>
    <t>R/o Ekurka,Tq-Kallamb,Dist-Dharashiv.</t>
  </si>
  <si>
    <t>R/oSr No.113/4Flat No.1Onkar Colony,Ground Floor,WalherKarWadi,Chinchwad,pune 411033.</t>
  </si>
  <si>
    <t>On Dhokri To Kallamb Road,400Ft Away Towards North Side From Deoldhanora pati.</t>
  </si>
  <si>
    <t>0168/2025</t>
  </si>
  <si>
    <t>Shirodhan police Station Tq-Kallamb dist-Dharashiv.</t>
  </si>
  <si>
    <t>Dharashiv.</t>
  </si>
  <si>
    <t>Reassessment</t>
  </si>
  <si>
    <t>Manik Laxman Andhale</t>
  </si>
  <si>
    <t>village- Limbodi, Devinimgaon,) Tal- Ashti, Dist- Beed-414 202.</t>
  </si>
  <si>
    <t>at- LIG bldg. no. 32, Tenament 63,) Opp: Bulid 20, sector- 10, Nerul, C Navi Mumbai -400 705.</t>
  </si>
  <si>
    <t>Pravinkumar Prabhakar Uikey</t>
  </si>
  <si>
    <t>R/oPadas Gaon ,Raka,Tah,Sadak Arjun D-Gondiya, Nagpur.</t>
  </si>
  <si>
    <t>Sawngi Tah.Sadak Arjuni D-Gondiya.441807.</t>
  </si>
  <si>
    <t>Gondiya</t>
  </si>
  <si>
    <t>Gondiya Nagpur</t>
  </si>
  <si>
    <t>SayYad Irfan</t>
  </si>
  <si>
    <t>R/o Kamptee,Nagpur.</t>
  </si>
  <si>
    <t>R/o 24, Gandhi Nagar Bhaji Mandi Kamptee, Tah. Kamptee Distt. Nagpur, 441002</t>
  </si>
  <si>
    <t>Manohar Sonba Naik.</t>
  </si>
  <si>
    <t>R/o Sadegaon Tq-,D-Parbhani.</t>
  </si>
  <si>
    <t>Thakkar Corporation, 317,6th floor, cross road, Kamathi Nagar, Thimmasa Muthiram White gate, Kachipuram, State-Tamilnadu-631501 Dist.</t>
  </si>
  <si>
    <t>Yusuf Babasaheb Pahadwale.</t>
  </si>
  <si>
    <t>R/oChilwantwadi,Tq-Nilanga,D-Latur.</t>
  </si>
  <si>
    <t>AD-Chilwantwadi to Nilanga,Dist-Latur.</t>
  </si>
  <si>
    <t>Offline</t>
  </si>
  <si>
    <t>Golegav Shivhar Petrolpump Area.</t>
  </si>
  <si>
    <t>061/2015</t>
  </si>
  <si>
    <t>Washi Police Station.</t>
  </si>
  <si>
    <t xml:space="preserve">Rahim Alludin Shaikh </t>
  </si>
  <si>
    <t>R/o Mahalanga ,Tq-Chakur,Latur.</t>
  </si>
  <si>
    <t>AD-New Kazi  Mohalla,Labour Colony,Latur.</t>
  </si>
  <si>
    <t>Umerkhed to Mahagav Road,Chilli Ghat Mod.</t>
  </si>
  <si>
    <t>029/2015</t>
  </si>
  <si>
    <t>Umerkhed Police Station.</t>
  </si>
  <si>
    <t>8536 A 11 LOKMANGAL HOUSE MU, MU MURARJI PETH NEAR OLD POONA, NAKA SOLAPUR MAHARASHTRA, SOLAPUR.</t>
  </si>
  <si>
    <t>Connected Case - 2673</t>
  </si>
  <si>
    <t>Om Pankaj Shelar</t>
  </si>
  <si>
    <t>Tal-Wai -japur,Dist-Sambhajinagar.</t>
  </si>
  <si>
    <t>Ajinakya Mitra Mandal,Balaji Nagar Pune City,Pune.</t>
  </si>
  <si>
    <t>Pune to Ahilyanagar Road ,Chass Village Area,Bharat Petrolpump,Ahilyanagar.</t>
  </si>
  <si>
    <t>Claimant Part</t>
  </si>
  <si>
    <t xml:space="preserve">Rupali Pankaj Shelar </t>
  </si>
  <si>
    <t>Claimant Part / Insured part</t>
  </si>
  <si>
    <t>PANKAJ SHIVAJI SHELAR</t>
  </si>
  <si>
    <t>0668/2025</t>
  </si>
  <si>
    <t>Ahilyanagar Police Station.</t>
  </si>
  <si>
    <t xml:space="preserve">Claimant Part/ Insured Visit/ Chargesheet </t>
  </si>
  <si>
    <t>Mumtaj Siraj Khan/7720958576</t>
  </si>
  <si>
    <t>R/o Yasin nagar,Harsul Tq-,Dist-Aurangabad.</t>
  </si>
  <si>
    <t>R/o Gayatrinagar Jalna ,Tq-Dist- Jalna</t>
  </si>
  <si>
    <t>Prashant Jejurkar</t>
  </si>
  <si>
    <t xml:space="preserve">Bhokardan to Jalna Road Near Palas Kheda Village,in the Jusrisdiction of </t>
  </si>
  <si>
    <t>0252/2024</t>
  </si>
  <si>
    <t xml:space="preserve">Hasnabad Police Station </t>
  </si>
  <si>
    <t xml:space="preserve">Jalna </t>
  </si>
  <si>
    <t xml:space="preserve">Insured Visit </t>
  </si>
  <si>
    <t>Shikh Nizam Shikh Kalu</t>
  </si>
  <si>
    <t>R/o Lala Sardar Nagar,AlAM HighSchool,Devpur Dhule,Tal-Dist-Dhule.</t>
  </si>
  <si>
    <t>R/o 48,Husnain masid Area,Vittbhati,GulabHajinagar,Devpur,Dhule ,Tal-Dist-Dhule.</t>
  </si>
  <si>
    <t>Stadium Area Devpur ,Dhule.</t>
  </si>
  <si>
    <t>0148/2024</t>
  </si>
  <si>
    <t>Dev pur Police Station .</t>
  </si>
  <si>
    <t>Dhule.</t>
  </si>
  <si>
    <t>Claimant Part Pending for Insured /Driver/ Spot and CS</t>
  </si>
  <si>
    <t>Puja Nitin Desai</t>
  </si>
  <si>
    <t>R/o Kari.Tq-,Dist-Dharashiv.</t>
  </si>
  <si>
    <t>Shubham Vitthal kothawale</t>
  </si>
  <si>
    <t>R/o Pipalgav (k) Tq,Kallamb,Dist-Dharashiv.</t>
  </si>
  <si>
    <t>Latur Road to Gharni Road In Vicinty of Village Gharni Tq Chakur by Side of Naira Petrol Pump.</t>
  </si>
  <si>
    <t>0143/2025</t>
  </si>
  <si>
    <t xml:space="preserve">Chakur Police Station </t>
  </si>
  <si>
    <t>Latur.</t>
  </si>
  <si>
    <t>Ashok Ramji Puyad</t>
  </si>
  <si>
    <t>R/O Punegaon, Tq. Mudkhed, Dist. Nanded-430806</t>
  </si>
  <si>
    <t>R/O  Shahu Nagar, HUDCO, New Nanded-431603</t>
  </si>
  <si>
    <t>on road from Bhayegaon towards Bhayegaon Board, at Parsewar Godown, Bhayegaon, Tq. &amp; Dist. Nanded</t>
  </si>
  <si>
    <t>0957/2024</t>
  </si>
  <si>
    <t>Nanded Police Station</t>
  </si>
  <si>
    <t>Supriya Prakash Dabade  9579736143</t>
  </si>
  <si>
    <t>R/o.Bhim Nagar, Mahatpuri Tq.Gangakhed
Dist Parbhani.</t>
  </si>
  <si>
    <t>parbhani</t>
  </si>
  <si>
    <t>R/O Mardasgaon Tq.Pathri Dist. Parbhani,</t>
  </si>
  <si>
    <t>On Gangakhed to Parbhani Road.</t>
  </si>
  <si>
    <t>0304/2022</t>
  </si>
  <si>
    <t>Daithana Police Station</t>
  </si>
  <si>
    <t>Connected Pending</t>
  </si>
  <si>
    <t>Claimant Part Only. (Connected Case - 2025212721)</t>
  </si>
  <si>
    <t>Machhindra alias Machhindranath Sudam Gite    9527883302</t>
  </si>
  <si>
    <t>R/o  Kadgaon, Po. Miri, Pathardi,applicant. Dist. Ahilyanagar</t>
  </si>
  <si>
    <t>0201/2025</t>
  </si>
  <si>
    <t>Pathardi Police Station</t>
  </si>
  <si>
    <t>Narayan Keshav Palave</t>
  </si>
  <si>
    <t>Kadgaon, Miri, Pathardi, Ahilyanagar.</t>
  </si>
  <si>
    <t>R/o Plot No. 203, Group No. 6, Bakwalnagar, Naigaon, h Gangapur, Dist. Ch. Sambhajinagar Pin- 431133</t>
  </si>
  <si>
    <t>Muktar Noor Syed   9764345112</t>
  </si>
  <si>
    <t>R/o ardeshi Gali, Vaijapur, Tal. Vaijapur Dist. Ch. Sambhajinagar Pin-431001.</t>
  </si>
  <si>
    <t>On Old closed canteen in front of the church on the road from Pandhari Pul to Miri</t>
  </si>
  <si>
    <t>Mashnaji  Kamaji Gajale,</t>
  </si>
  <si>
    <t>R/o. Borgaon Thadi Tq Biloli Dist. Nanded</t>
  </si>
  <si>
    <t>R/o. 9-5-714, Khandari Building, Khusro Nagar,</t>
  </si>
  <si>
    <t>On near adampur to kerur ghat</t>
  </si>
  <si>
    <t>0304/2024</t>
  </si>
  <si>
    <t>Ramtirth Police Station</t>
  </si>
  <si>
    <t>Meghabai Madhav Jadhav</t>
  </si>
  <si>
    <t>R/O Marshivni Tal. Kandhar Dist. Nanded</t>
  </si>
  <si>
    <t>R/o Kandharewadi Po. Panshewadi Tal. Kandhar Dist. Nanded</t>
  </si>
  <si>
    <t>In front of the house of Chandrakant P. Shankar Manganale in Kandharewadi.</t>
  </si>
  <si>
    <t>0036/2023</t>
  </si>
  <si>
    <t>Kandhar Police Station</t>
  </si>
  <si>
    <t>Chandu  Pundalik Jogadand 7972605784</t>
  </si>
  <si>
    <t>R/O Samta Nagar, New Abadi Aradhapur, Tq.- Aradhapur, Dist.- Nanded</t>
  </si>
  <si>
    <t>R/o  Risala Bazar, Near Badi Masjid, Hingoli Tq. &amp; Dis. Hingoli</t>
  </si>
  <si>
    <t>on Kasarkheda Malegaon road, Near Dor pati</t>
  </si>
  <si>
    <t>0661/2024</t>
  </si>
  <si>
    <t>Ardhapur Police Station</t>
  </si>
  <si>
    <t>Archana  Vishwanath Tadkole</t>
  </si>
  <si>
    <t>R/o Khanapur, Tq. Degloor, Dist.Nanded.</t>
  </si>
  <si>
    <t>R/o At Post Atkali, Tq. Biloli</t>
  </si>
  <si>
    <t>Shivhar Deshmukh</t>
  </si>
  <si>
    <t>Road, Khanapur Fata, at open space, infront of " Manjulabai Sankul ", Khanapur Tq.Degloor.</t>
  </si>
  <si>
    <t>Degloor Police Station</t>
  </si>
  <si>
    <t>Shila  Vyankat  Wade</t>
  </si>
  <si>
    <t>R/o Degaon, Tq. Naigaon(Kh), Dist. Nanded</t>
  </si>
  <si>
    <t xml:space="preserve"> R/o  Mokasdara, Tq. Naigaon(Kh), Dist. Nanded. 431709</t>
  </si>
  <si>
    <t>Nanded to Narsi Road, Near Aparma Hotel Narsi Tq. Naigaon(Kh), Dist. Nanded.</t>
  </si>
  <si>
    <t>0138/2025</t>
  </si>
  <si>
    <t xml:space="preserve">Devidas Vitthalrao Zinzade  </t>
  </si>
  <si>
    <t>R/o. Aniket Nagar, Malegaon road. Taroda
(Kh) Tq. &amp;, Dist. Nanded.</t>
  </si>
  <si>
    <t xml:space="preserve"> R/o  Degaon, tq. Purna, Distt. Parbhani</t>
  </si>
  <si>
    <t>Near Limbgaon Bus stand, at. Limbgaon, tq. &amp; Dist. Nanded.</t>
  </si>
  <si>
    <t>0157/2024</t>
  </si>
  <si>
    <t xml:space="preserve"> Limbgaon Police Station</t>
  </si>
  <si>
    <t>Sindhutai  Kailasrao Deshmukh</t>
  </si>
  <si>
    <t>R/o Talni, Post Talni, Tq. Hadgaon, District - Nanded</t>
  </si>
  <si>
    <t>R/o Talni, Post Talni, Tq. Hadgaon, District - Nanded.</t>
  </si>
  <si>
    <t>In the vicinity of Govt. Hospital Vishnupuri Nanded, near the Flyover bridge road.</t>
  </si>
  <si>
    <t>0052/2025</t>
  </si>
  <si>
    <t>Mrs. Tammu Spouse Sr. Devkaran Gurjar</t>
  </si>
  <si>
    <t>R/o Colony, Idgarh Road, Digalur Naka Nanded Road, Nanded (Maharashtra) 431604</t>
  </si>
  <si>
    <t>Near Khadegaon on Parmani Road in the border area of ​​Basmat Rural District Hingoli</t>
  </si>
  <si>
    <t>264/2021</t>
  </si>
  <si>
    <t>Hingoli Police Station</t>
  </si>
  <si>
    <t>Connected - 2025206806</t>
  </si>
  <si>
    <t>Subhas Govindrav Pavar  .8087423180</t>
  </si>
  <si>
    <t>R/o.Pokharni Tq. Dist. Parbhani</t>
  </si>
  <si>
    <t>In vicinity of Hatkarwadi T Point, on Parbhani to Sonpeth Road.</t>
  </si>
  <si>
    <t>0412/2023</t>
  </si>
  <si>
    <t>Manwat Police Station</t>
  </si>
  <si>
    <t>Balasaheb Yallapa Dhotre</t>
  </si>
  <si>
    <t>Rukminbai  Balu Dhotare</t>
  </si>
  <si>
    <t>R/o. Pokharni (N) Tq. Dist. Parbhani.</t>
  </si>
  <si>
    <t xml:space="preserve"> R/o. Shantiniketan Colony, Gangakhed Road, Parbhani Tq.Dist. Parbhani</t>
  </si>
  <si>
    <t xml:space="preserve">Claimant Part/ Insured Visit/ Driver/ Spot pending  for Chargesheet </t>
  </si>
  <si>
    <t>Connected 2025201788</t>
  </si>
  <si>
    <t>Aasma Begum  Shaikh Ateeq Bagwan</t>
  </si>
  <si>
    <t>R/o. Umar Colony, Deglur Naka, Nanded.</t>
  </si>
  <si>
    <t>At Nanded Narsi highway near Army Camp,
Kakandi, Tq &amp; Dist.</t>
  </si>
  <si>
    <t>0263/2024</t>
  </si>
  <si>
    <t>Mohan  Munjaji Kadam</t>
  </si>
  <si>
    <t>R/o. Pangri Tq. Ardhpur Dist. Nanded.</t>
  </si>
  <si>
    <t xml:space="preserve"> Ayodhya Building, 1st Floor, 119, Near Bajaj Nagar Chowk, Behind Akruti Furniture, Bajaj Nagar, Nagpur- 440010.</t>
  </si>
  <si>
    <t>Vidul Tq. Umarkhed to Zadgaon.</t>
  </si>
  <si>
    <t>0034/2024</t>
  </si>
  <si>
    <t>Police station Umarkhed</t>
  </si>
  <si>
    <t>Umarkhed</t>
  </si>
  <si>
    <t>For Driver Part.</t>
  </si>
  <si>
    <t>Sangram  Shriram Kumate</t>
  </si>
  <si>
    <t xml:space="preserve"> R/o. Pangri Tq. Ardhpur Dist. Nanded.</t>
  </si>
  <si>
    <t>Manpreet Kaur Jagdeep Singh Sardar.</t>
  </si>
  <si>
    <t>R/o. Nandigram Society, Beside Water Tank, Nanded.</t>
  </si>
  <si>
    <t>Near Hotel Shivakrupa, Kacharewadi, on Sangola - Mangalweda Road.</t>
  </si>
  <si>
    <t>986/2022</t>
  </si>
  <si>
    <t>Mangalweda Police Station</t>
  </si>
  <si>
    <t>Tejswini Ramdas Salve</t>
  </si>
  <si>
    <t>R/o Pudli Derya,Tal-Parhir,Dist-Ahilyanagar.</t>
  </si>
  <si>
    <t>R/o Mandigav Tal-daund,Dist-Pune.</t>
  </si>
  <si>
    <t>Nagpur to Mumbai Sumruddhi Mahamarg Road.</t>
  </si>
  <si>
    <t>0316/2025</t>
  </si>
  <si>
    <t>Karaja police Station,D-Vashi</t>
  </si>
  <si>
    <t>Vashi.</t>
  </si>
  <si>
    <t>Kalim Nanhu Shaikh</t>
  </si>
  <si>
    <t>R/o Daafawadi ,tq,D-Parbhani.</t>
  </si>
  <si>
    <t>Near Usufiya Masjid Yusuf Colony,Parbhani .</t>
  </si>
  <si>
    <t>Dhanora Satalu-Kopre AhamadNagar Road,Near VillageDnnura Pati@Within the Justisdiction of Village Kingaon.</t>
  </si>
  <si>
    <t>092/2025</t>
  </si>
  <si>
    <t>Kinggaon Police Station D-Latur.</t>
  </si>
  <si>
    <t xml:space="preserve">Mr,Suresh Shivaji Kadam </t>
  </si>
  <si>
    <t>At-Vadval,Post-Dogvat,Tal-Khalapur,D-Raigad.</t>
  </si>
  <si>
    <t>A1/32,Runwal Nagar Kolbad, Thane. 400601.</t>
  </si>
  <si>
    <t>Thane</t>
  </si>
  <si>
    <t xml:space="preserve">Santosh Shinde </t>
  </si>
  <si>
    <t xml:space="preserve">Lonavala Gramin Police Station Pune </t>
  </si>
  <si>
    <t>0308/2024</t>
  </si>
  <si>
    <t xml:space="preserve">Lonavala Police Station </t>
  </si>
  <si>
    <t>Pune .Gramin.</t>
  </si>
  <si>
    <t>Insured Non Cooprative Pending for Claimant / Driver/ Spot / Chargesheet</t>
  </si>
  <si>
    <t>Ashok Kumar Singh</t>
  </si>
  <si>
    <t>R/o PatelNagar GhataBilodi  Dist -Dhar.</t>
  </si>
  <si>
    <t>Dhar</t>
  </si>
  <si>
    <t>CORPORATE OFFICE :- Opp. 106th Milestone, CTS 2220, Mumbai-Pune Road, Kasarwadi, Pune MH 411034 IN Fax: 68138402 Tel : .91(0)20-68138555 , 020-27145595</t>
  </si>
  <si>
    <t>Kadampura Thana manpur Tal-Manu Dist-Dhar.</t>
  </si>
  <si>
    <t xml:space="preserve">Dhar </t>
  </si>
  <si>
    <t>Udli Balaji Nagar,Chauhan,Sagor Tal-D-Dhar.</t>
  </si>
  <si>
    <t>065/2024</t>
  </si>
  <si>
    <t>Sagor police Station.</t>
  </si>
  <si>
    <t>Dhar.</t>
  </si>
  <si>
    <t>WC Claim</t>
  </si>
  <si>
    <t>Workman Compentetion</t>
  </si>
  <si>
    <t>AD-Royal HeriTage Sector,13 plot No,106 Spine Road, Pune.</t>
  </si>
  <si>
    <t xml:space="preserve">Aniket Subhash Bhardwaj </t>
  </si>
  <si>
    <t>R/o ROOM N,01 Dj 05 Chawal,Near LokprisenSabeGaon ,Diva-Thane.</t>
  </si>
  <si>
    <t>R/o Room n.1104,11th floor,Imperial Tower,A2 Bldg Nirmal Nagar , Thane.</t>
  </si>
  <si>
    <t>Shil-Diaghar Thane City</t>
  </si>
  <si>
    <t>018/2025</t>
  </si>
  <si>
    <t>Diaghar police Station.</t>
  </si>
  <si>
    <t xml:space="preserve">Thane </t>
  </si>
  <si>
    <t>Claimant and Insured Part Done - During the verification, it was found that the insured has shifted from the another location. When we asked  for the contact number and new address of the insured, he refused to share any information.    Peding for Driver / SPot Hospital and CS</t>
  </si>
  <si>
    <t>Virendra Harkhu Pandit</t>
  </si>
  <si>
    <t>R/o  A302, Shweta Appartment, 3rd Floor, Golavli Gaon Marathi School Dombivli east, Kalyan, Thane, Maharashtra 421203</t>
  </si>
  <si>
    <t>Plot No. At Nevali PO Mangrul, Kalyan,
Ambernath, Maharashtra 421301</t>
  </si>
  <si>
    <t xml:space="preserve"> Kalyan Shilphata Road, Viko naka, Dombivli</t>
  </si>
  <si>
    <t>1105/2024</t>
  </si>
  <si>
    <t>Manpada Police Station</t>
  </si>
  <si>
    <t>2748311 Connectd</t>
  </si>
  <si>
    <t>Gorakhnath Pappu Yadav</t>
  </si>
  <si>
    <t>R/o ,308/ 'B' Wing, Nav Arunodaya
Near to Padmaja Hospital, Bhayander (E)</t>
  </si>
  <si>
    <t>R/o Shafna Logistic, Plot No. 100, Mahadev Nagar Tabular Pensama At Post Chalthan, Baroli - 394305</t>
  </si>
  <si>
    <t>On western Express Highway near to Gokul Anand Hotal, Dahisar, Mumbai.</t>
  </si>
  <si>
    <t>0892/2025</t>
  </si>
  <si>
    <t>Dahisar Police Station</t>
  </si>
  <si>
    <t>claimant Part Pending for Spot and CS</t>
  </si>
  <si>
    <t>Ramesh Rambali Yadav   9619370663</t>
  </si>
  <si>
    <t>Vira Ram ji Vaga ram ji</t>
  </si>
  <si>
    <t>R/o  B-10, Parle Colony, Behind Kishore Punjab Hotel, Sahar Road, Vile parle (east) Mumbai - 400057</t>
  </si>
  <si>
    <t>R/o ADJ To Room No.2703, Shop No.02}
Chawl 170, Group 8A, Tagore Nagar, Vikharoli (East) Mumbai - 400083</t>
  </si>
  <si>
    <t>On B.K.C Road, Kanakia Paris Building
Bandra (east) Mumbai.</t>
  </si>
  <si>
    <t>0326/2025</t>
  </si>
  <si>
    <t>Kherwadi Police Station</t>
  </si>
  <si>
    <t>Claimant / Spot/ Insured Non cooprative  pending for Driver and CS</t>
  </si>
  <si>
    <t>Balaji Puna Rathod</t>
  </si>
  <si>
    <t xml:space="preserve">R/o Sangvi Tanda Tq. Ahemadpur, At present Near Hanuman Mandir, Ring Road, 5 No. Chowk, Latur, Tq. &amp; Dist. Latur.
</t>
  </si>
  <si>
    <t xml:space="preserve"> R/o FattunaikTanda Banvas, Tq. Pallam Dist. Parbhani.</t>
  </si>
  <si>
    <t>On the Premises of siddhi sugar factory ujana tq.Ahemadpur, Dist.Latur</t>
  </si>
  <si>
    <t>0072/2023</t>
  </si>
  <si>
    <t>Kingaon Police Station</t>
  </si>
  <si>
    <t>Required Permit extract from RTO</t>
  </si>
  <si>
    <t>Procure complete charge sheet</t>
  </si>
  <si>
    <t>360/2021</t>
  </si>
  <si>
    <t>Kiran Jalindar Hake  8975734999</t>
  </si>
  <si>
    <t>R/o Yeshwandi, Tal. Washi, Distt. Dharashiv</t>
  </si>
  <si>
    <t>R/o  Pargaon, Tq. Washi Dist. Dharashiv</t>
  </si>
  <si>
    <t xml:space="preserve">on Bhoom-Pardi Road near the mil stone No. 118/9, near the field of Vipul Talekar &amp; Tanaji Kshirsagar </t>
  </si>
  <si>
    <t>0101/2024</t>
  </si>
  <si>
    <t>Bhoom Police Station</t>
  </si>
  <si>
    <t>Usmanabad</t>
  </si>
  <si>
    <t>Asaram  Keshav Zade   9921467451</t>
  </si>
  <si>
    <t>R/o Khudaj, Tq. Sengaon, District-Hingoli.</t>
  </si>
  <si>
    <t>R/o Kanhergaon Naka, Tq. &amp; District - Hingoli</t>
  </si>
  <si>
    <t>0214/2025</t>
  </si>
  <si>
    <t>Sengoan Police Station</t>
  </si>
  <si>
    <t>Kiranbai  Rajusingh Varnekar (Pardeshi)   912744313</t>
  </si>
  <si>
    <t>R/o Dhobi Galli, Gadipura, Nanded, Tq. Dist. Nanded.</t>
  </si>
  <si>
    <t>R/o Ekdara. Tq. Dist. Nanded.</t>
  </si>
  <si>
    <t>At Malegaon Ekdara to Kanchan Nagar Road, Near Ekdara. Tq. Dist. Nanded</t>
  </si>
  <si>
    <t>0005/2025</t>
  </si>
  <si>
    <t>Bhagyanagar Police Station</t>
  </si>
  <si>
    <t>Shaheen Musa Pinjari   7499137104</t>
  </si>
  <si>
    <t>R/o Dongaon(Bu) Tq. Biloli, Dist. Nanded.</t>
  </si>
  <si>
    <t>R/o Gajanan Nagar, Naigaon Tq. Naigaon (Kh), Dist. Nanded. - 431709.</t>
  </si>
  <si>
    <t>On Nanded to Naigaon Road, Opposite Degaon Shivar Khalsa Dhaba, near Sainath batamwar's farm Naigaon(Kh), Dist. Nanded.</t>
  </si>
  <si>
    <t>0194/2025</t>
  </si>
  <si>
    <t>Police Station Kuntur</t>
  </si>
  <si>
    <t>Sarika Pritam Wadmare</t>
  </si>
  <si>
    <t>R/o Kagadi Ves, Boudha Nagar, Beed, Tq.and Dist.Beed</t>
  </si>
  <si>
    <t>R/o Qilla Maidan, Balbhim Chowk, Beed, Tq.and Dist.Beed</t>
  </si>
  <si>
    <t>on National Highway No.52, in the vicinity of village Manjarsumba</t>
  </si>
  <si>
    <t>76/2025</t>
  </si>
  <si>
    <t>Police Station Neknoor</t>
  </si>
  <si>
    <t>Medical Verification</t>
  </si>
  <si>
    <t>Dinkar Nivruti Bhegade</t>
  </si>
  <si>
    <t>Hospital Name =Pawana Hospital               Somatane Phata , Tq,Maval ,Pune 410506</t>
  </si>
  <si>
    <t>Lalusingh Bahadursingh Chitodiya 9823133268</t>
  </si>
  <si>
    <t>R/o Asadwan, Nanded.</t>
  </si>
  <si>
    <t xml:space="preserve"> R/o Sr.No.89/90, A 165, Sairang Shrushti, Punawale Road, Jambe, Pune - 411 033.</t>
  </si>
  <si>
    <t>YES</t>
  </si>
  <si>
    <t>on road adjacent to I.G. Office, Kautha, Gurudwara Vaishnavi Mata on Kautha road</t>
  </si>
  <si>
    <t>0453/2025</t>
  </si>
  <si>
    <t>0041/2017</t>
  </si>
  <si>
    <t>Kamshet Police Station</t>
  </si>
  <si>
    <t>0119/2022</t>
  </si>
  <si>
    <t>Vide Police Station</t>
  </si>
  <si>
    <t>Required complete Chargesheet</t>
  </si>
  <si>
    <t>321/2023</t>
  </si>
  <si>
    <t>Loha Police Station</t>
  </si>
  <si>
    <t>For Police Part &amp; Hospital details</t>
  </si>
  <si>
    <t>Iramna Wife Of Ramayya                              Hospital Name= Medical Officer Govt. Hospital Latur</t>
  </si>
  <si>
    <t>285/2023</t>
  </si>
  <si>
    <t>Omarga Police Station</t>
  </si>
  <si>
    <t>Medical Officer Govt. Hospital Latur</t>
  </si>
  <si>
    <t>Amit Dalvi Sir</t>
  </si>
  <si>
    <t>Pandurang Tukaram Suravase</t>
  </si>
  <si>
    <t>R/o  72, Rajuri, Sangola, Dist. Solapur</t>
  </si>
  <si>
    <t>Vishwasu Appasso Patil</t>
  </si>
  <si>
    <t>R/o Kuchi, Kavthe Mahankal, Dist. sangli</t>
  </si>
  <si>
    <t>Sangli</t>
  </si>
  <si>
    <t>Bibhishan Rambhau Bhairat</t>
  </si>
  <si>
    <t>R/o Shelgaon, P.O. Saramkundi, Vashi,
Dist. Osmanabad</t>
  </si>
  <si>
    <t>on the left side of the road from Landgewadi to Kuchi village, near the house of Umesh Babar, who was carrying milk.
Dist. Osmanabad</t>
  </si>
  <si>
    <t>496/2020</t>
  </si>
  <si>
    <t>Kavthemahankal Police Station</t>
  </si>
  <si>
    <t>Sangali</t>
  </si>
  <si>
    <t>Withdraw</t>
  </si>
  <si>
    <t>0052/2024</t>
  </si>
  <si>
    <t>Kuntur Police Station</t>
  </si>
  <si>
    <t xml:space="preserve">Bhagwati Hospital and Yashosai Hospital </t>
  </si>
  <si>
    <t>Insured and driver</t>
  </si>
  <si>
    <t>R/o   Near Ibrahim Kirana Shop, Sanjay Nagar, Ambika Market, Old Jalna, Dist. Jalna-431203</t>
  </si>
  <si>
    <t>428/2024</t>
  </si>
  <si>
    <t>Jalgoan Police Station</t>
  </si>
  <si>
    <t>Jalgoan</t>
  </si>
  <si>
    <t>For Police Part and Insured cum Driver Part</t>
  </si>
  <si>
    <t>R/o .H.No.2/56, at Post Kothari Chi To Kinwat, Dist. Nanded (Maharashtra) Pin. No. 431811</t>
  </si>
  <si>
    <t>331/2025</t>
  </si>
  <si>
    <t>Parwa Police station</t>
  </si>
  <si>
    <t>Yavatmal</t>
  </si>
  <si>
    <t>For Claimant And Police Part</t>
  </si>
  <si>
    <t>Jayshree Pramod Kalkhair</t>
  </si>
  <si>
    <t>R/o  leet Tq. Bhoom District Dharashiv at present Kranti Nagar, Vijayapura.</t>
  </si>
  <si>
    <t>Vijayapura</t>
  </si>
  <si>
    <t>338/2024</t>
  </si>
  <si>
    <t>Washi Police Station</t>
  </si>
  <si>
    <t>Washi</t>
  </si>
  <si>
    <t>Vaishali  Govardhan Kakade</t>
  </si>
  <si>
    <t>R/o Pimpalwadi Tq. Paranda Dist. Osmanabad</t>
  </si>
  <si>
    <t>R/o  30 TT Shivaji Nagar Near Anwar UL Masjid Govind Mumbai, Maharastra Mumbai- 400043.</t>
  </si>
  <si>
    <t>Afif Akbar Pathan</t>
  </si>
  <si>
    <t xml:space="preserve">Amit Dalvi </t>
  </si>
  <si>
    <t>Truk in Ramkrushna Rasayan Factory loni kalbhor</t>
  </si>
  <si>
    <t>0141/2025</t>
  </si>
  <si>
    <t xml:space="preserve"> loni kalbhor Police Station</t>
  </si>
  <si>
    <t>Makhram Dharma Gopane</t>
  </si>
  <si>
    <t>R/o Bodhare , Kannada Road, Chalisgaon, Dist.Jalgoan</t>
  </si>
  <si>
    <t>GRD FLOOR GRD 45 GOPALWADI, BHULESHWAR ROAD PANCHAYAT WADI, KALBADEVI, MUMBAI</t>
  </si>
  <si>
    <t>Vilas Namdev Jadhv</t>
  </si>
  <si>
    <t>R/o M.Talewadi,T.Kannada,Dist.Sambhajinagar 431103</t>
  </si>
  <si>
    <t>Sambhaji nagar</t>
  </si>
  <si>
    <t>On Khultabad to Phulambri road Yesgaon</t>
  </si>
  <si>
    <t>0234/2025</t>
  </si>
  <si>
    <t>Khultabad Police Station</t>
  </si>
  <si>
    <t>Irbaji  Kashinath Sarode</t>
  </si>
  <si>
    <t>R/o Gunj Tq. Basmath Dist. Hingoli</t>
  </si>
  <si>
    <t>R/o  Alegaon Po. Marlak Tq. &amp; Dist. Nanded</t>
  </si>
  <si>
    <t>On Gut No. 199 at Alegaon Tq. &amp; Dist. Nanded</t>
  </si>
  <si>
    <t>0033/2025</t>
  </si>
  <si>
    <t>Limbgoan Poice Station</t>
  </si>
  <si>
    <t>Suhas  Shashikant Sutar</t>
  </si>
  <si>
    <t>R/o Kasba Peth Barshi, Tal. Barshi, Distt. Solapur At Present Kasbe Tadwale, Tal. &amp; Dist. Dharashiv</t>
  </si>
  <si>
    <t>R/o Rui, Tal. Paranda, Distt. Dharashiv</t>
  </si>
  <si>
    <t>Dharashiv to Barshi Road, Near filed of Audumbar Babasaheb Korekar in village Shivar Nariwadi, Tal. Barshi, Dist. Solapur.</t>
  </si>
  <si>
    <t>0247/2023</t>
  </si>
  <si>
    <t xml:space="preserve"> Pangri Police Station</t>
  </si>
  <si>
    <t xml:space="preserve">Shamim B Idris maniyar </t>
  </si>
  <si>
    <t>Malakwada Taloda, Dist Nandurbar</t>
  </si>
  <si>
    <t>Nandurbar</t>
  </si>
  <si>
    <t xml:space="preserve">Kavitkheda balhegon  Taluka Vaijapur  Dis Aurangabad </t>
  </si>
  <si>
    <t xml:space="preserve">Bhausaheb murlidhar Pawar </t>
  </si>
  <si>
    <t xml:space="preserve">Kannad Lamangoan Aurangabad </t>
  </si>
  <si>
    <t xml:space="preserve">Nandurbar Near Daoundai Road Choupale BusStop </t>
  </si>
  <si>
    <t xml:space="preserve"> Nandurbar</t>
  </si>
  <si>
    <t>110/2025</t>
  </si>
  <si>
    <t>nandurbar Police Station</t>
  </si>
  <si>
    <t>Dr. Hedgewar Rugnalaya</t>
  </si>
  <si>
    <t>Garkheda, Sambhaji Nagar - 431005</t>
  </si>
  <si>
    <t>Baldeva Hospital/Ashwin Hospital</t>
  </si>
  <si>
    <t xml:space="preserve">Solapur </t>
  </si>
  <si>
    <t>2 visits done/3rd visit required</t>
  </si>
  <si>
    <t>Claimant - CN073348</t>
  </si>
  <si>
    <t>Sindhu Gajanan Gadekar</t>
  </si>
  <si>
    <t>R/o Pokhari Post Sao, Taluka Dist: Buldana - 443 001</t>
  </si>
  <si>
    <t>R/o  Khadaki,Post - Rajur, Taluka - Motala,Dist: Buldana - 443 101</t>
  </si>
  <si>
    <t>At Samruddhi Mahamarg Chanel No. 536, Pathare Shivar, Sinner, Dist Nasik - 423605.</t>
  </si>
  <si>
    <t>Vavi Police Station</t>
  </si>
  <si>
    <t>Asian Citicare Hospital</t>
  </si>
  <si>
    <t>Motiwala Squaro,Akashwani Signal,Jalna Road,Sambhaji Nagar</t>
  </si>
  <si>
    <t>Kamalnayan Bajaj Hospital</t>
  </si>
  <si>
    <t>Gut No.43,Satara,Parisar,Beed Bypass Road,Sambhaji Nagar</t>
  </si>
  <si>
    <t>Connected Case - 2025213359/Claimant</t>
  </si>
  <si>
    <t>Bodhre, Kand Road, Taluka Chalisgaon, District Jalgaon</t>
  </si>
  <si>
    <t>For Police documents along with MLC / PMR</t>
  </si>
  <si>
    <t>0003/2022</t>
  </si>
  <si>
    <t>Yermala P.S</t>
  </si>
  <si>
    <t>Osmanabad</t>
  </si>
  <si>
    <t>For Insured and Driver Part</t>
  </si>
  <si>
    <t>R/o 576, Karajat Karmala Road, Ambil Jalgaon, Karajat taluk, Ahamad nagar district, State of Maharastra. Pin code - 414402.</t>
  </si>
  <si>
    <t>Connected Case-2025214146</t>
  </si>
  <si>
    <t>Rukmini Bhomana Gurav</t>
  </si>
  <si>
    <t>R/o Yashokrishna Apartment, Vadagaon Budruk, Pune-41 Maharashtra</t>
  </si>
  <si>
    <t xml:space="preserve"> Tanaji Udhav Gayakwad</t>
  </si>
  <si>
    <t>R/o Flat No. K/201 Geomatrix Developers Silver Crest CHS, Plot No.29 Sector No. 25 Kamothe. Tal. Panvel Dist. Raigad</t>
  </si>
  <si>
    <t>Menon Piston Company on Pune-Belgaum National Highway within the limits of Shiroli MIDC Kolhapur.</t>
  </si>
  <si>
    <t>181/2025</t>
  </si>
  <si>
    <t>Shiroli MIDC Police Station</t>
  </si>
  <si>
    <t>Visit Photo required</t>
  </si>
  <si>
    <t>Dhanaji Rangrao Jadhv</t>
  </si>
  <si>
    <t>Islampur Multispeciality Hospital &amp; ICU</t>
  </si>
  <si>
    <t>R/o Flat no.85 , Islampur business complex,peth-sangli road Islampur=415409</t>
  </si>
  <si>
    <t>Supriya Dhanaji Jadhv</t>
  </si>
  <si>
    <t>Dadaji Namdev Surywanshi</t>
  </si>
  <si>
    <t>1)Shri Saibaba Hospital                                                                    2)LOTUS HOSPITAL</t>
  </si>
  <si>
    <t>1)Ka. take Hon. Desle Complex, A. T. Near Stand, Zodge, T. Malegaon, Dist. Nashik.         2)VEER SAVARKAR NAGAR NEAR CHURCH GATE MALEGAON CMAP</t>
  </si>
  <si>
    <t>Krushna Madhukar Tumade</t>
  </si>
  <si>
    <t>Dr. Vasantrao Pawar Medical College, Hospital &amp; Research Centre</t>
  </si>
  <si>
    <t>Vasantdada Nagar, Adgaon, Nashik</t>
  </si>
  <si>
    <t>Bhaskar Chokhande</t>
  </si>
  <si>
    <t>Vaishnavi Diagnostic Centre</t>
  </si>
  <si>
    <t>Ground Floor Shop No. 9,Sinnar City Center, Opp. Waje Petrol Pump, Sinnar</t>
  </si>
  <si>
    <t>Sinnar</t>
  </si>
  <si>
    <t>RAVIKIRAN SUKHADEV MANDLIK</t>
  </si>
  <si>
    <t>YASHWANT MULTISPECIALITY HOSPITAL</t>
  </si>
  <si>
    <t>Near Waje Petrol Pump, Pune-Nashik Road,
Sinnar, Dist. Nashik</t>
  </si>
  <si>
    <t>Vasant Kadam</t>
  </si>
  <si>
    <t xml:space="preserve">1)VINCHURKAR PAWAR DIAGNOSTIC CENTRE PVT. LTD.                                                       2)Prayas Hospital </t>
  </si>
  <si>
    <t>Ramtek, Near LIC Office, Camp Road, Malegaon                                                                            2)Malegaon Nashik</t>
  </si>
  <si>
    <t>Devkisan Ekhnath Shelke</t>
  </si>
  <si>
    <t>Saykhedkar hospital &amp; RESEARCH CENTER PATETD unit of S.M.A.R.T</t>
  </si>
  <si>
    <t>Trimurti Chowk, Kamatwade Rd, opp. Matale Mangal Karyalaya, Cideo, Nashik</t>
  </si>
  <si>
    <t>For Police Part</t>
  </si>
  <si>
    <t>0310/2024</t>
  </si>
  <si>
    <t>Muram Police Station</t>
  </si>
  <si>
    <t>For Claimant part only. (Connected case - 2025202883)</t>
  </si>
  <si>
    <t>CHABU PANDHARINATH SARODE</t>
  </si>
  <si>
    <t>Candanapuri, Sangamner, Ahilyanagar. 422605</t>
  </si>
  <si>
    <r>
      <t>ROHINI CHABU SARODE</t>
    </r>
    <r>
      <rPr>
        <sz val="10"/>
        <color rgb="FF333333"/>
        <rFont val="Tahoma"/>
        <family val="2"/>
      </rPr>
      <t> </t>
    </r>
  </si>
  <si>
    <t>Kuruli, Murhe vasti, Yq - Khed, Dis - Pune.</t>
  </si>
  <si>
    <t xml:space="preserve">On Nashik to Pune road, Anandwadi, Chandanapuri, Sangamner. </t>
  </si>
  <si>
    <t>680/2024</t>
  </si>
  <si>
    <t>Sangamner Taluka Po. St.</t>
  </si>
  <si>
    <t>ITR verification or deceased PAN, Claimants ID and PMR Required		For Insured Part</t>
  </si>
  <si>
    <t>CHANDRAKANT LAXMAN THOPATE</t>
  </si>
  <si>
    <t>R/O, Khamgaon Maval, Tal Haweli, Dis Pune. and also at Hindalge, Belagaavi.</t>
  </si>
  <si>
    <t>ANGURI JASWANT SINGH</t>
  </si>
  <si>
    <t>445/2024</t>
  </si>
  <si>
    <t>Bharti Vdyapeeth Po. St.</t>
  </si>
  <si>
    <t>Insured Part</t>
  </si>
  <si>
    <t>SHUBHAM RAMDAS NADE</t>
  </si>
  <si>
    <t>Near, Fariyaz Hotel, Tanuja Mukharji Banglow, 599 New Tungarli, Lonavala. 410401.</t>
  </si>
  <si>
    <t>555, Pandive, Koproli, Raigad. 410206</t>
  </si>
  <si>
    <t>In the vicinity of Lonavala, In front of Sathe Misal, Old Mumbai - Pune Highway, Pune</t>
  </si>
  <si>
    <t>283/2024</t>
  </si>
  <si>
    <t>Lonavala City Po. St.</t>
  </si>
  <si>
    <t>Shobha Nitin Aundkar</t>
  </si>
  <si>
    <t>Yedshi, Dharashiv.</t>
  </si>
  <si>
    <t>Nandgaon, Washi, Dharashiv.</t>
  </si>
  <si>
    <t>On Nandgaon to Terkheda road, Nr, Wadaji shiv rasta, Nr the field of Balaji Ghule</t>
  </si>
  <si>
    <t>478/2023</t>
  </si>
  <si>
    <t>Dharashiv Po. St.</t>
  </si>
  <si>
    <t>Portal Entry/IR Done (CS Required IV Not Confirmed)</t>
  </si>
  <si>
    <t>Shobhabai Rameshwer Jadhav</t>
  </si>
  <si>
    <t>R/O, Ramanaiktanda, Tq - Kandhar, Dis - Nanded. Current Add - Marshivani Tanda, Ahmadpur, Latur.</t>
  </si>
  <si>
    <t>R/O, Isad, Gangakhed, Parbhani.</t>
  </si>
  <si>
    <t>Datta Gopal Devkatte</t>
  </si>
  <si>
    <t>Sindgi, Ahmadpur, Latur.</t>
  </si>
  <si>
    <t>In front of petrol pump in MIDC Ahmadpur, Latur.</t>
  </si>
  <si>
    <t>44/2024</t>
  </si>
  <si>
    <t>Ahmadpur po. St.</t>
  </si>
  <si>
    <t>Sangita Anil Gomse</t>
  </si>
  <si>
    <t>Galli No. 08, Patil Estate, Shivajinagar, Pune. Bali Mandir, Adgaon Shivar, Nashik.</t>
  </si>
  <si>
    <t>1 C 105 MHATRE PEN BLDG,SENAPATI BAPAT MARG DADAR,MUMBAI,,,MAHARASHTRA,,INDIA,400028</t>
  </si>
  <si>
    <t>Near CEOP Colledge Chwok, Nr. Vadewala Hotel, Dattanagar, Katraj. Pune.</t>
  </si>
  <si>
    <t>15/2024</t>
  </si>
  <si>
    <t>Khadki Po. St.</t>
  </si>
  <si>
    <t>Laxman Popat Bhlse</t>
  </si>
  <si>
    <t>1)CNS Hospital                                                             2)Terna Speciality Hospital &amp; Research</t>
  </si>
  <si>
    <t>1)188/22 Laxmi Peth,Damani Nagar,degaon road,solapur-413001                                                 2)Ploat-no=12,sector-22,opp,Nerul(w),navi Mumbai-400706</t>
  </si>
  <si>
    <t xml:space="preserve">1)Solapur                                                                                                                                                                                                                    2)Mumbai </t>
  </si>
  <si>
    <t>For Claimant part only. (Connected case - 2024215795)</t>
  </si>
  <si>
    <t>Ayyub Ajjij Shaikh</t>
  </si>
  <si>
    <t>Devika Nagar, Pimpalgaon, Nashik.Lasalgaon, Nifad, Nashik.</t>
  </si>
  <si>
    <t>SMT. Samrin Amjad Pathan</t>
  </si>
  <si>
    <t>R/O, Rehmat Nagar, Jorve Nagar, Pinjar Galli, Sangamner, Ahmadnagar.422605.</t>
  </si>
  <si>
    <t>2/14 JAI MAA,SHARDA RAHIWASHI SEVA SANGH SANT DYANESHWAR NAGAR BANDRA EAST, MUMBAI MUMBAI, MAHARASHTRA, India, 400051.</t>
  </si>
  <si>
    <t>At Panchale to Pangri, from Lasalgaon to Sangamner, Pangri shivar, Dukre mala, Sinner, Nashik.</t>
  </si>
  <si>
    <t>402/2024</t>
  </si>
  <si>
    <t>Vavi Po. St.</t>
  </si>
  <si>
    <t>Nashik Gramin</t>
  </si>
  <si>
    <t>Ajmal Kallu Chaudhari</t>
  </si>
  <si>
    <t>R/O Galli No. 08, Room No. 341, Nihal nagar, Malegaon, Nashik</t>
  </si>
  <si>
    <t>Rehman Galli, Jalana. 440001.</t>
  </si>
  <si>
    <t>Jalana</t>
  </si>
  <si>
    <t>Mohmad Alim Mohmad Unus</t>
  </si>
  <si>
    <t>Panwadi, Fulambri, Sambhajinagar.</t>
  </si>
  <si>
    <t>On Malegaon to Nampur road, Kothre Shivar, Nr Kothre fata, Malegaon, Nashik.</t>
  </si>
  <si>
    <t>61/2012</t>
  </si>
  <si>
    <t>Vadner Khkurdi po. St.</t>
  </si>
  <si>
    <t>Rukhmini Shankar Shinde</t>
  </si>
  <si>
    <t>R/o Gondhal Gali,Boripardhi Pune          New R/o CIB Colony,Kalaburgi</t>
  </si>
  <si>
    <t>R/o Warananagar,Koboli,tq.Panhala Kolhapur-416113</t>
  </si>
  <si>
    <t>On Solapur-Pune high way road in front of hotel brudhwan varvanda,kavitech mala Daund Pune</t>
  </si>
  <si>
    <t>540/2024</t>
  </si>
  <si>
    <t>Yavat Police Station</t>
  </si>
  <si>
    <t>Yavat</t>
  </si>
  <si>
    <t>Rural Hospital  = Yavat                                           Akshaya Hospital  = Varvand                               Vishwaraj   Hospital  = Pune</t>
  </si>
  <si>
    <t>Ananda Govindrao Sawant     9307982116</t>
  </si>
  <si>
    <t>R/o  village Gortha Tq. Umri Dist. Nanded.</t>
  </si>
  <si>
    <t>Vijay  Sahebrao Rathod</t>
  </si>
  <si>
    <t>R/o Gargotwadi Post Pandurna Tq. Bhokar Dist. Nanded-431 801</t>
  </si>
  <si>
    <t>near Gortha Y Point, in front of Pahelwan Dhaba.</t>
  </si>
  <si>
    <t>0067/2025</t>
  </si>
  <si>
    <t>Police Station Umri.</t>
  </si>
  <si>
    <t>Mohammad  Sale Chaus</t>
  </si>
  <si>
    <t>R/o Jatwada Road, Harsool, Aurangabad</t>
  </si>
  <si>
    <t>Sanjay Bandu Gaikwad    9225201051</t>
  </si>
  <si>
    <t>R/o  Gaikwad Colony, Karla, Tq. Manval, Distt. Pune</t>
  </si>
  <si>
    <t>Shaikh Bhikan  Shaikh Bashir</t>
  </si>
  <si>
    <t>R/o  Behind Old Government Hospital, At Post: Zodga, Tq. &amp; Dist. Nashik</t>
  </si>
  <si>
    <t>at Rauza Bagh, Near Idgah, Aurangabad, took place</t>
  </si>
  <si>
    <t>0129/2024</t>
  </si>
  <si>
    <t>City Chowk Police Station, Sambhaji Nagar</t>
  </si>
  <si>
    <t>Rangnath  Dattu Chavan</t>
  </si>
  <si>
    <t>R/o Ghugi Tq. &amp; District Osmanabad</t>
  </si>
  <si>
    <t>Subodh Umakant Gaikwad   9730559097</t>
  </si>
  <si>
    <t>R/o Bodhe Nagar, Latur.</t>
  </si>
  <si>
    <t>Sharad Rangnath Chavan</t>
  </si>
  <si>
    <t>R/o  Ghugi Tq. &amp; District Osmanabad</t>
  </si>
  <si>
    <t>Chincholi to Latur road in the vicinity of village Gangapur in front of Jaikisan School.</t>
  </si>
  <si>
    <t>25/2023</t>
  </si>
  <si>
    <t>Police Station Latur (Rural)</t>
  </si>
  <si>
    <t>Raju Datta Digalwad</t>
  </si>
  <si>
    <t>R/o Dhanki tq. Umerkhed Dist. Yeotmal</t>
  </si>
  <si>
    <t>Yeotmal</t>
  </si>
  <si>
    <t>Sachin  Madhavrao Dure</t>
  </si>
  <si>
    <t>R/o Sayal post.Halda Tq.Bhokar Dist. Nanded.</t>
  </si>
  <si>
    <t>on the Bhokar to Umri bypass road near furniture shop.</t>
  </si>
  <si>
    <t>Bhokar</t>
  </si>
  <si>
    <t>119/2023</t>
  </si>
  <si>
    <t>Bhokar Police Station</t>
  </si>
  <si>
    <t>Anket Ramrao Naik    9765767475</t>
  </si>
  <si>
    <t>R/o  Bhirda Post- Basmba Tq. Dist. Hingoli.</t>
  </si>
  <si>
    <t xml:space="preserve">R/o R/o.Bhirda Post.Basmba, Tq. Dist. Hingoli-431702. </t>
  </si>
  <si>
    <t>In vicinity of Bhirda Village, in front of petitioner House road.</t>
  </si>
  <si>
    <t>0086/2025</t>
  </si>
  <si>
    <t>Basamba  Police Station</t>
  </si>
  <si>
    <t>Vidya Gajanan Maske    8412930391</t>
  </si>
  <si>
    <t xml:space="preserve">R/o   MIDC area ahilyadevi Holkar Nagar, Karegav Road Parbhani.431401 </t>
  </si>
  <si>
    <t>Sayyad Shahed Sayyad Ishaque</t>
  </si>
  <si>
    <t>R/o 9-6-944 Degloor Naka Itwara, Millat Nagar Near Hamza Masjid Tq. Dist. Nanded.431604</t>
  </si>
  <si>
    <t>on Parbhani to Basmat Road</t>
  </si>
  <si>
    <t>0149/2025</t>
  </si>
  <si>
    <t>Tadkals Police Station</t>
  </si>
  <si>
    <t>Anandrao  Vitthalrao Londhe   .7498315779.</t>
  </si>
  <si>
    <t xml:space="preserve">R/o .Lakh Tq.Aundha Dist: Hingoli, </t>
  </si>
  <si>
    <t xml:space="preserve">Nilesh  Govindrao Dhabe </t>
  </si>
  <si>
    <t>R/o Pusegaon Tq.Sengaon Dist. Hingoli.</t>
  </si>
  <si>
    <t>In vicinity of old Nagar Parishad Office, On Washim to Hingoli road.</t>
  </si>
  <si>
    <t>0450/2025</t>
  </si>
  <si>
    <t>Hingoli  Police Station</t>
  </si>
  <si>
    <t>Parvej  Shaikh Salim   9307686411.</t>
  </si>
  <si>
    <t>R/o Khaja Colony, Near Masjid, Hingoli., Tq.Dist.Hingoli</t>
  </si>
  <si>
    <t xml:space="preserve">Santosh  Sadashiv Tejankar    </t>
  </si>
  <si>
    <t>R/o Brahman Galli, Kalamnuri Tq. Kalamnuri, Dist. Hingoli</t>
  </si>
  <si>
    <t>In vicinity of Sawarkheda Village, On Hingoli to Kalamnuri Road.</t>
  </si>
  <si>
    <t>0478/2025</t>
  </si>
  <si>
    <t>Balika  Vitthal Hake     8459310873,9146134801</t>
  </si>
  <si>
    <t xml:space="preserve">R/o  3. Patoda, Tq.Sengaon Dist. Hingoli
</t>
  </si>
  <si>
    <t>Ankush Bajirao Gadade</t>
  </si>
  <si>
    <t>R/o Chikhalagar, Tq Sengaon Dist-Hingoli.</t>
  </si>
  <si>
    <t>Near of Hatta Pati, on Yeldari to Sengaon Road.</t>
  </si>
  <si>
    <t>0499/2025</t>
  </si>
  <si>
    <t>Sengaon  Police Station</t>
  </si>
  <si>
    <t>Keshavrao Digaji Solanke    8459178282</t>
  </si>
  <si>
    <t>R/o Yelhegaon Solanke. Tq. Aundha Dist. Hingoli</t>
  </si>
  <si>
    <t>Gajanan Narayanrao Solanke</t>
  </si>
  <si>
    <t>R/o Yelhegaon Solanke Tq. Aunhda Dist. Hingoli.</t>
  </si>
  <si>
    <t>In vicinity Wagarwadi Village, On Parbhani to Hingoli Road.</t>
  </si>
  <si>
    <t>0011/2025</t>
  </si>
  <si>
    <t>Aundha Police Station</t>
  </si>
  <si>
    <t>Pallvi  Dinkar Ingle   8888152207</t>
  </si>
  <si>
    <t xml:space="preserve">R/o R/o. Karegaon Tq. Dist. Hingoli. Now R/o.Sirsam Tq.Dist. Hingoli </t>
  </si>
  <si>
    <t>R/o At Hanuman Mandir Jawal Sirsam Bk Post-Sirsam Tq. Dist. Hingoli-431513</t>
  </si>
  <si>
    <t>At Bhabhulgaon on Patur to Vadegaon Road.</t>
  </si>
  <si>
    <t>0029/2025</t>
  </si>
  <si>
    <t>Patur Police Station</t>
  </si>
  <si>
    <t>Santosh  Yadav Burkule    9545880402</t>
  </si>
  <si>
    <t>R/o  Morvad Tq. Kalmnuri Dist-Hingoli.</t>
  </si>
  <si>
    <t>Raju  Panditrao Londhe</t>
  </si>
  <si>
    <t xml:space="preserve">R/o   Matha Tq. Aundha (Na) Dist- Hiingoli.
</t>
  </si>
  <si>
    <t>Near Sawna Vaychalpimpri Shivar on Kanhergaon to Goregaon road.</t>
  </si>
  <si>
    <t>0260/2022</t>
  </si>
  <si>
    <t>Goregaon  Police Station</t>
  </si>
  <si>
    <t>Radhabai  Prakash Metkar   9922510119.</t>
  </si>
  <si>
    <t>R/o Bramhanwada, Tq. Sengaon, Dist.- Hingoli.</t>
  </si>
  <si>
    <t>R/o  Ghota Devi, Tq. Dist- Hingoli.</t>
  </si>
  <si>
    <t>Near Falegaon Fata, On Hingoli to Washim Road.</t>
  </si>
  <si>
    <t>0038/2023</t>
  </si>
  <si>
    <t>Hingoli Rural Police Station</t>
  </si>
  <si>
    <t>Govind Gangadhar Bhosale   9049828230</t>
  </si>
  <si>
    <t>R/o.Amba Chondi, Tq.Basmat. Dist. Hingoli.</t>
  </si>
  <si>
    <t>Chandrakant Satwaji Kamble</t>
  </si>
  <si>
    <t>R/o.Chondi Amba Tq. Basmat. Dist. Hingoli</t>
  </si>
  <si>
    <t>In vicinity of Amba Village near Amba Fata on Aundha to Basmat Road.</t>
  </si>
  <si>
    <t>0325/2025</t>
  </si>
  <si>
    <t>Kurunda Police station</t>
  </si>
  <si>
    <t>SHALU SAROJ  VIKASH PRASAD</t>
  </si>
  <si>
    <t>R/o Village Mariyani,
Post: Gangehra, Tehsil. Gulab Ganj,Dist Raebareli,
Utter Pradesh - 813101</t>
  </si>
  <si>
    <t>Utter Pradesh</t>
  </si>
  <si>
    <t>R/o LIG A3F, 23 Sector No.3
Kalamboli,Navi Mumbai -410218.</t>
  </si>
  <si>
    <t>RAJU  DASAHRATH RAJGE</t>
  </si>
  <si>
    <t>R/o Village Arphal, Post Vaduth, Tal &amp; Dist Satara 415011</t>
  </si>
  <si>
    <t>Satara</t>
  </si>
  <si>
    <t>In front of India Glass Solution pvt Ltd, Pune.</t>
  </si>
  <si>
    <t>1104/2024</t>
  </si>
  <si>
    <t>Kondwa Police Station</t>
  </si>
  <si>
    <t>For Claimant Part Only. (Connected Case - 2025213495)</t>
  </si>
  <si>
    <t>Asha Devi Pawankumar</t>
  </si>
  <si>
    <t>R/o Village Paksrava,dist Raebarli,Uttar pradeshi-229127</t>
  </si>
  <si>
    <t>Premadevi Dharmendra Kumar</t>
  </si>
  <si>
    <t>R/o Village Paksrava,dist Amethi Uttar Pradeshi-229127</t>
  </si>
  <si>
    <t>Arti Amit Kumar</t>
  </si>
  <si>
    <t>R/o Village Prahladpur post; Mustafabad,dist Raebareli Uttar Pradesh-229404</t>
  </si>
  <si>
    <t>CHANDRASHEKHAR ARJUN SURVASE</t>
  </si>
  <si>
    <t>South Kasba, South Solapur. Curent Resident - Adarsh Nagar, Vijapur.</t>
  </si>
  <si>
    <t>At Po. Pimpari, Dis. Solapur, Maharastra</t>
  </si>
  <si>
    <t>Coming from Shindhe to Lacky Chowk, Passing Navi Peth, Near Chandani Saree center, Solapur</t>
  </si>
  <si>
    <t>0039/2024</t>
  </si>
  <si>
    <t>Faujdar Chavdi Po. St.</t>
  </si>
  <si>
    <t>SHRI SARJERAV GULAB DEVKATE</t>
  </si>
  <si>
    <t xml:space="preserve">R/O. Madanwadi, Tq - Indore. Pune. OR Tal - Hindalga, Dis - Belgavi. </t>
  </si>
  <si>
    <t>Belgavi</t>
  </si>
  <si>
    <t>R/O, Mane Niwas, Rajegaon, Tq - Daund, Pune - 413105</t>
  </si>
  <si>
    <t>Rushikesh Bharat Dalavi</t>
  </si>
  <si>
    <t>Sai Colony Dakshin Laxmi Nagar, Nr. Water Tank, Moshi. Pune - 412105.</t>
  </si>
  <si>
    <t xml:space="preserve">Near, Hanuman Mandir, Mauje Madanwadi, Tq - Indapur, Dist Pune </t>
  </si>
  <si>
    <t>225/2024</t>
  </si>
  <si>
    <t>Bhigwan Po. St. Indapur</t>
  </si>
  <si>
    <t>Indapur</t>
  </si>
  <si>
    <t>Bhausaheb Kushinath Karhale</t>
  </si>
  <si>
    <t>R/O, Shiregaon, Tal-Gangapur, Dis-Sambhajinagar.</t>
  </si>
  <si>
    <t>R/O, Bhalgaon, Tal-Gangapur, Dis-Sambhajinagar.</t>
  </si>
  <si>
    <t>Namdeo Suryabhan Gat</t>
  </si>
  <si>
    <t>R/O, Sanjarpur, Tal-Gangapur, Dis-Sambhajinagar.</t>
  </si>
  <si>
    <t>Gangapur Nagarpalica Garbege Depo, On Lasur - Gangapur road, Tal - Gangapur, Dis - Sambhajinagar.</t>
  </si>
  <si>
    <t>197/2023</t>
  </si>
  <si>
    <t>Not Initiated</t>
  </si>
  <si>
    <t>Mahendra Bhausaheb Gursale</t>
  </si>
  <si>
    <t>R/at -22 Market Yard Satara City Dist, Satara.</t>
  </si>
  <si>
    <t>R/O, Bhugaon, Tq – Mulshi, Dis – Pune.</t>
  </si>
  <si>
    <t>On Pune- Bangalore Highway</t>
  </si>
  <si>
    <t>73/08</t>
  </si>
  <si>
    <t>Satara Police Station</t>
  </si>
  <si>
    <t>0329/2017</t>
  </si>
  <si>
    <t>Shive Gav Police sation</t>
  </si>
  <si>
    <t>Shirin Late Javid Shaikh</t>
  </si>
  <si>
    <t>R/o Ghar No.6 Telangi Pachcha Peth Solapur north daji peth solapur.                New R/o Village harsur Tq.&amp; dist.Kalaburagi</t>
  </si>
  <si>
    <t>Kalaburagi</t>
  </si>
  <si>
    <t>R/o Bld  No 2/60 , Modi Khana,Solapur North-413003</t>
  </si>
  <si>
    <t>Service road of solapur Hyderabad Highway,in front of khan chacha hotel,dist.Solapur</t>
  </si>
  <si>
    <t>660/2025</t>
  </si>
  <si>
    <t>Jodbhavi Police station</t>
  </si>
  <si>
    <t xml:space="preserve">Duty doctors of civil hospital </t>
  </si>
  <si>
    <t>(Connected Case-2025213611)                                   For MLC or Wound certificate.</t>
  </si>
  <si>
    <t>Kiran Balaram Patil</t>
  </si>
  <si>
    <t>1)CPR Hospital  Kolhapur                                            2) Smt-Kashibai Navale HospitalPune &amp; Other Private doctors at pune &amp; Belgaum</t>
  </si>
  <si>
    <t>1)Kolhapur                                                                      2) Pune</t>
  </si>
  <si>
    <t xml:space="preserve">Accept Claimant </t>
  </si>
  <si>
    <t>Mahendra Sudam Parbhane</t>
  </si>
  <si>
    <t>Wadgaon Rasai, Shirur, Pune</t>
  </si>
  <si>
    <t>Yogesh Balasaheb Shelar</t>
  </si>
  <si>
    <t>Wadgaon Rasai, Shirur, Pune, Maharashtra</t>
  </si>
  <si>
    <t>Kashti Rajmarg, Helowadi, near Limpan Village, Shrigonda, Maharashtra</t>
  </si>
  <si>
    <t>Ahmednagar</t>
  </si>
  <si>
    <t>0467/2023</t>
  </si>
  <si>
    <t>Shrigonda Police Station</t>
  </si>
  <si>
    <t>Claimant/Insured/Driver/Spot/CS</t>
  </si>
  <si>
    <t>Nikita Shivaji Pole</t>
  </si>
  <si>
    <t>Pokharni Walke, Tq. Gangakhed, Dist. Parbhani</t>
  </si>
  <si>
    <t>Idgah Road, Balbhim Nagar, Peth Beed</t>
  </si>
  <si>
    <t>Santosh Prakash Palimkar</t>
  </si>
  <si>
    <t>Aditya Residency, Bhakti Construction Road, Beed</t>
  </si>
  <si>
    <t>Dharmapuri to Parali road, Helamb shivar, Tq. Parali, Dist. Beed</t>
  </si>
  <si>
    <t>288/2024</t>
  </si>
  <si>
    <t>Parali Rural</t>
  </si>
  <si>
    <t>Claimant/Insured/Spot/CS</t>
  </si>
  <si>
    <t>Datta Sopan Musale</t>
  </si>
  <si>
    <t>Brahmsingh Nagar, near Nandimaharaj Mandir, Nanded</t>
  </si>
  <si>
    <t>House No.176, Hiwra, Taluka Kalamnuri, District Hingoli</t>
  </si>
  <si>
    <t>Mata Gujri Chowk – Namaskar Chowk, Nanded</t>
  </si>
  <si>
    <t>311/2025</t>
  </si>
  <si>
    <t>Airport Police Station, Nanded</t>
  </si>
  <si>
    <t>Savita Raju Lokhande</t>
  </si>
  <si>
    <t>Lokhande Vasti, Devdaithavan, Tal. Shrigonda, Dist. Ahmednagar</t>
  </si>
  <si>
    <t>Ekta Nagar, Sillod, Taluka Sillod, District Chhatrapati Sambhajinagar , Maharashtra</t>
  </si>
  <si>
    <t xml:space="preserve">Sambhajinagar </t>
  </si>
  <si>
    <t>Govind Sanjay Jadhav</t>
  </si>
  <si>
    <t>Shrigonda-Shirur Road, Devdaithavan, near Kauthale Vasti</t>
  </si>
  <si>
    <t>286/2025</t>
  </si>
  <si>
    <t>Belwandi, Tal. Shrigonda, Dist. Ahmednagar</t>
  </si>
  <si>
    <t>Kamalaji Pralhadrao Haran</t>
  </si>
  <si>
    <t>Sawarkheda, Taluka Hingoli, District Hingoli, Maharashtra</t>
  </si>
  <si>
    <t>Malwadi Surana Nagar, Nanded Bypass, Hingoli, District Hingoli – 431513</t>
  </si>
  <si>
    <t>Vicinity of Karwadi, ahead of Chaudhari Petrol Pump, Hingoli–Kalmanuri Road</t>
  </si>
  <si>
    <t>P.S. Hingoli (Rural)</t>
  </si>
  <si>
    <t>Awez  Yusuf Khan Pathan</t>
  </si>
  <si>
    <t>Azam Colony, Hingoli, Taluka Hingoli, District Hingoli</t>
  </si>
  <si>
    <t xml:space="preserve"> Hingoli</t>
  </si>
  <si>
    <t>Shekh Mujid Shekh Musa</t>
  </si>
  <si>
    <t>Kothalaj Road, Azam Colony, Hingoli, District Hingoli</t>
  </si>
  <si>
    <t>At Kayal’s Construction, Hingoli</t>
  </si>
  <si>
    <t>P.S. Hingoli Town</t>
  </si>
  <si>
    <t>Maya Vilas Mogale</t>
  </si>
  <si>
    <t>R/o Lohgaon, Tq Hingoli, Dist Hingoli.</t>
  </si>
  <si>
    <t>At Po. Sawali Bk., Tq Aundha Nag, Dist Hingoli</t>
  </si>
  <si>
    <t>Karanjala to Lohgaon road, near field of Bharat Sontakke</t>
  </si>
  <si>
    <t>131/2025</t>
  </si>
  <si>
    <t>P.S. Narsi Namdev</t>
  </si>
  <si>
    <t xml:space="preserve">SURESH MUTHUKRISHANAN </t>
  </si>
  <si>
    <t xml:space="preserve">R/O-Plot no.601,Mount Vista Building,Urse Road,Talegaon Dabhade,Dehuroad,Pimpri Chinchwad Pune.mb.no-9677911736 </t>
  </si>
  <si>
    <t>DEEPAK NIVRUTTI KANSE</t>
  </si>
  <si>
    <t>R/O-SHOP NO-106,1ST FLR PLOT NO-58,SECT
19G VASHI,NAVI MUMBAI,THANE,Maharashtra 400706.  Mobile No :9769172478</t>
  </si>
  <si>
    <t xml:space="preserve">Ordinance Factory to Central Dehuroad Pune </t>
  </si>
  <si>
    <t>139/2024</t>
  </si>
  <si>
    <t>Dehu road Police Station</t>
  </si>
  <si>
    <t>Received</t>
  </si>
  <si>
    <t>Krishna Ramchandra Bhosale</t>
  </si>
  <si>
    <t>Punadi Road, Dudhondi, Sangli, Maharashtra – 416308</t>
  </si>
  <si>
    <t>Shirasgaon, Tal-Kadegaon, Dist. Sangli</t>
  </si>
  <si>
    <t>In front of HDFC Bank, Shirval, Satara</t>
  </si>
  <si>
    <t>370/2024</t>
  </si>
  <si>
    <t>Shirval Police Station</t>
  </si>
  <si>
    <t>(Connected Case - 2759892)</t>
  </si>
  <si>
    <t>Jidnyasa Jaysing Kadam</t>
  </si>
  <si>
    <t>Sonsal, Shirasgaon, Sangli, Maharashtra – 415303</t>
  </si>
  <si>
    <t>Required Complete chargesheet</t>
  </si>
  <si>
    <t>321/2024</t>
  </si>
  <si>
    <t>Ambad Police Station</t>
  </si>
  <si>
    <t>For Claimant Part Only. (Connected Case - 2024214532)</t>
  </si>
  <si>
    <t>Shivasing  Lalsing Rajput  (8055606181)</t>
  </si>
  <si>
    <t>R/o : Pardeshi galli, Vaijapur Tq. Vaijapur Dist Aurangabad.</t>
  </si>
  <si>
    <t>Sunita Sanjay Mhaske</t>
  </si>
  <si>
    <t>R/o Siddharth Nagar,New Samangaon,Post Ekalahara,Dist.Nashik 422105</t>
  </si>
  <si>
    <t xml:space="preserve">Akash Kashinath Jadhv </t>
  </si>
  <si>
    <t>R/o M.Po.Burudgaon,dist.Ahmednagar.4141001</t>
  </si>
  <si>
    <t>Ahilya Nagar</t>
  </si>
  <si>
    <t>Shevgaon Chowk Tisgaon,Village Pathardi, District Ahmednagar</t>
  </si>
  <si>
    <t>0537/2025</t>
  </si>
  <si>
    <t>Mangal Netaji Nikam</t>
  </si>
  <si>
    <t>at present Surdi Tq. and District Dharashiv.</t>
  </si>
  <si>
    <t>Rahul  Shankar Pawar</t>
  </si>
  <si>
    <t>Shetphal Tq. Mohol District Solapur.</t>
  </si>
  <si>
    <t>on Kurduwadi to Barshi road in the vicinity of village Shendri Tq: Barshi in front of one Hotel of one Sarjerao Amle</t>
  </si>
  <si>
    <t>0397/2024</t>
  </si>
  <si>
    <t>Barshi Police Station</t>
  </si>
  <si>
    <t>Mubeen Sultana  Mohammad Azeemoddin</t>
  </si>
  <si>
    <t xml:space="preserve"> H.No. 9-7-100, Maltekdi Station Road, Degloornaka, Hyderbagh No.1, Nanded-431604.</t>
  </si>
  <si>
    <t>House No. 9-6-844, Near Khusru Nager, Degloor Naka, Nanded-431604.</t>
  </si>
  <si>
    <t>on Nanded to Hyderabad Road, near Pedda Kodapgal village out skirts on NH-161, main road Bridge.</t>
  </si>
  <si>
    <t>Maroti Baliram Aglave</t>
  </si>
  <si>
    <t>Rautkheda, Post Katkalamba Tq. Kandhar, Distt. Nanded</t>
  </si>
  <si>
    <t>Shoukatali Aamir Kha</t>
  </si>
  <si>
    <t xml:space="preserve"> Indra Nagar, Mahagaon Dist. Yavatmal</t>
  </si>
  <si>
    <t>Nanded-yavatmal Road Road,</t>
  </si>
  <si>
    <t>Nanded-yavatmal</t>
  </si>
  <si>
    <t>0001/2025</t>
  </si>
  <si>
    <t>Police Station Mahur</t>
  </si>
  <si>
    <t>Vijay  Kadubal Misal</t>
  </si>
  <si>
    <t xml:space="preserve">. House of Vithal Doifhode, Kamgar Colony, Chikalthana Chhatrapati Sambhajinagar </t>
  </si>
  <si>
    <t xml:space="preserve"> Sukali Ukali, Tq. Mehkar, Dist. Buldhana.</t>
  </si>
  <si>
    <t>Amol  Gajanan Ingle</t>
  </si>
  <si>
    <t>Gopal Krishna Sansthan Mali Peth, Ward No. 10, Mehkar Tq. Mehkar, Distt. Buldhana-443301</t>
  </si>
  <si>
    <t>on Isarwadi Fata, Tq. Beedkin road, near village Shendurwada Mandwa fata Tq. Gangapur, Distt. Chtrpati Sambhaji-nagar.</t>
  </si>
  <si>
    <t>0245/2025</t>
  </si>
  <si>
    <t xml:space="preserve">Police Station Waluj </t>
  </si>
  <si>
    <t>Execpt Driver Part</t>
  </si>
  <si>
    <t xml:space="preserve">Sunil Rajendra Darekar </t>
  </si>
  <si>
    <t>Shiradhon, T.D.Ahilyanagar  - 414002</t>
  </si>
  <si>
    <t xml:space="preserve"> Prashant Sarangdhar Jadhav Survey No.44, Kalewadi, Bal Shivaji Mitra Mandal, Near Water Tank, Bhusari Colony, Pound Road, Kothrud,</t>
  </si>
  <si>
    <t>Ahilyanagar Solapur Road Mandali Chowk, Mandali</t>
  </si>
  <si>
    <t>0145/2025</t>
  </si>
  <si>
    <t>Mirajgaon Police Station</t>
  </si>
  <si>
    <t>Laxmibai  Kishor Shewale</t>
  </si>
  <si>
    <t xml:space="preserve"> At Kumbhefal, Post Satgaon, Taluka and District Buldana.</t>
  </si>
  <si>
    <t>At Post Nimzari, Tq. Shirpur, Dist: Dhule-424001.</t>
  </si>
  <si>
    <t>on Padmavati to Paradh Road, Near Mhasoba Mandir, in the shivar of village Paradh, Tq. Bhokardan, Dist. Jalna.</t>
  </si>
  <si>
    <t>0050/2025</t>
  </si>
  <si>
    <t>Paradh Police Station</t>
  </si>
  <si>
    <t>Mohini Bhr. Bhikkan pandhare</t>
  </si>
  <si>
    <t xml:space="preserve"> M.Po.Kenhala, T. Sillod, Dist. Aurangabad.</t>
  </si>
  <si>
    <t>Vadachi Ali, Khultabad, Tal. Khultabad Dist. Aurangabad.</t>
  </si>
  <si>
    <t>Near Pagade settlement  Aurangabad-Phulambri Road, Tal. Phulambri, Dist. Aurangabad</t>
  </si>
  <si>
    <t>Ahilynagar</t>
  </si>
  <si>
    <t>0061/2023</t>
  </si>
  <si>
    <t>Police Station Phulambri</t>
  </si>
  <si>
    <t>Claim Number</t>
  </si>
  <si>
    <t>Case Type</t>
  </si>
  <si>
    <t>Recipet Date</t>
  </si>
  <si>
    <t>Report Date</t>
  </si>
  <si>
    <t>Final Status</t>
  </si>
  <si>
    <t xml:space="preserve">Permit </t>
  </si>
  <si>
    <t>Hard Copies</t>
  </si>
  <si>
    <t>One Check Pending</t>
  </si>
  <si>
    <t>Two Check Pending</t>
  </si>
  <si>
    <t>Scope of Work</t>
  </si>
  <si>
    <t>Claimant Name</t>
  </si>
  <si>
    <t>Location</t>
  </si>
  <si>
    <t>Investigator</t>
  </si>
  <si>
    <t>Insured Name</t>
  </si>
  <si>
    <t xml:space="preserve">Location </t>
  </si>
  <si>
    <t xml:space="preserve">Investigator </t>
  </si>
  <si>
    <t>Driver Name</t>
  </si>
  <si>
    <t>Inverstigator</t>
  </si>
  <si>
    <t xml:space="preserve">FIR No. </t>
  </si>
  <si>
    <t>Police station</t>
  </si>
  <si>
    <t xml:space="preserve">Dist. </t>
  </si>
  <si>
    <t xml:space="preserve">Investigator/ Advocate </t>
  </si>
  <si>
    <t xml:space="preserve">Remark </t>
  </si>
  <si>
    <t xml:space="preserve">For Full Case. </t>
  </si>
  <si>
    <t>UP</t>
  </si>
  <si>
    <t>On Nandgaon to Chalisgaon road, In thr visinity of Gangadhari village, Opp D K Industries.</t>
  </si>
  <si>
    <t>273/2023</t>
  </si>
  <si>
    <t>Nandgaon Po. St.</t>
  </si>
  <si>
    <t>254/2024</t>
  </si>
  <si>
    <t>Malegaon Taluka Po. St.</t>
  </si>
  <si>
    <t>Tungat, Pandharpur, Solapur. 413304.</t>
  </si>
  <si>
    <t>780/2024</t>
  </si>
  <si>
    <t>Jalna Taluka Po. St.</t>
  </si>
  <si>
    <t>claimant/ Spot</t>
  </si>
  <si>
    <t>MTP-N-2526-002724</t>
  </si>
  <si>
    <t>For Full case</t>
  </si>
  <si>
    <t>Sangpal Kamble</t>
  </si>
  <si>
    <t>426/2025</t>
  </si>
  <si>
    <t>Khed Po. St.</t>
  </si>
  <si>
    <t>Not Initiate</t>
  </si>
  <si>
    <t>Claiment Part-Connected case</t>
  </si>
  <si>
    <t>For Insuerd, Driver, Spot &amp; CS</t>
  </si>
  <si>
    <t>133/2025</t>
  </si>
  <si>
    <t>Chandrasen</t>
  </si>
  <si>
    <t>Godage Vasti, Kem Road, Ropale, Mhada, Solapur.</t>
  </si>
  <si>
    <t>441/2024</t>
  </si>
  <si>
    <t>Kurudwadi Po. St.</t>
  </si>
  <si>
    <t>• Insured Verification ( Signed Statement, Photo, Identity Proof, RC copy, Policy copy) • Driver Verification (Signed Statement, Photo, Identity Proof, DL copy) • Petitioner Verification (Signed Statement, Photo, Identity Proof, Injury Photograph with Video Recording &amp; Relation Verification) • Income verification (Bank Passbook copy, Need Salary Slip stamp &amp; Sign by Employer, Attendance details) • Income verification (Bank Passbook copy, Need Salary Slip stamp &amp; Sign by Employer, Attendance details) • Discharge Card, Disability Certificate &amp; Hospital Bills &amp; Medical document verification ( Need Stamp &amp; Sign by Hospital) • CS , FIR, Spot Panchanama, Arrest Form, 161 Statements, MLC / PMR, AA Form &amp; other related documents • Spot Photographs &amp; Verification • RC Ext of IV Vehicle (Permit &amp; Fitness Extract also required in case of Commercial Vehicle) • DL Ext of IV Driver (DL Ext of TP Driver also if TP Vehicle Involved)</t>
  </si>
  <si>
    <t>Nilesh Dhonde</t>
  </si>
  <si>
    <t>256/2024</t>
  </si>
  <si>
    <t xml:space="preserve">Badgaon po. St.
</t>
  </si>
  <si>
    <t>Next court DT 26-09-25</t>
  </si>
  <si>
    <t>Satish Khatad</t>
  </si>
  <si>
    <t>1310/2024</t>
  </si>
  <si>
    <t>Rahuri Po St</t>
  </si>
  <si>
    <t>Adv. Nikhil Dhole Patil</t>
  </si>
  <si>
    <t>Only For Chargesheet</t>
  </si>
  <si>
    <t>Ayan Munvar Ali</t>
  </si>
  <si>
    <t>262/2024</t>
  </si>
  <si>
    <t>Anand Nagar Po. St.</t>
  </si>
  <si>
    <t>Anna Cleark</t>
  </si>
  <si>
    <t>Tanmay Varve</t>
  </si>
  <si>
    <t>Santosh Shinde</t>
  </si>
  <si>
    <t>Miri, Pathardi, Ahmadnagar.</t>
  </si>
  <si>
    <t xml:space="preserve">Sanrosh Shinde </t>
  </si>
  <si>
    <t>Tushar raut</t>
  </si>
  <si>
    <t>430/2024</t>
  </si>
  <si>
    <t>Supa Po. St.</t>
  </si>
  <si>
    <t>For Claimant part only. (Connected case 2025210107)</t>
  </si>
  <si>
    <t>151/2025</t>
  </si>
  <si>
    <t>MIDC Po. St.</t>
  </si>
  <si>
    <t>Claimant Done/spot</t>
  </si>
  <si>
    <t>18/2025</t>
  </si>
  <si>
    <t>Parner Po. St</t>
  </si>
  <si>
    <t>Dattatray Kundlik Shirke 9890158460</t>
  </si>
  <si>
    <t>511/2025</t>
  </si>
  <si>
    <t>Shreegonda Po. St.</t>
  </si>
  <si>
    <t>Spot/ Claimant/ Insured/ Driver</t>
  </si>
  <si>
    <t>Pankaj  kawda</t>
  </si>
  <si>
    <t>Pankaj</t>
  </si>
  <si>
    <t xml:space="preserve">Panjak Kawade </t>
  </si>
  <si>
    <t>Chandarsen</t>
  </si>
  <si>
    <t>424/2024</t>
  </si>
  <si>
    <t>Barshi Taluka Po. St.</t>
  </si>
  <si>
    <t>Adv. Ramprasad</t>
  </si>
  <si>
    <t>MTP-N-2526-003267</t>
  </si>
  <si>
    <t>For Full Case. (except Insured, Driver and Spot)</t>
  </si>
  <si>
    <t>Sarfaraz Khan 9867183816 / 9920498115</t>
  </si>
  <si>
    <t>D-301, Sky Park CHS, MMRDA, CTS, 154/5, Ajit Glass road, Oshiwara Bridge, Jogeshwari-West, 400104.</t>
  </si>
  <si>
    <t>New Gautam Nagar, Plot no. 02, Opp. Devnar gate No. 09, Govandi.</t>
  </si>
  <si>
    <t>192/2025</t>
  </si>
  <si>
    <t>Ambad Po. St.</t>
  </si>
  <si>
    <t>Adv. Pranita Shirsath</t>
  </si>
  <si>
    <t>Shan Babu Khan 9768403100</t>
  </si>
  <si>
    <t>Ramchand Bhagchand Bhandare 9823327788/9404680113 Adv. Shinde</t>
  </si>
  <si>
    <t>Adv. Ganesh Khaire</t>
  </si>
  <si>
    <t>Insured Non-coopration- recording  / Claimant Not tracable / Spot</t>
  </si>
  <si>
    <t>For Claimant part only. (Connected case 2024214888 )</t>
  </si>
  <si>
    <t>Samadhan Humbe</t>
  </si>
  <si>
    <t>Pramod Nikam</t>
  </si>
  <si>
    <t>Adv. Chandrasen</t>
  </si>
  <si>
    <t>Barsi City po. St.</t>
  </si>
  <si>
    <t>Permit Extract</t>
  </si>
  <si>
    <t>Surekha Sadashiv Jadhav</t>
  </si>
  <si>
    <t>Dnyaneshwer Mohite</t>
  </si>
  <si>
    <t>Dr. Sanjay Yadav</t>
  </si>
  <si>
    <t>Adv. Arshad Naik</t>
  </si>
  <si>
    <t>For Claimant Part only. Connected Case - 2025202327</t>
  </si>
  <si>
    <t>Dharba Baliram Sarang</t>
  </si>
  <si>
    <t>Adv. Dipak Jadhav</t>
  </si>
  <si>
    <t>Detail shared</t>
  </si>
  <si>
    <t xml:space="preserve">Nr the field of Govind Amarsing Chavhan, On Chabra Tanda to Sonala Canal road. </t>
  </si>
  <si>
    <t>05/2024</t>
  </si>
  <si>
    <t>Not tracable</t>
  </si>
  <si>
    <t>MTP-N-2526-003637</t>
  </si>
  <si>
    <t xml:space="preserve">For Full Case. -- wrong details update aahe </t>
  </si>
  <si>
    <t>Udhav Patil Police</t>
  </si>
  <si>
    <t>Taufik</t>
  </si>
  <si>
    <t>Suhash Walke</t>
  </si>
  <si>
    <t>07/2024</t>
  </si>
  <si>
    <t>Adv. Manisha Kande</t>
  </si>
  <si>
    <t>Prasad Kulkarni</t>
  </si>
  <si>
    <t>House No. 188, Deogiri Colony, Mukundwadi, Sambhajinagar.</t>
  </si>
  <si>
    <t>Adv. Kamlesh Thorat</t>
  </si>
  <si>
    <t>Sindi, Khasgaon, Jafrabad, jalna, Sambhajinagar.</t>
  </si>
  <si>
    <t>On Latur to Omerga road infront of Sandhya Bar in village Narangwadi</t>
  </si>
  <si>
    <t xml:space="preserve">                                                                                                                                                                                                                                                                                                                                                                                                                                                                                                                                                                                                                                                                                                                                                                                                                                                                                                                                                                                                                                                                                                                                                                                                                                                                                                                                                                                                                                                                                                                                                                                                                                                                                                                                                                                                                                                                                                                                                                                                                                                                                                                                                                                                                                                         </t>
  </si>
  <si>
    <t>Adv. Mangesh Valsange</t>
  </si>
  <si>
    <t xml:space="preserve">For Hospital &amp; Eyewitness Verification </t>
  </si>
  <si>
    <t>Chaudhary Galli, Songir, T. Dist. Dhule 424309</t>
  </si>
  <si>
    <t>Kolvale Nagar, Near Nisarga Hospital, Malegaon Road, Dhule, Tal. Dist. Dhule 424001</t>
  </si>
  <si>
    <t>Sandeep Tiwari</t>
  </si>
  <si>
    <t>Gajanan Laxman Gadekar 9767027113</t>
  </si>
  <si>
    <t>234/2025</t>
  </si>
  <si>
    <t>Adv. Pranita Shirsat</t>
  </si>
  <si>
    <t>Claiment Part</t>
  </si>
  <si>
    <t xml:space="preserve">Kannad City PS </t>
  </si>
  <si>
    <t>0573/2023</t>
  </si>
  <si>
    <t>Shevta, Taq-Fulambri, Dist-Chatt Sambhajinagar.</t>
  </si>
  <si>
    <t>Dattanagar, Shingnapur, Tal. Kopargaon, Dist. Ahmednagar</t>
  </si>
  <si>
    <t>Tusshar</t>
  </si>
  <si>
    <t xml:space="preserve">On near the farms of Karmad Shivar, Aram Korde and Vitthal Korde on the road leading to the village.
</t>
  </si>
  <si>
    <t>Adv. Jayshree P</t>
  </si>
  <si>
    <t xml:space="preserve"> R/o. Hanuman Mandir, Raghunathpurwadi, Shivoor, Tq. Vaijapur, District Chh. Sambhajinagar.</t>
  </si>
  <si>
    <t>For Full Case.  (Except Insured and Driver and Spot )</t>
  </si>
  <si>
    <t xml:space="preserve">Chetan Kale </t>
  </si>
  <si>
    <t>R/o Yakkanchi (Harkanchi), Tq. &amp; Dist. Kalaburagi-585322.</t>
  </si>
  <si>
    <t>Adv. Shelar</t>
  </si>
  <si>
    <t xml:space="preserve">Pramod Nikam </t>
  </si>
  <si>
    <t xml:space="preserve">Promd Nikam </t>
  </si>
  <si>
    <t xml:space="preserve">Ganesh B </t>
  </si>
  <si>
    <t>R/O Jatnandur Tal.Shirur Kasar Dist. Beed</t>
  </si>
  <si>
    <t>R/O Dawalwadi, Tal- Badnapur, Dsit-Jalna, State-Maharashtra.</t>
  </si>
  <si>
    <t>R/O Mu Po Hanumanwadi, Nagar-Manmad Road
Shingve Naik, Taluka Nagar, Dist. Ahilyanagar</t>
  </si>
  <si>
    <t>Claiment Part &amp; Police Part</t>
  </si>
  <si>
    <t>Sagar Andhale</t>
  </si>
  <si>
    <t>For TPPD Details Only. (Connected Case - 2025212222)</t>
  </si>
  <si>
    <t>Insured &amp; driver Part</t>
  </si>
  <si>
    <t xml:space="preserve">Amit  Dalvi </t>
  </si>
  <si>
    <t>Summons case</t>
  </si>
  <si>
    <t>Adv. Mukund Patil</t>
  </si>
  <si>
    <t>Adv. Baliram Engale</t>
  </si>
  <si>
    <t>Taukif</t>
  </si>
  <si>
    <t>Adv. Mahadev Shinde</t>
  </si>
  <si>
    <t>devulgavgada tadund,yavat,pune.</t>
  </si>
  <si>
    <t>Prashant Juekar</t>
  </si>
  <si>
    <t>Prashant jejurka r</t>
  </si>
  <si>
    <t>sagar Andhale</t>
  </si>
  <si>
    <t xml:space="preserve">Sagar Andhale </t>
  </si>
  <si>
    <t>Sagar patil</t>
  </si>
  <si>
    <t>Dinesh Pillewan</t>
  </si>
  <si>
    <t>Adv. Jitendra Jumde</t>
  </si>
  <si>
    <t xml:space="preserve">Salim Shaikh </t>
  </si>
  <si>
    <t>Salim</t>
  </si>
  <si>
    <t>Khandoba Mal, Saroli Bk, Lohgaon, Pune.</t>
  </si>
  <si>
    <t>For Chargsheet only</t>
  </si>
  <si>
    <t xml:space="preserve">Tejal Ganesh kulKarni </t>
  </si>
  <si>
    <t>R/o Lotus Park,Cidco Waluj Mahanagar,Tal-Aurangabad.</t>
  </si>
  <si>
    <t>Mr.Sachin Basker Tribhavan</t>
  </si>
  <si>
    <t>R/o Gate No.15 Flat No, A-7,Shriram Plaza Cidco Wadgaon ,Khohate,Sambhajinagar,tal-dist-Sambhajinagar</t>
  </si>
  <si>
    <t>Tisgaon,Wadgaon Road Near ,Chordiya Farm House ,Tal-Dist-Sambhajinagar.</t>
  </si>
  <si>
    <t>For Injury Reassessment</t>
  </si>
  <si>
    <t>Karan Salave</t>
  </si>
  <si>
    <t>Extra traveeling charges RS140/-</t>
  </si>
  <si>
    <t>Bhagyawant Varvate</t>
  </si>
  <si>
    <t>Insured Part WBC Claim.</t>
  </si>
  <si>
    <t>Claimant Part Connected case - 2025212673</t>
  </si>
  <si>
    <t>Claimant Part Connected Case - 2025212673</t>
  </si>
  <si>
    <t>For Full Investigation</t>
  </si>
  <si>
    <t>Rohan Patil</t>
  </si>
  <si>
    <t>Prashant jureker</t>
  </si>
  <si>
    <t xml:space="preserve">Prashant Jejurkar </t>
  </si>
  <si>
    <t>For Full Case.</t>
  </si>
  <si>
    <t>Dhule City Stadium Area Devpur ,Dhule.</t>
  </si>
  <si>
    <t>For Complete Case.</t>
  </si>
  <si>
    <t>Ashok Ramji Puyad 9764135381</t>
  </si>
  <si>
    <t>Salim Shaikh</t>
  </si>
  <si>
    <t>Asaram Sitaram Neharkar IA 9130343891</t>
  </si>
  <si>
    <t>For Claimant Part Only. (Connected Case - 2025212721)</t>
  </si>
  <si>
    <t>For Full Investigation. (OD claim settled)</t>
  </si>
  <si>
    <t>Narayan Keshav Palave 9308745672</t>
  </si>
  <si>
    <t>Ravindra Mohan Tambe</t>
  </si>
  <si>
    <t>Prashant Jejureker</t>
  </si>
  <si>
    <t>For Complete investigation.</t>
  </si>
  <si>
    <t>Mashnaji  Kamaji Gajale 7378477794</t>
  </si>
  <si>
    <t>Abdul Kabeer Abdul Rasheed 9890128896</t>
  </si>
  <si>
    <t>Meghabai Madhav Jadhav  9096145728</t>
  </si>
  <si>
    <t>NIVARUTI VINAYAK KANDHARE 9975698803</t>
  </si>
  <si>
    <t>Shivhar  Deshmukh</t>
  </si>
  <si>
    <t>Maroti  Devrao Jadhav 8698717814</t>
  </si>
  <si>
    <t>Shila  Vyankat  Wade 9767665109</t>
  </si>
  <si>
    <t>Nanded to Narsi Road, Near Aparma/Pooja Hotel Narsi Tq. Naigaon(Kh), Dist. Nanded.</t>
  </si>
  <si>
    <t>Devidas Vitthalrao Zinzade 9158684821</t>
  </si>
  <si>
    <t>SHRI SAI TOURS AND TRAVELS  Nagnath Trimbak Davalbaje 7875002182</t>
  </si>
  <si>
    <t>204 Rs Extra charges for Travelling Expenses  For Insured and Driver</t>
  </si>
  <si>
    <t xml:space="preserve">Surya </t>
  </si>
  <si>
    <t>SHIVAJI DATTA THADKE 7057818688</t>
  </si>
  <si>
    <t>Surya</t>
  </si>
  <si>
    <t>For Full Case. (Except Claimant part)</t>
  </si>
  <si>
    <t>For Claimant Part Only. (Connected case - 2025206806)</t>
  </si>
  <si>
    <t>For Claimant Part Only. (Connected case - 2025206806</t>
  </si>
  <si>
    <t>Rukminbai  Balu Dhotare 8329369082</t>
  </si>
  <si>
    <t>NITIN VITTHALRAO KAWALE 9049672119</t>
  </si>
  <si>
    <t>For Claimant Part. (Connected Case)</t>
  </si>
  <si>
    <t>Aasma Begum  Shaikh Ateeq Bagwan 9922546722</t>
  </si>
  <si>
    <t>For Full Case. (Except Police Part)</t>
  </si>
  <si>
    <t>For Claimant Part</t>
  </si>
  <si>
    <t>Adv. Sudhir Walke</t>
  </si>
  <si>
    <t>santosh SHind e</t>
  </si>
  <si>
    <t>Note:- Our policy No. VA387999 are only covering the OD lability and TP liability coverage is with The New India Assurance Co hence collect that policy from Insured during visit.</t>
  </si>
  <si>
    <t>Employment Verification</t>
  </si>
  <si>
    <t xml:space="preserve">Ganesh/ Rohan </t>
  </si>
  <si>
    <t xml:space="preserve">WBC Claim </t>
  </si>
  <si>
    <t>For Full Case.  (Except Insured &amp; Driver Part)</t>
  </si>
  <si>
    <t>For Full Case</t>
  </si>
  <si>
    <t>Datta jadhav</t>
  </si>
  <si>
    <t xml:space="preserve">Datta jadhav </t>
  </si>
  <si>
    <t>Pankaj Kawade</t>
  </si>
  <si>
    <t>In the vicinity of old Ginning near the bridge, on Sengaon - Hingoli road.</t>
  </si>
  <si>
    <t>Surya/Suhas</t>
  </si>
  <si>
    <t>For Complete Case. (OD Claim Settled)</t>
  </si>
  <si>
    <t xml:space="preserve"> verify Medical bills</t>
  </si>
  <si>
    <t>Dinkar Nivruti Bhegade                                              Hospital Name =Pawana Hospital               Somatane Phata , Tq,Maval ,Pune 410506</t>
  </si>
  <si>
    <t>Ajit Shitole</t>
  </si>
  <si>
    <t>Chetan Kale</t>
  </si>
  <si>
    <t>on the left side of the road from Landgewadi to Kuchi village, near the house of Umesh Babar, who was carrying milk.</t>
  </si>
  <si>
    <t>Required complete chargesheet with same day MLC. 35 days delay in FIR</t>
  </si>
  <si>
    <t>Hospital Visit required MLC copy allocated to Shivhar</t>
  </si>
  <si>
    <t xml:space="preserve">insured driver </t>
  </si>
  <si>
    <t xml:space="preserve">Shubham Waghole </t>
  </si>
  <si>
    <t>For Police Part and Insured cum Driver Part (Except Clamiant and Spot)</t>
  </si>
  <si>
    <t xml:space="preserve">Shivhar Deshmukh </t>
  </si>
  <si>
    <t>For Claimant And Police Part.</t>
  </si>
  <si>
    <t>For Complete Case</t>
  </si>
  <si>
    <t>R/o Sogaon Post. Mapgaon Tq. Alibag Dist. Raygad.</t>
  </si>
  <si>
    <t>FE/Adv Name</t>
  </si>
  <si>
    <t>On - Board Date</t>
  </si>
  <si>
    <t>State</t>
  </si>
  <si>
    <t>Subdistrict</t>
  </si>
  <si>
    <t>Contact Number</t>
  </si>
  <si>
    <t>Email ID</t>
  </si>
  <si>
    <t>(All)</t>
  </si>
  <si>
    <t>Count of FULL CASE STATUS</t>
  </si>
  <si>
    <t>Pending for CS</t>
  </si>
  <si>
    <t>Grand Total</t>
  </si>
  <si>
    <t>Count of Status</t>
  </si>
  <si>
    <t>Allocation Part</t>
  </si>
  <si>
    <t>Generali Central Insurance Company Limited</t>
  </si>
  <si>
    <t>Status</t>
  </si>
  <si>
    <t>Eye Witness</t>
  </si>
  <si>
    <t>Medical Bill Verification</t>
  </si>
  <si>
    <t>RTO</t>
  </si>
  <si>
    <t>WMC</t>
  </si>
  <si>
    <t>Magma HDI General Insurance Company Ltd</t>
  </si>
  <si>
    <t>Applied</t>
  </si>
  <si>
    <t>SBI General Insurance Company Ltd</t>
  </si>
  <si>
    <t>CS Not Found</t>
  </si>
  <si>
    <t>Exibite Pending</t>
  </si>
  <si>
    <t>Nov-25</t>
  </si>
  <si>
    <t>Not Inititaed</t>
  </si>
  <si>
    <t>CS Not Filed</t>
  </si>
  <si>
    <t>Settlement</t>
  </si>
  <si>
    <t>GD Entery</t>
  </si>
  <si>
    <t>Count of COMPLETION DATE</t>
  </si>
  <si>
    <t>Daily Colusures</t>
  </si>
  <si>
    <t>Sr. No</t>
  </si>
  <si>
    <t>Client Code</t>
  </si>
  <si>
    <t>Date of Commencement</t>
  </si>
  <si>
    <t>Notice</t>
  </si>
  <si>
    <t>Safeway Concessions</t>
  </si>
  <si>
    <t>S001</t>
  </si>
  <si>
    <t>Indusind General Insurance Co Ltd</t>
  </si>
  <si>
    <t>Bajaj Allianz General Insurance Company Ltd</t>
  </si>
  <si>
    <t>Market View</t>
  </si>
  <si>
    <t>M001</t>
  </si>
  <si>
    <t>CDSL Insurance Repository Ltd</t>
  </si>
  <si>
    <t>C001</t>
  </si>
  <si>
    <t>National Insurance Company Ltd</t>
  </si>
  <si>
    <t>N001</t>
  </si>
  <si>
    <t>Kotak General Insurance Company Ltd</t>
  </si>
  <si>
    <t>K001</t>
  </si>
  <si>
    <t>SSD Shared Services Private Limited (Quicard)</t>
  </si>
  <si>
    <t>Q001</t>
  </si>
  <si>
    <t>Muon India Private Limited (Vertelo)</t>
  </si>
  <si>
    <t>V001</t>
  </si>
  <si>
    <t>Avance Counsulting Services (Quicard)</t>
  </si>
  <si>
    <t>Q002</t>
  </si>
  <si>
    <t>Finmech Bussiness Services (Quicard)</t>
  </si>
  <si>
    <t>Q003</t>
  </si>
  <si>
    <t>BSCPL Aurang Tollway Limited</t>
  </si>
  <si>
    <t>Hyderabad</t>
  </si>
  <si>
    <t>B002</t>
  </si>
  <si>
    <t>Hindustan Construction Company (HCC)</t>
  </si>
  <si>
    <t>H001</t>
  </si>
  <si>
    <t>GEM Engserv Pvt Ltd</t>
  </si>
  <si>
    <t>G001</t>
  </si>
  <si>
    <t>Mira Inform Pvt Ltd</t>
  </si>
  <si>
    <t>M003</t>
  </si>
  <si>
    <t>Claimant Visit</t>
  </si>
  <si>
    <t>Insured Visit</t>
  </si>
  <si>
    <t>Driver Visit</t>
  </si>
  <si>
    <t>DL Extract</t>
  </si>
  <si>
    <t>Rc Extract</t>
  </si>
  <si>
    <t>Spot Visit</t>
  </si>
  <si>
    <t>Police Station</t>
  </si>
  <si>
    <t xml:space="preserve">RTI </t>
  </si>
  <si>
    <t xml:space="preserve">Charge Sheet </t>
  </si>
  <si>
    <t>Within TAT</t>
  </si>
  <si>
    <t>Validation</t>
  </si>
  <si>
    <t>Remarks</t>
  </si>
  <si>
    <t>Invoice</t>
  </si>
  <si>
    <t>Invoice Status</t>
  </si>
  <si>
    <t>No</t>
  </si>
  <si>
    <t>CLIAM NUMABER</t>
  </si>
  <si>
    <t>Count of CASE RECIPET DATE</t>
  </si>
  <si>
    <t>Mar-25</t>
  </si>
  <si>
    <t>Aug-25</t>
  </si>
  <si>
    <t>Sep-25</t>
  </si>
  <si>
    <t>Oct-25</t>
  </si>
  <si>
    <t>Dec-25</t>
  </si>
  <si>
    <t>Apr-25</t>
  </si>
  <si>
    <t>Sep-24</t>
  </si>
  <si>
    <t>Jan-25</t>
  </si>
  <si>
    <t>Aug-24</t>
  </si>
  <si>
    <t>Oct-24</t>
  </si>
  <si>
    <t>l</t>
  </si>
  <si>
    <t>Copmany Name</t>
  </si>
  <si>
    <t>Email</t>
  </si>
  <si>
    <t>/;</t>
  </si>
  <si>
    <t>Allocation Date</t>
  </si>
  <si>
    <t>Completion Date</t>
  </si>
  <si>
    <t>NAME /police Station</t>
  </si>
  <si>
    <t>Address/FIR Details</t>
  </si>
  <si>
    <t>Allocation Reamrks</t>
  </si>
  <si>
    <t>Findings Remarks</t>
  </si>
  <si>
    <t xml:space="preserve"> Wages (Charges) </t>
  </si>
  <si>
    <t>Charges Status</t>
  </si>
  <si>
    <t>Hard Copy Status</t>
  </si>
  <si>
    <t>Babsaheb Jagdale</t>
  </si>
  <si>
    <t>20/12/2025</t>
  </si>
  <si>
    <t>Malegaon-Nashik</t>
  </si>
  <si>
    <t>Jagdale</t>
  </si>
  <si>
    <t>Adv. Nikhil Dhole Patil***</t>
  </si>
  <si>
    <t>Expected Next weak</t>
  </si>
  <si>
    <t>Ahmadnagar</t>
  </si>
  <si>
    <t>RCC No. 651/2025</t>
  </si>
  <si>
    <t>Adv. Janak Salunke</t>
  </si>
  <si>
    <t>C2254113101467-00</t>
  </si>
  <si>
    <t>25/06/2025</t>
  </si>
  <si>
    <t>Kingaon Raja Po. St.</t>
  </si>
  <si>
    <t>227/2023</t>
  </si>
  <si>
    <t>Adv. Omkar Mhaske</t>
  </si>
  <si>
    <t>19/06/2025</t>
  </si>
  <si>
    <t>Tuljapur Po. St.</t>
  </si>
  <si>
    <t>347/2023</t>
  </si>
  <si>
    <t>Kallamb Po. St.</t>
  </si>
  <si>
    <t>123/2024</t>
  </si>
  <si>
    <t>452/2022</t>
  </si>
  <si>
    <t>Yermal Po. St.</t>
  </si>
  <si>
    <t>224/2024</t>
  </si>
  <si>
    <t>Adv. Afreed Sayyed***</t>
  </si>
  <si>
    <t>20/08/2025</t>
  </si>
  <si>
    <t>Nanded/Latur</t>
  </si>
  <si>
    <t>Adv. Arvind G</t>
  </si>
  <si>
    <t>Vadgaon Maval-Pune</t>
  </si>
  <si>
    <t>Adv. Shubham Swami</t>
  </si>
  <si>
    <t>14/11/2025</t>
  </si>
  <si>
    <t>Murum Po. St.</t>
  </si>
  <si>
    <t>310/2024</t>
  </si>
  <si>
    <t>Adv. Rohit Chhajed***</t>
  </si>
  <si>
    <t>WITHDRAW</t>
  </si>
  <si>
    <t>26/11/2025</t>
  </si>
  <si>
    <t>24/12/2025</t>
  </si>
  <si>
    <t>Lonavala Po. St.</t>
  </si>
  <si>
    <t>UDR 60/2024</t>
  </si>
  <si>
    <t>Adv. Rohit Chhajed</t>
  </si>
  <si>
    <t xml:space="preserve">Dehu road Police Station  </t>
  </si>
  <si>
    <t>Wadgaon-Pune</t>
  </si>
  <si>
    <t>Adv. Gajanan Shendrika</t>
  </si>
  <si>
    <t>Gategaon Po. St. Latur</t>
  </si>
  <si>
    <t>131/2020</t>
  </si>
  <si>
    <t>CS not File</t>
  </si>
  <si>
    <t>18/09/2025</t>
  </si>
  <si>
    <t>Sagar Andhale***</t>
  </si>
  <si>
    <t xml:space="preserve">Driver </t>
  </si>
  <si>
    <t>Raju Udhav Garje</t>
  </si>
  <si>
    <t>Surdi, Asti, Beed. Near Shanimandir, Pathardi, Ahmadnagar.</t>
  </si>
  <si>
    <t>Adv. Sharad Deshmukh</t>
  </si>
  <si>
    <t>16/12/2025</t>
  </si>
  <si>
    <t>Nanded/Jalna</t>
  </si>
  <si>
    <t>Adv. Arshad Naik***</t>
  </si>
  <si>
    <t>PI Laxman Kendre/Adv. Arshad Naik</t>
  </si>
  <si>
    <t>27/10/2025</t>
  </si>
  <si>
    <t>Mukhed Po. St.</t>
  </si>
  <si>
    <t>C2260000100071-00</t>
  </si>
  <si>
    <t>Baliram Dharma Rathod</t>
  </si>
  <si>
    <t>R/O. Tina Naik Tanda, Pos-Ner, Tal - Jalna, Dis - Sambhajinagar.</t>
  </si>
  <si>
    <t>Non-Coopration</t>
  </si>
  <si>
    <t>Amol Ganesh Rathod</t>
  </si>
  <si>
    <t>Adv. Mahesh Shanbag reff to adv patil</t>
  </si>
  <si>
    <t>Kawthemahakal</t>
  </si>
  <si>
    <t>C2264103101109-00</t>
  </si>
  <si>
    <t>13/11/2025</t>
  </si>
  <si>
    <t>Nanasaheb eknath Pawar</t>
  </si>
  <si>
    <t>Bhalawni, Asti, Beed.</t>
  </si>
  <si>
    <t>Deepak Chavan</t>
  </si>
  <si>
    <t>Rohan Bansode</t>
  </si>
  <si>
    <t>Ajit/Suhas</t>
  </si>
  <si>
    <t>C2254103101036-00</t>
  </si>
  <si>
    <t>Ganesh Ramchandra Patil</t>
  </si>
  <si>
    <t>MH-42-AQ-9977 / MH2022-GP-5380E</t>
  </si>
  <si>
    <t>Kolhapur RTO</t>
  </si>
  <si>
    <t>Nirmal CSC</t>
  </si>
  <si>
    <t>13/10/2025</t>
  </si>
  <si>
    <t>Ramesh Nimba Patil</t>
  </si>
  <si>
    <t>Chalisgaon-Nashik</t>
  </si>
  <si>
    <t>Mr. Ravan Dayaram Patil.</t>
  </si>
  <si>
    <t>TP Driver</t>
  </si>
  <si>
    <t>Kavita Vijay Rajule - Yuvraj</t>
  </si>
  <si>
    <t>Ganesh Barde</t>
  </si>
  <si>
    <t>Nurjaha Rajak Shaikh</t>
  </si>
  <si>
    <t>Subhadra Ganesh Yadav 7972182319</t>
  </si>
  <si>
    <t>Beed/Barshi</t>
  </si>
  <si>
    <t>Adv. Shubham Raut***</t>
  </si>
  <si>
    <t>Adv. Chandeasen G***</t>
  </si>
  <si>
    <t>Adv.Ritapur /  Shahin***</t>
  </si>
  <si>
    <t>31/10/2025</t>
  </si>
  <si>
    <t>Sunil Annasaheb Kulat</t>
  </si>
  <si>
    <t>Somnath Bhagwan Dahifhale/Kisan Madane</t>
  </si>
  <si>
    <t>1 Check</t>
  </si>
  <si>
    <t>MH-14-CP-8647</t>
  </si>
  <si>
    <t>Ahilyanagar RTO</t>
  </si>
  <si>
    <t>Adv. Chandeasen G</t>
  </si>
  <si>
    <t>Rajendra Annasaheb Khedad</t>
  </si>
  <si>
    <t>Barbole Plot, Back to Shivshakti Garden, Barshi. Solapur.</t>
  </si>
  <si>
    <t>Eye witness with Audio Video Recording, Hosp-MLC, Spot visit &amp; CCTV footage , Po. St.-GD entry, IV &amp; TP damages/repair proof, News cutting.</t>
  </si>
  <si>
    <t>Azruddin Menuddin Shaikh</t>
  </si>
  <si>
    <t>Sanja Bypass road, Nr. Yamaha Showroom, Shivajinagar, Dharashiv.</t>
  </si>
  <si>
    <t>opposite oxygen park ,barshi. Ambehol, Dharashiv..</t>
  </si>
  <si>
    <t>Ajjet Shitole</t>
  </si>
  <si>
    <t>Dnyandev Sugriv Ragade</t>
  </si>
  <si>
    <t>Kondava Road, Gokul Nagar, Katraj, Pune.</t>
  </si>
  <si>
    <t>Real time photos, videos, CCTV footage, fast tag details of vehicle.</t>
  </si>
  <si>
    <t>PI Balaji Kukade</t>
  </si>
  <si>
    <t>Barshi City po. St.</t>
  </si>
  <si>
    <t>15/12/25</t>
  </si>
  <si>
    <t>KA-35-B-0749 Nanded RTO</t>
  </si>
  <si>
    <t>Prashant Jeurkar***</t>
  </si>
  <si>
    <t>Adv. Dipak Jadhav***</t>
  </si>
  <si>
    <t>30/10/2025</t>
  </si>
  <si>
    <t>18/10/2025</t>
  </si>
  <si>
    <t>Nitin Mayane***</t>
  </si>
  <si>
    <t>28/10/2025</t>
  </si>
  <si>
    <r>
      <t>Krishna Bhima Bhalbar</t>
    </r>
    <r>
      <rPr>
        <b/>
        <sz val="11"/>
        <color rgb="FF000000"/>
        <rFont val="Calibri"/>
      </rPr>
      <t xml:space="preserve"> 8308342966</t>
    </r>
  </si>
  <si>
    <t xml:space="preserve">Kolhapur </t>
  </si>
  <si>
    <t>Visited Not Responding</t>
  </si>
  <si>
    <t>Taufik Shaikh***</t>
  </si>
  <si>
    <t>Insuerd/Driver</t>
  </si>
  <si>
    <r>
      <t>Santosh Tukaram Tandel / Shridhar Killedar 9850178297/</t>
    </r>
    <r>
      <rPr>
        <b/>
        <sz val="11"/>
        <color rgb="FF000000"/>
        <rFont val="Calibri"/>
      </rPr>
      <t>9637431449</t>
    </r>
  </si>
  <si>
    <t>R/O Koregaon, Post - Massajog, Tal - Kaij, Beed. 431123.</t>
  </si>
  <si>
    <t xml:space="preserve">                              </t>
  </si>
  <si>
    <t>Adv. Manisha Kande***</t>
  </si>
  <si>
    <t>Ganesh Sanap***/Prasad Kulkarni</t>
  </si>
  <si>
    <t>Adv. Kamlesh Thorat***</t>
  </si>
  <si>
    <t>Non Treacable</t>
  </si>
  <si>
    <t>Adv. Shubham Raut</t>
  </si>
  <si>
    <t>Latur/Dharashiv</t>
  </si>
  <si>
    <t>Hire Hosp</t>
  </si>
  <si>
    <t>Chetan Chaudhari / Lotan Chaudhari</t>
  </si>
  <si>
    <t>Eye witness, Statement</t>
  </si>
  <si>
    <t>22/12/2025</t>
  </si>
  <si>
    <t>Insured &amp; Driver</t>
  </si>
  <si>
    <t>Not Possible</t>
  </si>
  <si>
    <t>Find Investigator</t>
  </si>
  <si>
    <t>Sinner</t>
  </si>
  <si>
    <t>Ganesh Sanap/Prasad Kulkarni</t>
  </si>
  <si>
    <t>Pendapur, Tal. Gangapur, District Aurangabad</t>
  </si>
  <si>
    <t>Gangapur-Sambhajinagar</t>
  </si>
  <si>
    <t>R/O   Khadgaon Taluka Gangapur Dist Aurangabad.</t>
  </si>
  <si>
    <t>Shubham Wagule</t>
  </si>
  <si>
    <t>Amit Dalvi/Shubham Wagule</t>
  </si>
  <si>
    <t>Claimant Statement</t>
  </si>
  <si>
    <t xml:space="preserve">Bebi  Dattatraya Kathar. 9607444474/ Adv. Jadhav 83294 03017 </t>
  </si>
  <si>
    <t>R/O  4-34-154, Lane No.1, Behind Sadbhavna Ganesh Mandir, New Hanuman Nagar, Garkheda Parisar, Chhatrapati Sambhajinagar.</t>
  </si>
  <si>
    <t>Sanjay kendare</t>
  </si>
  <si>
    <t xml:space="preserve">solapur </t>
  </si>
  <si>
    <t xml:space="preserve">Today Visit </t>
  </si>
  <si>
    <t>Employment Verifications</t>
  </si>
  <si>
    <t>Hospital Verifications</t>
  </si>
  <si>
    <t>Valsang Po St.</t>
  </si>
  <si>
    <t>364/2025 - RCC 496/2025</t>
  </si>
  <si>
    <t>Prahlad Piraji Umbre</t>
  </si>
  <si>
    <t>R/O Res. Bajrang Wadi, Vilholi Tal. Dist. Nashik</t>
  </si>
  <si>
    <t>NASHIK</t>
  </si>
  <si>
    <t>27/12/2025</t>
  </si>
  <si>
    <t>R/O Malhar Road, near Khandoba Temple, Tal. Satana, Dist. Nashik</t>
  </si>
  <si>
    <t xml:space="preserve">Praga Saghpal </t>
  </si>
  <si>
    <t>Gaurakh Gofane</t>
  </si>
  <si>
    <t>Srigonda</t>
  </si>
  <si>
    <t>Ujjwala Gokuldas Datir 9370245943</t>
  </si>
  <si>
    <t>R/o Pimpri Lauki Tal. Sangamner</t>
  </si>
  <si>
    <t>RAJENDRA SAHEBRAO CHAUDHARI 9096231099</t>
  </si>
  <si>
    <t>R/O AT SHEVARI MALSHEVAGE SHEVARI CHALISGAON CHALISGAON</t>
  </si>
  <si>
    <t>PRADIP BANDU BHAVAR 7558461502</t>
  </si>
  <si>
    <t>Shubham wagule</t>
  </si>
  <si>
    <t>Namrata</t>
  </si>
  <si>
    <t xml:space="preserve">RAMESHWAR VITTHAL BHAGYAWANT
</t>
  </si>
  <si>
    <t>R/O Dawalwadi, Tal- Badnapur, Dist-Jalna, State-Maharashtra</t>
  </si>
  <si>
    <t xml:space="preserve">SHUBHAM BHAGYAWANT
</t>
  </si>
  <si>
    <t xml:space="preserve">R/O Dawalwadi, Tal- Badnapur, Dsit-Jalna, State-Maharashtra.
</t>
  </si>
  <si>
    <t>At Pandharipul Near Hotel Radheshyam, on Nagar-Aurangabad road,</t>
  </si>
  <si>
    <t>Pranav Prakash Pund 9579435707</t>
  </si>
  <si>
    <t>R/O Pundwasti, Shingve Naik</t>
  </si>
  <si>
    <t>R/O Ra Mu Gavthan Babhulgaon</t>
  </si>
  <si>
    <t>R/O Mu Po Hanumanwadi, Nagar-Manmad Road</t>
  </si>
  <si>
    <t>On Ramwadi Shingve Road around An accident occurred near the temple</t>
  </si>
  <si>
    <t>Tushar Raut</t>
  </si>
  <si>
    <t>Kokangaon, Tal. Shrigonda District Ahilyanagar</t>
  </si>
  <si>
    <t>R/o Kalevasti, Athagaon Shrigonda District Ahilyanagar</t>
  </si>
  <si>
    <t>Suhas</t>
  </si>
  <si>
    <t>Kapil/Suhas Walke</t>
  </si>
  <si>
    <t>MH-22-BB-3624 M/Cycle</t>
  </si>
  <si>
    <t>jawla  ZURA PATRI ROAD AT,KHERDA PATI AREA TQ,PATRI,DIST-PARBHANI.</t>
  </si>
  <si>
    <t>BEED</t>
  </si>
  <si>
    <t>Dinesh Shingnarpure</t>
  </si>
  <si>
    <t>Krishna Hingne</t>
  </si>
  <si>
    <t xml:space="preserve">Ravindra Budhan baiga </t>
  </si>
  <si>
    <t>R/o Chincholi Fata,tal-Rahuri,Dist-Ahmadabad</t>
  </si>
  <si>
    <t>Ahilyanagar.</t>
  </si>
  <si>
    <t>N4/12/2025</t>
  </si>
  <si>
    <t>Sagar Patil</t>
  </si>
  <si>
    <t>21/12/2025</t>
  </si>
  <si>
    <t>Non Coopration</t>
  </si>
  <si>
    <t>Kiran Bhausaheb Nikam</t>
  </si>
  <si>
    <t>Mangesh Pradhan/Ajay K</t>
  </si>
  <si>
    <t>Vishal Gangadhar Zagade 9637271645 /Ujjwal 8788634684</t>
  </si>
  <si>
    <t>Bela Nagpur.</t>
  </si>
  <si>
    <t>Pradeep K/ Suhas</t>
  </si>
  <si>
    <t>House No. 326, Industrial Estate, Waed Sramik Nagar, Mul Road, Chandrapur. 442401.</t>
  </si>
  <si>
    <t>Biklesh Bhuyan</t>
  </si>
  <si>
    <t>Jharkhand</t>
  </si>
  <si>
    <t>Ganesh Barde ***</t>
  </si>
  <si>
    <t>MLC, Delay FIR, CS.</t>
  </si>
  <si>
    <t>Salim Shaikh***</t>
  </si>
  <si>
    <t>Shakil Alam Sayyad</t>
  </si>
  <si>
    <t>Line Driver</t>
  </si>
  <si>
    <t>Rajeev Sharma***</t>
  </si>
  <si>
    <t>15/11/2025</t>
  </si>
  <si>
    <t>Vishnudas Dattu Dade. Akshara Tours@Travels .</t>
  </si>
  <si>
    <t>On Dhokri To Kallamb Road, 400Ft Away Towards North Side From Deoldhanora pati.</t>
  </si>
  <si>
    <t>Taufik Shaikh</t>
  </si>
  <si>
    <t>19/11/2025</t>
  </si>
  <si>
    <t>Bhagyawan V***</t>
  </si>
  <si>
    <t>22/11/2025</t>
  </si>
  <si>
    <t>21/11/2025</t>
  </si>
  <si>
    <t>31/11/2025</t>
  </si>
  <si>
    <t>Shivhar Deshmukh***</t>
  </si>
  <si>
    <t>20/11/2025</t>
  </si>
  <si>
    <t>R/o.Bhim Nagar, Mahatpuri Tq.Gangakhed</t>
  </si>
  <si>
    <t>29/11/2025</t>
  </si>
  <si>
    <t>surya***</t>
  </si>
  <si>
    <t xml:space="preserve">Abdul Kabeer Abdul Rasheed 9890128896/ Wahid 9423441300 </t>
  </si>
  <si>
    <t>R/o. 9-5-714, Khandari Building, Khusro Nagar, Degloor Naka, Nanded .</t>
  </si>
  <si>
    <t xml:space="preserve">On near adampur to kerur ghat </t>
  </si>
  <si>
    <t>Ahmadpur</t>
  </si>
  <si>
    <t>Surya***</t>
  </si>
  <si>
    <t>P</t>
  </si>
  <si>
    <t>Hongoli</t>
  </si>
  <si>
    <t>Staement Pending</t>
  </si>
  <si>
    <t>16/12/25</t>
  </si>
  <si>
    <t>al</t>
  </si>
  <si>
    <t>R/o  Mokasdara, Tq. Naigaon(Kh), Dist. Nanded. 431709</t>
  </si>
  <si>
    <t>R/o. Aniket Nagar, Malegaon road. Taroda (Kh) Tq. &amp;, Dist. Nanded.</t>
  </si>
  <si>
    <t>Allocation Pending</t>
  </si>
  <si>
    <t>R/o  Degaon, tq. Purna, Distt. Parbhani</t>
  </si>
  <si>
    <t>R/o. Shantiniketan Colony, Gangakhed Road, Parbhani Tq.Dist. Parbhani</t>
  </si>
  <si>
    <t>Revisit</t>
  </si>
  <si>
    <t>Statement Pending</t>
  </si>
  <si>
    <t>Mohan  Munjaji Kadam 9420447107</t>
  </si>
  <si>
    <t>26/12/2025</t>
  </si>
  <si>
    <t>Nitin Mayane</t>
  </si>
  <si>
    <t>R/o Padali Darya,Tal-Parner,Dist-Ahilyanagar.</t>
  </si>
  <si>
    <t>Daund-Pune</t>
  </si>
  <si>
    <t>Nom Treacable</t>
  </si>
  <si>
    <t>Not possible</t>
  </si>
  <si>
    <t>Kapil G/Suhas</t>
  </si>
  <si>
    <t>30/12/2025</t>
  </si>
  <si>
    <t>Rahul Poyrekar</t>
  </si>
  <si>
    <t>Khalapur</t>
  </si>
  <si>
    <t>Non Coprative</t>
  </si>
  <si>
    <t xml:space="preserve">Leni vadval, Lonavala Gramin Police Station Pune </t>
  </si>
  <si>
    <t>Lonavala</t>
  </si>
  <si>
    <t xml:space="preserve">                                                                                                                                                                                                                                                                                                                                                                                                                                                                                                                                                                                                                                                                                                                                                                                                                                                                                                                                                                                                                                                                                                                                                                                                                                                                                                                                                                                                                                                                                                                                                                                                                                                                                                                                                                                                                                                                                                                                                                                                                                                                                                                                                                                                                                                                                                                                                                                                                                                                                                                                                                                                          </t>
  </si>
  <si>
    <t>Dpmbivili</t>
  </si>
  <si>
    <t>Plot No. At Nevali PO Mangrul, Kalyan,Ambernath</t>
  </si>
  <si>
    <t>Ambernath</t>
  </si>
  <si>
    <t>Kalyan Shilphata Road, Viko naka, Dombivli</t>
  </si>
  <si>
    <t>Dombivili</t>
  </si>
  <si>
    <t>R/o ,308/ 'B' Wing, Nav Arunodaya, Near to Padmaja Hospital, Bhayander (E)</t>
  </si>
  <si>
    <t>Bhayender</t>
  </si>
  <si>
    <t>Dahisar</t>
  </si>
  <si>
    <t>R/o ,308/ 'B' Wing, Nav Arunodaya Near to Padmaja Hospital, Bhayander (E)</t>
  </si>
  <si>
    <t xml:space="preserve">Hanoj viraf Jungalwala </t>
  </si>
  <si>
    <t>R/o Shafna Logistics Plot 100 Mahadev nagar Tubular Pensama At post Chalten Baroli.</t>
  </si>
  <si>
    <t>Vile Parle</t>
  </si>
  <si>
    <t>R/o ADJ To Room No.2703, Shop No.02} Chawl 170, Group 8A, Tagore Nagar, Vikharoli (East) Mumbai - 400083</t>
  </si>
  <si>
    <t>Vikroli</t>
  </si>
  <si>
    <t>On B.K.C Road, Kanakia Paris Building, Bandra (east) Mumbai.</t>
  </si>
  <si>
    <t>Bandra</t>
  </si>
  <si>
    <t>Datta***</t>
  </si>
  <si>
    <t>R/o Sangvi Tanda Tq. Ahemadpur, At present Near Hanuman Mandir, Ring Road, 5 No. Chowk, Latur, Tq. &amp; Dist. Latur.</t>
  </si>
  <si>
    <t>R/o FattunaikTanda Banvas, Tq. Pallam Dist. Parbhani.</t>
  </si>
  <si>
    <t>NA***</t>
  </si>
  <si>
    <t>Vinod Atrinandan Mote 9527640370</t>
  </si>
  <si>
    <t>Amit Dalvi***</t>
  </si>
  <si>
    <t>Pradeep Giri</t>
  </si>
  <si>
    <t>Ajeet Shitole</t>
  </si>
  <si>
    <t>28/11/2025</t>
  </si>
  <si>
    <t xml:space="preserve">Dinkar Nivruti Bhegade </t>
  </si>
  <si>
    <t>Hospital Name =Pawana Hospital Somatane Phata , Tq,Maval ,Pune 410506</t>
  </si>
  <si>
    <t xml:space="preserve">Report send to Namarta </t>
  </si>
  <si>
    <t>R/o Sr.No.89/90, A 165, Sairang Shrushti, Punawale Road, Jambe, Pune - 411 033.</t>
  </si>
  <si>
    <t>Iramna Wife Of Ramayya</t>
  </si>
  <si>
    <t>Hospital Name= Medical Officer Govt. Hospital Latur</t>
  </si>
  <si>
    <t>R/o Shelgaon, P.O. Saramkundi, Vashi, Dist. Osmanabad</t>
  </si>
  <si>
    <t>Nitin mayaner</t>
  </si>
  <si>
    <t>Sngli</t>
  </si>
  <si>
    <t>Nayum khha Pathan</t>
  </si>
  <si>
    <t>Chitegain, Paithan,</t>
  </si>
  <si>
    <t>Shubham Waghule***</t>
  </si>
  <si>
    <t>Vaishali  Govardhan Kakade 9707969696</t>
  </si>
  <si>
    <t>Santosh Shinde***</t>
  </si>
  <si>
    <t>Govandi</t>
  </si>
  <si>
    <t>Alibaug</t>
  </si>
  <si>
    <t>Loni-Kalbhor Pune</t>
  </si>
  <si>
    <t>Adv. Shubham Swami***</t>
  </si>
  <si>
    <t>Adv. Pooja Thorat***</t>
  </si>
  <si>
    <t>Required Petition Copy</t>
  </si>
  <si>
    <t>Payment Pending</t>
  </si>
  <si>
    <t>Adv. Ravindra Shirvat</t>
  </si>
  <si>
    <t>Paithan Po St</t>
  </si>
  <si>
    <t>Mirjagaon Police Station</t>
  </si>
  <si>
    <t>37/2025</t>
  </si>
  <si>
    <t>Adv. Sarika</t>
  </si>
  <si>
    <t>Ghodnadi-Pune</t>
  </si>
  <si>
    <t>Hardcopy recieved</t>
  </si>
  <si>
    <t>Adv. Rupali Sadgar</t>
  </si>
  <si>
    <t xml:space="preserve">Yavat police Station  </t>
  </si>
  <si>
    <t xml:space="preserve">Daund-Pune </t>
  </si>
  <si>
    <t xml:space="preserve">Shiradhon Police Staion </t>
  </si>
  <si>
    <t>Adv. Parmeshwer Mohite</t>
  </si>
  <si>
    <t>Ambad police station</t>
  </si>
  <si>
    <t>Re-Allocated</t>
  </si>
  <si>
    <t>Adv. Pooja Thorat</t>
  </si>
  <si>
    <t>Sanpada</t>
  </si>
  <si>
    <t>Adv. Mahadev Shinde***</t>
  </si>
  <si>
    <t>Shirodhan police Station</t>
  </si>
  <si>
    <t>Adv. Ashok Patil</t>
  </si>
  <si>
    <t>NO</t>
  </si>
  <si>
    <t>Adv. Sharad Deshmukh***</t>
  </si>
  <si>
    <t>241/2024</t>
  </si>
  <si>
    <t>Karanja gramin police Station</t>
  </si>
  <si>
    <t>29/12/2025</t>
  </si>
  <si>
    <t>Adv. Chandrakant Sonawane</t>
  </si>
  <si>
    <t>Borivali</t>
  </si>
  <si>
    <t>Adv. Kunal Jain</t>
  </si>
  <si>
    <t>Cannected Case 3437</t>
  </si>
  <si>
    <t>Makhran Dharma Gopane 8830124709</t>
  </si>
  <si>
    <t>santosh shinde</t>
  </si>
  <si>
    <t xml:space="preserve">R/o Talewadi TK </t>
  </si>
  <si>
    <t>dhule /chalisgaon</t>
  </si>
  <si>
    <t>0033/2024</t>
  </si>
  <si>
    <t>Alok</t>
  </si>
  <si>
    <t>Pangri Police Station</t>
  </si>
  <si>
    <t>Shravan Chavhan</t>
  </si>
  <si>
    <t>/prashant jeurkar</t>
  </si>
  <si>
    <t>Nandurbar Po. St.</t>
  </si>
  <si>
    <t>RC Extract</t>
  </si>
  <si>
    <t>Sandeep Shinde Police/Adv. Sopan Karale</t>
  </si>
  <si>
    <t>Kamshet Po. St.</t>
  </si>
  <si>
    <t>41/2017</t>
  </si>
  <si>
    <t>Wadgaon-Maval Pune</t>
  </si>
  <si>
    <t>prashant j</t>
  </si>
  <si>
    <t>Insuerd</t>
  </si>
  <si>
    <r>
      <t>Pravin Ashruba Andhale</t>
    </r>
    <r>
      <rPr>
        <b/>
        <sz val="11"/>
        <color rgb="FF000000"/>
        <rFont val="Calibri"/>
      </rPr>
      <t xml:space="preserve"> 9890471033</t>
    </r>
  </si>
  <si>
    <t>Anna Vaijinath Mulekar/Laxman Guumnar.</t>
  </si>
  <si>
    <t>F</t>
  </si>
  <si>
    <t>Ins Driver non Treacable</t>
  </si>
  <si>
    <t>Adv. M V</t>
  </si>
  <si>
    <t xml:space="preserve">Shri Deepak </t>
  </si>
  <si>
    <t>Manik Laxman Andhale 8830146414</t>
  </si>
  <si>
    <t>Reallocated</t>
  </si>
  <si>
    <t>Nihal Shaik</t>
  </si>
  <si>
    <t>shaikhanjum83@gmail.com</t>
  </si>
  <si>
    <t>Hospital Verification</t>
  </si>
  <si>
    <t>Kaktkar Hospital Nashik.</t>
  </si>
  <si>
    <t>pending</t>
  </si>
  <si>
    <t xml:space="preserve">Wadgaon Po. St.  </t>
  </si>
  <si>
    <t>00013/2024</t>
  </si>
  <si>
    <t>Connected2025213359</t>
  </si>
  <si>
    <t>Sahebrao Shankar Gaikwad 8261934922</t>
  </si>
  <si>
    <t>Bondhre Kannad Road Taluka Chalishgaon Dist jagaon</t>
  </si>
  <si>
    <t>Adv. Mangesh Valsange***</t>
  </si>
  <si>
    <t>Osmanbad</t>
  </si>
  <si>
    <t>Pradeep K/Suhas</t>
  </si>
  <si>
    <t>ineshpillewan30@gmail.com</t>
  </si>
  <si>
    <t>Reassesment</t>
  </si>
  <si>
    <t xml:space="preserve"> Pravinkumar Prabhakar Uikey</t>
  </si>
  <si>
    <t>R/o Padas Gaon ,Raka,Tah,Sadak ARjun D-Gondiya.</t>
  </si>
  <si>
    <t>Gondia-Nagpur</t>
  </si>
  <si>
    <t>Parag Sangpal</t>
  </si>
  <si>
    <t>Sangamner</t>
  </si>
  <si>
    <t>Chalisgaon</t>
  </si>
  <si>
    <t>Sakharam Laxman Jagdale</t>
  </si>
  <si>
    <t>R/O Jatnandur Tal.Shirur Kasar Dist. Beed 413229</t>
  </si>
  <si>
    <t>Ganesh Andhare</t>
  </si>
  <si>
    <t xml:space="preserve">insured </t>
  </si>
  <si>
    <t>MBV</t>
  </si>
  <si>
    <t>HBV</t>
  </si>
  <si>
    <t>pune</t>
  </si>
  <si>
    <r>
      <t xml:space="preserve"> </t>
    </r>
    <r>
      <rPr>
        <sz val="11"/>
        <color rgb="FF000000"/>
        <rFont val="Aptos Narrow"/>
        <charset val="1"/>
      </rPr>
      <t>R/o Flat No. K/201 Geomatrix Developers Silver Crest CHS, Plot No.29 Sector No. 25 Kamothe. Tal. Panvel Dist. Raigad</t>
    </r>
  </si>
  <si>
    <t>Kamothe</t>
  </si>
  <si>
    <t>Vinchurkar Diagonstic center</t>
  </si>
  <si>
    <t>Ramtek Near LIC office Camp Road malegaon.</t>
  </si>
  <si>
    <t xml:space="preserve">Yashwant multispeicalist hospital </t>
  </si>
  <si>
    <t>Near waje petrol pump pune nashik road sinner dist nashik</t>
  </si>
  <si>
    <t>Saykhedkar Hospital</t>
  </si>
  <si>
    <t>trimurti chowk Kamatwade rd opp Magal karyalya cidco nashik.</t>
  </si>
  <si>
    <t>Harshal lalge</t>
  </si>
  <si>
    <t>insured part</t>
  </si>
  <si>
    <t>Nilesh Ankush Nikat 9422891398</t>
  </si>
  <si>
    <t>Want to collect</t>
  </si>
  <si>
    <t>driver part</t>
  </si>
  <si>
    <t>Claimant part</t>
  </si>
  <si>
    <t>Sahebrao Shanakr Gaikwad</t>
  </si>
  <si>
    <t>Bondhre Kand road Tauka Calishgaon</t>
  </si>
  <si>
    <t>jalgaon</t>
  </si>
  <si>
    <t xml:space="preserve">sinner </t>
  </si>
  <si>
    <t>islampur multispeciality</t>
  </si>
  <si>
    <t>Shri Sai baba Hospital/Veer Saverkar Nagar Near Church Gate MaleGaon Camp.</t>
  </si>
  <si>
    <t>CHABU PANDHARINATH SARODE 9850119890/9960060475</t>
  </si>
  <si>
    <r>
      <t xml:space="preserve">Candanapuri, </t>
    </r>
    <r>
      <rPr>
        <b/>
        <sz val="10"/>
        <color rgb="FF000000"/>
        <rFont val="Calibri"/>
      </rPr>
      <t>Sangamner</t>
    </r>
    <r>
      <rPr>
        <sz val="10"/>
        <color rgb="FF000000"/>
        <rFont val="Calibri"/>
      </rPr>
      <t>, Ahilyanagar. 422605</t>
    </r>
  </si>
  <si>
    <t>Adv. Nitin Khedkar</t>
  </si>
  <si>
    <t>18/12/2025</t>
  </si>
  <si>
    <t>Nandgaove Po. St.</t>
  </si>
  <si>
    <t>237/2024</t>
  </si>
  <si>
    <t>Shushmita Vijay Sure</t>
  </si>
  <si>
    <t>R/O At Narsingpur, Taluka Kannad and District Aurangabad</t>
  </si>
  <si>
    <t>Vavi Po St</t>
  </si>
  <si>
    <t>Rukmini Shankar shinde</t>
  </si>
  <si>
    <t>Gondhal Galli, Boriparadhi, Pune. Now-CID colony, Kalburagi.</t>
  </si>
  <si>
    <t>Pune/Karnataka</t>
  </si>
  <si>
    <t>Tatyasaheb Kore 9225629075</t>
  </si>
  <si>
    <t>Warnanagar, Kodoli, Panhala, Kolhapur.416113</t>
  </si>
  <si>
    <t>On Solapur Pune Highway, In frount of Brudhwan, Varvanda Kavitcya Mala, Daund, Pune.</t>
  </si>
  <si>
    <t>Daund</t>
  </si>
  <si>
    <t>Yawat Po St</t>
  </si>
  <si>
    <t>Daund Pune</t>
  </si>
  <si>
    <t>Kolhapor</t>
  </si>
  <si>
    <t>MH-09-FV-9333</t>
  </si>
  <si>
    <t>Employment</t>
  </si>
  <si>
    <t>Hospital Part</t>
  </si>
  <si>
    <t>Req DL Copy</t>
  </si>
  <si>
    <t>Khadki Po St</t>
  </si>
  <si>
    <t>Adv. Shubham Bele</t>
  </si>
  <si>
    <t>Shiroli MIDC Po St</t>
  </si>
  <si>
    <t>Adv. Sonaji Satote</t>
  </si>
  <si>
    <t>23/12/2025</t>
  </si>
  <si>
    <t>Loni Kalbhor Po St</t>
  </si>
  <si>
    <t>141/2025</t>
  </si>
  <si>
    <t>Washi Po St</t>
  </si>
  <si>
    <t>383/2024</t>
  </si>
  <si>
    <t>Parwa Po St</t>
  </si>
  <si>
    <t>Adv.Dipali Sonawane/ Smita Patil</t>
  </si>
  <si>
    <t>Jalgaon Po St</t>
  </si>
  <si>
    <t>Kuntur Po St</t>
  </si>
  <si>
    <t>Omarga Po St</t>
  </si>
  <si>
    <t>Adv. Ketankumar Sarang</t>
  </si>
  <si>
    <t>Loha Po St</t>
  </si>
  <si>
    <t>Manatha Po St</t>
  </si>
  <si>
    <t>119/2022</t>
  </si>
  <si>
    <t>Nanded Po St</t>
  </si>
  <si>
    <t>453/2025</t>
  </si>
  <si>
    <t>Manavli-Pune</t>
  </si>
  <si>
    <t>City Chowk Po St</t>
  </si>
  <si>
    <t>129/2024</t>
  </si>
  <si>
    <t>Suhas Walke***</t>
  </si>
  <si>
    <t xml:space="preserve">Vijay Mandale </t>
  </si>
  <si>
    <t xml:space="preserve">Vijal mandal </t>
  </si>
  <si>
    <t>Adv. Suresh Gadade</t>
  </si>
  <si>
    <t xml:space="preserve">Vijay Mandal </t>
  </si>
  <si>
    <t>Vijay Mandal</t>
  </si>
  <si>
    <t xml:space="preserve">Sanghpal Kamble </t>
  </si>
  <si>
    <t>Adv. Rohan Gholap</t>
  </si>
  <si>
    <t>Pune Cantonment</t>
  </si>
  <si>
    <t>CPR Hospital - Kolhapur</t>
  </si>
  <si>
    <t>RC/Parmit Extract</t>
  </si>
  <si>
    <t>Pralhad Tukaram Jadhav 9850192192</t>
  </si>
  <si>
    <t>Bugaon, Mulshi, Pune. Juhutara Garden, C-02, Plat No - 05, Gananjay Socy, Kothrud. Pune.</t>
  </si>
  <si>
    <t xml:space="preserve">CHANDRAKANT LAXMAN THOPATE 7498965099/9011992599
</t>
  </si>
  <si>
    <t xml:space="preserve">Insured </t>
  </si>
  <si>
    <t>Mahendra Sudam Parbhane 9960538756</t>
  </si>
  <si>
    <t>RC &amp; DL Extract</t>
  </si>
  <si>
    <t>Taukhif Shaikh</t>
  </si>
  <si>
    <t xml:space="preserve">Sanjay Dhondiba Ufalkar </t>
  </si>
  <si>
    <t>Sujit Gopinath Patil 9324776215</t>
  </si>
  <si>
    <t>555, Pandive, Koproli, Raigad - 410206</t>
  </si>
  <si>
    <t>Panvel</t>
  </si>
  <si>
    <t>Jodbhavi Po. St.</t>
  </si>
  <si>
    <t xml:space="preserve">Shivasing Lalsing Rajput </t>
  </si>
  <si>
    <t>R/o Pardeshi Galli Vijapur tq,Vijapur Dist-Aurangabad .</t>
  </si>
  <si>
    <t>Shikh Raju Aziz</t>
  </si>
  <si>
    <t xml:space="preserve">R/o Takli KhatGaon Tal-Dist-Ahmadnagar </t>
  </si>
  <si>
    <t>537/2025</t>
  </si>
  <si>
    <t>397/2024</t>
  </si>
  <si>
    <t>Yawatmal</t>
  </si>
  <si>
    <t>Mahur Po. St.</t>
  </si>
  <si>
    <t>01/2025</t>
  </si>
  <si>
    <t>M0684351</t>
  </si>
  <si>
    <t>Ms. Anjana Sinsinwar 9982537728</t>
  </si>
  <si>
    <t xml:space="preserve">W/O Jeetendra Kumar, A-16 C 904, River Residency, Dehu Alandi Road, VTC: Chikhali, PO: Rupeenagar, District: Pune, </t>
  </si>
  <si>
    <t>FE Name</t>
  </si>
  <si>
    <t>Location (District)</t>
  </si>
  <si>
    <t xml:space="preserve">Contact Number </t>
  </si>
  <si>
    <t>Abdul Alim</t>
  </si>
  <si>
    <t>Asam</t>
  </si>
  <si>
    <t>abdulalim132@gmail.com</t>
  </si>
  <si>
    <t>Adv. Ramprasad Gaikwad</t>
  </si>
  <si>
    <t>Marathwada</t>
  </si>
  <si>
    <t>9404270541/8421788478</t>
  </si>
  <si>
    <t>Adv. Sambhaji Surwase</t>
  </si>
  <si>
    <t>9890805601/9765565777</t>
  </si>
  <si>
    <t>Ajay Kaherkar</t>
  </si>
  <si>
    <t>Vidarbha</t>
  </si>
  <si>
    <t>kaherkarajay15@gmail.com</t>
  </si>
  <si>
    <t>Amol Murtadak</t>
  </si>
  <si>
    <t>Ashish Vatkar</t>
  </si>
  <si>
    <t>ashishvatkar45@gmail.com</t>
  </si>
  <si>
    <t>Avinash Joshi</t>
  </si>
  <si>
    <t>92844 38740</t>
  </si>
  <si>
    <t>Bapurao Shinde</t>
  </si>
  <si>
    <t>PAN Maharahshtra</t>
  </si>
  <si>
    <t>Chandrasen Gaikwad</t>
  </si>
  <si>
    <t>9890839328/902828883</t>
  </si>
  <si>
    <t>chandrasen.gaikwad@gmail.com</t>
  </si>
  <si>
    <t>Dattanand Gavhane</t>
  </si>
  <si>
    <t xml:space="preserve"> 80879 99979</t>
  </si>
  <si>
    <t>dattanand.ssd@gmail.com</t>
  </si>
  <si>
    <t>Dharmendra</t>
  </si>
  <si>
    <t xml:space="preserve">Dr. Ajay Ladumor </t>
  </si>
  <si>
    <t>ajayladumor213@gmail.com</t>
  </si>
  <si>
    <t>Fardin</t>
  </si>
  <si>
    <t>gajanandevkar1991@gmail.com</t>
  </si>
  <si>
    <t>Ganesh Sontakke</t>
  </si>
  <si>
    <t>Imran Shaikh</t>
  </si>
  <si>
    <t>Kiran</t>
  </si>
  <si>
    <t>Newasa</t>
  </si>
  <si>
    <t>kiranadik27@gmail.com</t>
  </si>
  <si>
    <t xml:space="preserve">Kumar Bhosale </t>
  </si>
  <si>
    <t>kumarbhosale999@gmail.com</t>
  </si>
  <si>
    <t>Lal babu pandit</t>
  </si>
  <si>
    <t>lal babupandit4@gmail.com</t>
  </si>
  <si>
    <t>Madhvi</t>
  </si>
  <si>
    <t xml:space="preserve">madhavi.shovelsolutions@gmail.com; </t>
  </si>
  <si>
    <t>Milind Talukdar</t>
  </si>
  <si>
    <t>Assam</t>
  </si>
  <si>
    <t>milindght@gmail.com</t>
  </si>
  <si>
    <t>MR Rahul Yewale</t>
  </si>
  <si>
    <t>West Maharashtra</t>
  </si>
  <si>
    <t>Nana Gaikwad</t>
  </si>
  <si>
    <t>90115 09494</t>
  </si>
  <si>
    <t xml:space="preserve">nanagaikwad98@gmail.com </t>
  </si>
  <si>
    <t>North Maharashtra</t>
  </si>
  <si>
    <t>Parag Sapkale</t>
  </si>
  <si>
    <t>paragsapkale777@gmail.com</t>
  </si>
  <si>
    <t>pramodnikam@gmail.com</t>
  </si>
  <si>
    <t>Rahul Shete</t>
  </si>
  <si>
    <t>Ahemdnagar</t>
  </si>
  <si>
    <t>rahulshete4868@gmail.com</t>
  </si>
  <si>
    <t>Rajesh Nagarkar</t>
  </si>
  <si>
    <t>Rasul Shaikh</t>
  </si>
  <si>
    <t>shaikhrasul1991@gmail.com</t>
  </si>
  <si>
    <t>Ravindra Kumar</t>
  </si>
  <si>
    <t>Delhi</t>
  </si>
  <si>
    <t>kravindra2169@gmail.com</t>
  </si>
  <si>
    <t>Rohit waghmare</t>
  </si>
  <si>
    <t>Rupesh Chavhan</t>
  </si>
  <si>
    <t xml:space="preserve"> rrc.investigators@gmail.com</t>
  </si>
  <si>
    <t xml:space="preserve">Rushikesh Kogde </t>
  </si>
  <si>
    <t>Akola</t>
  </si>
  <si>
    <t>rkogde6@gmail.com</t>
  </si>
  <si>
    <t>Sachin Kamble</t>
  </si>
  <si>
    <t>sachinpkamble9990@gmail.com</t>
  </si>
  <si>
    <t xml:space="preserve">Sachin Kamble </t>
  </si>
  <si>
    <t>kamblesachin1818@gmail.com</t>
  </si>
  <si>
    <t>salimp080@gmail.com</t>
  </si>
  <si>
    <t>Sandeep Garunge</t>
  </si>
  <si>
    <t>Sandeep Jaiswal</t>
  </si>
  <si>
    <t>Sangpal Namdev Kamble</t>
  </si>
  <si>
    <t>9850632168/7391904654</t>
  </si>
  <si>
    <t>sangpalkamble20388@gmail.com</t>
  </si>
  <si>
    <t>Shivhar Chandrakant Deshmukh</t>
  </si>
  <si>
    <t>deshmukhshivhar@gmail.com</t>
  </si>
  <si>
    <t>Shrinivas</t>
  </si>
  <si>
    <t>shrinivasshastri007@gmail.com</t>
  </si>
  <si>
    <t>Shubham Egve</t>
  </si>
  <si>
    <t>Shubham Wakode Patil</t>
  </si>
  <si>
    <t>Suraj Mundhe</t>
  </si>
  <si>
    <t>Vinit Ingle</t>
  </si>
  <si>
    <t>vinitingle922@gmail.com</t>
  </si>
  <si>
    <t xml:space="preserve">Vishal Matunge </t>
  </si>
  <si>
    <t>matungevishal@gmail.com</t>
  </si>
  <si>
    <t>Vishwanath</t>
  </si>
  <si>
    <t>vishwanathnaravate@gmail.com</t>
  </si>
  <si>
    <t>Yashvant Mhatre</t>
  </si>
  <si>
    <t>7021239456/8779482473</t>
  </si>
  <si>
    <t>Why is his name in this list?</t>
  </si>
  <si>
    <t>Pune, Satara, Sangali, Kolhapur, Sindhudurg.</t>
  </si>
  <si>
    <t>Nitin.mayane@gmail.com</t>
  </si>
  <si>
    <t>shubhamrautadv@gmail.com</t>
  </si>
  <si>
    <t>Vijay Chavan</t>
  </si>
  <si>
    <t>Junnar-Pune</t>
  </si>
  <si>
    <t>vc566121@gmail.com</t>
  </si>
  <si>
    <t>Digvijay Gurav</t>
  </si>
  <si>
    <t>Sangli, Kolhapur.</t>
  </si>
  <si>
    <t>digvijayguravforother@gmail.com</t>
  </si>
  <si>
    <t>Ram Vyavhare</t>
  </si>
  <si>
    <t>Akola , Washim, Yavatmal, Amravati</t>
  </si>
  <si>
    <t>Yogesh Rathod</t>
  </si>
  <si>
    <t>8380098656 / 8830348561</t>
  </si>
  <si>
    <t>yogeshrathod8055@gmail.com</t>
  </si>
  <si>
    <t>Sandip Mhaske</t>
  </si>
  <si>
    <t>Adv. Prashant Pawar</t>
  </si>
  <si>
    <t>Shevgaon, Pathardi, Newasa, Ahmadnagar, Parner, Yeola, Shirdi, kopargaon, Manmad, Cha. Sambhajinagar.</t>
  </si>
  <si>
    <t>prashantpawar7373@gmail.com</t>
  </si>
  <si>
    <t>Krushna Hingne</t>
  </si>
  <si>
    <t>Washi, Kallamb - Dharashiv</t>
  </si>
  <si>
    <t>krishingne17@gmail.com</t>
  </si>
  <si>
    <t>Adv. Anant Lavande</t>
  </si>
  <si>
    <t>Latur, Solapur.</t>
  </si>
  <si>
    <t>Tuljapur - Dharashiv.</t>
  </si>
  <si>
    <t>kawadep709@gmail.com</t>
  </si>
  <si>
    <t>Rajshekhar C / Suhas</t>
  </si>
  <si>
    <t>MTP-N-2526-5257</t>
  </si>
  <si>
    <t xml:space="preserve">Samir Patel Basmir Patel </t>
  </si>
  <si>
    <t>R/o BLD No,2/60 Modi Khana Solapur North -413003</t>
  </si>
  <si>
    <t>ALOK</t>
  </si>
  <si>
    <t>Bhanudas Manikrao Burkul</t>
  </si>
  <si>
    <t>Takli Mali, Taluka, Dist. Aurangabad.</t>
  </si>
  <si>
    <t>Service Road ofSolapur Hydrabad Highway In  Front of  Khan Chacha Hotel Dist Solapur</t>
  </si>
  <si>
    <t>Narayan  Parasram Tonchar</t>
  </si>
  <si>
    <t>Ratnmala  Milind More</t>
  </si>
  <si>
    <t>Vaishali Nagar, Jawala Palshi Road, Hingoli Tq. &amp; Dist. Hingoli.</t>
  </si>
  <si>
    <t>Narayan  Parasram Tonchar,</t>
  </si>
  <si>
    <t xml:space="preserve"> Kanadkheda, Tq. &amp; Dist. Hingoli.</t>
  </si>
  <si>
    <t>vicinity of Narsi Fata, Hingoli Aundha Na. Road.</t>
  </si>
  <si>
    <t>0342/2024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</si>
</sst>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409]d\-mmm\-yy;@"/>
    <numFmt numFmtId="166" formatCode="[$-409]dd\-mmm\-yy;@"/>
  </numFmts>
  <fonts count="73">
    <font>
      <sz val="11"/>
      <color theme="1"/>
      <name val="Aptos Narrow"/>
      <family val="2"/>
      <scheme val="minor"/>
    </font>
    <font>
      <sz val="11"/>
      <color theme="0"/>
      <name val="Arial"/>
      <family val="2"/>
    </font>
    <font>
      <sz val="11"/>
      <color theme="0"/>
      <name val="Aptos Narrow"/>
      <family val="2"/>
      <scheme val="minor"/>
    </font>
    <font>
      <sz val="11"/>
      <color theme="1"/>
      <name val="Arial"/>
      <family val="2"/>
    </font>
    <font>
      <b/>
      <sz val="10"/>
      <color rgb="FFFFFFFF"/>
      <name val="Tahoma"/>
      <family val="2"/>
    </font>
    <font>
      <sz val="10"/>
      <color rgb="FF000000"/>
      <name val="Tahoma"/>
      <family val="2"/>
    </font>
    <font>
      <sz val="11"/>
      <color rgb="FF000000"/>
      <name val="Calibri"/>
      <family val="2"/>
    </font>
    <font>
      <sz val="11"/>
      <color rgb="FF000000"/>
      <name val="Aptos Narrow"/>
      <family val="2"/>
      <scheme val="minor"/>
    </font>
    <font>
      <sz val="10"/>
      <color theme="0"/>
      <name val="Tahoma"/>
      <family val="2"/>
    </font>
    <font>
      <sz val="11"/>
      <color theme="0"/>
      <name val="Aptos Narrow"/>
      <family val="2"/>
    </font>
    <font>
      <sz val="11"/>
      <color rgb="FF242424"/>
      <name val="Aptos Narrow"/>
      <family val="2"/>
    </font>
    <font>
      <sz val="11"/>
      <color rgb="FF1F1F1F"/>
      <name val="Aptos Display"/>
      <family val="2"/>
      <scheme val="major"/>
    </font>
    <font>
      <sz val="11"/>
      <color rgb="FF000000"/>
      <name val="Aptos Narrow"/>
      <family val="2"/>
    </font>
    <font>
      <sz val="11"/>
      <color rgb="FF333333"/>
      <name val="Source Sans Pro"/>
      <family val="2"/>
    </font>
    <font>
      <b/>
      <sz val="11"/>
      <color theme="1"/>
      <name val="Aptos"/>
      <family val="2"/>
    </font>
    <font>
      <sz val="11"/>
      <color rgb="FF333333"/>
      <name val="Calibri"/>
      <family val="2"/>
    </font>
    <font>
      <sz val="11"/>
      <color theme="1"/>
      <name val="Calibri"/>
      <family val="2"/>
    </font>
    <font>
      <sz val="11"/>
      <color rgb="FFFF0000"/>
      <name val="Aptos Narrow"/>
      <family val="2"/>
      <scheme val="minor"/>
    </font>
    <font>
      <sz val="12"/>
      <color theme="1"/>
      <name val="Aptos"/>
      <family val="2"/>
      <charset val="1"/>
    </font>
    <font>
      <sz val="12"/>
      <color theme="1"/>
      <name val="Calibri"/>
      <family val="2"/>
    </font>
    <font>
      <sz val="11"/>
      <color theme="1"/>
      <name val="Calibri"/>
      <family val="2"/>
      <charset val="1"/>
    </font>
    <font>
      <sz val="9"/>
      <color theme="1"/>
      <name val="Aptos"/>
      <family val="2"/>
    </font>
    <font>
      <sz val="12"/>
      <color rgb="FF000000"/>
      <name val="Calibri"/>
      <family val="2"/>
    </font>
    <font>
      <b/>
      <sz val="11"/>
      <color rgb="FF00B050"/>
      <name val="Aptos Narrow"/>
      <family val="2"/>
      <scheme val="minor"/>
    </font>
    <font>
      <sz val="12"/>
      <color rgb="FF262626"/>
      <name val="Aptos Serif"/>
      <family val="1"/>
      <charset val="1"/>
    </font>
    <font>
      <b/>
      <sz val="14"/>
      <color theme="1"/>
      <name val="Aptos Narrow"/>
      <family val="2"/>
      <scheme val="minor"/>
    </font>
    <font>
      <sz val="11"/>
      <color theme="1"/>
      <name val="Tahoma"/>
      <family val="2"/>
    </font>
    <font>
      <sz val="11"/>
      <color theme="0"/>
      <name val="Tahoma"/>
      <family val="2"/>
    </font>
    <font>
      <b/>
      <sz val="11"/>
      <color rgb="FF002060"/>
      <name val="Aptos Narrow"/>
      <family val="2"/>
      <scheme val="minor"/>
    </font>
    <font>
      <b/>
      <sz val="11"/>
      <color rgb="FFFFFF00"/>
      <name val="Aptos Narrow"/>
      <family val="2"/>
      <scheme val="minor"/>
    </font>
    <font>
      <b/>
      <sz val="11"/>
      <color theme="0"/>
      <name val="Arial"/>
      <family val="2"/>
    </font>
    <font>
      <sz val="11"/>
      <color theme="1"/>
      <name val="Arial"/>
      <family val="2"/>
    </font>
    <font>
      <sz val="11"/>
      <color rgb="FF242424"/>
      <name val="Arial"/>
      <family val="2"/>
    </font>
    <font>
      <b/>
      <sz val="11"/>
      <color theme="1"/>
      <name val="Arial"/>
      <family val="2"/>
    </font>
    <font>
      <sz val="11"/>
      <color rgb="FF333333"/>
      <name val="Arial"/>
      <family val="2"/>
    </font>
    <font>
      <sz val="11"/>
      <color rgb="FF000000"/>
      <name val="Arial"/>
      <family val="2"/>
    </font>
    <font>
      <sz val="10"/>
      <color theme="1"/>
      <name val="Tahoma"/>
      <family val="2"/>
    </font>
    <font>
      <u/>
      <sz val="11"/>
      <color theme="10"/>
      <name val="Aptos Narrow"/>
      <family val="2"/>
      <scheme val="minor"/>
    </font>
    <font>
      <sz val="9"/>
      <color rgb="FF605E5C"/>
      <name val="-Apple-System"/>
      <charset val="1"/>
    </font>
    <font>
      <sz val="10"/>
      <color rgb="FF333333"/>
      <name val="Tahoma"/>
      <family val="2"/>
    </font>
    <font>
      <sz val="10"/>
      <name val="Tahoma"/>
      <family val="2"/>
    </font>
    <font>
      <sz val="10.5"/>
      <color rgb="FF333333"/>
      <name val="Helvetica"/>
      <charset val="134"/>
    </font>
    <font>
      <sz val="11"/>
      <color theme="1"/>
      <name val="Aptos"/>
      <family val="2"/>
    </font>
    <font>
      <sz val="12"/>
      <color rgb="FF0A0A0A"/>
      <name val="Google Sans"/>
      <charset val="1"/>
    </font>
    <font>
      <sz val="11"/>
      <color rgb="FF00B050"/>
      <name val="Aptos Narrow"/>
      <family val="2"/>
      <scheme val="minor"/>
    </font>
    <font>
      <sz val="11"/>
      <color rgb="FF000000"/>
      <name val="Cambria"/>
      <family val="1"/>
    </font>
    <font>
      <sz val="11"/>
      <color theme="1"/>
      <name val="Cambria"/>
      <family val="1"/>
    </font>
    <font>
      <sz val="11"/>
      <color theme="1"/>
      <name val="Segoe UI"/>
      <family val="2"/>
    </font>
    <font>
      <b/>
      <sz val="11"/>
      <color rgb="FFFF0000"/>
      <name val="Cambria"/>
      <family val="1"/>
    </font>
    <font>
      <sz val="12"/>
      <color theme="1"/>
      <name val="Aptos Narrow"/>
      <family val="2"/>
      <scheme val="minor"/>
    </font>
    <font>
      <sz val="10"/>
      <name val="Tahoma"/>
    </font>
    <font>
      <sz val="11"/>
      <color rgb="FF333333"/>
      <name val="Source Sans Pro"/>
    </font>
    <font>
      <sz val="11"/>
      <color rgb="FF333333"/>
      <name val="Source Sans Pro"/>
      <charset val="1"/>
    </font>
    <font>
      <sz val="11"/>
      <color theme="1"/>
      <name val="Calibri"/>
    </font>
    <font>
      <b/>
      <sz val="11"/>
      <color rgb="FF000000"/>
      <name val="Calibri"/>
    </font>
    <font>
      <b/>
      <sz val="10"/>
      <color rgb="FF000000"/>
      <name val="Calibri"/>
    </font>
    <font>
      <sz val="10"/>
      <color rgb="FF000000"/>
      <name val="Calibri"/>
    </font>
    <font>
      <sz val="11"/>
      <color theme="0"/>
      <name val="Calibri"/>
    </font>
    <font>
      <sz val="11"/>
      <name val="Calibri"/>
    </font>
    <font>
      <sz val="11"/>
      <color rgb="FF000000"/>
      <name val="Calibri"/>
    </font>
    <font>
      <b/>
      <sz val="11"/>
      <color rgb="FFFF0000"/>
      <name val="Calibri"/>
    </font>
    <font>
      <sz val="11"/>
      <color rgb="FFFF0000"/>
      <name val="Calibri"/>
    </font>
    <font>
      <sz val="11"/>
      <color rgb="FF00B050"/>
      <name val="Calibri"/>
    </font>
    <font>
      <sz val="12"/>
      <color rgb="FF000000"/>
      <name val="Calibri"/>
    </font>
    <font>
      <sz val="11"/>
      <color rgb="FF242424"/>
      <name val="Calibri"/>
    </font>
    <font>
      <u/>
      <sz val="11"/>
      <color theme="10"/>
      <name val="Calibri"/>
    </font>
    <font>
      <b/>
      <sz val="11"/>
      <color rgb="FF00B050"/>
      <name val="Calibri"/>
    </font>
    <font>
      <sz val="11"/>
      <color rgb="FF000000"/>
      <name val="Aptos Narrow"/>
      <charset val="1"/>
    </font>
    <font>
      <sz val="11"/>
      <color rgb="FF1F497D"/>
      <name val="Calibri"/>
      <family val="2"/>
      <charset val="1"/>
    </font>
    <font>
      <sz val="11"/>
      <color theme="1"/>
      <name val="Arial"/>
    </font>
    <font>
      <sz val="11"/>
      <color rgb="FF000000"/>
      <name val="Arial"/>
    </font>
    <font>
      <sz val="11"/>
      <color rgb="FF000000"/>
      <name val="Tahoma"/>
    </font>
    <font>
      <sz val="11"/>
      <color rgb="FF242424"/>
      <name val="Aptos Narrow"/>
      <charset val="1"/>
    </font>
  </fonts>
  <fills count="22">
    <fill>
      <patternFill patternType="none"/>
    </fill>
    <fill>
      <patternFill patternType="gray125"/>
    </fill>
    <fill>
      <patternFill patternType="solid">
        <fgColor theme="7"/>
        <bgColor indexed="64"/>
      </patternFill>
    </fill>
    <fill>
      <patternFill patternType="solid">
        <fgColor rgb="FF4F81BD"/>
        <bgColor rgb="FF000000"/>
      </patternFill>
    </fill>
    <fill>
      <patternFill patternType="solid">
        <fgColor rgb="FFFFFF00"/>
        <bgColor indexed="64"/>
      </patternFill>
    </fill>
    <fill>
      <patternFill patternType="solid">
        <fgColor theme="7" tint="0.39997558519241921"/>
        <bgColor indexed="64"/>
      </patternFill>
    </fill>
    <fill>
      <patternFill patternType="solid">
        <fgColor theme="3" tint="0.499984740745262"/>
        <bgColor indexed="64"/>
      </patternFill>
    </fill>
    <fill>
      <patternFill patternType="solid">
        <fgColor rgb="FFFF0000"/>
        <bgColor indexed="64"/>
      </patternFill>
    </fill>
    <fill>
      <patternFill patternType="solid">
        <fgColor theme="6" tint="0.59999389629810485"/>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5F5F5"/>
        <bgColor indexed="64"/>
      </patternFill>
    </fill>
    <fill>
      <patternFill patternType="solid">
        <fgColor theme="3" tint="0.749992370372631"/>
        <bgColor indexed="64"/>
      </patternFill>
    </fill>
    <fill>
      <patternFill patternType="solid">
        <fgColor rgb="FF00B050"/>
        <bgColor indexed="64"/>
      </patternFill>
    </fill>
    <fill>
      <patternFill patternType="solid">
        <fgColor rgb="FFDBDBDB"/>
        <bgColor indexed="64"/>
      </patternFill>
    </fill>
    <fill>
      <patternFill patternType="solid">
        <fgColor rgb="FFFFFFFF"/>
        <bgColor rgb="FF000000"/>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rgb="FF000000"/>
      </top>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rgb="FF000000"/>
      </right>
      <top style="thin">
        <color theme="1"/>
      </top>
      <bottom/>
      <diagonal/>
    </border>
    <border>
      <left style="thin">
        <color theme="0"/>
      </left>
      <right style="thin">
        <color rgb="FF000000"/>
      </right>
      <top style="thin">
        <color theme="0"/>
      </top>
      <bottom/>
      <diagonal/>
    </border>
    <border>
      <left style="thin">
        <color rgb="FF000000"/>
      </left>
      <right/>
      <top style="thin">
        <color theme="0"/>
      </top>
      <bottom style="thin">
        <color theme="0"/>
      </bottom>
      <diagonal/>
    </border>
    <border>
      <left style="thin">
        <color rgb="FF000000"/>
      </left>
      <right/>
      <top style="thin">
        <color theme="0"/>
      </top>
      <bottom/>
      <diagonal/>
    </border>
    <border>
      <left style="thin">
        <color rgb="FF000000"/>
      </left>
      <right/>
      <top style="thin">
        <color theme="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F4F4F4"/>
      </left>
      <right style="thin">
        <color rgb="FFF4F4F4"/>
      </right>
      <top style="thin">
        <color rgb="FFF4F4F4"/>
      </top>
      <bottom/>
      <diagonal/>
    </border>
    <border>
      <left style="thin">
        <color indexed="64"/>
      </left>
      <right style="thin">
        <color indexed="64"/>
      </right>
      <top style="thin">
        <color indexed="64"/>
      </top>
      <bottom/>
      <diagonal/>
    </border>
  </borders>
  <cellStyleXfs count="2">
    <xf numFmtId="0" fontId="0" fillId="0" borderId="0"/>
    <xf numFmtId="0" fontId="37" fillId="0" borderId="0" applyNumberFormat="0" applyFill="0" applyBorder="0" applyAlignment="0" applyProtection="0"/>
  </cellStyleXfs>
  <cellXfs count="57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5" fillId="0" borderId="3" xfId="0" applyFont="1" applyBorder="1" applyAlignment="1">
      <alignment horizontal="center"/>
    </xf>
    <xf numFmtId="0" fontId="5" fillId="0" borderId="1" xfId="0" applyFont="1" applyBorder="1"/>
    <xf numFmtId="0" fontId="5" fillId="0" borderId="1" xfId="0" applyFont="1" applyBorder="1" applyAlignment="1">
      <alignment horizontal="center"/>
    </xf>
    <xf numFmtId="15" fontId="5" fillId="0" borderId="2" xfId="0" applyNumberFormat="1" applyFont="1" applyBorder="1"/>
    <xf numFmtId="0" fontId="6" fillId="0" borderId="1" xfId="0" applyFont="1" applyBorder="1"/>
    <xf numFmtId="0" fontId="5" fillId="0" borderId="7" xfId="0" applyFont="1" applyBorder="1" applyAlignment="1">
      <alignment horizontal="center"/>
    </xf>
    <xf numFmtId="0" fontId="5" fillId="0" borderId="8" xfId="0" applyFont="1" applyBorder="1"/>
    <xf numFmtId="0" fontId="5" fillId="0" borderId="8" xfId="0" applyFont="1" applyBorder="1" applyAlignment="1">
      <alignment horizontal="center"/>
    </xf>
    <xf numFmtId="15" fontId="5" fillId="0" borderId="9" xfId="0" applyNumberFormat="1" applyFont="1" applyBorder="1"/>
    <xf numFmtId="0" fontId="0" fillId="0" borderId="0" xfId="0" applyAlignment="1">
      <alignment horizontal="center" vertical="center"/>
    </xf>
    <xf numFmtId="15" fontId="0" fillId="0" borderId="0" xfId="0" applyNumberFormat="1" applyAlignment="1">
      <alignment horizontal="center" vertical="center"/>
    </xf>
    <xf numFmtId="0" fontId="8" fillId="2" borderId="1" xfId="0" applyFont="1" applyFill="1" applyBorder="1" applyAlignment="1">
      <alignment vertical="center"/>
    </xf>
    <xf numFmtId="0" fontId="2" fillId="2" borderId="0" xfId="0" applyFont="1" applyFill="1"/>
    <xf numFmtId="0" fontId="5" fillId="0" borderId="1" xfId="0" applyFont="1" applyBorder="1" applyAlignment="1">
      <alignment vertical="center"/>
    </xf>
    <xf numFmtId="0" fontId="8" fillId="2" borderId="0" xfId="0" applyFont="1" applyFill="1" applyAlignment="1">
      <alignment vertical="center"/>
    </xf>
    <xf numFmtId="0" fontId="5" fillId="0" borderId="0" xfId="0" applyFont="1" applyAlignment="1">
      <alignment vertical="center"/>
    </xf>
    <xf numFmtId="0" fontId="0" fillId="0" borderId="0" xfId="0" applyAlignment="1">
      <alignment wrapText="1"/>
    </xf>
    <xf numFmtId="0" fontId="0" fillId="0" borderId="0" xfId="0" pivotButton="1"/>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9" fillId="2" borderId="1" xfId="0" applyFont="1" applyFill="1" applyBorder="1" applyAlignment="1">
      <alignment vertical="center" wrapText="1"/>
    </xf>
    <xf numFmtId="0" fontId="2" fillId="2" borderId="0" xfId="0" applyFont="1" applyFill="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15" fontId="0" fillId="0" borderId="1" xfId="0" applyNumberFormat="1" applyBorder="1" applyAlignment="1">
      <alignment horizontal="center" vertical="center"/>
    </xf>
    <xf numFmtId="0" fontId="0" fillId="0" borderId="1" xfId="0" applyBorder="1"/>
    <xf numFmtId="0" fontId="0" fillId="0" borderId="1" xfId="0" applyBorder="1" applyAlignment="1">
      <alignment wrapText="1"/>
    </xf>
    <xf numFmtId="0" fontId="2" fillId="5" borderId="0" xfId="0" applyFont="1" applyFill="1" applyAlignment="1">
      <alignment horizontal="center" vertical="center"/>
    </xf>
    <xf numFmtId="0" fontId="2" fillId="5" borderId="1" xfId="0" applyFont="1" applyFill="1" applyBorder="1" applyAlignment="1">
      <alignment horizontal="center" vertical="center"/>
    </xf>
    <xf numFmtId="0" fontId="0" fillId="0" borderId="8" xfId="0" applyBorder="1"/>
    <xf numFmtId="0" fontId="0" fillId="0" borderId="1" xfId="0" applyBorder="1" applyAlignment="1">
      <alignment horizontal="left"/>
    </xf>
    <xf numFmtId="0" fontId="0" fillId="0" borderId="1" xfId="0" applyBorder="1" applyAlignment="1">
      <alignment horizontal="center"/>
    </xf>
    <xf numFmtId="0" fontId="2" fillId="6" borderId="1" xfId="0" applyFont="1" applyFill="1" applyBorder="1" applyAlignment="1">
      <alignment horizontal="center" vertical="center" wrapText="1"/>
    </xf>
    <xf numFmtId="0" fontId="10" fillId="0" borderId="0" xfId="0" applyFont="1"/>
    <xf numFmtId="0" fontId="0" fillId="7" borderId="0" xfId="0" applyFill="1"/>
    <xf numFmtId="0" fontId="0" fillId="0" borderId="2" xfId="0" applyBorder="1"/>
    <xf numFmtId="0" fontId="0" fillId="4" borderId="1" xfId="0" applyFill="1" applyBorder="1" applyAlignment="1">
      <alignment horizontal="center"/>
    </xf>
    <xf numFmtId="0" fontId="0" fillId="0" borderId="0" xfId="0" applyAlignment="1">
      <alignment horizontal="center"/>
    </xf>
    <xf numFmtId="0" fontId="2" fillId="5" borderId="1" xfId="0" applyFont="1" applyFill="1" applyBorder="1" applyAlignment="1">
      <alignment horizontal="right" vertical="center"/>
    </xf>
    <xf numFmtId="0" fontId="0" fillId="0" borderId="1" xfId="0" applyBorder="1" applyAlignment="1">
      <alignment horizontal="right"/>
    </xf>
    <xf numFmtId="0" fontId="0" fillId="0" borderId="0" xfId="0" applyAlignment="1">
      <alignment horizontal="right"/>
    </xf>
    <xf numFmtId="0" fontId="0" fillId="0" borderId="1" xfId="0" applyBorder="1" applyAlignment="1">
      <alignment horizontal="left" wrapText="1"/>
    </xf>
    <xf numFmtId="0" fontId="0" fillId="4" borderId="0" xfId="0" applyFill="1"/>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right"/>
    </xf>
    <xf numFmtId="16" fontId="0" fillId="0" borderId="1" xfId="0" applyNumberFormat="1" applyBorder="1"/>
    <xf numFmtId="0" fontId="0" fillId="0" borderId="5" xfId="0" applyBorder="1"/>
    <xf numFmtId="0" fontId="0" fillId="0" borderId="5" xfId="0" applyBorder="1" applyAlignment="1">
      <alignment horizontal="right"/>
    </xf>
    <xf numFmtId="0" fontId="0" fillId="7" borderId="1" xfId="0" applyFill="1" applyBorder="1"/>
    <xf numFmtId="0" fontId="0" fillId="7" borderId="1" xfId="0" applyFill="1" applyBorder="1" applyAlignment="1">
      <alignment horizontal="right"/>
    </xf>
    <xf numFmtId="0" fontId="13" fillId="0" borderId="0" xfId="0" applyFont="1" applyAlignment="1">
      <alignment horizontal="center" wrapText="1"/>
    </xf>
    <xf numFmtId="0" fontId="0" fillId="4" borderId="0" xfId="0" applyFill="1" applyAlignment="1">
      <alignment vertical="center"/>
    </xf>
    <xf numFmtId="0" fontId="5" fillId="0" borderId="0" xfId="0" applyFont="1"/>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wrapText="1"/>
    </xf>
    <xf numFmtId="15" fontId="5" fillId="0" borderId="2" xfId="0" applyNumberFormat="1" applyFont="1" applyBorder="1" applyAlignment="1">
      <alignment horizontal="center"/>
    </xf>
    <xf numFmtId="0" fontId="5" fillId="0" borderId="0" xfId="0" applyFont="1" applyAlignment="1">
      <alignment horizontal="center"/>
    </xf>
    <xf numFmtId="0" fontId="16" fillId="0" borderId="0" xfId="0" applyFont="1" applyAlignment="1">
      <alignment wrapText="1"/>
    </xf>
    <xf numFmtId="0" fontId="17" fillId="0" borderId="1" xfId="0" applyFont="1" applyBorder="1"/>
    <xf numFmtId="0" fontId="12" fillId="0" borderId="0" xfId="0" applyFont="1"/>
    <xf numFmtId="0" fontId="15" fillId="0" borderId="0" xfId="0" applyFont="1"/>
    <xf numFmtId="0" fontId="13" fillId="0" borderId="0" xfId="0" applyFont="1" applyAlignment="1">
      <alignment wrapText="1"/>
    </xf>
    <xf numFmtId="0" fontId="13" fillId="0" borderId="1" xfId="0" applyFont="1" applyBorder="1"/>
    <xf numFmtId="0" fontId="0" fillId="0" borderId="2" xfId="0" applyBorder="1" applyAlignment="1">
      <alignment horizontal="center"/>
    </xf>
    <xf numFmtId="0" fontId="0" fillId="0" borderId="3" xfId="0" applyBorder="1"/>
    <xf numFmtId="0" fontId="13" fillId="0" borderId="8" xfId="0" applyFont="1" applyBorder="1"/>
    <xf numFmtId="0" fontId="0" fillId="4" borderId="8" xfId="0" applyFill="1" applyBorder="1"/>
    <xf numFmtId="0" fontId="19" fillId="0" borderId="1" xfId="0" applyFont="1" applyBorder="1" applyAlignment="1">
      <alignment wrapText="1"/>
    </xf>
    <xf numFmtId="0" fontId="19" fillId="0" borderId="1" xfId="0" applyFont="1" applyBorder="1" applyAlignment="1">
      <alignment horizontal="center"/>
    </xf>
    <xf numFmtId="0" fontId="19" fillId="0" borderId="1" xfId="0" applyFont="1" applyBorder="1"/>
    <xf numFmtId="0" fontId="16" fillId="0" borderId="1" xfId="0" applyFont="1" applyBorder="1"/>
    <xf numFmtId="0" fontId="0" fillId="4" borderId="8" xfId="0" applyFill="1" applyBorder="1" applyAlignment="1">
      <alignment wrapText="1"/>
    </xf>
    <xf numFmtId="0" fontId="0" fillId="0" borderId="8" xfId="0" applyBorder="1" applyAlignment="1">
      <alignment horizontal="right"/>
    </xf>
    <xf numFmtId="0" fontId="0" fillId="0" borderId="8" xfId="0" applyBorder="1" applyAlignment="1">
      <alignment wrapText="1"/>
    </xf>
    <xf numFmtId="0" fontId="0" fillId="0" borderId="8" xfId="0" applyBorder="1" applyAlignment="1">
      <alignment horizontal="center"/>
    </xf>
    <xf numFmtId="0" fontId="19" fillId="0" borderId="0" xfId="0" applyFont="1"/>
    <xf numFmtId="0" fontId="19" fillId="0" borderId="0" xfId="0" applyFont="1" applyAlignment="1">
      <alignment wrapText="1"/>
    </xf>
    <xf numFmtId="0" fontId="19" fillId="0" borderId="8" xfId="0" applyFont="1" applyBorder="1" applyAlignment="1">
      <alignment horizontal="center"/>
    </xf>
    <xf numFmtId="0" fontId="19" fillId="0" borderId="8" xfId="0" applyFont="1" applyBorder="1"/>
    <xf numFmtId="0" fontId="18" fillId="0" borderId="1" xfId="0" applyFont="1" applyBorder="1"/>
    <xf numFmtId="0" fontId="18" fillId="0" borderId="1" xfId="0" applyFont="1" applyBorder="1" applyAlignment="1">
      <alignment wrapText="1"/>
    </xf>
    <xf numFmtId="0" fontId="0" fillId="0" borderId="9" xfId="0" applyBorder="1"/>
    <xf numFmtId="0" fontId="0" fillId="0" borderId="7" xfId="0" applyBorder="1"/>
    <xf numFmtId="0" fontId="0" fillId="0" borderId="6" xfId="0" applyBorder="1"/>
    <xf numFmtId="0" fontId="16" fillId="0" borderId="3" xfId="0" applyFont="1" applyBorder="1"/>
    <xf numFmtId="0" fontId="0" fillId="0" borderId="4" xfId="0" applyBorder="1"/>
    <xf numFmtId="0" fontId="0" fillId="0" borderId="1" xfId="0" applyBorder="1" applyAlignment="1">
      <alignment vertical="center" wrapText="1"/>
    </xf>
    <xf numFmtId="0" fontId="19" fillId="4" borderId="1" xfId="0" applyFont="1" applyFill="1" applyBorder="1"/>
    <xf numFmtId="0" fontId="7" fillId="0" borderId="1" xfId="0" applyFont="1" applyBorder="1"/>
    <xf numFmtId="0" fontId="0" fillId="0" borderId="5" xfId="0" applyBorder="1" applyAlignment="1">
      <alignment wrapText="1"/>
    </xf>
    <xf numFmtId="0" fontId="7" fillId="0" borderId="8" xfId="0" applyFont="1" applyBorder="1"/>
    <xf numFmtId="0" fontId="7" fillId="0" borderId="2" xfId="0" applyFont="1" applyBorder="1"/>
    <xf numFmtId="0" fontId="0" fillId="9" borderId="0" xfId="0" applyFill="1"/>
    <xf numFmtId="0" fontId="0" fillId="9" borderId="8" xfId="0" applyFill="1" applyBorder="1"/>
    <xf numFmtId="0" fontId="0" fillId="9" borderId="8" xfId="0" applyFill="1" applyBorder="1" applyAlignment="1">
      <alignment wrapText="1"/>
    </xf>
    <xf numFmtId="0" fontId="0" fillId="9" borderId="8" xfId="0" applyFill="1" applyBorder="1" applyAlignment="1">
      <alignment horizontal="right"/>
    </xf>
    <xf numFmtId="164" fontId="0" fillId="0" borderId="1" xfId="0" applyNumberFormat="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22" fillId="0" borderId="0" xfId="0" applyFont="1"/>
    <xf numFmtId="0" fontId="18" fillId="0" borderId="8" xfId="0" applyFont="1" applyBorder="1" applyAlignment="1">
      <alignment wrapText="1"/>
    </xf>
    <xf numFmtId="0" fontId="19" fillId="0" borderId="1" xfId="0" applyFont="1" applyBorder="1" applyAlignment="1">
      <alignment horizontal="left" wrapText="1"/>
    </xf>
    <xf numFmtId="0" fontId="19" fillId="4" borderId="1" xfId="0" applyFont="1" applyFill="1" applyBorder="1" applyAlignment="1">
      <alignment wrapText="1"/>
    </xf>
    <xf numFmtId="0" fontId="19" fillId="0" borderId="8" xfId="0" applyFont="1" applyBorder="1" applyAlignment="1">
      <alignment wrapText="1"/>
    </xf>
    <xf numFmtId="0" fontId="0" fillId="0" borderId="3" xfId="0" applyBorder="1" applyAlignment="1">
      <alignment wrapText="1"/>
    </xf>
    <xf numFmtId="0" fontId="0" fillId="0" borderId="1" xfId="0" applyBorder="1" applyAlignment="1">
      <alignment horizontal="center" wrapText="1"/>
    </xf>
    <xf numFmtId="0" fontId="17" fillId="0" borderId="0" xfId="0" applyFont="1"/>
    <xf numFmtId="0" fontId="17" fillId="4" borderId="1" xfId="0" applyFont="1" applyFill="1" applyBorder="1"/>
    <xf numFmtId="0" fontId="17" fillId="4" borderId="1" xfId="0" applyFont="1" applyFill="1" applyBorder="1" applyAlignment="1">
      <alignment wrapText="1"/>
    </xf>
    <xf numFmtId="0" fontId="0" fillId="9" borderId="1" xfId="0" applyFill="1" applyBorder="1" applyAlignment="1">
      <alignment horizontal="center" vertical="center"/>
    </xf>
    <xf numFmtId="0" fontId="0" fillId="9" borderId="1" xfId="0" applyFill="1" applyBorder="1" applyAlignment="1">
      <alignment vertical="center"/>
    </xf>
    <xf numFmtId="0" fontId="0" fillId="9" borderId="1" xfId="0" applyFill="1" applyBorder="1"/>
    <xf numFmtId="0" fontId="0" fillId="9" borderId="1" xfId="0" applyFill="1" applyBorder="1" applyAlignment="1">
      <alignment horizontal="right"/>
    </xf>
    <xf numFmtId="0" fontId="0" fillId="9" borderId="1" xfId="0" applyFill="1" applyBorder="1" applyAlignment="1">
      <alignment vertical="center" wrapText="1"/>
    </xf>
    <xf numFmtId="0" fontId="0" fillId="9" borderId="0" xfId="0" applyFill="1" applyAlignment="1">
      <alignment vertical="center"/>
    </xf>
    <xf numFmtId="0" fontId="0" fillId="9" borderId="1" xfId="0" applyFill="1" applyBorder="1" applyAlignment="1">
      <alignment horizontal="center"/>
    </xf>
    <xf numFmtId="0" fontId="19" fillId="4" borderId="8" xfId="0" applyFont="1" applyFill="1" applyBorder="1"/>
    <xf numFmtId="0" fontId="0" fillId="4" borderId="2" xfId="0" applyFill="1" applyBorder="1"/>
    <xf numFmtId="0" fontId="19" fillId="4" borderId="7" xfId="0" applyFont="1" applyFill="1" applyBorder="1"/>
    <xf numFmtId="0" fontId="0" fillId="4" borderId="3" xfId="0" applyFill="1" applyBorder="1"/>
    <xf numFmtId="0" fontId="0" fillId="9" borderId="1" xfId="0" applyFill="1" applyBorder="1" applyAlignment="1">
      <alignment wrapText="1"/>
    </xf>
    <xf numFmtId="0" fontId="14" fillId="4" borderId="0" xfId="0" applyFont="1" applyFill="1" applyAlignment="1">
      <alignment wrapText="1"/>
    </xf>
    <xf numFmtId="0" fontId="24" fillId="0" borderId="0" xfId="0" applyFont="1" applyAlignment="1">
      <alignment horizontal="center"/>
    </xf>
    <xf numFmtId="0" fontId="0" fillId="0" borderId="8" xfId="0" applyBorder="1" applyAlignment="1">
      <alignment horizontal="center" wrapText="1"/>
    </xf>
    <xf numFmtId="0" fontId="0" fillId="0" borderId="9" xfId="0" applyBorder="1" applyAlignment="1">
      <alignment horizontal="center"/>
    </xf>
    <xf numFmtId="0" fontId="26" fillId="0" borderId="0" xfId="0" applyFont="1" applyAlignment="1">
      <alignment horizontal="center"/>
    </xf>
    <xf numFmtId="0" fontId="26" fillId="0" borderId="0" xfId="0" applyFont="1"/>
    <xf numFmtId="0" fontId="27" fillId="11" borderId="9" xfId="0" applyFont="1" applyFill="1" applyBorder="1" applyAlignment="1">
      <alignment horizontal="center" vertical="center"/>
    </xf>
    <xf numFmtId="0" fontId="27" fillId="11" borderId="14" xfId="0" applyFont="1" applyFill="1" applyBorder="1" applyAlignment="1">
      <alignment horizontal="center" vertical="center"/>
    </xf>
    <xf numFmtId="0" fontId="27" fillId="11" borderId="7"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9" fillId="0" borderId="1" xfId="0" applyFont="1" applyBorder="1" applyAlignment="1">
      <alignment horizontal="left"/>
    </xf>
    <xf numFmtId="0" fontId="18" fillId="0" borderId="1" xfId="0" applyFont="1" applyBorder="1" applyAlignment="1">
      <alignment horizontal="left"/>
    </xf>
    <xf numFmtId="0" fontId="18" fillId="4" borderId="1" xfId="0" applyFont="1" applyFill="1" applyBorder="1" applyAlignment="1">
      <alignment horizontal="left"/>
    </xf>
    <xf numFmtId="0" fontId="0" fillId="4" borderId="1" xfId="0" applyFill="1" applyBorder="1" applyAlignment="1">
      <alignment horizontal="left"/>
    </xf>
    <xf numFmtId="0" fontId="0" fillId="9" borderId="1" xfId="0" applyFill="1" applyBorder="1" applyAlignment="1">
      <alignment horizontal="left"/>
    </xf>
    <xf numFmtId="0" fontId="0" fillId="0" borderId="8" xfId="0" applyBorder="1" applyAlignment="1">
      <alignment horizontal="left"/>
    </xf>
    <xf numFmtId="0" fontId="0" fillId="0" borderId="0" xfId="0" applyAlignment="1">
      <alignment horizontal="left"/>
    </xf>
    <xf numFmtId="0" fontId="0" fillId="0" borderId="1" xfId="0" applyBorder="1" applyAlignment="1">
      <alignment horizontal="center" vertical="top" wrapText="1"/>
    </xf>
    <xf numFmtId="0" fontId="13" fillId="0" borderId="8" xfId="0" applyFont="1" applyBorder="1" applyAlignment="1">
      <alignment horizontal="center" wrapText="1"/>
    </xf>
    <xf numFmtId="0" fontId="2" fillId="5" borderId="1" xfId="0" applyFont="1" applyFill="1" applyBorder="1" applyAlignment="1">
      <alignment horizontal="left" vertical="center"/>
    </xf>
    <xf numFmtId="0" fontId="0" fillId="7" borderId="1" xfId="0" applyFill="1" applyBorder="1" applyAlignment="1">
      <alignment horizontal="left"/>
    </xf>
    <xf numFmtId="0" fontId="17" fillId="0" borderId="1" xfId="0" applyFont="1" applyBorder="1" applyAlignment="1">
      <alignment horizontal="left"/>
    </xf>
    <xf numFmtId="0" fontId="23" fillId="0" borderId="1" xfId="0" applyFont="1" applyBorder="1" applyAlignment="1">
      <alignment horizontal="left"/>
    </xf>
    <xf numFmtId="0" fontId="15" fillId="8" borderId="0" xfId="0" applyFont="1" applyFill="1" applyAlignment="1">
      <alignment horizontal="left" wrapText="1"/>
    </xf>
    <xf numFmtId="0" fontId="15" fillId="9" borderId="0" xfId="0" applyFont="1" applyFill="1" applyAlignment="1">
      <alignment horizontal="left"/>
    </xf>
    <xf numFmtId="0" fontId="19" fillId="0" borderId="8" xfId="0" applyFont="1" applyBorder="1" applyAlignment="1">
      <alignment horizontal="left"/>
    </xf>
    <xf numFmtId="0" fontId="18" fillId="0" borderId="8" xfId="0" applyFont="1" applyBorder="1" applyAlignment="1">
      <alignment horizontal="left"/>
    </xf>
    <xf numFmtId="0" fontId="20" fillId="4" borderId="1" xfId="0" applyFont="1" applyFill="1" applyBorder="1" applyAlignment="1">
      <alignment horizontal="left"/>
    </xf>
    <xf numFmtId="0" fontId="0" fillId="0" borderId="5" xfId="0" applyBorder="1" applyAlignment="1">
      <alignment horizontal="left"/>
    </xf>
    <xf numFmtId="0" fontId="0" fillId="0" borderId="1" xfId="0" applyBorder="1" applyAlignment="1">
      <alignment horizontal="left" vertical="top"/>
    </xf>
    <xf numFmtId="0" fontId="0" fillId="0" borderId="1" xfId="0" applyBorder="1" applyAlignment="1">
      <alignment horizontal="left" vertical="top" wrapText="1"/>
    </xf>
    <xf numFmtId="0" fontId="0" fillId="13" borderId="1" xfId="0" applyFill="1" applyBorder="1" applyAlignment="1">
      <alignment horizontal="left"/>
    </xf>
    <xf numFmtId="0" fontId="27" fillId="12" borderId="17" xfId="0" applyFont="1" applyFill="1" applyBorder="1" applyAlignment="1">
      <alignment horizontal="center" vertical="center"/>
    </xf>
    <xf numFmtId="165" fontId="27" fillId="12" borderId="17" xfId="0" applyNumberFormat="1" applyFont="1" applyFill="1" applyBorder="1" applyAlignment="1">
      <alignment horizontal="center" vertical="center"/>
    </xf>
    <xf numFmtId="0" fontId="27" fillId="12" borderId="18" xfId="0" applyFont="1" applyFill="1" applyBorder="1" applyAlignment="1">
      <alignment horizontal="center" vertical="center"/>
    </xf>
    <xf numFmtId="0" fontId="0" fillId="4" borderId="1" xfId="0" applyFill="1" applyBorder="1" applyAlignment="1">
      <alignment horizontal="center" vertical="center"/>
    </xf>
    <xf numFmtId="0" fontId="13" fillId="0" borderId="0" xfId="0" applyFont="1"/>
    <xf numFmtId="0" fontId="13" fillId="0" borderId="1" xfId="0" applyFont="1" applyBorder="1" applyAlignment="1">
      <alignment wrapText="1"/>
    </xf>
    <xf numFmtId="0" fontId="0" fillId="0" borderId="2" xfId="0" applyBorder="1" applyAlignment="1">
      <alignment wrapText="1"/>
    </xf>
    <xf numFmtId="0" fontId="12" fillId="0" borderId="8" xfId="0" applyFont="1" applyBorder="1" applyAlignment="1">
      <alignment horizontal="center"/>
    </xf>
    <xf numFmtId="0" fontId="17" fillId="4" borderId="1" xfId="0" applyFont="1" applyFill="1" applyBorder="1" applyAlignment="1">
      <alignment horizontal="left"/>
    </xf>
    <xf numFmtId="0" fontId="17" fillId="0" borderId="1" xfId="0" applyFont="1" applyBorder="1" applyAlignment="1">
      <alignment wrapText="1"/>
    </xf>
    <xf numFmtId="0" fontId="19" fillId="0" borderId="1" xfId="0" applyFont="1" applyBorder="1" applyAlignment="1">
      <alignment horizontal="center" wrapText="1"/>
    </xf>
    <xf numFmtId="0" fontId="18" fillId="9" borderId="1" xfId="0" applyFont="1" applyFill="1" applyBorder="1" applyAlignment="1">
      <alignment horizontal="left"/>
    </xf>
    <xf numFmtId="0" fontId="20" fillId="9" borderId="0" xfId="0" applyFont="1" applyFill="1" applyAlignment="1">
      <alignment horizontal="left"/>
    </xf>
    <xf numFmtId="0" fontId="10" fillId="0" borderId="1" xfId="0" applyFont="1" applyBorder="1" applyAlignment="1">
      <alignment vertical="center"/>
    </xf>
    <xf numFmtId="0" fontId="10" fillId="0" borderId="1" xfId="0" applyFont="1" applyBorder="1" applyAlignment="1">
      <alignment vertical="center" wrapText="1"/>
    </xf>
    <xf numFmtId="0" fontId="0" fillId="9" borderId="1" xfId="0" applyFill="1" applyBorder="1" applyAlignment="1">
      <alignment horizontal="right" vertical="center"/>
    </xf>
    <xf numFmtId="0" fontId="0" fillId="0" borderId="1" xfId="0" applyBorder="1" applyAlignment="1">
      <alignment horizontal="right" vertical="center"/>
    </xf>
    <xf numFmtId="0" fontId="11" fillId="0" borderId="1" xfId="0" applyFont="1" applyBorder="1" applyAlignment="1">
      <alignment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0" fontId="12" fillId="0" borderId="1" xfId="0" applyFont="1" applyBorder="1" applyAlignment="1">
      <alignment vertical="center"/>
    </xf>
    <xf numFmtId="0" fontId="15" fillId="0" borderId="1" xfId="0" applyFont="1" applyBorder="1" applyAlignment="1">
      <alignment vertical="center"/>
    </xf>
    <xf numFmtId="0" fontId="19" fillId="0" borderId="1" xfId="0" applyFont="1" applyBorder="1" applyAlignment="1">
      <alignment vertical="center" wrapText="1"/>
    </xf>
    <xf numFmtId="0" fontId="19" fillId="0" borderId="1" xfId="0" applyFont="1" applyBorder="1" applyAlignment="1">
      <alignment vertical="center"/>
    </xf>
    <xf numFmtId="0" fontId="19" fillId="9" borderId="1" xfId="0" applyFont="1" applyFill="1" applyBorder="1" applyAlignment="1">
      <alignment vertical="center" wrapText="1"/>
    </xf>
    <xf numFmtId="0" fontId="16" fillId="0" borderId="1" xfId="0" applyFont="1" applyBorder="1" applyAlignment="1">
      <alignment vertical="center"/>
    </xf>
    <xf numFmtId="0" fontId="19" fillId="4" borderId="1" xfId="0" applyFont="1" applyFill="1" applyBorder="1" applyAlignment="1">
      <alignment vertical="center"/>
    </xf>
    <xf numFmtId="0" fontId="0" fillId="4" borderId="1" xfId="0" applyFill="1" applyBorder="1" applyAlignment="1">
      <alignment horizontal="right" vertical="center"/>
    </xf>
    <xf numFmtId="0" fontId="21" fillId="0" borderId="1" xfId="0" applyFont="1" applyBorder="1" applyAlignment="1">
      <alignment vertical="center" wrapText="1"/>
    </xf>
    <xf numFmtId="0" fontId="7" fillId="0" borderId="1" xfId="0" applyFont="1" applyBorder="1" applyAlignment="1">
      <alignment vertical="center"/>
    </xf>
    <xf numFmtId="0" fontId="10" fillId="0" borderId="0" xfId="0" applyFont="1" applyAlignment="1">
      <alignment vertical="center" wrapText="1"/>
    </xf>
    <xf numFmtId="0" fontId="0" fillId="0" borderId="2" xfId="0"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0" fillId="4" borderId="2" xfId="0" applyFill="1" applyBorder="1" applyAlignment="1">
      <alignment horizontal="center" vertical="center"/>
    </xf>
    <xf numFmtId="0" fontId="10" fillId="0" borderId="0" xfId="0" applyFont="1"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lignment horizontal="center" vertical="center"/>
    </xf>
    <xf numFmtId="0" fontId="0" fillId="0" borderId="8" xfId="0" applyBorder="1" applyAlignment="1">
      <alignment horizontal="left" vertical="center"/>
    </xf>
    <xf numFmtId="0" fontId="0" fillId="0" borderId="8" xfId="0" applyBorder="1" applyAlignment="1">
      <alignment horizontal="center" vertical="center" wrapText="1"/>
    </xf>
    <xf numFmtId="0" fontId="12" fillId="0" borderId="1" xfId="0" applyFont="1" applyBorder="1" applyAlignment="1">
      <alignment horizontal="center" vertical="center"/>
    </xf>
    <xf numFmtId="0" fontId="0" fillId="9" borderId="1" xfId="0" applyFill="1" applyBorder="1" applyAlignment="1">
      <alignment horizontal="center" vertical="center" wrapText="1"/>
    </xf>
    <xf numFmtId="0" fontId="8" fillId="2" borderId="1" xfId="0" applyFont="1" applyFill="1" applyBorder="1" applyAlignment="1">
      <alignment horizontal="center" vertical="center"/>
    </xf>
    <xf numFmtId="0" fontId="5" fillId="0" borderId="1" xfId="0" applyFont="1" applyBorder="1" applyAlignment="1">
      <alignment horizontal="center" vertical="center"/>
    </xf>
    <xf numFmtId="166" fontId="0" fillId="0" borderId="1" xfId="0" applyNumberFormat="1" applyBorder="1" applyAlignment="1">
      <alignment horizontal="center" vertical="center"/>
    </xf>
    <xf numFmtId="166" fontId="0" fillId="9" borderId="1" xfId="0" applyNumberFormat="1" applyFill="1" applyBorder="1" applyAlignment="1">
      <alignment horizontal="center" vertical="center"/>
    </xf>
    <xf numFmtId="166" fontId="0" fillId="4" borderId="1" xfId="0" applyNumberFormat="1" applyFill="1" applyBorder="1" applyAlignment="1">
      <alignment horizontal="center" vertical="center"/>
    </xf>
    <xf numFmtId="166" fontId="0" fillId="0" borderId="0" xfId="0" applyNumberFormat="1" applyAlignment="1">
      <alignment horizontal="center" vertical="center"/>
    </xf>
    <xf numFmtId="0" fontId="27" fillId="11" borderId="22" xfId="0" applyFont="1" applyFill="1" applyBorder="1" applyAlignment="1">
      <alignment horizontal="center" vertical="center"/>
    </xf>
    <xf numFmtId="0" fontId="28" fillId="0" borderId="0" xfId="0" applyFont="1"/>
    <xf numFmtId="0" fontId="0" fillId="0" borderId="5"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wrapText="1"/>
    </xf>
    <xf numFmtId="0" fontId="0" fillId="0" borderId="5" xfId="0" applyBorder="1" applyAlignment="1">
      <alignment vertical="center" wrapText="1"/>
    </xf>
    <xf numFmtId="0" fontId="29" fillId="0" borderId="0" xfId="0" pivotButton="1" applyFont="1"/>
    <xf numFmtId="15" fontId="9"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15"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xf numFmtId="0" fontId="3" fillId="0" borderId="0" xfId="0" applyFont="1" applyAlignment="1">
      <alignment horizontal="center"/>
    </xf>
    <xf numFmtId="0" fontId="30" fillId="12" borderId="0" xfId="0" applyFont="1" applyFill="1" applyAlignment="1">
      <alignment horizontal="center" vertical="center"/>
    </xf>
    <xf numFmtId="166" fontId="1" fillId="2" borderId="1" xfId="0" applyNumberFormat="1" applyFont="1" applyFill="1" applyBorder="1" applyAlignment="1">
      <alignment horizontal="center" vertical="center" wrapText="1"/>
    </xf>
    <xf numFmtId="166" fontId="3" fillId="0" borderId="0" xfId="0" applyNumberFormat="1" applyFont="1"/>
    <xf numFmtId="166" fontId="3" fillId="0" borderId="0" xfId="0" applyNumberFormat="1" applyFont="1" applyAlignment="1">
      <alignment horizontal="center"/>
    </xf>
    <xf numFmtId="0" fontId="28" fillId="0" borderId="0" xfId="0" applyFont="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5"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6" fillId="0" borderId="1" xfId="0" applyFont="1" applyBorder="1" applyAlignment="1">
      <alignment horizontal="center" vertical="center"/>
    </xf>
    <xf numFmtId="0" fontId="10" fillId="0" borderId="0" xfId="0" applyFont="1" applyAlignment="1">
      <alignment horizontal="center" vertical="center"/>
    </xf>
    <xf numFmtId="0" fontId="16" fillId="0" borderId="1" xfId="0" applyFont="1" applyBorder="1" applyAlignment="1">
      <alignment horizontal="center" vertical="center" wrapText="1"/>
    </xf>
    <xf numFmtId="0" fontId="19" fillId="9" borderId="1" xfId="0" applyFont="1" applyFill="1" applyBorder="1" applyAlignment="1">
      <alignment horizontal="center" vertical="center" wrapText="1"/>
    </xf>
    <xf numFmtId="0" fontId="19" fillId="4" borderId="1" xfId="0" applyFont="1" applyFill="1" applyBorder="1" applyAlignment="1">
      <alignment horizontal="center" vertical="center"/>
    </xf>
    <xf numFmtId="0" fontId="10" fillId="0" borderId="0" xfId="0" applyFont="1" applyAlignment="1">
      <alignment horizontal="center" vertical="center" wrapText="1"/>
    </xf>
    <xf numFmtId="0" fontId="0" fillId="14" borderId="0" xfId="0" applyFill="1"/>
    <xf numFmtId="0" fontId="5" fillId="14" borderId="8" xfId="0" applyFont="1" applyFill="1" applyBorder="1" applyAlignment="1">
      <alignment horizontal="center" vertical="center"/>
    </xf>
    <xf numFmtId="166" fontId="5" fillId="14" borderId="8" xfId="0" applyNumberFormat="1" applyFont="1" applyFill="1" applyBorder="1" applyAlignment="1">
      <alignment vertical="center"/>
    </xf>
    <xf numFmtId="0" fontId="7" fillId="14" borderId="8" xfId="0" applyFont="1" applyFill="1" applyBorder="1" applyAlignment="1">
      <alignment horizontal="center" vertical="center"/>
    </xf>
    <xf numFmtId="0" fontId="0" fillId="14" borderId="8" xfId="0" applyFill="1" applyBorder="1" applyAlignment="1">
      <alignment horizontal="center" vertical="center"/>
    </xf>
    <xf numFmtId="0" fontId="12" fillId="0" borderId="0" xfId="0" applyFont="1" applyAlignment="1">
      <alignment horizontal="center" vertical="center"/>
    </xf>
    <xf numFmtId="0" fontId="17" fillId="4" borderId="1" xfId="0" applyFont="1" applyFill="1" applyBorder="1" applyAlignment="1">
      <alignment vertical="center" wrapText="1"/>
    </xf>
    <xf numFmtId="0" fontId="17" fillId="0" borderId="1" xfId="0" applyFont="1" applyBorder="1" applyAlignment="1">
      <alignment vertical="center"/>
    </xf>
    <xf numFmtId="0" fontId="17" fillId="4" borderId="1" xfId="0" applyFont="1" applyFill="1" applyBorder="1" applyAlignment="1">
      <alignment vertical="center"/>
    </xf>
    <xf numFmtId="0" fontId="0" fillId="9" borderId="8" xfId="0" applyFill="1" applyBorder="1" applyAlignment="1">
      <alignment vertical="center" wrapText="1"/>
    </xf>
    <xf numFmtId="0" fontId="0" fillId="9" borderId="8" xfId="0" applyFill="1" applyBorder="1" applyAlignment="1">
      <alignment vertical="center"/>
    </xf>
    <xf numFmtId="0" fontId="0" fillId="4" borderId="8" xfId="0" applyFill="1" applyBorder="1" applyAlignment="1">
      <alignment vertical="center"/>
    </xf>
    <xf numFmtId="0" fontId="0" fillId="0" borderId="9" xfId="0" applyBorder="1" applyAlignment="1">
      <alignment vertical="center"/>
    </xf>
    <xf numFmtId="0" fontId="0" fillId="0" borderId="7" xfId="0" applyBorder="1" applyAlignment="1">
      <alignment vertical="center" wrapText="1"/>
    </xf>
    <xf numFmtId="0" fontId="0" fillId="15" borderId="1" xfId="0" applyFill="1" applyBorder="1" applyAlignment="1">
      <alignment horizontal="center" vertical="center"/>
    </xf>
    <xf numFmtId="0" fontId="0" fillId="15" borderId="1" xfId="0" applyFill="1" applyBorder="1" applyAlignment="1">
      <alignment horizontal="center" vertical="center" wrapText="1"/>
    </xf>
    <xf numFmtId="0" fontId="31" fillId="0" borderId="0" xfId="0" applyFont="1" applyAlignment="1">
      <alignment horizontal="center" vertical="center" wrapText="1"/>
    </xf>
    <xf numFmtId="0" fontId="32" fillId="0" borderId="1" xfId="0" applyFont="1" applyBorder="1" applyAlignment="1">
      <alignment horizontal="center"/>
    </xf>
    <xf numFmtId="0" fontId="32" fillId="0" borderId="1" xfId="0" applyFont="1" applyBorder="1" applyAlignment="1">
      <alignment horizontal="left"/>
    </xf>
    <xf numFmtId="0" fontId="32" fillId="0" borderId="1" xfId="0" applyFont="1" applyBorder="1" applyAlignment="1">
      <alignment horizontal="center" wrapText="1"/>
    </xf>
    <xf numFmtId="0" fontId="32" fillId="0" borderId="1" xfId="0" applyFont="1" applyBorder="1" applyAlignment="1">
      <alignment horizontal="left" wrapText="1"/>
    </xf>
    <xf numFmtId="0" fontId="33" fillId="0" borderId="1" xfId="0" applyFont="1" applyBorder="1" applyAlignment="1">
      <alignment horizontal="left"/>
    </xf>
    <xf numFmtId="0" fontId="34" fillId="0" borderId="1" xfId="0" applyFont="1" applyBorder="1" applyAlignment="1">
      <alignment horizontal="center" wrapText="1"/>
    </xf>
    <xf numFmtId="0" fontId="34" fillId="0" borderId="1" xfId="0" applyFont="1" applyBorder="1" applyAlignment="1">
      <alignment horizontal="center"/>
    </xf>
    <xf numFmtId="0" fontId="32" fillId="0" borderId="0" xfId="0" applyFont="1" applyAlignment="1">
      <alignment horizontal="center"/>
    </xf>
    <xf numFmtId="0" fontId="32" fillId="0" borderId="0" xfId="0" applyFont="1"/>
    <xf numFmtId="0" fontId="31" fillId="0" borderId="0" xfId="0" applyFont="1" applyAlignment="1">
      <alignment horizontal="left" vertical="center"/>
    </xf>
    <xf numFmtId="0" fontId="31" fillId="0" borderId="0" xfId="0" applyFont="1" applyAlignment="1">
      <alignment horizontal="center" vertical="center"/>
    </xf>
    <xf numFmtId="0" fontId="35" fillId="0" borderId="1" xfId="0" applyFont="1" applyBorder="1" applyAlignment="1">
      <alignment horizontal="left"/>
    </xf>
    <xf numFmtId="0" fontId="35"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horizontal="left" vertical="center"/>
    </xf>
    <xf numFmtId="0" fontId="3" fillId="0" borderId="1" xfId="0" applyFont="1" applyBorder="1" applyAlignment="1">
      <alignment horizontal="left" wrapText="1"/>
    </xf>
    <xf numFmtId="0" fontId="3" fillId="4" borderId="1" xfId="0" applyFont="1" applyFill="1" applyBorder="1" applyAlignment="1">
      <alignment horizontal="left"/>
    </xf>
    <xf numFmtId="0" fontId="3" fillId="4" borderId="1" xfId="0" applyFont="1" applyFill="1" applyBorder="1" applyAlignment="1">
      <alignment horizontal="center"/>
    </xf>
    <xf numFmtId="0" fontId="3" fillId="9" borderId="1" xfId="0" applyFont="1" applyFill="1" applyBorder="1" applyAlignment="1">
      <alignment horizontal="center" vertical="top" wrapText="1"/>
    </xf>
    <xf numFmtId="0" fontId="3" fillId="9" borderId="1" xfId="0" applyFont="1" applyFill="1" applyBorder="1" applyAlignment="1">
      <alignment horizontal="center" vertical="top"/>
    </xf>
    <xf numFmtId="0" fontId="3" fillId="9" borderId="1" xfId="0" applyFont="1" applyFill="1" applyBorder="1" applyAlignment="1">
      <alignment horizontal="center"/>
    </xf>
    <xf numFmtId="0" fontId="3" fillId="0" borderId="8" xfId="0" applyFont="1" applyBorder="1" applyAlignment="1">
      <alignment horizontal="left"/>
    </xf>
    <xf numFmtId="0" fontId="3" fillId="0" borderId="8" xfId="0" applyFont="1" applyBorder="1" applyAlignment="1">
      <alignment horizontal="center"/>
    </xf>
    <xf numFmtId="0" fontId="3" fillId="0" borderId="1" xfId="0" applyFont="1" applyBorder="1"/>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5" xfId="0" applyFont="1" applyBorder="1" applyAlignment="1">
      <alignment vertical="center"/>
    </xf>
    <xf numFmtId="0" fontId="5" fillId="0" borderId="5" xfId="0" applyFont="1" applyBorder="1" applyAlignment="1">
      <alignment horizontal="center" vertical="center"/>
    </xf>
    <xf numFmtId="0" fontId="5" fillId="0" borderId="1" xfId="0" applyFont="1" applyBorder="1" applyAlignment="1">
      <alignment vertical="center" wrapText="1"/>
    </xf>
    <xf numFmtId="14" fontId="5" fillId="0" borderId="1" xfId="0" applyNumberFormat="1" applyFont="1" applyBorder="1" applyAlignment="1">
      <alignment vertical="center"/>
    </xf>
    <xf numFmtId="0" fontId="6" fillId="0" borderId="1" xfId="0" applyFont="1" applyBorder="1" applyAlignment="1">
      <alignment wrapText="1"/>
    </xf>
    <xf numFmtId="0" fontId="6" fillId="4" borderId="1" xfId="0" applyFont="1" applyFill="1" applyBorder="1" applyAlignment="1">
      <alignment wrapText="1"/>
    </xf>
    <xf numFmtId="0" fontId="6" fillId="9" borderId="1" xfId="0" applyFont="1" applyFill="1" applyBorder="1"/>
    <xf numFmtId="0" fontId="36"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horizontal="center" vertical="center"/>
    </xf>
    <xf numFmtId="17" fontId="0" fillId="0" borderId="1" xfId="0" applyNumberFormat="1" applyBorder="1" applyAlignment="1">
      <alignment vertical="center"/>
    </xf>
    <xf numFmtId="0" fontId="2" fillId="2" borderId="0" xfId="0" applyFont="1" applyFill="1" applyAlignment="1">
      <alignment horizontal="center"/>
    </xf>
    <xf numFmtId="0" fontId="0" fillId="0" borderId="3" xfId="0" applyBorder="1" applyAlignment="1">
      <alignment vertical="center"/>
    </xf>
    <xf numFmtId="166" fontId="0" fillId="0" borderId="8" xfId="0" applyNumberFormat="1" applyBorder="1" applyAlignment="1">
      <alignment horizontal="center" vertical="center"/>
    </xf>
    <xf numFmtId="166" fontId="0" fillId="0" borderId="5" xfId="0" applyNumberFormat="1" applyBorder="1" applyAlignment="1">
      <alignment horizontal="center" vertical="center"/>
    </xf>
    <xf numFmtId="0" fontId="7" fillId="14" borderId="8" xfId="0" applyFont="1" applyFill="1" applyBorder="1" applyAlignment="1">
      <alignment horizontal="center" vertical="center" wrapText="1"/>
    </xf>
    <xf numFmtId="0" fontId="5" fillId="14" borderId="1" xfId="0" applyFont="1" applyFill="1" applyBorder="1" applyAlignment="1">
      <alignment horizontal="center" vertical="center"/>
    </xf>
    <xf numFmtId="2" fontId="5" fillId="14" borderId="1" xfId="0" applyNumberFormat="1" applyFont="1" applyFill="1" applyBorder="1" applyAlignment="1">
      <alignment horizontal="center" vertical="center"/>
    </xf>
    <xf numFmtId="0" fontId="5" fillId="14" borderId="1" xfId="0" applyFont="1" applyFill="1" applyBorder="1" applyAlignment="1">
      <alignment horizontal="center" vertical="center" wrapText="1"/>
    </xf>
    <xf numFmtId="0" fontId="7" fillId="14" borderId="1" xfId="0" applyFont="1" applyFill="1" applyBorder="1" applyAlignment="1">
      <alignment vertical="center"/>
    </xf>
    <xf numFmtId="0" fontId="25" fillId="14" borderId="1" xfId="0" applyFont="1" applyFill="1" applyBorder="1" applyAlignment="1">
      <alignment vertical="center"/>
    </xf>
    <xf numFmtId="15" fontId="0" fillId="0" borderId="0" xfId="0" applyNumberFormat="1" applyAlignment="1">
      <alignment horizontal="center"/>
    </xf>
    <xf numFmtId="15" fontId="5" fillId="14" borderId="1" xfId="0" applyNumberFormat="1" applyFont="1" applyFill="1" applyBorder="1" applyAlignment="1">
      <alignment horizontal="center" vertical="center" wrapText="1"/>
    </xf>
    <xf numFmtId="15" fontId="0" fillId="0" borderId="0" xfId="0" applyNumberFormat="1" applyAlignment="1">
      <alignment horizontal="center" wrapText="1"/>
    </xf>
    <xf numFmtId="0" fontId="7" fillId="14" borderId="1" xfId="0" applyFont="1" applyFill="1" applyBorder="1" applyAlignment="1">
      <alignment horizontal="center" vertical="center" wrapText="1"/>
    </xf>
    <xf numFmtId="0" fontId="0" fillId="0" borderId="0" xfId="0" applyAlignment="1">
      <alignment horizontal="center" wrapText="1"/>
    </xf>
    <xf numFmtId="0" fontId="0" fillId="14" borderId="8" xfId="0" applyFill="1" applyBorder="1" applyAlignment="1">
      <alignment horizontal="center" vertical="center" wrapText="1"/>
    </xf>
    <xf numFmtId="0" fontId="38" fillId="0" borderId="0" xfId="0" applyFont="1" applyAlignment="1">
      <alignment wrapText="1"/>
    </xf>
    <xf numFmtId="0" fontId="40" fillId="0" borderId="1" xfId="0" applyFont="1" applyBorder="1" applyAlignment="1">
      <alignment horizontal="left" vertical="center"/>
    </xf>
    <xf numFmtId="0" fontId="40" fillId="0" borderId="1" xfId="0" applyFont="1" applyBorder="1" applyAlignment="1">
      <alignment horizontal="center" vertical="center"/>
    </xf>
    <xf numFmtId="0" fontId="40" fillId="0" borderId="1" xfId="0" applyFont="1" applyBorder="1" applyAlignment="1">
      <alignment vertical="center"/>
    </xf>
    <xf numFmtId="0" fontId="41" fillId="0" borderId="1" xfId="0" applyFont="1" applyBorder="1" applyAlignment="1">
      <alignment horizontal="center"/>
    </xf>
    <xf numFmtId="0" fontId="1" fillId="6" borderId="1" xfId="0" applyFont="1" applyFill="1" applyBorder="1" applyAlignment="1">
      <alignment horizontal="center" vertical="center" wrapText="1"/>
    </xf>
    <xf numFmtId="0" fontId="7" fillId="0" borderId="1" xfId="0" applyFont="1" applyBorder="1" applyAlignment="1">
      <alignment horizontal="left" vertical="center"/>
    </xf>
    <xf numFmtId="0" fontId="0" fillId="9" borderId="1" xfId="0" applyFill="1" applyBorder="1" applyAlignment="1">
      <alignment horizontal="left" vertical="center"/>
    </xf>
    <xf numFmtId="0" fontId="0" fillId="4" borderId="1" xfId="0" applyFill="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3" fillId="0" borderId="8" xfId="0" applyFont="1" applyBorder="1" applyAlignment="1">
      <alignment horizontal="left" vertical="center" wrapText="1"/>
    </xf>
    <xf numFmtId="0" fontId="36" fillId="0" borderId="1" xfId="0" applyFont="1" applyBorder="1" applyAlignment="1">
      <alignment horizontal="left"/>
    </xf>
    <xf numFmtId="0" fontId="36" fillId="0" borderId="1" xfId="0" applyFont="1" applyBorder="1" applyAlignment="1">
      <alignment horizontal="center" vertical="center"/>
    </xf>
    <xf numFmtId="0" fontId="36" fillId="0" borderId="1" xfId="0" applyFont="1" applyBorder="1" applyAlignment="1">
      <alignment horizontal="center"/>
    </xf>
    <xf numFmtId="0" fontId="5" fillId="0" borderId="24" xfId="0" applyFont="1" applyBorder="1"/>
    <xf numFmtId="0" fontId="36" fillId="0" borderId="1" xfId="0" applyFont="1" applyBorder="1" applyAlignment="1">
      <alignment horizontal="left" vertical="center"/>
    </xf>
    <xf numFmtId="0" fontId="36" fillId="0" borderId="1" xfId="0" applyFont="1" applyBorder="1" applyAlignment="1">
      <alignment wrapText="1"/>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1" fillId="6" borderId="8" xfId="0" applyFont="1" applyFill="1" applyBorder="1" applyAlignment="1">
      <alignment vertical="center" wrapText="1"/>
    </xf>
    <xf numFmtId="0" fontId="1" fillId="6" borderId="8" xfId="0" applyFont="1" applyFill="1" applyBorder="1" applyAlignment="1">
      <alignment vertical="center"/>
    </xf>
    <xf numFmtId="15" fontId="1" fillId="6" borderId="8" xfId="0" applyNumberFormat="1" applyFont="1" applyFill="1" applyBorder="1" applyAlignment="1">
      <alignment vertical="center" wrapText="1"/>
    </xf>
    <xf numFmtId="15" fontId="35" fillId="0" borderId="1" xfId="0" applyNumberFormat="1" applyFont="1" applyBorder="1" applyAlignment="1">
      <alignment horizontal="center"/>
    </xf>
    <xf numFmtId="15" fontId="3" fillId="0" borderId="1" xfId="0" applyNumberFormat="1" applyFont="1" applyBorder="1" applyAlignment="1">
      <alignment horizontal="center" vertical="center" wrapText="1"/>
    </xf>
    <xf numFmtId="15" fontId="3" fillId="0" borderId="0" xfId="0" applyNumberFormat="1" applyFont="1" applyAlignment="1">
      <alignment horizontal="center" vertical="center" wrapText="1"/>
    </xf>
    <xf numFmtId="15" fontId="31" fillId="0" borderId="0" xfId="0" applyNumberFormat="1" applyFont="1" applyAlignment="1">
      <alignment horizontal="center" vertical="center" wrapText="1"/>
    </xf>
    <xf numFmtId="0" fontId="36" fillId="0" borderId="1" xfId="0" applyFont="1" applyBorder="1" applyAlignment="1">
      <alignment vertical="center"/>
    </xf>
    <xf numFmtId="15" fontId="36" fillId="0" borderId="1" xfId="0" applyNumberFormat="1" applyFont="1" applyBorder="1" applyAlignment="1">
      <alignment horizontal="center" vertical="center"/>
    </xf>
    <xf numFmtId="0" fontId="5" fillId="0" borderId="1" xfId="0" applyFont="1" applyBorder="1" applyAlignment="1">
      <alignment wrapText="1"/>
    </xf>
    <xf numFmtId="0" fontId="36" fillId="0" borderId="1" xfId="0" applyFont="1" applyBorder="1" applyAlignment="1">
      <alignment vertical="center" wrapText="1"/>
    </xf>
    <xf numFmtId="0" fontId="5" fillId="0" borderId="5" xfId="0" applyFont="1" applyBorder="1" applyAlignment="1">
      <alignment vertical="center" wrapText="1"/>
    </xf>
    <xf numFmtId="0" fontId="0" fillId="15" borderId="8" xfId="0" applyFill="1" applyBorder="1" applyAlignment="1">
      <alignment horizontal="center" vertical="center"/>
    </xf>
    <xf numFmtId="15" fontId="0" fillId="0" borderId="8" xfId="0" applyNumberFormat="1" applyBorder="1" applyAlignment="1">
      <alignment horizontal="center" vertical="center"/>
    </xf>
    <xf numFmtId="0" fontId="0" fillId="0" borderId="8" xfId="0" applyBorder="1" applyAlignment="1">
      <alignment horizontal="right" vertical="center"/>
    </xf>
    <xf numFmtId="0" fontId="0" fillId="0" borderId="9" xfId="0" applyBorder="1" applyAlignment="1">
      <alignment vertical="center" wrapText="1"/>
    </xf>
    <xf numFmtId="0" fontId="0" fillId="15" borderId="5" xfId="0" applyFill="1" applyBorder="1" applyAlignment="1">
      <alignment horizontal="center" vertical="center"/>
    </xf>
    <xf numFmtId="15" fontId="0" fillId="0" borderId="5" xfId="0" applyNumberFormat="1" applyBorder="1" applyAlignment="1">
      <alignment horizontal="center" vertical="center"/>
    </xf>
    <xf numFmtId="0" fontId="0" fillId="0" borderId="5" xfId="0" applyBorder="1" applyAlignment="1">
      <alignment horizontal="right" vertical="center"/>
    </xf>
    <xf numFmtId="0" fontId="0" fillId="0" borderId="6" xfId="0" applyBorder="1" applyAlignment="1">
      <alignment vertical="center" wrapText="1"/>
    </xf>
    <xf numFmtId="0" fontId="0" fillId="0" borderId="4" xfId="0" applyBorder="1" applyAlignment="1">
      <alignment vertical="center"/>
    </xf>
    <xf numFmtId="0" fontId="42" fillId="0" borderId="0" xfId="0" applyFont="1"/>
    <xf numFmtId="0" fontId="42" fillId="0" borderId="0" xfId="0" applyFont="1" applyAlignment="1">
      <alignment wrapText="1"/>
    </xf>
    <xf numFmtId="0" fontId="43" fillId="0" borderId="0" xfId="0" applyFont="1" applyAlignment="1">
      <alignment wrapText="1"/>
    </xf>
    <xf numFmtId="0" fontId="13" fillId="17" borderId="26" xfId="0" applyFont="1" applyFill="1" applyBorder="1" applyAlignment="1">
      <alignment wrapText="1"/>
    </xf>
    <xf numFmtId="0" fontId="12" fillId="0" borderId="0" xfId="0" applyFont="1" applyAlignment="1">
      <alignment wrapText="1"/>
    </xf>
    <xf numFmtId="0" fontId="46" fillId="0" borderId="0" xfId="0" applyFont="1" applyAlignment="1">
      <alignment horizontal="center" vertical="center"/>
    </xf>
    <xf numFmtId="0" fontId="44" fillId="0" borderId="0" xfId="0" applyFont="1"/>
    <xf numFmtId="15" fontId="40" fillId="0" borderId="1" xfId="0" applyNumberFormat="1" applyFont="1" applyBorder="1" applyAlignment="1">
      <alignment horizontal="center" vertical="center"/>
    </xf>
    <xf numFmtId="0" fontId="47" fillId="0" borderId="0" xfId="0" applyFont="1"/>
    <xf numFmtId="0" fontId="46" fillId="18" borderId="24" xfId="0" applyFont="1" applyFill="1" applyBorder="1" applyAlignment="1">
      <alignment horizontal="center" vertical="center"/>
    </xf>
    <xf numFmtId="0" fontId="46" fillId="0" borderId="24" xfId="0" applyFont="1" applyBorder="1" applyAlignment="1">
      <alignment horizontal="left" vertical="center"/>
    </xf>
    <xf numFmtId="15" fontId="27" fillId="12" borderId="17" xfId="0" applyNumberFormat="1" applyFont="1" applyFill="1" applyBorder="1" applyAlignment="1">
      <alignment horizontal="center" vertical="center"/>
    </xf>
    <xf numFmtId="15" fontId="40" fillId="0" borderId="1" xfId="0" applyNumberFormat="1" applyFont="1" applyBorder="1"/>
    <xf numFmtId="15" fontId="5" fillId="14" borderId="8" xfId="0" applyNumberFormat="1" applyFont="1" applyFill="1" applyBorder="1" applyAlignment="1">
      <alignment horizontal="center" vertical="center" wrapText="1"/>
    </xf>
    <xf numFmtId="0" fontId="5" fillId="0" borderId="10" xfId="0" applyFont="1" applyBorder="1" applyAlignment="1">
      <alignment horizontal="center"/>
    </xf>
    <xf numFmtId="0" fontId="48" fillId="4" borderId="0" xfId="0" applyFont="1" applyFill="1" applyAlignment="1">
      <alignment horizontal="center" vertical="center"/>
    </xf>
    <xf numFmtId="0" fontId="0" fillId="0" borderId="25" xfId="0" applyBorder="1" applyAlignment="1">
      <alignment vertical="center"/>
    </xf>
    <xf numFmtId="0" fontId="6" fillId="0" borderId="1" xfId="0" applyFont="1" applyBorder="1" applyAlignment="1">
      <alignment horizontal="center" vertical="center" wrapText="1"/>
    </xf>
    <xf numFmtId="0" fontId="48" fillId="0" borderId="24" xfId="0" applyFont="1" applyBorder="1" applyAlignment="1">
      <alignment horizontal="left" vertical="center"/>
    </xf>
    <xf numFmtId="0" fontId="48" fillId="0" borderId="0" xfId="0" applyFont="1" applyAlignment="1">
      <alignment horizontal="center" vertical="center"/>
    </xf>
    <xf numFmtId="0" fontId="45" fillId="18" borderId="24" xfId="0" applyFont="1" applyFill="1" applyBorder="1" applyAlignment="1">
      <alignment vertical="center"/>
    </xf>
    <xf numFmtId="0" fontId="45" fillId="0" borderId="24" xfId="0" applyFont="1" applyBorder="1" applyAlignment="1">
      <alignment vertical="center"/>
    </xf>
    <xf numFmtId="0" fontId="48" fillId="0" borderId="24" xfId="0" applyFont="1" applyBorder="1" applyAlignment="1">
      <alignment vertical="center"/>
    </xf>
    <xf numFmtId="0" fontId="46" fillId="0" borderId="24" xfId="0" applyFont="1" applyBorder="1" applyAlignment="1">
      <alignment vertical="center"/>
    </xf>
    <xf numFmtId="0" fontId="46" fillId="0" borderId="0" xfId="0" applyFont="1" applyAlignment="1">
      <alignment vertical="center"/>
    </xf>
    <xf numFmtId="0" fontId="37" fillId="0" borderId="24" xfId="1" applyBorder="1" applyAlignment="1">
      <alignment horizontal="left" vertical="center"/>
    </xf>
    <xf numFmtId="0" fontId="46" fillId="18" borderId="24" xfId="0" applyFont="1" applyFill="1" applyBorder="1" applyAlignment="1">
      <alignment vertical="center"/>
    </xf>
    <xf numFmtId="0" fontId="46" fillId="18" borderId="24" xfId="0" applyFont="1" applyFill="1" applyBorder="1" applyAlignment="1">
      <alignment horizontal="left" vertical="center"/>
    </xf>
    <xf numFmtId="0" fontId="46" fillId="0" borderId="0" xfId="0" applyFont="1" applyAlignment="1">
      <alignment horizontal="left" vertical="center"/>
    </xf>
    <xf numFmtId="0" fontId="50" fillId="0" borderId="1" xfId="0" applyFont="1" applyBorder="1" applyAlignment="1">
      <alignment horizontal="left" vertical="center"/>
    </xf>
    <xf numFmtId="0" fontId="50" fillId="0" borderId="1" xfId="0" applyFont="1" applyBorder="1" applyAlignment="1">
      <alignment horizontal="center" vertical="center"/>
    </xf>
    <xf numFmtId="0" fontId="50" fillId="0" borderId="1" xfId="0" applyFont="1" applyBorder="1" applyAlignment="1">
      <alignment vertical="center"/>
    </xf>
    <xf numFmtId="0" fontId="51" fillId="0" borderId="0" xfId="0" applyFont="1" applyAlignment="1">
      <alignment wrapText="1"/>
    </xf>
    <xf numFmtId="0" fontId="52" fillId="0" borderId="0" xfId="0" applyFont="1" applyAlignment="1">
      <alignment wrapText="1"/>
    </xf>
    <xf numFmtId="0" fontId="52" fillId="0" borderId="0" xfId="0" applyFont="1"/>
    <xf numFmtId="0" fontId="52" fillId="0" borderId="10" xfId="0" applyFont="1" applyBorder="1" applyAlignment="1">
      <alignment wrapText="1"/>
    </xf>
    <xf numFmtId="0" fontId="53" fillId="0" borderId="1" xfId="0" applyFont="1" applyBorder="1" applyAlignment="1">
      <alignment horizontal="center"/>
    </xf>
    <xf numFmtId="0" fontId="53" fillId="0" borderId="8" xfId="0" applyFont="1" applyBorder="1" applyAlignment="1">
      <alignment horizontal="center"/>
    </xf>
    <xf numFmtId="0" fontId="57" fillId="12" borderId="0" xfId="0" applyFont="1" applyFill="1" applyAlignment="1">
      <alignment wrapText="1"/>
    </xf>
    <xf numFmtId="0" fontId="57" fillId="12" borderId="0" xfId="0" applyFont="1" applyFill="1"/>
    <xf numFmtId="0" fontId="57" fillId="12" borderId="0" xfId="0" applyFont="1" applyFill="1" applyAlignment="1">
      <alignment horizontal="center"/>
    </xf>
    <xf numFmtId="0" fontId="58" fillId="12" borderId="0" xfId="0" applyFont="1" applyFill="1" applyAlignment="1">
      <alignment horizontal="center"/>
    </xf>
    <xf numFmtId="14" fontId="57" fillId="12" borderId="0" xfId="0" applyNumberFormat="1" applyFont="1" applyFill="1" applyAlignment="1">
      <alignment horizontal="center"/>
    </xf>
    <xf numFmtId="0" fontId="53" fillId="0" borderId="0" xfId="0" applyFont="1"/>
    <xf numFmtId="0" fontId="53" fillId="0" borderId="1" xfId="0" applyFont="1" applyBorder="1"/>
    <xf numFmtId="0" fontId="58" fillId="19" borderId="1" xfId="0" applyFont="1" applyFill="1" applyBorder="1" applyAlignment="1">
      <alignment horizontal="center"/>
    </xf>
    <xf numFmtId="14" fontId="53" fillId="0" borderId="1" xfId="0" applyNumberFormat="1" applyFont="1" applyBorder="1" applyAlignment="1">
      <alignment horizontal="center"/>
    </xf>
    <xf numFmtId="0" fontId="53" fillId="0" borderId="2" xfId="0" applyFont="1" applyBorder="1"/>
    <xf numFmtId="15" fontId="53" fillId="0" borderId="1" xfId="0" applyNumberFormat="1" applyFont="1" applyBorder="1"/>
    <xf numFmtId="0" fontId="59" fillId="0" borderId="1" xfId="0" applyFont="1" applyBorder="1"/>
    <xf numFmtId="0" fontId="53" fillId="0" borderId="3" xfId="0" applyFont="1" applyBorder="1"/>
    <xf numFmtId="0" fontId="58" fillId="0" borderId="1" xfId="0" applyFont="1" applyBorder="1" applyAlignment="1">
      <alignment horizontal="center"/>
    </xf>
    <xf numFmtId="0" fontId="60" fillId="0" borderId="1" xfId="0" applyFont="1" applyBorder="1" applyAlignment="1">
      <alignment horizontal="center"/>
    </xf>
    <xf numFmtId="0" fontId="60" fillId="0" borderId="1" xfId="0" applyFont="1" applyBorder="1" applyAlignment="1">
      <alignment horizontal="center" wrapText="1"/>
    </xf>
    <xf numFmtId="0" fontId="53" fillId="0" borderId="1" xfId="0" applyFont="1" applyBorder="1" applyAlignment="1">
      <alignment wrapText="1"/>
    </xf>
    <xf numFmtId="0" fontId="53" fillId="19" borderId="1" xfId="0" applyFont="1" applyFill="1" applyBorder="1" applyAlignment="1">
      <alignment horizontal="center"/>
    </xf>
    <xf numFmtId="0" fontId="53" fillId="9" borderId="1" xfId="0" applyFont="1" applyFill="1" applyBorder="1" applyAlignment="1">
      <alignment horizontal="center"/>
    </xf>
    <xf numFmtId="0" fontId="61" fillId="0" borderId="1" xfId="0" applyFont="1" applyBorder="1" applyAlignment="1">
      <alignment horizontal="center"/>
    </xf>
    <xf numFmtId="14" fontId="53" fillId="0" borderId="1" xfId="0" applyNumberFormat="1" applyFont="1" applyBorder="1"/>
    <xf numFmtId="0" fontId="53" fillId="7" borderId="1" xfId="0" applyFont="1" applyFill="1" applyBorder="1" applyAlignment="1">
      <alignment horizontal="center"/>
    </xf>
    <xf numFmtId="0" fontId="62" fillId="0" borderId="1" xfId="0" applyFont="1" applyBorder="1" applyAlignment="1">
      <alignment horizontal="center"/>
    </xf>
    <xf numFmtId="0" fontId="58" fillId="0" borderId="1" xfId="0" applyFont="1" applyBorder="1" applyAlignment="1">
      <alignment horizontal="center" wrapText="1"/>
    </xf>
    <xf numFmtId="0" fontId="53" fillId="4" borderId="1" xfId="0" applyFont="1" applyFill="1" applyBorder="1" applyAlignment="1">
      <alignment horizontal="center"/>
    </xf>
    <xf numFmtId="0" fontId="53" fillId="0" borderId="1" xfId="0" applyFont="1" applyBorder="1" applyAlignment="1">
      <alignment horizontal="left"/>
    </xf>
    <xf numFmtId="0" fontId="59" fillId="0" borderId="1" xfId="0" applyFont="1" applyBorder="1" applyAlignment="1">
      <alignment wrapText="1"/>
    </xf>
    <xf numFmtId="0" fontId="60" fillId="0" borderId="1" xfId="0" applyFont="1" applyBorder="1"/>
    <xf numFmtId="17" fontId="60" fillId="0" borderId="1" xfId="0" quotePrefix="1" applyNumberFormat="1" applyFont="1" applyBorder="1" applyAlignment="1">
      <alignment horizontal="center"/>
    </xf>
    <xf numFmtId="0" fontId="53" fillId="0" borderId="1" xfId="0" applyFont="1" applyBorder="1" applyAlignment="1">
      <alignment horizontal="center" wrapText="1"/>
    </xf>
    <xf numFmtId="0" fontId="53" fillId="4" borderId="3" xfId="0" applyFont="1" applyFill="1" applyBorder="1"/>
    <xf numFmtId="0" fontId="62" fillId="0" borderId="1" xfId="0" applyFont="1" applyBorder="1"/>
    <xf numFmtId="0" fontId="62" fillId="0" borderId="1" xfId="0" applyFont="1" applyBorder="1" applyAlignment="1">
      <alignment vertical="center" wrapText="1"/>
    </xf>
    <xf numFmtId="0" fontId="53" fillId="0" borderId="1" xfId="0" applyFont="1" applyBorder="1" applyAlignment="1">
      <alignment vertical="center" wrapText="1"/>
    </xf>
    <xf numFmtId="0" fontId="53" fillId="0" borderId="1" xfId="0" applyFont="1" applyBorder="1" applyAlignment="1">
      <alignment horizontal="center" vertical="center" wrapText="1"/>
    </xf>
    <xf numFmtId="0" fontId="53" fillId="0" borderId="1" xfId="0" applyFont="1" applyBorder="1" applyAlignment="1">
      <alignment horizontal="left" wrapText="1"/>
    </xf>
    <xf numFmtId="0" fontId="59" fillId="19" borderId="1" xfId="0" applyFont="1" applyFill="1" applyBorder="1" applyAlignment="1">
      <alignment horizontal="center"/>
    </xf>
    <xf numFmtId="0" fontId="63" fillId="0" borderId="1" xfId="0" applyFont="1" applyBorder="1"/>
    <xf numFmtId="0" fontId="53" fillId="16" borderId="1" xfId="0" applyFont="1" applyFill="1" applyBorder="1"/>
    <xf numFmtId="0" fontId="61" fillId="16" borderId="1" xfId="0" applyFont="1" applyFill="1" applyBorder="1" applyAlignment="1">
      <alignment horizontal="center"/>
    </xf>
    <xf numFmtId="0" fontId="61" fillId="16" borderId="1" xfId="0" applyFont="1" applyFill="1" applyBorder="1" applyAlignment="1">
      <alignment wrapText="1"/>
    </xf>
    <xf numFmtId="14" fontId="53" fillId="16" borderId="1" xfId="0" applyNumberFormat="1" applyFont="1" applyFill="1" applyBorder="1" applyAlignment="1">
      <alignment horizontal="center"/>
    </xf>
    <xf numFmtId="0" fontId="53" fillId="16" borderId="1" xfId="0" applyFont="1" applyFill="1" applyBorder="1" applyAlignment="1">
      <alignment horizontal="center"/>
    </xf>
    <xf numFmtId="0" fontId="53" fillId="16" borderId="2" xfId="0" applyFont="1" applyFill="1" applyBorder="1"/>
    <xf numFmtId="0" fontId="53" fillId="16" borderId="0" xfId="0" applyFont="1" applyFill="1"/>
    <xf numFmtId="0" fontId="53" fillId="0" borderId="3" xfId="0" applyFont="1" applyBorder="1" applyAlignment="1">
      <alignment horizontal="left"/>
    </xf>
    <xf numFmtId="0" fontId="61" fillId="0" borderId="1" xfId="0" applyFont="1" applyBorder="1"/>
    <xf numFmtId="14" fontId="61" fillId="0" borderId="1" xfId="0" applyNumberFormat="1" applyFont="1" applyBorder="1" applyAlignment="1">
      <alignment horizontal="center"/>
    </xf>
    <xf numFmtId="0" fontId="61" fillId="0" borderId="2" xfId="0" applyFont="1" applyBorder="1"/>
    <xf numFmtId="0" fontId="61" fillId="0" borderId="0" xfId="0" applyFont="1"/>
    <xf numFmtId="0" fontId="59" fillId="0" borderId="1" xfId="0" applyFont="1" applyBorder="1" applyAlignment="1">
      <alignment horizontal="center"/>
    </xf>
    <xf numFmtId="14" fontId="59" fillId="0" borderId="1" xfId="0" applyNumberFormat="1" applyFont="1" applyBorder="1" applyAlignment="1">
      <alignment horizontal="center"/>
    </xf>
    <xf numFmtId="0" fontId="59" fillId="0" borderId="2" xfId="0" applyFont="1" applyBorder="1"/>
    <xf numFmtId="0" fontId="59" fillId="0" borderId="0" xfId="0" applyFont="1"/>
    <xf numFmtId="0" fontId="58" fillId="4" borderId="1" xfId="0" applyFont="1" applyFill="1" applyBorder="1" applyAlignment="1">
      <alignment horizontal="center"/>
    </xf>
    <xf numFmtId="14" fontId="53" fillId="4" borderId="1" xfId="0" applyNumberFormat="1" applyFont="1" applyFill="1" applyBorder="1" applyAlignment="1">
      <alignment horizontal="center"/>
    </xf>
    <xf numFmtId="0" fontId="53" fillId="4" borderId="1" xfId="0" applyFont="1" applyFill="1" applyBorder="1"/>
    <xf numFmtId="0" fontId="53" fillId="4" borderId="2" xfId="0" applyFont="1" applyFill="1" applyBorder="1"/>
    <xf numFmtId="0" fontId="53" fillId="0" borderId="0" xfId="0" applyFont="1" applyAlignment="1">
      <alignment horizontal="center"/>
    </xf>
    <xf numFmtId="0" fontId="53" fillId="0" borderId="1" xfId="0" applyFont="1" applyBorder="1" applyAlignment="1">
      <alignment vertical="center"/>
    </xf>
    <xf numFmtId="0" fontId="53" fillId="0" borderId="1" xfId="0" applyFont="1" applyBorder="1" applyAlignment="1">
      <alignment horizontal="center" vertical="center"/>
    </xf>
    <xf numFmtId="0" fontId="53" fillId="0" borderId="1" xfId="0" applyFont="1" applyBorder="1" applyAlignment="1">
      <alignment horizontal="left" vertical="center" wrapText="1"/>
    </xf>
    <xf numFmtId="0" fontId="53" fillId="0" borderId="1" xfId="0" applyFont="1" applyBorder="1" applyAlignment="1">
      <alignment horizontal="left" vertical="center"/>
    </xf>
    <xf numFmtId="0" fontId="65" fillId="0" borderId="1" xfId="1" applyFont="1" applyBorder="1" applyAlignment="1">
      <alignment horizontal="center"/>
    </xf>
    <xf numFmtId="0" fontId="59" fillId="21" borderId="1" xfId="0" applyFont="1" applyFill="1" applyBorder="1"/>
    <xf numFmtId="0" fontId="53" fillId="0" borderId="8" xfId="0" applyFont="1" applyBorder="1" applyAlignment="1">
      <alignment horizontal="left" wrapText="1"/>
    </xf>
    <xf numFmtId="0" fontId="53" fillId="0" borderId="5" xfId="0" applyFont="1" applyBorder="1"/>
    <xf numFmtId="0" fontId="53" fillId="0" borderId="3" xfId="0" applyFont="1" applyBorder="1" applyAlignment="1">
      <alignment horizontal="center"/>
    </xf>
    <xf numFmtId="0" fontId="56" fillId="0" borderId="1" xfId="0" applyFont="1" applyBorder="1" applyAlignment="1">
      <alignment vertical="center"/>
    </xf>
    <xf numFmtId="0" fontId="56" fillId="0" borderId="1" xfId="0" applyFont="1" applyBorder="1" applyAlignment="1">
      <alignment horizontal="center" vertical="center"/>
    </xf>
    <xf numFmtId="0" fontId="53" fillId="0" borderId="2" xfId="0" applyFont="1" applyBorder="1" applyAlignment="1">
      <alignment horizontal="center"/>
    </xf>
    <xf numFmtId="0" fontId="53" fillId="0" borderId="5" xfId="0" applyFont="1" applyBorder="1" applyAlignment="1">
      <alignment horizontal="center"/>
    </xf>
    <xf numFmtId="0" fontId="53" fillId="0" borderId="8" xfId="0" applyFont="1" applyBorder="1"/>
    <xf numFmtId="14" fontId="53" fillId="0" borderId="8" xfId="0" applyNumberFormat="1" applyFont="1" applyBorder="1" applyAlignment="1">
      <alignment horizontal="center"/>
    </xf>
    <xf numFmtId="0" fontId="53" fillId="0" borderId="9" xfId="0" applyFont="1" applyBorder="1"/>
    <xf numFmtId="0" fontId="58" fillId="0" borderId="5" xfId="0" applyFont="1" applyBorder="1" applyAlignment="1">
      <alignment horizontal="center"/>
    </xf>
    <xf numFmtId="14" fontId="53" fillId="0" borderId="5" xfId="0" applyNumberFormat="1" applyFont="1" applyBorder="1" applyAlignment="1">
      <alignment horizontal="center"/>
    </xf>
    <xf numFmtId="0" fontId="53" fillId="0" borderId="6" xfId="0" applyFont="1" applyBorder="1"/>
    <xf numFmtId="0" fontId="66" fillId="0" borderId="1" xfId="0" applyFont="1" applyBorder="1"/>
    <xf numFmtId="0" fontId="66" fillId="0" borderId="1" xfId="0" applyFont="1" applyBorder="1" applyAlignment="1">
      <alignment wrapText="1"/>
    </xf>
    <xf numFmtId="0" fontId="53" fillId="0" borderId="8" xfId="0" applyFont="1" applyBorder="1" applyAlignment="1">
      <alignment vertical="center"/>
    </xf>
    <xf numFmtId="0" fontId="58" fillId="0" borderId="8" xfId="0" applyFont="1" applyBorder="1" applyAlignment="1">
      <alignment horizontal="center"/>
    </xf>
    <xf numFmtId="0" fontId="59" fillId="20" borderId="1" xfId="0" applyFont="1" applyFill="1" applyBorder="1" applyAlignment="1">
      <alignment horizontal="left" wrapText="1"/>
    </xf>
    <xf numFmtId="0" fontId="58" fillId="0" borderId="0" xfId="0" applyFont="1" applyAlignment="1">
      <alignment horizontal="center"/>
    </xf>
    <xf numFmtId="14" fontId="53" fillId="0" borderId="0" xfId="0" applyNumberFormat="1" applyFont="1" applyAlignment="1">
      <alignment horizontal="center"/>
    </xf>
    <xf numFmtId="0" fontId="1" fillId="6" borderId="8" xfId="0" applyFont="1" applyFill="1" applyBorder="1" applyAlignment="1">
      <alignment horizontal="center" vertical="center" wrapText="1"/>
    </xf>
    <xf numFmtId="0" fontId="68" fillId="0" borderId="0" xfId="0" applyFont="1" applyAlignment="1">
      <alignment wrapText="1"/>
    </xf>
    <xf numFmtId="0" fontId="57" fillId="12" borderId="0" xfId="0" applyFont="1" applyFill="1" applyAlignment="1">
      <alignment horizontal="left"/>
    </xf>
    <xf numFmtId="0" fontId="53" fillId="0" borderId="0" xfId="0" applyFont="1" applyAlignment="1">
      <alignment horizontal="left"/>
    </xf>
    <xf numFmtId="0" fontId="57" fillId="12" borderId="0" xfId="0" applyFont="1" applyFill="1" applyAlignment="1">
      <alignment horizontal="left" vertical="center"/>
    </xf>
    <xf numFmtId="0" fontId="53" fillId="0" borderId="0" xfId="0" applyFont="1" applyAlignment="1">
      <alignment horizontal="left" vertical="center"/>
    </xf>
    <xf numFmtId="17" fontId="53" fillId="0" borderId="1" xfId="0" quotePrefix="1" applyNumberFormat="1" applyFont="1" applyBorder="1" applyAlignment="1">
      <alignment horizontal="left" vertical="center"/>
    </xf>
    <xf numFmtId="0" fontId="46" fillId="0" borderId="1" xfId="0" applyFont="1" applyBorder="1" applyAlignment="1">
      <alignment vertical="center"/>
    </xf>
    <xf numFmtId="0" fontId="46" fillId="0" borderId="1" xfId="0" applyFont="1" applyBorder="1" applyAlignment="1">
      <alignment horizontal="left" vertical="center"/>
    </xf>
    <xf numFmtId="0" fontId="46" fillId="0" borderId="1" xfId="0" applyFont="1" applyBorder="1" applyAlignment="1">
      <alignment vertical="center" wrapText="1"/>
    </xf>
    <xf numFmtId="0" fontId="37" fillId="0" borderId="1" xfId="1" applyBorder="1" applyAlignment="1">
      <alignment horizontal="left" vertical="center"/>
    </xf>
    <xf numFmtId="0" fontId="46" fillId="0" borderId="1" xfId="0" applyFont="1" applyBorder="1" applyAlignment="1">
      <alignment horizontal="center" vertical="center"/>
    </xf>
    <xf numFmtId="0" fontId="46" fillId="0" borderId="27" xfId="0" applyFont="1" applyBorder="1" applyAlignment="1">
      <alignment vertical="center"/>
    </xf>
    <xf numFmtId="0" fontId="46" fillId="0" borderId="27" xfId="0" applyFont="1" applyBorder="1" applyAlignment="1">
      <alignment horizontal="left" vertical="center"/>
    </xf>
    <xf numFmtId="0" fontId="46" fillId="0" borderId="24" xfId="0" applyFont="1" applyBorder="1" applyAlignment="1">
      <alignment horizontal="left" vertical="center" wrapText="1"/>
    </xf>
    <xf numFmtId="0" fontId="49" fillId="0" borderId="0" xfId="0" applyFont="1" applyAlignment="1">
      <alignment horizontal="center" wrapText="1"/>
    </xf>
    <xf numFmtId="0" fontId="59" fillId="9" borderId="1" xfId="0" applyFont="1" applyFill="1" applyBorder="1" applyAlignment="1">
      <alignment horizontal="center"/>
    </xf>
    <xf numFmtId="0" fontId="59" fillId="9" borderId="3" xfId="0" applyFont="1" applyFill="1" applyBorder="1"/>
    <xf numFmtId="0" fontId="59" fillId="9" borderId="1" xfId="0" applyFont="1" applyFill="1" applyBorder="1"/>
    <xf numFmtId="0" fontId="56" fillId="9" borderId="1" xfId="0" applyFont="1" applyFill="1" applyBorder="1"/>
    <xf numFmtId="0" fontId="59" fillId="9" borderId="3" xfId="0" applyFont="1" applyFill="1" applyBorder="1" applyAlignment="1">
      <alignment wrapText="1"/>
    </xf>
    <xf numFmtId="0" fontId="59" fillId="9" borderId="1" xfId="0" applyFont="1" applyFill="1" applyBorder="1" applyAlignment="1">
      <alignment horizontal="center" wrapText="1"/>
    </xf>
    <xf numFmtId="0" fontId="54" fillId="9" borderId="3" xfId="0" applyFont="1" applyFill="1" applyBorder="1"/>
    <xf numFmtId="0" fontId="54" fillId="9" borderId="3" xfId="0" applyFont="1" applyFill="1" applyBorder="1" applyAlignment="1">
      <alignment wrapText="1"/>
    </xf>
    <xf numFmtId="0" fontId="59" fillId="9" borderId="3" xfId="0" applyFont="1" applyFill="1" applyBorder="1" applyAlignment="1">
      <alignment horizontal="left"/>
    </xf>
    <xf numFmtId="0" fontId="59" fillId="9" borderId="1" xfId="0" applyFont="1" applyFill="1" applyBorder="1" applyAlignment="1">
      <alignment horizontal="left"/>
    </xf>
    <xf numFmtId="0" fontId="59" fillId="9" borderId="1" xfId="0" applyFont="1" applyFill="1" applyBorder="1" applyAlignment="1">
      <alignment horizontal="center" vertical="center"/>
    </xf>
    <xf numFmtId="0" fontId="59" fillId="9" borderId="3" xfId="0" applyFont="1" applyFill="1" applyBorder="1" applyAlignment="1">
      <alignment horizontal="left" wrapText="1"/>
    </xf>
    <xf numFmtId="0" fontId="59" fillId="9" borderId="3" xfId="0" applyFont="1" applyFill="1" applyBorder="1" applyAlignment="1">
      <alignment horizontal="center"/>
    </xf>
    <xf numFmtId="0" fontId="59" fillId="9" borderId="2" xfId="0" applyFont="1" applyFill="1" applyBorder="1" applyAlignment="1">
      <alignment horizontal="center"/>
    </xf>
    <xf numFmtId="0" fontId="59" fillId="9" borderId="5" xfId="0" applyFont="1" applyFill="1" applyBorder="1" applyAlignment="1">
      <alignment horizontal="center"/>
    </xf>
    <xf numFmtId="0" fontId="59" fillId="9" borderId="8" xfId="0" applyFont="1" applyFill="1" applyBorder="1" applyAlignment="1">
      <alignment horizontal="center"/>
    </xf>
    <xf numFmtId="0" fontId="59" fillId="9" borderId="0" xfId="0" applyFont="1" applyFill="1" applyAlignment="1">
      <alignment horizontal="center"/>
    </xf>
    <xf numFmtId="0" fontId="59" fillId="9" borderId="1" xfId="0" applyFont="1" applyFill="1" applyBorder="1" applyAlignment="1">
      <alignment horizontal="left" wrapText="1"/>
    </xf>
    <xf numFmtId="0" fontId="59" fillId="9" borderId="8" xfId="0" applyFont="1" applyFill="1" applyBorder="1"/>
    <xf numFmtId="0" fontId="59" fillId="19" borderId="3" xfId="0" applyFont="1" applyFill="1" applyBorder="1"/>
    <xf numFmtId="0" fontId="61" fillId="9" borderId="3" xfId="0" applyFont="1" applyFill="1" applyBorder="1"/>
    <xf numFmtId="0" fontId="61" fillId="9" borderId="1" xfId="0" applyFont="1" applyFill="1" applyBorder="1" applyAlignment="1">
      <alignment horizontal="center"/>
    </xf>
    <xf numFmtId="14" fontId="61" fillId="0" borderId="1" xfId="0" applyNumberFormat="1" applyFont="1" applyBorder="1"/>
    <xf numFmtId="0" fontId="61" fillId="0" borderId="1" xfId="0" applyFont="1" applyBorder="1" applyAlignment="1">
      <alignment wrapText="1"/>
    </xf>
    <xf numFmtId="0" fontId="61" fillId="9" borderId="1" xfId="0" applyFont="1" applyFill="1" applyBorder="1" applyAlignment="1">
      <alignment horizontal="left"/>
    </xf>
    <xf numFmtId="0" fontId="61" fillId="0" borderId="1" xfId="0" applyFont="1" applyBorder="1" applyAlignment="1">
      <alignment horizontal="left"/>
    </xf>
    <xf numFmtId="0" fontId="61" fillId="0" borderId="1" xfId="0" applyFont="1" applyBorder="1" applyAlignment="1">
      <alignment horizontal="left" vertical="center"/>
    </xf>
    <xf numFmtId="0" fontId="60" fillId="9" borderId="1" xfId="0" applyFont="1" applyFill="1" applyBorder="1" applyAlignment="1">
      <alignment horizontal="center" wrapText="1"/>
    </xf>
    <xf numFmtId="0" fontId="59" fillId="19" borderId="3" xfId="0" applyFont="1" applyFill="1" applyBorder="1" applyAlignment="1">
      <alignment wrapText="1"/>
    </xf>
    <xf numFmtId="0" fontId="59" fillId="19" borderId="1" xfId="0" applyFont="1" applyFill="1" applyBorder="1" applyAlignment="1">
      <alignment horizontal="left"/>
    </xf>
    <xf numFmtId="0" fontId="59" fillId="19" borderId="1" xfId="0" applyFont="1" applyFill="1" applyBorder="1" applyAlignment="1">
      <alignment horizontal="center" wrapText="1"/>
    </xf>
    <xf numFmtId="0" fontId="59" fillId="19" borderId="1" xfId="0" applyFont="1" applyFill="1" applyBorder="1"/>
    <xf numFmtId="0" fontId="59" fillId="9" borderId="3" xfId="0" applyFont="1" applyFill="1" applyBorder="1" applyAlignment="1">
      <alignment horizontal="center" wrapText="1"/>
    </xf>
    <xf numFmtId="0" fontId="59" fillId="19" borderId="3" xfId="0" applyFont="1" applyFill="1" applyBorder="1" applyAlignment="1">
      <alignment horizontal="center"/>
    </xf>
    <xf numFmtId="0" fontId="59" fillId="19" borderId="3" xfId="0" applyFont="1" applyFill="1" applyBorder="1" applyAlignment="1">
      <alignment horizontal="center" wrapText="1"/>
    </xf>
    <xf numFmtId="0" fontId="54" fillId="9" borderId="3" xfId="0" applyFont="1" applyFill="1" applyBorder="1" applyAlignment="1">
      <alignment horizontal="center"/>
    </xf>
    <xf numFmtId="0" fontId="54" fillId="9" borderId="3" xfId="0" applyFont="1" applyFill="1" applyBorder="1" applyAlignment="1">
      <alignment horizontal="center" wrapText="1"/>
    </xf>
    <xf numFmtId="0" fontId="60" fillId="9" borderId="3" xfId="0" applyFont="1" applyFill="1" applyBorder="1" applyAlignment="1">
      <alignment horizontal="center" wrapText="1"/>
    </xf>
    <xf numFmtId="0" fontId="59" fillId="9" borderId="7" xfId="0" applyFont="1" applyFill="1" applyBorder="1" applyAlignment="1">
      <alignment horizontal="center"/>
    </xf>
    <xf numFmtId="0" fontId="59" fillId="4" borderId="3" xfId="0" applyFont="1" applyFill="1" applyBorder="1"/>
    <xf numFmtId="0" fontId="59" fillId="4" borderId="3" xfId="0" applyFont="1" applyFill="1" applyBorder="1" applyAlignment="1">
      <alignment horizontal="center"/>
    </xf>
    <xf numFmtId="0" fontId="59" fillId="4" borderId="1" xfId="0" applyFont="1" applyFill="1" applyBorder="1" applyAlignment="1">
      <alignment horizontal="center"/>
    </xf>
    <xf numFmtId="0" fontId="53" fillId="0" borderId="0" xfId="0" applyFont="1" applyAlignment="1">
      <alignment wrapText="1"/>
    </xf>
    <xf numFmtId="0" fontId="59" fillId="19" borderId="0" xfId="0" applyFont="1" applyFill="1" applyAlignment="1">
      <alignment wrapText="1"/>
    </xf>
    <xf numFmtId="0" fontId="67" fillId="9" borderId="0" xfId="0" applyFont="1" applyFill="1" applyAlignment="1">
      <alignment horizontal="center"/>
    </xf>
    <xf numFmtId="0" fontId="59" fillId="19" borderId="0" xfId="0" applyFont="1" applyFill="1" applyAlignment="1">
      <alignment horizontal="center" wrapText="1"/>
    </xf>
    <xf numFmtId="0" fontId="64" fillId="0" borderId="0" xfId="0" applyFont="1" applyAlignment="1">
      <alignment wrapText="1"/>
    </xf>
    <xf numFmtId="14" fontId="53" fillId="0" borderId="0" xfId="0" applyNumberFormat="1" applyFont="1"/>
    <xf numFmtId="0" fontId="67" fillId="0" borderId="0" xfId="0" applyFont="1" applyAlignment="1">
      <alignment wrapText="1"/>
    </xf>
    <xf numFmtId="0" fontId="61" fillId="9" borderId="3" xfId="0" applyFont="1" applyFill="1" applyBorder="1" applyAlignment="1">
      <alignment horizontal="center"/>
    </xf>
    <xf numFmtId="0" fontId="53" fillId="0" borderId="3" xfId="0" applyFont="1" applyBorder="1" applyAlignment="1">
      <alignment wrapText="1"/>
    </xf>
    <xf numFmtId="0" fontId="54" fillId="19" borderId="3" xfId="0" applyFont="1" applyFill="1" applyBorder="1"/>
    <xf numFmtId="0" fontId="54" fillId="19" borderId="3" xfId="0" applyFont="1" applyFill="1" applyBorder="1" applyAlignment="1">
      <alignment horizontal="center"/>
    </xf>
    <xf numFmtId="0" fontId="54" fillId="19" borderId="3" xfId="0" applyFont="1" applyFill="1" applyBorder="1" applyAlignment="1">
      <alignment wrapText="1"/>
    </xf>
    <xf numFmtId="0" fontId="54" fillId="19" borderId="3" xfId="0" applyFont="1" applyFill="1" applyBorder="1" applyAlignment="1">
      <alignment horizontal="center" wrapText="1"/>
    </xf>
    <xf numFmtId="0" fontId="60" fillId="19" borderId="3" xfId="0" applyFont="1" applyFill="1" applyBorder="1" applyAlignment="1">
      <alignment horizontal="center" wrapText="1"/>
    </xf>
    <xf numFmtId="0" fontId="70" fillId="0" borderId="1" xfId="0" applyFont="1" applyBorder="1" applyAlignment="1">
      <alignment horizontal="center"/>
    </xf>
    <xf numFmtId="0" fontId="69" fillId="0" borderId="1" xfId="0" applyFont="1" applyBorder="1" applyAlignment="1">
      <alignment horizontal="left" vertical="center" wrapText="1"/>
    </xf>
    <xf numFmtId="0" fontId="71" fillId="0" borderId="0" xfId="0" applyFont="1"/>
    <xf numFmtId="0" fontId="71" fillId="0" borderId="0" xfId="0" applyFont="1" applyAlignment="1">
      <alignment wrapText="1"/>
    </xf>
    <xf numFmtId="16" fontId="53" fillId="0" borderId="1" xfId="0" applyNumberFormat="1" applyFont="1" applyBorder="1"/>
    <xf numFmtId="0" fontId="72" fillId="0" borderId="0" xfId="0" applyFont="1"/>
    <xf numFmtId="0" fontId="58" fillId="9" borderId="1" xfId="0" applyFont="1" applyFill="1" applyBorder="1" applyAlignment="1">
      <alignment horizontal="center"/>
    </xf>
    <xf numFmtId="0" fontId="27" fillId="12" borderId="16" xfId="0" applyFont="1" applyFill="1" applyBorder="1" applyAlignment="1">
      <alignment horizontal="center" vertical="center"/>
    </xf>
    <xf numFmtId="0" fontId="27" fillId="11" borderId="11" xfId="0" applyFont="1" applyFill="1" applyBorder="1" applyAlignment="1">
      <alignment horizontal="center" vertical="center"/>
    </xf>
    <xf numFmtId="0" fontId="27" fillId="11" borderId="12" xfId="0" applyFont="1" applyFill="1" applyBorder="1" applyAlignment="1">
      <alignment horizontal="center" vertical="center"/>
    </xf>
    <xf numFmtId="0" fontId="27" fillId="12" borderId="19" xfId="0" applyFont="1" applyFill="1" applyBorder="1" applyAlignment="1">
      <alignment horizontal="center" vertical="center"/>
    </xf>
    <xf numFmtId="0" fontId="27" fillId="12" borderId="11" xfId="0" applyFont="1" applyFill="1" applyBorder="1" applyAlignment="1">
      <alignment horizontal="center" vertical="center"/>
    </xf>
    <xf numFmtId="0" fontId="27" fillId="11" borderId="20" xfId="0" applyFont="1" applyFill="1" applyBorder="1" applyAlignment="1">
      <alignment horizontal="center" vertical="center"/>
    </xf>
    <xf numFmtId="0" fontId="27" fillId="11" borderId="21" xfId="0" applyFont="1" applyFill="1" applyBorder="1" applyAlignment="1">
      <alignment horizontal="center" vertical="center"/>
    </xf>
    <xf numFmtId="0" fontId="27" fillId="11" borderId="13" xfId="0" applyFont="1" applyFill="1" applyBorder="1" applyAlignment="1">
      <alignment horizontal="center" vertical="center"/>
    </xf>
    <xf numFmtId="0" fontId="27" fillId="12" borderId="12" xfId="0" applyFont="1" applyFill="1" applyBorder="1" applyAlignment="1">
      <alignment horizontal="center" vertical="center"/>
    </xf>
    <xf numFmtId="0" fontId="27" fillId="12" borderId="13" xfId="0" applyFont="1" applyFill="1" applyBorder="1" applyAlignment="1">
      <alignment horizontal="center" vertical="center"/>
    </xf>
    <xf numFmtId="0" fontId="26" fillId="12" borderId="6" xfId="0" applyFont="1" applyFill="1" applyBorder="1" applyAlignment="1">
      <alignment horizontal="center"/>
    </xf>
    <xf numFmtId="0" fontId="26" fillId="12" borderId="23" xfId="0" applyFont="1" applyFill="1" applyBorder="1" applyAlignment="1">
      <alignment horizontal="center"/>
    </xf>
    <xf numFmtId="0" fontId="26" fillId="12" borderId="4" xfId="0" applyFont="1" applyFill="1" applyBorder="1" applyAlignment="1">
      <alignment horizontal="center"/>
    </xf>
    <xf numFmtId="0" fontId="27" fillId="11" borderId="15" xfId="0" applyFont="1" applyFill="1" applyBorder="1" applyAlignment="1">
      <alignment horizontal="center" vertical="center"/>
    </xf>
    <xf numFmtId="0" fontId="2" fillId="10" borderId="0" xfId="0" applyFont="1" applyFill="1" applyAlignment="1">
      <alignment horizontal="center"/>
    </xf>
  </cellXfs>
  <cellStyles count="2">
    <cellStyle name="Hyperlink" xfId="1" builtinId="8"/>
    <cellStyle name="Normal" xfId="0" builtinId="0"/>
  </cellStyles>
  <dxfs count="71">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ont>
        <b/>
        <i val="0"/>
        <color theme="0"/>
      </font>
      <fill>
        <patternFill patternType="solid">
          <bgColor rgb="FFFF0000"/>
        </patternFill>
      </fill>
    </dxf>
    <dxf>
      <fill>
        <patternFill patternType="solid">
          <bgColor theme="2" tint="-9.9978637043366805E-2"/>
        </patternFill>
      </fill>
    </dxf>
    <dxf>
      <fill>
        <patternFill patternType="solid">
          <bgColor rgb="FFFFFF00"/>
        </patternFill>
      </fill>
    </dxf>
    <dxf>
      <fill>
        <patternFill patternType="solid">
          <bgColor rgb="FFFF0000"/>
        </patternFill>
      </fill>
    </dxf>
    <dxf>
      <fill>
        <patternFill patternType="solid">
          <fgColor rgb="FFB7E1CD"/>
          <bgColor rgb="FFB7E1CD"/>
        </patternFill>
      </fill>
    </dxf>
    <dxf>
      <fill>
        <patternFill patternType="solid">
          <fgColor rgb="FFB7E1CD"/>
          <bgColor rgb="FFB7E1CD"/>
        </patternFill>
      </fill>
    </dxf>
    <dxf>
      <fill>
        <patternFill patternType="solid">
          <bgColor rgb="FF92D05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ont>
        <b/>
        <i val="0"/>
        <color theme="0"/>
      </font>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theme="2" tint="-9.9978637043366805E-2"/>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ont>
        <color theme="0"/>
      </font>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theme="1" tint="0.499984740745262"/>
        </patternFill>
      </fill>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Tahoma"/>
        <family val="2"/>
        <scheme val="none"/>
      </font>
      <numFmt numFmtId="20" formatCode="d\-mmm\-yy"/>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Tahoma"/>
        <family val="2"/>
        <scheme val="none"/>
      </font>
      <fill>
        <patternFill patternType="none">
          <fgColor indexed="64"/>
          <bgColor indexed="65"/>
        </patternFill>
      </fill>
      <alignment horizontal="general" vertical="bottom" textRotation="0" wrapText="0" indent="0" justifyLastLine="0" shrinkToFit="0" readingOrder="0"/>
    </dxf>
    <dxf>
      <border>
        <bottom style="thin">
          <color rgb="FF000000"/>
        </bottom>
      </border>
    </dxf>
    <dxf>
      <font>
        <b/>
        <i val="0"/>
        <strike val="0"/>
        <condense val="0"/>
        <extend val="0"/>
        <outline val="0"/>
        <shadow val="0"/>
        <u val="none"/>
        <vertAlign val="baseline"/>
        <sz val="10"/>
        <color rgb="FFFFFFFF"/>
        <name val="Tahoma"/>
        <family val="2"/>
        <scheme val="none"/>
      </font>
      <fill>
        <patternFill patternType="solid">
          <fgColor rgb="FF000000"/>
          <bgColor rgb="FF4F81BD"/>
        </patternFill>
      </fill>
      <alignment horizontal="center"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color rgb="FFFFFF00"/>
      </font>
    </dxf>
    <dxf>
      <font>
        <b/>
      </font>
    </dxf>
    <dxf>
      <fill>
        <patternFill patternType="solid">
          <fgColor indexed="64"/>
          <bgColor rgb="FFFF0000"/>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theme="2" tint="-9.9978637043366805E-2"/>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-1790700</xdr:colOff>
      <xdr:row>0</xdr:row>
      <xdr:rowOff>0</xdr:rowOff>
    </xdr:from>
    <xdr:to>
      <xdr:col>0</xdr:col>
      <xdr:colOff>0</xdr:colOff>
      <xdr:row>0</xdr:row>
      <xdr:rowOff>0</xdr:rowOff>
    </xdr:to>
    <xdr:pic>
      <xdr:nvPicPr>
        <xdr:cNvPr id="3" name="Picture 1">
          <a:extLst>
            <a:ext uri="{FF2B5EF4-FFF2-40B4-BE49-F238E27FC236}">
              <a16:creationId xmlns:a16="http://schemas.microsoft.com/office/drawing/2014/main" id="{70F738C0-196B-50E8-FEA4-5A60DFFE2C34}"/>
            </a:ext>
          </a:extLst>
        </xdr:cNvPr>
        <xdr:cNvPicPr>
          <a:picLocks noChangeAspect="1"/>
        </xdr:cNvPicPr>
      </xdr:nvPicPr>
      <xdr:blipFill>
        <a:blip xmlns:r="http://schemas.openxmlformats.org/officeDocument/2006/relationships" r:embed="rId1"/>
        <a:stretch>
          <a:fillRect/>
        </a:stretch>
      </xdr:blipFill>
      <xdr:spPr>
        <a:xfrm>
          <a:off x="-1790700" y="-381000"/>
          <a:ext cx="0" cy="0"/>
        </a:xfrm>
        <a:prstGeom prst="rect">
          <a:avLst/>
        </a:prstGeom>
      </xdr:spPr>
    </xdr:pic>
    <xdr:clientData/>
  </xdr:twoCellAnchor>
  <xdr:twoCellAnchor editAs="oneCell">
    <xdr:from>
      <xdr:col>10</xdr:col>
      <xdr:colOff>19050</xdr:colOff>
      <xdr:row>0</xdr:row>
      <xdr:rowOff>152400</xdr:rowOff>
    </xdr:from>
    <xdr:to>
      <xdr:col>13</xdr:col>
      <xdr:colOff>428625</xdr:colOff>
      <xdr:row>3</xdr:row>
      <xdr:rowOff>152400</xdr:rowOff>
    </xdr:to>
    <xdr:pic>
      <xdr:nvPicPr>
        <xdr:cNvPr id="5" name="Picture 2">
          <a:extLst>
            <a:ext uri="{FF2B5EF4-FFF2-40B4-BE49-F238E27FC236}">
              <a16:creationId xmlns:a16="http://schemas.microsoft.com/office/drawing/2014/main" id="{FDD28F5C-CC5B-1790-221F-A8008BC12051}"/>
            </a:ext>
            <a:ext uri="{147F2762-F138-4A5C-976F-8EAC2B608ADB}">
              <a16:predDERef xmlns:a16="http://schemas.microsoft.com/office/drawing/2014/main" pred="{70F738C0-196B-50E8-FEA4-5A60DFFE2C34}"/>
            </a:ext>
          </a:extLst>
        </xdr:cNvPr>
        <xdr:cNvPicPr>
          <a:picLocks noChangeAspect="1"/>
        </xdr:cNvPicPr>
      </xdr:nvPicPr>
      <xdr:blipFill>
        <a:blip xmlns:r="http://schemas.openxmlformats.org/officeDocument/2006/relationships" r:embed="rId1"/>
        <a:stretch>
          <a:fillRect/>
        </a:stretch>
      </xdr:blipFill>
      <xdr:spPr>
        <a:xfrm>
          <a:off x="8858250" y="152400"/>
          <a:ext cx="2238375" cy="638175"/>
        </a:xfrm>
        <a:prstGeom prst="rect">
          <a:avLst/>
        </a:prstGeom>
      </xdr:spPr>
    </xdr:pic>
    <xdr:clientData/>
  </xdr:twoCellAnchor>
  <xdr:twoCellAnchor editAs="oneCell">
    <xdr:from>
      <xdr:col>9</xdr:col>
      <xdr:colOff>285750</xdr:colOff>
      <xdr:row>3</xdr:row>
      <xdr:rowOff>142875</xdr:rowOff>
    </xdr:from>
    <xdr:to>
      <xdr:col>15</xdr:col>
      <xdr:colOff>85725</xdr:colOff>
      <xdr:row>9</xdr:row>
      <xdr:rowOff>76200</xdr:rowOff>
    </xdr:to>
    <xdr:pic>
      <xdr:nvPicPr>
        <xdr:cNvPr id="4" name="Picture 3">
          <a:extLst>
            <a:ext uri="{FF2B5EF4-FFF2-40B4-BE49-F238E27FC236}">
              <a16:creationId xmlns:a16="http://schemas.microsoft.com/office/drawing/2014/main" id="{FEEC42C1-4B3A-89CB-9574-D1075993E0C6}"/>
            </a:ext>
            <a:ext uri="{147F2762-F138-4A5C-976F-8EAC2B608ADB}">
              <a16:predDERef xmlns:a16="http://schemas.microsoft.com/office/drawing/2014/main" pred="{FDD28F5C-CC5B-1790-221F-A8008BC12051}"/>
            </a:ext>
          </a:extLst>
        </xdr:cNvPr>
        <xdr:cNvPicPr>
          <a:picLocks noChangeAspect="1"/>
        </xdr:cNvPicPr>
      </xdr:nvPicPr>
      <xdr:blipFill>
        <a:blip xmlns:r="http://schemas.openxmlformats.org/officeDocument/2006/relationships" r:embed="rId2"/>
        <a:srcRect l="12222" t="31858" r="12083" b="28712"/>
        <a:stretch>
          <a:fillRect/>
        </a:stretch>
      </xdr:blipFill>
      <xdr:spPr>
        <a:xfrm>
          <a:off x="8515350" y="781050"/>
          <a:ext cx="3457575" cy="12573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ull View" id="{4A591DA4-2301-4407-B91A-447026C3CFDD}"/>
  <namedSheetView name="Only Case Status" id="{10A101C5-6803-40A0-B575-4C142E31E380}"/>
  <namedSheetView name="Tejal" id="{6606EF2B-A0A2-435D-A6B9-7835C0FF588E}"/>
  <namedSheetView name="View1" id="{B80D7863-6994-44E6-BDAD-65D5836DC9CC}"/>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1AE6662-BE01-4B9E-8870-0A2FA184DB45}"/>
  <namedSheetView name="View2" id="{1CBF8016-E49E-40F5-8785-CCF30EA0DD9B}"/>
</namedSheetViews>
</file>

<file path=xl/persons/person.xml><?xml version="1.0" encoding="utf-8"?>
<personList xmlns="http://schemas.microsoft.com/office/spreadsheetml/2018/threadedcomments" xmlns:x="http://schemas.openxmlformats.org/spreadsheetml/2006/main">
  <person displayName="Namrata Gopale" id="{97BFA821-5EC0-4673-A561-5AF024FE382A}" userId="3cfbda7e47422b32" providerId="Windows Live"/>
  <person displayName="Harish Sharma" id="{93585A1D-54A8-424A-9905-976AB25887F2}" userId="9eff5e905342d07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3.790824074073" createdVersion="8" refreshedVersion="8" minRefreshableVersion="3" recordCount="383" xr:uid="{DFCD9691-B6C5-4BB2-B611-C536CC4E765C}">
  <cacheSource type="worksheet">
    <worksheetSource ref="B1:Q1048576" sheet="Allocation Sheet"/>
  </cacheSource>
  <cacheFields count="15">
    <cacheField name="Investigator Name" numFmtId="0">
      <sharedItems containsBlank="1"/>
    </cacheField>
    <cacheField name="Investigator ID" numFmtId="0">
      <sharedItems containsBlank="1"/>
    </cacheField>
    <cacheField name="Claim Number" numFmtId="0">
      <sharedItems containsBlank="1" containsMixedTypes="1" containsNumber="1" containsInteger="1" minValue="2002429" maxValue="2025213359"/>
    </cacheField>
    <cacheField name="Connected Case" numFmtId="0">
      <sharedItems containsBlank="1" containsMixedTypes="1" containsNumber="1" containsInteger="1" minValue="2025206806" maxValue="2025212721"/>
    </cacheField>
    <cacheField name="Allocation Part" numFmtId="0">
      <sharedItems containsBlank="1" count="16">
        <s v="Spot"/>
        <s v="Chargesheet"/>
        <s v="Insured"/>
        <s v="Driver"/>
        <s v="Claimant"/>
        <s v="RC"/>
        <s v="RTO"/>
        <s v="Permit"/>
        <s v="Hospital"/>
        <s v="Eye Witness"/>
        <s v="DL"/>
        <m/>
        <s v="Reassessment"/>
        <s v="WMC"/>
        <s v="Medical Bill Verification"/>
        <s v="Chargesheet "/>
      </sharedItems>
    </cacheField>
    <cacheField name="Name/Police Station Name Details" numFmtId="0">
      <sharedItems containsBlank="1"/>
    </cacheField>
    <cacheField name="Address/FIR Details" numFmtId="0">
      <sharedItems containsDate="1" containsBlank="1" containsMixedTypes="1" minDate="2024-07-01T00:00:00" maxDate="2024-07-02T00:00:00"/>
    </cacheField>
    <cacheField name="District" numFmtId="0">
      <sharedItems containsBlank="1"/>
    </cacheField>
    <cacheField name="Allocation Date" numFmtId="0">
      <sharedItems containsDate="1" containsBlank="1" containsMixedTypes="1" minDate="2025-01-11T00:00:00" maxDate="2025-12-12T00:00:00"/>
    </cacheField>
    <cacheField name="Allocation Reamrks" numFmtId="0">
      <sharedItems containsDate="1" containsBlank="1" containsMixedTypes="1" minDate="2025-01-12T00:00:00" maxDate="2025-02-13T00:00:00"/>
    </cacheField>
    <cacheField name="Status" numFmtId="0">
      <sharedItems containsBlank="1" count="17">
        <s v="Status"/>
        <s v="CS Not Filed"/>
        <s v="WIP"/>
        <s v="Applied"/>
        <s v="Pending"/>
        <s v="Exibite Pending"/>
        <s v="CS Not Found"/>
        <s v="Settlement"/>
        <s v="Not Inititaed"/>
        <s v="GD Entery"/>
        <s v="Completed"/>
        <s v="STOP"/>
        <m/>
        <s v="CS not field" u="1"/>
        <s v="Going for setalment" u="1"/>
        <s v="Po. St.-GD entry" u="1"/>
        <s v="Not Found" u="1"/>
      </sharedItems>
    </cacheField>
    <cacheField name="Findings Remarks" numFmtId="0">
      <sharedItems containsBlank="1"/>
    </cacheField>
    <cacheField name="Completion Date" numFmtId="0">
      <sharedItems containsDate="1" containsBlank="1" containsMixedTypes="1" minDate="2025-07-10T00:00:00" maxDate="2025-10-11T00:00:00"/>
    </cacheField>
    <cacheField name=" Wages (Charges) " numFmtId="0">
      <sharedItems containsNonDate="0" containsString="0" containsBlank="1"/>
    </cacheField>
    <cacheField name="Charges Statu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Gaudase" refreshedDate="46015.477729398146" createdVersion="8" refreshedVersion="8" minRefreshableVersion="3" recordCount="506" xr:uid="{620D0F65-30F2-4CA5-BD10-907AD6574DF0}">
  <cacheSource type="worksheet">
    <worksheetSource ref="A1:BE1048576" sheet="MIS_Backend_Data"/>
  </cacheSource>
  <cacheFields count="57">
    <cacheField name="S | N" numFmtId="0">
      <sharedItems containsString="0" containsBlank="1" containsNumber="1" containsInteger="1" minValue="1" maxValue="204"/>
    </cacheField>
    <cacheField name="CLAIM NUMBER" numFmtId="0">
      <sharedItems containsBlank="1" containsMixedTypes="1" containsNumber="1" containsInteger="1" minValue="1033504" maxValue="2025214269"/>
    </cacheField>
    <cacheField name="CLIENT NAME" numFmtId="0">
      <sharedItems containsBlank="1" count="12">
        <s v="Magma HDI General Insurance Company Ltd"/>
        <s v="Generali Central Insurance Company Limited"/>
        <s v="Indusind General Insurance Co Ltd"/>
        <s v="SBI General Insurance Company Ltd"/>
        <s v="Bajaj Allianz General Insurance Company Ltd"/>
        <m/>
        <s v="Reliance General Insurance Company Ltd" u="1"/>
        <s v="Bajaj Allianz General Insurance Company Ltd." u="1"/>
        <s v="CLIENT NAME" u="1"/>
        <s v="Magma HDI General Insurance Company Ltd." u="1"/>
        <s v="Reliance General Insurance Company Ltd." u="1"/>
        <s v="SBI General Insurance Company Ltd." u="1"/>
      </sharedItems>
    </cacheField>
    <cacheField name="CATEGORY" numFmtId="0">
      <sharedItems containsBlank="1"/>
    </cacheField>
    <cacheField name="CRN" numFmtId="0">
      <sharedItems containsBlank="1"/>
    </cacheField>
    <cacheField name="CASE RECIPET DATE" numFmtId="166">
      <sharedItems containsNonDate="0" containsDate="1" containsString="0" containsBlank="1" minDate="2024-08-13T00:00:00" maxDate="2025-12-23T00:00:00"/>
    </cacheField>
    <cacheField name="RECIPET MONTH" numFmtId="0">
      <sharedItems containsBlank="1" containsMixedTypes="1" containsNumber="1" containsInteger="1" minValue="0" maxValue="0" count="13">
        <s v="Aug-25"/>
        <s v="Sep-25"/>
        <s v="Mar-25"/>
        <s v="Oct-25"/>
        <s v="Nov-25"/>
        <s v="Dec-25"/>
        <s v="Apr-25"/>
        <s v="Sep-24"/>
        <s v="Jan-25"/>
        <s v="Aug-24"/>
        <s v="Oct-24"/>
        <n v="0"/>
        <m/>
      </sharedItems>
    </cacheField>
    <cacheField name="COMPLETION DATE" numFmtId="0">
      <sharedItems containsDate="1" containsBlank="1" containsMixedTypes="1" minDate="2024-12-13T00:00:00" maxDate="2025-12-24T00:00:00" count="37">
        <s v="-"/>
        <d v="2025-12-23T00:00:00"/>
        <d v="2025-09-18T00:00:00"/>
        <d v="2025-10-18T00:00:00"/>
        <d v="2025-11-07T00:00:00"/>
        <d v="2025-11-09T00:00:00"/>
        <d v="2025-11-15T00:00:00"/>
        <d v="2025-11-21T00:00:00"/>
        <d v="2025-11-12T00:00:00"/>
        <d v="2025-11-01T00:00:00"/>
        <d v="2025-12-10T00:00:00"/>
        <d v="2025-12-09T00:00:00"/>
        <d v="2025-12-17T00:00:00"/>
        <d v="2025-12-04T00:00:00"/>
        <d v="2025-12-18T00:00:00"/>
        <d v="2025-11-25T00:00:00"/>
        <d v="2025-12-20T00:00:00"/>
        <d v="2025-12-16T00:00:00"/>
        <d v="2025-11-10T00:00:00"/>
        <d v="2025-11-26T00:00:00"/>
        <d v="2025-12-22T00:00:00"/>
        <d v="2025-12-06T00:00:00"/>
        <d v="2025-12-19T00:00:00"/>
        <d v="2025-11-29T00:00:00"/>
        <d v="2025-12-12T00:00:00"/>
        <d v="2025-12-11T00:00:00"/>
        <d v="2025-12-15T00:00:00"/>
        <d v="2025-07-07T00:00:00"/>
        <d v="2025-09-22T00:00:00"/>
        <d v="2024-12-17T00:00:00"/>
        <d v="2024-12-13T00:00:00"/>
        <d v="2025-01-24T00:00:00"/>
        <d v="2025-08-29T00:00:00"/>
        <d v="2025-06-16T00:00:00"/>
        <m/>
        <s v=" " u="1"/>
        <s v="             15-Dec-2025" u="1"/>
      </sharedItems>
    </cacheField>
    <cacheField name="COMPLETION MONTH" numFmtId="15">
      <sharedItems containsBlank="1" count="14">
        <s v="-"/>
        <s v="Dec-25"/>
        <s v="Sep-25"/>
        <s v="Oct-25"/>
        <s v="Nov-25"/>
        <s v="Jul-25"/>
        <s v="Dec-24"/>
        <s v="Jan-25"/>
        <s v="Aug-25"/>
        <s v="Jun-25"/>
        <s v=""/>
        <m/>
        <s v=" " u="1"/>
        <s v="             15-Dec-2025" u="1"/>
      </sharedItems>
    </cacheField>
    <cacheField name="CASE DUE DATE" numFmtId="15">
      <sharedItems containsDate="1" containsBlank="1" containsMixedTypes="1" minDate="2024-09-24T00:00:00" maxDate="2026-02-03T00:00:00"/>
    </cacheField>
    <cacheField name="TAT" numFmtId="0">
      <sharedItems containsString="0" containsBlank="1" containsNumber="1" containsInteger="1" minValue="0" maxValue="462"/>
    </cacheField>
    <cacheField name="SLA" numFmtId="0">
      <sharedItems containsBlank="1"/>
    </cacheField>
    <cacheField name="CASE TYPE" numFmtId="0">
      <sharedItems containsBlank="1"/>
    </cacheField>
    <cacheField name="INVESTIGATION REPORT" numFmtId="0">
      <sharedItems containsBlank="1"/>
    </cacheField>
    <cacheField name="FULL CASE STATUS" numFmtId="0">
      <sharedItems containsBlank="1" count="7">
        <s v="Pending for CS"/>
        <s v="WIP"/>
        <s v="Completed"/>
        <s v="Withdraw"/>
        <s v="NI"/>
        <m/>
        <s v="NA" u="1"/>
      </sharedItems>
    </cacheField>
    <cacheField name="SCOPE OF WORK" numFmtId="0">
      <sharedItems containsBlank="1"/>
    </cacheField>
    <cacheField name="CLAIMANT NAME" numFmtId="0">
      <sharedItems containsBlank="1"/>
    </cacheField>
    <cacheField name="CLAIMANT ADDRESS" numFmtId="0">
      <sharedItems containsBlank="1"/>
    </cacheField>
    <cacheField name="CLAIMANT DISTRICT" numFmtId="0">
      <sharedItems containsBlank="1"/>
    </cacheField>
    <cacheField name="CLAIMANT STATUS" numFmtId="0">
      <sharedItems containsBlank="1"/>
    </cacheField>
    <cacheField name="INCOME DETAILS" numFmtId="0">
      <sharedItems containsBlank="1"/>
    </cacheField>
    <cacheField name="INCOME ADDRESS" numFmtId="0">
      <sharedItems containsBlank="1"/>
    </cacheField>
    <cacheField name="DISTRICT" numFmtId="0">
      <sharedItems containsBlank="1"/>
    </cacheField>
    <cacheField name="INCOME STATUS" numFmtId="0">
      <sharedItems containsBlank="1"/>
    </cacheField>
    <cacheField name="INSURED NAME" numFmtId="0">
      <sharedItems containsBlank="1"/>
    </cacheField>
    <cacheField name="INSURED ADDRESS" numFmtId="0">
      <sharedItems containsBlank="1"/>
    </cacheField>
    <cacheField name="INSURED DISTRICT" numFmtId="0">
      <sharedItems containsBlank="1"/>
    </cacheField>
    <cacheField name="132 NOTICE" numFmtId="0">
      <sharedItems containsBlank="1"/>
    </cacheField>
    <cacheField name="INSURED STATUS" numFmtId="0">
      <sharedItems containsBlank="1"/>
    </cacheField>
    <cacheField name="DRIVER NAME" numFmtId="0">
      <sharedItems containsBlank="1"/>
    </cacheField>
    <cacheField name="DRIVER ADDRESS" numFmtId="0">
      <sharedItems containsBlank="1"/>
    </cacheField>
    <cacheField name="DRIVER DISTRICT" numFmtId="0">
      <sharedItems containsBlank="1"/>
    </cacheField>
    <cacheField name="DRIVER STATUS" numFmtId="0">
      <sharedItems containsBlank="1"/>
    </cacheField>
    <cacheField name="DL" numFmtId="0">
      <sharedItems containsBlank="1"/>
    </cacheField>
    <cacheField name="DL STATUS" numFmtId="0">
      <sharedItems containsBlank="1"/>
    </cacheField>
    <cacheField name="RC " numFmtId="0">
      <sharedItems containsBlank="1"/>
    </cacheField>
    <cacheField name="RC STATUS" numFmtId="0">
      <sharedItems containsBlank="1"/>
    </cacheField>
    <cacheField name="PERMIT" numFmtId="0">
      <sharedItems containsBlank="1"/>
    </cacheField>
    <cacheField name="PERMIT STATUS" numFmtId="0">
      <sharedItems containsBlank="1"/>
    </cacheField>
    <cacheField name="FITNESS" numFmtId="0">
      <sharedItems containsBlank="1"/>
    </cacheField>
    <cacheField name="FITNESS STATUS" numFmtId="0">
      <sharedItems containsBlank="1"/>
    </cacheField>
    <cacheField name="DISTRICT2" numFmtId="0">
      <sharedItems containsBlank="1"/>
    </cacheField>
    <cacheField name="SPOT LOCATION" numFmtId="0">
      <sharedItems containsBlank="1"/>
    </cacheField>
    <cacheField name="SPOT DISTRICT" numFmtId="0">
      <sharedItems containsBlank="1"/>
    </cacheField>
    <cacheField name="SPOT STATUS" numFmtId="0">
      <sharedItems containsBlank="1"/>
    </cacheField>
    <cacheField name="FIR NUMBER" numFmtId="0">
      <sharedItems containsBlank="1" containsMixedTypes="1" containsNumber="1" containsInteger="1" minValue="234" maxValue="234"/>
    </cacheField>
    <cacheField name="POLICE STATION" numFmtId="0">
      <sharedItems containsBlank="1"/>
    </cacheField>
    <cacheField name="District3" numFmtId="0">
      <sharedItems containsBlank="1"/>
    </cacheField>
    <cacheField name="RTI" numFmtId="0">
      <sharedItems containsBlank="1"/>
    </cacheField>
    <cacheField name="CHARGESHEET STATUS" numFmtId="0">
      <sharedItems containsBlank="1"/>
    </cacheField>
    <cacheField name="HOSPITAL NAME" numFmtId="0">
      <sharedItems containsBlank="1"/>
    </cacheField>
    <cacheField name="HOSPITAL ADDRESS" numFmtId="0">
      <sharedItems containsBlank="1"/>
    </cacheField>
    <cacheField name="HOSPITAL DISTRICT" numFmtId="0">
      <sharedItems containsBlank="1"/>
    </cacheField>
    <cacheField name="HOSPITAL STATUS" numFmtId="0">
      <sharedItems containsBlank="1"/>
    </cacheField>
    <cacheField name="DISPATCH DATE" numFmtId="0">
      <sharedItems containsDate="1" containsBlank="1" containsMixedTypes="1" minDate="2025-12-02T00:00:00" maxDate="2025-12-12T00:00:00"/>
    </cacheField>
    <cacheField name="DISPACTH STATUS" numFmtId="0">
      <sharedItems containsBlank="1"/>
    </cacheField>
    <cacheField name="CASE 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
  <r>
    <s v="NA"/>
    <s v="NA"/>
    <n v="2025202883"/>
    <s v="NA"/>
    <x v="0"/>
    <s v="NA"/>
    <s v="On Nashik to Pune road, Anandwadi, Chandanapuri, Sangamner. "/>
    <s v="Malegaon-Nashik"/>
    <m/>
    <s v="NA"/>
    <x v="0"/>
    <s v="Jagdale"/>
    <m/>
    <m/>
    <m/>
  </r>
  <r>
    <s v="Adv. Nikhil Dhole Patil"/>
    <s v="NA"/>
    <n v="2025202883"/>
    <s v="NA"/>
    <x v="1"/>
    <s v="Sangamner Taluka Po. St."/>
    <s v="680/2024"/>
    <s v="Ahmadnagar"/>
    <s v="17/09/2025"/>
    <s v="NA"/>
    <x v="1"/>
    <m/>
    <m/>
    <m/>
    <m/>
  </r>
  <r>
    <s v="Adv. Shubham Swami"/>
    <s v="NA"/>
    <n v="2025201119"/>
    <s v="NA"/>
    <x v="1"/>
    <s v="Anand Nagar Po. St."/>
    <s v="262/2024"/>
    <s v="Dharashiv"/>
    <s v="14/11/2025"/>
    <s v="NA"/>
    <x v="2"/>
    <m/>
    <m/>
    <m/>
    <m/>
  </r>
  <r>
    <s v="Adv. Dipak Jadhav"/>
    <s v="NA"/>
    <s v="C2254113101467-00"/>
    <s v="NA"/>
    <x v="1"/>
    <s v="Kingaon Raja Po. St."/>
    <s v="227/2023"/>
    <s v="Buldhana"/>
    <s v="25/06/2025"/>
    <s v="NA"/>
    <x v="3"/>
    <m/>
    <m/>
    <m/>
    <m/>
  </r>
  <r>
    <s v="Adv. Omkar Mhaske"/>
    <s v="NA"/>
    <n v="2024215425"/>
    <s v="NA"/>
    <x v="1"/>
    <s v="Tuljapur Po. St."/>
    <s v="347/2023"/>
    <s v="Dharashiv"/>
    <s v="19/06/2025"/>
    <s v="NA"/>
    <x v="3"/>
    <m/>
    <m/>
    <m/>
    <m/>
  </r>
  <r>
    <s v="Adv. Mahadev Shinde"/>
    <s v="NA"/>
    <n v="2025200082"/>
    <s v="NA"/>
    <x v="1"/>
    <s v="Kallamb Po. St."/>
    <s v="123/2024"/>
    <s v="Dharashiv"/>
    <d v="2025-11-11T00:00:00"/>
    <s v="NA"/>
    <x v="4"/>
    <m/>
    <m/>
    <m/>
    <m/>
  </r>
  <r>
    <s v="Adv. Mahadev Shinde"/>
    <s v="NA"/>
    <n v="2024207043"/>
    <s v="NA"/>
    <x v="1"/>
    <s v="Kallamb Po. St."/>
    <s v="452/2022"/>
    <s v="Dharashiv"/>
    <d v="2025-11-11T00:00:00"/>
    <s v="NA"/>
    <x v="1"/>
    <m/>
    <m/>
    <m/>
    <m/>
  </r>
  <r>
    <s v="Adv. Mahadev Shinde"/>
    <s v="NA"/>
    <n v="2024215423"/>
    <s v="NA"/>
    <x v="1"/>
    <s v="Yermal Po. St."/>
    <s v="224/2024"/>
    <s v="Dharashiv"/>
    <d v="2025-11-11T00:00:00"/>
    <s v="NA"/>
    <x v="1"/>
    <m/>
    <m/>
    <m/>
    <m/>
  </r>
  <r>
    <s v="Adv. Afreed Sayyed"/>
    <s v="NA"/>
    <n v="2025200765"/>
    <s v="NA"/>
    <x v="1"/>
    <s v="Ahmadpur po. St."/>
    <s v="44/2024"/>
    <s v="Nanded/Latur"/>
    <s v="20/08/2025"/>
    <s v="NA"/>
    <x v="5"/>
    <m/>
    <m/>
    <m/>
    <m/>
  </r>
  <r>
    <s v="D Chakane"/>
    <s v="NA"/>
    <n v="2025202179"/>
    <s v="NA"/>
    <x v="1"/>
    <s v="Lonavala City Po. St."/>
    <s v="283/2024"/>
    <s v="Vadgaon Maval-Pune"/>
    <d v="2025-03-07T00:00:00"/>
    <s v="NA"/>
    <x v="1"/>
    <m/>
    <m/>
    <m/>
    <m/>
  </r>
  <r>
    <s v="Adv. Shubham Swami"/>
    <s v="NA"/>
    <n v="2025201616"/>
    <s v="NA"/>
    <x v="1"/>
    <s v="Murum Po. St."/>
    <s v="310/2024"/>
    <s v="Dharashiv"/>
    <s v="14/11/2025"/>
    <s v="NA"/>
    <x v="1"/>
    <m/>
    <m/>
    <m/>
    <m/>
  </r>
  <r>
    <s v="Adv. Rohit Chhajed"/>
    <s v="NA"/>
    <n v="2024213331"/>
    <s v="NA"/>
    <x v="1"/>
    <s v="Lonavala Po. St."/>
    <s v="UDR 60/2024"/>
    <s v="Vadgaon Maval-Pune"/>
    <s v="26/11/2025"/>
    <s v="NA"/>
    <x v="1"/>
    <m/>
    <m/>
    <m/>
    <m/>
  </r>
  <r>
    <s v="Adv. Rohit Chhajed"/>
    <s v="NA"/>
    <n v="2024210698"/>
    <s v="NA"/>
    <x v="1"/>
    <s v="Dehu road Police Station  "/>
    <s v="139/2024"/>
    <s v="Wadgaon-Pune"/>
    <s v="26/11/2025"/>
    <s v="NA"/>
    <x v="2"/>
    <m/>
    <m/>
    <m/>
    <m/>
  </r>
  <r>
    <s v="Adv. Pornima Ningdale"/>
    <s v="NA"/>
    <n v="2024205781"/>
    <s v="NA"/>
    <x v="1"/>
    <s v="Gategaon Po. St. Latur"/>
    <s v="131/2020"/>
    <s v="Latur"/>
    <s v="25/06/2025"/>
    <s v="NA"/>
    <x v="3"/>
    <m/>
    <m/>
    <m/>
    <m/>
  </r>
  <r>
    <s v="Adv. Arshad Naik"/>
    <s v="NA"/>
    <s v="MTP-N-2526-002845"/>
    <s v="NA"/>
    <x v="1"/>
    <s v="Limbgaon Po. St."/>
    <s v="133/2025"/>
    <s v="Nanded"/>
    <m/>
    <s v="NA"/>
    <x v="3"/>
    <m/>
    <m/>
    <m/>
    <m/>
  </r>
  <r>
    <s v="Adv. Nikhil Dhole Patil"/>
    <s v="NA"/>
    <n v="2025209654"/>
    <s v="NA"/>
    <x v="1"/>
    <s v="Shreegonda Po. St."/>
    <s v="511/2025"/>
    <s v="Ahilyanagar"/>
    <s v="18/09/2025"/>
    <s v="NA"/>
    <x v="6"/>
    <m/>
    <m/>
    <m/>
    <m/>
  </r>
  <r>
    <s v="Adv. Pranita Shirsat"/>
    <s v="NA"/>
    <s v="MTP-N-2526-003267"/>
    <s v="NA"/>
    <x v="1"/>
    <s v="Ambad Po. St."/>
    <s v="192/2025"/>
    <s v="Nashik"/>
    <s v="18/09/2025"/>
    <s v="NA"/>
    <x v="7"/>
    <m/>
    <m/>
    <m/>
    <m/>
  </r>
  <r>
    <s v="Adv. Arshad Naik"/>
    <s v="NA"/>
    <n v="2025202327"/>
    <s v="NA"/>
    <x v="1"/>
    <s v="Limbgaon Po. St."/>
    <s v="55/2024"/>
    <s v="Nanded"/>
    <d v="2025-08-10T00:00:00"/>
    <s v="NA"/>
    <x v="4"/>
    <m/>
    <m/>
    <m/>
    <m/>
  </r>
  <r>
    <s v="Adv. Arshad Naik"/>
    <s v="NA"/>
    <n v="2025206296"/>
    <s v="NA"/>
    <x v="1"/>
    <s v="Vazirabad Po. St."/>
    <s v="217/2024"/>
    <s v="Nanded"/>
    <d v="2025-08-10T00:00:00"/>
    <s v="NA"/>
    <x v="4"/>
    <m/>
    <m/>
    <m/>
    <m/>
  </r>
  <r>
    <s v="Adv. Arshad Naik"/>
    <s v="NA"/>
    <n v="2025211210"/>
    <s v="NA"/>
    <x v="1"/>
    <s v="Chandanjira Po. St."/>
    <s v="304/2019"/>
    <s v="Nanded"/>
    <d v="2025-08-10T00:00:00"/>
    <s v="NA"/>
    <x v="4"/>
    <m/>
    <m/>
    <m/>
    <m/>
  </r>
  <r>
    <s v="Adv. Arshad Naik"/>
    <s v="NA"/>
    <n v="2025211101"/>
    <s v="NA"/>
    <x v="1"/>
    <s v="Nanded Rural Po. St."/>
    <s v="309/2016"/>
    <s v="Nanded"/>
    <d v="2025-08-10T00:00:00"/>
    <s v="NA"/>
    <x v="4"/>
    <m/>
    <m/>
    <m/>
    <m/>
  </r>
  <r>
    <s v="PI Laxman Kendre/Adv. Arshad Naik"/>
    <s v="NA"/>
    <n v="2025207292"/>
    <s v="NA"/>
    <x v="1"/>
    <s v="Mukhed Po. St."/>
    <s v="33/2025"/>
    <s v="Nanded"/>
    <s v="27/10/2025"/>
    <s v="NA"/>
    <x v="1"/>
    <m/>
    <m/>
    <m/>
    <m/>
  </r>
  <r>
    <s v="Shubham Waghule"/>
    <s v="NA"/>
    <s v="C2260000100071-00"/>
    <s v="NA"/>
    <x v="2"/>
    <s v="Baliram Dharma Rathod"/>
    <s v="R/O. Tina Naik Tanda, Pos-Ner, Tal - Jalna, Dis - Sambhajinagar."/>
    <s v="Sambhajinagar"/>
    <m/>
    <s v="NA"/>
    <x v="0"/>
    <m/>
    <m/>
    <m/>
    <m/>
  </r>
  <r>
    <s v="Shubham Waghule"/>
    <s v="NA"/>
    <s v="C2260000100071-00"/>
    <s v="NA"/>
    <x v="3"/>
    <s v="Amol Ganesh Rathod"/>
    <s v="R/O. Tina Naik Tanda, Pos-Ner, Tal - Jalna, Dis - Sambhajinagar."/>
    <s v="Sambhajinagar"/>
    <m/>
    <s v="NA"/>
    <x v="0"/>
    <m/>
    <m/>
    <m/>
    <m/>
  </r>
  <r>
    <s v="NA"/>
    <s v="NA"/>
    <n v="2024216011"/>
    <s v="NA"/>
    <x v="3"/>
    <s v="Tukaram Surwase"/>
    <s v="Rajuri, Sangola Solapur."/>
    <s v="Solapur"/>
    <m/>
    <s v="NA"/>
    <x v="0"/>
    <m/>
    <m/>
    <m/>
    <m/>
  </r>
  <r>
    <s v="Adv. Mahesh Shanbag"/>
    <s v="NA"/>
    <n v="2024216011"/>
    <s v="NA"/>
    <x v="1"/>
    <s v="Kawthemahakal"/>
    <s v="496/2020"/>
    <s v="Kolhapur"/>
    <m/>
    <s v="NA"/>
    <x v="4"/>
    <m/>
    <m/>
    <m/>
    <m/>
  </r>
  <r>
    <s v="Sagar Andhale"/>
    <s v="NA"/>
    <s v="C2264103101109-00"/>
    <s v="NA"/>
    <x v="4"/>
    <s v="Nanasaheb eknath Pawar"/>
    <s v="Bhalawni, Asti, Beed."/>
    <s v="Ahilyanagar"/>
    <s v="13/11/2025"/>
    <s v="NA"/>
    <x v="0"/>
    <m/>
    <m/>
    <m/>
    <m/>
  </r>
  <r>
    <s v="NA"/>
    <s v="NA"/>
    <s v="C2264191100006-00"/>
    <s v="NA"/>
    <x v="4"/>
    <s v="Chandrabhaga Shivaji Pawar"/>
    <s v="Bhilcot, Malegaon, Nashik."/>
    <s v="Malegaon-Nashik"/>
    <m/>
    <s v="NA"/>
    <x v="0"/>
    <s v="Nihal"/>
    <m/>
    <m/>
    <m/>
  </r>
  <r>
    <s v="NA"/>
    <s v="NA"/>
    <s v="C2264191100006-00"/>
    <s v="NA"/>
    <x v="2"/>
    <s v="Momin Navid Akhtar Mohmd Shahid"/>
    <s v="Naya Islampura, Malegaon, Nashik 423202"/>
    <s v="Malegaon-Nashik"/>
    <m/>
    <s v="NA"/>
    <x v="0"/>
    <s v="Nihal"/>
    <m/>
    <m/>
    <m/>
  </r>
  <r>
    <s v="NA"/>
    <s v="NA"/>
    <s v="C2264191100006-00"/>
    <s v="NA"/>
    <x v="0"/>
    <s v="NA"/>
    <s v="On Hatane to Tokane road, Near Pravin Thokes Veetbatti, In the visinity of Hatane village."/>
    <s v="Malegaon-Nashik"/>
    <m/>
    <s v="NA"/>
    <x v="0"/>
    <s v="Nihal"/>
    <m/>
    <m/>
    <m/>
  </r>
  <r>
    <s v="Rohan Bansode"/>
    <s v="NA"/>
    <s v="C2264103101217-04"/>
    <s v="NA"/>
    <x v="3"/>
    <s v="Sagar Ankush Bhosale"/>
    <s v="Tungat, Pandharpur, Solapur. 413304."/>
    <s v="Solapur"/>
    <m/>
    <s v="NA"/>
    <x v="0"/>
    <m/>
    <m/>
    <m/>
    <m/>
  </r>
  <r>
    <s v="Ajit/Suhas"/>
    <s v="NA"/>
    <s v="C2254103101036-00"/>
    <s v="NA"/>
    <x v="5"/>
    <s v="Ganesh Ramchandra Patil"/>
    <s v="MH-42-AQ-9977 / MH2022-GP-5380E"/>
    <s v="Kolhapur RTO"/>
    <m/>
    <s v="NA"/>
    <x v="8"/>
    <m/>
    <m/>
    <m/>
    <m/>
  </r>
  <r>
    <s v="Nihal Shaikh"/>
    <s v="NA"/>
    <s v="CN064878"/>
    <s v="NA"/>
    <x v="2"/>
    <s v="Ravindra Pandurang Patil "/>
    <s v="Gudhe, Bhadgaon, Jalgaon."/>
    <s v="Jalgaon"/>
    <m/>
    <s v="NA"/>
    <x v="0"/>
    <m/>
    <m/>
    <m/>
    <m/>
  </r>
  <r>
    <s v="Nirmal CSC"/>
    <s v="NA"/>
    <s v="CN064878"/>
    <s v="NA"/>
    <x v="0"/>
    <s v="Ramesh Nimba Patil"/>
    <s v="On Wadegude to Umberkhed road, Near Gude Shivar, Chalisgaon, Nashik."/>
    <s v="Chalisgaon-Nashik"/>
    <m/>
    <s v="NA"/>
    <x v="0"/>
    <m/>
    <s v="13/10/2025"/>
    <m/>
    <m/>
  </r>
  <r>
    <s v="Nihal Shaikh"/>
    <s v="NA"/>
    <s v="CN064878"/>
    <s v="NA"/>
    <x v="6"/>
    <s v="Mr. Ravan Dayaram Patil."/>
    <s v="TP Driver"/>
    <s v="Jalgaon"/>
    <m/>
    <s v="NA"/>
    <x v="8"/>
    <m/>
    <m/>
    <m/>
    <m/>
  </r>
  <r>
    <s v="Sagar Andhale"/>
    <s v="NA"/>
    <n v="2025209111"/>
    <s v="NA"/>
    <x v="4"/>
    <s v="Kavita Vijay Rajule - Yuvraj"/>
    <s v="Narsali, Shreerampur, Ahilyanagar."/>
    <s v="Ahilyanagar"/>
    <d v="2025-06-10T00:00:00"/>
    <s v="NA"/>
    <x v="0"/>
    <m/>
    <d v="2025-07-10T00:00:00"/>
    <m/>
    <m/>
  </r>
  <r>
    <s v="Ganesh Barde"/>
    <s v="NA"/>
    <n v="2024214888"/>
    <s v="NA"/>
    <x v="4"/>
    <s v="Nurjaha Rajak Shaikh"/>
    <s v="Gandhinagar, Kopargaon, Ahmadnagar"/>
    <s v="Ahilyanagar"/>
    <m/>
    <s v="NA"/>
    <x v="0"/>
    <m/>
    <m/>
    <m/>
    <m/>
  </r>
  <r>
    <s v="Adv. Chandeasen G"/>
    <s v="NA"/>
    <n v="2025209769"/>
    <s v="NA"/>
    <x v="4"/>
    <s v="Subhadra Ganesh Yadav"/>
    <s v="Jadid Javla, Harki, Majalgaon, Beed. Current - Vikasnagar, Dharashiv."/>
    <s v="Barshi"/>
    <m/>
    <s v="NA"/>
    <x v="0"/>
    <m/>
    <m/>
    <m/>
    <m/>
  </r>
  <r>
    <s v="Adv. Shubham Raut"/>
    <s v="NA"/>
    <n v="2025209769"/>
    <s v="NA"/>
    <x v="2"/>
    <s v="Mahadev Vyankat Panchal"/>
    <s v="C/O, Gorakh Rambhaji Konde-SR/No-240/1B, Gorakh House, Gajanan Nagar,  Urali Devachi,  Haveli, Pune.Current - Tadgaon, Kallam, Dharashiv."/>
    <s v="Dharashiv"/>
    <m/>
    <s v="NA"/>
    <x v="0"/>
    <m/>
    <m/>
    <m/>
    <m/>
  </r>
  <r>
    <s v="Adv. Chandeasen G"/>
    <s v="NA"/>
    <n v="2025209769"/>
    <s v="NA"/>
    <x v="0"/>
    <s v="NA"/>
    <s v="On Barshi to Kusalamb road, Near Ayush Vyanshanmukti Kendra, Near field of Shridhar Govardhan Awate, In village Jamgaon, Barshi, Solapur."/>
    <s v="Barshi"/>
    <m/>
    <s v="NA"/>
    <x v="0"/>
    <m/>
    <m/>
    <m/>
    <m/>
  </r>
  <r>
    <s v="Adv. Shahin"/>
    <s v="NA"/>
    <n v="2025209769"/>
    <s v="NA"/>
    <x v="1"/>
    <s v="Barshi Taluka Po. St."/>
    <s v="424/2024"/>
    <s v="Solapur"/>
    <s v="31/10/2025"/>
    <s v="NA"/>
    <x v="2"/>
    <m/>
    <m/>
    <m/>
    <m/>
  </r>
  <r>
    <s v="Sagar Andhale"/>
    <s v="NA"/>
    <n v="2025210107"/>
    <s v="NA"/>
    <x v="2"/>
    <s v="Sunil Annasaheb Kulat"/>
    <s v="41, Gavthan, Khatgaon, Taklitral, Parner, Ahmadnagar. 414103"/>
    <s v="Ahilyanagar"/>
    <d v="2025-06-10T00:00:00"/>
    <s v="NA"/>
    <x v="0"/>
    <m/>
    <d v="2025-08-10T00:00:00"/>
    <m/>
    <m/>
  </r>
  <r>
    <s v="Sagar Andhale"/>
    <s v="NA"/>
    <n v="2025210107"/>
    <s v="NA"/>
    <x v="3"/>
    <s v="Somnath Bhagwan Dahifhale/Kisan Madane"/>
    <s v="Miri, Pathardi, Ahmadnagar."/>
    <s v="Ahilyanagar"/>
    <s v="13/11/2025"/>
    <s v="NA"/>
    <x v="0"/>
    <m/>
    <m/>
    <m/>
    <m/>
  </r>
  <r>
    <s v="Adv. Chandeasen G"/>
    <s v="NA"/>
    <s v="CM889835"/>
    <s v="NA"/>
    <x v="0"/>
    <s v="Rajendra Annasaheb Khedad"/>
    <s v="Barbole Plot, Back to Shivshakti Garden, Barshi. Solapur."/>
    <s v="Barshi"/>
    <m/>
    <s v="NA"/>
    <x v="0"/>
    <s v="Eye witness with Audio Video Recording, Hosp-MLC, Spot visit &amp; CCTV footage , Po. St.-GD entry, IV &amp; TP damages/repair proof, News cutting."/>
    <m/>
    <m/>
    <m/>
  </r>
  <r>
    <s v="Adv. Chandeasen G"/>
    <s v="NA"/>
    <s v="CM889835"/>
    <s v="NA"/>
    <x v="0"/>
    <s v="Azruddin Menuddin Shaikh"/>
    <s v="Sanja Bypass road, Nr. Yamaha Showroom, Shivajinagar, Dharashiv."/>
    <s v="Barshi"/>
    <m/>
    <s v="NA"/>
    <x v="0"/>
    <s v="Eye witness with Audio Video Recording, Hosp-MLC, Spot visit &amp; CCTV footage , Po. St.-GD entry, IV &amp; TP damages/repair proof, News cutting."/>
    <m/>
    <m/>
    <m/>
  </r>
  <r>
    <s v="Adv. Chandeasen G"/>
    <s v="NA"/>
    <s v="CM889835"/>
    <s v="NA"/>
    <x v="4"/>
    <s v="Sagera Rashid Tamboli"/>
    <s v="opposite oxygen park ,barshi. Ambehol, Dharashiv.."/>
    <s v="Barshi"/>
    <m/>
    <s v="NA"/>
    <x v="0"/>
    <m/>
    <m/>
    <m/>
    <m/>
  </r>
  <r>
    <s v="Pramod Nikam "/>
    <s v="NA"/>
    <s v="CM889835"/>
    <s v="NA"/>
    <x v="3"/>
    <s v="Dnyandev Sugriv Ragade"/>
    <s v="Kondava Road, Gokul Nagar, Katraj, Pune."/>
    <s v="Pune"/>
    <m/>
    <s v="NA"/>
    <x v="0"/>
    <s v="Real time photos, videos, CCTV footage, fast tag details of vehicle."/>
    <m/>
    <m/>
    <m/>
  </r>
  <r>
    <s v="Adv. Chandeasen G"/>
    <s v="NA"/>
    <s v="CM889835"/>
    <s v="NA"/>
    <x v="0"/>
    <s v="NA"/>
    <s v="On Baleshwar Naka to Kasarwado road, Nr. Oxigen Park, at Barshi city po. St."/>
    <s v="Barshi"/>
    <m/>
    <s v="NA"/>
    <x v="0"/>
    <m/>
    <m/>
    <m/>
    <m/>
  </r>
  <r>
    <s v="PI Balaji Kukade"/>
    <s v="NA"/>
    <s v="CM889835"/>
    <s v="NA"/>
    <x v="1"/>
    <s v="Barshi City po. St."/>
    <s v="187/2024"/>
    <s v="Solapur"/>
    <d v="2025-08-10T00:00:00"/>
    <s v="NA"/>
    <x v="9"/>
    <m/>
    <m/>
    <m/>
    <m/>
  </r>
  <r>
    <s v="Surya"/>
    <s v="NA"/>
    <n v="2022201759"/>
    <s v="NA"/>
    <x v="7"/>
    <m/>
    <s v="Nanded RTO"/>
    <s v="Nanded"/>
    <d v="2025-08-10T00:00:00"/>
    <s v="NA"/>
    <x v="8"/>
    <m/>
    <m/>
    <m/>
    <m/>
  </r>
  <r>
    <s v="Prashant Jeurkar"/>
    <s v="NA"/>
    <n v="2025200573"/>
    <s v="NA"/>
    <x v="4"/>
    <s v="Madhav Sheshrao Surve"/>
    <s v="Datta Nagar, Kailash Nagar, Lane No. 04, Plot No. 04,  Sambhajinagar."/>
    <s v="Sambhajinagar"/>
    <d v="2025-08-10T00:00:00"/>
    <s v="NA"/>
    <x v="0"/>
    <m/>
    <d v="2025-10-10T00:00:00"/>
    <m/>
    <m/>
  </r>
  <r>
    <s v="Prashant Jeurkar"/>
    <s v="NA"/>
    <n v="2025200573"/>
    <s v="NA"/>
    <x v="2"/>
    <s v="AKASH SANJAY KAMBLE"/>
    <s v="NA"/>
    <s v="Sambhajinagar"/>
    <d v="2025-08-10T00:00:00"/>
    <s v="NA"/>
    <x v="0"/>
    <m/>
    <d v="2025-10-10T00:00:00"/>
    <m/>
    <m/>
  </r>
  <r>
    <s v="Adv. Dipak Jadhav"/>
    <s v="NA"/>
    <n v="2025200573"/>
    <s v="NA"/>
    <x v="1"/>
    <s v="Mahekar po. St."/>
    <s v="721/2023"/>
    <s v="Buldhana"/>
    <s v="30/10/2025"/>
    <s v="NA"/>
    <x v="2"/>
    <m/>
    <m/>
    <m/>
    <m/>
  </r>
  <r>
    <s v="Santosh Shinde"/>
    <s v="NA"/>
    <s v="MTP-N-2526-003637"/>
    <s v="NA"/>
    <x v="6"/>
    <m/>
    <m/>
    <s v="Sambhajinagar"/>
    <d v="2025-08-10T00:00:00"/>
    <s v="NA"/>
    <x v="8"/>
    <m/>
    <s v="18/10/2025"/>
    <m/>
    <m/>
  </r>
  <r>
    <s v="Ajit/Suhas"/>
    <s v="NA"/>
    <n v="2025211134"/>
    <s v="NA"/>
    <x v="4"/>
    <s v="Krishna Bhima Bhalbar "/>
    <s v="R/O. Mungurwadi, Tal - Gadhinglaj, Dis - Kolhapur. 416503."/>
    <s v="Kolhapur "/>
    <s v="28/10/2025"/>
    <s v="NA"/>
    <x v="0"/>
    <m/>
    <m/>
    <m/>
    <m/>
  </r>
  <r>
    <s v="Ajit/Suhas"/>
    <s v="NA"/>
    <n v="2025211134"/>
    <s v="NA"/>
    <x v="0"/>
    <s v="NA"/>
    <s v="On Kadegaon Road, In frount of Warna Bank, Gadhinglaj, Kolhapur."/>
    <s v="Kolhapur "/>
    <s v="28/10/2025"/>
    <s v="NA"/>
    <x v="0"/>
    <m/>
    <m/>
    <m/>
    <m/>
  </r>
  <r>
    <s v="Adv. Manisha Kande"/>
    <s v="NA"/>
    <n v="2025211134"/>
    <s v="NA"/>
    <x v="1"/>
    <s v="Gadhinglaj Po. St."/>
    <d v="2024-07-01T00:00:00"/>
    <s v="Kolhapur "/>
    <d v="2025-01-11T00:00:00"/>
    <s v="NA"/>
    <x v="4"/>
    <m/>
    <m/>
    <m/>
    <m/>
  </r>
  <r>
    <s v="Prasad Kulkarni"/>
    <s v="NA"/>
    <n v="2025211462"/>
    <s v="NA"/>
    <x v="2"/>
    <s v="Santosh Sampat Mhaske"/>
    <s v="House No. 116, Tadhegaon, Dusrbid, Sindhkhedraja, Buldhana."/>
    <s v="Buldhana"/>
    <s v="28/10/2025"/>
    <s v="NA"/>
    <x v="0"/>
    <m/>
    <m/>
    <m/>
    <m/>
  </r>
  <r>
    <s v="Adv. Kamlesh Thorat"/>
    <s v="NA"/>
    <n v="2025211462"/>
    <s v="NA"/>
    <x v="1"/>
    <s v="Kranti Chwok Po. St."/>
    <s v="184/2024"/>
    <s v="Sambhajinagar"/>
    <s v="31/10/2025"/>
    <s v="NA"/>
    <x v="3"/>
    <m/>
    <m/>
    <m/>
    <m/>
  </r>
  <r>
    <s v="Adv. kamlesh Thorat"/>
    <s v="NA"/>
    <n v="2025211454"/>
    <s v="NA"/>
    <x v="2"/>
    <s v="Aksha Ramesh Pawar "/>
    <s v="Umarkheda, Kannad, Sambhajinagar."/>
    <s v="Sambhajinagar"/>
    <s v="28/10/2025"/>
    <s v="NA"/>
    <x v="0"/>
    <m/>
    <m/>
    <m/>
    <m/>
  </r>
  <r>
    <s v="Shubham Waghule"/>
    <s v="NA"/>
    <n v="2025211454"/>
    <s v="NA"/>
    <x v="3"/>
    <s v="Sachin Santosh Awasarmol"/>
    <s v="Sindi, Khasgaon, Jafrabad, jalna, Sambhajinagar."/>
    <s v="Sambhajinagar"/>
    <s v="28/10/2025"/>
    <s v="NA"/>
    <x v="0"/>
    <m/>
    <m/>
    <m/>
    <m/>
  </r>
  <r>
    <s v="Momin Asif"/>
    <s v="NA"/>
    <n v="2025211475"/>
    <s v="NA"/>
    <x v="0"/>
    <s v="NA"/>
    <s v="On Latur to Omerga road infront of Sandhya Bar in village Narangwadi"/>
    <s v="Latur/Dharashiv"/>
    <s v="28/10/2025"/>
    <s v="NA"/>
    <x v="0"/>
    <m/>
    <m/>
    <m/>
    <m/>
  </r>
  <r>
    <s v="Sandeep Tiwari"/>
    <s v="NA"/>
    <s v="CN066141"/>
    <s v="NA"/>
    <x v="8"/>
    <m/>
    <m/>
    <m/>
    <s v="28/10/2025"/>
    <s v="NA"/>
    <x v="8"/>
    <m/>
    <m/>
    <m/>
    <m/>
  </r>
  <r>
    <s v="Sandeep Tiwari"/>
    <s v="NA"/>
    <s v="CN066141"/>
    <s v="NA"/>
    <x v="9"/>
    <s v="Chetan Chaudhari / Lotan Chaudhari"/>
    <s v="Chaudhary Galli, Songir, T. Dist. Dhule 424309"/>
    <s v="Dhule"/>
    <s v="28/10/2025"/>
    <s v="NA"/>
    <x v="8"/>
    <s v="Eye witness, Statement"/>
    <m/>
    <m/>
    <m/>
  </r>
  <r>
    <s v="Prasad Kulkarni"/>
    <s v="NA"/>
    <s v="MTP-N-2526-004127"/>
    <s v="NA"/>
    <x v="4"/>
    <s v="Gajanan Laxman Gadekar"/>
    <s v="Pokhari Post Sao, Taluka,Dist: Buldana443101"/>
    <s v="Buldhana"/>
    <s v="31/10/2025"/>
    <s v="NA"/>
    <x v="0"/>
    <m/>
    <m/>
    <m/>
    <m/>
  </r>
  <r>
    <s v="Prasad Kulkarni"/>
    <s v="NA"/>
    <s v="MTP-N-2526-004127"/>
    <s v="NA"/>
    <x v="2"/>
    <s v="Ranjeet Lala Chavan"/>
    <s v="R/O  Khadaki,Post-Rajur,Taluka-Motala,Dist:Buldana-443101"/>
    <s v="Buldhana"/>
    <s v="31/10/2025"/>
    <s v="NA"/>
    <x v="0"/>
    <m/>
    <m/>
    <m/>
    <m/>
  </r>
  <r>
    <s v="Prasad Kulkarni"/>
    <s v="NA"/>
    <s v="MTP-N-2526-004127"/>
    <s v="NA"/>
    <x v="3"/>
    <s v="WIP"/>
    <s v="WIP"/>
    <s v="Buldhana"/>
    <s v="31/10/2025"/>
    <s v="NA"/>
    <x v="0"/>
    <m/>
    <m/>
    <m/>
    <m/>
  </r>
  <r>
    <s v="Prasad Kulkarni"/>
    <s v="NA"/>
    <s v="MTP-N-2526-004127"/>
    <s v="NA"/>
    <x v="0"/>
    <s v="NA"/>
    <s v="At Samruddhi Mahamarg Chanel No 536, Pathare Shivar,Sinner,Dist Nashik 423605"/>
    <s v="Sinner"/>
    <s v="31/10/2025"/>
    <s v="NA"/>
    <x v="0"/>
    <m/>
    <m/>
    <m/>
    <m/>
  </r>
  <r>
    <s v="Prasad Kulkarni"/>
    <s v="NA"/>
    <s v="MTP-N-2526-004127"/>
    <s v="NA"/>
    <x v="10"/>
    <m/>
    <m/>
    <s v="Buldhana"/>
    <s v="31/10/2025"/>
    <s v="NA"/>
    <x v="8"/>
    <m/>
    <m/>
    <m/>
    <m/>
  </r>
  <r>
    <s v="Prashant Jeurkar"/>
    <s v="NA"/>
    <n v="2025212068"/>
    <s v="NA"/>
    <x v="4"/>
    <s v="Kusumbai Ramesh Bobde"/>
    <s v="Pendapur, Tal. Gangapur, District Aurangabad"/>
    <s v="Gangapur-Sambhajinagar"/>
    <s v="31/10/2025"/>
    <s v="NA"/>
    <x v="0"/>
    <m/>
    <m/>
    <m/>
    <m/>
  </r>
  <r>
    <s v="Prashant Jeurkar"/>
    <s v="NA"/>
    <n v="2025212068"/>
    <s v="NA"/>
    <x v="2"/>
    <s v="Kakasaheb Shrirang Dhumal"/>
    <s v="R/O   Khadgaon Taluka Gangapur Dist Aurangabad."/>
    <s v="Gangapur-Sambhajinagar"/>
    <s v="31/10/2025"/>
    <s v="NA"/>
    <x v="0"/>
    <m/>
    <m/>
    <m/>
    <m/>
  </r>
  <r>
    <s v="Prashant Jeurkar"/>
    <s v="NA"/>
    <n v="2025212068"/>
    <s v="NA"/>
    <x v="3"/>
    <s v="WIP"/>
    <s v="WIP"/>
    <s v="Gangapur-Sambhajinagar"/>
    <s v="31/10/2025"/>
    <s v="NA"/>
    <x v="0"/>
    <m/>
    <m/>
    <m/>
    <m/>
  </r>
  <r>
    <s v="Prashant Jeurkar"/>
    <s v="NA"/>
    <n v="2025212068"/>
    <s v="NA"/>
    <x v="0"/>
    <s v="NA"/>
    <s v="Pendapur to Dhoregaon road. Near Farm Group No. 8"/>
    <s v="Sambhajinagar"/>
    <s v="31/10/2025"/>
    <s v="NA"/>
    <x v="0"/>
    <m/>
    <m/>
    <m/>
    <m/>
  </r>
  <r>
    <s v="Shubham Wagule"/>
    <s v="NA"/>
    <n v="2025212053"/>
    <s v="NA"/>
    <x v="3"/>
    <s v="Umesh Laxman Sathe"/>
    <s v="Shevta, Taq-Fulambri, Dist-Chatt Sambhajinagar."/>
    <s v="Sambhajinagar"/>
    <s v="31/10/2025"/>
    <s v="NA"/>
    <x v="0"/>
    <m/>
    <m/>
    <m/>
    <m/>
  </r>
  <r>
    <s v="Shubham Wagule"/>
    <s v="NA"/>
    <n v="2025212047"/>
    <s v="NA"/>
    <x v="4"/>
    <s v="Bebi  Dattatraya Kathar"/>
    <s v="R/O  4-34-154, Lane No.1, Behind Sadbhavna Ganesh Mandir, New Hanuman Nagar, Garkheda Parisar, Chhatrapati Sambhajinagar."/>
    <s v="Sambhajinagar"/>
    <s v="31/10/2025"/>
    <s v="NA"/>
    <x v="0"/>
    <m/>
    <m/>
    <m/>
    <m/>
  </r>
  <r>
    <s v="Shubham Wagule"/>
    <s v="NA"/>
    <n v="2025212047"/>
    <s v="NA"/>
    <x v="0"/>
    <s v="NA"/>
    <s v="At Chetak Ghoda T-Point on public road."/>
    <s v="Sambhajinagar"/>
    <s v="31/10/2025"/>
    <s v="NA"/>
    <x v="0"/>
    <m/>
    <m/>
    <m/>
    <m/>
  </r>
  <r>
    <s v="Chetan Kale"/>
    <s v="NA"/>
    <s v="MTP-N-2526-004166"/>
    <s v="NA"/>
    <x v="4"/>
    <s v="Shivalila Basavaraj Jamadi"/>
    <s v="R/o Sulerjawalage, Tq. Akkalkot, Dist. Solapur, in Limbi Chincholi, Tq. South Solapur-Valasang, Dist. Solapur."/>
    <s v="solapur "/>
    <s v="26/11/2025"/>
    <s v="NA"/>
    <x v="0"/>
    <m/>
    <m/>
    <m/>
    <m/>
  </r>
  <r>
    <s v="Chetan Kale"/>
    <s v="NA"/>
    <s v="MTP-N-2526-004166"/>
    <s v="NA"/>
    <x v="2"/>
    <s v="Vishal Kumar Goutamchand 9845320803"/>
    <s v="/o 6-1-2877, Opp: Annadaneshwari Hospital, Adarsha Colony, Ward no. 16, Sindhanoor Road, Raichur - 584128"/>
    <s v="solapur "/>
    <d v="2025-06-11T00:00:00"/>
    <s v="NA"/>
    <x v="0"/>
    <m/>
    <m/>
    <m/>
    <m/>
  </r>
  <r>
    <s v="Chetan Kale"/>
    <s v="NA"/>
    <s v="MTP-N-2526-004166"/>
    <s v="NA"/>
    <x v="3"/>
    <s v="Shivaraj Prabhurao Bugge"/>
    <s v="R/o Yakkanchi (Harkanchi), Tq. &amp; Dist. Kalaburagi-585322."/>
    <s v="solapur "/>
    <d v="2025-06-11T00:00:00"/>
    <s v="NA"/>
    <x v="0"/>
    <m/>
    <m/>
    <m/>
    <m/>
  </r>
  <r>
    <s v="Chetan Kale"/>
    <s v="NA"/>
    <s v="MTP-N-2526-004166"/>
    <s v="NA"/>
    <x v="0"/>
    <s v="NA"/>
    <s v="near Vrundavan Hotel, Solapur- Akkalkot Road, Valsang, Tq. Solapur"/>
    <s v="solapur "/>
    <d v="2025-06-11T00:00:00"/>
    <s v="NA"/>
    <x v="0"/>
    <m/>
    <m/>
    <m/>
    <m/>
  </r>
  <r>
    <s v="Pramod Nikam "/>
    <s v="NA"/>
    <n v="2025212181"/>
    <s v="NA"/>
    <x v="2"/>
    <s v="Prahlad Piraji Umbre"/>
    <s v="R/O Res. Bajrang Wadi, Vilholi Tal. Dist. Nashik"/>
    <s v="Nashik"/>
    <d v="2025-06-11T00:00:00"/>
    <s v="NA"/>
    <x v="0"/>
    <m/>
    <m/>
    <m/>
    <m/>
  </r>
  <r>
    <s v="Pramod Nikam "/>
    <s v="NA"/>
    <n v="2025212170"/>
    <s v="NA"/>
    <x v="4"/>
    <s v="Dipali Pradeep Sonwane"/>
    <s v="R/O Malhar Road, near Khandoba Temple, Tal. Satana, Dist. Nashik"/>
    <s v="Nashik"/>
    <d v="2025-06-11T00:00:00"/>
    <s v="NA"/>
    <x v="0"/>
    <m/>
    <m/>
    <m/>
    <m/>
  </r>
  <r>
    <s v="Pramod Nikam "/>
    <s v="NA"/>
    <n v="2025212170"/>
    <s v="NA"/>
    <x v="0"/>
    <s v="NA"/>
    <s v="On Satana to Taharabad Road, Aundane Shivarat, opposite Yashwant Nagar Bus Stop, near S. S. Motors"/>
    <s v="Nashik"/>
    <d v="2025-06-11T00:00:00"/>
    <s v="NA"/>
    <x v="0"/>
    <m/>
    <m/>
    <m/>
    <m/>
  </r>
  <r>
    <s v="Pramod Nikam "/>
    <s v="NA"/>
    <n v="2025212168"/>
    <s v="NA"/>
    <x v="2"/>
    <s v="Navnath Santu Gofne"/>
    <s v="Md. Dhulwad, Po. Pimple, Ramoshiwadi, Dapur, Sinnar, Tal. Sinnar, Dist. Nashik 422606"/>
    <s v="Nashik"/>
    <d v="2025-06-11T00:00:00"/>
    <s v="NA"/>
    <x v="0"/>
    <m/>
    <m/>
    <m/>
    <m/>
  </r>
  <r>
    <s v="Mohsin Shaikh"/>
    <s v="NA"/>
    <n v="2025212191"/>
    <s v="NA"/>
    <x v="4"/>
    <s v="Kiran Ramdas Borude 7218753697"/>
    <s v="R/O Borudevasti, Kokangaon Taluka Karjat Dist. Ahilyanagar Pin 414401"/>
    <s v="Srigonda"/>
    <d v="2025-06-11T00:00:00"/>
    <s v="NA"/>
    <x v="0"/>
    <m/>
    <m/>
    <m/>
    <m/>
  </r>
  <r>
    <s v="Mohsin Shaikh"/>
    <s v="NA"/>
    <n v="2025212191"/>
    <s v="NA"/>
    <x v="2"/>
    <s v="Sagar Manohar Raska 9518771836"/>
    <s v="R/O Konkangaon to Karjat Dist. Ahilyanagar Pin No 414401"/>
    <s v="Srigonda"/>
    <d v="2025-06-11T00:00:00"/>
    <s v="NA"/>
    <x v="0"/>
    <m/>
    <m/>
    <m/>
    <m/>
  </r>
  <r>
    <s v="Mohsin Shaikh"/>
    <s v="NA"/>
    <n v="2025212191"/>
    <s v="NA"/>
    <x v="3"/>
    <s v="eepak Balasaheb Khedkar"/>
    <s v="R/O Konkangaon to Karjat Dist. Ahilyanagar Pin No 414401"/>
    <s v="Srigonda"/>
    <d v="2025-06-11T00:00:00"/>
    <s v="NA"/>
    <x v="0"/>
    <m/>
    <m/>
    <m/>
    <m/>
  </r>
  <r>
    <s v="Mohsin Shaikh"/>
    <s v="NA"/>
    <n v="2025212191"/>
    <s v="NA"/>
    <x v="0"/>
    <s v="NA"/>
    <s v="An accident took place on Nagar Solapur Road within the limits of Mirjagaon village and the said accident was registered at Mirjagaon Police Station"/>
    <s v="Srigonda"/>
    <d v="2025-06-11T00:00:00"/>
    <s v="NA"/>
    <x v="0"/>
    <m/>
    <m/>
    <m/>
    <m/>
  </r>
  <r>
    <s v="Ganesh Barde"/>
    <s v="NA"/>
    <n v="2025212189"/>
    <s v="NA"/>
    <x v="4"/>
    <s v="Ujjwala Gokuldas Datir 9370245943"/>
    <s v="R/o Pimpri Lauki Tal. Sangamner"/>
    <s v="Ahilyanagar"/>
    <s v="13/11/2025"/>
    <s v="NA"/>
    <x v="0"/>
    <m/>
    <m/>
    <m/>
    <m/>
  </r>
  <r>
    <s v="Ganesh Barde"/>
    <s v="NA"/>
    <n v="2025212189"/>
    <s v="NA"/>
    <x v="2"/>
    <s v="RAJENDRA SAHEBRAO CHAUDHARI 9096231099"/>
    <s v="R/O AT SHEVARI MALSHEVAGE SHEVARI CHALISGAON CHALISGAON"/>
    <s v="Ahilyanagar"/>
    <d v="2025-06-11T00:00:00"/>
    <s v="NA"/>
    <x v="0"/>
    <m/>
    <m/>
    <m/>
    <m/>
  </r>
  <r>
    <s v="Ganesh Barde"/>
    <s v="NA"/>
    <n v="2025212189"/>
    <s v="NA"/>
    <x v="3"/>
    <s v="Sakharam Laxman Agdale"/>
    <s v="R/O Jatnandur Tal.Shirur Kasar Dist. Beed"/>
    <s v="Ahilyanagar"/>
    <s v="13/11/2025"/>
    <s v="NA"/>
    <x v="0"/>
    <m/>
    <m/>
    <m/>
    <m/>
  </r>
  <r>
    <s v="Ganesh Barde"/>
    <s v="NA"/>
    <n v="2025212189"/>
    <s v="NA"/>
    <x v="0"/>
    <s v="NA"/>
    <s v="while going from Rahuri to Ahilyanagar, at Rahuri Khu., within the limits of Rahuri Police Station"/>
    <s v="Ahilyanagar"/>
    <s v="13/11/2025"/>
    <s v="NA"/>
    <x v="0"/>
    <m/>
    <m/>
    <m/>
    <m/>
  </r>
  <r>
    <s v="Ganesh Barde"/>
    <s v="NA"/>
    <n v="2025212179"/>
    <s v="NA"/>
    <x v="4"/>
    <s v="PRADIP BANDU BHAVAR 7558461502"/>
    <s v="R/O Pandharipul, Khospuri Tal-Nagar, Dist-Ahmednagar Pin Code-414501."/>
    <s v="Ahilyanagar"/>
    <s v="13/11/2025"/>
    <s v="NA"/>
    <x v="0"/>
    <m/>
    <m/>
    <m/>
    <m/>
  </r>
  <r>
    <s v="NA"/>
    <s v="NA"/>
    <n v="2025212179"/>
    <s v="NA"/>
    <x v="2"/>
    <s v="RAMESHWAR VITTHAL BHAGYAWANT_x000a_"/>
    <s v="R/O Dawalwadi, Tal- Badnapur, Dist-Jalna, State-Maharashtra"/>
    <s v="Jalna"/>
    <d v="2025-06-11T00:00:00"/>
    <s v="NA"/>
    <x v="0"/>
    <m/>
    <m/>
    <m/>
    <m/>
  </r>
  <r>
    <s v="NA"/>
    <s v="NA"/>
    <n v="2025212179"/>
    <s v="NA"/>
    <x v="3"/>
    <s v="SHUBHAM BHAGYAWANT_x000a_"/>
    <s v="R/O Dawalwadi, Tal- Badnapur, Dsit-Jalna, State-Maharashtra._x000a_"/>
    <s v="Jalna"/>
    <d v="2025-06-11T00:00:00"/>
    <s v="NA"/>
    <x v="0"/>
    <m/>
    <m/>
    <m/>
    <m/>
  </r>
  <r>
    <s v="Sagar Andhale"/>
    <s v="NA"/>
    <n v="2025212179"/>
    <s v="NA"/>
    <x v="0"/>
    <s v="NA"/>
    <s v="At Pandharipul Near Hotel Radheshyam, on Nagar-Aurangabad road,"/>
    <s v="Ahilyanagar"/>
    <s v="13/11/2025"/>
    <s v="NA"/>
    <x v="0"/>
    <m/>
    <m/>
    <m/>
    <m/>
  </r>
  <r>
    <s v="Ganesh Barde"/>
    <s v="NA"/>
    <n v="2025212145"/>
    <s v="NA"/>
    <x v="4"/>
    <s v="Pranav Prakash Pund 9579435707"/>
    <s v="R/O Pundwasti, Shingve Naik"/>
    <s v="Ahilyanagar"/>
    <s v="26/11/2025"/>
    <s v="NA"/>
    <x v="0"/>
    <m/>
    <m/>
    <m/>
    <m/>
  </r>
  <r>
    <s v="Ganesh Barde"/>
    <s v="NA"/>
    <n v="2025212145"/>
    <s v="NA"/>
    <x v="2"/>
    <s v="Laxman Nawaji Thorat"/>
    <s v="R/O Ra Mu Gavthan Babhulgaon"/>
    <s v="Ahilyanagar"/>
    <s v="26/11/2025"/>
    <s v="NA"/>
    <x v="0"/>
    <m/>
    <m/>
    <m/>
    <m/>
  </r>
  <r>
    <s v="Ganesh Barde"/>
    <s v="NA"/>
    <n v="2025212145"/>
    <s v="NA"/>
    <x v="3"/>
    <s v="Santosh Namdev Pawar"/>
    <s v="R/O Mu Po Hanumanwadi, Nagar-Manmad Road"/>
    <s v="Ahilyanagar"/>
    <s v="26/11/2025"/>
    <s v="NA"/>
    <x v="0"/>
    <m/>
    <m/>
    <m/>
    <m/>
  </r>
  <r>
    <s v="Ganesh Barde"/>
    <s v="NA"/>
    <n v="2025212145"/>
    <s v="NA"/>
    <x v="0"/>
    <s v="NA"/>
    <s v="On Ramwadi Shingve Road around An accident occurred near the temple"/>
    <s v="Ahilyanagar"/>
    <s v="26/11/2025"/>
    <s v="NA"/>
    <x v="0"/>
    <m/>
    <m/>
    <m/>
    <m/>
  </r>
  <r>
    <s v="Ganesh Barde"/>
    <s v="NA"/>
    <n v="2025212140"/>
    <s v="NA"/>
    <x v="4"/>
    <s v="Alka Parasram Navale"/>
    <s v="Bhende Khurd, Taluka Nevasa, Dist. Ahmednagar"/>
    <s v="Ahilyanagar"/>
    <s v="26/11/2025"/>
    <d v="2025-01-12T00:00:00"/>
    <x v="10"/>
    <m/>
    <m/>
    <m/>
    <m/>
  </r>
  <r>
    <s v="Ganesh Barde"/>
    <s v="NA"/>
    <n v="2025212140"/>
    <s v="NA"/>
    <x v="2"/>
    <s v="Dnyaneshwar Bhimraj Pathak"/>
    <s v="Near Chincholi, Tal. Nevasa, Dist. Ahmednagar"/>
    <s v="Ahilyanagar"/>
    <s v="26/11/2025"/>
    <d v="2025-01-12T00:00:00"/>
    <x v="10"/>
    <m/>
    <m/>
    <m/>
    <m/>
  </r>
  <r>
    <s v="Ganesh Barde"/>
    <s v="NA"/>
    <n v="2025212140"/>
    <s v="NA"/>
    <x v="0"/>
    <s v="NA"/>
    <s v="An accident occurred on the road from Bhende Khurd to Ghodegaon near Maruti Mandir"/>
    <s v="Ahilyanagar"/>
    <s v="26/11/2025"/>
    <d v="2025-01-12T00:00:00"/>
    <x v="10"/>
    <m/>
    <m/>
    <m/>
    <m/>
  </r>
  <r>
    <s v="Sagar Andhale"/>
    <s v="NA"/>
    <n v="2025212222"/>
    <s v="NA"/>
    <x v="4"/>
    <s v="Sandhya Mahadev Nerlekar, 9552008253"/>
    <s v="Kokangaon, Tal. Shrigonda District Ahilyanagar"/>
    <s v="Ahilyanagar"/>
    <s v="13/11/2025"/>
    <s v="NA"/>
    <x v="0"/>
    <m/>
    <m/>
    <m/>
    <m/>
  </r>
  <r>
    <s v="Sagar Andhale"/>
    <s v="NA"/>
    <n v="2025212162"/>
    <s v="NA"/>
    <x v="4"/>
    <s v="Satish Narayan Kale"/>
    <s v="R/o Kalevasti, Athagaon Shrigonda District Ahilyanagar"/>
    <s v="Ahilyanagar"/>
    <s v="13/11/2025"/>
    <s v="NA"/>
    <x v="0"/>
    <m/>
    <m/>
    <m/>
    <m/>
  </r>
  <r>
    <s v="Suhas"/>
    <s v="NA"/>
    <s v="MTP-N-2526-004298"/>
    <s v="NA"/>
    <x v="5"/>
    <s v="Suhas"/>
    <s v="Nandurbar"/>
    <s v="Nandurbar"/>
    <d v="2025-08-11T00:00:00"/>
    <s v="NA"/>
    <x v="8"/>
    <m/>
    <m/>
    <m/>
    <m/>
  </r>
  <r>
    <s v="Kapil/Suhas Walke"/>
    <s v="NA"/>
    <n v="2025212410"/>
    <s v="NA"/>
    <x v="4"/>
    <s v="Hanuman Bhanudas Hiwale"/>
    <s v="R/O AT Jaitapur Mohalla Pathri Tq.Pathri,Dist Parbhani "/>
    <s v="Parbhani"/>
    <d v="2025-09-11T00:00:00"/>
    <s v="NA"/>
    <x v="11"/>
    <m/>
    <m/>
    <m/>
    <m/>
  </r>
  <r>
    <s v="Kapil/Suhas Walke"/>
    <s v="NA"/>
    <n v="2025212410"/>
    <s v="NA"/>
    <x v="2"/>
    <s v="Laxmen S/o Gangadhar Jahane "/>
    <s v="R/o Post Pingli tq ,dist Parbhani ."/>
    <s v="Parbhani"/>
    <d v="2025-09-11T00:00:00"/>
    <s v="NA"/>
    <x v="11"/>
    <m/>
    <m/>
    <m/>
    <m/>
  </r>
  <r>
    <s v="Kapil/Suhas Walke"/>
    <s v="NA"/>
    <n v="2025212410"/>
    <s v="NA"/>
    <x v="3"/>
    <s v="MH-22-BB-3624 M/Cycle"/>
    <s v="WIP"/>
    <s v="Parbhani"/>
    <d v="2025-09-11T00:00:00"/>
    <s v="NA"/>
    <x v="11"/>
    <m/>
    <m/>
    <m/>
    <m/>
  </r>
  <r>
    <s v="Kapil/Suhas Walke"/>
    <s v="NA"/>
    <n v="2025212410"/>
    <s v="NA"/>
    <x v="0"/>
    <s v="WIP"/>
    <s v="jawla  ZURA PATRI ROAD AT,KHERDA PATI AREA TQ,PATRI,DIST-PARBHANI."/>
    <s v="Parbhani"/>
    <d v="2025-09-11T00:00:00"/>
    <s v="NA"/>
    <x v="11"/>
    <m/>
    <m/>
    <m/>
    <m/>
  </r>
  <r>
    <s v="Gajanan Devkar"/>
    <s v="NA"/>
    <n v="2025212250"/>
    <s v="NA"/>
    <x v="4"/>
    <s v="Ganesh Taktiya Kale "/>
    <s v="R/o Jawala Bazar Tq -Aundha.N Dist -Hingoli."/>
    <s v="Hingoli "/>
    <d v="2025-09-11T00:00:00"/>
    <s v="NA"/>
    <x v="0"/>
    <m/>
    <m/>
    <m/>
    <m/>
  </r>
  <r>
    <s v="Gajanan Devkar"/>
    <s v="NA"/>
    <n v="2025212250"/>
    <s v="NA"/>
    <x v="2"/>
    <s v="Vishnu Ganesh Kale "/>
    <s v="Jawala Bazar Tq Aundha N, Dist Hingoli."/>
    <s v="Hingoli "/>
    <d v="2025-09-11T00:00:00"/>
    <s v="NA"/>
    <x v="0"/>
    <m/>
    <m/>
    <m/>
    <m/>
  </r>
  <r>
    <s v="NA"/>
    <s v="NA"/>
    <n v="2025212250"/>
    <s v="NA"/>
    <x v="3"/>
    <s v="WIP"/>
    <s v="WIP"/>
    <s v="Hingoli "/>
    <d v="2025-09-11T00:00:00"/>
    <s v="NA"/>
    <x v="0"/>
    <m/>
    <m/>
    <m/>
    <m/>
  </r>
  <r>
    <s v="Gajanan Devkar"/>
    <s v="NA"/>
    <n v="2025212250"/>
    <s v="NA"/>
    <x v="0"/>
    <s v="WIP"/>
    <s v="On Hingoli to Aundh Road on Bridge Near,Hiwara Jatu Village "/>
    <s v="Hingoli "/>
    <d v="2025-09-11T00:00:00"/>
    <s v="NA"/>
    <x v="0"/>
    <m/>
    <m/>
    <m/>
    <m/>
  </r>
  <r>
    <s v="Taufik"/>
    <s v="NA"/>
    <n v="2025212219"/>
    <s v="NA"/>
    <x v="4"/>
    <s v="Durga Nagnath Panchal"/>
    <s v="R/O Nandurghat Tq.Kej Dist.Beed"/>
    <s v="BEED"/>
    <d v="2025-09-11T00:00:00"/>
    <s v="NA"/>
    <x v="0"/>
    <m/>
    <m/>
    <m/>
    <m/>
  </r>
  <r>
    <s v="Taufik"/>
    <s v="NA"/>
    <n v="2025212219"/>
    <s v="NA"/>
    <x v="2"/>
    <s v="Raj Umar Gaffer"/>
    <s v="R/O Nandurghat Tq.Kej Dist.Beed"/>
    <s v="BEED"/>
    <d v="2025-09-11T00:00:00"/>
    <s v="NA"/>
    <x v="0"/>
    <m/>
    <m/>
    <m/>
    <m/>
  </r>
  <r>
    <s v="Taufik"/>
    <s v="NA"/>
    <n v="2025212219"/>
    <s v="NA"/>
    <x v="3"/>
    <s v="Raj Umar Gaffer"/>
    <s v="R/O Nandurghat Tq.Kej Dist.Beed"/>
    <s v="BEED"/>
    <d v="2025-09-11T00:00:00"/>
    <s v="NA"/>
    <x v="0"/>
    <m/>
    <m/>
    <m/>
    <m/>
  </r>
  <r>
    <s v="Taufik"/>
    <s v="NA"/>
    <n v="2025212219"/>
    <s v="NA"/>
    <x v="0"/>
    <s v="WIP"/>
    <s v="On Para to Nandurghat road in the vicinity of village Para near the cowshed of Sakharam Sontakke. Police station Washi Tq. Washi District Dharashiv"/>
    <s v="BEED"/>
    <d v="2025-09-11T00:00:00"/>
    <s v="NA"/>
    <x v="0"/>
    <m/>
    <m/>
    <m/>
    <m/>
  </r>
  <r>
    <s v="Adv. Shubham Raut"/>
    <s v="NA"/>
    <n v="2025212215"/>
    <s v="NA"/>
    <x v="4"/>
    <s v="Ashutosh Ravindra Gaikwad 9921918748"/>
    <s v="R/O Upla,m.Tq@,Dist-Dharashiv."/>
    <s v="Dharashiv"/>
    <d v="2025-09-11T00:00:00"/>
    <s v="NA"/>
    <x v="0"/>
    <m/>
    <m/>
    <m/>
    <m/>
  </r>
  <r>
    <s v="Rajeev Sharma"/>
    <s v="NA"/>
    <n v="2025212215"/>
    <s v="NA"/>
    <x v="2"/>
    <s v="Chandrakant Naryan Pise "/>
    <s v="Sawmi Samarth Road,Kadegaon Staion Tq-Daund Dist-Pune."/>
    <s v="Pune"/>
    <d v="2025-09-11T00:00:00"/>
    <s v="NA"/>
    <x v="0"/>
    <m/>
    <m/>
    <m/>
    <m/>
  </r>
  <r>
    <s v="Rajeev Sharma"/>
    <s v="NA"/>
    <n v="2025212215"/>
    <s v="NA"/>
    <x v="3"/>
    <s v="Ravindra Budhan baiga "/>
    <s v="devulgavgada tadund,yavat,pune."/>
    <s v="Pune"/>
    <d v="2025-09-11T00:00:00"/>
    <s v="NA"/>
    <x v="0"/>
    <m/>
    <m/>
    <m/>
    <m/>
  </r>
  <r>
    <s v="Rajeev Sharma"/>
    <s v="NA"/>
    <n v="2025212215"/>
    <s v="NA"/>
    <x v="0"/>
    <s v="WIP"/>
    <s v="ON Solapur to  pune National Highway Road in   vicinity of Villages Pates at Bhagwat Vasti in Front of Hotel Nisarga."/>
    <s v="Pune"/>
    <d v="2025-09-11T00:00:00"/>
    <s v="NA"/>
    <x v="0"/>
    <m/>
    <m/>
    <m/>
    <m/>
  </r>
  <r>
    <s v="Prashant Juekar"/>
    <s v="NA"/>
    <n v="2025212407"/>
    <s v="NA"/>
    <x v="4"/>
    <s v="Amol Ganesh More "/>
    <s v="NA"/>
    <s v="NA"/>
    <d v="2025-09-11T00:00:00"/>
    <s v="NA"/>
    <x v="0"/>
    <m/>
    <m/>
    <m/>
    <m/>
  </r>
  <r>
    <s v="Adv. Shubham Raut"/>
    <s v="NA"/>
    <n v="2025212443"/>
    <s v="NA"/>
    <x v="4"/>
    <s v="Ganesh Kawde "/>
    <s v="R/oEkurki Tq-Kallamb Dist-Osmanabad."/>
    <s v="Dharashiv"/>
    <d v="2025-09-11T00:00:00"/>
    <s v="NA"/>
    <x v="0"/>
    <m/>
    <m/>
    <m/>
    <m/>
  </r>
  <r>
    <s v="Adv. Shubham Raut"/>
    <s v="NA"/>
    <n v="2025212443"/>
    <s v="NA"/>
    <x v="2"/>
    <s v="Aatmaram jadhav "/>
    <s v="Ghargaon Tq-Kallam Dist-Osmanabad "/>
    <s v="Dharashiv"/>
    <d v="2025-09-11T00:00:00"/>
    <s v="NA"/>
    <x v="0"/>
    <m/>
    <m/>
    <m/>
    <m/>
  </r>
  <r>
    <s v="Adv. Shubham Raut"/>
    <s v="NA"/>
    <n v="2025212443"/>
    <s v="NA"/>
    <x v="0"/>
    <s v="WIP"/>
    <s v="On Kallamb to Latur State Highway NO.160 Road At Tadgaon Village Chowk."/>
    <s v="Dharashiv"/>
    <d v="2025-09-11T00:00:00"/>
    <s v="NA"/>
    <x v="0"/>
    <m/>
    <m/>
    <m/>
    <m/>
  </r>
  <r>
    <s v="Prashant Jeurkar"/>
    <s v="NA"/>
    <n v="2025212467"/>
    <s v="NA"/>
    <x v="4"/>
    <s v="Dyananeshwar Savant "/>
    <s v="R/o Bangav,TAL_Aanband,Dist-Jalna"/>
    <s v="Jalna"/>
    <d v="2025-09-11T00:00:00"/>
    <s v="NA"/>
    <x v="0"/>
    <m/>
    <m/>
    <m/>
    <m/>
  </r>
  <r>
    <s v="Prashant Jeurkar"/>
    <s v="NA"/>
    <n v="2025212467"/>
    <s v="NA"/>
    <x v="2"/>
    <s v="Shivand Niranjan Palmker "/>
    <s v="New Bhartnagar,Rajangav,Dist-Aaurangabad."/>
    <s v="Jalna"/>
    <d v="2025-09-11T00:00:00"/>
    <s v="NA"/>
    <x v="0"/>
    <m/>
    <m/>
    <m/>
    <m/>
  </r>
  <r>
    <s v="Prashant Jeurkar"/>
    <s v="NA"/>
    <n v="2025212467"/>
    <s v="NA"/>
    <x v="0"/>
    <s v="WIP"/>
    <s v="Radharaman farmhouse "/>
    <s v="Jalna"/>
    <d v="2025-09-11T00:00:00"/>
    <s v="NA"/>
    <x v="0"/>
    <m/>
    <m/>
    <m/>
    <m/>
  </r>
  <r>
    <s v="Sagar Andhale"/>
    <s v="NA"/>
    <n v="2025212380"/>
    <s v="NA"/>
    <x v="4"/>
    <s v="Vanita Ashok Berde"/>
    <s v="R/o Chincholi Fata,tal-Rahuri,Dist-Ahmadabad"/>
    <s v="Ahilyanagar"/>
    <s v="13/11/2025"/>
    <s v="NA"/>
    <x v="0"/>
    <m/>
    <m/>
    <m/>
    <m/>
  </r>
  <r>
    <s v="NA"/>
    <s v="NA"/>
    <n v="2025212380"/>
    <s v="NA"/>
    <x v="2"/>
    <s v="Darshan Suresh Nangre"/>
    <s v="R/o Gaikwad Mla,Muktidham Mandir backside,krushn mandir ,Nashik Road Tal-Dist-Nashik"/>
    <s v="Nashik"/>
    <s v="13/11/2025"/>
    <s v="NA"/>
    <x v="0"/>
    <m/>
    <m/>
    <m/>
    <m/>
  </r>
  <r>
    <s v="Sagar Andhale"/>
    <s v="NA"/>
    <n v="2025212380"/>
    <s v="NA"/>
    <x v="0"/>
    <s v="WIP"/>
    <s v="Talegaon to Loni Road ,GauGalGav Area,Hotel  SadhGuru or Gavrde Petrol pump,Yashwant Dengle, farmside."/>
    <s v="Ahilyanagar"/>
    <s v="13/11/2025"/>
    <s v="NA"/>
    <x v="0"/>
    <m/>
    <m/>
    <m/>
    <m/>
  </r>
  <r>
    <s v="Ganesh Barde"/>
    <s v="NA"/>
    <n v="2025212399"/>
    <s v="NA"/>
    <x v="4"/>
    <s v="Sagar Ashok Nikam "/>
    <s v="R/oBelPiplegav Tal-Nevasa D-Ahilyanagar"/>
    <s v="Ahilyanagar."/>
    <s v="13/11/2025"/>
    <s v="NA"/>
    <x v="0"/>
    <m/>
    <m/>
    <m/>
    <m/>
  </r>
  <r>
    <s v="Sagar Andhale"/>
    <s v="NA"/>
    <n v="2025212399"/>
    <s v="NA"/>
    <x v="2"/>
    <s v="Mohin Munir Pathan "/>
    <s v="RA,Samarthnagar,masjid,ashoknagar , Shrirampur,Ahilyanagar."/>
    <s v="Ahilyanagar."/>
    <s v="13/11/2025"/>
    <s v="NA"/>
    <x v="0"/>
    <m/>
    <m/>
    <m/>
    <m/>
  </r>
  <r>
    <s v="Sagar Andhale"/>
    <s v="NA"/>
    <n v="2025212399"/>
    <s v="NA"/>
    <x v="0"/>
    <s v="WIP"/>
    <s v="Haregaon,Shrirampur,Roaqd Teenvdi ,Haregav,SHrirampur"/>
    <s v="Ahilyanagar."/>
    <s v="13/11/2025"/>
    <s v="NA"/>
    <x v="0"/>
    <m/>
    <m/>
    <m/>
    <m/>
  </r>
  <r>
    <s v="Sagar Patil"/>
    <s v="NA"/>
    <n v="2025212401"/>
    <s v="NA"/>
    <x v="4"/>
    <s v="Rajaram Dinkar Suryawanshi "/>
    <s v="RA,Devla,Tal-Devla,Dist-Nashik "/>
    <s v="Nashik"/>
    <d v="2025-10-11T00:00:00"/>
    <d v="2025-01-12T00:00:00"/>
    <x v="10"/>
    <m/>
    <m/>
    <m/>
    <m/>
  </r>
  <r>
    <s v="Sagar Patil"/>
    <s v="NA"/>
    <n v="2025212401"/>
    <s v="NA"/>
    <x v="2"/>
    <s v="Tirupati shikshan sanstha "/>
    <s v="RA,Nivane,Tal,Kalwan,Dist,Nashik"/>
    <s v="Nashik"/>
    <d v="2025-10-11T00:00:00"/>
    <d v="2025-01-12T00:00:00"/>
    <x v="10"/>
    <s v="Non Coopration"/>
    <m/>
    <m/>
    <m/>
  </r>
  <r>
    <s v="Sagar Patil"/>
    <s v="NA"/>
    <n v="2025212401"/>
    <s v="NA"/>
    <x v="3"/>
    <s v="Kiran Bhausaheb Nikam"/>
    <s v="Tirupati shikshan sanstha "/>
    <s v="Nashik"/>
    <d v="2025-10-11T00:00:00"/>
    <d v="2025-01-12T00:00:00"/>
    <x v="10"/>
    <m/>
    <m/>
    <m/>
    <m/>
  </r>
  <r>
    <s v="Sagar Patil"/>
    <s v="NA"/>
    <n v="2025212401"/>
    <s v="NA"/>
    <x v="0"/>
    <s v="WIP"/>
    <s v="Vajgav to Matane Devla Road ."/>
    <s v="Nashik"/>
    <d v="2025-10-11T00:00:00"/>
    <d v="2025-01-12T00:00:00"/>
    <x v="10"/>
    <m/>
    <m/>
    <m/>
    <m/>
  </r>
  <r>
    <s v="Suhas Walke"/>
    <s v="NA"/>
    <n v="2025212349"/>
    <s v="NA"/>
    <x v="4"/>
    <s v="vishal Gangadhar Zagade "/>
    <s v="R/o bela -Nagpur "/>
    <s v=",Nagpur."/>
    <d v="2025-10-11T00:00:00"/>
    <s v="NA"/>
    <x v="0"/>
    <m/>
    <m/>
    <m/>
    <m/>
  </r>
  <r>
    <s v="Suhas Walke"/>
    <s v="NA"/>
    <n v="2025212349"/>
    <s v="NA"/>
    <x v="2"/>
    <s v="Ramesh Laxmen Matangi "/>
    <s v="Bajaj Nagar,Chowk,Behind,Akurdi Bajaj Nagar ,Nagpur."/>
    <s v=",Nagpur."/>
    <d v="2025-10-11T00:00:00"/>
    <s v="NA"/>
    <x v="0"/>
    <m/>
    <m/>
    <m/>
    <m/>
  </r>
  <r>
    <s v="Suhas Walke"/>
    <s v="NA"/>
    <n v="2025212349"/>
    <s v="NA"/>
    <x v="0"/>
    <s v="WIP"/>
    <s v="At Dhawlpeth Road ,Near Goyal Company ,Ps-bori Dist-nagpur ."/>
    <s v=",Nagpur."/>
    <d v="2025-10-11T00:00:00"/>
    <s v="NA"/>
    <x v="0"/>
    <m/>
    <m/>
    <m/>
    <m/>
  </r>
  <r>
    <s v="Ganesh Barde"/>
    <s v="NA"/>
    <n v="2025212447"/>
    <s v="NA"/>
    <x v="4"/>
    <s v="Uttam Keshav Sarude "/>
    <s v="DhanGarwadi,KhamGav,Tal-Nevsa,Dist-Ahmadnagar"/>
    <s v="Ahilyanagar"/>
    <s v="13/11/2025"/>
    <d v="2025-02-12T00:00:00"/>
    <x v="10"/>
    <m/>
    <m/>
    <m/>
    <m/>
  </r>
  <r>
    <m/>
    <m/>
    <m/>
    <m/>
    <x v="11"/>
    <m/>
    <m/>
    <m/>
    <m/>
    <m/>
    <x v="12"/>
    <m/>
    <m/>
    <m/>
    <m/>
  </r>
  <r>
    <s v="Salim Shaikh"/>
    <s v="NA"/>
    <n v="2025212447"/>
    <s v="NA"/>
    <x v="3"/>
    <s v="Shakil Alam Sayyad"/>
    <s v="WIP"/>
    <s v="Parbhani"/>
    <s v="13/11/2025"/>
    <s v="NA"/>
    <x v="4"/>
    <s v="Line Driver"/>
    <m/>
    <m/>
    <m/>
  </r>
  <r>
    <s v="Ganesh Barde"/>
    <s v="NA"/>
    <n v="2025212447"/>
    <s v="NA"/>
    <x v="0"/>
    <s v="WIP"/>
    <s v="ShevGav-Nevasa Road,Sub-Station."/>
    <s v="Ahilyanagar"/>
    <s v="13/11/2025"/>
    <d v="2025-02-12T00:00:00"/>
    <x v="10"/>
    <m/>
    <m/>
    <m/>
    <m/>
  </r>
  <r>
    <s v="Adv. Shubham Raut"/>
    <s v="NA"/>
    <n v="2025212533"/>
    <s v="NA"/>
    <x v="4"/>
    <s v="Sulochana Chandrakant Kamble7820964203"/>
    <s v="R/o Ekurka,Tq-Kallamb,Dist-Dharashiv."/>
    <s v="Dharashiv"/>
    <m/>
    <s v="NA"/>
    <x v="0"/>
    <m/>
    <m/>
    <m/>
    <m/>
  </r>
  <r>
    <s v="Rajeev Sharma"/>
    <s v="NA"/>
    <n v="2025212533"/>
    <s v="NA"/>
    <x v="2"/>
    <s v="Akshara Tours@Travels ."/>
    <s v="R/oSr No.113/4Flat No.1Onkar Colony,Ground Floor,WalherKarWadi,Chinchwad,pune 411033."/>
    <s v="Pune"/>
    <s v="15/11/2025"/>
    <s v="NA"/>
    <x v="0"/>
    <m/>
    <m/>
    <m/>
    <m/>
  </r>
  <r>
    <s v="Rajeev Sharma"/>
    <s v="NA"/>
    <n v="2025212533"/>
    <s v="NA"/>
    <x v="3"/>
    <m/>
    <m/>
    <s v="Pune"/>
    <s v="15/11/2025"/>
    <s v="NA"/>
    <x v="0"/>
    <m/>
    <m/>
    <m/>
    <m/>
  </r>
  <r>
    <s v="Pankaj Kawade"/>
    <s v="NA"/>
    <n v="2025212533"/>
    <s v="NA"/>
    <x v="0"/>
    <m/>
    <s v="On Dhokri To Kallamb Road,400Ft Away Towards North Side From Deoldhanora pati."/>
    <s v="Pune"/>
    <m/>
    <s v="NA"/>
    <x v="0"/>
    <m/>
    <m/>
    <m/>
    <m/>
  </r>
  <r>
    <s v="Karan Salve"/>
    <s v="NA"/>
    <n v="2023205098"/>
    <s v="NA"/>
    <x v="12"/>
    <s v="Manik Laxman Andhale"/>
    <s v="village- Limbodi, Devinimgaon,) Tal- Ashti, Dist- Beed-414 202."/>
    <s v="Beed"/>
    <s v="15/11/2025"/>
    <s v="NA"/>
    <x v="8"/>
    <m/>
    <m/>
    <m/>
    <m/>
  </r>
  <r>
    <s v="Salim Shaikh"/>
    <s v="NA"/>
    <n v="2019201744"/>
    <s v="NA"/>
    <x v="12"/>
    <s v="Manohar Sonba Naik."/>
    <s v="R/o Sadegaon Tq-,D-Parbhani."/>
    <s v="Parbhani"/>
    <s v="19/11/2025"/>
    <s v="NA"/>
    <x v="8"/>
    <m/>
    <m/>
    <m/>
    <m/>
  </r>
  <r>
    <s v="Bhagyawan V"/>
    <s v="NA"/>
    <n v="2022209063"/>
    <s v="NA"/>
    <x v="12"/>
    <s v="Yusuf Babasaheb Pahadwale."/>
    <s v="R/oChilwantwadi,Tq-Nilanga,D-Latur."/>
    <s v="Latur"/>
    <s v="19/11/2025"/>
    <s v="NA"/>
    <x v="8"/>
    <m/>
    <m/>
    <m/>
    <m/>
  </r>
  <r>
    <s v="Bhagyawan V"/>
    <s v="NA"/>
    <n v="2017212612"/>
    <s v="NA"/>
    <x v="12"/>
    <s v="Rahim Alludin Shaikh "/>
    <s v="R/o Mahalanga ,Tq-Chakur,Latur."/>
    <s v="Latur"/>
    <s v="19/11/2025"/>
    <s v="NA"/>
    <x v="8"/>
    <m/>
    <m/>
    <m/>
    <m/>
  </r>
  <r>
    <s v="Shubham Waghule"/>
    <s v="NA"/>
    <n v="2025212670"/>
    <n v="2025212673"/>
    <x v="4"/>
    <s v="Om Pankaj Shelar"/>
    <s v="Tal-Wai -japur,Dist-Sambhajinagar."/>
    <s v="Sambhajinagar"/>
    <s v="19/11/2025"/>
    <s v="NA"/>
    <x v="0"/>
    <m/>
    <m/>
    <m/>
    <m/>
  </r>
  <r>
    <s v="Shubham Waghule"/>
    <s v="NA"/>
    <n v="2025212671"/>
    <n v="2025212673"/>
    <x v="4"/>
    <s v="Rupali Pankaj Shelar "/>
    <s v="Tal-Wai -japur,Dist-Sambhajinagar."/>
    <s v="Sambhajinagar"/>
    <s v="19/11/2025"/>
    <s v="NA"/>
    <x v="0"/>
    <m/>
    <m/>
    <m/>
    <m/>
  </r>
  <r>
    <s v="Shubham Waghule"/>
    <s v="NA"/>
    <n v="2025212673"/>
    <s v="NA"/>
    <x v="4"/>
    <s v="PANKAJ SHIVAJI SHELAR"/>
    <s v="Tal-Wai -japur,Dist-Sambhajinagar."/>
    <s v="Sambhajinagar"/>
    <s v="19/11/2025"/>
    <s v="NA"/>
    <x v="0"/>
    <m/>
    <m/>
    <m/>
    <m/>
  </r>
  <r>
    <s v="Rohan Patil"/>
    <s v="NA"/>
    <n v="2025212673"/>
    <s v="NA"/>
    <x v="2"/>
    <s v="Aarohi Tours @Travels /Mohan Pandhare"/>
    <s v="Ajinakya Mitra Mandal,Balaji Nagar Pune City,Pune."/>
    <s v="Pune"/>
    <s v="19/11/2025"/>
    <s v="NA"/>
    <x v="0"/>
    <m/>
    <m/>
    <m/>
    <m/>
  </r>
  <r>
    <s v="Rohan Patil"/>
    <s v="NA"/>
    <n v="2025212673"/>
    <s v="NA"/>
    <x v="3"/>
    <m/>
    <m/>
    <s v="Pune"/>
    <s v="19/11/2025"/>
    <s v="NA"/>
    <x v="0"/>
    <m/>
    <m/>
    <m/>
    <m/>
  </r>
  <r>
    <s v="Sagar Andhale"/>
    <s v="NA"/>
    <n v="2025212673"/>
    <s v="NA"/>
    <x v="0"/>
    <m/>
    <s v="Pune to Ahilyanagar Road ,Chass Village Area,Bharat Petrolpump,Ahilyanagar."/>
    <s v="Ahilyanagar"/>
    <s v="19/11/2025"/>
    <s v="NA"/>
    <x v="0"/>
    <m/>
    <m/>
    <m/>
    <m/>
  </r>
  <r>
    <s v="Prashant Jeurkar"/>
    <s v="NA"/>
    <n v="2025212540"/>
    <s v="NA"/>
    <x v="4"/>
    <s v="Mumtaj Siraj Khan/7720958576"/>
    <s v="R/o Yasin nagar,Harsul Tq-,Dist-Aurangabad."/>
    <s v="Sambhajinagar"/>
    <s v="21/11/2025"/>
    <s v="NA"/>
    <x v="0"/>
    <m/>
    <m/>
    <m/>
    <m/>
  </r>
  <r>
    <s v="Prashant Jeurkar"/>
    <s v="NA"/>
    <n v="2025212540"/>
    <s v="NA"/>
    <x v="2"/>
    <s v="Sachin Pandurang Vaidhya "/>
    <s v="R/o Gayatrinagar Jalna ,Tq-Dist- Jalna"/>
    <s v="Sambhajinagar"/>
    <s v="21/11/2025"/>
    <s v="NA"/>
    <x v="0"/>
    <m/>
    <m/>
    <m/>
    <m/>
  </r>
  <r>
    <s v="Prashant Jeurkar"/>
    <s v="NA"/>
    <n v="2025212540"/>
    <s v="NA"/>
    <x v="3"/>
    <m/>
    <m/>
    <s v="Sambhajinagar"/>
    <s v="21/11/2025"/>
    <s v="NA"/>
    <x v="0"/>
    <m/>
    <m/>
    <m/>
    <m/>
  </r>
  <r>
    <s v="Prashant Jeurkar"/>
    <s v="NA"/>
    <n v="2025212540"/>
    <s v="NA"/>
    <x v="0"/>
    <m/>
    <s v="Bhokardan to Jalna Road Near Palas Kheda Village,in the Jusrisdiction of "/>
    <s v="Sambhajinagar"/>
    <s v="21/11/2025"/>
    <s v="NA"/>
    <x v="0"/>
    <m/>
    <m/>
    <m/>
    <m/>
  </r>
  <r>
    <s v="Sandeep Tiwari"/>
    <s v="NA"/>
    <n v="2025212595"/>
    <s v="NA"/>
    <x v="2"/>
    <s v="Shaikh Shahid "/>
    <s v="R/o 48,Husnain masid Area,Vittbhati,GulabHajinagar,Devpur,Dhule ,Tal-Dist-Dhule."/>
    <s v="Dhule"/>
    <s v="26/11/2025"/>
    <s v="NA"/>
    <x v="0"/>
    <m/>
    <m/>
    <m/>
    <m/>
  </r>
  <r>
    <s v="Sandeep Tiwari"/>
    <s v="NA"/>
    <n v="2025212595"/>
    <s v="NA"/>
    <x v="3"/>
    <m/>
    <m/>
    <s v="Dhule"/>
    <s v="26/11/2025"/>
    <s v="NA"/>
    <x v="0"/>
    <m/>
    <m/>
    <m/>
    <m/>
  </r>
  <r>
    <s v="Sandeep Tiwari"/>
    <s v="NA"/>
    <n v="2025212595"/>
    <s v="NA"/>
    <x v="0"/>
    <m/>
    <s v="Dhule City Stadium Area Devpur ,Dhule."/>
    <s v="Dhule"/>
    <s v="26/11/2025"/>
    <s v="NA"/>
    <x v="0"/>
    <m/>
    <m/>
    <m/>
    <m/>
  </r>
  <r>
    <s v="Adv. Shubham Raut"/>
    <s v="NA"/>
    <n v="2025212716"/>
    <s v="NA"/>
    <x v="4"/>
    <s v="Puja Nitin Desai"/>
    <s v="R/o Kari.Tq-,Dist-Dharashiv."/>
    <s v="Dharashiv"/>
    <m/>
    <s v="NA"/>
    <x v="0"/>
    <m/>
    <m/>
    <m/>
    <m/>
  </r>
  <r>
    <s v="Adv. Shubham Raut"/>
    <s v="NA"/>
    <n v="2025212716"/>
    <s v="NA"/>
    <x v="2"/>
    <s v="Shubham Vitthal kothawale"/>
    <s v="R/o Pipalgav (k) Tq,Kallamb,Dist-Dharashiv."/>
    <s v="Dharashiv"/>
    <m/>
    <s v="NA"/>
    <x v="0"/>
    <m/>
    <m/>
    <m/>
    <m/>
  </r>
  <r>
    <s v="Adv. Shubham Raut"/>
    <s v="NA"/>
    <n v="2025212716"/>
    <s v="NA"/>
    <x v="0"/>
    <m/>
    <s v="Latur Road to Gharni Road In Vicinty of Village Gharni Tq Chakur by Side of Naira Petrol Pump."/>
    <s v="Dharashiv"/>
    <m/>
    <s v="NA"/>
    <x v="0"/>
    <m/>
    <m/>
    <m/>
    <m/>
  </r>
  <r>
    <s v="Shivhar Deshmukh"/>
    <s v="NA"/>
    <n v="2025208486"/>
    <s v="NA"/>
    <x v="4"/>
    <s v="Ashok Ramji Puyad 9764135381"/>
    <s v="R/O Punegaon, Tq. Mudkhed, Dist. Nanded-430806"/>
    <s v="Nanded"/>
    <s v="20/11/2025"/>
    <s v="NA"/>
    <x v="0"/>
    <m/>
    <m/>
    <m/>
    <m/>
  </r>
  <r>
    <s v="Shivhar Deshmukh"/>
    <s v="NA"/>
    <n v="2025208486"/>
    <s v="NA"/>
    <x v="2"/>
    <s v="Gautam Ramchandar Kamble  9762968332"/>
    <s v="R/O  Shahu Nagar, HUDCO, New Nanded-431603"/>
    <s v="Nanded"/>
    <s v="20/11/2025"/>
    <s v="NA"/>
    <x v="0"/>
    <m/>
    <m/>
    <m/>
    <m/>
  </r>
  <r>
    <s v="Shivhar Deshmukh"/>
    <s v="NA"/>
    <n v="2025208486"/>
    <s v="NA"/>
    <x v="3"/>
    <m/>
    <m/>
    <s v="Nanded"/>
    <s v="20/11/2025"/>
    <s v="NA"/>
    <x v="0"/>
    <m/>
    <m/>
    <m/>
    <m/>
  </r>
  <r>
    <s v="Shivhar Deshmukh"/>
    <s v="NA"/>
    <n v="2025208486"/>
    <s v="NA"/>
    <x v="0"/>
    <m/>
    <s v="on road from Bhayegaon towards Bhayegaon Board, at Parsewar Godown, Bhayegaon, Tq. &amp; Dist. Nanded"/>
    <s v="Nanded"/>
    <s v="20/11/2025"/>
    <s v="NA"/>
    <x v="0"/>
    <m/>
    <m/>
    <m/>
    <m/>
  </r>
  <r>
    <s v="Salim Shaikh"/>
    <s v="NA"/>
    <n v="2025209152"/>
    <s v="NA"/>
    <x v="4"/>
    <s v="Supriya Prakash Dabade  9579736143"/>
    <s v="R/o.Bhim Nagar, Mahatpuri Tq.Gangakhed"/>
    <s v="Sambhajinagar"/>
    <s v="20/11/2025"/>
    <s v="NA"/>
    <x v="0"/>
    <m/>
    <m/>
    <m/>
    <m/>
  </r>
  <r>
    <s v="Salim Shaikh"/>
    <s v="NA"/>
    <n v="2025209152"/>
    <s v="NA"/>
    <x v="2"/>
    <s v="Asaram Sitaram Neharkar IA 9130343891"/>
    <s v="R/O Mardasgaon Tq.Pathri Dist. Parbhani,"/>
    <s v="Parbhani"/>
    <s v="20/11/2025"/>
    <s v="NA"/>
    <x v="0"/>
    <m/>
    <m/>
    <m/>
    <m/>
  </r>
  <r>
    <s v="Salim Shaikh"/>
    <s v="NA"/>
    <n v="2025209152"/>
    <s v="NA"/>
    <x v="0"/>
    <m/>
    <s v="On Gangakhed to Parbhani Road."/>
    <m/>
    <s v="20/11/2025"/>
    <s v="NA"/>
    <x v="0"/>
    <m/>
    <m/>
    <m/>
    <m/>
  </r>
  <r>
    <s v="Sagar Andhale"/>
    <s v="NA"/>
    <n v="2025212593"/>
    <n v="2025212721"/>
    <x v="4"/>
    <s v="Machhindra alias Machhindranath Sudam Gite    9527883302"/>
    <s v="R/o  Kadgaon, Po. Miri, Pathardi,applicant. Dist. Ahilyanagar"/>
    <s v="Ahilyanagar"/>
    <m/>
    <s v="NA"/>
    <x v="0"/>
    <m/>
    <m/>
    <m/>
    <m/>
  </r>
  <r>
    <s v="Sagar Andhale"/>
    <s v="NA"/>
    <n v="2025212721"/>
    <s v="NA"/>
    <x v="4"/>
    <s v="Narayan Keshav Palave 9308745672"/>
    <s v="Kadgaon, Miri, Pathardi, Ahilyanagar."/>
    <s v="Ahilyanagar"/>
    <s v="29/11/2025"/>
    <s v="NA"/>
    <x v="0"/>
    <m/>
    <m/>
    <m/>
    <m/>
  </r>
  <r>
    <s v="Prashant Jeurkar"/>
    <s v="NA"/>
    <n v="2025212721"/>
    <s v="NA"/>
    <x v="2"/>
    <s v="Ravindra Mohan Tambe"/>
    <s v="R/o Plot No. 203, Group No. 6, Bakwalnagar, Naigaon, h Gangapur, Dist. Ch. Sambhajinagar Pin- 431133"/>
    <s v="Sambhajinagar"/>
    <s v="20/11/2025"/>
    <s v="NA"/>
    <x v="0"/>
    <m/>
    <m/>
    <m/>
    <m/>
  </r>
  <r>
    <s v="Prashant Jeurkar"/>
    <s v="NA"/>
    <n v="2025212721"/>
    <s v="NA"/>
    <x v="3"/>
    <s v="Muktar Noor Syed   9764345112"/>
    <s v="R/o ardeshi Gali, Vaijapur, Tal. Vaijapur Dist. Ch. Sambhajinagar Pin-431001."/>
    <s v="Sambhajinagar"/>
    <s v="20/11/2025"/>
    <s v="NA"/>
    <x v="0"/>
    <m/>
    <m/>
    <m/>
    <m/>
  </r>
  <r>
    <s v="Sagar Andhale"/>
    <s v="NA"/>
    <n v="2025212721"/>
    <s v="NA"/>
    <x v="0"/>
    <m/>
    <s v="On Old closed canteen in front of the church on the road from Pandhari Pul to Miri"/>
    <m/>
    <s v="29/11/2025"/>
    <s v="NA"/>
    <x v="0"/>
    <m/>
    <m/>
    <m/>
    <m/>
  </r>
  <r>
    <s v="Shivhar Deshmukh"/>
    <s v="NA"/>
    <n v="2025209441"/>
    <s v="NA"/>
    <x v="4"/>
    <s v="Mashnaji  Kamaji Gajale 7378477794"/>
    <s v="R/o. Borgaon Thadi Tq Biloli Dist. Nanded"/>
    <s v="Nanded"/>
    <s v="20/11/2025"/>
    <s v="NA"/>
    <x v="0"/>
    <m/>
    <m/>
    <m/>
    <m/>
  </r>
  <r>
    <s v="NA"/>
    <s v="NA"/>
    <n v="2025209441"/>
    <s v="NA"/>
    <x v="2"/>
    <s v="Abdul Kabeer Abdul Rasheed 9890128896"/>
    <s v="R/o. 9-5-714, Khandari Building, Khusro Nagar,"/>
    <m/>
    <m/>
    <s v="NA"/>
    <x v="0"/>
    <m/>
    <m/>
    <m/>
    <m/>
  </r>
  <r>
    <s v="NA"/>
    <s v="NA"/>
    <n v="2025209441"/>
    <s v="NA"/>
    <x v="3"/>
    <m/>
    <m/>
    <m/>
    <m/>
    <s v="NA"/>
    <x v="0"/>
    <m/>
    <m/>
    <m/>
    <m/>
  </r>
  <r>
    <s v="NA"/>
    <s v="NA"/>
    <n v="2025209441"/>
    <s v="NA"/>
    <x v="0"/>
    <m/>
    <s v="On near adampur to kerur ghat"/>
    <m/>
    <m/>
    <s v="NA"/>
    <x v="0"/>
    <m/>
    <m/>
    <m/>
    <m/>
  </r>
  <r>
    <s v="Shivhar Deshmukh"/>
    <s v="NA"/>
    <n v="2025209731"/>
    <s v="NA"/>
    <x v="4"/>
    <s v="Meghabai Madhav Jadhav  9096145728"/>
    <s v="R/O Marshivni Tal. Kandhar Dist. Nanded"/>
    <s v="Nanded"/>
    <s v="20/11/2025"/>
    <s v="NA"/>
    <x v="0"/>
    <m/>
    <m/>
    <m/>
    <m/>
  </r>
  <r>
    <s v="Shivhar Deshmukh"/>
    <s v="NA"/>
    <n v="2025209731"/>
    <s v="NA"/>
    <x v="2"/>
    <s v="NIVARUTI VINAYAK KANDHARE 9975698803"/>
    <s v="R/o Kandharewadi Po. Panshewadi Tal. Kandhar Dist. Nanded"/>
    <s v="Nanded"/>
    <s v="20/11/2025"/>
    <s v="NA"/>
    <x v="0"/>
    <m/>
    <m/>
    <m/>
    <m/>
  </r>
  <r>
    <s v="Shivhar Deshmukh"/>
    <s v="NA"/>
    <n v="2025209731"/>
    <s v="NA"/>
    <x v="3"/>
    <m/>
    <m/>
    <s v="Nanded"/>
    <s v="20/11/2025"/>
    <s v="NA"/>
    <x v="0"/>
    <m/>
    <m/>
    <m/>
    <m/>
  </r>
  <r>
    <s v="Shivhar Deshmukh"/>
    <s v="NA"/>
    <n v="2025209731"/>
    <s v="NA"/>
    <x v="0"/>
    <m/>
    <s v="In front of the house of Chandrakant P. Shankar Manganale in Kandharewadi."/>
    <s v="Nanded"/>
    <s v="20/11/2025"/>
    <s v="NA"/>
    <x v="0"/>
    <m/>
    <m/>
    <m/>
    <m/>
  </r>
  <r>
    <s v="Shivhar Deshmukh"/>
    <s v="NA"/>
    <n v="2025210423"/>
    <s v="NA"/>
    <x v="4"/>
    <s v="Chandu  Pundalik Jogadand 7972605784"/>
    <s v="R/O Samta Nagar, New Abadi Aradhapur, Tq.- Aradhapur, Dist.- Nanded"/>
    <s v="Nanded"/>
    <s v="20/11/2025"/>
    <s v="NA"/>
    <x v="0"/>
    <m/>
    <m/>
    <m/>
    <m/>
  </r>
  <r>
    <s v="NA"/>
    <s v="NA"/>
    <n v="2025210423"/>
    <s v="NA"/>
    <x v="2"/>
    <s v="Ammen Khan Bismilla Khan Pathan"/>
    <s v="R/o  Risala Bazar, Near Badi Masjid, Hingoli Tq. &amp; Dis. Hingoli"/>
    <s v="Hongoli"/>
    <s v="20/11/2025"/>
    <s v="NA"/>
    <x v="0"/>
    <m/>
    <m/>
    <m/>
    <m/>
  </r>
  <r>
    <s v="NA"/>
    <s v="NA"/>
    <n v="2025210423"/>
    <s v="NA"/>
    <x v="3"/>
    <m/>
    <m/>
    <s v="Hongoli"/>
    <s v="20/11/2025"/>
    <s v="NA"/>
    <x v="0"/>
    <m/>
    <m/>
    <m/>
    <m/>
  </r>
  <r>
    <s v="NA"/>
    <s v="NA"/>
    <n v="2025210423"/>
    <s v="NA"/>
    <x v="0"/>
    <m/>
    <s v="on Kasarkheda Malegaon road, Near Dor pati"/>
    <m/>
    <s v="20/11/2025"/>
    <s v="NA"/>
    <x v="0"/>
    <m/>
    <m/>
    <m/>
    <m/>
  </r>
  <r>
    <s v="Shivhar Deshmukh"/>
    <s v="NA"/>
    <n v="2025210175"/>
    <s v="NA"/>
    <x v="4"/>
    <s v="Archana  Vishwanath Tadkole"/>
    <s v="R/o Khanapur, Tq. Degloor, Dist.Nanded."/>
    <s v="Nanded"/>
    <s v="29/11/2025"/>
    <s v="NA"/>
    <x v="0"/>
    <m/>
    <m/>
    <m/>
    <m/>
  </r>
  <r>
    <s v="Shivhar Deshmukh"/>
    <s v="NA"/>
    <n v="2025210175"/>
    <s v="NA"/>
    <x v="2"/>
    <s v="Maroti  Devrao Jadhav 8698717814"/>
    <s v="R/o At Post Atkali, Tq. Biloli"/>
    <s v="Nanded"/>
    <s v="29/11/2025"/>
    <s v="NA"/>
    <x v="0"/>
    <m/>
    <m/>
    <m/>
    <m/>
  </r>
  <r>
    <s v="Shivhar Deshmukh"/>
    <s v="NA"/>
    <n v="2025210175"/>
    <s v="NA"/>
    <x v="3"/>
    <m/>
    <m/>
    <s v="Nanded"/>
    <s v="29/11/2025"/>
    <s v="NA"/>
    <x v="0"/>
    <m/>
    <m/>
    <m/>
    <m/>
  </r>
  <r>
    <s v="Shivhar Deshmukh"/>
    <s v="NA"/>
    <n v="2025210175"/>
    <s v="NA"/>
    <x v="0"/>
    <m/>
    <s v="Road, Khanapur Fata, at open space, infront of &quot; Manjulabai Sankul &quot;, Khanapur Tq.Degloor."/>
    <s v="Nanded"/>
    <s v="29/11/2025"/>
    <s v="NA"/>
    <x v="0"/>
    <m/>
    <m/>
    <m/>
    <m/>
  </r>
  <r>
    <s v="Shivhar Deshmukh"/>
    <s v="NA"/>
    <n v="2025210211"/>
    <s v="NA"/>
    <x v="4"/>
    <s v="Shila  Vyankat  Wade 9767665109"/>
    <s v="R/o Degaon, Tq. Naigaon(Kh), Dist. Nanded"/>
    <s v="Nanded"/>
    <s v="20/11/2025"/>
    <s v="NA"/>
    <x v="0"/>
    <m/>
    <m/>
    <m/>
    <m/>
  </r>
  <r>
    <s v="Shivhar Deshmukh"/>
    <s v="NA"/>
    <n v="2025210211"/>
    <s v="NA"/>
    <x v="2"/>
    <s v="Vitthal Bapurao Ghantewad"/>
    <s v="R/o  Mokasdara, Tq. Naigaon(Kh), Dist. Nanded. 431709"/>
    <s v="Nanded"/>
    <s v="20/11/2025"/>
    <s v="NA"/>
    <x v="0"/>
    <m/>
    <m/>
    <m/>
    <m/>
  </r>
  <r>
    <s v="Shivhar Deshmukh"/>
    <s v="NA"/>
    <n v="2025210211"/>
    <s v="NA"/>
    <x v="3"/>
    <m/>
    <m/>
    <s v="Nanded"/>
    <s v="20/11/2025"/>
    <s v="NA"/>
    <x v="0"/>
    <m/>
    <m/>
    <m/>
    <m/>
  </r>
  <r>
    <s v="Shivhar Deshmukh"/>
    <s v="NA"/>
    <n v="2025210211"/>
    <s v="NA"/>
    <x v="0"/>
    <m/>
    <s v="Nanded to Narsi Road, Near Aparma/Pooja Hotel Narsi Tq. Naigaon(Kh), Dist. Nanded."/>
    <s v="Nanded"/>
    <s v="20/11/2025"/>
    <s v="NA"/>
    <x v="0"/>
    <m/>
    <m/>
    <m/>
    <m/>
  </r>
  <r>
    <s v="Shivhar Deshmukh"/>
    <s v="NA"/>
    <n v="2025209709"/>
    <s v="NA"/>
    <x v="4"/>
    <s v="Devidas Vitthalrao Zinzade 9158684821"/>
    <s v="R/o. Aniket Nagar, Malegaon road. Taroda (Kh) Tq. &amp;, Dist. Nanded."/>
    <s v="Nanded"/>
    <s v="20/11/2025"/>
    <s v="NA"/>
    <x v="0"/>
    <m/>
    <m/>
    <m/>
    <m/>
  </r>
  <r>
    <s v="Salim Shaikh"/>
    <s v="NA"/>
    <n v="2025209709"/>
    <s v="NA"/>
    <x v="2"/>
    <s v="SHRI SAI TOURS AND TRAVELS  Nagnath Trimbak Davalbaje 7875002182"/>
    <s v="R/o  Degaon, tq. Purna, Distt. Parbhani"/>
    <s v="Parbhani"/>
    <s v="20/11/2025"/>
    <s v="NA"/>
    <x v="0"/>
    <m/>
    <m/>
    <m/>
    <m/>
  </r>
  <r>
    <s v="Shivhar Deshmukh"/>
    <s v="NA"/>
    <n v="2025209709"/>
    <s v="NA"/>
    <x v="0"/>
    <m/>
    <s v="Near Limbgaon Bus stand, at. Limbgaon, tq. &amp; Dist. Nanded."/>
    <s v="Nanded"/>
    <s v="20/11/2025"/>
    <s v="NA"/>
    <x v="0"/>
    <m/>
    <m/>
    <m/>
    <m/>
  </r>
  <r>
    <s v="Surya"/>
    <s v="NA"/>
    <n v="2025210102"/>
    <s v="NA"/>
    <x v="4"/>
    <s v="Sindhutai  Kailasrao Deshmukh"/>
    <s v="R/o Talni, Post Talni, Tq. Hadgaon, District - Nanded"/>
    <s v="Nanded"/>
    <s v="26/11/2025"/>
    <s v="NA"/>
    <x v="0"/>
    <m/>
    <m/>
    <m/>
    <m/>
  </r>
  <r>
    <s v="Surya"/>
    <s v="NA"/>
    <n v="2025210102"/>
    <s v="NA"/>
    <x v="2"/>
    <s v="SHIVAJI DATTA THADKE 7057818688"/>
    <s v="R/o Talni, Post Talni, Tq. Hadgaon, District - Nanded."/>
    <s v="Nanded"/>
    <s v="26/11/2025"/>
    <s v="NA"/>
    <x v="0"/>
    <m/>
    <m/>
    <m/>
    <m/>
  </r>
  <r>
    <s v="Surya"/>
    <s v="NA"/>
    <n v="2025210102"/>
    <s v="NA"/>
    <x v="0"/>
    <m/>
    <s v="In the vicinity of Govt. Hospital Vishnupuri Nanded, near the Flyover bridge road."/>
    <s v="Nanded"/>
    <s v="26/11/2025"/>
    <s v="NA"/>
    <x v="0"/>
    <m/>
    <m/>
    <m/>
    <m/>
  </r>
  <r>
    <s v="Shivhar Deshmukh"/>
    <s v="NA"/>
    <n v="2025212758"/>
    <s v="NA"/>
    <x v="2"/>
    <s v="SHAIKH SAMEER SHAIKH SALEEM"/>
    <s v="R/o Colony, Idgarh Road, Digalur Naka Nanded Road, Nanded (Maharashtra) 431604"/>
    <s v="Nanded"/>
    <s v="20/11/2025"/>
    <s v="NA"/>
    <x v="0"/>
    <m/>
    <m/>
    <m/>
    <m/>
  </r>
  <r>
    <s v="Shivhar Deshmukh"/>
    <s v="NA"/>
    <n v="2025212758"/>
    <s v="NA"/>
    <x v="3"/>
    <m/>
    <m/>
    <s v="Nanded"/>
    <s v="20/11/2025"/>
    <s v="NA"/>
    <x v="0"/>
    <m/>
    <m/>
    <m/>
    <m/>
  </r>
  <r>
    <s v="NA"/>
    <s v="NA"/>
    <n v="2025212758"/>
    <s v="NA"/>
    <x v="0"/>
    <m/>
    <s v="Near Khadegaon on Parmani Road in the border area of ​​Basmat Rural District Hingoli"/>
    <s v="Hingoli "/>
    <s v="20/11/2025"/>
    <s v="NA"/>
    <x v="0"/>
    <m/>
    <m/>
    <m/>
    <m/>
  </r>
  <r>
    <s v="Salim Shaikh"/>
    <s v="NA"/>
    <n v="2025209132"/>
    <n v="2025206806"/>
    <x v="4"/>
    <s v="Subhas Govindrav Pavar  .8087423180"/>
    <s v="R/o.Pokharni Tq. Dist. Parbhani"/>
    <s v="Parbhani"/>
    <s v="20/11/2025"/>
    <s v="NA"/>
    <x v="0"/>
    <m/>
    <m/>
    <m/>
    <m/>
  </r>
  <r>
    <s v="Salim Shaikh"/>
    <s v="NA"/>
    <n v="2025209145"/>
    <n v="2025206806"/>
    <x v="4"/>
    <s v="Balasaheb Yallapa Dhotre"/>
    <s v="R/o.Pokharni Tq. Dist. Parbhani"/>
    <s v="Parbhani"/>
    <s v="20/11/2025"/>
    <s v="NA"/>
    <x v="0"/>
    <m/>
    <m/>
    <m/>
    <m/>
  </r>
  <r>
    <s v="Salim Shaikh"/>
    <s v="NA"/>
    <n v="2025206806"/>
    <s v="NA"/>
    <x v="4"/>
    <s v="Rukminbai  Balu Dhotare 8329369082"/>
    <s v="R/o.Pokharni Tq. Dist. Parbhani"/>
    <s v="Parbhani"/>
    <s v="20/11/2025"/>
    <s v="NA"/>
    <x v="0"/>
    <m/>
    <m/>
    <m/>
    <m/>
  </r>
  <r>
    <s v="Salim Shaikh"/>
    <s v="NA"/>
    <n v="2025206806"/>
    <s v="NA"/>
    <x v="2"/>
    <s v="NITIN VITTHALRAO KAWALE 9049672119"/>
    <s v="R/o. Shantiniketan Colony, Gangakhed Road, Parbhani Tq.Dist. Parbhani"/>
    <s v="Parbhani"/>
    <s v="20/11/2025"/>
    <s v="NA"/>
    <x v="0"/>
    <m/>
    <m/>
    <m/>
    <m/>
  </r>
  <r>
    <s v="Salim Shaikh"/>
    <s v="NA"/>
    <n v="2025206806"/>
    <s v="NA"/>
    <x v="0"/>
    <m/>
    <s v="In vicinity of Hatkarwadi T Point, on Parbhani to Sonpeth Road."/>
    <s v="Parbhani"/>
    <s v="20/11/2025"/>
    <s v="NA"/>
    <x v="0"/>
    <m/>
    <m/>
    <m/>
    <m/>
  </r>
  <r>
    <s v="Shivhar Deshmukh"/>
    <s v="NA"/>
    <n v="2025210434"/>
    <s v="NA"/>
    <x v="4"/>
    <s v="Aasma Begum  Shaikh Ateeq Bagwan 9922546722"/>
    <s v="R/o. Umar Colony, Deglur Naka, Nanded."/>
    <s v="Nanded"/>
    <s v="20/11/2025"/>
    <s v="NA"/>
    <x v="0"/>
    <m/>
    <m/>
    <m/>
    <m/>
  </r>
  <r>
    <s v="Shivhar Deshmukh"/>
    <s v="NA"/>
    <n v="2025209745"/>
    <s v="NA"/>
    <x v="4"/>
    <s v="Mohan  Munjaji Kadam"/>
    <s v="R/o. Pangri Tq. Ardhpur Dist. Nanded."/>
    <s v="Nanded"/>
    <s v="20/11/2025"/>
    <s v="NA"/>
    <x v="0"/>
    <m/>
    <m/>
    <m/>
    <m/>
  </r>
  <r>
    <s v="NA"/>
    <s v="NA"/>
    <n v="2025209745"/>
    <s v="NA"/>
    <x v="2"/>
    <s v="Reliance General Ins. Co. Ltd"/>
    <s v="Ayodhya Building, 1st Floor, 119, Near Bajaj Nagar Chowk, Behind Akruti Furniture, Bajaj Nagar, Nagpur- 440010."/>
    <s v="Nanded"/>
    <m/>
    <s v="NA"/>
    <x v="0"/>
    <m/>
    <m/>
    <m/>
    <m/>
  </r>
  <r>
    <s v="NA"/>
    <s v="NA"/>
    <n v="2025209745"/>
    <s v="NA"/>
    <x v="3"/>
    <m/>
    <m/>
    <s v="Nanded"/>
    <m/>
    <s v="NA"/>
    <x v="0"/>
    <m/>
    <m/>
    <m/>
    <m/>
  </r>
  <r>
    <s v="NA"/>
    <s v="NA"/>
    <n v="2025209745"/>
    <s v="NA"/>
    <x v="0"/>
    <m/>
    <s v="Vidul Tq. Umarkhed to Zadgaon."/>
    <m/>
    <m/>
    <s v="NA"/>
    <x v="0"/>
    <m/>
    <m/>
    <m/>
    <m/>
  </r>
  <r>
    <s v="Shivhar Deshmukh"/>
    <s v="NA"/>
    <n v="2023210048"/>
    <s v="NA"/>
    <x v="3"/>
    <s v="Sangram  Shriram Kumate"/>
    <s v="R/o. Pangri Tq. Ardhpur Dist. Nanded."/>
    <s v="Nanded"/>
    <s v="20/11/2025"/>
    <s v="NA"/>
    <x v="0"/>
    <m/>
    <m/>
    <m/>
    <m/>
  </r>
  <r>
    <s v="Shivhar Deshmukh"/>
    <s v="NA"/>
    <n v="2023202836"/>
    <s v="NA"/>
    <x v="4"/>
    <s v="Manpreet Kaur Jagdeep Singh Sardar."/>
    <s v="R/o. Nandigram Society, Beside Water Tank, Nanded."/>
    <s v="Nanded"/>
    <s v="20/11/2025"/>
    <s v="NA"/>
    <x v="0"/>
    <m/>
    <m/>
    <m/>
    <m/>
  </r>
  <r>
    <s v="Sagar Andhale"/>
    <s v="NA"/>
    <s v="MTP-N-2526-004387"/>
    <s v="NA"/>
    <x v="4"/>
    <s v="Tejswini Ramdas Salve"/>
    <s v="R/o Pudli Derya,Tal-Parhir,Dist-Ahilyanagar."/>
    <s v="Nanded"/>
    <s v="29/11/2025"/>
    <s v="NA"/>
    <x v="0"/>
    <m/>
    <m/>
    <m/>
    <m/>
  </r>
  <r>
    <s v="NA"/>
    <s v="NA"/>
    <s v="MTP-N-2526-004387"/>
    <s v="NA"/>
    <x v="2"/>
    <s v="Ishwar Vishnu Dhawale "/>
    <s v="R/o Mandigav Tal-daund,Dist-Pune."/>
    <s v="Daund-Pune"/>
    <m/>
    <s v="NA"/>
    <x v="0"/>
    <m/>
    <m/>
    <m/>
    <m/>
  </r>
  <r>
    <s v="NA"/>
    <s v="NA"/>
    <s v="MTP-N-2526-004387"/>
    <s v="NA"/>
    <x v="3"/>
    <m/>
    <m/>
    <s v="Daund-Pune"/>
    <m/>
    <s v="NA"/>
    <x v="0"/>
    <m/>
    <m/>
    <m/>
    <m/>
  </r>
  <r>
    <s v="NA"/>
    <s v="NA"/>
    <s v="MTP-N-2526-004387"/>
    <s v="NA"/>
    <x v="0"/>
    <m/>
    <s v="Nagpur to Mumbai Sumruddhi Mahamarg Road."/>
    <s v="Daund-Pune"/>
    <m/>
    <s v="NA"/>
    <x v="0"/>
    <m/>
    <m/>
    <m/>
    <m/>
  </r>
  <r>
    <s v="NA"/>
    <s v="NA"/>
    <s v="MTP-N-2526-004507"/>
    <s v="NA"/>
    <x v="4"/>
    <s v="Kalim Nanhu Shaikh"/>
    <s v="R/o Daafawadi ,tq,D-Parbhani."/>
    <s v="Nagpur"/>
    <m/>
    <s v="NA"/>
    <x v="0"/>
    <m/>
    <m/>
    <m/>
    <m/>
  </r>
  <r>
    <s v="Salim Shaikh"/>
    <s v="NA"/>
    <s v="MTP-N-2526-004507"/>
    <s v="NA"/>
    <x v="2"/>
    <s v="Mr.Syed Anis SyedMazhar."/>
    <s v="Near Usufiya Masjid Yusuf Colony,Parbhani ."/>
    <s v="Parbhani"/>
    <s v="20/11/2025"/>
    <s v="NA"/>
    <x v="0"/>
    <m/>
    <m/>
    <m/>
    <m/>
  </r>
  <r>
    <s v="Salim Shaikh"/>
    <s v="NA"/>
    <s v="MTP-N-2526-004507"/>
    <s v="NA"/>
    <x v="0"/>
    <m/>
    <s v="Dhanora Satalu-Kopre AhamadNagar Road,Near VillageDnnura Pati@Within the Justisdiction of Village Kingaon."/>
    <s v="Parbhani"/>
    <s v="20/11/2025"/>
    <s v="NA"/>
    <x v="0"/>
    <m/>
    <m/>
    <m/>
    <m/>
  </r>
  <r>
    <s v="Santosh Shinde"/>
    <s v="NA"/>
    <s v="MTP-N-2526-004327"/>
    <s v="NA"/>
    <x v="4"/>
    <s v="Mr,Suresh Shivaji Kadam "/>
    <s v="At-Vadval,Post-Dogvat,Tal-Khalapur,D-Raigad."/>
    <s v="Khalapur"/>
    <s v="29/11/2025"/>
    <s v="NA"/>
    <x v="0"/>
    <m/>
    <m/>
    <m/>
    <m/>
  </r>
  <r>
    <s v="Santosh Shinde"/>
    <s v="NA"/>
    <s v="MTP-N-2526-004327"/>
    <s v="NA"/>
    <x v="2"/>
    <s v="Mr,Akshara Narendra Sinh"/>
    <s v="A1/32,Runwal Nagar Kolbad, Thane. 400601."/>
    <s v="Thane"/>
    <s v="29/11/2025"/>
    <s v="NA"/>
    <x v="0"/>
    <m/>
    <m/>
    <m/>
    <m/>
  </r>
  <r>
    <s v="Santosh Shinde"/>
    <s v="NA"/>
    <s v="MTP-N-2526-004327"/>
    <s v="NA"/>
    <x v="3"/>
    <m/>
    <m/>
    <s v="Thane"/>
    <s v="29/11/2025"/>
    <s v="NA"/>
    <x v="0"/>
    <m/>
    <m/>
    <m/>
    <m/>
  </r>
  <r>
    <s v="Santosh Shinde"/>
    <s v="NA"/>
    <s v="MTP-N-2526-004327"/>
    <s v="NA"/>
    <x v="0"/>
    <m/>
    <s v="Lonavala Gramin Police Station Pune "/>
    <s v="Lonavala"/>
    <s v="29/11/2025"/>
    <s v="NA"/>
    <x v="0"/>
    <m/>
    <m/>
    <m/>
    <m/>
  </r>
  <r>
    <s v="Rohan Patil"/>
    <s v="NA"/>
    <s v="L0016122"/>
    <s v="NA"/>
    <x v="13"/>
    <s v="Supreme BuildCon,"/>
    <s v="AD-Royal HeriTage Sector,13 plot No,106 Spine Road, Pune."/>
    <s v="Pune"/>
    <s v="21/11/2025"/>
    <s v="NA"/>
    <x v="8"/>
    <m/>
    <m/>
    <m/>
    <m/>
  </r>
  <r>
    <s v="Santosh Shinde"/>
    <s v="NA"/>
    <n v="2002429"/>
    <s v="NA"/>
    <x v="4"/>
    <s v="Aniket Subhash Bhardwaj "/>
    <s v="R/o ROOM N,01 Dj 05 Chawal,Near LokprisenSabeGaon ,Diva-Thane."/>
    <s v="Thane"/>
    <s v="21/11/2025"/>
    <s v="NA"/>
    <x v="0"/>
    <m/>
    <m/>
    <m/>
    <m/>
  </r>
  <r>
    <s v="Santosh Shinde"/>
    <s v="NA"/>
    <n v="2002429"/>
    <s v="NA"/>
    <x v="2"/>
    <s v="BEharulka Shankarlal Rebari ."/>
    <s v="R/o Room n.1104,11th floor,Imperial Tower,A2 Bldg Nirmal Nagar , Thane."/>
    <s v="Thane"/>
    <s v="21/11/2025"/>
    <s v="NA"/>
    <x v="0"/>
    <m/>
    <m/>
    <m/>
    <m/>
  </r>
  <r>
    <s v="Santosh Shinde"/>
    <s v="NA"/>
    <n v="2002429"/>
    <s v="NA"/>
    <x v="3"/>
    <m/>
    <m/>
    <s v="Thane"/>
    <s v="21/11/2025"/>
    <s v="NA"/>
    <x v="0"/>
    <m/>
    <m/>
    <m/>
    <m/>
  </r>
  <r>
    <s v="Santosh Shinde"/>
    <s v="NA"/>
    <n v="2002429"/>
    <s v="NA"/>
    <x v="0"/>
    <m/>
    <s v="Shil-Diaghar Thane City"/>
    <s v="Thane"/>
    <s v="21/11/2025"/>
    <s v="NA"/>
    <x v="0"/>
    <m/>
    <m/>
    <m/>
    <m/>
  </r>
  <r>
    <s v="Santosh Shinde"/>
    <s v="NA"/>
    <n v="2745855"/>
    <s v="NA"/>
    <x v="4"/>
    <s v="Virendra Harkhu Pandit"/>
    <s v="R/o  A302, Shweta Appartment, 3rd Floor, Golavli Gaon Marathi School Dombivli east, Kalyan, Thane, Maharashtra 421203"/>
    <s v="Dpmbivili"/>
    <s v="21/11/2025"/>
    <s v="NA"/>
    <x v="0"/>
    <m/>
    <m/>
    <m/>
    <m/>
  </r>
  <r>
    <s v="Santosh Shinde"/>
    <s v="NA"/>
    <n v="2745855"/>
    <s v="NA"/>
    <x v="2"/>
    <s v="Patil Kiran Subhash"/>
    <s v="Plot No. At Nevali PO Mangrul, Kalyan,Ambernath"/>
    <s v="Ambernath"/>
    <s v="21/11/2025"/>
    <s v="NA"/>
    <x v="0"/>
    <m/>
    <m/>
    <m/>
    <m/>
  </r>
  <r>
    <s v="Santosh Shinde"/>
    <s v="NA"/>
    <n v="2745855"/>
    <s v="NA"/>
    <x v="3"/>
    <m/>
    <m/>
    <s v="Ambernath"/>
    <s v="21/11/2025"/>
    <s v="NA"/>
    <x v="0"/>
    <m/>
    <m/>
    <m/>
    <m/>
  </r>
  <r>
    <s v="Santosh Shinde"/>
    <s v="NA"/>
    <n v="2745855"/>
    <s v="NA"/>
    <x v="0"/>
    <m/>
    <s v="Kalyan Shilphata Road, Viko naka, Dombivli"/>
    <s v="Dombivili"/>
    <s v="21/11/2025"/>
    <s v="NA"/>
    <x v="0"/>
    <m/>
    <m/>
    <m/>
    <m/>
  </r>
  <r>
    <s v="Santosh Shinde"/>
    <s v="NA"/>
    <n v="2748309"/>
    <s v="NA"/>
    <x v="4"/>
    <s v="Gorakhnath Pappu Yadav"/>
    <s v="R/o ,308/ 'B' Wing, Nav Arunodaya, Near to Padmaja Hospital, Bhayander (E)"/>
    <s v="Bhayender"/>
    <s v="21/11/2025"/>
    <s v="NA"/>
    <x v="0"/>
    <m/>
    <m/>
    <m/>
    <m/>
  </r>
  <r>
    <s v="Santosh Shinde"/>
    <s v="NA"/>
    <n v="2748309"/>
    <s v="NA"/>
    <x v="0"/>
    <m/>
    <s v="On western Express Highway near to Gokul Anand Hotal, Dahisar, Mumbai."/>
    <s v="Dahisar"/>
    <s v="21/11/2025"/>
    <s v="NA"/>
    <x v="0"/>
    <m/>
    <m/>
    <m/>
    <m/>
  </r>
  <r>
    <s v="Santosh Shinde"/>
    <s v="NA"/>
    <n v="2748311"/>
    <s v="NA"/>
    <x v="4"/>
    <s v="Ramesh Rambali Yadav   9619370663"/>
    <s v="R/o ,308/ 'B' Wing, Nav Arunodaya Near to Padmaja Hospital, Bhayander (E)"/>
    <s v="Bhayender"/>
    <s v="21/11/2025"/>
    <s v="NA"/>
    <x v="0"/>
    <m/>
    <m/>
    <m/>
    <m/>
  </r>
  <r>
    <s v="Santosh Shinde"/>
    <s v="NA"/>
    <n v="2748142"/>
    <s v="NA"/>
    <x v="4"/>
    <s v="Vira Ram ji Vaga ram ji"/>
    <s v="R/o  B-10, Parle Colony, Behind Kishore Punjab Hotel, Sahar Road, Vile parle (east) Mumbai - 400057"/>
    <s v="Vile Parle"/>
    <s v="21/11/2025"/>
    <s v="NA"/>
    <x v="0"/>
    <m/>
    <m/>
    <m/>
    <m/>
  </r>
  <r>
    <s v="Santosh Shinde"/>
    <s v="NA"/>
    <n v="2748142"/>
    <s v="NA"/>
    <x v="2"/>
    <s v="Sunrise Enterprises /Prop. Abdul Rauf Shaikh"/>
    <s v="R/o ADJ To Room No.2703, Shop No.02} Chawl 170, Group 8A, Tagore Nagar, Vikharoli (East) Mumbai - 400083"/>
    <s v="Vikroli"/>
    <s v="21/11/2025"/>
    <s v="NA"/>
    <x v="0"/>
    <m/>
    <m/>
    <m/>
    <m/>
  </r>
  <r>
    <s v="Santosh Shinde"/>
    <s v="NA"/>
    <n v="2748142"/>
    <s v="NA"/>
    <x v="3"/>
    <m/>
    <m/>
    <s v="Vikroli"/>
    <s v="21/11/2025"/>
    <s v="NA"/>
    <x v="0"/>
    <m/>
    <m/>
    <m/>
    <m/>
  </r>
  <r>
    <s v="Santosh Shinde"/>
    <s v="NA"/>
    <n v="2748142"/>
    <s v="NA"/>
    <x v="0"/>
    <m/>
    <s v="On B.K.C Road, Kanakia Paris Building, Bandra (east) Mumbai."/>
    <s v="Bandra"/>
    <s v="21/11/2025"/>
    <s v="NA"/>
    <x v="0"/>
    <m/>
    <m/>
    <m/>
    <m/>
  </r>
  <r>
    <s v="Datta"/>
    <s v="NA"/>
    <n v="2025212933"/>
    <s v="NA"/>
    <x v="4"/>
    <s v="Balaji Puna Rathod"/>
    <s v="R/o Sangvi Tanda Tq. Ahemadpur, At present Near Hanuman Mandir, Ring Road, 5 No. Chowk, Latur, Tq. &amp; Dist. Latur."/>
    <s v="Latur"/>
    <s v="29/11/2025"/>
    <s v="NA"/>
    <x v="0"/>
    <m/>
    <m/>
    <m/>
    <m/>
  </r>
  <r>
    <s v="Salim Shaikh"/>
    <s v="NA"/>
    <n v="2025212933"/>
    <s v="NA"/>
    <x v="2"/>
    <s v="Keshav  Shripati Rathod"/>
    <s v="R/o FattunaikTanda Banvas, Tq. Pallam Dist. Parbhani."/>
    <s v="Parbhani"/>
    <s v="29/11/2025"/>
    <s v="NA"/>
    <x v="0"/>
    <m/>
    <m/>
    <m/>
    <m/>
  </r>
  <r>
    <s v="Datta"/>
    <s v="NA"/>
    <n v="2025212933"/>
    <s v="NA"/>
    <x v="0"/>
    <m/>
    <s v="On the Premises of siddhi sugar factory ujana tq.Ahemadpur, Dist.Latur"/>
    <s v="Latur"/>
    <s v="29/11/2025"/>
    <s v="NA"/>
    <x v="0"/>
    <m/>
    <m/>
    <m/>
    <m/>
  </r>
  <r>
    <s v="NA"/>
    <s v="NA"/>
    <n v="2025210107"/>
    <s v="NA"/>
    <x v="7"/>
    <m/>
    <m/>
    <m/>
    <m/>
    <s v="NA"/>
    <x v="8"/>
    <m/>
    <m/>
    <m/>
    <m/>
  </r>
  <r>
    <s v="Adv. Shubham Raut"/>
    <s v="NA"/>
    <n v="2025212966"/>
    <s v="NA"/>
    <x v="4"/>
    <s v="Kiran Jalindar Hake  8975734999"/>
    <s v="R/o Yeshwandi, Tal. Washi, Distt. Dharashiv"/>
    <s v="Dharashiv"/>
    <m/>
    <s v="NA"/>
    <x v="0"/>
    <m/>
    <m/>
    <m/>
    <m/>
  </r>
  <r>
    <s v="Adv. Shubham Raut"/>
    <s v="NA"/>
    <n v="2025212966"/>
    <s v="NA"/>
    <x v="2"/>
    <s v="Vinod Atrinandan Mote"/>
    <s v="R/o  Pargaon, Tq. Washi Dist. Dharashiv"/>
    <s v="Dharashiv"/>
    <m/>
    <s v="NA"/>
    <x v="0"/>
    <m/>
    <m/>
    <m/>
    <m/>
  </r>
  <r>
    <s v="NA"/>
    <s v="NA"/>
    <n v="2025212966"/>
    <s v="NA"/>
    <x v="0"/>
    <m/>
    <s v="on Bhoom-Pardi Road near the mil stone No. 118/9, near the field of Vipul Talekar &amp; Tanaji Kshirsagar "/>
    <m/>
    <m/>
    <s v="NA"/>
    <x v="0"/>
    <m/>
    <m/>
    <m/>
    <m/>
  </r>
  <r>
    <s v="Gajanan Devkar"/>
    <s v="NA"/>
    <n v="2025212965"/>
    <s v="NA"/>
    <x v="4"/>
    <s v="Asaram  Keshav Zade   9921467451"/>
    <s v="R/o Khudaj, Tq. Sengaon, District-Hingoli."/>
    <s v="Hingoli "/>
    <s v="26/11/2025"/>
    <s v="NA"/>
    <x v="0"/>
    <m/>
    <m/>
    <m/>
    <m/>
  </r>
  <r>
    <s v="Gajanan Devkar"/>
    <s v="NA"/>
    <n v="2025212965"/>
    <s v="NA"/>
    <x v="2"/>
    <s v="Shaikh Jamil  Shaikh Javed"/>
    <s v="R/o Kanhergaon Naka, Tq. &amp; District - Hingoli"/>
    <s v="Hingoli "/>
    <s v="26/11/2025"/>
    <s v="NA"/>
    <x v="0"/>
    <m/>
    <m/>
    <m/>
    <m/>
  </r>
  <r>
    <s v="Gajanan Devkar"/>
    <s v="NA"/>
    <n v="2025212965"/>
    <s v="NA"/>
    <x v="3"/>
    <m/>
    <m/>
    <s v="Hingoli "/>
    <s v="26/11/2025"/>
    <s v="NA"/>
    <x v="0"/>
    <m/>
    <m/>
    <m/>
    <m/>
  </r>
  <r>
    <s v="Gajanan Devkar"/>
    <s v="NA"/>
    <n v="2025212965"/>
    <s v="NA"/>
    <x v="0"/>
    <m/>
    <s v="In the vicinity of old Ginning near the bridge, on Sengaon - Hingoli road."/>
    <s v="Hingoli "/>
    <s v="26/11/2025"/>
    <s v="NA"/>
    <x v="0"/>
    <m/>
    <m/>
    <m/>
    <m/>
  </r>
  <r>
    <s v="NA"/>
    <s v="NA"/>
    <n v="2025212927"/>
    <s v="NA"/>
    <x v="4"/>
    <s v="Kiranbai  Rajusingh Varnekar (Pardeshi)   912744313"/>
    <s v="R/o Dhobi Galli, Gadipura, Nanded, Tq. Dist. Nanded."/>
    <s v="Nanded"/>
    <m/>
    <s v="NA"/>
    <x v="0"/>
    <m/>
    <m/>
    <m/>
    <m/>
  </r>
  <r>
    <s v="NA"/>
    <s v="NA"/>
    <n v="2025212927"/>
    <s v="NA"/>
    <x v="2"/>
    <s v="Kondiba  Vithal Bhojane"/>
    <s v="R/o Ekdara. Tq. Dist. Nanded."/>
    <s v="Nanded"/>
    <m/>
    <s v="NA"/>
    <x v="0"/>
    <m/>
    <m/>
    <m/>
    <m/>
  </r>
  <r>
    <s v="NA"/>
    <s v="NA"/>
    <n v="2025212927"/>
    <s v="NA"/>
    <x v="3"/>
    <m/>
    <m/>
    <s v="Nanded"/>
    <m/>
    <s v="NA"/>
    <x v="0"/>
    <m/>
    <m/>
    <m/>
    <m/>
  </r>
  <r>
    <s v="NA"/>
    <s v="NA"/>
    <n v="2025212927"/>
    <s v="NA"/>
    <x v="0"/>
    <m/>
    <s v="At Malegaon Ekdara to Kanchan Nagar Road, Near Ekdara. Tq. Dist. Nanded"/>
    <s v="Nanded"/>
    <m/>
    <s v="NA"/>
    <x v="0"/>
    <m/>
    <m/>
    <m/>
    <m/>
  </r>
  <r>
    <s v="Surya"/>
    <s v="NA"/>
    <n v="2025212925"/>
    <s v="NA"/>
    <x v="4"/>
    <s v="Shaheen Musa Pinjari   7499137104"/>
    <s v="R/o Dongaon(Bu) Tq. Biloli, Dist. Nanded."/>
    <s v="Nanded"/>
    <s v="26/11/2025"/>
    <d v="2025-02-12T00:00:00"/>
    <x v="10"/>
    <m/>
    <m/>
    <m/>
    <m/>
  </r>
  <r>
    <s v="Surya"/>
    <s v="NA"/>
    <n v="2025212925"/>
    <s v="NA"/>
    <x v="2"/>
    <s v="Shrinivas Vitthal Nalbalwar"/>
    <s v="R/o Gajanan Nagar, Naigaon Tq. Naigaon (Kh), Dist. Nanded. - 431709."/>
    <s v="Nanded"/>
    <s v="26/11/2025"/>
    <s v="NA"/>
    <x v="0"/>
    <m/>
    <m/>
    <m/>
    <m/>
  </r>
  <r>
    <s v="Surya"/>
    <s v="NA"/>
    <n v="2025212925"/>
    <s v="NA"/>
    <x v="0"/>
    <m/>
    <s v="On Nanded to Naigaon Road, Opposite Degaon Shivar Khalsa Dhaba, near Sainath batamwar's farm Naigaon(Kh), Dist. Nanded."/>
    <s v="Nanded"/>
    <s v="26/11/2025"/>
    <d v="2025-02-12T00:00:00"/>
    <x v="10"/>
    <m/>
    <m/>
    <m/>
    <m/>
  </r>
  <r>
    <s v="NA"/>
    <s v="NA"/>
    <n v="2752072"/>
    <s v="NA"/>
    <x v="4"/>
    <s v="Sarika Pritam Wadmare"/>
    <s v="R/o Kagadi Ves, Boudha Nagar, Beed, Tq.and Dist.Beed"/>
    <s v="Beed"/>
    <m/>
    <s v="NA"/>
    <x v="0"/>
    <m/>
    <m/>
    <m/>
    <m/>
  </r>
  <r>
    <s v="NA"/>
    <s v="NA"/>
    <n v="2752072"/>
    <s v="NA"/>
    <x v="2"/>
    <s v="Karim Hasan Shaikh"/>
    <s v="R/o Qilla Maidan, Balbhim Chowk, Beed, Tq.and Dist.Beed"/>
    <s v="Beed"/>
    <m/>
    <s v="NA"/>
    <x v="0"/>
    <m/>
    <m/>
    <m/>
    <m/>
  </r>
  <r>
    <s v="NA"/>
    <s v="NA"/>
    <n v="2752072"/>
    <s v="NA"/>
    <x v="3"/>
    <m/>
    <m/>
    <s v="Beed"/>
    <m/>
    <s v="NA"/>
    <x v="0"/>
    <m/>
    <m/>
    <m/>
    <m/>
  </r>
  <r>
    <s v="NA"/>
    <s v="NA"/>
    <n v="2752072"/>
    <s v="NA"/>
    <x v="0"/>
    <m/>
    <s v="on National Highway No.52, in the vicinity of village Manjarsumba"/>
    <m/>
    <m/>
    <s v="NA"/>
    <x v="0"/>
    <m/>
    <m/>
    <m/>
    <m/>
  </r>
  <r>
    <s v="NA"/>
    <s v="NA"/>
    <m/>
    <s v="NA"/>
    <x v="1"/>
    <m/>
    <m/>
    <m/>
    <m/>
    <s v="NA"/>
    <x v="8"/>
    <m/>
    <m/>
    <m/>
    <m/>
  </r>
  <r>
    <s v="Ajeet Shitole"/>
    <s v="NA"/>
    <n v="2312792"/>
    <s v="NA"/>
    <x v="14"/>
    <s v="Dinkar Nivruti Bhegade "/>
    <s v="Hospital Name =Pawana Hospital Somatane Phata , Tq,Maval ,Pune 410506"/>
    <s v="Pune"/>
    <s v="28/11/2025"/>
    <s v="NA"/>
    <x v="8"/>
    <m/>
    <m/>
    <m/>
    <m/>
  </r>
  <r>
    <s v="Surya"/>
    <s v="NA"/>
    <s v="MTP-N-2526-004746"/>
    <s v="NA"/>
    <x v="4"/>
    <s v="Lalusingh Bahadursingh Chitodiya 9823133268"/>
    <s v="R/o Asadwan, Nanded."/>
    <s v="Nanded"/>
    <s v="28/11/2025"/>
    <d v="2025-02-12T00:00:00"/>
    <x v="10"/>
    <m/>
    <m/>
    <m/>
    <m/>
  </r>
  <r>
    <s v="Surya"/>
    <s v="NA"/>
    <s v="MTP-N-2526-004746"/>
    <s v="NA"/>
    <x v="2"/>
    <s v="Manoj Ramchandra Chalke"/>
    <s v="R/o Sr.No.89/90, A 165, Sairang Shrushti, Punawale Road, Jambe, Pune - 411 033."/>
    <s v="Pune"/>
    <s v="28/11/2025"/>
    <d v="2025-02-12T00:00:00"/>
    <x v="10"/>
    <m/>
    <m/>
    <m/>
    <m/>
  </r>
  <r>
    <s v="Surya"/>
    <s v="NA"/>
    <s v="MTP-N-2526-004746"/>
    <s v="NA"/>
    <x v="3"/>
    <s v="WIP"/>
    <s v="WIP"/>
    <s v="Pune"/>
    <s v="28/11/2025"/>
    <d v="2025-02-12T00:00:00"/>
    <x v="10"/>
    <m/>
    <m/>
    <m/>
    <m/>
  </r>
  <r>
    <s v="Surya"/>
    <s v="NA"/>
    <s v="MTP-N-2526-004746"/>
    <s v="NA"/>
    <x v="0"/>
    <s v="NA"/>
    <s v="on road adjacent to I.G. Office, Kautha, Gurudwara Vaishnavi Mata on Kautha road"/>
    <s v="Nanded"/>
    <s v="28/11/2025"/>
    <d v="2025-02-12T00:00:00"/>
    <x v="10"/>
    <m/>
    <m/>
    <m/>
    <m/>
  </r>
  <r>
    <s v="NA"/>
    <s v="NA"/>
    <m/>
    <s v="NA"/>
    <x v="1"/>
    <m/>
    <m/>
    <m/>
    <m/>
    <s v="NA"/>
    <x v="8"/>
    <m/>
    <m/>
    <m/>
    <m/>
  </r>
  <r>
    <s v="NA"/>
    <s v="NA"/>
    <n v="2024200689"/>
    <s v="NA"/>
    <x v="8"/>
    <s v="Iramna Wife Of Ramayya"/>
    <s v="Hospital Name= Medical Officer Govt. Hospital Latur"/>
    <s v="Latur"/>
    <s v="28/11/2025"/>
    <s v="NA"/>
    <x v="8"/>
    <m/>
    <m/>
    <m/>
    <m/>
  </r>
  <r>
    <s v="Chetan Kale"/>
    <s v="NA"/>
    <n v="2024216011"/>
    <s v="NA"/>
    <x v="4"/>
    <s v="Pandurang Tukaram Suravase"/>
    <s v="R/o  72, Rajuri, Sangola, Dist. Solapur"/>
    <s v="Solapur"/>
    <s v="29/11/2025"/>
    <s v="NA"/>
    <x v="0"/>
    <m/>
    <m/>
    <m/>
    <m/>
  </r>
  <r>
    <s v="NA"/>
    <s v="NA"/>
    <n v="2024216011"/>
    <s v="NA"/>
    <x v="2"/>
    <s v="Vishwasu Appasso Patil"/>
    <s v="R/o Kuchi, Kavthe Mahankal, Dist. sangli"/>
    <s v="Sangli"/>
    <m/>
    <s v="NA"/>
    <x v="0"/>
    <m/>
    <m/>
    <m/>
    <m/>
  </r>
  <r>
    <s v="Adv. Shubham Raut"/>
    <s v="NA"/>
    <n v="2024216011"/>
    <s v="NA"/>
    <x v="3"/>
    <s v="Bibhishan Rambhau Bhairat"/>
    <s v="R/o Shelgaon, P.O. Saramkundi, Vashi, Dist. Osmanabad"/>
    <s v="Dharashiv"/>
    <m/>
    <s v="NA"/>
    <x v="0"/>
    <m/>
    <m/>
    <m/>
    <m/>
  </r>
  <r>
    <s v="NA"/>
    <s v="NA"/>
    <n v="2024216011"/>
    <s v="NA"/>
    <x v="0"/>
    <s v="NA"/>
    <s v="on the left side of the road from Landgewadi to Kuchi village, near the house of Umesh Babar, who was carrying milk."/>
    <s v="Sngli"/>
    <m/>
    <s v="NA"/>
    <x v="0"/>
    <m/>
    <m/>
    <m/>
    <m/>
  </r>
  <r>
    <s v="NA"/>
    <s v="NA"/>
    <m/>
    <s v="NA"/>
    <x v="1"/>
    <m/>
    <m/>
    <m/>
    <m/>
    <s v="NA"/>
    <x v="8"/>
    <m/>
    <m/>
    <m/>
    <m/>
  </r>
  <r>
    <s v="Shubham Waghule"/>
    <s v="NA"/>
    <n v="2585893"/>
    <s v="NA"/>
    <x v="2"/>
    <s v="Sheikh Junaid Sheikh Nazir"/>
    <s v="R/o   Near Ibrahim Kirana Shop, Sanjay Nagar, Ambika Market, Old Jalna, Dist. Jalna-431203"/>
    <s v="Jalna"/>
    <s v="28/11/2025"/>
    <d v="2025-02-12T00:00:00"/>
    <x v="10"/>
    <m/>
    <m/>
    <m/>
    <m/>
  </r>
  <r>
    <s v="Shubham Waghule"/>
    <s v="NA"/>
    <n v="2585893"/>
    <s v="NA"/>
    <x v="3"/>
    <s v="Nayum khha Pathan"/>
    <s v="Chitegain, Paithan,"/>
    <s v="Jalna"/>
    <s v="28/11/2025"/>
    <d v="2025-02-12T00:00:00"/>
    <x v="10"/>
    <m/>
    <m/>
    <m/>
    <m/>
  </r>
  <r>
    <s v="Shubham Waghule"/>
    <s v="NA"/>
    <n v="2025213092"/>
    <s v="NA"/>
    <x v="3"/>
    <s v="RAJU DADARAO BHAGAT"/>
    <s v="R/o .H.No.2/56, at Post Kothari Chi To Kinwat, Dist. Nanded (Maharashtra) Pin. No. 431811"/>
    <s v="Nanded"/>
    <s v="29/11/2025"/>
    <s v="NA"/>
    <x v="0"/>
    <m/>
    <m/>
    <m/>
    <m/>
  </r>
  <r>
    <s v="Shubham Waghule"/>
    <s v="NA"/>
    <n v="2025204832"/>
    <s v="NA"/>
    <x v="4"/>
    <s v="Jayshree Pramod Kalkhair"/>
    <s v="R/o  leet Tq. Bhoom District Dharashiv at present Kranti Nagar, Vijayapura."/>
    <s v="Sambhajinagar"/>
    <d v="2025-01-12T00:00:00"/>
    <s v="NA"/>
    <x v="0"/>
    <m/>
    <m/>
    <m/>
    <m/>
  </r>
  <r>
    <s v="Adv. Shubham Raut"/>
    <s v="NA"/>
    <n v="2025213146"/>
    <s v="NA"/>
    <x v="4"/>
    <s v="Vaishali  Govardhan Kakade"/>
    <s v="R/o Pimpalwadi Tq. Paranda Dist. Osmanabad"/>
    <s v="Dharashiv"/>
    <m/>
    <s v="NA"/>
    <x v="0"/>
    <m/>
    <m/>
    <m/>
    <m/>
  </r>
  <r>
    <s v="Amit Dalvi"/>
    <s v="NA"/>
    <n v="2025213146"/>
    <s v="NA"/>
    <x v="2"/>
    <s v="Mohmad Javad Khan"/>
    <s v="R/o  30 TT Shivaji Nagar Near Anwar UL Masjid Govind Mumbai, Maharastra Mumbai- 400043."/>
    <s v="Govandi"/>
    <s v="29/11/2025"/>
    <s v="NA"/>
    <x v="0"/>
    <m/>
    <m/>
    <m/>
    <m/>
  </r>
  <r>
    <s v="Amit Dalvi"/>
    <s v="NA"/>
    <n v="2025213146"/>
    <s v="NA"/>
    <x v="3"/>
    <s v="Afif Akbar Pathan"/>
    <s v="R/o Sogaon Post. Mapgaon Tq. Alibag Dist. Raygad."/>
    <s v="Alibaug"/>
    <s v="29/11/2025"/>
    <s v="NA"/>
    <x v="0"/>
    <m/>
    <m/>
    <m/>
    <m/>
  </r>
  <r>
    <s v="NA"/>
    <s v="NA"/>
    <n v="2025213146"/>
    <s v="NA"/>
    <x v="0"/>
    <s v="NA"/>
    <s v="Truk in Ramkrushna Rasayan Factory loni kalbhor"/>
    <s v="Loni-Kalbhor Pune"/>
    <m/>
    <s v="NA"/>
    <x v="0"/>
    <m/>
    <m/>
    <m/>
    <m/>
  </r>
  <r>
    <s v="NA"/>
    <s v="NA"/>
    <m/>
    <s v="NA"/>
    <x v="1"/>
    <m/>
    <m/>
    <m/>
    <m/>
    <s v="NA"/>
    <x v="8"/>
    <m/>
    <m/>
    <m/>
    <m/>
  </r>
  <r>
    <s v="Adv. Kamlesh Thorat"/>
    <s v="NA"/>
    <n v="2025211458"/>
    <s v="NA"/>
    <x v="1"/>
    <s v="Bidkin Po. St."/>
    <s v="277/2024"/>
    <s v="Sambhajinagar"/>
    <s v="31/10/2025"/>
    <s v="NA"/>
    <x v="6"/>
    <m/>
    <m/>
    <m/>
    <m/>
  </r>
  <r>
    <s v="Adv. Kamlesh Thorat"/>
    <s v="NA"/>
    <n v="2025211454"/>
    <s v="NA"/>
    <x v="1"/>
    <s v="Phulambri Po. St."/>
    <s v="52/2024"/>
    <s v="Sambhajinagar"/>
    <s v="31/10/2025"/>
    <s v="NA"/>
    <x v="6"/>
    <m/>
    <m/>
    <m/>
    <m/>
  </r>
  <r>
    <s v="Adv. Shubham Swami"/>
    <s v="NA"/>
    <n v="2025211475"/>
    <s v="NA"/>
    <x v="1"/>
    <s v="Omerga po.st"/>
    <s v="398/2025"/>
    <s v="Dharashiv"/>
    <s v="14/11/2025"/>
    <s v="NA"/>
    <x v="1"/>
    <m/>
    <m/>
    <m/>
    <m/>
  </r>
  <r>
    <s v="Adv. Arshad Naik"/>
    <s v="NA"/>
    <n v="2025211478"/>
    <s v="NA"/>
    <x v="1"/>
    <s v="Deglur PS"/>
    <s v="0153/2025"/>
    <s v="Nanded"/>
    <s v="31/10/2025"/>
    <s v="NA"/>
    <x v="4"/>
    <m/>
    <m/>
    <m/>
    <m/>
  </r>
  <r>
    <s v="Adv. Kamlesh Thorat"/>
    <s v="NA"/>
    <n v="2025210709"/>
    <s v="NA"/>
    <x v="1"/>
    <s v="MIDC Valunj"/>
    <s v="0150/2025"/>
    <s v="Sambhajinagar"/>
    <s v="31/10/2025"/>
    <s v="NA"/>
    <x v="6"/>
    <m/>
    <m/>
    <m/>
    <m/>
  </r>
  <r>
    <s v="Adv. Pranita Shirsat"/>
    <s v="NA"/>
    <s v="MTP-N-2526-004127"/>
    <s v="NA"/>
    <x v="1"/>
    <s v="Vavi PS"/>
    <s v="234/2025"/>
    <s v="Nashik"/>
    <s v="31/10/2025"/>
    <s v="NA"/>
    <x v="4"/>
    <m/>
    <m/>
    <m/>
    <m/>
  </r>
  <r>
    <s v="Adv. Ganesh Khaire"/>
    <s v="NA"/>
    <n v="2025212068"/>
    <s v="NA"/>
    <x v="1"/>
    <s v="Gangapur PS"/>
    <s v="0484/2024"/>
    <s v="Sambhajinagar"/>
    <d v="2025-01-11T00:00:00"/>
    <s v="NA"/>
    <x v="4"/>
    <m/>
    <m/>
    <m/>
    <m/>
  </r>
  <r>
    <s v="Adv. Kamlesh Thorat"/>
    <s v="NA"/>
    <n v="2025212058"/>
    <s v="NA"/>
    <x v="1"/>
    <s v="MIDC-CIDCO PS"/>
    <s v="0660/2024"/>
    <s v="Sambhajinagar"/>
    <d v="2025-01-11T00:00:00"/>
    <s v="NA"/>
    <x v="6"/>
    <m/>
    <m/>
    <m/>
    <m/>
  </r>
  <r>
    <s v="Adv. Kamlesh Thorat"/>
    <s v="NA"/>
    <n v="2025212053"/>
    <s v="NA"/>
    <x v="1"/>
    <s v="Wadod Bazar PS"/>
    <s v="0143/2024"/>
    <s v="Sambhajinagar"/>
    <d v="2025-01-11T00:00:00"/>
    <s v="NA"/>
    <x v="6"/>
    <m/>
    <m/>
    <m/>
    <m/>
  </r>
  <r>
    <s v="Adv. Kamlesh Thorat"/>
    <s v="NA"/>
    <n v="2025212047"/>
    <s v="NA"/>
    <x v="1"/>
    <s v="Jawahar police station"/>
    <s v="0307/2024"/>
    <s v="Sambhajinagar"/>
    <d v="2025-01-11T00:00:00"/>
    <s v="NA"/>
    <x v="3"/>
    <m/>
    <m/>
    <m/>
    <m/>
  </r>
  <r>
    <s v="Adv. Shelar"/>
    <s v="NA"/>
    <s v="MTP-N-2526-004166"/>
    <s v="NA"/>
    <x v="1"/>
    <s v="Valsang Police Station"/>
    <s v="364/2025"/>
    <s v="Solapur"/>
    <m/>
    <s v="NA"/>
    <x v="4"/>
    <m/>
    <m/>
    <m/>
    <m/>
  </r>
  <r>
    <s v="Adv. Pranita Shirsat"/>
    <s v="NA"/>
    <n v="2025212181"/>
    <s v="NA"/>
    <x v="1"/>
    <s v="Panchavati Police Station"/>
    <s v="33/2025"/>
    <s v="Nashik"/>
    <d v="2025-06-11T00:00:00"/>
    <s v="NA"/>
    <x v="1"/>
    <m/>
    <m/>
    <m/>
    <m/>
  </r>
  <r>
    <s v="Adv. Pranita Shirsat"/>
    <s v="NA"/>
    <n v="2025212170"/>
    <s v="NA"/>
    <x v="1"/>
    <s v="Satana Police Station"/>
    <s v="0285/2025"/>
    <s v="Nashik"/>
    <d v="2025-06-11T00:00:00"/>
    <s v="NA"/>
    <x v="4"/>
    <m/>
    <m/>
    <m/>
    <m/>
  </r>
  <r>
    <s v="Adv. Pranita Shirsat"/>
    <s v="NA"/>
    <n v="2025212168"/>
    <s v="NA"/>
    <x v="1"/>
    <s v="Sinnar Police Station"/>
    <s v="0127/2025"/>
    <s v="Nashik"/>
    <d v="2025-06-11T00:00:00"/>
    <s v="NA"/>
    <x v="4"/>
    <m/>
    <m/>
    <m/>
    <m/>
  </r>
  <r>
    <s v="Adv. Kamlesh Thorat"/>
    <s v="NA"/>
    <n v="2025212148"/>
    <s v="NA"/>
    <x v="1"/>
    <s v="PAINTHAN POLICE STATION"/>
    <s v="0038/2025"/>
    <s v="Sambhajinagar"/>
    <d v="2025-06-11T00:00:00"/>
    <s v="NA"/>
    <x v="6"/>
    <m/>
    <m/>
    <m/>
    <m/>
  </r>
  <r>
    <s v="Adv. Nikhil Dhole Patil"/>
    <s v="NA"/>
    <n v="2025212191"/>
    <s v="NA"/>
    <x v="1"/>
    <s v="Mirjagaon Police Station"/>
    <s v="0024/2025"/>
    <s v="Shrigonda"/>
    <d v="2025-06-11T00:00:00"/>
    <s v="NA"/>
    <x v="4"/>
    <m/>
    <m/>
    <m/>
    <m/>
  </r>
  <r>
    <s v="Adv. Nikhil Dhole Patil"/>
    <s v="NA"/>
    <n v="2025212189"/>
    <s v="NA"/>
    <x v="1"/>
    <s v="Rahuri Police Station"/>
    <s v="0106/2025"/>
    <s v="Ahilyanagar"/>
    <d v="2025-06-11T00:00:00"/>
    <s v="NA"/>
    <x v="4"/>
    <m/>
    <m/>
    <m/>
    <m/>
  </r>
  <r>
    <s v="Adv. Nikhil Dhole Patil"/>
    <s v="NA"/>
    <n v="2025212179"/>
    <s v="NA"/>
    <x v="1"/>
    <s v="Sonai Police station"/>
    <s v="0037/2025"/>
    <s v="Ahilyanagar"/>
    <d v="2025-06-11T00:00:00"/>
    <s v="NA"/>
    <x v="4"/>
    <m/>
    <m/>
    <m/>
    <m/>
  </r>
  <r>
    <s v="Adv. Nikhil Dhole Patil"/>
    <s v="NA"/>
    <n v="2025212145"/>
    <s v="NA"/>
    <x v="1"/>
    <s v="MIDC Police Station"/>
    <s v="0152/2025"/>
    <s v="Ahilyanagar"/>
    <d v="2025-06-11T00:00:00"/>
    <s v="NA"/>
    <x v="4"/>
    <m/>
    <m/>
    <m/>
    <m/>
  </r>
  <r>
    <s v="Adv. Nikhil Dhole Patil"/>
    <s v="NA"/>
    <n v="2025212140"/>
    <s v="NA"/>
    <x v="1"/>
    <s v="Nevasa Police Station"/>
    <s v="0859/2024"/>
    <s v="Ahilyanagar"/>
    <d v="2025-06-11T00:00:00"/>
    <s v="NA"/>
    <x v="4"/>
    <m/>
    <m/>
    <m/>
    <m/>
  </r>
  <r>
    <s v="Adv. Sarika"/>
    <s v="NA"/>
    <n v="2025212222"/>
    <s v="NA"/>
    <x v="1"/>
    <s v="Shirur Police Station"/>
    <s v="0203/2025"/>
    <s v="Ghodnadi-Pune"/>
    <s v="14/11/2025"/>
    <s v="NA"/>
    <x v="4"/>
    <m/>
    <m/>
    <m/>
    <m/>
  </r>
  <r>
    <s v="Adv. Mukund Patil"/>
    <s v="NA"/>
    <n v="2025212410"/>
    <s v="NA"/>
    <x v="1"/>
    <s v="Pathri Police station "/>
    <s v="0047/2025"/>
    <s v="Parbhani."/>
    <d v="2025-12-11T00:00:00"/>
    <s v="NA"/>
    <x v="4"/>
    <m/>
    <m/>
    <m/>
    <m/>
  </r>
  <r>
    <s v="Adv. Baliram Engale"/>
    <s v="NA"/>
    <n v="2025212250"/>
    <s v="NA"/>
    <x v="1"/>
    <s v="Aundh Naganth police Staion hingoli ."/>
    <s v="0345/2025"/>
    <s v="Hingoli "/>
    <d v="2025-12-11T00:00:00"/>
    <s v="NA"/>
    <x v="4"/>
    <m/>
    <m/>
    <m/>
    <m/>
  </r>
  <r>
    <s v="Adv. Mahadev Shinde"/>
    <s v="NA"/>
    <n v="2025212219"/>
    <s v="NA"/>
    <x v="1"/>
    <s v="Vashi Police Station "/>
    <s v="0135/2025"/>
    <s v="Dharashiv "/>
    <d v="2025-12-11T00:00:00"/>
    <s v="NA"/>
    <x v="8"/>
    <m/>
    <m/>
    <m/>
    <m/>
  </r>
  <r>
    <s v="Adv. Rupali Sadgar"/>
    <s v="NA"/>
    <n v="2025212215"/>
    <s v="NA"/>
    <x v="1"/>
    <s v="Yavat police Station  "/>
    <s v="0463/2025"/>
    <s v="Daund-Pune "/>
    <s v="14/11/2025"/>
    <s v="NA"/>
    <x v="1"/>
    <m/>
    <m/>
    <m/>
    <m/>
  </r>
  <r>
    <s v="Adv. Mahadev Shinde"/>
    <s v="NA"/>
    <n v="2025212443"/>
    <s v="NA"/>
    <x v="1"/>
    <s v="Shiradhon Police Staion "/>
    <s v="0063/2025"/>
    <s v="Dharashiv"/>
    <d v="2025-12-11T00:00:00"/>
    <s v="NA"/>
    <x v="8"/>
    <m/>
    <m/>
    <m/>
    <m/>
  </r>
  <r>
    <s v="NA"/>
    <s v="NA"/>
    <n v="2025212467"/>
    <s v="NA"/>
    <x v="1"/>
    <s v="Aanband police station"/>
    <s v="00749/2025"/>
    <s v="Jalna"/>
    <m/>
    <s v="NA"/>
    <x v="8"/>
    <m/>
    <m/>
    <m/>
    <m/>
  </r>
  <r>
    <s v="Adv. Nikhil Dhole Patil"/>
    <s v="NA"/>
    <n v="2025212380"/>
    <s v="NA"/>
    <x v="1"/>
    <s v="Loni Police Station"/>
    <s v="640/ 2023"/>
    <s v="Ahilyanagar"/>
    <d v="2025-12-11T00:00:00"/>
    <s v="NA"/>
    <x v="4"/>
    <m/>
    <m/>
    <m/>
    <m/>
  </r>
  <r>
    <s v="Adv. Nikhil Dhole Patil"/>
    <s v="NA"/>
    <n v="2025212399"/>
    <s v="NA"/>
    <x v="1"/>
    <s v="Shrirampur tal police sta."/>
    <s v="00293/2025"/>
    <s v="AhilyaNagar"/>
    <d v="2025-12-11T00:00:00"/>
    <s v="NA"/>
    <x v="4"/>
    <m/>
    <m/>
    <m/>
    <m/>
  </r>
  <r>
    <s v="Adv. Pranita Shirsat"/>
    <s v="NA"/>
    <n v="2025212401"/>
    <s v="NA"/>
    <x v="1"/>
    <s v="Devla Police St."/>
    <s v="0010/2024"/>
    <s v="Nashik"/>
    <d v="2025-12-11T00:00:00"/>
    <s v="NA"/>
    <x v="4"/>
    <m/>
    <m/>
    <m/>
    <m/>
  </r>
  <r>
    <s v="Adv. Jitendra Jumde"/>
    <s v="NA"/>
    <n v="2025212349"/>
    <s v="NA"/>
    <x v="1"/>
    <s v="Bori,Nagpur Police St"/>
    <s v="0492/2025"/>
    <s v="Nagpur "/>
    <s v="14/11/2025"/>
    <s v="NA"/>
    <x v="8"/>
    <m/>
    <m/>
    <m/>
    <m/>
  </r>
  <r>
    <s v="Adv. Nikhil Dhole Patil"/>
    <s v="NA"/>
    <n v="2025212447"/>
    <s v="NA"/>
    <x v="1"/>
    <s v="ShevGav,Police Station."/>
    <s v="0440/2025"/>
    <s v="Ahilyanagar"/>
    <d v="2025-12-11T00:00:00"/>
    <s v="NA"/>
    <x v="4"/>
    <m/>
    <m/>
    <m/>
    <m/>
  </r>
  <r>
    <s v="Adv. Kamlesh Thorat"/>
    <s v="NA"/>
    <n v="2024213743"/>
    <s v="NA"/>
    <x v="1"/>
    <s v="Waluj MIDC Po. ST."/>
    <s v="856/2023"/>
    <s v="Sambhajinagar"/>
    <s v="14/11/2025"/>
    <s v="NA"/>
    <x v="2"/>
    <m/>
    <m/>
    <m/>
    <m/>
  </r>
  <r>
    <s v="NA"/>
    <s v="NA"/>
    <s v="MTP-N-2526-004298"/>
    <s v="NA"/>
    <x v="1"/>
    <s v="Apmc Police Station"/>
    <s v="0529/2025"/>
    <s v="Sanpada"/>
    <m/>
    <s v="NA"/>
    <x v="8"/>
    <m/>
    <m/>
    <m/>
    <m/>
  </r>
  <r>
    <s v="Adv. Mahadev Shinde"/>
    <s v="NA"/>
    <n v="2025212533"/>
    <s v="NA"/>
    <x v="1"/>
    <s v="Shirodhan police Station"/>
    <s v="0168/2025"/>
    <s v="Dharashiv"/>
    <s v="14/11/2025"/>
    <s v="NA"/>
    <x v="8"/>
    <m/>
    <m/>
    <m/>
    <m/>
  </r>
  <r>
    <s v="Adv. Nikhil Dhole Patil"/>
    <s v="NA"/>
    <n v="2025212673"/>
    <s v="NA"/>
    <x v="1"/>
    <s v="Ahilyanagar Police Station."/>
    <s v="0668/2025"/>
    <s v="Ahilyanagar"/>
    <s v="26/11/2025"/>
    <s v="NA"/>
    <x v="4"/>
    <m/>
    <m/>
    <m/>
    <m/>
  </r>
  <r>
    <s v="NA"/>
    <s v="NA"/>
    <n v="2025212540"/>
    <s v="NA"/>
    <x v="1"/>
    <s v="Hasnabad Police Station "/>
    <s v="0252/2024"/>
    <s v="Jalna"/>
    <m/>
    <s v="NA"/>
    <x v="8"/>
    <m/>
    <m/>
    <m/>
    <m/>
  </r>
  <r>
    <s v="NA"/>
    <s v="NA"/>
    <n v="2025212595"/>
    <s v="NA"/>
    <x v="1"/>
    <s v="Dev pur Police Station ."/>
    <s v="0148/2024"/>
    <s v="Dhule."/>
    <m/>
    <s v="NA"/>
    <x v="8"/>
    <m/>
    <m/>
    <m/>
    <m/>
  </r>
  <r>
    <s v="NA"/>
    <s v="NA"/>
    <n v="2025212716"/>
    <s v="NA"/>
    <x v="1"/>
    <s v="Chakur Police Station "/>
    <s v="0143/2025"/>
    <s v="Latur."/>
    <m/>
    <s v="NA"/>
    <x v="8"/>
    <m/>
    <m/>
    <m/>
    <m/>
  </r>
  <r>
    <s v="Adv. Arshad Naik"/>
    <s v="NA"/>
    <n v="2025208486"/>
    <s v="NA"/>
    <x v="1"/>
    <s v="Nanded Police Station"/>
    <s v="0957/2024"/>
    <s v="Nanded"/>
    <s v="26/11/2025"/>
    <s v="NA"/>
    <x v="4"/>
    <m/>
    <m/>
    <m/>
    <m/>
  </r>
  <r>
    <s v="NA"/>
    <s v="NA"/>
    <n v="2025209152"/>
    <s v="NA"/>
    <x v="1"/>
    <s v="Daithana Police Station"/>
    <s v="0304/2022"/>
    <s v="Parbhani"/>
    <m/>
    <s v="NA"/>
    <x v="8"/>
    <m/>
    <m/>
    <m/>
    <m/>
  </r>
  <r>
    <s v="Adv. Nikhil Dhole Patil"/>
    <s v="NA"/>
    <n v="2025212721"/>
    <s v="NA"/>
    <x v="1"/>
    <s v="Pathardi Police Station"/>
    <s v="0201/2025"/>
    <s v="Ahilyanagar"/>
    <s v="26/11/2025"/>
    <s v="NA"/>
    <x v="4"/>
    <m/>
    <m/>
    <m/>
    <m/>
  </r>
  <r>
    <s v="Adv. Arshad Naik"/>
    <s v="NA"/>
    <n v="2025209441"/>
    <s v="NA"/>
    <x v="1"/>
    <s v="Ramtirth Police Station"/>
    <s v="0304/2024"/>
    <s v="Nanded"/>
    <s v="26/11/2025"/>
    <s v="NA"/>
    <x v="4"/>
    <m/>
    <m/>
    <m/>
    <m/>
  </r>
  <r>
    <s v="Adv. Arshad Naik"/>
    <s v="NA"/>
    <n v="2025209731"/>
    <s v="NA"/>
    <x v="1"/>
    <s v="Kandhar Police Station"/>
    <s v="0036/2023"/>
    <s v="Nanded"/>
    <s v="26/11/2025"/>
    <s v="NA"/>
    <x v="4"/>
    <m/>
    <m/>
    <m/>
    <m/>
  </r>
  <r>
    <s v="Adv. Arshad Naik"/>
    <s v="NA"/>
    <n v="2025210423"/>
    <s v="NA"/>
    <x v="1"/>
    <s v="Ardhapur Police Station"/>
    <s v="0661/2024"/>
    <s v="Nanded"/>
    <s v="26/11/2025"/>
    <s v="NA"/>
    <x v="4"/>
    <m/>
    <m/>
    <m/>
    <m/>
  </r>
  <r>
    <s v="Adv. Arshad Naik"/>
    <s v="NA"/>
    <n v="2025210175"/>
    <s v="NA"/>
    <x v="1"/>
    <s v="Degloor Police Station"/>
    <s v="241/2024"/>
    <s v="Nanded"/>
    <s v="26/11/2025"/>
    <s v="NA"/>
    <x v="4"/>
    <m/>
    <m/>
    <m/>
    <m/>
  </r>
  <r>
    <s v="Adv. Arshad Naik"/>
    <s v="NA"/>
    <n v="2025210211"/>
    <s v="NA"/>
    <x v="1"/>
    <s v="Ramtirth Police Station"/>
    <s v="0138/2025"/>
    <s v="Nanded"/>
    <s v="26/11/2025"/>
    <s v="NA"/>
    <x v="4"/>
    <m/>
    <m/>
    <m/>
    <m/>
  </r>
  <r>
    <s v="Adv. Arshad Naik"/>
    <s v="NA"/>
    <n v="2025209709"/>
    <s v="NA"/>
    <x v="1"/>
    <s v="Limbgaon Police Station"/>
    <s v="0157/2024"/>
    <s v="Nanded"/>
    <s v="26/11/2025"/>
    <s v="NA"/>
    <x v="4"/>
    <m/>
    <m/>
    <m/>
    <m/>
  </r>
  <r>
    <s v="Adv. Arshad Naik"/>
    <s v="NA"/>
    <n v="2025210102"/>
    <s v="NA"/>
    <x v="1"/>
    <s v="Nanded Police Station"/>
    <s v="0052/2025"/>
    <s v="Nanded"/>
    <s v="26/11/2025"/>
    <s v="NA"/>
    <x v="4"/>
    <m/>
    <m/>
    <m/>
    <m/>
  </r>
  <r>
    <s v="NA"/>
    <s v="NA"/>
    <n v="2025212758"/>
    <s v="NA"/>
    <x v="1"/>
    <s v="Hingoli Police Station"/>
    <s v="264/2021"/>
    <s v="Hingoli"/>
    <m/>
    <s v="NA"/>
    <x v="8"/>
    <m/>
    <m/>
    <m/>
    <m/>
  </r>
  <r>
    <s v="NA"/>
    <s v="NA"/>
    <n v="2025206806"/>
    <s v="NA"/>
    <x v="1"/>
    <s v="Manwat Police Station"/>
    <s v="0412/2023"/>
    <s v="Parbhani"/>
    <m/>
    <s v="NA"/>
    <x v="8"/>
    <m/>
    <m/>
    <m/>
    <m/>
  </r>
  <r>
    <s v="NA"/>
    <s v="NA"/>
    <s v="MTP-N-2526-004387"/>
    <s v="NA"/>
    <x v="1"/>
    <s v="Karanja gramin police Station"/>
    <s v="0316/2025"/>
    <s v="Washim"/>
    <m/>
    <s v="NA"/>
    <x v="8"/>
    <m/>
    <m/>
    <m/>
    <m/>
  </r>
  <r>
    <s v="NA"/>
    <s v="NA"/>
    <s v="MTP-N-2526-004507"/>
    <s v="NA"/>
    <x v="1"/>
    <s v="Kingaon Police Station"/>
    <s v="092/2025"/>
    <s v="Latur"/>
    <m/>
    <s v="NA"/>
    <x v="8"/>
    <m/>
    <m/>
    <m/>
    <m/>
  </r>
  <r>
    <s v="Adv. Rohit Chhajed"/>
    <s v="NA"/>
    <s v="MTP-N-2526-004327"/>
    <s v="NA"/>
    <x v="1"/>
    <s v="Lonavala Police Station "/>
    <s v="0308/2024"/>
    <s v="Pune .Gramin."/>
    <s v="26/11/2025"/>
    <s v="NA"/>
    <x v="8"/>
    <m/>
    <m/>
    <m/>
    <m/>
  </r>
  <r>
    <s v="Adv. Chandrakant Sonawane"/>
    <s v="NA"/>
    <n v="2002429"/>
    <s v="NA"/>
    <x v="1"/>
    <s v="Diaghar police Station."/>
    <s v="018/2025"/>
    <s v="Thane "/>
    <s v="26/11/2025"/>
    <s v="NA"/>
    <x v="4"/>
    <m/>
    <m/>
    <m/>
    <m/>
  </r>
  <r>
    <s v="Adv. Chandrakant Sonawane"/>
    <s v="NA"/>
    <n v="2745855"/>
    <s v="NA"/>
    <x v="1"/>
    <s v="Manpada Police Station"/>
    <s v="1105/2024"/>
    <s v="Thane "/>
    <s v="26/11/2025"/>
    <s v="NA"/>
    <x v="4"/>
    <m/>
    <m/>
    <m/>
    <m/>
  </r>
  <r>
    <s v="Adv. Kunal Jain"/>
    <s v="NA"/>
    <n v="2748309"/>
    <s v="NA"/>
    <x v="1"/>
    <s v="Dahisar Police Station"/>
    <s v="0892/2025"/>
    <s v="Borivali"/>
    <s v="26/11/2025"/>
    <s v="NA"/>
    <x v="4"/>
    <m/>
    <m/>
    <m/>
    <m/>
  </r>
  <r>
    <s v="Adv. Kunal Jain"/>
    <s v="NA"/>
    <n v="2748142"/>
    <s v="NA"/>
    <x v="1"/>
    <s v="Kherwadi Police Station"/>
    <s v="0326/2025"/>
    <s v="Bandra"/>
    <s v="26/11/2025"/>
    <s v="NA"/>
    <x v="4"/>
    <m/>
    <m/>
    <m/>
    <m/>
  </r>
  <r>
    <s v="NA"/>
    <s v="NA"/>
    <n v="2025212933"/>
    <s v="NA"/>
    <x v="1"/>
    <s v="Kingaon Police Station"/>
    <s v="0072/2023"/>
    <s v="Latur"/>
    <m/>
    <s v="NA"/>
    <x v="8"/>
    <m/>
    <m/>
    <m/>
    <m/>
  </r>
  <r>
    <s v="Adv. Arshad Naik"/>
    <s v="NA"/>
    <n v="2022213651"/>
    <s v="NA"/>
    <x v="1"/>
    <s v="Mukhed Po. St."/>
    <s v="360/2021"/>
    <s v="Nanded"/>
    <m/>
    <s v="NA"/>
    <x v="8"/>
    <m/>
    <m/>
    <m/>
    <m/>
  </r>
  <r>
    <s v="NA"/>
    <s v="NA"/>
    <n v="2025212966"/>
    <s v="NA"/>
    <x v="1"/>
    <s v="Bhoom Police Station"/>
    <s v="0101/2024"/>
    <s v="Dharashiv"/>
    <m/>
    <s v="NA"/>
    <x v="8"/>
    <m/>
    <m/>
    <m/>
    <m/>
  </r>
  <r>
    <s v="NA"/>
    <s v="NA"/>
    <n v="2025212965"/>
    <s v="NA"/>
    <x v="1"/>
    <s v="Sengoan Police Station"/>
    <s v="0214/2025"/>
    <s v="Hingoli"/>
    <m/>
    <s v="NA"/>
    <x v="8"/>
    <m/>
    <m/>
    <m/>
    <m/>
  </r>
  <r>
    <s v="Adv. Arshad Naik"/>
    <s v="NA"/>
    <n v="2025212927"/>
    <s v="NA"/>
    <x v="1"/>
    <s v="Bhagyanagar Police Station"/>
    <s v="0005/2025"/>
    <s v="Nanded"/>
    <s v="26/11/2025"/>
    <s v="NA"/>
    <x v="4"/>
    <m/>
    <m/>
    <m/>
    <m/>
  </r>
  <r>
    <s v="Adv. Arshad Naik"/>
    <s v="NA"/>
    <n v="2025212925"/>
    <s v="NA"/>
    <x v="1"/>
    <s v="Police Station Kuntur"/>
    <s v="0194/2025"/>
    <s v="Nanded"/>
    <s v="26/11/2025"/>
    <s v="NA"/>
    <x v="4"/>
    <m/>
    <m/>
    <m/>
    <m/>
  </r>
  <r>
    <s v="NA"/>
    <s v="NA"/>
    <n v="2752072"/>
    <s v="NA"/>
    <x v="1"/>
    <s v="Police Station Neknoor"/>
    <s v="76/2025"/>
    <s v="Beed"/>
    <m/>
    <s v="NA"/>
    <x v="8"/>
    <m/>
    <m/>
    <m/>
    <m/>
  </r>
  <r>
    <s v="NA"/>
    <s v="NA"/>
    <n v="2025213359"/>
    <s v="NA"/>
    <x v="4"/>
    <s v="Makhram Dharma Gopane"/>
    <s v="R/o Bodhare , Kannada Road, Chalisgaon, Dist.Jalgoan"/>
    <s v="Jalgoan"/>
    <m/>
    <s v="NA"/>
    <x v="0"/>
    <m/>
    <m/>
    <m/>
    <m/>
  </r>
  <r>
    <s v="Amit Dalvi"/>
    <s v="NA"/>
    <n v="2025213359"/>
    <s v="NA"/>
    <x v="2"/>
    <s v="PANDURANG GANPAT SHIGVAN"/>
    <s v="GRD FLOOR GRD 45 GOPALWADI, BHULESHWAR ROAD PANCHAYAT WADI, KALBADEVI, MUMBAI"/>
    <s v="Mumbai"/>
    <m/>
    <s v="NA"/>
    <x v="0"/>
    <m/>
    <m/>
    <m/>
    <m/>
  </r>
  <r>
    <s v="NA"/>
    <s v="NA"/>
    <n v="2025213359"/>
    <s v="NA"/>
    <x v="3"/>
    <s v="Vilas Namdev Jadhv"/>
    <s v="R/o M.Talewadi,T.Kannada,Dist.Sambhajinagar 431103"/>
    <s v="Sambhaji nagar"/>
    <m/>
    <s v="NA"/>
    <x v="0"/>
    <m/>
    <m/>
    <m/>
    <m/>
  </r>
  <r>
    <s v="NA"/>
    <s v="NA"/>
    <n v="2025213359"/>
    <s v="NA"/>
    <x v="0"/>
    <m/>
    <s v="On Khultabad to Phulambri road Yesgaon"/>
    <s v="Sambhaji Nagar"/>
    <m/>
    <s v="NA"/>
    <x v="0"/>
    <m/>
    <m/>
    <m/>
    <m/>
  </r>
  <r>
    <s v="NA"/>
    <s v="NA"/>
    <n v="2025213359"/>
    <s v="NA"/>
    <x v="1"/>
    <s v="Khultabad Police Station"/>
    <s v="0234/2025"/>
    <s v="Sambhaji Nagar"/>
    <m/>
    <s v="NA"/>
    <x v="8"/>
    <m/>
    <m/>
    <m/>
    <m/>
  </r>
  <r>
    <s v="NA"/>
    <s v="NA"/>
    <n v="2752851"/>
    <s v="NA"/>
    <x v="4"/>
    <s v="Irbaji  Kashinath Sarode"/>
    <s v="R/o Gunj Tq. Basmath Dist. Hingoli"/>
    <s v="Hingoli"/>
    <m/>
    <s v="NA"/>
    <x v="0"/>
    <m/>
    <m/>
    <m/>
    <m/>
  </r>
  <r>
    <s v="NA"/>
    <s v="NA"/>
    <n v="2752851"/>
    <s v="NA"/>
    <x v="2"/>
    <s v="Dagdaji  Laxmanrao Shinde"/>
    <s v="R/o  Alegaon Po. Marlak Tq. &amp; Dist. Nanded"/>
    <s v="Nanded"/>
    <m/>
    <s v="NA"/>
    <x v="0"/>
    <m/>
    <m/>
    <m/>
    <m/>
  </r>
  <r>
    <s v="NA"/>
    <s v="NA"/>
    <n v="2752851"/>
    <s v="NA"/>
    <x v="0"/>
    <m/>
    <s v="On Gut No. 199 at Alegaon Tq. &amp; Dist. Nanded"/>
    <m/>
    <m/>
    <s v="NA"/>
    <x v="0"/>
    <m/>
    <m/>
    <m/>
    <m/>
  </r>
  <r>
    <s v="NA"/>
    <s v="NA"/>
    <n v="2752851"/>
    <s v="NA"/>
    <x v="1"/>
    <s v="Limbgoan Poice Station"/>
    <s v="0033/2025"/>
    <s v="Nanded"/>
    <m/>
    <s v="NA"/>
    <x v="8"/>
    <m/>
    <m/>
    <m/>
    <m/>
  </r>
  <r>
    <s v="Adv. Shubham Raut"/>
    <s v="NA"/>
    <n v="2752855"/>
    <s v="NA"/>
    <x v="4"/>
    <s v="Suhas  Shashikant Sutar"/>
    <s v="R/o Kasba Peth Barshi, Tal. Barshi, Distt. Solapur At Present Kasbe Tadwale, Tal. &amp; Dist. Dharashiv"/>
    <s v="Dharashiv"/>
    <m/>
    <s v="NA"/>
    <x v="0"/>
    <m/>
    <m/>
    <m/>
    <m/>
  </r>
  <r>
    <s v="Adv. Shubham Raut"/>
    <s v="NA"/>
    <n v="2752855"/>
    <s v="NA"/>
    <x v="2"/>
    <s v="Anand Hanumant Limkar"/>
    <s v="R/o Rui, Tal. Paranda, Distt. Dharashiv"/>
    <s v="Dharashiv"/>
    <m/>
    <s v="NA"/>
    <x v="0"/>
    <m/>
    <m/>
    <m/>
    <m/>
  </r>
  <r>
    <s v="NA"/>
    <s v="NA"/>
    <n v="2752855"/>
    <s v="NA"/>
    <x v="0"/>
    <m/>
    <s v="Dharashiv to Barshi Road, Near filed of Audumbar Babasaheb Korekar in village Shivar Nariwadi, Tal. Barshi, Dist. Solapur."/>
    <s v="Solapur"/>
    <m/>
    <s v="NA"/>
    <x v="0"/>
    <m/>
    <m/>
    <m/>
    <m/>
  </r>
  <r>
    <s v="NA"/>
    <s v="NA"/>
    <n v="2752855"/>
    <s v="NA"/>
    <x v="1"/>
    <s v="Pangri Police Station"/>
    <s v="0247/2023"/>
    <s v="Solapur"/>
    <m/>
    <s v="NA"/>
    <x v="8"/>
    <m/>
    <m/>
    <m/>
    <m/>
  </r>
  <r>
    <s v="Salim Shaikh"/>
    <s v="NA"/>
    <n v="2025212410"/>
    <s v="NA"/>
    <x v="4"/>
    <s v="Hanuman Bhanudas Hiwale"/>
    <s v="R/O AT Jaitapur Mohalla Pathri Tq.Pathri,Dist Parbhani "/>
    <s v="Parbhani"/>
    <d v="2025-02-11T00:00:00"/>
    <s v="NA"/>
    <x v="0"/>
    <m/>
    <m/>
    <m/>
    <m/>
  </r>
  <r>
    <s v="Salim Shaikh"/>
    <s v="NA"/>
    <n v="2025212410"/>
    <s v="NA"/>
    <x v="2"/>
    <s v="Laxmen S/o Gangadhar Jahane "/>
    <s v="R/o Post Pingli tq ,dist Parbhani ."/>
    <s v="Parbhani"/>
    <d v="2025-02-11T00:00:00"/>
    <s v="NA"/>
    <x v="0"/>
    <m/>
    <m/>
    <m/>
    <m/>
  </r>
  <r>
    <s v="Salim Shaikh"/>
    <s v="NA"/>
    <n v="2025212410"/>
    <s v="NA"/>
    <x v="3"/>
    <s v="MH-22-BB-3624 M/Cycle"/>
    <s v="WIP"/>
    <s v="Parbhani"/>
    <d v="2025-02-11T00:00:00"/>
    <s v="NA"/>
    <x v="0"/>
    <m/>
    <m/>
    <m/>
    <m/>
  </r>
  <r>
    <s v="Salim Shaikh"/>
    <s v="NA"/>
    <n v="2025212410"/>
    <s v="NA"/>
    <x v="0"/>
    <s v="WIP"/>
    <s v="jawla  ZURA PATRI ROAD AT,KHERDA PATI AREA TQ,PATRI,DIST-PARBHANI."/>
    <s v="Parbhani"/>
    <d v="2025-02-11T00:00:00"/>
    <s v="NA"/>
    <x v="0"/>
    <m/>
    <m/>
    <m/>
    <m/>
  </r>
  <r>
    <s v="Shravan Chavhan"/>
    <s v="NA"/>
    <n v="2750504"/>
    <s v="NA"/>
    <x v="4"/>
    <s v="Shamim B Idris maniyar "/>
    <s v="Malakwada Taloda, Dist Nandurbar"/>
    <s v="Nandurbar"/>
    <d v="2025-12-02T00:00:00"/>
    <s v="NA"/>
    <x v="8"/>
    <m/>
    <m/>
    <m/>
    <m/>
  </r>
  <r>
    <s v="Shubham Wagule"/>
    <s v="NA"/>
    <n v="2750504"/>
    <s v="NA"/>
    <x v="2"/>
    <s v="Ganesh Rajendra Shinde"/>
    <s v="Kavitkheda balhegon  Taluka Vaijapur  Dis Aurangabad "/>
    <s v="Aurangabad"/>
    <d v="2025-12-02T00:00:00"/>
    <s v="NA"/>
    <x v="0"/>
    <m/>
    <m/>
    <m/>
    <m/>
  </r>
  <r>
    <s v="Shubham Wagule"/>
    <s v="NA"/>
    <n v="2750504"/>
    <s v="NA"/>
    <x v="3"/>
    <s v="Bhausaheb murlidhar Pawar "/>
    <s v="Kannad Lamangoan Aurangabad "/>
    <s v="Aurangabad"/>
    <d v="2025-12-02T00:00:00"/>
    <s v="NA"/>
    <x v="0"/>
    <m/>
    <m/>
    <m/>
    <m/>
  </r>
  <r>
    <s v="Shravan Chavhan"/>
    <s v="NA"/>
    <n v="2750504"/>
    <s v="NA"/>
    <x v="0"/>
    <m/>
    <s v="Nandurbar Near Daoundai Road Choupale BusStop "/>
    <s v=" Nandurbar"/>
    <d v="2025-12-02T00:00:00"/>
    <s v="NA"/>
    <x v="0"/>
    <m/>
    <m/>
    <m/>
    <m/>
  </r>
  <r>
    <s v="NA"/>
    <s v="NA"/>
    <n v="2750504"/>
    <s v="NA"/>
    <x v="15"/>
    <s v="nandurbar Police Station"/>
    <s v="110/2025"/>
    <s v="Nandurbar"/>
    <d v="2025-12-02T00:00:00"/>
    <s v="NA"/>
    <x v="0"/>
    <m/>
    <m/>
    <m/>
    <m/>
  </r>
  <r>
    <m/>
    <m/>
    <m/>
    <m/>
    <x v="11"/>
    <m/>
    <m/>
    <m/>
    <m/>
    <m/>
    <x v="12"/>
    <m/>
    <m/>
    <m/>
    <m/>
  </r>
  <r>
    <m/>
    <m/>
    <m/>
    <m/>
    <x v="11"/>
    <m/>
    <m/>
    <m/>
    <m/>
    <m/>
    <x v="1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
  <r>
    <n v="1"/>
    <s v="C2264103101203-00"/>
    <x v="0"/>
    <s v="MACT"/>
    <s v="M002-1001-SS-2025"/>
    <d v="2025-08-04T00:00:00"/>
    <x v="0"/>
    <x v="0"/>
    <x v="0"/>
    <d v="2025-09-15T00:00:00"/>
    <n v="142"/>
    <s v="BT"/>
    <s v="Full Case"/>
    <s v="Open"/>
    <x v="0"/>
    <m/>
    <s v="Shrimati Parvatibai Balu Kamble"/>
    <s v="Pokhari, nandgaon, Nashik"/>
    <s v="Nashik"/>
    <s v="Completed"/>
    <s v="NA"/>
    <m/>
    <m/>
    <s v="NA"/>
    <s v="Inderdeep Construction Company"/>
    <s v="First Floor, 32/01, Cristal Pride, Hari Ghat, App. AVM Automoblie, Kalyan - 421003"/>
    <s v="Kalyan"/>
    <s v="NA"/>
    <s v="Completed"/>
    <s v="Munnala Rajaram Saroj"/>
    <m/>
    <s v="NA"/>
    <s v="NA"/>
    <s v="NA "/>
    <s v="NA"/>
    <s v="NA"/>
    <s v="NA"/>
    <s v="NA"/>
    <s v="NA"/>
    <s v="NA"/>
    <s v="NA"/>
    <s v="NA"/>
    <s v="On Nandgaon to Chalisgaon road, In the vicinity of Gangadhari village, Opp D K Industries."/>
    <s v="Jalgaon"/>
    <s v="Completed"/>
    <s v="Nashik"/>
    <s v="NA"/>
    <s v="NA"/>
    <s v="NA"/>
    <s v="NI"/>
    <s v="Gramin Hospital"/>
    <m/>
    <m/>
    <s v="NA"/>
    <m/>
    <s v="Pending"/>
    <s v="Spot/ Claimant/ Insured"/>
  </r>
  <r>
    <n v="2"/>
    <s v="C2264191100006-00"/>
    <x v="0"/>
    <s v="MACT"/>
    <s v="M002-1002-SS-2025"/>
    <d v="2025-08-04T00:00:00"/>
    <x v="0"/>
    <x v="0"/>
    <x v="0"/>
    <s v=""/>
    <n v="142"/>
    <s v="BT"/>
    <s v="Connected Case"/>
    <s v="Open"/>
    <x v="1"/>
    <m/>
    <s v="Chandrabhaga Shivaji Pawar"/>
    <s v="Bhilcot, Malegaon, Nashik."/>
    <s v="Nashik"/>
    <s v="WIP"/>
    <s v="NA"/>
    <m/>
    <m/>
    <s v="NA"/>
    <s v="Momin Navid Akhtar Mohmd Shahid"/>
    <s v="Naya Islampura, Malegaon, Nashik 423202"/>
    <s v="Nashik"/>
    <s v="NA"/>
    <s v="WIP"/>
    <s v="NA"/>
    <m/>
    <s v="Mukhtar Shaikh "/>
    <s v="NA"/>
    <s v="NA"/>
    <s v="NA"/>
    <s v="NA"/>
    <s v="NA"/>
    <s v="NA"/>
    <s v="NA"/>
    <s v="NA"/>
    <s v="NA"/>
    <s v="NA"/>
    <s v="On Hatane to Tokane road, Near Pravin Thokes Veetbatti, In the visinity of Hatane village."/>
    <s v="Washim"/>
    <s v="WIP"/>
    <s v="Nashik"/>
    <s v="NA"/>
    <s v="NA"/>
    <s v="NA"/>
    <s v="Completed"/>
    <s v="Gramin Hospital"/>
    <m/>
    <m/>
    <s v="NA"/>
    <m/>
    <m/>
    <s v="Chargesheet"/>
  </r>
  <r>
    <n v="3"/>
    <s v="C2264103101217-04"/>
    <x v="0"/>
    <s v="MACT"/>
    <s v="M002-1003-SS-2025"/>
    <d v="2025-08-07T00:00:00"/>
    <x v="0"/>
    <x v="1"/>
    <x v="1"/>
    <d v="2025-09-18T00:00:00"/>
    <n v="138"/>
    <s v="BT"/>
    <s v="Full Case"/>
    <s v="Dispatch"/>
    <x v="2"/>
    <m/>
    <s v="Balu Motiram Wagh"/>
    <s v="Rajapur, Yevla, Nashik. (Nandgaon Depo)"/>
    <s v="Nashik"/>
    <s v="Completed"/>
    <s v="NA"/>
    <m/>
    <m/>
    <s v="NA"/>
    <s v="Shayan Raies Sayyad"/>
    <s v="114/1 B, Sarvade Nagar, Near Iqbal Kirana Marchant, Mulegaon Road, Uttar Solapur, 413006."/>
    <s v="Solapur"/>
    <s v="NA"/>
    <s v="Completed"/>
    <s v="Sagar Ankush Bhosale"/>
    <m/>
    <s v="NA"/>
    <s v="Completed"/>
    <s v="NA"/>
    <s v="NA"/>
    <s v="NA"/>
    <s v="NA"/>
    <s v="NA"/>
    <s v="NA"/>
    <s v="NA"/>
    <s v="NA"/>
    <s v="NA"/>
    <s v="On Sindhkhed Raja Road, Next of Vakhari Fhata, Jalna Navha Road."/>
    <s v="Jalna"/>
    <s v="Completed"/>
    <s v="Nashik"/>
    <s v="NA"/>
    <s v="NA"/>
    <s v="NA"/>
    <s v="Completed"/>
    <s v="Vira Medicity Hosp"/>
    <m/>
    <m/>
    <s v="NA"/>
    <m/>
    <m/>
    <s v="Claimant/ Spot/ Insured / Driver / Chargesheet"/>
  </r>
  <r>
    <n v="4"/>
    <s v="MTP-N-2526-002724 "/>
    <x v="1"/>
    <s v="MACT"/>
    <s v="F001-1004-SS-2025"/>
    <d v="2025-08-21T00:00:00"/>
    <x v="0"/>
    <x v="2"/>
    <x v="2"/>
    <d v="2025-10-02T00:00:00"/>
    <n v="28"/>
    <s v="WT"/>
    <s v="Full Case"/>
    <s v="Dispatch"/>
    <x v="2"/>
    <m/>
    <s v="Popat Baburao Ghule"/>
    <s v="Paregaon Terfe Khed, Pune"/>
    <s v="Pune"/>
    <s v="Completed"/>
    <s v="Yes"/>
    <m/>
    <m/>
    <s v="NA"/>
    <s v="Salim Ajgarali Sayyad"/>
    <s v="Rajguru Nagar, Pune."/>
    <s v="Pune"/>
    <s v="NA"/>
    <s v="Completed"/>
    <s v="NA"/>
    <m/>
    <s v="NA"/>
    <s v="Completed"/>
    <s v="Yes"/>
    <s v="WIP"/>
    <s v="WIP"/>
    <s v="WIP"/>
    <s v="NA"/>
    <s v="NA"/>
    <s v="NA"/>
    <s v="NA"/>
    <s v="NA"/>
    <s v="On Pune Nashik Highway, Near Pancharatne Hotel, Jaidwadi,  Khed, Pune. "/>
    <s v="Pune"/>
    <s v="Completed"/>
    <s v="NA"/>
    <s v="NA"/>
    <s v="NA"/>
    <s v="NA"/>
    <s v="NA"/>
    <m/>
    <m/>
    <m/>
    <s v="Completed"/>
    <m/>
    <m/>
    <m/>
  </r>
  <r>
    <n v="5"/>
    <s v="MTP-N-2526-002725"/>
    <x v="1"/>
    <s v="MACT"/>
    <s v="F001-1005-SS-2025"/>
    <d v="2025-08-21T00:00:00"/>
    <x v="0"/>
    <x v="2"/>
    <x v="2"/>
    <d v="2025-10-02T00:00:00"/>
    <n v="28"/>
    <s v="WT"/>
    <s v="Full Case"/>
    <s v="Dispatch"/>
    <x v="2"/>
    <m/>
    <s v="Ramdas Baban Thorat"/>
    <s v="Khed-Pune"/>
    <s v="Pune"/>
    <s v="Completed"/>
    <s v="NA"/>
    <m/>
    <m/>
    <s v="NA"/>
    <s v="NA"/>
    <s v="NA"/>
    <s v="NA "/>
    <s v="NA"/>
    <s v="NA"/>
    <s v="NA"/>
    <m/>
    <s v="NA"/>
    <s v="NA"/>
    <s v="NA"/>
    <s v="NA"/>
    <s v="NA"/>
    <s v="NA"/>
    <s v="NA"/>
    <s v="NA"/>
    <s v="NA"/>
    <s v="NA"/>
    <s v="NA"/>
    <s v="NA"/>
    <s v="NA"/>
    <s v="STOP"/>
    <m/>
    <m/>
    <s v="NA"/>
    <m/>
    <s v="NA"/>
    <m/>
    <m/>
    <m/>
    <s v="NA"/>
    <m/>
    <m/>
    <m/>
  </r>
  <r>
    <n v="6"/>
    <s v="MTP-N-2526-002726"/>
    <x v="1"/>
    <s v="MACT"/>
    <s v="F001-1006-SS-2025"/>
    <d v="2025-08-21T00:00:00"/>
    <x v="0"/>
    <x v="2"/>
    <x v="2"/>
    <d v="2025-10-02T00:00:00"/>
    <n v="28"/>
    <s v="WT"/>
    <s v="Full Case"/>
    <s v="Dispatch"/>
    <x v="2"/>
    <s v="Claimant/Insured/"/>
    <s v="Nanda Ramdas Thorat"/>
    <s v="Khed-Pune"/>
    <s v="Pune"/>
    <s v="Completed"/>
    <s v="NA"/>
    <m/>
    <m/>
    <s v="NA"/>
    <s v="NA"/>
    <s v="NA"/>
    <s v="NA "/>
    <s v="NA"/>
    <s v="Completed"/>
    <s v="NA"/>
    <m/>
    <s v="NA"/>
    <s v="NA"/>
    <s v="NA"/>
    <s v="NA"/>
    <s v="NA"/>
    <s v="NA"/>
    <s v="NA"/>
    <s v="NA"/>
    <s v="NA"/>
    <s v="NA"/>
    <s v="NA"/>
    <s v="NA"/>
    <s v="NA"/>
    <s v="Completed"/>
    <m/>
    <m/>
    <s v="NA"/>
    <m/>
    <s v="Completed"/>
    <m/>
    <m/>
    <m/>
    <s v="NA"/>
    <m/>
    <m/>
    <m/>
  </r>
  <r>
    <n v="7"/>
    <s v="MTP-N-2526-002845"/>
    <x v="1"/>
    <s v="MACT"/>
    <s v="F001-1007-SS-2025"/>
    <d v="2025-08-28T00:00:00"/>
    <x v="0"/>
    <x v="3"/>
    <x v="3"/>
    <d v="2025-09-18T00:00:00"/>
    <n v="51"/>
    <s v="BT"/>
    <s v="Partial Case"/>
    <s v="Open"/>
    <x v="0"/>
    <m/>
    <s v="NA"/>
    <s v="NA"/>
    <s v="NA"/>
    <s v="NA"/>
    <s v="NA"/>
    <m/>
    <m/>
    <s v="NA"/>
    <s v="Gajanan Wishvanath Kapuskari"/>
    <s v="R/O C-394-1, MONDHA, 0, SHOPP, NO 2, MARKET YARD, Hingoli. 431512."/>
    <s v="Hingoli"/>
    <s v="NA"/>
    <s v="Completed"/>
    <s v="Omkar Ramkishan Bhalerao "/>
    <m/>
    <s v="Gajanan Devkar"/>
    <s v="Completed"/>
    <s v="Yes"/>
    <s v="Completed"/>
    <s v="yes"/>
    <s v="Completed"/>
    <s v="WIP "/>
    <s v="NA "/>
    <s v="NA"/>
    <s v="NA"/>
    <s v="NA"/>
    <s v="On Malegaon to Pasadgaon Road, Nr Shahapur."/>
    <s v="Malegaon"/>
    <s v="Completed"/>
    <s v="0133/2025"/>
    <s v="Limbgaon Police Station"/>
    <s v="Nanded"/>
    <m/>
    <s v="WIP"/>
    <s v="NA"/>
    <m/>
    <m/>
    <s v="NA "/>
    <m/>
    <m/>
    <s v="Insured/ Driver/ DL"/>
  </r>
  <r>
    <n v="8"/>
    <s v="MTP-N-2526-003010"/>
    <x v="1"/>
    <s v="MACT"/>
    <s v="F001-1008-SS-2025"/>
    <d v="2025-09-02T00:00:00"/>
    <x v="1"/>
    <x v="4"/>
    <x v="4"/>
    <d v="2025-10-14T00:00:00"/>
    <n v="66"/>
    <s v="BT"/>
    <s v="Full Case"/>
    <s v="Dispatch"/>
    <x v="2"/>
    <m/>
    <s v="Sheetal Ganesh Dhere"/>
    <s v="Kave, Mhada, Solapur."/>
    <s v="Solapur"/>
    <s v="Completed"/>
    <s v="Na "/>
    <m/>
    <m/>
    <s v="NA"/>
    <s v="GorakhDamu Godage"/>
    <m/>
    <m/>
    <s v="NA"/>
    <s v="Completed"/>
    <s v="Shailesh Babu Gorakh Godage"/>
    <m/>
    <s v="Chandrasen "/>
    <s v="Completed"/>
    <s v="Yes"/>
    <s v="Completed"/>
    <s v="WIP"/>
    <s v="Completed"/>
    <s v="WIP "/>
    <s v="Completed"/>
    <s v="NA"/>
    <s v="NA"/>
    <s v="NA "/>
    <s v="On a road Kave to Ropale road, Nr Hotel Patil raj."/>
    <m/>
    <s v="Completed"/>
    <s v="Solapur"/>
    <s v="NA"/>
    <s v="NA"/>
    <s v="NA "/>
    <s v="Completed"/>
    <s v="NA"/>
    <m/>
    <m/>
    <s v="NA "/>
    <s v="NA "/>
    <m/>
    <s v="Insured/ Driver/ Spot/ Claimnat/ Pending for RC/ DL/ CS"/>
  </r>
  <r>
    <n v="9"/>
    <n v="2025209111"/>
    <x v="2"/>
    <s v="MACT"/>
    <s v="R001-1009-SS-2025"/>
    <d v="2025-09-16T00:00:00"/>
    <x v="1"/>
    <x v="5"/>
    <x v="4"/>
    <d v="2025-10-28T00:00:00"/>
    <n v="54"/>
    <s v="BT"/>
    <s v="Full Case"/>
    <s v="Dispatch"/>
    <x v="2"/>
    <m/>
    <s v="Kavita Vijay Rajule"/>
    <s v="Narsali, Shreerampur, Ahilyanagar."/>
    <s v="Ahilyanagar"/>
    <s v="Completed"/>
    <s v="Na "/>
    <m/>
    <m/>
    <s v="NA"/>
    <s v="Sharad Raosaheb Pathare"/>
    <s v="Devlali Pravara, Rahuri, Ahilyanagar."/>
    <s v="Ahilyanagar"/>
    <s v="NA"/>
    <s v="Completed"/>
    <s v="NA"/>
    <m/>
    <s v="Sandeep Lashkare"/>
    <s v="Completed"/>
    <s v="NA"/>
    <s v="NA"/>
    <s v="NA "/>
    <s v="NA"/>
    <s v="NA"/>
    <s v="NA"/>
    <s v="NA"/>
    <s v="NA"/>
    <s v="NA "/>
    <s v="From Devlali Pravra to Shrirampur Road, Near Nisarg Hotel, "/>
    <m/>
    <s v="Completed"/>
    <m/>
    <m/>
    <s v="NA"/>
    <m/>
    <s v="Completed"/>
    <s v="NA"/>
    <m/>
    <m/>
    <s v="NA"/>
    <m/>
    <m/>
    <s v="Claimant/ insured and Driver  / Spot Pending for  Chargesheet"/>
  </r>
  <r>
    <n v="10"/>
    <s v="CN064878"/>
    <x v="1"/>
    <s v="MACT"/>
    <s v="F001-1010-SS-2025"/>
    <d v="2025-09-16T00:00:00"/>
    <x v="1"/>
    <x v="5"/>
    <x v="4"/>
    <d v="2025-10-28T00:00:00"/>
    <n v="54"/>
    <s v="BT"/>
    <s v="Full Case"/>
    <s v="Dispatch"/>
    <x v="2"/>
    <m/>
    <s v="Rajendra Ramrao Patil 9657416085"/>
    <s v="Galli No. 06, Umarkhed, Chalisgaon, Jalgaon. Current - Flat No. 12, ShreeKunj, Ambad Link road, Vrundavan Nagar, Kamathwadi, Back to  Vikhe Patil School, Nashik-Ambad."/>
    <s v="Nashik"/>
    <s v="Completed"/>
    <s v="Yes"/>
    <m/>
    <m/>
    <s v="Completed"/>
    <s v="Ravindra Pandurang Patil "/>
    <s v="Gudhe, Bhadgaon, Jalgaon."/>
    <s v="Jalgaon"/>
    <s v="NA"/>
    <s v="Completed"/>
    <s v="Rahul Lohar"/>
    <m/>
    <s v="Nihal Shaikh"/>
    <s v="Completed"/>
    <s v="NA"/>
    <s v="Completed"/>
    <s v="NA"/>
    <s v="WIP"/>
    <s v="NA "/>
    <s v="NA "/>
    <s v="NA "/>
    <s v="NA"/>
    <s v="Nihal Shaikh"/>
    <s v="On Wadegude to Umberkhed road, Near Gude Shivar, Chalisgaon, Nashik."/>
    <s v="Nashik"/>
    <s v="Completed"/>
    <m/>
    <m/>
    <s v="NA"/>
    <m/>
    <s v="Completed"/>
    <m/>
    <m/>
    <m/>
    <s v="Completed"/>
    <d v="2025-12-02T00:00:00"/>
    <s v="Disptach"/>
    <s v="Claimant Done / Driver Done  / Insured / Spot / Pending for RC and DL extract Chargesheet "/>
  </r>
  <r>
    <n v="11"/>
    <n v="2025201119"/>
    <x v="2"/>
    <s v="MACT"/>
    <s v="R001-1011-SS-2025"/>
    <d v="2025-09-16T00:00:00"/>
    <x v="1"/>
    <x v="0"/>
    <x v="0"/>
    <d v="2025-10-07T00:00:00"/>
    <n v="99"/>
    <s v="BT"/>
    <s v="Partial Case"/>
    <s v="Open"/>
    <x v="0"/>
    <s v="For Charge Sheet_x0009_Analogous matter allocated"/>
    <s v="NA"/>
    <s v="NA"/>
    <s v="NA"/>
    <s v="NA"/>
    <s v="Na "/>
    <m/>
    <m/>
    <s v="NA"/>
    <s v="NA "/>
    <s v="NA"/>
    <s v="NA "/>
    <s v="NA"/>
    <s v="NA"/>
    <s v="NA"/>
    <m/>
    <s v="NA"/>
    <s v="NA"/>
    <s v="NA"/>
    <s v="NA"/>
    <s v="NA"/>
    <s v="NA"/>
    <s v="NA"/>
    <s v="NA"/>
    <s v="NA"/>
    <s v="NA"/>
    <s v="NA "/>
    <s v="Near Pushpa Ganga Hotel, Dharashiv."/>
    <s v="Dharashiv"/>
    <s v="NA"/>
    <s v="0262/2024"/>
    <s v="Anand Police Station"/>
    <s v="NA"/>
    <m/>
    <s v="WIP"/>
    <s v="NA"/>
    <m/>
    <m/>
    <s v="NI"/>
    <s v="NA "/>
    <m/>
    <s v="Pending for Chargesheet"/>
  </r>
  <r>
    <n v="12"/>
    <n v="2025210107"/>
    <x v="2"/>
    <s v="MACT"/>
    <s v="R001-1012-SS-2025"/>
    <d v="2025-09-17T00:00:00"/>
    <x v="1"/>
    <x v="6"/>
    <x v="4"/>
    <d v="2025-10-29T00:00:00"/>
    <n v="59"/>
    <s v="BT"/>
    <s v="Full Case"/>
    <s v="Dispatch"/>
    <x v="2"/>
    <m/>
    <s v="Pratap Bhausaheb Pachange 9689450555"/>
    <s v="Dhoksangvi, Shirur, Pune."/>
    <s v="Pune"/>
    <s v="Completed"/>
    <s v="Na "/>
    <m/>
    <m/>
    <s v="NA"/>
    <s v="Sunil Annasaheb Kulat 9923440484"/>
    <s v="41, Gavthan, Khatgaon, Taklitral, Parner, Ahmadnagar. 414103"/>
    <s v="Ahilyanagar"/>
    <s v="NA"/>
    <s v="Completed"/>
    <s v="Somnath Bhagwan Dahifhale"/>
    <m/>
    <s v="Sandeep Lashkare"/>
    <s v="Completed"/>
    <s v="NA"/>
    <s v="NA"/>
    <s v="NA"/>
    <s v="NA"/>
    <s v="NA"/>
    <s v="NA"/>
    <s v="NA"/>
    <s v="NA"/>
    <s v="NA "/>
    <s v="On Pune-Nagar road, In the vicinity of Vaghunde village, Opp. H P Petrol pump, MIDC chowk."/>
    <m/>
    <s v="Completed"/>
    <m/>
    <m/>
    <s v="NA"/>
    <m/>
    <s v="Completed"/>
    <s v="NA"/>
    <m/>
    <m/>
    <s v="NA"/>
    <m/>
    <m/>
    <s v="Spot/ Insured - recording and Visit location photos/ Claimant Part"/>
  </r>
  <r>
    <n v="13"/>
    <n v="2025209818"/>
    <x v="2"/>
    <s v="MACT"/>
    <s v="R001-1013-SS-2025"/>
    <d v="2025-09-17T00:00:00"/>
    <x v="1"/>
    <x v="7"/>
    <x v="4"/>
    <d v="2025-10-08T00:00:00"/>
    <n v="65"/>
    <s v="BT"/>
    <s v="Partial Case"/>
    <s v="Dispatch"/>
    <x v="2"/>
    <m/>
    <s v="Babasaheb Urfa Santosh Sahebrao Kolekar"/>
    <s v="Dhoksangvi, Shirur, Pune."/>
    <s v="Pune"/>
    <s v="Completed"/>
    <s v="Na "/>
    <m/>
    <m/>
    <s v="NA"/>
    <s v="NA"/>
    <s v="NA"/>
    <s v="NA"/>
    <s v="NA"/>
    <s v="NA"/>
    <s v="NA"/>
    <m/>
    <s v="NA"/>
    <s v="NA "/>
    <s v="NA"/>
    <s v="NA"/>
    <s v="NA"/>
    <s v="NA"/>
    <s v="NA"/>
    <s v="NA"/>
    <s v="NA"/>
    <s v="NA"/>
    <s v="NA "/>
    <s v="On Pune-Nagar road, In the vicinity of Vaghunde village, Opp. H P Petrol pump, MIDC chowk."/>
    <m/>
    <s v="NA"/>
    <m/>
    <m/>
    <s v="NA"/>
    <m/>
    <s v="NA"/>
    <s v="NA"/>
    <m/>
    <m/>
    <s v="NA"/>
    <m/>
    <m/>
    <s v="Claimant Part done claimant is out of station "/>
  </r>
  <r>
    <n v="14"/>
    <n v="2025210174"/>
    <x v="2"/>
    <s v="MACT"/>
    <s v="R001-1014-SS-2025"/>
    <d v="2025-09-17T00:00:00"/>
    <x v="1"/>
    <x v="6"/>
    <x v="4"/>
    <d v="2025-10-29T00:00:00"/>
    <n v="59"/>
    <s v="BT"/>
    <s v="Full Case"/>
    <s v="Dispatch"/>
    <x v="2"/>
    <m/>
    <s v="Vrushali Ganesh Shelke 9860666287/9922339794"/>
    <s v="Kolhar Budruk, Rahata, Ahilyanagar"/>
    <s v="Ahilyanagar"/>
    <s v="Completed"/>
    <s v="Na "/>
    <m/>
    <m/>
    <s v="NA"/>
    <s v="Dilip Parshuram Salunke"/>
    <s v="Ambekar mala. 556, Room no. 1-2, Theur Fhata, Kunjirwadi, Pune 412201. Patas, Daund, Pune - 412219"/>
    <s v="Pune"/>
    <s v="NA"/>
    <s v="Completed"/>
    <s v="NA"/>
    <m/>
    <s v="NA"/>
    <s v="Completed"/>
    <s v="NA"/>
    <s v="NA"/>
    <s v="NA"/>
    <s v="NA"/>
    <s v="NA"/>
    <s v="NA"/>
    <s v="NA"/>
    <s v="NA"/>
    <s v="NA "/>
    <s v="On Nagar-Manmad Road, In the vicinity of Shingvenaike village, "/>
    <m/>
    <s v="Completed"/>
    <m/>
    <m/>
    <s v="NA"/>
    <m/>
    <s v="Completed"/>
    <s v="NA"/>
    <m/>
    <m/>
    <s v="NA"/>
    <m/>
    <m/>
    <s v="Claimant/ Spot "/>
  </r>
  <r>
    <n v="15"/>
    <n v="2025210104"/>
    <x v="2"/>
    <s v="MACT"/>
    <s v="R001-1015-SS-2025"/>
    <d v="2025-09-17T00:00:00"/>
    <x v="1"/>
    <x v="8"/>
    <x v="4"/>
    <d v="2025-10-08T00:00:00"/>
    <n v="56"/>
    <s v="BT"/>
    <s v="Partial Case"/>
    <s v="Dispatch"/>
    <x v="2"/>
    <m/>
    <s v="Manisha Rajaram Belote 9921119809"/>
    <s v="Devibhoyre, Parner, Ahilyanagar"/>
    <s v="Ahilyanagar"/>
    <s v="Completed"/>
    <s v="Na "/>
    <m/>
    <m/>
    <s v="NA"/>
    <s v="Jitenrda Dnyaneshwar Naik"/>
    <s v="NA"/>
    <s v="NA "/>
    <s v="NA"/>
    <s v="NA"/>
    <s v="NA"/>
    <m/>
    <s v="NA"/>
    <s v="NA"/>
    <s v="NA"/>
    <s v="NA"/>
    <s v="NA"/>
    <s v="NA"/>
    <s v="NA"/>
    <s v="NA"/>
    <s v="NA"/>
    <s v="NA"/>
    <s v="NA "/>
    <s v="On Nighij to Devibhoyre village road, In the vicinity of Vadgaon Gund village, Parner, "/>
    <m/>
    <s v="NA"/>
    <m/>
    <m/>
    <s v="NA"/>
    <m/>
    <s v="Completed"/>
    <s v="NA"/>
    <m/>
    <m/>
    <s v="NA"/>
    <m/>
    <m/>
    <s v="Claimant  Pending for CS"/>
  </r>
  <r>
    <n v="16"/>
    <n v="2025209654"/>
    <x v="2"/>
    <s v="MACT"/>
    <s v="R001-1016-SS-2025"/>
    <d v="2025-09-17T00:00:00"/>
    <x v="1"/>
    <x v="0"/>
    <x v="0"/>
    <d v="2025-10-29T00:00:00"/>
    <n v="98"/>
    <s v="BT"/>
    <s v="Full Case"/>
    <s v="Open"/>
    <x v="0"/>
    <m/>
    <s v="Dattatray Kundlik Shirke"/>
    <s v="Bbaudi, Shregonda, Ahilyanagar."/>
    <s v="Ahilyanagar"/>
    <s v="Completed"/>
    <s v="Na "/>
    <m/>
    <m/>
    <s v="NA"/>
    <s v="Uday Bapurao Divekar"/>
    <s v="Railway Gate 14, Kadethanwadi, Kadetrhan, Daund, Pune -412215."/>
    <s v="Pune"/>
    <s v="NA"/>
    <s v="Completed"/>
    <s v="Akshay Gorakh Divekar"/>
    <m/>
    <s v="Adv. Sudhir Wakle"/>
    <s v="Completed"/>
    <s v="NA"/>
    <s v="NA"/>
    <s v="NA"/>
    <s v="NA"/>
    <s v="NA"/>
    <s v="NA"/>
    <s v="NA"/>
    <s v="NA"/>
    <s v="NA "/>
    <s v="On Daund Nagar road, Near Samrat Hotal."/>
    <m/>
    <s v="Completed"/>
    <m/>
    <m/>
    <s v="NA"/>
    <m/>
    <s v="WIP"/>
    <s v="NA"/>
    <m/>
    <m/>
    <s v="NA"/>
    <m/>
    <m/>
    <s v="Claimant/ Spot / Insured visit Insured out of station driver Done Pending for CS "/>
  </r>
  <r>
    <n v="17"/>
    <n v="2025209769"/>
    <x v="2"/>
    <s v="MACT"/>
    <s v="R001-1017-SS-2025"/>
    <d v="2025-09-17T00:00:00"/>
    <x v="1"/>
    <x v="0"/>
    <x v="0"/>
    <d v="2025-10-29T00:00:00"/>
    <n v="98"/>
    <s v="BT"/>
    <s v="Full Case"/>
    <s v="Open"/>
    <x v="1"/>
    <m/>
    <s v="Subhadra Ganesh Yadav 9763008813"/>
    <s v="Jadid Javla, Harki, Majalgaon, Beed. Current - Vikasnagar, Dharashiv."/>
    <s v="Dharashiv"/>
    <s v="WIP"/>
    <s v="Na "/>
    <m/>
    <m/>
    <s v="NA"/>
    <s v="Mahadev Vyankat Panchal"/>
    <s v="C/O, Gorakh Rambhaji Konde-SR/No-240/1B, Gorakh House, Gajanan Nagar,  Urali Devachi,  Haveli, Pune.Current - Tadgaon, Kallam, Dharashiv."/>
    <s v="Dharashiv"/>
    <s v="NA"/>
    <s v="WIP"/>
    <s v="NA"/>
    <m/>
    <s v="Pankaj Kawade "/>
    <s v="WIP"/>
    <s v="NA"/>
    <s v="NA"/>
    <s v="NA"/>
    <s v="NA"/>
    <s v="NA"/>
    <s v="NA"/>
    <s v="NA"/>
    <s v="NA"/>
    <s v="NA "/>
    <s v="On Barshi to Kusalamb road, Near Ayush Vyanshanmukti Kendra, Near field of Shridhar Govardhan Awate, In village Jamgaon, Barshi, Solapur."/>
    <m/>
    <s v="Completed"/>
    <m/>
    <m/>
    <s v="NA"/>
    <m/>
    <s v="WIP"/>
    <s v="NA"/>
    <m/>
    <m/>
    <s v="NA"/>
    <m/>
    <m/>
    <m/>
  </r>
  <r>
    <n v="18"/>
    <s v="CN065449"/>
    <x v="1"/>
    <s v="MACT"/>
    <s v="F001-1018-SS-2025"/>
    <d v="2025-09-17T00:00:00"/>
    <x v="1"/>
    <x v="9"/>
    <x v="4"/>
    <d v="2025-10-08T00:00:00"/>
    <n v="45"/>
    <s v="BT"/>
    <s v="Partial Case"/>
    <s v="Dispatch"/>
    <x v="2"/>
    <m/>
    <s v="Sarfaraz Khan 9867183816"/>
    <m/>
    <m/>
    <s v="Completed"/>
    <s v="Na "/>
    <m/>
    <m/>
    <s v="NA"/>
    <s v="Chand Babu Israr Ahmad Khan"/>
    <m/>
    <m/>
    <s v="NA"/>
    <s v="Completed"/>
    <s v="Mustakh Muktar Ahmad"/>
    <m/>
    <s v="NA"/>
    <s v="Completed"/>
    <s v="Yes"/>
    <s v="Completed"/>
    <s v="Yes "/>
    <s v="Completed"/>
    <s v="NA"/>
    <s v="NA"/>
    <s v="NA"/>
    <s v="NA"/>
    <s v="NA "/>
    <s v="Garwarw, Mumbai Agra Highway, Ambad-Nashik."/>
    <s v="Nashik"/>
    <s v="Completed"/>
    <m/>
    <m/>
    <s v="NA"/>
    <m/>
    <s v="WIP"/>
    <m/>
    <m/>
    <m/>
    <s v="Completed"/>
    <m/>
    <m/>
    <m/>
  </r>
  <r>
    <n v="19"/>
    <s v="MTP-N-2526-003270"/>
    <x v="1"/>
    <s v="MACT"/>
    <s v="F001-1019-SS-2025"/>
    <d v="2025-09-17T00:00:00"/>
    <x v="1"/>
    <x v="10"/>
    <x v="1"/>
    <d v="2025-10-08T00:00:00"/>
    <n v="84"/>
    <s v="BT"/>
    <s v="Partial Case"/>
    <s v="Dispatch"/>
    <x v="2"/>
    <m/>
    <s v="Zainab Chand Babu Khan"/>
    <s v="Room No. 10, Mainuddin Chwal, Old CST road, Kalina, Santacruz-East, 400029."/>
    <s v="Mumbai"/>
    <s v="Completed"/>
    <s v="Na "/>
    <m/>
    <m/>
    <s v="NA"/>
    <s v="NA"/>
    <s v="NA "/>
    <s v="NA"/>
    <s v="NA"/>
    <s v="NA"/>
    <s v="NA"/>
    <m/>
    <s v="NA"/>
    <s v="NA"/>
    <s v="NA"/>
    <s v="NA"/>
    <s v="NA"/>
    <s v="NA"/>
    <s v="NA"/>
    <s v="NA"/>
    <s v="NA"/>
    <s v="NA"/>
    <s v="NA "/>
    <s v="Garwarw, Mumbai Agra Highway, Ambad-Nashik."/>
    <s v="Nashik"/>
    <s v="NA"/>
    <m/>
    <m/>
    <s v="NA"/>
    <m/>
    <s v="NA"/>
    <m/>
    <m/>
    <m/>
    <s v="Completed"/>
    <d v="2025-12-11T00:00:00"/>
    <s v="Disptach"/>
    <s v="DL extract"/>
  </r>
  <r>
    <n v="20"/>
    <s v="MTP-N-2526-003272"/>
    <x v="1"/>
    <s v="MACT"/>
    <s v="F001-1020-SS-2025"/>
    <d v="2025-09-17T00:00:00"/>
    <x v="1"/>
    <x v="10"/>
    <x v="1"/>
    <d v="2025-10-08T00:00:00"/>
    <n v="84"/>
    <s v="BT"/>
    <s v="Partial Case"/>
    <s v="Dispatch"/>
    <x v="2"/>
    <m/>
    <s v="Shan Babu Khan"/>
    <s v="Room No. 10, Mainuddin Chwal, Old CST road, Kalina, Santacruz-East, 400029."/>
    <s v="Mumbai"/>
    <s v="Completed"/>
    <s v="Na "/>
    <m/>
    <m/>
    <s v="NA"/>
    <s v="NA"/>
    <s v="NA"/>
    <s v="NA"/>
    <s v="NA"/>
    <s v="NA"/>
    <s v="NA"/>
    <m/>
    <s v="NA"/>
    <s v="NA"/>
    <s v="NA"/>
    <s v="NA"/>
    <s v="NA"/>
    <s v="NA"/>
    <s v="NA"/>
    <s v="NA"/>
    <s v="NA"/>
    <s v="NA"/>
    <s v="NA "/>
    <s v="Garwarw, Mumbai Agra Highway, Ambad-Nashik."/>
    <s v="Nashik"/>
    <s v="NA"/>
    <m/>
    <m/>
    <s v="NA"/>
    <m/>
    <s v="NA"/>
    <m/>
    <m/>
    <m/>
    <s v="Completed"/>
    <d v="2025-12-11T00:00:00"/>
    <s v="Disptach"/>
    <s v="Hospital Visit/claimant Visit/ claimant Income"/>
  </r>
  <r>
    <n v="21"/>
    <s v="C2254103102949-00"/>
    <x v="0"/>
    <s v="MACT"/>
    <s v="M002-1021-SS-2025"/>
    <d v="2025-03-18T00:00:00"/>
    <x v="2"/>
    <x v="6"/>
    <x v="4"/>
    <d v="2025-04-29T00:00:00"/>
    <n v="242"/>
    <s v="BT"/>
    <s v="Full Case"/>
    <s v="Dispatch"/>
    <x v="2"/>
    <m/>
    <s v="NA"/>
    <m/>
    <m/>
    <s v="Completed"/>
    <s v="Na "/>
    <m/>
    <m/>
    <s v="NA"/>
    <s v="NA"/>
    <m/>
    <m/>
    <s v="NA"/>
    <s v="Completed"/>
    <s v="NA"/>
    <m/>
    <s v="NA"/>
    <s v="NA"/>
    <s v="NA"/>
    <s v="NA"/>
    <s v="NA"/>
    <s v="NA"/>
    <s v="NA"/>
    <s v="NA"/>
    <s v="NA"/>
    <s v="NA "/>
    <s v="NA "/>
    <s v="NA "/>
    <m/>
    <s v="Completed"/>
    <s v="NA"/>
    <s v="NA"/>
    <s v="NA"/>
    <s v="NA"/>
    <s v="Completed"/>
    <s v="NA"/>
    <m/>
    <m/>
    <s v="NA"/>
    <m/>
    <m/>
    <s v="The case was originally assigned on 18th March. However, the CRN was not created in the old sheet. Therefore, for CRN generation, we have added the claim details in the new sheet."/>
  </r>
  <r>
    <n v="22"/>
    <n v="2024214888"/>
    <x v="2"/>
    <s v="MACT"/>
    <s v="R001-1022-SS-2025"/>
    <d v="2025-09-18T00:00:00"/>
    <x v="1"/>
    <x v="11"/>
    <x v="1"/>
    <d v="2025-10-30T00:00:00"/>
    <n v="82"/>
    <s v="BT"/>
    <s v="Full Case"/>
    <s v="Dispatch"/>
    <x v="2"/>
    <m/>
    <s v="Nurjaha Rajak Shaikh 9890985537"/>
    <s v="Gandhinagar, Kopargaon, Ahmadnagar"/>
    <s v="Sambhaji Nagar"/>
    <s v="Completed"/>
    <s v="Na "/>
    <m/>
    <m/>
    <s v="NA"/>
    <s v="Ramchand Bhagchand Bhandare 9823327788"/>
    <s v="Nr. Khandoba Mandir, Bhoygaon, Pendpur, Gangapur,  Sambhajinagar."/>
    <s v="Sambhaji Nagar"/>
    <s v="NA"/>
    <s v="Completed"/>
    <m/>
    <m/>
    <s v="Prashant Jeurkar"/>
    <s v="Completed"/>
    <s v="NA"/>
    <s v="NA"/>
    <s v="NA"/>
    <s v="NA"/>
    <s v="NA"/>
    <s v="NA"/>
    <s v="NA"/>
    <s v="NA"/>
    <s v="NA "/>
    <s v="On Bolegaon to Gangapur road, Before Vedant Hotel, Gangapur, Sambhajinagar."/>
    <s v="Sambhajinagar"/>
    <s v="Completed"/>
    <s v="81/2024"/>
    <s v="Gangapur Po. St."/>
    <s v="Sambhajinagar"/>
    <s v="NA"/>
    <s v="Completed"/>
    <s v="NA"/>
    <m/>
    <m/>
    <s v="NA"/>
    <m/>
    <m/>
    <s v="Insured/ Driver/ Spot / Claimant Out of station  / CS"/>
  </r>
  <r>
    <n v="23"/>
    <n v="2024214879"/>
    <x v="2"/>
    <s v="MACT"/>
    <s v="R001-1023-SS-2025"/>
    <d v="2025-09-19T00:00:00"/>
    <x v="1"/>
    <x v="11"/>
    <x v="1"/>
    <d v="2025-10-10T00:00:00"/>
    <n v="81"/>
    <s v="BT"/>
    <s v="Partial Case"/>
    <s v="Dispatch"/>
    <x v="2"/>
    <s v="Connected 2024214888"/>
    <s v="Suraj Satish Padar"/>
    <s v="Nivara, Kopargaon, Ahmadnagar. "/>
    <s v="NA"/>
    <s v="Completed"/>
    <s v="Na "/>
    <m/>
    <m/>
    <s v="NA"/>
    <s v="NA"/>
    <s v="NA"/>
    <m/>
    <s v="NA"/>
    <s v="NA"/>
    <s v="NA"/>
    <m/>
    <s v="NA"/>
    <s v="NA"/>
    <s v="NA"/>
    <s v="NA"/>
    <s v="NA"/>
    <s v="NA"/>
    <s v="NA"/>
    <s v="NA"/>
    <s v="NA"/>
    <s v="NA"/>
    <s v="NA "/>
    <s v="NA "/>
    <m/>
    <s v="NA"/>
    <s v="NA"/>
    <s v="NA"/>
    <s v="NA"/>
    <s v="NA"/>
    <s v="NA"/>
    <s v="NA"/>
    <m/>
    <m/>
    <s v="NA"/>
    <m/>
    <m/>
    <s v="Claimant Non Tracable "/>
  </r>
  <r>
    <n v="24"/>
    <s v="CM889835"/>
    <x v="1"/>
    <s v="MACT"/>
    <s v="F001-1024-SS-2025"/>
    <d v="2025-09-29T00:00:00"/>
    <x v="1"/>
    <x v="0"/>
    <x v="0"/>
    <d v="2025-10-20T00:00:00"/>
    <n v="86"/>
    <s v="BT"/>
    <s v="Partial Case"/>
    <s v="Open"/>
    <x v="1"/>
    <s v="Claimant/Eye Witness/Spot/MLC or GD/Insured"/>
    <s v="Sagera Rashid Tamboli"/>
    <s v="Ambehol, Dharashiv."/>
    <s v="Dharashiv"/>
    <s v="Completed"/>
    <s v="Na "/>
    <m/>
    <m/>
    <s v="NA"/>
    <s v="Nabilal Hajilal MUjawar 9922273444"/>
    <s v="R/O, B8, Manikgad Apartment, Bramhagiri Colony, Jail Road, Nashik."/>
    <s v="Nashik"/>
    <s v="NA"/>
    <s v="Completed"/>
    <s v="NA"/>
    <m/>
    <s v="NA"/>
    <s v="NA"/>
    <s v="NA"/>
    <s v="NA"/>
    <s v="NA"/>
    <s v="NA"/>
    <s v="NA"/>
    <s v="NA"/>
    <s v="NA"/>
    <s v="NA"/>
    <s v="NA "/>
    <s v="On Baleshwar Naka to Kasarwado road, Nr. Oxigen Park, at Barshi city po. St."/>
    <m/>
    <s v="Completed"/>
    <s v="187/2024"/>
    <s v="Barshi City Police Station"/>
    <s v="Barshi"/>
    <s v="NA"/>
    <s v="NA"/>
    <s v="NA"/>
    <m/>
    <m/>
    <s v="NI"/>
    <m/>
    <m/>
    <s v="Insured recording / Police station recording "/>
  </r>
  <r>
    <n v="25"/>
    <n v="2022201759"/>
    <x v="2"/>
    <s v="MACT"/>
    <s v="R001-1025-SS-2025"/>
    <d v="2025-10-08T00:00:00"/>
    <x v="3"/>
    <x v="12"/>
    <x v="1"/>
    <d v="2025-10-29T00:00:00"/>
    <n v="70"/>
    <s v="BT"/>
    <s v="Partial Case"/>
    <s v="Dispatch"/>
    <x v="2"/>
    <s v="Permit verification required from Nanded RTO"/>
    <s v="NA"/>
    <s v="NA"/>
    <m/>
    <s v="NA"/>
    <s v="Na "/>
    <m/>
    <m/>
    <s v="NA"/>
    <s v="NA"/>
    <m/>
    <s v="NA "/>
    <s v="NA"/>
    <s v="NA"/>
    <s v="NA"/>
    <m/>
    <s v="NA"/>
    <s v="NA"/>
    <s v="NA"/>
    <s v="NA"/>
    <s v="NA"/>
    <s v="NA"/>
    <s v="Yes "/>
    <s v="WIP"/>
    <s v="NA"/>
    <s v="NA"/>
    <s v="NA "/>
    <s v="NA "/>
    <m/>
    <s v="NA"/>
    <s v="NA"/>
    <s v="NA"/>
    <s v="NA"/>
    <s v="NA"/>
    <s v="NA"/>
    <s v="NA"/>
    <m/>
    <m/>
    <s v="NA"/>
    <m/>
    <m/>
    <s v="Permit verification required"/>
  </r>
  <r>
    <n v="26"/>
    <n v="2025202327"/>
    <x v="2"/>
    <s v="MACT"/>
    <s v="R001-1026-SS-2025"/>
    <d v="2025-10-08T00:00:00"/>
    <x v="3"/>
    <x v="0"/>
    <x v="0"/>
    <d v="2025-11-19T00:00:00"/>
    <n v="77"/>
    <s v="BT"/>
    <s v="Full Case"/>
    <s v="Open"/>
    <x v="0"/>
    <m/>
    <s v="   "/>
    <s v="R/O. Kalmula, Tq-Purna, Dis-Parbhani."/>
    <s v="Parbhani"/>
    <s v="Completed"/>
    <s v="Na "/>
    <m/>
    <m/>
    <s v="NA"/>
    <s v="Sangita Bharat Gajre"/>
    <s v="B-320, Steel Chember, Plot-514, Sec-KWC, Panvel. 410218."/>
    <s v="Navi Mumbai"/>
    <s v="NA"/>
    <s v="Completed"/>
    <s v="NA"/>
    <m/>
    <s v="NA"/>
    <s v="Completed"/>
    <s v="NA"/>
    <s v="NA"/>
    <s v="NA"/>
    <s v="NA"/>
    <s v="NA"/>
    <s v="NA"/>
    <s v="NA"/>
    <s v="NA"/>
    <s v="NA "/>
    <s v="At Limbgaon - Purna road, Near Opp Datta Mandir."/>
    <m/>
    <s v="Completed"/>
    <s v="55/2024"/>
    <s v="Limbgaon Po. St."/>
    <s v="Nanded"/>
    <s v="NA"/>
    <s v="WIP"/>
    <s v="NA"/>
    <m/>
    <m/>
    <s v="NA"/>
    <m/>
    <m/>
    <s v="Spot / Driver non contactable / Claimant Part Pending Insured and CS"/>
  </r>
  <r>
    <n v="27"/>
    <n v="2025200573"/>
    <x v="2"/>
    <s v="MACT"/>
    <s v="R001-1027-SS-2025"/>
    <d v="2025-10-08T00:00:00"/>
    <x v="3"/>
    <x v="0"/>
    <x v="0"/>
    <d v="2025-11-19T00:00:00"/>
    <n v="77"/>
    <s v="BT"/>
    <s v="Full Case"/>
    <s v="Open"/>
    <x v="1"/>
    <m/>
    <s v="Madhav Sheshrao Surve"/>
    <s v="Datta Nagar, Kailash Nagar, Lane No. 04, Plot No. 04,  Sambhajinagar."/>
    <s v="Sambhaji Nagar"/>
    <s v="Completed"/>
    <s v="Na "/>
    <m/>
    <m/>
    <s v="NA"/>
    <s v="AKASH SANJAY KAMBLE"/>
    <s v="NA"/>
    <s v="NA "/>
    <s v="NA"/>
    <s v="WIP"/>
    <s v="NA"/>
    <m/>
    <s v="NA"/>
    <s v="WIP"/>
    <s v="NA"/>
    <s v="NA"/>
    <s v="NA"/>
    <s v="NA"/>
    <s v="NA"/>
    <s v="NA"/>
    <s v="NA"/>
    <s v="NA"/>
    <s v="NA "/>
    <s v="In front of river bridgeOn Chickali Mahekar road,"/>
    <m/>
    <s v="WIP"/>
    <s v="721/2023"/>
    <s v="Mahekar po. St."/>
    <s v="Sambhajinagar"/>
    <s v="NA"/>
    <s v="WIP"/>
    <s v="NA"/>
    <m/>
    <m/>
    <s v="NA"/>
    <m/>
    <m/>
    <m/>
  </r>
  <r>
    <n v="28"/>
    <n v="2025206296"/>
    <x v="2"/>
    <s v="MACT"/>
    <s v="R001-1028-SS-2025"/>
    <d v="2025-10-08T00:00:00"/>
    <x v="3"/>
    <x v="0"/>
    <x v="0"/>
    <d v="2025-11-19T00:00:00"/>
    <n v="77"/>
    <s v="BT"/>
    <s v="Full Case"/>
    <s v="Open"/>
    <x v="0"/>
    <m/>
    <s v="Ashok Bansilal Dayma"/>
    <s v="ND-42, P-01, 36/02, Wagala road, Back to Gajanan Tempale, Hudko, Kouta, Posi - CIDCO Nanded. "/>
    <s v="Nanded"/>
    <s v="Completed"/>
    <s v="Na "/>
    <m/>
    <m/>
    <s v="NA"/>
    <s v="Deelip Ramsing Rathod"/>
    <s v="Sanket, Geeta Nagar, Nr Anand Nagar, Nanded."/>
    <s v="Nanded"/>
    <s v="NA"/>
    <s v="Completed"/>
    <s v="NA"/>
    <m/>
    <s v="NA"/>
    <s v="Completed"/>
    <s v="NA"/>
    <s v="NA"/>
    <s v="NA"/>
    <s v="NA"/>
    <s v="NA"/>
    <s v="NA"/>
    <s v="NA"/>
    <s v="NA"/>
    <s v="NA "/>
    <s v="At Bus Station MSRTC, Nanded."/>
    <s v="Nanded"/>
    <s v="Completed"/>
    <s v="217/2024"/>
    <s v="Vazirabad Po. St."/>
    <s v="Nanded"/>
    <s v="NA"/>
    <s v="WIP"/>
    <s v="NA"/>
    <m/>
    <m/>
    <s v="NA"/>
    <m/>
    <m/>
    <s v="Claimant Visit/ Driver- DL/ Insured/ Spot  Pending for CS "/>
  </r>
  <r>
    <n v="29"/>
    <n v="2025202596"/>
    <x v="2"/>
    <s v="MACT"/>
    <s v="R001-1029-SS-2025"/>
    <d v="2025-10-08T00:00:00"/>
    <x v="3"/>
    <x v="13"/>
    <x v="1"/>
    <d v="2025-11-19T00:00:00"/>
    <n v="57"/>
    <s v="BT"/>
    <s v="Full Case"/>
    <s v="Dispatch"/>
    <x v="2"/>
    <m/>
    <s v="Kusum Shravan Jadhav"/>
    <s v="R/O. Chabra Tanda, hadgaon, Nanded."/>
    <s v="Nanded"/>
    <s v="Completed"/>
    <s v="Na "/>
    <m/>
    <m/>
    <s v="NA"/>
    <s v="Bhagwan Amarshing Ade"/>
    <s v="Walaki BK Tanda, Hadgaon, Nanded."/>
    <s v="Nanded"/>
    <s v="NA"/>
    <s v="Completed"/>
    <s v="NA"/>
    <m/>
    <s v="NA"/>
    <s v="Completed"/>
    <s v="NA"/>
    <s v="NA"/>
    <s v="NA"/>
    <s v="NA"/>
    <s v="NA"/>
    <s v="NA"/>
    <s v="NA"/>
    <s v="NA"/>
    <s v="NA "/>
    <s v="Nr the field of Govind Amarsing Chavhan, On Chabra Tanda to Sonala Canal road."/>
    <m/>
    <s v="Completed"/>
    <m/>
    <s v="Ardhapur Po. St."/>
    <s v="Nanded"/>
    <s v="NA"/>
    <s v="NA"/>
    <s v="NA"/>
    <m/>
    <m/>
    <s v="NA"/>
    <m/>
    <m/>
    <s v="Claimant/ Insured/ Spot/Driver Pending for CS"/>
  </r>
  <r>
    <n v="30"/>
    <n v="2025211210"/>
    <x v="2"/>
    <s v="MACT"/>
    <s v="R001-1030-SS-2025"/>
    <d v="2025-10-08T00:00:00"/>
    <x v="3"/>
    <x v="14"/>
    <x v="1"/>
    <d v="2025-11-19T00:00:00"/>
    <n v="71"/>
    <s v="BT"/>
    <s v="Full Case"/>
    <s v="Dispatch"/>
    <x v="2"/>
    <m/>
    <s v="Hayat Khan Husen Khan"/>
    <s v="Near. Dr. Babasaheb Ambedkar Statue, Nutan Vasahat, Old Jalne."/>
    <s v="Jalna"/>
    <s v="Completed"/>
    <s v="Na "/>
    <m/>
    <m/>
    <s v="NA"/>
    <s v="Kailas Nana Tayde"/>
    <s v="Near. Dr. Babasaheb Ambedkar Statue, Nutan Vasahat, Old Jalne."/>
    <s v="Jalna"/>
    <s v="NA"/>
    <s v="Completed"/>
    <s v="NA"/>
    <m/>
    <s v="NA"/>
    <s v="Completed"/>
    <s v="NA"/>
    <s v="NA"/>
    <s v="NA"/>
    <s v="NA"/>
    <s v="NA"/>
    <s v="NA"/>
    <s v="NA"/>
    <s v="NA"/>
    <s v="NA "/>
    <s v="On Jalna to Rajur road, In Dagadwadi Shivar"/>
    <s v="Jalna"/>
    <s v="Completed"/>
    <s v="304/2019"/>
    <s v="Chandanjira Po. St."/>
    <s v="Nanded"/>
    <s v="NA"/>
    <s v="Completed"/>
    <s v="NA"/>
    <m/>
    <m/>
    <s v="NA"/>
    <m/>
    <m/>
    <s v="Claimant/ Insured/ Driver/ Spot completed / Oposite party verification completed "/>
  </r>
  <r>
    <n v="31"/>
    <n v="2025211101"/>
    <x v="2"/>
    <s v="MACT"/>
    <s v="R001-1031-SS-2025"/>
    <d v="2025-10-08T00:00:00"/>
    <x v="3"/>
    <x v="0"/>
    <x v="0"/>
    <d v="2025-11-19T00:00:00"/>
    <n v="77"/>
    <s v="BT"/>
    <s v="Full Case"/>
    <s v="Open"/>
    <x v="1"/>
    <m/>
    <s v="Shaikh Qayyum Shaikh Habib"/>
    <s v="Millat Nagar, Degloor naka, Nanded."/>
    <s v="Nanded"/>
    <s v="Completed"/>
    <s v="Na "/>
    <m/>
    <m/>
    <s v="NA"/>
    <s v="Anwar Khan Sattar Khan"/>
    <s v="Devi Nagar, Degloor Naka, Nanded."/>
    <s v="Nanded"/>
    <s v="NA"/>
    <s v="Completed"/>
    <s v="NA"/>
    <m/>
    <s v="NA"/>
    <s v="WIP"/>
    <s v="NA"/>
    <s v="NA"/>
    <s v="NA"/>
    <s v="NA"/>
    <s v="NA"/>
    <s v="NA"/>
    <s v="NA"/>
    <s v="NA"/>
    <s v="NA "/>
    <s v="Near Shakti Tractor Agancy, Wajegaon bridge, nanded. "/>
    <s v="Nanded"/>
    <s v="Completed"/>
    <s v="309/2016"/>
    <s v="Nanded Rural Po. St."/>
    <s v="Nanded"/>
    <s v="NA"/>
    <s v="WIP"/>
    <s v="NA"/>
    <m/>
    <m/>
    <s v="NA"/>
    <m/>
    <m/>
    <s v="Claimant/ Insured/ Spot Pending for Driver and CS"/>
  </r>
  <r>
    <n v="32"/>
    <s v="CN069407"/>
    <x v="1"/>
    <s v="MACT"/>
    <s v="F001-1032-SS-2025"/>
    <d v="2025-10-08T00:00:00"/>
    <x v="3"/>
    <x v="15"/>
    <x v="4"/>
    <d v="2025-11-19T00:00:00"/>
    <n v="48"/>
    <s v="BT"/>
    <s v="Full Case"/>
    <s v="Dispatch"/>
    <x v="2"/>
    <m/>
    <s v="Shubham Keshav Chavhan 7058119728"/>
    <s v="383, Ramnagar, Chinchwad, Pune.19. khopoli."/>
    <s v="Raigad"/>
    <s v="Completed"/>
    <s v="Na "/>
    <m/>
    <m/>
    <s v="NA"/>
    <s v="Bipin Ramesh Choube"/>
    <s v="Rakamathi, Nagpur."/>
    <s v="Nagpur"/>
    <s v="NA"/>
    <s v="Completed"/>
    <s v="NA"/>
    <m/>
    <s v="NA"/>
    <s v="Completed"/>
    <s v="Yes"/>
    <s v="Completed"/>
    <s v="yes"/>
    <s v="Completed"/>
    <s v="NA"/>
    <s v="NA"/>
    <s v="NA"/>
    <s v="NA"/>
    <s v="NA "/>
    <s v="In the shivar of Milthakurwadi village, Old Pune-Mumbai highway, Down the bridge Khalapur."/>
    <s v="Mumbai"/>
    <s v="Completed"/>
    <s v="150/2025"/>
    <s v="Khopoli po. St."/>
    <s v="Raigad"/>
    <s v="NA"/>
    <s v="Completed"/>
    <s v="NA"/>
    <m/>
    <m/>
    <s v="Completed"/>
    <d v="2025-12-02T00:00:00"/>
    <s v="Disptach"/>
    <s v="Police Station vist and Spot done/ Insured Done Non cooprative / Claimant Part / CS - Pending for Claimant KYC "/>
  </r>
  <r>
    <n v="33"/>
    <n v="2025211134"/>
    <x v="2"/>
    <s v="MACT"/>
    <s v="R001-1033-SS-2025"/>
    <d v="2025-10-10T00:00:00"/>
    <x v="3"/>
    <x v="0"/>
    <x v="0"/>
    <d v="2025-11-21T00:00:00"/>
    <n v="75"/>
    <s v="BT"/>
    <s v="Full Case"/>
    <s v="Open"/>
    <x v="1"/>
    <m/>
    <s v="Krishna Bhima Bhalbar 9130734143"/>
    <s v="R/O. Mungurwadi, Tal - Gadhinglaj, Dis - Kolhapur. 416503."/>
    <s v="Kolapur"/>
    <s v="Completed"/>
    <s v="Na "/>
    <m/>
    <m/>
    <s v="NA"/>
    <s v="Santosh Tukaram Tandale"/>
    <s v="R/O. Koregaon, Massajog, Kaij, Beed. 431123."/>
    <s v="Beed"/>
    <s v="NA"/>
    <s v="Completed"/>
    <s v="NA"/>
    <m/>
    <s v="NA"/>
    <s v="WIP"/>
    <s v="NA"/>
    <s v="NA"/>
    <s v="NA"/>
    <s v="NA"/>
    <s v="NA"/>
    <s v="NA"/>
    <s v="NA"/>
    <s v="NA"/>
    <s v="NA "/>
    <s v="On Kadegaon Road, In frount of Warna Bank, Gadhinglaj, Kolhapur."/>
    <s v="Kolhapur"/>
    <s v="Completed"/>
    <s v="007/2024"/>
    <s v="Gadhinglaj Po. St."/>
    <s v="Kolhapur"/>
    <s v="NA"/>
    <s v="Completed"/>
    <s v="NA"/>
    <m/>
    <m/>
    <s v="NA"/>
    <m/>
    <m/>
    <s v="CS /Insured Done Pending for Claimant Driver/ Spot "/>
  </r>
  <r>
    <n v="34"/>
    <n v="2025207292"/>
    <x v="2"/>
    <s v="MACT"/>
    <s v="R001-1034-SS-2025"/>
    <d v="2025-10-10T00:00:00"/>
    <x v="3"/>
    <x v="0"/>
    <x v="0"/>
    <d v="2025-10-31T00:00:00"/>
    <n v="75"/>
    <s v="BT"/>
    <s v="Partial Case"/>
    <s v="Open"/>
    <x v="0"/>
    <s v="_x000a_Required Complete chargesheet"/>
    <s v="Durga Yogesh Totewad"/>
    <s v="NA"/>
    <s v="NA"/>
    <s v="NA"/>
    <s v="Na "/>
    <m/>
    <m/>
    <s v="NA"/>
    <s v="NA"/>
    <s v="NA"/>
    <s v="NA"/>
    <s v="NA"/>
    <s v="NA"/>
    <s v="NA"/>
    <m/>
    <s v="NA"/>
    <s v="NA"/>
    <s v="NA"/>
    <s v="NA"/>
    <s v="NA"/>
    <s v="NA"/>
    <s v="NA"/>
    <s v="NA"/>
    <s v="NA"/>
    <s v="NA"/>
    <s v="NA "/>
    <s v="From Shankar Nagar towards Mukhed, Nr, Mahalali waterservicing, in Berali shivar, Mukhed, Nanded."/>
    <s v="Nanded"/>
    <s v="NA"/>
    <s v="33/2025"/>
    <s v="MUkhed Po. ST."/>
    <s v="Nanded"/>
    <s v="NA"/>
    <s v="WIP"/>
    <s v="NA"/>
    <m/>
    <m/>
    <s v="NA"/>
    <m/>
    <m/>
    <s v="Pending for CS "/>
  </r>
  <r>
    <n v="35"/>
    <n v="2025211462"/>
    <x v="2"/>
    <s v="MACT"/>
    <s v="R001-1035-SS-2025"/>
    <d v="2025-10-14T00:00:00"/>
    <x v="3"/>
    <x v="0"/>
    <x v="0"/>
    <d v="2025-11-25T00:00:00"/>
    <n v="71"/>
    <s v="BT"/>
    <s v="Full Case"/>
    <s v="Open"/>
    <x v="1"/>
    <m/>
    <s v="Gajanan Bapurao Janakwade 9511894731"/>
    <s v="Vishranti Chowk, Jai-Bhavani Nagar, Mukundwadi Railway Station, Lane No. 09, Sambhajinagar."/>
    <s v="Sambhaji Nagar"/>
    <s v="Completed"/>
    <s v="Na "/>
    <m/>
    <m/>
    <s v="NA"/>
    <s v="Santosh Sampat Mhaske"/>
    <s v="House No. 116, Tadhegaon, Dusrbid, Sindhkhedraja, Buldhana."/>
    <s v="Buldhana"/>
    <s v="NA"/>
    <s v="Completed"/>
    <s v="Dharamraj Namdev Gawai"/>
    <m/>
    <s v="Prashant Jeurkar"/>
    <s v="NA"/>
    <s v="NA"/>
    <s v="NA"/>
    <s v="NA"/>
    <s v="NA"/>
    <s v="NA"/>
    <s v="NA"/>
    <s v="NA"/>
    <s v="NA"/>
    <s v="NA "/>
    <s v="On Mill Corner to Baba petrol pump road, Infront of central Bus stand, Sambhajinagar."/>
    <s v="Sambhajinagar"/>
    <s v="Completed"/>
    <s v="184/2024"/>
    <s v="Kranti Chwok Po. St."/>
    <s v="Sambhajinagar"/>
    <s v="NA"/>
    <s v="WIP"/>
    <s v="NA"/>
    <m/>
    <m/>
    <s v="NA"/>
    <m/>
    <m/>
    <s v="Claimant/ SPot Pending for Driver, Insured and CS"/>
  </r>
  <r>
    <n v="36"/>
    <n v="2025211458"/>
    <x v="2"/>
    <s v="MACT"/>
    <s v="R001-1036-SS-2025"/>
    <d v="2025-10-14T00:00:00"/>
    <x v="3"/>
    <x v="0"/>
    <x v="0"/>
    <d v="2025-11-25T00:00:00"/>
    <n v="71"/>
    <s v="BT"/>
    <s v="Full Case"/>
    <s v="Open"/>
    <x v="0"/>
    <m/>
    <s v="Sandita Tukaram Hud 9022498025"/>
    <s v="Padali, Paithan, Sambhajinagar."/>
    <s v="Sambhaji Nagar"/>
    <s v="Completed"/>
    <s v="Na "/>
    <m/>
    <m/>
    <s v="NA"/>
    <s v="Shrinivas Narsing Pal 7777072902"/>
    <s v="Near Sudhagad Highschool, Kopara, kharghar, Panvel."/>
    <s v="Navi Mumbai"/>
    <s v="NA"/>
    <s v="Completed"/>
    <s v="NA"/>
    <m/>
    <s v="Amit Dalvi"/>
    <s v="Completed"/>
    <s v="NA"/>
    <s v="NA"/>
    <s v="NA"/>
    <s v="NA"/>
    <s v="NA"/>
    <s v="NA"/>
    <s v="NA"/>
    <s v="NA"/>
    <s v="NA "/>
    <s v="Near RJ feed company, In front of Shinde vasti, Bidkin to Shekta road, Bidkin, Paithan, Sambhajinagar."/>
    <s v="Sambhajinagar"/>
    <s v="Completed"/>
    <s v="277/2024"/>
    <s v="Bidkin Po. St."/>
    <s v="Sambhajinagar"/>
    <s v="NA"/>
    <s v="WIP"/>
    <s v="NA"/>
    <m/>
    <m/>
    <s v="NA"/>
    <m/>
    <m/>
    <s v="Spot/ Claimant/ Insured and Driver Pending for CS"/>
  </r>
  <r>
    <n v="37"/>
    <n v="2025211454"/>
    <x v="2"/>
    <s v="MACT"/>
    <s v="R001-1037-SS-2025"/>
    <d v="2025-10-14T00:00:00"/>
    <x v="3"/>
    <x v="0"/>
    <x v="0"/>
    <d v="2025-11-25T00:00:00"/>
    <n v="71"/>
    <s v="BT"/>
    <s v="Full Case"/>
    <s v="Open"/>
    <x v="1"/>
    <m/>
    <s v="Balkrishna Punjaram Jadhav 77385358585"/>
    <s v="Plot No. 03, Maroti Nagar, Mayur Park, Harsul, Sambhajinagar."/>
    <s v="Sambhaji Nagar"/>
    <s v="Completed"/>
    <s v="Na "/>
    <m/>
    <m/>
    <s v="NA"/>
    <s v="Aksha Ramesh Pawar "/>
    <s v="Umarkheda, Kannad, Sambhajinagar."/>
    <s v="Sambhaji Nagar"/>
    <s v="NA"/>
    <s v="WIP"/>
    <s v="Sachin Santosh Awasarmol"/>
    <m/>
    <s v="Prashant Jeurkar"/>
    <s v="WIP"/>
    <s v="NA"/>
    <s v="NA"/>
    <s v="NA"/>
    <s v="NA"/>
    <s v="NA"/>
    <s v="NA"/>
    <s v="NA"/>
    <s v="NA"/>
    <s v="NA "/>
    <s v="On Sambhajinagar to Fhulambri road, Opp Sai Engineering colledge, Chauka Village, Sambahjinagar."/>
    <s v="Sambhajinagar"/>
    <s v="Completed"/>
    <s v="52/2024"/>
    <s v="Phulambri Po. St."/>
    <s v="Sambhajinagar"/>
    <s v="NA"/>
    <s v="WIP"/>
    <s v="NA"/>
    <m/>
    <m/>
    <s v="NA"/>
    <m/>
    <m/>
    <s v="Claimant/ SPot Pending for Driver, Insured and CS"/>
  </r>
  <r>
    <n v="38"/>
    <n v="2025211475"/>
    <x v="2"/>
    <s v="MACT"/>
    <s v="R001-1038-SS-2025"/>
    <d v="2025-10-16T00:00:00"/>
    <x v="3"/>
    <x v="0"/>
    <x v="0"/>
    <d v="2025-11-27T00:00:00"/>
    <n v="69"/>
    <s v="BT"/>
    <s v="Full Case"/>
    <s v="Open"/>
    <x v="1"/>
    <m/>
    <s v="Rohit  Ramchandra Giri"/>
    <s v=" R/o. Ekondi Tq. Lohara Dist. Dharashiv"/>
    <s v="Dharashiv"/>
    <s v="Completed"/>
    <s v="Na "/>
    <m/>
    <m/>
    <s v="NA"/>
    <s v="Lalaji Manikrao Dhonde @ Dhande"/>
    <s v=" R/o. Shelu Tq. Ausa Dist. Latur"/>
    <s v="Latur"/>
    <s v="NA"/>
    <s v="Completed"/>
    <s v="NA "/>
    <m/>
    <s v="NA"/>
    <s v="WIP"/>
    <s v="NA"/>
    <s v="NA"/>
    <s v="NA"/>
    <s v="NA"/>
    <s v="NA"/>
    <s v="NA"/>
    <s v="NA"/>
    <s v="NA"/>
    <s v="NA "/>
    <s v=" on Latur to Omerga road infront of Sandhya Bar in village Narangwadi"/>
    <s v="Dharashiv"/>
    <s v="WIP"/>
    <s v="398/2025"/>
    <s v="Omerga po.st"/>
    <s v="Dharashiv"/>
    <s v="NA"/>
    <s v="WIP"/>
    <s v="NA"/>
    <m/>
    <m/>
    <s v="NA"/>
    <m/>
    <m/>
    <s v="Claimant / Insured  Pending for Driver/ Spot and CS "/>
  </r>
  <r>
    <n v="39"/>
    <n v="2025211478"/>
    <x v="2"/>
    <s v="MACT"/>
    <s v="R001-1039-SS-2025"/>
    <d v="2025-10-16T00:00:00"/>
    <x v="3"/>
    <x v="0"/>
    <x v="0"/>
    <d v="2025-11-27T00:00:00"/>
    <n v="69"/>
    <s v="BT"/>
    <s v="Full Case"/>
    <m/>
    <x v="0"/>
    <m/>
    <s v="Ashmira Tazmeen Shaikh Khaled"/>
    <s v="Both at present - Sharda Nagar, Degloor, Tq.- Degloor, Dist.- Nanded."/>
    <s v="Nanded"/>
    <s v="Completed"/>
    <s v="Na "/>
    <m/>
    <m/>
    <s v="NA"/>
    <s v="Ajay Satyanarayan Totawar "/>
    <s v="R/o:- Shivneri nager, Rampur road, Degloor, Tq.- Degloor, Dist.-Nanded."/>
    <s v="Nanded"/>
    <s v="NA"/>
    <s v="Completed"/>
    <s v="NA "/>
    <m/>
    <s v="NA"/>
    <s v="Completed"/>
    <s v="NA"/>
    <s v="NA"/>
    <s v="NA"/>
    <s v="NA"/>
    <s v="NA"/>
    <s v="NA"/>
    <s v="NA"/>
    <s v="NA"/>
    <s v="NA "/>
    <s v="On Nanded, deglur , Maharashtra "/>
    <s v="Nanded"/>
    <s v="Completed"/>
    <s v="0153/2025"/>
    <s v="Deglur PS"/>
    <s v="Nanded"/>
    <s v="NA"/>
    <s v="WIP"/>
    <s v="NA"/>
    <m/>
    <m/>
    <s v="NA"/>
    <m/>
    <m/>
    <s v="Claimant / Insured/ Spot Driver Out of station Pending for CS"/>
  </r>
  <r>
    <n v="40"/>
    <n v="2025210709"/>
    <x v="2"/>
    <s v="MACT"/>
    <s v="R001-1040-SS-2025"/>
    <d v="2025-10-16T00:00:00"/>
    <x v="3"/>
    <x v="16"/>
    <x v="1"/>
    <d v="2025-11-27T00:00:00"/>
    <n v="65"/>
    <s v="BT"/>
    <s v="Full Case"/>
    <s v="Dispatch"/>
    <x v="2"/>
    <m/>
    <s v="Chagan Sudam Gawai "/>
    <s v="residence Rajnagar, Mukundwadi, Aurangabad"/>
    <s v="Sambhaji Nagar"/>
    <s v="Completed"/>
    <s v="Na "/>
    <m/>
    <m/>
    <s v="NA"/>
    <s v="Sanjay Sudam Gadgul"/>
    <s v="Karodi, post Ghanegaon Tal. Dist. Aurangabad Mo. 8888260678"/>
    <s v="Sambhaji Nagar"/>
    <s v="NA"/>
    <s v="Completed"/>
    <s v="NA "/>
    <m/>
    <s v="NA"/>
    <s v="WIP"/>
    <s v="NA"/>
    <s v="NA"/>
    <s v="NA"/>
    <s v="NA"/>
    <s v="NA"/>
    <s v="NA"/>
    <s v="NA"/>
    <s v="NA"/>
    <s v="NA "/>
    <s v="On Dhule Solapur highway, Tisgaon Choufuli,On the Bridge west side, Tisgaon, Sambhajinagar. "/>
    <s v="Sambhajinagar"/>
    <s v="Completed"/>
    <s v="0150/2025"/>
    <s v="MIDC Valunj"/>
    <s v="Sambhajinagar"/>
    <s v="NA"/>
    <s v="WIP"/>
    <s v="NA"/>
    <m/>
    <m/>
    <s v="NA"/>
    <m/>
    <m/>
    <s v="Claimant/ Insured /Spot / Pending for driver and CS"/>
  </r>
  <r>
    <n v="41"/>
    <s v="CN066141"/>
    <x v="1"/>
    <s v="MACT"/>
    <s v="F001-1041-SS-2025"/>
    <d v="2025-10-27T00:00:00"/>
    <x v="3"/>
    <x v="17"/>
    <x v="1"/>
    <d v="2025-11-17T00:00:00"/>
    <n v="50"/>
    <s v="BT"/>
    <s v="Partial Case"/>
    <s v="Dispatch"/>
    <x v="2"/>
    <s v="Hospital &amp; Eyewitness Verification"/>
    <s v="Ravindra Motiram Mistry"/>
    <s v="NA "/>
    <s v="NA"/>
    <s v="NA"/>
    <s v="Na "/>
    <m/>
    <m/>
    <s v="NA"/>
    <s v="NA"/>
    <s v="NA "/>
    <s v="NA"/>
    <s v="NA"/>
    <s v="NA"/>
    <s v="NA "/>
    <m/>
    <s v="NA "/>
    <s v="NA"/>
    <s v="NA "/>
    <s v="NA"/>
    <s v="NA "/>
    <s v="NA"/>
    <s v="NA "/>
    <s v="NA "/>
    <s v="NA "/>
    <s v="NA"/>
    <s v="NA "/>
    <s v="Public place on the road opposite Someshwar Temple, Songir Dondaicha Road"/>
    <m/>
    <s v="NA"/>
    <s v="NA"/>
    <s v="NA "/>
    <s v="NA "/>
    <s v="NA"/>
    <s v="NA"/>
    <s v="Hire medical Colleage and Hospital "/>
    <s v="Dhule"/>
    <s v="Dhule"/>
    <s v="WIP"/>
    <m/>
    <m/>
    <s v="Eyewitness Dipak/chetan and Hospital visit done pending for Eyewithness Lotan and Hospital documents"/>
  </r>
  <r>
    <n v="42"/>
    <s v="MTP-N-2526-004127"/>
    <x v="1"/>
    <s v="MACT"/>
    <s v="F001-1042-SS-2025"/>
    <d v="2025-10-30T00:00:00"/>
    <x v="3"/>
    <x v="0"/>
    <x v="0"/>
    <d v="2025-12-11T00:00:00"/>
    <n v="55"/>
    <s v="BT"/>
    <s v="Full Case"/>
    <s v="Open"/>
    <x v="1"/>
    <m/>
    <s v="Gajanan Laxman Gadekar"/>
    <s v="Pokhari Post Sao, Taluka,Dist: Buldana443101"/>
    <s v="Buldana"/>
    <s v="Completed"/>
    <s v="Na "/>
    <m/>
    <m/>
    <s v="NA"/>
    <s v="Ranjeet Lala Chavan"/>
    <s v="R/O  Khadaki,Post-Rajur,Taluka-Motala,Dist:Buldana-443101"/>
    <s v="Buldhana"/>
    <s v="NA"/>
    <s v="WIP"/>
    <s v="NA "/>
    <m/>
    <s v="NA "/>
    <s v="WIP"/>
    <s v="NA"/>
    <s v="WIP"/>
    <s v="NA "/>
    <s v="WIP"/>
    <s v="NA"/>
    <s v="NA"/>
    <s v="NA "/>
    <s v="NA"/>
    <s v="NA "/>
    <s v="At Samruddhi Mahamarg Chanel No 536, Pathare Shivar,Sinner,Dist Nashik 423605"/>
    <s v="Nashik"/>
    <s v="WIP"/>
    <n v="234"/>
    <s v="Vavi PS"/>
    <s v="Nashik"/>
    <s v="NA"/>
    <s v="WIP"/>
    <s v="Rural Hospital Kopergaon"/>
    <m/>
    <s v="NA"/>
    <s v="NA"/>
    <m/>
    <m/>
    <m/>
  </r>
  <r>
    <n v="43"/>
    <n v="2025212071"/>
    <x v="2"/>
    <s v="MACT"/>
    <s v="R001-1043-SS-2025"/>
    <d v="2025-10-31T00:00:00"/>
    <x v="3"/>
    <x v="0"/>
    <x v="0"/>
    <s v=""/>
    <n v="54"/>
    <s v="BT"/>
    <s v="Connected Case"/>
    <s v="Open"/>
    <x v="1"/>
    <s v="For Claimant Part Only. (Connected)"/>
    <s v="Shushmita  Vijay Sure"/>
    <s v="R/O   At Narsingpur, Taluka Kannad and District Aurangabad"/>
    <s v="Sambhaji Nagar"/>
    <s v="Completed"/>
    <s v="Na "/>
    <m/>
    <m/>
    <s v="NA"/>
    <s v="Noor Mohammad Shaikh "/>
    <s v="R/o. Near Jama Masjid , Athwadi  Bazar , Taluka Kannad, Dist. Aurangabad "/>
    <s v="Sambhaji Nagar"/>
    <s v="NA"/>
    <s v="NA"/>
    <s v="NA "/>
    <m/>
    <s v="NA "/>
    <s v="NA"/>
    <s v="NA "/>
    <s v="NA"/>
    <s v="NA "/>
    <s v="NA"/>
    <s v="NA "/>
    <s v="NA "/>
    <s v="NA "/>
    <s v="NA"/>
    <s v="NA "/>
    <s v="Kannad to Aurangabad Road, Near  Reliance Petrol Pump, Taluka Kannad, sambhaji Nagar "/>
    <s v="Sambhajinagar"/>
    <s v="NA"/>
    <s v="0154/2023"/>
    <s v="Kannad PS"/>
    <s v="Aurangabad"/>
    <s v="NA"/>
    <s v="NA"/>
    <s v="NA "/>
    <m/>
    <m/>
    <s v="NA"/>
    <m/>
    <m/>
    <s v="claimant Part  "/>
  </r>
  <r>
    <n v="44"/>
    <n v="2025212068"/>
    <x v="2"/>
    <s v="MACT"/>
    <s v="R001-1044-SS-2025"/>
    <d v="2025-10-31T00:00:00"/>
    <x v="3"/>
    <x v="14"/>
    <x v="1"/>
    <d v="2025-12-12T00:00:00"/>
    <n v="48"/>
    <s v="BT"/>
    <s v="Full Case"/>
    <s v="Dispatch"/>
    <x v="2"/>
    <m/>
    <s v="Kusumbai Ramesh Bobde"/>
    <s v=" Pendapur, Tal. Gangapur, District Aurangabad"/>
    <s v="Sambhaji Nagar"/>
    <s v="Completed"/>
    <s v="Na "/>
    <m/>
    <m/>
    <s v="NA"/>
    <s v="Kakasaheb Shrirang Dhumal"/>
    <s v="R/O   Khadgaon Taluka Gangapur Dist Aurangabad."/>
    <s v="Sambhaji Nagar"/>
    <s v="Completed"/>
    <s v="Completed"/>
    <s v="Kakasaheb Shrirang Dhumal"/>
    <m/>
    <s v="Prashant Jeurkar"/>
    <s v="Completed"/>
    <s v="NA "/>
    <s v="NA"/>
    <s v="NA "/>
    <s v="NA"/>
    <s v="NA "/>
    <s v="NA "/>
    <s v="NA "/>
    <s v="NA"/>
    <s v="NA "/>
    <s v="Pendapur to Dhoregaon road. Near Farm Group No. 8"/>
    <m/>
    <s v="Completed"/>
    <s v="0484/2024"/>
    <s v="Gangapur PS"/>
    <s v="Aurangabad"/>
    <s v="NA"/>
    <s v="Completed"/>
    <s v="NA "/>
    <m/>
    <m/>
    <s v="NA"/>
    <m/>
    <m/>
    <s v="Claimant/ Insured/ Spot done/ Driver DL and KYC pending for CS - Required Completed CS to The Client"/>
  </r>
  <r>
    <n v="45"/>
    <n v="2025212058"/>
    <x v="2"/>
    <s v="MACT"/>
    <s v="R001-1045-SS-2025"/>
    <d v="2025-10-31T00:00:00"/>
    <x v="3"/>
    <x v="18"/>
    <x v="4"/>
    <d v="2025-12-12T00:00:00"/>
    <n v="10"/>
    <s v="WT"/>
    <s v="Full Case"/>
    <s v="Open"/>
    <x v="1"/>
    <m/>
    <s v="Mira Devi  Anil Kumar"/>
    <s v="Parsa Kalan, Post: Semrai, Dist. Siddharth Nagar [Utter Pradesh] At present, Mangal Murti Colony, Ranjangaon Shenpunji, Waluj MIDC Area Aurangabad"/>
    <s v="Sambhaji Nagar"/>
    <s v="Completed"/>
    <s v="Na "/>
    <m/>
    <m/>
    <s v="NA"/>
    <s v="S. CUBE INFRASTRUCTURE"/>
    <s v="Vedant Nagar, Shop No.11, Labh Chambers, Opp. Vishal Holidays Resort, Station Road, Aurangabad, Maharashtra"/>
    <s v="Sambhaji Nagar"/>
    <s v="NA"/>
    <s v="Completed"/>
    <s v="NA "/>
    <m/>
    <s v="Prashant Jeurkar"/>
    <s v="WIP"/>
    <s v="NA "/>
    <s v="NA"/>
    <s v="NA "/>
    <s v="NA"/>
    <s v="NA "/>
    <s v="NA "/>
    <s v="NA "/>
    <s v="NA"/>
    <s v="NA "/>
    <s v="On Chikalthana to Naregaon Road at Cambridge Chowk, Aurangabad_x000a_"/>
    <s v="Sambhajinagar"/>
    <s v="Completed"/>
    <s v="0660/2024"/>
    <s v="MIDC-CIDCO PS"/>
    <s v="Aurangabad"/>
    <s v="NA"/>
    <s v="WIP"/>
    <s v="NA "/>
    <m/>
    <m/>
    <s v="NA"/>
    <m/>
    <m/>
    <s v="Insured/ Spot/ Claimant Part Pending for Driver and CS"/>
  </r>
  <r>
    <n v="46"/>
    <n v="2025212055"/>
    <x v="2"/>
    <s v="MACT"/>
    <s v="R001-1046-SS-2025"/>
    <d v="2025-10-31T00:00:00"/>
    <x v="3"/>
    <x v="0"/>
    <x v="0"/>
    <s v=""/>
    <n v="54"/>
    <s v="BT"/>
    <s v="Connected Case"/>
    <s v="Open"/>
    <x v="1"/>
    <s v="Claimant Part Only. (Connected Case - 2024211383)"/>
    <s v="Shivaji Dnyaneshwar Salunke"/>
    <s v="Khawdya Dongar, Tisgaon, Taluka, Dist. Aurangabad."/>
    <s v="Sambhaji Nagar"/>
    <s v="Completed"/>
    <s v="Na "/>
    <m/>
    <m/>
    <s v="NA"/>
    <s v="Atmaram Baburao Deshmukh  8767255980"/>
    <s v="Raipur Dongaon Tal. Gangapur Dist. Aurangabad."/>
    <s v="Sambhaji Nagar"/>
    <s v="NA"/>
    <s v="NA"/>
    <s v="NA "/>
    <m/>
    <s v="NA "/>
    <s v="NA"/>
    <s v="NA "/>
    <s v="NA"/>
    <s v="NA "/>
    <s v="NA"/>
    <s v="NA "/>
    <s v="NA "/>
    <s v="NA "/>
    <s v="NA"/>
    <s v="NA "/>
    <s v="On the service road of the Dhule-Solapur road, near the road leading to Mhada Colony."/>
    <m/>
    <s v="NA"/>
    <s v="NA"/>
    <s v="NA"/>
    <s v="NA"/>
    <s v="NA"/>
    <s v="NA"/>
    <s v="NA "/>
    <m/>
    <m/>
    <s v="NA"/>
    <m/>
    <m/>
    <m/>
  </r>
  <r>
    <n v="47"/>
    <n v="2025212053"/>
    <x v="2"/>
    <s v="MACT"/>
    <s v="R001-1047-SS-2025"/>
    <d v="2025-10-31T00:00:00"/>
    <x v="3"/>
    <x v="0"/>
    <x v="0"/>
    <d v="2025-12-12T00:00:00"/>
    <n v="54"/>
    <s v="BT"/>
    <s v="Full Case"/>
    <s v="Open"/>
    <x v="1"/>
    <m/>
    <s v=" Shashikalabai  Santu Tupe"/>
    <s v="At Shevta, Wadod Bazar, Taq- Fulambri, Dist-Chatrapati Sambhajinagar."/>
    <s v="Sambhaji Nagar"/>
    <s v="WIP"/>
    <s v="Na "/>
    <m/>
    <m/>
    <s v="NA"/>
    <s v="Ramdas Asaram Tathe,"/>
    <s v="Georai, Taq- Sillod, Dist- Chhat. Sambhajinagar"/>
    <s v="Sambhaji Nagar"/>
    <s v="NA"/>
    <s v="WIP"/>
    <s v="Umesh Laxman Sathe"/>
    <m/>
    <s v="Shubham Waghule"/>
    <s v="WIP"/>
    <s v="NA "/>
    <s v="NA"/>
    <s v="NA "/>
    <s v="NA"/>
    <s v="NA "/>
    <s v="NA "/>
    <s v="NA "/>
    <s v="NA"/>
    <s v="NA "/>
    <s v="On Shevta to Aland road, near farm of Vishwanath Sandu Bedke"/>
    <m/>
    <s v="WIP"/>
    <s v="0143/2024"/>
    <s v="Wadod Bazar PS"/>
    <s v="Aurangabad"/>
    <s v="NA"/>
    <s v="WIP"/>
    <s v="NA "/>
    <m/>
    <m/>
    <s v="NA"/>
    <m/>
    <m/>
    <m/>
  </r>
  <r>
    <n v="48"/>
    <n v="2025212050"/>
    <x v="2"/>
    <s v="MACT"/>
    <s v="R001-1048-SS-2025"/>
    <d v="2025-10-31T00:00:00"/>
    <x v="3"/>
    <x v="0"/>
    <x v="0"/>
    <d v="2025-12-12T00:00:00"/>
    <n v="54"/>
    <s v="BT"/>
    <s v="Full Case"/>
    <s v="Open"/>
    <x v="1"/>
    <m/>
    <s v="Navnath Raju Burkul"/>
    <s v="R/O Takli Mali, Taluka, Dist. Aurangabad."/>
    <s v="Sambhaji Nagar"/>
    <s v="Completed"/>
    <s v="Na "/>
    <m/>
    <m/>
    <s v="NA"/>
    <s v="Pravin Ashruba Andhale 9890471033"/>
    <s v="R/O Dhutre Andhale Gali, Limbodi Tal. Ashti Dist. Beed."/>
    <s v="Beed"/>
    <s v="NA"/>
    <s v="WIP"/>
    <s v=" Anna Vaijinath Mulekar"/>
    <m/>
    <m/>
    <s v="WIP"/>
    <s v="NA"/>
    <s v="NA"/>
    <s v="NA"/>
    <s v="NA"/>
    <s v="NA"/>
    <s v="NA"/>
    <s v="NA"/>
    <s v="NA"/>
    <s v="NA "/>
    <s v="On near the farms of Karmad Shivar, Aram Korde and Vitthal Korde on the road leading to the village."/>
    <m/>
    <s v="Completed"/>
    <s v="0451/2023"/>
    <s v="Karmad Police Station"/>
    <s v="Aurangabad"/>
    <s v="NA"/>
    <s v="Completed"/>
    <s v="NA "/>
    <m/>
    <m/>
    <s v="NA"/>
    <m/>
    <m/>
    <s v="Spot and CS / Claimant Pending for Insured and driver "/>
  </r>
  <r>
    <n v="49"/>
    <n v="2025212047"/>
    <x v="2"/>
    <s v="MACT"/>
    <s v="R001-1049-SS-2025"/>
    <d v="2025-10-31T00:00:00"/>
    <x v="3"/>
    <x v="0"/>
    <x v="0"/>
    <d v="2025-12-12T00:00:00"/>
    <n v="54"/>
    <s v="BT"/>
    <s v="Full Case"/>
    <s v="QC"/>
    <x v="0"/>
    <m/>
    <s v="Bebi  Dattatraya Kathar"/>
    <s v="R/O  4-34-154, Lane No.1, Behind Sadbhavna Ganesh Mandir, New Hanuman Nagar, Garkheda Parisar, Chhatrapati Sambhajinagar."/>
    <s v="Sambhaji Nagar"/>
    <s v="Completed"/>
    <s v="Na "/>
    <m/>
    <m/>
    <s v="NA"/>
    <s v="Rohit  Dadarao Shirsath"/>
    <s v="R/O Near Ambedkar Putala, Osmanpura, Chh.Sambhajinagar."/>
    <s v="Sambhaji Nagar"/>
    <s v="NA"/>
    <s v="Completed"/>
    <s v="Akshay  Baban Jadhav"/>
    <m/>
    <s v="Shubham Waghule"/>
    <s v="Completed"/>
    <s v="NA"/>
    <s v="NA"/>
    <s v="NA"/>
    <s v="NA"/>
    <s v="NA"/>
    <s v="NA"/>
    <s v="NA"/>
    <s v="NA"/>
    <s v="NA "/>
    <s v="At Chetak Ghoda T-Point on public road."/>
    <m/>
    <s v="Completed"/>
    <s v="0307/2024"/>
    <s v="Jawahar police station"/>
    <s v="Aurangabad"/>
    <s v="NA"/>
    <s v="NI"/>
    <s v="NA "/>
    <m/>
    <m/>
    <s v="NA"/>
    <m/>
    <m/>
    <m/>
  </r>
  <r>
    <n v="50"/>
    <s v="MTP-N-2526-004166"/>
    <x v="1"/>
    <s v="MACT"/>
    <s v="F001-1050-SS-2025"/>
    <d v="2025-11-01T00:00:00"/>
    <x v="4"/>
    <x v="12"/>
    <x v="1"/>
    <d v="2025-12-12T00:00:00"/>
    <n v="46"/>
    <s v="BT"/>
    <s v="Full Case"/>
    <s v="Approval"/>
    <x v="2"/>
    <m/>
    <s v="Shivalila Basavaraj Jamadi"/>
    <s v="R/o Sulerjawalage, Tq. Akkalkot, Dist. Solapur, in Limbi Chincholi, Tq. South Solapur-Valasang, Dist. Solapur."/>
    <s v="Solapur"/>
    <s v="Completed"/>
    <s v="Na "/>
    <m/>
    <m/>
    <s v="WIP"/>
    <s v="Vishal Kumar Goutamchand  9845320803"/>
    <s v="R/o 6-1-2877, Opp: Annadaneshwari Hospital, Adarsha Colony, Ward no. 16, Sindhanoor Road, Raichur - 584128"/>
    <s v="NA"/>
    <s v="NA"/>
    <s v="NA"/>
    <s v="Shivaraj  Prabhurao Bugge"/>
    <m/>
    <s v="NA"/>
    <s v="NA"/>
    <s v="NA"/>
    <s v="NA"/>
    <s v="NA"/>
    <s v="NA"/>
    <s v="NA"/>
    <s v="NA"/>
    <s v="NA"/>
    <s v="NA"/>
    <s v="NA "/>
    <s v="near Vrundavan Hotel, Solapur- Akkalkot Road, Valsang, Tq. Solapur "/>
    <m/>
    <s v="NA"/>
    <s v="364/2025"/>
    <s v="Valsang Police Station"/>
    <s v="Solapur"/>
    <s v="NA"/>
    <s v="NA"/>
    <s v="Dr. V.M. Hospital and Medical college "/>
    <m/>
    <m/>
    <s v="WIP"/>
    <m/>
    <m/>
    <m/>
  </r>
  <r>
    <n v="51"/>
    <n v="2025212181"/>
    <x v="2"/>
    <s v="MACT"/>
    <s v="R001-1051-SS-2025"/>
    <d v="2025-11-03T00:00:00"/>
    <x v="4"/>
    <x v="0"/>
    <x v="0"/>
    <d v="2025-12-15T00:00:00"/>
    <n v="51"/>
    <s v="BT"/>
    <s v="Full Case"/>
    <s v="Open"/>
    <x v="1"/>
    <m/>
    <s v="Rupali Vinod Divate"/>
    <s v="R/O Plot No. 4, Arya Apartment Swastik Nagar, Behind Sukhada Hospital Dindori Road, Panchvati Nashik 422003"/>
    <s v="Nashik"/>
    <s v="Completed"/>
    <s v="Na "/>
    <m/>
    <m/>
    <s v="NA"/>
    <s v="Prahlad Piraji Umbre "/>
    <s v="R/O  Res. Bajrang Wadi, Vilholi Tal. Dist. Nashik"/>
    <s v="Nashik"/>
    <s v="NA"/>
    <s v="WIP"/>
    <s v="NA "/>
    <m/>
    <s v="WIP"/>
    <s v="WIP"/>
    <s v="NA"/>
    <s v="NA"/>
    <s v="NA"/>
    <s v="NA"/>
    <s v="NA"/>
    <s v="NA"/>
    <s v="NA"/>
    <s v="NA"/>
    <s v="NA "/>
    <s v="Amritdham Tarwala Nagar Road, near Siddheshwar Nagar board,"/>
    <m/>
    <s v="Completed"/>
    <s v="33/2025"/>
    <s v="Panchavati Police Station"/>
    <s v="Nashik"/>
    <s v="NA"/>
    <s v="NI"/>
    <s v="NA "/>
    <m/>
    <m/>
    <s v="NA"/>
    <m/>
    <m/>
    <s v="Claimant / Spot Pending "/>
  </r>
  <r>
    <n v="52"/>
    <n v="2025212170"/>
    <x v="2"/>
    <s v="MACT"/>
    <s v="R001-1052-SS-2025"/>
    <d v="2025-11-03T00:00:00"/>
    <x v="4"/>
    <x v="0"/>
    <x v="0"/>
    <d v="2025-12-15T00:00:00"/>
    <n v="51"/>
    <s v="BT"/>
    <s v="Full Case"/>
    <s v="Open"/>
    <x v="1"/>
    <m/>
    <s v="Dipali Pradeep Sonwane"/>
    <s v="R/O Malhar Road, near Khandoba Temple, Tal. Satana, Dist. Nashik."/>
    <s v="Nashik"/>
    <s v="WIP"/>
    <s v="Na "/>
    <m/>
    <m/>
    <s v="NA"/>
    <s v="Bhagyashree Amol Shelke"/>
    <s v="R/O Mahalakshmi Row-House No.06, Murari Nagar, Kamthwade, Ambad Khurd, Nashik- 422010."/>
    <s v="Nahik"/>
    <s v="NA"/>
    <s v="Completed"/>
    <s v="NA "/>
    <m/>
    <s v="Swapnil Misal"/>
    <s v="Completed"/>
    <s v="NA"/>
    <s v="NA"/>
    <s v="NA"/>
    <s v="NA"/>
    <s v="NA"/>
    <s v="NA"/>
    <s v="NA"/>
    <s v="NA"/>
    <s v="NA "/>
    <s v="On Satana to Taharabad Road, Aundane Shivarat, opposite Yashwant Nagar Bus Stop, near S. S. Motors"/>
    <m/>
    <s v="WIP"/>
    <s v="0285/2025"/>
    <s v="Satana Police Station"/>
    <s v="Nashik"/>
    <s v="NA"/>
    <s v="Completed"/>
    <s v="NA "/>
    <m/>
    <m/>
    <s v="NA"/>
    <m/>
    <m/>
    <s v="Driver Part/ Insured "/>
  </r>
  <r>
    <n v="53"/>
    <n v="2025212168"/>
    <x v="2"/>
    <s v="MACT"/>
    <s v="R001-1053-SS-2025"/>
    <d v="2025-11-03T00:00:00"/>
    <x v="4"/>
    <x v="0"/>
    <x v="0"/>
    <d v="2025-12-15T00:00:00"/>
    <n v="51"/>
    <s v="BT"/>
    <s v="Full Case"/>
    <s v="Open"/>
    <x v="0"/>
    <m/>
    <s v="Sangita Gajendra Katare"/>
    <s v="M.P.O. Manegaon, Tal. Sinnar, Dist. Nashik- 422103"/>
    <s v="Nashik"/>
    <s v="Completed"/>
    <s v="Na "/>
    <m/>
    <m/>
    <s v="NA"/>
    <s v="Navnath Santu Gofne"/>
    <s v="Md. Dhulwad, Po. Pimple, Ramoshiwadi, Dapur, Sinnar, Tal. Sinnar, Dist. Nashik 422606"/>
    <s v="Nashik"/>
    <s v="NA"/>
    <s v="Completed"/>
    <s v="NA "/>
    <m/>
    <s v="Swapnil Misal"/>
    <s v="Completed"/>
    <s v="NA"/>
    <s v="NA"/>
    <s v="NA"/>
    <s v="NA"/>
    <s v="NA"/>
    <s v="NA"/>
    <s v="NA"/>
    <s v="NA"/>
    <s v="NA "/>
    <s v="Manegaon Shivarat, near Manegaon Bypass Bridge."/>
    <m/>
    <s v="Completed"/>
    <s v="0127/2025"/>
    <s v="Sinnar Police Station"/>
    <s v="Nashik"/>
    <s v="NA"/>
    <s v="WIP"/>
    <s v="NA "/>
    <m/>
    <m/>
    <s v="NA"/>
    <m/>
    <m/>
    <m/>
  </r>
  <r>
    <n v="54"/>
    <n v="2025212148"/>
    <x v="2"/>
    <s v="MACT"/>
    <s v="R001-1054-SS-2025"/>
    <d v="2025-11-03T00:00:00"/>
    <x v="4"/>
    <x v="0"/>
    <x v="0"/>
    <d v="2025-12-15T00:00:00"/>
    <n v="51"/>
    <s v="BT"/>
    <s v="Full Case"/>
    <s v="Open"/>
    <x v="0"/>
    <m/>
    <s v="Manisha Bandu Bankar"/>
    <s v="R/O Anu No. 1st to 3rd. Shringarwadi, Paithan, Dist. Chhatrapati Sambhajinagar (Aurangabad)"/>
    <s v="Sambhaji Nagar"/>
    <s v="Completed"/>
    <s v="Na "/>
    <m/>
    <m/>
    <s v="NA"/>
    <s v="Yogesh Digambar Mindad"/>
    <s v="R/O Mu.Akhadwara, P.O. Rahatgaon_x000a__x000a_Tal. Paithan, Dist. Chhatrapati Sambhajinagar (Aurangabad) 431107"/>
    <s v="Sambhaji Nagar"/>
    <s v="NA"/>
    <s v="Completed"/>
    <s v="NA "/>
    <m/>
    <s v="Shubham Waghule"/>
    <s v="Completed"/>
    <s v="NA"/>
    <s v="NA"/>
    <s v="NA"/>
    <s v="NA"/>
    <s v="NA"/>
    <s v="NA"/>
    <s v="NA"/>
    <s v="NA"/>
    <s v="NA "/>
    <s v="On the Paithan to Pachod Road, near Sarthak Hotel, on the road"/>
    <m/>
    <s v="Completed"/>
    <s v="0038/2025"/>
    <s v="PAINTHAN POLICE STATION"/>
    <s v="Sambhajinagar"/>
    <s v="NA"/>
    <s v="WIP"/>
    <s v="NA "/>
    <m/>
    <m/>
    <s v="NA"/>
    <m/>
    <m/>
    <s v="Claimant/ Insured Non cooprative/ driver - No DL / Spot Pending for CS"/>
  </r>
  <r>
    <n v="55"/>
    <n v="2025212191"/>
    <x v="2"/>
    <s v="MACT"/>
    <s v="R001-1055-SS-2025"/>
    <d v="2025-11-03T00:00:00"/>
    <x v="4"/>
    <x v="0"/>
    <x v="0"/>
    <d v="2025-12-15T00:00:00"/>
    <n v="51"/>
    <s v="BT"/>
    <s v="Full Case"/>
    <s v="Open"/>
    <x v="1"/>
    <m/>
    <s v="Kiran Ramdas Borude 7218753697"/>
    <s v="R/O Borudevasti, Kokangaon Taluka Karjat Dist. Ahilyanagar Pin 414401"/>
    <s v="Ahilyanagar"/>
    <s v="WIP"/>
    <s v="Na "/>
    <m/>
    <m/>
    <s v="NA"/>
    <s v="Sagar Manohar Raska 9518771836"/>
    <s v="R/O Konkangaon to Karjat Dist. Ahilyanagar Pin No 414401"/>
    <s v="Ahilyanagar"/>
    <s v="NA"/>
    <s v="WIP"/>
    <s v="Deepak Balasaheb Khedkar"/>
    <m/>
    <s v="Mohsin Shaikh"/>
    <s v="WIP"/>
    <s v="NA"/>
    <s v="NA"/>
    <s v="NA"/>
    <s v="NA"/>
    <s v="NA"/>
    <s v="NA"/>
    <s v="NA"/>
    <s v="NA"/>
    <s v="NA "/>
    <s v="An accident took place on Nagar Solapur Road within the limits of Mirjagaon village and the said accident was registered at Mirjagaon Police Station"/>
    <m/>
    <s v="WIP"/>
    <s v="0024/2025"/>
    <s v=" Mirjagaon Police Station"/>
    <s v="Shrigonda"/>
    <s v="NA"/>
    <s v="NA"/>
    <s v="NA "/>
    <m/>
    <m/>
    <s v="NA"/>
    <m/>
    <m/>
    <m/>
  </r>
  <r>
    <n v="56"/>
    <n v="2025212189"/>
    <x v="2"/>
    <s v="MACT"/>
    <s v="R001-1056-SS-2025"/>
    <d v="2025-11-03T00:00:00"/>
    <x v="4"/>
    <x v="0"/>
    <x v="0"/>
    <d v="2025-12-15T00:00:00"/>
    <n v="51"/>
    <s v="BT"/>
    <s v="Full Case"/>
    <s v="Open"/>
    <x v="1"/>
    <m/>
    <s v="Ujjwala Gokuldas Datir  9370245943"/>
    <s v="R/o Pimpri Lauki Tal. Sangamner_x000a__x000a_Dist. Ahilyanagar"/>
    <s v="Ahilyanagar"/>
    <s v="WIP"/>
    <s v="Na "/>
    <m/>
    <m/>
    <s v="NA"/>
    <s v="RAJENDRA SAHEBRAO CHAUDHARI   9096231099"/>
    <s v=" R/O AT SHEVARI MALSHEVAGE SHEVARI CHALISGAON CHALISGAON"/>
    <s v="Jalna"/>
    <s v="NA"/>
    <s v="WIP"/>
    <s v="Sakharam Laxman Agdale"/>
    <m/>
    <s v="Mohsin Shaikh"/>
    <s v="WIP"/>
    <s v="NA"/>
    <s v="NA"/>
    <s v="NA"/>
    <s v="NA"/>
    <s v="NA"/>
    <s v="NA"/>
    <s v="NA"/>
    <s v="NA"/>
    <s v="NA "/>
    <s v="while going from Rahuri to Ahilyanagar, at Rahuri Khu., within the limits of Rahuri Police Station"/>
    <m/>
    <s v="WIP"/>
    <s v="0106/2025"/>
    <s v="Rahuri Police Station"/>
    <s v="Ahilyanagar"/>
    <s v="NA"/>
    <s v="NA"/>
    <s v="NA "/>
    <m/>
    <m/>
    <s v="NA"/>
    <m/>
    <m/>
    <m/>
  </r>
  <r>
    <n v="57"/>
    <n v="2025212179"/>
    <x v="2"/>
    <s v="MACT"/>
    <s v="R001-1057-SS-2025"/>
    <d v="2025-11-03T00:00:00"/>
    <x v="4"/>
    <x v="0"/>
    <x v="0"/>
    <d v="2025-12-15T00:00:00"/>
    <n v="51"/>
    <s v="BT"/>
    <s v="Full Case"/>
    <s v="Open"/>
    <x v="1"/>
    <m/>
    <s v="PRADIP BANDU BHAVAR  7558461502"/>
    <s v="R/O Pandharipul, Khospuri Tal-Nagar, Dist-Ahmednagar Pin Code-414501."/>
    <s v="Ahilyanagar"/>
    <s v="WIP"/>
    <s v="Na "/>
    <m/>
    <m/>
    <s v="NA"/>
    <s v="RAMESHWAR VITTHAL BHAGYAWANT"/>
    <s v="R/O Dawalwadi, Tal- Badnapur, Dist-Jalna, State-Maharashtra "/>
    <s v="Jalna"/>
    <s v="NA"/>
    <s v="WIP"/>
    <s v="SHUBHAM BHAGYAWANT"/>
    <m/>
    <s v="NA"/>
    <s v="NI"/>
    <s v="NA"/>
    <s v="NA"/>
    <s v="NA"/>
    <s v="NA"/>
    <s v="NA"/>
    <s v="NA"/>
    <s v="NA"/>
    <s v="NA"/>
    <s v="NA "/>
    <s v="At Pandharipul Near Hotel Radheshyam, on Nagar-Aurangabad road, "/>
    <m/>
    <s v="Completed"/>
    <s v="0037/2025"/>
    <s v="Sonai Police station"/>
    <s v="Ahilyanagar"/>
    <s v="NA"/>
    <s v="WIP"/>
    <s v="NA "/>
    <m/>
    <m/>
    <s v="NA"/>
    <m/>
    <m/>
    <m/>
  </r>
  <r>
    <n v="58"/>
    <n v="2025212145"/>
    <x v="2"/>
    <s v="MACT"/>
    <s v="R001-1058-SS-2025"/>
    <d v="2025-11-03T00:00:00"/>
    <x v="4"/>
    <x v="0"/>
    <x v="0"/>
    <d v="2025-12-15T00:00:00"/>
    <n v="51"/>
    <s v="BT"/>
    <s v="Full Case"/>
    <s v="Open"/>
    <x v="1"/>
    <m/>
    <s v="Pranav Prakash Pund   9579435707"/>
    <s v="R/O Pundwasti, Shingve Naik_x000a__x000a_h Nagar Distt. Ahilyanagar_x000a_"/>
    <s v="Ahilyanagar"/>
    <s v="WIP"/>
    <s v="Na "/>
    <m/>
    <m/>
    <s v="NA"/>
    <s v="Laxman Nawaji Thorat"/>
    <s v="R/O Ra Mu Gavthan Babhulgaon_x000a__x000a_Taluka Rahuri District Ahilyanagar"/>
    <s v="Ahilyanagar"/>
    <s v="NA"/>
    <s v="WIP"/>
    <s v="Santosh Namdev Pawar"/>
    <m/>
    <s v="0152/2025"/>
    <s v="WIP"/>
    <s v="NA"/>
    <s v="NA"/>
    <s v="NA"/>
    <s v="NA"/>
    <s v="NA"/>
    <s v="NA"/>
    <s v="NA"/>
    <s v="NA"/>
    <s v="NA "/>
    <s v="On Ramwadi Shingve Road around An accident occurred near the temple "/>
    <m/>
    <s v="WIP"/>
    <s v="0152/2025"/>
    <s v="MIDC Police Station"/>
    <s v="Ahilyanagar"/>
    <s v="NA"/>
    <s v="NA"/>
    <s v="NA "/>
    <m/>
    <m/>
    <s v="NA"/>
    <m/>
    <m/>
    <m/>
  </r>
  <r>
    <n v="59"/>
    <n v="2025212140"/>
    <x v="2"/>
    <s v="MACT"/>
    <s v="R001-1059-SS-2025"/>
    <d v="2025-11-03T00:00:00"/>
    <x v="4"/>
    <x v="0"/>
    <x v="0"/>
    <d v="2025-12-15T00:00:00"/>
    <n v="51"/>
    <s v="BT"/>
    <s v="Full Case"/>
    <s v="Open"/>
    <x v="1"/>
    <m/>
    <s v="Alka Parasram Navale"/>
    <s v="Bhende Khurd, Taluka Nevasa, Dist. Ahmednagar"/>
    <s v="Ahilyanagar"/>
    <s v="Completed"/>
    <s v="Na "/>
    <m/>
    <m/>
    <s v="NA"/>
    <s v="Dnyaneshwar Bhimraj Pathak"/>
    <s v="Near Chincholi, Tal. Nevasa, Dist. Ahmednagar"/>
    <s v="Ahilyanagar"/>
    <s v="NA"/>
    <s v="Completed"/>
    <s v="Dnyaneshwar Bhimraj Pathak"/>
    <m/>
    <s v="Sandeep Lashkare"/>
    <s v="NA"/>
    <s v="NA"/>
    <s v="NA"/>
    <s v="NA"/>
    <s v="NA"/>
    <s v="NA"/>
    <s v="NA"/>
    <s v="NA"/>
    <s v="NA"/>
    <s v="NA "/>
    <s v="An accident occurred on the road from Bhende Khurd to Ghodegaon near Maruti Mandir"/>
    <m/>
    <s v="Completed"/>
    <s v="0859/2024"/>
    <s v="Nevasa Police Station"/>
    <s v="Ahamadnagar"/>
    <s v="NA"/>
    <s v="WIP"/>
    <s v="NA "/>
    <m/>
    <m/>
    <s v="NA"/>
    <m/>
    <m/>
    <m/>
  </r>
  <r>
    <n v="60"/>
    <n v="2025212028"/>
    <x v="2"/>
    <s v="MACT"/>
    <s v="R001-1060-SS-2025"/>
    <d v="2025-11-03T00:00:00"/>
    <x v="4"/>
    <x v="0"/>
    <x v="0"/>
    <d v="2025-11-24T00:00:00"/>
    <n v="51"/>
    <s v="BT"/>
    <s v="Partial Case"/>
    <s v="Open"/>
    <x v="1"/>
    <s v="For Insured Part."/>
    <s v="NA"/>
    <m/>
    <m/>
    <s v="NA"/>
    <s v="Na "/>
    <m/>
    <m/>
    <s v="NA"/>
    <s v="VIJAY SHIVAJI THORAVE"/>
    <s v="R/O FL 12 SANKALP APAR_x000a_ PIPELINE ROAD SAVEDI AHMEDNAGAR_x000a_ AHMADNAGAR"/>
    <s v="Ahilyanagar"/>
    <s v="NA"/>
    <s v="Completed"/>
    <s v="NA"/>
    <m/>
    <s v="NA"/>
    <s v="NA"/>
    <s v="NA"/>
    <s v="NA"/>
    <s v="NA"/>
    <s v="NA"/>
    <s v="NA"/>
    <s v="NA"/>
    <s v="NA"/>
    <s v="NA"/>
    <s v="NA "/>
    <s v="At near Rashmi Metaliks 3 no Gate"/>
    <m/>
    <s v="NA"/>
    <m/>
    <m/>
    <m/>
    <s v="NA"/>
    <s v="NA"/>
    <s v="NA "/>
    <m/>
    <m/>
    <s v="NA"/>
    <m/>
    <m/>
    <m/>
  </r>
  <r>
    <n v="61"/>
    <n v="2025212222"/>
    <x v="2"/>
    <s v="MACT"/>
    <s v="R001-1061-SS-2025"/>
    <d v="2025-11-03T00:00:00"/>
    <x v="4"/>
    <x v="0"/>
    <x v="0"/>
    <d v="2025-11-24T00:00:00"/>
    <n v="51"/>
    <s v="BT"/>
    <s v="Partial Case"/>
    <s v="Open"/>
    <x v="1"/>
    <s v="For Claimant and Police Part"/>
    <s v="Sandhya Mahadev Nerlekar, 9552008253"/>
    <s v="Kokangaon, Tal. Shrigonda District Ahilyanagar "/>
    <s v="Ahilyanagar"/>
    <s v="WIP"/>
    <s v="Na "/>
    <m/>
    <m/>
    <s v="NA"/>
    <s v="NA"/>
    <s v="NA"/>
    <s v="NA "/>
    <s v="NA"/>
    <s v="NA"/>
    <s v="NA"/>
    <m/>
    <s v="NA"/>
    <s v="NA"/>
    <s v="NA"/>
    <s v="NA"/>
    <s v="NA"/>
    <s v="NA"/>
    <s v="NA"/>
    <s v="NA"/>
    <s v="NA"/>
    <s v="NA"/>
    <s v="NA "/>
    <s v="An accident occurred near Sarke Vasti on Nhavra to Talegaon Dhamdhere Road."/>
    <m/>
    <s v="NA"/>
    <s v="0203/2025"/>
    <s v="Shirur Police Station"/>
    <s v="Pune"/>
    <s v="NA"/>
    <s v="WIP"/>
    <s v="NA "/>
    <m/>
    <m/>
    <s v="NA"/>
    <m/>
    <m/>
    <m/>
  </r>
  <r>
    <n v="62"/>
    <n v="2025212162"/>
    <x v="2"/>
    <s v="MACT"/>
    <s v="R001-1062-SS-2025"/>
    <d v="2025-11-03T00:00:00"/>
    <x v="4"/>
    <x v="0"/>
    <x v="0"/>
    <s v=""/>
    <n v="51"/>
    <s v="BT"/>
    <s v="Connected Case"/>
    <s v="Open"/>
    <x v="1"/>
    <s v="TPPD Details Only (Connected Case - 2025212222)"/>
    <s v="Satish Narayan Kale"/>
    <s v="R/o  Kalevasti, Athagaon Shrigonda District Ahilyanagar"/>
    <s v="Ahilyanagar"/>
    <s v="Completed"/>
    <s v="Na "/>
    <m/>
    <m/>
    <s v="NA"/>
    <s v="NA"/>
    <s v="NA"/>
    <s v="NA "/>
    <s v="NA"/>
    <s v="NA"/>
    <s v="Vinayak Damaniya Vasava"/>
    <m/>
    <s v="NA "/>
    <s v="NA"/>
    <s v="NA"/>
    <s v="NA"/>
    <s v="NA"/>
    <s v="NA"/>
    <s v="NA"/>
    <s v="NA"/>
    <s v="NA"/>
    <s v="NA"/>
    <s v="NA "/>
    <s v="NA"/>
    <m/>
    <s v="NA"/>
    <s v="NA"/>
    <s v="NA"/>
    <s v="NA"/>
    <s v="NA"/>
    <s v="WIP"/>
    <s v="NA "/>
    <m/>
    <m/>
    <s v="NA"/>
    <m/>
    <m/>
    <s v="Pending For Damage Photos"/>
  </r>
  <r>
    <n v="63"/>
    <s v="CN074856 "/>
    <x v="1"/>
    <s v="MACT"/>
    <s v="F001-1063-SS-2025"/>
    <d v="2025-11-07T00:00:00"/>
    <x v="4"/>
    <x v="19"/>
    <x v="4"/>
    <d v="2025-11-28T00:00:00"/>
    <n v="19"/>
    <s v="BT"/>
    <s v="Partial Case"/>
    <s v="Dispatch"/>
    <x v="2"/>
    <s v="Subhash Pratap Salariya"/>
    <s v="NA"/>
    <s v="NA "/>
    <m/>
    <s v="NA"/>
    <s v="Na "/>
    <m/>
    <m/>
    <s v="NA"/>
    <s v="Subhash Pratap Salariya"/>
    <s v="Shiv Sena Gali Amar Nagar Darga Road, Behind Gurudwara, Mulund West Mumbai 400082"/>
    <s v="Mumbai"/>
    <s v="NA"/>
    <s v="Completed"/>
    <s v="NA "/>
    <s v="Vinayak Damaniya Vasava"/>
    <s v="Talai Akrani, Nandurbar, Maharashtra 425414"/>
    <s v="Completed"/>
    <s v="NA"/>
    <s v="NA"/>
    <s v="NA "/>
    <s v="NA"/>
    <s v="NA"/>
    <s v="NA"/>
    <s v="NA "/>
    <s v="NA"/>
    <s v="NA "/>
    <s v="NA"/>
    <m/>
    <s v="NA"/>
    <s v="NA "/>
    <s v="NA "/>
    <m/>
    <m/>
    <m/>
    <s v="NA "/>
    <m/>
    <m/>
    <s v="NA"/>
    <m/>
    <m/>
    <s v="Done "/>
  </r>
  <r>
    <n v="64"/>
    <s v="CM596085 "/>
    <x v="1"/>
    <s v="MACT"/>
    <s v="F001-1064-SS-2025"/>
    <d v="2025-11-07T00:00:00"/>
    <x v="4"/>
    <x v="15"/>
    <x v="4"/>
    <d v="2025-11-28T00:00:00"/>
    <n v="18"/>
    <s v="BT"/>
    <s v="Partial Case"/>
    <s v="Dispatch"/>
    <x v="2"/>
    <s v="Summons to police station &amp; witness"/>
    <s v="NA"/>
    <s v="NA "/>
    <m/>
    <s v="NA"/>
    <s v="Na "/>
    <m/>
    <m/>
    <s v="NA"/>
    <s v="NA"/>
    <s v="NA"/>
    <s v="NA"/>
    <s v="NA"/>
    <s v="NA"/>
    <s v="NA "/>
    <m/>
    <s v="NA"/>
    <s v="NA"/>
    <s v="NA"/>
    <s v="NA"/>
    <s v="NA"/>
    <s v="NA"/>
    <s v="NA"/>
    <s v="NA"/>
    <s v="NA"/>
    <s v="NA"/>
    <s v="NA "/>
    <s v="Nahavra to Talegaon An accident occurred near Sarke Vasti on Dhamdhere Road."/>
    <m/>
    <s v="NA"/>
    <s v="404/2020"/>
    <s v="MukundWadi Police Station"/>
    <s v="Sambhajinagar"/>
    <s v="NA"/>
    <s v="NA"/>
    <s v="NA "/>
    <m/>
    <m/>
    <s v="NA"/>
    <m/>
    <s v="Disptach"/>
    <m/>
  </r>
  <r>
    <n v="65"/>
    <n v="2025212410"/>
    <x v="2"/>
    <s v="MACT"/>
    <s v="R001-1065-SS-2025"/>
    <d v="2025-11-09T00:00:00"/>
    <x v="4"/>
    <x v="0"/>
    <x v="0"/>
    <d v="2025-12-19T00:00:00"/>
    <n v="45"/>
    <s v="BT"/>
    <s v="Full Case"/>
    <s v="Open"/>
    <x v="1"/>
    <m/>
    <s v="Hanuman Bhanudas Hiwale"/>
    <s v="R/O AT Jaitapur Mohalla Pathri Tq.Pathri,Dist Parbhani "/>
    <s v="Parbhani"/>
    <s v="WIP"/>
    <s v="Na "/>
    <m/>
    <m/>
    <s v="NA"/>
    <s v="Laxmen S/o Gangadhar Jahane "/>
    <s v="R/o Post Pingli tq ,dist Parbhani ."/>
    <s v="Parbhani"/>
    <s v="NA"/>
    <s v="WIP"/>
    <s v="NA "/>
    <m/>
    <s v="WIP"/>
    <s v="WIP"/>
    <s v="NA"/>
    <s v="NA"/>
    <s v="NA"/>
    <s v="NA"/>
    <s v="NA"/>
    <s v="NA"/>
    <s v="NA"/>
    <s v="NA"/>
    <s v="NA "/>
    <s v="JawaLA ZURA PATRI ROAD AT,KHERDA PATI AREA TQ,PATRI,DIST-PARBHANI."/>
    <m/>
    <s v="WIP"/>
    <s v="0047/2025"/>
    <s v="Pathri Police station "/>
    <s v="Parbhani."/>
    <s v="NA"/>
    <s v="Completed"/>
    <s v="NA "/>
    <m/>
    <m/>
    <s v="NA"/>
    <m/>
    <m/>
    <m/>
  </r>
  <r>
    <n v="66"/>
    <n v="2025212250"/>
    <x v="2"/>
    <s v="MACT"/>
    <s v="R001-1066-SS-2025"/>
    <d v="2025-11-09T00:00:00"/>
    <x v="4"/>
    <x v="0"/>
    <x v="0"/>
    <d v="2025-12-19T00:00:00"/>
    <n v="45"/>
    <s v="BT"/>
    <s v="Full Case"/>
    <s v="Open"/>
    <x v="1"/>
    <m/>
    <s v="Ganesh Taktiya Kale "/>
    <s v="R/o Jawala Bazar Tq -Aundha.N Dist -Hingoli."/>
    <s v="Hingoli"/>
    <s v="WIP"/>
    <s v="Na "/>
    <m/>
    <m/>
    <s v="NA"/>
    <s v="Vishnu Ganesh Kale "/>
    <s v="Jawala Bazar Tq Aundha N, Dist Hingoli."/>
    <s v="Hingoli"/>
    <s v="NA"/>
    <s v="WIP"/>
    <s v="NA "/>
    <m/>
    <s v="WIP"/>
    <s v="WIP"/>
    <s v="NA"/>
    <s v="NA"/>
    <s v="NA"/>
    <s v="NA"/>
    <s v="NA"/>
    <s v="NA"/>
    <s v="NA"/>
    <s v="NA"/>
    <s v="NA "/>
    <s v="On Hingoli to Aundh Road on Bridge Near,Hiwara Jatu Village "/>
    <m/>
    <s v="WIP"/>
    <s v="0345/2025"/>
    <s v="Aundh Naganth police Staion hingoli ."/>
    <s v="Hingoli "/>
    <s v="NA"/>
    <s v="WIP"/>
    <s v="NA "/>
    <m/>
    <m/>
    <s v="NA"/>
    <m/>
    <m/>
    <m/>
  </r>
  <r>
    <n v="67"/>
    <n v="2025212219"/>
    <x v="2"/>
    <s v="MACT"/>
    <s v="R001-1067-SS-2025"/>
    <d v="2025-11-09T00:00:00"/>
    <x v="4"/>
    <x v="0"/>
    <x v="0"/>
    <d v="2025-12-19T00:00:00"/>
    <n v="45"/>
    <s v="BT"/>
    <s v="Full Case"/>
    <s v="Open"/>
    <x v="1"/>
    <m/>
    <s v="Durga Nagnath Panchal"/>
    <s v="R/O Nandurghat Tq.Kej Dist.Beed"/>
    <s v="Beed"/>
    <s v="WIP"/>
    <s v="Na "/>
    <m/>
    <m/>
    <s v="NA"/>
    <s v="Raj Umar Gaffer"/>
    <s v="R/O Nandurghat Tq.Kej Dist.Beed"/>
    <s v="Beed"/>
    <s v="NA"/>
    <s v="WIP"/>
    <s v="Raj Umar Gaffer"/>
    <m/>
    <s v="Suhas Walke"/>
    <s v="WIP"/>
    <s v="NA"/>
    <s v="NA"/>
    <s v="NA"/>
    <s v="NA"/>
    <s v="NA"/>
    <s v="NA"/>
    <s v="NA"/>
    <s v="NA"/>
    <s v="NA "/>
    <s v="On Para to Nandurghat road in the vicinity of village Para near the cowshed of Sakharam Sontakke. Police station Washi Tq. Washi District Dharashiv"/>
    <m/>
    <s v="WIP"/>
    <s v="0135/2025"/>
    <s v="Vashi Police Station "/>
    <s v="Dharashiv "/>
    <s v="NA"/>
    <s v="Completed"/>
    <s v="NA "/>
    <m/>
    <m/>
    <s v="NA"/>
    <m/>
    <m/>
    <m/>
  </r>
  <r>
    <n v="68"/>
    <n v="2025212215"/>
    <x v="2"/>
    <s v="MACT"/>
    <s v="R001-1068-SS-2025"/>
    <d v="2025-11-09T00:00:00"/>
    <x v="4"/>
    <x v="0"/>
    <x v="0"/>
    <d v="2025-12-19T00:00:00"/>
    <n v="45"/>
    <s v="BT"/>
    <s v="Full Case"/>
    <s v="Open"/>
    <x v="1"/>
    <m/>
    <s v="Ashutosh Ravindra Gaikwad 9921918748"/>
    <s v="R/O Upla,m.Tq@,Dist-Dharashiv."/>
    <s v="Dharashiv"/>
    <s v="WIP"/>
    <s v="Na "/>
    <m/>
    <m/>
    <s v="NA"/>
    <s v="Chandrakant Naryan Pise "/>
    <s v="Sawmi Samarth Road,Kadegaon Staion Tq-Daund Dist-Pune."/>
    <s v="Pune"/>
    <s v="NA"/>
    <s v="WIP"/>
    <s v=" Ravindra Budhan baiga "/>
    <m/>
    <s v="Nitin Mane"/>
    <s v="WIP"/>
    <s v="NA"/>
    <s v="NA"/>
    <s v="NA"/>
    <s v="NA"/>
    <s v="NA"/>
    <s v="NA"/>
    <s v="NA"/>
    <s v="NA"/>
    <s v="NA "/>
    <s v="ON Solapur to  pune National Highway Road in   vicinity of Villages Pates at Bhagwat Vasti in Front of Hotel Nisarga."/>
    <m/>
    <s v="WIP"/>
    <s v="0463/2025"/>
    <s v="yavat police Station  "/>
    <s v="pune "/>
    <s v="NA"/>
    <s v="WIP"/>
    <s v="NA "/>
    <m/>
    <m/>
    <s v="NA"/>
    <m/>
    <m/>
    <m/>
  </r>
  <r>
    <n v="69"/>
    <n v="2025212407"/>
    <x v="2"/>
    <s v="MACT"/>
    <s v="R001-1069-SS-2025"/>
    <d v="2025-11-09T00:00:00"/>
    <x v="4"/>
    <x v="0"/>
    <x v="0"/>
    <d v="2025-11-28T00:00:00"/>
    <n v="45"/>
    <s v="BT"/>
    <s v="Partial Case"/>
    <s v="Open"/>
    <x v="1"/>
    <s v="For Claimant Part Only"/>
    <s v="Amol Ganesh More "/>
    <s v="R/o Nimora,tal-soyagav,dist-sambhajinager"/>
    <s v="Sambhaji Nagar"/>
    <s v="WIP"/>
    <s v="Na "/>
    <m/>
    <m/>
    <s v="NA"/>
    <s v="NA"/>
    <s v="NA"/>
    <s v="NA"/>
    <s v="NA"/>
    <s v="NA"/>
    <s v="NA "/>
    <m/>
    <s v="NA"/>
    <s v="NA"/>
    <s v="NA"/>
    <s v="NA"/>
    <s v="NA"/>
    <s v="NA"/>
    <s v="NA"/>
    <s v="NA"/>
    <s v="NA"/>
    <s v="NA"/>
    <s v="NA "/>
    <s v="Kajgav,Tal,Bhadgav,Kajagv-Railway Pull,ROAD."/>
    <m/>
    <s v="NA"/>
    <s v="NA"/>
    <s v="NA"/>
    <s v="NA"/>
    <s v="NA"/>
    <s v="NA "/>
    <s v="NA "/>
    <m/>
    <m/>
    <s v="NA"/>
    <m/>
    <m/>
    <s v="For Claimant Part Only."/>
  </r>
  <r>
    <m/>
    <n v="2025212443"/>
    <x v="2"/>
    <s v="MACT"/>
    <s v="R001-1070-SS-2025"/>
    <d v="2025-11-09T00:00:00"/>
    <x v="4"/>
    <x v="0"/>
    <x v="0"/>
    <d v="2025-12-19T00:00:00"/>
    <n v="45"/>
    <s v="BT"/>
    <s v="Full Case"/>
    <s v="Open"/>
    <x v="1"/>
    <m/>
    <s v="Ganesh Kawde "/>
    <s v="R/oEkurki Tq-Kallamb Dist-Osmanabad."/>
    <s v="Dharashiv"/>
    <s v="WIP"/>
    <s v="Na "/>
    <m/>
    <m/>
    <s v="NA"/>
    <s v="Aatmaram jadhav "/>
    <s v="Ghargaon Tq-Kallam Dist-Osmanabad "/>
    <s v="Dharashiv"/>
    <s v="NA"/>
    <s v="WIP"/>
    <s v="NA "/>
    <m/>
    <s v="WIP"/>
    <s v="WIP"/>
    <s v="NA"/>
    <s v="NA"/>
    <s v="NA"/>
    <s v="NA"/>
    <s v="NA"/>
    <s v="NA"/>
    <s v="NA"/>
    <s v="NA"/>
    <s v="NA "/>
    <s v="On Kallamb to Latur State Highway NO.160 Road At Tadgaon Village Chowk."/>
    <m/>
    <s v="WIP"/>
    <s v="0063/2025"/>
    <s v="shiradhon Police Staion "/>
    <s v="Osamanaabad "/>
    <s v="NA"/>
    <s v="Completed"/>
    <s v="NA "/>
    <m/>
    <m/>
    <s v="NA"/>
    <m/>
    <m/>
    <m/>
  </r>
  <r>
    <n v="68"/>
    <n v="2025212467"/>
    <x v="2"/>
    <s v="MACT"/>
    <s v="R001-1071-SS-2025"/>
    <d v="2025-11-09T00:00:00"/>
    <x v="4"/>
    <x v="0"/>
    <x v="0"/>
    <d v="2025-12-19T00:00:00"/>
    <n v="45"/>
    <s v="BT"/>
    <s v="Full Case"/>
    <s v="Open"/>
    <x v="1"/>
    <m/>
    <s v="Dyananeshwar Savant "/>
    <s v="R/o Bangav,TAL_Aanband,Dist-Jalna"/>
    <s v="Jalna"/>
    <s v="WIP"/>
    <s v="Na "/>
    <m/>
    <m/>
    <s v="NA"/>
    <s v="Shivand Niranjan Palmker "/>
    <s v="New Bhartnagar,Rajangav,Dist-Aaurangabad."/>
    <s v="Sambhaji Nagar"/>
    <s v="NA"/>
    <s v="WIP"/>
    <s v="NA "/>
    <m/>
    <s v="WIP"/>
    <s v="WIP"/>
    <s v="NA"/>
    <s v="NA"/>
    <s v="NA"/>
    <s v="NA"/>
    <s v="NA"/>
    <s v="NA"/>
    <s v="NA"/>
    <s v="NA"/>
    <s v="NA "/>
    <s v="Radharaman farmhouse "/>
    <m/>
    <s v="WIP"/>
    <s v="00749/2025"/>
    <s v="Aanband police station"/>
    <s v="Jalna"/>
    <s v="NA"/>
    <s v="WIP"/>
    <s v="NA "/>
    <m/>
    <m/>
    <s v="NA"/>
    <m/>
    <m/>
    <m/>
  </r>
  <r>
    <n v="69"/>
    <n v="2025212380"/>
    <x v="2"/>
    <s v="MACT"/>
    <s v="R001-1072-SS-2025"/>
    <d v="2025-11-09T00:00:00"/>
    <x v="4"/>
    <x v="0"/>
    <x v="0"/>
    <d v="2025-12-19T00:00:00"/>
    <n v="45"/>
    <s v="BT"/>
    <s v="Full Case"/>
    <s v="Open"/>
    <x v="1"/>
    <m/>
    <s v="Vanita Ashok Berde"/>
    <s v="R/o Chincholi Fata,tal-Rahuri,Dist-Ahmednagar"/>
    <s v="Ahilyanagar"/>
    <s v="Completed"/>
    <s v="Na "/>
    <m/>
    <m/>
    <s v="NA"/>
    <s v="Darshan Suresh Nangre"/>
    <s v="R/o Gaikwad Mla,Muktidham Mandir backside,krushn mandir ,Nashik Road Tal-Dist-Nashik"/>
    <s v="Nahik"/>
    <s v="NA"/>
    <s v="Completed"/>
    <s v="NA "/>
    <m/>
    <s v="Completed"/>
    <s v="WIP"/>
    <s v="NA"/>
    <s v="NA"/>
    <s v="NA"/>
    <s v="NA"/>
    <s v="NA"/>
    <s v="NA"/>
    <s v="NA"/>
    <s v="NA"/>
    <s v="NA "/>
    <s v="Talegaon to Loni Road ,GauGalGav Area,Hotel  SadhGuru or Gavrde Petrol pump,Yashwant Dengle, farmside."/>
    <m/>
    <s v="WIP"/>
    <s v="640/ 2023"/>
    <s v="Loni Police Station"/>
    <s v="Ahamadnagar"/>
    <s v="NA"/>
    <s v="NI"/>
    <s v="NA "/>
    <m/>
    <m/>
    <s v="NA"/>
    <m/>
    <m/>
    <m/>
  </r>
  <r>
    <n v="70"/>
    <n v="2025212399"/>
    <x v="2"/>
    <s v="MACT"/>
    <s v="R001-1073-SS-2025"/>
    <d v="2025-11-09T00:00:00"/>
    <x v="4"/>
    <x v="0"/>
    <x v="0"/>
    <d v="2025-12-19T00:00:00"/>
    <n v="45"/>
    <s v="BT"/>
    <s v="Full Case"/>
    <s v="Open"/>
    <x v="1"/>
    <m/>
    <s v="Sagar Ashok Nikam "/>
    <s v="R/oBelPiplegav Tal-Nevasa D-Ahilyanagar"/>
    <s v="Ahilyanagar"/>
    <s v="Completed"/>
    <s v="Na "/>
    <m/>
    <m/>
    <s v="NA"/>
    <s v="Mohin Munir Pathan "/>
    <s v="RA,Samarthnagar,masjid,ashoknagar , Shrirampur,Ahilyanagar."/>
    <s v="Ahilyanagar"/>
    <s v="NA"/>
    <s v="Completed"/>
    <s v="NA "/>
    <m/>
    <s v="sagar Andhale"/>
    <s v="Completed"/>
    <s v="NA"/>
    <s v="NA"/>
    <s v="NA"/>
    <s v="NA"/>
    <s v="NA"/>
    <s v="NA"/>
    <s v="NA"/>
    <s v="NA"/>
    <s v="NA "/>
    <s v="Haregaon,Shrirampur,Roaqd Teenvdi ,Haregav,SHrirampur"/>
    <m/>
    <s v="Completed"/>
    <s v="00293/2025"/>
    <s v="Shrirampur tal police sta."/>
    <s v="Ahilyanagar"/>
    <s v="NA"/>
    <s v="NI"/>
    <s v="NA "/>
    <m/>
    <m/>
    <s v="NA"/>
    <m/>
    <m/>
    <m/>
  </r>
  <r>
    <n v="71"/>
    <n v="2025212401"/>
    <x v="2"/>
    <s v="MACT"/>
    <s v="R001-1074-SS-2025"/>
    <d v="2025-11-09T00:00:00"/>
    <x v="4"/>
    <x v="0"/>
    <x v="0"/>
    <d v="2025-12-19T00:00:00"/>
    <n v="45"/>
    <s v="BT"/>
    <s v="Full Case"/>
    <s v="Open"/>
    <x v="1"/>
    <m/>
    <s v="Rajaram Dinkar Suryawanshi "/>
    <s v="RA,Devla,Tal-Devla,Dist-Nashik "/>
    <s v="Nashik"/>
    <s v="Completed"/>
    <s v="Na "/>
    <m/>
    <m/>
    <s v="NA"/>
    <s v="Tirupati shikshan sanstha "/>
    <s v="RA,Nivane,Tal,Kalwan,Dist,Nashik"/>
    <s v="Nashik"/>
    <s v="NA"/>
    <s v="Completed"/>
    <s v="NA "/>
    <m/>
    <s v="NI"/>
    <s v="Completed"/>
    <s v="NA"/>
    <s v="NA"/>
    <s v="NA"/>
    <s v="NA"/>
    <s v="NA"/>
    <s v="NA"/>
    <s v="NA"/>
    <s v="NA"/>
    <s v="NA "/>
    <s v="Vajgav to Matane Devla Road ."/>
    <m/>
    <s v="Completed"/>
    <s v="0010/2024"/>
    <s v="Devla Police St."/>
    <s v="Nashik"/>
    <s v="NA"/>
    <s v="NI"/>
    <s v="NA "/>
    <m/>
    <m/>
    <s v="NA"/>
    <m/>
    <m/>
    <m/>
  </r>
  <r>
    <n v="72"/>
    <n v="2025212349"/>
    <x v="2"/>
    <s v="MACT"/>
    <s v="R001-1075-SS-2025"/>
    <d v="2025-11-09T00:00:00"/>
    <x v="4"/>
    <x v="0"/>
    <x v="0"/>
    <d v="2025-12-19T00:00:00"/>
    <n v="45"/>
    <s v="BT"/>
    <s v="Full Case"/>
    <s v="Open"/>
    <x v="1"/>
    <m/>
    <s v="vishal Gangadhar Zagade "/>
    <s v="R/o bela -Nagpur "/>
    <s v="Nagpur"/>
    <s v="Completed"/>
    <s v="WIP"/>
    <m/>
    <m/>
    <s v="WIP"/>
    <s v="Ramesh Laxmen Matangi "/>
    <s v="Bajaj Nagar,Chowk,Behind,Akurdi Bajaj Nagar ,Nagpur."/>
    <s v="Nagpur"/>
    <s v="NA"/>
    <s v="Completed"/>
    <s v="NA "/>
    <m/>
    <s v="WIP"/>
    <s v="WIP"/>
    <s v="NA"/>
    <s v="NA"/>
    <s v="NA"/>
    <s v="NA"/>
    <s v="NA"/>
    <s v="NA"/>
    <s v="NA"/>
    <s v="NA"/>
    <s v="NA "/>
    <s v="At Dhawlpeth Road ,Near Goyal Company ,Ps-bori Dist-nagpur ."/>
    <m/>
    <s v="Completed"/>
    <s v="0492/2025"/>
    <s v="Bori,Nagpur Police St"/>
    <s v="Nagpur "/>
    <s v="NA"/>
    <s v="WIP"/>
    <s v="NA "/>
    <m/>
    <m/>
    <s v="NA"/>
    <m/>
    <m/>
    <m/>
  </r>
  <r>
    <n v="73"/>
    <n v="2025212447"/>
    <x v="2"/>
    <s v="MACT"/>
    <s v="R001-1076-SS-2025"/>
    <d v="2025-11-12T00:00:00"/>
    <x v="4"/>
    <x v="0"/>
    <x v="0"/>
    <d v="2025-12-24T00:00:00"/>
    <n v="42"/>
    <s v="BT"/>
    <s v="Full Case"/>
    <s v="Open"/>
    <x v="1"/>
    <m/>
    <s v="Uttam Keshav Sarude "/>
    <s v="DhanGarwadi,KhamGav,Tal-Nevsa,Dist-Ahmadnagar"/>
    <s v="Ahilyanagar"/>
    <s v="Completed"/>
    <s v="Amit Dalvi"/>
    <m/>
    <m/>
    <s v="Amit Dalvi"/>
    <s v="Yunush Nizam Pathan 9158589465"/>
    <s v="R/o Bharsawada,Tal-,Dist-Parbhani."/>
    <s v="Parbhani"/>
    <s v="NA"/>
    <s v="Completed"/>
    <s v="NA "/>
    <m/>
    <s v="NI"/>
    <s v="Completed"/>
    <s v="NA"/>
    <s v="NA"/>
    <s v="NA"/>
    <s v="NA"/>
    <s v="NA"/>
    <s v="NA"/>
    <s v="NA"/>
    <s v="NA"/>
    <s v="NA "/>
    <s v="ShevGav-Nevasa Road,Sub-Station."/>
    <m/>
    <s v="Completed"/>
    <s v="0440/2025"/>
    <s v="ShevGav,Police Station."/>
    <s v="Ahamadnagar"/>
    <s v="NA"/>
    <s v="NI"/>
    <s v="NA "/>
    <m/>
    <m/>
    <s v="Completed"/>
    <m/>
    <m/>
    <s v="Insured Part completed "/>
  </r>
  <r>
    <n v="74"/>
    <s v="MTP-N-2526-004298"/>
    <x v="1"/>
    <s v="MACT"/>
    <s v="F001-1077-SS-2025"/>
    <d v="2025-11-12T00:00:00"/>
    <x v="4"/>
    <x v="0"/>
    <x v="0"/>
    <d v="2025-12-24T00:00:00"/>
    <n v="42"/>
    <s v="BT"/>
    <s v="Full Case"/>
    <s v="QC"/>
    <x v="1"/>
    <m/>
    <s v="Pratham Tarun Bhenwal"/>
    <s v="At R/at: Room no. 37/116, near Building no. 32, RCF T-3,Gate, Gandhi nagar, Chembur colony, Chembur, Mumbai, ]_x000a_Maharashtra 400074 "/>
    <s v="Mumbai"/>
    <s v="Completed"/>
    <s v="NA"/>
    <m/>
    <m/>
    <s v="NA"/>
    <s v="Gajendra Rangrao Patil SR Tours &amp; Travals 86258312621"/>
    <s v="328, Near Hanuman Temple, A/P Top, Tal- Hatkanangale, Dist- Kolhapur, TOP, Maharashtra 416122 / 1st floor, Shankar Dhangat Building, Vadgaon Budruk, Ghule Ngr, Happy Colony, Nr Newase clinic, Pune."/>
    <s v="Pune"/>
    <s v="NA"/>
    <s v="Completed"/>
    <s v="Amol  Keshav Jadhav 7350716038"/>
    <m/>
    <s v="Rajeev Sharma"/>
    <s v="Completed"/>
    <s v="NA"/>
    <s v="NA"/>
    <s v="NA"/>
    <s v="NA"/>
    <s v="NA"/>
    <s v="NA"/>
    <s v="NA"/>
    <s v="NA"/>
    <s v="NA "/>
    <s v="Near Sampada Highway,Bridge Signal,Navi Mum"/>
    <m/>
    <s v="Completed"/>
    <s v="0529/2025"/>
    <s v="Apmc Police Station"/>
    <s v="Navi-Mumbai"/>
    <s v="NA"/>
    <s v="NA"/>
    <s v="NA "/>
    <m/>
    <m/>
    <s v="Completed"/>
    <m/>
    <m/>
    <s v="Spot/ Claimant/ Hospital / Insured Driver Non trcabel Pending for  CS , RC and DL extract "/>
  </r>
  <r>
    <n v="75"/>
    <n v="2024213743"/>
    <x v="2"/>
    <s v="MACT"/>
    <s v="R001-1078-SS-2025"/>
    <d v="2025-11-13T00:00:00"/>
    <x v="4"/>
    <x v="0"/>
    <x v="0"/>
    <d v="2025-12-04T00:00:00"/>
    <n v="41"/>
    <s v="BT"/>
    <s v="Partial Case"/>
    <s v="Open"/>
    <x v="1"/>
    <s v="_x000a_Required complete chargesheet."/>
    <s v="NA"/>
    <s v="NA "/>
    <s v="NA"/>
    <s v="NA"/>
    <s v="Na "/>
    <m/>
    <m/>
    <s v="NA"/>
    <s v="NA"/>
    <s v="NA "/>
    <s v="NA"/>
    <s v="NA"/>
    <s v="NA"/>
    <s v="NA"/>
    <m/>
    <s v="NA"/>
    <s v="NA"/>
    <s v="NA"/>
    <s v="NA"/>
    <s v="NA"/>
    <s v="NA"/>
    <s v="NA"/>
    <s v="NA"/>
    <s v="NA"/>
    <s v="NA"/>
    <s v="NA "/>
    <s v="NA"/>
    <m/>
    <s v="NA"/>
    <s v="856/2023"/>
    <s v="Waluj MIDC Po. ST."/>
    <s v="Sambhajinagar"/>
    <s v="NA"/>
    <s v="NI"/>
    <s v="NA "/>
    <m/>
    <m/>
    <s v="NA"/>
    <m/>
    <m/>
    <m/>
  </r>
  <r>
    <n v="76"/>
    <n v="2025212533"/>
    <x v="2"/>
    <s v="MACT"/>
    <s v="R001-1079-SS-2025"/>
    <d v="2025-11-14T00:00:00"/>
    <x v="4"/>
    <x v="0"/>
    <x v="0"/>
    <d v="2025-12-26T00:00:00"/>
    <n v="40"/>
    <s v="BT"/>
    <s v="Full Case"/>
    <s v="Open"/>
    <x v="1"/>
    <m/>
    <s v="Sulochana Chandrakant Kamble7820964203"/>
    <s v="R/o Ekurka,Tq-Kallamb,Dist-Dharashiv."/>
    <s v="Dharashiv"/>
    <s v="Completed"/>
    <s v="Na "/>
    <m/>
    <m/>
    <s v="NA"/>
    <s v="Akshara Tours@Travels ."/>
    <s v="R/oSr No.113/4Flat No.1Onkar Colony,Ground Floor,WalherKarWadi,Chinchwad,pune 411033."/>
    <s v="Pune"/>
    <s v="NI"/>
    <s v="NA"/>
    <s v="NA"/>
    <m/>
    <s v="NA"/>
    <s v="NI"/>
    <s v="NA"/>
    <s v="NA"/>
    <s v="NA"/>
    <s v="NA"/>
    <s v="NA"/>
    <s v="NA"/>
    <s v="NA"/>
    <s v="NA"/>
    <s v="NA "/>
    <s v="On Dhokri To Kallamb Road,400Ft Away Towards North Side From Deoldhanora pati."/>
    <m/>
    <s v="NI"/>
    <s v="0168/2025"/>
    <s v="Shirodhan police Station Tq-Kallamb dist-Dharashiv."/>
    <s v="Dharashiv."/>
    <s v="NA"/>
    <s v="Completed"/>
    <s v="NA "/>
    <m/>
    <m/>
    <s v="NA"/>
    <m/>
    <m/>
    <m/>
  </r>
  <r>
    <n v="77"/>
    <n v="2023205098"/>
    <x v="2"/>
    <s v="MACT"/>
    <s v="R001-1080-SS-2025"/>
    <d v="2025-11-14T00:00:00"/>
    <x v="4"/>
    <x v="20"/>
    <x v="1"/>
    <s v=""/>
    <n v="38"/>
    <s v="BT"/>
    <s v="Reassessment"/>
    <s v="Dispatch"/>
    <x v="2"/>
    <m/>
    <s v="Manik Laxman Andhale"/>
    <s v="village- Limbodi, Devinimgaon,) Tal- Ashti, Dist- Beed-414 202."/>
    <s v="Beed"/>
    <s v="Completed"/>
    <s v="Na "/>
    <m/>
    <m/>
    <s v="NA"/>
    <s v="Mr. Sachin A. Kharmate,"/>
    <s v="at- LIG bldg. no. 32, Tenament 63,) Opp: Bulid 20, sector- 10, Nerul, C Navi Mumbai -400 705."/>
    <s v="Mumbai"/>
    <s v="NA"/>
    <s v="NA"/>
    <s v="NA"/>
    <m/>
    <s v="NA"/>
    <s v="NA"/>
    <s v="NA"/>
    <s v="NA"/>
    <s v="NA"/>
    <s v="NA"/>
    <s v="NA"/>
    <s v="NA"/>
    <s v="NA"/>
    <s v="NA"/>
    <s v="NA "/>
    <s v="NA"/>
    <m/>
    <s v="NA"/>
    <s v="NA"/>
    <s v="NA"/>
    <s v="NA"/>
    <s v="NA"/>
    <s v="NA"/>
    <s v="NA "/>
    <m/>
    <m/>
    <s v="NA"/>
    <m/>
    <m/>
    <m/>
  </r>
  <r>
    <n v="78"/>
    <n v="2021205783"/>
    <x v="2"/>
    <s v="MACT"/>
    <s v="R001-1081-SS-2025"/>
    <d v="2025-11-14T00:00:00"/>
    <x v="4"/>
    <x v="0"/>
    <x v="0"/>
    <s v=""/>
    <n v="40"/>
    <s v="BT"/>
    <s v="Reassessment"/>
    <s v="Open"/>
    <x v="1"/>
    <s v="Claimant"/>
    <s v="Pravinkumar Prabhakar Uikey"/>
    <s v="R/oPadas Gaon ,Raka,Tah,Sadak Arjun D-Gondiya, Nagpur."/>
    <s v="Nagpur"/>
    <s v="Completed"/>
    <s v="Na "/>
    <m/>
    <m/>
    <s v="NA"/>
    <s v="Ratanpal Sewakram Gawture"/>
    <s v="Sawngi Tah.Sadak Arjuni D-Gondiya.441807."/>
    <s v="Gondiya"/>
    <s v="NA"/>
    <s v="NA"/>
    <s v="NA"/>
    <m/>
    <s v="NA"/>
    <s v="NA"/>
    <s v="NA"/>
    <s v="NA"/>
    <s v="NA"/>
    <s v="NA"/>
    <s v="NA"/>
    <s v="NA"/>
    <s v="NA"/>
    <s v="NA"/>
    <s v="NA "/>
    <s v="NA"/>
    <m/>
    <s v="NA"/>
    <s v="NA"/>
    <s v="NA"/>
    <s v="NA"/>
    <s v="NA"/>
    <s v="NA"/>
    <s v="NA "/>
    <m/>
    <m/>
    <s v="NA"/>
    <m/>
    <m/>
    <s v="Gondiya Nagpur"/>
  </r>
  <r>
    <n v="79"/>
    <n v="2020208122"/>
    <x v="2"/>
    <s v="MACT"/>
    <s v="R001-1082-SS-2025"/>
    <d v="2025-11-14T00:00:00"/>
    <x v="4"/>
    <x v="21"/>
    <x v="1"/>
    <s v=""/>
    <n v="22"/>
    <s v="WT"/>
    <s v="Reassessment"/>
    <s v="Dispatch"/>
    <x v="2"/>
    <m/>
    <s v="SayYad Irfan"/>
    <s v="R/o Kamptee,Nagpur."/>
    <s v="Nagpur"/>
    <s v="Completed"/>
    <s v="Na "/>
    <m/>
    <m/>
    <s v="NA"/>
    <s v="Nasir Ahmad QureshiS/o Abdul Gani Qureshi"/>
    <s v="R/o 24, Gandhi Nagar Bhaji Mandi Kamptee, Tah. Kamptee Distt. Nagpur, 441002"/>
    <s v="Nagpur"/>
    <s v="NA"/>
    <s v="NA"/>
    <s v="NA"/>
    <m/>
    <s v="NA"/>
    <s v="NA"/>
    <s v="NA"/>
    <s v="NA"/>
    <s v="NA"/>
    <s v="NA"/>
    <s v="NA"/>
    <s v="NA"/>
    <s v="NA"/>
    <s v="NA"/>
    <s v="NA "/>
    <s v="NA"/>
    <m/>
    <s v="NA"/>
    <s v="NA"/>
    <s v="NA"/>
    <s v="NA"/>
    <s v="NA"/>
    <s v="NA"/>
    <s v="NA "/>
    <m/>
    <m/>
    <s v="NA"/>
    <m/>
    <m/>
    <m/>
  </r>
  <r>
    <n v="80"/>
    <n v="2019201744"/>
    <x v="2"/>
    <s v="MACT"/>
    <s v="R001-1083-SS-2025"/>
    <d v="2025-11-14T00:00:00"/>
    <x v="4"/>
    <x v="16"/>
    <x v="1"/>
    <s v=""/>
    <n v="36"/>
    <s v="BT"/>
    <s v="Reassessment"/>
    <s v="Dispatch"/>
    <x v="2"/>
    <m/>
    <s v="Manohar Sonba Naik."/>
    <s v="R/o Sadegaon Tq-,D-Parbhani."/>
    <s v="Parbhani"/>
    <s v="Completed"/>
    <s v="Na "/>
    <m/>
    <m/>
    <s v="NA"/>
    <s v="Thakkar Corporation."/>
    <s v="Thakkar Corporation, 317,6th floor, cross road, Kamathi Nagar, Thimmasa Muthiram White gate, Kachipuram, State-Tamilnadu-631501 Dist."/>
    <s v="NA"/>
    <s v="NA"/>
    <s v="NA"/>
    <s v="NA"/>
    <m/>
    <s v="NA"/>
    <s v="NA"/>
    <s v="NA"/>
    <s v="NA"/>
    <s v="NA"/>
    <s v="NA"/>
    <s v="NA"/>
    <s v="NA"/>
    <s v="NA"/>
    <s v="NA"/>
    <s v="NA "/>
    <s v="NA"/>
    <m/>
    <s v="NA"/>
    <s v="NA"/>
    <s v="NA"/>
    <s v="NA"/>
    <s v="NA"/>
    <s v="NA"/>
    <s v="NA "/>
    <m/>
    <m/>
    <s v="NA"/>
    <m/>
    <m/>
    <m/>
  </r>
  <r>
    <n v="81"/>
    <n v="2022209063"/>
    <x v="2"/>
    <s v="MACT"/>
    <s v="R001-1084-SS-2025"/>
    <d v="2025-11-14T00:00:00"/>
    <x v="4"/>
    <x v="16"/>
    <x v="1"/>
    <s v=""/>
    <n v="36"/>
    <s v="BT"/>
    <s v="Reassessment"/>
    <s v="Dispatch"/>
    <x v="2"/>
    <m/>
    <s v="Yusuf Babasaheb Pahadwale."/>
    <s v="R/oChilwantwadi,Tq-Nilanga,D-Latur."/>
    <s v="Latur"/>
    <s v="Completed"/>
    <s v="Na "/>
    <m/>
    <m/>
    <s v="NA"/>
    <s v="Shabeer Babusab Pahadwale.7028595337"/>
    <s v="AD-Chilwantwadi to Nilanga,Dist-Latur."/>
    <s v="Latur"/>
    <s v="NA"/>
    <s v="NA"/>
    <s v="NA"/>
    <m/>
    <s v="NA"/>
    <s v="NA"/>
    <s v="NA"/>
    <s v="NA"/>
    <s v="NA"/>
    <s v="NA"/>
    <s v="Yes"/>
    <s v="Offline"/>
    <s v="NA"/>
    <s v="NA"/>
    <s v="NA "/>
    <s v="Golegav Shivhar Petrolpump Area."/>
    <m/>
    <s v="NA"/>
    <s v="061/2015"/>
    <s v="Washi Police Station."/>
    <s v="NA"/>
    <s v="NA"/>
    <s v="NA"/>
    <s v="NA "/>
    <m/>
    <m/>
    <s v="NA"/>
    <m/>
    <m/>
    <m/>
  </r>
  <r>
    <n v="82"/>
    <n v="2017212612"/>
    <x v="2"/>
    <s v="MACT"/>
    <s v="R001-1085-SS-2025"/>
    <d v="2025-11-14T00:00:00"/>
    <x v="4"/>
    <x v="0"/>
    <x v="0"/>
    <s v=""/>
    <n v="40"/>
    <s v="BT"/>
    <s v="Reassessment"/>
    <s v="Open"/>
    <x v="1"/>
    <m/>
    <s v="Rahim Alludin Shaikh "/>
    <s v="R/o Mahalanga ,Tq-Chakur,Latur."/>
    <s v="Latur"/>
    <s v="WIP"/>
    <s v="Na "/>
    <m/>
    <m/>
    <s v="NA"/>
    <s v="Mohsin Babumiya Shaikh 7385504710"/>
    <s v="AD-New Kazi  Mohalla,Labour Colony,Latur."/>
    <s v="Latur"/>
    <s v="NA"/>
    <s v="NA"/>
    <s v="NA"/>
    <m/>
    <s v="NA"/>
    <s v="NA"/>
    <s v="NA"/>
    <s v="NA"/>
    <s v="NA"/>
    <s v="NA"/>
    <s v="NA"/>
    <s v="NA"/>
    <s v="NA"/>
    <s v="NA"/>
    <s v="NA "/>
    <s v="Umerkhed to Mahagav Road,Chilli Ghat Mod."/>
    <m/>
    <s v="NA"/>
    <s v="029/2015"/>
    <s v="Umerkhed Police Station."/>
    <s v="NA"/>
    <s v="NA"/>
    <s v="NA"/>
    <s v="NA "/>
    <m/>
    <m/>
    <s v="NA"/>
    <m/>
    <m/>
    <m/>
  </r>
  <r>
    <n v="83"/>
    <s v="MISC-2025-001662"/>
    <x v="1"/>
    <s v="MACT"/>
    <s v="F001-1086-SS-2025"/>
    <d v="2025-11-15T00:00:00"/>
    <x v="4"/>
    <x v="21"/>
    <x v="1"/>
    <s v=""/>
    <n v="21"/>
    <s v="WT"/>
    <s v="Reassessment"/>
    <s v="Dispatch"/>
    <x v="2"/>
    <s v="Claimant"/>
    <s v="NA"/>
    <s v="NA"/>
    <s v="NA "/>
    <s v="Completed"/>
    <s v="Na "/>
    <m/>
    <m/>
    <s v="NA"/>
    <s v="LOKMANGAL SUGAR ETHENOL AND CO GENERATION."/>
    <s v="8536 A 11 LOKMANGAL HOUSE MU, MU MURARJI PETH NEAR OLD POONA, NAKA SOLAPUR MAHARASHTRA, SOLAPUR."/>
    <s v="Solapur"/>
    <s v="NA"/>
    <s v="Completed"/>
    <s v="NA"/>
    <m/>
    <s v="NA"/>
    <s v="NA"/>
    <s v="NA"/>
    <s v="NA"/>
    <s v="NA"/>
    <s v="NA"/>
    <s v="NA"/>
    <s v="NA"/>
    <s v="NA"/>
    <s v="NA"/>
    <s v="NA "/>
    <s v=""/>
    <m/>
    <s v="NA"/>
    <s v="NA"/>
    <s v="NA"/>
    <s v="NA"/>
    <s v="NA"/>
    <s v="NA"/>
    <s v="NA "/>
    <m/>
    <m/>
    <s v="Completed"/>
    <m/>
    <m/>
    <s v="Insured Part completed "/>
  </r>
  <r>
    <n v="84"/>
    <n v="2025212670"/>
    <x v="2"/>
    <s v="MACT"/>
    <s v="R001-1087-SS-2025"/>
    <d v="2025-11-18T00:00:00"/>
    <x v="4"/>
    <x v="11"/>
    <x v="1"/>
    <s v=""/>
    <n v="21"/>
    <s v="WT"/>
    <s v="Connected Case"/>
    <s v="Dispatch"/>
    <x v="2"/>
    <s v="Connected Case - 2673"/>
    <s v="Om Pankaj Shelar"/>
    <s v="Tal-Wai -japur,Dist-Sambhajinagar."/>
    <s v="Sambhaji Nagar"/>
    <s v="Completed"/>
    <s v="Na "/>
    <m/>
    <m/>
    <s v="NA"/>
    <s v="Aarohi Tours @Travels /Mohan Pandhare"/>
    <s v="Ajinakya Mitra Mandal,Balaji Nagar Pune City,Pune."/>
    <s v="Pune"/>
    <s v="NA"/>
    <s v="NA"/>
    <s v="NA"/>
    <m/>
    <s v="NA"/>
    <s v="NA"/>
    <s v="NA"/>
    <s v="NA"/>
    <s v="NA"/>
    <s v="NA"/>
    <s v="NA"/>
    <s v="NA"/>
    <s v="NA"/>
    <s v="NA"/>
    <s v="NA "/>
    <s v="Pune to Ahilyanagar Road ,Chass Village Area,Bharat Petrolpump,Ahilyanagar."/>
    <m/>
    <s v="NA"/>
    <s v="NA"/>
    <s v="NA"/>
    <s v="NA"/>
    <s v="NA"/>
    <s v="NA"/>
    <s v="NA "/>
    <m/>
    <m/>
    <s v="NA"/>
    <d v="2025-12-11T00:00:00"/>
    <s v="Disptach"/>
    <s v="Claimant Part"/>
  </r>
  <r>
    <n v="85"/>
    <n v="2025212671"/>
    <x v="2"/>
    <s v="MACT"/>
    <s v="R001-1088-SS-2025"/>
    <d v="2025-11-18T00:00:00"/>
    <x v="4"/>
    <x v="11"/>
    <x v="1"/>
    <d v="2025-12-09T00:00:00"/>
    <n v="21"/>
    <s v="BT"/>
    <s v="Partial Case"/>
    <s v="Dispatch"/>
    <x v="2"/>
    <m/>
    <s v="Rupali Pankaj Shelar "/>
    <s v="Tal-Wai -japur,Dist-Sambhajinagar."/>
    <s v="Sambhaji Nagar"/>
    <s v="Completed"/>
    <s v="Na "/>
    <m/>
    <m/>
    <s v="NA"/>
    <s v="Aarohi Tours @Travels /Mohan Pandhare"/>
    <s v="Ajinakya Mitra Mandal,Balaji Nagar Pune City,Pune."/>
    <s v="Pune"/>
    <s v="NA"/>
    <s v="NA"/>
    <s v="NA"/>
    <m/>
    <s v="NA"/>
    <s v="NA"/>
    <s v="NA"/>
    <s v="NA"/>
    <s v="NA"/>
    <s v="NA"/>
    <s v="NA"/>
    <s v="NA"/>
    <s v="NA"/>
    <s v="NA"/>
    <s v="NA "/>
    <s v="Pune to Ahilyanagar Road ,Chass Village Area,Bharat Petrolpump,Ahilyanagar."/>
    <m/>
    <s v="NA"/>
    <s v="NA"/>
    <s v="NA"/>
    <s v="NA"/>
    <s v="NA"/>
    <s v="NA"/>
    <s v="NA "/>
    <m/>
    <m/>
    <s v="NA"/>
    <d v="2025-12-11T00:00:00"/>
    <s v="Disptach"/>
    <s v="Claimant Part / Insured part"/>
  </r>
  <r>
    <n v="86"/>
    <n v="2025212673"/>
    <x v="2"/>
    <s v="MACT"/>
    <s v="R001-1089-SS-2025"/>
    <d v="2025-11-18T00:00:00"/>
    <x v="4"/>
    <x v="11"/>
    <x v="1"/>
    <d v="2025-12-30T00:00:00"/>
    <n v="21"/>
    <s v="WT"/>
    <s v="Full Case"/>
    <s v="Dispatch"/>
    <x v="2"/>
    <m/>
    <s v="PANKAJ SHIVAJI SHELAR"/>
    <s v="Tal-Wai -japur,Dist-Sambhajinagar."/>
    <s v="Sambhaji Nagar"/>
    <s v="Completed"/>
    <s v="Na "/>
    <m/>
    <m/>
    <s v="NA"/>
    <s v="Aarohi Tours @Travels /Mohan Pandhare"/>
    <s v="Ajinakya Mitra Mandal,Balaji Nagar Pune City,Pune."/>
    <s v="Pune"/>
    <s v="NA"/>
    <s v="Completed"/>
    <s v="NA"/>
    <m/>
    <s v="NA"/>
    <s v="Completed"/>
    <s v="NA"/>
    <s v="NA"/>
    <s v="NA"/>
    <s v="NA"/>
    <s v="NA"/>
    <s v="NA"/>
    <s v="NA"/>
    <s v="NA"/>
    <s v="NA "/>
    <s v="Pune to Ahilyanagar Road ,Chass Village Area,Bharat Petrolpump,Ahilyanagar."/>
    <m/>
    <s v="Completed"/>
    <s v="0668/2025"/>
    <s v="Ahilyanagar Police Station."/>
    <s v="Ahilyanagar"/>
    <s v="NA"/>
    <s v="Completed"/>
    <s v="NA "/>
    <m/>
    <m/>
    <s v="NA"/>
    <d v="2025-12-11T00:00:00"/>
    <s v="Disptach"/>
    <s v="Claimant Part/ Insured Visit/ Chargesheet "/>
  </r>
  <r>
    <n v="87"/>
    <n v="2025212540"/>
    <x v="2"/>
    <s v="MACT"/>
    <s v="R001-1090-SS-2025"/>
    <d v="2025-11-18T00:00:00"/>
    <x v="4"/>
    <x v="0"/>
    <x v="0"/>
    <d v="2025-12-30T00:00:00"/>
    <n v="36"/>
    <s v="BT"/>
    <s v="Full Case"/>
    <s v="Open"/>
    <x v="1"/>
    <m/>
    <s v="Mumtaj Siraj Khan/7720958576"/>
    <s v="R/o Yasin nagar,Harsul Tq-,Dist-Aurangabad."/>
    <s v="Sambhaji Nagar"/>
    <s v="Completed"/>
    <s v="Na "/>
    <m/>
    <m/>
    <s v="NA"/>
    <s v="Sachin Pandurang Vaidhya "/>
    <s v="R/o Gayatrinagar Jalna ,Tq-Dist- Jalna"/>
    <s v="Jalna"/>
    <s v="NA"/>
    <s v="Completed"/>
    <s v="NA"/>
    <m/>
    <s v="Prashant Jejurkar"/>
    <s v="NA"/>
    <s v="NA"/>
    <s v="NA"/>
    <s v="NA"/>
    <s v="NA"/>
    <s v="NA"/>
    <s v="NA"/>
    <s v="NA"/>
    <s v="NA"/>
    <s v="NA "/>
    <s v="Bhokardan to Jalna Road Near Palas Kheda Village,in the Jusrisdiction of "/>
    <m/>
    <s v="WIP"/>
    <s v="0252/2024"/>
    <s v="Hasnabad Police Station "/>
    <s v="Jalna "/>
    <s v="NA"/>
    <s v="WIP"/>
    <s v="NA "/>
    <m/>
    <m/>
    <s v="NA"/>
    <m/>
    <m/>
    <s v="Insured Visit "/>
  </r>
  <r>
    <n v="88"/>
    <n v="2025212595"/>
    <x v="2"/>
    <s v="MACT"/>
    <s v="R001-1091-SS-2025"/>
    <d v="2025-11-18T00:00:00"/>
    <x v="4"/>
    <x v="0"/>
    <x v="0"/>
    <d v="2025-12-30T00:00:00"/>
    <n v="36"/>
    <s v="BT"/>
    <s v="Full Case"/>
    <s v="Writing"/>
    <x v="1"/>
    <m/>
    <s v="Shikh Nizam Shikh Kalu"/>
    <s v="R/o Lala Sardar Nagar,AlAM HighSchool,Devpur Dhule,Tal-Dist-Dhule."/>
    <s v="Dhule"/>
    <s v="Completed"/>
    <s v="Na "/>
    <m/>
    <m/>
    <s v="NA"/>
    <s v="Shaikh Shahid "/>
    <s v="R/o 48,Husnain masid Area,Vittbhati,GulabHajinagar,Devpur,Dhule ,Tal-Dist-Dhule."/>
    <s v="Dhule"/>
    <s v="NA"/>
    <s v="Completed"/>
    <s v="NA"/>
    <m/>
    <s v="NA"/>
    <s v="NA"/>
    <s v="NA"/>
    <s v="NA"/>
    <s v="NA"/>
    <s v="NA"/>
    <s v="NA"/>
    <s v="NA"/>
    <s v="NA"/>
    <s v="NA"/>
    <s v="NA "/>
    <s v="Stadium Area Devpur ,Dhule."/>
    <m/>
    <s v="Completed"/>
    <s v="0148/2024"/>
    <s v="Dev pur Police Station ."/>
    <s v="Dhule."/>
    <s v="NA"/>
    <s v="WIP"/>
    <s v="NA "/>
    <m/>
    <m/>
    <s v="NA"/>
    <m/>
    <m/>
    <s v="Claimant Part Pending for Insured /Driver/ Spot and CS"/>
  </r>
  <r>
    <n v="89"/>
    <n v="2025212716"/>
    <x v="2"/>
    <s v="MACT"/>
    <s v="R001-1092-SS-2025"/>
    <d v="2025-11-18T00:00:00"/>
    <x v="4"/>
    <x v="0"/>
    <x v="0"/>
    <d v="2025-12-30T00:00:00"/>
    <n v="36"/>
    <s v="BT"/>
    <s v="Full Case"/>
    <s v="Open"/>
    <x v="1"/>
    <m/>
    <s v="Puja Nitin Desai"/>
    <s v="R/o Kari.Tq-,Dist-Dharashiv."/>
    <s v="Dharashiv"/>
    <s v="WIP"/>
    <s v="Na "/>
    <m/>
    <m/>
    <s v="NA"/>
    <s v="Shubham Vitthal kothawale"/>
    <s v="R/o Pipalgav (k) Tq,Kallamb,Dist-Dharashiv."/>
    <s v="Dharashiv"/>
    <s v="NA"/>
    <s v="WIP"/>
    <s v="NA"/>
    <m/>
    <s v="NA"/>
    <s v="NI"/>
    <s v="NA"/>
    <s v="NA"/>
    <s v="NA"/>
    <s v="NA"/>
    <s v="NA"/>
    <s v="NA"/>
    <s v="NA"/>
    <s v="NA"/>
    <s v="NA "/>
    <s v="Latur Road to Gharni Road In Vicinty of Village Gharni Tq Chakur by Side of Naira Petrol Pump."/>
    <m/>
    <s v="WIP"/>
    <s v="0143/2025"/>
    <s v="Chakur Police Station "/>
    <s v="Latur."/>
    <s v="NA"/>
    <s v="WIP"/>
    <s v="NA "/>
    <m/>
    <m/>
    <s v="NA"/>
    <m/>
    <m/>
    <m/>
  </r>
  <r>
    <n v="90"/>
    <n v="2025208486"/>
    <x v="2"/>
    <s v="MACT"/>
    <s v="R001-1093-SS-2025"/>
    <d v="2025-11-19T00:00:00"/>
    <x v="4"/>
    <x v="0"/>
    <x v="0"/>
    <d v="2025-12-31T00:00:00"/>
    <n v="35"/>
    <s v="BT"/>
    <s v="Full Case"/>
    <s v="Open"/>
    <x v="1"/>
    <m/>
    <s v="Ashok Ramji Puyad"/>
    <s v="R/O Punegaon, Tq. Mudkhed, Dist. Nanded-430806"/>
    <s v="Nanded"/>
    <s v="WIP"/>
    <s v="Na "/>
    <m/>
    <m/>
    <s v="NA"/>
    <s v="Gautam Ramchandar Kamble  9762968332"/>
    <s v="R/O  Shahu Nagar, HUDCO, New Nanded-431603"/>
    <s v="Nanded"/>
    <s v="NA"/>
    <s v="WIP"/>
    <s v="NA"/>
    <m/>
    <s v="NA"/>
    <s v="WIP"/>
    <s v="NA"/>
    <s v="NA"/>
    <s v="NA"/>
    <s v="NA"/>
    <s v="NA"/>
    <s v="NA"/>
    <s v="NA"/>
    <s v="NA"/>
    <s v="NA "/>
    <s v="on road from Bhayegaon towards Bhayegaon Board, at Parsewar Godown, Bhayegaon, Tq. &amp; Dist. Nanded"/>
    <m/>
    <s v="WIP"/>
    <s v="0957/2024"/>
    <s v="Nanded Police Station"/>
    <s v="Nanded"/>
    <s v="NA"/>
    <s v="Completed"/>
    <s v="NA "/>
    <m/>
    <m/>
    <s v="NA"/>
    <m/>
    <m/>
    <m/>
  </r>
  <r>
    <n v="91"/>
    <n v="2025209152"/>
    <x v="2"/>
    <s v="MACT"/>
    <s v="R001-1094-SS-2025"/>
    <d v="2025-11-19T00:00:00"/>
    <x v="4"/>
    <x v="0"/>
    <x v="0"/>
    <d v="2025-12-31T00:00:00"/>
    <n v="35"/>
    <s v="BT"/>
    <s v="Full Case"/>
    <s v="Open"/>
    <x v="1"/>
    <m/>
    <s v="Supriya Prakash Dabade  9579736143"/>
    <s v="R/o.Bhim Nagar, Mahatpuri Tq.Gangakhed_x000a_Dist Parbhani."/>
    <s v="Parbhani"/>
    <s v="Completed"/>
    <s v="Na "/>
    <m/>
    <m/>
    <s v="NA"/>
    <s v="Asaram Sitaram Neharkar"/>
    <s v="R/O Mardasgaon Tq.Pathri Dist. Parbhani,"/>
    <s v="Parbhani"/>
    <s v="NA"/>
    <s v="WIP"/>
    <m/>
    <m/>
    <m/>
    <s v="WIP"/>
    <s v="NA"/>
    <s v="NA"/>
    <s v="NA"/>
    <s v="NA"/>
    <s v="NA"/>
    <s v="NA"/>
    <s v="NA"/>
    <s v="NA"/>
    <s v="NA "/>
    <s v="On Gangakhed to Parbhani Road."/>
    <m/>
    <s v="Completed"/>
    <s v="0304/2022"/>
    <s v="Daithana Police Station"/>
    <s v="parbhani"/>
    <s v="NA"/>
    <s v="WIP"/>
    <s v="NA "/>
    <m/>
    <m/>
    <s v="NA"/>
    <m/>
    <m/>
    <s v="Claimant/ Spot "/>
  </r>
  <r>
    <n v="92"/>
    <n v="2025212593"/>
    <x v="2"/>
    <s v="MACT"/>
    <s v="R001-1095-SS-2025"/>
    <d v="2025-11-19T00:00:00"/>
    <x v="4"/>
    <x v="0"/>
    <x v="0"/>
    <s v=""/>
    <n v="35"/>
    <s v="BT"/>
    <s v="Connected Case"/>
    <s v="Open"/>
    <x v="1"/>
    <s v="Claimant Part Only. (Connected Case - 2025212721)"/>
    <s v="Machhindra alias Machhindranath Sudam Gite    9527883302"/>
    <s v="R/o  Kadgaon, Po. Miri, Pathardi,applicant. Dist. Ahilyanagar"/>
    <s v="Ahilyanagar"/>
    <s v="Completed"/>
    <s v="Na "/>
    <m/>
    <m/>
    <s v="NA"/>
    <s v="NA "/>
    <s v="NA "/>
    <s v="NA"/>
    <s v="NA"/>
    <s v="NA"/>
    <s v="NA "/>
    <m/>
    <s v="NA "/>
    <s v="NA"/>
    <s v="NA"/>
    <s v="NA"/>
    <s v="NA"/>
    <s v="NA"/>
    <s v="NA"/>
    <s v="NA"/>
    <s v="NA"/>
    <s v="NA"/>
    <s v="NA "/>
    <s v="NA"/>
    <m/>
    <s v="NA"/>
    <s v="0201/2025"/>
    <s v="Pathardi Police Station"/>
    <s v="Ahilyanagar"/>
    <s v="NA"/>
    <s v="NA"/>
    <s v="NA "/>
    <m/>
    <m/>
    <s v="NA"/>
    <m/>
    <m/>
    <s v="Claimant Part"/>
  </r>
  <r>
    <n v="93"/>
    <n v="2025212721"/>
    <x v="2"/>
    <s v="MACT"/>
    <s v="R001-1096-SS-2025"/>
    <d v="2025-11-19T00:00:00"/>
    <x v="4"/>
    <x v="0"/>
    <x v="0"/>
    <d v="2025-12-31T00:00:00"/>
    <n v="35"/>
    <s v="BT"/>
    <s v="Full Case"/>
    <s v="Open"/>
    <x v="1"/>
    <m/>
    <s v="Narayan Keshav Palave"/>
    <s v="Kadgaon, Miri, Pathardi, Ahilyanagar."/>
    <s v="Ahilyanagar"/>
    <s v="Completed"/>
    <s v="Na "/>
    <m/>
    <m/>
    <s v="NA"/>
    <s v="Ravindra Mohan Tambe  9665127299"/>
    <s v="R/o Plot No. 203, Group No. 6, Bakwalnagar, Naigaon, h Gangapur, Dist. Ch. Sambhajinagar Pin- 431133"/>
    <s v="Sambhaji Nagar"/>
    <s v="NA"/>
    <s v="WIP"/>
    <s v="Muktar Noor Syed   9764345112"/>
    <m/>
    <s v="R/o ardeshi Gali, Vaijapur, Tal. Vaijapur Dist. Ch. Sambhajinagar Pin-431001."/>
    <s v="WIP"/>
    <s v="NA"/>
    <s v="NA"/>
    <s v="NA"/>
    <s v="NA"/>
    <s v="NA"/>
    <s v="NA"/>
    <s v="NA"/>
    <s v="NA"/>
    <s v="NA "/>
    <s v="On Old closed canteen in front of the church on the road from Pandhari Pul to Miri"/>
    <m/>
    <s v="Completed"/>
    <s v="0201/2025"/>
    <s v="Pathardi Police Station"/>
    <s v="Ahilyanagar"/>
    <s v="NA"/>
    <s v="WIP"/>
    <s v="NA "/>
    <m/>
    <m/>
    <s v="NA"/>
    <m/>
    <m/>
    <m/>
  </r>
  <r>
    <n v="94"/>
    <n v="2025209441"/>
    <x v="2"/>
    <s v="MACT"/>
    <s v="R001-1097-SS-2025"/>
    <d v="2025-11-19T00:00:00"/>
    <x v="4"/>
    <x v="0"/>
    <x v="0"/>
    <d v="2025-12-31T00:00:00"/>
    <n v="35"/>
    <s v="BT"/>
    <s v="Full Case"/>
    <s v="Open"/>
    <x v="1"/>
    <m/>
    <s v="Mashnaji  Kamaji Gajale,"/>
    <s v="R/o. Borgaon Thadi Tq Biloli Dist. Nanded"/>
    <s v="Nanded"/>
    <s v="WIP"/>
    <s v="Na "/>
    <m/>
    <m/>
    <s v="NA"/>
    <s v="Abdul Kabeer Abdul Rasheed"/>
    <s v="R/o. 9-5-714, Khandari Building, Khusro Nagar,"/>
    <s v="Nanded"/>
    <s v="NA"/>
    <s v="WIP"/>
    <s v="NA"/>
    <m/>
    <s v="NA"/>
    <s v="NI"/>
    <s v="NA"/>
    <s v="NA"/>
    <s v="NA"/>
    <s v="NA"/>
    <s v="NA"/>
    <s v="NA"/>
    <s v="NA"/>
    <s v="NA"/>
    <s v="NA "/>
    <s v="On near adampur to kerur ghat"/>
    <m/>
    <s v="WIP"/>
    <s v="0304/2024"/>
    <s v="Ramtirth Police Station"/>
    <s v="Nanded"/>
    <s v="NA"/>
    <s v="NI"/>
    <s v="NA "/>
    <m/>
    <m/>
    <s v="NA"/>
    <m/>
    <m/>
    <m/>
  </r>
  <r>
    <n v="95"/>
    <n v="2025209731"/>
    <x v="2"/>
    <s v="MACT"/>
    <s v="R001-1098-SS-2025"/>
    <d v="2025-11-19T00:00:00"/>
    <x v="4"/>
    <x v="0"/>
    <x v="0"/>
    <d v="2025-12-31T00:00:00"/>
    <n v="35"/>
    <s v="BT"/>
    <s v="Full Case"/>
    <s v="Open"/>
    <x v="1"/>
    <m/>
    <s v="Meghabai Madhav Jadhav"/>
    <s v="R/O Marshivni Tal. Kandhar Dist. Nanded"/>
    <s v="Nanded"/>
    <s v="WIP"/>
    <s v="Na "/>
    <m/>
    <m/>
    <s v="NA"/>
    <s v="NIVARUTI VINAYAK KANDHARE"/>
    <s v="R/o Kandharewadi Po. Panshewadi Tal. Kandhar Dist. Nanded"/>
    <s v="Nanded"/>
    <s v="NA"/>
    <s v="WIP"/>
    <s v="NA"/>
    <m/>
    <s v="NA"/>
    <s v="WIP"/>
    <s v="NA"/>
    <s v="NA"/>
    <s v="NA"/>
    <s v="NA"/>
    <s v="NA"/>
    <s v="NA"/>
    <s v="NA"/>
    <s v="NA"/>
    <s v="NA "/>
    <s v="In front of the house of Chandrakant P. Shankar Manganale in Kandharewadi."/>
    <m/>
    <s v="WIP"/>
    <s v="0036/2023"/>
    <s v="Kandhar Police Station"/>
    <s v="Nanded"/>
    <s v="NA"/>
    <s v="NI"/>
    <s v="NA "/>
    <m/>
    <m/>
    <s v="NA"/>
    <m/>
    <m/>
    <m/>
  </r>
  <r>
    <n v="96"/>
    <n v="2025210423"/>
    <x v="2"/>
    <s v="MACT"/>
    <s v="R001-1099-SS-2025"/>
    <d v="2025-11-19T00:00:00"/>
    <x v="4"/>
    <x v="0"/>
    <x v="0"/>
    <d v="2025-12-31T00:00:00"/>
    <n v="35"/>
    <s v="BT"/>
    <s v="Full Case"/>
    <s v="Open"/>
    <x v="1"/>
    <m/>
    <s v="Chandu  Pundalik Jogadand 7972605784"/>
    <s v="R/O Samta Nagar, New Abadi Aradhapur, Tq.- Aradhapur, Dist.- Nanded"/>
    <s v="Nanded"/>
    <s v="Completed"/>
    <s v="Na "/>
    <m/>
    <m/>
    <s v="NA"/>
    <s v="Ammen Khan Bismilla Khan Pathan"/>
    <s v="R/o  Risala Bazar, Near Badi Masjid, Hingoli Tq. &amp; Dis. Hingoli"/>
    <s v="Hingoli"/>
    <s v="NA"/>
    <s v="WIP"/>
    <s v="NA"/>
    <m/>
    <s v="NA"/>
    <s v="WIP"/>
    <s v="NA"/>
    <s v="NA"/>
    <s v="NA"/>
    <s v="NA"/>
    <s v="NA"/>
    <s v="NA"/>
    <s v="NA"/>
    <s v="NA"/>
    <s v="NA "/>
    <s v="on Kasarkheda Malegaon road, Near Dor pati"/>
    <m/>
    <s v="Completed"/>
    <s v="0661/2024"/>
    <s v="Ardhapur Police Station"/>
    <s v="Nanded"/>
    <s v="NA"/>
    <s v="WIP"/>
    <s v="NA "/>
    <m/>
    <m/>
    <s v="NA"/>
    <m/>
    <m/>
    <m/>
  </r>
  <r>
    <n v="97"/>
    <n v="2025210175"/>
    <x v="2"/>
    <s v="MACT"/>
    <s v="R001-1100-SS-2025"/>
    <d v="2025-11-19T00:00:00"/>
    <x v="4"/>
    <x v="0"/>
    <x v="0"/>
    <d v="2025-12-31T00:00:00"/>
    <n v="35"/>
    <s v="BT"/>
    <s v="Full Case"/>
    <s v="Open"/>
    <x v="1"/>
    <m/>
    <s v="Archana  Vishwanath Tadkole"/>
    <s v="R/o Khanapur, Tq. Degloor, Dist.Nanded."/>
    <s v="Nanded"/>
    <s v="WIP"/>
    <s v="Na "/>
    <m/>
    <m/>
    <s v="NA"/>
    <s v="Maroti  Devrao Jadhav"/>
    <s v="R/o At Post Atkali, Tq. Biloli"/>
    <s v="Nanded"/>
    <s v="NA"/>
    <s v="WIP"/>
    <s v="NA"/>
    <m/>
    <s v="Shivhar Deshmukh"/>
    <s v="WIP"/>
    <s v="NA"/>
    <s v="NA"/>
    <s v="NA"/>
    <s v="NA"/>
    <s v="NA"/>
    <s v="NA"/>
    <s v="NA"/>
    <s v="NA"/>
    <s v="NA "/>
    <s v="Road, Khanapur Fata, at open space, infront of &quot; Manjulabai Sankul &quot;, Khanapur Tq.Degloor."/>
    <m/>
    <s v="WIP"/>
    <m/>
    <s v="Degloor Police Station"/>
    <s v="Nanded"/>
    <s v="NA"/>
    <s v="WIP"/>
    <s v="NA "/>
    <m/>
    <m/>
    <s v="NA"/>
    <m/>
    <m/>
    <m/>
  </r>
  <r>
    <n v="98"/>
    <n v="2025210211"/>
    <x v="2"/>
    <s v="MACT"/>
    <s v="R001-1101-SS-2025"/>
    <d v="2025-11-19T00:00:00"/>
    <x v="4"/>
    <x v="0"/>
    <x v="0"/>
    <d v="2025-12-31T00:00:00"/>
    <n v="35"/>
    <s v="BT"/>
    <s v="Full Case"/>
    <s v="Open"/>
    <x v="1"/>
    <m/>
    <s v="Shila  Vyankat  Wade"/>
    <s v="R/o Degaon, Tq. Naigaon(Kh), Dist. Nanded"/>
    <s v="Nanded"/>
    <s v="WIP"/>
    <s v="Na "/>
    <m/>
    <m/>
    <s v="NA"/>
    <s v="Vitthal Bapurao Ghantewad"/>
    <s v=" R/o  Mokasdara, Tq. Naigaon(Kh), Dist. Nanded. 431709"/>
    <s v="Nanded"/>
    <s v="NA"/>
    <s v="WIP"/>
    <s v="NA"/>
    <m/>
    <s v="NA"/>
    <s v="WIP"/>
    <s v="NA"/>
    <s v="NA"/>
    <s v="NA"/>
    <s v="NA"/>
    <s v="NA"/>
    <s v="NA"/>
    <s v="NA"/>
    <s v="NA"/>
    <s v="NA "/>
    <s v="Nanded to Narsi Road, Near Aparma Hotel Narsi Tq. Naigaon(Kh), Dist. Nanded."/>
    <m/>
    <s v="WIP"/>
    <s v="0138/2025"/>
    <s v="Ramtirth Police Station"/>
    <s v="Nanded"/>
    <s v="NA"/>
    <s v="WIP"/>
    <s v="NA "/>
    <m/>
    <m/>
    <s v="NA"/>
    <m/>
    <m/>
    <m/>
  </r>
  <r>
    <n v="99"/>
    <n v="2025209709"/>
    <x v="2"/>
    <s v="MACT"/>
    <s v="R001-1102-SS-2025"/>
    <d v="2025-11-19T00:00:00"/>
    <x v="4"/>
    <x v="0"/>
    <x v="0"/>
    <d v="2025-12-31T00:00:00"/>
    <n v="35"/>
    <s v="BT"/>
    <s v="Full Case"/>
    <s v="Open"/>
    <x v="1"/>
    <m/>
    <s v="Devidas Vitthalrao Zinzade  "/>
    <s v="R/o. Aniket Nagar, Malegaon road. Taroda_x000a_(Kh) Tq. &amp;, Dist. Nanded."/>
    <s v="Nanded"/>
    <s v="Completed"/>
    <s v="Na "/>
    <m/>
    <m/>
    <s v="NA"/>
    <s v="SHRI SAI TOURS AND TRAVELS  7875002182"/>
    <s v=" R/o  Degaon, tq. Purna, Distt. Parbhani"/>
    <s v="Parbhani"/>
    <s v="NA"/>
    <s v="WIP"/>
    <s v="NA"/>
    <m/>
    <s v="NA"/>
    <s v="WIP"/>
    <s v="NA"/>
    <s v="NA"/>
    <s v="NA"/>
    <s v="NA"/>
    <s v="NA"/>
    <s v="NA"/>
    <s v="NA"/>
    <s v="NA"/>
    <s v="NA "/>
    <s v="Near Limbgaon Bus stand, at. Limbgaon, tq. &amp; Dist. Nanded."/>
    <m/>
    <s v="Completed"/>
    <s v="0157/2024"/>
    <s v=" Limbgaon Police Station"/>
    <s v="Nanded"/>
    <s v="NA"/>
    <s v="WIP"/>
    <s v="NA "/>
    <m/>
    <m/>
    <s v="NA"/>
    <m/>
    <m/>
    <m/>
  </r>
  <r>
    <n v="100"/>
    <n v="2025210102"/>
    <x v="2"/>
    <s v="MACT"/>
    <s v="R001-1103-SS-2025"/>
    <d v="2025-11-20T00:00:00"/>
    <x v="4"/>
    <x v="0"/>
    <x v="0"/>
    <d v="2026-01-01T00:00:00"/>
    <n v="34"/>
    <s v="BT"/>
    <s v="Full Case"/>
    <s v="Open"/>
    <x v="1"/>
    <m/>
    <s v="Sindhutai  Kailasrao Deshmukh"/>
    <s v="R/o Talni, Post Talni, Tq. Hadgaon, District - Nanded"/>
    <s v="Nanded"/>
    <s v="Completed"/>
    <s v="Na "/>
    <m/>
    <m/>
    <s v="NA"/>
    <s v="SHIVAJI DATTA THADKE"/>
    <s v="R/o Talni, Post Talni, Tq. Hadgaon, District - Nanded."/>
    <s v="Nanded"/>
    <s v="NA"/>
    <s v="Completed"/>
    <s v="NA"/>
    <m/>
    <s v="NA"/>
    <s v="Completed"/>
    <s v="NA"/>
    <s v="NA"/>
    <s v="NA"/>
    <s v="NA"/>
    <s v="NA"/>
    <s v="NA"/>
    <s v="NA"/>
    <s v="NA"/>
    <s v="NA "/>
    <s v="In the vicinity of Govt. Hospital Vishnupuri Nanded, near the Flyover bridge road."/>
    <m/>
    <s v="Completed"/>
    <s v="0052/2025"/>
    <s v="Nanded Police Station"/>
    <s v="Nanded"/>
    <s v="NA"/>
    <s v="WIP"/>
    <s v="NA "/>
    <m/>
    <m/>
    <s v="NA"/>
    <m/>
    <m/>
    <m/>
  </r>
  <r>
    <n v="101"/>
    <n v="2025212758"/>
    <x v="2"/>
    <s v="MACT"/>
    <s v="R001-1104-SS-2025"/>
    <d v="2025-11-20T00:00:00"/>
    <x v="4"/>
    <x v="0"/>
    <x v="0"/>
    <d v="2026-01-01T00:00:00"/>
    <n v="34"/>
    <s v="BT"/>
    <s v="Full Case"/>
    <s v="Open"/>
    <x v="1"/>
    <m/>
    <s v="Mrs. Tammu Spouse Sr. Devkaran Gurjar"/>
    <s v="NA"/>
    <m/>
    <s v="NA"/>
    <s v="Na "/>
    <m/>
    <m/>
    <s v="NA"/>
    <s v="SHAIKH SAMEER SHAIKH SALEEM"/>
    <s v="R/o Colony, Idgarh Road, Digalur Naka Nanded Road, Nanded (Maharashtra) 431604"/>
    <s v="Nanded"/>
    <s v="NA"/>
    <s v="Completed"/>
    <s v="NA"/>
    <m/>
    <s v="NA"/>
    <s v="WIP"/>
    <s v="NA"/>
    <s v="NA"/>
    <s v="NA"/>
    <s v="NA"/>
    <s v="NA"/>
    <s v="NA"/>
    <s v="NA"/>
    <s v="NA"/>
    <s v="NA "/>
    <s v="Near Khadegaon on Parmani Road in the border area of ​​Basmat Rural District Hingoli"/>
    <m/>
    <s v="Completed"/>
    <s v="264/2021"/>
    <s v="Hingoli Police Station"/>
    <s v="Hingoli"/>
    <s v="NA"/>
    <s v="WIP"/>
    <s v="NA "/>
    <m/>
    <m/>
    <s v="NA"/>
    <m/>
    <m/>
    <m/>
  </r>
  <r>
    <n v="102"/>
    <n v="2025209132"/>
    <x v="2"/>
    <s v="MACT"/>
    <s v="R001-1105-SS-2025"/>
    <d v="2025-11-20T00:00:00"/>
    <x v="4"/>
    <x v="22"/>
    <x v="1"/>
    <s v=""/>
    <n v="29"/>
    <s v="WT"/>
    <s v="Connected Case"/>
    <s v="Dispatch"/>
    <x v="2"/>
    <s v="Connected - 2025206806"/>
    <s v="Subhas Govindrav Pavar  .8087423180"/>
    <s v="R/o.Pokharni Tq. Dist. Parbhani"/>
    <s v="Parbhani"/>
    <s v="Completed"/>
    <s v="Na "/>
    <m/>
    <m/>
    <s v="NA"/>
    <s v="NITIN VITTHALRAO KAWALE"/>
    <m/>
    <s v="NA "/>
    <s v="NA"/>
    <s v="NA"/>
    <s v="NA"/>
    <m/>
    <s v="NA"/>
    <s v="NA"/>
    <s v="NA"/>
    <s v="NA"/>
    <s v="NA"/>
    <s v="NA"/>
    <s v="NA"/>
    <s v="NA"/>
    <s v="NA"/>
    <s v="NA"/>
    <s v="NA "/>
    <s v="In vicinity of Hatkarwadi T Point, on Parbhani to Sonpeth Road."/>
    <m/>
    <s v="NA"/>
    <s v="0412/2023"/>
    <s v="Manwat Police Station"/>
    <s v="parbhani"/>
    <s v="NA"/>
    <s v="NA"/>
    <s v="NA "/>
    <m/>
    <m/>
    <s v="NA"/>
    <m/>
    <m/>
    <s v="Claimant Part"/>
  </r>
  <r>
    <n v="103"/>
    <n v="2025209145"/>
    <x v="2"/>
    <s v="MACT"/>
    <s v="R001-1106-SS-2025"/>
    <d v="2025-11-20T00:00:00"/>
    <x v="4"/>
    <x v="22"/>
    <x v="1"/>
    <s v=""/>
    <n v="29"/>
    <s v="WT"/>
    <s v="Connected Case"/>
    <s v="Dispatch"/>
    <x v="2"/>
    <s v="Connected - 2025206806"/>
    <s v="Balasaheb Yallapa Dhotre"/>
    <s v="R/o.Pokharni Tq. Dist. Parbhani"/>
    <s v="Parbhani"/>
    <s v="Completed"/>
    <s v="Na "/>
    <m/>
    <m/>
    <s v="NA"/>
    <s v="NITIN VITTHALRAO KAWALE"/>
    <m/>
    <s v="NA "/>
    <s v="NA"/>
    <s v="NA"/>
    <s v="NA"/>
    <m/>
    <s v="NA"/>
    <s v="NA"/>
    <s v="NA"/>
    <s v="NA"/>
    <s v="NA"/>
    <s v="NA"/>
    <s v="NA"/>
    <s v="NA"/>
    <s v="NA"/>
    <s v="NA"/>
    <s v="NA "/>
    <s v="In vicinity of Hatkarwadi T Point, on Parbhani to Sonpeth Road."/>
    <m/>
    <s v="NA"/>
    <s v="0412/2023"/>
    <s v="Manwat Police Station"/>
    <s v="parbhani"/>
    <s v="NA"/>
    <s v="NA"/>
    <s v="NA "/>
    <m/>
    <m/>
    <s v="NA"/>
    <m/>
    <m/>
    <s v="Claimant Part"/>
  </r>
  <r>
    <n v="104"/>
    <n v="2025206806"/>
    <x v="2"/>
    <s v="MACT"/>
    <s v="R001-1107-SS-2025"/>
    <d v="2025-11-20T00:00:00"/>
    <x v="4"/>
    <x v="22"/>
    <x v="1"/>
    <d v="2026-01-01T00:00:00"/>
    <n v="29"/>
    <s v="WT"/>
    <s v="Full Case"/>
    <s v="Dispatch"/>
    <x v="2"/>
    <m/>
    <s v="Rukminbai  Balu Dhotare"/>
    <s v="R/o. Pokharni (N) Tq. Dist. Parbhani."/>
    <s v="Parbhani"/>
    <s v="Completed"/>
    <s v="Na "/>
    <s v="NA "/>
    <s v="NA"/>
    <s v="NA"/>
    <s v="NITIN VITTHALRAO KAWALE"/>
    <s v=" R/o. Shantiniketan Colony, Gangakhed Road, Parbhani Tq.Dist. Parbhani"/>
    <s v="Parbhani"/>
    <s v="NA"/>
    <s v="Completed"/>
    <s v="NA"/>
    <s v="NA"/>
    <s v="NA"/>
    <s v="Completed"/>
    <s v="NA"/>
    <s v="NA"/>
    <s v="NA"/>
    <s v="NA"/>
    <s v="NA"/>
    <s v="NA"/>
    <s v="NA"/>
    <s v="NA"/>
    <s v="NA "/>
    <s v="In vicinity of Hatkarwadi T Point, on Parbhani to Sonpeth Road."/>
    <s v="NA"/>
    <s v="Completed"/>
    <s v="0412/2023"/>
    <s v="Manwat Police Station"/>
    <s v="parbhani"/>
    <s v="NA"/>
    <s v="WIP"/>
    <s v="NA "/>
    <m/>
    <m/>
    <s v="NA"/>
    <m/>
    <m/>
    <s v="Claimant Part/ Insured Visit/ Driver/ Spot pending  for Chargesheet "/>
  </r>
  <r>
    <n v="105"/>
    <n v="2025210434"/>
    <x v="2"/>
    <s v="MACT"/>
    <s v="R001-1108-SS-2025"/>
    <d v="2025-11-20T00:00:00"/>
    <x v="4"/>
    <x v="20"/>
    <x v="1"/>
    <s v=""/>
    <n v="32"/>
    <s v="BT"/>
    <s v="Connected Case"/>
    <s v="Dispatch"/>
    <x v="2"/>
    <s v="Connected 2025201788"/>
    <s v="Aasma Begum  Shaikh Ateeq Bagwan"/>
    <s v="R/o. Umar Colony, Deglur Naka, Nanded."/>
    <s v="Nanded"/>
    <s v="Completed"/>
    <s v="Na "/>
    <m/>
    <m/>
    <s v="NA"/>
    <s v="NA "/>
    <m/>
    <s v="NA"/>
    <s v="NA"/>
    <s v="Completed"/>
    <s v="NA"/>
    <m/>
    <s v="NA"/>
    <s v="NA"/>
    <s v="NA"/>
    <s v="NA"/>
    <s v="NA"/>
    <s v="NA"/>
    <s v="NA"/>
    <s v="NA"/>
    <s v="NA"/>
    <s v="NA"/>
    <s v="NA "/>
    <s v="At Nanded Narsi highway near Army Camp,_x000a_Kakandi, Tq &amp; Dist."/>
    <m/>
    <s v="NA"/>
    <s v="0263/2024"/>
    <s v="Nanded Police Station"/>
    <s v="Nanded"/>
    <s v="NA"/>
    <s v="NA"/>
    <s v="NA "/>
    <m/>
    <m/>
    <s v="NA"/>
    <m/>
    <m/>
    <m/>
  </r>
  <r>
    <n v="106"/>
    <n v="2025209745"/>
    <x v="2"/>
    <s v="MACT"/>
    <s v="R001-1109-SS-2025"/>
    <d v="2025-11-20T00:00:00"/>
    <x v="4"/>
    <x v="0"/>
    <x v="0"/>
    <d v="2026-01-01T00:00:00"/>
    <n v="34"/>
    <s v="BT"/>
    <s v="Full Case"/>
    <s v="Open"/>
    <x v="1"/>
    <m/>
    <s v="Mohan  Munjaji Kadam"/>
    <s v="R/o. Pangri Tq. Ardhpur Dist. Nanded."/>
    <s v="Nanded"/>
    <s v="WIP"/>
    <s v="Na "/>
    <m/>
    <m/>
    <s v="NA"/>
    <s v="Reliance General Ins. Co. Ltd"/>
    <s v=" Ayodhya Building, 1st Floor, 119, Near Bajaj Nagar Chowk, Behind Akruti Furniture, Bajaj Nagar, Nagpur- 440010."/>
    <s v="Nagpur"/>
    <s v="NA"/>
    <s v="WIP"/>
    <s v="NA"/>
    <m/>
    <s v="NA"/>
    <s v="WIP"/>
    <s v="NA"/>
    <s v="NA"/>
    <s v="NA"/>
    <s v="NA"/>
    <s v="NA"/>
    <s v="NA"/>
    <s v="NA"/>
    <s v="NA"/>
    <s v="NA "/>
    <s v="Vidul Tq. Umarkhed to Zadgaon."/>
    <m/>
    <s v="WIP"/>
    <s v="0034/2024"/>
    <s v="Police station Umarkhed"/>
    <s v="Umarkhed"/>
    <s v="NA"/>
    <s v="NI"/>
    <s v="NA "/>
    <m/>
    <m/>
    <s v="NA"/>
    <m/>
    <m/>
    <m/>
  </r>
  <r>
    <n v="107"/>
    <n v="2023210048"/>
    <x v="2"/>
    <s v="MACT"/>
    <s v="R001-1110-SS-2025"/>
    <d v="2025-11-20T00:00:00"/>
    <x v="4"/>
    <x v="0"/>
    <x v="0"/>
    <d v="2025-12-11T00:00:00"/>
    <n v="34"/>
    <s v="BT"/>
    <s v="Partial Case"/>
    <s v="Open"/>
    <x v="1"/>
    <s v="For Driver Part."/>
    <s v="NA"/>
    <s v="NA"/>
    <s v="NA "/>
    <s v="NA"/>
    <s v="Na "/>
    <m/>
    <m/>
    <s v="NA"/>
    <s v="NA"/>
    <s v="NA"/>
    <s v="NA "/>
    <s v="NA"/>
    <s v="NA"/>
    <s v="Sangram  Shriram Kumate"/>
    <m/>
    <s v=" R/o. Pangri Tq. Ardhpur Dist. Nanded."/>
    <s v="WIP"/>
    <s v="NA"/>
    <s v="NA"/>
    <s v="NA"/>
    <s v="NA"/>
    <s v="NA"/>
    <s v="NA"/>
    <s v="NA"/>
    <s v="NA"/>
    <s v="NA "/>
    <s v="NA "/>
    <m/>
    <s v="NA"/>
    <s v="NA"/>
    <s v="NA"/>
    <s v="NA"/>
    <s v="NA"/>
    <s v="NA"/>
    <s v="NA "/>
    <m/>
    <m/>
    <s v="NA"/>
    <m/>
    <m/>
    <m/>
  </r>
  <r>
    <n v="108"/>
    <n v="2023202836"/>
    <x v="2"/>
    <s v="MACT"/>
    <s v="R001-1111-SS-2025"/>
    <d v="2025-11-20T00:00:00"/>
    <x v="4"/>
    <x v="0"/>
    <x v="0"/>
    <d v="2025-12-11T00:00:00"/>
    <n v="34"/>
    <s v="BT"/>
    <s v="Partial Case"/>
    <s v="STOP"/>
    <x v="2"/>
    <m/>
    <s v="Manpreet Kaur Jagdeep Singh Sardar."/>
    <s v="R/o. Nandigram Society, Beside Water Tank, Nanded."/>
    <s v="Nanded"/>
    <s v="Completed"/>
    <s v="Na "/>
    <m/>
    <m/>
    <s v="NA"/>
    <s v="Mr.DNYANESHWAR TUKARAM KATKAR"/>
    <s v="NA"/>
    <s v="NA"/>
    <s v="NA"/>
    <s v="NA"/>
    <s v="NA"/>
    <m/>
    <s v="NA"/>
    <s v="NA"/>
    <s v="NA"/>
    <s v="NA"/>
    <s v="NA"/>
    <s v="NA"/>
    <s v="NA"/>
    <s v="NA"/>
    <s v="NA"/>
    <s v="NA"/>
    <s v="NA "/>
    <s v="Near Hotel Shivakrupa, Kacharewadi, on Sangola - Mangalweda Road."/>
    <m/>
    <s v="NA"/>
    <s v="986/2022"/>
    <s v="Mangalweda Police Station"/>
    <s v="NA"/>
    <s v="NA"/>
    <s v="NA"/>
    <s v="NA "/>
    <m/>
    <m/>
    <s v="NA"/>
    <m/>
    <m/>
    <m/>
  </r>
  <r>
    <n v="109"/>
    <s v="MTP-N-2526-004387"/>
    <x v="1"/>
    <s v="MACT"/>
    <s v="F001-1112-SS-2025"/>
    <d v="2025-11-20T00:00:00"/>
    <x v="4"/>
    <x v="0"/>
    <x v="0"/>
    <d v="2026-01-01T00:00:00"/>
    <n v="34"/>
    <s v="BT"/>
    <s v="Full Case"/>
    <s v="Open"/>
    <x v="1"/>
    <m/>
    <s v="Tejswini Ramdas Salve"/>
    <s v="R/o Pudli Derya,Tal-Parhir,Dist-Ahilyanagar."/>
    <s v="Ahilyanagar"/>
    <s v="WIP"/>
    <s v="Na "/>
    <m/>
    <m/>
    <s v="NA"/>
    <s v="Ishwar Vishnu Dhawale "/>
    <s v="R/o Mandigav Tal-daund,Dist-Pune."/>
    <s v="Pune"/>
    <s v="NA"/>
    <s v="WIP"/>
    <s v="NA"/>
    <m/>
    <s v="NA"/>
    <s v="WIP"/>
    <s v="Yes"/>
    <s v="WIP"/>
    <s v="Yes "/>
    <s v="NA"/>
    <s v="NA"/>
    <s v="NA"/>
    <s v="NA"/>
    <s v="NA"/>
    <s v="NA "/>
    <s v="Nagpur to Mumbai Sumruddhi Mahamarg Road."/>
    <m/>
    <s v="WIP"/>
    <s v="0316/2025"/>
    <s v="Karaja police Station,D-Vashi"/>
    <s v="Vashi."/>
    <s v="NA"/>
    <s v="WIP"/>
    <s v="NA "/>
    <m/>
    <m/>
    <s v="NA"/>
    <m/>
    <m/>
    <m/>
  </r>
  <r>
    <n v="110"/>
    <s v="MTP-N-2526-004507"/>
    <x v="1"/>
    <s v="MACT"/>
    <s v="F001-1113-SS-2025"/>
    <d v="2025-11-20T00:00:00"/>
    <x v="4"/>
    <x v="0"/>
    <x v="0"/>
    <d v="2026-01-01T00:00:00"/>
    <n v="34"/>
    <s v="BT"/>
    <s v="Full Case"/>
    <s v="Open"/>
    <x v="1"/>
    <m/>
    <s v="Kalim Nanhu Shaikh"/>
    <s v="R/o Daafawadi ,tq,D-Parbhani."/>
    <s v="Parbhani"/>
    <s v="WIP"/>
    <s v="Na "/>
    <m/>
    <m/>
    <s v="NA"/>
    <s v="Mr.Syed Anis SyedMazhar."/>
    <s v="Near Usufiya Masjid Yusuf Colony,Parbhani ."/>
    <s v="Parbhani"/>
    <s v="NA"/>
    <s v="WIP"/>
    <s v="NA"/>
    <m/>
    <s v="NA"/>
    <s v="WIP"/>
    <s v="Yes"/>
    <s v="WIP"/>
    <s v="Yes "/>
    <s v="NA"/>
    <s v="NA"/>
    <s v="NA"/>
    <s v="NA"/>
    <s v="NA"/>
    <s v="NA "/>
    <s v="Dhanora Satalu-Kopre AhamadNagar Road,Near VillageDnnura Pati@Within the Justisdiction of Village Kingaon."/>
    <m/>
    <s v="WIP"/>
    <s v="092/2025"/>
    <s v="Kinggaon Police Station D-Latur."/>
    <s v="Latur"/>
    <s v="NA"/>
    <s v="WIP"/>
    <s v="NA "/>
    <m/>
    <m/>
    <s v="NA"/>
    <m/>
    <m/>
    <m/>
  </r>
  <r>
    <n v="111"/>
    <s v="MTP-N-2526-004327"/>
    <x v="1"/>
    <s v="MACT"/>
    <s v="F001-1114-SS-2025"/>
    <d v="2025-11-19T00:00:00"/>
    <x v="4"/>
    <x v="0"/>
    <x v="0"/>
    <d v="2025-12-31T00:00:00"/>
    <n v="35"/>
    <s v="BT"/>
    <s v="Full Case"/>
    <s v="Open"/>
    <x v="1"/>
    <m/>
    <s v="Mr,Suresh Shivaji Kadam "/>
    <s v="At-Vadval,Post-Dogvat,Tal-Khalapur,D-Raigad."/>
    <s v="Raigad"/>
    <s v="WIP"/>
    <s v="Na "/>
    <m/>
    <m/>
    <s v="NA"/>
    <s v="Mr,Akshara Narendra Sinh"/>
    <s v="A1/32,Runwal Nagar Kolbad, Thane. 400601."/>
    <s v="Thane"/>
    <s v="NA"/>
    <s v="Completed"/>
    <s v="NA"/>
    <m/>
    <s v="Santosh Shinde "/>
    <s v="Completed"/>
    <s v="Yes"/>
    <s v="NA"/>
    <s v="Yes "/>
    <s v="NA"/>
    <s v="NA"/>
    <s v="NA"/>
    <s v="NA"/>
    <s v="NA"/>
    <s v="NA "/>
    <s v="Lonavala Gramin Police Station Pune "/>
    <m/>
    <s v="WIP"/>
    <s v="0308/2024"/>
    <s v="Lonavala Police Station "/>
    <s v="Pune .Gramin."/>
    <s v="NA"/>
    <s v="WIP"/>
    <s v="NA "/>
    <m/>
    <m/>
    <s v="NA"/>
    <m/>
    <m/>
    <s v="Insured Non Cooprative Pending for Claimant / Driver/ Spot / Chargesheet"/>
  </r>
  <r>
    <n v="112"/>
    <s v="CM961508"/>
    <x v="1"/>
    <s v="MACT"/>
    <s v="F001-1115-SS-2025"/>
    <d v="2025-11-20T00:00:00"/>
    <x v="4"/>
    <x v="23"/>
    <x v="4"/>
    <d v="2025-12-11T00:00:00"/>
    <n v="9"/>
    <s v="WT"/>
    <s v="Partial Case"/>
    <s v="Dispatch"/>
    <x v="2"/>
    <m/>
    <s v="Ashok Kumar Singh"/>
    <s v="R/o PatelNagar GhataBilodi  Dist -Dhar."/>
    <s v="Dhar"/>
    <s v="NA"/>
    <s v="CORPORATE OFFICE :- Opp. 106th Milestone, CTS 2220, Mumbai-Pune Road, Kasarwadi, Pune MH 411034 IN Fax: 68138402 Tel : .91(0)20-68138555 , 020-27145595"/>
    <m/>
    <m/>
    <s v="Completed"/>
    <s v="Radheshyam Hariram Chauhan "/>
    <s v="Kadampura Thana manpur Tal-Manu Dist-Dhar."/>
    <s v="Dhar "/>
    <s v="NA"/>
    <s v="NA"/>
    <s v="NA"/>
    <m/>
    <s v="NA"/>
    <s v="NI"/>
    <s v="NA"/>
    <s v="NA"/>
    <s v="NA"/>
    <s v="NA"/>
    <s v="NA"/>
    <s v="NA"/>
    <s v="NA"/>
    <s v="NA"/>
    <s v="NA "/>
    <s v="Udli Balaji Nagar,Chauhan,Sagor Tal-D-Dhar."/>
    <m/>
    <s v="NA"/>
    <s v="065/2024"/>
    <s v="Sagor police Station."/>
    <s v="Dhar."/>
    <s v="NA"/>
    <s v="NA"/>
    <s v="NA "/>
    <m/>
    <m/>
    <s v="NA"/>
    <m/>
    <m/>
    <m/>
  </r>
  <r>
    <n v="113"/>
    <s v="L0016122"/>
    <x v="1"/>
    <s v="MACT"/>
    <s v="F001-1116-SS-2025"/>
    <d v="2025-11-20T00:00:00"/>
    <x v="4"/>
    <x v="0"/>
    <x v="0"/>
    <d v="2025-12-11T00:00:00"/>
    <n v="34"/>
    <s v="BT"/>
    <s v="WC Claim"/>
    <s v="Open"/>
    <x v="1"/>
    <m/>
    <s v="NA"/>
    <s v="NA"/>
    <s v="NA "/>
    <s v="WIP"/>
    <s v="Na "/>
    <m/>
    <m/>
    <s v="NA"/>
    <s v="Supreme BuildCon,"/>
    <s v="AD-Royal HeriTage Sector,13 plot No,106 Spine Road, Pune."/>
    <s v="Pune"/>
    <s v="NA"/>
    <s v="WIP"/>
    <s v="NA"/>
    <m/>
    <s v="NA"/>
    <s v="WIP"/>
    <s v="NA"/>
    <s v="NA"/>
    <s v="NA"/>
    <s v="NA"/>
    <s v="NA"/>
    <s v="NA"/>
    <s v="NA"/>
    <s v="NA"/>
    <s v="NA "/>
    <s v="NA"/>
    <m/>
    <s v="NI"/>
    <s v="NA"/>
    <s v="NA"/>
    <s v="NA"/>
    <s v="NA"/>
    <s v="WIP"/>
    <s v="NA "/>
    <m/>
    <m/>
    <s v="NA"/>
    <m/>
    <m/>
    <m/>
  </r>
  <r>
    <n v="114"/>
    <n v="2002429"/>
    <x v="3"/>
    <s v="MACT"/>
    <s v="S002-1117-SS-2025"/>
    <d v="2025-11-20T00:00:00"/>
    <x v="4"/>
    <x v="0"/>
    <x v="0"/>
    <d v="2026-01-01T00:00:00"/>
    <n v="34"/>
    <s v="BT"/>
    <s v="Full Case"/>
    <s v="Open"/>
    <x v="1"/>
    <m/>
    <s v="Aniket Subhash Bhardwaj "/>
    <s v="R/o ROOM N,01 Dj 05 Chawal,Near LokprisenSabeGaon ,Diva-Thane."/>
    <s v="Thane"/>
    <s v="Completed"/>
    <s v="Na "/>
    <m/>
    <m/>
    <s v="NA"/>
    <s v="BEharulka Shankarlal Rebari ."/>
    <s v="R/o Room n.1104,11th floor,Imperial Tower,A2 Bldg Nirmal Nagar , Thane."/>
    <s v="Thane"/>
    <s v="NA"/>
    <s v="Completed"/>
    <s v="NA"/>
    <m/>
    <s v="NA"/>
    <s v="NA"/>
    <s v="NA"/>
    <s v="NA"/>
    <s v="NA"/>
    <s v="NA"/>
    <s v="NA"/>
    <s v="NA"/>
    <s v="NA"/>
    <s v="NA"/>
    <s v="NA "/>
    <s v="Shil-Diaghar Thane City"/>
    <m/>
    <s v="Completed"/>
    <s v="018/2025"/>
    <s v="Diaghar police Station."/>
    <s v="Thane "/>
    <s v="NA"/>
    <s v="NI"/>
    <s v="NA "/>
    <m/>
    <m/>
    <s v="NA"/>
    <m/>
    <m/>
    <s v="Claimant and Insured Part Done - During the verification, it was found that the insured has shifted from the another location. When we asked  for the contact number and new address of the insured, he refused to share any information.    Peding for Driver / SPot Hospital and CS"/>
  </r>
  <r>
    <n v="115"/>
    <n v="2745855"/>
    <x v="3"/>
    <s v="MACT"/>
    <s v="S002-1118-SS-2025"/>
    <d v="2025-11-20T00:00:00"/>
    <x v="4"/>
    <x v="0"/>
    <x v="0"/>
    <d v="2026-01-01T00:00:00"/>
    <n v="34"/>
    <s v="BT"/>
    <s v="Full Case"/>
    <s v="Open"/>
    <x v="0"/>
    <m/>
    <s v="Virendra Harkhu Pandit"/>
    <s v="R/o  A302, Shweta Appartment, 3rd Floor, Golavli Gaon Marathi School Dombivli east, Kalyan, Thane, Maharashtra 421203"/>
    <s v="Thane"/>
    <s v="Completed"/>
    <s v="Na "/>
    <m/>
    <m/>
    <s v="NA"/>
    <s v="Patil Kiran Subhash"/>
    <s v="Plot No. At Nevali PO Mangrul, Kalyan,_x000a__x000a_Ambernath, Maharashtra 421301"/>
    <s v="Thane"/>
    <s v="NA"/>
    <s v="Completed"/>
    <s v="NA"/>
    <m/>
    <s v="NA"/>
    <s v="NA"/>
    <s v="NA"/>
    <s v="NA"/>
    <s v="NA"/>
    <s v="NA"/>
    <s v="NA"/>
    <s v="NA"/>
    <s v="NA"/>
    <s v="NA"/>
    <s v="NA "/>
    <s v=" Kalyan Shilphata Road, Viko naka, Dombivli"/>
    <m/>
    <s v="Completed"/>
    <s v="1105/2024"/>
    <s v="Manpada Police Station"/>
    <s v="Thane "/>
    <s v="NA"/>
    <s v="NI"/>
    <s v="NA "/>
    <m/>
    <m/>
    <s v="NA"/>
    <m/>
    <m/>
    <m/>
  </r>
  <r>
    <n v="116"/>
    <n v="2748309"/>
    <x v="3"/>
    <s v="MACT"/>
    <s v="S002-1119-SS-2025"/>
    <d v="2025-11-20T00:00:00"/>
    <x v="4"/>
    <x v="0"/>
    <x v="0"/>
    <s v=""/>
    <n v="34"/>
    <s v="BT"/>
    <s v="Connected Case"/>
    <s v="Open"/>
    <x v="1"/>
    <s v="2748311 Connectd"/>
    <s v="Gorakhnath Pappu Yadav"/>
    <s v="R/o ,308/ 'B' Wing, Nav Arunodaya_x000a_Near to Padmaja Hospital, Bhayander (E)"/>
    <s v="Mumbai"/>
    <s v="Completed"/>
    <s v="Na "/>
    <m/>
    <m/>
    <s v="NA"/>
    <s v="Hanoj ​​Viraf Jungalwala"/>
    <s v="R/o Shafna Logistic, Plot No. 100, Mahadev Nagar Tabular Pensama At Post Chalthan, Baroli - 394305"/>
    <s v="NA"/>
    <s v="NA"/>
    <s v="NA"/>
    <s v="NA"/>
    <m/>
    <s v="NA"/>
    <s v="NA"/>
    <s v="NA"/>
    <s v="NA"/>
    <s v="NA"/>
    <s v="NA"/>
    <s v="NA"/>
    <s v="NA"/>
    <s v="NA"/>
    <s v="NA"/>
    <s v="NA "/>
    <s v="On western Express Highway near to Gokul Anand Hotal, Dahisar, Mumbai."/>
    <m/>
    <s v="NA"/>
    <s v="0892/2025"/>
    <s v="Dahisar Police Station"/>
    <s v="Mumbai"/>
    <s v="NA"/>
    <s v="NA"/>
    <s v="NA "/>
    <m/>
    <m/>
    <s v="NA"/>
    <m/>
    <m/>
    <s v="claimant Part Pending for Spot and CS"/>
  </r>
  <r>
    <n v="117"/>
    <n v="2748311"/>
    <x v="3"/>
    <s v="MACT"/>
    <s v="S002-1120-SS-2025"/>
    <d v="2025-11-20T00:00:00"/>
    <x v="4"/>
    <x v="0"/>
    <x v="0"/>
    <d v="2026-01-01T00:00:00"/>
    <n v="34"/>
    <s v="BT"/>
    <s v="Full Case"/>
    <s v="Open"/>
    <x v="1"/>
    <m/>
    <s v="Ramesh Rambali Yadav   9619370663"/>
    <s v="R/o ,308/ 'B' Wing, Nav Arunodaya_x000a_Near to Padmaja Hospital, Bhayander (E)"/>
    <s v="Mumbai"/>
    <s v="Completed"/>
    <s v="Na "/>
    <m/>
    <m/>
    <s v="NA"/>
    <s v="Hanoj ​​Viraf Jungalwala"/>
    <s v="R/o Shafna Logistic, Plot No. 100, Mahadev Nagar Tabular Pensama At Post Chalthan, Baroli - 394305"/>
    <s v="NA"/>
    <s v="NA"/>
    <s v="NI"/>
    <s v="NA"/>
    <m/>
    <s v="NA"/>
    <s v="NI"/>
    <s v="NA"/>
    <s v="NA"/>
    <s v="NA"/>
    <s v="NA"/>
    <s v="NA"/>
    <s v="NA"/>
    <s v="NA"/>
    <s v="NA"/>
    <s v="NA "/>
    <s v="On western Express Highway near to Gokul Anand Hotal, Dahisar, Mumbai."/>
    <m/>
    <s v="NI"/>
    <s v="0892/2025"/>
    <s v="Dahisar Police Station"/>
    <s v="Mumbai"/>
    <s v="NA"/>
    <s v="NI"/>
    <s v="NA "/>
    <m/>
    <m/>
    <s v="NA"/>
    <m/>
    <m/>
    <s v="Claimant Part"/>
  </r>
  <r>
    <n v="118"/>
    <n v="2748142"/>
    <x v="3"/>
    <s v="MACT"/>
    <s v="S002-1121-SS-2025"/>
    <d v="2025-11-20T00:00:00"/>
    <x v="4"/>
    <x v="0"/>
    <x v="0"/>
    <d v="2026-01-01T00:00:00"/>
    <n v="34"/>
    <s v="BT"/>
    <s v="Full Case"/>
    <s v="Open"/>
    <x v="1"/>
    <m/>
    <s v="Vira Ram ji Vaga ram ji"/>
    <s v="R/o  B-10, Parle Colony, Behind Kishore Punjab Hotel, Sahar Road, Vile parle (east) Mumbai - 400057"/>
    <s v="Mumbai"/>
    <s v="Completed"/>
    <s v="Na "/>
    <m/>
    <m/>
    <s v="NA"/>
    <s v="Sunrise Enterprises /Prop. Abdul Rauf Shaikh"/>
    <s v="R/o ADJ To Room No.2703, Shop No.02}_x000a_Chawl 170, Group 8A, Tagore Nagar, Vikharoli (East) Mumbai - 400083"/>
    <s v="Mumbai"/>
    <s v="NA"/>
    <s v="Completed"/>
    <s v="NA"/>
    <m/>
    <s v="NA"/>
    <s v="WIP"/>
    <s v="NA"/>
    <s v="NA"/>
    <s v="NA"/>
    <s v="NA"/>
    <s v="NA"/>
    <s v="NA"/>
    <s v="NA"/>
    <s v="NA"/>
    <s v="NA "/>
    <s v="On B.K.C Road, Kanakia Paris Building_x000a_Bandra (east) Mumbai."/>
    <m/>
    <s v="Completed"/>
    <s v="0326/2025"/>
    <s v="Kherwadi Police Station"/>
    <s v="Mumbai"/>
    <s v="NA"/>
    <s v="WIP"/>
    <s v="NA "/>
    <m/>
    <m/>
    <s v="NA"/>
    <m/>
    <m/>
    <s v="Claimant / Spot/ Insured Non cooprative  pending for Driver and CS"/>
  </r>
  <r>
    <n v="119"/>
    <n v="2025212933"/>
    <x v="2"/>
    <s v="MACT"/>
    <s v="R001-1122-SS-2025"/>
    <d v="2025-11-23T00:00:00"/>
    <x v="4"/>
    <x v="0"/>
    <x v="0"/>
    <d v="2026-01-02T00:00:00"/>
    <n v="31"/>
    <s v="BT"/>
    <s v="Full Case"/>
    <s v="Open"/>
    <x v="1"/>
    <m/>
    <s v="Balaji Puna Rathod"/>
    <s v="R/o Sangvi Tanda Tq. Ahemadpur, At present Near Hanuman Mandir, Ring Road, 5 No. Chowk, Latur, Tq. &amp; Dist. Latur._x000a_"/>
    <s v="Latur"/>
    <s v="Completed"/>
    <s v="Na "/>
    <m/>
    <m/>
    <s v="NA"/>
    <s v="Keshav  Shripati Rathod"/>
    <s v=" R/o FattunaikTanda Banvas, Tq. Pallam Dist. Parbhani."/>
    <s v="Parbhani"/>
    <s v="NA"/>
    <s v="Completed"/>
    <s v="NA"/>
    <m/>
    <s v="NA"/>
    <s v="WIP"/>
    <s v="NA"/>
    <s v="NA"/>
    <s v="NA"/>
    <s v="NA"/>
    <s v="NA"/>
    <s v="NA"/>
    <s v="NA"/>
    <s v="NA"/>
    <s v="NA "/>
    <s v="On the Premises of siddhi sugar factory ujana tq.Ahemadpur, Dist.Latur"/>
    <m/>
    <s v="Completed"/>
    <s v="0072/2023"/>
    <s v="Kingaon Police Station"/>
    <s v="Latur"/>
    <s v="NA"/>
    <s v="Completed"/>
    <s v="NA "/>
    <m/>
    <m/>
    <s v="NA"/>
    <m/>
    <m/>
    <m/>
  </r>
  <r>
    <n v="120"/>
    <n v="2025210107"/>
    <x v="2"/>
    <s v="MACT"/>
    <s v="R001-1123-SS-2025"/>
    <d v="2025-11-23T00:00:00"/>
    <x v="4"/>
    <x v="0"/>
    <x v="0"/>
    <d v="2025-12-12T00:00:00"/>
    <n v="31"/>
    <s v="BT"/>
    <s v="Partial Case"/>
    <s v="Open"/>
    <x v="1"/>
    <s v="Required Permit extract from RTO"/>
    <s v="NA"/>
    <s v="NA"/>
    <s v="NA"/>
    <s v="NA"/>
    <s v="Na "/>
    <m/>
    <m/>
    <s v="NA"/>
    <s v="NA"/>
    <s v="NA"/>
    <s v="NA"/>
    <s v="NA"/>
    <s v="NA"/>
    <s v="NA"/>
    <m/>
    <s v="NA"/>
    <s v="NA"/>
    <s v="NA"/>
    <s v="NA"/>
    <s v="NA"/>
    <s v="NA"/>
    <s v="Yes "/>
    <s v="WIP"/>
    <s v="NA"/>
    <s v="NA"/>
    <s v="NA "/>
    <s v="On the Premises of siddhi sugar factory ujana tq.Ahemadpur, Dist.Latur"/>
    <m/>
    <s v="NA"/>
    <s v="0072/2023"/>
    <s v="Kingaon Police Station"/>
    <s v="Latur"/>
    <s v="NA"/>
    <s v="NA"/>
    <s v="NA "/>
    <m/>
    <m/>
    <s v="NA"/>
    <m/>
    <m/>
    <m/>
  </r>
  <r>
    <n v="121"/>
    <n v="2022213651"/>
    <x v="2"/>
    <s v="MACT"/>
    <s v="R001-1124-SS-2025"/>
    <d v="2025-11-24T00:00:00"/>
    <x v="4"/>
    <x v="0"/>
    <x v="0"/>
    <d v="2025-12-15T00:00:00"/>
    <n v="30"/>
    <s v="BT"/>
    <s v="Partial Case"/>
    <s v="Open"/>
    <x v="0"/>
    <s v="Procure complete charge sheet"/>
    <s v="NA"/>
    <s v="NA"/>
    <s v="NA"/>
    <s v="NA"/>
    <s v="Na "/>
    <m/>
    <m/>
    <s v="NA"/>
    <s v="NA"/>
    <s v="NA"/>
    <s v="NA "/>
    <s v="NA"/>
    <s v="NA"/>
    <s v="NA"/>
    <m/>
    <s v="NA"/>
    <s v="NA"/>
    <s v="NA"/>
    <s v="NA"/>
    <s v="NA"/>
    <s v="NA"/>
    <s v="NA"/>
    <s v="NA"/>
    <s v="NA"/>
    <s v="NA"/>
    <s v="NA "/>
    <s v="NA"/>
    <m/>
    <s v="NA"/>
    <s v="360/2021"/>
    <s v="MUkhed Po. ST."/>
    <s v="Nanded"/>
    <s v="NA"/>
    <s v="WIP"/>
    <s v="NA "/>
    <s v=" "/>
    <m/>
    <s v="NA"/>
    <m/>
    <m/>
    <m/>
  </r>
  <r>
    <n v="122"/>
    <n v="2025212966"/>
    <x v="2"/>
    <s v="MACT"/>
    <s v="R001-1125-SS-2025"/>
    <d v="2025-11-25T00:00:00"/>
    <x v="4"/>
    <x v="0"/>
    <x v="0"/>
    <d v="2026-01-06T00:00:00"/>
    <n v="29"/>
    <s v="WT"/>
    <s v="Full Case"/>
    <s v="Open"/>
    <x v="1"/>
    <m/>
    <s v="Kiran Jalindar Hake  8975734999"/>
    <s v="R/o Yeshwandi, Tal. Washi, Distt. Dharashiv"/>
    <s v="Dharashiv"/>
    <s v="WIP"/>
    <s v="Na "/>
    <m/>
    <m/>
    <s v="NA"/>
    <s v="Vinod Atrinandan Mote"/>
    <s v="R/o  Pargaon, Tq. Washi Dist. Dharashiv"/>
    <s v="Dharashiv"/>
    <s v="NA"/>
    <s v="WIP"/>
    <s v="NA"/>
    <m/>
    <s v="Pankaj Kawade "/>
    <s v="WIP"/>
    <s v="NA"/>
    <s v="NA"/>
    <s v="NA"/>
    <s v="NA"/>
    <s v="NA"/>
    <s v="NA"/>
    <s v="NA"/>
    <s v="NA"/>
    <s v="NA "/>
    <s v="on Bhoom-Pardi Road near the mil stone No. 118/9, near the field of Vipul Talekar &amp; Tanaji Kshirsagar "/>
    <m/>
    <s v="WIP"/>
    <s v="0101/2024"/>
    <s v="Bhoom Police Station"/>
    <s v="Usmanabad"/>
    <s v="NA"/>
    <s v="Completed"/>
    <s v="NA "/>
    <m/>
    <m/>
    <s v="NA"/>
    <m/>
    <m/>
    <m/>
  </r>
  <r>
    <n v="123"/>
    <n v="2025212965"/>
    <x v="2"/>
    <s v="MACT"/>
    <s v="R001-1126-SS-2025"/>
    <d v="2025-11-25T00:00:00"/>
    <x v="4"/>
    <x v="0"/>
    <x v="0"/>
    <d v="2026-01-06T00:00:00"/>
    <n v="29"/>
    <s v="WT"/>
    <s v="Full Case"/>
    <s v="Open"/>
    <x v="1"/>
    <m/>
    <s v="Asaram  Keshav Zade   9921467451"/>
    <s v="R/o Khudaj, Tq. Sengaon, District-Hingoli."/>
    <s v="Hingoli"/>
    <s v="Completed"/>
    <s v="Na "/>
    <m/>
    <m/>
    <s v="NA"/>
    <s v="Shaikh Jamil  Shaikh Javed"/>
    <s v="R/o Kanhergaon Naka, Tq. &amp; District - Hingoli"/>
    <s v="Hingoli"/>
    <s v="NA"/>
    <s v="Completed"/>
    <s v="NA"/>
    <m/>
    <s v="NA"/>
    <s v="WIP"/>
    <s v="NA"/>
    <s v="NA"/>
    <s v="NA"/>
    <s v="NA"/>
    <s v="NA"/>
    <s v="NA"/>
    <s v="NA"/>
    <s v="NA"/>
    <s v="NA "/>
    <m/>
    <m/>
    <s v="Completed"/>
    <s v="0214/2025"/>
    <s v="Sengoan Police Station"/>
    <s v="Hingoli"/>
    <s v="NA"/>
    <s v="WIP"/>
    <s v="NA "/>
    <m/>
    <m/>
    <s v="NA"/>
    <m/>
    <m/>
    <m/>
  </r>
  <r>
    <n v="124"/>
    <n v="2025212927"/>
    <x v="2"/>
    <s v="MACT"/>
    <s v="R001-1127-SS-2025"/>
    <d v="2025-11-25T00:00:00"/>
    <x v="4"/>
    <x v="0"/>
    <x v="0"/>
    <d v="2026-01-06T00:00:00"/>
    <n v="29"/>
    <s v="WT"/>
    <s v="Full Case"/>
    <s v="Open"/>
    <x v="1"/>
    <m/>
    <s v="Kiranbai  Rajusingh Varnekar (Pardeshi)   912744313"/>
    <s v="R/o Dhobi Galli, Gadipura, Nanded, Tq. Dist. Nanded."/>
    <s v="Nanded"/>
    <s v="Completed"/>
    <s v="Na "/>
    <m/>
    <m/>
    <s v="NA"/>
    <s v="Kondiba  Vithal Bhojane"/>
    <s v="R/o Ekdara. Tq. Dist. Nanded."/>
    <s v="Nanded"/>
    <s v="NA"/>
    <s v="Completed"/>
    <s v="NA"/>
    <m/>
    <s v="NA"/>
    <s v="NA"/>
    <s v="NA"/>
    <s v="NA"/>
    <s v="NA"/>
    <s v="NA"/>
    <s v="NA"/>
    <s v="NA"/>
    <s v="NA"/>
    <s v="NA"/>
    <s v="NA "/>
    <s v="At Malegaon Ekdara to Kanchan Nagar Road, Near Ekdara. Tq. Dist. Nanded"/>
    <m/>
    <s v="Completed"/>
    <s v="0005/2025"/>
    <s v="Bhagyanagar Police Station"/>
    <s v="Nanded"/>
    <s v="NA"/>
    <s v="NI"/>
    <s v="NA "/>
    <m/>
    <m/>
    <s v="NA"/>
    <m/>
    <m/>
    <m/>
  </r>
  <r>
    <n v="125"/>
    <n v="2025212925"/>
    <x v="2"/>
    <s v="MACT"/>
    <s v="R001-1128-SS-2025"/>
    <d v="2025-11-25T00:00:00"/>
    <x v="4"/>
    <x v="0"/>
    <x v="0"/>
    <d v="2026-01-06T00:00:00"/>
    <n v="29"/>
    <s v="WT"/>
    <s v="Full Case"/>
    <s v="Open"/>
    <x v="1"/>
    <m/>
    <s v="Shaheen Musa Pinjari   7499137104"/>
    <s v="R/o Dongaon(Bu) Tq. Biloli, Dist. Nanded."/>
    <s v="Nanded"/>
    <s v="Completed"/>
    <s v="Na "/>
    <m/>
    <m/>
    <s v="NA"/>
    <s v="Shrinivas Vitthal Nalbalwar"/>
    <s v="R/o Gajanan Nagar, Naigaon Tq. Naigaon (Kh), Dist. Nanded. - 431709."/>
    <s v="Nanded"/>
    <s v="NA"/>
    <s v="Completed"/>
    <s v="NA"/>
    <m/>
    <s v="NA"/>
    <s v="Completed"/>
    <s v="NA"/>
    <s v="NA"/>
    <s v="NA"/>
    <s v="NA"/>
    <s v="NA"/>
    <s v="NA"/>
    <s v="NA"/>
    <s v="NA"/>
    <s v="NA "/>
    <s v="On Nanded to Naigaon Road, Opposite Degaon Shivar Khalsa Dhaba, near Sainath batamwar's farm Naigaon(Kh), Dist. Nanded."/>
    <m/>
    <s v="Completed"/>
    <s v="0194/2025"/>
    <s v="Police Station Kuntur"/>
    <s v="Nanded"/>
    <s v="NA"/>
    <s v="NI"/>
    <s v="NA "/>
    <m/>
    <m/>
    <s v="NA"/>
    <m/>
    <m/>
    <m/>
  </r>
  <r>
    <n v="126"/>
    <n v="2752072"/>
    <x v="3"/>
    <s v="MACT"/>
    <s v="S002-1129-SS-2025"/>
    <d v="2025-11-26T00:00:00"/>
    <x v="4"/>
    <x v="0"/>
    <x v="0"/>
    <d v="2026-01-07T00:00:00"/>
    <n v="28"/>
    <s v="WT"/>
    <s v="Full Case"/>
    <s v="Open"/>
    <x v="1"/>
    <m/>
    <s v="Sarika Pritam Wadmare"/>
    <s v="R/o Kagadi Ves, Boudha Nagar, Beed, Tq.and Dist.Beed"/>
    <s v="Beed"/>
    <s v="WIP"/>
    <s v="Na "/>
    <m/>
    <m/>
    <s v="NA"/>
    <s v="Karim Hasan Shaikh"/>
    <s v="R/o Qilla Maidan, Balbhim Chowk, Beed, Tq.and Dist.Beed"/>
    <s v="Beed"/>
    <s v="NA"/>
    <s v="WIP"/>
    <s v="Karim Hasan Shaikh"/>
    <m/>
    <s v="NA"/>
    <s v="WIP"/>
    <s v="NA"/>
    <s v="NA"/>
    <s v="NA"/>
    <s v="NA"/>
    <s v="NA"/>
    <s v="NA"/>
    <s v="NA"/>
    <s v="NA"/>
    <s v="NA "/>
    <s v="on National Highway No.52, in the vicinity of village Manjarsumba"/>
    <m/>
    <s v="WIP"/>
    <s v="76/2025"/>
    <s v="Police Station Neknoor"/>
    <s v="Beed"/>
    <s v="NA"/>
    <s v="WIP"/>
    <s v="NA "/>
    <m/>
    <m/>
    <s v="NA"/>
    <m/>
    <m/>
    <m/>
  </r>
  <r>
    <n v="127"/>
    <n v="2312792"/>
    <x v="3"/>
    <s v="MACT"/>
    <s v="S002-1130-SS-2025"/>
    <d v="2025-11-26T00:00:00"/>
    <x v="4"/>
    <x v="17"/>
    <x v="1"/>
    <d v="2026-01-07T00:00:00"/>
    <n v="20"/>
    <s v="BT"/>
    <s v="Medical Verification"/>
    <s v="Dispatch"/>
    <x v="2"/>
    <m/>
    <s v="Dinkar Nivruti Bhegade"/>
    <s v="NA"/>
    <s v="NA"/>
    <s v="NA"/>
    <s v="Na "/>
    <m/>
    <m/>
    <s v="NA"/>
    <s v="NA"/>
    <s v="NA"/>
    <s v="NA"/>
    <s v="NA"/>
    <s v="NA"/>
    <s v="NA"/>
    <m/>
    <s v="NA"/>
    <s v="NA"/>
    <s v="NA"/>
    <s v="NA"/>
    <s v="NA"/>
    <s v="NA"/>
    <s v="NA"/>
    <s v="NA"/>
    <s v="NA"/>
    <s v="NA"/>
    <s v="NA"/>
    <s v="NA"/>
    <m/>
    <s v="NA"/>
    <s v="NA"/>
    <s v="NA"/>
    <s v="NA"/>
    <s v="NA"/>
    <s v="NA"/>
    <s v="Hospital Name =Pawana Hospital               Somatane Phata , Tq,Maval ,Pune 410506"/>
    <m/>
    <m/>
    <s v="Completed"/>
    <m/>
    <m/>
    <m/>
  </r>
  <r>
    <n v="128"/>
    <s v="MTP-N-2526-004746"/>
    <x v="1"/>
    <s v="MACT"/>
    <s v="F001-1131-SS-2025"/>
    <d v="2025-11-26T00:00:00"/>
    <x v="4"/>
    <x v="0"/>
    <x v="0"/>
    <d v="2026-01-07T00:00:00"/>
    <n v="28"/>
    <s v="WT"/>
    <s v="Full Case"/>
    <s v="Open"/>
    <x v="1"/>
    <m/>
    <s v="Lalusingh Bahadursingh Chitodiya 9823133268"/>
    <s v="R/o Asadwan, Nanded."/>
    <s v="Nanded"/>
    <s v="Completed"/>
    <s v="Na "/>
    <m/>
    <m/>
    <s v="NA"/>
    <s v="Manoj Ramchandra Chalke"/>
    <s v=" R/o Sr.No.89/90, A 165, Sairang Shrushti, Punawale Road, Jambe, Pune - 411 033."/>
    <s v="Pune"/>
    <s v="NA"/>
    <s v="Completed"/>
    <s v="NA"/>
    <m/>
    <s v="NA"/>
    <s v="Completed"/>
    <s v="Yes"/>
    <s v="NA"/>
    <s v="yes"/>
    <s v="NA"/>
    <s v="NA"/>
    <s v="NA"/>
    <s v="NA"/>
    <s v="NA"/>
    <s v="NA"/>
    <s v="on road adjacent to I.G. Office, Kautha, Gurudwara Vaishnavi Mata on Kautha road"/>
    <m/>
    <s v="Completed"/>
    <s v="0453/2025"/>
    <s v="Nanded Police Station"/>
    <s v="Nanded"/>
    <s v="NA"/>
    <s v="NI"/>
    <s v="NA "/>
    <m/>
    <m/>
    <s v="NA"/>
    <m/>
    <m/>
    <m/>
  </r>
  <r>
    <n v="129"/>
    <s v="CM570910"/>
    <x v="1"/>
    <s v="MACT"/>
    <s v="F001-1132-SS-2025"/>
    <d v="2025-11-26T00:00:00"/>
    <x v="4"/>
    <x v="0"/>
    <x v="0"/>
    <d v="2026-01-07T00:00:00"/>
    <n v="28"/>
    <s v="WT"/>
    <s v="Full Case"/>
    <s v="Open"/>
    <x v="0"/>
    <m/>
    <s v="NA"/>
    <s v="NA"/>
    <s v="NA "/>
    <s v="NA"/>
    <s v="Na "/>
    <m/>
    <m/>
    <s v="NA"/>
    <s v="NA"/>
    <s v="NA"/>
    <s v="NA"/>
    <s v="NA"/>
    <s v="NA"/>
    <s v="NA"/>
    <m/>
    <s v="NA"/>
    <s v="NA"/>
    <s v="NA"/>
    <s v="NA"/>
    <s v="NA"/>
    <s v="NA"/>
    <s v="NA"/>
    <s v="NA"/>
    <s v="NA"/>
    <s v="NA"/>
    <s v="NA"/>
    <s v="NA"/>
    <m/>
    <s v="NA"/>
    <s v="0041/2017"/>
    <s v="Kamshet Police Station"/>
    <s v="Pune"/>
    <s v="NA"/>
    <s v="NI"/>
    <s v="NA "/>
    <m/>
    <m/>
    <s v="NA"/>
    <m/>
    <m/>
    <m/>
  </r>
  <r>
    <n v="130"/>
    <n v="2023209914"/>
    <x v="2"/>
    <s v="MACT"/>
    <s v="R001-1133-SS-2025"/>
    <d v="2025-11-28T00:00:00"/>
    <x v="4"/>
    <x v="0"/>
    <x v="0"/>
    <d v="2025-12-19T00:00:00"/>
    <n v="26"/>
    <s v="BT"/>
    <s v="Partial Case"/>
    <s v="Open"/>
    <x v="0"/>
    <m/>
    <s v="NA"/>
    <s v="NA"/>
    <s v="NA "/>
    <s v="NA"/>
    <s v="Na "/>
    <m/>
    <m/>
    <s v="NA"/>
    <s v="NA"/>
    <s v="NA"/>
    <s v="NA"/>
    <s v="NA"/>
    <s v="NA"/>
    <s v="NA"/>
    <m/>
    <s v="NA"/>
    <s v="NA"/>
    <s v="NA"/>
    <s v="NA"/>
    <s v="NA"/>
    <s v="NA"/>
    <s v="NA"/>
    <s v="NA"/>
    <s v="NA"/>
    <s v="NA"/>
    <s v="NA"/>
    <s v="NA"/>
    <m/>
    <s v="NA"/>
    <s v="0119/2022"/>
    <s v="Vide Police Station"/>
    <s v="Nanded"/>
    <s v="NA"/>
    <s v="WIP"/>
    <s v="NA "/>
    <m/>
    <m/>
    <s v="NA"/>
    <m/>
    <m/>
    <m/>
  </r>
  <r>
    <n v="131"/>
    <n v="2025200081"/>
    <x v="2"/>
    <s v="MACT"/>
    <s v="R001-1134-SS-2025"/>
    <d v="2025-11-28T00:00:00"/>
    <x v="4"/>
    <x v="0"/>
    <x v="0"/>
    <d v="2025-12-19T00:00:00"/>
    <n v="26"/>
    <s v="BT"/>
    <s v="Partial Case"/>
    <s v="Open"/>
    <x v="0"/>
    <s v="Required complete Chargesheet"/>
    <s v="NA"/>
    <s v="NA"/>
    <s v="NA "/>
    <s v="NA"/>
    <s v="Na "/>
    <m/>
    <m/>
    <s v="NA"/>
    <s v="NA"/>
    <s v="NA"/>
    <s v="NA"/>
    <s v="NA"/>
    <s v="NA"/>
    <s v="NA"/>
    <m/>
    <s v="NA"/>
    <s v="NA"/>
    <s v="NA"/>
    <s v="NA"/>
    <s v="NA"/>
    <s v="NA"/>
    <s v="NA"/>
    <s v="NA"/>
    <s v="NA"/>
    <s v="NA"/>
    <s v="NA"/>
    <s v="NA"/>
    <m/>
    <s v="NA"/>
    <s v="321/2023"/>
    <s v="Loha Police Station"/>
    <s v="NA"/>
    <s v="NA"/>
    <s v="WIP"/>
    <s v="NA "/>
    <m/>
    <m/>
    <s v="NA"/>
    <m/>
    <m/>
    <m/>
  </r>
  <r>
    <n v="132"/>
    <n v="2024200689"/>
    <x v="2"/>
    <s v="MACT"/>
    <s v="R001-1135-SS-2025"/>
    <d v="2025-11-28T00:00:00"/>
    <x v="4"/>
    <x v="0"/>
    <x v="0"/>
    <d v="2025-12-19T00:00:00"/>
    <n v="26"/>
    <s v="BT"/>
    <s v="Partial Case"/>
    <s v="Open"/>
    <x v="1"/>
    <s v="For Police Part &amp; Hospital details"/>
    <s v="Iramna Wife Of Ramayya                              Hospital Name= Medical Officer Govt. Hospital Latur"/>
    <s v="NA"/>
    <s v="NA "/>
    <s v="NA"/>
    <s v="Na "/>
    <m/>
    <m/>
    <s v="NA"/>
    <s v="NA"/>
    <s v="NA"/>
    <s v="NA"/>
    <s v="NA"/>
    <s v="NA"/>
    <s v="NA"/>
    <m/>
    <s v="NA"/>
    <s v="NA"/>
    <s v="NA"/>
    <s v="NA"/>
    <s v="NA"/>
    <s v="NA"/>
    <s v="NA"/>
    <s v="NA"/>
    <s v="NA"/>
    <s v="NA"/>
    <s v="NA"/>
    <s v="NA"/>
    <m/>
    <s v="NA"/>
    <s v="285/2023"/>
    <s v="Omarga Police Station"/>
    <s v="NA"/>
    <s v="NA"/>
    <s v="WIP"/>
    <s v="Medical Officer Govt. Hospital Latur"/>
    <m/>
    <m/>
    <s v="WIP"/>
    <m/>
    <m/>
    <m/>
  </r>
  <r>
    <n v="133"/>
    <n v="2024216011"/>
    <x v="2"/>
    <s v="MACT"/>
    <s v="R001-1136-SS-2025"/>
    <d v="2025-11-28T00:00:00"/>
    <x v="4"/>
    <x v="0"/>
    <x v="0"/>
    <d v="2026-01-09T00:00:00"/>
    <n v="26"/>
    <s v="WT"/>
    <s v="Full Case"/>
    <s v="Open"/>
    <x v="1"/>
    <s v="Amit Dalvi Sir"/>
    <s v="Pandurang Tukaram Suravase"/>
    <s v="R/o  72, Rajuri, Sangola, Dist. Solapur"/>
    <s v="Solapur"/>
    <s v="WIP"/>
    <s v="Na "/>
    <m/>
    <m/>
    <s v="NA"/>
    <s v="Vishwasu Appasso Patil"/>
    <s v="R/o Kuchi, Kavthe Mahankal, Dist. sangli"/>
    <s v="Sangli"/>
    <s v="NA"/>
    <s v="WIP"/>
    <s v="Bibhishan Rambhau Bhairat"/>
    <m/>
    <s v="R/o Shelgaon, P.O. Saramkundi, Vashi,_x000a__x000a_Dist. Osmanabad"/>
    <s v="WIP"/>
    <s v="NA"/>
    <s v="NA"/>
    <s v="NA"/>
    <s v="NA"/>
    <s v="NA"/>
    <s v="NA"/>
    <s v="NA"/>
    <s v="NA"/>
    <s v="NA"/>
    <s v="on the left side of the road from Landgewadi to Kuchi village, near the house of Umesh Babar, who was carrying milk._x000a__x000a_Dist. Osmanabad"/>
    <m/>
    <s v="WIP"/>
    <s v="496/2020"/>
    <s v="Kavthemahankal Police Station"/>
    <s v="Sangali"/>
    <s v="NA"/>
    <s v="WIP"/>
    <s v="NA "/>
    <m/>
    <m/>
    <s v="NA"/>
    <m/>
    <m/>
    <m/>
  </r>
  <r>
    <n v="134"/>
    <n v="2025202308"/>
    <x v="2"/>
    <s v="MACT"/>
    <s v="R001-1137-SS-2025"/>
    <d v="2025-11-28T00:00:00"/>
    <x v="4"/>
    <x v="0"/>
    <x v="0"/>
    <d v="2026-01-09T00:00:00"/>
    <n v="26"/>
    <s v="WT"/>
    <s v="Full Case"/>
    <s v="STOP"/>
    <x v="3"/>
    <m/>
    <s v="NA"/>
    <s v="NA"/>
    <s v="NA "/>
    <s v="NA"/>
    <s v="NA"/>
    <m/>
    <m/>
    <s v="NA"/>
    <s v="NA"/>
    <s v="NA"/>
    <s v="NA"/>
    <s v="NA"/>
    <s v="NA"/>
    <s v="NA"/>
    <m/>
    <s v="NA"/>
    <s v="NA"/>
    <s v="NA"/>
    <s v="NA"/>
    <s v="NA"/>
    <s v="NA"/>
    <s v="NA"/>
    <s v="NA"/>
    <s v="NA"/>
    <s v="NA"/>
    <s v="NA"/>
    <s v="NA"/>
    <m/>
    <s v="NA"/>
    <s v="0052/2024"/>
    <s v="Kuntur Police Station"/>
    <s v="Nanded"/>
    <s v="NA"/>
    <s v="NA"/>
    <s v="Bhagwati Hospital and Yashosai Hospital "/>
    <m/>
    <m/>
    <s v="NA"/>
    <m/>
    <m/>
    <m/>
  </r>
  <r>
    <n v="135"/>
    <n v="2585893"/>
    <x v="3"/>
    <s v="MACT"/>
    <s v="S002-1138-SS-2025"/>
    <d v="2025-11-28T00:00:00"/>
    <x v="4"/>
    <x v="0"/>
    <x v="0"/>
    <d v="2025-12-19T00:00:00"/>
    <n v="26"/>
    <s v="BT"/>
    <s v="Partial Case"/>
    <s v="STOP"/>
    <x v="3"/>
    <s v="Insured and driver"/>
    <s v="NA"/>
    <s v="NA"/>
    <s v="NA "/>
    <s v="NA"/>
    <s v="NA"/>
    <m/>
    <m/>
    <s v="NA"/>
    <s v="Sheikh Junaid Sheikh Nazir"/>
    <s v="R/o   Near Ibrahim Kirana Shop, Sanjay Nagar, Ambika Market, Old Jalna, Dist. Jalna-431203"/>
    <s v="Jalna"/>
    <s v="NA"/>
    <s v="Completed"/>
    <s v="NA"/>
    <m/>
    <s v="NA"/>
    <s v="Completed"/>
    <s v="NA"/>
    <s v="NA"/>
    <s v="NA"/>
    <s v="NA"/>
    <s v="NA "/>
    <s v="NA "/>
    <s v="NA "/>
    <s v="NA"/>
    <s v="NA "/>
    <s v="NA "/>
    <m/>
    <s v="NA"/>
    <s v="428/2024"/>
    <s v="Jalgoan Police Station"/>
    <s v="Jalgoan"/>
    <s v="NA"/>
    <s v="NA"/>
    <s v="NA "/>
    <m/>
    <m/>
    <s v="NA "/>
    <m/>
    <m/>
    <m/>
  </r>
  <r>
    <n v="136"/>
    <n v="2025213092"/>
    <x v="2"/>
    <s v="MACT"/>
    <s v="R001-1139-SS-2025"/>
    <d v="2025-11-29T00:00:00"/>
    <x v="4"/>
    <x v="0"/>
    <x v="0"/>
    <d v="2025-12-19T00:00:00"/>
    <n v="25"/>
    <s v="BT"/>
    <s v="Partial Case"/>
    <s v="Open"/>
    <x v="1"/>
    <s v="For Police Part and Insured cum Driver Part"/>
    <s v="NA"/>
    <s v="NA"/>
    <s v="NA "/>
    <s v="NA "/>
    <s v="NA"/>
    <m/>
    <m/>
    <s v="NA"/>
    <s v="RAJU DADARAO BHAGAT"/>
    <s v="R/o .H.No.2/56, at Post Kothari Chi To Kinwat, Dist. Nanded (Maharashtra) Pin. No. 431811"/>
    <s v="Nanded"/>
    <s v="NA"/>
    <s v="WIP"/>
    <s v="RAJU DADARAO BHAGAT"/>
    <s v="R/o .H.No.2/56, at Post Kothari Chi To Kinwat, Dist. Nanded (Maharashtra) Pin. No. 431811"/>
    <s v="Nanded"/>
    <s v="WIP"/>
    <s v="NA"/>
    <s v="NA"/>
    <s v="NA"/>
    <s v="NA"/>
    <s v="NA "/>
    <s v="NA "/>
    <s v="NA "/>
    <s v="NA"/>
    <s v="NA "/>
    <s v="R/o .H.No.2/56, at Post Kothari Chi To Kinwat, Dist. Nanded (Maharashtra) Pin. No. 431811"/>
    <m/>
    <s v="NA"/>
    <s v="331/2025"/>
    <s v="Parwa Police station"/>
    <s v="Yavatmal"/>
    <s v="NA"/>
    <s v="WIP"/>
    <s v="NA "/>
    <m/>
    <m/>
    <s v="NA "/>
    <m/>
    <m/>
    <m/>
  </r>
  <r>
    <n v="137"/>
    <n v="2025204832"/>
    <x v="2"/>
    <s v="MACT"/>
    <s v="R001-1140-SS-2025"/>
    <d v="2025-11-29T00:00:00"/>
    <x v="4"/>
    <x v="0"/>
    <x v="0"/>
    <d v="2025-12-19T00:00:00"/>
    <n v="25"/>
    <s v="BT"/>
    <s v="Partial Case"/>
    <s v="Open"/>
    <x v="1"/>
    <s v="For Claimant And Police Part"/>
    <s v="Jayshree Pramod Kalkhair"/>
    <s v="R/o  leet Tq. Bhoom District Dharashiv at present Kranti Nagar, Vijayapura."/>
    <s v="Vijayapura"/>
    <s v="WIP"/>
    <s v="NA"/>
    <m/>
    <m/>
    <s v="NA"/>
    <s v="NA"/>
    <s v="NA"/>
    <s v="NA"/>
    <s v="NA "/>
    <s v="NA "/>
    <s v="NA"/>
    <m/>
    <s v="NA"/>
    <s v="NA"/>
    <s v="NA"/>
    <s v="NA"/>
    <s v="NA"/>
    <s v="NA"/>
    <s v="NA "/>
    <s v="NA "/>
    <s v="NA "/>
    <s v="NA"/>
    <s v="NA "/>
    <s v="NA"/>
    <m/>
    <s v="NA"/>
    <s v="338/2024"/>
    <s v="Washi Police Station"/>
    <s v="Washi"/>
    <s v="NA"/>
    <s v="WIP"/>
    <s v="NA "/>
    <m/>
    <m/>
    <s v="NA "/>
    <m/>
    <m/>
    <m/>
  </r>
  <r>
    <n v="138"/>
    <n v="2025213146"/>
    <x v="2"/>
    <s v="MACT"/>
    <s v="R001-1141-SS-2025"/>
    <d v="2025-11-29T00:00:00"/>
    <x v="4"/>
    <x v="0"/>
    <x v="0"/>
    <d v="2026-01-09T00:00:00"/>
    <n v="25"/>
    <s v="WT"/>
    <s v="Full Case"/>
    <s v="Open"/>
    <x v="1"/>
    <m/>
    <s v="Vaishali  Govardhan Kakade"/>
    <s v="R/o Pimpalwadi Tq. Paranda Dist. Osmanabad"/>
    <s v="Dharashiv"/>
    <s v="WIP"/>
    <s v="NA"/>
    <s v="NA "/>
    <m/>
    <s v="NA"/>
    <s v="Mohmad Javad Khan"/>
    <s v="R/o  30 TT Shivaji Nagar Near Anwar UL Masjid Govind Mumbai, Maharastra Mumbai- 400043."/>
    <s v="Mumbai"/>
    <s v="NA "/>
    <s v="WIP "/>
    <s v="Afif Akbar Pathan"/>
    <m/>
    <s v="Amit Dalvi "/>
    <s v="WIP"/>
    <s v="NA"/>
    <s v="NA"/>
    <s v="NA"/>
    <s v="NA "/>
    <s v="NA"/>
    <s v="NA"/>
    <s v="NA "/>
    <s v="NA"/>
    <s v="NA"/>
    <s v="Truk in Ramkrushna Rasayan Factory loni kalbhor"/>
    <m/>
    <s v="WIP "/>
    <s v="0141/2025"/>
    <s v=" loni kalbhor Police Station"/>
    <s v="Pune"/>
    <s v="NA "/>
    <s v="WIP"/>
    <s v="NA "/>
    <m/>
    <m/>
    <s v="NA "/>
    <m/>
    <m/>
    <m/>
  </r>
  <r>
    <n v="139"/>
    <n v="2025213359"/>
    <x v="2"/>
    <s v="MACT"/>
    <s v="R001-1142-SS-2025"/>
    <d v="2025-12-01T00:00:00"/>
    <x v="5"/>
    <x v="0"/>
    <x v="0"/>
    <d v="2026-01-12T00:00:00"/>
    <n v="23"/>
    <s v="WT"/>
    <s v="Full Case"/>
    <s v="Open"/>
    <x v="1"/>
    <m/>
    <s v="Makhram Dharma Gopane"/>
    <s v="R/o Bodhare , Kannada Road, Chalisgaon, Dist.Jalgoan"/>
    <s v="Jalgoan"/>
    <s v="WIP"/>
    <s v="Na "/>
    <s v="NA "/>
    <s v="NA"/>
    <s v="NA"/>
    <s v="PANDURANG GANPAT SHIGVAN"/>
    <s v="GRD FLOOR GRD 45 GOPALWADI, BHULESHWAR ROAD PANCHAYAT WADI, KALBADEVI, MUMBAI"/>
    <s v="Mumbai"/>
    <s v="NA"/>
    <s v="WIP"/>
    <s v="Vilas Namdev Jadhv"/>
    <s v="R/o M.Talewadi,T.Kannada,Dist.Sambhajinagar 431103"/>
    <s v="Sambhaji nagar"/>
    <s v="NA"/>
    <s v="NA"/>
    <s v="NA"/>
    <s v="NA"/>
    <s v="NA"/>
    <s v="NA"/>
    <s v="NA"/>
    <s v="NA"/>
    <s v="NA"/>
    <s v="NA "/>
    <s v="On Khultabad to Phulambri road Yesgaon"/>
    <s v="Sambhaji Nagar"/>
    <s v="NA"/>
    <s v="0234/2025"/>
    <s v="Khultabad Police Station"/>
    <s v="Sambhaji Nagar"/>
    <s v="NA"/>
    <s v="NI"/>
    <s v="NA "/>
    <s v="NA"/>
    <s v="NA"/>
    <s v="NA"/>
    <s v="NA"/>
    <m/>
    <m/>
  </r>
  <r>
    <n v="140"/>
    <n v="2752851"/>
    <x v="3"/>
    <s v="MACT"/>
    <s v="S002-1143-SS-2025"/>
    <d v="2025-12-01T00:00:00"/>
    <x v="5"/>
    <x v="0"/>
    <x v="0"/>
    <d v="2026-01-12T00:00:00"/>
    <n v="23"/>
    <s v="WT"/>
    <s v="Full Case"/>
    <s v="Open"/>
    <x v="1"/>
    <m/>
    <s v="Irbaji  Kashinath Sarode"/>
    <s v="R/o Gunj Tq. Basmath Dist. Hingoli"/>
    <s v="Hingoli"/>
    <s v="WIP"/>
    <s v="NA"/>
    <s v="NA "/>
    <s v="NA"/>
    <s v="NI"/>
    <s v="Dagdaji  Laxmanrao Shinde"/>
    <s v="R/o  Alegaon Po. Marlak Tq. &amp; Dist. Nanded"/>
    <s v="Nanded"/>
    <s v="NA"/>
    <s v="WIP"/>
    <s v="NA"/>
    <s v="NA"/>
    <s v="NA"/>
    <s v="NI"/>
    <s v="NA"/>
    <s v="NA"/>
    <s v="NA"/>
    <s v="NA"/>
    <s v="NA"/>
    <s v="NA"/>
    <s v="NA"/>
    <s v="NA"/>
    <s v="NA "/>
    <s v="On Gut No. 199 at Alegaon Tq. &amp; Dist. Nanded"/>
    <s v="Nanded"/>
    <s v="WIP"/>
    <s v="0033/2025"/>
    <s v="Limbgoan Poice Station"/>
    <s v="Nanded"/>
    <s v="NA"/>
    <s v="WIP"/>
    <s v="NA "/>
    <s v="NA"/>
    <s v="NA"/>
    <s v="NI"/>
    <s v="NA"/>
    <m/>
    <m/>
  </r>
  <r>
    <n v="141"/>
    <n v="2752855"/>
    <x v="3"/>
    <s v="MACT"/>
    <s v="S002-1144-SS-2025"/>
    <d v="2025-12-01T00:00:00"/>
    <x v="5"/>
    <x v="0"/>
    <x v="0"/>
    <d v="2026-01-12T00:00:00"/>
    <n v="23"/>
    <s v="WT"/>
    <s v="Full Case"/>
    <s v="Open"/>
    <x v="1"/>
    <m/>
    <s v="Suhas  Shashikant Sutar"/>
    <s v="R/o Kasba Peth Barshi, Tal. Barshi, Distt. Solapur At Present Kasbe Tadwale, Tal. &amp; Dist. Dharashiv"/>
    <s v="Dharashiv"/>
    <s v="WIP"/>
    <s v="Na "/>
    <s v="NA "/>
    <s v="NA"/>
    <s v="NI"/>
    <s v="Anand Hanumant Limkar"/>
    <s v="R/o Rui, Tal. Paranda, Distt. Dharashiv"/>
    <s v="Dharashiv"/>
    <s v="NA"/>
    <s v="WIP"/>
    <s v="NA"/>
    <s v="NA"/>
    <s v="NA"/>
    <s v="NA"/>
    <s v="NA"/>
    <s v="NA"/>
    <s v="NA"/>
    <s v="NA"/>
    <s v="NA"/>
    <s v="NA"/>
    <s v="NA"/>
    <s v="NA"/>
    <s v="NA "/>
    <s v="Dharashiv to Barshi Road, Near filed of Audumbar Babasaheb Korekar in village Shivar Nariwadi, Tal. Barshi, Dist. Solapur."/>
    <s v="Solapur"/>
    <s v="WIP"/>
    <s v="0247/2023"/>
    <s v=" Pangri Police Station"/>
    <s v="Solapur"/>
    <s v="NA"/>
    <s v="WIP"/>
    <s v="NA "/>
    <s v="NA"/>
    <s v="NA"/>
    <s v="NI"/>
    <s v="NA"/>
    <m/>
    <m/>
  </r>
  <r>
    <n v="142"/>
    <n v="2750504"/>
    <x v="3"/>
    <s v="MACT"/>
    <s v="S002-1145-SS-2025"/>
    <d v="2025-12-02T00:00:00"/>
    <x v="5"/>
    <x v="0"/>
    <x v="0"/>
    <d v="2026-01-13T00:00:00"/>
    <n v="22"/>
    <s v="WT"/>
    <s v="Full Case"/>
    <s v="Open"/>
    <x v="1"/>
    <m/>
    <s v="Shamim B Idris maniyar "/>
    <s v="Malakwada Taloda, Dist Nandurbar"/>
    <s v="Nandurbar"/>
    <s v="Completed"/>
    <s v="Na "/>
    <s v="NA "/>
    <s v="NA"/>
    <s v="NA"/>
    <s v="Ganesh Rajendra Shinde"/>
    <s v="Kavitkheda balhegon  Taluka Vaijapur  Dis Aurangabad "/>
    <s v="Aurangabad"/>
    <s v="NA"/>
    <s v="NI"/>
    <s v="Bhausaheb murlidhar Pawar "/>
    <s v="Kannad Lamangoan Aurangabad "/>
    <s v="Aurangabad"/>
    <s v="NI"/>
    <s v="NA"/>
    <s v="NA"/>
    <s v="NA"/>
    <s v="NA"/>
    <s v="NA"/>
    <s v="NA"/>
    <s v="NA"/>
    <s v="NA"/>
    <s v="NA "/>
    <s v="Nandurbar Near Daoundai Road Choupale BusStop "/>
    <s v=" Nandurbar"/>
    <s v="Completed"/>
    <s v="110/2025"/>
    <s v="nandurbar Police Station"/>
    <s v="Nandurbar"/>
    <s v="NA"/>
    <s v="NI"/>
    <s v="NA "/>
    <s v="NA"/>
    <s v="NA"/>
    <s v="NI"/>
    <s v="NA"/>
    <m/>
    <m/>
  </r>
  <r>
    <n v="143"/>
    <n v="2517801"/>
    <x v="3"/>
    <s v="MACT"/>
    <s v="S002-1146-SS-2025"/>
    <d v="2025-12-04T00:00:00"/>
    <x v="5"/>
    <x v="24"/>
    <x v="1"/>
    <d v="2026-01-15T00:00:00"/>
    <n v="8"/>
    <s v="WT"/>
    <s v="Medical Verification"/>
    <s v="Dispatch"/>
    <x v="2"/>
    <m/>
    <s v="NA"/>
    <s v="NA"/>
    <s v="NA"/>
    <s v="NA"/>
    <s v="Na "/>
    <s v="NA "/>
    <s v="NA"/>
    <s v="NA"/>
    <s v="NA"/>
    <s v="NA"/>
    <s v="NA"/>
    <s v="NA"/>
    <s v="NA"/>
    <s v="NA"/>
    <s v="NA"/>
    <s v="NA"/>
    <s v="NA"/>
    <s v="NA"/>
    <s v="NA"/>
    <s v="NA"/>
    <s v="NA"/>
    <s v="NA"/>
    <s v="NA"/>
    <s v="NA"/>
    <s v="NA"/>
    <s v="NA "/>
    <s v="NA"/>
    <s v="NA "/>
    <s v="NA"/>
    <s v="NA"/>
    <s v="NA"/>
    <s v="NA"/>
    <s v="NA"/>
    <s v="NA"/>
    <s v="Dr. Hedgewar Rugnalaya"/>
    <s v="Garkheda, Sambhaji Nagar - 431005"/>
    <s v="Sambhaji Nagar"/>
    <s v="Completed"/>
    <s v="NA"/>
    <s v="Pending"/>
    <m/>
  </r>
  <r>
    <n v="144"/>
    <s v="HOLD-228494"/>
    <x v="4"/>
    <s v="MACT"/>
    <s v="B001-1147-SS-2025"/>
    <d v="2025-12-04T00:00:00"/>
    <x v="5"/>
    <x v="14"/>
    <x v="1"/>
    <d v="2026-01-15T00:00:00"/>
    <n v="14"/>
    <s v="WT"/>
    <s v="Medical Verification"/>
    <s v="Dispatch"/>
    <x v="2"/>
    <m/>
    <s v="NA "/>
    <s v="NA"/>
    <s v="NA"/>
    <s v="NA"/>
    <s v="Na "/>
    <s v="NA "/>
    <s v="NA"/>
    <s v="NA"/>
    <s v="NA"/>
    <s v="NA"/>
    <s v="NA"/>
    <s v="NA"/>
    <s v="NA"/>
    <s v="NA"/>
    <s v="NA"/>
    <s v="NA"/>
    <s v="NA"/>
    <s v="NA"/>
    <s v="NA"/>
    <s v="NA"/>
    <s v="NA"/>
    <s v="NA"/>
    <s v="NA"/>
    <s v="NA"/>
    <s v="NA"/>
    <s v="NA "/>
    <s v="NA"/>
    <s v="NA"/>
    <s v="NA"/>
    <s v="NA"/>
    <s v="NA"/>
    <s v="NA"/>
    <s v="NA"/>
    <s v="NA"/>
    <s v="Baldeva Hospital/Ashwin Hospital"/>
    <s v="Solapur "/>
    <s v="Solapur"/>
    <s v="Completed"/>
    <s v="NA"/>
    <s v="Pending"/>
    <s v="2 visits done/3rd visit required"/>
  </r>
  <r>
    <n v="145"/>
    <s v="CN079727"/>
    <x v="1"/>
    <s v="MACT"/>
    <s v="F001-1148-SS-2025"/>
    <d v="2025-12-04T00:00:00"/>
    <x v="5"/>
    <x v="0"/>
    <x v="0"/>
    <d v="2026-01-15T00:00:00"/>
    <n v="20"/>
    <s v="WT"/>
    <s v="Full Case"/>
    <s v="Writing"/>
    <x v="1"/>
    <s v="Claimant - CN073348"/>
    <s v="Sindhu Gajanan Gadekar"/>
    <s v="R/o Pokhari Post Sao, Taluka Dist: Buldana - 443 001"/>
    <s v="Buldhana"/>
    <s v="Completed"/>
    <s v="Na "/>
    <s v="NA "/>
    <s v="NA"/>
    <s v="NA"/>
    <s v="Ranjeet Lala Chavan"/>
    <s v="R/o  Khadaki,Post - Rajur, Taluka - Motala,Dist: Buldana - 443 101"/>
    <s v="Buldhana"/>
    <s v="NA"/>
    <s v="Completed"/>
    <s v="NA"/>
    <s v="NA"/>
    <s v="NA"/>
    <s v="NA"/>
    <s v="NA"/>
    <s v="NA"/>
    <s v="NA"/>
    <s v="NA"/>
    <s v="NA"/>
    <s v="NA"/>
    <s v="NA"/>
    <s v="NA"/>
    <s v="NA "/>
    <s v="At Samruddhi Mahamarg Chanel No. 536, Pathare Shivar, Sinner, Dist Nasik - 423605."/>
    <s v="Nashik"/>
    <s v="NI"/>
    <s v="0234/2025"/>
    <s v="Vavi Police Station"/>
    <s v="Nashik"/>
    <s v="NA"/>
    <s v="NI"/>
    <s v="NA "/>
    <s v="NA"/>
    <s v="NA"/>
    <s v="NA"/>
    <s v="NA"/>
    <s v="Pending"/>
    <m/>
  </r>
  <r>
    <n v="146"/>
    <s v="CM839422"/>
    <x v="1"/>
    <s v="MACT"/>
    <s v="F001-1149-SS-2025"/>
    <d v="2025-12-05T00:00:00"/>
    <x v="5"/>
    <x v="25"/>
    <x v="1"/>
    <d v="2026-01-16T00:00:00"/>
    <n v="6"/>
    <s v="WT"/>
    <s v="Medical Verification"/>
    <s v="Dispatch"/>
    <x v="2"/>
    <m/>
    <s v="NA"/>
    <s v="NA"/>
    <s v="NA"/>
    <s v="NA"/>
    <s v="Na "/>
    <s v="NA "/>
    <s v="NA"/>
    <s v="NA"/>
    <s v="NA"/>
    <s v="NA"/>
    <s v="NA"/>
    <s v="NA"/>
    <s v="NA"/>
    <s v="NA"/>
    <s v="NA"/>
    <s v="NA"/>
    <s v="NA"/>
    <s v="NA"/>
    <s v="NA"/>
    <s v="NA"/>
    <s v="NA"/>
    <s v="NA"/>
    <s v="NA"/>
    <s v="NA"/>
    <s v="NA"/>
    <s v="NA "/>
    <s v="NA"/>
    <s v="NA"/>
    <s v="NA"/>
    <s v="NA"/>
    <s v="NA"/>
    <s v="NA"/>
    <s v="NA"/>
    <s v="NA"/>
    <s v="Asian Citicare Hospital"/>
    <s v="Motiwala Squaro,Akashwani Signal,Jalna Road,Sambhaji Nagar"/>
    <s v="Sambhaji Nagar"/>
    <s v="Completed"/>
    <d v="2025-12-11T00:00:00"/>
    <s v="Disptach"/>
    <m/>
  </r>
  <r>
    <n v="147"/>
    <n v="1033504"/>
    <x v="3"/>
    <s v="MACT"/>
    <s v="S002-1150-SS-2025"/>
    <d v="2025-12-05T00:00:00"/>
    <x v="5"/>
    <x v="24"/>
    <x v="1"/>
    <d v="2026-01-16T00:00:00"/>
    <n v="7"/>
    <s v="WT"/>
    <s v="Medical Verification"/>
    <s v="Dispatch"/>
    <x v="2"/>
    <m/>
    <s v="NA"/>
    <s v="NA"/>
    <s v="NA"/>
    <s v="NA"/>
    <s v="Na "/>
    <s v="NA "/>
    <s v="NA"/>
    <s v="NA"/>
    <s v="NA"/>
    <s v="NA"/>
    <s v="NA"/>
    <s v="NA"/>
    <s v="NA"/>
    <s v="NA"/>
    <s v="NA"/>
    <s v="NA"/>
    <s v="NA"/>
    <s v="NA"/>
    <s v="NA"/>
    <s v="NA"/>
    <s v="NA"/>
    <s v="NA"/>
    <s v="NA"/>
    <s v="NA"/>
    <s v="NA"/>
    <s v="NA "/>
    <s v="NA"/>
    <s v="NA"/>
    <s v="NA"/>
    <s v="NA"/>
    <s v="NA"/>
    <s v="NA"/>
    <s v="NA"/>
    <s v="NA"/>
    <s v="Kamalnayan Bajaj Hospital"/>
    <s v="Gut No.43,Satara,Parisar,Beed Bypass Road,Sambhaji Nagar"/>
    <s v="Sambhaji Nagar"/>
    <s v="Completed"/>
    <s v="NA"/>
    <s v="Pending"/>
    <m/>
  </r>
  <r>
    <n v="148"/>
    <n v="2025213437"/>
    <x v="2"/>
    <s v="MACT"/>
    <s v="R001-1151-SS-2025"/>
    <d v="2025-12-06T00:00:00"/>
    <x v="5"/>
    <x v="0"/>
    <x v="0"/>
    <s v=""/>
    <n v="18"/>
    <s v="WT"/>
    <s v="Connected Case"/>
    <s v="Open"/>
    <x v="4"/>
    <s v="Connected Case - 2025213359/Claimant"/>
    <s v="Sahebrao Shankar Gaikwad"/>
    <s v="Bodhre, Kand Road, Taluka Chalisgaon, District Jalgaon"/>
    <s v="Jalgoan"/>
    <s v="NI"/>
    <s v="Na "/>
    <s v="NA "/>
    <s v="NA"/>
    <s v="NA"/>
    <s v="NA"/>
    <s v="NA"/>
    <s v="NA"/>
    <s v="NA"/>
    <s v="NA"/>
    <s v="NA"/>
    <s v="NA"/>
    <s v="NA"/>
    <s v="NA"/>
    <s v="NA"/>
    <s v="NA"/>
    <s v="NA"/>
    <s v="NA"/>
    <s v="NA"/>
    <s v="NA"/>
    <s v="NA"/>
    <s v="NA"/>
    <s v="NA"/>
    <s v="NA"/>
    <s v="NA"/>
    <s v="NA"/>
    <s v="NA"/>
    <s v="NA"/>
    <s v="NA"/>
    <s v="NA"/>
    <s v="NA"/>
    <s v="NA"/>
    <s v="NA"/>
    <s v="NA"/>
    <s v="NA"/>
    <s v="NA"/>
    <s v="NA"/>
    <s v="NA"/>
  </r>
  <r>
    <n v="149"/>
    <n v="2025206275"/>
    <x v="2"/>
    <s v="MACT"/>
    <s v="R001-1152-SS-2025"/>
    <d v="2025-12-06T00:00:00"/>
    <x v="5"/>
    <x v="0"/>
    <x v="0"/>
    <d v="2025-12-26T00:00:00"/>
    <n v="18"/>
    <s v="BT"/>
    <s v="Partial Case"/>
    <s v="Open"/>
    <x v="1"/>
    <s v="For Police documents along with MLC / PMR"/>
    <s v="NA"/>
    <s v="NA"/>
    <s v="NA"/>
    <s v="NA"/>
    <s v="Na "/>
    <s v="NA "/>
    <s v="NA "/>
    <s v="NA "/>
    <s v="NA "/>
    <s v="NA "/>
    <s v="NA "/>
    <s v="NA "/>
    <s v="NA "/>
    <s v="NA "/>
    <s v="NA "/>
    <s v="NA "/>
    <s v="NA "/>
    <s v="NA "/>
    <s v="NA "/>
    <s v="NA "/>
    <s v="NA "/>
    <s v="NA "/>
    <s v="NA "/>
    <s v="NA "/>
    <s v="NA "/>
    <s v="NA "/>
    <s v="NA "/>
    <s v="NA "/>
    <s v="NA "/>
    <s v="0003/2022"/>
    <s v="Yermala P.S"/>
    <s v="Osmanabad"/>
    <s v="NA "/>
    <s v="WIP"/>
    <s v="NA "/>
    <s v="NA "/>
    <s v="NA "/>
    <s v="NA "/>
    <s v="NA "/>
    <s v="NA "/>
    <m/>
  </r>
  <r>
    <n v="150"/>
    <n v="2025204393"/>
    <x v="2"/>
    <s v="MACT"/>
    <s v="R001-1153-SS-2025"/>
    <d v="2025-12-06T00:00:00"/>
    <x v="5"/>
    <x v="0"/>
    <x v="0"/>
    <d v="2025-12-26T00:00:00"/>
    <n v="18"/>
    <s v="BT"/>
    <s v="Partial Case"/>
    <s v="Open"/>
    <x v="4"/>
    <s v="For Insured and Driver Part"/>
    <s v="NA"/>
    <s v="NA"/>
    <s v="NA"/>
    <s v="NA "/>
    <s v="Na "/>
    <s v="NA "/>
    <s v="NA "/>
    <s v="NA "/>
    <s v="Nilesh Ankush Nikat"/>
    <s v="R/o 576, Karajat Karmala Road, Ambil Jalgaon, Karajat taluk, Ahamad nagar district, State of Maharastra. Pin code - 414402."/>
    <s v="Ahilyanagar"/>
    <s v="NA "/>
    <s v="NI"/>
    <s v="NA "/>
    <s v="NA "/>
    <s v="NA "/>
    <s v="NI"/>
    <s v="NA "/>
    <s v="NA "/>
    <s v="NA "/>
    <s v="NA "/>
    <s v="NA "/>
    <s v="NA "/>
    <s v="NA "/>
    <s v="NA "/>
    <s v="NA "/>
    <s v="NA"/>
    <s v="NA"/>
    <s v="NA"/>
    <s v="NA"/>
    <s v="NA"/>
    <s v="NA"/>
    <s v="NA "/>
    <s v="NA"/>
    <s v="NA "/>
    <s v="NA "/>
    <s v="NA "/>
    <s v="NA "/>
    <s v="NA "/>
    <s v="NA "/>
    <m/>
  </r>
  <r>
    <n v="151"/>
    <n v="2025213611"/>
    <x v="2"/>
    <s v="MACT"/>
    <s v="R001-1154-SS-2025"/>
    <d v="2025-12-06T00:00:00"/>
    <x v="5"/>
    <x v="0"/>
    <x v="0"/>
    <d v="2026-01-16T00:00:00"/>
    <n v="18"/>
    <s v="WT"/>
    <s v="Full Case"/>
    <s v="Open"/>
    <x v="4"/>
    <s v="Connected Case-2025214146"/>
    <s v="Rukmini Bhomana Gurav"/>
    <s v="R/o Yashokrishna Apartment, Vadagaon Budruk, Pune-41 Maharashtra"/>
    <s v="Pune"/>
    <s v="WIP"/>
    <s v="Na "/>
    <s v="NA "/>
    <s v="NA "/>
    <s v="NA"/>
    <s v=" Tanaji Udhav Gayakwad"/>
    <s v="R/o Flat No. K/201 Geomatrix Developers Silver Crest CHS, Plot No.29 Sector No. 25 Kamothe. Tal. Panvel Dist. Raigad"/>
    <s v="Raigad"/>
    <s v="NA"/>
    <s v="NI"/>
    <s v="NA "/>
    <s v="NA "/>
    <s v="NA "/>
    <s v="NI"/>
    <s v="NA"/>
    <s v="NA"/>
    <s v="NA"/>
    <s v="NA"/>
    <s v="NA"/>
    <s v="NA"/>
    <s v="NA"/>
    <s v="NA"/>
    <s v="NA "/>
    <s v="Menon Piston Company on Pune-Belgaum National Highway within the limits of Shiroli MIDC Kolhapur."/>
    <s v="Kolhapur"/>
    <s v="NI"/>
    <s v="181/2025"/>
    <s v="Shiroli MIDC Police Station"/>
    <s v="Kolhapur"/>
    <s v="NA"/>
    <s v="NI"/>
    <s v="NA "/>
    <s v="NA "/>
    <s v="NA "/>
    <s v="NA"/>
    <s v="NA "/>
    <s v="Pending"/>
    <m/>
  </r>
  <r>
    <n v="152"/>
    <n v="2719063"/>
    <x v="3"/>
    <s v="MACT"/>
    <s v="S002-1155-SS-2025"/>
    <d v="2025-12-08T00:00:00"/>
    <x v="5"/>
    <x v="0"/>
    <x v="0"/>
    <d v="2026-01-19T00:00:00"/>
    <n v="16"/>
    <s v="BT"/>
    <s v="Medical Verification"/>
    <s v="Open"/>
    <x v="1"/>
    <s v="Visit Photo required"/>
    <s v="Dhanaji Rangrao Jadhv"/>
    <s v="NA"/>
    <s v="NA"/>
    <s v="NA "/>
    <s v="Na "/>
    <s v="NA "/>
    <s v="NA "/>
    <s v="NA "/>
    <s v="NA "/>
    <s v="NA "/>
    <s v="NA"/>
    <s v="NA "/>
    <s v="NA "/>
    <s v="NA "/>
    <s v="NA "/>
    <s v="NA "/>
    <s v="NA"/>
    <s v="NA"/>
    <s v="NA"/>
    <s v="NA"/>
    <s v="NA"/>
    <s v="NA"/>
    <s v="NA"/>
    <s v="NA"/>
    <s v="NA"/>
    <s v="NA "/>
    <s v="NA "/>
    <s v="NA"/>
    <s v="NA "/>
    <s v="NA"/>
    <s v="NA"/>
    <s v="NA"/>
    <s v="NA "/>
    <s v="NA"/>
    <s v="Islampur Multispeciality Hospital &amp; ICU"/>
    <s v="R/o Flat no.85 , Islampur business complex,peth-sangli road Islampur=415409"/>
    <s v="Sangli"/>
    <s v="Completed"/>
    <s v="NA "/>
    <s v="Pending"/>
    <m/>
  </r>
  <r>
    <n v="153"/>
    <n v="2719062"/>
    <x v="3"/>
    <s v="MACT"/>
    <s v="S002-1156-SS-2025"/>
    <d v="2025-12-08T00:00:00"/>
    <x v="5"/>
    <x v="0"/>
    <x v="0"/>
    <d v="2026-01-19T00:00:00"/>
    <n v="16"/>
    <s v="BT"/>
    <s v="Medical Verification"/>
    <s v="Open"/>
    <x v="1"/>
    <m/>
    <s v="Supriya Dhanaji Jadhv"/>
    <s v="NA"/>
    <s v="NA"/>
    <s v="NA "/>
    <s v="Na "/>
    <s v="NA "/>
    <s v="NA "/>
    <s v="NA "/>
    <s v="NA "/>
    <s v="NA "/>
    <s v="NA"/>
    <s v="NA "/>
    <s v="NA "/>
    <s v="NA "/>
    <s v="NA "/>
    <s v="NA "/>
    <s v="NA"/>
    <s v="NA"/>
    <s v="NA"/>
    <s v="NA"/>
    <s v="NA"/>
    <s v="NA"/>
    <s v="NA"/>
    <s v="NA"/>
    <s v="NA"/>
    <s v="NA "/>
    <s v="NA "/>
    <s v="NA"/>
    <s v="NA "/>
    <s v="NA"/>
    <s v="NA"/>
    <s v="NA"/>
    <s v="NA "/>
    <s v="NA"/>
    <s v="Islampur Multispeciality Hospital &amp; ICU"/>
    <s v="R/o Flat no.85 , Islampur business complex,peth-sangli road Islampur=415409"/>
    <s v="Sangli"/>
    <s v="WIP"/>
    <s v="NA "/>
    <s v="Pending"/>
    <m/>
  </r>
  <r>
    <n v="154"/>
    <n v="2687368"/>
    <x v="3"/>
    <s v="MACT"/>
    <s v="S002-1157-SS-2025"/>
    <d v="2025-12-08T00:00:00"/>
    <x v="5"/>
    <x v="26"/>
    <x v="1"/>
    <d v="2026-01-19T00:00:00"/>
    <n v="7"/>
    <s v="WT"/>
    <s v="Medical Verification"/>
    <s v="Approval"/>
    <x v="2"/>
    <m/>
    <s v="Dadaji Namdev Surywanshi"/>
    <s v="NA"/>
    <s v="NA"/>
    <s v="NA "/>
    <s v="Na "/>
    <s v="NA "/>
    <s v="NA "/>
    <s v="NA "/>
    <s v="NA "/>
    <s v="NA "/>
    <s v="NA"/>
    <s v="NA "/>
    <s v="NA "/>
    <s v="NA "/>
    <s v="NA "/>
    <s v="NA "/>
    <s v="NA"/>
    <s v="NA"/>
    <s v="NA"/>
    <s v="NA"/>
    <s v="NA"/>
    <s v="NA"/>
    <s v="NA"/>
    <s v="NA"/>
    <s v="NA"/>
    <s v="NA "/>
    <s v="NA "/>
    <s v="NA"/>
    <s v="NA "/>
    <s v="NA"/>
    <s v="NA"/>
    <s v="NA"/>
    <s v="NA "/>
    <s v="NA"/>
    <s v="1)Shri Saibaba Hospital                                                                    2)LOTUS HOSPITAL"/>
    <s v="1)Ka. take Hon. Desle Complex, A. T. Near Stand, Zodge, T. Malegaon, Dist. Nashik.         2)VEER SAVARKAR NAGAR NEAR CHURCH GATE MALEGAON CMAP"/>
    <s v="Nashik"/>
    <s v="WIP"/>
    <s v="NA "/>
    <s v="Pending"/>
    <m/>
  </r>
  <r>
    <n v="155"/>
    <n v="2675206"/>
    <x v="3"/>
    <s v="MACT"/>
    <s v="S002-1158-SS-2025"/>
    <d v="2025-12-08T00:00:00"/>
    <x v="5"/>
    <x v="26"/>
    <x v="1"/>
    <d v="2026-01-19T00:00:00"/>
    <n v="7"/>
    <s v="WT"/>
    <s v="Medical Verification"/>
    <s v="Approval"/>
    <x v="2"/>
    <m/>
    <s v="Krushna Madhukar Tumade"/>
    <s v="NA"/>
    <s v="NA"/>
    <s v="NA "/>
    <s v="Na "/>
    <s v="NA "/>
    <s v="NA "/>
    <s v="NA "/>
    <s v="NA "/>
    <s v="NA "/>
    <s v="NA"/>
    <s v="NA "/>
    <s v="NA "/>
    <s v="NA "/>
    <s v="NA "/>
    <s v="NA "/>
    <s v="NA"/>
    <s v="NA"/>
    <s v="NA"/>
    <s v="NA"/>
    <s v="NA"/>
    <s v="NA"/>
    <s v="NA"/>
    <s v="NA"/>
    <s v="NA"/>
    <s v="NA "/>
    <s v="NA "/>
    <s v="NA"/>
    <s v="NA "/>
    <s v="NA"/>
    <s v="NA"/>
    <s v="NA"/>
    <s v="NA "/>
    <s v="NA"/>
    <s v="Dr. Vasantrao Pawar Medical College, Hospital &amp; Research Centre"/>
    <s v="Vasantdada Nagar, Adgaon, Nashik"/>
    <s v="Nashik"/>
    <s v="Completed"/>
    <s v="NA "/>
    <s v="Pending"/>
    <m/>
  </r>
  <r>
    <n v="156"/>
    <n v="2688502"/>
    <x v="3"/>
    <s v="MACT"/>
    <s v="S002-1159-SS-2025"/>
    <d v="2025-12-08T00:00:00"/>
    <x v="5"/>
    <x v="24"/>
    <x v="1"/>
    <d v="2026-01-19T00:00:00"/>
    <n v="4"/>
    <s v="WT"/>
    <s v="Medical Verification"/>
    <s v="Dispatch"/>
    <x v="2"/>
    <m/>
    <s v="Bhaskar Chokhande"/>
    <s v="NA"/>
    <s v="NA"/>
    <s v="NA "/>
    <s v="Na "/>
    <s v="NA "/>
    <s v="NA "/>
    <s v="NA "/>
    <s v="NA "/>
    <s v="NA "/>
    <s v="NA"/>
    <s v="NA "/>
    <s v="NA "/>
    <s v="NA "/>
    <s v="NA "/>
    <s v="NA "/>
    <s v="NA"/>
    <s v="NA"/>
    <s v="NA"/>
    <s v="NA"/>
    <s v="NA"/>
    <s v="NA"/>
    <s v="NA"/>
    <s v="NA"/>
    <s v="NA"/>
    <s v="NA "/>
    <s v="NA "/>
    <s v="NA"/>
    <s v="NA "/>
    <s v="NA"/>
    <s v="NA"/>
    <s v="NA"/>
    <s v="NA "/>
    <s v="NA"/>
    <s v="Vaishnavi Diagnostic Centre"/>
    <s v="Ground Floor Shop No. 9,Sinnar City Center, Opp. Waje Petrol Pump, Sinnar"/>
    <s v="Sinnar"/>
    <s v="Completed"/>
    <s v="NA "/>
    <s v="Pending"/>
    <m/>
  </r>
  <r>
    <n v="157"/>
    <n v="2688503"/>
    <x v="3"/>
    <s v="MACT"/>
    <s v="S002-1160-SS-2025"/>
    <d v="2025-12-08T00:00:00"/>
    <x v="5"/>
    <x v="24"/>
    <x v="1"/>
    <d v="2026-01-19T00:00:00"/>
    <n v="4"/>
    <s v="WT"/>
    <s v="Medical Verification"/>
    <s v="Dispatch"/>
    <x v="2"/>
    <m/>
    <s v="RAVIKIRAN SUKHADEV MANDLIK"/>
    <s v="NA"/>
    <s v="NA"/>
    <s v="NA "/>
    <s v="Na "/>
    <s v="NA "/>
    <s v="NA "/>
    <s v="NA "/>
    <s v="NA "/>
    <s v="NA "/>
    <s v="NA"/>
    <s v="NA "/>
    <s v="NA "/>
    <s v="NA "/>
    <s v="NA "/>
    <s v="NA "/>
    <s v="NA"/>
    <s v="NA"/>
    <s v="NA"/>
    <s v="NA"/>
    <s v="NA"/>
    <s v="NA"/>
    <s v="NA"/>
    <s v="NA"/>
    <s v="NA"/>
    <s v="NA "/>
    <s v="NA "/>
    <s v="NA"/>
    <s v="NA "/>
    <s v="NA"/>
    <s v="NA"/>
    <s v="NA"/>
    <s v="NA "/>
    <s v="NA"/>
    <s v="YASHWANT MULTISPECIALITY HOSPITAL"/>
    <s v="Near Waje Petrol Pump, Pune-Nashik Road,_x000a_Sinnar, Dist. Nashik"/>
    <s v="Nashik"/>
    <s v="Completed"/>
    <s v="NA "/>
    <s v="Pending"/>
    <m/>
  </r>
  <r>
    <n v="158"/>
    <n v="2531991"/>
    <x v="3"/>
    <s v="MACT"/>
    <s v="S002-1161-SS-2025"/>
    <d v="2025-12-08T00:00:00"/>
    <x v="5"/>
    <x v="20"/>
    <x v="1"/>
    <d v="2026-01-19T00:00:00"/>
    <n v="14"/>
    <s v="WT"/>
    <s v="Medical Verification"/>
    <s v="Dispatch"/>
    <x v="2"/>
    <m/>
    <s v="Vasant Kadam"/>
    <s v="NA"/>
    <s v="NA"/>
    <s v="NA "/>
    <s v="Na "/>
    <s v="NA "/>
    <s v="NA "/>
    <s v="NA "/>
    <s v="NA "/>
    <s v="NA "/>
    <s v="NA"/>
    <s v="NA "/>
    <s v="NA "/>
    <s v="NA "/>
    <s v="NA "/>
    <s v="NA "/>
    <s v="NA"/>
    <s v="NA"/>
    <s v="NA"/>
    <s v="NA"/>
    <s v="NA"/>
    <s v="NA"/>
    <s v="NA"/>
    <s v="NA"/>
    <s v="NA"/>
    <s v="NA "/>
    <s v="NA "/>
    <s v="NA"/>
    <s v="NA "/>
    <s v="NA"/>
    <s v="NA"/>
    <s v="NA"/>
    <s v="NA "/>
    <s v="NA"/>
    <s v="1)VINCHURKAR PAWAR DIAGNOSTIC CENTRE PVT. LTD.                                                       2)Prayas Hospital "/>
    <s v="Ramtek, Near LIC Office, Camp Road, Malegaon                                                                            2)Malegaon Nashik"/>
    <s v="Malegaon"/>
    <s v="Completed"/>
    <s v="NA "/>
    <s v="Pending"/>
    <m/>
  </r>
  <r>
    <n v="159"/>
    <n v="2675217"/>
    <x v="3"/>
    <s v="MACT"/>
    <s v="S002-1162-SS-2025"/>
    <d v="2025-12-08T00:00:00"/>
    <x v="5"/>
    <x v="0"/>
    <x v="0"/>
    <d v="2026-01-19T00:00:00"/>
    <n v="16"/>
    <s v="BT"/>
    <s v="Medical Verification"/>
    <s v="Open"/>
    <x v="1"/>
    <m/>
    <s v="Devkisan Ekhnath Shelke"/>
    <s v="NA"/>
    <s v="NA"/>
    <s v="NA "/>
    <s v="Na "/>
    <s v="NA "/>
    <s v="NA "/>
    <s v="NA "/>
    <s v="NA "/>
    <s v="NA "/>
    <s v="NA"/>
    <s v="NA "/>
    <s v="NA "/>
    <s v="NA "/>
    <s v="NA "/>
    <s v="NA "/>
    <s v="NA"/>
    <s v="NA"/>
    <s v="NA"/>
    <s v="NA"/>
    <s v="NA"/>
    <s v="NA"/>
    <s v="NA"/>
    <s v="NA"/>
    <s v="NA"/>
    <s v="NA "/>
    <s v="NA "/>
    <s v="NA"/>
    <s v="NA "/>
    <s v="NA"/>
    <s v="NA"/>
    <s v="NA"/>
    <s v="NA "/>
    <s v="NA"/>
    <s v="Saykhedkar hospital &amp; RESEARCH CENTER PATETD unit of S.M.A.R.T"/>
    <s v="Trimurti Chowk, Kamatwade Rd, opp. Matale Mangal Karyalaya, Cideo, Nashik"/>
    <s v="Nashik"/>
    <s v="Completed"/>
    <s v="NA "/>
    <s v="Pending"/>
    <m/>
  </r>
  <r>
    <n v="160"/>
    <n v="2025201616"/>
    <x v="2"/>
    <s v="MACT"/>
    <s v="R001-1163-SS-2025"/>
    <d v="2025-04-20T00:00:00"/>
    <x v="6"/>
    <x v="0"/>
    <x v="0"/>
    <d v="2025-05-09T00:00:00"/>
    <n v="248"/>
    <s v="BT"/>
    <s v="Partial Case"/>
    <s v="Open"/>
    <x v="0"/>
    <s v="For Police Part"/>
    <s v="NA"/>
    <s v="NA"/>
    <s v="NA"/>
    <s v="NA"/>
    <s v="NA"/>
    <s v="NA"/>
    <s v="NA"/>
    <s v="NA"/>
    <s v="NA"/>
    <s v="NA"/>
    <s v="NA"/>
    <s v="NA"/>
    <s v="NA"/>
    <s v="NA"/>
    <s v="NA"/>
    <s v="NA"/>
    <s v="NA"/>
    <s v="NA"/>
    <s v="NA"/>
    <s v="NA"/>
    <s v="NA"/>
    <s v="NA"/>
    <s v="NA"/>
    <s v="NA"/>
    <s v="NA"/>
    <s v="NA"/>
    <s v="NA"/>
    <s v="NA"/>
    <s v="NA"/>
    <s v="0310/2024"/>
    <s v="Muram Police Station"/>
    <s v="Dharashiv"/>
    <s v="NA"/>
    <s v="WIP"/>
    <s v="NA"/>
    <s v="NA"/>
    <s v="NA"/>
    <s v="NA"/>
    <s v="NA"/>
    <s v="Pending"/>
    <m/>
  </r>
  <r>
    <n v="161"/>
    <n v="2025202958"/>
    <x v="2"/>
    <s v="MACT"/>
    <s v="R001-1164-SS-2025"/>
    <d v="2025-03-18T00:00:00"/>
    <x v="2"/>
    <x v="0"/>
    <x v="0"/>
    <s v=""/>
    <n v="281"/>
    <s v="BT"/>
    <s v="Connected Case"/>
    <s v="Open"/>
    <x v="1"/>
    <s v="For Claimant part only. (Connected case - 2025202883)"/>
    <s v="CHABU PANDHARINATH SARODE"/>
    <s v="Candanapuri, Sangamner, Ahilyanagar. 422605"/>
    <s v="Ahilyanagar"/>
    <s v="Completed"/>
    <s v="NA"/>
    <s v="NA"/>
    <s v="NA"/>
    <s v="NA"/>
    <s v="NA"/>
    <s v="NA"/>
    <s v="NA"/>
    <s v="NA"/>
    <s v="NA"/>
    <s v="NA"/>
    <s v="NA"/>
    <s v="NA"/>
    <s v="NA"/>
    <s v="NA"/>
    <s v="NA"/>
    <s v="NA"/>
    <s v="NA"/>
    <s v="NA"/>
    <s v="NA"/>
    <s v="NA"/>
    <s v="NA"/>
    <s v="NA"/>
    <s v="NA"/>
    <s v="NA"/>
    <s v="NA"/>
    <s v="NA"/>
    <s v="NA"/>
    <s v="NA"/>
    <s v="NA"/>
    <s v="NA"/>
    <s v="NA"/>
    <s v="NA"/>
    <s v="NA"/>
    <s v="NA"/>
    <s v="NA"/>
    <s v="Pending"/>
    <m/>
  </r>
  <r>
    <n v="162"/>
    <n v="2025202883"/>
    <x v="2"/>
    <s v="MACT"/>
    <s v="R001-1165-SS-2025"/>
    <d v="2025-03-18T00:00:00"/>
    <x v="2"/>
    <x v="0"/>
    <x v="0"/>
    <d v="2025-04-29T00:00:00"/>
    <n v="281"/>
    <s v="BT"/>
    <s v="Full Case"/>
    <s v="Open"/>
    <x v="1"/>
    <m/>
    <s v="ROHINI CHABU SARODE "/>
    <s v="Candanapuri, Sangamner, Ahilyanagar. 422605"/>
    <s v="Ahilyanagar"/>
    <s v="Completed"/>
    <s v="NA"/>
    <s v="NA"/>
    <s v="NA"/>
    <s v="NA"/>
    <s v="VAIBHAV BALASAHEB BAGADE"/>
    <s v="Kuruli, Murhe vasti, Yq - Khed, Dis - Pune."/>
    <s v="Pune"/>
    <s v="NA"/>
    <s v="Completed"/>
    <s v="NA"/>
    <s v="NA"/>
    <s v="NA"/>
    <s v="NA"/>
    <s v="NA"/>
    <s v="NA"/>
    <s v="NA"/>
    <s v="NA"/>
    <s v="NA"/>
    <s v="NA"/>
    <s v="NA"/>
    <s v="NA"/>
    <s v="NA"/>
    <s v="On Nashik to Pune road, Anandwadi, Chandanapuri, Sangamner. "/>
    <s v="Nashik"/>
    <s v="Completed"/>
    <s v="680/2024"/>
    <s v="Sangamner Taluka Po. St."/>
    <s v="Nashik"/>
    <s v="NA"/>
    <s v="WIP"/>
    <s v="NA"/>
    <s v="NA"/>
    <s v="NA"/>
    <s v="NA"/>
    <s v="NA"/>
    <s v="Pending"/>
    <m/>
  </r>
  <r>
    <n v="163"/>
    <n v="2024209819"/>
    <x v="2"/>
    <s v="MACT"/>
    <s v="R001-1166-SS-2025"/>
    <d v="2024-09-16T00:00:00"/>
    <x v="7"/>
    <x v="20"/>
    <x v="1"/>
    <d v="2024-10-07T00:00:00"/>
    <n v="462"/>
    <s v="BT"/>
    <s v="Partial Case"/>
    <s v="Dispatch"/>
    <x v="2"/>
    <s v="ITR verification or deceased PAN, Claimants ID and PMR Required_x0009__x0009_For Insured Part"/>
    <s v="CHANDRAKANT LAXMAN THOPATE"/>
    <s v="R/O, Khamgaon Maval, Tal Haweli, Dis Pune. and also at Hindalge, Belagaavi."/>
    <s v="Pune"/>
    <s v="Completed"/>
    <s v="NA"/>
    <s v="NA"/>
    <s v="NA"/>
    <s v="NA"/>
    <s v="ANGURI JASWANT SINGH"/>
    <s v="NA"/>
    <s v="NA"/>
    <s v="NA"/>
    <s v="NA"/>
    <s v="NA"/>
    <s v="NA"/>
    <s v="NA"/>
    <s v="NA"/>
    <s v="NA"/>
    <s v="NA"/>
    <s v="NA"/>
    <s v="NA"/>
    <s v="NA"/>
    <s v="NA"/>
    <s v="NA"/>
    <s v="NA"/>
    <s v="NA"/>
    <s v="NA"/>
    <s v="NA"/>
    <s v="NA"/>
    <s v="445/2024"/>
    <s v="Bharti Vdyapeeth Po. St."/>
    <s v="Pune"/>
    <s v="NA"/>
    <s v="Completed"/>
    <s v="NA"/>
    <s v="NA"/>
    <s v="NA"/>
    <s v="NA"/>
    <s v="NA"/>
    <s v="Pending"/>
    <s v="Insured Part"/>
  </r>
  <r>
    <n v="164"/>
    <n v="2025202179"/>
    <x v="2"/>
    <s v="MACT"/>
    <s v="R001-1167-SS-2025"/>
    <d v="2025-03-03T00:00:00"/>
    <x v="2"/>
    <x v="0"/>
    <x v="0"/>
    <d v="2025-04-14T00:00:00"/>
    <n v="296"/>
    <s v="BT"/>
    <s v="Full Case"/>
    <s v="Open"/>
    <x v="0"/>
    <m/>
    <s v="SHUBHAM RAMDAS NADE"/>
    <s v="Near, Fariyaz Hotel, Tanuja Mukharji Banglow, 599 New Tungarli, Lonavala. 410401."/>
    <s v="Pune"/>
    <s v="Completed"/>
    <s v="NA"/>
    <s v="NA"/>
    <s v="NA"/>
    <s v="NA"/>
    <s v="Sujit Gopinath Patil"/>
    <s v="555, Pandive, Koproli, Raigad. 410206"/>
    <s v="Raigad"/>
    <s v="NA"/>
    <s v="Completed"/>
    <s v="NA"/>
    <s v="NA"/>
    <s v="NA"/>
    <s v="NA"/>
    <s v="NA"/>
    <s v="NA"/>
    <s v="NA"/>
    <s v="NA"/>
    <s v="NA"/>
    <s v="NA"/>
    <s v="NA"/>
    <s v="NA"/>
    <s v="NA"/>
    <s v="In the vicinity of Lonavala, In front of Sathe Misal, Old Mumbai - Pune Highway, Pune"/>
    <s v="Pune"/>
    <s v="Completed"/>
    <s v="283/2024"/>
    <s v="Lonavala City Po. St."/>
    <s v="Pune"/>
    <s v="NA"/>
    <s v="WIP"/>
    <s v="NA"/>
    <s v="NA"/>
    <s v="NA"/>
    <s v="NA"/>
    <s v="NA"/>
    <s v="Pending"/>
    <m/>
  </r>
  <r>
    <n v="165"/>
    <n v="2025200082"/>
    <x v="2"/>
    <s v="MACT"/>
    <s v="R001-1168-SS-2025"/>
    <d v="2025-01-31T00:00:00"/>
    <x v="8"/>
    <x v="0"/>
    <x v="0"/>
    <d v="2025-03-14T00:00:00"/>
    <n v="327"/>
    <s v="BT"/>
    <s v="Full Case"/>
    <s v="Open"/>
    <x v="0"/>
    <m/>
    <s v="Shobha Nitin Aundkar"/>
    <s v="Yedshi, Dharashiv."/>
    <s v="Dharashiv"/>
    <s v="Completed"/>
    <s v="NA"/>
    <s v="NA"/>
    <s v="NA"/>
    <s v="NA"/>
    <s v="BABITA RAMESH SARUK"/>
    <s v="Nandgaon, Washi, Dharashiv."/>
    <s v="Dharashiv"/>
    <s v="NA"/>
    <s v="Completed"/>
    <s v="NA"/>
    <s v="NA"/>
    <s v="NA"/>
    <s v="NA"/>
    <s v="NA"/>
    <s v="NA"/>
    <s v="NA"/>
    <s v="NA"/>
    <s v="NA"/>
    <s v="NA"/>
    <s v="NA"/>
    <s v="NA"/>
    <s v="NA"/>
    <s v="On Nandgaon to Terkheda road, Nr, Wadaji shiv rasta, Nr the field of Balaji Ghule"/>
    <s v="Dharashiv"/>
    <s v="Completed"/>
    <s v="478/2023"/>
    <s v="Dharashiv Po. St."/>
    <s v="Dharashiv"/>
    <s v="NA"/>
    <s v="WIP"/>
    <s v="NA"/>
    <s v="NA"/>
    <s v="NA"/>
    <s v="NA"/>
    <s v="NA"/>
    <s v="Pending"/>
    <m/>
  </r>
  <r>
    <n v="166"/>
    <n v="2025200765"/>
    <x v="2"/>
    <s v="MACT"/>
    <s v="R001-1169-SS-2025"/>
    <d v="2025-01-24T00:00:00"/>
    <x v="8"/>
    <x v="0"/>
    <x v="0"/>
    <d v="2025-03-07T00:00:00"/>
    <n v="334"/>
    <s v="BT"/>
    <s v="Full Case"/>
    <s v="Open"/>
    <x v="1"/>
    <m/>
    <s v="Shobhabai Rameshwer Jadhav"/>
    <s v="R/O, Ramanaiktanda, Tq - Kandhar, Dis - Nanded. Current Add - Marshivani Tanda, Ahmadpur, Latur."/>
    <s v="Nanded"/>
    <s v="Completed"/>
    <s v="NA"/>
    <s v="NA"/>
    <s v="NA"/>
    <s v="NA"/>
    <s v="Mr. BALASAHEB BHAGWANRAO SATPUTE"/>
    <s v="R/O, Isad, Gangakhed, Parbhani."/>
    <s v="Parbhani"/>
    <s v="NA"/>
    <s v="Completed"/>
    <s v="Datta Gopal Devkatte"/>
    <s v="Sindgi, Ahmadpur, Latur."/>
    <s v="Latur"/>
    <s v="Completed"/>
    <s v="NA"/>
    <s v="NA"/>
    <s v="NA"/>
    <s v="NA"/>
    <s v="NA"/>
    <s v="NA"/>
    <s v="NA"/>
    <s v="NA"/>
    <s v="NA"/>
    <s v="In front of petrol pump in MIDC Ahmadpur, Latur."/>
    <s v="Latur"/>
    <s v="Completed"/>
    <s v="44/2024"/>
    <s v="Ahmadpur po. St."/>
    <s v="Nanded"/>
    <s v="NA"/>
    <s v="WIP"/>
    <s v="NA"/>
    <s v="NA"/>
    <s v="NA"/>
    <s v="NA"/>
    <s v="NA"/>
    <s v="Pending"/>
    <m/>
  </r>
  <r>
    <n v="167"/>
    <n v="2024215431"/>
    <x v="2"/>
    <s v="MACT"/>
    <s v="R001-1170-SS-2025"/>
    <d v="2025-01-23T00:00:00"/>
    <x v="8"/>
    <x v="0"/>
    <x v="0"/>
    <d v="2025-03-06T00:00:00"/>
    <n v="335"/>
    <s v="BT"/>
    <s v="Full Case"/>
    <s v="Open"/>
    <x v="0"/>
    <m/>
    <s v="Sangita Anil Gomse"/>
    <s v="Galli No. 08, Patil Estate, Shivajinagar, Pune. Bali Mandir, Adgaon Shivar, Nashik."/>
    <s v="Nashik"/>
    <s v="Completed"/>
    <s v="NA"/>
    <s v="NA"/>
    <s v="NA"/>
    <s v="NA"/>
    <s v="EVEREST FLEET PRIVATE LIMITED"/>
    <s v="1 C 105 MHATRE PEN BLDG,SENAPATI BAPAT MARG DADAR,MUMBAI,,,MAHARASHTRA,,INDIA,400028"/>
    <s v="Mumbai"/>
    <s v="NA"/>
    <s v="Completed"/>
    <s v="NA"/>
    <s v="NA"/>
    <s v="NA"/>
    <s v="NA"/>
    <s v="NA"/>
    <s v="NA"/>
    <s v="NA"/>
    <s v="NA"/>
    <s v="NA"/>
    <s v="NA"/>
    <s v="NA"/>
    <s v="NA"/>
    <s v="NA"/>
    <s v="Near CEOP Colledge Chwok, Nr. Vadewala Hotel, Dattanagar, Katraj. Pune."/>
    <s v="Pune"/>
    <s v="Completed"/>
    <s v="15/2024"/>
    <s v="Khadki Po. St."/>
    <s v="Pune"/>
    <s v="NA"/>
    <s v="WIP"/>
    <s v="NA"/>
    <s v="NA"/>
    <s v="NA"/>
    <s v="NA"/>
    <s v="NA"/>
    <s v="Pending"/>
    <m/>
  </r>
  <r>
    <n v="168"/>
    <n v="2532036"/>
    <x v="3"/>
    <s v="MACT"/>
    <s v="S002-1171-SS-2025"/>
    <d v="2025-12-09T00:00:00"/>
    <x v="5"/>
    <x v="26"/>
    <x v="1"/>
    <d v="2026-01-20T00:00:00"/>
    <n v="6"/>
    <s v="WT"/>
    <s v="Medical Verification"/>
    <s v="Approval"/>
    <x v="2"/>
    <m/>
    <s v="Laxman Popat Bhlse"/>
    <s v="NA"/>
    <s v="NA"/>
    <s v="NA "/>
    <s v="Na "/>
    <s v="NA "/>
    <s v="NA "/>
    <s v="NA "/>
    <s v="NA "/>
    <s v="NA "/>
    <s v="NA"/>
    <s v="NA "/>
    <s v="NA "/>
    <s v="NA "/>
    <s v="NA "/>
    <s v="NA "/>
    <s v="NA"/>
    <s v="NA"/>
    <s v="NA"/>
    <s v="NA"/>
    <s v="NA"/>
    <s v="NA"/>
    <s v="NA"/>
    <s v="NA"/>
    <s v="NA"/>
    <s v="NA "/>
    <s v="NA "/>
    <s v="NA"/>
    <s v="NA "/>
    <s v="NA"/>
    <s v="NA"/>
    <s v="NA"/>
    <s v="NA "/>
    <s v="NA"/>
    <s v="1)CNS Hospital                                                             2)Terna Speciality Hospital &amp; Research"/>
    <s v="1)188/22 Laxmi Peth,Damani Nagar,degaon road,solapur-413001                                                 2)Ploat-no=12,sector-22,opp,Nerul(w),navi Mumbai-400706"/>
    <s v="1)Solapur                                                                                                                                                                                                                    2)Mumbai "/>
    <s v="Completed"/>
    <s v="NA "/>
    <s v="Pending"/>
    <m/>
  </r>
  <r>
    <n v="169"/>
    <n v="2024215780"/>
    <x v="2"/>
    <s v="MACT"/>
    <s v="R001-1172-SS-2025"/>
    <d v="2025-01-23T00:00:00"/>
    <x v="8"/>
    <x v="27"/>
    <x v="5"/>
    <m/>
    <m/>
    <m/>
    <s v="Partial Case"/>
    <s v="Open"/>
    <x v="2"/>
    <s v="For Claimant part only. (Connected case - 2024215795)"/>
    <s v="Ayyub Ajjij Shaikh"/>
    <s v="Devika Nagar, Pimpalgaon, Nashik.Lasalgaon, Nifad, Nashik."/>
    <s v="Nashik"/>
    <s v="Completed"/>
    <s v="NA"/>
    <s v="NA"/>
    <s v="NA"/>
    <s v="NA"/>
    <s v="NA"/>
    <s v="NA"/>
    <s v="NA"/>
    <s v="NA"/>
    <s v="NA"/>
    <s v="NA"/>
    <s v="NA"/>
    <s v="NA"/>
    <s v="NA"/>
    <s v="NA"/>
    <s v="NA"/>
    <s v="NA"/>
    <s v="NA"/>
    <s v="NA"/>
    <s v="NA"/>
    <s v="NA"/>
    <s v="NA"/>
    <s v="NA"/>
    <s v="NA"/>
    <s v="NA"/>
    <s v="NA"/>
    <s v="NA"/>
    <s v="NA"/>
    <s v="NA"/>
    <s v="NA"/>
    <s v="NA"/>
    <s v="NA"/>
    <s v="NA"/>
    <s v="NA"/>
    <s v="NA"/>
    <s v="NA"/>
    <s v="Pending"/>
    <m/>
  </r>
  <r>
    <n v="170"/>
    <n v="2024215795"/>
    <x v="2"/>
    <s v="MACT"/>
    <s v="R001-1173-SS-2025"/>
    <d v="2025-01-23T00:00:00"/>
    <x v="8"/>
    <x v="27"/>
    <x v="5"/>
    <m/>
    <n v="165"/>
    <s v="BT"/>
    <s v="Full Case"/>
    <s v="Open"/>
    <x v="2"/>
    <m/>
    <s v="SMT. Samrin Amjad Pathan"/>
    <s v="R/O, Rehmat Nagar, Jorve Nagar, Pinjar Galli, Sangamner, Ahmadnagar.422605."/>
    <s v="Ahilyanagar"/>
    <s v="Completed"/>
    <s v="NA"/>
    <s v="NA"/>
    <s v="NA"/>
    <s v="NA"/>
    <s v="AAYAN TOURS AND TRAVELS"/>
    <s v="2/14 JAI MAA,SHARDA RAHIWASHI SEVA SANGH SANT DYANESHWAR NAGAR BANDRA EAST, MUMBAI MUMBAI, MAHARASHTRA, India, 400051."/>
    <s v="Mumbai"/>
    <s v="NA"/>
    <s v="Completed"/>
    <s v="NA"/>
    <s v="NA"/>
    <s v="NA"/>
    <s v="NA"/>
    <s v="NA"/>
    <s v="NA"/>
    <s v="NA"/>
    <s v="NA"/>
    <s v="NA"/>
    <s v="NA"/>
    <s v="NA"/>
    <s v="NA"/>
    <s v="NA"/>
    <s v="At Panchale to Pangri, from Lasalgaon to Sangamner, Pangri shivar, Dukre mala, Sinner, Nashik."/>
    <s v="Nashik"/>
    <s v="Completed"/>
    <s v="402/2024"/>
    <s v="Vavi Po. St."/>
    <s v="Nashik Gramin"/>
    <s v="NA"/>
    <s v="NI"/>
    <s v="NA"/>
    <s v="NA"/>
    <s v="NA"/>
    <s v="NA"/>
    <s v="NA"/>
    <s v="Pending"/>
    <m/>
  </r>
  <r>
    <n v="171"/>
    <n v="2024216019"/>
    <x v="2"/>
    <s v="MACT"/>
    <s v="R001-1174-SS-2025"/>
    <d v="2025-01-07T00:00:00"/>
    <x v="8"/>
    <x v="28"/>
    <x v="2"/>
    <m/>
    <m/>
    <m/>
    <s v="Full Case"/>
    <s v="Open"/>
    <x v="2"/>
    <m/>
    <s v="Ajmal Kallu Chaudhari"/>
    <s v="R/O Galli No. 08, Room No. 341, Nihal nagar, Malegaon, Nashik"/>
    <s v="Nashik"/>
    <s v="Completed"/>
    <s v="NA"/>
    <s v="NA"/>
    <s v="NA"/>
    <s v="NA"/>
    <s v="Shaikh Alim Shaikh Unus"/>
    <s v="Rehman Galli, Jalana. 440001."/>
    <s v="Jalana"/>
    <s v="NA"/>
    <s v="Completed"/>
    <s v="Mohmad Alim Mohmad Unus"/>
    <s v="Panwadi, Fulambri, Sambhajinagar."/>
    <s v="Sambhajinagar"/>
    <s v="Completed"/>
    <s v="NA"/>
    <s v="NA"/>
    <s v="NA"/>
    <s v="NA"/>
    <s v="NA"/>
    <s v="NA"/>
    <s v="NA"/>
    <s v="NA"/>
    <s v="NA"/>
    <s v="On Malegaon to Nampur road, Kothre Shivar, Nr Kothre fata, Malegaon, Nashik."/>
    <s v="Nashik"/>
    <s v="Completed"/>
    <s v="61/2012"/>
    <s v="Vadner Khkurdi po. St."/>
    <s v="Malegaon"/>
    <s v="NA"/>
    <s v="Completed"/>
    <s v="NA"/>
    <s v="NA"/>
    <s v="NA"/>
    <s v="NA"/>
    <s v="NA"/>
    <s v="STOP"/>
    <m/>
  </r>
  <r>
    <n v="172"/>
    <s v="MTP-N-2526-005139"/>
    <x v="1"/>
    <s v="MACT"/>
    <s v="F001-1175-SS-2025"/>
    <d v="2025-12-15T00:00:00"/>
    <x v="5"/>
    <x v="0"/>
    <x v="0"/>
    <d v="2026-01-26T00:00:00"/>
    <n v="9"/>
    <s v="WT"/>
    <s v="Full Case"/>
    <s v="Open"/>
    <x v="4"/>
    <m/>
    <s v="Rukhmini Shankar Shinde"/>
    <s v="R/o Gondhal Gali,Boripardhi Pune          New R/o CIB Colony,Kalaburgi"/>
    <s v="Pune"/>
    <s v="NI"/>
    <s v="Na "/>
    <s v="NA "/>
    <s v="NA "/>
    <s v="NI"/>
    <s v="Shree Warana"/>
    <s v="R/o Warananagar,Koboli,tq.Panhala Kolhapur-416113"/>
    <s v="Kolhapur"/>
    <s v="NA"/>
    <s v="NI"/>
    <s v="NA "/>
    <s v="NA "/>
    <s v="NA"/>
    <s v="NI"/>
    <s v="Yes"/>
    <s v="NI"/>
    <s v="yes"/>
    <s v="NI"/>
    <s v="NA"/>
    <s v="NA"/>
    <s v="NA"/>
    <s v="NA"/>
    <s v="NA "/>
    <s v="On Solapur-Pune high way road in front of hotel brudhwan varvanda,kavitech mala Daund Pune"/>
    <s v="Pune"/>
    <s v="NI"/>
    <s v="540/2024"/>
    <s v="Yavat Police Station"/>
    <s v="Yavat"/>
    <s v="NA"/>
    <s v="NI"/>
    <s v="Rural Hospital  = Yavat                                           Akshaya Hospital  = Varvand                               Vishwaraj   Hospital  = Pune"/>
    <s v="NA "/>
    <s v="NA"/>
    <s v="NI"/>
    <s v="NA "/>
    <s v="Pending"/>
    <m/>
  </r>
  <r>
    <n v="173"/>
    <n v="2025213982"/>
    <x v="2"/>
    <s v="MACT"/>
    <s v="R001-1176-SS-2025"/>
    <d v="2025-12-16T00:00:00"/>
    <x v="5"/>
    <x v="0"/>
    <x v="0"/>
    <d v="2026-01-27T00:00:00"/>
    <n v="8"/>
    <s v="WT"/>
    <s v="Full Case"/>
    <s v="Open"/>
    <x v="1"/>
    <m/>
    <s v="Ananda Govindrao Sawant     9307982116"/>
    <s v="R/o  village Gortha Tq. Umri Dist. Nanded."/>
    <s v="Nanded"/>
    <s v="WIP"/>
    <s v="Na "/>
    <s v="NA"/>
    <s v="NA "/>
    <s v="NA"/>
    <s v="Vijay  Sahebrao Rathod"/>
    <s v="R/o Gargotwadi Post Pandurna Tq. Bhokar Dist. Nanded-431 801"/>
    <s v="Nanded"/>
    <s v="NA"/>
    <s v="WIP"/>
    <s v="NA "/>
    <s v="NA "/>
    <s v="NA "/>
    <s v="WIP"/>
    <s v="NA"/>
    <s v="NA"/>
    <s v="NA"/>
    <s v="NA"/>
    <s v="NA"/>
    <s v="NA"/>
    <s v="NA"/>
    <s v="NA"/>
    <s v="NA "/>
    <s v="near Gortha Y Point, in front of Pahelwan Dhaba."/>
    <s v="NA"/>
    <s v="WIP"/>
    <s v="0067/2025"/>
    <s v="Police Station Umri."/>
    <s v="Nanded"/>
    <s v="NA"/>
    <s v="WIP"/>
    <s v="NA "/>
    <s v="NA "/>
    <s v="NA"/>
    <s v="NA"/>
    <s v="NA "/>
    <s v="Pending"/>
    <m/>
  </r>
  <r>
    <n v="174"/>
    <n v="2025213945"/>
    <x v="2"/>
    <s v="MACT"/>
    <s v="R001-1177-SS-2025"/>
    <d v="2025-12-16T00:00:00"/>
    <x v="5"/>
    <x v="0"/>
    <x v="0"/>
    <d v="2026-01-27T00:00:00"/>
    <n v="8"/>
    <s v="WT"/>
    <s v="Full Case"/>
    <s v="Open"/>
    <x v="1"/>
    <m/>
    <s v="Mohammad  Sale Chaus"/>
    <s v="R/o Jatwada Road, Harsool, Aurangabad"/>
    <s v="Sambhaji Nagar"/>
    <s v="WIP"/>
    <s v="Na "/>
    <s v="NA"/>
    <s v="NA "/>
    <s v="NA"/>
    <s v="Sanjay Bandu Gaikwad    9225201051"/>
    <s v="R/o  Gaikwad Colony, Karla, Tq. Manval, Distt. Pune"/>
    <s v="Pune"/>
    <s v="NA"/>
    <s v="WIP"/>
    <s v="Shaikh Bhikan  Shaikh Bashir"/>
    <s v="R/o  Behind Old Government Hospital, At Post: Zodga, Tq. &amp; Dist. Nashik"/>
    <s v="Nashik"/>
    <s v="WIP"/>
    <s v="NA"/>
    <s v="NA"/>
    <s v="NA"/>
    <s v="NA"/>
    <s v="NA"/>
    <s v="NA"/>
    <s v="NA"/>
    <s v="NA"/>
    <s v="NA "/>
    <s v="at Rauza Bagh, Near Idgah, Aurangabad, took place"/>
    <s v="Sambhaji Nagar"/>
    <s v="WIP"/>
    <s v="0129/2024"/>
    <s v="City Chowk Police Station, Sambhaji Nagar"/>
    <s v="Sambhaji Nagar"/>
    <s v="NA"/>
    <s v="WIP"/>
    <s v="NA "/>
    <s v="NA "/>
    <s v="NA"/>
    <s v="NA"/>
    <s v="NA "/>
    <s v="Pending"/>
    <m/>
  </r>
  <r>
    <n v="175"/>
    <n v="2025213947"/>
    <x v="2"/>
    <s v="MACT"/>
    <s v="R001-1178-SS-2025"/>
    <d v="2025-12-16T00:00:00"/>
    <x v="5"/>
    <x v="0"/>
    <x v="0"/>
    <d v="2026-01-27T00:00:00"/>
    <n v="8"/>
    <s v="WT"/>
    <s v="Full Case"/>
    <s v="Open"/>
    <x v="4"/>
    <m/>
    <s v="Rangnath  Dattu Chavan"/>
    <s v="R/o Ghugi Tq. &amp; District Osmanabad"/>
    <s v="Dharashiv"/>
    <s v="NI"/>
    <s v="Na "/>
    <s v="NA "/>
    <s v="NA "/>
    <s v="NA"/>
    <s v="Subodh Umakant Gaikwad   9730559097"/>
    <s v="R/o Bodhe Nagar, Latur."/>
    <s v="Latur"/>
    <s v="NA"/>
    <s v="NI"/>
    <s v="Sharad Rangnath Chavan"/>
    <s v="R/o  Ghugi Tq. &amp; District Osmanabad"/>
    <s v="Dharashiv"/>
    <s v="NI"/>
    <s v="NA"/>
    <s v="NA"/>
    <s v="NA"/>
    <s v="NA"/>
    <s v="NA"/>
    <s v="NA"/>
    <s v="NA"/>
    <s v="NA"/>
    <s v="NA "/>
    <s v="Chincholi to Latur road in the vicinity of village Gangapur in front of Jaikisan School."/>
    <s v="Latur"/>
    <s v="NI"/>
    <s v="25/2023"/>
    <s v="Police Station Latur (Rural)"/>
    <s v="Latur"/>
    <s v="NA"/>
    <s v="NI"/>
    <s v="NA "/>
    <s v="NA "/>
    <s v="NA"/>
    <s v="NA"/>
    <s v="NA "/>
    <s v="Pending"/>
    <m/>
  </r>
  <r>
    <n v="176"/>
    <n v="2025213937"/>
    <x v="2"/>
    <s v="MACT"/>
    <s v="R001-1179-SS-2025"/>
    <d v="2025-12-16T00:00:00"/>
    <x v="5"/>
    <x v="0"/>
    <x v="0"/>
    <d v="2026-01-27T00:00:00"/>
    <n v="8"/>
    <s v="WT"/>
    <s v="Full Case"/>
    <s v="Open"/>
    <x v="1"/>
    <m/>
    <s v="Raju Datta Digalwad"/>
    <s v="R/o Dhanki tq. Umerkhed Dist. Yeotmal"/>
    <s v="Yeotmal"/>
    <s v="WIP"/>
    <s v="Na "/>
    <s v="NA "/>
    <s v="NA "/>
    <s v="NA"/>
    <s v="Sachin  Madhavrao Dure"/>
    <s v="R/o Sayal post.Halda Tq.Bhokar Dist. Nanded."/>
    <s v="Nanded"/>
    <s v="NA"/>
    <s v="WIP"/>
    <s v="NA "/>
    <s v="NA "/>
    <s v="NA"/>
    <s v="NI"/>
    <s v="NA"/>
    <s v="NA"/>
    <s v="NA"/>
    <s v="NA"/>
    <s v="NA"/>
    <s v="NA"/>
    <s v="NA"/>
    <s v="NA"/>
    <s v="NA "/>
    <s v="on the Bhokar to Umri bypass road near furniture shop."/>
    <s v="Bhokar"/>
    <s v="WIP"/>
    <s v="119/2023"/>
    <s v="Bhokar Police Station"/>
    <s v="Bhokar"/>
    <s v="NA"/>
    <s v="WIP"/>
    <s v="NA "/>
    <s v="NA "/>
    <s v="NA"/>
    <s v="NA"/>
    <s v="NA "/>
    <s v="Pending"/>
    <m/>
  </r>
  <r>
    <n v="177"/>
    <n v="2025213914"/>
    <x v="2"/>
    <s v="MACT"/>
    <s v="R001-1180-SS-2025"/>
    <d v="2025-12-16T00:00:00"/>
    <x v="5"/>
    <x v="0"/>
    <x v="0"/>
    <d v="2026-01-27T00:00:00"/>
    <n v="8"/>
    <s v="WT"/>
    <s v="Full Case"/>
    <s v="Open"/>
    <x v="1"/>
    <m/>
    <s v="Anket Ramrao Naik    9765767475"/>
    <s v="R/o  Bhirda Post- Basmba Tq. Dist. Hingoli."/>
    <s v="Hingoli"/>
    <s v="WIP"/>
    <s v="Na "/>
    <s v="NA "/>
    <s v="NA "/>
    <s v="NA"/>
    <s v="Maroti Gangaram Ingale"/>
    <s v="R/o R/o.Bhirda Post.Basmba, Tq. Dist. Hingoli-431702. "/>
    <s v="Hingoli"/>
    <s v="NA"/>
    <s v="WIP"/>
    <s v="NA "/>
    <s v="NA "/>
    <s v="NA"/>
    <s v="NA"/>
    <s v="NA"/>
    <s v="NA"/>
    <s v="NA"/>
    <s v="NA"/>
    <s v="NA"/>
    <s v="NA"/>
    <s v="NA"/>
    <s v="NA"/>
    <s v="NA "/>
    <s v="In vicinity of Bhirda Village, in front of petitioner House road."/>
    <s v="NA"/>
    <s v="WIP"/>
    <s v="0086/2025"/>
    <s v="Basamba  Police Station"/>
    <s v="Hingoli"/>
    <s v="NA"/>
    <s v="WIP"/>
    <s v="NA "/>
    <s v="NA "/>
    <s v="NA"/>
    <s v="NA"/>
    <s v="NA "/>
    <s v="Pending"/>
    <m/>
  </r>
  <r>
    <n v="178"/>
    <n v="2025213905"/>
    <x v="2"/>
    <s v="MACT"/>
    <s v="R001-1181-SS-2025"/>
    <d v="2025-12-16T00:00:00"/>
    <x v="5"/>
    <x v="0"/>
    <x v="0"/>
    <d v="2026-01-27T00:00:00"/>
    <n v="8"/>
    <s v="WT"/>
    <s v="Full Case"/>
    <s v="Open"/>
    <x v="1"/>
    <m/>
    <s v="Vidya Gajanan Maske    8412930391"/>
    <s v="R/o   MIDC area ahilyadevi Holkar Nagar, Karegav Road Parbhani.431401 "/>
    <s v="Parbhani"/>
    <s v="WIP"/>
    <s v="Na "/>
    <s v="NA "/>
    <s v="NA "/>
    <s v="NA"/>
    <s v="Sayyad Shahed Sayyad Ishaque"/>
    <s v="R/o 9-6-944 Degloor Naka Itwara, Millat Nagar Near Hamza Masjid Tq. Dist. Nanded.431604"/>
    <s v="Nanded"/>
    <s v="NA"/>
    <s v="WIP"/>
    <s v="NA "/>
    <s v="NA "/>
    <s v="NA"/>
    <s v="WIP"/>
    <s v="NA"/>
    <s v="NA"/>
    <s v="NA"/>
    <s v="NA"/>
    <s v="NA"/>
    <s v="NA"/>
    <s v="NA"/>
    <s v="NA"/>
    <s v="NA "/>
    <s v="on Parbhani to Basmat Road"/>
    <s v="Parbhani"/>
    <s v="WIP"/>
    <s v="0149/2025"/>
    <s v="Tadkals Police Station"/>
    <s v="Parbhani"/>
    <s v="NA"/>
    <s v="WIP"/>
    <s v="NA "/>
    <s v="NA "/>
    <s v="NA"/>
    <s v="NA"/>
    <s v="NA "/>
    <s v="Pending"/>
    <m/>
  </r>
  <r>
    <n v="179"/>
    <n v="2025213901"/>
    <x v="2"/>
    <s v="MACT"/>
    <s v="R001-1182-SS-2025"/>
    <d v="2025-12-16T00:00:00"/>
    <x v="5"/>
    <x v="0"/>
    <x v="0"/>
    <d v="2026-01-27T00:00:00"/>
    <n v="8"/>
    <s v="WT"/>
    <s v="Full Case"/>
    <s v="Open"/>
    <x v="1"/>
    <m/>
    <s v="Anandrao  Vitthalrao Londhe   .7498315779."/>
    <s v="R/o .Lakh Tq.Aundha Dist: Hingoli, "/>
    <s v="Hingoli"/>
    <s v="WIP"/>
    <s v="Na "/>
    <s v="NA "/>
    <s v="NA "/>
    <s v="NA"/>
    <s v="Nilesh  Govindrao Dhabe "/>
    <s v="R/o Pusegaon Tq.Sengaon Dist. Hingoli."/>
    <s v="Hingoli"/>
    <s v="NA"/>
    <s v="WIP"/>
    <s v="NA "/>
    <s v="NA "/>
    <s v="NA"/>
    <s v="NA"/>
    <s v="NA"/>
    <s v="NA"/>
    <s v="NA"/>
    <s v="NA"/>
    <s v="NA"/>
    <s v="NA"/>
    <s v="NA"/>
    <s v="NA"/>
    <s v="NA "/>
    <s v="In vicinity of old Nagar Parishad Office, On Washim to Hingoli road."/>
    <s v="Hingoli"/>
    <s v="WIP"/>
    <s v="0450/2025"/>
    <s v="Hingoli  Police Station"/>
    <s v="Hingoli"/>
    <s v="NA"/>
    <s v="WIP"/>
    <s v="NA "/>
    <s v="NA "/>
    <s v="NA"/>
    <s v="NA"/>
    <s v="NA "/>
    <s v="Pending"/>
    <m/>
  </r>
  <r>
    <n v="180"/>
    <n v="2025213898"/>
    <x v="2"/>
    <s v="MACT"/>
    <s v="R001-1183-SS-2025"/>
    <d v="2025-12-16T00:00:00"/>
    <x v="5"/>
    <x v="0"/>
    <x v="0"/>
    <d v="2026-01-27T00:00:00"/>
    <n v="8"/>
    <s v="WT"/>
    <s v="Full Case"/>
    <s v="Open"/>
    <x v="1"/>
    <m/>
    <s v="Parvej  Shaikh Salim   9307686411."/>
    <s v="R/o Khaja Colony, Near Masjid, Hingoli., Tq.Dist.Hingoli"/>
    <s v="Hingoli"/>
    <s v="WIP"/>
    <s v="Na "/>
    <s v="NA "/>
    <s v="NA "/>
    <s v="NA"/>
    <s v="Santosh  Sadashiv Tejankar    "/>
    <s v="R/o Brahman Galli, Kalamnuri Tq. Kalamnuri, Dist. Hingoli"/>
    <s v="Hingoli"/>
    <s v="NA"/>
    <s v="WIP"/>
    <s v="NA "/>
    <s v="NA "/>
    <s v="NA"/>
    <s v="NA"/>
    <s v="NA"/>
    <s v="NA"/>
    <s v="NA"/>
    <s v="NA"/>
    <s v="NA"/>
    <s v="NA"/>
    <s v="NA"/>
    <s v="NA"/>
    <s v="NA "/>
    <s v="In vicinity of Sawarkheda Village, On Hingoli to Kalamnuri Road."/>
    <s v="Hingoli"/>
    <s v="WIP"/>
    <s v="0478/2025"/>
    <s v="Hingoli  Police Station"/>
    <s v="Hingoli"/>
    <s v="NA"/>
    <s v="WIP"/>
    <s v="NA "/>
    <s v="NA "/>
    <s v="NA"/>
    <s v="NA"/>
    <s v="NA "/>
    <s v="Pending"/>
    <m/>
  </r>
  <r>
    <n v="181"/>
    <n v="2025213881"/>
    <x v="2"/>
    <s v="MACT"/>
    <s v="R001-1184-SS-2025"/>
    <d v="2025-12-16T00:00:00"/>
    <x v="5"/>
    <x v="0"/>
    <x v="0"/>
    <d v="2026-01-27T00:00:00"/>
    <n v="8"/>
    <s v="WT"/>
    <s v="Full Case"/>
    <s v="Open"/>
    <x v="1"/>
    <m/>
    <s v="Balika  Vitthal Hake     8459310873,9146134801"/>
    <s v="R/o  3. Patoda, Tq.Sengaon Dist. Hingoli_x000a_"/>
    <s v="Hingoli"/>
    <s v="WIP"/>
    <s v="Na "/>
    <s v="NA "/>
    <s v="NA "/>
    <s v="NA"/>
    <s v="Ankush Bajirao Gadade"/>
    <s v="R/o Chikhalagar, Tq Sengaon Dist-Hingoli."/>
    <s v="Hingoli"/>
    <s v="NA"/>
    <s v="WIP"/>
    <s v="NA "/>
    <s v="NA "/>
    <s v="NA"/>
    <s v="NA"/>
    <s v="NA"/>
    <s v="NA"/>
    <s v="NA"/>
    <s v="NA"/>
    <s v="NA"/>
    <s v="NA"/>
    <s v="NA"/>
    <s v="NA"/>
    <s v="NA "/>
    <s v="Near of Hatta Pati, on Yeldari to Sengaon Road."/>
    <s v="NA"/>
    <s v="WIP"/>
    <s v="0499/2025"/>
    <s v="Sengaon  Police Station"/>
    <s v="Hingoli"/>
    <s v="NA"/>
    <s v="WIP"/>
    <s v="NA "/>
    <s v="NA "/>
    <s v="NA"/>
    <s v="NA"/>
    <s v="NA "/>
    <s v="Pending"/>
    <m/>
  </r>
  <r>
    <n v="182"/>
    <n v="2025213869"/>
    <x v="2"/>
    <s v="MACT"/>
    <s v="R001-1185-SS-2025"/>
    <d v="2025-12-16T00:00:00"/>
    <x v="5"/>
    <x v="0"/>
    <x v="0"/>
    <d v="2026-01-27T00:00:00"/>
    <n v="8"/>
    <s v="WT"/>
    <s v="Full Case"/>
    <s v="Open"/>
    <x v="1"/>
    <m/>
    <s v="Keshavrao Digaji Solanke    8459178282"/>
    <s v="R/o Yelhegaon Solanke. Tq. Aundha Dist. Hingoli"/>
    <s v="Hingoli"/>
    <s v="WIP"/>
    <s v="Na "/>
    <s v="NA"/>
    <s v="NA "/>
    <s v="NA"/>
    <s v="Gajanan Narayanrao Solanke"/>
    <s v="R/o Yelhegaon Solanke Tq. Aunhda Dist. Hingoli."/>
    <s v="Hingoli"/>
    <s v="NA"/>
    <s v="WIP"/>
    <s v="NA "/>
    <s v="NA "/>
    <s v="NA"/>
    <s v="NA"/>
    <s v="NA"/>
    <s v="NA"/>
    <s v="NA"/>
    <s v="NA"/>
    <s v="NA"/>
    <s v="NA"/>
    <s v="NA"/>
    <s v="NA"/>
    <s v="NA "/>
    <s v="In vicinity Wagarwadi Village, On Parbhani to Hingoli Road."/>
    <s v="Hingoli"/>
    <s v="WIP"/>
    <s v="0011/2025"/>
    <s v="Aundha Police Station"/>
    <s v="NA"/>
    <s v="NA"/>
    <s v="WIP"/>
    <s v="NA "/>
    <s v="NA "/>
    <s v="NA"/>
    <s v="NA"/>
    <s v="NA "/>
    <s v="Pending"/>
    <m/>
  </r>
  <r>
    <n v="183"/>
    <n v="2025213864"/>
    <x v="2"/>
    <s v="MACT"/>
    <s v="R001-1186-SS-2025"/>
    <d v="2025-12-16T00:00:00"/>
    <x v="5"/>
    <x v="0"/>
    <x v="0"/>
    <d v="2026-01-27T00:00:00"/>
    <n v="8"/>
    <s v="WT"/>
    <s v="Full Case"/>
    <s v="Open"/>
    <x v="1"/>
    <m/>
    <s v="Pallvi  Dinkar Ingle   8888152207"/>
    <s v="R/o R/o. Karegaon Tq. Dist. Hingoli. Now R/o.Sirsam Tq.Dist. Hingoli "/>
    <s v="Hingoli"/>
    <s v="WIP"/>
    <s v="Na "/>
    <s v="NA"/>
    <s v="NA "/>
    <s v="NA"/>
    <s v="Kedarling  Pralhad Gawali"/>
    <s v="R/o At Hanuman Mandir Jawal Sirsam Bk Post-Sirsam Tq. Dist. Hingoli-431513"/>
    <s v="Hingoli"/>
    <s v="NA"/>
    <s v="WIP"/>
    <s v="NA "/>
    <s v="NA "/>
    <s v="NA"/>
    <s v="NA"/>
    <s v="NA"/>
    <s v="NA"/>
    <s v="NA"/>
    <s v="NA"/>
    <s v="NA"/>
    <s v="NA"/>
    <s v="NA"/>
    <s v="NA"/>
    <s v="NA "/>
    <s v="At Bhabhulgaon on Patur to Vadegaon Road."/>
    <s v="NA "/>
    <s v="WIP"/>
    <s v="0029/2025"/>
    <s v="Patur Police Station"/>
    <s v="NA"/>
    <s v="NA"/>
    <s v="WIP"/>
    <s v="NA "/>
    <s v="NA "/>
    <s v="NA"/>
    <s v="NA"/>
    <s v="NA "/>
    <s v="Pending"/>
    <m/>
  </r>
  <r>
    <n v="184"/>
    <n v="2025213860"/>
    <x v="2"/>
    <s v="MACT"/>
    <s v="R001-1187-SS-2025"/>
    <d v="2025-12-16T00:00:00"/>
    <x v="5"/>
    <x v="0"/>
    <x v="0"/>
    <d v="2026-01-27T00:00:00"/>
    <n v="8"/>
    <s v="WT"/>
    <s v="Full Case"/>
    <s v="Open"/>
    <x v="1"/>
    <m/>
    <s v="Santosh  Yadav Burkule    9545880402"/>
    <s v="R/o  Morvad Tq. Kalmnuri Dist-Hingoli."/>
    <s v="Hingoli"/>
    <s v="WIP"/>
    <s v="Na "/>
    <s v="NA"/>
    <s v="NA "/>
    <s v="NA"/>
    <s v="Raju  Panditrao Londhe"/>
    <s v="R/o   Matha Tq. Aundha (Na) Dist- Hiingoli._x000a_"/>
    <s v="Hingoli"/>
    <s v="NA"/>
    <s v="WIP"/>
    <s v="NA "/>
    <s v="NA "/>
    <s v="NA"/>
    <s v="NA"/>
    <s v="NA"/>
    <s v="NA"/>
    <s v="NA"/>
    <s v="NA"/>
    <s v="NA"/>
    <s v="NA"/>
    <s v="NA"/>
    <s v="NA"/>
    <s v="NA "/>
    <s v="Near Sawna Vaychalpimpri Shivar on Kanhergaon to Goregaon road."/>
    <s v="NA"/>
    <s v="WIP"/>
    <s v="0260/2022"/>
    <s v="Goregaon  Police Station"/>
    <s v="Hingoli"/>
    <s v="NA"/>
    <s v="WIP"/>
    <s v="NA "/>
    <s v="NA "/>
    <s v="NA"/>
    <s v="NA"/>
    <s v="NA "/>
    <s v="Pending"/>
    <m/>
  </r>
  <r>
    <n v="185"/>
    <n v="2025213854"/>
    <x v="2"/>
    <s v="MACT"/>
    <s v="R001-1188-SS-2025"/>
    <d v="2025-12-16T00:00:00"/>
    <x v="5"/>
    <x v="0"/>
    <x v="0"/>
    <d v="2026-01-27T00:00:00"/>
    <n v="8"/>
    <s v="WT"/>
    <s v="Full Case"/>
    <s v="Open"/>
    <x v="1"/>
    <m/>
    <s v="Radhabai  Prakash Metkar   9922510119."/>
    <s v="R/o Bramhanwada, Tq. Sengaon, Dist.- Hingoli."/>
    <s v="Hingoli"/>
    <s v="WIP"/>
    <s v="Na "/>
    <s v="NA"/>
    <s v="NA "/>
    <s v="NA"/>
    <s v="Santosh  Bhagwan Shelake"/>
    <s v="R/o  Ghota Devi, Tq. Dist- Hingoli."/>
    <s v="Hingoli"/>
    <s v="NA"/>
    <s v="WIP"/>
    <s v="NA "/>
    <s v="NA "/>
    <s v="NA"/>
    <s v="NA"/>
    <s v="NA"/>
    <s v="NA"/>
    <s v="NA"/>
    <s v="NA"/>
    <s v="NA"/>
    <s v="NA"/>
    <s v="NA"/>
    <s v="NA"/>
    <s v="NA "/>
    <s v="Near Falegaon Fata, On Hingoli to Washim Road."/>
    <s v="Hingoli"/>
    <s v="WIP"/>
    <s v="0038/2023"/>
    <s v="Hingoli Rural Police Station"/>
    <s v="Hingoli"/>
    <s v="NA"/>
    <s v="WIP"/>
    <s v="NA "/>
    <s v="NA "/>
    <s v="NA"/>
    <s v="NA"/>
    <s v="NA "/>
    <s v="Pending"/>
    <m/>
  </r>
  <r>
    <n v="186"/>
    <n v="2025213836"/>
    <x v="2"/>
    <s v="MACT"/>
    <s v="R001-1189-SS-2025"/>
    <d v="2025-12-16T00:00:00"/>
    <x v="5"/>
    <x v="0"/>
    <x v="0"/>
    <d v="2026-01-27T00:00:00"/>
    <n v="8"/>
    <s v="WT"/>
    <s v="Full Case"/>
    <s v="Open"/>
    <x v="1"/>
    <m/>
    <s v="Govind Gangadhar Bhosale   9049828230"/>
    <s v="R/o.Amba Chondi, Tq.Basmat. Dist. Hingoli."/>
    <s v="Hingoli"/>
    <s v="WIP"/>
    <s v="Na "/>
    <s v="NA"/>
    <s v="NA "/>
    <s v="NA"/>
    <s v="Chandrakant Satwaji Kamble"/>
    <s v="R/o.Chondi Amba Tq. Basmat. Dist. Hingoli"/>
    <s v="Hingoli"/>
    <s v="NA"/>
    <s v="WIP"/>
    <s v="NA "/>
    <s v="NA "/>
    <s v="NA"/>
    <s v="NA"/>
    <s v="NA"/>
    <s v="NA"/>
    <s v="NA"/>
    <s v="NA"/>
    <s v="NA"/>
    <s v="NA"/>
    <s v="NA"/>
    <s v="NA"/>
    <s v="NA "/>
    <s v="In vicinity of Amba Village near Amba Fata on Aundha to Basmat Road."/>
    <s v="NA"/>
    <s v="WIP"/>
    <s v="0325/2025"/>
    <s v="Kurunda Police station"/>
    <s v="Hingoli"/>
    <s v="NA"/>
    <s v="WIP"/>
    <s v="NA "/>
    <s v="NA "/>
    <s v="NA"/>
    <s v="NA"/>
    <s v="NA "/>
    <s v="Pending"/>
    <m/>
  </r>
  <r>
    <n v="187"/>
    <n v="2025213495"/>
    <x v="2"/>
    <s v="MACT"/>
    <s v="R001-1190-SS-2025"/>
    <d v="2025-12-17T00:00:00"/>
    <x v="5"/>
    <x v="0"/>
    <x v="0"/>
    <d v="2026-01-28T00:00:00"/>
    <n v="7"/>
    <s v="WT"/>
    <s v="Full Case"/>
    <s v="Open"/>
    <x v="4"/>
    <m/>
    <s v="SHALU SAROJ  VIKASH PRASAD"/>
    <s v="R/o Village Mariyani,_x000a_Post: Gangehra, Tehsil. Gulab Ganj,Dist Raebareli,_x000a_Utter Pradesh - 813101"/>
    <s v="Utter Pradesh"/>
    <s v="NI"/>
    <s v="Na "/>
    <s v="NA"/>
    <s v="NA "/>
    <s v="NA"/>
    <s v="SANJAY DHULA HIRAVE"/>
    <s v="R/o LIG A3F, 23 Sector No.3_x000a_Kalamboli,Navi Mumbai -410218."/>
    <s v="Mumbai"/>
    <s v="NA"/>
    <s v="WIP"/>
    <s v="RAJU  DASAHRATH RAJGE"/>
    <s v="R/o Village Arphal, Post Vaduth, Tal &amp; Dist Satara 415011"/>
    <s v="Satara"/>
    <s v="NA"/>
    <s v="NA"/>
    <s v="NA"/>
    <s v="NA"/>
    <s v="NA"/>
    <s v="NA"/>
    <s v="NA"/>
    <s v="NA"/>
    <s v="NA"/>
    <s v="NA "/>
    <s v="In front of India Glass Solution pvt Ltd, Pune."/>
    <s v="Pune"/>
    <s v="NI"/>
    <s v="1104/2024"/>
    <s v="Kondwa Police Station"/>
    <s v="Pune"/>
    <s v="NA"/>
    <s v="NI"/>
    <s v="NA "/>
    <s v="NA "/>
    <s v="NA"/>
    <s v="NA"/>
    <s v="NA "/>
    <s v="Pending"/>
    <m/>
  </r>
  <r>
    <n v="188"/>
    <n v="2025213494"/>
    <x v="2"/>
    <s v="MACT"/>
    <s v="R001-1191-SS-2025"/>
    <d v="2025-12-17T00:00:00"/>
    <x v="5"/>
    <x v="0"/>
    <x v="0"/>
    <s v=""/>
    <n v="7"/>
    <s v="WT"/>
    <s v="Connected Case"/>
    <s v="Open"/>
    <x v="4"/>
    <s v="For Claimant Part Only. (Connected Case - 2025213495)"/>
    <s v="Asha Devi Pawankumar"/>
    <s v="R/o Village Paksrava,dist Raebarli,Uttar pradeshi-229127"/>
    <s v="Utter Pradesh"/>
    <s v="NI"/>
    <s v="Na "/>
    <s v="NA"/>
    <s v="NA "/>
    <s v="NA"/>
    <s v="NA "/>
    <s v="NA "/>
    <s v="NA "/>
    <s v="NA "/>
    <s v="NA "/>
    <s v="NA "/>
    <s v="NA "/>
    <s v="NA "/>
    <s v="NA "/>
    <s v="NA"/>
    <s v="NA"/>
    <s v="NA"/>
    <s v="NA"/>
    <s v="NA"/>
    <s v="NA"/>
    <s v="NA"/>
    <s v="NA"/>
    <s v="NA"/>
    <s v="NA"/>
    <s v="NA"/>
    <s v="NA"/>
    <s v="NA"/>
    <s v="NA"/>
    <s v="NA"/>
    <s v="NA"/>
    <s v="NA"/>
    <s v="NA "/>
    <s v="NA "/>
    <s v="NA"/>
    <s v="NA"/>
    <s v="NA "/>
    <s v="Pending"/>
    <m/>
  </r>
  <r>
    <n v="189"/>
    <n v="2025213493"/>
    <x v="2"/>
    <s v="MACT"/>
    <s v="R001-1192-SS-2025"/>
    <d v="2025-12-17T00:00:00"/>
    <x v="5"/>
    <x v="0"/>
    <x v="0"/>
    <s v=""/>
    <n v="7"/>
    <s v="WT"/>
    <s v="Connected Case"/>
    <s v="Open"/>
    <x v="4"/>
    <s v="For Claimant Part Only. (Connected Case - 2025213495)"/>
    <s v="Premadevi Dharmendra Kumar"/>
    <s v="R/o Village Paksrava,dist Amethi Uttar Pradeshi-229127"/>
    <s v="Utter Pradesh"/>
    <s v="NI"/>
    <s v="Na "/>
    <s v="NA"/>
    <s v="NA "/>
    <s v="NA"/>
    <s v="NA "/>
    <s v="NA "/>
    <s v="NA "/>
    <s v="NA "/>
    <s v="NA "/>
    <s v="NA "/>
    <s v="NA "/>
    <s v="NA "/>
    <s v="NA "/>
    <s v="NA"/>
    <s v="NA"/>
    <s v="NA"/>
    <s v="NA"/>
    <s v="NA"/>
    <s v="NA"/>
    <s v="NA"/>
    <s v="NA"/>
    <s v="NA"/>
    <s v="NA"/>
    <s v="NA"/>
    <s v="NA"/>
    <s v="NA"/>
    <s v="NA"/>
    <s v="NA"/>
    <s v="NA"/>
    <s v="NA"/>
    <s v="NA "/>
    <s v="NA "/>
    <s v="NA"/>
    <s v="NA"/>
    <s v="NA "/>
    <s v="Pending"/>
    <m/>
  </r>
  <r>
    <n v="190"/>
    <n v="2025213492"/>
    <x v="2"/>
    <s v="MACT"/>
    <s v="R001-1193-SS-2025"/>
    <d v="2025-12-17T00:00:00"/>
    <x v="5"/>
    <x v="0"/>
    <x v="0"/>
    <s v=""/>
    <n v="7"/>
    <s v="WT"/>
    <s v="Connected Case"/>
    <s v="Open"/>
    <x v="1"/>
    <s v="For Claimant Part Only. (Connected Case - 2025213495)"/>
    <s v="Arti Amit Kumar"/>
    <s v="R/o Village Prahladpur post; Mustafabad,dist Raebareli Uttar Pradesh-229404"/>
    <s v="Utter Pradesh"/>
    <s v="WIP"/>
    <s v="Na "/>
    <s v="NA"/>
    <s v="NA "/>
    <s v="NA"/>
    <s v="NA "/>
    <s v="NA "/>
    <s v="NA "/>
    <s v="NA "/>
    <s v="WIP"/>
    <s v="NA "/>
    <s v="NA "/>
    <s v="NA "/>
    <s v="NA"/>
    <s v="NA"/>
    <s v="NA"/>
    <s v="NA"/>
    <s v="NA"/>
    <s v="NA"/>
    <s v="NA"/>
    <s v="NA"/>
    <s v="NA"/>
    <s v="NA"/>
    <s v="NA"/>
    <s v="NA"/>
    <s v="WIP"/>
    <s v="NA"/>
    <s v="NA"/>
    <s v="NA"/>
    <s v="NA"/>
    <s v="NI"/>
    <s v="NA "/>
    <s v="NA "/>
    <s v="NA"/>
    <s v="NA"/>
    <s v="NA "/>
    <s v="Pending"/>
    <m/>
  </r>
  <r>
    <n v="191"/>
    <n v="2024208871"/>
    <x v="2"/>
    <s v="MACT"/>
    <s v="R001-1194-SS-2025"/>
    <d v="2024-08-13T00:00:00"/>
    <x v="9"/>
    <x v="29"/>
    <x v="6"/>
    <d v="2024-09-24T00:00:00"/>
    <n v="126"/>
    <s v="BT"/>
    <s v="Full Case"/>
    <s v="Dispatch"/>
    <x v="0"/>
    <m/>
    <s v="CHANDRASHEKHAR ARJUN SURVASE"/>
    <s v="South Kasba, South Solapur. Curent Resident - Adarsh Nagar, Vijapur."/>
    <s v="Solapur"/>
    <s v="Completed"/>
    <s v="Na "/>
    <s v="NA"/>
    <s v="NA "/>
    <s v="NA"/>
    <s v="Shiv Om Travels"/>
    <s v="At Po. Pimpari, Dis. Solapur, Maharastra"/>
    <s v="Solapur"/>
    <s v="NA"/>
    <s v="Completed"/>
    <s v="NA "/>
    <s v="NA "/>
    <s v="NA "/>
    <s v="NA "/>
    <s v="NA"/>
    <s v="NA"/>
    <s v="NA"/>
    <s v="NA"/>
    <s v="NA"/>
    <s v="NA"/>
    <s v="NA"/>
    <s v="NA"/>
    <s v="NA"/>
    <s v="Coming from Shindhe to Lacky Chowk, Passing Navi Peth, Near Chandani Saree center, Solapur"/>
    <s v="Solapur"/>
    <s v="Completed"/>
    <s v="0039/2024"/>
    <s v="Faujdar Chavdi Po. St."/>
    <s v="Solapur"/>
    <s v="NA"/>
    <s v="WIP"/>
    <s v="NA "/>
    <s v="NA "/>
    <s v="NA"/>
    <s v="NA"/>
    <s v="NA "/>
    <s v="Pending"/>
    <m/>
  </r>
  <r>
    <n v="192"/>
    <n v="2024210062"/>
    <x v="2"/>
    <s v="MACT"/>
    <s v="R001-1195-SS-2025"/>
    <d v="2024-10-16T00:00:00"/>
    <x v="10"/>
    <x v="30"/>
    <x v="6"/>
    <d v="2024-11-27T00:00:00"/>
    <n v="58"/>
    <s v="BT"/>
    <s v="Full Case"/>
    <s v="Dispatch"/>
    <x v="0"/>
    <m/>
    <s v="SHRI SARJERAV GULAB DEVKATE"/>
    <s v="R/O. Madanwadi, Tq - Indore. Pune. OR Tal - Hindalga, Dis - Belgavi. "/>
    <s v="Belgavi"/>
    <s v="Completed"/>
    <s v="Na "/>
    <s v="NA"/>
    <s v="NA "/>
    <s v="NA"/>
    <s v="PRATIK VINAYAK MANE"/>
    <s v="R/O, Mane Niwas, Rajegaon, Tq - Daund, Pune - 413105"/>
    <s v="Pune"/>
    <s v="NA"/>
    <s v="Completed"/>
    <s v="Rushikesh Bharat Dalavi"/>
    <s v="Sai Colony Dakshin Laxmi Nagar, Nr. Water Tank, Moshi. Pune - 412105."/>
    <s v="Pune"/>
    <s v="Completed"/>
    <s v="NA"/>
    <s v="NA"/>
    <s v="NA"/>
    <s v="NA"/>
    <s v="NA"/>
    <s v="NA"/>
    <s v="NA"/>
    <s v="NA"/>
    <s v="NA"/>
    <s v="Near, Hanuman Mandir, Mauje Madanwadi, Tq - Indapur, Dist Pune "/>
    <s v="Pune"/>
    <s v="Completed"/>
    <s v="225/2024"/>
    <s v="Bhigwan Po. St. Indapur"/>
    <s v="Indapur"/>
    <s v="NA"/>
    <s v="WIP"/>
    <s v="NA "/>
    <s v="NA "/>
    <s v="NA"/>
    <s v="NA"/>
    <s v="NA "/>
    <s v="Pending"/>
    <m/>
  </r>
  <r>
    <n v="193"/>
    <n v="2025200164"/>
    <x v="2"/>
    <s v="MACT"/>
    <s v="R001-1196-SS-2025"/>
    <d v="2025-01-07T00:00:00"/>
    <x v="8"/>
    <x v="31"/>
    <x v="7"/>
    <d v="2025-02-18T00:00:00"/>
    <n v="17"/>
    <s v="WT"/>
    <s v="Full Case"/>
    <s v="Open"/>
    <x v="2"/>
    <m/>
    <s v="Bhausaheb Kushinath Karhale"/>
    <s v="R/O, Shiregaon, Tal-Gangapur, Dis-Sambhajinagar."/>
    <s v="Sambhaji Nagar"/>
    <s v="Completed"/>
    <s v="Na "/>
    <s v="NA"/>
    <s v="NA "/>
    <s v="NA"/>
    <s v="Sattar Musa Pathan"/>
    <s v="R/O, Bhalgaon, Tal-Gangapur, Dis-Sambhajinagar."/>
    <s v="Sambhaji Nagar"/>
    <s v="NA"/>
    <s v="Completed"/>
    <s v="Namdeo Suryabhan Gat"/>
    <s v="R/O, Sanjarpur, Tal-Gangapur, Dis-Sambhajinagar."/>
    <s v="Sambhaji Nagar"/>
    <s v="Completed"/>
    <s v="NA"/>
    <s v="NA"/>
    <s v="NA"/>
    <s v="NA"/>
    <s v="NA"/>
    <s v="NA"/>
    <s v="NA"/>
    <s v="NA"/>
    <s v="NA"/>
    <s v="Gangapur Nagarpalica Garbege Depo, On Lasur - Gangapur road, Tal - Gangapur, Dis - Sambhajinagar."/>
    <s v="Sambhaji Nagar"/>
    <s v="Completed"/>
    <s v="197/2023"/>
    <s v="Gangapur Po. St."/>
    <s v="Sambhajinagar"/>
    <s v="NA"/>
    <s v="Not Initiated"/>
    <s v="NA "/>
    <s v="NA "/>
    <s v="NA"/>
    <s v="NA"/>
    <s v="NA "/>
    <s v="Pending"/>
    <m/>
  </r>
  <r>
    <n v="194"/>
    <n v="2024216007"/>
    <x v="2"/>
    <s v="MACT"/>
    <s v="R001-1197-SS-2025"/>
    <d v="2025-01-31T00:00:00"/>
    <x v="8"/>
    <x v="32"/>
    <x v="8"/>
    <d v="2025-03-14T00:00:00"/>
    <n v="210"/>
    <s v="BT"/>
    <s v="Full Case"/>
    <s v="Open"/>
    <x v="2"/>
    <m/>
    <s v="Mahendra Bhausaheb Gursale"/>
    <s v="R/at -22 Market Yard Satara City Dist, Satara."/>
    <s v="Satara"/>
    <s v="Completed"/>
    <s v="Na "/>
    <s v="NA"/>
    <s v="NA "/>
    <s v="NA"/>
    <s v="Prahalad Tukaram Jadhav"/>
    <s v="R/O, Bhugaon, Tq – Mulshi, Dis – Pune."/>
    <s v="Pune"/>
    <s v="NA"/>
    <s v="Completed"/>
    <s v="Prahalad Tukaram Jadhav"/>
    <s v="R/O, Bhugaon, Tq – Mulshi, Dis – Pune."/>
    <s v="Pune"/>
    <s v="Completed"/>
    <s v="NA"/>
    <s v="NA"/>
    <s v="NA"/>
    <s v="NA"/>
    <s v="NA"/>
    <s v="NA"/>
    <s v="NA"/>
    <s v="NA"/>
    <s v="NA"/>
    <s v="On Pune- Bangalore Highway"/>
    <m/>
    <s v="WIP"/>
    <s v="73/08"/>
    <s v="Satara Police Station"/>
    <s v="Satara"/>
    <s v="NA"/>
    <s v="WIP"/>
    <s v="NA "/>
    <s v="NA "/>
    <s v="NA"/>
    <s v="NA"/>
    <s v="NA "/>
    <s v="Pending"/>
    <m/>
  </r>
  <r>
    <n v="195"/>
    <n v="2018212712"/>
    <x v="2"/>
    <s v="MACT"/>
    <s v="R001-1198-SS-2025"/>
    <d v="2025-03-17T00:00:00"/>
    <x v="11"/>
    <x v="33"/>
    <x v="9"/>
    <m/>
    <n v="91"/>
    <s v="BT"/>
    <s v="Partial Case"/>
    <s v="STOP"/>
    <x v="2"/>
    <m/>
    <s v="NA "/>
    <s v="NA"/>
    <s v="NA"/>
    <s v="NA"/>
    <s v="Na "/>
    <s v="NA "/>
    <s v="NA "/>
    <s v="NA"/>
    <s v="NA "/>
    <s v="NA"/>
    <s v="NA"/>
    <s v="NA"/>
    <s v="NA"/>
    <s v="NA"/>
    <s v="NA "/>
    <s v="NA"/>
    <s v="NA"/>
    <s v="NA"/>
    <s v="NA"/>
    <s v="NA"/>
    <s v="NA"/>
    <s v="NA"/>
    <s v="NA"/>
    <s v="NA"/>
    <s v="NA"/>
    <s v="NA"/>
    <s v="NA "/>
    <s v="NA"/>
    <s v="NA"/>
    <s v="0329/2017"/>
    <s v="Shive Gav Police sation"/>
    <s v="Sambhaji Nagar"/>
    <s v="NA"/>
    <s v="Completed"/>
    <s v="NA "/>
    <s v="NA "/>
    <s v="NA"/>
    <s v="NA"/>
    <s v="NA "/>
    <s v="Pending"/>
    <m/>
  </r>
  <r>
    <n v="196"/>
    <s v="MTP-N-2526-005257"/>
    <x v="1"/>
    <s v="MACT"/>
    <s v="F001-1199-SS-2025"/>
    <d v="2025-12-19T00:00:00"/>
    <x v="5"/>
    <x v="0"/>
    <x v="0"/>
    <d v="2026-01-30T00:00:00"/>
    <n v="5"/>
    <s v="WT"/>
    <s v="Full Case"/>
    <s v="Open"/>
    <x v="4"/>
    <m/>
    <s v="Shirin Late Javid Shaikh"/>
    <s v="R/o Ghar No.6 Telangi Pachcha Peth Solapur north daji peth solapur.                New R/o Village harsur Tq.&amp; dist.Kalaburagi"/>
    <s v="Kalaburagi"/>
    <s v="NI"/>
    <s v="Na "/>
    <s v="NA "/>
    <s v="NA "/>
    <s v="NI"/>
    <s v="Samir Patel Bashir Patel"/>
    <s v="R/o Bld  No 2/60 , Modi Khana,Solapur North-413003"/>
    <s v="Solapur"/>
    <s v="NA"/>
    <s v="NI"/>
    <s v="NA"/>
    <s v="NA "/>
    <s v="NA"/>
    <s v="NA"/>
    <s v="Yes"/>
    <s v="NI"/>
    <s v="yes"/>
    <s v="NI"/>
    <s v="NA"/>
    <s v="NA"/>
    <s v="NA"/>
    <s v="NA"/>
    <s v="NA"/>
    <s v="Service road of solapur Hyderabad Highway,in front of khan chacha hotel,dist.Solapur"/>
    <s v="Solapur"/>
    <s v="NI"/>
    <s v="660/2025"/>
    <s v="Jodbhavi Police station"/>
    <s v="Solapur"/>
    <s v="NA"/>
    <s v="NI"/>
    <s v="Duty doctors of civil hospital "/>
    <s v="NA "/>
    <s v="Solapur"/>
    <s v="NI"/>
    <s v="NA "/>
    <s v="Pending"/>
    <m/>
  </r>
  <r>
    <n v="197"/>
    <n v="2025214146"/>
    <x v="2"/>
    <s v="MACT"/>
    <s v="R001-1200-SS-2025"/>
    <d v="2025-12-19T00:00:00"/>
    <x v="5"/>
    <x v="0"/>
    <x v="0"/>
    <d v="2026-01-30T00:00:00"/>
    <n v="5"/>
    <s v="WT"/>
    <s v="Medical Verification"/>
    <s v="Open"/>
    <x v="4"/>
    <s v="(Connected Case-2025213611)                                   For MLC or Wound certificate."/>
    <s v="Kiran Balaram Patil"/>
    <s v="NA"/>
    <s v="NA"/>
    <s v="NA"/>
    <s v="Na "/>
    <s v="NA "/>
    <s v="NA "/>
    <s v="NA"/>
    <s v="NA "/>
    <s v="NA"/>
    <s v="NA"/>
    <s v="NA"/>
    <s v="NA"/>
    <s v="NA"/>
    <s v="NA "/>
    <s v="NA"/>
    <s v="NA"/>
    <s v="NA"/>
    <s v="NA"/>
    <s v="NA"/>
    <s v="NA"/>
    <s v="NA"/>
    <s v="NA"/>
    <s v="NA"/>
    <s v="NA"/>
    <s v="NA "/>
    <s v="NA "/>
    <s v="NA"/>
    <s v="NA"/>
    <s v="NA"/>
    <s v="NA"/>
    <s v="NA"/>
    <s v="NA"/>
    <s v="NA"/>
    <s v="1)CPR Hospital  Kolhapur                                            2) Smt-Kashibai Navale HospitalPune &amp; Other Private doctors at pune &amp; Belgaum"/>
    <s v="1)Kolhapur                                                                      2) Pune"/>
    <s v="NA"/>
    <s v="NA"/>
    <s v="NA "/>
    <s v="Pending"/>
    <m/>
  </r>
  <r>
    <n v="198"/>
    <s v="MTP-N-2526-005022"/>
    <x v="1"/>
    <s v="MACT"/>
    <s v="F001-1201-SS-2025"/>
    <d v="2025-12-22T00:00:00"/>
    <x v="5"/>
    <x v="0"/>
    <x v="0"/>
    <d v="2026-01-12T00:00:00"/>
    <n v="2"/>
    <s v="WT"/>
    <s v="Partial Case"/>
    <s v="Open"/>
    <x v="4"/>
    <s v="Accept Claimant "/>
    <s v="NA"/>
    <s v="NA"/>
    <s v="NA"/>
    <s v="NA"/>
    <s v="NA"/>
    <s v="NA"/>
    <s v="NA"/>
    <s v="NA"/>
    <s v="Mahendra Sudam Parbhane"/>
    <s v="Wadgaon Rasai, Shirur, Pune"/>
    <s v="Pune"/>
    <s v="NA"/>
    <s v="NI"/>
    <s v="Yogesh Balasaheb Shelar"/>
    <s v="Wadgaon Rasai, Shirur, Pune, Maharashtra"/>
    <s v="Pune"/>
    <s v="NI"/>
    <s v="NA"/>
    <s v="NA"/>
    <s v="NA"/>
    <s v="NA"/>
    <s v="NA"/>
    <s v="NA"/>
    <s v="NA"/>
    <s v="NA"/>
    <s v="NA"/>
    <s v="Kashti Rajmarg, Helowadi, near Limpan Village, Shrigonda, Maharashtra"/>
    <s v="Ahmednagar"/>
    <s v="NI"/>
    <s v="0467/2023"/>
    <s v="Shrigonda Police Station"/>
    <s v="Ahmednagar"/>
    <s v="NA"/>
    <s v="NA"/>
    <s v="NA"/>
    <s v="NA"/>
    <s v="NA"/>
    <s v="NA"/>
    <s v="NA"/>
    <s v="NA"/>
    <m/>
  </r>
  <r>
    <n v="199"/>
    <n v="2757549"/>
    <x v="3"/>
    <s v="MACT"/>
    <s v="S002-1202-SS-2025"/>
    <d v="2025-12-22T00:00:00"/>
    <x v="5"/>
    <x v="0"/>
    <x v="0"/>
    <d v="2026-02-02T00:00:00"/>
    <n v="2"/>
    <s v="WT"/>
    <s v="Full Case"/>
    <s v="Open"/>
    <x v="4"/>
    <s v="Claimant/Insured/Driver/Spot/CS"/>
    <s v="Nikita Shivaji Pole"/>
    <s v="Pokharni Walke, Tq. Gangakhed, Dist. Parbhani"/>
    <s v="Parbhani"/>
    <s v="NI"/>
    <s v="NA"/>
    <s v="NA"/>
    <s v="NA"/>
    <s v="NA"/>
    <s v="Sanjay Dhondiba Ufalkar"/>
    <s v="Idgah Road, Balbhim Nagar, Peth Beed"/>
    <s v="Beed"/>
    <s v="NA"/>
    <s v="NI"/>
    <s v="Santosh Prakash Palimkar"/>
    <s v="Aditya Residency, Bhakti Construction Road, Beed"/>
    <s v="Beed"/>
    <s v="NI"/>
    <s v="NA"/>
    <s v="NA"/>
    <s v="NA"/>
    <s v="NA"/>
    <s v="NA"/>
    <s v="NA"/>
    <s v="NA"/>
    <s v="NA"/>
    <s v="NA"/>
    <s v="Dharmapuri to Parali road, Helamb shivar, Tq. Parali, Dist. Beed"/>
    <s v="Beed"/>
    <s v="NI"/>
    <s v="288/2024"/>
    <s v="Parali Rural"/>
    <s v="Beed"/>
    <s v="NA"/>
    <s v="NI"/>
    <s v="NA"/>
    <s v="NA"/>
    <s v="NA"/>
    <s v="NA"/>
    <s v="NA"/>
    <s v="NA"/>
    <m/>
  </r>
  <r>
    <n v="200"/>
    <n v="2025214269"/>
    <x v="2"/>
    <s v="MACT"/>
    <s v="R001-1203-SS-2025"/>
    <d v="2025-12-22T00:00:00"/>
    <x v="5"/>
    <x v="0"/>
    <x v="0"/>
    <d v="2026-02-02T00:00:00"/>
    <n v="2"/>
    <s v="WT"/>
    <s v="Full Case"/>
    <s v="Open"/>
    <x v="4"/>
    <s v="Claimant/Insured/Spot/CS"/>
    <s v="Datta Sopan Musale"/>
    <s v="Brahmsingh Nagar, near Nandimaharaj Mandir, Nanded"/>
    <s v="Nanded"/>
    <s v="NI"/>
    <s v="NA"/>
    <s v="NA"/>
    <s v="NA"/>
    <s v="NA"/>
    <s v="Rahul Shirish Munde"/>
    <s v="House No.176, Hiwra, Taluka Kalamnuri, District Hingoli"/>
    <s v="Hingoli"/>
    <s v="NA"/>
    <s v="NI"/>
    <s v="NA"/>
    <s v="NA"/>
    <s v="NA"/>
    <s v="NA"/>
    <s v="NA"/>
    <s v="NA"/>
    <s v="NA"/>
    <s v="NA"/>
    <s v="NA"/>
    <s v="NA"/>
    <s v="NA"/>
    <s v="NA"/>
    <s v="NA"/>
    <s v="Mata Gujri Chowk – Namaskar Chowk, Nanded"/>
    <s v="Nanded"/>
    <s v="NI"/>
    <s v="311/2025"/>
    <s v="Airport Police Station, Nanded"/>
    <s v="Nanded"/>
    <s v="NA"/>
    <s v="NA"/>
    <s v="NA"/>
    <s v="NA"/>
    <s v="NA"/>
    <s v="NA"/>
    <s v="NA"/>
    <s v="NA"/>
    <m/>
  </r>
  <r>
    <n v="201"/>
    <n v="2025214177"/>
    <x v="2"/>
    <s v="MACT"/>
    <s v="R001-1204-SS-2025"/>
    <d v="2025-12-22T00:00:00"/>
    <x v="5"/>
    <x v="0"/>
    <x v="0"/>
    <d v="2026-02-02T00:00:00"/>
    <n v="2"/>
    <s v="WT"/>
    <s v="Full Case"/>
    <s v="Open"/>
    <x v="4"/>
    <s v="Claimant/Insured/Driver/Spot/CS"/>
    <s v="Savita Raju Lokhande"/>
    <s v="Lokhande Vasti, Devdaithavan, Tal. Shrigonda, Dist. Ahmednagar"/>
    <s v="Ahmednagar"/>
    <s v="NI"/>
    <s v="NA"/>
    <s v="NA"/>
    <s v="NA"/>
    <s v="NA"/>
    <s v="Ajay Sitaraam Jadhav"/>
    <s v="Ekta Nagar, Sillod, Taluka Sillod, District Chhatrapati Sambhajinagar , Maharashtra"/>
    <s v="Sambhajinagar "/>
    <s v="NA"/>
    <s v="NI"/>
    <s v="Govind Sanjay Jadhav"/>
    <s v="Ekta Nagar, Sillod, Taluka Sillod, District Chhatrapati Sambhajinagar , Maharashtra"/>
    <s v="Sambhajinagar "/>
    <s v="NA"/>
    <s v="NA"/>
    <s v="NA"/>
    <s v="NA"/>
    <s v="NA"/>
    <s v="NA"/>
    <s v="NA"/>
    <s v="NA"/>
    <s v="NA"/>
    <s v="NA"/>
    <s v="Shrigonda-Shirur Road, Devdaithavan, near Kauthale Vasti"/>
    <s v="Ahmednagar"/>
    <s v="NI"/>
    <s v="286/2025"/>
    <s v="Belwandi, Tal. Shrigonda, Dist. Ahmednagar"/>
    <s v="Ahmednagar"/>
    <s v="NA"/>
    <s v="NA"/>
    <s v="NA"/>
    <s v="NA"/>
    <s v="NA"/>
    <s v="NA"/>
    <s v="NA"/>
    <s v="Pending"/>
    <m/>
  </r>
  <r>
    <n v="202"/>
    <n v="2025214105"/>
    <x v="2"/>
    <s v="MACT"/>
    <s v="R001-1205-SS-2025"/>
    <d v="2025-12-22T00:00:00"/>
    <x v="5"/>
    <x v="0"/>
    <x v="0"/>
    <d v="2026-02-02T00:00:00"/>
    <n v="0"/>
    <s v="WT"/>
    <s v="Full Case"/>
    <s v="Open"/>
    <x v="4"/>
    <s v="Claimant/Insured/Spot/CS"/>
    <s v="Kamalaji Pralhadrao Haran"/>
    <s v="Sawarkheda, Taluka Hingoli, District Hingoli, Maharashtra"/>
    <s v="Hingoli"/>
    <s v="NI"/>
    <s v="NA"/>
    <s v="NA"/>
    <s v="NA"/>
    <s v="NA"/>
    <s v="Gajanan Ganeshrao Solanke"/>
    <s v="Malwadi Surana Nagar, Nanded Bypass, Hingoli, District Hingoli – 431513"/>
    <s v="Hingoli"/>
    <s v="NA"/>
    <s v="NI"/>
    <s v="NA"/>
    <s v="NA"/>
    <s v="NA"/>
    <s v="NA"/>
    <s v="NA"/>
    <s v="NA"/>
    <s v="NA"/>
    <s v="NA"/>
    <s v="NA"/>
    <s v="NA"/>
    <s v="NA"/>
    <s v="NA"/>
    <s v="NA"/>
    <s v="Vicinity of Karwadi, ahead of Chaudhari Petrol Pump, Hingoli–Kalmanuri Road"/>
    <s v="Hingoli"/>
    <s v="NI"/>
    <s v="NA"/>
    <s v="P.S. Hingoli (Rural)"/>
    <s v="Hingoli"/>
    <s v="NA"/>
    <s v="NA"/>
    <s v="NA"/>
    <s v="NA"/>
    <s v="NA"/>
    <s v="NA"/>
    <s v="NA"/>
    <m/>
    <m/>
  </r>
  <r>
    <n v="203"/>
    <n v="2025213441"/>
    <x v="2"/>
    <s v="MACT"/>
    <s v="R001-1206-SS-2025"/>
    <d v="2025-12-22T00:00:00"/>
    <x v="5"/>
    <x v="0"/>
    <x v="0"/>
    <d v="2026-02-02T00:00:00"/>
    <n v="0"/>
    <s v="WT"/>
    <s v="Full Case"/>
    <s v="Open"/>
    <x v="4"/>
    <s v="Claimant/Insured/Spot/CS"/>
    <s v="Awez  Yusuf Khan Pathan"/>
    <s v="Azam Colony, Hingoli, Taluka Hingoli, District Hingoli"/>
    <s v=" Hingoli"/>
    <s v="NI"/>
    <s v="NA"/>
    <s v="NA"/>
    <s v="NA"/>
    <s v="NA"/>
    <s v="Shekh Mujid Shekh Musa"/>
    <s v="Kothalaj Road, Azam Colony, Hingoli, District Hingoli"/>
    <s v="Hingoli"/>
    <s v="NA"/>
    <s v="NI"/>
    <s v="NA"/>
    <s v="NA"/>
    <s v="NA"/>
    <s v="NA"/>
    <s v="NA"/>
    <s v="NA"/>
    <s v="NA"/>
    <s v="NA"/>
    <s v="NA"/>
    <s v="NA"/>
    <s v="NA"/>
    <s v="NA"/>
    <s v="NA"/>
    <s v="At Kayal’s Construction, Hingoli"/>
    <s v="Hingoli"/>
    <s v="NI"/>
    <s v="NA"/>
    <s v="P.S. Hingoli Town"/>
    <s v="Hingoli"/>
    <s v="NA"/>
    <s v="NA"/>
    <s v="NA"/>
    <s v="NA"/>
    <s v="NA"/>
    <s v="NA"/>
    <s v="NA"/>
    <m/>
    <m/>
  </r>
  <r>
    <n v="204"/>
    <n v="2025214020"/>
    <x v="2"/>
    <s v="MACT"/>
    <s v="R001-1207-SS-2025"/>
    <d v="2025-12-22T00:00:00"/>
    <x v="5"/>
    <x v="0"/>
    <x v="0"/>
    <d v="2026-02-02T00:00:00"/>
    <n v="0"/>
    <s v="WT"/>
    <s v="Full Case"/>
    <s v="Open"/>
    <x v="4"/>
    <s v="Claimant/Insured/Spot/CS"/>
    <s v="Maya Vilas Mogale"/>
    <s v="R/o Lohgaon, Tq Hingoli, Dist Hingoli."/>
    <s v="Hingoli"/>
    <s v="NI"/>
    <s v="NA"/>
    <s v="NA"/>
    <s v="NA"/>
    <s v="NA"/>
    <s v="Surajkumar Indarlal Jaiswal"/>
    <s v="At Po. Sawali Bk., Tq Aundha Nag, Dist Hingoli"/>
    <s v="Hingoli"/>
    <s v="NA"/>
    <s v="NI"/>
    <s v="NA"/>
    <s v="NA"/>
    <s v="NA"/>
    <s v="NA"/>
    <s v="NA"/>
    <s v="NA"/>
    <s v="NA"/>
    <s v="NA"/>
    <s v="NA"/>
    <s v="NA"/>
    <s v="NA"/>
    <s v="NA"/>
    <s v="NA"/>
    <s v="Karanjala to Lohgaon road, near field of Bharat Sontakke"/>
    <s v="Washim"/>
    <s v="NI"/>
    <s v="131/2025"/>
    <s v="P.S. Narsi Namdev"/>
    <s v="Hingoli"/>
    <s v="NA"/>
    <s v="NA"/>
    <s v="NA"/>
    <s v="NA"/>
    <s v="NA"/>
    <s v="NA"/>
    <s v="NA"/>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0"/>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r>
    <m/>
    <m/>
    <x v="5"/>
    <m/>
    <m/>
    <m/>
    <x v="12"/>
    <x v="34"/>
    <x v="11"/>
    <m/>
    <m/>
    <m/>
    <m/>
    <m/>
    <x v="5"/>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596FAA-F456-400A-B70F-4CFC069DD14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B31" firstHeaderRow="1" firstDataRow="2" firstDataCol="1"/>
  <pivotFields count="57">
    <pivotField compact="0" outline="0" showAll="0"/>
    <pivotField compact="0" outline="0" showAll="0"/>
    <pivotField axis="axisRow" compact="0" outline="0" showAll="0">
      <items count="13">
        <item h="1" m="1" x="8"/>
        <item x="1"/>
        <item m="1" x="9"/>
        <item m="1" x="10"/>
        <item m="1" x="11"/>
        <item h="1" x="5"/>
        <item h="1" x="0"/>
        <item h="1" m="1" x="6"/>
        <item h="1" x="3"/>
        <item h="1" m="1" x="7"/>
        <item h="1" x="2"/>
        <item h="1" x="4"/>
        <item t="default"/>
      </items>
    </pivotField>
    <pivotField compact="0" outline="0" showAll="0"/>
    <pivotField compact="0" outline="0" showAll="0"/>
    <pivotField compact="0" outline="0" showAll="0"/>
    <pivotField compact="0" outline="0" showAll="0"/>
    <pivotField name="Daily Colusures" axis="axisCol" dataField="1" compact="0" outline="0" showAll="0">
      <items count="38">
        <item h="1" x="0"/>
        <item h="1" x="2"/>
        <item x="34"/>
        <item h="1" x="3"/>
        <item h="1" x="4"/>
        <item h="1" x="5"/>
        <item h="1" x="6"/>
        <item h="1" x="7"/>
        <item h="1" x="8"/>
        <item h="1" x="9"/>
        <item h="1" x="15"/>
        <item h="1" x="18"/>
        <item h="1" x="10"/>
        <item h="1" x="11"/>
        <item h="1" x="12"/>
        <item h="1" x="13"/>
        <item h="1" x="14"/>
        <item h="1" x="17"/>
        <item h="1" m="1" x="35"/>
        <item h="1" x="19"/>
        <item h="1" x="21"/>
        <item h="1" x="23"/>
        <item h="1" x="24"/>
        <item h="1" x="25"/>
        <item h="1" m="1" x="36"/>
        <item h="1" x="27"/>
        <item h="1" x="28"/>
        <item h="1" x="29"/>
        <item h="1" x="30"/>
        <item h="1" x="31"/>
        <item h="1" x="32"/>
        <item h="1" x="33"/>
        <item h="1" x="16"/>
        <item h="1" x="20"/>
        <item h="1" x="22"/>
        <item h="1" x="26"/>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
    <i t="grand">
      <x/>
    </i>
  </rowItems>
  <colFields count="1">
    <field x="7"/>
  </colFields>
  <colItems count="1">
    <i t="grand">
      <x/>
    </i>
  </colItems>
  <dataFields count="1">
    <dataField name="Count of COMPLETION DATE" fld="7"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5B5B2-BC46-4790-AD6B-BE9A44FE96F3}"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A16" firstHeaderRow="1" firstDataRow="1" firstDataCol="1" rowPageCount="1" colPageCount="1"/>
  <pivotFields count="57">
    <pivotField compact="0" outline="0" showAll="0"/>
    <pivotField compact="0" outline="0" showAll="0"/>
    <pivotField axis="axisRow" compact="0" outline="0" showAll="0">
      <items count="13">
        <item h="1" m="1" x="8"/>
        <item x="1"/>
        <item m="1" x="9"/>
        <item m="1" x="10"/>
        <item m="1" x="11"/>
        <item h="1" x="5"/>
        <item x="0"/>
        <item m="1" x="6"/>
        <item x="3"/>
        <item h="1" m="1" x="7"/>
        <item h="1" x="2"/>
        <item h="1" x="4"/>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15">
        <item h="1" x="10"/>
        <item h="1" x="0"/>
        <item x="4"/>
        <item h="1" x="3"/>
        <item h="1" x="2"/>
        <item h="1" x="11"/>
        <item h="1" x="1"/>
        <item h="1" m="1" x="12"/>
        <item h="1" m="1" x="13"/>
        <item h="1" x="5"/>
        <item h="1" x="6"/>
        <item h="1" x="7"/>
        <item h="1" x="8"/>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v="6"/>
    </i>
    <i t="grand">
      <x/>
    </i>
  </rowItems>
  <colItems count="1">
    <i/>
  </colItems>
  <pageFields count="1">
    <pageField fld="8" item="2" hier="-1"/>
  </page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702B4E-499A-4101-A43B-A59EF00DFF1B}" name="PivotTable1" cacheId="1"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4:E9" firstHeaderRow="1" firstDataRow="2" firstDataCol="1" rowPageCount="1" colPageCount="1"/>
  <pivotFields count="57">
    <pivotField compact="0" outline="0" showAll="0"/>
    <pivotField compact="0" outline="0" showAll="0"/>
    <pivotField axis="axisRow" compact="0" outline="0" showAll="0">
      <items count="13">
        <item h="1" m="1" x="8"/>
        <item x="1"/>
        <item m="1" x="9"/>
        <item m="1" x="10"/>
        <item m="1" x="11"/>
        <item h="1" x="5"/>
        <item x="0"/>
        <item m="1" x="6"/>
        <item x="3"/>
        <item h="1" m="1" x="7"/>
        <item h="1" x="2"/>
        <item h="1" x="4"/>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15">
        <item x="10"/>
        <item x="0"/>
        <item x="4"/>
        <item x="3"/>
        <item x="2"/>
        <item x="11"/>
        <item x="1"/>
        <item m="1" x="12"/>
        <item m="1" x="13"/>
        <item x="5"/>
        <item x="6"/>
        <item x="7"/>
        <item x="8"/>
        <item x="9"/>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8">
        <item h="1" x="2"/>
        <item h="1" m="1" x="6"/>
        <item x="0"/>
        <item x="1"/>
        <item h="1" x="5"/>
        <item x="4"/>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v="1"/>
    </i>
    <i>
      <x v="6"/>
    </i>
    <i>
      <x v="8"/>
    </i>
    <i t="grand">
      <x/>
    </i>
  </rowItems>
  <colFields count="1">
    <field x="14"/>
  </colFields>
  <colItems count="4">
    <i>
      <x v="2"/>
    </i>
    <i>
      <x v="3"/>
    </i>
    <i>
      <x v="5"/>
    </i>
    <i t="grand">
      <x/>
    </i>
  </colItems>
  <pageFields count="1">
    <pageField fld="8" hier="-1"/>
  </pageFields>
  <dataFields count="1">
    <dataField name="Count of FULL CASE STATUS" fld="14" subtotal="count" baseField="0" baseItem="0"/>
  </dataFields>
  <formats count="2">
    <format dxfId="64">
      <pivotArea field="14" type="button" dataOnly="0" labelOnly="1" outline="0" axis="axisCol" fieldPosition="0"/>
    </format>
    <format dxfId="63">
      <pivotArea field="14" type="button" dataOnly="0" labelOnly="1" outline="0" axis="axisCol"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282C3-8837-49E8-B8CB-00CE8B18BCFD}"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5:Y16" firstHeaderRow="1" firstDataRow="2" firstDataCol="1"/>
  <pivotFields count="15">
    <pivotField compact="0" outline="0" showAll="0"/>
    <pivotField compact="0" outline="0" showAll="0"/>
    <pivotField compact="0" outline="0" showAll="0"/>
    <pivotField compact="0" outline="0" showAll="0"/>
    <pivotField axis="axisCol" compact="0" outline="0" showAll="0">
      <items count="17">
        <item x="1"/>
        <item x="4"/>
        <item x="10"/>
        <item x="3"/>
        <item x="9"/>
        <item x="8"/>
        <item x="2"/>
        <item x="14"/>
        <item x="7"/>
        <item x="5"/>
        <item x="12"/>
        <item x="6"/>
        <item x="0"/>
        <item x="13"/>
        <item x="11"/>
        <item x="15"/>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18">
        <item x="3"/>
        <item m="1" x="13"/>
        <item x="6"/>
        <item x="5"/>
        <item m="1" x="14"/>
        <item m="1" x="16"/>
        <item x="4"/>
        <item m="1" x="15"/>
        <item x="2"/>
        <item h="1" x="12"/>
        <item x="8"/>
        <item x="1"/>
        <item x="7"/>
        <item x="9"/>
        <item h="1" x="0"/>
        <item h="1" x="10"/>
        <item h="1" x="11"/>
        <item t="default"/>
      </items>
    </pivotField>
    <pivotField compact="0" outline="0" showAll="0"/>
    <pivotField compact="0" outline="0" showAll="0"/>
    <pivotField compact="0" outline="0" showAll="0"/>
    <pivotField compact="0" outline="0" showAll="0"/>
  </pivotFields>
  <rowFields count="1">
    <field x="10"/>
  </rowFields>
  <rowItems count="10">
    <i>
      <x/>
    </i>
    <i>
      <x v="2"/>
    </i>
    <i>
      <x v="3"/>
    </i>
    <i>
      <x v="6"/>
    </i>
    <i>
      <x v="8"/>
    </i>
    <i>
      <x v="10"/>
    </i>
    <i>
      <x v="11"/>
    </i>
    <i>
      <x v="12"/>
    </i>
    <i>
      <x v="13"/>
    </i>
    <i t="grand">
      <x/>
    </i>
  </rowItems>
  <colFields count="1">
    <field x="4"/>
  </colFields>
  <colItems count="13">
    <i>
      <x/>
    </i>
    <i>
      <x v="1"/>
    </i>
    <i>
      <x v="2"/>
    </i>
    <i>
      <x v="3"/>
    </i>
    <i>
      <x v="4"/>
    </i>
    <i>
      <x v="5"/>
    </i>
    <i>
      <x v="7"/>
    </i>
    <i>
      <x v="8"/>
    </i>
    <i>
      <x v="9"/>
    </i>
    <i>
      <x v="10"/>
    </i>
    <i>
      <x v="11"/>
    </i>
    <i>
      <x v="13"/>
    </i>
    <i t="grand">
      <x/>
    </i>
  </colItems>
  <dataFields count="1">
    <dataField name="Count of Status" fld="10" subtotal="count" baseField="0" baseItem="0"/>
  </dataFields>
  <formats count="6">
    <format dxfId="70">
      <pivotArea dataOnly="0" labelOnly="1" outline="0" fieldPosition="0">
        <references count="1">
          <reference field="10" count="1">
            <x v="8"/>
          </reference>
        </references>
      </pivotArea>
    </format>
    <format dxfId="69">
      <pivotArea dataOnly="0" labelOnly="1" outline="0" fieldPosition="0">
        <references count="1">
          <reference field="10" count="2">
            <x v="2"/>
            <x v="3"/>
          </reference>
        </references>
      </pivotArea>
    </format>
    <format dxfId="68">
      <pivotArea dataOnly="0" labelOnly="1" outline="0" fieldPosition="0">
        <references count="1">
          <reference field="10" count="1">
            <x v="11"/>
          </reference>
        </references>
      </pivotArea>
    </format>
    <format dxfId="67">
      <pivotArea dataOnly="0" labelOnly="1" outline="0" fieldPosition="0">
        <references count="1">
          <reference field="10" count="1">
            <x v="12"/>
          </reference>
        </references>
      </pivotArea>
    </format>
    <format dxfId="66">
      <pivotArea dataOnly="0" labelOnly="1" outline="0" fieldPosition="0">
        <references count="1">
          <reference field="10" count="1">
            <x v="13"/>
          </reference>
        </references>
      </pivotArea>
    </format>
    <format dxfId="65">
      <pivotArea dataOnly="0" labelOnly="1" outline="0" fieldPosition="0">
        <references count="1">
          <reference field="10"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0DB98-CBF3-4236-AAB2-956F21DB6403}"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1:A23" firstHeaderRow="1" firstDataRow="1" firstDataCol="1"/>
  <pivotFields count="57">
    <pivotField compact="0" outline="0" showAll="0"/>
    <pivotField compact="0" outline="0" showAll="0"/>
    <pivotField axis="axisRow" compact="0" outline="0" showAll="0">
      <items count="13">
        <item h="1" m="1" x="8"/>
        <item x="1"/>
        <item m="1" x="9"/>
        <item m="1" x="10"/>
        <item m="1" x="11"/>
        <item h="1" x="5"/>
        <item h="1" x="0"/>
        <item h="1" m="1" x="6"/>
        <item h="1" x="3"/>
        <item h="1" m="1" x="7"/>
        <item h="1" x="2"/>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2">
    <i>
      <x v="1"/>
    </i>
    <i t="grand">
      <x/>
    </i>
  </rowItems>
  <colItems count="1">
    <i/>
  </colItem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F0DB7-F191-4AD6-9370-0CCE6D3D3F23}"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N9" firstHeaderRow="1" firstDataRow="2" firstDataCol="1"/>
  <pivotFields count="57">
    <pivotField compact="0" outline="0" showAll="0"/>
    <pivotField compact="0" outline="0" showAll="0"/>
    <pivotField axis="axisRow" compact="0" outline="0" showAll="0">
      <items count="13">
        <item m="1" x="8"/>
        <item x="1"/>
        <item m="1" x="9"/>
        <item m="1" x="10"/>
        <item m="1" x="11"/>
        <item x="5"/>
        <item x="0"/>
        <item m="1" x="6"/>
        <item x="3"/>
        <item m="1" x="7"/>
        <item x="2"/>
        <item x="4"/>
        <item t="default"/>
      </items>
    </pivotField>
    <pivotField compact="0" outline="0" showAll="0"/>
    <pivotField compact="0" outline="0" showAll="0"/>
    <pivotField dataField="1" compact="0" outline="0" showAll="0"/>
    <pivotField axis="axisCol" compact="0" outline="0" showAll="0">
      <items count="14">
        <item x="2"/>
        <item x="0"/>
        <item x="1"/>
        <item x="3"/>
        <item x="4"/>
        <item h="1" x="12"/>
        <item x="5"/>
        <item x="6"/>
        <item x="7"/>
        <item x="8"/>
        <item x="9"/>
        <item x="10"/>
        <item h="1" x="11"/>
        <item t="default"/>
      </items>
    </pivotField>
    <pivotField name="Daily Colusures"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v="1"/>
    </i>
    <i>
      <x v="6"/>
    </i>
    <i>
      <x v="8"/>
    </i>
    <i>
      <x v="10"/>
    </i>
    <i>
      <x v="11"/>
    </i>
    <i t="grand">
      <x/>
    </i>
  </rowItems>
  <colFields count="1">
    <field x="6"/>
  </colFields>
  <colItems count="12">
    <i>
      <x/>
    </i>
    <i>
      <x v="1"/>
    </i>
    <i>
      <x v="2"/>
    </i>
    <i>
      <x v="3"/>
    </i>
    <i>
      <x v="4"/>
    </i>
    <i>
      <x v="6"/>
    </i>
    <i>
      <x v="7"/>
    </i>
    <i>
      <x v="8"/>
    </i>
    <i>
      <x v="9"/>
    </i>
    <i>
      <x v="10"/>
    </i>
    <i>
      <x v="11"/>
    </i>
    <i t="grand">
      <x/>
    </i>
  </colItems>
  <dataFields count="1">
    <dataField name="Count of CASE RECIPET DATE" fld="5" subtotal="count"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EE1930-3398-4C98-AA40-B6C5D6A65413}" name="Table2" displayName="Table2" ref="A1:R19" totalsRowShown="0" headerRowDxfId="62" dataDxfId="60" headerRowBorderDxfId="61" tableBorderDxfId="59" totalsRowBorderDxfId="58">
  <autoFilter ref="A1:R19" xr:uid="{50EE1930-3398-4C98-AA40-B6C5D6A654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3777EA25-9C62-428A-A632-083FCF4D5522}" name="Sr. No" dataDxfId="57"/>
    <tableColumn id="2" xr3:uid="{6E142C8E-F42C-4A6B-9AFE-264643799C52}" name="Client Name" dataDxfId="56"/>
    <tableColumn id="3" xr3:uid="{2CA0BD12-31D1-4A79-BEFA-047179503291}" name="Location" dataDxfId="55"/>
    <tableColumn id="4" xr3:uid="{42D7CA34-4E4C-4BA6-8938-206941BA5379}" name="Client Code" dataDxfId="54"/>
    <tableColumn id="5" xr3:uid="{1CE32E52-5953-448E-87B9-53CFA506A760}" name="Date of Commencement" dataDxfId="53"/>
    <tableColumn id="6" xr3:uid="{EFDA620A-8DE8-4E37-883D-BEB68B10DB31}" name="INSURED" dataDxfId="52"/>
    <tableColumn id="7" xr3:uid="{78C12AD8-50C5-429C-B239-D1E0248AE578}" name="134 NOTICE" dataDxfId="51"/>
    <tableColumn id="8" xr3:uid="{C4956915-BFE2-4A4C-9933-F14A79CAA809}" name="CLAIMANT" dataDxfId="50"/>
    <tableColumn id="9" xr3:uid="{515C0F60-2045-4102-8A75-280A86EB4CD2}" name="INCOME" dataDxfId="49"/>
    <tableColumn id="10" xr3:uid="{B392DF5E-AEAF-49BF-A8B4-13218638AF9D}" name="DRIVER" dataDxfId="48"/>
    <tableColumn id="11" xr3:uid="{5FF61DF3-CD80-4871-A739-E2C8B70100BC}" name="DL" dataDxfId="47"/>
    <tableColumn id="12" xr3:uid="{5B53DB0A-0B34-4570-B1C5-555189099F4E}" name="RC" dataDxfId="46"/>
    <tableColumn id="13" xr3:uid="{3116FB68-11F7-46DF-BE01-9C25CD002EA0}" name="PERMIT" dataDxfId="45"/>
    <tableColumn id="14" xr3:uid="{A2B72418-25FF-480C-98E9-292F48168D4D}" name="SPOT" dataDxfId="44"/>
    <tableColumn id="15" xr3:uid="{AEC92803-5FF0-4BBB-9519-66795ABE9BB3}" name="COURT" dataDxfId="43"/>
    <tableColumn id="16" xr3:uid="{AF8C124D-C4AA-4A45-9BA0-1B9EDF49714C}" name="Notice" dataDxfId="42"/>
    <tableColumn id="17" xr3:uid="{216EA7EA-CB12-4D7F-B113-18B5DC0CD365}" name="RTI" dataDxfId="41"/>
    <tableColumn id="18" xr3:uid="{2FA7EA4E-3299-4CC1-BA41-5F9B84B26944}" name="Hospital" dataDxfId="4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A1" dT="2025-08-08T05:55:51.47" personId="{97BFA821-5EC0-4673-A561-5AF024FE382A}" id="{6C5158A1-60EF-4195-A8A2-FA475FA0EFA7}">
    <text xml:space="preserve">Kindly add the details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4" dT="2025-12-01T13:14:29.33" personId="{93585A1D-54A8-424A-9905-976AB25887F2}" id="{425CF6E7-00D1-4E02-B64D-66A7F5FC7E9A}">
    <text>What is the update on this Nashik case?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efinder.brobotinsurance.com/EfinderResponsive/Justicia/Justicia/JusticiaInbox" TargetMode="Externa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hyperlink" Target="mailto:ineshpillewan30@gmail.com" TargetMode="External"/><Relationship Id="rId1" Type="http://schemas.openxmlformats.org/officeDocument/2006/relationships/hyperlink" Target="mailto:shaikhanjum83@gmai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yogeshrathod8055@gmail.com" TargetMode="External"/><Relationship Id="rId3" Type="http://schemas.openxmlformats.org/officeDocument/2006/relationships/hyperlink" Target="mailto:shubhamrautadv@gmail.com" TargetMode="External"/><Relationship Id="rId7" Type="http://schemas.openxmlformats.org/officeDocument/2006/relationships/hyperlink" Target="mailto:kawadep709@gmail.com" TargetMode="External"/><Relationship Id="rId2" Type="http://schemas.openxmlformats.org/officeDocument/2006/relationships/hyperlink" Target="mailto:vishwanathnaravate@gmail.com" TargetMode="External"/><Relationship Id="rId1" Type="http://schemas.openxmlformats.org/officeDocument/2006/relationships/hyperlink" Target="mailto:Nitin.mayane@gmail.com" TargetMode="External"/><Relationship Id="rId6" Type="http://schemas.openxmlformats.org/officeDocument/2006/relationships/hyperlink" Target="mailto:prashantpawar7373@gmail.com" TargetMode="External"/><Relationship Id="rId5" Type="http://schemas.openxmlformats.org/officeDocument/2006/relationships/hyperlink" Target="mailto:digvijayguravforother@gmail.com" TargetMode="External"/><Relationship Id="rId4" Type="http://schemas.openxmlformats.org/officeDocument/2006/relationships/hyperlink" Target="mailto:vc566121@gmail.com" TargetMode="External"/><Relationship Id="rId9" Type="http://schemas.openxmlformats.org/officeDocument/2006/relationships/hyperlink" Target="mailto:krishingne17@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F631-3F69-4A6E-9C81-A2016B036BD8}">
  <sheetPr codeName="Sheet1">
    <tabColor rgb="FF00B0F0"/>
  </sheetPr>
  <dimension ref="A1:AB503"/>
  <sheetViews>
    <sheetView zoomScale="70" zoomScaleNormal="70" workbookViewId="0">
      <pane ySplit="1" topLeftCell="A2" activePane="bottomLeft" state="frozen"/>
      <selection pane="bottomLeft" activeCell="A2" sqref="A2"/>
    </sheetView>
  </sheetViews>
  <sheetFormatPr defaultColWidth="9.1796875" defaultRowHeight="20.25" customHeight="1"/>
  <cols>
    <col min="1" max="1" width="7.54296875" style="256" customWidth="1"/>
    <col min="2" max="2" width="38.54296875" style="266" customWidth="1"/>
    <col min="3" max="3" width="13.7265625" style="267" customWidth="1"/>
    <col min="4" max="4" width="16.54296875" style="256" customWidth="1"/>
    <col min="5" max="5" width="20.81640625" style="256" customWidth="1"/>
    <col min="6" max="6" width="41.81640625" style="256" customWidth="1"/>
    <col min="7" max="7" width="21" style="256" customWidth="1"/>
    <col min="8" max="8" width="15.453125" style="342" customWidth="1"/>
    <col min="9" max="9" width="18.54296875" style="256" customWidth="1"/>
    <col min="10" max="10" width="9.1796875" style="256" customWidth="1"/>
    <col min="11" max="11" width="11.7265625" style="256" customWidth="1"/>
    <col min="12" max="12" width="13.81640625" style="256" customWidth="1"/>
    <col min="13" max="13" width="11.81640625" style="256" customWidth="1"/>
    <col min="14" max="14" width="10.453125" style="256" customWidth="1"/>
    <col min="15" max="15" width="10.54296875" style="256" customWidth="1"/>
    <col min="16" max="16" width="9.1796875" style="256"/>
    <col min="17" max="17" width="10.54296875" style="256" customWidth="1"/>
    <col min="18" max="21" width="9.1796875" style="256"/>
    <col min="22" max="22" width="11.54296875" style="256" customWidth="1"/>
    <col min="23" max="23" width="10.26953125" style="256" customWidth="1"/>
    <col min="24" max="24" width="15.1796875" style="256" customWidth="1"/>
    <col min="25" max="16384" width="9.1796875" style="256"/>
  </cols>
  <sheetData>
    <row r="1" spans="1:28" ht="31.5" customHeight="1">
      <c r="A1" s="336" t="s">
        <v>0</v>
      </c>
      <c r="B1" s="337" t="s">
        <v>1</v>
      </c>
      <c r="C1" s="337" t="s">
        <v>2</v>
      </c>
      <c r="D1" s="336" t="s">
        <v>3</v>
      </c>
      <c r="E1" s="480" t="s">
        <v>4</v>
      </c>
      <c r="F1" s="336" t="s">
        <v>5</v>
      </c>
      <c r="G1" s="336" t="s">
        <v>6</v>
      </c>
      <c r="H1" s="338" t="s">
        <v>7</v>
      </c>
      <c r="I1" s="338" t="s">
        <v>8</v>
      </c>
      <c r="J1" s="321" t="s">
        <v>9</v>
      </c>
      <c r="K1" s="321" t="s">
        <v>10</v>
      </c>
      <c r="L1" s="321" t="s">
        <v>11</v>
      </c>
      <c r="M1" s="321" t="s">
        <v>12</v>
      </c>
      <c r="N1" s="321" t="s">
        <v>13</v>
      </c>
      <c r="O1" s="321" t="s">
        <v>14</v>
      </c>
      <c r="P1" s="321" t="s">
        <v>15</v>
      </c>
      <c r="Q1" s="321" t="s">
        <v>16</v>
      </c>
      <c r="R1" s="321" t="s">
        <v>17</v>
      </c>
      <c r="S1" s="321" t="s">
        <v>18</v>
      </c>
      <c r="T1" s="321" t="s">
        <v>19</v>
      </c>
      <c r="U1" s="321" t="s">
        <v>20</v>
      </c>
      <c r="V1" s="321" t="s">
        <v>21</v>
      </c>
      <c r="W1" s="321" t="s">
        <v>22</v>
      </c>
      <c r="X1" s="321" t="s">
        <v>23</v>
      </c>
      <c r="Y1" s="321" t="s">
        <v>24</v>
      </c>
      <c r="Z1" s="321" t="s">
        <v>25</v>
      </c>
      <c r="AA1" s="327"/>
      <c r="AB1" s="288"/>
    </row>
    <row r="2" spans="1:28" ht="20.25" customHeight="1">
      <c r="A2" s="270">
        <v>1</v>
      </c>
      <c r="B2" s="268" t="s">
        <v>26</v>
      </c>
      <c r="C2" s="271" t="s">
        <v>27</v>
      </c>
      <c r="D2" s="270" t="s">
        <v>28</v>
      </c>
      <c r="E2" s="270" t="s">
        <v>29</v>
      </c>
      <c r="F2" s="272" t="str">
        <f>IF(D2="", "", _xlfn.XLOOKUP(D2, CLIENT_CODE!D:D, CLIENT_CODE!B:B, ""))</f>
        <v>Magma HDI General Insurance Company Ltd</v>
      </c>
      <c r="G2" s="269" t="s">
        <v>30</v>
      </c>
      <c r="H2" s="339">
        <v>45873</v>
      </c>
      <c r="I2" s="272" t="str">
        <f t="shared" ref="I2:I68" si="0">IF(ISBLANK(H2), "", TEXT(H2, "mmm-yy"))</f>
        <v>Aug-25</v>
      </c>
      <c r="J2" s="272">
        <v>1</v>
      </c>
      <c r="K2" s="272">
        <v>0</v>
      </c>
      <c r="L2" s="272">
        <v>1</v>
      </c>
      <c r="M2" s="272">
        <v>0</v>
      </c>
      <c r="N2" s="272">
        <v>1</v>
      </c>
      <c r="O2" s="272">
        <v>0</v>
      </c>
      <c r="P2" s="272">
        <v>0</v>
      </c>
      <c r="Q2" s="272">
        <v>0</v>
      </c>
      <c r="R2" s="272">
        <v>1</v>
      </c>
      <c r="S2" s="272">
        <v>1</v>
      </c>
      <c r="T2" s="272">
        <v>0</v>
      </c>
      <c r="U2" s="272">
        <v>0</v>
      </c>
      <c r="V2" s="272">
        <v>0</v>
      </c>
      <c r="W2" s="272">
        <v>0</v>
      </c>
      <c r="X2" s="270">
        <v>0</v>
      </c>
      <c r="Y2" s="270">
        <f t="shared" ref="Y2:Y7" si="1">IF(COUNTA(J2:T2)=0, "", SUM(J2:T2))</f>
        <v>5</v>
      </c>
      <c r="Z2" s="272" t="str" cm="1">
        <f t="array" aca="1" ref="Z2:Z66" ca="1">_xlfn._xlws.FILTER(MIS_Backend_Data!L:L,MIS_Backend_Data!L:L="WT")</f>
        <v>WT</v>
      </c>
      <c r="AA2" s="272"/>
      <c r="AB2" s="288"/>
    </row>
    <row r="3" spans="1:28" ht="20.25" customHeight="1">
      <c r="A3" s="270">
        <v>2</v>
      </c>
      <c r="B3" s="268" t="s">
        <v>31</v>
      </c>
      <c r="C3" s="271" t="s">
        <v>27</v>
      </c>
      <c r="D3" s="270" t="s">
        <v>28</v>
      </c>
      <c r="E3" s="270" t="s">
        <v>32</v>
      </c>
      <c r="F3" s="272" t="str">
        <f>IF(D3="", "", _xlfn.XLOOKUP(D3, CLIENT_CODE!D:D, CLIENT_CODE!B:B, ""))</f>
        <v>Magma HDI General Insurance Company Ltd</v>
      </c>
      <c r="G3" s="269" t="s">
        <v>33</v>
      </c>
      <c r="H3" s="339">
        <v>45873</v>
      </c>
      <c r="I3" s="272" t="str">
        <f t="shared" si="0"/>
        <v>Aug-25</v>
      </c>
      <c r="J3" s="272">
        <v>1</v>
      </c>
      <c r="K3" s="272">
        <v>0</v>
      </c>
      <c r="L3" s="272">
        <v>1</v>
      </c>
      <c r="M3" s="272">
        <v>0</v>
      </c>
      <c r="N3" s="272">
        <v>1</v>
      </c>
      <c r="O3" s="272">
        <v>0</v>
      </c>
      <c r="P3" s="272">
        <v>0</v>
      </c>
      <c r="Q3" s="272">
        <v>0</v>
      </c>
      <c r="R3" s="272">
        <v>1</v>
      </c>
      <c r="S3" s="272">
        <v>1</v>
      </c>
      <c r="T3" s="272">
        <v>0</v>
      </c>
      <c r="U3" s="272">
        <v>0</v>
      </c>
      <c r="V3" s="272">
        <v>0</v>
      </c>
      <c r="W3" s="272">
        <v>0</v>
      </c>
      <c r="X3" s="270">
        <v>0</v>
      </c>
      <c r="Y3" s="270">
        <f t="shared" ref="Y3:Y4" si="2">IF(COUNTA(J3:T3)=0, "", SUM(J3:T3))</f>
        <v>5</v>
      </c>
      <c r="Z3" s="272" t="str">
        <f ca="1"/>
        <v>WT</v>
      </c>
      <c r="AA3" s="272"/>
      <c r="AB3" s="288"/>
    </row>
    <row r="4" spans="1:28" ht="20.25" customHeight="1">
      <c r="A4" s="270">
        <v>3</v>
      </c>
      <c r="B4" s="268" t="s">
        <v>34</v>
      </c>
      <c r="C4" s="271" t="s">
        <v>27</v>
      </c>
      <c r="D4" s="270" t="s">
        <v>28</v>
      </c>
      <c r="E4" s="270" t="s">
        <v>35</v>
      </c>
      <c r="F4" s="272" t="str">
        <f>IF(D4="", "", _xlfn.XLOOKUP(D4, CLIENT_CODE!D:D, CLIENT_CODE!B:B, ""))</f>
        <v>Magma HDI General Insurance Company Ltd</v>
      </c>
      <c r="G4" s="269" t="s">
        <v>36</v>
      </c>
      <c r="H4" s="339">
        <v>45876</v>
      </c>
      <c r="I4" s="272" t="str">
        <f t="shared" si="0"/>
        <v>Aug-25</v>
      </c>
      <c r="J4" s="272">
        <v>1</v>
      </c>
      <c r="K4" s="272">
        <v>0</v>
      </c>
      <c r="L4" s="272">
        <v>1</v>
      </c>
      <c r="M4" s="272">
        <v>0</v>
      </c>
      <c r="N4" s="272">
        <v>1</v>
      </c>
      <c r="O4" s="272">
        <v>0</v>
      </c>
      <c r="P4" s="272">
        <v>0</v>
      </c>
      <c r="Q4" s="272">
        <v>0</v>
      </c>
      <c r="R4" s="272">
        <v>1</v>
      </c>
      <c r="S4" s="272">
        <v>1</v>
      </c>
      <c r="T4" s="272">
        <v>0</v>
      </c>
      <c r="U4" s="272">
        <v>0</v>
      </c>
      <c r="V4" s="272">
        <v>0</v>
      </c>
      <c r="W4" s="272">
        <v>0</v>
      </c>
      <c r="X4" s="270">
        <v>0</v>
      </c>
      <c r="Y4" s="270">
        <f t="shared" si="2"/>
        <v>5</v>
      </c>
      <c r="Z4" s="272" t="str">
        <f ca="1"/>
        <v>WT</v>
      </c>
      <c r="AA4" s="272"/>
      <c r="AB4" s="288"/>
    </row>
    <row r="5" spans="1:28" ht="20.25" customHeight="1">
      <c r="A5" s="270">
        <v>4</v>
      </c>
      <c r="B5" s="273" t="s">
        <v>37</v>
      </c>
      <c r="C5" s="271" t="s">
        <v>27</v>
      </c>
      <c r="D5" s="270" t="s">
        <v>38</v>
      </c>
      <c r="E5" s="270" t="s">
        <v>39</v>
      </c>
      <c r="F5" s="272" t="str">
        <f>IF(D5="", "", _xlfn.XLOOKUP(D5, CLIENT_CODE!D:D, CLIENT_CODE!B:B, ""))</f>
        <v>Generali Central Insurance Company Limited</v>
      </c>
      <c r="G5" s="274" t="s">
        <v>40</v>
      </c>
      <c r="H5" s="339">
        <v>45890</v>
      </c>
      <c r="I5" s="272" t="str">
        <f t="shared" si="0"/>
        <v>Aug-25</v>
      </c>
      <c r="J5" s="272">
        <v>1</v>
      </c>
      <c r="K5" s="272">
        <v>0</v>
      </c>
      <c r="L5" s="272">
        <v>1</v>
      </c>
      <c r="M5" s="272">
        <v>1</v>
      </c>
      <c r="N5" s="272">
        <v>1</v>
      </c>
      <c r="O5" s="272">
        <v>1</v>
      </c>
      <c r="P5" s="272">
        <v>1</v>
      </c>
      <c r="Q5" s="272">
        <v>0</v>
      </c>
      <c r="R5" s="272">
        <v>1</v>
      </c>
      <c r="S5" s="272">
        <v>1</v>
      </c>
      <c r="T5" s="272">
        <v>0</v>
      </c>
      <c r="U5" s="272">
        <v>0</v>
      </c>
      <c r="V5" s="272">
        <v>0</v>
      </c>
      <c r="W5" s="272">
        <v>0</v>
      </c>
      <c r="X5" s="270">
        <v>0</v>
      </c>
      <c r="Y5" s="270">
        <f t="shared" si="1"/>
        <v>8</v>
      </c>
      <c r="Z5" s="272" t="str">
        <f ca="1"/>
        <v>WT</v>
      </c>
      <c r="AA5" s="272"/>
      <c r="AB5" s="288"/>
    </row>
    <row r="6" spans="1:28" ht="20.25" customHeight="1">
      <c r="A6" s="270">
        <v>5</v>
      </c>
      <c r="B6" s="273" t="s">
        <v>41</v>
      </c>
      <c r="C6" s="271" t="s">
        <v>27</v>
      </c>
      <c r="D6" s="270" t="s">
        <v>38</v>
      </c>
      <c r="E6" s="270" t="s">
        <v>42</v>
      </c>
      <c r="F6" s="272" t="str">
        <f>IF(D6="", "", _xlfn.XLOOKUP(D6, CLIENT_CODE!D:D, CLIENT_CODE!B:B, ""))</f>
        <v>Generali Central Insurance Company Limited</v>
      </c>
      <c r="G6" s="271" t="s">
        <v>43</v>
      </c>
      <c r="H6" s="339">
        <v>45890</v>
      </c>
      <c r="I6" s="272" t="str">
        <f t="shared" si="0"/>
        <v>Aug-25</v>
      </c>
      <c r="J6" s="272">
        <v>1</v>
      </c>
      <c r="K6" s="272">
        <v>0</v>
      </c>
      <c r="L6" s="272">
        <v>0</v>
      </c>
      <c r="M6" s="272">
        <v>0</v>
      </c>
      <c r="N6" s="272">
        <v>0</v>
      </c>
      <c r="O6" s="272">
        <v>0</v>
      </c>
      <c r="P6" s="272">
        <v>0</v>
      </c>
      <c r="Q6" s="272">
        <v>0</v>
      </c>
      <c r="R6" s="272">
        <v>0</v>
      </c>
      <c r="S6" s="272">
        <v>0</v>
      </c>
      <c r="T6" s="272">
        <v>0</v>
      </c>
      <c r="U6" s="272">
        <v>0</v>
      </c>
      <c r="V6" s="272">
        <v>0</v>
      </c>
      <c r="W6" s="272">
        <v>0</v>
      </c>
      <c r="X6" s="270">
        <v>0</v>
      </c>
      <c r="Y6" s="270">
        <f t="shared" si="1"/>
        <v>1</v>
      </c>
      <c r="Z6" s="272" t="str">
        <f ca="1"/>
        <v>WT</v>
      </c>
      <c r="AA6" s="272"/>
      <c r="AB6" s="288"/>
    </row>
    <row r="7" spans="1:28" ht="20.25" customHeight="1">
      <c r="A7" s="270">
        <v>6</v>
      </c>
      <c r="B7" s="273" t="s">
        <v>41</v>
      </c>
      <c r="C7" s="271" t="s">
        <v>27</v>
      </c>
      <c r="D7" s="270" t="s">
        <v>38</v>
      </c>
      <c r="E7" s="270" t="s">
        <v>44</v>
      </c>
      <c r="F7" s="272" t="str">
        <f>IF(D7="", "", _xlfn.XLOOKUP(D7, CLIENT_CODE!D:D, CLIENT_CODE!B:B, ""))</f>
        <v>Generali Central Insurance Company Limited</v>
      </c>
      <c r="G7" s="275" t="s">
        <v>45</v>
      </c>
      <c r="H7" s="339">
        <v>45890</v>
      </c>
      <c r="I7" s="272" t="str">
        <f t="shared" si="0"/>
        <v>Aug-25</v>
      </c>
      <c r="J7" s="272">
        <v>1</v>
      </c>
      <c r="K7" s="272">
        <v>0</v>
      </c>
      <c r="L7" s="272">
        <v>0</v>
      </c>
      <c r="M7" s="272">
        <v>0</v>
      </c>
      <c r="N7" s="272">
        <v>0</v>
      </c>
      <c r="O7" s="272">
        <v>0</v>
      </c>
      <c r="P7" s="272">
        <v>0</v>
      </c>
      <c r="Q7" s="272">
        <v>0</v>
      </c>
      <c r="R7" s="272">
        <v>0</v>
      </c>
      <c r="S7" s="272">
        <v>0</v>
      </c>
      <c r="T7" s="272">
        <v>0</v>
      </c>
      <c r="U7" s="272">
        <v>0</v>
      </c>
      <c r="V7" s="272">
        <v>0</v>
      </c>
      <c r="W7" s="272">
        <v>0</v>
      </c>
      <c r="X7" s="270">
        <v>0</v>
      </c>
      <c r="Y7" s="270">
        <f t="shared" si="1"/>
        <v>1</v>
      </c>
      <c r="Z7" s="272" t="str">
        <f ca="1"/>
        <v>WT</v>
      </c>
      <c r="AA7" s="272"/>
      <c r="AB7" s="288"/>
    </row>
    <row r="8" spans="1:28" ht="20.25" customHeight="1">
      <c r="A8" s="270">
        <v>7</v>
      </c>
      <c r="B8" s="273" t="s">
        <v>46</v>
      </c>
      <c r="C8" s="271" t="s">
        <v>27</v>
      </c>
      <c r="D8" s="270" t="s">
        <v>38</v>
      </c>
      <c r="E8" s="270" t="s">
        <v>47</v>
      </c>
      <c r="F8" s="272" t="str">
        <f>IF(D8="", "", _xlfn.XLOOKUP(D8, CLIENT_CODE!D:D, CLIENT_CODE!B:B, ""))</f>
        <v>Generali Central Insurance Company Limited</v>
      </c>
      <c r="G8" s="257" t="s">
        <v>48</v>
      </c>
      <c r="H8" s="339">
        <v>45897</v>
      </c>
      <c r="I8" s="272" t="str">
        <f t="shared" si="0"/>
        <v>Aug-25</v>
      </c>
      <c r="J8" s="272">
        <v>1</v>
      </c>
      <c r="K8" s="272">
        <v>0</v>
      </c>
      <c r="L8" s="272">
        <v>0</v>
      </c>
      <c r="M8" s="272">
        <v>0</v>
      </c>
      <c r="N8" s="272">
        <v>1</v>
      </c>
      <c r="O8" s="272">
        <v>1</v>
      </c>
      <c r="P8" s="272">
        <v>1</v>
      </c>
      <c r="Q8" s="272">
        <v>1</v>
      </c>
      <c r="R8" s="272">
        <v>1</v>
      </c>
      <c r="S8" s="272">
        <v>1</v>
      </c>
      <c r="T8" s="272">
        <v>0</v>
      </c>
      <c r="U8" s="272">
        <v>0</v>
      </c>
      <c r="V8" s="272">
        <v>0</v>
      </c>
      <c r="W8" s="272">
        <v>0</v>
      </c>
      <c r="X8" s="270">
        <v>0</v>
      </c>
      <c r="Y8" s="270">
        <f t="shared" ref="Y8:Y69" si="3">IF(COUNTA(J8:T8)=0, "", SUM(J8:T8))</f>
        <v>7</v>
      </c>
      <c r="Z8" s="272" t="str">
        <f ca="1"/>
        <v>WT</v>
      </c>
      <c r="AA8" s="272"/>
      <c r="AB8" s="288"/>
    </row>
    <row r="9" spans="1:28" ht="20.25" customHeight="1">
      <c r="A9" s="270">
        <v>8</v>
      </c>
      <c r="B9" s="258" t="s">
        <v>49</v>
      </c>
      <c r="C9" s="271" t="s">
        <v>27</v>
      </c>
      <c r="D9" s="270" t="s">
        <v>38</v>
      </c>
      <c r="E9" s="270" t="s">
        <v>50</v>
      </c>
      <c r="F9" s="272" t="str">
        <f>IF(D9="", "", _xlfn.XLOOKUP(D9, CLIENT_CODE!D:D, CLIENT_CODE!B:B, ""))</f>
        <v>Generali Central Insurance Company Limited</v>
      </c>
      <c r="G9" s="269" t="s">
        <v>51</v>
      </c>
      <c r="H9" s="339">
        <v>45902</v>
      </c>
      <c r="I9" s="272" t="str">
        <f t="shared" si="0"/>
        <v>Sep-25</v>
      </c>
      <c r="J9" s="272">
        <v>1</v>
      </c>
      <c r="K9" s="272">
        <v>0</v>
      </c>
      <c r="L9" s="272">
        <v>1</v>
      </c>
      <c r="M9" s="272">
        <v>1</v>
      </c>
      <c r="N9" s="272">
        <v>1</v>
      </c>
      <c r="O9" s="272">
        <v>1</v>
      </c>
      <c r="P9" s="272">
        <v>1</v>
      </c>
      <c r="Q9" s="272">
        <v>0</v>
      </c>
      <c r="R9" s="272">
        <v>1</v>
      </c>
      <c r="S9" s="272">
        <v>1</v>
      </c>
      <c r="T9" s="272">
        <v>0</v>
      </c>
      <c r="U9" s="272">
        <v>0</v>
      </c>
      <c r="V9" s="272">
        <v>0</v>
      </c>
      <c r="W9" s="272">
        <v>0</v>
      </c>
      <c r="X9" s="270">
        <v>0</v>
      </c>
      <c r="Y9" s="270">
        <f t="shared" si="3"/>
        <v>8</v>
      </c>
      <c r="Z9" s="272" t="str">
        <f ca="1"/>
        <v>WT</v>
      </c>
      <c r="AA9" s="272"/>
      <c r="AB9" s="288"/>
    </row>
    <row r="10" spans="1:28" ht="20.25" customHeight="1">
      <c r="A10" s="270">
        <v>9</v>
      </c>
      <c r="B10" s="276" t="s">
        <v>52</v>
      </c>
      <c r="C10" s="271" t="s">
        <v>27</v>
      </c>
      <c r="D10" s="270" t="s">
        <v>53</v>
      </c>
      <c r="E10" s="270" t="s">
        <v>54</v>
      </c>
      <c r="F10" s="272" t="str">
        <f>IF(D10="", "", _xlfn.XLOOKUP(D10, CLIENT_CODE!D:D, CLIENT_CODE!B:B, ""))</f>
        <v>Indusind General Insurance Co Ltd</v>
      </c>
      <c r="G10" s="270" t="s">
        <v>55</v>
      </c>
      <c r="H10" s="340">
        <v>45916</v>
      </c>
      <c r="I10" s="272" t="str">
        <f t="shared" si="0"/>
        <v>Sep-25</v>
      </c>
      <c r="J10" s="272">
        <v>1</v>
      </c>
      <c r="K10" s="272">
        <v>0</v>
      </c>
      <c r="L10" s="272">
        <v>1</v>
      </c>
      <c r="M10" s="272">
        <v>0</v>
      </c>
      <c r="N10" s="272">
        <v>1</v>
      </c>
      <c r="O10" s="272">
        <v>0</v>
      </c>
      <c r="P10" s="272">
        <v>0</v>
      </c>
      <c r="Q10" s="272">
        <v>0</v>
      </c>
      <c r="R10" s="272">
        <v>1</v>
      </c>
      <c r="S10" s="272">
        <v>1</v>
      </c>
      <c r="T10" s="272">
        <v>0</v>
      </c>
      <c r="U10" s="272">
        <v>0</v>
      </c>
      <c r="V10" s="272">
        <v>0</v>
      </c>
      <c r="W10" s="272">
        <v>0</v>
      </c>
      <c r="X10" s="270">
        <v>0</v>
      </c>
      <c r="Y10" s="270">
        <f t="shared" si="3"/>
        <v>5</v>
      </c>
      <c r="Z10" s="272" t="str">
        <f ca="1"/>
        <v>WT</v>
      </c>
      <c r="AA10" s="272"/>
      <c r="AB10" s="288"/>
    </row>
    <row r="11" spans="1:28" ht="20.25" customHeight="1">
      <c r="A11" s="270">
        <v>10</v>
      </c>
      <c r="B11" s="276" t="s">
        <v>56</v>
      </c>
      <c r="C11" s="271" t="s">
        <v>27</v>
      </c>
      <c r="D11" s="270" t="s">
        <v>38</v>
      </c>
      <c r="E11" s="270" t="s">
        <v>57</v>
      </c>
      <c r="F11" s="272" t="str">
        <f>IF(D11="", "", _xlfn.XLOOKUP(D11, CLIENT_CODE!D:D, CLIENT_CODE!B:B, ""))</f>
        <v>Generali Central Insurance Company Limited</v>
      </c>
      <c r="G11" s="270" t="s">
        <v>58</v>
      </c>
      <c r="H11" s="340">
        <v>45916</v>
      </c>
      <c r="I11" s="272" t="str">
        <f t="shared" si="0"/>
        <v>Sep-25</v>
      </c>
      <c r="J11" s="272">
        <v>0</v>
      </c>
      <c r="K11" s="272">
        <v>0</v>
      </c>
      <c r="L11" s="272">
        <v>1</v>
      </c>
      <c r="M11" s="272">
        <v>0</v>
      </c>
      <c r="N11" s="272">
        <v>1</v>
      </c>
      <c r="O11" s="272">
        <v>0</v>
      </c>
      <c r="P11" s="272">
        <v>0</v>
      </c>
      <c r="Q11" s="272" t="s">
        <v>59</v>
      </c>
      <c r="R11" s="272">
        <v>1</v>
      </c>
      <c r="S11" s="272">
        <v>1</v>
      </c>
      <c r="T11" s="272">
        <v>0</v>
      </c>
      <c r="U11" s="272">
        <v>0</v>
      </c>
      <c r="V11" s="272">
        <v>1</v>
      </c>
      <c r="W11" s="272">
        <v>0</v>
      </c>
      <c r="X11" s="270">
        <v>0</v>
      </c>
      <c r="Y11" s="270">
        <f t="shared" si="3"/>
        <v>4</v>
      </c>
      <c r="Z11" s="272" t="str">
        <f ca="1"/>
        <v>WT</v>
      </c>
      <c r="AA11" s="272"/>
      <c r="AB11" s="288"/>
    </row>
    <row r="12" spans="1:28" ht="20.25" customHeight="1">
      <c r="A12" s="270">
        <v>11</v>
      </c>
      <c r="B12" s="276" t="s">
        <v>60</v>
      </c>
      <c r="C12" s="271" t="s">
        <v>27</v>
      </c>
      <c r="D12" s="270" t="s">
        <v>53</v>
      </c>
      <c r="E12" s="270" t="s">
        <v>61</v>
      </c>
      <c r="F12" s="272" t="str">
        <f>IF(D12="", "", _xlfn.XLOOKUP(D12, CLIENT_CODE!D:D, CLIENT_CODE!B:B, ""))</f>
        <v>Indusind General Insurance Co Ltd</v>
      </c>
      <c r="G12" s="270" t="s">
        <v>62</v>
      </c>
      <c r="H12" s="340">
        <v>45916</v>
      </c>
      <c r="I12" s="272" t="str">
        <f t="shared" si="0"/>
        <v>Sep-25</v>
      </c>
      <c r="J12" s="272">
        <v>0</v>
      </c>
      <c r="K12" s="272">
        <v>0</v>
      </c>
      <c r="L12" s="272">
        <v>0</v>
      </c>
      <c r="M12" s="272">
        <v>0</v>
      </c>
      <c r="N12" s="272">
        <v>0</v>
      </c>
      <c r="O12" s="272">
        <v>0</v>
      </c>
      <c r="P12" s="272">
        <v>0</v>
      </c>
      <c r="Q12" s="272">
        <v>0</v>
      </c>
      <c r="R12" s="272">
        <v>0</v>
      </c>
      <c r="S12" s="272">
        <v>1</v>
      </c>
      <c r="T12" s="272">
        <v>0</v>
      </c>
      <c r="U12" s="272">
        <v>0</v>
      </c>
      <c r="V12" s="272">
        <v>0</v>
      </c>
      <c r="W12" s="272">
        <v>0</v>
      </c>
      <c r="X12" s="270">
        <v>0</v>
      </c>
      <c r="Y12" s="270">
        <f t="shared" si="3"/>
        <v>1</v>
      </c>
      <c r="Z12" s="272" t="str">
        <f ca="1"/>
        <v>WT</v>
      </c>
      <c r="AA12" s="272"/>
      <c r="AB12" s="288"/>
    </row>
    <row r="13" spans="1:28" ht="20.25" customHeight="1">
      <c r="A13" s="270">
        <v>12</v>
      </c>
      <c r="B13" s="276" t="s">
        <v>63</v>
      </c>
      <c r="C13" s="271" t="s">
        <v>27</v>
      </c>
      <c r="D13" s="270" t="s">
        <v>53</v>
      </c>
      <c r="E13" s="270" t="s">
        <v>64</v>
      </c>
      <c r="F13" s="272" t="str">
        <f>IF(D13="", "", _xlfn.XLOOKUP(D13, CLIENT_CODE!D:D, CLIENT_CODE!B:B, ""))</f>
        <v>Indusind General Insurance Co Ltd</v>
      </c>
      <c r="G13" s="270" t="s">
        <v>65</v>
      </c>
      <c r="H13" s="340">
        <v>45917</v>
      </c>
      <c r="I13" s="272" t="str">
        <f t="shared" si="0"/>
        <v>Sep-25</v>
      </c>
      <c r="J13" s="272">
        <v>1</v>
      </c>
      <c r="K13" s="272">
        <v>0</v>
      </c>
      <c r="L13" s="272">
        <v>1</v>
      </c>
      <c r="M13" s="272">
        <v>0</v>
      </c>
      <c r="N13" s="272">
        <v>1</v>
      </c>
      <c r="O13" s="272">
        <v>0</v>
      </c>
      <c r="P13" s="272">
        <v>0</v>
      </c>
      <c r="Q13" s="272">
        <v>0</v>
      </c>
      <c r="R13" s="272">
        <v>1</v>
      </c>
      <c r="S13" s="272">
        <v>1</v>
      </c>
      <c r="T13" s="272">
        <v>0</v>
      </c>
      <c r="U13" s="272">
        <v>0</v>
      </c>
      <c r="V13" s="272">
        <v>0</v>
      </c>
      <c r="W13" s="272">
        <v>0</v>
      </c>
      <c r="X13" s="270">
        <v>0</v>
      </c>
      <c r="Y13" s="270">
        <f t="shared" si="3"/>
        <v>5</v>
      </c>
      <c r="Z13" s="272" t="str">
        <f ca="1"/>
        <v>WT</v>
      </c>
      <c r="AA13" s="272"/>
      <c r="AB13" s="288"/>
    </row>
    <row r="14" spans="1:28" ht="20.25" customHeight="1">
      <c r="A14" s="270">
        <v>13</v>
      </c>
      <c r="B14" s="276" t="s">
        <v>66</v>
      </c>
      <c r="C14" s="271" t="s">
        <v>27</v>
      </c>
      <c r="D14" s="270" t="s">
        <v>53</v>
      </c>
      <c r="E14" s="270" t="s">
        <v>67</v>
      </c>
      <c r="F14" s="272" t="str">
        <f>IF(D14="", "", _xlfn.XLOOKUP(D14, CLIENT_CODE!D:D, CLIENT_CODE!B:B, ""))</f>
        <v>Indusind General Insurance Co Ltd</v>
      </c>
      <c r="G14" s="270" t="s">
        <v>68</v>
      </c>
      <c r="H14" s="340">
        <v>45917</v>
      </c>
      <c r="I14" s="272" t="str">
        <f t="shared" si="0"/>
        <v>Sep-25</v>
      </c>
      <c r="J14" s="272">
        <v>0</v>
      </c>
      <c r="K14" s="272">
        <v>0</v>
      </c>
      <c r="L14" s="272">
        <v>1</v>
      </c>
      <c r="M14" s="272">
        <v>0</v>
      </c>
      <c r="N14" s="272">
        <v>0</v>
      </c>
      <c r="O14" s="272">
        <v>0</v>
      </c>
      <c r="P14" s="272">
        <v>0</v>
      </c>
      <c r="Q14" s="272">
        <v>0</v>
      </c>
      <c r="R14" s="272">
        <v>0</v>
      </c>
      <c r="S14" s="272">
        <v>0</v>
      </c>
      <c r="T14" s="272">
        <v>0</v>
      </c>
      <c r="U14" s="272">
        <v>0</v>
      </c>
      <c r="V14" s="272">
        <v>0</v>
      </c>
      <c r="W14" s="272">
        <v>0</v>
      </c>
      <c r="X14" s="270">
        <v>0</v>
      </c>
      <c r="Y14" s="270">
        <f t="shared" si="3"/>
        <v>1</v>
      </c>
      <c r="Z14" s="272" t="str">
        <f ca="1"/>
        <v>WT</v>
      </c>
      <c r="AA14" s="272"/>
      <c r="AB14" s="288"/>
    </row>
    <row r="15" spans="1:28" ht="20.25" customHeight="1">
      <c r="A15" s="270">
        <v>14</v>
      </c>
      <c r="B15" s="276" t="s">
        <v>69</v>
      </c>
      <c r="C15" s="271" t="s">
        <v>27</v>
      </c>
      <c r="D15" s="270" t="s">
        <v>53</v>
      </c>
      <c r="E15" s="270" t="s">
        <v>70</v>
      </c>
      <c r="F15" s="272" t="str">
        <f>IF(D15="", "", _xlfn.XLOOKUP(D15, CLIENT_CODE!D:D, CLIENT_CODE!B:B, ""))</f>
        <v>Indusind General Insurance Co Ltd</v>
      </c>
      <c r="G15" s="270" t="s">
        <v>71</v>
      </c>
      <c r="H15" s="340">
        <v>45917</v>
      </c>
      <c r="I15" s="272" t="str">
        <f t="shared" si="0"/>
        <v>Sep-25</v>
      </c>
      <c r="J15" s="272">
        <v>1</v>
      </c>
      <c r="K15" s="272">
        <v>0</v>
      </c>
      <c r="L15" s="272">
        <v>1</v>
      </c>
      <c r="M15" s="272">
        <v>0</v>
      </c>
      <c r="N15" s="272">
        <v>1</v>
      </c>
      <c r="O15" s="272">
        <v>0</v>
      </c>
      <c r="P15" s="272">
        <v>0</v>
      </c>
      <c r="Q15" s="272">
        <v>0</v>
      </c>
      <c r="R15" s="272">
        <v>1</v>
      </c>
      <c r="S15" s="272">
        <v>1</v>
      </c>
      <c r="T15" s="272">
        <v>0</v>
      </c>
      <c r="U15" s="272">
        <v>0</v>
      </c>
      <c r="V15" s="272">
        <v>0</v>
      </c>
      <c r="W15" s="272">
        <v>0</v>
      </c>
      <c r="X15" s="270">
        <v>0</v>
      </c>
      <c r="Y15" s="270">
        <f t="shared" si="3"/>
        <v>5</v>
      </c>
      <c r="Z15" s="272" t="str">
        <f ca="1"/>
        <v>WT</v>
      </c>
      <c r="AA15" s="272"/>
      <c r="AB15" s="288"/>
    </row>
    <row r="16" spans="1:28" ht="20.25" customHeight="1">
      <c r="A16" s="270">
        <v>15</v>
      </c>
      <c r="B16" s="276" t="s">
        <v>72</v>
      </c>
      <c r="C16" s="271" t="s">
        <v>27</v>
      </c>
      <c r="D16" s="270" t="s">
        <v>53</v>
      </c>
      <c r="E16" s="270" t="s">
        <v>73</v>
      </c>
      <c r="F16" s="272" t="str">
        <f>IF(D16="", "", _xlfn.XLOOKUP(D16, CLIENT_CODE!D:D, CLIENT_CODE!B:B, ""))</f>
        <v>Indusind General Insurance Co Ltd</v>
      </c>
      <c r="G16" s="270" t="s">
        <v>74</v>
      </c>
      <c r="H16" s="340">
        <v>45917</v>
      </c>
      <c r="I16" s="272" t="str">
        <f t="shared" si="0"/>
        <v>Sep-25</v>
      </c>
      <c r="J16" s="272">
        <v>0</v>
      </c>
      <c r="K16" s="272">
        <v>0</v>
      </c>
      <c r="L16" s="272">
        <v>1</v>
      </c>
      <c r="M16" s="272">
        <v>0</v>
      </c>
      <c r="N16" s="272">
        <v>0</v>
      </c>
      <c r="O16" s="272">
        <v>0</v>
      </c>
      <c r="P16" s="272">
        <v>0</v>
      </c>
      <c r="Q16" s="272">
        <v>0</v>
      </c>
      <c r="R16" s="272">
        <v>0</v>
      </c>
      <c r="S16" s="272">
        <v>1</v>
      </c>
      <c r="T16" s="272">
        <v>0</v>
      </c>
      <c r="U16" s="272">
        <v>0</v>
      </c>
      <c r="V16" s="272">
        <v>0</v>
      </c>
      <c r="W16" s="272">
        <v>0</v>
      </c>
      <c r="X16" s="270">
        <v>0</v>
      </c>
      <c r="Y16" s="270">
        <f t="shared" si="3"/>
        <v>2</v>
      </c>
      <c r="Z16" s="272" t="str">
        <f ca="1"/>
        <v>WT</v>
      </c>
      <c r="AA16" s="272"/>
      <c r="AB16" s="288"/>
    </row>
    <row r="17" spans="1:28" ht="20.25" customHeight="1">
      <c r="A17" s="270">
        <v>16</v>
      </c>
      <c r="B17" s="276" t="s">
        <v>75</v>
      </c>
      <c r="C17" s="271" t="s">
        <v>27</v>
      </c>
      <c r="D17" s="270" t="s">
        <v>53</v>
      </c>
      <c r="E17" s="270" t="s">
        <v>76</v>
      </c>
      <c r="F17" s="272" t="str">
        <f>IF(D17="", "", _xlfn.XLOOKUP(D17, CLIENT_CODE!D:D, CLIENT_CODE!B:B, ""))</f>
        <v>Indusind General Insurance Co Ltd</v>
      </c>
      <c r="G17" s="270" t="s">
        <v>77</v>
      </c>
      <c r="H17" s="340">
        <v>45917</v>
      </c>
      <c r="I17" s="272" t="str">
        <f t="shared" si="0"/>
        <v>Sep-25</v>
      </c>
      <c r="J17" s="272">
        <v>1</v>
      </c>
      <c r="K17" s="272">
        <v>0</v>
      </c>
      <c r="L17" s="272">
        <v>1</v>
      </c>
      <c r="M17" s="272">
        <v>0</v>
      </c>
      <c r="N17" s="272">
        <v>1</v>
      </c>
      <c r="O17" s="272">
        <v>0</v>
      </c>
      <c r="P17" s="272">
        <v>0</v>
      </c>
      <c r="Q17" s="272">
        <v>0</v>
      </c>
      <c r="R17" s="272">
        <v>1</v>
      </c>
      <c r="S17" s="272">
        <v>1</v>
      </c>
      <c r="T17" s="272">
        <v>0</v>
      </c>
      <c r="U17" s="272">
        <v>0</v>
      </c>
      <c r="V17" s="272">
        <v>0</v>
      </c>
      <c r="W17" s="272">
        <v>0</v>
      </c>
      <c r="X17" s="270">
        <v>0</v>
      </c>
      <c r="Y17" s="270">
        <f t="shared" si="3"/>
        <v>5</v>
      </c>
      <c r="Z17" s="272" t="str">
        <f ca="1"/>
        <v>WT</v>
      </c>
      <c r="AA17" s="272"/>
      <c r="AB17" s="288"/>
    </row>
    <row r="18" spans="1:28" ht="20.25" customHeight="1">
      <c r="A18" s="270">
        <v>17</v>
      </c>
      <c r="B18" s="276" t="s">
        <v>78</v>
      </c>
      <c r="C18" s="271" t="s">
        <v>27</v>
      </c>
      <c r="D18" s="270" t="s">
        <v>53</v>
      </c>
      <c r="E18" s="270" t="s">
        <v>79</v>
      </c>
      <c r="F18" s="272" t="str">
        <f>IF(D18="", "", _xlfn.XLOOKUP(D18, CLIENT_CODE!D:D, CLIENT_CODE!B:B, ""))</f>
        <v>Indusind General Insurance Co Ltd</v>
      </c>
      <c r="G18" s="270" t="s">
        <v>80</v>
      </c>
      <c r="H18" s="340">
        <v>45917</v>
      </c>
      <c r="I18" s="272" t="str">
        <f t="shared" si="0"/>
        <v>Sep-25</v>
      </c>
      <c r="J18" s="272">
        <v>1</v>
      </c>
      <c r="K18" s="272">
        <v>0</v>
      </c>
      <c r="L18" s="272">
        <v>1</v>
      </c>
      <c r="M18" s="272">
        <v>0</v>
      </c>
      <c r="N18" s="272">
        <v>1</v>
      </c>
      <c r="O18" s="272">
        <v>0</v>
      </c>
      <c r="P18" s="272">
        <v>0</v>
      </c>
      <c r="Q18" s="272">
        <v>0</v>
      </c>
      <c r="R18" s="272">
        <v>1</v>
      </c>
      <c r="S18" s="272">
        <v>1</v>
      </c>
      <c r="T18" s="272">
        <v>0</v>
      </c>
      <c r="U18" s="272">
        <v>0</v>
      </c>
      <c r="V18" s="272">
        <v>0</v>
      </c>
      <c r="W18" s="272">
        <v>0</v>
      </c>
      <c r="X18" s="270">
        <v>0</v>
      </c>
      <c r="Y18" s="270">
        <f t="shared" si="3"/>
        <v>5</v>
      </c>
      <c r="Z18" s="272" t="str">
        <f ca="1"/>
        <v>WT</v>
      </c>
      <c r="AA18" s="272"/>
      <c r="AB18" s="288"/>
    </row>
    <row r="19" spans="1:28" ht="20.25" customHeight="1">
      <c r="A19" s="270">
        <v>18</v>
      </c>
      <c r="B19" s="276" t="s">
        <v>81</v>
      </c>
      <c r="C19" s="271" t="s">
        <v>27</v>
      </c>
      <c r="D19" s="270" t="s">
        <v>38</v>
      </c>
      <c r="E19" s="270" t="s">
        <v>82</v>
      </c>
      <c r="F19" s="272" t="str">
        <f>IF(D19="", "", _xlfn.XLOOKUP(D19, CLIENT_CODE!D:D, CLIENT_CODE!B:B, ""))</f>
        <v>Generali Central Insurance Company Limited</v>
      </c>
      <c r="G19" s="270" t="s">
        <v>83</v>
      </c>
      <c r="H19" s="340">
        <v>45917</v>
      </c>
      <c r="I19" s="272" t="str">
        <f t="shared" si="0"/>
        <v>Sep-25</v>
      </c>
      <c r="J19" s="272">
        <v>0</v>
      </c>
      <c r="K19" s="272">
        <v>0</v>
      </c>
      <c r="L19" s="272">
        <v>1</v>
      </c>
      <c r="M19" s="272">
        <v>1</v>
      </c>
      <c r="N19" s="272">
        <v>0</v>
      </c>
      <c r="O19" s="272">
        <v>1</v>
      </c>
      <c r="P19" s="272">
        <v>1</v>
      </c>
      <c r="Q19" s="272">
        <v>0</v>
      </c>
      <c r="R19" s="272">
        <v>0</v>
      </c>
      <c r="S19" s="272">
        <v>1</v>
      </c>
      <c r="T19" s="272">
        <v>0</v>
      </c>
      <c r="U19" s="272">
        <v>0</v>
      </c>
      <c r="V19" s="272">
        <v>1</v>
      </c>
      <c r="W19" s="272">
        <v>0</v>
      </c>
      <c r="X19" s="270">
        <v>0</v>
      </c>
      <c r="Y19" s="270">
        <f t="shared" si="3"/>
        <v>5</v>
      </c>
      <c r="Z19" s="272" t="str">
        <f ca="1"/>
        <v>WT</v>
      </c>
      <c r="AA19" s="272"/>
      <c r="AB19" s="288"/>
    </row>
    <row r="20" spans="1:28" ht="20.25" customHeight="1">
      <c r="A20" s="270">
        <v>19</v>
      </c>
      <c r="B20" s="276" t="s">
        <v>81</v>
      </c>
      <c r="C20" s="271" t="s">
        <v>27</v>
      </c>
      <c r="D20" s="270" t="s">
        <v>38</v>
      </c>
      <c r="E20" s="270" t="s">
        <v>84</v>
      </c>
      <c r="F20" s="272" t="str">
        <f>IF(D20="", "", _xlfn.XLOOKUP(D20, CLIENT_CODE!D:D, CLIENT_CODE!B:B, ""))</f>
        <v>Generali Central Insurance Company Limited</v>
      </c>
      <c r="G20" s="275" t="s">
        <v>85</v>
      </c>
      <c r="H20" s="340">
        <v>45917</v>
      </c>
      <c r="I20" s="272" t="str">
        <f t="shared" si="0"/>
        <v>Sep-25</v>
      </c>
      <c r="J20" s="272">
        <v>0</v>
      </c>
      <c r="K20" s="272">
        <v>0</v>
      </c>
      <c r="L20" s="272">
        <v>1</v>
      </c>
      <c r="M20" s="272">
        <v>1</v>
      </c>
      <c r="N20" s="272">
        <v>0</v>
      </c>
      <c r="O20" s="272">
        <v>0</v>
      </c>
      <c r="P20" s="272">
        <v>0</v>
      </c>
      <c r="Q20" s="272">
        <v>0</v>
      </c>
      <c r="R20" s="272">
        <v>0</v>
      </c>
      <c r="S20" s="272">
        <v>0</v>
      </c>
      <c r="T20" s="272">
        <v>0</v>
      </c>
      <c r="U20" s="272">
        <v>0</v>
      </c>
      <c r="V20" s="272">
        <v>1</v>
      </c>
      <c r="W20" s="272">
        <v>0</v>
      </c>
      <c r="X20" s="270">
        <v>0</v>
      </c>
      <c r="Y20" s="270">
        <f>IF(COUNTA(J20:T20)=0, "", SUM(J20:T20))</f>
        <v>2</v>
      </c>
      <c r="Z20" s="272" t="str">
        <f ca="1"/>
        <v>WT</v>
      </c>
      <c r="AA20" s="272"/>
      <c r="AB20" s="288"/>
    </row>
    <row r="21" spans="1:28" ht="20.25" customHeight="1">
      <c r="A21" s="270">
        <v>20</v>
      </c>
      <c r="B21" s="276" t="s">
        <v>81</v>
      </c>
      <c r="C21" s="271" t="s">
        <v>27</v>
      </c>
      <c r="D21" s="270" t="s">
        <v>38</v>
      </c>
      <c r="E21" s="270" t="s">
        <v>86</v>
      </c>
      <c r="F21" s="272" t="str">
        <f>IF(D21="", "", _xlfn.XLOOKUP(D21, CLIENT_CODE!D:D, CLIENT_CODE!B:B, ""))</f>
        <v>Generali Central Insurance Company Limited</v>
      </c>
      <c r="G21" s="275" t="s">
        <v>87</v>
      </c>
      <c r="H21" s="340">
        <v>45917</v>
      </c>
      <c r="I21" s="272" t="str">
        <f t="shared" si="0"/>
        <v>Sep-25</v>
      </c>
      <c r="J21" s="272">
        <v>0</v>
      </c>
      <c r="K21" s="272">
        <v>0</v>
      </c>
      <c r="L21" s="272">
        <v>1</v>
      </c>
      <c r="M21" s="272">
        <v>1</v>
      </c>
      <c r="N21" s="272">
        <v>0</v>
      </c>
      <c r="O21" s="272">
        <v>0</v>
      </c>
      <c r="P21" s="272">
        <v>0</v>
      </c>
      <c r="Q21" s="272">
        <v>0</v>
      </c>
      <c r="R21" s="272">
        <v>0</v>
      </c>
      <c r="S21" s="272">
        <v>0</v>
      </c>
      <c r="T21" s="272">
        <v>0</v>
      </c>
      <c r="U21" s="272">
        <v>0</v>
      </c>
      <c r="V21" s="272">
        <v>1</v>
      </c>
      <c r="W21" s="272">
        <v>0</v>
      </c>
      <c r="X21" s="270">
        <v>0</v>
      </c>
      <c r="Y21" s="270">
        <f>IF(COUNTA(J21:T21)=0, "", SUM(J21:T21))</f>
        <v>2</v>
      </c>
      <c r="Z21" s="272" t="str">
        <f ca="1"/>
        <v>WT</v>
      </c>
      <c r="AA21" s="272"/>
      <c r="AB21" s="288"/>
    </row>
    <row r="22" spans="1:28" ht="20.25" customHeight="1">
      <c r="A22" s="270">
        <v>21</v>
      </c>
      <c r="B22" s="258" t="s">
        <v>88</v>
      </c>
      <c r="C22" s="271" t="s">
        <v>27</v>
      </c>
      <c r="D22" s="270" t="s">
        <v>28</v>
      </c>
      <c r="E22" s="270" t="s">
        <v>89</v>
      </c>
      <c r="F22" s="272" t="str">
        <f>IF(D22="", "", _xlfn.XLOOKUP(D22, CLIENT_CODE!D:D, CLIENT_CODE!B:B, ""))</f>
        <v>Magma HDI General Insurance Company Ltd</v>
      </c>
      <c r="G22" s="259" t="s">
        <v>90</v>
      </c>
      <c r="H22" s="339">
        <v>45734</v>
      </c>
      <c r="I22" s="272" t="str">
        <f t="shared" si="0"/>
        <v>Mar-25</v>
      </c>
      <c r="J22" s="272">
        <v>1</v>
      </c>
      <c r="K22" s="272">
        <v>0</v>
      </c>
      <c r="L22" s="272">
        <v>1</v>
      </c>
      <c r="M22" s="272">
        <v>0</v>
      </c>
      <c r="N22" s="272">
        <v>1</v>
      </c>
      <c r="O22" s="272">
        <v>0</v>
      </c>
      <c r="P22" s="272">
        <v>0</v>
      </c>
      <c r="Q22" s="272">
        <v>0</v>
      </c>
      <c r="R22" s="272">
        <v>1</v>
      </c>
      <c r="S22" s="272">
        <v>1</v>
      </c>
      <c r="T22" s="272">
        <v>0</v>
      </c>
      <c r="U22" s="272">
        <v>0</v>
      </c>
      <c r="V22" s="272">
        <v>0</v>
      </c>
      <c r="W22" s="272">
        <v>0</v>
      </c>
      <c r="X22" s="270">
        <v>0</v>
      </c>
      <c r="Y22" s="270">
        <f t="shared" si="3"/>
        <v>5</v>
      </c>
      <c r="Z22" s="272" t="str">
        <f ca="1"/>
        <v>WT</v>
      </c>
      <c r="AA22" s="272"/>
      <c r="AB22" s="288"/>
    </row>
    <row r="23" spans="1:28" ht="20.25" customHeight="1">
      <c r="A23" s="270">
        <v>22</v>
      </c>
      <c r="B23" s="260" t="s">
        <v>91</v>
      </c>
      <c r="C23" s="271" t="s">
        <v>27</v>
      </c>
      <c r="D23" s="270" t="s">
        <v>53</v>
      </c>
      <c r="E23" s="270" t="s">
        <v>92</v>
      </c>
      <c r="F23" s="272" t="str">
        <f>IF(D23="", "", _xlfn.XLOOKUP(D23, CLIENT_CODE!D:D, CLIENT_CODE!B:B, ""))</f>
        <v>Indusind General Insurance Co Ltd</v>
      </c>
      <c r="G23" s="257" t="s">
        <v>93</v>
      </c>
      <c r="H23" s="340">
        <v>45918</v>
      </c>
      <c r="I23" s="272" t="str">
        <f t="shared" si="0"/>
        <v>Sep-25</v>
      </c>
      <c r="J23" s="272">
        <v>1</v>
      </c>
      <c r="K23" s="272">
        <v>0</v>
      </c>
      <c r="L23" s="272">
        <v>1</v>
      </c>
      <c r="M23" s="272">
        <v>0</v>
      </c>
      <c r="N23" s="272">
        <v>1</v>
      </c>
      <c r="O23" s="272">
        <v>0</v>
      </c>
      <c r="P23" s="272">
        <v>0</v>
      </c>
      <c r="Q23" s="272">
        <v>0</v>
      </c>
      <c r="R23" s="272">
        <v>1</v>
      </c>
      <c r="S23" s="272">
        <v>1</v>
      </c>
      <c r="T23" s="272">
        <v>0</v>
      </c>
      <c r="U23" s="272">
        <v>0</v>
      </c>
      <c r="V23" s="272">
        <v>0</v>
      </c>
      <c r="W23" s="272">
        <v>0</v>
      </c>
      <c r="X23" s="270">
        <v>0</v>
      </c>
      <c r="Y23" s="270">
        <f t="shared" si="3"/>
        <v>5</v>
      </c>
      <c r="Z23" s="272" t="str">
        <f ca="1"/>
        <v>WT</v>
      </c>
      <c r="AA23" s="272"/>
      <c r="AB23" s="288"/>
    </row>
    <row r="24" spans="1:28" ht="20.25" customHeight="1">
      <c r="A24" s="270">
        <v>23</v>
      </c>
      <c r="B24" s="276" t="s">
        <v>41</v>
      </c>
      <c r="C24" s="271" t="s">
        <v>27</v>
      </c>
      <c r="D24" s="270" t="s">
        <v>53</v>
      </c>
      <c r="E24" s="270" t="s">
        <v>94</v>
      </c>
      <c r="F24" s="272" t="str">
        <f>IF(D24="", "", _xlfn.XLOOKUP(D24, CLIENT_CODE!D:D, CLIENT_CODE!B:B, ""))</f>
        <v>Indusind General Insurance Co Ltd</v>
      </c>
      <c r="G24" s="257" t="s">
        <v>95</v>
      </c>
      <c r="H24" s="340">
        <v>45919</v>
      </c>
      <c r="I24" s="272" t="str">
        <f t="shared" si="0"/>
        <v>Sep-25</v>
      </c>
      <c r="J24" s="272">
        <v>0</v>
      </c>
      <c r="K24" s="272">
        <v>0</v>
      </c>
      <c r="L24" s="272">
        <v>1</v>
      </c>
      <c r="M24" s="272">
        <v>0</v>
      </c>
      <c r="N24" s="272">
        <v>0</v>
      </c>
      <c r="O24" s="272">
        <v>0</v>
      </c>
      <c r="P24" s="272">
        <v>0</v>
      </c>
      <c r="Q24" s="272">
        <v>0</v>
      </c>
      <c r="R24" s="272">
        <v>0</v>
      </c>
      <c r="S24" s="272">
        <v>0</v>
      </c>
      <c r="T24" s="272">
        <v>0</v>
      </c>
      <c r="U24" s="272">
        <v>0</v>
      </c>
      <c r="V24" s="272">
        <v>0</v>
      </c>
      <c r="W24" s="272">
        <v>0</v>
      </c>
      <c r="X24" s="270">
        <v>0</v>
      </c>
      <c r="Y24" s="270">
        <f t="shared" si="3"/>
        <v>1</v>
      </c>
      <c r="Z24" s="272" t="str">
        <f ca="1"/>
        <v>WT</v>
      </c>
      <c r="AA24" s="272"/>
      <c r="AB24" s="288"/>
    </row>
    <row r="25" spans="1:28" ht="20.25" customHeight="1">
      <c r="A25" s="270">
        <v>24</v>
      </c>
      <c r="B25" s="272" t="s">
        <v>96</v>
      </c>
      <c r="C25" s="271" t="s">
        <v>27</v>
      </c>
      <c r="D25" s="270" t="s">
        <v>38</v>
      </c>
      <c r="E25" s="270" t="s">
        <v>97</v>
      </c>
      <c r="F25" s="272" t="str">
        <f>IF(D25="", "", _xlfn.XLOOKUP(D25, CLIENT_CODE!D:D, CLIENT_CODE!B:B, ""))</f>
        <v>Generali Central Insurance Company Limited</v>
      </c>
      <c r="G25" s="270" t="s">
        <v>98</v>
      </c>
      <c r="H25" s="340">
        <v>45929</v>
      </c>
      <c r="I25" s="272" t="str">
        <f t="shared" si="0"/>
        <v>Sep-25</v>
      </c>
      <c r="J25" s="272">
        <v>1</v>
      </c>
      <c r="K25" s="272">
        <v>0</v>
      </c>
      <c r="L25" s="272">
        <v>1</v>
      </c>
      <c r="M25" s="272">
        <v>0</v>
      </c>
      <c r="N25" s="272">
        <v>0</v>
      </c>
      <c r="O25" s="272">
        <v>0</v>
      </c>
      <c r="P25" s="272">
        <v>0</v>
      </c>
      <c r="Q25" s="272">
        <v>0</v>
      </c>
      <c r="R25" s="272">
        <v>1</v>
      </c>
      <c r="S25" s="272">
        <v>1</v>
      </c>
      <c r="T25" s="272">
        <v>0</v>
      </c>
      <c r="U25" s="272">
        <v>0</v>
      </c>
      <c r="V25" s="272">
        <v>0</v>
      </c>
      <c r="W25" s="272">
        <v>0</v>
      </c>
      <c r="X25" s="270">
        <v>0</v>
      </c>
      <c r="Y25" s="270">
        <f t="shared" si="3"/>
        <v>4</v>
      </c>
      <c r="Z25" s="272" t="str">
        <f ca="1"/>
        <v>WT</v>
      </c>
      <c r="AA25" s="272"/>
      <c r="AB25" s="288"/>
    </row>
    <row r="26" spans="1:28" ht="20.25" customHeight="1">
      <c r="A26" s="270">
        <v>25</v>
      </c>
      <c r="B26" s="276" t="s">
        <v>41</v>
      </c>
      <c r="C26" s="271" t="s">
        <v>27</v>
      </c>
      <c r="D26" s="270" t="s">
        <v>53</v>
      </c>
      <c r="E26" s="270" t="s">
        <v>99</v>
      </c>
      <c r="F26" s="272" t="str">
        <f>IF(D26="", "", _xlfn.XLOOKUP(D26, CLIENT_CODE!D:D, CLIENT_CODE!B:B, ""))</f>
        <v>Indusind General Insurance Co Ltd</v>
      </c>
      <c r="G26" s="257" t="s">
        <v>100</v>
      </c>
      <c r="H26" s="340">
        <v>45938</v>
      </c>
      <c r="I26" s="272" t="str">
        <f t="shared" si="0"/>
        <v>Oct-25</v>
      </c>
      <c r="J26" s="272">
        <v>0</v>
      </c>
      <c r="K26" s="272">
        <v>0</v>
      </c>
      <c r="L26" s="272">
        <v>0</v>
      </c>
      <c r="M26" s="272">
        <v>0</v>
      </c>
      <c r="N26" s="272">
        <v>0</v>
      </c>
      <c r="O26" s="272">
        <v>0</v>
      </c>
      <c r="P26" s="272">
        <v>0</v>
      </c>
      <c r="Q26" s="272">
        <v>1</v>
      </c>
      <c r="R26" s="272">
        <v>0</v>
      </c>
      <c r="S26" s="272">
        <v>0</v>
      </c>
      <c r="T26" s="272">
        <v>0</v>
      </c>
      <c r="U26" s="272">
        <v>0</v>
      </c>
      <c r="V26" s="272">
        <v>0</v>
      </c>
      <c r="W26" s="272">
        <v>0</v>
      </c>
      <c r="X26" s="270">
        <v>0</v>
      </c>
      <c r="Y26" s="270">
        <f t="shared" si="3"/>
        <v>1</v>
      </c>
      <c r="Z26" s="272" t="str">
        <f ca="1"/>
        <v>WT</v>
      </c>
      <c r="AA26" s="272"/>
      <c r="AB26" s="288"/>
    </row>
    <row r="27" spans="1:28" ht="20.25" customHeight="1">
      <c r="A27" s="270">
        <v>26</v>
      </c>
      <c r="B27" s="258" t="s">
        <v>101</v>
      </c>
      <c r="C27" s="271" t="s">
        <v>27</v>
      </c>
      <c r="D27" s="270" t="s">
        <v>53</v>
      </c>
      <c r="E27" s="270" t="s">
        <v>102</v>
      </c>
      <c r="F27" s="272" t="str">
        <f>IF(D27="", "", _xlfn.XLOOKUP(D27, CLIENT_CODE!D:D, CLIENT_CODE!B:B, ""))</f>
        <v>Indusind General Insurance Co Ltd</v>
      </c>
      <c r="G27" s="257" t="s">
        <v>103</v>
      </c>
      <c r="H27" s="340">
        <v>45938</v>
      </c>
      <c r="I27" s="272" t="str">
        <f t="shared" si="0"/>
        <v>Oct-25</v>
      </c>
      <c r="J27" s="272">
        <v>1</v>
      </c>
      <c r="K27" s="272">
        <v>0</v>
      </c>
      <c r="L27" s="272">
        <v>1</v>
      </c>
      <c r="M27" s="272">
        <v>0</v>
      </c>
      <c r="N27" s="272">
        <v>1</v>
      </c>
      <c r="O27" s="272">
        <v>0</v>
      </c>
      <c r="P27" s="272">
        <v>0</v>
      </c>
      <c r="Q27" s="272">
        <v>0</v>
      </c>
      <c r="R27" s="272">
        <v>1</v>
      </c>
      <c r="S27" s="272">
        <v>1</v>
      </c>
      <c r="T27" s="272">
        <v>0</v>
      </c>
      <c r="U27" s="272">
        <v>0</v>
      </c>
      <c r="V27" s="272">
        <v>0</v>
      </c>
      <c r="W27" s="272">
        <v>0</v>
      </c>
      <c r="X27" s="270">
        <v>0</v>
      </c>
      <c r="Y27" s="270">
        <f t="shared" si="3"/>
        <v>5</v>
      </c>
      <c r="Z27" s="272" t="str">
        <f ca="1"/>
        <v>WT</v>
      </c>
      <c r="AA27" s="272"/>
      <c r="AB27" s="288"/>
    </row>
    <row r="28" spans="1:28" ht="20.25" customHeight="1">
      <c r="A28" s="270">
        <v>27</v>
      </c>
      <c r="B28" s="258" t="s">
        <v>104</v>
      </c>
      <c r="C28" s="271" t="s">
        <v>27</v>
      </c>
      <c r="D28" s="270" t="s">
        <v>53</v>
      </c>
      <c r="E28" s="270" t="s">
        <v>105</v>
      </c>
      <c r="F28" s="272" t="str">
        <f>IF(D28="", "", _xlfn.XLOOKUP(D28, CLIENT_CODE!D:D, CLIENT_CODE!B:B, ""))</f>
        <v>Indusind General Insurance Co Ltd</v>
      </c>
      <c r="G28" s="257" t="s">
        <v>106</v>
      </c>
      <c r="H28" s="340">
        <v>45938</v>
      </c>
      <c r="I28" s="272" t="str">
        <f t="shared" si="0"/>
        <v>Oct-25</v>
      </c>
      <c r="J28" s="272">
        <v>1</v>
      </c>
      <c r="K28" s="272">
        <v>0</v>
      </c>
      <c r="L28" s="272">
        <v>1</v>
      </c>
      <c r="M28" s="272">
        <v>0</v>
      </c>
      <c r="N28" s="272">
        <v>1</v>
      </c>
      <c r="O28" s="272">
        <v>0</v>
      </c>
      <c r="P28" s="272">
        <v>0</v>
      </c>
      <c r="Q28" s="272">
        <v>0</v>
      </c>
      <c r="R28" s="272">
        <v>1</v>
      </c>
      <c r="S28" s="272">
        <v>1</v>
      </c>
      <c r="T28" s="272">
        <v>0</v>
      </c>
      <c r="U28" s="272">
        <v>0</v>
      </c>
      <c r="V28" s="272">
        <v>0</v>
      </c>
      <c r="W28" s="272">
        <v>0</v>
      </c>
      <c r="X28" s="270">
        <v>0</v>
      </c>
      <c r="Y28" s="270">
        <f t="shared" si="3"/>
        <v>5</v>
      </c>
      <c r="Z28" s="272" t="str">
        <f ca="1"/>
        <v>WT</v>
      </c>
      <c r="AA28" s="272"/>
      <c r="AB28" s="288"/>
    </row>
    <row r="29" spans="1:28" ht="20.25" customHeight="1">
      <c r="A29" s="270">
        <v>28</v>
      </c>
      <c r="B29" s="258" t="s">
        <v>107</v>
      </c>
      <c r="C29" s="271" t="s">
        <v>27</v>
      </c>
      <c r="D29" s="270" t="s">
        <v>53</v>
      </c>
      <c r="E29" s="270" t="s">
        <v>108</v>
      </c>
      <c r="F29" s="272" t="str">
        <f>IF(D29="", "", _xlfn.XLOOKUP(D29, CLIENT_CODE!D:D, CLIENT_CODE!B:B, ""))</f>
        <v>Indusind General Insurance Co Ltd</v>
      </c>
      <c r="G29" s="270" t="s">
        <v>109</v>
      </c>
      <c r="H29" s="340">
        <v>45938</v>
      </c>
      <c r="I29" s="272" t="str">
        <f t="shared" si="0"/>
        <v>Oct-25</v>
      </c>
      <c r="J29" s="272">
        <v>1</v>
      </c>
      <c r="K29" s="272">
        <v>0</v>
      </c>
      <c r="L29" s="272">
        <v>1</v>
      </c>
      <c r="M29" s="272">
        <v>0</v>
      </c>
      <c r="N29" s="272">
        <v>1</v>
      </c>
      <c r="O29" s="272">
        <v>0</v>
      </c>
      <c r="P29" s="272">
        <v>0</v>
      </c>
      <c r="Q29" s="272">
        <v>0</v>
      </c>
      <c r="R29" s="272">
        <v>1</v>
      </c>
      <c r="S29" s="272">
        <v>1</v>
      </c>
      <c r="T29" s="272">
        <v>0</v>
      </c>
      <c r="U29" s="272">
        <v>0</v>
      </c>
      <c r="V29" s="272">
        <v>0</v>
      </c>
      <c r="W29" s="272">
        <v>0</v>
      </c>
      <c r="X29" s="270">
        <v>0</v>
      </c>
      <c r="Y29" s="270">
        <f t="shared" si="3"/>
        <v>5</v>
      </c>
      <c r="Z29" s="272" t="str">
        <f ca="1"/>
        <v>WT</v>
      </c>
      <c r="AA29" s="272"/>
      <c r="AB29" s="288"/>
    </row>
    <row r="30" spans="1:28" ht="20.25" customHeight="1">
      <c r="A30" s="270">
        <v>29</v>
      </c>
      <c r="B30" s="276" t="s">
        <v>41</v>
      </c>
      <c r="C30" s="271" t="s">
        <v>27</v>
      </c>
      <c r="D30" s="270" t="s">
        <v>53</v>
      </c>
      <c r="E30" s="270" t="s">
        <v>110</v>
      </c>
      <c r="F30" s="272" t="str">
        <f>IF(D30="", "", _xlfn.XLOOKUP(D30, CLIENT_CODE!D:D, CLIENT_CODE!B:B, ""))</f>
        <v>Indusind General Insurance Co Ltd</v>
      </c>
      <c r="G30" s="257" t="s">
        <v>111</v>
      </c>
      <c r="H30" s="340">
        <v>45938</v>
      </c>
      <c r="I30" s="272" t="str">
        <f t="shared" si="0"/>
        <v>Oct-25</v>
      </c>
      <c r="J30" s="272">
        <v>1</v>
      </c>
      <c r="K30" s="272">
        <v>0</v>
      </c>
      <c r="L30" s="272">
        <v>1</v>
      </c>
      <c r="M30" s="272">
        <v>0</v>
      </c>
      <c r="N30" s="272">
        <v>1</v>
      </c>
      <c r="O30" s="272">
        <v>0</v>
      </c>
      <c r="P30" s="272">
        <v>0</v>
      </c>
      <c r="Q30" s="272">
        <v>0</v>
      </c>
      <c r="R30" s="272">
        <v>1</v>
      </c>
      <c r="S30" s="272">
        <v>1</v>
      </c>
      <c r="T30" s="272">
        <v>0</v>
      </c>
      <c r="U30" s="272">
        <v>0</v>
      </c>
      <c r="V30" s="272">
        <v>0</v>
      </c>
      <c r="W30" s="272">
        <v>0</v>
      </c>
      <c r="X30" s="270">
        <v>0</v>
      </c>
      <c r="Y30" s="270">
        <f t="shared" si="3"/>
        <v>5</v>
      </c>
      <c r="Z30" s="272" t="str">
        <f ca="1"/>
        <v>WT</v>
      </c>
      <c r="AA30" s="272" t="s">
        <v>112</v>
      </c>
      <c r="AB30" s="288"/>
    </row>
    <row r="31" spans="1:28" ht="20.25" customHeight="1">
      <c r="A31" s="270">
        <v>30</v>
      </c>
      <c r="B31" s="258" t="s">
        <v>113</v>
      </c>
      <c r="C31" s="271" t="s">
        <v>27</v>
      </c>
      <c r="D31" s="270" t="s">
        <v>53</v>
      </c>
      <c r="E31" s="270" t="s">
        <v>114</v>
      </c>
      <c r="F31" s="272" t="str">
        <f>IF(D31="", "", _xlfn.XLOOKUP(D31, CLIENT_CODE!D:D, CLIENT_CODE!B:B, ""))</f>
        <v>Indusind General Insurance Co Ltd</v>
      </c>
      <c r="G31" s="257" t="s">
        <v>115</v>
      </c>
      <c r="H31" s="340">
        <v>45938</v>
      </c>
      <c r="I31" s="272" t="str">
        <f t="shared" si="0"/>
        <v>Oct-25</v>
      </c>
      <c r="J31" s="272">
        <v>1</v>
      </c>
      <c r="K31" s="272">
        <v>0</v>
      </c>
      <c r="L31" s="272">
        <v>1</v>
      </c>
      <c r="M31" s="272">
        <v>0</v>
      </c>
      <c r="N31" s="272">
        <v>1</v>
      </c>
      <c r="O31" s="272">
        <v>0</v>
      </c>
      <c r="P31" s="272">
        <v>0</v>
      </c>
      <c r="Q31" s="272">
        <v>0</v>
      </c>
      <c r="R31" s="272">
        <v>1</v>
      </c>
      <c r="S31" s="272">
        <v>0</v>
      </c>
      <c r="T31" s="272">
        <v>0</v>
      </c>
      <c r="U31" s="272">
        <v>0</v>
      </c>
      <c r="V31" s="272">
        <v>0</v>
      </c>
      <c r="W31" s="272">
        <v>0</v>
      </c>
      <c r="X31" s="270">
        <v>0</v>
      </c>
      <c r="Y31" s="270">
        <f t="shared" si="3"/>
        <v>4</v>
      </c>
      <c r="Z31" s="272" t="str">
        <f ca="1"/>
        <v>WT</v>
      </c>
      <c r="AA31" s="272"/>
      <c r="AB31" s="288"/>
    </row>
    <row r="32" spans="1:28" ht="20.25" customHeight="1">
      <c r="A32" s="270">
        <v>31</v>
      </c>
      <c r="B32" s="258" t="s">
        <v>116</v>
      </c>
      <c r="C32" s="271" t="s">
        <v>27</v>
      </c>
      <c r="D32" s="270" t="s">
        <v>53</v>
      </c>
      <c r="E32" s="270" t="s">
        <v>117</v>
      </c>
      <c r="F32" s="272" t="str">
        <f>IF(D32="", "", _xlfn.XLOOKUP(D32, CLIENT_CODE!D:D, CLIENT_CODE!B:B, ""))</f>
        <v>Indusind General Insurance Co Ltd</v>
      </c>
      <c r="G32" s="257" t="s">
        <v>118</v>
      </c>
      <c r="H32" s="340">
        <v>45938</v>
      </c>
      <c r="I32" s="272" t="str">
        <f t="shared" si="0"/>
        <v>Oct-25</v>
      </c>
      <c r="J32" s="272">
        <v>1</v>
      </c>
      <c r="K32" s="272">
        <v>0</v>
      </c>
      <c r="L32" s="272">
        <v>1</v>
      </c>
      <c r="M32" s="272">
        <v>0</v>
      </c>
      <c r="N32" s="272">
        <v>1</v>
      </c>
      <c r="O32" s="272">
        <v>0</v>
      </c>
      <c r="P32" s="272">
        <v>0</v>
      </c>
      <c r="Q32" s="272">
        <v>0</v>
      </c>
      <c r="R32" s="272">
        <v>1</v>
      </c>
      <c r="S32" s="272">
        <v>1</v>
      </c>
      <c r="T32" s="272">
        <v>0</v>
      </c>
      <c r="U32" s="272">
        <v>0</v>
      </c>
      <c r="V32" s="272">
        <v>0</v>
      </c>
      <c r="W32" s="272">
        <v>0</v>
      </c>
      <c r="X32" s="270">
        <v>0</v>
      </c>
      <c r="Y32" s="270">
        <f t="shared" si="3"/>
        <v>5</v>
      </c>
      <c r="Z32" s="272" t="str">
        <f ca="1"/>
        <v>WT</v>
      </c>
      <c r="AA32" s="272"/>
      <c r="AB32" s="288"/>
    </row>
    <row r="33" spans="1:28" ht="20.25" customHeight="1">
      <c r="A33" s="270">
        <v>32</v>
      </c>
      <c r="B33" s="258" t="s">
        <v>119</v>
      </c>
      <c r="C33" s="271" t="s">
        <v>27</v>
      </c>
      <c r="D33" s="270" t="s">
        <v>38</v>
      </c>
      <c r="E33" s="270" t="s">
        <v>120</v>
      </c>
      <c r="F33" s="272" t="str">
        <f>IF(D33="", "", _xlfn.XLOOKUP(D33, CLIENT_CODE!D:D, CLIENT_CODE!B:B, ""))</f>
        <v>Generali Central Insurance Company Limited</v>
      </c>
      <c r="G33" s="257" t="s">
        <v>121</v>
      </c>
      <c r="H33" s="340">
        <v>45938</v>
      </c>
      <c r="I33" s="272" t="str">
        <f t="shared" si="0"/>
        <v>Oct-25</v>
      </c>
      <c r="J33" s="272">
        <v>1</v>
      </c>
      <c r="K33" s="272">
        <v>0</v>
      </c>
      <c r="L33" s="272">
        <v>1</v>
      </c>
      <c r="M33" s="272">
        <v>0</v>
      </c>
      <c r="N33" s="272">
        <v>1</v>
      </c>
      <c r="O33" s="272">
        <v>0</v>
      </c>
      <c r="P33" s="272">
        <v>0</v>
      </c>
      <c r="Q33" s="272">
        <v>0</v>
      </c>
      <c r="R33" s="272">
        <v>1</v>
      </c>
      <c r="S33" s="272">
        <v>1</v>
      </c>
      <c r="T33" s="272">
        <v>0</v>
      </c>
      <c r="U33" s="272">
        <v>0</v>
      </c>
      <c r="V33" s="272">
        <v>0</v>
      </c>
      <c r="W33" s="272">
        <v>0</v>
      </c>
      <c r="X33" s="270">
        <v>0</v>
      </c>
      <c r="Y33" s="270">
        <f t="shared" si="3"/>
        <v>5</v>
      </c>
      <c r="Z33" s="272" t="str">
        <f ca="1"/>
        <v>WT</v>
      </c>
      <c r="AA33" s="272"/>
      <c r="AB33" s="288"/>
    </row>
    <row r="34" spans="1:28" ht="20.25" customHeight="1">
      <c r="A34" s="270">
        <v>33</v>
      </c>
      <c r="B34" s="258" t="s">
        <v>122</v>
      </c>
      <c r="C34" s="271" t="s">
        <v>27</v>
      </c>
      <c r="D34" s="270" t="s">
        <v>53</v>
      </c>
      <c r="E34" s="270" t="s">
        <v>123</v>
      </c>
      <c r="F34" s="272" t="str">
        <f>IF(D34="", "", _xlfn.XLOOKUP(D34, CLIENT_CODE!D:D, CLIENT_CODE!B:B, ""))</f>
        <v>Indusind General Insurance Co Ltd</v>
      </c>
      <c r="G34" s="257" t="s">
        <v>124</v>
      </c>
      <c r="H34" s="340">
        <v>45940</v>
      </c>
      <c r="I34" s="272" t="str">
        <f t="shared" si="0"/>
        <v>Oct-25</v>
      </c>
      <c r="J34" s="272">
        <v>1</v>
      </c>
      <c r="K34" s="272">
        <v>0</v>
      </c>
      <c r="L34" s="272">
        <v>1</v>
      </c>
      <c r="M34" s="272">
        <v>0</v>
      </c>
      <c r="N34" s="272">
        <v>1</v>
      </c>
      <c r="O34" s="272">
        <v>0</v>
      </c>
      <c r="P34" s="272">
        <v>0</v>
      </c>
      <c r="Q34" s="272">
        <v>0</v>
      </c>
      <c r="R34" s="272">
        <v>1</v>
      </c>
      <c r="S34" s="272">
        <v>1</v>
      </c>
      <c r="T34" s="272">
        <v>0</v>
      </c>
      <c r="U34" s="272">
        <v>0</v>
      </c>
      <c r="V34" s="272">
        <v>0</v>
      </c>
      <c r="W34" s="272">
        <v>0</v>
      </c>
      <c r="X34" s="270">
        <v>0</v>
      </c>
      <c r="Y34" s="270">
        <f t="shared" si="3"/>
        <v>5</v>
      </c>
      <c r="Z34" s="272" t="str">
        <f ca="1"/>
        <v>WT</v>
      </c>
      <c r="AA34" s="272"/>
      <c r="AB34" s="288"/>
    </row>
    <row r="35" spans="1:28" ht="20.25" customHeight="1">
      <c r="A35" s="270">
        <v>34</v>
      </c>
      <c r="B35" s="276" t="s">
        <v>41</v>
      </c>
      <c r="C35" s="271" t="s">
        <v>27</v>
      </c>
      <c r="D35" s="270" t="s">
        <v>53</v>
      </c>
      <c r="E35" s="270" t="s">
        <v>125</v>
      </c>
      <c r="F35" s="272" t="str">
        <f>IF(D35="", "", _xlfn.XLOOKUP(D35, CLIENT_CODE!D:D, CLIENT_CODE!B:B, ""))</f>
        <v>Indusind General Insurance Co Ltd</v>
      </c>
      <c r="G35" s="257" t="s">
        <v>126</v>
      </c>
      <c r="H35" s="340">
        <v>45940</v>
      </c>
      <c r="I35" s="272" t="str">
        <f t="shared" si="0"/>
        <v>Oct-25</v>
      </c>
      <c r="J35" s="272">
        <v>0</v>
      </c>
      <c r="K35" s="272">
        <v>0</v>
      </c>
      <c r="L35" s="272">
        <v>0</v>
      </c>
      <c r="M35" s="272">
        <v>0</v>
      </c>
      <c r="N35" s="272">
        <v>0</v>
      </c>
      <c r="O35" s="272">
        <v>0</v>
      </c>
      <c r="P35" s="272">
        <v>0</v>
      </c>
      <c r="Q35" s="272">
        <v>0</v>
      </c>
      <c r="R35" s="272">
        <v>0</v>
      </c>
      <c r="S35" s="272">
        <v>1</v>
      </c>
      <c r="T35" s="272">
        <v>0</v>
      </c>
      <c r="U35" s="272">
        <v>0</v>
      </c>
      <c r="V35" s="272">
        <v>0</v>
      </c>
      <c r="W35" s="272">
        <v>0</v>
      </c>
      <c r="X35" s="270">
        <v>0</v>
      </c>
      <c r="Y35" s="270">
        <f t="shared" si="3"/>
        <v>1</v>
      </c>
      <c r="Z35" s="272" t="str">
        <f ca="1"/>
        <v>WT</v>
      </c>
      <c r="AA35" s="272"/>
      <c r="AB35" s="288"/>
    </row>
    <row r="36" spans="1:28" ht="20.25" customHeight="1">
      <c r="A36" s="270">
        <v>35</v>
      </c>
      <c r="B36" s="268" t="s">
        <v>127</v>
      </c>
      <c r="C36" s="271" t="s">
        <v>27</v>
      </c>
      <c r="D36" s="270" t="s">
        <v>53</v>
      </c>
      <c r="E36" s="270" t="s">
        <v>128</v>
      </c>
      <c r="F36" s="272" t="str">
        <f>IF(D36="", "", _xlfn.XLOOKUP(D36, CLIENT_CODE!D:D, CLIENT_CODE!B:B, ""))</f>
        <v>Indusind General Insurance Co Ltd</v>
      </c>
      <c r="G36" s="270" t="s">
        <v>129</v>
      </c>
      <c r="H36" s="340">
        <v>45944</v>
      </c>
      <c r="I36" s="272" t="str">
        <f t="shared" si="0"/>
        <v>Oct-25</v>
      </c>
      <c r="J36" s="272">
        <v>1</v>
      </c>
      <c r="K36" s="272">
        <v>0</v>
      </c>
      <c r="L36" s="272">
        <v>1</v>
      </c>
      <c r="M36" s="272">
        <v>0</v>
      </c>
      <c r="N36" s="272">
        <v>1</v>
      </c>
      <c r="O36" s="272">
        <v>0</v>
      </c>
      <c r="P36" s="272">
        <v>0</v>
      </c>
      <c r="Q36" s="272">
        <v>0</v>
      </c>
      <c r="R36" s="272">
        <v>1</v>
      </c>
      <c r="S36" s="272">
        <v>1</v>
      </c>
      <c r="T36" s="272">
        <v>0</v>
      </c>
      <c r="U36" s="272">
        <v>0</v>
      </c>
      <c r="V36" s="272">
        <v>0</v>
      </c>
      <c r="W36" s="272">
        <v>0</v>
      </c>
      <c r="X36" s="270">
        <v>0</v>
      </c>
      <c r="Y36" s="270">
        <f t="shared" si="3"/>
        <v>5</v>
      </c>
      <c r="Z36" s="272" t="str">
        <f ca="1"/>
        <v>WT</v>
      </c>
      <c r="AA36" s="272"/>
      <c r="AB36" s="288"/>
    </row>
    <row r="37" spans="1:28" ht="20.25" customHeight="1">
      <c r="A37" s="270">
        <v>36</v>
      </c>
      <c r="B37" s="268" t="s">
        <v>130</v>
      </c>
      <c r="C37" s="271" t="s">
        <v>27</v>
      </c>
      <c r="D37" s="270" t="s">
        <v>53</v>
      </c>
      <c r="E37" s="270" t="s">
        <v>131</v>
      </c>
      <c r="F37" s="272" t="str">
        <f>IF(D37="", "", _xlfn.XLOOKUP(D37, CLIENT_CODE!D:D, CLIENT_CODE!B:B, ""))</f>
        <v>Indusind General Insurance Co Ltd</v>
      </c>
      <c r="G37" s="270" t="s">
        <v>132</v>
      </c>
      <c r="H37" s="340">
        <v>45944</v>
      </c>
      <c r="I37" s="272" t="str">
        <f t="shared" si="0"/>
        <v>Oct-25</v>
      </c>
      <c r="J37" s="272">
        <v>1</v>
      </c>
      <c r="K37" s="272">
        <v>0</v>
      </c>
      <c r="L37" s="272">
        <v>1</v>
      </c>
      <c r="M37" s="272">
        <v>0</v>
      </c>
      <c r="N37" s="272">
        <v>1</v>
      </c>
      <c r="O37" s="272">
        <v>0</v>
      </c>
      <c r="P37" s="272">
        <v>0</v>
      </c>
      <c r="Q37" s="272">
        <v>0</v>
      </c>
      <c r="R37" s="272">
        <v>1</v>
      </c>
      <c r="S37" s="272">
        <v>1</v>
      </c>
      <c r="T37" s="272">
        <v>0</v>
      </c>
      <c r="U37" s="272">
        <v>0</v>
      </c>
      <c r="V37" s="272">
        <v>0</v>
      </c>
      <c r="W37" s="272">
        <v>0</v>
      </c>
      <c r="X37" s="270">
        <v>0</v>
      </c>
      <c r="Y37" s="270">
        <f t="shared" ref="Y37:Y38" si="4">IF(COUNTA(J37:T37)=0, "", SUM(J37:T37))</f>
        <v>5</v>
      </c>
      <c r="Z37" s="272" t="str">
        <f ca="1"/>
        <v>WT</v>
      </c>
      <c r="AA37" s="272"/>
      <c r="AB37" s="288"/>
    </row>
    <row r="38" spans="1:28" ht="20.25" customHeight="1">
      <c r="A38" s="270">
        <v>37</v>
      </c>
      <c r="B38" s="268" t="s">
        <v>133</v>
      </c>
      <c r="C38" s="271" t="s">
        <v>27</v>
      </c>
      <c r="D38" s="270" t="s">
        <v>53</v>
      </c>
      <c r="E38" s="270" t="s">
        <v>134</v>
      </c>
      <c r="F38" s="272" t="str">
        <f>IF(D38="", "", _xlfn.XLOOKUP(D38, CLIENT_CODE!D:D, CLIENT_CODE!B:B, ""))</f>
        <v>Indusind General Insurance Co Ltd</v>
      </c>
      <c r="G38" s="270" t="s">
        <v>135</v>
      </c>
      <c r="H38" s="340">
        <v>45944</v>
      </c>
      <c r="I38" s="272" t="str">
        <f t="shared" si="0"/>
        <v>Oct-25</v>
      </c>
      <c r="J38" s="272" t="s">
        <v>136</v>
      </c>
      <c r="K38" s="272">
        <v>0</v>
      </c>
      <c r="L38" s="272">
        <v>1</v>
      </c>
      <c r="M38" s="272">
        <v>0</v>
      </c>
      <c r="N38" s="272">
        <v>1</v>
      </c>
      <c r="O38" s="272">
        <v>0</v>
      </c>
      <c r="P38" s="272">
        <v>0</v>
      </c>
      <c r="Q38" s="272">
        <v>0</v>
      </c>
      <c r="R38" s="272">
        <v>1</v>
      </c>
      <c r="S38" s="272">
        <v>1</v>
      </c>
      <c r="T38" s="272">
        <v>0</v>
      </c>
      <c r="U38" s="272">
        <v>0</v>
      </c>
      <c r="V38" s="272">
        <v>0</v>
      </c>
      <c r="W38" s="272">
        <v>0</v>
      </c>
      <c r="X38" s="270">
        <v>0</v>
      </c>
      <c r="Y38" s="270">
        <f t="shared" si="4"/>
        <v>4</v>
      </c>
      <c r="Z38" s="272" t="str">
        <f ca="1"/>
        <v>WT</v>
      </c>
      <c r="AA38" s="272"/>
      <c r="AB38" s="288"/>
    </row>
    <row r="39" spans="1:28" ht="20.25" customHeight="1">
      <c r="A39" s="270">
        <v>38</v>
      </c>
      <c r="B39" s="273" t="s">
        <v>137</v>
      </c>
      <c r="C39" s="271" t="s">
        <v>27</v>
      </c>
      <c r="D39" s="270" t="s">
        <v>53</v>
      </c>
      <c r="E39" s="270" t="s">
        <v>138</v>
      </c>
      <c r="F39" s="272" t="str">
        <f>IF(D39="", "", _xlfn.XLOOKUP(D39, CLIENT_CODE!D:D, CLIENT_CODE!B:B, ""))</f>
        <v>Indusind General Insurance Co Ltd</v>
      </c>
      <c r="G39" s="275" t="s">
        <v>139</v>
      </c>
      <c r="H39" s="340">
        <v>45946</v>
      </c>
      <c r="I39" s="272" t="str">
        <f t="shared" si="0"/>
        <v>Oct-25</v>
      </c>
      <c r="J39" s="272">
        <v>1</v>
      </c>
      <c r="K39" s="272">
        <v>0</v>
      </c>
      <c r="L39" s="272">
        <v>1</v>
      </c>
      <c r="M39" s="272">
        <v>0</v>
      </c>
      <c r="N39" s="272">
        <v>1</v>
      </c>
      <c r="O39" s="272">
        <v>0</v>
      </c>
      <c r="P39" s="272">
        <v>0</v>
      </c>
      <c r="Q39" s="272">
        <v>0</v>
      </c>
      <c r="R39" s="272">
        <v>1</v>
      </c>
      <c r="S39" s="272">
        <v>1</v>
      </c>
      <c r="T39" s="272">
        <v>0</v>
      </c>
      <c r="U39" s="272">
        <v>0</v>
      </c>
      <c r="V39" s="272">
        <v>0</v>
      </c>
      <c r="W39" s="272">
        <v>0</v>
      </c>
      <c r="X39" s="270">
        <v>0</v>
      </c>
      <c r="Y39" s="270">
        <f t="shared" si="3"/>
        <v>5</v>
      </c>
      <c r="Z39" s="272" t="str">
        <f ca="1"/>
        <v>WT</v>
      </c>
      <c r="AA39" s="272"/>
      <c r="AB39" s="288"/>
    </row>
    <row r="40" spans="1:28" ht="20.25" customHeight="1">
      <c r="A40" s="270">
        <v>39</v>
      </c>
      <c r="B40" s="273" t="s">
        <v>140</v>
      </c>
      <c r="C40" s="271" t="s">
        <v>27</v>
      </c>
      <c r="D40" s="270" t="s">
        <v>53</v>
      </c>
      <c r="E40" s="270" t="s">
        <v>141</v>
      </c>
      <c r="F40" s="272" t="str">
        <f>IF(D40="", "", _xlfn.XLOOKUP(D40, CLIENT_CODE!D:D, CLIENT_CODE!B:B, ""))</f>
        <v>Indusind General Insurance Co Ltd</v>
      </c>
      <c r="G40" s="275" t="s">
        <v>142</v>
      </c>
      <c r="H40" s="340">
        <v>45946</v>
      </c>
      <c r="I40" s="272" t="str">
        <f t="shared" si="0"/>
        <v>Oct-25</v>
      </c>
      <c r="J40" s="272">
        <v>1</v>
      </c>
      <c r="K40" s="272">
        <v>0</v>
      </c>
      <c r="L40" s="272">
        <v>1</v>
      </c>
      <c r="M40" s="272">
        <v>0</v>
      </c>
      <c r="N40" s="272">
        <v>1</v>
      </c>
      <c r="O40" s="272">
        <v>0</v>
      </c>
      <c r="P40" s="272">
        <v>0</v>
      </c>
      <c r="Q40" s="272">
        <v>0</v>
      </c>
      <c r="R40" s="272">
        <v>1</v>
      </c>
      <c r="S40" s="272">
        <v>1</v>
      </c>
      <c r="T40" s="272">
        <v>0</v>
      </c>
      <c r="U40" s="272">
        <v>0</v>
      </c>
      <c r="V40" s="272">
        <v>0</v>
      </c>
      <c r="W40" s="272">
        <v>0</v>
      </c>
      <c r="X40" s="270">
        <v>0</v>
      </c>
      <c r="Y40" s="270">
        <f t="shared" si="3"/>
        <v>5</v>
      </c>
      <c r="Z40" s="272" t="str">
        <f ca="1"/>
        <v>WT</v>
      </c>
      <c r="AA40" s="272"/>
      <c r="AB40" s="288"/>
    </row>
    <row r="41" spans="1:28" ht="20.25" customHeight="1">
      <c r="A41" s="270">
        <v>40</v>
      </c>
      <c r="B41" s="273" t="s">
        <v>143</v>
      </c>
      <c r="C41" s="271" t="s">
        <v>27</v>
      </c>
      <c r="D41" s="270" t="s">
        <v>53</v>
      </c>
      <c r="E41" s="270" t="s">
        <v>144</v>
      </c>
      <c r="F41" s="272" t="str">
        <f>IF(D41="", "", _xlfn.XLOOKUP(D41, CLIENT_CODE!D:D, CLIENT_CODE!B:B, ""))</f>
        <v>Indusind General Insurance Co Ltd</v>
      </c>
      <c r="G41" s="275" t="s">
        <v>145</v>
      </c>
      <c r="H41" s="340">
        <v>45946</v>
      </c>
      <c r="I41" s="272" t="str">
        <f t="shared" si="0"/>
        <v>Oct-25</v>
      </c>
      <c r="J41" s="272">
        <v>1</v>
      </c>
      <c r="K41" s="272">
        <v>0</v>
      </c>
      <c r="L41" s="272">
        <v>1</v>
      </c>
      <c r="M41" s="272">
        <v>0</v>
      </c>
      <c r="N41" s="272">
        <v>0</v>
      </c>
      <c r="O41" s="272">
        <v>0</v>
      </c>
      <c r="P41" s="272">
        <v>0</v>
      </c>
      <c r="Q41" s="272">
        <v>0</v>
      </c>
      <c r="R41" s="272">
        <v>1</v>
      </c>
      <c r="S41" s="272">
        <v>0</v>
      </c>
      <c r="T41" s="272">
        <v>0</v>
      </c>
      <c r="U41" s="272">
        <v>0</v>
      </c>
      <c r="V41" s="272">
        <v>0</v>
      </c>
      <c r="W41" s="272">
        <v>0</v>
      </c>
      <c r="X41" s="270">
        <v>0</v>
      </c>
      <c r="Y41" s="270">
        <f t="shared" si="3"/>
        <v>3</v>
      </c>
      <c r="Z41" s="272" t="str">
        <f ca="1"/>
        <v>WT</v>
      </c>
      <c r="AA41" s="272"/>
      <c r="AB41" s="288"/>
    </row>
    <row r="42" spans="1:28" ht="20.25" customHeight="1">
      <c r="A42" s="270">
        <v>41</v>
      </c>
      <c r="B42" s="276" t="s">
        <v>146</v>
      </c>
      <c r="C42" s="271" t="s">
        <v>27</v>
      </c>
      <c r="D42" s="269" t="s">
        <v>38</v>
      </c>
      <c r="E42" s="270" t="s">
        <v>147</v>
      </c>
      <c r="F42" s="272" t="str">
        <f>IF(D42="", "", _xlfn.XLOOKUP(D42, CLIENT_CODE!D:D, CLIENT_CODE!B:B, ""))</f>
        <v>Generali Central Insurance Company Limited</v>
      </c>
      <c r="G42" s="257" t="s">
        <v>148</v>
      </c>
      <c r="H42" s="340">
        <v>45957</v>
      </c>
      <c r="I42" s="272" t="str">
        <f t="shared" si="0"/>
        <v>Oct-25</v>
      </c>
      <c r="J42" s="272">
        <v>0</v>
      </c>
      <c r="K42" s="272">
        <v>0</v>
      </c>
      <c r="L42" s="272">
        <v>0</v>
      </c>
      <c r="M42" s="272">
        <v>0</v>
      </c>
      <c r="N42" s="272">
        <v>0</v>
      </c>
      <c r="O42" s="272">
        <v>0</v>
      </c>
      <c r="P42" s="272">
        <v>0</v>
      </c>
      <c r="Q42" s="272">
        <v>0</v>
      </c>
      <c r="R42" s="272">
        <v>0</v>
      </c>
      <c r="S42" s="272">
        <v>0</v>
      </c>
      <c r="T42" s="272">
        <v>0</v>
      </c>
      <c r="U42" s="272">
        <v>0</v>
      </c>
      <c r="V42" s="272">
        <v>1</v>
      </c>
      <c r="W42" s="272">
        <v>0</v>
      </c>
      <c r="X42" s="270">
        <v>0</v>
      </c>
      <c r="Y42" s="270">
        <f t="shared" si="3"/>
        <v>0</v>
      </c>
      <c r="Z42" s="272" t="str">
        <f ca="1"/>
        <v>WT</v>
      </c>
      <c r="AA42" s="272"/>
      <c r="AB42" s="288"/>
    </row>
    <row r="43" spans="1:28" ht="20.25" customHeight="1">
      <c r="A43" s="270">
        <v>42</v>
      </c>
      <c r="B43" s="258" t="s">
        <v>149</v>
      </c>
      <c r="C43" s="271" t="s">
        <v>27</v>
      </c>
      <c r="D43" s="270" t="s">
        <v>38</v>
      </c>
      <c r="E43" s="270" t="s">
        <v>150</v>
      </c>
      <c r="F43" s="272" t="str">
        <f>IF(D43="", "", _xlfn.XLOOKUP(D43, CLIENT_CODE!D:D, CLIENT_CODE!B:B, ""))</f>
        <v>Generali Central Insurance Company Limited</v>
      </c>
      <c r="G43" s="257" t="s">
        <v>151</v>
      </c>
      <c r="H43" s="340">
        <v>45960</v>
      </c>
      <c r="I43" s="272" t="str">
        <f t="shared" si="0"/>
        <v>Oct-25</v>
      </c>
      <c r="J43" s="272">
        <v>1</v>
      </c>
      <c r="K43" s="272">
        <v>0</v>
      </c>
      <c r="L43" s="272">
        <v>1</v>
      </c>
      <c r="M43" s="272">
        <v>1</v>
      </c>
      <c r="N43" s="272">
        <v>1</v>
      </c>
      <c r="O43" s="272">
        <v>1</v>
      </c>
      <c r="P43" s="272">
        <v>1</v>
      </c>
      <c r="Q43" s="272">
        <v>0</v>
      </c>
      <c r="R43" s="272">
        <v>1</v>
      </c>
      <c r="S43" s="272">
        <v>1</v>
      </c>
      <c r="T43" s="272">
        <v>0</v>
      </c>
      <c r="U43" s="272">
        <v>0</v>
      </c>
      <c r="V43" s="272">
        <v>1</v>
      </c>
      <c r="W43" s="272">
        <v>0</v>
      </c>
      <c r="X43" s="270">
        <v>0</v>
      </c>
      <c r="Y43" s="270">
        <f t="shared" si="3"/>
        <v>8</v>
      </c>
      <c r="Z43" s="272" t="str">
        <f ca="1"/>
        <v>WT</v>
      </c>
      <c r="AA43" s="272"/>
      <c r="AB43" s="288"/>
    </row>
    <row r="44" spans="1:28" ht="20.25" customHeight="1">
      <c r="A44" s="270">
        <v>43</v>
      </c>
      <c r="B44" s="273" t="s">
        <v>41</v>
      </c>
      <c r="C44" s="271" t="s">
        <v>27</v>
      </c>
      <c r="D44" s="270" t="s">
        <v>53</v>
      </c>
      <c r="E44" s="270" t="s">
        <v>152</v>
      </c>
      <c r="F44" s="272" t="str">
        <f>IF(D44="", "", _xlfn.XLOOKUP(D44, CLIENT_CODE!D:D, CLIENT_CODE!B:B, ""))</f>
        <v>Indusind General Insurance Co Ltd</v>
      </c>
      <c r="G44" s="270" t="s">
        <v>153</v>
      </c>
      <c r="H44" s="340">
        <v>45961</v>
      </c>
      <c r="I44" s="272" t="str">
        <f t="shared" si="0"/>
        <v>Oct-25</v>
      </c>
      <c r="J44" s="272">
        <v>0</v>
      </c>
      <c r="K44" s="272">
        <v>0</v>
      </c>
      <c r="L44" s="272">
        <v>1</v>
      </c>
      <c r="M44" s="272">
        <v>0</v>
      </c>
      <c r="N44" s="272">
        <v>0</v>
      </c>
      <c r="O44" s="272">
        <v>0</v>
      </c>
      <c r="P44" s="272">
        <v>0</v>
      </c>
      <c r="Q44" s="272">
        <v>0</v>
      </c>
      <c r="R44" s="272">
        <v>0</v>
      </c>
      <c r="S44" s="272">
        <v>0</v>
      </c>
      <c r="T44" s="272">
        <v>0</v>
      </c>
      <c r="U44" s="272">
        <v>0</v>
      </c>
      <c r="V44" s="272">
        <v>0</v>
      </c>
      <c r="W44" s="272">
        <v>0</v>
      </c>
      <c r="X44" s="270">
        <v>0</v>
      </c>
      <c r="Y44" s="270">
        <f t="shared" si="3"/>
        <v>1</v>
      </c>
      <c r="Z44" s="272" t="str">
        <f ca="1"/>
        <v>WT</v>
      </c>
      <c r="AA44" s="272"/>
      <c r="AB44" s="288"/>
    </row>
    <row r="45" spans="1:28" ht="20.25" customHeight="1">
      <c r="A45" s="270">
        <v>44</v>
      </c>
      <c r="B45" s="276" t="s">
        <v>154</v>
      </c>
      <c r="C45" s="271" t="s">
        <v>27</v>
      </c>
      <c r="D45" s="270" t="s">
        <v>53</v>
      </c>
      <c r="E45" s="270" t="s">
        <v>155</v>
      </c>
      <c r="F45" s="272" t="str">
        <f>IF(D45="", "", _xlfn.XLOOKUP(D45, CLIENT_CODE!D:D, CLIENT_CODE!B:B, ""))</f>
        <v>Indusind General Insurance Co Ltd</v>
      </c>
      <c r="G45" s="275" t="s">
        <v>156</v>
      </c>
      <c r="H45" s="340">
        <v>45961</v>
      </c>
      <c r="I45" s="272" t="str">
        <f t="shared" si="0"/>
        <v>Oct-25</v>
      </c>
      <c r="J45" s="272">
        <v>1</v>
      </c>
      <c r="K45" s="272">
        <v>0</v>
      </c>
      <c r="L45" s="272">
        <v>1</v>
      </c>
      <c r="M45" s="272">
        <v>1</v>
      </c>
      <c r="N45" s="272">
        <v>0</v>
      </c>
      <c r="O45" s="272">
        <v>0</v>
      </c>
      <c r="P45" s="272">
        <v>0</v>
      </c>
      <c r="Q45" s="272">
        <v>0</v>
      </c>
      <c r="R45" s="272">
        <v>1</v>
      </c>
      <c r="S45" s="272">
        <v>1</v>
      </c>
      <c r="T45" s="272">
        <v>0</v>
      </c>
      <c r="U45" s="272">
        <v>0</v>
      </c>
      <c r="V45" s="272">
        <v>0</v>
      </c>
      <c r="W45" s="272">
        <v>0</v>
      </c>
      <c r="X45" s="270">
        <v>0</v>
      </c>
      <c r="Y45" s="270">
        <f t="shared" si="3"/>
        <v>5</v>
      </c>
      <c r="Z45" s="272" t="str">
        <f ca="1"/>
        <v>WT</v>
      </c>
      <c r="AA45" s="272"/>
      <c r="AB45" s="288"/>
    </row>
    <row r="46" spans="1:28" ht="20.25" customHeight="1">
      <c r="A46" s="270">
        <v>45</v>
      </c>
      <c r="B46" s="273" t="s">
        <v>157</v>
      </c>
      <c r="C46" s="271" t="s">
        <v>27</v>
      </c>
      <c r="D46" s="270" t="s">
        <v>53</v>
      </c>
      <c r="E46" s="270" t="s">
        <v>158</v>
      </c>
      <c r="F46" s="272" t="str">
        <f>IF(D46="", "", _xlfn.XLOOKUP(D46, CLIENT_CODE!D:D, CLIENT_CODE!B:B, ""))</f>
        <v>Indusind General Insurance Co Ltd</v>
      </c>
      <c r="G46" s="270" t="s">
        <v>159</v>
      </c>
      <c r="H46" s="340">
        <v>45961</v>
      </c>
      <c r="I46" s="272" t="str">
        <f t="shared" si="0"/>
        <v>Oct-25</v>
      </c>
      <c r="J46" s="272">
        <v>1</v>
      </c>
      <c r="K46" s="272">
        <v>0</v>
      </c>
      <c r="L46" s="272">
        <v>1</v>
      </c>
      <c r="M46" s="272">
        <v>0</v>
      </c>
      <c r="N46" s="272">
        <v>1</v>
      </c>
      <c r="O46" s="272">
        <v>0</v>
      </c>
      <c r="P46" s="272">
        <v>0</v>
      </c>
      <c r="Q46" s="272">
        <v>0</v>
      </c>
      <c r="R46" s="272">
        <v>1</v>
      </c>
      <c r="S46" s="272">
        <v>1</v>
      </c>
      <c r="T46" s="272">
        <v>0</v>
      </c>
      <c r="U46" s="272">
        <v>0</v>
      </c>
      <c r="V46" s="272">
        <v>0</v>
      </c>
      <c r="W46" s="272">
        <v>0</v>
      </c>
      <c r="X46" s="270">
        <v>0</v>
      </c>
      <c r="Y46" s="270">
        <f t="shared" si="3"/>
        <v>5</v>
      </c>
      <c r="Z46" s="272" t="str">
        <f ca="1"/>
        <v>WT</v>
      </c>
      <c r="AA46" s="272"/>
      <c r="AB46" s="288"/>
    </row>
    <row r="47" spans="1:28" ht="20.25" customHeight="1">
      <c r="A47" s="270">
        <v>46</v>
      </c>
      <c r="B47" s="273" t="s">
        <v>41</v>
      </c>
      <c r="C47" s="271" t="s">
        <v>27</v>
      </c>
      <c r="D47" s="270" t="s">
        <v>53</v>
      </c>
      <c r="E47" s="270" t="s">
        <v>160</v>
      </c>
      <c r="F47" s="272" t="str">
        <f>IF(D47="", "", _xlfn.XLOOKUP(D47, CLIENT_CODE!D:D, CLIENT_CODE!B:B, ""))</f>
        <v>Indusind General Insurance Co Ltd</v>
      </c>
      <c r="G47" s="275" t="s">
        <v>161</v>
      </c>
      <c r="H47" s="340">
        <v>45961</v>
      </c>
      <c r="I47" s="272" t="str">
        <f t="shared" si="0"/>
        <v>Oct-25</v>
      </c>
      <c r="J47" s="272">
        <v>0</v>
      </c>
      <c r="K47" s="272">
        <v>0</v>
      </c>
      <c r="L47" s="272">
        <v>1</v>
      </c>
      <c r="M47" s="272">
        <v>0</v>
      </c>
      <c r="N47" s="272">
        <v>0</v>
      </c>
      <c r="O47" s="272">
        <v>0</v>
      </c>
      <c r="P47" s="272">
        <v>0</v>
      </c>
      <c r="Q47" s="272">
        <v>0</v>
      </c>
      <c r="R47" s="272">
        <v>0</v>
      </c>
      <c r="S47" s="272">
        <v>0</v>
      </c>
      <c r="T47" s="272">
        <v>0</v>
      </c>
      <c r="U47" s="272">
        <v>0</v>
      </c>
      <c r="V47" s="272">
        <v>0</v>
      </c>
      <c r="W47" s="272">
        <v>0</v>
      </c>
      <c r="X47" s="270">
        <v>0</v>
      </c>
      <c r="Y47" s="270">
        <f t="shared" si="3"/>
        <v>1</v>
      </c>
      <c r="Z47" s="272" t="str">
        <f ca="1"/>
        <v>WT</v>
      </c>
      <c r="AA47" s="272"/>
      <c r="AB47" s="288"/>
    </row>
    <row r="48" spans="1:28" ht="20.25" customHeight="1">
      <c r="A48" s="270">
        <v>47</v>
      </c>
      <c r="B48" s="273" t="s">
        <v>162</v>
      </c>
      <c r="C48" s="271" t="s">
        <v>27</v>
      </c>
      <c r="D48" s="270" t="s">
        <v>53</v>
      </c>
      <c r="E48" s="270" t="s">
        <v>163</v>
      </c>
      <c r="F48" s="272" t="str">
        <f>IF(D48="", "", _xlfn.XLOOKUP(D48, CLIENT_CODE!D:D, CLIENT_CODE!B:B, ""))</f>
        <v>Indusind General Insurance Co Ltd</v>
      </c>
      <c r="G48" s="275" t="s">
        <v>164</v>
      </c>
      <c r="H48" s="340">
        <v>45961</v>
      </c>
      <c r="I48" s="272" t="str">
        <f t="shared" si="0"/>
        <v>Oct-25</v>
      </c>
      <c r="J48" s="272">
        <v>1</v>
      </c>
      <c r="K48" s="272">
        <v>0</v>
      </c>
      <c r="L48" s="272">
        <v>1</v>
      </c>
      <c r="M48" s="272">
        <v>0</v>
      </c>
      <c r="N48" s="272">
        <v>1</v>
      </c>
      <c r="O48" s="272">
        <v>0</v>
      </c>
      <c r="P48" s="272">
        <v>0</v>
      </c>
      <c r="Q48" s="272">
        <v>0</v>
      </c>
      <c r="R48" s="272">
        <v>1</v>
      </c>
      <c r="S48" s="272">
        <v>1</v>
      </c>
      <c r="T48" s="272">
        <v>0</v>
      </c>
      <c r="U48" s="272">
        <v>0</v>
      </c>
      <c r="V48" s="272">
        <v>0</v>
      </c>
      <c r="W48" s="272">
        <v>0</v>
      </c>
      <c r="X48" s="270">
        <v>0</v>
      </c>
      <c r="Y48" s="270">
        <f t="shared" si="3"/>
        <v>5</v>
      </c>
      <c r="Z48" s="272" t="str">
        <f ca="1"/>
        <v>WT</v>
      </c>
      <c r="AA48" s="272"/>
      <c r="AB48" s="288"/>
    </row>
    <row r="49" spans="1:28" ht="20.25" customHeight="1">
      <c r="A49" s="270">
        <v>48</v>
      </c>
      <c r="B49" s="276" t="s">
        <v>165</v>
      </c>
      <c r="C49" s="271" t="s">
        <v>27</v>
      </c>
      <c r="D49" s="270" t="s">
        <v>53</v>
      </c>
      <c r="E49" s="270" t="s">
        <v>166</v>
      </c>
      <c r="F49" s="272" t="str">
        <f>IF(D49="", "", _xlfn.XLOOKUP(D49, CLIENT_CODE!D:D, CLIENT_CODE!B:B, ""))</f>
        <v>Indusind General Insurance Co Ltd</v>
      </c>
      <c r="G49" s="271">
        <v>2025212050</v>
      </c>
      <c r="H49" s="340">
        <v>45961</v>
      </c>
      <c r="I49" s="272" t="str">
        <f t="shared" si="0"/>
        <v>Oct-25</v>
      </c>
      <c r="J49" s="272">
        <v>1</v>
      </c>
      <c r="K49" s="272">
        <v>0</v>
      </c>
      <c r="L49" s="272">
        <v>1</v>
      </c>
      <c r="M49" s="272">
        <v>0</v>
      </c>
      <c r="N49" s="272">
        <v>1</v>
      </c>
      <c r="O49" s="272">
        <v>0</v>
      </c>
      <c r="P49" s="272">
        <v>0</v>
      </c>
      <c r="Q49" s="272">
        <v>0</v>
      </c>
      <c r="R49" s="272">
        <v>1</v>
      </c>
      <c r="S49" s="272">
        <v>1</v>
      </c>
      <c r="T49" s="272">
        <v>0</v>
      </c>
      <c r="U49" s="272">
        <v>0</v>
      </c>
      <c r="V49" s="272">
        <v>0</v>
      </c>
      <c r="W49" s="272">
        <v>0</v>
      </c>
      <c r="X49" s="270">
        <v>0</v>
      </c>
      <c r="Y49" s="270">
        <f t="shared" si="3"/>
        <v>5</v>
      </c>
      <c r="Z49" s="272" t="str">
        <f ca="1"/>
        <v>WT</v>
      </c>
      <c r="AA49" s="272"/>
      <c r="AB49" s="288"/>
    </row>
    <row r="50" spans="1:28" ht="20.25" customHeight="1">
      <c r="A50" s="270">
        <v>49</v>
      </c>
      <c r="B50" s="258" t="s">
        <v>167</v>
      </c>
      <c r="C50" s="271" t="s">
        <v>27</v>
      </c>
      <c r="D50" s="270" t="s">
        <v>53</v>
      </c>
      <c r="E50" s="270" t="s">
        <v>168</v>
      </c>
      <c r="F50" s="272" t="str">
        <f>IF(D50="", "", _xlfn.XLOOKUP(D50, CLIENT_CODE!D:D, CLIENT_CODE!B:B, ""))</f>
        <v>Indusind General Insurance Co Ltd</v>
      </c>
      <c r="G50" s="257" t="s">
        <v>169</v>
      </c>
      <c r="H50" s="340">
        <v>45961</v>
      </c>
      <c r="I50" s="272" t="str">
        <f t="shared" si="0"/>
        <v>Oct-25</v>
      </c>
      <c r="J50" s="272">
        <v>1</v>
      </c>
      <c r="K50" s="272">
        <v>0</v>
      </c>
      <c r="L50" s="272">
        <v>1</v>
      </c>
      <c r="M50" s="272">
        <v>0</v>
      </c>
      <c r="N50" s="272">
        <v>1</v>
      </c>
      <c r="O50" s="272">
        <v>0</v>
      </c>
      <c r="P50" s="272">
        <v>0</v>
      </c>
      <c r="Q50" s="272">
        <v>0</v>
      </c>
      <c r="R50" s="272">
        <v>1</v>
      </c>
      <c r="S50" s="272">
        <v>1</v>
      </c>
      <c r="T50" s="272">
        <v>0</v>
      </c>
      <c r="U50" s="272">
        <v>0</v>
      </c>
      <c r="V50" s="272">
        <v>0</v>
      </c>
      <c r="W50" s="272">
        <v>0</v>
      </c>
      <c r="X50" s="270">
        <v>0</v>
      </c>
      <c r="Y50" s="270">
        <f t="shared" si="3"/>
        <v>5</v>
      </c>
      <c r="Z50" s="272" t="str">
        <f ca="1"/>
        <v>WT</v>
      </c>
      <c r="AA50" s="272"/>
      <c r="AB50" s="288"/>
    </row>
    <row r="51" spans="1:28" ht="20.25" customHeight="1">
      <c r="A51" s="270">
        <v>50</v>
      </c>
      <c r="B51" s="260" t="s">
        <v>170</v>
      </c>
      <c r="C51" s="271" t="s">
        <v>27</v>
      </c>
      <c r="D51" s="270" t="s">
        <v>38</v>
      </c>
      <c r="E51" s="270" t="s">
        <v>171</v>
      </c>
      <c r="F51" s="272" t="str">
        <f>IF(D51="", "", _xlfn.XLOOKUP(D51, CLIENT_CODE!D:D, CLIENT_CODE!B:B, ""))</f>
        <v>Generali Central Insurance Company Limited</v>
      </c>
      <c r="G51" s="257" t="s">
        <v>172</v>
      </c>
      <c r="H51" s="340">
        <v>45962</v>
      </c>
      <c r="I51" s="272" t="str">
        <f t="shared" si="0"/>
        <v>Nov-25</v>
      </c>
      <c r="J51" s="272">
        <v>0</v>
      </c>
      <c r="K51" s="272">
        <v>0</v>
      </c>
      <c r="L51" s="272">
        <v>1</v>
      </c>
      <c r="M51" s="272">
        <v>0</v>
      </c>
      <c r="N51" s="272">
        <v>0</v>
      </c>
      <c r="O51" s="272">
        <v>0</v>
      </c>
      <c r="P51" s="272">
        <v>0</v>
      </c>
      <c r="Q51" s="272">
        <v>0</v>
      </c>
      <c r="R51" s="272">
        <v>0</v>
      </c>
      <c r="S51" s="272">
        <v>0</v>
      </c>
      <c r="T51" s="272">
        <v>0</v>
      </c>
      <c r="U51" s="272">
        <v>0</v>
      </c>
      <c r="V51" s="272">
        <v>0</v>
      </c>
      <c r="W51" s="272">
        <v>0</v>
      </c>
      <c r="X51" s="270">
        <v>0</v>
      </c>
      <c r="Y51" s="270"/>
      <c r="Z51" s="272" t="str">
        <f ca="1"/>
        <v>WT</v>
      </c>
      <c r="AA51" s="272"/>
      <c r="AB51" s="288"/>
    </row>
    <row r="52" spans="1:28" ht="20.25" customHeight="1">
      <c r="A52" s="270">
        <v>51</v>
      </c>
      <c r="B52" s="276" t="s">
        <v>173</v>
      </c>
      <c r="C52" s="271" t="s">
        <v>27</v>
      </c>
      <c r="D52" s="270" t="s">
        <v>53</v>
      </c>
      <c r="E52" s="270" t="s">
        <v>174</v>
      </c>
      <c r="F52" s="272" t="str">
        <f>IF(D52="", "", _xlfn.XLOOKUP(D52, CLIENT_CODE!D:D, CLIENT_CODE!B:B, ""))</f>
        <v>Indusind General Insurance Co Ltd</v>
      </c>
      <c r="G52" s="270" t="s">
        <v>175</v>
      </c>
      <c r="H52" s="340">
        <v>45964</v>
      </c>
      <c r="I52" s="272" t="str">
        <f t="shared" si="0"/>
        <v>Nov-25</v>
      </c>
      <c r="J52" s="272">
        <v>1</v>
      </c>
      <c r="K52" s="272">
        <v>0</v>
      </c>
      <c r="L52" s="272">
        <v>1</v>
      </c>
      <c r="M52" s="272">
        <v>0</v>
      </c>
      <c r="N52" s="272">
        <v>1</v>
      </c>
      <c r="O52" s="272">
        <v>0</v>
      </c>
      <c r="P52" s="272">
        <v>0</v>
      </c>
      <c r="Q52" s="272">
        <v>0</v>
      </c>
      <c r="R52" s="272">
        <v>1</v>
      </c>
      <c r="S52" s="272">
        <v>1</v>
      </c>
      <c r="T52" s="272">
        <v>0</v>
      </c>
      <c r="U52" s="272">
        <v>0</v>
      </c>
      <c r="V52" s="272">
        <v>0</v>
      </c>
      <c r="W52" s="272">
        <v>0</v>
      </c>
      <c r="X52" s="270">
        <v>0</v>
      </c>
      <c r="Y52" s="270">
        <f t="shared" si="3"/>
        <v>5</v>
      </c>
      <c r="Z52" s="272" t="str">
        <f ca="1"/>
        <v>WT</v>
      </c>
      <c r="AA52" s="272"/>
      <c r="AB52" s="288"/>
    </row>
    <row r="53" spans="1:28" ht="20.25" customHeight="1">
      <c r="A53" s="270">
        <v>52</v>
      </c>
      <c r="B53" s="276" t="s">
        <v>176</v>
      </c>
      <c r="C53" s="271" t="s">
        <v>27</v>
      </c>
      <c r="D53" s="270" t="s">
        <v>53</v>
      </c>
      <c r="E53" s="270" t="s">
        <v>177</v>
      </c>
      <c r="F53" s="272" t="str">
        <f>IF(D53="", "", _xlfn.XLOOKUP(D53, CLIENT_CODE!D:D, CLIENT_CODE!B:B, ""))</f>
        <v>Indusind General Insurance Co Ltd</v>
      </c>
      <c r="G53" s="270" t="s">
        <v>178</v>
      </c>
      <c r="H53" s="340">
        <v>45964</v>
      </c>
      <c r="I53" s="272" t="str">
        <f t="shared" si="0"/>
        <v>Nov-25</v>
      </c>
      <c r="J53" s="272">
        <v>1</v>
      </c>
      <c r="K53" s="272">
        <v>0</v>
      </c>
      <c r="L53" s="272">
        <v>1</v>
      </c>
      <c r="M53" s="272">
        <v>0</v>
      </c>
      <c r="N53" s="272">
        <v>1</v>
      </c>
      <c r="O53" s="272">
        <v>0</v>
      </c>
      <c r="P53" s="272">
        <v>0</v>
      </c>
      <c r="Q53" s="272">
        <v>0</v>
      </c>
      <c r="R53" s="272">
        <v>1</v>
      </c>
      <c r="S53" s="272">
        <v>1</v>
      </c>
      <c r="T53" s="272">
        <v>0</v>
      </c>
      <c r="U53" s="272">
        <v>0</v>
      </c>
      <c r="V53" s="272">
        <v>0</v>
      </c>
      <c r="W53" s="272">
        <v>0</v>
      </c>
      <c r="X53" s="270">
        <v>0</v>
      </c>
      <c r="Y53" s="270">
        <f t="shared" si="3"/>
        <v>5</v>
      </c>
      <c r="Z53" s="272" t="str">
        <f ca="1"/>
        <v>WT</v>
      </c>
      <c r="AA53" s="272"/>
      <c r="AB53" s="288"/>
    </row>
    <row r="54" spans="1:28" ht="20.25" customHeight="1">
      <c r="A54" s="270">
        <v>53</v>
      </c>
      <c r="B54" s="276" t="s">
        <v>179</v>
      </c>
      <c r="C54" s="271" t="s">
        <v>27</v>
      </c>
      <c r="D54" s="270" t="s">
        <v>53</v>
      </c>
      <c r="E54" s="270" t="s">
        <v>180</v>
      </c>
      <c r="F54" s="272" t="str">
        <f>IF(D54="", "", _xlfn.XLOOKUP(D54, CLIENT_CODE!D:D, CLIENT_CODE!B:B, ""))</f>
        <v>Indusind General Insurance Co Ltd</v>
      </c>
      <c r="G54" s="270" t="s">
        <v>181</v>
      </c>
      <c r="H54" s="340">
        <v>45964</v>
      </c>
      <c r="I54" s="272" t="str">
        <f t="shared" si="0"/>
        <v>Nov-25</v>
      </c>
      <c r="J54" s="272">
        <v>1</v>
      </c>
      <c r="K54" s="272">
        <v>0</v>
      </c>
      <c r="L54" s="272">
        <v>1</v>
      </c>
      <c r="M54" s="272">
        <v>0</v>
      </c>
      <c r="N54" s="272">
        <v>1</v>
      </c>
      <c r="O54" s="272">
        <v>0</v>
      </c>
      <c r="P54" s="272">
        <v>0</v>
      </c>
      <c r="Q54" s="272">
        <v>0</v>
      </c>
      <c r="R54" s="272">
        <v>1</v>
      </c>
      <c r="S54" s="272">
        <v>1</v>
      </c>
      <c r="T54" s="272">
        <v>0</v>
      </c>
      <c r="U54" s="272">
        <v>0</v>
      </c>
      <c r="V54" s="272">
        <v>0</v>
      </c>
      <c r="W54" s="272">
        <v>0</v>
      </c>
      <c r="X54" s="270">
        <v>0</v>
      </c>
      <c r="Y54" s="270">
        <f t="shared" si="3"/>
        <v>5</v>
      </c>
      <c r="Z54" s="272" t="str">
        <f ca="1"/>
        <v>WT</v>
      </c>
      <c r="AA54" s="272"/>
      <c r="AB54" s="288"/>
    </row>
    <row r="55" spans="1:28" ht="20.25" customHeight="1">
      <c r="A55" s="270">
        <v>54</v>
      </c>
      <c r="B55" s="276" t="s">
        <v>182</v>
      </c>
      <c r="C55" s="271" t="s">
        <v>27</v>
      </c>
      <c r="D55" s="270" t="s">
        <v>53</v>
      </c>
      <c r="E55" s="270" t="s">
        <v>183</v>
      </c>
      <c r="F55" s="272" t="str">
        <f>IF(D55="", "", _xlfn.XLOOKUP(D55, CLIENT_CODE!D:D, CLIENT_CODE!B:B, ""))</f>
        <v>Indusind General Insurance Co Ltd</v>
      </c>
      <c r="G55" s="270" t="s">
        <v>184</v>
      </c>
      <c r="H55" s="340">
        <v>45964</v>
      </c>
      <c r="I55" s="272" t="str">
        <f t="shared" si="0"/>
        <v>Nov-25</v>
      </c>
      <c r="J55" s="272">
        <v>1</v>
      </c>
      <c r="K55" s="272">
        <v>0</v>
      </c>
      <c r="L55" s="272">
        <v>1</v>
      </c>
      <c r="M55" s="272">
        <v>0</v>
      </c>
      <c r="N55" s="272">
        <v>1</v>
      </c>
      <c r="O55" s="272">
        <v>0</v>
      </c>
      <c r="P55" s="272">
        <v>0</v>
      </c>
      <c r="Q55" s="272">
        <v>0</v>
      </c>
      <c r="R55" s="272">
        <v>1</v>
      </c>
      <c r="S55" s="272">
        <v>1</v>
      </c>
      <c r="T55" s="272">
        <v>0</v>
      </c>
      <c r="U55" s="272">
        <v>0</v>
      </c>
      <c r="V55" s="272">
        <v>0</v>
      </c>
      <c r="W55" s="272">
        <v>0</v>
      </c>
      <c r="X55" s="270">
        <v>0</v>
      </c>
      <c r="Y55" s="270">
        <f t="shared" si="3"/>
        <v>5</v>
      </c>
      <c r="Z55" s="272" t="str">
        <f ca="1"/>
        <v>WT</v>
      </c>
      <c r="AA55" s="272"/>
      <c r="AB55" s="288"/>
    </row>
    <row r="56" spans="1:28" ht="20.25" customHeight="1">
      <c r="A56" s="270">
        <v>55</v>
      </c>
      <c r="B56" s="276" t="s">
        <v>185</v>
      </c>
      <c r="C56" s="271" t="s">
        <v>27</v>
      </c>
      <c r="D56" s="270" t="s">
        <v>53</v>
      </c>
      <c r="E56" s="270" t="s">
        <v>186</v>
      </c>
      <c r="F56" s="272" t="str">
        <f>IF(D56="", "", _xlfn.XLOOKUP(D56, CLIENT_CODE!D:D, CLIENT_CODE!B:B, ""))</f>
        <v>Indusind General Insurance Co Ltd</v>
      </c>
      <c r="G56" s="270" t="s">
        <v>187</v>
      </c>
      <c r="H56" s="340">
        <v>45964</v>
      </c>
      <c r="I56" s="272" t="str">
        <f t="shared" si="0"/>
        <v>Nov-25</v>
      </c>
      <c r="J56" s="272">
        <v>1</v>
      </c>
      <c r="K56" s="272">
        <v>0</v>
      </c>
      <c r="L56" s="272">
        <v>1</v>
      </c>
      <c r="M56" s="272">
        <v>0</v>
      </c>
      <c r="N56" s="272">
        <v>1</v>
      </c>
      <c r="O56" s="272">
        <v>0</v>
      </c>
      <c r="P56" s="272">
        <v>0</v>
      </c>
      <c r="Q56" s="272">
        <v>0</v>
      </c>
      <c r="R56" s="272">
        <v>1</v>
      </c>
      <c r="S56" s="272">
        <v>1</v>
      </c>
      <c r="T56" s="272">
        <v>0</v>
      </c>
      <c r="U56" s="272">
        <v>0</v>
      </c>
      <c r="V56" s="272">
        <v>0</v>
      </c>
      <c r="W56" s="272">
        <v>0</v>
      </c>
      <c r="X56" s="270">
        <v>0</v>
      </c>
      <c r="Y56" s="270">
        <f t="shared" si="3"/>
        <v>5</v>
      </c>
      <c r="Z56" s="272" t="str">
        <f ca="1"/>
        <v>WT</v>
      </c>
      <c r="AA56" s="272"/>
      <c r="AB56" s="288"/>
    </row>
    <row r="57" spans="1:28" ht="20.25" customHeight="1">
      <c r="A57" s="270">
        <v>56</v>
      </c>
      <c r="B57" s="276" t="s">
        <v>188</v>
      </c>
      <c r="C57" s="271" t="s">
        <v>27</v>
      </c>
      <c r="D57" s="270" t="s">
        <v>53</v>
      </c>
      <c r="E57" s="270" t="s">
        <v>189</v>
      </c>
      <c r="F57" s="272" t="str">
        <f>IF(D57="", "", _xlfn.XLOOKUP(D57, CLIENT_CODE!D:D, CLIENT_CODE!B:B, ""))</f>
        <v>Indusind General Insurance Co Ltd</v>
      </c>
      <c r="G57" s="270" t="s">
        <v>190</v>
      </c>
      <c r="H57" s="340">
        <v>45964</v>
      </c>
      <c r="I57" s="272" t="str">
        <f t="shared" si="0"/>
        <v>Nov-25</v>
      </c>
      <c r="J57" s="272">
        <v>1</v>
      </c>
      <c r="K57" s="272">
        <v>0</v>
      </c>
      <c r="L57" s="272">
        <v>1</v>
      </c>
      <c r="M57" s="272">
        <v>0</v>
      </c>
      <c r="N57" s="272">
        <v>1</v>
      </c>
      <c r="O57" s="272">
        <v>0</v>
      </c>
      <c r="P57" s="272">
        <v>0</v>
      </c>
      <c r="Q57" s="272">
        <v>0</v>
      </c>
      <c r="R57" s="272">
        <v>1</v>
      </c>
      <c r="S57" s="272">
        <v>1</v>
      </c>
      <c r="T57" s="272">
        <v>0</v>
      </c>
      <c r="U57" s="272">
        <v>0</v>
      </c>
      <c r="V57" s="272">
        <v>0</v>
      </c>
      <c r="W57" s="272">
        <v>0</v>
      </c>
      <c r="X57" s="270">
        <v>0</v>
      </c>
      <c r="Y57" s="270">
        <f t="shared" si="3"/>
        <v>5</v>
      </c>
      <c r="Z57" s="272" t="str">
        <f ca="1"/>
        <v>WT</v>
      </c>
      <c r="AA57" s="272"/>
      <c r="AB57" s="288"/>
    </row>
    <row r="58" spans="1:28" ht="20.25" customHeight="1">
      <c r="A58" s="270">
        <v>57</v>
      </c>
      <c r="B58" s="276" t="s">
        <v>191</v>
      </c>
      <c r="C58" s="271" t="s">
        <v>27</v>
      </c>
      <c r="D58" s="270" t="s">
        <v>53</v>
      </c>
      <c r="E58" s="270" t="s">
        <v>192</v>
      </c>
      <c r="F58" s="272" t="str">
        <f>IF(D58="", "", _xlfn.XLOOKUP(D58, CLIENT_CODE!D:D, CLIENT_CODE!B:B, ""))</f>
        <v>Indusind General Insurance Co Ltd</v>
      </c>
      <c r="G58" s="270" t="s">
        <v>193</v>
      </c>
      <c r="H58" s="340">
        <v>45964</v>
      </c>
      <c r="I58" s="272" t="str">
        <f t="shared" si="0"/>
        <v>Nov-25</v>
      </c>
      <c r="J58" s="272">
        <v>1</v>
      </c>
      <c r="K58" s="272">
        <v>0</v>
      </c>
      <c r="L58" s="272">
        <v>1</v>
      </c>
      <c r="M58" s="272">
        <v>0</v>
      </c>
      <c r="N58" s="272">
        <v>1</v>
      </c>
      <c r="O58" s="272">
        <v>0</v>
      </c>
      <c r="P58" s="272">
        <v>0</v>
      </c>
      <c r="Q58" s="272">
        <v>0</v>
      </c>
      <c r="R58" s="272">
        <v>1</v>
      </c>
      <c r="S58" s="272">
        <v>1</v>
      </c>
      <c r="T58" s="272">
        <v>0</v>
      </c>
      <c r="U58" s="272">
        <v>0</v>
      </c>
      <c r="V58" s="272">
        <v>0</v>
      </c>
      <c r="W58" s="272">
        <v>0</v>
      </c>
      <c r="X58" s="270">
        <v>0</v>
      </c>
      <c r="Y58" s="270">
        <f t="shared" si="3"/>
        <v>5</v>
      </c>
      <c r="Z58" s="272" t="str">
        <f ca="1"/>
        <v>WT</v>
      </c>
      <c r="AA58" s="272"/>
      <c r="AB58" s="288"/>
    </row>
    <row r="59" spans="1:28" ht="20.25" customHeight="1">
      <c r="A59" s="270">
        <v>58</v>
      </c>
      <c r="B59" s="276" t="s">
        <v>194</v>
      </c>
      <c r="C59" s="271" t="s">
        <v>27</v>
      </c>
      <c r="D59" s="270" t="s">
        <v>53</v>
      </c>
      <c r="E59" s="270" t="s">
        <v>195</v>
      </c>
      <c r="F59" s="272" t="str">
        <f>IF(D59="", "", _xlfn.XLOOKUP(D59, CLIENT_CODE!D:D, CLIENT_CODE!B:B, ""))</f>
        <v>Indusind General Insurance Co Ltd</v>
      </c>
      <c r="G59" s="270" t="s">
        <v>196</v>
      </c>
      <c r="H59" s="340">
        <v>45964</v>
      </c>
      <c r="I59" s="272" t="str">
        <f t="shared" si="0"/>
        <v>Nov-25</v>
      </c>
      <c r="J59" s="272">
        <v>1</v>
      </c>
      <c r="K59" s="272">
        <v>0</v>
      </c>
      <c r="L59" s="272">
        <v>1</v>
      </c>
      <c r="M59" s="272">
        <v>0</v>
      </c>
      <c r="N59" s="272">
        <v>1</v>
      </c>
      <c r="O59" s="272">
        <v>0</v>
      </c>
      <c r="P59" s="272">
        <v>0</v>
      </c>
      <c r="Q59" s="272">
        <v>0</v>
      </c>
      <c r="R59" s="272">
        <v>1</v>
      </c>
      <c r="S59" s="272">
        <v>1</v>
      </c>
      <c r="T59" s="272">
        <v>0</v>
      </c>
      <c r="U59" s="272">
        <v>0</v>
      </c>
      <c r="V59" s="272">
        <v>0</v>
      </c>
      <c r="W59" s="272">
        <v>0</v>
      </c>
      <c r="X59" s="270">
        <v>0</v>
      </c>
      <c r="Y59" s="270">
        <f t="shared" si="3"/>
        <v>5</v>
      </c>
      <c r="Z59" s="272" t="str">
        <f ca="1"/>
        <v>WT</v>
      </c>
      <c r="AA59" s="272"/>
      <c r="AB59" s="288"/>
    </row>
    <row r="60" spans="1:28" ht="20.25" customHeight="1">
      <c r="A60" s="270">
        <v>59</v>
      </c>
      <c r="B60" s="276" t="s">
        <v>197</v>
      </c>
      <c r="C60" s="271" t="s">
        <v>27</v>
      </c>
      <c r="D60" s="270" t="s">
        <v>53</v>
      </c>
      <c r="E60" s="270" t="s">
        <v>198</v>
      </c>
      <c r="F60" s="272" t="str">
        <f>IF(D60="", "", _xlfn.XLOOKUP(D60, CLIENT_CODE!D:D, CLIENT_CODE!B:B, ""))</f>
        <v>Indusind General Insurance Co Ltd</v>
      </c>
      <c r="G60" s="270" t="s">
        <v>199</v>
      </c>
      <c r="H60" s="340">
        <v>45964</v>
      </c>
      <c r="I60" s="272" t="str">
        <f t="shared" si="0"/>
        <v>Nov-25</v>
      </c>
      <c r="J60" s="272">
        <v>1</v>
      </c>
      <c r="K60" s="272">
        <v>0</v>
      </c>
      <c r="L60" s="272">
        <v>1</v>
      </c>
      <c r="M60" s="272">
        <v>0</v>
      </c>
      <c r="N60" s="272">
        <v>1</v>
      </c>
      <c r="O60" s="272">
        <v>0</v>
      </c>
      <c r="P60" s="272">
        <v>0</v>
      </c>
      <c r="Q60" s="272">
        <v>0</v>
      </c>
      <c r="R60" s="272">
        <v>1</v>
      </c>
      <c r="S60" s="272">
        <v>1</v>
      </c>
      <c r="T60" s="272">
        <v>0</v>
      </c>
      <c r="U60" s="272">
        <v>0</v>
      </c>
      <c r="V60" s="272">
        <v>0</v>
      </c>
      <c r="W60" s="272">
        <v>0</v>
      </c>
      <c r="X60" s="270">
        <v>0</v>
      </c>
      <c r="Y60" s="270">
        <f t="shared" si="3"/>
        <v>5</v>
      </c>
      <c r="Z60" s="272" t="str">
        <f ca="1"/>
        <v>WT</v>
      </c>
      <c r="AA60" s="272"/>
      <c r="AB60" s="288"/>
    </row>
    <row r="61" spans="1:28" ht="20.25" customHeight="1">
      <c r="A61" s="270">
        <v>60</v>
      </c>
      <c r="B61" s="276" t="s">
        <v>200</v>
      </c>
      <c r="C61" s="271" t="s">
        <v>27</v>
      </c>
      <c r="D61" s="270" t="s">
        <v>53</v>
      </c>
      <c r="E61" s="270" t="s">
        <v>201</v>
      </c>
      <c r="F61" s="272" t="str">
        <f>IF(D61="", "", _xlfn.XLOOKUP(D61, CLIENT_CODE!D:D, CLIENT_CODE!B:B, ""))</f>
        <v>Indusind General Insurance Co Ltd</v>
      </c>
      <c r="G61" s="270" t="s">
        <v>202</v>
      </c>
      <c r="H61" s="340">
        <v>45964</v>
      </c>
      <c r="I61" s="272" t="str">
        <f t="shared" si="0"/>
        <v>Nov-25</v>
      </c>
      <c r="J61" s="272">
        <v>1</v>
      </c>
      <c r="K61" s="272">
        <v>0</v>
      </c>
      <c r="L61" s="272">
        <v>0</v>
      </c>
      <c r="M61" s="272">
        <v>0</v>
      </c>
      <c r="N61" s="272">
        <v>0</v>
      </c>
      <c r="O61" s="272">
        <v>0</v>
      </c>
      <c r="P61" s="272">
        <v>0</v>
      </c>
      <c r="Q61" s="272">
        <v>0</v>
      </c>
      <c r="R61" s="272">
        <v>0</v>
      </c>
      <c r="S61" s="272">
        <v>0</v>
      </c>
      <c r="T61" s="272">
        <v>0</v>
      </c>
      <c r="U61" s="272">
        <v>0</v>
      </c>
      <c r="V61" s="272">
        <v>0</v>
      </c>
      <c r="W61" s="272">
        <v>0</v>
      </c>
      <c r="X61" s="270">
        <v>0</v>
      </c>
      <c r="Y61" s="270">
        <f t="shared" si="3"/>
        <v>1</v>
      </c>
      <c r="Z61" s="272" t="str">
        <f ca="1"/>
        <v>WT</v>
      </c>
      <c r="AA61" s="272"/>
      <c r="AB61" s="288"/>
    </row>
    <row r="62" spans="1:28" ht="20.25" customHeight="1">
      <c r="A62" s="270">
        <v>61</v>
      </c>
      <c r="B62" s="276" t="s">
        <v>41</v>
      </c>
      <c r="C62" s="271" t="s">
        <v>27</v>
      </c>
      <c r="D62" s="270" t="s">
        <v>53</v>
      </c>
      <c r="E62" s="270" t="s">
        <v>203</v>
      </c>
      <c r="F62" s="272" t="str">
        <f>IF(D62="", "", _xlfn.XLOOKUP(D62, CLIENT_CODE!D:D, CLIENT_CODE!B:B, ""))</f>
        <v>Indusind General Insurance Co Ltd</v>
      </c>
      <c r="G62" s="270" t="s">
        <v>204</v>
      </c>
      <c r="H62" s="340">
        <v>45964</v>
      </c>
      <c r="I62" s="272" t="str">
        <f t="shared" si="0"/>
        <v>Nov-25</v>
      </c>
      <c r="J62" s="272">
        <v>0</v>
      </c>
      <c r="K62" s="272">
        <v>0</v>
      </c>
      <c r="L62" s="272">
        <v>1</v>
      </c>
      <c r="M62" s="272">
        <v>0</v>
      </c>
      <c r="N62" s="272">
        <v>0</v>
      </c>
      <c r="O62" s="272">
        <v>0</v>
      </c>
      <c r="P62" s="272">
        <v>0</v>
      </c>
      <c r="Q62" s="272">
        <v>0</v>
      </c>
      <c r="R62" s="272">
        <v>0</v>
      </c>
      <c r="S62" s="272">
        <v>0</v>
      </c>
      <c r="T62" s="272">
        <v>0</v>
      </c>
      <c r="U62" s="272">
        <v>0</v>
      </c>
      <c r="V62" s="272">
        <v>0</v>
      </c>
      <c r="W62" s="272">
        <v>0</v>
      </c>
      <c r="X62" s="270">
        <v>0</v>
      </c>
      <c r="Y62" s="270">
        <f t="shared" si="3"/>
        <v>1</v>
      </c>
      <c r="Z62" s="272" t="str">
        <f ca="1"/>
        <v>WT</v>
      </c>
      <c r="AA62" s="272"/>
      <c r="AB62" s="288"/>
    </row>
    <row r="63" spans="1:28" ht="20.25" customHeight="1">
      <c r="A63" s="270">
        <v>62</v>
      </c>
      <c r="B63" s="276" t="s">
        <v>41</v>
      </c>
      <c r="C63" s="271" t="s">
        <v>27</v>
      </c>
      <c r="D63" s="270" t="s">
        <v>53</v>
      </c>
      <c r="E63" s="270" t="s">
        <v>205</v>
      </c>
      <c r="F63" s="272" t="str">
        <f>IF(D63="", "", _xlfn.XLOOKUP(D63, CLIENT_CODE!D:D, CLIENT_CODE!B:B, ""))</f>
        <v>Indusind General Insurance Co Ltd</v>
      </c>
      <c r="G63" s="270" t="s">
        <v>206</v>
      </c>
      <c r="H63" s="340">
        <v>45964</v>
      </c>
      <c r="I63" s="272" t="str">
        <f t="shared" si="0"/>
        <v>Nov-25</v>
      </c>
      <c r="J63" s="272">
        <v>0</v>
      </c>
      <c r="K63" s="272">
        <v>0</v>
      </c>
      <c r="L63" s="272">
        <v>1</v>
      </c>
      <c r="M63" s="272">
        <v>0</v>
      </c>
      <c r="N63" s="272">
        <v>0</v>
      </c>
      <c r="O63" s="272">
        <v>0</v>
      </c>
      <c r="P63" s="272">
        <v>0</v>
      </c>
      <c r="Q63" s="272">
        <v>0</v>
      </c>
      <c r="R63" s="272">
        <v>0</v>
      </c>
      <c r="S63" s="272">
        <v>0</v>
      </c>
      <c r="T63" s="272">
        <v>0</v>
      </c>
      <c r="U63" s="272">
        <v>0</v>
      </c>
      <c r="V63" s="272">
        <v>0</v>
      </c>
      <c r="W63" s="272">
        <v>0</v>
      </c>
      <c r="X63" s="270">
        <v>0</v>
      </c>
      <c r="Y63" s="270">
        <f t="shared" si="3"/>
        <v>1</v>
      </c>
      <c r="Z63" s="272" t="str">
        <f ca="1"/>
        <v>WT</v>
      </c>
      <c r="AA63" s="272"/>
      <c r="AB63" s="288"/>
    </row>
    <row r="64" spans="1:28" ht="20.25" customHeight="1">
      <c r="A64" s="270">
        <v>63</v>
      </c>
      <c r="B64" s="261" t="s">
        <v>207</v>
      </c>
      <c r="C64" s="271" t="s">
        <v>27</v>
      </c>
      <c r="D64" s="270" t="s">
        <v>38</v>
      </c>
      <c r="E64" s="270" t="s">
        <v>208</v>
      </c>
      <c r="F64" s="272" t="str">
        <f>IF(D64="", "", _xlfn.XLOOKUP(D64, CLIENT_CODE!D:D, CLIENT_CODE!B:B, ""))</f>
        <v>Generali Central Insurance Company Limited</v>
      </c>
      <c r="G64" s="275" t="s">
        <v>209</v>
      </c>
      <c r="H64" s="340">
        <v>45968</v>
      </c>
      <c r="I64" s="272" t="str">
        <f t="shared" si="0"/>
        <v>Nov-25</v>
      </c>
      <c r="J64" s="272">
        <v>1</v>
      </c>
      <c r="K64" s="272">
        <v>0</v>
      </c>
      <c r="L64" s="272">
        <v>0</v>
      </c>
      <c r="M64" s="272">
        <v>0</v>
      </c>
      <c r="N64" s="272">
        <v>1</v>
      </c>
      <c r="O64" s="272">
        <v>0</v>
      </c>
      <c r="P64" s="272">
        <v>0</v>
      </c>
      <c r="Q64" s="272">
        <v>0</v>
      </c>
      <c r="R64" s="272">
        <v>0</v>
      </c>
      <c r="S64" s="272">
        <v>0</v>
      </c>
      <c r="T64" s="272">
        <v>0</v>
      </c>
      <c r="U64" s="272">
        <v>0</v>
      </c>
      <c r="V64" s="272">
        <v>0</v>
      </c>
      <c r="W64" s="272">
        <v>0</v>
      </c>
      <c r="X64" s="270">
        <v>0</v>
      </c>
      <c r="Y64" s="270">
        <f t="shared" si="3"/>
        <v>2</v>
      </c>
      <c r="Z64" s="272" t="str">
        <f ca="1"/>
        <v>WT</v>
      </c>
      <c r="AA64" s="272"/>
      <c r="AB64" s="288"/>
    </row>
    <row r="65" spans="1:28" ht="20.25" customHeight="1">
      <c r="A65" s="270">
        <v>64</v>
      </c>
      <c r="B65" s="276" t="s">
        <v>41</v>
      </c>
      <c r="C65" s="271" t="s">
        <v>27</v>
      </c>
      <c r="D65" s="270" t="s">
        <v>38</v>
      </c>
      <c r="E65" s="270" t="s">
        <v>210</v>
      </c>
      <c r="F65" s="272" t="str">
        <f>IF(D65="", "", _xlfn.XLOOKUP(D65, CLIENT_CODE!D:D, CLIENT_CODE!B:B, ""))</f>
        <v>Generali Central Insurance Company Limited</v>
      </c>
      <c r="G65" s="275" t="s">
        <v>211</v>
      </c>
      <c r="H65" s="340">
        <v>45968</v>
      </c>
      <c r="I65" s="272" t="str">
        <f t="shared" si="0"/>
        <v>Nov-25</v>
      </c>
      <c r="J65" s="272">
        <v>0</v>
      </c>
      <c r="K65" s="272">
        <v>0</v>
      </c>
      <c r="L65" s="272">
        <v>0</v>
      </c>
      <c r="M65" s="272">
        <v>0</v>
      </c>
      <c r="N65" s="272">
        <v>0</v>
      </c>
      <c r="O65" s="272">
        <v>0</v>
      </c>
      <c r="P65" s="272">
        <v>0</v>
      </c>
      <c r="Q65" s="272">
        <v>0</v>
      </c>
      <c r="R65" s="272">
        <v>0</v>
      </c>
      <c r="S65" s="272">
        <v>0</v>
      </c>
      <c r="T65" s="272">
        <v>2</v>
      </c>
      <c r="U65" s="272">
        <v>0</v>
      </c>
      <c r="V65" s="272">
        <v>0</v>
      </c>
      <c r="W65" s="272">
        <v>0</v>
      </c>
      <c r="X65" s="270">
        <v>0</v>
      </c>
      <c r="Y65" s="270">
        <f t="shared" si="3"/>
        <v>2</v>
      </c>
      <c r="Z65" s="272" t="str">
        <f ca="1"/>
        <v>WT</v>
      </c>
      <c r="AA65" s="272" t="s">
        <v>212</v>
      </c>
      <c r="AB65" s="288"/>
    </row>
    <row r="66" spans="1:28" ht="20.25" customHeight="1">
      <c r="A66" s="270">
        <v>65</v>
      </c>
      <c r="B66" s="273" t="s">
        <v>213</v>
      </c>
      <c r="C66" s="271" t="s">
        <v>27</v>
      </c>
      <c r="D66" s="270" t="s">
        <v>53</v>
      </c>
      <c r="E66" s="270" t="s">
        <v>214</v>
      </c>
      <c r="F66" s="272" t="str">
        <f>IF(D66="", "", _xlfn.XLOOKUP(D66, CLIENT_CODE!D:D, CLIENT_CODE!B:B, ""))</f>
        <v>Indusind General Insurance Co Ltd</v>
      </c>
      <c r="G66" s="275" t="s">
        <v>215</v>
      </c>
      <c r="H66" s="340">
        <v>45970</v>
      </c>
      <c r="I66" s="272" t="str">
        <f t="shared" si="0"/>
        <v>Nov-25</v>
      </c>
      <c r="J66" s="272">
        <v>1</v>
      </c>
      <c r="K66" s="272">
        <v>0</v>
      </c>
      <c r="L66" s="272">
        <v>1</v>
      </c>
      <c r="M66" s="272">
        <v>0</v>
      </c>
      <c r="N66" s="272">
        <v>1</v>
      </c>
      <c r="O66" s="272">
        <v>0</v>
      </c>
      <c r="P66" s="272">
        <v>0</v>
      </c>
      <c r="Q66" s="272">
        <v>0</v>
      </c>
      <c r="R66" s="272">
        <v>1</v>
      </c>
      <c r="S66" s="272">
        <v>1</v>
      </c>
      <c r="T66" s="272">
        <v>0</v>
      </c>
      <c r="U66" s="272">
        <v>0</v>
      </c>
      <c r="V66" s="272">
        <v>0</v>
      </c>
      <c r="W66" s="272">
        <v>0</v>
      </c>
      <c r="X66" s="270">
        <v>0</v>
      </c>
      <c r="Y66" s="270">
        <f t="shared" si="3"/>
        <v>5</v>
      </c>
      <c r="Z66" s="272" t="str">
        <f ca="1"/>
        <v>WT</v>
      </c>
      <c r="AA66" s="272"/>
      <c r="AB66" s="288"/>
    </row>
    <row r="67" spans="1:28" ht="20.25" customHeight="1">
      <c r="A67" s="270">
        <v>66</v>
      </c>
      <c r="B67" s="273" t="s">
        <v>216</v>
      </c>
      <c r="C67" s="271" t="s">
        <v>27</v>
      </c>
      <c r="D67" s="270" t="s">
        <v>53</v>
      </c>
      <c r="E67" s="270" t="s">
        <v>217</v>
      </c>
      <c r="F67" s="272" t="str">
        <f>IF(D67="", "", _xlfn.XLOOKUP(D67, CLIENT_CODE!D:D, CLIENT_CODE!B:B, ""))</f>
        <v>Indusind General Insurance Co Ltd</v>
      </c>
      <c r="G67" s="275" t="s">
        <v>218</v>
      </c>
      <c r="H67" s="340">
        <v>45970</v>
      </c>
      <c r="I67" s="272" t="str">
        <f t="shared" si="0"/>
        <v>Nov-25</v>
      </c>
      <c r="J67" s="272">
        <v>1</v>
      </c>
      <c r="K67" s="272">
        <v>0</v>
      </c>
      <c r="L67" s="272">
        <v>1</v>
      </c>
      <c r="M67" s="272">
        <v>0</v>
      </c>
      <c r="N67" s="272">
        <v>1</v>
      </c>
      <c r="O67" s="272">
        <v>0</v>
      </c>
      <c r="P67" s="272">
        <v>0</v>
      </c>
      <c r="Q67" s="272">
        <v>0</v>
      </c>
      <c r="R67" s="272">
        <v>1</v>
      </c>
      <c r="S67" s="272">
        <v>0</v>
      </c>
      <c r="T67" s="272">
        <v>0</v>
      </c>
      <c r="U67" s="272">
        <v>0</v>
      </c>
      <c r="V67" s="272">
        <v>0</v>
      </c>
      <c r="W67" s="272">
        <v>0</v>
      </c>
      <c r="X67" s="270">
        <v>0</v>
      </c>
      <c r="Y67" s="270">
        <f t="shared" si="3"/>
        <v>4</v>
      </c>
      <c r="Z67" s="272"/>
      <c r="AA67" s="272"/>
      <c r="AB67" s="288"/>
    </row>
    <row r="68" spans="1:28" ht="20.25" customHeight="1">
      <c r="A68" s="270">
        <v>67</v>
      </c>
      <c r="B68" s="273" t="s">
        <v>219</v>
      </c>
      <c r="C68" s="271" t="s">
        <v>27</v>
      </c>
      <c r="D68" s="270" t="s">
        <v>53</v>
      </c>
      <c r="E68" s="270" t="s">
        <v>220</v>
      </c>
      <c r="F68" s="272" t="str">
        <f>IF(D68="", "", _xlfn.XLOOKUP(D68, CLIENT_CODE!D:D, CLIENT_CODE!B:B, ""))</f>
        <v>Indusind General Insurance Co Ltd</v>
      </c>
      <c r="G68" s="275" t="s">
        <v>221</v>
      </c>
      <c r="H68" s="340">
        <v>45970</v>
      </c>
      <c r="I68" s="272" t="str">
        <f t="shared" si="0"/>
        <v>Nov-25</v>
      </c>
      <c r="J68" s="272">
        <v>1</v>
      </c>
      <c r="K68" s="272">
        <v>0</v>
      </c>
      <c r="L68" s="272">
        <v>1</v>
      </c>
      <c r="M68" s="272">
        <v>0</v>
      </c>
      <c r="N68" s="272">
        <v>1</v>
      </c>
      <c r="O68" s="272">
        <v>0</v>
      </c>
      <c r="P68" s="272">
        <v>0</v>
      </c>
      <c r="Q68" s="272">
        <v>0</v>
      </c>
      <c r="R68" s="272">
        <v>1</v>
      </c>
      <c r="S68" s="272">
        <v>1</v>
      </c>
      <c r="T68" s="272">
        <v>0</v>
      </c>
      <c r="U68" s="272">
        <v>0</v>
      </c>
      <c r="V68" s="272">
        <v>0</v>
      </c>
      <c r="W68" s="272">
        <v>0</v>
      </c>
      <c r="X68" s="270">
        <v>0</v>
      </c>
      <c r="Y68" s="270">
        <f t="shared" si="3"/>
        <v>5</v>
      </c>
      <c r="Z68" s="272"/>
      <c r="AA68" s="272"/>
      <c r="AB68" s="288"/>
    </row>
    <row r="69" spans="1:28" ht="20.25" customHeight="1">
      <c r="A69" s="270">
        <v>68</v>
      </c>
      <c r="B69" s="273" t="s">
        <v>222</v>
      </c>
      <c r="C69" s="271" t="s">
        <v>27</v>
      </c>
      <c r="D69" s="270" t="s">
        <v>53</v>
      </c>
      <c r="E69" s="270" t="s">
        <v>223</v>
      </c>
      <c r="F69" s="272" t="str">
        <f>IF(D69="", "", _xlfn.XLOOKUP(D69, CLIENT_CODE!D:D, CLIENT_CODE!B:B, ""))</f>
        <v>Indusind General Insurance Co Ltd</v>
      </c>
      <c r="G69" s="275" t="s">
        <v>224</v>
      </c>
      <c r="H69" s="340">
        <v>45970</v>
      </c>
      <c r="I69" s="272" t="str">
        <f t="shared" ref="I69:I132" si="5">IF(ISBLANK(H69), "", TEXT(H69, "mmm-yy"))</f>
        <v>Nov-25</v>
      </c>
      <c r="J69" s="272">
        <v>1</v>
      </c>
      <c r="K69" s="272">
        <v>0</v>
      </c>
      <c r="L69" s="272">
        <v>1</v>
      </c>
      <c r="M69" s="272">
        <v>0</v>
      </c>
      <c r="N69" s="272">
        <v>1</v>
      </c>
      <c r="O69" s="272">
        <v>0</v>
      </c>
      <c r="P69" s="272">
        <v>0</v>
      </c>
      <c r="Q69" s="272">
        <v>0</v>
      </c>
      <c r="R69" s="272">
        <v>1</v>
      </c>
      <c r="S69" s="272">
        <v>1</v>
      </c>
      <c r="T69" s="272">
        <v>0</v>
      </c>
      <c r="U69" s="272">
        <v>0</v>
      </c>
      <c r="V69" s="272">
        <v>0</v>
      </c>
      <c r="W69" s="272">
        <v>0</v>
      </c>
      <c r="X69" s="270">
        <v>0</v>
      </c>
      <c r="Y69" s="270">
        <f t="shared" si="3"/>
        <v>5</v>
      </c>
      <c r="Z69" s="272"/>
      <c r="AA69" s="272"/>
      <c r="AB69" s="288"/>
    </row>
    <row r="70" spans="1:28" ht="20.25" customHeight="1">
      <c r="A70" s="270">
        <v>69</v>
      </c>
      <c r="B70" s="273" t="s">
        <v>225</v>
      </c>
      <c r="C70" s="271" t="s">
        <v>27</v>
      </c>
      <c r="D70" s="270" t="s">
        <v>53</v>
      </c>
      <c r="E70" s="270" t="s">
        <v>226</v>
      </c>
      <c r="F70" s="272" t="str">
        <f>IF(D70="", "", _xlfn.XLOOKUP(D70, CLIENT_CODE!D:D, CLIENT_CODE!B:B, ""))</f>
        <v>Indusind General Insurance Co Ltd</v>
      </c>
      <c r="G70" s="262" t="s">
        <v>227</v>
      </c>
      <c r="H70" s="340">
        <v>45970</v>
      </c>
      <c r="I70" s="272" t="str">
        <f t="shared" si="5"/>
        <v>Nov-25</v>
      </c>
      <c r="J70" s="272">
        <v>0</v>
      </c>
      <c r="K70" s="272">
        <v>0</v>
      </c>
      <c r="L70" s="272">
        <v>1</v>
      </c>
      <c r="M70" s="272">
        <v>0</v>
      </c>
      <c r="N70" s="272">
        <v>0</v>
      </c>
      <c r="O70" s="272">
        <v>0</v>
      </c>
      <c r="P70" s="272">
        <v>0</v>
      </c>
      <c r="Q70" s="272">
        <v>0</v>
      </c>
      <c r="R70" s="272">
        <v>0</v>
      </c>
      <c r="S70" s="272">
        <v>0</v>
      </c>
      <c r="T70" s="272">
        <v>0</v>
      </c>
      <c r="U70" s="272">
        <v>0</v>
      </c>
      <c r="V70" s="272">
        <v>0</v>
      </c>
      <c r="W70" s="272">
        <v>0</v>
      </c>
      <c r="X70" s="270">
        <v>0</v>
      </c>
      <c r="Y70" s="270">
        <f t="shared" ref="Y70:Y133" si="6">IF(COUNTA(J70:T70)=0, "", SUM(J70:T70))</f>
        <v>1</v>
      </c>
      <c r="Z70" s="272"/>
      <c r="AA70" s="272"/>
      <c r="AB70" s="288"/>
    </row>
    <row r="71" spans="1:28" ht="20.25" customHeight="1">
      <c r="A71" s="270">
        <v>70</v>
      </c>
      <c r="B71" s="273" t="s">
        <v>228</v>
      </c>
      <c r="C71" s="271" t="s">
        <v>27</v>
      </c>
      <c r="D71" s="270" t="s">
        <v>53</v>
      </c>
      <c r="E71" s="270" t="s">
        <v>229</v>
      </c>
      <c r="F71" s="272" t="str">
        <f>IF(D71="", "", _xlfn.XLOOKUP(D71, CLIENT_CODE!D:D, CLIENT_CODE!B:B, ""))</f>
        <v>Indusind General Insurance Co Ltd</v>
      </c>
      <c r="G71" s="263" t="s">
        <v>230</v>
      </c>
      <c r="H71" s="340">
        <v>45970</v>
      </c>
      <c r="I71" s="272" t="str">
        <f t="shared" si="5"/>
        <v>Nov-25</v>
      </c>
      <c r="J71" s="272">
        <v>1</v>
      </c>
      <c r="K71" s="272">
        <v>0</v>
      </c>
      <c r="L71" s="272">
        <v>1</v>
      </c>
      <c r="M71" s="272">
        <v>0</v>
      </c>
      <c r="N71" s="272">
        <v>1</v>
      </c>
      <c r="O71" s="272">
        <v>0</v>
      </c>
      <c r="P71" s="272">
        <v>0</v>
      </c>
      <c r="Q71" s="272">
        <v>0</v>
      </c>
      <c r="R71" s="272">
        <v>1</v>
      </c>
      <c r="S71" s="272">
        <v>1</v>
      </c>
      <c r="T71" s="272">
        <v>0</v>
      </c>
      <c r="U71" s="272">
        <v>0</v>
      </c>
      <c r="V71" s="272">
        <v>0</v>
      </c>
      <c r="W71" s="272">
        <v>0</v>
      </c>
      <c r="X71" s="270">
        <v>0</v>
      </c>
      <c r="Y71" s="270">
        <f t="shared" si="6"/>
        <v>5</v>
      </c>
      <c r="Z71" s="272"/>
      <c r="AA71" s="272"/>
      <c r="AB71" s="288"/>
    </row>
    <row r="72" spans="1:28" ht="20.25" customHeight="1">
      <c r="A72" s="270">
        <v>71</v>
      </c>
      <c r="B72" s="273" t="s">
        <v>231</v>
      </c>
      <c r="C72" s="271" t="s">
        <v>27</v>
      </c>
      <c r="D72" s="270" t="s">
        <v>53</v>
      </c>
      <c r="E72" s="270" t="s">
        <v>232</v>
      </c>
      <c r="F72" s="272" t="str">
        <f>IF(D72="", "", _xlfn.XLOOKUP(D72, CLIENT_CODE!D:D, CLIENT_CODE!B:B, ""))</f>
        <v>Indusind General Insurance Co Ltd</v>
      </c>
      <c r="G72" s="275" t="s">
        <v>233</v>
      </c>
      <c r="H72" s="340">
        <v>45970</v>
      </c>
      <c r="I72" s="272" t="str">
        <f t="shared" si="5"/>
        <v>Nov-25</v>
      </c>
      <c r="J72" s="272">
        <v>1</v>
      </c>
      <c r="K72" s="272">
        <v>0</v>
      </c>
      <c r="L72" s="272">
        <v>1</v>
      </c>
      <c r="M72" s="272">
        <v>0</v>
      </c>
      <c r="N72" s="272">
        <v>1</v>
      </c>
      <c r="O72" s="272">
        <v>0</v>
      </c>
      <c r="P72" s="272">
        <v>0</v>
      </c>
      <c r="Q72" s="272">
        <v>0</v>
      </c>
      <c r="R72" s="272">
        <v>1</v>
      </c>
      <c r="S72" s="272">
        <v>1</v>
      </c>
      <c r="T72" s="272">
        <v>0</v>
      </c>
      <c r="U72" s="272">
        <v>0</v>
      </c>
      <c r="V72" s="272">
        <v>0</v>
      </c>
      <c r="W72" s="272">
        <v>0</v>
      </c>
      <c r="X72" s="270">
        <v>0</v>
      </c>
      <c r="Y72" s="270">
        <f t="shared" si="6"/>
        <v>5</v>
      </c>
      <c r="Z72" s="272"/>
      <c r="AA72" s="272"/>
      <c r="AB72" s="288"/>
    </row>
    <row r="73" spans="1:28" ht="20.25" customHeight="1">
      <c r="A73" s="270">
        <v>72</v>
      </c>
      <c r="B73" s="273" t="s">
        <v>234</v>
      </c>
      <c r="C73" s="271" t="s">
        <v>27</v>
      </c>
      <c r="D73" s="270" t="s">
        <v>53</v>
      </c>
      <c r="E73" s="270" t="s">
        <v>235</v>
      </c>
      <c r="F73" s="272" t="str">
        <f>IF(D73="", "", _xlfn.XLOOKUP(D73, CLIENT_CODE!D:D, CLIENT_CODE!B:B, ""))</f>
        <v>Indusind General Insurance Co Ltd</v>
      </c>
      <c r="G73" s="275" t="s">
        <v>236</v>
      </c>
      <c r="H73" s="340">
        <v>45970</v>
      </c>
      <c r="I73" s="272" t="str">
        <f t="shared" si="5"/>
        <v>Nov-25</v>
      </c>
      <c r="J73" s="272">
        <v>1</v>
      </c>
      <c r="K73" s="272">
        <v>0</v>
      </c>
      <c r="L73" s="272">
        <v>1</v>
      </c>
      <c r="M73" s="272">
        <v>0</v>
      </c>
      <c r="N73" s="272">
        <v>1</v>
      </c>
      <c r="O73" s="272">
        <v>0</v>
      </c>
      <c r="P73" s="272">
        <v>0</v>
      </c>
      <c r="Q73" s="272">
        <v>0</v>
      </c>
      <c r="R73" s="272">
        <v>1</v>
      </c>
      <c r="S73" s="272">
        <v>1</v>
      </c>
      <c r="T73" s="272">
        <v>0</v>
      </c>
      <c r="U73" s="272">
        <v>0</v>
      </c>
      <c r="V73" s="272">
        <v>0</v>
      </c>
      <c r="W73" s="272">
        <v>0</v>
      </c>
      <c r="X73" s="270">
        <v>0</v>
      </c>
      <c r="Y73" s="270">
        <f t="shared" si="6"/>
        <v>5</v>
      </c>
      <c r="Z73" s="272"/>
      <c r="AA73" s="272"/>
      <c r="AB73" s="288"/>
    </row>
    <row r="74" spans="1:28" ht="20.25" customHeight="1">
      <c r="A74" s="270">
        <v>73</v>
      </c>
      <c r="B74" s="273" t="s">
        <v>237</v>
      </c>
      <c r="C74" s="271" t="s">
        <v>27</v>
      </c>
      <c r="D74" s="270" t="s">
        <v>53</v>
      </c>
      <c r="E74" s="270" t="s">
        <v>238</v>
      </c>
      <c r="F74" s="272" t="str">
        <f>IF(D74="", "", _xlfn.XLOOKUP(D74, CLIENT_CODE!D:D, CLIENT_CODE!B:B, ""))</f>
        <v>Indusind General Insurance Co Ltd</v>
      </c>
      <c r="G74" s="275" t="s">
        <v>239</v>
      </c>
      <c r="H74" s="340">
        <v>45970</v>
      </c>
      <c r="I74" s="272" t="str">
        <f t="shared" si="5"/>
        <v>Nov-25</v>
      </c>
      <c r="J74" s="272">
        <v>1</v>
      </c>
      <c r="K74" s="272">
        <v>0</v>
      </c>
      <c r="L74" s="272">
        <v>1</v>
      </c>
      <c r="M74" s="272">
        <v>0</v>
      </c>
      <c r="N74" s="272">
        <v>1</v>
      </c>
      <c r="O74" s="272">
        <v>0</v>
      </c>
      <c r="P74" s="272">
        <v>0</v>
      </c>
      <c r="Q74" s="272">
        <v>0</v>
      </c>
      <c r="R74" s="272">
        <v>1</v>
      </c>
      <c r="S74" s="272">
        <v>1</v>
      </c>
      <c r="T74" s="272">
        <v>0</v>
      </c>
      <c r="U74" s="272">
        <v>0</v>
      </c>
      <c r="V74" s="272">
        <v>0</v>
      </c>
      <c r="W74" s="272">
        <v>0</v>
      </c>
      <c r="X74" s="270">
        <v>0</v>
      </c>
      <c r="Y74" s="270">
        <f t="shared" si="6"/>
        <v>5</v>
      </c>
      <c r="Z74" s="272"/>
      <c r="AA74" s="272"/>
      <c r="AB74" s="288"/>
    </row>
    <row r="75" spans="1:28" ht="20.25" customHeight="1">
      <c r="A75" s="270">
        <v>74</v>
      </c>
      <c r="B75" s="273" t="s">
        <v>240</v>
      </c>
      <c r="C75" s="271" t="s">
        <v>27</v>
      </c>
      <c r="D75" s="270" t="s">
        <v>53</v>
      </c>
      <c r="E75" s="270" t="s">
        <v>241</v>
      </c>
      <c r="F75" s="272" t="str">
        <f>IF(D75="", "", _xlfn.XLOOKUP(D75, CLIENT_CODE!D:D, CLIENT_CODE!B:B, ""))</f>
        <v>Indusind General Insurance Co Ltd</v>
      </c>
      <c r="G75" s="275" t="s">
        <v>242</v>
      </c>
      <c r="H75" s="340">
        <v>45970</v>
      </c>
      <c r="I75" s="272" t="str">
        <f t="shared" si="5"/>
        <v>Nov-25</v>
      </c>
      <c r="J75" s="272">
        <v>1</v>
      </c>
      <c r="K75" s="272">
        <v>0</v>
      </c>
      <c r="L75" s="272">
        <v>1</v>
      </c>
      <c r="M75" s="272">
        <v>0</v>
      </c>
      <c r="N75" s="272">
        <v>1</v>
      </c>
      <c r="O75" s="272">
        <v>0</v>
      </c>
      <c r="P75" s="272">
        <v>0</v>
      </c>
      <c r="Q75" s="272">
        <v>0</v>
      </c>
      <c r="R75" s="272">
        <v>1</v>
      </c>
      <c r="S75" s="272">
        <v>0</v>
      </c>
      <c r="T75" s="272">
        <v>0</v>
      </c>
      <c r="U75" s="272">
        <v>0</v>
      </c>
      <c r="V75" s="272">
        <v>0</v>
      </c>
      <c r="W75" s="272">
        <v>0</v>
      </c>
      <c r="X75" s="270">
        <v>0</v>
      </c>
      <c r="Y75" s="270">
        <f t="shared" si="6"/>
        <v>4</v>
      </c>
      <c r="Z75" s="272"/>
      <c r="AA75" s="272"/>
      <c r="AB75" s="288"/>
    </row>
    <row r="76" spans="1:28" ht="20.25" customHeight="1">
      <c r="A76" s="270">
        <v>75</v>
      </c>
      <c r="B76" s="273" t="s">
        <v>243</v>
      </c>
      <c r="C76" s="271" t="s">
        <v>27</v>
      </c>
      <c r="D76" s="270" t="s">
        <v>53</v>
      </c>
      <c r="E76" s="270" t="s">
        <v>244</v>
      </c>
      <c r="F76" s="272" t="str">
        <f>IF(D76="", "", _xlfn.XLOOKUP(D76, CLIENT_CODE!D:D, CLIENT_CODE!B:B, ""))</f>
        <v>Indusind General Insurance Co Ltd</v>
      </c>
      <c r="G76" s="275" t="s">
        <v>245</v>
      </c>
      <c r="H76" s="340">
        <v>45970</v>
      </c>
      <c r="I76" s="272" t="str">
        <f t="shared" si="5"/>
        <v>Nov-25</v>
      </c>
      <c r="J76" s="272">
        <v>1</v>
      </c>
      <c r="K76" s="272">
        <v>0</v>
      </c>
      <c r="L76" s="272">
        <v>1</v>
      </c>
      <c r="M76" s="272">
        <v>0</v>
      </c>
      <c r="N76" s="272">
        <v>1</v>
      </c>
      <c r="O76" s="272">
        <v>0</v>
      </c>
      <c r="P76" s="272">
        <v>0</v>
      </c>
      <c r="Q76" s="272">
        <v>0</v>
      </c>
      <c r="R76" s="272">
        <v>1</v>
      </c>
      <c r="S76" s="272">
        <v>1</v>
      </c>
      <c r="T76" s="272">
        <v>0</v>
      </c>
      <c r="U76" s="272">
        <v>0</v>
      </c>
      <c r="V76" s="272">
        <v>0</v>
      </c>
      <c r="W76" s="272">
        <v>0</v>
      </c>
      <c r="X76" s="270">
        <v>0</v>
      </c>
      <c r="Y76" s="270">
        <f t="shared" si="6"/>
        <v>5</v>
      </c>
      <c r="Z76" s="272"/>
      <c r="AA76" s="272"/>
      <c r="AB76" s="288"/>
    </row>
    <row r="77" spans="1:28" ht="20.25" customHeight="1">
      <c r="A77" s="270">
        <v>76</v>
      </c>
      <c r="B77" s="273" t="s">
        <v>246</v>
      </c>
      <c r="C77" s="271" t="s">
        <v>27</v>
      </c>
      <c r="D77" s="270" t="s">
        <v>53</v>
      </c>
      <c r="E77" s="270" t="s">
        <v>247</v>
      </c>
      <c r="F77" s="272" t="str">
        <f>IF(D77="", "", _xlfn.XLOOKUP(D77, CLIENT_CODE!D:D, CLIENT_CODE!B:B, ""))</f>
        <v>Indusind General Insurance Co Ltd</v>
      </c>
      <c r="G77" s="275" t="s">
        <v>248</v>
      </c>
      <c r="H77" s="340">
        <v>45973</v>
      </c>
      <c r="I77" s="272" t="str">
        <f t="shared" si="5"/>
        <v>Nov-25</v>
      </c>
      <c r="J77" s="272">
        <v>1</v>
      </c>
      <c r="K77" s="272">
        <v>0</v>
      </c>
      <c r="L77" s="272">
        <v>1</v>
      </c>
      <c r="M77" s="272">
        <v>0</v>
      </c>
      <c r="N77" s="272">
        <v>1</v>
      </c>
      <c r="O77" s="272">
        <v>0</v>
      </c>
      <c r="P77" s="272">
        <v>0</v>
      </c>
      <c r="Q77" s="272">
        <v>0</v>
      </c>
      <c r="R77" s="272">
        <v>1</v>
      </c>
      <c r="S77" s="272">
        <v>1</v>
      </c>
      <c r="T77" s="272">
        <v>0</v>
      </c>
      <c r="U77" s="272">
        <v>0</v>
      </c>
      <c r="V77" s="272">
        <v>0</v>
      </c>
      <c r="W77" s="272">
        <v>0</v>
      </c>
      <c r="X77" s="270">
        <v>0</v>
      </c>
      <c r="Y77" s="270">
        <f t="shared" si="6"/>
        <v>5</v>
      </c>
      <c r="Z77" s="272"/>
      <c r="AA77" s="272"/>
      <c r="AB77" s="288"/>
    </row>
    <row r="78" spans="1:28" ht="20.25" customHeight="1">
      <c r="A78" s="270">
        <v>77</v>
      </c>
      <c r="B78" s="273" t="s">
        <v>249</v>
      </c>
      <c r="C78" s="271" t="s">
        <v>27</v>
      </c>
      <c r="D78" s="270" t="s">
        <v>38</v>
      </c>
      <c r="E78" s="270" t="s">
        <v>250</v>
      </c>
      <c r="F78" s="272" t="str">
        <f>IF(D78="", "", _xlfn.XLOOKUP(D78, CLIENT_CODE!D:D, CLIENT_CODE!B:B, ""))</f>
        <v>Generali Central Insurance Company Limited</v>
      </c>
      <c r="G78" s="275" t="s">
        <v>251</v>
      </c>
      <c r="H78" s="340">
        <v>45973</v>
      </c>
      <c r="I78" s="272" t="str">
        <f t="shared" si="5"/>
        <v>Nov-25</v>
      </c>
      <c r="J78" s="272">
        <v>1</v>
      </c>
      <c r="K78" s="272">
        <v>0</v>
      </c>
      <c r="L78" s="272">
        <v>1</v>
      </c>
      <c r="M78" s="272">
        <v>1</v>
      </c>
      <c r="N78" s="272">
        <v>1</v>
      </c>
      <c r="O78" s="272">
        <v>1</v>
      </c>
      <c r="P78" s="272">
        <v>1</v>
      </c>
      <c r="Q78" s="272">
        <v>0</v>
      </c>
      <c r="R78" s="272">
        <v>1</v>
      </c>
      <c r="S78" s="272">
        <v>1</v>
      </c>
      <c r="T78" s="272">
        <v>0</v>
      </c>
      <c r="U78" s="272">
        <v>0</v>
      </c>
      <c r="V78" s="272">
        <v>1</v>
      </c>
      <c r="W78" s="272">
        <v>0</v>
      </c>
      <c r="X78" s="270">
        <v>0</v>
      </c>
      <c r="Y78" s="270">
        <f t="shared" si="6"/>
        <v>8</v>
      </c>
      <c r="Z78" s="272"/>
      <c r="AA78" s="272"/>
      <c r="AB78" s="288"/>
    </row>
    <row r="79" spans="1:28" ht="20.25" customHeight="1">
      <c r="A79" s="270">
        <v>78</v>
      </c>
      <c r="B79" s="273" t="s">
        <v>41</v>
      </c>
      <c r="C79" s="271" t="s">
        <v>27</v>
      </c>
      <c r="D79" s="270" t="s">
        <v>53</v>
      </c>
      <c r="E79" s="270" t="s">
        <v>252</v>
      </c>
      <c r="F79" s="272" t="str">
        <f>IF(D79="", "", _xlfn.XLOOKUP(D79, CLIENT_CODE!D:D, CLIENT_CODE!B:B, ""))</f>
        <v>Indusind General Insurance Co Ltd</v>
      </c>
      <c r="G79" s="275" t="s">
        <v>253</v>
      </c>
      <c r="H79" s="340">
        <v>45974</v>
      </c>
      <c r="I79" s="272" t="str">
        <f t="shared" si="5"/>
        <v>Nov-25</v>
      </c>
      <c r="J79" s="272">
        <v>0</v>
      </c>
      <c r="K79" s="272">
        <v>0</v>
      </c>
      <c r="L79" s="272">
        <v>0</v>
      </c>
      <c r="M79" s="272">
        <v>0</v>
      </c>
      <c r="N79" s="272">
        <v>0</v>
      </c>
      <c r="O79" s="272">
        <v>0</v>
      </c>
      <c r="P79" s="272">
        <v>0</v>
      </c>
      <c r="Q79" s="272">
        <v>0</v>
      </c>
      <c r="R79" s="272">
        <v>0</v>
      </c>
      <c r="S79" s="272">
        <v>1</v>
      </c>
      <c r="T79" s="272">
        <v>0</v>
      </c>
      <c r="U79" s="272">
        <v>0</v>
      </c>
      <c r="V79" s="272">
        <v>0</v>
      </c>
      <c r="W79" s="272">
        <v>0</v>
      </c>
      <c r="X79" s="270">
        <v>0</v>
      </c>
      <c r="Y79" s="270">
        <f t="shared" si="6"/>
        <v>1</v>
      </c>
      <c r="Z79" s="272"/>
      <c r="AA79" s="272"/>
      <c r="AB79" s="288"/>
    </row>
    <row r="80" spans="1:28" ht="20.25" customHeight="1">
      <c r="A80" s="270">
        <v>79</v>
      </c>
      <c r="B80" s="273" t="s">
        <v>254</v>
      </c>
      <c r="C80" s="271" t="s">
        <v>27</v>
      </c>
      <c r="D80" s="270" t="s">
        <v>53</v>
      </c>
      <c r="E80" s="270" t="s">
        <v>255</v>
      </c>
      <c r="F80" s="272" t="str">
        <f>IF(D80="", "", _xlfn.XLOOKUP(D80, CLIENT_CODE!D:D, CLIENT_CODE!B:B, ""))</f>
        <v>Indusind General Insurance Co Ltd</v>
      </c>
      <c r="G80" s="275" t="s">
        <v>256</v>
      </c>
      <c r="H80" s="340">
        <v>45975</v>
      </c>
      <c r="I80" s="272" t="str">
        <f t="shared" si="5"/>
        <v>Nov-25</v>
      </c>
      <c r="J80" s="272">
        <v>1</v>
      </c>
      <c r="K80" s="272">
        <v>0</v>
      </c>
      <c r="L80" s="272">
        <v>1</v>
      </c>
      <c r="M80" s="272">
        <v>0</v>
      </c>
      <c r="N80" s="272">
        <v>1</v>
      </c>
      <c r="O80" s="272">
        <v>0</v>
      </c>
      <c r="P80" s="272">
        <v>0</v>
      </c>
      <c r="Q80" s="272">
        <v>0</v>
      </c>
      <c r="R80" s="272">
        <v>1</v>
      </c>
      <c r="S80" s="272">
        <v>1</v>
      </c>
      <c r="T80" s="272">
        <v>0</v>
      </c>
      <c r="U80" s="272">
        <v>0</v>
      </c>
      <c r="V80" s="272">
        <v>0</v>
      </c>
      <c r="W80" s="272">
        <v>0</v>
      </c>
      <c r="X80" s="270">
        <v>0</v>
      </c>
      <c r="Y80" s="270">
        <f t="shared" si="6"/>
        <v>5</v>
      </c>
      <c r="Z80" s="272"/>
      <c r="AA80" s="272"/>
      <c r="AB80" s="288"/>
    </row>
    <row r="81" spans="1:28" ht="20.25" customHeight="1">
      <c r="A81" s="270">
        <v>80</v>
      </c>
      <c r="B81" s="273" t="s">
        <v>257</v>
      </c>
      <c r="C81" s="271" t="s">
        <v>27</v>
      </c>
      <c r="D81" s="270" t="s">
        <v>53</v>
      </c>
      <c r="E81" s="270" t="s">
        <v>258</v>
      </c>
      <c r="F81" s="272" t="str">
        <f>IF(D81="", "", _xlfn.XLOOKUP(D81, CLIENT_CODE!D:D, CLIENT_CODE!B:B, ""))</f>
        <v>Indusind General Insurance Co Ltd</v>
      </c>
      <c r="G81" s="275" t="s">
        <v>259</v>
      </c>
      <c r="H81" s="340">
        <v>45975</v>
      </c>
      <c r="I81" s="272" t="str">
        <f t="shared" si="5"/>
        <v>Nov-25</v>
      </c>
      <c r="J81" s="272">
        <v>0</v>
      </c>
      <c r="K81" s="272">
        <v>0</v>
      </c>
      <c r="L81" s="272">
        <v>1</v>
      </c>
      <c r="M81" s="272">
        <v>0</v>
      </c>
      <c r="N81" s="272">
        <v>0</v>
      </c>
      <c r="O81" s="272">
        <v>0</v>
      </c>
      <c r="P81" s="272">
        <v>0</v>
      </c>
      <c r="Q81" s="272">
        <v>0</v>
      </c>
      <c r="R81" s="272">
        <v>0</v>
      </c>
      <c r="S81" s="272">
        <v>0</v>
      </c>
      <c r="T81" s="272">
        <v>0</v>
      </c>
      <c r="U81" s="272">
        <v>0</v>
      </c>
      <c r="V81" s="272">
        <v>0</v>
      </c>
      <c r="W81" s="272">
        <v>0</v>
      </c>
      <c r="X81" s="270">
        <v>0</v>
      </c>
      <c r="Y81" s="270">
        <f t="shared" si="6"/>
        <v>1</v>
      </c>
      <c r="Z81" s="272"/>
      <c r="AA81" s="272" t="s">
        <v>260</v>
      </c>
      <c r="AB81" s="288"/>
    </row>
    <row r="82" spans="1:28" ht="20.25" customHeight="1">
      <c r="A82" s="270">
        <v>81</v>
      </c>
      <c r="B82" s="273" t="s">
        <v>261</v>
      </c>
      <c r="C82" s="271" t="s">
        <v>27</v>
      </c>
      <c r="D82" s="270" t="s">
        <v>53</v>
      </c>
      <c r="E82" s="270" t="s">
        <v>262</v>
      </c>
      <c r="F82" s="272" t="str">
        <f>IF(D82="", "", _xlfn.XLOOKUP(D82, CLIENT_CODE!D:D, CLIENT_CODE!B:B, ""))</f>
        <v>Indusind General Insurance Co Ltd</v>
      </c>
      <c r="G82" s="275" t="s">
        <v>263</v>
      </c>
      <c r="H82" s="340">
        <v>45975</v>
      </c>
      <c r="I82" s="272" t="str">
        <f t="shared" si="5"/>
        <v>Nov-25</v>
      </c>
      <c r="J82" s="272">
        <v>0</v>
      </c>
      <c r="K82" s="272">
        <v>0</v>
      </c>
      <c r="L82" s="272">
        <v>1</v>
      </c>
      <c r="M82" s="272">
        <v>0</v>
      </c>
      <c r="N82" s="272">
        <v>0</v>
      </c>
      <c r="O82" s="272">
        <v>0</v>
      </c>
      <c r="P82" s="272">
        <v>0</v>
      </c>
      <c r="Q82" s="272">
        <v>0</v>
      </c>
      <c r="R82" s="272">
        <v>0</v>
      </c>
      <c r="S82" s="272">
        <v>0</v>
      </c>
      <c r="T82" s="272">
        <v>0</v>
      </c>
      <c r="U82" s="272">
        <v>0</v>
      </c>
      <c r="V82" s="272">
        <v>0</v>
      </c>
      <c r="W82" s="272">
        <v>0</v>
      </c>
      <c r="X82" s="270">
        <v>0</v>
      </c>
      <c r="Y82" s="270">
        <f t="shared" ref="Y82:Y86" si="7">IF(COUNTA(J82:T82)=0, "", SUM(J82:T82))</f>
        <v>1</v>
      </c>
      <c r="Z82" s="272"/>
      <c r="AA82" s="272" t="s">
        <v>260</v>
      </c>
      <c r="AB82" s="288"/>
    </row>
    <row r="83" spans="1:28" ht="20.25" customHeight="1">
      <c r="A83" s="270">
        <v>82</v>
      </c>
      <c r="B83" s="273" t="s">
        <v>264</v>
      </c>
      <c r="C83" s="271" t="s">
        <v>27</v>
      </c>
      <c r="D83" s="270" t="s">
        <v>53</v>
      </c>
      <c r="E83" s="270" t="s">
        <v>265</v>
      </c>
      <c r="F83" s="272" t="str">
        <f>IF(D83="", "", _xlfn.XLOOKUP(D83, CLIENT_CODE!D:D, CLIENT_CODE!B:B, ""))</f>
        <v>Indusind General Insurance Co Ltd</v>
      </c>
      <c r="G83" s="275" t="s">
        <v>266</v>
      </c>
      <c r="H83" s="340">
        <v>45975</v>
      </c>
      <c r="I83" s="272" t="str">
        <f t="shared" si="5"/>
        <v>Nov-25</v>
      </c>
      <c r="J83" s="272">
        <v>0</v>
      </c>
      <c r="K83" s="272">
        <v>0</v>
      </c>
      <c r="L83" s="272">
        <v>1</v>
      </c>
      <c r="M83" s="272">
        <v>0</v>
      </c>
      <c r="N83" s="272">
        <v>0</v>
      </c>
      <c r="O83" s="272">
        <v>0</v>
      </c>
      <c r="P83" s="272">
        <v>0</v>
      </c>
      <c r="Q83" s="272">
        <v>0</v>
      </c>
      <c r="R83" s="272">
        <v>0</v>
      </c>
      <c r="S83" s="272">
        <v>0</v>
      </c>
      <c r="T83" s="272">
        <v>0</v>
      </c>
      <c r="U83" s="272">
        <v>0</v>
      </c>
      <c r="V83" s="272">
        <v>0</v>
      </c>
      <c r="W83" s="272">
        <v>0</v>
      </c>
      <c r="X83" s="270">
        <v>0</v>
      </c>
      <c r="Y83" s="270">
        <f t="shared" si="7"/>
        <v>1</v>
      </c>
      <c r="Z83" s="272"/>
      <c r="AA83" s="272" t="s">
        <v>260</v>
      </c>
      <c r="AB83" s="288"/>
    </row>
    <row r="84" spans="1:28" ht="20.25" customHeight="1">
      <c r="A84" s="270">
        <v>83</v>
      </c>
      <c r="B84" s="273" t="s">
        <v>267</v>
      </c>
      <c r="C84" s="271" t="s">
        <v>27</v>
      </c>
      <c r="D84" s="270" t="s">
        <v>53</v>
      </c>
      <c r="E84" s="270" t="s">
        <v>268</v>
      </c>
      <c r="F84" s="272" t="str">
        <f>IF(D84="", "", _xlfn.XLOOKUP(D84, CLIENT_CODE!D:D, CLIENT_CODE!B:B, ""))</f>
        <v>Indusind General Insurance Co Ltd</v>
      </c>
      <c r="G84" s="275" t="s">
        <v>269</v>
      </c>
      <c r="H84" s="340">
        <v>45975</v>
      </c>
      <c r="I84" s="272" t="str">
        <f t="shared" si="5"/>
        <v>Nov-25</v>
      </c>
      <c r="J84" s="272">
        <v>0</v>
      </c>
      <c r="K84" s="272">
        <v>0</v>
      </c>
      <c r="L84" s="272">
        <v>1</v>
      </c>
      <c r="M84" s="272">
        <v>0</v>
      </c>
      <c r="N84" s="272">
        <v>0</v>
      </c>
      <c r="O84" s="272">
        <v>0</v>
      </c>
      <c r="P84" s="272">
        <v>0</v>
      </c>
      <c r="Q84" s="272">
        <v>0</v>
      </c>
      <c r="R84" s="272">
        <v>0</v>
      </c>
      <c r="S84" s="272">
        <v>0</v>
      </c>
      <c r="T84" s="272">
        <v>0</v>
      </c>
      <c r="U84" s="272">
        <v>0</v>
      </c>
      <c r="V84" s="272">
        <v>0</v>
      </c>
      <c r="W84" s="272">
        <v>0</v>
      </c>
      <c r="X84" s="270">
        <v>0</v>
      </c>
      <c r="Y84" s="270">
        <f t="shared" si="7"/>
        <v>1</v>
      </c>
      <c r="Z84" s="272"/>
      <c r="AA84" s="272" t="s">
        <v>260</v>
      </c>
      <c r="AB84" s="288"/>
    </row>
    <row r="85" spans="1:28" ht="20.25" customHeight="1">
      <c r="A85" s="270">
        <v>84</v>
      </c>
      <c r="B85" s="277" t="s">
        <v>270</v>
      </c>
      <c r="C85" s="271" t="s">
        <v>27</v>
      </c>
      <c r="D85" s="270" t="s">
        <v>53</v>
      </c>
      <c r="E85" s="270" t="s">
        <v>271</v>
      </c>
      <c r="F85" s="272" t="str">
        <f>IF(D85="", "", _xlfn.XLOOKUP(D85, CLIENT_CODE!D:D, CLIENT_CODE!B:B, ""))</f>
        <v>Indusind General Insurance Co Ltd</v>
      </c>
      <c r="G85" s="262" t="s">
        <v>272</v>
      </c>
      <c r="H85" s="340">
        <v>45975</v>
      </c>
      <c r="I85" s="272" t="str">
        <f t="shared" si="5"/>
        <v>Nov-25</v>
      </c>
      <c r="J85" s="272">
        <v>0</v>
      </c>
      <c r="K85" s="272">
        <v>0</v>
      </c>
      <c r="L85" s="272">
        <v>1</v>
      </c>
      <c r="M85" s="272">
        <v>0</v>
      </c>
      <c r="N85" s="272">
        <v>0</v>
      </c>
      <c r="O85" s="272">
        <v>0</v>
      </c>
      <c r="P85" s="272">
        <v>0</v>
      </c>
      <c r="Q85" s="272">
        <v>0</v>
      </c>
      <c r="R85" s="272">
        <v>0</v>
      </c>
      <c r="S85" s="272">
        <v>0</v>
      </c>
      <c r="T85" s="272">
        <v>0</v>
      </c>
      <c r="U85" s="272">
        <v>0</v>
      </c>
      <c r="V85" s="272">
        <v>0</v>
      </c>
      <c r="W85" s="272">
        <v>0</v>
      </c>
      <c r="X85" s="270">
        <v>0</v>
      </c>
      <c r="Y85" s="270">
        <f t="shared" si="7"/>
        <v>1</v>
      </c>
      <c r="Z85" s="272"/>
      <c r="AA85" s="272" t="s">
        <v>260</v>
      </c>
      <c r="AB85" s="288"/>
    </row>
    <row r="86" spans="1:28" ht="20.25" customHeight="1">
      <c r="A86" s="270">
        <v>85</v>
      </c>
      <c r="B86" s="277" t="s">
        <v>273</v>
      </c>
      <c r="C86" s="271" t="s">
        <v>27</v>
      </c>
      <c r="D86" s="270" t="s">
        <v>53</v>
      </c>
      <c r="E86" s="270" t="s">
        <v>274</v>
      </c>
      <c r="F86" s="272" t="str">
        <f>IF(D86="", "", _xlfn.XLOOKUP(D86, CLIENT_CODE!D:D, CLIENT_CODE!B:B, ""))</f>
        <v>Indusind General Insurance Co Ltd</v>
      </c>
      <c r="G86" s="275" t="s">
        <v>275</v>
      </c>
      <c r="H86" s="340">
        <v>45975</v>
      </c>
      <c r="I86" s="272" t="str">
        <f t="shared" si="5"/>
        <v>Nov-25</v>
      </c>
      <c r="J86" s="272">
        <v>0</v>
      </c>
      <c r="K86" s="272">
        <v>0</v>
      </c>
      <c r="L86" s="272">
        <v>1</v>
      </c>
      <c r="M86" s="272">
        <v>0</v>
      </c>
      <c r="N86" s="272">
        <v>0</v>
      </c>
      <c r="O86" s="272">
        <v>0</v>
      </c>
      <c r="P86" s="272">
        <v>0</v>
      </c>
      <c r="Q86" s="272">
        <v>0</v>
      </c>
      <c r="R86" s="272">
        <v>0</v>
      </c>
      <c r="S86" s="272">
        <v>0</v>
      </c>
      <c r="T86" s="272">
        <v>0</v>
      </c>
      <c r="U86" s="272">
        <v>0</v>
      </c>
      <c r="V86" s="272">
        <v>0</v>
      </c>
      <c r="W86" s="272">
        <v>0</v>
      </c>
      <c r="X86" s="270">
        <v>0</v>
      </c>
      <c r="Y86" s="270">
        <f t="shared" si="7"/>
        <v>1</v>
      </c>
      <c r="Z86" s="272"/>
      <c r="AA86" s="272" t="s">
        <v>260</v>
      </c>
      <c r="AB86" s="288"/>
    </row>
    <row r="87" spans="1:28" ht="20.25" customHeight="1">
      <c r="A87" s="270">
        <v>86</v>
      </c>
      <c r="B87" s="260" t="s">
        <v>276</v>
      </c>
      <c r="C87" s="271" t="s">
        <v>27</v>
      </c>
      <c r="D87" s="270" t="s">
        <v>38</v>
      </c>
      <c r="E87" s="270" t="s">
        <v>277</v>
      </c>
      <c r="F87" s="272" t="str">
        <f>IF(D87="", "", _xlfn.XLOOKUP(D87, CLIENT_CODE!D:D, CLIENT_CODE!B:B, ""))</f>
        <v>Generali Central Insurance Company Limited</v>
      </c>
      <c r="G87" s="257" t="s">
        <v>278</v>
      </c>
      <c r="H87" s="340">
        <v>45976</v>
      </c>
      <c r="I87" s="272" t="str">
        <f t="shared" si="5"/>
        <v>Nov-25</v>
      </c>
      <c r="J87" s="272">
        <v>1</v>
      </c>
      <c r="K87" s="272">
        <v>0</v>
      </c>
      <c r="L87" s="272">
        <v>0</v>
      </c>
      <c r="M87" s="272">
        <v>0</v>
      </c>
      <c r="N87" s="272">
        <v>0</v>
      </c>
      <c r="O87" s="272">
        <v>0</v>
      </c>
      <c r="P87" s="272">
        <v>0</v>
      </c>
      <c r="Q87" s="272">
        <v>0</v>
      </c>
      <c r="R87" s="272">
        <v>0</v>
      </c>
      <c r="S87" s="272">
        <v>0</v>
      </c>
      <c r="T87" s="272">
        <v>0</v>
      </c>
      <c r="U87" s="272">
        <v>0</v>
      </c>
      <c r="V87" s="272">
        <v>0</v>
      </c>
      <c r="W87" s="272">
        <v>0</v>
      </c>
      <c r="X87" s="270">
        <v>0</v>
      </c>
      <c r="Y87" s="270">
        <f t="shared" si="6"/>
        <v>1</v>
      </c>
      <c r="Z87" s="272"/>
      <c r="AA87" s="272" t="s">
        <v>279</v>
      </c>
      <c r="AB87" s="288"/>
    </row>
    <row r="88" spans="1:28" ht="20.25" customHeight="1">
      <c r="A88" s="270">
        <v>87</v>
      </c>
      <c r="B88" s="277" t="s">
        <v>280</v>
      </c>
      <c r="C88" s="271" t="s">
        <v>27</v>
      </c>
      <c r="D88" s="270" t="s">
        <v>53</v>
      </c>
      <c r="E88" s="270" t="s">
        <v>281</v>
      </c>
      <c r="F88" s="272" t="str">
        <f>IF(D88="", "", _xlfn.XLOOKUP(D88, CLIENT_CODE!D:D, CLIENT_CODE!B:B, ""))</f>
        <v>Indusind General Insurance Co Ltd</v>
      </c>
      <c r="G88" s="275" t="s">
        <v>282</v>
      </c>
      <c r="H88" s="340">
        <v>45979</v>
      </c>
      <c r="I88" s="272" t="str">
        <f t="shared" si="5"/>
        <v>Nov-25</v>
      </c>
      <c r="J88" s="272">
        <v>0</v>
      </c>
      <c r="K88" s="272">
        <v>0</v>
      </c>
      <c r="L88" s="272">
        <v>1</v>
      </c>
      <c r="M88" s="272">
        <v>0</v>
      </c>
      <c r="N88" s="272">
        <v>0</v>
      </c>
      <c r="O88" s="272">
        <v>0</v>
      </c>
      <c r="P88" s="272">
        <v>0</v>
      </c>
      <c r="Q88" s="272">
        <v>0</v>
      </c>
      <c r="R88" s="272">
        <v>0</v>
      </c>
      <c r="S88" s="272">
        <v>0</v>
      </c>
      <c r="T88" s="272">
        <v>0</v>
      </c>
      <c r="U88" s="272">
        <v>0</v>
      </c>
      <c r="V88" s="272">
        <v>0</v>
      </c>
      <c r="W88" s="272">
        <v>0</v>
      </c>
      <c r="X88" s="270">
        <v>0</v>
      </c>
      <c r="Y88" s="270">
        <f t="shared" si="6"/>
        <v>1</v>
      </c>
      <c r="Z88" s="272"/>
      <c r="AA88" s="272"/>
      <c r="AB88" s="288"/>
    </row>
    <row r="89" spans="1:28" ht="20.25" customHeight="1">
      <c r="A89" s="270">
        <v>88</v>
      </c>
      <c r="B89" s="277" t="s">
        <v>280</v>
      </c>
      <c r="C89" s="271" t="s">
        <v>27</v>
      </c>
      <c r="D89" s="270" t="s">
        <v>53</v>
      </c>
      <c r="E89" s="270" t="s">
        <v>283</v>
      </c>
      <c r="F89" s="272" t="str">
        <f>IF(D89="", "", _xlfn.XLOOKUP(D89, CLIENT_CODE!D:D, CLIENT_CODE!B:B, ""))</f>
        <v>Indusind General Insurance Co Ltd</v>
      </c>
      <c r="G89" s="275" t="s">
        <v>284</v>
      </c>
      <c r="H89" s="340">
        <v>45979</v>
      </c>
      <c r="I89" s="272" t="str">
        <f t="shared" si="5"/>
        <v>Nov-25</v>
      </c>
      <c r="J89" s="272">
        <v>0</v>
      </c>
      <c r="K89" s="272">
        <v>0</v>
      </c>
      <c r="L89" s="272">
        <v>1</v>
      </c>
      <c r="M89" s="272">
        <v>0</v>
      </c>
      <c r="N89" s="272">
        <v>0</v>
      </c>
      <c r="O89" s="272">
        <v>0</v>
      </c>
      <c r="P89" s="272">
        <v>0</v>
      </c>
      <c r="Q89" s="272">
        <v>0</v>
      </c>
      <c r="R89" s="272">
        <v>0</v>
      </c>
      <c r="S89" s="272">
        <v>0</v>
      </c>
      <c r="T89" s="272">
        <v>0</v>
      </c>
      <c r="U89" s="272">
        <v>0</v>
      </c>
      <c r="V89" s="272">
        <v>0</v>
      </c>
      <c r="W89" s="272">
        <v>0</v>
      </c>
      <c r="X89" s="270">
        <v>0</v>
      </c>
      <c r="Y89" s="270">
        <f t="shared" si="6"/>
        <v>1</v>
      </c>
      <c r="Z89" s="272"/>
      <c r="AA89" s="272"/>
      <c r="AB89" s="288"/>
    </row>
    <row r="90" spans="1:28" ht="20.25" customHeight="1">
      <c r="A90" s="270">
        <v>89</v>
      </c>
      <c r="B90" s="277" t="s">
        <v>280</v>
      </c>
      <c r="C90" s="271" t="s">
        <v>27</v>
      </c>
      <c r="D90" s="270" t="s">
        <v>53</v>
      </c>
      <c r="E90" s="270" t="s">
        <v>285</v>
      </c>
      <c r="F90" s="272" t="str">
        <f>IF(D90="", "", _xlfn.XLOOKUP(D90, CLIENT_CODE!D:D, CLIENT_CODE!B:B, ""))</f>
        <v>Indusind General Insurance Co Ltd</v>
      </c>
      <c r="G90" s="275" t="s">
        <v>286</v>
      </c>
      <c r="H90" s="340">
        <v>45979</v>
      </c>
      <c r="I90" s="272" t="str">
        <f t="shared" si="5"/>
        <v>Nov-25</v>
      </c>
      <c r="J90" s="272">
        <v>1</v>
      </c>
      <c r="K90" s="272">
        <v>0</v>
      </c>
      <c r="L90" s="272">
        <v>1</v>
      </c>
      <c r="M90" s="272">
        <v>0</v>
      </c>
      <c r="N90" s="272">
        <v>1</v>
      </c>
      <c r="O90" s="272">
        <v>0</v>
      </c>
      <c r="P90" s="272">
        <v>0</v>
      </c>
      <c r="Q90" s="272">
        <v>0</v>
      </c>
      <c r="R90" s="272">
        <v>1</v>
      </c>
      <c r="S90" s="272">
        <v>1</v>
      </c>
      <c r="T90" s="272">
        <v>0</v>
      </c>
      <c r="U90" s="272">
        <v>0</v>
      </c>
      <c r="V90" s="272">
        <v>0</v>
      </c>
      <c r="W90" s="272">
        <v>0</v>
      </c>
      <c r="X90" s="270">
        <v>0</v>
      </c>
      <c r="Y90" s="270">
        <f t="shared" si="6"/>
        <v>5</v>
      </c>
      <c r="Z90" s="272"/>
      <c r="AA90" s="272"/>
      <c r="AB90" s="288"/>
    </row>
    <row r="91" spans="1:28" ht="20.25" customHeight="1">
      <c r="A91" s="270">
        <v>90</v>
      </c>
      <c r="B91" s="273" t="s">
        <v>287</v>
      </c>
      <c r="C91" s="271" t="s">
        <v>27</v>
      </c>
      <c r="D91" s="270" t="s">
        <v>53</v>
      </c>
      <c r="E91" s="270" t="s">
        <v>288</v>
      </c>
      <c r="F91" s="272" t="str">
        <f>IF(D91="", "", _xlfn.XLOOKUP(D91, CLIENT_CODE!D:D, CLIENT_CODE!B:B, ""))</f>
        <v>Indusind General Insurance Co Ltd</v>
      </c>
      <c r="G91" s="263" t="s">
        <v>289</v>
      </c>
      <c r="H91" s="340">
        <v>45979</v>
      </c>
      <c r="I91" s="272" t="str">
        <f t="shared" si="5"/>
        <v>Nov-25</v>
      </c>
      <c r="J91" s="272">
        <v>1</v>
      </c>
      <c r="K91" s="272">
        <v>0</v>
      </c>
      <c r="L91" s="272">
        <v>1</v>
      </c>
      <c r="M91" s="272">
        <v>0</v>
      </c>
      <c r="N91" s="272">
        <v>1</v>
      </c>
      <c r="O91" s="272">
        <v>0</v>
      </c>
      <c r="P91" s="272">
        <v>0</v>
      </c>
      <c r="Q91" s="272">
        <v>0</v>
      </c>
      <c r="R91" s="272">
        <v>1</v>
      </c>
      <c r="S91" s="272">
        <v>1</v>
      </c>
      <c r="T91" s="272">
        <v>0</v>
      </c>
      <c r="U91" s="272">
        <v>0</v>
      </c>
      <c r="V91" s="272">
        <v>0</v>
      </c>
      <c r="W91" s="272">
        <v>0</v>
      </c>
      <c r="X91" s="270">
        <v>0</v>
      </c>
      <c r="Y91" s="270">
        <f t="shared" si="6"/>
        <v>5</v>
      </c>
      <c r="Z91" s="272"/>
      <c r="AA91" s="272"/>
      <c r="AB91" s="288"/>
    </row>
    <row r="92" spans="1:28" ht="20.25" customHeight="1">
      <c r="A92" s="270">
        <v>91</v>
      </c>
      <c r="B92" s="273" t="s">
        <v>290</v>
      </c>
      <c r="C92" s="271" t="s">
        <v>27</v>
      </c>
      <c r="D92" s="270" t="s">
        <v>53</v>
      </c>
      <c r="E92" s="270" t="s">
        <v>291</v>
      </c>
      <c r="F92" s="272" t="str">
        <f>IF(D92="", "", _xlfn.XLOOKUP(D92, CLIENT_CODE!D:D, CLIENT_CODE!B:B, ""))</f>
        <v>Indusind General Insurance Co Ltd</v>
      </c>
      <c r="G92" s="275" t="s">
        <v>292</v>
      </c>
      <c r="H92" s="340">
        <v>45979</v>
      </c>
      <c r="I92" s="272" t="str">
        <f t="shared" si="5"/>
        <v>Nov-25</v>
      </c>
      <c r="J92" s="272">
        <v>1</v>
      </c>
      <c r="K92" s="272">
        <v>0</v>
      </c>
      <c r="L92" s="272">
        <v>1</v>
      </c>
      <c r="M92" s="272">
        <v>0</v>
      </c>
      <c r="N92" s="272">
        <v>1</v>
      </c>
      <c r="O92" s="272">
        <v>0</v>
      </c>
      <c r="P92" s="272">
        <v>0</v>
      </c>
      <c r="Q92" s="272">
        <v>0</v>
      </c>
      <c r="R92" s="272">
        <v>1</v>
      </c>
      <c r="S92" s="272">
        <v>1</v>
      </c>
      <c r="T92" s="272">
        <v>0</v>
      </c>
      <c r="U92" s="272">
        <v>0</v>
      </c>
      <c r="V92" s="272">
        <v>0</v>
      </c>
      <c r="W92" s="272">
        <v>0</v>
      </c>
      <c r="X92" s="270">
        <v>0</v>
      </c>
      <c r="Y92" s="270">
        <f t="shared" si="6"/>
        <v>5</v>
      </c>
      <c r="Z92" s="272"/>
      <c r="AA92" s="272"/>
      <c r="AB92" s="288"/>
    </row>
    <row r="93" spans="1:28" ht="20.25" customHeight="1">
      <c r="A93" s="270">
        <v>92</v>
      </c>
      <c r="B93" s="273" t="s">
        <v>293</v>
      </c>
      <c r="C93" s="271" t="s">
        <v>27</v>
      </c>
      <c r="D93" s="270" t="s">
        <v>53</v>
      </c>
      <c r="E93" s="270" t="s">
        <v>294</v>
      </c>
      <c r="F93" s="272" t="str">
        <f>IF(D93="", "", _xlfn.XLOOKUP(D93, CLIENT_CODE!D:D, CLIENT_CODE!B:B, ""))</f>
        <v>Indusind General Insurance Co Ltd</v>
      </c>
      <c r="G93" s="275" t="s">
        <v>295</v>
      </c>
      <c r="H93" s="340">
        <v>45979</v>
      </c>
      <c r="I93" s="272" t="str">
        <f t="shared" si="5"/>
        <v>Nov-25</v>
      </c>
      <c r="J93" s="272">
        <v>1</v>
      </c>
      <c r="K93" s="272">
        <v>0</v>
      </c>
      <c r="L93" s="272">
        <v>1</v>
      </c>
      <c r="M93" s="272">
        <v>0</v>
      </c>
      <c r="N93" s="272">
        <v>1</v>
      </c>
      <c r="O93" s="272">
        <v>0</v>
      </c>
      <c r="P93" s="272">
        <v>0</v>
      </c>
      <c r="Q93" s="272">
        <v>0</v>
      </c>
      <c r="R93" s="272">
        <v>1</v>
      </c>
      <c r="S93" s="272">
        <v>1</v>
      </c>
      <c r="T93" s="272">
        <v>0</v>
      </c>
      <c r="U93" s="272">
        <v>0</v>
      </c>
      <c r="V93" s="272">
        <v>0</v>
      </c>
      <c r="W93" s="272">
        <v>0</v>
      </c>
      <c r="X93" s="270">
        <v>0</v>
      </c>
      <c r="Y93" s="270">
        <f t="shared" si="6"/>
        <v>5</v>
      </c>
      <c r="Z93" s="272"/>
      <c r="AA93" s="272"/>
      <c r="AB93" s="288"/>
    </row>
    <row r="94" spans="1:28" ht="20.25" customHeight="1">
      <c r="A94" s="270">
        <v>93</v>
      </c>
      <c r="B94" s="277" t="s">
        <v>296</v>
      </c>
      <c r="C94" s="271" t="s">
        <v>27</v>
      </c>
      <c r="D94" s="270" t="s">
        <v>53</v>
      </c>
      <c r="E94" s="270" t="s">
        <v>297</v>
      </c>
      <c r="F94" s="272" t="str">
        <f>IF(D94="", "", _xlfn.XLOOKUP(D94, CLIENT_CODE!D:D, CLIENT_CODE!B:B, ""))</f>
        <v>Indusind General Insurance Co Ltd</v>
      </c>
      <c r="G94" s="275" t="s">
        <v>298</v>
      </c>
      <c r="H94" s="340">
        <v>45980</v>
      </c>
      <c r="I94" s="272" t="str">
        <f t="shared" si="5"/>
        <v>Nov-25</v>
      </c>
      <c r="J94" s="272">
        <v>1</v>
      </c>
      <c r="K94" s="272">
        <v>0</v>
      </c>
      <c r="L94" s="272">
        <v>1</v>
      </c>
      <c r="M94" s="272">
        <v>0</v>
      </c>
      <c r="N94" s="272">
        <v>1</v>
      </c>
      <c r="O94" s="272">
        <v>0</v>
      </c>
      <c r="P94" s="272">
        <v>0</v>
      </c>
      <c r="Q94" s="272">
        <v>0</v>
      </c>
      <c r="R94" s="272">
        <v>1</v>
      </c>
      <c r="S94" s="272">
        <v>1</v>
      </c>
      <c r="T94" s="272">
        <v>0</v>
      </c>
      <c r="U94" s="272">
        <v>0</v>
      </c>
      <c r="V94" s="272">
        <v>0</v>
      </c>
      <c r="W94" s="272">
        <v>0</v>
      </c>
      <c r="X94" s="270">
        <v>0</v>
      </c>
      <c r="Y94" s="270">
        <f t="shared" si="6"/>
        <v>5</v>
      </c>
      <c r="Z94" s="272"/>
      <c r="AA94" s="272"/>
      <c r="AB94" s="288"/>
    </row>
    <row r="95" spans="1:28" ht="20.25" customHeight="1">
      <c r="A95" s="270">
        <v>94</v>
      </c>
      <c r="B95" s="273" t="s">
        <v>299</v>
      </c>
      <c r="C95" s="271" t="s">
        <v>27</v>
      </c>
      <c r="D95" s="270" t="s">
        <v>53</v>
      </c>
      <c r="E95" s="270" t="s">
        <v>300</v>
      </c>
      <c r="F95" s="272" t="str">
        <f>IF(D95="", "", _xlfn.XLOOKUP(D95, CLIENT_CODE!D:D, CLIENT_CODE!B:B, ""))</f>
        <v>Indusind General Insurance Co Ltd</v>
      </c>
      <c r="G95" s="275" t="s">
        <v>301</v>
      </c>
      <c r="H95" s="340">
        <v>45980</v>
      </c>
      <c r="I95" s="272" t="str">
        <f t="shared" si="5"/>
        <v>Nov-25</v>
      </c>
      <c r="J95" s="272">
        <v>1</v>
      </c>
      <c r="K95" s="272">
        <v>0</v>
      </c>
      <c r="L95" s="272">
        <v>1</v>
      </c>
      <c r="M95" s="272">
        <v>0</v>
      </c>
      <c r="N95" s="272">
        <v>1</v>
      </c>
      <c r="O95" s="272">
        <v>0</v>
      </c>
      <c r="P95" s="272">
        <v>0</v>
      </c>
      <c r="Q95" s="272">
        <v>0</v>
      </c>
      <c r="R95" s="272">
        <v>1</v>
      </c>
      <c r="S95" s="272">
        <v>1</v>
      </c>
      <c r="T95" s="272">
        <v>0</v>
      </c>
      <c r="U95" s="272">
        <v>0</v>
      </c>
      <c r="V95" s="272">
        <v>0</v>
      </c>
      <c r="W95" s="272">
        <v>0</v>
      </c>
      <c r="X95" s="270">
        <v>0</v>
      </c>
      <c r="Y95" s="270">
        <f t="shared" si="6"/>
        <v>5</v>
      </c>
      <c r="Z95" s="272"/>
      <c r="AA95" s="272"/>
      <c r="AB95" s="288"/>
    </row>
    <row r="96" spans="1:28" ht="20.25" customHeight="1">
      <c r="A96" s="270">
        <v>95</v>
      </c>
      <c r="B96" s="277" t="s">
        <v>302</v>
      </c>
      <c r="C96" s="271" t="s">
        <v>27</v>
      </c>
      <c r="D96" s="270" t="s">
        <v>53</v>
      </c>
      <c r="E96" s="270" t="s">
        <v>303</v>
      </c>
      <c r="F96" s="272" t="str">
        <f>IF(D96="", "", _xlfn.XLOOKUP(D96, CLIENT_CODE!D:D, CLIENT_CODE!B:B, ""))</f>
        <v>Indusind General Insurance Co Ltd</v>
      </c>
      <c r="G96" s="275" t="s">
        <v>304</v>
      </c>
      <c r="H96" s="340">
        <v>45980</v>
      </c>
      <c r="I96" s="272" t="str">
        <f t="shared" si="5"/>
        <v>Nov-25</v>
      </c>
      <c r="J96" s="272">
        <v>0</v>
      </c>
      <c r="K96" s="272">
        <v>0</v>
      </c>
      <c r="L96" s="272">
        <v>1</v>
      </c>
      <c r="M96" s="272">
        <v>0</v>
      </c>
      <c r="N96" s="272">
        <v>0</v>
      </c>
      <c r="O96" s="272">
        <v>0</v>
      </c>
      <c r="P96" s="272">
        <v>0</v>
      </c>
      <c r="Q96" s="272">
        <v>0</v>
      </c>
      <c r="R96" s="272">
        <v>0</v>
      </c>
      <c r="S96" s="272">
        <v>0</v>
      </c>
      <c r="T96" s="272">
        <v>0</v>
      </c>
      <c r="U96" s="272">
        <v>0</v>
      </c>
      <c r="V96" s="272">
        <v>0</v>
      </c>
      <c r="W96" s="272">
        <v>0</v>
      </c>
      <c r="X96" s="270">
        <v>0</v>
      </c>
      <c r="Y96" s="270">
        <f t="shared" si="6"/>
        <v>1</v>
      </c>
      <c r="Z96" s="272"/>
      <c r="AA96" s="272"/>
      <c r="AB96" s="288"/>
    </row>
    <row r="97" spans="1:28" ht="20.25" customHeight="1">
      <c r="A97" s="270">
        <v>96</v>
      </c>
      <c r="B97" s="277" t="s">
        <v>302</v>
      </c>
      <c r="C97" s="271" t="s">
        <v>27</v>
      </c>
      <c r="D97" s="270" t="s">
        <v>53</v>
      </c>
      <c r="E97" s="270" t="s">
        <v>305</v>
      </c>
      <c r="F97" s="272" t="str">
        <f>IF(D97="", "", _xlfn.XLOOKUP(D97, CLIENT_CODE!D:D, CLIENT_CODE!B:B, ""))</f>
        <v>Indusind General Insurance Co Ltd</v>
      </c>
      <c r="G97" s="275" t="s">
        <v>306</v>
      </c>
      <c r="H97" s="340">
        <v>45980</v>
      </c>
      <c r="I97" s="272" t="str">
        <f t="shared" si="5"/>
        <v>Nov-25</v>
      </c>
      <c r="J97" s="272">
        <v>1</v>
      </c>
      <c r="K97" s="272">
        <v>0</v>
      </c>
      <c r="L97" s="272">
        <v>1</v>
      </c>
      <c r="M97" s="272">
        <v>0</v>
      </c>
      <c r="N97" s="272">
        <v>1</v>
      </c>
      <c r="O97" s="272">
        <v>0</v>
      </c>
      <c r="P97" s="272">
        <v>0</v>
      </c>
      <c r="Q97" s="272">
        <v>0</v>
      </c>
      <c r="R97" s="272">
        <v>1</v>
      </c>
      <c r="S97" s="272">
        <v>1</v>
      </c>
      <c r="T97" s="272">
        <v>0</v>
      </c>
      <c r="U97" s="272">
        <v>0</v>
      </c>
      <c r="V97" s="272">
        <v>0</v>
      </c>
      <c r="W97" s="272">
        <v>0</v>
      </c>
      <c r="X97" s="270">
        <v>0</v>
      </c>
      <c r="Y97" s="270">
        <f t="shared" si="6"/>
        <v>5</v>
      </c>
      <c r="Z97" s="272"/>
      <c r="AA97" s="272"/>
      <c r="AB97" s="288"/>
    </row>
    <row r="98" spans="1:28" ht="20.25" customHeight="1">
      <c r="A98" s="270">
        <v>97</v>
      </c>
      <c r="B98" s="273" t="s">
        <v>307</v>
      </c>
      <c r="C98" s="271" t="s">
        <v>27</v>
      </c>
      <c r="D98" s="270" t="s">
        <v>53</v>
      </c>
      <c r="E98" s="270" t="s">
        <v>308</v>
      </c>
      <c r="F98" s="272" t="str">
        <f>IF(D98="", "", _xlfn.XLOOKUP(D98, CLIENT_CODE!D:D, CLIENT_CODE!B:B, ""))</f>
        <v>Indusind General Insurance Co Ltd</v>
      </c>
      <c r="G98" s="275" t="s">
        <v>309</v>
      </c>
      <c r="H98" s="340">
        <v>45980</v>
      </c>
      <c r="I98" s="272" t="str">
        <f t="shared" si="5"/>
        <v>Nov-25</v>
      </c>
      <c r="J98" s="272">
        <v>1</v>
      </c>
      <c r="K98" s="272">
        <v>0</v>
      </c>
      <c r="L98" s="272">
        <v>1</v>
      </c>
      <c r="M98" s="272">
        <v>0</v>
      </c>
      <c r="N98" s="272">
        <v>1</v>
      </c>
      <c r="O98" s="272">
        <v>0</v>
      </c>
      <c r="P98" s="272">
        <v>0</v>
      </c>
      <c r="Q98" s="272">
        <v>0</v>
      </c>
      <c r="R98" s="272">
        <v>1</v>
      </c>
      <c r="S98" s="272">
        <v>1</v>
      </c>
      <c r="T98" s="272">
        <v>0</v>
      </c>
      <c r="U98" s="272">
        <v>0</v>
      </c>
      <c r="V98" s="272">
        <v>0</v>
      </c>
      <c r="W98" s="272">
        <v>0</v>
      </c>
      <c r="X98" s="270">
        <v>0</v>
      </c>
      <c r="Y98" s="270">
        <f t="shared" si="6"/>
        <v>5</v>
      </c>
      <c r="Z98" s="272"/>
      <c r="AA98" s="272"/>
      <c r="AB98" s="288"/>
    </row>
    <row r="99" spans="1:28" ht="20.25" customHeight="1">
      <c r="A99" s="270">
        <v>98</v>
      </c>
      <c r="B99" s="273" t="s">
        <v>310</v>
      </c>
      <c r="C99" s="271" t="s">
        <v>27</v>
      </c>
      <c r="D99" s="270" t="s">
        <v>53</v>
      </c>
      <c r="E99" s="270" t="s">
        <v>311</v>
      </c>
      <c r="F99" s="272" t="str">
        <f>IF(D99="", "", _xlfn.XLOOKUP(D99, CLIENT_CODE!D:D, CLIENT_CODE!B:B, ""))</f>
        <v>Indusind General Insurance Co Ltd</v>
      </c>
      <c r="G99" s="275" t="s">
        <v>312</v>
      </c>
      <c r="H99" s="340">
        <v>45980</v>
      </c>
      <c r="I99" s="272" t="str">
        <f t="shared" si="5"/>
        <v>Nov-25</v>
      </c>
      <c r="J99" s="272">
        <v>1</v>
      </c>
      <c r="K99" s="272">
        <v>0</v>
      </c>
      <c r="L99" s="272">
        <v>1</v>
      </c>
      <c r="M99" s="272">
        <v>0</v>
      </c>
      <c r="N99" s="272">
        <v>1</v>
      </c>
      <c r="O99" s="272">
        <v>0</v>
      </c>
      <c r="P99" s="272">
        <v>0</v>
      </c>
      <c r="Q99" s="272">
        <v>0</v>
      </c>
      <c r="R99" s="272">
        <v>1</v>
      </c>
      <c r="S99" s="272">
        <v>1</v>
      </c>
      <c r="T99" s="272">
        <v>0</v>
      </c>
      <c r="U99" s="272">
        <v>0</v>
      </c>
      <c r="V99" s="272">
        <v>0</v>
      </c>
      <c r="W99" s="272">
        <v>0</v>
      </c>
      <c r="X99" s="270">
        <v>0</v>
      </c>
      <c r="Y99" s="270">
        <f t="shared" si="6"/>
        <v>5</v>
      </c>
      <c r="Z99" s="272"/>
      <c r="AA99" s="272"/>
      <c r="AB99" s="288"/>
    </row>
    <row r="100" spans="1:28" ht="20.25" customHeight="1">
      <c r="A100" s="270">
        <v>99</v>
      </c>
      <c r="B100" s="277" t="s">
        <v>313</v>
      </c>
      <c r="C100" s="271" t="s">
        <v>27</v>
      </c>
      <c r="D100" s="270" t="s">
        <v>53</v>
      </c>
      <c r="E100" s="270" t="s">
        <v>314</v>
      </c>
      <c r="F100" s="272" t="str">
        <f>IF(D100="", "", _xlfn.XLOOKUP(D100, CLIENT_CODE!D:D, CLIENT_CODE!B:B, ""))</f>
        <v>Indusind General Insurance Co Ltd</v>
      </c>
      <c r="G100" s="275" t="s">
        <v>315</v>
      </c>
      <c r="H100" s="340">
        <v>45980</v>
      </c>
      <c r="I100" s="272" t="str">
        <f t="shared" si="5"/>
        <v>Nov-25</v>
      </c>
      <c r="J100" s="272">
        <v>1</v>
      </c>
      <c r="K100" s="272">
        <v>0</v>
      </c>
      <c r="L100" s="272">
        <v>1</v>
      </c>
      <c r="M100" s="272">
        <v>0</v>
      </c>
      <c r="N100" s="272">
        <v>1</v>
      </c>
      <c r="O100" s="272">
        <v>0</v>
      </c>
      <c r="P100" s="272">
        <v>0</v>
      </c>
      <c r="Q100" s="272">
        <v>0</v>
      </c>
      <c r="R100" s="272">
        <v>1</v>
      </c>
      <c r="S100" s="272">
        <v>1</v>
      </c>
      <c r="T100" s="272">
        <v>0</v>
      </c>
      <c r="U100" s="272">
        <v>0</v>
      </c>
      <c r="V100" s="272">
        <v>0</v>
      </c>
      <c r="W100" s="272">
        <v>0</v>
      </c>
      <c r="X100" s="270">
        <v>0</v>
      </c>
      <c r="Y100" s="270">
        <f t="shared" si="6"/>
        <v>5</v>
      </c>
      <c r="Z100" s="272"/>
      <c r="AA100" s="272"/>
      <c r="AB100" s="288"/>
    </row>
    <row r="101" spans="1:28" ht="20.25" customHeight="1">
      <c r="A101" s="270">
        <v>100</v>
      </c>
      <c r="B101" s="273" t="s">
        <v>316</v>
      </c>
      <c r="C101" s="271" t="s">
        <v>27</v>
      </c>
      <c r="D101" s="270" t="s">
        <v>53</v>
      </c>
      <c r="E101" s="270" t="s">
        <v>317</v>
      </c>
      <c r="F101" s="272" t="str">
        <f>IF(D101="", "", _xlfn.XLOOKUP(D101, CLIENT_CODE!D:D, CLIENT_CODE!B:B, ""))</f>
        <v>Indusind General Insurance Co Ltd</v>
      </c>
      <c r="G101" s="275" t="s">
        <v>318</v>
      </c>
      <c r="H101" s="340">
        <v>45980</v>
      </c>
      <c r="I101" s="272" t="str">
        <f t="shared" si="5"/>
        <v>Nov-25</v>
      </c>
      <c r="J101" s="272">
        <v>1</v>
      </c>
      <c r="K101" s="272">
        <v>0</v>
      </c>
      <c r="L101" s="272">
        <v>1</v>
      </c>
      <c r="M101" s="272">
        <v>0</v>
      </c>
      <c r="N101" s="272">
        <v>1</v>
      </c>
      <c r="O101" s="272">
        <v>0</v>
      </c>
      <c r="P101" s="272">
        <v>0</v>
      </c>
      <c r="Q101" s="272">
        <v>0</v>
      </c>
      <c r="R101" s="272">
        <v>1</v>
      </c>
      <c r="S101" s="272">
        <v>1</v>
      </c>
      <c r="T101" s="272">
        <v>0</v>
      </c>
      <c r="U101" s="272">
        <v>0</v>
      </c>
      <c r="V101" s="272">
        <v>0</v>
      </c>
      <c r="W101" s="272">
        <v>0</v>
      </c>
      <c r="X101" s="270">
        <v>0</v>
      </c>
      <c r="Y101" s="270">
        <f t="shared" si="6"/>
        <v>5</v>
      </c>
      <c r="Z101" s="272"/>
      <c r="AA101" s="272"/>
      <c r="AB101" s="288"/>
    </row>
    <row r="102" spans="1:28" ht="20.25" customHeight="1">
      <c r="A102" s="270">
        <v>101</v>
      </c>
      <c r="B102" s="273" t="s">
        <v>319</v>
      </c>
      <c r="C102" s="271" t="s">
        <v>27</v>
      </c>
      <c r="D102" s="270" t="s">
        <v>53</v>
      </c>
      <c r="E102" s="270" t="s">
        <v>320</v>
      </c>
      <c r="F102" s="272" t="str">
        <f>IF(D102="", "", _xlfn.XLOOKUP(D102, CLIENT_CODE!D:D, CLIENT_CODE!B:B, ""))</f>
        <v>Indusind General Insurance Co Ltd</v>
      </c>
      <c r="G102" s="275" t="s">
        <v>321</v>
      </c>
      <c r="H102" s="340">
        <v>45980</v>
      </c>
      <c r="I102" s="272" t="str">
        <f t="shared" si="5"/>
        <v>Nov-25</v>
      </c>
      <c r="J102" s="272">
        <v>1</v>
      </c>
      <c r="K102" s="272">
        <v>0</v>
      </c>
      <c r="L102" s="272">
        <v>1</v>
      </c>
      <c r="M102" s="272">
        <v>0</v>
      </c>
      <c r="N102" s="272">
        <v>1</v>
      </c>
      <c r="O102" s="272">
        <v>0</v>
      </c>
      <c r="P102" s="272">
        <v>0</v>
      </c>
      <c r="Q102" s="272">
        <v>0</v>
      </c>
      <c r="R102" s="272">
        <v>1</v>
      </c>
      <c r="S102" s="272">
        <v>1</v>
      </c>
      <c r="T102" s="272">
        <v>0</v>
      </c>
      <c r="U102" s="272">
        <v>0</v>
      </c>
      <c r="V102" s="272">
        <v>0</v>
      </c>
      <c r="W102" s="272">
        <v>0</v>
      </c>
      <c r="X102" s="270">
        <v>0</v>
      </c>
      <c r="Y102" s="270">
        <f t="shared" si="6"/>
        <v>5</v>
      </c>
      <c r="Z102" s="272"/>
      <c r="AA102" s="272"/>
      <c r="AB102" s="288"/>
    </row>
    <row r="103" spans="1:28" ht="20.25" customHeight="1">
      <c r="A103" s="270">
        <v>102</v>
      </c>
      <c r="B103" s="277" t="s">
        <v>322</v>
      </c>
      <c r="C103" s="271" t="s">
        <v>27</v>
      </c>
      <c r="D103" s="270" t="s">
        <v>53</v>
      </c>
      <c r="E103" s="270" t="s">
        <v>323</v>
      </c>
      <c r="F103" s="272" t="str">
        <f>IF(D103="", "", _xlfn.XLOOKUP(D103, CLIENT_CODE!D:D, CLIENT_CODE!B:B, ""))</f>
        <v>Indusind General Insurance Co Ltd</v>
      </c>
      <c r="G103" s="275" t="s">
        <v>324</v>
      </c>
      <c r="H103" s="340">
        <v>45980</v>
      </c>
      <c r="I103" s="272" t="str">
        <f t="shared" si="5"/>
        <v>Nov-25</v>
      </c>
      <c r="J103" s="272">
        <v>1</v>
      </c>
      <c r="K103" s="272">
        <v>0</v>
      </c>
      <c r="L103" s="272">
        <v>1</v>
      </c>
      <c r="M103" s="272">
        <v>0</v>
      </c>
      <c r="N103" s="272">
        <v>1</v>
      </c>
      <c r="O103" s="272">
        <v>0</v>
      </c>
      <c r="P103" s="272">
        <v>0</v>
      </c>
      <c r="Q103" s="272">
        <v>0</v>
      </c>
      <c r="R103" s="272">
        <v>1</v>
      </c>
      <c r="S103" s="272">
        <v>1</v>
      </c>
      <c r="T103" s="272">
        <v>0</v>
      </c>
      <c r="U103" s="272">
        <v>0</v>
      </c>
      <c r="V103" s="272">
        <v>0</v>
      </c>
      <c r="W103" s="272">
        <v>0</v>
      </c>
      <c r="X103" s="270">
        <v>0</v>
      </c>
      <c r="Y103" s="270">
        <f t="shared" ref="Y103:Y108" si="8">IF(COUNTA(J103:T103)=0, "", SUM(J103:T103))</f>
        <v>5</v>
      </c>
      <c r="Z103" s="272"/>
      <c r="AA103" s="272"/>
      <c r="AB103" s="288"/>
    </row>
    <row r="104" spans="1:28" ht="20.25" customHeight="1">
      <c r="A104" s="270">
        <v>103</v>
      </c>
      <c r="B104" s="278" t="s">
        <v>325</v>
      </c>
      <c r="C104" s="271" t="s">
        <v>27</v>
      </c>
      <c r="D104" s="270" t="s">
        <v>53</v>
      </c>
      <c r="E104" s="270" t="s">
        <v>326</v>
      </c>
      <c r="F104" s="272" t="str">
        <f>IF(D104="", "", _xlfn.XLOOKUP(D104, CLIENT_CODE!D:D, CLIENT_CODE!B:B, ""))</f>
        <v>Indusind General Insurance Co Ltd</v>
      </c>
      <c r="G104" s="279" t="s">
        <v>327</v>
      </c>
      <c r="H104" s="340">
        <v>45981</v>
      </c>
      <c r="I104" s="272" t="str">
        <f t="shared" si="5"/>
        <v>Nov-25</v>
      </c>
      <c r="J104" s="272">
        <v>1</v>
      </c>
      <c r="K104" s="272">
        <v>0</v>
      </c>
      <c r="L104" s="272">
        <v>1</v>
      </c>
      <c r="M104" s="272">
        <v>0</v>
      </c>
      <c r="N104" s="272">
        <v>1</v>
      </c>
      <c r="O104" s="272">
        <v>0</v>
      </c>
      <c r="P104" s="272">
        <v>0</v>
      </c>
      <c r="Q104" s="272">
        <v>0</v>
      </c>
      <c r="R104" s="272">
        <v>1</v>
      </c>
      <c r="S104" s="272">
        <v>1</v>
      </c>
      <c r="T104" s="272">
        <v>0</v>
      </c>
      <c r="U104" s="272">
        <v>0</v>
      </c>
      <c r="V104" s="272">
        <v>0</v>
      </c>
      <c r="W104" s="272">
        <v>0</v>
      </c>
      <c r="X104" s="270">
        <v>0</v>
      </c>
      <c r="Y104" s="270">
        <f t="shared" si="8"/>
        <v>5</v>
      </c>
      <c r="Z104" s="272"/>
      <c r="AA104" s="272"/>
      <c r="AB104" s="288"/>
    </row>
    <row r="105" spans="1:28" ht="20.25" customHeight="1">
      <c r="A105" s="270">
        <v>104</v>
      </c>
      <c r="B105" s="277" t="s">
        <v>328</v>
      </c>
      <c r="C105" s="271" t="s">
        <v>27</v>
      </c>
      <c r="D105" s="270" t="s">
        <v>53</v>
      </c>
      <c r="E105" s="270" t="s">
        <v>329</v>
      </c>
      <c r="F105" s="272" t="str">
        <f>IF(D105="", "", _xlfn.XLOOKUP(D105, CLIENT_CODE!D:D, CLIENT_CODE!B:B, ""))</f>
        <v>Indusind General Insurance Co Ltd</v>
      </c>
      <c r="G105" s="275" t="s">
        <v>330</v>
      </c>
      <c r="H105" s="340">
        <v>45981</v>
      </c>
      <c r="I105" s="272" t="str">
        <f t="shared" si="5"/>
        <v>Nov-25</v>
      </c>
      <c r="J105" s="272">
        <v>1</v>
      </c>
      <c r="K105" s="272">
        <v>0</v>
      </c>
      <c r="L105" s="272">
        <v>1</v>
      </c>
      <c r="M105" s="272">
        <v>0</v>
      </c>
      <c r="N105" s="272">
        <v>1</v>
      </c>
      <c r="O105" s="272">
        <v>0</v>
      </c>
      <c r="P105" s="272">
        <v>0</v>
      </c>
      <c r="Q105" s="272">
        <v>0</v>
      </c>
      <c r="R105" s="272">
        <v>1</v>
      </c>
      <c r="S105" s="272">
        <v>1</v>
      </c>
      <c r="T105" s="272">
        <v>0</v>
      </c>
      <c r="U105" s="272">
        <v>0</v>
      </c>
      <c r="V105" s="272">
        <v>0</v>
      </c>
      <c r="W105" s="272">
        <v>0</v>
      </c>
      <c r="X105" s="270">
        <v>0</v>
      </c>
      <c r="Y105" s="270">
        <f t="shared" si="8"/>
        <v>5</v>
      </c>
      <c r="Z105" s="272"/>
      <c r="AA105" s="272"/>
      <c r="AB105" s="288"/>
    </row>
    <row r="106" spans="1:28" ht="20.25" customHeight="1">
      <c r="A106" s="270">
        <v>105</v>
      </c>
      <c r="B106" s="273" t="s">
        <v>331</v>
      </c>
      <c r="C106" s="271" t="s">
        <v>27</v>
      </c>
      <c r="D106" s="270" t="s">
        <v>53</v>
      </c>
      <c r="E106" s="270" t="s">
        <v>332</v>
      </c>
      <c r="F106" s="272" t="str">
        <f>IF(D106="", "", _xlfn.XLOOKUP(D106, CLIENT_CODE!D:D, CLIENT_CODE!B:B, ""))</f>
        <v>Indusind General Insurance Co Ltd</v>
      </c>
      <c r="G106" s="275" t="s">
        <v>333</v>
      </c>
      <c r="H106" s="340">
        <v>45981</v>
      </c>
      <c r="I106" s="272" t="str">
        <f t="shared" si="5"/>
        <v>Nov-25</v>
      </c>
      <c r="J106" s="272">
        <v>0</v>
      </c>
      <c r="K106" s="272">
        <v>0</v>
      </c>
      <c r="L106" s="272">
        <v>1</v>
      </c>
      <c r="M106" s="272">
        <v>0</v>
      </c>
      <c r="N106" s="272">
        <v>0</v>
      </c>
      <c r="O106" s="272">
        <v>0</v>
      </c>
      <c r="P106" s="272">
        <v>0</v>
      </c>
      <c r="Q106" s="272">
        <v>0</v>
      </c>
      <c r="R106" s="272">
        <v>0</v>
      </c>
      <c r="S106" s="272">
        <v>0</v>
      </c>
      <c r="T106" s="272">
        <v>0</v>
      </c>
      <c r="U106" s="272">
        <v>0</v>
      </c>
      <c r="V106" s="272">
        <v>0</v>
      </c>
      <c r="W106" s="272">
        <v>0</v>
      </c>
      <c r="X106" s="270">
        <v>0</v>
      </c>
      <c r="Y106" s="270">
        <f t="shared" si="8"/>
        <v>1</v>
      </c>
      <c r="Z106" s="272"/>
      <c r="AA106" s="272"/>
      <c r="AB106" s="288"/>
    </row>
    <row r="107" spans="1:28" ht="20.25" customHeight="1">
      <c r="A107" s="270">
        <v>106</v>
      </c>
      <c r="B107" s="273" t="s">
        <v>331</v>
      </c>
      <c r="C107" s="271" t="s">
        <v>27</v>
      </c>
      <c r="D107" s="270" t="s">
        <v>53</v>
      </c>
      <c r="E107" s="270" t="s">
        <v>334</v>
      </c>
      <c r="F107" s="272" t="str">
        <f>IF(D107="", "", _xlfn.XLOOKUP(D107, CLIENT_CODE!D:D, CLIENT_CODE!B:B, ""))</f>
        <v>Indusind General Insurance Co Ltd</v>
      </c>
      <c r="G107" s="275" t="s">
        <v>335</v>
      </c>
      <c r="H107" s="340">
        <v>45981</v>
      </c>
      <c r="I107" s="272" t="str">
        <f t="shared" si="5"/>
        <v>Nov-25</v>
      </c>
      <c r="J107" s="272">
        <v>0</v>
      </c>
      <c r="K107" s="272">
        <v>0</v>
      </c>
      <c r="L107" s="272">
        <v>1</v>
      </c>
      <c r="M107" s="272">
        <v>0</v>
      </c>
      <c r="N107" s="272">
        <v>0</v>
      </c>
      <c r="O107" s="272">
        <v>0</v>
      </c>
      <c r="P107" s="272">
        <v>0</v>
      </c>
      <c r="Q107" s="272">
        <v>0</v>
      </c>
      <c r="R107" s="272">
        <v>0</v>
      </c>
      <c r="S107" s="272">
        <v>0</v>
      </c>
      <c r="T107" s="272">
        <v>0</v>
      </c>
      <c r="U107" s="272">
        <v>0</v>
      </c>
      <c r="V107" s="272">
        <v>0</v>
      </c>
      <c r="W107" s="272">
        <v>0</v>
      </c>
      <c r="X107" s="270">
        <v>0</v>
      </c>
      <c r="Y107" s="270">
        <f t="shared" si="8"/>
        <v>1</v>
      </c>
      <c r="Z107" s="272"/>
      <c r="AA107" s="272"/>
      <c r="AB107" s="288"/>
    </row>
    <row r="108" spans="1:28" ht="20.25" customHeight="1">
      <c r="A108" s="270">
        <v>107</v>
      </c>
      <c r="B108" s="273" t="s">
        <v>331</v>
      </c>
      <c r="C108" s="271" t="s">
        <v>27</v>
      </c>
      <c r="D108" s="270" t="s">
        <v>53</v>
      </c>
      <c r="E108" s="270" t="s">
        <v>336</v>
      </c>
      <c r="F108" s="272" t="str">
        <f>IF(D108="", "", _xlfn.XLOOKUP(D108, CLIENT_CODE!D:D, CLIENT_CODE!B:B, ""))</f>
        <v>Indusind General Insurance Co Ltd</v>
      </c>
      <c r="G108" s="275" t="s">
        <v>337</v>
      </c>
      <c r="H108" s="340">
        <v>45981</v>
      </c>
      <c r="I108" s="272" t="str">
        <f t="shared" si="5"/>
        <v>Nov-25</v>
      </c>
      <c r="J108" s="272">
        <v>1</v>
      </c>
      <c r="K108" s="272">
        <v>0</v>
      </c>
      <c r="L108" s="272">
        <v>1</v>
      </c>
      <c r="M108" s="272">
        <v>0</v>
      </c>
      <c r="N108" s="272">
        <v>1</v>
      </c>
      <c r="O108" s="272">
        <v>0</v>
      </c>
      <c r="P108" s="272">
        <v>0</v>
      </c>
      <c r="Q108" s="272">
        <v>0</v>
      </c>
      <c r="R108" s="272">
        <v>1</v>
      </c>
      <c r="S108" s="272">
        <v>1</v>
      </c>
      <c r="T108" s="272">
        <v>0</v>
      </c>
      <c r="U108" s="272">
        <v>0</v>
      </c>
      <c r="V108" s="272">
        <v>0</v>
      </c>
      <c r="W108" s="272">
        <v>0</v>
      </c>
      <c r="X108" s="270">
        <v>0</v>
      </c>
      <c r="Y108" s="270">
        <f t="shared" si="8"/>
        <v>5</v>
      </c>
      <c r="Z108" s="272"/>
      <c r="AA108" s="272"/>
      <c r="AB108" s="288"/>
    </row>
    <row r="109" spans="1:28" ht="20.25" customHeight="1">
      <c r="A109" s="270">
        <v>108</v>
      </c>
      <c r="B109" s="277" t="s">
        <v>338</v>
      </c>
      <c r="C109" s="271" t="s">
        <v>27</v>
      </c>
      <c r="D109" s="270" t="s">
        <v>53</v>
      </c>
      <c r="E109" s="270" t="s">
        <v>339</v>
      </c>
      <c r="F109" s="272" t="str">
        <f>IF(D109="", "", _xlfn.XLOOKUP(D109, CLIENT_CODE!D:D, CLIENT_CODE!B:B, ""))</f>
        <v>Indusind General Insurance Co Ltd</v>
      </c>
      <c r="G109" s="275" t="s">
        <v>340</v>
      </c>
      <c r="H109" s="340">
        <v>45981</v>
      </c>
      <c r="I109" s="272" t="str">
        <f t="shared" si="5"/>
        <v>Nov-25</v>
      </c>
      <c r="J109" s="272">
        <v>0</v>
      </c>
      <c r="K109" s="272">
        <v>0</v>
      </c>
      <c r="L109" s="272">
        <v>1</v>
      </c>
      <c r="M109" s="272">
        <v>0</v>
      </c>
      <c r="N109" s="272">
        <v>0</v>
      </c>
      <c r="O109" s="272">
        <v>0</v>
      </c>
      <c r="P109" s="272">
        <v>0</v>
      </c>
      <c r="Q109" s="272">
        <v>0</v>
      </c>
      <c r="R109" s="272">
        <v>0</v>
      </c>
      <c r="S109" s="272">
        <v>0</v>
      </c>
      <c r="T109" s="272">
        <v>0</v>
      </c>
      <c r="U109" s="272">
        <v>0</v>
      </c>
      <c r="V109" s="272">
        <v>0</v>
      </c>
      <c r="W109" s="272">
        <v>0</v>
      </c>
      <c r="X109" s="270">
        <v>0</v>
      </c>
      <c r="Y109" s="270">
        <f t="shared" si="6"/>
        <v>1</v>
      </c>
      <c r="Z109" s="272"/>
      <c r="AA109" s="272"/>
      <c r="AB109" s="288"/>
    </row>
    <row r="110" spans="1:28" ht="20.25" customHeight="1">
      <c r="A110" s="270">
        <v>109</v>
      </c>
      <c r="B110" s="273" t="s">
        <v>341</v>
      </c>
      <c r="C110" s="271" t="s">
        <v>27</v>
      </c>
      <c r="D110" s="270" t="s">
        <v>53</v>
      </c>
      <c r="E110" s="270" t="s">
        <v>342</v>
      </c>
      <c r="F110" s="272" t="str">
        <f>IF(D110="", "", _xlfn.XLOOKUP(D110, CLIENT_CODE!D:D, CLIENT_CODE!B:B, ""))</f>
        <v>Indusind General Insurance Co Ltd</v>
      </c>
      <c r="G110" s="275" t="s">
        <v>343</v>
      </c>
      <c r="H110" s="340">
        <v>45981</v>
      </c>
      <c r="I110" s="272" t="str">
        <f t="shared" si="5"/>
        <v>Nov-25</v>
      </c>
      <c r="J110" s="272">
        <v>1</v>
      </c>
      <c r="K110" s="272">
        <v>0</v>
      </c>
      <c r="L110" s="272">
        <v>1</v>
      </c>
      <c r="M110" s="272">
        <v>0</v>
      </c>
      <c r="N110" s="272">
        <v>1</v>
      </c>
      <c r="O110" s="272">
        <v>0</v>
      </c>
      <c r="P110" s="272">
        <v>0</v>
      </c>
      <c r="Q110" s="272">
        <v>0</v>
      </c>
      <c r="R110" s="272">
        <v>1</v>
      </c>
      <c r="S110" s="272">
        <v>0</v>
      </c>
      <c r="T110" s="272">
        <v>0</v>
      </c>
      <c r="U110" s="272">
        <v>0</v>
      </c>
      <c r="V110" s="272">
        <v>0</v>
      </c>
      <c r="W110" s="272">
        <v>0</v>
      </c>
      <c r="X110" s="270">
        <v>0</v>
      </c>
      <c r="Y110" s="270">
        <f t="shared" si="6"/>
        <v>4</v>
      </c>
      <c r="Z110" s="272"/>
      <c r="AA110" s="272"/>
      <c r="AB110" s="288"/>
    </row>
    <row r="111" spans="1:28" ht="20.25" customHeight="1">
      <c r="A111" s="270">
        <v>110</v>
      </c>
      <c r="B111" s="273" t="s">
        <v>344</v>
      </c>
      <c r="C111" s="271" t="s">
        <v>27</v>
      </c>
      <c r="D111" s="270" t="s">
        <v>53</v>
      </c>
      <c r="E111" s="270" t="s">
        <v>345</v>
      </c>
      <c r="F111" s="272" t="str">
        <f>IF(D111="", "", _xlfn.XLOOKUP(D111, CLIENT_CODE!D:D, CLIENT_CODE!B:B, ""))</f>
        <v>Indusind General Insurance Co Ltd</v>
      </c>
      <c r="G111" s="275" t="s">
        <v>346</v>
      </c>
      <c r="H111" s="340">
        <v>45981</v>
      </c>
      <c r="I111" s="272" t="str">
        <f t="shared" si="5"/>
        <v>Nov-25</v>
      </c>
      <c r="J111" s="272">
        <v>0</v>
      </c>
      <c r="K111" s="272">
        <v>0</v>
      </c>
      <c r="L111" s="272">
        <v>0</v>
      </c>
      <c r="M111" s="272">
        <v>0</v>
      </c>
      <c r="N111" s="272">
        <v>1</v>
      </c>
      <c r="O111" s="272">
        <v>0</v>
      </c>
      <c r="P111" s="272">
        <v>0</v>
      </c>
      <c r="Q111" s="272">
        <v>0</v>
      </c>
      <c r="R111" s="272">
        <v>0</v>
      </c>
      <c r="S111" s="272">
        <v>0</v>
      </c>
      <c r="T111" s="272">
        <v>0</v>
      </c>
      <c r="U111" s="272">
        <v>0</v>
      </c>
      <c r="V111" s="272">
        <v>0</v>
      </c>
      <c r="W111" s="272">
        <v>0</v>
      </c>
      <c r="X111" s="270">
        <v>0</v>
      </c>
      <c r="Y111" s="270">
        <f t="shared" si="6"/>
        <v>1</v>
      </c>
      <c r="Z111" s="272"/>
      <c r="AA111" s="272"/>
      <c r="AB111" s="288"/>
    </row>
    <row r="112" spans="1:28" ht="20.25" customHeight="1">
      <c r="A112" s="270">
        <v>111</v>
      </c>
      <c r="B112" s="277" t="s">
        <v>347</v>
      </c>
      <c r="C112" s="271" t="s">
        <v>27</v>
      </c>
      <c r="D112" s="270" t="s">
        <v>53</v>
      </c>
      <c r="E112" s="270" t="s">
        <v>348</v>
      </c>
      <c r="F112" s="272" t="str">
        <f>IF(D112="", "", _xlfn.XLOOKUP(D112, CLIENT_CODE!D:D, CLIENT_CODE!B:B, ""))</f>
        <v>Indusind General Insurance Co Ltd</v>
      </c>
      <c r="G112" s="275" t="s">
        <v>349</v>
      </c>
      <c r="H112" s="340">
        <v>45981</v>
      </c>
      <c r="I112" s="272" t="str">
        <f t="shared" si="5"/>
        <v>Nov-25</v>
      </c>
      <c r="J112" s="272">
        <v>0</v>
      </c>
      <c r="K112" s="272">
        <v>0</v>
      </c>
      <c r="L112" s="272">
        <v>1</v>
      </c>
      <c r="M112" s="272">
        <v>0</v>
      </c>
      <c r="N112" s="272">
        <v>0</v>
      </c>
      <c r="O112" s="272">
        <v>0</v>
      </c>
      <c r="P112" s="272">
        <v>0</v>
      </c>
      <c r="Q112" s="272">
        <v>0</v>
      </c>
      <c r="R112" s="272">
        <v>0</v>
      </c>
      <c r="S112" s="272">
        <v>0</v>
      </c>
      <c r="T112" s="272">
        <v>0</v>
      </c>
      <c r="U112" s="272">
        <v>0</v>
      </c>
      <c r="V112" s="272">
        <v>0</v>
      </c>
      <c r="W112" s="272">
        <v>0</v>
      </c>
      <c r="X112" s="270">
        <v>0</v>
      </c>
      <c r="Y112" s="270">
        <f t="shared" si="6"/>
        <v>1</v>
      </c>
      <c r="Z112" s="272"/>
      <c r="AA112" s="272"/>
      <c r="AB112" s="288"/>
    </row>
    <row r="113" spans="1:28" ht="20.25" customHeight="1">
      <c r="A113" s="270">
        <v>112</v>
      </c>
      <c r="B113" s="273" t="s">
        <v>350</v>
      </c>
      <c r="C113" s="271" t="s">
        <v>27</v>
      </c>
      <c r="D113" s="270" t="s">
        <v>38</v>
      </c>
      <c r="E113" s="270" t="s">
        <v>351</v>
      </c>
      <c r="F113" s="272" t="str">
        <f>IF(D113="", "", _xlfn.XLOOKUP(D113, CLIENT_CODE!D:D, CLIENT_CODE!B:B, ""))</f>
        <v>Generali Central Insurance Company Limited</v>
      </c>
      <c r="G113" s="275" t="s">
        <v>352</v>
      </c>
      <c r="H113" s="340">
        <v>45981</v>
      </c>
      <c r="I113" s="272" t="str">
        <f t="shared" si="5"/>
        <v>Nov-25</v>
      </c>
      <c r="J113" s="272">
        <v>1</v>
      </c>
      <c r="K113" s="272">
        <v>0</v>
      </c>
      <c r="L113" s="272">
        <v>1</v>
      </c>
      <c r="M113" s="272">
        <v>1</v>
      </c>
      <c r="N113" s="272">
        <v>1</v>
      </c>
      <c r="O113" s="272">
        <v>1</v>
      </c>
      <c r="P113" s="272">
        <v>1</v>
      </c>
      <c r="Q113" s="272">
        <v>0</v>
      </c>
      <c r="R113" s="272">
        <v>1</v>
      </c>
      <c r="S113" s="272">
        <v>1</v>
      </c>
      <c r="T113" s="272">
        <v>0</v>
      </c>
      <c r="U113" s="272">
        <v>0</v>
      </c>
      <c r="V113" s="272">
        <v>0</v>
      </c>
      <c r="W113" s="272">
        <v>0</v>
      </c>
      <c r="X113" s="270">
        <v>0</v>
      </c>
      <c r="Y113" s="270">
        <f t="shared" si="6"/>
        <v>8</v>
      </c>
      <c r="Z113" s="272"/>
      <c r="AA113" s="272"/>
      <c r="AB113" s="288"/>
    </row>
    <row r="114" spans="1:28" ht="20.25" customHeight="1">
      <c r="A114" s="270">
        <v>113</v>
      </c>
      <c r="B114" s="273" t="s">
        <v>353</v>
      </c>
      <c r="C114" s="271" t="s">
        <v>27</v>
      </c>
      <c r="D114" s="270" t="s">
        <v>38</v>
      </c>
      <c r="E114" s="270" t="s">
        <v>354</v>
      </c>
      <c r="F114" s="272" t="str">
        <f>IF(D114="", "", _xlfn.XLOOKUP(D114, CLIENT_CODE!D:D, CLIENT_CODE!B:B, ""))</f>
        <v>Generali Central Insurance Company Limited</v>
      </c>
      <c r="G114" s="275" t="s">
        <v>355</v>
      </c>
      <c r="H114" s="340">
        <v>45981</v>
      </c>
      <c r="I114" s="272" t="str">
        <f t="shared" si="5"/>
        <v>Nov-25</v>
      </c>
      <c r="J114" s="272">
        <v>1</v>
      </c>
      <c r="K114" s="272">
        <v>0</v>
      </c>
      <c r="L114" s="272">
        <v>1</v>
      </c>
      <c r="M114" s="272">
        <v>1</v>
      </c>
      <c r="N114" s="272">
        <v>1</v>
      </c>
      <c r="O114" s="272">
        <v>1</v>
      </c>
      <c r="P114" s="272">
        <v>1</v>
      </c>
      <c r="Q114" s="272">
        <v>0</v>
      </c>
      <c r="R114" s="272">
        <v>1</v>
      </c>
      <c r="S114" s="272">
        <v>1</v>
      </c>
      <c r="T114" s="272">
        <v>0</v>
      </c>
      <c r="U114" s="272">
        <v>0</v>
      </c>
      <c r="V114" s="272">
        <v>0</v>
      </c>
      <c r="W114" s="272">
        <v>0</v>
      </c>
      <c r="X114" s="270">
        <v>0</v>
      </c>
      <c r="Y114" s="270">
        <f t="shared" ref="Y114:Y115" si="9">IF(COUNTA(J114:T114)=0, "", SUM(J114:T114))</f>
        <v>8</v>
      </c>
      <c r="Z114" s="272"/>
      <c r="AA114" s="272"/>
      <c r="AB114" s="288"/>
    </row>
    <row r="115" spans="1:28" ht="20.25" customHeight="1">
      <c r="A115" s="270">
        <v>114</v>
      </c>
      <c r="B115" s="273" t="s">
        <v>356</v>
      </c>
      <c r="C115" s="271" t="s">
        <v>27</v>
      </c>
      <c r="D115" s="270" t="s">
        <v>38</v>
      </c>
      <c r="E115" s="270" t="s">
        <v>357</v>
      </c>
      <c r="F115" s="272" t="str">
        <f>IF(D115="", "", _xlfn.XLOOKUP(D115, CLIENT_CODE!D:D, CLIENT_CODE!B:B, ""))</f>
        <v>Generali Central Insurance Company Limited</v>
      </c>
      <c r="G115" s="275" t="s">
        <v>358</v>
      </c>
      <c r="H115" s="340">
        <v>45980</v>
      </c>
      <c r="I115" s="272" t="str">
        <f t="shared" si="5"/>
        <v>Nov-25</v>
      </c>
      <c r="J115" s="272">
        <v>1</v>
      </c>
      <c r="K115" s="272">
        <v>0</v>
      </c>
      <c r="L115" s="272">
        <v>1</v>
      </c>
      <c r="M115" s="272">
        <v>1</v>
      </c>
      <c r="N115" s="272">
        <v>1</v>
      </c>
      <c r="O115" s="272">
        <v>1</v>
      </c>
      <c r="P115" s="272">
        <v>1</v>
      </c>
      <c r="Q115" s="272">
        <v>0</v>
      </c>
      <c r="R115" s="272">
        <v>1</v>
      </c>
      <c r="S115" s="272">
        <v>1</v>
      </c>
      <c r="T115" s="272">
        <v>0</v>
      </c>
      <c r="U115" s="272">
        <v>0</v>
      </c>
      <c r="V115" s="272">
        <v>0</v>
      </c>
      <c r="W115" s="272">
        <v>0</v>
      </c>
      <c r="X115" s="270">
        <v>0</v>
      </c>
      <c r="Y115" s="270">
        <f t="shared" si="9"/>
        <v>8</v>
      </c>
      <c r="Z115" s="272"/>
      <c r="AA115" s="272"/>
      <c r="AB115" s="288"/>
    </row>
    <row r="116" spans="1:28" ht="20.25" customHeight="1">
      <c r="A116" s="270">
        <v>115</v>
      </c>
      <c r="B116" s="273" t="s">
        <v>359</v>
      </c>
      <c r="C116" s="271" t="s">
        <v>27</v>
      </c>
      <c r="D116" s="270" t="s">
        <v>38</v>
      </c>
      <c r="E116" s="270" t="s">
        <v>360</v>
      </c>
      <c r="F116" s="272" t="str">
        <f>IF(D116="", "", _xlfn.XLOOKUP(D116, CLIENT_CODE!D:D, CLIENT_CODE!B:B, ""))</f>
        <v>Generali Central Insurance Company Limited</v>
      </c>
      <c r="G116" s="275" t="s">
        <v>361</v>
      </c>
      <c r="H116" s="340">
        <v>45981</v>
      </c>
      <c r="I116" s="272" t="str">
        <f t="shared" si="5"/>
        <v>Nov-25</v>
      </c>
      <c r="J116" s="272">
        <v>0</v>
      </c>
      <c r="K116" s="272">
        <v>0</v>
      </c>
      <c r="L116" s="272">
        <v>0</v>
      </c>
      <c r="M116" s="272">
        <v>1</v>
      </c>
      <c r="N116" s="272">
        <v>0</v>
      </c>
      <c r="O116" s="272">
        <v>0</v>
      </c>
      <c r="P116" s="272">
        <v>0</v>
      </c>
      <c r="Q116" s="272">
        <v>0</v>
      </c>
      <c r="R116" s="272">
        <v>0</v>
      </c>
      <c r="S116" s="272">
        <v>0</v>
      </c>
      <c r="T116" s="272">
        <v>0</v>
      </c>
      <c r="U116" s="272">
        <v>0</v>
      </c>
      <c r="V116" s="272">
        <v>0</v>
      </c>
      <c r="W116" s="272">
        <v>0</v>
      </c>
      <c r="X116" s="270">
        <v>0</v>
      </c>
      <c r="Y116" s="270">
        <f>IF(COUNTA(J116:T116)=0, "", SUM(J116:T116))</f>
        <v>1</v>
      </c>
      <c r="Z116" s="272"/>
      <c r="AA116" s="272"/>
      <c r="AB116" s="288"/>
    </row>
    <row r="117" spans="1:28" ht="20.25" customHeight="1">
      <c r="A117" s="270">
        <v>116</v>
      </c>
      <c r="B117" s="273" t="s">
        <v>362</v>
      </c>
      <c r="C117" s="271" t="s">
        <v>27</v>
      </c>
      <c r="D117" s="270" t="s">
        <v>38</v>
      </c>
      <c r="E117" s="270" t="s">
        <v>363</v>
      </c>
      <c r="F117" s="272" t="str">
        <f>IF(D117="", "", _xlfn.XLOOKUP(D117, CLIENT_CODE!D:D, CLIENT_CODE!B:B, ""))</f>
        <v>Generali Central Insurance Company Limited</v>
      </c>
      <c r="G117" s="275" t="s">
        <v>364</v>
      </c>
      <c r="H117" s="340">
        <v>45981</v>
      </c>
      <c r="I117" s="272" t="str">
        <f t="shared" si="5"/>
        <v>Nov-25</v>
      </c>
      <c r="J117" s="272">
        <v>1</v>
      </c>
      <c r="K117" s="272">
        <v>0</v>
      </c>
      <c r="L117" s="272">
        <v>0</v>
      </c>
      <c r="M117" s="272">
        <v>0</v>
      </c>
      <c r="N117" s="272">
        <v>0</v>
      </c>
      <c r="O117" s="272">
        <v>0</v>
      </c>
      <c r="P117" s="272">
        <v>0</v>
      </c>
      <c r="Q117" s="272">
        <v>0</v>
      </c>
      <c r="R117" s="272">
        <v>0</v>
      </c>
      <c r="S117" s="272">
        <v>0</v>
      </c>
      <c r="T117" s="272">
        <v>0</v>
      </c>
      <c r="U117" s="272">
        <v>0</v>
      </c>
      <c r="V117" s="272">
        <v>0</v>
      </c>
      <c r="W117" s="272">
        <v>0</v>
      </c>
      <c r="X117" s="270">
        <v>0</v>
      </c>
      <c r="Y117" s="270">
        <f t="shared" si="6"/>
        <v>1</v>
      </c>
      <c r="Z117" s="272"/>
      <c r="AA117" s="272"/>
      <c r="AB117" s="288"/>
    </row>
    <row r="118" spans="1:28" ht="20.25" customHeight="1">
      <c r="A118" s="270">
        <v>117</v>
      </c>
      <c r="B118" s="273" t="s">
        <v>365</v>
      </c>
      <c r="C118" s="271" t="s">
        <v>27</v>
      </c>
      <c r="D118" s="270" t="s">
        <v>366</v>
      </c>
      <c r="E118" s="270" t="s">
        <v>367</v>
      </c>
      <c r="F118" s="272" t="str">
        <f>IF(D118="", "", _xlfn.XLOOKUP(D118, CLIENT_CODE!D:D, CLIENT_CODE!B:B, ""))</f>
        <v>SBI General Insurance Company Ltd</v>
      </c>
      <c r="G118" s="275" t="s">
        <v>368</v>
      </c>
      <c r="H118" s="340">
        <v>45981</v>
      </c>
      <c r="I118" s="272" t="str">
        <f t="shared" si="5"/>
        <v>Nov-25</v>
      </c>
      <c r="J118" s="272">
        <v>1</v>
      </c>
      <c r="K118" s="272">
        <v>0</v>
      </c>
      <c r="L118" s="272">
        <v>1</v>
      </c>
      <c r="M118" s="272">
        <v>0</v>
      </c>
      <c r="N118" s="272">
        <v>1</v>
      </c>
      <c r="O118" s="272">
        <v>0</v>
      </c>
      <c r="P118" s="272">
        <v>0</v>
      </c>
      <c r="Q118" s="272">
        <v>0</v>
      </c>
      <c r="R118" s="272">
        <v>1</v>
      </c>
      <c r="S118" s="272">
        <v>1</v>
      </c>
      <c r="T118" s="272">
        <v>0</v>
      </c>
      <c r="U118" s="272">
        <v>0</v>
      </c>
      <c r="V118" s="272">
        <v>0</v>
      </c>
      <c r="W118" s="272">
        <v>0</v>
      </c>
      <c r="X118" s="270">
        <v>0</v>
      </c>
      <c r="Y118" s="270">
        <f t="shared" si="6"/>
        <v>5</v>
      </c>
      <c r="Z118" s="272"/>
      <c r="AA118" s="272"/>
      <c r="AB118" s="288"/>
    </row>
    <row r="119" spans="1:28" ht="20.25" customHeight="1">
      <c r="A119" s="270">
        <v>118</v>
      </c>
      <c r="B119" s="273" t="s">
        <v>369</v>
      </c>
      <c r="C119" s="271" t="s">
        <v>27</v>
      </c>
      <c r="D119" s="270" t="s">
        <v>366</v>
      </c>
      <c r="E119" s="270" t="s">
        <v>370</v>
      </c>
      <c r="F119" s="272" t="str">
        <f>IF(D119="", "", _xlfn.XLOOKUP(D119, CLIENT_CODE!D:D, CLIENT_CODE!B:B, ""))</f>
        <v>SBI General Insurance Company Ltd</v>
      </c>
      <c r="G119" s="275" t="s">
        <v>371</v>
      </c>
      <c r="H119" s="340">
        <v>45981</v>
      </c>
      <c r="I119" s="272" t="str">
        <f t="shared" si="5"/>
        <v>Nov-25</v>
      </c>
      <c r="J119" s="272">
        <v>1</v>
      </c>
      <c r="K119" s="272">
        <v>0</v>
      </c>
      <c r="L119" s="272">
        <v>1</v>
      </c>
      <c r="M119" s="272">
        <v>0</v>
      </c>
      <c r="N119" s="272">
        <v>1</v>
      </c>
      <c r="O119" s="272">
        <v>0</v>
      </c>
      <c r="P119" s="272">
        <v>0</v>
      </c>
      <c r="Q119" s="272">
        <v>0</v>
      </c>
      <c r="R119" s="272">
        <v>1</v>
      </c>
      <c r="S119" s="272">
        <v>1</v>
      </c>
      <c r="T119" s="272">
        <v>0</v>
      </c>
      <c r="U119" s="272">
        <v>0</v>
      </c>
      <c r="V119" s="272">
        <v>0</v>
      </c>
      <c r="W119" s="272">
        <v>0</v>
      </c>
      <c r="X119" s="270">
        <v>0</v>
      </c>
      <c r="Y119" s="270">
        <f t="shared" ref="Y119:Y122" si="10">IF(COUNTA(J119:T119)=0, "", SUM(J119:T119))</f>
        <v>5</v>
      </c>
      <c r="Z119" s="272"/>
      <c r="AA119" s="272"/>
      <c r="AB119" s="288"/>
    </row>
    <row r="120" spans="1:28" ht="20.25" customHeight="1">
      <c r="A120" s="270">
        <v>119</v>
      </c>
      <c r="B120" s="273" t="s">
        <v>372</v>
      </c>
      <c r="C120" s="271" t="s">
        <v>27</v>
      </c>
      <c r="D120" s="270" t="s">
        <v>366</v>
      </c>
      <c r="E120" s="270" t="s">
        <v>373</v>
      </c>
      <c r="F120" s="272" t="str">
        <f>IF(D120="", "", _xlfn.XLOOKUP(D120, CLIENT_CODE!D:D, CLIENT_CODE!B:B, ""))</f>
        <v>SBI General Insurance Company Ltd</v>
      </c>
      <c r="G120" s="275" t="s">
        <v>374</v>
      </c>
      <c r="H120" s="340">
        <v>45981</v>
      </c>
      <c r="I120" s="272" t="str">
        <f t="shared" si="5"/>
        <v>Nov-25</v>
      </c>
      <c r="J120" s="272">
        <v>1</v>
      </c>
      <c r="K120" s="272">
        <v>0</v>
      </c>
      <c r="L120" s="272">
        <v>1</v>
      </c>
      <c r="M120" s="272">
        <v>0</v>
      </c>
      <c r="N120" s="272">
        <v>1</v>
      </c>
      <c r="O120" s="272">
        <v>0</v>
      </c>
      <c r="P120" s="272">
        <v>0</v>
      </c>
      <c r="Q120" s="272">
        <v>0</v>
      </c>
      <c r="R120" s="272">
        <v>1</v>
      </c>
      <c r="S120" s="272">
        <v>1</v>
      </c>
      <c r="T120" s="272">
        <v>0</v>
      </c>
      <c r="U120" s="272">
        <v>0</v>
      </c>
      <c r="V120" s="272">
        <v>0</v>
      </c>
      <c r="W120" s="272">
        <v>0</v>
      </c>
      <c r="X120" s="270">
        <v>0</v>
      </c>
      <c r="Y120" s="270">
        <f t="shared" si="10"/>
        <v>5</v>
      </c>
      <c r="Z120" s="272"/>
      <c r="AA120" s="272"/>
      <c r="AB120" s="288"/>
    </row>
    <row r="121" spans="1:28" ht="20.25" customHeight="1">
      <c r="A121" s="270">
        <v>120</v>
      </c>
      <c r="B121" s="273" t="s">
        <v>372</v>
      </c>
      <c r="C121" s="271" t="s">
        <v>27</v>
      </c>
      <c r="D121" s="270" t="s">
        <v>366</v>
      </c>
      <c r="E121" s="270" t="s">
        <v>375</v>
      </c>
      <c r="F121" s="272" t="str">
        <f>IF(D121="", "", _xlfn.XLOOKUP(D121, CLIENT_CODE!D:D, CLIENT_CODE!B:B, ""))</f>
        <v>SBI General Insurance Company Ltd</v>
      </c>
      <c r="G121" s="275" t="s">
        <v>376</v>
      </c>
      <c r="H121" s="340">
        <v>45981</v>
      </c>
      <c r="I121" s="272" t="str">
        <f t="shared" si="5"/>
        <v>Nov-25</v>
      </c>
      <c r="J121" s="272">
        <v>1</v>
      </c>
      <c r="K121" s="272">
        <v>0</v>
      </c>
      <c r="L121" s="272">
        <v>1</v>
      </c>
      <c r="M121" s="272">
        <v>0</v>
      </c>
      <c r="N121" s="272">
        <v>1</v>
      </c>
      <c r="O121" s="272">
        <v>0</v>
      </c>
      <c r="P121" s="272">
        <v>0</v>
      </c>
      <c r="Q121" s="272">
        <v>0</v>
      </c>
      <c r="R121" s="272">
        <v>1</v>
      </c>
      <c r="S121" s="272">
        <v>1</v>
      </c>
      <c r="T121" s="272">
        <v>0</v>
      </c>
      <c r="U121" s="272">
        <v>0</v>
      </c>
      <c r="V121" s="272">
        <v>0</v>
      </c>
      <c r="W121" s="272">
        <v>0</v>
      </c>
      <c r="X121" s="270">
        <v>0</v>
      </c>
      <c r="Y121" s="270">
        <f t="shared" si="10"/>
        <v>5</v>
      </c>
      <c r="Z121" s="272"/>
      <c r="AA121" s="272"/>
      <c r="AB121" s="288"/>
    </row>
    <row r="122" spans="1:28" ht="20.25" customHeight="1">
      <c r="A122" s="270">
        <v>121</v>
      </c>
      <c r="B122" s="277" t="s">
        <v>377</v>
      </c>
      <c r="C122" s="271" t="s">
        <v>27</v>
      </c>
      <c r="D122" s="270" t="s">
        <v>366</v>
      </c>
      <c r="E122" s="270" t="s">
        <v>378</v>
      </c>
      <c r="F122" s="272" t="str">
        <f>IF(D122="", "", _xlfn.XLOOKUP(D122, CLIENT_CODE!D:D, CLIENT_CODE!B:B, ""))</f>
        <v>SBI General Insurance Company Ltd</v>
      </c>
      <c r="G122" s="275" t="s">
        <v>379</v>
      </c>
      <c r="H122" s="340">
        <v>45981</v>
      </c>
      <c r="I122" s="272" t="str">
        <f t="shared" si="5"/>
        <v>Nov-25</v>
      </c>
      <c r="J122" s="272">
        <v>1</v>
      </c>
      <c r="K122" s="272">
        <v>0</v>
      </c>
      <c r="L122" s="272">
        <v>1</v>
      </c>
      <c r="M122" s="272">
        <v>0</v>
      </c>
      <c r="N122" s="272">
        <v>1</v>
      </c>
      <c r="O122" s="272">
        <v>0</v>
      </c>
      <c r="P122" s="272">
        <v>0</v>
      </c>
      <c r="Q122" s="272">
        <v>0</v>
      </c>
      <c r="R122" s="272">
        <v>1</v>
      </c>
      <c r="S122" s="272">
        <v>1</v>
      </c>
      <c r="T122" s="272">
        <v>0</v>
      </c>
      <c r="U122" s="272">
        <v>0</v>
      </c>
      <c r="V122" s="272">
        <v>0</v>
      </c>
      <c r="W122" s="272">
        <v>0</v>
      </c>
      <c r="X122" s="270">
        <v>0</v>
      </c>
      <c r="Y122" s="270">
        <f t="shared" si="10"/>
        <v>5</v>
      </c>
      <c r="Z122" s="272"/>
      <c r="AA122" s="272"/>
      <c r="AB122" s="288"/>
    </row>
    <row r="123" spans="1:28" ht="20.25" customHeight="1">
      <c r="A123" s="270">
        <v>122</v>
      </c>
      <c r="B123" s="273" t="s">
        <v>380</v>
      </c>
      <c r="C123" s="271" t="s">
        <v>27</v>
      </c>
      <c r="D123" s="270" t="s">
        <v>53</v>
      </c>
      <c r="E123" s="270" t="s">
        <v>381</v>
      </c>
      <c r="F123" s="272" t="str">
        <f>IF(D123="", "", _xlfn.XLOOKUP(D123, CLIENT_CODE!D:D, CLIENT_CODE!B:B, ""))</f>
        <v>Indusind General Insurance Co Ltd</v>
      </c>
      <c r="G123" s="275" t="s">
        <v>382</v>
      </c>
      <c r="H123" s="340">
        <v>45984</v>
      </c>
      <c r="I123" s="272" t="str">
        <f t="shared" si="5"/>
        <v>Nov-25</v>
      </c>
      <c r="J123" s="272">
        <v>1</v>
      </c>
      <c r="K123" s="272">
        <v>0</v>
      </c>
      <c r="L123" s="272">
        <v>1</v>
      </c>
      <c r="M123" s="272">
        <v>0</v>
      </c>
      <c r="N123" s="272">
        <v>1</v>
      </c>
      <c r="O123" s="272">
        <v>0</v>
      </c>
      <c r="P123" s="272">
        <v>0</v>
      </c>
      <c r="Q123" s="272">
        <v>0</v>
      </c>
      <c r="R123" s="272">
        <v>1</v>
      </c>
      <c r="S123" s="272">
        <v>1</v>
      </c>
      <c r="T123" s="272">
        <v>0</v>
      </c>
      <c r="U123" s="272">
        <v>0</v>
      </c>
      <c r="V123" s="272">
        <v>0</v>
      </c>
      <c r="W123" s="272">
        <v>0</v>
      </c>
      <c r="X123" s="270">
        <v>0</v>
      </c>
      <c r="Y123" s="270">
        <f t="shared" si="6"/>
        <v>5</v>
      </c>
      <c r="Z123" s="272"/>
      <c r="AA123" s="272"/>
      <c r="AB123" s="288"/>
    </row>
    <row r="124" spans="1:28" ht="20.25" customHeight="1">
      <c r="A124" s="270">
        <v>123</v>
      </c>
      <c r="B124" s="277" t="s">
        <v>41</v>
      </c>
      <c r="C124" s="271" t="s">
        <v>27</v>
      </c>
      <c r="D124" s="270" t="s">
        <v>53</v>
      </c>
      <c r="E124" s="270" t="s">
        <v>383</v>
      </c>
      <c r="F124" s="272" t="str">
        <f>IF(D124="", "", _xlfn.XLOOKUP(D124, CLIENT_CODE!D:D, CLIENT_CODE!B:B, ""))</f>
        <v>Indusind General Insurance Co Ltd</v>
      </c>
      <c r="G124" s="274" t="s">
        <v>65</v>
      </c>
      <c r="H124" s="340">
        <v>45984</v>
      </c>
      <c r="I124" s="272" t="str">
        <f t="shared" si="5"/>
        <v>Nov-25</v>
      </c>
      <c r="J124" s="272">
        <v>0</v>
      </c>
      <c r="K124" s="272">
        <v>0</v>
      </c>
      <c r="L124" s="272">
        <v>0</v>
      </c>
      <c r="M124" s="272">
        <v>0</v>
      </c>
      <c r="N124" s="272">
        <v>0</v>
      </c>
      <c r="O124" s="272">
        <v>0</v>
      </c>
      <c r="P124" s="272">
        <v>0</v>
      </c>
      <c r="Q124" s="272">
        <v>1</v>
      </c>
      <c r="R124" s="272">
        <v>0</v>
      </c>
      <c r="S124" s="272">
        <v>0</v>
      </c>
      <c r="T124" s="272">
        <v>0</v>
      </c>
      <c r="U124" s="272">
        <v>0</v>
      </c>
      <c r="V124" s="272">
        <v>0</v>
      </c>
      <c r="W124" s="272">
        <v>0</v>
      </c>
      <c r="X124" s="270">
        <v>0</v>
      </c>
      <c r="Y124" s="270">
        <f t="shared" si="6"/>
        <v>1</v>
      </c>
      <c r="Z124" s="272"/>
      <c r="AA124" s="272"/>
      <c r="AB124" s="288"/>
    </row>
    <row r="125" spans="1:28" ht="20.25" customHeight="1">
      <c r="A125" s="270">
        <v>124</v>
      </c>
      <c r="B125" s="277" t="s">
        <v>41</v>
      </c>
      <c r="C125" s="271" t="s">
        <v>27</v>
      </c>
      <c r="D125" s="270" t="s">
        <v>53</v>
      </c>
      <c r="E125" s="270" t="s">
        <v>384</v>
      </c>
      <c r="F125" s="272" t="str">
        <f>IF(D125="", "", _xlfn.XLOOKUP(D125, CLIENT_CODE!D:D, CLIENT_CODE!B:B, ""))</f>
        <v>Indusind General Insurance Co Ltd</v>
      </c>
      <c r="G125" s="280" t="s">
        <v>385</v>
      </c>
      <c r="H125" s="340">
        <v>45985</v>
      </c>
      <c r="I125" s="272" t="str">
        <f t="shared" si="5"/>
        <v>Nov-25</v>
      </c>
      <c r="J125" s="272">
        <v>0</v>
      </c>
      <c r="K125" s="272">
        <v>0</v>
      </c>
      <c r="L125" s="272">
        <v>0</v>
      </c>
      <c r="M125" s="272">
        <v>0</v>
      </c>
      <c r="N125" s="272">
        <v>0</v>
      </c>
      <c r="O125" s="272">
        <v>0</v>
      </c>
      <c r="P125" s="272">
        <v>0</v>
      </c>
      <c r="Q125" s="272">
        <v>0</v>
      </c>
      <c r="R125" s="272">
        <v>0</v>
      </c>
      <c r="S125" s="272">
        <v>1</v>
      </c>
      <c r="T125" s="272">
        <v>0</v>
      </c>
      <c r="U125" s="272">
        <v>0</v>
      </c>
      <c r="V125" s="272">
        <v>0</v>
      </c>
      <c r="W125" s="272">
        <v>0</v>
      </c>
      <c r="X125" s="270">
        <v>0</v>
      </c>
      <c r="Y125" s="270">
        <f t="shared" si="6"/>
        <v>1</v>
      </c>
      <c r="Z125" s="272"/>
      <c r="AA125" s="272"/>
      <c r="AB125" s="288"/>
    </row>
    <row r="126" spans="1:28" ht="20.25" customHeight="1">
      <c r="A126" s="270">
        <v>125</v>
      </c>
      <c r="B126" s="278" t="s">
        <v>386</v>
      </c>
      <c r="C126" s="271" t="s">
        <v>27</v>
      </c>
      <c r="D126" s="270" t="s">
        <v>53</v>
      </c>
      <c r="E126" s="270" t="s">
        <v>387</v>
      </c>
      <c r="F126" s="272" t="str">
        <f>IF(D126="", "", _xlfn.XLOOKUP(D126, CLIENT_CODE!D:D, CLIENT_CODE!B:B, ""))</f>
        <v>Indusind General Insurance Co Ltd</v>
      </c>
      <c r="G126" s="281" t="s">
        <v>388</v>
      </c>
      <c r="H126" s="340">
        <v>45986</v>
      </c>
      <c r="I126" s="272" t="str">
        <f t="shared" si="5"/>
        <v>Nov-25</v>
      </c>
      <c r="J126" s="272">
        <v>1</v>
      </c>
      <c r="K126" s="272">
        <v>0</v>
      </c>
      <c r="L126" s="272">
        <v>1</v>
      </c>
      <c r="M126" s="272">
        <v>0</v>
      </c>
      <c r="N126" s="272">
        <v>1</v>
      </c>
      <c r="O126" s="272">
        <v>0</v>
      </c>
      <c r="P126" s="272">
        <v>0</v>
      </c>
      <c r="Q126" s="272">
        <v>0</v>
      </c>
      <c r="R126" s="272">
        <v>1</v>
      </c>
      <c r="S126" s="272">
        <v>1</v>
      </c>
      <c r="T126" s="272">
        <v>0</v>
      </c>
      <c r="U126" s="272">
        <v>0</v>
      </c>
      <c r="V126" s="272">
        <v>0</v>
      </c>
      <c r="W126" s="272">
        <v>0</v>
      </c>
      <c r="X126" s="270">
        <v>0</v>
      </c>
      <c r="Y126" s="270">
        <f t="shared" si="6"/>
        <v>5</v>
      </c>
      <c r="Z126" s="272"/>
      <c r="AA126" s="272"/>
      <c r="AB126" s="288"/>
    </row>
    <row r="127" spans="1:28" ht="20.25" customHeight="1">
      <c r="A127" s="270">
        <v>126</v>
      </c>
      <c r="B127" s="278" t="s">
        <v>389</v>
      </c>
      <c r="C127" s="271" t="s">
        <v>27</v>
      </c>
      <c r="D127" s="270" t="s">
        <v>53</v>
      </c>
      <c r="E127" s="270" t="s">
        <v>390</v>
      </c>
      <c r="F127" s="272" t="str">
        <f>IF(D127="", "", _xlfn.XLOOKUP(D127, CLIENT_CODE!D:D, CLIENT_CODE!B:B, ""))</f>
        <v>Indusind General Insurance Co Ltd</v>
      </c>
      <c r="G127" s="281" t="s">
        <v>391</v>
      </c>
      <c r="H127" s="340">
        <v>45986</v>
      </c>
      <c r="I127" s="272" t="str">
        <f t="shared" si="5"/>
        <v>Nov-25</v>
      </c>
      <c r="J127" s="272">
        <v>1</v>
      </c>
      <c r="K127" s="272">
        <v>0</v>
      </c>
      <c r="L127" s="272">
        <v>1</v>
      </c>
      <c r="M127" s="272">
        <v>0</v>
      </c>
      <c r="N127" s="272">
        <v>1</v>
      </c>
      <c r="O127" s="272">
        <v>0</v>
      </c>
      <c r="P127" s="272">
        <v>0</v>
      </c>
      <c r="Q127" s="272">
        <v>0</v>
      </c>
      <c r="R127" s="272">
        <v>1</v>
      </c>
      <c r="S127" s="272">
        <v>1</v>
      </c>
      <c r="T127" s="272">
        <v>0</v>
      </c>
      <c r="U127" s="272">
        <v>0</v>
      </c>
      <c r="V127" s="272">
        <v>0</v>
      </c>
      <c r="W127" s="272">
        <v>0</v>
      </c>
      <c r="X127" s="270">
        <v>0</v>
      </c>
      <c r="Y127" s="270">
        <f t="shared" si="6"/>
        <v>5</v>
      </c>
      <c r="Z127" s="272"/>
      <c r="AA127" s="272"/>
      <c r="AB127" s="288"/>
    </row>
    <row r="128" spans="1:28" ht="20.25" customHeight="1">
      <c r="A128" s="270">
        <v>127</v>
      </c>
      <c r="B128" s="278" t="s">
        <v>392</v>
      </c>
      <c r="C128" s="271" t="s">
        <v>27</v>
      </c>
      <c r="D128" s="270" t="s">
        <v>53</v>
      </c>
      <c r="E128" s="270" t="s">
        <v>393</v>
      </c>
      <c r="F128" s="272" t="str">
        <f>IF(D128="", "", _xlfn.XLOOKUP(D128, CLIENT_CODE!D:D, CLIENT_CODE!B:B, ""))</f>
        <v>Indusind General Insurance Co Ltd</v>
      </c>
      <c r="G128" s="282" t="s">
        <v>394</v>
      </c>
      <c r="H128" s="340">
        <v>45986</v>
      </c>
      <c r="I128" s="272" t="str">
        <f t="shared" si="5"/>
        <v>Nov-25</v>
      </c>
      <c r="J128" s="272">
        <v>1</v>
      </c>
      <c r="K128" s="272">
        <v>0</v>
      </c>
      <c r="L128" s="272">
        <v>1</v>
      </c>
      <c r="M128" s="272">
        <v>0</v>
      </c>
      <c r="N128" s="272">
        <v>1</v>
      </c>
      <c r="O128" s="272">
        <v>0</v>
      </c>
      <c r="P128" s="272">
        <v>0</v>
      </c>
      <c r="Q128" s="272">
        <v>0</v>
      </c>
      <c r="R128" s="272">
        <v>1</v>
      </c>
      <c r="S128" s="272">
        <v>1</v>
      </c>
      <c r="T128" s="272">
        <v>0</v>
      </c>
      <c r="U128" s="272">
        <v>0</v>
      </c>
      <c r="V128" s="272">
        <v>0</v>
      </c>
      <c r="W128" s="272">
        <v>0</v>
      </c>
      <c r="X128" s="270">
        <v>0</v>
      </c>
      <c r="Y128" s="270">
        <f t="shared" si="6"/>
        <v>5</v>
      </c>
      <c r="Z128" s="272"/>
      <c r="AA128" s="272"/>
      <c r="AB128" s="288"/>
    </row>
    <row r="129" spans="1:28" ht="20.25" customHeight="1">
      <c r="A129" s="270">
        <v>128</v>
      </c>
      <c r="B129" s="278" t="s">
        <v>395</v>
      </c>
      <c r="C129" s="271" t="s">
        <v>27</v>
      </c>
      <c r="D129" s="270" t="s">
        <v>53</v>
      </c>
      <c r="E129" s="270" t="s">
        <v>396</v>
      </c>
      <c r="F129" s="272" t="str">
        <f>IF(D129="", "", _xlfn.XLOOKUP(D129, CLIENT_CODE!D:D, CLIENT_CODE!B:B, ""))</f>
        <v>Indusind General Insurance Co Ltd</v>
      </c>
      <c r="G129" s="282" t="s">
        <v>397</v>
      </c>
      <c r="H129" s="340">
        <v>45986</v>
      </c>
      <c r="I129" s="272" t="str">
        <f t="shared" si="5"/>
        <v>Nov-25</v>
      </c>
      <c r="J129" s="272">
        <v>1</v>
      </c>
      <c r="K129" s="272">
        <v>0</v>
      </c>
      <c r="L129" s="272">
        <v>1</v>
      </c>
      <c r="M129" s="272">
        <v>0</v>
      </c>
      <c r="N129" s="272">
        <v>1</v>
      </c>
      <c r="O129" s="272">
        <v>0</v>
      </c>
      <c r="P129" s="272">
        <v>0</v>
      </c>
      <c r="Q129" s="272">
        <v>0</v>
      </c>
      <c r="R129" s="272">
        <v>1</v>
      </c>
      <c r="S129" s="272">
        <v>1</v>
      </c>
      <c r="T129" s="272">
        <v>0</v>
      </c>
      <c r="U129" s="272">
        <v>0</v>
      </c>
      <c r="V129" s="272">
        <v>0</v>
      </c>
      <c r="W129" s="272">
        <v>0</v>
      </c>
      <c r="X129" s="270">
        <v>0</v>
      </c>
      <c r="Y129" s="270">
        <f t="shared" si="6"/>
        <v>5</v>
      </c>
      <c r="Z129" s="272"/>
      <c r="AA129" s="272"/>
      <c r="AB129" s="288"/>
    </row>
    <row r="130" spans="1:28" ht="20.25" customHeight="1">
      <c r="A130" s="270">
        <v>129</v>
      </c>
      <c r="B130" s="273" t="s">
        <v>398</v>
      </c>
      <c r="C130" s="271" t="s">
        <v>27</v>
      </c>
      <c r="D130" s="270" t="s">
        <v>366</v>
      </c>
      <c r="E130" s="270" t="s">
        <v>399</v>
      </c>
      <c r="F130" s="272" t="str">
        <f>IF(D130="", "", _xlfn.XLOOKUP(D130, CLIENT_CODE!D:D, CLIENT_CODE!B:B, ""))</f>
        <v>SBI General Insurance Company Ltd</v>
      </c>
      <c r="G130" s="275" t="s">
        <v>400</v>
      </c>
      <c r="H130" s="340">
        <v>45987</v>
      </c>
      <c r="I130" s="272" t="str">
        <f t="shared" si="5"/>
        <v>Nov-25</v>
      </c>
      <c r="J130" s="272">
        <v>1</v>
      </c>
      <c r="K130" s="272">
        <v>0</v>
      </c>
      <c r="L130" s="272">
        <v>1</v>
      </c>
      <c r="M130" s="272">
        <v>0</v>
      </c>
      <c r="N130" s="272">
        <v>1</v>
      </c>
      <c r="O130" s="272">
        <v>0</v>
      </c>
      <c r="P130" s="272">
        <v>0</v>
      </c>
      <c r="Q130" s="272">
        <v>0</v>
      </c>
      <c r="R130" s="272">
        <v>1</v>
      </c>
      <c r="S130" s="272">
        <v>1</v>
      </c>
      <c r="T130" s="272">
        <v>0</v>
      </c>
      <c r="U130" s="272">
        <v>0</v>
      </c>
      <c r="V130" s="272">
        <v>0</v>
      </c>
      <c r="W130" s="272">
        <v>0</v>
      </c>
      <c r="X130" s="270">
        <v>0</v>
      </c>
      <c r="Y130" s="270">
        <f>IF(COUNTA(J130:T130)=0, "", SUM(J130:T130))</f>
        <v>5</v>
      </c>
      <c r="Z130" s="272"/>
      <c r="AA130" s="272"/>
      <c r="AB130" s="288"/>
    </row>
    <row r="131" spans="1:28" ht="20.25" customHeight="1">
      <c r="A131" s="270">
        <v>130</v>
      </c>
      <c r="B131" s="276" t="s">
        <v>41</v>
      </c>
      <c r="C131" s="271" t="s">
        <v>27</v>
      </c>
      <c r="D131" s="270" t="s">
        <v>366</v>
      </c>
      <c r="E131" s="270" t="s">
        <v>401</v>
      </c>
      <c r="F131" s="272" t="str">
        <f>IF(D131="", "", _xlfn.XLOOKUP(D131, CLIENT_CODE!D:D, CLIENT_CODE!B:B, ""))</f>
        <v>SBI General Insurance Company Ltd</v>
      </c>
      <c r="G131" s="257" t="s">
        <v>402</v>
      </c>
      <c r="H131" s="340">
        <v>45987</v>
      </c>
      <c r="I131" s="272" t="str">
        <f t="shared" si="5"/>
        <v>Nov-25</v>
      </c>
      <c r="J131" s="272">
        <v>0</v>
      </c>
      <c r="K131" s="272">
        <v>0</v>
      </c>
      <c r="L131" s="272">
        <v>0</v>
      </c>
      <c r="M131" s="272">
        <v>0</v>
      </c>
      <c r="N131" s="272">
        <v>0</v>
      </c>
      <c r="O131" s="272">
        <v>0</v>
      </c>
      <c r="P131" s="272">
        <v>0</v>
      </c>
      <c r="Q131" s="272">
        <v>0</v>
      </c>
      <c r="R131" s="272">
        <v>0</v>
      </c>
      <c r="S131" s="272">
        <v>0</v>
      </c>
      <c r="T131" s="272">
        <v>0</v>
      </c>
      <c r="U131" s="272">
        <v>0</v>
      </c>
      <c r="V131" s="272">
        <v>1</v>
      </c>
      <c r="W131" s="272">
        <v>0</v>
      </c>
      <c r="X131" s="270">
        <v>0</v>
      </c>
      <c r="Y131" s="270">
        <v>1</v>
      </c>
      <c r="Z131" s="272"/>
      <c r="AA131" s="272"/>
      <c r="AB131" s="288"/>
    </row>
    <row r="132" spans="1:28" ht="20.25" customHeight="1">
      <c r="A132" s="270">
        <v>131</v>
      </c>
      <c r="B132" s="273" t="s">
        <v>403</v>
      </c>
      <c r="C132" s="271" t="s">
        <v>27</v>
      </c>
      <c r="D132" s="270" t="s">
        <v>38</v>
      </c>
      <c r="E132" s="270" t="s">
        <v>404</v>
      </c>
      <c r="F132" s="272" t="str">
        <f>IF(D132="", "", _xlfn.XLOOKUP(D132, CLIENT_CODE!D:D, CLIENT_CODE!B:B, ""))</f>
        <v>Generali Central Insurance Company Limited</v>
      </c>
      <c r="G132" s="275" t="s">
        <v>405</v>
      </c>
      <c r="H132" s="340">
        <v>45987</v>
      </c>
      <c r="I132" s="272" t="str">
        <f t="shared" si="5"/>
        <v>Nov-25</v>
      </c>
      <c r="J132" s="272">
        <v>1</v>
      </c>
      <c r="K132" s="272">
        <v>0</v>
      </c>
      <c r="L132" s="272">
        <v>1</v>
      </c>
      <c r="M132" s="272">
        <v>1</v>
      </c>
      <c r="N132" s="272">
        <v>1</v>
      </c>
      <c r="O132" s="272">
        <v>1</v>
      </c>
      <c r="P132" s="272">
        <v>1</v>
      </c>
      <c r="Q132" s="272">
        <v>0</v>
      </c>
      <c r="R132" s="272">
        <v>1</v>
      </c>
      <c r="S132" s="272">
        <v>1</v>
      </c>
      <c r="T132" s="272">
        <v>0</v>
      </c>
      <c r="U132" s="272">
        <v>0</v>
      </c>
      <c r="V132" s="272">
        <v>1</v>
      </c>
      <c r="W132" s="272">
        <v>0</v>
      </c>
      <c r="X132" s="270">
        <v>0</v>
      </c>
      <c r="Y132" s="270">
        <f t="shared" si="6"/>
        <v>8</v>
      </c>
      <c r="Z132" s="272"/>
      <c r="AA132" s="272"/>
      <c r="AB132" s="288"/>
    </row>
    <row r="133" spans="1:28" ht="20.25" customHeight="1">
      <c r="A133" s="270">
        <v>132</v>
      </c>
      <c r="B133" s="273" t="s">
        <v>41</v>
      </c>
      <c r="C133" s="271" t="s">
        <v>27</v>
      </c>
      <c r="D133" s="270" t="s">
        <v>38</v>
      </c>
      <c r="E133" s="270" t="s">
        <v>406</v>
      </c>
      <c r="F133" s="272" t="str">
        <f>IF(D133="", "", _xlfn.XLOOKUP(D133, CLIENT_CODE!D:D, CLIENT_CODE!B:B, ""))</f>
        <v>Generali Central Insurance Company Limited</v>
      </c>
      <c r="G133" s="275" t="s">
        <v>407</v>
      </c>
      <c r="H133" s="340">
        <v>45987</v>
      </c>
      <c r="I133" s="272" t="str">
        <f t="shared" ref="I133:I196" si="11">IF(ISBLANK(H133), "", TEXT(H133, "mmm-yy"))</f>
        <v>Nov-25</v>
      </c>
      <c r="J133" s="272">
        <v>0</v>
      </c>
      <c r="K133" s="272">
        <v>0</v>
      </c>
      <c r="L133" s="272">
        <v>0</v>
      </c>
      <c r="M133" s="272">
        <v>0</v>
      </c>
      <c r="N133" s="272">
        <v>0</v>
      </c>
      <c r="O133" s="272">
        <v>0</v>
      </c>
      <c r="P133" s="272">
        <v>0</v>
      </c>
      <c r="Q133" s="272">
        <v>0</v>
      </c>
      <c r="R133" s="272">
        <v>0</v>
      </c>
      <c r="S133" s="272">
        <v>1</v>
      </c>
      <c r="T133" s="272">
        <v>0</v>
      </c>
      <c r="U133" s="272">
        <v>0</v>
      </c>
      <c r="V133" s="272">
        <v>0</v>
      </c>
      <c r="W133" s="272">
        <v>0</v>
      </c>
      <c r="X133" s="270">
        <v>0</v>
      </c>
      <c r="Y133" s="270">
        <f t="shared" si="6"/>
        <v>1</v>
      </c>
      <c r="Z133" s="272"/>
      <c r="AA133" s="272"/>
      <c r="AB133" s="288"/>
    </row>
    <row r="134" spans="1:28" ht="20.25" customHeight="1">
      <c r="A134" s="270">
        <v>133</v>
      </c>
      <c r="B134" s="273" t="s">
        <v>41</v>
      </c>
      <c r="C134" s="271" t="s">
        <v>27</v>
      </c>
      <c r="D134" s="270" t="s">
        <v>53</v>
      </c>
      <c r="E134" s="270" t="s">
        <v>408</v>
      </c>
      <c r="F134" s="272" t="str">
        <f>IF(D134="", "", _xlfn.XLOOKUP(D134, CLIENT_CODE!D:D, CLIENT_CODE!B:B, ""))</f>
        <v>Indusind General Insurance Co Ltd</v>
      </c>
      <c r="G134" s="275" t="s">
        <v>409</v>
      </c>
      <c r="H134" s="340">
        <v>45989</v>
      </c>
      <c r="I134" s="272" t="str">
        <f t="shared" si="11"/>
        <v>Nov-25</v>
      </c>
      <c r="J134" s="272">
        <v>0</v>
      </c>
      <c r="K134" s="272">
        <v>0</v>
      </c>
      <c r="L134" s="272">
        <v>0</v>
      </c>
      <c r="M134" s="272">
        <v>0</v>
      </c>
      <c r="N134" s="272">
        <v>0</v>
      </c>
      <c r="O134" s="272">
        <v>0</v>
      </c>
      <c r="P134" s="272">
        <v>0</v>
      </c>
      <c r="Q134" s="272">
        <v>0</v>
      </c>
      <c r="R134" s="272">
        <v>0</v>
      </c>
      <c r="S134" s="272">
        <v>1</v>
      </c>
      <c r="T134" s="272">
        <v>0</v>
      </c>
      <c r="U134" s="272">
        <v>0</v>
      </c>
      <c r="V134" s="272">
        <v>0</v>
      </c>
      <c r="W134" s="272">
        <v>0</v>
      </c>
      <c r="X134" s="270">
        <v>0</v>
      </c>
      <c r="Y134" s="270">
        <f t="shared" ref="Y134:Y192" si="12">IF(COUNTA(J134:T134)=0, "", SUM(J134:T134))</f>
        <v>1</v>
      </c>
      <c r="Z134" s="272"/>
      <c r="AA134" s="272"/>
      <c r="AB134" s="288"/>
    </row>
    <row r="135" spans="1:28" ht="20.25" customHeight="1">
      <c r="A135" s="270">
        <v>134</v>
      </c>
      <c r="B135" s="283" t="s">
        <v>41</v>
      </c>
      <c r="C135" s="271" t="s">
        <v>27</v>
      </c>
      <c r="D135" s="270" t="s">
        <v>53</v>
      </c>
      <c r="E135" s="270" t="s">
        <v>410</v>
      </c>
      <c r="F135" s="272" t="str">
        <f>IF(D135="", "", _xlfn.XLOOKUP(D135, CLIENT_CODE!D:D, CLIENT_CODE!B:B, ""))</f>
        <v>Indusind General Insurance Co Ltd</v>
      </c>
      <c r="G135" s="284" t="s">
        <v>411</v>
      </c>
      <c r="H135" s="340">
        <v>45989</v>
      </c>
      <c r="I135" s="272" t="str">
        <f t="shared" si="11"/>
        <v>Nov-25</v>
      </c>
      <c r="J135" s="272">
        <v>0</v>
      </c>
      <c r="K135" s="272">
        <v>0</v>
      </c>
      <c r="L135" s="272">
        <v>0</v>
      </c>
      <c r="M135" s="272">
        <v>0</v>
      </c>
      <c r="N135" s="272">
        <v>0</v>
      </c>
      <c r="O135" s="272">
        <v>0</v>
      </c>
      <c r="P135" s="272">
        <v>0</v>
      </c>
      <c r="Q135" s="272">
        <v>0</v>
      </c>
      <c r="R135" s="272">
        <v>0</v>
      </c>
      <c r="S135" s="272">
        <v>1</v>
      </c>
      <c r="T135" s="272">
        <v>0</v>
      </c>
      <c r="U135" s="272">
        <v>0</v>
      </c>
      <c r="V135" s="272">
        <v>0</v>
      </c>
      <c r="W135" s="272">
        <v>0</v>
      </c>
      <c r="X135" s="270">
        <v>0</v>
      </c>
      <c r="Y135" s="270">
        <f t="shared" ref="Y135:Y137" si="13">IF(COUNTA(J135:T135)=0, "", SUM(J135:T135))</f>
        <v>1</v>
      </c>
      <c r="Z135" s="272"/>
      <c r="AA135" s="272"/>
      <c r="AB135" s="288"/>
    </row>
    <row r="136" spans="1:28" ht="20.25" customHeight="1">
      <c r="A136" s="270">
        <v>135</v>
      </c>
      <c r="B136" s="273" t="s">
        <v>41</v>
      </c>
      <c r="C136" s="271" t="s">
        <v>27</v>
      </c>
      <c r="D136" s="270" t="s">
        <v>53</v>
      </c>
      <c r="E136" s="270" t="s">
        <v>412</v>
      </c>
      <c r="F136" s="272" t="str">
        <f>IF(D136="", "", _xlfn.XLOOKUP(D136, CLIENT_CODE!D:D, CLIENT_CODE!B:B, ""))</f>
        <v>Indusind General Insurance Co Ltd</v>
      </c>
      <c r="G136" s="275" t="s">
        <v>413</v>
      </c>
      <c r="H136" s="340">
        <v>45989</v>
      </c>
      <c r="I136" s="272" t="str">
        <f t="shared" si="11"/>
        <v>Nov-25</v>
      </c>
      <c r="J136" s="272">
        <v>0</v>
      </c>
      <c r="K136" s="272">
        <v>0</v>
      </c>
      <c r="L136" s="272">
        <v>0</v>
      </c>
      <c r="M136" s="272">
        <v>0</v>
      </c>
      <c r="N136" s="272">
        <v>0</v>
      </c>
      <c r="O136" s="272">
        <v>0</v>
      </c>
      <c r="P136" s="272">
        <v>0</v>
      </c>
      <c r="Q136" s="272">
        <v>0</v>
      </c>
      <c r="R136" s="272">
        <v>0</v>
      </c>
      <c r="S136" s="272">
        <v>1</v>
      </c>
      <c r="T136" s="272">
        <v>0</v>
      </c>
      <c r="U136" s="272">
        <v>0</v>
      </c>
      <c r="V136" s="272">
        <v>1</v>
      </c>
      <c r="W136" s="272">
        <v>0</v>
      </c>
      <c r="X136" s="270">
        <v>0</v>
      </c>
      <c r="Y136" s="270">
        <f t="shared" si="13"/>
        <v>1</v>
      </c>
      <c r="Z136" s="272"/>
      <c r="AA136" s="272"/>
      <c r="AB136" s="288"/>
    </row>
    <row r="137" spans="1:28" ht="20.25" customHeight="1">
      <c r="A137" s="270">
        <v>136</v>
      </c>
      <c r="B137" s="276" t="s">
        <v>66</v>
      </c>
      <c r="C137" s="271" t="s">
        <v>27</v>
      </c>
      <c r="D137" s="270" t="s">
        <v>53</v>
      </c>
      <c r="E137" s="270" t="s">
        <v>414</v>
      </c>
      <c r="F137" s="272" t="str">
        <f>IF(D137="", "", _xlfn.XLOOKUP(D137, CLIENT_CODE!D:D, CLIENT_CODE!B:B, ""))</f>
        <v>Indusind General Insurance Co Ltd</v>
      </c>
      <c r="G137" s="223" t="s">
        <v>415</v>
      </c>
      <c r="H137" s="340">
        <v>45989</v>
      </c>
      <c r="I137" s="272" t="str">
        <f t="shared" si="11"/>
        <v>Nov-25</v>
      </c>
      <c r="J137" s="272">
        <v>1</v>
      </c>
      <c r="K137" s="272">
        <v>0</v>
      </c>
      <c r="L137" s="272">
        <v>1</v>
      </c>
      <c r="M137" s="272">
        <v>0</v>
      </c>
      <c r="N137" s="272">
        <v>1</v>
      </c>
      <c r="O137" s="272">
        <v>0</v>
      </c>
      <c r="P137" s="272">
        <v>0</v>
      </c>
      <c r="Q137" s="272">
        <v>0</v>
      </c>
      <c r="R137" s="272">
        <v>1</v>
      </c>
      <c r="S137" s="272">
        <v>1</v>
      </c>
      <c r="T137" s="272">
        <v>0</v>
      </c>
      <c r="U137" s="272">
        <v>0</v>
      </c>
      <c r="V137" s="272">
        <v>0</v>
      </c>
      <c r="W137" s="272">
        <v>0</v>
      </c>
      <c r="X137" s="270">
        <v>0</v>
      </c>
      <c r="Y137" s="270">
        <f t="shared" si="13"/>
        <v>5</v>
      </c>
      <c r="Z137" s="272"/>
      <c r="AA137" s="272"/>
      <c r="AB137" s="288"/>
    </row>
    <row r="138" spans="1:28" ht="20.25" customHeight="1">
      <c r="A138" s="270">
        <v>137</v>
      </c>
      <c r="B138" s="276" t="s">
        <v>66</v>
      </c>
      <c r="C138" s="271" t="s">
        <v>27</v>
      </c>
      <c r="D138" s="270" t="s">
        <v>53</v>
      </c>
      <c r="E138" s="270" t="s">
        <v>416</v>
      </c>
      <c r="F138" s="272" t="str">
        <f>IF(D138="", "", _xlfn.XLOOKUP(D138, CLIENT_CODE!D:D, CLIENT_CODE!B:B, ""))</f>
        <v>Indusind General Insurance Co Ltd</v>
      </c>
      <c r="G138" s="275" t="s">
        <v>417</v>
      </c>
      <c r="H138" s="340">
        <v>45989</v>
      </c>
      <c r="I138" s="272" t="str">
        <f t="shared" si="11"/>
        <v>Nov-25</v>
      </c>
      <c r="J138" s="272">
        <v>0</v>
      </c>
      <c r="K138" s="272">
        <v>0</v>
      </c>
      <c r="L138" s="272">
        <v>0</v>
      </c>
      <c r="M138" s="272">
        <v>0</v>
      </c>
      <c r="N138" s="272">
        <v>0</v>
      </c>
      <c r="O138" s="272">
        <v>0</v>
      </c>
      <c r="P138" s="272">
        <v>0</v>
      </c>
      <c r="Q138" s="272">
        <v>0</v>
      </c>
      <c r="R138" s="272">
        <v>0</v>
      </c>
      <c r="S138" s="272">
        <v>1</v>
      </c>
      <c r="T138" s="272">
        <v>0</v>
      </c>
      <c r="U138" s="272">
        <v>0</v>
      </c>
      <c r="V138" s="272">
        <v>1</v>
      </c>
      <c r="W138" s="272">
        <v>0</v>
      </c>
      <c r="X138" s="270">
        <v>0</v>
      </c>
      <c r="Y138" s="270">
        <f>IF(COUNTA(J138:T138)=0, "", SUM(J138:T138))</f>
        <v>1</v>
      </c>
      <c r="Z138" s="272"/>
      <c r="AA138" s="272"/>
      <c r="AB138" s="288"/>
    </row>
    <row r="139" spans="1:28" ht="20.25" customHeight="1">
      <c r="A139" s="270">
        <v>138</v>
      </c>
      <c r="B139" s="276" t="s">
        <v>418</v>
      </c>
      <c r="C139" s="271" t="s">
        <v>27</v>
      </c>
      <c r="D139" s="270" t="s">
        <v>366</v>
      </c>
      <c r="E139" s="270" t="s">
        <v>419</v>
      </c>
      <c r="F139" s="272" t="str">
        <f>IF(D139="", "", _xlfn.XLOOKUP(D139, CLIENT_CODE!D:D, CLIENT_CODE!B:B, ""))</f>
        <v>SBI General Insurance Company Ltd</v>
      </c>
      <c r="G139" s="264" t="s">
        <v>420</v>
      </c>
      <c r="H139" s="340">
        <v>45989</v>
      </c>
      <c r="I139" s="272" t="str">
        <f t="shared" si="11"/>
        <v>Nov-25</v>
      </c>
      <c r="J139" s="272">
        <v>1</v>
      </c>
      <c r="K139" s="272">
        <v>0</v>
      </c>
      <c r="L139" s="272">
        <v>0</v>
      </c>
      <c r="M139" s="272">
        <v>0</v>
      </c>
      <c r="N139" s="272">
        <v>1</v>
      </c>
      <c r="O139" s="272">
        <v>0</v>
      </c>
      <c r="P139" s="272">
        <v>0</v>
      </c>
      <c r="Q139" s="272">
        <v>0</v>
      </c>
      <c r="R139" s="272">
        <v>0</v>
      </c>
      <c r="S139" s="272">
        <v>0</v>
      </c>
      <c r="T139" s="272">
        <v>0</v>
      </c>
      <c r="U139" s="272">
        <v>0</v>
      </c>
      <c r="V139" s="272">
        <v>0</v>
      </c>
      <c r="W139" s="272">
        <v>0</v>
      </c>
      <c r="X139" s="270">
        <v>0</v>
      </c>
      <c r="Y139" s="270">
        <f t="shared" si="12"/>
        <v>2</v>
      </c>
      <c r="Z139" s="272"/>
      <c r="AA139" s="272"/>
      <c r="AB139" s="288"/>
    </row>
    <row r="140" spans="1:28" ht="20.25" customHeight="1">
      <c r="A140" s="270">
        <v>139</v>
      </c>
      <c r="B140" s="285" t="s">
        <v>421</v>
      </c>
      <c r="C140" s="271" t="s">
        <v>27</v>
      </c>
      <c r="D140" s="270" t="s">
        <v>53</v>
      </c>
      <c r="E140" s="270" t="s">
        <v>422</v>
      </c>
      <c r="F140" s="272" t="str">
        <f>IF(D140="", "", _xlfn.XLOOKUP(D140, CLIENT_CODE!D:D, CLIENT_CODE!B:B, ""))</f>
        <v>Indusind General Insurance Co Ltd</v>
      </c>
      <c r="G140" s="275" t="s">
        <v>423</v>
      </c>
      <c r="H140" s="340">
        <v>45990</v>
      </c>
      <c r="I140" s="272" t="str">
        <f t="shared" si="11"/>
        <v>Nov-25</v>
      </c>
      <c r="J140" s="272">
        <v>1</v>
      </c>
      <c r="K140" s="272">
        <v>0</v>
      </c>
      <c r="L140" s="272">
        <v>0</v>
      </c>
      <c r="M140" s="272">
        <v>0</v>
      </c>
      <c r="N140" s="272">
        <v>1</v>
      </c>
      <c r="O140" s="272">
        <v>0</v>
      </c>
      <c r="P140" s="272">
        <v>0</v>
      </c>
      <c r="Q140" s="272">
        <v>0</v>
      </c>
      <c r="R140" s="272">
        <v>0</v>
      </c>
      <c r="S140" s="272">
        <v>1</v>
      </c>
      <c r="T140" s="272">
        <v>0</v>
      </c>
      <c r="U140" s="272">
        <v>0</v>
      </c>
      <c r="V140" s="272">
        <v>0</v>
      </c>
      <c r="W140" s="272">
        <v>0</v>
      </c>
      <c r="X140" s="270">
        <v>0</v>
      </c>
      <c r="Y140" s="270">
        <f t="shared" si="12"/>
        <v>3</v>
      </c>
      <c r="Z140" s="272"/>
      <c r="AA140" s="272"/>
      <c r="AB140" s="288"/>
    </row>
    <row r="141" spans="1:28" ht="20.25" customHeight="1">
      <c r="A141" s="270">
        <v>140</v>
      </c>
      <c r="B141" s="285" t="s">
        <v>41</v>
      </c>
      <c r="C141" s="271" t="s">
        <v>27</v>
      </c>
      <c r="D141" s="270" t="s">
        <v>53</v>
      </c>
      <c r="E141" s="270" t="s">
        <v>424</v>
      </c>
      <c r="F141" s="272" t="str">
        <f>IF(D141="", "", _xlfn.XLOOKUP(D141, CLIENT_CODE!D:D, CLIENT_CODE!B:B, ""))</f>
        <v>Indusind General Insurance Co Ltd</v>
      </c>
      <c r="G141" s="275" t="s">
        <v>425</v>
      </c>
      <c r="H141" s="340">
        <v>45990</v>
      </c>
      <c r="I141" s="272" t="str">
        <f t="shared" si="11"/>
        <v>Nov-25</v>
      </c>
      <c r="J141" s="272">
        <v>0</v>
      </c>
      <c r="K141" s="272">
        <v>0</v>
      </c>
      <c r="L141" s="272">
        <v>1</v>
      </c>
      <c r="M141" s="272">
        <v>0</v>
      </c>
      <c r="N141" s="272">
        <v>0</v>
      </c>
      <c r="O141" s="272">
        <v>0</v>
      </c>
      <c r="P141" s="272">
        <v>0</v>
      </c>
      <c r="Q141" s="272">
        <v>0</v>
      </c>
      <c r="R141" s="272">
        <v>0</v>
      </c>
      <c r="S141" s="272">
        <v>1</v>
      </c>
      <c r="T141" s="272">
        <v>0</v>
      </c>
      <c r="U141" s="272">
        <v>0</v>
      </c>
      <c r="V141" s="272">
        <v>0</v>
      </c>
      <c r="W141" s="272">
        <v>0</v>
      </c>
      <c r="X141" s="270">
        <v>0</v>
      </c>
      <c r="Y141" s="270">
        <f t="shared" si="12"/>
        <v>2</v>
      </c>
      <c r="Z141" s="272"/>
      <c r="AA141" s="272"/>
      <c r="AB141" s="288"/>
    </row>
    <row r="142" spans="1:28" ht="20.25" customHeight="1">
      <c r="A142" s="270">
        <v>141</v>
      </c>
      <c r="B142" s="265" t="s">
        <v>426</v>
      </c>
      <c r="C142" s="271" t="s">
        <v>27</v>
      </c>
      <c r="D142" s="270" t="s">
        <v>53</v>
      </c>
      <c r="E142" s="270" t="s">
        <v>427</v>
      </c>
      <c r="F142" s="272" t="str">
        <f>IF(D142="", "", _xlfn.XLOOKUP(D142, CLIENT_CODE!D:D, CLIENT_CODE!B:B, ""))</f>
        <v>Indusind General Insurance Co Ltd</v>
      </c>
      <c r="G142" s="264" t="s">
        <v>428</v>
      </c>
      <c r="H142" s="340">
        <v>45990</v>
      </c>
      <c r="I142" s="272" t="str">
        <f t="shared" si="11"/>
        <v>Nov-25</v>
      </c>
      <c r="J142" s="272">
        <v>1</v>
      </c>
      <c r="K142" s="272">
        <v>0</v>
      </c>
      <c r="L142" s="272">
        <v>1</v>
      </c>
      <c r="M142" s="272">
        <v>0</v>
      </c>
      <c r="N142" s="272">
        <v>1</v>
      </c>
      <c r="O142" s="272">
        <v>0</v>
      </c>
      <c r="P142" s="272">
        <v>0</v>
      </c>
      <c r="Q142" s="272">
        <v>0</v>
      </c>
      <c r="R142" s="272">
        <v>1</v>
      </c>
      <c r="S142" s="272">
        <v>1</v>
      </c>
      <c r="T142" s="272">
        <v>0</v>
      </c>
      <c r="U142" s="272">
        <v>0</v>
      </c>
      <c r="V142" s="272">
        <v>0</v>
      </c>
      <c r="W142" s="272">
        <v>0</v>
      </c>
      <c r="X142" s="270">
        <v>0</v>
      </c>
      <c r="Y142" s="270">
        <f>IF(COUNTA(J142:T142)=0, "", SUM(J142:T142))</f>
        <v>5</v>
      </c>
      <c r="Z142" s="272"/>
      <c r="AA142" s="272"/>
      <c r="AB142" s="288"/>
    </row>
    <row r="143" spans="1:28" ht="20.25" customHeight="1">
      <c r="A143" s="270">
        <v>142</v>
      </c>
      <c r="B143" s="222" t="s">
        <v>429</v>
      </c>
      <c r="C143" s="271" t="s">
        <v>27</v>
      </c>
      <c r="D143" s="270" t="s">
        <v>53</v>
      </c>
      <c r="E143" s="270" t="s">
        <v>430</v>
      </c>
      <c r="F143" s="272" t="str">
        <f>IF(D143="", "", _xlfn.XLOOKUP(D143, CLIENT_CODE!D:D, CLIENT_CODE!B:B, ""))</f>
        <v>Indusind General Insurance Co Ltd</v>
      </c>
      <c r="G143" s="270" t="s">
        <v>431</v>
      </c>
      <c r="H143" s="340">
        <v>45992</v>
      </c>
      <c r="I143" s="272" t="str">
        <f t="shared" si="11"/>
        <v>Dec-25</v>
      </c>
      <c r="J143" s="272">
        <v>1</v>
      </c>
      <c r="K143" s="272">
        <v>0</v>
      </c>
      <c r="L143" s="272">
        <v>1</v>
      </c>
      <c r="M143" s="272">
        <v>0</v>
      </c>
      <c r="N143" s="272">
        <v>1</v>
      </c>
      <c r="O143" s="272">
        <v>0</v>
      </c>
      <c r="P143" s="272">
        <v>0</v>
      </c>
      <c r="Q143" s="272">
        <v>0</v>
      </c>
      <c r="R143" s="272">
        <v>1</v>
      </c>
      <c r="S143" s="272">
        <v>1</v>
      </c>
      <c r="T143" s="272">
        <v>0</v>
      </c>
      <c r="U143" s="272">
        <v>0</v>
      </c>
      <c r="V143" s="272">
        <v>0</v>
      </c>
      <c r="W143" s="272">
        <v>0</v>
      </c>
      <c r="X143" s="270">
        <v>0</v>
      </c>
      <c r="Y143" s="270">
        <f t="shared" si="12"/>
        <v>5</v>
      </c>
      <c r="Z143" s="272"/>
      <c r="AA143" s="272"/>
      <c r="AB143" s="288"/>
    </row>
    <row r="144" spans="1:28" ht="20.25" customHeight="1">
      <c r="A144" s="270">
        <v>143</v>
      </c>
      <c r="B144" s="276" t="s">
        <v>432</v>
      </c>
      <c r="C144" s="271" t="s">
        <v>27</v>
      </c>
      <c r="D144" s="270" t="s">
        <v>366</v>
      </c>
      <c r="E144" s="270" t="s">
        <v>433</v>
      </c>
      <c r="F144" s="272" t="str">
        <f>IF(D144="", "", _xlfn.XLOOKUP(D144, CLIENT_CODE!D:D, CLIENT_CODE!B:B, ""))</f>
        <v>SBI General Insurance Company Ltd</v>
      </c>
      <c r="G144" s="270" t="s">
        <v>434</v>
      </c>
      <c r="H144" s="340">
        <v>45992</v>
      </c>
      <c r="I144" s="272" t="str">
        <f t="shared" si="11"/>
        <v>Dec-25</v>
      </c>
      <c r="J144" s="272">
        <v>1</v>
      </c>
      <c r="K144" s="272">
        <v>0</v>
      </c>
      <c r="L144" s="272">
        <v>1</v>
      </c>
      <c r="M144" s="272">
        <v>0</v>
      </c>
      <c r="N144" s="272">
        <v>1</v>
      </c>
      <c r="O144" s="272">
        <v>0</v>
      </c>
      <c r="P144" s="272">
        <v>0</v>
      </c>
      <c r="Q144" s="272">
        <v>0</v>
      </c>
      <c r="R144" s="272">
        <v>1</v>
      </c>
      <c r="S144" s="272">
        <v>1</v>
      </c>
      <c r="T144" s="272">
        <v>0</v>
      </c>
      <c r="U144" s="272">
        <v>0</v>
      </c>
      <c r="V144" s="272"/>
      <c r="W144" s="272">
        <v>0</v>
      </c>
      <c r="X144" s="270">
        <v>0</v>
      </c>
      <c r="Y144" s="270">
        <f t="shared" si="12"/>
        <v>5</v>
      </c>
      <c r="Z144" s="272"/>
      <c r="AA144" s="272"/>
      <c r="AB144" s="288"/>
    </row>
    <row r="145" spans="1:28" ht="20.25" customHeight="1">
      <c r="A145" s="270">
        <v>144</v>
      </c>
      <c r="B145" s="276" t="s">
        <v>435</v>
      </c>
      <c r="C145" s="271" t="s">
        <v>27</v>
      </c>
      <c r="D145" s="270" t="s">
        <v>366</v>
      </c>
      <c r="E145" s="270" t="s">
        <v>436</v>
      </c>
      <c r="F145" s="272" t="str">
        <f>IF(D145="", "", _xlfn.XLOOKUP(D145, CLIENT_CODE!D:D, CLIENT_CODE!B:B, ""))</f>
        <v>SBI General Insurance Company Ltd</v>
      </c>
      <c r="G145" s="270" t="s">
        <v>437</v>
      </c>
      <c r="H145" s="340">
        <v>45992</v>
      </c>
      <c r="I145" s="272" t="str">
        <f t="shared" si="11"/>
        <v>Dec-25</v>
      </c>
      <c r="J145" s="272">
        <v>1</v>
      </c>
      <c r="K145" s="272">
        <v>0</v>
      </c>
      <c r="L145" s="272">
        <v>1</v>
      </c>
      <c r="M145" s="272">
        <v>0</v>
      </c>
      <c r="N145" s="272">
        <v>1</v>
      </c>
      <c r="O145" s="272">
        <v>0</v>
      </c>
      <c r="P145" s="272">
        <v>0</v>
      </c>
      <c r="Q145" s="272">
        <v>0</v>
      </c>
      <c r="R145" s="272">
        <v>1</v>
      </c>
      <c r="S145" s="272">
        <v>1</v>
      </c>
      <c r="T145" s="272">
        <v>0</v>
      </c>
      <c r="U145" s="272">
        <v>0</v>
      </c>
      <c r="V145" s="272">
        <v>0</v>
      </c>
      <c r="W145" s="272">
        <v>0</v>
      </c>
      <c r="X145" s="270">
        <v>0</v>
      </c>
      <c r="Y145" s="270">
        <f t="shared" si="12"/>
        <v>5</v>
      </c>
      <c r="Z145" s="272"/>
      <c r="AA145" s="272"/>
      <c r="AB145" s="288"/>
    </row>
    <row r="146" spans="1:28" ht="20.25" customHeight="1">
      <c r="A146" s="270">
        <v>145</v>
      </c>
      <c r="B146" s="286" t="s">
        <v>438</v>
      </c>
      <c r="C146" s="287" t="s">
        <v>27</v>
      </c>
      <c r="D146" s="288" t="s">
        <v>366</v>
      </c>
      <c r="E146" s="270" t="s">
        <v>439</v>
      </c>
      <c r="F146" s="272" t="str">
        <f>IF(D146="", "", _xlfn.XLOOKUP(D146, CLIENT_CODE!D:D, CLIENT_CODE!B:B, ""))</f>
        <v>SBI General Insurance Company Ltd</v>
      </c>
      <c r="G146" s="288" t="s">
        <v>440</v>
      </c>
      <c r="H146" s="341">
        <v>45993</v>
      </c>
      <c r="I146" s="272" t="str">
        <f>IF(ISBLANK(H146), "", TEXT(H146, "mmm-yy"))</f>
        <v>Dec-25</v>
      </c>
      <c r="J146" s="272">
        <v>1</v>
      </c>
      <c r="K146" s="272">
        <v>0</v>
      </c>
      <c r="L146" s="272">
        <v>1</v>
      </c>
      <c r="M146" s="272">
        <v>0</v>
      </c>
      <c r="N146" s="272">
        <v>1</v>
      </c>
      <c r="O146" s="272">
        <v>0</v>
      </c>
      <c r="P146" s="272">
        <v>0</v>
      </c>
      <c r="Q146" s="272">
        <v>0</v>
      </c>
      <c r="R146" s="272">
        <v>1</v>
      </c>
      <c r="S146" s="272">
        <v>1</v>
      </c>
      <c r="T146" s="272">
        <v>0</v>
      </c>
      <c r="U146" s="272">
        <v>0</v>
      </c>
      <c r="V146" s="272">
        <v>0</v>
      </c>
      <c r="W146" s="272">
        <v>0</v>
      </c>
      <c r="X146" s="270">
        <v>0</v>
      </c>
      <c r="Y146" s="270">
        <f t="shared" si="12"/>
        <v>5</v>
      </c>
      <c r="Z146" s="272"/>
      <c r="AA146" s="272"/>
      <c r="AB146" s="288"/>
    </row>
    <row r="147" spans="1:28" ht="20.25" customHeight="1">
      <c r="A147" s="270">
        <v>146</v>
      </c>
      <c r="B147" s="276" t="s">
        <v>66</v>
      </c>
      <c r="C147" s="271" t="s">
        <v>27</v>
      </c>
      <c r="D147" s="270" t="s">
        <v>366</v>
      </c>
      <c r="E147" s="270" t="s">
        <v>441</v>
      </c>
      <c r="F147" s="272" t="str">
        <f>IF(D147="", "", _xlfn.XLOOKUP(D147, CLIENT_CODE!D:D, CLIENT_CODE!B:B, ""))</f>
        <v>SBI General Insurance Company Ltd</v>
      </c>
      <c r="G147" s="270" t="s">
        <v>442</v>
      </c>
      <c r="H147" s="340">
        <v>45995</v>
      </c>
      <c r="I147" s="272" t="str">
        <f t="shared" si="11"/>
        <v>Dec-25</v>
      </c>
      <c r="J147" s="272">
        <v>0</v>
      </c>
      <c r="K147" s="272">
        <v>0</v>
      </c>
      <c r="L147" s="272">
        <v>0</v>
      </c>
      <c r="M147" s="272">
        <v>0</v>
      </c>
      <c r="N147" s="272">
        <v>0</v>
      </c>
      <c r="O147" s="272">
        <v>0</v>
      </c>
      <c r="P147" s="272">
        <v>0</v>
      </c>
      <c r="Q147" s="272">
        <v>0</v>
      </c>
      <c r="R147" s="272">
        <v>0</v>
      </c>
      <c r="S147" s="272">
        <v>0</v>
      </c>
      <c r="T147" s="272">
        <v>0</v>
      </c>
      <c r="U147" s="272">
        <v>0</v>
      </c>
      <c r="V147" s="272">
        <v>1</v>
      </c>
      <c r="W147" s="272">
        <v>0</v>
      </c>
      <c r="X147" s="270">
        <v>0</v>
      </c>
      <c r="Y147" s="270">
        <v>1</v>
      </c>
      <c r="Z147" s="272"/>
      <c r="AA147" s="272"/>
      <c r="AB147" s="288"/>
    </row>
    <row r="148" spans="1:28" ht="20.25" customHeight="1">
      <c r="A148" s="270">
        <v>147</v>
      </c>
      <c r="B148" s="276" t="s">
        <v>66</v>
      </c>
      <c r="C148" s="271" t="s">
        <v>27</v>
      </c>
      <c r="D148" s="270" t="s">
        <v>443</v>
      </c>
      <c r="E148" s="270" t="s">
        <v>444</v>
      </c>
      <c r="F148" s="272" t="str">
        <f>IF(D148="", "", _xlfn.XLOOKUP(D148, CLIENT_CODE!D:D, CLIENT_CODE!B:B, ""))</f>
        <v>Bajaj Allianz General Insurance Company Ltd</v>
      </c>
      <c r="G148" s="270" t="s">
        <v>445</v>
      </c>
      <c r="H148" s="340">
        <v>45995</v>
      </c>
      <c r="I148" s="272" t="str">
        <f t="shared" si="11"/>
        <v>Dec-25</v>
      </c>
      <c r="J148" s="272">
        <v>0</v>
      </c>
      <c r="K148" s="272">
        <v>0</v>
      </c>
      <c r="L148" s="272">
        <v>0</v>
      </c>
      <c r="M148" s="272">
        <v>0</v>
      </c>
      <c r="N148" s="272">
        <v>0</v>
      </c>
      <c r="O148" s="272">
        <v>0</v>
      </c>
      <c r="P148" s="272">
        <v>0</v>
      </c>
      <c r="Q148" s="272">
        <v>0</v>
      </c>
      <c r="R148" s="272">
        <v>0</v>
      </c>
      <c r="S148" s="272">
        <v>0</v>
      </c>
      <c r="T148" s="272">
        <v>0</v>
      </c>
      <c r="U148" s="272">
        <v>0</v>
      </c>
      <c r="V148" s="272">
        <v>1</v>
      </c>
      <c r="W148" s="272">
        <v>0</v>
      </c>
      <c r="X148" s="270">
        <v>0</v>
      </c>
      <c r="Y148" s="270">
        <v>1</v>
      </c>
      <c r="Z148" s="272"/>
      <c r="AA148" s="272"/>
      <c r="AB148" s="288"/>
    </row>
    <row r="149" spans="1:28" ht="20.25" customHeight="1">
      <c r="A149" s="270">
        <v>148</v>
      </c>
      <c r="B149" s="276" t="s">
        <v>149</v>
      </c>
      <c r="C149" s="271" t="s">
        <v>27</v>
      </c>
      <c r="D149" s="270" t="s">
        <v>38</v>
      </c>
      <c r="E149" s="270" t="s">
        <v>446</v>
      </c>
      <c r="F149" s="272" t="str">
        <f>IF(D149="", "", _xlfn.XLOOKUP(D149, CLIENT_CODE!D:D, CLIENT_CODE!B:B, ""))</f>
        <v>Generali Central Insurance Company Limited</v>
      </c>
      <c r="G149" s="270" t="s">
        <v>447</v>
      </c>
      <c r="H149" s="340">
        <v>45995</v>
      </c>
      <c r="I149" s="272" t="str">
        <f t="shared" si="11"/>
        <v>Dec-25</v>
      </c>
      <c r="J149" s="272">
        <v>1</v>
      </c>
      <c r="K149" s="272">
        <v>0</v>
      </c>
      <c r="L149" s="272">
        <v>1</v>
      </c>
      <c r="M149" s="272">
        <v>0</v>
      </c>
      <c r="N149" s="272">
        <v>1</v>
      </c>
      <c r="O149" s="272">
        <v>0</v>
      </c>
      <c r="P149" s="272">
        <v>0</v>
      </c>
      <c r="Q149" s="272">
        <v>0</v>
      </c>
      <c r="R149" s="272">
        <v>1</v>
      </c>
      <c r="S149" s="272">
        <v>1</v>
      </c>
      <c r="T149" s="272">
        <v>0</v>
      </c>
      <c r="U149" s="272">
        <v>0</v>
      </c>
      <c r="V149" s="272">
        <v>0</v>
      </c>
      <c r="W149" s="272">
        <v>0</v>
      </c>
      <c r="X149" s="270">
        <v>0</v>
      </c>
      <c r="Y149" s="270">
        <f t="shared" si="12"/>
        <v>5</v>
      </c>
      <c r="Z149" s="272"/>
      <c r="AA149" s="272"/>
      <c r="AB149" s="288"/>
    </row>
    <row r="150" spans="1:28" ht="20.25" customHeight="1">
      <c r="A150" s="270">
        <v>149</v>
      </c>
      <c r="B150" s="276" t="s">
        <v>66</v>
      </c>
      <c r="C150" s="271" t="s">
        <v>27</v>
      </c>
      <c r="D150" s="270" t="s">
        <v>38</v>
      </c>
      <c r="E150" s="270" t="s">
        <v>448</v>
      </c>
      <c r="F150" s="272" t="str">
        <f>IF(D150="", "", _xlfn.XLOOKUP(D150, CLIENT_CODE!D:D, CLIENT_CODE!B:B, ""))</f>
        <v>Generali Central Insurance Company Limited</v>
      </c>
      <c r="G150" s="270" t="s">
        <v>449</v>
      </c>
      <c r="H150" s="340">
        <v>45996</v>
      </c>
      <c r="I150" s="272" t="str">
        <f t="shared" si="11"/>
        <v>Dec-25</v>
      </c>
      <c r="J150" s="272">
        <v>0</v>
      </c>
      <c r="K150" s="272">
        <v>0</v>
      </c>
      <c r="L150" s="272">
        <v>0</v>
      </c>
      <c r="M150" s="272">
        <v>0</v>
      </c>
      <c r="N150" s="272">
        <v>0</v>
      </c>
      <c r="O150" s="272">
        <v>0</v>
      </c>
      <c r="P150" s="272">
        <v>0</v>
      </c>
      <c r="Q150" s="272">
        <v>0</v>
      </c>
      <c r="R150" s="272">
        <v>0</v>
      </c>
      <c r="S150" s="272">
        <v>0</v>
      </c>
      <c r="T150" s="272">
        <v>0</v>
      </c>
      <c r="U150" s="272">
        <v>0</v>
      </c>
      <c r="V150" s="272">
        <v>1</v>
      </c>
      <c r="W150" s="272">
        <v>0</v>
      </c>
      <c r="X150" s="270">
        <v>0</v>
      </c>
      <c r="Y150" s="270">
        <v>1</v>
      </c>
      <c r="Z150" s="272"/>
      <c r="AA150" s="272"/>
      <c r="AB150" s="288"/>
    </row>
    <row r="151" spans="1:28" ht="20.25" customHeight="1">
      <c r="A151" s="270">
        <v>150</v>
      </c>
      <c r="B151" s="276" t="s">
        <v>66</v>
      </c>
      <c r="C151" s="271" t="s">
        <v>27</v>
      </c>
      <c r="D151" s="270" t="s">
        <v>366</v>
      </c>
      <c r="E151" s="270" t="s">
        <v>450</v>
      </c>
      <c r="F151" s="272" t="str">
        <f>IF(D151="", "", _xlfn.XLOOKUP(D151, CLIENT_CODE!D:D, CLIENT_CODE!B:B, ""))</f>
        <v>SBI General Insurance Company Ltd</v>
      </c>
      <c r="G151" s="270" t="s">
        <v>451</v>
      </c>
      <c r="H151" s="340">
        <v>45996</v>
      </c>
      <c r="I151" s="272" t="str">
        <f t="shared" si="11"/>
        <v>Dec-25</v>
      </c>
      <c r="J151" s="272">
        <v>0</v>
      </c>
      <c r="K151" s="272">
        <v>0</v>
      </c>
      <c r="L151" s="272">
        <v>0</v>
      </c>
      <c r="M151" s="272">
        <v>0</v>
      </c>
      <c r="N151" s="272">
        <v>0</v>
      </c>
      <c r="O151" s="272">
        <v>0</v>
      </c>
      <c r="P151" s="272">
        <v>0</v>
      </c>
      <c r="Q151" s="272">
        <v>0</v>
      </c>
      <c r="R151" s="272">
        <v>0</v>
      </c>
      <c r="S151" s="272">
        <v>0</v>
      </c>
      <c r="T151" s="272">
        <v>0</v>
      </c>
      <c r="U151" s="272">
        <v>0</v>
      </c>
      <c r="V151" s="272">
        <v>1</v>
      </c>
      <c r="W151" s="272">
        <v>0</v>
      </c>
      <c r="X151" s="270">
        <v>0</v>
      </c>
      <c r="Y151" s="270">
        <v>1</v>
      </c>
      <c r="Z151" s="272"/>
      <c r="AA151" s="272"/>
      <c r="AB151" s="288"/>
    </row>
    <row r="152" spans="1:28" ht="20.25" customHeight="1">
      <c r="A152" s="270">
        <v>151</v>
      </c>
      <c r="B152" s="276" t="s">
        <v>452</v>
      </c>
      <c r="C152" s="271" t="s">
        <v>27</v>
      </c>
      <c r="D152" s="270" t="s">
        <v>53</v>
      </c>
      <c r="E152" s="270" t="s">
        <v>453</v>
      </c>
      <c r="F152" s="272" t="str">
        <f>IF(D152="", "", _xlfn.XLOOKUP(D152, CLIENT_CODE!D:D, CLIENT_CODE!B:B, ""))</f>
        <v>Indusind General Insurance Co Ltd</v>
      </c>
      <c r="G152" s="270" t="s">
        <v>454</v>
      </c>
      <c r="H152" s="340">
        <v>45997</v>
      </c>
      <c r="I152" s="272" t="str">
        <f t="shared" si="11"/>
        <v>Dec-25</v>
      </c>
      <c r="J152" s="272">
        <v>1</v>
      </c>
      <c r="K152" s="272">
        <v>0</v>
      </c>
      <c r="L152" s="272">
        <v>1</v>
      </c>
      <c r="M152" s="272">
        <v>0</v>
      </c>
      <c r="N152" s="272">
        <v>1</v>
      </c>
      <c r="O152" s="272">
        <v>0</v>
      </c>
      <c r="P152" s="272">
        <v>0</v>
      </c>
      <c r="Q152" s="272">
        <v>0</v>
      </c>
      <c r="R152" s="272">
        <v>1</v>
      </c>
      <c r="S152" s="272">
        <v>1</v>
      </c>
      <c r="T152" s="272">
        <v>0</v>
      </c>
      <c r="U152" s="272">
        <v>1</v>
      </c>
      <c r="V152" s="272">
        <v>0</v>
      </c>
      <c r="W152" s="272">
        <v>0</v>
      </c>
      <c r="X152" s="270">
        <v>0</v>
      </c>
      <c r="Y152" s="270">
        <f t="shared" si="12"/>
        <v>5</v>
      </c>
      <c r="Z152" s="272"/>
      <c r="AA152" s="272"/>
      <c r="AB152" s="288"/>
    </row>
    <row r="153" spans="1:28" ht="20.25" customHeight="1">
      <c r="A153" s="270">
        <v>152</v>
      </c>
      <c r="B153" s="276" t="s">
        <v>455</v>
      </c>
      <c r="C153" s="271" t="s">
        <v>27</v>
      </c>
      <c r="D153" s="270" t="s">
        <v>53</v>
      </c>
      <c r="E153" s="270" t="s">
        <v>456</v>
      </c>
      <c r="F153" s="272" t="str">
        <f>IF(D153="", "", _xlfn.XLOOKUP(D153, CLIENT_CODE!D:D, CLIENT_CODE!B:B, ""))</f>
        <v>Indusind General Insurance Co Ltd</v>
      </c>
      <c r="G153" s="270" t="s">
        <v>457</v>
      </c>
      <c r="H153" s="340">
        <v>45997</v>
      </c>
      <c r="I153" s="272" t="str">
        <f t="shared" si="11"/>
        <v>Dec-25</v>
      </c>
      <c r="J153" s="272">
        <v>0</v>
      </c>
      <c r="K153" s="272">
        <v>0</v>
      </c>
      <c r="L153" s="272">
        <v>0</v>
      </c>
      <c r="M153" s="272">
        <v>0</v>
      </c>
      <c r="N153" s="272">
        <v>0</v>
      </c>
      <c r="O153" s="272">
        <v>0</v>
      </c>
      <c r="P153" s="272">
        <v>0</v>
      </c>
      <c r="Q153" s="272">
        <v>0</v>
      </c>
      <c r="R153" s="272">
        <v>0</v>
      </c>
      <c r="S153" s="272">
        <v>1</v>
      </c>
      <c r="T153" s="272">
        <v>0</v>
      </c>
      <c r="U153" s="272">
        <v>0</v>
      </c>
      <c r="V153" s="272">
        <v>0</v>
      </c>
      <c r="W153" s="272">
        <v>0</v>
      </c>
      <c r="X153" s="270">
        <v>0</v>
      </c>
      <c r="Y153" s="270">
        <f t="shared" si="12"/>
        <v>1</v>
      </c>
      <c r="Z153" s="272"/>
      <c r="AA153" s="272"/>
      <c r="AB153" s="288"/>
    </row>
    <row r="154" spans="1:28" ht="20.25" customHeight="1">
      <c r="A154" s="270">
        <v>153</v>
      </c>
      <c r="B154" s="276" t="s">
        <v>458</v>
      </c>
      <c r="C154" s="271" t="s">
        <v>27</v>
      </c>
      <c r="D154" s="270" t="s">
        <v>53</v>
      </c>
      <c r="E154" s="270" t="s">
        <v>459</v>
      </c>
      <c r="F154" s="272" t="str">
        <f>IF(D154="", "", _xlfn.XLOOKUP(D154, CLIENT_CODE!D:D, CLIENT_CODE!B:B, ""))</f>
        <v>Indusind General Insurance Co Ltd</v>
      </c>
      <c r="G154" s="270" t="s">
        <v>460</v>
      </c>
      <c r="H154" s="340">
        <v>45997</v>
      </c>
      <c r="I154" s="272" t="str">
        <f t="shared" si="11"/>
        <v>Dec-25</v>
      </c>
      <c r="J154" s="272">
        <v>1</v>
      </c>
      <c r="K154" s="272">
        <v>0</v>
      </c>
      <c r="L154" s="272">
        <v>0</v>
      </c>
      <c r="M154" s="272">
        <v>0</v>
      </c>
      <c r="N154" s="272">
        <v>1</v>
      </c>
      <c r="O154" s="272">
        <v>0</v>
      </c>
      <c r="P154" s="272">
        <v>0</v>
      </c>
      <c r="Q154" s="272">
        <v>0</v>
      </c>
      <c r="R154" s="272">
        <v>0</v>
      </c>
      <c r="S154" s="272">
        <v>0</v>
      </c>
      <c r="T154" s="272">
        <v>0</v>
      </c>
      <c r="U154" s="272">
        <v>0</v>
      </c>
      <c r="V154" s="272">
        <v>0</v>
      </c>
      <c r="W154" s="272">
        <v>0</v>
      </c>
      <c r="X154" s="270">
        <v>0</v>
      </c>
      <c r="Y154" s="270">
        <f t="shared" si="12"/>
        <v>2</v>
      </c>
      <c r="Z154" s="272"/>
      <c r="AA154" s="272"/>
      <c r="AB154" s="288"/>
    </row>
    <row r="155" spans="1:28" ht="20.25" customHeight="1">
      <c r="A155" s="270">
        <v>154</v>
      </c>
      <c r="B155" s="276" t="s">
        <v>461</v>
      </c>
      <c r="C155" s="271" t="s">
        <v>27</v>
      </c>
      <c r="D155" s="270" t="s">
        <v>53</v>
      </c>
      <c r="E155" s="270" t="s">
        <v>462</v>
      </c>
      <c r="F155" s="272" t="str">
        <f>IF(D155="", "", _xlfn.XLOOKUP(D155, CLIENT_CODE!D:D, CLIENT_CODE!B:B, ""))</f>
        <v>Indusind General Insurance Co Ltd</v>
      </c>
      <c r="G155" s="270" t="s">
        <v>463</v>
      </c>
      <c r="H155" s="340">
        <v>45997</v>
      </c>
      <c r="I155" s="272" t="str">
        <f t="shared" si="11"/>
        <v>Dec-25</v>
      </c>
      <c r="J155" s="272">
        <v>1</v>
      </c>
      <c r="K155" s="272">
        <v>0</v>
      </c>
      <c r="L155" s="272">
        <v>1</v>
      </c>
      <c r="M155" s="272">
        <v>0</v>
      </c>
      <c r="N155" s="272">
        <v>1</v>
      </c>
      <c r="O155" s="272">
        <v>0</v>
      </c>
      <c r="P155" s="272">
        <v>0</v>
      </c>
      <c r="Q155" s="272">
        <v>0</v>
      </c>
      <c r="R155" s="272">
        <v>1</v>
      </c>
      <c r="S155" s="272">
        <v>1</v>
      </c>
      <c r="T155" s="272">
        <v>0</v>
      </c>
      <c r="U155" s="272">
        <v>0</v>
      </c>
      <c r="V155" s="272">
        <v>0</v>
      </c>
      <c r="W155" s="272">
        <v>0</v>
      </c>
      <c r="X155" s="270">
        <v>0</v>
      </c>
      <c r="Y155" s="270">
        <f t="shared" si="12"/>
        <v>5</v>
      </c>
      <c r="Z155" s="272"/>
      <c r="AA155" s="272"/>
      <c r="AB155" s="288"/>
    </row>
    <row r="156" spans="1:28" ht="20.25" customHeight="1">
      <c r="A156" s="270">
        <v>155</v>
      </c>
      <c r="B156" s="276" t="s">
        <v>66</v>
      </c>
      <c r="C156" s="271" t="s">
        <v>27</v>
      </c>
      <c r="D156" s="270" t="s">
        <v>366</v>
      </c>
      <c r="E156" s="270" t="s">
        <v>464</v>
      </c>
      <c r="F156" s="272" t="str">
        <f>IF(D156="", "", _xlfn.XLOOKUP(D156, CLIENT_CODE!D:D, CLIENT_CODE!B:B, ""))</f>
        <v>SBI General Insurance Company Ltd</v>
      </c>
      <c r="G156" s="270" t="s">
        <v>465</v>
      </c>
      <c r="H156" s="340">
        <v>45999</v>
      </c>
      <c r="I156" s="272" t="str">
        <f t="shared" si="11"/>
        <v>Dec-25</v>
      </c>
      <c r="J156" s="272">
        <v>0</v>
      </c>
      <c r="K156" s="272">
        <v>0</v>
      </c>
      <c r="L156" s="272">
        <v>0</v>
      </c>
      <c r="M156" s="272">
        <v>0</v>
      </c>
      <c r="N156" s="272">
        <v>0</v>
      </c>
      <c r="O156" s="272">
        <v>0</v>
      </c>
      <c r="P156" s="272">
        <v>0</v>
      </c>
      <c r="Q156" s="272">
        <v>0</v>
      </c>
      <c r="R156" s="272">
        <v>0</v>
      </c>
      <c r="S156" s="272">
        <v>0</v>
      </c>
      <c r="T156" s="272">
        <v>0</v>
      </c>
      <c r="U156" s="272">
        <v>0</v>
      </c>
      <c r="V156" s="272">
        <v>0</v>
      </c>
      <c r="W156" s="272">
        <v>0</v>
      </c>
      <c r="X156" s="270">
        <v>1</v>
      </c>
      <c r="Y156" s="270">
        <v>1</v>
      </c>
      <c r="Z156" s="272"/>
      <c r="AA156" s="272"/>
      <c r="AB156" s="288"/>
    </row>
    <row r="157" spans="1:28" ht="20.25" customHeight="1">
      <c r="A157" s="270">
        <v>156</v>
      </c>
      <c r="B157" s="276" t="s">
        <v>66</v>
      </c>
      <c r="C157" s="271" t="s">
        <v>27</v>
      </c>
      <c r="D157" s="270" t="s">
        <v>366</v>
      </c>
      <c r="E157" s="270" t="s">
        <v>466</v>
      </c>
      <c r="F157" s="272" t="str">
        <f>IF(D157="", "", _xlfn.XLOOKUP(D157, CLIENT_CODE!D:D, CLIENT_CODE!B:B, ""))</f>
        <v>SBI General Insurance Company Ltd</v>
      </c>
      <c r="G157" s="270" t="s">
        <v>467</v>
      </c>
      <c r="H157" s="340">
        <v>45999</v>
      </c>
      <c r="I157" s="272" t="str">
        <f t="shared" si="11"/>
        <v>Dec-25</v>
      </c>
      <c r="J157" s="272">
        <v>0</v>
      </c>
      <c r="K157" s="272">
        <v>0</v>
      </c>
      <c r="L157" s="272">
        <v>0</v>
      </c>
      <c r="M157" s="272">
        <v>0</v>
      </c>
      <c r="N157" s="272">
        <v>0</v>
      </c>
      <c r="O157" s="272">
        <v>0</v>
      </c>
      <c r="P157" s="272">
        <v>0</v>
      </c>
      <c r="Q157" s="272">
        <v>0</v>
      </c>
      <c r="R157" s="272">
        <v>0</v>
      </c>
      <c r="S157" s="272">
        <v>0</v>
      </c>
      <c r="T157" s="272">
        <v>0</v>
      </c>
      <c r="U157" s="272">
        <v>0</v>
      </c>
      <c r="V157" s="272">
        <v>0</v>
      </c>
      <c r="W157" s="272">
        <v>0</v>
      </c>
      <c r="X157" s="270">
        <v>1</v>
      </c>
      <c r="Y157" s="270">
        <v>1</v>
      </c>
      <c r="Z157" s="272"/>
      <c r="AA157" s="272"/>
      <c r="AB157" s="288"/>
    </row>
    <row r="158" spans="1:28" ht="20.25" customHeight="1">
      <c r="A158" s="270">
        <v>157</v>
      </c>
      <c r="B158" s="276" t="s">
        <v>66</v>
      </c>
      <c r="C158" s="271" t="s">
        <v>27</v>
      </c>
      <c r="D158" s="270" t="s">
        <v>366</v>
      </c>
      <c r="E158" s="270" t="s">
        <v>468</v>
      </c>
      <c r="F158" s="272" t="str">
        <f>IF(D158="", "", _xlfn.XLOOKUP(D158, CLIENT_CODE!D:D, CLIENT_CODE!B:B, ""))</f>
        <v>SBI General Insurance Company Ltd</v>
      </c>
      <c r="G158" s="270" t="s">
        <v>469</v>
      </c>
      <c r="H158" s="340">
        <v>45999</v>
      </c>
      <c r="I158" s="272" t="str">
        <f t="shared" si="11"/>
        <v>Dec-25</v>
      </c>
      <c r="J158" s="272">
        <v>0</v>
      </c>
      <c r="K158" s="272">
        <v>0</v>
      </c>
      <c r="L158" s="272">
        <v>0</v>
      </c>
      <c r="M158" s="272">
        <v>0</v>
      </c>
      <c r="N158" s="272">
        <v>0</v>
      </c>
      <c r="O158" s="272">
        <v>0</v>
      </c>
      <c r="P158" s="272">
        <v>0</v>
      </c>
      <c r="Q158" s="272">
        <v>0</v>
      </c>
      <c r="R158" s="272">
        <v>0</v>
      </c>
      <c r="S158" s="272">
        <v>0</v>
      </c>
      <c r="T158" s="272">
        <v>0</v>
      </c>
      <c r="U158" s="272">
        <v>0</v>
      </c>
      <c r="V158" s="272">
        <v>1</v>
      </c>
      <c r="W158" s="272">
        <v>0</v>
      </c>
      <c r="X158" s="270">
        <v>0</v>
      </c>
      <c r="Y158" s="270">
        <v>1</v>
      </c>
      <c r="Z158" s="272"/>
      <c r="AA158" s="272"/>
      <c r="AB158" s="288"/>
    </row>
    <row r="159" spans="1:28" ht="20.25" customHeight="1">
      <c r="A159" s="270">
        <v>158</v>
      </c>
      <c r="B159" s="276" t="s">
        <v>66</v>
      </c>
      <c r="C159" s="271" t="s">
        <v>27</v>
      </c>
      <c r="D159" s="270" t="s">
        <v>366</v>
      </c>
      <c r="E159" s="270" t="s">
        <v>470</v>
      </c>
      <c r="F159" s="272" t="str">
        <f>IF(D159="", "", _xlfn.XLOOKUP(D159, CLIENT_CODE!D:D, CLIENT_CODE!B:B, ""))</f>
        <v>SBI General Insurance Company Ltd</v>
      </c>
      <c r="G159" s="270" t="s">
        <v>471</v>
      </c>
      <c r="H159" s="340">
        <v>45999</v>
      </c>
      <c r="I159" s="272" t="str">
        <f>IF(ISBLANK(H159), "", TEXT(H159, "mmm-yy"))</f>
        <v>Dec-25</v>
      </c>
      <c r="J159" s="272">
        <v>0</v>
      </c>
      <c r="K159" s="272">
        <v>0</v>
      </c>
      <c r="L159" s="272">
        <v>0</v>
      </c>
      <c r="M159" s="272">
        <v>0</v>
      </c>
      <c r="N159" s="272">
        <v>0</v>
      </c>
      <c r="O159" s="272">
        <v>0</v>
      </c>
      <c r="P159" s="272">
        <v>0</v>
      </c>
      <c r="Q159" s="272">
        <v>0</v>
      </c>
      <c r="R159" s="272">
        <v>0</v>
      </c>
      <c r="S159" s="272">
        <v>0</v>
      </c>
      <c r="T159" s="272">
        <v>0</v>
      </c>
      <c r="U159" s="272">
        <v>0</v>
      </c>
      <c r="V159" s="272">
        <v>0</v>
      </c>
      <c r="W159" s="272">
        <v>0</v>
      </c>
      <c r="X159" s="270">
        <v>1</v>
      </c>
      <c r="Y159" s="270">
        <v>2</v>
      </c>
      <c r="Z159" s="272"/>
      <c r="AA159" s="272"/>
      <c r="AB159" s="288"/>
    </row>
    <row r="160" spans="1:28" ht="20.25" customHeight="1">
      <c r="A160" s="270">
        <v>159</v>
      </c>
      <c r="B160" s="276" t="s">
        <v>66</v>
      </c>
      <c r="C160" s="271" t="s">
        <v>27</v>
      </c>
      <c r="D160" s="270" t="s">
        <v>366</v>
      </c>
      <c r="E160" s="270" t="s">
        <v>472</v>
      </c>
      <c r="F160" s="272" t="str">
        <f>IF(D160="", "", _xlfn.XLOOKUP(D160, CLIENT_CODE!D:D, CLIENT_CODE!B:B, ""))</f>
        <v>SBI General Insurance Company Ltd</v>
      </c>
      <c r="G160" s="270" t="s">
        <v>473</v>
      </c>
      <c r="H160" s="340">
        <v>45999</v>
      </c>
      <c r="I160" s="272" t="str">
        <f>IF(ISBLANK(H160), "", TEXT(H160, "mmm-yy"))</f>
        <v>Dec-25</v>
      </c>
      <c r="J160" s="272">
        <v>0</v>
      </c>
      <c r="K160" s="272">
        <v>0</v>
      </c>
      <c r="L160" s="272">
        <v>0</v>
      </c>
      <c r="M160" s="272">
        <v>0</v>
      </c>
      <c r="N160" s="272">
        <v>0</v>
      </c>
      <c r="O160" s="272">
        <v>0</v>
      </c>
      <c r="P160" s="272">
        <v>0</v>
      </c>
      <c r="Q160" s="272">
        <v>0</v>
      </c>
      <c r="R160" s="272">
        <v>0</v>
      </c>
      <c r="S160" s="272">
        <v>0</v>
      </c>
      <c r="T160" s="272">
        <v>0</v>
      </c>
      <c r="U160" s="272">
        <v>0</v>
      </c>
      <c r="V160" s="272">
        <v>1</v>
      </c>
      <c r="W160" s="272">
        <v>0</v>
      </c>
      <c r="X160" s="270">
        <v>0</v>
      </c>
      <c r="Y160" s="270">
        <v>1</v>
      </c>
      <c r="Z160" s="272"/>
      <c r="AA160" s="272"/>
      <c r="AB160" s="288"/>
    </row>
    <row r="161" spans="1:28" ht="20.25" customHeight="1">
      <c r="A161" s="270">
        <v>160</v>
      </c>
      <c r="B161" s="276" t="s">
        <v>66</v>
      </c>
      <c r="C161" s="271" t="s">
        <v>27</v>
      </c>
      <c r="D161" s="270" t="s">
        <v>366</v>
      </c>
      <c r="E161" s="270" t="s">
        <v>474</v>
      </c>
      <c r="F161" s="272" t="str">
        <f>IF(D161="", "", _xlfn.XLOOKUP(D161, CLIENT_CODE!D:D, CLIENT_CODE!B:B, ""))</f>
        <v>SBI General Insurance Company Ltd</v>
      </c>
      <c r="G161" s="270" t="s">
        <v>475</v>
      </c>
      <c r="H161" s="340">
        <v>45999</v>
      </c>
      <c r="I161" s="272" t="str">
        <f>IF(ISBLANK(H161), "", TEXT(H161, "mmm-yy"))</f>
        <v>Dec-25</v>
      </c>
      <c r="J161" s="272">
        <v>0</v>
      </c>
      <c r="K161" s="272">
        <v>0</v>
      </c>
      <c r="L161" s="272">
        <v>0</v>
      </c>
      <c r="M161" s="272">
        <v>0</v>
      </c>
      <c r="N161" s="272">
        <v>0</v>
      </c>
      <c r="O161" s="272">
        <v>0</v>
      </c>
      <c r="P161" s="272">
        <v>0</v>
      </c>
      <c r="Q161" s="272">
        <v>0</v>
      </c>
      <c r="R161" s="272">
        <v>0</v>
      </c>
      <c r="S161" s="272">
        <v>0</v>
      </c>
      <c r="T161" s="272">
        <v>0</v>
      </c>
      <c r="U161" s="272">
        <v>0</v>
      </c>
      <c r="V161" s="272">
        <v>1</v>
      </c>
      <c r="W161" s="272">
        <v>0</v>
      </c>
      <c r="X161" s="270">
        <v>0</v>
      </c>
      <c r="Y161" s="270">
        <v>1</v>
      </c>
      <c r="Z161" s="272"/>
      <c r="AA161" s="272"/>
      <c r="AB161" s="288"/>
    </row>
    <row r="162" spans="1:28" ht="20.25" customHeight="1">
      <c r="A162" s="270">
        <v>161</v>
      </c>
      <c r="B162" s="276" t="s">
        <v>66</v>
      </c>
      <c r="C162" s="271" t="s">
        <v>27</v>
      </c>
      <c r="D162" s="270" t="s">
        <v>366</v>
      </c>
      <c r="E162" s="270" t="s">
        <v>476</v>
      </c>
      <c r="F162" s="272" t="str">
        <f>IF(D162="", "", _xlfn.XLOOKUP(D162, CLIENT_CODE!D:D, CLIENT_CODE!B:B, ""))</f>
        <v>SBI General Insurance Company Ltd</v>
      </c>
      <c r="G162" s="270" t="s">
        <v>477</v>
      </c>
      <c r="H162" s="340">
        <v>45999</v>
      </c>
      <c r="I162" s="272" t="str">
        <f>IF(ISBLANK(H162), "", TEXT(H162, "mmm-yy"))</f>
        <v>Dec-25</v>
      </c>
      <c r="J162" s="272">
        <v>0</v>
      </c>
      <c r="K162" s="272">
        <v>0</v>
      </c>
      <c r="L162" s="272">
        <v>0</v>
      </c>
      <c r="M162" s="272">
        <v>0</v>
      </c>
      <c r="N162" s="272">
        <v>0</v>
      </c>
      <c r="O162" s="272">
        <v>0</v>
      </c>
      <c r="P162" s="272">
        <v>0</v>
      </c>
      <c r="Q162" s="272">
        <v>0</v>
      </c>
      <c r="R162" s="272">
        <v>0</v>
      </c>
      <c r="S162" s="272">
        <v>0</v>
      </c>
      <c r="T162" s="272">
        <v>0</v>
      </c>
      <c r="U162" s="272">
        <v>0</v>
      </c>
      <c r="V162" s="272">
        <v>0</v>
      </c>
      <c r="W162" s="272">
        <v>0</v>
      </c>
      <c r="X162" s="270">
        <v>1</v>
      </c>
      <c r="Y162" s="270">
        <v>2</v>
      </c>
      <c r="Z162" s="272"/>
      <c r="AA162" s="272"/>
      <c r="AB162" s="288"/>
    </row>
    <row r="163" spans="1:28" ht="20.25" customHeight="1">
      <c r="A163" s="270">
        <v>162</v>
      </c>
      <c r="B163" s="276" t="s">
        <v>66</v>
      </c>
      <c r="C163" s="271" t="s">
        <v>27</v>
      </c>
      <c r="D163" s="270" t="s">
        <v>366</v>
      </c>
      <c r="E163" s="270" t="s">
        <v>478</v>
      </c>
      <c r="F163" s="272" t="str">
        <f>IF(D163="", "", _xlfn.XLOOKUP(D163, CLIENT_CODE!D:D, CLIENT_CODE!B:B, ""))</f>
        <v>SBI General Insurance Company Ltd</v>
      </c>
      <c r="G163" s="270" t="s">
        <v>479</v>
      </c>
      <c r="H163" s="340">
        <v>45999</v>
      </c>
      <c r="I163" s="272" t="str">
        <f>IF(ISBLANK(H163), "", TEXT(H163, "mmm-yy"))</f>
        <v>Dec-25</v>
      </c>
      <c r="J163" s="272">
        <v>0</v>
      </c>
      <c r="K163" s="272">
        <v>0</v>
      </c>
      <c r="L163" s="272">
        <v>0</v>
      </c>
      <c r="M163" s="272">
        <v>0</v>
      </c>
      <c r="N163" s="272">
        <v>0</v>
      </c>
      <c r="O163" s="272">
        <v>0</v>
      </c>
      <c r="P163" s="272">
        <v>0</v>
      </c>
      <c r="Q163" s="272">
        <v>0</v>
      </c>
      <c r="R163" s="272">
        <v>0</v>
      </c>
      <c r="S163" s="272">
        <v>0</v>
      </c>
      <c r="T163" s="272">
        <v>0</v>
      </c>
      <c r="U163" s="272">
        <v>0</v>
      </c>
      <c r="V163" s="272">
        <v>0</v>
      </c>
      <c r="W163" s="272">
        <v>0</v>
      </c>
      <c r="X163" s="270">
        <v>1</v>
      </c>
      <c r="Y163" s="270">
        <v>2</v>
      </c>
      <c r="Z163" s="272"/>
      <c r="AA163" s="272"/>
      <c r="AB163" s="288"/>
    </row>
    <row r="164" spans="1:28" ht="20.25" customHeight="1">
      <c r="A164" s="270">
        <v>163</v>
      </c>
      <c r="B164" s="328" t="s">
        <v>480</v>
      </c>
      <c r="C164" s="271" t="s">
        <v>27</v>
      </c>
      <c r="D164" s="270" t="s">
        <v>53</v>
      </c>
      <c r="E164" s="270" t="s">
        <v>481</v>
      </c>
      <c r="F164" s="272" t="str">
        <f>IF(D164="", "", _xlfn.XLOOKUP(D164, CLIENT_CODE!D:D, CLIENT_CODE!B:B, ""))</f>
        <v>Indusind General Insurance Co Ltd</v>
      </c>
      <c r="G164" s="270" t="s">
        <v>482</v>
      </c>
      <c r="H164" s="340">
        <v>45767</v>
      </c>
      <c r="I164" s="272" t="str">
        <f t="shared" si="11"/>
        <v>Apr-25</v>
      </c>
      <c r="J164" s="272">
        <v>0</v>
      </c>
      <c r="K164" s="272">
        <v>0</v>
      </c>
      <c r="L164" s="272">
        <v>0</v>
      </c>
      <c r="M164" s="272">
        <v>0</v>
      </c>
      <c r="N164" s="272">
        <v>0</v>
      </c>
      <c r="O164" s="272">
        <v>0</v>
      </c>
      <c r="P164" s="272">
        <v>0</v>
      </c>
      <c r="Q164" s="272">
        <v>0</v>
      </c>
      <c r="R164" s="272">
        <v>0</v>
      </c>
      <c r="S164" s="272">
        <v>1</v>
      </c>
      <c r="T164" s="272">
        <v>0</v>
      </c>
      <c r="U164" s="272">
        <v>0</v>
      </c>
      <c r="V164" s="272">
        <v>0</v>
      </c>
      <c r="W164" s="272">
        <v>0</v>
      </c>
      <c r="X164" s="270">
        <v>0</v>
      </c>
      <c r="Y164" s="270">
        <f t="shared" si="12"/>
        <v>1</v>
      </c>
      <c r="Z164" s="272"/>
      <c r="AA164" s="272"/>
      <c r="AB164" s="288"/>
    </row>
    <row r="165" spans="1:28" ht="20.25" customHeight="1">
      <c r="A165" s="270">
        <v>164</v>
      </c>
      <c r="B165" s="329" t="s">
        <v>483</v>
      </c>
      <c r="C165" s="271" t="s">
        <v>27</v>
      </c>
      <c r="D165" s="270" t="s">
        <v>53</v>
      </c>
      <c r="E165" s="270" t="s">
        <v>484</v>
      </c>
      <c r="F165" s="272" t="str">
        <f>IF(D165="", "", _xlfn.XLOOKUP(D165, CLIENT_CODE!D:D, CLIENT_CODE!B:B, ""))</f>
        <v>Indusind General Insurance Co Ltd</v>
      </c>
      <c r="G165" s="270" t="s">
        <v>485</v>
      </c>
      <c r="H165" s="340">
        <v>45734</v>
      </c>
      <c r="I165" s="272" t="str">
        <f t="shared" si="11"/>
        <v>Mar-25</v>
      </c>
      <c r="J165" s="272">
        <v>0</v>
      </c>
      <c r="K165" s="272">
        <v>0</v>
      </c>
      <c r="L165" s="272">
        <v>1</v>
      </c>
      <c r="M165" s="272">
        <v>0</v>
      </c>
      <c r="N165" s="272">
        <v>0</v>
      </c>
      <c r="O165" s="272">
        <v>0</v>
      </c>
      <c r="P165" s="272">
        <v>0</v>
      </c>
      <c r="Q165" s="272">
        <v>0</v>
      </c>
      <c r="R165" s="272">
        <v>0</v>
      </c>
      <c r="S165" s="272">
        <v>0</v>
      </c>
      <c r="T165" s="272">
        <v>0</v>
      </c>
      <c r="U165" s="272">
        <v>0</v>
      </c>
      <c r="V165" s="272">
        <v>0</v>
      </c>
      <c r="W165" s="272">
        <v>0</v>
      </c>
      <c r="X165" s="270">
        <v>0</v>
      </c>
      <c r="Y165" s="270">
        <f t="shared" si="12"/>
        <v>1</v>
      </c>
      <c r="Z165" s="272"/>
      <c r="AA165" s="272"/>
      <c r="AB165" s="288"/>
    </row>
    <row r="166" spans="1:28" ht="20.25" customHeight="1">
      <c r="A166" s="270">
        <v>165</v>
      </c>
      <c r="B166" s="329" t="s">
        <v>483</v>
      </c>
      <c r="C166" s="271" t="s">
        <v>27</v>
      </c>
      <c r="D166" s="270" t="s">
        <v>53</v>
      </c>
      <c r="E166" s="270" t="s">
        <v>486</v>
      </c>
      <c r="F166" s="272" t="str">
        <f>IF(D166="", "", _xlfn.XLOOKUP(D166, CLIENT_CODE!D:D, CLIENT_CODE!B:B, ""))</f>
        <v>Indusind General Insurance Co Ltd</v>
      </c>
      <c r="G166" s="270" t="s">
        <v>487</v>
      </c>
      <c r="H166" s="340">
        <v>45734</v>
      </c>
      <c r="I166" s="272" t="str">
        <f t="shared" si="11"/>
        <v>Mar-25</v>
      </c>
      <c r="J166" s="272">
        <v>1</v>
      </c>
      <c r="K166" s="272">
        <v>0</v>
      </c>
      <c r="L166" s="272">
        <v>1</v>
      </c>
      <c r="M166" s="272">
        <v>0</v>
      </c>
      <c r="N166" s="272">
        <v>1</v>
      </c>
      <c r="O166" s="272">
        <v>0</v>
      </c>
      <c r="P166" s="272">
        <v>0</v>
      </c>
      <c r="Q166" s="272">
        <v>0</v>
      </c>
      <c r="R166" s="272">
        <v>1</v>
      </c>
      <c r="S166" s="272">
        <v>1</v>
      </c>
      <c r="T166" s="272">
        <v>0</v>
      </c>
      <c r="U166" s="272">
        <v>0</v>
      </c>
      <c r="V166" s="272">
        <v>0</v>
      </c>
      <c r="W166" s="272">
        <v>0</v>
      </c>
      <c r="X166" s="270">
        <v>0</v>
      </c>
      <c r="Y166" s="270">
        <f t="shared" si="12"/>
        <v>5</v>
      </c>
      <c r="Z166" s="272"/>
      <c r="AA166" s="272"/>
      <c r="AB166" s="288"/>
    </row>
    <row r="167" spans="1:28" ht="20.25" customHeight="1">
      <c r="A167" s="270">
        <v>166</v>
      </c>
      <c r="B167" s="276" t="s">
        <v>66</v>
      </c>
      <c r="C167" s="271" t="s">
        <v>27</v>
      </c>
      <c r="D167" s="270" t="s">
        <v>53</v>
      </c>
      <c r="E167" s="270" t="s">
        <v>488</v>
      </c>
      <c r="F167" s="272" t="str">
        <f>IF(D167="", "", _xlfn.XLOOKUP(D167, CLIENT_CODE!D:D, CLIENT_CODE!B:B, ""))</f>
        <v>Indusind General Insurance Co Ltd</v>
      </c>
      <c r="G167" s="270" t="s">
        <v>489</v>
      </c>
      <c r="H167" s="340">
        <v>45551</v>
      </c>
      <c r="I167" s="272" t="str">
        <f t="shared" si="11"/>
        <v>Sep-24</v>
      </c>
      <c r="J167" s="272">
        <v>0</v>
      </c>
      <c r="K167" s="272">
        <v>0</v>
      </c>
      <c r="L167" s="272">
        <v>1</v>
      </c>
      <c r="M167" s="272">
        <v>0</v>
      </c>
      <c r="N167" s="272">
        <v>0</v>
      </c>
      <c r="O167" s="272">
        <v>0</v>
      </c>
      <c r="P167" s="272">
        <v>0</v>
      </c>
      <c r="Q167" s="272">
        <v>0</v>
      </c>
      <c r="R167" s="272">
        <v>0</v>
      </c>
      <c r="S167" s="272">
        <v>1</v>
      </c>
      <c r="T167" s="272">
        <v>0</v>
      </c>
      <c r="U167" s="272">
        <v>0</v>
      </c>
      <c r="V167" s="272">
        <v>0</v>
      </c>
      <c r="W167" s="272">
        <v>0</v>
      </c>
      <c r="X167" s="270">
        <v>0</v>
      </c>
      <c r="Y167" s="270">
        <v>2</v>
      </c>
      <c r="Z167" s="272"/>
      <c r="AA167" s="272"/>
      <c r="AB167" s="288"/>
    </row>
    <row r="168" spans="1:28" ht="20.25" customHeight="1">
      <c r="A168" s="270">
        <v>167</v>
      </c>
      <c r="B168" s="330" t="s">
        <v>490</v>
      </c>
      <c r="C168" s="271" t="s">
        <v>27</v>
      </c>
      <c r="D168" s="270" t="s">
        <v>53</v>
      </c>
      <c r="E168" s="270" t="s">
        <v>491</v>
      </c>
      <c r="F168" s="272" t="str">
        <f>IF(D168="", "", _xlfn.XLOOKUP(D168, CLIENT_CODE!D:D, CLIENT_CODE!B:B, ""))</f>
        <v>Indusind General Insurance Co Ltd</v>
      </c>
      <c r="G168" s="270" t="s">
        <v>492</v>
      </c>
      <c r="H168" s="340">
        <v>45719</v>
      </c>
      <c r="I168" s="272" t="str">
        <f t="shared" si="11"/>
        <v>Mar-25</v>
      </c>
      <c r="J168" s="272">
        <v>1</v>
      </c>
      <c r="K168" s="272">
        <v>0</v>
      </c>
      <c r="L168" s="272">
        <v>1</v>
      </c>
      <c r="M168" s="272">
        <v>0</v>
      </c>
      <c r="N168" s="272">
        <v>1</v>
      </c>
      <c r="O168" s="272">
        <v>0</v>
      </c>
      <c r="P168" s="272">
        <v>0</v>
      </c>
      <c r="Q168" s="272">
        <v>0</v>
      </c>
      <c r="R168" s="272">
        <v>1</v>
      </c>
      <c r="S168" s="272">
        <v>1</v>
      </c>
      <c r="T168" s="272">
        <v>0</v>
      </c>
      <c r="U168" s="272">
        <v>0</v>
      </c>
      <c r="V168" s="272">
        <v>0</v>
      </c>
      <c r="W168" s="272">
        <v>0</v>
      </c>
      <c r="X168" s="270">
        <v>0</v>
      </c>
      <c r="Y168" s="270">
        <f t="shared" si="12"/>
        <v>5</v>
      </c>
      <c r="Z168" s="272"/>
      <c r="AA168" s="272"/>
      <c r="AB168" s="288"/>
    </row>
    <row r="169" spans="1:28" ht="20.25" customHeight="1">
      <c r="A169" s="270">
        <v>168</v>
      </c>
      <c r="B169" s="329" t="s">
        <v>493</v>
      </c>
      <c r="C169" s="271" t="s">
        <v>27</v>
      </c>
      <c r="D169" s="270" t="s">
        <v>53</v>
      </c>
      <c r="E169" s="270" t="s">
        <v>494</v>
      </c>
      <c r="F169" s="272" t="str">
        <f>IF(D169="", "", _xlfn.XLOOKUP(D169, CLIENT_CODE!D:D, CLIENT_CODE!B:B, ""))</f>
        <v>Indusind General Insurance Co Ltd</v>
      </c>
      <c r="G169" s="270" t="s">
        <v>495</v>
      </c>
      <c r="H169" s="340">
        <v>45688</v>
      </c>
      <c r="I169" s="272" t="str">
        <f t="shared" si="11"/>
        <v>Jan-25</v>
      </c>
      <c r="J169" s="272">
        <v>1</v>
      </c>
      <c r="K169" s="272">
        <v>0</v>
      </c>
      <c r="L169" s="272">
        <v>1</v>
      </c>
      <c r="M169" s="272">
        <v>0</v>
      </c>
      <c r="N169" s="272">
        <v>1</v>
      </c>
      <c r="O169" s="272">
        <v>0</v>
      </c>
      <c r="P169" s="272">
        <v>0</v>
      </c>
      <c r="Q169" s="272">
        <v>0</v>
      </c>
      <c r="R169" s="272">
        <v>1</v>
      </c>
      <c r="S169" s="272">
        <v>1</v>
      </c>
      <c r="T169" s="272">
        <v>0</v>
      </c>
      <c r="U169" s="272">
        <v>0</v>
      </c>
      <c r="V169" s="272">
        <v>0</v>
      </c>
      <c r="W169" s="272">
        <v>0</v>
      </c>
      <c r="X169" s="270">
        <v>0</v>
      </c>
      <c r="Y169" s="270">
        <f t="shared" si="12"/>
        <v>5</v>
      </c>
      <c r="Z169" s="272"/>
      <c r="AA169" s="272"/>
      <c r="AB169" s="288"/>
    </row>
    <row r="170" spans="1:28" ht="20.25" customHeight="1">
      <c r="A170" s="270">
        <v>169</v>
      </c>
      <c r="B170" s="329" t="s">
        <v>496</v>
      </c>
      <c r="C170" s="271" t="s">
        <v>27</v>
      </c>
      <c r="D170" s="270" t="s">
        <v>53</v>
      </c>
      <c r="E170" s="270" t="s">
        <v>497</v>
      </c>
      <c r="F170" s="272" t="str">
        <f>IF(D170="", "", _xlfn.XLOOKUP(D170, CLIENT_CODE!D:D, CLIENT_CODE!B:B, ""))</f>
        <v>Indusind General Insurance Co Ltd</v>
      </c>
      <c r="G170" s="270" t="s">
        <v>498</v>
      </c>
      <c r="H170" s="340">
        <v>45681</v>
      </c>
      <c r="I170" s="272" t="str">
        <f t="shared" si="11"/>
        <v>Jan-25</v>
      </c>
      <c r="J170" s="272">
        <v>1</v>
      </c>
      <c r="K170" s="272">
        <v>0</v>
      </c>
      <c r="L170" s="272">
        <v>1</v>
      </c>
      <c r="M170" s="272">
        <v>0</v>
      </c>
      <c r="N170" s="272">
        <v>1</v>
      </c>
      <c r="O170" s="272">
        <v>0</v>
      </c>
      <c r="P170" s="272">
        <v>0</v>
      </c>
      <c r="Q170" s="272">
        <v>0</v>
      </c>
      <c r="R170" s="272">
        <v>1</v>
      </c>
      <c r="S170" s="272">
        <v>1</v>
      </c>
      <c r="T170" s="272">
        <v>0</v>
      </c>
      <c r="U170" s="272">
        <v>0</v>
      </c>
      <c r="V170" s="272">
        <v>0</v>
      </c>
      <c r="W170" s="272">
        <v>0</v>
      </c>
      <c r="X170" s="270">
        <v>0</v>
      </c>
      <c r="Y170" s="270">
        <f t="shared" si="12"/>
        <v>5</v>
      </c>
      <c r="Z170" s="272"/>
      <c r="AA170" s="272"/>
      <c r="AB170" s="288"/>
    </row>
    <row r="171" spans="1:28" ht="20.25" customHeight="1">
      <c r="A171" s="270">
        <v>170</v>
      </c>
      <c r="B171" s="329" t="s">
        <v>499</v>
      </c>
      <c r="C171" s="271" t="s">
        <v>27</v>
      </c>
      <c r="D171" s="270" t="s">
        <v>53</v>
      </c>
      <c r="E171" s="270" t="s">
        <v>500</v>
      </c>
      <c r="F171" s="272" t="str">
        <f>IF(D171="", "", _xlfn.XLOOKUP(D171, CLIENT_CODE!D:D, CLIENT_CODE!B:B, ""))</f>
        <v>Indusind General Insurance Co Ltd</v>
      </c>
      <c r="G171" s="270" t="s">
        <v>501</v>
      </c>
      <c r="H171" s="340">
        <v>45680</v>
      </c>
      <c r="I171" s="272" t="str">
        <f t="shared" si="11"/>
        <v>Jan-25</v>
      </c>
      <c r="J171" s="272">
        <v>1</v>
      </c>
      <c r="K171" s="272">
        <v>0</v>
      </c>
      <c r="L171" s="272">
        <v>1</v>
      </c>
      <c r="M171" s="272">
        <v>0</v>
      </c>
      <c r="N171" s="272">
        <v>1</v>
      </c>
      <c r="O171" s="272">
        <v>0</v>
      </c>
      <c r="P171" s="272">
        <v>0</v>
      </c>
      <c r="Q171" s="272">
        <v>0</v>
      </c>
      <c r="R171" s="272">
        <v>1</v>
      </c>
      <c r="S171" s="272">
        <v>1</v>
      </c>
      <c r="T171" s="272">
        <v>0</v>
      </c>
      <c r="U171" s="272">
        <v>0</v>
      </c>
      <c r="V171" s="272">
        <v>0</v>
      </c>
      <c r="W171" s="272">
        <v>0</v>
      </c>
      <c r="X171" s="270">
        <v>0</v>
      </c>
      <c r="Y171" s="270">
        <f t="shared" si="12"/>
        <v>5</v>
      </c>
      <c r="Z171" s="272"/>
      <c r="AA171" s="272"/>
      <c r="AB171" s="288"/>
    </row>
    <row r="172" spans="1:28" ht="20.25" customHeight="1">
      <c r="A172" s="270">
        <v>171</v>
      </c>
      <c r="B172" s="276" t="s">
        <v>66</v>
      </c>
      <c r="C172" s="271" t="s">
        <v>27</v>
      </c>
      <c r="D172" s="270" t="s">
        <v>366</v>
      </c>
      <c r="E172" s="270" t="s">
        <v>502</v>
      </c>
      <c r="F172" s="272" t="str">
        <f>IF(D172="", "", _xlfn.XLOOKUP(D172, CLIENT_CODE!D:D, CLIENT_CODE!B:B, ""))</f>
        <v>SBI General Insurance Company Ltd</v>
      </c>
      <c r="G172" s="270" t="s">
        <v>503</v>
      </c>
      <c r="H172" s="340">
        <v>46000</v>
      </c>
      <c r="I172" s="272" t="str">
        <f t="shared" si="11"/>
        <v>Dec-25</v>
      </c>
      <c r="J172" s="272">
        <v>0</v>
      </c>
      <c r="K172" s="272">
        <v>0</v>
      </c>
      <c r="L172" s="272">
        <v>0</v>
      </c>
      <c r="M172" s="272">
        <v>0</v>
      </c>
      <c r="N172" s="272">
        <v>0</v>
      </c>
      <c r="O172" s="272">
        <v>0</v>
      </c>
      <c r="P172" s="272">
        <v>0</v>
      </c>
      <c r="Q172" s="272">
        <v>0</v>
      </c>
      <c r="R172" s="272">
        <v>0</v>
      </c>
      <c r="S172" s="272">
        <v>0</v>
      </c>
      <c r="T172" s="272">
        <v>0</v>
      </c>
      <c r="U172" s="272">
        <v>0</v>
      </c>
      <c r="V172" s="272">
        <v>1</v>
      </c>
      <c r="W172" s="272">
        <v>0</v>
      </c>
      <c r="X172" s="270">
        <v>0</v>
      </c>
      <c r="Y172" s="270">
        <v>1</v>
      </c>
      <c r="Z172" s="272"/>
      <c r="AA172" s="272"/>
      <c r="AB172" s="288"/>
    </row>
    <row r="173" spans="1:28" ht="20.25" customHeight="1">
      <c r="A173" s="270">
        <v>172</v>
      </c>
      <c r="B173" s="276" t="s">
        <v>41</v>
      </c>
      <c r="C173" s="271" t="s">
        <v>27</v>
      </c>
      <c r="D173" s="270" t="s">
        <v>53</v>
      </c>
      <c r="E173" s="270" t="s">
        <v>504</v>
      </c>
      <c r="F173" s="272" t="str">
        <f>IF(D173="", "", _xlfn.XLOOKUP(D173, CLIENT_CODE!D:D, CLIENT_CODE!B:B, ""))</f>
        <v>Indusind General Insurance Co Ltd</v>
      </c>
      <c r="G173" s="270" t="s">
        <v>505</v>
      </c>
      <c r="H173" s="340">
        <v>45680</v>
      </c>
      <c r="I173" s="272" t="str">
        <f t="shared" si="11"/>
        <v>Jan-25</v>
      </c>
      <c r="J173" s="272">
        <v>0</v>
      </c>
      <c r="K173" s="272">
        <v>0</v>
      </c>
      <c r="L173" s="272">
        <v>1</v>
      </c>
      <c r="M173" s="272">
        <v>0</v>
      </c>
      <c r="N173" s="272">
        <v>0</v>
      </c>
      <c r="O173" s="272">
        <v>0</v>
      </c>
      <c r="P173" s="272">
        <v>0</v>
      </c>
      <c r="Q173" s="272">
        <v>0</v>
      </c>
      <c r="R173" s="272">
        <v>0</v>
      </c>
      <c r="S173" s="272">
        <v>0</v>
      </c>
      <c r="T173" s="272">
        <v>0</v>
      </c>
      <c r="U173" s="272">
        <v>0</v>
      </c>
      <c r="V173" s="272">
        <v>0</v>
      </c>
      <c r="W173" s="272">
        <v>0</v>
      </c>
      <c r="X173" s="270">
        <v>0</v>
      </c>
      <c r="Y173" s="270">
        <v>1</v>
      </c>
      <c r="Z173" s="272"/>
      <c r="AA173" s="272"/>
      <c r="AB173" s="288"/>
    </row>
    <row r="174" spans="1:28" ht="20.25" customHeight="1">
      <c r="A174" s="270">
        <v>173</v>
      </c>
      <c r="B174" s="329" t="s">
        <v>506</v>
      </c>
      <c r="C174" s="271" t="s">
        <v>27</v>
      </c>
      <c r="D174" s="270" t="s">
        <v>53</v>
      </c>
      <c r="E174" s="270" t="s">
        <v>507</v>
      </c>
      <c r="F174" s="272" t="str">
        <f>IF(D174="", "", _xlfn.XLOOKUP(D174, CLIENT_CODE!D:D, CLIENT_CODE!B:B, ""))</f>
        <v>Indusind General Insurance Co Ltd</v>
      </c>
      <c r="G174" s="270" t="s">
        <v>508</v>
      </c>
      <c r="H174" s="340">
        <v>45680</v>
      </c>
      <c r="I174" s="272" t="str">
        <f t="shared" si="11"/>
        <v>Jan-25</v>
      </c>
      <c r="J174" s="272">
        <v>1</v>
      </c>
      <c r="K174" s="272">
        <v>0</v>
      </c>
      <c r="L174" s="272">
        <v>1</v>
      </c>
      <c r="M174" s="272">
        <v>0</v>
      </c>
      <c r="N174" s="272">
        <v>1</v>
      </c>
      <c r="O174" s="272">
        <v>0</v>
      </c>
      <c r="P174" s="272">
        <v>0</v>
      </c>
      <c r="Q174" s="272">
        <v>0</v>
      </c>
      <c r="R174" s="272">
        <v>1</v>
      </c>
      <c r="S174" s="272">
        <v>1</v>
      </c>
      <c r="T174" s="272">
        <v>0</v>
      </c>
      <c r="U174" s="272">
        <v>0</v>
      </c>
      <c r="V174" s="272">
        <v>0</v>
      </c>
      <c r="W174" s="272">
        <v>0</v>
      </c>
      <c r="X174" s="270">
        <v>0</v>
      </c>
      <c r="Y174" s="270">
        <f>IF(COUNTA(J174:T174)=0, "", SUM(J174:T174))</f>
        <v>5</v>
      </c>
      <c r="Z174" s="272"/>
      <c r="AA174" s="272"/>
      <c r="AB174" s="288"/>
    </row>
    <row r="175" spans="1:28" ht="20.25" customHeight="1">
      <c r="A175" s="270">
        <v>174</v>
      </c>
      <c r="B175" s="343" t="s">
        <v>509</v>
      </c>
      <c r="C175" s="271" t="s">
        <v>27</v>
      </c>
      <c r="D175" s="270" t="s">
        <v>53</v>
      </c>
      <c r="E175" s="270" t="s">
        <v>510</v>
      </c>
      <c r="F175" s="272" t="str">
        <f>IF(D175="", "", _xlfn.XLOOKUP(D175, CLIENT_CODE!D:D, CLIENT_CODE!B:B, ""))</f>
        <v>Indusind General Insurance Co Ltd</v>
      </c>
      <c r="G175" s="270" t="s">
        <v>511</v>
      </c>
      <c r="H175" s="344">
        <v>45664</v>
      </c>
      <c r="I175" s="272" t="str">
        <f t="shared" si="11"/>
        <v>Jan-25</v>
      </c>
      <c r="J175" s="272">
        <v>1</v>
      </c>
      <c r="K175" s="272">
        <v>0</v>
      </c>
      <c r="L175" s="272">
        <v>1</v>
      </c>
      <c r="M175" s="272">
        <v>0</v>
      </c>
      <c r="N175" s="272">
        <v>1</v>
      </c>
      <c r="O175" s="272">
        <v>0</v>
      </c>
      <c r="P175" s="272">
        <v>0</v>
      </c>
      <c r="Q175" s="272">
        <v>0</v>
      </c>
      <c r="R175" s="272">
        <v>1</v>
      </c>
      <c r="S175" s="272">
        <v>1</v>
      </c>
      <c r="T175" s="272">
        <v>0</v>
      </c>
      <c r="U175" s="272">
        <v>0</v>
      </c>
      <c r="V175" s="272">
        <v>0</v>
      </c>
      <c r="W175" s="272">
        <v>0</v>
      </c>
      <c r="X175" s="270">
        <v>0</v>
      </c>
      <c r="Y175" s="270">
        <f t="shared" si="12"/>
        <v>5</v>
      </c>
      <c r="Z175" s="272"/>
      <c r="AA175" s="272"/>
      <c r="AB175" s="288"/>
    </row>
    <row r="176" spans="1:28" ht="20.25" customHeight="1">
      <c r="A176" s="270">
        <v>175</v>
      </c>
      <c r="B176" s="276" t="s">
        <v>512</v>
      </c>
      <c r="C176" s="271" t="s">
        <v>27</v>
      </c>
      <c r="D176" s="270" t="s">
        <v>38</v>
      </c>
      <c r="E176" s="270" t="s">
        <v>513</v>
      </c>
      <c r="F176" s="272" t="str">
        <f>IF(D176="", "", _xlfn.XLOOKUP(D176, CLIENT_CODE!D:D, CLIENT_CODE!B:B, ""))</f>
        <v>Generali Central Insurance Company Limited</v>
      </c>
      <c r="G176" s="270" t="s">
        <v>514</v>
      </c>
      <c r="H176" s="340">
        <v>46006</v>
      </c>
      <c r="I176" s="272" t="str">
        <f t="shared" si="11"/>
        <v>Dec-25</v>
      </c>
      <c r="J176" s="272">
        <v>1</v>
      </c>
      <c r="K176" s="272">
        <v>0</v>
      </c>
      <c r="L176" s="272">
        <v>1</v>
      </c>
      <c r="M176" s="272">
        <v>1</v>
      </c>
      <c r="N176" s="272">
        <v>1</v>
      </c>
      <c r="O176" s="272">
        <v>1</v>
      </c>
      <c r="P176" s="272">
        <v>1</v>
      </c>
      <c r="Q176" s="272">
        <v>0</v>
      </c>
      <c r="R176" s="272">
        <v>1</v>
      </c>
      <c r="S176" s="272">
        <v>1</v>
      </c>
      <c r="T176" s="272">
        <v>0</v>
      </c>
      <c r="U176" s="272">
        <v>0</v>
      </c>
      <c r="V176" s="272">
        <v>1</v>
      </c>
      <c r="W176" s="272">
        <v>0</v>
      </c>
      <c r="X176" s="270">
        <v>1</v>
      </c>
      <c r="Y176" s="270">
        <f t="shared" si="12"/>
        <v>8</v>
      </c>
      <c r="Z176" s="272"/>
      <c r="AA176" s="272"/>
      <c r="AB176" s="288"/>
    </row>
    <row r="177" spans="1:28" ht="20.25" customHeight="1">
      <c r="A177" s="270">
        <v>176</v>
      </c>
      <c r="B177" s="276" t="s">
        <v>515</v>
      </c>
      <c r="C177" s="271" t="s">
        <v>27</v>
      </c>
      <c r="D177" s="270" t="s">
        <v>53</v>
      </c>
      <c r="E177" s="270" t="s">
        <v>516</v>
      </c>
      <c r="F177" s="272" t="str">
        <f>IF(D177="", "", _xlfn.XLOOKUP(D177, CLIENT_CODE!D:D, CLIENT_CODE!B:B, ""))</f>
        <v>Indusind General Insurance Co Ltd</v>
      </c>
      <c r="G177" s="270" t="s">
        <v>517</v>
      </c>
      <c r="H177" s="340">
        <v>46007</v>
      </c>
      <c r="I177" s="272" t="str">
        <f t="shared" si="11"/>
        <v>Dec-25</v>
      </c>
      <c r="J177" s="272">
        <v>1</v>
      </c>
      <c r="K177" s="272">
        <v>0</v>
      </c>
      <c r="L177" s="272">
        <v>1</v>
      </c>
      <c r="M177" s="272">
        <v>0</v>
      </c>
      <c r="N177" s="272">
        <v>1</v>
      </c>
      <c r="O177" s="272">
        <v>0</v>
      </c>
      <c r="P177" s="272">
        <v>0</v>
      </c>
      <c r="Q177" s="272">
        <v>0</v>
      </c>
      <c r="R177" s="272">
        <v>1</v>
      </c>
      <c r="S177" s="272">
        <v>1</v>
      </c>
      <c r="T177" s="272">
        <v>0</v>
      </c>
      <c r="U177" s="272">
        <v>0</v>
      </c>
      <c r="V177" s="272">
        <v>0</v>
      </c>
      <c r="W177" s="272">
        <v>0</v>
      </c>
      <c r="X177" s="270">
        <v>0</v>
      </c>
      <c r="Y177" s="270">
        <f t="shared" si="12"/>
        <v>5</v>
      </c>
      <c r="Z177" s="272"/>
      <c r="AA177" s="272"/>
      <c r="AB177" s="288"/>
    </row>
    <row r="178" spans="1:28" ht="20.25" customHeight="1">
      <c r="A178" s="270">
        <v>177</v>
      </c>
      <c r="B178" s="276" t="s">
        <v>518</v>
      </c>
      <c r="C178" s="271" t="s">
        <v>27</v>
      </c>
      <c r="D178" s="270" t="s">
        <v>53</v>
      </c>
      <c r="E178" s="270" t="s">
        <v>519</v>
      </c>
      <c r="F178" s="272" t="str">
        <f>IF(D178="", "", _xlfn.XLOOKUP(D178, CLIENT_CODE!D:D, CLIENT_CODE!B:B, ""))</f>
        <v>Indusind General Insurance Co Ltd</v>
      </c>
      <c r="G178" s="270" t="s">
        <v>520</v>
      </c>
      <c r="H178" s="340">
        <v>46007</v>
      </c>
      <c r="I178" s="272" t="str">
        <f t="shared" si="11"/>
        <v>Dec-25</v>
      </c>
      <c r="J178" s="272">
        <v>1</v>
      </c>
      <c r="K178" s="272">
        <v>0</v>
      </c>
      <c r="L178" s="272">
        <v>1</v>
      </c>
      <c r="M178" s="272">
        <v>0</v>
      </c>
      <c r="N178" s="272">
        <v>1</v>
      </c>
      <c r="O178" s="272">
        <v>0</v>
      </c>
      <c r="P178" s="272">
        <v>0</v>
      </c>
      <c r="Q178" s="272">
        <v>0</v>
      </c>
      <c r="R178" s="272">
        <v>1</v>
      </c>
      <c r="S178" s="272">
        <v>1</v>
      </c>
      <c r="T178" s="272">
        <v>0</v>
      </c>
      <c r="U178" s="272">
        <v>0</v>
      </c>
      <c r="V178" s="272">
        <v>0</v>
      </c>
      <c r="W178" s="272">
        <v>0</v>
      </c>
      <c r="X178" s="270">
        <v>0</v>
      </c>
      <c r="Y178" s="270">
        <f t="shared" ref="Y178:Y190" si="14">IF(COUNTA(J178:T178)=0, "", SUM(J178:T178))</f>
        <v>5</v>
      </c>
      <c r="Z178" s="272"/>
      <c r="AA178" s="272"/>
      <c r="AB178" s="288"/>
    </row>
    <row r="179" spans="1:28" ht="20.25" customHeight="1">
      <c r="A179" s="270">
        <v>178</v>
      </c>
      <c r="B179" s="276" t="s">
        <v>521</v>
      </c>
      <c r="C179" s="271" t="s">
        <v>27</v>
      </c>
      <c r="D179" s="270" t="s">
        <v>53</v>
      </c>
      <c r="E179" s="270" t="s">
        <v>522</v>
      </c>
      <c r="F179" s="272" t="str">
        <f>IF(D179="", "", _xlfn.XLOOKUP(D179, CLIENT_CODE!D:D, CLIENT_CODE!B:B, ""))</f>
        <v>Indusind General Insurance Co Ltd</v>
      </c>
      <c r="G179" s="270" t="s">
        <v>523</v>
      </c>
      <c r="H179" s="340">
        <v>46007</v>
      </c>
      <c r="I179" s="272" t="str">
        <f t="shared" ref="I179:I190" si="15">IF(ISBLANK(H179), "", TEXT(H179, "mmm-yy"))</f>
        <v>Dec-25</v>
      </c>
      <c r="J179" s="272">
        <v>1</v>
      </c>
      <c r="K179" s="272">
        <v>0</v>
      </c>
      <c r="L179" s="272">
        <v>1</v>
      </c>
      <c r="M179" s="272">
        <v>0</v>
      </c>
      <c r="N179" s="272">
        <v>1</v>
      </c>
      <c r="O179" s="272">
        <v>0</v>
      </c>
      <c r="P179" s="272">
        <v>0</v>
      </c>
      <c r="Q179" s="272">
        <v>0</v>
      </c>
      <c r="R179" s="272">
        <v>1</v>
      </c>
      <c r="S179" s="272">
        <v>1</v>
      </c>
      <c r="T179" s="272">
        <v>0</v>
      </c>
      <c r="U179" s="272">
        <v>0</v>
      </c>
      <c r="V179" s="272">
        <v>0</v>
      </c>
      <c r="W179" s="272">
        <v>0</v>
      </c>
      <c r="X179" s="270">
        <v>0</v>
      </c>
      <c r="Y179" s="270">
        <f t="shared" si="14"/>
        <v>5</v>
      </c>
      <c r="Z179" s="272"/>
      <c r="AA179" s="272"/>
      <c r="AB179" s="288"/>
    </row>
    <row r="180" spans="1:28" ht="20.25" customHeight="1">
      <c r="A180" s="270">
        <v>179</v>
      </c>
      <c r="B180" s="276" t="s">
        <v>524</v>
      </c>
      <c r="C180" s="271" t="s">
        <v>27</v>
      </c>
      <c r="D180" s="270" t="s">
        <v>53</v>
      </c>
      <c r="E180" s="270" t="s">
        <v>525</v>
      </c>
      <c r="F180" s="272" t="str">
        <f>IF(D180="", "", _xlfn.XLOOKUP(D180, CLIENT_CODE!D:D, CLIENT_CODE!B:B, ""))</f>
        <v>Indusind General Insurance Co Ltd</v>
      </c>
      <c r="G180" s="270" t="s">
        <v>526</v>
      </c>
      <c r="H180" s="340">
        <v>46007</v>
      </c>
      <c r="I180" s="272" t="str">
        <f t="shared" si="15"/>
        <v>Dec-25</v>
      </c>
      <c r="J180" s="272">
        <v>1</v>
      </c>
      <c r="K180" s="272">
        <v>0</v>
      </c>
      <c r="L180" s="272">
        <v>1</v>
      </c>
      <c r="M180" s="272">
        <v>0</v>
      </c>
      <c r="N180" s="272">
        <v>1</v>
      </c>
      <c r="O180" s="272">
        <v>0</v>
      </c>
      <c r="P180" s="272">
        <v>0</v>
      </c>
      <c r="Q180" s="272">
        <v>0</v>
      </c>
      <c r="R180" s="272">
        <v>1</v>
      </c>
      <c r="S180" s="272">
        <v>1</v>
      </c>
      <c r="T180" s="272">
        <v>0</v>
      </c>
      <c r="U180" s="272">
        <v>0</v>
      </c>
      <c r="V180" s="272">
        <v>0</v>
      </c>
      <c r="W180" s="272">
        <v>0</v>
      </c>
      <c r="X180" s="270">
        <v>0</v>
      </c>
      <c r="Y180" s="270">
        <f t="shared" si="14"/>
        <v>5</v>
      </c>
      <c r="Z180" s="272"/>
      <c r="AA180" s="272"/>
      <c r="AB180" s="288"/>
    </row>
    <row r="181" spans="1:28" ht="20.25" customHeight="1">
      <c r="A181" s="270">
        <v>180</v>
      </c>
      <c r="B181" s="276" t="s">
        <v>527</v>
      </c>
      <c r="C181" s="271" t="s">
        <v>27</v>
      </c>
      <c r="D181" s="270" t="s">
        <v>53</v>
      </c>
      <c r="E181" s="270" t="s">
        <v>528</v>
      </c>
      <c r="F181" s="272" t="str">
        <f>IF(D181="", "", _xlfn.XLOOKUP(D181, CLIENT_CODE!D:D, CLIENT_CODE!B:B, ""))</f>
        <v>Indusind General Insurance Co Ltd</v>
      </c>
      <c r="G181" s="270" t="s">
        <v>529</v>
      </c>
      <c r="H181" s="340">
        <v>46007</v>
      </c>
      <c r="I181" s="272" t="str">
        <f t="shared" si="15"/>
        <v>Dec-25</v>
      </c>
      <c r="J181" s="272">
        <v>1</v>
      </c>
      <c r="K181" s="272">
        <v>0</v>
      </c>
      <c r="L181" s="272">
        <v>1</v>
      </c>
      <c r="M181" s="272">
        <v>0</v>
      </c>
      <c r="N181" s="272">
        <v>1</v>
      </c>
      <c r="O181" s="272">
        <v>0</v>
      </c>
      <c r="P181" s="272">
        <v>0</v>
      </c>
      <c r="Q181" s="272">
        <v>0</v>
      </c>
      <c r="R181" s="272">
        <v>1</v>
      </c>
      <c r="S181" s="272">
        <v>1</v>
      </c>
      <c r="T181" s="272">
        <v>0</v>
      </c>
      <c r="U181" s="272">
        <v>0</v>
      </c>
      <c r="V181" s="272">
        <v>0</v>
      </c>
      <c r="W181" s="272">
        <v>0</v>
      </c>
      <c r="X181" s="270">
        <v>0</v>
      </c>
      <c r="Y181" s="270">
        <f t="shared" si="14"/>
        <v>5</v>
      </c>
      <c r="Z181" s="272"/>
      <c r="AA181" s="272"/>
      <c r="AB181" s="288"/>
    </row>
    <row r="182" spans="1:28" ht="20.25" customHeight="1">
      <c r="A182" s="270">
        <v>181</v>
      </c>
      <c r="B182" s="276" t="s">
        <v>530</v>
      </c>
      <c r="C182" s="271" t="s">
        <v>27</v>
      </c>
      <c r="D182" s="270" t="s">
        <v>53</v>
      </c>
      <c r="E182" s="270" t="s">
        <v>531</v>
      </c>
      <c r="F182" s="272" t="str">
        <f>IF(D182="", "", _xlfn.XLOOKUP(D182, CLIENT_CODE!D:D, CLIENT_CODE!B:B, ""))</f>
        <v>Indusind General Insurance Co Ltd</v>
      </c>
      <c r="G182" s="270" t="s">
        <v>532</v>
      </c>
      <c r="H182" s="340">
        <v>46007</v>
      </c>
      <c r="I182" s="272" t="str">
        <f t="shared" si="15"/>
        <v>Dec-25</v>
      </c>
      <c r="J182" s="272">
        <v>1</v>
      </c>
      <c r="K182" s="272">
        <v>0</v>
      </c>
      <c r="L182" s="272">
        <v>1</v>
      </c>
      <c r="M182" s="272">
        <v>0</v>
      </c>
      <c r="N182" s="272">
        <v>1</v>
      </c>
      <c r="O182" s="272">
        <v>0</v>
      </c>
      <c r="P182" s="272">
        <v>0</v>
      </c>
      <c r="Q182" s="272">
        <v>0</v>
      </c>
      <c r="R182" s="272">
        <v>1</v>
      </c>
      <c r="S182" s="272">
        <v>1</v>
      </c>
      <c r="T182" s="272">
        <v>0</v>
      </c>
      <c r="U182" s="272">
        <v>0</v>
      </c>
      <c r="V182" s="272">
        <v>0</v>
      </c>
      <c r="W182" s="272">
        <v>0</v>
      </c>
      <c r="X182" s="270">
        <v>0</v>
      </c>
      <c r="Y182" s="270">
        <f t="shared" si="14"/>
        <v>5</v>
      </c>
      <c r="Z182" s="272"/>
      <c r="AA182" s="272"/>
      <c r="AB182" s="288"/>
    </row>
    <row r="183" spans="1:28" ht="20.25" customHeight="1">
      <c r="A183" s="270">
        <v>182</v>
      </c>
      <c r="B183" s="276" t="s">
        <v>533</v>
      </c>
      <c r="C183" s="271" t="s">
        <v>27</v>
      </c>
      <c r="D183" s="270" t="s">
        <v>53</v>
      </c>
      <c r="E183" s="270" t="s">
        <v>534</v>
      </c>
      <c r="F183" s="272" t="str">
        <f>IF(D183="", "", _xlfn.XLOOKUP(D183, CLIENT_CODE!D:D, CLIENT_CODE!B:B, ""))</f>
        <v>Indusind General Insurance Co Ltd</v>
      </c>
      <c r="G183" s="270" t="s">
        <v>535</v>
      </c>
      <c r="H183" s="340">
        <v>46007</v>
      </c>
      <c r="I183" s="272" t="str">
        <f t="shared" si="15"/>
        <v>Dec-25</v>
      </c>
      <c r="J183" s="272">
        <v>1</v>
      </c>
      <c r="K183" s="272">
        <v>0</v>
      </c>
      <c r="L183" s="272">
        <v>1</v>
      </c>
      <c r="M183" s="272">
        <v>0</v>
      </c>
      <c r="N183" s="272">
        <v>1</v>
      </c>
      <c r="O183" s="272">
        <v>0</v>
      </c>
      <c r="P183" s="272">
        <v>0</v>
      </c>
      <c r="Q183" s="272">
        <v>0</v>
      </c>
      <c r="R183" s="272">
        <v>1</v>
      </c>
      <c r="S183" s="272">
        <v>1</v>
      </c>
      <c r="T183" s="272">
        <v>0</v>
      </c>
      <c r="U183" s="272">
        <v>0</v>
      </c>
      <c r="V183" s="272">
        <v>0</v>
      </c>
      <c r="W183" s="272">
        <v>0</v>
      </c>
      <c r="X183" s="270">
        <v>0</v>
      </c>
      <c r="Y183" s="270">
        <f t="shared" si="14"/>
        <v>5</v>
      </c>
      <c r="Z183" s="272"/>
      <c r="AA183" s="272"/>
      <c r="AB183" s="288"/>
    </row>
    <row r="184" spans="1:28" ht="20.25" customHeight="1">
      <c r="A184" s="270">
        <v>183</v>
      </c>
      <c r="B184" s="276" t="s">
        <v>536</v>
      </c>
      <c r="C184" s="271" t="s">
        <v>27</v>
      </c>
      <c r="D184" s="270" t="s">
        <v>53</v>
      </c>
      <c r="E184" s="270" t="s">
        <v>537</v>
      </c>
      <c r="F184" s="272" t="str">
        <f>IF(D184="", "", _xlfn.XLOOKUP(D184, CLIENT_CODE!D:D, CLIENT_CODE!B:B, ""))</f>
        <v>Indusind General Insurance Co Ltd</v>
      </c>
      <c r="G184" s="270" t="s">
        <v>538</v>
      </c>
      <c r="H184" s="340">
        <v>46007</v>
      </c>
      <c r="I184" s="272" t="str">
        <f t="shared" si="15"/>
        <v>Dec-25</v>
      </c>
      <c r="J184" s="272">
        <v>1</v>
      </c>
      <c r="K184" s="272">
        <v>0</v>
      </c>
      <c r="L184" s="272">
        <v>1</v>
      </c>
      <c r="M184" s="272">
        <v>0</v>
      </c>
      <c r="N184" s="272">
        <v>1</v>
      </c>
      <c r="O184" s="272">
        <v>0</v>
      </c>
      <c r="P184" s="272">
        <v>0</v>
      </c>
      <c r="Q184" s="272">
        <v>0</v>
      </c>
      <c r="R184" s="272">
        <v>1</v>
      </c>
      <c r="S184" s="272">
        <v>1</v>
      </c>
      <c r="T184" s="272">
        <v>0</v>
      </c>
      <c r="U184" s="272">
        <v>0</v>
      </c>
      <c r="V184" s="272">
        <v>0</v>
      </c>
      <c r="W184" s="272">
        <v>0</v>
      </c>
      <c r="X184" s="270">
        <v>0</v>
      </c>
      <c r="Y184" s="270">
        <f t="shared" si="14"/>
        <v>5</v>
      </c>
      <c r="Z184" s="272"/>
      <c r="AA184" s="272"/>
      <c r="AB184" s="288"/>
    </row>
    <row r="185" spans="1:28" ht="20.25" customHeight="1">
      <c r="A185" s="270">
        <v>184</v>
      </c>
      <c r="B185" s="276" t="s">
        <v>539</v>
      </c>
      <c r="C185" s="271" t="s">
        <v>27</v>
      </c>
      <c r="D185" s="270" t="s">
        <v>53</v>
      </c>
      <c r="E185" s="270" t="s">
        <v>540</v>
      </c>
      <c r="F185" s="272" t="str">
        <f>IF(D185="", "", _xlfn.XLOOKUP(D185, CLIENT_CODE!D:D, CLIENT_CODE!B:B, ""))</f>
        <v>Indusind General Insurance Co Ltd</v>
      </c>
      <c r="G185" s="270" t="s">
        <v>541</v>
      </c>
      <c r="H185" s="340">
        <v>46007</v>
      </c>
      <c r="I185" s="272" t="str">
        <f t="shared" si="15"/>
        <v>Dec-25</v>
      </c>
      <c r="J185" s="272">
        <v>1</v>
      </c>
      <c r="K185" s="272">
        <v>0</v>
      </c>
      <c r="L185" s="272">
        <v>1</v>
      </c>
      <c r="M185" s="272">
        <v>0</v>
      </c>
      <c r="N185" s="272">
        <v>1</v>
      </c>
      <c r="O185" s="272">
        <v>0</v>
      </c>
      <c r="P185" s="272">
        <v>0</v>
      </c>
      <c r="Q185" s="272">
        <v>0</v>
      </c>
      <c r="R185" s="272">
        <v>1</v>
      </c>
      <c r="S185" s="272">
        <v>1</v>
      </c>
      <c r="T185" s="272">
        <v>0</v>
      </c>
      <c r="U185" s="272">
        <v>0</v>
      </c>
      <c r="V185" s="272">
        <v>0</v>
      </c>
      <c r="W185" s="272">
        <v>0</v>
      </c>
      <c r="X185" s="270">
        <v>0</v>
      </c>
      <c r="Y185" s="270">
        <f t="shared" si="14"/>
        <v>5</v>
      </c>
      <c r="Z185" s="272"/>
      <c r="AA185" s="272"/>
      <c r="AB185" s="288"/>
    </row>
    <row r="186" spans="1:28" ht="20.25" customHeight="1">
      <c r="A186" s="270">
        <v>185</v>
      </c>
      <c r="B186" s="276" t="s">
        <v>542</v>
      </c>
      <c r="C186" s="271" t="s">
        <v>27</v>
      </c>
      <c r="D186" s="270" t="s">
        <v>53</v>
      </c>
      <c r="E186" s="270" t="s">
        <v>543</v>
      </c>
      <c r="F186" s="272" t="str">
        <f>IF(D186="", "", _xlfn.XLOOKUP(D186, CLIENT_CODE!D:D, CLIENT_CODE!B:B, ""))</f>
        <v>Indusind General Insurance Co Ltd</v>
      </c>
      <c r="G186" s="270" t="s">
        <v>544</v>
      </c>
      <c r="H186" s="340">
        <v>46007</v>
      </c>
      <c r="I186" s="272" t="str">
        <f t="shared" si="15"/>
        <v>Dec-25</v>
      </c>
      <c r="J186" s="272">
        <v>1</v>
      </c>
      <c r="K186" s="272">
        <v>0</v>
      </c>
      <c r="L186" s="272">
        <v>1</v>
      </c>
      <c r="M186" s="272">
        <v>0</v>
      </c>
      <c r="N186" s="272">
        <v>1</v>
      </c>
      <c r="O186" s="272">
        <v>0</v>
      </c>
      <c r="P186" s="272">
        <v>0</v>
      </c>
      <c r="Q186" s="272">
        <v>0</v>
      </c>
      <c r="R186" s="272">
        <v>1</v>
      </c>
      <c r="S186" s="272">
        <v>1</v>
      </c>
      <c r="T186" s="272">
        <v>0</v>
      </c>
      <c r="U186" s="272">
        <v>0</v>
      </c>
      <c r="V186" s="272">
        <v>0</v>
      </c>
      <c r="W186" s="272">
        <v>0</v>
      </c>
      <c r="X186" s="270">
        <v>0</v>
      </c>
      <c r="Y186" s="270">
        <f t="shared" si="14"/>
        <v>5</v>
      </c>
      <c r="Z186" s="272"/>
      <c r="AA186" s="272"/>
      <c r="AB186" s="288"/>
    </row>
    <row r="187" spans="1:28" ht="20.25" customHeight="1">
      <c r="A187" s="270">
        <v>186</v>
      </c>
      <c r="B187" s="276" t="s">
        <v>545</v>
      </c>
      <c r="C187" s="271" t="s">
        <v>27</v>
      </c>
      <c r="D187" s="270" t="s">
        <v>53</v>
      </c>
      <c r="E187" s="270" t="s">
        <v>546</v>
      </c>
      <c r="F187" s="272" t="str">
        <f>IF(D187="", "", _xlfn.XLOOKUP(D187, CLIENT_CODE!D:D, CLIENT_CODE!B:B, ""))</f>
        <v>Indusind General Insurance Co Ltd</v>
      </c>
      <c r="G187" s="270" t="s">
        <v>547</v>
      </c>
      <c r="H187" s="340">
        <v>46007</v>
      </c>
      <c r="I187" s="272" t="str">
        <f t="shared" si="15"/>
        <v>Dec-25</v>
      </c>
      <c r="J187" s="272">
        <v>1</v>
      </c>
      <c r="K187" s="272">
        <v>0</v>
      </c>
      <c r="L187" s="272">
        <v>1</v>
      </c>
      <c r="M187" s="272">
        <v>0</v>
      </c>
      <c r="N187" s="272">
        <v>1</v>
      </c>
      <c r="O187" s="272">
        <v>0</v>
      </c>
      <c r="P187" s="272">
        <v>0</v>
      </c>
      <c r="Q187" s="272">
        <v>0</v>
      </c>
      <c r="R187" s="272">
        <v>1</v>
      </c>
      <c r="S187" s="272">
        <v>1</v>
      </c>
      <c r="T187" s="272">
        <v>0</v>
      </c>
      <c r="U187" s="272">
        <v>0</v>
      </c>
      <c r="V187" s="272">
        <v>0</v>
      </c>
      <c r="W187" s="272">
        <v>0</v>
      </c>
      <c r="X187" s="270">
        <v>0</v>
      </c>
      <c r="Y187" s="270">
        <f t="shared" si="14"/>
        <v>5</v>
      </c>
      <c r="Z187" s="272"/>
      <c r="AA187" s="272"/>
      <c r="AB187" s="288"/>
    </row>
    <row r="188" spans="1:28" ht="20.25" customHeight="1">
      <c r="A188" s="270">
        <v>187</v>
      </c>
      <c r="B188" s="276" t="s">
        <v>548</v>
      </c>
      <c r="C188" s="271" t="s">
        <v>27</v>
      </c>
      <c r="D188" s="270" t="s">
        <v>53</v>
      </c>
      <c r="E188" s="270" t="s">
        <v>549</v>
      </c>
      <c r="F188" s="272" t="str">
        <f>IF(D188="", "", _xlfn.XLOOKUP(D188, CLIENT_CODE!D:D, CLIENT_CODE!B:B, ""))</f>
        <v>Indusind General Insurance Co Ltd</v>
      </c>
      <c r="G188" s="270" t="s">
        <v>550</v>
      </c>
      <c r="H188" s="340">
        <v>46007</v>
      </c>
      <c r="I188" s="272" t="str">
        <f t="shared" si="15"/>
        <v>Dec-25</v>
      </c>
      <c r="J188" s="272">
        <v>1</v>
      </c>
      <c r="K188" s="272">
        <v>0</v>
      </c>
      <c r="L188" s="272">
        <v>1</v>
      </c>
      <c r="M188" s="272">
        <v>0</v>
      </c>
      <c r="N188" s="272">
        <v>1</v>
      </c>
      <c r="O188" s="272">
        <v>0</v>
      </c>
      <c r="P188" s="272">
        <v>0</v>
      </c>
      <c r="Q188" s="272">
        <v>0</v>
      </c>
      <c r="R188" s="272">
        <v>1</v>
      </c>
      <c r="S188" s="272">
        <v>1</v>
      </c>
      <c r="T188" s="272">
        <v>0</v>
      </c>
      <c r="U188" s="272">
        <v>0</v>
      </c>
      <c r="V188" s="272">
        <v>0</v>
      </c>
      <c r="W188" s="272">
        <v>0</v>
      </c>
      <c r="X188" s="270">
        <v>0</v>
      </c>
      <c r="Y188" s="270">
        <f t="shared" si="14"/>
        <v>5</v>
      </c>
      <c r="Z188" s="272"/>
      <c r="AA188" s="272"/>
      <c r="AB188" s="288"/>
    </row>
    <row r="189" spans="1:28" ht="20.25" customHeight="1">
      <c r="A189" s="270">
        <v>188</v>
      </c>
      <c r="B189" s="276" t="s">
        <v>551</v>
      </c>
      <c r="C189" s="271" t="s">
        <v>27</v>
      </c>
      <c r="D189" s="270" t="s">
        <v>53</v>
      </c>
      <c r="E189" s="270" t="s">
        <v>552</v>
      </c>
      <c r="F189" s="272" t="str">
        <f>IF(D189="", "", _xlfn.XLOOKUP(D189, CLIENT_CODE!D:D, CLIENT_CODE!B:B, ""))</f>
        <v>Indusind General Insurance Co Ltd</v>
      </c>
      <c r="G189" s="270" t="s">
        <v>553</v>
      </c>
      <c r="H189" s="340">
        <v>46007</v>
      </c>
      <c r="I189" s="272" t="str">
        <f t="shared" si="15"/>
        <v>Dec-25</v>
      </c>
      <c r="J189" s="272">
        <v>1</v>
      </c>
      <c r="K189" s="272">
        <v>0</v>
      </c>
      <c r="L189" s="272">
        <v>1</v>
      </c>
      <c r="M189" s="272">
        <v>0</v>
      </c>
      <c r="N189" s="272">
        <v>1</v>
      </c>
      <c r="O189" s="272">
        <v>0</v>
      </c>
      <c r="P189" s="272">
        <v>0</v>
      </c>
      <c r="Q189" s="272">
        <v>0</v>
      </c>
      <c r="R189" s="272">
        <v>1</v>
      </c>
      <c r="S189" s="272">
        <v>1</v>
      </c>
      <c r="T189" s="272">
        <v>0</v>
      </c>
      <c r="U189" s="272">
        <v>0</v>
      </c>
      <c r="V189" s="272">
        <v>0</v>
      </c>
      <c r="W189" s="272">
        <v>0</v>
      </c>
      <c r="X189" s="270">
        <v>0</v>
      </c>
      <c r="Y189" s="270">
        <f t="shared" si="14"/>
        <v>5</v>
      </c>
      <c r="Z189" s="272"/>
      <c r="AA189" s="272"/>
      <c r="AB189" s="288"/>
    </row>
    <row r="190" spans="1:28" ht="20.25" customHeight="1">
      <c r="A190" s="270">
        <v>189</v>
      </c>
      <c r="B190" s="276" t="s">
        <v>554</v>
      </c>
      <c r="C190" s="271" t="s">
        <v>27</v>
      </c>
      <c r="D190" s="270" t="s">
        <v>53</v>
      </c>
      <c r="E190" s="270" t="s">
        <v>555</v>
      </c>
      <c r="F190" s="272" t="str">
        <f>IF(D190="", "", _xlfn.XLOOKUP(D190, CLIENT_CODE!D:D, CLIENT_CODE!B:B, ""))</f>
        <v>Indusind General Insurance Co Ltd</v>
      </c>
      <c r="G190" s="270" t="s">
        <v>556</v>
      </c>
      <c r="H190" s="340">
        <v>46007</v>
      </c>
      <c r="I190" s="272" t="str">
        <f t="shared" si="15"/>
        <v>Dec-25</v>
      </c>
      <c r="J190" s="272">
        <v>1</v>
      </c>
      <c r="K190" s="272">
        <v>0</v>
      </c>
      <c r="L190" s="272">
        <v>1</v>
      </c>
      <c r="M190" s="272">
        <v>0</v>
      </c>
      <c r="N190" s="272">
        <v>1</v>
      </c>
      <c r="O190" s="272">
        <v>0</v>
      </c>
      <c r="P190" s="272">
        <v>0</v>
      </c>
      <c r="Q190" s="272">
        <v>0</v>
      </c>
      <c r="R190" s="272">
        <v>1</v>
      </c>
      <c r="S190" s="272">
        <v>1</v>
      </c>
      <c r="T190" s="272">
        <v>0</v>
      </c>
      <c r="U190" s="272">
        <v>0</v>
      </c>
      <c r="V190" s="272">
        <v>0</v>
      </c>
      <c r="W190" s="272">
        <v>0</v>
      </c>
      <c r="X190" s="270">
        <v>0</v>
      </c>
      <c r="Y190" s="270">
        <f t="shared" si="14"/>
        <v>5</v>
      </c>
      <c r="Z190" s="272"/>
      <c r="AA190" s="272"/>
      <c r="AB190" s="288"/>
    </row>
    <row r="191" spans="1:28" ht="20.25" customHeight="1">
      <c r="A191" s="270">
        <v>190</v>
      </c>
      <c r="B191" s="276" t="s">
        <v>557</v>
      </c>
      <c r="C191" s="271" t="s">
        <v>27</v>
      </c>
      <c r="D191" s="270" t="s">
        <v>53</v>
      </c>
      <c r="E191" s="270" t="s">
        <v>558</v>
      </c>
      <c r="F191" s="272" t="str">
        <f>IF(D191="", "", _xlfn.XLOOKUP(D191, CLIENT_CODE!D:D, CLIENT_CODE!B:B, ""))</f>
        <v>Indusind General Insurance Co Ltd</v>
      </c>
      <c r="G191" s="270" t="s">
        <v>559</v>
      </c>
      <c r="H191" s="340">
        <v>46008</v>
      </c>
      <c r="I191" s="272" t="str">
        <f t="shared" si="11"/>
        <v>Dec-25</v>
      </c>
      <c r="J191" s="272">
        <v>1</v>
      </c>
      <c r="K191" s="272">
        <v>0</v>
      </c>
      <c r="L191" s="272">
        <v>1</v>
      </c>
      <c r="M191" s="272">
        <v>0</v>
      </c>
      <c r="N191" s="272">
        <v>1</v>
      </c>
      <c r="O191" s="272">
        <v>0</v>
      </c>
      <c r="P191" s="272">
        <v>0</v>
      </c>
      <c r="Q191" s="272">
        <v>0</v>
      </c>
      <c r="R191" s="272">
        <v>1</v>
      </c>
      <c r="S191" s="272">
        <v>1</v>
      </c>
      <c r="T191" s="272">
        <v>0</v>
      </c>
      <c r="U191" s="272">
        <v>0</v>
      </c>
      <c r="V191" s="272">
        <v>0</v>
      </c>
      <c r="W191" s="272">
        <v>0</v>
      </c>
      <c r="X191" s="270">
        <v>0</v>
      </c>
      <c r="Y191" s="270">
        <f t="shared" ref="Y191" si="16">IF(COUNTA(J191:T191)=0, "", SUM(J191:T191))</f>
        <v>5</v>
      </c>
      <c r="Z191" s="272"/>
      <c r="AA191" s="272"/>
      <c r="AB191" s="288"/>
    </row>
    <row r="192" spans="1:28" ht="20.25" customHeight="1">
      <c r="A192" s="270">
        <v>191</v>
      </c>
      <c r="B192" s="276" t="s">
        <v>41</v>
      </c>
      <c r="C192" s="271" t="s">
        <v>27</v>
      </c>
      <c r="D192" s="270" t="s">
        <v>53</v>
      </c>
      <c r="E192" s="270" t="s">
        <v>560</v>
      </c>
      <c r="F192" s="272" t="str">
        <f>IF(D192="", "", _xlfn.XLOOKUP(D192, CLIENT_CODE!D:D, CLIENT_CODE!B:B, ""))</f>
        <v>Indusind General Insurance Co Ltd</v>
      </c>
      <c r="G192" s="270" t="s">
        <v>561</v>
      </c>
      <c r="H192" s="340">
        <v>46008</v>
      </c>
      <c r="I192" s="272" t="str">
        <f t="shared" ref="I192" si="17">IF(ISBLANK(H192), "", TEXT(H192, "mmm-yy"))</f>
        <v>Dec-25</v>
      </c>
      <c r="J192" s="272">
        <v>0</v>
      </c>
      <c r="K192" s="272">
        <v>0</v>
      </c>
      <c r="L192" s="272">
        <v>1</v>
      </c>
      <c r="M192" s="272">
        <v>0</v>
      </c>
      <c r="N192" s="272">
        <v>0</v>
      </c>
      <c r="O192" s="272">
        <v>0</v>
      </c>
      <c r="P192" s="272">
        <v>0</v>
      </c>
      <c r="Q192" s="272">
        <v>0</v>
      </c>
      <c r="R192" s="272">
        <v>0</v>
      </c>
      <c r="S192" s="272">
        <v>0</v>
      </c>
      <c r="T192" s="272">
        <v>0</v>
      </c>
      <c r="U192" s="272">
        <v>0</v>
      </c>
      <c r="V192" s="272">
        <v>0</v>
      </c>
      <c r="W192" s="272">
        <v>0</v>
      </c>
      <c r="X192" s="270">
        <v>0</v>
      </c>
      <c r="Y192" s="270">
        <f t="shared" si="12"/>
        <v>1</v>
      </c>
      <c r="Z192" s="272"/>
      <c r="AA192" s="272"/>
      <c r="AB192" s="288"/>
    </row>
    <row r="193" spans="1:28" ht="20.25" customHeight="1">
      <c r="A193" s="270">
        <v>192</v>
      </c>
      <c r="B193" s="276" t="s">
        <v>41</v>
      </c>
      <c r="C193" s="271" t="s">
        <v>27</v>
      </c>
      <c r="D193" s="270" t="s">
        <v>53</v>
      </c>
      <c r="E193" s="270" t="s">
        <v>562</v>
      </c>
      <c r="F193" s="272" t="str">
        <f>IF(D193="", "", _xlfn.XLOOKUP(D193, CLIENT_CODE!D:D, CLIENT_CODE!B:B, ""))</f>
        <v>Indusind General Insurance Co Ltd</v>
      </c>
      <c r="G193" s="270" t="s">
        <v>563</v>
      </c>
      <c r="H193" s="340">
        <v>46008</v>
      </c>
      <c r="I193" s="272" t="str">
        <f t="shared" ref="I193" si="18">IF(ISBLANK(H193), "", TEXT(H193, "mmm-yy"))</f>
        <v>Dec-25</v>
      </c>
      <c r="J193" s="272">
        <v>0</v>
      </c>
      <c r="K193" s="272">
        <v>0</v>
      </c>
      <c r="L193" s="272">
        <v>1</v>
      </c>
      <c r="M193" s="272">
        <v>0</v>
      </c>
      <c r="N193" s="272">
        <v>0</v>
      </c>
      <c r="O193" s="272">
        <v>0</v>
      </c>
      <c r="P193" s="272">
        <v>0</v>
      </c>
      <c r="Q193" s="272">
        <v>0</v>
      </c>
      <c r="R193" s="272">
        <v>0</v>
      </c>
      <c r="S193" s="272">
        <v>0</v>
      </c>
      <c r="T193" s="272">
        <v>0</v>
      </c>
      <c r="U193" s="272">
        <v>0</v>
      </c>
      <c r="V193" s="272">
        <v>0</v>
      </c>
      <c r="W193" s="272">
        <v>0</v>
      </c>
      <c r="X193" s="270">
        <v>0</v>
      </c>
      <c r="Y193" s="270">
        <f t="shared" ref="Y193" si="19">IF(COUNTA(J193:T193)=0, "", SUM(J193:T193))</f>
        <v>1</v>
      </c>
      <c r="Z193" s="272"/>
      <c r="AA193" s="272"/>
      <c r="AB193" s="288"/>
    </row>
    <row r="194" spans="1:28" ht="20.25" customHeight="1">
      <c r="A194" s="270">
        <v>193</v>
      </c>
      <c r="B194" s="276" t="s">
        <v>41</v>
      </c>
      <c r="C194" s="271" t="s">
        <v>27</v>
      </c>
      <c r="D194" s="270" t="s">
        <v>53</v>
      </c>
      <c r="E194" s="270" t="s">
        <v>564</v>
      </c>
      <c r="F194" s="272" t="str">
        <f>IF(D194="", "", _xlfn.XLOOKUP(D194, CLIENT_CODE!D:D, CLIENT_CODE!B:B, ""))</f>
        <v>Indusind General Insurance Co Ltd</v>
      </c>
      <c r="G194" s="270" t="s">
        <v>565</v>
      </c>
      <c r="H194" s="340">
        <v>46008</v>
      </c>
      <c r="I194" s="272" t="str">
        <f t="shared" ref="I194" si="20">IF(ISBLANK(H194), "", TEXT(H194, "mmm-yy"))</f>
        <v>Dec-25</v>
      </c>
      <c r="J194" s="272">
        <v>0</v>
      </c>
      <c r="K194" s="272">
        <v>0</v>
      </c>
      <c r="L194" s="272">
        <v>1</v>
      </c>
      <c r="M194" s="272">
        <v>0</v>
      </c>
      <c r="N194" s="272">
        <v>0</v>
      </c>
      <c r="O194" s="272">
        <v>0</v>
      </c>
      <c r="P194" s="272">
        <v>0</v>
      </c>
      <c r="Q194" s="272">
        <v>0</v>
      </c>
      <c r="R194" s="272">
        <v>0</v>
      </c>
      <c r="S194" s="272">
        <v>0</v>
      </c>
      <c r="T194" s="272">
        <v>0</v>
      </c>
      <c r="U194" s="272">
        <v>0</v>
      </c>
      <c r="V194" s="272">
        <v>0</v>
      </c>
      <c r="W194" s="272">
        <v>0</v>
      </c>
      <c r="X194" s="270">
        <v>0</v>
      </c>
      <c r="Y194" s="270">
        <f t="shared" ref="Y194" si="21">IF(COUNTA(J194:T194)=0, "", SUM(J194:T194))</f>
        <v>1</v>
      </c>
      <c r="Z194" s="272"/>
      <c r="AA194" s="272"/>
      <c r="AB194" s="288"/>
    </row>
    <row r="195" spans="1:28" ht="20.25" customHeight="1">
      <c r="A195" s="270">
        <v>194</v>
      </c>
      <c r="B195" s="317" t="s">
        <v>566</v>
      </c>
      <c r="C195" s="271" t="s">
        <v>27</v>
      </c>
      <c r="D195" s="270" t="s">
        <v>53</v>
      </c>
      <c r="E195" s="270" t="s">
        <v>567</v>
      </c>
      <c r="F195" s="272" t="str">
        <f>IF(D195="", "", _xlfn.XLOOKUP(D195, CLIENT_CODE!D:D, CLIENT_CODE!B:B, ""))</f>
        <v>Indusind General Insurance Co Ltd</v>
      </c>
      <c r="G195" s="270" t="s">
        <v>568</v>
      </c>
      <c r="H195" s="369">
        <v>45517</v>
      </c>
      <c r="I195" s="272" t="str">
        <f t="shared" si="11"/>
        <v>Aug-24</v>
      </c>
      <c r="J195" s="272">
        <v>1</v>
      </c>
      <c r="K195" s="272">
        <v>0</v>
      </c>
      <c r="L195" s="272">
        <v>1</v>
      </c>
      <c r="M195" s="272">
        <v>0</v>
      </c>
      <c r="N195" s="272">
        <v>1</v>
      </c>
      <c r="O195" s="272">
        <v>0</v>
      </c>
      <c r="P195" s="272">
        <v>0</v>
      </c>
      <c r="Q195" s="272">
        <v>0</v>
      </c>
      <c r="R195" s="272">
        <v>1</v>
      </c>
      <c r="S195" s="272">
        <v>0</v>
      </c>
      <c r="T195" s="272">
        <v>0</v>
      </c>
      <c r="U195" s="272">
        <v>0</v>
      </c>
      <c r="V195" s="272">
        <v>0</v>
      </c>
      <c r="W195" s="272">
        <v>0</v>
      </c>
      <c r="X195" s="270">
        <v>0</v>
      </c>
      <c r="Y195" s="270">
        <f>IF(COUNTA(J195:T195)=0, "", SUM(J195:T195))</f>
        <v>4</v>
      </c>
      <c r="Z195" s="272"/>
      <c r="AA195" s="272"/>
      <c r="AB195" s="288"/>
    </row>
    <row r="196" spans="1:28" ht="20.25" customHeight="1">
      <c r="A196" s="270">
        <v>195</v>
      </c>
      <c r="B196" s="317" t="s">
        <v>569</v>
      </c>
      <c r="C196" s="271" t="s">
        <v>27</v>
      </c>
      <c r="D196" s="270" t="s">
        <v>53</v>
      </c>
      <c r="E196" s="270" t="s">
        <v>570</v>
      </c>
      <c r="F196" s="272" t="str">
        <f>IF(D196="", "", _xlfn.XLOOKUP(D196, CLIENT_CODE!D:D, CLIENT_CODE!B:B, ""))</f>
        <v>Indusind General Insurance Co Ltd</v>
      </c>
      <c r="G196" s="270" t="s">
        <v>571</v>
      </c>
      <c r="H196" s="364">
        <v>45581</v>
      </c>
      <c r="I196" s="272" t="str">
        <f t="shared" si="11"/>
        <v>Oct-24</v>
      </c>
      <c r="J196" s="272">
        <v>1</v>
      </c>
      <c r="K196" s="272">
        <v>0</v>
      </c>
      <c r="L196" s="272">
        <v>1</v>
      </c>
      <c r="M196" s="272">
        <v>0</v>
      </c>
      <c r="N196" s="272">
        <v>1</v>
      </c>
      <c r="O196" s="272">
        <v>0</v>
      </c>
      <c r="P196" s="272">
        <v>0</v>
      </c>
      <c r="Q196" s="272">
        <v>0</v>
      </c>
      <c r="R196" s="272">
        <v>1</v>
      </c>
      <c r="S196" s="272">
        <v>0</v>
      </c>
      <c r="T196" s="272">
        <v>0</v>
      </c>
      <c r="U196" s="272">
        <v>0</v>
      </c>
      <c r="V196" s="272">
        <v>0</v>
      </c>
      <c r="W196" s="272">
        <v>0</v>
      </c>
      <c r="X196" s="270">
        <v>0</v>
      </c>
      <c r="Y196" s="270">
        <f>IF(COUNTA(J196:T196)=0, "", SUM(J196:T196))</f>
        <v>4</v>
      </c>
      <c r="Z196" s="272"/>
      <c r="AA196" s="272"/>
      <c r="AB196" s="288"/>
    </row>
    <row r="197" spans="1:28" ht="20.25" customHeight="1">
      <c r="A197" s="270">
        <v>196</v>
      </c>
      <c r="B197" s="332" t="s">
        <v>572</v>
      </c>
      <c r="C197" s="271" t="s">
        <v>27</v>
      </c>
      <c r="D197" s="270" t="s">
        <v>53</v>
      </c>
      <c r="E197" s="270" t="s">
        <v>573</v>
      </c>
      <c r="F197" s="272" t="str">
        <f>IF(D197="", "", _xlfn.XLOOKUP(D197, CLIENT_CODE!D:D, CLIENT_CODE!B:B, ""))</f>
        <v>Indusind General Insurance Co Ltd</v>
      </c>
      <c r="G197" s="270" t="s">
        <v>574</v>
      </c>
      <c r="H197" s="344">
        <v>45664</v>
      </c>
      <c r="I197" s="272" t="str">
        <f t="shared" ref="I197:I260" si="22">IF(ISBLANK(H197), "", TEXT(H197, "mmm-yy"))</f>
        <v>Jan-25</v>
      </c>
      <c r="J197" s="272">
        <v>1</v>
      </c>
      <c r="K197" s="272">
        <v>0</v>
      </c>
      <c r="L197" s="272">
        <v>1</v>
      </c>
      <c r="M197" s="272">
        <v>0</v>
      </c>
      <c r="N197" s="272">
        <v>1</v>
      </c>
      <c r="O197" s="272">
        <v>0</v>
      </c>
      <c r="P197" s="272">
        <v>0</v>
      </c>
      <c r="Q197" s="272">
        <v>0</v>
      </c>
      <c r="R197" s="272">
        <v>1</v>
      </c>
      <c r="S197" s="272">
        <v>0</v>
      </c>
      <c r="T197" s="272">
        <v>0</v>
      </c>
      <c r="U197" s="272">
        <v>0</v>
      </c>
      <c r="V197" s="272">
        <v>0</v>
      </c>
      <c r="W197" s="272">
        <v>0</v>
      </c>
      <c r="X197" s="270">
        <v>0</v>
      </c>
      <c r="Y197" s="270">
        <f t="shared" ref="Y197" si="23">IF(COUNTA(J197:T197)=0, "", SUM(J197:T197))</f>
        <v>4</v>
      </c>
      <c r="Z197" s="272"/>
      <c r="AA197" s="272"/>
      <c r="AB197" s="288"/>
    </row>
    <row r="198" spans="1:28" ht="20.25" customHeight="1">
      <c r="A198" s="270">
        <v>197</v>
      </c>
      <c r="B198" s="365" t="s">
        <v>575</v>
      </c>
      <c r="C198" s="271" t="s">
        <v>27</v>
      </c>
      <c r="D198" s="270" t="s">
        <v>53</v>
      </c>
      <c r="E198" s="270" t="s">
        <v>576</v>
      </c>
      <c r="F198" s="272" t="str">
        <f>IF(D198="", "", _xlfn.XLOOKUP(D198, CLIENT_CODE!D:D, CLIENT_CODE!B:B, ""))</f>
        <v>Indusind General Insurance Co Ltd</v>
      </c>
      <c r="G198" s="270" t="s">
        <v>577</v>
      </c>
      <c r="H198" s="340">
        <v>45688</v>
      </c>
      <c r="I198" s="272" t="str">
        <f t="shared" si="22"/>
        <v>Jan-25</v>
      </c>
      <c r="J198" s="272">
        <v>1</v>
      </c>
      <c r="K198" s="272">
        <v>0</v>
      </c>
      <c r="L198" s="272">
        <v>1</v>
      </c>
      <c r="M198" s="272">
        <v>0</v>
      </c>
      <c r="N198" s="272">
        <v>1</v>
      </c>
      <c r="O198" s="272">
        <v>0</v>
      </c>
      <c r="P198" s="272">
        <v>0</v>
      </c>
      <c r="Q198" s="272">
        <v>0</v>
      </c>
      <c r="R198" s="272">
        <v>0</v>
      </c>
      <c r="S198" s="272">
        <v>0</v>
      </c>
      <c r="T198" s="272">
        <v>0</v>
      </c>
      <c r="U198" s="272">
        <v>0</v>
      </c>
      <c r="V198" s="272">
        <v>0</v>
      </c>
      <c r="W198" s="272">
        <v>0</v>
      </c>
      <c r="X198" s="270">
        <v>0</v>
      </c>
      <c r="Y198" s="270">
        <f t="shared" ref="Y198:Y261" si="24">IF(COUNTA(J198:T198)=0, "", SUM(J198:T198))</f>
        <v>3</v>
      </c>
      <c r="Z198" s="272"/>
      <c r="AA198" s="272"/>
      <c r="AB198" s="288"/>
    </row>
    <row r="199" spans="1:28" ht="20.25" customHeight="1">
      <c r="A199" s="270">
        <v>198</v>
      </c>
      <c r="B199" s="276" t="s">
        <v>41</v>
      </c>
      <c r="C199" s="271" t="s">
        <v>27</v>
      </c>
      <c r="D199" s="270" t="s">
        <v>53</v>
      </c>
      <c r="E199" s="270" t="s">
        <v>578</v>
      </c>
      <c r="F199" s="272" t="str">
        <f>IF(D199="", "", _xlfn.XLOOKUP(D199, CLIENT_CODE!D:D, CLIENT_CODE!B:B, ""))</f>
        <v>Indusind General Insurance Co Ltd</v>
      </c>
      <c r="G199" s="270" t="s">
        <v>579</v>
      </c>
      <c r="H199" s="340">
        <v>45733</v>
      </c>
      <c r="I199" s="272"/>
      <c r="J199" s="272">
        <v>0</v>
      </c>
      <c r="K199" s="272">
        <v>0</v>
      </c>
      <c r="L199" s="272">
        <v>0</v>
      </c>
      <c r="M199" s="272">
        <v>0</v>
      </c>
      <c r="N199" s="272">
        <v>0</v>
      </c>
      <c r="O199" s="272">
        <v>0</v>
      </c>
      <c r="P199" s="272">
        <v>0</v>
      </c>
      <c r="Q199" s="272">
        <v>0</v>
      </c>
      <c r="R199" s="272">
        <v>0</v>
      </c>
      <c r="S199" s="272">
        <v>1</v>
      </c>
      <c r="T199" s="272">
        <v>0</v>
      </c>
      <c r="U199" s="272">
        <v>0</v>
      </c>
      <c r="V199" s="272">
        <v>0</v>
      </c>
      <c r="W199" s="272">
        <v>0</v>
      </c>
      <c r="X199" s="270">
        <v>0</v>
      </c>
      <c r="Y199" s="270">
        <v>1</v>
      </c>
      <c r="Z199" s="272"/>
      <c r="AA199" s="272"/>
      <c r="AB199" s="288"/>
    </row>
    <row r="200" spans="1:28" ht="20.25" customHeight="1">
      <c r="A200" s="270">
        <v>199</v>
      </c>
      <c r="B200" s="276" t="s">
        <v>580</v>
      </c>
      <c r="C200" s="271" t="s">
        <v>27</v>
      </c>
      <c r="D200" s="270" t="s">
        <v>38</v>
      </c>
      <c r="E200" s="270" t="s">
        <v>581</v>
      </c>
      <c r="F200" s="272" t="str">
        <f>IF(D200="", "", _xlfn.XLOOKUP(D200, CLIENT_CODE!D:D, CLIENT_CODE!B:B, ""))</f>
        <v>Generali Central Insurance Company Limited</v>
      </c>
      <c r="G200" s="270" t="s">
        <v>582</v>
      </c>
      <c r="H200" s="340">
        <v>46010</v>
      </c>
      <c r="I200" s="272" t="str">
        <f t="shared" si="22"/>
        <v>Dec-25</v>
      </c>
      <c r="J200" s="272">
        <v>1</v>
      </c>
      <c r="K200" s="272">
        <v>0</v>
      </c>
      <c r="L200" s="272">
        <v>1</v>
      </c>
      <c r="M200" s="272">
        <v>1</v>
      </c>
      <c r="N200" s="272">
        <v>1</v>
      </c>
      <c r="O200" s="272">
        <v>1</v>
      </c>
      <c r="P200" s="272">
        <v>1</v>
      </c>
      <c r="Q200" s="272">
        <v>0</v>
      </c>
      <c r="R200" s="272">
        <v>1</v>
      </c>
      <c r="S200" s="272">
        <v>1</v>
      </c>
      <c r="T200" s="272">
        <v>0</v>
      </c>
      <c r="U200" s="272">
        <v>0</v>
      </c>
      <c r="V200" s="272">
        <v>1</v>
      </c>
      <c r="W200" s="272">
        <v>0</v>
      </c>
      <c r="X200" s="270">
        <v>0</v>
      </c>
      <c r="Y200" s="270">
        <f t="shared" si="24"/>
        <v>8</v>
      </c>
      <c r="Z200" s="272"/>
      <c r="AA200" s="272"/>
      <c r="AB200" s="288"/>
    </row>
    <row r="201" spans="1:28" ht="20.25" customHeight="1">
      <c r="A201" s="270">
        <v>200</v>
      </c>
      <c r="B201" s="276" t="s">
        <v>41</v>
      </c>
      <c r="C201" s="271" t="s">
        <v>27</v>
      </c>
      <c r="D201" s="270" t="s">
        <v>53</v>
      </c>
      <c r="E201" s="270" t="s">
        <v>583</v>
      </c>
      <c r="F201" s="272" t="str">
        <f>IF(D201="", "", _xlfn.XLOOKUP(D201, CLIENT_CODE!D:D, CLIENT_CODE!B:B, ""))</f>
        <v>Indusind General Insurance Co Ltd</v>
      </c>
      <c r="G201" s="270" t="s">
        <v>584</v>
      </c>
      <c r="H201" s="340">
        <v>46010</v>
      </c>
      <c r="I201" s="272" t="str">
        <f t="shared" si="22"/>
        <v>Dec-25</v>
      </c>
      <c r="J201" s="272">
        <v>0</v>
      </c>
      <c r="K201" s="272">
        <v>0</v>
      </c>
      <c r="L201" s="272">
        <v>0</v>
      </c>
      <c r="M201" s="272">
        <v>0</v>
      </c>
      <c r="N201" s="272">
        <v>0</v>
      </c>
      <c r="O201" s="272">
        <v>0</v>
      </c>
      <c r="P201" s="272">
        <v>0</v>
      </c>
      <c r="Q201" s="272">
        <v>0</v>
      </c>
      <c r="R201" s="272">
        <v>0</v>
      </c>
      <c r="S201" s="272">
        <v>0</v>
      </c>
      <c r="T201" s="272">
        <v>0</v>
      </c>
      <c r="U201" s="272">
        <v>0</v>
      </c>
      <c r="V201" s="272">
        <v>1</v>
      </c>
      <c r="W201" s="272">
        <v>0</v>
      </c>
      <c r="X201" s="270">
        <v>0</v>
      </c>
      <c r="Y201" s="270">
        <v>1</v>
      </c>
      <c r="Z201" s="272"/>
      <c r="AA201" s="272"/>
      <c r="AB201" s="288"/>
    </row>
    <row r="202" spans="1:28" ht="20.25" customHeight="1">
      <c r="A202" s="270">
        <v>201</v>
      </c>
      <c r="B202" s="276" t="s">
        <v>585</v>
      </c>
      <c r="C202" s="271" t="s">
        <v>27</v>
      </c>
      <c r="D202" s="270" t="s">
        <v>38</v>
      </c>
      <c r="E202" s="270" t="s">
        <v>586</v>
      </c>
      <c r="F202" s="272" t="str">
        <f>IF(D202="", "", _xlfn.XLOOKUP(D202, CLIENT_CODE!D:D, CLIENT_CODE!B:B, ""))</f>
        <v>Generali Central Insurance Company Limited</v>
      </c>
      <c r="G202" s="270" t="s">
        <v>587</v>
      </c>
      <c r="H202" s="340">
        <v>46013</v>
      </c>
      <c r="I202" s="272" t="str">
        <f t="shared" si="22"/>
        <v>Dec-25</v>
      </c>
      <c r="J202" s="272">
        <v>1</v>
      </c>
      <c r="K202" s="272">
        <v>0</v>
      </c>
      <c r="L202" s="272">
        <v>0</v>
      </c>
      <c r="M202" s="272">
        <v>0</v>
      </c>
      <c r="N202" s="272">
        <v>1</v>
      </c>
      <c r="O202" s="272">
        <v>0</v>
      </c>
      <c r="P202" s="272">
        <v>0</v>
      </c>
      <c r="Q202" s="272">
        <v>0</v>
      </c>
      <c r="R202" s="272">
        <v>1</v>
      </c>
      <c r="S202" s="272">
        <v>1</v>
      </c>
      <c r="T202" s="272">
        <v>0</v>
      </c>
      <c r="U202" s="272">
        <v>0</v>
      </c>
      <c r="V202" s="272">
        <v>0</v>
      </c>
      <c r="W202" s="272">
        <v>0</v>
      </c>
      <c r="X202" s="270">
        <v>0</v>
      </c>
      <c r="Y202" s="270">
        <f t="shared" si="24"/>
        <v>4</v>
      </c>
      <c r="Z202" s="272"/>
      <c r="AA202" s="272"/>
      <c r="AB202" s="288"/>
    </row>
    <row r="203" spans="1:28" ht="20.25" customHeight="1">
      <c r="A203" s="270">
        <v>202</v>
      </c>
      <c r="B203" s="276" t="s">
        <v>588</v>
      </c>
      <c r="C203" s="271" t="s">
        <v>27</v>
      </c>
      <c r="D203" s="270" t="s">
        <v>366</v>
      </c>
      <c r="E203" s="270" t="s">
        <v>589</v>
      </c>
      <c r="F203" s="272" t="str">
        <f>IF(D203="", "", _xlfn.XLOOKUP(D203, CLIENT_CODE!D:D, CLIENT_CODE!B:B, ""))</f>
        <v>SBI General Insurance Company Ltd</v>
      </c>
      <c r="G203" s="270" t="s">
        <v>590</v>
      </c>
      <c r="H203" s="340">
        <v>46013</v>
      </c>
      <c r="I203" s="272" t="str">
        <f t="shared" si="22"/>
        <v>Dec-25</v>
      </c>
      <c r="J203" s="272">
        <v>1</v>
      </c>
      <c r="K203" s="272">
        <v>0</v>
      </c>
      <c r="L203" s="272">
        <v>1</v>
      </c>
      <c r="M203" s="272">
        <v>0</v>
      </c>
      <c r="N203" s="272">
        <v>1</v>
      </c>
      <c r="O203" s="272">
        <v>0</v>
      </c>
      <c r="P203" s="272">
        <v>0</v>
      </c>
      <c r="Q203" s="272">
        <v>0</v>
      </c>
      <c r="R203" s="272">
        <v>1</v>
      </c>
      <c r="S203" s="272">
        <v>1</v>
      </c>
      <c r="T203" s="272">
        <v>0</v>
      </c>
      <c r="U203" s="272">
        <v>0</v>
      </c>
      <c r="V203" s="272">
        <v>0</v>
      </c>
      <c r="W203" s="272">
        <v>0</v>
      </c>
      <c r="X203" s="270">
        <v>0</v>
      </c>
      <c r="Y203" s="270">
        <f t="shared" si="24"/>
        <v>5</v>
      </c>
      <c r="Z203" s="272"/>
      <c r="AA203" s="272"/>
      <c r="AB203" s="288"/>
    </row>
    <row r="204" spans="1:28" ht="20.25" customHeight="1">
      <c r="A204" s="270">
        <v>203</v>
      </c>
      <c r="B204" s="276" t="s">
        <v>591</v>
      </c>
      <c r="C204" s="271" t="s">
        <v>27</v>
      </c>
      <c r="D204" s="270" t="s">
        <v>53</v>
      </c>
      <c r="E204" s="270" t="s">
        <v>592</v>
      </c>
      <c r="F204" s="272" t="str">
        <f>IF(D204="", "", _xlfn.XLOOKUP(D204, CLIENT_CODE!D:D, CLIENT_CODE!B:B, ""))</f>
        <v>Indusind General Insurance Co Ltd</v>
      </c>
      <c r="G204" s="270" t="s">
        <v>593</v>
      </c>
      <c r="H204" s="340">
        <v>46013</v>
      </c>
      <c r="I204" s="272" t="str">
        <f t="shared" si="22"/>
        <v>Dec-25</v>
      </c>
      <c r="J204" s="272">
        <v>1</v>
      </c>
      <c r="K204" s="272">
        <v>0</v>
      </c>
      <c r="L204" s="272">
        <v>1</v>
      </c>
      <c r="M204" s="272">
        <v>0</v>
      </c>
      <c r="N204" s="272">
        <v>0</v>
      </c>
      <c r="O204" s="272">
        <v>0</v>
      </c>
      <c r="P204" s="272">
        <v>0</v>
      </c>
      <c r="Q204" s="272">
        <v>0</v>
      </c>
      <c r="R204" s="272">
        <v>1</v>
      </c>
      <c r="S204" s="272">
        <v>1</v>
      </c>
      <c r="T204" s="272">
        <v>0</v>
      </c>
      <c r="U204" s="272">
        <v>0</v>
      </c>
      <c r="V204" s="272">
        <v>0</v>
      </c>
      <c r="W204" s="272">
        <v>0</v>
      </c>
      <c r="X204" s="270">
        <v>0</v>
      </c>
      <c r="Y204" s="270">
        <f t="shared" si="24"/>
        <v>4</v>
      </c>
      <c r="Z204" s="272"/>
      <c r="AA204" s="272"/>
      <c r="AB204" s="288"/>
    </row>
    <row r="205" spans="1:28" ht="20.25" customHeight="1">
      <c r="A205" s="270">
        <v>204</v>
      </c>
      <c r="B205" s="276" t="s">
        <v>594</v>
      </c>
      <c r="C205" s="271" t="s">
        <v>27</v>
      </c>
      <c r="D205" s="270" t="s">
        <v>53</v>
      </c>
      <c r="E205" s="270" t="s">
        <v>595</v>
      </c>
      <c r="F205" s="272" t="str">
        <f>IF(D205="", "", _xlfn.XLOOKUP(D205, CLIENT_CODE!D:D, CLIENT_CODE!B:B, ""))</f>
        <v>Indusind General Insurance Co Ltd</v>
      </c>
      <c r="G205" s="270" t="s">
        <v>596</v>
      </c>
      <c r="H205" s="340">
        <v>46013</v>
      </c>
      <c r="I205" s="272" t="str">
        <f t="shared" si="22"/>
        <v>Dec-25</v>
      </c>
      <c r="J205" s="272">
        <v>1</v>
      </c>
      <c r="K205" s="272">
        <v>0</v>
      </c>
      <c r="L205" s="272">
        <v>1</v>
      </c>
      <c r="M205" s="272">
        <v>0</v>
      </c>
      <c r="N205" s="272">
        <v>1</v>
      </c>
      <c r="O205" s="272">
        <v>0</v>
      </c>
      <c r="P205" s="272">
        <v>0</v>
      </c>
      <c r="Q205" s="272">
        <v>0</v>
      </c>
      <c r="R205" s="272">
        <v>1</v>
      </c>
      <c r="S205" s="272">
        <v>1</v>
      </c>
      <c r="T205" s="272">
        <v>0</v>
      </c>
      <c r="U205" s="272">
        <v>0</v>
      </c>
      <c r="V205" s="272">
        <v>0</v>
      </c>
      <c r="W205" s="272">
        <v>0</v>
      </c>
      <c r="X205" s="270">
        <v>0</v>
      </c>
      <c r="Y205" s="270">
        <f t="shared" si="24"/>
        <v>5</v>
      </c>
      <c r="Z205" s="272"/>
      <c r="AA205" s="272"/>
      <c r="AB205" s="288"/>
    </row>
    <row r="206" spans="1:28" ht="20.25" customHeight="1">
      <c r="A206" s="270">
        <v>205</v>
      </c>
      <c r="B206" s="276" t="s">
        <v>597</v>
      </c>
      <c r="C206" s="271" t="s">
        <v>27</v>
      </c>
      <c r="D206" s="270" t="s">
        <v>53</v>
      </c>
      <c r="E206" s="270" t="s">
        <v>598</v>
      </c>
      <c r="F206" s="272" t="str">
        <f>IF(D206="", "", _xlfn.XLOOKUP(D206, CLIENT_CODE!D:D, CLIENT_CODE!B:B, ""))</f>
        <v>Indusind General Insurance Co Ltd</v>
      </c>
      <c r="G206" s="270" t="s">
        <v>599</v>
      </c>
      <c r="H206" s="340">
        <v>46013</v>
      </c>
      <c r="I206" s="272" t="str">
        <f t="shared" si="22"/>
        <v>Dec-25</v>
      </c>
      <c r="J206" s="272">
        <v>1</v>
      </c>
      <c r="K206" s="272">
        <v>0</v>
      </c>
      <c r="L206" s="272">
        <v>1</v>
      </c>
      <c r="M206" s="272">
        <v>0</v>
      </c>
      <c r="N206" s="272">
        <v>0</v>
      </c>
      <c r="O206" s="272">
        <v>0</v>
      </c>
      <c r="P206" s="272">
        <v>0</v>
      </c>
      <c r="Q206" s="272">
        <v>0</v>
      </c>
      <c r="R206" s="272">
        <v>1</v>
      </c>
      <c r="S206" s="272">
        <v>1</v>
      </c>
      <c r="T206" s="272">
        <v>0</v>
      </c>
      <c r="U206" s="272">
        <v>0</v>
      </c>
      <c r="V206" s="272">
        <v>0</v>
      </c>
      <c r="W206" s="272">
        <v>0</v>
      </c>
      <c r="X206" s="270">
        <v>0</v>
      </c>
      <c r="Y206" s="270">
        <f t="shared" si="24"/>
        <v>4</v>
      </c>
      <c r="Z206" s="272"/>
      <c r="AA206" s="272"/>
      <c r="AB206" s="288"/>
    </row>
    <row r="207" spans="1:28" ht="20.25" customHeight="1">
      <c r="A207" s="270">
        <v>206</v>
      </c>
      <c r="B207" s="276" t="s">
        <v>600</v>
      </c>
      <c r="C207" s="271" t="s">
        <v>27</v>
      </c>
      <c r="D207" s="270" t="s">
        <v>53</v>
      </c>
      <c r="E207" s="270" t="s">
        <v>601</v>
      </c>
      <c r="F207" s="272" t="str">
        <f>IF(D207="", "", _xlfn.XLOOKUP(D207, CLIENT_CODE!D:D, CLIENT_CODE!B:B, ""))</f>
        <v>Indusind General Insurance Co Ltd</v>
      </c>
      <c r="G207" s="270" t="s">
        <v>602</v>
      </c>
      <c r="H207" s="340">
        <v>46013</v>
      </c>
      <c r="I207" s="272" t="str">
        <f t="shared" si="22"/>
        <v>Dec-25</v>
      </c>
      <c r="J207" s="272">
        <v>1</v>
      </c>
      <c r="K207" s="272">
        <v>0</v>
      </c>
      <c r="L207" s="272">
        <v>1</v>
      </c>
      <c r="M207" s="272">
        <v>0</v>
      </c>
      <c r="N207" s="272">
        <v>0</v>
      </c>
      <c r="O207" s="272">
        <v>0</v>
      </c>
      <c r="P207" s="272">
        <v>0</v>
      </c>
      <c r="Q207" s="272">
        <v>0</v>
      </c>
      <c r="R207" s="272">
        <v>1</v>
      </c>
      <c r="S207" s="272">
        <v>1</v>
      </c>
      <c r="T207" s="272">
        <v>0</v>
      </c>
      <c r="U207" s="272">
        <v>0</v>
      </c>
      <c r="V207" s="272">
        <v>0</v>
      </c>
      <c r="W207" s="272">
        <v>0</v>
      </c>
      <c r="X207" s="270">
        <v>0</v>
      </c>
      <c r="Y207" s="270">
        <f t="shared" si="24"/>
        <v>4</v>
      </c>
      <c r="Z207" s="272"/>
      <c r="AA207" s="272"/>
      <c r="AB207" s="288"/>
    </row>
    <row r="208" spans="1:28" ht="20.25" customHeight="1">
      <c r="A208" s="270">
        <v>207</v>
      </c>
      <c r="B208" s="276" t="s">
        <v>603</v>
      </c>
      <c r="C208" s="271" t="s">
        <v>27</v>
      </c>
      <c r="D208" s="270" t="s">
        <v>53</v>
      </c>
      <c r="E208" s="270" t="s">
        <v>604</v>
      </c>
      <c r="F208" s="272" t="str">
        <f>IF(D208="", "", _xlfn.XLOOKUP(D208, CLIENT_CODE!D:D, CLIENT_CODE!B:B, ""))</f>
        <v>Indusind General Insurance Co Ltd</v>
      </c>
      <c r="G208" s="270" t="s">
        <v>605</v>
      </c>
      <c r="H208" s="340">
        <v>46013</v>
      </c>
      <c r="I208" s="272" t="str">
        <f t="shared" si="22"/>
        <v>Dec-25</v>
      </c>
      <c r="J208" s="272">
        <v>1</v>
      </c>
      <c r="K208" s="272">
        <v>0</v>
      </c>
      <c r="L208" s="272">
        <v>1</v>
      </c>
      <c r="M208" s="272">
        <v>0</v>
      </c>
      <c r="N208" s="272">
        <v>0</v>
      </c>
      <c r="O208" s="272">
        <v>0</v>
      </c>
      <c r="P208" s="272">
        <v>0</v>
      </c>
      <c r="Q208" s="272">
        <v>0</v>
      </c>
      <c r="R208" s="272">
        <v>1</v>
      </c>
      <c r="S208" s="272">
        <v>1</v>
      </c>
      <c r="T208" s="272">
        <v>0</v>
      </c>
      <c r="U208" s="272">
        <v>0</v>
      </c>
      <c r="V208" s="272">
        <v>0</v>
      </c>
      <c r="W208" s="272">
        <v>0</v>
      </c>
      <c r="X208" s="270">
        <v>0</v>
      </c>
      <c r="Y208" s="270">
        <f t="shared" si="24"/>
        <v>4</v>
      </c>
      <c r="Z208" s="272"/>
      <c r="AA208" s="272"/>
      <c r="AB208" s="288"/>
    </row>
    <row r="209" spans="1:28" ht="20.25" customHeight="1">
      <c r="A209" s="270">
        <v>208</v>
      </c>
      <c r="B209" s="276" t="s">
        <v>606</v>
      </c>
      <c r="C209" s="271" t="s">
        <v>27</v>
      </c>
      <c r="D209" s="270" t="s">
        <v>53</v>
      </c>
      <c r="E209" s="270" t="s">
        <v>607</v>
      </c>
      <c r="F209" s="272" t="str">
        <f>IF(D209="", "", _xlfn.XLOOKUP(D209, CLIENT_CODE!D:D, CLIENT_CODE!B:B, ""))</f>
        <v>Indusind General Insurance Co Ltd</v>
      </c>
      <c r="G209" s="270" t="s">
        <v>608</v>
      </c>
      <c r="H209" s="340">
        <v>45966</v>
      </c>
      <c r="I209" s="272" t="str">
        <f t="shared" si="22"/>
        <v>Nov-25</v>
      </c>
      <c r="J209" s="272">
        <v>0</v>
      </c>
      <c r="K209" s="272">
        <v>0</v>
      </c>
      <c r="L209" s="272">
        <v>1</v>
      </c>
      <c r="M209" s="272">
        <v>0</v>
      </c>
      <c r="N209" s="272">
        <v>0</v>
      </c>
      <c r="O209" s="272">
        <v>0</v>
      </c>
      <c r="P209" s="272">
        <v>0</v>
      </c>
      <c r="Q209" s="272">
        <v>0</v>
      </c>
      <c r="R209" s="272">
        <v>0</v>
      </c>
      <c r="S209" s="272">
        <v>0</v>
      </c>
      <c r="T209" s="272">
        <v>0</v>
      </c>
      <c r="U209" s="272">
        <v>0</v>
      </c>
      <c r="V209" s="272">
        <v>0</v>
      </c>
      <c r="W209" s="272">
        <v>0</v>
      </c>
      <c r="X209" s="270">
        <v>0</v>
      </c>
      <c r="Y209" s="270">
        <f t="shared" si="24"/>
        <v>1</v>
      </c>
      <c r="Z209" s="272"/>
      <c r="AA209" s="272"/>
      <c r="AB209" s="288"/>
    </row>
    <row r="210" spans="1:28" ht="20.25" customHeight="1">
      <c r="A210" s="270">
        <v>209</v>
      </c>
      <c r="B210" s="276" t="s">
        <v>609</v>
      </c>
      <c r="C210" s="271" t="s">
        <v>27</v>
      </c>
      <c r="D210" s="270" t="s">
        <v>53</v>
      </c>
      <c r="E210" s="270" t="s">
        <v>610</v>
      </c>
      <c r="F210" s="272" t="str">
        <f>IF(D210="", "", _xlfn.XLOOKUP(D210, CLIENT_CODE!D:D, CLIENT_CODE!B:B, ""))</f>
        <v>Indusind General Insurance Co Ltd</v>
      </c>
      <c r="G210" s="270">
        <v>2024210698</v>
      </c>
      <c r="H210" s="340">
        <v>45551</v>
      </c>
      <c r="I210" s="272" t="str">
        <f t="shared" si="22"/>
        <v>Sep-24</v>
      </c>
      <c r="J210" s="272">
        <v>1</v>
      </c>
      <c r="K210" s="272">
        <v>0</v>
      </c>
      <c r="L210" s="272">
        <v>1</v>
      </c>
      <c r="M210" s="272">
        <v>1</v>
      </c>
      <c r="N210" s="272">
        <v>0</v>
      </c>
      <c r="O210" s="272">
        <v>0</v>
      </c>
      <c r="P210" s="272">
        <v>0</v>
      </c>
      <c r="Q210" s="272">
        <v>0</v>
      </c>
      <c r="R210" s="272">
        <v>1</v>
      </c>
      <c r="S210" s="272">
        <v>1</v>
      </c>
      <c r="T210" s="272">
        <v>0</v>
      </c>
      <c r="U210" s="272">
        <v>0</v>
      </c>
      <c r="V210" s="272">
        <v>0</v>
      </c>
      <c r="W210" s="272">
        <v>0</v>
      </c>
      <c r="X210" s="272">
        <v>0</v>
      </c>
      <c r="Y210" s="270">
        <f t="shared" si="24"/>
        <v>5</v>
      </c>
      <c r="Z210" s="272"/>
      <c r="AA210" s="272"/>
      <c r="AB210" s="288"/>
    </row>
    <row r="211" spans="1:28" ht="20.25" customHeight="1">
      <c r="A211" s="270">
        <v>210</v>
      </c>
      <c r="B211" s="276" t="s">
        <v>611</v>
      </c>
      <c r="C211" s="271" t="s">
        <v>27</v>
      </c>
      <c r="D211" s="270" t="s">
        <v>366</v>
      </c>
      <c r="E211" s="270" t="s">
        <v>612</v>
      </c>
      <c r="F211" s="272" t="str">
        <f>IF(D211="", "", _xlfn.XLOOKUP(D211, CLIENT_CODE!D:D, CLIENT_CODE!B:B, ""))</f>
        <v>SBI General Insurance Company Ltd</v>
      </c>
      <c r="G211" s="270">
        <v>2759892</v>
      </c>
      <c r="H211" s="340">
        <v>46017</v>
      </c>
      <c r="I211" s="272" t="str">
        <f t="shared" si="22"/>
        <v>Dec-25</v>
      </c>
      <c r="J211" s="272">
        <v>1</v>
      </c>
      <c r="K211" s="272">
        <v>0</v>
      </c>
      <c r="L211" s="272">
        <v>1</v>
      </c>
      <c r="M211" s="272">
        <v>0</v>
      </c>
      <c r="N211" s="272">
        <v>1</v>
      </c>
      <c r="O211" s="272">
        <v>0</v>
      </c>
      <c r="P211" s="272">
        <v>0</v>
      </c>
      <c r="Q211" s="272">
        <v>0</v>
      </c>
      <c r="R211" s="272">
        <v>1</v>
      </c>
      <c r="S211" s="272">
        <v>1</v>
      </c>
      <c r="T211" s="272">
        <v>0</v>
      </c>
      <c r="U211" s="272">
        <v>0</v>
      </c>
      <c r="V211" s="272">
        <v>0</v>
      </c>
      <c r="W211" s="272">
        <v>0</v>
      </c>
      <c r="X211" s="270">
        <v>0</v>
      </c>
      <c r="Y211" s="270">
        <v>5</v>
      </c>
      <c r="Z211" s="272"/>
      <c r="AA211" s="272"/>
      <c r="AB211" s="288"/>
    </row>
    <row r="212" spans="1:28" ht="20.25" customHeight="1">
      <c r="A212" s="270">
        <v>211</v>
      </c>
      <c r="B212" s="276" t="s">
        <v>41</v>
      </c>
      <c r="C212" s="271" t="s">
        <v>27</v>
      </c>
      <c r="D212" s="270" t="s">
        <v>366</v>
      </c>
      <c r="E212" s="270" t="s">
        <v>613</v>
      </c>
      <c r="F212" s="272" t="str">
        <f>IF(D212="", "", _xlfn.XLOOKUP(D212, CLIENT_CODE!D:D, CLIENT_CODE!B:B, ""))</f>
        <v>SBI General Insurance Company Ltd</v>
      </c>
      <c r="G212" s="270">
        <v>2759893</v>
      </c>
      <c r="H212" s="340">
        <v>46017</v>
      </c>
      <c r="I212" s="272" t="str">
        <f>IF(ISBLANK(H212), "", TEXT(H212, "mmm-yy"))</f>
        <v>Dec-25</v>
      </c>
      <c r="J212" s="272">
        <v>0</v>
      </c>
      <c r="K212" s="272">
        <v>0</v>
      </c>
      <c r="L212" s="272">
        <v>1</v>
      </c>
      <c r="M212" s="272">
        <v>0</v>
      </c>
      <c r="N212" s="272">
        <v>0</v>
      </c>
      <c r="O212" s="272">
        <v>0</v>
      </c>
      <c r="P212" s="272">
        <v>0</v>
      </c>
      <c r="Q212" s="272">
        <v>0</v>
      </c>
      <c r="R212" s="272">
        <v>0</v>
      </c>
      <c r="S212" s="272">
        <v>0</v>
      </c>
      <c r="T212" s="272">
        <v>0</v>
      </c>
      <c r="U212" s="272">
        <v>0</v>
      </c>
      <c r="V212" s="272">
        <v>0</v>
      </c>
      <c r="W212" s="272">
        <v>0</v>
      </c>
      <c r="X212" s="270">
        <v>0</v>
      </c>
      <c r="Y212" s="270">
        <v>1</v>
      </c>
      <c r="Z212" s="272"/>
      <c r="AA212" s="272"/>
      <c r="AB212" s="288"/>
    </row>
    <row r="213" spans="1:28" ht="20.25" customHeight="1">
      <c r="A213" s="270">
        <v>212</v>
      </c>
      <c r="B213" s="276" t="s">
        <v>41</v>
      </c>
      <c r="C213" s="271" t="s">
        <v>27</v>
      </c>
      <c r="D213" s="270" t="s">
        <v>53</v>
      </c>
      <c r="E213" s="270" t="s">
        <v>614</v>
      </c>
      <c r="F213" s="272" t="str">
        <f>IF(D213="", "", _xlfn.XLOOKUP(D213, CLIENT_CODE!D:D, CLIENT_CODE!B:B, ""))</f>
        <v>Indusind General Insurance Co Ltd</v>
      </c>
      <c r="G213" s="270">
        <v>2024213740</v>
      </c>
      <c r="H213" s="340">
        <v>46018</v>
      </c>
      <c r="I213" s="272" t="str">
        <f t="shared" si="22"/>
        <v>Dec-25</v>
      </c>
      <c r="J213" s="272">
        <v>0</v>
      </c>
      <c r="K213" s="272">
        <v>0</v>
      </c>
      <c r="L213" s="272">
        <v>0</v>
      </c>
      <c r="M213" s="272">
        <v>0</v>
      </c>
      <c r="N213" s="272">
        <v>0</v>
      </c>
      <c r="O213" s="272">
        <v>0</v>
      </c>
      <c r="P213" s="272">
        <v>0</v>
      </c>
      <c r="Q213" s="272">
        <v>0</v>
      </c>
      <c r="R213" s="272">
        <v>0</v>
      </c>
      <c r="S213" s="272">
        <v>1</v>
      </c>
      <c r="T213" s="272">
        <v>0</v>
      </c>
      <c r="U213" s="272">
        <v>0</v>
      </c>
      <c r="V213" s="272">
        <v>0</v>
      </c>
      <c r="W213" s="272">
        <v>0</v>
      </c>
      <c r="X213" s="270">
        <v>0</v>
      </c>
      <c r="Y213" s="270">
        <v>1</v>
      </c>
      <c r="Z213" s="272"/>
      <c r="AA213" s="272"/>
      <c r="AB213" s="288"/>
    </row>
    <row r="214" spans="1:28" ht="20.25" customHeight="1">
      <c r="A214" s="270">
        <v>213</v>
      </c>
      <c r="B214" s="276" t="s">
        <v>41</v>
      </c>
      <c r="C214" s="271" t="s">
        <v>27</v>
      </c>
      <c r="D214" s="270" t="s">
        <v>53</v>
      </c>
      <c r="E214" s="270" t="s">
        <v>615</v>
      </c>
      <c r="F214" s="272" t="str">
        <f>IF(D214="", "", _xlfn.XLOOKUP(D214, CLIENT_CODE!D:D, CLIENT_CODE!B:B, ""))</f>
        <v>Indusind General Insurance Co Ltd</v>
      </c>
      <c r="G214" s="391">
        <v>2024205707</v>
      </c>
      <c r="H214" s="340">
        <v>46021</v>
      </c>
      <c r="I214" s="272" t="str">
        <f t="shared" si="22"/>
        <v>Dec-25</v>
      </c>
      <c r="J214" s="272">
        <v>0</v>
      </c>
      <c r="K214" s="272">
        <v>0</v>
      </c>
      <c r="L214" s="272">
        <v>1</v>
      </c>
      <c r="M214" s="272">
        <v>0</v>
      </c>
      <c r="N214" s="272">
        <v>0</v>
      </c>
      <c r="O214" s="272">
        <v>0</v>
      </c>
      <c r="P214" s="272">
        <v>0</v>
      </c>
      <c r="Q214" s="272">
        <v>0</v>
      </c>
      <c r="R214" s="272">
        <v>0</v>
      </c>
      <c r="S214" s="272">
        <v>0</v>
      </c>
      <c r="T214" s="272">
        <v>0</v>
      </c>
      <c r="U214" s="272">
        <v>0</v>
      </c>
      <c r="V214" s="272">
        <v>0</v>
      </c>
      <c r="W214" s="272">
        <v>0</v>
      </c>
      <c r="X214" s="270">
        <v>0</v>
      </c>
      <c r="Y214" s="270">
        <v>1</v>
      </c>
      <c r="Z214" s="272"/>
      <c r="AA214" s="272"/>
      <c r="AB214" s="288"/>
    </row>
    <row r="215" spans="1:28" ht="20.25" customHeight="1">
      <c r="A215" s="270">
        <v>214</v>
      </c>
      <c r="B215" s="276" t="s">
        <v>616</v>
      </c>
      <c r="C215" s="271" t="s">
        <v>27</v>
      </c>
      <c r="D215" s="270" t="s">
        <v>53</v>
      </c>
      <c r="E215" s="270" t="s">
        <v>617</v>
      </c>
      <c r="F215" s="272" t="str">
        <f>IF(D215="", "", _xlfn.XLOOKUP(D215, CLIENT_CODE!D:D, CLIENT_CODE!B:B, ""))</f>
        <v>Indusind General Insurance Co Ltd</v>
      </c>
      <c r="G215" s="270">
        <v>2025214537</v>
      </c>
      <c r="H215" s="340">
        <v>46021</v>
      </c>
      <c r="I215" s="272" t="str">
        <f t="shared" si="22"/>
        <v>Dec-25</v>
      </c>
      <c r="J215" s="272">
        <v>1</v>
      </c>
      <c r="K215" s="272">
        <v>0</v>
      </c>
      <c r="L215" s="272">
        <v>1</v>
      </c>
      <c r="M215" s="272">
        <v>0</v>
      </c>
      <c r="N215" s="272">
        <v>1</v>
      </c>
      <c r="O215" s="272">
        <v>0</v>
      </c>
      <c r="P215" s="272">
        <v>0</v>
      </c>
      <c r="Q215" s="272">
        <v>0</v>
      </c>
      <c r="R215" s="272">
        <v>1</v>
      </c>
      <c r="S215" s="272">
        <v>1</v>
      </c>
      <c r="T215" s="272">
        <v>0</v>
      </c>
      <c r="U215" s="272">
        <v>0</v>
      </c>
      <c r="V215" s="272">
        <v>0</v>
      </c>
      <c r="W215" s="272">
        <v>0</v>
      </c>
      <c r="X215" s="270">
        <v>0</v>
      </c>
      <c r="Y215" s="270">
        <f t="shared" si="24"/>
        <v>5</v>
      </c>
      <c r="Z215" s="272"/>
      <c r="AA215" s="272"/>
      <c r="AB215" s="288"/>
    </row>
    <row r="216" spans="1:28" ht="20.25" customHeight="1">
      <c r="A216" s="270">
        <v>215</v>
      </c>
      <c r="B216" s="276" t="s">
        <v>618</v>
      </c>
      <c r="C216" s="271" t="s">
        <v>27</v>
      </c>
      <c r="D216" s="270" t="s">
        <v>366</v>
      </c>
      <c r="E216" s="270" t="s">
        <v>619</v>
      </c>
      <c r="F216" s="272" t="str">
        <f>IF(D216="", "", _xlfn.XLOOKUP(D216, CLIENT_CODE!D:D, CLIENT_CODE!B:B, ""))</f>
        <v>SBI General Insurance Company Ltd</v>
      </c>
      <c r="G216" s="270">
        <v>2762824</v>
      </c>
      <c r="H216" s="340">
        <v>46022</v>
      </c>
      <c r="I216" s="272" t="str">
        <f t="shared" si="22"/>
        <v>Dec-25</v>
      </c>
      <c r="J216" s="272">
        <v>1</v>
      </c>
      <c r="K216" s="272">
        <v>0</v>
      </c>
      <c r="L216" s="272">
        <v>1</v>
      </c>
      <c r="M216" s="272">
        <v>0</v>
      </c>
      <c r="N216" s="272">
        <v>1</v>
      </c>
      <c r="O216" s="272">
        <v>0</v>
      </c>
      <c r="P216" s="272">
        <v>0</v>
      </c>
      <c r="Q216" s="272">
        <v>0</v>
      </c>
      <c r="R216" s="272">
        <v>1</v>
      </c>
      <c r="S216" s="272">
        <v>1</v>
      </c>
      <c r="T216" s="272">
        <v>0</v>
      </c>
      <c r="U216" s="272">
        <v>0</v>
      </c>
      <c r="V216" s="272">
        <v>0</v>
      </c>
      <c r="W216" s="272">
        <v>0</v>
      </c>
      <c r="X216" s="270">
        <v>0</v>
      </c>
      <c r="Y216" s="270">
        <f t="shared" ref="Y216" si="25">IF(COUNTA(J216:T216)=0, "", SUM(J216:T216))</f>
        <v>5</v>
      </c>
      <c r="Z216" s="272"/>
      <c r="AA216" s="272"/>
      <c r="AB216" s="288"/>
    </row>
    <row r="217" spans="1:28" ht="20.25" customHeight="1">
      <c r="A217" s="270">
        <v>216</v>
      </c>
      <c r="B217" s="276" t="s">
        <v>620</v>
      </c>
      <c r="C217" s="271" t="s">
        <v>27</v>
      </c>
      <c r="D217" s="270" t="s">
        <v>366</v>
      </c>
      <c r="E217" s="270" t="s">
        <v>621</v>
      </c>
      <c r="F217" s="272" t="str">
        <f>IF(D217="", "", _xlfn.XLOOKUP(D217, CLIENT_CODE!D:D, CLIENT_CODE!B:B, ""))</f>
        <v>SBI General Insurance Company Ltd</v>
      </c>
      <c r="G217" s="270">
        <v>2761243</v>
      </c>
      <c r="H217" s="340">
        <v>46022</v>
      </c>
      <c r="I217" s="272" t="str">
        <f t="shared" ref="I217" si="26">IF(ISBLANK(H217), "", TEXT(H217, "mmm-yy"))</f>
        <v>Dec-25</v>
      </c>
      <c r="J217" s="272">
        <v>1</v>
      </c>
      <c r="K217" s="272">
        <v>0</v>
      </c>
      <c r="L217" s="272">
        <v>1</v>
      </c>
      <c r="M217" s="272">
        <v>0</v>
      </c>
      <c r="N217" s="272">
        <v>1</v>
      </c>
      <c r="O217" s="272">
        <v>0</v>
      </c>
      <c r="P217" s="272">
        <v>0</v>
      </c>
      <c r="Q217" s="272">
        <v>0</v>
      </c>
      <c r="R217" s="272">
        <v>1</v>
      </c>
      <c r="S217" s="272">
        <v>0</v>
      </c>
      <c r="T217" s="272">
        <v>0</v>
      </c>
      <c r="U217" s="272">
        <v>0</v>
      </c>
      <c r="V217" s="272">
        <v>0</v>
      </c>
      <c r="W217" s="272">
        <v>0</v>
      </c>
      <c r="X217" s="270">
        <v>0</v>
      </c>
      <c r="Y217" s="270">
        <f t="shared" ref="Y217" si="27">IF(COUNTA(J217:T217)=0, "", SUM(J217:T217))</f>
        <v>4</v>
      </c>
      <c r="Z217" s="272"/>
      <c r="AA217" s="272"/>
      <c r="AB217" s="288"/>
    </row>
    <row r="218" spans="1:28" ht="20.25" customHeight="1">
      <c r="A218" s="270">
        <v>217</v>
      </c>
      <c r="B218" s="276" t="s">
        <v>622</v>
      </c>
      <c r="C218" s="271" t="s">
        <v>27</v>
      </c>
      <c r="D218" s="270" t="s">
        <v>366</v>
      </c>
      <c r="E218" s="270" t="s">
        <v>623</v>
      </c>
      <c r="F218" s="272" t="str">
        <f>IF(D218="", "", _xlfn.XLOOKUP(D218, CLIENT_CODE!D:D, CLIENT_CODE!B:B, ""))</f>
        <v>SBI General Insurance Company Ltd</v>
      </c>
      <c r="G218" s="270">
        <v>2002673</v>
      </c>
      <c r="H218" s="340">
        <v>46022</v>
      </c>
      <c r="I218" s="272" t="str">
        <f>IF(ISBLANK(H218), "", TEXT(H218, "mmm-yy"))</f>
        <v>Dec-25</v>
      </c>
      <c r="J218" s="272">
        <v>1</v>
      </c>
      <c r="K218" s="272">
        <v>0</v>
      </c>
      <c r="L218" s="272">
        <v>1</v>
      </c>
      <c r="M218" s="272">
        <v>0</v>
      </c>
      <c r="N218" s="272">
        <v>1</v>
      </c>
      <c r="O218" s="272">
        <v>0</v>
      </c>
      <c r="P218" s="272">
        <v>0</v>
      </c>
      <c r="Q218" s="272">
        <v>0</v>
      </c>
      <c r="R218" s="272">
        <v>1</v>
      </c>
      <c r="S218" s="272">
        <v>1</v>
      </c>
      <c r="T218" s="272">
        <v>0</v>
      </c>
      <c r="U218" s="272">
        <v>0</v>
      </c>
      <c r="V218" s="272">
        <v>0</v>
      </c>
      <c r="W218" s="272">
        <v>0</v>
      </c>
      <c r="X218" s="270">
        <v>0</v>
      </c>
      <c r="Y218" s="270">
        <f>IF(COUNTA(J218:T218)=0, "", SUM(J218:T218))</f>
        <v>5</v>
      </c>
      <c r="Z218" s="272"/>
      <c r="AA218" s="272"/>
      <c r="AB218" s="288"/>
    </row>
    <row r="219" spans="1:28" ht="20.25" customHeight="1">
      <c r="A219" s="270">
        <v>218</v>
      </c>
      <c r="B219" s="276" t="s">
        <v>624</v>
      </c>
      <c r="C219" s="271" t="s">
        <v>27</v>
      </c>
      <c r="D219" s="270" t="s">
        <v>366</v>
      </c>
      <c r="E219" s="270" t="s">
        <v>623</v>
      </c>
      <c r="F219" s="272" t="str">
        <f>IF(D219="", "", _xlfn.XLOOKUP(D219, CLIENT_CODE!D:D, CLIENT_CODE!B:B, ""))</f>
        <v>SBI General Insurance Company Ltd</v>
      </c>
      <c r="G219" s="270">
        <v>2002769</v>
      </c>
      <c r="H219" s="340">
        <v>46023</v>
      </c>
      <c r="I219" s="272" t="str">
        <f t="shared" si="22"/>
        <v>Jan-26</v>
      </c>
      <c r="J219" s="272">
        <v>1</v>
      </c>
      <c r="K219" s="272">
        <v>0</v>
      </c>
      <c r="L219" s="272">
        <v>1</v>
      </c>
      <c r="M219" s="272">
        <v>0</v>
      </c>
      <c r="N219" s="272">
        <v>1</v>
      </c>
      <c r="O219" s="272">
        <v>0</v>
      </c>
      <c r="P219" s="272">
        <v>0</v>
      </c>
      <c r="Q219" s="272">
        <v>0</v>
      </c>
      <c r="R219" s="272">
        <v>1</v>
      </c>
      <c r="S219" s="272">
        <v>1</v>
      </c>
      <c r="T219" s="272">
        <v>0</v>
      </c>
      <c r="U219" s="272">
        <v>0</v>
      </c>
      <c r="V219" s="272">
        <v>0</v>
      </c>
      <c r="W219" s="272">
        <v>0</v>
      </c>
      <c r="X219" s="270">
        <v>0</v>
      </c>
      <c r="Y219" s="270">
        <f>IF(COUNTA(J219:T219)=0, "", SUM(J219:T219))</f>
        <v>5</v>
      </c>
      <c r="Z219" s="272"/>
      <c r="AA219" s="272"/>
      <c r="AB219" s="288"/>
    </row>
    <row r="220" spans="1:28" ht="20.25" customHeight="1">
      <c r="A220" s="270">
        <v>219</v>
      </c>
      <c r="B220" s="276" t="s">
        <v>625</v>
      </c>
      <c r="C220" s="271" t="s">
        <v>27</v>
      </c>
      <c r="D220" s="270" t="s">
        <v>366</v>
      </c>
      <c r="E220" s="270" t="s">
        <v>623</v>
      </c>
      <c r="F220" s="272" t="str">
        <f>IF(D220="", "", _xlfn.XLOOKUP(D220, CLIENT_CODE!D:D, CLIENT_CODE!B:B, ""))</f>
        <v>SBI General Insurance Company Ltd</v>
      </c>
      <c r="G220" s="270">
        <v>2755247</v>
      </c>
      <c r="H220" s="340">
        <v>46023</v>
      </c>
      <c r="I220" s="272" t="str">
        <f t="shared" ref="I220:I221" si="28">IF(ISBLANK(H220), "", TEXT(H220, "mmm-yy"))</f>
        <v>Jan-26</v>
      </c>
      <c r="J220" s="272">
        <v>1</v>
      </c>
      <c r="K220" s="272">
        <v>0</v>
      </c>
      <c r="L220" s="272">
        <v>1</v>
      </c>
      <c r="M220" s="272">
        <v>0</v>
      </c>
      <c r="N220" s="272">
        <v>0</v>
      </c>
      <c r="O220" s="272">
        <v>0</v>
      </c>
      <c r="P220" s="272">
        <v>0</v>
      </c>
      <c r="Q220" s="272">
        <v>0</v>
      </c>
      <c r="R220" s="272">
        <v>1</v>
      </c>
      <c r="S220" s="272">
        <v>1</v>
      </c>
      <c r="T220" s="272">
        <v>0</v>
      </c>
      <c r="U220" s="272">
        <v>0</v>
      </c>
      <c r="V220" s="272">
        <v>0</v>
      </c>
      <c r="W220" s="272">
        <v>0</v>
      </c>
      <c r="X220" s="270">
        <v>0</v>
      </c>
      <c r="Y220" s="270">
        <f>IF(COUNTA(J220:T220)=0, "", SUM(J220:T220))</f>
        <v>4</v>
      </c>
      <c r="Z220" s="272"/>
      <c r="AA220" s="272"/>
      <c r="AB220" s="288"/>
    </row>
    <row r="221" spans="1:28" ht="20.25" customHeight="1">
      <c r="A221" s="270">
        <v>220</v>
      </c>
      <c r="B221" s="276" t="s">
        <v>626</v>
      </c>
      <c r="C221" s="271" t="s">
        <v>27</v>
      </c>
      <c r="D221" s="270" t="s">
        <v>366</v>
      </c>
      <c r="E221" s="270" t="s">
        <v>623</v>
      </c>
      <c r="F221" s="272" t="str">
        <f>IF(D221="", "", _xlfn.XLOOKUP(D221, CLIENT_CODE!D:D, CLIENT_CODE!B:B, ""))</f>
        <v>SBI General Insurance Company Ltd</v>
      </c>
      <c r="G221" s="270">
        <v>2769290</v>
      </c>
      <c r="H221" s="340">
        <v>46023</v>
      </c>
      <c r="I221" s="272" t="str">
        <f t="shared" si="28"/>
        <v>Jan-26</v>
      </c>
      <c r="J221" s="272">
        <v>1</v>
      </c>
      <c r="K221" s="272">
        <v>0</v>
      </c>
      <c r="L221" s="272">
        <v>1</v>
      </c>
      <c r="M221" s="272">
        <v>0</v>
      </c>
      <c r="N221" s="272">
        <v>1</v>
      </c>
      <c r="O221" s="272">
        <v>0</v>
      </c>
      <c r="P221" s="272">
        <v>0</v>
      </c>
      <c r="Q221" s="272">
        <v>0</v>
      </c>
      <c r="R221" s="272">
        <v>1</v>
      </c>
      <c r="S221" s="272">
        <v>1</v>
      </c>
      <c r="T221" s="272">
        <v>0</v>
      </c>
      <c r="U221" s="272">
        <v>0</v>
      </c>
      <c r="V221" s="272">
        <v>0</v>
      </c>
      <c r="W221" s="272">
        <v>0</v>
      </c>
      <c r="X221" s="270">
        <v>0</v>
      </c>
      <c r="Y221" s="270">
        <f>IF(COUNTA(J221:T221)=0, "", SUM(J221:T221))</f>
        <v>5</v>
      </c>
      <c r="Z221" s="272"/>
      <c r="AA221" s="272"/>
      <c r="AB221" s="288"/>
    </row>
    <row r="222" spans="1:28" ht="20.25" customHeight="1">
      <c r="A222" s="270">
        <v>221</v>
      </c>
      <c r="B222" s="276" t="s">
        <v>41</v>
      </c>
      <c r="C222" s="271" t="s">
        <v>27</v>
      </c>
      <c r="D222" s="270" t="s">
        <v>53</v>
      </c>
      <c r="E222" s="272" t="str">
        <f t="shared" ref="E222" ca="1" si="29">IF(TRIM(D222)="", "", D222 &amp; "-" &amp; TEXT(ROW(A221)+1000,"0000") &amp; "-SS-" &amp; YEAR(TODAY()))</f>
        <v>R001-1221-SS-2026</v>
      </c>
      <c r="F222" s="272" t="str">
        <f>IF(D222="", "", _xlfn.XLOOKUP(D222, CLIENT_CODE!D:D, CLIENT_CODE!B:B, ""))</f>
        <v>Indusind General Insurance Co Ltd</v>
      </c>
      <c r="G222" s="270">
        <v>2025212401</v>
      </c>
      <c r="H222" s="206">
        <v>45970</v>
      </c>
      <c r="I222" s="272" t="str">
        <f t="shared" si="22"/>
        <v>Nov-25</v>
      </c>
      <c r="J222" s="272">
        <v>0</v>
      </c>
      <c r="K222" s="272">
        <v>0</v>
      </c>
      <c r="L222" s="272">
        <v>0</v>
      </c>
      <c r="M222" s="272">
        <v>0</v>
      </c>
      <c r="N222" s="272">
        <v>0</v>
      </c>
      <c r="O222" s="272">
        <v>0</v>
      </c>
      <c r="P222" s="272">
        <v>0</v>
      </c>
      <c r="Q222" s="272">
        <v>0</v>
      </c>
      <c r="R222" s="272">
        <v>0</v>
      </c>
      <c r="S222" s="272">
        <v>1</v>
      </c>
      <c r="T222" s="272">
        <v>0</v>
      </c>
      <c r="U222" s="272">
        <v>0</v>
      </c>
      <c r="V222" s="272">
        <v>0</v>
      </c>
      <c r="W222" s="272">
        <v>0</v>
      </c>
      <c r="X222" s="270">
        <v>0</v>
      </c>
      <c r="Y222" s="270">
        <f t="shared" si="24"/>
        <v>1</v>
      </c>
      <c r="Z222" s="272"/>
      <c r="AA222" s="272"/>
      <c r="AB222" s="288"/>
    </row>
    <row r="223" spans="1:28" ht="20.25" customHeight="1">
      <c r="A223" s="270">
        <v>222</v>
      </c>
      <c r="B223" s="276" t="s">
        <v>41</v>
      </c>
      <c r="C223" s="271" t="s">
        <v>27</v>
      </c>
      <c r="D223" s="270" t="s">
        <v>53</v>
      </c>
      <c r="E223" s="553" t="str">
        <f ca="1">IF(TRIM(D223)="", "", D223 &amp; "-" &amp; TEXT(ROW(A222)+1000,"0000") &amp; "-SS-" &amp; YEAR(TODAY()))</f>
        <v>R001-1222-SS-2026</v>
      </c>
      <c r="F223" s="272" t="str">
        <f>IF(D223="", "", _xlfn.XLOOKUP(D223, CLIENT_CODE!D:D, CLIENT_CODE!B:B, ""))</f>
        <v>Indusind General Insurance Co Ltd</v>
      </c>
      <c r="G223" s="552">
        <v>2025212250</v>
      </c>
      <c r="H223" s="206">
        <v>45970</v>
      </c>
      <c r="I223" s="553" t="str">
        <f>IF(ISBLANK(H223), "", TEXT(H223, "mmm-yy"))</f>
        <v>Nov-25</v>
      </c>
      <c r="J223" s="272">
        <v>0</v>
      </c>
      <c r="K223" s="272">
        <v>0</v>
      </c>
      <c r="L223" s="272">
        <v>0</v>
      </c>
      <c r="M223" s="272">
        <v>0</v>
      </c>
      <c r="N223" s="272">
        <v>0</v>
      </c>
      <c r="O223" s="272">
        <v>0</v>
      </c>
      <c r="P223" s="272">
        <v>0</v>
      </c>
      <c r="Q223" s="272">
        <v>0</v>
      </c>
      <c r="R223" s="272">
        <v>0</v>
      </c>
      <c r="S223" s="272">
        <v>1</v>
      </c>
      <c r="T223" s="272">
        <v>0</v>
      </c>
      <c r="U223" s="272">
        <v>0</v>
      </c>
      <c r="V223" s="272">
        <v>0</v>
      </c>
      <c r="W223" s="272">
        <v>0</v>
      </c>
      <c r="X223" s="270">
        <v>0</v>
      </c>
      <c r="Y223" s="270">
        <f>IF(COUNTA(J223:T223)=0, "", SUM(J223:T223))</f>
        <v>1</v>
      </c>
      <c r="Z223" s="272"/>
      <c r="AA223" s="272"/>
      <c r="AB223" s="288"/>
    </row>
    <row r="224" spans="1:28" ht="20.25" customHeight="1">
      <c r="A224" s="270">
        <v>223</v>
      </c>
      <c r="B224" s="272" t="s">
        <v>627</v>
      </c>
      <c r="C224" s="271" t="s">
        <v>27</v>
      </c>
      <c r="D224" s="270" t="s">
        <v>53</v>
      </c>
      <c r="E224" s="553" t="str">
        <f ca="1">IF(TRIM(D224)="", "", D224 &amp; "-" &amp; TEXT(ROW(A223)+1000,"0000") &amp; "-SS-" &amp; YEAR(TODAY()))</f>
        <v>R001-1223-SS-2026</v>
      </c>
      <c r="F224" s="272" t="str">
        <f>IF(D224="", "", _xlfn.XLOOKUP(D224, CLIENT_CODE!D:D, CLIENT_CODE!B:B, ""))</f>
        <v>Indusind General Insurance Co Ltd</v>
      </c>
      <c r="G224" s="270">
        <v>2025213389</v>
      </c>
      <c r="H224" s="340">
        <v>46027</v>
      </c>
      <c r="I224" s="272" t="str">
        <f t="shared" si="22"/>
        <v>Jan-26</v>
      </c>
      <c r="J224" s="272">
        <v>1</v>
      </c>
      <c r="K224" s="272">
        <v>0</v>
      </c>
      <c r="L224" s="272">
        <v>1</v>
      </c>
      <c r="M224" s="272">
        <v>0</v>
      </c>
      <c r="N224" s="272">
        <v>1</v>
      </c>
      <c r="O224" s="272">
        <v>0</v>
      </c>
      <c r="P224" s="272">
        <v>0</v>
      </c>
      <c r="Q224" s="272">
        <v>0</v>
      </c>
      <c r="R224" s="272">
        <v>1</v>
      </c>
      <c r="S224" s="272">
        <v>1</v>
      </c>
      <c r="T224" s="272">
        <v>0</v>
      </c>
      <c r="U224" s="272">
        <v>0</v>
      </c>
      <c r="V224" s="272">
        <v>0</v>
      </c>
      <c r="W224" s="272">
        <v>0</v>
      </c>
      <c r="X224" s="270">
        <v>0</v>
      </c>
      <c r="Y224" s="270">
        <f>IF(COUNTA(J224:T224)=0, "", SUM(J224:T224))</f>
        <v>5</v>
      </c>
      <c r="Z224" s="272"/>
      <c r="AA224" s="272"/>
      <c r="AB224" s="288"/>
    </row>
    <row r="225" spans="1:28" ht="20.25" customHeight="1">
      <c r="A225" s="270">
        <v>224</v>
      </c>
      <c r="B225" s="276" t="s">
        <v>41</v>
      </c>
      <c r="C225" s="271" t="s">
        <v>27</v>
      </c>
      <c r="D225" s="270" t="s">
        <v>53</v>
      </c>
      <c r="E225" s="553" t="str">
        <f ca="1">IF(TRIM(D225)="", "", D225 &amp; "-" &amp; TEXT(ROW(A224)+1000,"0000") &amp; "-SS-" &amp; YEAR(TODAY()))</f>
        <v>R001-1224-SS-2026</v>
      </c>
      <c r="F225" s="272" t="str">
        <f>IF(D225="", "", _xlfn.XLOOKUP(D225, CLIENT_CODE!D:D, CLIENT_CODE!B:B, ""))</f>
        <v>Indusind General Insurance Co Ltd</v>
      </c>
      <c r="G225" s="270">
        <v>20242114887</v>
      </c>
      <c r="H225" s="340">
        <v>46027</v>
      </c>
      <c r="I225" s="272" t="str">
        <f>IF(ISBLANK(H225), "", TEXT(H225, "mmm-yy"))</f>
        <v>Jan-26</v>
      </c>
      <c r="J225" s="272">
        <v>0</v>
      </c>
      <c r="K225" s="272">
        <v>0</v>
      </c>
      <c r="L225" s="272">
        <v>1</v>
      </c>
      <c r="M225" s="272">
        <v>0</v>
      </c>
      <c r="N225" s="272">
        <v>0</v>
      </c>
      <c r="O225" s="272">
        <v>0</v>
      </c>
      <c r="P225" s="272">
        <v>0</v>
      </c>
      <c r="Q225" s="272">
        <v>0</v>
      </c>
      <c r="R225" s="272">
        <v>0</v>
      </c>
      <c r="S225" s="272">
        <v>0</v>
      </c>
      <c r="T225" s="272">
        <v>0</v>
      </c>
      <c r="U225" s="272">
        <v>0</v>
      </c>
      <c r="V225" s="272">
        <v>0</v>
      </c>
      <c r="W225" s="272">
        <v>0</v>
      </c>
      <c r="X225" s="270">
        <v>0</v>
      </c>
      <c r="Y225" s="270">
        <v>1</v>
      </c>
      <c r="Z225" s="272"/>
      <c r="AA225" s="272"/>
      <c r="AB225" s="288"/>
    </row>
    <row r="226" spans="1:28" ht="20.25" customHeight="1">
      <c r="A226" s="270">
        <v>225</v>
      </c>
      <c r="B226" s="276" t="s">
        <v>3007</v>
      </c>
      <c r="C226" s="271" t="s">
        <v>27</v>
      </c>
      <c r="D226" s="270" t="s">
        <v>53</v>
      </c>
      <c r="E226" s="553" t="str">
        <f ca="1">IF(TRIM(D226)="", "", D226 &amp; "-" &amp; TEXT(ROW(A225)+1000,"0000") &amp; "-SS-" &amp; YEAR(TODAY()))</f>
        <v>R001-1225-SS-2026</v>
      </c>
      <c r="F226" s="272" t="str">
        <f>IF(D226="", "", _xlfn.XLOOKUP(D226, CLIENT_CODE!D:D, CLIENT_CODE!B:B, ""))</f>
        <v>Indusind General Insurance Co Ltd</v>
      </c>
      <c r="G226" s="270">
        <v>2025214761</v>
      </c>
      <c r="H226" s="340">
        <v>46027</v>
      </c>
      <c r="I226" s="272" t="str">
        <f>IF(ISBLANK(H226), "", TEXT(H226, "mmm-yy"))</f>
        <v>Jan-26</v>
      </c>
      <c r="J226" s="272">
        <v>1</v>
      </c>
      <c r="K226" s="272">
        <v>0</v>
      </c>
      <c r="L226" s="272">
        <v>1</v>
      </c>
      <c r="M226" s="272">
        <v>0</v>
      </c>
      <c r="N226" s="272">
        <v>1</v>
      </c>
      <c r="O226" s="272">
        <v>0</v>
      </c>
      <c r="P226" s="272">
        <v>0</v>
      </c>
      <c r="Q226" s="272">
        <v>0</v>
      </c>
      <c r="R226" s="272">
        <v>1</v>
      </c>
      <c r="S226" s="272">
        <v>1</v>
      </c>
      <c r="T226" s="272">
        <v>0</v>
      </c>
      <c r="U226" s="272">
        <v>0</v>
      </c>
      <c r="V226" s="272">
        <v>0</v>
      </c>
      <c r="W226" s="272">
        <v>0</v>
      </c>
      <c r="X226" s="270">
        <v>0</v>
      </c>
      <c r="Y226" s="270">
        <f>IF(COUNTA(J226:T226)=0, "", SUM(J226:T226))</f>
        <v>5</v>
      </c>
      <c r="Z226" s="272"/>
      <c r="AA226" s="272"/>
      <c r="AB226" s="288"/>
    </row>
    <row r="227" spans="1:28" ht="20.25" customHeight="1">
      <c r="A227" s="270">
        <v>226</v>
      </c>
      <c r="B227" s="276"/>
      <c r="C227" s="271"/>
      <c r="D227" s="270"/>
      <c r="E227" s="272"/>
      <c r="F227" s="272"/>
      <c r="G227" s="270"/>
      <c r="H227" s="340"/>
      <c r="I227" s="272" t="str">
        <f t="shared" si="22"/>
        <v/>
      </c>
      <c r="J227" s="272"/>
      <c r="K227" s="272"/>
      <c r="L227" s="272"/>
      <c r="M227" s="272"/>
      <c r="N227" s="272"/>
      <c r="O227" s="272"/>
      <c r="P227" s="272"/>
      <c r="Q227" s="272"/>
      <c r="R227" s="272"/>
      <c r="S227" s="272"/>
      <c r="T227" s="272"/>
      <c r="U227" s="272"/>
      <c r="V227" s="272"/>
      <c r="W227" s="272"/>
      <c r="X227" s="270"/>
      <c r="Y227" s="270" t="str">
        <f t="shared" si="24"/>
        <v/>
      </c>
      <c r="Z227" s="272"/>
      <c r="AA227" s="272"/>
      <c r="AB227" s="288"/>
    </row>
    <row r="228" spans="1:28" ht="20.25" customHeight="1">
      <c r="A228" s="270">
        <v>227</v>
      </c>
      <c r="B228" s="276"/>
      <c r="C228" s="271"/>
      <c r="D228" s="270"/>
      <c r="E228" s="272"/>
      <c r="F228" s="272"/>
      <c r="G228" s="270"/>
      <c r="H228" s="340"/>
      <c r="I228" s="272" t="str">
        <f t="shared" si="22"/>
        <v/>
      </c>
      <c r="J228" s="272"/>
      <c r="K228" s="272"/>
      <c r="L228" s="272"/>
      <c r="M228" s="272"/>
      <c r="N228" s="272"/>
      <c r="O228" s="272"/>
      <c r="P228" s="272"/>
      <c r="Q228" s="272"/>
      <c r="R228" s="272"/>
      <c r="S228" s="272"/>
      <c r="T228" s="272"/>
      <c r="U228" s="272"/>
      <c r="V228" s="272"/>
      <c r="W228" s="272"/>
      <c r="X228" s="270"/>
      <c r="Y228" s="270" t="str">
        <f t="shared" si="24"/>
        <v/>
      </c>
      <c r="Z228" s="272"/>
      <c r="AA228" s="272"/>
      <c r="AB228" s="288"/>
    </row>
    <row r="229" spans="1:28" ht="20.25" customHeight="1">
      <c r="A229" s="270">
        <v>228</v>
      </c>
      <c r="B229" s="276"/>
      <c r="C229" s="271"/>
      <c r="D229" s="270"/>
      <c r="E229" s="272"/>
      <c r="F229" s="272"/>
      <c r="G229" s="270"/>
      <c r="H229" s="340"/>
      <c r="I229" s="272" t="str">
        <f t="shared" si="22"/>
        <v/>
      </c>
      <c r="J229" s="272"/>
      <c r="K229" s="272"/>
      <c r="L229" s="272"/>
      <c r="M229" s="272"/>
      <c r="N229" s="272"/>
      <c r="O229" s="272"/>
      <c r="P229" s="272"/>
      <c r="Q229" s="272"/>
      <c r="R229" s="272"/>
      <c r="S229" s="272"/>
      <c r="T229" s="272"/>
      <c r="U229" s="272"/>
      <c r="V229" s="272"/>
      <c r="W229" s="272"/>
      <c r="X229" s="270"/>
      <c r="Y229" s="270" t="str">
        <f t="shared" si="24"/>
        <v/>
      </c>
      <c r="Z229" s="272"/>
      <c r="AA229" s="272"/>
      <c r="AB229" s="288"/>
    </row>
    <row r="230" spans="1:28" ht="20.25" customHeight="1">
      <c r="A230" s="270">
        <v>229</v>
      </c>
      <c r="B230" s="276"/>
      <c r="C230" s="271"/>
      <c r="D230" s="270"/>
      <c r="E230" s="272"/>
      <c r="F230" s="272"/>
      <c r="G230" s="270"/>
      <c r="H230" s="340"/>
      <c r="I230" s="272" t="str">
        <f t="shared" si="22"/>
        <v/>
      </c>
      <c r="J230" s="272"/>
      <c r="K230" s="272"/>
      <c r="L230" s="272"/>
      <c r="M230" s="272"/>
      <c r="N230" s="272"/>
      <c r="O230" s="272"/>
      <c r="P230" s="272"/>
      <c r="Q230" s="272"/>
      <c r="R230" s="272"/>
      <c r="S230" s="272"/>
      <c r="T230" s="272"/>
      <c r="U230" s="272"/>
      <c r="V230" s="272"/>
      <c r="W230" s="272"/>
      <c r="X230" s="270"/>
      <c r="Y230" s="270" t="str">
        <f t="shared" si="24"/>
        <v/>
      </c>
      <c r="Z230" s="272"/>
      <c r="AA230" s="272"/>
      <c r="AB230" s="288"/>
    </row>
    <row r="231" spans="1:28" ht="20.25" customHeight="1">
      <c r="A231" s="270">
        <v>230</v>
      </c>
      <c r="B231" s="276"/>
      <c r="C231" s="271"/>
      <c r="D231" s="270"/>
      <c r="E231" s="272"/>
      <c r="F231" s="272"/>
      <c r="G231" s="270"/>
      <c r="H231" s="340"/>
      <c r="I231" s="272" t="str">
        <f t="shared" si="22"/>
        <v/>
      </c>
      <c r="J231" s="272"/>
      <c r="K231" s="272"/>
      <c r="L231" s="272"/>
      <c r="M231" s="272"/>
      <c r="N231" s="272"/>
      <c r="O231" s="272"/>
      <c r="P231" s="272"/>
      <c r="Q231" s="272"/>
      <c r="R231" s="272"/>
      <c r="S231" s="272"/>
      <c r="T231" s="272"/>
      <c r="U231" s="272"/>
      <c r="V231" s="272"/>
      <c r="W231" s="272"/>
      <c r="X231" s="270"/>
      <c r="Y231" s="270" t="str">
        <f t="shared" si="24"/>
        <v/>
      </c>
      <c r="Z231" s="272"/>
      <c r="AA231" s="272"/>
      <c r="AB231" s="288"/>
    </row>
    <row r="232" spans="1:28" ht="20.25" customHeight="1">
      <c r="A232" s="270">
        <v>231</v>
      </c>
      <c r="B232" s="276"/>
      <c r="C232" s="271"/>
      <c r="D232" s="270"/>
      <c r="E232" s="272"/>
      <c r="F232" s="272"/>
      <c r="G232" s="270"/>
      <c r="H232" s="340"/>
      <c r="I232" s="272" t="str">
        <f t="shared" si="22"/>
        <v/>
      </c>
      <c r="J232" s="272"/>
      <c r="K232" s="272"/>
      <c r="L232" s="272"/>
      <c r="M232" s="272"/>
      <c r="N232" s="272"/>
      <c r="O232" s="272"/>
      <c r="P232" s="272"/>
      <c r="Q232" s="272"/>
      <c r="R232" s="272"/>
      <c r="S232" s="272"/>
      <c r="T232" s="272"/>
      <c r="U232" s="272"/>
      <c r="V232" s="272"/>
      <c r="W232" s="272"/>
      <c r="X232" s="270"/>
      <c r="Y232" s="270" t="str">
        <f t="shared" si="24"/>
        <v/>
      </c>
      <c r="Z232" s="272"/>
      <c r="AA232" s="272"/>
      <c r="AB232" s="288"/>
    </row>
    <row r="233" spans="1:28" ht="20.25" customHeight="1">
      <c r="A233" s="270">
        <v>232</v>
      </c>
      <c r="B233" s="276"/>
      <c r="C233" s="271"/>
      <c r="D233" s="270"/>
      <c r="E233" s="272"/>
      <c r="F233" s="272"/>
      <c r="G233" s="270"/>
      <c r="H233" s="340"/>
      <c r="I233" s="272" t="str">
        <f t="shared" si="22"/>
        <v/>
      </c>
      <c r="J233" s="272"/>
      <c r="K233" s="272"/>
      <c r="L233" s="272"/>
      <c r="M233" s="272"/>
      <c r="N233" s="272"/>
      <c r="O233" s="272"/>
      <c r="P233" s="272"/>
      <c r="Q233" s="272"/>
      <c r="R233" s="272"/>
      <c r="S233" s="272"/>
      <c r="T233" s="272"/>
      <c r="U233" s="272"/>
      <c r="V233" s="272"/>
      <c r="W233" s="272"/>
      <c r="X233" s="270"/>
      <c r="Y233" s="270" t="str">
        <f t="shared" si="24"/>
        <v/>
      </c>
      <c r="Z233" s="272"/>
      <c r="AA233" s="272"/>
      <c r="AB233" s="288"/>
    </row>
    <row r="234" spans="1:28" ht="20.25" customHeight="1">
      <c r="A234" s="270">
        <v>233</v>
      </c>
      <c r="B234" s="276"/>
      <c r="C234" s="271"/>
      <c r="D234" s="270"/>
      <c r="E234" s="272"/>
      <c r="F234" s="272"/>
      <c r="G234" s="270"/>
      <c r="H234" s="340"/>
      <c r="I234" s="272" t="str">
        <f t="shared" si="22"/>
        <v/>
      </c>
      <c r="J234" s="272"/>
      <c r="K234" s="272"/>
      <c r="L234" s="272"/>
      <c r="M234" s="272"/>
      <c r="N234" s="272"/>
      <c r="O234" s="272"/>
      <c r="P234" s="272"/>
      <c r="Q234" s="272"/>
      <c r="R234" s="272"/>
      <c r="S234" s="272"/>
      <c r="T234" s="272"/>
      <c r="U234" s="272"/>
      <c r="V234" s="272"/>
      <c r="W234" s="272"/>
      <c r="X234" s="270"/>
      <c r="Y234" s="270" t="str">
        <f t="shared" si="24"/>
        <v/>
      </c>
      <c r="Z234" s="272"/>
      <c r="AA234" s="272"/>
      <c r="AB234" s="288"/>
    </row>
    <row r="235" spans="1:28" ht="20.25" customHeight="1">
      <c r="A235" s="270">
        <v>234</v>
      </c>
      <c r="B235" s="276"/>
      <c r="C235" s="271"/>
      <c r="D235" s="270"/>
      <c r="E235" s="272"/>
      <c r="F235" s="272"/>
      <c r="G235" s="270"/>
      <c r="H235" s="340"/>
      <c r="I235" s="272" t="str">
        <f t="shared" si="22"/>
        <v/>
      </c>
      <c r="J235" s="272"/>
      <c r="K235" s="272"/>
      <c r="L235" s="272"/>
      <c r="M235" s="272"/>
      <c r="N235" s="272"/>
      <c r="O235" s="272"/>
      <c r="P235" s="272"/>
      <c r="Q235" s="272"/>
      <c r="R235" s="272"/>
      <c r="S235" s="272"/>
      <c r="T235" s="272"/>
      <c r="U235" s="272"/>
      <c r="V235" s="272"/>
      <c r="W235" s="272"/>
      <c r="X235" s="270"/>
      <c r="Y235" s="270" t="str">
        <f t="shared" si="24"/>
        <v/>
      </c>
      <c r="Z235" s="272"/>
      <c r="AA235" s="272"/>
      <c r="AB235" s="288"/>
    </row>
    <row r="236" spans="1:28" ht="20.25" customHeight="1">
      <c r="A236" s="270">
        <v>235</v>
      </c>
      <c r="B236" s="276"/>
      <c r="C236" s="271"/>
      <c r="D236" s="270"/>
      <c r="E236" s="272"/>
      <c r="F236" s="272"/>
      <c r="G236" s="270"/>
      <c r="H236" s="340"/>
      <c r="I236" s="272" t="str">
        <f t="shared" si="22"/>
        <v/>
      </c>
      <c r="J236" s="272"/>
      <c r="K236" s="272"/>
      <c r="L236" s="272"/>
      <c r="M236" s="272"/>
      <c r="N236" s="272"/>
      <c r="O236" s="272"/>
      <c r="P236" s="272"/>
      <c r="Q236" s="272"/>
      <c r="R236" s="272"/>
      <c r="S236" s="272"/>
      <c r="T236" s="272"/>
      <c r="U236" s="272"/>
      <c r="V236" s="272"/>
      <c r="W236" s="272"/>
      <c r="X236" s="270"/>
      <c r="Y236" s="270" t="str">
        <f t="shared" si="24"/>
        <v/>
      </c>
      <c r="Z236" s="272"/>
      <c r="AA236" s="272"/>
      <c r="AB236" s="288"/>
    </row>
    <row r="237" spans="1:28" ht="20.25" customHeight="1">
      <c r="A237" s="270">
        <v>236</v>
      </c>
      <c r="B237" s="276"/>
      <c r="C237" s="271"/>
      <c r="D237" s="270"/>
      <c r="E237" s="272"/>
      <c r="F237" s="272"/>
      <c r="G237" s="270"/>
      <c r="H237" s="340"/>
      <c r="I237" s="272" t="str">
        <f t="shared" si="22"/>
        <v/>
      </c>
      <c r="J237" s="272"/>
      <c r="K237" s="272"/>
      <c r="L237" s="272"/>
      <c r="M237" s="272"/>
      <c r="N237" s="272"/>
      <c r="O237" s="272"/>
      <c r="P237" s="272"/>
      <c r="Q237" s="272"/>
      <c r="R237" s="272"/>
      <c r="S237" s="272"/>
      <c r="T237" s="272"/>
      <c r="U237" s="272"/>
      <c r="V237" s="272"/>
      <c r="W237" s="272"/>
      <c r="X237" s="270"/>
      <c r="Y237" s="270" t="str">
        <f t="shared" si="24"/>
        <v/>
      </c>
      <c r="Z237" s="272"/>
      <c r="AA237" s="272"/>
      <c r="AB237" s="288"/>
    </row>
    <row r="238" spans="1:28" ht="20.25" customHeight="1">
      <c r="A238" s="270">
        <v>237</v>
      </c>
      <c r="B238" s="276"/>
      <c r="C238" s="271"/>
      <c r="D238" s="270"/>
      <c r="E238" s="272"/>
      <c r="F238" s="272"/>
      <c r="G238" s="270"/>
      <c r="H238" s="340"/>
      <c r="I238" s="272" t="str">
        <f t="shared" si="22"/>
        <v/>
      </c>
      <c r="J238" s="272"/>
      <c r="K238" s="272"/>
      <c r="L238" s="272"/>
      <c r="M238" s="272"/>
      <c r="N238" s="272"/>
      <c r="O238" s="272"/>
      <c r="P238" s="272"/>
      <c r="Q238" s="272"/>
      <c r="R238" s="272"/>
      <c r="S238" s="272"/>
      <c r="T238" s="272"/>
      <c r="U238" s="272"/>
      <c r="V238" s="272"/>
      <c r="W238" s="272"/>
      <c r="X238" s="270"/>
      <c r="Y238" s="270" t="str">
        <f t="shared" si="24"/>
        <v/>
      </c>
      <c r="Z238" s="272"/>
      <c r="AA238" s="272"/>
      <c r="AB238" s="288"/>
    </row>
    <row r="239" spans="1:28" ht="20.25" customHeight="1">
      <c r="A239" s="270">
        <v>238</v>
      </c>
      <c r="B239" s="276"/>
      <c r="C239" s="271"/>
      <c r="D239" s="270"/>
      <c r="E239" s="272"/>
      <c r="F239" s="272"/>
      <c r="G239" s="270"/>
      <c r="H239" s="340"/>
      <c r="I239" s="272" t="str">
        <f t="shared" si="22"/>
        <v/>
      </c>
      <c r="J239" s="272"/>
      <c r="K239" s="272"/>
      <c r="L239" s="272"/>
      <c r="M239" s="272"/>
      <c r="N239" s="272"/>
      <c r="O239" s="272"/>
      <c r="P239" s="272"/>
      <c r="Q239" s="272"/>
      <c r="R239" s="272"/>
      <c r="S239" s="272"/>
      <c r="T239" s="272"/>
      <c r="U239" s="272"/>
      <c r="V239" s="272"/>
      <c r="W239" s="272"/>
      <c r="X239" s="270"/>
      <c r="Y239" s="270" t="str">
        <f t="shared" si="24"/>
        <v/>
      </c>
      <c r="Z239" s="272"/>
      <c r="AA239" s="272"/>
      <c r="AB239" s="288"/>
    </row>
    <row r="240" spans="1:28" ht="20.25" customHeight="1">
      <c r="A240" s="270">
        <v>239</v>
      </c>
      <c r="B240" s="276"/>
      <c r="C240" s="271"/>
      <c r="D240" s="270"/>
      <c r="E240" s="272"/>
      <c r="F240" s="272"/>
      <c r="G240" s="270"/>
      <c r="H240" s="340"/>
      <c r="I240" s="272" t="str">
        <f t="shared" si="22"/>
        <v/>
      </c>
      <c r="J240" s="272"/>
      <c r="K240" s="272"/>
      <c r="L240" s="272"/>
      <c r="M240" s="272"/>
      <c r="N240" s="272"/>
      <c r="O240" s="272"/>
      <c r="P240" s="272"/>
      <c r="Q240" s="272"/>
      <c r="R240" s="272"/>
      <c r="S240" s="272"/>
      <c r="T240" s="272"/>
      <c r="U240" s="272"/>
      <c r="V240" s="272"/>
      <c r="W240" s="272"/>
      <c r="X240" s="270"/>
      <c r="Y240" s="270" t="str">
        <f t="shared" si="24"/>
        <v/>
      </c>
      <c r="Z240" s="272"/>
      <c r="AA240" s="272"/>
      <c r="AB240" s="288"/>
    </row>
    <row r="241" spans="1:28" ht="20.25" customHeight="1">
      <c r="A241" s="270">
        <v>240</v>
      </c>
      <c r="B241" s="276"/>
      <c r="C241" s="271"/>
      <c r="D241" s="270"/>
      <c r="E241" s="272"/>
      <c r="F241" s="272"/>
      <c r="G241" s="270"/>
      <c r="H241" s="340"/>
      <c r="I241" s="272" t="str">
        <f t="shared" si="22"/>
        <v/>
      </c>
      <c r="J241" s="272"/>
      <c r="K241" s="272"/>
      <c r="L241" s="272"/>
      <c r="M241" s="272"/>
      <c r="N241" s="272"/>
      <c r="O241" s="272"/>
      <c r="P241" s="272"/>
      <c r="Q241" s="272"/>
      <c r="R241" s="272"/>
      <c r="S241" s="272"/>
      <c r="T241" s="272"/>
      <c r="U241" s="272"/>
      <c r="V241" s="272"/>
      <c r="W241" s="272"/>
      <c r="X241" s="270"/>
      <c r="Y241" s="270" t="str">
        <f t="shared" si="24"/>
        <v/>
      </c>
      <c r="Z241" s="272"/>
      <c r="AA241" s="272"/>
      <c r="AB241" s="288"/>
    </row>
    <row r="242" spans="1:28" ht="20.25" customHeight="1">
      <c r="A242" s="270">
        <v>241</v>
      </c>
      <c r="B242" s="276"/>
      <c r="C242" s="271"/>
      <c r="D242" s="270"/>
      <c r="E242" s="272"/>
      <c r="F242" s="272"/>
      <c r="G242" s="270"/>
      <c r="H242" s="340"/>
      <c r="I242" s="272" t="str">
        <f t="shared" si="22"/>
        <v/>
      </c>
      <c r="J242" s="272"/>
      <c r="K242" s="272"/>
      <c r="L242" s="272"/>
      <c r="M242" s="272"/>
      <c r="N242" s="272"/>
      <c r="O242" s="272"/>
      <c r="P242" s="272"/>
      <c r="Q242" s="272"/>
      <c r="R242" s="272"/>
      <c r="S242" s="272"/>
      <c r="T242" s="272"/>
      <c r="U242" s="272"/>
      <c r="V242" s="272"/>
      <c r="W242" s="272"/>
      <c r="X242" s="270"/>
      <c r="Y242" s="270" t="str">
        <f t="shared" si="24"/>
        <v/>
      </c>
      <c r="Z242" s="272"/>
      <c r="AA242" s="272"/>
      <c r="AB242" s="288"/>
    </row>
    <row r="243" spans="1:28" ht="20.25" customHeight="1">
      <c r="A243" s="270">
        <v>242</v>
      </c>
      <c r="B243" s="276"/>
      <c r="C243" s="271"/>
      <c r="D243" s="270"/>
      <c r="E243" s="272"/>
      <c r="F243" s="272"/>
      <c r="G243" s="270"/>
      <c r="H243" s="340"/>
      <c r="I243" s="272" t="str">
        <f t="shared" si="22"/>
        <v/>
      </c>
      <c r="J243" s="272"/>
      <c r="K243" s="272"/>
      <c r="L243" s="272"/>
      <c r="M243" s="272"/>
      <c r="N243" s="272"/>
      <c r="O243" s="272"/>
      <c r="P243" s="272"/>
      <c r="Q243" s="272"/>
      <c r="R243" s="272"/>
      <c r="S243" s="272"/>
      <c r="T243" s="272"/>
      <c r="U243" s="272"/>
      <c r="V243" s="272"/>
      <c r="W243" s="272"/>
      <c r="X243" s="270"/>
      <c r="Y243" s="270" t="str">
        <f t="shared" si="24"/>
        <v/>
      </c>
      <c r="Z243" s="272"/>
      <c r="AA243" s="272"/>
      <c r="AB243" s="288"/>
    </row>
    <row r="244" spans="1:28" ht="20.25" customHeight="1">
      <c r="A244" s="270">
        <v>243</v>
      </c>
      <c r="B244" s="276"/>
      <c r="C244" s="271"/>
      <c r="D244" s="270"/>
      <c r="E244" s="272"/>
      <c r="F244" s="272"/>
      <c r="G244" s="270"/>
      <c r="H244" s="340"/>
      <c r="I244" s="272" t="str">
        <f t="shared" si="22"/>
        <v/>
      </c>
      <c r="J244" s="272"/>
      <c r="K244" s="272"/>
      <c r="L244" s="272"/>
      <c r="M244" s="272"/>
      <c r="N244" s="272"/>
      <c r="O244" s="272"/>
      <c r="P244" s="272"/>
      <c r="Q244" s="272"/>
      <c r="R244" s="272"/>
      <c r="S244" s="272"/>
      <c r="T244" s="272"/>
      <c r="U244" s="272"/>
      <c r="V244" s="272"/>
      <c r="W244" s="272"/>
      <c r="X244" s="270"/>
      <c r="Y244" s="270" t="str">
        <f t="shared" si="24"/>
        <v/>
      </c>
      <c r="Z244" s="272"/>
      <c r="AA244" s="272"/>
      <c r="AB244" s="288"/>
    </row>
    <row r="245" spans="1:28" ht="20.25" customHeight="1">
      <c r="A245" s="270">
        <v>244</v>
      </c>
      <c r="B245" s="276"/>
      <c r="C245" s="271"/>
      <c r="D245" s="270"/>
      <c r="E245" s="272"/>
      <c r="F245" s="272"/>
      <c r="G245" s="270"/>
      <c r="H245" s="340"/>
      <c r="I245" s="272" t="str">
        <f t="shared" si="22"/>
        <v/>
      </c>
      <c r="J245" s="272"/>
      <c r="K245" s="272"/>
      <c r="L245" s="272"/>
      <c r="M245" s="272"/>
      <c r="N245" s="272"/>
      <c r="O245" s="272"/>
      <c r="P245" s="272"/>
      <c r="Q245" s="272"/>
      <c r="R245" s="272"/>
      <c r="S245" s="272"/>
      <c r="T245" s="272"/>
      <c r="U245" s="272"/>
      <c r="V245" s="272"/>
      <c r="W245" s="272"/>
      <c r="X245" s="270"/>
      <c r="Y245" s="270" t="str">
        <f t="shared" si="24"/>
        <v/>
      </c>
      <c r="Z245" s="272"/>
      <c r="AA245" s="272"/>
      <c r="AB245" s="288"/>
    </row>
    <row r="246" spans="1:28" ht="20.25" customHeight="1">
      <c r="A246" s="270">
        <v>245</v>
      </c>
      <c r="B246" s="276"/>
      <c r="C246" s="271"/>
      <c r="D246" s="270"/>
      <c r="E246" s="272"/>
      <c r="F246" s="272"/>
      <c r="G246" s="270"/>
      <c r="H246" s="340"/>
      <c r="I246" s="272" t="str">
        <f t="shared" si="22"/>
        <v/>
      </c>
      <c r="J246" s="272"/>
      <c r="K246" s="272"/>
      <c r="L246" s="272"/>
      <c r="M246" s="272"/>
      <c r="N246" s="272"/>
      <c r="O246" s="272"/>
      <c r="P246" s="272"/>
      <c r="Q246" s="272"/>
      <c r="R246" s="272"/>
      <c r="S246" s="272"/>
      <c r="T246" s="272"/>
      <c r="U246" s="272"/>
      <c r="V246" s="272"/>
      <c r="W246" s="272"/>
      <c r="X246" s="270"/>
      <c r="Y246" s="270" t="str">
        <f t="shared" si="24"/>
        <v/>
      </c>
      <c r="Z246" s="272"/>
      <c r="AA246" s="272"/>
      <c r="AB246" s="288"/>
    </row>
    <row r="247" spans="1:28" ht="20.25" customHeight="1">
      <c r="A247" s="270">
        <v>246</v>
      </c>
      <c r="B247" s="276"/>
      <c r="C247" s="271"/>
      <c r="D247" s="270"/>
      <c r="E247" s="272"/>
      <c r="F247" s="272"/>
      <c r="G247" s="270"/>
      <c r="H247" s="340"/>
      <c r="I247" s="272" t="str">
        <f t="shared" si="22"/>
        <v/>
      </c>
      <c r="J247" s="272"/>
      <c r="K247" s="272"/>
      <c r="L247" s="272"/>
      <c r="M247" s="272"/>
      <c r="N247" s="272"/>
      <c r="O247" s="272"/>
      <c r="P247" s="272"/>
      <c r="Q247" s="272"/>
      <c r="R247" s="272"/>
      <c r="S247" s="272"/>
      <c r="T247" s="272"/>
      <c r="U247" s="272"/>
      <c r="V247" s="272"/>
      <c r="W247" s="272"/>
      <c r="X247" s="270"/>
      <c r="Y247" s="270" t="str">
        <f t="shared" si="24"/>
        <v/>
      </c>
      <c r="Z247" s="272"/>
      <c r="AA247" s="272"/>
      <c r="AB247" s="288"/>
    </row>
    <row r="248" spans="1:28" ht="20.25" customHeight="1">
      <c r="A248" s="270">
        <v>247</v>
      </c>
      <c r="B248" s="276"/>
      <c r="C248" s="271"/>
      <c r="D248" s="270"/>
      <c r="E248" s="272"/>
      <c r="F248" s="272"/>
      <c r="G248" s="270"/>
      <c r="H248" s="340"/>
      <c r="I248" s="272" t="str">
        <f t="shared" si="22"/>
        <v/>
      </c>
      <c r="J248" s="272"/>
      <c r="K248" s="272"/>
      <c r="L248" s="272"/>
      <c r="M248" s="272"/>
      <c r="N248" s="272"/>
      <c r="O248" s="272"/>
      <c r="P248" s="272"/>
      <c r="Q248" s="272"/>
      <c r="R248" s="272"/>
      <c r="S248" s="272"/>
      <c r="T248" s="272"/>
      <c r="U248" s="272"/>
      <c r="V248" s="272"/>
      <c r="W248" s="272"/>
      <c r="X248" s="270"/>
      <c r="Y248" s="270" t="str">
        <f t="shared" si="24"/>
        <v/>
      </c>
      <c r="Z248" s="272"/>
      <c r="AA248" s="272"/>
      <c r="AB248" s="288"/>
    </row>
    <row r="249" spans="1:28" ht="20.25" customHeight="1">
      <c r="A249" s="270">
        <v>248</v>
      </c>
      <c r="B249" s="276"/>
      <c r="C249" s="271"/>
      <c r="D249" s="270"/>
      <c r="E249" s="272"/>
      <c r="F249" s="272"/>
      <c r="G249" s="270"/>
      <c r="H249" s="340"/>
      <c r="I249" s="272" t="str">
        <f t="shared" si="22"/>
        <v/>
      </c>
      <c r="J249" s="272"/>
      <c r="K249" s="272"/>
      <c r="L249" s="272"/>
      <c r="M249" s="272"/>
      <c r="N249" s="272"/>
      <c r="O249" s="272"/>
      <c r="P249" s="272"/>
      <c r="Q249" s="272"/>
      <c r="R249" s="272"/>
      <c r="S249" s="272"/>
      <c r="T249" s="272"/>
      <c r="U249" s="272"/>
      <c r="V249" s="272"/>
      <c r="W249" s="272"/>
      <c r="X249" s="270"/>
      <c r="Y249" s="270" t="str">
        <f t="shared" si="24"/>
        <v/>
      </c>
      <c r="Z249" s="272"/>
      <c r="AA249" s="272"/>
      <c r="AB249" s="288"/>
    </row>
    <row r="250" spans="1:28" ht="20.25" customHeight="1">
      <c r="A250" s="270">
        <v>249</v>
      </c>
      <c r="B250" s="276"/>
      <c r="C250" s="271"/>
      <c r="D250" s="270"/>
      <c r="E250" s="272"/>
      <c r="F250" s="272"/>
      <c r="G250" s="270"/>
      <c r="H250" s="340"/>
      <c r="I250" s="272" t="str">
        <f t="shared" si="22"/>
        <v/>
      </c>
      <c r="J250" s="272"/>
      <c r="K250" s="272"/>
      <c r="L250" s="272"/>
      <c r="M250" s="272"/>
      <c r="N250" s="272"/>
      <c r="O250" s="272"/>
      <c r="P250" s="272"/>
      <c r="Q250" s="272"/>
      <c r="R250" s="272"/>
      <c r="S250" s="272"/>
      <c r="T250" s="272"/>
      <c r="U250" s="272"/>
      <c r="V250" s="272"/>
      <c r="W250" s="272"/>
      <c r="X250" s="270"/>
      <c r="Y250" s="270" t="str">
        <f t="shared" si="24"/>
        <v/>
      </c>
      <c r="Z250" s="272"/>
      <c r="AA250" s="272"/>
      <c r="AB250" s="288"/>
    </row>
    <row r="251" spans="1:28" ht="20.25" customHeight="1">
      <c r="A251" s="270">
        <v>250</v>
      </c>
      <c r="B251" s="276"/>
      <c r="C251" s="271"/>
      <c r="D251" s="270"/>
      <c r="E251" s="272"/>
      <c r="F251" s="272"/>
      <c r="G251" s="270"/>
      <c r="H251" s="340"/>
      <c r="I251" s="272" t="str">
        <f t="shared" si="22"/>
        <v/>
      </c>
      <c r="J251" s="272"/>
      <c r="K251" s="272"/>
      <c r="L251" s="272"/>
      <c r="M251" s="272"/>
      <c r="N251" s="272"/>
      <c r="O251" s="272"/>
      <c r="P251" s="272"/>
      <c r="Q251" s="272"/>
      <c r="R251" s="272"/>
      <c r="S251" s="272"/>
      <c r="T251" s="272"/>
      <c r="U251" s="272"/>
      <c r="V251" s="272"/>
      <c r="W251" s="272"/>
      <c r="X251" s="270"/>
      <c r="Y251" s="270" t="str">
        <f t="shared" si="24"/>
        <v/>
      </c>
      <c r="Z251" s="272"/>
      <c r="AA251" s="272"/>
      <c r="AB251" s="288"/>
    </row>
    <row r="252" spans="1:28" ht="20.25" customHeight="1">
      <c r="A252" s="270">
        <v>251</v>
      </c>
      <c r="B252" s="276"/>
      <c r="C252" s="271"/>
      <c r="D252" s="270"/>
      <c r="E252" s="272"/>
      <c r="F252" s="272"/>
      <c r="G252" s="270"/>
      <c r="H252" s="340"/>
      <c r="I252" s="272" t="str">
        <f t="shared" si="22"/>
        <v/>
      </c>
      <c r="J252" s="272"/>
      <c r="K252" s="272"/>
      <c r="L252" s="272"/>
      <c r="M252" s="272"/>
      <c r="N252" s="272"/>
      <c r="O252" s="272"/>
      <c r="P252" s="272"/>
      <c r="Q252" s="272"/>
      <c r="R252" s="272"/>
      <c r="S252" s="272"/>
      <c r="T252" s="272"/>
      <c r="U252" s="272"/>
      <c r="V252" s="272"/>
      <c r="W252" s="272"/>
      <c r="X252" s="270"/>
      <c r="Y252" s="270" t="str">
        <f t="shared" si="24"/>
        <v/>
      </c>
      <c r="Z252" s="272"/>
      <c r="AA252" s="272"/>
      <c r="AB252" s="288"/>
    </row>
    <row r="253" spans="1:28" ht="20.25" customHeight="1">
      <c r="A253" s="270">
        <v>252</v>
      </c>
      <c r="B253" s="276"/>
      <c r="C253" s="271"/>
      <c r="D253" s="270"/>
      <c r="E253" s="272"/>
      <c r="F253" s="272"/>
      <c r="G253" s="270"/>
      <c r="H253" s="340"/>
      <c r="I253" s="272" t="str">
        <f t="shared" si="22"/>
        <v/>
      </c>
      <c r="J253" s="272"/>
      <c r="K253" s="272"/>
      <c r="L253" s="272"/>
      <c r="M253" s="272"/>
      <c r="N253" s="272"/>
      <c r="O253" s="272"/>
      <c r="P253" s="272"/>
      <c r="Q253" s="272"/>
      <c r="R253" s="272"/>
      <c r="S253" s="272"/>
      <c r="T253" s="272"/>
      <c r="U253" s="272"/>
      <c r="V253" s="272"/>
      <c r="W253" s="272"/>
      <c r="X253" s="270"/>
      <c r="Y253" s="270" t="str">
        <f t="shared" si="24"/>
        <v/>
      </c>
      <c r="Z253" s="272"/>
      <c r="AA253" s="272"/>
      <c r="AB253" s="288"/>
    </row>
    <row r="254" spans="1:28" ht="20.25" customHeight="1">
      <c r="A254" s="270">
        <v>253</v>
      </c>
      <c r="B254" s="276"/>
      <c r="C254" s="271"/>
      <c r="D254" s="270"/>
      <c r="E254" s="272"/>
      <c r="F254" s="272"/>
      <c r="G254" s="270"/>
      <c r="H254" s="340"/>
      <c r="I254" s="272" t="str">
        <f t="shared" si="22"/>
        <v/>
      </c>
      <c r="J254" s="272"/>
      <c r="K254" s="272"/>
      <c r="L254" s="272"/>
      <c r="M254" s="272"/>
      <c r="N254" s="272"/>
      <c r="O254" s="272"/>
      <c r="P254" s="272"/>
      <c r="Q254" s="272"/>
      <c r="R254" s="272"/>
      <c r="S254" s="272"/>
      <c r="T254" s="272"/>
      <c r="U254" s="272"/>
      <c r="V254" s="272"/>
      <c r="W254" s="272"/>
      <c r="X254" s="270"/>
      <c r="Y254" s="270" t="str">
        <f t="shared" si="24"/>
        <v/>
      </c>
      <c r="Z254" s="272"/>
      <c r="AA254" s="272"/>
      <c r="AB254" s="288"/>
    </row>
    <row r="255" spans="1:28" ht="20.25" customHeight="1">
      <c r="A255" s="270">
        <v>254</v>
      </c>
      <c r="B255" s="276"/>
      <c r="C255" s="271"/>
      <c r="D255" s="270"/>
      <c r="E255" s="272"/>
      <c r="F255" s="272"/>
      <c r="G255" s="270"/>
      <c r="H255" s="340"/>
      <c r="I255" s="272" t="str">
        <f t="shared" si="22"/>
        <v/>
      </c>
      <c r="J255" s="272"/>
      <c r="K255" s="272"/>
      <c r="L255" s="272"/>
      <c r="M255" s="272"/>
      <c r="N255" s="272"/>
      <c r="O255" s="272"/>
      <c r="P255" s="272"/>
      <c r="Q255" s="272"/>
      <c r="R255" s="272"/>
      <c r="S255" s="272"/>
      <c r="T255" s="272"/>
      <c r="U255" s="272"/>
      <c r="V255" s="272"/>
      <c r="W255" s="272"/>
      <c r="X255" s="270"/>
      <c r="Y255" s="270" t="str">
        <f t="shared" si="24"/>
        <v/>
      </c>
      <c r="Z255" s="272"/>
      <c r="AA255" s="272"/>
      <c r="AB255" s="288"/>
    </row>
    <row r="256" spans="1:28" ht="20.25" customHeight="1">
      <c r="A256" s="270">
        <v>255</v>
      </c>
      <c r="B256" s="276"/>
      <c r="C256" s="271"/>
      <c r="D256" s="270"/>
      <c r="E256" s="272"/>
      <c r="F256" s="272"/>
      <c r="G256" s="270"/>
      <c r="H256" s="340"/>
      <c r="I256" s="272" t="str">
        <f t="shared" si="22"/>
        <v/>
      </c>
      <c r="J256" s="272"/>
      <c r="K256" s="272"/>
      <c r="L256" s="272"/>
      <c r="M256" s="272"/>
      <c r="N256" s="272"/>
      <c r="O256" s="272"/>
      <c r="P256" s="272"/>
      <c r="Q256" s="272"/>
      <c r="R256" s="272"/>
      <c r="S256" s="272"/>
      <c r="T256" s="272"/>
      <c r="U256" s="272"/>
      <c r="V256" s="272"/>
      <c r="W256" s="272"/>
      <c r="X256" s="270"/>
      <c r="Y256" s="270" t="str">
        <f t="shared" si="24"/>
        <v/>
      </c>
      <c r="Z256" s="272"/>
      <c r="AA256" s="272"/>
      <c r="AB256" s="288"/>
    </row>
    <row r="257" spans="1:28" ht="20.25" customHeight="1">
      <c r="A257" s="270">
        <v>256</v>
      </c>
      <c r="B257" s="276"/>
      <c r="C257" s="271"/>
      <c r="D257" s="270"/>
      <c r="E257" s="272"/>
      <c r="F257" s="272"/>
      <c r="G257" s="270"/>
      <c r="H257" s="340"/>
      <c r="I257" s="272" t="str">
        <f t="shared" si="22"/>
        <v/>
      </c>
      <c r="J257" s="272"/>
      <c r="K257" s="272"/>
      <c r="L257" s="272"/>
      <c r="M257" s="272"/>
      <c r="N257" s="272"/>
      <c r="O257" s="272"/>
      <c r="P257" s="272"/>
      <c r="Q257" s="272"/>
      <c r="R257" s="272"/>
      <c r="S257" s="272"/>
      <c r="T257" s="272"/>
      <c r="U257" s="272"/>
      <c r="V257" s="272"/>
      <c r="W257" s="272"/>
      <c r="X257" s="270"/>
      <c r="Y257" s="270" t="str">
        <f t="shared" si="24"/>
        <v/>
      </c>
      <c r="Z257" s="272"/>
      <c r="AA257" s="272"/>
      <c r="AB257" s="288"/>
    </row>
    <row r="258" spans="1:28" ht="20.25" customHeight="1">
      <c r="A258" s="270">
        <v>257</v>
      </c>
      <c r="B258" s="276"/>
      <c r="C258" s="271"/>
      <c r="D258" s="270"/>
      <c r="E258" s="272"/>
      <c r="F258" s="272"/>
      <c r="G258" s="270"/>
      <c r="H258" s="340"/>
      <c r="I258" s="272" t="str">
        <f t="shared" si="22"/>
        <v/>
      </c>
      <c r="J258" s="272"/>
      <c r="K258" s="272"/>
      <c r="L258" s="272"/>
      <c r="M258" s="272"/>
      <c r="N258" s="272"/>
      <c r="O258" s="272"/>
      <c r="P258" s="272"/>
      <c r="Q258" s="272"/>
      <c r="R258" s="272"/>
      <c r="S258" s="272"/>
      <c r="T258" s="272"/>
      <c r="U258" s="272"/>
      <c r="V258" s="272"/>
      <c r="W258" s="272"/>
      <c r="X258" s="270"/>
      <c r="Y258" s="270" t="str">
        <f t="shared" si="24"/>
        <v/>
      </c>
      <c r="Z258" s="272"/>
      <c r="AA258" s="272"/>
      <c r="AB258" s="288"/>
    </row>
    <row r="259" spans="1:28" ht="20.25" customHeight="1">
      <c r="A259" s="270">
        <v>258</v>
      </c>
      <c r="B259" s="276"/>
      <c r="C259" s="271"/>
      <c r="D259" s="270"/>
      <c r="E259" s="272"/>
      <c r="F259" s="272"/>
      <c r="G259" s="270"/>
      <c r="H259" s="340"/>
      <c r="I259" s="272" t="str">
        <f t="shared" si="22"/>
        <v/>
      </c>
      <c r="J259" s="272"/>
      <c r="K259" s="272"/>
      <c r="L259" s="272"/>
      <c r="M259" s="272"/>
      <c r="N259" s="272"/>
      <c r="O259" s="272"/>
      <c r="P259" s="272"/>
      <c r="Q259" s="272"/>
      <c r="R259" s="272"/>
      <c r="S259" s="272"/>
      <c r="T259" s="272"/>
      <c r="U259" s="272"/>
      <c r="V259" s="272"/>
      <c r="W259" s="272"/>
      <c r="X259" s="270"/>
      <c r="Y259" s="270" t="str">
        <f t="shared" si="24"/>
        <v/>
      </c>
      <c r="Z259" s="272"/>
      <c r="AA259" s="272"/>
      <c r="AB259" s="288"/>
    </row>
    <row r="260" spans="1:28" ht="20.25" customHeight="1">
      <c r="A260" s="270">
        <v>259</v>
      </c>
      <c r="B260" s="276"/>
      <c r="C260" s="271"/>
      <c r="D260" s="270"/>
      <c r="E260" s="272"/>
      <c r="F260" s="272"/>
      <c r="G260" s="270"/>
      <c r="H260" s="340"/>
      <c r="I260" s="272" t="str">
        <f t="shared" si="22"/>
        <v/>
      </c>
      <c r="J260" s="272"/>
      <c r="K260" s="272"/>
      <c r="L260" s="272"/>
      <c r="M260" s="272"/>
      <c r="N260" s="272"/>
      <c r="O260" s="272"/>
      <c r="P260" s="272"/>
      <c r="Q260" s="272"/>
      <c r="R260" s="272"/>
      <c r="S260" s="272"/>
      <c r="T260" s="272"/>
      <c r="U260" s="272"/>
      <c r="V260" s="272"/>
      <c r="W260" s="272"/>
      <c r="X260" s="270"/>
      <c r="Y260" s="270" t="str">
        <f t="shared" si="24"/>
        <v/>
      </c>
      <c r="Z260" s="272"/>
      <c r="AA260" s="272"/>
      <c r="AB260" s="288"/>
    </row>
    <row r="261" spans="1:28" ht="20.25" customHeight="1">
      <c r="A261" s="270">
        <v>260</v>
      </c>
      <c r="B261" s="276"/>
      <c r="C261" s="271"/>
      <c r="D261" s="270"/>
      <c r="E261" s="272"/>
      <c r="F261" s="272"/>
      <c r="G261" s="270"/>
      <c r="H261" s="340"/>
      <c r="I261" s="272" t="str">
        <f t="shared" ref="I261:I324" si="30">IF(ISBLANK(H261), "", TEXT(H261, "mmm-yy"))</f>
        <v/>
      </c>
      <c r="J261" s="272"/>
      <c r="K261" s="272"/>
      <c r="L261" s="272"/>
      <c r="M261" s="272"/>
      <c r="N261" s="272"/>
      <c r="O261" s="272"/>
      <c r="P261" s="272"/>
      <c r="Q261" s="272"/>
      <c r="R261" s="272"/>
      <c r="S261" s="272"/>
      <c r="T261" s="272"/>
      <c r="U261" s="272"/>
      <c r="V261" s="272"/>
      <c r="W261" s="272"/>
      <c r="X261" s="270"/>
      <c r="Y261" s="270" t="str">
        <f t="shared" si="24"/>
        <v/>
      </c>
      <c r="Z261" s="272"/>
      <c r="AA261" s="272"/>
      <c r="AB261" s="288"/>
    </row>
    <row r="262" spans="1:28" ht="20.25" customHeight="1">
      <c r="A262" s="270">
        <v>261</v>
      </c>
      <c r="B262" s="276"/>
      <c r="C262" s="271"/>
      <c r="D262" s="270"/>
      <c r="E262" s="272"/>
      <c r="F262" s="272"/>
      <c r="G262" s="270"/>
      <c r="H262" s="340"/>
      <c r="I262" s="272" t="str">
        <f t="shared" si="30"/>
        <v/>
      </c>
      <c r="J262" s="272"/>
      <c r="K262" s="272"/>
      <c r="L262" s="272"/>
      <c r="M262" s="272"/>
      <c r="N262" s="272"/>
      <c r="O262" s="272"/>
      <c r="P262" s="272"/>
      <c r="Q262" s="272"/>
      <c r="R262" s="272"/>
      <c r="S262" s="272"/>
      <c r="T262" s="272"/>
      <c r="U262" s="272"/>
      <c r="V262" s="272"/>
      <c r="W262" s="272"/>
      <c r="X262" s="270"/>
      <c r="Y262" s="270" t="str">
        <f t="shared" ref="Y262:Y325" si="31">IF(COUNTA(J262:T262)=0, "", SUM(J262:T262))</f>
        <v/>
      </c>
      <c r="Z262" s="272"/>
      <c r="AA262" s="272"/>
      <c r="AB262" s="288"/>
    </row>
    <row r="263" spans="1:28" ht="20.25" customHeight="1">
      <c r="A263" s="270">
        <v>262</v>
      </c>
      <c r="B263" s="276"/>
      <c r="C263" s="271"/>
      <c r="D263" s="270"/>
      <c r="E263" s="272"/>
      <c r="F263" s="272"/>
      <c r="G263" s="270"/>
      <c r="H263" s="340"/>
      <c r="I263" s="272" t="str">
        <f t="shared" si="30"/>
        <v/>
      </c>
      <c r="J263" s="272"/>
      <c r="K263" s="272"/>
      <c r="L263" s="272"/>
      <c r="M263" s="272"/>
      <c r="N263" s="272"/>
      <c r="O263" s="272"/>
      <c r="P263" s="272"/>
      <c r="Q263" s="272"/>
      <c r="R263" s="272"/>
      <c r="S263" s="272"/>
      <c r="T263" s="272"/>
      <c r="U263" s="272"/>
      <c r="V263" s="272"/>
      <c r="W263" s="272"/>
      <c r="X263" s="270"/>
      <c r="Y263" s="270" t="str">
        <f t="shared" si="31"/>
        <v/>
      </c>
      <c r="Z263" s="272"/>
      <c r="AA263" s="272"/>
      <c r="AB263" s="288"/>
    </row>
    <row r="264" spans="1:28" ht="20.25" customHeight="1">
      <c r="A264" s="270">
        <v>263</v>
      </c>
      <c r="B264" s="276"/>
      <c r="C264" s="271"/>
      <c r="D264" s="270"/>
      <c r="E264" s="272"/>
      <c r="F264" s="272"/>
      <c r="G264" s="270"/>
      <c r="H264" s="340"/>
      <c r="I264" s="272" t="str">
        <f t="shared" si="30"/>
        <v/>
      </c>
      <c r="J264" s="272"/>
      <c r="K264" s="272"/>
      <c r="L264" s="272"/>
      <c r="M264" s="272"/>
      <c r="N264" s="272"/>
      <c r="O264" s="272"/>
      <c r="P264" s="272"/>
      <c r="Q264" s="272"/>
      <c r="R264" s="272"/>
      <c r="S264" s="272"/>
      <c r="T264" s="272"/>
      <c r="U264" s="272"/>
      <c r="V264" s="272"/>
      <c r="W264" s="272"/>
      <c r="X264" s="270"/>
      <c r="Y264" s="270" t="str">
        <f t="shared" si="31"/>
        <v/>
      </c>
      <c r="Z264" s="272"/>
      <c r="AA264" s="272"/>
      <c r="AB264" s="288"/>
    </row>
    <row r="265" spans="1:28" ht="20.25" customHeight="1">
      <c r="A265" s="270">
        <v>264</v>
      </c>
      <c r="B265" s="276"/>
      <c r="C265" s="271"/>
      <c r="D265" s="270"/>
      <c r="E265" s="272"/>
      <c r="F265" s="272"/>
      <c r="G265" s="270"/>
      <c r="H265" s="340"/>
      <c r="I265" s="272" t="str">
        <f t="shared" si="30"/>
        <v/>
      </c>
      <c r="J265" s="272"/>
      <c r="K265" s="272"/>
      <c r="L265" s="272"/>
      <c r="M265" s="272"/>
      <c r="N265" s="272"/>
      <c r="O265" s="272"/>
      <c r="P265" s="272"/>
      <c r="Q265" s="272"/>
      <c r="R265" s="272"/>
      <c r="S265" s="272"/>
      <c r="T265" s="272"/>
      <c r="U265" s="272"/>
      <c r="V265" s="272"/>
      <c r="W265" s="272"/>
      <c r="X265" s="270"/>
      <c r="Y265" s="270" t="str">
        <f t="shared" si="31"/>
        <v/>
      </c>
      <c r="Z265" s="272"/>
      <c r="AA265" s="272"/>
      <c r="AB265" s="288"/>
    </row>
    <row r="266" spans="1:28" ht="20.25" customHeight="1">
      <c r="A266" s="270">
        <v>265</v>
      </c>
      <c r="B266" s="276"/>
      <c r="C266" s="271"/>
      <c r="D266" s="270"/>
      <c r="E266" s="272"/>
      <c r="F266" s="272"/>
      <c r="G266" s="270"/>
      <c r="H266" s="340"/>
      <c r="I266" s="272" t="str">
        <f t="shared" si="30"/>
        <v/>
      </c>
      <c r="J266" s="272"/>
      <c r="K266" s="272"/>
      <c r="L266" s="272"/>
      <c r="M266" s="272"/>
      <c r="N266" s="272"/>
      <c r="O266" s="272"/>
      <c r="P266" s="272"/>
      <c r="Q266" s="272"/>
      <c r="R266" s="272"/>
      <c r="S266" s="272"/>
      <c r="T266" s="272"/>
      <c r="U266" s="272"/>
      <c r="V266" s="272"/>
      <c r="W266" s="272"/>
      <c r="X266" s="270"/>
      <c r="Y266" s="270" t="str">
        <f t="shared" si="31"/>
        <v/>
      </c>
      <c r="Z266" s="272"/>
      <c r="AA266" s="272"/>
      <c r="AB266" s="288"/>
    </row>
    <row r="267" spans="1:28" ht="20.25" customHeight="1">
      <c r="A267" s="270">
        <v>266</v>
      </c>
      <c r="B267" s="276"/>
      <c r="C267" s="271"/>
      <c r="D267" s="270"/>
      <c r="E267" s="272"/>
      <c r="F267" s="272"/>
      <c r="G267" s="270"/>
      <c r="H267" s="340"/>
      <c r="I267" s="272" t="str">
        <f t="shared" si="30"/>
        <v/>
      </c>
      <c r="J267" s="272"/>
      <c r="K267" s="272"/>
      <c r="L267" s="272"/>
      <c r="M267" s="272"/>
      <c r="N267" s="272"/>
      <c r="O267" s="272"/>
      <c r="P267" s="272"/>
      <c r="Q267" s="272"/>
      <c r="R267" s="272"/>
      <c r="S267" s="272"/>
      <c r="T267" s="272"/>
      <c r="U267" s="272"/>
      <c r="V267" s="272"/>
      <c r="W267" s="272"/>
      <c r="X267" s="270"/>
      <c r="Y267" s="270" t="str">
        <f t="shared" si="31"/>
        <v/>
      </c>
      <c r="Z267" s="272"/>
      <c r="AA267" s="272"/>
      <c r="AB267" s="288"/>
    </row>
    <row r="268" spans="1:28" ht="20.25" customHeight="1">
      <c r="A268" s="270">
        <v>267</v>
      </c>
      <c r="B268" s="276"/>
      <c r="C268" s="271"/>
      <c r="D268" s="270"/>
      <c r="E268" s="272"/>
      <c r="F268" s="272"/>
      <c r="G268" s="270"/>
      <c r="H268" s="340"/>
      <c r="I268" s="272" t="str">
        <f t="shared" si="30"/>
        <v/>
      </c>
      <c r="J268" s="272"/>
      <c r="K268" s="272"/>
      <c r="L268" s="272"/>
      <c r="M268" s="272"/>
      <c r="N268" s="272"/>
      <c r="O268" s="272"/>
      <c r="P268" s="272"/>
      <c r="Q268" s="272"/>
      <c r="R268" s="272"/>
      <c r="S268" s="272"/>
      <c r="T268" s="272"/>
      <c r="U268" s="272"/>
      <c r="V268" s="272"/>
      <c r="W268" s="272"/>
      <c r="X268" s="270"/>
      <c r="Y268" s="270" t="str">
        <f t="shared" si="31"/>
        <v/>
      </c>
      <c r="Z268" s="272"/>
      <c r="AA268" s="272"/>
      <c r="AB268" s="288"/>
    </row>
    <row r="269" spans="1:28" ht="20.25" customHeight="1">
      <c r="A269" s="270">
        <v>268</v>
      </c>
      <c r="B269" s="276"/>
      <c r="C269" s="271"/>
      <c r="D269" s="270"/>
      <c r="E269" s="272"/>
      <c r="F269" s="272"/>
      <c r="G269" s="270"/>
      <c r="H269" s="340"/>
      <c r="I269" s="272" t="str">
        <f t="shared" si="30"/>
        <v/>
      </c>
      <c r="J269" s="272"/>
      <c r="K269" s="272"/>
      <c r="L269" s="272"/>
      <c r="M269" s="272"/>
      <c r="N269" s="272"/>
      <c r="O269" s="272"/>
      <c r="P269" s="272"/>
      <c r="Q269" s="272"/>
      <c r="R269" s="272"/>
      <c r="S269" s="272"/>
      <c r="T269" s="272"/>
      <c r="U269" s="272"/>
      <c r="V269" s="272"/>
      <c r="W269" s="272"/>
      <c r="X269" s="270"/>
      <c r="Y269" s="270" t="str">
        <f t="shared" si="31"/>
        <v/>
      </c>
      <c r="Z269" s="272"/>
      <c r="AA269" s="272"/>
      <c r="AB269" s="288"/>
    </row>
    <row r="270" spans="1:28" ht="20.25" customHeight="1">
      <c r="A270" s="270">
        <v>269</v>
      </c>
      <c r="B270" s="276"/>
      <c r="C270" s="271"/>
      <c r="D270" s="270"/>
      <c r="E270" s="272"/>
      <c r="F270" s="272"/>
      <c r="G270" s="270"/>
      <c r="H270" s="340"/>
      <c r="I270" s="272" t="str">
        <f t="shared" si="30"/>
        <v/>
      </c>
      <c r="J270" s="272"/>
      <c r="K270" s="272"/>
      <c r="L270" s="272"/>
      <c r="M270" s="272"/>
      <c r="N270" s="272"/>
      <c r="O270" s="272"/>
      <c r="P270" s="272"/>
      <c r="Q270" s="272"/>
      <c r="R270" s="272"/>
      <c r="S270" s="272"/>
      <c r="T270" s="272"/>
      <c r="U270" s="272"/>
      <c r="V270" s="272"/>
      <c r="W270" s="272"/>
      <c r="X270" s="270"/>
      <c r="Y270" s="270" t="str">
        <f t="shared" si="31"/>
        <v/>
      </c>
      <c r="Z270" s="272"/>
      <c r="AA270" s="272"/>
      <c r="AB270" s="288"/>
    </row>
    <row r="271" spans="1:28" ht="20.25" customHeight="1">
      <c r="A271" s="270">
        <v>270</v>
      </c>
      <c r="B271" s="276"/>
      <c r="C271" s="271"/>
      <c r="D271" s="270"/>
      <c r="E271" s="272"/>
      <c r="F271" s="272"/>
      <c r="G271" s="270"/>
      <c r="H271" s="340"/>
      <c r="I271" s="272" t="str">
        <f t="shared" si="30"/>
        <v/>
      </c>
      <c r="J271" s="272"/>
      <c r="K271" s="272"/>
      <c r="L271" s="272"/>
      <c r="M271" s="272"/>
      <c r="N271" s="272"/>
      <c r="O271" s="272"/>
      <c r="P271" s="272"/>
      <c r="Q271" s="272"/>
      <c r="R271" s="272"/>
      <c r="S271" s="272"/>
      <c r="T271" s="272"/>
      <c r="U271" s="272"/>
      <c r="V271" s="272"/>
      <c r="W271" s="272"/>
      <c r="X271" s="270"/>
      <c r="Y271" s="270" t="str">
        <f t="shared" si="31"/>
        <v/>
      </c>
      <c r="Z271" s="272"/>
      <c r="AA271" s="272"/>
      <c r="AB271" s="288"/>
    </row>
    <row r="272" spans="1:28" ht="20.25" customHeight="1">
      <c r="A272" s="270">
        <v>271</v>
      </c>
      <c r="B272" s="276"/>
      <c r="C272" s="271"/>
      <c r="D272" s="270"/>
      <c r="E272" s="272"/>
      <c r="F272" s="272"/>
      <c r="G272" s="270"/>
      <c r="H272" s="340"/>
      <c r="I272" s="272" t="str">
        <f t="shared" si="30"/>
        <v/>
      </c>
      <c r="J272" s="272"/>
      <c r="K272" s="272"/>
      <c r="L272" s="272"/>
      <c r="M272" s="272"/>
      <c r="N272" s="272"/>
      <c r="O272" s="272"/>
      <c r="P272" s="272"/>
      <c r="Q272" s="272"/>
      <c r="R272" s="272"/>
      <c r="S272" s="272"/>
      <c r="T272" s="272"/>
      <c r="U272" s="272"/>
      <c r="V272" s="272"/>
      <c r="W272" s="272"/>
      <c r="X272" s="270"/>
      <c r="Y272" s="270" t="str">
        <f t="shared" si="31"/>
        <v/>
      </c>
      <c r="Z272" s="272"/>
      <c r="AA272" s="272"/>
      <c r="AB272" s="288"/>
    </row>
    <row r="273" spans="1:28" ht="20.25" customHeight="1">
      <c r="A273" s="270">
        <v>272</v>
      </c>
      <c r="B273" s="276"/>
      <c r="C273" s="271"/>
      <c r="D273" s="270"/>
      <c r="E273" s="272"/>
      <c r="F273" s="272"/>
      <c r="G273" s="270"/>
      <c r="H273" s="340"/>
      <c r="I273" s="272" t="str">
        <f t="shared" si="30"/>
        <v/>
      </c>
      <c r="J273" s="272"/>
      <c r="K273" s="272"/>
      <c r="L273" s="272"/>
      <c r="M273" s="272"/>
      <c r="N273" s="272"/>
      <c r="O273" s="272"/>
      <c r="P273" s="272"/>
      <c r="Q273" s="272"/>
      <c r="R273" s="272"/>
      <c r="S273" s="272"/>
      <c r="T273" s="272"/>
      <c r="U273" s="272"/>
      <c r="V273" s="272"/>
      <c r="W273" s="272"/>
      <c r="X273" s="270"/>
      <c r="Y273" s="270" t="str">
        <f t="shared" si="31"/>
        <v/>
      </c>
      <c r="Z273" s="272"/>
      <c r="AA273" s="272"/>
      <c r="AB273" s="288"/>
    </row>
    <row r="274" spans="1:28" ht="20.25" customHeight="1">
      <c r="A274" s="270">
        <v>273</v>
      </c>
      <c r="B274" s="276"/>
      <c r="C274" s="271"/>
      <c r="D274" s="270"/>
      <c r="E274" s="272"/>
      <c r="F274" s="272"/>
      <c r="G274" s="270"/>
      <c r="H274" s="340"/>
      <c r="I274" s="272" t="str">
        <f t="shared" si="30"/>
        <v/>
      </c>
      <c r="J274" s="272"/>
      <c r="K274" s="272"/>
      <c r="L274" s="272"/>
      <c r="M274" s="272"/>
      <c r="N274" s="272"/>
      <c r="O274" s="272"/>
      <c r="P274" s="272"/>
      <c r="Q274" s="272"/>
      <c r="R274" s="272"/>
      <c r="S274" s="272"/>
      <c r="T274" s="272"/>
      <c r="U274" s="272"/>
      <c r="V274" s="272"/>
      <c r="W274" s="272"/>
      <c r="X274" s="270"/>
      <c r="Y274" s="270" t="str">
        <f t="shared" si="31"/>
        <v/>
      </c>
      <c r="Z274" s="272"/>
      <c r="AA274" s="272"/>
      <c r="AB274" s="288"/>
    </row>
    <row r="275" spans="1:28" ht="20.25" customHeight="1">
      <c r="A275" s="270">
        <v>274</v>
      </c>
      <c r="B275" s="276"/>
      <c r="C275" s="271"/>
      <c r="D275" s="270"/>
      <c r="E275" s="272"/>
      <c r="F275" s="272"/>
      <c r="G275" s="270"/>
      <c r="H275" s="340"/>
      <c r="I275" s="272" t="str">
        <f t="shared" si="30"/>
        <v/>
      </c>
      <c r="J275" s="272"/>
      <c r="K275" s="272"/>
      <c r="L275" s="272"/>
      <c r="M275" s="272"/>
      <c r="N275" s="272"/>
      <c r="O275" s="272"/>
      <c r="P275" s="272"/>
      <c r="Q275" s="272"/>
      <c r="R275" s="272"/>
      <c r="S275" s="272"/>
      <c r="T275" s="272"/>
      <c r="U275" s="272"/>
      <c r="V275" s="272"/>
      <c r="W275" s="272"/>
      <c r="X275" s="270"/>
      <c r="Y275" s="270" t="str">
        <f t="shared" si="31"/>
        <v/>
      </c>
      <c r="Z275" s="272"/>
      <c r="AA275" s="272"/>
      <c r="AB275" s="288"/>
    </row>
    <row r="276" spans="1:28" ht="20.25" customHeight="1">
      <c r="A276" s="270">
        <v>275</v>
      </c>
      <c r="B276" s="276"/>
      <c r="C276" s="271"/>
      <c r="D276" s="270"/>
      <c r="E276" s="272"/>
      <c r="F276" s="272"/>
      <c r="G276" s="270"/>
      <c r="H276" s="340"/>
      <c r="I276" s="272" t="str">
        <f t="shared" si="30"/>
        <v/>
      </c>
      <c r="J276" s="272"/>
      <c r="K276" s="272"/>
      <c r="L276" s="272"/>
      <c r="M276" s="272"/>
      <c r="N276" s="272"/>
      <c r="O276" s="272"/>
      <c r="P276" s="272"/>
      <c r="Q276" s="272"/>
      <c r="R276" s="272"/>
      <c r="S276" s="272"/>
      <c r="T276" s="272"/>
      <c r="U276" s="272"/>
      <c r="V276" s="272"/>
      <c r="W276" s="272"/>
      <c r="X276" s="270"/>
      <c r="Y276" s="270" t="str">
        <f t="shared" si="31"/>
        <v/>
      </c>
      <c r="Z276" s="272"/>
      <c r="AA276" s="272"/>
      <c r="AB276" s="288"/>
    </row>
    <row r="277" spans="1:28" ht="20.25" customHeight="1">
      <c r="A277" s="270">
        <v>276</v>
      </c>
      <c r="B277" s="276"/>
      <c r="C277" s="271"/>
      <c r="D277" s="270"/>
      <c r="E277" s="272"/>
      <c r="F277" s="272"/>
      <c r="G277" s="270"/>
      <c r="H277" s="340"/>
      <c r="I277" s="272" t="str">
        <f t="shared" si="30"/>
        <v/>
      </c>
      <c r="J277" s="272"/>
      <c r="K277" s="272"/>
      <c r="L277" s="272"/>
      <c r="M277" s="272"/>
      <c r="N277" s="272"/>
      <c r="O277" s="272"/>
      <c r="P277" s="272"/>
      <c r="Q277" s="272"/>
      <c r="R277" s="272"/>
      <c r="S277" s="272"/>
      <c r="T277" s="272"/>
      <c r="U277" s="272"/>
      <c r="V277" s="272"/>
      <c r="W277" s="272"/>
      <c r="X277" s="270"/>
      <c r="Y277" s="270" t="str">
        <f t="shared" si="31"/>
        <v/>
      </c>
      <c r="Z277" s="272"/>
      <c r="AA277" s="272"/>
      <c r="AB277" s="288"/>
    </row>
    <row r="278" spans="1:28" ht="20.25" customHeight="1">
      <c r="A278" s="270">
        <v>277</v>
      </c>
      <c r="B278" s="276"/>
      <c r="C278" s="271"/>
      <c r="D278" s="270"/>
      <c r="E278" s="272"/>
      <c r="F278" s="272"/>
      <c r="G278" s="270"/>
      <c r="H278" s="340"/>
      <c r="I278" s="272" t="str">
        <f t="shared" si="30"/>
        <v/>
      </c>
      <c r="J278" s="272"/>
      <c r="K278" s="272"/>
      <c r="L278" s="272"/>
      <c r="M278" s="272"/>
      <c r="N278" s="272"/>
      <c r="O278" s="272"/>
      <c r="P278" s="272"/>
      <c r="Q278" s="272"/>
      <c r="R278" s="272"/>
      <c r="S278" s="272"/>
      <c r="T278" s="272"/>
      <c r="U278" s="272"/>
      <c r="V278" s="272"/>
      <c r="W278" s="272"/>
      <c r="X278" s="270"/>
      <c r="Y278" s="270" t="str">
        <f t="shared" si="31"/>
        <v/>
      </c>
      <c r="Z278" s="272"/>
      <c r="AA278" s="272"/>
      <c r="AB278" s="288"/>
    </row>
    <row r="279" spans="1:28" ht="20.25" customHeight="1">
      <c r="A279" s="270">
        <v>278</v>
      </c>
      <c r="B279" s="276"/>
      <c r="C279" s="271"/>
      <c r="D279" s="270"/>
      <c r="E279" s="272"/>
      <c r="F279" s="272"/>
      <c r="G279" s="270"/>
      <c r="H279" s="340"/>
      <c r="I279" s="272" t="str">
        <f t="shared" si="30"/>
        <v/>
      </c>
      <c r="J279" s="272"/>
      <c r="K279" s="272"/>
      <c r="L279" s="272"/>
      <c r="M279" s="272"/>
      <c r="N279" s="272"/>
      <c r="O279" s="272"/>
      <c r="P279" s="272"/>
      <c r="Q279" s="272"/>
      <c r="R279" s="272"/>
      <c r="S279" s="272"/>
      <c r="T279" s="272"/>
      <c r="U279" s="272"/>
      <c r="V279" s="272"/>
      <c r="W279" s="272"/>
      <c r="X279" s="270"/>
      <c r="Y279" s="270" t="str">
        <f t="shared" si="31"/>
        <v/>
      </c>
      <c r="Z279" s="272"/>
      <c r="AA279" s="272"/>
      <c r="AB279" s="288"/>
    </row>
    <row r="280" spans="1:28" ht="20.25" customHeight="1">
      <c r="A280" s="270">
        <v>279</v>
      </c>
      <c r="B280" s="276"/>
      <c r="C280" s="271"/>
      <c r="D280" s="270"/>
      <c r="E280" s="272"/>
      <c r="F280" s="272"/>
      <c r="G280" s="270"/>
      <c r="H280" s="340"/>
      <c r="I280" s="272" t="str">
        <f t="shared" si="30"/>
        <v/>
      </c>
      <c r="J280" s="272"/>
      <c r="K280" s="272"/>
      <c r="L280" s="272"/>
      <c r="M280" s="272"/>
      <c r="N280" s="272"/>
      <c r="O280" s="272"/>
      <c r="P280" s="272"/>
      <c r="Q280" s="272"/>
      <c r="R280" s="272"/>
      <c r="S280" s="272"/>
      <c r="T280" s="272"/>
      <c r="U280" s="272"/>
      <c r="V280" s="272"/>
      <c r="W280" s="272"/>
      <c r="X280" s="270"/>
      <c r="Y280" s="270" t="str">
        <f t="shared" si="31"/>
        <v/>
      </c>
      <c r="Z280" s="272"/>
      <c r="AA280" s="272"/>
      <c r="AB280" s="288"/>
    </row>
    <row r="281" spans="1:28" ht="20.25" customHeight="1">
      <c r="A281" s="270">
        <v>280</v>
      </c>
      <c r="B281" s="276"/>
      <c r="C281" s="271"/>
      <c r="D281" s="270"/>
      <c r="E281" s="272"/>
      <c r="F281" s="272"/>
      <c r="G281" s="270"/>
      <c r="H281" s="340"/>
      <c r="I281" s="272" t="str">
        <f t="shared" si="30"/>
        <v/>
      </c>
      <c r="J281" s="272"/>
      <c r="K281" s="272"/>
      <c r="L281" s="272"/>
      <c r="M281" s="272"/>
      <c r="N281" s="272"/>
      <c r="O281" s="272"/>
      <c r="P281" s="272"/>
      <c r="Q281" s="272"/>
      <c r="R281" s="272"/>
      <c r="S281" s="272"/>
      <c r="T281" s="272"/>
      <c r="U281" s="272"/>
      <c r="V281" s="272"/>
      <c r="W281" s="272"/>
      <c r="X281" s="270"/>
      <c r="Y281" s="270" t="str">
        <f t="shared" si="31"/>
        <v/>
      </c>
      <c r="Z281" s="272"/>
      <c r="AA281" s="272"/>
      <c r="AB281" s="288"/>
    </row>
    <row r="282" spans="1:28" ht="20.25" customHeight="1">
      <c r="A282" s="270">
        <v>281</v>
      </c>
      <c r="B282" s="276"/>
      <c r="C282" s="271"/>
      <c r="D282" s="270"/>
      <c r="E282" s="272"/>
      <c r="F282" s="272"/>
      <c r="G282" s="270"/>
      <c r="H282" s="340"/>
      <c r="I282" s="272" t="str">
        <f t="shared" si="30"/>
        <v/>
      </c>
      <c r="J282" s="272"/>
      <c r="K282" s="272"/>
      <c r="L282" s="272"/>
      <c r="M282" s="272"/>
      <c r="N282" s="272"/>
      <c r="O282" s="272"/>
      <c r="P282" s="272"/>
      <c r="Q282" s="272"/>
      <c r="R282" s="272"/>
      <c r="S282" s="272"/>
      <c r="T282" s="272"/>
      <c r="U282" s="272"/>
      <c r="V282" s="272"/>
      <c r="W282" s="272"/>
      <c r="X282" s="270"/>
      <c r="Y282" s="270" t="str">
        <f t="shared" si="31"/>
        <v/>
      </c>
      <c r="Z282" s="272"/>
      <c r="AA282" s="272"/>
      <c r="AB282" s="288"/>
    </row>
    <row r="283" spans="1:28" ht="20.25" customHeight="1">
      <c r="A283" s="270">
        <v>282</v>
      </c>
      <c r="B283" s="276"/>
      <c r="C283" s="271"/>
      <c r="D283" s="270"/>
      <c r="E283" s="272"/>
      <c r="F283" s="272"/>
      <c r="G283" s="270"/>
      <c r="H283" s="340"/>
      <c r="I283" s="272" t="str">
        <f t="shared" si="30"/>
        <v/>
      </c>
      <c r="J283" s="272"/>
      <c r="K283" s="272"/>
      <c r="L283" s="272"/>
      <c r="M283" s="272"/>
      <c r="N283" s="272"/>
      <c r="O283" s="272"/>
      <c r="P283" s="272"/>
      <c r="Q283" s="272"/>
      <c r="R283" s="272"/>
      <c r="S283" s="272"/>
      <c r="T283" s="272"/>
      <c r="U283" s="272"/>
      <c r="V283" s="272"/>
      <c r="W283" s="272"/>
      <c r="X283" s="270"/>
      <c r="Y283" s="270" t="str">
        <f t="shared" si="31"/>
        <v/>
      </c>
      <c r="Z283" s="272"/>
      <c r="AA283" s="272"/>
      <c r="AB283" s="288"/>
    </row>
    <row r="284" spans="1:28" ht="20.25" customHeight="1">
      <c r="A284" s="270">
        <v>283</v>
      </c>
      <c r="B284" s="276"/>
      <c r="C284" s="271"/>
      <c r="D284" s="270"/>
      <c r="E284" s="272"/>
      <c r="F284" s="272"/>
      <c r="G284" s="270"/>
      <c r="H284" s="340"/>
      <c r="I284" s="272" t="str">
        <f t="shared" si="30"/>
        <v/>
      </c>
      <c r="J284" s="272"/>
      <c r="K284" s="272"/>
      <c r="L284" s="272"/>
      <c r="M284" s="272"/>
      <c r="N284" s="272"/>
      <c r="O284" s="272"/>
      <c r="P284" s="272"/>
      <c r="Q284" s="272"/>
      <c r="R284" s="272"/>
      <c r="S284" s="272"/>
      <c r="T284" s="272"/>
      <c r="U284" s="272"/>
      <c r="V284" s="272"/>
      <c r="W284" s="272"/>
      <c r="X284" s="270"/>
      <c r="Y284" s="270" t="str">
        <f t="shared" si="31"/>
        <v/>
      </c>
      <c r="Z284" s="272"/>
      <c r="AA284" s="272"/>
      <c r="AB284" s="288"/>
    </row>
    <row r="285" spans="1:28" ht="20.25" customHeight="1">
      <c r="A285" s="270">
        <v>284</v>
      </c>
      <c r="B285" s="276"/>
      <c r="C285" s="271"/>
      <c r="D285" s="270"/>
      <c r="E285" s="272"/>
      <c r="F285" s="272"/>
      <c r="G285" s="270"/>
      <c r="H285" s="340"/>
      <c r="I285" s="272" t="str">
        <f t="shared" si="30"/>
        <v/>
      </c>
      <c r="J285" s="272"/>
      <c r="K285" s="272"/>
      <c r="L285" s="272"/>
      <c r="M285" s="272"/>
      <c r="N285" s="272"/>
      <c r="O285" s="272"/>
      <c r="P285" s="272"/>
      <c r="Q285" s="272"/>
      <c r="R285" s="272"/>
      <c r="S285" s="272"/>
      <c r="T285" s="272"/>
      <c r="U285" s="272"/>
      <c r="V285" s="272"/>
      <c r="W285" s="272"/>
      <c r="X285" s="270"/>
      <c r="Y285" s="270" t="str">
        <f t="shared" si="31"/>
        <v/>
      </c>
      <c r="Z285" s="272"/>
      <c r="AA285" s="272"/>
      <c r="AB285" s="288"/>
    </row>
    <row r="286" spans="1:28" ht="20.25" customHeight="1">
      <c r="A286" s="270">
        <v>285</v>
      </c>
      <c r="B286" s="276"/>
      <c r="C286" s="271"/>
      <c r="D286" s="270"/>
      <c r="E286" s="272"/>
      <c r="F286" s="272"/>
      <c r="G286" s="270"/>
      <c r="H286" s="340"/>
      <c r="I286" s="272" t="str">
        <f t="shared" si="30"/>
        <v/>
      </c>
      <c r="J286" s="272"/>
      <c r="K286" s="272"/>
      <c r="L286" s="272"/>
      <c r="M286" s="272"/>
      <c r="N286" s="272"/>
      <c r="O286" s="272"/>
      <c r="P286" s="272"/>
      <c r="Q286" s="272"/>
      <c r="R286" s="272"/>
      <c r="S286" s="272"/>
      <c r="T286" s="272"/>
      <c r="U286" s="272"/>
      <c r="V286" s="272"/>
      <c r="W286" s="272"/>
      <c r="X286" s="270"/>
      <c r="Y286" s="270" t="str">
        <f t="shared" si="31"/>
        <v/>
      </c>
      <c r="Z286" s="272"/>
      <c r="AA286" s="272"/>
      <c r="AB286" s="288"/>
    </row>
    <row r="287" spans="1:28" ht="20.25" customHeight="1">
      <c r="A287" s="270">
        <v>286</v>
      </c>
      <c r="B287" s="276"/>
      <c r="C287" s="271"/>
      <c r="D287" s="270"/>
      <c r="E287" s="272"/>
      <c r="F287" s="272"/>
      <c r="G287" s="270"/>
      <c r="H287" s="340"/>
      <c r="I287" s="272" t="str">
        <f t="shared" si="30"/>
        <v/>
      </c>
      <c r="J287" s="272"/>
      <c r="K287" s="272"/>
      <c r="L287" s="272"/>
      <c r="M287" s="272"/>
      <c r="N287" s="272"/>
      <c r="O287" s="272"/>
      <c r="P287" s="272"/>
      <c r="Q287" s="272"/>
      <c r="R287" s="272"/>
      <c r="S287" s="272"/>
      <c r="T287" s="272"/>
      <c r="U287" s="272"/>
      <c r="V287" s="272"/>
      <c r="W287" s="272"/>
      <c r="X287" s="270"/>
      <c r="Y287" s="270" t="str">
        <f t="shared" si="31"/>
        <v/>
      </c>
      <c r="Z287" s="272"/>
      <c r="AA287" s="272"/>
      <c r="AB287" s="288"/>
    </row>
    <row r="288" spans="1:28" ht="20.25" customHeight="1">
      <c r="A288" s="270">
        <v>287</v>
      </c>
      <c r="B288" s="276"/>
      <c r="C288" s="271"/>
      <c r="D288" s="270"/>
      <c r="E288" s="272"/>
      <c r="F288" s="272"/>
      <c r="G288" s="270"/>
      <c r="H288" s="340"/>
      <c r="I288" s="272" t="str">
        <f t="shared" si="30"/>
        <v/>
      </c>
      <c r="J288" s="272"/>
      <c r="K288" s="272"/>
      <c r="L288" s="272"/>
      <c r="M288" s="272"/>
      <c r="N288" s="272"/>
      <c r="O288" s="272"/>
      <c r="P288" s="272"/>
      <c r="Q288" s="272"/>
      <c r="R288" s="272"/>
      <c r="S288" s="272"/>
      <c r="T288" s="272"/>
      <c r="U288" s="272"/>
      <c r="V288" s="272"/>
      <c r="W288" s="272"/>
      <c r="X288" s="270"/>
      <c r="Y288" s="270" t="str">
        <f t="shared" si="31"/>
        <v/>
      </c>
      <c r="Z288" s="272"/>
      <c r="AA288" s="272"/>
      <c r="AB288" s="288"/>
    </row>
    <row r="289" spans="1:28" ht="20.25" customHeight="1">
      <c r="A289" s="270">
        <v>288</v>
      </c>
      <c r="B289" s="276"/>
      <c r="C289" s="271"/>
      <c r="D289" s="270"/>
      <c r="E289" s="272"/>
      <c r="F289" s="272"/>
      <c r="G289" s="270"/>
      <c r="H289" s="340"/>
      <c r="I289" s="272" t="str">
        <f t="shared" si="30"/>
        <v/>
      </c>
      <c r="J289" s="272"/>
      <c r="K289" s="272"/>
      <c r="L289" s="272"/>
      <c r="M289" s="272"/>
      <c r="N289" s="272"/>
      <c r="O289" s="272"/>
      <c r="P289" s="272"/>
      <c r="Q289" s="272"/>
      <c r="R289" s="272"/>
      <c r="S289" s="272"/>
      <c r="T289" s="272"/>
      <c r="U289" s="272"/>
      <c r="V289" s="272"/>
      <c r="W289" s="272"/>
      <c r="X289" s="270"/>
      <c r="Y289" s="270" t="str">
        <f t="shared" si="31"/>
        <v/>
      </c>
      <c r="Z289" s="272"/>
      <c r="AA289" s="272"/>
      <c r="AB289" s="288"/>
    </row>
    <row r="290" spans="1:28" ht="20.25" customHeight="1">
      <c r="A290" s="270">
        <v>289</v>
      </c>
      <c r="B290" s="276"/>
      <c r="C290" s="271"/>
      <c r="D290" s="270"/>
      <c r="E290" s="272"/>
      <c r="F290" s="272"/>
      <c r="G290" s="270"/>
      <c r="H290" s="340"/>
      <c r="I290" s="272" t="str">
        <f t="shared" si="30"/>
        <v/>
      </c>
      <c r="J290" s="272"/>
      <c r="K290" s="272"/>
      <c r="L290" s="272"/>
      <c r="M290" s="272"/>
      <c r="N290" s="272"/>
      <c r="O290" s="272"/>
      <c r="P290" s="272"/>
      <c r="Q290" s="272"/>
      <c r="R290" s="272"/>
      <c r="S290" s="272"/>
      <c r="T290" s="272"/>
      <c r="U290" s="272"/>
      <c r="V290" s="272"/>
      <c r="W290" s="272"/>
      <c r="X290" s="270"/>
      <c r="Y290" s="270" t="str">
        <f t="shared" si="31"/>
        <v/>
      </c>
      <c r="Z290" s="272"/>
      <c r="AA290" s="272"/>
      <c r="AB290" s="288"/>
    </row>
    <row r="291" spans="1:28" ht="20.25" customHeight="1">
      <c r="A291" s="270">
        <v>290</v>
      </c>
      <c r="B291" s="276"/>
      <c r="C291" s="271"/>
      <c r="D291" s="270"/>
      <c r="E291" s="272"/>
      <c r="F291" s="272"/>
      <c r="G291" s="270"/>
      <c r="H291" s="340"/>
      <c r="I291" s="272" t="str">
        <f t="shared" si="30"/>
        <v/>
      </c>
      <c r="J291" s="272"/>
      <c r="K291" s="272"/>
      <c r="L291" s="272"/>
      <c r="M291" s="272"/>
      <c r="N291" s="272"/>
      <c r="O291" s="272"/>
      <c r="P291" s="272"/>
      <c r="Q291" s="272"/>
      <c r="R291" s="272"/>
      <c r="S291" s="272"/>
      <c r="T291" s="272"/>
      <c r="U291" s="272"/>
      <c r="V291" s="272"/>
      <c r="W291" s="272"/>
      <c r="X291" s="270"/>
      <c r="Y291" s="270" t="str">
        <f t="shared" si="31"/>
        <v/>
      </c>
      <c r="Z291" s="272"/>
      <c r="AA291" s="272"/>
      <c r="AB291" s="288"/>
    </row>
    <row r="292" spans="1:28" ht="20.25" customHeight="1">
      <c r="A292" s="270">
        <v>291</v>
      </c>
      <c r="B292" s="276"/>
      <c r="C292" s="271"/>
      <c r="D292" s="270"/>
      <c r="E292" s="272"/>
      <c r="F292" s="272"/>
      <c r="G292" s="270"/>
      <c r="H292" s="340"/>
      <c r="I292" s="272" t="str">
        <f t="shared" si="30"/>
        <v/>
      </c>
      <c r="J292" s="272"/>
      <c r="K292" s="272"/>
      <c r="L292" s="272"/>
      <c r="M292" s="272"/>
      <c r="N292" s="272"/>
      <c r="O292" s="272"/>
      <c r="P292" s="272"/>
      <c r="Q292" s="272"/>
      <c r="R292" s="272"/>
      <c r="S292" s="272"/>
      <c r="T292" s="272"/>
      <c r="U292" s="272"/>
      <c r="V292" s="272"/>
      <c r="W292" s="272"/>
      <c r="X292" s="270"/>
      <c r="Y292" s="270" t="str">
        <f t="shared" si="31"/>
        <v/>
      </c>
      <c r="Z292" s="272"/>
      <c r="AA292" s="272"/>
      <c r="AB292" s="288"/>
    </row>
    <row r="293" spans="1:28" ht="20.25" customHeight="1">
      <c r="A293" s="270">
        <v>292</v>
      </c>
      <c r="B293" s="276"/>
      <c r="C293" s="271"/>
      <c r="D293" s="270"/>
      <c r="E293" s="272"/>
      <c r="F293" s="272"/>
      <c r="G293" s="270"/>
      <c r="H293" s="340"/>
      <c r="I293" s="272" t="str">
        <f t="shared" si="30"/>
        <v/>
      </c>
      <c r="J293" s="272"/>
      <c r="K293" s="272"/>
      <c r="L293" s="272"/>
      <c r="M293" s="272"/>
      <c r="N293" s="272"/>
      <c r="O293" s="272"/>
      <c r="P293" s="272"/>
      <c r="Q293" s="272"/>
      <c r="R293" s="272"/>
      <c r="S293" s="272"/>
      <c r="T293" s="272"/>
      <c r="U293" s="272"/>
      <c r="V293" s="272"/>
      <c r="W293" s="272"/>
      <c r="X293" s="270"/>
      <c r="Y293" s="270" t="str">
        <f t="shared" si="31"/>
        <v/>
      </c>
      <c r="Z293" s="272"/>
      <c r="AA293" s="272"/>
      <c r="AB293" s="288"/>
    </row>
    <row r="294" spans="1:28" ht="20.25" customHeight="1">
      <c r="A294" s="270">
        <v>293</v>
      </c>
      <c r="B294" s="276"/>
      <c r="C294" s="271"/>
      <c r="D294" s="270"/>
      <c r="E294" s="272"/>
      <c r="F294" s="272"/>
      <c r="G294" s="270"/>
      <c r="H294" s="340"/>
      <c r="I294" s="272" t="str">
        <f t="shared" si="30"/>
        <v/>
      </c>
      <c r="J294" s="272"/>
      <c r="K294" s="272"/>
      <c r="L294" s="272"/>
      <c r="M294" s="272"/>
      <c r="N294" s="272"/>
      <c r="O294" s="272"/>
      <c r="P294" s="272"/>
      <c r="Q294" s="272"/>
      <c r="R294" s="272"/>
      <c r="S294" s="272"/>
      <c r="T294" s="272"/>
      <c r="U294" s="272"/>
      <c r="V294" s="272"/>
      <c r="W294" s="272"/>
      <c r="X294" s="270"/>
      <c r="Y294" s="270" t="str">
        <f t="shared" si="31"/>
        <v/>
      </c>
      <c r="Z294" s="272"/>
      <c r="AA294" s="272"/>
      <c r="AB294" s="288"/>
    </row>
    <row r="295" spans="1:28" ht="20.25" customHeight="1">
      <c r="A295" s="270">
        <v>294</v>
      </c>
      <c r="B295" s="276"/>
      <c r="C295" s="271"/>
      <c r="D295" s="270"/>
      <c r="E295" s="272"/>
      <c r="F295" s="272"/>
      <c r="G295" s="270"/>
      <c r="H295" s="340"/>
      <c r="I295" s="272" t="str">
        <f t="shared" si="30"/>
        <v/>
      </c>
      <c r="J295" s="272"/>
      <c r="K295" s="272"/>
      <c r="L295" s="272"/>
      <c r="M295" s="272"/>
      <c r="N295" s="272"/>
      <c r="O295" s="272"/>
      <c r="P295" s="272"/>
      <c r="Q295" s="272"/>
      <c r="R295" s="272"/>
      <c r="S295" s="272"/>
      <c r="T295" s="272"/>
      <c r="U295" s="272"/>
      <c r="V295" s="272"/>
      <c r="W295" s="272"/>
      <c r="X295" s="270"/>
      <c r="Y295" s="270" t="str">
        <f t="shared" si="31"/>
        <v/>
      </c>
      <c r="Z295" s="272"/>
      <c r="AA295" s="272"/>
      <c r="AB295" s="288"/>
    </row>
    <row r="296" spans="1:28" ht="20.25" customHeight="1">
      <c r="A296" s="270">
        <v>295</v>
      </c>
      <c r="B296" s="276"/>
      <c r="C296" s="271"/>
      <c r="D296" s="270"/>
      <c r="E296" s="272"/>
      <c r="F296" s="272"/>
      <c r="G296" s="270"/>
      <c r="H296" s="340"/>
      <c r="I296" s="272" t="str">
        <f t="shared" si="30"/>
        <v/>
      </c>
      <c r="J296" s="272"/>
      <c r="K296" s="272"/>
      <c r="L296" s="272"/>
      <c r="M296" s="272"/>
      <c r="N296" s="272"/>
      <c r="O296" s="272"/>
      <c r="P296" s="272"/>
      <c r="Q296" s="272"/>
      <c r="R296" s="272"/>
      <c r="S296" s="272"/>
      <c r="T296" s="272"/>
      <c r="U296" s="272"/>
      <c r="V296" s="272"/>
      <c r="W296" s="272"/>
      <c r="X296" s="270"/>
      <c r="Y296" s="270" t="str">
        <f t="shared" si="31"/>
        <v/>
      </c>
      <c r="Z296" s="272"/>
      <c r="AA296" s="272"/>
      <c r="AB296" s="288"/>
    </row>
    <row r="297" spans="1:28" ht="20.25" customHeight="1">
      <c r="A297" s="270">
        <v>296</v>
      </c>
      <c r="B297" s="276"/>
      <c r="C297" s="271"/>
      <c r="D297" s="270"/>
      <c r="E297" s="272"/>
      <c r="F297" s="272"/>
      <c r="G297" s="270"/>
      <c r="H297" s="340"/>
      <c r="I297" s="272" t="str">
        <f t="shared" si="30"/>
        <v/>
      </c>
      <c r="J297" s="272"/>
      <c r="K297" s="272"/>
      <c r="L297" s="272"/>
      <c r="M297" s="272"/>
      <c r="N297" s="272"/>
      <c r="O297" s="272"/>
      <c r="P297" s="272"/>
      <c r="Q297" s="272"/>
      <c r="R297" s="272"/>
      <c r="S297" s="272"/>
      <c r="T297" s="272"/>
      <c r="U297" s="272"/>
      <c r="V297" s="272"/>
      <c r="W297" s="272"/>
      <c r="X297" s="270"/>
      <c r="Y297" s="270" t="str">
        <f t="shared" si="31"/>
        <v/>
      </c>
      <c r="Z297" s="272"/>
      <c r="AA297" s="272"/>
      <c r="AB297" s="288"/>
    </row>
    <row r="298" spans="1:28" ht="20.25" customHeight="1">
      <c r="A298" s="270">
        <v>297</v>
      </c>
      <c r="B298" s="276"/>
      <c r="C298" s="271"/>
      <c r="D298" s="270"/>
      <c r="E298" s="272"/>
      <c r="F298" s="272"/>
      <c r="G298" s="270"/>
      <c r="H298" s="340"/>
      <c r="I298" s="272" t="str">
        <f t="shared" si="30"/>
        <v/>
      </c>
      <c r="J298" s="272"/>
      <c r="K298" s="272"/>
      <c r="L298" s="272"/>
      <c r="M298" s="272"/>
      <c r="N298" s="272"/>
      <c r="O298" s="272"/>
      <c r="P298" s="272"/>
      <c r="Q298" s="272"/>
      <c r="R298" s="272"/>
      <c r="S298" s="272"/>
      <c r="T298" s="272"/>
      <c r="U298" s="272"/>
      <c r="V298" s="272"/>
      <c r="W298" s="272"/>
      <c r="X298" s="270"/>
      <c r="Y298" s="270" t="str">
        <f t="shared" si="31"/>
        <v/>
      </c>
      <c r="Z298" s="272"/>
      <c r="AA298" s="272"/>
      <c r="AB298" s="288"/>
    </row>
    <row r="299" spans="1:28" ht="20.25" customHeight="1">
      <c r="A299" s="270">
        <v>298</v>
      </c>
      <c r="B299" s="276"/>
      <c r="C299" s="271"/>
      <c r="D299" s="270"/>
      <c r="E299" s="272"/>
      <c r="F299" s="272"/>
      <c r="G299" s="270"/>
      <c r="H299" s="340"/>
      <c r="I299" s="272" t="str">
        <f t="shared" si="30"/>
        <v/>
      </c>
      <c r="J299" s="272"/>
      <c r="K299" s="272"/>
      <c r="L299" s="272"/>
      <c r="M299" s="272"/>
      <c r="N299" s="272"/>
      <c r="O299" s="272"/>
      <c r="P299" s="272"/>
      <c r="Q299" s="272"/>
      <c r="R299" s="272"/>
      <c r="S299" s="272"/>
      <c r="T299" s="272"/>
      <c r="U299" s="272"/>
      <c r="V299" s="272"/>
      <c r="W299" s="272"/>
      <c r="X299" s="270"/>
      <c r="Y299" s="270" t="str">
        <f t="shared" si="31"/>
        <v/>
      </c>
      <c r="Z299" s="272"/>
      <c r="AA299" s="272"/>
      <c r="AB299" s="288"/>
    </row>
    <row r="300" spans="1:28" ht="20.25" customHeight="1">
      <c r="A300" s="270">
        <v>299</v>
      </c>
      <c r="B300" s="276"/>
      <c r="C300" s="271"/>
      <c r="D300" s="270"/>
      <c r="E300" s="272"/>
      <c r="F300" s="272"/>
      <c r="G300" s="270"/>
      <c r="H300" s="340"/>
      <c r="I300" s="272" t="str">
        <f t="shared" si="30"/>
        <v/>
      </c>
      <c r="J300" s="272"/>
      <c r="K300" s="272"/>
      <c r="L300" s="272"/>
      <c r="M300" s="272"/>
      <c r="N300" s="272"/>
      <c r="O300" s="272"/>
      <c r="P300" s="272"/>
      <c r="Q300" s="272"/>
      <c r="R300" s="272"/>
      <c r="S300" s="272"/>
      <c r="T300" s="272"/>
      <c r="U300" s="272"/>
      <c r="V300" s="272"/>
      <c r="W300" s="272"/>
      <c r="X300" s="270"/>
      <c r="Y300" s="270" t="str">
        <f t="shared" si="31"/>
        <v/>
      </c>
      <c r="Z300" s="272"/>
      <c r="AA300" s="272"/>
      <c r="AB300" s="288"/>
    </row>
    <row r="301" spans="1:28" ht="20.25" customHeight="1">
      <c r="A301" s="270">
        <v>300</v>
      </c>
      <c r="B301" s="276"/>
      <c r="C301" s="271"/>
      <c r="D301" s="270"/>
      <c r="E301" s="272"/>
      <c r="F301" s="272"/>
      <c r="G301" s="270"/>
      <c r="H301" s="340"/>
      <c r="I301" s="272" t="str">
        <f t="shared" si="30"/>
        <v/>
      </c>
      <c r="J301" s="272"/>
      <c r="K301" s="272"/>
      <c r="L301" s="272"/>
      <c r="M301" s="272"/>
      <c r="N301" s="272"/>
      <c r="O301" s="272"/>
      <c r="P301" s="272"/>
      <c r="Q301" s="272"/>
      <c r="R301" s="272"/>
      <c r="S301" s="272"/>
      <c r="T301" s="272"/>
      <c r="U301" s="272"/>
      <c r="V301" s="272"/>
      <c r="W301" s="272"/>
      <c r="X301" s="270"/>
      <c r="Y301" s="270" t="str">
        <f t="shared" si="31"/>
        <v/>
      </c>
      <c r="Z301" s="272"/>
      <c r="AA301" s="272"/>
      <c r="AB301" s="288"/>
    </row>
    <row r="302" spans="1:28" ht="20.25" customHeight="1">
      <c r="A302" s="270">
        <v>301</v>
      </c>
      <c r="B302" s="276"/>
      <c r="C302" s="271"/>
      <c r="D302" s="270"/>
      <c r="E302" s="272"/>
      <c r="F302" s="272"/>
      <c r="G302" s="270"/>
      <c r="H302" s="340"/>
      <c r="I302" s="272" t="str">
        <f t="shared" si="30"/>
        <v/>
      </c>
      <c r="J302" s="272"/>
      <c r="K302" s="272"/>
      <c r="L302" s="272"/>
      <c r="M302" s="272"/>
      <c r="N302" s="272"/>
      <c r="O302" s="272"/>
      <c r="P302" s="272"/>
      <c r="Q302" s="272"/>
      <c r="R302" s="272"/>
      <c r="S302" s="272"/>
      <c r="T302" s="272"/>
      <c r="U302" s="272"/>
      <c r="V302" s="272"/>
      <c r="W302" s="272"/>
      <c r="X302" s="270"/>
      <c r="Y302" s="270" t="str">
        <f t="shared" si="31"/>
        <v/>
      </c>
      <c r="Z302" s="272"/>
      <c r="AA302" s="272"/>
      <c r="AB302" s="288"/>
    </row>
    <row r="303" spans="1:28" ht="20.25" customHeight="1">
      <c r="A303" s="270">
        <v>302</v>
      </c>
      <c r="B303" s="276"/>
      <c r="C303" s="271"/>
      <c r="D303" s="270"/>
      <c r="E303" s="272"/>
      <c r="F303" s="272"/>
      <c r="G303" s="270"/>
      <c r="H303" s="340"/>
      <c r="I303" s="272" t="str">
        <f t="shared" si="30"/>
        <v/>
      </c>
      <c r="J303" s="272"/>
      <c r="K303" s="272"/>
      <c r="L303" s="272"/>
      <c r="M303" s="272"/>
      <c r="N303" s="272"/>
      <c r="O303" s="272"/>
      <c r="P303" s="272"/>
      <c r="Q303" s="272"/>
      <c r="R303" s="272"/>
      <c r="S303" s="272"/>
      <c r="T303" s="272"/>
      <c r="U303" s="272"/>
      <c r="V303" s="272"/>
      <c r="W303" s="272"/>
      <c r="X303" s="270"/>
      <c r="Y303" s="270" t="str">
        <f t="shared" si="31"/>
        <v/>
      </c>
      <c r="Z303" s="272"/>
      <c r="AA303" s="272"/>
      <c r="AB303" s="288"/>
    </row>
    <row r="304" spans="1:28" ht="20.25" customHeight="1">
      <c r="A304" s="270">
        <v>303</v>
      </c>
      <c r="B304" s="276"/>
      <c r="C304" s="271"/>
      <c r="D304" s="270"/>
      <c r="E304" s="272"/>
      <c r="F304" s="272"/>
      <c r="G304" s="270"/>
      <c r="H304" s="340"/>
      <c r="I304" s="272" t="str">
        <f t="shared" si="30"/>
        <v/>
      </c>
      <c r="J304" s="272"/>
      <c r="K304" s="272"/>
      <c r="L304" s="272"/>
      <c r="M304" s="272"/>
      <c r="N304" s="272"/>
      <c r="O304" s="272"/>
      <c r="P304" s="272"/>
      <c r="Q304" s="272"/>
      <c r="R304" s="272"/>
      <c r="S304" s="272"/>
      <c r="T304" s="272"/>
      <c r="U304" s="272"/>
      <c r="V304" s="272"/>
      <c r="W304" s="272"/>
      <c r="X304" s="270"/>
      <c r="Y304" s="270" t="str">
        <f t="shared" si="31"/>
        <v/>
      </c>
      <c r="Z304" s="272"/>
      <c r="AA304" s="272"/>
      <c r="AB304" s="288"/>
    </row>
    <row r="305" spans="1:28" ht="20.25" customHeight="1">
      <c r="A305" s="270">
        <v>304</v>
      </c>
      <c r="B305" s="276"/>
      <c r="C305" s="271"/>
      <c r="D305" s="270"/>
      <c r="E305" s="272"/>
      <c r="F305" s="272"/>
      <c r="G305" s="270"/>
      <c r="H305" s="340"/>
      <c r="I305" s="272" t="str">
        <f t="shared" si="30"/>
        <v/>
      </c>
      <c r="J305" s="272"/>
      <c r="K305" s="272"/>
      <c r="L305" s="272"/>
      <c r="M305" s="272"/>
      <c r="N305" s="272"/>
      <c r="O305" s="272"/>
      <c r="P305" s="272"/>
      <c r="Q305" s="272"/>
      <c r="R305" s="272"/>
      <c r="S305" s="272"/>
      <c r="T305" s="272"/>
      <c r="U305" s="272"/>
      <c r="V305" s="272"/>
      <c r="W305" s="272"/>
      <c r="X305" s="270"/>
      <c r="Y305" s="270" t="str">
        <f t="shared" si="31"/>
        <v/>
      </c>
      <c r="Z305" s="272"/>
      <c r="AA305" s="272"/>
      <c r="AB305" s="288"/>
    </row>
    <row r="306" spans="1:28" ht="20.25" customHeight="1">
      <c r="A306" s="270">
        <v>305</v>
      </c>
      <c r="B306" s="276"/>
      <c r="C306" s="271"/>
      <c r="D306" s="270"/>
      <c r="E306" s="272"/>
      <c r="F306" s="272"/>
      <c r="G306" s="270"/>
      <c r="H306" s="340"/>
      <c r="I306" s="272" t="str">
        <f t="shared" si="30"/>
        <v/>
      </c>
      <c r="J306" s="272"/>
      <c r="K306" s="272"/>
      <c r="L306" s="272"/>
      <c r="M306" s="272"/>
      <c r="N306" s="272"/>
      <c r="O306" s="272"/>
      <c r="P306" s="272"/>
      <c r="Q306" s="272"/>
      <c r="R306" s="272"/>
      <c r="S306" s="272"/>
      <c r="T306" s="272"/>
      <c r="U306" s="272"/>
      <c r="V306" s="272"/>
      <c r="W306" s="272"/>
      <c r="X306" s="270"/>
      <c r="Y306" s="270" t="str">
        <f t="shared" si="31"/>
        <v/>
      </c>
      <c r="Z306" s="272"/>
      <c r="AA306" s="272"/>
      <c r="AB306" s="288"/>
    </row>
    <row r="307" spans="1:28" ht="20.25" customHeight="1">
      <c r="A307" s="270">
        <v>306</v>
      </c>
      <c r="B307" s="276"/>
      <c r="C307" s="271"/>
      <c r="D307" s="270"/>
      <c r="E307" s="272"/>
      <c r="F307" s="272"/>
      <c r="G307" s="270"/>
      <c r="H307" s="340"/>
      <c r="I307" s="272" t="str">
        <f t="shared" si="30"/>
        <v/>
      </c>
      <c r="J307" s="272"/>
      <c r="K307" s="272"/>
      <c r="L307" s="272"/>
      <c r="M307" s="272"/>
      <c r="N307" s="272"/>
      <c r="O307" s="272"/>
      <c r="P307" s="272"/>
      <c r="Q307" s="272"/>
      <c r="R307" s="272"/>
      <c r="S307" s="272"/>
      <c r="T307" s="272"/>
      <c r="U307" s="272"/>
      <c r="V307" s="272"/>
      <c r="W307" s="272"/>
      <c r="X307" s="270"/>
      <c r="Y307" s="270" t="str">
        <f t="shared" si="31"/>
        <v/>
      </c>
      <c r="Z307" s="272"/>
      <c r="AA307" s="272"/>
      <c r="AB307" s="288"/>
    </row>
    <row r="308" spans="1:28" ht="20.25" customHeight="1">
      <c r="A308" s="270">
        <v>307</v>
      </c>
      <c r="B308" s="276"/>
      <c r="C308" s="271"/>
      <c r="D308" s="270"/>
      <c r="E308" s="272"/>
      <c r="F308" s="272"/>
      <c r="G308" s="270"/>
      <c r="H308" s="340"/>
      <c r="I308" s="272" t="str">
        <f t="shared" si="30"/>
        <v/>
      </c>
      <c r="J308" s="272"/>
      <c r="K308" s="272"/>
      <c r="L308" s="272"/>
      <c r="M308" s="272"/>
      <c r="N308" s="272"/>
      <c r="O308" s="272"/>
      <c r="P308" s="272"/>
      <c r="Q308" s="272"/>
      <c r="R308" s="272"/>
      <c r="S308" s="272"/>
      <c r="T308" s="272"/>
      <c r="U308" s="272"/>
      <c r="V308" s="272"/>
      <c r="W308" s="272"/>
      <c r="X308" s="270"/>
      <c r="Y308" s="270" t="str">
        <f t="shared" si="31"/>
        <v/>
      </c>
      <c r="Z308" s="272"/>
      <c r="AA308" s="272"/>
      <c r="AB308" s="288"/>
    </row>
    <row r="309" spans="1:28" ht="20.25" customHeight="1">
      <c r="A309" s="270">
        <v>308</v>
      </c>
      <c r="B309" s="276"/>
      <c r="C309" s="271"/>
      <c r="D309" s="270"/>
      <c r="E309" s="272"/>
      <c r="F309" s="272"/>
      <c r="G309" s="270"/>
      <c r="H309" s="340"/>
      <c r="I309" s="272" t="str">
        <f t="shared" si="30"/>
        <v/>
      </c>
      <c r="J309" s="272"/>
      <c r="K309" s="272"/>
      <c r="L309" s="272"/>
      <c r="M309" s="272"/>
      <c r="N309" s="272"/>
      <c r="O309" s="272"/>
      <c r="P309" s="272"/>
      <c r="Q309" s="272"/>
      <c r="R309" s="272"/>
      <c r="S309" s="272"/>
      <c r="T309" s="272"/>
      <c r="U309" s="272"/>
      <c r="V309" s="272"/>
      <c r="W309" s="272"/>
      <c r="X309" s="270"/>
      <c r="Y309" s="270" t="str">
        <f t="shared" si="31"/>
        <v/>
      </c>
      <c r="Z309" s="272"/>
      <c r="AA309" s="272"/>
      <c r="AB309" s="288"/>
    </row>
    <row r="310" spans="1:28" ht="20.25" customHeight="1">
      <c r="A310" s="270">
        <v>309</v>
      </c>
      <c r="B310" s="276"/>
      <c r="C310" s="271"/>
      <c r="D310" s="270"/>
      <c r="E310" s="272"/>
      <c r="F310" s="272"/>
      <c r="G310" s="270"/>
      <c r="H310" s="340"/>
      <c r="I310" s="272" t="str">
        <f t="shared" si="30"/>
        <v/>
      </c>
      <c r="J310" s="272"/>
      <c r="K310" s="272"/>
      <c r="L310" s="272"/>
      <c r="M310" s="272"/>
      <c r="N310" s="272"/>
      <c r="O310" s="272"/>
      <c r="P310" s="272"/>
      <c r="Q310" s="272"/>
      <c r="R310" s="272"/>
      <c r="S310" s="272"/>
      <c r="T310" s="272"/>
      <c r="U310" s="272"/>
      <c r="V310" s="272"/>
      <c r="W310" s="272"/>
      <c r="X310" s="270"/>
      <c r="Y310" s="270" t="str">
        <f t="shared" si="31"/>
        <v/>
      </c>
      <c r="Z310" s="272"/>
      <c r="AA310" s="272"/>
      <c r="AB310" s="288"/>
    </row>
    <row r="311" spans="1:28" ht="20.25" customHeight="1">
      <c r="A311" s="270">
        <v>310</v>
      </c>
      <c r="B311" s="276"/>
      <c r="C311" s="271"/>
      <c r="D311" s="270"/>
      <c r="E311" s="272"/>
      <c r="F311" s="272"/>
      <c r="G311" s="270"/>
      <c r="H311" s="340"/>
      <c r="I311" s="272" t="str">
        <f t="shared" si="30"/>
        <v/>
      </c>
      <c r="J311" s="272"/>
      <c r="K311" s="272"/>
      <c r="L311" s="272"/>
      <c r="M311" s="272"/>
      <c r="N311" s="272"/>
      <c r="O311" s="272"/>
      <c r="P311" s="272"/>
      <c r="Q311" s="272"/>
      <c r="R311" s="272"/>
      <c r="S311" s="272"/>
      <c r="T311" s="272"/>
      <c r="U311" s="272"/>
      <c r="V311" s="272"/>
      <c r="W311" s="272"/>
      <c r="X311" s="270"/>
      <c r="Y311" s="270" t="str">
        <f t="shared" si="31"/>
        <v/>
      </c>
      <c r="Z311" s="272"/>
      <c r="AA311" s="272"/>
      <c r="AB311" s="288"/>
    </row>
    <row r="312" spans="1:28" ht="20.25" customHeight="1">
      <c r="A312" s="270">
        <v>311</v>
      </c>
      <c r="B312" s="276"/>
      <c r="C312" s="271"/>
      <c r="D312" s="270"/>
      <c r="E312" s="272"/>
      <c r="F312" s="272"/>
      <c r="G312" s="270"/>
      <c r="H312" s="340"/>
      <c r="I312" s="272" t="str">
        <f t="shared" si="30"/>
        <v/>
      </c>
      <c r="J312" s="272"/>
      <c r="K312" s="272"/>
      <c r="L312" s="272"/>
      <c r="M312" s="272"/>
      <c r="N312" s="272"/>
      <c r="O312" s="272"/>
      <c r="P312" s="272"/>
      <c r="Q312" s="272"/>
      <c r="R312" s="272"/>
      <c r="S312" s="272"/>
      <c r="T312" s="272"/>
      <c r="U312" s="272"/>
      <c r="V312" s="272"/>
      <c r="W312" s="272"/>
      <c r="X312" s="270"/>
      <c r="Y312" s="270" t="str">
        <f t="shared" si="31"/>
        <v/>
      </c>
      <c r="Z312" s="272"/>
      <c r="AA312" s="272"/>
      <c r="AB312" s="288"/>
    </row>
    <row r="313" spans="1:28" ht="20.25" customHeight="1">
      <c r="A313" s="270">
        <v>312</v>
      </c>
      <c r="B313" s="276"/>
      <c r="C313" s="271"/>
      <c r="D313" s="270"/>
      <c r="E313" s="272"/>
      <c r="F313" s="272"/>
      <c r="G313" s="270"/>
      <c r="H313" s="340"/>
      <c r="I313" s="272" t="str">
        <f t="shared" si="30"/>
        <v/>
      </c>
      <c r="J313" s="272"/>
      <c r="K313" s="272"/>
      <c r="L313" s="272"/>
      <c r="M313" s="272"/>
      <c r="N313" s="272"/>
      <c r="O313" s="272"/>
      <c r="P313" s="272"/>
      <c r="Q313" s="272"/>
      <c r="R313" s="272"/>
      <c r="S313" s="272"/>
      <c r="T313" s="272"/>
      <c r="U313" s="272"/>
      <c r="V313" s="272"/>
      <c r="W313" s="272"/>
      <c r="X313" s="270"/>
      <c r="Y313" s="270" t="str">
        <f t="shared" si="31"/>
        <v/>
      </c>
      <c r="Z313" s="272"/>
      <c r="AA313" s="272"/>
      <c r="AB313" s="288"/>
    </row>
    <row r="314" spans="1:28" ht="20.25" customHeight="1">
      <c r="A314" s="270">
        <v>313</v>
      </c>
      <c r="B314" s="276"/>
      <c r="C314" s="271"/>
      <c r="D314" s="270"/>
      <c r="E314" s="272"/>
      <c r="F314" s="272"/>
      <c r="G314" s="270"/>
      <c r="H314" s="340"/>
      <c r="I314" s="272" t="str">
        <f t="shared" si="30"/>
        <v/>
      </c>
      <c r="J314" s="272"/>
      <c r="K314" s="272"/>
      <c r="L314" s="272"/>
      <c r="M314" s="272"/>
      <c r="N314" s="272"/>
      <c r="O314" s="272"/>
      <c r="P314" s="272"/>
      <c r="Q314" s="272"/>
      <c r="R314" s="272"/>
      <c r="S314" s="272"/>
      <c r="T314" s="272"/>
      <c r="U314" s="272"/>
      <c r="V314" s="272"/>
      <c r="W314" s="272"/>
      <c r="X314" s="270"/>
      <c r="Y314" s="270" t="str">
        <f t="shared" si="31"/>
        <v/>
      </c>
      <c r="Z314" s="272"/>
      <c r="AA314" s="272"/>
      <c r="AB314" s="288"/>
    </row>
    <row r="315" spans="1:28" ht="20.25" customHeight="1">
      <c r="A315" s="270">
        <v>314</v>
      </c>
      <c r="B315" s="276"/>
      <c r="C315" s="271"/>
      <c r="D315" s="270"/>
      <c r="E315" s="272"/>
      <c r="F315" s="272"/>
      <c r="G315" s="270"/>
      <c r="H315" s="340"/>
      <c r="I315" s="272" t="str">
        <f t="shared" si="30"/>
        <v/>
      </c>
      <c r="J315" s="272"/>
      <c r="K315" s="272"/>
      <c r="L315" s="272"/>
      <c r="M315" s="272"/>
      <c r="N315" s="272"/>
      <c r="O315" s="272"/>
      <c r="P315" s="272"/>
      <c r="Q315" s="272"/>
      <c r="R315" s="272"/>
      <c r="S315" s="272"/>
      <c r="T315" s="272"/>
      <c r="U315" s="272"/>
      <c r="V315" s="272"/>
      <c r="W315" s="272"/>
      <c r="X315" s="270"/>
      <c r="Y315" s="270" t="str">
        <f t="shared" si="31"/>
        <v/>
      </c>
      <c r="Z315" s="272"/>
      <c r="AA315" s="272"/>
      <c r="AB315" s="288"/>
    </row>
    <row r="316" spans="1:28" ht="20.25" customHeight="1">
      <c r="A316" s="270">
        <v>315</v>
      </c>
      <c r="B316" s="276"/>
      <c r="C316" s="271"/>
      <c r="D316" s="270"/>
      <c r="E316" s="272"/>
      <c r="F316" s="272"/>
      <c r="G316" s="270"/>
      <c r="H316" s="340"/>
      <c r="I316" s="272" t="str">
        <f t="shared" si="30"/>
        <v/>
      </c>
      <c r="J316" s="272"/>
      <c r="K316" s="272"/>
      <c r="L316" s="272"/>
      <c r="M316" s="272"/>
      <c r="N316" s="272"/>
      <c r="O316" s="272"/>
      <c r="P316" s="272"/>
      <c r="Q316" s="272"/>
      <c r="R316" s="272"/>
      <c r="S316" s="272"/>
      <c r="T316" s="272"/>
      <c r="U316" s="272"/>
      <c r="V316" s="272"/>
      <c r="W316" s="272"/>
      <c r="X316" s="270"/>
      <c r="Y316" s="270" t="str">
        <f t="shared" si="31"/>
        <v/>
      </c>
      <c r="Z316" s="272"/>
      <c r="AA316" s="272"/>
      <c r="AB316" s="288"/>
    </row>
    <row r="317" spans="1:28" ht="20.25" customHeight="1">
      <c r="A317" s="270">
        <v>316</v>
      </c>
      <c r="B317" s="276"/>
      <c r="C317" s="271"/>
      <c r="D317" s="270"/>
      <c r="E317" s="272"/>
      <c r="F317" s="272"/>
      <c r="G317" s="270"/>
      <c r="H317" s="340"/>
      <c r="I317" s="272" t="str">
        <f t="shared" si="30"/>
        <v/>
      </c>
      <c r="J317" s="272"/>
      <c r="K317" s="272"/>
      <c r="L317" s="272"/>
      <c r="M317" s="272"/>
      <c r="N317" s="272"/>
      <c r="O317" s="272"/>
      <c r="P317" s="272"/>
      <c r="Q317" s="272"/>
      <c r="R317" s="272"/>
      <c r="S317" s="272"/>
      <c r="T317" s="272"/>
      <c r="U317" s="272"/>
      <c r="V317" s="272"/>
      <c r="W317" s="272"/>
      <c r="X317" s="270"/>
      <c r="Y317" s="270" t="str">
        <f t="shared" si="31"/>
        <v/>
      </c>
      <c r="Z317" s="272"/>
      <c r="AA317" s="272"/>
      <c r="AB317" s="288"/>
    </row>
    <row r="318" spans="1:28" ht="20.25" customHeight="1">
      <c r="A318" s="270">
        <v>317</v>
      </c>
      <c r="B318" s="276"/>
      <c r="C318" s="271"/>
      <c r="D318" s="270"/>
      <c r="E318" s="272"/>
      <c r="F318" s="272"/>
      <c r="G318" s="270"/>
      <c r="H318" s="340"/>
      <c r="I318" s="272" t="str">
        <f t="shared" si="30"/>
        <v/>
      </c>
      <c r="J318" s="272"/>
      <c r="K318" s="272"/>
      <c r="L318" s="272"/>
      <c r="M318" s="272"/>
      <c r="N318" s="272"/>
      <c r="O318" s="272"/>
      <c r="P318" s="272"/>
      <c r="Q318" s="272"/>
      <c r="R318" s="272"/>
      <c r="S318" s="272"/>
      <c r="T318" s="272"/>
      <c r="U318" s="272"/>
      <c r="V318" s="272"/>
      <c r="W318" s="272"/>
      <c r="X318" s="270"/>
      <c r="Y318" s="270" t="str">
        <f t="shared" si="31"/>
        <v/>
      </c>
      <c r="Z318" s="272"/>
      <c r="AA318" s="272"/>
      <c r="AB318" s="288"/>
    </row>
    <row r="319" spans="1:28" ht="20.25" customHeight="1">
      <c r="A319" s="270">
        <v>318</v>
      </c>
      <c r="B319" s="276"/>
      <c r="C319" s="271"/>
      <c r="D319" s="270"/>
      <c r="E319" s="272"/>
      <c r="F319" s="272"/>
      <c r="G319" s="270"/>
      <c r="H319" s="340"/>
      <c r="I319" s="272" t="str">
        <f t="shared" si="30"/>
        <v/>
      </c>
      <c r="J319" s="272"/>
      <c r="K319" s="272"/>
      <c r="L319" s="272"/>
      <c r="M319" s="272"/>
      <c r="N319" s="272"/>
      <c r="O319" s="272"/>
      <c r="P319" s="272"/>
      <c r="Q319" s="272"/>
      <c r="R319" s="272"/>
      <c r="S319" s="272"/>
      <c r="T319" s="272"/>
      <c r="U319" s="272"/>
      <c r="V319" s="272"/>
      <c r="W319" s="272"/>
      <c r="X319" s="270"/>
      <c r="Y319" s="270" t="str">
        <f t="shared" si="31"/>
        <v/>
      </c>
      <c r="Z319" s="272"/>
      <c r="AA319" s="272"/>
      <c r="AB319" s="288"/>
    </row>
    <row r="320" spans="1:28" ht="20.25" customHeight="1">
      <c r="A320" s="270">
        <v>319</v>
      </c>
      <c r="B320" s="276"/>
      <c r="C320" s="271"/>
      <c r="D320" s="270"/>
      <c r="E320" s="272"/>
      <c r="F320" s="272"/>
      <c r="G320" s="270"/>
      <c r="H320" s="340"/>
      <c r="I320" s="272" t="str">
        <f t="shared" si="30"/>
        <v/>
      </c>
      <c r="J320" s="272"/>
      <c r="K320" s="272"/>
      <c r="L320" s="272"/>
      <c r="M320" s="272"/>
      <c r="N320" s="272"/>
      <c r="O320" s="272"/>
      <c r="P320" s="272"/>
      <c r="Q320" s="272"/>
      <c r="R320" s="272"/>
      <c r="S320" s="272"/>
      <c r="T320" s="272"/>
      <c r="U320" s="272"/>
      <c r="V320" s="272"/>
      <c r="W320" s="272"/>
      <c r="X320" s="270"/>
      <c r="Y320" s="270" t="str">
        <f t="shared" si="31"/>
        <v/>
      </c>
      <c r="Z320" s="272"/>
      <c r="AA320" s="272"/>
      <c r="AB320" s="288"/>
    </row>
    <row r="321" spans="1:28" ht="20.25" customHeight="1">
      <c r="A321" s="270">
        <v>320</v>
      </c>
      <c r="B321" s="276"/>
      <c r="C321" s="271"/>
      <c r="D321" s="270"/>
      <c r="E321" s="272"/>
      <c r="F321" s="272"/>
      <c r="G321" s="270"/>
      <c r="H321" s="340"/>
      <c r="I321" s="272" t="str">
        <f t="shared" si="30"/>
        <v/>
      </c>
      <c r="J321" s="272"/>
      <c r="K321" s="272"/>
      <c r="L321" s="272"/>
      <c r="M321" s="272"/>
      <c r="N321" s="272"/>
      <c r="O321" s="272"/>
      <c r="P321" s="272"/>
      <c r="Q321" s="272"/>
      <c r="R321" s="272"/>
      <c r="S321" s="272"/>
      <c r="T321" s="272"/>
      <c r="U321" s="272"/>
      <c r="V321" s="272"/>
      <c r="W321" s="272"/>
      <c r="X321" s="270"/>
      <c r="Y321" s="270" t="str">
        <f t="shared" si="31"/>
        <v/>
      </c>
      <c r="Z321" s="272"/>
      <c r="AA321" s="272"/>
      <c r="AB321" s="288"/>
    </row>
    <row r="322" spans="1:28" ht="20.25" customHeight="1">
      <c r="A322" s="270">
        <v>321</v>
      </c>
      <c r="B322" s="276"/>
      <c r="C322" s="271"/>
      <c r="D322" s="270"/>
      <c r="E322" s="272"/>
      <c r="F322" s="272"/>
      <c r="G322" s="270"/>
      <c r="H322" s="340"/>
      <c r="I322" s="272" t="str">
        <f t="shared" si="30"/>
        <v/>
      </c>
      <c r="J322" s="272"/>
      <c r="K322" s="272"/>
      <c r="L322" s="272"/>
      <c r="M322" s="272"/>
      <c r="N322" s="272"/>
      <c r="O322" s="272"/>
      <c r="P322" s="272"/>
      <c r="Q322" s="272"/>
      <c r="R322" s="272"/>
      <c r="S322" s="272"/>
      <c r="T322" s="272"/>
      <c r="U322" s="272"/>
      <c r="V322" s="272"/>
      <c r="W322" s="272"/>
      <c r="X322" s="270"/>
      <c r="Y322" s="270" t="str">
        <f t="shared" si="31"/>
        <v/>
      </c>
      <c r="Z322" s="272"/>
      <c r="AA322" s="272"/>
      <c r="AB322" s="288"/>
    </row>
    <row r="323" spans="1:28" ht="20.25" customHeight="1">
      <c r="A323" s="270">
        <v>322</v>
      </c>
      <c r="B323" s="276"/>
      <c r="C323" s="271"/>
      <c r="D323" s="270"/>
      <c r="E323" s="272"/>
      <c r="F323" s="272"/>
      <c r="G323" s="270"/>
      <c r="H323" s="340"/>
      <c r="I323" s="272" t="str">
        <f t="shared" si="30"/>
        <v/>
      </c>
      <c r="J323" s="272"/>
      <c r="K323" s="272"/>
      <c r="L323" s="272"/>
      <c r="M323" s="272"/>
      <c r="N323" s="272"/>
      <c r="O323" s="272"/>
      <c r="P323" s="272"/>
      <c r="Q323" s="272"/>
      <c r="R323" s="272"/>
      <c r="S323" s="272"/>
      <c r="T323" s="272"/>
      <c r="U323" s="272"/>
      <c r="V323" s="272"/>
      <c r="W323" s="272"/>
      <c r="X323" s="270"/>
      <c r="Y323" s="270" t="str">
        <f t="shared" si="31"/>
        <v/>
      </c>
      <c r="Z323" s="272"/>
      <c r="AA323" s="272"/>
      <c r="AB323" s="288"/>
    </row>
    <row r="324" spans="1:28" ht="20.25" customHeight="1">
      <c r="A324" s="270">
        <v>323</v>
      </c>
      <c r="B324" s="276"/>
      <c r="C324" s="271"/>
      <c r="D324" s="270"/>
      <c r="E324" s="272"/>
      <c r="F324" s="272"/>
      <c r="G324" s="270"/>
      <c r="H324" s="340"/>
      <c r="I324" s="272" t="str">
        <f t="shared" si="30"/>
        <v/>
      </c>
      <c r="J324" s="272"/>
      <c r="K324" s="272"/>
      <c r="L324" s="272"/>
      <c r="M324" s="272"/>
      <c r="N324" s="272"/>
      <c r="O324" s="272"/>
      <c r="P324" s="272"/>
      <c r="Q324" s="272"/>
      <c r="R324" s="272"/>
      <c r="S324" s="272"/>
      <c r="T324" s="272"/>
      <c r="U324" s="272"/>
      <c r="V324" s="272"/>
      <c r="W324" s="272"/>
      <c r="X324" s="270"/>
      <c r="Y324" s="270" t="str">
        <f t="shared" si="31"/>
        <v/>
      </c>
      <c r="Z324" s="272"/>
      <c r="AA324" s="272"/>
      <c r="AB324" s="288"/>
    </row>
    <row r="325" spans="1:28" ht="20.25" customHeight="1">
      <c r="A325" s="270">
        <v>324</v>
      </c>
      <c r="B325" s="276"/>
      <c r="C325" s="271"/>
      <c r="D325" s="270"/>
      <c r="E325" s="272"/>
      <c r="F325" s="272"/>
      <c r="G325" s="270"/>
      <c r="H325" s="340"/>
      <c r="I325" s="272" t="str">
        <f t="shared" ref="I325:I388" si="32">IF(ISBLANK(H325), "", TEXT(H325, "mmm-yy"))</f>
        <v/>
      </c>
      <c r="J325" s="272"/>
      <c r="K325" s="272"/>
      <c r="L325" s="272"/>
      <c r="M325" s="272"/>
      <c r="N325" s="272"/>
      <c r="O325" s="272"/>
      <c r="P325" s="272"/>
      <c r="Q325" s="272"/>
      <c r="R325" s="272"/>
      <c r="S325" s="272"/>
      <c r="T325" s="272"/>
      <c r="U325" s="272"/>
      <c r="V325" s="272"/>
      <c r="W325" s="272"/>
      <c r="X325" s="270"/>
      <c r="Y325" s="270" t="str">
        <f t="shared" si="31"/>
        <v/>
      </c>
      <c r="Z325" s="272"/>
      <c r="AA325" s="272"/>
      <c r="AB325" s="288"/>
    </row>
    <row r="326" spans="1:28" ht="20.25" customHeight="1">
      <c r="A326" s="270">
        <v>325</v>
      </c>
      <c r="B326" s="276"/>
      <c r="C326" s="271"/>
      <c r="D326" s="270"/>
      <c r="E326" s="272"/>
      <c r="F326" s="272"/>
      <c r="G326" s="270"/>
      <c r="H326" s="340"/>
      <c r="I326" s="272" t="str">
        <f t="shared" si="32"/>
        <v/>
      </c>
      <c r="J326" s="272"/>
      <c r="K326" s="272"/>
      <c r="L326" s="272"/>
      <c r="M326" s="272"/>
      <c r="N326" s="272"/>
      <c r="O326" s="272"/>
      <c r="P326" s="272"/>
      <c r="Q326" s="272"/>
      <c r="R326" s="272"/>
      <c r="S326" s="272"/>
      <c r="T326" s="272"/>
      <c r="U326" s="272"/>
      <c r="V326" s="272"/>
      <c r="W326" s="272"/>
      <c r="X326" s="270"/>
      <c r="Y326" s="270" t="str">
        <f t="shared" ref="Y326:Y389" si="33">IF(COUNTA(J326:T326)=0, "", SUM(J326:T326))</f>
        <v/>
      </c>
      <c r="Z326" s="272"/>
      <c r="AA326" s="272"/>
      <c r="AB326" s="288"/>
    </row>
    <row r="327" spans="1:28" ht="20.25" customHeight="1">
      <c r="A327" s="270">
        <v>326</v>
      </c>
      <c r="B327" s="276"/>
      <c r="C327" s="271"/>
      <c r="D327" s="270"/>
      <c r="E327" s="272"/>
      <c r="F327" s="272"/>
      <c r="G327" s="270"/>
      <c r="H327" s="340"/>
      <c r="I327" s="272" t="str">
        <f t="shared" si="32"/>
        <v/>
      </c>
      <c r="J327" s="272"/>
      <c r="K327" s="272"/>
      <c r="L327" s="272"/>
      <c r="M327" s="272"/>
      <c r="N327" s="272"/>
      <c r="O327" s="272"/>
      <c r="P327" s="272"/>
      <c r="Q327" s="272"/>
      <c r="R327" s="272"/>
      <c r="S327" s="272"/>
      <c r="T327" s="272"/>
      <c r="U327" s="272"/>
      <c r="V327" s="272"/>
      <c r="W327" s="272"/>
      <c r="X327" s="270"/>
      <c r="Y327" s="270" t="str">
        <f t="shared" si="33"/>
        <v/>
      </c>
      <c r="Z327" s="272"/>
      <c r="AA327" s="272"/>
      <c r="AB327" s="288"/>
    </row>
    <row r="328" spans="1:28" ht="20.25" customHeight="1">
      <c r="A328" s="270">
        <v>327</v>
      </c>
      <c r="B328" s="276"/>
      <c r="C328" s="271"/>
      <c r="D328" s="270"/>
      <c r="E328" s="272"/>
      <c r="F328" s="272"/>
      <c r="G328" s="270"/>
      <c r="H328" s="340"/>
      <c r="I328" s="272" t="str">
        <f t="shared" si="32"/>
        <v/>
      </c>
      <c r="J328" s="272"/>
      <c r="K328" s="272"/>
      <c r="L328" s="272"/>
      <c r="M328" s="272"/>
      <c r="N328" s="272"/>
      <c r="O328" s="272"/>
      <c r="P328" s="272"/>
      <c r="Q328" s="272"/>
      <c r="R328" s="272"/>
      <c r="S328" s="272"/>
      <c r="T328" s="272"/>
      <c r="U328" s="272"/>
      <c r="V328" s="272"/>
      <c r="W328" s="272"/>
      <c r="X328" s="270"/>
      <c r="Y328" s="270" t="str">
        <f t="shared" si="33"/>
        <v/>
      </c>
      <c r="Z328" s="272"/>
      <c r="AA328" s="272"/>
      <c r="AB328" s="288"/>
    </row>
    <row r="329" spans="1:28" ht="20.25" customHeight="1">
      <c r="A329" s="270">
        <v>328</v>
      </c>
      <c r="B329" s="276"/>
      <c r="C329" s="271"/>
      <c r="D329" s="270"/>
      <c r="E329" s="272"/>
      <c r="F329" s="272"/>
      <c r="G329" s="270"/>
      <c r="H329" s="340"/>
      <c r="I329" s="272" t="str">
        <f t="shared" si="32"/>
        <v/>
      </c>
      <c r="J329" s="272"/>
      <c r="K329" s="272"/>
      <c r="L329" s="272"/>
      <c r="M329" s="272"/>
      <c r="N329" s="272"/>
      <c r="O329" s="272"/>
      <c r="P329" s="272"/>
      <c r="Q329" s="272"/>
      <c r="R329" s="272"/>
      <c r="S329" s="272"/>
      <c r="T329" s="272"/>
      <c r="U329" s="272"/>
      <c r="V329" s="272"/>
      <c r="W329" s="272"/>
      <c r="X329" s="270"/>
      <c r="Y329" s="270" t="str">
        <f t="shared" si="33"/>
        <v/>
      </c>
      <c r="Z329" s="272"/>
      <c r="AA329" s="272"/>
      <c r="AB329" s="288"/>
    </row>
    <row r="330" spans="1:28" ht="20.25" customHeight="1">
      <c r="A330" s="270">
        <v>329</v>
      </c>
      <c r="B330" s="276"/>
      <c r="C330" s="271"/>
      <c r="D330" s="270"/>
      <c r="E330" s="272"/>
      <c r="F330" s="272"/>
      <c r="G330" s="270"/>
      <c r="H330" s="340"/>
      <c r="I330" s="272" t="str">
        <f t="shared" si="32"/>
        <v/>
      </c>
      <c r="J330" s="272"/>
      <c r="K330" s="272"/>
      <c r="L330" s="272"/>
      <c r="M330" s="272"/>
      <c r="N330" s="272"/>
      <c r="O330" s="272"/>
      <c r="P330" s="272"/>
      <c r="Q330" s="272"/>
      <c r="R330" s="272"/>
      <c r="S330" s="272"/>
      <c r="T330" s="272"/>
      <c r="U330" s="272"/>
      <c r="V330" s="272"/>
      <c r="W330" s="272"/>
      <c r="X330" s="270"/>
      <c r="Y330" s="270" t="str">
        <f t="shared" si="33"/>
        <v/>
      </c>
      <c r="Z330" s="272"/>
      <c r="AA330" s="272"/>
      <c r="AB330" s="288"/>
    </row>
    <row r="331" spans="1:28" ht="20.25" customHeight="1">
      <c r="A331" s="270">
        <v>330</v>
      </c>
      <c r="B331" s="276"/>
      <c r="C331" s="271"/>
      <c r="D331" s="270"/>
      <c r="E331" s="272"/>
      <c r="F331" s="272"/>
      <c r="G331" s="270"/>
      <c r="H331" s="340"/>
      <c r="I331" s="272" t="str">
        <f t="shared" si="32"/>
        <v/>
      </c>
      <c r="J331" s="272"/>
      <c r="K331" s="272"/>
      <c r="L331" s="272"/>
      <c r="M331" s="272"/>
      <c r="N331" s="272"/>
      <c r="O331" s="272"/>
      <c r="P331" s="272"/>
      <c r="Q331" s="272"/>
      <c r="R331" s="272"/>
      <c r="S331" s="272"/>
      <c r="T331" s="272"/>
      <c r="U331" s="272"/>
      <c r="V331" s="272"/>
      <c r="W331" s="272"/>
      <c r="X331" s="270"/>
      <c r="Y331" s="270" t="str">
        <f t="shared" si="33"/>
        <v/>
      </c>
      <c r="Z331" s="272"/>
      <c r="AA331" s="272"/>
      <c r="AB331" s="288"/>
    </row>
    <row r="332" spans="1:28" ht="20.25" customHeight="1">
      <c r="A332" s="270">
        <v>331</v>
      </c>
      <c r="B332" s="276"/>
      <c r="C332" s="271"/>
      <c r="D332" s="270"/>
      <c r="E332" s="272"/>
      <c r="F332" s="272"/>
      <c r="G332" s="270"/>
      <c r="H332" s="340"/>
      <c r="I332" s="272" t="str">
        <f t="shared" si="32"/>
        <v/>
      </c>
      <c r="J332" s="272"/>
      <c r="K332" s="272"/>
      <c r="L332" s="272"/>
      <c r="M332" s="272"/>
      <c r="N332" s="272"/>
      <c r="O332" s="272"/>
      <c r="P332" s="272"/>
      <c r="Q332" s="272"/>
      <c r="R332" s="272"/>
      <c r="S332" s="272"/>
      <c r="T332" s="272"/>
      <c r="U332" s="272"/>
      <c r="V332" s="272"/>
      <c r="W332" s="272"/>
      <c r="X332" s="270"/>
      <c r="Y332" s="270" t="str">
        <f t="shared" si="33"/>
        <v/>
      </c>
      <c r="Z332" s="272"/>
      <c r="AA332" s="272"/>
      <c r="AB332" s="288"/>
    </row>
    <row r="333" spans="1:28" ht="20.25" customHeight="1">
      <c r="A333" s="270">
        <v>332</v>
      </c>
      <c r="B333" s="276"/>
      <c r="C333" s="271"/>
      <c r="D333" s="270"/>
      <c r="E333" s="272"/>
      <c r="F333" s="272"/>
      <c r="G333" s="270"/>
      <c r="H333" s="340"/>
      <c r="I333" s="272" t="str">
        <f t="shared" si="32"/>
        <v/>
      </c>
      <c r="J333" s="272"/>
      <c r="K333" s="272"/>
      <c r="L333" s="272"/>
      <c r="M333" s="272"/>
      <c r="N333" s="272"/>
      <c r="O333" s="272"/>
      <c r="P333" s="272"/>
      <c r="Q333" s="272"/>
      <c r="R333" s="272"/>
      <c r="S333" s="272"/>
      <c r="T333" s="272"/>
      <c r="U333" s="272"/>
      <c r="V333" s="272"/>
      <c r="W333" s="272"/>
      <c r="X333" s="270"/>
      <c r="Y333" s="270" t="str">
        <f t="shared" si="33"/>
        <v/>
      </c>
      <c r="Z333" s="272"/>
      <c r="AA333" s="272"/>
      <c r="AB333" s="288"/>
    </row>
    <row r="334" spans="1:28" ht="20.25" customHeight="1">
      <c r="A334" s="270">
        <v>333</v>
      </c>
      <c r="B334" s="276"/>
      <c r="C334" s="271"/>
      <c r="D334" s="270"/>
      <c r="E334" s="272"/>
      <c r="F334" s="272"/>
      <c r="G334" s="270"/>
      <c r="H334" s="340"/>
      <c r="I334" s="272" t="str">
        <f t="shared" si="32"/>
        <v/>
      </c>
      <c r="J334" s="272"/>
      <c r="K334" s="272"/>
      <c r="L334" s="272"/>
      <c r="M334" s="272"/>
      <c r="N334" s="272"/>
      <c r="O334" s="272"/>
      <c r="P334" s="272"/>
      <c r="Q334" s="272"/>
      <c r="R334" s="272"/>
      <c r="S334" s="272"/>
      <c r="T334" s="272"/>
      <c r="U334" s="272"/>
      <c r="V334" s="272"/>
      <c r="W334" s="272"/>
      <c r="X334" s="270"/>
      <c r="Y334" s="270" t="str">
        <f t="shared" si="33"/>
        <v/>
      </c>
      <c r="Z334" s="272"/>
      <c r="AA334" s="272"/>
      <c r="AB334" s="288"/>
    </row>
    <row r="335" spans="1:28" ht="20.25" customHeight="1">
      <c r="A335" s="270">
        <v>334</v>
      </c>
      <c r="B335" s="276"/>
      <c r="C335" s="271"/>
      <c r="D335" s="270"/>
      <c r="E335" s="272"/>
      <c r="F335" s="272"/>
      <c r="G335" s="270"/>
      <c r="H335" s="340"/>
      <c r="I335" s="272" t="str">
        <f t="shared" si="32"/>
        <v/>
      </c>
      <c r="J335" s="272"/>
      <c r="K335" s="272"/>
      <c r="L335" s="272"/>
      <c r="M335" s="272"/>
      <c r="N335" s="272"/>
      <c r="O335" s="272"/>
      <c r="P335" s="272"/>
      <c r="Q335" s="272"/>
      <c r="R335" s="272"/>
      <c r="S335" s="272"/>
      <c r="T335" s="272"/>
      <c r="U335" s="272"/>
      <c r="V335" s="272"/>
      <c r="W335" s="272"/>
      <c r="X335" s="270"/>
      <c r="Y335" s="270" t="str">
        <f t="shared" si="33"/>
        <v/>
      </c>
      <c r="Z335" s="272"/>
      <c r="AA335" s="272"/>
      <c r="AB335" s="288"/>
    </row>
    <row r="336" spans="1:28" ht="20.25" customHeight="1">
      <c r="A336" s="270">
        <v>335</v>
      </c>
      <c r="B336" s="276"/>
      <c r="C336" s="271"/>
      <c r="D336" s="270"/>
      <c r="E336" s="272"/>
      <c r="F336" s="272"/>
      <c r="G336" s="270"/>
      <c r="H336" s="340"/>
      <c r="I336" s="272" t="str">
        <f t="shared" si="32"/>
        <v/>
      </c>
      <c r="J336" s="272"/>
      <c r="K336" s="272"/>
      <c r="L336" s="272"/>
      <c r="M336" s="272"/>
      <c r="N336" s="272"/>
      <c r="O336" s="272"/>
      <c r="P336" s="272"/>
      <c r="Q336" s="272"/>
      <c r="R336" s="272"/>
      <c r="S336" s="272"/>
      <c r="T336" s="272"/>
      <c r="U336" s="272"/>
      <c r="V336" s="272"/>
      <c r="W336" s="272"/>
      <c r="X336" s="270"/>
      <c r="Y336" s="270" t="str">
        <f t="shared" si="33"/>
        <v/>
      </c>
      <c r="Z336" s="272"/>
      <c r="AA336" s="272"/>
      <c r="AB336" s="288"/>
    </row>
    <row r="337" spans="1:28" ht="20.25" customHeight="1">
      <c r="A337" s="270">
        <v>336</v>
      </c>
      <c r="B337" s="276"/>
      <c r="C337" s="271"/>
      <c r="D337" s="270"/>
      <c r="E337" s="272"/>
      <c r="F337" s="272"/>
      <c r="G337" s="270"/>
      <c r="H337" s="340"/>
      <c r="I337" s="272" t="str">
        <f t="shared" si="32"/>
        <v/>
      </c>
      <c r="J337" s="272"/>
      <c r="K337" s="272"/>
      <c r="L337" s="272"/>
      <c r="M337" s="272"/>
      <c r="N337" s="272"/>
      <c r="O337" s="272"/>
      <c r="P337" s="272"/>
      <c r="Q337" s="272"/>
      <c r="R337" s="272"/>
      <c r="S337" s="272"/>
      <c r="T337" s="272"/>
      <c r="U337" s="272"/>
      <c r="V337" s="272"/>
      <c r="W337" s="272"/>
      <c r="X337" s="270"/>
      <c r="Y337" s="270" t="str">
        <f t="shared" si="33"/>
        <v/>
      </c>
      <c r="Z337" s="272"/>
      <c r="AA337" s="272"/>
      <c r="AB337" s="288"/>
    </row>
    <row r="338" spans="1:28" ht="20.25" customHeight="1">
      <c r="A338" s="270">
        <v>337</v>
      </c>
      <c r="B338" s="276"/>
      <c r="C338" s="271"/>
      <c r="D338" s="270"/>
      <c r="E338" s="272"/>
      <c r="F338" s="272"/>
      <c r="G338" s="270"/>
      <c r="H338" s="340"/>
      <c r="I338" s="272" t="str">
        <f t="shared" si="32"/>
        <v/>
      </c>
      <c r="J338" s="272"/>
      <c r="K338" s="272"/>
      <c r="L338" s="272"/>
      <c r="M338" s="272"/>
      <c r="N338" s="272"/>
      <c r="O338" s="272"/>
      <c r="P338" s="272"/>
      <c r="Q338" s="272"/>
      <c r="R338" s="272"/>
      <c r="S338" s="272"/>
      <c r="T338" s="272"/>
      <c r="U338" s="272"/>
      <c r="V338" s="272"/>
      <c r="W338" s="272"/>
      <c r="X338" s="270"/>
      <c r="Y338" s="270" t="str">
        <f t="shared" si="33"/>
        <v/>
      </c>
      <c r="Z338" s="272"/>
      <c r="AA338" s="272"/>
      <c r="AB338" s="288"/>
    </row>
    <row r="339" spans="1:28" ht="20.25" customHeight="1">
      <c r="A339" s="270">
        <v>338</v>
      </c>
      <c r="B339" s="276"/>
      <c r="C339" s="271"/>
      <c r="D339" s="270"/>
      <c r="E339" s="272"/>
      <c r="F339" s="272"/>
      <c r="G339" s="270"/>
      <c r="H339" s="340"/>
      <c r="I339" s="272" t="str">
        <f t="shared" si="32"/>
        <v/>
      </c>
      <c r="J339" s="272"/>
      <c r="K339" s="272"/>
      <c r="L339" s="272"/>
      <c r="M339" s="272"/>
      <c r="N339" s="272"/>
      <c r="O339" s="272"/>
      <c r="P339" s="272"/>
      <c r="Q339" s="272"/>
      <c r="R339" s="272"/>
      <c r="S339" s="272"/>
      <c r="T339" s="272"/>
      <c r="U339" s="272"/>
      <c r="V339" s="272"/>
      <c r="W339" s="272"/>
      <c r="X339" s="270"/>
      <c r="Y339" s="270" t="str">
        <f t="shared" si="33"/>
        <v/>
      </c>
      <c r="Z339" s="272"/>
      <c r="AA339" s="272"/>
      <c r="AB339" s="288"/>
    </row>
    <row r="340" spans="1:28" ht="20.25" customHeight="1">
      <c r="A340" s="270">
        <v>339</v>
      </c>
      <c r="B340" s="276"/>
      <c r="C340" s="271"/>
      <c r="D340" s="270"/>
      <c r="E340" s="272"/>
      <c r="F340" s="272"/>
      <c r="G340" s="270"/>
      <c r="H340" s="340"/>
      <c r="I340" s="272" t="str">
        <f t="shared" si="32"/>
        <v/>
      </c>
      <c r="J340" s="272"/>
      <c r="K340" s="272"/>
      <c r="L340" s="272"/>
      <c r="M340" s="272"/>
      <c r="N340" s="272"/>
      <c r="O340" s="272"/>
      <c r="P340" s="272"/>
      <c r="Q340" s="272"/>
      <c r="R340" s="272"/>
      <c r="S340" s="272"/>
      <c r="T340" s="272"/>
      <c r="U340" s="272"/>
      <c r="V340" s="272"/>
      <c r="W340" s="272"/>
      <c r="X340" s="270"/>
      <c r="Y340" s="270" t="str">
        <f t="shared" si="33"/>
        <v/>
      </c>
      <c r="Z340" s="272"/>
      <c r="AA340" s="272"/>
      <c r="AB340" s="288"/>
    </row>
    <row r="341" spans="1:28" ht="20.25" customHeight="1">
      <c r="A341" s="270">
        <v>340</v>
      </c>
      <c r="B341" s="276"/>
      <c r="C341" s="271"/>
      <c r="D341" s="270"/>
      <c r="E341" s="272"/>
      <c r="F341" s="272"/>
      <c r="G341" s="270"/>
      <c r="H341" s="340"/>
      <c r="I341" s="272" t="str">
        <f t="shared" si="32"/>
        <v/>
      </c>
      <c r="J341" s="272"/>
      <c r="K341" s="272"/>
      <c r="L341" s="272"/>
      <c r="M341" s="272"/>
      <c r="N341" s="272"/>
      <c r="O341" s="272"/>
      <c r="P341" s="272"/>
      <c r="Q341" s="272"/>
      <c r="R341" s="272"/>
      <c r="S341" s="272"/>
      <c r="T341" s="272"/>
      <c r="U341" s="272"/>
      <c r="V341" s="272"/>
      <c r="W341" s="272"/>
      <c r="X341" s="270"/>
      <c r="Y341" s="270" t="str">
        <f t="shared" si="33"/>
        <v/>
      </c>
      <c r="Z341" s="272"/>
      <c r="AA341" s="272"/>
      <c r="AB341" s="288"/>
    </row>
    <row r="342" spans="1:28" ht="20.25" customHeight="1">
      <c r="A342" s="270">
        <v>341</v>
      </c>
      <c r="B342" s="276"/>
      <c r="C342" s="271"/>
      <c r="D342" s="270"/>
      <c r="E342" s="272"/>
      <c r="F342" s="272"/>
      <c r="G342" s="270"/>
      <c r="H342" s="340"/>
      <c r="I342" s="272" t="str">
        <f t="shared" si="32"/>
        <v/>
      </c>
      <c r="J342" s="272"/>
      <c r="K342" s="272"/>
      <c r="L342" s="272"/>
      <c r="M342" s="272"/>
      <c r="N342" s="272"/>
      <c r="O342" s="272"/>
      <c r="P342" s="272"/>
      <c r="Q342" s="272"/>
      <c r="R342" s="272"/>
      <c r="S342" s="272"/>
      <c r="T342" s="272"/>
      <c r="U342" s="272"/>
      <c r="V342" s="272"/>
      <c r="W342" s="272"/>
      <c r="X342" s="270"/>
      <c r="Y342" s="270" t="str">
        <f t="shared" si="33"/>
        <v/>
      </c>
      <c r="Z342" s="272"/>
      <c r="AA342" s="272"/>
      <c r="AB342" s="288"/>
    </row>
    <row r="343" spans="1:28" ht="20.25" customHeight="1">
      <c r="A343" s="270">
        <v>342</v>
      </c>
      <c r="B343" s="276"/>
      <c r="C343" s="271"/>
      <c r="D343" s="270"/>
      <c r="E343" s="272"/>
      <c r="F343" s="272"/>
      <c r="G343" s="270"/>
      <c r="H343" s="340"/>
      <c r="I343" s="272" t="str">
        <f t="shared" si="32"/>
        <v/>
      </c>
      <c r="J343" s="272"/>
      <c r="K343" s="272"/>
      <c r="L343" s="272"/>
      <c r="M343" s="272"/>
      <c r="N343" s="272"/>
      <c r="O343" s="272"/>
      <c r="P343" s="272"/>
      <c r="Q343" s="272"/>
      <c r="R343" s="272"/>
      <c r="S343" s="272"/>
      <c r="T343" s="272"/>
      <c r="U343" s="272"/>
      <c r="V343" s="272"/>
      <c r="W343" s="272"/>
      <c r="X343" s="270"/>
      <c r="Y343" s="270" t="str">
        <f t="shared" si="33"/>
        <v/>
      </c>
      <c r="Z343" s="272"/>
      <c r="AA343" s="272"/>
      <c r="AB343" s="288"/>
    </row>
    <row r="344" spans="1:28" ht="20.25" customHeight="1">
      <c r="A344" s="270">
        <v>343</v>
      </c>
      <c r="B344" s="276"/>
      <c r="C344" s="271"/>
      <c r="D344" s="270"/>
      <c r="E344" s="272"/>
      <c r="F344" s="272"/>
      <c r="G344" s="270"/>
      <c r="H344" s="340"/>
      <c r="I344" s="272" t="str">
        <f t="shared" si="32"/>
        <v/>
      </c>
      <c r="J344" s="272"/>
      <c r="K344" s="272"/>
      <c r="L344" s="272"/>
      <c r="M344" s="272"/>
      <c r="N344" s="272"/>
      <c r="O344" s="272"/>
      <c r="P344" s="272"/>
      <c r="Q344" s="272"/>
      <c r="R344" s="272"/>
      <c r="S344" s="272"/>
      <c r="T344" s="272"/>
      <c r="U344" s="272"/>
      <c r="V344" s="272"/>
      <c r="W344" s="272"/>
      <c r="X344" s="270"/>
      <c r="Y344" s="270" t="str">
        <f t="shared" si="33"/>
        <v/>
      </c>
      <c r="Z344" s="272"/>
      <c r="AA344" s="272"/>
      <c r="AB344" s="288"/>
    </row>
    <row r="345" spans="1:28" ht="20.25" customHeight="1">
      <c r="A345" s="270">
        <v>344</v>
      </c>
      <c r="B345" s="276"/>
      <c r="C345" s="271"/>
      <c r="D345" s="270"/>
      <c r="E345" s="272"/>
      <c r="F345" s="272"/>
      <c r="G345" s="270"/>
      <c r="H345" s="340"/>
      <c r="I345" s="272" t="str">
        <f t="shared" si="32"/>
        <v/>
      </c>
      <c r="J345" s="272"/>
      <c r="K345" s="272"/>
      <c r="L345" s="272"/>
      <c r="M345" s="272"/>
      <c r="N345" s="272"/>
      <c r="O345" s="272"/>
      <c r="P345" s="272"/>
      <c r="Q345" s="272"/>
      <c r="R345" s="272"/>
      <c r="S345" s="272"/>
      <c r="T345" s="272"/>
      <c r="U345" s="272"/>
      <c r="V345" s="272"/>
      <c r="W345" s="272"/>
      <c r="X345" s="270"/>
      <c r="Y345" s="270" t="str">
        <f t="shared" si="33"/>
        <v/>
      </c>
      <c r="Z345" s="272"/>
      <c r="AA345" s="272"/>
      <c r="AB345" s="288"/>
    </row>
    <row r="346" spans="1:28" ht="20.25" customHeight="1">
      <c r="A346" s="270">
        <v>345</v>
      </c>
      <c r="B346" s="276"/>
      <c r="C346" s="271"/>
      <c r="D346" s="270"/>
      <c r="E346" s="272"/>
      <c r="F346" s="272"/>
      <c r="G346" s="270"/>
      <c r="H346" s="340"/>
      <c r="I346" s="272" t="str">
        <f t="shared" si="32"/>
        <v/>
      </c>
      <c r="J346" s="272"/>
      <c r="K346" s="272"/>
      <c r="L346" s="272"/>
      <c r="M346" s="272"/>
      <c r="N346" s="272"/>
      <c r="O346" s="272"/>
      <c r="P346" s="272"/>
      <c r="Q346" s="272"/>
      <c r="R346" s="272"/>
      <c r="S346" s="272"/>
      <c r="T346" s="272"/>
      <c r="U346" s="272"/>
      <c r="V346" s="272"/>
      <c r="W346" s="272"/>
      <c r="X346" s="270"/>
      <c r="Y346" s="270" t="str">
        <f t="shared" si="33"/>
        <v/>
      </c>
      <c r="Z346" s="272"/>
      <c r="AA346" s="272"/>
      <c r="AB346" s="288"/>
    </row>
    <row r="347" spans="1:28" ht="20.25" customHeight="1">
      <c r="A347" s="270">
        <v>346</v>
      </c>
      <c r="B347" s="276"/>
      <c r="C347" s="271"/>
      <c r="D347" s="270"/>
      <c r="E347" s="272"/>
      <c r="F347" s="272"/>
      <c r="G347" s="270"/>
      <c r="H347" s="340"/>
      <c r="I347" s="272" t="str">
        <f t="shared" si="32"/>
        <v/>
      </c>
      <c r="J347" s="272"/>
      <c r="K347" s="272"/>
      <c r="L347" s="272"/>
      <c r="M347" s="272"/>
      <c r="N347" s="272"/>
      <c r="O347" s="272"/>
      <c r="P347" s="272"/>
      <c r="Q347" s="272"/>
      <c r="R347" s="272"/>
      <c r="S347" s="272"/>
      <c r="T347" s="272"/>
      <c r="U347" s="272"/>
      <c r="V347" s="272"/>
      <c r="W347" s="272"/>
      <c r="X347" s="270"/>
      <c r="Y347" s="270" t="str">
        <f t="shared" si="33"/>
        <v/>
      </c>
      <c r="Z347" s="272"/>
      <c r="AA347" s="272"/>
      <c r="AB347" s="288"/>
    </row>
    <row r="348" spans="1:28" ht="20.25" customHeight="1">
      <c r="A348" s="270">
        <v>347</v>
      </c>
      <c r="B348" s="276"/>
      <c r="C348" s="271"/>
      <c r="D348" s="270"/>
      <c r="E348" s="272"/>
      <c r="F348" s="272"/>
      <c r="G348" s="270"/>
      <c r="H348" s="340"/>
      <c r="I348" s="272" t="str">
        <f t="shared" si="32"/>
        <v/>
      </c>
      <c r="J348" s="272"/>
      <c r="K348" s="272"/>
      <c r="L348" s="272"/>
      <c r="M348" s="272"/>
      <c r="N348" s="272"/>
      <c r="O348" s="272"/>
      <c r="P348" s="272"/>
      <c r="Q348" s="272"/>
      <c r="R348" s="272"/>
      <c r="S348" s="272"/>
      <c r="T348" s="272"/>
      <c r="U348" s="272"/>
      <c r="V348" s="272"/>
      <c r="W348" s="272"/>
      <c r="X348" s="270"/>
      <c r="Y348" s="270" t="str">
        <f t="shared" si="33"/>
        <v/>
      </c>
      <c r="Z348" s="272"/>
      <c r="AA348" s="272"/>
      <c r="AB348" s="288"/>
    </row>
    <row r="349" spans="1:28" ht="20.25" customHeight="1">
      <c r="A349" s="270">
        <v>348</v>
      </c>
      <c r="B349" s="276"/>
      <c r="C349" s="271"/>
      <c r="D349" s="270"/>
      <c r="E349" s="272"/>
      <c r="F349" s="272"/>
      <c r="G349" s="270"/>
      <c r="H349" s="340"/>
      <c r="I349" s="272" t="str">
        <f t="shared" si="32"/>
        <v/>
      </c>
      <c r="J349" s="272"/>
      <c r="K349" s="272"/>
      <c r="L349" s="272"/>
      <c r="M349" s="272"/>
      <c r="N349" s="272"/>
      <c r="O349" s="272"/>
      <c r="P349" s="272"/>
      <c r="Q349" s="272"/>
      <c r="R349" s="272"/>
      <c r="S349" s="272"/>
      <c r="T349" s="272"/>
      <c r="U349" s="272"/>
      <c r="V349" s="272"/>
      <c r="W349" s="272"/>
      <c r="X349" s="270"/>
      <c r="Y349" s="270" t="str">
        <f t="shared" si="33"/>
        <v/>
      </c>
      <c r="Z349" s="272"/>
      <c r="AA349" s="272"/>
      <c r="AB349" s="288"/>
    </row>
    <row r="350" spans="1:28" ht="20.25" customHeight="1">
      <c r="A350" s="270">
        <v>349</v>
      </c>
      <c r="B350" s="276"/>
      <c r="C350" s="271"/>
      <c r="D350" s="270"/>
      <c r="E350" s="272"/>
      <c r="F350" s="272"/>
      <c r="G350" s="270"/>
      <c r="H350" s="340"/>
      <c r="I350" s="272" t="str">
        <f t="shared" si="32"/>
        <v/>
      </c>
      <c r="J350" s="272"/>
      <c r="K350" s="272"/>
      <c r="L350" s="272"/>
      <c r="M350" s="272"/>
      <c r="N350" s="272"/>
      <c r="O350" s="272"/>
      <c r="P350" s="272"/>
      <c r="Q350" s="272"/>
      <c r="R350" s="272"/>
      <c r="S350" s="272"/>
      <c r="T350" s="272"/>
      <c r="U350" s="272"/>
      <c r="V350" s="272"/>
      <c r="W350" s="272"/>
      <c r="X350" s="270"/>
      <c r="Y350" s="270" t="str">
        <f t="shared" si="33"/>
        <v/>
      </c>
      <c r="Z350" s="272"/>
      <c r="AA350" s="272"/>
      <c r="AB350" s="288"/>
    </row>
    <row r="351" spans="1:28" ht="20.25" customHeight="1">
      <c r="A351" s="270">
        <v>350</v>
      </c>
      <c r="B351" s="276"/>
      <c r="C351" s="271"/>
      <c r="D351" s="270"/>
      <c r="E351" s="272"/>
      <c r="F351" s="272"/>
      <c r="G351" s="270"/>
      <c r="H351" s="340"/>
      <c r="I351" s="272" t="str">
        <f t="shared" si="32"/>
        <v/>
      </c>
      <c r="J351" s="272"/>
      <c r="K351" s="272"/>
      <c r="L351" s="272"/>
      <c r="M351" s="272"/>
      <c r="N351" s="272"/>
      <c r="O351" s="272"/>
      <c r="P351" s="272"/>
      <c r="Q351" s="272"/>
      <c r="R351" s="272"/>
      <c r="S351" s="272"/>
      <c r="T351" s="272"/>
      <c r="U351" s="272"/>
      <c r="V351" s="272"/>
      <c r="W351" s="272"/>
      <c r="X351" s="270"/>
      <c r="Y351" s="270" t="str">
        <f t="shared" si="33"/>
        <v/>
      </c>
      <c r="Z351" s="272"/>
      <c r="AA351" s="272"/>
      <c r="AB351" s="288"/>
    </row>
    <row r="352" spans="1:28" ht="20.25" customHeight="1">
      <c r="A352" s="270">
        <v>351</v>
      </c>
      <c r="B352" s="276"/>
      <c r="C352" s="271"/>
      <c r="D352" s="270"/>
      <c r="E352" s="272"/>
      <c r="F352" s="272"/>
      <c r="G352" s="270"/>
      <c r="H352" s="340"/>
      <c r="I352" s="272" t="str">
        <f t="shared" si="32"/>
        <v/>
      </c>
      <c r="J352" s="272"/>
      <c r="K352" s="272"/>
      <c r="L352" s="272"/>
      <c r="M352" s="272"/>
      <c r="N352" s="272"/>
      <c r="O352" s="272"/>
      <c r="P352" s="272"/>
      <c r="Q352" s="272"/>
      <c r="R352" s="272"/>
      <c r="S352" s="272"/>
      <c r="T352" s="272"/>
      <c r="U352" s="272"/>
      <c r="V352" s="272"/>
      <c r="W352" s="272"/>
      <c r="X352" s="270"/>
      <c r="Y352" s="270" t="str">
        <f t="shared" si="33"/>
        <v/>
      </c>
      <c r="Z352" s="272"/>
      <c r="AA352" s="272"/>
      <c r="AB352" s="288"/>
    </row>
    <row r="353" spans="1:28" ht="20.25" customHeight="1">
      <c r="A353" s="270">
        <v>352</v>
      </c>
      <c r="B353" s="276"/>
      <c r="C353" s="271"/>
      <c r="D353" s="270"/>
      <c r="E353" s="272"/>
      <c r="F353" s="272"/>
      <c r="G353" s="270"/>
      <c r="H353" s="340"/>
      <c r="I353" s="272" t="str">
        <f t="shared" si="32"/>
        <v/>
      </c>
      <c r="J353" s="272"/>
      <c r="K353" s="272"/>
      <c r="L353" s="272"/>
      <c r="M353" s="272"/>
      <c r="N353" s="272"/>
      <c r="O353" s="272"/>
      <c r="P353" s="272"/>
      <c r="Q353" s="272"/>
      <c r="R353" s="272"/>
      <c r="S353" s="272"/>
      <c r="T353" s="272"/>
      <c r="U353" s="272"/>
      <c r="V353" s="272"/>
      <c r="W353" s="272"/>
      <c r="X353" s="270"/>
      <c r="Y353" s="270" t="str">
        <f t="shared" si="33"/>
        <v/>
      </c>
      <c r="Z353" s="272"/>
      <c r="AA353" s="272"/>
      <c r="AB353" s="288"/>
    </row>
    <row r="354" spans="1:28" ht="20.25" customHeight="1">
      <c r="A354" s="270">
        <v>353</v>
      </c>
      <c r="B354" s="276"/>
      <c r="C354" s="271"/>
      <c r="D354" s="270"/>
      <c r="E354" s="272"/>
      <c r="F354" s="272"/>
      <c r="G354" s="270"/>
      <c r="H354" s="340"/>
      <c r="I354" s="272" t="str">
        <f t="shared" si="32"/>
        <v/>
      </c>
      <c r="J354" s="272"/>
      <c r="K354" s="272"/>
      <c r="L354" s="272"/>
      <c r="M354" s="272"/>
      <c r="N354" s="272"/>
      <c r="O354" s="272"/>
      <c r="P354" s="272"/>
      <c r="Q354" s="272"/>
      <c r="R354" s="272"/>
      <c r="S354" s="272"/>
      <c r="T354" s="272"/>
      <c r="U354" s="272"/>
      <c r="V354" s="272"/>
      <c r="W354" s="272"/>
      <c r="X354" s="270"/>
      <c r="Y354" s="270" t="str">
        <f t="shared" si="33"/>
        <v/>
      </c>
      <c r="Z354" s="272"/>
      <c r="AA354" s="272"/>
      <c r="AB354" s="288"/>
    </row>
    <row r="355" spans="1:28" ht="20.25" customHeight="1">
      <c r="A355" s="270">
        <v>354</v>
      </c>
      <c r="B355" s="276"/>
      <c r="C355" s="271"/>
      <c r="D355" s="270"/>
      <c r="E355" s="272"/>
      <c r="F355" s="272"/>
      <c r="G355" s="270"/>
      <c r="H355" s="340"/>
      <c r="I355" s="272" t="str">
        <f t="shared" si="32"/>
        <v/>
      </c>
      <c r="J355" s="272"/>
      <c r="K355" s="272"/>
      <c r="L355" s="272"/>
      <c r="M355" s="272"/>
      <c r="N355" s="272"/>
      <c r="O355" s="272"/>
      <c r="P355" s="272"/>
      <c r="Q355" s="272"/>
      <c r="R355" s="272"/>
      <c r="S355" s="272"/>
      <c r="T355" s="272"/>
      <c r="U355" s="272"/>
      <c r="V355" s="272"/>
      <c r="W355" s="272"/>
      <c r="X355" s="270"/>
      <c r="Y355" s="270" t="str">
        <f t="shared" si="33"/>
        <v/>
      </c>
      <c r="Z355" s="272"/>
      <c r="AA355" s="272"/>
      <c r="AB355" s="288"/>
    </row>
    <row r="356" spans="1:28" ht="20.25" customHeight="1">
      <c r="A356" s="270">
        <v>355</v>
      </c>
      <c r="B356" s="276"/>
      <c r="C356" s="271"/>
      <c r="D356" s="270"/>
      <c r="E356" s="272"/>
      <c r="F356" s="272"/>
      <c r="G356" s="270"/>
      <c r="H356" s="340"/>
      <c r="I356" s="272" t="str">
        <f t="shared" si="32"/>
        <v/>
      </c>
      <c r="J356" s="272"/>
      <c r="K356" s="272"/>
      <c r="L356" s="272"/>
      <c r="M356" s="272"/>
      <c r="N356" s="272"/>
      <c r="O356" s="272"/>
      <c r="P356" s="272"/>
      <c r="Q356" s="272"/>
      <c r="R356" s="272"/>
      <c r="S356" s="272"/>
      <c r="T356" s="272"/>
      <c r="U356" s="272"/>
      <c r="V356" s="272"/>
      <c r="W356" s="272"/>
      <c r="X356" s="270"/>
      <c r="Y356" s="270" t="str">
        <f t="shared" si="33"/>
        <v/>
      </c>
      <c r="Z356" s="272"/>
      <c r="AA356" s="272"/>
      <c r="AB356" s="288"/>
    </row>
    <row r="357" spans="1:28" ht="20.25" customHeight="1">
      <c r="A357" s="270">
        <v>356</v>
      </c>
      <c r="B357" s="276"/>
      <c r="C357" s="271"/>
      <c r="D357" s="270"/>
      <c r="E357" s="272"/>
      <c r="F357" s="272"/>
      <c r="G357" s="270"/>
      <c r="H357" s="340"/>
      <c r="I357" s="272" t="str">
        <f t="shared" si="32"/>
        <v/>
      </c>
      <c r="J357" s="272"/>
      <c r="K357" s="272"/>
      <c r="L357" s="272"/>
      <c r="M357" s="272"/>
      <c r="N357" s="272"/>
      <c r="O357" s="272"/>
      <c r="P357" s="272"/>
      <c r="Q357" s="272"/>
      <c r="R357" s="272"/>
      <c r="S357" s="272"/>
      <c r="T357" s="272"/>
      <c r="U357" s="272"/>
      <c r="V357" s="272"/>
      <c r="W357" s="272"/>
      <c r="X357" s="270"/>
      <c r="Y357" s="270" t="str">
        <f t="shared" si="33"/>
        <v/>
      </c>
      <c r="Z357" s="272"/>
      <c r="AA357" s="272"/>
      <c r="AB357" s="288"/>
    </row>
    <row r="358" spans="1:28" ht="20.25" customHeight="1">
      <c r="A358" s="270">
        <v>357</v>
      </c>
      <c r="B358" s="276"/>
      <c r="C358" s="271"/>
      <c r="D358" s="270"/>
      <c r="E358" s="272"/>
      <c r="F358" s="272"/>
      <c r="G358" s="270"/>
      <c r="H358" s="340"/>
      <c r="I358" s="272" t="str">
        <f t="shared" si="32"/>
        <v/>
      </c>
      <c r="J358" s="272"/>
      <c r="K358" s="272"/>
      <c r="L358" s="272"/>
      <c r="M358" s="272"/>
      <c r="N358" s="272"/>
      <c r="O358" s="272"/>
      <c r="P358" s="272"/>
      <c r="Q358" s="272"/>
      <c r="R358" s="272"/>
      <c r="S358" s="272"/>
      <c r="T358" s="272"/>
      <c r="U358" s="272"/>
      <c r="V358" s="272"/>
      <c r="W358" s="272"/>
      <c r="X358" s="270"/>
      <c r="Y358" s="270" t="str">
        <f t="shared" si="33"/>
        <v/>
      </c>
      <c r="Z358" s="272"/>
      <c r="AA358" s="272"/>
      <c r="AB358" s="288"/>
    </row>
    <row r="359" spans="1:28" ht="20.25" customHeight="1">
      <c r="A359" s="270">
        <v>358</v>
      </c>
      <c r="B359" s="276"/>
      <c r="C359" s="271"/>
      <c r="D359" s="270"/>
      <c r="E359" s="272"/>
      <c r="F359" s="272"/>
      <c r="G359" s="270"/>
      <c r="H359" s="340"/>
      <c r="I359" s="272" t="str">
        <f t="shared" si="32"/>
        <v/>
      </c>
      <c r="J359" s="272"/>
      <c r="K359" s="272"/>
      <c r="L359" s="272"/>
      <c r="M359" s="272"/>
      <c r="N359" s="272"/>
      <c r="O359" s="272"/>
      <c r="P359" s="272"/>
      <c r="Q359" s="272"/>
      <c r="R359" s="272"/>
      <c r="S359" s="272"/>
      <c r="T359" s="272"/>
      <c r="U359" s="272"/>
      <c r="V359" s="272"/>
      <c r="W359" s="272"/>
      <c r="X359" s="270"/>
      <c r="Y359" s="270" t="str">
        <f t="shared" si="33"/>
        <v/>
      </c>
      <c r="Z359" s="272"/>
      <c r="AA359" s="272"/>
      <c r="AB359" s="288"/>
    </row>
    <row r="360" spans="1:28" ht="20.25" customHeight="1">
      <c r="A360" s="270">
        <v>359</v>
      </c>
      <c r="B360" s="276"/>
      <c r="C360" s="271"/>
      <c r="D360" s="270"/>
      <c r="E360" s="272"/>
      <c r="F360" s="272"/>
      <c r="G360" s="270"/>
      <c r="H360" s="340"/>
      <c r="I360" s="272" t="str">
        <f t="shared" si="32"/>
        <v/>
      </c>
      <c r="J360" s="272"/>
      <c r="K360" s="272"/>
      <c r="L360" s="272"/>
      <c r="M360" s="272"/>
      <c r="N360" s="272"/>
      <c r="O360" s="272"/>
      <c r="P360" s="272"/>
      <c r="Q360" s="272"/>
      <c r="R360" s="272"/>
      <c r="S360" s="272"/>
      <c r="T360" s="272"/>
      <c r="U360" s="272"/>
      <c r="V360" s="272"/>
      <c r="W360" s="272"/>
      <c r="X360" s="270"/>
      <c r="Y360" s="270" t="str">
        <f t="shared" si="33"/>
        <v/>
      </c>
      <c r="Z360" s="272"/>
      <c r="AA360" s="272"/>
      <c r="AB360" s="288"/>
    </row>
    <row r="361" spans="1:28" ht="20.25" customHeight="1">
      <c r="A361" s="270">
        <v>360</v>
      </c>
      <c r="B361" s="276"/>
      <c r="C361" s="271"/>
      <c r="D361" s="270"/>
      <c r="E361" s="272"/>
      <c r="F361" s="272"/>
      <c r="G361" s="270"/>
      <c r="H361" s="340"/>
      <c r="I361" s="272" t="str">
        <f t="shared" si="32"/>
        <v/>
      </c>
      <c r="J361" s="272"/>
      <c r="K361" s="272"/>
      <c r="L361" s="272"/>
      <c r="M361" s="272"/>
      <c r="N361" s="272"/>
      <c r="O361" s="272"/>
      <c r="P361" s="272"/>
      <c r="Q361" s="272"/>
      <c r="R361" s="272"/>
      <c r="S361" s="272"/>
      <c r="T361" s="272"/>
      <c r="U361" s="272"/>
      <c r="V361" s="272"/>
      <c r="W361" s="272"/>
      <c r="X361" s="270"/>
      <c r="Y361" s="270" t="str">
        <f t="shared" si="33"/>
        <v/>
      </c>
      <c r="Z361" s="272"/>
      <c r="AA361" s="272"/>
      <c r="AB361" s="288"/>
    </row>
    <row r="362" spans="1:28" ht="20.25" customHeight="1">
      <c r="A362" s="270">
        <v>361</v>
      </c>
      <c r="B362" s="276"/>
      <c r="C362" s="271"/>
      <c r="D362" s="270"/>
      <c r="E362" s="272"/>
      <c r="F362" s="272"/>
      <c r="G362" s="270"/>
      <c r="H362" s="340"/>
      <c r="I362" s="272" t="str">
        <f t="shared" si="32"/>
        <v/>
      </c>
      <c r="J362" s="272"/>
      <c r="K362" s="272"/>
      <c r="L362" s="272"/>
      <c r="M362" s="272"/>
      <c r="N362" s="272"/>
      <c r="O362" s="272"/>
      <c r="P362" s="272"/>
      <c r="Q362" s="272"/>
      <c r="R362" s="272"/>
      <c r="S362" s="272"/>
      <c r="T362" s="272"/>
      <c r="U362" s="272"/>
      <c r="V362" s="272"/>
      <c r="W362" s="272"/>
      <c r="X362" s="270"/>
      <c r="Y362" s="270" t="str">
        <f t="shared" si="33"/>
        <v/>
      </c>
      <c r="Z362" s="272"/>
      <c r="AA362" s="272"/>
      <c r="AB362" s="288"/>
    </row>
    <row r="363" spans="1:28" ht="20.25" customHeight="1">
      <c r="A363" s="270">
        <v>362</v>
      </c>
      <c r="B363" s="276"/>
      <c r="C363" s="271"/>
      <c r="D363" s="270"/>
      <c r="E363" s="272"/>
      <c r="F363" s="272"/>
      <c r="G363" s="270"/>
      <c r="H363" s="340"/>
      <c r="I363" s="272" t="str">
        <f t="shared" si="32"/>
        <v/>
      </c>
      <c r="J363" s="272"/>
      <c r="K363" s="272"/>
      <c r="L363" s="272"/>
      <c r="M363" s="272"/>
      <c r="N363" s="272"/>
      <c r="O363" s="272"/>
      <c r="P363" s="272"/>
      <c r="Q363" s="272"/>
      <c r="R363" s="272"/>
      <c r="S363" s="272"/>
      <c r="T363" s="272"/>
      <c r="U363" s="272"/>
      <c r="V363" s="272"/>
      <c r="W363" s="272"/>
      <c r="X363" s="270"/>
      <c r="Y363" s="270" t="str">
        <f t="shared" si="33"/>
        <v/>
      </c>
      <c r="Z363" s="272"/>
      <c r="AA363" s="272"/>
      <c r="AB363" s="288"/>
    </row>
    <row r="364" spans="1:28" ht="20.25" customHeight="1">
      <c r="A364" s="270">
        <v>363</v>
      </c>
      <c r="B364" s="276"/>
      <c r="C364" s="271"/>
      <c r="D364" s="270"/>
      <c r="E364" s="272"/>
      <c r="F364" s="272"/>
      <c r="G364" s="270"/>
      <c r="H364" s="340"/>
      <c r="I364" s="272" t="str">
        <f t="shared" si="32"/>
        <v/>
      </c>
      <c r="J364" s="272"/>
      <c r="K364" s="272"/>
      <c r="L364" s="272"/>
      <c r="M364" s="272"/>
      <c r="N364" s="272"/>
      <c r="O364" s="272"/>
      <c r="P364" s="272"/>
      <c r="Q364" s="272"/>
      <c r="R364" s="272"/>
      <c r="S364" s="272"/>
      <c r="T364" s="272"/>
      <c r="U364" s="272"/>
      <c r="V364" s="272"/>
      <c r="W364" s="272"/>
      <c r="X364" s="270"/>
      <c r="Y364" s="270" t="str">
        <f t="shared" si="33"/>
        <v/>
      </c>
      <c r="Z364" s="272"/>
      <c r="AA364" s="272"/>
      <c r="AB364" s="288"/>
    </row>
    <row r="365" spans="1:28" ht="20.25" customHeight="1">
      <c r="A365" s="270">
        <v>364</v>
      </c>
      <c r="B365" s="276"/>
      <c r="C365" s="271"/>
      <c r="D365" s="270"/>
      <c r="E365" s="272"/>
      <c r="F365" s="272"/>
      <c r="G365" s="270"/>
      <c r="H365" s="340"/>
      <c r="I365" s="272" t="str">
        <f t="shared" si="32"/>
        <v/>
      </c>
      <c r="J365" s="272"/>
      <c r="K365" s="272"/>
      <c r="L365" s="272"/>
      <c r="M365" s="272"/>
      <c r="N365" s="272"/>
      <c r="O365" s="272"/>
      <c r="P365" s="272"/>
      <c r="Q365" s="272"/>
      <c r="R365" s="272"/>
      <c r="S365" s="272"/>
      <c r="T365" s="272"/>
      <c r="U365" s="272"/>
      <c r="V365" s="272"/>
      <c r="W365" s="272"/>
      <c r="X365" s="270"/>
      <c r="Y365" s="270" t="str">
        <f t="shared" si="33"/>
        <v/>
      </c>
      <c r="Z365" s="272"/>
      <c r="AA365" s="272"/>
      <c r="AB365" s="288"/>
    </row>
    <row r="366" spans="1:28" ht="20.25" customHeight="1">
      <c r="A366" s="270">
        <v>365</v>
      </c>
      <c r="B366" s="276"/>
      <c r="C366" s="271"/>
      <c r="D366" s="270"/>
      <c r="E366" s="272"/>
      <c r="F366" s="272"/>
      <c r="G366" s="270"/>
      <c r="H366" s="340"/>
      <c r="I366" s="272" t="str">
        <f t="shared" si="32"/>
        <v/>
      </c>
      <c r="J366" s="272"/>
      <c r="K366" s="272"/>
      <c r="L366" s="272"/>
      <c r="M366" s="272"/>
      <c r="N366" s="272"/>
      <c r="O366" s="272"/>
      <c r="P366" s="272"/>
      <c r="Q366" s="272"/>
      <c r="R366" s="272"/>
      <c r="S366" s="272"/>
      <c r="T366" s="272"/>
      <c r="U366" s="272"/>
      <c r="V366" s="272"/>
      <c r="W366" s="272"/>
      <c r="X366" s="270"/>
      <c r="Y366" s="270" t="str">
        <f t="shared" si="33"/>
        <v/>
      </c>
      <c r="Z366" s="272"/>
      <c r="AA366" s="272"/>
      <c r="AB366" s="288"/>
    </row>
    <row r="367" spans="1:28" ht="20.25" customHeight="1">
      <c r="A367" s="270">
        <v>366</v>
      </c>
      <c r="B367" s="276"/>
      <c r="C367" s="271"/>
      <c r="D367" s="270"/>
      <c r="E367" s="272"/>
      <c r="F367" s="272"/>
      <c r="G367" s="270"/>
      <c r="H367" s="340"/>
      <c r="I367" s="272" t="str">
        <f t="shared" si="32"/>
        <v/>
      </c>
      <c r="J367" s="272"/>
      <c r="K367" s="272"/>
      <c r="L367" s="272"/>
      <c r="M367" s="272"/>
      <c r="N367" s="272"/>
      <c r="O367" s="272"/>
      <c r="P367" s="272"/>
      <c r="Q367" s="272"/>
      <c r="R367" s="272"/>
      <c r="S367" s="272"/>
      <c r="T367" s="272"/>
      <c r="U367" s="272"/>
      <c r="V367" s="272"/>
      <c r="W367" s="272"/>
      <c r="X367" s="270"/>
      <c r="Y367" s="270" t="str">
        <f t="shared" si="33"/>
        <v/>
      </c>
      <c r="Z367" s="272"/>
      <c r="AA367" s="272"/>
      <c r="AB367" s="288"/>
    </row>
    <row r="368" spans="1:28" ht="20.25" customHeight="1">
      <c r="A368" s="270">
        <v>367</v>
      </c>
      <c r="B368" s="276"/>
      <c r="C368" s="271"/>
      <c r="D368" s="270"/>
      <c r="E368" s="272"/>
      <c r="F368" s="272"/>
      <c r="G368" s="270"/>
      <c r="H368" s="340"/>
      <c r="I368" s="272" t="str">
        <f t="shared" si="32"/>
        <v/>
      </c>
      <c r="J368" s="272"/>
      <c r="K368" s="272"/>
      <c r="L368" s="272"/>
      <c r="M368" s="272"/>
      <c r="N368" s="272"/>
      <c r="O368" s="272"/>
      <c r="P368" s="272"/>
      <c r="Q368" s="272"/>
      <c r="R368" s="272"/>
      <c r="S368" s="272"/>
      <c r="T368" s="272"/>
      <c r="U368" s="272"/>
      <c r="V368" s="272"/>
      <c r="W368" s="272"/>
      <c r="X368" s="270"/>
      <c r="Y368" s="270" t="str">
        <f t="shared" si="33"/>
        <v/>
      </c>
      <c r="Z368" s="272"/>
      <c r="AA368" s="272"/>
      <c r="AB368" s="288"/>
    </row>
    <row r="369" spans="1:28" ht="20.25" customHeight="1">
      <c r="A369" s="270">
        <v>368</v>
      </c>
      <c r="B369" s="276"/>
      <c r="C369" s="271"/>
      <c r="D369" s="270"/>
      <c r="E369" s="272"/>
      <c r="F369" s="272"/>
      <c r="G369" s="270"/>
      <c r="H369" s="340"/>
      <c r="I369" s="272" t="str">
        <f t="shared" si="32"/>
        <v/>
      </c>
      <c r="J369" s="272"/>
      <c r="K369" s="272"/>
      <c r="L369" s="272"/>
      <c r="M369" s="272"/>
      <c r="N369" s="272"/>
      <c r="O369" s="272"/>
      <c r="P369" s="272"/>
      <c r="Q369" s="272"/>
      <c r="R369" s="272"/>
      <c r="S369" s="272"/>
      <c r="T369" s="272"/>
      <c r="U369" s="272"/>
      <c r="V369" s="272"/>
      <c r="W369" s="272"/>
      <c r="X369" s="270"/>
      <c r="Y369" s="270" t="str">
        <f t="shared" si="33"/>
        <v/>
      </c>
      <c r="Z369" s="272"/>
      <c r="AA369" s="272"/>
      <c r="AB369" s="288"/>
    </row>
    <row r="370" spans="1:28" ht="20.25" customHeight="1">
      <c r="A370" s="270">
        <v>369</v>
      </c>
      <c r="B370" s="276"/>
      <c r="C370" s="271"/>
      <c r="D370" s="270"/>
      <c r="E370" s="272"/>
      <c r="F370" s="272"/>
      <c r="G370" s="270"/>
      <c r="H370" s="340"/>
      <c r="I370" s="272" t="str">
        <f t="shared" si="32"/>
        <v/>
      </c>
      <c r="J370" s="272"/>
      <c r="K370" s="272"/>
      <c r="L370" s="272"/>
      <c r="M370" s="272"/>
      <c r="N370" s="272"/>
      <c r="O370" s="272"/>
      <c r="P370" s="272"/>
      <c r="Q370" s="272"/>
      <c r="R370" s="272"/>
      <c r="S370" s="272"/>
      <c r="T370" s="272"/>
      <c r="U370" s="272"/>
      <c r="V370" s="272"/>
      <c r="W370" s="272"/>
      <c r="X370" s="270"/>
      <c r="Y370" s="270" t="str">
        <f t="shared" si="33"/>
        <v/>
      </c>
      <c r="Z370" s="272"/>
      <c r="AA370" s="272"/>
      <c r="AB370" s="288"/>
    </row>
    <row r="371" spans="1:28" ht="20.25" customHeight="1">
      <c r="A371" s="270">
        <v>370</v>
      </c>
      <c r="B371" s="276"/>
      <c r="C371" s="271"/>
      <c r="D371" s="270"/>
      <c r="E371" s="272"/>
      <c r="F371" s="272"/>
      <c r="G371" s="270"/>
      <c r="H371" s="340"/>
      <c r="I371" s="272" t="str">
        <f t="shared" si="32"/>
        <v/>
      </c>
      <c r="J371" s="272"/>
      <c r="K371" s="272"/>
      <c r="L371" s="272"/>
      <c r="M371" s="272"/>
      <c r="N371" s="272"/>
      <c r="O371" s="272"/>
      <c r="P371" s="272"/>
      <c r="Q371" s="272"/>
      <c r="R371" s="272"/>
      <c r="S371" s="272"/>
      <c r="T371" s="272"/>
      <c r="U371" s="272"/>
      <c r="V371" s="272"/>
      <c r="W371" s="272"/>
      <c r="X371" s="270"/>
      <c r="Y371" s="270" t="str">
        <f t="shared" si="33"/>
        <v/>
      </c>
      <c r="Z371" s="272"/>
      <c r="AA371" s="272"/>
      <c r="AB371" s="288"/>
    </row>
    <row r="372" spans="1:28" ht="20.25" customHeight="1">
      <c r="A372" s="270">
        <v>371</v>
      </c>
      <c r="B372" s="276"/>
      <c r="C372" s="271"/>
      <c r="D372" s="270"/>
      <c r="E372" s="272"/>
      <c r="F372" s="272"/>
      <c r="G372" s="270"/>
      <c r="H372" s="340"/>
      <c r="I372" s="272" t="str">
        <f t="shared" si="32"/>
        <v/>
      </c>
      <c r="J372" s="272"/>
      <c r="K372" s="272"/>
      <c r="L372" s="272"/>
      <c r="M372" s="272"/>
      <c r="N372" s="272"/>
      <c r="O372" s="272"/>
      <c r="P372" s="272"/>
      <c r="Q372" s="272"/>
      <c r="R372" s="272"/>
      <c r="S372" s="272"/>
      <c r="T372" s="272"/>
      <c r="U372" s="272"/>
      <c r="V372" s="272"/>
      <c r="W372" s="272"/>
      <c r="X372" s="270"/>
      <c r="Y372" s="270" t="str">
        <f t="shared" si="33"/>
        <v/>
      </c>
      <c r="Z372" s="272"/>
      <c r="AA372" s="272"/>
      <c r="AB372" s="288"/>
    </row>
    <row r="373" spans="1:28" ht="20.25" customHeight="1">
      <c r="A373" s="270">
        <v>372</v>
      </c>
      <c r="B373" s="276"/>
      <c r="C373" s="271"/>
      <c r="D373" s="270"/>
      <c r="E373" s="272"/>
      <c r="F373" s="272"/>
      <c r="G373" s="270"/>
      <c r="H373" s="340"/>
      <c r="I373" s="272" t="str">
        <f t="shared" si="32"/>
        <v/>
      </c>
      <c r="J373" s="272"/>
      <c r="K373" s="272"/>
      <c r="L373" s="272"/>
      <c r="M373" s="272"/>
      <c r="N373" s="272"/>
      <c r="O373" s="272"/>
      <c r="P373" s="272"/>
      <c r="Q373" s="272"/>
      <c r="R373" s="272"/>
      <c r="S373" s="272"/>
      <c r="T373" s="272"/>
      <c r="U373" s="272"/>
      <c r="V373" s="272"/>
      <c r="W373" s="272"/>
      <c r="X373" s="270"/>
      <c r="Y373" s="270" t="str">
        <f t="shared" si="33"/>
        <v/>
      </c>
      <c r="Z373" s="272"/>
      <c r="AA373" s="272"/>
      <c r="AB373" s="288"/>
    </row>
    <row r="374" spans="1:28" ht="20.25" customHeight="1">
      <c r="A374" s="270">
        <v>373</v>
      </c>
      <c r="B374" s="276"/>
      <c r="C374" s="271"/>
      <c r="D374" s="270"/>
      <c r="E374" s="272"/>
      <c r="F374" s="272"/>
      <c r="G374" s="270"/>
      <c r="H374" s="340"/>
      <c r="I374" s="272" t="str">
        <f t="shared" si="32"/>
        <v/>
      </c>
      <c r="J374" s="272"/>
      <c r="K374" s="272"/>
      <c r="L374" s="272"/>
      <c r="M374" s="272"/>
      <c r="N374" s="272"/>
      <c r="O374" s="272"/>
      <c r="P374" s="272"/>
      <c r="Q374" s="272"/>
      <c r="R374" s="272"/>
      <c r="S374" s="272"/>
      <c r="T374" s="272"/>
      <c r="U374" s="272"/>
      <c r="V374" s="272"/>
      <c r="W374" s="272"/>
      <c r="X374" s="270"/>
      <c r="Y374" s="270" t="str">
        <f t="shared" si="33"/>
        <v/>
      </c>
      <c r="Z374" s="272"/>
      <c r="AA374" s="272"/>
      <c r="AB374" s="288"/>
    </row>
    <row r="375" spans="1:28" ht="20.25" customHeight="1">
      <c r="A375" s="270">
        <v>374</v>
      </c>
      <c r="B375" s="276"/>
      <c r="C375" s="271"/>
      <c r="D375" s="270"/>
      <c r="E375" s="272"/>
      <c r="F375" s="272"/>
      <c r="G375" s="270"/>
      <c r="H375" s="340"/>
      <c r="I375" s="272" t="str">
        <f t="shared" si="32"/>
        <v/>
      </c>
      <c r="J375" s="272"/>
      <c r="K375" s="272"/>
      <c r="L375" s="272"/>
      <c r="M375" s="272"/>
      <c r="N375" s="272"/>
      <c r="O375" s="272"/>
      <c r="P375" s="272"/>
      <c r="Q375" s="272"/>
      <c r="R375" s="272"/>
      <c r="S375" s="272"/>
      <c r="T375" s="272"/>
      <c r="U375" s="272"/>
      <c r="V375" s="272"/>
      <c r="W375" s="272"/>
      <c r="X375" s="270"/>
      <c r="Y375" s="270" t="str">
        <f t="shared" si="33"/>
        <v/>
      </c>
      <c r="Z375" s="272"/>
      <c r="AA375" s="272"/>
      <c r="AB375" s="288"/>
    </row>
    <row r="376" spans="1:28" ht="20.25" customHeight="1">
      <c r="A376" s="270">
        <v>375</v>
      </c>
      <c r="B376" s="276"/>
      <c r="C376" s="271"/>
      <c r="D376" s="270"/>
      <c r="E376" s="272"/>
      <c r="F376" s="272"/>
      <c r="G376" s="270"/>
      <c r="H376" s="340"/>
      <c r="I376" s="272" t="str">
        <f t="shared" si="32"/>
        <v/>
      </c>
      <c r="J376" s="272"/>
      <c r="K376" s="272"/>
      <c r="L376" s="272"/>
      <c r="M376" s="272"/>
      <c r="N376" s="272"/>
      <c r="O376" s="272"/>
      <c r="P376" s="272"/>
      <c r="Q376" s="272"/>
      <c r="R376" s="272"/>
      <c r="S376" s="272"/>
      <c r="T376" s="272"/>
      <c r="U376" s="272"/>
      <c r="V376" s="272"/>
      <c r="W376" s="272"/>
      <c r="X376" s="270"/>
      <c r="Y376" s="270" t="str">
        <f t="shared" si="33"/>
        <v/>
      </c>
      <c r="Z376" s="272"/>
      <c r="AA376" s="272"/>
      <c r="AB376" s="288"/>
    </row>
    <row r="377" spans="1:28" ht="20.25" customHeight="1">
      <c r="A377" s="270">
        <v>376</v>
      </c>
      <c r="B377" s="276"/>
      <c r="C377" s="271"/>
      <c r="D377" s="270"/>
      <c r="E377" s="272"/>
      <c r="F377" s="272"/>
      <c r="G377" s="270"/>
      <c r="H377" s="340"/>
      <c r="I377" s="272" t="str">
        <f t="shared" si="32"/>
        <v/>
      </c>
      <c r="J377" s="272"/>
      <c r="K377" s="272"/>
      <c r="L377" s="272"/>
      <c r="M377" s="272"/>
      <c r="N377" s="272"/>
      <c r="O377" s="272"/>
      <c r="P377" s="272"/>
      <c r="Q377" s="272"/>
      <c r="R377" s="272"/>
      <c r="S377" s="272"/>
      <c r="T377" s="272"/>
      <c r="U377" s="272"/>
      <c r="V377" s="272"/>
      <c r="W377" s="272"/>
      <c r="X377" s="270"/>
      <c r="Y377" s="270" t="str">
        <f t="shared" si="33"/>
        <v/>
      </c>
      <c r="Z377" s="272"/>
      <c r="AA377" s="272"/>
      <c r="AB377" s="288"/>
    </row>
    <row r="378" spans="1:28" ht="20.25" customHeight="1">
      <c r="A378" s="270">
        <v>377</v>
      </c>
      <c r="B378" s="276"/>
      <c r="C378" s="271"/>
      <c r="D378" s="270"/>
      <c r="E378" s="272"/>
      <c r="F378" s="272"/>
      <c r="G378" s="270"/>
      <c r="H378" s="340"/>
      <c r="I378" s="272" t="str">
        <f t="shared" si="32"/>
        <v/>
      </c>
      <c r="J378" s="272"/>
      <c r="K378" s="272"/>
      <c r="L378" s="272"/>
      <c r="M378" s="272"/>
      <c r="N378" s="272"/>
      <c r="O378" s="272"/>
      <c r="P378" s="272"/>
      <c r="Q378" s="272"/>
      <c r="R378" s="272"/>
      <c r="S378" s="272"/>
      <c r="T378" s="272"/>
      <c r="U378" s="272"/>
      <c r="V378" s="272"/>
      <c r="W378" s="272"/>
      <c r="X378" s="270"/>
      <c r="Y378" s="270" t="str">
        <f t="shared" si="33"/>
        <v/>
      </c>
      <c r="Z378" s="272"/>
      <c r="AA378" s="272"/>
      <c r="AB378" s="288"/>
    </row>
    <row r="379" spans="1:28" ht="20.25" customHeight="1">
      <c r="A379" s="270">
        <v>378</v>
      </c>
      <c r="B379" s="276"/>
      <c r="C379" s="271"/>
      <c r="D379" s="270"/>
      <c r="E379" s="272"/>
      <c r="F379" s="272"/>
      <c r="G379" s="270"/>
      <c r="H379" s="340"/>
      <c r="I379" s="272" t="str">
        <f t="shared" si="32"/>
        <v/>
      </c>
      <c r="J379" s="272"/>
      <c r="K379" s="272"/>
      <c r="L379" s="272"/>
      <c r="M379" s="272"/>
      <c r="N379" s="272"/>
      <c r="O379" s="272"/>
      <c r="P379" s="272"/>
      <c r="Q379" s="272"/>
      <c r="R379" s="272"/>
      <c r="S379" s="272"/>
      <c r="T379" s="272"/>
      <c r="U379" s="272"/>
      <c r="V379" s="272"/>
      <c r="W379" s="272"/>
      <c r="X379" s="270"/>
      <c r="Y379" s="270" t="str">
        <f t="shared" si="33"/>
        <v/>
      </c>
      <c r="Z379" s="272"/>
      <c r="AA379" s="272"/>
      <c r="AB379" s="288"/>
    </row>
    <row r="380" spans="1:28" ht="20.25" customHeight="1">
      <c r="A380" s="270">
        <v>379</v>
      </c>
      <c r="B380" s="276"/>
      <c r="C380" s="271"/>
      <c r="D380" s="270"/>
      <c r="E380" s="272"/>
      <c r="F380" s="272"/>
      <c r="G380" s="270"/>
      <c r="H380" s="340"/>
      <c r="I380" s="272" t="str">
        <f t="shared" si="32"/>
        <v/>
      </c>
      <c r="J380" s="272"/>
      <c r="K380" s="272"/>
      <c r="L380" s="272"/>
      <c r="M380" s="272"/>
      <c r="N380" s="272"/>
      <c r="O380" s="272"/>
      <c r="P380" s="272"/>
      <c r="Q380" s="272"/>
      <c r="R380" s="272"/>
      <c r="S380" s="272"/>
      <c r="T380" s="272"/>
      <c r="U380" s="272"/>
      <c r="V380" s="272"/>
      <c r="W380" s="272"/>
      <c r="X380" s="270"/>
      <c r="Y380" s="270" t="str">
        <f t="shared" si="33"/>
        <v/>
      </c>
      <c r="Z380" s="272"/>
      <c r="AA380" s="272"/>
      <c r="AB380" s="288"/>
    </row>
    <row r="381" spans="1:28" ht="20.25" customHeight="1">
      <c r="A381" s="270">
        <v>380</v>
      </c>
      <c r="B381" s="276"/>
      <c r="C381" s="271"/>
      <c r="D381" s="270"/>
      <c r="E381" s="272"/>
      <c r="F381" s="272"/>
      <c r="G381" s="270"/>
      <c r="H381" s="340"/>
      <c r="I381" s="272" t="str">
        <f t="shared" si="32"/>
        <v/>
      </c>
      <c r="J381" s="272"/>
      <c r="K381" s="272"/>
      <c r="L381" s="272"/>
      <c r="M381" s="272"/>
      <c r="N381" s="272"/>
      <c r="O381" s="272"/>
      <c r="P381" s="272"/>
      <c r="Q381" s="272"/>
      <c r="R381" s="272"/>
      <c r="S381" s="272"/>
      <c r="T381" s="272"/>
      <c r="U381" s="272"/>
      <c r="V381" s="272"/>
      <c r="W381" s="272"/>
      <c r="X381" s="270"/>
      <c r="Y381" s="270" t="str">
        <f t="shared" si="33"/>
        <v/>
      </c>
      <c r="Z381" s="272"/>
      <c r="AA381" s="272"/>
      <c r="AB381" s="288"/>
    </row>
    <row r="382" spans="1:28" ht="20.25" customHeight="1">
      <c r="A382" s="270">
        <v>381</v>
      </c>
      <c r="B382" s="276"/>
      <c r="C382" s="271"/>
      <c r="D382" s="270"/>
      <c r="E382" s="272"/>
      <c r="F382" s="272"/>
      <c r="G382" s="270"/>
      <c r="H382" s="340"/>
      <c r="I382" s="272" t="str">
        <f t="shared" si="32"/>
        <v/>
      </c>
      <c r="J382" s="272"/>
      <c r="K382" s="272"/>
      <c r="L382" s="272"/>
      <c r="M382" s="272"/>
      <c r="N382" s="272"/>
      <c r="O382" s="272"/>
      <c r="P382" s="272"/>
      <c r="Q382" s="272"/>
      <c r="R382" s="272"/>
      <c r="S382" s="272"/>
      <c r="T382" s="272"/>
      <c r="U382" s="272"/>
      <c r="V382" s="272"/>
      <c r="W382" s="272"/>
      <c r="X382" s="270"/>
      <c r="Y382" s="270" t="str">
        <f t="shared" si="33"/>
        <v/>
      </c>
      <c r="Z382" s="272"/>
      <c r="AA382" s="272"/>
      <c r="AB382" s="288"/>
    </row>
    <row r="383" spans="1:28" ht="20.25" customHeight="1">
      <c r="A383" s="270">
        <v>382</v>
      </c>
      <c r="B383" s="276"/>
      <c r="C383" s="271"/>
      <c r="D383" s="270"/>
      <c r="E383" s="272"/>
      <c r="F383" s="272"/>
      <c r="G383" s="270"/>
      <c r="H383" s="340"/>
      <c r="I383" s="272" t="str">
        <f t="shared" si="32"/>
        <v/>
      </c>
      <c r="J383" s="272"/>
      <c r="K383" s="272"/>
      <c r="L383" s="272"/>
      <c r="M383" s="272"/>
      <c r="N383" s="272"/>
      <c r="O383" s="272"/>
      <c r="P383" s="272"/>
      <c r="Q383" s="272"/>
      <c r="R383" s="272"/>
      <c r="S383" s="272"/>
      <c r="T383" s="272"/>
      <c r="U383" s="272"/>
      <c r="V383" s="272"/>
      <c r="W383" s="272"/>
      <c r="X383" s="270"/>
      <c r="Y383" s="270" t="str">
        <f t="shared" si="33"/>
        <v/>
      </c>
      <c r="Z383" s="272"/>
      <c r="AA383" s="272"/>
      <c r="AB383" s="288"/>
    </row>
    <row r="384" spans="1:28" ht="20.25" customHeight="1">
      <c r="A384" s="270">
        <v>383</v>
      </c>
      <c r="B384" s="276"/>
      <c r="C384" s="271"/>
      <c r="D384" s="270"/>
      <c r="E384" s="272"/>
      <c r="F384" s="272"/>
      <c r="G384" s="270"/>
      <c r="H384" s="340"/>
      <c r="I384" s="272" t="str">
        <f t="shared" si="32"/>
        <v/>
      </c>
      <c r="J384" s="272"/>
      <c r="K384" s="272"/>
      <c r="L384" s="272"/>
      <c r="M384" s="272"/>
      <c r="N384" s="272"/>
      <c r="O384" s="272"/>
      <c r="P384" s="272"/>
      <c r="Q384" s="272"/>
      <c r="R384" s="272"/>
      <c r="S384" s="272"/>
      <c r="T384" s="272"/>
      <c r="U384" s="272"/>
      <c r="V384" s="272"/>
      <c r="W384" s="272"/>
      <c r="X384" s="270"/>
      <c r="Y384" s="270" t="str">
        <f t="shared" si="33"/>
        <v/>
      </c>
      <c r="Z384" s="272"/>
      <c r="AA384" s="272"/>
      <c r="AB384" s="288"/>
    </row>
    <row r="385" spans="1:28" ht="20.25" customHeight="1">
      <c r="A385" s="270">
        <v>384</v>
      </c>
      <c r="B385" s="276"/>
      <c r="C385" s="271"/>
      <c r="D385" s="270"/>
      <c r="E385" s="272"/>
      <c r="F385" s="272"/>
      <c r="G385" s="270"/>
      <c r="H385" s="340"/>
      <c r="I385" s="272" t="str">
        <f t="shared" si="32"/>
        <v/>
      </c>
      <c r="J385" s="272"/>
      <c r="K385" s="272"/>
      <c r="L385" s="272"/>
      <c r="M385" s="272"/>
      <c r="N385" s="272"/>
      <c r="O385" s="272"/>
      <c r="P385" s="272"/>
      <c r="Q385" s="272"/>
      <c r="R385" s="272"/>
      <c r="S385" s="272"/>
      <c r="T385" s="272"/>
      <c r="U385" s="272"/>
      <c r="V385" s="272"/>
      <c r="W385" s="272"/>
      <c r="X385" s="270"/>
      <c r="Y385" s="270" t="str">
        <f t="shared" si="33"/>
        <v/>
      </c>
      <c r="Z385" s="272"/>
      <c r="AA385" s="272"/>
      <c r="AB385" s="288"/>
    </row>
    <row r="386" spans="1:28" ht="20.25" customHeight="1">
      <c r="A386" s="270">
        <v>385</v>
      </c>
      <c r="B386" s="276"/>
      <c r="C386" s="271"/>
      <c r="D386" s="270"/>
      <c r="E386" s="272"/>
      <c r="F386" s="272"/>
      <c r="G386" s="270"/>
      <c r="H386" s="340"/>
      <c r="I386" s="272" t="str">
        <f t="shared" si="32"/>
        <v/>
      </c>
      <c r="J386" s="272"/>
      <c r="K386" s="272"/>
      <c r="L386" s="272"/>
      <c r="M386" s="272"/>
      <c r="N386" s="272"/>
      <c r="O386" s="272"/>
      <c r="P386" s="272"/>
      <c r="Q386" s="272"/>
      <c r="R386" s="272"/>
      <c r="S386" s="272"/>
      <c r="T386" s="272"/>
      <c r="U386" s="272"/>
      <c r="V386" s="272"/>
      <c r="W386" s="272"/>
      <c r="X386" s="270"/>
      <c r="Y386" s="270" t="str">
        <f t="shared" si="33"/>
        <v/>
      </c>
      <c r="Z386" s="272"/>
      <c r="AA386" s="272"/>
      <c r="AB386" s="288"/>
    </row>
    <row r="387" spans="1:28" ht="20.25" customHeight="1">
      <c r="A387" s="270">
        <v>386</v>
      </c>
      <c r="B387" s="276"/>
      <c r="C387" s="271"/>
      <c r="D387" s="270"/>
      <c r="E387" s="272"/>
      <c r="F387" s="272"/>
      <c r="G387" s="270"/>
      <c r="H387" s="340"/>
      <c r="I387" s="272" t="str">
        <f t="shared" si="32"/>
        <v/>
      </c>
      <c r="J387" s="272"/>
      <c r="K387" s="272"/>
      <c r="L387" s="272"/>
      <c r="M387" s="272"/>
      <c r="N387" s="272"/>
      <c r="O387" s="272"/>
      <c r="P387" s="272"/>
      <c r="Q387" s="272"/>
      <c r="R387" s="272"/>
      <c r="S387" s="272"/>
      <c r="T387" s="272"/>
      <c r="U387" s="272"/>
      <c r="V387" s="272"/>
      <c r="W387" s="272"/>
      <c r="X387" s="270"/>
      <c r="Y387" s="270" t="str">
        <f t="shared" si="33"/>
        <v/>
      </c>
      <c r="Z387" s="272"/>
      <c r="AA387" s="272"/>
      <c r="AB387" s="288"/>
    </row>
    <row r="388" spans="1:28" ht="20.25" customHeight="1">
      <c r="A388" s="270">
        <v>387</v>
      </c>
      <c r="B388" s="276"/>
      <c r="C388" s="271"/>
      <c r="D388" s="270"/>
      <c r="E388" s="272"/>
      <c r="F388" s="272"/>
      <c r="G388" s="270"/>
      <c r="H388" s="340"/>
      <c r="I388" s="272" t="str">
        <f t="shared" si="32"/>
        <v/>
      </c>
      <c r="J388" s="272"/>
      <c r="K388" s="272"/>
      <c r="L388" s="272"/>
      <c r="M388" s="272"/>
      <c r="N388" s="272"/>
      <c r="O388" s="272"/>
      <c r="P388" s="272"/>
      <c r="Q388" s="272"/>
      <c r="R388" s="272"/>
      <c r="S388" s="272"/>
      <c r="T388" s="272"/>
      <c r="U388" s="272"/>
      <c r="V388" s="272"/>
      <c r="W388" s="272"/>
      <c r="X388" s="270"/>
      <c r="Y388" s="270" t="str">
        <f t="shared" si="33"/>
        <v/>
      </c>
      <c r="Z388" s="272"/>
      <c r="AA388" s="272"/>
      <c r="AB388" s="288"/>
    </row>
    <row r="389" spans="1:28" ht="20.25" customHeight="1">
      <c r="A389" s="270">
        <v>388</v>
      </c>
      <c r="B389" s="276"/>
      <c r="C389" s="271"/>
      <c r="D389" s="270"/>
      <c r="E389" s="272"/>
      <c r="F389" s="272"/>
      <c r="G389" s="270"/>
      <c r="H389" s="340"/>
      <c r="I389" s="272" t="str">
        <f t="shared" ref="I389:I452" si="34">IF(ISBLANK(H389), "", TEXT(H389, "mmm-yy"))</f>
        <v/>
      </c>
      <c r="J389" s="272"/>
      <c r="K389" s="272"/>
      <c r="L389" s="272"/>
      <c r="M389" s="272"/>
      <c r="N389" s="272"/>
      <c r="O389" s="272"/>
      <c r="P389" s="272"/>
      <c r="Q389" s="272"/>
      <c r="R389" s="272"/>
      <c r="S389" s="272"/>
      <c r="T389" s="272"/>
      <c r="U389" s="272"/>
      <c r="V389" s="272"/>
      <c r="W389" s="272"/>
      <c r="X389" s="270"/>
      <c r="Y389" s="270" t="str">
        <f t="shared" si="33"/>
        <v/>
      </c>
      <c r="Z389" s="272"/>
      <c r="AA389" s="272"/>
      <c r="AB389" s="288"/>
    </row>
    <row r="390" spans="1:28" ht="20.25" customHeight="1">
      <c r="A390" s="270">
        <v>389</v>
      </c>
      <c r="B390" s="276"/>
      <c r="C390" s="271"/>
      <c r="D390" s="270"/>
      <c r="E390" s="272"/>
      <c r="F390" s="272"/>
      <c r="G390" s="270"/>
      <c r="H390" s="340"/>
      <c r="I390" s="272" t="str">
        <f t="shared" si="34"/>
        <v/>
      </c>
      <c r="J390" s="272"/>
      <c r="K390" s="272"/>
      <c r="L390" s="272"/>
      <c r="M390" s="272"/>
      <c r="N390" s="272"/>
      <c r="O390" s="272"/>
      <c r="P390" s="272"/>
      <c r="Q390" s="272"/>
      <c r="R390" s="272"/>
      <c r="S390" s="272"/>
      <c r="T390" s="272"/>
      <c r="U390" s="272"/>
      <c r="V390" s="272"/>
      <c r="W390" s="272"/>
      <c r="X390" s="270"/>
      <c r="Y390" s="270" t="str">
        <f t="shared" ref="Y390:Y453" si="35">IF(COUNTA(J390:T390)=0, "", SUM(J390:T390))</f>
        <v/>
      </c>
      <c r="Z390" s="272"/>
      <c r="AA390" s="272"/>
      <c r="AB390" s="288"/>
    </row>
    <row r="391" spans="1:28" ht="20.25" customHeight="1">
      <c r="A391" s="270">
        <v>390</v>
      </c>
      <c r="B391" s="276"/>
      <c r="C391" s="271"/>
      <c r="D391" s="270"/>
      <c r="E391" s="272"/>
      <c r="F391" s="272"/>
      <c r="G391" s="270"/>
      <c r="H391" s="340"/>
      <c r="I391" s="272" t="str">
        <f t="shared" si="34"/>
        <v/>
      </c>
      <c r="J391" s="272"/>
      <c r="K391" s="272"/>
      <c r="L391" s="272"/>
      <c r="M391" s="272"/>
      <c r="N391" s="272"/>
      <c r="O391" s="272"/>
      <c r="P391" s="272"/>
      <c r="Q391" s="272"/>
      <c r="R391" s="272"/>
      <c r="S391" s="272"/>
      <c r="T391" s="272"/>
      <c r="U391" s="272"/>
      <c r="V391" s="272"/>
      <c r="W391" s="272"/>
      <c r="X391" s="270"/>
      <c r="Y391" s="270" t="str">
        <f t="shared" si="35"/>
        <v/>
      </c>
      <c r="Z391" s="272"/>
      <c r="AA391" s="272"/>
      <c r="AB391" s="288"/>
    </row>
    <row r="392" spans="1:28" ht="20.25" customHeight="1">
      <c r="A392" s="270">
        <v>391</v>
      </c>
      <c r="B392" s="276"/>
      <c r="C392" s="271"/>
      <c r="D392" s="270"/>
      <c r="E392" s="272"/>
      <c r="F392" s="272"/>
      <c r="G392" s="270"/>
      <c r="H392" s="340"/>
      <c r="I392" s="272" t="str">
        <f t="shared" si="34"/>
        <v/>
      </c>
      <c r="J392" s="272"/>
      <c r="K392" s="272"/>
      <c r="L392" s="272"/>
      <c r="M392" s="272"/>
      <c r="N392" s="272"/>
      <c r="O392" s="272"/>
      <c r="P392" s="272"/>
      <c r="Q392" s="272"/>
      <c r="R392" s="272"/>
      <c r="S392" s="272"/>
      <c r="T392" s="272"/>
      <c r="U392" s="272"/>
      <c r="V392" s="272"/>
      <c r="W392" s="272"/>
      <c r="X392" s="270"/>
      <c r="Y392" s="270" t="str">
        <f t="shared" si="35"/>
        <v/>
      </c>
      <c r="Z392" s="272"/>
      <c r="AA392" s="272"/>
      <c r="AB392" s="288"/>
    </row>
    <row r="393" spans="1:28" ht="20.25" customHeight="1">
      <c r="A393" s="270">
        <v>392</v>
      </c>
      <c r="B393" s="276"/>
      <c r="C393" s="271"/>
      <c r="D393" s="270"/>
      <c r="E393" s="272"/>
      <c r="F393" s="272"/>
      <c r="G393" s="270"/>
      <c r="H393" s="340"/>
      <c r="I393" s="272" t="str">
        <f t="shared" si="34"/>
        <v/>
      </c>
      <c r="J393" s="272"/>
      <c r="K393" s="272"/>
      <c r="L393" s="272"/>
      <c r="M393" s="272"/>
      <c r="N393" s="272"/>
      <c r="O393" s="272"/>
      <c r="P393" s="272"/>
      <c r="Q393" s="272"/>
      <c r="R393" s="272"/>
      <c r="S393" s="272"/>
      <c r="T393" s="272"/>
      <c r="U393" s="272"/>
      <c r="V393" s="272"/>
      <c r="W393" s="272"/>
      <c r="X393" s="270"/>
      <c r="Y393" s="270" t="str">
        <f t="shared" si="35"/>
        <v/>
      </c>
      <c r="Z393" s="272"/>
      <c r="AA393" s="272"/>
      <c r="AB393" s="288"/>
    </row>
    <row r="394" spans="1:28" ht="20.25" customHeight="1">
      <c r="A394" s="270">
        <v>393</v>
      </c>
      <c r="B394" s="276"/>
      <c r="C394" s="271"/>
      <c r="D394" s="270"/>
      <c r="E394" s="272"/>
      <c r="F394" s="272"/>
      <c r="G394" s="270"/>
      <c r="H394" s="340"/>
      <c r="I394" s="272" t="str">
        <f t="shared" si="34"/>
        <v/>
      </c>
      <c r="J394" s="272"/>
      <c r="K394" s="272"/>
      <c r="L394" s="272"/>
      <c r="M394" s="272"/>
      <c r="N394" s="272"/>
      <c r="O394" s="272"/>
      <c r="P394" s="272"/>
      <c r="Q394" s="272"/>
      <c r="R394" s="272"/>
      <c r="S394" s="272"/>
      <c r="T394" s="272"/>
      <c r="U394" s="272"/>
      <c r="V394" s="272"/>
      <c r="W394" s="272"/>
      <c r="X394" s="270"/>
      <c r="Y394" s="270" t="str">
        <f t="shared" si="35"/>
        <v/>
      </c>
      <c r="Z394" s="272"/>
      <c r="AA394" s="272"/>
      <c r="AB394" s="288"/>
    </row>
    <row r="395" spans="1:28" ht="20.25" customHeight="1">
      <c r="A395" s="270">
        <v>394</v>
      </c>
      <c r="B395" s="276"/>
      <c r="C395" s="271"/>
      <c r="D395" s="270"/>
      <c r="E395" s="272"/>
      <c r="F395" s="272"/>
      <c r="G395" s="270"/>
      <c r="H395" s="340"/>
      <c r="I395" s="272" t="str">
        <f t="shared" si="34"/>
        <v/>
      </c>
      <c r="J395" s="272"/>
      <c r="K395" s="272"/>
      <c r="L395" s="272"/>
      <c r="M395" s="272"/>
      <c r="N395" s="272"/>
      <c r="O395" s="272"/>
      <c r="P395" s="272"/>
      <c r="Q395" s="272"/>
      <c r="R395" s="272"/>
      <c r="S395" s="272"/>
      <c r="T395" s="272"/>
      <c r="U395" s="272"/>
      <c r="V395" s="272"/>
      <c r="W395" s="272"/>
      <c r="X395" s="270"/>
      <c r="Y395" s="270" t="str">
        <f t="shared" si="35"/>
        <v/>
      </c>
      <c r="Z395" s="272"/>
      <c r="AA395" s="272"/>
      <c r="AB395" s="288"/>
    </row>
    <row r="396" spans="1:28" ht="20.25" customHeight="1">
      <c r="A396" s="270">
        <v>395</v>
      </c>
      <c r="B396" s="276"/>
      <c r="C396" s="271"/>
      <c r="D396" s="270"/>
      <c r="E396" s="272"/>
      <c r="F396" s="272"/>
      <c r="G396" s="270"/>
      <c r="H396" s="340"/>
      <c r="I396" s="272" t="str">
        <f t="shared" si="34"/>
        <v/>
      </c>
      <c r="J396" s="272"/>
      <c r="K396" s="272"/>
      <c r="L396" s="272"/>
      <c r="M396" s="272"/>
      <c r="N396" s="272"/>
      <c r="O396" s="272"/>
      <c r="P396" s="272"/>
      <c r="Q396" s="272"/>
      <c r="R396" s="272"/>
      <c r="S396" s="272"/>
      <c r="T396" s="272"/>
      <c r="U396" s="272"/>
      <c r="V396" s="272"/>
      <c r="W396" s="272"/>
      <c r="X396" s="270"/>
      <c r="Y396" s="270" t="str">
        <f t="shared" si="35"/>
        <v/>
      </c>
      <c r="Z396" s="272"/>
      <c r="AA396" s="272"/>
      <c r="AB396" s="288"/>
    </row>
    <row r="397" spans="1:28" ht="20.25" customHeight="1">
      <c r="A397" s="270">
        <v>396</v>
      </c>
      <c r="B397" s="276"/>
      <c r="C397" s="271"/>
      <c r="D397" s="270"/>
      <c r="E397" s="272"/>
      <c r="F397" s="272"/>
      <c r="G397" s="270"/>
      <c r="H397" s="340"/>
      <c r="I397" s="272" t="str">
        <f t="shared" si="34"/>
        <v/>
      </c>
      <c r="J397" s="272"/>
      <c r="K397" s="272"/>
      <c r="L397" s="272"/>
      <c r="M397" s="272"/>
      <c r="N397" s="272"/>
      <c r="O397" s="272"/>
      <c r="P397" s="272"/>
      <c r="Q397" s="272"/>
      <c r="R397" s="272"/>
      <c r="S397" s="272"/>
      <c r="T397" s="272"/>
      <c r="U397" s="272"/>
      <c r="V397" s="272"/>
      <c r="W397" s="272"/>
      <c r="X397" s="270"/>
      <c r="Y397" s="270" t="str">
        <f t="shared" si="35"/>
        <v/>
      </c>
      <c r="Z397" s="272"/>
      <c r="AA397" s="272"/>
      <c r="AB397" s="288"/>
    </row>
    <row r="398" spans="1:28" ht="20.25" customHeight="1">
      <c r="A398" s="270">
        <v>397</v>
      </c>
      <c r="B398" s="276"/>
      <c r="C398" s="271"/>
      <c r="D398" s="270"/>
      <c r="E398" s="272"/>
      <c r="F398" s="272"/>
      <c r="G398" s="270"/>
      <c r="H398" s="340"/>
      <c r="I398" s="272" t="str">
        <f t="shared" si="34"/>
        <v/>
      </c>
      <c r="J398" s="272"/>
      <c r="K398" s="272"/>
      <c r="L398" s="272"/>
      <c r="M398" s="272"/>
      <c r="N398" s="272"/>
      <c r="O398" s="272"/>
      <c r="P398" s="272"/>
      <c r="Q398" s="272"/>
      <c r="R398" s="272"/>
      <c r="S398" s="272"/>
      <c r="T398" s="272"/>
      <c r="U398" s="272"/>
      <c r="V398" s="272"/>
      <c r="W398" s="272"/>
      <c r="X398" s="270"/>
      <c r="Y398" s="270" t="str">
        <f t="shared" si="35"/>
        <v/>
      </c>
      <c r="Z398" s="272"/>
      <c r="AA398" s="272"/>
      <c r="AB398" s="288"/>
    </row>
    <row r="399" spans="1:28" ht="20.25" customHeight="1">
      <c r="A399" s="270">
        <v>398</v>
      </c>
      <c r="B399" s="276"/>
      <c r="C399" s="271"/>
      <c r="D399" s="270"/>
      <c r="E399" s="272"/>
      <c r="F399" s="272"/>
      <c r="G399" s="270"/>
      <c r="H399" s="340"/>
      <c r="I399" s="272" t="str">
        <f t="shared" si="34"/>
        <v/>
      </c>
      <c r="J399" s="272"/>
      <c r="K399" s="272"/>
      <c r="L399" s="272"/>
      <c r="M399" s="272"/>
      <c r="N399" s="272"/>
      <c r="O399" s="272"/>
      <c r="P399" s="272"/>
      <c r="Q399" s="272"/>
      <c r="R399" s="272"/>
      <c r="S399" s="272"/>
      <c r="T399" s="272"/>
      <c r="U399" s="272"/>
      <c r="V399" s="272"/>
      <c r="W399" s="272"/>
      <c r="X399" s="270"/>
      <c r="Y399" s="270" t="str">
        <f t="shared" si="35"/>
        <v/>
      </c>
      <c r="Z399" s="272"/>
      <c r="AA399" s="272"/>
      <c r="AB399" s="288"/>
    </row>
    <row r="400" spans="1:28" ht="20.25" customHeight="1">
      <c r="A400" s="270">
        <v>399</v>
      </c>
      <c r="B400" s="276"/>
      <c r="C400" s="271"/>
      <c r="D400" s="270"/>
      <c r="E400" s="272"/>
      <c r="F400" s="272"/>
      <c r="G400" s="270"/>
      <c r="H400" s="340"/>
      <c r="I400" s="272" t="str">
        <f t="shared" si="34"/>
        <v/>
      </c>
      <c r="J400" s="272"/>
      <c r="K400" s="272"/>
      <c r="L400" s="272"/>
      <c r="M400" s="272"/>
      <c r="N400" s="272"/>
      <c r="O400" s="272"/>
      <c r="P400" s="272"/>
      <c r="Q400" s="272"/>
      <c r="R400" s="272"/>
      <c r="S400" s="272"/>
      <c r="T400" s="272"/>
      <c r="U400" s="272"/>
      <c r="V400" s="272"/>
      <c r="W400" s="272"/>
      <c r="X400" s="270"/>
      <c r="Y400" s="270" t="str">
        <f t="shared" si="35"/>
        <v/>
      </c>
      <c r="Z400" s="272"/>
      <c r="AA400" s="272"/>
      <c r="AB400" s="288"/>
    </row>
    <row r="401" spans="1:28" ht="20.25" customHeight="1">
      <c r="A401" s="270">
        <v>400</v>
      </c>
      <c r="B401" s="276"/>
      <c r="C401" s="271"/>
      <c r="D401" s="270"/>
      <c r="E401" s="272"/>
      <c r="F401" s="272"/>
      <c r="G401" s="270"/>
      <c r="H401" s="340"/>
      <c r="I401" s="272" t="str">
        <f t="shared" si="34"/>
        <v/>
      </c>
      <c r="J401" s="272"/>
      <c r="K401" s="272"/>
      <c r="L401" s="272"/>
      <c r="M401" s="272"/>
      <c r="N401" s="272"/>
      <c r="O401" s="272"/>
      <c r="P401" s="272"/>
      <c r="Q401" s="272"/>
      <c r="R401" s="272"/>
      <c r="S401" s="272"/>
      <c r="T401" s="272"/>
      <c r="U401" s="272"/>
      <c r="V401" s="272"/>
      <c r="W401" s="272"/>
      <c r="X401" s="270"/>
      <c r="Y401" s="270" t="str">
        <f t="shared" si="35"/>
        <v/>
      </c>
      <c r="Z401" s="272"/>
      <c r="AA401" s="272"/>
      <c r="AB401" s="288"/>
    </row>
    <row r="402" spans="1:28" ht="20.25" customHeight="1">
      <c r="A402" s="270">
        <v>401</v>
      </c>
      <c r="B402" s="276"/>
      <c r="C402" s="271"/>
      <c r="D402" s="270"/>
      <c r="E402" s="272"/>
      <c r="F402" s="272"/>
      <c r="G402" s="270"/>
      <c r="H402" s="340"/>
      <c r="I402" s="272" t="str">
        <f t="shared" si="34"/>
        <v/>
      </c>
      <c r="J402" s="272"/>
      <c r="K402" s="272"/>
      <c r="L402" s="272"/>
      <c r="M402" s="272"/>
      <c r="N402" s="272"/>
      <c r="O402" s="272"/>
      <c r="P402" s="272"/>
      <c r="Q402" s="272"/>
      <c r="R402" s="272"/>
      <c r="S402" s="272"/>
      <c r="T402" s="272"/>
      <c r="U402" s="272"/>
      <c r="V402" s="272"/>
      <c r="W402" s="272"/>
      <c r="X402" s="270"/>
      <c r="Y402" s="270" t="str">
        <f t="shared" si="35"/>
        <v/>
      </c>
      <c r="Z402" s="272"/>
      <c r="AA402" s="272"/>
      <c r="AB402" s="288"/>
    </row>
    <row r="403" spans="1:28" ht="20.25" customHeight="1">
      <c r="A403" s="270">
        <v>402</v>
      </c>
      <c r="B403" s="276"/>
      <c r="C403" s="271"/>
      <c r="D403" s="270"/>
      <c r="E403" s="272"/>
      <c r="F403" s="272"/>
      <c r="G403" s="270"/>
      <c r="H403" s="340"/>
      <c r="I403" s="272" t="str">
        <f t="shared" si="34"/>
        <v/>
      </c>
      <c r="J403" s="272"/>
      <c r="K403" s="272"/>
      <c r="L403" s="272"/>
      <c r="M403" s="272"/>
      <c r="N403" s="272"/>
      <c r="O403" s="272"/>
      <c r="P403" s="272"/>
      <c r="Q403" s="272"/>
      <c r="R403" s="272"/>
      <c r="S403" s="272"/>
      <c r="T403" s="272"/>
      <c r="U403" s="272"/>
      <c r="V403" s="272"/>
      <c r="W403" s="272"/>
      <c r="X403" s="270"/>
      <c r="Y403" s="270" t="str">
        <f t="shared" si="35"/>
        <v/>
      </c>
      <c r="Z403" s="272"/>
      <c r="AA403" s="272"/>
      <c r="AB403" s="288"/>
    </row>
    <row r="404" spans="1:28" ht="20.25" customHeight="1">
      <c r="A404" s="270">
        <v>403</v>
      </c>
      <c r="B404" s="276"/>
      <c r="C404" s="271"/>
      <c r="D404" s="270"/>
      <c r="E404" s="272"/>
      <c r="F404" s="272"/>
      <c r="G404" s="270"/>
      <c r="H404" s="340"/>
      <c r="I404" s="272" t="str">
        <f t="shared" si="34"/>
        <v/>
      </c>
      <c r="J404" s="272"/>
      <c r="K404" s="272"/>
      <c r="L404" s="272"/>
      <c r="M404" s="272"/>
      <c r="N404" s="272"/>
      <c r="O404" s="272"/>
      <c r="P404" s="272"/>
      <c r="Q404" s="272"/>
      <c r="R404" s="272"/>
      <c r="S404" s="272"/>
      <c r="T404" s="272"/>
      <c r="U404" s="272"/>
      <c r="V404" s="272"/>
      <c r="W404" s="272"/>
      <c r="X404" s="270"/>
      <c r="Y404" s="270" t="str">
        <f t="shared" si="35"/>
        <v/>
      </c>
      <c r="Z404" s="272"/>
      <c r="AA404" s="272"/>
      <c r="AB404" s="288"/>
    </row>
    <row r="405" spans="1:28" ht="20.25" customHeight="1">
      <c r="A405" s="270">
        <v>404</v>
      </c>
      <c r="B405" s="276"/>
      <c r="C405" s="271"/>
      <c r="D405" s="270"/>
      <c r="E405" s="272"/>
      <c r="F405" s="272"/>
      <c r="G405" s="270"/>
      <c r="H405" s="340"/>
      <c r="I405" s="272" t="str">
        <f t="shared" si="34"/>
        <v/>
      </c>
      <c r="J405" s="272"/>
      <c r="K405" s="272"/>
      <c r="L405" s="272"/>
      <c r="M405" s="272"/>
      <c r="N405" s="272"/>
      <c r="O405" s="272"/>
      <c r="P405" s="272"/>
      <c r="Q405" s="272"/>
      <c r="R405" s="272"/>
      <c r="S405" s="272"/>
      <c r="T405" s="272"/>
      <c r="U405" s="272"/>
      <c r="V405" s="272"/>
      <c r="W405" s="272"/>
      <c r="X405" s="270"/>
      <c r="Y405" s="270" t="str">
        <f t="shared" si="35"/>
        <v/>
      </c>
      <c r="Z405" s="272"/>
      <c r="AA405" s="272"/>
      <c r="AB405" s="288"/>
    </row>
    <row r="406" spans="1:28" ht="20.25" customHeight="1">
      <c r="A406" s="270">
        <v>405</v>
      </c>
      <c r="B406" s="276"/>
      <c r="C406" s="271"/>
      <c r="D406" s="270"/>
      <c r="E406" s="272"/>
      <c r="F406" s="272"/>
      <c r="G406" s="270"/>
      <c r="H406" s="340"/>
      <c r="I406" s="272" t="str">
        <f t="shared" si="34"/>
        <v/>
      </c>
      <c r="J406" s="272"/>
      <c r="K406" s="272"/>
      <c r="L406" s="272"/>
      <c r="M406" s="272"/>
      <c r="N406" s="272"/>
      <c r="O406" s="272"/>
      <c r="P406" s="272"/>
      <c r="Q406" s="272"/>
      <c r="R406" s="272"/>
      <c r="S406" s="272"/>
      <c r="T406" s="272"/>
      <c r="U406" s="272"/>
      <c r="V406" s="272"/>
      <c r="W406" s="272"/>
      <c r="X406" s="270"/>
      <c r="Y406" s="270" t="str">
        <f t="shared" si="35"/>
        <v/>
      </c>
      <c r="Z406" s="272"/>
      <c r="AA406" s="272"/>
      <c r="AB406" s="288"/>
    </row>
    <row r="407" spans="1:28" ht="20.25" customHeight="1">
      <c r="A407" s="270">
        <v>406</v>
      </c>
      <c r="B407" s="276"/>
      <c r="C407" s="271"/>
      <c r="D407" s="270"/>
      <c r="E407" s="272"/>
      <c r="F407" s="272"/>
      <c r="G407" s="270"/>
      <c r="H407" s="340"/>
      <c r="I407" s="272" t="str">
        <f t="shared" si="34"/>
        <v/>
      </c>
      <c r="J407" s="272"/>
      <c r="K407" s="272"/>
      <c r="L407" s="272"/>
      <c r="M407" s="272"/>
      <c r="N407" s="272"/>
      <c r="O407" s="272"/>
      <c r="P407" s="272"/>
      <c r="Q407" s="272"/>
      <c r="R407" s="272"/>
      <c r="S407" s="272"/>
      <c r="T407" s="272"/>
      <c r="U407" s="272"/>
      <c r="V407" s="272"/>
      <c r="W407" s="272"/>
      <c r="X407" s="270"/>
      <c r="Y407" s="270" t="str">
        <f t="shared" si="35"/>
        <v/>
      </c>
      <c r="Z407" s="272"/>
      <c r="AA407" s="272"/>
      <c r="AB407" s="288"/>
    </row>
    <row r="408" spans="1:28" ht="20.25" customHeight="1">
      <c r="A408" s="270">
        <v>407</v>
      </c>
      <c r="B408" s="276"/>
      <c r="C408" s="271"/>
      <c r="D408" s="270"/>
      <c r="E408" s="272"/>
      <c r="F408" s="272"/>
      <c r="G408" s="270"/>
      <c r="H408" s="340"/>
      <c r="I408" s="272" t="str">
        <f t="shared" si="34"/>
        <v/>
      </c>
      <c r="J408" s="272"/>
      <c r="K408" s="272"/>
      <c r="L408" s="272"/>
      <c r="M408" s="272"/>
      <c r="N408" s="272"/>
      <c r="O408" s="272"/>
      <c r="P408" s="272"/>
      <c r="Q408" s="272"/>
      <c r="R408" s="272"/>
      <c r="S408" s="272"/>
      <c r="T408" s="272"/>
      <c r="U408" s="272"/>
      <c r="V408" s="272"/>
      <c r="W408" s="272"/>
      <c r="X408" s="270"/>
      <c r="Y408" s="270" t="str">
        <f t="shared" si="35"/>
        <v/>
      </c>
      <c r="Z408" s="272"/>
      <c r="AA408" s="272"/>
      <c r="AB408" s="288"/>
    </row>
    <row r="409" spans="1:28" ht="20.25" customHeight="1">
      <c r="A409" s="270">
        <v>408</v>
      </c>
      <c r="B409" s="276"/>
      <c r="C409" s="271"/>
      <c r="D409" s="270"/>
      <c r="E409" s="272"/>
      <c r="F409" s="272"/>
      <c r="G409" s="270"/>
      <c r="H409" s="340"/>
      <c r="I409" s="272" t="str">
        <f t="shared" si="34"/>
        <v/>
      </c>
      <c r="J409" s="272"/>
      <c r="K409" s="272"/>
      <c r="L409" s="272"/>
      <c r="M409" s="272"/>
      <c r="N409" s="272"/>
      <c r="O409" s="272"/>
      <c r="P409" s="272"/>
      <c r="Q409" s="272"/>
      <c r="R409" s="272"/>
      <c r="S409" s="272"/>
      <c r="T409" s="272"/>
      <c r="U409" s="272"/>
      <c r="V409" s="272"/>
      <c r="W409" s="272"/>
      <c r="X409" s="270"/>
      <c r="Y409" s="270" t="str">
        <f t="shared" si="35"/>
        <v/>
      </c>
      <c r="Z409" s="272"/>
      <c r="AA409" s="272"/>
      <c r="AB409" s="288"/>
    </row>
    <row r="410" spans="1:28" ht="20.25" customHeight="1">
      <c r="A410" s="270">
        <v>409</v>
      </c>
      <c r="B410" s="276"/>
      <c r="C410" s="271"/>
      <c r="D410" s="270"/>
      <c r="E410" s="272"/>
      <c r="F410" s="272"/>
      <c r="G410" s="270"/>
      <c r="H410" s="340"/>
      <c r="I410" s="272" t="str">
        <f t="shared" si="34"/>
        <v/>
      </c>
      <c r="J410" s="272"/>
      <c r="K410" s="272"/>
      <c r="L410" s="272"/>
      <c r="M410" s="272"/>
      <c r="N410" s="272"/>
      <c r="O410" s="272"/>
      <c r="P410" s="272"/>
      <c r="Q410" s="272"/>
      <c r="R410" s="272"/>
      <c r="S410" s="272"/>
      <c r="T410" s="272"/>
      <c r="U410" s="272"/>
      <c r="V410" s="272"/>
      <c r="W410" s="272"/>
      <c r="X410" s="270"/>
      <c r="Y410" s="270" t="str">
        <f t="shared" si="35"/>
        <v/>
      </c>
      <c r="Z410" s="272"/>
      <c r="AA410" s="272"/>
      <c r="AB410" s="288"/>
    </row>
    <row r="411" spans="1:28" ht="20.25" customHeight="1">
      <c r="A411" s="270">
        <v>410</v>
      </c>
      <c r="B411" s="276"/>
      <c r="C411" s="271"/>
      <c r="D411" s="270"/>
      <c r="E411" s="272"/>
      <c r="F411" s="272"/>
      <c r="G411" s="270"/>
      <c r="H411" s="340"/>
      <c r="I411" s="272" t="str">
        <f t="shared" si="34"/>
        <v/>
      </c>
      <c r="J411" s="272"/>
      <c r="K411" s="272"/>
      <c r="L411" s="272"/>
      <c r="M411" s="272"/>
      <c r="N411" s="272"/>
      <c r="O411" s="272"/>
      <c r="P411" s="272"/>
      <c r="Q411" s="272"/>
      <c r="R411" s="272"/>
      <c r="S411" s="272"/>
      <c r="T411" s="272"/>
      <c r="U411" s="272"/>
      <c r="V411" s="272"/>
      <c r="W411" s="272"/>
      <c r="X411" s="270"/>
      <c r="Y411" s="270" t="str">
        <f t="shared" si="35"/>
        <v/>
      </c>
      <c r="Z411" s="272"/>
      <c r="AA411" s="272"/>
      <c r="AB411" s="288"/>
    </row>
    <row r="412" spans="1:28" ht="20.25" customHeight="1">
      <c r="A412" s="270">
        <v>411</v>
      </c>
      <c r="B412" s="276"/>
      <c r="C412" s="271"/>
      <c r="D412" s="270"/>
      <c r="E412" s="272"/>
      <c r="F412" s="272"/>
      <c r="G412" s="270"/>
      <c r="H412" s="340"/>
      <c r="I412" s="272" t="str">
        <f t="shared" si="34"/>
        <v/>
      </c>
      <c r="J412" s="272"/>
      <c r="K412" s="272"/>
      <c r="L412" s="272"/>
      <c r="M412" s="272"/>
      <c r="N412" s="272"/>
      <c r="O412" s="272"/>
      <c r="P412" s="272"/>
      <c r="Q412" s="272"/>
      <c r="R412" s="272"/>
      <c r="S412" s="272"/>
      <c r="T412" s="272"/>
      <c r="U412" s="272"/>
      <c r="V412" s="272"/>
      <c r="W412" s="272"/>
      <c r="X412" s="270"/>
      <c r="Y412" s="270" t="str">
        <f t="shared" si="35"/>
        <v/>
      </c>
      <c r="Z412" s="272"/>
      <c r="AA412" s="272"/>
      <c r="AB412" s="288"/>
    </row>
    <row r="413" spans="1:28" ht="20.25" customHeight="1">
      <c r="A413" s="270">
        <v>412</v>
      </c>
      <c r="B413" s="276"/>
      <c r="C413" s="271"/>
      <c r="D413" s="270"/>
      <c r="E413" s="272"/>
      <c r="F413" s="272"/>
      <c r="G413" s="270"/>
      <c r="H413" s="340"/>
      <c r="I413" s="272" t="str">
        <f t="shared" si="34"/>
        <v/>
      </c>
      <c r="J413" s="272"/>
      <c r="K413" s="272"/>
      <c r="L413" s="272"/>
      <c r="M413" s="272"/>
      <c r="N413" s="272"/>
      <c r="O413" s="272"/>
      <c r="P413" s="272"/>
      <c r="Q413" s="272"/>
      <c r="R413" s="272"/>
      <c r="S413" s="272"/>
      <c r="T413" s="272"/>
      <c r="U413" s="272"/>
      <c r="V413" s="272"/>
      <c r="W413" s="272"/>
      <c r="X413" s="270"/>
      <c r="Y413" s="270" t="str">
        <f t="shared" si="35"/>
        <v/>
      </c>
      <c r="Z413" s="272"/>
      <c r="AA413" s="272"/>
      <c r="AB413" s="288"/>
    </row>
    <row r="414" spans="1:28" ht="20.25" customHeight="1">
      <c r="A414" s="270">
        <v>413</v>
      </c>
      <c r="B414" s="276"/>
      <c r="C414" s="271"/>
      <c r="D414" s="270"/>
      <c r="E414" s="272"/>
      <c r="F414" s="272"/>
      <c r="G414" s="270"/>
      <c r="H414" s="340"/>
      <c r="I414" s="272" t="str">
        <f t="shared" si="34"/>
        <v/>
      </c>
      <c r="J414" s="272"/>
      <c r="K414" s="272"/>
      <c r="L414" s="272"/>
      <c r="M414" s="272"/>
      <c r="N414" s="272"/>
      <c r="O414" s="272"/>
      <c r="P414" s="272"/>
      <c r="Q414" s="272"/>
      <c r="R414" s="272"/>
      <c r="S414" s="272"/>
      <c r="T414" s="272"/>
      <c r="U414" s="272"/>
      <c r="V414" s="272"/>
      <c r="W414" s="272"/>
      <c r="X414" s="270"/>
      <c r="Y414" s="270" t="str">
        <f t="shared" si="35"/>
        <v/>
      </c>
      <c r="Z414" s="272"/>
      <c r="AA414" s="272"/>
      <c r="AB414" s="288"/>
    </row>
    <row r="415" spans="1:28" ht="20.25" customHeight="1">
      <c r="A415" s="270">
        <v>414</v>
      </c>
      <c r="B415" s="276"/>
      <c r="C415" s="271"/>
      <c r="D415" s="270"/>
      <c r="E415" s="272"/>
      <c r="F415" s="272"/>
      <c r="G415" s="270"/>
      <c r="H415" s="340"/>
      <c r="I415" s="272" t="str">
        <f t="shared" si="34"/>
        <v/>
      </c>
      <c r="J415" s="272"/>
      <c r="K415" s="272"/>
      <c r="L415" s="272"/>
      <c r="M415" s="272"/>
      <c r="N415" s="272"/>
      <c r="O415" s="272"/>
      <c r="P415" s="272"/>
      <c r="Q415" s="272"/>
      <c r="R415" s="272"/>
      <c r="S415" s="272"/>
      <c r="T415" s="272"/>
      <c r="U415" s="272"/>
      <c r="V415" s="272"/>
      <c r="W415" s="272"/>
      <c r="X415" s="270"/>
      <c r="Y415" s="270" t="str">
        <f t="shared" si="35"/>
        <v/>
      </c>
      <c r="Z415" s="272"/>
      <c r="AA415" s="272"/>
      <c r="AB415" s="288"/>
    </row>
    <row r="416" spans="1:28" ht="20.25" customHeight="1">
      <c r="A416" s="270">
        <v>415</v>
      </c>
      <c r="B416" s="276"/>
      <c r="C416" s="271"/>
      <c r="D416" s="270"/>
      <c r="E416" s="272"/>
      <c r="F416" s="272"/>
      <c r="G416" s="270"/>
      <c r="H416" s="340"/>
      <c r="I416" s="272" t="str">
        <f t="shared" si="34"/>
        <v/>
      </c>
      <c r="J416" s="272"/>
      <c r="K416" s="272"/>
      <c r="L416" s="272"/>
      <c r="M416" s="272"/>
      <c r="N416" s="272"/>
      <c r="O416" s="272"/>
      <c r="P416" s="272"/>
      <c r="Q416" s="272"/>
      <c r="R416" s="272"/>
      <c r="S416" s="272"/>
      <c r="T416" s="272"/>
      <c r="U416" s="272"/>
      <c r="V416" s="272"/>
      <c r="W416" s="272"/>
      <c r="X416" s="270"/>
      <c r="Y416" s="270" t="str">
        <f t="shared" si="35"/>
        <v/>
      </c>
      <c r="Z416" s="272"/>
      <c r="AA416" s="272"/>
      <c r="AB416" s="288"/>
    </row>
    <row r="417" spans="1:28" ht="20.25" customHeight="1">
      <c r="A417" s="270">
        <v>416</v>
      </c>
      <c r="B417" s="276"/>
      <c r="C417" s="271"/>
      <c r="D417" s="270"/>
      <c r="E417" s="272"/>
      <c r="F417" s="272"/>
      <c r="G417" s="270"/>
      <c r="H417" s="340"/>
      <c r="I417" s="272" t="str">
        <f t="shared" si="34"/>
        <v/>
      </c>
      <c r="J417" s="272"/>
      <c r="K417" s="272"/>
      <c r="L417" s="272"/>
      <c r="M417" s="272"/>
      <c r="N417" s="272"/>
      <c r="O417" s="272"/>
      <c r="P417" s="272"/>
      <c r="Q417" s="272"/>
      <c r="R417" s="272"/>
      <c r="S417" s="272"/>
      <c r="T417" s="272"/>
      <c r="U417" s="272"/>
      <c r="V417" s="272"/>
      <c r="W417" s="272"/>
      <c r="X417" s="270"/>
      <c r="Y417" s="270" t="str">
        <f t="shared" si="35"/>
        <v/>
      </c>
      <c r="Z417" s="272"/>
      <c r="AA417" s="272"/>
      <c r="AB417" s="288"/>
    </row>
    <row r="418" spans="1:28" ht="20.25" customHeight="1">
      <c r="A418" s="270">
        <v>417</v>
      </c>
      <c r="B418" s="276"/>
      <c r="C418" s="271"/>
      <c r="D418" s="270"/>
      <c r="E418" s="272"/>
      <c r="F418" s="272"/>
      <c r="G418" s="270"/>
      <c r="H418" s="340"/>
      <c r="I418" s="272" t="str">
        <f t="shared" si="34"/>
        <v/>
      </c>
      <c r="J418" s="272"/>
      <c r="K418" s="272"/>
      <c r="L418" s="272"/>
      <c r="M418" s="272"/>
      <c r="N418" s="272"/>
      <c r="O418" s="272"/>
      <c r="P418" s="272"/>
      <c r="Q418" s="272"/>
      <c r="R418" s="272"/>
      <c r="S418" s="272"/>
      <c r="T418" s="272"/>
      <c r="U418" s="272"/>
      <c r="V418" s="272"/>
      <c r="W418" s="272"/>
      <c r="X418" s="270"/>
      <c r="Y418" s="270" t="str">
        <f t="shared" si="35"/>
        <v/>
      </c>
      <c r="Z418" s="272"/>
      <c r="AA418" s="272"/>
      <c r="AB418" s="288"/>
    </row>
    <row r="419" spans="1:28" ht="20.25" customHeight="1">
      <c r="A419" s="270">
        <v>418</v>
      </c>
      <c r="B419" s="276"/>
      <c r="C419" s="271"/>
      <c r="D419" s="270"/>
      <c r="E419" s="272"/>
      <c r="F419" s="272"/>
      <c r="G419" s="270"/>
      <c r="H419" s="340"/>
      <c r="I419" s="272" t="str">
        <f t="shared" si="34"/>
        <v/>
      </c>
      <c r="J419" s="272"/>
      <c r="K419" s="272"/>
      <c r="L419" s="272"/>
      <c r="M419" s="272"/>
      <c r="N419" s="272"/>
      <c r="O419" s="272"/>
      <c r="P419" s="272"/>
      <c r="Q419" s="272"/>
      <c r="R419" s="272"/>
      <c r="S419" s="272"/>
      <c r="T419" s="272"/>
      <c r="U419" s="272"/>
      <c r="V419" s="272"/>
      <c r="W419" s="272"/>
      <c r="X419" s="270"/>
      <c r="Y419" s="270" t="str">
        <f t="shared" si="35"/>
        <v/>
      </c>
      <c r="Z419" s="272"/>
      <c r="AA419" s="272"/>
      <c r="AB419" s="288"/>
    </row>
    <row r="420" spans="1:28" ht="20.25" customHeight="1">
      <c r="A420" s="270">
        <v>419</v>
      </c>
      <c r="B420" s="276"/>
      <c r="C420" s="271"/>
      <c r="D420" s="270"/>
      <c r="E420" s="272"/>
      <c r="F420" s="272"/>
      <c r="G420" s="270"/>
      <c r="H420" s="340"/>
      <c r="I420" s="272" t="str">
        <f t="shared" si="34"/>
        <v/>
      </c>
      <c r="J420" s="272"/>
      <c r="K420" s="272"/>
      <c r="L420" s="272"/>
      <c r="M420" s="272"/>
      <c r="N420" s="272"/>
      <c r="O420" s="272"/>
      <c r="P420" s="272"/>
      <c r="Q420" s="272"/>
      <c r="R420" s="272"/>
      <c r="S420" s="272"/>
      <c r="T420" s="272"/>
      <c r="U420" s="272"/>
      <c r="V420" s="272"/>
      <c r="W420" s="272"/>
      <c r="X420" s="270"/>
      <c r="Y420" s="270" t="str">
        <f t="shared" si="35"/>
        <v/>
      </c>
      <c r="Z420" s="272"/>
      <c r="AA420" s="272"/>
      <c r="AB420" s="288"/>
    </row>
    <row r="421" spans="1:28" ht="20.25" customHeight="1">
      <c r="A421" s="270">
        <v>420</v>
      </c>
      <c r="B421" s="276"/>
      <c r="C421" s="271"/>
      <c r="D421" s="270"/>
      <c r="E421" s="272"/>
      <c r="F421" s="272"/>
      <c r="G421" s="270"/>
      <c r="H421" s="340"/>
      <c r="I421" s="272" t="str">
        <f t="shared" si="34"/>
        <v/>
      </c>
      <c r="J421" s="272"/>
      <c r="K421" s="272"/>
      <c r="L421" s="272"/>
      <c r="M421" s="272"/>
      <c r="N421" s="272"/>
      <c r="O421" s="272"/>
      <c r="P421" s="272"/>
      <c r="Q421" s="272"/>
      <c r="R421" s="272"/>
      <c r="S421" s="272"/>
      <c r="T421" s="272"/>
      <c r="U421" s="272"/>
      <c r="V421" s="272"/>
      <c r="W421" s="272"/>
      <c r="X421" s="270"/>
      <c r="Y421" s="270" t="str">
        <f t="shared" si="35"/>
        <v/>
      </c>
      <c r="Z421" s="272"/>
      <c r="AA421" s="272"/>
      <c r="AB421" s="288"/>
    </row>
    <row r="422" spans="1:28" ht="20.25" customHeight="1">
      <c r="A422" s="270">
        <v>421</v>
      </c>
      <c r="B422" s="276"/>
      <c r="C422" s="271"/>
      <c r="D422" s="270"/>
      <c r="E422" s="272"/>
      <c r="F422" s="272"/>
      <c r="G422" s="270"/>
      <c r="H422" s="340"/>
      <c r="I422" s="272" t="str">
        <f t="shared" si="34"/>
        <v/>
      </c>
      <c r="J422" s="272"/>
      <c r="K422" s="272"/>
      <c r="L422" s="272"/>
      <c r="M422" s="272"/>
      <c r="N422" s="272"/>
      <c r="O422" s="272"/>
      <c r="P422" s="272"/>
      <c r="Q422" s="272"/>
      <c r="R422" s="272"/>
      <c r="S422" s="272"/>
      <c r="T422" s="272"/>
      <c r="U422" s="272"/>
      <c r="V422" s="272"/>
      <c r="W422" s="272"/>
      <c r="X422" s="270"/>
      <c r="Y422" s="270" t="str">
        <f t="shared" si="35"/>
        <v/>
      </c>
      <c r="Z422" s="272"/>
      <c r="AA422" s="272"/>
      <c r="AB422" s="288"/>
    </row>
    <row r="423" spans="1:28" ht="20.25" customHeight="1">
      <c r="A423" s="270">
        <v>422</v>
      </c>
      <c r="B423" s="276"/>
      <c r="C423" s="271"/>
      <c r="D423" s="270"/>
      <c r="E423" s="272"/>
      <c r="F423" s="272"/>
      <c r="G423" s="270"/>
      <c r="H423" s="340"/>
      <c r="I423" s="272" t="str">
        <f t="shared" si="34"/>
        <v/>
      </c>
      <c r="J423" s="272"/>
      <c r="K423" s="272"/>
      <c r="L423" s="272"/>
      <c r="M423" s="272"/>
      <c r="N423" s="272"/>
      <c r="O423" s="272"/>
      <c r="P423" s="272"/>
      <c r="Q423" s="272"/>
      <c r="R423" s="272"/>
      <c r="S423" s="272"/>
      <c r="T423" s="272"/>
      <c r="U423" s="272"/>
      <c r="V423" s="272"/>
      <c r="W423" s="272"/>
      <c r="X423" s="270"/>
      <c r="Y423" s="270" t="str">
        <f t="shared" si="35"/>
        <v/>
      </c>
      <c r="Z423" s="272"/>
      <c r="AA423" s="272"/>
      <c r="AB423" s="288"/>
    </row>
    <row r="424" spans="1:28" ht="20.25" customHeight="1">
      <c r="A424" s="270">
        <v>423</v>
      </c>
      <c r="B424" s="276"/>
      <c r="C424" s="271"/>
      <c r="D424" s="270"/>
      <c r="E424" s="272"/>
      <c r="F424" s="272"/>
      <c r="G424" s="270"/>
      <c r="H424" s="340"/>
      <c r="I424" s="272" t="str">
        <f t="shared" si="34"/>
        <v/>
      </c>
      <c r="J424" s="272"/>
      <c r="K424" s="272"/>
      <c r="L424" s="272"/>
      <c r="M424" s="272"/>
      <c r="N424" s="272"/>
      <c r="O424" s="272"/>
      <c r="P424" s="272"/>
      <c r="Q424" s="272"/>
      <c r="R424" s="272"/>
      <c r="S424" s="272"/>
      <c r="T424" s="272"/>
      <c r="U424" s="272"/>
      <c r="V424" s="272"/>
      <c r="W424" s="272"/>
      <c r="X424" s="270"/>
      <c r="Y424" s="270" t="str">
        <f t="shared" si="35"/>
        <v/>
      </c>
      <c r="Z424" s="272"/>
      <c r="AA424" s="272"/>
      <c r="AB424" s="288"/>
    </row>
    <row r="425" spans="1:28" ht="20.25" customHeight="1">
      <c r="A425" s="270">
        <v>424</v>
      </c>
      <c r="B425" s="276"/>
      <c r="C425" s="271"/>
      <c r="D425" s="270"/>
      <c r="E425" s="272"/>
      <c r="F425" s="272"/>
      <c r="G425" s="270"/>
      <c r="H425" s="340"/>
      <c r="I425" s="272" t="str">
        <f t="shared" si="34"/>
        <v/>
      </c>
      <c r="J425" s="272"/>
      <c r="K425" s="272"/>
      <c r="L425" s="272"/>
      <c r="M425" s="272"/>
      <c r="N425" s="272"/>
      <c r="O425" s="272"/>
      <c r="P425" s="272"/>
      <c r="Q425" s="272"/>
      <c r="R425" s="272"/>
      <c r="S425" s="272"/>
      <c r="T425" s="272"/>
      <c r="U425" s="272"/>
      <c r="V425" s="272"/>
      <c r="W425" s="272"/>
      <c r="X425" s="270"/>
      <c r="Y425" s="270" t="str">
        <f t="shared" si="35"/>
        <v/>
      </c>
      <c r="Z425" s="272"/>
      <c r="AA425" s="272"/>
      <c r="AB425" s="288"/>
    </row>
    <row r="426" spans="1:28" ht="20.25" customHeight="1">
      <c r="A426" s="270">
        <v>425</v>
      </c>
      <c r="B426" s="276"/>
      <c r="C426" s="271"/>
      <c r="D426" s="270"/>
      <c r="E426" s="272"/>
      <c r="F426" s="272"/>
      <c r="G426" s="270"/>
      <c r="H426" s="340"/>
      <c r="I426" s="272" t="str">
        <f t="shared" si="34"/>
        <v/>
      </c>
      <c r="J426" s="272"/>
      <c r="K426" s="272"/>
      <c r="L426" s="272"/>
      <c r="M426" s="272"/>
      <c r="N426" s="272"/>
      <c r="O426" s="272"/>
      <c r="P426" s="272"/>
      <c r="Q426" s="272"/>
      <c r="R426" s="272"/>
      <c r="S426" s="272"/>
      <c r="T426" s="272"/>
      <c r="U426" s="272"/>
      <c r="V426" s="272"/>
      <c r="W426" s="272"/>
      <c r="X426" s="270"/>
      <c r="Y426" s="270" t="str">
        <f t="shared" si="35"/>
        <v/>
      </c>
      <c r="Z426" s="272"/>
      <c r="AA426" s="272"/>
      <c r="AB426" s="288"/>
    </row>
    <row r="427" spans="1:28" ht="20.25" customHeight="1">
      <c r="A427" s="270">
        <v>426</v>
      </c>
      <c r="B427" s="276"/>
      <c r="C427" s="271"/>
      <c r="D427" s="270"/>
      <c r="E427" s="272"/>
      <c r="F427" s="272"/>
      <c r="G427" s="270"/>
      <c r="H427" s="340"/>
      <c r="I427" s="272" t="str">
        <f t="shared" si="34"/>
        <v/>
      </c>
      <c r="J427" s="272"/>
      <c r="K427" s="272"/>
      <c r="L427" s="272"/>
      <c r="M427" s="272"/>
      <c r="N427" s="272"/>
      <c r="O427" s="272"/>
      <c r="P427" s="272"/>
      <c r="Q427" s="272"/>
      <c r="R427" s="272"/>
      <c r="S427" s="272"/>
      <c r="T427" s="272"/>
      <c r="U427" s="272"/>
      <c r="V427" s="272"/>
      <c r="W427" s="272"/>
      <c r="X427" s="270"/>
      <c r="Y427" s="270" t="str">
        <f t="shared" si="35"/>
        <v/>
      </c>
      <c r="Z427" s="272"/>
      <c r="AA427" s="272"/>
      <c r="AB427" s="288"/>
    </row>
    <row r="428" spans="1:28" ht="20.25" customHeight="1">
      <c r="A428" s="270">
        <v>427</v>
      </c>
      <c r="B428" s="276"/>
      <c r="C428" s="271"/>
      <c r="D428" s="270"/>
      <c r="E428" s="272"/>
      <c r="F428" s="272"/>
      <c r="G428" s="270"/>
      <c r="H428" s="340"/>
      <c r="I428" s="272" t="str">
        <f t="shared" si="34"/>
        <v/>
      </c>
      <c r="J428" s="272"/>
      <c r="K428" s="272"/>
      <c r="L428" s="272"/>
      <c r="M428" s="272"/>
      <c r="N428" s="272"/>
      <c r="O428" s="272"/>
      <c r="P428" s="272"/>
      <c r="Q428" s="272"/>
      <c r="R428" s="272"/>
      <c r="S428" s="272"/>
      <c r="T428" s="272"/>
      <c r="U428" s="272"/>
      <c r="V428" s="272"/>
      <c r="W428" s="272"/>
      <c r="X428" s="270"/>
      <c r="Y428" s="270" t="str">
        <f t="shared" si="35"/>
        <v/>
      </c>
      <c r="Z428" s="272"/>
      <c r="AA428" s="272"/>
      <c r="AB428" s="288"/>
    </row>
    <row r="429" spans="1:28" ht="20.25" customHeight="1">
      <c r="A429" s="270">
        <v>428</v>
      </c>
      <c r="B429" s="276"/>
      <c r="C429" s="271"/>
      <c r="D429" s="270"/>
      <c r="E429" s="272"/>
      <c r="F429" s="272"/>
      <c r="G429" s="270"/>
      <c r="H429" s="340"/>
      <c r="I429" s="272" t="str">
        <f t="shared" si="34"/>
        <v/>
      </c>
      <c r="J429" s="272"/>
      <c r="K429" s="272"/>
      <c r="L429" s="272"/>
      <c r="M429" s="272"/>
      <c r="N429" s="272"/>
      <c r="O429" s="272"/>
      <c r="P429" s="272"/>
      <c r="Q429" s="272"/>
      <c r="R429" s="272"/>
      <c r="S429" s="272"/>
      <c r="T429" s="272"/>
      <c r="U429" s="272"/>
      <c r="V429" s="272"/>
      <c r="W429" s="272"/>
      <c r="X429" s="270"/>
      <c r="Y429" s="270" t="str">
        <f t="shared" si="35"/>
        <v/>
      </c>
      <c r="Z429" s="272"/>
      <c r="AA429" s="272"/>
      <c r="AB429" s="288"/>
    </row>
    <row r="430" spans="1:28" ht="20.25" customHeight="1">
      <c r="A430" s="270">
        <v>429</v>
      </c>
      <c r="B430" s="276"/>
      <c r="C430" s="271"/>
      <c r="D430" s="270"/>
      <c r="E430" s="272"/>
      <c r="F430" s="272"/>
      <c r="G430" s="270"/>
      <c r="H430" s="340"/>
      <c r="I430" s="272" t="str">
        <f t="shared" si="34"/>
        <v/>
      </c>
      <c r="J430" s="272"/>
      <c r="K430" s="272"/>
      <c r="L430" s="272"/>
      <c r="M430" s="272"/>
      <c r="N430" s="272"/>
      <c r="O430" s="272"/>
      <c r="P430" s="272"/>
      <c r="Q430" s="272"/>
      <c r="R430" s="272"/>
      <c r="S430" s="272"/>
      <c r="T430" s="272"/>
      <c r="U430" s="272"/>
      <c r="V430" s="272"/>
      <c r="W430" s="272"/>
      <c r="X430" s="270"/>
      <c r="Y430" s="270" t="str">
        <f t="shared" si="35"/>
        <v/>
      </c>
      <c r="Z430" s="272"/>
      <c r="AA430" s="272"/>
      <c r="AB430" s="288"/>
    </row>
    <row r="431" spans="1:28" ht="20.25" customHeight="1">
      <c r="A431" s="270">
        <v>430</v>
      </c>
      <c r="B431" s="276"/>
      <c r="C431" s="271"/>
      <c r="D431" s="270"/>
      <c r="E431" s="272"/>
      <c r="F431" s="272"/>
      <c r="G431" s="270"/>
      <c r="H431" s="340"/>
      <c r="I431" s="272" t="str">
        <f t="shared" si="34"/>
        <v/>
      </c>
      <c r="J431" s="272"/>
      <c r="K431" s="272"/>
      <c r="L431" s="272"/>
      <c r="M431" s="272"/>
      <c r="N431" s="272"/>
      <c r="O431" s="272"/>
      <c r="P431" s="272"/>
      <c r="Q431" s="272"/>
      <c r="R431" s="272"/>
      <c r="S431" s="272"/>
      <c r="T431" s="272"/>
      <c r="U431" s="272"/>
      <c r="V431" s="272"/>
      <c r="W431" s="272"/>
      <c r="X431" s="270"/>
      <c r="Y431" s="270" t="str">
        <f t="shared" si="35"/>
        <v/>
      </c>
      <c r="Z431" s="272"/>
      <c r="AA431" s="272"/>
      <c r="AB431" s="288"/>
    </row>
    <row r="432" spans="1:28" ht="20.25" customHeight="1">
      <c r="A432" s="270">
        <v>431</v>
      </c>
      <c r="B432" s="276"/>
      <c r="C432" s="271"/>
      <c r="D432" s="270"/>
      <c r="E432" s="272"/>
      <c r="F432" s="272"/>
      <c r="G432" s="270"/>
      <c r="H432" s="340"/>
      <c r="I432" s="272" t="str">
        <f t="shared" si="34"/>
        <v/>
      </c>
      <c r="J432" s="272"/>
      <c r="K432" s="272"/>
      <c r="L432" s="272"/>
      <c r="M432" s="272"/>
      <c r="N432" s="272"/>
      <c r="O432" s="272"/>
      <c r="P432" s="272"/>
      <c r="Q432" s="272"/>
      <c r="R432" s="272"/>
      <c r="S432" s="272"/>
      <c r="T432" s="272"/>
      <c r="U432" s="272"/>
      <c r="V432" s="272"/>
      <c r="W432" s="272"/>
      <c r="X432" s="270"/>
      <c r="Y432" s="270" t="str">
        <f t="shared" si="35"/>
        <v/>
      </c>
      <c r="Z432" s="272"/>
      <c r="AA432" s="272"/>
      <c r="AB432" s="288"/>
    </row>
    <row r="433" spans="1:28" ht="20.25" customHeight="1">
      <c r="A433" s="270">
        <v>432</v>
      </c>
      <c r="B433" s="276"/>
      <c r="C433" s="271"/>
      <c r="D433" s="270"/>
      <c r="E433" s="272"/>
      <c r="F433" s="272"/>
      <c r="G433" s="270"/>
      <c r="H433" s="340"/>
      <c r="I433" s="272" t="str">
        <f t="shared" si="34"/>
        <v/>
      </c>
      <c r="J433" s="272"/>
      <c r="K433" s="272"/>
      <c r="L433" s="272"/>
      <c r="M433" s="272"/>
      <c r="N433" s="272"/>
      <c r="O433" s="272"/>
      <c r="P433" s="272"/>
      <c r="Q433" s="272"/>
      <c r="R433" s="272"/>
      <c r="S433" s="272"/>
      <c r="T433" s="272"/>
      <c r="U433" s="272"/>
      <c r="V433" s="272"/>
      <c r="W433" s="272"/>
      <c r="X433" s="270"/>
      <c r="Y433" s="270" t="str">
        <f t="shared" si="35"/>
        <v/>
      </c>
      <c r="Z433" s="272"/>
      <c r="AA433" s="272"/>
      <c r="AB433" s="288"/>
    </row>
    <row r="434" spans="1:28" ht="20.25" customHeight="1">
      <c r="A434" s="270">
        <v>433</v>
      </c>
      <c r="B434" s="276"/>
      <c r="C434" s="271"/>
      <c r="D434" s="270"/>
      <c r="E434" s="272"/>
      <c r="F434" s="272"/>
      <c r="G434" s="270"/>
      <c r="H434" s="340"/>
      <c r="I434" s="272" t="str">
        <f t="shared" si="34"/>
        <v/>
      </c>
      <c r="J434" s="272"/>
      <c r="K434" s="272"/>
      <c r="L434" s="272"/>
      <c r="M434" s="272"/>
      <c r="N434" s="272"/>
      <c r="O434" s="272"/>
      <c r="P434" s="272"/>
      <c r="Q434" s="272"/>
      <c r="R434" s="272"/>
      <c r="S434" s="272"/>
      <c r="T434" s="272"/>
      <c r="U434" s="272"/>
      <c r="V434" s="272"/>
      <c r="W434" s="272"/>
      <c r="X434" s="270"/>
      <c r="Y434" s="270" t="str">
        <f t="shared" si="35"/>
        <v/>
      </c>
      <c r="Z434" s="272"/>
      <c r="AA434" s="272"/>
      <c r="AB434" s="288"/>
    </row>
    <row r="435" spans="1:28" ht="20.25" customHeight="1">
      <c r="A435" s="270">
        <v>434</v>
      </c>
      <c r="B435" s="276"/>
      <c r="C435" s="271"/>
      <c r="D435" s="270"/>
      <c r="E435" s="272"/>
      <c r="F435" s="272"/>
      <c r="G435" s="270"/>
      <c r="H435" s="340"/>
      <c r="I435" s="272" t="str">
        <f t="shared" si="34"/>
        <v/>
      </c>
      <c r="J435" s="272"/>
      <c r="K435" s="272"/>
      <c r="L435" s="272"/>
      <c r="M435" s="272"/>
      <c r="N435" s="272"/>
      <c r="O435" s="272"/>
      <c r="P435" s="272"/>
      <c r="Q435" s="272"/>
      <c r="R435" s="272"/>
      <c r="S435" s="272"/>
      <c r="T435" s="272"/>
      <c r="U435" s="272"/>
      <c r="V435" s="272"/>
      <c r="W435" s="272"/>
      <c r="X435" s="270"/>
      <c r="Y435" s="270" t="str">
        <f t="shared" si="35"/>
        <v/>
      </c>
      <c r="Z435" s="272"/>
      <c r="AA435" s="272"/>
      <c r="AB435" s="288"/>
    </row>
    <row r="436" spans="1:28" ht="20.25" customHeight="1">
      <c r="A436" s="270">
        <v>435</v>
      </c>
      <c r="B436" s="276"/>
      <c r="C436" s="271"/>
      <c r="D436" s="270"/>
      <c r="E436" s="272"/>
      <c r="F436" s="272"/>
      <c r="G436" s="270"/>
      <c r="H436" s="340"/>
      <c r="I436" s="272" t="str">
        <f t="shared" si="34"/>
        <v/>
      </c>
      <c r="J436" s="272"/>
      <c r="K436" s="272"/>
      <c r="L436" s="272"/>
      <c r="M436" s="272"/>
      <c r="N436" s="272"/>
      <c r="O436" s="272"/>
      <c r="P436" s="272"/>
      <c r="Q436" s="272"/>
      <c r="R436" s="272"/>
      <c r="S436" s="272"/>
      <c r="T436" s="272"/>
      <c r="U436" s="272"/>
      <c r="V436" s="272"/>
      <c r="W436" s="272"/>
      <c r="X436" s="270"/>
      <c r="Y436" s="270" t="str">
        <f t="shared" si="35"/>
        <v/>
      </c>
      <c r="Z436" s="272"/>
      <c r="AA436" s="272"/>
      <c r="AB436" s="288"/>
    </row>
    <row r="437" spans="1:28" ht="20.25" customHeight="1">
      <c r="A437" s="270">
        <v>436</v>
      </c>
      <c r="B437" s="276"/>
      <c r="C437" s="271"/>
      <c r="D437" s="270"/>
      <c r="E437" s="272"/>
      <c r="F437" s="272"/>
      <c r="G437" s="270"/>
      <c r="H437" s="340"/>
      <c r="I437" s="272" t="str">
        <f t="shared" si="34"/>
        <v/>
      </c>
      <c r="J437" s="272"/>
      <c r="K437" s="272"/>
      <c r="L437" s="272"/>
      <c r="M437" s="272"/>
      <c r="N437" s="272"/>
      <c r="O437" s="272"/>
      <c r="P437" s="272"/>
      <c r="Q437" s="272"/>
      <c r="R437" s="272"/>
      <c r="S437" s="272"/>
      <c r="T437" s="272"/>
      <c r="U437" s="272"/>
      <c r="V437" s="272"/>
      <c r="W437" s="272"/>
      <c r="X437" s="270"/>
      <c r="Y437" s="270" t="str">
        <f t="shared" si="35"/>
        <v/>
      </c>
      <c r="Z437" s="272"/>
      <c r="AA437" s="272"/>
      <c r="AB437" s="288"/>
    </row>
    <row r="438" spans="1:28" ht="20.25" customHeight="1">
      <c r="A438" s="270">
        <v>437</v>
      </c>
      <c r="B438" s="276"/>
      <c r="C438" s="271"/>
      <c r="D438" s="270"/>
      <c r="E438" s="272"/>
      <c r="F438" s="272"/>
      <c r="G438" s="270"/>
      <c r="H438" s="340"/>
      <c r="I438" s="272" t="str">
        <f t="shared" si="34"/>
        <v/>
      </c>
      <c r="J438" s="272"/>
      <c r="K438" s="272"/>
      <c r="L438" s="272"/>
      <c r="M438" s="272"/>
      <c r="N438" s="272"/>
      <c r="O438" s="272"/>
      <c r="P438" s="272"/>
      <c r="Q438" s="272"/>
      <c r="R438" s="272"/>
      <c r="S438" s="272"/>
      <c r="T438" s="272"/>
      <c r="U438" s="272"/>
      <c r="V438" s="272"/>
      <c r="W438" s="272"/>
      <c r="X438" s="270"/>
      <c r="Y438" s="270" t="str">
        <f t="shared" si="35"/>
        <v/>
      </c>
      <c r="Z438" s="272"/>
      <c r="AA438" s="272"/>
      <c r="AB438" s="288"/>
    </row>
    <row r="439" spans="1:28" ht="20.25" customHeight="1">
      <c r="A439" s="270">
        <v>438</v>
      </c>
      <c r="B439" s="276"/>
      <c r="C439" s="271"/>
      <c r="D439" s="270"/>
      <c r="E439" s="272"/>
      <c r="F439" s="272"/>
      <c r="G439" s="270"/>
      <c r="H439" s="340"/>
      <c r="I439" s="272" t="str">
        <f t="shared" si="34"/>
        <v/>
      </c>
      <c r="J439" s="272"/>
      <c r="K439" s="272"/>
      <c r="L439" s="272"/>
      <c r="M439" s="272"/>
      <c r="N439" s="272"/>
      <c r="O439" s="272"/>
      <c r="P439" s="272"/>
      <c r="Q439" s="272"/>
      <c r="R439" s="272"/>
      <c r="S439" s="272"/>
      <c r="T439" s="272"/>
      <c r="U439" s="272"/>
      <c r="V439" s="272"/>
      <c r="W439" s="272"/>
      <c r="X439" s="270"/>
      <c r="Y439" s="270" t="str">
        <f t="shared" si="35"/>
        <v/>
      </c>
      <c r="Z439" s="272"/>
      <c r="AA439" s="272"/>
      <c r="AB439" s="288"/>
    </row>
    <row r="440" spans="1:28" ht="20.25" customHeight="1">
      <c r="A440" s="270">
        <v>439</v>
      </c>
      <c r="B440" s="276"/>
      <c r="C440" s="271"/>
      <c r="D440" s="270"/>
      <c r="E440" s="272"/>
      <c r="F440" s="272"/>
      <c r="G440" s="270"/>
      <c r="H440" s="340"/>
      <c r="I440" s="272" t="str">
        <f t="shared" si="34"/>
        <v/>
      </c>
      <c r="J440" s="272"/>
      <c r="K440" s="272"/>
      <c r="L440" s="272"/>
      <c r="M440" s="272"/>
      <c r="N440" s="272"/>
      <c r="O440" s="272"/>
      <c r="P440" s="272"/>
      <c r="Q440" s="272"/>
      <c r="R440" s="272"/>
      <c r="S440" s="272"/>
      <c r="T440" s="272"/>
      <c r="U440" s="272"/>
      <c r="V440" s="272"/>
      <c r="W440" s="272"/>
      <c r="X440" s="270"/>
      <c r="Y440" s="270" t="str">
        <f t="shared" si="35"/>
        <v/>
      </c>
      <c r="Z440" s="272"/>
      <c r="AA440" s="272"/>
      <c r="AB440" s="288"/>
    </row>
    <row r="441" spans="1:28" ht="20.25" customHeight="1">
      <c r="A441" s="270">
        <v>440</v>
      </c>
      <c r="B441" s="276"/>
      <c r="C441" s="271"/>
      <c r="D441" s="270"/>
      <c r="E441" s="272"/>
      <c r="F441" s="272"/>
      <c r="G441" s="270"/>
      <c r="H441" s="340"/>
      <c r="I441" s="272" t="str">
        <f t="shared" si="34"/>
        <v/>
      </c>
      <c r="J441" s="272"/>
      <c r="K441" s="272"/>
      <c r="L441" s="272"/>
      <c r="M441" s="272"/>
      <c r="N441" s="272"/>
      <c r="O441" s="272"/>
      <c r="P441" s="272"/>
      <c r="Q441" s="272"/>
      <c r="R441" s="272"/>
      <c r="S441" s="272"/>
      <c r="T441" s="272"/>
      <c r="U441" s="272"/>
      <c r="V441" s="272"/>
      <c r="W441" s="272"/>
      <c r="X441" s="270"/>
      <c r="Y441" s="270" t="str">
        <f t="shared" si="35"/>
        <v/>
      </c>
      <c r="Z441" s="272"/>
      <c r="AA441" s="272"/>
      <c r="AB441" s="288"/>
    </row>
    <row r="442" spans="1:28" ht="20.25" customHeight="1">
      <c r="A442" s="270">
        <v>441</v>
      </c>
      <c r="B442" s="276"/>
      <c r="C442" s="271"/>
      <c r="D442" s="270"/>
      <c r="E442" s="272"/>
      <c r="F442" s="272"/>
      <c r="G442" s="270"/>
      <c r="H442" s="340"/>
      <c r="I442" s="272" t="str">
        <f t="shared" si="34"/>
        <v/>
      </c>
      <c r="J442" s="272"/>
      <c r="K442" s="272"/>
      <c r="L442" s="272"/>
      <c r="M442" s="272"/>
      <c r="N442" s="272"/>
      <c r="O442" s="272"/>
      <c r="P442" s="272"/>
      <c r="Q442" s="272"/>
      <c r="R442" s="272"/>
      <c r="S442" s="272"/>
      <c r="T442" s="272"/>
      <c r="U442" s="272"/>
      <c r="V442" s="272"/>
      <c r="W442" s="272"/>
      <c r="X442" s="270"/>
      <c r="Y442" s="270" t="str">
        <f t="shared" si="35"/>
        <v/>
      </c>
      <c r="Z442" s="272"/>
      <c r="AA442" s="272"/>
      <c r="AB442" s="288"/>
    </row>
    <row r="443" spans="1:28" ht="20.25" customHeight="1">
      <c r="A443" s="270">
        <v>442</v>
      </c>
      <c r="B443" s="276"/>
      <c r="C443" s="271"/>
      <c r="D443" s="270"/>
      <c r="E443" s="272"/>
      <c r="F443" s="272"/>
      <c r="G443" s="270"/>
      <c r="H443" s="340"/>
      <c r="I443" s="272" t="str">
        <f t="shared" si="34"/>
        <v/>
      </c>
      <c r="J443" s="272"/>
      <c r="K443" s="272"/>
      <c r="L443" s="272"/>
      <c r="M443" s="272"/>
      <c r="N443" s="272"/>
      <c r="O443" s="272"/>
      <c r="P443" s="272"/>
      <c r="Q443" s="272"/>
      <c r="R443" s="272"/>
      <c r="S443" s="272"/>
      <c r="T443" s="272"/>
      <c r="U443" s="272"/>
      <c r="V443" s="272"/>
      <c r="W443" s="272"/>
      <c r="X443" s="270"/>
      <c r="Y443" s="270" t="str">
        <f t="shared" si="35"/>
        <v/>
      </c>
      <c r="Z443" s="272"/>
      <c r="AA443" s="272"/>
      <c r="AB443" s="288"/>
    </row>
    <row r="444" spans="1:28" ht="20.25" customHeight="1">
      <c r="A444" s="270">
        <v>443</v>
      </c>
      <c r="B444" s="276"/>
      <c r="C444" s="271"/>
      <c r="D444" s="270"/>
      <c r="E444" s="272"/>
      <c r="F444" s="272"/>
      <c r="G444" s="270"/>
      <c r="H444" s="340"/>
      <c r="I444" s="272" t="str">
        <f t="shared" si="34"/>
        <v/>
      </c>
      <c r="J444" s="272"/>
      <c r="K444" s="272"/>
      <c r="L444" s="272"/>
      <c r="M444" s="272"/>
      <c r="N444" s="272"/>
      <c r="O444" s="272"/>
      <c r="P444" s="272"/>
      <c r="Q444" s="272"/>
      <c r="R444" s="272"/>
      <c r="S444" s="272"/>
      <c r="T444" s="272"/>
      <c r="U444" s="272"/>
      <c r="V444" s="272"/>
      <c r="W444" s="272"/>
      <c r="X444" s="270"/>
      <c r="Y444" s="270" t="str">
        <f t="shared" si="35"/>
        <v/>
      </c>
      <c r="Z444" s="272"/>
      <c r="AA444" s="272"/>
      <c r="AB444" s="288"/>
    </row>
    <row r="445" spans="1:28" ht="20.25" customHeight="1">
      <c r="A445" s="270">
        <v>444</v>
      </c>
      <c r="B445" s="276"/>
      <c r="C445" s="271"/>
      <c r="D445" s="270"/>
      <c r="E445" s="272"/>
      <c r="F445" s="272"/>
      <c r="G445" s="270"/>
      <c r="H445" s="340"/>
      <c r="I445" s="272" t="str">
        <f t="shared" si="34"/>
        <v/>
      </c>
      <c r="J445" s="272"/>
      <c r="K445" s="272"/>
      <c r="L445" s="272"/>
      <c r="M445" s="272"/>
      <c r="N445" s="272"/>
      <c r="O445" s="272"/>
      <c r="P445" s="272"/>
      <c r="Q445" s="272"/>
      <c r="R445" s="272"/>
      <c r="S445" s="272"/>
      <c r="T445" s="272"/>
      <c r="U445" s="272"/>
      <c r="V445" s="272"/>
      <c r="W445" s="272"/>
      <c r="X445" s="270"/>
      <c r="Y445" s="270" t="str">
        <f t="shared" si="35"/>
        <v/>
      </c>
      <c r="Z445" s="272"/>
      <c r="AA445" s="272"/>
      <c r="AB445" s="288"/>
    </row>
    <row r="446" spans="1:28" ht="20.25" customHeight="1">
      <c r="A446" s="270">
        <v>445</v>
      </c>
      <c r="B446" s="276"/>
      <c r="C446" s="271"/>
      <c r="D446" s="270"/>
      <c r="E446" s="272"/>
      <c r="F446" s="272"/>
      <c r="G446" s="270"/>
      <c r="H446" s="340"/>
      <c r="I446" s="272" t="str">
        <f t="shared" si="34"/>
        <v/>
      </c>
      <c r="J446" s="272"/>
      <c r="K446" s="272"/>
      <c r="L446" s="272"/>
      <c r="M446" s="272"/>
      <c r="N446" s="272"/>
      <c r="O446" s="272"/>
      <c r="P446" s="272"/>
      <c r="Q446" s="272"/>
      <c r="R446" s="272"/>
      <c r="S446" s="272"/>
      <c r="T446" s="272"/>
      <c r="U446" s="272"/>
      <c r="V446" s="272"/>
      <c r="W446" s="272"/>
      <c r="X446" s="270"/>
      <c r="Y446" s="270" t="str">
        <f t="shared" si="35"/>
        <v/>
      </c>
      <c r="Z446" s="272"/>
      <c r="AA446" s="272"/>
      <c r="AB446" s="288"/>
    </row>
    <row r="447" spans="1:28" ht="20.25" customHeight="1">
      <c r="A447" s="270">
        <v>446</v>
      </c>
      <c r="B447" s="276"/>
      <c r="C447" s="271"/>
      <c r="D447" s="270"/>
      <c r="E447" s="272"/>
      <c r="F447" s="272"/>
      <c r="G447" s="270"/>
      <c r="H447" s="340"/>
      <c r="I447" s="272" t="str">
        <f t="shared" si="34"/>
        <v/>
      </c>
      <c r="J447" s="272"/>
      <c r="K447" s="272"/>
      <c r="L447" s="272"/>
      <c r="M447" s="272"/>
      <c r="N447" s="272"/>
      <c r="O447" s="272"/>
      <c r="P447" s="272"/>
      <c r="Q447" s="272"/>
      <c r="R447" s="272"/>
      <c r="S447" s="272"/>
      <c r="T447" s="272"/>
      <c r="U447" s="272"/>
      <c r="V447" s="272"/>
      <c r="W447" s="272"/>
      <c r="X447" s="270"/>
      <c r="Y447" s="270" t="str">
        <f t="shared" si="35"/>
        <v/>
      </c>
      <c r="Z447" s="272"/>
      <c r="AA447" s="272"/>
      <c r="AB447" s="288"/>
    </row>
    <row r="448" spans="1:28" ht="20.25" customHeight="1">
      <c r="A448" s="270">
        <v>447</v>
      </c>
      <c r="B448" s="276"/>
      <c r="C448" s="271"/>
      <c r="D448" s="270"/>
      <c r="E448" s="272"/>
      <c r="F448" s="272"/>
      <c r="G448" s="270"/>
      <c r="H448" s="340"/>
      <c r="I448" s="272" t="str">
        <f t="shared" si="34"/>
        <v/>
      </c>
      <c r="J448" s="272"/>
      <c r="K448" s="272"/>
      <c r="L448" s="272"/>
      <c r="M448" s="272"/>
      <c r="N448" s="272"/>
      <c r="O448" s="272"/>
      <c r="P448" s="272"/>
      <c r="Q448" s="272"/>
      <c r="R448" s="272"/>
      <c r="S448" s="272"/>
      <c r="T448" s="272"/>
      <c r="U448" s="272"/>
      <c r="V448" s="272"/>
      <c r="W448" s="272"/>
      <c r="X448" s="270"/>
      <c r="Y448" s="270" t="str">
        <f t="shared" si="35"/>
        <v/>
      </c>
      <c r="Z448" s="272"/>
      <c r="AA448" s="272"/>
      <c r="AB448" s="288"/>
    </row>
    <row r="449" spans="1:28" ht="20.25" customHeight="1">
      <c r="A449" s="270">
        <v>448</v>
      </c>
      <c r="B449" s="276"/>
      <c r="C449" s="271"/>
      <c r="D449" s="270"/>
      <c r="E449" s="272"/>
      <c r="F449" s="272"/>
      <c r="G449" s="270"/>
      <c r="H449" s="340"/>
      <c r="I449" s="272" t="str">
        <f t="shared" si="34"/>
        <v/>
      </c>
      <c r="J449" s="272"/>
      <c r="K449" s="272"/>
      <c r="L449" s="272"/>
      <c r="M449" s="272"/>
      <c r="N449" s="272"/>
      <c r="O449" s="272"/>
      <c r="P449" s="272"/>
      <c r="Q449" s="272"/>
      <c r="R449" s="272"/>
      <c r="S449" s="272"/>
      <c r="T449" s="272"/>
      <c r="U449" s="272"/>
      <c r="V449" s="272"/>
      <c r="W449" s="272"/>
      <c r="X449" s="270"/>
      <c r="Y449" s="270" t="str">
        <f t="shared" si="35"/>
        <v/>
      </c>
      <c r="Z449" s="272"/>
      <c r="AA449" s="272"/>
      <c r="AB449" s="288"/>
    </row>
    <row r="450" spans="1:28" ht="20.25" customHeight="1">
      <c r="A450" s="270">
        <v>449</v>
      </c>
      <c r="B450" s="276"/>
      <c r="C450" s="271"/>
      <c r="D450" s="270"/>
      <c r="E450" s="272"/>
      <c r="F450" s="272"/>
      <c r="G450" s="270"/>
      <c r="H450" s="340"/>
      <c r="I450" s="272" t="str">
        <f t="shared" si="34"/>
        <v/>
      </c>
      <c r="J450" s="272"/>
      <c r="K450" s="272"/>
      <c r="L450" s="272"/>
      <c r="M450" s="272"/>
      <c r="N450" s="272"/>
      <c r="O450" s="272"/>
      <c r="P450" s="272"/>
      <c r="Q450" s="272"/>
      <c r="R450" s="272"/>
      <c r="S450" s="272"/>
      <c r="T450" s="272"/>
      <c r="U450" s="272"/>
      <c r="V450" s="272"/>
      <c r="W450" s="272"/>
      <c r="X450" s="270"/>
      <c r="Y450" s="270" t="str">
        <f t="shared" si="35"/>
        <v/>
      </c>
      <c r="Z450" s="272"/>
      <c r="AA450" s="272"/>
      <c r="AB450" s="288"/>
    </row>
    <row r="451" spans="1:28" ht="20.25" customHeight="1">
      <c r="A451" s="270">
        <v>450</v>
      </c>
      <c r="B451" s="276"/>
      <c r="C451" s="271"/>
      <c r="D451" s="270"/>
      <c r="E451" s="272"/>
      <c r="F451" s="272"/>
      <c r="G451" s="270"/>
      <c r="H451" s="340"/>
      <c r="I451" s="272" t="str">
        <f t="shared" si="34"/>
        <v/>
      </c>
      <c r="J451" s="272"/>
      <c r="K451" s="272"/>
      <c r="L451" s="272"/>
      <c r="M451" s="272"/>
      <c r="N451" s="272"/>
      <c r="O451" s="272"/>
      <c r="P451" s="272"/>
      <c r="Q451" s="272"/>
      <c r="R451" s="272"/>
      <c r="S451" s="272"/>
      <c r="T451" s="272"/>
      <c r="U451" s="272"/>
      <c r="V451" s="272"/>
      <c r="W451" s="272"/>
      <c r="X451" s="270"/>
      <c r="Y451" s="270" t="str">
        <f t="shared" si="35"/>
        <v/>
      </c>
      <c r="Z451" s="272"/>
      <c r="AA451" s="272"/>
      <c r="AB451" s="288"/>
    </row>
    <row r="452" spans="1:28" ht="20.25" customHeight="1">
      <c r="A452" s="270">
        <v>451</v>
      </c>
      <c r="B452" s="276"/>
      <c r="C452" s="271"/>
      <c r="D452" s="270"/>
      <c r="E452" s="272"/>
      <c r="F452" s="272"/>
      <c r="G452" s="270"/>
      <c r="H452" s="340"/>
      <c r="I452" s="272" t="str">
        <f t="shared" si="34"/>
        <v/>
      </c>
      <c r="J452" s="272"/>
      <c r="K452" s="272"/>
      <c r="L452" s="272"/>
      <c r="M452" s="272"/>
      <c r="N452" s="272"/>
      <c r="O452" s="272"/>
      <c r="P452" s="272"/>
      <c r="Q452" s="272"/>
      <c r="R452" s="272"/>
      <c r="S452" s="272"/>
      <c r="T452" s="272"/>
      <c r="U452" s="272"/>
      <c r="V452" s="272"/>
      <c r="W452" s="272"/>
      <c r="X452" s="270"/>
      <c r="Y452" s="270" t="str">
        <f t="shared" si="35"/>
        <v/>
      </c>
      <c r="Z452" s="272"/>
      <c r="AA452" s="272"/>
      <c r="AB452" s="288"/>
    </row>
    <row r="453" spans="1:28" ht="20.25" customHeight="1">
      <c r="A453" s="270">
        <v>452</v>
      </c>
      <c r="B453" s="276"/>
      <c r="C453" s="271"/>
      <c r="D453" s="270"/>
      <c r="E453" s="272"/>
      <c r="F453" s="272"/>
      <c r="G453" s="270"/>
      <c r="H453" s="340"/>
      <c r="I453" s="272" t="str">
        <f t="shared" ref="I453:I502" si="36">IF(ISBLANK(H453), "", TEXT(H453, "mmm-yy"))</f>
        <v/>
      </c>
      <c r="J453" s="272"/>
      <c r="K453" s="272"/>
      <c r="L453" s="272"/>
      <c r="M453" s="272"/>
      <c r="N453" s="272"/>
      <c r="O453" s="272"/>
      <c r="P453" s="272"/>
      <c r="Q453" s="272"/>
      <c r="R453" s="272"/>
      <c r="S453" s="272"/>
      <c r="T453" s="272"/>
      <c r="U453" s="272"/>
      <c r="V453" s="272"/>
      <c r="W453" s="272"/>
      <c r="X453" s="270"/>
      <c r="Y453" s="270" t="str">
        <f t="shared" si="35"/>
        <v/>
      </c>
      <c r="Z453" s="272"/>
      <c r="AA453" s="272"/>
      <c r="AB453" s="288"/>
    </row>
    <row r="454" spans="1:28" ht="20.25" customHeight="1">
      <c r="A454" s="270">
        <v>453</v>
      </c>
      <c r="B454" s="276"/>
      <c r="C454" s="271"/>
      <c r="D454" s="270"/>
      <c r="E454" s="272"/>
      <c r="F454" s="272"/>
      <c r="G454" s="270"/>
      <c r="H454" s="340"/>
      <c r="I454" s="272" t="str">
        <f t="shared" si="36"/>
        <v/>
      </c>
      <c r="J454" s="272"/>
      <c r="K454" s="272"/>
      <c r="L454" s="272"/>
      <c r="M454" s="272"/>
      <c r="N454" s="272"/>
      <c r="O454" s="272"/>
      <c r="P454" s="272"/>
      <c r="Q454" s="272"/>
      <c r="R454" s="272"/>
      <c r="S454" s="272"/>
      <c r="T454" s="272"/>
      <c r="U454" s="272"/>
      <c r="V454" s="272"/>
      <c r="W454" s="272"/>
      <c r="X454" s="270"/>
      <c r="Y454" s="270" t="str">
        <f t="shared" ref="Y454:Y502" si="37">IF(COUNTA(J454:T454)=0, "", SUM(J454:T454))</f>
        <v/>
      </c>
      <c r="Z454" s="272"/>
      <c r="AA454" s="272"/>
      <c r="AB454" s="288"/>
    </row>
    <row r="455" spans="1:28" ht="20.25" customHeight="1">
      <c r="A455" s="270">
        <v>454</v>
      </c>
      <c r="B455" s="276"/>
      <c r="C455" s="271"/>
      <c r="D455" s="270"/>
      <c r="E455" s="272"/>
      <c r="F455" s="272"/>
      <c r="G455" s="270"/>
      <c r="H455" s="340"/>
      <c r="I455" s="272" t="str">
        <f t="shared" si="36"/>
        <v/>
      </c>
      <c r="J455" s="272"/>
      <c r="K455" s="272"/>
      <c r="L455" s="272"/>
      <c r="M455" s="272"/>
      <c r="N455" s="272"/>
      <c r="O455" s="272"/>
      <c r="P455" s="272"/>
      <c r="Q455" s="272"/>
      <c r="R455" s="272"/>
      <c r="S455" s="272"/>
      <c r="T455" s="272"/>
      <c r="U455" s="272"/>
      <c r="V455" s="272"/>
      <c r="W455" s="272"/>
      <c r="X455" s="270"/>
      <c r="Y455" s="270" t="str">
        <f t="shared" si="37"/>
        <v/>
      </c>
      <c r="Z455" s="272"/>
      <c r="AA455" s="272"/>
      <c r="AB455" s="288"/>
    </row>
    <row r="456" spans="1:28" ht="20.25" customHeight="1">
      <c r="A456" s="270">
        <v>455</v>
      </c>
      <c r="B456" s="276"/>
      <c r="C456" s="271"/>
      <c r="D456" s="270"/>
      <c r="E456" s="272"/>
      <c r="F456" s="272"/>
      <c r="G456" s="270"/>
      <c r="H456" s="340"/>
      <c r="I456" s="272" t="str">
        <f t="shared" si="36"/>
        <v/>
      </c>
      <c r="J456" s="272"/>
      <c r="K456" s="272"/>
      <c r="L456" s="272"/>
      <c r="M456" s="272"/>
      <c r="N456" s="272"/>
      <c r="O456" s="272"/>
      <c r="P456" s="272"/>
      <c r="Q456" s="272"/>
      <c r="R456" s="272"/>
      <c r="S456" s="272"/>
      <c r="T456" s="272"/>
      <c r="U456" s="272"/>
      <c r="V456" s="272"/>
      <c r="W456" s="272"/>
      <c r="X456" s="270"/>
      <c r="Y456" s="270" t="str">
        <f t="shared" si="37"/>
        <v/>
      </c>
      <c r="Z456" s="272"/>
      <c r="AA456" s="272"/>
      <c r="AB456" s="288"/>
    </row>
    <row r="457" spans="1:28" ht="20.25" customHeight="1">
      <c r="A457" s="270">
        <v>456</v>
      </c>
      <c r="B457" s="276"/>
      <c r="C457" s="271"/>
      <c r="D457" s="270"/>
      <c r="E457" s="272"/>
      <c r="F457" s="272"/>
      <c r="G457" s="270"/>
      <c r="H457" s="340"/>
      <c r="I457" s="272" t="str">
        <f t="shared" si="36"/>
        <v/>
      </c>
      <c r="J457" s="272"/>
      <c r="K457" s="272"/>
      <c r="L457" s="272"/>
      <c r="M457" s="272"/>
      <c r="N457" s="272"/>
      <c r="O457" s="272"/>
      <c r="P457" s="272"/>
      <c r="Q457" s="272"/>
      <c r="R457" s="272"/>
      <c r="S457" s="272"/>
      <c r="T457" s="272"/>
      <c r="U457" s="272"/>
      <c r="V457" s="272"/>
      <c r="W457" s="272"/>
      <c r="X457" s="270"/>
      <c r="Y457" s="270" t="str">
        <f t="shared" si="37"/>
        <v/>
      </c>
      <c r="Z457" s="272"/>
      <c r="AA457" s="272"/>
      <c r="AB457" s="288"/>
    </row>
    <row r="458" spans="1:28" ht="20.25" customHeight="1">
      <c r="A458" s="270">
        <v>457</v>
      </c>
      <c r="B458" s="276"/>
      <c r="C458" s="271"/>
      <c r="D458" s="270"/>
      <c r="E458" s="272"/>
      <c r="F458" s="272"/>
      <c r="G458" s="270"/>
      <c r="H458" s="340"/>
      <c r="I458" s="272" t="str">
        <f t="shared" si="36"/>
        <v/>
      </c>
      <c r="J458" s="272"/>
      <c r="K458" s="272"/>
      <c r="L458" s="272"/>
      <c r="M458" s="272"/>
      <c r="N458" s="272"/>
      <c r="O458" s="272"/>
      <c r="P458" s="272"/>
      <c r="Q458" s="272"/>
      <c r="R458" s="272"/>
      <c r="S458" s="272"/>
      <c r="T458" s="272"/>
      <c r="U458" s="272"/>
      <c r="V458" s="272"/>
      <c r="W458" s="272"/>
      <c r="X458" s="270"/>
      <c r="Y458" s="270" t="str">
        <f t="shared" si="37"/>
        <v/>
      </c>
      <c r="Z458" s="272"/>
      <c r="AA458" s="272"/>
      <c r="AB458" s="288"/>
    </row>
    <row r="459" spans="1:28" ht="20.25" customHeight="1">
      <c r="A459" s="270">
        <v>458</v>
      </c>
      <c r="B459" s="276"/>
      <c r="C459" s="271"/>
      <c r="D459" s="270"/>
      <c r="E459" s="272"/>
      <c r="F459" s="272"/>
      <c r="G459" s="270"/>
      <c r="H459" s="340"/>
      <c r="I459" s="272" t="str">
        <f t="shared" si="36"/>
        <v/>
      </c>
      <c r="J459" s="272"/>
      <c r="K459" s="272"/>
      <c r="L459" s="272"/>
      <c r="M459" s="272"/>
      <c r="N459" s="272"/>
      <c r="O459" s="272"/>
      <c r="P459" s="272"/>
      <c r="Q459" s="272"/>
      <c r="R459" s="272"/>
      <c r="S459" s="272"/>
      <c r="T459" s="272"/>
      <c r="U459" s="272"/>
      <c r="V459" s="272"/>
      <c r="W459" s="272"/>
      <c r="X459" s="270"/>
      <c r="Y459" s="270" t="str">
        <f t="shared" si="37"/>
        <v/>
      </c>
      <c r="Z459" s="272"/>
      <c r="AA459" s="272"/>
      <c r="AB459" s="288"/>
    </row>
    <row r="460" spans="1:28" ht="20.25" customHeight="1">
      <c r="A460" s="270">
        <v>459</v>
      </c>
      <c r="B460" s="276"/>
      <c r="C460" s="271"/>
      <c r="D460" s="270"/>
      <c r="E460" s="272"/>
      <c r="F460" s="272"/>
      <c r="G460" s="270"/>
      <c r="H460" s="340"/>
      <c r="I460" s="272" t="str">
        <f t="shared" si="36"/>
        <v/>
      </c>
      <c r="J460" s="272"/>
      <c r="K460" s="272"/>
      <c r="L460" s="272"/>
      <c r="M460" s="272"/>
      <c r="N460" s="272"/>
      <c r="O460" s="272"/>
      <c r="P460" s="272"/>
      <c r="Q460" s="272"/>
      <c r="R460" s="272"/>
      <c r="S460" s="272"/>
      <c r="T460" s="272"/>
      <c r="U460" s="272"/>
      <c r="V460" s="272"/>
      <c r="W460" s="272"/>
      <c r="X460" s="270"/>
      <c r="Y460" s="270" t="str">
        <f t="shared" si="37"/>
        <v/>
      </c>
      <c r="Z460" s="272"/>
      <c r="AA460" s="272"/>
      <c r="AB460" s="288"/>
    </row>
    <row r="461" spans="1:28" ht="20.25" customHeight="1">
      <c r="A461" s="270">
        <v>460</v>
      </c>
      <c r="B461" s="276"/>
      <c r="C461" s="271"/>
      <c r="D461" s="270"/>
      <c r="E461" s="272"/>
      <c r="F461" s="272"/>
      <c r="G461" s="270"/>
      <c r="H461" s="340"/>
      <c r="I461" s="272" t="str">
        <f t="shared" si="36"/>
        <v/>
      </c>
      <c r="J461" s="272"/>
      <c r="K461" s="272"/>
      <c r="L461" s="272"/>
      <c r="M461" s="272"/>
      <c r="N461" s="272"/>
      <c r="O461" s="272"/>
      <c r="P461" s="272"/>
      <c r="Q461" s="272"/>
      <c r="R461" s="272"/>
      <c r="S461" s="272"/>
      <c r="T461" s="272"/>
      <c r="U461" s="272"/>
      <c r="V461" s="272"/>
      <c r="W461" s="272"/>
      <c r="X461" s="270"/>
      <c r="Y461" s="270" t="str">
        <f t="shared" si="37"/>
        <v/>
      </c>
      <c r="Z461" s="272"/>
      <c r="AA461" s="272"/>
      <c r="AB461" s="288"/>
    </row>
    <row r="462" spans="1:28" ht="20.25" customHeight="1">
      <c r="A462" s="270">
        <v>461</v>
      </c>
      <c r="B462" s="276"/>
      <c r="C462" s="271"/>
      <c r="D462" s="270"/>
      <c r="E462" s="272"/>
      <c r="F462" s="272"/>
      <c r="G462" s="270"/>
      <c r="H462" s="340"/>
      <c r="I462" s="272" t="str">
        <f t="shared" si="36"/>
        <v/>
      </c>
      <c r="J462" s="272"/>
      <c r="K462" s="272"/>
      <c r="L462" s="272"/>
      <c r="M462" s="272"/>
      <c r="N462" s="272"/>
      <c r="O462" s="272"/>
      <c r="P462" s="272"/>
      <c r="Q462" s="272"/>
      <c r="R462" s="272"/>
      <c r="S462" s="272"/>
      <c r="T462" s="272"/>
      <c r="U462" s="272"/>
      <c r="V462" s="272"/>
      <c r="W462" s="272"/>
      <c r="X462" s="270"/>
      <c r="Y462" s="270" t="str">
        <f t="shared" si="37"/>
        <v/>
      </c>
      <c r="Z462" s="272"/>
      <c r="AA462" s="272"/>
      <c r="AB462" s="288"/>
    </row>
    <row r="463" spans="1:28" ht="20.25" customHeight="1">
      <c r="A463" s="270">
        <v>462</v>
      </c>
      <c r="B463" s="276"/>
      <c r="C463" s="271"/>
      <c r="D463" s="270"/>
      <c r="E463" s="272"/>
      <c r="F463" s="272"/>
      <c r="G463" s="270"/>
      <c r="H463" s="340"/>
      <c r="I463" s="272" t="str">
        <f t="shared" si="36"/>
        <v/>
      </c>
      <c r="J463" s="272"/>
      <c r="K463" s="272"/>
      <c r="L463" s="272"/>
      <c r="M463" s="272"/>
      <c r="N463" s="272"/>
      <c r="O463" s="272"/>
      <c r="P463" s="272"/>
      <c r="Q463" s="272"/>
      <c r="R463" s="272"/>
      <c r="S463" s="272"/>
      <c r="T463" s="272"/>
      <c r="U463" s="272"/>
      <c r="V463" s="272"/>
      <c r="W463" s="272"/>
      <c r="X463" s="270"/>
      <c r="Y463" s="270" t="str">
        <f t="shared" si="37"/>
        <v/>
      </c>
      <c r="Z463" s="272"/>
      <c r="AA463" s="272"/>
      <c r="AB463" s="288"/>
    </row>
    <row r="464" spans="1:28" ht="20.25" customHeight="1">
      <c r="A464" s="270">
        <v>463</v>
      </c>
      <c r="B464" s="276"/>
      <c r="C464" s="271"/>
      <c r="D464" s="270"/>
      <c r="E464" s="272"/>
      <c r="F464" s="272"/>
      <c r="G464" s="270"/>
      <c r="H464" s="340"/>
      <c r="I464" s="272" t="str">
        <f t="shared" si="36"/>
        <v/>
      </c>
      <c r="J464" s="272"/>
      <c r="K464" s="272"/>
      <c r="L464" s="272"/>
      <c r="M464" s="272"/>
      <c r="N464" s="272"/>
      <c r="O464" s="272"/>
      <c r="P464" s="272"/>
      <c r="Q464" s="272"/>
      <c r="R464" s="272"/>
      <c r="S464" s="272"/>
      <c r="T464" s="272"/>
      <c r="U464" s="272"/>
      <c r="V464" s="272"/>
      <c r="W464" s="272"/>
      <c r="X464" s="270"/>
      <c r="Y464" s="270" t="str">
        <f t="shared" si="37"/>
        <v/>
      </c>
      <c r="Z464" s="272"/>
      <c r="AA464" s="272"/>
      <c r="AB464" s="288"/>
    </row>
    <row r="465" spans="1:28" ht="20.25" customHeight="1">
      <c r="A465" s="270">
        <v>464</v>
      </c>
      <c r="B465" s="276"/>
      <c r="C465" s="271"/>
      <c r="D465" s="270"/>
      <c r="E465" s="272"/>
      <c r="F465" s="272"/>
      <c r="G465" s="270"/>
      <c r="H465" s="340"/>
      <c r="I465" s="272" t="str">
        <f t="shared" si="36"/>
        <v/>
      </c>
      <c r="J465" s="272"/>
      <c r="K465" s="272"/>
      <c r="L465" s="272"/>
      <c r="M465" s="272"/>
      <c r="N465" s="272"/>
      <c r="O465" s="272"/>
      <c r="P465" s="272"/>
      <c r="Q465" s="272"/>
      <c r="R465" s="272"/>
      <c r="S465" s="272"/>
      <c r="T465" s="272"/>
      <c r="U465" s="272"/>
      <c r="V465" s="272"/>
      <c r="W465" s="272"/>
      <c r="X465" s="270"/>
      <c r="Y465" s="270" t="str">
        <f t="shared" si="37"/>
        <v/>
      </c>
      <c r="Z465" s="272"/>
      <c r="AA465" s="272"/>
      <c r="AB465" s="288"/>
    </row>
    <row r="466" spans="1:28" ht="20.25" customHeight="1">
      <c r="A466" s="270">
        <v>465</v>
      </c>
      <c r="B466" s="276"/>
      <c r="C466" s="271"/>
      <c r="D466" s="270"/>
      <c r="E466" s="272"/>
      <c r="F466" s="272"/>
      <c r="G466" s="270"/>
      <c r="H466" s="340"/>
      <c r="I466" s="272" t="str">
        <f t="shared" si="36"/>
        <v/>
      </c>
      <c r="J466" s="272"/>
      <c r="K466" s="272"/>
      <c r="L466" s="272"/>
      <c r="M466" s="272"/>
      <c r="N466" s="272"/>
      <c r="O466" s="272"/>
      <c r="P466" s="272"/>
      <c r="Q466" s="272"/>
      <c r="R466" s="272"/>
      <c r="S466" s="272"/>
      <c r="T466" s="272"/>
      <c r="U466" s="272"/>
      <c r="V466" s="272"/>
      <c r="W466" s="272"/>
      <c r="X466" s="270"/>
      <c r="Y466" s="270" t="str">
        <f t="shared" si="37"/>
        <v/>
      </c>
      <c r="Z466" s="272"/>
      <c r="AA466" s="272"/>
      <c r="AB466" s="288"/>
    </row>
    <row r="467" spans="1:28" ht="20.25" customHeight="1">
      <c r="A467" s="270">
        <v>466</v>
      </c>
      <c r="B467" s="276"/>
      <c r="C467" s="271"/>
      <c r="D467" s="270"/>
      <c r="E467" s="272"/>
      <c r="F467" s="272"/>
      <c r="G467" s="270"/>
      <c r="H467" s="340"/>
      <c r="I467" s="272" t="str">
        <f t="shared" si="36"/>
        <v/>
      </c>
      <c r="J467" s="272"/>
      <c r="K467" s="272"/>
      <c r="L467" s="272"/>
      <c r="M467" s="272"/>
      <c r="N467" s="272"/>
      <c r="O467" s="272"/>
      <c r="P467" s="272"/>
      <c r="Q467" s="272"/>
      <c r="R467" s="272"/>
      <c r="S467" s="272"/>
      <c r="T467" s="272"/>
      <c r="U467" s="272"/>
      <c r="V467" s="272"/>
      <c r="W467" s="272"/>
      <c r="X467" s="270"/>
      <c r="Y467" s="270" t="str">
        <f t="shared" si="37"/>
        <v/>
      </c>
      <c r="Z467" s="272"/>
      <c r="AA467" s="272"/>
      <c r="AB467" s="288"/>
    </row>
    <row r="468" spans="1:28" ht="20.25" customHeight="1">
      <c r="A468" s="270">
        <v>467</v>
      </c>
      <c r="B468" s="276"/>
      <c r="C468" s="271"/>
      <c r="D468" s="270"/>
      <c r="E468" s="272"/>
      <c r="F468" s="272"/>
      <c r="G468" s="270"/>
      <c r="H468" s="340"/>
      <c r="I468" s="272" t="str">
        <f t="shared" si="36"/>
        <v/>
      </c>
      <c r="J468" s="272"/>
      <c r="K468" s="272"/>
      <c r="L468" s="272"/>
      <c r="M468" s="272"/>
      <c r="N468" s="272"/>
      <c r="O468" s="272"/>
      <c r="P468" s="272"/>
      <c r="Q468" s="272"/>
      <c r="R468" s="272"/>
      <c r="S468" s="272"/>
      <c r="T468" s="272"/>
      <c r="U468" s="272"/>
      <c r="V468" s="272"/>
      <c r="W468" s="272"/>
      <c r="X468" s="270"/>
      <c r="Y468" s="270" t="str">
        <f t="shared" si="37"/>
        <v/>
      </c>
      <c r="Z468" s="272"/>
      <c r="AA468" s="272"/>
      <c r="AB468" s="288"/>
    </row>
    <row r="469" spans="1:28" ht="20.25" customHeight="1">
      <c r="A469" s="270">
        <v>468</v>
      </c>
      <c r="B469" s="276"/>
      <c r="C469" s="271"/>
      <c r="D469" s="270"/>
      <c r="E469" s="272"/>
      <c r="F469" s="272"/>
      <c r="G469" s="270"/>
      <c r="H469" s="340"/>
      <c r="I469" s="272" t="str">
        <f t="shared" si="36"/>
        <v/>
      </c>
      <c r="J469" s="272"/>
      <c r="K469" s="272"/>
      <c r="L469" s="272"/>
      <c r="M469" s="272"/>
      <c r="N469" s="272"/>
      <c r="O469" s="272"/>
      <c r="P469" s="272"/>
      <c r="Q469" s="272"/>
      <c r="R469" s="272"/>
      <c r="S469" s="272"/>
      <c r="T469" s="272"/>
      <c r="U469" s="272"/>
      <c r="V469" s="272"/>
      <c r="W469" s="272"/>
      <c r="X469" s="270"/>
      <c r="Y469" s="270" t="str">
        <f t="shared" si="37"/>
        <v/>
      </c>
      <c r="Z469" s="272"/>
      <c r="AA469" s="272"/>
      <c r="AB469" s="288"/>
    </row>
    <row r="470" spans="1:28" ht="20.25" customHeight="1">
      <c r="A470" s="270">
        <v>469</v>
      </c>
      <c r="B470" s="276"/>
      <c r="C470" s="271"/>
      <c r="D470" s="270"/>
      <c r="E470" s="272"/>
      <c r="F470" s="272"/>
      <c r="G470" s="270"/>
      <c r="H470" s="340"/>
      <c r="I470" s="272" t="str">
        <f t="shared" si="36"/>
        <v/>
      </c>
      <c r="J470" s="272"/>
      <c r="K470" s="272"/>
      <c r="L470" s="272"/>
      <c r="M470" s="272"/>
      <c r="N470" s="272"/>
      <c r="O470" s="272"/>
      <c r="P470" s="272"/>
      <c r="Q470" s="272"/>
      <c r="R470" s="272"/>
      <c r="S470" s="272"/>
      <c r="T470" s="272"/>
      <c r="U470" s="272"/>
      <c r="V470" s="272"/>
      <c r="W470" s="272"/>
      <c r="X470" s="270"/>
      <c r="Y470" s="270" t="str">
        <f t="shared" si="37"/>
        <v/>
      </c>
      <c r="Z470" s="272"/>
      <c r="AA470" s="272"/>
      <c r="AB470" s="288"/>
    </row>
    <row r="471" spans="1:28" ht="20.25" customHeight="1">
      <c r="A471" s="270">
        <v>470</v>
      </c>
      <c r="B471" s="276"/>
      <c r="C471" s="271"/>
      <c r="D471" s="270"/>
      <c r="E471" s="272"/>
      <c r="F471" s="272"/>
      <c r="G471" s="270"/>
      <c r="H471" s="340"/>
      <c r="I471" s="272" t="str">
        <f t="shared" si="36"/>
        <v/>
      </c>
      <c r="J471" s="272"/>
      <c r="K471" s="272"/>
      <c r="L471" s="272"/>
      <c r="M471" s="272"/>
      <c r="N471" s="272"/>
      <c r="O471" s="272"/>
      <c r="P471" s="272"/>
      <c r="Q471" s="272"/>
      <c r="R471" s="272"/>
      <c r="S471" s="272"/>
      <c r="T471" s="272"/>
      <c r="U471" s="272"/>
      <c r="V471" s="272"/>
      <c r="W471" s="272"/>
      <c r="X471" s="270"/>
      <c r="Y471" s="270" t="str">
        <f t="shared" si="37"/>
        <v/>
      </c>
      <c r="Z471" s="272"/>
      <c r="AA471" s="272"/>
      <c r="AB471" s="288"/>
    </row>
    <row r="472" spans="1:28" ht="20.25" customHeight="1">
      <c r="A472" s="270">
        <v>471</v>
      </c>
      <c r="B472" s="276"/>
      <c r="C472" s="271"/>
      <c r="D472" s="270"/>
      <c r="E472" s="272"/>
      <c r="F472" s="272"/>
      <c r="G472" s="270"/>
      <c r="H472" s="340"/>
      <c r="I472" s="272" t="str">
        <f t="shared" si="36"/>
        <v/>
      </c>
      <c r="J472" s="272"/>
      <c r="K472" s="272"/>
      <c r="L472" s="272"/>
      <c r="M472" s="272"/>
      <c r="N472" s="272"/>
      <c r="O472" s="272"/>
      <c r="P472" s="272"/>
      <c r="Q472" s="272"/>
      <c r="R472" s="272"/>
      <c r="S472" s="272"/>
      <c r="T472" s="272"/>
      <c r="U472" s="272"/>
      <c r="V472" s="272"/>
      <c r="W472" s="272"/>
      <c r="X472" s="270"/>
      <c r="Y472" s="270" t="str">
        <f t="shared" si="37"/>
        <v/>
      </c>
      <c r="Z472" s="272"/>
      <c r="AA472" s="272"/>
      <c r="AB472" s="288"/>
    </row>
    <row r="473" spans="1:28" ht="20.25" customHeight="1">
      <c r="A473" s="270">
        <v>472</v>
      </c>
      <c r="B473" s="276"/>
      <c r="C473" s="271"/>
      <c r="D473" s="270"/>
      <c r="E473" s="272"/>
      <c r="F473" s="272"/>
      <c r="G473" s="270"/>
      <c r="H473" s="340"/>
      <c r="I473" s="272" t="str">
        <f t="shared" si="36"/>
        <v/>
      </c>
      <c r="J473" s="272"/>
      <c r="K473" s="272"/>
      <c r="L473" s="272"/>
      <c r="M473" s="272"/>
      <c r="N473" s="272"/>
      <c r="O473" s="272"/>
      <c r="P473" s="272"/>
      <c r="Q473" s="272"/>
      <c r="R473" s="272"/>
      <c r="S473" s="272"/>
      <c r="T473" s="272"/>
      <c r="U473" s="272"/>
      <c r="V473" s="272"/>
      <c r="W473" s="272"/>
      <c r="X473" s="270"/>
      <c r="Y473" s="270" t="str">
        <f t="shared" si="37"/>
        <v/>
      </c>
      <c r="Z473" s="272"/>
      <c r="AA473" s="272"/>
      <c r="AB473" s="288"/>
    </row>
    <row r="474" spans="1:28" ht="20.25" customHeight="1">
      <c r="A474" s="270">
        <v>473</v>
      </c>
      <c r="B474" s="276"/>
      <c r="C474" s="271"/>
      <c r="D474" s="270"/>
      <c r="E474" s="272"/>
      <c r="F474" s="272"/>
      <c r="G474" s="270"/>
      <c r="H474" s="340"/>
      <c r="I474" s="272" t="str">
        <f t="shared" si="36"/>
        <v/>
      </c>
      <c r="J474" s="272"/>
      <c r="K474" s="272"/>
      <c r="L474" s="272"/>
      <c r="M474" s="272"/>
      <c r="N474" s="272"/>
      <c r="O474" s="272"/>
      <c r="P474" s="272"/>
      <c r="Q474" s="272"/>
      <c r="R474" s="272"/>
      <c r="S474" s="272"/>
      <c r="T474" s="272"/>
      <c r="U474" s="272"/>
      <c r="V474" s="272"/>
      <c r="W474" s="272"/>
      <c r="X474" s="270"/>
      <c r="Y474" s="270" t="str">
        <f t="shared" si="37"/>
        <v/>
      </c>
      <c r="Z474" s="272"/>
      <c r="AA474" s="272"/>
      <c r="AB474" s="288"/>
    </row>
    <row r="475" spans="1:28" ht="20.25" customHeight="1">
      <c r="A475" s="270">
        <v>474</v>
      </c>
      <c r="B475" s="276"/>
      <c r="C475" s="271"/>
      <c r="D475" s="270"/>
      <c r="E475" s="272"/>
      <c r="F475" s="272"/>
      <c r="G475" s="270"/>
      <c r="H475" s="340"/>
      <c r="I475" s="272" t="str">
        <f t="shared" si="36"/>
        <v/>
      </c>
      <c r="J475" s="272"/>
      <c r="K475" s="272"/>
      <c r="L475" s="272"/>
      <c r="M475" s="272"/>
      <c r="N475" s="272"/>
      <c r="O475" s="272"/>
      <c r="P475" s="272"/>
      <c r="Q475" s="272"/>
      <c r="R475" s="272"/>
      <c r="S475" s="272"/>
      <c r="T475" s="272"/>
      <c r="U475" s="272"/>
      <c r="V475" s="272"/>
      <c r="W475" s="272"/>
      <c r="X475" s="270"/>
      <c r="Y475" s="270" t="str">
        <f t="shared" si="37"/>
        <v/>
      </c>
      <c r="Z475" s="272"/>
      <c r="AA475" s="272"/>
      <c r="AB475" s="288"/>
    </row>
    <row r="476" spans="1:28" ht="20.25" customHeight="1">
      <c r="A476" s="270">
        <v>475</v>
      </c>
      <c r="B476" s="276"/>
      <c r="C476" s="271"/>
      <c r="D476" s="270"/>
      <c r="E476" s="272"/>
      <c r="F476" s="272"/>
      <c r="G476" s="270"/>
      <c r="H476" s="340"/>
      <c r="I476" s="272" t="str">
        <f t="shared" si="36"/>
        <v/>
      </c>
      <c r="J476" s="272"/>
      <c r="K476" s="272"/>
      <c r="L476" s="272"/>
      <c r="M476" s="272"/>
      <c r="N476" s="272"/>
      <c r="O476" s="272"/>
      <c r="P476" s="272"/>
      <c r="Q476" s="272"/>
      <c r="R476" s="272"/>
      <c r="S476" s="272"/>
      <c r="T476" s="272"/>
      <c r="U476" s="272"/>
      <c r="V476" s="272"/>
      <c r="W476" s="272"/>
      <c r="X476" s="270"/>
      <c r="Y476" s="270" t="str">
        <f t="shared" si="37"/>
        <v/>
      </c>
      <c r="Z476" s="272"/>
      <c r="AA476" s="272"/>
      <c r="AB476" s="288"/>
    </row>
    <row r="477" spans="1:28" ht="20.25" customHeight="1">
      <c r="A477" s="270">
        <v>476</v>
      </c>
      <c r="B477" s="276"/>
      <c r="C477" s="271"/>
      <c r="D477" s="270"/>
      <c r="E477" s="272"/>
      <c r="F477" s="272"/>
      <c r="G477" s="270"/>
      <c r="H477" s="340"/>
      <c r="I477" s="272" t="str">
        <f t="shared" si="36"/>
        <v/>
      </c>
      <c r="J477" s="272"/>
      <c r="K477" s="272"/>
      <c r="L477" s="272"/>
      <c r="M477" s="272"/>
      <c r="N477" s="272"/>
      <c r="O477" s="272"/>
      <c r="P477" s="272"/>
      <c r="Q477" s="272"/>
      <c r="R477" s="272"/>
      <c r="S477" s="272"/>
      <c r="T477" s="272"/>
      <c r="U477" s="272"/>
      <c r="V477" s="272"/>
      <c r="W477" s="272"/>
      <c r="X477" s="270"/>
      <c r="Y477" s="270" t="str">
        <f t="shared" si="37"/>
        <v/>
      </c>
      <c r="Z477" s="272"/>
      <c r="AA477" s="272"/>
      <c r="AB477" s="288"/>
    </row>
    <row r="478" spans="1:28" ht="20.25" customHeight="1">
      <c r="A478" s="270">
        <v>477</v>
      </c>
      <c r="B478" s="276"/>
      <c r="C478" s="271"/>
      <c r="D478" s="270"/>
      <c r="E478" s="272"/>
      <c r="F478" s="272"/>
      <c r="G478" s="270"/>
      <c r="H478" s="340"/>
      <c r="I478" s="272" t="str">
        <f t="shared" si="36"/>
        <v/>
      </c>
      <c r="J478" s="272"/>
      <c r="K478" s="272"/>
      <c r="L478" s="272"/>
      <c r="M478" s="272"/>
      <c r="N478" s="272"/>
      <c r="O478" s="272"/>
      <c r="P478" s="272"/>
      <c r="Q478" s="272"/>
      <c r="R478" s="272"/>
      <c r="S478" s="272"/>
      <c r="T478" s="272"/>
      <c r="U478" s="272"/>
      <c r="V478" s="272"/>
      <c r="W478" s="272"/>
      <c r="X478" s="270"/>
      <c r="Y478" s="270" t="str">
        <f t="shared" si="37"/>
        <v/>
      </c>
      <c r="Z478" s="272"/>
      <c r="AA478" s="272"/>
      <c r="AB478" s="288"/>
    </row>
    <row r="479" spans="1:28" ht="20.25" customHeight="1">
      <c r="A479" s="270">
        <v>478</v>
      </c>
      <c r="B479" s="276"/>
      <c r="C479" s="271"/>
      <c r="D479" s="270"/>
      <c r="E479" s="272"/>
      <c r="F479" s="272"/>
      <c r="G479" s="270"/>
      <c r="H479" s="340"/>
      <c r="I479" s="272" t="str">
        <f t="shared" si="36"/>
        <v/>
      </c>
      <c r="J479" s="272"/>
      <c r="K479" s="272"/>
      <c r="L479" s="272"/>
      <c r="M479" s="272"/>
      <c r="N479" s="272"/>
      <c r="O479" s="272"/>
      <c r="P479" s="272"/>
      <c r="Q479" s="272"/>
      <c r="R479" s="272"/>
      <c r="S479" s="272"/>
      <c r="T479" s="272"/>
      <c r="U479" s="272"/>
      <c r="V479" s="272"/>
      <c r="W479" s="272"/>
      <c r="X479" s="270"/>
      <c r="Y479" s="270" t="str">
        <f t="shared" si="37"/>
        <v/>
      </c>
      <c r="Z479" s="272"/>
      <c r="AA479" s="272"/>
      <c r="AB479" s="288"/>
    </row>
    <row r="480" spans="1:28" ht="20.25" customHeight="1">
      <c r="A480" s="270">
        <v>479</v>
      </c>
      <c r="B480" s="276"/>
      <c r="C480" s="271"/>
      <c r="D480" s="270"/>
      <c r="E480" s="272"/>
      <c r="F480" s="272"/>
      <c r="G480" s="270"/>
      <c r="H480" s="340"/>
      <c r="I480" s="272" t="str">
        <f t="shared" si="36"/>
        <v/>
      </c>
      <c r="J480" s="272"/>
      <c r="K480" s="272"/>
      <c r="L480" s="272"/>
      <c r="M480" s="272"/>
      <c r="N480" s="272"/>
      <c r="O480" s="272"/>
      <c r="P480" s="272"/>
      <c r="Q480" s="272"/>
      <c r="R480" s="272"/>
      <c r="S480" s="272"/>
      <c r="T480" s="272"/>
      <c r="U480" s="272"/>
      <c r="V480" s="272"/>
      <c r="W480" s="272"/>
      <c r="X480" s="270"/>
      <c r="Y480" s="270" t="str">
        <f t="shared" si="37"/>
        <v/>
      </c>
      <c r="Z480" s="272"/>
      <c r="AA480" s="272"/>
      <c r="AB480" s="288"/>
    </row>
    <row r="481" spans="1:28" ht="20.25" customHeight="1">
      <c r="A481" s="270">
        <v>480</v>
      </c>
      <c r="B481" s="276"/>
      <c r="C481" s="271"/>
      <c r="D481" s="270"/>
      <c r="E481" s="272"/>
      <c r="F481" s="272"/>
      <c r="G481" s="270"/>
      <c r="H481" s="340"/>
      <c r="I481" s="272" t="str">
        <f t="shared" si="36"/>
        <v/>
      </c>
      <c r="J481" s="272"/>
      <c r="K481" s="272"/>
      <c r="L481" s="272"/>
      <c r="M481" s="272"/>
      <c r="N481" s="272"/>
      <c r="O481" s="272"/>
      <c r="P481" s="272"/>
      <c r="Q481" s="272"/>
      <c r="R481" s="272"/>
      <c r="S481" s="272"/>
      <c r="T481" s="272"/>
      <c r="U481" s="272"/>
      <c r="V481" s="272"/>
      <c r="W481" s="272"/>
      <c r="X481" s="270"/>
      <c r="Y481" s="270" t="str">
        <f t="shared" si="37"/>
        <v/>
      </c>
      <c r="Z481" s="272"/>
      <c r="AA481" s="272"/>
      <c r="AB481" s="288"/>
    </row>
    <row r="482" spans="1:28" ht="20.25" customHeight="1">
      <c r="A482" s="270">
        <v>481</v>
      </c>
      <c r="B482" s="276"/>
      <c r="C482" s="271"/>
      <c r="D482" s="270"/>
      <c r="E482" s="272"/>
      <c r="F482" s="272"/>
      <c r="G482" s="270"/>
      <c r="H482" s="340"/>
      <c r="I482" s="272" t="str">
        <f t="shared" si="36"/>
        <v/>
      </c>
      <c r="J482" s="272"/>
      <c r="K482" s="272"/>
      <c r="L482" s="272"/>
      <c r="M482" s="272"/>
      <c r="N482" s="272"/>
      <c r="O482" s="272"/>
      <c r="P482" s="272"/>
      <c r="Q482" s="272"/>
      <c r="R482" s="272"/>
      <c r="S482" s="272"/>
      <c r="T482" s="272"/>
      <c r="U482" s="272"/>
      <c r="V482" s="272"/>
      <c r="W482" s="272"/>
      <c r="X482" s="270"/>
      <c r="Y482" s="270" t="str">
        <f t="shared" si="37"/>
        <v/>
      </c>
      <c r="Z482" s="272"/>
      <c r="AA482" s="272"/>
      <c r="AB482" s="288"/>
    </row>
    <row r="483" spans="1:28" ht="20.25" customHeight="1">
      <c r="A483" s="270">
        <v>482</v>
      </c>
      <c r="B483" s="276"/>
      <c r="C483" s="271"/>
      <c r="D483" s="270"/>
      <c r="E483" s="272"/>
      <c r="F483" s="272"/>
      <c r="G483" s="270"/>
      <c r="H483" s="340"/>
      <c r="I483" s="272" t="str">
        <f t="shared" si="36"/>
        <v/>
      </c>
      <c r="J483" s="272"/>
      <c r="K483" s="272"/>
      <c r="L483" s="272"/>
      <c r="M483" s="272"/>
      <c r="N483" s="272"/>
      <c r="O483" s="272"/>
      <c r="P483" s="272"/>
      <c r="Q483" s="272"/>
      <c r="R483" s="272"/>
      <c r="S483" s="272"/>
      <c r="T483" s="272"/>
      <c r="U483" s="272"/>
      <c r="V483" s="272"/>
      <c r="W483" s="272"/>
      <c r="X483" s="270"/>
      <c r="Y483" s="270" t="str">
        <f t="shared" si="37"/>
        <v/>
      </c>
      <c r="Z483" s="272"/>
      <c r="AA483" s="272"/>
      <c r="AB483" s="288"/>
    </row>
    <row r="484" spans="1:28" ht="20.25" customHeight="1">
      <c r="A484" s="270">
        <v>483</v>
      </c>
      <c r="B484" s="276"/>
      <c r="C484" s="271"/>
      <c r="D484" s="270"/>
      <c r="E484" s="272"/>
      <c r="F484" s="272"/>
      <c r="G484" s="270"/>
      <c r="H484" s="340"/>
      <c r="I484" s="272" t="str">
        <f t="shared" si="36"/>
        <v/>
      </c>
      <c r="J484" s="272"/>
      <c r="K484" s="272"/>
      <c r="L484" s="272"/>
      <c r="M484" s="272"/>
      <c r="N484" s="272"/>
      <c r="O484" s="272"/>
      <c r="P484" s="272"/>
      <c r="Q484" s="272"/>
      <c r="R484" s="272"/>
      <c r="S484" s="272"/>
      <c r="T484" s="272"/>
      <c r="U484" s="272"/>
      <c r="V484" s="272"/>
      <c r="W484" s="272"/>
      <c r="X484" s="270"/>
      <c r="Y484" s="270" t="str">
        <f t="shared" si="37"/>
        <v/>
      </c>
      <c r="Z484" s="272"/>
      <c r="AA484" s="272"/>
      <c r="AB484" s="288"/>
    </row>
    <row r="485" spans="1:28" ht="20.25" customHeight="1">
      <c r="A485" s="270">
        <v>484</v>
      </c>
      <c r="B485" s="276"/>
      <c r="C485" s="271"/>
      <c r="D485" s="270"/>
      <c r="E485" s="272"/>
      <c r="F485" s="272"/>
      <c r="G485" s="270"/>
      <c r="H485" s="340"/>
      <c r="I485" s="272" t="str">
        <f t="shared" si="36"/>
        <v/>
      </c>
      <c r="J485" s="272"/>
      <c r="K485" s="272"/>
      <c r="L485" s="272"/>
      <c r="M485" s="272"/>
      <c r="N485" s="272"/>
      <c r="O485" s="272"/>
      <c r="P485" s="272"/>
      <c r="Q485" s="272"/>
      <c r="R485" s="272"/>
      <c r="S485" s="272"/>
      <c r="T485" s="272"/>
      <c r="U485" s="272"/>
      <c r="V485" s="272"/>
      <c r="W485" s="272"/>
      <c r="X485" s="270"/>
      <c r="Y485" s="270" t="str">
        <f t="shared" si="37"/>
        <v/>
      </c>
      <c r="Z485" s="272"/>
      <c r="AA485" s="272"/>
      <c r="AB485" s="288"/>
    </row>
    <row r="486" spans="1:28" ht="20.25" customHeight="1">
      <c r="A486" s="270">
        <v>485</v>
      </c>
      <c r="B486" s="276"/>
      <c r="C486" s="271"/>
      <c r="D486" s="270"/>
      <c r="E486" s="272"/>
      <c r="F486" s="272"/>
      <c r="G486" s="270"/>
      <c r="H486" s="340"/>
      <c r="I486" s="272" t="str">
        <f t="shared" si="36"/>
        <v/>
      </c>
      <c r="J486" s="272"/>
      <c r="K486" s="272"/>
      <c r="L486" s="272"/>
      <c r="M486" s="272"/>
      <c r="N486" s="272"/>
      <c r="O486" s="272"/>
      <c r="P486" s="272"/>
      <c r="Q486" s="272"/>
      <c r="R486" s="272"/>
      <c r="S486" s="272"/>
      <c r="T486" s="272"/>
      <c r="U486" s="272"/>
      <c r="V486" s="272"/>
      <c r="W486" s="272"/>
      <c r="X486" s="270"/>
      <c r="Y486" s="270" t="str">
        <f t="shared" si="37"/>
        <v/>
      </c>
      <c r="Z486" s="272"/>
      <c r="AA486" s="272"/>
      <c r="AB486" s="288"/>
    </row>
    <row r="487" spans="1:28" ht="20.25" customHeight="1">
      <c r="A487" s="270">
        <v>486</v>
      </c>
      <c r="B487" s="276"/>
      <c r="C487" s="271"/>
      <c r="D487" s="270"/>
      <c r="E487" s="272"/>
      <c r="F487" s="272"/>
      <c r="G487" s="270"/>
      <c r="H487" s="340"/>
      <c r="I487" s="272" t="str">
        <f t="shared" si="36"/>
        <v/>
      </c>
      <c r="J487" s="272"/>
      <c r="K487" s="272"/>
      <c r="L487" s="272"/>
      <c r="M487" s="272"/>
      <c r="N487" s="272"/>
      <c r="O487" s="272"/>
      <c r="P487" s="272"/>
      <c r="Q487" s="272"/>
      <c r="R487" s="272"/>
      <c r="S487" s="272"/>
      <c r="T487" s="272"/>
      <c r="U487" s="272"/>
      <c r="V487" s="272"/>
      <c r="W487" s="272"/>
      <c r="X487" s="270"/>
      <c r="Y487" s="270" t="str">
        <f t="shared" si="37"/>
        <v/>
      </c>
      <c r="Z487" s="272"/>
      <c r="AA487" s="272"/>
      <c r="AB487" s="288"/>
    </row>
    <row r="488" spans="1:28" ht="20.25" customHeight="1">
      <c r="A488" s="270">
        <v>487</v>
      </c>
      <c r="B488" s="276"/>
      <c r="C488" s="271"/>
      <c r="D488" s="270"/>
      <c r="E488" s="272"/>
      <c r="F488" s="272"/>
      <c r="G488" s="270"/>
      <c r="H488" s="340"/>
      <c r="I488" s="272" t="str">
        <f t="shared" si="36"/>
        <v/>
      </c>
      <c r="J488" s="272"/>
      <c r="K488" s="272"/>
      <c r="L488" s="272"/>
      <c r="M488" s="272"/>
      <c r="N488" s="272"/>
      <c r="O488" s="272"/>
      <c r="P488" s="272"/>
      <c r="Q488" s="272"/>
      <c r="R488" s="272"/>
      <c r="S488" s="272"/>
      <c r="T488" s="272"/>
      <c r="U488" s="272"/>
      <c r="V488" s="272"/>
      <c r="W488" s="272"/>
      <c r="X488" s="270"/>
      <c r="Y488" s="270" t="str">
        <f t="shared" si="37"/>
        <v/>
      </c>
      <c r="Z488" s="272"/>
      <c r="AA488" s="272"/>
      <c r="AB488" s="288"/>
    </row>
    <row r="489" spans="1:28" ht="20.25" customHeight="1">
      <c r="A489" s="270">
        <v>488</v>
      </c>
      <c r="B489" s="276"/>
      <c r="C489" s="271"/>
      <c r="D489" s="270"/>
      <c r="E489" s="272"/>
      <c r="F489" s="272"/>
      <c r="G489" s="270"/>
      <c r="H489" s="340"/>
      <c r="I489" s="272" t="str">
        <f t="shared" si="36"/>
        <v/>
      </c>
      <c r="J489" s="272"/>
      <c r="K489" s="272"/>
      <c r="L489" s="272"/>
      <c r="M489" s="272"/>
      <c r="N489" s="272"/>
      <c r="O489" s="272"/>
      <c r="P489" s="272"/>
      <c r="Q489" s="272"/>
      <c r="R489" s="272"/>
      <c r="S489" s="272"/>
      <c r="T489" s="272"/>
      <c r="U489" s="272"/>
      <c r="V489" s="272"/>
      <c r="W489" s="272"/>
      <c r="X489" s="270"/>
      <c r="Y489" s="270" t="str">
        <f t="shared" si="37"/>
        <v/>
      </c>
      <c r="Z489" s="272"/>
      <c r="AA489" s="272"/>
      <c r="AB489" s="288"/>
    </row>
    <row r="490" spans="1:28" ht="20.25" customHeight="1">
      <c r="A490" s="270">
        <v>489</v>
      </c>
      <c r="B490" s="276"/>
      <c r="C490" s="271"/>
      <c r="D490" s="270"/>
      <c r="E490" s="272"/>
      <c r="F490" s="272"/>
      <c r="G490" s="270"/>
      <c r="H490" s="340"/>
      <c r="I490" s="272" t="str">
        <f t="shared" si="36"/>
        <v/>
      </c>
      <c r="J490" s="272"/>
      <c r="K490" s="272"/>
      <c r="L490" s="272"/>
      <c r="M490" s="272"/>
      <c r="N490" s="272"/>
      <c r="O490" s="272"/>
      <c r="P490" s="272"/>
      <c r="Q490" s="272"/>
      <c r="R490" s="272"/>
      <c r="S490" s="272"/>
      <c r="T490" s="272"/>
      <c r="U490" s="272"/>
      <c r="V490" s="272"/>
      <c r="W490" s="272"/>
      <c r="X490" s="270"/>
      <c r="Y490" s="270" t="str">
        <f t="shared" si="37"/>
        <v/>
      </c>
      <c r="Z490" s="272"/>
      <c r="AA490" s="272"/>
      <c r="AB490" s="288"/>
    </row>
    <row r="491" spans="1:28" ht="20.25" customHeight="1">
      <c r="A491" s="270">
        <v>490</v>
      </c>
      <c r="B491" s="276"/>
      <c r="C491" s="271"/>
      <c r="D491" s="270"/>
      <c r="E491" s="272"/>
      <c r="F491" s="272"/>
      <c r="G491" s="270"/>
      <c r="H491" s="340"/>
      <c r="I491" s="272" t="str">
        <f t="shared" si="36"/>
        <v/>
      </c>
      <c r="J491" s="272"/>
      <c r="K491" s="272"/>
      <c r="L491" s="272"/>
      <c r="M491" s="272"/>
      <c r="N491" s="272"/>
      <c r="O491" s="272"/>
      <c r="P491" s="272"/>
      <c r="Q491" s="272"/>
      <c r="R491" s="272"/>
      <c r="S491" s="272"/>
      <c r="T491" s="272"/>
      <c r="U491" s="272"/>
      <c r="V491" s="272"/>
      <c r="W491" s="272"/>
      <c r="X491" s="270"/>
      <c r="Y491" s="270" t="str">
        <f t="shared" si="37"/>
        <v/>
      </c>
      <c r="Z491" s="272"/>
      <c r="AA491" s="272"/>
      <c r="AB491" s="288"/>
    </row>
    <row r="492" spans="1:28" ht="20.25" customHeight="1">
      <c r="A492" s="270">
        <v>491</v>
      </c>
      <c r="B492" s="276"/>
      <c r="C492" s="271"/>
      <c r="D492" s="270"/>
      <c r="E492" s="272"/>
      <c r="F492" s="272"/>
      <c r="G492" s="270"/>
      <c r="H492" s="340"/>
      <c r="I492" s="272" t="str">
        <f t="shared" si="36"/>
        <v/>
      </c>
      <c r="J492" s="272"/>
      <c r="K492" s="272"/>
      <c r="L492" s="272"/>
      <c r="M492" s="272"/>
      <c r="N492" s="272"/>
      <c r="O492" s="272"/>
      <c r="P492" s="272"/>
      <c r="Q492" s="272"/>
      <c r="R492" s="272"/>
      <c r="S492" s="272"/>
      <c r="T492" s="272"/>
      <c r="U492" s="272"/>
      <c r="V492" s="272"/>
      <c r="W492" s="272"/>
      <c r="X492" s="270"/>
      <c r="Y492" s="270" t="str">
        <f t="shared" si="37"/>
        <v/>
      </c>
      <c r="Z492" s="272"/>
      <c r="AA492" s="272"/>
      <c r="AB492" s="288"/>
    </row>
    <row r="493" spans="1:28" ht="20.25" customHeight="1">
      <c r="A493" s="270">
        <v>492</v>
      </c>
      <c r="B493" s="276"/>
      <c r="C493" s="271"/>
      <c r="D493" s="270"/>
      <c r="E493" s="272"/>
      <c r="F493" s="272"/>
      <c r="G493" s="270"/>
      <c r="H493" s="340"/>
      <c r="I493" s="272" t="str">
        <f t="shared" si="36"/>
        <v/>
      </c>
      <c r="J493" s="272"/>
      <c r="K493" s="272"/>
      <c r="L493" s="272"/>
      <c r="M493" s="272"/>
      <c r="N493" s="272"/>
      <c r="O493" s="272"/>
      <c r="P493" s="272"/>
      <c r="Q493" s="272"/>
      <c r="R493" s="272"/>
      <c r="S493" s="272"/>
      <c r="T493" s="272"/>
      <c r="U493" s="272"/>
      <c r="V493" s="272"/>
      <c r="W493" s="272"/>
      <c r="X493" s="270"/>
      <c r="Y493" s="270" t="str">
        <f t="shared" si="37"/>
        <v/>
      </c>
      <c r="Z493" s="272"/>
      <c r="AA493" s="272"/>
      <c r="AB493" s="288"/>
    </row>
    <row r="494" spans="1:28" ht="20.25" customHeight="1">
      <c r="A494" s="270">
        <v>493</v>
      </c>
      <c r="B494" s="276"/>
      <c r="C494" s="271"/>
      <c r="D494" s="270"/>
      <c r="E494" s="272"/>
      <c r="F494" s="272"/>
      <c r="G494" s="270"/>
      <c r="H494" s="340"/>
      <c r="I494" s="272" t="str">
        <f t="shared" si="36"/>
        <v/>
      </c>
      <c r="J494" s="272"/>
      <c r="K494" s="272"/>
      <c r="L494" s="272"/>
      <c r="M494" s="272"/>
      <c r="N494" s="272"/>
      <c r="O494" s="272"/>
      <c r="P494" s="272"/>
      <c r="Q494" s="272"/>
      <c r="R494" s="272"/>
      <c r="S494" s="272"/>
      <c r="T494" s="272"/>
      <c r="U494" s="272"/>
      <c r="V494" s="272"/>
      <c r="W494" s="272"/>
      <c r="X494" s="270"/>
      <c r="Y494" s="270" t="str">
        <f t="shared" si="37"/>
        <v/>
      </c>
      <c r="Z494" s="272"/>
      <c r="AA494" s="272"/>
      <c r="AB494" s="288"/>
    </row>
    <row r="495" spans="1:28" ht="20.25" customHeight="1">
      <c r="A495" s="270">
        <v>494</v>
      </c>
      <c r="B495" s="276"/>
      <c r="C495" s="271"/>
      <c r="D495" s="270"/>
      <c r="E495" s="272"/>
      <c r="F495" s="272"/>
      <c r="G495" s="270"/>
      <c r="H495" s="340"/>
      <c r="I495" s="272" t="str">
        <f t="shared" si="36"/>
        <v/>
      </c>
      <c r="J495" s="272"/>
      <c r="K495" s="272"/>
      <c r="L495" s="272"/>
      <c r="M495" s="272"/>
      <c r="N495" s="272"/>
      <c r="O495" s="272"/>
      <c r="P495" s="272"/>
      <c r="Q495" s="272"/>
      <c r="R495" s="272"/>
      <c r="S495" s="272"/>
      <c r="T495" s="272"/>
      <c r="U495" s="272"/>
      <c r="V495" s="272"/>
      <c r="W495" s="272"/>
      <c r="X495" s="270"/>
      <c r="Y495" s="270" t="str">
        <f t="shared" si="37"/>
        <v/>
      </c>
      <c r="Z495" s="272"/>
      <c r="AA495" s="272"/>
      <c r="AB495" s="288"/>
    </row>
    <row r="496" spans="1:28" ht="20.25" customHeight="1">
      <c r="A496" s="270">
        <v>495</v>
      </c>
      <c r="B496" s="276"/>
      <c r="C496" s="271"/>
      <c r="D496" s="270"/>
      <c r="E496" s="272"/>
      <c r="F496" s="272"/>
      <c r="G496" s="270"/>
      <c r="H496" s="340"/>
      <c r="I496" s="272" t="str">
        <f t="shared" si="36"/>
        <v/>
      </c>
      <c r="J496" s="272"/>
      <c r="K496" s="272"/>
      <c r="L496" s="272"/>
      <c r="M496" s="272"/>
      <c r="N496" s="272"/>
      <c r="O496" s="272"/>
      <c r="P496" s="272"/>
      <c r="Q496" s="272"/>
      <c r="R496" s="272"/>
      <c r="S496" s="272"/>
      <c r="T496" s="272"/>
      <c r="U496" s="272"/>
      <c r="V496" s="272"/>
      <c r="W496" s="272"/>
      <c r="X496" s="270"/>
      <c r="Y496" s="270" t="str">
        <f t="shared" si="37"/>
        <v/>
      </c>
      <c r="Z496" s="272"/>
      <c r="AA496" s="272"/>
      <c r="AB496" s="288"/>
    </row>
    <row r="497" spans="1:28" ht="20.25" customHeight="1">
      <c r="A497" s="270">
        <v>496</v>
      </c>
      <c r="B497" s="276"/>
      <c r="C497" s="271"/>
      <c r="D497" s="270"/>
      <c r="E497" s="272"/>
      <c r="F497" s="272"/>
      <c r="G497" s="270"/>
      <c r="H497" s="340"/>
      <c r="I497" s="272" t="str">
        <f t="shared" si="36"/>
        <v/>
      </c>
      <c r="J497" s="272"/>
      <c r="K497" s="272"/>
      <c r="L497" s="272"/>
      <c r="M497" s="272"/>
      <c r="N497" s="272"/>
      <c r="O497" s="272"/>
      <c r="P497" s="272"/>
      <c r="Q497" s="272"/>
      <c r="R497" s="272"/>
      <c r="S497" s="272"/>
      <c r="T497" s="272"/>
      <c r="U497" s="272"/>
      <c r="V497" s="272"/>
      <c r="W497" s="272"/>
      <c r="X497" s="270"/>
      <c r="Y497" s="270" t="str">
        <f t="shared" si="37"/>
        <v/>
      </c>
      <c r="Z497" s="272"/>
      <c r="AA497" s="272"/>
      <c r="AB497" s="288"/>
    </row>
    <row r="498" spans="1:28" ht="20.25" customHeight="1">
      <c r="A498" s="270">
        <v>497</v>
      </c>
      <c r="B498" s="276"/>
      <c r="C498" s="271"/>
      <c r="D498" s="270"/>
      <c r="E498" s="272"/>
      <c r="F498" s="272"/>
      <c r="G498" s="270"/>
      <c r="H498" s="340"/>
      <c r="I498" s="272" t="str">
        <f t="shared" si="36"/>
        <v/>
      </c>
      <c r="J498" s="272"/>
      <c r="K498" s="272"/>
      <c r="L498" s="272"/>
      <c r="M498" s="272"/>
      <c r="N498" s="272"/>
      <c r="O498" s="272"/>
      <c r="P498" s="272"/>
      <c r="Q498" s="272"/>
      <c r="R498" s="272"/>
      <c r="S498" s="272"/>
      <c r="T498" s="272"/>
      <c r="U498" s="272"/>
      <c r="V498" s="272"/>
      <c r="W498" s="272"/>
      <c r="X498" s="270"/>
      <c r="Y498" s="270" t="str">
        <f t="shared" si="37"/>
        <v/>
      </c>
      <c r="Z498" s="272"/>
      <c r="AA498" s="272"/>
      <c r="AB498" s="288"/>
    </row>
    <row r="499" spans="1:28" ht="20.25" customHeight="1">
      <c r="A499" s="270">
        <v>498</v>
      </c>
      <c r="B499" s="276"/>
      <c r="C499" s="271"/>
      <c r="D499" s="270"/>
      <c r="E499" s="272"/>
      <c r="F499" s="272"/>
      <c r="G499" s="270"/>
      <c r="H499" s="340"/>
      <c r="I499" s="272" t="str">
        <f t="shared" si="36"/>
        <v/>
      </c>
      <c r="J499" s="272"/>
      <c r="K499" s="272"/>
      <c r="L499" s="272"/>
      <c r="M499" s="272"/>
      <c r="N499" s="272"/>
      <c r="O499" s="272"/>
      <c r="P499" s="272"/>
      <c r="Q499" s="272"/>
      <c r="R499" s="272"/>
      <c r="S499" s="272"/>
      <c r="T499" s="272"/>
      <c r="U499" s="272"/>
      <c r="V499" s="272"/>
      <c r="W499" s="272"/>
      <c r="X499" s="270"/>
      <c r="Y499" s="270" t="str">
        <f t="shared" si="37"/>
        <v/>
      </c>
      <c r="Z499" s="272"/>
      <c r="AA499" s="272"/>
      <c r="AB499" s="288"/>
    </row>
    <row r="500" spans="1:28" ht="20.25" customHeight="1">
      <c r="A500" s="270">
        <v>499</v>
      </c>
      <c r="B500" s="276"/>
      <c r="C500" s="271"/>
      <c r="D500" s="270"/>
      <c r="E500" s="272"/>
      <c r="F500" s="272"/>
      <c r="G500" s="270"/>
      <c r="H500" s="340"/>
      <c r="I500" s="272" t="str">
        <f t="shared" si="36"/>
        <v/>
      </c>
      <c r="J500" s="272"/>
      <c r="K500" s="272"/>
      <c r="L500" s="272"/>
      <c r="M500" s="272"/>
      <c r="N500" s="272"/>
      <c r="O500" s="272"/>
      <c r="P500" s="272"/>
      <c r="Q500" s="272"/>
      <c r="R500" s="272"/>
      <c r="S500" s="272"/>
      <c r="T500" s="272"/>
      <c r="U500" s="272"/>
      <c r="V500" s="272"/>
      <c r="W500" s="272"/>
      <c r="X500" s="270"/>
      <c r="Y500" s="270" t="str">
        <f t="shared" si="37"/>
        <v/>
      </c>
      <c r="Z500" s="272"/>
      <c r="AA500" s="272"/>
      <c r="AB500" s="288"/>
    </row>
    <row r="501" spans="1:28" ht="20.25" customHeight="1">
      <c r="A501" s="270">
        <v>500</v>
      </c>
      <c r="B501" s="276"/>
      <c r="C501" s="271"/>
      <c r="D501" s="270"/>
      <c r="E501" s="272"/>
      <c r="F501" s="272"/>
      <c r="G501" s="270"/>
      <c r="H501" s="340"/>
      <c r="I501" s="272" t="str">
        <f t="shared" si="36"/>
        <v/>
      </c>
      <c r="J501" s="272"/>
      <c r="K501" s="272"/>
      <c r="L501" s="272"/>
      <c r="M501" s="272"/>
      <c r="N501" s="272"/>
      <c r="O501" s="272"/>
      <c r="P501" s="272"/>
      <c r="Q501" s="272"/>
      <c r="R501" s="272"/>
      <c r="S501" s="272"/>
      <c r="T501" s="272"/>
      <c r="U501" s="272"/>
      <c r="V501" s="272"/>
      <c r="W501" s="272"/>
      <c r="X501" s="270"/>
      <c r="Y501" s="270" t="str">
        <f t="shared" si="37"/>
        <v/>
      </c>
      <c r="Z501" s="272"/>
      <c r="AA501" s="272"/>
      <c r="AB501" s="288"/>
    </row>
    <row r="502" spans="1:28" ht="20.25" customHeight="1">
      <c r="A502" s="270">
        <v>501</v>
      </c>
      <c r="B502" s="276"/>
      <c r="C502" s="271"/>
      <c r="D502" s="270"/>
      <c r="E502" s="272"/>
      <c r="F502" s="272"/>
      <c r="G502" s="270"/>
      <c r="H502" s="340"/>
      <c r="I502" s="272" t="str">
        <f t="shared" si="36"/>
        <v/>
      </c>
      <c r="J502" s="272"/>
      <c r="K502" s="272"/>
      <c r="L502" s="272"/>
      <c r="M502" s="272"/>
      <c r="N502" s="272"/>
      <c r="O502" s="272"/>
      <c r="P502" s="272"/>
      <c r="Q502" s="272"/>
      <c r="R502" s="272"/>
      <c r="S502" s="272"/>
      <c r="T502" s="272"/>
      <c r="U502" s="272"/>
      <c r="V502" s="272"/>
      <c r="W502" s="272"/>
      <c r="X502" s="270"/>
      <c r="Y502" s="270" t="str">
        <f t="shared" si="37"/>
        <v/>
      </c>
      <c r="Z502" s="272"/>
      <c r="AA502" s="272"/>
      <c r="AB502" s="288"/>
    </row>
    <row r="503" spans="1:28" ht="20.25" customHeight="1">
      <c r="A503" s="288"/>
      <c r="B503" s="286"/>
      <c r="C503" s="287"/>
      <c r="D503" s="288"/>
      <c r="E503" s="272"/>
      <c r="F503" s="272"/>
      <c r="G503" s="288"/>
      <c r="H503" s="341"/>
      <c r="I503" s="272"/>
      <c r="J503" s="288"/>
      <c r="K503" s="288"/>
      <c r="L503" s="288"/>
      <c r="M503" s="288"/>
      <c r="N503" s="288"/>
      <c r="O503" s="288"/>
      <c r="P503" s="288"/>
      <c r="Q503" s="288"/>
      <c r="R503" s="288"/>
      <c r="S503" s="288"/>
      <c r="T503" s="288"/>
      <c r="U503" s="288"/>
      <c r="V503" s="288"/>
      <c r="W503" s="288"/>
      <c r="X503" s="288"/>
      <c r="Y503" s="288"/>
      <c r="Z503" s="288"/>
      <c r="AA503" s="288"/>
      <c r="AB503" s="288"/>
    </row>
  </sheetData>
  <sheetProtection autoFilter="0"/>
  <protectedRanges>
    <protectedRange sqref="G1:H221 G222:G223 A1:D1048576 J1:X1048576 G224:H1048576" name="Range1"/>
    <protectedRange sqref="H1:H221 H224:H1048576" name="Range2"/>
  </protectedRanges>
  <dataValidations count="2">
    <dataValidation allowBlank="1" showInputMessage="1" showErrorMessage="1" sqref="C1:E1" xr:uid="{EB735701-8DCC-4620-9B22-99F68EA8C24F}"/>
    <dataValidation type="list" allowBlank="1" showInputMessage="1" showErrorMessage="1" sqref="C2:C1048576" xr:uid="{98DB896B-ECA8-47DD-A301-760FE14B94F7}">
      <formula1>"MACT,Health,Theft,"</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8E68-95A6-4FBE-A1C0-414D78376866}">
  <sheetPr codeName="Sheet2"/>
  <dimension ref="A1:AD500"/>
  <sheetViews>
    <sheetView workbookViewId="0">
      <selection activeCell="A3" sqref="A3"/>
    </sheetView>
  </sheetViews>
  <sheetFormatPr defaultRowHeight="14.5"/>
  <cols>
    <col min="1" max="1" width="9.1796875" style="42"/>
    <col min="2" max="2" width="22" style="42" customWidth="1"/>
    <col min="3" max="3" width="45.54296875" style="42" customWidth="1"/>
    <col min="4" max="4" width="16.453125" hidden="1" customWidth="1"/>
    <col min="5" max="5" width="16.453125" customWidth="1"/>
    <col min="6" max="6" width="18.81640625" hidden="1" customWidth="1"/>
    <col min="7" max="7" width="13.7265625" customWidth="1"/>
    <col min="8" max="8" width="16.54296875" hidden="1" customWidth="1"/>
    <col min="10" max="10" width="16.7265625" hidden="1" customWidth="1"/>
    <col min="12" max="12" width="10.7265625" hidden="1" customWidth="1"/>
    <col min="14" max="14" width="0" hidden="1" customWidth="1"/>
    <col min="16" max="16" width="0" hidden="1" customWidth="1"/>
    <col min="18" max="18" width="13.1796875" hidden="1" customWidth="1"/>
    <col min="20" max="20" width="0" hidden="1" customWidth="1"/>
    <col min="22" max="22" width="0" hidden="1" customWidth="1"/>
    <col min="24" max="24" width="0" hidden="1" customWidth="1"/>
    <col min="26" max="26" width="0" hidden="1" customWidth="1"/>
    <col min="28" max="28" width="0" hidden="1" customWidth="1"/>
  </cols>
  <sheetData>
    <row r="1" spans="1:30" ht="29">
      <c r="A1" s="321" t="s">
        <v>0</v>
      </c>
      <c r="B1" s="321" t="s">
        <v>628</v>
      </c>
      <c r="C1" s="321" t="s">
        <v>629</v>
      </c>
      <c r="D1" s="321" t="s">
        <v>630</v>
      </c>
      <c r="E1" s="321" t="s">
        <v>631</v>
      </c>
      <c r="F1" s="321" t="s">
        <v>632</v>
      </c>
      <c r="G1" s="321" t="s">
        <v>10</v>
      </c>
      <c r="H1" s="321" t="s">
        <v>633</v>
      </c>
      <c r="I1" s="321" t="s">
        <v>634</v>
      </c>
      <c r="J1" s="321" t="s">
        <v>635</v>
      </c>
      <c r="K1" s="321" t="s">
        <v>636</v>
      </c>
      <c r="L1" s="321" t="s">
        <v>637</v>
      </c>
      <c r="M1" s="321" t="s">
        <v>638</v>
      </c>
      <c r="N1" s="321" t="s">
        <v>639</v>
      </c>
      <c r="O1" s="321" t="s">
        <v>14</v>
      </c>
      <c r="P1" s="321" t="s">
        <v>640</v>
      </c>
      <c r="Q1" s="321" t="s">
        <v>15</v>
      </c>
      <c r="R1" s="321" t="s">
        <v>641</v>
      </c>
      <c r="S1" s="321" t="s">
        <v>16</v>
      </c>
      <c r="T1" s="37" t="s">
        <v>642</v>
      </c>
      <c r="U1" s="37" t="s">
        <v>17</v>
      </c>
      <c r="V1" s="37" t="s">
        <v>643</v>
      </c>
      <c r="W1" s="37" t="s">
        <v>18</v>
      </c>
      <c r="X1" s="37" t="s">
        <v>644</v>
      </c>
      <c r="Y1" s="37" t="s">
        <v>19</v>
      </c>
      <c r="Z1" s="37" t="s">
        <v>645</v>
      </c>
      <c r="AA1" s="37" t="s">
        <v>20</v>
      </c>
      <c r="AB1" s="37" t="s">
        <v>646</v>
      </c>
      <c r="AC1" s="37" t="s">
        <v>647</v>
      </c>
      <c r="AD1" s="37" t="s">
        <v>648</v>
      </c>
    </row>
    <row r="2" spans="1:30">
      <c r="A2" s="42">
        <v>1</v>
      </c>
      <c r="B2" s="42" t="str" cm="1">
        <f t="array" aca="1" ref="B2:B89" ca="1">_xlfn._xlws.FILTER(MIS_Backend_Data!B:B, (MIS_Backend_Data!O:O="WIP") + (MIS_Backend_Data!O:O="Pending for CS"))</f>
        <v>C2264191100006-00</v>
      </c>
      <c r="C2" s="42" t="e" cm="1">
        <f t="array" ref="C2">_xlfn._xlws.FILTER(MIS_Backend_Data!#REF!, (MIS_Backend_Data!O:O="WIP") + (MIS_Backend_Data!O:O="Pending for CS"), "")</f>
        <v>#REF!</v>
      </c>
      <c r="D2" s="42">
        <f ca="1">_xlfn.XLOOKUP(B2,CRN!G:G,CRN!J:J,"")</f>
        <v>1</v>
      </c>
      <c r="E2" t="e">
        <f ca="1">IF(D2=0,0,_xlfn.XLOOKUP(C2,CLIENT_CODE!B:B,CLIENT_CODE!F:F,0))</f>
        <v>#REF!</v>
      </c>
      <c r="F2">
        <f ca="1">_xlfn.XLOOKUP(B2,CRN!G:G,CRN!K:K,"")</f>
        <v>0</v>
      </c>
      <c r="G2">
        <f ca="1">IF(F2=0,0,_xlfn.XLOOKUP(C2,CLIENT_CODE!B:B,CLIENT_CODE!G:G,0))</f>
        <v>0</v>
      </c>
      <c r="H2">
        <f ca="1">_xlfn.XLOOKUP(B2,CRN!G:G,CRN!L:L,"")</f>
        <v>1</v>
      </c>
      <c r="I2" t="e">
        <f ca="1">IF(H2=0,0,_xlfn.XLOOKUP(C2,CLIENT_CODE!B:B,CLIENT_CODE!H:H,0))</f>
        <v>#REF!</v>
      </c>
      <c r="J2">
        <f ca="1">_xlfn.XLOOKUP(B2,CRN!G:G,CRN!M:M,"")</f>
        <v>0</v>
      </c>
      <c r="K2">
        <f ca="1">IF(J2=0,0,_xlfn.XLOOKUP(C2,CLIENT_CODE!B:B,CLIENT_CODE!I:I,0))</f>
        <v>0</v>
      </c>
      <c r="L2">
        <f ca="1">_xlfn.XLOOKUP(B2,CRN!G:G,CRN!N:N,"")</f>
        <v>1</v>
      </c>
      <c r="M2" t="e">
        <f ca="1">IF(L2=0,0,_xlfn.XLOOKUP(C2,CLIENT_CODE!B:B,CLIENT_CODE!J:J,0))</f>
        <v>#REF!</v>
      </c>
      <c r="N2">
        <f ca="1">_xlfn.XLOOKUP(B2,CRN!G:G,CRN!O:O,"")</f>
        <v>0</v>
      </c>
      <c r="O2">
        <f ca="1">IF(N2=0,0,_xlfn.XLOOKUP(C2,CLIENT_CODE!B:B,CLIENT_CODE!K:K,0))</f>
        <v>0</v>
      </c>
      <c r="P2">
        <f ca="1">_xlfn.XLOOKUP(B2,CRN!G:G,CRN!P:P,"")</f>
        <v>0</v>
      </c>
      <c r="Q2">
        <f ca="1">IF(P2=0,0,_xlfn.XLOOKUP(C2,CLIENT_CODE!B:B,CLIENT_CODE!L:L,0))</f>
        <v>0</v>
      </c>
      <c r="R2">
        <f ca="1">_xlfn.XLOOKUP(B2,CRN!G:G,CRN!Q:Q,"")</f>
        <v>0</v>
      </c>
      <c r="S2">
        <f ca="1">IF(R2=0,0,_xlfn.XLOOKUP(C2,CLIENT_CODE!B:B,CLIENT_CODE!M:M,0))</f>
        <v>0</v>
      </c>
      <c r="T2">
        <f ca="1">_xlfn.XLOOKUP(B2,CRN!G:G,CRN!R:R,"")</f>
        <v>1</v>
      </c>
      <c r="U2" t="e">
        <f ca="1">IF(T2=0,0,_xlfn.XLOOKUP(C2,CLIENT_CODE!B:B,CLIENT_CODE!N:N,0))</f>
        <v>#REF!</v>
      </c>
      <c r="V2">
        <f ca="1">_xlfn.XLOOKUP(B2,CRN!G:G,CRN!S:S,"")</f>
        <v>1</v>
      </c>
      <c r="W2" t="e">
        <f ca="1">IF(V2=0,0,_xlfn.XLOOKUP(C2,CLIENT_CODE!B:B,CLIENT_CODE!O:O,0))</f>
        <v>#REF!</v>
      </c>
      <c r="X2">
        <f ca="1">_xlfn.XLOOKUP(B2,CRN!G:G,CRN!T:T,"")</f>
        <v>0</v>
      </c>
      <c r="Y2">
        <f ca="1">IF(X2=0,0,_xlfn.XLOOKUP(C2,CLIENT_CODE!B:B,CLIENT_CODE!P:P,0))</f>
        <v>0</v>
      </c>
      <c r="Z2">
        <f ca="1">_xlfn.XLOOKUP(B2,CRN!G:G,CRN!U:U,"")</f>
        <v>0</v>
      </c>
      <c r="AA2">
        <f ca="1">IF(X2=0,0,_xlfn.XLOOKUP(C2,CLIENT_CODE!B:B,CLIENT_CODE!P:P,0))</f>
        <v>0</v>
      </c>
      <c r="AB2">
        <f ca="1">_xlfn.XLOOKUP(B2,CRN!G:G,CRN!V:V,"")</f>
        <v>0</v>
      </c>
      <c r="AC2">
        <f ca="1">IF(AB2=0,0,_xlfn.XLOOKUP(C2,CLIENT_CODE!B:B,CLIENT_CODE!R:R,0))</f>
        <v>0</v>
      </c>
      <c r="AD2" t="e">
        <f ca="1">SUM(E2,G2,I2,K2,M2,O2,Q2,S2,U2,W2,Y2,AA2,AC2,)</f>
        <v>#REF!</v>
      </c>
    </row>
    <row r="3" spans="1:30">
      <c r="A3" s="42">
        <v>2</v>
      </c>
      <c r="B3" s="42" t="str">
        <f ca="1"/>
        <v>2025209769</v>
      </c>
      <c r="E3">
        <f>IF(D3=0,0,_xlfn.XLOOKUP(C3,CLIENT_CODE!B:B,CLIENT_CODE!F:F,0))</f>
        <v>0</v>
      </c>
      <c r="F3">
        <f ca="1">_xlfn.XLOOKUP(B3,CRN!G:G,CRN!K:K,"")</f>
        <v>0</v>
      </c>
      <c r="G3">
        <f ca="1">IF(F3=0,0,_xlfn.XLOOKUP(C3,CLIENT_CODE!B:B,CLIENT_CODE!G:G,0))</f>
        <v>0</v>
      </c>
      <c r="H3">
        <f ca="1">_xlfn.XLOOKUP(B3,CRN!G:G,CRN!L:L,"")</f>
        <v>1</v>
      </c>
      <c r="I3">
        <f ca="1">IF(H3=0,0,_xlfn.XLOOKUP(C3,CLIENT_CODE!B:B,CLIENT_CODE!H:H,0))</f>
        <v>0</v>
      </c>
      <c r="J3">
        <f ca="1">_xlfn.XLOOKUP(B3,CRN!G:G,CRN!M:M,"")</f>
        <v>0</v>
      </c>
      <c r="K3">
        <f ca="1">IF(J3=0,0,_xlfn.XLOOKUP(C3,CLIENT_CODE!B:B,CLIENT_CODE!I:I,0))</f>
        <v>0</v>
      </c>
      <c r="L3">
        <f ca="1">_xlfn.XLOOKUP(B3,CRN!G:G,CRN!N:N,"")</f>
        <v>1</v>
      </c>
      <c r="M3">
        <f ca="1">IF(L3=0,0,_xlfn.XLOOKUP(C3,CLIENT_CODE!B:B,CLIENT_CODE!J:J,0))</f>
        <v>0</v>
      </c>
      <c r="N3">
        <f ca="1">_xlfn.XLOOKUP(B3,CRN!G:G,CRN!O:O,"")</f>
        <v>0</v>
      </c>
      <c r="O3">
        <f ca="1">IF(N3=0,0,_xlfn.XLOOKUP(C3,CLIENT_CODE!B:B,CLIENT_CODE!K:K,0))</f>
        <v>0</v>
      </c>
      <c r="P3">
        <f ca="1">_xlfn.XLOOKUP(B3,CRN!G:G,CRN!P:P,"")</f>
        <v>0</v>
      </c>
      <c r="Q3">
        <f ca="1">IF(P3=0,0,_xlfn.XLOOKUP(C3,CLIENT_CODE!B:B,CLIENT_CODE!L:L,0))</f>
        <v>0</v>
      </c>
      <c r="R3">
        <f ca="1">_xlfn.XLOOKUP(B3,CRN!G:G,CRN!Q:Q,"")</f>
        <v>0</v>
      </c>
      <c r="S3">
        <f ca="1">IF(R3=0,0,_xlfn.XLOOKUP(C3,CLIENT_CODE!B:B,CLIENT_CODE!M:M,0))</f>
        <v>0</v>
      </c>
      <c r="T3">
        <f ca="1">_xlfn.XLOOKUP(B3,CRN!G:G,CRN!R:R,"")</f>
        <v>1</v>
      </c>
      <c r="U3">
        <f ca="1">IF(T3=0,0,_xlfn.XLOOKUP(C3,CLIENT_CODE!B:B,CLIENT_CODE!N:N,0))</f>
        <v>0</v>
      </c>
      <c r="V3">
        <f ca="1">_xlfn.XLOOKUP(B3,CRN!G:G,CRN!S:S,"")</f>
        <v>1</v>
      </c>
      <c r="W3">
        <f ca="1">IF(V3=0,0,_xlfn.XLOOKUP(C3,CLIENT_CODE!B:B,CLIENT_CODE!O:O,0))</f>
        <v>0</v>
      </c>
      <c r="X3">
        <f ca="1">_xlfn.XLOOKUP(B3,CRN!G:G,CRN!T:T,"")</f>
        <v>0</v>
      </c>
      <c r="Y3">
        <f ca="1">IF(X3=0,0,_xlfn.XLOOKUP(C3,CLIENT_CODE!B:B,CLIENT_CODE!P:P,0))</f>
        <v>0</v>
      </c>
      <c r="Z3">
        <f ca="1">_xlfn.XLOOKUP(B3,CRN!G:G,CRN!U:U,"")</f>
        <v>0</v>
      </c>
      <c r="AA3">
        <f ca="1">IF(X3=0,0,_xlfn.XLOOKUP(C3,CLIENT_CODE!B:B,CLIENT_CODE!P:P,0))</f>
        <v>0</v>
      </c>
      <c r="AB3">
        <f ca="1">_xlfn.XLOOKUP(B3,CRN!G:G,CRN!V:V,"")</f>
        <v>0</v>
      </c>
      <c r="AC3">
        <f ca="1">IF(AB3=0,0,_xlfn.XLOOKUP(C3,CLIENT_CODE!B:B,CLIENT_CODE!R:R,0))</f>
        <v>0</v>
      </c>
      <c r="AD3">
        <f t="shared" ref="AD3:AD66" ca="1" si="0">SUM(E3,G3,I3,K3,M3,O3,Q3,S3,U3,W3,Y3,AA3,AC3,)</f>
        <v>0</v>
      </c>
    </row>
    <row r="4" spans="1:30">
      <c r="A4" s="42">
        <v>3</v>
      </c>
      <c r="B4" s="42" t="str">
        <f ca="1"/>
        <v>CM889835</v>
      </c>
      <c r="E4">
        <f>IF(D4=0,0,_xlfn.XLOOKUP(C4,CLIENT_CODE!B:B,CLIENT_CODE!F:F,0))</f>
        <v>0</v>
      </c>
      <c r="F4">
        <f ca="1">_xlfn.XLOOKUP(B4,CRN!G:G,CRN!K:K,"")</f>
        <v>0</v>
      </c>
      <c r="G4">
        <f ca="1">IF(F4=0,0,_xlfn.XLOOKUP(C4,CLIENT_CODE!B:B,CLIENT_CODE!G:G,0))</f>
        <v>0</v>
      </c>
      <c r="H4">
        <f ca="1">_xlfn.XLOOKUP(B4,CRN!G:G,CRN!L:L,"")</f>
        <v>1</v>
      </c>
      <c r="I4">
        <f ca="1">IF(H4=0,0,_xlfn.XLOOKUP(C4,CLIENT_CODE!B:B,CLIENT_CODE!H:H,0))</f>
        <v>0</v>
      </c>
      <c r="J4">
        <f ca="1">_xlfn.XLOOKUP(B4,CRN!G:G,CRN!M:M,"")</f>
        <v>0</v>
      </c>
      <c r="K4">
        <f ca="1">IF(J4=0,0,_xlfn.XLOOKUP(C4,CLIENT_CODE!B:B,CLIENT_CODE!I:I,0))</f>
        <v>0</v>
      </c>
      <c r="L4">
        <f ca="1">_xlfn.XLOOKUP(B4,CRN!G:G,CRN!N:N,"")</f>
        <v>0</v>
      </c>
      <c r="M4">
        <f ca="1">IF(L4=0,0,_xlfn.XLOOKUP(C4,CLIENT_CODE!B:B,CLIENT_CODE!J:J,0))</f>
        <v>0</v>
      </c>
      <c r="N4">
        <f ca="1">_xlfn.XLOOKUP(B4,CRN!G:G,CRN!O:O,"")</f>
        <v>0</v>
      </c>
      <c r="O4">
        <f ca="1">IF(N4=0,0,_xlfn.XLOOKUP(C4,CLIENT_CODE!B:B,CLIENT_CODE!K:K,0))</f>
        <v>0</v>
      </c>
      <c r="P4">
        <f ca="1">_xlfn.XLOOKUP(B4,CRN!G:G,CRN!P:P,"")</f>
        <v>0</v>
      </c>
      <c r="Q4">
        <f ca="1">IF(P4=0,0,_xlfn.XLOOKUP(C4,CLIENT_CODE!B:B,CLIENT_CODE!L:L,0))</f>
        <v>0</v>
      </c>
      <c r="R4">
        <f ca="1">_xlfn.XLOOKUP(B4,CRN!G:G,CRN!Q:Q,"")</f>
        <v>0</v>
      </c>
      <c r="S4">
        <f ca="1">IF(R4=0,0,_xlfn.XLOOKUP(C4,CLIENT_CODE!B:B,CLIENT_CODE!M:M,0))</f>
        <v>0</v>
      </c>
      <c r="T4">
        <f ca="1">_xlfn.XLOOKUP(B4,CRN!G:G,CRN!R:R,"")</f>
        <v>1</v>
      </c>
      <c r="U4">
        <f ca="1">IF(T4=0,0,_xlfn.XLOOKUP(C4,CLIENT_CODE!B:B,CLIENT_CODE!N:N,0))</f>
        <v>0</v>
      </c>
      <c r="V4">
        <f ca="1">_xlfn.XLOOKUP(B4,CRN!G:G,CRN!S:S,"")</f>
        <v>1</v>
      </c>
      <c r="W4">
        <f ca="1">IF(V4=0,0,_xlfn.XLOOKUP(C4,CLIENT_CODE!B:B,CLIENT_CODE!O:O,0))</f>
        <v>0</v>
      </c>
      <c r="X4">
        <f ca="1">_xlfn.XLOOKUP(B4,CRN!G:G,CRN!T:T,"")</f>
        <v>0</v>
      </c>
      <c r="Y4">
        <f ca="1">IF(X4=0,0,_xlfn.XLOOKUP(C4,CLIENT_CODE!B:B,CLIENT_CODE!P:P,0))</f>
        <v>0</v>
      </c>
      <c r="Z4">
        <f ca="1">_xlfn.XLOOKUP(B4,CRN!G:G,CRN!U:U,"")</f>
        <v>0</v>
      </c>
      <c r="AA4">
        <f ca="1">IF(X4=0,0,_xlfn.XLOOKUP(C4,CLIENT_CODE!B:B,CLIENT_CODE!P:P,0))</f>
        <v>0</v>
      </c>
      <c r="AB4">
        <f ca="1">_xlfn.XLOOKUP(B4,CRN!G:G,CRN!V:V,"")</f>
        <v>0</v>
      </c>
      <c r="AC4">
        <f ca="1">IF(AB4=0,0,_xlfn.XLOOKUP(C4,CLIENT_CODE!B:B,CLIENT_CODE!R:R,0))</f>
        <v>0</v>
      </c>
      <c r="AD4">
        <f t="shared" ca="1" si="0"/>
        <v>0</v>
      </c>
    </row>
    <row r="5" spans="1:30">
      <c r="A5" s="42">
        <v>4</v>
      </c>
      <c r="B5" s="42" t="str">
        <f ca="1"/>
        <v>2025200573</v>
      </c>
      <c r="E5">
        <f>IF(D5=0,0,_xlfn.XLOOKUP(C5,CLIENT_CODE!B:B,CLIENT_CODE!F:F,0))</f>
        <v>0</v>
      </c>
      <c r="F5">
        <f ca="1">_xlfn.XLOOKUP(B5,CRN!G:G,CRN!K:K,"")</f>
        <v>0</v>
      </c>
      <c r="G5">
        <f ca="1">IF(F5=0,0,_xlfn.XLOOKUP(C5,CLIENT_CODE!B:B,CLIENT_CODE!G:G,0))</f>
        <v>0</v>
      </c>
      <c r="H5">
        <f ca="1">_xlfn.XLOOKUP(B5,CRN!G:G,CRN!L:L,"")</f>
        <v>1</v>
      </c>
      <c r="I5">
        <f ca="1">IF(H5=0,0,_xlfn.XLOOKUP(C5,CLIENT_CODE!B:B,CLIENT_CODE!H:H,0))</f>
        <v>0</v>
      </c>
      <c r="J5">
        <f ca="1">_xlfn.XLOOKUP(B5,CRN!G:G,CRN!M:M,"")</f>
        <v>0</v>
      </c>
      <c r="K5">
        <f ca="1">IF(J5=0,0,_xlfn.XLOOKUP(C5,CLIENT_CODE!B:B,CLIENT_CODE!I:I,0))</f>
        <v>0</v>
      </c>
      <c r="L5">
        <f ca="1">_xlfn.XLOOKUP(B5,CRN!G:G,CRN!N:N,"")</f>
        <v>1</v>
      </c>
      <c r="M5">
        <f ca="1">IF(L5=0,0,_xlfn.XLOOKUP(C5,CLIENT_CODE!B:B,CLIENT_CODE!J:J,0))</f>
        <v>0</v>
      </c>
      <c r="N5">
        <f ca="1">_xlfn.XLOOKUP(B5,CRN!G:G,CRN!O:O,"")</f>
        <v>0</v>
      </c>
      <c r="O5">
        <f ca="1">IF(N5=0,0,_xlfn.XLOOKUP(C5,CLIENT_CODE!B:B,CLIENT_CODE!K:K,0))</f>
        <v>0</v>
      </c>
      <c r="P5">
        <f ca="1">_xlfn.XLOOKUP(B5,CRN!G:G,CRN!P:P,"")</f>
        <v>0</v>
      </c>
      <c r="Q5">
        <f ca="1">IF(P5=0,0,_xlfn.XLOOKUP(C5,CLIENT_CODE!B:B,CLIENT_CODE!L:L,0))</f>
        <v>0</v>
      </c>
      <c r="R5">
        <f ca="1">_xlfn.XLOOKUP(B5,CRN!G:G,CRN!Q:Q,"")</f>
        <v>0</v>
      </c>
      <c r="S5">
        <f ca="1">IF(R5=0,0,_xlfn.XLOOKUP(C5,CLIENT_CODE!B:B,CLIENT_CODE!M:M,0))</f>
        <v>0</v>
      </c>
      <c r="T5">
        <f ca="1">_xlfn.XLOOKUP(B5,CRN!G:G,CRN!R:R,"")</f>
        <v>1</v>
      </c>
      <c r="U5">
        <f ca="1">IF(T5=0,0,_xlfn.XLOOKUP(C5,CLIENT_CODE!B:B,CLIENT_CODE!N:N,0))</f>
        <v>0</v>
      </c>
      <c r="V5">
        <f ca="1">_xlfn.XLOOKUP(B5,CRN!G:G,CRN!S:S,"")</f>
        <v>1</v>
      </c>
      <c r="W5">
        <f ca="1">IF(V5=0,0,_xlfn.XLOOKUP(C5,CLIENT_CODE!B:B,CLIENT_CODE!O:O,0))</f>
        <v>0</v>
      </c>
      <c r="X5">
        <f ca="1">_xlfn.XLOOKUP(B5,CRN!G:G,CRN!T:T,"")</f>
        <v>0</v>
      </c>
      <c r="Y5">
        <f ca="1">IF(X5=0,0,_xlfn.XLOOKUP(C5,CLIENT_CODE!B:B,CLIENT_CODE!P:P,0))</f>
        <v>0</v>
      </c>
      <c r="Z5">
        <f ca="1">_xlfn.XLOOKUP(B5,CRN!G:G,CRN!U:U,"")</f>
        <v>0</v>
      </c>
      <c r="AA5">
        <f ca="1">IF(X5=0,0,_xlfn.XLOOKUP(C5,CLIENT_CODE!B:B,CLIENT_CODE!P:P,0))</f>
        <v>0</v>
      </c>
      <c r="AB5">
        <f ca="1">_xlfn.XLOOKUP(B5,CRN!G:G,CRN!V:V,"")</f>
        <v>0</v>
      </c>
      <c r="AC5">
        <f ca="1">IF(AB5=0,0,_xlfn.XLOOKUP(C5,CLIENT_CODE!B:B,CLIENT_CODE!R:R,0))</f>
        <v>0</v>
      </c>
      <c r="AD5">
        <f t="shared" ca="1" si="0"/>
        <v>0</v>
      </c>
    </row>
    <row r="6" spans="1:30">
      <c r="A6" s="42">
        <v>5</v>
      </c>
      <c r="B6" s="42" t="str">
        <f ca="1"/>
        <v>2025211134</v>
      </c>
      <c r="E6">
        <f>IF(D6=0,0,_xlfn.XLOOKUP(C6,CLIENT_CODE!B:B,CLIENT_CODE!F:F,0))</f>
        <v>0</v>
      </c>
      <c r="F6">
        <f ca="1">_xlfn.XLOOKUP(B6,CRN!G:G,CRN!K:K,"")</f>
        <v>0</v>
      </c>
      <c r="G6">
        <f ca="1">IF(F6=0,0,_xlfn.XLOOKUP(C6,CLIENT_CODE!B:B,CLIENT_CODE!G:G,0))</f>
        <v>0</v>
      </c>
      <c r="H6">
        <f ca="1">_xlfn.XLOOKUP(B6,CRN!G:G,CRN!L:L,"")</f>
        <v>1</v>
      </c>
      <c r="I6">
        <f ca="1">IF(H6=0,0,_xlfn.XLOOKUP(C6,CLIENT_CODE!B:B,CLIENT_CODE!H:H,0))</f>
        <v>0</v>
      </c>
      <c r="J6">
        <f ca="1">_xlfn.XLOOKUP(B6,CRN!G:G,CRN!M:M,"")</f>
        <v>0</v>
      </c>
      <c r="K6">
        <f ca="1">IF(J6=0,0,_xlfn.XLOOKUP(C6,CLIENT_CODE!B:B,CLIENT_CODE!I:I,0))</f>
        <v>0</v>
      </c>
      <c r="L6">
        <f ca="1">_xlfn.XLOOKUP(B6,CRN!G:G,CRN!N:N,"")</f>
        <v>1</v>
      </c>
      <c r="M6">
        <f ca="1">IF(L6=0,0,_xlfn.XLOOKUP(C6,CLIENT_CODE!B:B,CLIENT_CODE!J:J,0))</f>
        <v>0</v>
      </c>
      <c r="N6">
        <f ca="1">_xlfn.XLOOKUP(B6,CRN!G:G,CRN!O:O,"")</f>
        <v>0</v>
      </c>
      <c r="O6">
        <f ca="1">IF(N6=0,0,_xlfn.XLOOKUP(C6,CLIENT_CODE!B:B,CLIENT_CODE!K:K,0))</f>
        <v>0</v>
      </c>
      <c r="P6">
        <f ca="1">_xlfn.XLOOKUP(B6,CRN!G:G,CRN!P:P,"")</f>
        <v>0</v>
      </c>
      <c r="Q6">
        <f ca="1">IF(P6=0,0,_xlfn.XLOOKUP(C6,CLIENT_CODE!B:B,CLIENT_CODE!L:L,0))</f>
        <v>0</v>
      </c>
      <c r="R6">
        <f ca="1">_xlfn.XLOOKUP(B6,CRN!G:G,CRN!Q:Q,"")</f>
        <v>0</v>
      </c>
      <c r="S6">
        <f ca="1">IF(R6=0,0,_xlfn.XLOOKUP(C6,CLIENT_CODE!B:B,CLIENT_CODE!M:M,0))</f>
        <v>0</v>
      </c>
      <c r="T6">
        <f ca="1">_xlfn.XLOOKUP(B6,CRN!G:G,CRN!R:R,"")</f>
        <v>1</v>
      </c>
      <c r="U6">
        <f ca="1">IF(T6=0,0,_xlfn.XLOOKUP(C6,CLIENT_CODE!B:B,CLIENT_CODE!N:N,0))</f>
        <v>0</v>
      </c>
      <c r="V6">
        <f ca="1">_xlfn.XLOOKUP(B6,CRN!G:G,CRN!S:S,"")</f>
        <v>1</v>
      </c>
      <c r="W6">
        <f ca="1">IF(V6=0,0,_xlfn.XLOOKUP(C6,CLIENT_CODE!B:B,CLIENT_CODE!O:O,0))</f>
        <v>0</v>
      </c>
      <c r="X6">
        <f ca="1">_xlfn.XLOOKUP(B6,CRN!G:G,CRN!T:T,"")</f>
        <v>0</v>
      </c>
      <c r="Y6">
        <f ca="1">IF(X6=0,0,_xlfn.XLOOKUP(C6,CLIENT_CODE!B:B,CLIENT_CODE!P:P,0))</f>
        <v>0</v>
      </c>
      <c r="Z6">
        <f ca="1">_xlfn.XLOOKUP(B6,CRN!G:G,CRN!U:U,"")</f>
        <v>0</v>
      </c>
      <c r="AA6">
        <f ca="1">IF(X6=0,0,_xlfn.XLOOKUP(C6,CLIENT_CODE!B:B,CLIENT_CODE!P:P,0))</f>
        <v>0</v>
      </c>
      <c r="AB6">
        <f ca="1">_xlfn.XLOOKUP(B6,CRN!G:G,CRN!V:V,"")</f>
        <v>0</v>
      </c>
      <c r="AC6">
        <f ca="1">IF(AB6=0,0,_xlfn.XLOOKUP(C6,CLIENT_CODE!B:B,CLIENT_CODE!R:R,0))</f>
        <v>0</v>
      </c>
      <c r="AD6">
        <f t="shared" ca="1" si="0"/>
        <v>0</v>
      </c>
    </row>
    <row r="7" spans="1:30">
      <c r="A7" s="42">
        <v>6</v>
      </c>
      <c r="B7" s="42" t="str">
        <f ca="1"/>
        <v>2025211454</v>
      </c>
      <c r="E7">
        <f>IF(D7=0,0,_xlfn.XLOOKUP(C7,CLIENT_CODE!B:B,CLIENT_CODE!F:F,0))</f>
        <v>0</v>
      </c>
      <c r="F7">
        <f ca="1">_xlfn.XLOOKUP(B7,CRN!G:G,CRN!K:K,"")</f>
        <v>0</v>
      </c>
      <c r="G7">
        <f ca="1">IF(F7=0,0,_xlfn.XLOOKUP(C7,CLIENT_CODE!B:B,CLIENT_CODE!G:G,0))</f>
        <v>0</v>
      </c>
      <c r="H7">
        <f ca="1">_xlfn.XLOOKUP(B7,CRN!G:G,CRN!L:L,"")</f>
        <v>1</v>
      </c>
      <c r="I7">
        <f ca="1">IF(H7=0,0,_xlfn.XLOOKUP(C7,CLIENT_CODE!B:B,CLIENT_CODE!H:H,0))</f>
        <v>0</v>
      </c>
      <c r="J7">
        <f ca="1">_xlfn.XLOOKUP(B7,CRN!G:G,CRN!M:M,"")</f>
        <v>0</v>
      </c>
      <c r="K7">
        <f ca="1">IF(J7=0,0,_xlfn.XLOOKUP(C7,CLIENT_CODE!B:B,CLIENT_CODE!I:I,0))</f>
        <v>0</v>
      </c>
      <c r="L7">
        <f ca="1">_xlfn.XLOOKUP(B7,CRN!G:G,CRN!N:N,"")</f>
        <v>1</v>
      </c>
      <c r="M7">
        <f ca="1">IF(L7=0,0,_xlfn.XLOOKUP(C7,CLIENT_CODE!B:B,CLIENT_CODE!J:J,0))</f>
        <v>0</v>
      </c>
      <c r="N7">
        <f ca="1">_xlfn.XLOOKUP(B7,CRN!G:G,CRN!O:O,"")</f>
        <v>0</v>
      </c>
      <c r="O7">
        <f ca="1">IF(N7=0,0,_xlfn.XLOOKUP(C7,CLIENT_CODE!B:B,CLIENT_CODE!K:K,0))</f>
        <v>0</v>
      </c>
      <c r="P7">
        <f ca="1">_xlfn.XLOOKUP(B7,CRN!G:G,CRN!P:P,"")</f>
        <v>0</v>
      </c>
      <c r="Q7">
        <f ca="1">IF(P7=0,0,_xlfn.XLOOKUP(C7,CLIENT_CODE!B:B,CLIENT_CODE!L:L,0))</f>
        <v>0</v>
      </c>
      <c r="R7">
        <f ca="1">_xlfn.XLOOKUP(B7,CRN!G:G,CRN!Q:Q,"")</f>
        <v>0</v>
      </c>
      <c r="S7">
        <f ca="1">IF(R7=0,0,_xlfn.XLOOKUP(C7,CLIENT_CODE!B:B,CLIENT_CODE!M:M,0))</f>
        <v>0</v>
      </c>
      <c r="T7">
        <f ca="1">_xlfn.XLOOKUP(B7,CRN!G:G,CRN!R:R,"")</f>
        <v>1</v>
      </c>
      <c r="U7">
        <f ca="1">IF(T7=0,0,_xlfn.XLOOKUP(C7,CLIENT_CODE!B:B,CLIENT_CODE!N:N,0))</f>
        <v>0</v>
      </c>
      <c r="V7">
        <f ca="1">_xlfn.XLOOKUP(B7,CRN!G:G,CRN!S:S,"")</f>
        <v>1</v>
      </c>
      <c r="W7">
        <f ca="1">IF(V7=0,0,_xlfn.XLOOKUP(C7,CLIENT_CODE!B:B,CLIENT_CODE!O:O,0))</f>
        <v>0</v>
      </c>
      <c r="X7">
        <f ca="1">_xlfn.XLOOKUP(B7,CRN!G:G,CRN!T:T,"")</f>
        <v>0</v>
      </c>
      <c r="Y7">
        <f ca="1">IF(X7=0,0,_xlfn.XLOOKUP(C7,CLIENT_CODE!B:B,CLIENT_CODE!P:P,0))</f>
        <v>0</v>
      </c>
      <c r="Z7">
        <f ca="1">_xlfn.XLOOKUP(B7,CRN!G:G,CRN!U:U,"")</f>
        <v>0</v>
      </c>
      <c r="AA7">
        <f ca="1">IF(X7=0,0,_xlfn.XLOOKUP(C7,CLIENT_CODE!B:B,CLIENT_CODE!P:P,0))</f>
        <v>0</v>
      </c>
      <c r="AB7">
        <f ca="1">_xlfn.XLOOKUP(B7,CRN!G:G,CRN!V:V,"")</f>
        <v>0</v>
      </c>
      <c r="AC7">
        <f ca="1">IF(AB7=0,0,_xlfn.XLOOKUP(C7,CLIENT_CODE!B:B,CLIENT_CODE!R:R,0))</f>
        <v>0</v>
      </c>
      <c r="AD7">
        <f t="shared" ca="1" si="0"/>
        <v>0</v>
      </c>
    </row>
    <row r="8" spans="1:30">
      <c r="A8" s="42">
        <v>7</v>
      </c>
      <c r="B8" s="42" t="str">
        <f ca="1"/>
        <v>2025211475</v>
      </c>
      <c r="E8">
        <f>IF(D8=0,0,_xlfn.XLOOKUP(C8,CLIENT_CODE!B:B,CLIENT_CODE!F:F,0))</f>
        <v>0</v>
      </c>
      <c r="F8">
        <f ca="1">_xlfn.XLOOKUP(B8,CRN!G:G,CRN!K:K,"")</f>
        <v>0</v>
      </c>
      <c r="G8">
        <f ca="1">IF(F8=0,0,_xlfn.XLOOKUP(C8,CLIENT_CODE!B:B,CLIENT_CODE!G:G,0))</f>
        <v>0</v>
      </c>
      <c r="H8">
        <f ca="1">_xlfn.XLOOKUP(B8,CRN!G:G,CRN!L:L,"")</f>
        <v>1</v>
      </c>
      <c r="I8">
        <f ca="1">IF(H8=0,0,_xlfn.XLOOKUP(C8,CLIENT_CODE!B:B,CLIENT_CODE!H:H,0))</f>
        <v>0</v>
      </c>
      <c r="J8">
        <f ca="1">_xlfn.XLOOKUP(B8,CRN!G:G,CRN!M:M,"")</f>
        <v>0</v>
      </c>
      <c r="K8">
        <f ca="1">IF(J8=0,0,_xlfn.XLOOKUP(C8,CLIENT_CODE!B:B,CLIENT_CODE!I:I,0))</f>
        <v>0</v>
      </c>
      <c r="L8">
        <f ca="1">_xlfn.XLOOKUP(B8,CRN!G:G,CRN!N:N,"")</f>
        <v>1</v>
      </c>
      <c r="M8">
        <f ca="1">IF(L8=0,0,_xlfn.XLOOKUP(C8,CLIENT_CODE!B:B,CLIENT_CODE!J:J,0))</f>
        <v>0</v>
      </c>
      <c r="N8">
        <f ca="1">_xlfn.XLOOKUP(B8,CRN!G:G,CRN!O:O,"")</f>
        <v>0</v>
      </c>
      <c r="O8">
        <f ca="1">IF(N8=0,0,_xlfn.XLOOKUP(C8,CLIENT_CODE!B:B,CLIENT_CODE!K:K,0))</f>
        <v>0</v>
      </c>
      <c r="P8">
        <f ca="1">_xlfn.XLOOKUP(B8,CRN!G:G,CRN!P:P,"")</f>
        <v>0</v>
      </c>
      <c r="Q8">
        <f ca="1">IF(P8=0,0,_xlfn.XLOOKUP(C8,CLIENT_CODE!B:B,CLIENT_CODE!L:L,0))</f>
        <v>0</v>
      </c>
      <c r="R8">
        <f ca="1">_xlfn.XLOOKUP(B8,CRN!G:G,CRN!Q:Q,"")</f>
        <v>0</v>
      </c>
      <c r="S8">
        <f ca="1">IF(R8=0,0,_xlfn.XLOOKUP(C8,CLIENT_CODE!B:B,CLIENT_CODE!M:M,0))</f>
        <v>0</v>
      </c>
      <c r="T8">
        <f ca="1">_xlfn.XLOOKUP(B8,CRN!G:G,CRN!R:R,"")</f>
        <v>1</v>
      </c>
      <c r="U8">
        <f ca="1">IF(T8=0,0,_xlfn.XLOOKUP(C8,CLIENT_CODE!B:B,CLIENT_CODE!N:N,0))</f>
        <v>0</v>
      </c>
      <c r="V8">
        <f ca="1">_xlfn.XLOOKUP(B8,CRN!G:G,CRN!S:S,"")</f>
        <v>1</v>
      </c>
      <c r="W8">
        <f ca="1">IF(V8=0,0,_xlfn.XLOOKUP(C8,CLIENT_CODE!B:B,CLIENT_CODE!O:O,0))</f>
        <v>0</v>
      </c>
      <c r="X8">
        <f ca="1">_xlfn.XLOOKUP(B8,CRN!G:G,CRN!T:T,"")</f>
        <v>0</v>
      </c>
      <c r="Y8">
        <f ca="1">IF(X8=0,0,_xlfn.XLOOKUP(C8,CLIENT_CODE!B:B,CLIENT_CODE!P:P,0))</f>
        <v>0</v>
      </c>
      <c r="Z8">
        <f ca="1">_xlfn.XLOOKUP(B8,CRN!G:G,CRN!U:U,"")</f>
        <v>0</v>
      </c>
      <c r="AA8">
        <f ca="1">IF(X8=0,0,_xlfn.XLOOKUP(C8,CLIENT_CODE!B:B,CLIENT_CODE!P:P,0))</f>
        <v>0</v>
      </c>
      <c r="AB8">
        <f ca="1">_xlfn.XLOOKUP(B8,CRN!G:G,CRN!V:V,"")</f>
        <v>0</v>
      </c>
      <c r="AC8">
        <f ca="1">IF(AB8=0,0,_xlfn.XLOOKUP(C8,CLIENT_CODE!B:B,CLIENT_CODE!R:R,0))</f>
        <v>0</v>
      </c>
      <c r="AD8">
        <f t="shared" ca="1" si="0"/>
        <v>0</v>
      </c>
    </row>
    <row r="9" spans="1:30">
      <c r="A9" s="42">
        <v>8</v>
      </c>
      <c r="B9" s="42" t="str">
        <f ca="1"/>
        <v>MTP-N-2526-004127</v>
      </c>
      <c r="E9">
        <f>IF(D9=0,0,_xlfn.XLOOKUP(C9,CLIENT_CODE!B:B,CLIENT_CODE!F:F,0))</f>
        <v>0</v>
      </c>
      <c r="F9">
        <f ca="1">_xlfn.XLOOKUP(B9,CRN!G:G,CRN!K:K,"")</f>
        <v>0</v>
      </c>
      <c r="G9">
        <f ca="1">IF(F9=0,0,_xlfn.XLOOKUP(C9,CLIENT_CODE!B:B,CLIENT_CODE!G:G,0))</f>
        <v>0</v>
      </c>
      <c r="H9">
        <f ca="1">_xlfn.XLOOKUP(B9,CRN!G:G,CRN!L:L,"")</f>
        <v>1</v>
      </c>
      <c r="I9">
        <f ca="1">IF(H9=0,0,_xlfn.XLOOKUP(C9,CLIENT_CODE!B:B,CLIENT_CODE!H:H,0))</f>
        <v>0</v>
      </c>
      <c r="J9">
        <f ca="1">_xlfn.XLOOKUP(B9,CRN!G:G,CRN!M:M,"")</f>
        <v>1</v>
      </c>
      <c r="K9">
        <f ca="1">IF(J9=0,0,_xlfn.XLOOKUP(C9,CLIENT_CODE!B:B,CLIENT_CODE!I:I,0))</f>
        <v>0</v>
      </c>
      <c r="L9">
        <f ca="1">_xlfn.XLOOKUP(B9,CRN!G:G,CRN!N:N,"")</f>
        <v>1</v>
      </c>
      <c r="M9">
        <f ca="1">IF(L9=0,0,_xlfn.XLOOKUP(C9,CLIENT_CODE!B:B,CLIENT_CODE!J:J,0))</f>
        <v>0</v>
      </c>
      <c r="N9">
        <f ca="1">_xlfn.XLOOKUP(B9,CRN!G:G,CRN!O:O,"")</f>
        <v>1</v>
      </c>
      <c r="O9">
        <f ca="1">IF(N9=0,0,_xlfn.XLOOKUP(C9,CLIENT_CODE!B:B,CLIENT_CODE!K:K,0))</f>
        <v>0</v>
      </c>
      <c r="P9">
        <f ca="1">_xlfn.XLOOKUP(B9,CRN!G:G,CRN!P:P,"")</f>
        <v>1</v>
      </c>
      <c r="Q9">
        <f ca="1">IF(P9=0,0,_xlfn.XLOOKUP(C9,CLIENT_CODE!B:B,CLIENT_CODE!L:L,0))</f>
        <v>0</v>
      </c>
      <c r="R9">
        <f ca="1">_xlfn.XLOOKUP(B9,CRN!G:G,CRN!Q:Q,"")</f>
        <v>0</v>
      </c>
      <c r="S9">
        <f ca="1">IF(R9=0,0,_xlfn.XLOOKUP(C9,CLIENT_CODE!B:B,CLIENT_CODE!M:M,0))</f>
        <v>0</v>
      </c>
      <c r="T9">
        <f ca="1">_xlfn.XLOOKUP(B9,CRN!G:G,CRN!R:R,"")</f>
        <v>1</v>
      </c>
      <c r="U9">
        <f ca="1">IF(T9=0,0,_xlfn.XLOOKUP(C9,CLIENT_CODE!B:B,CLIENT_CODE!N:N,0))</f>
        <v>0</v>
      </c>
      <c r="V9">
        <f ca="1">_xlfn.XLOOKUP(B9,CRN!G:G,CRN!S:S,"")</f>
        <v>1</v>
      </c>
      <c r="W9">
        <f ca="1">IF(V9=0,0,_xlfn.XLOOKUP(C9,CLIENT_CODE!B:B,CLIENT_CODE!O:O,0))</f>
        <v>0</v>
      </c>
      <c r="X9">
        <f ca="1">_xlfn.XLOOKUP(B9,CRN!G:G,CRN!T:T,"")</f>
        <v>0</v>
      </c>
      <c r="Y9">
        <f ca="1">IF(X9=0,0,_xlfn.XLOOKUP(C9,CLIENT_CODE!B:B,CLIENT_CODE!P:P,0))</f>
        <v>0</v>
      </c>
      <c r="Z9">
        <f ca="1">_xlfn.XLOOKUP(B9,CRN!G:G,CRN!U:U,"")</f>
        <v>0</v>
      </c>
      <c r="AA9">
        <f ca="1">IF(X9=0,0,_xlfn.XLOOKUP(C9,CLIENT_CODE!B:B,CLIENT_CODE!P:P,0))</f>
        <v>0</v>
      </c>
      <c r="AB9">
        <f ca="1">_xlfn.XLOOKUP(B9,CRN!G:G,CRN!V:V,"")</f>
        <v>1</v>
      </c>
      <c r="AC9">
        <f ca="1">IF(AB9=0,0,_xlfn.XLOOKUP(C9,CLIENT_CODE!B:B,CLIENT_CODE!R:R,0))</f>
        <v>0</v>
      </c>
      <c r="AD9">
        <f t="shared" ca="1" si="0"/>
        <v>0</v>
      </c>
    </row>
    <row r="10" spans="1:30">
      <c r="A10" s="42">
        <v>9</v>
      </c>
      <c r="B10" s="42" t="str">
        <f ca="1"/>
        <v>2025212058</v>
      </c>
      <c r="E10">
        <f>IF(D10=0,0,_xlfn.XLOOKUP(C10,CLIENT_CODE!B:B,CLIENT_CODE!F:F,0))</f>
        <v>0</v>
      </c>
      <c r="F10">
        <f ca="1">_xlfn.XLOOKUP(B10,CRN!G:G,CRN!K:K,"")</f>
        <v>0</v>
      </c>
      <c r="G10">
        <f ca="1">IF(F10=0,0,_xlfn.XLOOKUP(C10,CLIENT_CODE!B:B,CLIENT_CODE!G:G,0))</f>
        <v>0</v>
      </c>
      <c r="H10">
        <f ca="1">_xlfn.XLOOKUP(B10,CRN!G:G,CRN!L:L,"")</f>
        <v>1</v>
      </c>
      <c r="I10">
        <f ca="1">IF(H10=0,0,_xlfn.XLOOKUP(C10,CLIENT_CODE!B:B,CLIENT_CODE!H:H,0))</f>
        <v>0</v>
      </c>
      <c r="J10">
        <f ca="1">_xlfn.XLOOKUP(B10,CRN!G:G,CRN!M:M,"")</f>
        <v>0</v>
      </c>
      <c r="K10">
        <f ca="1">IF(J10=0,0,_xlfn.XLOOKUP(C10,CLIENT_CODE!B:B,CLIENT_CODE!I:I,0))</f>
        <v>0</v>
      </c>
      <c r="L10">
        <f ca="1">_xlfn.XLOOKUP(B10,CRN!G:G,CRN!N:N,"")</f>
        <v>1</v>
      </c>
      <c r="M10">
        <f ca="1">IF(L10=0,0,_xlfn.XLOOKUP(C10,CLIENT_CODE!B:B,CLIENT_CODE!J:J,0))</f>
        <v>0</v>
      </c>
      <c r="N10">
        <f ca="1">_xlfn.XLOOKUP(B10,CRN!G:G,CRN!O:O,"")</f>
        <v>0</v>
      </c>
      <c r="O10">
        <f ca="1">IF(N10=0,0,_xlfn.XLOOKUP(C10,CLIENT_CODE!B:B,CLIENT_CODE!K:K,0))</f>
        <v>0</v>
      </c>
      <c r="P10">
        <f ca="1">_xlfn.XLOOKUP(B10,CRN!G:G,CRN!P:P,"")</f>
        <v>0</v>
      </c>
      <c r="Q10">
        <f ca="1">IF(P10=0,0,_xlfn.XLOOKUP(C10,CLIENT_CODE!B:B,CLIENT_CODE!L:L,0))</f>
        <v>0</v>
      </c>
      <c r="R10">
        <f ca="1">_xlfn.XLOOKUP(B10,CRN!G:G,CRN!Q:Q,"")</f>
        <v>0</v>
      </c>
      <c r="S10">
        <f ca="1">IF(R10=0,0,_xlfn.XLOOKUP(C10,CLIENT_CODE!B:B,CLIENT_CODE!M:M,0))</f>
        <v>0</v>
      </c>
      <c r="T10">
        <f ca="1">_xlfn.XLOOKUP(B10,CRN!G:G,CRN!R:R,"")</f>
        <v>1</v>
      </c>
      <c r="U10">
        <f ca="1">IF(T10=0,0,_xlfn.XLOOKUP(C10,CLIENT_CODE!B:B,CLIENT_CODE!N:N,0))</f>
        <v>0</v>
      </c>
      <c r="V10">
        <f ca="1">_xlfn.XLOOKUP(B10,CRN!G:G,CRN!S:S,"")</f>
        <v>1</v>
      </c>
      <c r="W10">
        <f ca="1">IF(V10=0,0,_xlfn.XLOOKUP(C10,CLIENT_CODE!B:B,CLIENT_CODE!O:O,0))</f>
        <v>0</v>
      </c>
      <c r="X10">
        <f ca="1">_xlfn.XLOOKUP(B10,CRN!G:G,CRN!T:T,"")</f>
        <v>0</v>
      </c>
      <c r="Y10">
        <f ca="1">IF(X10=0,0,_xlfn.XLOOKUP(C10,CLIENT_CODE!B:B,CLIENT_CODE!P:P,0))</f>
        <v>0</v>
      </c>
      <c r="Z10">
        <f ca="1">_xlfn.XLOOKUP(B10,CRN!G:G,CRN!U:U,"")</f>
        <v>0</v>
      </c>
      <c r="AA10">
        <f ca="1">IF(X10=0,0,_xlfn.XLOOKUP(C10,CLIENT_CODE!B:B,CLIENT_CODE!P:P,0))</f>
        <v>0</v>
      </c>
      <c r="AB10">
        <f ca="1">_xlfn.XLOOKUP(B10,CRN!G:G,CRN!V:V,"")</f>
        <v>0</v>
      </c>
      <c r="AC10">
        <f ca="1">IF(AB10=0,0,_xlfn.XLOOKUP(C10,CLIENT_CODE!B:B,CLIENT_CODE!R:R,0))</f>
        <v>0</v>
      </c>
      <c r="AD10">
        <f t="shared" ca="1" si="0"/>
        <v>0</v>
      </c>
    </row>
    <row r="11" spans="1:30">
      <c r="A11" s="42">
        <v>10</v>
      </c>
      <c r="B11" s="42" t="str">
        <f ca="1"/>
        <v>2025212055</v>
      </c>
      <c r="E11">
        <f>IF(D11=0,0,_xlfn.XLOOKUP(C11,CLIENT_CODE!B:B,CLIENT_CODE!F:F,0))</f>
        <v>0</v>
      </c>
      <c r="F11">
        <f ca="1">_xlfn.XLOOKUP(B11,CRN!G:G,CRN!K:K,"")</f>
        <v>0</v>
      </c>
      <c r="G11">
        <f ca="1">IF(F11=0,0,_xlfn.XLOOKUP(C11,CLIENT_CODE!B:B,CLIENT_CODE!G:G,0))</f>
        <v>0</v>
      </c>
      <c r="H11">
        <f ca="1">_xlfn.XLOOKUP(B11,CRN!G:G,CRN!L:L,"")</f>
        <v>1</v>
      </c>
      <c r="I11">
        <f ca="1">IF(H11=0,0,_xlfn.XLOOKUP(C11,CLIENT_CODE!B:B,CLIENT_CODE!H:H,0))</f>
        <v>0</v>
      </c>
      <c r="J11">
        <f ca="1">_xlfn.XLOOKUP(B11,CRN!G:G,CRN!M:M,"")</f>
        <v>0</v>
      </c>
      <c r="K11">
        <f ca="1">IF(J11=0,0,_xlfn.XLOOKUP(C11,CLIENT_CODE!B:B,CLIENT_CODE!I:I,0))</f>
        <v>0</v>
      </c>
      <c r="L11">
        <f ca="1">_xlfn.XLOOKUP(B11,CRN!G:G,CRN!N:N,"")</f>
        <v>0</v>
      </c>
      <c r="M11">
        <f ca="1">IF(L11=0,0,_xlfn.XLOOKUP(C11,CLIENT_CODE!B:B,CLIENT_CODE!J:J,0))</f>
        <v>0</v>
      </c>
      <c r="N11">
        <f ca="1">_xlfn.XLOOKUP(B11,CRN!G:G,CRN!O:O,"")</f>
        <v>0</v>
      </c>
      <c r="O11">
        <f ca="1">IF(N11=0,0,_xlfn.XLOOKUP(C11,CLIENT_CODE!B:B,CLIENT_CODE!K:K,0))</f>
        <v>0</v>
      </c>
      <c r="P11">
        <f ca="1">_xlfn.XLOOKUP(B11,CRN!G:G,CRN!P:P,"")</f>
        <v>0</v>
      </c>
      <c r="Q11">
        <f ca="1">IF(P11=0,0,_xlfn.XLOOKUP(C11,CLIENT_CODE!B:B,CLIENT_CODE!L:L,0))</f>
        <v>0</v>
      </c>
      <c r="R11">
        <f ca="1">_xlfn.XLOOKUP(B11,CRN!G:G,CRN!Q:Q,"")</f>
        <v>0</v>
      </c>
      <c r="S11">
        <f ca="1">IF(R11=0,0,_xlfn.XLOOKUP(C11,CLIENT_CODE!B:B,CLIENT_CODE!M:M,0))</f>
        <v>0</v>
      </c>
      <c r="T11">
        <f ca="1">_xlfn.XLOOKUP(B11,CRN!G:G,CRN!R:R,"")</f>
        <v>0</v>
      </c>
      <c r="U11">
        <f ca="1">IF(T11=0,0,_xlfn.XLOOKUP(C11,CLIENT_CODE!B:B,CLIENT_CODE!N:N,0))</f>
        <v>0</v>
      </c>
      <c r="V11">
        <f ca="1">_xlfn.XLOOKUP(B11,CRN!G:G,CRN!S:S,"")</f>
        <v>0</v>
      </c>
      <c r="W11">
        <f ca="1">IF(V11=0,0,_xlfn.XLOOKUP(C11,CLIENT_CODE!B:B,CLIENT_CODE!O:O,0))</f>
        <v>0</v>
      </c>
      <c r="X11">
        <f ca="1">_xlfn.XLOOKUP(B11,CRN!G:G,CRN!T:T,"")</f>
        <v>0</v>
      </c>
      <c r="Y11">
        <f ca="1">IF(X11=0,0,_xlfn.XLOOKUP(C11,CLIENT_CODE!B:B,CLIENT_CODE!P:P,0))</f>
        <v>0</v>
      </c>
      <c r="Z11">
        <f ca="1">_xlfn.XLOOKUP(B11,CRN!G:G,CRN!U:U,"")</f>
        <v>0</v>
      </c>
      <c r="AA11">
        <f ca="1">IF(X11=0,0,_xlfn.XLOOKUP(C11,CLIENT_CODE!B:B,CLIENT_CODE!P:P,0))</f>
        <v>0</v>
      </c>
      <c r="AB11">
        <f ca="1">_xlfn.XLOOKUP(B11,CRN!G:G,CRN!V:V,"")</f>
        <v>0</v>
      </c>
      <c r="AC11">
        <f ca="1">IF(AB11=0,0,_xlfn.XLOOKUP(C11,CLIENT_CODE!B:B,CLIENT_CODE!R:R,0))</f>
        <v>0</v>
      </c>
      <c r="AD11">
        <f t="shared" ca="1" si="0"/>
        <v>0</v>
      </c>
    </row>
    <row r="12" spans="1:30">
      <c r="A12" s="42">
        <v>11</v>
      </c>
      <c r="B12" s="42" t="str">
        <f ca="1"/>
        <v>2025212053</v>
      </c>
      <c r="E12">
        <f>IF(D12=0,0,_xlfn.XLOOKUP(C12,CLIENT_CODE!B:B,CLIENT_CODE!F:F,0))</f>
        <v>0</v>
      </c>
      <c r="F12">
        <f ca="1">_xlfn.XLOOKUP(B12,CRN!G:G,CRN!K:K,"")</f>
        <v>0</v>
      </c>
      <c r="G12">
        <f ca="1">IF(F12=0,0,_xlfn.XLOOKUP(C12,CLIENT_CODE!B:B,CLIENT_CODE!G:G,0))</f>
        <v>0</v>
      </c>
      <c r="H12">
        <f ca="1">_xlfn.XLOOKUP(B12,CRN!G:G,CRN!L:L,"")</f>
        <v>1</v>
      </c>
      <c r="I12">
        <f ca="1">IF(H12=0,0,_xlfn.XLOOKUP(C12,CLIENT_CODE!B:B,CLIENT_CODE!H:H,0))</f>
        <v>0</v>
      </c>
      <c r="J12">
        <f ca="1">_xlfn.XLOOKUP(B12,CRN!G:G,CRN!M:M,"")</f>
        <v>0</v>
      </c>
      <c r="K12">
        <f ca="1">IF(J12=0,0,_xlfn.XLOOKUP(C12,CLIENT_CODE!B:B,CLIENT_CODE!I:I,0))</f>
        <v>0</v>
      </c>
      <c r="L12">
        <f ca="1">_xlfn.XLOOKUP(B12,CRN!G:G,CRN!N:N,"")</f>
        <v>1</v>
      </c>
      <c r="M12">
        <f ca="1">IF(L12=0,0,_xlfn.XLOOKUP(C12,CLIENT_CODE!B:B,CLIENT_CODE!J:J,0))</f>
        <v>0</v>
      </c>
      <c r="N12">
        <f ca="1">_xlfn.XLOOKUP(B12,CRN!G:G,CRN!O:O,"")</f>
        <v>0</v>
      </c>
      <c r="O12">
        <f ca="1">IF(N12=0,0,_xlfn.XLOOKUP(C12,CLIENT_CODE!B:B,CLIENT_CODE!K:K,0))</f>
        <v>0</v>
      </c>
      <c r="P12">
        <f ca="1">_xlfn.XLOOKUP(B12,CRN!G:G,CRN!P:P,"")</f>
        <v>0</v>
      </c>
      <c r="Q12">
        <f ca="1">IF(P12=0,0,_xlfn.XLOOKUP(C12,CLIENT_CODE!B:B,CLIENT_CODE!L:L,0))</f>
        <v>0</v>
      </c>
      <c r="R12">
        <f ca="1">_xlfn.XLOOKUP(B12,CRN!G:G,CRN!Q:Q,"")</f>
        <v>0</v>
      </c>
      <c r="S12">
        <f ca="1">IF(R12=0,0,_xlfn.XLOOKUP(C12,CLIENT_CODE!B:B,CLIENT_CODE!M:M,0))</f>
        <v>0</v>
      </c>
      <c r="T12">
        <f ca="1">_xlfn.XLOOKUP(B12,CRN!G:G,CRN!R:R,"")</f>
        <v>1</v>
      </c>
      <c r="U12">
        <f ca="1">IF(T12=0,0,_xlfn.XLOOKUP(C12,CLIENT_CODE!B:B,CLIENT_CODE!N:N,0))</f>
        <v>0</v>
      </c>
      <c r="V12">
        <f ca="1">_xlfn.XLOOKUP(B12,CRN!G:G,CRN!S:S,"")</f>
        <v>1</v>
      </c>
      <c r="W12">
        <f ca="1">IF(V12=0,0,_xlfn.XLOOKUP(C12,CLIENT_CODE!B:B,CLIENT_CODE!O:O,0))</f>
        <v>0</v>
      </c>
      <c r="X12">
        <f ca="1">_xlfn.XLOOKUP(B12,CRN!G:G,CRN!T:T,"")</f>
        <v>0</v>
      </c>
      <c r="Y12">
        <f ca="1">IF(X12=0,0,_xlfn.XLOOKUP(C12,CLIENT_CODE!B:B,CLIENT_CODE!P:P,0))</f>
        <v>0</v>
      </c>
      <c r="Z12">
        <f ca="1">_xlfn.XLOOKUP(B12,CRN!G:G,CRN!U:U,"")</f>
        <v>0</v>
      </c>
      <c r="AA12">
        <f ca="1">IF(X12=0,0,_xlfn.XLOOKUP(C12,CLIENT_CODE!B:B,CLIENT_CODE!P:P,0))</f>
        <v>0</v>
      </c>
      <c r="AB12">
        <f ca="1">_xlfn.XLOOKUP(B12,CRN!G:G,CRN!V:V,"")</f>
        <v>0</v>
      </c>
      <c r="AC12">
        <f ca="1">IF(AB12=0,0,_xlfn.XLOOKUP(C12,CLIENT_CODE!B:B,CLIENT_CODE!R:R,0))</f>
        <v>0</v>
      </c>
      <c r="AD12">
        <f t="shared" ca="1" si="0"/>
        <v>0</v>
      </c>
    </row>
    <row r="13" spans="1:30">
      <c r="A13" s="42">
        <v>12</v>
      </c>
      <c r="B13" s="42">
        <f ca="1"/>
        <v>2025212050</v>
      </c>
      <c r="E13">
        <f>IF(D13=0,0,_xlfn.XLOOKUP(C13,CLIENT_CODE!B:B,CLIENT_CODE!F:F,0))</f>
        <v>0</v>
      </c>
      <c r="F13">
        <f ca="1">_xlfn.XLOOKUP(B13,CRN!G:G,CRN!K:K,"")</f>
        <v>0</v>
      </c>
      <c r="G13">
        <f ca="1">IF(F13=0,0,_xlfn.XLOOKUP(C13,CLIENT_CODE!B:B,CLIENT_CODE!G:G,0))</f>
        <v>0</v>
      </c>
      <c r="H13">
        <f ca="1">_xlfn.XLOOKUP(B13,CRN!G:G,CRN!L:L,"")</f>
        <v>1</v>
      </c>
      <c r="I13">
        <f ca="1">IF(H13=0,0,_xlfn.XLOOKUP(C13,CLIENT_CODE!B:B,CLIENT_CODE!H:H,0))</f>
        <v>0</v>
      </c>
      <c r="J13">
        <f ca="1">_xlfn.XLOOKUP(B13,CRN!G:G,CRN!M:M,"")</f>
        <v>0</v>
      </c>
      <c r="K13">
        <f ca="1">IF(J13=0,0,_xlfn.XLOOKUP(C13,CLIENT_CODE!B:B,CLIENT_CODE!I:I,0))</f>
        <v>0</v>
      </c>
      <c r="L13">
        <f ca="1">_xlfn.XLOOKUP(B13,CRN!G:G,CRN!N:N,"")</f>
        <v>1</v>
      </c>
      <c r="M13">
        <f ca="1">IF(L13=0,0,_xlfn.XLOOKUP(C13,CLIENT_CODE!B:B,CLIENT_CODE!J:J,0))</f>
        <v>0</v>
      </c>
      <c r="N13">
        <f ca="1">_xlfn.XLOOKUP(B13,CRN!G:G,CRN!O:O,"")</f>
        <v>0</v>
      </c>
      <c r="O13">
        <f ca="1">IF(N13=0,0,_xlfn.XLOOKUP(C13,CLIENT_CODE!B:B,CLIENT_CODE!K:K,0))</f>
        <v>0</v>
      </c>
      <c r="P13">
        <f ca="1">_xlfn.XLOOKUP(B13,CRN!G:G,CRN!P:P,"")</f>
        <v>0</v>
      </c>
      <c r="Q13">
        <f ca="1">IF(P13=0,0,_xlfn.XLOOKUP(C13,CLIENT_CODE!B:B,CLIENT_CODE!L:L,0))</f>
        <v>0</v>
      </c>
      <c r="R13">
        <f ca="1">_xlfn.XLOOKUP(B13,CRN!G:G,CRN!Q:Q,"")</f>
        <v>0</v>
      </c>
      <c r="S13">
        <f ca="1">IF(R13=0,0,_xlfn.XLOOKUP(C13,CLIENT_CODE!B:B,CLIENT_CODE!M:M,0))</f>
        <v>0</v>
      </c>
      <c r="T13">
        <f ca="1">_xlfn.XLOOKUP(B13,CRN!G:G,CRN!R:R,"")</f>
        <v>1</v>
      </c>
      <c r="U13">
        <f ca="1">IF(T13=0,0,_xlfn.XLOOKUP(C13,CLIENT_CODE!B:B,CLIENT_CODE!N:N,0))</f>
        <v>0</v>
      </c>
      <c r="V13">
        <f ca="1">_xlfn.XLOOKUP(B13,CRN!G:G,CRN!S:S,"")</f>
        <v>1</v>
      </c>
      <c r="W13">
        <f ca="1">IF(V13=0,0,_xlfn.XLOOKUP(C13,CLIENT_CODE!B:B,CLIENT_CODE!O:O,0))</f>
        <v>0</v>
      </c>
      <c r="X13">
        <f ca="1">_xlfn.XLOOKUP(B13,CRN!G:G,CRN!T:T,"")</f>
        <v>0</v>
      </c>
      <c r="Y13">
        <f ca="1">IF(X13=0,0,_xlfn.XLOOKUP(C13,CLIENT_CODE!B:B,CLIENT_CODE!P:P,0))</f>
        <v>0</v>
      </c>
      <c r="Z13">
        <f ca="1">_xlfn.XLOOKUP(B13,CRN!G:G,CRN!U:U,"")</f>
        <v>0</v>
      </c>
      <c r="AA13">
        <f ca="1">IF(X13=0,0,_xlfn.XLOOKUP(C13,CLIENT_CODE!B:B,CLIENT_CODE!P:P,0))</f>
        <v>0</v>
      </c>
      <c r="AB13">
        <f ca="1">_xlfn.XLOOKUP(B13,CRN!G:G,CRN!V:V,"")</f>
        <v>0</v>
      </c>
      <c r="AC13">
        <f ca="1">IF(AB13=0,0,_xlfn.XLOOKUP(C13,CLIENT_CODE!B:B,CLIENT_CODE!R:R,0))</f>
        <v>0</v>
      </c>
      <c r="AD13">
        <f t="shared" ca="1" si="0"/>
        <v>0</v>
      </c>
    </row>
    <row r="14" spans="1:30">
      <c r="A14" s="42">
        <v>13</v>
      </c>
      <c r="B14" s="42" t="str">
        <f ca="1"/>
        <v>2025212191</v>
      </c>
      <c r="E14">
        <f>IF(D14=0,0,_xlfn.XLOOKUP(C14,CLIENT_CODE!B:B,CLIENT_CODE!F:F,0))</f>
        <v>0</v>
      </c>
      <c r="F14">
        <f ca="1">_xlfn.XLOOKUP(B14,CRN!G:G,CRN!K:K,"")</f>
        <v>0</v>
      </c>
      <c r="G14">
        <f ca="1">IF(F14=0,0,_xlfn.XLOOKUP(C14,CLIENT_CODE!B:B,CLIENT_CODE!G:G,0))</f>
        <v>0</v>
      </c>
      <c r="H14">
        <f ca="1">_xlfn.XLOOKUP(B14,CRN!G:G,CRN!L:L,"")</f>
        <v>1</v>
      </c>
      <c r="I14">
        <f ca="1">IF(H14=0,0,_xlfn.XLOOKUP(C14,CLIENT_CODE!B:B,CLIENT_CODE!H:H,0))</f>
        <v>0</v>
      </c>
      <c r="J14">
        <f ca="1">_xlfn.XLOOKUP(B14,CRN!G:G,CRN!M:M,"")</f>
        <v>0</v>
      </c>
      <c r="K14">
        <f ca="1">IF(J14=0,0,_xlfn.XLOOKUP(C14,CLIENT_CODE!B:B,CLIENT_CODE!I:I,0))</f>
        <v>0</v>
      </c>
      <c r="L14">
        <f ca="1">_xlfn.XLOOKUP(B14,CRN!G:G,CRN!N:N,"")</f>
        <v>1</v>
      </c>
      <c r="M14">
        <f ca="1">IF(L14=0,0,_xlfn.XLOOKUP(C14,CLIENT_CODE!B:B,CLIENT_CODE!J:J,0))</f>
        <v>0</v>
      </c>
      <c r="N14">
        <f ca="1">_xlfn.XLOOKUP(B14,CRN!G:G,CRN!O:O,"")</f>
        <v>0</v>
      </c>
      <c r="O14">
        <f ca="1">IF(N14=0,0,_xlfn.XLOOKUP(C14,CLIENT_CODE!B:B,CLIENT_CODE!K:K,0))</f>
        <v>0</v>
      </c>
      <c r="P14">
        <f ca="1">_xlfn.XLOOKUP(B14,CRN!G:G,CRN!P:P,"")</f>
        <v>0</v>
      </c>
      <c r="Q14">
        <f ca="1">IF(P14=0,0,_xlfn.XLOOKUP(C14,CLIENT_CODE!B:B,CLIENT_CODE!L:L,0))</f>
        <v>0</v>
      </c>
      <c r="R14">
        <f ca="1">_xlfn.XLOOKUP(B14,CRN!G:G,CRN!Q:Q,"")</f>
        <v>0</v>
      </c>
      <c r="S14">
        <f ca="1">IF(R14=0,0,_xlfn.XLOOKUP(C14,CLIENT_CODE!B:B,CLIENT_CODE!M:M,0))</f>
        <v>0</v>
      </c>
      <c r="T14">
        <f ca="1">_xlfn.XLOOKUP(B14,CRN!G:G,CRN!R:R,"")</f>
        <v>1</v>
      </c>
      <c r="U14">
        <f ca="1">IF(T14=0,0,_xlfn.XLOOKUP(C14,CLIENT_CODE!B:B,CLIENT_CODE!N:N,0))</f>
        <v>0</v>
      </c>
      <c r="V14">
        <f ca="1">_xlfn.XLOOKUP(B14,CRN!G:G,CRN!S:S,"")</f>
        <v>1</v>
      </c>
      <c r="W14">
        <f ca="1">IF(V14=0,0,_xlfn.XLOOKUP(C14,CLIENT_CODE!B:B,CLIENT_CODE!O:O,0))</f>
        <v>0</v>
      </c>
      <c r="X14">
        <f ca="1">_xlfn.XLOOKUP(B14,CRN!G:G,CRN!T:T,"")</f>
        <v>0</v>
      </c>
      <c r="Y14">
        <f ca="1">IF(X14=0,0,_xlfn.XLOOKUP(C14,CLIENT_CODE!B:B,CLIENT_CODE!P:P,0))</f>
        <v>0</v>
      </c>
      <c r="Z14">
        <f ca="1">_xlfn.XLOOKUP(B14,CRN!G:G,CRN!U:U,"")</f>
        <v>0</v>
      </c>
      <c r="AA14">
        <f ca="1">IF(X14=0,0,_xlfn.XLOOKUP(C14,CLIENT_CODE!B:B,CLIENT_CODE!P:P,0))</f>
        <v>0</v>
      </c>
      <c r="AB14">
        <f ca="1">_xlfn.XLOOKUP(B14,CRN!G:G,CRN!V:V,"")</f>
        <v>0</v>
      </c>
      <c r="AC14">
        <f ca="1">IF(AB14=0,0,_xlfn.XLOOKUP(C14,CLIENT_CODE!B:B,CLIENT_CODE!R:R,0))</f>
        <v>0</v>
      </c>
      <c r="AD14">
        <f t="shared" ca="1" si="0"/>
        <v>0</v>
      </c>
    </row>
    <row r="15" spans="1:30">
      <c r="A15" s="42">
        <v>14</v>
      </c>
      <c r="B15" s="42" t="str">
        <f ca="1"/>
        <v>2025212189</v>
      </c>
      <c r="E15">
        <f>IF(D15=0,0,_xlfn.XLOOKUP(C15,CLIENT_CODE!B:B,CLIENT_CODE!F:F,0))</f>
        <v>0</v>
      </c>
      <c r="F15">
        <f ca="1">_xlfn.XLOOKUP(B15,CRN!G:G,CRN!K:K,"")</f>
        <v>0</v>
      </c>
      <c r="G15">
        <f ca="1">IF(F15=0,0,_xlfn.XLOOKUP(C15,CLIENT_CODE!B:B,CLIENT_CODE!G:G,0))</f>
        <v>0</v>
      </c>
      <c r="H15">
        <f ca="1">_xlfn.XLOOKUP(B15,CRN!G:G,CRN!L:L,"")</f>
        <v>1</v>
      </c>
      <c r="I15">
        <f ca="1">IF(H15=0,0,_xlfn.XLOOKUP(C15,CLIENT_CODE!B:B,CLIENT_CODE!H:H,0))</f>
        <v>0</v>
      </c>
      <c r="J15">
        <f ca="1">_xlfn.XLOOKUP(B15,CRN!G:G,CRN!M:M,"")</f>
        <v>0</v>
      </c>
      <c r="K15">
        <f ca="1">IF(J15=0,0,_xlfn.XLOOKUP(C15,CLIENT_CODE!B:B,CLIENT_CODE!I:I,0))</f>
        <v>0</v>
      </c>
      <c r="L15">
        <f ca="1">_xlfn.XLOOKUP(B15,CRN!G:G,CRN!N:N,"")</f>
        <v>1</v>
      </c>
      <c r="M15">
        <f ca="1">IF(L15=0,0,_xlfn.XLOOKUP(C15,CLIENT_CODE!B:B,CLIENT_CODE!J:J,0))</f>
        <v>0</v>
      </c>
      <c r="N15">
        <f ca="1">_xlfn.XLOOKUP(B15,CRN!G:G,CRN!O:O,"")</f>
        <v>0</v>
      </c>
      <c r="O15">
        <f ca="1">IF(N15=0,0,_xlfn.XLOOKUP(C15,CLIENT_CODE!B:B,CLIENT_CODE!K:K,0))</f>
        <v>0</v>
      </c>
      <c r="P15">
        <f ca="1">_xlfn.XLOOKUP(B15,CRN!G:G,CRN!P:P,"")</f>
        <v>0</v>
      </c>
      <c r="Q15">
        <f ca="1">IF(P15=0,0,_xlfn.XLOOKUP(C15,CLIENT_CODE!B:B,CLIENT_CODE!L:L,0))</f>
        <v>0</v>
      </c>
      <c r="R15">
        <f ca="1">_xlfn.XLOOKUP(B15,CRN!G:G,CRN!Q:Q,"")</f>
        <v>0</v>
      </c>
      <c r="S15">
        <f ca="1">IF(R15=0,0,_xlfn.XLOOKUP(C15,CLIENT_CODE!B:B,CLIENT_CODE!M:M,0))</f>
        <v>0</v>
      </c>
      <c r="T15">
        <f ca="1">_xlfn.XLOOKUP(B15,CRN!G:G,CRN!R:R,"")</f>
        <v>1</v>
      </c>
      <c r="U15">
        <f ca="1">IF(T15=0,0,_xlfn.XLOOKUP(C15,CLIENT_CODE!B:B,CLIENT_CODE!N:N,0))</f>
        <v>0</v>
      </c>
      <c r="V15">
        <f ca="1">_xlfn.XLOOKUP(B15,CRN!G:G,CRN!S:S,"")</f>
        <v>1</v>
      </c>
      <c r="W15">
        <f ca="1">IF(V15=0,0,_xlfn.XLOOKUP(C15,CLIENT_CODE!B:B,CLIENT_CODE!O:O,0))</f>
        <v>0</v>
      </c>
      <c r="X15">
        <f ca="1">_xlfn.XLOOKUP(B15,CRN!G:G,CRN!T:T,"")</f>
        <v>0</v>
      </c>
      <c r="Y15">
        <f ca="1">IF(X15=0,0,_xlfn.XLOOKUP(C15,CLIENT_CODE!B:B,CLIENT_CODE!P:P,0))</f>
        <v>0</v>
      </c>
      <c r="Z15">
        <f ca="1">_xlfn.XLOOKUP(B15,CRN!G:G,CRN!U:U,"")</f>
        <v>0</v>
      </c>
      <c r="AA15">
        <f ca="1">IF(X15=0,0,_xlfn.XLOOKUP(C15,CLIENT_CODE!B:B,CLIENT_CODE!P:P,0))</f>
        <v>0</v>
      </c>
      <c r="AB15">
        <f ca="1">_xlfn.XLOOKUP(B15,CRN!G:G,CRN!V:V,"")</f>
        <v>0</v>
      </c>
      <c r="AC15">
        <f ca="1">IF(AB15=0,0,_xlfn.XLOOKUP(C15,CLIENT_CODE!B:B,CLIENT_CODE!R:R,0))</f>
        <v>0</v>
      </c>
      <c r="AD15">
        <f t="shared" ca="1" si="0"/>
        <v>0</v>
      </c>
    </row>
    <row r="16" spans="1:30">
      <c r="A16" s="42">
        <v>15</v>
      </c>
      <c r="B16" s="42" t="str">
        <f ca="1"/>
        <v>2025212222</v>
      </c>
      <c r="E16">
        <f>IF(D16=0,0,_xlfn.XLOOKUP(C16,CLIENT_CODE!B:B,CLIENT_CODE!F:F,0))</f>
        <v>0</v>
      </c>
      <c r="F16">
        <f ca="1">_xlfn.XLOOKUP(B16,CRN!G:G,CRN!K:K,"")</f>
        <v>0</v>
      </c>
      <c r="G16">
        <f ca="1">IF(F16=0,0,_xlfn.XLOOKUP(C16,CLIENT_CODE!B:B,CLIENT_CODE!G:G,0))</f>
        <v>0</v>
      </c>
      <c r="H16">
        <f ca="1">_xlfn.XLOOKUP(B16,CRN!G:G,CRN!L:L,"")</f>
        <v>1</v>
      </c>
      <c r="I16">
        <f ca="1">IF(H16=0,0,_xlfn.XLOOKUP(C16,CLIENT_CODE!B:B,CLIENT_CODE!H:H,0))</f>
        <v>0</v>
      </c>
      <c r="J16">
        <f ca="1">_xlfn.XLOOKUP(B16,CRN!G:G,CRN!M:M,"")</f>
        <v>0</v>
      </c>
      <c r="K16">
        <f ca="1">IF(J16=0,0,_xlfn.XLOOKUP(C16,CLIENT_CODE!B:B,CLIENT_CODE!I:I,0))</f>
        <v>0</v>
      </c>
      <c r="L16">
        <f ca="1">_xlfn.XLOOKUP(B16,CRN!G:G,CRN!N:N,"")</f>
        <v>0</v>
      </c>
      <c r="M16">
        <f ca="1">IF(L16=0,0,_xlfn.XLOOKUP(C16,CLIENT_CODE!B:B,CLIENT_CODE!J:J,0))</f>
        <v>0</v>
      </c>
      <c r="N16">
        <f ca="1">_xlfn.XLOOKUP(B16,CRN!G:G,CRN!O:O,"")</f>
        <v>0</v>
      </c>
      <c r="O16">
        <f ca="1">IF(N16=0,0,_xlfn.XLOOKUP(C16,CLIENT_CODE!B:B,CLIENT_CODE!K:K,0))</f>
        <v>0</v>
      </c>
      <c r="P16">
        <f ca="1">_xlfn.XLOOKUP(B16,CRN!G:G,CRN!P:P,"")</f>
        <v>0</v>
      </c>
      <c r="Q16">
        <f ca="1">IF(P16=0,0,_xlfn.XLOOKUP(C16,CLIENT_CODE!B:B,CLIENT_CODE!L:L,0))</f>
        <v>0</v>
      </c>
      <c r="R16">
        <f ca="1">_xlfn.XLOOKUP(B16,CRN!G:G,CRN!Q:Q,"")</f>
        <v>0</v>
      </c>
      <c r="S16">
        <f ca="1">IF(R16=0,0,_xlfn.XLOOKUP(C16,CLIENT_CODE!B:B,CLIENT_CODE!M:M,0))</f>
        <v>0</v>
      </c>
      <c r="T16">
        <f ca="1">_xlfn.XLOOKUP(B16,CRN!G:G,CRN!R:R,"")</f>
        <v>0</v>
      </c>
      <c r="U16">
        <f ca="1">IF(T16=0,0,_xlfn.XLOOKUP(C16,CLIENT_CODE!B:B,CLIENT_CODE!N:N,0))</f>
        <v>0</v>
      </c>
      <c r="V16">
        <f ca="1">_xlfn.XLOOKUP(B16,CRN!G:G,CRN!S:S,"")</f>
        <v>0</v>
      </c>
      <c r="W16">
        <f ca="1">IF(V16=0,0,_xlfn.XLOOKUP(C16,CLIENT_CODE!B:B,CLIENT_CODE!O:O,0))</f>
        <v>0</v>
      </c>
      <c r="X16">
        <f ca="1">_xlfn.XLOOKUP(B16,CRN!G:G,CRN!T:T,"")</f>
        <v>0</v>
      </c>
      <c r="Y16">
        <f ca="1">IF(X16=0,0,_xlfn.XLOOKUP(C16,CLIENT_CODE!B:B,CLIENT_CODE!P:P,0))</f>
        <v>0</v>
      </c>
      <c r="Z16">
        <f ca="1">_xlfn.XLOOKUP(B16,CRN!G:G,CRN!U:U,"")</f>
        <v>0</v>
      </c>
      <c r="AA16">
        <f ca="1">IF(X16=0,0,_xlfn.XLOOKUP(C16,CLIENT_CODE!B:B,CLIENT_CODE!P:P,0))</f>
        <v>0</v>
      </c>
      <c r="AB16">
        <f ca="1">_xlfn.XLOOKUP(B16,CRN!G:G,CRN!V:V,"")</f>
        <v>0</v>
      </c>
      <c r="AC16">
        <f ca="1">IF(AB16=0,0,_xlfn.XLOOKUP(C16,CLIENT_CODE!B:B,CLIENT_CODE!R:R,0))</f>
        <v>0</v>
      </c>
      <c r="AD16">
        <f t="shared" ca="1" si="0"/>
        <v>0</v>
      </c>
    </row>
    <row r="17" spans="1:30">
      <c r="A17" s="42">
        <v>16</v>
      </c>
      <c r="B17" s="42" t="str">
        <f ca="1"/>
        <v>2025212162</v>
      </c>
      <c r="E17">
        <f>IF(D17=0,0,_xlfn.XLOOKUP(C17,CLIENT_CODE!B:B,CLIENT_CODE!F:F,0))</f>
        <v>0</v>
      </c>
      <c r="F17">
        <f ca="1">_xlfn.XLOOKUP(B17,CRN!G:G,CRN!K:K,"")</f>
        <v>0</v>
      </c>
      <c r="G17">
        <f ca="1">IF(F17=0,0,_xlfn.XLOOKUP(C17,CLIENT_CODE!B:B,CLIENT_CODE!G:G,0))</f>
        <v>0</v>
      </c>
      <c r="H17">
        <f ca="1">_xlfn.XLOOKUP(B17,CRN!G:G,CRN!L:L,"")</f>
        <v>1</v>
      </c>
      <c r="I17">
        <f ca="1">IF(H17=0,0,_xlfn.XLOOKUP(C17,CLIENT_CODE!B:B,CLIENT_CODE!H:H,0))</f>
        <v>0</v>
      </c>
      <c r="J17">
        <f ca="1">_xlfn.XLOOKUP(B17,CRN!G:G,CRN!M:M,"")</f>
        <v>0</v>
      </c>
      <c r="K17">
        <f ca="1">IF(J17=0,0,_xlfn.XLOOKUP(C17,CLIENT_CODE!B:B,CLIENT_CODE!I:I,0))</f>
        <v>0</v>
      </c>
      <c r="L17">
        <f ca="1">_xlfn.XLOOKUP(B17,CRN!G:G,CRN!N:N,"")</f>
        <v>0</v>
      </c>
      <c r="M17">
        <f ca="1">IF(L17=0,0,_xlfn.XLOOKUP(C17,CLIENT_CODE!B:B,CLIENT_CODE!J:J,0))</f>
        <v>0</v>
      </c>
      <c r="N17">
        <f ca="1">_xlfn.XLOOKUP(B17,CRN!G:G,CRN!O:O,"")</f>
        <v>0</v>
      </c>
      <c r="O17">
        <f ca="1">IF(N17=0,0,_xlfn.XLOOKUP(C17,CLIENT_CODE!B:B,CLIENT_CODE!K:K,0))</f>
        <v>0</v>
      </c>
      <c r="P17">
        <f ca="1">_xlfn.XLOOKUP(B17,CRN!G:G,CRN!P:P,"")</f>
        <v>0</v>
      </c>
      <c r="Q17">
        <f ca="1">IF(P17=0,0,_xlfn.XLOOKUP(C17,CLIENT_CODE!B:B,CLIENT_CODE!L:L,0))</f>
        <v>0</v>
      </c>
      <c r="R17">
        <f ca="1">_xlfn.XLOOKUP(B17,CRN!G:G,CRN!Q:Q,"")</f>
        <v>0</v>
      </c>
      <c r="S17">
        <f ca="1">IF(R17=0,0,_xlfn.XLOOKUP(C17,CLIENT_CODE!B:B,CLIENT_CODE!M:M,0))</f>
        <v>0</v>
      </c>
      <c r="T17">
        <f ca="1">_xlfn.XLOOKUP(B17,CRN!G:G,CRN!R:R,"")</f>
        <v>0</v>
      </c>
      <c r="U17">
        <f ca="1">IF(T17=0,0,_xlfn.XLOOKUP(C17,CLIENT_CODE!B:B,CLIENT_CODE!N:N,0))</f>
        <v>0</v>
      </c>
      <c r="V17">
        <f ca="1">_xlfn.XLOOKUP(B17,CRN!G:G,CRN!S:S,"")</f>
        <v>0</v>
      </c>
      <c r="W17">
        <f ca="1">IF(V17=0,0,_xlfn.XLOOKUP(C17,CLIENT_CODE!B:B,CLIENT_CODE!O:O,0))</f>
        <v>0</v>
      </c>
      <c r="X17">
        <f ca="1">_xlfn.XLOOKUP(B17,CRN!G:G,CRN!T:T,"")</f>
        <v>0</v>
      </c>
      <c r="Y17">
        <f ca="1">IF(X17=0,0,_xlfn.XLOOKUP(C17,CLIENT_CODE!B:B,CLIENT_CODE!P:P,0))</f>
        <v>0</v>
      </c>
      <c r="Z17">
        <f ca="1">_xlfn.XLOOKUP(B17,CRN!G:G,CRN!U:U,"")</f>
        <v>0</v>
      </c>
      <c r="AA17">
        <f ca="1">IF(X17=0,0,_xlfn.XLOOKUP(C17,CLIENT_CODE!B:B,CLIENT_CODE!P:P,0))</f>
        <v>0</v>
      </c>
      <c r="AB17">
        <f ca="1">_xlfn.XLOOKUP(B17,CRN!G:G,CRN!V:V,"")</f>
        <v>0</v>
      </c>
      <c r="AC17">
        <f ca="1">IF(AB17=0,0,_xlfn.XLOOKUP(C17,CLIENT_CODE!B:B,CLIENT_CODE!R:R,0))</f>
        <v>0</v>
      </c>
      <c r="AD17">
        <f t="shared" ca="1" si="0"/>
        <v>0</v>
      </c>
    </row>
    <row r="18" spans="1:30">
      <c r="A18" s="42">
        <v>17</v>
      </c>
      <c r="B18" s="42" t="str">
        <f ca="1"/>
        <v>2025212410</v>
      </c>
      <c r="E18">
        <f>IF(D18=0,0,_xlfn.XLOOKUP(C18,CLIENT_CODE!B:B,CLIENT_CODE!F:F,0))</f>
        <v>0</v>
      </c>
      <c r="F18">
        <f ca="1">_xlfn.XLOOKUP(B18,CRN!G:G,CRN!K:K,"")</f>
        <v>0</v>
      </c>
      <c r="G18">
        <f ca="1">IF(F18=0,0,_xlfn.XLOOKUP(C18,CLIENT_CODE!B:B,CLIENT_CODE!G:G,0))</f>
        <v>0</v>
      </c>
      <c r="H18">
        <f ca="1">_xlfn.XLOOKUP(B18,CRN!G:G,CRN!L:L,"")</f>
        <v>1</v>
      </c>
      <c r="I18">
        <f ca="1">IF(H18=0,0,_xlfn.XLOOKUP(C18,CLIENT_CODE!B:B,CLIENT_CODE!H:H,0))</f>
        <v>0</v>
      </c>
      <c r="J18">
        <f ca="1">_xlfn.XLOOKUP(B18,CRN!G:G,CRN!M:M,"")</f>
        <v>0</v>
      </c>
      <c r="K18">
        <f ca="1">IF(J18=0,0,_xlfn.XLOOKUP(C18,CLIENT_CODE!B:B,CLIENT_CODE!I:I,0))</f>
        <v>0</v>
      </c>
      <c r="L18">
        <f ca="1">_xlfn.XLOOKUP(B18,CRN!G:G,CRN!N:N,"")</f>
        <v>1</v>
      </c>
      <c r="M18">
        <f ca="1">IF(L18=0,0,_xlfn.XLOOKUP(C18,CLIENT_CODE!B:B,CLIENT_CODE!J:J,0))</f>
        <v>0</v>
      </c>
      <c r="N18">
        <f ca="1">_xlfn.XLOOKUP(B18,CRN!G:G,CRN!O:O,"")</f>
        <v>0</v>
      </c>
      <c r="O18">
        <f ca="1">IF(N18=0,0,_xlfn.XLOOKUP(C18,CLIENT_CODE!B:B,CLIENT_CODE!K:K,0))</f>
        <v>0</v>
      </c>
      <c r="P18">
        <f ca="1">_xlfn.XLOOKUP(B18,CRN!G:G,CRN!P:P,"")</f>
        <v>0</v>
      </c>
      <c r="Q18">
        <f ca="1">IF(P18=0,0,_xlfn.XLOOKUP(C18,CLIENT_CODE!B:B,CLIENT_CODE!L:L,0))</f>
        <v>0</v>
      </c>
      <c r="R18">
        <f ca="1">_xlfn.XLOOKUP(B18,CRN!G:G,CRN!Q:Q,"")</f>
        <v>0</v>
      </c>
      <c r="S18">
        <f ca="1">IF(R18=0,0,_xlfn.XLOOKUP(C18,CLIENT_CODE!B:B,CLIENT_CODE!M:M,0))</f>
        <v>0</v>
      </c>
      <c r="T18">
        <f ca="1">_xlfn.XLOOKUP(B18,CRN!G:G,CRN!R:R,"")</f>
        <v>1</v>
      </c>
      <c r="U18">
        <f ca="1">IF(T18=0,0,_xlfn.XLOOKUP(C18,CLIENT_CODE!B:B,CLIENT_CODE!N:N,0))</f>
        <v>0</v>
      </c>
      <c r="V18">
        <f ca="1">_xlfn.XLOOKUP(B18,CRN!G:G,CRN!S:S,"")</f>
        <v>1</v>
      </c>
      <c r="W18">
        <f ca="1">IF(V18=0,0,_xlfn.XLOOKUP(C18,CLIENT_CODE!B:B,CLIENT_CODE!O:O,0))</f>
        <v>0</v>
      </c>
      <c r="X18">
        <f ca="1">_xlfn.XLOOKUP(B18,CRN!G:G,CRN!T:T,"")</f>
        <v>0</v>
      </c>
      <c r="Y18">
        <f ca="1">IF(X18=0,0,_xlfn.XLOOKUP(C18,CLIENT_CODE!B:B,CLIENT_CODE!P:P,0))</f>
        <v>0</v>
      </c>
      <c r="Z18">
        <f ca="1">_xlfn.XLOOKUP(B18,CRN!G:G,CRN!U:U,"")</f>
        <v>0</v>
      </c>
      <c r="AA18">
        <f ca="1">IF(X18=0,0,_xlfn.XLOOKUP(C18,CLIENT_CODE!B:B,CLIENT_CODE!P:P,0))</f>
        <v>0</v>
      </c>
      <c r="AB18">
        <f ca="1">_xlfn.XLOOKUP(B18,CRN!G:G,CRN!V:V,"")</f>
        <v>0</v>
      </c>
      <c r="AC18">
        <f ca="1">IF(AB18=0,0,_xlfn.XLOOKUP(C18,CLIENT_CODE!B:B,CLIENT_CODE!R:R,0))</f>
        <v>0</v>
      </c>
      <c r="AD18">
        <f t="shared" ca="1" si="0"/>
        <v>0</v>
      </c>
    </row>
    <row r="19" spans="1:30">
      <c r="A19" s="42">
        <v>18</v>
      </c>
      <c r="B19" s="42" t="str">
        <f ca="1"/>
        <v>2025212215</v>
      </c>
      <c r="E19">
        <f>IF(D19=0,0,_xlfn.XLOOKUP(C19,CLIENT_CODE!B:B,CLIENT_CODE!F:F,0))</f>
        <v>0</v>
      </c>
      <c r="F19">
        <f ca="1">_xlfn.XLOOKUP(B19,CRN!G:G,CRN!K:K,"")</f>
        <v>0</v>
      </c>
      <c r="G19">
        <f ca="1">IF(F19=0,0,_xlfn.XLOOKUP(C19,CLIENT_CODE!B:B,CLIENT_CODE!G:G,0))</f>
        <v>0</v>
      </c>
      <c r="H19">
        <f ca="1">_xlfn.XLOOKUP(B19,CRN!G:G,CRN!L:L,"")</f>
        <v>1</v>
      </c>
      <c r="I19">
        <f ca="1">IF(H19=0,0,_xlfn.XLOOKUP(C19,CLIENT_CODE!B:B,CLIENT_CODE!H:H,0))</f>
        <v>0</v>
      </c>
      <c r="J19">
        <f ca="1">_xlfn.XLOOKUP(B19,CRN!G:G,CRN!M:M,"")</f>
        <v>0</v>
      </c>
      <c r="K19">
        <f ca="1">IF(J19=0,0,_xlfn.XLOOKUP(C19,CLIENT_CODE!B:B,CLIENT_CODE!I:I,0))</f>
        <v>0</v>
      </c>
      <c r="L19">
        <f ca="1">_xlfn.XLOOKUP(B19,CRN!G:G,CRN!N:N,"")</f>
        <v>1</v>
      </c>
      <c r="M19">
        <f ca="1">IF(L19=0,0,_xlfn.XLOOKUP(C19,CLIENT_CODE!B:B,CLIENT_CODE!J:J,0))</f>
        <v>0</v>
      </c>
      <c r="N19">
        <f ca="1">_xlfn.XLOOKUP(B19,CRN!G:G,CRN!O:O,"")</f>
        <v>0</v>
      </c>
      <c r="O19">
        <f ca="1">IF(N19=0,0,_xlfn.XLOOKUP(C19,CLIENT_CODE!B:B,CLIENT_CODE!K:K,0))</f>
        <v>0</v>
      </c>
      <c r="P19">
        <f ca="1">_xlfn.XLOOKUP(B19,CRN!G:G,CRN!P:P,"")</f>
        <v>0</v>
      </c>
      <c r="Q19">
        <f ca="1">IF(P19=0,0,_xlfn.XLOOKUP(C19,CLIENT_CODE!B:B,CLIENT_CODE!L:L,0))</f>
        <v>0</v>
      </c>
      <c r="R19">
        <f ca="1">_xlfn.XLOOKUP(B19,CRN!G:G,CRN!Q:Q,"")</f>
        <v>0</v>
      </c>
      <c r="S19">
        <f ca="1">IF(R19=0,0,_xlfn.XLOOKUP(C19,CLIENT_CODE!B:B,CLIENT_CODE!M:M,0))</f>
        <v>0</v>
      </c>
      <c r="T19">
        <f ca="1">_xlfn.XLOOKUP(B19,CRN!G:G,CRN!R:R,"")</f>
        <v>1</v>
      </c>
      <c r="U19">
        <f ca="1">IF(T19=0,0,_xlfn.XLOOKUP(C19,CLIENT_CODE!B:B,CLIENT_CODE!N:N,0))</f>
        <v>0</v>
      </c>
      <c r="V19">
        <f ca="1">_xlfn.XLOOKUP(B19,CRN!G:G,CRN!S:S,"")</f>
        <v>1</v>
      </c>
      <c r="W19">
        <f ca="1">IF(V19=0,0,_xlfn.XLOOKUP(C19,CLIENT_CODE!B:B,CLIENT_CODE!O:O,0))</f>
        <v>0</v>
      </c>
      <c r="X19">
        <f ca="1">_xlfn.XLOOKUP(B19,CRN!G:G,CRN!T:T,"")</f>
        <v>0</v>
      </c>
      <c r="Y19">
        <f ca="1">IF(X19=0,0,_xlfn.XLOOKUP(C19,CLIENT_CODE!B:B,CLIENT_CODE!P:P,0))</f>
        <v>0</v>
      </c>
      <c r="Z19">
        <f ca="1">_xlfn.XLOOKUP(B19,CRN!G:G,CRN!U:U,"")</f>
        <v>0</v>
      </c>
      <c r="AA19">
        <f ca="1">IF(X19=0,0,_xlfn.XLOOKUP(C19,CLIENT_CODE!B:B,CLIENT_CODE!P:P,0))</f>
        <v>0</v>
      </c>
      <c r="AB19">
        <f ca="1">_xlfn.XLOOKUP(B19,CRN!G:G,CRN!V:V,"")</f>
        <v>0</v>
      </c>
      <c r="AC19">
        <f ca="1">IF(AB19=0,0,_xlfn.XLOOKUP(C19,CLIENT_CODE!B:B,CLIENT_CODE!R:R,0))</f>
        <v>0</v>
      </c>
      <c r="AD19">
        <f t="shared" ca="1" si="0"/>
        <v>0</v>
      </c>
    </row>
    <row r="20" spans="1:30">
      <c r="A20" s="42">
        <v>19</v>
      </c>
      <c r="B20" s="42" t="str">
        <f ca="1"/>
        <v>2025212407</v>
      </c>
      <c r="E20">
        <f>IF(D20=0,0,_xlfn.XLOOKUP(C20,CLIENT_CODE!B:B,CLIENT_CODE!F:F,0))</f>
        <v>0</v>
      </c>
      <c r="F20">
        <f ca="1">_xlfn.XLOOKUP(B20,CRN!G:G,CRN!K:K,"")</f>
        <v>0</v>
      </c>
      <c r="G20">
        <f ca="1">IF(F20=0,0,_xlfn.XLOOKUP(C20,CLIENT_CODE!B:B,CLIENT_CODE!G:G,0))</f>
        <v>0</v>
      </c>
      <c r="H20">
        <f ca="1">_xlfn.XLOOKUP(B20,CRN!G:G,CRN!L:L,"")</f>
        <v>1</v>
      </c>
      <c r="I20">
        <f ca="1">IF(H20=0,0,_xlfn.XLOOKUP(C20,CLIENT_CODE!B:B,CLIENT_CODE!H:H,0))</f>
        <v>0</v>
      </c>
      <c r="J20">
        <f ca="1">_xlfn.XLOOKUP(B20,CRN!G:G,CRN!M:M,"")</f>
        <v>0</v>
      </c>
      <c r="K20">
        <f ca="1">IF(J20=0,0,_xlfn.XLOOKUP(C20,CLIENT_CODE!B:B,CLIENT_CODE!I:I,0))</f>
        <v>0</v>
      </c>
      <c r="L20">
        <f ca="1">_xlfn.XLOOKUP(B20,CRN!G:G,CRN!N:N,"")</f>
        <v>0</v>
      </c>
      <c r="M20">
        <f ca="1">IF(L20=0,0,_xlfn.XLOOKUP(C20,CLIENT_CODE!B:B,CLIENT_CODE!J:J,0))</f>
        <v>0</v>
      </c>
      <c r="N20">
        <f ca="1">_xlfn.XLOOKUP(B20,CRN!G:G,CRN!O:O,"")</f>
        <v>0</v>
      </c>
      <c r="O20">
        <f ca="1">IF(N20=0,0,_xlfn.XLOOKUP(C20,CLIENT_CODE!B:B,CLIENT_CODE!K:K,0))</f>
        <v>0</v>
      </c>
      <c r="P20">
        <f ca="1">_xlfn.XLOOKUP(B20,CRN!G:G,CRN!P:P,"")</f>
        <v>0</v>
      </c>
      <c r="Q20">
        <f ca="1">IF(P20=0,0,_xlfn.XLOOKUP(C20,CLIENT_CODE!B:B,CLIENT_CODE!L:L,0))</f>
        <v>0</v>
      </c>
      <c r="R20">
        <f ca="1">_xlfn.XLOOKUP(B20,CRN!G:G,CRN!Q:Q,"")</f>
        <v>0</v>
      </c>
      <c r="S20">
        <f ca="1">IF(R20=0,0,_xlfn.XLOOKUP(C20,CLIENT_CODE!B:B,CLIENT_CODE!M:M,0))</f>
        <v>0</v>
      </c>
      <c r="T20">
        <f ca="1">_xlfn.XLOOKUP(B20,CRN!G:G,CRN!R:R,"")</f>
        <v>0</v>
      </c>
      <c r="U20">
        <f ca="1">IF(T20=0,0,_xlfn.XLOOKUP(C20,CLIENT_CODE!B:B,CLIENT_CODE!N:N,0))</f>
        <v>0</v>
      </c>
      <c r="V20">
        <f ca="1">_xlfn.XLOOKUP(B20,CRN!G:G,CRN!S:S,"")</f>
        <v>0</v>
      </c>
      <c r="W20">
        <f ca="1">IF(V20=0,0,_xlfn.XLOOKUP(C20,CLIENT_CODE!B:B,CLIENT_CODE!O:O,0))</f>
        <v>0</v>
      </c>
      <c r="X20">
        <f ca="1">_xlfn.XLOOKUP(B20,CRN!G:G,CRN!T:T,"")</f>
        <v>0</v>
      </c>
      <c r="Y20">
        <f ca="1">IF(X20=0,0,_xlfn.XLOOKUP(C20,CLIENT_CODE!B:B,CLIENT_CODE!P:P,0))</f>
        <v>0</v>
      </c>
      <c r="Z20">
        <f ca="1">_xlfn.XLOOKUP(B20,CRN!G:G,CRN!U:U,"")</f>
        <v>0</v>
      </c>
      <c r="AA20">
        <f ca="1">IF(X20=0,0,_xlfn.XLOOKUP(C20,CLIENT_CODE!B:B,CLIENT_CODE!P:P,0))</f>
        <v>0</v>
      </c>
      <c r="AB20">
        <f ca="1">_xlfn.XLOOKUP(B20,CRN!G:G,CRN!V:V,"")</f>
        <v>0</v>
      </c>
      <c r="AC20">
        <f ca="1">IF(AB20=0,0,_xlfn.XLOOKUP(C20,CLIENT_CODE!B:B,CLIENT_CODE!R:R,0))</f>
        <v>0</v>
      </c>
      <c r="AD20">
        <f t="shared" ca="1" si="0"/>
        <v>0</v>
      </c>
    </row>
    <row r="21" spans="1:30">
      <c r="A21" s="42">
        <v>20</v>
      </c>
      <c r="B21" s="42" t="str">
        <f ca="1"/>
        <v>2025212443</v>
      </c>
      <c r="E21">
        <f>IF(D21=0,0,_xlfn.XLOOKUP(C21,CLIENT_CODE!B:B,CLIENT_CODE!F:F,0))</f>
        <v>0</v>
      </c>
      <c r="F21">
        <f ca="1">_xlfn.XLOOKUP(B21,CRN!G:G,CRN!K:K,"")</f>
        <v>0</v>
      </c>
      <c r="G21">
        <f ca="1">IF(F21=0,0,_xlfn.XLOOKUP(C21,CLIENT_CODE!B:B,CLIENT_CODE!G:G,0))</f>
        <v>0</v>
      </c>
      <c r="H21">
        <f ca="1">_xlfn.XLOOKUP(B21,CRN!G:G,CRN!L:L,"")</f>
        <v>1</v>
      </c>
      <c r="I21">
        <f ca="1">IF(H21=0,0,_xlfn.XLOOKUP(C21,CLIENT_CODE!B:B,CLIENT_CODE!H:H,0))</f>
        <v>0</v>
      </c>
      <c r="J21">
        <f ca="1">_xlfn.XLOOKUP(B21,CRN!G:G,CRN!M:M,"")</f>
        <v>0</v>
      </c>
      <c r="K21">
        <f ca="1">IF(J21=0,0,_xlfn.XLOOKUP(C21,CLIENT_CODE!B:B,CLIENT_CODE!I:I,0))</f>
        <v>0</v>
      </c>
      <c r="L21">
        <f ca="1">_xlfn.XLOOKUP(B21,CRN!G:G,CRN!N:N,"")</f>
        <v>1</v>
      </c>
      <c r="M21">
        <f ca="1">IF(L21=0,0,_xlfn.XLOOKUP(C21,CLIENT_CODE!B:B,CLIENT_CODE!J:J,0))</f>
        <v>0</v>
      </c>
      <c r="N21">
        <f ca="1">_xlfn.XLOOKUP(B21,CRN!G:G,CRN!O:O,"")</f>
        <v>0</v>
      </c>
      <c r="O21">
        <f ca="1">IF(N21=0,0,_xlfn.XLOOKUP(C21,CLIENT_CODE!B:B,CLIENT_CODE!K:K,0))</f>
        <v>0</v>
      </c>
      <c r="P21">
        <f ca="1">_xlfn.XLOOKUP(B21,CRN!G:G,CRN!P:P,"")</f>
        <v>0</v>
      </c>
      <c r="Q21">
        <f ca="1">IF(P21=0,0,_xlfn.XLOOKUP(C21,CLIENT_CODE!B:B,CLIENT_CODE!L:L,0))</f>
        <v>0</v>
      </c>
      <c r="R21">
        <f ca="1">_xlfn.XLOOKUP(B21,CRN!G:G,CRN!Q:Q,"")</f>
        <v>0</v>
      </c>
      <c r="S21">
        <f ca="1">IF(R21=0,0,_xlfn.XLOOKUP(C21,CLIENT_CODE!B:B,CLIENT_CODE!M:M,0))</f>
        <v>0</v>
      </c>
      <c r="T21">
        <f ca="1">_xlfn.XLOOKUP(B21,CRN!G:G,CRN!R:R,"")</f>
        <v>1</v>
      </c>
      <c r="U21">
        <f ca="1">IF(T21=0,0,_xlfn.XLOOKUP(C21,CLIENT_CODE!B:B,CLIENT_CODE!N:N,0))</f>
        <v>0</v>
      </c>
      <c r="V21">
        <f ca="1">_xlfn.XLOOKUP(B21,CRN!G:G,CRN!S:S,"")</f>
        <v>1</v>
      </c>
      <c r="W21">
        <f ca="1">IF(V21=0,0,_xlfn.XLOOKUP(C21,CLIENT_CODE!B:B,CLIENT_CODE!O:O,0))</f>
        <v>0</v>
      </c>
      <c r="X21">
        <f ca="1">_xlfn.XLOOKUP(B21,CRN!G:G,CRN!T:T,"")</f>
        <v>0</v>
      </c>
      <c r="Y21">
        <f ca="1">IF(X21=0,0,_xlfn.XLOOKUP(C21,CLIENT_CODE!B:B,CLIENT_CODE!P:P,0))</f>
        <v>0</v>
      </c>
      <c r="Z21">
        <f ca="1">_xlfn.XLOOKUP(B21,CRN!G:G,CRN!U:U,"")</f>
        <v>0</v>
      </c>
      <c r="AA21">
        <f ca="1">IF(X21=0,0,_xlfn.XLOOKUP(C21,CLIENT_CODE!B:B,CLIENT_CODE!P:P,0))</f>
        <v>0</v>
      </c>
      <c r="AB21">
        <f ca="1">_xlfn.XLOOKUP(B21,CRN!G:G,CRN!V:V,"")</f>
        <v>0</v>
      </c>
      <c r="AC21">
        <f ca="1">IF(AB21=0,0,_xlfn.XLOOKUP(C21,CLIENT_CODE!B:B,CLIENT_CODE!R:R,0))</f>
        <v>0</v>
      </c>
      <c r="AD21">
        <f t="shared" ca="1" si="0"/>
        <v>0</v>
      </c>
    </row>
    <row r="22" spans="1:30">
      <c r="A22" s="42">
        <v>21</v>
      </c>
      <c r="B22" s="42" t="str">
        <f ca="1"/>
        <v>2025212467</v>
      </c>
      <c r="E22">
        <f>IF(D22=0,0,_xlfn.XLOOKUP(C22,CLIENT_CODE!B:B,CLIENT_CODE!F:F,0))</f>
        <v>0</v>
      </c>
      <c r="F22">
        <f ca="1">_xlfn.XLOOKUP(B22,CRN!G:G,CRN!K:K,"")</f>
        <v>0</v>
      </c>
      <c r="G22">
        <f ca="1">IF(F22=0,0,_xlfn.XLOOKUP(C22,CLIENT_CODE!B:B,CLIENT_CODE!G:G,0))</f>
        <v>0</v>
      </c>
      <c r="H22">
        <f ca="1">_xlfn.XLOOKUP(B22,CRN!G:G,CRN!L:L,"")</f>
        <v>1</v>
      </c>
      <c r="I22">
        <f ca="1">IF(H22=0,0,_xlfn.XLOOKUP(C22,CLIENT_CODE!B:B,CLIENT_CODE!H:H,0))</f>
        <v>0</v>
      </c>
      <c r="J22">
        <f ca="1">_xlfn.XLOOKUP(B22,CRN!G:G,CRN!M:M,"")</f>
        <v>0</v>
      </c>
      <c r="K22">
        <f ca="1">IF(J22=0,0,_xlfn.XLOOKUP(C22,CLIENT_CODE!B:B,CLIENT_CODE!I:I,0))</f>
        <v>0</v>
      </c>
      <c r="L22">
        <f ca="1">_xlfn.XLOOKUP(B22,CRN!G:G,CRN!N:N,"")</f>
        <v>1</v>
      </c>
      <c r="M22">
        <f ca="1">IF(L22=0,0,_xlfn.XLOOKUP(C22,CLIENT_CODE!B:B,CLIENT_CODE!J:J,0))</f>
        <v>0</v>
      </c>
      <c r="N22">
        <f ca="1">_xlfn.XLOOKUP(B22,CRN!G:G,CRN!O:O,"")</f>
        <v>0</v>
      </c>
      <c r="O22">
        <f ca="1">IF(N22=0,0,_xlfn.XLOOKUP(C22,CLIENT_CODE!B:B,CLIENT_CODE!K:K,0))</f>
        <v>0</v>
      </c>
      <c r="P22">
        <f ca="1">_xlfn.XLOOKUP(B22,CRN!G:G,CRN!P:P,"")</f>
        <v>0</v>
      </c>
      <c r="Q22">
        <f ca="1">IF(P22=0,0,_xlfn.XLOOKUP(C22,CLIENT_CODE!B:B,CLIENT_CODE!L:L,0))</f>
        <v>0</v>
      </c>
      <c r="R22">
        <f ca="1">_xlfn.XLOOKUP(B22,CRN!G:G,CRN!Q:Q,"")</f>
        <v>0</v>
      </c>
      <c r="S22">
        <f ca="1">IF(R22=0,0,_xlfn.XLOOKUP(C22,CLIENT_CODE!B:B,CLIENT_CODE!M:M,0))</f>
        <v>0</v>
      </c>
      <c r="T22">
        <f ca="1">_xlfn.XLOOKUP(B22,CRN!G:G,CRN!R:R,"")</f>
        <v>1</v>
      </c>
      <c r="U22">
        <f ca="1">IF(T22=0,0,_xlfn.XLOOKUP(C22,CLIENT_CODE!B:B,CLIENT_CODE!N:N,0))</f>
        <v>0</v>
      </c>
      <c r="V22">
        <f ca="1">_xlfn.XLOOKUP(B22,CRN!G:G,CRN!S:S,"")</f>
        <v>1</v>
      </c>
      <c r="W22">
        <f ca="1">IF(V22=0,0,_xlfn.XLOOKUP(C22,CLIENT_CODE!B:B,CLIENT_CODE!O:O,0))</f>
        <v>0</v>
      </c>
      <c r="X22">
        <f ca="1">_xlfn.XLOOKUP(B22,CRN!G:G,CRN!T:T,"")</f>
        <v>0</v>
      </c>
      <c r="Y22">
        <f ca="1">IF(X22=0,0,_xlfn.XLOOKUP(C22,CLIENT_CODE!B:B,CLIENT_CODE!P:P,0))</f>
        <v>0</v>
      </c>
      <c r="Z22">
        <f ca="1">_xlfn.XLOOKUP(B22,CRN!G:G,CRN!U:U,"")</f>
        <v>0</v>
      </c>
      <c r="AA22">
        <f ca="1">IF(X22=0,0,_xlfn.XLOOKUP(C22,CLIENT_CODE!B:B,CLIENT_CODE!P:P,0))</f>
        <v>0</v>
      </c>
      <c r="AB22">
        <f ca="1">_xlfn.XLOOKUP(B22,CRN!G:G,CRN!V:V,"")</f>
        <v>0</v>
      </c>
      <c r="AC22">
        <f ca="1">IF(AB22=0,0,_xlfn.XLOOKUP(C22,CLIENT_CODE!B:B,CLIENT_CODE!R:R,0))</f>
        <v>0</v>
      </c>
      <c r="AD22">
        <f t="shared" ca="1" si="0"/>
        <v>0</v>
      </c>
    </row>
    <row r="23" spans="1:30">
      <c r="A23" s="42">
        <v>22</v>
      </c>
      <c r="B23" s="42" t="str">
        <f ca="1"/>
        <v>2024213743</v>
      </c>
      <c r="E23">
        <f>IF(D23=0,0,_xlfn.XLOOKUP(C23,CLIENT_CODE!B:B,CLIENT_CODE!F:F,0))</f>
        <v>0</v>
      </c>
      <c r="F23">
        <f ca="1">_xlfn.XLOOKUP(B23,CRN!G:G,CRN!K:K,"")</f>
        <v>0</v>
      </c>
      <c r="G23">
        <f ca="1">IF(F23=0,0,_xlfn.XLOOKUP(C23,CLIENT_CODE!B:B,CLIENT_CODE!G:G,0))</f>
        <v>0</v>
      </c>
      <c r="H23">
        <f ca="1">_xlfn.XLOOKUP(B23,CRN!G:G,CRN!L:L,"")</f>
        <v>0</v>
      </c>
      <c r="I23">
        <f ca="1">IF(H23=0,0,_xlfn.XLOOKUP(C23,CLIENT_CODE!B:B,CLIENT_CODE!H:H,0))</f>
        <v>0</v>
      </c>
      <c r="J23">
        <f ca="1">_xlfn.XLOOKUP(B23,CRN!G:G,CRN!M:M,"")</f>
        <v>0</v>
      </c>
      <c r="K23">
        <f ca="1">IF(J23=0,0,_xlfn.XLOOKUP(C23,CLIENT_CODE!B:B,CLIENT_CODE!I:I,0))</f>
        <v>0</v>
      </c>
      <c r="L23">
        <f ca="1">_xlfn.XLOOKUP(B23,CRN!G:G,CRN!N:N,"")</f>
        <v>0</v>
      </c>
      <c r="M23">
        <f ca="1">IF(L23=0,0,_xlfn.XLOOKUP(C23,CLIENT_CODE!B:B,CLIENT_CODE!J:J,0))</f>
        <v>0</v>
      </c>
      <c r="N23">
        <f ca="1">_xlfn.XLOOKUP(B23,CRN!G:G,CRN!O:O,"")</f>
        <v>0</v>
      </c>
      <c r="O23">
        <f ca="1">IF(N23=0,0,_xlfn.XLOOKUP(C23,CLIENT_CODE!B:B,CLIENT_CODE!K:K,0))</f>
        <v>0</v>
      </c>
      <c r="P23">
        <f ca="1">_xlfn.XLOOKUP(B23,CRN!G:G,CRN!P:P,"")</f>
        <v>0</v>
      </c>
      <c r="Q23">
        <f ca="1">IF(P23=0,0,_xlfn.XLOOKUP(C23,CLIENT_CODE!B:B,CLIENT_CODE!L:L,0))</f>
        <v>0</v>
      </c>
      <c r="R23">
        <f ca="1">_xlfn.XLOOKUP(B23,CRN!G:G,CRN!Q:Q,"")</f>
        <v>0</v>
      </c>
      <c r="S23">
        <f ca="1">IF(R23=0,0,_xlfn.XLOOKUP(C23,CLIENT_CODE!B:B,CLIENT_CODE!M:M,0))</f>
        <v>0</v>
      </c>
      <c r="T23">
        <f ca="1">_xlfn.XLOOKUP(B23,CRN!G:G,CRN!R:R,"")</f>
        <v>0</v>
      </c>
      <c r="U23">
        <f ca="1">IF(T23=0,0,_xlfn.XLOOKUP(C23,CLIENT_CODE!B:B,CLIENT_CODE!N:N,0))</f>
        <v>0</v>
      </c>
      <c r="V23">
        <f ca="1">_xlfn.XLOOKUP(B23,CRN!G:G,CRN!S:S,"")</f>
        <v>1</v>
      </c>
      <c r="W23">
        <f ca="1">IF(V23=0,0,_xlfn.XLOOKUP(C23,CLIENT_CODE!B:B,CLIENT_CODE!O:O,0))</f>
        <v>0</v>
      </c>
      <c r="X23">
        <f ca="1">_xlfn.XLOOKUP(B23,CRN!G:G,CRN!T:T,"")</f>
        <v>0</v>
      </c>
      <c r="Y23">
        <f ca="1">IF(X23=0,0,_xlfn.XLOOKUP(C23,CLIENT_CODE!B:B,CLIENT_CODE!P:P,0))</f>
        <v>0</v>
      </c>
      <c r="Z23">
        <f ca="1">_xlfn.XLOOKUP(B23,CRN!G:G,CRN!U:U,"")</f>
        <v>0</v>
      </c>
      <c r="AA23">
        <f ca="1">IF(X23=0,0,_xlfn.XLOOKUP(C23,CLIENT_CODE!B:B,CLIENT_CODE!P:P,0))</f>
        <v>0</v>
      </c>
      <c r="AB23">
        <f ca="1">_xlfn.XLOOKUP(B23,CRN!G:G,CRN!V:V,"")</f>
        <v>0</v>
      </c>
      <c r="AC23">
        <f ca="1">IF(AB23=0,0,_xlfn.XLOOKUP(C23,CLIENT_CODE!B:B,CLIENT_CODE!R:R,0))</f>
        <v>0</v>
      </c>
      <c r="AD23">
        <f t="shared" ca="1" si="0"/>
        <v>0</v>
      </c>
    </row>
    <row r="24" spans="1:30">
      <c r="A24" s="42">
        <v>23</v>
      </c>
      <c r="B24" s="42" t="str">
        <f ca="1"/>
        <v>2025212533</v>
      </c>
      <c r="E24">
        <f>IF(D24=0,0,_xlfn.XLOOKUP(C24,CLIENT_CODE!B:B,CLIENT_CODE!F:F,0))</f>
        <v>0</v>
      </c>
      <c r="F24">
        <f ca="1">_xlfn.XLOOKUP(B24,CRN!G:G,CRN!K:K,"")</f>
        <v>0</v>
      </c>
      <c r="G24">
        <f ca="1">IF(F24=0,0,_xlfn.XLOOKUP(C24,CLIENT_CODE!B:B,CLIENT_CODE!G:G,0))</f>
        <v>0</v>
      </c>
      <c r="H24">
        <f ca="1">_xlfn.XLOOKUP(B24,CRN!G:G,CRN!L:L,"")</f>
        <v>1</v>
      </c>
      <c r="I24">
        <f ca="1">IF(H24=0,0,_xlfn.XLOOKUP(C24,CLIENT_CODE!B:B,CLIENT_CODE!H:H,0))</f>
        <v>0</v>
      </c>
      <c r="J24">
        <f ca="1">_xlfn.XLOOKUP(B24,CRN!G:G,CRN!M:M,"")</f>
        <v>0</v>
      </c>
      <c r="K24">
        <f ca="1">IF(J24=0,0,_xlfn.XLOOKUP(C24,CLIENT_CODE!B:B,CLIENT_CODE!I:I,0))</f>
        <v>0</v>
      </c>
      <c r="L24">
        <f ca="1">_xlfn.XLOOKUP(B24,CRN!G:G,CRN!N:N,"")</f>
        <v>1</v>
      </c>
      <c r="M24">
        <f ca="1">IF(L24=0,0,_xlfn.XLOOKUP(C24,CLIENT_CODE!B:B,CLIENT_CODE!J:J,0))</f>
        <v>0</v>
      </c>
      <c r="N24">
        <f ca="1">_xlfn.XLOOKUP(B24,CRN!G:G,CRN!O:O,"")</f>
        <v>0</v>
      </c>
      <c r="O24">
        <f ca="1">IF(N24=0,0,_xlfn.XLOOKUP(C24,CLIENT_CODE!B:B,CLIENT_CODE!K:K,0))</f>
        <v>0</v>
      </c>
      <c r="P24">
        <f ca="1">_xlfn.XLOOKUP(B24,CRN!G:G,CRN!P:P,"")</f>
        <v>0</v>
      </c>
      <c r="Q24">
        <f ca="1">IF(P24=0,0,_xlfn.XLOOKUP(C24,CLIENT_CODE!B:B,CLIENT_CODE!L:L,0))</f>
        <v>0</v>
      </c>
      <c r="R24">
        <f ca="1">_xlfn.XLOOKUP(B24,CRN!G:G,CRN!Q:Q,"")</f>
        <v>0</v>
      </c>
      <c r="S24">
        <f ca="1">IF(R24=0,0,_xlfn.XLOOKUP(C24,CLIENT_CODE!B:B,CLIENT_CODE!M:M,0))</f>
        <v>0</v>
      </c>
      <c r="T24">
        <f ca="1">_xlfn.XLOOKUP(B24,CRN!G:G,CRN!R:R,"")</f>
        <v>1</v>
      </c>
      <c r="U24">
        <f ca="1">IF(T24=0,0,_xlfn.XLOOKUP(C24,CLIENT_CODE!B:B,CLIENT_CODE!N:N,0))</f>
        <v>0</v>
      </c>
      <c r="V24">
        <f ca="1">_xlfn.XLOOKUP(B24,CRN!G:G,CRN!S:S,"")</f>
        <v>1</v>
      </c>
      <c r="W24">
        <f ca="1">IF(V24=0,0,_xlfn.XLOOKUP(C24,CLIENT_CODE!B:B,CLIENT_CODE!O:O,0))</f>
        <v>0</v>
      </c>
      <c r="X24">
        <f ca="1">_xlfn.XLOOKUP(B24,CRN!G:G,CRN!T:T,"")</f>
        <v>0</v>
      </c>
      <c r="Y24">
        <f ca="1">IF(X24=0,0,_xlfn.XLOOKUP(C24,CLIENT_CODE!B:B,CLIENT_CODE!P:P,0))</f>
        <v>0</v>
      </c>
      <c r="Z24">
        <f ca="1">_xlfn.XLOOKUP(B24,CRN!G:G,CRN!U:U,"")</f>
        <v>0</v>
      </c>
      <c r="AA24">
        <f ca="1">IF(X24=0,0,_xlfn.XLOOKUP(C24,CLIENT_CODE!B:B,CLIENT_CODE!P:P,0))</f>
        <v>0</v>
      </c>
      <c r="AB24">
        <f ca="1">_xlfn.XLOOKUP(B24,CRN!G:G,CRN!V:V,"")</f>
        <v>0</v>
      </c>
      <c r="AC24">
        <f ca="1">IF(AB24=0,0,_xlfn.XLOOKUP(C24,CLIENT_CODE!B:B,CLIENT_CODE!R:R,0))</f>
        <v>0</v>
      </c>
      <c r="AD24">
        <f t="shared" ca="1" si="0"/>
        <v>0</v>
      </c>
    </row>
    <row r="25" spans="1:30">
      <c r="A25" s="42">
        <v>24</v>
      </c>
      <c r="B25" s="42" t="str">
        <f ca="1"/>
        <v>2017212612</v>
      </c>
      <c r="E25">
        <f>IF(D25=0,0,_xlfn.XLOOKUP(C25,CLIENT_CODE!B:B,CLIENT_CODE!F:F,0))</f>
        <v>0</v>
      </c>
      <c r="F25">
        <f ca="1">_xlfn.XLOOKUP(B25,CRN!G:G,CRN!K:K,"")</f>
        <v>0</v>
      </c>
      <c r="G25">
        <f ca="1">IF(F25=0,0,_xlfn.XLOOKUP(C25,CLIENT_CODE!B:B,CLIENT_CODE!G:G,0))</f>
        <v>0</v>
      </c>
      <c r="H25">
        <f ca="1">_xlfn.XLOOKUP(B25,CRN!G:G,CRN!L:L,"")</f>
        <v>1</v>
      </c>
      <c r="I25">
        <f ca="1">IF(H25=0,0,_xlfn.XLOOKUP(C25,CLIENT_CODE!B:B,CLIENT_CODE!H:H,0))</f>
        <v>0</v>
      </c>
      <c r="J25">
        <f ca="1">_xlfn.XLOOKUP(B25,CRN!G:G,CRN!M:M,"")</f>
        <v>0</v>
      </c>
      <c r="K25">
        <f ca="1">IF(J25=0,0,_xlfn.XLOOKUP(C25,CLIENT_CODE!B:B,CLIENT_CODE!I:I,0))</f>
        <v>0</v>
      </c>
      <c r="L25">
        <f ca="1">_xlfn.XLOOKUP(B25,CRN!G:G,CRN!N:N,"")</f>
        <v>0</v>
      </c>
      <c r="M25">
        <f ca="1">IF(L25=0,0,_xlfn.XLOOKUP(C25,CLIENT_CODE!B:B,CLIENT_CODE!J:J,0))</f>
        <v>0</v>
      </c>
      <c r="N25">
        <f ca="1">_xlfn.XLOOKUP(B25,CRN!G:G,CRN!O:O,"")</f>
        <v>0</v>
      </c>
      <c r="O25">
        <f ca="1">IF(N25=0,0,_xlfn.XLOOKUP(C25,CLIENT_CODE!B:B,CLIENT_CODE!K:K,0))</f>
        <v>0</v>
      </c>
      <c r="P25">
        <f ca="1">_xlfn.XLOOKUP(B25,CRN!G:G,CRN!P:P,"")</f>
        <v>0</v>
      </c>
      <c r="Q25">
        <f ca="1">IF(P25=0,0,_xlfn.XLOOKUP(C25,CLIENT_CODE!B:B,CLIENT_CODE!L:L,0))</f>
        <v>0</v>
      </c>
      <c r="R25">
        <f ca="1">_xlfn.XLOOKUP(B25,CRN!G:G,CRN!Q:Q,"")</f>
        <v>0</v>
      </c>
      <c r="S25">
        <f ca="1">IF(R25=0,0,_xlfn.XLOOKUP(C25,CLIENT_CODE!B:B,CLIENT_CODE!M:M,0))</f>
        <v>0</v>
      </c>
      <c r="T25">
        <f ca="1">_xlfn.XLOOKUP(B25,CRN!G:G,CRN!R:R,"")</f>
        <v>0</v>
      </c>
      <c r="U25">
        <f ca="1">IF(T25=0,0,_xlfn.XLOOKUP(C25,CLIENT_CODE!B:B,CLIENT_CODE!N:N,0))</f>
        <v>0</v>
      </c>
      <c r="V25">
        <f ca="1">_xlfn.XLOOKUP(B25,CRN!G:G,CRN!S:S,"")</f>
        <v>0</v>
      </c>
      <c r="W25">
        <f ca="1">IF(V25=0,0,_xlfn.XLOOKUP(C25,CLIENT_CODE!B:B,CLIENT_CODE!O:O,0))</f>
        <v>0</v>
      </c>
      <c r="X25">
        <f ca="1">_xlfn.XLOOKUP(B25,CRN!G:G,CRN!T:T,"")</f>
        <v>0</v>
      </c>
      <c r="Y25">
        <f ca="1">IF(X25=0,0,_xlfn.XLOOKUP(C25,CLIENT_CODE!B:B,CLIENT_CODE!P:P,0))</f>
        <v>0</v>
      </c>
      <c r="Z25">
        <f ca="1">_xlfn.XLOOKUP(B25,CRN!G:G,CRN!U:U,"")</f>
        <v>0</v>
      </c>
      <c r="AA25">
        <f ca="1">IF(X25=0,0,_xlfn.XLOOKUP(C25,CLIENT_CODE!B:B,CLIENT_CODE!P:P,0))</f>
        <v>0</v>
      </c>
      <c r="AB25">
        <f ca="1">_xlfn.XLOOKUP(B25,CRN!G:G,CRN!V:V,"")</f>
        <v>0</v>
      </c>
      <c r="AC25">
        <f ca="1">IF(AB25=0,0,_xlfn.XLOOKUP(C25,CLIENT_CODE!B:B,CLIENT_CODE!R:R,0))</f>
        <v>0</v>
      </c>
      <c r="AD25">
        <f t="shared" ca="1" si="0"/>
        <v>0</v>
      </c>
    </row>
    <row r="26" spans="1:30">
      <c r="A26" s="42">
        <v>25</v>
      </c>
      <c r="B26" s="42" t="str">
        <f ca="1"/>
        <v>2025212540</v>
      </c>
      <c r="E26">
        <f>IF(D26=0,0,_xlfn.XLOOKUP(C26,CLIENT_CODE!B:B,CLIENT_CODE!F:F,0))</f>
        <v>0</v>
      </c>
      <c r="F26">
        <f ca="1">_xlfn.XLOOKUP(B26,CRN!G:G,CRN!K:K,"")</f>
        <v>0</v>
      </c>
      <c r="G26">
        <f ca="1">IF(F26=0,0,_xlfn.XLOOKUP(C26,CLIENT_CODE!B:B,CLIENT_CODE!G:G,0))</f>
        <v>0</v>
      </c>
      <c r="H26">
        <f ca="1">_xlfn.XLOOKUP(B26,CRN!G:G,CRN!L:L,"")</f>
        <v>1</v>
      </c>
      <c r="I26">
        <f ca="1">IF(H26=0,0,_xlfn.XLOOKUP(C26,CLIENT_CODE!B:B,CLIENT_CODE!H:H,0))</f>
        <v>0</v>
      </c>
      <c r="J26">
        <f ca="1">_xlfn.XLOOKUP(B26,CRN!G:G,CRN!M:M,"")</f>
        <v>0</v>
      </c>
      <c r="K26">
        <f ca="1">IF(J26=0,0,_xlfn.XLOOKUP(C26,CLIENT_CODE!B:B,CLIENT_CODE!I:I,0))</f>
        <v>0</v>
      </c>
      <c r="L26">
        <f ca="1">_xlfn.XLOOKUP(B26,CRN!G:G,CRN!N:N,"")</f>
        <v>1</v>
      </c>
      <c r="M26">
        <f ca="1">IF(L26=0,0,_xlfn.XLOOKUP(C26,CLIENT_CODE!B:B,CLIENT_CODE!J:J,0))</f>
        <v>0</v>
      </c>
      <c r="N26">
        <f ca="1">_xlfn.XLOOKUP(B26,CRN!G:G,CRN!O:O,"")</f>
        <v>0</v>
      </c>
      <c r="O26">
        <f ca="1">IF(N26=0,0,_xlfn.XLOOKUP(C26,CLIENT_CODE!B:B,CLIENT_CODE!K:K,0))</f>
        <v>0</v>
      </c>
      <c r="P26">
        <f ca="1">_xlfn.XLOOKUP(B26,CRN!G:G,CRN!P:P,"")</f>
        <v>0</v>
      </c>
      <c r="Q26">
        <f ca="1">IF(P26=0,0,_xlfn.XLOOKUP(C26,CLIENT_CODE!B:B,CLIENT_CODE!L:L,0))</f>
        <v>0</v>
      </c>
      <c r="R26">
        <f ca="1">_xlfn.XLOOKUP(B26,CRN!G:G,CRN!Q:Q,"")</f>
        <v>0</v>
      </c>
      <c r="S26">
        <f ca="1">IF(R26=0,0,_xlfn.XLOOKUP(C26,CLIENT_CODE!B:B,CLIENT_CODE!M:M,0))</f>
        <v>0</v>
      </c>
      <c r="T26">
        <f ca="1">_xlfn.XLOOKUP(B26,CRN!G:G,CRN!R:R,"")</f>
        <v>1</v>
      </c>
      <c r="U26">
        <f ca="1">IF(T26=0,0,_xlfn.XLOOKUP(C26,CLIENT_CODE!B:B,CLIENT_CODE!N:N,0))</f>
        <v>0</v>
      </c>
      <c r="V26">
        <f ca="1">_xlfn.XLOOKUP(B26,CRN!G:G,CRN!S:S,"")</f>
        <v>1</v>
      </c>
      <c r="W26">
        <f ca="1">IF(V26=0,0,_xlfn.XLOOKUP(C26,CLIENT_CODE!B:B,CLIENT_CODE!O:O,0))</f>
        <v>0</v>
      </c>
      <c r="X26">
        <f ca="1">_xlfn.XLOOKUP(B26,CRN!G:G,CRN!T:T,"")</f>
        <v>0</v>
      </c>
      <c r="Y26">
        <f ca="1">IF(X26=0,0,_xlfn.XLOOKUP(C26,CLIENT_CODE!B:B,CLIENT_CODE!P:P,0))</f>
        <v>0</v>
      </c>
      <c r="Z26">
        <f ca="1">_xlfn.XLOOKUP(B26,CRN!G:G,CRN!U:U,"")</f>
        <v>0</v>
      </c>
      <c r="AA26">
        <f ca="1">IF(X26=0,0,_xlfn.XLOOKUP(C26,CLIENT_CODE!B:B,CLIENT_CODE!P:P,0))</f>
        <v>0</v>
      </c>
      <c r="AB26">
        <f ca="1">_xlfn.XLOOKUP(B26,CRN!G:G,CRN!V:V,"")</f>
        <v>0</v>
      </c>
      <c r="AC26">
        <f ca="1">IF(AB26=0,0,_xlfn.XLOOKUP(C26,CLIENT_CODE!B:B,CLIENT_CODE!R:R,0))</f>
        <v>0</v>
      </c>
      <c r="AD26">
        <f t="shared" ca="1" si="0"/>
        <v>0</v>
      </c>
    </row>
    <row r="27" spans="1:30">
      <c r="A27" s="42">
        <v>26</v>
      </c>
      <c r="B27" s="42" t="str">
        <f ca="1"/>
        <v>2025212716</v>
      </c>
      <c r="E27">
        <f>IF(D27=0,0,_xlfn.XLOOKUP(C27,CLIENT_CODE!B:B,CLIENT_CODE!F:F,0))</f>
        <v>0</v>
      </c>
      <c r="F27">
        <f ca="1">_xlfn.XLOOKUP(B27,CRN!G:G,CRN!K:K,"")</f>
        <v>0</v>
      </c>
      <c r="G27">
        <f ca="1">IF(F27=0,0,_xlfn.XLOOKUP(C27,CLIENT_CODE!B:B,CLIENT_CODE!G:G,0))</f>
        <v>0</v>
      </c>
      <c r="H27">
        <f ca="1">_xlfn.XLOOKUP(B27,CRN!G:G,CRN!L:L,"")</f>
        <v>1</v>
      </c>
      <c r="I27">
        <f ca="1">IF(H27=0,0,_xlfn.XLOOKUP(C27,CLIENT_CODE!B:B,CLIENT_CODE!H:H,0))</f>
        <v>0</v>
      </c>
      <c r="J27">
        <f ca="1">_xlfn.XLOOKUP(B27,CRN!G:G,CRN!M:M,"")</f>
        <v>0</v>
      </c>
      <c r="K27">
        <f ca="1">IF(J27=0,0,_xlfn.XLOOKUP(C27,CLIENT_CODE!B:B,CLIENT_CODE!I:I,0))</f>
        <v>0</v>
      </c>
      <c r="L27">
        <f ca="1">_xlfn.XLOOKUP(B27,CRN!G:G,CRN!N:N,"")</f>
        <v>1</v>
      </c>
      <c r="M27">
        <f ca="1">IF(L27=0,0,_xlfn.XLOOKUP(C27,CLIENT_CODE!B:B,CLIENT_CODE!J:J,0))</f>
        <v>0</v>
      </c>
      <c r="N27">
        <f ca="1">_xlfn.XLOOKUP(B27,CRN!G:G,CRN!O:O,"")</f>
        <v>0</v>
      </c>
      <c r="O27">
        <f ca="1">IF(N27=0,0,_xlfn.XLOOKUP(C27,CLIENT_CODE!B:B,CLIENT_CODE!K:K,0))</f>
        <v>0</v>
      </c>
      <c r="P27">
        <f ca="1">_xlfn.XLOOKUP(B27,CRN!G:G,CRN!P:P,"")</f>
        <v>0</v>
      </c>
      <c r="Q27">
        <f ca="1">IF(P27=0,0,_xlfn.XLOOKUP(C27,CLIENT_CODE!B:B,CLIENT_CODE!L:L,0))</f>
        <v>0</v>
      </c>
      <c r="R27">
        <f ca="1">_xlfn.XLOOKUP(B27,CRN!G:G,CRN!Q:Q,"")</f>
        <v>0</v>
      </c>
      <c r="S27">
        <f ca="1">IF(R27=0,0,_xlfn.XLOOKUP(C27,CLIENT_CODE!B:B,CLIENT_CODE!M:M,0))</f>
        <v>0</v>
      </c>
      <c r="T27">
        <f ca="1">_xlfn.XLOOKUP(B27,CRN!G:G,CRN!R:R,"")</f>
        <v>1</v>
      </c>
      <c r="U27">
        <f ca="1">IF(T27=0,0,_xlfn.XLOOKUP(C27,CLIENT_CODE!B:B,CLIENT_CODE!N:N,0))</f>
        <v>0</v>
      </c>
      <c r="V27">
        <f ca="1">_xlfn.XLOOKUP(B27,CRN!G:G,CRN!S:S,"")</f>
        <v>1</v>
      </c>
      <c r="W27">
        <f ca="1">IF(V27=0,0,_xlfn.XLOOKUP(C27,CLIENT_CODE!B:B,CLIENT_CODE!O:O,0))</f>
        <v>0</v>
      </c>
      <c r="X27">
        <f ca="1">_xlfn.XLOOKUP(B27,CRN!G:G,CRN!T:T,"")</f>
        <v>0</v>
      </c>
      <c r="Y27">
        <f ca="1">IF(X27=0,0,_xlfn.XLOOKUP(C27,CLIENT_CODE!B:B,CLIENT_CODE!P:P,0))</f>
        <v>0</v>
      </c>
      <c r="Z27">
        <f ca="1">_xlfn.XLOOKUP(B27,CRN!G:G,CRN!U:U,"")</f>
        <v>0</v>
      </c>
      <c r="AA27">
        <f ca="1">IF(X27=0,0,_xlfn.XLOOKUP(C27,CLIENT_CODE!B:B,CLIENT_CODE!P:P,0))</f>
        <v>0</v>
      </c>
      <c r="AB27">
        <f ca="1">_xlfn.XLOOKUP(B27,CRN!G:G,CRN!V:V,"")</f>
        <v>0</v>
      </c>
      <c r="AC27">
        <f ca="1">IF(AB27=0,0,_xlfn.XLOOKUP(C27,CLIENT_CODE!B:B,CLIENT_CODE!R:R,0))</f>
        <v>0</v>
      </c>
      <c r="AD27">
        <f t="shared" ca="1" si="0"/>
        <v>0</v>
      </c>
    </row>
    <row r="28" spans="1:30">
      <c r="A28" s="42">
        <v>27</v>
      </c>
      <c r="B28" s="42" t="str">
        <f ca="1"/>
        <v>2025208486</v>
      </c>
      <c r="E28">
        <f>IF(D28=0,0,_xlfn.XLOOKUP(C28,CLIENT_CODE!B:B,CLIENT_CODE!F:F,0))</f>
        <v>0</v>
      </c>
      <c r="F28">
        <f ca="1">_xlfn.XLOOKUP(B28,CRN!G:G,CRN!K:K,"")</f>
        <v>0</v>
      </c>
      <c r="G28">
        <f ca="1">IF(F28=0,0,_xlfn.XLOOKUP(C28,CLIENT_CODE!B:B,CLIENT_CODE!G:G,0))</f>
        <v>0</v>
      </c>
      <c r="H28">
        <f ca="1">_xlfn.XLOOKUP(B28,CRN!G:G,CRN!L:L,"")</f>
        <v>1</v>
      </c>
      <c r="I28">
        <f ca="1">IF(H28=0,0,_xlfn.XLOOKUP(C28,CLIENT_CODE!B:B,CLIENT_CODE!H:H,0))</f>
        <v>0</v>
      </c>
      <c r="J28">
        <f ca="1">_xlfn.XLOOKUP(B28,CRN!G:G,CRN!M:M,"")</f>
        <v>0</v>
      </c>
      <c r="K28">
        <f ca="1">IF(J28=0,0,_xlfn.XLOOKUP(C28,CLIENT_CODE!B:B,CLIENT_CODE!I:I,0))</f>
        <v>0</v>
      </c>
      <c r="L28">
        <f ca="1">_xlfn.XLOOKUP(B28,CRN!G:G,CRN!N:N,"")</f>
        <v>1</v>
      </c>
      <c r="M28">
        <f ca="1">IF(L28=0,0,_xlfn.XLOOKUP(C28,CLIENT_CODE!B:B,CLIENT_CODE!J:J,0))</f>
        <v>0</v>
      </c>
      <c r="N28">
        <f ca="1">_xlfn.XLOOKUP(B28,CRN!G:G,CRN!O:O,"")</f>
        <v>0</v>
      </c>
      <c r="O28">
        <f ca="1">IF(N28=0,0,_xlfn.XLOOKUP(C28,CLIENT_CODE!B:B,CLIENT_CODE!K:K,0))</f>
        <v>0</v>
      </c>
      <c r="P28">
        <f ca="1">_xlfn.XLOOKUP(B28,CRN!G:G,CRN!P:P,"")</f>
        <v>0</v>
      </c>
      <c r="Q28">
        <f ca="1">IF(P28=0,0,_xlfn.XLOOKUP(C28,CLIENT_CODE!B:B,CLIENT_CODE!L:L,0))</f>
        <v>0</v>
      </c>
      <c r="R28">
        <f ca="1">_xlfn.XLOOKUP(B28,CRN!G:G,CRN!Q:Q,"")</f>
        <v>0</v>
      </c>
      <c r="S28">
        <f ca="1">IF(R28=0,0,_xlfn.XLOOKUP(C28,CLIENT_CODE!B:B,CLIENT_CODE!M:M,0))</f>
        <v>0</v>
      </c>
      <c r="T28">
        <f ca="1">_xlfn.XLOOKUP(B28,CRN!G:G,CRN!R:R,"")</f>
        <v>1</v>
      </c>
      <c r="U28">
        <f ca="1">IF(T28=0,0,_xlfn.XLOOKUP(C28,CLIENT_CODE!B:B,CLIENT_CODE!N:N,0))</f>
        <v>0</v>
      </c>
      <c r="V28">
        <f ca="1">_xlfn.XLOOKUP(B28,CRN!G:G,CRN!S:S,"")</f>
        <v>1</v>
      </c>
      <c r="W28">
        <f ca="1">IF(V28=0,0,_xlfn.XLOOKUP(C28,CLIENT_CODE!B:B,CLIENT_CODE!O:O,0))</f>
        <v>0</v>
      </c>
      <c r="X28">
        <f ca="1">_xlfn.XLOOKUP(B28,CRN!G:G,CRN!T:T,"")</f>
        <v>0</v>
      </c>
      <c r="Y28">
        <f ca="1">IF(X28=0,0,_xlfn.XLOOKUP(C28,CLIENT_CODE!B:B,CLIENT_CODE!P:P,0))</f>
        <v>0</v>
      </c>
      <c r="Z28">
        <f ca="1">_xlfn.XLOOKUP(B28,CRN!G:G,CRN!U:U,"")</f>
        <v>0</v>
      </c>
      <c r="AA28">
        <f ca="1">IF(X28=0,0,_xlfn.XLOOKUP(C28,CLIENT_CODE!B:B,CLIENT_CODE!P:P,0))</f>
        <v>0</v>
      </c>
      <c r="AB28">
        <f ca="1">_xlfn.XLOOKUP(B28,CRN!G:G,CRN!V:V,"")</f>
        <v>0</v>
      </c>
      <c r="AC28">
        <f ca="1">IF(AB28=0,0,_xlfn.XLOOKUP(C28,CLIENT_CODE!B:B,CLIENT_CODE!R:R,0))</f>
        <v>0</v>
      </c>
      <c r="AD28">
        <f t="shared" ca="1" si="0"/>
        <v>0</v>
      </c>
    </row>
    <row r="29" spans="1:30">
      <c r="A29" s="42">
        <v>28</v>
      </c>
      <c r="B29" s="42" t="str">
        <f ca="1"/>
        <v>2025209152</v>
      </c>
      <c r="E29">
        <f>IF(D29=0,0,_xlfn.XLOOKUP(C29,CLIENT_CODE!B:B,CLIENT_CODE!F:F,0))</f>
        <v>0</v>
      </c>
      <c r="F29">
        <f ca="1">_xlfn.XLOOKUP(B29,CRN!G:G,CRN!K:K,"")</f>
        <v>0</v>
      </c>
      <c r="G29">
        <f ca="1">IF(F29=0,0,_xlfn.XLOOKUP(C29,CLIENT_CODE!B:B,CLIENT_CODE!G:G,0))</f>
        <v>0</v>
      </c>
      <c r="H29">
        <f ca="1">_xlfn.XLOOKUP(B29,CRN!G:G,CRN!L:L,"")</f>
        <v>1</v>
      </c>
      <c r="I29">
        <f ca="1">IF(H29=0,0,_xlfn.XLOOKUP(C29,CLIENT_CODE!B:B,CLIENT_CODE!H:H,0))</f>
        <v>0</v>
      </c>
      <c r="J29">
        <f ca="1">_xlfn.XLOOKUP(B29,CRN!G:G,CRN!M:M,"")</f>
        <v>0</v>
      </c>
      <c r="K29">
        <f ca="1">IF(J29=0,0,_xlfn.XLOOKUP(C29,CLIENT_CODE!B:B,CLIENT_CODE!I:I,0))</f>
        <v>0</v>
      </c>
      <c r="L29">
        <f ca="1">_xlfn.XLOOKUP(B29,CRN!G:G,CRN!N:N,"")</f>
        <v>1</v>
      </c>
      <c r="M29">
        <f ca="1">IF(L29=0,0,_xlfn.XLOOKUP(C29,CLIENT_CODE!B:B,CLIENT_CODE!J:J,0))</f>
        <v>0</v>
      </c>
      <c r="N29">
        <f ca="1">_xlfn.XLOOKUP(B29,CRN!G:G,CRN!O:O,"")</f>
        <v>0</v>
      </c>
      <c r="O29">
        <f ca="1">IF(N29=0,0,_xlfn.XLOOKUP(C29,CLIENT_CODE!B:B,CLIENT_CODE!K:K,0))</f>
        <v>0</v>
      </c>
      <c r="P29">
        <f ca="1">_xlfn.XLOOKUP(B29,CRN!G:G,CRN!P:P,"")</f>
        <v>0</v>
      </c>
      <c r="Q29">
        <f ca="1">IF(P29=0,0,_xlfn.XLOOKUP(C29,CLIENT_CODE!B:B,CLIENT_CODE!L:L,0))</f>
        <v>0</v>
      </c>
      <c r="R29">
        <f ca="1">_xlfn.XLOOKUP(B29,CRN!G:G,CRN!Q:Q,"")</f>
        <v>0</v>
      </c>
      <c r="S29">
        <f ca="1">IF(R29=0,0,_xlfn.XLOOKUP(C29,CLIENT_CODE!B:B,CLIENT_CODE!M:M,0))</f>
        <v>0</v>
      </c>
      <c r="T29">
        <f ca="1">_xlfn.XLOOKUP(B29,CRN!G:G,CRN!R:R,"")</f>
        <v>1</v>
      </c>
      <c r="U29">
        <f ca="1">IF(T29=0,0,_xlfn.XLOOKUP(C29,CLIENT_CODE!B:B,CLIENT_CODE!N:N,0))</f>
        <v>0</v>
      </c>
      <c r="V29">
        <f ca="1">_xlfn.XLOOKUP(B29,CRN!G:G,CRN!S:S,"")</f>
        <v>1</v>
      </c>
      <c r="W29">
        <f ca="1">IF(V29=0,0,_xlfn.XLOOKUP(C29,CLIENT_CODE!B:B,CLIENT_CODE!O:O,0))</f>
        <v>0</v>
      </c>
      <c r="X29">
        <f ca="1">_xlfn.XLOOKUP(B29,CRN!G:G,CRN!T:T,"")</f>
        <v>0</v>
      </c>
      <c r="Y29">
        <f ca="1">IF(X29=0,0,_xlfn.XLOOKUP(C29,CLIENT_CODE!B:B,CLIENT_CODE!P:P,0))</f>
        <v>0</v>
      </c>
      <c r="Z29">
        <f ca="1">_xlfn.XLOOKUP(B29,CRN!G:G,CRN!U:U,"")</f>
        <v>0</v>
      </c>
      <c r="AA29">
        <f ca="1">IF(X29=0,0,_xlfn.XLOOKUP(C29,CLIENT_CODE!B:B,CLIENT_CODE!P:P,0))</f>
        <v>0</v>
      </c>
      <c r="AB29">
        <f ca="1">_xlfn.XLOOKUP(B29,CRN!G:G,CRN!V:V,"")</f>
        <v>0</v>
      </c>
      <c r="AC29">
        <f ca="1">IF(AB29=0,0,_xlfn.XLOOKUP(C29,CLIENT_CODE!B:B,CLIENT_CODE!R:R,0))</f>
        <v>0</v>
      </c>
      <c r="AD29">
        <f t="shared" ca="1" si="0"/>
        <v>0</v>
      </c>
    </row>
    <row r="30" spans="1:30">
      <c r="A30" s="42">
        <v>29</v>
      </c>
      <c r="B30" s="42" t="str">
        <f ca="1"/>
        <v>2025212721</v>
      </c>
      <c r="E30">
        <f>IF(D30=0,0,_xlfn.XLOOKUP(C30,CLIENT_CODE!B:B,CLIENT_CODE!F:F,0))</f>
        <v>0</v>
      </c>
      <c r="F30">
        <f ca="1">_xlfn.XLOOKUP(B30,CRN!G:G,CRN!K:K,"")</f>
        <v>0</v>
      </c>
      <c r="G30">
        <f ca="1">IF(F30=0,0,_xlfn.XLOOKUP(C30,CLIENT_CODE!B:B,CLIENT_CODE!G:G,0))</f>
        <v>0</v>
      </c>
      <c r="H30">
        <f ca="1">_xlfn.XLOOKUP(B30,CRN!G:G,CRN!L:L,"")</f>
        <v>1</v>
      </c>
      <c r="I30">
        <f ca="1">IF(H30=0,0,_xlfn.XLOOKUP(C30,CLIENT_CODE!B:B,CLIENT_CODE!H:H,0))</f>
        <v>0</v>
      </c>
      <c r="J30">
        <f ca="1">_xlfn.XLOOKUP(B30,CRN!G:G,CRN!M:M,"")</f>
        <v>0</v>
      </c>
      <c r="K30">
        <f ca="1">IF(J30=0,0,_xlfn.XLOOKUP(C30,CLIENT_CODE!B:B,CLIENT_CODE!I:I,0))</f>
        <v>0</v>
      </c>
      <c r="L30">
        <f ca="1">_xlfn.XLOOKUP(B30,CRN!G:G,CRN!N:N,"")</f>
        <v>1</v>
      </c>
      <c r="M30">
        <f ca="1">IF(L30=0,0,_xlfn.XLOOKUP(C30,CLIENT_CODE!B:B,CLIENT_CODE!J:J,0))</f>
        <v>0</v>
      </c>
      <c r="N30">
        <f ca="1">_xlfn.XLOOKUP(B30,CRN!G:G,CRN!O:O,"")</f>
        <v>0</v>
      </c>
      <c r="O30">
        <f ca="1">IF(N30=0,0,_xlfn.XLOOKUP(C30,CLIENT_CODE!B:B,CLIENT_CODE!K:K,0))</f>
        <v>0</v>
      </c>
      <c r="P30">
        <f ca="1">_xlfn.XLOOKUP(B30,CRN!G:G,CRN!P:P,"")</f>
        <v>0</v>
      </c>
      <c r="Q30">
        <f ca="1">IF(P30=0,0,_xlfn.XLOOKUP(C30,CLIENT_CODE!B:B,CLIENT_CODE!L:L,0))</f>
        <v>0</v>
      </c>
      <c r="R30">
        <f ca="1">_xlfn.XLOOKUP(B30,CRN!G:G,CRN!Q:Q,"")</f>
        <v>0</v>
      </c>
      <c r="S30">
        <f ca="1">IF(R30=0,0,_xlfn.XLOOKUP(C30,CLIENT_CODE!B:B,CLIENT_CODE!M:M,0))</f>
        <v>0</v>
      </c>
      <c r="T30">
        <f ca="1">_xlfn.XLOOKUP(B30,CRN!G:G,CRN!R:R,"")</f>
        <v>1</v>
      </c>
      <c r="U30">
        <f ca="1">IF(T30=0,0,_xlfn.XLOOKUP(C30,CLIENT_CODE!B:B,CLIENT_CODE!N:N,0))</f>
        <v>0</v>
      </c>
      <c r="V30">
        <f ca="1">_xlfn.XLOOKUP(B30,CRN!G:G,CRN!S:S,"")</f>
        <v>1</v>
      </c>
      <c r="W30">
        <f ca="1">IF(V30=0,0,_xlfn.XLOOKUP(C30,CLIENT_CODE!B:B,CLIENT_CODE!O:O,0))</f>
        <v>0</v>
      </c>
      <c r="X30">
        <f ca="1">_xlfn.XLOOKUP(B30,CRN!G:G,CRN!T:T,"")</f>
        <v>0</v>
      </c>
      <c r="Y30">
        <f ca="1">IF(X30=0,0,_xlfn.XLOOKUP(C30,CLIENT_CODE!B:B,CLIENT_CODE!P:P,0))</f>
        <v>0</v>
      </c>
      <c r="Z30">
        <f ca="1">_xlfn.XLOOKUP(B30,CRN!G:G,CRN!U:U,"")</f>
        <v>0</v>
      </c>
      <c r="AA30">
        <f ca="1">IF(X30=0,0,_xlfn.XLOOKUP(C30,CLIENT_CODE!B:B,CLIENT_CODE!P:P,0))</f>
        <v>0</v>
      </c>
      <c r="AB30">
        <f ca="1">_xlfn.XLOOKUP(B30,CRN!G:G,CRN!V:V,"")</f>
        <v>0</v>
      </c>
      <c r="AC30">
        <f ca="1">IF(AB30=0,0,_xlfn.XLOOKUP(C30,CLIENT_CODE!B:B,CLIENT_CODE!R:R,0))</f>
        <v>0</v>
      </c>
      <c r="AD30">
        <f t="shared" ca="1" si="0"/>
        <v>0</v>
      </c>
    </row>
    <row r="31" spans="1:30">
      <c r="A31" s="42">
        <v>30</v>
      </c>
      <c r="B31" s="42" t="str">
        <f ca="1"/>
        <v>2025209441</v>
      </c>
      <c r="E31">
        <f>IF(D31=0,0,_xlfn.XLOOKUP(C31,CLIENT_CODE!B:B,CLIENT_CODE!F:F,0))</f>
        <v>0</v>
      </c>
      <c r="F31">
        <f ca="1">_xlfn.XLOOKUP(B31,CRN!G:G,CRN!K:K,"")</f>
        <v>0</v>
      </c>
      <c r="G31">
        <f ca="1">IF(F31=0,0,_xlfn.XLOOKUP(C31,CLIENT_CODE!B:B,CLIENT_CODE!G:G,0))</f>
        <v>0</v>
      </c>
      <c r="H31">
        <f ca="1">_xlfn.XLOOKUP(B31,CRN!G:G,CRN!L:L,"")</f>
        <v>1</v>
      </c>
      <c r="I31">
        <f ca="1">IF(H31=0,0,_xlfn.XLOOKUP(C31,CLIENT_CODE!B:B,CLIENT_CODE!H:H,0))</f>
        <v>0</v>
      </c>
      <c r="J31">
        <f ca="1">_xlfn.XLOOKUP(B31,CRN!G:G,CRN!M:M,"")</f>
        <v>0</v>
      </c>
      <c r="K31">
        <f ca="1">IF(J31=0,0,_xlfn.XLOOKUP(C31,CLIENT_CODE!B:B,CLIENT_CODE!I:I,0))</f>
        <v>0</v>
      </c>
      <c r="L31">
        <f ca="1">_xlfn.XLOOKUP(B31,CRN!G:G,CRN!N:N,"")</f>
        <v>1</v>
      </c>
      <c r="M31">
        <f ca="1">IF(L31=0,0,_xlfn.XLOOKUP(C31,CLIENT_CODE!B:B,CLIENT_CODE!J:J,0))</f>
        <v>0</v>
      </c>
      <c r="N31">
        <f ca="1">_xlfn.XLOOKUP(B31,CRN!G:G,CRN!O:O,"")</f>
        <v>0</v>
      </c>
      <c r="O31">
        <f ca="1">IF(N31=0,0,_xlfn.XLOOKUP(C31,CLIENT_CODE!B:B,CLIENT_CODE!K:K,0))</f>
        <v>0</v>
      </c>
      <c r="P31">
        <f ca="1">_xlfn.XLOOKUP(B31,CRN!G:G,CRN!P:P,"")</f>
        <v>0</v>
      </c>
      <c r="Q31">
        <f ca="1">IF(P31=0,0,_xlfn.XLOOKUP(C31,CLIENT_CODE!B:B,CLIENT_CODE!L:L,0))</f>
        <v>0</v>
      </c>
      <c r="R31">
        <f ca="1">_xlfn.XLOOKUP(B31,CRN!G:G,CRN!Q:Q,"")</f>
        <v>0</v>
      </c>
      <c r="S31">
        <f ca="1">IF(R31=0,0,_xlfn.XLOOKUP(C31,CLIENT_CODE!B:B,CLIENT_CODE!M:M,0))</f>
        <v>0</v>
      </c>
      <c r="T31">
        <f ca="1">_xlfn.XLOOKUP(B31,CRN!G:G,CRN!R:R,"")</f>
        <v>1</v>
      </c>
      <c r="U31">
        <f ca="1">IF(T31=0,0,_xlfn.XLOOKUP(C31,CLIENT_CODE!B:B,CLIENT_CODE!N:N,0))</f>
        <v>0</v>
      </c>
      <c r="V31">
        <f ca="1">_xlfn.XLOOKUP(B31,CRN!G:G,CRN!S:S,"")</f>
        <v>1</v>
      </c>
      <c r="W31">
        <f ca="1">IF(V31=0,0,_xlfn.XLOOKUP(C31,CLIENT_CODE!B:B,CLIENT_CODE!O:O,0))</f>
        <v>0</v>
      </c>
      <c r="X31">
        <f ca="1">_xlfn.XLOOKUP(B31,CRN!G:G,CRN!T:T,"")</f>
        <v>0</v>
      </c>
      <c r="Y31">
        <f ca="1">IF(X31=0,0,_xlfn.XLOOKUP(C31,CLIENT_CODE!B:B,CLIENT_CODE!P:P,0))</f>
        <v>0</v>
      </c>
      <c r="Z31">
        <f ca="1">_xlfn.XLOOKUP(B31,CRN!G:G,CRN!U:U,"")</f>
        <v>0</v>
      </c>
      <c r="AA31">
        <f ca="1">IF(X31=0,0,_xlfn.XLOOKUP(C31,CLIENT_CODE!B:B,CLIENT_CODE!P:P,0))</f>
        <v>0</v>
      </c>
      <c r="AB31">
        <f ca="1">_xlfn.XLOOKUP(B31,CRN!G:G,CRN!V:V,"")</f>
        <v>0</v>
      </c>
      <c r="AC31">
        <f ca="1">IF(AB31=0,0,_xlfn.XLOOKUP(C31,CLIENT_CODE!B:B,CLIENT_CODE!R:R,0))</f>
        <v>0</v>
      </c>
      <c r="AD31">
        <f t="shared" ca="1" si="0"/>
        <v>0</v>
      </c>
    </row>
    <row r="32" spans="1:30">
      <c r="A32" s="42">
        <v>31</v>
      </c>
      <c r="B32" s="42" t="str">
        <f ca="1"/>
        <v>2025209731</v>
      </c>
      <c r="E32">
        <f>IF(D32=0,0,_xlfn.XLOOKUP(C32,CLIENT_CODE!B:B,CLIENT_CODE!F:F,0))</f>
        <v>0</v>
      </c>
      <c r="F32">
        <f ca="1">_xlfn.XLOOKUP(B32,CRN!G:G,CRN!K:K,"")</f>
        <v>0</v>
      </c>
      <c r="G32">
        <f ca="1">IF(F32=0,0,_xlfn.XLOOKUP(C32,CLIENT_CODE!B:B,CLIENT_CODE!G:G,0))</f>
        <v>0</v>
      </c>
      <c r="H32">
        <f ca="1">_xlfn.XLOOKUP(B32,CRN!G:G,CRN!L:L,"")</f>
        <v>1</v>
      </c>
      <c r="I32">
        <f ca="1">IF(H32=0,0,_xlfn.XLOOKUP(C32,CLIENT_CODE!B:B,CLIENT_CODE!H:H,0))</f>
        <v>0</v>
      </c>
      <c r="J32">
        <f ca="1">_xlfn.XLOOKUP(B32,CRN!G:G,CRN!M:M,"")</f>
        <v>0</v>
      </c>
      <c r="K32">
        <f ca="1">IF(J32=0,0,_xlfn.XLOOKUP(C32,CLIENT_CODE!B:B,CLIENT_CODE!I:I,0))</f>
        <v>0</v>
      </c>
      <c r="L32">
        <f ca="1">_xlfn.XLOOKUP(B32,CRN!G:G,CRN!N:N,"")</f>
        <v>1</v>
      </c>
      <c r="M32">
        <f ca="1">IF(L32=0,0,_xlfn.XLOOKUP(C32,CLIENT_CODE!B:B,CLIENT_CODE!J:J,0))</f>
        <v>0</v>
      </c>
      <c r="N32">
        <f ca="1">_xlfn.XLOOKUP(B32,CRN!G:G,CRN!O:O,"")</f>
        <v>0</v>
      </c>
      <c r="O32">
        <f ca="1">IF(N32=0,0,_xlfn.XLOOKUP(C32,CLIENT_CODE!B:B,CLIENT_CODE!K:K,0))</f>
        <v>0</v>
      </c>
      <c r="P32">
        <f ca="1">_xlfn.XLOOKUP(B32,CRN!G:G,CRN!P:P,"")</f>
        <v>0</v>
      </c>
      <c r="Q32">
        <f ca="1">IF(P32=0,0,_xlfn.XLOOKUP(C32,CLIENT_CODE!B:B,CLIENT_CODE!L:L,0))</f>
        <v>0</v>
      </c>
      <c r="R32">
        <f ca="1">_xlfn.XLOOKUP(B32,CRN!G:G,CRN!Q:Q,"")</f>
        <v>0</v>
      </c>
      <c r="S32">
        <f ca="1">IF(R32=0,0,_xlfn.XLOOKUP(C32,CLIENT_CODE!B:B,CLIENT_CODE!M:M,0))</f>
        <v>0</v>
      </c>
      <c r="T32">
        <f ca="1">_xlfn.XLOOKUP(B32,CRN!G:G,CRN!R:R,"")</f>
        <v>1</v>
      </c>
      <c r="U32">
        <f ca="1">IF(T32=0,0,_xlfn.XLOOKUP(C32,CLIENT_CODE!B:B,CLIENT_CODE!N:N,0))</f>
        <v>0</v>
      </c>
      <c r="V32">
        <f ca="1">_xlfn.XLOOKUP(B32,CRN!G:G,CRN!S:S,"")</f>
        <v>1</v>
      </c>
      <c r="W32">
        <f ca="1">IF(V32=0,0,_xlfn.XLOOKUP(C32,CLIENT_CODE!B:B,CLIENT_CODE!O:O,0))</f>
        <v>0</v>
      </c>
      <c r="X32">
        <f ca="1">_xlfn.XLOOKUP(B32,CRN!G:G,CRN!T:T,"")</f>
        <v>0</v>
      </c>
      <c r="Y32">
        <f ca="1">IF(X32=0,0,_xlfn.XLOOKUP(C32,CLIENT_CODE!B:B,CLIENT_CODE!P:P,0))</f>
        <v>0</v>
      </c>
      <c r="Z32">
        <f ca="1">_xlfn.XLOOKUP(B32,CRN!G:G,CRN!U:U,"")</f>
        <v>0</v>
      </c>
      <c r="AA32">
        <f ca="1">IF(X32=0,0,_xlfn.XLOOKUP(C32,CLIENT_CODE!B:B,CLIENT_CODE!P:P,0))</f>
        <v>0</v>
      </c>
      <c r="AB32">
        <f ca="1">_xlfn.XLOOKUP(B32,CRN!G:G,CRN!V:V,"")</f>
        <v>0</v>
      </c>
      <c r="AC32">
        <f ca="1">IF(AB32=0,0,_xlfn.XLOOKUP(C32,CLIENT_CODE!B:B,CLIENT_CODE!R:R,0))</f>
        <v>0</v>
      </c>
      <c r="AD32">
        <f t="shared" ca="1" si="0"/>
        <v>0</v>
      </c>
    </row>
    <row r="33" spans="1:30">
      <c r="A33" s="42">
        <v>32</v>
      </c>
      <c r="B33" s="42" t="str">
        <f ca="1"/>
        <v>2025210423</v>
      </c>
      <c r="E33">
        <f>IF(D33=0,0,_xlfn.XLOOKUP(C33,CLIENT_CODE!B:B,CLIENT_CODE!F:F,0))</f>
        <v>0</v>
      </c>
      <c r="F33">
        <f ca="1">_xlfn.XLOOKUP(B33,CRN!G:G,CRN!K:K,"")</f>
        <v>0</v>
      </c>
      <c r="G33">
        <f ca="1">IF(F33=0,0,_xlfn.XLOOKUP(C33,CLIENT_CODE!B:B,CLIENT_CODE!G:G,0))</f>
        <v>0</v>
      </c>
      <c r="H33">
        <f ca="1">_xlfn.XLOOKUP(B33,CRN!G:G,CRN!L:L,"")</f>
        <v>1</v>
      </c>
      <c r="I33">
        <f ca="1">IF(H33=0,0,_xlfn.XLOOKUP(C33,CLIENT_CODE!B:B,CLIENT_CODE!H:H,0))</f>
        <v>0</v>
      </c>
      <c r="J33">
        <f ca="1">_xlfn.XLOOKUP(B33,CRN!G:G,CRN!M:M,"")</f>
        <v>0</v>
      </c>
      <c r="K33">
        <f ca="1">IF(J33=0,0,_xlfn.XLOOKUP(C33,CLIENT_CODE!B:B,CLIENT_CODE!I:I,0))</f>
        <v>0</v>
      </c>
      <c r="L33">
        <f ca="1">_xlfn.XLOOKUP(B33,CRN!G:G,CRN!N:N,"")</f>
        <v>1</v>
      </c>
      <c r="M33">
        <f ca="1">IF(L33=0,0,_xlfn.XLOOKUP(C33,CLIENT_CODE!B:B,CLIENT_CODE!J:J,0))</f>
        <v>0</v>
      </c>
      <c r="N33">
        <f ca="1">_xlfn.XLOOKUP(B33,CRN!G:G,CRN!O:O,"")</f>
        <v>0</v>
      </c>
      <c r="O33">
        <f ca="1">IF(N33=0,0,_xlfn.XLOOKUP(C33,CLIENT_CODE!B:B,CLIENT_CODE!K:K,0))</f>
        <v>0</v>
      </c>
      <c r="P33">
        <f ca="1">_xlfn.XLOOKUP(B33,CRN!G:G,CRN!P:P,"")</f>
        <v>0</v>
      </c>
      <c r="Q33">
        <f ca="1">IF(P33=0,0,_xlfn.XLOOKUP(C33,CLIENT_CODE!B:B,CLIENT_CODE!L:L,0))</f>
        <v>0</v>
      </c>
      <c r="R33">
        <f ca="1">_xlfn.XLOOKUP(B33,CRN!G:G,CRN!Q:Q,"")</f>
        <v>0</v>
      </c>
      <c r="S33">
        <f ca="1">IF(R33=0,0,_xlfn.XLOOKUP(C33,CLIENT_CODE!B:B,CLIENT_CODE!M:M,0))</f>
        <v>0</v>
      </c>
      <c r="T33">
        <f ca="1">_xlfn.XLOOKUP(B33,CRN!G:G,CRN!R:R,"")</f>
        <v>1</v>
      </c>
      <c r="U33">
        <f ca="1">IF(T33=0,0,_xlfn.XLOOKUP(C33,CLIENT_CODE!B:B,CLIENT_CODE!N:N,0))</f>
        <v>0</v>
      </c>
      <c r="V33">
        <f ca="1">_xlfn.XLOOKUP(B33,CRN!G:G,CRN!S:S,"")</f>
        <v>1</v>
      </c>
      <c r="W33">
        <f ca="1">IF(V33=0,0,_xlfn.XLOOKUP(C33,CLIENT_CODE!B:B,CLIENT_CODE!O:O,0))</f>
        <v>0</v>
      </c>
      <c r="X33">
        <f ca="1">_xlfn.XLOOKUP(B33,CRN!G:G,CRN!T:T,"")</f>
        <v>0</v>
      </c>
      <c r="Y33">
        <f ca="1">IF(X33=0,0,_xlfn.XLOOKUP(C33,CLIENT_CODE!B:B,CLIENT_CODE!P:P,0))</f>
        <v>0</v>
      </c>
      <c r="Z33">
        <f ca="1">_xlfn.XLOOKUP(B33,CRN!G:G,CRN!U:U,"")</f>
        <v>0</v>
      </c>
      <c r="AA33">
        <f ca="1">IF(X33=0,0,_xlfn.XLOOKUP(C33,CLIENT_CODE!B:B,CLIENT_CODE!P:P,0))</f>
        <v>0</v>
      </c>
      <c r="AB33">
        <f ca="1">_xlfn.XLOOKUP(B33,CRN!G:G,CRN!V:V,"")</f>
        <v>0</v>
      </c>
      <c r="AC33">
        <f ca="1">IF(AB33=0,0,_xlfn.XLOOKUP(C33,CLIENT_CODE!B:B,CLIENT_CODE!R:R,0))</f>
        <v>0</v>
      </c>
      <c r="AD33">
        <f t="shared" ca="1" si="0"/>
        <v>0</v>
      </c>
    </row>
    <row r="34" spans="1:30">
      <c r="A34" s="42">
        <v>33</v>
      </c>
      <c r="B34" s="42" t="str">
        <f ca="1"/>
        <v>2025210175</v>
      </c>
      <c r="E34">
        <f>IF(D34=0,0,_xlfn.XLOOKUP(C34,CLIENT_CODE!B:B,CLIENT_CODE!F:F,0))</f>
        <v>0</v>
      </c>
      <c r="F34">
        <f ca="1">_xlfn.XLOOKUP(B34,CRN!G:G,CRN!K:K,"")</f>
        <v>0</v>
      </c>
      <c r="G34">
        <f ca="1">IF(F34=0,0,_xlfn.XLOOKUP(C34,CLIENT_CODE!B:B,CLIENT_CODE!G:G,0))</f>
        <v>0</v>
      </c>
      <c r="H34">
        <f ca="1">_xlfn.XLOOKUP(B34,CRN!G:G,CRN!L:L,"")</f>
        <v>1</v>
      </c>
      <c r="I34">
        <f ca="1">IF(H34=0,0,_xlfn.XLOOKUP(C34,CLIENT_CODE!B:B,CLIENT_CODE!H:H,0))</f>
        <v>0</v>
      </c>
      <c r="J34">
        <f ca="1">_xlfn.XLOOKUP(B34,CRN!G:G,CRN!M:M,"")</f>
        <v>0</v>
      </c>
      <c r="K34">
        <f ca="1">IF(J34=0,0,_xlfn.XLOOKUP(C34,CLIENT_CODE!B:B,CLIENT_CODE!I:I,0))</f>
        <v>0</v>
      </c>
      <c r="L34">
        <f ca="1">_xlfn.XLOOKUP(B34,CRN!G:G,CRN!N:N,"")</f>
        <v>1</v>
      </c>
      <c r="M34">
        <f ca="1">IF(L34=0,0,_xlfn.XLOOKUP(C34,CLIENT_CODE!B:B,CLIENT_CODE!J:J,0))</f>
        <v>0</v>
      </c>
      <c r="N34">
        <f ca="1">_xlfn.XLOOKUP(B34,CRN!G:G,CRN!O:O,"")</f>
        <v>0</v>
      </c>
      <c r="O34">
        <f ca="1">IF(N34=0,0,_xlfn.XLOOKUP(C34,CLIENT_CODE!B:B,CLIENT_CODE!K:K,0))</f>
        <v>0</v>
      </c>
      <c r="P34">
        <f ca="1">_xlfn.XLOOKUP(B34,CRN!G:G,CRN!P:P,"")</f>
        <v>0</v>
      </c>
      <c r="Q34">
        <f ca="1">IF(P34=0,0,_xlfn.XLOOKUP(C34,CLIENT_CODE!B:B,CLIENT_CODE!L:L,0))</f>
        <v>0</v>
      </c>
      <c r="R34">
        <f ca="1">_xlfn.XLOOKUP(B34,CRN!G:G,CRN!Q:Q,"")</f>
        <v>0</v>
      </c>
      <c r="S34">
        <f ca="1">IF(R34=0,0,_xlfn.XLOOKUP(C34,CLIENT_CODE!B:B,CLIENT_CODE!M:M,0))</f>
        <v>0</v>
      </c>
      <c r="T34">
        <f ca="1">_xlfn.XLOOKUP(B34,CRN!G:G,CRN!R:R,"")</f>
        <v>1</v>
      </c>
      <c r="U34">
        <f ca="1">IF(T34=0,0,_xlfn.XLOOKUP(C34,CLIENT_CODE!B:B,CLIENT_CODE!N:N,0))</f>
        <v>0</v>
      </c>
      <c r="V34">
        <f ca="1">_xlfn.XLOOKUP(B34,CRN!G:G,CRN!S:S,"")</f>
        <v>1</v>
      </c>
      <c r="W34">
        <f ca="1">IF(V34=0,0,_xlfn.XLOOKUP(C34,CLIENT_CODE!B:B,CLIENT_CODE!O:O,0))</f>
        <v>0</v>
      </c>
      <c r="X34">
        <f ca="1">_xlfn.XLOOKUP(B34,CRN!G:G,CRN!T:T,"")</f>
        <v>0</v>
      </c>
      <c r="Y34">
        <f ca="1">IF(X34=0,0,_xlfn.XLOOKUP(C34,CLIENT_CODE!B:B,CLIENT_CODE!P:P,0))</f>
        <v>0</v>
      </c>
      <c r="Z34">
        <f ca="1">_xlfn.XLOOKUP(B34,CRN!G:G,CRN!U:U,"")</f>
        <v>0</v>
      </c>
      <c r="AA34">
        <f ca="1">IF(X34=0,0,_xlfn.XLOOKUP(C34,CLIENT_CODE!B:B,CLIENT_CODE!P:P,0))</f>
        <v>0</v>
      </c>
      <c r="AB34">
        <f ca="1">_xlfn.XLOOKUP(B34,CRN!G:G,CRN!V:V,"")</f>
        <v>0</v>
      </c>
      <c r="AC34">
        <f ca="1">IF(AB34=0,0,_xlfn.XLOOKUP(C34,CLIENT_CODE!B:B,CLIENT_CODE!R:R,0))</f>
        <v>0</v>
      </c>
      <c r="AD34">
        <f t="shared" ca="1" si="0"/>
        <v>0</v>
      </c>
    </row>
    <row r="35" spans="1:30">
      <c r="A35" s="42">
        <v>34</v>
      </c>
      <c r="B35" s="42" t="str">
        <f ca="1"/>
        <v>2025210211</v>
      </c>
      <c r="E35">
        <f>IF(D35=0,0,_xlfn.XLOOKUP(C35,CLIENT_CODE!B:B,CLIENT_CODE!F:F,0))</f>
        <v>0</v>
      </c>
      <c r="F35">
        <f ca="1">_xlfn.XLOOKUP(B35,CRN!G:G,CRN!K:K,"")</f>
        <v>0</v>
      </c>
      <c r="G35">
        <f ca="1">IF(F35=0,0,_xlfn.XLOOKUP(C35,CLIENT_CODE!B:B,CLIENT_CODE!G:G,0))</f>
        <v>0</v>
      </c>
      <c r="H35">
        <f ca="1">_xlfn.XLOOKUP(B35,CRN!G:G,CRN!L:L,"")</f>
        <v>1</v>
      </c>
      <c r="I35">
        <f ca="1">IF(H35=0,0,_xlfn.XLOOKUP(C35,CLIENT_CODE!B:B,CLIENT_CODE!H:H,0))</f>
        <v>0</v>
      </c>
      <c r="J35">
        <f ca="1">_xlfn.XLOOKUP(B35,CRN!G:G,CRN!M:M,"")</f>
        <v>0</v>
      </c>
      <c r="K35">
        <f ca="1">IF(J35=0,0,_xlfn.XLOOKUP(C35,CLIENT_CODE!B:B,CLIENT_CODE!I:I,0))</f>
        <v>0</v>
      </c>
      <c r="L35">
        <f ca="1">_xlfn.XLOOKUP(B35,CRN!G:G,CRN!N:N,"")</f>
        <v>1</v>
      </c>
      <c r="M35">
        <f ca="1">IF(L35=0,0,_xlfn.XLOOKUP(C35,CLIENT_CODE!B:B,CLIENT_CODE!J:J,0))</f>
        <v>0</v>
      </c>
      <c r="N35">
        <f ca="1">_xlfn.XLOOKUP(B35,CRN!G:G,CRN!O:O,"")</f>
        <v>0</v>
      </c>
      <c r="O35">
        <f ca="1">IF(N35=0,0,_xlfn.XLOOKUP(C35,CLIENT_CODE!B:B,CLIENT_CODE!K:K,0))</f>
        <v>0</v>
      </c>
      <c r="P35">
        <f ca="1">_xlfn.XLOOKUP(B35,CRN!G:G,CRN!P:P,"")</f>
        <v>0</v>
      </c>
      <c r="Q35">
        <f ca="1">IF(P35=0,0,_xlfn.XLOOKUP(C35,CLIENT_CODE!B:B,CLIENT_CODE!L:L,0))</f>
        <v>0</v>
      </c>
      <c r="R35">
        <f ca="1">_xlfn.XLOOKUP(B35,CRN!G:G,CRN!Q:Q,"")</f>
        <v>0</v>
      </c>
      <c r="S35">
        <f ca="1">IF(R35=0,0,_xlfn.XLOOKUP(C35,CLIENT_CODE!B:B,CLIENT_CODE!M:M,0))</f>
        <v>0</v>
      </c>
      <c r="T35">
        <f ca="1">_xlfn.XLOOKUP(B35,CRN!G:G,CRN!R:R,"")</f>
        <v>1</v>
      </c>
      <c r="U35">
        <f ca="1">IF(T35=0,0,_xlfn.XLOOKUP(C35,CLIENT_CODE!B:B,CLIENT_CODE!N:N,0))</f>
        <v>0</v>
      </c>
      <c r="V35">
        <f ca="1">_xlfn.XLOOKUP(B35,CRN!G:G,CRN!S:S,"")</f>
        <v>1</v>
      </c>
      <c r="W35">
        <f ca="1">IF(V35=0,0,_xlfn.XLOOKUP(C35,CLIENT_CODE!B:B,CLIENT_CODE!O:O,0))</f>
        <v>0</v>
      </c>
      <c r="X35">
        <f ca="1">_xlfn.XLOOKUP(B35,CRN!G:G,CRN!T:T,"")</f>
        <v>0</v>
      </c>
      <c r="Y35">
        <f ca="1">IF(X35=0,0,_xlfn.XLOOKUP(C35,CLIENT_CODE!B:B,CLIENT_CODE!P:P,0))</f>
        <v>0</v>
      </c>
      <c r="Z35">
        <f ca="1">_xlfn.XLOOKUP(B35,CRN!G:G,CRN!U:U,"")</f>
        <v>0</v>
      </c>
      <c r="AA35">
        <f ca="1">IF(X35=0,0,_xlfn.XLOOKUP(C35,CLIENT_CODE!B:B,CLIENT_CODE!P:P,0))</f>
        <v>0</v>
      </c>
      <c r="AB35">
        <f ca="1">_xlfn.XLOOKUP(B35,CRN!G:G,CRN!V:V,"")</f>
        <v>0</v>
      </c>
      <c r="AC35">
        <f ca="1">IF(AB35=0,0,_xlfn.XLOOKUP(C35,CLIENT_CODE!B:B,CLIENT_CODE!R:R,0))</f>
        <v>0</v>
      </c>
      <c r="AD35">
        <f t="shared" ca="1" si="0"/>
        <v>0</v>
      </c>
    </row>
    <row r="36" spans="1:30">
      <c r="A36" s="42">
        <v>35</v>
      </c>
      <c r="B36" s="42" t="str">
        <f ca="1"/>
        <v>2025209709</v>
      </c>
      <c r="E36">
        <f>IF(D36=0,0,_xlfn.XLOOKUP(C36,CLIENT_CODE!B:B,CLIENT_CODE!F:F,0))</f>
        <v>0</v>
      </c>
      <c r="F36">
        <f ca="1">_xlfn.XLOOKUP(B36,CRN!G:G,CRN!K:K,"")</f>
        <v>0</v>
      </c>
      <c r="G36">
        <f ca="1">IF(F36=0,0,_xlfn.XLOOKUP(C36,CLIENT_CODE!B:B,CLIENT_CODE!G:G,0))</f>
        <v>0</v>
      </c>
      <c r="H36">
        <f ca="1">_xlfn.XLOOKUP(B36,CRN!G:G,CRN!L:L,"")</f>
        <v>1</v>
      </c>
      <c r="I36">
        <f ca="1">IF(H36=0,0,_xlfn.XLOOKUP(C36,CLIENT_CODE!B:B,CLIENT_CODE!H:H,0))</f>
        <v>0</v>
      </c>
      <c r="J36">
        <f ca="1">_xlfn.XLOOKUP(B36,CRN!G:G,CRN!M:M,"")</f>
        <v>0</v>
      </c>
      <c r="K36">
        <f ca="1">IF(J36=0,0,_xlfn.XLOOKUP(C36,CLIENT_CODE!B:B,CLIENT_CODE!I:I,0))</f>
        <v>0</v>
      </c>
      <c r="L36">
        <f ca="1">_xlfn.XLOOKUP(B36,CRN!G:G,CRN!N:N,"")</f>
        <v>1</v>
      </c>
      <c r="M36">
        <f ca="1">IF(L36=0,0,_xlfn.XLOOKUP(C36,CLIENT_CODE!B:B,CLIENT_CODE!J:J,0))</f>
        <v>0</v>
      </c>
      <c r="N36">
        <f ca="1">_xlfn.XLOOKUP(B36,CRN!G:G,CRN!O:O,"")</f>
        <v>0</v>
      </c>
      <c r="O36">
        <f ca="1">IF(N36=0,0,_xlfn.XLOOKUP(C36,CLIENT_CODE!B:B,CLIENT_CODE!K:K,0))</f>
        <v>0</v>
      </c>
      <c r="P36">
        <f ca="1">_xlfn.XLOOKUP(B36,CRN!G:G,CRN!P:P,"")</f>
        <v>0</v>
      </c>
      <c r="Q36">
        <f ca="1">IF(P36=0,0,_xlfn.XLOOKUP(C36,CLIENT_CODE!B:B,CLIENT_CODE!L:L,0))</f>
        <v>0</v>
      </c>
      <c r="R36">
        <f ca="1">_xlfn.XLOOKUP(B36,CRN!G:G,CRN!Q:Q,"")</f>
        <v>0</v>
      </c>
      <c r="S36">
        <f ca="1">IF(R36=0,0,_xlfn.XLOOKUP(C36,CLIENT_CODE!B:B,CLIENT_CODE!M:M,0))</f>
        <v>0</v>
      </c>
      <c r="T36">
        <f ca="1">_xlfn.XLOOKUP(B36,CRN!G:G,CRN!R:R,"")</f>
        <v>1</v>
      </c>
      <c r="U36">
        <f ca="1">IF(T36=0,0,_xlfn.XLOOKUP(C36,CLIENT_CODE!B:B,CLIENT_CODE!N:N,0))</f>
        <v>0</v>
      </c>
      <c r="V36">
        <f ca="1">_xlfn.XLOOKUP(B36,CRN!G:G,CRN!S:S,"")</f>
        <v>1</v>
      </c>
      <c r="W36">
        <f ca="1">IF(V36=0,0,_xlfn.XLOOKUP(C36,CLIENT_CODE!B:B,CLIENT_CODE!O:O,0))</f>
        <v>0</v>
      </c>
      <c r="X36">
        <f ca="1">_xlfn.XLOOKUP(B36,CRN!G:G,CRN!T:T,"")</f>
        <v>0</v>
      </c>
      <c r="Y36">
        <f ca="1">IF(X36=0,0,_xlfn.XLOOKUP(C36,CLIENT_CODE!B:B,CLIENT_CODE!P:P,0))</f>
        <v>0</v>
      </c>
      <c r="Z36">
        <f ca="1">_xlfn.XLOOKUP(B36,CRN!G:G,CRN!U:U,"")</f>
        <v>0</v>
      </c>
      <c r="AA36">
        <f ca="1">IF(X36=0,0,_xlfn.XLOOKUP(C36,CLIENT_CODE!B:B,CLIENT_CODE!P:P,0))</f>
        <v>0</v>
      </c>
      <c r="AB36">
        <f ca="1">_xlfn.XLOOKUP(B36,CRN!G:G,CRN!V:V,"")</f>
        <v>0</v>
      </c>
      <c r="AC36">
        <f ca="1">IF(AB36=0,0,_xlfn.XLOOKUP(C36,CLIENT_CODE!B:B,CLIENT_CODE!R:R,0))</f>
        <v>0</v>
      </c>
      <c r="AD36">
        <f t="shared" ca="1" si="0"/>
        <v>0</v>
      </c>
    </row>
    <row r="37" spans="1:30">
      <c r="A37" s="42">
        <v>36</v>
      </c>
      <c r="B37" s="42" t="str">
        <f ca="1"/>
        <v>2025212758</v>
      </c>
      <c r="E37">
        <f>IF(D37=0,0,_xlfn.XLOOKUP(C37,CLIENT_CODE!B:B,CLIENT_CODE!F:F,0))</f>
        <v>0</v>
      </c>
      <c r="F37">
        <f ca="1">_xlfn.XLOOKUP(B37,CRN!G:G,CRN!K:K,"")</f>
        <v>0</v>
      </c>
      <c r="G37">
        <f ca="1">IF(F37=0,0,_xlfn.XLOOKUP(C37,CLIENT_CODE!B:B,CLIENT_CODE!G:G,0))</f>
        <v>0</v>
      </c>
      <c r="H37">
        <f ca="1">_xlfn.XLOOKUP(B37,CRN!G:G,CRN!L:L,"")</f>
        <v>1</v>
      </c>
      <c r="I37">
        <f ca="1">IF(H37=0,0,_xlfn.XLOOKUP(C37,CLIENT_CODE!B:B,CLIENT_CODE!H:H,0))</f>
        <v>0</v>
      </c>
      <c r="J37">
        <f ca="1">_xlfn.XLOOKUP(B37,CRN!G:G,CRN!M:M,"")</f>
        <v>0</v>
      </c>
      <c r="K37">
        <f ca="1">IF(J37=0,0,_xlfn.XLOOKUP(C37,CLIENT_CODE!B:B,CLIENT_CODE!I:I,0))</f>
        <v>0</v>
      </c>
      <c r="L37">
        <f ca="1">_xlfn.XLOOKUP(B37,CRN!G:G,CRN!N:N,"")</f>
        <v>1</v>
      </c>
      <c r="M37">
        <f ca="1">IF(L37=0,0,_xlfn.XLOOKUP(C37,CLIENT_CODE!B:B,CLIENT_CODE!J:J,0))</f>
        <v>0</v>
      </c>
      <c r="N37">
        <f ca="1">_xlfn.XLOOKUP(B37,CRN!G:G,CRN!O:O,"")</f>
        <v>0</v>
      </c>
      <c r="O37">
        <f ca="1">IF(N37=0,0,_xlfn.XLOOKUP(C37,CLIENT_CODE!B:B,CLIENT_CODE!K:K,0))</f>
        <v>0</v>
      </c>
      <c r="P37">
        <f ca="1">_xlfn.XLOOKUP(B37,CRN!G:G,CRN!P:P,"")</f>
        <v>0</v>
      </c>
      <c r="Q37">
        <f ca="1">IF(P37=0,0,_xlfn.XLOOKUP(C37,CLIENT_CODE!B:B,CLIENT_CODE!L:L,0))</f>
        <v>0</v>
      </c>
      <c r="R37">
        <f ca="1">_xlfn.XLOOKUP(B37,CRN!G:G,CRN!Q:Q,"")</f>
        <v>0</v>
      </c>
      <c r="S37">
        <f ca="1">IF(R37=0,0,_xlfn.XLOOKUP(C37,CLIENT_CODE!B:B,CLIENT_CODE!M:M,0))</f>
        <v>0</v>
      </c>
      <c r="T37">
        <f ca="1">_xlfn.XLOOKUP(B37,CRN!G:G,CRN!R:R,"")</f>
        <v>1</v>
      </c>
      <c r="U37">
        <f ca="1">IF(T37=0,0,_xlfn.XLOOKUP(C37,CLIENT_CODE!B:B,CLIENT_CODE!N:N,0))</f>
        <v>0</v>
      </c>
      <c r="V37">
        <f ca="1">_xlfn.XLOOKUP(B37,CRN!G:G,CRN!S:S,"")</f>
        <v>1</v>
      </c>
      <c r="W37">
        <f ca="1">IF(V37=0,0,_xlfn.XLOOKUP(C37,CLIENT_CODE!B:B,CLIENT_CODE!O:O,0))</f>
        <v>0</v>
      </c>
      <c r="X37">
        <f ca="1">_xlfn.XLOOKUP(B37,CRN!G:G,CRN!T:T,"")</f>
        <v>0</v>
      </c>
      <c r="Y37">
        <f ca="1">IF(X37=0,0,_xlfn.XLOOKUP(C37,CLIENT_CODE!B:B,CLIENT_CODE!P:P,0))</f>
        <v>0</v>
      </c>
      <c r="Z37">
        <f ca="1">_xlfn.XLOOKUP(B37,CRN!G:G,CRN!U:U,"")</f>
        <v>0</v>
      </c>
      <c r="AA37">
        <f ca="1">IF(X37=0,0,_xlfn.XLOOKUP(C37,CLIENT_CODE!B:B,CLIENT_CODE!P:P,0))</f>
        <v>0</v>
      </c>
      <c r="AB37">
        <f ca="1">_xlfn.XLOOKUP(B37,CRN!G:G,CRN!V:V,"")</f>
        <v>0</v>
      </c>
      <c r="AC37">
        <f ca="1">IF(AB37=0,0,_xlfn.XLOOKUP(C37,CLIENT_CODE!B:B,CLIENT_CODE!R:R,0))</f>
        <v>0</v>
      </c>
      <c r="AD37">
        <f t="shared" ca="1" si="0"/>
        <v>0</v>
      </c>
    </row>
    <row r="38" spans="1:30">
      <c r="A38" s="42">
        <v>37</v>
      </c>
      <c r="B38" s="42" t="str">
        <f ca="1"/>
        <v>2023210048</v>
      </c>
      <c r="E38">
        <f>IF(D38=0,0,_xlfn.XLOOKUP(C38,CLIENT_CODE!B:B,CLIENT_CODE!F:F,0))</f>
        <v>0</v>
      </c>
      <c r="F38">
        <f ca="1">_xlfn.XLOOKUP(B38,CRN!G:G,CRN!K:K,"")</f>
        <v>0</v>
      </c>
      <c r="G38">
        <f ca="1">IF(F38=0,0,_xlfn.XLOOKUP(C38,CLIENT_CODE!B:B,CLIENT_CODE!G:G,0))</f>
        <v>0</v>
      </c>
      <c r="H38">
        <f ca="1">_xlfn.XLOOKUP(B38,CRN!G:G,CRN!L:L,"")</f>
        <v>0</v>
      </c>
      <c r="I38">
        <f ca="1">IF(H38=0,0,_xlfn.XLOOKUP(C38,CLIENT_CODE!B:B,CLIENT_CODE!H:H,0))</f>
        <v>0</v>
      </c>
      <c r="J38">
        <f ca="1">_xlfn.XLOOKUP(B38,CRN!G:G,CRN!M:M,"")</f>
        <v>0</v>
      </c>
      <c r="K38">
        <f ca="1">IF(J38=0,0,_xlfn.XLOOKUP(C38,CLIENT_CODE!B:B,CLIENT_CODE!I:I,0))</f>
        <v>0</v>
      </c>
      <c r="L38">
        <f ca="1">_xlfn.XLOOKUP(B38,CRN!G:G,CRN!N:N,"")</f>
        <v>1</v>
      </c>
      <c r="M38">
        <f ca="1">IF(L38=0,0,_xlfn.XLOOKUP(C38,CLIENT_CODE!B:B,CLIENT_CODE!J:J,0))</f>
        <v>0</v>
      </c>
      <c r="N38">
        <f ca="1">_xlfn.XLOOKUP(B38,CRN!G:G,CRN!O:O,"")</f>
        <v>0</v>
      </c>
      <c r="O38">
        <f ca="1">IF(N38=0,0,_xlfn.XLOOKUP(C38,CLIENT_CODE!B:B,CLIENT_CODE!K:K,0))</f>
        <v>0</v>
      </c>
      <c r="P38">
        <f ca="1">_xlfn.XLOOKUP(B38,CRN!G:G,CRN!P:P,"")</f>
        <v>0</v>
      </c>
      <c r="Q38">
        <f ca="1">IF(P38=0,0,_xlfn.XLOOKUP(C38,CLIENT_CODE!B:B,CLIENT_CODE!L:L,0))</f>
        <v>0</v>
      </c>
      <c r="R38">
        <f ca="1">_xlfn.XLOOKUP(B38,CRN!G:G,CRN!Q:Q,"")</f>
        <v>0</v>
      </c>
      <c r="S38">
        <f ca="1">IF(R38=0,0,_xlfn.XLOOKUP(C38,CLIENT_CODE!B:B,CLIENT_CODE!M:M,0))</f>
        <v>0</v>
      </c>
      <c r="T38">
        <f ca="1">_xlfn.XLOOKUP(B38,CRN!G:G,CRN!R:R,"")</f>
        <v>0</v>
      </c>
      <c r="U38">
        <f ca="1">IF(T38=0,0,_xlfn.XLOOKUP(C38,CLIENT_CODE!B:B,CLIENT_CODE!N:N,0))</f>
        <v>0</v>
      </c>
      <c r="V38">
        <f ca="1">_xlfn.XLOOKUP(B38,CRN!G:G,CRN!S:S,"")</f>
        <v>0</v>
      </c>
      <c r="W38">
        <f ca="1">IF(V38=0,0,_xlfn.XLOOKUP(C38,CLIENT_CODE!B:B,CLIENT_CODE!O:O,0))</f>
        <v>0</v>
      </c>
      <c r="X38">
        <f ca="1">_xlfn.XLOOKUP(B38,CRN!G:G,CRN!T:T,"")</f>
        <v>0</v>
      </c>
      <c r="Y38">
        <f ca="1">IF(X38=0,0,_xlfn.XLOOKUP(C38,CLIENT_CODE!B:B,CLIENT_CODE!P:P,0))</f>
        <v>0</v>
      </c>
      <c r="Z38">
        <f ca="1">_xlfn.XLOOKUP(B38,CRN!G:G,CRN!U:U,"")</f>
        <v>0</v>
      </c>
      <c r="AA38">
        <f ca="1">IF(X38=0,0,_xlfn.XLOOKUP(C38,CLIENT_CODE!B:B,CLIENT_CODE!P:P,0))</f>
        <v>0</v>
      </c>
      <c r="AB38">
        <f ca="1">_xlfn.XLOOKUP(B38,CRN!G:G,CRN!V:V,"")</f>
        <v>0</v>
      </c>
      <c r="AC38">
        <f ca="1">IF(AB38=0,0,_xlfn.XLOOKUP(C38,CLIENT_CODE!B:B,CLIENT_CODE!R:R,0))</f>
        <v>0</v>
      </c>
      <c r="AD38">
        <f t="shared" ca="1" si="0"/>
        <v>0</v>
      </c>
    </row>
    <row r="39" spans="1:30">
      <c r="A39" s="42">
        <v>38</v>
      </c>
      <c r="B39" s="42" t="str">
        <f ca="1"/>
        <v>MTP-N-2526-004387</v>
      </c>
      <c r="E39">
        <f>IF(D39=0,0,_xlfn.XLOOKUP(C39,CLIENT_CODE!B:B,CLIENT_CODE!F:F,0))</f>
        <v>0</v>
      </c>
      <c r="F39">
        <f ca="1">_xlfn.XLOOKUP(B39,CRN!G:G,CRN!K:K,"")</f>
        <v>0</v>
      </c>
      <c r="G39">
        <f ca="1">IF(F39=0,0,_xlfn.XLOOKUP(C39,CLIENT_CODE!B:B,CLIENT_CODE!G:G,0))</f>
        <v>0</v>
      </c>
      <c r="H39">
        <f ca="1">_xlfn.XLOOKUP(B39,CRN!G:G,CRN!L:L,"")</f>
        <v>1</v>
      </c>
      <c r="I39">
        <f ca="1">IF(H39=0,0,_xlfn.XLOOKUP(C39,CLIENT_CODE!B:B,CLIENT_CODE!H:H,0))</f>
        <v>0</v>
      </c>
      <c r="J39">
        <f ca="1">_xlfn.XLOOKUP(B39,CRN!G:G,CRN!M:M,"")</f>
        <v>1</v>
      </c>
      <c r="K39">
        <f ca="1">IF(J39=0,0,_xlfn.XLOOKUP(C39,CLIENT_CODE!B:B,CLIENT_CODE!I:I,0))</f>
        <v>0</v>
      </c>
      <c r="L39">
        <f ca="1">_xlfn.XLOOKUP(B39,CRN!G:G,CRN!N:N,"")</f>
        <v>1</v>
      </c>
      <c r="M39">
        <f ca="1">IF(L39=0,0,_xlfn.XLOOKUP(C39,CLIENT_CODE!B:B,CLIENT_CODE!J:J,0))</f>
        <v>0</v>
      </c>
      <c r="N39">
        <f ca="1">_xlfn.XLOOKUP(B39,CRN!G:G,CRN!O:O,"")</f>
        <v>1</v>
      </c>
      <c r="O39">
        <f ca="1">IF(N39=0,0,_xlfn.XLOOKUP(C39,CLIENT_CODE!B:B,CLIENT_CODE!K:K,0))</f>
        <v>0</v>
      </c>
      <c r="P39">
        <f ca="1">_xlfn.XLOOKUP(B39,CRN!G:G,CRN!P:P,"")</f>
        <v>1</v>
      </c>
      <c r="Q39">
        <f ca="1">IF(P39=0,0,_xlfn.XLOOKUP(C39,CLIENT_CODE!B:B,CLIENT_CODE!L:L,0))</f>
        <v>0</v>
      </c>
      <c r="R39">
        <f ca="1">_xlfn.XLOOKUP(B39,CRN!G:G,CRN!Q:Q,"")</f>
        <v>0</v>
      </c>
      <c r="S39">
        <f ca="1">IF(R39=0,0,_xlfn.XLOOKUP(C39,CLIENT_CODE!B:B,CLIENT_CODE!M:M,0))</f>
        <v>0</v>
      </c>
      <c r="T39">
        <f ca="1">_xlfn.XLOOKUP(B39,CRN!G:G,CRN!R:R,"")</f>
        <v>1</v>
      </c>
      <c r="U39">
        <f ca="1">IF(T39=0,0,_xlfn.XLOOKUP(C39,CLIENT_CODE!B:B,CLIENT_CODE!N:N,0))</f>
        <v>0</v>
      </c>
      <c r="V39">
        <f ca="1">_xlfn.XLOOKUP(B39,CRN!G:G,CRN!S:S,"")</f>
        <v>1</v>
      </c>
      <c r="W39">
        <f ca="1">IF(V39=0,0,_xlfn.XLOOKUP(C39,CLIENT_CODE!B:B,CLIENT_CODE!O:O,0))</f>
        <v>0</v>
      </c>
      <c r="X39">
        <f ca="1">_xlfn.XLOOKUP(B39,CRN!G:G,CRN!T:T,"")</f>
        <v>0</v>
      </c>
      <c r="Y39">
        <f ca="1">IF(X39=0,0,_xlfn.XLOOKUP(C39,CLIENT_CODE!B:B,CLIENT_CODE!P:P,0))</f>
        <v>0</v>
      </c>
      <c r="Z39">
        <f ca="1">_xlfn.XLOOKUP(B39,CRN!G:G,CRN!U:U,"")</f>
        <v>0</v>
      </c>
      <c r="AA39">
        <f ca="1">IF(X39=0,0,_xlfn.XLOOKUP(C39,CLIENT_CODE!B:B,CLIENT_CODE!P:P,0))</f>
        <v>0</v>
      </c>
      <c r="AB39">
        <f ca="1">_xlfn.XLOOKUP(B39,CRN!G:G,CRN!V:V,"")</f>
        <v>0</v>
      </c>
      <c r="AC39">
        <f ca="1">IF(AB39=0,0,_xlfn.XLOOKUP(C39,CLIENT_CODE!B:B,CLIENT_CODE!R:R,0))</f>
        <v>0</v>
      </c>
      <c r="AD39">
        <f t="shared" ca="1" si="0"/>
        <v>0</v>
      </c>
    </row>
    <row r="40" spans="1:30">
      <c r="A40" s="42">
        <v>39</v>
      </c>
      <c r="B40" s="42" t="str">
        <f ca="1"/>
        <v>MTP-N-2526-004507</v>
      </c>
      <c r="E40">
        <f>IF(D40=0,0,_xlfn.XLOOKUP(C40,CLIENT_CODE!B:B,CLIENT_CODE!F:F,0))</f>
        <v>0</v>
      </c>
      <c r="F40">
        <f ca="1">_xlfn.XLOOKUP(B40,CRN!G:G,CRN!K:K,"")</f>
        <v>0</v>
      </c>
      <c r="G40">
        <f ca="1">IF(F40=0,0,_xlfn.XLOOKUP(C40,CLIENT_CODE!B:B,CLIENT_CODE!G:G,0))</f>
        <v>0</v>
      </c>
      <c r="H40">
        <f ca="1">_xlfn.XLOOKUP(B40,CRN!G:G,CRN!L:L,"")</f>
        <v>1</v>
      </c>
      <c r="I40">
        <f ca="1">IF(H40=0,0,_xlfn.XLOOKUP(C40,CLIENT_CODE!B:B,CLIENT_CODE!H:H,0))</f>
        <v>0</v>
      </c>
      <c r="J40">
        <f ca="1">_xlfn.XLOOKUP(B40,CRN!G:G,CRN!M:M,"")</f>
        <v>1</v>
      </c>
      <c r="K40">
        <f ca="1">IF(J40=0,0,_xlfn.XLOOKUP(C40,CLIENT_CODE!B:B,CLIENT_CODE!I:I,0))</f>
        <v>0</v>
      </c>
      <c r="L40">
        <f ca="1">_xlfn.XLOOKUP(B40,CRN!G:G,CRN!N:N,"")</f>
        <v>1</v>
      </c>
      <c r="M40">
        <f ca="1">IF(L40=0,0,_xlfn.XLOOKUP(C40,CLIENT_CODE!B:B,CLIENT_CODE!J:J,0))</f>
        <v>0</v>
      </c>
      <c r="N40">
        <f ca="1">_xlfn.XLOOKUP(B40,CRN!G:G,CRN!O:O,"")</f>
        <v>1</v>
      </c>
      <c r="O40">
        <f ca="1">IF(N40=0,0,_xlfn.XLOOKUP(C40,CLIENT_CODE!B:B,CLIENT_CODE!K:K,0))</f>
        <v>0</v>
      </c>
      <c r="P40">
        <f ca="1">_xlfn.XLOOKUP(B40,CRN!G:G,CRN!P:P,"")</f>
        <v>1</v>
      </c>
      <c r="Q40">
        <f ca="1">IF(P40=0,0,_xlfn.XLOOKUP(C40,CLIENT_CODE!B:B,CLIENT_CODE!L:L,0))</f>
        <v>0</v>
      </c>
      <c r="R40">
        <f ca="1">_xlfn.XLOOKUP(B40,CRN!G:G,CRN!Q:Q,"")</f>
        <v>0</v>
      </c>
      <c r="S40">
        <f ca="1">IF(R40=0,0,_xlfn.XLOOKUP(C40,CLIENT_CODE!B:B,CLIENT_CODE!M:M,0))</f>
        <v>0</v>
      </c>
      <c r="T40">
        <f ca="1">_xlfn.XLOOKUP(B40,CRN!G:G,CRN!R:R,"")</f>
        <v>1</v>
      </c>
      <c r="U40">
        <f ca="1">IF(T40=0,0,_xlfn.XLOOKUP(C40,CLIENT_CODE!B:B,CLIENT_CODE!N:N,0))</f>
        <v>0</v>
      </c>
      <c r="V40">
        <f ca="1">_xlfn.XLOOKUP(B40,CRN!G:G,CRN!S:S,"")</f>
        <v>1</v>
      </c>
      <c r="W40">
        <f ca="1">IF(V40=0,0,_xlfn.XLOOKUP(C40,CLIENT_CODE!B:B,CLIENT_CODE!O:O,0))</f>
        <v>0</v>
      </c>
      <c r="X40">
        <f ca="1">_xlfn.XLOOKUP(B40,CRN!G:G,CRN!T:T,"")</f>
        <v>0</v>
      </c>
      <c r="Y40">
        <f ca="1">IF(X40=0,0,_xlfn.XLOOKUP(C40,CLIENT_CODE!B:B,CLIENT_CODE!P:P,0))</f>
        <v>0</v>
      </c>
      <c r="Z40">
        <f ca="1">_xlfn.XLOOKUP(B40,CRN!G:G,CRN!U:U,"")</f>
        <v>0</v>
      </c>
      <c r="AA40">
        <f ca="1">IF(X40=0,0,_xlfn.XLOOKUP(C40,CLIENT_CODE!B:B,CLIENT_CODE!P:P,0))</f>
        <v>0</v>
      </c>
      <c r="AB40">
        <f ca="1">_xlfn.XLOOKUP(B40,CRN!G:G,CRN!V:V,"")</f>
        <v>0</v>
      </c>
      <c r="AC40">
        <f ca="1">IF(AB40=0,0,_xlfn.XLOOKUP(C40,CLIENT_CODE!B:B,CLIENT_CODE!R:R,0))</f>
        <v>0</v>
      </c>
      <c r="AD40">
        <f t="shared" ca="1" si="0"/>
        <v>0</v>
      </c>
    </row>
    <row r="41" spans="1:30">
      <c r="A41" s="42">
        <v>40</v>
      </c>
      <c r="B41" s="42" t="str">
        <f ca="1"/>
        <v>MTP-N-2526-004327</v>
      </c>
      <c r="E41">
        <f>IF(D41=0,0,_xlfn.XLOOKUP(C41,CLIENT_CODE!B:B,CLIENT_CODE!F:F,0))</f>
        <v>0</v>
      </c>
      <c r="F41">
        <f ca="1">_xlfn.XLOOKUP(B41,CRN!G:G,CRN!K:K,"")</f>
        <v>0</v>
      </c>
      <c r="G41">
        <f ca="1">IF(F41=0,0,_xlfn.XLOOKUP(C41,CLIENT_CODE!B:B,CLIENT_CODE!G:G,0))</f>
        <v>0</v>
      </c>
      <c r="H41">
        <f ca="1">_xlfn.XLOOKUP(B41,CRN!G:G,CRN!L:L,"")</f>
        <v>1</v>
      </c>
      <c r="I41">
        <f ca="1">IF(H41=0,0,_xlfn.XLOOKUP(C41,CLIENT_CODE!B:B,CLIENT_CODE!H:H,0))</f>
        <v>0</v>
      </c>
      <c r="J41">
        <f ca="1">_xlfn.XLOOKUP(B41,CRN!G:G,CRN!M:M,"")</f>
        <v>1</v>
      </c>
      <c r="K41">
        <f ca="1">IF(J41=0,0,_xlfn.XLOOKUP(C41,CLIENT_CODE!B:B,CLIENT_CODE!I:I,0))</f>
        <v>0</v>
      </c>
      <c r="L41">
        <f ca="1">_xlfn.XLOOKUP(B41,CRN!G:G,CRN!N:N,"")</f>
        <v>1</v>
      </c>
      <c r="M41">
        <f ca="1">IF(L41=0,0,_xlfn.XLOOKUP(C41,CLIENT_CODE!B:B,CLIENT_CODE!J:J,0))</f>
        <v>0</v>
      </c>
      <c r="N41">
        <f ca="1">_xlfn.XLOOKUP(B41,CRN!G:G,CRN!O:O,"")</f>
        <v>1</v>
      </c>
      <c r="O41">
        <f ca="1">IF(N41=0,0,_xlfn.XLOOKUP(C41,CLIENT_CODE!B:B,CLIENT_CODE!K:K,0))</f>
        <v>0</v>
      </c>
      <c r="P41">
        <f ca="1">_xlfn.XLOOKUP(B41,CRN!G:G,CRN!P:P,"")</f>
        <v>1</v>
      </c>
      <c r="Q41">
        <f ca="1">IF(P41=0,0,_xlfn.XLOOKUP(C41,CLIENT_CODE!B:B,CLIENT_CODE!L:L,0))</f>
        <v>0</v>
      </c>
      <c r="R41">
        <f ca="1">_xlfn.XLOOKUP(B41,CRN!G:G,CRN!Q:Q,"")</f>
        <v>0</v>
      </c>
      <c r="S41">
        <f ca="1">IF(R41=0,0,_xlfn.XLOOKUP(C41,CLIENT_CODE!B:B,CLIENT_CODE!M:M,0))</f>
        <v>0</v>
      </c>
      <c r="T41">
        <f ca="1">_xlfn.XLOOKUP(B41,CRN!G:G,CRN!R:R,"")</f>
        <v>1</v>
      </c>
      <c r="U41">
        <f ca="1">IF(T41=0,0,_xlfn.XLOOKUP(C41,CLIENT_CODE!B:B,CLIENT_CODE!N:N,0))</f>
        <v>0</v>
      </c>
      <c r="V41">
        <f ca="1">_xlfn.XLOOKUP(B41,CRN!G:G,CRN!S:S,"")</f>
        <v>1</v>
      </c>
      <c r="W41">
        <f ca="1">IF(V41=0,0,_xlfn.XLOOKUP(C41,CLIENT_CODE!B:B,CLIENT_CODE!O:O,0))</f>
        <v>0</v>
      </c>
      <c r="X41">
        <f ca="1">_xlfn.XLOOKUP(B41,CRN!G:G,CRN!T:T,"")</f>
        <v>0</v>
      </c>
      <c r="Y41">
        <f ca="1">IF(X41=0,0,_xlfn.XLOOKUP(C41,CLIENT_CODE!B:B,CLIENT_CODE!P:P,0))</f>
        <v>0</v>
      </c>
      <c r="Z41">
        <f ca="1">_xlfn.XLOOKUP(B41,CRN!G:G,CRN!U:U,"")</f>
        <v>0</v>
      </c>
      <c r="AA41">
        <f ca="1">IF(X41=0,0,_xlfn.XLOOKUP(C41,CLIENT_CODE!B:B,CLIENT_CODE!P:P,0))</f>
        <v>0</v>
      </c>
      <c r="AB41">
        <f ca="1">_xlfn.XLOOKUP(B41,CRN!G:G,CRN!V:V,"")</f>
        <v>0</v>
      </c>
      <c r="AC41">
        <f ca="1">IF(AB41=0,0,_xlfn.XLOOKUP(C41,CLIENT_CODE!B:B,CLIENT_CODE!R:R,0))</f>
        <v>0</v>
      </c>
      <c r="AD41">
        <f t="shared" ca="1" si="0"/>
        <v>0</v>
      </c>
    </row>
    <row r="42" spans="1:30">
      <c r="A42" s="42">
        <v>41</v>
      </c>
      <c r="B42" s="42" t="str">
        <f ca="1"/>
        <v>2002429</v>
      </c>
      <c r="E42">
        <f>IF(D42=0,0,_xlfn.XLOOKUP(C42,CLIENT_CODE!B:B,CLIENT_CODE!F:F,0))</f>
        <v>0</v>
      </c>
      <c r="F42">
        <f ca="1">_xlfn.XLOOKUP(B42,CRN!G:G,CRN!K:K,"")</f>
        <v>0</v>
      </c>
      <c r="G42">
        <f ca="1">IF(F42=0,0,_xlfn.XLOOKUP(C42,CLIENT_CODE!B:B,CLIENT_CODE!G:G,0))</f>
        <v>0</v>
      </c>
      <c r="H42">
        <f ca="1">_xlfn.XLOOKUP(B42,CRN!G:G,CRN!L:L,"")</f>
        <v>1</v>
      </c>
      <c r="I42">
        <f ca="1">IF(H42=0,0,_xlfn.XLOOKUP(C42,CLIENT_CODE!B:B,CLIENT_CODE!H:H,0))</f>
        <v>0</v>
      </c>
      <c r="J42">
        <f ca="1">_xlfn.XLOOKUP(B42,CRN!G:G,CRN!M:M,"")</f>
        <v>0</v>
      </c>
      <c r="K42">
        <f ca="1">IF(J42=0,0,_xlfn.XLOOKUP(C42,CLIENT_CODE!B:B,CLIENT_CODE!I:I,0))</f>
        <v>0</v>
      </c>
      <c r="L42">
        <f ca="1">_xlfn.XLOOKUP(B42,CRN!G:G,CRN!N:N,"")</f>
        <v>1</v>
      </c>
      <c r="M42">
        <f ca="1">IF(L42=0,0,_xlfn.XLOOKUP(C42,CLIENT_CODE!B:B,CLIENT_CODE!J:J,0))</f>
        <v>0</v>
      </c>
      <c r="N42">
        <f ca="1">_xlfn.XLOOKUP(B42,CRN!G:G,CRN!O:O,"")</f>
        <v>0</v>
      </c>
      <c r="O42">
        <f ca="1">IF(N42=0,0,_xlfn.XLOOKUP(C42,CLIENT_CODE!B:B,CLIENT_CODE!K:K,0))</f>
        <v>0</v>
      </c>
      <c r="P42">
        <f ca="1">_xlfn.XLOOKUP(B42,CRN!G:G,CRN!P:P,"")</f>
        <v>0</v>
      </c>
      <c r="Q42">
        <f ca="1">IF(P42=0,0,_xlfn.XLOOKUP(C42,CLIENT_CODE!B:B,CLIENT_CODE!L:L,0))</f>
        <v>0</v>
      </c>
      <c r="R42">
        <f ca="1">_xlfn.XLOOKUP(B42,CRN!G:G,CRN!Q:Q,"")</f>
        <v>0</v>
      </c>
      <c r="S42">
        <f ca="1">IF(R42=0,0,_xlfn.XLOOKUP(C42,CLIENT_CODE!B:B,CLIENT_CODE!M:M,0))</f>
        <v>0</v>
      </c>
      <c r="T42">
        <f ca="1">_xlfn.XLOOKUP(B42,CRN!G:G,CRN!R:R,"")</f>
        <v>1</v>
      </c>
      <c r="U42">
        <f ca="1">IF(T42=0,0,_xlfn.XLOOKUP(C42,CLIENT_CODE!B:B,CLIENT_CODE!N:N,0))</f>
        <v>0</v>
      </c>
      <c r="V42">
        <f ca="1">_xlfn.XLOOKUP(B42,CRN!G:G,CRN!S:S,"")</f>
        <v>1</v>
      </c>
      <c r="W42">
        <f ca="1">IF(V42=0,0,_xlfn.XLOOKUP(C42,CLIENT_CODE!B:B,CLIENT_CODE!O:O,0))</f>
        <v>0</v>
      </c>
      <c r="X42">
        <f ca="1">_xlfn.XLOOKUP(B42,CRN!G:G,CRN!T:T,"")</f>
        <v>0</v>
      </c>
      <c r="Y42">
        <f ca="1">IF(X42=0,0,_xlfn.XLOOKUP(C42,CLIENT_CODE!B:B,CLIENT_CODE!P:P,0))</f>
        <v>0</v>
      </c>
      <c r="Z42">
        <f ca="1">_xlfn.XLOOKUP(B42,CRN!G:G,CRN!U:U,"")</f>
        <v>0</v>
      </c>
      <c r="AA42">
        <f ca="1">IF(X42=0,0,_xlfn.XLOOKUP(C42,CLIENT_CODE!B:B,CLIENT_CODE!P:P,0))</f>
        <v>0</v>
      </c>
      <c r="AB42">
        <f ca="1">_xlfn.XLOOKUP(B42,CRN!G:G,CRN!V:V,"")</f>
        <v>0</v>
      </c>
      <c r="AC42">
        <f ca="1">IF(AB42=0,0,_xlfn.XLOOKUP(C42,CLIENT_CODE!B:B,CLIENT_CODE!R:R,0))</f>
        <v>0</v>
      </c>
      <c r="AD42">
        <f t="shared" ca="1" si="0"/>
        <v>0</v>
      </c>
    </row>
    <row r="43" spans="1:30">
      <c r="A43" s="42">
        <v>42</v>
      </c>
      <c r="B43" s="42" t="str">
        <f ca="1"/>
        <v>2748311</v>
      </c>
      <c r="E43">
        <f>IF(D43=0,0,_xlfn.XLOOKUP(C43,CLIENT_CODE!B:B,CLIENT_CODE!F:F,0))</f>
        <v>0</v>
      </c>
      <c r="F43">
        <f ca="1">_xlfn.XLOOKUP(B43,CRN!G:G,CRN!K:K,"")</f>
        <v>0</v>
      </c>
      <c r="G43">
        <f ca="1">IF(F43=0,0,_xlfn.XLOOKUP(C43,CLIENT_CODE!B:B,CLIENT_CODE!G:G,0))</f>
        <v>0</v>
      </c>
      <c r="H43">
        <f ca="1">_xlfn.XLOOKUP(B43,CRN!G:G,CRN!L:L,"")</f>
        <v>1</v>
      </c>
      <c r="I43">
        <f ca="1">IF(H43=0,0,_xlfn.XLOOKUP(C43,CLIENT_CODE!B:B,CLIENT_CODE!H:H,0))</f>
        <v>0</v>
      </c>
      <c r="J43">
        <f ca="1">_xlfn.XLOOKUP(B43,CRN!G:G,CRN!M:M,"")</f>
        <v>0</v>
      </c>
      <c r="K43">
        <f ca="1">IF(J43=0,0,_xlfn.XLOOKUP(C43,CLIENT_CODE!B:B,CLIENT_CODE!I:I,0))</f>
        <v>0</v>
      </c>
      <c r="L43">
        <f ca="1">_xlfn.XLOOKUP(B43,CRN!G:G,CRN!N:N,"")</f>
        <v>1</v>
      </c>
      <c r="M43">
        <f ca="1">IF(L43=0,0,_xlfn.XLOOKUP(C43,CLIENT_CODE!B:B,CLIENT_CODE!J:J,0))</f>
        <v>0</v>
      </c>
      <c r="N43">
        <f ca="1">_xlfn.XLOOKUP(B43,CRN!G:G,CRN!O:O,"")</f>
        <v>0</v>
      </c>
      <c r="O43">
        <f ca="1">IF(N43=0,0,_xlfn.XLOOKUP(C43,CLIENT_CODE!B:B,CLIENT_CODE!K:K,0))</f>
        <v>0</v>
      </c>
      <c r="P43">
        <f ca="1">_xlfn.XLOOKUP(B43,CRN!G:G,CRN!P:P,"")</f>
        <v>0</v>
      </c>
      <c r="Q43">
        <f ca="1">IF(P43=0,0,_xlfn.XLOOKUP(C43,CLIENT_CODE!B:B,CLIENT_CODE!L:L,0))</f>
        <v>0</v>
      </c>
      <c r="R43">
        <f ca="1">_xlfn.XLOOKUP(B43,CRN!G:G,CRN!Q:Q,"")</f>
        <v>0</v>
      </c>
      <c r="S43">
        <f ca="1">IF(R43=0,0,_xlfn.XLOOKUP(C43,CLIENT_CODE!B:B,CLIENT_CODE!M:M,0))</f>
        <v>0</v>
      </c>
      <c r="T43">
        <f ca="1">_xlfn.XLOOKUP(B43,CRN!G:G,CRN!R:R,"")</f>
        <v>1</v>
      </c>
      <c r="U43">
        <f ca="1">IF(T43=0,0,_xlfn.XLOOKUP(C43,CLIENT_CODE!B:B,CLIENT_CODE!N:N,0))</f>
        <v>0</v>
      </c>
      <c r="V43">
        <f ca="1">_xlfn.XLOOKUP(B43,CRN!G:G,CRN!S:S,"")</f>
        <v>1</v>
      </c>
      <c r="W43">
        <f ca="1">IF(V43=0,0,_xlfn.XLOOKUP(C43,CLIENT_CODE!B:B,CLIENT_CODE!O:O,0))</f>
        <v>0</v>
      </c>
      <c r="X43">
        <f ca="1">_xlfn.XLOOKUP(B43,CRN!G:G,CRN!T:T,"")</f>
        <v>0</v>
      </c>
      <c r="Y43">
        <f ca="1">IF(X43=0,0,_xlfn.XLOOKUP(C43,CLIENT_CODE!B:B,CLIENT_CODE!P:P,0))</f>
        <v>0</v>
      </c>
      <c r="Z43">
        <f ca="1">_xlfn.XLOOKUP(B43,CRN!G:G,CRN!U:U,"")</f>
        <v>0</v>
      </c>
      <c r="AA43">
        <f ca="1">IF(X43=0,0,_xlfn.XLOOKUP(C43,CLIENT_CODE!B:B,CLIENT_CODE!P:P,0))</f>
        <v>0</v>
      </c>
      <c r="AB43">
        <f ca="1">_xlfn.XLOOKUP(B43,CRN!G:G,CRN!V:V,"")</f>
        <v>0</v>
      </c>
      <c r="AC43">
        <f ca="1">IF(AB43=0,0,_xlfn.XLOOKUP(C43,CLIENT_CODE!B:B,CLIENT_CODE!R:R,0))</f>
        <v>0</v>
      </c>
      <c r="AD43">
        <f t="shared" ca="1" si="0"/>
        <v>0</v>
      </c>
    </row>
    <row r="44" spans="1:30">
      <c r="A44" s="42">
        <v>43</v>
      </c>
      <c r="B44" s="42" t="str">
        <f ca="1"/>
        <v>2748142</v>
      </c>
      <c r="E44">
        <f>IF(D44=0,0,_xlfn.XLOOKUP(C44,CLIENT_CODE!B:B,CLIENT_CODE!F:F,0))</f>
        <v>0</v>
      </c>
      <c r="F44">
        <f ca="1">_xlfn.XLOOKUP(B44,CRN!G:G,CRN!K:K,"")</f>
        <v>0</v>
      </c>
      <c r="G44">
        <f ca="1">IF(F44=0,0,_xlfn.XLOOKUP(C44,CLIENT_CODE!B:B,CLIENT_CODE!G:G,0))</f>
        <v>0</v>
      </c>
      <c r="H44">
        <f ca="1">_xlfn.XLOOKUP(B44,CRN!G:G,CRN!L:L,"")</f>
        <v>1</v>
      </c>
      <c r="I44">
        <f ca="1">IF(H44=0,0,_xlfn.XLOOKUP(C44,CLIENT_CODE!B:B,CLIENT_CODE!H:H,0))</f>
        <v>0</v>
      </c>
      <c r="J44">
        <f ca="1">_xlfn.XLOOKUP(B44,CRN!G:G,CRN!M:M,"")</f>
        <v>0</v>
      </c>
      <c r="K44">
        <f ca="1">IF(J44=0,0,_xlfn.XLOOKUP(C44,CLIENT_CODE!B:B,CLIENT_CODE!I:I,0))</f>
        <v>0</v>
      </c>
      <c r="L44">
        <f ca="1">_xlfn.XLOOKUP(B44,CRN!G:G,CRN!N:N,"")</f>
        <v>1</v>
      </c>
      <c r="M44">
        <f ca="1">IF(L44=0,0,_xlfn.XLOOKUP(C44,CLIENT_CODE!B:B,CLIENT_CODE!J:J,0))</f>
        <v>0</v>
      </c>
      <c r="N44">
        <f ca="1">_xlfn.XLOOKUP(B44,CRN!G:G,CRN!O:O,"")</f>
        <v>0</v>
      </c>
      <c r="O44">
        <f ca="1">IF(N44=0,0,_xlfn.XLOOKUP(C44,CLIENT_CODE!B:B,CLIENT_CODE!K:K,0))</f>
        <v>0</v>
      </c>
      <c r="P44">
        <f ca="1">_xlfn.XLOOKUP(B44,CRN!G:G,CRN!P:P,"")</f>
        <v>0</v>
      </c>
      <c r="Q44">
        <f ca="1">IF(P44=0,0,_xlfn.XLOOKUP(C44,CLIENT_CODE!B:B,CLIENT_CODE!L:L,0))</f>
        <v>0</v>
      </c>
      <c r="R44">
        <f ca="1">_xlfn.XLOOKUP(B44,CRN!G:G,CRN!Q:Q,"")</f>
        <v>0</v>
      </c>
      <c r="S44">
        <f ca="1">IF(R44=0,0,_xlfn.XLOOKUP(C44,CLIENT_CODE!B:B,CLIENT_CODE!M:M,0))</f>
        <v>0</v>
      </c>
      <c r="T44">
        <f ca="1">_xlfn.XLOOKUP(B44,CRN!G:G,CRN!R:R,"")</f>
        <v>1</v>
      </c>
      <c r="U44">
        <f ca="1">IF(T44=0,0,_xlfn.XLOOKUP(C44,CLIENT_CODE!B:B,CLIENT_CODE!N:N,0))</f>
        <v>0</v>
      </c>
      <c r="V44">
        <f ca="1">_xlfn.XLOOKUP(B44,CRN!G:G,CRN!S:S,"")</f>
        <v>1</v>
      </c>
      <c r="W44">
        <f ca="1">IF(V44=0,0,_xlfn.XLOOKUP(C44,CLIENT_CODE!B:B,CLIENT_CODE!O:O,0))</f>
        <v>0</v>
      </c>
      <c r="X44">
        <f ca="1">_xlfn.XLOOKUP(B44,CRN!G:G,CRN!T:T,"")</f>
        <v>0</v>
      </c>
      <c r="Y44">
        <f ca="1">IF(X44=0,0,_xlfn.XLOOKUP(C44,CLIENT_CODE!B:B,CLIENT_CODE!P:P,0))</f>
        <v>0</v>
      </c>
      <c r="Z44">
        <f ca="1">_xlfn.XLOOKUP(B44,CRN!G:G,CRN!U:U,"")</f>
        <v>0</v>
      </c>
      <c r="AA44">
        <f ca="1">IF(X44=0,0,_xlfn.XLOOKUP(C44,CLIENT_CODE!B:B,CLIENT_CODE!P:P,0))</f>
        <v>0</v>
      </c>
      <c r="AB44">
        <f ca="1">_xlfn.XLOOKUP(B44,CRN!G:G,CRN!V:V,"")</f>
        <v>0</v>
      </c>
      <c r="AC44">
        <f ca="1">IF(AB44=0,0,_xlfn.XLOOKUP(C44,CLIENT_CODE!B:B,CLIENT_CODE!R:R,0))</f>
        <v>0</v>
      </c>
      <c r="AD44">
        <f t="shared" ca="1" si="0"/>
        <v>0</v>
      </c>
    </row>
    <row r="45" spans="1:30">
      <c r="A45" s="42">
        <v>44</v>
      </c>
      <c r="B45" s="42" t="str">
        <f ca="1"/>
        <v>2025212933</v>
      </c>
      <c r="E45">
        <f>IF(D45=0,0,_xlfn.XLOOKUP(C45,CLIENT_CODE!B:B,CLIENT_CODE!F:F,0))</f>
        <v>0</v>
      </c>
      <c r="F45">
        <f ca="1">_xlfn.XLOOKUP(B45,CRN!G:G,CRN!K:K,"")</f>
        <v>0</v>
      </c>
      <c r="G45">
        <f ca="1">IF(F45=0,0,_xlfn.XLOOKUP(C45,CLIENT_CODE!B:B,CLIENT_CODE!G:G,0))</f>
        <v>0</v>
      </c>
      <c r="H45">
        <f ca="1">_xlfn.XLOOKUP(B45,CRN!G:G,CRN!L:L,"")</f>
        <v>1</v>
      </c>
      <c r="I45">
        <f ca="1">IF(H45=0,0,_xlfn.XLOOKUP(C45,CLIENT_CODE!B:B,CLIENT_CODE!H:H,0))</f>
        <v>0</v>
      </c>
      <c r="J45">
        <f ca="1">_xlfn.XLOOKUP(B45,CRN!G:G,CRN!M:M,"")</f>
        <v>0</v>
      </c>
      <c r="K45">
        <f ca="1">IF(J45=0,0,_xlfn.XLOOKUP(C45,CLIENT_CODE!B:B,CLIENT_CODE!I:I,0))</f>
        <v>0</v>
      </c>
      <c r="L45">
        <f ca="1">_xlfn.XLOOKUP(B45,CRN!G:G,CRN!N:N,"")</f>
        <v>1</v>
      </c>
      <c r="M45">
        <f ca="1">IF(L45=0,0,_xlfn.XLOOKUP(C45,CLIENT_CODE!B:B,CLIENT_CODE!J:J,0))</f>
        <v>0</v>
      </c>
      <c r="N45">
        <f ca="1">_xlfn.XLOOKUP(B45,CRN!G:G,CRN!O:O,"")</f>
        <v>0</v>
      </c>
      <c r="O45">
        <f ca="1">IF(N45=0,0,_xlfn.XLOOKUP(C45,CLIENT_CODE!B:B,CLIENT_CODE!K:K,0))</f>
        <v>0</v>
      </c>
      <c r="P45">
        <f ca="1">_xlfn.XLOOKUP(B45,CRN!G:G,CRN!P:P,"")</f>
        <v>0</v>
      </c>
      <c r="Q45">
        <f ca="1">IF(P45=0,0,_xlfn.XLOOKUP(C45,CLIENT_CODE!B:B,CLIENT_CODE!L:L,0))</f>
        <v>0</v>
      </c>
      <c r="R45">
        <f ca="1">_xlfn.XLOOKUP(B45,CRN!G:G,CRN!Q:Q,"")</f>
        <v>0</v>
      </c>
      <c r="S45">
        <f ca="1">IF(R45=0,0,_xlfn.XLOOKUP(C45,CLIENT_CODE!B:B,CLIENT_CODE!M:M,0))</f>
        <v>0</v>
      </c>
      <c r="T45">
        <f ca="1">_xlfn.XLOOKUP(B45,CRN!G:G,CRN!R:R,"")</f>
        <v>1</v>
      </c>
      <c r="U45">
        <f ca="1">IF(T45=0,0,_xlfn.XLOOKUP(C45,CLIENT_CODE!B:B,CLIENT_CODE!N:N,0))</f>
        <v>0</v>
      </c>
      <c r="V45">
        <f ca="1">_xlfn.XLOOKUP(B45,CRN!G:G,CRN!S:S,"")</f>
        <v>1</v>
      </c>
      <c r="W45">
        <f ca="1">IF(V45=0,0,_xlfn.XLOOKUP(C45,CLIENT_CODE!B:B,CLIENT_CODE!O:O,0))</f>
        <v>0</v>
      </c>
      <c r="X45">
        <f ca="1">_xlfn.XLOOKUP(B45,CRN!G:G,CRN!T:T,"")</f>
        <v>0</v>
      </c>
      <c r="Y45">
        <f ca="1">IF(X45=0,0,_xlfn.XLOOKUP(C45,CLIENT_CODE!B:B,CLIENT_CODE!P:P,0))</f>
        <v>0</v>
      </c>
      <c r="Z45">
        <f ca="1">_xlfn.XLOOKUP(B45,CRN!G:G,CRN!U:U,"")</f>
        <v>0</v>
      </c>
      <c r="AA45">
        <f ca="1">IF(X45=0,0,_xlfn.XLOOKUP(C45,CLIENT_CODE!B:B,CLIENT_CODE!P:P,0))</f>
        <v>0</v>
      </c>
      <c r="AB45">
        <f ca="1">_xlfn.XLOOKUP(B45,CRN!G:G,CRN!V:V,"")</f>
        <v>0</v>
      </c>
      <c r="AC45">
        <f ca="1">IF(AB45=0,0,_xlfn.XLOOKUP(C45,CLIENT_CODE!B:B,CLIENT_CODE!R:R,0))</f>
        <v>0</v>
      </c>
      <c r="AD45">
        <f t="shared" ca="1" si="0"/>
        <v>0</v>
      </c>
    </row>
    <row r="46" spans="1:30">
      <c r="A46" s="42">
        <v>45</v>
      </c>
      <c r="B46" s="42" t="str">
        <f ca="1"/>
        <v>2025210107</v>
      </c>
      <c r="E46">
        <f>IF(D46=0,0,_xlfn.XLOOKUP(C46,CLIENT_CODE!B:B,CLIENT_CODE!F:F,0))</f>
        <v>0</v>
      </c>
      <c r="F46">
        <f ca="1">_xlfn.XLOOKUP(B46,CRN!G:G,CRN!K:K,"")</f>
        <v>0</v>
      </c>
      <c r="G46">
        <f ca="1">IF(F46=0,0,_xlfn.XLOOKUP(C46,CLIENT_CODE!B:B,CLIENT_CODE!G:G,0))</f>
        <v>0</v>
      </c>
      <c r="H46">
        <f ca="1">_xlfn.XLOOKUP(B46,CRN!G:G,CRN!L:L,"")</f>
        <v>1</v>
      </c>
      <c r="I46">
        <f ca="1">IF(H46=0,0,_xlfn.XLOOKUP(C46,CLIENT_CODE!B:B,CLIENT_CODE!H:H,0))</f>
        <v>0</v>
      </c>
      <c r="J46">
        <f ca="1">_xlfn.XLOOKUP(B46,CRN!G:G,CRN!M:M,"")</f>
        <v>0</v>
      </c>
      <c r="K46">
        <f ca="1">IF(J46=0,0,_xlfn.XLOOKUP(C46,CLIENT_CODE!B:B,CLIENT_CODE!I:I,0))</f>
        <v>0</v>
      </c>
      <c r="L46">
        <f ca="1">_xlfn.XLOOKUP(B46,CRN!G:G,CRN!N:N,"")</f>
        <v>1</v>
      </c>
      <c r="M46">
        <f ca="1">IF(L46=0,0,_xlfn.XLOOKUP(C46,CLIENT_CODE!B:B,CLIENT_CODE!J:J,0))</f>
        <v>0</v>
      </c>
      <c r="N46">
        <f ca="1">_xlfn.XLOOKUP(B46,CRN!G:G,CRN!O:O,"")</f>
        <v>0</v>
      </c>
      <c r="O46">
        <f ca="1">IF(N46=0,0,_xlfn.XLOOKUP(C46,CLIENT_CODE!B:B,CLIENT_CODE!K:K,0))</f>
        <v>0</v>
      </c>
      <c r="P46">
        <f ca="1">_xlfn.XLOOKUP(B46,CRN!G:G,CRN!P:P,"")</f>
        <v>0</v>
      </c>
      <c r="Q46">
        <f ca="1">IF(P46=0,0,_xlfn.XLOOKUP(C46,CLIENT_CODE!B:B,CLIENT_CODE!L:L,0))</f>
        <v>0</v>
      </c>
      <c r="R46">
        <f ca="1">_xlfn.XLOOKUP(B46,CRN!G:G,CRN!Q:Q,"")</f>
        <v>0</v>
      </c>
      <c r="S46">
        <f ca="1">IF(R46=0,0,_xlfn.XLOOKUP(C46,CLIENT_CODE!B:B,CLIENT_CODE!M:M,0))</f>
        <v>0</v>
      </c>
      <c r="T46">
        <f ca="1">_xlfn.XLOOKUP(B46,CRN!G:G,CRN!R:R,"")</f>
        <v>1</v>
      </c>
      <c r="U46">
        <f ca="1">IF(T46=0,0,_xlfn.XLOOKUP(C46,CLIENT_CODE!B:B,CLIENT_CODE!N:N,0))</f>
        <v>0</v>
      </c>
      <c r="V46">
        <f ca="1">_xlfn.XLOOKUP(B46,CRN!G:G,CRN!S:S,"")</f>
        <v>1</v>
      </c>
      <c r="W46">
        <f ca="1">IF(V46=0,0,_xlfn.XLOOKUP(C46,CLIENT_CODE!B:B,CLIENT_CODE!O:O,0))</f>
        <v>0</v>
      </c>
      <c r="X46">
        <f ca="1">_xlfn.XLOOKUP(B46,CRN!G:G,CRN!T:T,"")</f>
        <v>0</v>
      </c>
      <c r="Y46">
        <f ca="1">IF(X46=0,0,_xlfn.XLOOKUP(C46,CLIENT_CODE!B:B,CLIENT_CODE!P:P,0))</f>
        <v>0</v>
      </c>
      <c r="Z46">
        <f ca="1">_xlfn.XLOOKUP(B46,CRN!G:G,CRN!U:U,"")</f>
        <v>0</v>
      </c>
      <c r="AA46">
        <f ca="1">IF(X46=0,0,_xlfn.XLOOKUP(C46,CLIENT_CODE!B:B,CLIENT_CODE!P:P,0))</f>
        <v>0</v>
      </c>
      <c r="AB46">
        <f ca="1">_xlfn.XLOOKUP(B46,CRN!G:G,CRN!V:V,"")</f>
        <v>0</v>
      </c>
      <c r="AC46">
        <f ca="1">IF(AB46=0,0,_xlfn.XLOOKUP(C46,CLIENT_CODE!B:B,CLIENT_CODE!R:R,0))</f>
        <v>0</v>
      </c>
      <c r="AD46">
        <f t="shared" ca="1" si="0"/>
        <v>0</v>
      </c>
    </row>
    <row r="47" spans="1:30">
      <c r="A47" s="42">
        <v>46</v>
      </c>
      <c r="B47" s="42" t="str">
        <f ca="1"/>
        <v>2025212965</v>
      </c>
      <c r="E47">
        <f>IF(D47=0,0,_xlfn.XLOOKUP(C47,CLIENT_CODE!B:B,CLIENT_CODE!F:F,0))</f>
        <v>0</v>
      </c>
      <c r="F47">
        <f ca="1">_xlfn.XLOOKUP(B47,CRN!G:G,CRN!K:K,"")</f>
        <v>0</v>
      </c>
      <c r="G47">
        <f ca="1">IF(F47=0,0,_xlfn.XLOOKUP(C47,CLIENT_CODE!B:B,CLIENT_CODE!G:G,0))</f>
        <v>0</v>
      </c>
      <c r="H47">
        <f ca="1">_xlfn.XLOOKUP(B47,CRN!G:G,CRN!L:L,"")</f>
        <v>1</v>
      </c>
      <c r="I47">
        <f ca="1">IF(H47=0,0,_xlfn.XLOOKUP(C47,CLIENT_CODE!B:B,CLIENT_CODE!H:H,0))</f>
        <v>0</v>
      </c>
      <c r="J47">
        <f ca="1">_xlfn.XLOOKUP(B47,CRN!G:G,CRN!M:M,"")</f>
        <v>0</v>
      </c>
      <c r="K47">
        <f ca="1">IF(J47=0,0,_xlfn.XLOOKUP(C47,CLIENT_CODE!B:B,CLIENT_CODE!I:I,0))</f>
        <v>0</v>
      </c>
      <c r="L47">
        <f ca="1">_xlfn.XLOOKUP(B47,CRN!G:G,CRN!N:N,"")</f>
        <v>1</v>
      </c>
      <c r="M47">
        <f ca="1">IF(L47=0,0,_xlfn.XLOOKUP(C47,CLIENT_CODE!B:B,CLIENT_CODE!J:J,0))</f>
        <v>0</v>
      </c>
      <c r="N47">
        <f ca="1">_xlfn.XLOOKUP(B47,CRN!G:G,CRN!O:O,"")</f>
        <v>0</v>
      </c>
      <c r="O47">
        <f ca="1">IF(N47=0,0,_xlfn.XLOOKUP(C47,CLIENT_CODE!B:B,CLIENT_CODE!K:K,0))</f>
        <v>0</v>
      </c>
      <c r="P47">
        <f ca="1">_xlfn.XLOOKUP(B47,CRN!G:G,CRN!P:P,"")</f>
        <v>0</v>
      </c>
      <c r="Q47">
        <f ca="1">IF(P47=0,0,_xlfn.XLOOKUP(C47,CLIENT_CODE!B:B,CLIENT_CODE!L:L,0))</f>
        <v>0</v>
      </c>
      <c r="R47">
        <f ca="1">_xlfn.XLOOKUP(B47,CRN!G:G,CRN!Q:Q,"")</f>
        <v>0</v>
      </c>
      <c r="S47">
        <f ca="1">IF(R47=0,0,_xlfn.XLOOKUP(C47,CLIENT_CODE!B:B,CLIENT_CODE!M:M,0))</f>
        <v>0</v>
      </c>
      <c r="T47">
        <f ca="1">_xlfn.XLOOKUP(B47,CRN!G:G,CRN!R:R,"")</f>
        <v>1</v>
      </c>
      <c r="U47">
        <f ca="1">IF(T47=0,0,_xlfn.XLOOKUP(C47,CLIENT_CODE!B:B,CLIENT_CODE!N:N,0))</f>
        <v>0</v>
      </c>
      <c r="V47">
        <f ca="1">_xlfn.XLOOKUP(B47,CRN!G:G,CRN!S:S,"")</f>
        <v>1</v>
      </c>
      <c r="W47">
        <f ca="1">IF(V47=0,0,_xlfn.XLOOKUP(C47,CLIENT_CODE!B:B,CLIENT_CODE!O:O,0))</f>
        <v>0</v>
      </c>
      <c r="X47">
        <f ca="1">_xlfn.XLOOKUP(B47,CRN!G:G,CRN!T:T,"")</f>
        <v>0</v>
      </c>
      <c r="Y47">
        <f ca="1">IF(X47=0,0,_xlfn.XLOOKUP(C47,CLIENT_CODE!B:B,CLIENT_CODE!P:P,0))</f>
        <v>0</v>
      </c>
      <c r="Z47">
        <f ca="1">_xlfn.XLOOKUP(B47,CRN!G:G,CRN!U:U,"")</f>
        <v>0</v>
      </c>
      <c r="AA47">
        <f ca="1">IF(X47=0,0,_xlfn.XLOOKUP(C47,CLIENT_CODE!B:B,CLIENT_CODE!P:P,0))</f>
        <v>0</v>
      </c>
      <c r="AB47">
        <f ca="1">_xlfn.XLOOKUP(B47,CRN!G:G,CRN!V:V,"")</f>
        <v>0</v>
      </c>
      <c r="AC47">
        <f ca="1">IF(AB47=0,0,_xlfn.XLOOKUP(C47,CLIENT_CODE!B:B,CLIENT_CODE!R:R,0))</f>
        <v>0</v>
      </c>
      <c r="AD47">
        <f t="shared" ca="1" si="0"/>
        <v>0</v>
      </c>
    </row>
    <row r="48" spans="1:30">
      <c r="A48" s="42">
        <v>47</v>
      </c>
      <c r="B48" s="42" t="str">
        <f ca="1"/>
        <v>2025212925</v>
      </c>
      <c r="E48">
        <f>IF(D48=0,0,_xlfn.XLOOKUP(C48,CLIENT_CODE!B:B,CLIENT_CODE!F:F,0))</f>
        <v>0</v>
      </c>
      <c r="F48">
        <f ca="1">_xlfn.XLOOKUP(B48,CRN!G:G,CRN!K:K,"")</f>
        <v>0</v>
      </c>
      <c r="G48">
        <f ca="1">IF(F48=0,0,_xlfn.XLOOKUP(C48,CLIENT_CODE!B:B,CLIENT_CODE!G:G,0))</f>
        <v>0</v>
      </c>
      <c r="H48">
        <f ca="1">_xlfn.XLOOKUP(B48,CRN!G:G,CRN!L:L,"")</f>
        <v>1</v>
      </c>
      <c r="I48">
        <f ca="1">IF(H48=0,0,_xlfn.XLOOKUP(C48,CLIENT_CODE!B:B,CLIENT_CODE!H:H,0))</f>
        <v>0</v>
      </c>
      <c r="J48">
        <f ca="1">_xlfn.XLOOKUP(B48,CRN!G:G,CRN!M:M,"")</f>
        <v>0</v>
      </c>
      <c r="K48">
        <f ca="1">IF(J48=0,0,_xlfn.XLOOKUP(C48,CLIENT_CODE!B:B,CLIENT_CODE!I:I,0))</f>
        <v>0</v>
      </c>
      <c r="L48">
        <f ca="1">_xlfn.XLOOKUP(B48,CRN!G:G,CRN!N:N,"")</f>
        <v>1</v>
      </c>
      <c r="M48">
        <f ca="1">IF(L48=0,0,_xlfn.XLOOKUP(C48,CLIENT_CODE!B:B,CLIENT_CODE!J:J,0))</f>
        <v>0</v>
      </c>
      <c r="N48">
        <f ca="1">_xlfn.XLOOKUP(B48,CRN!G:G,CRN!O:O,"")</f>
        <v>0</v>
      </c>
      <c r="O48">
        <f ca="1">IF(N48=0,0,_xlfn.XLOOKUP(C48,CLIENT_CODE!B:B,CLIENT_CODE!K:K,0))</f>
        <v>0</v>
      </c>
      <c r="P48">
        <f ca="1">_xlfn.XLOOKUP(B48,CRN!G:G,CRN!P:P,"")</f>
        <v>0</v>
      </c>
      <c r="Q48">
        <f ca="1">IF(P48=0,0,_xlfn.XLOOKUP(C48,CLIENT_CODE!B:B,CLIENT_CODE!L:L,0))</f>
        <v>0</v>
      </c>
      <c r="R48">
        <f ca="1">_xlfn.XLOOKUP(B48,CRN!G:G,CRN!Q:Q,"")</f>
        <v>0</v>
      </c>
      <c r="S48">
        <f ca="1">IF(R48=0,0,_xlfn.XLOOKUP(C48,CLIENT_CODE!B:B,CLIENT_CODE!M:M,0))</f>
        <v>0</v>
      </c>
      <c r="T48">
        <f ca="1">_xlfn.XLOOKUP(B48,CRN!G:G,CRN!R:R,"")</f>
        <v>1</v>
      </c>
      <c r="U48">
        <f ca="1">IF(T48=0,0,_xlfn.XLOOKUP(C48,CLIENT_CODE!B:B,CLIENT_CODE!N:N,0))</f>
        <v>0</v>
      </c>
      <c r="V48">
        <f ca="1">_xlfn.XLOOKUP(B48,CRN!G:G,CRN!S:S,"")</f>
        <v>1</v>
      </c>
      <c r="W48">
        <f ca="1">IF(V48=0,0,_xlfn.XLOOKUP(C48,CLIENT_CODE!B:B,CLIENT_CODE!O:O,0))</f>
        <v>0</v>
      </c>
      <c r="X48">
        <f ca="1">_xlfn.XLOOKUP(B48,CRN!G:G,CRN!T:T,"")</f>
        <v>0</v>
      </c>
      <c r="Y48">
        <f ca="1">IF(X48=0,0,_xlfn.XLOOKUP(C48,CLIENT_CODE!B:B,CLIENT_CODE!P:P,0))</f>
        <v>0</v>
      </c>
      <c r="Z48">
        <f ca="1">_xlfn.XLOOKUP(B48,CRN!G:G,CRN!U:U,"")</f>
        <v>0</v>
      </c>
      <c r="AA48">
        <f ca="1">IF(X48=0,0,_xlfn.XLOOKUP(C48,CLIENT_CODE!B:B,CLIENT_CODE!P:P,0))</f>
        <v>0</v>
      </c>
      <c r="AB48">
        <f ca="1">_xlfn.XLOOKUP(B48,CRN!G:G,CRN!V:V,"")</f>
        <v>0</v>
      </c>
      <c r="AC48">
        <f ca="1">IF(AB48=0,0,_xlfn.XLOOKUP(C48,CLIENT_CODE!B:B,CLIENT_CODE!R:R,0))</f>
        <v>0</v>
      </c>
      <c r="AD48">
        <f t="shared" ca="1" si="0"/>
        <v>0</v>
      </c>
    </row>
    <row r="49" spans="1:30">
      <c r="A49" s="42">
        <v>48</v>
      </c>
      <c r="B49" s="42" t="str">
        <f ca="1"/>
        <v>2752072</v>
      </c>
      <c r="E49">
        <f>IF(D49=0,0,_xlfn.XLOOKUP(C49,CLIENT_CODE!B:B,CLIENT_CODE!F:F,0))</f>
        <v>0</v>
      </c>
      <c r="F49">
        <f ca="1">_xlfn.XLOOKUP(B49,CRN!G:G,CRN!K:K,"")</f>
        <v>0</v>
      </c>
      <c r="G49">
        <f ca="1">IF(F49=0,0,_xlfn.XLOOKUP(C49,CLIENT_CODE!B:B,CLIENT_CODE!G:G,0))</f>
        <v>0</v>
      </c>
      <c r="H49">
        <f ca="1">_xlfn.XLOOKUP(B49,CRN!G:G,CRN!L:L,"")</f>
        <v>1</v>
      </c>
      <c r="I49">
        <f ca="1">IF(H49=0,0,_xlfn.XLOOKUP(C49,CLIENT_CODE!B:B,CLIENT_CODE!H:H,0))</f>
        <v>0</v>
      </c>
      <c r="J49">
        <f ca="1">_xlfn.XLOOKUP(B49,CRN!G:G,CRN!M:M,"")</f>
        <v>0</v>
      </c>
      <c r="K49">
        <f ca="1">IF(J49=0,0,_xlfn.XLOOKUP(C49,CLIENT_CODE!B:B,CLIENT_CODE!I:I,0))</f>
        <v>0</v>
      </c>
      <c r="L49">
        <f ca="1">_xlfn.XLOOKUP(B49,CRN!G:G,CRN!N:N,"")</f>
        <v>1</v>
      </c>
      <c r="M49">
        <f ca="1">IF(L49=0,0,_xlfn.XLOOKUP(C49,CLIENT_CODE!B:B,CLIENT_CODE!J:J,0))</f>
        <v>0</v>
      </c>
      <c r="N49">
        <f ca="1">_xlfn.XLOOKUP(B49,CRN!G:G,CRN!O:O,"")</f>
        <v>0</v>
      </c>
      <c r="O49">
        <f ca="1">IF(N49=0,0,_xlfn.XLOOKUP(C49,CLIENT_CODE!B:B,CLIENT_CODE!K:K,0))</f>
        <v>0</v>
      </c>
      <c r="P49">
        <f ca="1">_xlfn.XLOOKUP(B49,CRN!G:G,CRN!P:P,"")</f>
        <v>0</v>
      </c>
      <c r="Q49">
        <f ca="1">IF(P49=0,0,_xlfn.XLOOKUP(C49,CLIENT_CODE!B:B,CLIENT_CODE!L:L,0))</f>
        <v>0</v>
      </c>
      <c r="R49">
        <f ca="1">_xlfn.XLOOKUP(B49,CRN!G:G,CRN!Q:Q,"")</f>
        <v>0</v>
      </c>
      <c r="S49">
        <f ca="1">IF(R49=0,0,_xlfn.XLOOKUP(C49,CLIENT_CODE!B:B,CLIENT_CODE!M:M,0))</f>
        <v>0</v>
      </c>
      <c r="T49">
        <f ca="1">_xlfn.XLOOKUP(B49,CRN!G:G,CRN!R:R,"")</f>
        <v>1</v>
      </c>
      <c r="U49">
        <f ca="1">IF(T49=0,0,_xlfn.XLOOKUP(C49,CLIENT_CODE!B:B,CLIENT_CODE!N:N,0))</f>
        <v>0</v>
      </c>
      <c r="V49">
        <f ca="1">_xlfn.XLOOKUP(B49,CRN!G:G,CRN!S:S,"")</f>
        <v>1</v>
      </c>
      <c r="W49">
        <f ca="1">IF(V49=0,0,_xlfn.XLOOKUP(C49,CLIENT_CODE!B:B,CLIENT_CODE!O:O,0))</f>
        <v>0</v>
      </c>
      <c r="X49">
        <f ca="1">_xlfn.XLOOKUP(B49,CRN!G:G,CRN!T:T,"")</f>
        <v>0</v>
      </c>
      <c r="Y49">
        <f ca="1">IF(X49=0,0,_xlfn.XLOOKUP(C49,CLIENT_CODE!B:B,CLIENT_CODE!P:P,0))</f>
        <v>0</v>
      </c>
      <c r="Z49">
        <f ca="1">_xlfn.XLOOKUP(B49,CRN!G:G,CRN!U:U,"")</f>
        <v>0</v>
      </c>
      <c r="AA49">
        <f ca="1">IF(X49=0,0,_xlfn.XLOOKUP(C49,CLIENT_CODE!B:B,CLIENT_CODE!P:P,0))</f>
        <v>0</v>
      </c>
      <c r="AB49">
        <f ca="1">_xlfn.XLOOKUP(B49,CRN!G:G,CRN!V:V,"")</f>
        <v>0</v>
      </c>
      <c r="AC49">
        <f ca="1">IF(AB49=0,0,_xlfn.XLOOKUP(C49,CLIENT_CODE!B:B,CLIENT_CODE!R:R,0))</f>
        <v>0</v>
      </c>
      <c r="AD49">
        <f t="shared" ca="1" si="0"/>
        <v>0</v>
      </c>
    </row>
    <row r="50" spans="1:30">
      <c r="A50" s="42">
        <v>49</v>
      </c>
      <c r="B50" s="42" t="str">
        <f ca="1"/>
        <v>MTP-N-2526-004746</v>
      </c>
      <c r="E50">
        <f>IF(D50=0,0,_xlfn.XLOOKUP(C50,CLIENT_CODE!B:B,CLIENT_CODE!F:F,0))</f>
        <v>0</v>
      </c>
      <c r="F50">
        <f ca="1">_xlfn.XLOOKUP(B50,CRN!G:G,CRN!K:K,"")</f>
        <v>0</v>
      </c>
      <c r="G50">
        <f ca="1">IF(F50=0,0,_xlfn.XLOOKUP(C50,CLIENT_CODE!B:B,CLIENT_CODE!G:G,0))</f>
        <v>0</v>
      </c>
      <c r="H50">
        <f ca="1">_xlfn.XLOOKUP(B50,CRN!G:G,CRN!L:L,"")</f>
        <v>1</v>
      </c>
      <c r="I50">
        <f ca="1">IF(H50=0,0,_xlfn.XLOOKUP(C50,CLIENT_CODE!B:B,CLIENT_CODE!H:H,0))</f>
        <v>0</v>
      </c>
      <c r="J50">
        <f ca="1">_xlfn.XLOOKUP(B50,CRN!G:G,CRN!M:M,"")</f>
        <v>1</v>
      </c>
      <c r="K50">
        <f ca="1">IF(J50=0,0,_xlfn.XLOOKUP(C50,CLIENT_CODE!B:B,CLIENT_CODE!I:I,0))</f>
        <v>0</v>
      </c>
      <c r="L50">
        <f ca="1">_xlfn.XLOOKUP(B50,CRN!G:G,CRN!N:N,"")</f>
        <v>1</v>
      </c>
      <c r="M50">
        <f ca="1">IF(L50=0,0,_xlfn.XLOOKUP(C50,CLIENT_CODE!B:B,CLIENT_CODE!J:J,0))</f>
        <v>0</v>
      </c>
      <c r="N50">
        <f ca="1">_xlfn.XLOOKUP(B50,CRN!G:G,CRN!O:O,"")</f>
        <v>1</v>
      </c>
      <c r="O50">
        <f ca="1">IF(N50=0,0,_xlfn.XLOOKUP(C50,CLIENT_CODE!B:B,CLIENT_CODE!K:K,0))</f>
        <v>0</v>
      </c>
      <c r="P50">
        <f ca="1">_xlfn.XLOOKUP(B50,CRN!G:G,CRN!P:P,"")</f>
        <v>1</v>
      </c>
      <c r="Q50">
        <f ca="1">IF(P50=0,0,_xlfn.XLOOKUP(C50,CLIENT_CODE!B:B,CLIENT_CODE!L:L,0))</f>
        <v>0</v>
      </c>
      <c r="R50">
        <f ca="1">_xlfn.XLOOKUP(B50,CRN!G:G,CRN!Q:Q,"")</f>
        <v>0</v>
      </c>
      <c r="S50">
        <f ca="1">IF(R50=0,0,_xlfn.XLOOKUP(C50,CLIENT_CODE!B:B,CLIENT_CODE!M:M,0))</f>
        <v>0</v>
      </c>
      <c r="T50">
        <f ca="1">_xlfn.XLOOKUP(B50,CRN!G:G,CRN!R:R,"")</f>
        <v>1</v>
      </c>
      <c r="U50">
        <f ca="1">IF(T50=0,0,_xlfn.XLOOKUP(C50,CLIENT_CODE!B:B,CLIENT_CODE!N:N,0))</f>
        <v>0</v>
      </c>
      <c r="V50">
        <f ca="1">_xlfn.XLOOKUP(B50,CRN!G:G,CRN!S:S,"")</f>
        <v>1</v>
      </c>
      <c r="W50">
        <f ca="1">IF(V50=0,0,_xlfn.XLOOKUP(C50,CLIENT_CODE!B:B,CLIENT_CODE!O:O,0))</f>
        <v>0</v>
      </c>
      <c r="X50">
        <f ca="1">_xlfn.XLOOKUP(B50,CRN!G:G,CRN!T:T,"")</f>
        <v>0</v>
      </c>
      <c r="Y50">
        <f ca="1">IF(X50=0,0,_xlfn.XLOOKUP(C50,CLIENT_CODE!B:B,CLIENT_CODE!P:P,0))</f>
        <v>0</v>
      </c>
      <c r="Z50">
        <f ca="1">_xlfn.XLOOKUP(B50,CRN!G:G,CRN!U:U,"")</f>
        <v>0</v>
      </c>
      <c r="AA50">
        <f ca="1">IF(X50=0,0,_xlfn.XLOOKUP(C50,CLIENT_CODE!B:B,CLIENT_CODE!P:P,0))</f>
        <v>0</v>
      </c>
      <c r="AB50">
        <f ca="1">_xlfn.XLOOKUP(B50,CRN!G:G,CRN!V:V,"")</f>
        <v>1</v>
      </c>
      <c r="AC50">
        <f ca="1">IF(AB50=0,0,_xlfn.XLOOKUP(C50,CLIENT_CODE!B:B,CLIENT_CODE!R:R,0))</f>
        <v>0</v>
      </c>
      <c r="AD50">
        <f t="shared" ca="1" si="0"/>
        <v>0</v>
      </c>
    </row>
    <row r="51" spans="1:30">
      <c r="A51" s="42">
        <v>50</v>
      </c>
      <c r="B51" s="42" t="str">
        <f ca="1"/>
        <v>2024200689</v>
      </c>
      <c r="E51">
        <f>IF(D51=0,0,_xlfn.XLOOKUP(C51,CLIENT_CODE!B:B,CLIENT_CODE!F:F,0))</f>
        <v>0</v>
      </c>
      <c r="F51">
        <f ca="1">_xlfn.XLOOKUP(B51,CRN!G:G,CRN!K:K,"")</f>
        <v>0</v>
      </c>
      <c r="G51">
        <f ca="1">IF(F51=0,0,_xlfn.XLOOKUP(C51,CLIENT_CODE!B:B,CLIENT_CODE!G:G,0))</f>
        <v>0</v>
      </c>
      <c r="H51">
        <f ca="1">_xlfn.XLOOKUP(B51,CRN!G:G,CRN!L:L,"")</f>
        <v>0</v>
      </c>
      <c r="I51">
        <f ca="1">IF(H51=0,0,_xlfn.XLOOKUP(C51,CLIENT_CODE!B:B,CLIENT_CODE!H:H,0))</f>
        <v>0</v>
      </c>
      <c r="J51">
        <f ca="1">_xlfn.XLOOKUP(B51,CRN!G:G,CRN!M:M,"")</f>
        <v>0</v>
      </c>
      <c r="K51">
        <f ca="1">IF(J51=0,0,_xlfn.XLOOKUP(C51,CLIENT_CODE!B:B,CLIENT_CODE!I:I,0))</f>
        <v>0</v>
      </c>
      <c r="L51">
        <f ca="1">_xlfn.XLOOKUP(B51,CRN!G:G,CRN!N:N,"")</f>
        <v>0</v>
      </c>
      <c r="M51">
        <f ca="1">IF(L51=0,0,_xlfn.XLOOKUP(C51,CLIENT_CODE!B:B,CLIENT_CODE!J:J,0))</f>
        <v>0</v>
      </c>
      <c r="N51">
        <f ca="1">_xlfn.XLOOKUP(B51,CRN!G:G,CRN!O:O,"")</f>
        <v>0</v>
      </c>
      <c r="O51">
        <f ca="1">IF(N51=0,0,_xlfn.XLOOKUP(C51,CLIENT_CODE!B:B,CLIENT_CODE!K:K,0))</f>
        <v>0</v>
      </c>
      <c r="P51">
        <f ca="1">_xlfn.XLOOKUP(B51,CRN!G:G,CRN!P:P,"")</f>
        <v>0</v>
      </c>
      <c r="Q51">
        <f ca="1">IF(P51=0,0,_xlfn.XLOOKUP(C51,CLIENT_CODE!B:B,CLIENT_CODE!L:L,0))</f>
        <v>0</v>
      </c>
      <c r="R51">
        <f ca="1">_xlfn.XLOOKUP(B51,CRN!G:G,CRN!Q:Q,"")</f>
        <v>0</v>
      </c>
      <c r="S51">
        <f ca="1">IF(R51=0,0,_xlfn.XLOOKUP(C51,CLIENT_CODE!B:B,CLIENT_CODE!M:M,0))</f>
        <v>0</v>
      </c>
      <c r="T51">
        <f ca="1">_xlfn.XLOOKUP(B51,CRN!G:G,CRN!R:R,"")</f>
        <v>0</v>
      </c>
      <c r="U51">
        <f ca="1">IF(T51=0,0,_xlfn.XLOOKUP(C51,CLIENT_CODE!B:B,CLIENT_CODE!N:N,0))</f>
        <v>0</v>
      </c>
      <c r="V51">
        <f ca="1">_xlfn.XLOOKUP(B51,CRN!G:G,CRN!S:S,"")</f>
        <v>1</v>
      </c>
      <c r="W51">
        <f ca="1">IF(V51=0,0,_xlfn.XLOOKUP(C51,CLIENT_CODE!B:B,CLIENT_CODE!O:O,0))</f>
        <v>0</v>
      </c>
      <c r="X51">
        <f ca="1">_xlfn.XLOOKUP(B51,CRN!G:G,CRN!T:T,"")</f>
        <v>0</v>
      </c>
      <c r="Y51">
        <f ca="1">IF(X51=0,0,_xlfn.XLOOKUP(C51,CLIENT_CODE!B:B,CLIENT_CODE!P:P,0))</f>
        <v>0</v>
      </c>
      <c r="Z51">
        <f ca="1">_xlfn.XLOOKUP(B51,CRN!G:G,CRN!U:U,"")</f>
        <v>0</v>
      </c>
      <c r="AA51">
        <f ca="1">IF(X51=0,0,_xlfn.XLOOKUP(C51,CLIENT_CODE!B:B,CLIENT_CODE!P:P,0))</f>
        <v>0</v>
      </c>
      <c r="AB51">
        <f ca="1">_xlfn.XLOOKUP(B51,CRN!G:G,CRN!V:V,"")</f>
        <v>1</v>
      </c>
      <c r="AC51">
        <f ca="1">IF(AB51=0,0,_xlfn.XLOOKUP(C51,CLIENT_CODE!B:B,CLIENT_CODE!R:R,0))</f>
        <v>0</v>
      </c>
      <c r="AD51">
        <f t="shared" ca="1" si="0"/>
        <v>0</v>
      </c>
    </row>
    <row r="52" spans="1:30">
      <c r="A52" s="42">
        <v>51</v>
      </c>
      <c r="B52" s="42" t="str">
        <f ca="1"/>
        <v>2024216011</v>
      </c>
      <c r="E52">
        <f>IF(D52=0,0,_xlfn.XLOOKUP(C52,CLIENT_CODE!B:B,CLIENT_CODE!F:F,0))</f>
        <v>0</v>
      </c>
      <c r="F52">
        <f ca="1">_xlfn.XLOOKUP(B52,CRN!G:G,CRN!K:K,"")</f>
        <v>0</v>
      </c>
      <c r="G52">
        <f ca="1">IF(F52=0,0,_xlfn.XLOOKUP(C52,CLIENT_CODE!B:B,CLIENT_CODE!G:G,0))</f>
        <v>0</v>
      </c>
      <c r="H52">
        <f ca="1">_xlfn.XLOOKUP(B52,CRN!G:G,CRN!L:L,"")</f>
        <v>1</v>
      </c>
      <c r="I52">
        <f ca="1">IF(H52=0,0,_xlfn.XLOOKUP(C52,CLIENT_CODE!B:B,CLIENT_CODE!H:H,0))</f>
        <v>0</v>
      </c>
      <c r="J52">
        <f ca="1">_xlfn.XLOOKUP(B52,CRN!G:G,CRN!M:M,"")</f>
        <v>0</v>
      </c>
      <c r="K52">
        <f ca="1">IF(J52=0,0,_xlfn.XLOOKUP(C52,CLIENT_CODE!B:B,CLIENT_CODE!I:I,0))</f>
        <v>0</v>
      </c>
      <c r="L52">
        <f ca="1">_xlfn.XLOOKUP(B52,CRN!G:G,CRN!N:N,"")</f>
        <v>1</v>
      </c>
      <c r="M52">
        <f ca="1">IF(L52=0,0,_xlfn.XLOOKUP(C52,CLIENT_CODE!B:B,CLIENT_CODE!J:J,0))</f>
        <v>0</v>
      </c>
      <c r="N52">
        <f ca="1">_xlfn.XLOOKUP(B52,CRN!G:G,CRN!O:O,"")</f>
        <v>0</v>
      </c>
      <c r="O52">
        <f ca="1">IF(N52=0,0,_xlfn.XLOOKUP(C52,CLIENT_CODE!B:B,CLIENT_CODE!K:K,0))</f>
        <v>0</v>
      </c>
      <c r="P52">
        <f ca="1">_xlfn.XLOOKUP(B52,CRN!G:G,CRN!P:P,"")</f>
        <v>0</v>
      </c>
      <c r="Q52">
        <f ca="1">IF(P52=0,0,_xlfn.XLOOKUP(C52,CLIENT_CODE!B:B,CLIENT_CODE!L:L,0))</f>
        <v>0</v>
      </c>
      <c r="R52">
        <f ca="1">_xlfn.XLOOKUP(B52,CRN!G:G,CRN!Q:Q,"")</f>
        <v>0</v>
      </c>
      <c r="S52">
        <f ca="1">IF(R52=0,0,_xlfn.XLOOKUP(C52,CLIENT_CODE!B:B,CLIENT_CODE!M:M,0))</f>
        <v>0</v>
      </c>
      <c r="T52">
        <f ca="1">_xlfn.XLOOKUP(B52,CRN!G:G,CRN!R:R,"")</f>
        <v>1</v>
      </c>
      <c r="U52">
        <f ca="1">IF(T52=0,0,_xlfn.XLOOKUP(C52,CLIENT_CODE!B:B,CLIENT_CODE!N:N,0))</f>
        <v>0</v>
      </c>
      <c r="V52">
        <f ca="1">_xlfn.XLOOKUP(B52,CRN!G:G,CRN!S:S,"")</f>
        <v>1</v>
      </c>
      <c r="W52">
        <f ca="1">IF(V52=0,0,_xlfn.XLOOKUP(C52,CLIENT_CODE!B:B,CLIENT_CODE!O:O,0))</f>
        <v>0</v>
      </c>
      <c r="X52">
        <f ca="1">_xlfn.XLOOKUP(B52,CRN!G:G,CRN!T:T,"")</f>
        <v>0</v>
      </c>
      <c r="Y52">
        <f ca="1">IF(X52=0,0,_xlfn.XLOOKUP(C52,CLIENT_CODE!B:B,CLIENT_CODE!P:P,0))</f>
        <v>0</v>
      </c>
      <c r="Z52">
        <f ca="1">_xlfn.XLOOKUP(B52,CRN!G:G,CRN!U:U,"")</f>
        <v>0</v>
      </c>
      <c r="AA52">
        <f ca="1">IF(X52=0,0,_xlfn.XLOOKUP(C52,CLIENT_CODE!B:B,CLIENT_CODE!P:P,0))</f>
        <v>0</v>
      </c>
      <c r="AB52">
        <f ca="1">_xlfn.XLOOKUP(B52,CRN!G:G,CRN!V:V,"")</f>
        <v>0</v>
      </c>
      <c r="AC52">
        <f ca="1">IF(AB52=0,0,_xlfn.XLOOKUP(C52,CLIENT_CODE!B:B,CLIENT_CODE!R:R,0))</f>
        <v>0</v>
      </c>
      <c r="AD52">
        <f t="shared" ca="1" si="0"/>
        <v>0</v>
      </c>
    </row>
    <row r="53" spans="1:30">
      <c r="A53" s="42">
        <v>52</v>
      </c>
      <c r="B53" s="42" t="str">
        <f ca="1"/>
        <v>2025213092</v>
      </c>
      <c r="E53">
        <f>IF(D53=0,0,_xlfn.XLOOKUP(C53,CLIENT_CODE!B:B,CLIENT_CODE!F:F,0))</f>
        <v>0</v>
      </c>
      <c r="F53">
        <f ca="1">_xlfn.XLOOKUP(B53,CRN!G:G,CRN!K:K,"")</f>
        <v>0</v>
      </c>
      <c r="G53">
        <f ca="1">IF(F53=0,0,_xlfn.XLOOKUP(C53,CLIENT_CODE!B:B,CLIENT_CODE!G:G,0))</f>
        <v>0</v>
      </c>
      <c r="H53">
        <f ca="1">_xlfn.XLOOKUP(B53,CRN!G:G,CRN!L:L,"")</f>
        <v>0</v>
      </c>
      <c r="I53">
        <f ca="1">IF(H53=0,0,_xlfn.XLOOKUP(C53,CLIENT_CODE!B:B,CLIENT_CODE!H:H,0))</f>
        <v>0</v>
      </c>
      <c r="J53">
        <f ca="1">_xlfn.XLOOKUP(B53,CRN!G:G,CRN!M:M,"")</f>
        <v>0</v>
      </c>
      <c r="K53">
        <f ca="1">IF(J53=0,0,_xlfn.XLOOKUP(C53,CLIENT_CODE!B:B,CLIENT_CODE!I:I,0))</f>
        <v>0</v>
      </c>
      <c r="L53">
        <f ca="1">_xlfn.XLOOKUP(B53,CRN!G:G,CRN!N:N,"")</f>
        <v>1</v>
      </c>
      <c r="M53">
        <f ca="1">IF(L53=0,0,_xlfn.XLOOKUP(C53,CLIENT_CODE!B:B,CLIENT_CODE!J:J,0))</f>
        <v>0</v>
      </c>
      <c r="N53">
        <f ca="1">_xlfn.XLOOKUP(B53,CRN!G:G,CRN!O:O,"")</f>
        <v>0</v>
      </c>
      <c r="O53">
        <f ca="1">IF(N53=0,0,_xlfn.XLOOKUP(C53,CLIENT_CODE!B:B,CLIENT_CODE!K:K,0))</f>
        <v>0</v>
      </c>
      <c r="P53">
        <f ca="1">_xlfn.XLOOKUP(B53,CRN!G:G,CRN!P:P,"")</f>
        <v>0</v>
      </c>
      <c r="Q53">
        <f ca="1">IF(P53=0,0,_xlfn.XLOOKUP(C53,CLIENT_CODE!B:B,CLIENT_CODE!L:L,0))</f>
        <v>0</v>
      </c>
      <c r="R53">
        <f ca="1">_xlfn.XLOOKUP(B53,CRN!G:G,CRN!Q:Q,"")</f>
        <v>0</v>
      </c>
      <c r="S53">
        <f ca="1">IF(R53=0,0,_xlfn.XLOOKUP(C53,CLIENT_CODE!B:B,CLIENT_CODE!M:M,0))</f>
        <v>0</v>
      </c>
      <c r="T53">
        <f ca="1">_xlfn.XLOOKUP(B53,CRN!G:G,CRN!R:R,"")</f>
        <v>0</v>
      </c>
      <c r="U53">
        <f ca="1">IF(T53=0,0,_xlfn.XLOOKUP(C53,CLIENT_CODE!B:B,CLIENT_CODE!N:N,0))</f>
        <v>0</v>
      </c>
      <c r="V53">
        <f ca="1">_xlfn.XLOOKUP(B53,CRN!G:G,CRN!S:S,"")</f>
        <v>1</v>
      </c>
      <c r="W53">
        <f ca="1">IF(V53=0,0,_xlfn.XLOOKUP(C53,CLIENT_CODE!B:B,CLIENT_CODE!O:O,0))</f>
        <v>0</v>
      </c>
      <c r="X53">
        <f ca="1">_xlfn.XLOOKUP(B53,CRN!G:G,CRN!T:T,"")</f>
        <v>0</v>
      </c>
      <c r="Y53">
        <f ca="1">IF(X53=0,0,_xlfn.XLOOKUP(C53,CLIENT_CODE!B:B,CLIENT_CODE!P:P,0))</f>
        <v>0</v>
      </c>
      <c r="Z53">
        <f ca="1">_xlfn.XLOOKUP(B53,CRN!G:G,CRN!U:U,"")</f>
        <v>0</v>
      </c>
      <c r="AA53">
        <f ca="1">IF(X53=0,0,_xlfn.XLOOKUP(C53,CLIENT_CODE!B:B,CLIENT_CODE!P:P,0))</f>
        <v>0</v>
      </c>
      <c r="AB53">
        <f ca="1">_xlfn.XLOOKUP(B53,CRN!G:G,CRN!V:V,"")</f>
        <v>0</v>
      </c>
      <c r="AC53">
        <f ca="1">IF(AB53=0,0,_xlfn.XLOOKUP(C53,CLIENT_CODE!B:B,CLIENT_CODE!R:R,0))</f>
        <v>0</v>
      </c>
      <c r="AD53">
        <f t="shared" ca="1" si="0"/>
        <v>0</v>
      </c>
    </row>
    <row r="54" spans="1:30">
      <c r="A54" s="42">
        <v>53</v>
      </c>
      <c r="B54" s="42" t="str">
        <f ca="1"/>
        <v>2025204832</v>
      </c>
      <c r="E54">
        <f>IF(D54=0,0,_xlfn.XLOOKUP(C54,CLIENT_CODE!B:B,CLIENT_CODE!F:F,0))</f>
        <v>0</v>
      </c>
      <c r="F54">
        <f ca="1">_xlfn.XLOOKUP(B54,CRN!G:G,CRN!K:K,"")</f>
        <v>0</v>
      </c>
      <c r="G54">
        <f ca="1">IF(F54=0,0,_xlfn.XLOOKUP(C54,CLIENT_CODE!B:B,CLIENT_CODE!G:G,0))</f>
        <v>0</v>
      </c>
      <c r="H54">
        <f ca="1">_xlfn.XLOOKUP(B54,CRN!G:G,CRN!L:L,"")</f>
        <v>1</v>
      </c>
      <c r="I54">
        <f ca="1">IF(H54=0,0,_xlfn.XLOOKUP(C54,CLIENT_CODE!B:B,CLIENT_CODE!H:H,0))</f>
        <v>0</v>
      </c>
      <c r="J54">
        <f ca="1">_xlfn.XLOOKUP(B54,CRN!G:G,CRN!M:M,"")</f>
        <v>0</v>
      </c>
      <c r="K54">
        <f ca="1">IF(J54=0,0,_xlfn.XLOOKUP(C54,CLIENT_CODE!B:B,CLIENT_CODE!I:I,0))</f>
        <v>0</v>
      </c>
      <c r="L54">
        <f ca="1">_xlfn.XLOOKUP(B54,CRN!G:G,CRN!N:N,"")</f>
        <v>0</v>
      </c>
      <c r="M54">
        <f ca="1">IF(L54=0,0,_xlfn.XLOOKUP(C54,CLIENT_CODE!B:B,CLIENT_CODE!J:J,0))</f>
        <v>0</v>
      </c>
      <c r="N54">
        <f ca="1">_xlfn.XLOOKUP(B54,CRN!G:G,CRN!O:O,"")</f>
        <v>0</v>
      </c>
      <c r="O54">
        <f ca="1">IF(N54=0,0,_xlfn.XLOOKUP(C54,CLIENT_CODE!B:B,CLIENT_CODE!K:K,0))</f>
        <v>0</v>
      </c>
      <c r="P54">
        <f ca="1">_xlfn.XLOOKUP(B54,CRN!G:G,CRN!P:P,"")</f>
        <v>0</v>
      </c>
      <c r="Q54">
        <f ca="1">IF(P54=0,0,_xlfn.XLOOKUP(C54,CLIENT_CODE!B:B,CLIENT_CODE!L:L,0))</f>
        <v>0</v>
      </c>
      <c r="R54">
        <f ca="1">_xlfn.XLOOKUP(B54,CRN!G:G,CRN!Q:Q,"")</f>
        <v>0</v>
      </c>
      <c r="S54">
        <f ca="1">IF(R54=0,0,_xlfn.XLOOKUP(C54,CLIENT_CODE!B:B,CLIENT_CODE!M:M,0))</f>
        <v>0</v>
      </c>
      <c r="T54">
        <f ca="1">_xlfn.XLOOKUP(B54,CRN!G:G,CRN!R:R,"")</f>
        <v>0</v>
      </c>
      <c r="U54">
        <f ca="1">IF(T54=0,0,_xlfn.XLOOKUP(C54,CLIENT_CODE!B:B,CLIENT_CODE!N:N,0))</f>
        <v>0</v>
      </c>
      <c r="V54">
        <f ca="1">_xlfn.XLOOKUP(B54,CRN!G:G,CRN!S:S,"")</f>
        <v>1</v>
      </c>
      <c r="W54">
        <f ca="1">IF(V54=0,0,_xlfn.XLOOKUP(C54,CLIENT_CODE!B:B,CLIENT_CODE!O:O,0))</f>
        <v>0</v>
      </c>
      <c r="X54">
        <f ca="1">_xlfn.XLOOKUP(B54,CRN!G:G,CRN!T:T,"")</f>
        <v>0</v>
      </c>
      <c r="Y54">
        <f ca="1">IF(X54=0,0,_xlfn.XLOOKUP(C54,CLIENT_CODE!B:B,CLIENT_CODE!P:P,0))</f>
        <v>0</v>
      </c>
      <c r="Z54">
        <f ca="1">_xlfn.XLOOKUP(B54,CRN!G:G,CRN!U:U,"")</f>
        <v>0</v>
      </c>
      <c r="AA54">
        <f ca="1">IF(X54=0,0,_xlfn.XLOOKUP(C54,CLIENT_CODE!B:B,CLIENT_CODE!P:P,0))</f>
        <v>0</v>
      </c>
      <c r="AB54">
        <f ca="1">_xlfn.XLOOKUP(B54,CRN!G:G,CRN!V:V,"")</f>
        <v>0</v>
      </c>
      <c r="AC54">
        <f ca="1">IF(AB54=0,0,_xlfn.XLOOKUP(C54,CLIENT_CODE!B:B,CLIENT_CODE!R:R,0))</f>
        <v>0</v>
      </c>
      <c r="AD54">
        <f t="shared" ca="1" si="0"/>
        <v>0</v>
      </c>
    </row>
    <row r="55" spans="1:30">
      <c r="A55" s="42">
        <v>54</v>
      </c>
      <c r="B55" s="42" t="str">
        <f ca="1"/>
        <v>2025213146</v>
      </c>
      <c r="E55">
        <f>IF(D55=0,0,_xlfn.XLOOKUP(C55,CLIENT_CODE!B:B,CLIENT_CODE!F:F,0))</f>
        <v>0</v>
      </c>
      <c r="F55">
        <f ca="1">_xlfn.XLOOKUP(B55,CRN!G:G,CRN!K:K,"")</f>
        <v>0</v>
      </c>
      <c r="G55">
        <f ca="1">IF(F55=0,0,_xlfn.XLOOKUP(C55,CLIENT_CODE!B:B,CLIENT_CODE!G:G,0))</f>
        <v>0</v>
      </c>
      <c r="H55">
        <f ca="1">_xlfn.XLOOKUP(B55,CRN!G:G,CRN!L:L,"")</f>
        <v>1</v>
      </c>
      <c r="I55">
        <f ca="1">IF(H55=0,0,_xlfn.XLOOKUP(C55,CLIENT_CODE!B:B,CLIENT_CODE!H:H,0))</f>
        <v>0</v>
      </c>
      <c r="J55">
        <f ca="1">_xlfn.XLOOKUP(B55,CRN!G:G,CRN!M:M,"")</f>
        <v>0</v>
      </c>
      <c r="K55">
        <f ca="1">IF(J55=0,0,_xlfn.XLOOKUP(C55,CLIENT_CODE!B:B,CLIENT_CODE!I:I,0))</f>
        <v>0</v>
      </c>
      <c r="L55">
        <f ca="1">_xlfn.XLOOKUP(B55,CRN!G:G,CRN!N:N,"")</f>
        <v>1</v>
      </c>
      <c r="M55">
        <f ca="1">IF(L55=0,0,_xlfn.XLOOKUP(C55,CLIENT_CODE!B:B,CLIENT_CODE!J:J,0))</f>
        <v>0</v>
      </c>
      <c r="N55">
        <f ca="1">_xlfn.XLOOKUP(B55,CRN!G:G,CRN!O:O,"")</f>
        <v>0</v>
      </c>
      <c r="O55">
        <f ca="1">IF(N55=0,0,_xlfn.XLOOKUP(C55,CLIENT_CODE!B:B,CLIENT_CODE!K:K,0))</f>
        <v>0</v>
      </c>
      <c r="P55">
        <f ca="1">_xlfn.XLOOKUP(B55,CRN!G:G,CRN!P:P,"")</f>
        <v>0</v>
      </c>
      <c r="Q55">
        <f ca="1">IF(P55=0,0,_xlfn.XLOOKUP(C55,CLIENT_CODE!B:B,CLIENT_CODE!L:L,0))</f>
        <v>0</v>
      </c>
      <c r="R55">
        <f ca="1">_xlfn.XLOOKUP(B55,CRN!G:G,CRN!Q:Q,"")</f>
        <v>0</v>
      </c>
      <c r="S55">
        <f ca="1">IF(R55=0,0,_xlfn.XLOOKUP(C55,CLIENT_CODE!B:B,CLIENT_CODE!M:M,0))</f>
        <v>0</v>
      </c>
      <c r="T55">
        <f ca="1">_xlfn.XLOOKUP(B55,CRN!G:G,CRN!R:R,"")</f>
        <v>1</v>
      </c>
      <c r="U55">
        <f ca="1">IF(T55=0,0,_xlfn.XLOOKUP(C55,CLIENT_CODE!B:B,CLIENT_CODE!N:N,0))</f>
        <v>0</v>
      </c>
      <c r="V55">
        <f ca="1">_xlfn.XLOOKUP(B55,CRN!G:G,CRN!S:S,"")</f>
        <v>1</v>
      </c>
      <c r="W55">
        <f ca="1">IF(V55=0,0,_xlfn.XLOOKUP(C55,CLIENT_CODE!B:B,CLIENT_CODE!O:O,0))</f>
        <v>0</v>
      </c>
      <c r="X55">
        <f ca="1">_xlfn.XLOOKUP(B55,CRN!G:G,CRN!T:T,"")</f>
        <v>0</v>
      </c>
      <c r="Y55">
        <f ca="1">IF(X55=0,0,_xlfn.XLOOKUP(C55,CLIENT_CODE!B:B,CLIENT_CODE!P:P,0))</f>
        <v>0</v>
      </c>
      <c r="Z55">
        <f ca="1">_xlfn.XLOOKUP(B55,CRN!G:G,CRN!U:U,"")</f>
        <v>0</v>
      </c>
      <c r="AA55">
        <f ca="1">IF(X55=0,0,_xlfn.XLOOKUP(C55,CLIENT_CODE!B:B,CLIENT_CODE!P:P,0))</f>
        <v>0</v>
      </c>
      <c r="AB55">
        <f ca="1">_xlfn.XLOOKUP(B55,CRN!G:G,CRN!V:V,"")</f>
        <v>0</v>
      </c>
      <c r="AC55">
        <f ca="1">IF(AB55=0,0,_xlfn.XLOOKUP(C55,CLIENT_CODE!B:B,CLIENT_CODE!R:R,0))</f>
        <v>0</v>
      </c>
      <c r="AD55">
        <f t="shared" ca="1" si="0"/>
        <v>0</v>
      </c>
    </row>
    <row r="56" spans="1:30">
      <c r="A56" s="42">
        <v>55</v>
      </c>
      <c r="B56" s="42" t="str">
        <f ca="1"/>
        <v>2025213359</v>
      </c>
      <c r="E56">
        <f>IF(D56=0,0,_xlfn.XLOOKUP(C56,CLIENT_CODE!B:B,CLIENT_CODE!F:F,0))</f>
        <v>0</v>
      </c>
      <c r="F56">
        <f ca="1">_xlfn.XLOOKUP(B56,CRN!G:G,CRN!K:K,"")</f>
        <v>0</v>
      </c>
      <c r="G56">
        <f ca="1">IF(F56=0,0,_xlfn.XLOOKUP(C56,CLIENT_CODE!B:B,CLIENT_CODE!G:G,0))</f>
        <v>0</v>
      </c>
      <c r="H56">
        <f ca="1">_xlfn.XLOOKUP(B56,CRN!G:G,CRN!L:L,"")</f>
        <v>1</v>
      </c>
      <c r="I56">
        <f ca="1">IF(H56=0,0,_xlfn.XLOOKUP(C56,CLIENT_CODE!B:B,CLIENT_CODE!H:H,0))</f>
        <v>0</v>
      </c>
      <c r="J56">
        <f ca="1">_xlfn.XLOOKUP(B56,CRN!G:G,CRN!M:M,"")</f>
        <v>0</v>
      </c>
      <c r="K56">
        <f ca="1">IF(J56=0,0,_xlfn.XLOOKUP(C56,CLIENT_CODE!B:B,CLIENT_CODE!I:I,0))</f>
        <v>0</v>
      </c>
      <c r="L56">
        <f ca="1">_xlfn.XLOOKUP(B56,CRN!G:G,CRN!N:N,"")</f>
        <v>1</v>
      </c>
      <c r="M56">
        <f ca="1">IF(L56=0,0,_xlfn.XLOOKUP(C56,CLIENT_CODE!B:B,CLIENT_CODE!J:J,0))</f>
        <v>0</v>
      </c>
      <c r="N56">
        <f ca="1">_xlfn.XLOOKUP(B56,CRN!G:G,CRN!O:O,"")</f>
        <v>0</v>
      </c>
      <c r="O56">
        <f ca="1">IF(N56=0,0,_xlfn.XLOOKUP(C56,CLIENT_CODE!B:B,CLIENT_CODE!K:K,0))</f>
        <v>0</v>
      </c>
      <c r="P56">
        <f ca="1">_xlfn.XLOOKUP(B56,CRN!G:G,CRN!P:P,"")</f>
        <v>0</v>
      </c>
      <c r="Q56">
        <f ca="1">IF(P56=0,0,_xlfn.XLOOKUP(C56,CLIENT_CODE!B:B,CLIENT_CODE!L:L,0))</f>
        <v>0</v>
      </c>
      <c r="R56">
        <f ca="1">_xlfn.XLOOKUP(B56,CRN!G:G,CRN!Q:Q,"")</f>
        <v>0</v>
      </c>
      <c r="S56">
        <f ca="1">IF(R56=0,0,_xlfn.XLOOKUP(C56,CLIENT_CODE!B:B,CLIENT_CODE!M:M,0))</f>
        <v>0</v>
      </c>
      <c r="T56">
        <f ca="1">_xlfn.XLOOKUP(B56,CRN!G:G,CRN!R:R,"")</f>
        <v>1</v>
      </c>
      <c r="U56">
        <f ca="1">IF(T56=0,0,_xlfn.XLOOKUP(C56,CLIENT_CODE!B:B,CLIENT_CODE!N:N,0))</f>
        <v>0</v>
      </c>
      <c r="V56">
        <f ca="1">_xlfn.XLOOKUP(B56,CRN!G:G,CRN!S:S,"")</f>
        <v>1</v>
      </c>
      <c r="W56">
        <f ca="1">IF(V56=0,0,_xlfn.XLOOKUP(C56,CLIENT_CODE!B:B,CLIENT_CODE!O:O,0))</f>
        <v>0</v>
      </c>
      <c r="X56">
        <f ca="1">_xlfn.XLOOKUP(B56,CRN!G:G,CRN!T:T,"")</f>
        <v>0</v>
      </c>
      <c r="Y56">
        <f ca="1">IF(X56=0,0,_xlfn.XLOOKUP(C56,CLIENT_CODE!B:B,CLIENT_CODE!P:P,0))</f>
        <v>0</v>
      </c>
      <c r="Z56">
        <f ca="1">_xlfn.XLOOKUP(B56,CRN!G:G,CRN!U:U,"")</f>
        <v>0</v>
      </c>
      <c r="AA56">
        <f ca="1">IF(X56=0,0,_xlfn.XLOOKUP(C56,CLIENT_CODE!B:B,CLIENT_CODE!P:P,0))</f>
        <v>0</v>
      </c>
      <c r="AB56">
        <f ca="1">_xlfn.XLOOKUP(B56,CRN!G:G,CRN!V:V,"")</f>
        <v>0</v>
      </c>
      <c r="AC56">
        <f ca="1">IF(AB56=0,0,_xlfn.XLOOKUP(C56,CLIENT_CODE!B:B,CLIENT_CODE!R:R,0))</f>
        <v>0</v>
      </c>
      <c r="AD56">
        <f t="shared" ca="1" si="0"/>
        <v>0</v>
      </c>
    </row>
    <row r="57" spans="1:30">
      <c r="A57" s="42">
        <v>56</v>
      </c>
      <c r="B57" s="42" t="str">
        <f ca="1"/>
        <v>2752851</v>
      </c>
      <c r="E57">
        <f>IF(D57=0,0,_xlfn.XLOOKUP(C57,CLIENT_CODE!B:B,CLIENT_CODE!F:F,0))</f>
        <v>0</v>
      </c>
      <c r="F57">
        <f ca="1">_xlfn.XLOOKUP(B57,CRN!G:G,CRN!K:K,"")</f>
        <v>0</v>
      </c>
      <c r="G57">
        <f ca="1">IF(F57=0,0,_xlfn.XLOOKUP(C57,CLIENT_CODE!B:B,CLIENT_CODE!G:G,0))</f>
        <v>0</v>
      </c>
      <c r="H57">
        <f ca="1">_xlfn.XLOOKUP(B57,CRN!G:G,CRN!L:L,"")</f>
        <v>1</v>
      </c>
      <c r="I57">
        <f ca="1">IF(H57=0,0,_xlfn.XLOOKUP(C57,CLIENT_CODE!B:B,CLIENT_CODE!H:H,0))</f>
        <v>0</v>
      </c>
      <c r="J57">
        <f ca="1">_xlfn.XLOOKUP(B57,CRN!G:G,CRN!M:M,"")</f>
        <v>0</v>
      </c>
      <c r="K57">
        <f ca="1">IF(J57=0,0,_xlfn.XLOOKUP(C57,CLIENT_CODE!B:B,CLIENT_CODE!I:I,0))</f>
        <v>0</v>
      </c>
      <c r="L57">
        <f ca="1">_xlfn.XLOOKUP(B57,CRN!G:G,CRN!N:N,"")</f>
        <v>1</v>
      </c>
      <c r="M57">
        <f ca="1">IF(L57=0,0,_xlfn.XLOOKUP(C57,CLIENT_CODE!B:B,CLIENT_CODE!J:J,0))</f>
        <v>0</v>
      </c>
      <c r="N57">
        <f ca="1">_xlfn.XLOOKUP(B57,CRN!G:G,CRN!O:O,"")</f>
        <v>0</v>
      </c>
      <c r="O57">
        <f ca="1">IF(N57=0,0,_xlfn.XLOOKUP(C57,CLIENT_CODE!B:B,CLIENT_CODE!K:K,0))</f>
        <v>0</v>
      </c>
      <c r="P57">
        <f ca="1">_xlfn.XLOOKUP(B57,CRN!G:G,CRN!P:P,"")</f>
        <v>0</v>
      </c>
      <c r="Q57">
        <f ca="1">IF(P57=0,0,_xlfn.XLOOKUP(C57,CLIENT_CODE!B:B,CLIENT_CODE!L:L,0))</f>
        <v>0</v>
      </c>
      <c r="R57">
        <f ca="1">_xlfn.XLOOKUP(B57,CRN!G:G,CRN!Q:Q,"")</f>
        <v>0</v>
      </c>
      <c r="S57">
        <f ca="1">IF(R57=0,0,_xlfn.XLOOKUP(C57,CLIENT_CODE!B:B,CLIENT_CODE!M:M,0))</f>
        <v>0</v>
      </c>
      <c r="T57">
        <f ca="1">_xlfn.XLOOKUP(B57,CRN!G:G,CRN!R:R,"")</f>
        <v>1</v>
      </c>
      <c r="U57">
        <f ca="1">IF(T57=0,0,_xlfn.XLOOKUP(C57,CLIENT_CODE!B:B,CLIENT_CODE!N:N,0))</f>
        <v>0</v>
      </c>
      <c r="V57">
        <f ca="1">_xlfn.XLOOKUP(B57,CRN!G:G,CRN!S:S,"")</f>
        <v>1</v>
      </c>
      <c r="W57">
        <f ca="1">IF(V57=0,0,_xlfn.XLOOKUP(C57,CLIENT_CODE!B:B,CLIENT_CODE!O:O,0))</f>
        <v>0</v>
      </c>
      <c r="X57">
        <f ca="1">_xlfn.XLOOKUP(B57,CRN!G:G,CRN!T:T,"")</f>
        <v>0</v>
      </c>
      <c r="Y57">
        <f ca="1">IF(X57=0,0,_xlfn.XLOOKUP(C57,CLIENT_CODE!B:B,CLIENT_CODE!P:P,0))</f>
        <v>0</v>
      </c>
      <c r="Z57">
        <f ca="1">_xlfn.XLOOKUP(B57,CRN!G:G,CRN!U:U,"")</f>
        <v>0</v>
      </c>
      <c r="AA57">
        <f ca="1">IF(X57=0,0,_xlfn.XLOOKUP(C57,CLIENT_CODE!B:B,CLIENT_CODE!P:P,0))</f>
        <v>0</v>
      </c>
      <c r="AB57">
        <f ca="1">_xlfn.XLOOKUP(B57,CRN!G:G,CRN!V:V,"")</f>
        <v>0</v>
      </c>
      <c r="AC57">
        <f ca="1">IF(AB57=0,0,_xlfn.XLOOKUP(C57,CLIENT_CODE!B:B,CLIENT_CODE!R:R,0))</f>
        <v>0</v>
      </c>
      <c r="AD57">
        <f t="shared" ca="1" si="0"/>
        <v>0</v>
      </c>
    </row>
    <row r="58" spans="1:30">
      <c r="A58" s="42">
        <v>57</v>
      </c>
      <c r="B58" s="42" t="str">
        <f ca="1"/>
        <v>2752855</v>
      </c>
      <c r="E58">
        <f>IF(D58=0,0,_xlfn.XLOOKUP(C58,CLIENT_CODE!B:B,CLIENT_CODE!F:F,0))</f>
        <v>0</v>
      </c>
      <c r="F58">
        <f ca="1">_xlfn.XLOOKUP(B58,CRN!G:G,CRN!K:K,"")</f>
        <v>0</v>
      </c>
      <c r="G58">
        <f ca="1">IF(F58=0,0,_xlfn.XLOOKUP(C58,CLIENT_CODE!B:B,CLIENT_CODE!G:G,0))</f>
        <v>0</v>
      </c>
      <c r="H58">
        <f ca="1">_xlfn.XLOOKUP(B58,CRN!G:G,CRN!L:L,"")</f>
        <v>1</v>
      </c>
      <c r="I58">
        <f ca="1">IF(H58=0,0,_xlfn.XLOOKUP(C58,CLIENT_CODE!B:B,CLIENT_CODE!H:H,0))</f>
        <v>0</v>
      </c>
      <c r="J58">
        <f ca="1">_xlfn.XLOOKUP(B58,CRN!G:G,CRN!M:M,"")</f>
        <v>0</v>
      </c>
      <c r="K58">
        <f ca="1">IF(J58=0,0,_xlfn.XLOOKUP(C58,CLIENT_CODE!B:B,CLIENT_CODE!I:I,0))</f>
        <v>0</v>
      </c>
      <c r="L58">
        <f ca="1">_xlfn.XLOOKUP(B58,CRN!G:G,CRN!N:N,"")</f>
        <v>1</v>
      </c>
      <c r="M58">
        <f ca="1">IF(L58=0,0,_xlfn.XLOOKUP(C58,CLIENT_CODE!B:B,CLIENT_CODE!J:J,0))</f>
        <v>0</v>
      </c>
      <c r="N58">
        <f ca="1">_xlfn.XLOOKUP(B58,CRN!G:G,CRN!O:O,"")</f>
        <v>0</v>
      </c>
      <c r="O58">
        <f ca="1">IF(N58=0,0,_xlfn.XLOOKUP(C58,CLIENT_CODE!B:B,CLIENT_CODE!K:K,0))</f>
        <v>0</v>
      </c>
      <c r="P58">
        <f ca="1">_xlfn.XLOOKUP(B58,CRN!G:G,CRN!P:P,"")</f>
        <v>0</v>
      </c>
      <c r="Q58">
        <f ca="1">IF(P58=0,0,_xlfn.XLOOKUP(C58,CLIENT_CODE!B:B,CLIENT_CODE!L:L,0))</f>
        <v>0</v>
      </c>
      <c r="R58">
        <f ca="1">_xlfn.XLOOKUP(B58,CRN!G:G,CRN!Q:Q,"")</f>
        <v>0</v>
      </c>
      <c r="S58">
        <f ca="1">IF(R58=0,0,_xlfn.XLOOKUP(C58,CLIENT_CODE!B:B,CLIENT_CODE!M:M,0))</f>
        <v>0</v>
      </c>
      <c r="T58">
        <f ca="1">_xlfn.XLOOKUP(B58,CRN!G:G,CRN!R:R,"")</f>
        <v>1</v>
      </c>
      <c r="U58">
        <f ca="1">IF(T58=0,0,_xlfn.XLOOKUP(C58,CLIENT_CODE!B:B,CLIENT_CODE!N:N,0))</f>
        <v>0</v>
      </c>
      <c r="V58">
        <f ca="1">_xlfn.XLOOKUP(B58,CRN!G:G,CRN!S:S,"")</f>
        <v>1</v>
      </c>
      <c r="W58">
        <f ca="1">IF(V58=0,0,_xlfn.XLOOKUP(C58,CLIENT_CODE!B:B,CLIENT_CODE!O:O,0))</f>
        <v>0</v>
      </c>
      <c r="X58">
        <f ca="1">_xlfn.XLOOKUP(B58,CRN!G:G,CRN!T:T,"")</f>
        <v>0</v>
      </c>
      <c r="Y58">
        <f ca="1">IF(X58=0,0,_xlfn.XLOOKUP(C58,CLIENT_CODE!B:B,CLIENT_CODE!P:P,0))</f>
        <v>0</v>
      </c>
      <c r="Z58">
        <f ca="1">_xlfn.XLOOKUP(B58,CRN!G:G,CRN!U:U,"")</f>
        <v>0</v>
      </c>
      <c r="AA58">
        <f ca="1">IF(X58=0,0,_xlfn.XLOOKUP(C58,CLIENT_CODE!B:B,CLIENT_CODE!P:P,0))</f>
        <v>0</v>
      </c>
      <c r="AB58">
        <f ca="1">_xlfn.XLOOKUP(B58,CRN!G:G,CRN!V:V,"")</f>
        <v>0</v>
      </c>
      <c r="AC58">
        <f ca="1">IF(AB58=0,0,_xlfn.XLOOKUP(C58,CLIENT_CODE!B:B,CLIENT_CODE!R:R,0))</f>
        <v>0</v>
      </c>
      <c r="AD58">
        <f t="shared" ca="1" si="0"/>
        <v>0</v>
      </c>
    </row>
    <row r="59" spans="1:30">
      <c r="A59" s="42">
        <v>58</v>
      </c>
      <c r="B59" s="42" t="str">
        <f ca="1"/>
        <v>2750504</v>
      </c>
      <c r="E59">
        <f>IF(D59=0,0,_xlfn.XLOOKUP(C59,CLIENT_CODE!B:B,CLIENT_CODE!F:F,0))</f>
        <v>0</v>
      </c>
      <c r="F59">
        <f ca="1">_xlfn.XLOOKUP(B59,CRN!G:G,CRN!K:K,"")</f>
        <v>0</v>
      </c>
      <c r="G59">
        <f ca="1">IF(F59=0,0,_xlfn.XLOOKUP(C59,CLIENT_CODE!B:B,CLIENT_CODE!G:G,0))</f>
        <v>0</v>
      </c>
      <c r="H59">
        <f ca="1">_xlfn.XLOOKUP(B59,CRN!G:G,CRN!L:L,"")</f>
        <v>1</v>
      </c>
      <c r="I59">
        <f ca="1">IF(H59=0,0,_xlfn.XLOOKUP(C59,CLIENT_CODE!B:B,CLIENT_CODE!H:H,0))</f>
        <v>0</v>
      </c>
      <c r="J59">
        <f ca="1">_xlfn.XLOOKUP(B59,CRN!G:G,CRN!M:M,"")</f>
        <v>0</v>
      </c>
      <c r="K59">
        <f ca="1">IF(J59=0,0,_xlfn.XLOOKUP(C59,CLIENT_CODE!B:B,CLIENT_CODE!I:I,0))</f>
        <v>0</v>
      </c>
      <c r="L59">
        <f ca="1">_xlfn.XLOOKUP(B59,CRN!G:G,CRN!N:N,"")</f>
        <v>1</v>
      </c>
      <c r="M59">
        <f ca="1">IF(L59=0,0,_xlfn.XLOOKUP(C59,CLIENT_CODE!B:B,CLIENT_CODE!J:J,0))</f>
        <v>0</v>
      </c>
      <c r="N59">
        <f ca="1">_xlfn.XLOOKUP(B59,CRN!G:G,CRN!O:O,"")</f>
        <v>0</v>
      </c>
      <c r="O59">
        <f ca="1">IF(N59=0,0,_xlfn.XLOOKUP(C59,CLIENT_CODE!B:B,CLIENT_CODE!K:K,0))</f>
        <v>0</v>
      </c>
      <c r="P59">
        <f ca="1">_xlfn.XLOOKUP(B59,CRN!G:G,CRN!P:P,"")</f>
        <v>0</v>
      </c>
      <c r="Q59">
        <f ca="1">IF(P59=0,0,_xlfn.XLOOKUP(C59,CLIENT_CODE!B:B,CLIENT_CODE!L:L,0))</f>
        <v>0</v>
      </c>
      <c r="R59">
        <f ca="1">_xlfn.XLOOKUP(B59,CRN!G:G,CRN!Q:Q,"")</f>
        <v>0</v>
      </c>
      <c r="S59">
        <f ca="1">IF(R59=0,0,_xlfn.XLOOKUP(C59,CLIENT_CODE!B:B,CLIENT_CODE!M:M,0))</f>
        <v>0</v>
      </c>
      <c r="T59">
        <f ca="1">_xlfn.XLOOKUP(B59,CRN!G:G,CRN!R:R,"")</f>
        <v>1</v>
      </c>
      <c r="U59">
        <f ca="1">IF(T59=0,0,_xlfn.XLOOKUP(C59,CLIENT_CODE!B:B,CLIENT_CODE!N:N,0))</f>
        <v>0</v>
      </c>
      <c r="V59">
        <f ca="1">_xlfn.XLOOKUP(B59,CRN!G:G,CRN!S:S,"")</f>
        <v>1</v>
      </c>
      <c r="W59">
        <f ca="1">IF(V59=0,0,_xlfn.XLOOKUP(C59,CLIENT_CODE!B:B,CLIENT_CODE!O:O,0))</f>
        <v>0</v>
      </c>
      <c r="X59">
        <f ca="1">_xlfn.XLOOKUP(B59,CRN!G:G,CRN!T:T,"")</f>
        <v>0</v>
      </c>
      <c r="Y59">
        <f ca="1">IF(X59=0,0,_xlfn.XLOOKUP(C59,CLIENT_CODE!B:B,CLIENT_CODE!P:P,0))</f>
        <v>0</v>
      </c>
      <c r="Z59">
        <f ca="1">_xlfn.XLOOKUP(B59,CRN!G:G,CRN!U:U,"")</f>
        <v>0</v>
      </c>
      <c r="AA59">
        <f ca="1">IF(X59=0,0,_xlfn.XLOOKUP(C59,CLIENT_CODE!B:B,CLIENT_CODE!P:P,0))</f>
        <v>0</v>
      </c>
      <c r="AB59">
        <f ca="1">_xlfn.XLOOKUP(B59,CRN!G:G,CRN!V:V,"")</f>
        <v>0</v>
      </c>
      <c r="AC59">
        <f ca="1">IF(AB59=0,0,_xlfn.XLOOKUP(C59,CLIENT_CODE!B:B,CLIENT_CODE!R:R,0))</f>
        <v>0</v>
      </c>
      <c r="AD59">
        <f t="shared" ca="1" si="0"/>
        <v>0</v>
      </c>
    </row>
    <row r="60" spans="1:30">
      <c r="A60" s="42">
        <v>59</v>
      </c>
      <c r="B60" s="42" t="str">
        <f ca="1"/>
        <v>CN079727</v>
      </c>
      <c r="E60">
        <f>IF(D60=0,0,_xlfn.XLOOKUP(C60,CLIENT_CODE!B:B,CLIENT_CODE!F:F,0))</f>
        <v>0</v>
      </c>
      <c r="F60">
        <f ca="1">_xlfn.XLOOKUP(B60,CRN!G:G,CRN!K:K,"")</f>
        <v>0</v>
      </c>
      <c r="G60">
        <f ca="1">IF(F60=0,0,_xlfn.XLOOKUP(C60,CLIENT_CODE!B:B,CLIENT_CODE!G:G,0))</f>
        <v>0</v>
      </c>
      <c r="H60">
        <f ca="1">_xlfn.XLOOKUP(B60,CRN!G:G,CRN!L:L,"")</f>
        <v>1</v>
      </c>
      <c r="I60">
        <f ca="1">IF(H60=0,0,_xlfn.XLOOKUP(C60,CLIENT_CODE!B:B,CLIENT_CODE!H:H,0))</f>
        <v>0</v>
      </c>
      <c r="J60">
        <f ca="1">_xlfn.XLOOKUP(B60,CRN!G:G,CRN!M:M,"")</f>
        <v>0</v>
      </c>
      <c r="K60">
        <f ca="1">IF(J60=0,0,_xlfn.XLOOKUP(C60,CLIENT_CODE!B:B,CLIENT_CODE!I:I,0))</f>
        <v>0</v>
      </c>
      <c r="L60">
        <f ca="1">_xlfn.XLOOKUP(B60,CRN!G:G,CRN!N:N,"")</f>
        <v>1</v>
      </c>
      <c r="M60">
        <f ca="1">IF(L60=0,0,_xlfn.XLOOKUP(C60,CLIENT_CODE!B:B,CLIENT_CODE!J:J,0))</f>
        <v>0</v>
      </c>
      <c r="N60">
        <f ca="1">_xlfn.XLOOKUP(B60,CRN!G:G,CRN!O:O,"")</f>
        <v>0</v>
      </c>
      <c r="O60">
        <f ca="1">IF(N60=0,0,_xlfn.XLOOKUP(C60,CLIENT_CODE!B:B,CLIENT_CODE!K:K,0))</f>
        <v>0</v>
      </c>
      <c r="P60">
        <f ca="1">_xlfn.XLOOKUP(B60,CRN!G:G,CRN!P:P,"")</f>
        <v>0</v>
      </c>
      <c r="Q60">
        <f ca="1">IF(P60=0,0,_xlfn.XLOOKUP(C60,CLIENT_CODE!B:B,CLIENT_CODE!L:L,0))</f>
        <v>0</v>
      </c>
      <c r="R60">
        <f ca="1">_xlfn.XLOOKUP(B60,CRN!G:G,CRN!Q:Q,"")</f>
        <v>0</v>
      </c>
      <c r="S60">
        <f ca="1">IF(R60=0,0,_xlfn.XLOOKUP(C60,CLIENT_CODE!B:B,CLIENT_CODE!M:M,0))</f>
        <v>0</v>
      </c>
      <c r="T60">
        <f ca="1">_xlfn.XLOOKUP(B60,CRN!G:G,CRN!R:R,"")</f>
        <v>1</v>
      </c>
      <c r="U60">
        <f ca="1">IF(T60=0,0,_xlfn.XLOOKUP(C60,CLIENT_CODE!B:B,CLIENT_CODE!N:N,0))</f>
        <v>0</v>
      </c>
      <c r="V60">
        <f ca="1">_xlfn.XLOOKUP(B60,CRN!G:G,CRN!S:S,"")</f>
        <v>1</v>
      </c>
      <c r="W60">
        <f ca="1">IF(V60=0,0,_xlfn.XLOOKUP(C60,CLIENT_CODE!B:B,CLIENT_CODE!O:O,0))</f>
        <v>0</v>
      </c>
      <c r="X60">
        <f ca="1">_xlfn.XLOOKUP(B60,CRN!G:G,CRN!T:T,"")</f>
        <v>0</v>
      </c>
      <c r="Y60">
        <f ca="1">IF(X60=0,0,_xlfn.XLOOKUP(C60,CLIENT_CODE!B:B,CLIENT_CODE!P:P,0))</f>
        <v>0</v>
      </c>
      <c r="Z60">
        <f ca="1">_xlfn.XLOOKUP(B60,CRN!G:G,CRN!U:U,"")</f>
        <v>0</v>
      </c>
      <c r="AA60">
        <f ca="1">IF(X60=0,0,_xlfn.XLOOKUP(C60,CLIENT_CODE!B:B,CLIENT_CODE!P:P,0))</f>
        <v>0</v>
      </c>
      <c r="AB60">
        <f ca="1">_xlfn.XLOOKUP(B60,CRN!G:G,CRN!V:V,"")</f>
        <v>0</v>
      </c>
      <c r="AC60">
        <f ca="1">IF(AB60=0,0,_xlfn.XLOOKUP(C60,CLIENT_CODE!B:B,CLIENT_CODE!R:R,0))</f>
        <v>0</v>
      </c>
      <c r="AD60">
        <f t="shared" ca="1" si="0"/>
        <v>0</v>
      </c>
    </row>
    <row r="61" spans="1:30">
      <c r="A61" s="42">
        <v>60</v>
      </c>
      <c r="B61" s="42" t="str">
        <f ca="1"/>
        <v>2025213437</v>
      </c>
      <c r="E61">
        <f>IF(D61=0,0,_xlfn.XLOOKUP(C61,CLIENT_CODE!B:B,CLIENT_CODE!F:F,0))</f>
        <v>0</v>
      </c>
      <c r="F61">
        <f ca="1">_xlfn.XLOOKUP(B61,CRN!G:G,CRN!K:K,"")</f>
        <v>0</v>
      </c>
      <c r="G61">
        <f ca="1">IF(F61=0,0,_xlfn.XLOOKUP(C61,CLIENT_CODE!B:B,CLIENT_CODE!G:G,0))</f>
        <v>0</v>
      </c>
      <c r="H61">
        <f ca="1">_xlfn.XLOOKUP(B61,CRN!G:G,CRN!L:L,"")</f>
        <v>1</v>
      </c>
      <c r="I61">
        <f ca="1">IF(H61=0,0,_xlfn.XLOOKUP(C61,CLIENT_CODE!B:B,CLIENT_CODE!H:H,0))</f>
        <v>0</v>
      </c>
      <c r="J61">
        <f ca="1">_xlfn.XLOOKUP(B61,CRN!G:G,CRN!M:M,"")</f>
        <v>0</v>
      </c>
      <c r="K61">
        <f ca="1">IF(J61=0,0,_xlfn.XLOOKUP(C61,CLIENT_CODE!B:B,CLIENT_CODE!I:I,0))</f>
        <v>0</v>
      </c>
      <c r="L61">
        <f ca="1">_xlfn.XLOOKUP(B61,CRN!G:G,CRN!N:N,"")</f>
        <v>1</v>
      </c>
      <c r="M61">
        <f ca="1">IF(L61=0,0,_xlfn.XLOOKUP(C61,CLIENT_CODE!B:B,CLIENT_CODE!J:J,0))</f>
        <v>0</v>
      </c>
      <c r="N61">
        <f ca="1">_xlfn.XLOOKUP(B61,CRN!G:G,CRN!O:O,"")</f>
        <v>0</v>
      </c>
      <c r="O61">
        <f ca="1">IF(N61=0,0,_xlfn.XLOOKUP(C61,CLIENT_CODE!B:B,CLIENT_CODE!K:K,0))</f>
        <v>0</v>
      </c>
      <c r="P61">
        <f ca="1">_xlfn.XLOOKUP(B61,CRN!G:G,CRN!P:P,"")</f>
        <v>0</v>
      </c>
      <c r="Q61">
        <f ca="1">IF(P61=0,0,_xlfn.XLOOKUP(C61,CLIENT_CODE!B:B,CLIENT_CODE!L:L,0))</f>
        <v>0</v>
      </c>
      <c r="R61">
        <f ca="1">_xlfn.XLOOKUP(B61,CRN!G:G,CRN!Q:Q,"")</f>
        <v>0</v>
      </c>
      <c r="S61">
        <f ca="1">IF(R61=0,0,_xlfn.XLOOKUP(C61,CLIENT_CODE!B:B,CLIENT_CODE!M:M,0))</f>
        <v>0</v>
      </c>
      <c r="T61">
        <f ca="1">_xlfn.XLOOKUP(B61,CRN!G:G,CRN!R:R,"")</f>
        <v>1</v>
      </c>
      <c r="U61">
        <f ca="1">IF(T61=0,0,_xlfn.XLOOKUP(C61,CLIENT_CODE!B:B,CLIENT_CODE!N:N,0))</f>
        <v>0</v>
      </c>
      <c r="V61">
        <f ca="1">_xlfn.XLOOKUP(B61,CRN!G:G,CRN!S:S,"")</f>
        <v>1</v>
      </c>
      <c r="W61">
        <f ca="1">IF(V61=0,0,_xlfn.XLOOKUP(C61,CLIENT_CODE!B:B,CLIENT_CODE!O:O,0))</f>
        <v>0</v>
      </c>
      <c r="X61">
        <f ca="1">_xlfn.XLOOKUP(B61,CRN!G:G,CRN!T:T,"")</f>
        <v>0</v>
      </c>
      <c r="Y61">
        <f ca="1">IF(X61=0,0,_xlfn.XLOOKUP(C61,CLIENT_CODE!B:B,CLIENT_CODE!P:P,0))</f>
        <v>0</v>
      </c>
      <c r="Z61">
        <f ca="1">_xlfn.XLOOKUP(B61,CRN!G:G,CRN!U:U,"")</f>
        <v>1</v>
      </c>
      <c r="AA61">
        <f ca="1">IF(X61=0,0,_xlfn.XLOOKUP(C61,CLIENT_CODE!B:B,CLIENT_CODE!P:P,0))</f>
        <v>0</v>
      </c>
      <c r="AB61">
        <f ca="1">_xlfn.XLOOKUP(B61,CRN!G:G,CRN!V:V,"")</f>
        <v>0</v>
      </c>
      <c r="AC61">
        <f ca="1">IF(AB61=0,0,_xlfn.XLOOKUP(C61,CLIENT_CODE!B:B,CLIENT_CODE!R:R,0))</f>
        <v>0</v>
      </c>
      <c r="AD61">
        <f t="shared" ca="1" si="0"/>
        <v>0</v>
      </c>
    </row>
    <row r="62" spans="1:30">
      <c r="A62" s="42">
        <v>61</v>
      </c>
      <c r="B62" s="42" t="str">
        <f ca="1"/>
        <v>2025206275</v>
      </c>
      <c r="E62">
        <f>IF(D62=0,0,_xlfn.XLOOKUP(C62,CLIENT_CODE!B:B,CLIENT_CODE!F:F,0))</f>
        <v>0</v>
      </c>
      <c r="F62">
        <f ca="1">_xlfn.XLOOKUP(B62,CRN!G:G,CRN!K:K,"")</f>
        <v>0</v>
      </c>
      <c r="G62">
        <f ca="1">IF(F62=0,0,_xlfn.XLOOKUP(C62,CLIENT_CODE!B:B,CLIENT_CODE!G:G,0))</f>
        <v>0</v>
      </c>
      <c r="H62">
        <f ca="1">_xlfn.XLOOKUP(B62,CRN!G:G,CRN!L:L,"")</f>
        <v>0</v>
      </c>
      <c r="I62">
        <f ca="1">IF(H62=0,0,_xlfn.XLOOKUP(C62,CLIENT_CODE!B:B,CLIENT_CODE!H:H,0))</f>
        <v>0</v>
      </c>
      <c r="J62">
        <f ca="1">_xlfn.XLOOKUP(B62,CRN!G:G,CRN!M:M,"")</f>
        <v>0</v>
      </c>
      <c r="K62">
        <f ca="1">IF(J62=0,0,_xlfn.XLOOKUP(C62,CLIENT_CODE!B:B,CLIENT_CODE!I:I,0))</f>
        <v>0</v>
      </c>
      <c r="L62">
        <f ca="1">_xlfn.XLOOKUP(B62,CRN!G:G,CRN!N:N,"")</f>
        <v>0</v>
      </c>
      <c r="M62">
        <f ca="1">IF(L62=0,0,_xlfn.XLOOKUP(C62,CLIENT_CODE!B:B,CLIENT_CODE!J:J,0))</f>
        <v>0</v>
      </c>
      <c r="N62">
        <f ca="1">_xlfn.XLOOKUP(B62,CRN!G:G,CRN!O:O,"")</f>
        <v>0</v>
      </c>
      <c r="O62">
        <f ca="1">IF(N62=0,0,_xlfn.XLOOKUP(C62,CLIENT_CODE!B:B,CLIENT_CODE!K:K,0))</f>
        <v>0</v>
      </c>
      <c r="P62">
        <f ca="1">_xlfn.XLOOKUP(B62,CRN!G:G,CRN!P:P,"")</f>
        <v>0</v>
      </c>
      <c r="Q62">
        <f ca="1">IF(P62=0,0,_xlfn.XLOOKUP(C62,CLIENT_CODE!B:B,CLIENT_CODE!L:L,0))</f>
        <v>0</v>
      </c>
      <c r="R62">
        <f ca="1">_xlfn.XLOOKUP(B62,CRN!G:G,CRN!Q:Q,"")</f>
        <v>0</v>
      </c>
      <c r="S62">
        <f ca="1">IF(R62=0,0,_xlfn.XLOOKUP(C62,CLIENT_CODE!B:B,CLIENT_CODE!M:M,0))</f>
        <v>0</v>
      </c>
      <c r="T62">
        <f ca="1">_xlfn.XLOOKUP(B62,CRN!G:G,CRN!R:R,"")</f>
        <v>0</v>
      </c>
      <c r="U62">
        <f ca="1">IF(T62=0,0,_xlfn.XLOOKUP(C62,CLIENT_CODE!B:B,CLIENT_CODE!N:N,0))</f>
        <v>0</v>
      </c>
      <c r="V62">
        <f ca="1">_xlfn.XLOOKUP(B62,CRN!G:G,CRN!S:S,"")</f>
        <v>1</v>
      </c>
      <c r="W62">
        <f ca="1">IF(V62=0,0,_xlfn.XLOOKUP(C62,CLIENT_CODE!B:B,CLIENT_CODE!O:O,0))</f>
        <v>0</v>
      </c>
      <c r="X62">
        <f ca="1">_xlfn.XLOOKUP(B62,CRN!G:G,CRN!T:T,"")</f>
        <v>0</v>
      </c>
      <c r="Y62">
        <f ca="1">IF(X62=0,0,_xlfn.XLOOKUP(C62,CLIENT_CODE!B:B,CLIENT_CODE!P:P,0))</f>
        <v>0</v>
      </c>
      <c r="Z62">
        <f ca="1">_xlfn.XLOOKUP(B62,CRN!G:G,CRN!U:U,"")</f>
        <v>0</v>
      </c>
      <c r="AA62">
        <f ca="1">IF(X62=0,0,_xlfn.XLOOKUP(C62,CLIENT_CODE!B:B,CLIENT_CODE!P:P,0))</f>
        <v>0</v>
      </c>
      <c r="AB62">
        <f ca="1">_xlfn.XLOOKUP(B62,CRN!G:G,CRN!V:V,"")</f>
        <v>0</v>
      </c>
      <c r="AC62">
        <f ca="1">IF(AB62=0,0,_xlfn.XLOOKUP(C62,CLIENT_CODE!B:B,CLIENT_CODE!R:R,0))</f>
        <v>0</v>
      </c>
      <c r="AD62">
        <f t="shared" ca="1" si="0"/>
        <v>0</v>
      </c>
    </row>
    <row r="63" spans="1:30">
      <c r="A63" s="42">
        <v>62</v>
      </c>
      <c r="B63" s="42" t="str">
        <f ca="1"/>
        <v>MTP-N-2526-005139</v>
      </c>
      <c r="E63">
        <f>IF(D63=0,0,_xlfn.XLOOKUP(C63,CLIENT_CODE!B:B,CLIENT_CODE!F:F,0))</f>
        <v>0</v>
      </c>
      <c r="F63">
        <f ca="1">_xlfn.XLOOKUP(B63,CRN!G:G,CRN!K:K,"")</f>
        <v>0</v>
      </c>
      <c r="G63">
        <f ca="1">IF(F63=0,0,_xlfn.XLOOKUP(C63,CLIENT_CODE!B:B,CLIENT_CODE!G:G,0))</f>
        <v>0</v>
      </c>
      <c r="H63">
        <f ca="1">_xlfn.XLOOKUP(B63,CRN!G:G,CRN!L:L,"")</f>
        <v>1</v>
      </c>
      <c r="I63">
        <f ca="1">IF(H63=0,0,_xlfn.XLOOKUP(C63,CLIENT_CODE!B:B,CLIENT_CODE!H:H,0))</f>
        <v>0</v>
      </c>
      <c r="J63">
        <f ca="1">_xlfn.XLOOKUP(B63,CRN!G:G,CRN!M:M,"")</f>
        <v>1</v>
      </c>
      <c r="K63">
        <f ca="1">IF(J63=0,0,_xlfn.XLOOKUP(C63,CLIENT_CODE!B:B,CLIENT_CODE!I:I,0))</f>
        <v>0</v>
      </c>
      <c r="L63">
        <f ca="1">_xlfn.XLOOKUP(B63,CRN!G:G,CRN!N:N,"")</f>
        <v>1</v>
      </c>
      <c r="M63">
        <f ca="1">IF(L63=0,0,_xlfn.XLOOKUP(C63,CLIENT_CODE!B:B,CLIENT_CODE!J:J,0))</f>
        <v>0</v>
      </c>
      <c r="N63">
        <f ca="1">_xlfn.XLOOKUP(B63,CRN!G:G,CRN!O:O,"")</f>
        <v>1</v>
      </c>
      <c r="O63">
        <f ca="1">IF(N63=0,0,_xlfn.XLOOKUP(C63,CLIENT_CODE!B:B,CLIENT_CODE!K:K,0))</f>
        <v>0</v>
      </c>
      <c r="P63">
        <f ca="1">_xlfn.XLOOKUP(B63,CRN!G:G,CRN!P:P,"")</f>
        <v>1</v>
      </c>
      <c r="Q63">
        <f ca="1">IF(P63=0,0,_xlfn.XLOOKUP(C63,CLIENT_CODE!B:B,CLIENT_CODE!L:L,0))</f>
        <v>0</v>
      </c>
      <c r="R63">
        <f ca="1">_xlfn.XLOOKUP(B63,CRN!G:G,CRN!Q:Q,"")</f>
        <v>0</v>
      </c>
      <c r="S63">
        <f ca="1">IF(R63=0,0,_xlfn.XLOOKUP(C63,CLIENT_CODE!B:B,CLIENT_CODE!M:M,0))</f>
        <v>0</v>
      </c>
      <c r="T63">
        <f ca="1">_xlfn.XLOOKUP(B63,CRN!G:G,CRN!R:R,"")</f>
        <v>1</v>
      </c>
      <c r="U63">
        <f ca="1">IF(T63=0,0,_xlfn.XLOOKUP(C63,CLIENT_CODE!B:B,CLIENT_CODE!N:N,0))</f>
        <v>0</v>
      </c>
      <c r="V63">
        <f ca="1">_xlfn.XLOOKUP(B63,CRN!G:G,CRN!S:S,"")</f>
        <v>1</v>
      </c>
      <c r="W63">
        <f ca="1">IF(V63=0,0,_xlfn.XLOOKUP(C63,CLIENT_CODE!B:B,CLIENT_CODE!O:O,0))</f>
        <v>0</v>
      </c>
      <c r="X63">
        <f ca="1">_xlfn.XLOOKUP(B63,CRN!G:G,CRN!T:T,"")</f>
        <v>0</v>
      </c>
      <c r="Y63">
        <f ca="1">IF(X63=0,0,_xlfn.XLOOKUP(C63,CLIENT_CODE!B:B,CLIENT_CODE!P:P,0))</f>
        <v>0</v>
      </c>
      <c r="Z63">
        <f ca="1">_xlfn.XLOOKUP(B63,CRN!G:G,CRN!U:U,"")</f>
        <v>0</v>
      </c>
      <c r="AA63">
        <f ca="1">IF(X63=0,0,_xlfn.XLOOKUP(C63,CLIENT_CODE!B:B,CLIENT_CODE!P:P,0))</f>
        <v>0</v>
      </c>
      <c r="AB63">
        <f ca="1">_xlfn.XLOOKUP(B63,CRN!G:G,CRN!V:V,"")</f>
        <v>1</v>
      </c>
      <c r="AC63">
        <f ca="1">IF(AB63=0,0,_xlfn.XLOOKUP(C63,CLIENT_CODE!B:B,CLIENT_CODE!R:R,0))</f>
        <v>0</v>
      </c>
      <c r="AD63">
        <f t="shared" ca="1" si="0"/>
        <v>0</v>
      </c>
    </row>
    <row r="64" spans="1:30">
      <c r="A64" s="42">
        <v>63</v>
      </c>
      <c r="B64" s="42" t="str">
        <f ca="1"/>
        <v>2025213982</v>
      </c>
      <c r="E64">
        <f>IF(D64=0,0,_xlfn.XLOOKUP(C64,CLIENT_CODE!B:B,CLIENT_CODE!F:F,0))</f>
        <v>0</v>
      </c>
      <c r="F64">
        <f ca="1">_xlfn.XLOOKUP(B64,CRN!G:G,CRN!K:K,"")</f>
        <v>0</v>
      </c>
      <c r="G64">
        <f ca="1">IF(F64=0,0,_xlfn.XLOOKUP(C64,CLIENT_CODE!B:B,CLIENT_CODE!G:G,0))</f>
        <v>0</v>
      </c>
      <c r="H64">
        <f ca="1">_xlfn.XLOOKUP(B64,CRN!G:G,CRN!L:L,"")</f>
        <v>1</v>
      </c>
      <c r="I64">
        <f ca="1">IF(H64=0,0,_xlfn.XLOOKUP(C64,CLIENT_CODE!B:B,CLIENT_CODE!H:H,0))</f>
        <v>0</v>
      </c>
      <c r="J64">
        <f ca="1">_xlfn.XLOOKUP(B64,CRN!G:G,CRN!M:M,"")</f>
        <v>0</v>
      </c>
      <c r="K64">
        <f ca="1">IF(J64=0,0,_xlfn.XLOOKUP(C64,CLIENT_CODE!B:B,CLIENT_CODE!I:I,0))</f>
        <v>0</v>
      </c>
      <c r="L64">
        <f ca="1">_xlfn.XLOOKUP(B64,CRN!G:G,CRN!N:N,"")</f>
        <v>1</v>
      </c>
      <c r="M64">
        <f ca="1">IF(L64=0,0,_xlfn.XLOOKUP(C64,CLIENT_CODE!B:B,CLIENT_CODE!J:J,0))</f>
        <v>0</v>
      </c>
      <c r="N64">
        <f ca="1">_xlfn.XLOOKUP(B64,CRN!G:G,CRN!O:O,"")</f>
        <v>0</v>
      </c>
      <c r="O64">
        <f ca="1">IF(N64=0,0,_xlfn.XLOOKUP(C64,CLIENT_CODE!B:B,CLIENT_CODE!K:K,0))</f>
        <v>0</v>
      </c>
      <c r="P64">
        <f ca="1">_xlfn.XLOOKUP(B64,CRN!G:G,CRN!P:P,"")</f>
        <v>0</v>
      </c>
      <c r="Q64">
        <f ca="1">IF(P64=0,0,_xlfn.XLOOKUP(C64,CLIENT_CODE!B:B,CLIENT_CODE!L:L,0))</f>
        <v>0</v>
      </c>
      <c r="R64">
        <f ca="1">_xlfn.XLOOKUP(B64,CRN!G:G,CRN!Q:Q,"")</f>
        <v>0</v>
      </c>
      <c r="S64">
        <f ca="1">IF(R64=0,0,_xlfn.XLOOKUP(C64,CLIENT_CODE!B:B,CLIENT_CODE!M:M,0))</f>
        <v>0</v>
      </c>
      <c r="T64">
        <f ca="1">_xlfn.XLOOKUP(B64,CRN!G:G,CRN!R:R,"")</f>
        <v>1</v>
      </c>
      <c r="U64">
        <f ca="1">IF(T64=0,0,_xlfn.XLOOKUP(C64,CLIENT_CODE!B:B,CLIENT_CODE!N:N,0))</f>
        <v>0</v>
      </c>
      <c r="V64">
        <f ca="1">_xlfn.XLOOKUP(B64,CRN!G:G,CRN!S:S,"")</f>
        <v>1</v>
      </c>
      <c r="W64">
        <f ca="1">IF(V64=0,0,_xlfn.XLOOKUP(C64,CLIENT_CODE!B:B,CLIENT_CODE!O:O,0))</f>
        <v>0</v>
      </c>
      <c r="X64">
        <f ca="1">_xlfn.XLOOKUP(B64,CRN!G:G,CRN!T:T,"")</f>
        <v>0</v>
      </c>
      <c r="Y64">
        <f ca="1">IF(X64=0,0,_xlfn.XLOOKUP(C64,CLIENT_CODE!B:B,CLIENT_CODE!P:P,0))</f>
        <v>0</v>
      </c>
      <c r="Z64">
        <f ca="1">_xlfn.XLOOKUP(B64,CRN!G:G,CRN!U:U,"")</f>
        <v>0</v>
      </c>
      <c r="AA64">
        <f ca="1">IF(X64=0,0,_xlfn.XLOOKUP(C64,CLIENT_CODE!B:B,CLIENT_CODE!P:P,0))</f>
        <v>0</v>
      </c>
      <c r="AB64">
        <f ca="1">_xlfn.XLOOKUP(B64,CRN!G:G,CRN!V:V,"")</f>
        <v>0</v>
      </c>
      <c r="AC64">
        <f ca="1">IF(AB64=0,0,_xlfn.XLOOKUP(C64,CLIENT_CODE!B:B,CLIENT_CODE!R:R,0))</f>
        <v>0</v>
      </c>
      <c r="AD64">
        <f t="shared" ca="1" si="0"/>
        <v>0</v>
      </c>
    </row>
    <row r="65" spans="1:30">
      <c r="A65" s="42">
        <v>64</v>
      </c>
      <c r="B65" s="42" t="str">
        <f ca="1"/>
        <v>2025213945</v>
      </c>
      <c r="E65">
        <f>IF(D65=0,0,_xlfn.XLOOKUP(C65,CLIENT_CODE!B:B,CLIENT_CODE!F:F,0))</f>
        <v>0</v>
      </c>
      <c r="F65">
        <f ca="1">_xlfn.XLOOKUP(B65,CRN!G:G,CRN!K:K,"")</f>
        <v>0</v>
      </c>
      <c r="G65">
        <f ca="1">IF(F65=0,0,_xlfn.XLOOKUP(C65,CLIENT_CODE!B:B,CLIENT_CODE!G:G,0))</f>
        <v>0</v>
      </c>
      <c r="H65">
        <f ca="1">_xlfn.XLOOKUP(B65,CRN!G:G,CRN!L:L,"")</f>
        <v>1</v>
      </c>
      <c r="I65">
        <f ca="1">IF(H65=0,0,_xlfn.XLOOKUP(C65,CLIENT_CODE!B:B,CLIENT_CODE!H:H,0))</f>
        <v>0</v>
      </c>
      <c r="J65">
        <f ca="1">_xlfn.XLOOKUP(B65,CRN!G:G,CRN!M:M,"")</f>
        <v>0</v>
      </c>
      <c r="K65">
        <f ca="1">IF(J65=0,0,_xlfn.XLOOKUP(C65,CLIENT_CODE!B:B,CLIENT_CODE!I:I,0))</f>
        <v>0</v>
      </c>
      <c r="L65">
        <f ca="1">_xlfn.XLOOKUP(B65,CRN!G:G,CRN!N:N,"")</f>
        <v>1</v>
      </c>
      <c r="M65">
        <f ca="1">IF(L65=0,0,_xlfn.XLOOKUP(C65,CLIENT_CODE!B:B,CLIENT_CODE!J:J,0))</f>
        <v>0</v>
      </c>
      <c r="N65">
        <f ca="1">_xlfn.XLOOKUP(B65,CRN!G:G,CRN!O:O,"")</f>
        <v>0</v>
      </c>
      <c r="O65">
        <f ca="1">IF(N65=0,0,_xlfn.XLOOKUP(C65,CLIENT_CODE!B:B,CLIENT_CODE!K:K,0))</f>
        <v>0</v>
      </c>
      <c r="P65">
        <f ca="1">_xlfn.XLOOKUP(B65,CRN!G:G,CRN!P:P,"")</f>
        <v>0</v>
      </c>
      <c r="Q65">
        <f ca="1">IF(P65=0,0,_xlfn.XLOOKUP(C65,CLIENT_CODE!B:B,CLIENT_CODE!L:L,0))</f>
        <v>0</v>
      </c>
      <c r="R65">
        <f ca="1">_xlfn.XLOOKUP(B65,CRN!G:G,CRN!Q:Q,"")</f>
        <v>0</v>
      </c>
      <c r="S65">
        <f ca="1">IF(R65=0,0,_xlfn.XLOOKUP(C65,CLIENT_CODE!B:B,CLIENT_CODE!M:M,0))</f>
        <v>0</v>
      </c>
      <c r="T65">
        <f ca="1">_xlfn.XLOOKUP(B65,CRN!G:G,CRN!R:R,"")</f>
        <v>1</v>
      </c>
      <c r="U65">
        <f ca="1">IF(T65=0,0,_xlfn.XLOOKUP(C65,CLIENT_CODE!B:B,CLIENT_CODE!N:N,0))</f>
        <v>0</v>
      </c>
      <c r="V65">
        <f ca="1">_xlfn.XLOOKUP(B65,CRN!G:G,CRN!S:S,"")</f>
        <v>1</v>
      </c>
      <c r="W65">
        <f ca="1">IF(V65=0,0,_xlfn.XLOOKUP(C65,CLIENT_CODE!B:B,CLIENT_CODE!O:O,0))</f>
        <v>0</v>
      </c>
      <c r="X65">
        <f ca="1">_xlfn.XLOOKUP(B65,CRN!G:G,CRN!T:T,"")</f>
        <v>0</v>
      </c>
      <c r="Y65">
        <f ca="1">IF(X65=0,0,_xlfn.XLOOKUP(C65,CLIENT_CODE!B:B,CLIENT_CODE!P:P,0))</f>
        <v>0</v>
      </c>
      <c r="Z65">
        <f ca="1">_xlfn.XLOOKUP(B65,CRN!G:G,CRN!U:U,"")</f>
        <v>0</v>
      </c>
      <c r="AA65">
        <f ca="1">IF(X65=0,0,_xlfn.XLOOKUP(C65,CLIENT_CODE!B:B,CLIENT_CODE!P:P,0))</f>
        <v>0</v>
      </c>
      <c r="AB65">
        <f ca="1">_xlfn.XLOOKUP(B65,CRN!G:G,CRN!V:V,"")</f>
        <v>0</v>
      </c>
      <c r="AC65">
        <f ca="1">IF(AB65=0,0,_xlfn.XLOOKUP(C65,CLIENT_CODE!B:B,CLIENT_CODE!R:R,0))</f>
        <v>0</v>
      </c>
      <c r="AD65">
        <f t="shared" ca="1" si="0"/>
        <v>0</v>
      </c>
    </row>
    <row r="66" spans="1:30">
      <c r="A66" s="42">
        <v>65</v>
      </c>
      <c r="B66" s="42" t="str">
        <f ca="1"/>
        <v>2025213947</v>
      </c>
      <c r="E66">
        <f>IF(D66=0,0,_xlfn.XLOOKUP(C66,CLIENT_CODE!B:B,CLIENT_CODE!F:F,0))</f>
        <v>0</v>
      </c>
      <c r="F66">
        <f ca="1">_xlfn.XLOOKUP(B66,CRN!G:G,CRN!K:K,"")</f>
        <v>0</v>
      </c>
      <c r="G66">
        <f ca="1">IF(F66=0,0,_xlfn.XLOOKUP(C66,CLIENT_CODE!B:B,CLIENT_CODE!G:G,0))</f>
        <v>0</v>
      </c>
      <c r="H66">
        <f ca="1">_xlfn.XLOOKUP(B66,CRN!G:G,CRN!L:L,"")</f>
        <v>1</v>
      </c>
      <c r="I66">
        <f ca="1">IF(H66=0,0,_xlfn.XLOOKUP(C66,CLIENT_CODE!B:B,CLIENT_CODE!H:H,0))</f>
        <v>0</v>
      </c>
      <c r="J66">
        <f ca="1">_xlfn.XLOOKUP(B66,CRN!G:G,CRN!M:M,"")</f>
        <v>0</v>
      </c>
      <c r="K66">
        <f ca="1">IF(J66=0,0,_xlfn.XLOOKUP(C66,CLIENT_CODE!B:B,CLIENT_CODE!I:I,0))</f>
        <v>0</v>
      </c>
      <c r="L66">
        <f ca="1">_xlfn.XLOOKUP(B66,CRN!G:G,CRN!N:N,"")</f>
        <v>1</v>
      </c>
      <c r="M66">
        <f ca="1">IF(L66=0,0,_xlfn.XLOOKUP(C66,CLIENT_CODE!B:B,CLIENT_CODE!J:J,0))</f>
        <v>0</v>
      </c>
      <c r="N66">
        <f ca="1">_xlfn.XLOOKUP(B66,CRN!G:G,CRN!O:O,"")</f>
        <v>0</v>
      </c>
      <c r="O66">
        <f ca="1">IF(N66=0,0,_xlfn.XLOOKUP(C66,CLIENT_CODE!B:B,CLIENT_CODE!K:K,0))</f>
        <v>0</v>
      </c>
      <c r="P66">
        <f ca="1">_xlfn.XLOOKUP(B66,CRN!G:G,CRN!P:P,"")</f>
        <v>0</v>
      </c>
      <c r="Q66">
        <f ca="1">IF(P66=0,0,_xlfn.XLOOKUP(C66,CLIENT_CODE!B:B,CLIENT_CODE!L:L,0))</f>
        <v>0</v>
      </c>
      <c r="R66">
        <f ca="1">_xlfn.XLOOKUP(B66,CRN!G:G,CRN!Q:Q,"")</f>
        <v>0</v>
      </c>
      <c r="S66">
        <f ca="1">IF(R66=0,0,_xlfn.XLOOKUP(C66,CLIENT_CODE!B:B,CLIENT_CODE!M:M,0))</f>
        <v>0</v>
      </c>
      <c r="T66">
        <f ca="1">_xlfn.XLOOKUP(B66,CRN!G:G,CRN!R:R,"")</f>
        <v>1</v>
      </c>
      <c r="U66">
        <f ca="1">IF(T66=0,0,_xlfn.XLOOKUP(C66,CLIENT_CODE!B:B,CLIENT_CODE!N:N,0))</f>
        <v>0</v>
      </c>
      <c r="V66">
        <f ca="1">_xlfn.XLOOKUP(B66,CRN!G:G,CRN!S:S,"")</f>
        <v>1</v>
      </c>
      <c r="W66">
        <f ca="1">IF(V66=0,0,_xlfn.XLOOKUP(C66,CLIENT_CODE!B:B,CLIENT_CODE!O:O,0))</f>
        <v>0</v>
      </c>
      <c r="X66">
        <f ca="1">_xlfn.XLOOKUP(B66,CRN!G:G,CRN!T:T,"")</f>
        <v>0</v>
      </c>
      <c r="Y66">
        <f ca="1">IF(X66=0,0,_xlfn.XLOOKUP(C66,CLIENT_CODE!B:B,CLIENT_CODE!P:P,0))</f>
        <v>0</v>
      </c>
      <c r="Z66">
        <f ca="1">_xlfn.XLOOKUP(B66,CRN!G:G,CRN!U:U,"")</f>
        <v>0</v>
      </c>
      <c r="AA66">
        <f ca="1">IF(X66=0,0,_xlfn.XLOOKUP(C66,CLIENT_CODE!B:B,CLIENT_CODE!P:P,0))</f>
        <v>0</v>
      </c>
      <c r="AB66">
        <f ca="1">_xlfn.XLOOKUP(B66,CRN!G:G,CRN!V:V,"")</f>
        <v>0</v>
      </c>
      <c r="AC66">
        <f ca="1">IF(AB66=0,0,_xlfn.XLOOKUP(C66,CLIENT_CODE!B:B,CLIENT_CODE!R:R,0))</f>
        <v>0</v>
      </c>
      <c r="AD66">
        <f t="shared" ca="1" si="0"/>
        <v>0</v>
      </c>
    </row>
    <row r="67" spans="1:30">
      <c r="A67" s="42">
        <v>66</v>
      </c>
      <c r="B67" s="42" t="str">
        <f ca="1"/>
        <v>2025213937</v>
      </c>
      <c r="E67">
        <f>IF(D67=0,0,_xlfn.XLOOKUP(C67,CLIENT_CODE!B:B,CLIENT_CODE!F:F,0))</f>
        <v>0</v>
      </c>
      <c r="F67">
        <f ca="1">_xlfn.XLOOKUP(B67,CRN!G:G,CRN!K:K,"")</f>
        <v>0</v>
      </c>
      <c r="G67">
        <f ca="1">IF(F67=0,0,_xlfn.XLOOKUP(C67,CLIENT_CODE!B:B,CLIENT_CODE!G:G,0))</f>
        <v>0</v>
      </c>
      <c r="H67">
        <f ca="1">_xlfn.XLOOKUP(B67,CRN!G:G,CRN!L:L,"")</f>
        <v>1</v>
      </c>
      <c r="I67">
        <f ca="1">IF(H67=0,0,_xlfn.XLOOKUP(C67,CLIENT_CODE!B:B,CLIENT_CODE!H:H,0))</f>
        <v>0</v>
      </c>
      <c r="J67">
        <f ca="1">_xlfn.XLOOKUP(B67,CRN!G:G,CRN!M:M,"")</f>
        <v>0</v>
      </c>
      <c r="K67">
        <f ca="1">IF(J67=0,0,_xlfn.XLOOKUP(C67,CLIENT_CODE!B:B,CLIENT_CODE!I:I,0))</f>
        <v>0</v>
      </c>
      <c r="L67">
        <f ca="1">_xlfn.XLOOKUP(B67,CRN!G:G,CRN!N:N,"")</f>
        <v>1</v>
      </c>
      <c r="M67">
        <f ca="1">IF(L67=0,0,_xlfn.XLOOKUP(C67,CLIENT_CODE!B:B,CLIENT_CODE!J:J,0))</f>
        <v>0</v>
      </c>
      <c r="N67">
        <f ca="1">_xlfn.XLOOKUP(B67,CRN!G:G,CRN!O:O,"")</f>
        <v>0</v>
      </c>
      <c r="O67">
        <f ca="1">IF(N67=0,0,_xlfn.XLOOKUP(C67,CLIENT_CODE!B:B,CLIENT_CODE!K:K,0))</f>
        <v>0</v>
      </c>
      <c r="P67">
        <f ca="1">_xlfn.XLOOKUP(B67,CRN!G:G,CRN!P:P,"")</f>
        <v>0</v>
      </c>
      <c r="Q67">
        <f ca="1">IF(P67=0,0,_xlfn.XLOOKUP(C67,CLIENT_CODE!B:B,CLIENT_CODE!L:L,0))</f>
        <v>0</v>
      </c>
      <c r="R67">
        <f ca="1">_xlfn.XLOOKUP(B67,CRN!G:G,CRN!Q:Q,"")</f>
        <v>0</v>
      </c>
      <c r="S67">
        <f ca="1">IF(R67=0,0,_xlfn.XLOOKUP(C67,CLIENT_CODE!B:B,CLIENT_CODE!M:M,0))</f>
        <v>0</v>
      </c>
      <c r="T67">
        <f ca="1">_xlfn.XLOOKUP(B67,CRN!G:G,CRN!R:R,"")</f>
        <v>1</v>
      </c>
      <c r="U67">
        <f ca="1">IF(T67=0,0,_xlfn.XLOOKUP(C67,CLIENT_CODE!B:B,CLIENT_CODE!N:N,0))</f>
        <v>0</v>
      </c>
      <c r="V67">
        <f ca="1">_xlfn.XLOOKUP(B67,CRN!G:G,CRN!S:S,"")</f>
        <v>1</v>
      </c>
      <c r="W67">
        <f ca="1">IF(V67=0,0,_xlfn.XLOOKUP(C67,CLIENT_CODE!B:B,CLIENT_CODE!O:O,0))</f>
        <v>0</v>
      </c>
      <c r="X67">
        <f ca="1">_xlfn.XLOOKUP(B67,CRN!G:G,CRN!T:T,"")</f>
        <v>0</v>
      </c>
      <c r="Y67">
        <f ca="1">IF(X67=0,0,_xlfn.XLOOKUP(C67,CLIENT_CODE!B:B,CLIENT_CODE!P:P,0))</f>
        <v>0</v>
      </c>
      <c r="Z67">
        <f ca="1">_xlfn.XLOOKUP(B67,CRN!G:G,CRN!U:U,"")</f>
        <v>0</v>
      </c>
      <c r="AA67">
        <f ca="1">IF(X67=0,0,_xlfn.XLOOKUP(C67,CLIENT_CODE!B:B,CLIENT_CODE!P:P,0))</f>
        <v>0</v>
      </c>
      <c r="AB67">
        <f ca="1">_xlfn.XLOOKUP(B67,CRN!G:G,CRN!V:V,"")</f>
        <v>0</v>
      </c>
      <c r="AC67">
        <f ca="1">IF(AB67=0,0,_xlfn.XLOOKUP(C67,CLIENT_CODE!B:B,CLIENT_CODE!R:R,0))</f>
        <v>0</v>
      </c>
      <c r="AD67">
        <f t="shared" ref="AD67:AD130" ca="1" si="1">SUM(E67,G67,I67,K67,M67,O67,Q67,S67,U67,W67,Y67,AA67,AC67,)</f>
        <v>0</v>
      </c>
    </row>
    <row r="68" spans="1:30">
      <c r="A68" s="42">
        <v>67</v>
      </c>
      <c r="B68" s="42" t="str">
        <f ca="1"/>
        <v>2025213914</v>
      </c>
      <c r="E68">
        <f>IF(D68=0,0,_xlfn.XLOOKUP(C68,CLIENT_CODE!B:B,CLIENT_CODE!F:F,0))</f>
        <v>0</v>
      </c>
      <c r="F68">
        <f ca="1">_xlfn.XLOOKUP(B68,CRN!G:G,CRN!K:K,"")</f>
        <v>0</v>
      </c>
      <c r="G68">
        <f ca="1">IF(F68=0,0,_xlfn.XLOOKUP(C68,CLIENT_CODE!B:B,CLIENT_CODE!G:G,0))</f>
        <v>0</v>
      </c>
      <c r="H68">
        <f ca="1">_xlfn.XLOOKUP(B68,CRN!G:G,CRN!L:L,"")</f>
        <v>1</v>
      </c>
      <c r="I68">
        <f ca="1">IF(H68=0,0,_xlfn.XLOOKUP(C68,CLIENT_CODE!B:B,CLIENT_CODE!H:H,0))</f>
        <v>0</v>
      </c>
      <c r="J68">
        <f ca="1">_xlfn.XLOOKUP(B68,CRN!G:G,CRN!M:M,"")</f>
        <v>0</v>
      </c>
      <c r="K68">
        <f ca="1">IF(J68=0,0,_xlfn.XLOOKUP(C68,CLIENT_CODE!B:B,CLIENT_CODE!I:I,0))</f>
        <v>0</v>
      </c>
      <c r="L68">
        <f ca="1">_xlfn.XLOOKUP(B68,CRN!G:G,CRN!N:N,"")</f>
        <v>1</v>
      </c>
      <c r="M68">
        <f ca="1">IF(L68=0,0,_xlfn.XLOOKUP(C68,CLIENT_CODE!B:B,CLIENT_CODE!J:J,0))</f>
        <v>0</v>
      </c>
      <c r="N68">
        <f ca="1">_xlfn.XLOOKUP(B68,CRN!G:G,CRN!O:O,"")</f>
        <v>0</v>
      </c>
      <c r="O68">
        <f ca="1">IF(N68=0,0,_xlfn.XLOOKUP(C68,CLIENT_CODE!B:B,CLIENT_CODE!K:K,0))</f>
        <v>0</v>
      </c>
      <c r="P68">
        <f ca="1">_xlfn.XLOOKUP(B68,CRN!G:G,CRN!P:P,"")</f>
        <v>0</v>
      </c>
      <c r="Q68">
        <f ca="1">IF(P68=0,0,_xlfn.XLOOKUP(C68,CLIENT_CODE!B:B,CLIENT_CODE!L:L,0))</f>
        <v>0</v>
      </c>
      <c r="R68">
        <f ca="1">_xlfn.XLOOKUP(B68,CRN!G:G,CRN!Q:Q,"")</f>
        <v>0</v>
      </c>
      <c r="S68">
        <f ca="1">IF(R68=0,0,_xlfn.XLOOKUP(C68,CLIENT_CODE!B:B,CLIENT_CODE!M:M,0))</f>
        <v>0</v>
      </c>
      <c r="T68">
        <f ca="1">_xlfn.XLOOKUP(B68,CRN!G:G,CRN!R:R,"")</f>
        <v>1</v>
      </c>
      <c r="U68">
        <f ca="1">IF(T68=0,0,_xlfn.XLOOKUP(C68,CLIENT_CODE!B:B,CLIENT_CODE!N:N,0))</f>
        <v>0</v>
      </c>
      <c r="V68">
        <f ca="1">_xlfn.XLOOKUP(B68,CRN!G:G,CRN!S:S,"")</f>
        <v>1</v>
      </c>
      <c r="W68">
        <f ca="1">IF(V68=0,0,_xlfn.XLOOKUP(C68,CLIENT_CODE!B:B,CLIENT_CODE!O:O,0))</f>
        <v>0</v>
      </c>
      <c r="X68">
        <f ca="1">_xlfn.XLOOKUP(B68,CRN!G:G,CRN!T:T,"")</f>
        <v>0</v>
      </c>
      <c r="Y68">
        <f ca="1">IF(X68=0,0,_xlfn.XLOOKUP(C68,CLIENT_CODE!B:B,CLIENT_CODE!P:P,0))</f>
        <v>0</v>
      </c>
      <c r="Z68">
        <f ca="1">_xlfn.XLOOKUP(B68,CRN!G:G,CRN!U:U,"")</f>
        <v>0</v>
      </c>
      <c r="AA68">
        <f ca="1">IF(X68=0,0,_xlfn.XLOOKUP(C68,CLIENT_CODE!B:B,CLIENT_CODE!P:P,0))</f>
        <v>0</v>
      </c>
      <c r="AB68">
        <f ca="1">_xlfn.XLOOKUP(B68,CRN!G:G,CRN!V:V,"")</f>
        <v>0</v>
      </c>
      <c r="AC68">
        <f ca="1">IF(AB68=0,0,_xlfn.XLOOKUP(C68,CLIENT_CODE!B:B,CLIENT_CODE!R:R,0))</f>
        <v>0</v>
      </c>
      <c r="AD68">
        <f t="shared" ca="1" si="1"/>
        <v>0</v>
      </c>
    </row>
    <row r="69" spans="1:30">
      <c r="A69" s="42">
        <v>68</v>
      </c>
      <c r="B69" s="42" t="str">
        <f ca="1"/>
        <v>2025213905</v>
      </c>
      <c r="E69">
        <f>IF(D69=0,0,_xlfn.XLOOKUP(C69,CLIENT_CODE!B:B,CLIENT_CODE!F:F,0))</f>
        <v>0</v>
      </c>
      <c r="F69">
        <f ca="1">_xlfn.XLOOKUP(B69,CRN!G:G,CRN!K:K,"")</f>
        <v>0</v>
      </c>
      <c r="G69">
        <f ca="1">IF(F69=0,0,_xlfn.XLOOKUP(C69,CLIENT_CODE!B:B,CLIENT_CODE!G:G,0))</f>
        <v>0</v>
      </c>
      <c r="H69">
        <f ca="1">_xlfn.XLOOKUP(B69,CRN!G:G,CRN!L:L,"")</f>
        <v>1</v>
      </c>
      <c r="I69">
        <f ca="1">IF(H69=0,0,_xlfn.XLOOKUP(C69,CLIENT_CODE!B:B,CLIENT_CODE!H:H,0))</f>
        <v>0</v>
      </c>
      <c r="J69">
        <f ca="1">_xlfn.XLOOKUP(B69,CRN!G:G,CRN!M:M,"")</f>
        <v>0</v>
      </c>
      <c r="K69">
        <f ca="1">IF(J69=0,0,_xlfn.XLOOKUP(C69,CLIENT_CODE!B:B,CLIENT_CODE!I:I,0))</f>
        <v>0</v>
      </c>
      <c r="L69">
        <f ca="1">_xlfn.XLOOKUP(B69,CRN!G:G,CRN!N:N,"")</f>
        <v>1</v>
      </c>
      <c r="M69">
        <f ca="1">IF(L69=0,0,_xlfn.XLOOKUP(C69,CLIENT_CODE!B:B,CLIENT_CODE!J:J,0))</f>
        <v>0</v>
      </c>
      <c r="N69">
        <f ca="1">_xlfn.XLOOKUP(B69,CRN!G:G,CRN!O:O,"")</f>
        <v>0</v>
      </c>
      <c r="O69">
        <f ca="1">IF(N69=0,0,_xlfn.XLOOKUP(C69,CLIENT_CODE!B:B,CLIENT_CODE!K:K,0))</f>
        <v>0</v>
      </c>
      <c r="P69">
        <f ca="1">_xlfn.XLOOKUP(B69,CRN!G:G,CRN!P:P,"")</f>
        <v>0</v>
      </c>
      <c r="Q69">
        <f ca="1">IF(P69=0,0,_xlfn.XLOOKUP(C69,CLIENT_CODE!B:B,CLIENT_CODE!L:L,0))</f>
        <v>0</v>
      </c>
      <c r="R69">
        <f ca="1">_xlfn.XLOOKUP(B69,CRN!G:G,CRN!Q:Q,"")</f>
        <v>0</v>
      </c>
      <c r="S69">
        <f ca="1">IF(R69=0,0,_xlfn.XLOOKUP(C69,CLIENT_CODE!B:B,CLIENT_CODE!M:M,0))</f>
        <v>0</v>
      </c>
      <c r="T69">
        <f ca="1">_xlfn.XLOOKUP(B69,CRN!G:G,CRN!R:R,"")</f>
        <v>1</v>
      </c>
      <c r="U69">
        <f ca="1">IF(T69=0,0,_xlfn.XLOOKUP(C69,CLIENT_CODE!B:B,CLIENT_CODE!N:N,0))</f>
        <v>0</v>
      </c>
      <c r="V69">
        <f ca="1">_xlfn.XLOOKUP(B69,CRN!G:G,CRN!S:S,"")</f>
        <v>1</v>
      </c>
      <c r="W69">
        <f ca="1">IF(V69=0,0,_xlfn.XLOOKUP(C69,CLIENT_CODE!B:B,CLIENT_CODE!O:O,0))</f>
        <v>0</v>
      </c>
      <c r="X69">
        <f ca="1">_xlfn.XLOOKUP(B69,CRN!G:G,CRN!T:T,"")</f>
        <v>0</v>
      </c>
      <c r="Y69">
        <f ca="1">IF(X69=0,0,_xlfn.XLOOKUP(C69,CLIENT_CODE!B:B,CLIENT_CODE!P:P,0))</f>
        <v>0</v>
      </c>
      <c r="Z69">
        <f ca="1">_xlfn.XLOOKUP(B69,CRN!G:G,CRN!U:U,"")</f>
        <v>0</v>
      </c>
      <c r="AA69">
        <f ca="1">IF(X69=0,0,_xlfn.XLOOKUP(C69,CLIENT_CODE!B:B,CLIENT_CODE!P:P,0))</f>
        <v>0</v>
      </c>
      <c r="AB69">
        <f ca="1">_xlfn.XLOOKUP(B69,CRN!G:G,CRN!V:V,"")</f>
        <v>0</v>
      </c>
      <c r="AC69">
        <f ca="1">IF(AB69=0,0,_xlfn.XLOOKUP(C69,CLIENT_CODE!B:B,CLIENT_CODE!R:R,0))</f>
        <v>0</v>
      </c>
      <c r="AD69">
        <f t="shared" ca="1" si="1"/>
        <v>0</v>
      </c>
    </row>
    <row r="70" spans="1:30">
      <c r="A70" s="42">
        <v>69</v>
      </c>
      <c r="B70" s="42" t="str">
        <f ca="1"/>
        <v>2025213901</v>
      </c>
      <c r="E70">
        <f>IF(D70=0,0,_xlfn.XLOOKUP(C70,CLIENT_CODE!B:B,CLIENT_CODE!F:F,0))</f>
        <v>0</v>
      </c>
      <c r="F70">
        <f ca="1">_xlfn.XLOOKUP(B70,CRN!G:G,CRN!K:K,"")</f>
        <v>0</v>
      </c>
      <c r="G70">
        <f ca="1">IF(F70=0,0,_xlfn.XLOOKUP(C70,CLIENT_CODE!B:B,CLIENT_CODE!G:G,0))</f>
        <v>0</v>
      </c>
      <c r="H70">
        <f ca="1">_xlfn.XLOOKUP(B70,CRN!G:G,CRN!L:L,"")</f>
        <v>1</v>
      </c>
      <c r="I70">
        <f ca="1">IF(H70=0,0,_xlfn.XLOOKUP(C70,CLIENT_CODE!B:B,CLIENT_CODE!H:H,0))</f>
        <v>0</v>
      </c>
      <c r="J70">
        <f ca="1">_xlfn.XLOOKUP(B70,CRN!G:G,CRN!M:M,"")</f>
        <v>0</v>
      </c>
      <c r="K70">
        <f ca="1">IF(J70=0,0,_xlfn.XLOOKUP(C70,CLIENT_CODE!B:B,CLIENT_CODE!I:I,0))</f>
        <v>0</v>
      </c>
      <c r="L70">
        <f ca="1">_xlfn.XLOOKUP(B70,CRN!G:G,CRN!N:N,"")</f>
        <v>1</v>
      </c>
      <c r="M70">
        <f ca="1">IF(L70=0,0,_xlfn.XLOOKUP(C70,CLIENT_CODE!B:B,CLIENT_CODE!J:J,0))</f>
        <v>0</v>
      </c>
      <c r="N70">
        <f ca="1">_xlfn.XLOOKUP(B70,CRN!G:G,CRN!O:O,"")</f>
        <v>0</v>
      </c>
      <c r="O70">
        <f ca="1">IF(N70=0,0,_xlfn.XLOOKUP(C70,CLIENT_CODE!B:B,CLIENT_CODE!K:K,0))</f>
        <v>0</v>
      </c>
      <c r="P70">
        <f ca="1">_xlfn.XLOOKUP(B70,CRN!G:G,CRN!P:P,"")</f>
        <v>0</v>
      </c>
      <c r="Q70">
        <f ca="1">IF(P70=0,0,_xlfn.XLOOKUP(C70,CLIENT_CODE!B:B,CLIENT_CODE!L:L,0))</f>
        <v>0</v>
      </c>
      <c r="R70">
        <f ca="1">_xlfn.XLOOKUP(B70,CRN!G:G,CRN!Q:Q,"")</f>
        <v>0</v>
      </c>
      <c r="S70">
        <f ca="1">IF(R70=0,0,_xlfn.XLOOKUP(C70,CLIENT_CODE!B:B,CLIENT_CODE!M:M,0))</f>
        <v>0</v>
      </c>
      <c r="T70">
        <f ca="1">_xlfn.XLOOKUP(B70,CRN!G:G,CRN!R:R,"")</f>
        <v>1</v>
      </c>
      <c r="U70">
        <f ca="1">IF(T70=0,0,_xlfn.XLOOKUP(C70,CLIENT_CODE!B:B,CLIENT_CODE!N:N,0))</f>
        <v>0</v>
      </c>
      <c r="V70">
        <f ca="1">_xlfn.XLOOKUP(B70,CRN!G:G,CRN!S:S,"")</f>
        <v>1</v>
      </c>
      <c r="W70">
        <f ca="1">IF(V70=0,0,_xlfn.XLOOKUP(C70,CLIENT_CODE!B:B,CLIENT_CODE!O:O,0))</f>
        <v>0</v>
      </c>
      <c r="X70">
        <f ca="1">_xlfn.XLOOKUP(B70,CRN!G:G,CRN!T:T,"")</f>
        <v>0</v>
      </c>
      <c r="Y70">
        <f ca="1">IF(X70=0,0,_xlfn.XLOOKUP(C70,CLIENT_CODE!B:B,CLIENT_CODE!P:P,0))</f>
        <v>0</v>
      </c>
      <c r="Z70">
        <f ca="1">_xlfn.XLOOKUP(B70,CRN!G:G,CRN!U:U,"")</f>
        <v>0</v>
      </c>
      <c r="AA70">
        <f ca="1">IF(X70=0,0,_xlfn.XLOOKUP(C70,CLIENT_CODE!B:B,CLIENT_CODE!P:P,0))</f>
        <v>0</v>
      </c>
      <c r="AB70">
        <f ca="1">_xlfn.XLOOKUP(B70,CRN!G:G,CRN!V:V,"")</f>
        <v>0</v>
      </c>
      <c r="AC70">
        <f ca="1">IF(AB70=0,0,_xlfn.XLOOKUP(C70,CLIENT_CODE!B:B,CLIENT_CODE!R:R,0))</f>
        <v>0</v>
      </c>
      <c r="AD70">
        <f t="shared" ca="1" si="1"/>
        <v>0</v>
      </c>
    </row>
    <row r="71" spans="1:30">
      <c r="A71" s="42">
        <v>70</v>
      </c>
      <c r="B71" s="42" t="str">
        <f ca="1"/>
        <v>2025213898</v>
      </c>
      <c r="E71">
        <f>IF(D71=0,0,_xlfn.XLOOKUP(C71,CLIENT_CODE!B:B,CLIENT_CODE!F:F,0))</f>
        <v>0</v>
      </c>
      <c r="F71">
        <f ca="1">_xlfn.XLOOKUP(B71,CRN!G:G,CRN!K:K,"")</f>
        <v>0</v>
      </c>
      <c r="G71">
        <f ca="1">IF(F71=0,0,_xlfn.XLOOKUP(C71,CLIENT_CODE!B:B,CLIENT_CODE!G:G,0))</f>
        <v>0</v>
      </c>
      <c r="H71">
        <f ca="1">_xlfn.XLOOKUP(B71,CRN!G:G,CRN!L:L,"")</f>
        <v>1</v>
      </c>
      <c r="I71">
        <f ca="1">IF(H71=0,0,_xlfn.XLOOKUP(C71,CLIENT_CODE!B:B,CLIENT_CODE!H:H,0))</f>
        <v>0</v>
      </c>
      <c r="J71">
        <f ca="1">_xlfn.XLOOKUP(B71,CRN!G:G,CRN!M:M,"")</f>
        <v>0</v>
      </c>
      <c r="K71">
        <f ca="1">IF(J71=0,0,_xlfn.XLOOKUP(C71,CLIENT_CODE!B:B,CLIENT_CODE!I:I,0))</f>
        <v>0</v>
      </c>
      <c r="L71">
        <f ca="1">_xlfn.XLOOKUP(B71,CRN!G:G,CRN!N:N,"")</f>
        <v>1</v>
      </c>
      <c r="M71">
        <f ca="1">IF(L71=0,0,_xlfn.XLOOKUP(C71,CLIENT_CODE!B:B,CLIENT_CODE!J:J,0))</f>
        <v>0</v>
      </c>
      <c r="N71">
        <f ca="1">_xlfn.XLOOKUP(B71,CRN!G:G,CRN!O:O,"")</f>
        <v>0</v>
      </c>
      <c r="O71">
        <f ca="1">IF(N71=0,0,_xlfn.XLOOKUP(C71,CLIENT_CODE!B:B,CLIENT_CODE!K:K,0))</f>
        <v>0</v>
      </c>
      <c r="P71">
        <f ca="1">_xlfn.XLOOKUP(B71,CRN!G:G,CRN!P:P,"")</f>
        <v>0</v>
      </c>
      <c r="Q71">
        <f ca="1">IF(P71=0,0,_xlfn.XLOOKUP(C71,CLIENT_CODE!B:B,CLIENT_CODE!L:L,0))</f>
        <v>0</v>
      </c>
      <c r="R71">
        <f ca="1">_xlfn.XLOOKUP(B71,CRN!G:G,CRN!Q:Q,"")</f>
        <v>0</v>
      </c>
      <c r="S71">
        <f ca="1">IF(R71=0,0,_xlfn.XLOOKUP(C71,CLIENT_CODE!B:B,CLIENT_CODE!M:M,0))</f>
        <v>0</v>
      </c>
      <c r="T71">
        <f ca="1">_xlfn.XLOOKUP(B71,CRN!G:G,CRN!R:R,"")</f>
        <v>1</v>
      </c>
      <c r="U71">
        <f ca="1">IF(T71=0,0,_xlfn.XLOOKUP(C71,CLIENT_CODE!B:B,CLIENT_CODE!N:N,0))</f>
        <v>0</v>
      </c>
      <c r="V71">
        <f ca="1">_xlfn.XLOOKUP(B71,CRN!G:G,CRN!S:S,"")</f>
        <v>1</v>
      </c>
      <c r="W71">
        <f ca="1">IF(V71=0,0,_xlfn.XLOOKUP(C71,CLIENT_CODE!B:B,CLIENT_CODE!O:O,0))</f>
        <v>0</v>
      </c>
      <c r="X71">
        <f ca="1">_xlfn.XLOOKUP(B71,CRN!G:G,CRN!T:T,"")</f>
        <v>0</v>
      </c>
      <c r="Y71">
        <f ca="1">IF(X71=0,0,_xlfn.XLOOKUP(C71,CLIENT_CODE!B:B,CLIENT_CODE!P:P,0))</f>
        <v>0</v>
      </c>
      <c r="Z71">
        <f ca="1">_xlfn.XLOOKUP(B71,CRN!G:G,CRN!U:U,"")</f>
        <v>0</v>
      </c>
      <c r="AA71">
        <f ca="1">IF(X71=0,0,_xlfn.XLOOKUP(C71,CLIENT_CODE!B:B,CLIENT_CODE!P:P,0))</f>
        <v>0</v>
      </c>
      <c r="AB71">
        <f ca="1">_xlfn.XLOOKUP(B71,CRN!G:G,CRN!V:V,"")</f>
        <v>0</v>
      </c>
      <c r="AC71">
        <f ca="1">IF(AB71=0,0,_xlfn.XLOOKUP(C71,CLIENT_CODE!B:B,CLIENT_CODE!R:R,0))</f>
        <v>0</v>
      </c>
      <c r="AD71">
        <f t="shared" ca="1" si="1"/>
        <v>0</v>
      </c>
    </row>
    <row r="72" spans="1:30">
      <c r="A72" s="42">
        <v>71</v>
      </c>
      <c r="B72" s="42" t="str">
        <f ca="1"/>
        <v>2025213881</v>
      </c>
      <c r="E72">
        <f>IF(D72=0,0,_xlfn.XLOOKUP(C72,CLIENT_CODE!B:B,CLIENT_CODE!F:F,0))</f>
        <v>0</v>
      </c>
      <c r="F72">
        <f ca="1">_xlfn.XLOOKUP(B72,CRN!G:G,CRN!K:K,"")</f>
        <v>0</v>
      </c>
      <c r="G72">
        <f ca="1">IF(F72=0,0,_xlfn.XLOOKUP(C72,CLIENT_CODE!B:B,CLIENT_CODE!G:G,0))</f>
        <v>0</v>
      </c>
      <c r="H72">
        <f ca="1">_xlfn.XLOOKUP(B72,CRN!G:G,CRN!L:L,"")</f>
        <v>1</v>
      </c>
      <c r="I72">
        <f ca="1">IF(H72=0,0,_xlfn.XLOOKUP(C72,CLIENT_CODE!B:B,CLIENT_CODE!H:H,0))</f>
        <v>0</v>
      </c>
      <c r="J72">
        <f ca="1">_xlfn.XLOOKUP(B72,CRN!G:G,CRN!M:M,"")</f>
        <v>0</v>
      </c>
      <c r="K72">
        <f ca="1">IF(J72=0,0,_xlfn.XLOOKUP(C72,CLIENT_CODE!B:B,CLIENT_CODE!I:I,0))</f>
        <v>0</v>
      </c>
      <c r="L72">
        <f ca="1">_xlfn.XLOOKUP(B72,CRN!G:G,CRN!N:N,"")</f>
        <v>1</v>
      </c>
      <c r="M72">
        <f ca="1">IF(L72=0,0,_xlfn.XLOOKUP(C72,CLIENT_CODE!B:B,CLIENT_CODE!J:J,0))</f>
        <v>0</v>
      </c>
      <c r="N72">
        <f ca="1">_xlfn.XLOOKUP(B72,CRN!G:G,CRN!O:O,"")</f>
        <v>0</v>
      </c>
      <c r="O72">
        <f ca="1">IF(N72=0,0,_xlfn.XLOOKUP(C72,CLIENT_CODE!B:B,CLIENT_CODE!K:K,0))</f>
        <v>0</v>
      </c>
      <c r="P72">
        <f ca="1">_xlfn.XLOOKUP(B72,CRN!G:G,CRN!P:P,"")</f>
        <v>0</v>
      </c>
      <c r="Q72">
        <f ca="1">IF(P72=0,0,_xlfn.XLOOKUP(C72,CLIENT_CODE!B:B,CLIENT_CODE!L:L,0))</f>
        <v>0</v>
      </c>
      <c r="R72">
        <f ca="1">_xlfn.XLOOKUP(B72,CRN!G:G,CRN!Q:Q,"")</f>
        <v>0</v>
      </c>
      <c r="S72">
        <f ca="1">IF(R72=0,0,_xlfn.XLOOKUP(C72,CLIENT_CODE!B:B,CLIENT_CODE!M:M,0))</f>
        <v>0</v>
      </c>
      <c r="T72">
        <f ca="1">_xlfn.XLOOKUP(B72,CRN!G:G,CRN!R:R,"")</f>
        <v>1</v>
      </c>
      <c r="U72">
        <f ca="1">IF(T72=0,0,_xlfn.XLOOKUP(C72,CLIENT_CODE!B:B,CLIENT_CODE!N:N,0))</f>
        <v>0</v>
      </c>
      <c r="V72">
        <f ca="1">_xlfn.XLOOKUP(B72,CRN!G:G,CRN!S:S,"")</f>
        <v>1</v>
      </c>
      <c r="W72">
        <f ca="1">IF(V72=0,0,_xlfn.XLOOKUP(C72,CLIENT_CODE!B:B,CLIENT_CODE!O:O,0))</f>
        <v>0</v>
      </c>
      <c r="X72">
        <f ca="1">_xlfn.XLOOKUP(B72,CRN!G:G,CRN!T:T,"")</f>
        <v>0</v>
      </c>
      <c r="Y72">
        <f ca="1">IF(X72=0,0,_xlfn.XLOOKUP(C72,CLIENT_CODE!B:B,CLIENT_CODE!P:P,0))</f>
        <v>0</v>
      </c>
      <c r="Z72">
        <f ca="1">_xlfn.XLOOKUP(B72,CRN!G:G,CRN!U:U,"")</f>
        <v>0</v>
      </c>
      <c r="AA72">
        <f ca="1">IF(X72=0,0,_xlfn.XLOOKUP(C72,CLIENT_CODE!B:B,CLIENT_CODE!P:P,0))</f>
        <v>0</v>
      </c>
      <c r="AB72">
        <f ca="1">_xlfn.XLOOKUP(B72,CRN!G:G,CRN!V:V,"")</f>
        <v>0</v>
      </c>
      <c r="AC72">
        <f ca="1">IF(AB72=0,0,_xlfn.XLOOKUP(C72,CLIENT_CODE!B:B,CLIENT_CODE!R:R,0))</f>
        <v>0</v>
      </c>
      <c r="AD72">
        <f t="shared" ca="1" si="1"/>
        <v>0</v>
      </c>
    </row>
    <row r="73" spans="1:30">
      <c r="A73" s="42">
        <v>72</v>
      </c>
      <c r="B73" s="42" t="str">
        <f ca="1"/>
        <v>2025213869</v>
      </c>
      <c r="E73">
        <f>IF(D73=0,0,_xlfn.XLOOKUP(C73,CLIENT_CODE!B:B,CLIENT_CODE!F:F,0))</f>
        <v>0</v>
      </c>
      <c r="F73">
        <f ca="1">_xlfn.XLOOKUP(B73,CRN!G:G,CRN!K:K,"")</f>
        <v>0</v>
      </c>
      <c r="G73">
        <f ca="1">IF(F73=0,0,_xlfn.XLOOKUP(C73,CLIENT_CODE!B:B,CLIENT_CODE!G:G,0))</f>
        <v>0</v>
      </c>
      <c r="H73">
        <f ca="1">_xlfn.XLOOKUP(B73,CRN!G:G,CRN!L:L,"")</f>
        <v>1</v>
      </c>
      <c r="I73">
        <f ca="1">IF(H73=0,0,_xlfn.XLOOKUP(C73,CLIENT_CODE!B:B,CLIENT_CODE!H:H,0))</f>
        <v>0</v>
      </c>
      <c r="J73">
        <f ca="1">_xlfn.XLOOKUP(B73,CRN!G:G,CRN!M:M,"")</f>
        <v>0</v>
      </c>
      <c r="K73">
        <f ca="1">IF(J73=0,0,_xlfn.XLOOKUP(C73,CLIENT_CODE!B:B,CLIENT_CODE!I:I,0))</f>
        <v>0</v>
      </c>
      <c r="L73">
        <f ca="1">_xlfn.XLOOKUP(B73,CRN!G:G,CRN!N:N,"")</f>
        <v>1</v>
      </c>
      <c r="M73">
        <f ca="1">IF(L73=0,0,_xlfn.XLOOKUP(C73,CLIENT_CODE!B:B,CLIENT_CODE!J:J,0))</f>
        <v>0</v>
      </c>
      <c r="N73">
        <f ca="1">_xlfn.XLOOKUP(B73,CRN!G:G,CRN!O:O,"")</f>
        <v>0</v>
      </c>
      <c r="O73">
        <f ca="1">IF(N73=0,0,_xlfn.XLOOKUP(C73,CLIENT_CODE!B:B,CLIENT_CODE!K:K,0))</f>
        <v>0</v>
      </c>
      <c r="P73">
        <f ca="1">_xlfn.XLOOKUP(B73,CRN!G:G,CRN!P:P,"")</f>
        <v>0</v>
      </c>
      <c r="Q73">
        <f ca="1">IF(P73=0,0,_xlfn.XLOOKUP(C73,CLIENT_CODE!B:B,CLIENT_CODE!L:L,0))</f>
        <v>0</v>
      </c>
      <c r="R73">
        <f ca="1">_xlfn.XLOOKUP(B73,CRN!G:G,CRN!Q:Q,"")</f>
        <v>0</v>
      </c>
      <c r="S73">
        <f ca="1">IF(R73=0,0,_xlfn.XLOOKUP(C73,CLIENT_CODE!B:B,CLIENT_CODE!M:M,0))</f>
        <v>0</v>
      </c>
      <c r="T73">
        <f ca="1">_xlfn.XLOOKUP(B73,CRN!G:G,CRN!R:R,"")</f>
        <v>1</v>
      </c>
      <c r="U73">
        <f ca="1">IF(T73=0,0,_xlfn.XLOOKUP(C73,CLIENT_CODE!B:B,CLIENT_CODE!N:N,0))</f>
        <v>0</v>
      </c>
      <c r="V73">
        <f ca="1">_xlfn.XLOOKUP(B73,CRN!G:G,CRN!S:S,"")</f>
        <v>1</v>
      </c>
      <c r="W73">
        <f ca="1">IF(V73=0,0,_xlfn.XLOOKUP(C73,CLIENT_CODE!B:B,CLIENT_CODE!O:O,0))</f>
        <v>0</v>
      </c>
      <c r="X73">
        <f ca="1">_xlfn.XLOOKUP(B73,CRN!G:G,CRN!T:T,"")</f>
        <v>0</v>
      </c>
      <c r="Y73">
        <f ca="1">IF(X73=0,0,_xlfn.XLOOKUP(C73,CLIENT_CODE!B:B,CLIENT_CODE!P:P,0))</f>
        <v>0</v>
      </c>
      <c r="Z73">
        <f ca="1">_xlfn.XLOOKUP(B73,CRN!G:G,CRN!U:U,"")</f>
        <v>0</v>
      </c>
      <c r="AA73">
        <f ca="1">IF(X73=0,0,_xlfn.XLOOKUP(C73,CLIENT_CODE!B:B,CLIENT_CODE!P:P,0))</f>
        <v>0</v>
      </c>
      <c r="AB73">
        <f ca="1">_xlfn.XLOOKUP(B73,CRN!G:G,CRN!V:V,"")</f>
        <v>0</v>
      </c>
      <c r="AC73">
        <f ca="1">IF(AB73=0,0,_xlfn.XLOOKUP(C73,CLIENT_CODE!B:B,CLIENT_CODE!R:R,0))</f>
        <v>0</v>
      </c>
      <c r="AD73">
        <f t="shared" ca="1" si="1"/>
        <v>0</v>
      </c>
    </row>
    <row r="74" spans="1:30">
      <c r="A74" s="42">
        <v>73</v>
      </c>
      <c r="B74" s="42" t="str">
        <f ca="1"/>
        <v>2025213864</v>
      </c>
      <c r="E74">
        <f>IF(D74=0,0,_xlfn.XLOOKUP(C74,CLIENT_CODE!B:B,CLIENT_CODE!F:F,0))</f>
        <v>0</v>
      </c>
      <c r="F74">
        <f ca="1">_xlfn.XLOOKUP(B74,CRN!G:G,CRN!K:K,"")</f>
        <v>0</v>
      </c>
      <c r="G74">
        <f ca="1">IF(F74=0,0,_xlfn.XLOOKUP(C74,CLIENT_CODE!B:B,CLIENT_CODE!G:G,0))</f>
        <v>0</v>
      </c>
      <c r="H74">
        <f ca="1">_xlfn.XLOOKUP(B74,CRN!G:G,CRN!L:L,"")</f>
        <v>1</v>
      </c>
      <c r="I74">
        <f ca="1">IF(H74=0,0,_xlfn.XLOOKUP(C74,CLIENT_CODE!B:B,CLIENT_CODE!H:H,0))</f>
        <v>0</v>
      </c>
      <c r="J74">
        <f ca="1">_xlfn.XLOOKUP(B74,CRN!G:G,CRN!M:M,"")</f>
        <v>0</v>
      </c>
      <c r="K74">
        <f ca="1">IF(J74=0,0,_xlfn.XLOOKUP(C74,CLIENT_CODE!B:B,CLIENT_CODE!I:I,0))</f>
        <v>0</v>
      </c>
      <c r="L74">
        <f ca="1">_xlfn.XLOOKUP(B74,CRN!G:G,CRN!N:N,"")</f>
        <v>1</v>
      </c>
      <c r="M74">
        <f ca="1">IF(L74=0,0,_xlfn.XLOOKUP(C74,CLIENT_CODE!B:B,CLIENT_CODE!J:J,0))</f>
        <v>0</v>
      </c>
      <c r="N74">
        <f ca="1">_xlfn.XLOOKUP(B74,CRN!G:G,CRN!O:O,"")</f>
        <v>0</v>
      </c>
      <c r="O74">
        <f ca="1">IF(N74=0,0,_xlfn.XLOOKUP(C74,CLIENT_CODE!B:B,CLIENT_CODE!K:K,0))</f>
        <v>0</v>
      </c>
      <c r="P74">
        <f ca="1">_xlfn.XLOOKUP(B74,CRN!G:G,CRN!P:P,"")</f>
        <v>0</v>
      </c>
      <c r="Q74">
        <f ca="1">IF(P74=0,0,_xlfn.XLOOKUP(C74,CLIENT_CODE!B:B,CLIENT_CODE!L:L,0))</f>
        <v>0</v>
      </c>
      <c r="R74">
        <f ca="1">_xlfn.XLOOKUP(B74,CRN!G:G,CRN!Q:Q,"")</f>
        <v>0</v>
      </c>
      <c r="S74">
        <f ca="1">IF(R74=0,0,_xlfn.XLOOKUP(C74,CLIENT_CODE!B:B,CLIENT_CODE!M:M,0))</f>
        <v>0</v>
      </c>
      <c r="T74">
        <f ca="1">_xlfn.XLOOKUP(B74,CRN!G:G,CRN!R:R,"")</f>
        <v>1</v>
      </c>
      <c r="U74">
        <f ca="1">IF(T74=0,0,_xlfn.XLOOKUP(C74,CLIENT_CODE!B:B,CLIENT_CODE!N:N,0))</f>
        <v>0</v>
      </c>
      <c r="V74">
        <f ca="1">_xlfn.XLOOKUP(B74,CRN!G:G,CRN!S:S,"")</f>
        <v>1</v>
      </c>
      <c r="W74">
        <f ca="1">IF(V74=0,0,_xlfn.XLOOKUP(C74,CLIENT_CODE!B:B,CLIENT_CODE!O:O,0))</f>
        <v>0</v>
      </c>
      <c r="X74">
        <f ca="1">_xlfn.XLOOKUP(B74,CRN!G:G,CRN!T:T,"")</f>
        <v>0</v>
      </c>
      <c r="Y74">
        <f ca="1">IF(X74=0,0,_xlfn.XLOOKUP(C74,CLIENT_CODE!B:B,CLIENT_CODE!P:P,0))</f>
        <v>0</v>
      </c>
      <c r="Z74">
        <f ca="1">_xlfn.XLOOKUP(B74,CRN!G:G,CRN!U:U,"")</f>
        <v>0</v>
      </c>
      <c r="AA74">
        <f ca="1">IF(X74=0,0,_xlfn.XLOOKUP(C74,CLIENT_CODE!B:B,CLIENT_CODE!P:P,0))</f>
        <v>0</v>
      </c>
      <c r="AB74">
        <f ca="1">_xlfn.XLOOKUP(B74,CRN!G:G,CRN!V:V,"")</f>
        <v>0</v>
      </c>
      <c r="AC74">
        <f ca="1">IF(AB74=0,0,_xlfn.XLOOKUP(C74,CLIENT_CODE!B:B,CLIENT_CODE!R:R,0))</f>
        <v>0</v>
      </c>
      <c r="AD74">
        <f t="shared" ca="1" si="1"/>
        <v>0</v>
      </c>
    </row>
    <row r="75" spans="1:30">
      <c r="A75" s="42">
        <v>74</v>
      </c>
      <c r="B75" s="42" t="str">
        <f ca="1"/>
        <v>2025213860</v>
      </c>
      <c r="E75">
        <f>IF(D75=0,0,_xlfn.XLOOKUP(C75,CLIENT_CODE!B:B,CLIENT_CODE!F:F,0))</f>
        <v>0</v>
      </c>
      <c r="F75">
        <f ca="1">_xlfn.XLOOKUP(B75,CRN!G:G,CRN!K:K,"")</f>
        <v>0</v>
      </c>
      <c r="G75">
        <f ca="1">IF(F75=0,0,_xlfn.XLOOKUP(C75,CLIENT_CODE!B:B,CLIENT_CODE!G:G,0))</f>
        <v>0</v>
      </c>
      <c r="H75">
        <f ca="1">_xlfn.XLOOKUP(B75,CRN!G:G,CRN!L:L,"")</f>
        <v>1</v>
      </c>
      <c r="I75">
        <f ca="1">IF(H75=0,0,_xlfn.XLOOKUP(C75,CLIENT_CODE!B:B,CLIENT_CODE!H:H,0))</f>
        <v>0</v>
      </c>
      <c r="J75">
        <f ca="1">_xlfn.XLOOKUP(B75,CRN!G:G,CRN!M:M,"")</f>
        <v>0</v>
      </c>
      <c r="K75">
        <f ca="1">IF(J75=0,0,_xlfn.XLOOKUP(C75,CLIENT_CODE!B:B,CLIENT_CODE!I:I,0))</f>
        <v>0</v>
      </c>
      <c r="L75">
        <f ca="1">_xlfn.XLOOKUP(B75,CRN!G:G,CRN!N:N,"")</f>
        <v>1</v>
      </c>
      <c r="M75">
        <f ca="1">IF(L75=0,0,_xlfn.XLOOKUP(C75,CLIENT_CODE!B:B,CLIENT_CODE!J:J,0))</f>
        <v>0</v>
      </c>
      <c r="N75">
        <f ca="1">_xlfn.XLOOKUP(B75,CRN!G:G,CRN!O:O,"")</f>
        <v>0</v>
      </c>
      <c r="O75">
        <f ca="1">IF(N75=0,0,_xlfn.XLOOKUP(C75,CLIENT_CODE!B:B,CLIENT_CODE!K:K,0))</f>
        <v>0</v>
      </c>
      <c r="P75">
        <f ca="1">_xlfn.XLOOKUP(B75,CRN!G:G,CRN!P:P,"")</f>
        <v>0</v>
      </c>
      <c r="Q75">
        <f ca="1">IF(P75=0,0,_xlfn.XLOOKUP(C75,CLIENT_CODE!B:B,CLIENT_CODE!L:L,0))</f>
        <v>0</v>
      </c>
      <c r="R75">
        <f ca="1">_xlfn.XLOOKUP(B75,CRN!G:G,CRN!Q:Q,"")</f>
        <v>0</v>
      </c>
      <c r="S75">
        <f ca="1">IF(R75=0,0,_xlfn.XLOOKUP(C75,CLIENT_CODE!B:B,CLIENT_CODE!M:M,0))</f>
        <v>0</v>
      </c>
      <c r="T75">
        <f ca="1">_xlfn.XLOOKUP(B75,CRN!G:G,CRN!R:R,"")</f>
        <v>1</v>
      </c>
      <c r="U75">
        <f ca="1">IF(T75=0,0,_xlfn.XLOOKUP(C75,CLIENT_CODE!B:B,CLIENT_CODE!N:N,0))</f>
        <v>0</v>
      </c>
      <c r="V75">
        <f ca="1">_xlfn.XLOOKUP(B75,CRN!G:G,CRN!S:S,"")</f>
        <v>1</v>
      </c>
      <c r="W75">
        <f ca="1">IF(V75=0,0,_xlfn.XLOOKUP(C75,CLIENT_CODE!B:B,CLIENT_CODE!O:O,0))</f>
        <v>0</v>
      </c>
      <c r="X75">
        <f ca="1">_xlfn.XLOOKUP(B75,CRN!G:G,CRN!T:T,"")</f>
        <v>0</v>
      </c>
      <c r="Y75">
        <f ca="1">IF(X75=0,0,_xlfn.XLOOKUP(C75,CLIENT_CODE!B:B,CLIENT_CODE!P:P,0))</f>
        <v>0</v>
      </c>
      <c r="Z75">
        <f ca="1">_xlfn.XLOOKUP(B75,CRN!G:G,CRN!U:U,"")</f>
        <v>0</v>
      </c>
      <c r="AA75">
        <f ca="1">IF(X75=0,0,_xlfn.XLOOKUP(C75,CLIENT_CODE!B:B,CLIENT_CODE!P:P,0))</f>
        <v>0</v>
      </c>
      <c r="AB75">
        <f ca="1">_xlfn.XLOOKUP(B75,CRN!G:G,CRN!V:V,"")</f>
        <v>0</v>
      </c>
      <c r="AC75">
        <f ca="1">IF(AB75=0,0,_xlfn.XLOOKUP(C75,CLIENT_CODE!B:B,CLIENT_CODE!R:R,0))</f>
        <v>0</v>
      </c>
      <c r="AD75">
        <f t="shared" ca="1" si="1"/>
        <v>0</v>
      </c>
    </row>
    <row r="76" spans="1:30">
      <c r="A76" s="42">
        <v>75</v>
      </c>
      <c r="B76" s="42" t="str">
        <f ca="1"/>
        <v>2025213854</v>
      </c>
      <c r="E76">
        <f>IF(D76=0,0,_xlfn.XLOOKUP(C76,CLIENT_CODE!B:B,CLIENT_CODE!F:F,0))</f>
        <v>0</v>
      </c>
      <c r="F76">
        <f ca="1">_xlfn.XLOOKUP(B76,CRN!G:G,CRN!K:K,"")</f>
        <v>0</v>
      </c>
      <c r="G76">
        <f ca="1">IF(F76=0,0,_xlfn.XLOOKUP(C76,CLIENT_CODE!B:B,CLIENT_CODE!G:G,0))</f>
        <v>0</v>
      </c>
      <c r="H76">
        <f ca="1">_xlfn.XLOOKUP(B76,CRN!G:G,CRN!L:L,"")</f>
        <v>1</v>
      </c>
      <c r="I76">
        <f ca="1">IF(H76=0,0,_xlfn.XLOOKUP(C76,CLIENT_CODE!B:B,CLIENT_CODE!H:H,0))</f>
        <v>0</v>
      </c>
      <c r="J76">
        <f ca="1">_xlfn.XLOOKUP(B76,CRN!G:G,CRN!M:M,"")</f>
        <v>0</v>
      </c>
      <c r="K76">
        <f ca="1">IF(J76=0,0,_xlfn.XLOOKUP(C76,CLIENT_CODE!B:B,CLIENT_CODE!I:I,0))</f>
        <v>0</v>
      </c>
      <c r="L76">
        <f ca="1">_xlfn.XLOOKUP(B76,CRN!G:G,CRN!N:N,"")</f>
        <v>1</v>
      </c>
      <c r="M76">
        <f ca="1">IF(L76=0,0,_xlfn.XLOOKUP(C76,CLIENT_CODE!B:B,CLIENT_CODE!J:J,0))</f>
        <v>0</v>
      </c>
      <c r="N76">
        <f ca="1">_xlfn.XLOOKUP(B76,CRN!G:G,CRN!O:O,"")</f>
        <v>0</v>
      </c>
      <c r="O76">
        <f ca="1">IF(N76=0,0,_xlfn.XLOOKUP(C76,CLIENT_CODE!B:B,CLIENT_CODE!K:K,0))</f>
        <v>0</v>
      </c>
      <c r="P76">
        <f ca="1">_xlfn.XLOOKUP(B76,CRN!G:G,CRN!P:P,"")</f>
        <v>0</v>
      </c>
      <c r="Q76">
        <f ca="1">IF(P76=0,0,_xlfn.XLOOKUP(C76,CLIENT_CODE!B:B,CLIENT_CODE!L:L,0))</f>
        <v>0</v>
      </c>
      <c r="R76">
        <f ca="1">_xlfn.XLOOKUP(B76,CRN!G:G,CRN!Q:Q,"")</f>
        <v>0</v>
      </c>
      <c r="S76">
        <f ca="1">IF(R76=0,0,_xlfn.XLOOKUP(C76,CLIENT_CODE!B:B,CLIENT_CODE!M:M,0))</f>
        <v>0</v>
      </c>
      <c r="T76">
        <f ca="1">_xlfn.XLOOKUP(B76,CRN!G:G,CRN!R:R,"")</f>
        <v>1</v>
      </c>
      <c r="U76">
        <f ca="1">IF(T76=0,0,_xlfn.XLOOKUP(C76,CLIENT_CODE!B:B,CLIENT_CODE!N:N,0))</f>
        <v>0</v>
      </c>
      <c r="V76">
        <f ca="1">_xlfn.XLOOKUP(B76,CRN!G:G,CRN!S:S,"")</f>
        <v>1</v>
      </c>
      <c r="W76">
        <f ca="1">IF(V76=0,0,_xlfn.XLOOKUP(C76,CLIENT_CODE!B:B,CLIENT_CODE!O:O,0))</f>
        <v>0</v>
      </c>
      <c r="X76">
        <f ca="1">_xlfn.XLOOKUP(B76,CRN!G:G,CRN!T:T,"")</f>
        <v>0</v>
      </c>
      <c r="Y76">
        <f ca="1">IF(X76=0,0,_xlfn.XLOOKUP(C76,CLIENT_CODE!B:B,CLIENT_CODE!P:P,0))</f>
        <v>0</v>
      </c>
      <c r="Z76">
        <f ca="1">_xlfn.XLOOKUP(B76,CRN!G:G,CRN!U:U,"")</f>
        <v>0</v>
      </c>
      <c r="AA76">
        <f ca="1">IF(X76=0,0,_xlfn.XLOOKUP(C76,CLIENT_CODE!B:B,CLIENT_CODE!P:P,0))</f>
        <v>0</v>
      </c>
      <c r="AB76">
        <f ca="1">_xlfn.XLOOKUP(B76,CRN!G:G,CRN!V:V,"")</f>
        <v>0</v>
      </c>
      <c r="AC76">
        <f ca="1">IF(AB76=0,0,_xlfn.XLOOKUP(C76,CLIENT_CODE!B:B,CLIENT_CODE!R:R,0))</f>
        <v>0</v>
      </c>
      <c r="AD76">
        <f t="shared" ca="1" si="1"/>
        <v>0</v>
      </c>
    </row>
    <row r="77" spans="1:30">
      <c r="A77" s="42">
        <v>76</v>
      </c>
      <c r="B77" s="42" t="str">
        <f ca="1"/>
        <v>2025213836</v>
      </c>
      <c r="E77">
        <f>IF(D77=0,0,_xlfn.XLOOKUP(C77,CLIENT_CODE!B:B,CLIENT_CODE!F:F,0))</f>
        <v>0</v>
      </c>
      <c r="F77">
        <f ca="1">_xlfn.XLOOKUP(B77,CRN!G:G,CRN!K:K,"")</f>
        <v>0</v>
      </c>
      <c r="G77">
        <f ca="1">IF(F77=0,0,_xlfn.XLOOKUP(C77,CLIENT_CODE!B:B,CLIENT_CODE!G:G,0))</f>
        <v>0</v>
      </c>
      <c r="H77">
        <f ca="1">_xlfn.XLOOKUP(B77,CRN!G:G,CRN!L:L,"")</f>
        <v>1</v>
      </c>
      <c r="I77">
        <f ca="1">IF(H77=0,0,_xlfn.XLOOKUP(C77,CLIENT_CODE!B:B,CLIENT_CODE!H:H,0))</f>
        <v>0</v>
      </c>
      <c r="J77">
        <f ca="1">_xlfn.XLOOKUP(B77,CRN!G:G,CRN!M:M,"")</f>
        <v>0</v>
      </c>
      <c r="K77">
        <f ca="1">IF(J77=0,0,_xlfn.XLOOKUP(C77,CLIENT_CODE!B:B,CLIENT_CODE!I:I,0))</f>
        <v>0</v>
      </c>
      <c r="L77">
        <f ca="1">_xlfn.XLOOKUP(B77,CRN!G:G,CRN!N:N,"")</f>
        <v>1</v>
      </c>
      <c r="M77">
        <f ca="1">IF(L77=0,0,_xlfn.XLOOKUP(C77,CLIENT_CODE!B:B,CLIENT_CODE!J:J,0))</f>
        <v>0</v>
      </c>
      <c r="N77">
        <f ca="1">_xlfn.XLOOKUP(B77,CRN!G:G,CRN!O:O,"")</f>
        <v>0</v>
      </c>
      <c r="O77">
        <f ca="1">IF(N77=0,0,_xlfn.XLOOKUP(C77,CLIENT_CODE!B:B,CLIENT_CODE!K:K,0))</f>
        <v>0</v>
      </c>
      <c r="P77">
        <f ca="1">_xlfn.XLOOKUP(B77,CRN!G:G,CRN!P:P,"")</f>
        <v>0</v>
      </c>
      <c r="Q77">
        <f ca="1">IF(P77=0,0,_xlfn.XLOOKUP(C77,CLIENT_CODE!B:B,CLIENT_CODE!L:L,0))</f>
        <v>0</v>
      </c>
      <c r="R77">
        <f ca="1">_xlfn.XLOOKUP(B77,CRN!G:G,CRN!Q:Q,"")</f>
        <v>0</v>
      </c>
      <c r="S77">
        <f ca="1">IF(R77=0,0,_xlfn.XLOOKUP(C77,CLIENT_CODE!B:B,CLIENT_CODE!M:M,0))</f>
        <v>0</v>
      </c>
      <c r="T77">
        <f ca="1">_xlfn.XLOOKUP(B77,CRN!G:G,CRN!R:R,"")</f>
        <v>1</v>
      </c>
      <c r="U77">
        <f ca="1">IF(T77=0,0,_xlfn.XLOOKUP(C77,CLIENT_CODE!B:B,CLIENT_CODE!N:N,0))</f>
        <v>0</v>
      </c>
      <c r="V77">
        <f ca="1">_xlfn.XLOOKUP(B77,CRN!G:G,CRN!S:S,"")</f>
        <v>1</v>
      </c>
      <c r="W77">
        <f ca="1">IF(V77=0,0,_xlfn.XLOOKUP(C77,CLIENT_CODE!B:B,CLIENT_CODE!O:O,0))</f>
        <v>0</v>
      </c>
      <c r="X77">
        <f ca="1">_xlfn.XLOOKUP(B77,CRN!G:G,CRN!T:T,"")</f>
        <v>0</v>
      </c>
      <c r="Y77">
        <f ca="1">IF(X77=0,0,_xlfn.XLOOKUP(C77,CLIENT_CODE!B:B,CLIENT_CODE!P:P,0))</f>
        <v>0</v>
      </c>
      <c r="Z77">
        <f ca="1">_xlfn.XLOOKUP(B77,CRN!G:G,CRN!U:U,"")</f>
        <v>0</v>
      </c>
      <c r="AA77">
        <f ca="1">IF(X77=0,0,_xlfn.XLOOKUP(C77,CLIENT_CODE!B:B,CLIENT_CODE!P:P,0))</f>
        <v>0</v>
      </c>
      <c r="AB77">
        <f ca="1">_xlfn.XLOOKUP(B77,CRN!G:G,CRN!V:V,"")</f>
        <v>0</v>
      </c>
      <c r="AC77">
        <f ca="1">IF(AB77=0,0,_xlfn.XLOOKUP(C77,CLIENT_CODE!B:B,CLIENT_CODE!R:R,0))</f>
        <v>0</v>
      </c>
      <c r="AD77">
        <f t="shared" ca="1" si="1"/>
        <v>0</v>
      </c>
    </row>
    <row r="78" spans="1:30">
      <c r="A78" s="42">
        <v>77</v>
      </c>
      <c r="B78" s="42" t="str">
        <f ca="1"/>
        <v>2025213495</v>
      </c>
      <c r="E78">
        <f>IF(D78=0,0,_xlfn.XLOOKUP(C78,CLIENT_CODE!B:B,CLIENT_CODE!F:F,0))</f>
        <v>0</v>
      </c>
      <c r="F78">
        <f ca="1">_xlfn.XLOOKUP(B78,CRN!G:G,CRN!K:K,"")</f>
        <v>0</v>
      </c>
      <c r="G78">
        <f ca="1">IF(F78=0,0,_xlfn.XLOOKUP(C78,CLIENT_CODE!B:B,CLIENT_CODE!G:G,0))</f>
        <v>0</v>
      </c>
      <c r="H78">
        <f ca="1">_xlfn.XLOOKUP(B78,CRN!G:G,CRN!L:L,"")</f>
        <v>1</v>
      </c>
      <c r="I78">
        <f ca="1">IF(H78=0,0,_xlfn.XLOOKUP(C78,CLIENT_CODE!B:B,CLIENT_CODE!H:H,0))</f>
        <v>0</v>
      </c>
      <c r="J78">
        <f ca="1">_xlfn.XLOOKUP(B78,CRN!G:G,CRN!M:M,"")</f>
        <v>0</v>
      </c>
      <c r="K78">
        <f ca="1">IF(J78=0,0,_xlfn.XLOOKUP(C78,CLIENT_CODE!B:B,CLIENT_CODE!I:I,0))</f>
        <v>0</v>
      </c>
      <c r="L78">
        <f ca="1">_xlfn.XLOOKUP(B78,CRN!G:G,CRN!N:N,"")</f>
        <v>1</v>
      </c>
      <c r="M78">
        <f ca="1">IF(L78=0,0,_xlfn.XLOOKUP(C78,CLIENT_CODE!B:B,CLIENT_CODE!J:J,0))</f>
        <v>0</v>
      </c>
      <c r="N78">
        <f ca="1">_xlfn.XLOOKUP(B78,CRN!G:G,CRN!O:O,"")</f>
        <v>0</v>
      </c>
      <c r="O78">
        <f ca="1">IF(N78=0,0,_xlfn.XLOOKUP(C78,CLIENT_CODE!B:B,CLIENT_CODE!K:K,0))</f>
        <v>0</v>
      </c>
      <c r="P78">
        <f ca="1">_xlfn.XLOOKUP(B78,CRN!G:G,CRN!P:P,"")</f>
        <v>0</v>
      </c>
      <c r="Q78">
        <f ca="1">IF(P78=0,0,_xlfn.XLOOKUP(C78,CLIENT_CODE!B:B,CLIENT_CODE!L:L,0))</f>
        <v>0</v>
      </c>
      <c r="R78">
        <f ca="1">_xlfn.XLOOKUP(B78,CRN!G:G,CRN!Q:Q,"")</f>
        <v>0</v>
      </c>
      <c r="S78">
        <f ca="1">IF(R78=0,0,_xlfn.XLOOKUP(C78,CLIENT_CODE!B:B,CLIENT_CODE!M:M,0))</f>
        <v>0</v>
      </c>
      <c r="T78">
        <f ca="1">_xlfn.XLOOKUP(B78,CRN!G:G,CRN!R:R,"")</f>
        <v>1</v>
      </c>
      <c r="U78">
        <f ca="1">IF(T78=0,0,_xlfn.XLOOKUP(C78,CLIENT_CODE!B:B,CLIENT_CODE!N:N,0))</f>
        <v>0</v>
      </c>
      <c r="V78">
        <f ca="1">_xlfn.XLOOKUP(B78,CRN!G:G,CRN!S:S,"")</f>
        <v>1</v>
      </c>
      <c r="W78">
        <f ca="1">IF(V78=0,0,_xlfn.XLOOKUP(C78,CLIENT_CODE!B:B,CLIENT_CODE!O:O,0))</f>
        <v>0</v>
      </c>
      <c r="X78">
        <f ca="1">_xlfn.XLOOKUP(B78,CRN!G:G,CRN!T:T,"")</f>
        <v>0</v>
      </c>
      <c r="Y78">
        <f ca="1">IF(X78=0,0,_xlfn.XLOOKUP(C78,CLIENT_CODE!B:B,CLIENT_CODE!P:P,0))</f>
        <v>0</v>
      </c>
      <c r="Z78">
        <f ca="1">_xlfn.XLOOKUP(B78,CRN!G:G,CRN!U:U,"")</f>
        <v>0</v>
      </c>
      <c r="AA78">
        <f ca="1">IF(X78=0,0,_xlfn.XLOOKUP(C78,CLIENT_CODE!B:B,CLIENT_CODE!P:P,0))</f>
        <v>0</v>
      </c>
      <c r="AB78">
        <f ca="1">_xlfn.XLOOKUP(B78,CRN!G:G,CRN!V:V,"")</f>
        <v>0</v>
      </c>
      <c r="AC78">
        <f ca="1">IF(AB78=0,0,_xlfn.XLOOKUP(C78,CLIENT_CODE!B:B,CLIENT_CODE!R:R,0))</f>
        <v>0</v>
      </c>
      <c r="AD78">
        <f t="shared" ca="1" si="1"/>
        <v>0</v>
      </c>
    </row>
    <row r="79" spans="1:30">
      <c r="A79" s="42">
        <v>78</v>
      </c>
      <c r="B79" s="42" t="str">
        <f ca="1"/>
        <v>2025213492</v>
      </c>
      <c r="E79">
        <f>IF(D79=0,0,_xlfn.XLOOKUP(C79,CLIENT_CODE!B:B,CLIENT_CODE!F:F,0))</f>
        <v>0</v>
      </c>
      <c r="F79">
        <f ca="1">_xlfn.XLOOKUP(B79,CRN!G:G,CRN!K:K,"")</f>
        <v>0</v>
      </c>
      <c r="G79">
        <f ca="1">IF(F79=0,0,_xlfn.XLOOKUP(C79,CLIENT_CODE!B:B,CLIENT_CODE!G:G,0))</f>
        <v>0</v>
      </c>
      <c r="H79">
        <f ca="1">_xlfn.XLOOKUP(B79,CRN!G:G,CRN!L:L,"")</f>
        <v>1</v>
      </c>
      <c r="I79">
        <f ca="1">IF(H79=0,0,_xlfn.XLOOKUP(C79,CLIENT_CODE!B:B,CLIENT_CODE!H:H,0))</f>
        <v>0</v>
      </c>
      <c r="J79">
        <f ca="1">_xlfn.XLOOKUP(B79,CRN!G:G,CRN!M:M,"")</f>
        <v>0</v>
      </c>
      <c r="K79">
        <f ca="1">IF(J79=0,0,_xlfn.XLOOKUP(C79,CLIENT_CODE!B:B,CLIENT_CODE!I:I,0))</f>
        <v>0</v>
      </c>
      <c r="L79">
        <f ca="1">_xlfn.XLOOKUP(B79,CRN!G:G,CRN!N:N,"")</f>
        <v>0</v>
      </c>
      <c r="M79">
        <f ca="1">IF(L79=0,0,_xlfn.XLOOKUP(C79,CLIENT_CODE!B:B,CLIENT_CODE!J:J,0))</f>
        <v>0</v>
      </c>
      <c r="N79">
        <f ca="1">_xlfn.XLOOKUP(B79,CRN!G:G,CRN!O:O,"")</f>
        <v>0</v>
      </c>
      <c r="O79">
        <f ca="1">IF(N79=0,0,_xlfn.XLOOKUP(C79,CLIENT_CODE!B:B,CLIENT_CODE!K:K,0))</f>
        <v>0</v>
      </c>
      <c r="P79">
        <f ca="1">_xlfn.XLOOKUP(B79,CRN!G:G,CRN!P:P,"")</f>
        <v>0</v>
      </c>
      <c r="Q79">
        <f ca="1">IF(P79=0,0,_xlfn.XLOOKUP(C79,CLIENT_CODE!B:B,CLIENT_CODE!L:L,0))</f>
        <v>0</v>
      </c>
      <c r="R79">
        <f ca="1">_xlfn.XLOOKUP(B79,CRN!G:G,CRN!Q:Q,"")</f>
        <v>0</v>
      </c>
      <c r="S79">
        <f ca="1">IF(R79=0,0,_xlfn.XLOOKUP(C79,CLIENT_CODE!B:B,CLIENT_CODE!M:M,0))</f>
        <v>0</v>
      </c>
      <c r="T79">
        <f ca="1">_xlfn.XLOOKUP(B79,CRN!G:G,CRN!R:R,"")</f>
        <v>0</v>
      </c>
      <c r="U79">
        <f ca="1">IF(T79=0,0,_xlfn.XLOOKUP(C79,CLIENT_CODE!B:B,CLIENT_CODE!N:N,0))</f>
        <v>0</v>
      </c>
      <c r="V79">
        <f ca="1">_xlfn.XLOOKUP(B79,CRN!G:G,CRN!S:S,"")</f>
        <v>0</v>
      </c>
      <c r="W79">
        <f ca="1">IF(V79=0,0,_xlfn.XLOOKUP(C79,CLIENT_CODE!B:B,CLIENT_CODE!O:O,0))</f>
        <v>0</v>
      </c>
      <c r="X79">
        <f ca="1">_xlfn.XLOOKUP(B79,CRN!G:G,CRN!T:T,"")</f>
        <v>0</v>
      </c>
      <c r="Y79">
        <f ca="1">IF(X79=0,0,_xlfn.XLOOKUP(C79,CLIENT_CODE!B:B,CLIENT_CODE!P:P,0))</f>
        <v>0</v>
      </c>
      <c r="Z79">
        <f ca="1">_xlfn.XLOOKUP(B79,CRN!G:G,CRN!U:U,"")</f>
        <v>0</v>
      </c>
      <c r="AA79">
        <f ca="1">IF(X79=0,0,_xlfn.XLOOKUP(C79,CLIENT_CODE!B:B,CLIENT_CODE!P:P,0))</f>
        <v>0</v>
      </c>
      <c r="AB79">
        <f ca="1">_xlfn.XLOOKUP(B79,CRN!G:G,CRN!V:V,"")</f>
        <v>0</v>
      </c>
      <c r="AC79">
        <f ca="1">IF(AB79=0,0,_xlfn.XLOOKUP(C79,CLIENT_CODE!B:B,CLIENT_CODE!R:R,0))</f>
        <v>0</v>
      </c>
      <c r="AD79">
        <f t="shared" ca="1" si="1"/>
        <v>0</v>
      </c>
    </row>
    <row r="80" spans="1:30">
      <c r="A80" s="42">
        <v>79</v>
      </c>
      <c r="B80" s="42" t="str">
        <f ca="1"/>
        <v>MTP-N-2526-005257</v>
      </c>
      <c r="E80">
        <f>IF(D80=0,0,_xlfn.XLOOKUP(C80,CLIENT_CODE!B:B,CLIENT_CODE!F:F,0))</f>
        <v>0</v>
      </c>
      <c r="F80">
        <f ca="1">_xlfn.XLOOKUP(B80,CRN!G:G,CRN!K:K,"")</f>
        <v>0</v>
      </c>
      <c r="G80">
        <f ca="1">IF(F80=0,0,_xlfn.XLOOKUP(C80,CLIENT_CODE!B:B,CLIENT_CODE!G:G,0))</f>
        <v>0</v>
      </c>
      <c r="H80">
        <f ca="1">_xlfn.XLOOKUP(B80,CRN!G:G,CRN!L:L,"")</f>
        <v>1</v>
      </c>
      <c r="I80">
        <f ca="1">IF(H80=0,0,_xlfn.XLOOKUP(C80,CLIENT_CODE!B:B,CLIENT_CODE!H:H,0))</f>
        <v>0</v>
      </c>
      <c r="J80">
        <f ca="1">_xlfn.XLOOKUP(B80,CRN!G:G,CRN!M:M,"")</f>
        <v>1</v>
      </c>
      <c r="K80">
        <f ca="1">IF(J80=0,0,_xlfn.XLOOKUP(C80,CLIENT_CODE!B:B,CLIENT_CODE!I:I,0))</f>
        <v>0</v>
      </c>
      <c r="L80">
        <f ca="1">_xlfn.XLOOKUP(B80,CRN!G:G,CRN!N:N,"")</f>
        <v>1</v>
      </c>
      <c r="M80">
        <f ca="1">IF(L80=0,0,_xlfn.XLOOKUP(C80,CLIENT_CODE!B:B,CLIENT_CODE!J:J,0))</f>
        <v>0</v>
      </c>
      <c r="N80">
        <f ca="1">_xlfn.XLOOKUP(B80,CRN!G:G,CRN!O:O,"")</f>
        <v>1</v>
      </c>
      <c r="O80">
        <f ca="1">IF(N80=0,0,_xlfn.XLOOKUP(C80,CLIENT_CODE!B:B,CLIENT_CODE!K:K,0))</f>
        <v>0</v>
      </c>
      <c r="P80">
        <f ca="1">_xlfn.XLOOKUP(B80,CRN!G:G,CRN!P:P,"")</f>
        <v>1</v>
      </c>
      <c r="Q80">
        <f ca="1">IF(P80=0,0,_xlfn.XLOOKUP(C80,CLIENT_CODE!B:B,CLIENT_CODE!L:L,0))</f>
        <v>0</v>
      </c>
      <c r="R80">
        <f ca="1">_xlfn.XLOOKUP(B80,CRN!G:G,CRN!Q:Q,"")</f>
        <v>0</v>
      </c>
      <c r="S80">
        <f ca="1">IF(R80=0,0,_xlfn.XLOOKUP(C80,CLIENT_CODE!B:B,CLIENT_CODE!M:M,0))</f>
        <v>0</v>
      </c>
      <c r="T80">
        <f ca="1">_xlfn.XLOOKUP(B80,CRN!G:G,CRN!R:R,"")</f>
        <v>1</v>
      </c>
      <c r="U80">
        <f ca="1">IF(T80=0,0,_xlfn.XLOOKUP(C80,CLIENT_CODE!B:B,CLIENT_CODE!N:N,0))</f>
        <v>0</v>
      </c>
      <c r="V80">
        <f ca="1">_xlfn.XLOOKUP(B80,CRN!G:G,CRN!S:S,"")</f>
        <v>1</v>
      </c>
      <c r="W80">
        <f ca="1">IF(V80=0,0,_xlfn.XLOOKUP(C80,CLIENT_CODE!B:B,CLIENT_CODE!O:O,0))</f>
        <v>0</v>
      </c>
      <c r="X80">
        <f ca="1">_xlfn.XLOOKUP(B80,CRN!G:G,CRN!T:T,"")</f>
        <v>0</v>
      </c>
      <c r="Y80">
        <f ca="1">IF(X80=0,0,_xlfn.XLOOKUP(C80,CLIENT_CODE!B:B,CLIENT_CODE!P:P,0))</f>
        <v>0</v>
      </c>
      <c r="Z80">
        <f ca="1">_xlfn.XLOOKUP(B80,CRN!G:G,CRN!U:U,"")</f>
        <v>0</v>
      </c>
      <c r="AA80">
        <f ca="1">IF(X80=0,0,_xlfn.XLOOKUP(C80,CLIENT_CODE!B:B,CLIENT_CODE!P:P,0))</f>
        <v>0</v>
      </c>
      <c r="AB80">
        <f ca="1">_xlfn.XLOOKUP(B80,CRN!G:G,CRN!V:V,"")</f>
        <v>1</v>
      </c>
      <c r="AC80">
        <f ca="1">IF(AB80=0,0,_xlfn.XLOOKUP(C80,CLIENT_CODE!B:B,CLIENT_CODE!R:R,0))</f>
        <v>0</v>
      </c>
      <c r="AD80">
        <f t="shared" ca="1" si="1"/>
        <v>0</v>
      </c>
    </row>
    <row r="81" spans="1:30">
      <c r="A81" s="42">
        <v>80</v>
      </c>
      <c r="B81" s="42" t="str">
        <f ca="1"/>
        <v>MTP-N-2526-005022</v>
      </c>
      <c r="E81">
        <f>IF(D81=0,0,_xlfn.XLOOKUP(C81,CLIENT_CODE!B:B,CLIENT_CODE!F:F,0))</f>
        <v>0</v>
      </c>
      <c r="F81">
        <f ca="1">_xlfn.XLOOKUP(B81,CRN!G:G,CRN!K:K,"")</f>
        <v>0</v>
      </c>
      <c r="G81">
        <f ca="1">IF(F81=0,0,_xlfn.XLOOKUP(C81,CLIENT_CODE!B:B,CLIENT_CODE!G:G,0))</f>
        <v>0</v>
      </c>
      <c r="H81">
        <f ca="1">_xlfn.XLOOKUP(B81,CRN!G:G,CRN!L:L,"")</f>
        <v>0</v>
      </c>
      <c r="I81">
        <f ca="1">IF(H81=0,0,_xlfn.XLOOKUP(C81,CLIENT_CODE!B:B,CLIENT_CODE!H:H,0))</f>
        <v>0</v>
      </c>
      <c r="J81">
        <f ca="1">_xlfn.XLOOKUP(B81,CRN!G:G,CRN!M:M,"")</f>
        <v>0</v>
      </c>
      <c r="K81">
        <f ca="1">IF(J81=0,0,_xlfn.XLOOKUP(C81,CLIENT_CODE!B:B,CLIENT_CODE!I:I,0))</f>
        <v>0</v>
      </c>
      <c r="L81">
        <f ca="1">_xlfn.XLOOKUP(B81,CRN!G:G,CRN!N:N,"")</f>
        <v>1</v>
      </c>
      <c r="M81">
        <f ca="1">IF(L81=0,0,_xlfn.XLOOKUP(C81,CLIENT_CODE!B:B,CLIENT_CODE!J:J,0))</f>
        <v>0</v>
      </c>
      <c r="N81">
        <f ca="1">_xlfn.XLOOKUP(B81,CRN!G:G,CRN!O:O,"")</f>
        <v>0</v>
      </c>
      <c r="O81">
        <f ca="1">IF(N81=0,0,_xlfn.XLOOKUP(C81,CLIENT_CODE!B:B,CLIENT_CODE!K:K,0))</f>
        <v>0</v>
      </c>
      <c r="P81">
        <f ca="1">_xlfn.XLOOKUP(B81,CRN!G:G,CRN!P:P,"")</f>
        <v>0</v>
      </c>
      <c r="Q81">
        <f ca="1">IF(P81=0,0,_xlfn.XLOOKUP(C81,CLIENT_CODE!B:B,CLIENT_CODE!L:L,0))</f>
        <v>0</v>
      </c>
      <c r="R81">
        <f ca="1">_xlfn.XLOOKUP(B81,CRN!G:G,CRN!Q:Q,"")</f>
        <v>0</v>
      </c>
      <c r="S81">
        <f ca="1">IF(R81=0,0,_xlfn.XLOOKUP(C81,CLIENT_CODE!B:B,CLIENT_CODE!M:M,0))</f>
        <v>0</v>
      </c>
      <c r="T81">
        <f ca="1">_xlfn.XLOOKUP(B81,CRN!G:G,CRN!R:R,"")</f>
        <v>1</v>
      </c>
      <c r="U81">
        <f ca="1">IF(T81=0,0,_xlfn.XLOOKUP(C81,CLIENT_CODE!B:B,CLIENT_CODE!N:N,0))</f>
        <v>0</v>
      </c>
      <c r="V81">
        <f ca="1">_xlfn.XLOOKUP(B81,CRN!G:G,CRN!S:S,"")</f>
        <v>1</v>
      </c>
      <c r="W81">
        <f ca="1">IF(V81=0,0,_xlfn.XLOOKUP(C81,CLIENT_CODE!B:B,CLIENT_CODE!O:O,0))</f>
        <v>0</v>
      </c>
      <c r="X81">
        <f ca="1">_xlfn.XLOOKUP(B81,CRN!G:G,CRN!T:T,"")</f>
        <v>0</v>
      </c>
      <c r="Y81">
        <f ca="1">IF(X81=0,0,_xlfn.XLOOKUP(C81,CLIENT_CODE!B:B,CLIENT_CODE!P:P,0))</f>
        <v>0</v>
      </c>
      <c r="Z81">
        <f ca="1">_xlfn.XLOOKUP(B81,CRN!G:G,CRN!U:U,"")</f>
        <v>0</v>
      </c>
      <c r="AA81">
        <f ca="1">IF(X81=0,0,_xlfn.XLOOKUP(C81,CLIENT_CODE!B:B,CLIENT_CODE!P:P,0))</f>
        <v>0</v>
      </c>
      <c r="AB81">
        <f ca="1">_xlfn.XLOOKUP(B81,CRN!G:G,CRN!V:V,"")</f>
        <v>0</v>
      </c>
      <c r="AC81">
        <f ca="1">IF(AB81=0,0,_xlfn.XLOOKUP(C81,CLIENT_CODE!B:B,CLIENT_CODE!R:R,0))</f>
        <v>0</v>
      </c>
      <c r="AD81">
        <f t="shared" ca="1" si="1"/>
        <v>0</v>
      </c>
    </row>
    <row r="82" spans="1:30">
      <c r="A82" s="42">
        <v>81</v>
      </c>
      <c r="B82" s="42" t="str">
        <f ca="1"/>
        <v>2757549</v>
      </c>
      <c r="E82">
        <f>IF(D82=0,0,_xlfn.XLOOKUP(C82,CLIENT_CODE!B:B,CLIENT_CODE!F:F,0))</f>
        <v>0</v>
      </c>
      <c r="F82">
        <f ca="1">_xlfn.XLOOKUP(B82,CRN!G:G,CRN!K:K,"")</f>
        <v>0</v>
      </c>
      <c r="G82">
        <f ca="1">IF(F82=0,0,_xlfn.XLOOKUP(C82,CLIENT_CODE!B:B,CLIENT_CODE!G:G,0))</f>
        <v>0</v>
      </c>
      <c r="H82">
        <f ca="1">_xlfn.XLOOKUP(B82,CRN!G:G,CRN!L:L,"")</f>
        <v>1</v>
      </c>
      <c r="I82">
        <f ca="1">IF(H82=0,0,_xlfn.XLOOKUP(C82,CLIENT_CODE!B:B,CLIENT_CODE!H:H,0))</f>
        <v>0</v>
      </c>
      <c r="J82">
        <f ca="1">_xlfn.XLOOKUP(B82,CRN!G:G,CRN!M:M,"")</f>
        <v>0</v>
      </c>
      <c r="K82">
        <f ca="1">IF(J82=0,0,_xlfn.XLOOKUP(C82,CLIENT_CODE!B:B,CLIENT_CODE!I:I,0))</f>
        <v>0</v>
      </c>
      <c r="L82">
        <f ca="1">_xlfn.XLOOKUP(B82,CRN!G:G,CRN!N:N,"")</f>
        <v>1</v>
      </c>
      <c r="M82">
        <f ca="1">IF(L82=0,0,_xlfn.XLOOKUP(C82,CLIENT_CODE!B:B,CLIENT_CODE!J:J,0))</f>
        <v>0</v>
      </c>
      <c r="N82">
        <f ca="1">_xlfn.XLOOKUP(B82,CRN!G:G,CRN!O:O,"")</f>
        <v>0</v>
      </c>
      <c r="O82">
        <f ca="1">IF(N82=0,0,_xlfn.XLOOKUP(C82,CLIENT_CODE!B:B,CLIENT_CODE!K:K,0))</f>
        <v>0</v>
      </c>
      <c r="P82">
        <f ca="1">_xlfn.XLOOKUP(B82,CRN!G:G,CRN!P:P,"")</f>
        <v>0</v>
      </c>
      <c r="Q82">
        <f ca="1">IF(P82=0,0,_xlfn.XLOOKUP(C82,CLIENT_CODE!B:B,CLIENT_CODE!L:L,0))</f>
        <v>0</v>
      </c>
      <c r="R82">
        <f ca="1">_xlfn.XLOOKUP(B82,CRN!G:G,CRN!Q:Q,"")</f>
        <v>0</v>
      </c>
      <c r="S82">
        <f ca="1">IF(R82=0,0,_xlfn.XLOOKUP(C82,CLIENT_CODE!B:B,CLIENT_CODE!M:M,0))</f>
        <v>0</v>
      </c>
      <c r="T82">
        <f ca="1">_xlfn.XLOOKUP(B82,CRN!G:G,CRN!R:R,"")</f>
        <v>1</v>
      </c>
      <c r="U82">
        <f ca="1">IF(T82=0,0,_xlfn.XLOOKUP(C82,CLIENT_CODE!B:B,CLIENT_CODE!N:N,0))</f>
        <v>0</v>
      </c>
      <c r="V82">
        <f ca="1">_xlfn.XLOOKUP(B82,CRN!G:G,CRN!S:S,"")</f>
        <v>1</v>
      </c>
      <c r="W82">
        <f ca="1">IF(V82=0,0,_xlfn.XLOOKUP(C82,CLIENT_CODE!B:B,CLIENT_CODE!O:O,0))</f>
        <v>0</v>
      </c>
      <c r="X82">
        <f ca="1">_xlfn.XLOOKUP(B82,CRN!G:G,CRN!T:T,"")</f>
        <v>0</v>
      </c>
      <c r="Y82">
        <f ca="1">IF(X82=0,0,_xlfn.XLOOKUP(C82,CLIENT_CODE!B:B,CLIENT_CODE!P:P,0))</f>
        <v>0</v>
      </c>
      <c r="Z82">
        <f ca="1">_xlfn.XLOOKUP(B82,CRN!G:G,CRN!U:U,"")</f>
        <v>0</v>
      </c>
      <c r="AA82">
        <f ca="1">IF(X82=0,0,_xlfn.XLOOKUP(C82,CLIENT_CODE!B:B,CLIENT_CODE!P:P,0))</f>
        <v>0</v>
      </c>
      <c r="AB82">
        <f ca="1">_xlfn.XLOOKUP(B82,CRN!G:G,CRN!V:V,"")</f>
        <v>0</v>
      </c>
      <c r="AC82">
        <f ca="1">IF(AB82=0,0,_xlfn.XLOOKUP(C82,CLIENT_CODE!B:B,CLIENT_CODE!R:R,0))</f>
        <v>0</v>
      </c>
      <c r="AD82">
        <f t="shared" ca="1" si="1"/>
        <v>0</v>
      </c>
    </row>
    <row r="83" spans="1:30">
      <c r="A83" s="42">
        <v>82</v>
      </c>
      <c r="B83" s="42" t="str">
        <f ca="1"/>
        <v>2025214269</v>
      </c>
      <c r="E83">
        <f>IF(D83=0,0,_xlfn.XLOOKUP(C83,CLIENT_CODE!B:B,CLIENT_CODE!F:F,0))</f>
        <v>0</v>
      </c>
      <c r="F83">
        <f ca="1">_xlfn.XLOOKUP(B83,CRN!G:G,CRN!K:K,"")</f>
        <v>0</v>
      </c>
      <c r="G83">
        <f ca="1">IF(F83=0,0,_xlfn.XLOOKUP(C83,CLIENT_CODE!B:B,CLIENT_CODE!G:G,0))</f>
        <v>0</v>
      </c>
      <c r="H83">
        <f ca="1">_xlfn.XLOOKUP(B83,CRN!G:G,CRN!L:L,"")</f>
        <v>1</v>
      </c>
      <c r="I83">
        <f ca="1">IF(H83=0,0,_xlfn.XLOOKUP(C83,CLIENT_CODE!B:B,CLIENT_CODE!H:H,0))</f>
        <v>0</v>
      </c>
      <c r="J83">
        <f ca="1">_xlfn.XLOOKUP(B83,CRN!G:G,CRN!M:M,"")</f>
        <v>0</v>
      </c>
      <c r="K83">
        <f ca="1">IF(J83=0,0,_xlfn.XLOOKUP(C83,CLIENT_CODE!B:B,CLIENT_CODE!I:I,0))</f>
        <v>0</v>
      </c>
      <c r="L83">
        <f ca="1">_xlfn.XLOOKUP(B83,CRN!G:G,CRN!N:N,"")</f>
        <v>0</v>
      </c>
      <c r="M83">
        <f ca="1">IF(L83=0,0,_xlfn.XLOOKUP(C83,CLIENT_CODE!B:B,CLIENT_CODE!J:J,0))</f>
        <v>0</v>
      </c>
      <c r="N83">
        <f ca="1">_xlfn.XLOOKUP(B83,CRN!G:G,CRN!O:O,"")</f>
        <v>0</v>
      </c>
      <c r="O83">
        <f ca="1">IF(N83=0,0,_xlfn.XLOOKUP(C83,CLIENT_CODE!B:B,CLIENT_CODE!K:K,0))</f>
        <v>0</v>
      </c>
      <c r="P83">
        <f ca="1">_xlfn.XLOOKUP(B83,CRN!G:G,CRN!P:P,"")</f>
        <v>0</v>
      </c>
      <c r="Q83">
        <f ca="1">IF(P83=0,0,_xlfn.XLOOKUP(C83,CLIENT_CODE!B:B,CLIENT_CODE!L:L,0))</f>
        <v>0</v>
      </c>
      <c r="R83">
        <f ca="1">_xlfn.XLOOKUP(B83,CRN!G:G,CRN!Q:Q,"")</f>
        <v>0</v>
      </c>
      <c r="S83">
        <f ca="1">IF(R83=0,0,_xlfn.XLOOKUP(C83,CLIENT_CODE!B:B,CLIENT_CODE!M:M,0))</f>
        <v>0</v>
      </c>
      <c r="T83">
        <f ca="1">_xlfn.XLOOKUP(B83,CRN!G:G,CRN!R:R,"")</f>
        <v>1</v>
      </c>
      <c r="U83">
        <f ca="1">IF(T83=0,0,_xlfn.XLOOKUP(C83,CLIENT_CODE!B:B,CLIENT_CODE!N:N,0))</f>
        <v>0</v>
      </c>
      <c r="V83">
        <f ca="1">_xlfn.XLOOKUP(B83,CRN!G:G,CRN!S:S,"")</f>
        <v>1</v>
      </c>
      <c r="W83">
        <f ca="1">IF(V83=0,0,_xlfn.XLOOKUP(C83,CLIENT_CODE!B:B,CLIENT_CODE!O:O,0))</f>
        <v>0</v>
      </c>
      <c r="X83">
        <f ca="1">_xlfn.XLOOKUP(B83,CRN!G:G,CRN!T:T,"")</f>
        <v>0</v>
      </c>
      <c r="Y83">
        <f ca="1">IF(X83=0,0,_xlfn.XLOOKUP(C83,CLIENT_CODE!B:B,CLIENT_CODE!P:P,0))</f>
        <v>0</v>
      </c>
      <c r="Z83">
        <f ca="1">_xlfn.XLOOKUP(B83,CRN!G:G,CRN!U:U,"")</f>
        <v>0</v>
      </c>
      <c r="AA83">
        <f ca="1">IF(X83=0,0,_xlfn.XLOOKUP(C83,CLIENT_CODE!B:B,CLIENT_CODE!P:P,0))</f>
        <v>0</v>
      </c>
      <c r="AB83">
        <f ca="1">_xlfn.XLOOKUP(B83,CRN!G:G,CRN!V:V,"")</f>
        <v>0</v>
      </c>
      <c r="AC83">
        <f ca="1">IF(AB83=0,0,_xlfn.XLOOKUP(C83,CLIENT_CODE!B:B,CLIENT_CODE!R:R,0))</f>
        <v>0</v>
      </c>
      <c r="AD83">
        <f t="shared" ca="1" si="1"/>
        <v>0</v>
      </c>
    </row>
    <row r="84" spans="1:30">
      <c r="A84" s="42">
        <v>83</v>
      </c>
      <c r="B84" s="42" t="str">
        <f ca="1"/>
        <v>2025214177</v>
      </c>
      <c r="E84">
        <f>IF(D84=0,0,_xlfn.XLOOKUP(C84,CLIENT_CODE!B:B,CLIENT_CODE!F:F,0))</f>
        <v>0</v>
      </c>
      <c r="F84">
        <f ca="1">_xlfn.XLOOKUP(B84,CRN!G:G,CRN!K:K,"")</f>
        <v>0</v>
      </c>
      <c r="G84">
        <f ca="1">IF(F84=0,0,_xlfn.XLOOKUP(C84,CLIENT_CODE!B:B,CLIENT_CODE!G:G,0))</f>
        <v>0</v>
      </c>
      <c r="H84">
        <f ca="1">_xlfn.XLOOKUP(B84,CRN!G:G,CRN!L:L,"")</f>
        <v>1</v>
      </c>
      <c r="I84">
        <f ca="1">IF(H84=0,0,_xlfn.XLOOKUP(C84,CLIENT_CODE!B:B,CLIENT_CODE!H:H,0))</f>
        <v>0</v>
      </c>
      <c r="J84">
        <f ca="1">_xlfn.XLOOKUP(B84,CRN!G:G,CRN!M:M,"")</f>
        <v>0</v>
      </c>
      <c r="K84">
        <f ca="1">IF(J84=0,0,_xlfn.XLOOKUP(C84,CLIENT_CODE!B:B,CLIENT_CODE!I:I,0))</f>
        <v>0</v>
      </c>
      <c r="L84">
        <f ca="1">_xlfn.XLOOKUP(B84,CRN!G:G,CRN!N:N,"")</f>
        <v>1</v>
      </c>
      <c r="M84">
        <f ca="1">IF(L84=0,0,_xlfn.XLOOKUP(C84,CLIENT_CODE!B:B,CLIENT_CODE!J:J,0))</f>
        <v>0</v>
      </c>
      <c r="N84">
        <f ca="1">_xlfn.XLOOKUP(B84,CRN!G:G,CRN!O:O,"")</f>
        <v>0</v>
      </c>
      <c r="O84">
        <f ca="1">IF(N84=0,0,_xlfn.XLOOKUP(C84,CLIENT_CODE!B:B,CLIENT_CODE!K:K,0))</f>
        <v>0</v>
      </c>
      <c r="P84">
        <f ca="1">_xlfn.XLOOKUP(B84,CRN!G:G,CRN!P:P,"")</f>
        <v>0</v>
      </c>
      <c r="Q84">
        <f ca="1">IF(P84=0,0,_xlfn.XLOOKUP(C84,CLIENT_CODE!B:B,CLIENT_CODE!L:L,0))</f>
        <v>0</v>
      </c>
      <c r="R84">
        <f ca="1">_xlfn.XLOOKUP(B84,CRN!G:G,CRN!Q:Q,"")</f>
        <v>0</v>
      </c>
      <c r="S84">
        <f ca="1">IF(R84=0,0,_xlfn.XLOOKUP(C84,CLIENT_CODE!B:B,CLIENT_CODE!M:M,0))</f>
        <v>0</v>
      </c>
      <c r="T84">
        <f ca="1">_xlfn.XLOOKUP(B84,CRN!G:G,CRN!R:R,"")</f>
        <v>1</v>
      </c>
      <c r="U84">
        <f ca="1">IF(T84=0,0,_xlfn.XLOOKUP(C84,CLIENT_CODE!B:B,CLIENT_CODE!N:N,0))</f>
        <v>0</v>
      </c>
      <c r="V84">
        <f ca="1">_xlfn.XLOOKUP(B84,CRN!G:G,CRN!S:S,"")</f>
        <v>1</v>
      </c>
      <c r="W84">
        <f ca="1">IF(V84=0,0,_xlfn.XLOOKUP(C84,CLIENT_CODE!B:B,CLIENT_CODE!O:O,0))</f>
        <v>0</v>
      </c>
      <c r="X84">
        <f ca="1">_xlfn.XLOOKUP(B84,CRN!G:G,CRN!T:T,"")</f>
        <v>0</v>
      </c>
      <c r="Y84">
        <f ca="1">IF(X84=0,0,_xlfn.XLOOKUP(C84,CLIENT_CODE!B:B,CLIENT_CODE!P:P,0))</f>
        <v>0</v>
      </c>
      <c r="Z84">
        <f ca="1">_xlfn.XLOOKUP(B84,CRN!G:G,CRN!U:U,"")</f>
        <v>0</v>
      </c>
      <c r="AA84">
        <f ca="1">IF(X84=0,0,_xlfn.XLOOKUP(C84,CLIENT_CODE!B:B,CLIENT_CODE!P:P,0))</f>
        <v>0</v>
      </c>
      <c r="AB84">
        <f ca="1">_xlfn.XLOOKUP(B84,CRN!G:G,CRN!V:V,"")</f>
        <v>0</v>
      </c>
      <c r="AC84">
        <f ca="1">IF(AB84=0,0,_xlfn.XLOOKUP(C84,CLIENT_CODE!B:B,CLIENT_CODE!R:R,0))</f>
        <v>0</v>
      </c>
      <c r="AD84">
        <f t="shared" ca="1" si="1"/>
        <v>0</v>
      </c>
    </row>
    <row r="85" spans="1:30">
      <c r="A85" s="42">
        <v>84</v>
      </c>
      <c r="B85" s="42" t="str">
        <f ca="1"/>
        <v>2025214105</v>
      </c>
      <c r="E85">
        <f>IF(D85=0,0,_xlfn.XLOOKUP(C85,CLIENT_CODE!B:B,CLIENT_CODE!F:F,0))</f>
        <v>0</v>
      </c>
      <c r="F85">
        <f ca="1">_xlfn.XLOOKUP(B85,CRN!G:G,CRN!K:K,"")</f>
        <v>0</v>
      </c>
      <c r="G85">
        <f ca="1">IF(F85=0,0,_xlfn.XLOOKUP(C85,CLIENT_CODE!B:B,CLIENT_CODE!G:G,0))</f>
        <v>0</v>
      </c>
      <c r="H85">
        <f ca="1">_xlfn.XLOOKUP(B85,CRN!G:G,CRN!L:L,"")</f>
        <v>1</v>
      </c>
      <c r="I85">
        <f ca="1">IF(H85=0,0,_xlfn.XLOOKUP(C85,CLIENT_CODE!B:B,CLIENT_CODE!H:H,0))</f>
        <v>0</v>
      </c>
      <c r="J85">
        <f ca="1">_xlfn.XLOOKUP(B85,CRN!G:G,CRN!M:M,"")</f>
        <v>0</v>
      </c>
      <c r="K85">
        <f ca="1">IF(J85=0,0,_xlfn.XLOOKUP(C85,CLIENT_CODE!B:B,CLIENT_CODE!I:I,0))</f>
        <v>0</v>
      </c>
      <c r="L85">
        <f ca="1">_xlfn.XLOOKUP(B85,CRN!G:G,CRN!N:N,"")</f>
        <v>0</v>
      </c>
      <c r="M85">
        <f ca="1">IF(L85=0,0,_xlfn.XLOOKUP(C85,CLIENT_CODE!B:B,CLIENT_CODE!J:J,0))</f>
        <v>0</v>
      </c>
      <c r="N85">
        <f ca="1">_xlfn.XLOOKUP(B85,CRN!G:G,CRN!O:O,"")</f>
        <v>0</v>
      </c>
      <c r="O85">
        <f ca="1">IF(N85=0,0,_xlfn.XLOOKUP(C85,CLIENT_CODE!B:B,CLIENT_CODE!K:K,0))</f>
        <v>0</v>
      </c>
      <c r="P85">
        <f ca="1">_xlfn.XLOOKUP(B85,CRN!G:G,CRN!P:P,"")</f>
        <v>0</v>
      </c>
      <c r="Q85">
        <f ca="1">IF(P85=0,0,_xlfn.XLOOKUP(C85,CLIENT_CODE!B:B,CLIENT_CODE!L:L,0))</f>
        <v>0</v>
      </c>
      <c r="R85">
        <f ca="1">_xlfn.XLOOKUP(B85,CRN!G:G,CRN!Q:Q,"")</f>
        <v>0</v>
      </c>
      <c r="S85">
        <f ca="1">IF(R85=0,0,_xlfn.XLOOKUP(C85,CLIENT_CODE!B:B,CLIENT_CODE!M:M,0))</f>
        <v>0</v>
      </c>
      <c r="T85">
        <f ca="1">_xlfn.XLOOKUP(B85,CRN!G:G,CRN!R:R,"")</f>
        <v>1</v>
      </c>
      <c r="U85">
        <f ca="1">IF(T85=0,0,_xlfn.XLOOKUP(C85,CLIENT_CODE!B:B,CLIENT_CODE!N:N,0))</f>
        <v>0</v>
      </c>
      <c r="V85">
        <f ca="1">_xlfn.XLOOKUP(B85,CRN!G:G,CRN!S:S,"")</f>
        <v>1</v>
      </c>
      <c r="W85">
        <f ca="1">IF(V85=0,0,_xlfn.XLOOKUP(C85,CLIENT_CODE!B:B,CLIENT_CODE!O:O,0))</f>
        <v>0</v>
      </c>
      <c r="X85">
        <f ca="1">_xlfn.XLOOKUP(B85,CRN!G:G,CRN!T:T,"")</f>
        <v>0</v>
      </c>
      <c r="Y85">
        <f ca="1">IF(X85=0,0,_xlfn.XLOOKUP(C85,CLIENT_CODE!B:B,CLIENT_CODE!P:P,0))</f>
        <v>0</v>
      </c>
      <c r="Z85">
        <f ca="1">_xlfn.XLOOKUP(B85,CRN!G:G,CRN!U:U,"")</f>
        <v>0</v>
      </c>
      <c r="AA85">
        <f ca="1">IF(X85=0,0,_xlfn.XLOOKUP(C85,CLIENT_CODE!B:B,CLIENT_CODE!P:P,0))</f>
        <v>0</v>
      </c>
      <c r="AB85">
        <f ca="1">_xlfn.XLOOKUP(B85,CRN!G:G,CRN!V:V,"")</f>
        <v>0</v>
      </c>
      <c r="AC85">
        <f ca="1">IF(AB85=0,0,_xlfn.XLOOKUP(C85,CLIENT_CODE!B:B,CLIENT_CODE!R:R,0))</f>
        <v>0</v>
      </c>
      <c r="AD85">
        <f t="shared" ca="1" si="1"/>
        <v>0</v>
      </c>
    </row>
    <row r="86" spans="1:30">
      <c r="A86" s="42">
        <v>85</v>
      </c>
      <c r="B86" s="42" t="str">
        <f ca="1"/>
        <v>2025213441</v>
      </c>
      <c r="E86">
        <f>IF(D86=0,0,_xlfn.XLOOKUP(C86,CLIENT_CODE!B:B,CLIENT_CODE!F:F,0))</f>
        <v>0</v>
      </c>
      <c r="F86">
        <f ca="1">_xlfn.XLOOKUP(B86,CRN!G:G,CRN!K:K,"")</f>
        <v>0</v>
      </c>
      <c r="G86">
        <f ca="1">IF(F86=0,0,_xlfn.XLOOKUP(C86,CLIENT_CODE!B:B,CLIENT_CODE!G:G,0))</f>
        <v>0</v>
      </c>
      <c r="H86">
        <f ca="1">_xlfn.XLOOKUP(B86,CRN!G:G,CRN!L:L,"")</f>
        <v>1</v>
      </c>
      <c r="I86">
        <f ca="1">IF(H86=0,0,_xlfn.XLOOKUP(C86,CLIENT_CODE!B:B,CLIENT_CODE!H:H,0))</f>
        <v>0</v>
      </c>
      <c r="J86">
        <f ca="1">_xlfn.XLOOKUP(B86,CRN!G:G,CRN!M:M,"")</f>
        <v>0</v>
      </c>
      <c r="K86">
        <f ca="1">IF(J86=0,0,_xlfn.XLOOKUP(C86,CLIENT_CODE!B:B,CLIENT_CODE!I:I,0))</f>
        <v>0</v>
      </c>
      <c r="L86">
        <f ca="1">_xlfn.XLOOKUP(B86,CRN!G:G,CRN!N:N,"")</f>
        <v>0</v>
      </c>
      <c r="M86">
        <f ca="1">IF(L86=0,0,_xlfn.XLOOKUP(C86,CLIENT_CODE!B:B,CLIENT_CODE!J:J,0))</f>
        <v>0</v>
      </c>
      <c r="N86">
        <f ca="1">_xlfn.XLOOKUP(B86,CRN!G:G,CRN!O:O,"")</f>
        <v>0</v>
      </c>
      <c r="O86">
        <f ca="1">IF(N86=0,0,_xlfn.XLOOKUP(C86,CLIENT_CODE!B:B,CLIENT_CODE!K:K,0))</f>
        <v>0</v>
      </c>
      <c r="P86">
        <f ca="1">_xlfn.XLOOKUP(B86,CRN!G:G,CRN!P:P,"")</f>
        <v>0</v>
      </c>
      <c r="Q86">
        <f ca="1">IF(P86=0,0,_xlfn.XLOOKUP(C86,CLIENT_CODE!B:B,CLIENT_CODE!L:L,0))</f>
        <v>0</v>
      </c>
      <c r="R86">
        <f ca="1">_xlfn.XLOOKUP(B86,CRN!G:G,CRN!Q:Q,"")</f>
        <v>0</v>
      </c>
      <c r="S86">
        <f ca="1">IF(R86=0,0,_xlfn.XLOOKUP(C86,CLIENT_CODE!B:B,CLIENT_CODE!M:M,0))</f>
        <v>0</v>
      </c>
      <c r="T86">
        <f ca="1">_xlfn.XLOOKUP(B86,CRN!G:G,CRN!R:R,"")</f>
        <v>1</v>
      </c>
      <c r="U86">
        <f ca="1">IF(T86=0,0,_xlfn.XLOOKUP(C86,CLIENT_CODE!B:B,CLIENT_CODE!N:N,0))</f>
        <v>0</v>
      </c>
      <c r="V86">
        <f ca="1">_xlfn.XLOOKUP(B86,CRN!G:G,CRN!S:S,"")</f>
        <v>1</v>
      </c>
      <c r="W86">
        <f ca="1">IF(V86=0,0,_xlfn.XLOOKUP(C86,CLIENT_CODE!B:B,CLIENT_CODE!O:O,0))</f>
        <v>0</v>
      </c>
      <c r="X86">
        <f ca="1">_xlfn.XLOOKUP(B86,CRN!G:G,CRN!T:T,"")</f>
        <v>0</v>
      </c>
      <c r="Y86">
        <f ca="1">IF(X86=0,0,_xlfn.XLOOKUP(C86,CLIENT_CODE!B:B,CLIENT_CODE!P:P,0))</f>
        <v>0</v>
      </c>
      <c r="Z86">
        <f ca="1">_xlfn.XLOOKUP(B86,CRN!G:G,CRN!U:U,"")</f>
        <v>0</v>
      </c>
      <c r="AA86">
        <f ca="1">IF(X86=0,0,_xlfn.XLOOKUP(C86,CLIENT_CODE!B:B,CLIENT_CODE!P:P,0))</f>
        <v>0</v>
      </c>
      <c r="AB86">
        <f ca="1">_xlfn.XLOOKUP(B86,CRN!G:G,CRN!V:V,"")</f>
        <v>0</v>
      </c>
      <c r="AC86">
        <f ca="1">IF(AB86=0,0,_xlfn.XLOOKUP(C86,CLIENT_CODE!B:B,CLIENT_CODE!R:R,0))</f>
        <v>0</v>
      </c>
      <c r="AD86">
        <f t="shared" ca="1" si="1"/>
        <v>0</v>
      </c>
    </row>
    <row r="87" spans="1:30">
      <c r="A87" s="42">
        <v>86</v>
      </c>
      <c r="B87" s="42" t="str">
        <f ca="1"/>
        <v>2025214020</v>
      </c>
      <c r="E87">
        <f>IF(D87=0,0,_xlfn.XLOOKUP(C87,CLIENT_CODE!B:B,CLIENT_CODE!F:F,0))</f>
        <v>0</v>
      </c>
      <c r="F87">
        <f ca="1">_xlfn.XLOOKUP(B87,CRN!G:G,CRN!K:K,"")</f>
        <v>0</v>
      </c>
      <c r="G87">
        <f ca="1">IF(F87=0,0,_xlfn.XLOOKUP(C87,CLIENT_CODE!B:B,CLIENT_CODE!G:G,0))</f>
        <v>0</v>
      </c>
      <c r="H87">
        <f ca="1">_xlfn.XLOOKUP(B87,CRN!G:G,CRN!L:L,"")</f>
        <v>1</v>
      </c>
      <c r="I87">
        <f ca="1">IF(H87=0,0,_xlfn.XLOOKUP(C87,CLIENT_CODE!B:B,CLIENT_CODE!H:H,0))</f>
        <v>0</v>
      </c>
      <c r="J87">
        <f ca="1">_xlfn.XLOOKUP(B87,CRN!G:G,CRN!M:M,"")</f>
        <v>0</v>
      </c>
      <c r="K87">
        <f ca="1">IF(J87=0,0,_xlfn.XLOOKUP(C87,CLIENT_CODE!B:B,CLIENT_CODE!I:I,0))</f>
        <v>0</v>
      </c>
      <c r="L87">
        <f ca="1">_xlfn.XLOOKUP(B87,CRN!G:G,CRN!N:N,"")</f>
        <v>0</v>
      </c>
      <c r="M87">
        <f ca="1">IF(L87=0,0,_xlfn.XLOOKUP(C87,CLIENT_CODE!B:B,CLIENT_CODE!J:J,0))</f>
        <v>0</v>
      </c>
      <c r="N87">
        <f ca="1">_xlfn.XLOOKUP(B87,CRN!G:G,CRN!O:O,"")</f>
        <v>0</v>
      </c>
      <c r="O87">
        <f ca="1">IF(N87=0,0,_xlfn.XLOOKUP(C87,CLIENT_CODE!B:B,CLIENT_CODE!K:K,0))</f>
        <v>0</v>
      </c>
      <c r="P87">
        <f ca="1">_xlfn.XLOOKUP(B87,CRN!G:G,CRN!P:P,"")</f>
        <v>0</v>
      </c>
      <c r="Q87">
        <f ca="1">IF(P87=0,0,_xlfn.XLOOKUP(C87,CLIENT_CODE!B:B,CLIENT_CODE!L:L,0))</f>
        <v>0</v>
      </c>
      <c r="R87">
        <f ca="1">_xlfn.XLOOKUP(B87,CRN!G:G,CRN!Q:Q,"")</f>
        <v>0</v>
      </c>
      <c r="S87">
        <f ca="1">IF(R87=0,0,_xlfn.XLOOKUP(C87,CLIENT_CODE!B:B,CLIENT_CODE!M:M,0))</f>
        <v>0</v>
      </c>
      <c r="T87">
        <f ca="1">_xlfn.XLOOKUP(B87,CRN!G:G,CRN!R:R,"")</f>
        <v>1</v>
      </c>
      <c r="U87">
        <f ca="1">IF(T87=0,0,_xlfn.XLOOKUP(C87,CLIENT_CODE!B:B,CLIENT_CODE!N:N,0))</f>
        <v>0</v>
      </c>
      <c r="V87">
        <f ca="1">_xlfn.XLOOKUP(B87,CRN!G:G,CRN!S:S,"")</f>
        <v>1</v>
      </c>
      <c r="W87">
        <f ca="1">IF(V87=0,0,_xlfn.XLOOKUP(C87,CLIENT_CODE!B:B,CLIENT_CODE!O:O,0))</f>
        <v>0</v>
      </c>
      <c r="X87">
        <f ca="1">_xlfn.XLOOKUP(B87,CRN!G:G,CRN!T:T,"")</f>
        <v>0</v>
      </c>
      <c r="Y87">
        <f ca="1">IF(X87=0,0,_xlfn.XLOOKUP(C87,CLIENT_CODE!B:B,CLIENT_CODE!P:P,0))</f>
        <v>0</v>
      </c>
      <c r="Z87">
        <f ca="1">_xlfn.XLOOKUP(B87,CRN!G:G,CRN!U:U,"")</f>
        <v>0</v>
      </c>
      <c r="AA87">
        <f ca="1">IF(X87=0,0,_xlfn.XLOOKUP(C87,CLIENT_CODE!B:B,CLIENT_CODE!P:P,0))</f>
        <v>0</v>
      </c>
      <c r="AB87">
        <f ca="1">_xlfn.XLOOKUP(B87,CRN!G:G,CRN!V:V,"")</f>
        <v>0</v>
      </c>
      <c r="AC87">
        <f ca="1">IF(AB87=0,0,_xlfn.XLOOKUP(C87,CLIENT_CODE!B:B,CLIENT_CODE!R:R,0))</f>
        <v>0</v>
      </c>
      <c r="AD87">
        <f t="shared" ca="1" si="1"/>
        <v>0</v>
      </c>
    </row>
    <row r="88" spans="1:30">
      <c r="A88" s="42">
        <v>87</v>
      </c>
      <c r="B88" s="42">
        <f ca="1"/>
        <v>2759892</v>
      </c>
      <c r="E88">
        <f>IF(D88=0,0,_xlfn.XLOOKUP(C88,CLIENT_CODE!B:B,CLIENT_CODE!F:F,0))</f>
        <v>0</v>
      </c>
      <c r="F88">
        <f ca="1">_xlfn.XLOOKUP(B88,CRN!G:G,CRN!K:K,"")</f>
        <v>0</v>
      </c>
      <c r="G88">
        <f ca="1">IF(F88=0,0,_xlfn.XLOOKUP(C88,CLIENT_CODE!B:B,CLIENT_CODE!G:G,0))</f>
        <v>0</v>
      </c>
      <c r="H88">
        <f ca="1">_xlfn.XLOOKUP(B88,CRN!G:G,CRN!L:L,"")</f>
        <v>1</v>
      </c>
      <c r="I88">
        <f ca="1">IF(H88=0,0,_xlfn.XLOOKUP(C88,CLIENT_CODE!B:B,CLIENT_CODE!H:H,0))</f>
        <v>0</v>
      </c>
      <c r="J88">
        <f ca="1">_xlfn.XLOOKUP(B88,CRN!G:G,CRN!M:M,"")</f>
        <v>0</v>
      </c>
      <c r="K88">
        <f ca="1">IF(J88=0,0,_xlfn.XLOOKUP(C88,CLIENT_CODE!B:B,CLIENT_CODE!I:I,0))</f>
        <v>0</v>
      </c>
      <c r="L88">
        <f ca="1">_xlfn.XLOOKUP(B88,CRN!G:G,CRN!N:N,"")</f>
        <v>1</v>
      </c>
      <c r="M88">
        <f ca="1">IF(L88=0,0,_xlfn.XLOOKUP(C88,CLIENT_CODE!B:B,CLIENT_CODE!J:J,0))</f>
        <v>0</v>
      </c>
      <c r="N88">
        <f ca="1">_xlfn.XLOOKUP(B88,CRN!G:G,CRN!O:O,"")</f>
        <v>0</v>
      </c>
      <c r="O88">
        <f ca="1">IF(N88=0,0,_xlfn.XLOOKUP(C88,CLIENT_CODE!B:B,CLIENT_CODE!K:K,0))</f>
        <v>0</v>
      </c>
      <c r="P88">
        <f ca="1">_xlfn.XLOOKUP(B88,CRN!G:G,CRN!P:P,"")</f>
        <v>0</v>
      </c>
      <c r="Q88">
        <f ca="1">IF(P88=0,0,_xlfn.XLOOKUP(C88,CLIENT_CODE!B:B,CLIENT_CODE!L:L,0))</f>
        <v>0</v>
      </c>
      <c r="R88">
        <f ca="1">_xlfn.XLOOKUP(B88,CRN!G:G,CRN!Q:Q,"")</f>
        <v>0</v>
      </c>
      <c r="S88">
        <f ca="1">IF(R88=0,0,_xlfn.XLOOKUP(C88,CLIENT_CODE!B:B,CLIENT_CODE!M:M,0))</f>
        <v>0</v>
      </c>
      <c r="T88">
        <f ca="1">_xlfn.XLOOKUP(B88,CRN!G:G,CRN!R:R,"")</f>
        <v>1</v>
      </c>
      <c r="U88">
        <f ca="1">IF(T88=0,0,_xlfn.XLOOKUP(C88,CLIENT_CODE!B:B,CLIENT_CODE!N:N,0))</f>
        <v>0</v>
      </c>
      <c r="V88">
        <f ca="1">_xlfn.XLOOKUP(B88,CRN!G:G,CRN!S:S,"")</f>
        <v>1</v>
      </c>
      <c r="W88">
        <f ca="1">IF(V88=0,0,_xlfn.XLOOKUP(C88,CLIENT_CODE!B:B,CLIENT_CODE!O:O,0))</f>
        <v>0</v>
      </c>
      <c r="X88">
        <f ca="1">_xlfn.XLOOKUP(B88,CRN!G:G,CRN!T:T,"")</f>
        <v>0</v>
      </c>
      <c r="Y88">
        <f ca="1">IF(X88=0,0,_xlfn.XLOOKUP(C88,CLIENT_CODE!B:B,CLIENT_CODE!P:P,0))</f>
        <v>0</v>
      </c>
      <c r="Z88">
        <f ca="1">_xlfn.XLOOKUP(B88,CRN!G:G,CRN!U:U,"")</f>
        <v>0</v>
      </c>
      <c r="AA88">
        <f ca="1">IF(X88=0,0,_xlfn.XLOOKUP(C88,CLIENT_CODE!B:B,CLIENT_CODE!P:P,0))</f>
        <v>0</v>
      </c>
      <c r="AB88">
        <f ca="1">_xlfn.XLOOKUP(B88,CRN!G:G,CRN!V:V,"")</f>
        <v>0</v>
      </c>
      <c r="AC88">
        <f ca="1">IF(AB88=0,0,_xlfn.XLOOKUP(C88,CLIENT_CODE!B:B,CLIENT_CODE!R:R,0))</f>
        <v>0</v>
      </c>
      <c r="AD88">
        <f t="shared" ca="1" si="1"/>
        <v>0</v>
      </c>
    </row>
    <row r="89" spans="1:30">
      <c r="A89" s="42">
        <v>88</v>
      </c>
      <c r="B89" s="42">
        <f ca="1"/>
        <v>2759893</v>
      </c>
      <c r="E89">
        <f>IF(D89=0,0,_xlfn.XLOOKUP(C89,CLIENT_CODE!B:B,CLIENT_CODE!F:F,0))</f>
        <v>0</v>
      </c>
      <c r="F89">
        <f ca="1">_xlfn.XLOOKUP(B89,CRN!G:G,CRN!K:K,"")</f>
        <v>0</v>
      </c>
      <c r="G89">
        <f ca="1">IF(F89=0,0,_xlfn.XLOOKUP(C89,CLIENT_CODE!B:B,CLIENT_CODE!G:G,0))</f>
        <v>0</v>
      </c>
      <c r="H89">
        <f ca="1">_xlfn.XLOOKUP(B89,CRN!G:G,CRN!L:L,"")</f>
        <v>1</v>
      </c>
      <c r="I89">
        <f ca="1">IF(H89=0,0,_xlfn.XLOOKUP(C89,CLIENT_CODE!B:B,CLIENT_CODE!H:H,0))</f>
        <v>0</v>
      </c>
      <c r="J89">
        <f ca="1">_xlfn.XLOOKUP(B89,CRN!G:G,CRN!M:M,"")</f>
        <v>0</v>
      </c>
      <c r="K89">
        <f ca="1">IF(J89=0,0,_xlfn.XLOOKUP(C89,CLIENT_CODE!B:B,CLIENT_CODE!I:I,0))</f>
        <v>0</v>
      </c>
      <c r="L89">
        <f ca="1">_xlfn.XLOOKUP(B89,CRN!G:G,CRN!N:N,"")</f>
        <v>0</v>
      </c>
      <c r="M89">
        <f ca="1">IF(L89=0,0,_xlfn.XLOOKUP(C89,CLIENT_CODE!B:B,CLIENT_CODE!J:J,0))</f>
        <v>0</v>
      </c>
      <c r="N89">
        <f ca="1">_xlfn.XLOOKUP(B89,CRN!G:G,CRN!O:O,"")</f>
        <v>0</v>
      </c>
      <c r="O89">
        <f ca="1">IF(N89=0,0,_xlfn.XLOOKUP(C89,CLIENT_CODE!B:B,CLIENT_CODE!K:K,0))</f>
        <v>0</v>
      </c>
      <c r="P89">
        <f ca="1">_xlfn.XLOOKUP(B89,CRN!G:G,CRN!P:P,"")</f>
        <v>0</v>
      </c>
      <c r="Q89">
        <f ca="1">IF(P89=0,0,_xlfn.XLOOKUP(C89,CLIENT_CODE!B:B,CLIENT_CODE!L:L,0))</f>
        <v>0</v>
      </c>
      <c r="R89">
        <f ca="1">_xlfn.XLOOKUP(B89,CRN!G:G,CRN!Q:Q,"")</f>
        <v>0</v>
      </c>
      <c r="S89">
        <f ca="1">IF(R89=0,0,_xlfn.XLOOKUP(C89,CLIENT_CODE!B:B,CLIENT_CODE!M:M,0))</f>
        <v>0</v>
      </c>
      <c r="T89">
        <f ca="1">_xlfn.XLOOKUP(B89,CRN!G:G,CRN!R:R,"")</f>
        <v>0</v>
      </c>
      <c r="U89">
        <f ca="1">IF(T89=0,0,_xlfn.XLOOKUP(C89,CLIENT_CODE!B:B,CLIENT_CODE!N:N,0))</f>
        <v>0</v>
      </c>
      <c r="V89">
        <f ca="1">_xlfn.XLOOKUP(B89,CRN!G:G,CRN!S:S,"")</f>
        <v>0</v>
      </c>
      <c r="W89">
        <f ca="1">IF(V89=0,0,_xlfn.XLOOKUP(C89,CLIENT_CODE!B:B,CLIENT_CODE!O:O,0))</f>
        <v>0</v>
      </c>
      <c r="X89">
        <f ca="1">_xlfn.XLOOKUP(B89,CRN!G:G,CRN!T:T,"")</f>
        <v>0</v>
      </c>
      <c r="Y89">
        <f ca="1">IF(X89=0,0,_xlfn.XLOOKUP(C89,CLIENT_CODE!B:B,CLIENT_CODE!P:P,0))</f>
        <v>0</v>
      </c>
      <c r="Z89">
        <f ca="1">_xlfn.XLOOKUP(B89,CRN!G:G,CRN!U:U,"")</f>
        <v>0</v>
      </c>
      <c r="AA89">
        <f ca="1">IF(X89=0,0,_xlfn.XLOOKUP(C89,CLIENT_CODE!B:B,CLIENT_CODE!P:P,0))</f>
        <v>0</v>
      </c>
      <c r="AB89">
        <f ca="1">_xlfn.XLOOKUP(B89,CRN!G:G,CRN!V:V,"")</f>
        <v>0</v>
      </c>
      <c r="AC89">
        <f ca="1">IF(AB89=0,0,_xlfn.XLOOKUP(C89,CLIENT_CODE!B:B,CLIENT_CODE!R:R,0))</f>
        <v>0</v>
      </c>
      <c r="AD89">
        <f t="shared" ca="1" si="1"/>
        <v>0</v>
      </c>
    </row>
    <row r="90" spans="1:30">
      <c r="A90" s="42">
        <v>89</v>
      </c>
      <c r="E90">
        <f>IF(D90=0,0,_xlfn.XLOOKUP(C90,CLIENT_CODE!B:B,CLIENT_CODE!F:F,0))</f>
        <v>0</v>
      </c>
      <c r="F90">
        <f>_xlfn.XLOOKUP(B90,CRN!G:G,CRN!K:K,"")</f>
        <v>0</v>
      </c>
      <c r="G90">
        <f>IF(F90=0,0,_xlfn.XLOOKUP(C90,CLIENT_CODE!B:B,CLIENT_CODE!G:G,0))</f>
        <v>0</v>
      </c>
      <c r="H90">
        <f>_xlfn.XLOOKUP(B90,CRN!G:G,CRN!L:L,"")</f>
        <v>0</v>
      </c>
      <c r="I90">
        <f>IF(H90=0,0,_xlfn.XLOOKUP(C90,CLIENT_CODE!B:B,CLIENT_CODE!H:H,0))</f>
        <v>0</v>
      </c>
      <c r="J90">
        <f>_xlfn.XLOOKUP(B90,CRN!G:G,CRN!M:M,"")</f>
        <v>0</v>
      </c>
      <c r="K90">
        <f>IF(J90=0,0,_xlfn.XLOOKUP(C90,CLIENT_CODE!B:B,CLIENT_CODE!I:I,0))</f>
        <v>0</v>
      </c>
      <c r="L90">
        <f>_xlfn.XLOOKUP(B90,CRN!G:G,CRN!N:N,"")</f>
        <v>0</v>
      </c>
      <c r="M90">
        <f>IF(L90=0,0,_xlfn.XLOOKUP(C90,CLIENT_CODE!B:B,CLIENT_CODE!J:J,0))</f>
        <v>0</v>
      </c>
      <c r="N90">
        <f>_xlfn.XLOOKUP(B90,CRN!G:G,CRN!O:O,"")</f>
        <v>0</v>
      </c>
      <c r="O90">
        <f>IF(N90=0,0,_xlfn.XLOOKUP(C90,CLIENT_CODE!B:B,CLIENT_CODE!K:K,0))</f>
        <v>0</v>
      </c>
      <c r="P90">
        <f>_xlfn.XLOOKUP(B90,CRN!G:G,CRN!P:P,"")</f>
        <v>0</v>
      </c>
      <c r="Q90">
        <f>IF(P90=0,0,_xlfn.XLOOKUP(C90,CLIENT_CODE!B:B,CLIENT_CODE!L:L,0))</f>
        <v>0</v>
      </c>
      <c r="R90">
        <f>_xlfn.XLOOKUP(B90,CRN!G:G,CRN!Q:Q,"")</f>
        <v>0</v>
      </c>
      <c r="S90">
        <f>IF(R90=0,0,_xlfn.XLOOKUP(C90,CLIENT_CODE!B:B,CLIENT_CODE!M:M,0))</f>
        <v>0</v>
      </c>
      <c r="T90">
        <f>_xlfn.XLOOKUP(B90,CRN!G:G,CRN!R:R,"")</f>
        <v>0</v>
      </c>
      <c r="U90">
        <f>IF(T90=0,0,_xlfn.XLOOKUP(C90,CLIENT_CODE!B:B,CLIENT_CODE!N:N,0))</f>
        <v>0</v>
      </c>
      <c r="V90">
        <f>_xlfn.XLOOKUP(B90,CRN!G:G,CRN!S:S,"")</f>
        <v>0</v>
      </c>
      <c r="W90">
        <f>IF(V90=0,0,_xlfn.XLOOKUP(C90,CLIENT_CODE!B:B,CLIENT_CODE!O:O,0))</f>
        <v>0</v>
      </c>
      <c r="X90">
        <f>_xlfn.XLOOKUP(B90,CRN!G:G,CRN!T:T,"")</f>
        <v>0</v>
      </c>
      <c r="Y90">
        <f>IF(X90=0,0,_xlfn.XLOOKUP(C90,CLIENT_CODE!B:B,CLIENT_CODE!P:P,0))</f>
        <v>0</v>
      </c>
      <c r="Z90">
        <f>_xlfn.XLOOKUP(B90,CRN!G:G,CRN!U:U,"")</f>
        <v>0</v>
      </c>
      <c r="AA90">
        <f>IF(X90=0,0,_xlfn.XLOOKUP(C90,CLIENT_CODE!B:B,CLIENT_CODE!P:P,0))</f>
        <v>0</v>
      </c>
      <c r="AB90">
        <f>_xlfn.XLOOKUP(B90,CRN!G:G,CRN!V:V,"")</f>
        <v>0</v>
      </c>
      <c r="AC90">
        <f>IF(AB90=0,0,_xlfn.XLOOKUP(C90,CLIENT_CODE!B:B,CLIENT_CODE!R:R,0))</f>
        <v>0</v>
      </c>
      <c r="AD90">
        <f t="shared" si="1"/>
        <v>0</v>
      </c>
    </row>
    <row r="91" spans="1:30">
      <c r="A91" s="42">
        <v>90</v>
      </c>
      <c r="E91">
        <f>IF(D91=0,0,_xlfn.XLOOKUP(C91,CLIENT_CODE!B:B,CLIENT_CODE!F:F,0))</f>
        <v>0</v>
      </c>
      <c r="F91">
        <f>_xlfn.XLOOKUP(B91,CRN!G:G,CRN!K:K,"")</f>
        <v>0</v>
      </c>
      <c r="G91">
        <f>IF(F91=0,0,_xlfn.XLOOKUP(C91,CLIENT_CODE!B:B,CLIENT_CODE!G:G,0))</f>
        <v>0</v>
      </c>
      <c r="H91">
        <f>_xlfn.XLOOKUP(B91,CRN!G:G,CRN!L:L,"")</f>
        <v>0</v>
      </c>
      <c r="I91">
        <f>IF(H91=0,0,_xlfn.XLOOKUP(C91,CLIENT_CODE!B:B,CLIENT_CODE!H:H,0))</f>
        <v>0</v>
      </c>
      <c r="J91">
        <f>_xlfn.XLOOKUP(B91,CRN!G:G,CRN!M:M,"")</f>
        <v>0</v>
      </c>
      <c r="K91">
        <f>IF(J91=0,0,_xlfn.XLOOKUP(C91,CLIENT_CODE!B:B,CLIENT_CODE!I:I,0))</f>
        <v>0</v>
      </c>
      <c r="L91">
        <f>_xlfn.XLOOKUP(B91,CRN!G:G,CRN!N:N,"")</f>
        <v>0</v>
      </c>
      <c r="M91">
        <f>IF(L91=0,0,_xlfn.XLOOKUP(C91,CLIENT_CODE!B:B,CLIENT_CODE!J:J,0))</f>
        <v>0</v>
      </c>
      <c r="N91">
        <f>_xlfn.XLOOKUP(B91,CRN!G:G,CRN!O:O,"")</f>
        <v>0</v>
      </c>
      <c r="O91">
        <f>IF(N91=0,0,_xlfn.XLOOKUP(C91,CLIENT_CODE!B:B,CLIENT_CODE!K:K,0))</f>
        <v>0</v>
      </c>
      <c r="P91">
        <f>_xlfn.XLOOKUP(B91,CRN!G:G,CRN!P:P,"")</f>
        <v>0</v>
      </c>
      <c r="Q91">
        <f>IF(P91=0,0,_xlfn.XLOOKUP(C91,CLIENT_CODE!B:B,CLIENT_CODE!L:L,0))</f>
        <v>0</v>
      </c>
      <c r="R91">
        <f>_xlfn.XLOOKUP(B91,CRN!G:G,CRN!Q:Q,"")</f>
        <v>0</v>
      </c>
      <c r="S91">
        <f>IF(R91=0,0,_xlfn.XLOOKUP(C91,CLIENT_CODE!B:B,CLIENT_CODE!M:M,0))</f>
        <v>0</v>
      </c>
      <c r="T91">
        <f>_xlfn.XLOOKUP(B91,CRN!G:G,CRN!R:R,"")</f>
        <v>0</v>
      </c>
      <c r="U91">
        <f>IF(T91=0,0,_xlfn.XLOOKUP(C91,CLIENT_CODE!B:B,CLIENT_CODE!N:N,0))</f>
        <v>0</v>
      </c>
      <c r="V91">
        <f>_xlfn.XLOOKUP(B91,CRN!G:G,CRN!S:S,"")</f>
        <v>0</v>
      </c>
      <c r="W91">
        <f>IF(V91=0,0,_xlfn.XLOOKUP(C91,CLIENT_CODE!B:B,CLIENT_CODE!O:O,0))</f>
        <v>0</v>
      </c>
      <c r="X91">
        <f>_xlfn.XLOOKUP(B91,CRN!G:G,CRN!T:T,"")</f>
        <v>0</v>
      </c>
      <c r="Y91">
        <f>IF(X91=0,0,_xlfn.XLOOKUP(C91,CLIENT_CODE!B:B,CLIENT_CODE!P:P,0))</f>
        <v>0</v>
      </c>
      <c r="Z91">
        <f>_xlfn.XLOOKUP(B91,CRN!G:G,CRN!U:U,"")</f>
        <v>0</v>
      </c>
      <c r="AA91">
        <f>IF(X91=0,0,_xlfn.XLOOKUP(C91,CLIENT_CODE!B:B,CLIENT_CODE!P:P,0))</f>
        <v>0</v>
      </c>
      <c r="AB91">
        <f>_xlfn.XLOOKUP(B91,CRN!G:G,CRN!V:V,"")</f>
        <v>0</v>
      </c>
      <c r="AC91">
        <f>IF(AB91=0,0,_xlfn.XLOOKUP(C91,CLIENT_CODE!B:B,CLIENT_CODE!R:R,0))</f>
        <v>0</v>
      </c>
      <c r="AD91">
        <f t="shared" si="1"/>
        <v>0</v>
      </c>
    </row>
    <row r="92" spans="1:30">
      <c r="A92" s="42">
        <v>91</v>
      </c>
      <c r="E92">
        <f>IF(D92=0,0,_xlfn.XLOOKUP(C92,CLIENT_CODE!B:B,CLIENT_CODE!F:F,0))</f>
        <v>0</v>
      </c>
      <c r="F92">
        <f>_xlfn.XLOOKUP(B92,CRN!G:G,CRN!K:K,"")</f>
        <v>0</v>
      </c>
      <c r="G92">
        <f>IF(F92=0,0,_xlfn.XLOOKUP(C92,CLIENT_CODE!B:B,CLIENT_CODE!G:G,0))</f>
        <v>0</v>
      </c>
      <c r="H92">
        <f>_xlfn.XLOOKUP(B92,CRN!G:G,CRN!L:L,"")</f>
        <v>0</v>
      </c>
      <c r="I92">
        <f>IF(H92=0,0,_xlfn.XLOOKUP(C92,CLIENT_CODE!B:B,CLIENT_CODE!H:H,0))</f>
        <v>0</v>
      </c>
      <c r="J92">
        <f>_xlfn.XLOOKUP(B92,CRN!G:G,CRN!M:M,"")</f>
        <v>0</v>
      </c>
      <c r="K92">
        <f>IF(J92=0,0,_xlfn.XLOOKUP(C92,CLIENT_CODE!B:B,CLIENT_CODE!I:I,0))</f>
        <v>0</v>
      </c>
      <c r="L92">
        <f>_xlfn.XLOOKUP(B92,CRN!G:G,CRN!N:N,"")</f>
        <v>0</v>
      </c>
      <c r="M92">
        <f>IF(L92=0,0,_xlfn.XLOOKUP(C92,CLIENT_CODE!B:B,CLIENT_CODE!J:J,0))</f>
        <v>0</v>
      </c>
      <c r="N92">
        <f>_xlfn.XLOOKUP(B92,CRN!G:G,CRN!O:O,"")</f>
        <v>0</v>
      </c>
      <c r="O92">
        <f>IF(N92=0,0,_xlfn.XLOOKUP(C92,CLIENT_CODE!B:B,CLIENT_CODE!K:K,0))</f>
        <v>0</v>
      </c>
      <c r="P92">
        <f>_xlfn.XLOOKUP(B92,CRN!G:G,CRN!P:P,"")</f>
        <v>0</v>
      </c>
      <c r="Q92">
        <f>IF(P92=0,0,_xlfn.XLOOKUP(C92,CLIENT_CODE!B:B,CLIENT_CODE!L:L,0))</f>
        <v>0</v>
      </c>
      <c r="R92">
        <f>_xlfn.XLOOKUP(B92,CRN!G:G,CRN!Q:Q,"")</f>
        <v>0</v>
      </c>
      <c r="S92">
        <f>IF(R92=0,0,_xlfn.XLOOKUP(C92,CLIENT_CODE!B:B,CLIENT_CODE!M:M,0))</f>
        <v>0</v>
      </c>
      <c r="T92">
        <f>_xlfn.XLOOKUP(B92,CRN!G:G,CRN!R:R,"")</f>
        <v>0</v>
      </c>
      <c r="U92">
        <f>IF(T92=0,0,_xlfn.XLOOKUP(C92,CLIENT_CODE!B:B,CLIENT_CODE!N:N,0))</f>
        <v>0</v>
      </c>
      <c r="V92">
        <f>_xlfn.XLOOKUP(B92,CRN!G:G,CRN!S:S,"")</f>
        <v>0</v>
      </c>
      <c r="W92">
        <f>IF(V92=0,0,_xlfn.XLOOKUP(C92,CLIENT_CODE!B:B,CLIENT_CODE!O:O,0))</f>
        <v>0</v>
      </c>
      <c r="X92">
        <f>_xlfn.XLOOKUP(B92,CRN!G:G,CRN!T:T,"")</f>
        <v>0</v>
      </c>
      <c r="Y92">
        <f>IF(X92=0,0,_xlfn.XLOOKUP(C92,CLIENT_CODE!B:B,CLIENT_CODE!P:P,0))</f>
        <v>0</v>
      </c>
      <c r="Z92">
        <f>_xlfn.XLOOKUP(B92,CRN!G:G,CRN!U:U,"")</f>
        <v>0</v>
      </c>
      <c r="AA92">
        <f>IF(X92=0,0,_xlfn.XLOOKUP(C92,CLIENT_CODE!B:B,CLIENT_CODE!P:P,0))</f>
        <v>0</v>
      </c>
      <c r="AB92">
        <f>_xlfn.XLOOKUP(B92,CRN!G:G,CRN!V:V,"")</f>
        <v>0</v>
      </c>
      <c r="AC92">
        <f>IF(AB92=0,0,_xlfn.XLOOKUP(C92,CLIENT_CODE!B:B,CLIENT_CODE!R:R,0))</f>
        <v>0</v>
      </c>
      <c r="AD92">
        <f t="shared" si="1"/>
        <v>0</v>
      </c>
    </row>
    <row r="93" spans="1:30">
      <c r="A93" s="42">
        <v>92</v>
      </c>
      <c r="E93">
        <f>IF(D93=0,0,_xlfn.XLOOKUP(C93,CLIENT_CODE!B:B,CLIENT_CODE!F:F,0))</f>
        <v>0</v>
      </c>
      <c r="F93">
        <f>_xlfn.XLOOKUP(B93,CRN!G:G,CRN!K:K,"")</f>
        <v>0</v>
      </c>
      <c r="G93">
        <f>IF(F93=0,0,_xlfn.XLOOKUP(C93,CLIENT_CODE!B:B,CLIENT_CODE!G:G,0))</f>
        <v>0</v>
      </c>
      <c r="H93">
        <f>_xlfn.XLOOKUP(B93,CRN!G:G,CRN!L:L,"")</f>
        <v>0</v>
      </c>
      <c r="I93">
        <f>IF(H93=0,0,_xlfn.XLOOKUP(C93,CLIENT_CODE!B:B,CLIENT_CODE!H:H,0))</f>
        <v>0</v>
      </c>
      <c r="J93">
        <f>_xlfn.XLOOKUP(B93,CRN!G:G,CRN!M:M,"")</f>
        <v>0</v>
      </c>
      <c r="K93">
        <f>IF(J93=0,0,_xlfn.XLOOKUP(C93,CLIENT_CODE!B:B,CLIENT_CODE!I:I,0))</f>
        <v>0</v>
      </c>
      <c r="L93">
        <f>_xlfn.XLOOKUP(B93,CRN!G:G,CRN!N:N,"")</f>
        <v>0</v>
      </c>
      <c r="M93">
        <f>IF(L93=0,0,_xlfn.XLOOKUP(C93,CLIENT_CODE!B:B,CLIENT_CODE!J:J,0))</f>
        <v>0</v>
      </c>
      <c r="N93">
        <f>_xlfn.XLOOKUP(B93,CRN!G:G,CRN!O:O,"")</f>
        <v>0</v>
      </c>
      <c r="O93">
        <f>IF(N93=0,0,_xlfn.XLOOKUP(C93,CLIENT_CODE!B:B,CLIENT_CODE!K:K,0))</f>
        <v>0</v>
      </c>
      <c r="P93">
        <f>_xlfn.XLOOKUP(B93,CRN!G:G,CRN!P:P,"")</f>
        <v>0</v>
      </c>
      <c r="Q93">
        <f>IF(P93=0,0,_xlfn.XLOOKUP(C93,CLIENT_CODE!B:B,CLIENT_CODE!L:L,0))</f>
        <v>0</v>
      </c>
      <c r="R93">
        <f>_xlfn.XLOOKUP(B93,CRN!G:G,CRN!Q:Q,"")</f>
        <v>0</v>
      </c>
      <c r="S93">
        <f>IF(R93=0,0,_xlfn.XLOOKUP(C93,CLIENT_CODE!B:B,CLIENT_CODE!M:M,0))</f>
        <v>0</v>
      </c>
      <c r="T93">
        <f>_xlfn.XLOOKUP(B93,CRN!G:G,CRN!R:R,"")</f>
        <v>0</v>
      </c>
      <c r="U93">
        <f>IF(T93=0,0,_xlfn.XLOOKUP(C93,CLIENT_CODE!B:B,CLIENT_CODE!N:N,0))</f>
        <v>0</v>
      </c>
      <c r="V93">
        <f>_xlfn.XLOOKUP(B93,CRN!G:G,CRN!S:S,"")</f>
        <v>0</v>
      </c>
      <c r="W93">
        <f>IF(V93=0,0,_xlfn.XLOOKUP(C93,CLIENT_CODE!B:B,CLIENT_CODE!O:O,0))</f>
        <v>0</v>
      </c>
      <c r="X93">
        <f>_xlfn.XLOOKUP(B93,CRN!G:G,CRN!T:T,"")</f>
        <v>0</v>
      </c>
      <c r="Y93">
        <f>IF(X93=0,0,_xlfn.XLOOKUP(C93,CLIENT_CODE!B:B,CLIENT_CODE!P:P,0))</f>
        <v>0</v>
      </c>
      <c r="Z93">
        <f>_xlfn.XLOOKUP(B93,CRN!G:G,CRN!U:U,"")</f>
        <v>0</v>
      </c>
      <c r="AA93">
        <f>IF(X93=0,0,_xlfn.XLOOKUP(C93,CLIENT_CODE!B:B,CLIENT_CODE!P:P,0))</f>
        <v>0</v>
      </c>
      <c r="AB93">
        <f>_xlfn.XLOOKUP(B93,CRN!G:G,CRN!V:V,"")</f>
        <v>0</v>
      </c>
      <c r="AC93">
        <f>IF(AB93=0,0,_xlfn.XLOOKUP(C93,CLIENT_CODE!B:B,CLIENT_CODE!R:R,0))</f>
        <v>0</v>
      </c>
      <c r="AD93">
        <f t="shared" si="1"/>
        <v>0</v>
      </c>
    </row>
    <row r="94" spans="1:30">
      <c r="A94" s="42">
        <v>93</v>
      </c>
      <c r="E94">
        <f>IF(D94=0,0,_xlfn.XLOOKUP(C94,CLIENT_CODE!B:B,CLIENT_CODE!F:F,0))</f>
        <v>0</v>
      </c>
      <c r="F94">
        <f>_xlfn.XLOOKUP(B94,CRN!G:G,CRN!K:K,"")</f>
        <v>0</v>
      </c>
      <c r="G94">
        <f>IF(F94=0,0,_xlfn.XLOOKUP(C94,CLIENT_CODE!B:B,CLIENT_CODE!G:G,0))</f>
        <v>0</v>
      </c>
      <c r="H94">
        <f>_xlfn.XLOOKUP(B94,CRN!G:G,CRN!L:L,"")</f>
        <v>0</v>
      </c>
      <c r="I94">
        <f>IF(H94=0,0,_xlfn.XLOOKUP(C94,CLIENT_CODE!B:B,CLIENT_CODE!H:H,0))</f>
        <v>0</v>
      </c>
      <c r="J94">
        <f>_xlfn.XLOOKUP(B94,CRN!G:G,CRN!M:M,"")</f>
        <v>0</v>
      </c>
      <c r="K94">
        <f>IF(J94=0,0,_xlfn.XLOOKUP(C94,CLIENT_CODE!B:B,CLIENT_CODE!I:I,0))</f>
        <v>0</v>
      </c>
      <c r="L94">
        <f>_xlfn.XLOOKUP(B94,CRN!G:G,CRN!N:N,"")</f>
        <v>0</v>
      </c>
      <c r="M94">
        <f>IF(L94=0,0,_xlfn.XLOOKUP(C94,CLIENT_CODE!B:B,CLIENT_CODE!J:J,0))</f>
        <v>0</v>
      </c>
      <c r="N94">
        <f>_xlfn.XLOOKUP(B94,CRN!G:G,CRN!O:O,"")</f>
        <v>0</v>
      </c>
      <c r="O94">
        <f>IF(N94=0,0,_xlfn.XLOOKUP(C94,CLIENT_CODE!B:B,CLIENT_CODE!K:K,0))</f>
        <v>0</v>
      </c>
      <c r="P94">
        <f>_xlfn.XLOOKUP(B94,CRN!G:G,CRN!P:P,"")</f>
        <v>0</v>
      </c>
      <c r="Q94">
        <f>IF(P94=0,0,_xlfn.XLOOKUP(C94,CLIENT_CODE!B:B,CLIENT_CODE!L:L,0))</f>
        <v>0</v>
      </c>
      <c r="R94">
        <f>_xlfn.XLOOKUP(B94,CRN!G:G,CRN!Q:Q,"")</f>
        <v>0</v>
      </c>
      <c r="S94">
        <f>IF(R94=0,0,_xlfn.XLOOKUP(C94,CLIENT_CODE!B:B,CLIENT_CODE!M:M,0))</f>
        <v>0</v>
      </c>
      <c r="T94">
        <f>_xlfn.XLOOKUP(B94,CRN!G:G,CRN!R:R,"")</f>
        <v>0</v>
      </c>
      <c r="U94">
        <f>IF(T94=0,0,_xlfn.XLOOKUP(C94,CLIENT_CODE!B:B,CLIENT_CODE!N:N,0))</f>
        <v>0</v>
      </c>
      <c r="V94">
        <f>_xlfn.XLOOKUP(B94,CRN!G:G,CRN!S:S,"")</f>
        <v>0</v>
      </c>
      <c r="W94">
        <f>IF(V94=0,0,_xlfn.XLOOKUP(C94,CLIENT_CODE!B:B,CLIENT_CODE!O:O,0))</f>
        <v>0</v>
      </c>
      <c r="X94">
        <f>_xlfn.XLOOKUP(B94,CRN!G:G,CRN!T:T,"")</f>
        <v>0</v>
      </c>
      <c r="Y94">
        <f>IF(X94=0,0,_xlfn.XLOOKUP(C94,CLIENT_CODE!B:B,CLIENT_CODE!P:P,0))</f>
        <v>0</v>
      </c>
      <c r="Z94">
        <f>_xlfn.XLOOKUP(B94,CRN!G:G,CRN!U:U,"")</f>
        <v>0</v>
      </c>
      <c r="AA94">
        <f>IF(X94=0,0,_xlfn.XLOOKUP(C94,CLIENT_CODE!B:B,CLIENT_CODE!P:P,0))</f>
        <v>0</v>
      </c>
      <c r="AB94">
        <f>_xlfn.XLOOKUP(B94,CRN!G:G,CRN!V:V,"")</f>
        <v>0</v>
      </c>
      <c r="AC94">
        <f>IF(AB94=0,0,_xlfn.XLOOKUP(C94,CLIENT_CODE!B:B,CLIENT_CODE!R:R,0))</f>
        <v>0</v>
      </c>
      <c r="AD94">
        <f t="shared" si="1"/>
        <v>0</v>
      </c>
    </row>
    <row r="95" spans="1:30">
      <c r="A95" s="42">
        <v>94</v>
      </c>
      <c r="E95">
        <f>IF(D95=0,0,_xlfn.XLOOKUP(C95,CLIENT_CODE!B:B,CLIENT_CODE!F:F,0))</f>
        <v>0</v>
      </c>
      <c r="F95">
        <f>_xlfn.XLOOKUP(B95,CRN!G:G,CRN!K:K,"")</f>
        <v>0</v>
      </c>
      <c r="G95">
        <f>IF(F95=0,0,_xlfn.XLOOKUP(C95,CLIENT_CODE!B:B,CLIENT_CODE!G:G,0))</f>
        <v>0</v>
      </c>
      <c r="H95">
        <f>_xlfn.XLOOKUP(B95,CRN!G:G,CRN!L:L,"")</f>
        <v>0</v>
      </c>
      <c r="I95">
        <f>IF(H95=0,0,_xlfn.XLOOKUP(C95,CLIENT_CODE!B:B,CLIENT_CODE!H:H,0))</f>
        <v>0</v>
      </c>
      <c r="J95">
        <f>_xlfn.XLOOKUP(B95,CRN!G:G,CRN!M:M,"")</f>
        <v>0</v>
      </c>
      <c r="K95">
        <f>IF(J95=0,0,_xlfn.XLOOKUP(C95,CLIENT_CODE!B:B,CLIENT_CODE!I:I,0))</f>
        <v>0</v>
      </c>
      <c r="L95">
        <f>_xlfn.XLOOKUP(B95,CRN!G:G,CRN!N:N,"")</f>
        <v>0</v>
      </c>
      <c r="M95">
        <f>IF(L95=0,0,_xlfn.XLOOKUP(C95,CLIENT_CODE!B:B,CLIENT_CODE!J:J,0))</f>
        <v>0</v>
      </c>
      <c r="N95">
        <f>_xlfn.XLOOKUP(B95,CRN!G:G,CRN!O:O,"")</f>
        <v>0</v>
      </c>
      <c r="O95">
        <f>IF(N95=0,0,_xlfn.XLOOKUP(C95,CLIENT_CODE!B:B,CLIENT_CODE!K:K,0))</f>
        <v>0</v>
      </c>
      <c r="P95">
        <f>_xlfn.XLOOKUP(B95,CRN!G:G,CRN!P:P,"")</f>
        <v>0</v>
      </c>
      <c r="Q95">
        <f>IF(P95=0,0,_xlfn.XLOOKUP(C95,CLIENT_CODE!B:B,CLIENT_CODE!L:L,0))</f>
        <v>0</v>
      </c>
      <c r="R95">
        <f>_xlfn.XLOOKUP(B95,CRN!G:G,CRN!Q:Q,"")</f>
        <v>0</v>
      </c>
      <c r="S95">
        <f>IF(R95=0,0,_xlfn.XLOOKUP(C95,CLIENT_CODE!B:B,CLIENT_CODE!M:M,0))</f>
        <v>0</v>
      </c>
      <c r="T95">
        <f>_xlfn.XLOOKUP(B95,CRN!G:G,CRN!R:R,"")</f>
        <v>0</v>
      </c>
      <c r="U95">
        <f>IF(T95=0,0,_xlfn.XLOOKUP(C95,CLIENT_CODE!B:B,CLIENT_CODE!N:N,0))</f>
        <v>0</v>
      </c>
      <c r="V95">
        <f>_xlfn.XLOOKUP(B95,CRN!G:G,CRN!S:S,"")</f>
        <v>0</v>
      </c>
      <c r="W95">
        <f>IF(V95=0,0,_xlfn.XLOOKUP(C95,CLIENT_CODE!B:B,CLIENT_CODE!O:O,0))</f>
        <v>0</v>
      </c>
      <c r="X95">
        <f>_xlfn.XLOOKUP(B95,CRN!G:G,CRN!T:T,"")</f>
        <v>0</v>
      </c>
      <c r="Y95">
        <f>IF(X95=0,0,_xlfn.XLOOKUP(C95,CLIENT_CODE!B:B,CLIENT_CODE!P:P,0))</f>
        <v>0</v>
      </c>
      <c r="Z95">
        <f>_xlfn.XLOOKUP(B95,CRN!G:G,CRN!U:U,"")</f>
        <v>0</v>
      </c>
      <c r="AA95">
        <f>IF(X95=0,0,_xlfn.XLOOKUP(C95,CLIENT_CODE!B:B,CLIENT_CODE!P:P,0))</f>
        <v>0</v>
      </c>
      <c r="AB95">
        <f>_xlfn.XLOOKUP(B95,CRN!G:G,CRN!V:V,"")</f>
        <v>0</v>
      </c>
      <c r="AC95">
        <f>IF(AB95=0,0,_xlfn.XLOOKUP(C95,CLIENT_CODE!B:B,CLIENT_CODE!R:R,0))</f>
        <v>0</v>
      </c>
      <c r="AD95">
        <f t="shared" si="1"/>
        <v>0</v>
      </c>
    </row>
    <row r="96" spans="1:30">
      <c r="A96" s="42">
        <v>95</v>
      </c>
      <c r="E96">
        <f>IF(D96=0,0,_xlfn.XLOOKUP(C96,CLIENT_CODE!B:B,CLIENT_CODE!F:F,0))</f>
        <v>0</v>
      </c>
      <c r="F96">
        <f>_xlfn.XLOOKUP(B96,CRN!G:G,CRN!K:K,"")</f>
        <v>0</v>
      </c>
      <c r="G96">
        <f>IF(F96=0,0,_xlfn.XLOOKUP(C96,CLIENT_CODE!B:B,CLIENT_CODE!G:G,0))</f>
        <v>0</v>
      </c>
      <c r="H96">
        <f>_xlfn.XLOOKUP(B96,CRN!G:G,CRN!L:L,"")</f>
        <v>0</v>
      </c>
      <c r="I96">
        <f>IF(H96=0,0,_xlfn.XLOOKUP(C96,CLIENT_CODE!B:B,CLIENT_CODE!H:H,0))</f>
        <v>0</v>
      </c>
      <c r="J96">
        <f>_xlfn.XLOOKUP(B96,CRN!G:G,CRN!M:M,"")</f>
        <v>0</v>
      </c>
      <c r="K96">
        <f>IF(J96=0,0,_xlfn.XLOOKUP(C96,CLIENT_CODE!B:B,CLIENT_CODE!I:I,0))</f>
        <v>0</v>
      </c>
      <c r="L96">
        <f>_xlfn.XLOOKUP(B96,CRN!G:G,CRN!N:N,"")</f>
        <v>0</v>
      </c>
      <c r="M96">
        <f>IF(L96=0,0,_xlfn.XLOOKUP(C96,CLIENT_CODE!B:B,CLIENT_CODE!J:J,0))</f>
        <v>0</v>
      </c>
      <c r="N96">
        <f>_xlfn.XLOOKUP(B96,CRN!G:G,CRN!O:O,"")</f>
        <v>0</v>
      </c>
      <c r="O96">
        <f>IF(N96=0,0,_xlfn.XLOOKUP(C96,CLIENT_CODE!B:B,CLIENT_CODE!K:K,0))</f>
        <v>0</v>
      </c>
      <c r="P96">
        <f>_xlfn.XLOOKUP(B96,CRN!G:G,CRN!P:P,"")</f>
        <v>0</v>
      </c>
      <c r="Q96">
        <f>IF(P96=0,0,_xlfn.XLOOKUP(C96,CLIENT_CODE!B:B,CLIENT_CODE!L:L,0))</f>
        <v>0</v>
      </c>
      <c r="R96">
        <f>_xlfn.XLOOKUP(B96,CRN!G:G,CRN!Q:Q,"")</f>
        <v>0</v>
      </c>
      <c r="S96">
        <f>IF(R96=0,0,_xlfn.XLOOKUP(C96,CLIENT_CODE!B:B,CLIENT_CODE!M:M,0))</f>
        <v>0</v>
      </c>
      <c r="T96">
        <f>_xlfn.XLOOKUP(B96,CRN!G:G,CRN!R:R,"")</f>
        <v>0</v>
      </c>
      <c r="U96">
        <f>IF(T96=0,0,_xlfn.XLOOKUP(C96,CLIENT_CODE!B:B,CLIENT_CODE!N:N,0))</f>
        <v>0</v>
      </c>
      <c r="V96">
        <f>_xlfn.XLOOKUP(B96,CRN!G:G,CRN!S:S,"")</f>
        <v>0</v>
      </c>
      <c r="W96">
        <f>IF(V96=0,0,_xlfn.XLOOKUP(C96,CLIENT_CODE!B:B,CLIENT_CODE!O:O,0))</f>
        <v>0</v>
      </c>
      <c r="X96">
        <f>_xlfn.XLOOKUP(B96,CRN!G:G,CRN!T:T,"")</f>
        <v>0</v>
      </c>
      <c r="Y96">
        <f>IF(X96=0,0,_xlfn.XLOOKUP(C96,CLIENT_CODE!B:B,CLIENT_CODE!P:P,0))</f>
        <v>0</v>
      </c>
      <c r="Z96">
        <f>_xlfn.XLOOKUP(B96,CRN!G:G,CRN!U:U,"")</f>
        <v>0</v>
      </c>
      <c r="AA96">
        <f>IF(X96=0,0,_xlfn.XLOOKUP(C96,CLIENT_CODE!B:B,CLIENT_CODE!P:P,0))</f>
        <v>0</v>
      </c>
      <c r="AB96">
        <f>_xlfn.XLOOKUP(B96,CRN!G:G,CRN!V:V,"")</f>
        <v>0</v>
      </c>
      <c r="AC96">
        <f>IF(AB96=0,0,_xlfn.XLOOKUP(C96,CLIENT_CODE!B:B,CLIENT_CODE!R:R,0))</f>
        <v>0</v>
      </c>
      <c r="AD96">
        <f t="shared" si="1"/>
        <v>0</v>
      </c>
    </row>
    <row r="97" spans="1:30">
      <c r="A97" s="42">
        <v>96</v>
      </c>
      <c r="E97">
        <f>IF(D97=0,0,_xlfn.XLOOKUP(C97,CLIENT_CODE!B:B,CLIENT_CODE!F:F,0))</f>
        <v>0</v>
      </c>
      <c r="F97">
        <f>_xlfn.XLOOKUP(B97,CRN!G:G,CRN!K:K,"")</f>
        <v>0</v>
      </c>
      <c r="G97">
        <f>IF(F97=0,0,_xlfn.XLOOKUP(C97,CLIENT_CODE!B:B,CLIENT_CODE!G:G,0))</f>
        <v>0</v>
      </c>
      <c r="H97">
        <f>_xlfn.XLOOKUP(B97,CRN!G:G,CRN!L:L,"")</f>
        <v>0</v>
      </c>
      <c r="I97">
        <f>IF(H97=0,0,_xlfn.XLOOKUP(C97,CLIENT_CODE!B:B,CLIENT_CODE!H:H,0))</f>
        <v>0</v>
      </c>
      <c r="J97">
        <f>_xlfn.XLOOKUP(B97,CRN!G:G,CRN!M:M,"")</f>
        <v>0</v>
      </c>
      <c r="K97">
        <f>IF(J97=0,0,_xlfn.XLOOKUP(C97,CLIENT_CODE!B:B,CLIENT_CODE!I:I,0))</f>
        <v>0</v>
      </c>
      <c r="L97">
        <f>_xlfn.XLOOKUP(B97,CRN!G:G,CRN!N:N,"")</f>
        <v>0</v>
      </c>
      <c r="M97">
        <f>IF(L97=0,0,_xlfn.XLOOKUP(C97,CLIENT_CODE!B:B,CLIENT_CODE!J:J,0))</f>
        <v>0</v>
      </c>
      <c r="N97">
        <f>_xlfn.XLOOKUP(B97,CRN!G:G,CRN!O:O,"")</f>
        <v>0</v>
      </c>
      <c r="O97">
        <f>IF(N97=0,0,_xlfn.XLOOKUP(C97,CLIENT_CODE!B:B,CLIENT_CODE!K:K,0))</f>
        <v>0</v>
      </c>
      <c r="P97">
        <f>_xlfn.XLOOKUP(B97,CRN!G:G,CRN!P:P,"")</f>
        <v>0</v>
      </c>
      <c r="Q97">
        <f>IF(P97=0,0,_xlfn.XLOOKUP(C97,CLIENT_CODE!B:B,CLIENT_CODE!L:L,0))</f>
        <v>0</v>
      </c>
      <c r="R97">
        <f>_xlfn.XLOOKUP(B97,CRN!G:G,CRN!Q:Q,"")</f>
        <v>0</v>
      </c>
      <c r="S97">
        <f>IF(R97=0,0,_xlfn.XLOOKUP(C97,CLIENT_CODE!B:B,CLIENT_CODE!M:M,0))</f>
        <v>0</v>
      </c>
      <c r="T97">
        <f>_xlfn.XLOOKUP(B97,CRN!G:G,CRN!R:R,"")</f>
        <v>0</v>
      </c>
      <c r="U97">
        <f>IF(T97=0,0,_xlfn.XLOOKUP(C97,CLIENT_CODE!B:B,CLIENT_CODE!N:N,0))</f>
        <v>0</v>
      </c>
      <c r="V97">
        <f>_xlfn.XLOOKUP(B97,CRN!G:G,CRN!S:S,"")</f>
        <v>0</v>
      </c>
      <c r="W97">
        <f>IF(V97=0,0,_xlfn.XLOOKUP(C97,CLIENT_CODE!B:B,CLIENT_CODE!O:O,0))</f>
        <v>0</v>
      </c>
      <c r="X97">
        <f>_xlfn.XLOOKUP(B97,CRN!G:G,CRN!T:T,"")</f>
        <v>0</v>
      </c>
      <c r="Y97">
        <f>IF(X97=0,0,_xlfn.XLOOKUP(C97,CLIENT_CODE!B:B,CLIENT_CODE!P:P,0))</f>
        <v>0</v>
      </c>
      <c r="Z97">
        <f>_xlfn.XLOOKUP(B97,CRN!G:G,CRN!U:U,"")</f>
        <v>0</v>
      </c>
      <c r="AA97">
        <f>IF(X97=0,0,_xlfn.XLOOKUP(C97,CLIENT_CODE!B:B,CLIENT_CODE!P:P,0))</f>
        <v>0</v>
      </c>
      <c r="AB97">
        <f>_xlfn.XLOOKUP(B97,CRN!G:G,CRN!V:V,"")</f>
        <v>0</v>
      </c>
      <c r="AC97">
        <f>IF(AB97=0,0,_xlfn.XLOOKUP(C97,CLIENT_CODE!B:B,CLIENT_CODE!R:R,0))</f>
        <v>0</v>
      </c>
      <c r="AD97">
        <f t="shared" si="1"/>
        <v>0</v>
      </c>
    </row>
    <row r="98" spans="1:30">
      <c r="A98" s="42">
        <v>97</v>
      </c>
      <c r="E98">
        <f>IF(D98=0,0,_xlfn.XLOOKUP(C98,CLIENT_CODE!B:B,CLIENT_CODE!F:F,0))</f>
        <v>0</v>
      </c>
      <c r="F98">
        <f>_xlfn.XLOOKUP(B98,CRN!G:G,CRN!K:K,"")</f>
        <v>0</v>
      </c>
      <c r="G98">
        <f>IF(F98=0,0,_xlfn.XLOOKUP(C98,CLIENT_CODE!B:B,CLIENT_CODE!G:G,0))</f>
        <v>0</v>
      </c>
      <c r="H98">
        <f>_xlfn.XLOOKUP(B98,CRN!G:G,CRN!L:L,"")</f>
        <v>0</v>
      </c>
      <c r="I98">
        <f>IF(H98=0,0,_xlfn.XLOOKUP(C98,CLIENT_CODE!B:B,CLIENT_CODE!H:H,0))</f>
        <v>0</v>
      </c>
      <c r="J98">
        <f>_xlfn.XLOOKUP(B98,CRN!G:G,CRN!M:M,"")</f>
        <v>0</v>
      </c>
      <c r="K98">
        <f>IF(J98=0,0,_xlfn.XLOOKUP(C98,CLIENT_CODE!B:B,CLIENT_CODE!I:I,0))</f>
        <v>0</v>
      </c>
      <c r="L98">
        <f>_xlfn.XLOOKUP(B98,CRN!G:G,CRN!N:N,"")</f>
        <v>0</v>
      </c>
      <c r="M98">
        <f>IF(L98=0,0,_xlfn.XLOOKUP(C98,CLIENT_CODE!B:B,CLIENT_CODE!J:J,0))</f>
        <v>0</v>
      </c>
      <c r="N98">
        <f>_xlfn.XLOOKUP(B98,CRN!G:G,CRN!O:O,"")</f>
        <v>0</v>
      </c>
      <c r="O98">
        <f>IF(N98=0,0,_xlfn.XLOOKUP(C98,CLIENT_CODE!B:B,CLIENT_CODE!K:K,0))</f>
        <v>0</v>
      </c>
      <c r="P98">
        <f>_xlfn.XLOOKUP(B98,CRN!G:G,CRN!P:P,"")</f>
        <v>0</v>
      </c>
      <c r="Q98">
        <f>IF(P98=0,0,_xlfn.XLOOKUP(C98,CLIENT_CODE!B:B,CLIENT_CODE!L:L,0))</f>
        <v>0</v>
      </c>
      <c r="R98">
        <f>_xlfn.XLOOKUP(B98,CRN!G:G,CRN!Q:Q,"")</f>
        <v>0</v>
      </c>
      <c r="S98">
        <f>IF(R98=0,0,_xlfn.XLOOKUP(C98,CLIENT_CODE!B:B,CLIENT_CODE!M:M,0))</f>
        <v>0</v>
      </c>
      <c r="T98">
        <f>_xlfn.XLOOKUP(B98,CRN!G:G,CRN!R:R,"")</f>
        <v>0</v>
      </c>
      <c r="U98">
        <f>IF(T98=0,0,_xlfn.XLOOKUP(C98,CLIENT_CODE!B:B,CLIENT_CODE!N:N,0))</f>
        <v>0</v>
      </c>
      <c r="V98">
        <f>_xlfn.XLOOKUP(B98,CRN!G:G,CRN!S:S,"")</f>
        <v>0</v>
      </c>
      <c r="W98">
        <f>IF(V98=0,0,_xlfn.XLOOKUP(C98,CLIENT_CODE!B:B,CLIENT_CODE!O:O,0))</f>
        <v>0</v>
      </c>
      <c r="X98">
        <f>_xlfn.XLOOKUP(B98,CRN!G:G,CRN!T:T,"")</f>
        <v>0</v>
      </c>
      <c r="Y98">
        <f>IF(X98=0,0,_xlfn.XLOOKUP(C98,CLIENT_CODE!B:B,CLIENT_CODE!P:P,0))</f>
        <v>0</v>
      </c>
      <c r="Z98">
        <f>_xlfn.XLOOKUP(B98,CRN!G:G,CRN!U:U,"")</f>
        <v>0</v>
      </c>
      <c r="AA98">
        <f>IF(X98=0,0,_xlfn.XLOOKUP(C98,CLIENT_CODE!B:B,CLIENT_CODE!P:P,0))</f>
        <v>0</v>
      </c>
      <c r="AB98">
        <f>_xlfn.XLOOKUP(B98,CRN!G:G,CRN!V:V,"")</f>
        <v>0</v>
      </c>
      <c r="AC98">
        <f>IF(AB98=0,0,_xlfn.XLOOKUP(C98,CLIENT_CODE!B:B,CLIENT_CODE!R:R,0))</f>
        <v>0</v>
      </c>
      <c r="AD98">
        <f t="shared" si="1"/>
        <v>0</v>
      </c>
    </row>
    <row r="99" spans="1:30">
      <c r="A99" s="42">
        <v>98</v>
      </c>
      <c r="E99">
        <f>IF(D99=0,0,_xlfn.XLOOKUP(C99,CLIENT_CODE!B:B,CLIENT_CODE!F:F,0))</f>
        <v>0</v>
      </c>
      <c r="F99">
        <f>_xlfn.XLOOKUP(B99,CRN!G:G,CRN!K:K,"")</f>
        <v>0</v>
      </c>
      <c r="G99">
        <f>IF(F99=0,0,_xlfn.XLOOKUP(C99,CLIENT_CODE!B:B,CLIENT_CODE!G:G,0))</f>
        <v>0</v>
      </c>
      <c r="H99">
        <f>_xlfn.XLOOKUP(B99,CRN!G:G,CRN!L:L,"")</f>
        <v>0</v>
      </c>
      <c r="I99">
        <f>IF(H99=0,0,_xlfn.XLOOKUP(C99,CLIENT_CODE!B:B,CLIENT_CODE!H:H,0))</f>
        <v>0</v>
      </c>
      <c r="J99">
        <f>_xlfn.XLOOKUP(B99,CRN!G:G,CRN!M:M,"")</f>
        <v>0</v>
      </c>
      <c r="K99">
        <f>IF(J99=0,0,_xlfn.XLOOKUP(C99,CLIENT_CODE!B:B,CLIENT_CODE!I:I,0))</f>
        <v>0</v>
      </c>
      <c r="L99">
        <f>_xlfn.XLOOKUP(B99,CRN!G:G,CRN!N:N,"")</f>
        <v>0</v>
      </c>
      <c r="M99">
        <f>IF(L99=0,0,_xlfn.XLOOKUP(C99,CLIENT_CODE!B:B,CLIENT_CODE!J:J,0))</f>
        <v>0</v>
      </c>
      <c r="N99">
        <f>_xlfn.XLOOKUP(B99,CRN!G:G,CRN!O:O,"")</f>
        <v>0</v>
      </c>
      <c r="O99">
        <f>IF(N99=0,0,_xlfn.XLOOKUP(C99,CLIENT_CODE!B:B,CLIENT_CODE!K:K,0))</f>
        <v>0</v>
      </c>
      <c r="P99">
        <f>_xlfn.XLOOKUP(B99,CRN!G:G,CRN!P:P,"")</f>
        <v>0</v>
      </c>
      <c r="Q99">
        <f>IF(P99=0,0,_xlfn.XLOOKUP(C99,CLIENT_CODE!B:B,CLIENT_CODE!L:L,0))</f>
        <v>0</v>
      </c>
      <c r="R99">
        <f>_xlfn.XLOOKUP(B99,CRN!G:G,CRN!Q:Q,"")</f>
        <v>0</v>
      </c>
      <c r="S99">
        <f>IF(R99=0,0,_xlfn.XLOOKUP(C99,CLIENT_CODE!B:B,CLIENT_CODE!M:M,0))</f>
        <v>0</v>
      </c>
      <c r="T99">
        <f>_xlfn.XLOOKUP(B99,CRN!G:G,CRN!R:R,"")</f>
        <v>0</v>
      </c>
      <c r="U99">
        <f>IF(T99=0,0,_xlfn.XLOOKUP(C99,CLIENT_CODE!B:B,CLIENT_CODE!N:N,0))</f>
        <v>0</v>
      </c>
      <c r="V99">
        <f>_xlfn.XLOOKUP(B99,CRN!G:G,CRN!S:S,"")</f>
        <v>0</v>
      </c>
      <c r="W99">
        <f>IF(V99=0,0,_xlfn.XLOOKUP(C99,CLIENT_CODE!B:B,CLIENT_CODE!O:O,0))</f>
        <v>0</v>
      </c>
      <c r="X99">
        <f>_xlfn.XLOOKUP(B99,CRN!G:G,CRN!T:T,"")</f>
        <v>0</v>
      </c>
      <c r="Y99">
        <f>IF(X99=0,0,_xlfn.XLOOKUP(C99,CLIENT_CODE!B:B,CLIENT_CODE!P:P,0))</f>
        <v>0</v>
      </c>
      <c r="Z99">
        <f>_xlfn.XLOOKUP(B99,CRN!G:G,CRN!U:U,"")</f>
        <v>0</v>
      </c>
      <c r="AA99">
        <f>IF(X99=0,0,_xlfn.XLOOKUP(C99,CLIENT_CODE!B:B,CLIENT_CODE!P:P,0))</f>
        <v>0</v>
      </c>
      <c r="AB99">
        <f>_xlfn.XLOOKUP(B99,CRN!G:G,CRN!V:V,"")</f>
        <v>0</v>
      </c>
      <c r="AC99">
        <f>IF(AB99=0,0,_xlfn.XLOOKUP(C99,CLIENT_CODE!B:B,CLIENT_CODE!R:R,0))</f>
        <v>0</v>
      </c>
      <c r="AD99">
        <f t="shared" si="1"/>
        <v>0</v>
      </c>
    </row>
    <row r="100" spans="1:30">
      <c r="A100" s="42">
        <v>99</v>
      </c>
      <c r="E100">
        <f>IF(D100=0,0,_xlfn.XLOOKUP(C100,CLIENT_CODE!B:B,CLIENT_CODE!F:F,0))</f>
        <v>0</v>
      </c>
      <c r="F100">
        <f>_xlfn.XLOOKUP(B100,CRN!G:G,CRN!K:K,"")</f>
        <v>0</v>
      </c>
      <c r="G100">
        <f>IF(F100=0,0,_xlfn.XLOOKUP(C100,CLIENT_CODE!B:B,CLIENT_CODE!G:G,0))</f>
        <v>0</v>
      </c>
      <c r="H100">
        <f>_xlfn.XLOOKUP(B100,CRN!G:G,CRN!L:L,"")</f>
        <v>0</v>
      </c>
      <c r="I100">
        <f>IF(H100=0,0,_xlfn.XLOOKUP(C100,CLIENT_CODE!B:B,CLIENT_CODE!H:H,0))</f>
        <v>0</v>
      </c>
      <c r="J100">
        <f>_xlfn.XLOOKUP(B100,CRN!G:G,CRN!M:M,"")</f>
        <v>0</v>
      </c>
      <c r="K100">
        <f>IF(J100=0,0,_xlfn.XLOOKUP(C100,CLIENT_CODE!B:B,CLIENT_CODE!I:I,0))</f>
        <v>0</v>
      </c>
      <c r="L100">
        <f>_xlfn.XLOOKUP(B100,CRN!G:G,CRN!N:N,"")</f>
        <v>0</v>
      </c>
      <c r="M100">
        <f>IF(L100=0,0,_xlfn.XLOOKUP(C100,CLIENT_CODE!B:B,CLIENT_CODE!J:J,0))</f>
        <v>0</v>
      </c>
      <c r="N100">
        <f>_xlfn.XLOOKUP(B100,CRN!G:G,CRN!O:O,"")</f>
        <v>0</v>
      </c>
      <c r="O100">
        <f>IF(N100=0,0,_xlfn.XLOOKUP(C100,CLIENT_CODE!B:B,CLIENT_CODE!K:K,0))</f>
        <v>0</v>
      </c>
      <c r="P100">
        <f>_xlfn.XLOOKUP(B100,CRN!G:G,CRN!P:P,"")</f>
        <v>0</v>
      </c>
      <c r="Q100">
        <f>IF(P100=0,0,_xlfn.XLOOKUP(C100,CLIENT_CODE!B:B,CLIENT_CODE!L:L,0))</f>
        <v>0</v>
      </c>
      <c r="R100">
        <f>_xlfn.XLOOKUP(B100,CRN!G:G,CRN!Q:Q,"")</f>
        <v>0</v>
      </c>
      <c r="S100">
        <f>IF(R100=0,0,_xlfn.XLOOKUP(C100,CLIENT_CODE!B:B,CLIENT_CODE!M:M,0))</f>
        <v>0</v>
      </c>
      <c r="T100">
        <f>_xlfn.XLOOKUP(B100,CRN!G:G,CRN!R:R,"")</f>
        <v>0</v>
      </c>
      <c r="U100">
        <f>IF(T100=0,0,_xlfn.XLOOKUP(C100,CLIENT_CODE!B:B,CLIENT_CODE!N:N,0))</f>
        <v>0</v>
      </c>
      <c r="V100">
        <f>_xlfn.XLOOKUP(B100,CRN!G:G,CRN!S:S,"")</f>
        <v>0</v>
      </c>
      <c r="W100">
        <f>IF(V100=0,0,_xlfn.XLOOKUP(C100,CLIENT_CODE!B:B,CLIENT_CODE!O:O,0))</f>
        <v>0</v>
      </c>
      <c r="X100">
        <f>_xlfn.XLOOKUP(B100,CRN!G:G,CRN!T:T,"")</f>
        <v>0</v>
      </c>
      <c r="Y100">
        <f>IF(X100=0,0,_xlfn.XLOOKUP(C100,CLIENT_CODE!B:B,CLIENT_CODE!P:P,0))</f>
        <v>0</v>
      </c>
      <c r="Z100">
        <f>_xlfn.XLOOKUP(B100,CRN!G:G,CRN!U:U,"")</f>
        <v>0</v>
      </c>
      <c r="AA100">
        <f>IF(X100=0,0,_xlfn.XLOOKUP(C100,CLIENT_CODE!B:B,CLIENT_CODE!P:P,0))</f>
        <v>0</v>
      </c>
      <c r="AB100">
        <f>_xlfn.XLOOKUP(B100,CRN!G:G,CRN!V:V,"")</f>
        <v>0</v>
      </c>
      <c r="AC100">
        <f>IF(AB100=0,0,_xlfn.XLOOKUP(C100,CLIENT_CODE!B:B,CLIENT_CODE!R:R,0))</f>
        <v>0</v>
      </c>
      <c r="AD100">
        <f t="shared" si="1"/>
        <v>0</v>
      </c>
    </row>
    <row r="101" spans="1:30">
      <c r="A101" s="42">
        <v>100</v>
      </c>
      <c r="E101">
        <f>IF(D101=0,0,_xlfn.XLOOKUP(C101,CLIENT_CODE!B:B,CLIENT_CODE!F:F,0))</f>
        <v>0</v>
      </c>
      <c r="F101">
        <f>_xlfn.XLOOKUP(B101,CRN!G:G,CRN!K:K,"")</f>
        <v>0</v>
      </c>
      <c r="G101">
        <f>IF(F101=0,0,_xlfn.XLOOKUP(C101,CLIENT_CODE!B:B,CLIENT_CODE!G:G,0))</f>
        <v>0</v>
      </c>
      <c r="H101">
        <f>_xlfn.XLOOKUP(B101,CRN!G:G,CRN!L:L,"")</f>
        <v>0</v>
      </c>
      <c r="I101">
        <f>IF(H101=0,0,_xlfn.XLOOKUP(C101,CLIENT_CODE!B:B,CLIENT_CODE!H:H,0))</f>
        <v>0</v>
      </c>
      <c r="J101">
        <f>_xlfn.XLOOKUP(B101,CRN!G:G,CRN!M:M,"")</f>
        <v>0</v>
      </c>
      <c r="K101">
        <f>IF(J101=0,0,_xlfn.XLOOKUP(C101,CLIENT_CODE!B:B,CLIENT_CODE!I:I,0))</f>
        <v>0</v>
      </c>
      <c r="L101">
        <f>_xlfn.XLOOKUP(B101,CRN!G:G,CRN!N:N,"")</f>
        <v>0</v>
      </c>
      <c r="M101">
        <f>IF(L101=0,0,_xlfn.XLOOKUP(C101,CLIENT_CODE!B:B,CLIENT_CODE!J:J,0))</f>
        <v>0</v>
      </c>
      <c r="N101">
        <f>_xlfn.XLOOKUP(B101,CRN!G:G,CRN!O:O,"")</f>
        <v>0</v>
      </c>
      <c r="O101">
        <f>IF(N101=0,0,_xlfn.XLOOKUP(C101,CLIENT_CODE!B:B,CLIENT_CODE!K:K,0))</f>
        <v>0</v>
      </c>
      <c r="P101">
        <f>_xlfn.XLOOKUP(B101,CRN!G:G,CRN!P:P,"")</f>
        <v>0</v>
      </c>
      <c r="Q101">
        <f>IF(P101=0,0,_xlfn.XLOOKUP(C101,CLIENT_CODE!B:B,CLIENT_CODE!L:L,0))</f>
        <v>0</v>
      </c>
      <c r="R101">
        <f>_xlfn.XLOOKUP(B101,CRN!G:G,CRN!Q:Q,"")</f>
        <v>0</v>
      </c>
      <c r="S101">
        <f>IF(R101=0,0,_xlfn.XLOOKUP(C101,CLIENT_CODE!B:B,CLIENT_CODE!M:M,0))</f>
        <v>0</v>
      </c>
      <c r="T101">
        <f>_xlfn.XLOOKUP(B101,CRN!G:G,CRN!R:R,"")</f>
        <v>0</v>
      </c>
      <c r="U101">
        <f>IF(T101=0,0,_xlfn.XLOOKUP(C101,CLIENT_CODE!B:B,CLIENT_CODE!N:N,0))</f>
        <v>0</v>
      </c>
      <c r="V101">
        <f>_xlfn.XLOOKUP(B101,CRN!G:G,CRN!S:S,"")</f>
        <v>0</v>
      </c>
      <c r="W101">
        <f>IF(V101=0,0,_xlfn.XLOOKUP(C101,CLIENT_CODE!B:B,CLIENT_CODE!O:O,0))</f>
        <v>0</v>
      </c>
      <c r="X101">
        <f>_xlfn.XLOOKUP(B101,CRN!G:G,CRN!T:T,"")</f>
        <v>0</v>
      </c>
      <c r="Y101">
        <f>IF(X101=0,0,_xlfn.XLOOKUP(C101,CLIENT_CODE!B:B,CLIENT_CODE!P:P,0))</f>
        <v>0</v>
      </c>
      <c r="Z101">
        <f>_xlfn.XLOOKUP(B101,CRN!G:G,CRN!U:U,"")</f>
        <v>0</v>
      </c>
      <c r="AA101">
        <f>IF(X101=0,0,_xlfn.XLOOKUP(C101,CLIENT_CODE!B:B,CLIENT_CODE!P:P,0))</f>
        <v>0</v>
      </c>
      <c r="AB101">
        <f>_xlfn.XLOOKUP(B101,CRN!G:G,CRN!V:V,"")</f>
        <v>0</v>
      </c>
      <c r="AC101">
        <f>IF(AB101=0,0,_xlfn.XLOOKUP(C101,CLIENT_CODE!B:B,CLIENT_CODE!R:R,0))</f>
        <v>0</v>
      </c>
      <c r="AD101">
        <f t="shared" si="1"/>
        <v>0</v>
      </c>
    </row>
    <row r="102" spans="1:30">
      <c r="A102" s="42">
        <v>101</v>
      </c>
      <c r="E102">
        <f>IF(D102=0,0,_xlfn.XLOOKUP(C102,CLIENT_CODE!B:B,CLIENT_CODE!F:F,0))</f>
        <v>0</v>
      </c>
      <c r="F102">
        <f>_xlfn.XLOOKUP(B102,CRN!G:G,CRN!K:K,"")</f>
        <v>0</v>
      </c>
      <c r="G102">
        <f>IF(F102=0,0,_xlfn.XLOOKUP(C102,CLIENT_CODE!B:B,CLIENT_CODE!G:G,0))</f>
        <v>0</v>
      </c>
      <c r="H102">
        <f>_xlfn.XLOOKUP(B102,CRN!G:G,CRN!L:L,"")</f>
        <v>0</v>
      </c>
      <c r="I102">
        <f>IF(H102=0,0,_xlfn.XLOOKUP(C102,CLIENT_CODE!B:B,CLIENT_CODE!H:H,0))</f>
        <v>0</v>
      </c>
      <c r="J102">
        <f>_xlfn.XLOOKUP(B102,CRN!G:G,CRN!M:M,"")</f>
        <v>0</v>
      </c>
      <c r="K102">
        <f>IF(J102=0,0,_xlfn.XLOOKUP(C102,CLIENT_CODE!B:B,CLIENT_CODE!I:I,0))</f>
        <v>0</v>
      </c>
      <c r="L102">
        <f>_xlfn.XLOOKUP(B102,CRN!G:G,CRN!N:N,"")</f>
        <v>0</v>
      </c>
      <c r="M102">
        <f>IF(L102=0,0,_xlfn.XLOOKUP(C102,CLIENT_CODE!B:B,CLIENT_CODE!J:J,0))</f>
        <v>0</v>
      </c>
      <c r="N102">
        <f>_xlfn.XLOOKUP(B102,CRN!G:G,CRN!O:O,"")</f>
        <v>0</v>
      </c>
      <c r="O102">
        <f>IF(N102=0,0,_xlfn.XLOOKUP(C102,CLIENT_CODE!B:B,CLIENT_CODE!K:K,0))</f>
        <v>0</v>
      </c>
      <c r="P102">
        <f>_xlfn.XLOOKUP(B102,CRN!G:G,CRN!P:P,"")</f>
        <v>0</v>
      </c>
      <c r="Q102">
        <f>IF(P102=0,0,_xlfn.XLOOKUP(C102,CLIENT_CODE!B:B,CLIENT_CODE!L:L,0))</f>
        <v>0</v>
      </c>
      <c r="R102">
        <f>_xlfn.XLOOKUP(B102,CRN!G:G,CRN!Q:Q,"")</f>
        <v>0</v>
      </c>
      <c r="S102">
        <f>IF(R102=0,0,_xlfn.XLOOKUP(C102,CLIENT_CODE!B:B,CLIENT_CODE!M:M,0))</f>
        <v>0</v>
      </c>
      <c r="T102">
        <f>_xlfn.XLOOKUP(B102,CRN!G:G,CRN!R:R,"")</f>
        <v>0</v>
      </c>
      <c r="U102">
        <f>IF(T102=0,0,_xlfn.XLOOKUP(C102,CLIENT_CODE!B:B,CLIENT_CODE!N:N,0))</f>
        <v>0</v>
      </c>
      <c r="V102">
        <f>_xlfn.XLOOKUP(B102,CRN!G:G,CRN!S:S,"")</f>
        <v>0</v>
      </c>
      <c r="W102">
        <f>IF(V102=0,0,_xlfn.XLOOKUP(C102,CLIENT_CODE!B:B,CLIENT_CODE!O:O,0))</f>
        <v>0</v>
      </c>
      <c r="X102">
        <f>_xlfn.XLOOKUP(B102,CRN!G:G,CRN!T:T,"")</f>
        <v>0</v>
      </c>
      <c r="Y102">
        <f>IF(X102=0,0,_xlfn.XLOOKUP(C102,CLIENT_CODE!B:B,CLIENT_CODE!P:P,0))</f>
        <v>0</v>
      </c>
      <c r="Z102">
        <f>_xlfn.XLOOKUP(B102,CRN!G:G,CRN!U:U,"")</f>
        <v>0</v>
      </c>
      <c r="AA102">
        <f>IF(X102=0,0,_xlfn.XLOOKUP(C102,CLIENT_CODE!B:B,CLIENT_CODE!P:P,0))</f>
        <v>0</v>
      </c>
      <c r="AB102">
        <f>_xlfn.XLOOKUP(B102,CRN!G:G,CRN!V:V,"")</f>
        <v>0</v>
      </c>
      <c r="AC102">
        <f>IF(AB102=0,0,_xlfn.XLOOKUP(C102,CLIENT_CODE!B:B,CLIENT_CODE!R:R,0))</f>
        <v>0</v>
      </c>
      <c r="AD102">
        <f t="shared" si="1"/>
        <v>0</v>
      </c>
    </row>
    <row r="103" spans="1:30">
      <c r="A103" s="42">
        <v>102</v>
      </c>
      <c r="E103">
        <f>IF(D103=0,0,_xlfn.XLOOKUP(C103,CLIENT_CODE!B:B,CLIENT_CODE!F:F,0))</f>
        <v>0</v>
      </c>
      <c r="F103">
        <f>_xlfn.XLOOKUP(B103,CRN!G:G,CRN!K:K,"")</f>
        <v>0</v>
      </c>
      <c r="G103">
        <f>IF(F103=0,0,_xlfn.XLOOKUP(C103,CLIENT_CODE!B:B,CLIENT_CODE!G:G,0))</f>
        <v>0</v>
      </c>
      <c r="H103">
        <f>_xlfn.XLOOKUP(B103,CRN!G:G,CRN!L:L,"")</f>
        <v>0</v>
      </c>
      <c r="I103">
        <f>IF(H103=0,0,_xlfn.XLOOKUP(C103,CLIENT_CODE!B:B,CLIENT_CODE!H:H,0))</f>
        <v>0</v>
      </c>
      <c r="J103">
        <f>_xlfn.XLOOKUP(B103,CRN!G:G,CRN!M:M,"")</f>
        <v>0</v>
      </c>
      <c r="K103">
        <f>IF(J103=0,0,_xlfn.XLOOKUP(C103,CLIENT_CODE!B:B,CLIENT_CODE!I:I,0))</f>
        <v>0</v>
      </c>
      <c r="L103">
        <f>_xlfn.XLOOKUP(B103,CRN!G:G,CRN!N:N,"")</f>
        <v>0</v>
      </c>
      <c r="M103">
        <f>IF(L103=0,0,_xlfn.XLOOKUP(C103,CLIENT_CODE!B:B,CLIENT_CODE!J:J,0))</f>
        <v>0</v>
      </c>
      <c r="N103">
        <f>_xlfn.XLOOKUP(B103,CRN!G:G,CRN!O:O,"")</f>
        <v>0</v>
      </c>
      <c r="O103">
        <f>IF(N103=0,0,_xlfn.XLOOKUP(C103,CLIENT_CODE!B:B,CLIENT_CODE!K:K,0))</f>
        <v>0</v>
      </c>
      <c r="P103">
        <f>_xlfn.XLOOKUP(B103,CRN!G:G,CRN!P:P,"")</f>
        <v>0</v>
      </c>
      <c r="Q103">
        <f>IF(P103=0,0,_xlfn.XLOOKUP(C103,CLIENT_CODE!B:B,CLIENT_CODE!L:L,0))</f>
        <v>0</v>
      </c>
      <c r="R103">
        <f>_xlfn.XLOOKUP(B103,CRN!G:G,CRN!Q:Q,"")</f>
        <v>0</v>
      </c>
      <c r="S103">
        <f>IF(R103=0,0,_xlfn.XLOOKUP(C103,CLIENT_CODE!B:B,CLIENT_CODE!M:M,0))</f>
        <v>0</v>
      </c>
      <c r="T103">
        <f>_xlfn.XLOOKUP(B103,CRN!G:G,CRN!R:R,"")</f>
        <v>0</v>
      </c>
      <c r="U103">
        <f>IF(T103=0,0,_xlfn.XLOOKUP(C103,CLIENT_CODE!B:B,CLIENT_CODE!N:N,0))</f>
        <v>0</v>
      </c>
      <c r="V103">
        <f>_xlfn.XLOOKUP(B103,CRN!G:G,CRN!S:S,"")</f>
        <v>0</v>
      </c>
      <c r="W103">
        <f>IF(V103=0,0,_xlfn.XLOOKUP(C103,CLIENT_CODE!B:B,CLIENT_CODE!O:O,0))</f>
        <v>0</v>
      </c>
      <c r="X103">
        <f>_xlfn.XLOOKUP(B103,CRN!G:G,CRN!T:T,"")</f>
        <v>0</v>
      </c>
      <c r="Y103">
        <f>IF(X103=0,0,_xlfn.XLOOKUP(C103,CLIENT_CODE!B:B,CLIENT_CODE!P:P,0))</f>
        <v>0</v>
      </c>
      <c r="Z103">
        <f>_xlfn.XLOOKUP(B103,CRN!G:G,CRN!U:U,"")</f>
        <v>0</v>
      </c>
      <c r="AA103">
        <f>IF(X103=0,0,_xlfn.XLOOKUP(C103,CLIENT_CODE!B:B,CLIENT_CODE!P:P,0))</f>
        <v>0</v>
      </c>
      <c r="AB103">
        <f>_xlfn.XLOOKUP(B103,CRN!G:G,CRN!V:V,"")</f>
        <v>0</v>
      </c>
      <c r="AC103">
        <f>IF(AB103=0,0,_xlfn.XLOOKUP(C103,CLIENT_CODE!B:B,CLIENT_CODE!R:R,0))</f>
        <v>0</v>
      </c>
      <c r="AD103">
        <f t="shared" si="1"/>
        <v>0</v>
      </c>
    </row>
    <row r="104" spans="1:30">
      <c r="A104" s="42">
        <v>103</v>
      </c>
      <c r="E104">
        <f>IF(D104=0,0,_xlfn.XLOOKUP(C104,CLIENT_CODE!B:B,CLIENT_CODE!F:F,0))</f>
        <v>0</v>
      </c>
      <c r="F104">
        <f>_xlfn.XLOOKUP(B104,CRN!G:G,CRN!K:K,"")</f>
        <v>0</v>
      </c>
      <c r="G104">
        <f>IF(F104=0,0,_xlfn.XLOOKUP(C104,CLIENT_CODE!B:B,CLIENT_CODE!G:G,0))</f>
        <v>0</v>
      </c>
      <c r="H104">
        <f>_xlfn.XLOOKUP(B104,CRN!G:G,CRN!L:L,"")</f>
        <v>0</v>
      </c>
      <c r="I104">
        <f>IF(H104=0,0,_xlfn.XLOOKUP(C104,CLIENT_CODE!B:B,CLIENT_CODE!H:H,0))</f>
        <v>0</v>
      </c>
      <c r="J104">
        <f>_xlfn.XLOOKUP(B104,CRN!G:G,CRN!M:M,"")</f>
        <v>0</v>
      </c>
      <c r="K104">
        <f>IF(J104=0,0,_xlfn.XLOOKUP(C104,CLIENT_CODE!B:B,CLIENT_CODE!I:I,0))</f>
        <v>0</v>
      </c>
      <c r="L104">
        <f>_xlfn.XLOOKUP(B104,CRN!G:G,CRN!N:N,"")</f>
        <v>0</v>
      </c>
      <c r="M104">
        <f>IF(L104=0,0,_xlfn.XLOOKUP(C104,CLIENT_CODE!B:B,CLIENT_CODE!J:J,0))</f>
        <v>0</v>
      </c>
      <c r="N104">
        <f>_xlfn.XLOOKUP(B104,CRN!G:G,CRN!O:O,"")</f>
        <v>0</v>
      </c>
      <c r="O104">
        <f>IF(N104=0,0,_xlfn.XLOOKUP(C104,CLIENT_CODE!B:B,CLIENT_CODE!K:K,0))</f>
        <v>0</v>
      </c>
      <c r="P104">
        <f>_xlfn.XLOOKUP(B104,CRN!G:G,CRN!P:P,"")</f>
        <v>0</v>
      </c>
      <c r="Q104">
        <f>IF(P104=0,0,_xlfn.XLOOKUP(C104,CLIENT_CODE!B:B,CLIENT_CODE!L:L,0))</f>
        <v>0</v>
      </c>
      <c r="R104">
        <f>_xlfn.XLOOKUP(B104,CRN!G:G,CRN!Q:Q,"")</f>
        <v>0</v>
      </c>
      <c r="S104">
        <f>IF(R104=0,0,_xlfn.XLOOKUP(C104,CLIENT_CODE!B:B,CLIENT_CODE!M:M,0))</f>
        <v>0</v>
      </c>
      <c r="T104">
        <f>_xlfn.XLOOKUP(B104,CRN!G:G,CRN!R:R,"")</f>
        <v>0</v>
      </c>
      <c r="U104">
        <f>IF(T104=0,0,_xlfn.XLOOKUP(C104,CLIENT_CODE!B:B,CLIENT_CODE!N:N,0))</f>
        <v>0</v>
      </c>
      <c r="V104">
        <f>_xlfn.XLOOKUP(B104,CRN!G:G,CRN!S:S,"")</f>
        <v>0</v>
      </c>
      <c r="W104">
        <f>IF(V104=0,0,_xlfn.XLOOKUP(C104,CLIENT_CODE!B:B,CLIENT_CODE!O:O,0))</f>
        <v>0</v>
      </c>
      <c r="X104">
        <f>_xlfn.XLOOKUP(B104,CRN!G:G,CRN!T:T,"")</f>
        <v>0</v>
      </c>
      <c r="Y104">
        <f>IF(X104=0,0,_xlfn.XLOOKUP(C104,CLIENT_CODE!B:B,CLIENT_CODE!P:P,0))</f>
        <v>0</v>
      </c>
      <c r="Z104">
        <f>_xlfn.XLOOKUP(B104,CRN!G:G,CRN!U:U,"")</f>
        <v>0</v>
      </c>
      <c r="AA104">
        <f>IF(X104=0,0,_xlfn.XLOOKUP(C104,CLIENT_CODE!B:B,CLIENT_CODE!P:P,0))</f>
        <v>0</v>
      </c>
      <c r="AB104">
        <f>_xlfn.XLOOKUP(B104,CRN!G:G,CRN!V:V,"")</f>
        <v>0</v>
      </c>
      <c r="AC104">
        <f>IF(AB104=0,0,_xlfn.XLOOKUP(C104,CLIENT_CODE!B:B,CLIENT_CODE!R:R,0))</f>
        <v>0</v>
      </c>
      <c r="AD104">
        <f t="shared" si="1"/>
        <v>0</v>
      </c>
    </row>
    <row r="105" spans="1:30">
      <c r="A105" s="42">
        <v>104</v>
      </c>
      <c r="E105">
        <f>IF(D105=0,0,_xlfn.XLOOKUP(C105,CLIENT_CODE!B:B,CLIENT_CODE!F:F,0))</f>
        <v>0</v>
      </c>
      <c r="F105">
        <f>_xlfn.XLOOKUP(B105,CRN!G:G,CRN!K:K,"")</f>
        <v>0</v>
      </c>
      <c r="G105">
        <f>IF(F105=0,0,_xlfn.XLOOKUP(C105,CLIENT_CODE!B:B,CLIENT_CODE!G:G,0))</f>
        <v>0</v>
      </c>
      <c r="H105">
        <f>_xlfn.XLOOKUP(B105,CRN!G:G,CRN!L:L,"")</f>
        <v>0</v>
      </c>
      <c r="I105">
        <f>IF(H105=0,0,_xlfn.XLOOKUP(C105,CLIENT_CODE!B:B,CLIENT_CODE!H:H,0))</f>
        <v>0</v>
      </c>
      <c r="J105">
        <f>_xlfn.XLOOKUP(B105,CRN!G:G,CRN!M:M,"")</f>
        <v>0</v>
      </c>
      <c r="K105">
        <f>IF(J105=0,0,_xlfn.XLOOKUP(C105,CLIENT_CODE!B:B,CLIENT_CODE!I:I,0))</f>
        <v>0</v>
      </c>
      <c r="L105">
        <f>_xlfn.XLOOKUP(B105,CRN!G:G,CRN!N:N,"")</f>
        <v>0</v>
      </c>
      <c r="M105">
        <f>IF(L105=0,0,_xlfn.XLOOKUP(C105,CLIENT_CODE!B:B,CLIENT_CODE!J:J,0))</f>
        <v>0</v>
      </c>
      <c r="N105">
        <f>_xlfn.XLOOKUP(B105,CRN!G:G,CRN!O:O,"")</f>
        <v>0</v>
      </c>
      <c r="O105">
        <f>IF(N105=0,0,_xlfn.XLOOKUP(C105,CLIENT_CODE!B:B,CLIENT_CODE!K:K,0))</f>
        <v>0</v>
      </c>
      <c r="P105">
        <f>_xlfn.XLOOKUP(B105,CRN!G:G,CRN!P:P,"")</f>
        <v>0</v>
      </c>
      <c r="Q105">
        <f>IF(P105=0,0,_xlfn.XLOOKUP(C105,CLIENT_CODE!B:B,CLIENT_CODE!L:L,0))</f>
        <v>0</v>
      </c>
      <c r="R105">
        <f>_xlfn.XLOOKUP(B105,CRN!G:G,CRN!Q:Q,"")</f>
        <v>0</v>
      </c>
      <c r="S105">
        <f>IF(R105=0,0,_xlfn.XLOOKUP(C105,CLIENT_CODE!B:B,CLIENT_CODE!M:M,0))</f>
        <v>0</v>
      </c>
      <c r="T105">
        <f>_xlfn.XLOOKUP(B105,CRN!G:G,CRN!R:R,"")</f>
        <v>0</v>
      </c>
      <c r="U105">
        <f>IF(T105=0,0,_xlfn.XLOOKUP(C105,CLIENT_CODE!B:B,CLIENT_CODE!N:N,0))</f>
        <v>0</v>
      </c>
      <c r="V105">
        <f>_xlfn.XLOOKUP(B105,CRN!G:G,CRN!S:S,"")</f>
        <v>0</v>
      </c>
      <c r="W105">
        <f>IF(V105=0,0,_xlfn.XLOOKUP(C105,CLIENT_CODE!B:B,CLIENT_CODE!O:O,0))</f>
        <v>0</v>
      </c>
      <c r="X105">
        <f>_xlfn.XLOOKUP(B105,CRN!G:G,CRN!T:T,"")</f>
        <v>0</v>
      </c>
      <c r="Y105">
        <f>IF(X105=0,0,_xlfn.XLOOKUP(C105,CLIENT_CODE!B:B,CLIENT_CODE!P:P,0))</f>
        <v>0</v>
      </c>
      <c r="Z105">
        <f>_xlfn.XLOOKUP(B105,CRN!G:G,CRN!U:U,"")</f>
        <v>0</v>
      </c>
      <c r="AA105">
        <f>IF(X105=0,0,_xlfn.XLOOKUP(C105,CLIENT_CODE!B:B,CLIENT_CODE!P:P,0))</f>
        <v>0</v>
      </c>
      <c r="AB105">
        <f>_xlfn.XLOOKUP(B105,CRN!G:G,CRN!V:V,"")</f>
        <v>0</v>
      </c>
      <c r="AC105">
        <f>IF(AB105=0,0,_xlfn.XLOOKUP(C105,CLIENT_CODE!B:B,CLIENT_CODE!R:R,0))</f>
        <v>0</v>
      </c>
      <c r="AD105">
        <f t="shared" si="1"/>
        <v>0</v>
      </c>
    </row>
    <row r="106" spans="1:30">
      <c r="A106" s="42">
        <v>105</v>
      </c>
      <c r="E106">
        <f>IF(D106=0,0,_xlfn.XLOOKUP(C106,CLIENT_CODE!B:B,CLIENT_CODE!F:F,0))</f>
        <v>0</v>
      </c>
      <c r="F106">
        <f>_xlfn.XLOOKUP(B106,CRN!G:G,CRN!K:K,"")</f>
        <v>0</v>
      </c>
      <c r="G106">
        <f>IF(F106=0,0,_xlfn.XLOOKUP(C106,CLIENT_CODE!B:B,CLIENT_CODE!G:G,0))</f>
        <v>0</v>
      </c>
      <c r="H106">
        <f>_xlfn.XLOOKUP(B106,CRN!G:G,CRN!L:L,"")</f>
        <v>0</v>
      </c>
      <c r="I106">
        <f>IF(H106=0,0,_xlfn.XLOOKUP(C106,CLIENT_CODE!B:B,CLIENT_CODE!H:H,0))</f>
        <v>0</v>
      </c>
      <c r="J106">
        <f>_xlfn.XLOOKUP(B106,CRN!G:G,CRN!M:M,"")</f>
        <v>0</v>
      </c>
      <c r="K106">
        <f>IF(J106=0,0,_xlfn.XLOOKUP(C106,CLIENT_CODE!B:B,CLIENT_CODE!I:I,0))</f>
        <v>0</v>
      </c>
      <c r="L106">
        <f>_xlfn.XLOOKUP(B106,CRN!G:G,CRN!N:N,"")</f>
        <v>0</v>
      </c>
      <c r="M106">
        <f>IF(L106=0,0,_xlfn.XLOOKUP(C106,CLIENT_CODE!B:B,CLIENT_CODE!J:J,0))</f>
        <v>0</v>
      </c>
      <c r="N106">
        <f>_xlfn.XLOOKUP(B106,CRN!G:G,CRN!O:O,"")</f>
        <v>0</v>
      </c>
      <c r="O106">
        <f>IF(N106=0,0,_xlfn.XLOOKUP(C106,CLIENT_CODE!B:B,CLIENT_CODE!K:K,0))</f>
        <v>0</v>
      </c>
      <c r="P106">
        <f>_xlfn.XLOOKUP(B106,CRN!G:G,CRN!P:P,"")</f>
        <v>0</v>
      </c>
      <c r="Q106">
        <f>IF(P106=0,0,_xlfn.XLOOKUP(C106,CLIENT_CODE!B:B,CLIENT_CODE!L:L,0))</f>
        <v>0</v>
      </c>
      <c r="R106">
        <f>_xlfn.XLOOKUP(B106,CRN!G:G,CRN!Q:Q,"")</f>
        <v>0</v>
      </c>
      <c r="S106">
        <f>IF(R106=0,0,_xlfn.XLOOKUP(C106,CLIENT_CODE!B:B,CLIENT_CODE!M:M,0))</f>
        <v>0</v>
      </c>
      <c r="T106">
        <f>_xlfn.XLOOKUP(B106,CRN!G:G,CRN!R:R,"")</f>
        <v>0</v>
      </c>
      <c r="U106">
        <f>IF(T106=0,0,_xlfn.XLOOKUP(C106,CLIENT_CODE!B:B,CLIENT_CODE!N:N,0))</f>
        <v>0</v>
      </c>
      <c r="V106">
        <f>_xlfn.XLOOKUP(B106,CRN!G:G,CRN!S:S,"")</f>
        <v>0</v>
      </c>
      <c r="W106">
        <f>IF(V106=0,0,_xlfn.XLOOKUP(C106,CLIENT_CODE!B:B,CLIENT_CODE!O:O,0))</f>
        <v>0</v>
      </c>
      <c r="X106">
        <f>_xlfn.XLOOKUP(B106,CRN!G:G,CRN!T:T,"")</f>
        <v>0</v>
      </c>
      <c r="Y106">
        <f>IF(X106=0,0,_xlfn.XLOOKUP(C106,CLIENT_CODE!B:B,CLIENT_CODE!P:P,0))</f>
        <v>0</v>
      </c>
      <c r="Z106">
        <f>_xlfn.XLOOKUP(B106,CRN!G:G,CRN!U:U,"")</f>
        <v>0</v>
      </c>
      <c r="AA106">
        <f>IF(X106=0,0,_xlfn.XLOOKUP(C106,CLIENT_CODE!B:B,CLIENT_CODE!P:P,0))</f>
        <v>0</v>
      </c>
      <c r="AB106">
        <f>_xlfn.XLOOKUP(B106,CRN!G:G,CRN!V:V,"")</f>
        <v>0</v>
      </c>
      <c r="AC106">
        <f>IF(AB106=0,0,_xlfn.XLOOKUP(C106,CLIENT_CODE!B:B,CLIENT_CODE!R:R,0))</f>
        <v>0</v>
      </c>
      <c r="AD106">
        <f t="shared" si="1"/>
        <v>0</v>
      </c>
    </row>
    <row r="107" spans="1:30">
      <c r="A107" s="42">
        <v>106</v>
      </c>
      <c r="E107">
        <f>IF(D107=0,0,_xlfn.XLOOKUP(C107,CLIENT_CODE!B:B,CLIENT_CODE!F:F,0))</f>
        <v>0</v>
      </c>
      <c r="F107">
        <f>_xlfn.XLOOKUP(B107,CRN!G:G,CRN!K:K,"")</f>
        <v>0</v>
      </c>
      <c r="G107">
        <f>IF(F107=0,0,_xlfn.XLOOKUP(C107,CLIENT_CODE!B:B,CLIENT_CODE!G:G,0))</f>
        <v>0</v>
      </c>
      <c r="H107">
        <f>_xlfn.XLOOKUP(B107,CRN!G:G,CRN!L:L,"")</f>
        <v>0</v>
      </c>
      <c r="I107">
        <f>IF(H107=0,0,_xlfn.XLOOKUP(C107,CLIENT_CODE!B:B,CLIENT_CODE!H:H,0))</f>
        <v>0</v>
      </c>
      <c r="J107">
        <f>_xlfn.XLOOKUP(B107,CRN!G:G,CRN!M:M,"")</f>
        <v>0</v>
      </c>
      <c r="K107">
        <f>IF(J107=0,0,_xlfn.XLOOKUP(C107,CLIENT_CODE!B:B,CLIENT_CODE!I:I,0))</f>
        <v>0</v>
      </c>
      <c r="L107">
        <f>_xlfn.XLOOKUP(B107,CRN!G:G,CRN!N:N,"")</f>
        <v>0</v>
      </c>
      <c r="M107">
        <f>IF(L107=0,0,_xlfn.XLOOKUP(C107,CLIENT_CODE!B:B,CLIENT_CODE!J:J,0))</f>
        <v>0</v>
      </c>
      <c r="N107">
        <f>_xlfn.XLOOKUP(B107,CRN!G:G,CRN!O:O,"")</f>
        <v>0</v>
      </c>
      <c r="O107">
        <f>IF(N107=0,0,_xlfn.XLOOKUP(C107,CLIENT_CODE!B:B,CLIENT_CODE!K:K,0))</f>
        <v>0</v>
      </c>
      <c r="P107">
        <f>_xlfn.XLOOKUP(B107,CRN!G:G,CRN!P:P,"")</f>
        <v>0</v>
      </c>
      <c r="Q107">
        <f>IF(P107=0,0,_xlfn.XLOOKUP(C107,CLIENT_CODE!B:B,CLIENT_CODE!L:L,0))</f>
        <v>0</v>
      </c>
      <c r="R107">
        <f>_xlfn.XLOOKUP(B107,CRN!G:G,CRN!Q:Q,"")</f>
        <v>0</v>
      </c>
      <c r="S107">
        <f>IF(R107=0,0,_xlfn.XLOOKUP(C107,CLIENT_CODE!B:B,CLIENT_CODE!M:M,0))</f>
        <v>0</v>
      </c>
      <c r="T107">
        <f>_xlfn.XLOOKUP(B107,CRN!G:G,CRN!R:R,"")</f>
        <v>0</v>
      </c>
      <c r="U107">
        <f>IF(T107=0,0,_xlfn.XLOOKUP(C107,CLIENT_CODE!B:B,CLIENT_CODE!N:N,0))</f>
        <v>0</v>
      </c>
      <c r="V107">
        <f>_xlfn.XLOOKUP(B107,CRN!G:G,CRN!S:S,"")</f>
        <v>0</v>
      </c>
      <c r="W107">
        <f>IF(V107=0,0,_xlfn.XLOOKUP(C107,CLIENT_CODE!B:B,CLIENT_CODE!O:O,0))</f>
        <v>0</v>
      </c>
      <c r="X107">
        <f>_xlfn.XLOOKUP(B107,CRN!G:G,CRN!T:T,"")</f>
        <v>0</v>
      </c>
      <c r="Y107">
        <f>IF(X107=0,0,_xlfn.XLOOKUP(C107,CLIENT_CODE!B:B,CLIENT_CODE!P:P,0))</f>
        <v>0</v>
      </c>
      <c r="Z107">
        <f>_xlfn.XLOOKUP(B107,CRN!G:G,CRN!U:U,"")</f>
        <v>0</v>
      </c>
      <c r="AA107">
        <f>IF(X107=0,0,_xlfn.XLOOKUP(C107,CLIENT_CODE!B:B,CLIENT_CODE!P:P,0))</f>
        <v>0</v>
      </c>
      <c r="AB107">
        <f>_xlfn.XLOOKUP(B107,CRN!G:G,CRN!V:V,"")</f>
        <v>0</v>
      </c>
      <c r="AC107">
        <f>IF(AB107=0,0,_xlfn.XLOOKUP(C107,CLIENT_CODE!B:B,CLIENT_CODE!R:R,0))</f>
        <v>0</v>
      </c>
      <c r="AD107">
        <f t="shared" si="1"/>
        <v>0</v>
      </c>
    </row>
    <row r="108" spans="1:30">
      <c r="A108" s="42">
        <v>107</v>
      </c>
      <c r="E108">
        <f>IF(D108=0,0,_xlfn.XLOOKUP(C108,CLIENT_CODE!B:B,CLIENT_CODE!F:F,0))</f>
        <v>0</v>
      </c>
      <c r="F108">
        <f>_xlfn.XLOOKUP(B108,CRN!G:G,CRN!K:K,"")</f>
        <v>0</v>
      </c>
      <c r="G108">
        <f>IF(F108=0,0,_xlfn.XLOOKUP(C108,CLIENT_CODE!B:B,CLIENT_CODE!G:G,0))</f>
        <v>0</v>
      </c>
      <c r="H108">
        <f>_xlfn.XLOOKUP(B108,CRN!G:G,CRN!L:L,"")</f>
        <v>0</v>
      </c>
      <c r="I108">
        <f>IF(H108=0,0,_xlfn.XLOOKUP(C108,CLIENT_CODE!B:B,CLIENT_CODE!H:H,0))</f>
        <v>0</v>
      </c>
      <c r="J108">
        <f>_xlfn.XLOOKUP(B108,CRN!G:G,CRN!M:M,"")</f>
        <v>0</v>
      </c>
      <c r="K108">
        <f>IF(J108=0,0,_xlfn.XLOOKUP(C108,CLIENT_CODE!B:B,CLIENT_CODE!I:I,0))</f>
        <v>0</v>
      </c>
      <c r="L108">
        <f>_xlfn.XLOOKUP(B108,CRN!G:G,CRN!N:N,"")</f>
        <v>0</v>
      </c>
      <c r="M108">
        <f>IF(L108=0,0,_xlfn.XLOOKUP(C108,CLIENT_CODE!B:B,CLIENT_CODE!J:J,0))</f>
        <v>0</v>
      </c>
      <c r="N108">
        <f>_xlfn.XLOOKUP(B108,CRN!G:G,CRN!O:O,"")</f>
        <v>0</v>
      </c>
      <c r="O108">
        <f>IF(N108=0,0,_xlfn.XLOOKUP(C108,CLIENT_CODE!B:B,CLIENT_CODE!K:K,0))</f>
        <v>0</v>
      </c>
      <c r="P108">
        <f>_xlfn.XLOOKUP(B108,CRN!G:G,CRN!P:P,"")</f>
        <v>0</v>
      </c>
      <c r="Q108">
        <f>IF(P108=0,0,_xlfn.XLOOKUP(C108,CLIENT_CODE!B:B,CLIENT_CODE!L:L,0))</f>
        <v>0</v>
      </c>
      <c r="R108">
        <f>_xlfn.XLOOKUP(B108,CRN!G:G,CRN!Q:Q,"")</f>
        <v>0</v>
      </c>
      <c r="S108">
        <f>IF(R108=0,0,_xlfn.XLOOKUP(C108,CLIENT_CODE!B:B,CLIENT_CODE!M:M,0))</f>
        <v>0</v>
      </c>
      <c r="T108">
        <f>_xlfn.XLOOKUP(B108,CRN!G:G,CRN!R:R,"")</f>
        <v>0</v>
      </c>
      <c r="U108">
        <f>IF(T108=0,0,_xlfn.XLOOKUP(C108,CLIENT_CODE!B:B,CLIENT_CODE!N:N,0))</f>
        <v>0</v>
      </c>
      <c r="V108">
        <f>_xlfn.XLOOKUP(B108,CRN!G:G,CRN!S:S,"")</f>
        <v>0</v>
      </c>
      <c r="W108">
        <f>IF(V108=0,0,_xlfn.XLOOKUP(C108,CLIENT_CODE!B:B,CLIENT_CODE!O:O,0))</f>
        <v>0</v>
      </c>
      <c r="X108">
        <f>_xlfn.XLOOKUP(B108,CRN!G:G,CRN!T:T,"")</f>
        <v>0</v>
      </c>
      <c r="Y108">
        <f>IF(X108=0,0,_xlfn.XLOOKUP(C108,CLIENT_CODE!B:B,CLIENT_CODE!P:P,0))</f>
        <v>0</v>
      </c>
      <c r="Z108">
        <f>_xlfn.XLOOKUP(B108,CRN!G:G,CRN!U:U,"")</f>
        <v>0</v>
      </c>
      <c r="AA108">
        <f>IF(X108=0,0,_xlfn.XLOOKUP(C108,CLIENT_CODE!B:B,CLIENT_CODE!P:P,0))</f>
        <v>0</v>
      </c>
      <c r="AB108">
        <f>_xlfn.XLOOKUP(B108,CRN!G:G,CRN!V:V,"")</f>
        <v>0</v>
      </c>
      <c r="AC108">
        <f>IF(AB108=0,0,_xlfn.XLOOKUP(C108,CLIENT_CODE!B:B,CLIENT_CODE!R:R,0))</f>
        <v>0</v>
      </c>
      <c r="AD108">
        <f t="shared" si="1"/>
        <v>0</v>
      </c>
    </row>
    <row r="109" spans="1:30">
      <c r="A109" s="42">
        <v>108</v>
      </c>
      <c r="E109">
        <f>IF(D109=0,0,_xlfn.XLOOKUP(C109,CLIENT_CODE!B:B,CLIENT_CODE!F:F,0))</f>
        <v>0</v>
      </c>
      <c r="F109">
        <f>_xlfn.XLOOKUP(B109,CRN!G:G,CRN!K:K,"")</f>
        <v>0</v>
      </c>
      <c r="G109">
        <f>IF(F109=0,0,_xlfn.XLOOKUP(C109,CLIENT_CODE!B:B,CLIENT_CODE!G:G,0))</f>
        <v>0</v>
      </c>
      <c r="H109">
        <f>_xlfn.XLOOKUP(B109,CRN!G:G,CRN!L:L,"")</f>
        <v>0</v>
      </c>
      <c r="I109">
        <f>IF(H109=0,0,_xlfn.XLOOKUP(C109,CLIENT_CODE!B:B,CLIENT_CODE!H:H,0))</f>
        <v>0</v>
      </c>
      <c r="J109">
        <f>_xlfn.XLOOKUP(B109,CRN!G:G,CRN!M:M,"")</f>
        <v>0</v>
      </c>
      <c r="K109">
        <f>IF(J109=0,0,_xlfn.XLOOKUP(C109,CLIENT_CODE!B:B,CLIENT_CODE!I:I,0))</f>
        <v>0</v>
      </c>
      <c r="L109">
        <f>_xlfn.XLOOKUP(B109,CRN!G:G,CRN!N:N,"")</f>
        <v>0</v>
      </c>
      <c r="M109">
        <f>IF(L109=0,0,_xlfn.XLOOKUP(C109,CLIENT_CODE!B:B,CLIENT_CODE!J:J,0))</f>
        <v>0</v>
      </c>
      <c r="N109">
        <f>_xlfn.XLOOKUP(B109,CRN!G:G,CRN!O:O,"")</f>
        <v>0</v>
      </c>
      <c r="O109">
        <f>IF(N109=0,0,_xlfn.XLOOKUP(C109,CLIENT_CODE!B:B,CLIENT_CODE!K:K,0))</f>
        <v>0</v>
      </c>
      <c r="P109">
        <f>_xlfn.XLOOKUP(B109,CRN!G:G,CRN!P:P,"")</f>
        <v>0</v>
      </c>
      <c r="Q109">
        <f>IF(P109=0,0,_xlfn.XLOOKUP(C109,CLIENT_CODE!B:B,CLIENT_CODE!L:L,0))</f>
        <v>0</v>
      </c>
      <c r="R109">
        <f>_xlfn.XLOOKUP(B109,CRN!G:G,CRN!Q:Q,"")</f>
        <v>0</v>
      </c>
      <c r="S109">
        <f>IF(R109=0,0,_xlfn.XLOOKUP(C109,CLIENT_CODE!B:B,CLIENT_CODE!M:M,0))</f>
        <v>0</v>
      </c>
      <c r="T109">
        <f>_xlfn.XLOOKUP(B109,CRN!G:G,CRN!R:R,"")</f>
        <v>0</v>
      </c>
      <c r="U109">
        <f>IF(T109=0,0,_xlfn.XLOOKUP(C109,CLIENT_CODE!B:B,CLIENT_CODE!N:N,0))</f>
        <v>0</v>
      </c>
      <c r="V109">
        <f>_xlfn.XLOOKUP(B109,CRN!G:G,CRN!S:S,"")</f>
        <v>0</v>
      </c>
      <c r="W109">
        <f>IF(V109=0,0,_xlfn.XLOOKUP(C109,CLIENT_CODE!B:B,CLIENT_CODE!O:O,0))</f>
        <v>0</v>
      </c>
      <c r="X109">
        <f>_xlfn.XLOOKUP(B109,CRN!G:G,CRN!T:T,"")</f>
        <v>0</v>
      </c>
      <c r="Y109">
        <f>IF(X109=0,0,_xlfn.XLOOKUP(C109,CLIENT_CODE!B:B,CLIENT_CODE!P:P,0))</f>
        <v>0</v>
      </c>
      <c r="Z109">
        <f>_xlfn.XLOOKUP(B109,CRN!G:G,CRN!U:U,"")</f>
        <v>0</v>
      </c>
      <c r="AA109">
        <f>IF(X109=0,0,_xlfn.XLOOKUP(C109,CLIENT_CODE!B:B,CLIENT_CODE!P:P,0))</f>
        <v>0</v>
      </c>
      <c r="AB109">
        <f>_xlfn.XLOOKUP(B109,CRN!G:G,CRN!V:V,"")</f>
        <v>0</v>
      </c>
      <c r="AC109">
        <f>IF(AB109=0,0,_xlfn.XLOOKUP(C109,CLIENT_CODE!B:B,CLIENT_CODE!R:R,0))</f>
        <v>0</v>
      </c>
      <c r="AD109">
        <f t="shared" si="1"/>
        <v>0</v>
      </c>
    </row>
    <row r="110" spans="1:30">
      <c r="A110" s="42">
        <v>109</v>
      </c>
      <c r="E110">
        <f>IF(D110=0,0,_xlfn.XLOOKUP(C110,CLIENT_CODE!B:B,CLIENT_CODE!F:F,0))</f>
        <v>0</v>
      </c>
      <c r="F110">
        <f>_xlfn.XLOOKUP(B110,CRN!G:G,CRN!K:K,"")</f>
        <v>0</v>
      </c>
      <c r="G110">
        <f>IF(F110=0,0,_xlfn.XLOOKUP(C110,CLIENT_CODE!B:B,CLIENT_CODE!G:G,0))</f>
        <v>0</v>
      </c>
      <c r="H110">
        <f>_xlfn.XLOOKUP(B110,CRN!G:G,CRN!L:L,"")</f>
        <v>0</v>
      </c>
      <c r="I110">
        <f>IF(H110=0,0,_xlfn.XLOOKUP(C110,CLIENT_CODE!B:B,CLIENT_CODE!H:H,0))</f>
        <v>0</v>
      </c>
      <c r="J110">
        <f>_xlfn.XLOOKUP(B110,CRN!G:G,CRN!M:M,"")</f>
        <v>0</v>
      </c>
      <c r="K110">
        <f>IF(J110=0,0,_xlfn.XLOOKUP(C110,CLIENT_CODE!B:B,CLIENT_CODE!I:I,0))</f>
        <v>0</v>
      </c>
      <c r="L110">
        <f>_xlfn.XLOOKUP(B110,CRN!G:G,CRN!N:N,"")</f>
        <v>0</v>
      </c>
      <c r="M110">
        <f>IF(L110=0,0,_xlfn.XLOOKUP(C110,CLIENT_CODE!B:B,CLIENT_CODE!J:J,0))</f>
        <v>0</v>
      </c>
      <c r="N110">
        <f>_xlfn.XLOOKUP(B110,CRN!G:G,CRN!O:O,"")</f>
        <v>0</v>
      </c>
      <c r="O110">
        <f>IF(N110=0,0,_xlfn.XLOOKUP(C110,CLIENT_CODE!B:B,CLIENT_CODE!K:K,0))</f>
        <v>0</v>
      </c>
      <c r="P110">
        <f>_xlfn.XLOOKUP(B110,CRN!G:G,CRN!P:P,"")</f>
        <v>0</v>
      </c>
      <c r="Q110">
        <f>IF(P110=0,0,_xlfn.XLOOKUP(C110,CLIENT_CODE!B:B,CLIENT_CODE!L:L,0))</f>
        <v>0</v>
      </c>
      <c r="R110">
        <f>_xlfn.XLOOKUP(B110,CRN!G:G,CRN!Q:Q,"")</f>
        <v>0</v>
      </c>
      <c r="S110">
        <f>IF(R110=0,0,_xlfn.XLOOKUP(C110,CLIENT_CODE!B:B,CLIENT_CODE!M:M,0))</f>
        <v>0</v>
      </c>
      <c r="T110">
        <f>_xlfn.XLOOKUP(B110,CRN!G:G,CRN!R:R,"")</f>
        <v>0</v>
      </c>
      <c r="U110">
        <f>IF(T110=0,0,_xlfn.XLOOKUP(C110,CLIENT_CODE!B:B,CLIENT_CODE!N:N,0))</f>
        <v>0</v>
      </c>
      <c r="V110">
        <f>_xlfn.XLOOKUP(B110,CRN!G:G,CRN!S:S,"")</f>
        <v>0</v>
      </c>
      <c r="W110">
        <f>IF(V110=0,0,_xlfn.XLOOKUP(C110,CLIENT_CODE!B:B,CLIENT_CODE!O:O,0))</f>
        <v>0</v>
      </c>
      <c r="X110">
        <f>_xlfn.XLOOKUP(B110,CRN!G:G,CRN!T:T,"")</f>
        <v>0</v>
      </c>
      <c r="Y110">
        <f>IF(X110=0,0,_xlfn.XLOOKUP(C110,CLIENT_CODE!B:B,CLIENT_CODE!P:P,0))</f>
        <v>0</v>
      </c>
      <c r="Z110">
        <f>_xlfn.XLOOKUP(B110,CRN!G:G,CRN!U:U,"")</f>
        <v>0</v>
      </c>
      <c r="AA110">
        <f>IF(X110=0,0,_xlfn.XLOOKUP(C110,CLIENT_CODE!B:B,CLIENT_CODE!P:P,0))</f>
        <v>0</v>
      </c>
      <c r="AB110">
        <f>_xlfn.XLOOKUP(B110,CRN!G:G,CRN!V:V,"")</f>
        <v>0</v>
      </c>
      <c r="AC110">
        <f>IF(AB110=0,0,_xlfn.XLOOKUP(C110,CLIENT_CODE!B:B,CLIENT_CODE!R:R,0))</f>
        <v>0</v>
      </c>
      <c r="AD110">
        <f t="shared" si="1"/>
        <v>0</v>
      </c>
    </row>
    <row r="111" spans="1:30">
      <c r="A111" s="42">
        <v>110</v>
      </c>
      <c r="E111">
        <f>IF(D111=0,0,_xlfn.XLOOKUP(C111,CLIENT_CODE!B:B,CLIENT_CODE!F:F,0))</f>
        <v>0</v>
      </c>
      <c r="F111">
        <f>_xlfn.XLOOKUP(B111,CRN!G:G,CRN!K:K,"")</f>
        <v>0</v>
      </c>
      <c r="G111">
        <f>IF(F111=0,0,_xlfn.XLOOKUP(C111,CLIENT_CODE!B:B,CLIENT_CODE!G:G,0))</f>
        <v>0</v>
      </c>
      <c r="H111">
        <f>_xlfn.XLOOKUP(B111,CRN!G:G,CRN!L:L,"")</f>
        <v>0</v>
      </c>
      <c r="I111">
        <f>IF(H111=0,0,_xlfn.XLOOKUP(C111,CLIENT_CODE!B:B,CLIENT_CODE!H:H,0))</f>
        <v>0</v>
      </c>
      <c r="J111">
        <f>_xlfn.XLOOKUP(B111,CRN!G:G,CRN!M:M,"")</f>
        <v>0</v>
      </c>
      <c r="K111">
        <f>IF(J111=0,0,_xlfn.XLOOKUP(C111,CLIENT_CODE!B:B,CLIENT_CODE!I:I,0))</f>
        <v>0</v>
      </c>
      <c r="L111">
        <f>_xlfn.XLOOKUP(B111,CRN!G:G,CRN!N:N,"")</f>
        <v>0</v>
      </c>
      <c r="M111">
        <f>IF(L111=0,0,_xlfn.XLOOKUP(C111,CLIENT_CODE!B:B,CLIENT_CODE!J:J,0))</f>
        <v>0</v>
      </c>
      <c r="N111">
        <f>_xlfn.XLOOKUP(B111,CRN!G:G,CRN!O:O,"")</f>
        <v>0</v>
      </c>
      <c r="O111">
        <f>IF(N111=0,0,_xlfn.XLOOKUP(C111,CLIENT_CODE!B:B,CLIENT_CODE!K:K,0))</f>
        <v>0</v>
      </c>
      <c r="P111">
        <f>_xlfn.XLOOKUP(B111,CRN!G:G,CRN!P:P,"")</f>
        <v>0</v>
      </c>
      <c r="Q111">
        <f>IF(P111=0,0,_xlfn.XLOOKUP(C111,CLIENT_CODE!B:B,CLIENT_CODE!L:L,0))</f>
        <v>0</v>
      </c>
      <c r="R111">
        <f>_xlfn.XLOOKUP(B111,CRN!G:G,CRN!Q:Q,"")</f>
        <v>0</v>
      </c>
      <c r="S111">
        <f>IF(R111=0,0,_xlfn.XLOOKUP(C111,CLIENT_CODE!B:B,CLIENT_CODE!M:M,0))</f>
        <v>0</v>
      </c>
      <c r="T111">
        <f>_xlfn.XLOOKUP(B111,CRN!G:G,CRN!R:R,"")</f>
        <v>0</v>
      </c>
      <c r="U111">
        <f>IF(T111=0,0,_xlfn.XLOOKUP(C111,CLIENT_CODE!B:B,CLIENT_CODE!N:N,0))</f>
        <v>0</v>
      </c>
      <c r="V111">
        <f>_xlfn.XLOOKUP(B111,CRN!G:G,CRN!S:S,"")</f>
        <v>0</v>
      </c>
      <c r="W111">
        <f>IF(V111=0,0,_xlfn.XLOOKUP(C111,CLIENT_CODE!B:B,CLIENT_CODE!O:O,0))</f>
        <v>0</v>
      </c>
      <c r="X111">
        <f>_xlfn.XLOOKUP(B111,CRN!G:G,CRN!T:T,"")</f>
        <v>0</v>
      </c>
      <c r="Y111">
        <f>IF(X111=0,0,_xlfn.XLOOKUP(C111,CLIENT_CODE!B:B,CLIENT_CODE!P:P,0))</f>
        <v>0</v>
      </c>
      <c r="Z111">
        <f>_xlfn.XLOOKUP(B111,CRN!G:G,CRN!U:U,"")</f>
        <v>0</v>
      </c>
      <c r="AA111">
        <f>IF(X111=0,0,_xlfn.XLOOKUP(C111,CLIENT_CODE!B:B,CLIENT_CODE!P:P,0))</f>
        <v>0</v>
      </c>
      <c r="AB111">
        <f>_xlfn.XLOOKUP(B111,CRN!G:G,CRN!V:V,"")</f>
        <v>0</v>
      </c>
      <c r="AC111">
        <f>IF(AB111=0,0,_xlfn.XLOOKUP(C111,CLIENT_CODE!B:B,CLIENT_CODE!R:R,0))</f>
        <v>0</v>
      </c>
      <c r="AD111">
        <f t="shared" si="1"/>
        <v>0</v>
      </c>
    </row>
    <row r="112" spans="1:30">
      <c r="A112" s="42">
        <v>111</v>
      </c>
      <c r="E112">
        <f>IF(D112=0,0,_xlfn.XLOOKUP(C112,CLIENT_CODE!B:B,CLIENT_CODE!F:F,0))</f>
        <v>0</v>
      </c>
      <c r="F112">
        <f>_xlfn.XLOOKUP(B112,CRN!G:G,CRN!K:K,"")</f>
        <v>0</v>
      </c>
      <c r="G112">
        <f>IF(F112=0,0,_xlfn.XLOOKUP(C112,CLIENT_CODE!B:B,CLIENT_CODE!G:G,0))</f>
        <v>0</v>
      </c>
      <c r="H112">
        <f>_xlfn.XLOOKUP(B112,CRN!G:G,CRN!L:L,"")</f>
        <v>0</v>
      </c>
      <c r="I112">
        <f>IF(H112=0,0,_xlfn.XLOOKUP(C112,CLIENT_CODE!B:B,CLIENT_CODE!H:H,0))</f>
        <v>0</v>
      </c>
      <c r="J112">
        <f>_xlfn.XLOOKUP(B112,CRN!G:G,CRN!M:M,"")</f>
        <v>0</v>
      </c>
      <c r="K112">
        <f>IF(J112=0,0,_xlfn.XLOOKUP(C112,CLIENT_CODE!B:B,CLIENT_CODE!I:I,0))</f>
        <v>0</v>
      </c>
      <c r="L112">
        <f>_xlfn.XLOOKUP(B112,CRN!G:G,CRN!N:N,"")</f>
        <v>0</v>
      </c>
      <c r="M112">
        <f>IF(L112=0,0,_xlfn.XLOOKUP(C112,CLIENT_CODE!B:B,CLIENT_CODE!J:J,0))</f>
        <v>0</v>
      </c>
      <c r="N112">
        <f>_xlfn.XLOOKUP(B112,CRN!G:G,CRN!O:O,"")</f>
        <v>0</v>
      </c>
      <c r="O112">
        <f>IF(N112=0,0,_xlfn.XLOOKUP(C112,CLIENT_CODE!B:B,CLIENT_CODE!K:K,0))</f>
        <v>0</v>
      </c>
      <c r="P112">
        <f>_xlfn.XLOOKUP(B112,CRN!G:G,CRN!P:P,"")</f>
        <v>0</v>
      </c>
      <c r="Q112">
        <f>IF(P112=0,0,_xlfn.XLOOKUP(C112,CLIENT_CODE!B:B,CLIENT_CODE!L:L,0))</f>
        <v>0</v>
      </c>
      <c r="R112">
        <f>_xlfn.XLOOKUP(B112,CRN!G:G,CRN!Q:Q,"")</f>
        <v>0</v>
      </c>
      <c r="S112">
        <f>IF(R112=0,0,_xlfn.XLOOKUP(C112,CLIENT_CODE!B:B,CLIENT_CODE!M:M,0))</f>
        <v>0</v>
      </c>
      <c r="T112">
        <f>_xlfn.XLOOKUP(B112,CRN!G:G,CRN!R:R,"")</f>
        <v>0</v>
      </c>
      <c r="U112">
        <f>IF(T112=0,0,_xlfn.XLOOKUP(C112,CLIENT_CODE!B:B,CLIENT_CODE!N:N,0))</f>
        <v>0</v>
      </c>
      <c r="V112">
        <f>_xlfn.XLOOKUP(B112,CRN!G:G,CRN!S:S,"")</f>
        <v>0</v>
      </c>
      <c r="W112">
        <f>IF(V112=0,0,_xlfn.XLOOKUP(C112,CLIENT_CODE!B:B,CLIENT_CODE!O:O,0))</f>
        <v>0</v>
      </c>
      <c r="X112">
        <f>_xlfn.XLOOKUP(B112,CRN!G:G,CRN!T:T,"")</f>
        <v>0</v>
      </c>
      <c r="Y112">
        <f>IF(X112=0,0,_xlfn.XLOOKUP(C112,CLIENT_CODE!B:B,CLIENT_CODE!P:P,0))</f>
        <v>0</v>
      </c>
      <c r="Z112">
        <f>_xlfn.XLOOKUP(B112,CRN!G:G,CRN!U:U,"")</f>
        <v>0</v>
      </c>
      <c r="AA112">
        <f>IF(X112=0,0,_xlfn.XLOOKUP(C112,CLIENT_CODE!B:B,CLIENT_CODE!P:P,0))</f>
        <v>0</v>
      </c>
      <c r="AB112">
        <f>_xlfn.XLOOKUP(B112,CRN!G:G,CRN!V:V,"")</f>
        <v>0</v>
      </c>
      <c r="AC112">
        <f>IF(AB112=0,0,_xlfn.XLOOKUP(C112,CLIENT_CODE!B:B,CLIENT_CODE!R:R,0))</f>
        <v>0</v>
      </c>
      <c r="AD112">
        <f t="shared" si="1"/>
        <v>0</v>
      </c>
    </row>
    <row r="113" spans="1:30">
      <c r="A113" s="42">
        <v>112</v>
      </c>
      <c r="E113">
        <f>IF(D113=0,0,_xlfn.XLOOKUP(C113,CLIENT_CODE!B:B,CLIENT_CODE!F:F,0))</f>
        <v>0</v>
      </c>
      <c r="F113">
        <f>_xlfn.XLOOKUP(B113,CRN!G:G,CRN!K:K,"")</f>
        <v>0</v>
      </c>
      <c r="G113">
        <f>IF(F113=0,0,_xlfn.XLOOKUP(C113,CLIENT_CODE!B:B,CLIENT_CODE!G:G,0))</f>
        <v>0</v>
      </c>
      <c r="H113">
        <f>_xlfn.XLOOKUP(B113,CRN!G:G,CRN!L:L,"")</f>
        <v>0</v>
      </c>
      <c r="I113">
        <f>IF(H113=0,0,_xlfn.XLOOKUP(C113,CLIENT_CODE!B:B,CLIENT_CODE!H:H,0))</f>
        <v>0</v>
      </c>
      <c r="J113">
        <f>_xlfn.XLOOKUP(B113,CRN!G:G,CRN!M:M,"")</f>
        <v>0</v>
      </c>
      <c r="K113">
        <f>IF(J113=0,0,_xlfn.XLOOKUP(C113,CLIENT_CODE!B:B,CLIENT_CODE!I:I,0))</f>
        <v>0</v>
      </c>
      <c r="L113">
        <f>_xlfn.XLOOKUP(B113,CRN!G:G,CRN!N:N,"")</f>
        <v>0</v>
      </c>
      <c r="M113">
        <f>IF(L113=0,0,_xlfn.XLOOKUP(C113,CLIENT_CODE!B:B,CLIENT_CODE!J:J,0))</f>
        <v>0</v>
      </c>
      <c r="N113">
        <f>_xlfn.XLOOKUP(B113,CRN!G:G,CRN!O:O,"")</f>
        <v>0</v>
      </c>
      <c r="O113">
        <f>IF(N113=0,0,_xlfn.XLOOKUP(C113,CLIENT_CODE!B:B,CLIENT_CODE!K:K,0))</f>
        <v>0</v>
      </c>
      <c r="P113">
        <f>_xlfn.XLOOKUP(B113,CRN!G:G,CRN!P:P,"")</f>
        <v>0</v>
      </c>
      <c r="Q113">
        <f>IF(P113=0,0,_xlfn.XLOOKUP(C113,CLIENT_CODE!B:B,CLIENT_CODE!L:L,0))</f>
        <v>0</v>
      </c>
      <c r="R113">
        <f>_xlfn.XLOOKUP(B113,CRN!G:G,CRN!Q:Q,"")</f>
        <v>0</v>
      </c>
      <c r="S113">
        <f>IF(R113=0,0,_xlfn.XLOOKUP(C113,CLIENT_CODE!B:B,CLIENT_CODE!M:M,0))</f>
        <v>0</v>
      </c>
      <c r="T113">
        <f>_xlfn.XLOOKUP(B113,CRN!G:G,CRN!R:R,"")</f>
        <v>0</v>
      </c>
      <c r="U113">
        <f>IF(T113=0,0,_xlfn.XLOOKUP(C113,CLIENT_CODE!B:B,CLIENT_CODE!N:N,0))</f>
        <v>0</v>
      </c>
      <c r="V113">
        <f>_xlfn.XLOOKUP(B113,CRN!G:G,CRN!S:S,"")</f>
        <v>0</v>
      </c>
      <c r="W113">
        <f>IF(V113=0,0,_xlfn.XLOOKUP(C113,CLIENT_CODE!B:B,CLIENT_CODE!O:O,0))</f>
        <v>0</v>
      </c>
      <c r="X113">
        <f>_xlfn.XLOOKUP(B113,CRN!G:G,CRN!T:T,"")</f>
        <v>0</v>
      </c>
      <c r="Y113">
        <f>IF(X113=0,0,_xlfn.XLOOKUP(C113,CLIENT_CODE!B:B,CLIENT_CODE!P:P,0))</f>
        <v>0</v>
      </c>
      <c r="Z113">
        <f>_xlfn.XLOOKUP(B113,CRN!G:G,CRN!U:U,"")</f>
        <v>0</v>
      </c>
      <c r="AA113">
        <f>IF(X113=0,0,_xlfn.XLOOKUP(C113,CLIENT_CODE!B:B,CLIENT_CODE!P:P,0))</f>
        <v>0</v>
      </c>
      <c r="AB113">
        <f>_xlfn.XLOOKUP(B113,CRN!G:G,CRN!V:V,"")</f>
        <v>0</v>
      </c>
      <c r="AC113">
        <f>IF(AB113=0,0,_xlfn.XLOOKUP(C113,CLIENT_CODE!B:B,CLIENT_CODE!R:R,0))</f>
        <v>0</v>
      </c>
      <c r="AD113">
        <f t="shared" si="1"/>
        <v>0</v>
      </c>
    </row>
    <row r="114" spans="1:30">
      <c r="A114" s="42">
        <v>113</v>
      </c>
      <c r="E114">
        <f>IF(D114=0,0,_xlfn.XLOOKUP(C114,CLIENT_CODE!B:B,CLIENT_CODE!F:F,0))</f>
        <v>0</v>
      </c>
      <c r="F114">
        <f>_xlfn.XLOOKUP(B114,CRN!G:G,CRN!K:K,"")</f>
        <v>0</v>
      </c>
      <c r="G114">
        <f>IF(F114=0,0,_xlfn.XLOOKUP(C114,CLIENT_CODE!B:B,CLIENT_CODE!G:G,0))</f>
        <v>0</v>
      </c>
      <c r="H114">
        <f>_xlfn.XLOOKUP(B114,CRN!G:G,CRN!L:L,"")</f>
        <v>0</v>
      </c>
      <c r="I114">
        <f>IF(H114=0,0,_xlfn.XLOOKUP(C114,CLIENT_CODE!B:B,CLIENT_CODE!H:H,0))</f>
        <v>0</v>
      </c>
      <c r="J114">
        <f>_xlfn.XLOOKUP(B114,CRN!G:G,CRN!M:M,"")</f>
        <v>0</v>
      </c>
      <c r="K114">
        <f>IF(J114=0,0,_xlfn.XLOOKUP(C114,CLIENT_CODE!B:B,CLIENT_CODE!I:I,0))</f>
        <v>0</v>
      </c>
      <c r="L114">
        <f>_xlfn.XLOOKUP(B114,CRN!G:G,CRN!N:N,"")</f>
        <v>0</v>
      </c>
      <c r="M114">
        <f>IF(L114=0,0,_xlfn.XLOOKUP(C114,CLIENT_CODE!B:B,CLIENT_CODE!J:J,0))</f>
        <v>0</v>
      </c>
      <c r="N114">
        <f>_xlfn.XLOOKUP(B114,CRN!G:G,CRN!O:O,"")</f>
        <v>0</v>
      </c>
      <c r="O114">
        <f>IF(N114=0,0,_xlfn.XLOOKUP(C114,CLIENT_CODE!B:B,CLIENT_CODE!K:K,0))</f>
        <v>0</v>
      </c>
      <c r="P114">
        <f>_xlfn.XLOOKUP(B114,CRN!G:G,CRN!P:P,"")</f>
        <v>0</v>
      </c>
      <c r="Q114">
        <f>IF(P114=0,0,_xlfn.XLOOKUP(C114,CLIENT_CODE!B:B,CLIENT_CODE!L:L,0))</f>
        <v>0</v>
      </c>
      <c r="R114">
        <f>_xlfn.XLOOKUP(B114,CRN!G:G,CRN!Q:Q,"")</f>
        <v>0</v>
      </c>
      <c r="S114">
        <f>IF(R114=0,0,_xlfn.XLOOKUP(C114,CLIENT_CODE!B:B,CLIENT_CODE!M:M,0))</f>
        <v>0</v>
      </c>
      <c r="T114">
        <f>_xlfn.XLOOKUP(B114,CRN!G:G,CRN!R:R,"")</f>
        <v>0</v>
      </c>
      <c r="U114">
        <f>IF(T114=0,0,_xlfn.XLOOKUP(C114,CLIENT_CODE!B:B,CLIENT_CODE!N:N,0))</f>
        <v>0</v>
      </c>
      <c r="V114">
        <f>_xlfn.XLOOKUP(B114,CRN!G:G,CRN!S:S,"")</f>
        <v>0</v>
      </c>
      <c r="W114">
        <f>IF(V114=0,0,_xlfn.XLOOKUP(C114,CLIENT_CODE!B:B,CLIENT_CODE!O:O,0))</f>
        <v>0</v>
      </c>
      <c r="X114">
        <f>_xlfn.XLOOKUP(B114,CRN!G:G,CRN!T:T,"")</f>
        <v>0</v>
      </c>
      <c r="Y114">
        <f>IF(X114=0,0,_xlfn.XLOOKUP(C114,CLIENT_CODE!B:B,CLIENT_CODE!P:P,0))</f>
        <v>0</v>
      </c>
      <c r="Z114">
        <f>_xlfn.XLOOKUP(B114,CRN!G:G,CRN!U:U,"")</f>
        <v>0</v>
      </c>
      <c r="AA114">
        <f>IF(X114=0,0,_xlfn.XLOOKUP(C114,CLIENT_CODE!B:B,CLIENT_CODE!P:P,0))</f>
        <v>0</v>
      </c>
      <c r="AB114">
        <f>_xlfn.XLOOKUP(B114,CRN!G:G,CRN!V:V,"")</f>
        <v>0</v>
      </c>
      <c r="AC114">
        <f>IF(AB114=0,0,_xlfn.XLOOKUP(C114,CLIENT_CODE!B:B,CLIENT_CODE!R:R,0))</f>
        <v>0</v>
      </c>
      <c r="AD114">
        <f t="shared" si="1"/>
        <v>0</v>
      </c>
    </row>
    <row r="115" spans="1:30">
      <c r="A115" s="42">
        <v>114</v>
      </c>
      <c r="E115">
        <f>IF(D115=0,0,_xlfn.XLOOKUP(C115,CLIENT_CODE!B:B,CLIENT_CODE!F:F,0))</f>
        <v>0</v>
      </c>
      <c r="F115">
        <f>_xlfn.XLOOKUP(B115,CRN!G:G,CRN!K:K,"")</f>
        <v>0</v>
      </c>
      <c r="G115">
        <f>IF(F115=0,0,_xlfn.XLOOKUP(C115,CLIENT_CODE!B:B,CLIENT_CODE!G:G,0))</f>
        <v>0</v>
      </c>
      <c r="H115">
        <f>_xlfn.XLOOKUP(B115,CRN!G:G,CRN!L:L,"")</f>
        <v>0</v>
      </c>
      <c r="I115">
        <f>IF(H115=0,0,_xlfn.XLOOKUP(C115,CLIENT_CODE!B:B,CLIENT_CODE!H:H,0))</f>
        <v>0</v>
      </c>
      <c r="J115">
        <f>_xlfn.XLOOKUP(B115,CRN!G:G,CRN!M:M,"")</f>
        <v>0</v>
      </c>
      <c r="K115">
        <f>IF(J115=0,0,_xlfn.XLOOKUP(C115,CLIENT_CODE!B:B,CLIENT_CODE!I:I,0))</f>
        <v>0</v>
      </c>
      <c r="L115">
        <f>_xlfn.XLOOKUP(B115,CRN!G:G,CRN!N:N,"")</f>
        <v>0</v>
      </c>
      <c r="M115">
        <f>IF(L115=0,0,_xlfn.XLOOKUP(C115,CLIENT_CODE!B:B,CLIENT_CODE!J:J,0))</f>
        <v>0</v>
      </c>
      <c r="N115">
        <f>_xlfn.XLOOKUP(B115,CRN!G:G,CRN!O:O,"")</f>
        <v>0</v>
      </c>
      <c r="O115">
        <f>IF(N115=0,0,_xlfn.XLOOKUP(C115,CLIENT_CODE!B:B,CLIENT_CODE!K:K,0))</f>
        <v>0</v>
      </c>
      <c r="P115">
        <f>_xlfn.XLOOKUP(B115,CRN!G:G,CRN!P:P,"")</f>
        <v>0</v>
      </c>
      <c r="Q115">
        <f>IF(P115=0,0,_xlfn.XLOOKUP(C115,CLIENT_CODE!B:B,CLIENT_CODE!L:L,0))</f>
        <v>0</v>
      </c>
      <c r="R115">
        <f>_xlfn.XLOOKUP(B115,CRN!G:G,CRN!Q:Q,"")</f>
        <v>0</v>
      </c>
      <c r="S115">
        <f>IF(R115=0,0,_xlfn.XLOOKUP(C115,CLIENT_CODE!B:B,CLIENT_CODE!M:M,0))</f>
        <v>0</v>
      </c>
      <c r="T115">
        <f>_xlfn.XLOOKUP(B115,CRN!G:G,CRN!R:R,"")</f>
        <v>0</v>
      </c>
      <c r="U115">
        <f>IF(T115=0,0,_xlfn.XLOOKUP(C115,CLIENT_CODE!B:B,CLIENT_CODE!N:N,0))</f>
        <v>0</v>
      </c>
      <c r="V115">
        <f>_xlfn.XLOOKUP(B115,CRN!G:G,CRN!S:S,"")</f>
        <v>0</v>
      </c>
      <c r="W115">
        <f>IF(V115=0,0,_xlfn.XLOOKUP(C115,CLIENT_CODE!B:B,CLIENT_CODE!O:O,0))</f>
        <v>0</v>
      </c>
      <c r="X115">
        <f>_xlfn.XLOOKUP(B115,CRN!G:G,CRN!T:T,"")</f>
        <v>0</v>
      </c>
      <c r="Y115">
        <f>IF(X115=0,0,_xlfn.XLOOKUP(C115,CLIENT_CODE!B:B,CLIENT_CODE!P:P,0))</f>
        <v>0</v>
      </c>
      <c r="Z115">
        <f>_xlfn.XLOOKUP(B115,CRN!G:G,CRN!U:U,"")</f>
        <v>0</v>
      </c>
      <c r="AA115">
        <f>IF(X115=0,0,_xlfn.XLOOKUP(C115,CLIENT_CODE!B:B,CLIENT_CODE!P:P,0))</f>
        <v>0</v>
      </c>
      <c r="AB115">
        <f>_xlfn.XLOOKUP(B115,CRN!G:G,CRN!V:V,"")</f>
        <v>0</v>
      </c>
      <c r="AC115">
        <f>IF(AB115=0,0,_xlfn.XLOOKUP(C115,CLIENT_CODE!B:B,CLIENT_CODE!R:R,0))</f>
        <v>0</v>
      </c>
      <c r="AD115">
        <f t="shared" si="1"/>
        <v>0</v>
      </c>
    </row>
    <row r="116" spans="1:30">
      <c r="A116" s="42">
        <v>115</v>
      </c>
      <c r="E116">
        <f>IF(D116=0,0,_xlfn.XLOOKUP(C116,CLIENT_CODE!B:B,CLIENT_CODE!F:F,0))</f>
        <v>0</v>
      </c>
      <c r="F116">
        <f>_xlfn.XLOOKUP(B116,CRN!G:G,CRN!K:K,"")</f>
        <v>0</v>
      </c>
      <c r="G116">
        <f>IF(F116=0,0,_xlfn.XLOOKUP(C116,CLIENT_CODE!B:B,CLIENT_CODE!G:G,0))</f>
        <v>0</v>
      </c>
      <c r="H116">
        <f>_xlfn.XLOOKUP(B116,CRN!G:G,CRN!L:L,"")</f>
        <v>0</v>
      </c>
      <c r="I116">
        <f>IF(H116=0,0,_xlfn.XLOOKUP(C116,CLIENT_CODE!B:B,CLIENT_CODE!H:H,0))</f>
        <v>0</v>
      </c>
      <c r="J116">
        <f>_xlfn.XLOOKUP(B116,CRN!G:G,CRN!M:M,"")</f>
        <v>0</v>
      </c>
      <c r="K116">
        <f>IF(J116=0,0,_xlfn.XLOOKUP(C116,CLIENT_CODE!B:B,CLIENT_CODE!I:I,0))</f>
        <v>0</v>
      </c>
      <c r="L116">
        <f>_xlfn.XLOOKUP(B116,CRN!G:G,CRN!N:N,"")</f>
        <v>0</v>
      </c>
      <c r="M116">
        <f>IF(L116=0,0,_xlfn.XLOOKUP(C116,CLIENT_CODE!B:B,CLIENT_CODE!J:J,0))</f>
        <v>0</v>
      </c>
      <c r="N116">
        <f>_xlfn.XLOOKUP(B116,CRN!G:G,CRN!O:O,"")</f>
        <v>0</v>
      </c>
      <c r="O116">
        <f>IF(N116=0,0,_xlfn.XLOOKUP(C116,CLIENT_CODE!B:B,CLIENT_CODE!K:K,0))</f>
        <v>0</v>
      </c>
      <c r="P116">
        <f>_xlfn.XLOOKUP(B116,CRN!G:G,CRN!P:P,"")</f>
        <v>0</v>
      </c>
      <c r="Q116">
        <f>IF(P116=0,0,_xlfn.XLOOKUP(C116,CLIENT_CODE!B:B,CLIENT_CODE!L:L,0))</f>
        <v>0</v>
      </c>
      <c r="R116">
        <f>_xlfn.XLOOKUP(B116,CRN!G:G,CRN!Q:Q,"")</f>
        <v>0</v>
      </c>
      <c r="S116">
        <f>IF(R116=0,0,_xlfn.XLOOKUP(C116,CLIENT_CODE!B:B,CLIENT_CODE!M:M,0))</f>
        <v>0</v>
      </c>
      <c r="T116">
        <f>_xlfn.XLOOKUP(B116,CRN!G:G,CRN!R:R,"")</f>
        <v>0</v>
      </c>
      <c r="U116">
        <f>IF(T116=0,0,_xlfn.XLOOKUP(C116,CLIENT_CODE!B:B,CLIENT_CODE!N:N,0))</f>
        <v>0</v>
      </c>
      <c r="V116">
        <f>_xlfn.XLOOKUP(B116,CRN!G:G,CRN!S:S,"")</f>
        <v>0</v>
      </c>
      <c r="W116">
        <f>IF(V116=0,0,_xlfn.XLOOKUP(C116,CLIENT_CODE!B:B,CLIENT_CODE!O:O,0))</f>
        <v>0</v>
      </c>
      <c r="X116">
        <f>_xlfn.XLOOKUP(B116,CRN!G:G,CRN!T:T,"")</f>
        <v>0</v>
      </c>
      <c r="Y116">
        <f>IF(X116=0,0,_xlfn.XLOOKUP(C116,CLIENT_CODE!B:B,CLIENT_CODE!P:P,0))</f>
        <v>0</v>
      </c>
      <c r="Z116">
        <f>_xlfn.XLOOKUP(B116,CRN!G:G,CRN!U:U,"")</f>
        <v>0</v>
      </c>
      <c r="AA116">
        <f>IF(X116=0,0,_xlfn.XLOOKUP(C116,CLIENT_CODE!B:B,CLIENT_CODE!P:P,0))</f>
        <v>0</v>
      </c>
      <c r="AB116">
        <f>_xlfn.XLOOKUP(B116,CRN!G:G,CRN!V:V,"")</f>
        <v>0</v>
      </c>
      <c r="AC116">
        <f>IF(AB116=0,0,_xlfn.XLOOKUP(C116,CLIENT_CODE!B:B,CLIENT_CODE!R:R,0))</f>
        <v>0</v>
      </c>
      <c r="AD116">
        <f t="shared" si="1"/>
        <v>0</v>
      </c>
    </row>
    <row r="117" spans="1:30">
      <c r="A117" s="42">
        <v>116</v>
      </c>
      <c r="E117">
        <f>IF(D117=0,0,_xlfn.XLOOKUP(C117,CLIENT_CODE!B:B,CLIENT_CODE!F:F,0))</f>
        <v>0</v>
      </c>
      <c r="F117">
        <f>_xlfn.XLOOKUP(B117,CRN!G:G,CRN!K:K,"")</f>
        <v>0</v>
      </c>
      <c r="G117">
        <f>IF(F117=0,0,_xlfn.XLOOKUP(C117,CLIENT_CODE!B:B,CLIENT_CODE!G:G,0))</f>
        <v>0</v>
      </c>
      <c r="H117">
        <f>_xlfn.XLOOKUP(B117,CRN!G:G,CRN!L:L,"")</f>
        <v>0</v>
      </c>
      <c r="I117">
        <f>IF(H117=0,0,_xlfn.XLOOKUP(C117,CLIENT_CODE!B:B,CLIENT_CODE!H:H,0))</f>
        <v>0</v>
      </c>
      <c r="J117">
        <f>_xlfn.XLOOKUP(B117,CRN!G:G,CRN!M:M,"")</f>
        <v>0</v>
      </c>
      <c r="K117">
        <f>IF(J117=0,0,_xlfn.XLOOKUP(C117,CLIENT_CODE!B:B,CLIENT_CODE!I:I,0))</f>
        <v>0</v>
      </c>
      <c r="L117">
        <f>_xlfn.XLOOKUP(B117,CRN!G:G,CRN!N:N,"")</f>
        <v>0</v>
      </c>
      <c r="M117">
        <f>IF(L117=0,0,_xlfn.XLOOKUP(C117,CLIENT_CODE!B:B,CLIENT_CODE!J:J,0))</f>
        <v>0</v>
      </c>
      <c r="N117">
        <f>_xlfn.XLOOKUP(B117,CRN!G:G,CRN!O:O,"")</f>
        <v>0</v>
      </c>
      <c r="O117">
        <f>IF(N117=0,0,_xlfn.XLOOKUP(C117,CLIENT_CODE!B:B,CLIENT_CODE!K:K,0))</f>
        <v>0</v>
      </c>
      <c r="P117">
        <f>_xlfn.XLOOKUP(B117,CRN!G:G,CRN!P:P,"")</f>
        <v>0</v>
      </c>
      <c r="Q117">
        <f>IF(P117=0,0,_xlfn.XLOOKUP(C117,CLIENT_CODE!B:B,CLIENT_CODE!L:L,0))</f>
        <v>0</v>
      </c>
      <c r="R117">
        <f>_xlfn.XLOOKUP(B117,CRN!G:G,CRN!Q:Q,"")</f>
        <v>0</v>
      </c>
      <c r="S117">
        <f>IF(R117=0,0,_xlfn.XLOOKUP(C117,CLIENT_CODE!B:B,CLIENT_CODE!M:M,0))</f>
        <v>0</v>
      </c>
      <c r="T117">
        <f>_xlfn.XLOOKUP(B117,CRN!G:G,CRN!R:R,"")</f>
        <v>0</v>
      </c>
      <c r="U117">
        <f>IF(T117=0,0,_xlfn.XLOOKUP(C117,CLIENT_CODE!B:B,CLIENT_CODE!N:N,0))</f>
        <v>0</v>
      </c>
      <c r="V117">
        <f>_xlfn.XLOOKUP(B117,CRN!G:G,CRN!S:S,"")</f>
        <v>0</v>
      </c>
      <c r="W117">
        <f>IF(V117=0,0,_xlfn.XLOOKUP(C117,CLIENT_CODE!B:B,CLIENT_CODE!O:O,0))</f>
        <v>0</v>
      </c>
      <c r="X117">
        <f>_xlfn.XLOOKUP(B117,CRN!G:G,CRN!T:T,"")</f>
        <v>0</v>
      </c>
      <c r="Y117">
        <f>IF(X117=0,0,_xlfn.XLOOKUP(C117,CLIENT_CODE!B:B,CLIENT_CODE!P:P,0))</f>
        <v>0</v>
      </c>
      <c r="Z117">
        <f>_xlfn.XLOOKUP(B117,CRN!G:G,CRN!U:U,"")</f>
        <v>0</v>
      </c>
      <c r="AA117">
        <f>IF(X117=0,0,_xlfn.XLOOKUP(C117,CLIENT_CODE!B:B,CLIENT_CODE!P:P,0))</f>
        <v>0</v>
      </c>
      <c r="AB117">
        <f>_xlfn.XLOOKUP(B117,CRN!G:G,CRN!V:V,"")</f>
        <v>0</v>
      </c>
      <c r="AC117">
        <f>IF(AB117=0,0,_xlfn.XLOOKUP(C117,CLIENT_CODE!B:B,CLIENT_CODE!R:R,0))</f>
        <v>0</v>
      </c>
      <c r="AD117">
        <f t="shared" si="1"/>
        <v>0</v>
      </c>
    </row>
    <row r="118" spans="1:30">
      <c r="A118" s="42">
        <v>117</v>
      </c>
      <c r="E118">
        <f>IF(D118=0,0,_xlfn.XLOOKUP(C118,CLIENT_CODE!B:B,CLIENT_CODE!F:F,0))</f>
        <v>0</v>
      </c>
      <c r="F118">
        <f>_xlfn.XLOOKUP(B118,CRN!G:G,CRN!K:K,"")</f>
        <v>0</v>
      </c>
      <c r="G118">
        <f>IF(F118=0,0,_xlfn.XLOOKUP(C118,CLIENT_CODE!B:B,CLIENT_CODE!G:G,0))</f>
        <v>0</v>
      </c>
      <c r="H118">
        <f>_xlfn.XLOOKUP(B118,CRN!G:G,CRN!L:L,"")</f>
        <v>0</v>
      </c>
      <c r="I118">
        <f>IF(H118=0,0,_xlfn.XLOOKUP(C118,CLIENT_CODE!B:B,CLIENT_CODE!H:H,0))</f>
        <v>0</v>
      </c>
      <c r="J118">
        <f>_xlfn.XLOOKUP(B118,CRN!G:G,CRN!M:M,"")</f>
        <v>0</v>
      </c>
      <c r="K118">
        <f>IF(J118=0,0,_xlfn.XLOOKUP(C118,CLIENT_CODE!B:B,CLIENT_CODE!I:I,0))</f>
        <v>0</v>
      </c>
      <c r="L118">
        <f>_xlfn.XLOOKUP(B118,CRN!G:G,CRN!N:N,"")</f>
        <v>0</v>
      </c>
      <c r="M118">
        <f>IF(L118=0,0,_xlfn.XLOOKUP(C118,CLIENT_CODE!B:B,CLIENT_CODE!J:J,0))</f>
        <v>0</v>
      </c>
      <c r="N118">
        <f>_xlfn.XLOOKUP(B118,CRN!G:G,CRN!O:O,"")</f>
        <v>0</v>
      </c>
      <c r="O118">
        <f>IF(N118=0,0,_xlfn.XLOOKUP(C118,CLIENT_CODE!B:B,CLIENT_CODE!K:K,0))</f>
        <v>0</v>
      </c>
      <c r="P118">
        <f>_xlfn.XLOOKUP(B118,CRN!G:G,CRN!P:P,"")</f>
        <v>0</v>
      </c>
      <c r="Q118">
        <f>IF(P118=0,0,_xlfn.XLOOKUP(C118,CLIENT_CODE!B:B,CLIENT_CODE!L:L,0))</f>
        <v>0</v>
      </c>
      <c r="R118">
        <f>_xlfn.XLOOKUP(B118,CRN!G:G,CRN!Q:Q,"")</f>
        <v>0</v>
      </c>
      <c r="S118">
        <f>IF(R118=0,0,_xlfn.XLOOKUP(C118,CLIENT_CODE!B:B,CLIENT_CODE!M:M,0))</f>
        <v>0</v>
      </c>
      <c r="T118">
        <f>_xlfn.XLOOKUP(B118,CRN!G:G,CRN!R:R,"")</f>
        <v>0</v>
      </c>
      <c r="U118">
        <f>IF(T118=0,0,_xlfn.XLOOKUP(C118,CLIENT_CODE!B:B,CLIENT_CODE!N:N,0))</f>
        <v>0</v>
      </c>
      <c r="V118">
        <f>_xlfn.XLOOKUP(B118,CRN!G:G,CRN!S:S,"")</f>
        <v>0</v>
      </c>
      <c r="W118">
        <f>IF(V118=0,0,_xlfn.XLOOKUP(C118,CLIENT_CODE!B:B,CLIENT_CODE!O:O,0))</f>
        <v>0</v>
      </c>
      <c r="X118">
        <f>_xlfn.XLOOKUP(B118,CRN!G:G,CRN!T:T,"")</f>
        <v>0</v>
      </c>
      <c r="Y118">
        <f>IF(X118=0,0,_xlfn.XLOOKUP(C118,CLIENT_CODE!B:B,CLIENT_CODE!P:P,0))</f>
        <v>0</v>
      </c>
      <c r="Z118">
        <f>_xlfn.XLOOKUP(B118,CRN!G:G,CRN!U:U,"")</f>
        <v>0</v>
      </c>
      <c r="AA118">
        <f>IF(X118=0,0,_xlfn.XLOOKUP(C118,CLIENT_CODE!B:B,CLIENT_CODE!P:P,0))</f>
        <v>0</v>
      </c>
      <c r="AB118">
        <f>_xlfn.XLOOKUP(B118,CRN!G:G,CRN!V:V,"")</f>
        <v>0</v>
      </c>
      <c r="AC118">
        <f>IF(AB118=0,0,_xlfn.XLOOKUP(C118,CLIENT_CODE!B:B,CLIENT_CODE!R:R,0))</f>
        <v>0</v>
      </c>
      <c r="AD118">
        <f t="shared" si="1"/>
        <v>0</v>
      </c>
    </row>
    <row r="119" spans="1:30">
      <c r="A119" s="42">
        <v>118</v>
      </c>
      <c r="E119">
        <f>IF(D119=0,0,_xlfn.XLOOKUP(C119,CLIENT_CODE!B:B,CLIENT_CODE!F:F,0))</f>
        <v>0</v>
      </c>
      <c r="F119">
        <f>_xlfn.XLOOKUP(B119,CRN!G:G,CRN!K:K,"")</f>
        <v>0</v>
      </c>
      <c r="G119">
        <f>IF(F119=0,0,_xlfn.XLOOKUP(C119,CLIENT_CODE!B:B,CLIENT_CODE!G:G,0))</f>
        <v>0</v>
      </c>
      <c r="H119">
        <f>_xlfn.XLOOKUP(B119,CRN!G:G,CRN!L:L,"")</f>
        <v>0</v>
      </c>
      <c r="I119">
        <f>IF(H119=0,0,_xlfn.XLOOKUP(C119,CLIENT_CODE!B:B,CLIENT_CODE!H:H,0))</f>
        <v>0</v>
      </c>
      <c r="J119">
        <f>_xlfn.XLOOKUP(B119,CRN!G:G,CRN!M:M,"")</f>
        <v>0</v>
      </c>
      <c r="K119">
        <f>IF(J119=0,0,_xlfn.XLOOKUP(C119,CLIENT_CODE!B:B,CLIENT_CODE!I:I,0))</f>
        <v>0</v>
      </c>
      <c r="L119">
        <f>_xlfn.XLOOKUP(B119,CRN!G:G,CRN!N:N,"")</f>
        <v>0</v>
      </c>
      <c r="M119">
        <f>IF(L119=0,0,_xlfn.XLOOKUP(C119,CLIENT_CODE!B:B,CLIENT_CODE!J:J,0))</f>
        <v>0</v>
      </c>
      <c r="N119">
        <f>_xlfn.XLOOKUP(B119,CRN!G:G,CRN!O:O,"")</f>
        <v>0</v>
      </c>
      <c r="O119">
        <f>IF(N119=0,0,_xlfn.XLOOKUP(C119,CLIENT_CODE!B:B,CLIENT_CODE!K:K,0))</f>
        <v>0</v>
      </c>
      <c r="P119">
        <f>_xlfn.XLOOKUP(B119,CRN!G:G,CRN!P:P,"")</f>
        <v>0</v>
      </c>
      <c r="Q119">
        <f>IF(P119=0,0,_xlfn.XLOOKUP(C119,CLIENT_CODE!B:B,CLIENT_CODE!L:L,0))</f>
        <v>0</v>
      </c>
      <c r="R119">
        <f>_xlfn.XLOOKUP(B119,CRN!G:G,CRN!Q:Q,"")</f>
        <v>0</v>
      </c>
      <c r="S119">
        <f>IF(R119=0,0,_xlfn.XLOOKUP(C119,CLIENT_CODE!B:B,CLIENT_CODE!M:M,0))</f>
        <v>0</v>
      </c>
      <c r="T119">
        <f>_xlfn.XLOOKUP(B119,CRN!G:G,CRN!R:R,"")</f>
        <v>0</v>
      </c>
      <c r="U119">
        <f>IF(T119=0,0,_xlfn.XLOOKUP(C119,CLIENT_CODE!B:B,CLIENT_CODE!N:N,0))</f>
        <v>0</v>
      </c>
      <c r="V119">
        <f>_xlfn.XLOOKUP(B119,CRN!G:G,CRN!S:S,"")</f>
        <v>0</v>
      </c>
      <c r="W119">
        <f>IF(V119=0,0,_xlfn.XLOOKUP(C119,CLIENT_CODE!B:B,CLIENT_CODE!O:O,0))</f>
        <v>0</v>
      </c>
      <c r="X119">
        <f>_xlfn.XLOOKUP(B119,CRN!G:G,CRN!T:T,"")</f>
        <v>0</v>
      </c>
      <c r="Y119">
        <f>IF(X119=0,0,_xlfn.XLOOKUP(C119,CLIENT_CODE!B:B,CLIENT_CODE!P:P,0))</f>
        <v>0</v>
      </c>
      <c r="Z119">
        <f>_xlfn.XLOOKUP(B119,CRN!G:G,CRN!U:U,"")</f>
        <v>0</v>
      </c>
      <c r="AA119">
        <f>IF(X119=0,0,_xlfn.XLOOKUP(C119,CLIENT_CODE!B:B,CLIENT_CODE!P:P,0))</f>
        <v>0</v>
      </c>
      <c r="AB119">
        <f>_xlfn.XLOOKUP(B119,CRN!G:G,CRN!V:V,"")</f>
        <v>0</v>
      </c>
      <c r="AC119">
        <f>IF(AB119=0,0,_xlfn.XLOOKUP(C119,CLIENT_CODE!B:B,CLIENT_CODE!R:R,0))</f>
        <v>0</v>
      </c>
      <c r="AD119">
        <f t="shared" si="1"/>
        <v>0</v>
      </c>
    </row>
    <row r="120" spans="1:30">
      <c r="A120" s="42">
        <v>119</v>
      </c>
      <c r="E120">
        <f>IF(D120=0,0,_xlfn.XLOOKUP(C120,CLIENT_CODE!B:B,CLIENT_CODE!F:F,0))</f>
        <v>0</v>
      </c>
      <c r="F120">
        <f>_xlfn.XLOOKUP(B120,CRN!G:G,CRN!K:K,"")</f>
        <v>0</v>
      </c>
      <c r="G120">
        <f>IF(F120=0,0,_xlfn.XLOOKUP(C120,CLIENT_CODE!B:B,CLIENT_CODE!G:G,0))</f>
        <v>0</v>
      </c>
      <c r="H120">
        <f>_xlfn.XLOOKUP(B120,CRN!G:G,CRN!L:L,"")</f>
        <v>0</v>
      </c>
      <c r="I120">
        <f>IF(H120=0,0,_xlfn.XLOOKUP(C120,CLIENT_CODE!B:B,CLIENT_CODE!H:H,0))</f>
        <v>0</v>
      </c>
      <c r="J120">
        <f>_xlfn.XLOOKUP(B120,CRN!G:G,CRN!M:M,"")</f>
        <v>0</v>
      </c>
      <c r="K120">
        <f>IF(J120=0,0,_xlfn.XLOOKUP(C120,CLIENT_CODE!B:B,CLIENT_CODE!I:I,0))</f>
        <v>0</v>
      </c>
      <c r="L120">
        <f>_xlfn.XLOOKUP(B120,CRN!G:G,CRN!N:N,"")</f>
        <v>0</v>
      </c>
      <c r="M120">
        <f>IF(L120=0,0,_xlfn.XLOOKUP(C120,CLIENT_CODE!B:B,CLIENT_CODE!J:J,0))</f>
        <v>0</v>
      </c>
      <c r="N120">
        <f>_xlfn.XLOOKUP(B120,CRN!G:G,CRN!O:O,"")</f>
        <v>0</v>
      </c>
      <c r="O120">
        <f>IF(N120=0,0,_xlfn.XLOOKUP(C120,CLIENT_CODE!B:B,CLIENT_CODE!K:K,0))</f>
        <v>0</v>
      </c>
      <c r="P120">
        <f>_xlfn.XLOOKUP(B120,CRN!G:G,CRN!P:P,"")</f>
        <v>0</v>
      </c>
      <c r="Q120">
        <f>IF(P120=0,0,_xlfn.XLOOKUP(C120,CLIENT_CODE!B:B,CLIENT_CODE!L:L,0))</f>
        <v>0</v>
      </c>
      <c r="R120">
        <f>_xlfn.XLOOKUP(B120,CRN!G:G,CRN!Q:Q,"")</f>
        <v>0</v>
      </c>
      <c r="S120">
        <f>IF(R120=0,0,_xlfn.XLOOKUP(C120,CLIENT_CODE!B:B,CLIENT_CODE!M:M,0))</f>
        <v>0</v>
      </c>
      <c r="T120">
        <f>_xlfn.XLOOKUP(B120,CRN!G:G,CRN!R:R,"")</f>
        <v>0</v>
      </c>
      <c r="U120">
        <f>IF(T120=0,0,_xlfn.XLOOKUP(C120,CLIENT_CODE!B:B,CLIENT_CODE!N:N,0))</f>
        <v>0</v>
      </c>
      <c r="V120">
        <f>_xlfn.XLOOKUP(B120,CRN!G:G,CRN!S:S,"")</f>
        <v>0</v>
      </c>
      <c r="W120">
        <f>IF(V120=0,0,_xlfn.XLOOKUP(C120,CLIENT_CODE!B:B,CLIENT_CODE!O:O,0))</f>
        <v>0</v>
      </c>
      <c r="X120">
        <f>_xlfn.XLOOKUP(B120,CRN!G:G,CRN!T:T,"")</f>
        <v>0</v>
      </c>
      <c r="Y120">
        <f>IF(X120=0,0,_xlfn.XLOOKUP(C120,CLIENT_CODE!B:B,CLIENT_CODE!P:P,0))</f>
        <v>0</v>
      </c>
      <c r="Z120">
        <f>_xlfn.XLOOKUP(B120,CRN!G:G,CRN!U:U,"")</f>
        <v>0</v>
      </c>
      <c r="AA120">
        <f>IF(X120=0,0,_xlfn.XLOOKUP(C120,CLIENT_CODE!B:B,CLIENT_CODE!P:P,0))</f>
        <v>0</v>
      </c>
      <c r="AB120">
        <f>_xlfn.XLOOKUP(B120,CRN!G:G,CRN!V:V,"")</f>
        <v>0</v>
      </c>
      <c r="AC120">
        <f>IF(AB120=0,0,_xlfn.XLOOKUP(C120,CLIENT_CODE!B:B,CLIENT_CODE!R:R,0))</f>
        <v>0</v>
      </c>
      <c r="AD120">
        <f t="shared" si="1"/>
        <v>0</v>
      </c>
    </row>
    <row r="121" spans="1:30">
      <c r="A121" s="42">
        <v>120</v>
      </c>
      <c r="E121">
        <f>IF(D121=0,0,_xlfn.XLOOKUP(C121,CLIENT_CODE!B:B,CLIENT_CODE!F:F,0))</f>
        <v>0</v>
      </c>
      <c r="F121">
        <f>_xlfn.XLOOKUP(B121,CRN!G:G,CRN!K:K,"")</f>
        <v>0</v>
      </c>
      <c r="G121">
        <f>IF(F121=0,0,_xlfn.XLOOKUP(C121,CLIENT_CODE!B:B,CLIENT_CODE!G:G,0))</f>
        <v>0</v>
      </c>
      <c r="H121">
        <f>_xlfn.XLOOKUP(B121,CRN!G:G,CRN!L:L,"")</f>
        <v>0</v>
      </c>
      <c r="I121">
        <f>IF(H121=0,0,_xlfn.XLOOKUP(C121,CLIENT_CODE!B:B,CLIENT_CODE!H:H,0))</f>
        <v>0</v>
      </c>
      <c r="J121">
        <f>_xlfn.XLOOKUP(B121,CRN!G:G,CRN!M:M,"")</f>
        <v>0</v>
      </c>
      <c r="K121">
        <f>IF(J121=0,0,_xlfn.XLOOKUP(C121,CLIENT_CODE!B:B,CLIENT_CODE!I:I,0))</f>
        <v>0</v>
      </c>
      <c r="L121">
        <f>_xlfn.XLOOKUP(B121,CRN!G:G,CRN!N:N,"")</f>
        <v>0</v>
      </c>
      <c r="M121">
        <f>IF(L121=0,0,_xlfn.XLOOKUP(C121,CLIENT_CODE!B:B,CLIENT_CODE!J:J,0))</f>
        <v>0</v>
      </c>
      <c r="N121">
        <f>_xlfn.XLOOKUP(B121,CRN!G:G,CRN!O:O,"")</f>
        <v>0</v>
      </c>
      <c r="O121">
        <f>IF(N121=0,0,_xlfn.XLOOKUP(C121,CLIENT_CODE!B:B,CLIENT_CODE!K:K,0))</f>
        <v>0</v>
      </c>
      <c r="P121">
        <f>_xlfn.XLOOKUP(B121,CRN!G:G,CRN!P:P,"")</f>
        <v>0</v>
      </c>
      <c r="Q121">
        <f>IF(P121=0,0,_xlfn.XLOOKUP(C121,CLIENT_CODE!B:B,CLIENT_CODE!L:L,0))</f>
        <v>0</v>
      </c>
      <c r="R121">
        <f>_xlfn.XLOOKUP(B121,CRN!G:G,CRN!Q:Q,"")</f>
        <v>0</v>
      </c>
      <c r="S121">
        <f>IF(R121=0,0,_xlfn.XLOOKUP(C121,CLIENT_CODE!B:B,CLIENT_CODE!M:M,0))</f>
        <v>0</v>
      </c>
      <c r="T121">
        <f>_xlfn.XLOOKUP(B121,CRN!G:G,CRN!R:R,"")</f>
        <v>0</v>
      </c>
      <c r="U121">
        <f>IF(T121=0,0,_xlfn.XLOOKUP(C121,CLIENT_CODE!B:B,CLIENT_CODE!N:N,0))</f>
        <v>0</v>
      </c>
      <c r="V121">
        <f>_xlfn.XLOOKUP(B121,CRN!G:G,CRN!S:S,"")</f>
        <v>0</v>
      </c>
      <c r="W121">
        <f>IF(V121=0,0,_xlfn.XLOOKUP(C121,CLIENT_CODE!B:B,CLIENT_CODE!O:O,0))</f>
        <v>0</v>
      </c>
      <c r="X121">
        <f>_xlfn.XLOOKUP(B121,CRN!G:G,CRN!T:T,"")</f>
        <v>0</v>
      </c>
      <c r="Y121">
        <f>IF(X121=0,0,_xlfn.XLOOKUP(C121,CLIENT_CODE!B:B,CLIENT_CODE!P:P,0))</f>
        <v>0</v>
      </c>
      <c r="Z121">
        <f>_xlfn.XLOOKUP(B121,CRN!G:G,CRN!U:U,"")</f>
        <v>0</v>
      </c>
      <c r="AA121">
        <f>IF(X121=0,0,_xlfn.XLOOKUP(C121,CLIENT_CODE!B:B,CLIENT_CODE!P:P,0))</f>
        <v>0</v>
      </c>
      <c r="AB121">
        <f>_xlfn.XLOOKUP(B121,CRN!G:G,CRN!V:V,"")</f>
        <v>0</v>
      </c>
      <c r="AC121">
        <f>IF(AB121=0,0,_xlfn.XLOOKUP(C121,CLIENT_CODE!B:B,CLIENT_CODE!R:R,0))</f>
        <v>0</v>
      </c>
      <c r="AD121">
        <f t="shared" si="1"/>
        <v>0</v>
      </c>
    </row>
    <row r="122" spans="1:30">
      <c r="A122" s="42">
        <v>121</v>
      </c>
      <c r="E122">
        <f>IF(D122=0,0,_xlfn.XLOOKUP(C122,CLIENT_CODE!B:B,CLIENT_CODE!F:F,0))</f>
        <v>0</v>
      </c>
      <c r="F122">
        <f>_xlfn.XLOOKUP(B122,CRN!G:G,CRN!K:K,"")</f>
        <v>0</v>
      </c>
      <c r="G122">
        <f>IF(F122=0,0,_xlfn.XLOOKUP(C122,CLIENT_CODE!B:B,CLIENT_CODE!G:G,0))</f>
        <v>0</v>
      </c>
      <c r="H122">
        <f>_xlfn.XLOOKUP(B122,CRN!G:G,CRN!L:L,"")</f>
        <v>0</v>
      </c>
      <c r="I122">
        <f>IF(H122=0,0,_xlfn.XLOOKUP(C122,CLIENT_CODE!B:B,CLIENT_CODE!H:H,0))</f>
        <v>0</v>
      </c>
      <c r="J122">
        <f>_xlfn.XLOOKUP(B122,CRN!G:G,CRN!M:M,"")</f>
        <v>0</v>
      </c>
      <c r="K122">
        <f>IF(J122=0,0,_xlfn.XLOOKUP(C122,CLIENT_CODE!B:B,CLIENT_CODE!I:I,0))</f>
        <v>0</v>
      </c>
      <c r="L122">
        <f>_xlfn.XLOOKUP(B122,CRN!G:G,CRN!N:N,"")</f>
        <v>0</v>
      </c>
      <c r="M122">
        <f>IF(L122=0,0,_xlfn.XLOOKUP(C122,CLIENT_CODE!B:B,CLIENT_CODE!J:J,0))</f>
        <v>0</v>
      </c>
      <c r="N122">
        <f>_xlfn.XLOOKUP(B122,CRN!G:G,CRN!O:O,"")</f>
        <v>0</v>
      </c>
      <c r="O122">
        <f>IF(N122=0,0,_xlfn.XLOOKUP(C122,CLIENT_CODE!B:B,CLIENT_CODE!K:K,0))</f>
        <v>0</v>
      </c>
      <c r="P122">
        <f>_xlfn.XLOOKUP(B122,CRN!G:G,CRN!P:P,"")</f>
        <v>0</v>
      </c>
      <c r="Q122">
        <f>IF(P122=0,0,_xlfn.XLOOKUP(C122,CLIENT_CODE!B:B,CLIENT_CODE!L:L,0))</f>
        <v>0</v>
      </c>
      <c r="R122">
        <f>_xlfn.XLOOKUP(B122,CRN!G:G,CRN!Q:Q,"")</f>
        <v>0</v>
      </c>
      <c r="S122">
        <f>IF(R122=0,0,_xlfn.XLOOKUP(C122,CLIENT_CODE!B:B,CLIENT_CODE!M:M,0))</f>
        <v>0</v>
      </c>
      <c r="T122">
        <f>_xlfn.XLOOKUP(B122,CRN!G:G,CRN!R:R,"")</f>
        <v>0</v>
      </c>
      <c r="U122">
        <f>IF(T122=0,0,_xlfn.XLOOKUP(C122,CLIENT_CODE!B:B,CLIENT_CODE!N:N,0))</f>
        <v>0</v>
      </c>
      <c r="V122">
        <f>_xlfn.XLOOKUP(B122,CRN!G:G,CRN!S:S,"")</f>
        <v>0</v>
      </c>
      <c r="W122">
        <f>IF(V122=0,0,_xlfn.XLOOKUP(C122,CLIENT_CODE!B:B,CLIENT_CODE!O:O,0))</f>
        <v>0</v>
      </c>
      <c r="X122">
        <f>_xlfn.XLOOKUP(B122,CRN!G:G,CRN!T:T,"")</f>
        <v>0</v>
      </c>
      <c r="Y122">
        <f>IF(X122=0,0,_xlfn.XLOOKUP(C122,CLIENT_CODE!B:B,CLIENT_CODE!P:P,0))</f>
        <v>0</v>
      </c>
      <c r="Z122">
        <f>_xlfn.XLOOKUP(B122,CRN!G:G,CRN!U:U,"")</f>
        <v>0</v>
      </c>
      <c r="AA122">
        <f>IF(X122=0,0,_xlfn.XLOOKUP(C122,CLIENT_CODE!B:B,CLIENT_CODE!P:P,0))</f>
        <v>0</v>
      </c>
      <c r="AB122">
        <f>_xlfn.XLOOKUP(B122,CRN!G:G,CRN!V:V,"")</f>
        <v>0</v>
      </c>
      <c r="AC122">
        <f>IF(AB122=0,0,_xlfn.XLOOKUP(C122,CLIENT_CODE!B:B,CLIENT_CODE!R:R,0))</f>
        <v>0</v>
      </c>
      <c r="AD122">
        <f t="shared" si="1"/>
        <v>0</v>
      </c>
    </row>
    <row r="123" spans="1:30">
      <c r="A123" s="42">
        <v>122</v>
      </c>
      <c r="E123">
        <f>IF(D123=0,0,_xlfn.XLOOKUP(C123,CLIENT_CODE!B:B,CLIENT_CODE!F:F,0))</f>
        <v>0</v>
      </c>
      <c r="F123">
        <f>_xlfn.XLOOKUP(B123,CRN!G:G,CRN!K:K,"")</f>
        <v>0</v>
      </c>
      <c r="G123">
        <f>IF(F123=0,0,_xlfn.XLOOKUP(C123,CLIENT_CODE!B:B,CLIENT_CODE!G:G,0))</f>
        <v>0</v>
      </c>
      <c r="H123">
        <f>_xlfn.XLOOKUP(B123,CRN!G:G,CRN!L:L,"")</f>
        <v>0</v>
      </c>
      <c r="I123">
        <f>IF(H123=0,0,_xlfn.XLOOKUP(C123,CLIENT_CODE!B:B,CLIENT_CODE!H:H,0))</f>
        <v>0</v>
      </c>
      <c r="J123">
        <f>_xlfn.XLOOKUP(B123,CRN!G:G,CRN!M:M,"")</f>
        <v>0</v>
      </c>
      <c r="K123">
        <f>IF(J123=0,0,_xlfn.XLOOKUP(C123,CLIENT_CODE!B:B,CLIENT_CODE!I:I,0))</f>
        <v>0</v>
      </c>
      <c r="L123">
        <f>_xlfn.XLOOKUP(B123,CRN!G:G,CRN!N:N,"")</f>
        <v>0</v>
      </c>
      <c r="M123">
        <f>IF(L123=0,0,_xlfn.XLOOKUP(C123,CLIENT_CODE!B:B,CLIENT_CODE!J:J,0))</f>
        <v>0</v>
      </c>
      <c r="N123">
        <f>_xlfn.XLOOKUP(B123,CRN!G:G,CRN!O:O,"")</f>
        <v>0</v>
      </c>
      <c r="O123">
        <f>IF(N123=0,0,_xlfn.XLOOKUP(C123,CLIENT_CODE!B:B,CLIENT_CODE!K:K,0))</f>
        <v>0</v>
      </c>
      <c r="P123">
        <f>_xlfn.XLOOKUP(B123,CRN!G:G,CRN!P:P,"")</f>
        <v>0</v>
      </c>
      <c r="Q123">
        <f>IF(P123=0,0,_xlfn.XLOOKUP(C123,CLIENT_CODE!B:B,CLIENT_CODE!L:L,0))</f>
        <v>0</v>
      </c>
      <c r="R123">
        <f>_xlfn.XLOOKUP(B123,CRN!G:G,CRN!Q:Q,"")</f>
        <v>0</v>
      </c>
      <c r="S123">
        <f>IF(R123=0,0,_xlfn.XLOOKUP(C123,CLIENT_CODE!B:B,CLIENT_CODE!M:M,0))</f>
        <v>0</v>
      </c>
      <c r="T123">
        <f>_xlfn.XLOOKUP(B123,CRN!G:G,CRN!R:R,"")</f>
        <v>0</v>
      </c>
      <c r="U123">
        <f>IF(T123=0,0,_xlfn.XLOOKUP(C123,CLIENT_CODE!B:B,CLIENT_CODE!N:N,0))</f>
        <v>0</v>
      </c>
      <c r="V123">
        <f>_xlfn.XLOOKUP(B123,CRN!G:G,CRN!S:S,"")</f>
        <v>0</v>
      </c>
      <c r="W123">
        <f>IF(V123=0,0,_xlfn.XLOOKUP(C123,CLIENT_CODE!B:B,CLIENT_CODE!O:O,0))</f>
        <v>0</v>
      </c>
      <c r="X123">
        <f>_xlfn.XLOOKUP(B123,CRN!G:G,CRN!T:T,"")</f>
        <v>0</v>
      </c>
      <c r="Y123">
        <f>IF(X123=0,0,_xlfn.XLOOKUP(C123,CLIENT_CODE!B:B,CLIENT_CODE!P:P,0))</f>
        <v>0</v>
      </c>
      <c r="Z123">
        <f>_xlfn.XLOOKUP(B123,CRN!G:G,CRN!U:U,"")</f>
        <v>0</v>
      </c>
      <c r="AA123">
        <f>IF(X123=0,0,_xlfn.XLOOKUP(C123,CLIENT_CODE!B:B,CLIENT_CODE!P:P,0))</f>
        <v>0</v>
      </c>
      <c r="AB123">
        <f>_xlfn.XLOOKUP(B123,CRN!G:G,CRN!V:V,"")</f>
        <v>0</v>
      </c>
      <c r="AC123">
        <f>IF(AB123=0,0,_xlfn.XLOOKUP(C123,CLIENT_CODE!B:B,CLIENT_CODE!R:R,0))</f>
        <v>0</v>
      </c>
      <c r="AD123">
        <f t="shared" si="1"/>
        <v>0</v>
      </c>
    </row>
    <row r="124" spans="1:30">
      <c r="A124" s="42">
        <v>123</v>
      </c>
      <c r="E124">
        <f>IF(D124=0,0,_xlfn.XLOOKUP(C124,CLIENT_CODE!B:B,CLIENT_CODE!F:F,0))</f>
        <v>0</v>
      </c>
      <c r="F124">
        <f>_xlfn.XLOOKUP(B124,CRN!G:G,CRN!K:K,"")</f>
        <v>0</v>
      </c>
      <c r="G124">
        <f>IF(F124=0,0,_xlfn.XLOOKUP(C124,CLIENT_CODE!B:B,CLIENT_CODE!G:G,0))</f>
        <v>0</v>
      </c>
      <c r="H124">
        <f>_xlfn.XLOOKUP(B124,CRN!G:G,CRN!L:L,"")</f>
        <v>0</v>
      </c>
      <c r="I124">
        <f>IF(H124=0,0,_xlfn.XLOOKUP(C124,CLIENT_CODE!B:B,CLIENT_CODE!H:H,0))</f>
        <v>0</v>
      </c>
      <c r="J124">
        <f>_xlfn.XLOOKUP(B124,CRN!G:G,CRN!M:M,"")</f>
        <v>0</v>
      </c>
      <c r="K124">
        <f>IF(J124=0,0,_xlfn.XLOOKUP(C124,CLIENT_CODE!B:B,CLIENT_CODE!I:I,0))</f>
        <v>0</v>
      </c>
      <c r="L124">
        <f>_xlfn.XLOOKUP(B124,CRN!G:G,CRN!N:N,"")</f>
        <v>0</v>
      </c>
      <c r="M124">
        <f>IF(L124=0,0,_xlfn.XLOOKUP(C124,CLIENT_CODE!B:B,CLIENT_CODE!J:J,0))</f>
        <v>0</v>
      </c>
      <c r="N124">
        <f>_xlfn.XLOOKUP(B124,CRN!G:G,CRN!O:O,"")</f>
        <v>0</v>
      </c>
      <c r="O124">
        <f>IF(N124=0,0,_xlfn.XLOOKUP(C124,CLIENT_CODE!B:B,CLIENT_CODE!K:K,0))</f>
        <v>0</v>
      </c>
      <c r="P124">
        <f>_xlfn.XLOOKUP(B124,CRN!G:G,CRN!P:P,"")</f>
        <v>0</v>
      </c>
      <c r="Q124">
        <f>IF(P124=0,0,_xlfn.XLOOKUP(C124,CLIENT_CODE!B:B,CLIENT_CODE!L:L,0))</f>
        <v>0</v>
      </c>
      <c r="R124">
        <f>_xlfn.XLOOKUP(B124,CRN!G:G,CRN!Q:Q,"")</f>
        <v>0</v>
      </c>
      <c r="S124">
        <f>IF(R124=0,0,_xlfn.XLOOKUP(C124,CLIENT_CODE!B:B,CLIENT_CODE!M:M,0))</f>
        <v>0</v>
      </c>
      <c r="T124">
        <f>_xlfn.XLOOKUP(B124,CRN!G:G,CRN!R:R,"")</f>
        <v>0</v>
      </c>
      <c r="U124">
        <f>IF(T124=0,0,_xlfn.XLOOKUP(C124,CLIENT_CODE!B:B,CLIENT_CODE!N:N,0))</f>
        <v>0</v>
      </c>
      <c r="V124">
        <f>_xlfn.XLOOKUP(B124,CRN!G:G,CRN!S:S,"")</f>
        <v>0</v>
      </c>
      <c r="W124">
        <f>IF(V124=0,0,_xlfn.XLOOKUP(C124,CLIENT_CODE!B:B,CLIENT_CODE!O:O,0))</f>
        <v>0</v>
      </c>
      <c r="X124">
        <f>_xlfn.XLOOKUP(B124,CRN!G:G,CRN!T:T,"")</f>
        <v>0</v>
      </c>
      <c r="Y124">
        <f>IF(X124=0,0,_xlfn.XLOOKUP(C124,CLIENT_CODE!B:B,CLIENT_CODE!P:P,0))</f>
        <v>0</v>
      </c>
      <c r="Z124">
        <f>_xlfn.XLOOKUP(B124,CRN!G:G,CRN!U:U,"")</f>
        <v>0</v>
      </c>
      <c r="AA124">
        <f>IF(X124=0,0,_xlfn.XLOOKUP(C124,CLIENT_CODE!B:B,CLIENT_CODE!P:P,0))</f>
        <v>0</v>
      </c>
      <c r="AB124">
        <f>_xlfn.XLOOKUP(B124,CRN!G:G,CRN!V:V,"")</f>
        <v>0</v>
      </c>
      <c r="AC124">
        <f>IF(AB124=0,0,_xlfn.XLOOKUP(C124,CLIENT_CODE!B:B,CLIENT_CODE!R:R,0))</f>
        <v>0</v>
      </c>
      <c r="AD124">
        <f t="shared" si="1"/>
        <v>0</v>
      </c>
    </row>
    <row r="125" spans="1:30">
      <c r="A125" s="42">
        <v>124</v>
      </c>
      <c r="E125">
        <f>IF(D125=0,0,_xlfn.XLOOKUP(C125,CLIENT_CODE!B:B,CLIENT_CODE!F:F,0))</f>
        <v>0</v>
      </c>
      <c r="F125">
        <f>_xlfn.XLOOKUP(B125,CRN!G:G,CRN!K:K,"")</f>
        <v>0</v>
      </c>
      <c r="G125">
        <f>IF(F125=0,0,_xlfn.XLOOKUP(C125,CLIENT_CODE!B:B,CLIENT_CODE!G:G,0))</f>
        <v>0</v>
      </c>
      <c r="H125">
        <f>_xlfn.XLOOKUP(B125,CRN!G:G,CRN!L:L,"")</f>
        <v>0</v>
      </c>
      <c r="I125">
        <f>IF(H125=0,0,_xlfn.XLOOKUP(C125,CLIENT_CODE!B:B,CLIENT_CODE!H:H,0))</f>
        <v>0</v>
      </c>
      <c r="J125">
        <f>_xlfn.XLOOKUP(B125,CRN!G:G,CRN!M:M,"")</f>
        <v>0</v>
      </c>
      <c r="K125">
        <f>IF(J125=0,0,_xlfn.XLOOKUP(C125,CLIENT_CODE!B:B,CLIENT_CODE!I:I,0))</f>
        <v>0</v>
      </c>
      <c r="L125">
        <f>_xlfn.XLOOKUP(B125,CRN!G:G,CRN!N:N,"")</f>
        <v>0</v>
      </c>
      <c r="M125">
        <f>IF(L125=0,0,_xlfn.XLOOKUP(C125,CLIENT_CODE!B:B,CLIENT_CODE!J:J,0))</f>
        <v>0</v>
      </c>
      <c r="N125">
        <f>_xlfn.XLOOKUP(B125,CRN!G:G,CRN!O:O,"")</f>
        <v>0</v>
      </c>
      <c r="O125">
        <f>IF(N125=0,0,_xlfn.XLOOKUP(C125,CLIENT_CODE!B:B,CLIENT_CODE!K:K,0))</f>
        <v>0</v>
      </c>
      <c r="P125">
        <f>_xlfn.XLOOKUP(B125,CRN!G:G,CRN!P:P,"")</f>
        <v>0</v>
      </c>
      <c r="Q125">
        <f>IF(P125=0,0,_xlfn.XLOOKUP(C125,CLIENT_CODE!B:B,CLIENT_CODE!L:L,0))</f>
        <v>0</v>
      </c>
      <c r="R125">
        <f>_xlfn.XLOOKUP(B125,CRN!G:G,CRN!Q:Q,"")</f>
        <v>0</v>
      </c>
      <c r="S125">
        <f>IF(R125=0,0,_xlfn.XLOOKUP(C125,CLIENT_CODE!B:B,CLIENT_CODE!M:M,0))</f>
        <v>0</v>
      </c>
      <c r="T125">
        <f>_xlfn.XLOOKUP(B125,CRN!G:G,CRN!R:R,"")</f>
        <v>0</v>
      </c>
      <c r="U125">
        <f>IF(T125=0,0,_xlfn.XLOOKUP(C125,CLIENT_CODE!B:B,CLIENT_CODE!N:N,0))</f>
        <v>0</v>
      </c>
      <c r="V125">
        <f>_xlfn.XLOOKUP(B125,CRN!G:G,CRN!S:S,"")</f>
        <v>0</v>
      </c>
      <c r="W125">
        <f>IF(V125=0,0,_xlfn.XLOOKUP(C125,CLIENT_CODE!B:B,CLIENT_CODE!O:O,0))</f>
        <v>0</v>
      </c>
      <c r="X125">
        <f>_xlfn.XLOOKUP(B125,CRN!G:G,CRN!T:T,"")</f>
        <v>0</v>
      </c>
      <c r="Y125">
        <f>IF(X125=0,0,_xlfn.XLOOKUP(C125,CLIENT_CODE!B:B,CLIENT_CODE!P:P,0))</f>
        <v>0</v>
      </c>
      <c r="Z125">
        <f>_xlfn.XLOOKUP(B125,CRN!G:G,CRN!U:U,"")</f>
        <v>0</v>
      </c>
      <c r="AA125">
        <f>IF(X125=0,0,_xlfn.XLOOKUP(C125,CLIENT_CODE!B:B,CLIENT_CODE!P:P,0))</f>
        <v>0</v>
      </c>
      <c r="AB125">
        <f>_xlfn.XLOOKUP(B125,CRN!G:G,CRN!V:V,"")</f>
        <v>0</v>
      </c>
      <c r="AC125">
        <f>IF(AB125=0,0,_xlfn.XLOOKUP(C125,CLIENT_CODE!B:B,CLIENT_CODE!R:R,0))</f>
        <v>0</v>
      </c>
      <c r="AD125">
        <f t="shared" si="1"/>
        <v>0</v>
      </c>
    </row>
    <row r="126" spans="1:30">
      <c r="A126" s="42">
        <v>125</v>
      </c>
      <c r="E126">
        <f>IF(D126=0,0,_xlfn.XLOOKUP(C126,CLIENT_CODE!B:B,CLIENT_CODE!F:F,0))</f>
        <v>0</v>
      </c>
      <c r="F126">
        <f>_xlfn.XLOOKUP(B126,CRN!G:G,CRN!K:K,"")</f>
        <v>0</v>
      </c>
      <c r="G126">
        <f>IF(F126=0,0,_xlfn.XLOOKUP(C126,CLIENT_CODE!B:B,CLIENT_CODE!G:G,0))</f>
        <v>0</v>
      </c>
      <c r="H126">
        <f>_xlfn.XLOOKUP(B126,CRN!G:G,CRN!L:L,"")</f>
        <v>0</v>
      </c>
      <c r="I126">
        <f>IF(H126=0,0,_xlfn.XLOOKUP(C126,CLIENT_CODE!B:B,CLIENT_CODE!H:H,0))</f>
        <v>0</v>
      </c>
      <c r="J126">
        <f>_xlfn.XLOOKUP(B126,CRN!G:G,CRN!M:M,"")</f>
        <v>0</v>
      </c>
      <c r="K126">
        <f>IF(J126=0,0,_xlfn.XLOOKUP(C126,CLIENT_CODE!B:B,CLIENT_CODE!I:I,0))</f>
        <v>0</v>
      </c>
      <c r="L126">
        <f>_xlfn.XLOOKUP(B126,CRN!G:G,CRN!N:N,"")</f>
        <v>0</v>
      </c>
      <c r="M126">
        <f>IF(L126=0,0,_xlfn.XLOOKUP(C126,CLIENT_CODE!B:B,CLIENT_CODE!J:J,0))</f>
        <v>0</v>
      </c>
      <c r="N126">
        <f>_xlfn.XLOOKUP(B126,CRN!G:G,CRN!O:O,"")</f>
        <v>0</v>
      </c>
      <c r="O126">
        <f>IF(N126=0,0,_xlfn.XLOOKUP(C126,CLIENT_CODE!B:B,CLIENT_CODE!K:K,0))</f>
        <v>0</v>
      </c>
      <c r="P126">
        <f>_xlfn.XLOOKUP(B126,CRN!G:G,CRN!P:P,"")</f>
        <v>0</v>
      </c>
      <c r="Q126">
        <f>IF(P126=0,0,_xlfn.XLOOKUP(C126,CLIENT_CODE!B:B,CLIENT_CODE!L:L,0))</f>
        <v>0</v>
      </c>
      <c r="R126">
        <f>_xlfn.XLOOKUP(B126,CRN!G:G,CRN!Q:Q,"")</f>
        <v>0</v>
      </c>
      <c r="S126">
        <f>IF(R126=0,0,_xlfn.XLOOKUP(C126,CLIENT_CODE!B:B,CLIENT_CODE!M:M,0))</f>
        <v>0</v>
      </c>
      <c r="T126">
        <f>_xlfn.XLOOKUP(B126,CRN!G:G,CRN!R:R,"")</f>
        <v>0</v>
      </c>
      <c r="U126">
        <f>IF(T126=0,0,_xlfn.XLOOKUP(C126,CLIENT_CODE!B:B,CLIENT_CODE!N:N,0))</f>
        <v>0</v>
      </c>
      <c r="V126">
        <f>_xlfn.XLOOKUP(B126,CRN!G:G,CRN!S:S,"")</f>
        <v>0</v>
      </c>
      <c r="W126">
        <f>IF(V126=0,0,_xlfn.XLOOKUP(C126,CLIENT_CODE!B:B,CLIENT_CODE!O:O,0))</f>
        <v>0</v>
      </c>
      <c r="X126">
        <f>_xlfn.XLOOKUP(B126,CRN!G:G,CRN!T:T,"")</f>
        <v>0</v>
      </c>
      <c r="Y126">
        <f>IF(X126=0,0,_xlfn.XLOOKUP(C126,CLIENT_CODE!B:B,CLIENT_CODE!P:P,0))</f>
        <v>0</v>
      </c>
      <c r="Z126">
        <f>_xlfn.XLOOKUP(B126,CRN!G:G,CRN!U:U,"")</f>
        <v>0</v>
      </c>
      <c r="AA126">
        <f>IF(X126=0,0,_xlfn.XLOOKUP(C126,CLIENT_CODE!B:B,CLIENT_CODE!P:P,0))</f>
        <v>0</v>
      </c>
      <c r="AB126">
        <f>_xlfn.XLOOKUP(B126,CRN!G:G,CRN!V:V,"")</f>
        <v>0</v>
      </c>
      <c r="AC126">
        <f>IF(AB126=0,0,_xlfn.XLOOKUP(C126,CLIENT_CODE!B:B,CLIENT_CODE!R:R,0))</f>
        <v>0</v>
      </c>
      <c r="AD126">
        <f t="shared" si="1"/>
        <v>0</v>
      </c>
    </row>
    <row r="127" spans="1:30">
      <c r="A127" s="42">
        <v>126</v>
      </c>
      <c r="E127">
        <f>IF(D127=0,0,_xlfn.XLOOKUP(C127,CLIENT_CODE!B:B,CLIENT_CODE!F:F,0))</f>
        <v>0</v>
      </c>
      <c r="F127">
        <f>_xlfn.XLOOKUP(B127,CRN!G:G,CRN!K:K,"")</f>
        <v>0</v>
      </c>
      <c r="G127">
        <f>IF(F127=0,0,_xlfn.XLOOKUP(C127,CLIENT_CODE!B:B,CLIENT_CODE!G:G,0))</f>
        <v>0</v>
      </c>
      <c r="H127">
        <f>_xlfn.XLOOKUP(B127,CRN!G:G,CRN!L:L,"")</f>
        <v>0</v>
      </c>
      <c r="I127">
        <f>IF(H127=0,0,_xlfn.XLOOKUP(C127,CLIENT_CODE!B:B,CLIENT_CODE!H:H,0))</f>
        <v>0</v>
      </c>
      <c r="J127">
        <f>_xlfn.XLOOKUP(B127,CRN!G:G,CRN!M:M,"")</f>
        <v>0</v>
      </c>
      <c r="K127">
        <f>IF(J127=0,0,_xlfn.XLOOKUP(C127,CLIENT_CODE!B:B,CLIENT_CODE!I:I,0))</f>
        <v>0</v>
      </c>
      <c r="L127">
        <f>_xlfn.XLOOKUP(B127,CRN!G:G,CRN!N:N,"")</f>
        <v>0</v>
      </c>
      <c r="M127">
        <f>IF(L127=0,0,_xlfn.XLOOKUP(C127,CLIENT_CODE!B:B,CLIENT_CODE!J:J,0))</f>
        <v>0</v>
      </c>
      <c r="N127">
        <f>_xlfn.XLOOKUP(B127,CRN!G:G,CRN!O:O,"")</f>
        <v>0</v>
      </c>
      <c r="O127">
        <f>IF(N127=0,0,_xlfn.XLOOKUP(C127,CLIENT_CODE!B:B,CLIENT_CODE!K:K,0))</f>
        <v>0</v>
      </c>
      <c r="P127">
        <f>_xlfn.XLOOKUP(B127,CRN!G:G,CRN!P:P,"")</f>
        <v>0</v>
      </c>
      <c r="Q127">
        <f>IF(P127=0,0,_xlfn.XLOOKUP(C127,CLIENT_CODE!B:B,CLIENT_CODE!L:L,0))</f>
        <v>0</v>
      </c>
      <c r="R127">
        <f>_xlfn.XLOOKUP(B127,CRN!G:G,CRN!Q:Q,"")</f>
        <v>0</v>
      </c>
      <c r="S127">
        <f>IF(R127=0,0,_xlfn.XLOOKUP(C127,CLIENT_CODE!B:B,CLIENT_CODE!M:M,0))</f>
        <v>0</v>
      </c>
      <c r="T127">
        <f>_xlfn.XLOOKUP(B127,CRN!G:G,CRN!R:R,"")</f>
        <v>0</v>
      </c>
      <c r="U127">
        <f>IF(T127=0,0,_xlfn.XLOOKUP(C127,CLIENT_CODE!B:B,CLIENT_CODE!N:N,0))</f>
        <v>0</v>
      </c>
      <c r="V127">
        <f>_xlfn.XLOOKUP(B127,CRN!G:G,CRN!S:S,"")</f>
        <v>0</v>
      </c>
      <c r="W127">
        <f>IF(V127=0,0,_xlfn.XLOOKUP(C127,CLIENT_CODE!B:B,CLIENT_CODE!O:O,0))</f>
        <v>0</v>
      </c>
      <c r="X127">
        <f>_xlfn.XLOOKUP(B127,CRN!G:G,CRN!T:T,"")</f>
        <v>0</v>
      </c>
      <c r="Y127">
        <f>IF(X127=0,0,_xlfn.XLOOKUP(C127,CLIENT_CODE!B:B,CLIENT_CODE!P:P,0))</f>
        <v>0</v>
      </c>
      <c r="Z127">
        <f>_xlfn.XLOOKUP(B127,CRN!G:G,CRN!U:U,"")</f>
        <v>0</v>
      </c>
      <c r="AA127">
        <f>IF(X127=0,0,_xlfn.XLOOKUP(C127,CLIENT_CODE!B:B,CLIENT_CODE!P:P,0))</f>
        <v>0</v>
      </c>
      <c r="AB127">
        <f>_xlfn.XLOOKUP(B127,CRN!G:G,CRN!V:V,"")</f>
        <v>0</v>
      </c>
      <c r="AC127">
        <f>IF(AB127=0,0,_xlfn.XLOOKUP(C127,CLIENT_CODE!B:B,CLIENT_CODE!R:R,0))</f>
        <v>0</v>
      </c>
      <c r="AD127">
        <f t="shared" si="1"/>
        <v>0</v>
      </c>
    </row>
    <row r="128" spans="1:30">
      <c r="A128" s="42">
        <v>127</v>
      </c>
      <c r="E128">
        <f>IF(D128=0,0,_xlfn.XLOOKUP(C128,CLIENT_CODE!B:B,CLIENT_CODE!F:F,0))</f>
        <v>0</v>
      </c>
      <c r="F128">
        <f>_xlfn.XLOOKUP(B128,CRN!G:G,CRN!K:K,"")</f>
        <v>0</v>
      </c>
      <c r="G128">
        <f>IF(F128=0,0,_xlfn.XLOOKUP(C128,CLIENT_CODE!B:B,CLIENT_CODE!G:G,0))</f>
        <v>0</v>
      </c>
      <c r="H128">
        <f>_xlfn.XLOOKUP(B128,CRN!G:G,CRN!L:L,"")</f>
        <v>0</v>
      </c>
      <c r="I128">
        <f>IF(H128=0,0,_xlfn.XLOOKUP(C128,CLIENT_CODE!B:B,CLIENT_CODE!H:H,0))</f>
        <v>0</v>
      </c>
      <c r="J128">
        <f>_xlfn.XLOOKUP(B128,CRN!G:G,CRN!M:M,"")</f>
        <v>0</v>
      </c>
      <c r="K128">
        <f>IF(J128=0,0,_xlfn.XLOOKUP(C128,CLIENT_CODE!B:B,CLIENT_CODE!I:I,0))</f>
        <v>0</v>
      </c>
      <c r="L128">
        <f>_xlfn.XLOOKUP(B128,CRN!G:G,CRN!N:N,"")</f>
        <v>0</v>
      </c>
      <c r="M128">
        <f>IF(L128=0,0,_xlfn.XLOOKUP(C128,CLIENT_CODE!B:B,CLIENT_CODE!J:J,0))</f>
        <v>0</v>
      </c>
      <c r="N128">
        <f>_xlfn.XLOOKUP(B128,CRN!G:G,CRN!O:O,"")</f>
        <v>0</v>
      </c>
      <c r="O128">
        <f>IF(N128=0,0,_xlfn.XLOOKUP(C128,CLIENT_CODE!B:B,CLIENT_CODE!K:K,0))</f>
        <v>0</v>
      </c>
      <c r="P128">
        <f>_xlfn.XLOOKUP(B128,CRN!G:G,CRN!P:P,"")</f>
        <v>0</v>
      </c>
      <c r="Q128">
        <f>IF(P128=0,0,_xlfn.XLOOKUP(C128,CLIENT_CODE!B:B,CLIENT_CODE!L:L,0))</f>
        <v>0</v>
      </c>
      <c r="R128">
        <f>_xlfn.XLOOKUP(B128,CRN!G:G,CRN!Q:Q,"")</f>
        <v>0</v>
      </c>
      <c r="S128">
        <f>IF(R128=0,0,_xlfn.XLOOKUP(C128,CLIENT_CODE!B:B,CLIENT_CODE!M:M,0))</f>
        <v>0</v>
      </c>
      <c r="T128">
        <f>_xlfn.XLOOKUP(B128,CRN!G:G,CRN!R:R,"")</f>
        <v>0</v>
      </c>
      <c r="U128">
        <f>IF(T128=0,0,_xlfn.XLOOKUP(C128,CLIENT_CODE!B:B,CLIENT_CODE!N:N,0))</f>
        <v>0</v>
      </c>
      <c r="V128">
        <f>_xlfn.XLOOKUP(B128,CRN!G:G,CRN!S:S,"")</f>
        <v>0</v>
      </c>
      <c r="W128">
        <f>IF(V128=0,0,_xlfn.XLOOKUP(C128,CLIENT_CODE!B:B,CLIENT_CODE!O:O,0))</f>
        <v>0</v>
      </c>
      <c r="X128">
        <f>_xlfn.XLOOKUP(B128,CRN!G:G,CRN!T:T,"")</f>
        <v>0</v>
      </c>
      <c r="Y128">
        <f>IF(X128=0,0,_xlfn.XLOOKUP(C128,CLIENT_CODE!B:B,CLIENT_CODE!P:P,0))</f>
        <v>0</v>
      </c>
      <c r="Z128">
        <f>_xlfn.XLOOKUP(B128,CRN!G:G,CRN!U:U,"")</f>
        <v>0</v>
      </c>
      <c r="AA128">
        <f>IF(X128=0,0,_xlfn.XLOOKUP(C128,CLIENT_CODE!B:B,CLIENT_CODE!P:P,0))</f>
        <v>0</v>
      </c>
      <c r="AB128">
        <f>_xlfn.XLOOKUP(B128,CRN!G:G,CRN!V:V,"")</f>
        <v>0</v>
      </c>
      <c r="AC128">
        <f>IF(AB128=0,0,_xlfn.XLOOKUP(C128,CLIENT_CODE!B:B,CLIENT_CODE!R:R,0))</f>
        <v>0</v>
      </c>
      <c r="AD128">
        <f t="shared" si="1"/>
        <v>0</v>
      </c>
    </row>
    <row r="129" spans="1:30">
      <c r="A129" s="42">
        <v>128</v>
      </c>
      <c r="E129">
        <f>IF(D129=0,0,_xlfn.XLOOKUP(C129,CLIENT_CODE!B:B,CLIENT_CODE!F:F,0))</f>
        <v>0</v>
      </c>
      <c r="F129">
        <f>_xlfn.XLOOKUP(B129,CRN!G:G,CRN!K:K,"")</f>
        <v>0</v>
      </c>
      <c r="G129">
        <f>IF(F129=0,0,_xlfn.XLOOKUP(C129,CLIENT_CODE!B:B,CLIENT_CODE!G:G,0))</f>
        <v>0</v>
      </c>
      <c r="H129">
        <f>_xlfn.XLOOKUP(B129,CRN!G:G,CRN!L:L,"")</f>
        <v>0</v>
      </c>
      <c r="I129">
        <f>IF(H129=0,0,_xlfn.XLOOKUP(C129,CLIENT_CODE!B:B,CLIENT_CODE!H:H,0))</f>
        <v>0</v>
      </c>
      <c r="J129">
        <f>_xlfn.XLOOKUP(B129,CRN!G:G,CRN!M:M,"")</f>
        <v>0</v>
      </c>
      <c r="K129">
        <f>IF(J129=0,0,_xlfn.XLOOKUP(C129,CLIENT_CODE!B:B,CLIENT_CODE!I:I,0))</f>
        <v>0</v>
      </c>
      <c r="L129">
        <f>_xlfn.XLOOKUP(B129,CRN!G:G,CRN!N:N,"")</f>
        <v>0</v>
      </c>
      <c r="M129">
        <f>IF(L129=0,0,_xlfn.XLOOKUP(C129,CLIENT_CODE!B:B,CLIENT_CODE!J:J,0))</f>
        <v>0</v>
      </c>
      <c r="N129">
        <f>_xlfn.XLOOKUP(B129,CRN!G:G,CRN!O:O,"")</f>
        <v>0</v>
      </c>
      <c r="O129">
        <f>IF(N129=0,0,_xlfn.XLOOKUP(C129,CLIENT_CODE!B:B,CLIENT_CODE!K:K,0))</f>
        <v>0</v>
      </c>
      <c r="P129">
        <f>_xlfn.XLOOKUP(B129,CRN!G:G,CRN!P:P,"")</f>
        <v>0</v>
      </c>
      <c r="Q129">
        <f>IF(P129=0,0,_xlfn.XLOOKUP(C129,CLIENT_CODE!B:B,CLIENT_CODE!L:L,0))</f>
        <v>0</v>
      </c>
      <c r="R129">
        <f>_xlfn.XLOOKUP(B129,CRN!G:G,CRN!Q:Q,"")</f>
        <v>0</v>
      </c>
      <c r="S129">
        <f>IF(R129=0,0,_xlfn.XLOOKUP(C129,CLIENT_CODE!B:B,CLIENT_CODE!M:M,0))</f>
        <v>0</v>
      </c>
      <c r="T129">
        <f>_xlfn.XLOOKUP(B129,CRN!G:G,CRN!R:R,"")</f>
        <v>0</v>
      </c>
      <c r="U129">
        <f>IF(T129=0,0,_xlfn.XLOOKUP(C129,CLIENT_CODE!B:B,CLIENT_CODE!N:N,0))</f>
        <v>0</v>
      </c>
      <c r="V129">
        <f>_xlfn.XLOOKUP(B129,CRN!G:G,CRN!S:S,"")</f>
        <v>0</v>
      </c>
      <c r="W129">
        <f>IF(V129=0,0,_xlfn.XLOOKUP(C129,CLIENT_CODE!B:B,CLIENT_CODE!O:O,0))</f>
        <v>0</v>
      </c>
      <c r="X129">
        <f>_xlfn.XLOOKUP(B129,CRN!G:G,CRN!T:T,"")</f>
        <v>0</v>
      </c>
      <c r="Y129">
        <f>IF(X129=0,0,_xlfn.XLOOKUP(C129,CLIENT_CODE!B:B,CLIENT_CODE!P:P,0))</f>
        <v>0</v>
      </c>
      <c r="Z129">
        <f>_xlfn.XLOOKUP(B129,CRN!G:G,CRN!U:U,"")</f>
        <v>0</v>
      </c>
      <c r="AA129">
        <f>IF(X129=0,0,_xlfn.XLOOKUP(C129,CLIENT_CODE!B:B,CLIENT_CODE!P:P,0))</f>
        <v>0</v>
      </c>
      <c r="AB129">
        <f>_xlfn.XLOOKUP(B129,CRN!G:G,CRN!V:V,"")</f>
        <v>0</v>
      </c>
      <c r="AC129">
        <f>IF(AB129=0,0,_xlfn.XLOOKUP(C129,CLIENT_CODE!B:B,CLIENT_CODE!R:R,0))</f>
        <v>0</v>
      </c>
      <c r="AD129">
        <f t="shared" si="1"/>
        <v>0</v>
      </c>
    </row>
    <row r="130" spans="1:30">
      <c r="A130" s="42">
        <v>129</v>
      </c>
      <c r="E130">
        <f>IF(D130=0,0,_xlfn.XLOOKUP(C130,CLIENT_CODE!B:B,CLIENT_CODE!F:F,0))</f>
        <v>0</v>
      </c>
      <c r="F130">
        <f>_xlfn.XLOOKUP(B130,CRN!G:G,CRN!K:K,"")</f>
        <v>0</v>
      </c>
      <c r="G130">
        <f>IF(F130=0,0,_xlfn.XLOOKUP(C130,CLIENT_CODE!B:B,CLIENT_CODE!G:G,0))</f>
        <v>0</v>
      </c>
      <c r="H130">
        <f>_xlfn.XLOOKUP(B130,CRN!G:G,CRN!L:L,"")</f>
        <v>0</v>
      </c>
      <c r="I130">
        <f>IF(H130=0,0,_xlfn.XLOOKUP(C130,CLIENT_CODE!B:B,CLIENT_CODE!H:H,0))</f>
        <v>0</v>
      </c>
      <c r="J130">
        <f>_xlfn.XLOOKUP(B130,CRN!G:G,CRN!M:M,"")</f>
        <v>0</v>
      </c>
      <c r="K130">
        <f>IF(J130=0,0,_xlfn.XLOOKUP(C130,CLIENT_CODE!B:B,CLIENT_CODE!I:I,0))</f>
        <v>0</v>
      </c>
      <c r="L130">
        <f>_xlfn.XLOOKUP(B130,CRN!G:G,CRN!N:N,"")</f>
        <v>0</v>
      </c>
      <c r="M130">
        <f>IF(L130=0,0,_xlfn.XLOOKUP(C130,CLIENT_CODE!B:B,CLIENT_CODE!J:J,0))</f>
        <v>0</v>
      </c>
      <c r="N130">
        <f>_xlfn.XLOOKUP(B130,CRN!G:G,CRN!O:O,"")</f>
        <v>0</v>
      </c>
      <c r="O130">
        <f>IF(N130=0,0,_xlfn.XLOOKUP(C130,CLIENT_CODE!B:B,CLIENT_CODE!K:K,0))</f>
        <v>0</v>
      </c>
      <c r="P130">
        <f>_xlfn.XLOOKUP(B130,CRN!G:G,CRN!P:P,"")</f>
        <v>0</v>
      </c>
      <c r="Q130">
        <f>IF(P130=0,0,_xlfn.XLOOKUP(C130,CLIENT_CODE!B:B,CLIENT_CODE!L:L,0))</f>
        <v>0</v>
      </c>
      <c r="R130">
        <f>_xlfn.XLOOKUP(B130,CRN!G:G,CRN!Q:Q,"")</f>
        <v>0</v>
      </c>
      <c r="S130">
        <f>IF(R130=0,0,_xlfn.XLOOKUP(C130,CLIENT_CODE!B:B,CLIENT_CODE!M:M,0))</f>
        <v>0</v>
      </c>
      <c r="T130">
        <f>_xlfn.XLOOKUP(B130,CRN!G:G,CRN!R:R,"")</f>
        <v>0</v>
      </c>
      <c r="U130">
        <f>IF(T130=0,0,_xlfn.XLOOKUP(C130,CLIENT_CODE!B:B,CLIENT_CODE!N:N,0))</f>
        <v>0</v>
      </c>
      <c r="V130">
        <f>_xlfn.XLOOKUP(B130,CRN!G:G,CRN!S:S,"")</f>
        <v>0</v>
      </c>
      <c r="W130">
        <f>IF(V130=0,0,_xlfn.XLOOKUP(C130,CLIENT_CODE!B:B,CLIENT_CODE!O:O,0))</f>
        <v>0</v>
      </c>
      <c r="X130">
        <f>_xlfn.XLOOKUP(B130,CRN!G:G,CRN!T:T,"")</f>
        <v>0</v>
      </c>
      <c r="Y130">
        <f>IF(X130=0,0,_xlfn.XLOOKUP(C130,CLIENT_CODE!B:B,CLIENT_CODE!P:P,0))</f>
        <v>0</v>
      </c>
      <c r="Z130">
        <f>_xlfn.XLOOKUP(B130,CRN!G:G,CRN!U:U,"")</f>
        <v>0</v>
      </c>
      <c r="AA130">
        <f>IF(X130=0,0,_xlfn.XLOOKUP(C130,CLIENT_CODE!B:B,CLIENT_CODE!P:P,0))</f>
        <v>0</v>
      </c>
      <c r="AB130">
        <f>_xlfn.XLOOKUP(B130,CRN!G:G,CRN!V:V,"")</f>
        <v>0</v>
      </c>
      <c r="AC130">
        <f>IF(AB130=0,0,_xlfn.XLOOKUP(C130,CLIENT_CODE!B:B,CLIENT_CODE!R:R,0))</f>
        <v>0</v>
      </c>
      <c r="AD130">
        <f t="shared" si="1"/>
        <v>0</v>
      </c>
    </row>
    <row r="131" spans="1:30">
      <c r="A131" s="42">
        <v>130</v>
      </c>
      <c r="E131">
        <f>IF(D131=0,0,_xlfn.XLOOKUP(C131,CLIENT_CODE!B:B,CLIENT_CODE!F:F,0))</f>
        <v>0</v>
      </c>
      <c r="F131">
        <f>_xlfn.XLOOKUP(B131,CRN!G:G,CRN!K:K,"")</f>
        <v>0</v>
      </c>
      <c r="G131">
        <f>IF(F131=0,0,_xlfn.XLOOKUP(C131,CLIENT_CODE!B:B,CLIENT_CODE!G:G,0))</f>
        <v>0</v>
      </c>
      <c r="H131">
        <f>_xlfn.XLOOKUP(B131,CRN!G:G,CRN!L:L,"")</f>
        <v>0</v>
      </c>
      <c r="I131">
        <f>IF(H131=0,0,_xlfn.XLOOKUP(C131,CLIENT_CODE!B:B,CLIENT_CODE!H:H,0))</f>
        <v>0</v>
      </c>
      <c r="J131">
        <f>_xlfn.XLOOKUP(B131,CRN!G:G,CRN!M:M,"")</f>
        <v>0</v>
      </c>
      <c r="K131">
        <f>IF(J131=0,0,_xlfn.XLOOKUP(C131,CLIENT_CODE!B:B,CLIENT_CODE!I:I,0))</f>
        <v>0</v>
      </c>
      <c r="L131">
        <f>_xlfn.XLOOKUP(B131,CRN!G:G,CRN!N:N,"")</f>
        <v>0</v>
      </c>
      <c r="M131">
        <f>IF(L131=0,0,_xlfn.XLOOKUP(C131,CLIENT_CODE!B:B,CLIENT_CODE!J:J,0))</f>
        <v>0</v>
      </c>
      <c r="N131">
        <f>_xlfn.XLOOKUP(B131,CRN!G:G,CRN!O:O,"")</f>
        <v>0</v>
      </c>
      <c r="O131">
        <f>IF(N131=0,0,_xlfn.XLOOKUP(C131,CLIENT_CODE!B:B,CLIENT_CODE!K:K,0))</f>
        <v>0</v>
      </c>
      <c r="P131">
        <f>_xlfn.XLOOKUP(B131,CRN!G:G,CRN!P:P,"")</f>
        <v>0</v>
      </c>
      <c r="Q131">
        <f>IF(P131=0,0,_xlfn.XLOOKUP(C131,CLIENT_CODE!B:B,CLIENT_CODE!L:L,0))</f>
        <v>0</v>
      </c>
      <c r="R131">
        <f>_xlfn.XLOOKUP(B131,CRN!G:G,CRN!Q:Q,"")</f>
        <v>0</v>
      </c>
      <c r="S131">
        <f>IF(R131=0,0,_xlfn.XLOOKUP(C131,CLIENT_CODE!B:B,CLIENT_CODE!M:M,0))</f>
        <v>0</v>
      </c>
      <c r="T131">
        <f>_xlfn.XLOOKUP(B131,CRN!G:G,CRN!R:R,"")</f>
        <v>0</v>
      </c>
      <c r="U131">
        <f>IF(T131=0,0,_xlfn.XLOOKUP(C131,CLIENT_CODE!B:B,CLIENT_CODE!N:N,0))</f>
        <v>0</v>
      </c>
      <c r="V131">
        <f>_xlfn.XLOOKUP(B131,CRN!G:G,CRN!S:S,"")</f>
        <v>0</v>
      </c>
      <c r="W131">
        <f>IF(V131=0,0,_xlfn.XLOOKUP(C131,CLIENT_CODE!B:B,CLIENT_CODE!O:O,0))</f>
        <v>0</v>
      </c>
      <c r="X131">
        <f>_xlfn.XLOOKUP(B131,CRN!G:G,CRN!T:T,"")</f>
        <v>0</v>
      </c>
      <c r="Y131">
        <f>IF(X131=0,0,_xlfn.XLOOKUP(C131,CLIENT_CODE!B:B,CLIENT_CODE!P:P,0))</f>
        <v>0</v>
      </c>
      <c r="Z131">
        <f>_xlfn.XLOOKUP(B131,CRN!G:G,CRN!U:U,"")</f>
        <v>0</v>
      </c>
      <c r="AA131">
        <f>IF(X131=0,0,_xlfn.XLOOKUP(C131,CLIENT_CODE!B:B,CLIENT_CODE!P:P,0))</f>
        <v>0</v>
      </c>
      <c r="AB131">
        <f>_xlfn.XLOOKUP(B131,CRN!G:G,CRN!V:V,"")</f>
        <v>0</v>
      </c>
      <c r="AC131">
        <f>IF(AB131=0,0,_xlfn.XLOOKUP(C131,CLIENT_CODE!B:B,CLIENT_CODE!R:R,0))</f>
        <v>0</v>
      </c>
      <c r="AD131">
        <f t="shared" ref="AD131:AD194" si="2">SUM(E131,G131,I131,K131,M131,O131,Q131,S131,U131,W131,Y131,AA131,AC131,)</f>
        <v>0</v>
      </c>
    </row>
    <row r="132" spans="1:30">
      <c r="A132" s="42">
        <v>131</v>
      </c>
      <c r="E132">
        <f>IF(D132=0,0,_xlfn.XLOOKUP(C132,CLIENT_CODE!B:B,CLIENT_CODE!F:F,0))</f>
        <v>0</v>
      </c>
      <c r="F132">
        <f>_xlfn.XLOOKUP(B132,CRN!G:G,CRN!K:K,"")</f>
        <v>0</v>
      </c>
      <c r="G132">
        <f>IF(F132=0,0,_xlfn.XLOOKUP(C132,CLIENT_CODE!B:B,CLIENT_CODE!G:G,0))</f>
        <v>0</v>
      </c>
      <c r="H132">
        <f>_xlfn.XLOOKUP(B132,CRN!G:G,CRN!L:L,"")</f>
        <v>0</v>
      </c>
      <c r="I132">
        <f>IF(H132=0,0,_xlfn.XLOOKUP(C132,CLIENT_CODE!B:B,CLIENT_CODE!H:H,0))</f>
        <v>0</v>
      </c>
      <c r="J132">
        <f>_xlfn.XLOOKUP(B132,CRN!G:G,CRN!M:M,"")</f>
        <v>0</v>
      </c>
      <c r="K132">
        <f>IF(J132=0,0,_xlfn.XLOOKUP(C132,CLIENT_CODE!B:B,CLIENT_CODE!I:I,0))</f>
        <v>0</v>
      </c>
      <c r="L132">
        <f>_xlfn.XLOOKUP(B132,CRN!G:G,CRN!N:N,"")</f>
        <v>0</v>
      </c>
      <c r="M132">
        <f>IF(L132=0,0,_xlfn.XLOOKUP(C132,CLIENT_CODE!B:B,CLIENT_CODE!J:J,0))</f>
        <v>0</v>
      </c>
      <c r="N132">
        <f>_xlfn.XLOOKUP(B132,CRN!G:G,CRN!O:O,"")</f>
        <v>0</v>
      </c>
      <c r="O132">
        <f>IF(N132=0,0,_xlfn.XLOOKUP(C132,CLIENT_CODE!B:B,CLIENT_CODE!K:K,0))</f>
        <v>0</v>
      </c>
      <c r="P132">
        <f>_xlfn.XLOOKUP(B132,CRN!G:G,CRN!P:P,"")</f>
        <v>0</v>
      </c>
      <c r="Q132">
        <f>IF(P132=0,0,_xlfn.XLOOKUP(C132,CLIENT_CODE!B:B,CLIENT_CODE!L:L,0))</f>
        <v>0</v>
      </c>
      <c r="R132">
        <f>_xlfn.XLOOKUP(B132,CRN!G:G,CRN!Q:Q,"")</f>
        <v>0</v>
      </c>
      <c r="S132">
        <f>IF(R132=0,0,_xlfn.XLOOKUP(C132,CLIENT_CODE!B:B,CLIENT_CODE!M:M,0))</f>
        <v>0</v>
      </c>
      <c r="T132">
        <f>_xlfn.XLOOKUP(B132,CRN!G:G,CRN!R:R,"")</f>
        <v>0</v>
      </c>
      <c r="U132">
        <f>IF(T132=0,0,_xlfn.XLOOKUP(C132,CLIENT_CODE!B:B,CLIENT_CODE!N:N,0))</f>
        <v>0</v>
      </c>
      <c r="V132">
        <f>_xlfn.XLOOKUP(B132,CRN!G:G,CRN!S:S,"")</f>
        <v>0</v>
      </c>
      <c r="W132">
        <f>IF(V132=0,0,_xlfn.XLOOKUP(C132,CLIENT_CODE!B:B,CLIENT_CODE!O:O,0))</f>
        <v>0</v>
      </c>
      <c r="X132">
        <f>_xlfn.XLOOKUP(B132,CRN!G:G,CRN!T:T,"")</f>
        <v>0</v>
      </c>
      <c r="Y132">
        <f>IF(X132=0,0,_xlfn.XLOOKUP(C132,CLIENT_CODE!B:B,CLIENT_CODE!P:P,0))</f>
        <v>0</v>
      </c>
      <c r="Z132">
        <f>_xlfn.XLOOKUP(B132,CRN!G:G,CRN!U:U,"")</f>
        <v>0</v>
      </c>
      <c r="AA132">
        <f>IF(X132=0,0,_xlfn.XLOOKUP(C132,CLIENT_CODE!B:B,CLIENT_CODE!P:P,0))</f>
        <v>0</v>
      </c>
      <c r="AB132">
        <f>_xlfn.XLOOKUP(B132,CRN!G:G,CRN!V:V,"")</f>
        <v>0</v>
      </c>
      <c r="AC132">
        <f>IF(AB132=0,0,_xlfn.XLOOKUP(C132,CLIENT_CODE!B:B,CLIENT_CODE!R:R,0))</f>
        <v>0</v>
      </c>
      <c r="AD132">
        <f t="shared" si="2"/>
        <v>0</v>
      </c>
    </row>
    <row r="133" spans="1:30">
      <c r="A133" s="42">
        <v>132</v>
      </c>
      <c r="E133">
        <f>IF(D133=0,0,_xlfn.XLOOKUP(C133,CLIENT_CODE!B:B,CLIENT_CODE!F:F,0))</f>
        <v>0</v>
      </c>
      <c r="F133">
        <f>_xlfn.XLOOKUP(B133,CRN!G:G,CRN!K:K,"")</f>
        <v>0</v>
      </c>
      <c r="G133">
        <f>IF(F133=0,0,_xlfn.XLOOKUP(C133,CLIENT_CODE!B:B,CLIENT_CODE!G:G,0))</f>
        <v>0</v>
      </c>
      <c r="H133">
        <f>_xlfn.XLOOKUP(B133,CRN!G:G,CRN!L:L,"")</f>
        <v>0</v>
      </c>
      <c r="I133">
        <f>IF(H133=0,0,_xlfn.XLOOKUP(C133,CLIENT_CODE!B:B,CLIENT_CODE!H:H,0))</f>
        <v>0</v>
      </c>
      <c r="J133">
        <f>_xlfn.XLOOKUP(B133,CRN!G:G,CRN!M:M,"")</f>
        <v>0</v>
      </c>
      <c r="K133">
        <f>IF(J133=0,0,_xlfn.XLOOKUP(C133,CLIENT_CODE!B:B,CLIENT_CODE!I:I,0))</f>
        <v>0</v>
      </c>
      <c r="L133">
        <f>_xlfn.XLOOKUP(B133,CRN!G:G,CRN!N:N,"")</f>
        <v>0</v>
      </c>
      <c r="M133">
        <f>IF(L133=0,0,_xlfn.XLOOKUP(C133,CLIENT_CODE!B:B,CLIENT_CODE!J:J,0))</f>
        <v>0</v>
      </c>
      <c r="N133">
        <f>_xlfn.XLOOKUP(B133,CRN!G:G,CRN!O:O,"")</f>
        <v>0</v>
      </c>
      <c r="O133">
        <f>IF(N133=0,0,_xlfn.XLOOKUP(C133,CLIENT_CODE!B:B,CLIENT_CODE!K:K,0))</f>
        <v>0</v>
      </c>
      <c r="P133">
        <f>_xlfn.XLOOKUP(B133,CRN!G:G,CRN!P:P,"")</f>
        <v>0</v>
      </c>
      <c r="Q133">
        <f>IF(P133=0,0,_xlfn.XLOOKUP(C133,CLIENT_CODE!B:B,CLIENT_CODE!L:L,0))</f>
        <v>0</v>
      </c>
      <c r="R133">
        <f>_xlfn.XLOOKUP(B133,CRN!G:G,CRN!Q:Q,"")</f>
        <v>0</v>
      </c>
      <c r="S133">
        <f>IF(R133=0,0,_xlfn.XLOOKUP(C133,CLIENT_CODE!B:B,CLIENT_CODE!M:M,0))</f>
        <v>0</v>
      </c>
      <c r="T133">
        <f>_xlfn.XLOOKUP(B133,CRN!G:G,CRN!R:R,"")</f>
        <v>0</v>
      </c>
      <c r="U133">
        <f>IF(T133=0,0,_xlfn.XLOOKUP(C133,CLIENT_CODE!B:B,CLIENT_CODE!N:N,0))</f>
        <v>0</v>
      </c>
      <c r="V133">
        <f>_xlfn.XLOOKUP(B133,CRN!G:G,CRN!S:S,"")</f>
        <v>0</v>
      </c>
      <c r="W133">
        <f>IF(V133=0,0,_xlfn.XLOOKUP(C133,CLIENT_CODE!B:B,CLIENT_CODE!O:O,0))</f>
        <v>0</v>
      </c>
      <c r="X133">
        <f>_xlfn.XLOOKUP(B133,CRN!G:G,CRN!T:T,"")</f>
        <v>0</v>
      </c>
      <c r="Y133">
        <f>IF(X133=0,0,_xlfn.XLOOKUP(C133,CLIENT_CODE!B:B,CLIENT_CODE!P:P,0))</f>
        <v>0</v>
      </c>
      <c r="Z133">
        <f>_xlfn.XLOOKUP(B133,CRN!G:G,CRN!U:U,"")</f>
        <v>0</v>
      </c>
      <c r="AA133">
        <f>IF(X133=0,0,_xlfn.XLOOKUP(C133,CLIENT_CODE!B:B,CLIENT_CODE!P:P,0))</f>
        <v>0</v>
      </c>
      <c r="AB133">
        <f>_xlfn.XLOOKUP(B133,CRN!G:G,CRN!V:V,"")</f>
        <v>0</v>
      </c>
      <c r="AC133">
        <f>IF(AB133=0,0,_xlfn.XLOOKUP(C133,CLIENT_CODE!B:B,CLIENT_CODE!R:R,0))</f>
        <v>0</v>
      </c>
      <c r="AD133">
        <f t="shared" si="2"/>
        <v>0</v>
      </c>
    </row>
    <row r="134" spans="1:30">
      <c r="A134" s="42">
        <v>133</v>
      </c>
      <c r="E134">
        <f>IF(D134=0,0,_xlfn.XLOOKUP(C134,CLIENT_CODE!B:B,CLIENT_CODE!F:F,0))</f>
        <v>0</v>
      </c>
      <c r="F134">
        <f>_xlfn.XLOOKUP(B134,CRN!G:G,CRN!K:K,"")</f>
        <v>0</v>
      </c>
      <c r="G134">
        <f>IF(F134=0,0,_xlfn.XLOOKUP(C134,CLIENT_CODE!B:B,CLIENT_CODE!G:G,0))</f>
        <v>0</v>
      </c>
      <c r="H134">
        <f>_xlfn.XLOOKUP(B134,CRN!G:G,CRN!L:L,"")</f>
        <v>0</v>
      </c>
      <c r="I134">
        <f>IF(H134=0,0,_xlfn.XLOOKUP(C134,CLIENT_CODE!B:B,CLIENT_CODE!H:H,0))</f>
        <v>0</v>
      </c>
      <c r="J134">
        <f>_xlfn.XLOOKUP(B134,CRN!G:G,CRN!M:M,"")</f>
        <v>0</v>
      </c>
      <c r="K134">
        <f>IF(J134=0,0,_xlfn.XLOOKUP(C134,CLIENT_CODE!B:B,CLIENT_CODE!I:I,0))</f>
        <v>0</v>
      </c>
      <c r="L134">
        <f>_xlfn.XLOOKUP(B134,CRN!G:G,CRN!N:N,"")</f>
        <v>0</v>
      </c>
      <c r="M134">
        <f>IF(L134=0,0,_xlfn.XLOOKUP(C134,CLIENT_CODE!B:B,CLIENT_CODE!J:J,0))</f>
        <v>0</v>
      </c>
      <c r="N134">
        <f>_xlfn.XLOOKUP(B134,CRN!G:G,CRN!O:O,"")</f>
        <v>0</v>
      </c>
      <c r="O134">
        <f>IF(N134=0,0,_xlfn.XLOOKUP(C134,CLIENT_CODE!B:B,CLIENT_CODE!K:K,0))</f>
        <v>0</v>
      </c>
      <c r="P134">
        <f>_xlfn.XLOOKUP(B134,CRN!G:G,CRN!P:P,"")</f>
        <v>0</v>
      </c>
      <c r="Q134">
        <f>IF(P134=0,0,_xlfn.XLOOKUP(C134,CLIENT_CODE!B:B,CLIENT_CODE!L:L,0))</f>
        <v>0</v>
      </c>
      <c r="R134">
        <f>_xlfn.XLOOKUP(B134,CRN!G:G,CRN!Q:Q,"")</f>
        <v>0</v>
      </c>
      <c r="S134">
        <f>IF(R134=0,0,_xlfn.XLOOKUP(C134,CLIENT_CODE!B:B,CLIENT_CODE!M:M,0))</f>
        <v>0</v>
      </c>
      <c r="T134">
        <f>_xlfn.XLOOKUP(B134,CRN!G:G,CRN!R:R,"")</f>
        <v>0</v>
      </c>
      <c r="U134">
        <f>IF(T134=0,0,_xlfn.XLOOKUP(C134,CLIENT_CODE!B:B,CLIENT_CODE!N:N,0))</f>
        <v>0</v>
      </c>
      <c r="V134">
        <f>_xlfn.XLOOKUP(B134,CRN!G:G,CRN!S:S,"")</f>
        <v>0</v>
      </c>
      <c r="W134">
        <f>IF(V134=0,0,_xlfn.XLOOKUP(C134,CLIENT_CODE!B:B,CLIENT_CODE!O:O,0))</f>
        <v>0</v>
      </c>
      <c r="X134">
        <f>_xlfn.XLOOKUP(B134,CRN!G:G,CRN!T:T,"")</f>
        <v>0</v>
      </c>
      <c r="Y134">
        <f>IF(X134=0,0,_xlfn.XLOOKUP(C134,CLIENT_CODE!B:B,CLIENT_CODE!P:P,0))</f>
        <v>0</v>
      </c>
      <c r="Z134">
        <f>_xlfn.XLOOKUP(B134,CRN!G:G,CRN!U:U,"")</f>
        <v>0</v>
      </c>
      <c r="AA134">
        <f>IF(X134=0,0,_xlfn.XLOOKUP(C134,CLIENT_CODE!B:B,CLIENT_CODE!P:P,0))</f>
        <v>0</v>
      </c>
      <c r="AB134">
        <f>_xlfn.XLOOKUP(B134,CRN!G:G,CRN!V:V,"")</f>
        <v>0</v>
      </c>
      <c r="AC134">
        <f>IF(AB134=0,0,_xlfn.XLOOKUP(C134,CLIENT_CODE!B:B,CLIENT_CODE!R:R,0))</f>
        <v>0</v>
      </c>
      <c r="AD134">
        <f t="shared" si="2"/>
        <v>0</v>
      </c>
    </row>
    <row r="135" spans="1:30">
      <c r="A135" s="42">
        <v>134</v>
      </c>
      <c r="E135">
        <f>IF(D135=0,0,_xlfn.XLOOKUP(C135,CLIENT_CODE!B:B,CLIENT_CODE!F:F,0))</f>
        <v>0</v>
      </c>
      <c r="F135">
        <f>_xlfn.XLOOKUP(B135,CRN!G:G,CRN!K:K,"")</f>
        <v>0</v>
      </c>
      <c r="G135">
        <f>IF(F135=0,0,_xlfn.XLOOKUP(C135,CLIENT_CODE!B:B,CLIENT_CODE!G:G,0))</f>
        <v>0</v>
      </c>
      <c r="H135">
        <f>_xlfn.XLOOKUP(B135,CRN!G:G,CRN!L:L,"")</f>
        <v>0</v>
      </c>
      <c r="I135">
        <f>IF(H135=0,0,_xlfn.XLOOKUP(C135,CLIENT_CODE!B:B,CLIENT_CODE!H:H,0))</f>
        <v>0</v>
      </c>
      <c r="J135">
        <f>_xlfn.XLOOKUP(B135,CRN!G:G,CRN!M:M,"")</f>
        <v>0</v>
      </c>
      <c r="K135">
        <f>IF(J135=0,0,_xlfn.XLOOKUP(C135,CLIENT_CODE!B:B,CLIENT_CODE!I:I,0))</f>
        <v>0</v>
      </c>
      <c r="L135">
        <f>_xlfn.XLOOKUP(B135,CRN!G:G,CRN!N:N,"")</f>
        <v>0</v>
      </c>
      <c r="M135">
        <f>IF(L135=0,0,_xlfn.XLOOKUP(C135,CLIENT_CODE!B:B,CLIENT_CODE!J:J,0))</f>
        <v>0</v>
      </c>
      <c r="N135">
        <f>_xlfn.XLOOKUP(B135,CRN!G:G,CRN!O:O,"")</f>
        <v>0</v>
      </c>
      <c r="O135">
        <f>IF(N135=0,0,_xlfn.XLOOKUP(C135,CLIENT_CODE!B:B,CLIENT_CODE!K:K,0))</f>
        <v>0</v>
      </c>
      <c r="P135">
        <f>_xlfn.XLOOKUP(B135,CRN!G:G,CRN!P:P,"")</f>
        <v>0</v>
      </c>
      <c r="Q135">
        <f>IF(P135=0,0,_xlfn.XLOOKUP(C135,CLIENT_CODE!B:B,CLIENT_CODE!L:L,0))</f>
        <v>0</v>
      </c>
      <c r="R135">
        <f>_xlfn.XLOOKUP(B135,CRN!G:G,CRN!Q:Q,"")</f>
        <v>0</v>
      </c>
      <c r="S135">
        <f>IF(R135=0,0,_xlfn.XLOOKUP(C135,CLIENT_CODE!B:B,CLIENT_CODE!M:M,0))</f>
        <v>0</v>
      </c>
      <c r="T135">
        <f>_xlfn.XLOOKUP(B135,CRN!G:G,CRN!R:R,"")</f>
        <v>0</v>
      </c>
      <c r="U135">
        <f>IF(T135=0,0,_xlfn.XLOOKUP(C135,CLIENT_CODE!B:B,CLIENT_CODE!N:N,0))</f>
        <v>0</v>
      </c>
      <c r="V135">
        <f>_xlfn.XLOOKUP(B135,CRN!G:G,CRN!S:S,"")</f>
        <v>0</v>
      </c>
      <c r="W135">
        <f>IF(V135=0,0,_xlfn.XLOOKUP(C135,CLIENT_CODE!B:B,CLIENT_CODE!O:O,0))</f>
        <v>0</v>
      </c>
      <c r="X135">
        <f>_xlfn.XLOOKUP(B135,CRN!G:G,CRN!T:T,"")</f>
        <v>0</v>
      </c>
      <c r="Y135">
        <f>IF(X135=0,0,_xlfn.XLOOKUP(C135,CLIENT_CODE!B:B,CLIENT_CODE!P:P,0))</f>
        <v>0</v>
      </c>
      <c r="Z135">
        <f>_xlfn.XLOOKUP(B135,CRN!G:G,CRN!U:U,"")</f>
        <v>0</v>
      </c>
      <c r="AA135">
        <f>IF(X135=0,0,_xlfn.XLOOKUP(C135,CLIENT_CODE!B:B,CLIENT_CODE!P:P,0))</f>
        <v>0</v>
      </c>
      <c r="AB135">
        <f>_xlfn.XLOOKUP(B135,CRN!G:G,CRN!V:V,"")</f>
        <v>0</v>
      </c>
      <c r="AC135">
        <f>IF(AB135=0,0,_xlfn.XLOOKUP(C135,CLIENT_CODE!B:B,CLIENT_CODE!R:R,0))</f>
        <v>0</v>
      </c>
      <c r="AD135">
        <f t="shared" si="2"/>
        <v>0</v>
      </c>
    </row>
    <row r="136" spans="1:30">
      <c r="A136" s="42">
        <v>135</v>
      </c>
      <c r="E136">
        <f>IF(D136=0,0,_xlfn.XLOOKUP(C136,CLIENT_CODE!B:B,CLIENT_CODE!F:F,0))</f>
        <v>0</v>
      </c>
      <c r="F136">
        <f>_xlfn.XLOOKUP(B136,CRN!G:G,CRN!K:K,"")</f>
        <v>0</v>
      </c>
      <c r="G136">
        <f>IF(F136=0,0,_xlfn.XLOOKUP(C136,CLIENT_CODE!B:B,CLIENT_CODE!G:G,0))</f>
        <v>0</v>
      </c>
      <c r="H136">
        <f>_xlfn.XLOOKUP(B136,CRN!G:G,CRN!L:L,"")</f>
        <v>0</v>
      </c>
      <c r="I136">
        <f>IF(H136=0,0,_xlfn.XLOOKUP(C136,CLIENT_CODE!B:B,CLIENT_CODE!H:H,0))</f>
        <v>0</v>
      </c>
      <c r="J136">
        <f>_xlfn.XLOOKUP(B136,CRN!G:G,CRN!M:M,"")</f>
        <v>0</v>
      </c>
      <c r="K136">
        <f>IF(J136=0,0,_xlfn.XLOOKUP(C136,CLIENT_CODE!B:B,CLIENT_CODE!I:I,0))</f>
        <v>0</v>
      </c>
      <c r="L136">
        <f>_xlfn.XLOOKUP(B136,CRN!G:G,CRN!N:N,"")</f>
        <v>0</v>
      </c>
      <c r="M136">
        <f>IF(L136=0,0,_xlfn.XLOOKUP(C136,CLIENT_CODE!B:B,CLIENT_CODE!J:J,0))</f>
        <v>0</v>
      </c>
      <c r="N136">
        <f>_xlfn.XLOOKUP(B136,CRN!G:G,CRN!O:O,"")</f>
        <v>0</v>
      </c>
      <c r="O136">
        <f>IF(N136=0,0,_xlfn.XLOOKUP(C136,CLIENT_CODE!B:B,CLIENT_CODE!K:K,0))</f>
        <v>0</v>
      </c>
      <c r="P136">
        <f>_xlfn.XLOOKUP(B136,CRN!G:G,CRN!P:P,"")</f>
        <v>0</v>
      </c>
      <c r="Q136">
        <f>IF(P136=0,0,_xlfn.XLOOKUP(C136,CLIENT_CODE!B:B,CLIENT_CODE!L:L,0))</f>
        <v>0</v>
      </c>
      <c r="R136">
        <f>_xlfn.XLOOKUP(B136,CRN!G:G,CRN!Q:Q,"")</f>
        <v>0</v>
      </c>
      <c r="S136">
        <f>IF(R136=0,0,_xlfn.XLOOKUP(C136,CLIENT_CODE!B:B,CLIENT_CODE!M:M,0))</f>
        <v>0</v>
      </c>
      <c r="T136">
        <f>_xlfn.XLOOKUP(B136,CRN!G:G,CRN!R:R,"")</f>
        <v>0</v>
      </c>
      <c r="U136">
        <f>IF(T136=0,0,_xlfn.XLOOKUP(C136,CLIENT_CODE!B:B,CLIENT_CODE!N:N,0))</f>
        <v>0</v>
      </c>
      <c r="V136">
        <f>_xlfn.XLOOKUP(B136,CRN!G:G,CRN!S:S,"")</f>
        <v>0</v>
      </c>
      <c r="W136">
        <f>IF(V136=0,0,_xlfn.XLOOKUP(C136,CLIENT_CODE!B:B,CLIENT_CODE!O:O,0))</f>
        <v>0</v>
      </c>
      <c r="X136">
        <f>_xlfn.XLOOKUP(B136,CRN!G:G,CRN!T:T,"")</f>
        <v>0</v>
      </c>
      <c r="Y136">
        <f>IF(X136=0,0,_xlfn.XLOOKUP(C136,CLIENT_CODE!B:B,CLIENT_CODE!P:P,0))</f>
        <v>0</v>
      </c>
      <c r="Z136">
        <f>_xlfn.XLOOKUP(B136,CRN!G:G,CRN!U:U,"")</f>
        <v>0</v>
      </c>
      <c r="AA136">
        <f>IF(X136=0,0,_xlfn.XLOOKUP(C136,CLIENT_CODE!B:B,CLIENT_CODE!P:P,0))</f>
        <v>0</v>
      </c>
      <c r="AB136">
        <f>_xlfn.XLOOKUP(B136,CRN!G:G,CRN!V:V,"")</f>
        <v>0</v>
      </c>
      <c r="AC136">
        <f>IF(AB136=0,0,_xlfn.XLOOKUP(C136,CLIENT_CODE!B:B,CLIENT_CODE!R:R,0))</f>
        <v>0</v>
      </c>
      <c r="AD136">
        <f t="shared" si="2"/>
        <v>0</v>
      </c>
    </row>
    <row r="137" spans="1:30">
      <c r="A137" s="42">
        <v>136</v>
      </c>
      <c r="E137">
        <f>IF(D137=0,0,_xlfn.XLOOKUP(C137,CLIENT_CODE!B:B,CLIENT_CODE!F:F,0))</f>
        <v>0</v>
      </c>
      <c r="F137">
        <f>_xlfn.XLOOKUP(B137,CRN!G:G,CRN!K:K,"")</f>
        <v>0</v>
      </c>
      <c r="G137">
        <f>IF(F137=0,0,_xlfn.XLOOKUP(C137,CLIENT_CODE!B:B,CLIENT_CODE!G:G,0))</f>
        <v>0</v>
      </c>
      <c r="H137">
        <f>_xlfn.XLOOKUP(B137,CRN!G:G,CRN!L:L,"")</f>
        <v>0</v>
      </c>
      <c r="I137">
        <f>IF(H137=0,0,_xlfn.XLOOKUP(C137,CLIENT_CODE!B:B,CLIENT_CODE!H:H,0))</f>
        <v>0</v>
      </c>
      <c r="J137">
        <f>_xlfn.XLOOKUP(B137,CRN!G:G,CRN!M:M,"")</f>
        <v>0</v>
      </c>
      <c r="K137">
        <f>IF(J137=0,0,_xlfn.XLOOKUP(C137,CLIENT_CODE!B:B,CLIENT_CODE!I:I,0))</f>
        <v>0</v>
      </c>
      <c r="L137">
        <f>_xlfn.XLOOKUP(B137,CRN!G:G,CRN!N:N,"")</f>
        <v>0</v>
      </c>
      <c r="M137">
        <f>IF(L137=0,0,_xlfn.XLOOKUP(C137,CLIENT_CODE!B:B,CLIENT_CODE!J:J,0))</f>
        <v>0</v>
      </c>
      <c r="N137">
        <f>_xlfn.XLOOKUP(B137,CRN!G:G,CRN!O:O,"")</f>
        <v>0</v>
      </c>
      <c r="O137">
        <f>IF(N137=0,0,_xlfn.XLOOKUP(C137,CLIENT_CODE!B:B,CLIENT_CODE!K:K,0))</f>
        <v>0</v>
      </c>
      <c r="P137">
        <f>_xlfn.XLOOKUP(B137,CRN!G:G,CRN!P:P,"")</f>
        <v>0</v>
      </c>
      <c r="Q137">
        <f>IF(P137=0,0,_xlfn.XLOOKUP(C137,CLIENT_CODE!B:B,CLIENT_CODE!L:L,0))</f>
        <v>0</v>
      </c>
      <c r="R137">
        <f>_xlfn.XLOOKUP(B137,CRN!G:G,CRN!Q:Q,"")</f>
        <v>0</v>
      </c>
      <c r="S137">
        <f>IF(R137=0,0,_xlfn.XLOOKUP(C137,CLIENT_CODE!B:B,CLIENT_CODE!M:M,0))</f>
        <v>0</v>
      </c>
      <c r="T137">
        <f>_xlfn.XLOOKUP(B137,CRN!G:G,CRN!R:R,"")</f>
        <v>0</v>
      </c>
      <c r="U137">
        <f>IF(T137=0,0,_xlfn.XLOOKUP(C137,CLIENT_CODE!B:B,CLIENT_CODE!N:N,0))</f>
        <v>0</v>
      </c>
      <c r="V137">
        <f>_xlfn.XLOOKUP(B137,CRN!G:G,CRN!S:S,"")</f>
        <v>0</v>
      </c>
      <c r="W137">
        <f>IF(V137=0,0,_xlfn.XLOOKUP(C137,CLIENT_CODE!B:B,CLIENT_CODE!O:O,0))</f>
        <v>0</v>
      </c>
      <c r="X137">
        <f>_xlfn.XLOOKUP(B137,CRN!G:G,CRN!T:T,"")</f>
        <v>0</v>
      </c>
      <c r="Y137">
        <f>IF(X137=0,0,_xlfn.XLOOKUP(C137,CLIENT_CODE!B:B,CLIENT_CODE!P:P,0))</f>
        <v>0</v>
      </c>
      <c r="Z137">
        <f>_xlfn.XLOOKUP(B137,CRN!G:G,CRN!U:U,"")</f>
        <v>0</v>
      </c>
      <c r="AA137">
        <f>IF(X137=0,0,_xlfn.XLOOKUP(C137,CLIENT_CODE!B:B,CLIENT_CODE!P:P,0))</f>
        <v>0</v>
      </c>
      <c r="AB137">
        <f>_xlfn.XLOOKUP(B137,CRN!G:G,CRN!V:V,"")</f>
        <v>0</v>
      </c>
      <c r="AC137">
        <f>IF(AB137=0,0,_xlfn.XLOOKUP(C137,CLIENT_CODE!B:B,CLIENT_CODE!R:R,0))</f>
        <v>0</v>
      </c>
      <c r="AD137">
        <f t="shared" si="2"/>
        <v>0</v>
      </c>
    </row>
    <row r="138" spans="1:30">
      <c r="A138" s="42">
        <v>137</v>
      </c>
      <c r="E138">
        <f>IF(D138=0,0,_xlfn.XLOOKUP(C138,CLIENT_CODE!B:B,CLIENT_CODE!F:F,0))</f>
        <v>0</v>
      </c>
      <c r="F138">
        <f>_xlfn.XLOOKUP(B138,CRN!G:G,CRN!K:K,"")</f>
        <v>0</v>
      </c>
      <c r="G138">
        <f>IF(F138=0,0,_xlfn.XLOOKUP(C138,CLIENT_CODE!B:B,CLIENT_CODE!G:G,0))</f>
        <v>0</v>
      </c>
      <c r="H138">
        <f>_xlfn.XLOOKUP(B138,CRN!G:G,CRN!L:L,"")</f>
        <v>0</v>
      </c>
      <c r="I138">
        <f>IF(H138=0,0,_xlfn.XLOOKUP(C138,CLIENT_CODE!B:B,CLIENT_CODE!H:H,0))</f>
        <v>0</v>
      </c>
      <c r="J138">
        <f>_xlfn.XLOOKUP(B138,CRN!G:G,CRN!M:M,"")</f>
        <v>0</v>
      </c>
      <c r="K138">
        <f>IF(J138=0,0,_xlfn.XLOOKUP(C138,CLIENT_CODE!B:B,CLIENT_CODE!I:I,0))</f>
        <v>0</v>
      </c>
      <c r="L138">
        <f>_xlfn.XLOOKUP(B138,CRN!G:G,CRN!N:N,"")</f>
        <v>0</v>
      </c>
      <c r="M138">
        <f>IF(L138=0,0,_xlfn.XLOOKUP(C138,CLIENT_CODE!B:B,CLIENT_CODE!J:J,0))</f>
        <v>0</v>
      </c>
      <c r="N138">
        <f>_xlfn.XLOOKUP(B138,CRN!G:G,CRN!O:O,"")</f>
        <v>0</v>
      </c>
      <c r="O138">
        <f>IF(N138=0,0,_xlfn.XLOOKUP(C138,CLIENT_CODE!B:B,CLIENT_CODE!K:K,0))</f>
        <v>0</v>
      </c>
      <c r="P138">
        <f>_xlfn.XLOOKUP(B138,CRN!G:G,CRN!P:P,"")</f>
        <v>0</v>
      </c>
      <c r="Q138">
        <f>IF(P138=0,0,_xlfn.XLOOKUP(C138,CLIENT_CODE!B:B,CLIENT_CODE!L:L,0))</f>
        <v>0</v>
      </c>
      <c r="R138">
        <f>_xlfn.XLOOKUP(B138,CRN!G:G,CRN!Q:Q,"")</f>
        <v>0</v>
      </c>
      <c r="S138">
        <f>IF(R138=0,0,_xlfn.XLOOKUP(C138,CLIENT_CODE!B:B,CLIENT_CODE!M:M,0))</f>
        <v>0</v>
      </c>
      <c r="T138">
        <f>_xlfn.XLOOKUP(B138,CRN!G:G,CRN!R:R,"")</f>
        <v>0</v>
      </c>
      <c r="U138">
        <f>IF(T138=0,0,_xlfn.XLOOKUP(C138,CLIENT_CODE!B:B,CLIENT_CODE!N:N,0))</f>
        <v>0</v>
      </c>
      <c r="V138">
        <f>_xlfn.XLOOKUP(B138,CRN!G:G,CRN!S:S,"")</f>
        <v>0</v>
      </c>
      <c r="W138">
        <f>IF(V138=0,0,_xlfn.XLOOKUP(C138,CLIENT_CODE!B:B,CLIENT_CODE!O:O,0))</f>
        <v>0</v>
      </c>
      <c r="X138">
        <f>_xlfn.XLOOKUP(B138,CRN!G:G,CRN!T:T,"")</f>
        <v>0</v>
      </c>
      <c r="Y138">
        <f>IF(X138=0,0,_xlfn.XLOOKUP(C138,CLIENT_CODE!B:B,CLIENT_CODE!P:P,0))</f>
        <v>0</v>
      </c>
      <c r="Z138">
        <f>_xlfn.XLOOKUP(B138,CRN!G:G,CRN!U:U,"")</f>
        <v>0</v>
      </c>
      <c r="AA138">
        <f>IF(X138=0,0,_xlfn.XLOOKUP(C138,CLIENT_CODE!B:B,CLIENT_CODE!P:P,0))</f>
        <v>0</v>
      </c>
      <c r="AB138">
        <f>_xlfn.XLOOKUP(B138,CRN!G:G,CRN!V:V,"")</f>
        <v>0</v>
      </c>
      <c r="AC138">
        <f>IF(AB138=0,0,_xlfn.XLOOKUP(C138,CLIENT_CODE!B:B,CLIENT_CODE!R:R,0))</f>
        <v>0</v>
      </c>
      <c r="AD138">
        <f t="shared" si="2"/>
        <v>0</v>
      </c>
    </row>
    <row r="139" spans="1:30">
      <c r="A139" s="42">
        <v>138</v>
      </c>
      <c r="E139">
        <f>IF(D139=0,0,_xlfn.XLOOKUP(C139,CLIENT_CODE!B:B,CLIENT_CODE!F:F,0))</f>
        <v>0</v>
      </c>
      <c r="F139">
        <f>_xlfn.XLOOKUP(B139,CRN!G:G,CRN!K:K,"")</f>
        <v>0</v>
      </c>
      <c r="G139">
        <f>IF(F139=0,0,_xlfn.XLOOKUP(C139,CLIENT_CODE!B:B,CLIENT_CODE!G:G,0))</f>
        <v>0</v>
      </c>
      <c r="H139">
        <f>_xlfn.XLOOKUP(B139,CRN!G:G,CRN!L:L,"")</f>
        <v>0</v>
      </c>
      <c r="I139">
        <f>IF(H139=0,0,_xlfn.XLOOKUP(C139,CLIENT_CODE!B:B,CLIENT_CODE!H:H,0))</f>
        <v>0</v>
      </c>
      <c r="J139">
        <f>_xlfn.XLOOKUP(B139,CRN!G:G,CRN!M:M,"")</f>
        <v>0</v>
      </c>
      <c r="K139">
        <f>IF(J139=0,0,_xlfn.XLOOKUP(C139,CLIENT_CODE!B:B,CLIENT_CODE!I:I,0))</f>
        <v>0</v>
      </c>
      <c r="L139">
        <f>_xlfn.XLOOKUP(B139,CRN!G:G,CRN!N:N,"")</f>
        <v>0</v>
      </c>
      <c r="M139">
        <f>IF(L139=0,0,_xlfn.XLOOKUP(C139,CLIENT_CODE!B:B,CLIENT_CODE!J:J,0))</f>
        <v>0</v>
      </c>
      <c r="N139">
        <f>_xlfn.XLOOKUP(B139,CRN!G:G,CRN!O:O,"")</f>
        <v>0</v>
      </c>
      <c r="O139">
        <f>IF(N139=0,0,_xlfn.XLOOKUP(C139,CLIENT_CODE!B:B,CLIENT_CODE!K:K,0))</f>
        <v>0</v>
      </c>
      <c r="P139">
        <f>_xlfn.XLOOKUP(B139,CRN!G:G,CRN!P:P,"")</f>
        <v>0</v>
      </c>
      <c r="Q139">
        <f>IF(P139=0,0,_xlfn.XLOOKUP(C139,CLIENT_CODE!B:B,CLIENT_CODE!L:L,0))</f>
        <v>0</v>
      </c>
      <c r="R139">
        <f>_xlfn.XLOOKUP(B139,CRN!G:G,CRN!Q:Q,"")</f>
        <v>0</v>
      </c>
      <c r="S139">
        <f>IF(R139=0,0,_xlfn.XLOOKUP(C139,CLIENT_CODE!B:B,CLIENT_CODE!M:M,0))</f>
        <v>0</v>
      </c>
      <c r="T139">
        <f>_xlfn.XLOOKUP(B139,CRN!G:G,CRN!R:R,"")</f>
        <v>0</v>
      </c>
      <c r="U139">
        <f>IF(T139=0,0,_xlfn.XLOOKUP(C139,CLIENT_CODE!B:B,CLIENT_CODE!N:N,0))</f>
        <v>0</v>
      </c>
      <c r="V139">
        <f>_xlfn.XLOOKUP(B139,CRN!G:G,CRN!S:S,"")</f>
        <v>0</v>
      </c>
      <c r="W139">
        <f>IF(V139=0,0,_xlfn.XLOOKUP(C139,CLIENT_CODE!B:B,CLIENT_CODE!O:O,0))</f>
        <v>0</v>
      </c>
      <c r="X139">
        <f>_xlfn.XLOOKUP(B139,CRN!G:G,CRN!T:T,"")</f>
        <v>0</v>
      </c>
      <c r="Y139">
        <f>IF(X139=0,0,_xlfn.XLOOKUP(C139,CLIENT_CODE!B:B,CLIENT_CODE!P:P,0))</f>
        <v>0</v>
      </c>
      <c r="Z139">
        <f>_xlfn.XLOOKUP(B139,CRN!G:G,CRN!U:U,"")</f>
        <v>0</v>
      </c>
      <c r="AA139">
        <f>IF(X139=0,0,_xlfn.XLOOKUP(C139,CLIENT_CODE!B:B,CLIENT_CODE!P:P,0))</f>
        <v>0</v>
      </c>
      <c r="AB139">
        <f>_xlfn.XLOOKUP(B139,CRN!G:G,CRN!V:V,"")</f>
        <v>0</v>
      </c>
      <c r="AC139">
        <f>IF(AB139=0,0,_xlfn.XLOOKUP(C139,CLIENT_CODE!B:B,CLIENT_CODE!R:R,0))</f>
        <v>0</v>
      </c>
      <c r="AD139">
        <f t="shared" si="2"/>
        <v>0</v>
      </c>
    </row>
    <row r="140" spans="1:30">
      <c r="A140" s="42">
        <v>139</v>
      </c>
      <c r="E140">
        <f>IF(D140=0,0,_xlfn.XLOOKUP(C140,CLIENT_CODE!B:B,CLIENT_CODE!F:F,0))</f>
        <v>0</v>
      </c>
      <c r="F140">
        <f>_xlfn.XLOOKUP(B140,CRN!G:G,CRN!K:K,"")</f>
        <v>0</v>
      </c>
      <c r="G140">
        <f>IF(F140=0,0,_xlfn.XLOOKUP(C140,CLIENT_CODE!B:B,CLIENT_CODE!G:G,0))</f>
        <v>0</v>
      </c>
      <c r="H140">
        <f>_xlfn.XLOOKUP(B140,CRN!G:G,CRN!L:L,"")</f>
        <v>0</v>
      </c>
      <c r="I140">
        <f>IF(H140=0,0,_xlfn.XLOOKUP(C140,CLIENT_CODE!B:B,CLIENT_CODE!H:H,0))</f>
        <v>0</v>
      </c>
      <c r="J140">
        <f>_xlfn.XLOOKUP(B140,CRN!G:G,CRN!M:M,"")</f>
        <v>0</v>
      </c>
      <c r="K140">
        <f>IF(J140=0,0,_xlfn.XLOOKUP(C140,CLIENT_CODE!B:B,CLIENT_CODE!I:I,0))</f>
        <v>0</v>
      </c>
      <c r="L140">
        <f>_xlfn.XLOOKUP(B140,CRN!G:G,CRN!N:N,"")</f>
        <v>0</v>
      </c>
      <c r="M140">
        <f>IF(L140=0,0,_xlfn.XLOOKUP(C140,CLIENT_CODE!B:B,CLIENT_CODE!J:J,0))</f>
        <v>0</v>
      </c>
      <c r="N140">
        <f>_xlfn.XLOOKUP(B140,CRN!G:G,CRN!O:O,"")</f>
        <v>0</v>
      </c>
      <c r="O140">
        <f>IF(N140=0,0,_xlfn.XLOOKUP(C140,CLIENT_CODE!B:B,CLIENT_CODE!K:K,0))</f>
        <v>0</v>
      </c>
      <c r="P140">
        <f>_xlfn.XLOOKUP(B140,CRN!G:G,CRN!P:P,"")</f>
        <v>0</v>
      </c>
      <c r="Q140">
        <f>IF(P140=0,0,_xlfn.XLOOKUP(C140,CLIENT_CODE!B:B,CLIENT_CODE!L:L,0))</f>
        <v>0</v>
      </c>
      <c r="R140">
        <f>_xlfn.XLOOKUP(B140,CRN!G:G,CRN!Q:Q,"")</f>
        <v>0</v>
      </c>
      <c r="S140">
        <f>IF(R140=0,0,_xlfn.XLOOKUP(C140,CLIENT_CODE!B:B,CLIENT_CODE!M:M,0))</f>
        <v>0</v>
      </c>
      <c r="T140">
        <f>_xlfn.XLOOKUP(B140,CRN!G:G,CRN!R:R,"")</f>
        <v>0</v>
      </c>
      <c r="U140">
        <f>IF(T140=0,0,_xlfn.XLOOKUP(C140,CLIENT_CODE!B:B,CLIENT_CODE!N:N,0))</f>
        <v>0</v>
      </c>
      <c r="V140">
        <f>_xlfn.XLOOKUP(B140,CRN!G:G,CRN!S:S,"")</f>
        <v>0</v>
      </c>
      <c r="W140">
        <f>IF(V140=0,0,_xlfn.XLOOKUP(C140,CLIENT_CODE!B:B,CLIENT_CODE!O:O,0))</f>
        <v>0</v>
      </c>
      <c r="X140">
        <f>_xlfn.XLOOKUP(B140,CRN!G:G,CRN!T:T,"")</f>
        <v>0</v>
      </c>
      <c r="Y140">
        <f>IF(X140=0,0,_xlfn.XLOOKUP(C140,CLIENT_CODE!B:B,CLIENT_CODE!P:P,0))</f>
        <v>0</v>
      </c>
      <c r="Z140">
        <f>_xlfn.XLOOKUP(B140,CRN!G:G,CRN!U:U,"")</f>
        <v>0</v>
      </c>
      <c r="AA140">
        <f>IF(X140=0,0,_xlfn.XLOOKUP(C140,CLIENT_CODE!B:B,CLIENT_CODE!P:P,0))</f>
        <v>0</v>
      </c>
      <c r="AB140">
        <f>_xlfn.XLOOKUP(B140,CRN!G:G,CRN!V:V,"")</f>
        <v>0</v>
      </c>
      <c r="AC140">
        <f>IF(AB140=0,0,_xlfn.XLOOKUP(C140,CLIENT_CODE!B:B,CLIENT_CODE!R:R,0))</f>
        <v>0</v>
      </c>
      <c r="AD140">
        <f t="shared" si="2"/>
        <v>0</v>
      </c>
    </row>
    <row r="141" spans="1:30">
      <c r="A141" s="42">
        <v>140</v>
      </c>
      <c r="E141">
        <f>IF(D141=0,0,_xlfn.XLOOKUP(C141,CLIENT_CODE!B:B,CLIENT_CODE!F:F,0))</f>
        <v>0</v>
      </c>
      <c r="F141">
        <f>_xlfn.XLOOKUP(B141,CRN!G:G,CRN!K:K,"")</f>
        <v>0</v>
      </c>
      <c r="G141">
        <f>IF(F141=0,0,_xlfn.XLOOKUP(C141,CLIENT_CODE!B:B,CLIENT_CODE!G:G,0))</f>
        <v>0</v>
      </c>
      <c r="H141">
        <f>_xlfn.XLOOKUP(B141,CRN!G:G,CRN!L:L,"")</f>
        <v>0</v>
      </c>
      <c r="I141">
        <f>IF(H141=0,0,_xlfn.XLOOKUP(C141,CLIENT_CODE!B:B,CLIENT_CODE!H:H,0))</f>
        <v>0</v>
      </c>
      <c r="J141">
        <f>_xlfn.XLOOKUP(B141,CRN!G:G,CRN!M:M,"")</f>
        <v>0</v>
      </c>
      <c r="K141">
        <f>IF(J141=0,0,_xlfn.XLOOKUP(C141,CLIENT_CODE!B:B,CLIENT_CODE!I:I,0))</f>
        <v>0</v>
      </c>
      <c r="L141">
        <f>_xlfn.XLOOKUP(B141,CRN!G:G,CRN!N:N,"")</f>
        <v>0</v>
      </c>
      <c r="M141">
        <f>IF(L141=0,0,_xlfn.XLOOKUP(C141,CLIENT_CODE!B:B,CLIENT_CODE!J:J,0))</f>
        <v>0</v>
      </c>
      <c r="N141">
        <f>_xlfn.XLOOKUP(B141,CRN!G:G,CRN!O:O,"")</f>
        <v>0</v>
      </c>
      <c r="O141">
        <f>IF(N141=0,0,_xlfn.XLOOKUP(C141,CLIENT_CODE!B:B,CLIENT_CODE!K:K,0))</f>
        <v>0</v>
      </c>
      <c r="P141">
        <f>_xlfn.XLOOKUP(B141,CRN!G:G,CRN!P:P,"")</f>
        <v>0</v>
      </c>
      <c r="Q141">
        <f>IF(P141=0,0,_xlfn.XLOOKUP(C141,CLIENT_CODE!B:B,CLIENT_CODE!L:L,0))</f>
        <v>0</v>
      </c>
      <c r="R141">
        <f>_xlfn.XLOOKUP(B141,CRN!G:G,CRN!Q:Q,"")</f>
        <v>0</v>
      </c>
      <c r="S141">
        <f>IF(R141=0,0,_xlfn.XLOOKUP(C141,CLIENT_CODE!B:B,CLIENT_CODE!M:M,0))</f>
        <v>0</v>
      </c>
      <c r="T141">
        <f>_xlfn.XLOOKUP(B141,CRN!G:G,CRN!R:R,"")</f>
        <v>0</v>
      </c>
      <c r="U141">
        <f>IF(T141=0,0,_xlfn.XLOOKUP(C141,CLIENT_CODE!B:B,CLIENT_CODE!N:N,0))</f>
        <v>0</v>
      </c>
      <c r="V141">
        <f>_xlfn.XLOOKUP(B141,CRN!G:G,CRN!S:S,"")</f>
        <v>0</v>
      </c>
      <c r="W141">
        <f>IF(V141=0,0,_xlfn.XLOOKUP(C141,CLIENT_CODE!B:B,CLIENT_CODE!O:O,0))</f>
        <v>0</v>
      </c>
      <c r="X141">
        <f>_xlfn.XLOOKUP(B141,CRN!G:G,CRN!T:T,"")</f>
        <v>0</v>
      </c>
      <c r="Y141">
        <f>IF(X141=0,0,_xlfn.XLOOKUP(C141,CLIENT_CODE!B:B,CLIENT_CODE!P:P,0))</f>
        <v>0</v>
      </c>
      <c r="Z141">
        <f>_xlfn.XLOOKUP(B141,CRN!G:G,CRN!U:U,"")</f>
        <v>0</v>
      </c>
      <c r="AA141">
        <f>IF(X141=0,0,_xlfn.XLOOKUP(C141,CLIENT_CODE!B:B,CLIENT_CODE!P:P,0))</f>
        <v>0</v>
      </c>
      <c r="AB141">
        <f>_xlfn.XLOOKUP(B141,CRN!G:G,CRN!V:V,"")</f>
        <v>0</v>
      </c>
      <c r="AC141">
        <f>IF(AB141=0,0,_xlfn.XLOOKUP(C141,CLIENT_CODE!B:B,CLIENT_CODE!R:R,0))</f>
        <v>0</v>
      </c>
      <c r="AD141">
        <f t="shared" si="2"/>
        <v>0</v>
      </c>
    </row>
    <row r="142" spans="1:30">
      <c r="A142" s="42">
        <v>141</v>
      </c>
      <c r="E142">
        <f>IF(D142=0,0,_xlfn.XLOOKUP(C142,CLIENT_CODE!B:B,CLIENT_CODE!F:F,0))</f>
        <v>0</v>
      </c>
      <c r="F142">
        <f>_xlfn.XLOOKUP(B142,CRN!G:G,CRN!K:K,"")</f>
        <v>0</v>
      </c>
      <c r="G142">
        <f>IF(F142=0,0,_xlfn.XLOOKUP(C142,CLIENT_CODE!B:B,CLIENT_CODE!G:G,0))</f>
        <v>0</v>
      </c>
      <c r="H142">
        <f>_xlfn.XLOOKUP(B142,CRN!G:G,CRN!L:L,"")</f>
        <v>0</v>
      </c>
      <c r="I142">
        <f>IF(H142=0,0,_xlfn.XLOOKUP(C142,CLIENT_CODE!B:B,CLIENT_CODE!H:H,0))</f>
        <v>0</v>
      </c>
      <c r="J142">
        <f>_xlfn.XLOOKUP(B142,CRN!G:G,CRN!M:M,"")</f>
        <v>0</v>
      </c>
      <c r="K142">
        <f>IF(J142=0,0,_xlfn.XLOOKUP(C142,CLIENT_CODE!B:B,CLIENT_CODE!I:I,0))</f>
        <v>0</v>
      </c>
      <c r="L142">
        <f>_xlfn.XLOOKUP(B142,CRN!G:G,CRN!N:N,"")</f>
        <v>0</v>
      </c>
      <c r="M142">
        <f>IF(L142=0,0,_xlfn.XLOOKUP(C142,CLIENT_CODE!B:B,CLIENT_CODE!J:J,0))</f>
        <v>0</v>
      </c>
      <c r="N142">
        <f>_xlfn.XLOOKUP(B142,CRN!G:G,CRN!O:O,"")</f>
        <v>0</v>
      </c>
      <c r="O142">
        <f>IF(N142=0,0,_xlfn.XLOOKUP(C142,CLIENT_CODE!B:B,CLIENT_CODE!K:K,0))</f>
        <v>0</v>
      </c>
      <c r="P142">
        <f>_xlfn.XLOOKUP(B142,CRN!G:G,CRN!P:P,"")</f>
        <v>0</v>
      </c>
      <c r="Q142">
        <f>IF(P142=0,0,_xlfn.XLOOKUP(C142,CLIENT_CODE!B:B,CLIENT_CODE!L:L,0))</f>
        <v>0</v>
      </c>
      <c r="R142">
        <f>_xlfn.XLOOKUP(B142,CRN!G:G,CRN!Q:Q,"")</f>
        <v>0</v>
      </c>
      <c r="S142">
        <f>IF(R142=0,0,_xlfn.XLOOKUP(C142,CLIENT_CODE!B:B,CLIENT_CODE!M:M,0))</f>
        <v>0</v>
      </c>
      <c r="T142">
        <f>_xlfn.XLOOKUP(B142,CRN!G:G,CRN!R:R,"")</f>
        <v>0</v>
      </c>
      <c r="U142">
        <f>IF(T142=0,0,_xlfn.XLOOKUP(C142,CLIENT_CODE!B:B,CLIENT_CODE!N:N,0))</f>
        <v>0</v>
      </c>
      <c r="V142">
        <f>_xlfn.XLOOKUP(B142,CRN!G:G,CRN!S:S,"")</f>
        <v>0</v>
      </c>
      <c r="W142">
        <f>IF(V142=0,0,_xlfn.XLOOKUP(C142,CLIENT_CODE!B:B,CLIENT_CODE!O:O,0))</f>
        <v>0</v>
      </c>
      <c r="X142">
        <f>_xlfn.XLOOKUP(B142,CRN!G:G,CRN!T:T,"")</f>
        <v>0</v>
      </c>
      <c r="Y142">
        <f>IF(X142=0,0,_xlfn.XLOOKUP(C142,CLIENT_CODE!B:B,CLIENT_CODE!P:P,0))</f>
        <v>0</v>
      </c>
      <c r="Z142">
        <f>_xlfn.XLOOKUP(B142,CRN!G:G,CRN!U:U,"")</f>
        <v>0</v>
      </c>
      <c r="AA142">
        <f>IF(X142=0,0,_xlfn.XLOOKUP(C142,CLIENT_CODE!B:B,CLIENT_CODE!P:P,0))</f>
        <v>0</v>
      </c>
      <c r="AB142">
        <f>_xlfn.XLOOKUP(B142,CRN!G:G,CRN!V:V,"")</f>
        <v>0</v>
      </c>
      <c r="AC142">
        <f>IF(AB142=0,0,_xlfn.XLOOKUP(C142,CLIENT_CODE!B:B,CLIENT_CODE!R:R,0))</f>
        <v>0</v>
      </c>
      <c r="AD142">
        <f t="shared" si="2"/>
        <v>0</v>
      </c>
    </row>
    <row r="143" spans="1:30">
      <c r="A143" s="42">
        <v>142</v>
      </c>
      <c r="E143">
        <f>IF(D143=0,0,_xlfn.XLOOKUP(C143,CLIENT_CODE!B:B,CLIENT_CODE!F:F,0))</f>
        <v>0</v>
      </c>
      <c r="F143">
        <f>_xlfn.XLOOKUP(B143,CRN!G:G,CRN!K:K,"")</f>
        <v>0</v>
      </c>
      <c r="G143">
        <f>IF(F143=0,0,_xlfn.XLOOKUP(C143,CLIENT_CODE!B:B,CLIENT_CODE!G:G,0))</f>
        <v>0</v>
      </c>
      <c r="H143">
        <f>_xlfn.XLOOKUP(B143,CRN!G:G,CRN!L:L,"")</f>
        <v>0</v>
      </c>
      <c r="I143">
        <f>IF(H143=0,0,_xlfn.XLOOKUP(C143,CLIENT_CODE!B:B,CLIENT_CODE!H:H,0))</f>
        <v>0</v>
      </c>
      <c r="J143">
        <f>_xlfn.XLOOKUP(B143,CRN!G:G,CRN!M:M,"")</f>
        <v>0</v>
      </c>
      <c r="K143">
        <f>IF(J143=0,0,_xlfn.XLOOKUP(C143,CLIENT_CODE!B:B,CLIENT_CODE!I:I,0))</f>
        <v>0</v>
      </c>
      <c r="L143">
        <f>_xlfn.XLOOKUP(B143,CRN!G:G,CRN!N:N,"")</f>
        <v>0</v>
      </c>
      <c r="M143">
        <f>IF(L143=0,0,_xlfn.XLOOKUP(C143,CLIENT_CODE!B:B,CLIENT_CODE!J:J,0))</f>
        <v>0</v>
      </c>
      <c r="N143">
        <f>_xlfn.XLOOKUP(B143,CRN!G:G,CRN!O:O,"")</f>
        <v>0</v>
      </c>
      <c r="O143">
        <f>IF(N143=0,0,_xlfn.XLOOKUP(C143,CLIENT_CODE!B:B,CLIENT_CODE!K:K,0))</f>
        <v>0</v>
      </c>
      <c r="P143">
        <f>_xlfn.XLOOKUP(B143,CRN!G:G,CRN!P:P,"")</f>
        <v>0</v>
      </c>
      <c r="Q143">
        <f>IF(P143=0,0,_xlfn.XLOOKUP(C143,CLIENT_CODE!B:B,CLIENT_CODE!L:L,0))</f>
        <v>0</v>
      </c>
      <c r="R143">
        <f>_xlfn.XLOOKUP(B143,CRN!G:G,CRN!Q:Q,"")</f>
        <v>0</v>
      </c>
      <c r="S143">
        <f>IF(R143=0,0,_xlfn.XLOOKUP(C143,CLIENT_CODE!B:B,CLIENT_CODE!M:M,0))</f>
        <v>0</v>
      </c>
      <c r="T143">
        <f>_xlfn.XLOOKUP(B143,CRN!G:G,CRN!R:R,"")</f>
        <v>0</v>
      </c>
      <c r="U143">
        <f>IF(T143=0,0,_xlfn.XLOOKUP(C143,CLIENT_CODE!B:B,CLIENT_CODE!N:N,0))</f>
        <v>0</v>
      </c>
      <c r="V143">
        <f>_xlfn.XLOOKUP(B143,CRN!G:G,CRN!S:S,"")</f>
        <v>0</v>
      </c>
      <c r="W143">
        <f>IF(V143=0,0,_xlfn.XLOOKUP(C143,CLIENT_CODE!B:B,CLIENT_CODE!O:O,0))</f>
        <v>0</v>
      </c>
      <c r="X143">
        <f>_xlfn.XLOOKUP(B143,CRN!G:G,CRN!T:T,"")</f>
        <v>0</v>
      </c>
      <c r="Y143">
        <f>IF(X143=0,0,_xlfn.XLOOKUP(C143,CLIENT_CODE!B:B,CLIENT_CODE!P:P,0))</f>
        <v>0</v>
      </c>
      <c r="Z143">
        <f>_xlfn.XLOOKUP(B143,CRN!G:G,CRN!U:U,"")</f>
        <v>0</v>
      </c>
      <c r="AA143">
        <f>IF(X143=0,0,_xlfn.XLOOKUP(C143,CLIENT_CODE!B:B,CLIENT_CODE!P:P,0))</f>
        <v>0</v>
      </c>
      <c r="AB143">
        <f>_xlfn.XLOOKUP(B143,CRN!G:G,CRN!V:V,"")</f>
        <v>0</v>
      </c>
      <c r="AC143">
        <f>IF(AB143=0,0,_xlfn.XLOOKUP(C143,CLIENT_CODE!B:B,CLIENT_CODE!R:R,0))</f>
        <v>0</v>
      </c>
      <c r="AD143">
        <f t="shared" si="2"/>
        <v>0</v>
      </c>
    </row>
    <row r="144" spans="1:30">
      <c r="A144" s="42">
        <v>143</v>
      </c>
      <c r="E144">
        <f>IF(D144=0,0,_xlfn.XLOOKUP(C144,CLIENT_CODE!B:B,CLIENT_CODE!F:F,0))</f>
        <v>0</v>
      </c>
      <c r="F144">
        <f>_xlfn.XLOOKUP(B144,CRN!G:G,CRN!K:K,"")</f>
        <v>0</v>
      </c>
      <c r="G144">
        <f>IF(F144=0,0,_xlfn.XLOOKUP(C144,CLIENT_CODE!B:B,CLIENT_CODE!G:G,0))</f>
        <v>0</v>
      </c>
      <c r="H144">
        <f>_xlfn.XLOOKUP(B144,CRN!G:G,CRN!L:L,"")</f>
        <v>0</v>
      </c>
      <c r="I144">
        <f>IF(H144=0,0,_xlfn.XLOOKUP(C144,CLIENT_CODE!B:B,CLIENT_CODE!H:H,0))</f>
        <v>0</v>
      </c>
      <c r="J144">
        <f>_xlfn.XLOOKUP(B144,CRN!G:G,CRN!M:M,"")</f>
        <v>0</v>
      </c>
      <c r="K144">
        <f>IF(J144=0,0,_xlfn.XLOOKUP(C144,CLIENT_CODE!B:B,CLIENT_CODE!I:I,0))</f>
        <v>0</v>
      </c>
      <c r="L144">
        <f>_xlfn.XLOOKUP(B144,CRN!G:G,CRN!N:N,"")</f>
        <v>0</v>
      </c>
      <c r="M144">
        <f>IF(L144=0,0,_xlfn.XLOOKUP(C144,CLIENT_CODE!B:B,CLIENT_CODE!J:J,0))</f>
        <v>0</v>
      </c>
      <c r="N144">
        <f>_xlfn.XLOOKUP(B144,CRN!G:G,CRN!O:O,"")</f>
        <v>0</v>
      </c>
      <c r="O144">
        <f>IF(N144=0,0,_xlfn.XLOOKUP(C144,CLIENT_CODE!B:B,CLIENT_CODE!K:K,0))</f>
        <v>0</v>
      </c>
      <c r="P144">
        <f>_xlfn.XLOOKUP(B144,CRN!G:G,CRN!P:P,"")</f>
        <v>0</v>
      </c>
      <c r="Q144">
        <f>IF(P144=0,0,_xlfn.XLOOKUP(C144,CLIENT_CODE!B:B,CLIENT_CODE!L:L,0))</f>
        <v>0</v>
      </c>
      <c r="R144">
        <f>_xlfn.XLOOKUP(B144,CRN!G:G,CRN!Q:Q,"")</f>
        <v>0</v>
      </c>
      <c r="S144">
        <f>IF(R144=0,0,_xlfn.XLOOKUP(C144,CLIENT_CODE!B:B,CLIENT_CODE!M:M,0))</f>
        <v>0</v>
      </c>
      <c r="T144">
        <f>_xlfn.XLOOKUP(B144,CRN!G:G,CRN!R:R,"")</f>
        <v>0</v>
      </c>
      <c r="U144">
        <f>IF(T144=0,0,_xlfn.XLOOKUP(C144,CLIENT_CODE!B:B,CLIENT_CODE!N:N,0))</f>
        <v>0</v>
      </c>
      <c r="V144">
        <f>_xlfn.XLOOKUP(B144,CRN!G:G,CRN!S:S,"")</f>
        <v>0</v>
      </c>
      <c r="W144">
        <f>IF(V144=0,0,_xlfn.XLOOKUP(C144,CLIENT_CODE!B:B,CLIENT_CODE!O:O,0))</f>
        <v>0</v>
      </c>
      <c r="X144">
        <f>_xlfn.XLOOKUP(B144,CRN!G:G,CRN!T:T,"")</f>
        <v>0</v>
      </c>
      <c r="Y144">
        <f>IF(X144=0,0,_xlfn.XLOOKUP(C144,CLIENT_CODE!B:B,CLIENT_CODE!P:P,0))</f>
        <v>0</v>
      </c>
      <c r="Z144">
        <f>_xlfn.XLOOKUP(B144,CRN!G:G,CRN!U:U,"")</f>
        <v>0</v>
      </c>
      <c r="AA144">
        <f>IF(X144=0,0,_xlfn.XLOOKUP(C144,CLIENT_CODE!B:B,CLIENT_CODE!P:P,0))</f>
        <v>0</v>
      </c>
      <c r="AB144">
        <f>_xlfn.XLOOKUP(B144,CRN!G:G,CRN!V:V,"")</f>
        <v>0</v>
      </c>
      <c r="AC144">
        <f>IF(AB144=0,0,_xlfn.XLOOKUP(C144,CLIENT_CODE!B:B,CLIENT_CODE!R:R,0))</f>
        <v>0</v>
      </c>
      <c r="AD144">
        <f t="shared" si="2"/>
        <v>0</v>
      </c>
    </row>
    <row r="145" spans="1:30">
      <c r="A145" s="42">
        <v>144</v>
      </c>
      <c r="E145">
        <f>IF(D145=0,0,_xlfn.XLOOKUP(C145,CLIENT_CODE!B:B,CLIENT_CODE!F:F,0))</f>
        <v>0</v>
      </c>
      <c r="F145">
        <f>_xlfn.XLOOKUP(B145,CRN!G:G,CRN!K:K,"")</f>
        <v>0</v>
      </c>
      <c r="G145">
        <f>IF(F145=0,0,_xlfn.XLOOKUP(C145,CLIENT_CODE!B:B,CLIENT_CODE!G:G,0))</f>
        <v>0</v>
      </c>
      <c r="H145">
        <f>_xlfn.XLOOKUP(B145,CRN!G:G,CRN!L:L,"")</f>
        <v>0</v>
      </c>
      <c r="I145">
        <f>IF(H145=0,0,_xlfn.XLOOKUP(C145,CLIENT_CODE!B:B,CLIENT_CODE!H:H,0))</f>
        <v>0</v>
      </c>
      <c r="J145">
        <f>_xlfn.XLOOKUP(B145,CRN!G:G,CRN!M:M,"")</f>
        <v>0</v>
      </c>
      <c r="K145">
        <f>IF(J145=0,0,_xlfn.XLOOKUP(C145,CLIENT_CODE!B:B,CLIENT_CODE!I:I,0))</f>
        <v>0</v>
      </c>
      <c r="L145">
        <f>_xlfn.XLOOKUP(B145,CRN!G:G,CRN!N:N,"")</f>
        <v>0</v>
      </c>
      <c r="M145">
        <f>IF(L145=0,0,_xlfn.XLOOKUP(C145,CLIENT_CODE!B:B,CLIENT_CODE!J:J,0))</f>
        <v>0</v>
      </c>
      <c r="N145">
        <f>_xlfn.XLOOKUP(B145,CRN!G:G,CRN!O:O,"")</f>
        <v>0</v>
      </c>
      <c r="O145">
        <f>IF(N145=0,0,_xlfn.XLOOKUP(C145,CLIENT_CODE!B:B,CLIENT_CODE!K:K,0))</f>
        <v>0</v>
      </c>
      <c r="P145">
        <f>_xlfn.XLOOKUP(B145,CRN!G:G,CRN!P:P,"")</f>
        <v>0</v>
      </c>
      <c r="Q145">
        <f>IF(P145=0,0,_xlfn.XLOOKUP(C145,CLIENT_CODE!B:B,CLIENT_CODE!L:L,0))</f>
        <v>0</v>
      </c>
      <c r="R145">
        <f>_xlfn.XLOOKUP(B145,CRN!G:G,CRN!Q:Q,"")</f>
        <v>0</v>
      </c>
      <c r="S145">
        <f>IF(R145=0,0,_xlfn.XLOOKUP(C145,CLIENT_CODE!B:B,CLIENT_CODE!M:M,0))</f>
        <v>0</v>
      </c>
      <c r="T145">
        <f>_xlfn.XLOOKUP(B145,CRN!G:G,CRN!R:R,"")</f>
        <v>0</v>
      </c>
      <c r="U145">
        <f>IF(T145=0,0,_xlfn.XLOOKUP(C145,CLIENT_CODE!B:B,CLIENT_CODE!N:N,0))</f>
        <v>0</v>
      </c>
      <c r="V145">
        <f>_xlfn.XLOOKUP(B145,CRN!G:G,CRN!S:S,"")</f>
        <v>0</v>
      </c>
      <c r="W145">
        <f>IF(V145=0,0,_xlfn.XLOOKUP(C145,CLIENT_CODE!B:B,CLIENT_CODE!O:O,0))</f>
        <v>0</v>
      </c>
      <c r="X145">
        <f>_xlfn.XLOOKUP(B145,CRN!G:G,CRN!T:T,"")</f>
        <v>0</v>
      </c>
      <c r="Y145">
        <f>IF(X145=0,0,_xlfn.XLOOKUP(C145,CLIENT_CODE!B:B,CLIENT_CODE!P:P,0))</f>
        <v>0</v>
      </c>
      <c r="Z145">
        <f>_xlfn.XLOOKUP(B145,CRN!G:G,CRN!U:U,"")</f>
        <v>0</v>
      </c>
      <c r="AA145">
        <f>IF(X145=0,0,_xlfn.XLOOKUP(C145,CLIENT_CODE!B:B,CLIENT_CODE!P:P,0))</f>
        <v>0</v>
      </c>
      <c r="AB145">
        <f>_xlfn.XLOOKUP(B145,CRN!G:G,CRN!V:V,"")</f>
        <v>0</v>
      </c>
      <c r="AC145">
        <f>IF(AB145=0,0,_xlfn.XLOOKUP(C145,CLIENT_CODE!B:B,CLIENT_CODE!R:R,0))</f>
        <v>0</v>
      </c>
      <c r="AD145">
        <f t="shared" si="2"/>
        <v>0</v>
      </c>
    </row>
    <row r="146" spans="1:30">
      <c r="A146" s="42">
        <v>145</v>
      </c>
      <c r="E146">
        <f>IF(D146=0,0,_xlfn.XLOOKUP(C146,CLIENT_CODE!B:B,CLIENT_CODE!F:F,0))</f>
        <v>0</v>
      </c>
      <c r="F146">
        <f>_xlfn.XLOOKUP(B146,CRN!G:G,CRN!K:K,"")</f>
        <v>0</v>
      </c>
      <c r="G146">
        <f>IF(F146=0,0,_xlfn.XLOOKUP(C146,CLIENT_CODE!B:B,CLIENT_CODE!G:G,0))</f>
        <v>0</v>
      </c>
      <c r="H146">
        <f>_xlfn.XLOOKUP(B146,CRN!G:G,CRN!L:L,"")</f>
        <v>0</v>
      </c>
      <c r="I146">
        <f>IF(H146=0,0,_xlfn.XLOOKUP(C146,CLIENT_CODE!B:B,CLIENT_CODE!H:H,0))</f>
        <v>0</v>
      </c>
      <c r="J146">
        <f>_xlfn.XLOOKUP(B146,CRN!G:G,CRN!M:M,"")</f>
        <v>0</v>
      </c>
      <c r="K146">
        <f>IF(J146=0,0,_xlfn.XLOOKUP(C146,CLIENT_CODE!B:B,CLIENT_CODE!I:I,0))</f>
        <v>0</v>
      </c>
      <c r="L146">
        <f>_xlfn.XLOOKUP(B146,CRN!G:G,CRN!N:N,"")</f>
        <v>0</v>
      </c>
      <c r="M146">
        <f>IF(L146=0,0,_xlfn.XLOOKUP(C146,CLIENT_CODE!B:B,CLIENT_CODE!J:J,0))</f>
        <v>0</v>
      </c>
      <c r="N146">
        <f>_xlfn.XLOOKUP(B146,CRN!G:G,CRN!O:O,"")</f>
        <v>0</v>
      </c>
      <c r="O146">
        <f>IF(N146=0,0,_xlfn.XLOOKUP(C146,CLIENT_CODE!B:B,CLIENT_CODE!K:K,0))</f>
        <v>0</v>
      </c>
      <c r="P146">
        <f>_xlfn.XLOOKUP(B146,CRN!G:G,CRN!P:P,"")</f>
        <v>0</v>
      </c>
      <c r="Q146">
        <f>IF(P146=0,0,_xlfn.XLOOKUP(C146,CLIENT_CODE!B:B,CLIENT_CODE!L:L,0))</f>
        <v>0</v>
      </c>
      <c r="R146">
        <f>_xlfn.XLOOKUP(B146,CRN!G:G,CRN!Q:Q,"")</f>
        <v>0</v>
      </c>
      <c r="S146">
        <f>IF(R146=0,0,_xlfn.XLOOKUP(C146,CLIENT_CODE!B:B,CLIENT_CODE!M:M,0))</f>
        <v>0</v>
      </c>
      <c r="T146">
        <f>_xlfn.XLOOKUP(B146,CRN!G:G,CRN!R:R,"")</f>
        <v>0</v>
      </c>
      <c r="U146">
        <f>IF(T146=0,0,_xlfn.XLOOKUP(C146,CLIENT_CODE!B:B,CLIENT_CODE!N:N,0))</f>
        <v>0</v>
      </c>
      <c r="V146">
        <f>_xlfn.XLOOKUP(B146,CRN!G:G,CRN!S:S,"")</f>
        <v>0</v>
      </c>
      <c r="W146">
        <f>IF(V146=0,0,_xlfn.XLOOKUP(C146,CLIENT_CODE!B:B,CLIENT_CODE!O:O,0))</f>
        <v>0</v>
      </c>
      <c r="X146">
        <f>_xlfn.XLOOKUP(B146,CRN!G:G,CRN!T:T,"")</f>
        <v>0</v>
      </c>
      <c r="Y146">
        <f>IF(X146=0,0,_xlfn.XLOOKUP(C146,CLIENT_CODE!B:B,CLIENT_CODE!P:P,0))</f>
        <v>0</v>
      </c>
      <c r="Z146">
        <f>_xlfn.XLOOKUP(B146,CRN!G:G,CRN!U:U,"")</f>
        <v>0</v>
      </c>
      <c r="AA146">
        <f>IF(X146=0,0,_xlfn.XLOOKUP(C146,CLIENT_CODE!B:B,CLIENT_CODE!P:P,0))</f>
        <v>0</v>
      </c>
      <c r="AB146">
        <f>_xlfn.XLOOKUP(B146,CRN!G:G,CRN!V:V,"")</f>
        <v>0</v>
      </c>
      <c r="AC146">
        <f>IF(AB146=0,0,_xlfn.XLOOKUP(C146,CLIENT_CODE!B:B,CLIENT_CODE!R:R,0))</f>
        <v>0</v>
      </c>
      <c r="AD146">
        <f t="shared" si="2"/>
        <v>0</v>
      </c>
    </row>
    <row r="147" spans="1:30">
      <c r="A147" s="42">
        <v>146</v>
      </c>
      <c r="E147">
        <f>IF(D147=0,0,_xlfn.XLOOKUP(C147,CLIENT_CODE!B:B,CLIENT_CODE!F:F,0))</f>
        <v>0</v>
      </c>
      <c r="F147">
        <f>_xlfn.XLOOKUP(B147,CRN!G:G,CRN!K:K,"")</f>
        <v>0</v>
      </c>
      <c r="G147">
        <f>IF(F147=0,0,_xlfn.XLOOKUP(C147,CLIENT_CODE!B:B,CLIENT_CODE!G:G,0))</f>
        <v>0</v>
      </c>
      <c r="H147">
        <f>_xlfn.XLOOKUP(B147,CRN!G:G,CRN!L:L,"")</f>
        <v>0</v>
      </c>
      <c r="I147">
        <f>IF(H147=0,0,_xlfn.XLOOKUP(C147,CLIENT_CODE!B:B,CLIENT_CODE!H:H,0))</f>
        <v>0</v>
      </c>
      <c r="J147">
        <f>_xlfn.XLOOKUP(B147,CRN!G:G,CRN!M:M,"")</f>
        <v>0</v>
      </c>
      <c r="K147">
        <f>IF(J147=0,0,_xlfn.XLOOKUP(C147,CLIENT_CODE!B:B,CLIENT_CODE!I:I,0))</f>
        <v>0</v>
      </c>
      <c r="L147">
        <f>_xlfn.XLOOKUP(B147,CRN!G:G,CRN!N:N,"")</f>
        <v>0</v>
      </c>
      <c r="M147">
        <f>IF(L147=0,0,_xlfn.XLOOKUP(C147,CLIENT_CODE!B:B,CLIENT_CODE!J:J,0))</f>
        <v>0</v>
      </c>
      <c r="N147">
        <f>_xlfn.XLOOKUP(B147,CRN!G:G,CRN!O:O,"")</f>
        <v>0</v>
      </c>
      <c r="O147">
        <f>IF(N147=0,0,_xlfn.XLOOKUP(C147,CLIENT_CODE!B:B,CLIENT_CODE!K:K,0))</f>
        <v>0</v>
      </c>
      <c r="P147">
        <f>_xlfn.XLOOKUP(B147,CRN!G:G,CRN!P:P,"")</f>
        <v>0</v>
      </c>
      <c r="Q147">
        <f>IF(P147=0,0,_xlfn.XLOOKUP(C147,CLIENT_CODE!B:B,CLIENT_CODE!L:L,0))</f>
        <v>0</v>
      </c>
      <c r="R147">
        <f>_xlfn.XLOOKUP(B147,CRN!G:G,CRN!Q:Q,"")</f>
        <v>0</v>
      </c>
      <c r="S147">
        <f>IF(R147=0,0,_xlfn.XLOOKUP(C147,CLIENT_CODE!B:B,CLIENT_CODE!M:M,0))</f>
        <v>0</v>
      </c>
      <c r="T147">
        <f>_xlfn.XLOOKUP(B147,CRN!G:G,CRN!R:R,"")</f>
        <v>0</v>
      </c>
      <c r="U147">
        <f>IF(T147=0,0,_xlfn.XLOOKUP(C147,CLIENT_CODE!B:B,CLIENT_CODE!N:N,0))</f>
        <v>0</v>
      </c>
      <c r="V147">
        <f>_xlfn.XLOOKUP(B147,CRN!G:G,CRN!S:S,"")</f>
        <v>0</v>
      </c>
      <c r="W147">
        <f>IF(V147=0,0,_xlfn.XLOOKUP(C147,CLIENT_CODE!B:B,CLIENT_CODE!O:O,0))</f>
        <v>0</v>
      </c>
      <c r="X147">
        <f>_xlfn.XLOOKUP(B147,CRN!G:G,CRN!T:T,"")</f>
        <v>0</v>
      </c>
      <c r="Y147">
        <f>IF(X147=0,0,_xlfn.XLOOKUP(C147,CLIENT_CODE!B:B,CLIENT_CODE!P:P,0))</f>
        <v>0</v>
      </c>
      <c r="Z147">
        <f>_xlfn.XLOOKUP(B147,CRN!G:G,CRN!U:U,"")</f>
        <v>0</v>
      </c>
      <c r="AA147">
        <f>IF(X147=0,0,_xlfn.XLOOKUP(C147,CLIENT_CODE!B:B,CLIENT_CODE!P:P,0))</f>
        <v>0</v>
      </c>
      <c r="AB147">
        <f>_xlfn.XLOOKUP(B147,CRN!G:G,CRN!V:V,"")</f>
        <v>0</v>
      </c>
      <c r="AC147">
        <f>IF(AB147=0,0,_xlfn.XLOOKUP(C147,CLIENT_CODE!B:B,CLIENT_CODE!R:R,0))</f>
        <v>0</v>
      </c>
      <c r="AD147">
        <f t="shared" si="2"/>
        <v>0</v>
      </c>
    </row>
    <row r="148" spans="1:30">
      <c r="A148" s="42">
        <v>147</v>
      </c>
      <c r="E148">
        <f>IF(D148=0,0,_xlfn.XLOOKUP(C148,CLIENT_CODE!B:B,CLIENT_CODE!F:F,0))</f>
        <v>0</v>
      </c>
      <c r="F148">
        <f>_xlfn.XLOOKUP(B148,CRN!G:G,CRN!K:K,"")</f>
        <v>0</v>
      </c>
      <c r="G148">
        <f>IF(F148=0,0,_xlfn.XLOOKUP(C148,CLIENT_CODE!B:B,CLIENT_CODE!G:G,0))</f>
        <v>0</v>
      </c>
      <c r="H148">
        <f>_xlfn.XLOOKUP(B148,CRN!G:G,CRN!L:L,"")</f>
        <v>0</v>
      </c>
      <c r="I148">
        <f>IF(H148=0,0,_xlfn.XLOOKUP(C148,CLIENT_CODE!B:B,CLIENT_CODE!H:H,0))</f>
        <v>0</v>
      </c>
      <c r="J148">
        <f>_xlfn.XLOOKUP(B148,CRN!G:G,CRN!M:M,"")</f>
        <v>0</v>
      </c>
      <c r="K148">
        <f>IF(J148=0,0,_xlfn.XLOOKUP(C148,CLIENT_CODE!B:B,CLIENT_CODE!I:I,0))</f>
        <v>0</v>
      </c>
      <c r="L148">
        <f>_xlfn.XLOOKUP(B148,CRN!G:G,CRN!N:N,"")</f>
        <v>0</v>
      </c>
      <c r="M148">
        <f>IF(L148=0,0,_xlfn.XLOOKUP(C148,CLIENT_CODE!B:B,CLIENT_CODE!J:J,0))</f>
        <v>0</v>
      </c>
      <c r="N148">
        <f>_xlfn.XLOOKUP(B148,CRN!G:G,CRN!O:O,"")</f>
        <v>0</v>
      </c>
      <c r="O148">
        <f>IF(N148=0,0,_xlfn.XLOOKUP(C148,CLIENT_CODE!B:B,CLIENT_CODE!K:K,0))</f>
        <v>0</v>
      </c>
      <c r="P148">
        <f>_xlfn.XLOOKUP(B148,CRN!G:G,CRN!P:P,"")</f>
        <v>0</v>
      </c>
      <c r="Q148">
        <f>IF(P148=0,0,_xlfn.XLOOKUP(C148,CLIENT_CODE!B:B,CLIENT_CODE!L:L,0))</f>
        <v>0</v>
      </c>
      <c r="R148">
        <f>_xlfn.XLOOKUP(B148,CRN!G:G,CRN!Q:Q,"")</f>
        <v>0</v>
      </c>
      <c r="S148">
        <f>IF(R148=0,0,_xlfn.XLOOKUP(C148,CLIENT_CODE!B:B,CLIENT_CODE!M:M,0))</f>
        <v>0</v>
      </c>
      <c r="T148">
        <f>_xlfn.XLOOKUP(B148,CRN!G:G,CRN!R:R,"")</f>
        <v>0</v>
      </c>
      <c r="U148">
        <f>IF(T148=0,0,_xlfn.XLOOKUP(C148,CLIENT_CODE!B:B,CLIENT_CODE!N:N,0))</f>
        <v>0</v>
      </c>
      <c r="V148">
        <f>_xlfn.XLOOKUP(B148,CRN!G:G,CRN!S:S,"")</f>
        <v>0</v>
      </c>
      <c r="W148">
        <f>IF(V148=0,0,_xlfn.XLOOKUP(C148,CLIENT_CODE!B:B,CLIENT_CODE!O:O,0))</f>
        <v>0</v>
      </c>
      <c r="X148">
        <f>_xlfn.XLOOKUP(B148,CRN!G:G,CRN!T:T,"")</f>
        <v>0</v>
      </c>
      <c r="Y148">
        <f>IF(X148=0,0,_xlfn.XLOOKUP(C148,CLIENT_CODE!B:B,CLIENT_CODE!P:P,0))</f>
        <v>0</v>
      </c>
      <c r="Z148">
        <f>_xlfn.XLOOKUP(B148,CRN!G:G,CRN!U:U,"")</f>
        <v>0</v>
      </c>
      <c r="AA148">
        <f>IF(X148=0,0,_xlfn.XLOOKUP(C148,CLIENT_CODE!B:B,CLIENT_CODE!P:P,0))</f>
        <v>0</v>
      </c>
      <c r="AB148">
        <f>_xlfn.XLOOKUP(B148,CRN!G:G,CRN!V:V,"")</f>
        <v>0</v>
      </c>
      <c r="AC148">
        <f>IF(AB148=0,0,_xlfn.XLOOKUP(C148,CLIENT_CODE!B:B,CLIENT_CODE!R:R,0))</f>
        <v>0</v>
      </c>
      <c r="AD148">
        <f t="shared" si="2"/>
        <v>0</v>
      </c>
    </row>
    <row r="149" spans="1:30">
      <c r="A149" s="42">
        <v>148</v>
      </c>
      <c r="E149">
        <f>IF(D149=0,0,_xlfn.XLOOKUP(C149,CLIENT_CODE!B:B,CLIENT_CODE!F:F,0))</f>
        <v>0</v>
      </c>
      <c r="F149">
        <f>_xlfn.XLOOKUP(B149,CRN!G:G,CRN!K:K,"")</f>
        <v>0</v>
      </c>
      <c r="G149">
        <f>IF(F149=0,0,_xlfn.XLOOKUP(C149,CLIENT_CODE!B:B,CLIENT_CODE!G:G,0))</f>
        <v>0</v>
      </c>
      <c r="H149">
        <f>_xlfn.XLOOKUP(B149,CRN!G:G,CRN!L:L,"")</f>
        <v>0</v>
      </c>
      <c r="I149">
        <f>IF(H149=0,0,_xlfn.XLOOKUP(C149,CLIENT_CODE!B:B,CLIENT_CODE!H:H,0))</f>
        <v>0</v>
      </c>
      <c r="J149">
        <f>_xlfn.XLOOKUP(B149,CRN!G:G,CRN!M:M,"")</f>
        <v>0</v>
      </c>
      <c r="K149">
        <f>IF(J149=0,0,_xlfn.XLOOKUP(C149,CLIENT_CODE!B:B,CLIENT_CODE!I:I,0))</f>
        <v>0</v>
      </c>
      <c r="L149">
        <f>_xlfn.XLOOKUP(B149,CRN!G:G,CRN!N:N,"")</f>
        <v>0</v>
      </c>
      <c r="M149">
        <f>IF(L149=0,0,_xlfn.XLOOKUP(C149,CLIENT_CODE!B:B,CLIENT_CODE!J:J,0))</f>
        <v>0</v>
      </c>
      <c r="N149">
        <f>_xlfn.XLOOKUP(B149,CRN!G:G,CRN!O:O,"")</f>
        <v>0</v>
      </c>
      <c r="O149">
        <f>IF(N149=0,0,_xlfn.XLOOKUP(C149,CLIENT_CODE!B:B,CLIENT_CODE!K:K,0))</f>
        <v>0</v>
      </c>
      <c r="P149">
        <f>_xlfn.XLOOKUP(B149,CRN!G:G,CRN!P:P,"")</f>
        <v>0</v>
      </c>
      <c r="Q149">
        <f>IF(P149=0,0,_xlfn.XLOOKUP(C149,CLIENT_CODE!B:B,CLIENT_CODE!L:L,0))</f>
        <v>0</v>
      </c>
      <c r="R149">
        <f>_xlfn.XLOOKUP(B149,CRN!G:G,CRN!Q:Q,"")</f>
        <v>0</v>
      </c>
      <c r="S149">
        <f>IF(R149=0,0,_xlfn.XLOOKUP(C149,CLIENT_CODE!B:B,CLIENT_CODE!M:M,0))</f>
        <v>0</v>
      </c>
      <c r="T149">
        <f>_xlfn.XLOOKUP(B149,CRN!G:G,CRN!R:R,"")</f>
        <v>0</v>
      </c>
      <c r="U149">
        <f>IF(T149=0,0,_xlfn.XLOOKUP(C149,CLIENT_CODE!B:B,CLIENT_CODE!N:N,0))</f>
        <v>0</v>
      </c>
      <c r="V149">
        <f>_xlfn.XLOOKUP(B149,CRN!G:G,CRN!S:S,"")</f>
        <v>0</v>
      </c>
      <c r="W149">
        <f>IF(V149=0,0,_xlfn.XLOOKUP(C149,CLIENT_CODE!B:B,CLIENT_CODE!O:O,0))</f>
        <v>0</v>
      </c>
      <c r="X149">
        <f>_xlfn.XLOOKUP(B149,CRN!G:G,CRN!T:T,"")</f>
        <v>0</v>
      </c>
      <c r="Y149">
        <f>IF(X149=0,0,_xlfn.XLOOKUP(C149,CLIENT_CODE!B:B,CLIENT_CODE!P:P,0))</f>
        <v>0</v>
      </c>
      <c r="Z149">
        <f>_xlfn.XLOOKUP(B149,CRN!G:G,CRN!U:U,"")</f>
        <v>0</v>
      </c>
      <c r="AA149">
        <f>IF(X149=0,0,_xlfn.XLOOKUP(C149,CLIENT_CODE!B:B,CLIENT_CODE!P:P,0))</f>
        <v>0</v>
      </c>
      <c r="AB149">
        <f>_xlfn.XLOOKUP(B149,CRN!G:G,CRN!V:V,"")</f>
        <v>0</v>
      </c>
      <c r="AC149">
        <f>IF(AB149=0,0,_xlfn.XLOOKUP(C149,CLIENT_CODE!B:B,CLIENT_CODE!R:R,0))</f>
        <v>0</v>
      </c>
      <c r="AD149">
        <f t="shared" si="2"/>
        <v>0</v>
      </c>
    </row>
    <row r="150" spans="1:30">
      <c r="A150" s="42">
        <v>149</v>
      </c>
      <c r="E150">
        <f>IF(D150=0,0,_xlfn.XLOOKUP(C150,CLIENT_CODE!B:B,CLIENT_CODE!F:F,0))</f>
        <v>0</v>
      </c>
      <c r="F150">
        <f>_xlfn.XLOOKUP(B150,CRN!G:G,CRN!K:K,"")</f>
        <v>0</v>
      </c>
      <c r="G150">
        <f>IF(F150=0,0,_xlfn.XLOOKUP(C150,CLIENT_CODE!B:B,CLIENT_CODE!G:G,0))</f>
        <v>0</v>
      </c>
      <c r="H150">
        <f>_xlfn.XLOOKUP(B150,CRN!G:G,CRN!L:L,"")</f>
        <v>0</v>
      </c>
      <c r="I150">
        <f>IF(H150=0,0,_xlfn.XLOOKUP(C150,CLIENT_CODE!B:B,CLIENT_CODE!H:H,0))</f>
        <v>0</v>
      </c>
      <c r="J150">
        <f>_xlfn.XLOOKUP(B150,CRN!G:G,CRN!M:M,"")</f>
        <v>0</v>
      </c>
      <c r="K150">
        <f>IF(J150=0,0,_xlfn.XLOOKUP(C150,CLIENT_CODE!B:B,CLIENT_CODE!I:I,0))</f>
        <v>0</v>
      </c>
      <c r="L150">
        <f>_xlfn.XLOOKUP(B150,CRN!G:G,CRN!N:N,"")</f>
        <v>0</v>
      </c>
      <c r="M150">
        <f>IF(L150=0,0,_xlfn.XLOOKUP(C150,CLIENT_CODE!B:B,CLIENT_CODE!J:J,0))</f>
        <v>0</v>
      </c>
      <c r="N150">
        <f>_xlfn.XLOOKUP(B150,CRN!G:G,CRN!O:O,"")</f>
        <v>0</v>
      </c>
      <c r="O150">
        <f>IF(N150=0,0,_xlfn.XLOOKUP(C150,CLIENT_CODE!B:B,CLIENT_CODE!K:K,0))</f>
        <v>0</v>
      </c>
      <c r="P150">
        <f>_xlfn.XLOOKUP(B150,CRN!G:G,CRN!P:P,"")</f>
        <v>0</v>
      </c>
      <c r="Q150">
        <f>IF(P150=0,0,_xlfn.XLOOKUP(C150,CLIENT_CODE!B:B,CLIENT_CODE!L:L,0))</f>
        <v>0</v>
      </c>
      <c r="R150">
        <f>_xlfn.XLOOKUP(B150,CRN!G:G,CRN!Q:Q,"")</f>
        <v>0</v>
      </c>
      <c r="S150">
        <f>IF(R150=0,0,_xlfn.XLOOKUP(C150,CLIENT_CODE!B:B,CLIENT_CODE!M:M,0))</f>
        <v>0</v>
      </c>
      <c r="T150">
        <f>_xlfn.XLOOKUP(B150,CRN!G:G,CRN!R:R,"")</f>
        <v>0</v>
      </c>
      <c r="U150">
        <f>IF(T150=0,0,_xlfn.XLOOKUP(C150,CLIENT_CODE!B:B,CLIENT_CODE!N:N,0))</f>
        <v>0</v>
      </c>
      <c r="V150">
        <f>_xlfn.XLOOKUP(B150,CRN!G:G,CRN!S:S,"")</f>
        <v>0</v>
      </c>
      <c r="W150">
        <f>IF(V150=0,0,_xlfn.XLOOKUP(C150,CLIENT_CODE!B:B,CLIENT_CODE!O:O,0))</f>
        <v>0</v>
      </c>
      <c r="X150">
        <f>_xlfn.XLOOKUP(B150,CRN!G:G,CRN!T:T,"")</f>
        <v>0</v>
      </c>
      <c r="Y150">
        <f>IF(X150=0,0,_xlfn.XLOOKUP(C150,CLIENT_CODE!B:B,CLIENT_CODE!P:P,0))</f>
        <v>0</v>
      </c>
      <c r="Z150">
        <f>_xlfn.XLOOKUP(B150,CRN!G:G,CRN!U:U,"")</f>
        <v>0</v>
      </c>
      <c r="AA150">
        <f>IF(X150=0,0,_xlfn.XLOOKUP(C150,CLIENT_CODE!B:B,CLIENT_CODE!P:P,0))</f>
        <v>0</v>
      </c>
      <c r="AB150">
        <f>_xlfn.XLOOKUP(B150,CRN!G:G,CRN!V:V,"")</f>
        <v>0</v>
      </c>
      <c r="AC150">
        <f>IF(AB150=0,0,_xlfn.XLOOKUP(C150,CLIENT_CODE!B:B,CLIENT_CODE!R:R,0))</f>
        <v>0</v>
      </c>
      <c r="AD150">
        <f t="shared" si="2"/>
        <v>0</v>
      </c>
    </row>
    <row r="151" spans="1:30">
      <c r="A151" s="42">
        <v>150</v>
      </c>
      <c r="E151">
        <f>IF(D151=0,0,_xlfn.XLOOKUP(C151,CLIENT_CODE!B:B,CLIENT_CODE!F:F,0))</f>
        <v>0</v>
      </c>
      <c r="F151">
        <f>_xlfn.XLOOKUP(B151,CRN!G:G,CRN!K:K,"")</f>
        <v>0</v>
      </c>
      <c r="G151">
        <f>IF(F151=0,0,_xlfn.XLOOKUP(C151,CLIENT_CODE!B:B,CLIENT_CODE!G:G,0))</f>
        <v>0</v>
      </c>
      <c r="H151">
        <f>_xlfn.XLOOKUP(B151,CRN!G:G,CRN!L:L,"")</f>
        <v>0</v>
      </c>
      <c r="I151">
        <f>IF(H151=0,0,_xlfn.XLOOKUP(C151,CLIENT_CODE!B:B,CLIENT_CODE!H:H,0))</f>
        <v>0</v>
      </c>
      <c r="J151">
        <f>_xlfn.XLOOKUP(B151,CRN!G:G,CRN!M:M,"")</f>
        <v>0</v>
      </c>
      <c r="K151">
        <f>IF(J151=0,0,_xlfn.XLOOKUP(C151,CLIENT_CODE!B:B,CLIENT_CODE!I:I,0))</f>
        <v>0</v>
      </c>
      <c r="L151">
        <f>_xlfn.XLOOKUP(B151,CRN!G:G,CRN!N:N,"")</f>
        <v>0</v>
      </c>
      <c r="M151">
        <f>IF(L151=0,0,_xlfn.XLOOKUP(C151,CLIENT_CODE!B:B,CLIENT_CODE!J:J,0))</f>
        <v>0</v>
      </c>
      <c r="N151">
        <f>_xlfn.XLOOKUP(B151,CRN!G:G,CRN!O:O,"")</f>
        <v>0</v>
      </c>
      <c r="O151">
        <f>IF(N151=0,0,_xlfn.XLOOKUP(C151,CLIENT_CODE!B:B,CLIENT_CODE!K:K,0))</f>
        <v>0</v>
      </c>
      <c r="P151">
        <f>_xlfn.XLOOKUP(B151,CRN!G:G,CRN!P:P,"")</f>
        <v>0</v>
      </c>
      <c r="Q151">
        <f>IF(P151=0,0,_xlfn.XLOOKUP(C151,CLIENT_CODE!B:B,CLIENT_CODE!L:L,0))</f>
        <v>0</v>
      </c>
      <c r="R151">
        <f>_xlfn.XLOOKUP(B151,CRN!G:G,CRN!Q:Q,"")</f>
        <v>0</v>
      </c>
      <c r="S151">
        <f>IF(R151=0,0,_xlfn.XLOOKUP(C151,CLIENT_CODE!B:B,CLIENT_CODE!M:M,0))</f>
        <v>0</v>
      </c>
      <c r="T151">
        <f>_xlfn.XLOOKUP(B151,CRN!G:G,CRN!R:R,"")</f>
        <v>0</v>
      </c>
      <c r="U151">
        <f>IF(T151=0,0,_xlfn.XLOOKUP(C151,CLIENT_CODE!B:B,CLIENT_CODE!N:N,0))</f>
        <v>0</v>
      </c>
      <c r="V151">
        <f>_xlfn.XLOOKUP(B151,CRN!G:G,CRN!S:S,"")</f>
        <v>0</v>
      </c>
      <c r="W151">
        <f>IF(V151=0,0,_xlfn.XLOOKUP(C151,CLIENT_CODE!B:B,CLIENT_CODE!O:O,0))</f>
        <v>0</v>
      </c>
      <c r="X151">
        <f>_xlfn.XLOOKUP(B151,CRN!G:G,CRN!T:T,"")</f>
        <v>0</v>
      </c>
      <c r="Y151">
        <f>IF(X151=0,0,_xlfn.XLOOKUP(C151,CLIENT_CODE!B:B,CLIENT_CODE!P:P,0))</f>
        <v>0</v>
      </c>
      <c r="Z151">
        <f>_xlfn.XLOOKUP(B151,CRN!G:G,CRN!U:U,"")</f>
        <v>0</v>
      </c>
      <c r="AA151">
        <f>IF(X151=0,0,_xlfn.XLOOKUP(C151,CLIENT_CODE!B:B,CLIENT_CODE!P:P,0))</f>
        <v>0</v>
      </c>
      <c r="AB151">
        <f>_xlfn.XLOOKUP(B151,CRN!G:G,CRN!V:V,"")</f>
        <v>0</v>
      </c>
      <c r="AC151">
        <f>IF(AB151=0,0,_xlfn.XLOOKUP(C151,CLIENT_CODE!B:B,CLIENT_CODE!R:R,0))</f>
        <v>0</v>
      </c>
      <c r="AD151">
        <f t="shared" si="2"/>
        <v>0</v>
      </c>
    </row>
    <row r="152" spans="1:30">
      <c r="A152" s="42">
        <v>151</v>
      </c>
      <c r="E152">
        <f>IF(D152=0,0,_xlfn.XLOOKUP(C152,CLIENT_CODE!B:B,CLIENT_CODE!F:F,0))</f>
        <v>0</v>
      </c>
      <c r="F152">
        <f>_xlfn.XLOOKUP(B152,CRN!G:G,CRN!K:K,"")</f>
        <v>0</v>
      </c>
      <c r="G152">
        <f>IF(F152=0,0,_xlfn.XLOOKUP(C152,CLIENT_CODE!B:B,CLIENT_CODE!G:G,0))</f>
        <v>0</v>
      </c>
      <c r="H152">
        <f>_xlfn.XLOOKUP(B152,CRN!G:G,CRN!L:L,"")</f>
        <v>0</v>
      </c>
      <c r="I152">
        <f>IF(H152=0,0,_xlfn.XLOOKUP(C152,CLIENT_CODE!B:B,CLIENT_CODE!H:H,0))</f>
        <v>0</v>
      </c>
      <c r="J152">
        <f>_xlfn.XLOOKUP(B152,CRN!G:G,CRN!M:M,"")</f>
        <v>0</v>
      </c>
      <c r="K152">
        <f>IF(J152=0,0,_xlfn.XLOOKUP(C152,CLIENT_CODE!B:B,CLIENT_CODE!I:I,0))</f>
        <v>0</v>
      </c>
      <c r="L152">
        <f>_xlfn.XLOOKUP(B152,CRN!G:G,CRN!N:N,"")</f>
        <v>0</v>
      </c>
      <c r="M152">
        <f>IF(L152=0,0,_xlfn.XLOOKUP(C152,CLIENT_CODE!B:B,CLIENT_CODE!J:J,0))</f>
        <v>0</v>
      </c>
      <c r="N152">
        <f>_xlfn.XLOOKUP(B152,CRN!G:G,CRN!O:O,"")</f>
        <v>0</v>
      </c>
      <c r="O152">
        <f>IF(N152=0,0,_xlfn.XLOOKUP(C152,CLIENT_CODE!B:B,CLIENT_CODE!K:K,0))</f>
        <v>0</v>
      </c>
      <c r="P152">
        <f>_xlfn.XLOOKUP(B152,CRN!G:G,CRN!P:P,"")</f>
        <v>0</v>
      </c>
      <c r="Q152">
        <f>IF(P152=0,0,_xlfn.XLOOKUP(C152,CLIENT_CODE!B:B,CLIENT_CODE!L:L,0))</f>
        <v>0</v>
      </c>
      <c r="R152">
        <f>_xlfn.XLOOKUP(B152,CRN!G:G,CRN!Q:Q,"")</f>
        <v>0</v>
      </c>
      <c r="S152">
        <f>IF(R152=0,0,_xlfn.XLOOKUP(C152,CLIENT_CODE!B:B,CLIENT_CODE!M:M,0))</f>
        <v>0</v>
      </c>
      <c r="T152">
        <f>_xlfn.XLOOKUP(B152,CRN!G:G,CRN!R:R,"")</f>
        <v>0</v>
      </c>
      <c r="U152">
        <f>IF(T152=0,0,_xlfn.XLOOKUP(C152,CLIENT_CODE!B:B,CLIENT_CODE!N:N,0))</f>
        <v>0</v>
      </c>
      <c r="V152">
        <f>_xlfn.XLOOKUP(B152,CRN!G:G,CRN!S:S,"")</f>
        <v>0</v>
      </c>
      <c r="W152">
        <f>IF(V152=0,0,_xlfn.XLOOKUP(C152,CLIENT_CODE!B:B,CLIENT_CODE!O:O,0))</f>
        <v>0</v>
      </c>
      <c r="X152">
        <f>_xlfn.XLOOKUP(B152,CRN!G:G,CRN!T:T,"")</f>
        <v>0</v>
      </c>
      <c r="Y152">
        <f>IF(X152=0,0,_xlfn.XLOOKUP(C152,CLIENT_CODE!B:B,CLIENT_CODE!P:P,0))</f>
        <v>0</v>
      </c>
      <c r="Z152">
        <f>_xlfn.XLOOKUP(B152,CRN!G:G,CRN!U:U,"")</f>
        <v>0</v>
      </c>
      <c r="AA152">
        <f>IF(X152=0,0,_xlfn.XLOOKUP(C152,CLIENT_CODE!B:B,CLIENT_CODE!P:P,0))</f>
        <v>0</v>
      </c>
      <c r="AB152">
        <f>_xlfn.XLOOKUP(B152,CRN!G:G,CRN!V:V,"")</f>
        <v>0</v>
      </c>
      <c r="AC152">
        <f>IF(AB152=0,0,_xlfn.XLOOKUP(C152,CLIENT_CODE!B:B,CLIENT_CODE!R:R,0))</f>
        <v>0</v>
      </c>
      <c r="AD152">
        <f t="shared" si="2"/>
        <v>0</v>
      </c>
    </row>
    <row r="153" spans="1:30">
      <c r="A153" s="42">
        <v>152</v>
      </c>
      <c r="E153">
        <f>IF(D153=0,0,_xlfn.XLOOKUP(C153,CLIENT_CODE!B:B,CLIENT_CODE!F:F,0))</f>
        <v>0</v>
      </c>
      <c r="F153">
        <f>_xlfn.XLOOKUP(B153,CRN!G:G,CRN!K:K,"")</f>
        <v>0</v>
      </c>
      <c r="G153">
        <f>IF(F153=0,0,_xlfn.XLOOKUP(C153,CLIENT_CODE!B:B,CLIENT_CODE!G:G,0))</f>
        <v>0</v>
      </c>
      <c r="H153">
        <f>_xlfn.XLOOKUP(B153,CRN!G:G,CRN!L:L,"")</f>
        <v>0</v>
      </c>
      <c r="I153">
        <f>IF(H153=0,0,_xlfn.XLOOKUP(C153,CLIENT_CODE!B:B,CLIENT_CODE!H:H,0))</f>
        <v>0</v>
      </c>
      <c r="J153">
        <f>_xlfn.XLOOKUP(B153,CRN!G:G,CRN!M:M,"")</f>
        <v>0</v>
      </c>
      <c r="K153">
        <f>IF(J153=0,0,_xlfn.XLOOKUP(C153,CLIENT_CODE!B:B,CLIENT_CODE!I:I,0))</f>
        <v>0</v>
      </c>
      <c r="L153">
        <f>_xlfn.XLOOKUP(B153,CRN!G:G,CRN!N:N,"")</f>
        <v>0</v>
      </c>
      <c r="M153">
        <f>IF(L153=0,0,_xlfn.XLOOKUP(C153,CLIENT_CODE!B:B,CLIENT_CODE!J:J,0))</f>
        <v>0</v>
      </c>
      <c r="N153">
        <f>_xlfn.XLOOKUP(B153,CRN!G:G,CRN!O:O,"")</f>
        <v>0</v>
      </c>
      <c r="O153">
        <f>IF(N153=0,0,_xlfn.XLOOKUP(C153,CLIENT_CODE!B:B,CLIENT_CODE!K:K,0))</f>
        <v>0</v>
      </c>
      <c r="P153">
        <f>_xlfn.XLOOKUP(B153,CRN!G:G,CRN!P:P,"")</f>
        <v>0</v>
      </c>
      <c r="Q153">
        <f>IF(P153=0,0,_xlfn.XLOOKUP(C153,CLIENT_CODE!B:B,CLIENT_CODE!L:L,0))</f>
        <v>0</v>
      </c>
      <c r="R153">
        <f>_xlfn.XLOOKUP(B153,CRN!G:G,CRN!Q:Q,"")</f>
        <v>0</v>
      </c>
      <c r="S153">
        <f>IF(R153=0,0,_xlfn.XLOOKUP(C153,CLIENT_CODE!B:B,CLIENT_CODE!M:M,0))</f>
        <v>0</v>
      </c>
      <c r="T153">
        <f>_xlfn.XLOOKUP(B153,CRN!G:G,CRN!R:R,"")</f>
        <v>0</v>
      </c>
      <c r="U153">
        <f>IF(T153=0,0,_xlfn.XLOOKUP(C153,CLIENT_CODE!B:B,CLIENT_CODE!N:N,0))</f>
        <v>0</v>
      </c>
      <c r="V153">
        <f>_xlfn.XLOOKUP(B153,CRN!G:G,CRN!S:S,"")</f>
        <v>0</v>
      </c>
      <c r="W153">
        <f>IF(V153=0,0,_xlfn.XLOOKUP(C153,CLIENT_CODE!B:B,CLIENT_CODE!O:O,0))</f>
        <v>0</v>
      </c>
      <c r="X153">
        <f>_xlfn.XLOOKUP(B153,CRN!G:G,CRN!T:T,"")</f>
        <v>0</v>
      </c>
      <c r="Y153">
        <f>IF(X153=0,0,_xlfn.XLOOKUP(C153,CLIENT_CODE!B:B,CLIENT_CODE!P:P,0))</f>
        <v>0</v>
      </c>
      <c r="Z153">
        <f>_xlfn.XLOOKUP(B153,CRN!G:G,CRN!U:U,"")</f>
        <v>0</v>
      </c>
      <c r="AA153">
        <f>IF(X153=0,0,_xlfn.XLOOKUP(C153,CLIENT_CODE!B:B,CLIENT_CODE!P:P,0))</f>
        <v>0</v>
      </c>
      <c r="AB153">
        <f>_xlfn.XLOOKUP(B153,CRN!G:G,CRN!V:V,"")</f>
        <v>0</v>
      </c>
      <c r="AC153">
        <f>IF(AB153=0,0,_xlfn.XLOOKUP(C153,CLIENT_CODE!B:B,CLIENT_CODE!R:R,0))</f>
        <v>0</v>
      </c>
      <c r="AD153">
        <f t="shared" si="2"/>
        <v>0</v>
      </c>
    </row>
    <row r="154" spans="1:30">
      <c r="A154" s="42">
        <v>153</v>
      </c>
      <c r="E154">
        <f>IF(D154=0,0,_xlfn.XLOOKUP(C154,CLIENT_CODE!B:B,CLIENT_CODE!F:F,0))</f>
        <v>0</v>
      </c>
      <c r="F154">
        <f>_xlfn.XLOOKUP(B154,CRN!G:G,CRN!K:K,"")</f>
        <v>0</v>
      </c>
      <c r="G154">
        <f>IF(F154=0,0,_xlfn.XLOOKUP(C154,CLIENT_CODE!B:B,CLIENT_CODE!G:G,0))</f>
        <v>0</v>
      </c>
      <c r="H154">
        <f>_xlfn.XLOOKUP(B154,CRN!G:G,CRN!L:L,"")</f>
        <v>0</v>
      </c>
      <c r="I154">
        <f>IF(H154=0,0,_xlfn.XLOOKUP(C154,CLIENT_CODE!B:B,CLIENT_CODE!H:H,0))</f>
        <v>0</v>
      </c>
      <c r="J154">
        <f>_xlfn.XLOOKUP(B154,CRN!G:G,CRN!M:M,"")</f>
        <v>0</v>
      </c>
      <c r="K154">
        <f>IF(J154=0,0,_xlfn.XLOOKUP(C154,CLIENT_CODE!B:B,CLIENT_CODE!I:I,0))</f>
        <v>0</v>
      </c>
      <c r="L154">
        <f>_xlfn.XLOOKUP(B154,CRN!G:G,CRN!N:N,"")</f>
        <v>0</v>
      </c>
      <c r="M154">
        <f>IF(L154=0,0,_xlfn.XLOOKUP(C154,CLIENT_CODE!B:B,CLIENT_CODE!J:J,0))</f>
        <v>0</v>
      </c>
      <c r="N154">
        <f>_xlfn.XLOOKUP(B154,CRN!G:G,CRN!O:O,"")</f>
        <v>0</v>
      </c>
      <c r="O154">
        <f>IF(N154=0,0,_xlfn.XLOOKUP(C154,CLIENT_CODE!B:B,CLIENT_CODE!K:K,0))</f>
        <v>0</v>
      </c>
      <c r="P154">
        <f>_xlfn.XLOOKUP(B154,CRN!G:G,CRN!P:P,"")</f>
        <v>0</v>
      </c>
      <c r="Q154">
        <f>IF(P154=0,0,_xlfn.XLOOKUP(C154,CLIENT_CODE!B:B,CLIENT_CODE!L:L,0))</f>
        <v>0</v>
      </c>
      <c r="R154">
        <f>_xlfn.XLOOKUP(B154,CRN!G:G,CRN!Q:Q,"")</f>
        <v>0</v>
      </c>
      <c r="S154">
        <f>IF(R154=0,0,_xlfn.XLOOKUP(C154,CLIENT_CODE!B:B,CLIENT_CODE!M:M,0))</f>
        <v>0</v>
      </c>
      <c r="T154">
        <f>_xlfn.XLOOKUP(B154,CRN!G:G,CRN!R:R,"")</f>
        <v>0</v>
      </c>
      <c r="U154">
        <f>IF(T154=0,0,_xlfn.XLOOKUP(C154,CLIENT_CODE!B:B,CLIENT_CODE!N:N,0))</f>
        <v>0</v>
      </c>
      <c r="V154">
        <f>_xlfn.XLOOKUP(B154,CRN!G:G,CRN!S:S,"")</f>
        <v>0</v>
      </c>
      <c r="W154">
        <f>IF(V154=0,0,_xlfn.XLOOKUP(C154,CLIENT_CODE!B:B,CLIENT_CODE!O:O,0))</f>
        <v>0</v>
      </c>
      <c r="X154">
        <f>_xlfn.XLOOKUP(B154,CRN!G:G,CRN!T:T,"")</f>
        <v>0</v>
      </c>
      <c r="Y154">
        <f>IF(X154=0,0,_xlfn.XLOOKUP(C154,CLIENT_CODE!B:B,CLIENT_CODE!P:P,0))</f>
        <v>0</v>
      </c>
      <c r="Z154">
        <f>_xlfn.XLOOKUP(B154,CRN!G:G,CRN!U:U,"")</f>
        <v>0</v>
      </c>
      <c r="AA154">
        <f>IF(X154=0,0,_xlfn.XLOOKUP(C154,CLIENT_CODE!B:B,CLIENT_CODE!P:P,0))</f>
        <v>0</v>
      </c>
      <c r="AB154">
        <f>_xlfn.XLOOKUP(B154,CRN!G:G,CRN!V:V,"")</f>
        <v>0</v>
      </c>
      <c r="AC154">
        <f>IF(AB154=0,0,_xlfn.XLOOKUP(C154,CLIENT_CODE!B:B,CLIENT_CODE!R:R,0))</f>
        <v>0</v>
      </c>
      <c r="AD154">
        <f t="shared" si="2"/>
        <v>0</v>
      </c>
    </row>
    <row r="155" spans="1:30">
      <c r="A155" s="42">
        <v>154</v>
      </c>
      <c r="E155">
        <f>IF(D155=0,0,_xlfn.XLOOKUP(C155,CLIENT_CODE!B:B,CLIENT_CODE!F:F,0))</f>
        <v>0</v>
      </c>
      <c r="F155">
        <f>_xlfn.XLOOKUP(B155,CRN!G:G,CRN!K:K,"")</f>
        <v>0</v>
      </c>
      <c r="G155">
        <f>IF(F155=0,0,_xlfn.XLOOKUP(C155,CLIENT_CODE!B:B,CLIENT_CODE!G:G,0))</f>
        <v>0</v>
      </c>
      <c r="H155">
        <f>_xlfn.XLOOKUP(B155,CRN!G:G,CRN!L:L,"")</f>
        <v>0</v>
      </c>
      <c r="I155">
        <f>IF(H155=0,0,_xlfn.XLOOKUP(C155,CLIENT_CODE!B:B,CLIENT_CODE!H:H,0))</f>
        <v>0</v>
      </c>
      <c r="J155">
        <f>_xlfn.XLOOKUP(B155,CRN!G:G,CRN!M:M,"")</f>
        <v>0</v>
      </c>
      <c r="K155">
        <f>IF(J155=0,0,_xlfn.XLOOKUP(C155,CLIENT_CODE!B:B,CLIENT_CODE!I:I,0))</f>
        <v>0</v>
      </c>
      <c r="L155">
        <f>_xlfn.XLOOKUP(B155,CRN!G:G,CRN!N:N,"")</f>
        <v>0</v>
      </c>
      <c r="M155">
        <f>IF(L155=0,0,_xlfn.XLOOKUP(C155,CLIENT_CODE!B:B,CLIENT_CODE!J:J,0))</f>
        <v>0</v>
      </c>
      <c r="N155">
        <f>_xlfn.XLOOKUP(B155,CRN!G:G,CRN!O:O,"")</f>
        <v>0</v>
      </c>
      <c r="O155">
        <f>IF(N155=0,0,_xlfn.XLOOKUP(C155,CLIENT_CODE!B:B,CLIENT_CODE!K:K,0))</f>
        <v>0</v>
      </c>
      <c r="P155">
        <f>_xlfn.XLOOKUP(B155,CRN!G:G,CRN!P:P,"")</f>
        <v>0</v>
      </c>
      <c r="Q155">
        <f>IF(P155=0,0,_xlfn.XLOOKUP(C155,CLIENT_CODE!B:B,CLIENT_CODE!L:L,0))</f>
        <v>0</v>
      </c>
      <c r="R155">
        <f>_xlfn.XLOOKUP(B155,CRN!G:G,CRN!Q:Q,"")</f>
        <v>0</v>
      </c>
      <c r="S155">
        <f>IF(R155=0,0,_xlfn.XLOOKUP(C155,CLIENT_CODE!B:B,CLIENT_CODE!M:M,0))</f>
        <v>0</v>
      </c>
      <c r="T155">
        <f>_xlfn.XLOOKUP(B155,CRN!G:G,CRN!R:R,"")</f>
        <v>0</v>
      </c>
      <c r="U155">
        <f>IF(T155=0,0,_xlfn.XLOOKUP(C155,CLIENT_CODE!B:B,CLIENT_CODE!N:N,0))</f>
        <v>0</v>
      </c>
      <c r="V155">
        <f>_xlfn.XLOOKUP(B155,CRN!G:G,CRN!S:S,"")</f>
        <v>0</v>
      </c>
      <c r="W155">
        <f>IF(V155=0,0,_xlfn.XLOOKUP(C155,CLIENT_CODE!B:B,CLIENT_CODE!O:O,0))</f>
        <v>0</v>
      </c>
      <c r="X155">
        <f>_xlfn.XLOOKUP(B155,CRN!G:G,CRN!T:T,"")</f>
        <v>0</v>
      </c>
      <c r="Y155">
        <f>IF(X155=0,0,_xlfn.XLOOKUP(C155,CLIENT_CODE!B:B,CLIENT_CODE!P:P,0))</f>
        <v>0</v>
      </c>
      <c r="Z155">
        <f>_xlfn.XLOOKUP(B155,CRN!G:G,CRN!U:U,"")</f>
        <v>0</v>
      </c>
      <c r="AA155">
        <f>IF(X155=0,0,_xlfn.XLOOKUP(C155,CLIENT_CODE!B:B,CLIENT_CODE!P:P,0))</f>
        <v>0</v>
      </c>
      <c r="AB155">
        <f>_xlfn.XLOOKUP(B155,CRN!G:G,CRN!V:V,"")</f>
        <v>0</v>
      </c>
      <c r="AC155">
        <f>IF(AB155=0,0,_xlfn.XLOOKUP(C155,CLIENT_CODE!B:B,CLIENT_CODE!R:R,0))</f>
        <v>0</v>
      </c>
      <c r="AD155">
        <f t="shared" si="2"/>
        <v>0</v>
      </c>
    </row>
    <row r="156" spans="1:30">
      <c r="A156" s="42">
        <v>155</v>
      </c>
      <c r="E156">
        <f>IF(D156=0,0,_xlfn.XLOOKUP(C156,CLIENT_CODE!B:B,CLIENT_CODE!F:F,0))</f>
        <v>0</v>
      </c>
      <c r="F156">
        <f>_xlfn.XLOOKUP(B156,CRN!G:G,CRN!K:K,"")</f>
        <v>0</v>
      </c>
      <c r="G156">
        <f>IF(F156=0,0,_xlfn.XLOOKUP(C156,CLIENT_CODE!B:B,CLIENT_CODE!G:G,0))</f>
        <v>0</v>
      </c>
      <c r="H156">
        <f>_xlfn.XLOOKUP(B156,CRN!G:G,CRN!L:L,"")</f>
        <v>0</v>
      </c>
      <c r="I156">
        <f>IF(H156=0,0,_xlfn.XLOOKUP(C156,CLIENT_CODE!B:B,CLIENT_CODE!H:H,0))</f>
        <v>0</v>
      </c>
      <c r="J156">
        <f>_xlfn.XLOOKUP(B156,CRN!G:G,CRN!M:M,"")</f>
        <v>0</v>
      </c>
      <c r="K156">
        <f>IF(J156=0,0,_xlfn.XLOOKUP(C156,CLIENT_CODE!B:B,CLIENT_CODE!I:I,0))</f>
        <v>0</v>
      </c>
      <c r="L156">
        <f>_xlfn.XLOOKUP(B156,CRN!G:G,CRN!N:N,"")</f>
        <v>0</v>
      </c>
      <c r="M156">
        <f>IF(L156=0,0,_xlfn.XLOOKUP(C156,CLIENT_CODE!B:B,CLIENT_CODE!J:J,0))</f>
        <v>0</v>
      </c>
      <c r="N156">
        <f>_xlfn.XLOOKUP(B156,CRN!G:G,CRN!O:O,"")</f>
        <v>0</v>
      </c>
      <c r="O156">
        <f>IF(N156=0,0,_xlfn.XLOOKUP(C156,CLIENT_CODE!B:B,CLIENT_CODE!K:K,0))</f>
        <v>0</v>
      </c>
      <c r="P156">
        <f>_xlfn.XLOOKUP(B156,CRN!G:G,CRN!P:P,"")</f>
        <v>0</v>
      </c>
      <c r="Q156">
        <f>IF(P156=0,0,_xlfn.XLOOKUP(C156,CLIENT_CODE!B:B,CLIENT_CODE!L:L,0))</f>
        <v>0</v>
      </c>
      <c r="R156">
        <f>_xlfn.XLOOKUP(B156,CRN!G:G,CRN!Q:Q,"")</f>
        <v>0</v>
      </c>
      <c r="S156">
        <f>IF(R156=0,0,_xlfn.XLOOKUP(C156,CLIENT_CODE!B:B,CLIENT_CODE!M:M,0))</f>
        <v>0</v>
      </c>
      <c r="T156">
        <f>_xlfn.XLOOKUP(B156,CRN!G:G,CRN!R:R,"")</f>
        <v>0</v>
      </c>
      <c r="U156">
        <f>IF(T156=0,0,_xlfn.XLOOKUP(C156,CLIENT_CODE!B:B,CLIENT_CODE!N:N,0))</f>
        <v>0</v>
      </c>
      <c r="V156">
        <f>_xlfn.XLOOKUP(B156,CRN!G:G,CRN!S:S,"")</f>
        <v>0</v>
      </c>
      <c r="W156">
        <f>IF(V156=0,0,_xlfn.XLOOKUP(C156,CLIENT_CODE!B:B,CLIENT_CODE!O:O,0))</f>
        <v>0</v>
      </c>
      <c r="X156">
        <f>_xlfn.XLOOKUP(B156,CRN!G:G,CRN!T:T,"")</f>
        <v>0</v>
      </c>
      <c r="Y156">
        <f>IF(X156=0,0,_xlfn.XLOOKUP(C156,CLIENT_CODE!B:B,CLIENT_CODE!P:P,0))</f>
        <v>0</v>
      </c>
      <c r="Z156">
        <f>_xlfn.XLOOKUP(B156,CRN!G:G,CRN!U:U,"")</f>
        <v>0</v>
      </c>
      <c r="AA156">
        <f>IF(X156=0,0,_xlfn.XLOOKUP(C156,CLIENT_CODE!B:B,CLIENT_CODE!P:P,0))</f>
        <v>0</v>
      </c>
      <c r="AB156">
        <f>_xlfn.XLOOKUP(B156,CRN!G:G,CRN!V:V,"")</f>
        <v>0</v>
      </c>
      <c r="AC156">
        <f>IF(AB156=0,0,_xlfn.XLOOKUP(C156,CLIENT_CODE!B:B,CLIENT_CODE!R:R,0))</f>
        <v>0</v>
      </c>
      <c r="AD156">
        <f t="shared" si="2"/>
        <v>0</v>
      </c>
    </row>
    <row r="157" spans="1:30">
      <c r="A157" s="42">
        <v>156</v>
      </c>
      <c r="E157">
        <f>IF(D157=0,0,_xlfn.XLOOKUP(C157,CLIENT_CODE!B:B,CLIENT_CODE!F:F,0))</f>
        <v>0</v>
      </c>
      <c r="F157">
        <f>_xlfn.XLOOKUP(B157,CRN!G:G,CRN!K:K,"")</f>
        <v>0</v>
      </c>
      <c r="G157">
        <f>IF(F157=0,0,_xlfn.XLOOKUP(C157,CLIENT_CODE!B:B,CLIENT_CODE!G:G,0))</f>
        <v>0</v>
      </c>
      <c r="H157">
        <f>_xlfn.XLOOKUP(B157,CRN!G:G,CRN!L:L,"")</f>
        <v>0</v>
      </c>
      <c r="I157">
        <f>IF(H157=0,0,_xlfn.XLOOKUP(C157,CLIENT_CODE!B:B,CLIENT_CODE!H:H,0))</f>
        <v>0</v>
      </c>
      <c r="J157">
        <f>_xlfn.XLOOKUP(B157,CRN!G:G,CRN!M:M,"")</f>
        <v>0</v>
      </c>
      <c r="K157">
        <f>IF(J157=0,0,_xlfn.XLOOKUP(C157,CLIENT_CODE!B:B,CLIENT_CODE!I:I,0))</f>
        <v>0</v>
      </c>
      <c r="L157">
        <f>_xlfn.XLOOKUP(B157,CRN!G:G,CRN!N:N,"")</f>
        <v>0</v>
      </c>
      <c r="M157">
        <f>IF(L157=0,0,_xlfn.XLOOKUP(C157,CLIENT_CODE!B:B,CLIENT_CODE!J:J,0))</f>
        <v>0</v>
      </c>
      <c r="N157">
        <f>_xlfn.XLOOKUP(B157,CRN!G:G,CRN!O:O,"")</f>
        <v>0</v>
      </c>
      <c r="O157">
        <f>IF(N157=0,0,_xlfn.XLOOKUP(C157,CLIENT_CODE!B:B,CLIENT_CODE!K:K,0))</f>
        <v>0</v>
      </c>
      <c r="P157">
        <f>_xlfn.XLOOKUP(B157,CRN!G:G,CRN!P:P,"")</f>
        <v>0</v>
      </c>
      <c r="Q157">
        <f>IF(P157=0,0,_xlfn.XLOOKUP(C157,CLIENT_CODE!B:B,CLIENT_CODE!L:L,0))</f>
        <v>0</v>
      </c>
      <c r="R157">
        <f>_xlfn.XLOOKUP(B157,CRN!G:G,CRN!Q:Q,"")</f>
        <v>0</v>
      </c>
      <c r="S157">
        <f>IF(R157=0,0,_xlfn.XLOOKUP(C157,CLIENT_CODE!B:B,CLIENT_CODE!M:M,0))</f>
        <v>0</v>
      </c>
      <c r="T157">
        <f>_xlfn.XLOOKUP(B157,CRN!G:G,CRN!R:R,"")</f>
        <v>0</v>
      </c>
      <c r="U157">
        <f>IF(T157=0,0,_xlfn.XLOOKUP(C157,CLIENT_CODE!B:B,CLIENT_CODE!N:N,0))</f>
        <v>0</v>
      </c>
      <c r="V157">
        <f>_xlfn.XLOOKUP(B157,CRN!G:G,CRN!S:S,"")</f>
        <v>0</v>
      </c>
      <c r="W157">
        <f>IF(V157=0,0,_xlfn.XLOOKUP(C157,CLIENT_CODE!B:B,CLIENT_CODE!O:O,0))</f>
        <v>0</v>
      </c>
      <c r="X157">
        <f>_xlfn.XLOOKUP(B157,CRN!G:G,CRN!T:T,"")</f>
        <v>0</v>
      </c>
      <c r="Y157">
        <f>IF(X157=0,0,_xlfn.XLOOKUP(C157,CLIENT_CODE!B:B,CLIENT_CODE!P:P,0))</f>
        <v>0</v>
      </c>
      <c r="Z157">
        <f>_xlfn.XLOOKUP(B157,CRN!G:G,CRN!U:U,"")</f>
        <v>0</v>
      </c>
      <c r="AA157">
        <f>IF(X157=0,0,_xlfn.XLOOKUP(C157,CLIENT_CODE!B:B,CLIENT_CODE!P:P,0))</f>
        <v>0</v>
      </c>
      <c r="AB157">
        <f>_xlfn.XLOOKUP(B157,CRN!G:G,CRN!V:V,"")</f>
        <v>0</v>
      </c>
      <c r="AC157">
        <f>IF(AB157=0,0,_xlfn.XLOOKUP(C157,CLIENT_CODE!B:B,CLIENT_CODE!R:R,0))</f>
        <v>0</v>
      </c>
      <c r="AD157">
        <f t="shared" si="2"/>
        <v>0</v>
      </c>
    </row>
    <row r="158" spans="1:30">
      <c r="A158" s="42">
        <v>157</v>
      </c>
      <c r="E158">
        <f>IF(D158=0,0,_xlfn.XLOOKUP(C158,CLIENT_CODE!B:B,CLIENT_CODE!F:F,0))</f>
        <v>0</v>
      </c>
      <c r="F158">
        <f>_xlfn.XLOOKUP(B158,CRN!G:G,CRN!K:K,"")</f>
        <v>0</v>
      </c>
      <c r="G158">
        <f>IF(F158=0,0,_xlfn.XLOOKUP(C158,CLIENT_CODE!B:B,CLIENT_CODE!G:G,0))</f>
        <v>0</v>
      </c>
      <c r="H158">
        <f>_xlfn.XLOOKUP(B158,CRN!G:G,CRN!L:L,"")</f>
        <v>0</v>
      </c>
      <c r="I158">
        <f>IF(H158=0,0,_xlfn.XLOOKUP(C158,CLIENT_CODE!B:B,CLIENT_CODE!H:H,0))</f>
        <v>0</v>
      </c>
      <c r="J158">
        <f>_xlfn.XLOOKUP(B158,CRN!G:G,CRN!M:M,"")</f>
        <v>0</v>
      </c>
      <c r="K158">
        <f>IF(J158=0,0,_xlfn.XLOOKUP(C158,CLIENT_CODE!B:B,CLIENT_CODE!I:I,0))</f>
        <v>0</v>
      </c>
      <c r="L158">
        <f>_xlfn.XLOOKUP(B158,CRN!G:G,CRN!N:N,"")</f>
        <v>0</v>
      </c>
      <c r="M158">
        <f>IF(L158=0,0,_xlfn.XLOOKUP(C158,CLIENT_CODE!B:B,CLIENT_CODE!J:J,0))</f>
        <v>0</v>
      </c>
      <c r="N158">
        <f>_xlfn.XLOOKUP(B158,CRN!G:G,CRN!O:O,"")</f>
        <v>0</v>
      </c>
      <c r="O158">
        <f>IF(N158=0,0,_xlfn.XLOOKUP(C158,CLIENT_CODE!B:B,CLIENT_CODE!K:K,0))</f>
        <v>0</v>
      </c>
      <c r="P158">
        <f>_xlfn.XLOOKUP(B158,CRN!G:G,CRN!P:P,"")</f>
        <v>0</v>
      </c>
      <c r="Q158">
        <f>IF(P158=0,0,_xlfn.XLOOKUP(C158,CLIENT_CODE!B:B,CLIENT_CODE!L:L,0))</f>
        <v>0</v>
      </c>
      <c r="R158">
        <f>_xlfn.XLOOKUP(B158,CRN!G:G,CRN!Q:Q,"")</f>
        <v>0</v>
      </c>
      <c r="S158">
        <f>IF(R158=0,0,_xlfn.XLOOKUP(C158,CLIENT_CODE!B:B,CLIENT_CODE!M:M,0))</f>
        <v>0</v>
      </c>
      <c r="T158">
        <f>_xlfn.XLOOKUP(B158,CRN!G:G,CRN!R:R,"")</f>
        <v>0</v>
      </c>
      <c r="U158">
        <f>IF(T158=0,0,_xlfn.XLOOKUP(C158,CLIENT_CODE!B:B,CLIENT_CODE!N:N,0))</f>
        <v>0</v>
      </c>
      <c r="V158">
        <f>_xlfn.XLOOKUP(B158,CRN!G:G,CRN!S:S,"")</f>
        <v>0</v>
      </c>
      <c r="W158">
        <f>IF(V158=0,0,_xlfn.XLOOKUP(C158,CLIENT_CODE!B:B,CLIENT_CODE!O:O,0))</f>
        <v>0</v>
      </c>
      <c r="X158">
        <f>_xlfn.XLOOKUP(B158,CRN!G:G,CRN!T:T,"")</f>
        <v>0</v>
      </c>
      <c r="Y158">
        <f>IF(X158=0,0,_xlfn.XLOOKUP(C158,CLIENT_CODE!B:B,CLIENT_CODE!P:P,0))</f>
        <v>0</v>
      </c>
      <c r="Z158">
        <f>_xlfn.XLOOKUP(B158,CRN!G:G,CRN!U:U,"")</f>
        <v>0</v>
      </c>
      <c r="AA158">
        <f>IF(X158=0,0,_xlfn.XLOOKUP(C158,CLIENT_CODE!B:B,CLIENT_CODE!P:P,0))</f>
        <v>0</v>
      </c>
      <c r="AB158">
        <f>_xlfn.XLOOKUP(B158,CRN!G:G,CRN!V:V,"")</f>
        <v>0</v>
      </c>
      <c r="AC158">
        <f>IF(AB158=0,0,_xlfn.XLOOKUP(C158,CLIENT_CODE!B:B,CLIENT_CODE!R:R,0))</f>
        <v>0</v>
      </c>
      <c r="AD158">
        <f t="shared" si="2"/>
        <v>0</v>
      </c>
    </row>
    <row r="159" spans="1:30">
      <c r="A159" s="42">
        <v>158</v>
      </c>
      <c r="E159">
        <f>IF(D159=0,0,_xlfn.XLOOKUP(C159,CLIENT_CODE!B:B,CLIENT_CODE!F:F,0))</f>
        <v>0</v>
      </c>
      <c r="F159">
        <f>_xlfn.XLOOKUP(B159,CRN!G:G,CRN!K:K,"")</f>
        <v>0</v>
      </c>
      <c r="G159">
        <f>IF(F159=0,0,_xlfn.XLOOKUP(C159,CLIENT_CODE!B:B,CLIENT_CODE!G:G,0))</f>
        <v>0</v>
      </c>
      <c r="H159">
        <f>_xlfn.XLOOKUP(B159,CRN!G:G,CRN!L:L,"")</f>
        <v>0</v>
      </c>
      <c r="I159">
        <f>IF(H159=0,0,_xlfn.XLOOKUP(C159,CLIENT_CODE!B:B,CLIENT_CODE!H:H,0))</f>
        <v>0</v>
      </c>
      <c r="J159">
        <f>_xlfn.XLOOKUP(B159,CRN!G:G,CRN!M:M,"")</f>
        <v>0</v>
      </c>
      <c r="K159">
        <f>IF(J159=0,0,_xlfn.XLOOKUP(C159,CLIENT_CODE!B:B,CLIENT_CODE!I:I,0))</f>
        <v>0</v>
      </c>
      <c r="L159">
        <f>_xlfn.XLOOKUP(B159,CRN!G:G,CRN!N:N,"")</f>
        <v>0</v>
      </c>
      <c r="M159">
        <f>IF(L159=0,0,_xlfn.XLOOKUP(C159,CLIENT_CODE!B:B,CLIENT_CODE!J:J,0))</f>
        <v>0</v>
      </c>
      <c r="N159">
        <f>_xlfn.XLOOKUP(B159,CRN!G:G,CRN!O:O,"")</f>
        <v>0</v>
      </c>
      <c r="O159">
        <f>IF(N159=0,0,_xlfn.XLOOKUP(C159,CLIENT_CODE!B:B,CLIENT_CODE!K:K,0))</f>
        <v>0</v>
      </c>
      <c r="P159">
        <f>_xlfn.XLOOKUP(B159,CRN!G:G,CRN!P:P,"")</f>
        <v>0</v>
      </c>
      <c r="Q159">
        <f>IF(P159=0,0,_xlfn.XLOOKUP(C159,CLIENT_CODE!B:B,CLIENT_CODE!L:L,0))</f>
        <v>0</v>
      </c>
      <c r="R159">
        <f>_xlfn.XLOOKUP(B159,CRN!G:G,CRN!Q:Q,"")</f>
        <v>0</v>
      </c>
      <c r="S159">
        <f>IF(R159=0,0,_xlfn.XLOOKUP(C159,CLIENT_CODE!B:B,CLIENT_CODE!M:M,0))</f>
        <v>0</v>
      </c>
      <c r="T159">
        <f>_xlfn.XLOOKUP(B159,CRN!G:G,CRN!R:R,"")</f>
        <v>0</v>
      </c>
      <c r="U159">
        <f>IF(T159=0,0,_xlfn.XLOOKUP(C159,CLIENT_CODE!B:B,CLIENT_CODE!N:N,0))</f>
        <v>0</v>
      </c>
      <c r="V159">
        <f>_xlfn.XLOOKUP(B159,CRN!G:G,CRN!S:S,"")</f>
        <v>0</v>
      </c>
      <c r="W159">
        <f>IF(V159=0,0,_xlfn.XLOOKUP(C159,CLIENT_CODE!B:B,CLIENT_CODE!O:O,0))</f>
        <v>0</v>
      </c>
      <c r="X159">
        <f>_xlfn.XLOOKUP(B159,CRN!G:G,CRN!T:T,"")</f>
        <v>0</v>
      </c>
      <c r="Y159">
        <f>IF(X159=0,0,_xlfn.XLOOKUP(C159,CLIENT_CODE!B:B,CLIENT_CODE!P:P,0))</f>
        <v>0</v>
      </c>
      <c r="Z159">
        <f>_xlfn.XLOOKUP(B159,CRN!G:G,CRN!U:U,"")</f>
        <v>0</v>
      </c>
      <c r="AA159">
        <f>IF(X159=0,0,_xlfn.XLOOKUP(C159,CLIENT_CODE!B:B,CLIENT_CODE!P:P,0))</f>
        <v>0</v>
      </c>
      <c r="AB159">
        <f>_xlfn.XLOOKUP(B159,CRN!G:G,CRN!V:V,"")</f>
        <v>0</v>
      </c>
      <c r="AC159">
        <f>IF(AB159=0,0,_xlfn.XLOOKUP(C159,CLIENT_CODE!B:B,CLIENT_CODE!R:R,0))</f>
        <v>0</v>
      </c>
      <c r="AD159">
        <f t="shared" si="2"/>
        <v>0</v>
      </c>
    </row>
    <row r="160" spans="1:30">
      <c r="A160" s="42">
        <v>159</v>
      </c>
      <c r="E160">
        <f>IF(D160=0,0,_xlfn.XLOOKUP(C160,CLIENT_CODE!B:B,CLIENT_CODE!F:F,0))</f>
        <v>0</v>
      </c>
      <c r="F160">
        <f>_xlfn.XLOOKUP(B160,CRN!G:G,CRN!K:K,"")</f>
        <v>0</v>
      </c>
      <c r="G160">
        <f>IF(F160=0,0,_xlfn.XLOOKUP(C160,CLIENT_CODE!B:B,CLIENT_CODE!G:G,0))</f>
        <v>0</v>
      </c>
      <c r="H160">
        <f>_xlfn.XLOOKUP(B160,CRN!G:G,CRN!L:L,"")</f>
        <v>0</v>
      </c>
      <c r="I160">
        <f>IF(H160=0,0,_xlfn.XLOOKUP(C160,CLIENT_CODE!B:B,CLIENT_CODE!H:H,0))</f>
        <v>0</v>
      </c>
      <c r="J160">
        <f>_xlfn.XLOOKUP(B160,CRN!G:G,CRN!M:M,"")</f>
        <v>0</v>
      </c>
      <c r="K160">
        <f>IF(J160=0,0,_xlfn.XLOOKUP(C160,CLIENT_CODE!B:B,CLIENT_CODE!I:I,0))</f>
        <v>0</v>
      </c>
      <c r="L160">
        <f>_xlfn.XLOOKUP(B160,CRN!G:G,CRN!N:N,"")</f>
        <v>0</v>
      </c>
      <c r="M160">
        <f>IF(L160=0,0,_xlfn.XLOOKUP(C160,CLIENT_CODE!B:B,CLIENT_CODE!J:J,0))</f>
        <v>0</v>
      </c>
      <c r="N160">
        <f>_xlfn.XLOOKUP(B160,CRN!G:G,CRN!O:O,"")</f>
        <v>0</v>
      </c>
      <c r="O160">
        <f>IF(N160=0,0,_xlfn.XLOOKUP(C160,CLIENT_CODE!B:B,CLIENT_CODE!K:K,0))</f>
        <v>0</v>
      </c>
      <c r="P160">
        <f>_xlfn.XLOOKUP(B160,CRN!G:G,CRN!P:P,"")</f>
        <v>0</v>
      </c>
      <c r="Q160">
        <f>IF(P160=0,0,_xlfn.XLOOKUP(C160,CLIENT_CODE!B:B,CLIENT_CODE!L:L,0))</f>
        <v>0</v>
      </c>
      <c r="R160">
        <f>_xlfn.XLOOKUP(B160,CRN!G:G,CRN!Q:Q,"")</f>
        <v>0</v>
      </c>
      <c r="S160">
        <f>IF(R160=0,0,_xlfn.XLOOKUP(C160,CLIENT_CODE!B:B,CLIENT_CODE!M:M,0))</f>
        <v>0</v>
      </c>
      <c r="T160">
        <f>_xlfn.XLOOKUP(B160,CRN!G:G,CRN!R:R,"")</f>
        <v>0</v>
      </c>
      <c r="U160">
        <f>IF(T160=0,0,_xlfn.XLOOKUP(C160,CLIENT_CODE!B:B,CLIENT_CODE!N:N,0))</f>
        <v>0</v>
      </c>
      <c r="V160">
        <f>_xlfn.XLOOKUP(B160,CRN!G:G,CRN!S:S,"")</f>
        <v>0</v>
      </c>
      <c r="W160">
        <f>IF(V160=0,0,_xlfn.XLOOKUP(C160,CLIENT_CODE!B:B,CLIENT_CODE!O:O,0))</f>
        <v>0</v>
      </c>
      <c r="X160">
        <f>_xlfn.XLOOKUP(B160,CRN!G:G,CRN!T:T,"")</f>
        <v>0</v>
      </c>
      <c r="Y160">
        <f>IF(X160=0,0,_xlfn.XLOOKUP(C160,CLIENT_CODE!B:B,CLIENT_CODE!P:P,0))</f>
        <v>0</v>
      </c>
      <c r="Z160">
        <f>_xlfn.XLOOKUP(B160,CRN!G:G,CRN!U:U,"")</f>
        <v>0</v>
      </c>
      <c r="AA160">
        <f>IF(X160=0,0,_xlfn.XLOOKUP(C160,CLIENT_CODE!B:B,CLIENT_CODE!P:P,0))</f>
        <v>0</v>
      </c>
      <c r="AB160">
        <f>_xlfn.XLOOKUP(B160,CRN!G:G,CRN!V:V,"")</f>
        <v>0</v>
      </c>
      <c r="AC160">
        <f>IF(AB160=0,0,_xlfn.XLOOKUP(C160,CLIENT_CODE!B:B,CLIENT_CODE!R:R,0))</f>
        <v>0</v>
      </c>
      <c r="AD160">
        <f t="shared" si="2"/>
        <v>0</v>
      </c>
    </row>
    <row r="161" spans="1:30">
      <c r="A161" s="42">
        <v>160</v>
      </c>
      <c r="E161">
        <f>IF(D161=0,0,_xlfn.XLOOKUP(C161,CLIENT_CODE!B:B,CLIENT_CODE!F:F,0))</f>
        <v>0</v>
      </c>
      <c r="F161">
        <f>_xlfn.XLOOKUP(B161,CRN!G:G,CRN!K:K,"")</f>
        <v>0</v>
      </c>
      <c r="G161">
        <f>IF(F161=0,0,_xlfn.XLOOKUP(C161,CLIENT_CODE!B:B,CLIENT_CODE!G:G,0))</f>
        <v>0</v>
      </c>
      <c r="H161">
        <f>_xlfn.XLOOKUP(B161,CRN!G:G,CRN!L:L,"")</f>
        <v>0</v>
      </c>
      <c r="I161">
        <f>IF(H161=0,0,_xlfn.XLOOKUP(C161,CLIENT_CODE!B:B,CLIENT_CODE!H:H,0))</f>
        <v>0</v>
      </c>
      <c r="J161">
        <f>_xlfn.XLOOKUP(B161,CRN!G:G,CRN!M:M,"")</f>
        <v>0</v>
      </c>
      <c r="K161">
        <f>IF(J161=0,0,_xlfn.XLOOKUP(C161,CLIENT_CODE!B:B,CLIENT_CODE!I:I,0))</f>
        <v>0</v>
      </c>
      <c r="L161">
        <f>_xlfn.XLOOKUP(B161,CRN!G:G,CRN!N:N,"")</f>
        <v>0</v>
      </c>
      <c r="M161">
        <f>IF(L161=0,0,_xlfn.XLOOKUP(C161,CLIENT_CODE!B:B,CLIENT_CODE!J:J,0))</f>
        <v>0</v>
      </c>
      <c r="N161">
        <f>_xlfn.XLOOKUP(B161,CRN!G:G,CRN!O:O,"")</f>
        <v>0</v>
      </c>
      <c r="O161">
        <f>IF(N161=0,0,_xlfn.XLOOKUP(C161,CLIENT_CODE!B:B,CLIENT_CODE!K:K,0))</f>
        <v>0</v>
      </c>
      <c r="P161">
        <f>_xlfn.XLOOKUP(B161,CRN!G:G,CRN!P:P,"")</f>
        <v>0</v>
      </c>
      <c r="Q161">
        <f>IF(P161=0,0,_xlfn.XLOOKUP(C161,CLIENT_CODE!B:B,CLIENT_CODE!L:L,0))</f>
        <v>0</v>
      </c>
      <c r="R161">
        <f>_xlfn.XLOOKUP(B161,CRN!G:G,CRN!Q:Q,"")</f>
        <v>0</v>
      </c>
      <c r="S161">
        <f>IF(R161=0,0,_xlfn.XLOOKUP(C161,CLIENT_CODE!B:B,CLIENT_CODE!M:M,0))</f>
        <v>0</v>
      </c>
      <c r="T161">
        <f>_xlfn.XLOOKUP(B161,CRN!G:G,CRN!R:R,"")</f>
        <v>0</v>
      </c>
      <c r="U161">
        <f>IF(T161=0,0,_xlfn.XLOOKUP(C161,CLIENT_CODE!B:B,CLIENT_CODE!N:N,0))</f>
        <v>0</v>
      </c>
      <c r="V161">
        <f>_xlfn.XLOOKUP(B161,CRN!G:G,CRN!S:S,"")</f>
        <v>0</v>
      </c>
      <c r="W161">
        <f>IF(V161=0,0,_xlfn.XLOOKUP(C161,CLIENT_CODE!B:B,CLIENT_CODE!O:O,0))</f>
        <v>0</v>
      </c>
      <c r="X161">
        <f>_xlfn.XLOOKUP(B161,CRN!G:G,CRN!T:T,"")</f>
        <v>0</v>
      </c>
      <c r="Y161">
        <f>IF(X161=0,0,_xlfn.XLOOKUP(C161,CLIENT_CODE!B:B,CLIENT_CODE!P:P,0))</f>
        <v>0</v>
      </c>
      <c r="Z161">
        <f>_xlfn.XLOOKUP(B161,CRN!G:G,CRN!U:U,"")</f>
        <v>0</v>
      </c>
      <c r="AA161">
        <f>IF(X161=0,0,_xlfn.XLOOKUP(C161,CLIENT_CODE!B:B,CLIENT_CODE!P:P,0))</f>
        <v>0</v>
      </c>
      <c r="AB161">
        <f>_xlfn.XLOOKUP(B161,CRN!G:G,CRN!V:V,"")</f>
        <v>0</v>
      </c>
      <c r="AC161">
        <f>IF(AB161=0,0,_xlfn.XLOOKUP(C161,CLIENT_CODE!B:B,CLIENT_CODE!R:R,0))</f>
        <v>0</v>
      </c>
      <c r="AD161">
        <f t="shared" si="2"/>
        <v>0</v>
      </c>
    </row>
    <row r="162" spans="1:30">
      <c r="A162" s="42">
        <v>161</v>
      </c>
      <c r="E162">
        <f>IF(D162=0,0,_xlfn.XLOOKUP(C162,CLIENT_CODE!B:B,CLIENT_CODE!F:F,0))</f>
        <v>0</v>
      </c>
      <c r="F162">
        <f>_xlfn.XLOOKUP(B162,CRN!G:G,CRN!K:K,"")</f>
        <v>0</v>
      </c>
      <c r="G162">
        <f>IF(F162=0,0,_xlfn.XLOOKUP(C162,CLIENT_CODE!B:B,CLIENT_CODE!G:G,0))</f>
        <v>0</v>
      </c>
      <c r="H162">
        <f>_xlfn.XLOOKUP(B162,CRN!G:G,CRN!L:L,"")</f>
        <v>0</v>
      </c>
      <c r="I162">
        <f>IF(H162=0,0,_xlfn.XLOOKUP(C162,CLIENT_CODE!B:B,CLIENT_CODE!H:H,0))</f>
        <v>0</v>
      </c>
      <c r="J162">
        <f>_xlfn.XLOOKUP(B162,CRN!G:G,CRN!M:M,"")</f>
        <v>0</v>
      </c>
      <c r="K162">
        <f>IF(J162=0,0,_xlfn.XLOOKUP(C162,CLIENT_CODE!B:B,CLIENT_CODE!I:I,0))</f>
        <v>0</v>
      </c>
      <c r="L162">
        <f>_xlfn.XLOOKUP(B162,CRN!G:G,CRN!N:N,"")</f>
        <v>0</v>
      </c>
      <c r="M162">
        <f>IF(L162=0,0,_xlfn.XLOOKUP(C162,CLIENT_CODE!B:B,CLIENT_CODE!J:J,0))</f>
        <v>0</v>
      </c>
      <c r="N162">
        <f>_xlfn.XLOOKUP(B162,CRN!G:G,CRN!O:O,"")</f>
        <v>0</v>
      </c>
      <c r="O162">
        <f>IF(N162=0,0,_xlfn.XLOOKUP(C162,CLIENT_CODE!B:B,CLIENT_CODE!K:K,0))</f>
        <v>0</v>
      </c>
      <c r="P162">
        <f>_xlfn.XLOOKUP(B162,CRN!G:G,CRN!P:P,"")</f>
        <v>0</v>
      </c>
      <c r="Q162">
        <f>IF(P162=0,0,_xlfn.XLOOKUP(C162,CLIENT_CODE!B:B,CLIENT_CODE!L:L,0))</f>
        <v>0</v>
      </c>
      <c r="R162">
        <f>_xlfn.XLOOKUP(B162,CRN!G:G,CRN!Q:Q,"")</f>
        <v>0</v>
      </c>
      <c r="S162">
        <f>IF(R162=0,0,_xlfn.XLOOKUP(C162,CLIENT_CODE!B:B,CLIENT_CODE!M:M,0))</f>
        <v>0</v>
      </c>
      <c r="T162">
        <f>_xlfn.XLOOKUP(B162,CRN!G:G,CRN!R:R,"")</f>
        <v>0</v>
      </c>
      <c r="U162">
        <f>IF(T162=0,0,_xlfn.XLOOKUP(C162,CLIENT_CODE!B:B,CLIENT_CODE!N:N,0))</f>
        <v>0</v>
      </c>
      <c r="V162">
        <f>_xlfn.XLOOKUP(B162,CRN!G:G,CRN!S:S,"")</f>
        <v>0</v>
      </c>
      <c r="W162">
        <f>IF(V162=0,0,_xlfn.XLOOKUP(C162,CLIENT_CODE!B:B,CLIENT_CODE!O:O,0))</f>
        <v>0</v>
      </c>
      <c r="X162">
        <f>_xlfn.XLOOKUP(B162,CRN!G:G,CRN!T:T,"")</f>
        <v>0</v>
      </c>
      <c r="Y162">
        <f>IF(X162=0,0,_xlfn.XLOOKUP(C162,CLIENT_CODE!B:B,CLIENT_CODE!P:P,0))</f>
        <v>0</v>
      </c>
      <c r="Z162">
        <f>_xlfn.XLOOKUP(B162,CRN!G:G,CRN!U:U,"")</f>
        <v>0</v>
      </c>
      <c r="AA162">
        <f>IF(X162=0,0,_xlfn.XLOOKUP(C162,CLIENT_CODE!B:B,CLIENT_CODE!P:P,0))</f>
        <v>0</v>
      </c>
      <c r="AB162">
        <f>_xlfn.XLOOKUP(B162,CRN!G:G,CRN!V:V,"")</f>
        <v>0</v>
      </c>
      <c r="AC162">
        <f>IF(AB162=0,0,_xlfn.XLOOKUP(C162,CLIENT_CODE!B:B,CLIENT_CODE!R:R,0))</f>
        <v>0</v>
      </c>
      <c r="AD162">
        <f t="shared" si="2"/>
        <v>0</v>
      </c>
    </row>
    <row r="163" spans="1:30">
      <c r="A163" s="42">
        <v>162</v>
      </c>
      <c r="E163">
        <f>IF(D163=0,0,_xlfn.XLOOKUP(C163,CLIENT_CODE!B:B,CLIENT_CODE!F:F,0))</f>
        <v>0</v>
      </c>
      <c r="F163">
        <f>_xlfn.XLOOKUP(B163,CRN!G:G,CRN!K:K,"")</f>
        <v>0</v>
      </c>
      <c r="G163">
        <f>IF(F163=0,0,_xlfn.XLOOKUP(C163,CLIENT_CODE!B:B,CLIENT_CODE!G:G,0))</f>
        <v>0</v>
      </c>
      <c r="H163">
        <f>_xlfn.XLOOKUP(B163,CRN!G:G,CRN!L:L,"")</f>
        <v>0</v>
      </c>
      <c r="I163">
        <f>IF(H163=0,0,_xlfn.XLOOKUP(C163,CLIENT_CODE!B:B,CLIENT_CODE!H:H,0))</f>
        <v>0</v>
      </c>
      <c r="J163">
        <f>_xlfn.XLOOKUP(B163,CRN!G:G,CRN!M:M,"")</f>
        <v>0</v>
      </c>
      <c r="K163">
        <f>IF(J163=0,0,_xlfn.XLOOKUP(C163,CLIENT_CODE!B:B,CLIENT_CODE!I:I,0))</f>
        <v>0</v>
      </c>
      <c r="L163">
        <f>_xlfn.XLOOKUP(B163,CRN!G:G,CRN!N:N,"")</f>
        <v>0</v>
      </c>
      <c r="M163">
        <f>IF(L163=0,0,_xlfn.XLOOKUP(C163,CLIENT_CODE!B:B,CLIENT_CODE!J:J,0))</f>
        <v>0</v>
      </c>
      <c r="N163">
        <f>_xlfn.XLOOKUP(B163,CRN!G:G,CRN!O:O,"")</f>
        <v>0</v>
      </c>
      <c r="O163">
        <f>IF(N163=0,0,_xlfn.XLOOKUP(C163,CLIENT_CODE!B:B,CLIENT_CODE!K:K,0))</f>
        <v>0</v>
      </c>
      <c r="P163">
        <f>_xlfn.XLOOKUP(B163,CRN!G:G,CRN!P:P,"")</f>
        <v>0</v>
      </c>
      <c r="Q163">
        <f>IF(P163=0,0,_xlfn.XLOOKUP(C163,CLIENT_CODE!B:B,CLIENT_CODE!L:L,0))</f>
        <v>0</v>
      </c>
      <c r="R163">
        <f>_xlfn.XLOOKUP(B163,CRN!G:G,CRN!Q:Q,"")</f>
        <v>0</v>
      </c>
      <c r="S163">
        <f>IF(R163=0,0,_xlfn.XLOOKUP(C163,CLIENT_CODE!B:B,CLIENT_CODE!M:M,0))</f>
        <v>0</v>
      </c>
      <c r="T163">
        <f>_xlfn.XLOOKUP(B163,CRN!G:G,CRN!R:R,"")</f>
        <v>0</v>
      </c>
      <c r="U163">
        <f>IF(T163=0,0,_xlfn.XLOOKUP(C163,CLIENT_CODE!B:B,CLIENT_CODE!N:N,0))</f>
        <v>0</v>
      </c>
      <c r="V163">
        <f>_xlfn.XLOOKUP(B163,CRN!G:G,CRN!S:S,"")</f>
        <v>0</v>
      </c>
      <c r="W163">
        <f>IF(V163=0,0,_xlfn.XLOOKUP(C163,CLIENT_CODE!B:B,CLIENT_CODE!O:O,0))</f>
        <v>0</v>
      </c>
      <c r="X163">
        <f>_xlfn.XLOOKUP(B163,CRN!G:G,CRN!T:T,"")</f>
        <v>0</v>
      </c>
      <c r="Y163">
        <f>IF(X163=0,0,_xlfn.XLOOKUP(C163,CLIENT_CODE!B:B,CLIENT_CODE!P:P,0))</f>
        <v>0</v>
      </c>
      <c r="Z163">
        <f>_xlfn.XLOOKUP(B163,CRN!G:G,CRN!U:U,"")</f>
        <v>0</v>
      </c>
      <c r="AA163">
        <f>IF(X163=0,0,_xlfn.XLOOKUP(C163,CLIENT_CODE!B:B,CLIENT_CODE!P:P,0))</f>
        <v>0</v>
      </c>
      <c r="AB163">
        <f>_xlfn.XLOOKUP(B163,CRN!G:G,CRN!V:V,"")</f>
        <v>0</v>
      </c>
      <c r="AC163">
        <f>IF(AB163=0,0,_xlfn.XLOOKUP(C163,CLIENT_CODE!B:B,CLIENT_CODE!R:R,0))</f>
        <v>0</v>
      </c>
      <c r="AD163">
        <f t="shared" si="2"/>
        <v>0</v>
      </c>
    </row>
    <row r="164" spans="1:30">
      <c r="A164" s="42">
        <v>163</v>
      </c>
      <c r="E164">
        <f>IF(D164=0,0,_xlfn.XLOOKUP(C164,CLIENT_CODE!B:B,CLIENT_CODE!F:F,0))</f>
        <v>0</v>
      </c>
      <c r="F164">
        <f>_xlfn.XLOOKUP(B164,CRN!G:G,CRN!K:K,"")</f>
        <v>0</v>
      </c>
      <c r="G164">
        <f>IF(F164=0,0,_xlfn.XLOOKUP(C164,CLIENT_CODE!B:B,CLIENT_CODE!G:G,0))</f>
        <v>0</v>
      </c>
      <c r="H164">
        <f>_xlfn.XLOOKUP(B164,CRN!G:G,CRN!L:L,"")</f>
        <v>0</v>
      </c>
      <c r="I164">
        <f>IF(H164=0,0,_xlfn.XLOOKUP(C164,CLIENT_CODE!B:B,CLIENT_CODE!H:H,0))</f>
        <v>0</v>
      </c>
      <c r="J164">
        <f>_xlfn.XLOOKUP(B164,CRN!G:G,CRN!M:M,"")</f>
        <v>0</v>
      </c>
      <c r="K164">
        <f>IF(J164=0,0,_xlfn.XLOOKUP(C164,CLIENT_CODE!B:B,CLIENT_CODE!I:I,0))</f>
        <v>0</v>
      </c>
      <c r="L164">
        <f>_xlfn.XLOOKUP(B164,CRN!G:G,CRN!N:N,"")</f>
        <v>0</v>
      </c>
      <c r="M164">
        <f>IF(L164=0,0,_xlfn.XLOOKUP(C164,CLIENT_CODE!B:B,CLIENT_CODE!J:J,0))</f>
        <v>0</v>
      </c>
      <c r="N164">
        <f>_xlfn.XLOOKUP(B164,CRN!G:G,CRN!O:O,"")</f>
        <v>0</v>
      </c>
      <c r="O164">
        <f>IF(N164=0,0,_xlfn.XLOOKUP(C164,CLIENT_CODE!B:B,CLIENT_CODE!K:K,0))</f>
        <v>0</v>
      </c>
      <c r="P164">
        <f>_xlfn.XLOOKUP(B164,CRN!G:G,CRN!P:P,"")</f>
        <v>0</v>
      </c>
      <c r="Q164">
        <f>IF(P164=0,0,_xlfn.XLOOKUP(C164,CLIENT_CODE!B:B,CLIENT_CODE!L:L,0))</f>
        <v>0</v>
      </c>
      <c r="R164">
        <f>_xlfn.XLOOKUP(B164,CRN!G:G,CRN!Q:Q,"")</f>
        <v>0</v>
      </c>
      <c r="S164">
        <f>IF(R164=0,0,_xlfn.XLOOKUP(C164,CLIENT_CODE!B:B,CLIENT_CODE!M:M,0))</f>
        <v>0</v>
      </c>
      <c r="T164">
        <f>_xlfn.XLOOKUP(B164,CRN!G:G,CRN!R:R,"")</f>
        <v>0</v>
      </c>
      <c r="U164">
        <f>IF(T164=0,0,_xlfn.XLOOKUP(C164,CLIENT_CODE!B:B,CLIENT_CODE!N:N,0))</f>
        <v>0</v>
      </c>
      <c r="V164">
        <f>_xlfn.XLOOKUP(B164,CRN!G:G,CRN!S:S,"")</f>
        <v>0</v>
      </c>
      <c r="W164">
        <f>IF(V164=0,0,_xlfn.XLOOKUP(C164,CLIENT_CODE!B:B,CLIENT_CODE!O:O,0))</f>
        <v>0</v>
      </c>
      <c r="X164">
        <f>_xlfn.XLOOKUP(B164,CRN!G:G,CRN!T:T,"")</f>
        <v>0</v>
      </c>
      <c r="Y164">
        <f>IF(X164=0,0,_xlfn.XLOOKUP(C164,CLIENT_CODE!B:B,CLIENT_CODE!P:P,0))</f>
        <v>0</v>
      </c>
      <c r="Z164">
        <f>_xlfn.XLOOKUP(B164,CRN!G:G,CRN!U:U,"")</f>
        <v>0</v>
      </c>
      <c r="AA164">
        <f>IF(X164=0,0,_xlfn.XLOOKUP(C164,CLIENT_CODE!B:B,CLIENT_CODE!P:P,0))</f>
        <v>0</v>
      </c>
      <c r="AB164">
        <f>_xlfn.XLOOKUP(B164,CRN!G:G,CRN!V:V,"")</f>
        <v>0</v>
      </c>
      <c r="AC164">
        <f>IF(AB164=0,0,_xlfn.XLOOKUP(C164,CLIENT_CODE!B:B,CLIENT_CODE!R:R,0))</f>
        <v>0</v>
      </c>
      <c r="AD164">
        <f t="shared" si="2"/>
        <v>0</v>
      </c>
    </row>
    <row r="165" spans="1:30">
      <c r="A165" s="42">
        <v>164</v>
      </c>
      <c r="E165">
        <f>IF(D165=0,0,_xlfn.XLOOKUP(C165,CLIENT_CODE!B:B,CLIENT_CODE!F:F,0))</f>
        <v>0</v>
      </c>
      <c r="F165">
        <f>_xlfn.XLOOKUP(B165,CRN!G:G,CRN!K:K,"")</f>
        <v>0</v>
      </c>
      <c r="G165">
        <f>IF(F165=0,0,_xlfn.XLOOKUP(C165,CLIENT_CODE!B:B,CLIENT_CODE!G:G,0))</f>
        <v>0</v>
      </c>
      <c r="H165">
        <f>_xlfn.XLOOKUP(B165,CRN!G:G,CRN!L:L,"")</f>
        <v>0</v>
      </c>
      <c r="I165">
        <f>IF(H165=0,0,_xlfn.XLOOKUP(C165,CLIENT_CODE!B:B,CLIENT_CODE!H:H,0))</f>
        <v>0</v>
      </c>
      <c r="J165">
        <f>_xlfn.XLOOKUP(B165,CRN!G:G,CRN!M:M,"")</f>
        <v>0</v>
      </c>
      <c r="K165">
        <f>IF(J165=0,0,_xlfn.XLOOKUP(C165,CLIENT_CODE!B:B,CLIENT_CODE!I:I,0))</f>
        <v>0</v>
      </c>
      <c r="L165">
        <f>_xlfn.XLOOKUP(B165,CRN!G:G,CRN!N:N,"")</f>
        <v>0</v>
      </c>
      <c r="M165">
        <f>IF(L165=0,0,_xlfn.XLOOKUP(C165,CLIENT_CODE!B:B,CLIENT_CODE!J:J,0))</f>
        <v>0</v>
      </c>
      <c r="N165">
        <f>_xlfn.XLOOKUP(B165,CRN!G:G,CRN!O:O,"")</f>
        <v>0</v>
      </c>
      <c r="O165">
        <f>IF(N165=0,0,_xlfn.XLOOKUP(C165,CLIENT_CODE!B:B,CLIENT_CODE!K:K,0))</f>
        <v>0</v>
      </c>
      <c r="P165">
        <f>_xlfn.XLOOKUP(B165,CRN!G:G,CRN!P:P,"")</f>
        <v>0</v>
      </c>
      <c r="Q165">
        <f>IF(P165=0,0,_xlfn.XLOOKUP(C165,CLIENT_CODE!B:B,CLIENT_CODE!L:L,0))</f>
        <v>0</v>
      </c>
      <c r="R165">
        <f>_xlfn.XLOOKUP(B165,CRN!G:G,CRN!Q:Q,"")</f>
        <v>0</v>
      </c>
      <c r="S165">
        <f>IF(R165=0,0,_xlfn.XLOOKUP(C165,CLIENT_CODE!B:B,CLIENT_CODE!M:M,0))</f>
        <v>0</v>
      </c>
      <c r="T165">
        <f>_xlfn.XLOOKUP(B165,CRN!G:G,CRN!R:R,"")</f>
        <v>0</v>
      </c>
      <c r="U165">
        <f>IF(T165=0,0,_xlfn.XLOOKUP(C165,CLIENT_CODE!B:B,CLIENT_CODE!N:N,0))</f>
        <v>0</v>
      </c>
      <c r="V165">
        <f>_xlfn.XLOOKUP(B165,CRN!G:G,CRN!S:S,"")</f>
        <v>0</v>
      </c>
      <c r="W165">
        <f>IF(V165=0,0,_xlfn.XLOOKUP(C165,CLIENT_CODE!B:B,CLIENT_CODE!O:O,0))</f>
        <v>0</v>
      </c>
      <c r="X165">
        <f>_xlfn.XLOOKUP(B165,CRN!G:G,CRN!T:T,"")</f>
        <v>0</v>
      </c>
      <c r="Y165">
        <f>IF(X165=0,0,_xlfn.XLOOKUP(C165,CLIENT_CODE!B:B,CLIENT_CODE!P:P,0))</f>
        <v>0</v>
      </c>
      <c r="Z165">
        <f>_xlfn.XLOOKUP(B165,CRN!G:G,CRN!U:U,"")</f>
        <v>0</v>
      </c>
      <c r="AA165">
        <f>IF(X165=0,0,_xlfn.XLOOKUP(C165,CLIENT_CODE!B:B,CLIENT_CODE!P:P,0))</f>
        <v>0</v>
      </c>
      <c r="AB165">
        <f>_xlfn.XLOOKUP(B165,CRN!G:G,CRN!V:V,"")</f>
        <v>0</v>
      </c>
      <c r="AC165">
        <f>IF(AB165=0,0,_xlfn.XLOOKUP(C165,CLIENT_CODE!B:B,CLIENT_CODE!R:R,0))</f>
        <v>0</v>
      </c>
      <c r="AD165">
        <f t="shared" si="2"/>
        <v>0</v>
      </c>
    </row>
    <row r="166" spans="1:30">
      <c r="A166" s="42">
        <v>165</v>
      </c>
      <c r="E166">
        <f>IF(D166=0,0,_xlfn.XLOOKUP(C166,CLIENT_CODE!B:B,CLIENT_CODE!F:F,0))</f>
        <v>0</v>
      </c>
      <c r="F166">
        <f>_xlfn.XLOOKUP(B166,CRN!G:G,CRN!K:K,"")</f>
        <v>0</v>
      </c>
      <c r="G166">
        <f>IF(F166=0,0,_xlfn.XLOOKUP(C166,CLIENT_CODE!B:B,CLIENT_CODE!G:G,0))</f>
        <v>0</v>
      </c>
      <c r="H166">
        <f>_xlfn.XLOOKUP(B166,CRN!G:G,CRN!L:L,"")</f>
        <v>0</v>
      </c>
      <c r="I166">
        <f>IF(H166=0,0,_xlfn.XLOOKUP(C166,CLIENT_CODE!B:B,CLIENT_CODE!H:H,0))</f>
        <v>0</v>
      </c>
      <c r="J166">
        <f>_xlfn.XLOOKUP(B166,CRN!G:G,CRN!M:M,"")</f>
        <v>0</v>
      </c>
      <c r="K166">
        <f>IF(J166=0,0,_xlfn.XLOOKUP(C166,CLIENT_CODE!B:B,CLIENT_CODE!I:I,0))</f>
        <v>0</v>
      </c>
      <c r="L166">
        <f>_xlfn.XLOOKUP(B166,CRN!G:G,CRN!N:N,"")</f>
        <v>0</v>
      </c>
      <c r="M166">
        <f>IF(L166=0,0,_xlfn.XLOOKUP(C166,CLIENT_CODE!B:B,CLIENT_CODE!J:J,0))</f>
        <v>0</v>
      </c>
      <c r="N166">
        <f>_xlfn.XLOOKUP(B166,CRN!G:G,CRN!O:O,"")</f>
        <v>0</v>
      </c>
      <c r="O166">
        <f>IF(N166=0,0,_xlfn.XLOOKUP(C166,CLIENT_CODE!B:B,CLIENT_CODE!K:K,0))</f>
        <v>0</v>
      </c>
      <c r="P166">
        <f>_xlfn.XLOOKUP(B166,CRN!G:G,CRN!P:P,"")</f>
        <v>0</v>
      </c>
      <c r="Q166">
        <f>IF(P166=0,0,_xlfn.XLOOKUP(C166,CLIENT_CODE!B:B,CLIENT_CODE!L:L,0))</f>
        <v>0</v>
      </c>
      <c r="R166">
        <f>_xlfn.XLOOKUP(B166,CRN!G:G,CRN!Q:Q,"")</f>
        <v>0</v>
      </c>
      <c r="S166">
        <f>IF(R166=0,0,_xlfn.XLOOKUP(C166,CLIENT_CODE!B:B,CLIENT_CODE!M:M,0))</f>
        <v>0</v>
      </c>
      <c r="T166">
        <f>_xlfn.XLOOKUP(B166,CRN!G:G,CRN!R:R,"")</f>
        <v>0</v>
      </c>
      <c r="U166">
        <f>IF(T166=0,0,_xlfn.XLOOKUP(C166,CLIENT_CODE!B:B,CLIENT_CODE!N:N,0))</f>
        <v>0</v>
      </c>
      <c r="V166">
        <f>_xlfn.XLOOKUP(B166,CRN!G:G,CRN!S:S,"")</f>
        <v>0</v>
      </c>
      <c r="W166">
        <f>IF(V166=0,0,_xlfn.XLOOKUP(C166,CLIENT_CODE!B:B,CLIENT_CODE!O:O,0))</f>
        <v>0</v>
      </c>
      <c r="X166">
        <f>_xlfn.XLOOKUP(B166,CRN!G:G,CRN!T:T,"")</f>
        <v>0</v>
      </c>
      <c r="Y166">
        <f>IF(X166=0,0,_xlfn.XLOOKUP(C166,CLIENT_CODE!B:B,CLIENT_CODE!P:P,0))</f>
        <v>0</v>
      </c>
      <c r="Z166">
        <f>_xlfn.XLOOKUP(B166,CRN!G:G,CRN!U:U,"")</f>
        <v>0</v>
      </c>
      <c r="AA166">
        <f>IF(X166=0,0,_xlfn.XLOOKUP(C166,CLIENT_CODE!B:B,CLIENT_CODE!P:P,0))</f>
        <v>0</v>
      </c>
      <c r="AB166">
        <f>_xlfn.XLOOKUP(B166,CRN!G:G,CRN!V:V,"")</f>
        <v>0</v>
      </c>
      <c r="AC166">
        <f>IF(AB166=0,0,_xlfn.XLOOKUP(C166,CLIENT_CODE!B:B,CLIENT_CODE!R:R,0))</f>
        <v>0</v>
      </c>
      <c r="AD166">
        <f t="shared" si="2"/>
        <v>0</v>
      </c>
    </row>
    <row r="167" spans="1:30">
      <c r="A167" s="42">
        <v>166</v>
      </c>
      <c r="E167">
        <f>IF(D167=0,0,_xlfn.XLOOKUP(C167,CLIENT_CODE!B:B,CLIENT_CODE!F:F,0))</f>
        <v>0</v>
      </c>
      <c r="F167">
        <f>_xlfn.XLOOKUP(B167,CRN!G:G,CRN!K:K,"")</f>
        <v>0</v>
      </c>
      <c r="G167">
        <f>IF(F167=0,0,_xlfn.XLOOKUP(C167,CLIENT_CODE!B:B,CLIENT_CODE!G:G,0))</f>
        <v>0</v>
      </c>
      <c r="H167">
        <f>_xlfn.XLOOKUP(B167,CRN!G:G,CRN!L:L,"")</f>
        <v>0</v>
      </c>
      <c r="I167">
        <f>IF(H167=0,0,_xlfn.XLOOKUP(C167,CLIENT_CODE!B:B,CLIENT_CODE!H:H,0))</f>
        <v>0</v>
      </c>
      <c r="J167">
        <f>_xlfn.XLOOKUP(B167,CRN!G:G,CRN!M:M,"")</f>
        <v>0</v>
      </c>
      <c r="K167">
        <f>IF(J167=0,0,_xlfn.XLOOKUP(C167,CLIENT_CODE!B:B,CLIENT_CODE!I:I,0))</f>
        <v>0</v>
      </c>
      <c r="L167">
        <f>_xlfn.XLOOKUP(B167,CRN!G:G,CRN!N:N,"")</f>
        <v>0</v>
      </c>
      <c r="M167">
        <f>IF(L167=0,0,_xlfn.XLOOKUP(C167,CLIENT_CODE!B:B,CLIENT_CODE!J:J,0))</f>
        <v>0</v>
      </c>
      <c r="N167">
        <f>_xlfn.XLOOKUP(B167,CRN!G:G,CRN!O:O,"")</f>
        <v>0</v>
      </c>
      <c r="O167">
        <f>IF(N167=0,0,_xlfn.XLOOKUP(C167,CLIENT_CODE!B:B,CLIENT_CODE!K:K,0))</f>
        <v>0</v>
      </c>
      <c r="P167">
        <f>_xlfn.XLOOKUP(B167,CRN!G:G,CRN!P:P,"")</f>
        <v>0</v>
      </c>
      <c r="Q167">
        <f>IF(P167=0,0,_xlfn.XLOOKUP(C167,CLIENT_CODE!B:B,CLIENT_CODE!L:L,0))</f>
        <v>0</v>
      </c>
      <c r="R167">
        <f>_xlfn.XLOOKUP(B167,CRN!G:G,CRN!Q:Q,"")</f>
        <v>0</v>
      </c>
      <c r="S167">
        <f>IF(R167=0,0,_xlfn.XLOOKUP(C167,CLIENT_CODE!B:B,CLIENT_CODE!M:M,0))</f>
        <v>0</v>
      </c>
      <c r="T167">
        <f>_xlfn.XLOOKUP(B167,CRN!G:G,CRN!R:R,"")</f>
        <v>0</v>
      </c>
      <c r="U167">
        <f>IF(T167=0,0,_xlfn.XLOOKUP(C167,CLIENT_CODE!B:B,CLIENT_CODE!N:N,0))</f>
        <v>0</v>
      </c>
      <c r="V167">
        <f>_xlfn.XLOOKUP(B167,CRN!G:G,CRN!S:S,"")</f>
        <v>0</v>
      </c>
      <c r="W167">
        <f>IF(V167=0,0,_xlfn.XLOOKUP(C167,CLIENT_CODE!B:B,CLIENT_CODE!O:O,0))</f>
        <v>0</v>
      </c>
      <c r="X167">
        <f>_xlfn.XLOOKUP(B167,CRN!G:G,CRN!T:T,"")</f>
        <v>0</v>
      </c>
      <c r="Y167">
        <f>IF(X167=0,0,_xlfn.XLOOKUP(C167,CLIENT_CODE!B:B,CLIENT_CODE!P:P,0))</f>
        <v>0</v>
      </c>
      <c r="Z167">
        <f>_xlfn.XLOOKUP(B167,CRN!G:G,CRN!U:U,"")</f>
        <v>0</v>
      </c>
      <c r="AA167">
        <f>IF(X167=0,0,_xlfn.XLOOKUP(C167,CLIENT_CODE!B:B,CLIENT_CODE!P:P,0))</f>
        <v>0</v>
      </c>
      <c r="AB167">
        <f>_xlfn.XLOOKUP(B167,CRN!G:G,CRN!V:V,"")</f>
        <v>0</v>
      </c>
      <c r="AC167">
        <f>IF(AB167=0,0,_xlfn.XLOOKUP(C167,CLIENT_CODE!B:B,CLIENT_CODE!R:R,0))</f>
        <v>0</v>
      </c>
      <c r="AD167">
        <f t="shared" si="2"/>
        <v>0</v>
      </c>
    </row>
    <row r="168" spans="1:30">
      <c r="A168" s="42">
        <v>167</v>
      </c>
      <c r="E168">
        <f>IF(D168=0,0,_xlfn.XLOOKUP(C168,CLIENT_CODE!B:B,CLIENT_CODE!F:F,0))</f>
        <v>0</v>
      </c>
      <c r="F168">
        <f>_xlfn.XLOOKUP(B168,CRN!G:G,CRN!K:K,"")</f>
        <v>0</v>
      </c>
      <c r="G168">
        <f>IF(F168=0,0,_xlfn.XLOOKUP(C168,CLIENT_CODE!B:B,CLIENT_CODE!G:G,0))</f>
        <v>0</v>
      </c>
      <c r="H168">
        <f>_xlfn.XLOOKUP(B168,CRN!G:G,CRN!L:L,"")</f>
        <v>0</v>
      </c>
      <c r="I168">
        <f>IF(H168=0,0,_xlfn.XLOOKUP(C168,CLIENT_CODE!B:B,CLIENT_CODE!H:H,0))</f>
        <v>0</v>
      </c>
      <c r="J168">
        <f>_xlfn.XLOOKUP(B168,CRN!G:G,CRN!M:M,"")</f>
        <v>0</v>
      </c>
      <c r="K168">
        <f>IF(J168=0,0,_xlfn.XLOOKUP(C168,CLIENT_CODE!B:B,CLIENT_CODE!I:I,0))</f>
        <v>0</v>
      </c>
      <c r="L168">
        <f>_xlfn.XLOOKUP(B168,CRN!G:G,CRN!N:N,"")</f>
        <v>0</v>
      </c>
      <c r="M168">
        <f>IF(L168=0,0,_xlfn.XLOOKUP(C168,CLIENT_CODE!B:B,CLIENT_CODE!J:J,0))</f>
        <v>0</v>
      </c>
      <c r="N168">
        <f>_xlfn.XLOOKUP(B168,CRN!G:G,CRN!O:O,"")</f>
        <v>0</v>
      </c>
      <c r="O168">
        <f>IF(N168=0,0,_xlfn.XLOOKUP(C168,CLIENT_CODE!B:B,CLIENT_CODE!K:K,0))</f>
        <v>0</v>
      </c>
      <c r="P168">
        <f>_xlfn.XLOOKUP(B168,CRN!G:G,CRN!P:P,"")</f>
        <v>0</v>
      </c>
      <c r="Q168">
        <f>IF(P168=0,0,_xlfn.XLOOKUP(C168,CLIENT_CODE!B:B,CLIENT_CODE!L:L,0))</f>
        <v>0</v>
      </c>
      <c r="R168">
        <f>_xlfn.XLOOKUP(B168,CRN!G:G,CRN!Q:Q,"")</f>
        <v>0</v>
      </c>
      <c r="S168">
        <f>IF(R168=0,0,_xlfn.XLOOKUP(C168,CLIENT_CODE!B:B,CLIENT_CODE!M:M,0))</f>
        <v>0</v>
      </c>
      <c r="T168">
        <f>_xlfn.XLOOKUP(B168,CRN!G:G,CRN!R:R,"")</f>
        <v>0</v>
      </c>
      <c r="U168">
        <f>IF(T168=0,0,_xlfn.XLOOKUP(C168,CLIENT_CODE!B:B,CLIENT_CODE!N:N,0))</f>
        <v>0</v>
      </c>
      <c r="V168">
        <f>_xlfn.XLOOKUP(B168,CRN!G:G,CRN!S:S,"")</f>
        <v>0</v>
      </c>
      <c r="W168">
        <f>IF(V168=0,0,_xlfn.XLOOKUP(C168,CLIENT_CODE!B:B,CLIENT_CODE!O:O,0))</f>
        <v>0</v>
      </c>
      <c r="X168">
        <f>_xlfn.XLOOKUP(B168,CRN!G:G,CRN!T:T,"")</f>
        <v>0</v>
      </c>
      <c r="Y168">
        <f>IF(X168=0,0,_xlfn.XLOOKUP(C168,CLIENT_CODE!B:B,CLIENT_CODE!P:P,0))</f>
        <v>0</v>
      </c>
      <c r="Z168">
        <f>_xlfn.XLOOKUP(B168,CRN!G:G,CRN!U:U,"")</f>
        <v>0</v>
      </c>
      <c r="AA168">
        <f>IF(X168=0,0,_xlfn.XLOOKUP(C168,CLIENT_CODE!B:B,CLIENT_CODE!P:P,0))</f>
        <v>0</v>
      </c>
      <c r="AB168">
        <f>_xlfn.XLOOKUP(B168,CRN!G:G,CRN!V:V,"")</f>
        <v>0</v>
      </c>
      <c r="AC168">
        <f>IF(AB168=0,0,_xlfn.XLOOKUP(C168,CLIENT_CODE!B:B,CLIENT_CODE!R:R,0))</f>
        <v>0</v>
      </c>
      <c r="AD168">
        <f t="shared" si="2"/>
        <v>0</v>
      </c>
    </row>
    <row r="169" spans="1:30">
      <c r="A169" s="42">
        <v>168</v>
      </c>
      <c r="E169">
        <f>IF(D169=0,0,_xlfn.XLOOKUP(C169,CLIENT_CODE!B:B,CLIENT_CODE!F:F,0))</f>
        <v>0</v>
      </c>
      <c r="F169">
        <f>_xlfn.XLOOKUP(B169,CRN!G:G,CRN!K:K,"")</f>
        <v>0</v>
      </c>
      <c r="G169">
        <f>IF(F169=0,0,_xlfn.XLOOKUP(C169,CLIENT_CODE!B:B,CLIENT_CODE!G:G,0))</f>
        <v>0</v>
      </c>
      <c r="H169">
        <f>_xlfn.XLOOKUP(B169,CRN!G:G,CRN!L:L,"")</f>
        <v>0</v>
      </c>
      <c r="I169">
        <f>IF(H169=0,0,_xlfn.XLOOKUP(C169,CLIENT_CODE!B:B,CLIENT_CODE!H:H,0))</f>
        <v>0</v>
      </c>
      <c r="J169">
        <f>_xlfn.XLOOKUP(B169,CRN!G:G,CRN!M:M,"")</f>
        <v>0</v>
      </c>
      <c r="K169">
        <f>IF(J169=0,0,_xlfn.XLOOKUP(C169,CLIENT_CODE!B:B,CLIENT_CODE!I:I,0))</f>
        <v>0</v>
      </c>
      <c r="L169">
        <f>_xlfn.XLOOKUP(B169,CRN!G:G,CRN!N:N,"")</f>
        <v>0</v>
      </c>
      <c r="M169">
        <f>IF(L169=0,0,_xlfn.XLOOKUP(C169,CLIENT_CODE!B:B,CLIENT_CODE!J:J,0))</f>
        <v>0</v>
      </c>
      <c r="N169">
        <f>_xlfn.XLOOKUP(B169,CRN!G:G,CRN!O:O,"")</f>
        <v>0</v>
      </c>
      <c r="O169">
        <f>IF(N169=0,0,_xlfn.XLOOKUP(C169,CLIENT_CODE!B:B,CLIENT_CODE!K:K,0))</f>
        <v>0</v>
      </c>
      <c r="P169">
        <f>_xlfn.XLOOKUP(B169,CRN!G:G,CRN!P:P,"")</f>
        <v>0</v>
      </c>
      <c r="Q169">
        <f>IF(P169=0,0,_xlfn.XLOOKUP(C169,CLIENT_CODE!B:B,CLIENT_CODE!L:L,0))</f>
        <v>0</v>
      </c>
      <c r="R169">
        <f>_xlfn.XLOOKUP(B169,CRN!G:G,CRN!Q:Q,"")</f>
        <v>0</v>
      </c>
      <c r="S169">
        <f>IF(R169=0,0,_xlfn.XLOOKUP(C169,CLIENT_CODE!B:B,CLIENT_CODE!M:M,0))</f>
        <v>0</v>
      </c>
      <c r="T169">
        <f>_xlfn.XLOOKUP(B169,CRN!G:G,CRN!R:R,"")</f>
        <v>0</v>
      </c>
      <c r="U169">
        <f>IF(T169=0,0,_xlfn.XLOOKUP(C169,CLIENT_CODE!B:B,CLIENT_CODE!N:N,0))</f>
        <v>0</v>
      </c>
      <c r="V169">
        <f>_xlfn.XLOOKUP(B169,CRN!G:G,CRN!S:S,"")</f>
        <v>0</v>
      </c>
      <c r="W169">
        <f>IF(V169=0,0,_xlfn.XLOOKUP(C169,CLIENT_CODE!B:B,CLIENT_CODE!O:O,0))</f>
        <v>0</v>
      </c>
      <c r="X169">
        <f>_xlfn.XLOOKUP(B169,CRN!G:G,CRN!T:T,"")</f>
        <v>0</v>
      </c>
      <c r="Y169">
        <f>IF(X169=0,0,_xlfn.XLOOKUP(C169,CLIENT_CODE!B:B,CLIENT_CODE!P:P,0))</f>
        <v>0</v>
      </c>
      <c r="Z169">
        <f>_xlfn.XLOOKUP(B169,CRN!G:G,CRN!U:U,"")</f>
        <v>0</v>
      </c>
      <c r="AA169">
        <f>IF(X169=0,0,_xlfn.XLOOKUP(C169,CLIENT_CODE!B:B,CLIENT_CODE!P:P,0))</f>
        <v>0</v>
      </c>
      <c r="AB169">
        <f>_xlfn.XLOOKUP(B169,CRN!G:G,CRN!V:V,"")</f>
        <v>0</v>
      </c>
      <c r="AC169">
        <f>IF(AB169=0,0,_xlfn.XLOOKUP(C169,CLIENT_CODE!B:B,CLIENT_CODE!R:R,0))</f>
        <v>0</v>
      </c>
      <c r="AD169">
        <f t="shared" si="2"/>
        <v>0</v>
      </c>
    </row>
    <row r="170" spans="1:30">
      <c r="A170" s="42">
        <v>169</v>
      </c>
      <c r="E170">
        <f>IF(D170=0,0,_xlfn.XLOOKUP(C170,CLIENT_CODE!B:B,CLIENT_CODE!F:F,0))</f>
        <v>0</v>
      </c>
      <c r="F170">
        <f>_xlfn.XLOOKUP(B170,CRN!G:G,CRN!K:K,"")</f>
        <v>0</v>
      </c>
      <c r="G170">
        <f>IF(F170=0,0,_xlfn.XLOOKUP(C170,CLIENT_CODE!B:B,CLIENT_CODE!G:G,0))</f>
        <v>0</v>
      </c>
      <c r="H170">
        <f>_xlfn.XLOOKUP(B170,CRN!G:G,CRN!L:L,"")</f>
        <v>0</v>
      </c>
      <c r="I170">
        <f>IF(H170=0,0,_xlfn.XLOOKUP(C170,CLIENT_CODE!B:B,CLIENT_CODE!H:H,0))</f>
        <v>0</v>
      </c>
      <c r="J170">
        <f>_xlfn.XLOOKUP(B170,CRN!G:G,CRN!M:M,"")</f>
        <v>0</v>
      </c>
      <c r="K170">
        <f>IF(J170=0,0,_xlfn.XLOOKUP(C170,CLIENT_CODE!B:B,CLIENT_CODE!I:I,0))</f>
        <v>0</v>
      </c>
      <c r="L170">
        <f>_xlfn.XLOOKUP(B170,CRN!G:G,CRN!N:N,"")</f>
        <v>0</v>
      </c>
      <c r="M170">
        <f>IF(L170=0,0,_xlfn.XLOOKUP(C170,CLIENT_CODE!B:B,CLIENT_CODE!J:J,0))</f>
        <v>0</v>
      </c>
      <c r="N170">
        <f>_xlfn.XLOOKUP(B170,CRN!G:G,CRN!O:O,"")</f>
        <v>0</v>
      </c>
      <c r="O170">
        <f>IF(N170=0,0,_xlfn.XLOOKUP(C170,CLIENT_CODE!B:B,CLIENT_CODE!K:K,0))</f>
        <v>0</v>
      </c>
      <c r="P170">
        <f>_xlfn.XLOOKUP(B170,CRN!G:G,CRN!P:P,"")</f>
        <v>0</v>
      </c>
      <c r="Q170">
        <f>IF(P170=0,0,_xlfn.XLOOKUP(C170,CLIENT_CODE!B:B,CLIENT_CODE!L:L,0))</f>
        <v>0</v>
      </c>
      <c r="R170">
        <f>_xlfn.XLOOKUP(B170,CRN!G:G,CRN!Q:Q,"")</f>
        <v>0</v>
      </c>
      <c r="S170">
        <f>IF(R170=0,0,_xlfn.XLOOKUP(C170,CLIENT_CODE!B:B,CLIENT_CODE!M:M,0))</f>
        <v>0</v>
      </c>
      <c r="T170">
        <f>_xlfn.XLOOKUP(B170,CRN!G:G,CRN!R:R,"")</f>
        <v>0</v>
      </c>
      <c r="U170">
        <f>IF(T170=0,0,_xlfn.XLOOKUP(C170,CLIENT_CODE!B:B,CLIENT_CODE!N:N,0))</f>
        <v>0</v>
      </c>
      <c r="V170">
        <f>_xlfn.XLOOKUP(B170,CRN!G:G,CRN!S:S,"")</f>
        <v>0</v>
      </c>
      <c r="W170">
        <f>IF(V170=0,0,_xlfn.XLOOKUP(C170,CLIENT_CODE!B:B,CLIENT_CODE!O:O,0))</f>
        <v>0</v>
      </c>
      <c r="X170">
        <f>_xlfn.XLOOKUP(B170,CRN!G:G,CRN!T:T,"")</f>
        <v>0</v>
      </c>
      <c r="Y170">
        <f>IF(X170=0,0,_xlfn.XLOOKUP(C170,CLIENT_CODE!B:B,CLIENT_CODE!P:P,0))</f>
        <v>0</v>
      </c>
      <c r="Z170">
        <f>_xlfn.XLOOKUP(B170,CRN!G:G,CRN!U:U,"")</f>
        <v>0</v>
      </c>
      <c r="AA170">
        <f>IF(X170=0,0,_xlfn.XLOOKUP(C170,CLIENT_CODE!B:B,CLIENT_CODE!P:P,0))</f>
        <v>0</v>
      </c>
      <c r="AB170">
        <f>_xlfn.XLOOKUP(B170,CRN!G:G,CRN!V:V,"")</f>
        <v>0</v>
      </c>
      <c r="AC170">
        <f>IF(AB170=0,0,_xlfn.XLOOKUP(C170,CLIENT_CODE!B:B,CLIENT_CODE!R:R,0))</f>
        <v>0</v>
      </c>
      <c r="AD170">
        <f t="shared" si="2"/>
        <v>0</v>
      </c>
    </row>
    <row r="171" spans="1:30">
      <c r="A171" s="42">
        <v>170</v>
      </c>
      <c r="E171">
        <f>IF(D171=0,0,_xlfn.XLOOKUP(C171,CLIENT_CODE!B:B,CLIENT_CODE!F:F,0))</f>
        <v>0</v>
      </c>
      <c r="F171">
        <f>_xlfn.XLOOKUP(B171,CRN!G:G,CRN!K:K,"")</f>
        <v>0</v>
      </c>
      <c r="G171">
        <f>IF(F171=0,0,_xlfn.XLOOKUP(C171,CLIENT_CODE!B:B,CLIENT_CODE!G:G,0))</f>
        <v>0</v>
      </c>
      <c r="H171">
        <f>_xlfn.XLOOKUP(B171,CRN!G:G,CRN!L:L,"")</f>
        <v>0</v>
      </c>
      <c r="I171">
        <f>IF(H171=0,0,_xlfn.XLOOKUP(C171,CLIENT_CODE!B:B,CLIENT_CODE!H:H,0))</f>
        <v>0</v>
      </c>
      <c r="J171">
        <f>_xlfn.XLOOKUP(B171,CRN!G:G,CRN!M:M,"")</f>
        <v>0</v>
      </c>
      <c r="K171">
        <f>IF(J171=0,0,_xlfn.XLOOKUP(C171,CLIENT_CODE!B:B,CLIENT_CODE!I:I,0))</f>
        <v>0</v>
      </c>
      <c r="L171">
        <f>_xlfn.XLOOKUP(B171,CRN!G:G,CRN!N:N,"")</f>
        <v>0</v>
      </c>
      <c r="M171">
        <f>IF(L171=0,0,_xlfn.XLOOKUP(C171,CLIENT_CODE!B:B,CLIENT_CODE!J:J,0))</f>
        <v>0</v>
      </c>
      <c r="N171">
        <f>_xlfn.XLOOKUP(B171,CRN!G:G,CRN!O:O,"")</f>
        <v>0</v>
      </c>
      <c r="O171">
        <f>IF(N171=0,0,_xlfn.XLOOKUP(C171,CLIENT_CODE!B:B,CLIENT_CODE!K:K,0))</f>
        <v>0</v>
      </c>
      <c r="P171">
        <f>_xlfn.XLOOKUP(B171,CRN!G:G,CRN!P:P,"")</f>
        <v>0</v>
      </c>
      <c r="Q171">
        <f>IF(P171=0,0,_xlfn.XLOOKUP(C171,CLIENT_CODE!B:B,CLIENT_CODE!L:L,0))</f>
        <v>0</v>
      </c>
      <c r="R171">
        <f>_xlfn.XLOOKUP(B171,CRN!G:G,CRN!Q:Q,"")</f>
        <v>0</v>
      </c>
      <c r="S171">
        <f>IF(R171=0,0,_xlfn.XLOOKUP(C171,CLIENT_CODE!B:B,CLIENT_CODE!M:M,0))</f>
        <v>0</v>
      </c>
      <c r="T171">
        <f>_xlfn.XLOOKUP(B171,CRN!G:G,CRN!R:R,"")</f>
        <v>0</v>
      </c>
      <c r="U171">
        <f>IF(T171=0,0,_xlfn.XLOOKUP(C171,CLIENT_CODE!B:B,CLIENT_CODE!N:N,0))</f>
        <v>0</v>
      </c>
      <c r="V171">
        <f>_xlfn.XLOOKUP(B171,CRN!G:G,CRN!S:S,"")</f>
        <v>0</v>
      </c>
      <c r="W171">
        <f>IF(V171=0,0,_xlfn.XLOOKUP(C171,CLIENT_CODE!B:B,CLIENT_CODE!O:O,0))</f>
        <v>0</v>
      </c>
      <c r="X171">
        <f>_xlfn.XLOOKUP(B171,CRN!G:G,CRN!T:T,"")</f>
        <v>0</v>
      </c>
      <c r="Y171">
        <f>IF(X171=0,0,_xlfn.XLOOKUP(C171,CLIENT_CODE!B:B,CLIENT_CODE!P:P,0))</f>
        <v>0</v>
      </c>
      <c r="Z171">
        <f>_xlfn.XLOOKUP(B171,CRN!G:G,CRN!U:U,"")</f>
        <v>0</v>
      </c>
      <c r="AA171">
        <f>IF(X171=0,0,_xlfn.XLOOKUP(C171,CLIENT_CODE!B:B,CLIENT_CODE!P:P,0))</f>
        <v>0</v>
      </c>
      <c r="AB171">
        <f>_xlfn.XLOOKUP(B171,CRN!G:G,CRN!V:V,"")</f>
        <v>0</v>
      </c>
      <c r="AC171">
        <f>IF(AB171=0,0,_xlfn.XLOOKUP(C171,CLIENT_CODE!B:B,CLIENT_CODE!R:R,0))</f>
        <v>0</v>
      </c>
      <c r="AD171">
        <f t="shared" si="2"/>
        <v>0</v>
      </c>
    </row>
    <row r="172" spans="1:30">
      <c r="A172" s="42">
        <v>171</v>
      </c>
      <c r="E172">
        <f>IF(D172=0,0,_xlfn.XLOOKUP(C172,CLIENT_CODE!B:B,CLIENT_CODE!F:F,0))</f>
        <v>0</v>
      </c>
      <c r="F172">
        <f>_xlfn.XLOOKUP(B172,CRN!G:G,CRN!K:K,"")</f>
        <v>0</v>
      </c>
      <c r="G172">
        <f>IF(F172=0,0,_xlfn.XLOOKUP(C172,CLIENT_CODE!B:B,CLIENT_CODE!G:G,0))</f>
        <v>0</v>
      </c>
      <c r="H172">
        <f>_xlfn.XLOOKUP(B172,CRN!G:G,CRN!L:L,"")</f>
        <v>0</v>
      </c>
      <c r="I172">
        <f>IF(H172=0,0,_xlfn.XLOOKUP(C172,CLIENT_CODE!B:B,CLIENT_CODE!H:H,0))</f>
        <v>0</v>
      </c>
      <c r="J172">
        <f>_xlfn.XLOOKUP(B172,CRN!G:G,CRN!M:M,"")</f>
        <v>0</v>
      </c>
      <c r="K172">
        <f>IF(J172=0,0,_xlfn.XLOOKUP(C172,CLIENT_CODE!B:B,CLIENT_CODE!I:I,0))</f>
        <v>0</v>
      </c>
      <c r="L172">
        <f>_xlfn.XLOOKUP(B172,CRN!G:G,CRN!N:N,"")</f>
        <v>0</v>
      </c>
      <c r="M172">
        <f>IF(L172=0,0,_xlfn.XLOOKUP(C172,CLIENT_CODE!B:B,CLIENT_CODE!J:J,0))</f>
        <v>0</v>
      </c>
      <c r="N172">
        <f>_xlfn.XLOOKUP(B172,CRN!G:G,CRN!O:O,"")</f>
        <v>0</v>
      </c>
      <c r="O172">
        <f>IF(N172=0,0,_xlfn.XLOOKUP(C172,CLIENT_CODE!B:B,CLIENT_CODE!K:K,0))</f>
        <v>0</v>
      </c>
      <c r="P172">
        <f>_xlfn.XLOOKUP(B172,CRN!G:G,CRN!P:P,"")</f>
        <v>0</v>
      </c>
      <c r="Q172">
        <f>IF(P172=0,0,_xlfn.XLOOKUP(C172,CLIENT_CODE!B:B,CLIENT_CODE!L:L,0))</f>
        <v>0</v>
      </c>
      <c r="R172">
        <f>_xlfn.XLOOKUP(B172,CRN!G:G,CRN!Q:Q,"")</f>
        <v>0</v>
      </c>
      <c r="S172">
        <f>IF(R172=0,0,_xlfn.XLOOKUP(C172,CLIENT_CODE!B:B,CLIENT_CODE!M:M,0))</f>
        <v>0</v>
      </c>
      <c r="T172">
        <f>_xlfn.XLOOKUP(B172,CRN!G:G,CRN!R:R,"")</f>
        <v>0</v>
      </c>
      <c r="U172">
        <f>IF(T172=0,0,_xlfn.XLOOKUP(C172,CLIENT_CODE!B:B,CLIENT_CODE!N:N,0))</f>
        <v>0</v>
      </c>
      <c r="V172">
        <f>_xlfn.XLOOKUP(B172,CRN!G:G,CRN!S:S,"")</f>
        <v>0</v>
      </c>
      <c r="W172">
        <f>IF(V172=0,0,_xlfn.XLOOKUP(C172,CLIENT_CODE!B:B,CLIENT_CODE!O:O,0))</f>
        <v>0</v>
      </c>
      <c r="X172">
        <f>_xlfn.XLOOKUP(B172,CRN!G:G,CRN!T:T,"")</f>
        <v>0</v>
      </c>
      <c r="Y172">
        <f>IF(X172=0,0,_xlfn.XLOOKUP(C172,CLIENT_CODE!B:B,CLIENT_CODE!P:P,0))</f>
        <v>0</v>
      </c>
      <c r="Z172">
        <f>_xlfn.XLOOKUP(B172,CRN!G:G,CRN!U:U,"")</f>
        <v>0</v>
      </c>
      <c r="AA172">
        <f>IF(X172=0,0,_xlfn.XLOOKUP(C172,CLIENT_CODE!B:B,CLIENT_CODE!P:P,0))</f>
        <v>0</v>
      </c>
      <c r="AB172">
        <f>_xlfn.XLOOKUP(B172,CRN!G:G,CRN!V:V,"")</f>
        <v>0</v>
      </c>
      <c r="AC172">
        <f>IF(AB172=0,0,_xlfn.XLOOKUP(C172,CLIENT_CODE!B:B,CLIENT_CODE!R:R,0))</f>
        <v>0</v>
      </c>
      <c r="AD172">
        <f t="shared" si="2"/>
        <v>0</v>
      </c>
    </row>
    <row r="173" spans="1:30">
      <c r="A173" s="42">
        <v>172</v>
      </c>
      <c r="E173">
        <f>IF(D173=0,0,_xlfn.XLOOKUP(C173,CLIENT_CODE!B:B,CLIENT_CODE!F:F,0))</f>
        <v>0</v>
      </c>
      <c r="F173">
        <f>_xlfn.XLOOKUP(B173,CRN!G:G,CRN!K:K,"")</f>
        <v>0</v>
      </c>
      <c r="G173">
        <f>IF(F173=0,0,_xlfn.XLOOKUP(C173,CLIENT_CODE!B:B,CLIENT_CODE!G:G,0))</f>
        <v>0</v>
      </c>
      <c r="H173">
        <f>_xlfn.XLOOKUP(B173,CRN!G:G,CRN!L:L,"")</f>
        <v>0</v>
      </c>
      <c r="I173">
        <f>IF(H173=0,0,_xlfn.XLOOKUP(C173,CLIENT_CODE!B:B,CLIENT_CODE!H:H,0))</f>
        <v>0</v>
      </c>
      <c r="J173">
        <f>_xlfn.XLOOKUP(B173,CRN!G:G,CRN!M:M,"")</f>
        <v>0</v>
      </c>
      <c r="K173">
        <f>IF(J173=0,0,_xlfn.XLOOKUP(C173,CLIENT_CODE!B:B,CLIENT_CODE!I:I,0))</f>
        <v>0</v>
      </c>
      <c r="L173">
        <f>_xlfn.XLOOKUP(B173,CRN!G:G,CRN!N:N,"")</f>
        <v>0</v>
      </c>
      <c r="M173">
        <f>IF(L173=0,0,_xlfn.XLOOKUP(C173,CLIENT_CODE!B:B,CLIENT_CODE!J:J,0))</f>
        <v>0</v>
      </c>
      <c r="N173">
        <f>_xlfn.XLOOKUP(B173,CRN!G:G,CRN!O:O,"")</f>
        <v>0</v>
      </c>
      <c r="O173">
        <f>IF(N173=0,0,_xlfn.XLOOKUP(C173,CLIENT_CODE!B:B,CLIENT_CODE!K:K,0))</f>
        <v>0</v>
      </c>
      <c r="P173">
        <f>_xlfn.XLOOKUP(B173,CRN!G:G,CRN!P:P,"")</f>
        <v>0</v>
      </c>
      <c r="Q173">
        <f>IF(P173=0,0,_xlfn.XLOOKUP(C173,CLIENT_CODE!B:B,CLIENT_CODE!L:L,0))</f>
        <v>0</v>
      </c>
      <c r="R173">
        <f>_xlfn.XLOOKUP(B173,CRN!G:G,CRN!Q:Q,"")</f>
        <v>0</v>
      </c>
      <c r="S173">
        <f>IF(R173=0,0,_xlfn.XLOOKUP(C173,CLIENT_CODE!B:B,CLIENT_CODE!M:M,0))</f>
        <v>0</v>
      </c>
      <c r="T173">
        <f>_xlfn.XLOOKUP(B173,CRN!G:G,CRN!R:R,"")</f>
        <v>0</v>
      </c>
      <c r="U173">
        <f>IF(T173=0,0,_xlfn.XLOOKUP(C173,CLIENT_CODE!B:B,CLIENT_CODE!N:N,0))</f>
        <v>0</v>
      </c>
      <c r="V173">
        <f>_xlfn.XLOOKUP(B173,CRN!G:G,CRN!S:S,"")</f>
        <v>0</v>
      </c>
      <c r="W173">
        <f>IF(V173=0,0,_xlfn.XLOOKUP(C173,CLIENT_CODE!B:B,CLIENT_CODE!O:O,0))</f>
        <v>0</v>
      </c>
      <c r="X173">
        <f>_xlfn.XLOOKUP(B173,CRN!G:G,CRN!T:T,"")</f>
        <v>0</v>
      </c>
      <c r="Y173">
        <f>IF(X173=0,0,_xlfn.XLOOKUP(C173,CLIENT_CODE!B:B,CLIENT_CODE!P:P,0))</f>
        <v>0</v>
      </c>
      <c r="Z173">
        <f>_xlfn.XLOOKUP(B173,CRN!G:G,CRN!U:U,"")</f>
        <v>0</v>
      </c>
      <c r="AA173">
        <f>IF(X173=0,0,_xlfn.XLOOKUP(C173,CLIENT_CODE!B:B,CLIENT_CODE!P:P,0))</f>
        <v>0</v>
      </c>
      <c r="AB173">
        <f>_xlfn.XLOOKUP(B173,CRN!G:G,CRN!V:V,"")</f>
        <v>0</v>
      </c>
      <c r="AC173">
        <f>IF(AB173=0,0,_xlfn.XLOOKUP(C173,CLIENT_CODE!B:B,CLIENT_CODE!R:R,0))</f>
        <v>0</v>
      </c>
      <c r="AD173">
        <f t="shared" si="2"/>
        <v>0</v>
      </c>
    </row>
    <row r="174" spans="1:30">
      <c r="A174" s="42">
        <v>173</v>
      </c>
      <c r="E174">
        <f>IF(D174=0,0,_xlfn.XLOOKUP(C174,CLIENT_CODE!B:B,CLIENT_CODE!F:F,0))</f>
        <v>0</v>
      </c>
      <c r="F174">
        <f>_xlfn.XLOOKUP(B174,CRN!G:G,CRN!K:K,"")</f>
        <v>0</v>
      </c>
      <c r="G174">
        <f>IF(F174=0,0,_xlfn.XLOOKUP(C174,CLIENT_CODE!B:B,CLIENT_CODE!G:G,0))</f>
        <v>0</v>
      </c>
      <c r="H174">
        <f>_xlfn.XLOOKUP(B174,CRN!G:G,CRN!L:L,"")</f>
        <v>0</v>
      </c>
      <c r="I174">
        <f>IF(H174=0,0,_xlfn.XLOOKUP(C174,CLIENT_CODE!B:B,CLIENT_CODE!H:H,0))</f>
        <v>0</v>
      </c>
      <c r="J174">
        <f>_xlfn.XLOOKUP(B174,CRN!G:G,CRN!M:M,"")</f>
        <v>0</v>
      </c>
      <c r="K174">
        <f>IF(J174=0,0,_xlfn.XLOOKUP(C174,CLIENT_CODE!B:B,CLIENT_CODE!I:I,0))</f>
        <v>0</v>
      </c>
      <c r="L174">
        <f>_xlfn.XLOOKUP(B174,CRN!G:G,CRN!N:N,"")</f>
        <v>0</v>
      </c>
      <c r="M174">
        <f>IF(L174=0,0,_xlfn.XLOOKUP(C174,CLIENT_CODE!B:B,CLIENT_CODE!J:J,0))</f>
        <v>0</v>
      </c>
      <c r="N174">
        <f>_xlfn.XLOOKUP(B174,CRN!G:G,CRN!O:O,"")</f>
        <v>0</v>
      </c>
      <c r="O174">
        <f>IF(N174=0,0,_xlfn.XLOOKUP(C174,CLIENT_CODE!B:B,CLIENT_CODE!K:K,0))</f>
        <v>0</v>
      </c>
      <c r="P174">
        <f>_xlfn.XLOOKUP(B174,CRN!G:G,CRN!P:P,"")</f>
        <v>0</v>
      </c>
      <c r="Q174">
        <f>IF(P174=0,0,_xlfn.XLOOKUP(C174,CLIENT_CODE!B:B,CLIENT_CODE!L:L,0))</f>
        <v>0</v>
      </c>
      <c r="R174">
        <f>_xlfn.XLOOKUP(B174,CRN!G:G,CRN!Q:Q,"")</f>
        <v>0</v>
      </c>
      <c r="S174">
        <f>IF(R174=0,0,_xlfn.XLOOKUP(C174,CLIENT_CODE!B:B,CLIENT_CODE!M:M,0))</f>
        <v>0</v>
      </c>
      <c r="T174">
        <f>_xlfn.XLOOKUP(B174,CRN!G:G,CRN!R:R,"")</f>
        <v>0</v>
      </c>
      <c r="U174">
        <f>IF(T174=0,0,_xlfn.XLOOKUP(C174,CLIENT_CODE!B:B,CLIENT_CODE!N:N,0))</f>
        <v>0</v>
      </c>
      <c r="V174">
        <f>_xlfn.XLOOKUP(B174,CRN!G:G,CRN!S:S,"")</f>
        <v>0</v>
      </c>
      <c r="W174">
        <f>IF(V174=0,0,_xlfn.XLOOKUP(C174,CLIENT_CODE!B:B,CLIENT_CODE!O:O,0))</f>
        <v>0</v>
      </c>
      <c r="X174">
        <f>_xlfn.XLOOKUP(B174,CRN!G:G,CRN!T:T,"")</f>
        <v>0</v>
      </c>
      <c r="Y174">
        <f>IF(X174=0,0,_xlfn.XLOOKUP(C174,CLIENT_CODE!B:B,CLIENT_CODE!P:P,0))</f>
        <v>0</v>
      </c>
      <c r="Z174">
        <f>_xlfn.XLOOKUP(B174,CRN!G:G,CRN!U:U,"")</f>
        <v>0</v>
      </c>
      <c r="AA174">
        <f>IF(X174=0,0,_xlfn.XLOOKUP(C174,CLIENT_CODE!B:B,CLIENT_CODE!P:P,0))</f>
        <v>0</v>
      </c>
      <c r="AB174">
        <f>_xlfn.XLOOKUP(B174,CRN!G:G,CRN!V:V,"")</f>
        <v>0</v>
      </c>
      <c r="AC174">
        <f>IF(AB174=0,0,_xlfn.XLOOKUP(C174,CLIENT_CODE!B:B,CLIENT_CODE!R:R,0))</f>
        <v>0</v>
      </c>
      <c r="AD174">
        <f t="shared" si="2"/>
        <v>0</v>
      </c>
    </row>
    <row r="175" spans="1:30">
      <c r="A175" s="42">
        <v>174</v>
      </c>
      <c r="E175">
        <f>IF(D175=0,0,_xlfn.XLOOKUP(C175,CLIENT_CODE!B:B,CLIENT_CODE!F:F,0))</f>
        <v>0</v>
      </c>
      <c r="F175">
        <f>_xlfn.XLOOKUP(B175,CRN!G:G,CRN!K:K,"")</f>
        <v>0</v>
      </c>
      <c r="G175">
        <f>IF(F175=0,0,_xlfn.XLOOKUP(C175,CLIENT_CODE!B:B,CLIENT_CODE!G:G,0))</f>
        <v>0</v>
      </c>
      <c r="H175">
        <f>_xlfn.XLOOKUP(B175,CRN!G:G,CRN!L:L,"")</f>
        <v>0</v>
      </c>
      <c r="I175">
        <f>IF(H175=0,0,_xlfn.XLOOKUP(C175,CLIENT_CODE!B:B,CLIENT_CODE!H:H,0))</f>
        <v>0</v>
      </c>
      <c r="J175">
        <f>_xlfn.XLOOKUP(B175,CRN!G:G,CRN!M:M,"")</f>
        <v>0</v>
      </c>
      <c r="K175">
        <f>IF(J175=0,0,_xlfn.XLOOKUP(C175,CLIENT_CODE!B:B,CLIENT_CODE!I:I,0))</f>
        <v>0</v>
      </c>
      <c r="L175">
        <f>_xlfn.XLOOKUP(B175,CRN!G:G,CRN!N:N,"")</f>
        <v>0</v>
      </c>
      <c r="M175">
        <f>IF(L175=0,0,_xlfn.XLOOKUP(C175,CLIENT_CODE!B:B,CLIENT_CODE!J:J,0))</f>
        <v>0</v>
      </c>
      <c r="N175">
        <f>_xlfn.XLOOKUP(B175,CRN!G:G,CRN!O:O,"")</f>
        <v>0</v>
      </c>
      <c r="O175">
        <f>IF(N175=0,0,_xlfn.XLOOKUP(C175,CLIENT_CODE!B:B,CLIENT_CODE!K:K,0))</f>
        <v>0</v>
      </c>
      <c r="P175">
        <f>_xlfn.XLOOKUP(B175,CRN!G:G,CRN!P:P,"")</f>
        <v>0</v>
      </c>
      <c r="Q175">
        <f>IF(P175=0,0,_xlfn.XLOOKUP(C175,CLIENT_CODE!B:B,CLIENT_CODE!L:L,0))</f>
        <v>0</v>
      </c>
      <c r="R175">
        <f>_xlfn.XLOOKUP(B175,CRN!G:G,CRN!Q:Q,"")</f>
        <v>0</v>
      </c>
      <c r="S175">
        <f>IF(R175=0,0,_xlfn.XLOOKUP(C175,CLIENT_CODE!B:B,CLIENT_CODE!M:M,0))</f>
        <v>0</v>
      </c>
      <c r="T175">
        <f>_xlfn.XLOOKUP(B175,CRN!G:G,CRN!R:R,"")</f>
        <v>0</v>
      </c>
      <c r="U175">
        <f>IF(T175=0,0,_xlfn.XLOOKUP(C175,CLIENT_CODE!B:B,CLIENT_CODE!N:N,0))</f>
        <v>0</v>
      </c>
      <c r="V175">
        <f>_xlfn.XLOOKUP(B175,CRN!G:G,CRN!S:S,"")</f>
        <v>0</v>
      </c>
      <c r="W175">
        <f>IF(V175=0,0,_xlfn.XLOOKUP(C175,CLIENT_CODE!B:B,CLIENT_CODE!O:O,0))</f>
        <v>0</v>
      </c>
      <c r="X175">
        <f>_xlfn.XLOOKUP(B175,CRN!G:G,CRN!T:T,"")</f>
        <v>0</v>
      </c>
      <c r="Y175">
        <f>IF(X175=0,0,_xlfn.XLOOKUP(C175,CLIENT_CODE!B:B,CLIENT_CODE!P:P,0))</f>
        <v>0</v>
      </c>
      <c r="Z175">
        <f>_xlfn.XLOOKUP(B175,CRN!G:G,CRN!U:U,"")</f>
        <v>0</v>
      </c>
      <c r="AA175">
        <f>IF(X175=0,0,_xlfn.XLOOKUP(C175,CLIENT_CODE!B:B,CLIENT_CODE!P:P,0))</f>
        <v>0</v>
      </c>
      <c r="AB175">
        <f>_xlfn.XLOOKUP(B175,CRN!G:G,CRN!V:V,"")</f>
        <v>0</v>
      </c>
      <c r="AC175">
        <f>IF(AB175=0,0,_xlfn.XLOOKUP(C175,CLIENT_CODE!B:B,CLIENT_CODE!R:R,0))</f>
        <v>0</v>
      </c>
      <c r="AD175">
        <f t="shared" si="2"/>
        <v>0</v>
      </c>
    </row>
    <row r="176" spans="1:30">
      <c r="A176" s="42">
        <v>175</v>
      </c>
      <c r="E176">
        <f>IF(D176=0,0,_xlfn.XLOOKUP(C176,CLIENT_CODE!B:B,CLIENT_CODE!F:F,0))</f>
        <v>0</v>
      </c>
      <c r="F176">
        <f>_xlfn.XLOOKUP(B176,CRN!G:G,CRN!K:K,"")</f>
        <v>0</v>
      </c>
      <c r="G176">
        <f>IF(F176=0,0,_xlfn.XLOOKUP(C176,CLIENT_CODE!B:B,CLIENT_CODE!G:G,0))</f>
        <v>0</v>
      </c>
      <c r="H176">
        <f>_xlfn.XLOOKUP(B176,CRN!G:G,CRN!L:L,"")</f>
        <v>0</v>
      </c>
      <c r="I176">
        <f>IF(H176=0,0,_xlfn.XLOOKUP(C176,CLIENT_CODE!B:B,CLIENT_CODE!H:H,0))</f>
        <v>0</v>
      </c>
      <c r="J176">
        <f>_xlfn.XLOOKUP(B176,CRN!G:G,CRN!M:M,"")</f>
        <v>0</v>
      </c>
      <c r="K176">
        <f>IF(J176=0,0,_xlfn.XLOOKUP(C176,CLIENT_CODE!B:B,CLIENT_CODE!I:I,0))</f>
        <v>0</v>
      </c>
      <c r="L176">
        <f>_xlfn.XLOOKUP(B176,CRN!G:G,CRN!N:N,"")</f>
        <v>0</v>
      </c>
      <c r="M176">
        <f>IF(L176=0,0,_xlfn.XLOOKUP(C176,CLIENT_CODE!B:B,CLIENT_CODE!J:J,0))</f>
        <v>0</v>
      </c>
      <c r="N176">
        <f>_xlfn.XLOOKUP(B176,CRN!G:G,CRN!O:O,"")</f>
        <v>0</v>
      </c>
      <c r="O176">
        <f>IF(N176=0,0,_xlfn.XLOOKUP(C176,CLIENT_CODE!B:B,CLIENT_CODE!K:K,0))</f>
        <v>0</v>
      </c>
      <c r="P176">
        <f>_xlfn.XLOOKUP(B176,CRN!G:G,CRN!P:P,"")</f>
        <v>0</v>
      </c>
      <c r="Q176">
        <f>IF(P176=0,0,_xlfn.XLOOKUP(C176,CLIENT_CODE!B:B,CLIENT_CODE!L:L,0))</f>
        <v>0</v>
      </c>
      <c r="R176">
        <f>_xlfn.XLOOKUP(B176,CRN!G:G,CRN!Q:Q,"")</f>
        <v>0</v>
      </c>
      <c r="S176">
        <f>IF(R176=0,0,_xlfn.XLOOKUP(C176,CLIENT_CODE!B:B,CLIENT_CODE!M:M,0))</f>
        <v>0</v>
      </c>
      <c r="T176">
        <f>_xlfn.XLOOKUP(B176,CRN!G:G,CRN!R:R,"")</f>
        <v>0</v>
      </c>
      <c r="U176">
        <f>IF(T176=0,0,_xlfn.XLOOKUP(C176,CLIENT_CODE!B:B,CLIENT_CODE!N:N,0))</f>
        <v>0</v>
      </c>
      <c r="V176">
        <f>_xlfn.XLOOKUP(B176,CRN!G:G,CRN!S:S,"")</f>
        <v>0</v>
      </c>
      <c r="W176">
        <f>IF(V176=0,0,_xlfn.XLOOKUP(C176,CLIENT_CODE!B:B,CLIENT_CODE!O:O,0))</f>
        <v>0</v>
      </c>
      <c r="X176">
        <f>_xlfn.XLOOKUP(B176,CRN!G:G,CRN!T:T,"")</f>
        <v>0</v>
      </c>
      <c r="Y176">
        <f>IF(X176=0,0,_xlfn.XLOOKUP(C176,CLIENT_CODE!B:B,CLIENT_CODE!P:P,0))</f>
        <v>0</v>
      </c>
      <c r="Z176">
        <f>_xlfn.XLOOKUP(B176,CRN!G:G,CRN!U:U,"")</f>
        <v>0</v>
      </c>
      <c r="AA176">
        <f>IF(X176=0,0,_xlfn.XLOOKUP(C176,CLIENT_CODE!B:B,CLIENT_CODE!P:P,0))</f>
        <v>0</v>
      </c>
      <c r="AB176">
        <f>_xlfn.XLOOKUP(B176,CRN!G:G,CRN!V:V,"")</f>
        <v>0</v>
      </c>
      <c r="AC176">
        <f>IF(AB176=0,0,_xlfn.XLOOKUP(C176,CLIENT_CODE!B:B,CLIENT_CODE!R:R,0))</f>
        <v>0</v>
      </c>
      <c r="AD176">
        <f t="shared" si="2"/>
        <v>0</v>
      </c>
    </row>
    <row r="177" spans="1:30">
      <c r="A177" s="42">
        <v>176</v>
      </c>
      <c r="E177">
        <f>IF(D177=0,0,_xlfn.XLOOKUP(C177,CLIENT_CODE!B:B,CLIENT_CODE!F:F,0))</f>
        <v>0</v>
      </c>
      <c r="F177">
        <f>_xlfn.XLOOKUP(B177,CRN!G:G,CRN!K:K,"")</f>
        <v>0</v>
      </c>
      <c r="G177">
        <f>IF(F177=0,0,_xlfn.XLOOKUP(C177,CLIENT_CODE!B:B,CLIENT_CODE!G:G,0))</f>
        <v>0</v>
      </c>
      <c r="H177">
        <f>_xlfn.XLOOKUP(B177,CRN!G:G,CRN!L:L,"")</f>
        <v>0</v>
      </c>
      <c r="I177">
        <f>IF(H177=0,0,_xlfn.XLOOKUP(C177,CLIENT_CODE!B:B,CLIENT_CODE!H:H,0))</f>
        <v>0</v>
      </c>
      <c r="J177">
        <f>_xlfn.XLOOKUP(B177,CRN!G:G,CRN!M:M,"")</f>
        <v>0</v>
      </c>
      <c r="K177">
        <f>IF(J177=0,0,_xlfn.XLOOKUP(C177,CLIENT_CODE!B:B,CLIENT_CODE!I:I,0))</f>
        <v>0</v>
      </c>
      <c r="L177">
        <f>_xlfn.XLOOKUP(B177,CRN!G:G,CRN!N:N,"")</f>
        <v>0</v>
      </c>
      <c r="M177">
        <f>IF(L177=0,0,_xlfn.XLOOKUP(C177,CLIENT_CODE!B:B,CLIENT_CODE!J:J,0))</f>
        <v>0</v>
      </c>
      <c r="N177">
        <f>_xlfn.XLOOKUP(B177,CRN!G:G,CRN!O:O,"")</f>
        <v>0</v>
      </c>
      <c r="O177">
        <f>IF(N177=0,0,_xlfn.XLOOKUP(C177,CLIENT_CODE!B:B,CLIENT_CODE!K:K,0))</f>
        <v>0</v>
      </c>
      <c r="P177">
        <f>_xlfn.XLOOKUP(B177,CRN!G:G,CRN!P:P,"")</f>
        <v>0</v>
      </c>
      <c r="Q177">
        <f>IF(P177=0,0,_xlfn.XLOOKUP(C177,CLIENT_CODE!B:B,CLIENT_CODE!L:L,0))</f>
        <v>0</v>
      </c>
      <c r="R177">
        <f>_xlfn.XLOOKUP(B177,CRN!G:G,CRN!Q:Q,"")</f>
        <v>0</v>
      </c>
      <c r="S177">
        <f>IF(R177=0,0,_xlfn.XLOOKUP(C177,CLIENT_CODE!B:B,CLIENT_CODE!M:M,0))</f>
        <v>0</v>
      </c>
      <c r="T177">
        <f>_xlfn.XLOOKUP(B177,CRN!G:G,CRN!R:R,"")</f>
        <v>0</v>
      </c>
      <c r="U177">
        <f>IF(T177=0,0,_xlfn.XLOOKUP(C177,CLIENT_CODE!B:B,CLIENT_CODE!N:N,0))</f>
        <v>0</v>
      </c>
      <c r="V177">
        <f>_xlfn.XLOOKUP(B177,CRN!G:G,CRN!S:S,"")</f>
        <v>0</v>
      </c>
      <c r="W177">
        <f>IF(V177=0,0,_xlfn.XLOOKUP(C177,CLIENT_CODE!B:B,CLIENT_CODE!O:O,0))</f>
        <v>0</v>
      </c>
      <c r="X177">
        <f>_xlfn.XLOOKUP(B177,CRN!G:G,CRN!T:T,"")</f>
        <v>0</v>
      </c>
      <c r="Y177">
        <f>IF(X177=0,0,_xlfn.XLOOKUP(C177,CLIENT_CODE!B:B,CLIENT_CODE!P:P,0))</f>
        <v>0</v>
      </c>
      <c r="Z177">
        <f>_xlfn.XLOOKUP(B177,CRN!G:G,CRN!U:U,"")</f>
        <v>0</v>
      </c>
      <c r="AA177">
        <f>IF(X177=0,0,_xlfn.XLOOKUP(C177,CLIENT_CODE!B:B,CLIENT_CODE!P:P,0))</f>
        <v>0</v>
      </c>
      <c r="AB177">
        <f>_xlfn.XLOOKUP(B177,CRN!G:G,CRN!V:V,"")</f>
        <v>0</v>
      </c>
      <c r="AC177">
        <f>IF(AB177=0,0,_xlfn.XLOOKUP(C177,CLIENT_CODE!B:B,CLIENT_CODE!R:R,0))</f>
        <v>0</v>
      </c>
      <c r="AD177">
        <f t="shared" si="2"/>
        <v>0</v>
      </c>
    </row>
    <row r="178" spans="1:30">
      <c r="A178" s="42">
        <v>177</v>
      </c>
      <c r="E178">
        <f>IF(D178=0,0,_xlfn.XLOOKUP(C178,CLIENT_CODE!B:B,CLIENT_CODE!F:F,0))</f>
        <v>0</v>
      </c>
      <c r="F178">
        <f>_xlfn.XLOOKUP(B178,CRN!G:G,CRN!K:K,"")</f>
        <v>0</v>
      </c>
      <c r="G178">
        <f>IF(F178=0,0,_xlfn.XLOOKUP(C178,CLIENT_CODE!B:B,CLIENT_CODE!G:G,0))</f>
        <v>0</v>
      </c>
      <c r="H178">
        <f>_xlfn.XLOOKUP(B178,CRN!G:G,CRN!L:L,"")</f>
        <v>0</v>
      </c>
      <c r="I178">
        <f>IF(H178=0,0,_xlfn.XLOOKUP(C178,CLIENT_CODE!B:B,CLIENT_CODE!H:H,0))</f>
        <v>0</v>
      </c>
      <c r="J178">
        <f>_xlfn.XLOOKUP(B178,CRN!G:G,CRN!M:M,"")</f>
        <v>0</v>
      </c>
      <c r="K178">
        <f>IF(J178=0,0,_xlfn.XLOOKUP(C178,CLIENT_CODE!B:B,CLIENT_CODE!I:I,0))</f>
        <v>0</v>
      </c>
      <c r="L178">
        <f>_xlfn.XLOOKUP(B178,CRN!G:G,CRN!N:N,"")</f>
        <v>0</v>
      </c>
      <c r="M178">
        <f>IF(L178=0,0,_xlfn.XLOOKUP(C178,CLIENT_CODE!B:B,CLIENT_CODE!J:J,0))</f>
        <v>0</v>
      </c>
      <c r="N178">
        <f>_xlfn.XLOOKUP(B178,CRN!G:G,CRN!O:O,"")</f>
        <v>0</v>
      </c>
      <c r="O178">
        <f>IF(N178=0,0,_xlfn.XLOOKUP(C178,CLIENT_CODE!B:B,CLIENT_CODE!K:K,0))</f>
        <v>0</v>
      </c>
      <c r="P178">
        <f>_xlfn.XLOOKUP(B178,CRN!G:G,CRN!P:P,"")</f>
        <v>0</v>
      </c>
      <c r="Q178">
        <f>IF(P178=0,0,_xlfn.XLOOKUP(C178,CLIENT_CODE!B:B,CLIENT_CODE!L:L,0))</f>
        <v>0</v>
      </c>
      <c r="R178">
        <f>_xlfn.XLOOKUP(B178,CRN!G:G,CRN!Q:Q,"")</f>
        <v>0</v>
      </c>
      <c r="S178">
        <f>IF(R178=0,0,_xlfn.XLOOKUP(C178,CLIENT_CODE!B:B,CLIENT_CODE!M:M,0))</f>
        <v>0</v>
      </c>
      <c r="T178">
        <f>_xlfn.XLOOKUP(B178,CRN!G:G,CRN!R:R,"")</f>
        <v>0</v>
      </c>
      <c r="U178">
        <f>IF(T178=0,0,_xlfn.XLOOKUP(C178,CLIENT_CODE!B:B,CLIENT_CODE!N:N,0))</f>
        <v>0</v>
      </c>
      <c r="V178">
        <f>_xlfn.XLOOKUP(B178,CRN!G:G,CRN!S:S,"")</f>
        <v>0</v>
      </c>
      <c r="W178">
        <f>IF(V178=0,0,_xlfn.XLOOKUP(C178,CLIENT_CODE!B:B,CLIENT_CODE!O:O,0))</f>
        <v>0</v>
      </c>
      <c r="X178">
        <f>_xlfn.XLOOKUP(B178,CRN!G:G,CRN!T:T,"")</f>
        <v>0</v>
      </c>
      <c r="Y178">
        <f>IF(X178=0,0,_xlfn.XLOOKUP(C178,CLIENT_CODE!B:B,CLIENT_CODE!P:P,0))</f>
        <v>0</v>
      </c>
      <c r="Z178">
        <f>_xlfn.XLOOKUP(B178,CRN!G:G,CRN!U:U,"")</f>
        <v>0</v>
      </c>
      <c r="AA178">
        <f>IF(X178=0,0,_xlfn.XLOOKUP(C178,CLIENT_CODE!B:B,CLIENT_CODE!P:P,0))</f>
        <v>0</v>
      </c>
      <c r="AB178">
        <f>_xlfn.XLOOKUP(B178,CRN!G:G,CRN!V:V,"")</f>
        <v>0</v>
      </c>
      <c r="AC178">
        <f>IF(AB178=0,0,_xlfn.XLOOKUP(C178,CLIENT_CODE!B:B,CLIENT_CODE!R:R,0))</f>
        <v>0</v>
      </c>
      <c r="AD178">
        <f t="shared" si="2"/>
        <v>0</v>
      </c>
    </row>
    <row r="179" spans="1:30">
      <c r="A179" s="42">
        <v>178</v>
      </c>
      <c r="E179">
        <f>IF(D179=0,0,_xlfn.XLOOKUP(C179,CLIENT_CODE!B:B,CLIENT_CODE!F:F,0))</f>
        <v>0</v>
      </c>
      <c r="F179">
        <f>_xlfn.XLOOKUP(B179,CRN!G:G,CRN!K:K,"")</f>
        <v>0</v>
      </c>
      <c r="G179">
        <f>IF(F179=0,0,_xlfn.XLOOKUP(C179,CLIENT_CODE!B:B,CLIENT_CODE!G:G,0))</f>
        <v>0</v>
      </c>
      <c r="H179">
        <f>_xlfn.XLOOKUP(B179,CRN!G:G,CRN!L:L,"")</f>
        <v>0</v>
      </c>
      <c r="I179">
        <f>IF(H179=0,0,_xlfn.XLOOKUP(C179,CLIENT_CODE!B:B,CLIENT_CODE!H:H,0))</f>
        <v>0</v>
      </c>
      <c r="J179">
        <f>_xlfn.XLOOKUP(B179,CRN!G:G,CRN!M:M,"")</f>
        <v>0</v>
      </c>
      <c r="K179">
        <f>IF(J179=0,0,_xlfn.XLOOKUP(C179,CLIENT_CODE!B:B,CLIENT_CODE!I:I,0))</f>
        <v>0</v>
      </c>
      <c r="L179">
        <f>_xlfn.XLOOKUP(B179,CRN!G:G,CRN!N:N,"")</f>
        <v>0</v>
      </c>
      <c r="M179">
        <f>IF(L179=0,0,_xlfn.XLOOKUP(C179,CLIENT_CODE!B:B,CLIENT_CODE!J:J,0))</f>
        <v>0</v>
      </c>
      <c r="N179">
        <f>_xlfn.XLOOKUP(B179,CRN!G:G,CRN!O:O,"")</f>
        <v>0</v>
      </c>
      <c r="O179">
        <f>IF(N179=0,0,_xlfn.XLOOKUP(C179,CLIENT_CODE!B:B,CLIENT_CODE!K:K,0))</f>
        <v>0</v>
      </c>
      <c r="P179">
        <f>_xlfn.XLOOKUP(B179,CRN!G:G,CRN!P:P,"")</f>
        <v>0</v>
      </c>
      <c r="Q179">
        <f>IF(P179=0,0,_xlfn.XLOOKUP(C179,CLIENT_CODE!B:B,CLIENT_CODE!L:L,0))</f>
        <v>0</v>
      </c>
      <c r="R179">
        <f>_xlfn.XLOOKUP(B179,CRN!G:G,CRN!Q:Q,"")</f>
        <v>0</v>
      </c>
      <c r="S179">
        <f>IF(R179=0,0,_xlfn.XLOOKUP(C179,CLIENT_CODE!B:B,CLIENT_CODE!M:M,0))</f>
        <v>0</v>
      </c>
      <c r="T179">
        <f>_xlfn.XLOOKUP(B179,CRN!G:G,CRN!R:R,"")</f>
        <v>0</v>
      </c>
      <c r="U179">
        <f>IF(T179=0,0,_xlfn.XLOOKUP(C179,CLIENT_CODE!B:B,CLIENT_CODE!N:N,0))</f>
        <v>0</v>
      </c>
      <c r="V179">
        <f>_xlfn.XLOOKUP(B179,CRN!G:G,CRN!S:S,"")</f>
        <v>0</v>
      </c>
      <c r="W179">
        <f>IF(V179=0,0,_xlfn.XLOOKUP(C179,CLIENT_CODE!B:B,CLIENT_CODE!O:O,0))</f>
        <v>0</v>
      </c>
      <c r="X179">
        <f>_xlfn.XLOOKUP(B179,CRN!G:G,CRN!T:T,"")</f>
        <v>0</v>
      </c>
      <c r="Y179">
        <f>IF(X179=0,0,_xlfn.XLOOKUP(C179,CLIENT_CODE!B:B,CLIENT_CODE!P:P,0))</f>
        <v>0</v>
      </c>
      <c r="Z179">
        <f>_xlfn.XLOOKUP(B179,CRN!G:G,CRN!U:U,"")</f>
        <v>0</v>
      </c>
      <c r="AA179">
        <f>IF(X179=0,0,_xlfn.XLOOKUP(C179,CLIENT_CODE!B:B,CLIENT_CODE!P:P,0))</f>
        <v>0</v>
      </c>
      <c r="AB179">
        <f>_xlfn.XLOOKUP(B179,CRN!G:G,CRN!V:V,"")</f>
        <v>0</v>
      </c>
      <c r="AC179">
        <f>IF(AB179=0,0,_xlfn.XLOOKUP(C179,CLIENT_CODE!B:B,CLIENT_CODE!R:R,0))</f>
        <v>0</v>
      </c>
      <c r="AD179">
        <f t="shared" si="2"/>
        <v>0</v>
      </c>
    </row>
    <row r="180" spans="1:30">
      <c r="A180" s="42">
        <v>179</v>
      </c>
      <c r="E180">
        <f>IF(D180=0,0,_xlfn.XLOOKUP(C180,CLIENT_CODE!B:B,CLIENT_CODE!F:F,0))</f>
        <v>0</v>
      </c>
      <c r="F180">
        <f>_xlfn.XLOOKUP(B180,CRN!G:G,CRN!K:K,"")</f>
        <v>0</v>
      </c>
      <c r="G180">
        <f>IF(F180=0,0,_xlfn.XLOOKUP(C180,CLIENT_CODE!B:B,CLIENT_CODE!G:G,0))</f>
        <v>0</v>
      </c>
      <c r="H180">
        <f>_xlfn.XLOOKUP(B180,CRN!G:G,CRN!L:L,"")</f>
        <v>0</v>
      </c>
      <c r="I180">
        <f>IF(H180=0,0,_xlfn.XLOOKUP(C180,CLIENT_CODE!B:B,CLIENT_CODE!H:H,0))</f>
        <v>0</v>
      </c>
      <c r="J180">
        <f>_xlfn.XLOOKUP(B180,CRN!G:G,CRN!M:M,"")</f>
        <v>0</v>
      </c>
      <c r="K180">
        <f>IF(J180=0,0,_xlfn.XLOOKUP(C180,CLIENT_CODE!B:B,CLIENT_CODE!I:I,0))</f>
        <v>0</v>
      </c>
      <c r="L180">
        <f>_xlfn.XLOOKUP(B180,CRN!G:G,CRN!N:N,"")</f>
        <v>0</v>
      </c>
      <c r="M180">
        <f>IF(L180=0,0,_xlfn.XLOOKUP(C180,CLIENT_CODE!B:B,CLIENT_CODE!J:J,0))</f>
        <v>0</v>
      </c>
      <c r="N180">
        <f>_xlfn.XLOOKUP(B180,CRN!G:G,CRN!O:O,"")</f>
        <v>0</v>
      </c>
      <c r="O180">
        <f>IF(N180=0,0,_xlfn.XLOOKUP(C180,CLIENT_CODE!B:B,CLIENT_CODE!K:K,0))</f>
        <v>0</v>
      </c>
      <c r="P180">
        <f>_xlfn.XLOOKUP(B180,CRN!G:G,CRN!P:P,"")</f>
        <v>0</v>
      </c>
      <c r="Q180">
        <f>IF(P180=0,0,_xlfn.XLOOKUP(C180,CLIENT_CODE!B:B,CLIENT_CODE!L:L,0))</f>
        <v>0</v>
      </c>
      <c r="R180">
        <f>_xlfn.XLOOKUP(B180,CRN!G:G,CRN!Q:Q,"")</f>
        <v>0</v>
      </c>
      <c r="S180">
        <f>IF(R180=0,0,_xlfn.XLOOKUP(C180,CLIENT_CODE!B:B,CLIENT_CODE!M:M,0))</f>
        <v>0</v>
      </c>
      <c r="T180">
        <f>_xlfn.XLOOKUP(B180,CRN!G:G,CRN!R:R,"")</f>
        <v>0</v>
      </c>
      <c r="U180">
        <f>IF(T180=0,0,_xlfn.XLOOKUP(C180,CLIENT_CODE!B:B,CLIENT_CODE!N:N,0))</f>
        <v>0</v>
      </c>
      <c r="V180">
        <f>_xlfn.XLOOKUP(B180,CRN!G:G,CRN!S:S,"")</f>
        <v>0</v>
      </c>
      <c r="W180">
        <f>IF(V180=0,0,_xlfn.XLOOKUP(C180,CLIENT_CODE!B:B,CLIENT_CODE!O:O,0))</f>
        <v>0</v>
      </c>
      <c r="X180">
        <f>_xlfn.XLOOKUP(B180,CRN!G:G,CRN!T:T,"")</f>
        <v>0</v>
      </c>
      <c r="Y180">
        <f>IF(X180=0,0,_xlfn.XLOOKUP(C180,CLIENT_CODE!B:B,CLIENT_CODE!P:P,0))</f>
        <v>0</v>
      </c>
      <c r="Z180">
        <f>_xlfn.XLOOKUP(B180,CRN!G:G,CRN!U:U,"")</f>
        <v>0</v>
      </c>
      <c r="AA180">
        <f>IF(X180=0,0,_xlfn.XLOOKUP(C180,CLIENT_CODE!B:B,CLIENT_CODE!P:P,0))</f>
        <v>0</v>
      </c>
      <c r="AB180">
        <f>_xlfn.XLOOKUP(B180,CRN!G:G,CRN!V:V,"")</f>
        <v>0</v>
      </c>
      <c r="AC180">
        <f>IF(AB180=0,0,_xlfn.XLOOKUP(C180,CLIENT_CODE!B:B,CLIENT_CODE!R:R,0))</f>
        <v>0</v>
      </c>
      <c r="AD180">
        <f t="shared" si="2"/>
        <v>0</v>
      </c>
    </row>
    <row r="181" spans="1:30">
      <c r="A181" s="42">
        <v>180</v>
      </c>
      <c r="E181">
        <f>IF(D181=0,0,_xlfn.XLOOKUP(C181,CLIENT_CODE!B:B,CLIENT_CODE!F:F,0))</f>
        <v>0</v>
      </c>
      <c r="F181">
        <f>_xlfn.XLOOKUP(B181,CRN!G:G,CRN!K:K,"")</f>
        <v>0</v>
      </c>
      <c r="G181">
        <f>IF(F181=0,0,_xlfn.XLOOKUP(C181,CLIENT_CODE!B:B,CLIENT_CODE!G:G,0))</f>
        <v>0</v>
      </c>
      <c r="H181">
        <f>_xlfn.XLOOKUP(B181,CRN!G:G,CRN!L:L,"")</f>
        <v>0</v>
      </c>
      <c r="I181">
        <f>IF(H181=0,0,_xlfn.XLOOKUP(C181,CLIENT_CODE!B:B,CLIENT_CODE!H:H,0))</f>
        <v>0</v>
      </c>
      <c r="J181">
        <f>_xlfn.XLOOKUP(B181,CRN!G:G,CRN!M:M,"")</f>
        <v>0</v>
      </c>
      <c r="K181">
        <f>IF(J181=0,0,_xlfn.XLOOKUP(C181,CLIENT_CODE!B:B,CLIENT_CODE!I:I,0))</f>
        <v>0</v>
      </c>
      <c r="L181">
        <f>_xlfn.XLOOKUP(B181,CRN!G:G,CRN!N:N,"")</f>
        <v>0</v>
      </c>
      <c r="M181">
        <f>IF(L181=0,0,_xlfn.XLOOKUP(C181,CLIENT_CODE!B:B,CLIENT_CODE!J:J,0))</f>
        <v>0</v>
      </c>
      <c r="N181">
        <f>_xlfn.XLOOKUP(B181,CRN!G:G,CRN!O:O,"")</f>
        <v>0</v>
      </c>
      <c r="O181">
        <f>IF(N181=0,0,_xlfn.XLOOKUP(C181,CLIENT_CODE!B:B,CLIENT_CODE!K:K,0))</f>
        <v>0</v>
      </c>
      <c r="P181">
        <f>_xlfn.XLOOKUP(B181,CRN!G:G,CRN!P:P,"")</f>
        <v>0</v>
      </c>
      <c r="Q181">
        <f>IF(P181=0,0,_xlfn.XLOOKUP(C181,CLIENT_CODE!B:B,CLIENT_CODE!L:L,0))</f>
        <v>0</v>
      </c>
      <c r="R181">
        <f>_xlfn.XLOOKUP(B181,CRN!G:G,CRN!Q:Q,"")</f>
        <v>0</v>
      </c>
      <c r="S181">
        <f>IF(R181=0,0,_xlfn.XLOOKUP(C181,CLIENT_CODE!B:B,CLIENT_CODE!M:M,0))</f>
        <v>0</v>
      </c>
      <c r="T181">
        <f>_xlfn.XLOOKUP(B181,CRN!G:G,CRN!R:R,"")</f>
        <v>0</v>
      </c>
      <c r="U181">
        <f>IF(T181=0,0,_xlfn.XLOOKUP(C181,CLIENT_CODE!B:B,CLIENT_CODE!N:N,0))</f>
        <v>0</v>
      </c>
      <c r="V181">
        <f>_xlfn.XLOOKUP(B181,CRN!G:G,CRN!S:S,"")</f>
        <v>0</v>
      </c>
      <c r="W181">
        <f>IF(V181=0,0,_xlfn.XLOOKUP(C181,CLIENT_CODE!B:B,CLIENT_CODE!O:O,0))</f>
        <v>0</v>
      </c>
      <c r="X181">
        <f>_xlfn.XLOOKUP(B181,CRN!G:G,CRN!T:T,"")</f>
        <v>0</v>
      </c>
      <c r="Y181">
        <f>IF(X181=0,0,_xlfn.XLOOKUP(C181,CLIENT_CODE!B:B,CLIENT_CODE!P:P,0))</f>
        <v>0</v>
      </c>
      <c r="Z181">
        <f>_xlfn.XLOOKUP(B181,CRN!G:G,CRN!U:U,"")</f>
        <v>0</v>
      </c>
      <c r="AA181">
        <f>IF(X181=0,0,_xlfn.XLOOKUP(C181,CLIENT_CODE!B:B,CLIENT_CODE!P:P,0))</f>
        <v>0</v>
      </c>
      <c r="AB181">
        <f>_xlfn.XLOOKUP(B181,CRN!G:G,CRN!V:V,"")</f>
        <v>0</v>
      </c>
      <c r="AC181">
        <f>IF(AB181=0,0,_xlfn.XLOOKUP(C181,CLIENT_CODE!B:B,CLIENT_CODE!R:R,0))</f>
        <v>0</v>
      </c>
      <c r="AD181">
        <f t="shared" si="2"/>
        <v>0</v>
      </c>
    </row>
    <row r="182" spans="1:30">
      <c r="A182" s="42">
        <v>181</v>
      </c>
      <c r="E182">
        <f>IF(D182=0,0,_xlfn.XLOOKUP(C182,CLIENT_CODE!B:B,CLIENT_CODE!F:F,0))</f>
        <v>0</v>
      </c>
      <c r="F182">
        <f>_xlfn.XLOOKUP(B182,CRN!G:G,CRN!K:K,"")</f>
        <v>0</v>
      </c>
      <c r="G182">
        <f>IF(F182=0,0,_xlfn.XLOOKUP(C182,CLIENT_CODE!B:B,CLIENT_CODE!G:G,0))</f>
        <v>0</v>
      </c>
      <c r="H182">
        <f>_xlfn.XLOOKUP(B182,CRN!G:G,CRN!L:L,"")</f>
        <v>0</v>
      </c>
      <c r="I182">
        <f>IF(H182=0,0,_xlfn.XLOOKUP(C182,CLIENT_CODE!B:B,CLIENT_CODE!H:H,0))</f>
        <v>0</v>
      </c>
      <c r="J182">
        <f>_xlfn.XLOOKUP(B182,CRN!G:G,CRN!M:M,"")</f>
        <v>0</v>
      </c>
      <c r="K182">
        <f>IF(J182=0,0,_xlfn.XLOOKUP(C182,CLIENT_CODE!B:B,CLIENT_CODE!I:I,0))</f>
        <v>0</v>
      </c>
      <c r="L182">
        <f>_xlfn.XLOOKUP(B182,CRN!G:G,CRN!N:N,"")</f>
        <v>0</v>
      </c>
      <c r="M182">
        <f>IF(L182=0,0,_xlfn.XLOOKUP(C182,CLIENT_CODE!B:B,CLIENT_CODE!J:J,0))</f>
        <v>0</v>
      </c>
      <c r="N182">
        <f>_xlfn.XLOOKUP(B182,CRN!G:G,CRN!O:O,"")</f>
        <v>0</v>
      </c>
      <c r="O182">
        <f>IF(N182=0,0,_xlfn.XLOOKUP(C182,CLIENT_CODE!B:B,CLIENT_CODE!K:K,0))</f>
        <v>0</v>
      </c>
      <c r="P182">
        <f>_xlfn.XLOOKUP(B182,CRN!G:G,CRN!P:P,"")</f>
        <v>0</v>
      </c>
      <c r="Q182">
        <f>IF(P182=0,0,_xlfn.XLOOKUP(C182,CLIENT_CODE!B:B,CLIENT_CODE!L:L,0))</f>
        <v>0</v>
      </c>
      <c r="R182">
        <f>_xlfn.XLOOKUP(B182,CRN!G:G,CRN!Q:Q,"")</f>
        <v>0</v>
      </c>
      <c r="S182">
        <f>IF(R182=0,0,_xlfn.XLOOKUP(C182,CLIENT_CODE!B:B,CLIENT_CODE!M:M,0))</f>
        <v>0</v>
      </c>
      <c r="T182">
        <f>_xlfn.XLOOKUP(B182,CRN!G:G,CRN!R:R,"")</f>
        <v>0</v>
      </c>
      <c r="U182">
        <f>IF(T182=0,0,_xlfn.XLOOKUP(C182,CLIENT_CODE!B:B,CLIENT_CODE!N:N,0))</f>
        <v>0</v>
      </c>
      <c r="V182">
        <f>_xlfn.XLOOKUP(B182,CRN!G:G,CRN!S:S,"")</f>
        <v>0</v>
      </c>
      <c r="W182">
        <f>IF(V182=0,0,_xlfn.XLOOKUP(C182,CLIENT_CODE!B:B,CLIENT_CODE!O:O,0))</f>
        <v>0</v>
      </c>
      <c r="X182">
        <f>_xlfn.XLOOKUP(B182,CRN!G:G,CRN!T:T,"")</f>
        <v>0</v>
      </c>
      <c r="Y182">
        <f>IF(X182=0,0,_xlfn.XLOOKUP(C182,CLIENT_CODE!B:B,CLIENT_CODE!P:P,0))</f>
        <v>0</v>
      </c>
      <c r="Z182">
        <f>_xlfn.XLOOKUP(B182,CRN!G:G,CRN!U:U,"")</f>
        <v>0</v>
      </c>
      <c r="AA182">
        <f>IF(X182=0,0,_xlfn.XLOOKUP(C182,CLIENT_CODE!B:B,CLIENT_CODE!P:P,0))</f>
        <v>0</v>
      </c>
      <c r="AB182">
        <f>_xlfn.XLOOKUP(B182,CRN!G:G,CRN!V:V,"")</f>
        <v>0</v>
      </c>
      <c r="AC182">
        <f>IF(AB182=0,0,_xlfn.XLOOKUP(C182,CLIENT_CODE!B:B,CLIENT_CODE!R:R,0))</f>
        <v>0</v>
      </c>
      <c r="AD182">
        <f t="shared" si="2"/>
        <v>0</v>
      </c>
    </row>
    <row r="183" spans="1:30">
      <c r="A183" s="42">
        <v>182</v>
      </c>
      <c r="E183">
        <f>IF(D183=0,0,_xlfn.XLOOKUP(C183,CLIENT_CODE!B:B,CLIENT_CODE!F:F,0))</f>
        <v>0</v>
      </c>
      <c r="F183">
        <f>_xlfn.XLOOKUP(B183,CRN!G:G,CRN!K:K,"")</f>
        <v>0</v>
      </c>
      <c r="G183">
        <f>IF(F183=0,0,_xlfn.XLOOKUP(C183,CLIENT_CODE!B:B,CLIENT_CODE!G:G,0))</f>
        <v>0</v>
      </c>
      <c r="H183">
        <f>_xlfn.XLOOKUP(B183,CRN!G:G,CRN!L:L,"")</f>
        <v>0</v>
      </c>
      <c r="I183">
        <f>IF(H183=0,0,_xlfn.XLOOKUP(C183,CLIENT_CODE!B:B,CLIENT_CODE!H:H,0))</f>
        <v>0</v>
      </c>
      <c r="J183">
        <f>_xlfn.XLOOKUP(B183,CRN!G:G,CRN!M:M,"")</f>
        <v>0</v>
      </c>
      <c r="K183">
        <f>IF(J183=0,0,_xlfn.XLOOKUP(C183,CLIENT_CODE!B:B,CLIENT_CODE!I:I,0))</f>
        <v>0</v>
      </c>
      <c r="L183">
        <f>_xlfn.XLOOKUP(B183,CRN!G:G,CRN!N:N,"")</f>
        <v>0</v>
      </c>
      <c r="M183">
        <f>IF(L183=0,0,_xlfn.XLOOKUP(C183,CLIENT_CODE!B:B,CLIENT_CODE!J:J,0))</f>
        <v>0</v>
      </c>
      <c r="N183">
        <f>_xlfn.XLOOKUP(B183,CRN!G:G,CRN!O:O,"")</f>
        <v>0</v>
      </c>
      <c r="O183">
        <f>IF(N183=0,0,_xlfn.XLOOKUP(C183,CLIENT_CODE!B:B,CLIENT_CODE!K:K,0))</f>
        <v>0</v>
      </c>
      <c r="P183">
        <f>_xlfn.XLOOKUP(B183,CRN!G:G,CRN!P:P,"")</f>
        <v>0</v>
      </c>
      <c r="Q183">
        <f>IF(P183=0,0,_xlfn.XLOOKUP(C183,CLIENT_CODE!B:B,CLIENT_CODE!L:L,0))</f>
        <v>0</v>
      </c>
      <c r="R183">
        <f>_xlfn.XLOOKUP(B183,CRN!G:G,CRN!Q:Q,"")</f>
        <v>0</v>
      </c>
      <c r="S183">
        <f>IF(R183=0,0,_xlfn.XLOOKUP(C183,CLIENT_CODE!B:B,CLIENT_CODE!M:M,0))</f>
        <v>0</v>
      </c>
      <c r="T183">
        <f>_xlfn.XLOOKUP(B183,CRN!G:G,CRN!R:R,"")</f>
        <v>0</v>
      </c>
      <c r="U183">
        <f>IF(T183=0,0,_xlfn.XLOOKUP(C183,CLIENT_CODE!B:B,CLIENT_CODE!N:N,0))</f>
        <v>0</v>
      </c>
      <c r="V183">
        <f>_xlfn.XLOOKUP(B183,CRN!G:G,CRN!S:S,"")</f>
        <v>0</v>
      </c>
      <c r="W183">
        <f>IF(V183=0,0,_xlfn.XLOOKUP(C183,CLIENT_CODE!B:B,CLIENT_CODE!O:O,0))</f>
        <v>0</v>
      </c>
      <c r="X183">
        <f>_xlfn.XLOOKUP(B183,CRN!G:G,CRN!T:T,"")</f>
        <v>0</v>
      </c>
      <c r="Y183">
        <f>IF(X183=0,0,_xlfn.XLOOKUP(C183,CLIENT_CODE!B:B,CLIENT_CODE!P:P,0))</f>
        <v>0</v>
      </c>
      <c r="Z183">
        <f>_xlfn.XLOOKUP(B183,CRN!G:G,CRN!U:U,"")</f>
        <v>0</v>
      </c>
      <c r="AA183">
        <f>IF(X183=0,0,_xlfn.XLOOKUP(C183,CLIENT_CODE!B:B,CLIENT_CODE!P:P,0))</f>
        <v>0</v>
      </c>
      <c r="AB183">
        <f>_xlfn.XLOOKUP(B183,CRN!G:G,CRN!V:V,"")</f>
        <v>0</v>
      </c>
      <c r="AC183">
        <f>IF(AB183=0,0,_xlfn.XLOOKUP(C183,CLIENT_CODE!B:B,CLIENT_CODE!R:R,0))</f>
        <v>0</v>
      </c>
      <c r="AD183">
        <f t="shared" si="2"/>
        <v>0</v>
      </c>
    </row>
    <row r="184" spans="1:30">
      <c r="A184" s="42">
        <v>183</v>
      </c>
      <c r="E184">
        <f>IF(D184=0,0,_xlfn.XLOOKUP(C184,CLIENT_CODE!B:B,CLIENT_CODE!F:F,0))</f>
        <v>0</v>
      </c>
      <c r="F184">
        <f>_xlfn.XLOOKUP(B184,CRN!G:G,CRN!K:K,"")</f>
        <v>0</v>
      </c>
      <c r="G184">
        <f>IF(F184=0,0,_xlfn.XLOOKUP(C184,CLIENT_CODE!B:B,CLIENT_CODE!G:G,0))</f>
        <v>0</v>
      </c>
      <c r="H184">
        <f>_xlfn.XLOOKUP(B184,CRN!G:G,CRN!L:L,"")</f>
        <v>0</v>
      </c>
      <c r="I184">
        <f>IF(H184=0,0,_xlfn.XLOOKUP(C184,CLIENT_CODE!B:B,CLIENT_CODE!H:H,0))</f>
        <v>0</v>
      </c>
      <c r="J184">
        <f>_xlfn.XLOOKUP(B184,CRN!G:G,CRN!M:M,"")</f>
        <v>0</v>
      </c>
      <c r="K184">
        <f>IF(J184=0,0,_xlfn.XLOOKUP(C184,CLIENT_CODE!B:B,CLIENT_CODE!I:I,0))</f>
        <v>0</v>
      </c>
      <c r="L184">
        <f>_xlfn.XLOOKUP(B184,CRN!G:G,CRN!N:N,"")</f>
        <v>0</v>
      </c>
      <c r="M184">
        <f>IF(L184=0,0,_xlfn.XLOOKUP(C184,CLIENT_CODE!B:B,CLIENT_CODE!J:J,0))</f>
        <v>0</v>
      </c>
      <c r="N184">
        <f>_xlfn.XLOOKUP(B184,CRN!G:G,CRN!O:O,"")</f>
        <v>0</v>
      </c>
      <c r="O184">
        <f>IF(N184=0,0,_xlfn.XLOOKUP(C184,CLIENT_CODE!B:B,CLIENT_CODE!K:K,0))</f>
        <v>0</v>
      </c>
      <c r="P184">
        <f>_xlfn.XLOOKUP(B184,CRN!G:G,CRN!P:P,"")</f>
        <v>0</v>
      </c>
      <c r="Q184">
        <f>IF(P184=0,0,_xlfn.XLOOKUP(C184,CLIENT_CODE!B:B,CLIENT_CODE!L:L,0))</f>
        <v>0</v>
      </c>
      <c r="R184">
        <f>_xlfn.XLOOKUP(B184,CRN!G:G,CRN!Q:Q,"")</f>
        <v>0</v>
      </c>
      <c r="S184">
        <f>IF(R184=0,0,_xlfn.XLOOKUP(C184,CLIENT_CODE!B:B,CLIENT_CODE!M:M,0))</f>
        <v>0</v>
      </c>
      <c r="T184">
        <f>_xlfn.XLOOKUP(B184,CRN!G:G,CRN!R:R,"")</f>
        <v>0</v>
      </c>
      <c r="U184">
        <f>IF(T184=0,0,_xlfn.XLOOKUP(C184,CLIENT_CODE!B:B,CLIENT_CODE!N:N,0))</f>
        <v>0</v>
      </c>
      <c r="V184">
        <f>_xlfn.XLOOKUP(B184,CRN!G:G,CRN!S:S,"")</f>
        <v>0</v>
      </c>
      <c r="W184">
        <f>IF(V184=0,0,_xlfn.XLOOKUP(C184,CLIENT_CODE!B:B,CLIENT_CODE!O:O,0))</f>
        <v>0</v>
      </c>
      <c r="X184">
        <f>_xlfn.XLOOKUP(B184,CRN!G:G,CRN!T:T,"")</f>
        <v>0</v>
      </c>
      <c r="Y184">
        <f>IF(X184=0,0,_xlfn.XLOOKUP(C184,CLIENT_CODE!B:B,CLIENT_CODE!P:P,0))</f>
        <v>0</v>
      </c>
      <c r="Z184">
        <f>_xlfn.XLOOKUP(B184,CRN!G:G,CRN!U:U,"")</f>
        <v>0</v>
      </c>
      <c r="AA184">
        <f>IF(X184=0,0,_xlfn.XLOOKUP(C184,CLIENT_CODE!B:B,CLIENT_CODE!P:P,0))</f>
        <v>0</v>
      </c>
      <c r="AB184">
        <f>_xlfn.XLOOKUP(B184,CRN!G:G,CRN!V:V,"")</f>
        <v>0</v>
      </c>
      <c r="AC184">
        <f>IF(AB184=0,0,_xlfn.XLOOKUP(C184,CLIENT_CODE!B:B,CLIENT_CODE!R:R,0))</f>
        <v>0</v>
      </c>
      <c r="AD184">
        <f t="shared" si="2"/>
        <v>0</v>
      </c>
    </row>
    <row r="185" spans="1:30">
      <c r="A185" s="42">
        <v>184</v>
      </c>
      <c r="E185">
        <f>IF(D185=0,0,_xlfn.XLOOKUP(C185,CLIENT_CODE!B:B,CLIENT_CODE!F:F,0))</f>
        <v>0</v>
      </c>
      <c r="F185">
        <f>_xlfn.XLOOKUP(B185,CRN!G:G,CRN!K:K,"")</f>
        <v>0</v>
      </c>
      <c r="G185">
        <f>IF(F185=0,0,_xlfn.XLOOKUP(C185,CLIENT_CODE!B:B,CLIENT_CODE!G:G,0))</f>
        <v>0</v>
      </c>
      <c r="H185">
        <f>_xlfn.XLOOKUP(B185,CRN!G:G,CRN!L:L,"")</f>
        <v>0</v>
      </c>
      <c r="I185">
        <f>IF(H185=0,0,_xlfn.XLOOKUP(C185,CLIENT_CODE!B:B,CLIENT_CODE!H:H,0))</f>
        <v>0</v>
      </c>
      <c r="J185">
        <f>_xlfn.XLOOKUP(B185,CRN!G:G,CRN!M:M,"")</f>
        <v>0</v>
      </c>
      <c r="K185">
        <f>IF(J185=0,0,_xlfn.XLOOKUP(C185,CLIENT_CODE!B:B,CLIENT_CODE!I:I,0))</f>
        <v>0</v>
      </c>
      <c r="L185">
        <f>_xlfn.XLOOKUP(B185,CRN!G:G,CRN!N:N,"")</f>
        <v>0</v>
      </c>
      <c r="M185">
        <f>IF(L185=0,0,_xlfn.XLOOKUP(C185,CLIENT_CODE!B:B,CLIENT_CODE!J:J,0))</f>
        <v>0</v>
      </c>
      <c r="N185">
        <f>_xlfn.XLOOKUP(B185,CRN!G:G,CRN!O:O,"")</f>
        <v>0</v>
      </c>
      <c r="O185">
        <f>IF(N185=0,0,_xlfn.XLOOKUP(C185,CLIENT_CODE!B:B,CLIENT_CODE!K:K,0))</f>
        <v>0</v>
      </c>
      <c r="P185">
        <f>_xlfn.XLOOKUP(B185,CRN!G:G,CRN!P:P,"")</f>
        <v>0</v>
      </c>
      <c r="Q185">
        <f>IF(P185=0,0,_xlfn.XLOOKUP(C185,CLIENT_CODE!B:B,CLIENT_CODE!L:L,0))</f>
        <v>0</v>
      </c>
      <c r="R185">
        <f>_xlfn.XLOOKUP(B185,CRN!G:G,CRN!Q:Q,"")</f>
        <v>0</v>
      </c>
      <c r="S185">
        <f>IF(R185=0,0,_xlfn.XLOOKUP(C185,CLIENT_CODE!B:B,CLIENT_CODE!M:M,0))</f>
        <v>0</v>
      </c>
      <c r="T185">
        <f>_xlfn.XLOOKUP(B185,CRN!G:G,CRN!R:R,"")</f>
        <v>0</v>
      </c>
      <c r="U185">
        <f>IF(T185=0,0,_xlfn.XLOOKUP(C185,CLIENT_CODE!B:B,CLIENT_CODE!N:N,0))</f>
        <v>0</v>
      </c>
      <c r="V185">
        <f>_xlfn.XLOOKUP(B185,CRN!G:G,CRN!S:S,"")</f>
        <v>0</v>
      </c>
      <c r="W185">
        <f>IF(V185=0,0,_xlfn.XLOOKUP(C185,CLIENT_CODE!B:B,CLIENT_CODE!O:O,0))</f>
        <v>0</v>
      </c>
      <c r="X185">
        <f>_xlfn.XLOOKUP(B185,CRN!G:G,CRN!T:T,"")</f>
        <v>0</v>
      </c>
      <c r="Y185">
        <f>IF(X185=0,0,_xlfn.XLOOKUP(C185,CLIENT_CODE!B:B,CLIENT_CODE!P:P,0))</f>
        <v>0</v>
      </c>
      <c r="Z185">
        <f>_xlfn.XLOOKUP(B185,CRN!G:G,CRN!U:U,"")</f>
        <v>0</v>
      </c>
      <c r="AA185">
        <f>IF(X185=0,0,_xlfn.XLOOKUP(C185,CLIENT_CODE!B:B,CLIENT_CODE!P:P,0))</f>
        <v>0</v>
      </c>
      <c r="AB185">
        <f>_xlfn.XLOOKUP(B185,CRN!G:G,CRN!V:V,"")</f>
        <v>0</v>
      </c>
      <c r="AC185">
        <f>IF(AB185=0,0,_xlfn.XLOOKUP(C185,CLIENT_CODE!B:B,CLIENT_CODE!R:R,0))</f>
        <v>0</v>
      </c>
      <c r="AD185">
        <f t="shared" si="2"/>
        <v>0</v>
      </c>
    </row>
    <row r="186" spans="1:30">
      <c r="A186" s="42">
        <v>185</v>
      </c>
      <c r="E186">
        <f>IF(D186=0,0,_xlfn.XLOOKUP(C186,CLIENT_CODE!B:B,CLIENT_CODE!F:F,0))</f>
        <v>0</v>
      </c>
      <c r="F186">
        <f>_xlfn.XLOOKUP(B186,CRN!G:G,CRN!K:K,"")</f>
        <v>0</v>
      </c>
      <c r="G186">
        <f>IF(F186=0,0,_xlfn.XLOOKUP(C186,CLIENT_CODE!B:B,CLIENT_CODE!G:G,0))</f>
        <v>0</v>
      </c>
      <c r="H186">
        <f>_xlfn.XLOOKUP(B186,CRN!G:G,CRN!L:L,"")</f>
        <v>0</v>
      </c>
      <c r="I186">
        <f>IF(H186=0,0,_xlfn.XLOOKUP(C186,CLIENT_CODE!B:B,CLIENT_CODE!H:H,0))</f>
        <v>0</v>
      </c>
      <c r="J186">
        <f>_xlfn.XLOOKUP(B186,CRN!G:G,CRN!M:M,"")</f>
        <v>0</v>
      </c>
      <c r="K186">
        <f>IF(J186=0,0,_xlfn.XLOOKUP(C186,CLIENT_CODE!B:B,CLIENT_CODE!I:I,0))</f>
        <v>0</v>
      </c>
      <c r="L186">
        <f>_xlfn.XLOOKUP(B186,CRN!G:G,CRN!N:N,"")</f>
        <v>0</v>
      </c>
      <c r="M186">
        <f>IF(L186=0,0,_xlfn.XLOOKUP(C186,CLIENT_CODE!B:B,CLIENT_CODE!J:J,0))</f>
        <v>0</v>
      </c>
      <c r="N186">
        <f>_xlfn.XLOOKUP(B186,CRN!G:G,CRN!O:O,"")</f>
        <v>0</v>
      </c>
      <c r="O186">
        <f>IF(N186=0,0,_xlfn.XLOOKUP(C186,CLIENT_CODE!B:B,CLIENT_CODE!K:K,0))</f>
        <v>0</v>
      </c>
      <c r="P186">
        <f>_xlfn.XLOOKUP(B186,CRN!G:G,CRN!P:P,"")</f>
        <v>0</v>
      </c>
      <c r="Q186">
        <f>IF(P186=0,0,_xlfn.XLOOKUP(C186,CLIENT_CODE!B:B,CLIENT_CODE!L:L,0))</f>
        <v>0</v>
      </c>
      <c r="R186">
        <f>_xlfn.XLOOKUP(B186,CRN!G:G,CRN!Q:Q,"")</f>
        <v>0</v>
      </c>
      <c r="S186">
        <f>IF(R186=0,0,_xlfn.XLOOKUP(C186,CLIENT_CODE!B:B,CLIENT_CODE!M:M,0))</f>
        <v>0</v>
      </c>
      <c r="T186">
        <f>_xlfn.XLOOKUP(B186,CRN!G:G,CRN!R:R,"")</f>
        <v>0</v>
      </c>
      <c r="U186">
        <f>IF(T186=0,0,_xlfn.XLOOKUP(C186,CLIENT_CODE!B:B,CLIENT_CODE!N:N,0))</f>
        <v>0</v>
      </c>
      <c r="V186">
        <f>_xlfn.XLOOKUP(B186,CRN!G:G,CRN!S:S,"")</f>
        <v>0</v>
      </c>
      <c r="W186">
        <f>IF(V186=0,0,_xlfn.XLOOKUP(C186,CLIENT_CODE!B:B,CLIENT_CODE!O:O,0))</f>
        <v>0</v>
      </c>
      <c r="X186">
        <f>_xlfn.XLOOKUP(B186,CRN!G:G,CRN!T:T,"")</f>
        <v>0</v>
      </c>
      <c r="Y186">
        <f>IF(X186=0,0,_xlfn.XLOOKUP(C186,CLIENT_CODE!B:B,CLIENT_CODE!P:P,0))</f>
        <v>0</v>
      </c>
      <c r="Z186">
        <f>_xlfn.XLOOKUP(B186,CRN!G:G,CRN!U:U,"")</f>
        <v>0</v>
      </c>
      <c r="AA186">
        <f>IF(X186=0,0,_xlfn.XLOOKUP(C186,CLIENT_CODE!B:B,CLIENT_CODE!P:P,0))</f>
        <v>0</v>
      </c>
      <c r="AB186">
        <f>_xlfn.XLOOKUP(B186,CRN!G:G,CRN!V:V,"")</f>
        <v>0</v>
      </c>
      <c r="AC186">
        <f>IF(AB186=0,0,_xlfn.XLOOKUP(C186,CLIENT_CODE!B:B,CLIENT_CODE!R:R,0))</f>
        <v>0</v>
      </c>
      <c r="AD186">
        <f t="shared" si="2"/>
        <v>0</v>
      </c>
    </row>
    <row r="187" spans="1:30">
      <c r="A187" s="42">
        <v>186</v>
      </c>
      <c r="E187">
        <f>IF(D187=0,0,_xlfn.XLOOKUP(C187,CLIENT_CODE!B:B,CLIENT_CODE!F:F,0))</f>
        <v>0</v>
      </c>
      <c r="F187">
        <f>_xlfn.XLOOKUP(B187,CRN!G:G,CRN!K:K,"")</f>
        <v>0</v>
      </c>
      <c r="G187">
        <f>IF(F187=0,0,_xlfn.XLOOKUP(C187,CLIENT_CODE!B:B,CLIENT_CODE!G:G,0))</f>
        <v>0</v>
      </c>
      <c r="H187">
        <f>_xlfn.XLOOKUP(B187,CRN!G:G,CRN!L:L,"")</f>
        <v>0</v>
      </c>
      <c r="I187">
        <f>IF(H187=0,0,_xlfn.XLOOKUP(C187,CLIENT_CODE!B:B,CLIENT_CODE!H:H,0))</f>
        <v>0</v>
      </c>
      <c r="J187">
        <f>_xlfn.XLOOKUP(B187,CRN!G:G,CRN!M:M,"")</f>
        <v>0</v>
      </c>
      <c r="K187">
        <f>IF(J187=0,0,_xlfn.XLOOKUP(C187,CLIENT_CODE!B:B,CLIENT_CODE!I:I,0))</f>
        <v>0</v>
      </c>
      <c r="L187">
        <f>_xlfn.XLOOKUP(B187,CRN!G:G,CRN!N:N,"")</f>
        <v>0</v>
      </c>
      <c r="M187">
        <f>IF(L187=0,0,_xlfn.XLOOKUP(C187,CLIENT_CODE!B:B,CLIENT_CODE!J:J,0))</f>
        <v>0</v>
      </c>
      <c r="N187">
        <f>_xlfn.XLOOKUP(B187,CRN!G:G,CRN!O:O,"")</f>
        <v>0</v>
      </c>
      <c r="O187">
        <f>IF(N187=0,0,_xlfn.XLOOKUP(C187,CLIENT_CODE!B:B,CLIENT_CODE!K:K,0))</f>
        <v>0</v>
      </c>
      <c r="P187">
        <f>_xlfn.XLOOKUP(B187,CRN!G:G,CRN!P:P,"")</f>
        <v>0</v>
      </c>
      <c r="Q187">
        <f>IF(P187=0,0,_xlfn.XLOOKUP(C187,CLIENT_CODE!B:B,CLIENT_CODE!L:L,0))</f>
        <v>0</v>
      </c>
      <c r="R187">
        <f>_xlfn.XLOOKUP(B187,CRN!G:G,CRN!Q:Q,"")</f>
        <v>0</v>
      </c>
      <c r="S187">
        <f>IF(R187=0,0,_xlfn.XLOOKUP(C187,CLIENT_CODE!B:B,CLIENT_CODE!M:M,0))</f>
        <v>0</v>
      </c>
      <c r="T187">
        <f>_xlfn.XLOOKUP(B187,CRN!G:G,CRN!R:R,"")</f>
        <v>0</v>
      </c>
      <c r="U187">
        <f>IF(T187=0,0,_xlfn.XLOOKUP(C187,CLIENT_CODE!B:B,CLIENT_CODE!N:N,0))</f>
        <v>0</v>
      </c>
      <c r="V187">
        <f>_xlfn.XLOOKUP(B187,CRN!G:G,CRN!S:S,"")</f>
        <v>0</v>
      </c>
      <c r="W187">
        <f>IF(V187=0,0,_xlfn.XLOOKUP(C187,CLIENT_CODE!B:B,CLIENT_CODE!O:O,0))</f>
        <v>0</v>
      </c>
      <c r="X187">
        <f>_xlfn.XLOOKUP(B187,CRN!G:G,CRN!T:T,"")</f>
        <v>0</v>
      </c>
      <c r="Y187">
        <f>IF(X187=0,0,_xlfn.XLOOKUP(C187,CLIENT_CODE!B:B,CLIENT_CODE!P:P,0))</f>
        <v>0</v>
      </c>
      <c r="Z187">
        <f>_xlfn.XLOOKUP(B187,CRN!G:G,CRN!U:U,"")</f>
        <v>0</v>
      </c>
      <c r="AA187">
        <f>IF(X187=0,0,_xlfn.XLOOKUP(C187,CLIENT_CODE!B:B,CLIENT_CODE!P:P,0))</f>
        <v>0</v>
      </c>
      <c r="AB187">
        <f>_xlfn.XLOOKUP(B187,CRN!G:G,CRN!V:V,"")</f>
        <v>0</v>
      </c>
      <c r="AC187">
        <f>IF(AB187=0,0,_xlfn.XLOOKUP(C187,CLIENT_CODE!B:B,CLIENT_CODE!R:R,0))</f>
        <v>0</v>
      </c>
      <c r="AD187">
        <f t="shared" si="2"/>
        <v>0</v>
      </c>
    </row>
    <row r="188" spans="1:30">
      <c r="A188" s="42">
        <v>187</v>
      </c>
      <c r="E188">
        <f>IF(D188=0,0,_xlfn.XLOOKUP(C188,CLIENT_CODE!B:B,CLIENT_CODE!F:F,0))</f>
        <v>0</v>
      </c>
      <c r="F188">
        <f>_xlfn.XLOOKUP(B188,CRN!G:G,CRN!K:K,"")</f>
        <v>0</v>
      </c>
      <c r="G188">
        <f>IF(F188=0,0,_xlfn.XLOOKUP(C188,CLIENT_CODE!B:B,CLIENT_CODE!G:G,0))</f>
        <v>0</v>
      </c>
      <c r="H188">
        <f>_xlfn.XLOOKUP(B188,CRN!G:G,CRN!L:L,"")</f>
        <v>0</v>
      </c>
      <c r="I188">
        <f>IF(H188=0,0,_xlfn.XLOOKUP(C188,CLIENT_CODE!B:B,CLIENT_CODE!H:H,0))</f>
        <v>0</v>
      </c>
      <c r="J188">
        <f>_xlfn.XLOOKUP(B188,CRN!G:G,CRN!M:M,"")</f>
        <v>0</v>
      </c>
      <c r="K188">
        <f>IF(J188=0,0,_xlfn.XLOOKUP(C188,CLIENT_CODE!B:B,CLIENT_CODE!I:I,0))</f>
        <v>0</v>
      </c>
      <c r="L188">
        <f>_xlfn.XLOOKUP(B188,CRN!G:G,CRN!N:N,"")</f>
        <v>0</v>
      </c>
      <c r="M188">
        <f>IF(L188=0,0,_xlfn.XLOOKUP(C188,CLIENT_CODE!B:B,CLIENT_CODE!J:J,0))</f>
        <v>0</v>
      </c>
      <c r="N188">
        <f>_xlfn.XLOOKUP(B188,CRN!G:G,CRN!O:O,"")</f>
        <v>0</v>
      </c>
      <c r="O188">
        <f>IF(N188=0,0,_xlfn.XLOOKUP(C188,CLIENT_CODE!B:B,CLIENT_CODE!K:K,0))</f>
        <v>0</v>
      </c>
      <c r="P188">
        <f>_xlfn.XLOOKUP(B188,CRN!G:G,CRN!P:P,"")</f>
        <v>0</v>
      </c>
      <c r="Q188">
        <f>IF(P188=0,0,_xlfn.XLOOKUP(C188,CLIENT_CODE!B:B,CLIENT_CODE!L:L,0))</f>
        <v>0</v>
      </c>
      <c r="R188">
        <f>_xlfn.XLOOKUP(B188,CRN!G:G,CRN!Q:Q,"")</f>
        <v>0</v>
      </c>
      <c r="S188">
        <f>IF(R188=0,0,_xlfn.XLOOKUP(C188,CLIENT_CODE!B:B,CLIENT_CODE!M:M,0))</f>
        <v>0</v>
      </c>
      <c r="T188">
        <f>_xlfn.XLOOKUP(B188,CRN!G:G,CRN!R:R,"")</f>
        <v>0</v>
      </c>
      <c r="U188">
        <f>IF(T188=0,0,_xlfn.XLOOKUP(C188,CLIENT_CODE!B:B,CLIENT_CODE!N:N,0))</f>
        <v>0</v>
      </c>
      <c r="V188">
        <f>_xlfn.XLOOKUP(B188,CRN!G:G,CRN!S:S,"")</f>
        <v>0</v>
      </c>
      <c r="W188">
        <f>IF(V188=0,0,_xlfn.XLOOKUP(C188,CLIENT_CODE!B:B,CLIENT_CODE!O:O,0))</f>
        <v>0</v>
      </c>
      <c r="X188">
        <f>_xlfn.XLOOKUP(B188,CRN!G:G,CRN!T:T,"")</f>
        <v>0</v>
      </c>
      <c r="Y188">
        <f>IF(X188=0,0,_xlfn.XLOOKUP(C188,CLIENT_CODE!B:B,CLIENT_CODE!P:P,0))</f>
        <v>0</v>
      </c>
      <c r="Z188">
        <f>_xlfn.XLOOKUP(B188,CRN!G:G,CRN!U:U,"")</f>
        <v>0</v>
      </c>
      <c r="AA188">
        <f>IF(X188=0,0,_xlfn.XLOOKUP(C188,CLIENT_CODE!B:B,CLIENT_CODE!P:P,0))</f>
        <v>0</v>
      </c>
      <c r="AB188">
        <f>_xlfn.XLOOKUP(B188,CRN!G:G,CRN!V:V,"")</f>
        <v>0</v>
      </c>
      <c r="AC188">
        <f>IF(AB188=0,0,_xlfn.XLOOKUP(C188,CLIENT_CODE!B:B,CLIENT_CODE!R:R,0))</f>
        <v>0</v>
      </c>
      <c r="AD188">
        <f t="shared" si="2"/>
        <v>0</v>
      </c>
    </row>
    <row r="189" spans="1:30">
      <c r="A189" s="42">
        <v>188</v>
      </c>
      <c r="E189">
        <f>IF(D189=0,0,_xlfn.XLOOKUP(C189,CLIENT_CODE!B:B,CLIENT_CODE!F:F,0))</f>
        <v>0</v>
      </c>
      <c r="F189">
        <f>_xlfn.XLOOKUP(B189,CRN!G:G,CRN!K:K,"")</f>
        <v>0</v>
      </c>
      <c r="G189">
        <f>IF(F189=0,0,_xlfn.XLOOKUP(C189,CLIENT_CODE!B:B,CLIENT_CODE!G:G,0))</f>
        <v>0</v>
      </c>
      <c r="H189">
        <f>_xlfn.XLOOKUP(B189,CRN!G:G,CRN!L:L,"")</f>
        <v>0</v>
      </c>
      <c r="I189">
        <f>IF(H189=0,0,_xlfn.XLOOKUP(C189,CLIENT_CODE!B:B,CLIENT_CODE!H:H,0))</f>
        <v>0</v>
      </c>
      <c r="J189">
        <f>_xlfn.XLOOKUP(B189,CRN!G:G,CRN!M:M,"")</f>
        <v>0</v>
      </c>
      <c r="K189">
        <f>IF(J189=0,0,_xlfn.XLOOKUP(C189,CLIENT_CODE!B:B,CLIENT_CODE!I:I,0))</f>
        <v>0</v>
      </c>
      <c r="L189">
        <f>_xlfn.XLOOKUP(B189,CRN!G:G,CRN!N:N,"")</f>
        <v>0</v>
      </c>
      <c r="M189">
        <f>IF(L189=0,0,_xlfn.XLOOKUP(C189,CLIENT_CODE!B:B,CLIENT_CODE!J:J,0))</f>
        <v>0</v>
      </c>
      <c r="N189">
        <f>_xlfn.XLOOKUP(B189,CRN!G:G,CRN!O:O,"")</f>
        <v>0</v>
      </c>
      <c r="O189">
        <f>IF(N189=0,0,_xlfn.XLOOKUP(C189,CLIENT_CODE!B:B,CLIENT_CODE!K:K,0))</f>
        <v>0</v>
      </c>
      <c r="P189">
        <f>_xlfn.XLOOKUP(B189,CRN!G:G,CRN!P:P,"")</f>
        <v>0</v>
      </c>
      <c r="Q189">
        <f>IF(P189=0,0,_xlfn.XLOOKUP(C189,CLIENT_CODE!B:B,CLIENT_CODE!L:L,0))</f>
        <v>0</v>
      </c>
      <c r="R189">
        <f>_xlfn.XLOOKUP(B189,CRN!G:G,CRN!Q:Q,"")</f>
        <v>0</v>
      </c>
      <c r="S189">
        <f>IF(R189=0,0,_xlfn.XLOOKUP(C189,CLIENT_CODE!B:B,CLIENT_CODE!M:M,0))</f>
        <v>0</v>
      </c>
      <c r="T189">
        <f>_xlfn.XLOOKUP(B189,CRN!G:G,CRN!R:R,"")</f>
        <v>0</v>
      </c>
      <c r="U189">
        <f>IF(T189=0,0,_xlfn.XLOOKUP(C189,CLIENT_CODE!B:B,CLIENT_CODE!N:N,0))</f>
        <v>0</v>
      </c>
      <c r="V189">
        <f>_xlfn.XLOOKUP(B189,CRN!G:G,CRN!S:S,"")</f>
        <v>0</v>
      </c>
      <c r="W189">
        <f>IF(V189=0,0,_xlfn.XLOOKUP(C189,CLIENT_CODE!B:B,CLIENT_CODE!O:O,0))</f>
        <v>0</v>
      </c>
      <c r="X189">
        <f>_xlfn.XLOOKUP(B189,CRN!G:G,CRN!T:T,"")</f>
        <v>0</v>
      </c>
      <c r="Y189">
        <f>IF(X189=0,0,_xlfn.XLOOKUP(C189,CLIENT_CODE!B:B,CLIENT_CODE!P:P,0))</f>
        <v>0</v>
      </c>
      <c r="Z189">
        <f>_xlfn.XLOOKUP(B189,CRN!G:G,CRN!U:U,"")</f>
        <v>0</v>
      </c>
      <c r="AA189">
        <f>IF(X189=0,0,_xlfn.XLOOKUP(C189,CLIENT_CODE!B:B,CLIENT_CODE!P:P,0))</f>
        <v>0</v>
      </c>
      <c r="AB189">
        <f>_xlfn.XLOOKUP(B189,CRN!G:G,CRN!V:V,"")</f>
        <v>0</v>
      </c>
      <c r="AC189">
        <f>IF(AB189=0,0,_xlfn.XLOOKUP(C189,CLIENT_CODE!B:B,CLIENT_CODE!R:R,0))</f>
        <v>0</v>
      </c>
      <c r="AD189">
        <f t="shared" si="2"/>
        <v>0</v>
      </c>
    </row>
    <row r="190" spans="1:30">
      <c r="A190" s="42">
        <v>189</v>
      </c>
      <c r="E190">
        <f>IF(D190=0,0,_xlfn.XLOOKUP(C190,CLIENT_CODE!B:B,CLIENT_CODE!F:F,0))</f>
        <v>0</v>
      </c>
      <c r="F190">
        <f>_xlfn.XLOOKUP(B190,CRN!G:G,CRN!K:K,"")</f>
        <v>0</v>
      </c>
      <c r="G190">
        <f>IF(F190=0,0,_xlfn.XLOOKUP(C190,CLIENT_CODE!B:B,CLIENT_CODE!G:G,0))</f>
        <v>0</v>
      </c>
      <c r="H190">
        <f>_xlfn.XLOOKUP(B190,CRN!G:G,CRN!L:L,"")</f>
        <v>0</v>
      </c>
      <c r="I190">
        <f>IF(H190=0,0,_xlfn.XLOOKUP(C190,CLIENT_CODE!B:B,CLIENT_CODE!H:H,0))</f>
        <v>0</v>
      </c>
      <c r="J190">
        <f>_xlfn.XLOOKUP(B190,CRN!G:G,CRN!M:M,"")</f>
        <v>0</v>
      </c>
      <c r="K190">
        <f>IF(J190=0,0,_xlfn.XLOOKUP(C190,CLIENT_CODE!B:B,CLIENT_CODE!I:I,0))</f>
        <v>0</v>
      </c>
      <c r="L190">
        <f>_xlfn.XLOOKUP(B190,CRN!G:G,CRN!N:N,"")</f>
        <v>0</v>
      </c>
      <c r="M190">
        <f>IF(L190=0,0,_xlfn.XLOOKUP(C190,CLIENT_CODE!B:B,CLIENT_CODE!J:J,0))</f>
        <v>0</v>
      </c>
      <c r="N190">
        <f>_xlfn.XLOOKUP(B190,CRN!G:G,CRN!O:O,"")</f>
        <v>0</v>
      </c>
      <c r="O190">
        <f>IF(N190=0,0,_xlfn.XLOOKUP(C190,CLIENT_CODE!B:B,CLIENT_CODE!K:K,0))</f>
        <v>0</v>
      </c>
      <c r="P190">
        <f>_xlfn.XLOOKUP(B190,CRN!G:G,CRN!P:P,"")</f>
        <v>0</v>
      </c>
      <c r="Q190">
        <f>IF(P190=0,0,_xlfn.XLOOKUP(C190,CLIENT_CODE!B:B,CLIENT_CODE!L:L,0))</f>
        <v>0</v>
      </c>
      <c r="R190">
        <f>_xlfn.XLOOKUP(B190,CRN!G:G,CRN!Q:Q,"")</f>
        <v>0</v>
      </c>
      <c r="S190">
        <f>IF(R190=0,0,_xlfn.XLOOKUP(C190,CLIENT_CODE!B:B,CLIENT_CODE!M:M,0))</f>
        <v>0</v>
      </c>
      <c r="T190">
        <f>_xlfn.XLOOKUP(B190,CRN!G:G,CRN!R:R,"")</f>
        <v>0</v>
      </c>
      <c r="U190">
        <f>IF(T190=0,0,_xlfn.XLOOKUP(C190,CLIENT_CODE!B:B,CLIENT_CODE!N:N,0))</f>
        <v>0</v>
      </c>
      <c r="V190">
        <f>_xlfn.XLOOKUP(B190,CRN!G:G,CRN!S:S,"")</f>
        <v>0</v>
      </c>
      <c r="W190">
        <f>IF(V190=0,0,_xlfn.XLOOKUP(C190,CLIENT_CODE!B:B,CLIENT_CODE!O:O,0))</f>
        <v>0</v>
      </c>
      <c r="X190">
        <f>_xlfn.XLOOKUP(B190,CRN!G:G,CRN!T:T,"")</f>
        <v>0</v>
      </c>
      <c r="Y190">
        <f>IF(X190=0,0,_xlfn.XLOOKUP(C190,CLIENT_CODE!B:B,CLIENT_CODE!P:P,0))</f>
        <v>0</v>
      </c>
      <c r="Z190">
        <f>_xlfn.XLOOKUP(B190,CRN!G:G,CRN!U:U,"")</f>
        <v>0</v>
      </c>
      <c r="AA190">
        <f>IF(X190=0,0,_xlfn.XLOOKUP(C190,CLIENT_CODE!B:B,CLIENT_CODE!P:P,0))</f>
        <v>0</v>
      </c>
      <c r="AB190">
        <f>_xlfn.XLOOKUP(B190,CRN!G:G,CRN!V:V,"")</f>
        <v>0</v>
      </c>
      <c r="AC190">
        <f>IF(AB190=0,0,_xlfn.XLOOKUP(C190,CLIENT_CODE!B:B,CLIENT_CODE!R:R,0))</f>
        <v>0</v>
      </c>
      <c r="AD190">
        <f t="shared" si="2"/>
        <v>0</v>
      </c>
    </row>
    <row r="191" spans="1:30">
      <c r="A191" s="42">
        <v>190</v>
      </c>
      <c r="E191">
        <f>IF(D191=0,0,_xlfn.XLOOKUP(C191,CLIENT_CODE!B:B,CLIENT_CODE!F:F,0))</f>
        <v>0</v>
      </c>
      <c r="F191">
        <f>_xlfn.XLOOKUP(B191,CRN!G:G,CRN!K:K,"")</f>
        <v>0</v>
      </c>
      <c r="G191">
        <f>IF(F191=0,0,_xlfn.XLOOKUP(C191,CLIENT_CODE!B:B,CLIENT_CODE!G:G,0))</f>
        <v>0</v>
      </c>
      <c r="H191">
        <f>_xlfn.XLOOKUP(B191,CRN!G:G,CRN!L:L,"")</f>
        <v>0</v>
      </c>
      <c r="I191">
        <f>IF(H191=0,0,_xlfn.XLOOKUP(C191,CLIENT_CODE!B:B,CLIENT_CODE!H:H,0))</f>
        <v>0</v>
      </c>
      <c r="J191">
        <f>_xlfn.XLOOKUP(B191,CRN!G:G,CRN!M:M,"")</f>
        <v>0</v>
      </c>
      <c r="K191">
        <f>IF(J191=0,0,_xlfn.XLOOKUP(C191,CLIENT_CODE!B:B,CLIENT_CODE!I:I,0))</f>
        <v>0</v>
      </c>
      <c r="L191">
        <f>_xlfn.XLOOKUP(B191,CRN!G:G,CRN!N:N,"")</f>
        <v>0</v>
      </c>
      <c r="M191">
        <f>IF(L191=0,0,_xlfn.XLOOKUP(C191,CLIENT_CODE!B:B,CLIENT_CODE!J:J,0))</f>
        <v>0</v>
      </c>
      <c r="N191">
        <f>_xlfn.XLOOKUP(B191,CRN!G:G,CRN!O:O,"")</f>
        <v>0</v>
      </c>
      <c r="O191">
        <f>IF(N191=0,0,_xlfn.XLOOKUP(C191,CLIENT_CODE!B:B,CLIENT_CODE!K:K,0))</f>
        <v>0</v>
      </c>
      <c r="P191">
        <f>_xlfn.XLOOKUP(B191,CRN!G:G,CRN!P:P,"")</f>
        <v>0</v>
      </c>
      <c r="Q191">
        <f>IF(P191=0,0,_xlfn.XLOOKUP(C191,CLIENT_CODE!B:B,CLIENT_CODE!L:L,0))</f>
        <v>0</v>
      </c>
      <c r="R191">
        <f>_xlfn.XLOOKUP(B191,CRN!G:G,CRN!Q:Q,"")</f>
        <v>0</v>
      </c>
      <c r="S191">
        <f>IF(R191=0,0,_xlfn.XLOOKUP(C191,CLIENT_CODE!B:B,CLIENT_CODE!M:M,0))</f>
        <v>0</v>
      </c>
      <c r="T191">
        <f>_xlfn.XLOOKUP(B191,CRN!G:G,CRN!R:R,"")</f>
        <v>0</v>
      </c>
      <c r="U191">
        <f>IF(T191=0,0,_xlfn.XLOOKUP(C191,CLIENT_CODE!B:B,CLIENT_CODE!N:N,0))</f>
        <v>0</v>
      </c>
      <c r="V191">
        <f>_xlfn.XLOOKUP(B191,CRN!G:G,CRN!S:S,"")</f>
        <v>0</v>
      </c>
      <c r="W191">
        <f>IF(V191=0,0,_xlfn.XLOOKUP(C191,CLIENT_CODE!B:B,CLIENT_CODE!O:O,0))</f>
        <v>0</v>
      </c>
      <c r="X191">
        <f>_xlfn.XLOOKUP(B191,CRN!G:G,CRN!T:T,"")</f>
        <v>0</v>
      </c>
      <c r="Y191">
        <f>IF(X191=0,0,_xlfn.XLOOKUP(C191,CLIENT_CODE!B:B,CLIENT_CODE!P:P,0))</f>
        <v>0</v>
      </c>
      <c r="Z191">
        <f>_xlfn.XLOOKUP(B191,CRN!G:G,CRN!U:U,"")</f>
        <v>0</v>
      </c>
      <c r="AA191">
        <f>IF(X191=0,0,_xlfn.XLOOKUP(C191,CLIENT_CODE!B:B,CLIENT_CODE!P:P,0))</f>
        <v>0</v>
      </c>
      <c r="AB191">
        <f>_xlfn.XLOOKUP(B191,CRN!G:G,CRN!V:V,"")</f>
        <v>0</v>
      </c>
      <c r="AC191">
        <f>IF(AB191=0,0,_xlfn.XLOOKUP(C191,CLIENT_CODE!B:B,CLIENT_CODE!R:R,0))</f>
        <v>0</v>
      </c>
      <c r="AD191">
        <f t="shared" si="2"/>
        <v>0</v>
      </c>
    </row>
    <row r="192" spans="1:30">
      <c r="A192" s="42">
        <v>191</v>
      </c>
      <c r="E192">
        <f>IF(D192=0,0,_xlfn.XLOOKUP(C192,CLIENT_CODE!B:B,CLIENT_CODE!F:F,0))</f>
        <v>0</v>
      </c>
      <c r="F192">
        <f>_xlfn.XLOOKUP(B192,CRN!G:G,CRN!K:K,"")</f>
        <v>0</v>
      </c>
      <c r="G192">
        <f>IF(F192=0,0,_xlfn.XLOOKUP(C192,CLIENT_CODE!B:B,CLIENT_CODE!G:G,0))</f>
        <v>0</v>
      </c>
      <c r="H192">
        <f>_xlfn.XLOOKUP(B192,CRN!G:G,CRN!L:L,"")</f>
        <v>0</v>
      </c>
      <c r="I192">
        <f>IF(H192=0,0,_xlfn.XLOOKUP(C192,CLIENT_CODE!B:B,CLIENT_CODE!H:H,0))</f>
        <v>0</v>
      </c>
      <c r="J192">
        <f>_xlfn.XLOOKUP(B192,CRN!G:G,CRN!M:M,"")</f>
        <v>0</v>
      </c>
      <c r="K192">
        <f>IF(J192=0,0,_xlfn.XLOOKUP(C192,CLIENT_CODE!B:B,CLIENT_CODE!I:I,0))</f>
        <v>0</v>
      </c>
      <c r="L192">
        <f>_xlfn.XLOOKUP(B192,CRN!G:G,CRN!N:N,"")</f>
        <v>0</v>
      </c>
      <c r="M192">
        <f>IF(L192=0,0,_xlfn.XLOOKUP(C192,CLIENT_CODE!B:B,CLIENT_CODE!J:J,0))</f>
        <v>0</v>
      </c>
      <c r="N192">
        <f>_xlfn.XLOOKUP(B192,CRN!G:G,CRN!O:O,"")</f>
        <v>0</v>
      </c>
      <c r="O192">
        <f>IF(N192=0,0,_xlfn.XLOOKUP(C192,CLIENT_CODE!B:B,CLIENT_CODE!K:K,0))</f>
        <v>0</v>
      </c>
      <c r="P192">
        <f>_xlfn.XLOOKUP(B192,CRN!G:G,CRN!P:P,"")</f>
        <v>0</v>
      </c>
      <c r="Q192">
        <f>IF(P192=0,0,_xlfn.XLOOKUP(C192,CLIENT_CODE!B:B,CLIENT_CODE!L:L,0))</f>
        <v>0</v>
      </c>
      <c r="R192">
        <f>_xlfn.XLOOKUP(B192,CRN!G:G,CRN!Q:Q,"")</f>
        <v>0</v>
      </c>
      <c r="S192">
        <f>IF(R192=0,0,_xlfn.XLOOKUP(C192,CLIENT_CODE!B:B,CLIENT_CODE!M:M,0))</f>
        <v>0</v>
      </c>
      <c r="T192">
        <f>_xlfn.XLOOKUP(B192,CRN!G:G,CRN!R:R,"")</f>
        <v>0</v>
      </c>
      <c r="U192">
        <f>IF(T192=0,0,_xlfn.XLOOKUP(C192,CLIENT_CODE!B:B,CLIENT_CODE!N:N,0))</f>
        <v>0</v>
      </c>
      <c r="V192">
        <f>_xlfn.XLOOKUP(B192,CRN!G:G,CRN!S:S,"")</f>
        <v>0</v>
      </c>
      <c r="W192">
        <f>IF(V192=0,0,_xlfn.XLOOKUP(C192,CLIENT_CODE!B:B,CLIENT_CODE!O:O,0))</f>
        <v>0</v>
      </c>
      <c r="X192">
        <f>_xlfn.XLOOKUP(B192,CRN!G:G,CRN!T:T,"")</f>
        <v>0</v>
      </c>
      <c r="Y192">
        <f>IF(X192=0,0,_xlfn.XLOOKUP(C192,CLIENT_CODE!B:B,CLIENT_CODE!P:P,0))</f>
        <v>0</v>
      </c>
      <c r="Z192">
        <f>_xlfn.XLOOKUP(B192,CRN!G:G,CRN!U:U,"")</f>
        <v>0</v>
      </c>
      <c r="AA192">
        <f>IF(X192=0,0,_xlfn.XLOOKUP(C192,CLIENT_CODE!B:B,CLIENT_CODE!P:P,0))</f>
        <v>0</v>
      </c>
      <c r="AB192">
        <f>_xlfn.XLOOKUP(B192,CRN!G:G,CRN!V:V,"")</f>
        <v>0</v>
      </c>
      <c r="AC192">
        <f>IF(AB192=0,0,_xlfn.XLOOKUP(C192,CLIENT_CODE!B:B,CLIENT_CODE!R:R,0))</f>
        <v>0</v>
      </c>
      <c r="AD192">
        <f t="shared" si="2"/>
        <v>0</v>
      </c>
    </row>
    <row r="193" spans="1:30">
      <c r="A193" s="42">
        <v>192</v>
      </c>
      <c r="E193">
        <f>IF(D193=0,0,_xlfn.XLOOKUP(C193,CLIENT_CODE!B:B,CLIENT_CODE!F:F,0))</f>
        <v>0</v>
      </c>
      <c r="F193">
        <f>_xlfn.XLOOKUP(B193,CRN!G:G,CRN!K:K,"")</f>
        <v>0</v>
      </c>
      <c r="G193">
        <f>IF(F193=0,0,_xlfn.XLOOKUP(C193,CLIENT_CODE!B:B,CLIENT_CODE!G:G,0))</f>
        <v>0</v>
      </c>
      <c r="H193">
        <f>_xlfn.XLOOKUP(B193,CRN!G:G,CRN!L:L,"")</f>
        <v>0</v>
      </c>
      <c r="I193">
        <f>IF(H193=0,0,_xlfn.XLOOKUP(C193,CLIENT_CODE!B:B,CLIENT_CODE!H:H,0))</f>
        <v>0</v>
      </c>
      <c r="J193">
        <f>_xlfn.XLOOKUP(B193,CRN!G:G,CRN!M:M,"")</f>
        <v>0</v>
      </c>
      <c r="K193">
        <f>IF(J193=0,0,_xlfn.XLOOKUP(C193,CLIENT_CODE!B:B,CLIENT_CODE!I:I,0))</f>
        <v>0</v>
      </c>
      <c r="L193">
        <f>_xlfn.XLOOKUP(B193,CRN!G:G,CRN!N:N,"")</f>
        <v>0</v>
      </c>
      <c r="M193">
        <f>IF(L193=0,0,_xlfn.XLOOKUP(C193,CLIENT_CODE!B:B,CLIENT_CODE!J:J,0))</f>
        <v>0</v>
      </c>
      <c r="N193">
        <f>_xlfn.XLOOKUP(B193,CRN!G:G,CRN!O:O,"")</f>
        <v>0</v>
      </c>
      <c r="O193">
        <f>IF(N193=0,0,_xlfn.XLOOKUP(C193,CLIENT_CODE!B:B,CLIENT_CODE!K:K,0))</f>
        <v>0</v>
      </c>
      <c r="P193">
        <f>_xlfn.XLOOKUP(B193,CRN!G:G,CRN!P:P,"")</f>
        <v>0</v>
      </c>
      <c r="Q193">
        <f>IF(P193=0,0,_xlfn.XLOOKUP(C193,CLIENT_CODE!B:B,CLIENT_CODE!L:L,0))</f>
        <v>0</v>
      </c>
      <c r="R193">
        <f>_xlfn.XLOOKUP(B193,CRN!G:G,CRN!Q:Q,"")</f>
        <v>0</v>
      </c>
      <c r="S193">
        <f>IF(R193=0,0,_xlfn.XLOOKUP(C193,CLIENT_CODE!B:B,CLIENT_CODE!M:M,0))</f>
        <v>0</v>
      </c>
      <c r="T193">
        <f>_xlfn.XLOOKUP(B193,CRN!G:G,CRN!R:R,"")</f>
        <v>0</v>
      </c>
      <c r="U193">
        <f>IF(T193=0,0,_xlfn.XLOOKUP(C193,CLIENT_CODE!B:B,CLIENT_CODE!N:N,0))</f>
        <v>0</v>
      </c>
      <c r="V193">
        <f>_xlfn.XLOOKUP(B193,CRN!G:G,CRN!S:S,"")</f>
        <v>0</v>
      </c>
      <c r="W193">
        <f>IF(V193=0,0,_xlfn.XLOOKUP(C193,CLIENT_CODE!B:B,CLIENT_CODE!O:O,0))</f>
        <v>0</v>
      </c>
      <c r="X193">
        <f>_xlfn.XLOOKUP(B193,CRN!G:G,CRN!T:T,"")</f>
        <v>0</v>
      </c>
      <c r="Y193">
        <f>IF(X193=0,0,_xlfn.XLOOKUP(C193,CLIENT_CODE!B:B,CLIENT_CODE!P:P,0))</f>
        <v>0</v>
      </c>
      <c r="Z193">
        <f>_xlfn.XLOOKUP(B193,CRN!G:G,CRN!U:U,"")</f>
        <v>0</v>
      </c>
      <c r="AA193">
        <f>IF(X193=0,0,_xlfn.XLOOKUP(C193,CLIENT_CODE!B:B,CLIENT_CODE!P:P,0))</f>
        <v>0</v>
      </c>
      <c r="AB193">
        <f>_xlfn.XLOOKUP(B193,CRN!G:G,CRN!V:V,"")</f>
        <v>0</v>
      </c>
      <c r="AC193">
        <f>IF(AB193=0,0,_xlfn.XLOOKUP(C193,CLIENT_CODE!B:B,CLIENT_CODE!R:R,0))</f>
        <v>0</v>
      </c>
      <c r="AD193">
        <f t="shared" si="2"/>
        <v>0</v>
      </c>
    </row>
    <row r="194" spans="1:30">
      <c r="A194" s="42">
        <v>193</v>
      </c>
      <c r="E194">
        <f>IF(D194=0,0,_xlfn.XLOOKUP(C194,CLIENT_CODE!B:B,CLIENT_CODE!F:F,0))</f>
        <v>0</v>
      </c>
      <c r="F194">
        <f>_xlfn.XLOOKUP(B194,CRN!G:G,CRN!K:K,"")</f>
        <v>0</v>
      </c>
      <c r="G194">
        <f>IF(F194=0,0,_xlfn.XLOOKUP(C194,CLIENT_CODE!B:B,CLIENT_CODE!G:G,0))</f>
        <v>0</v>
      </c>
      <c r="H194">
        <f>_xlfn.XLOOKUP(B194,CRN!G:G,CRN!L:L,"")</f>
        <v>0</v>
      </c>
      <c r="I194">
        <f>IF(H194=0,0,_xlfn.XLOOKUP(C194,CLIENT_CODE!B:B,CLIENT_CODE!H:H,0))</f>
        <v>0</v>
      </c>
      <c r="J194">
        <f>_xlfn.XLOOKUP(B194,CRN!G:G,CRN!M:M,"")</f>
        <v>0</v>
      </c>
      <c r="K194">
        <f>IF(J194=0,0,_xlfn.XLOOKUP(C194,CLIENT_CODE!B:B,CLIENT_CODE!I:I,0))</f>
        <v>0</v>
      </c>
      <c r="L194">
        <f>_xlfn.XLOOKUP(B194,CRN!G:G,CRN!N:N,"")</f>
        <v>0</v>
      </c>
      <c r="M194">
        <f>IF(L194=0,0,_xlfn.XLOOKUP(C194,CLIENT_CODE!B:B,CLIENT_CODE!J:J,0))</f>
        <v>0</v>
      </c>
      <c r="N194">
        <f>_xlfn.XLOOKUP(B194,CRN!G:G,CRN!O:O,"")</f>
        <v>0</v>
      </c>
      <c r="O194">
        <f>IF(N194=0,0,_xlfn.XLOOKUP(C194,CLIENT_CODE!B:B,CLIENT_CODE!K:K,0))</f>
        <v>0</v>
      </c>
      <c r="P194">
        <f>_xlfn.XLOOKUP(B194,CRN!G:G,CRN!P:P,"")</f>
        <v>0</v>
      </c>
      <c r="Q194">
        <f>IF(P194=0,0,_xlfn.XLOOKUP(C194,CLIENT_CODE!B:B,CLIENT_CODE!L:L,0))</f>
        <v>0</v>
      </c>
      <c r="R194">
        <f>_xlfn.XLOOKUP(B194,CRN!G:G,CRN!Q:Q,"")</f>
        <v>0</v>
      </c>
      <c r="S194">
        <f>IF(R194=0,0,_xlfn.XLOOKUP(C194,CLIENT_CODE!B:B,CLIENT_CODE!M:M,0))</f>
        <v>0</v>
      </c>
      <c r="T194">
        <f>_xlfn.XLOOKUP(B194,CRN!G:G,CRN!R:R,"")</f>
        <v>0</v>
      </c>
      <c r="U194">
        <f>IF(T194=0,0,_xlfn.XLOOKUP(C194,CLIENT_CODE!B:B,CLIENT_CODE!N:N,0))</f>
        <v>0</v>
      </c>
      <c r="V194">
        <f>_xlfn.XLOOKUP(B194,CRN!G:G,CRN!S:S,"")</f>
        <v>0</v>
      </c>
      <c r="W194">
        <f>IF(V194=0,0,_xlfn.XLOOKUP(C194,CLIENT_CODE!B:B,CLIENT_CODE!O:O,0))</f>
        <v>0</v>
      </c>
      <c r="X194">
        <f>_xlfn.XLOOKUP(B194,CRN!G:G,CRN!T:T,"")</f>
        <v>0</v>
      </c>
      <c r="Y194">
        <f>IF(X194=0,0,_xlfn.XLOOKUP(C194,CLIENT_CODE!B:B,CLIENT_CODE!P:P,0))</f>
        <v>0</v>
      </c>
      <c r="Z194">
        <f>_xlfn.XLOOKUP(B194,CRN!G:G,CRN!U:U,"")</f>
        <v>0</v>
      </c>
      <c r="AA194">
        <f>IF(X194=0,0,_xlfn.XLOOKUP(C194,CLIENT_CODE!B:B,CLIENT_CODE!P:P,0))</f>
        <v>0</v>
      </c>
      <c r="AB194">
        <f>_xlfn.XLOOKUP(B194,CRN!G:G,CRN!V:V,"")</f>
        <v>0</v>
      </c>
      <c r="AC194">
        <f>IF(AB194=0,0,_xlfn.XLOOKUP(C194,CLIENT_CODE!B:B,CLIENT_CODE!R:R,0))</f>
        <v>0</v>
      </c>
      <c r="AD194">
        <f t="shared" si="2"/>
        <v>0</v>
      </c>
    </row>
    <row r="195" spans="1:30">
      <c r="A195" s="42">
        <v>194</v>
      </c>
      <c r="E195">
        <f>IF(D195=0,0,_xlfn.XLOOKUP(C195,CLIENT_CODE!B:B,CLIENT_CODE!F:F,0))</f>
        <v>0</v>
      </c>
      <c r="F195">
        <f>_xlfn.XLOOKUP(B195,CRN!G:G,CRN!K:K,"")</f>
        <v>0</v>
      </c>
      <c r="G195">
        <f>IF(F195=0,0,_xlfn.XLOOKUP(C195,CLIENT_CODE!B:B,CLIENT_CODE!G:G,0))</f>
        <v>0</v>
      </c>
      <c r="H195">
        <f>_xlfn.XLOOKUP(B195,CRN!G:G,CRN!L:L,"")</f>
        <v>0</v>
      </c>
      <c r="I195">
        <f>IF(H195=0,0,_xlfn.XLOOKUP(C195,CLIENT_CODE!B:B,CLIENT_CODE!H:H,0))</f>
        <v>0</v>
      </c>
      <c r="J195">
        <f>_xlfn.XLOOKUP(B195,CRN!G:G,CRN!M:M,"")</f>
        <v>0</v>
      </c>
      <c r="K195">
        <f>IF(J195=0,0,_xlfn.XLOOKUP(C195,CLIENT_CODE!B:B,CLIENT_CODE!I:I,0))</f>
        <v>0</v>
      </c>
      <c r="L195">
        <f>_xlfn.XLOOKUP(B195,CRN!G:G,CRN!N:N,"")</f>
        <v>0</v>
      </c>
      <c r="M195">
        <f>IF(L195=0,0,_xlfn.XLOOKUP(C195,CLIENT_CODE!B:B,CLIENT_CODE!J:J,0))</f>
        <v>0</v>
      </c>
      <c r="N195">
        <f>_xlfn.XLOOKUP(B195,CRN!G:G,CRN!O:O,"")</f>
        <v>0</v>
      </c>
      <c r="O195">
        <f>IF(N195=0,0,_xlfn.XLOOKUP(C195,CLIENT_CODE!B:B,CLIENT_CODE!K:K,0))</f>
        <v>0</v>
      </c>
      <c r="P195">
        <f>_xlfn.XLOOKUP(B195,CRN!G:G,CRN!P:P,"")</f>
        <v>0</v>
      </c>
      <c r="Q195">
        <f>IF(P195=0,0,_xlfn.XLOOKUP(C195,CLIENT_CODE!B:B,CLIENT_CODE!L:L,0))</f>
        <v>0</v>
      </c>
      <c r="R195">
        <f>_xlfn.XLOOKUP(B195,CRN!G:G,CRN!Q:Q,"")</f>
        <v>0</v>
      </c>
      <c r="S195">
        <f>IF(R195=0,0,_xlfn.XLOOKUP(C195,CLIENT_CODE!B:B,CLIENT_CODE!M:M,0))</f>
        <v>0</v>
      </c>
      <c r="T195">
        <f>_xlfn.XLOOKUP(B195,CRN!G:G,CRN!R:R,"")</f>
        <v>0</v>
      </c>
      <c r="U195">
        <f>IF(T195=0,0,_xlfn.XLOOKUP(C195,CLIENT_CODE!B:B,CLIENT_CODE!N:N,0))</f>
        <v>0</v>
      </c>
      <c r="V195">
        <f>_xlfn.XLOOKUP(B195,CRN!G:G,CRN!S:S,"")</f>
        <v>0</v>
      </c>
      <c r="W195">
        <f>IF(V195=0,0,_xlfn.XLOOKUP(C195,CLIENT_CODE!B:B,CLIENT_CODE!O:O,0))</f>
        <v>0</v>
      </c>
      <c r="X195">
        <f>_xlfn.XLOOKUP(B195,CRN!G:G,CRN!T:T,"")</f>
        <v>0</v>
      </c>
      <c r="Y195">
        <f>IF(X195=0,0,_xlfn.XLOOKUP(C195,CLIENT_CODE!B:B,CLIENT_CODE!P:P,0))</f>
        <v>0</v>
      </c>
      <c r="Z195">
        <f>_xlfn.XLOOKUP(B195,CRN!G:G,CRN!U:U,"")</f>
        <v>0</v>
      </c>
      <c r="AA195">
        <f>IF(X195=0,0,_xlfn.XLOOKUP(C195,CLIENT_CODE!B:B,CLIENT_CODE!P:P,0))</f>
        <v>0</v>
      </c>
      <c r="AB195">
        <f>_xlfn.XLOOKUP(B195,CRN!G:G,CRN!V:V,"")</f>
        <v>0</v>
      </c>
      <c r="AC195">
        <f>IF(AB195=0,0,_xlfn.XLOOKUP(C195,CLIENT_CODE!B:B,CLIENT_CODE!R:R,0))</f>
        <v>0</v>
      </c>
      <c r="AD195">
        <f t="shared" ref="AD195:AD258" si="3">SUM(E195,G195,I195,K195,M195,O195,Q195,S195,U195,W195,Y195,AA195,AC195,)</f>
        <v>0</v>
      </c>
    </row>
    <row r="196" spans="1:30">
      <c r="A196" s="42">
        <v>195</v>
      </c>
      <c r="E196">
        <f>IF(D196=0,0,_xlfn.XLOOKUP(C196,CLIENT_CODE!B:B,CLIENT_CODE!F:F,0))</f>
        <v>0</v>
      </c>
      <c r="F196">
        <f>_xlfn.XLOOKUP(B196,CRN!G:G,CRN!K:K,"")</f>
        <v>0</v>
      </c>
      <c r="G196">
        <f>IF(F196=0,0,_xlfn.XLOOKUP(C196,CLIENT_CODE!B:B,CLIENT_CODE!G:G,0))</f>
        <v>0</v>
      </c>
      <c r="H196">
        <f>_xlfn.XLOOKUP(B196,CRN!G:G,CRN!L:L,"")</f>
        <v>0</v>
      </c>
      <c r="I196">
        <f>IF(H196=0,0,_xlfn.XLOOKUP(C196,CLIENT_CODE!B:B,CLIENT_CODE!H:H,0))</f>
        <v>0</v>
      </c>
      <c r="J196">
        <f>_xlfn.XLOOKUP(B196,CRN!G:G,CRN!M:M,"")</f>
        <v>0</v>
      </c>
      <c r="K196">
        <f>IF(J196=0,0,_xlfn.XLOOKUP(C196,CLIENT_CODE!B:B,CLIENT_CODE!I:I,0))</f>
        <v>0</v>
      </c>
      <c r="L196">
        <f>_xlfn.XLOOKUP(B196,CRN!G:G,CRN!N:N,"")</f>
        <v>0</v>
      </c>
      <c r="M196">
        <f>IF(L196=0,0,_xlfn.XLOOKUP(C196,CLIENT_CODE!B:B,CLIENT_CODE!J:J,0))</f>
        <v>0</v>
      </c>
      <c r="N196">
        <f>_xlfn.XLOOKUP(B196,CRN!G:G,CRN!O:O,"")</f>
        <v>0</v>
      </c>
      <c r="O196">
        <f>IF(N196=0,0,_xlfn.XLOOKUP(C196,CLIENT_CODE!B:B,CLIENT_CODE!K:K,0))</f>
        <v>0</v>
      </c>
      <c r="P196">
        <f>_xlfn.XLOOKUP(B196,CRN!G:G,CRN!P:P,"")</f>
        <v>0</v>
      </c>
      <c r="Q196">
        <f>IF(P196=0,0,_xlfn.XLOOKUP(C196,CLIENT_CODE!B:B,CLIENT_CODE!L:L,0))</f>
        <v>0</v>
      </c>
      <c r="R196">
        <f>_xlfn.XLOOKUP(B196,CRN!G:G,CRN!Q:Q,"")</f>
        <v>0</v>
      </c>
      <c r="S196">
        <f>IF(R196=0,0,_xlfn.XLOOKUP(C196,CLIENT_CODE!B:B,CLIENT_CODE!M:M,0))</f>
        <v>0</v>
      </c>
      <c r="T196">
        <f>_xlfn.XLOOKUP(B196,CRN!G:G,CRN!R:R,"")</f>
        <v>0</v>
      </c>
      <c r="U196">
        <f>IF(T196=0,0,_xlfn.XLOOKUP(C196,CLIENT_CODE!B:B,CLIENT_CODE!N:N,0))</f>
        <v>0</v>
      </c>
      <c r="V196">
        <f>_xlfn.XLOOKUP(B196,CRN!G:G,CRN!S:S,"")</f>
        <v>0</v>
      </c>
      <c r="W196">
        <f>IF(V196=0,0,_xlfn.XLOOKUP(C196,CLIENT_CODE!B:B,CLIENT_CODE!O:O,0))</f>
        <v>0</v>
      </c>
      <c r="X196">
        <f>_xlfn.XLOOKUP(B196,CRN!G:G,CRN!T:T,"")</f>
        <v>0</v>
      </c>
      <c r="Y196">
        <f>IF(X196=0,0,_xlfn.XLOOKUP(C196,CLIENT_CODE!B:B,CLIENT_CODE!P:P,0))</f>
        <v>0</v>
      </c>
      <c r="Z196">
        <f>_xlfn.XLOOKUP(B196,CRN!G:G,CRN!U:U,"")</f>
        <v>0</v>
      </c>
      <c r="AA196">
        <f>IF(X196=0,0,_xlfn.XLOOKUP(C196,CLIENT_CODE!B:B,CLIENT_CODE!P:P,0))</f>
        <v>0</v>
      </c>
      <c r="AB196">
        <f>_xlfn.XLOOKUP(B196,CRN!G:G,CRN!V:V,"")</f>
        <v>0</v>
      </c>
      <c r="AC196">
        <f>IF(AB196=0,0,_xlfn.XLOOKUP(C196,CLIENT_CODE!B:B,CLIENT_CODE!R:R,0))</f>
        <v>0</v>
      </c>
      <c r="AD196">
        <f t="shared" si="3"/>
        <v>0</v>
      </c>
    </row>
    <row r="197" spans="1:30">
      <c r="A197" s="42">
        <v>196</v>
      </c>
      <c r="E197">
        <f>IF(D197=0,0,_xlfn.XLOOKUP(C197,CLIENT_CODE!B:B,CLIENT_CODE!F:F,0))</f>
        <v>0</v>
      </c>
      <c r="F197">
        <f>_xlfn.XLOOKUP(B197,CRN!G:G,CRN!K:K,"")</f>
        <v>0</v>
      </c>
      <c r="G197">
        <f>IF(F197=0,0,_xlfn.XLOOKUP(C197,CLIENT_CODE!B:B,CLIENT_CODE!G:G,0))</f>
        <v>0</v>
      </c>
      <c r="H197">
        <f>_xlfn.XLOOKUP(B197,CRN!G:G,CRN!L:L,"")</f>
        <v>0</v>
      </c>
      <c r="I197">
        <f>IF(H197=0,0,_xlfn.XLOOKUP(C197,CLIENT_CODE!B:B,CLIENT_CODE!H:H,0))</f>
        <v>0</v>
      </c>
      <c r="J197">
        <f>_xlfn.XLOOKUP(B197,CRN!G:G,CRN!M:M,"")</f>
        <v>0</v>
      </c>
      <c r="K197">
        <f>IF(J197=0,0,_xlfn.XLOOKUP(C197,CLIENT_CODE!B:B,CLIENT_CODE!I:I,0))</f>
        <v>0</v>
      </c>
      <c r="L197">
        <f>_xlfn.XLOOKUP(B197,CRN!G:G,CRN!N:N,"")</f>
        <v>0</v>
      </c>
      <c r="M197">
        <f>IF(L197=0,0,_xlfn.XLOOKUP(C197,CLIENT_CODE!B:B,CLIENT_CODE!J:J,0))</f>
        <v>0</v>
      </c>
      <c r="N197">
        <f>_xlfn.XLOOKUP(B197,CRN!G:G,CRN!O:O,"")</f>
        <v>0</v>
      </c>
      <c r="O197">
        <f>IF(N197=0,0,_xlfn.XLOOKUP(C197,CLIENT_CODE!B:B,CLIENT_CODE!K:K,0))</f>
        <v>0</v>
      </c>
      <c r="P197">
        <f>_xlfn.XLOOKUP(B197,CRN!G:G,CRN!P:P,"")</f>
        <v>0</v>
      </c>
      <c r="Q197">
        <f>IF(P197=0,0,_xlfn.XLOOKUP(C197,CLIENT_CODE!B:B,CLIENT_CODE!L:L,0))</f>
        <v>0</v>
      </c>
      <c r="R197">
        <f>_xlfn.XLOOKUP(B197,CRN!G:G,CRN!Q:Q,"")</f>
        <v>0</v>
      </c>
      <c r="S197">
        <f>IF(R197=0,0,_xlfn.XLOOKUP(C197,CLIENT_CODE!B:B,CLIENT_CODE!M:M,0))</f>
        <v>0</v>
      </c>
      <c r="T197">
        <f>_xlfn.XLOOKUP(B197,CRN!G:G,CRN!R:R,"")</f>
        <v>0</v>
      </c>
      <c r="U197">
        <f>IF(T197=0,0,_xlfn.XLOOKUP(C197,CLIENT_CODE!B:B,CLIENT_CODE!N:N,0))</f>
        <v>0</v>
      </c>
      <c r="V197">
        <f>_xlfn.XLOOKUP(B197,CRN!G:G,CRN!S:S,"")</f>
        <v>0</v>
      </c>
      <c r="W197">
        <f>IF(V197=0,0,_xlfn.XLOOKUP(C197,CLIENT_CODE!B:B,CLIENT_CODE!O:O,0))</f>
        <v>0</v>
      </c>
      <c r="X197">
        <f>_xlfn.XLOOKUP(B197,CRN!G:G,CRN!T:T,"")</f>
        <v>0</v>
      </c>
      <c r="Y197">
        <f>IF(X197=0,0,_xlfn.XLOOKUP(C197,CLIENT_CODE!B:B,CLIENT_CODE!P:P,0))</f>
        <v>0</v>
      </c>
      <c r="Z197">
        <f>_xlfn.XLOOKUP(B197,CRN!G:G,CRN!U:U,"")</f>
        <v>0</v>
      </c>
      <c r="AA197">
        <f>IF(X197=0,0,_xlfn.XLOOKUP(C197,CLIENT_CODE!B:B,CLIENT_CODE!P:P,0))</f>
        <v>0</v>
      </c>
      <c r="AB197">
        <f>_xlfn.XLOOKUP(B197,CRN!G:G,CRN!V:V,"")</f>
        <v>0</v>
      </c>
      <c r="AC197">
        <f>IF(AB197=0,0,_xlfn.XLOOKUP(C197,CLIENT_CODE!B:B,CLIENT_CODE!R:R,0))</f>
        <v>0</v>
      </c>
      <c r="AD197">
        <f t="shared" si="3"/>
        <v>0</v>
      </c>
    </row>
    <row r="198" spans="1:30">
      <c r="A198" s="42">
        <v>197</v>
      </c>
      <c r="E198">
        <f>IF(D198=0,0,_xlfn.XLOOKUP(C198,CLIENT_CODE!B:B,CLIENT_CODE!F:F,0))</f>
        <v>0</v>
      </c>
      <c r="F198">
        <f>_xlfn.XLOOKUP(B198,CRN!G:G,CRN!K:K,"")</f>
        <v>0</v>
      </c>
      <c r="G198">
        <f>IF(F198=0,0,_xlfn.XLOOKUP(C198,CLIENT_CODE!B:B,CLIENT_CODE!G:G,0))</f>
        <v>0</v>
      </c>
      <c r="H198">
        <f>_xlfn.XLOOKUP(B198,CRN!G:G,CRN!L:L,"")</f>
        <v>0</v>
      </c>
      <c r="I198">
        <f>IF(H198=0,0,_xlfn.XLOOKUP(C198,CLIENT_CODE!B:B,CLIENT_CODE!H:H,0))</f>
        <v>0</v>
      </c>
      <c r="J198">
        <f>_xlfn.XLOOKUP(B198,CRN!G:G,CRN!M:M,"")</f>
        <v>0</v>
      </c>
      <c r="K198">
        <f>IF(J198=0,0,_xlfn.XLOOKUP(C198,CLIENT_CODE!B:B,CLIENT_CODE!I:I,0))</f>
        <v>0</v>
      </c>
      <c r="L198">
        <f>_xlfn.XLOOKUP(B198,CRN!G:G,CRN!N:N,"")</f>
        <v>0</v>
      </c>
      <c r="M198">
        <f>IF(L198=0,0,_xlfn.XLOOKUP(C198,CLIENT_CODE!B:B,CLIENT_CODE!J:J,0))</f>
        <v>0</v>
      </c>
      <c r="N198">
        <f>_xlfn.XLOOKUP(B198,CRN!G:G,CRN!O:O,"")</f>
        <v>0</v>
      </c>
      <c r="O198">
        <f>IF(N198=0,0,_xlfn.XLOOKUP(C198,CLIENT_CODE!B:B,CLIENT_CODE!K:K,0))</f>
        <v>0</v>
      </c>
      <c r="P198">
        <f>_xlfn.XLOOKUP(B198,CRN!G:G,CRN!P:P,"")</f>
        <v>0</v>
      </c>
      <c r="Q198">
        <f>IF(P198=0,0,_xlfn.XLOOKUP(C198,CLIENT_CODE!B:B,CLIENT_CODE!L:L,0))</f>
        <v>0</v>
      </c>
      <c r="R198">
        <f>_xlfn.XLOOKUP(B198,CRN!G:G,CRN!Q:Q,"")</f>
        <v>0</v>
      </c>
      <c r="S198">
        <f>IF(R198=0,0,_xlfn.XLOOKUP(C198,CLIENT_CODE!B:B,CLIENT_CODE!M:M,0))</f>
        <v>0</v>
      </c>
      <c r="T198">
        <f>_xlfn.XLOOKUP(B198,CRN!G:G,CRN!R:R,"")</f>
        <v>0</v>
      </c>
      <c r="U198">
        <f>IF(T198=0,0,_xlfn.XLOOKUP(C198,CLIENT_CODE!B:B,CLIENT_CODE!N:N,0))</f>
        <v>0</v>
      </c>
      <c r="V198">
        <f>_xlfn.XLOOKUP(B198,CRN!G:G,CRN!S:S,"")</f>
        <v>0</v>
      </c>
      <c r="W198">
        <f>IF(V198=0,0,_xlfn.XLOOKUP(C198,CLIENT_CODE!B:B,CLIENT_CODE!O:O,0))</f>
        <v>0</v>
      </c>
      <c r="X198">
        <f>_xlfn.XLOOKUP(B198,CRN!G:G,CRN!T:T,"")</f>
        <v>0</v>
      </c>
      <c r="Y198">
        <f>IF(X198=0,0,_xlfn.XLOOKUP(C198,CLIENT_CODE!B:B,CLIENT_CODE!P:P,0))</f>
        <v>0</v>
      </c>
      <c r="Z198">
        <f>_xlfn.XLOOKUP(B198,CRN!G:G,CRN!U:U,"")</f>
        <v>0</v>
      </c>
      <c r="AA198">
        <f>IF(X198=0,0,_xlfn.XLOOKUP(C198,CLIENT_CODE!B:B,CLIENT_CODE!P:P,0))</f>
        <v>0</v>
      </c>
      <c r="AB198">
        <f>_xlfn.XLOOKUP(B198,CRN!G:G,CRN!V:V,"")</f>
        <v>0</v>
      </c>
      <c r="AC198">
        <f>IF(AB198=0,0,_xlfn.XLOOKUP(C198,CLIENT_CODE!B:B,CLIENT_CODE!R:R,0))</f>
        <v>0</v>
      </c>
      <c r="AD198">
        <f t="shared" si="3"/>
        <v>0</v>
      </c>
    </row>
    <row r="199" spans="1:30">
      <c r="A199" s="42">
        <v>198</v>
      </c>
      <c r="E199">
        <f>IF(D199=0,0,_xlfn.XLOOKUP(C199,CLIENT_CODE!B:B,CLIENT_CODE!F:F,0))</f>
        <v>0</v>
      </c>
      <c r="F199">
        <f>_xlfn.XLOOKUP(B199,CRN!G:G,CRN!K:K,"")</f>
        <v>0</v>
      </c>
      <c r="G199">
        <f>IF(F199=0,0,_xlfn.XLOOKUP(C199,CLIENT_CODE!B:B,CLIENT_CODE!G:G,0))</f>
        <v>0</v>
      </c>
      <c r="H199">
        <f>_xlfn.XLOOKUP(B199,CRN!G:G,CRN!L:L,"")</f>
        <v>0</v>
      </c>
      <c r="I199">
        <f>IF(H199=0,0,_xlfn.XLOOKUP(C199,CLIENT_CODE!B:B,CLIENT_CODE!H:H,0))</f>
        <v>0</v>
      </c>
      <c r="J199">
        <f>_xlfn.XLOOKUP(B199,CRN!G:G,CRN!M:M,"")</f>
        <v>0</v>
      </c>
      <c r="K199">
        <f>IF(J199=0,0,_xlfn.XLOOKUP(C199,CLIENT_CODE!B:B,CLIENT_CODE!I:I,0))</f>
        <v>0</v>
      </c>
      <c r="L199">
        <f>_xlfn.XLOOKUP(B199,CRN!G:G,CRN!N:N,"")</f>
        <v>0</v>
      </c>
      <c r="M199">
        <f>IF(L199=0,0,_xlfn.XLOOKUP(C199,CLIENT_CODE!B:B,CLIENT_CODE!J:J,0))</f>
        <v>0</v>
      </c>
      <c r="N199">
        <f>_xlfn.XLOOKUP(B199,CRN!G:G,CRN!O:O,"")</f>
        <v>0</v>
      </c>
      <c r="O199">
        <f>IF(N199=0,0,_xlfn.XLOOKUP(C199,CLIENT_CODE!B:B,CLIENT_CODE!K:K,0))</f>
        <v>0</v>
      </c>
      <c r="P199">
        <f>_xlfn.XLOOKUP(B199,CRN!G:G,CRN!P:P,"")</f>
        <v>0</v>
      </c>
      <c r="Q199">
        <f>IF(P199=0,0,_xlfn.XLOOKUP(C199,CLIENT_CODE!B:B,CLIENT_CODE!L:L,0))</f>
        <v>0</v>
      </c>
      <c r="R199">
        <f>_xlfn.XLOOKUP(B199,CRN!G:G,CRN!Q:Q,"")</f>
        <v>0</v>
      </c>
      <c r="S199">
        <f>IF(R199=0,0,_xlfn.XLOOKUP(C199,CLIENT_CODE!B:B,CLIENT_CODE!M:M,0))</f>
        <v>0</v>
      </c>
      <c r="T199">
        <f>_xlfn.XLOOKUP(B199,CRN!G:G,CRN!R:R,"")</f>
        <v>0</v>
      </c>
      <c r="U199">
        <f>IF(T199=0,0,_xlfn.XLOOKUP(C199,CLIENT_CODE!B:B,CLIENT_CODE!N:N,0))</f>
        <v>0</v>
      </c>
      <c r="V199">
        <f>_xlfn.XLOOKUP(B199,CRN!G:G,CRN!S:S,"")</f>
        <v>0</v>
      </c>
      <c r="W199">
        <f>IF(V199=0,0,_xlfn.XLOOKUP(C199,CLIENT_CODE!B:B,CLIENT_CODE!O:O,0))</f>
        <v>0</v>
      </c>
      <c r="X199">
        <f>_xlfn.XLOOKUP(B199,CRN!G:G,CRN!T:T,"")</f>
        <v>0</v>
      </c>
      <c r="Y199">
        <f>IF(X199=0,0,_xlfn.XLOOKUP(C199,CLIENT_CODE!B:B,CLIENT_CODE!P:P,0))</f>
        <v>0</v>
      </c>
      <c r="Z199">
        <f>_xlfn.XLOOKUP(B199,CRN!G:G,CRN!U:U,"")</f>
        <v>0</v>
      </c>
      <c r="AA199">
        <f>IF(X199=0,0,_xlfn.XLOOKUP(C199,CLIENT_CODE!B:B,CLIENT_CODE!P:P,0))</f>
        <v>0</v>
      </c>
      <c r="AB199">
        <f>_xlfn.XLOOKUP(B199,CRN!G:G,CRN!V:V,"")</f>
        <v>0</v>
      </c>
      <c r="AC199">
        <f>IF(AB199=0,0,_xlfn.XLOOKUP(C199,CLIENT_CODE!B:B,CLIENT_CODE!R:R,0))</f>
        <v>0</v>
      </c>
      <c r="AD199">
        <f t="shared" si="3"/>
        <v>0</v>
      </c>
    </row>
    <row r="200" spans="1:30">
      <c r="A200" s="42">
        <v>199</v>
      </c>
      <c r="E200">
        <f>IF(D200=0,0,_xlfn.XLOOKUP(C200,CLIENT_CODE!B:B,CLIENT_CODE!F:F,0))</f>
        <v>0</v>
      </c>
      <c r="F200">
        <f>_xlfn.XLOOKUP(B200,CRN!G:G,CRN!K:K,"")</f>
        <v>0</v>
      </c>
      <c r="G200">
        <f>IF(F200=0,0,_xlfn.XLOOKUP(C200,CLIENT_CODE!B:B,CLIENT_CODE!G:G,0))</f>
        <v>0</v>
      </c>
      <c r="H200">
        <f>_xlfn.XLOOKUP(B200,CRN!G:G,CRN!L:L,"")</f>
        <v>0</v>
      </c>
      <c r="I200">
        <f>IF(H200=0,0,_xlfn.XLOOKUP(C200,CLIENT_CODE!B:B,CLIENT_CODE!H:H,0))</f>
        <v>0</v>
      </c>
      <c r="J200">
        <f>_xlfn.XLOOKUP(B200,CRN!G:G,CRN!M:M,"")</f>
        <v>0</v>
      </c>
      <c r="K200">
        <f>IF(J200=0,0,_xlfn.XLOOKUP(C200,CLIENT_CODE!B:B,CLIENT_CODE!I:I,0))</f>
        <v>0</v>
      </c>
      <c r="L200">
        <f>_xlfn.XLOOKUP(B200,CRN!G:G,CRN!N:N,"")</f>
        <v>0</v>
      </c>
      <c r="M200">
        <f>IF(L200=0,0,_xlfn.XLOOKUP(C200,CLIENT_CODE!B:B,CLIENT_CODE!J:J,0))</f>
        <v>0</v>
      </c>
      <c r="N200">
        <f>_xlfn.XLOOKUP(B200,CRN!G:G,CRN!O:O,"")</f>
        <v>0</v>
      </c>
      <c r="O200">
        <f>IF(N200=0,0,_xlfn.XLOOKUP(C200,CLIENT_CODE!B:B,CLIENT_CODE!K:K,0))</f>
        <v>0</v>
      </c>
      <c r="P200">
        <f>_xlfn.XLOOKUP(B200,CRN!G:G,CRN!P:P,"")</f>
        <v>0</v>
      </c>
      <c r="Q200">
        <f>IF(P200=0,0,_xlfn.XLOOKUP(C200,CLIENT_CODE!B:B,CLIENT_CODE!L:L,0))</f>
        <v>0</v>
      </c>
      <c r="R200">
        <f>_xlfn.XLOOKUP(B200,CRN!G:G,CRN!Q:Q,"")</f>
        <v>0</v>
      </c>
      <c r="S200">
        <f>IF(R200=0,0,_xlfn.XLOOKUP(C200,CLIENT_CODE!B:B,CLIENT_CODE!M:M,0))</f>
        <v>0</v>
      </c>
      <c r="T200">
        <f>_xlfn.XLOOKUP(B200,CRN!G:G,CRN!R:R,"")</f>
        <v>0</v>
      </c>
      <c r="U200">
        <f>IF(T200=0,0,_xlfn.XLOOKUP(C200,CLIENT_CODE!B:B,CLIENT_CODE!N:N,0))</f>
        <v>0</v>
      </c>
      <c r="V200">
        <f>_xlfn.XLOOKUP(B200,CRN!G:G,CRN!S:S,"")</f>
        <v>0</v>
      </c>
      <c r="W200">
        <f>IF(V200=0,0,_xlfn.XLOOKUP(C200,CLIENT_CODE!B:B,CLIENT_CODE!O:O,0))</f>
        <v>0</v>
      </c>
      <c r="X200">
        <f>_xlfn.XLOOKUP(B200,CRN!G:G,CRN!T:T,"")</f>
        <v>0</v>
      </c>
      <c r="Y200">
        <f>IF(X200=0,0,_xlfn.XLOOKUP(C200,CLIENT_CODE!B:B,CLIENT_CODE!P:P,0))</f>
        <v>0</v>
      </c>
      <c r="Z200">
        <f>_xlfn.XLOOKUP(B200,CRN!G:G,CRN!U:U,"")</f>
        <v>0</v>
      </c>
      <c r="AA200">
        <f>IF(X200=0,0,_xlfn.XLOOKUP(C200,CLIENT_CODE!B:B,CLIENT_CODE!P:P,0))</f>
        <v>0</v>
      </c>
      <c r="AB200">
        <f>_xlfn.XLOOKUP(B200,CRN!G:G,CRN!V:V,"")</f>
        <v>0</v>
      </c>
      <c r="AC200">
        <f>IF(AB200=0,0,_xlfn.XLOOKUP(C200,CLIENT_CODE!B:B,CLIENT_CODE!R:R,0))</f>
        <v>0</v>
      </c>
      <c r="AD200">
        <f t="shared" si="3"/>
        <v>0</v>
      </c>
    </row>
    <row r="201" spans="1:30">
      <c r="A201" s="42">
        <v>200</v>
      </c>
      <c r="E201">
        <f>IF(D201=0,0,_xlfn.XLOOKUP(C201,CLIENT_CODE!B:B,CLIENT_CODE!F:F,0))</f>
        <v>0</v>
      </c>
      <c r="F201">
        <f>_xlfn.XLOOKUP(B201,CRN!G:G,CRN!K:K,"")</f>
        <v>0</v>
      </c>
      <c r="G201">
        <f>IF(F201=0,0,_xlfn.XLOOKUP(C201,CLIENT_CODE!B:B,CLIENT_CODE!G:G,0))</f>
        <v>0</v>
      </c>
      <c r="H201">
        <f>_xlfn.XLOOKUP(B201,CRN!G:G,CRN!L:L,"")</f>
        <v>0</v>
      </c>
      <c r="I201">
        <f>IF(H201=0,0,_xlfn.XLOOKUP(C201,CLIENT_CODE!B:B,CLIENT_CODE!H:H,0))</f>
        <v>0</v>
      </c>
      <c r="J201">
        <f>_xlfn.XLOOKUP(B201,CRN!G:G,CRN!M:M,"")</f>
        <v>0</v>
      </c>
      <c r="K201">
        <f>IF(J201=0,0,_xlfn.XLOOKUP(C201,CLIENT_CODE!B:B,CLIENT_CODE!I:I,0))</f>
        <v>0</v>
      </c>
      <c r="L201">
        <f>_xlfn.XLOOKUP(B201,CRN!G:G,CRN!N:N,"")</f>
        <v>0</v>
      </c>
      <c r="M201">
        <f>IF(L201=0,0,_xlfn.XLOOKUP(C201,CLIENT_CODE!B:B,CLIENT_CODE!J:J,0))</f>
        <v>0</v>
      </c>
      <c r="N201">
        <f>_xlfn.XLOOKUP(B201,CRN!G:G,CRN!O:O,"")</f>
        <v>0</v>
      </c>
      <c r="O201">
        <f>IF(N201=0,0,_xlfn.XLOOKUP(C201,CLIENT_CODE!B:B,CLIENT_CODE!K:K,0))</f>
        <v>0</v>
      </c>
      <c r="P201">
        <f>_xlfn.XLOOKUP(B201,CRN!G:G,CRN!P:P,"")</f>
        <v>0</v>
      </c>
      <c r="Q201">
        <f>IF(P201=0,0,_xlfn.XLOOKUP(C201,CLIENT_CODE!B:B,CLIENT_CODE!L:L,0))</f>
        <v>0</v>
      </c>
      <c r="R201">
        <f>_xlfn.XLOOKUP(B201,CRN!G:G,CRN!Q:Q,"")</f>
        <v>0</v>
      </c>
      <c r="S201">
        <f>IF(R201=0,0,_xlfn.XLOOKUP(C201,CLIENT_CODE!B:B,CLIENT_CODE!M:M,0))</f>
        <v>0</v>
      </c>
      <c r="T201">
        <f>_xlfn.XLOOKUP(B201,CRN!G:G,CRN!R:R,"")</f>
        <v>0</v>
      </c>
      <c r="U201">
        <f>IF(T201=0,0,_xlfn.XLOOKUP(C201,CLIENT_CODE!B:B,CLIENT_CODE!N:N,0))</f>
        <v>0</v>
      </c>
      <c r="V201">
        <f>_xlfn.XLOOKUP(B201,CRN!G:G,CRN!S:S,"")</f>
        <v>0</v>
      </c>
      <c r="W201">
        <f>IF(V201=0,0,_xlfn.XLOOKUP(C201,CLIENT_CODE!B:B,CLIENT_CODE!O:O,0))</f>
        <v>0</v>
      </c>
      <c r="X201">
        <f>_xlfn.XLOOKUP(B201,CRN!G:G,CRN!T:T,"")</f>
        <v>0</v>
      </c>
      <c r="Y201">
        <f>IF(X201=0,0,_xlfn.XLOOKUP(C201,CLIENT_CODE!B:B,CLIENT_CODE!P:P,0))</f>
        <v>0</v>
      </c>
      <c r="Z201">
        <f>_xlfn.XLOOKUP(B201,CRN!G:G,CRN!U:U,"")</f>
        <v>0</v>
      </c>
      <c r="AA201">
        <f>IF(X201=0,0,_xlfn.XLOOKUP(C201,CLIENT_CODE!B:B,CLIENT_CODE!P:P,0))</f>
        <v>0</v>
      </c>
      <c r="AB201">
        <f>_xlfn.XLOOKUP(B201,CRN!G:G,CRN!V:V,"")</f>
        <v>0</v>
      </c>
      <c r="AC201">
        <f>IF(AB201=0,0,_xlfn.XLOOKUP(C201,CLIENT_CODE!B:B,CLIENT_CODE!R:R,0))</f>
        <v>0</v>
      </c>
      <c r="AD201">
        <f t="shared" si="3"/>
        <v>0</v>
      </c>
    </row>
    <row r="202" spans="1:30">
      <c r="A202" s="42">
        <v>201</v>
      </c>
      <c r="E202">
        <f>IF(D202=0,0,_xlfn.XLOOKUP(C202,CLIENT_CODE!B:B,CLIENT_CODE!F:F,0))</f>
        <v>0</v>
      </c>
      <c r="F202">
        <f>_xlfn.XLOOKUP(B202,CRN!G:G,CRN!K:K,"")</f>
        <v>0</v>
      </c>
      <c r="G202">
        <f>IF(F202=0,0,_xlfn.XLOOKUP(C202,CLIENT_CODE!B:B,CLIENT_CODE!G:G,0))</f>
        <v>0</v>
      </c>
      <c r="H202">
        <f>_xlfn.XLOOKUP(B202,CRN!G:G,CRN!L:L,"")</f>
        <v>0</v>
      </c>
      <c r="I202">
        <f>IF(H202=0,0,_xlfn.XLOOKUP(C202,CLIENT_CODE!B:B,CLIENT_CODE!H:H,0))</f>
        <v>0</v>
      </c>
      <c r="J202">
        <f>_xlfn.XLOOKUP(B202,CRN!G:G,CRN!M:M,"")</f>
        <v>0</v>
      </c>
      <c r="K202">
        <f>IF(J202=0,0,_xlfn.XLOOKUP(C202,CLIENT_CODE!B:B,CLIENT_CODE!I:I,0))</f>
        <v>0</v>
      </c>
      <c r="L202">
        <f>_xlfn.XLOOKUP(B202,CRN!G:G,CRN!N:N,"")</f>
        <v>0</v>
      </c>
      <c r="M202">
        <f>IF(L202=0,0,_xlfn.XLOOKUP(C202,CLIENT_CODE!B:B,CLIENT_CODE!J:J,0))</f>
        <v>0</v>
      </c>
      <c r="N202">
        <f>_xlfn.XLOOKUP(B202,CRN!G:G,CRN!O:O,"")</f>
        <v>0</v>
      </c>
      <c r="O202">
        <f>IF(N202=0,0,_xlfn.XLOOKUP(C202,CLIENT_CODE!B:B,CLIENT_CODE!K:K,0))</f>
        <v>0</v>
      </c>
      <c r="P202">
        <f>_xlfn.XLOOKUP(B202,CRN!G:G,CRN!P:P,"")</f>
        <v>0</v>
      </c>
      <c r="Q202">
        <f>IF(P202=0,0,_xlfn.XLOOKUP(C202,CLIENT_CODE!B:B,CLIENT_CODE!L:L,0))</f>
        <v>0</v>
      </c>
      <c r="R202">
        <f>_xlfn.XLOOKUP(B202,CRN!G:G,CRN!Q:Q,"")</f>
        <v>0</v>
      </c>
      <c r="S202">
        <f>IF(R202=0,0,_xlfn.XLOOKUP(C202,CLIENT_CODE!B:B,CLIENT_CODE!M:M,0))</f>
        <v>0</v>
      </c>
      <c r="T202">
        <f>_xlfn.XLOOKUP(B202,CRN!G:G,CRN!R:R,"")</f>
        <v>0</v>
      </c>
      <c r="U202">
        <f>IF(T202=0,0,_xlfn.XLOOKUP(C202,CLIENT_CODE!B:B,CLIENT_CODE!N:N,0))</f>
        <v>0</v>
      </c>
      <c r="V202">
        <f>_xlfn.XLOOKUP(B202,CRN!G:G,CRN!S:S,"")</f>
        <v>0</v>
      </c>
      <c r="W202">
        <f>IF(V202=0,0,_xlfn.XLOOKUP(C202,CLIENT_CODE!B:B,CLIENT_CODE!O:O,0))</f>
        <v>0</v>
      </c>
      <c r="X202">
        <f>_xlfn.XLOOKUP(B202,CRN!G:G,CRN!T:T,"")</f>
        <v>0</v>
      </c>
      <c r="Y202">
        <f>IF(X202=0,0,_xlfn.XLOOKUP(C202,CLIENT_CODE!B:B,CLIENT_CODE!P:P,0))</f>
        <v>0</v>
      </c>
      <c r="Z202">
        <f>_xlfn.XLOOKUP(B202,CRN!G:G,CRN!U:U,"")</f>
        <v>0</v>
      </c>
      <c r="AA202">
        <f>IF(X202=0,0,_xlfn.XLOOKUP(C202,CLIENT_CODE!B:B,CLIENT_CODE!P:P,0))</f>
        <v>0</v>
      </c>
      <c r="AB202">
        <f>_xlfn.XLOOKUP(B202,CRN!G:G,CRN!V:V,"")</f>
        <v>0</v>
      </c>
      <c r="AC202">
        <f>IF(AB202=0,0,_xlfn.XLOOKUP(C202,CLIENT_CODE!B:B,CLIENT_CODE!R:R,0))</f>
        <v>0</v>
      </c>
      <c r="AD202">
        <f t="shared" si="3"/>
        <v>0</v>
      </c>
    </row>
    <row r="203" spans="1:30">
      <c r="A203" s="42">
        <v>202</v>
      </c>
      <c r="E203">
        <f>IF(D203=0,0,_xlfn.XLOOKUP(C203,CLIENT_CODE!B:B,CLIENT_CODE!F:F,0))</f>
        <v>0</v>
      </c>
      <c r="F203">
        <f>_xlfn.XLOOKUP(B203,CRN!G:G,CRN!K:K,"")</f>
        <v>0</v>
      </c>
      <c r="G203">
        <f>IF(F203=0,0,_xlfn.XLOOKUP(C203,CLIENT_CODE!B:B,CLIENT_CODE!G:G,0))</f>
        <v>0</v>
      </c>
      <c r="H203">
        <f>_xlfn.XLOOKUP(B203,CRN!G:G,CRN!L:L,"")</f>
        <v>0</v>
      </c>
      <c r="I203">
        <f>IF(H203=0,0,_xlfn.XLOOKUP(C203,CLIENT_CODE!B:B,CLIENT_CODE!H:H,0))</f>
        <v>0</v>
      </c>
      <c r="J203">
        <f>_xlfn.XLOOKUP(B203,CRN!G:G,CRN!M:M,"")</f>
        <v>0</v>
      </c>
      <c r="K203">
        <f>IF(J203=0,0,_xlfn.XLOOKUP(C203,CLIENT_CODE!B:B,CLIENT_CODE!I:I,0))</f>
        <v>0</v>
      </c>
      <c r="L203">
        <f>_xlfn.XLOOKUP(B203,CRN!G:G,CRN!N:N,"")</f>
        <v>0</v>
      </c>
      <c r="M203">
        <f>IF(L203=0,0,_xlfn.XLOOKUP(C203,CLIENT_CODE!B:B,CLIENT_CODE!J:J,0))</f>
        <v>0</v>
      </c>
      <c r="N203">
        <f>_xlfn.XLOOKUP(B203,CRN!G:G,CRN!O:O,"")</f>
        <v>0</v>
      </c>
      <c r="O203">
        <f>IF(N203=0,0,_xlfn.XLOOKUP(C203,CLIENT_CODE!B:B,CLIENT_CODE!K:K,0))</f>
        <v>0</v>
      </c>
      <c r="P203">
        <f>_xlfn.XLOOKUP(B203,CRN!G:G,CRN!P:P,"")</f>
        <v>0</v>
      </c>
      <c r="Q203">
        <f>IF(P203=0,0,_xlfn.XLOOKUP(C203,CLIENT_CODE!B:B,CLIENT_CODE!L:L,0))</f>
        <v>0</v>
      </c>
      <c r="R203">
        <f>_xlfn.XLOOKUP(B203,CRN!G:G,CRN!Q:Q,"")</f>
        <v>0</v>
      </c>
      <c r="S203">
        <f>IF(R203=0,0,_xlfn.XLOOKUP(C203,CLIENT_CODE!B:B,CLIENT_CODE!M:M,0))</f>
        <v>0</v>
      </c>
      <c r="T203">
        <f>_xlfn.XLOOKUP(B203,CRN!G:G,CRN!R:R,"")</f>
        <v>0</v>
      </c>
      <c r="U203">
        <f>IF(T203=0,0,_xlfn.XLOOKUP(C203,CLIENT_CODE!B:B,CLIENT_CODE!N:N,0))</f>
        <v>0</v>
      </c>
      <c r="V203">
        <f>_xlfn.XLOOKUP(B203,CRN!G:G,CRN!S:S,"")</f>
        <v>0</v>
      </c>
      <c r="W203">
        <f>IF(V203=0,0,_xlfn.XLOOKUP(C203,CLIENT_CODE!B:B,CLIENT_CODE!O:O,0))</f>
        <v>0</v>
      </c>
      <c r="X203">
        <f>_xlfn.XLOOKUP(B203,CRN!G:G,CRN!T:T,"")</f>
        <v>0</v>
      </c>
      <c r="Y203">
        <f>IF(X203=0,0,_xlfn.XLOOKUP(C203,CLIENT_CODE!B:B,CLIENT_CODE!P:P,0))</f>
        <v>0</v>
      </c>
      <c r="Z203">
        <f>_xlfn.XLOOKUP(B203,CRN!G:G,CRN!U:U,"")</f>
        <v>0</v>
      </c>
      <c r="AA203">
        <f>IF(X203=0,0,_xlfn.XLOOKUP(C203,CLIENT_CODE!B:B,CLIENT_CODE!P:P,0))</f>
        <v>0</v>
      </c>
      <c r="AB203">
        <f>_xlfn.XLOOKUP(B203,CRN!G:G,CRN!V:V,"")</f>
        <v>0</v>
      </c>
      <c r="AC203">
        <f>IF(AB203=0,0,_xlfn.XLOOKUP(C203,CLIENT_CODE!B:B,CLIENT_CODE!R:R,0))</f>
        <v>0</v>
      </c>
      <c r="AD203">
        <f t="shared" si="3"/>
        <v>0</v>
      </c>
    </row>
    <row r="204" spans="1:30">
      <c r="A204" s="42">
        <v>203</v>
      </c>
      <c r="E204">
        <f>IF(D204=0,0,_xlfn.XLOOKUP(C204,CLIENT_CODE!B:B,CLIENT_CODE!F:F,0))</f>
        <v>0</v>
      </c>
      <c r="F204">
        <f>_xlfn.XLOOKUP(B204,CRN!G:G,CRN!K:K,"")</f>
        <v>0</v>
      </c>
      <c r="G204">
        <f>IF(F204=0,0,_xlfn.XLOOKUP(C204,CLIENT_CODE!B:B,CLIENT_CODE!G:G,0))</f>
        <v>0</v>
      </c>
      <c r="H204">
        <f>_xlfn.XLOOKUP(B204,CRN!G:G,CRN!L:L,"")</f>
        <v>0</v>
      </c>
      <c r="I204">
        <f>IF(H204=0,0,_xlfn.XLOOKUP(C204,CLIENT_CODE!B:B,CLIENT_CODE!H:H,0))</f>
        <v>0</v>
      </c>
      <c r="J204">
        <f>_xlfn.XLOOKUP(B204,CRN!G:G,CRN!M:M,"")</f>
        <v>0</v>
      </c>
      <c r="K204">
        <f>IF(J204=0,0,_xlfn.XLOOKUP(C204,CLIENT_CODE!B:B,CLIENT_CODE!I:I,0))</f>
        <v>0</v>
      </c>
      <c r="L204">
        <f>_xlfn.XLOOKUP(B204,CRN!G:G,CRN!N:N,"")</f>
        <v>0</v>
      </c>
      <c r="M204">
        <f>IF(L204=0,0,_xlfn.XLOOKUP(C204,CLIENT_CODE!B:B,CLIENT_CODE!J:J,0))</f>
        <v>0</v>
      </c>
      <c r="N204">
        <f>_xlfn.XLOOKUP(B204,CRN!G:G,CRN!O:O,"")</f>
        <v>0</v>
      </c>
      <c r="O204">
        <f>IF(N204=0,0,_xlfn.XLOOKUP(C204,CLIENT_CODE!B:B,CLIENT_CODE!K:K,0))</f>
        <v>0</v>
      </c>
      <c r="P204">
        <f>_xlfn.XLOOKUP(B204,CRN!G:G,CRN!P:P,"")</f>
        <v>0</v>
      </c>
      <c r="Q204">
        <f>IF(P204=0,0,_xlfn.XLOOKUP(C204,CLIENT_CODE!B:B,CLIENT_CODE!L:L,0))</f>
        <v>0</v>
      </c>
      <c r="R204">
        <f>_xlfn.XLOOKUP(B204,CRN!G:G,CRN!Q:Q,"")</f>
        <v>0</v>
      </c>
      <c r="S204">
        <f>IF(R204=0,0,_xlfn.XLOOKUP(C204,CLIENT_CODE!B:B,CLIENT_CODE!M:M,0))</f>
        <v>0</v>
      </c>
      <c r="T204">
        <f>_xlfn.XLOOKUP(B204,CRN!G:G,CRN!R:R,"")</f>
        <v>0</v>
      </c>
      <c r="U204">
        <f>IF(T204=0,0,_xlfn.XLOOKUP(C204,CLIENT_CODE!B:B,CLIENT_CODE!N:N,0))</f>
        <v>0</v>
      </c>
      <c r="V204">
        <f>_xlfn.XLOOKUP(B204,CRN!G:G,CRN!S:S,"")</f>
        <v>0</v>
      </c>
      <c r="W204">
        <f>IF(V204=0,0,_xlfn.XLOOKUP(C204,CLIENT_CODE!B:B,CLIENT_CODE!O:O,0))</f>
        <v>0</v>
      </c>
      <c r="X204">
        <f>_xlfn.XLOOKUP(B204,CRN!G:G,CRN!T:T,"")</f>
        <v>0</v>
      </c>
      <c r="Y204">
        <f>IF(X204=0,0,_xlfn.XLOOKUP(C204,CLIENT_CODE!B:B,CLIENT_CODE!P:P,0))</f>
        <v>0</v>
      </c>
      <c r="Z204">
        <f>_xlfn.XLOOKUP(B204,CRN!G:G,CRN!U:U,"")</f>
        <v>0</v>
      </c>
      <c r="AA204">
        <f>IF(X204=0,0,_xlfn.XLOOKUP(C204,CLIENT_CODE!B:B,CLIENT_CODE!P:P,0))</f>
        <v>0</v>
      </c>
      <c r="AB204">
        <f>_xlfn.XLOOKUP(B204,CRN!G:G,CRN!V:V,"")</f>
        <v>0</v>
      </c>
      <c r="AC204">
        <f>IF(AB204=0,0,_xlfn.XLOOKUP(C204,CLIENT_CODE!B:B,CLIENT_CODE!R:R,0))</f>
        <v>0</v>
      </c>
      <c r="AD204">
        <f t="shared" si="3"/>
        <v>0</v>
      </c>
    </row>
    <row r="205" spans="1:30">
      <c r="A205" s="42">
        <v>204</v>
      </c>
      <c r="E205">
        <f>IF(D205=0,0,_xlfn.XLOOKUP(C205,CLIENT_CODE!B:B,CLIENT_CODE!F:F,0))</f>
        <v>0</v>
      </c>
      <c r="F205">
        <f>_xlfn.XLOOKUP(B205,CRN!G:G,CRN!K:K,"")</f>
        <v>0</v>
      </c>
      <c r="G205">
        <f>IF(F205=0,0,_xlfn.XLOOKUP(C205,CLIENT_CODE!B:B,CLIENT_CODE!G:G,0))</f>
        <v>0</v>
      </c>
      <c r="H205">
        <f>_xlfn.XLOOKUP(B205,CRN!G:G,CRN!L:L,"")</f>
        <v>0</v>
      </c>
      <c r="I205">
        <f>IF(H205=0,0,_xlfn.XLOOKUP(C205,CLIENT_CODE!B:B,CLIENT_CODE!H:H,0))</f>
        <v>0</v>
      </c>
      <c r="J205">
        <f>_xlfn.XLOOKUP(B205,CRN!G:G,CRN!M:M,"")</f>
        <v>0</v>
      </c>
      <c r="K205">
        <f>IF(J205=0,0,_xlfn.XLOOKUP(C205,CLIENT_CODE!B:B,CLIENT_CODE!I:I,0))</f>
        <v>0</v>
      </c>
      <c r="L205">
        <f>_xlfn.XLOOKUP(B205,CRN!G:G,CRN!N:N,"")</f>
        <v>0</v>
      </c>
      <c r="M205">
        <f>IF(L205=0,0,_xlfn.XLOOKUP(C205,CLIENT_CODE!B:B,CLIENT_CODE!J:J,0))</f>
        <v>0</v>
      </c>
      <c r="N205">
        <f>_xlfn.XLOOKUP(B205,CRN!G:G,CRN!O:O,"")</f>
        <v>0</v>
      </c>
      <c r="O205">
        <f>IF(N205=0,0,_xlfn.XLOOKUP(C205,CLIENT_CODE!B:B,CLIENT_CODE!K:K,0))</f>
        <v>0</v>
      </c>
      <c r="P205">
        <f>_xlfn.XLOOKUP(B205,CRN!G:G,CRN!P:P,"")</f>
        <v>0</v>
      </c>
      <c r="Q205">
        <f>IF(P205=0,0,_xlfn.XLOOKUP(C205,CLIENT_CODE!B:B,CLIENT_CODE!L:L,0))</f>
        <v>0</v>
      </c>
      <c r="R205">
        <f>_xlfn.XLOOKUP(B205,CRN!G:G,CRN!Q:Q,"")</f>
        <v>0</v>
      </c>
      <c r="S205">
        <f>IF(R205=0,0,_xlfn.XLOOKUP(C205,CLIENT_CODE!B:B,CLIENT_CODE!M:M,0))</f>
        <v>0</v>
      </c>
      <c r="T205">
        <f>_xlfn.XLOOKUP(B205,CRN!G:G,CRN!R:R,"")</f>
        <v>0</v>
      </c>
      <c r="U205">
        <f>IF(T205=0,0,_xlfn.XLOOKUP(C205,CLIENT_CODE!B:B,CLIENT_CODE!N:N,0))</f>
        <v>0</v>
      </c>
      <c r="V205">
        <f>_xlfn.XLOOKUP(B205,CRN!G:G,CRN!S:S,"")</f>
        <v>0</v>
      </c>
      <c r="W205">
        <f>IF(V205=0,0,_xlfn.XLOOKUP(C205,CLIENT_CODE!B:B,CLIENT_CODE!O:O,0))</f>
        <v>0</v>
      </c>
      <c r="X205">
        <f>_xlfn.XLOOKUP(B205,CRN!G:G,CRN!T:T,"")</f>
        <v>0</v>
      </c>
      <c r="Y205">
        <f>IF(X205=0,0,_xlfn.XLOOKUP(C205,CLIENT_CODE!B:B,CLIENT_CODE!P:P,0))</f>
        <v>0</v>
      </c>
      <c r="Z205">
        <f>_xlfn.XLOOKUP(B205,CRN!G:G,CRN!U:U,"")</f>
        <v>0</v>
      </c>
      <c r="AA205">
        <f>IF(X205=0,0,_xlfn.XLOOKUP(C205,CLIENT_CODE!B:B,CLIENT_CODE!P:P,0))</f>
        <v>0</v>
      </c>
      <c r="AB205">
        <f>_xlfn.XLOOKUP(B205,CRN!G:G,CRN!V:V,"")</f>
        <v>0</v>
      </c>
      <c r="AC205">
        <f>IF(AB205=0,0,_xlfn.XLOOKUP(C205,CLIENT_CODE!B:B,CLIENT_CODE!R:R,0))</f>
        <v>0</v>
      </c>
      <c r="AD205">
        <f t="shared" si="3"/>
        <v>0</v>
      </c>
    </row>
    <row r="206" spans="1:30">
      <c r="A206" s="42">
        <v>205</v>
      </c>
      <c r="E206">
        <f>IF(D206=0,0,_xlfn.XLOOKUP(C206,CLIENT_CODE!B:B,CLIENT_CODE!F:F,0))</f>
        <v>0</v>
      </c>
      <c r="F206">
        <f>_xlfn.XLOOKUP(B206,CRN!G:G,CRN!K:K,"")</f>
        <v>0</v>
      </c>
      <c r="G206">
        <f>IF(F206=0,0,_xlfn.XLOOKUP(C206,CLIENT_CODE!B:B,CLIENT_CODE!G:G,0))</f>
        <v>0</v>
      </c>
      <c r="H206">
        <f>_xlfn.XLOOKUP(B206,CRN!G:G,CRN!L:L,"")</f>
        <v>0</v>
      </c>
      <c r="I206">
        <f>IF(H206=0,0,_xlfn.XLOOKUP(C206,CLIENT_CODE!B:B,CLIENT_CODE!H:H,0))</f>
        <v>0</v>
      </c>
      <c r="J206">
        <f>_xlfn.XLOOKUP(B206,CRN!G:G,CRN!M:M,"")</f>
        <v>0</v>
      </c>
      <c r="K206">
        <f>IF(J206=0,0,_xlfn.XLOOKUP(C206,CLIENT_CODE!B:B,CLIENT_CODE!I:I,0))</f>
        <v>0</v>
      </c>
      <c r="L206">
        <f>_xlfn.XLOOKUP(B206,CRN!G:G,CRN!N:N,"")</f>
        <v>0</v>
      </c>
      <c r="M206">
        <f>IF(L206=0,0,_xlfn.XLOOKUP(C206,CLIENT_CODE!B:B,CLIENT_CODE!J:J,0))</f>
        <v>0</v>
      </c>
      <c r="N206">
        <f>_xlfn.XLOOKUP(B206,CRN!G:G,CRN!O:O,"")</f>
        <v>0</v>
      </c>
      <c r="O206">
        <f>IF(N206=0,0,_xlfn.XLOOKUP(C206,CLIENT_CODE!B:B,CLIENT_CODE!K:K,0))</f>
        <v>0</v>
      </c>
      <c r="P206">
        <f>_xlfn.XLOOKUP(B206,CRN!G:G,CRN!P:P,"")</f>
        <v>0</v>
      </c>
      <c r="Q206">
        <f>IF(P206=0,0,_xlfn.XLOOKUP(C206,CLIENT_CODE!B:B,CLIENT_CODE!L:L,0))</f>
        <v>0</v>
      </c>
      <c r="R206">
        <f>_xlfn.XLOOKUP(B206,CRN!G:G,CRN!Q:Q,"")</f>
        <v>0</v>
      </c>
      <c r="S206">
        <f>IF(R206=0,0,_xlfn.XLOOKUP(C206,CLIENT_CODE!B:B,CLIENT_CODE!M:M,0))</f>
        <v>0</v>
      </c>
      <c r="T206">
        <f>_xlfn.XLOOKUP(B206,CRN!G:G,CRN!R:R,"")</f>
        <v>0</v>
      </c>
      <c r="U206">
        <f>IF(T206=0,0,_xlfn.XLOOKUP(C206,CLIENT_CODE!B:B,CLIENT_CODE!N:N,0))</f>
        <v>0</v>
      </c>
      <c r="V206">
        <f>_xlfn.XLOOKUP(B206,CRN!G:G,CRN!S:S,"")</f>
        <v>0</v>
      </c>
      <c r="W206">
        <f>IF(V206=0,0,_xlfn.XLOOKUP(C206,CLIENT_CODE!B:B,CLIENT_CODE!O:O,0))</f>
        <v>0</v>
      </c>
      <c r="X206">
        <f>_xlfn.XLOOKUP(B206,CRN!G:G,CRN!T:T,"")</f>
        <v>0</v>
      </c>
      <c r="Y206">
        <f>IF(X206=0,0,_xlfn.XLOOKUP(C206,CLIENT_CODE!B:B,CLIENT_CODE!P:P,0))</f>
        <v>0</v>
      </c>
      <c r="Z206">
        <f>_xlfn.XLOOKUP(B206,CRN!G:G,CRN!U:U,"")</f>
        <v>0</v>
      </c>
      <c r="AA206">
        <f>IF(X206=0,0,_xlfn.XLOOKUP(C206,CLIENT_CODE!B:B,CLIENT_CODE!P:P,0))</f>
        <v>0</v>
      </c>
      <c r="AB206">
        <f>_xlfn.XLOOKUP(B206,CRN!G:G,CRN!V:V,"")</f>
        <v>0</v>
      </c>
      <c r="AC206">
        <f>IF(AB206=0,0,_xlfn.XLOOKUP(C206,CLIENT_CODE!B:B,CLIENT_CODE!R:R,0))</f>
        <v>0</v>
      </c>
      <c r="AD206">
        <f t="shared" si="3"/>
        <v>0</v>
      </c>
    </row>
    <row r="207" spans="1:30">
      <c r="A207" s="42">
        <v>206</v>
      </c>
      <c r="E207">
        <f>IF(D207=0,0,_xlfn.XLOOKUP(C207,CLIENT_CODE!B:B,CLIENT_CODE!F:F,0))</f>
        <v>0</v>
      </c>
      <c r="F207">
        <f>_xlfn.XLOOKUP(B207,CRN!G:G,CRN!K:K,"")</f>
        <v>0</v>
      </c>
      <c r="G207">
        <f>IF(F207=0,0,_xlfn.XLOOKUP(C207,CLIENT_CODE!B:B,CLIENT_CODE!G:G,0))</f>
        <v>0</v>
      </c>
      <c r="H207">
        <f>_xlfn.XLOOKUP(B207,CRN!G:G,CRN!L:L,"")</f>
        <v>0</v>
      </c>
      <c r="I207">
        <f>IF(H207=0,0,_xlfn.XLOOKUP(C207,CLIENT_CODE!B:B,CLIENT_CODE!H:H,0))</f>
        <v>0</v>
      </c>
      <c r="J207">
        <f>_xlfn.XLOOKUP(B207,CRN!G:G,CRN!M:M,"")</f>
        <v>0</v>
      </c>
      <c r="K207">
        <f>IF(J207=0,0,_xlfn.XLOOKUP(C207,CLIENT_CODE!B:B,CLIENT_CODE!I:I,0))</f>
        <v>0</v>
      </c>
      <c r="L207">
        <f>_xlfn.XLOOKUP(B207,CRN!G:G,CRN!N:N,"")</f>
        <v>0</v>
      </c>
      <c r="M207">
        <f>IF(L207=0,0,_xlfn.XLOOKUP(C207,CLIENT_CODE!B:B,CLIENT_CODE!J:J,0))</f>
        <v>0</v>
      </c>
      <c r="N207">
        <f>_xlfn.XLOOKUP(B207,CRN!G:G,CRN!O:O,"")</f>
        <v>0</v>
      </c>
      <c r="O207">
        <f>IF(N207=0,0,_xlfn.XLOOKUP(C207,CLIENT_CODE!B:B,CLIENT_CODE!K:K,0))</f>
        <v>0</v>
      </c>
      <c r="P207">
        <f>_xlfn.XLOOKUP(B207,CRN!G:G,CRN!P:P,"")</f>
        <v>0</v>
      </c>
      <c r="Q207">
        <f>IF(P207=0,0,_xlfn.XLOOKUP(C207,CLIENT_CODE!B:B,CLIENT_CODE!L:L,0))</f>
        <v>0</v>
      </c>
      <c r="R207">
        <f>_xlfn.XLOOKUP(B207,CRN!G:G,CRN!Q:Q,"")</f>
        <v>0</v>
      </c>
      <c r="S207">
        <f>IF(R207=0,0,_xlfn.XLOOKUP(C207,CLIENT_CODE!B:B,CLIENT_CODE!M:M,0))</f>
        <v>0</v>
      </c>
      <c r="T207">
        <f>_xlfn.XLOOKUP(B207,CRN!G:G,CRN!R:R,"")</f>
        <v>0</v>
      </c>
      <c r="U207">
        <f>IF(T207=0,0,_xlfn.XLOOKUP(C207,CLIENT_CODE!B:B,CLIENT_CODE!N:N,0))</f>
        <v>0</v>
      </c>
      <c r="V207">
        <f>_xlfn.XLOOKUP(B207,CRN!G:G,CRN!S:S,"")</f>
        <v>0</v>
      </c>
      <c r="W207">
        <f>IF(V207=0,0,_xlfn.XLOOKUP(C207,CLIENT_CODE!B:B,CLIENT_CODE!O:O,0))</f>
        <v>0</v>
      </c>
      <c r="X207">
        <f>_xlfn.XLOOKUP(B207,CRN!G:G,CRN!T:T,"")</f>
        <v>0</v>
      </c>
      <c r="Y207">
        <f>IF(X207=0,0,_xlfn.XLOOKUP(C207,CLIENT_CODE!B:B,CLIENT_CODE!P:P,0))</f>
        <v>0</v>
      </c>
      <c r="Z207">
        <f>_xlfn.XLOOKUP(B207,CRN!G:G,CRN!U:U,"")</f>
        <v>0</v>
      </c>
      <c r="AA207">
        <f>IF(X207=0,0,_xlfn.XLOOKUP(C207,CLIENT_CODE!B:B,CLIENT_CODE!P:P,0))</f>
        <v>0</v>
      </c>
      <c r="AB207">
        <f>_xlfn.XLOOKUP(B207,CRN!G:G,CRN!V:V,"")</f>
        <v>0</v>
      </c>
      <c r="AC207">
        <f>IF(AB207=0,0,_xlfn.XLOOKUP(C207,CLIENT_CODE!B:B,CLIENT_CODE!R:R,0))</f>
        <v>0</v>
      </c>
      <c r="AD207">
        <f t="shared" si="3"/>
        <v>0</v>
      </c>
    </row>
    <row r="208" spans="1:30">
      <c r="A208" s="42">
        <v>207</v>
      </c>
      <c r="E208">
        <f>IF(D208=0,0,_xlfn.XLOOKUP(C208,CLIENT_CODE!B:B,CLIENT_CODE!F:F,0))</f>
        <v>0</v>
      </c>
      <c r="F208">
        <f>_xlfn.XLOOKUP(B208,CRN!G:G,CRN!K:K,"")</f>
        <v>0</v>
      </c>
      <c r="G208">
        <f>IF(F208=0,0,_xlfn.XLOOKUP(C208,CLIENT_CODE!B:B,CLIENT_CODE!G:G,0))</f>
        <v>0</v>
      </c>
      <c r="H208">
        <f>_xlfn.XLOOKUP(B208,CRN!G:G,CRN!L:L,"")</f>
        <v>0</v>
      </c>
      <c r="I208">
        <f>IF(H208=0,0,_xlfn.XLOOKUP(C208,CLIENT_CODE!B:B,CLIENT_CODE!H:H,0))</f>
        <v>0</v>
      </c>
      <c r="J208">
        <f>_xlfn.XLOOKUP(B208,CRN!G:G,CRN!M:M,"")</f>
        <v>0</v>
      </c>
      <c r="K208">
        <f>IF(J208=0,0,_xlfn.XLOOKUP(C208,CLIENT_CODE!B:B,CLIENT_CODE!I:I,0))</f>
        <v>0</v>
      </c>
      <c r="L208">
        <f>_xlfn.XLOOKUP(B208,CRN!G:G,CRN!N:N,"")</f>
        <v>0</v>
      </c>
      <c r="M208">
        <f>IF(L208=0,0,_xlfn.XLOOKUP(C208,CLIENT_CODE!B:B,CLIENT_CODE!J:J,0))</f>
        <v>0</v>
      </c>
      <c r="N208">
        <f>_xlfn.XLOOKUP(B208,CRN!G:G,CRN!O:O,"")</f>
        <v>0</v>
      </c>
      <c r="O208">
        <f>IF(N208=0,0,_xlfn.XLOOKUP(C208,CLIENT_CODE!B:B,CLIENT_CODE!K:K,0))</f>
        <v>0</v>
      </c>
      <c r="P208">
        <f>_xlfn.XLOOKUP(B208,CRN!G:G,CRN!P:P,"")</f>
        <v>0</v>
      </c>
      <c r="Q208">
        <f>IF(P208=0,0,_xlfn.XLOOKUP(C208,CLIENT_CODE!B:B,CLIENT_CODE!L:L,0))</f>
        <v>0</v>
      </c>
      <c r="R208">
        <f>_xlfn.XLOOKUP(B208,CRN!G:G,CRN!Q:Q,"")</f>
        <v>0</v>
      </c>
      <c r="S208">
        <f>IF(R208=0,0,_xlfn.XLOOKUP(C208,CLIENT_CODE!B:B,CLIENT_CODE!M:M,0))</f>
        <v>0</v>
      </c>
      <c r="T208">
        <f>_xlfn.XLOOKUP(B208,CRN!G:G,CRN!R:R,"")</f>
        <v>0</v>
      </c>
      <c r="U208">
        <f>IF(T208=0,0,_xlfn.XLOOKUP(C208,CLIENT_CODE!B:B,CLIENT_CODE!N:N,0))</f>
        <v>0</v>
      </c>
      <c r="V208">
        <f>_xlfn.XLOOKUP(B208,CRN!G:G,CRN!S:S,"")</f>
        <v>0</v>
      </c>
      <c r="W208">
        <f>IF(V208=0,0,_xlfn.XLOOKUP(C208,CLIENT_CODE!B:B,CLIENT_CODE!O:O,0))</f>
        <v>0</v>
      </c>
      <c r="X208">
        <f>_xlfn.XLOOKUP(B208,CRN!G:G,CRN!T:T,"")</f>
        <v>0</v>
      </c>
      <c r="Y208">
        <f>IF(X208=0,0,_xlfn.XLOOKUP(C208,CLIENT_CODE!B:B,CLIENT_CODE!P:P,0))</f>
        <v>0</v>
      </c>
      <c r="Z208">
        <f>_xlfn.XLOOKUP(B208,CRN!G:G,CRN!U:U,"")</f>
        <v>0</v>
      </c>
      <c r="AA208">
        <f>IF(X208=0,0,_xlfn.XLOOKUP(C208,CLIENT_CODE!B:B,CLIENT_CODE!P:P,0))</f>
        <v>0</v>
      </c>
      <c r="AB208">
        <f>_xlfn.XLOOKUP(B208,CRN!G:G,CRN!V:V,"")</f>
        <v>0</v>
      </c>
      <c r="AC208">
        <f>IF(AB208=0,0,_xlfn.XLOOKUP(C208,CLIENT_CODE!B:B,CLIENT_CODE!R:R,0))</f>
        <v>0</v>
      </c>
      <c r="AD208">
        <f t="shared" si="3"/>
        <v>0</v>
      </c>
    </row>
    <row r="209" spans="1:30">
      <c r="A209" s="42">
        <v>208</v>
      </c>
      <c r="E209">
        <f>IF(D209=0,0,_xlfn.XLOOKUP(C209,CLIENT_CODE!B:B,CLIENT_CODE!F:F,0))</f>
        <v>0</v>
      </c>
      <c r="F209">
        <f>_xlfn.XLOOKUP(B209,CRN!G:G,CRN!K:K,"")</f>
        <v>0</v>
      </c>
      <c r="G209">
        <f>IF(F209=0,0,_xlfn.XLOOKUP(C209,CLIENT_CODE!B:B,CLIENT_CODE!G:G,0))</f>
        <v>0</v>
      </c>
      <c r="H209">
        <f>_xlfn.XLOOKUP(B209,CRN!G:G,CRN!L:L,"")</f>
        <v>0</v>
      </c>
      <c r="I209">
        <f>IF(H209=0,0,_xlfn.XLOOKUP(C209,CLIENT_CODE!B:B,CLIENT_CODE!H:H,0))</f>
        <v>0</v>
      </c>
      <c r="J209">
        <f>_xlfn.XLOOKUP(B209,CRN!G:G,CRN!M:M,"")</f>
        <v>0</v>
      </c>
      <c r="K209">
        <f>IF(J209=0,0,_xlfn.XLOOKUP(C209,CLIENT_CODE!B:B,CLIENT_CODE!I:I,0))</f>
        <v>0</v>
      </c>
      <c r="L209">
        <f>_xlfn.XLOOKUP(B209,CRN!G:G,CRN!N:N,"")</f>
        <v>0</v>
      </c>
      <c r="M209">
        <f>IF(L209=0,0,_xlfn.XLOOKUP(C209,CLIENT_CODE!B:B,CLIENT_CODE!J:J,0))</f>
        <v>0</v>
      </c>
      <c r="N209">
        <f>_xlfn.XLOOKUP(B209,CRN!G:G,CRN!O:O,"")</f>
        <v>0</v>
      </c>
      <c r="O209">
        <f>IF(N209=0,0,_xlfn.XLOOKUP(C209,CLIENT_CODE!B:B,CLIENT_CODE!K:K,0))</f>
        <v>0</v>
      </c>
      <c r="P209">
        <f>_xlfn.XLOOKUP(B209,CRN!G:G,CRN!P:P,"")</f>
        <v>0</v>
      </c>
      <c r="Q209">
        <f>IF(P209=0,0,_xlfn.XLOOKUP(C209,CLIENT_CODE!B:B,CLIENT_CODE!L:L,0))</f>
        <v>0</v>
      </c>
      <c r="R209">
        <f>_xlfn.XLOOKUP(B209,CRN!G:G,CRN!Q:Q,"")</f>
        <v>0</v>
      </c>
      <c r="S209">
        <f>IF(R209=0,0,_xlfn.XLOOKUP(C209,CLIENT_CODE!B:B,CLIENT_CODE!M:M,0))</f>
        <v>0</v>
      </c>
      <c r="T209">
        <f>_xlfn.XLOOKUP(B209,CRN!G:G,CRN!R:R,"")</f>
        <v>0</v>
      </c>
      <c r="U209">
        <f>IF(T209=0,0,_xlfn.XLOOKUP(C209,CLIENT_CODE!B:B,CLIENT_CODE!N:N,0))</f>
        <v>0</v>
      </c>
      <c r="V209">
        <f>_xlfn.XLOOKUP(B209,CRN!G:G,CRN!S:S,"")</f>
        <v>0</v>
      </c>
      <c r="W209">
        <f>IF(V209=0,0,_xlfn.XLOOKUP(C209,CLIENT_CODE!B:B,CLIENT_CODE!O:O,0))</f>
        <v>0</v>
      </c>
      <c r="X209">
        <f>_xlfn.XLOOKUP(B209,CRN!G:G,CRN!T:T,"")</f>
        <v>0</v>
      </c>
      <c r="Y209">
        <f>IF(X209=0,0,_xlfn.XLOOKUP(C209,CLIENT_CODE!B:B,CLIENT_CODE!P:P,0))</f>
        <v>0</v>
      </c>
      <c r="Z209">
        <f>_xlfn.XLOOKUP(B209,CRN!G:G,CRN!U:U,"")</f>
        <v>0</v>
      </c>
      <c r="AA209">
        <f>IF(X209=0,0,_xlfn.XLOOKUP(C209,CLIENT_CODE!B:B,CLIENT_CODE!P:P,0))</f>
        <v>0</v>
      </c>
      <c r="AB209">
        <f>_xlfn.XLOOKUP(B209,CRN!G:G,CRN!V:V,"")</f>
        <v>0</v>
      </c>
      <c r="AC209">
        <f>IF(AB209=0,0,_xlfn.XLOOKUP(C209,CLIENT_CODE!B:B,CLIENT_CODE!R:R,0))</f>
        <v>0</v>
      </c>
      <c r="AD209">
        <f t="shared" si="3"/>
        <v>0</v>
      </c>
    </row>
    <row r="210" spans="1:30">
      <c r="A210" s="42">
        <v>209</v>
      </c>
      <c r="E210">
        <f>IF(D210=0,0,_xlfn.XLOOKUP(C210,CLIENT_CODE!B:B,CLIENT_CODE!F:F,0))</f>
        <v>0</v>
      </c>
      <c r="F210">
        <f>_xlfn.XLOOKUP(B210,CRN!G:G,CRN!K:K,"")</f>
        <v>0</v>
      </c>
      <c r="G210">
        <f>IF(F210=0,0,_xlfn.XLOOKUP(C210,CLIENT_CODE!B:B,CLIENT_CODE!G:G,0))</f>
        <v>0</v>
      </c>
      <c r="H210">
        <f>_xlfn.XLOOKUP(B210,CRN!G:G,CRN!L:L,"")</f>
        <v>0</v>
      </c>
      <c r="I210">
        <f>IF(H210=0,0,_xlfn.XLOOKUP(C210,CLIENT_CODE!B:B,CLIENT_CODE!H:H,0))</f>
        <v>0</v>
      </c>
      <c r="J210">
        <f>_xlfn.XLOOKUP(B210,CRN!G:G,CRN!M:M,"")</f>
        <v>0</v>
      </c>
      <c r="K210">
        <f>IF(J210=0,0,_xlfn.XLOOKUP(C210,CLIENT_CODE!B:B,CLIENT_CODE!I:I,0))</f>
        <v>0</v>
      </c>
      <c r="L210">
        <f>_xlfn.XLOOKUP(B210,CRN!G:G,CRN!N:N,"")</f>
        <v>0</v>
      </c>
      <c r="M210">
        <f>IF(L210=0,0,_xlfn.XLOOKUP(C210,CLIENT_CODE!B:B,CLIENT_CODE!J:J,0))</f>
        <v>0</v>
      </c>
      <c r="N210">
        <f>_xlfn.XLOOKUP(B210,CRN!G:G,CRN!O:O,"")</f>
        <v>0</v>
      </c>
      <c r="O210">
        <f>IF(N210=0,0,_xlfn.XLOOKUP(C210,CLIENT_CODE!B:B,CLIENT_CODE!K:K,0))</f>
        <v>0</v>
      </c>
      <c r="P210">
        <f>_xlfn.XLOOKUP(B210,CRN!G:G,CRN!P:P,"")</f>
        <v>0</v>
      </c>
      <c r="Q210">
        <f>IF(P210=0,0,_xlfn.XLOOKUP(C210,CLIENT_CODE!B:B,CLIENT_CODE!L:L,0))</f>
        <v>0</v>
      </c>
      <c r="R210">
        <f>_xlfn.XLOOKUP(B210,CRN!G:G,CRN!Q:Q,"")</f>
        <v>0</v>
      </c>
      <c r="S210">
        <f>IF(R210=0,0,_xlfn.XLOOKUP(C210,CLIENT_CODE!B:B,CLIENT_CODE!M:M,0))</f>
        <v>0</v>
      </c>
      <c r="T210">
        <f>_xlfn.XLOOKUP(B210,CRN!G:G,CRN!R:R,"")</f>
        <v>0</v>
      </c>
      <c r="U210">
        <f>IF(T210=0,0,_xlfn.XLOOKUP(C210,CLIENT_CODE!B:B,CLIENT_CODE!N:N,0))</f>
        <v>0</v>
      </c>
      <c r="V210">
        <f>_xlfn.XLOOKUP(B210,CRN!G:G,CRN!S:S,"")</f>
        <v>0</v>
      </c>
      <c r="W210">
        <f>IF(V210=0,0,_xlfn.XLOOKUP(C210,CLIENT_CODE!B:B,CLIENT_CODE!O:O,0))</f>
        <v>0</v>
      </c>
      <c r="X210">
        <f>_xlfn.XLOOKUP(B210,CRN!G:G,CRN!T:T,"")</f>
        <v>0</v>
      </c>
      <c r="Y210">
        <f>IF(X210=0,0,_xlfn.XLOOKUP(C210,CLIENT_CODE!B:B,CLIENT_CODE!P:P,0))</f>
        <v>0</v>
      </c>
      <c r="Z210">
        <f>_xlfn.XLOOKUP(B210,CRN!G:G,CRN!U:U,"")</f>
        <v>0</v>
      </c>
      <c r="AA210">
        <f>IF(X210=0,0,_xlfn.XLOOKUP(C210,CLIENT_CODE!B:B,CLIENT_CODE!P:P,0))</f>
        <v>0</v>
      </c>
      <c r="AB210">
        <f>_xlfn.XLOOKUP(B210,CRN!G:G,CRN!V:V,"")</f>
        <v>0</v>
      </c>
      <c r="AC210">
        <f>IF(AB210=0,0,_xlfn.XLOOKUP(C210,CLIENT_CODE!B:B,CLIENT_CODE!R:R,0))</f>
        <v>0</v>
      </c>
      <c r="AD210">
        <f t="shared" si="3"/>
        <v>0</v>
      </c>
    </row>
    <row r="211" spans="1:30">
      <c r="A211" s="42">
        <v>210</v>
      </c>
      <c r="E211">
        <f>IF(D211=0,0,_xlfn.XLOOKUP(C211,CLIENT_CODE!B:B,CLIENT_CODE!F:F,0))</f>
        <v>0</v>
      </c>
      <c r="F211">
        <f>_xlfn.XLOOKUP(B211,CRN!G:G,CRN!K:K,"")</f>
        <v>0</v>
      </c>
      <c r="G211">
        <f>IF(F211=0,0,_xlfn.XLOOKUP(C211,CLIENT_CODE!B:B,CLIENT_CODE!G:G,0))</f>
        <v>0</v>
      </c>
      <c r="H211">
        <f>_xlfn.XLOOKUP(B211,CRN!G:G,CRN!L:L,"")</f>
        <v>0</v>
      </c>
      <c r="I211">
        <f>IF(H211=0,0,_xlfn.XLOOKUP(C211,CLIENT_CODE!B:B,CLIENT_CODE!H:H,0))</f>
        <v>0</v>
      </c>
      <c r="J211">
        <f>_xlfn.XLOOKUP(B211,CRN!G:G,CRN!M:M,"")</f>
        <v>0</v>
      </c>
      <c r="K211">
        <f>IF(J211=0,0,_xlfn.XLOOKUP(C211,CLIENT_CODE!B:B,CLIENT_CODE!I:I,0))</f>
        <v>0</v>
      </c>
      <c r="L211">
        <f>_xlfn.XLOOKUP(B211,CRN!G:G,CRN!N:N,"")</f>
        <v>0</v>
      </c>
      <c r="M211">
        <f>IF(L211=0,0,_xlfn.XLOOKUP(C211,CLIENT_CODE!B:B,CLIENT_CODE!J:J,0))</f>
        <v>0</v>
      </c>
      <c r="N211">
        <f>_xlfn.XLOOKUP(B211,CRN!G:G,CRN!O:O,"")</f>
        <v>0</v>
      </c>
      <c r="O211">
        <f>IF(N211=0,0,_xlfn.XLOOKUP(C211,CLIENT_CODE!B:B,CLIENT_CODE!K:K,0))</f>
        <v>0</v>
      </c>
      <c r="P211">
        <f>_xlfn.XLOOKUP(B211,CRN!G:G,CRN!P:P,"")</f>
        <v>0</v>
      </c>
      <c r="Q211">
        <f>IF(P211=0,0,_xlfn.XLOOKUP(C211,CLIENT_CODE!B:B,CLIENT_CODE!L:L,0))</f>
        <v>0</v>
      </c>
      <c r="R211">
        <f>_xlfn.XLOOKUP(B211,CRN!G:G,CRN!Q:Q,"")</f>
        <v>0</v>
      </c>
      <c r="S211">
        <f>IF(R211=0,0,_xlfn.XLOOKUP(C211,CLIENT_CODE!B:B,CLIENT_CODE!M:M,0))</f>
        <v>0</v>
      </c>
      <c r="T211">
        <f>_xlfn.XLOOKUP(B211,CRN!G:G,CRN!R:R,"")</f>
        <v>0</v>
      </c>
      <c r="U211">
        <f>IF(T211=0,0,_xlfn.XLOOKUP(C211,CLIENT_CODE!B:B,CLIENT_CODE!N:N,0))</f>
        <v>0</v>
      </c>
      <c r="V211">
        <f>_xlfn.XLOOKUP(B211,CRN!G:G,CRN!S:S,"")</f>
        <v>0</v>
      </c>
      <c r="W211">
        <f>IF(V211=0,0,_xlfn.XLOOKUP(C211,CLIENT_CODE!B:B,CLIENT_CODE!O:O,0))</f>
        <v>0</v>
      </c>
      <c r="X211">
        <f>_xlfn.XLOOKUP(B211,CRN!G:G,CRN!T:T,"")</f>
        <v>0</v>
      </c>
      <c r="Y211">
        <f>IF(X211=0,0,_xlfn.XLOOKUP(C211,CLIENT_CODE!B:B,CLIENT_CODE!P:P,0))</f>
        <v>0</v>
      </c>
      <c r="Z211">
        <f>_xlfn.XLOOKUP(B211,CRN!G:G,CRN!U:U,"")</f>
        <v>0</v>
      </c>
      <c r="AA211">
        <f>IF(X211=0,0,_xlfn.XLOOKUP(C211,CLIENT_CODE!B:B,CLIENT_CODE!P:P,0))</f>
        <v>0</v>
      </c>
      <c r="AB211">
        <f>_xlfn.XLOOKUP(B211,CRN!G:G,CRN!V:V,"")</f>
        <v>0</v>
      </c>
      <c r="AC211">
        <f>IF(AB211=0,0,_xlfn.XLOOKUP(C211,CLIENT_CODE!B:B,CLIENT_CODE!R:R,0))</f>
        <v>0</v>
      </c>
      <c r="AD211">
        <f t="shared" si="3"/>
        <v>0</v>
      </c>
    </row>
    <row r="212" spans="1:30">
      <c r="A212" s="42">
        <v>211</v>
      </c>
      <c r="E212">
        <f>IF(D212=0,0,_xlfn.XLOOKUP(C212,CLIENT_CODE!B:B,CLIENT_CODE!F:F,0))</f>
        <v>0</v>
      </c>
      <c r="F212">
        <f>_xlfn.XLOOKUP(B212,CRN!G:G,CRN!K:K,"")</f>
        <v>0</v>
      </c>
      <c r="G212">
        <f>IF(F212=0,0,_xlfn.XLOOKUP(C212,CLIENT_CODE!B:B,CLIENT_CODE!G:G,0))</f>
        <v>0</v>
      </c>
      <c r="H212">
        <f>_xlfn.XLOOKUP(B212,CRN!G:G,CRN!L:L,"")</f>
        <v>0</v>
      </c>
      <c r="I212">
        <f>IF(H212=0,0,_xlfn.XLOOKUP(C212,CLIENT_CODE!B:B,CLIENT_CODE!H:H,0))</f>
        <v>0</v>
      </c>
      <c r="J212">
        <f>_xlfn.XLOOKUP(B212,CRN!G:G,CRN!M:M,"")</f>
        <v>0</v>
      </c>
      <c r="K212">
        <f>IF(J212=0,0,_xlfn.XLOOKUP(C212,CLIENT_CODE!B:B,CLIENT_CODE!I:I,0))</f>
        <v>0</v>
      </c>
      <c r="L212">
        <f>_xlfn.XLOOKUP(B212,CRN!G:G,CRN!N:N,"")</f>
        <v>0</v>
      </c>
      <c r="M212">
        <f>IF(L212=0,0,_xlfn.XLOOKUP(C212,CLIENT_CODE!B:B,CLIENT_CODE!J:J,0))</f>
        <v>0</v>
      </c>
      <c r="N212">
        <f>_xlfn.XLOOKUP(B212,CRN!G:G,CRN!O:O,"")</f>
        <v>0</v>
      </c>
      <c r="O212">
        <f>IF(N212=0,0,_xlfn.XLOOKUP(C212,CLIENT_CODE!B:B,CLIENT_CODE!K:K,0))</f>
        <v>0</v>
      </c>
      <c r="P212">
        <f>_xlfn.XLOOKUP(B212,CRN!G:G,CRN!P:P,"")</f>
        <v>0</v>
      </c>
      <c r="Q212">
        <f>IF(P212=0,0,_xlfn.XLOOKUP(C212,CLIENT_CODE!B:B,CLIENT_CODE!L:L,0))</f>
        <v>0</v>
      </c>
      <c r="R212">
        <f>_xlfn.XLOOKUP(B212,CRN!G:G,CRN!Q:Q,"")</f>
        <v>0</v>
      </c>
      <c r="S212">
        <f>IF(R212=0,0,_xlfn.XLOOKUP(C212,CLIENT_CODE!B:B,CLIENT_CODE!M:M,0))</f>
        <v>0</v>
      </c>
      <c r="T212">
        <f>_xlfn.XLOOKUP(B212,CRN!G:G,CRN!R:R,"")</f>
        <v>0</v>
      </c>
      <c r="U212">
        <f>IF(T212=0,0,_xlfn.XLOOKUP(C212,CLIENT_CODE!B:B,CLIENT_CODE!N:N,0))</f>
        <v>0</v>
      </c>
      <c r="V212">
        <f>_xlfn.XLOOKUP(B212,CRN!G:G,CRN!S:S,"")</f>
        <v>0</v>
      </c>
      <c r="W212">
        <f>IF(V212=0,0,_xlfn.XLOOKUP(C212,CLIENT_CODE!B:B,CLIENT_CODE!O:O,0))</f>
        <v>0</v>
      </c>
      <c r="X212">
        <f>_xlfn.XLOOKUP(B212,CRN!G:G,CRN!T:T,"")</f>
        <v>0</v>
      </c>
      <c r="Y212">
        <f>IF(X212=0,0,_xlfn.XLOOKUP(C212,CLIENT_CODE!B:B,CLIENT_CODE!P:P,0))</f>
        <v>0</v>
      </c>
      <c r="Z212">
        <f>_xlfn.XLOOKUP(B212,CRN!G:G,CRN!U:U,"")</f>
        <v>0</v>
      </c>
      <c r="AA212">
        <f>IF(X212=0,0,_xlfn.XLOOKUP(C212,CLIENT_CODE!B:B,CLIENT_CODE!P:P,0))</f>
        <v>0</v>
      </c>
      <c r="AB212">
        <f>_xlfn.XLOOKUP(B212,CRN!G:G,CRN!V:V,"")</f>
        <v>0</v>
      </c>
      <c r="AC212">
        <f>IF(AB212=0,0,_xlfn.XLOOKUP(C212,CLIENT_CODE!B:B,CLIENT_CODE!R:R,0))</f>
        <v>0</v>
      </c>
      <c r="AD212">
        <f t="shared" si="3"/>
        <v>0</v>
      </c>
    </row>
    <row r="213" spans="1:30">
      <c r="A213" s="42">
        <v>212</v>
      </c>
      <c r="E213">
        <f>IF(D213=0,0,_xlfn.XLOOKUP(C213,CLIENT_CODE!B:B,CLIENT_CODE!F:F,0))</f>
        <v>0</v>
      </c>
      <c r="F213">
        <f>_xlfn.XLOOKUP(B213,CRN!G:G,CRN!K:K,"")</f>
        <v>0</v>
      </c>
      <c r="G213">
        <f>IF(F213=0,0,_xlfn.XLOOKUP(C213,CLIENT_CODE!B:B,CLIENT_CODE!G:G,0))</f>
        <v>0</v>
      </c>
      <c r="H213">
        <f>_xlfn.XLOOKUP(B213,CRN!G:G,CRN!L:L,"")</f>
        <v>0</v>
      </c>
      <c r="I213">
        <f>IF(H213=0,0,_xlfn.XLOOKUP(C213,CLIENT_CODE!B:B,CLIENT_CODE!H:H,0))</f>
        <v>0</v>
      </c>
      <c r="J213">
        <f>_xlfn.XLOOKUP(B213,CRN!G:G,CRN!M:M,"")</f>
        <v>0</v>
      </c>
      <c r="K213">
        <f>IF(J213=0,0,_xlfn.XLOOKUP(C213,CLIENT_CODE!B:B,CLIENT_CODE!I:I,0))</f>
        <v>0</v>
      </c>
      <c r="L213">
        <f>_xlfn.XLOOKUP(B213,CRN!G:G,CRN!N:N,"")</f>
        <v>0</v>
      </c>
      <c r="M213">
        <f>IF(L213=0,0,_xlfn.XLOOKUP(C213,CLIENT_CODE!B:B,CLIENT_CODE!J:J,0))</f>
        <v>0</v>
      </c>
      <c r="N213">
        <f>_xlfn.XLOOKUP(B213,CRN!G:G,CRN!O:O,"")</f>
        <v>0</v>
      </c>
      <c r="O213">
        <f>IF(N213=0,0,_xlfn.XLOOKUP(C213,CLIENT_CODE!B:B,CLIENT_CODE!K:K,0))</f>
        <v>0</v>
      </c>
      <c r="P213">
        <f>_xlfn.XLOOKUP(B213,CRN!G:G,CRN!P:P,"")</f>
        <v>0</v>
      </c>
      <c r="Q213">
        <f>IF(P213=0,0,_xlfn.XLOOKUP(C213,CLIENT_CODE!B:B,CLIENT_CODE!L:L,0))</f>
        <v>0</v>
      </c>
      <c r="R213">
        <f>_xlfn.XLOOKUP(B213,CRN!G:G,CRN!Q:Q,"")</f>
        <v>0</v>
      </c>
      <c r="S213">
        <f>IF(R213=0,0,_xlfn.XLOOKUP(C213,CLIENT_CODE!B:B,CLIENT_CODE!M:M,0))</f>
        <v>0</v>
      </c>
      <c r="T213">
        <f>_xlfn.XLOOKUP(B213,CRN!G:G,CRN!R:R,"")</f>
        <v>0</v>
      </c>
      <c r="U213">
        <f>IF(T213=0,0,_xlfn.XLOOKUP(C213,CLIENT_CODE!B:B,CLIENT_CODE!N:N,0))</f>
        <v>0</v>
      </c>
      <c r="V213">
        <f>_xlfn.XLOOKUP(B213,CRN!G:G,CRN!S:S,"")</f>
        <v>0</v>
      </c>
      <c r="W213">
        <f>IF(V213=0,0,_xlfn.XLOOKUP(C213,CLIENT_CODE!B:B,CLIENT_CODE!O:O,0))</f>
        <v>0</v>
      </c>
      <c r="X213">
        <f>_xlfn.XLOOKUP(B213,CRN!G:G,CRN!T:T,"")</f>
        <v>0</v>
      </c>
      <c r="Y213">
        <f>IF(X213=0,0,_xlfn.XLOOKUP(C213,CLIENT_CODE!B:B,CLIENT_CODE!P:P,0))</f>
        <v>0</v>
      </c>
      <c r="Z213">
        <f>_xlfn.XLOOKUP(B213,CRN!G:G,CRN!U:U,"")</f>
        <v>0</v>
      </c>
      <c r="AA213">
        <f>IF(X213=0,0,_xlfn.XLOOKUP(C213,CLIENT_CODE!B:B,CLIENT_CODE!P:P,0))</f>
        <v>0</v>
      </c>
      <c r="AB213">
        <f>_xlfn.XLOOKUP(B213,CRN!G:G,CRN!V:V,"")</f>
        <v>0</v>
      </c>
      <c r="AC213">
        <f>IF(AB213=0,0,_xlfn.XLOOKUP(C213,CLIENT_CODE!B:B,CLIENT_CODE!R:R,0))</f>
        <v>0</v>
      </c>
      <c r="AD213">
        <f t="shared" si="3"/>
        <v>0</v>
      </c>
    </row>
    <row r="214" spans="1:30">
      <c r="A214" s="42">
        <v>213</v>
      </c>
      <c r="E214">
        <f>IF(D214=0,0,_xlfn.XLOOKUP(C214,CLIENT_CODE!B:B,CLIENT_CODE!F:F,0))</f>
        <v>0</v>
      </c>
      <c r="F214">
        <f>_xlfn.XLOOKUP(B214,CRN!G:G,CRN!K:K,"")</f>
        <v>0</v>
      </c>
      <c r="G214">
        <f>IF(F214=0,0,_xlfn.XLOOKUP(C214,CLIENT_CODE!B:B,CLIENT_CODE!G:G,0))</f>
        <v>0</v>
      </c>
      <c r="H214">
        <f>_xlfn.XLOOKUP(B214,CRN!G:G,CRN!L:L,"")</f>
        <v>0</v>
      </c>
      <c r="I214">
        <f>IF(H214=0,0,_xlfn.XLOOKUP(C214,CLIENT_CODE!B:B,CLIENT_CODE!H:H,0))</f>
        <v>0</v>
      </c>
      <c r="J214">
        <f>_xlfn.XLOOKUP(B214,CRN!G:G,CRN!M:M,"")</f>
        <v>0</v>
      </c>
      <c r="K214">
        <f>IF(J214=0,0,_xlfn.XLOOKUP(C214,CLIENT_CODE!B:B,CLIENT_CODE!I:I,0))</f>
        <v>0</v>
      </c>
      <c r="L214">
        <f>_xlfn.XLOOKUP(B214,CRN!G:G,CRN!N:N,"")</f>
        <v>0</v>
      </c>
      <c r="M214">
        <f>IF(L214=0,0,_xlfn.XLOOKUP(C214,CLIENT_CODE!B:B,CLIENT_CODE!J:J,0))</f>
        <v>0</v>
      </c>
      <c r="N214">
        <f>_xlfn.XLOOKUP(B214,CRN!G:G,CRN!O:O,"")</f>
        <v>0</v>
      </c>
      <c r="O214">
        <f>IF(N214=0,0,_xlfn.XLOOKUP(C214,CLIENT_CODE!B:B,CLIENT_CODE!K:K,0))</f>
        <v>0</v>
      </c>
      <c r="P214">
        <f>_xlfn.XLOOKUP(B214,CRN!G:G,CRN!P:P,"")</f>
        <v>0</v>
      </c>
      <c r="Q214">
        <f>IF(P214=0,0,_xlfn.XLOOKUP(C214,CLIENT_CODE!B:B,CLIENT_CODE!L:L,0))</f>
        <v>0</v>
      </c>
      <c r="R214">
        <f>_xlfn.XLOOKUP(B214,CRN!G:G,CRN!Q:Q,"")</f>
        <v>0</v>
      </c>
      <c r="S214">
        <f>IF(R214=0,0,_xlfn.XLOOKUP(C214,CLIENT_CODE!B:B,CLIENT_CODE!M:M,0))</f>
        <v>0</v>
      </c>
      <c r="T214">
        <f>_xlfn.XLOOKUP(B214,CRN!G:G,CRN!R:R,"")</f>
        <v>0</v>
      </c>
      <c r="U214">
        <f>IF(T214=0,0,_xlfn.XLOOKUP(C214,CLIENT_CODE!B:B,CLIENT_CODE!N:N,0))</f>
        <v>0</v>
      </c>
      <c r="V214">
        <f>_xlfn.XLOOKUP(B214,CRN!G:G,CRN!S:S,"")</f>
        <v>0</v>
      </c>
      <c r="W214">
        <f>IF(V214=0,0,_xlfn.XLOOKUP(C214,CLIENT_CODE!B:B,CLIENT_CODE!O:O,0))</f>
        <v>0</v>
      </c>
      <c r="X214">
        <f>_xlfn.XLOOKUP(B214,CRN!G:G,CRN!T:T,"")</f>
        <v>0</v>
      </c>
      <c r="Y214">
        <f>IF(X214=0,0,_xlfn.XLOOKUP(C214,CLIENT_CODE!B:B,CLIENT_CODE!P:P,0))</f>
        <v>0</v>
      </c>
      <c r="Z214">
        <f>_xlfn.XLOOKUP(B214,CRN!G:G,CRN!U:U,"")</f>
        <v>0</v>
      </c>
      <c r="AA214">
        <f>IF(X214=0,0,_xlfn.XLOOKUP(C214,CLIENT_CODE!B:B,CLIENT_CODE!P:P,0))</f>
        <v>0</v>
      </c>
      <c r="AB214">
        <f>_xlfn.XLOOKUP(B214,CRN!G:G,CRN!V:V,"")</f>
        <v>0</v>
      </c>
      <c r="AC214">
        <f>IF(AB214=0,0,_xlfn.XLOOKUP(C214,CLIENT_CODE!B:B,CLIENT_CODE!R:R,0))</f>
        <v>0</v>
      </c>
      <c r="AD214">
        <f t="shared" si="3"/>
        <v>0</v>
      </c>
    </row>
    <row r="215" spans="1:30">
      <c r="A215" s="42">
        <v>214</v>
      </c>
      <c r="E215">
        <f>IF(D215=0,0,_xlfn.XLOOKUP(C215,CLIENT_CODE!B:B,CLIENT_CODE!F:F,0))</f>
        <v>0</v>
      </c>
      <c r="F215">
        <f>_xlfn.XLOOKUP(B215,CRN!G:G,CRN!K:K,"")</f>
        <v>0</v>
      </c>
      <c r="G215">
        <f>IF(F215=0,0,_xlfn.XLOOKUP(C215,CLIENT_CODE!B:B,CLIENT_CODE!G:G,0))</f>
        <v>0</v>
      </c>
      <c r="H215">
        <f>_xlfn.XLOOKUP(B215,CRN!G:G,CRN!L:L,"")</f>
        <v>0</v>
      </c>
      <c r="I215">
        <f>IF(H215=0,0,_xlfn.XLOOKUP(C215,CLIENT_CODE!B:B,CLIENT_CODE!H:H,0))</f>
        <v>0</v>
      </c>
      <c r="J215">
        <f>_xlfn.XLOOKUP(B215,CRN!G:G,CRN!M:M,"")</f>
        <v>0</v>
      </c>
      <c r="K215">
        <f>IF(J215=0,0,_xlfn.XLOOKUP(C215,CLIENT_CODE!B:B,CLIENT_CODE!I:I,0))</f>
        <v>0</v>
      </c>
      <c r="L215">
        <f>_xlfn.XLOOKUP(B215,CRN!G:G,CRN!N:N,"")</f>
        <v>0</v>
      </c>
      <c r="M215">
        <f>IF(L215=0,0,_xlfn.XLOOKUP(C215,CLIENT_CODE!B:B,CLIENT_CODE!J:J,0))</f>
        <v>0</v>
      </c>
      <c r="N215">
        <f>_xlfn.XLOOKUP(B215,CRN!G:G,CRN!O:O,"")</f>
        <v>0</v>
      </c>
      <c r="O215">
        <f>IF(N215=0,0,_xlfn.XLOOKUP(C215,CLIENT_CODE!B:B,CLIENT_CODE!K:K,0))</f>
        <v>0</v>
      </c>
      <c r="P215">
        <f>_xlfn.XLOOKUP(B215,CRN!G:G,CRN!P:P,"")</f>
        <v>0</v>
      </c>
      <c r="Q215">
        <f>IF(P215=0,0,_xlfn.XLOOKUP(C215,CLIENT_CODE!B:B,CLIENT_CODE!L:L,0))</f>
        <v>0</v>
      </c>
      <c r="R215">
        <f>_xlfn.XLOOKUP(B215,CRN!G:G,CRN!Q:Q,"")</f>
        <v>0</v>
      </c>
      <c r="S215">
        <f>IF(R215=0,0,_xlfn.XLOOKUP(C215,CLIENT_CODE!B:B,CLIENT_CODE!M:M,0))</f>
        <v>0</v>
      </c>
      <c r="T215">
        <f>_xlfn.XLOOKUP(B215,CRN!G:G,CRN!R:R,"")</f>
        <v>0</v>
      </c>
      <c r="U215">
        <f>IF(T215=0,0,_xlfn.XLOOKUP(C215,CLIENT_CODE!B:B,CLIENT_CODE!N:N,0))</f>
        <v>0</v>
      </c>
      <c r="V215">
        <f>_xlfn.XLOOKUP(B215,CRN!G:G,CRN!S:S,"")</f>
        <v>0</v>
      </c>
      <c r="W215">
        <f>IF(V215=0,0,_xlfn.XLOOKUP(C215,CLIENT_CODE!B:B,CLIENT_CODE!O:O,0))</f>
        <v>0</v>
      </c>
      <c r="X215">
        <f>_xlfn.XLOOKUP(B215,CRN!G:G,CRN!T:T,"")</f>
        <v>0</v>
      </c>
      <c r="Y215">
        <f>IF(X215=0,0,_xlfn.XLOOKUP(C215,CLIENT_CODE!B:B,CLIENT_CODE!P:P,0))</f>
        <v>0</v>
      </c>
      <c r="Z215">
        <f>_xlfn.XLOOKUP(B215,CRN!G:G,CRN!U:U,"")</f>
        <v>0</v>
      </c>
      <c r="AA215">
        <f>IF(X215=0,0,_xlfn.XLOOKUP(C215,CLIENT_CODE!B:B,CLIENT_CODE!P:P,0))</f>
        <v>0</v>
      </c>
      <c r="AB215">
        <f>_xlfn.XLOOKUP(B215,CRN!G:G,CRN!V:V,"")</f>
        <v>0</v>
      </c>
      <c r="AC215">
        <f>IF(AB215=0,0,_xlfn.XLOOKUP(C215,CLIENT_CODE!B:B,CLIENT_CODE!R:R,0))</f>
        <v>0</v>
      </c>
      <c r="AD215">
        <f t="shared" si="3"/>
        <v>0</v>
      </c>
    </row>
    <row r="216" spans="1:30">
      <c r="A216" s="42">
        <v>215</v>
      </c>
      <c r="E216">
        <f>IF(D216=0,0,_xlfn.XLOOKUP(C216,CLIENT_CODE!B:B,CLIENT_CODE!F:F,0))</f>
        <v>0</v>
      </c>
      <c r="F216">
        <f>_xlfn.XLOOKUP(B216,CRN!G:G,CRN!K:K,"")</f>
        <v>0</v>
      </c>
      <c r="G216">
        <f>IF(F216=0,0,_xlfn.XLOOKUP(C216,CLIENT_CODE!B:B,CLIENT_CODE!G:G,0))</f>
        <v>0</v>
      </c>
      <c r="H216">
        <f>_xlfn.XLOOKUP(B216,CRN!G:G,CRN!L:L,"")</f>
        <v>0</v>
      </c>
      <c r="I216">
        <f>IF(H216=0,0,_xlfn.XLOOKUP(C216,CLIENT_CODE!B:B,CLIENT_CODE!H:H,0))</f>
        <v>0</v>
      </c>
      <c r="J216">
        <f>_xlfn.XLOOKUP(B216,CRN!G:G,CRN!M:M,"")</f>
        <v>0</v>
      </c>
      <c r="K216">
        <f>IF(J216=0,0,_xlfn.XLOOKUP(C216,CLIENT_CODE!B:B,CLIENT_CODE!I:I,0))</f>
        <v>0</v>
      </c>
      <c r="L216">
        <f>_xlfn.XLOOKUP(B216,CRN!G:G,CRN!N:N,"")</f>
        <v>0</v>
      </c>
      <c r="M216">
        <f>IF(L216=0,0,_xlfn.XLOOKUP(C216,CLIENT_CODE!B:B,CLIENT_CODE!J:J,0))</f>
        <v>0</v>
      </c>
      <c r="N216">
        <f>_xlfn.XLOOKUP(B216,CRN!G:G,CRN!O:O,"")</f>
        <v>0</v>
      </c>
      <c r="O216">
        <f>IF(N216=0,0,_xlfn.XLOOKUP(C216,CLIENT_CODE!B:B,CLIENT_CODE!K:K,0))</f>
        <v>0</v>
      </c>
      <c r="P216">
        <f>_xlfn.XLOOKUP(B216,CRN!G:G,CRN!P:P,"")</f>
        <v>0</v>
      </c>
      <c r="Q216">
        <f>IF(P216=0,0,_xlfn.XLOOKUP(C216,CLIENT_CODE!B:B,CLIENT_CODE!L:L,0))</f>
        <v>0</v>
      </c>
      <c r="R216">
        <f>_xlfn.XLOOKUP(B216,CRN!G:G,CRN!Q:Q,"")</f>
        <v>0</v>
      </c>
      <c r="S216">
        <f>IF(R216=0,0,_xlfn.XLOOKUP(C216,CLIENT_CODE!B:B,CLIENT_CODE!M:M,0))</f>
        <v>0</v>
      </c>
      <c r="T216">
        <f>_xlfn.XLOOKUP(B216,CRN!G:G,CRN!R:R,"")</f>
        <v>0</v>
      </c>
      <c r="U216">
        <f>IF(T216=0,0,_xlfn.XLOOKUP(C216,CLIENT_CODE!B:B,CLIENT_CODE!N:N,0))</f>
        <v>0</v>
      </c>
      <c r="V216">
        <f>_xlfn.XLOOKUP(B216,CRN!G:G,CRN!S:S,"")</f>
        <v>0</v>
      </c>
      <c r="W216">
        <f>IF(V216=0,0,_xlfn.XLOOKUP(C216,CLIENT_CODE!B:B,CLIENT_CODE!O:O,0))</f>
        <v>0</v>
      </c>
      <c r="X216">
        <f>_xlfn.XLOOKUP(B216,CRN!G:G,CRN!T:T,"")</f>
        <v>0</v>
      </c>
      <c r="Y216">
        <f>IF(X216=0,0,_xlfn.XLOOKUP(C216,CLIENT_CODE!B:B,CLIENT_CODE!P:P,0))</f>
        <v>0</v>
      </c>
      <c r="Z216">
        <f>_xlfn.XLOOKUP(B216,CRN!G:G,CRN!U:U,"")</f>
        <v>0</v>
      </c>
      <c r="AA216">
        <f>IF(X216=0,0,_xlfn.XLOOKUP(C216,CLIENT_CODE!B:B,CLIENT_CODE!P:P,0))</f>
        <v>0</v>
      </c>
      <c r="AB216">
        <f>_xlfn.XLOOKUP(B216,CRN!G:G,CRN!V:V,"")</f>
        <v>0</v>
      </c>
      <c r="AC216">
        <f>IF(AB216=0,0,_xlfn.XLOOKUP(C216,CLIENT_CODE!B:B,CLIENT_CODE!R:R,0))</f>
        <v>0</v>
      </c>
      <c r="AD216">
        <f t="shared" si="3"/>
        <v>0</v>
      </c>
    </row>
    <row r="217" spans="1:30">
      <c r="A217" s="42">
        <v>216</v>
      </c>
      <c r="E217">
        <f>IF(D217=0,0,_xlfn.XLOOKUP(C217,CLIENT_CODE!B:B,CLIENT_CODE!F:F,0))</f>
        <v>0</v>
      </c>
      <c r="F217">
        <f>_xlfn.XLOOKUP(B217,CRN!G:G,CRN!K:K,"")</f>
        <v>0</v>
      </c>
      <c r="G217">
        <f>IF(F217=0,0,_xlfn.XLOOKUP(C217,CLIENT_CODE!B:B,CLIENT_CODE!G:G,0))</f>
        <v>0</v>
      </c>
      <c r="H217">
        <f>_xlfn.XLOOKUP(B217,CRN!G:G,CRN!L:L,"")</f>
        <v>0</v>
      </c>
      <c r="I217">
        <f>IF(H217=0,0,_xlfn.XLOOKUP(C217,CLIENT_CODE!B:B,CLIENT_CODE!H:H,0))</f>
        <v>0</v>
      </c>
      <c r="J217">
        <f>_xlfn.XLOOKUP(B217,CRN!G:G,CRN!M:M,"")</f>
        <v>0</v>
      </c>
      <c r="K217">
        <f>IF(J217=0,0,_xlfn.XLOOKUP(C217,CLIENT_CODE!B:B,CLIENT_CODE!I:I,0))</f>
        <v>0</v>
      </c>
      <c r="L217">
        <f>_xlfn.XLOOKUP(B217,CRN!G:G,CRN!N:N,"")</f>
        <v>0</v>
      </c>
      <c r="M217">
        <f>IF(L217=0,0,_xlfn.XLOOKUP(C217,CLIENT_CODE!B:B,CLIENT_CODE!J:J,0))</f>
        <v>0</v>
      </c>
      <c r="N217">
        <f>_xlfn.XLOOKUP(B217,CRN!G:G,CRN!O:O,"")</f>
        <v>0</v>
      </c>
      <c r="O217">
        <f>IF(N217=0,0,_xlfn.XLOOKUP(C217,CLIENT_CODE!B:B,CLIENT_CODE!K:K,0))</f>
        <v>0</v>
      </c>
      <c r="P217">
        <f>_xlfn.XLOOKUP(B217,CRN!G:G,CRN!P:P,"")</f>
        <v>0</v>
      </c>
      <c r="Q217">
        <f>IF(P217=0,0,_xlfn.XLOOKUP(C217,CLIENT_CODE!B:B,CLIENT_CODE!L:L,0))</f>
        <v>0</v>
      </c>
      <c r="R217">
        <f>_xlfn.XLOOKUP(B217,CRN!G:G,CRN!Q:Q,"")</f>
        <v>0</v>
      </c>
      <c r="S217">
        <f>IF(R217=0,0,_xlfn.XLOOKUP(C217,CLIENT_CODE!B:B,CLIENT_CODE!M:M,0))</f>
        <v>0</v>
      </c>
      <c r="T217">
        <f>_xlfn.XLOOKUP(B217,CRN!G:G,CRN!R:R,"")</f>
        <v>0</v>
      </c>
      <c r="U217">
        <f>IF(T217=0,0,_xlfn.XLOOKUP(C217,CLIENT_CODE!B:B,CLIENT_CODE!N:N,0))</f>
        <v>0</v>
      </c>
      <c r="V217">
        <f>_xlfn.XLOOKUP(B217,CRN!G:G,CRN!S:S,"")</f>
        <v>0</v>
      </c>
      <c r="W217">
        <f>IF(V217=0,0,_xlfn.XLOOKUP(C217,CLIENT_CODE!B:B,CLIENT_CODE!O:O,0))</f>
        <v>0</v>
      </c>
      <c r="X217">
        <f>_xlfn.XLOOKUP(B217,CRN!G:G,CRN!T:T,"")</f>
        <v>0</v>
      </c>
      <c r="Y217">
        <f>IF(X217=0,0,_xlfn.XLOOKUP(C217,CLIENT_CODE!B:B,CLIENT_CODE!P:P,0))</f>
        <v>0</v>
      </c>
      <c r="Z217">
        <f>_xlfn.XLOOKUP(B217,CRN!G:G,CRN!U:U,"")</f>
        <v>0</v>
      </c>
      <c r="AA217">
        <f>IF(X217=0,0,_xlfn.XLOOKUP(C217,CLIENT_CODE!B:B,CLIENT_CODE!P:P,0))</f>
        <v>0</v>
      </c>
      <c r="AB217">
        <f>_xlfn.XLOOKUP(B217,CRN!G:G,CRN!V:V,"")</f>
        <v>0</v>
      </c>
      <c r="AC217">
        <f>IF(AB217=0,0,_xlfn.XLOOKUP(C217,CLIENT_CODE!B:B,CLIENT_CODE!R:R,0))</f>
        <v>0</v>
      </c>
      <c r="AD217">
        <f t="shared" si="3"/>
        <v>0</v>
      </c>
    </row>
    <row r="218" spans="1:30">
      <c r="A218" s="42">
        <v>217</v>
      </c>
      <c r="E218">
        <f>IF(D218=0,0,_xlfn.XLOOKUP(C218,CLIENT_CODE!B:B,CLIENT_CODE!F:F,0))</f>
        <v>0</v>
      </c>
      <c r="F218">
        <f>_xlfn.XLOOKUP(B218,CRN!G:G,CRN!K:K,"")</f>
        <v>0</v>
      </c>
      <c r="G218">
        <f>IF(F218=0,0,_xlfn.XLOOKUP(C218,CLIENT_CODE!B:B,CLIENT_CODE!G:G,0))</f>
        <v>0</v>
      </c>
      <c r="H218">
        <f>_xlfn.XLOOKUP(B218,CRN!G:G,CRN!L:L,"")</f>
        <v>0</v>
      </c>
      <c r="I218">
        <f>IF(H218=0,0,_xlfn.XLOOKUP(C218,CLIENT_CODE!B:B,CLIENT_CODE!H:H,0))</f>
        <v>0</v>
      </c>
      <c r="J218">
        <f>_xlfn.XLOOKUP(B218,CRN!G:G,CRN!M:M,"")</f>
        <v>0</v>
      </c>
      <c r="K218">
        <f>IF(J218=0,0,_xlfn.XLOOKUP(C218,CLIENT_CODE!B:B,CLIENT_CODE!I:I,0))</f>
        <v>0</v>
      </c>
      <c r="L218">
        <f>_xlfn.XLOOKUP(B218,CRN!G:G,CRN!N:N,"")</f>
        <v>0</v>
      </c>
      <c r="M218">
        <f>IF(L218=0,0,_xlfn.XLOOKUP(C218,CLIENT_CODE!B:B,CLIENT_CODE!J:J,0))</f>
        <v>0</v>
      </c>
      <c r="N218">
        <f>_xlfn.XLOOKUP(B218,CRN!G:G,CRN!O:O,"")</f>
        <v>0</v>
      </c>
      <c r="O218">
        <f>IF(N218=0,0,_xlfn.XLOOKUP(C218,CLIENT_CODE!B:B,CLIENT_CODE!K:K,0))</f>
        <v>0</v>
      </c>
      <c r="P218">
        <f>_xlfn.XLOOKUP(B218,CRN!G:G,CRN!P:P,"")</f>
        <v>0</v>
      </c>
      <c r="Q218">
        <f>IF(P218=0,0,_xlfn.XLOOKUP(C218,CLIENT_CODE!B:B,CLIENT_CODE!L:L,0))</f>
        <v>0</v>
      </c>
      <c r="R218">
        <f>_xlfn.XLOOKUP(B218,CRN!G:G,CRN!Q:Q,"")</f>
        <v>0</v>
      </c>
      <c r="S218">
        <f>IF(R218=0,0,_xlfn.XLOOKUP(C218,CLIENT_CODE!B:B,CLIENT_CODE!M:M,0))</f>
        <v>0</v>
      </c>
      <c r="T218">
        <f>_xlfn.XLOOKUP(B218,CRN!G:G,CRN!R:R,"")</f>
        <v>0</v>
      </c>
      <c r="U218">
        <f>IF(T218=0,0,_xlfn.XLOOKUP(C218,CLIENT_CODE!B:B,CLIENT_CODE!N:N,0))</f>
        <v>0</v>
      </c>
      <c r="V218">
        <f>_xlfn.XLOOKUP(B218,CRN!G:G,CRN!S:S,"")</f>
        <v>0</v>
      </c>
      <c r="W218">
        <f>IF(V218=0,0,_xlfn.XLOOKUP(C218,CLIENT_CODE!B:B,CLIENT_CODE!O:O,0))</f>
        <v>0</v>
      </c>
      <c r="X218">
        <f>_xlfn.XLOOKUP(B218,CRN!G:G,CRN!T:T,"")</f>
        <v>0</v>
      </c>
      <c r="Y218">
        <f>IF(X218=0,0,_xlfn.XLOOKUP(C218,CLIENT_CODE!B:B,CLIENT_CODE!P:P,0))</f>
        <v>0</v>
      </c>
      <c r="Z218">
        <f>_xlfn.XLOOKUP(B218,CRN!G:G,CRN!U:U,"")</f>
        <v>0</v>
      </c>
      <c r="AA218">
        <f>IF(X218=0,0,_xlfn.XLOOKUP(C218,CLIENT_CODE!B:B,CLIENT_CODE!P:P,0))</f>
        <v>0</v>
      </c>
      <c r="AB218">
        <f>_xlfn.XLOOKUP(B218,CRN!G:G,CRN!V:V,"")</f>
        <v>0</v>
      </c>
      <c r="AC218">
        <f>IF(AB218=0,0,_xlfn.XLOOKUP(C218,CLIENT_CODE!B:B,CLIENT_CODE!R:R,0))</f>
        <v>0</v>
      </c>
      <c r="AD218">
        <f t="shared" si="3"/>
        <v>0</v>
      </c>
    </row>
    <row r="219" spans="1:30">
      <c r="A219" s="42">
        <v>218</v>
      </c>
      <c r="E219">
        <f>IF(D219=0,0,_xlfn.XLOOKUP(C219,CLIENT_CODE!B:B,CLIENT_CODE!F:F,0))</f>
        <v>0</v>
      </c>
      <c r="F219">
        <f>_xlfn.XLOOKUP(B219,CRN!G:G,CRN!K:K,"")</f>
        <v>0</v>
      </c>
      <c r="G219">
        <f>IF(F219=0,0,_xlfn.XLOOKUP(C219,CLIENT_CODE!B:B,CLIENT_CODE!G:G,0))</f>
        <v>0</v>
      </c>
      <c r="H219">
        <f>_xlfn.XLOOKUP(B219,CRN!G:G,CRN!L:L,"")</f>
        <v>0</v>
      </c>
      <c r="I219">
        <f>IF(H219=0,0,_xlfn.XLOOKUP(C219,CLIENT_CODE!B:B,CLIENT_CODE!H:H,0))</f>
        <v>0</v>
      </c>
      <c r="J219">
        <f>_xlfn.XLOOKUP(B219,CRN!G:G,CRN!M:M,"")</f>
        <v>0</v>
      </c>
      <c r="K219">
        <f>IF(J219=0,0,_xlfn.XLOOKUP(C219,CLIENT_CODE!B:B,CLIENT_CODE!I:I,0))</f>
        <v>0</v>
      </c>
      <c r="L219">
        <f>_xlfn.XLOOKUP(B219,CRN!G:G,CRN!N:N,"")</f>
        <v>0</v>
      </c>
      <c r="M219">
        <f>IF(L219=0,0,_xlfn.XLOOKUP(C219,CLIENT_CODE!B:B,CLIENT_CODE!J:J,0))</f>
        <v>0</v>
      </c>
      <c r="N219">
        <f>_xlfn.XLOOKUP(B219,CRN!G:G,CRN!O:O,"")</f>
        <v>0</v>
      </c>
      <c r="O219">
        <f>IF(N219=0,0,_xlfn.XLOOKUP(C219,CLIENT_CODE!B:B,CLIENT_CODE!K:K,0))</f>
        <v>0</v>
      </c>
      <c r="P219">
        <f>_xlfn.XLOOKUP(B219,CRN!G:G,CRN!P:P,"")</f>
        <v>0</v>
      </c>
      <c r="Q219">
        <f>IF(P219=0,0,_xlfn.XLOOKUP(C219,CLIENT_CODE!B:B,CLIENT_CODE!L:L,0))</f>
        <v>0</v>
      </c>
      <c r="R219">
        <f>_xlfn.XLOOKUP(B219,CRN!G:G,CRN!Q:Q,"")</f>
        <v>0</v>
      </c>
      <c r="S219">
        <f>IF(R219=0,0,_xlfn.XLOOKUP(C219,CLIENT_CODE!B:B,CLIENT_CODE!M:M,0))</f>
        <v>0</v>
      </c>
      <c r="T219">
        <f>_xlfn.XLOOKUP(B219,CRN!G:G,CRN!R:R,"")</f>
        <v>0</v>
      </c>
      <c r="U219">
        <f>IF(T219=0,0,_xlfn.XLOOKUP(C219,CLIENT_CODE!B:B,CLIENT_CODE!N:N,0))</f>
        <v>0</v>
      </c>
      <c r="V219">
        <f>_xlfn.XLOOKUP(B219,CRN!G:G,CRN!S:S,"")</f>
        <v>0</v>
      </c>
      <c r="W219">
        <f>IF(V219=0,0,_xlfn.XLOOKUP(C219,CLIENT_CODE!B:B,CLIENT_CODE!O:O,0))</f>
        <v>0</v>
      </c>
      <c r="X219">
        <f>_xlfn.XLOOKUP(B219,CRN!G:G,CRN!T:T,"")</f>
        <v>0</v>
      </c>
      <c r="Y219">
        <f>IF(X219=0,0,_xlfn.XLOOKUP(C219,CLIENT_CODE!B:B,CLIENT_CODE!P:P,0))</f>
        <v>0</v>
      </c>
      <c r="Z219">
        <f>_xlfn.XLOOKUP(B219,CRN!G:G,CRN!U:U,"")</f>
        <v>0</v>
      </c>
      <c r="AA219">
        <f>IF(X219=0,0,_xlfn.XLOOKUP(C219,CLIENT_CODE!B:B,CLIENT_CODE!P:P,0))</f>
        <v>0</v>
      </c>
      <c r="AB219">
        <f>_xlfn.XLOOKUP(B219,CRN!G:G,CRN!V:V,"")</f>
        <v>0</v>
      </c>
      <c r="AC219">
        <f>IF(AB219=0,0,_xlfn.XLOOKUP(C219,CLIENT_CODE!B:B,CLIENT_CODE!R:R,0))</f>
        <v>0</v>
      </c>
      <c r="AD219">
        <f t="shared" si="3"/>
        <v>0</v>
      </c>
    </row>
    <row r="220" spans="1:30">
      <c r="A220" s="42">
        <v>219</v>
      </c>
      <c r="E220">
        <f>IF(D220=0,0,_xlfn.XLOOKUP(C220,CLIENT_CODE!B:B,CLIENT_CODE!F:F,0))</f>
        <v>0</v>
      </c>
      <c r="F220">
        <f>_xlfn.XLOOKUP(B220,CRN!G:G,CRN!K:K,"")</f>
        <v>0</v>
      </c>
      <c r="G220">
        <f>IF(F220=0,0,_xlfn.XLOOKUP(C220,CLIENT_CODE!B:B,CLIENT_CODE!G:G,0))</f>
        <v>0</v>
      </c>
      <c r="H220">
        <f>_xlfn.XLOOKUP(B220,CRN!G:G,CRN!L:L,"")</f>
        <v>0</v>
      </c>
      <c r="I220">
        <f>IF(H220=0,0,_xlfn.XLOOKUP(C220,CLIENT_CODE!B:B,CLIENT_CODE!H:H,0))</f>
        <v>0</v>
      </c>
      <c r="J220">
        <f>_xlfn.XLOOKUP(B220,CRN!G:G,CRN!M:M,"")</f>
        <v>0</v>
      </c>
      <c r="K220">
        <f>IF(J220=0,0,_xlfn.XLOOKUP(C220,CLIENT_CODE!B:B,CLIENT_CODE!I:I,0))</f>
        <v>0</v>
      </c>
      <c r="L220">
        <f>_xlfn.XLOOKUP(B220,CRN!G:G,CRN!N:N,"")</f>
        <v>0</v>
      </c>
      <c r="M220">
        <f>IF(L220=0,0,_xlfn.XLOOKUP(C220,CLIENT_CODE!B:B,CLIENT_CODE!J:J,0))</f>
        <v>0</v>
      </c>
      <c r="N220">
        <f>_xlfn.XLOOKUP(B220,CRN!G:G,CRN!O:O,"")</f>
        <v>0</v>
      </c>
      <c r="O220">
        <f>IF(N220=0,0,_xlfn.XLOOKUP(C220,CLIENT_CODE!B:B,CLIENT_CODE!K:K,0))</f>
        <v>0</v>
      </c>
      <c r="P220">
        <f>_xlfn.XLOOKUP(B220,CRN!G:G,CRN!P:P,"")</f>
        <v>0</v>
      </c>
      <c r="Q220">
        <f>IF(P220=0,0,_xlfn.XLOOKUP(C220,CLIENT_CODE!B:B,CLIENT_CODE!L:L,0))</f>
        <v>0</v>
      </c>
      <c r="R220">
        <f>_xlfn.XLOOKUP(B220,CRN!G:G,CRN!Q:Q,"")</f>
        <v>0</v>
      </c>
      <c r="S220">
        <f>IF(R220=0,0,_xlfn.XLOOKUP(C220,CLIENT_CODE!B:B,CLIENT_CODE!M:M,0))</f>
        <v>0</v>
      </c>
      <c r="T220">
        <f>_xlfn.XLOOKUP(B220,CRN!G:G,CRN!R:R,"")</f>
        <v>0</v>
      </c>
      <c r="U220">
        <f>IF(T220=0,0,_xlfn.XLOOKUP(C220,CLIENT_CODE!B:B,CLIENT_CODE!N:N,0))</f>
        <v>0</v>
      </c>
      <c r="V220">
        <f>_xlfn.XLOOKUP(B220,CRN!G:G,CRN!S:S,"")</f>
        <v>0</v>
      </c>
      <c r="W220">
        <f>IF(V220=0,0,_xlfn.XLOOKUP(C220,CLIENT_CODE!B:B,CLIENT_CODE!O:O,0))</f>
        <v>0</v>
      </c>
      <c r="X220">
        <f>_xlfn.XLOOKUP(B220,CRN!G:G,CRN!T:T,"")</f>
        <v>0</v>
      </c>
      <c r="Y220">
        <f>IF(X220=0,0,_xlfn.XLOOKUP(C220,CLIENT_CODE!B:B,CLIENT_CODE!P:P,0))</f>
        <v>0</v>
      </c>
      <c r="Z220">
        <f>_xlfn.XLOOKUP(B220,CRN!G:G,CRN!U:U,"")</f>
        <v>0</v>
      </c>
      <c r="AA220">
        <f>IF(X220=0,0,_xlfn.XLOOKUP(C220,CLIENT_CODE!B:B,CLIENT_CODE!P:P,0))</f>
        <v>0</v>
      </c>
      <c r="AB220">
        <f>_xlfn.XLOOKUP(B220,CRN!G:G,CRN!V:V,"")</f>
        <v>0</v>
      </c>
      <c r="AC220">
        <f>IF(AB220=0,0,_xlfn.XLOOKUP(C220,CLIENT_CODE!B:B,CLIENT_CODE!R:R,0))</f>
        <v>0</v>
      </c>
      <c r="AD220">
        <f t="shared" si="3"/>
        <v>0</v>
      </c>
    </row>
    <row r="221" spans="1:30">
      <c r="A221" s="42">
        <v>220</v>
      </c>
      <c r="E221">
        <f>IF(D221=0,0,_xlfn.XLOOKUP(C221,CLIENT_CODE!B:B,CLIENT_CODE!F:F,0))</f>
        <v>0</v>
      </c>
      <c r="F221">
        <f>_xlfn.XLOOKUP(B221,CRN!G:G,CRN!K:K,"")</f>
        <v>0</v>
      </c>
      <c r="G221">
        <f>IF(F221=0,0,_xlfn.XLOOKUP(C221,CLIENT_CODE!B:B,CLIENT_CODE!G:G,0))</f>
        <v>0</v>
      </c>
      <c r="H221">
        <f>_xlfn.XLOOKUP(B221,CRN!G:G,CRN!L:L,"")</f>
        <v>0</v>
      </c>
      <c r="I221">
        <f>IF(H221=0,0,_xlfn.XLOOKUP(C221,CLIENT_CODE!B:B,CLIENT_CODE!H:H,0))</f>
        <v>0</v>
      </c>
      <c r="J221">
        <f>_xlfn.XLOOKUP(B221,CRN!G:G,CRN!M:M,"")</f>
        <v>0</v>
      </c>
      <c r="K221">
        <f>IF(J221=0,0,_xlfn.XLOOKUP(C221,CLIENT_CODE!B:B,CLIENT_CODE!I:I,0))</f>
        <v>0</v>
      </c>
      <c r="L221">
        <f>_xlfn.XLOOKUP(B221,CRN!G:G,CRN!N:N,"")</f>
        <v>0</v>
      </c>
      <c r="M221">
        <f>IF(L221=0,0,_xlfn.XLOOKUP(C221,CLIENT_CODE!B:B,CLIENT_CODE!J:J,0))</f>
        <v>0</v>
      </c>
      <c r="N221">
        <f>_xlfn.XLOOKUP(B221,CRN!G:G,CRN!O:O,"")</f>
        <v>0</v>
      </c>
      <c r="O221">
        <f>IF(N221=0,0,_xlfn.XLOOKUP(C221,CLIENT_CODE!B:B,CLIENT_CODE!K:K,0))</f>
        <v>0</v>
      </c>
      <c r="P221">
        <f>_xlfn.XLOOKUP(B221,CRN!G:G,CRN!P:P,"")</f>
        <v>0</v>
      </c>
      <c r="Q221">
        <f>IF(P221=0,0,_xlfn.XLOOKUP(C221,CLIENT_CODE!B:B,CLIENT_CODE!L:L,0))</f>
        <v>0</v>
      </c>
      <c r="R221">
        <f>_xlfn.XLOOKUP(B221,CRN!G:G,CRN!Q:Q,"")</f>
        <v>0</v>
      </c>
      <c r="S221">
        <f>IF(R221=0,0,_xlfn.XLOOKUP(C221,CLIENT_CODE!B:B,CLIENT_CODE!M:M,0))</f>
        <v>0</v>
      </c>
      <c r="T221">
        <f>_xlfn.XLOOKUP(B221,CRN!G:G,CRN!R:R,"")</f>
        <v>0</v>
      </c>
      <c r="U221">
        <f>IF(T221=0,0,_xlfn.XLOOKUP(C221,CLIENT_CODE!B:B,CLIENT_CODE!N:N,0))</f>
        <v>0</v>
      </c>
      <c r="V221">
        <f>_xlfn.XLOOKUP(B221,CRN!G:G,CRN!S:S,"")</f>
        <v>0</v>
      </c>
      <c r="W221">
        <f>IF(V221=0,0,_xlfn.XLOOKUP(C221,CLIENT_CODE!B:B,CLIENT_CODE!O:O,0))</f>
        <v>0</v>
      </c>
      <c r="X221">
        <f>_xlfn.XLOOKUP(B221,CRN!G:G,CRN!T:T,"")</f>
        <v>0</v>
      </c>
      <c r="Y221">
        <f>IF(X221=0,0,_xlfn.XLOOKUP(C221,CLIENT_CODE!B:B,CLIENT_CODE!P:P,0))</f>
        <v>0</v>
      </c>
      <c r="Z221">
        <f>_xlfn.XLOOKUP(B221,CRN!G:G,CRN!U:U,"")</f>
        <v>0</v>
      </c>
      <c r="AA221">
        <f>IF(X221=0,0,_xlfn.XLOOKUP(C221,CLIENT_CODE!B:B,CLIENT_CODE!P:P,0))</f>
        <v>0</v>
      </c>
      <c r="AB221">
        <f>_xlfn.XLOOKUP(B221,CRN!G:G,CRN!V:V,"")</f>
        <v>0</v>
      </c>
      <c r="AC221">
        <f>IF(AB221=0,0,_xlfn.XLOOKUP(C221,CLIENT_CODE!B:B,CLIENT_CODE!R:R,0))</f>
        <v>0</v>
      </c>
      <c r="AD221">
        <f t="shared" si="3"/>
        <v>0</v>
      </c>
    </row>
    <row r="222" spans="1:30">
      <c r="A222" s="42">
        <v>221</v>
      </c>
      <c r="E222">
        <f>IF(D222=0,0,_xlfn.XLOOKUP(C222,CLIENT_CODE!B:B,CLIENT_CODE!F:F,0))</f>
        <v>0</v>
      </c>
      <c r="F222">
        <f>_xlfn.XLOOKUP(B222,CRN!G:G,CRN!K:K,"")</f>
        <v>0</v>
      </c>
      <c r="G222">
        <f>IF(F222=0,0,_xlfn.XLOOKUP(C222,CLIENT_CODE!B:B,CLIENT_CODE!G:G,0))</f>
        <v>0</v>
      </c>
      <c r="H222">
        <f>_xlfn.XLOOKUP(B222,CRN!G:G,CRN!L:L,"")</f>
        <v>0</v>
      </c>
      <c r="I222">
        <f>IF(H222=0,0,_xlfn.XLOOKUP(C222,CLIENT_CODE!B:B,CLIENT_CODE!H:H,0))</f>
        <v>0</v>
      </c>
      <c r="J222">
        <f>_xlfn.XLOOKUP(B222,CRN!G:G,CRN!M:M,"")</f>
        <v>0</v>
      </c>
      <c r="K222">
        <f>IF(J222=0,0,_xlfn.XLOOKUP(C222,CLIENT_CODE!B:B,CLIENT_CODE!I:I,0))</f>
        <v>0</v>
      </c>
      <c r="L222">
        <f>_xlfn.XLOOKUP(B222,CRN!G:G,CRN!N:N,"")</f>
        <v>0</v>
      </c>
      <c r="M222">
        <f>IF(L222=0,0,_xlfn.XLOOKUP(C222,CLIENT_CODE!B:B,CLIENT_CODE!J:J,0))</f>
        <v>0</v>
      </c>
      <c r="N222">
        <f>_xlfn.XLOOKUP(B222,CRN!G:G,CRN!O:O,"")</f>
        <v>0</v>
      </c>
      <c r="O222">
        <f>IF(N222=0,0,_xlfn.XLOOKUP(C222,CLIENT_CODE!B:B,CLIENT_CODE!K:K,0))</f>
        <v>0</v>
      </c>
      <c r="P222">
        <f>_xlfn.XLOOKUP(B222,CRN!G:G,CRN!P:P,"")</f>
        <v>0</v>
      </c>
      <c r="Q222">
        <f>IF(P222=0,0,_xlfn.XLOOKUP(C222,CLIENT_CODE!B:B,CLIENT_CODE!L:L,0))</f>
        <v>0</v>
      </c>
      <c r="R222">
        <f>_xlfn.XLOOKUP(B222,CRN!G:G,CRN!Q:Q,"")</f>
        <v>0</v>
      </c>
      <c r="S222">
        <f>IF(R222=0,0,_xlfn.XLOOKUP(C222,CLIENT_CODE!B:B,CLIENT_CODE!M:M,0))</f>
        <v>0</v>
      </c>
      <c r="T222">
        <f>_xlfn.XLOOKUP(B222,CRN!G:G,CRN!R:R,"")</f>
        <v>0</v>
      </c>
      <c r="U222">
        <f>IF(T222=0,0,_xlfn.XLOOKUP(C222,CLIENT_CODE!B:B,CLIENT_CODE!N:N,0))</f>
        <v>0</v>
      </c>
      <c r="V222">
        <f>_xlfn.XLOOKUP(B222,CRN!G:G,CRN!S:S,"")</f>
        <v>0</v>
      </c>
      <c r="W222">
        <f>IF(V222=0,0,_xlfn.XLOOKUP(C222,CLIENT_CODE!B:B,CLIENT_CODE!O:O,0))</f>
        <v>0</v>
      </c>
      <c r="X222">
        <f>_xlfn.XLOOKUP(B222,CRN!G:G,CRN!T:T,"")</f>
        <v>0</v>
      </c>
      <c r="Y222">
        <f>IF(X222=0,0,_xlfn.XLOOKUP(C222,CLIENT_CODE!B:B,CLIENT_CODE!P:P,0))</f>
        <v>0</v>
      </c>
      <c r="Z222">
        <f>_xlfn.XLOOKUP(B222,CRN!G:G,CRN!U:U,"")</f>
        <v>0</v>
      </c>
      <c r="AA222">
        <f>IF(X222=0,0,_xlfn.XLOOKUP(C222,CLIENT_CODE!B:B,CLIENT_CODE!P:P,0))</f>
        <v>0</v>
      </c>
      <c r="AB222">
        <f>_xlfn.XLOOKUP(B222,CRN!G:G,CRN!V:V,"")</f>
        <v>0</v>
      </c>
      <c r="AC222">
        <f>IF(AB222=0,0,_xlfn.XLOOKUP(C222,CLIENT_CODE!B:B,CLIENT_CODE!R:R,0))</f>
        <v>0</v>
      </c>
      <c r="AD222">
        <f t="shared" si="3"/>
        <v>0</v>
      </c>
    </row>
    <row r="223" spans="1:30">
      <c r="A223" s="42">
        <v>222</v>
      </c>
      <c r="E223">
        <f>IF(D223=0,0,_xlfn.XLOOKUP(C223,CLIENT_CODE!B:B,CLIENT_CODE!F:F,0))</f>
        <v>0</v>
      </c>
      <c r="F223">
        <f>_xlfn.XLOOKUP(B223,CRN!G:G,CRN!K:K,"")</f>
        <v>0</v>
      </c>
      <c r="G223">
        <f>IF(F223=0,0,_xlfn.XLOOKUP(C223,CLIENT_CODE!B:B,CLIENT_CODE!G:G,0))</f>
        <v>0</v>
      </c>
      <c r="H223">
        <f>_xlfn.XLOOKUP(B223,CRN!G:G,CRN!L:L,"")</f>
        <v>0</v>
      </c>
      <c r="I223">
        <f>IF(H223=0,0,_xlfn.XLOOKUP(C223,CLIENT_CODE!B:B,CLIENT_CODE!H:H,0))</f>
        <v>0</v>
      </c>
      <c r="J223">
        <f>_xlfn.XLOOKUP(B223,CRN!G:G,CRN!M:M,"")</f>
        <v>0</v>
      </c>
      <c r="K223">
        <f>IF(J223=0,0,_xlfn.XLOOKUP(C223,CLIENT_CODE!B:B,CLIENT_CODE!I:I,0))</f>
        <v>0</v>
      </c>
      <c r="L223">
        <f>_xlfn.XLOOKUP(B223,CRN!G:G,CRN!N:N,"")</f>
        <v>0</v>
      </c>
      <c r="M223">
        <f>IF(L223=0,0,_xlfn.XLOOKUP(C223,CLIENT_CODE!B:B,CLIENT_CODE!J:J,0))</f>
        <v>0</v>
      </c>
      <c r="N223">
        <f>_xlfn.XLOOKUP(B223,CRN!G:G,CRN!O:O,"")</f>
        <v>0</v>
      </c>
      <c r="O223">
        <f>IF(N223=0,0,_xlfn.XLOOKUP(C223,CLIENT_CODE!B:B,CLIENT_CODE!K:K,0))</f>
        <v>0</v>
      </c>
      <c r="P223">
        <f>_xlfn.XLOOKUP(B223,CRN!G:G,CRN!P:P,"")</f>
        <v>0</v>
      </c>
      <c r="Q223">
        <f>IF(P223=0,0,_xlfn.XLOOKUP(C223,CLIENT_CODE!B:B,CLIENT_CODE!L:L,0))</f>
        <v>0</v>
      </c>
      <c r="R223">
        <f>_xlfn.XLOOKUP(B223,CRN!G:G,CRN!Q:Q,"")</f>
        <v>0</v>
      </c>
      <c r="S223">
        <f>IF(R223=0,0,_xlfn.XLOOKUP(C223,CLIENT_CODE!B:B,CLIENT_CODE!M:M,0))</f>
        <v>0</v>
      </c>
      <c r="T223">
        <f>_xlfn.XLOOKUP(B223,CRN!G:G,CRN!R:R,"")</f>
        <v>0</v>
      </c>
      <c r="U223">
        <f>IF(T223=0,0,_xlfn.XLOOKUP(C223,CLIENT_CODE!B:B,CLIENT_CODE!N:N,0))</f>
        <v>0</v>
      </c>
      <c r="V223">
        <f>_xlfn.XLOOKUP(B223,CRN!G:G,CRN!S:S,"")</f>
        <v>0</v>
      </c>
      <c r="W223">
        <f>IF(V223=0,0,_xlfn.XLOOKUP(C223,CLIENT_CODE!B:B,CLIENT_CODE!O:O,0))</f>
        <v>0</v>
      </c>
      <c r="X223">
        <f>_xlfn.XLOOKUP(B223,CRN!G:G,CRN!T:T,"")</f>
        <v>0</v>
      </c>
      <c r="Y223">
        <f>IF(X223=0,0,_xlfn.XLOOKUP(C223,CLIENT_CODE!B:B,CLIENT_CODE!P:P,0))</f>
        <v>0</v>
      </c>
      <c r="Z223">
        <f>_xlfn.XLOOKUP(B223,CRN!G:G,CRN!U:U,"")</f>
        <v>0</v>
      </c>
      <c r="AA223">
        <f>IF(X223=0,0,_xlfn.XLOOKUP(C223,CLIENT_CODE!B:B,CLIENT_CODE!P:P,0))</f>
        <v>0</v>
      </c>
      <c r="AB223">
        <f>_xlfn.XLOOKUP(B223,CRN!G:G,CRN!V:V,"")</f>
        <v>0</v>
      </c>
      <c r="AC223">
        <f>IF(AB223=0,0,_xlfn.XLOOKUP(C223,CLIENT_CODE!B:B,CLIENT_CODE!R:R,0))</f>
        <v>0</v>
      </c>
      <c r="AD223">
        <f t="shared" si="3"/>
        <v>0</v>
      </c>
    </row>
    <row r="224" spans="1:30">
      <c r="A224" s="42">
        <v>223</v>
      </c>
      <c r="E224">
        <f>IF(D224=0,0,_xlfn.XLOOKUP(C224,CLIENT_CODE!B:B,CLIENT_CODE!F:F,0))</f>
        <v>0</v>
      </c>
      <c r="F224">
        <f>_xlfn.XLOOKUP(B224,CRN!G:G,CRN!K:K,"")</f>
        <v>0</v>
      </c>
      <c r="G224">
        <f>IF(F224=0,0,_xlfn.XLOOKUP(C224,CLIENT_CODE!B:B,CLIENT_CODE!G:G,0))</f>
        <v>0</v>
      </c>
      <c r="H224">
        <f>_xlfn.XLOOKUP(B224,CRN!G:G,CRN!L:L,"")</f>
        <v>0</v>
      </c>
      <c r="I224">
        <f>IF(H224=0,0,_xlfn.XLOOKUP(C224,CLIENT_CODE!B:B,CLIENT_CODE!H:H,0))</f>
        <v>0</v>
      </c>
      <c r="J224">
        <f>_xlfn.XLOOKUP(B224,CRN!G:G,CRN!M:M,"")</f>
        <v>0</v>
      </c>
      <c r="K224">
        <f>IF(J224=0,0,_xlfn.XLOOKUP(C224,CLIENT_CODE!B:B,CLIENT_CODE!I:I,0))</f>
        <v>0</v>
      </c>
      <c r="L224">
        <f>_xlfn.XLOOKUP(B224,CRN!G:G,CRN!N:N,"")</f>
        <v>0</v>
      </c>
      <c r="M224">
        <f>IF(L224=0,0,_xlfn.XLOOKUP(C224,CLIENT_CODE!B:B,CLIENT_CODE!J:J,0))</f>
        <v>0</v>
      </c>
      <c r="N224">
        <f>_xlfn.XLOOKUP(B224,CRN!G:G,CRN!O:O,"")</f>
        <v>0</v>
      </c>
      <c r="O224">
        <f>IF(N224=0,0,_xlfn.XLOOKUP(C224,CLIENT_CODE!B:B,CLIENT_CODE!K:K,0))</f>
        <v>0</v>
      </c>
      <c r="P224">
        <f>_xlfn.XLOOKUP(B224,CRN!G:G,CRN!P:P,"")</f>
        <v>0</v>
      </c>
      <c r="Q224">
        <f>IF(P224=0,0,_xlfn.XLOOKUP(C224,CLIENT_CODE!B:B,CLIENT_CODE!L:L,0))</f>
        <v>0</v>
      </c>
      <c r="R224">
        <f>_xlfn.XLOOKUP(B224,CRN!G:G,CRN!Q:Q,"")</f>
        <v>0</v>
      </c>
      <c r="S224">
        <f>IF(R224=0,0,_xlfn.XLOOKUP(C224,CLIENT_CODE!B:B,CLIENT_CODE!M:M,0))</f>
        <v>0</v>
      </c>
      <c r="T224">
        <f>_xlfn.XLOOKUP(B224,CRN!G:G,CRN!R:R,"")</f>
        <v>0</v>
      </c>
      <c r="U224">
        <f>IF(T224=0,0,_xlfn.XLOOKUP(C224,CLIENT_CODE!B:B,CLIENT_CODE!N:N,0))</f>
        <v>0</v>
      </c>
      <c r="V224">
        <f>_xlfn.XLOOKUP(B224,CRN!G:G,CRN!S:S,"")</f>
        <v>0</v>
      </c>
      <c r="W224">
        <f>IF(V224=0,0,_xlfn.XLOOKUP(C224,CLIENT_CODE!B:B,CLIENT_CODE!O:O,0))</f>
        <v>0</v>
      </c>
      <c r="X224">
        <f>_xlfn.XLOOKUP(B224,CRN!G:G,CRN!T:T,"")</f>
        <v>0</v>
      </c>
      <c r="Y224">
        <f>IF(X224=0,0,_xlfn.XLOOKUP(C224,CLIENT_CODE!B:B,CLIENT_CODE!P:P,0))</f>
        <v>0</v>
      </c>
      <c r="Z224">
        <f>_xlfn.XLOOKUP(B224,CRN!G:G,CRN!U:U,"")</f>
        <v>0</v>
      </c>
      <c r="AA224">
        <f>IF(X224=0,0,_xlfn.XLOOKUP(C224,CLIENT_CODE!B:B,CLIENT_CODE!P:P,0))</f>
        <v>0</v>
      </c>
      <c r="AB224">
        <f>_xlfn.XLOOKUP(B224,CRN!G:G,CRN!V:V,"")</f>
        <v>0</v>
      </c>
      <c r="AC224">
        <f>IF(AB224=0,0,_xlfn.XLOOKUP(C224,CLIENT_CODE!B:B,CLIENT_CODE!R:R,0))</f>
        <v>0</v>
      </c>
      <c r="AD224">
        <f t="shared" si="3"/>
        <v>0</v>
      </c>
    </row>
    <row r="225" spans="1:30">
      <c r="A225" s="42">
        <v>224</v>
      </c>
      <c r="E225">
        <f>IF(D225=0,0,_xlfn.XLOOKUP(C225,CLIENT_CODE!B:B,CLIENT_CODE!F:F,0))</f>
        <v>0</v>
      </c>
      <c r="F225">
        <f>_xlfn.XLOOKUP(B225,CRN!G:G,CRN!K:K,"")</f>
        <v>0</v>
      </c>
      <c r="G225">
        <f>IF(F225=0,0,_xlfn.XLOOKUP(C225,CLIENT_CODE!B:B,CLIENT_CODE!G:G,0))</f>
        <v>0</v>
      </c>
      <c r="H225">
        <f>_xlfn.XLOOKUP(B225,CRN!G:G,CRN!L:L,"")</f>
        <v>0</v>
      </c>
      <c r="I225">
        <f>IF(H225=0,0,_xlfn.XLOOKUP(C225,CLIENT_CODE!B:B,CLIENT_CODE!H:H,0))</f>
        <v>0</v>
      </c>
      <c r="J225">
        <f>_xlfn.XLOOKUP(B225,CRN!G:G,CRN!M:M,"")</f>
        <v>0</v>
      </c>
      <c r="K225">
        <f>IF(J225=0,0,_xlfn.XLOOKUP(C225,CLIENT_CODE!B:B,CLIENT_CODE!I:I,0))</f>
        <v>0</v>
      </c>
      <c r="L225">
        <f>_xlfn.XLOOKUP(B225,CRN!G:G,CRN!N:N,"")</f>
        <v>0</v>
      </c>
      <c r="M225">
        <f>IF(L225=0,0,_xlfn.XLOOKUP(C225,CLIENT_CODE!B:B,CLIENT_CODE!J:J,0))</f>
        <v>0</v>
      </c>
      <c r="N225">
        <f>_xlfn.XLOOKUP(B225,CRN!G:G,CRN!O:O,"")</f>
        <v>0</v>
      </c>
      <c r="O225">
        <f>IF(N225=0,0,_xlfn.XLOOKUP(C225,CLIENT_CODE!B:B,CLIENT_CODE!K:K,0))</f>
        <v>0</v>
      </c>
      <c r="P225">
        <f>_xlfn.XLOOKUP(B225,CRN!G:G,CRN!P:P,"")</f>
        <v>0</v>
      </c>
      <c r="Q225">
        <f>IF(P225=0,0,_xlfn.XLOOKUP(C225,CLIENT_CODE!B:B,CLIENT_CODE!L:L,0))</f>
        <v>0</v>
      </c>
      <c r="R225">
        <f>_xlfn.XLOOKUP(B225,CRN!G:G,CRN!Q:Q,"")</f>
        <v>0</v>
      </c>
      <c r="S225">
        <f>IF(R225=0,0,_xlfn.XLOOKUP(C225,CLIENT_CODE!B:B,CLIENT_CODE!M:M,0))</f>
        <v>0</v>
      </c>
      <c r="T225">
        <f>_xlfn.XLOOKUP(B225,CRN!G:G,CRN!R:R,"")</f>
        <v>0</v>
      </c>
      <c r="U225">
        <f>IF(T225=0,0,_xlfn.XLOOKUP(C225,CLIENT_CODE!B:B,CLIENT_CODE!N:N,0))</f>
        <v>0</v>
      </c>
      <c r="V225">
        <f>_xlfn.XLOOKUP(B225,CRN!G:G,CRN!S:S,"")</f>
        <v>0</v>
      </c>
      <c r="W225">
        <f>IF(V225=0,0,_xlfn.XLOOKUP(C225,CLIENT_CODE!B:B,CLIENT_CODE!O:O,0))</f>
        <v>0</v>
      </c>
      <c r="X225">
        <f>_xlfn.XLOOKUP(B225,CRN!G:G,CRN!T:T,"")</f>
        <v>0</v>
      </c>
      <c r="Y225">
        <f>IF(X225=0,0,_xlfn.XLOOKUP(C225,CLIENT_CODE!B:B,CLIENT_CODE!P:P,0))</f>
        <v>0</v>
      </c>
      <c r="Z225">
        <f>_xlfn.XLOOKUP(B225,CRN!G:G,CRN!U:U,"")</f>
        <v>0</v>
      </c>
      <c r="AA225">
        <f>IF(X225=0,0,_xlfn.XLOOKUP(C225,CLIENT_CODE!B:B,CLIENT_CODE!P:P,0))</f>
        <v>0</v>
      </c>
      <c r="AB225">
        <f>_xlfn.XLOOKUP(B225,CRN!G:G,CRN!V:V,"")</f>
        <v>0</v>
      </c>
      <c r="AC225">
        <f>IF(AB225=0,0,_xlfn.XLOOKUP(C225,CLIENT_CODE!B:B,CLIENT_CODE!R:R,0))</f>
        <v>0</v>
      </c>
      <c r="AD225">
        <f t="shared" si="3"/>
        <v>0</v>
      </c>
    </row>
    <row r="226" spans="1:30">
      <c r="A226" s="42">
        <v>225</v>
      </c>
      <c r="E226">
        <f>IF(D226=0,0,_xlfn.XLOOKUP(C226,CLIENT_CODE!B:B,CLIENT_CODE!F:F,0))</f>
        <v>0</v>
      </c>
      <c r="F226">
        <f>_xlfn.XLOOKUP(B226,CRN!G:G,CRN!K:K,"")</f>
        <v>0</v>
      </c>
      <c r="G226">
        <f>IF(F226=0,0,_xlfn.XLOOKUP(C226,CLIENT_CODE!B:B,CLIENT_CODE!G:G,0))</f>
        <v>0</v>
      </c>
      <c r="H226">
        <f>_xlfn.XLOOKUP(B226,CRN!G:G,CRN!L:L,"")</f>
        <v>0</v>
      </c>
      <c r="I226">
        <f>IF(H226=0,0,_xlfn.XLOOKUP(C226,CLIENT_CODE!B:B,CLIENT_CODE!H:H,0))</f>
        <v>0</v>
      </c>
      <c r="J226">
        <f>_xlfn.XLOOKUP(B226,CRN!G:G,CRN!M:M,"")</f>
        <v>0</v>
      </c>
      <c r="K226">
        <f>IF(J226=0,0,_xlfn.XLOOKUP(C226,CLIENT_CODE!B:B,CLIENT_CODE!I:I,0))</f>
        <v>0</v>
      </c>
      <c r="L226">
        <f>_xlfn.XLOOKUP(B226,CRN!G:G,CRN!N:N,"")</f>
        <v>0</v>
      </c>
      <c r="M226">
        <f>IF(L226=0,0,_xlfn.XLOOKUP(C226,CLIENT_CODE!B:B,CLIENT_CODE!J:J,0))</f>
        <v>0</v>
      </c>
      <c r="N226">
        <f>_xlfn.XLOOKUP(B226,CRN!G:G,CRN!O:O,"")</f>
        <v>0</v>
      </c>
      <c r="O226">
        <f>IF(N226=0,0,_xlfn.XLOOKUP(C226,CLIENT_CODE!B:B,CLIENT_CODE!K:K,0))</f>
        <v>0</v>
      </c>
      <c r="P226">
        <f>_xlfn.XLOOKUP(B226,CRN!G:G,CRN!P:P,"")</f>
        <v>0</v>
      </c>
      <c r="Q226">
        <f>IF(P226=0,0,_xlfn.XLOOKUP(C226,CLIENT_CODE!B:B,CLIENT_CODE!L:L,0))</f>
        <v>0</v>
      </c>
      <c r="R226">
        <f>_xlfn.XLOOKUP(B226,CRN!G:G,CRN!Q:Q,"")</f>
        <v>0</v>
      </c>
      <c r="S226">
        <f>IF(R226=0,0,_xlfn.XLOOKUP(C226,CLIENT_CODE!B:B,CLIENT_CODE!M:M,0))</f>
        <v>0</v>
      </c>
      <c r="T226">
        <f>_xlfn.XLOOKUP(B226,CRN!G:G,CRN!R:R,"")</f>
        <v>0</v>
      </c>
      <c r="U226">
        <f>IF(T226=0,0,_xlfn.XLOOKUP(C226,CLIENT_CODE!B:B,CLIENT_CODE!N:N,0))</f>
        <v>0</v>
      </c>
      <c r="V226">
        <f>_xlfn.XLOOKUP(B226,CRN!G:G,CRN!S:S,"")</f>
        <v>0</v>
      </c>
      <c r="W226">
        <f>IF(V226=0,0,_xlfn.XLOOKUP(C226,CLIENT_CODE!B:B,CLIENT_CODE!O:O,0))</f>
        <v>0</v>
      </c>
      <c r="X226">
        <f>_xlfn.XLOOKUP(B226,CRN!G:G,CRN!T:T,"")</f>
        <v>0</v>
      </c>
      <c r="Y226">
        <f>IF(X226=0,0,_xlfn.XLOOKUP(C226,CLIENT_CODE!B:B,CLIENT_CODE!P:P,0))</f>
        <v>0</v>
      </c>
      <c r="Z226">
        <f>_xlfn.XLOOKUP(B226,CRN!G:G,CRN!U:U,"")</f>
        <v>0</v>
      </c>
      <c r="AA226">
        <f>IF(X226=0,0,_xlfn.XLOOKUP(C226,CLIENT_CODE!B:B,CLIENT_CODE!P:P,0))</f>
        <v>0</v>
      </c>
      <c r="AB226">
        <f>_xlfn.XLOOKUP(B226,CRN!G:G,CRN!V:V,"")</f>
        <v>0</v>
      </c>
      <c r="AC226">
        <f>IF(AB226=0,0,_xlfn.XLOOKUP(C226,CLIENT_CODE!B:B,CLIENT_CODE!R:R,0))</f>
        <v>0</v>
      </c>
      <c r="AD226">
        <f t="shared" si="3"/>
        <v>0</v>
      </c>
    </row>
    <row r="227" spans="1:30">
      <c r="A227" s="42">
        <v>226</v>
      </c>
      <c r="E227">
        <f>IF(D227=0,0,_xlfn.XLOOKUP(C227,CLIENT_CODE!B:B,CLIENT_CODE!F:F,0))</f>
        <v>0</v>
      </c>
      <c r="F227">
        <f>_xlfn.XLOOKUP(B227,CRN!G:G,CRN!K:K,"")</f>
        <v>0</v>
      </c>
      <c r="G227">
        <f>IF(F227=0,0,_xlfn.XLOOKUP(C227,CLIENT_CODE!B:B,CLIENT_CODE!G:G,0))</f>
        <v>0</v>
      </c>
      <c r="H227">
        <f>_xlfn.XLOOKUP(B227,CRN!G:G,CRN!L:L,"")</f>
        <v>0</v>
      </c>
      <c r="I227">
        <f>IF(H227=0,0,_xlfn.XLOOKUP(C227,CLIENT_CODE!B:B,CLIENT_CODE!H:H,0))</f>
        <v>0</v>
      </c>
      <c r="J227">
        <f>_xlfn.XLOOKUP(B227,CRN!G:G,CRN!M:M,"")</f>
        <v>0</v>
      </c>
      <c r="K227">
        <f>IF(J227=0,0,_xlfn.XLOOKUP(C227,CLIENT_CODE!B:B,CLIENT_CODE!I:I,0))</f>
        <v>0</v>
      </c>
      <c r="L227">
        <f>_xlfn.XLOOKUP(B227,CRN!G:G,CRN!N:N,"")</f>
        <v>0</v>
      </c>
      <c r="M227">
        <f>IF(L227=0,0,_xlfn.XLOOKUP(C227,CLIENT_CODE!B:B,CLIENT_CODE!J:J,0))</f>
        <v>0</v>
      </c>
      <c r="N227">
        <f>_xlfn.XLOOKUP(B227,CRN!G:G,CRN!O:O,"")</f>
        <v>0</v>
      </c>
      <c r="O227">
        <f>IF(N227=0,0,_xlfn.XLOOKUP(C227,CLIENT_CODE!B:B,CLIENT_CODE!K:K,0))</f>
        <v>0</v>
      </c>
      <c r="P227">
        <f>_xlfn.XLOOKUP(B227,CRN!G:G,CRN!P:P,"")</f>
        <v>0</v>
      </c>
      <c r="Q227">
        <f>IF(P227=0,0,_xlfn.XLOOKUP(C227,CLIENT_CODE!B:B,CLIENT_CODE!L:L,0))</f>
        <v>0</v>
      </c>
      <c r="R227">
        <f>_xlfn.XLOOKUP(B227,CRN!G:G,CRN!Q:Q,"")</f>
        <v>0</v>
      </c>
      <c r="S227">
        <f>IF(R227=0,0,_xlfn.XLOOKUP(C227,CLIENT_CODE!B:B,CLIENT_CODE!M:M,0))</f>
        <v>0</v>
      </c>
      <c r="T227">
        <f>_xlfn.XLOOKUP(B227,CRN!G:G,CRN!R:R,"")</f>
        <v>0</v>
      </c>
      <c r="U227">
        <f>IF(T227=0,0,_xlfn.XLOOKUP(C227,CLIENT_CODE!B:B,CLIENT_CODE!N:N,0))</f>
        <v>0</v>
      </c>
      <c r="V227">
        <f>_xlfn.XLOOKUP(B227,CRN!G:G,CRN!S:S,"")</f>
        <v>0</v>
      </c>
      <c r="W227">
        <f>IF(V227=0,0,_xlfn.XLOOKUP(C227,CLIENT_CODE!B:B,CLIENT_CODE!O:O,0))</f>
        <v>0</v>
      </c>
      <c r="X227">
        <f>_xlfn.XLOOKUP(B227,CRN!G:G,CRN!T:T,"")</f>
        <v>0</v>
      </c>
      <c r="Y227">
        <f>IF(X227=0,0,_xlfn.XLOOKUP(C227,CLIENT_CODE!B:B,CLIENT_CODE!P:P,0))</f>
        <v>0</v>
      </c>
      <c r="Z227">
        <f>_xlfn.XLOOKUP(B227,CRN!G:G,CRN!U:U,"")</f>
        <v>0</v>
      </c>
      <c r="AA227">
        <f>IF(X227=0,0,_xlfn.XLOOKUP(C227,CLIENT_CODE!B:B,CLIENT_CODE!P:P,0))</f>
        <v>0</v>
      </c>
      <c r="AB227">
        <f>_xlfn.XLOOKUP(B227,CRN!G:G,CRN!V:V,"")</f>
        <v>0</v>
      </c>
      <c r="AC227">
        <f>IF(AB227=0,0,_xlfn.XLOOKUP(C227,CLIENT_CODE!B:B,CLIENT_CODE!R:R,0))</f>
        <v>0</v>
      </c>
      <c r="AD227">
        <f t="shared" si="3"/>
        <v>0</v>
      </c>
    </row>
    <row r="228" spans="1:30">
      <c r="A228" s="42">
        <v>227</v>
      </c>
      <c r="E228">
        <f>IF(D228=0,0,_xlfn.XLOOKUP(C228,CLIENT_CODE!B:B,CLIENT_CODE!F:F,0))</f>
        <v>0</v>
      </c>
      <c r="F228">
        <f>_xlfn.XLOOKUP(B228,CRN!G:G,CRN!K:K,"")</f>
        <v>0</v>
      </c>
      <c r="G228">
        <f>IF(F228=0,0,_xlfn.XLOOKUP(C228,CLIENT_CODE!B:B,CLIENT_CODE!G:G,0))</f>
        <v>0</v>
      </c>
      <c r="H228">
        <f>_xlfn.XLOOKUP(B228,CRN!G:G,CRN!L:L,"")</f>
        <v>0</v>
      </c>
      <c r="I228">
        <f>IF(H228=0,0,_xlfn.XLOOKUP(C228,CLIENT_CODE!B:B,CLIENT_CODE!H:H,0))</f>
        <v>0</v>
      </c>
      <c r="J228">
        <f>_xlfn.XLOOKUP(B228,CRN!G:G,CRN!M:M,"")</f>
        <v>0</v>
      </c>
      <c r="K228">
        <f>IF(J228=0,0,_xlfn.XLOOKUP(C228,CLIENT_CODE!B:B,CLIENT_CODE!I:I,0))</f>
        <v>0</v>
      </c>
      <c r="L228">
        <f>_xlfn.XLOOKUP(B228,CRN!G:G,CRN!N:N,"")</f>
        <v>0</v>
      </c>
      <c r="M228">
        <f>IF(L228=0,0,_xlfn.XLOOKUP(C228,CLIENT_CODE!B:B,CLIENT_CODE!J:J,0))</f>
        <v>0</v>
      </c>
      <c r="N228">
        <f>_xlfn.XLOOKUP(B228,CRN!G:G,CRN!O:O,"")</f>
        <v>0</v>
      </c>
      <c r="O228">
        <f>IF(N228=0,0,_xlfn.XLOOKUP(C228,CLIENT_CODE!B:B,CLIENT_CODE!K:K,0))</f>
        <v>0</v>
      </c>
      <c r="P228">
        <f>_xlfn.XLOOKUP(B228,CRN!G:G,CRN!P:P,"")</f>
        <v>0</v>
      </c>
      <c r="Q228">
        <f>IF(P228=0,0,_xlfn.XLOOKUP(C228,CLIENT_CODE!B:B,CLIENT_CODE!L:L,0))</f>
        <v>0</v>
      </c>
      <c r="R228">
        <f>_xlfn.XLOOKUP(B228,CRN!G:G,CRN!Q:Q,"")</f>
        <v>0</v>
      </c>
      <c r="S228">
        <f>IF(R228=0,0,_xlfn.XLOOKUP(C228,CLIENT_CODE!B:B,CLIENT_CODE!M:M,0))</f>
        <v>0</v>
      </c>
      <c r="T228">
        <f>_xlfn.XLOOKUP(B228,CRN!G:G,CRN!R:R,"")</f>
        <v>0</v>
      </c>
      <c r="U228">
        <f>IF(T228=0,0,_xlfn.XLOOKUP(C228,CLIENT_CODE!B:B,CLIENT_CODE!N:N,0))</f>
        <v>0</v>
      </c>
      <c r="V228">
        <f>_xlfn.XLOOKUP(B228,CRN!G:G,CRN!S:S,"")</f>
        <v>0</v>
      </c>
      <c r="W228">
        <f>IF(V228=0,0,_xlfn.XLOOKUP(C228,CLIENT_CODE!B:B,CLIENT_CODE!O:O,0))</f>
        <v>0</v>
      </c>
      <c r="X228">
        <f>_xlfn.XLOOKUP(B228,CRN!G:G,CRN!T:T,"")</f>
        <v>0</v>
      </c>
      <c r="Y228">
        <f>IF(X228=0,0,_xlfn.XLOOKUP(C228,CLIENT_CODE!B:B,CLIENT_CODE!P:P,0))</f>
        <v>0</v>
      </c>
      <c r="Z228">
        <f>_xlfn.XLOOKUP(B228,CRN!G:G,CRN!U:U,"")</f>
        <v>0</v>
      </c>
      <c r="AA228">
        <f>IF(X228=0,0,_xlfn.XLOOKUP(C228,CLIENT_CODE!B:B,CLIENT_CODE!P:P,0))</f>
        <v>0</v>
      </c>
      <c r="AB228">
        <f>_xlfn.XLOOKUP(B228,CRN!G:G,CRN!V:V,"")</f>
        <v>0</v>
      </c>
      <c r="AC228">
        <f>IF(AB228=0,0,_xlfn.XLOOKUP(C228,CLIENT_CODE!B:B,CLIENT_CODE!R:R,0))</f>
        <v>0</v>
      </c>
      <c r="AD228">
        <f t="shared" si="3"/>
        <v>0</v>
      </c>
    </row>
    <row r="229" spans="1:30">
      <c r="A229" s="42">
        <v>228</v>
      </c>
      <c r="E229">
        <f>IF(D229=0,0,_xlfn.XLOOKUP(C229,CLIENT_CODE!B:B,CLIENT_CODE!F:F,0))</f>
        <v>0</v>
      </c>
      <c r="F229">
        <f>_xlfn.XLOOKUP(B229,CRN!G:G,CRN!K:K,"")</f>
        <v>0</v>
      </c>
      <c r="G229">
        <f>IF(F229=0,0,_xlfn.XLOOKUP(C229,CLIENT_CODE!B:B,CLIENT_CODE!G:G,0))</f>
        <v>0</v>
      </c>
      <c r="H229">
        <f>_xlfn.XLOOKUP(B229,CRN!G:G,CRN!L:L,"")</f>
        <v>0</v>
      </c>
      <c r="I229">
        <f>IF(H229=0,0,_xlfn.XLOOKUP(C229,CLIENT_CODE!B:B,CLIENT_CODE!H:H,0))</f>
        <v>0</v>
      </c>
      <c r="J229">
        <f>_xlfn.XLOOKUP(B229,CRN!G:G,CRN!M:M,"")</f>
        <v>0</v>
      </c>
      <c r="K229">
        <f>IF(J229=0,0,_xlfn.XLOOKUP(C229,CLIENT_CODE!B:B,CLIENT_CODE!I:I,0))</f>
        <v>0</v>
      </c>
      <c r="L229">
        <f>_xlfn.XLOOKUP(B229,CRN!G:G,CRN!N:N,"")</f>
        <v>0</v>
      </c>
      <c r="M229">
        <f>IF(L229=0,0,_xlfn.XLOOKUP(C229,CLIENT_CODE!B:B,CLIENT_CODE!J:J,0))</f>
        <v>0</v>
      </c>
      <c r="N229">
        <f>_xlfn.XLOOKUP(B229,CRN!G:G,CRN!O:O,"")</f>
        <v>0</v>
      </c>
      <c r="O229">
        <f>IF(N229=0,0,_xlfn.XLOOKUP(C229,CLIENT_CODE!B:B,CLIENT_CODE!K:K,0))</f>
        <v>0</v>
      </c>
      <c r="P229">
        <f>_xlfn.XLOOKUP(B229,CRN!G:G,CRN!P:P,"")</f>
        <v>0</v>
      </c>
      <c r="Q229">
        <f>IF(P229=0,0,_xlfn.XLOOKUP(C229,CLIENT_CODE!B:B,CLIENT_CODE!L:L,0))</f>
        <v>0</v>
      </c>
      <c r="R229">
        <f>_xlfn.XLOOKUP(B229,CRN!G:G,CRN!Q:Q,"")</f>
        <v>0</v>
      </c>
      <c r="S229">
        <f>IF(R229=0,0,_xlfn.XLOOKUP(C229,CLIENT_CODE!B:B,CLIENT_CODE!M:M,0))</f>
        <v>0</v>
      </c>
      <c r="T229">
        <f>_xlfn.XLOOKUP(B229,CRN!G:G,CRN!R:R,"")</f>
        <v>0</v>
      </c>
      <c r="U229">
        <f>IF(T229=0,0,_xlfn.XLOOKUP(C229,CLIENT_CODE!B:B,CLIENT_CODE!N:N,0))</f>
        <v>0</v>
      </c>
      <c r="V229">
        <f>_xlfn.XLOOKUP(B229,CRN!G:G,CRN!S:S,"")</f>
        <v>0</v>
      </c>
      <c r="W229">
        <f>IF(V229=0,0,_xlfn.XLOOKUP(C229,CLIENT_CODE!B:B,CLIENT_CODE!O:O,0))</f>
        <v>0</v>
      </c>
      <c r="X229">
        <f>_xlfn.XLOOKUP(B229,CRN!G:G,CRN!T:T,"")</f>
        <v>0</v>
      </c>
      <c r="Y229">
        <f>IF(X229=0,0,_xlfn.XLOOKUP(C229,CLIENT_CODE!B:B,CLIENT_CODE!P:P,0))</f>
        <v>0</v>
      </c>
      <c r="Z229">
        <f>_xlfn.XLOOKUP(B229,CRN!G:G,CRN!U:U,"")</f>
        <v>0</v>
      </c>
      <c r="AA229">
        <f>IF(X229=0,0,_xlfn.XLOOKUP(C229,CLIENT_CODE!B:B,CLIENT_CODE!P:P,0))</f>
        <v>0</v>
      </c>
      <c r="AB229">
        <f>_xlfn.XLOOKUP(B229,CRN!G:G,CRN!V:V,"")</f>
        <v>0</v>
      </c>
      <c r="AC229">
        <f>IF(AB229=0,0,_xlfn.XLOOKUP(C229,CLIENT_CODE!B:B,CLIENT_CODE!R:R,0))</f>
        <v>0</v>
      </c>
      <c r="AD229">
        <f t="shared" si="3"/>
        <v>0</v>
      </c>
    </row>
    <row r="230" spans="1:30">
      <c r="A230" s="42">
        <v>229</v>
      </c>
      <c r="E230">
        <f>IF(D230=0,0,_xlfn.XLOOKUP(C230,CLIENT_CODE!B:B,CLIENT_CODE!F:F,0))</f>
        <v>0</v>
      </c>
      <c r="F230">
        <f>_xlfn.XLOOKUP(B230,CRN!G:G,CRN!K:K,"")</f>
        <v>0</v>
      </c>
      <c r="G230">
        <f>IF(F230=0,0,_xlfn.XLOOKUP(C230,CLIENT_CODE!B:B,CLIENT_CODE!G:G,0))</f>
        <v>0</v>
      </c>
      <c r="H230">
        <f>_xlfn.XLOOKUP(B230,CRN!G:G,CRN!L:L,"")</f>
        <v>0</v>
      </c>
      <c r="I230">
        <f>IF(H230=0,0,_xlfn.XLOOKUP(C230,CLIENT_CODE!B:B,CLIENT_CODE!H:H,0))</f>
        <v>0</v>
      </c>
      <c r="J230">
        <f>_xlfn.XLOOKUP(B230,CRN!G:G,CRN!M:M,"")</f>
        <v>0</v>
      </c>
      <c r="K230">
        <f>IF(J230=0,0,_xlfn.XLOOKUP(C230,CLIENT_CODE!B:B,CLIENT_CODE!I:I,0))</f>
        <v>0</v>
      </c>
      <c r="L230">
        <f>_xlfn.XLOOKUP(B230,CRN!G:G,CRN!N:N,"")</f>
        <v>0</v>
      </c>
      <c r="M230">
        <f>IF(L230=0,0,_xlfn.XLOOKUP(C230,CLIENT_CODE!B:B,CLIENT_CODE!J:J,0))</f>
        <v>0</v>
      </c>
      <c r="N230">
        <f>_xlfn.XLOOKUP(B230,CRN!G:G,CRN!O:O,"")</f>
        <v>0</v>
      </c>
      <c r="O230">
        <f>IF(N230=0,0,_xlfn.XLOOKUP(C230,CLIENT_CODE!B:B,CLIENT_CODE!K:K,0))</f>
        <v>0</v>
      </c>
      <c r="P230">
        <f>_xlfn.XLOOKUP(B230,CRN!G:G,CRN!P:P,"")</f>
        <v>0</v>
      </c>
      <c r="Q230">
        <f>IF(P230=0,0,_xlfn.XLOOKUP(C230,CLIENT_CODE!B:B,CLIENT_CODE!L:L,0))</f>
        <v>0</v>
      </c>
      <c r="R230">
        <f>_xlfn.XLOOKUP(B230,CRN!G:G,CRN!Q:Q,"")</f>
        <v>0</v>
      </c>
      <c r="S230">
        <f>IF(R230=0,0,_xlfn.XLOOKUP(C230,CLIENT_CODE!B:B,CLIENT_CODE!M:M,0))</f>
        <v>0</v>
      </c>
      <c r="T230">
        <f>_xlfn.XLOOKUP(B230,CRN!G:G,CRN!R:R,"")</f>
        <v>0</v>
      </c>
      <c r="U230">
        <f>IF(T230=0,0,_xlfn.XLOOKUP(C230,CLIENT_CODE!B:B,CLIENT_CODE!N:N,0))</f>
        <v>0</v>
      </c>
      <c r="V230">
        <f>_xlfn.XLOOKUP(B230,CRN!G:G,CRN!S:S,"")</f>
        <v>0</v>
      </c>
      <c r="W230">
        <f>IF(V230=0,0,_xlfn.XLOOKUP(C230,CLIENT_CODE!B:B,CLIENT_CODE!O:O,0))</f>
        <v>0</v>
      </c>
      <c r="X230">
        <f>_xlfn.XLOOKUP(B230,CRN!G:G,CRN!T:T,"")</f>
        <v>0</v>
      </c>
      <c r="Y230">
        <f>IF(X230=0,0,_xlfn.XLOOKUP(C230,CLIENT_CODE!B:B,CLIENT_CODE!P:P,0))</f>
        <v>0</v>
      </c>
      <c r="Z230">
        <f>_xlfn.XLOOKUP(B230,CRN!G:G,CRN!U:U,"")</f>
        <v>0</v>
      </c>
      <c r="AA230">
        <f>IF(X230=0,0,_xlfn.XLOOKUP(C230,CLIENT_CODE!B:B,CLIENT_CODE!P:P,0))</f>
        <v>0</v>
      </c>
      <c r="AB230">
        <f>_xlfn.XLOOKUP(B230,CRN!G:G,CRN!V:V,"")</f>
        <v>0</v>
      </c>
      <c r="AC230">
        <f>IF(AB230=0,0,_xlfn.XLOOKUP(C230,CLIENT_CODE!B:B,CLIENT_CODE!R:R,0))</f>
        <v>0</v>
      </c>
      <c r="AD230">
        <f t="shared" si="3"/>
        <v>0</v>
      </c>
    </row>
    <row r="231" spans="1:30">
      <c r="A231" s="42">
        <v>230</v>
      </c>
      <c r="E231">
        <f>IF(D231=0,0,_xlfn.XLOOKUP(C231,CLIENT_CODE!B:B,CLIENT_CODE!F:F,0))</f>
        <v>0</v>
      </c>
      <c r="F231">
        <f>_xlfn.XLOOKUP(B231,CRN!G:G,CRN!K:K,"")</f>
        <v>0</v>
      </c>
      <c r="G231">
        <f>IF(F231=0,0,_xlfn.XLOOKUP(C231,CLIENT_CODE!B:B,CLIENT_CODE!G:G,0))</f>
        <v>0</v>
      </c>
      <c r="H231">
        <f>_xlfn.XLOOKUP(B231,CRN!G:G,CRN!L:L,"")</f>
        <v>0</v>
      </c>
      <c r="I231">
        <f>IF(H231=0,0,_xlfn.XLOOKUP(C231,CLIENT_CODE!B:B,CLIENT_CODE!H:H,0))</f>
        <v>0</v>
      </c>
      <c r="J231">
        <f>_xlfn.XLOOKUP(B231,CRN!G:G,CRN!M:M,"")</f>
        <v>0</v>
      </c>
      <c r="K231">
        <f>IF(J231=0,0,_xlfn.XLOOKUP(C231,CLIENT_CODE!B:B,CLIENT_CODE!I:I,0))</f>
        <v>0</v>
      </c>
      <c r="L231">
        <f>_xlfn.XLOOKUP(B231,CRN!G:G,CRN!N:N,"")</f>
        <v>0</v>
      </c>
      <c r="M231">
        <f>IF(L231=0,0,_xlfn.XLOOKUP(C231,CLIENT_CODE!B:B,CLIENT_CODE!J:J,0))</f>
        <v>0</v>
      </c>
      <c r="N231">
        <f>_xlfn.XLOOKUP(B231,CRN!G:G,CRN!O:O,"")</f>
        <v>0</v>
      </c>
      <c r="O231">
        <f>IF(N231=0,0,_xlfn.XLOOKUP(C231,CLIENT_CODE!B:B,CLIENT_CODE!K:K,0))</f>
        <v>0</v>
      </c>
      <c r="P231">
        <f>_xlfn.XLOOKUP(B231,CRN!G:G,CRN!P:P,"")</f>
        <v>0</v>
      </c>
      <c r="Q231">
        <f>IF(P231=0,0,_xlfn.XLOOKUP(C231,CLIENT_CODE!B:B,CLIENT_CODE!L:L,0))</f>
        <v>0</v>
      </c>
      <c r="R231">
        <f>_xlfn.XLOOKUP(B231,CRN!G:G,CRN!Q:Q,"")</f>
        <v>0</v>
      </c>
      <c r="S231">
        <f>IF(R231=0,0,_xlfn.XLOOKUP(C231,CLIENT_CODE!B:B,CLIENT_CODE!M:M,0))</f>
        <v>0</v>
      </c>
      <c r="T231">
        <f>_xlfn.XLOOKUP(B231,CRN!G:G,CRN!R:R,"")</f>
        <v>0</v>
      </c>
      <c r="U231">
        <f>IF(T231=0,0,_xlfn.XLOOKUP(C231,CLIENT_CODE!B:B,CLIENT_CODE!N:N,0))</f>
        <v>0</v>
      </c>
      <c r="V231">
        <f>_xlfn.XLOOKUP(B231,CRN!G:G,CRN!S:S,"")</f>
        <v>0</v>
      </c>
      <c r="W231">
        <f>IF(V231=0,0,_xlfn.XLOOKUP(C231,CLIENT_CODE!B:B,CLIENT_CODE!O:O,0))</f>
        <v>0</v>
      </c>
      <c r="X231">
        <f>_xlfn.XLOOKUP(B231,CRN!G:G,CRN!T:T,"")</f>
        <v>0</v>
      </c>
      <c r="Y231">
        <f>IF(X231=0,0,_xlfn.XLOOKUP(C231,CLIENT_CODE!B:B,CLIENT_CODE!P:P,0))</f>
        <v>0</v>
      </c>
      <c r="Z231">
        <f>_xlfn.XLOOKUP(B231,CRN!G:G,CRN!U:U,"")</f>
        <v>0</v>
      </c>
      <c r="AA231">
        <f>IF(X231=0,0,_xlfn.XLOOKUP(C231,CLIENT_CODE!B:B,CLIENT_CODE!P:P,0))</f>
        <v>0</v>
      </c>
      <c r="AB231">
        <f>_xlfn.XLOOKUP(B231,CRN!G:G,CRN!V:V,"")</f>
        <v>0</v>
      </c>
      <c r="AC231">
        <f>IF(AB231=0,0,_xlfn.XLOOKUP(C231,CLIENT_CODE!B:B,CLIENT_CODE!R:R,0))</f>
        <v>0</v>
      </c>
      <c r="AD231">
        <f t="shared" si="3"/>
        <v>0</v>
      </c>
    </row>
    <row r="232" spans="1:30">
      <c r="A232" s="42">
        <v>231</v>
      </c>
      <c r="E232">
        <f>IF(D232=0,0,_xlfn.XLOOKUP(C232,CLIENT_CODE!B:B,CLIENT_CODE!F:F,0))</f>
        <v>0</v>
      </c>
      <c r="F232">
        <f>_xlfn.XLOOKUP(B232,CRN!G:G,CRN!K:K,"")</f>
        <v>0</v>
      </c>
      <c r="G232">
        <f>IF(F232=0,0,_xlfn.XLOOKUP(C232,CLIENT_CODE!B:B,CLIENT_CODE!G:G,0))</f>
        <v>0</v>
      </c>
      <c r="H232">
        <f>_xlfn.XLOOKUP(B232,CRN!G:G,CRN!L:L,"")</f>
        <v>0</v>
      </c>
      <c r="I232">
        <f>IF(H232=0,0,_xlfn.XLOOKUP(C232,CLIENT_CODE!B:B,CLIENT_CODE!H:H,0))</f>
        <v>0</v>
      </c>
      <c r="J232">
        <f>_xlfn.XLOOKUP(B232,CRN!G:G,CRN!M:M,"")</f>
        <v>0</v>
      </c>
      <c r="K232">
        <f>IF(J232=0,0,_xlfn.XLOOKUP(C232,CLIENT_CODE!B:B,CLIENT_CODE!I:I,0))</f>
        <v>0</v>
      </c>
      <c r="L232">
        <f>_xlfn.XLOOKUP(B232,CRN!G:G,CRN!N:N,"")</f>
        <v>0</v>
      </c>
      <c r="M232">
        <f>IF(L232=0,0,_xlfn.XLOOKUP(C232,CLIENT_CODE!B:B,CLIENT_CODE!J:J,0))</f>
        <v>0</v>
      </c>
      <c r="N232">
        <f>_xlfn.XLOOKUP(B232,CRN!G:G,CRN!O:O,"")</f>
        <v>0</v>
      </c>
      <c r="O232">
        <f>IF(N232=0,0,_xlfn.XLOOKUP(C232,CLIENT_CODE!B:B,CLIENT_CODE!K:K,0))</f>
        <v>0</v>
      </c>
      <c r="P232">
        <f>_xlfn.XLOOKUP(B232,CRN!G:G,CRN!P:P,"")</f>
        <v>0</v>
      </c>
      <c r="Q232">
        <f>IF(P232=0,0,_xlfn.XLOOKUP(C232,CLIENT_CODE!B:B,CLIENT_CODE!L:L,0))</f>
        <v>0</v>
      </c>
      <c r="R232">
        <f>_xlfn.XLOOKUP(B232,CRN!G:G,CRN!Q:Q,"")</f>
        <v>0</v>
      </c>
      <c r="S232">
        <f>IF(R232=0,0,_xlfn.XLOOKUP(C232,CLIENT_CODE!B:B,CLIENT_CODE!M:M,0))</f>
        <v>0</v>
      </c>
      <c r="T232">
        <f>_xlfn.XLOOKUP(B232,CRN!G:G,CRN!R:R,"")</f>
        <v>0</v>
      </c>
      <c r="U232">
        <f>IF(T232=0,0,_xlfn.XLOOKUP(C232,CLIENT_CODE!B:B,CLIENT_CODE!N:N,0))</f>
        <v>0</v>
      </c>
      <c r="V232">
        <f>_xlfn.XLOOKUP(B232,CRN!G:G,CRN!S:S,"")</f>
        <v>0</v>
      </c>
      <c r="W232">
        <f>IF(V232=0,0,_xlfn.XLOOKUP(C232,CLIENT_CODE!B:B,CLIENT_CODE!O:O,0))</f>
        <v>0</v>
      </c>
      <c r="X232">
        <f>_xlfn.XLOOKUP(B232,CRN!G:G,CRN!T:T,"")</f>
        <v>0</v>
      </c>
      <c r="Y232">
        <f>IF(X232=0,0,_xlfn.XLOOKUP(C232,CLIENT_CODE!B:B,CLIENT_CODE!P:P,0))</f>
        <v>0</v>
      </c>
      <c r="Z232">
        <f>_xlfn.XLOOKUP(B232,CRN!G:G,CRN!U:U,"")</f>
        <v>0</v>
      </c>
      <c r="AA232">
        <f>IF(X232=0,0,_xlfn.XLOOKUP(C232,CLIENT_CODE!B:B,CLIENT_CODE!P:P,0))</f>
        <v>0</v>
      </c>
      <c r="AB232">
        <f>_xlfn.XLOOKUP(B232,CRN!G:G,CRN!V:V,"")</f>
        <v>0</v>
      </c>
      <c r="AC232">
        <f>IF(AB232=0,0,_xlfn.XLOOKUP(C232,CLIENT_CODE!B:B,CLIENT_CODE!R:R,0))</f>
        <v>0</v>
      </c>
      <c r="AD232">
        <f t="shared" si="3"/>
        <v>0</v>
      </c>
    </row>
    <row r="233" spans="1:30">
      <c r="A233" s="42">
        <v>232</v>
      </c>
      <c r="E233">
        <f>IF(D233=0,0,_xlfn.XLOOKUP(C233,CLIENT_CODE!B:B,CLIENT_CODE!F:F,0))</f>
        <v>0</v>
      </c>
      <c r="F233">
        <f>_xlfn.XLOOKUP(B233,CRN!G:G,CRN!K:K,"")</f>
        <v>0</v>
      </c>
      <c r="G233">
        <f>IF(F233=0,0,_xlfn.XLOOKUP(C233,CLIENT_CODE!B:B,CLIENT_CODE!G:G,0))</f>
        <v>0</v>
      </c>
      <c r="H233">
        <f>_xlfn.XLOOKUP(B233,CRN!G:G,CRN!L:L,"")</f>
        <v>0</v>
      </c>
      <c r="I233">
        <f>IF(H233=0,0,_xlfn.XLOOKUP(C233,CLIENT_CODE!B:B,CLIENT_CODE!H:H,0))</f>
        <v>0</v>
      </c>
      <c r="J233">
        <f>_xlfn.XLOOKUP(B233,CRN!G:G,CRN!M:M,"")</f>
        <v>0</v>
      </c>
      <c r="K233">
        <f>IF(J233=0,0,_xlfn.XLOOKUP(C233,CLIENT_CODE!B:B,CLIENT_CODE!I:I,0))</f>
        <v>0</v>
      </c>
      <c r="L233">
        <f>_xlfn.XLOOKUP(B233,CRN!G:G,CRN!N:N,"")</f>
        <v>0</v>
      </c>
      <c r="M233">
        <f>IF(L233=0,0,_xlfn.XLOOKUP(C233,CLIENT_CODE!B:B,CLIENT_CODE!J:J,0))</f>
        <v>0</v>
      </c>
      <c r="N233">
        <f>_xlfn.XLOOKUP(B233,CRN!G:G,CRN!O:O,"")</f>
        <v>0</v>
      </c>
      <c r="O233">
        <f>IF(N233=0,0,_xlfn.XLOOKUP(C233,CLIENT_CODE!B:B,CLIENT_CODE!K:K,0))</f>
        <v>0</v>
      </c>
      <c r="P233">
        <f>_xlfn.XLOOKUP(B233,CRN!G:G,CRN!P:P,"")</f>
        <v>0</v>
      </c>
      <c r="Q233">
        <f>IF(P233=0,0,_xlfn.XLOOKUP(C233,CLIENT_CODE!B:B,CLIENT_CODE!L:L,0))</f>
        <v>0</v>
      </c>
      <c r="R233">
        <f>_xlfn.XLOOKUP(B233,CRN!G:G,CRN!Q:Q,"")</f>
        <v>0</v>
      </c>
      <c r="S233">
        <f>IF(R233=0,0,_xlfn.XLOOKUP(C233,CLIENT_CODE!B:B,CLIENT_CODE!M:M,0))</f>
        <v>0</v>
      </c>
      <c r="T233">
        <f>_xlfn.XLOOKUP(B233,CRN!G:G,CRN!R:R,"")</f>
        <v>0</v>
      </c>
      <c r="U233">
        <f>IF(T233=0,0,_xlfn.XLOOKUP(C233,CLIENT_CODE!B:B,CLIENT_CODE!N:N,0))</f>
        <v>0</v>
      </c>
      <c r="V233">
        <f>_xlfn.XLOOKUP(B233,CRN!G:G,CRN!S:S,"")</f>
        <v>0</v>
      </c>
      <c r="W233">
        <f>IF(V233=0,0,_xlfn.XLOOKUP(C233,CLIENT_CODE!B:B,CLIENT_CODE!O:O,0))</f>
        <v>0</v>
      </c>
      <c r="X233">
        <f>_xlfn.XLOOKUP(B233,CRN!G:G,CRN!T:T,"")</f>
        <v>0</v>
      </c>
      <c r="Y233">
        <f>IF(X233=0,0,_xlfn.XLOOKUP(C233,CLIENT_CODE!B:B,CLIENT_CODE!P:P,0))</f>
        <v>0</v>
      </c>
      <c r="Z233">
        <f>_xlfn.XLOOKUP(B233,CRN!G:G,CRN!U:U,"")</f>
        <v>0</v>
      </c>
      <c r="AA233">
        <f>IF(X233=0,0,_xlfn.XLOOKUP(C233,CLIENT_CODE!B:B,CLIENT_CODE!P:P,0))</f>
        <v>0</v>
      </c>
      <c r="AB233">
        <f>_xlfn.XLOOKUP(B233,CRN!G:G,CRN!V:V,"")</f>
        <v>0</v>
      </c>
      <c r="AC233">
        <f>IF(AB233=0,0,_xlfn.XLOOKUP(C233,CLIENT_CODE!B:B,CLIENT_CODE!R:R,0))</f>
        <v>0</v>
      </c>
      <c r="AD233">
        <f t="shared" si="3"/>
        <v>0</v>
      </c>
    </row>
    <row r="234" spans="1:30">
      <c r="A234" s="42">
        <v>233</v>
      </c>
      <c r="E234">
        <f>IF(D234=0,0,_xlfn.XLOOKUP(C234,CLIENT_CODE!B:B,CLIENT_CODE!F:F,0))</f>
        <v>0</v>
      </c>
      <c r="F234">
        <f>_xlfn.XLOOKUP(B234,CRN!G:G,CRN!K:K,"")</f>
        <v>0</v>
      </c>
      <c r="G234">
        <f>IF(F234=0,0,_xlfn.XLOOKUP(C234,CLIENT_CODE!B:B,CLIENT_CODE!G:G,0))</f>
        <v>0</v>
      </c>
      <c r="H234">
        <f>_xlfn.XLOOKUP(B234,CRN!G:G,CRN!L:L,"")</f>
        <v>0</v>
      </c>
      <c r="I234">
        <f>IF(H234=0,0,_xlfn.XLOOKUP(C234,CLIENT_CODE!B:B,CLIENT_CODE!H:H,0))</f>
        <v>0</v>
      </c>
      <c r="J234">
        <f>_xlfn.XLOOKUP(B234,CRN!G:G,CRN!M:M,"")</f>
        <v>0</v>
      </c>
      <c r="K234">
        <f>IF(J234=0,0,_xlfn.XLOOKUP(C234,CLIENT_CODE!B:B,CLIENT_CODE!I:I,0))</f>
        <v>0</v>
      </c>
      <c r="L234">
        <f>_xlfn.XLOOKUP(B234,CRN!G:G,CRN!N:N,"")</f>
        <v>0</v>
      </c>
      <c r="M234">
        <f>IF(L234=0,0,_xlfn.XLOOKUP(C234,CLIENT_CODE!B:B,CLIENT_CODE!J:J,0))</f>
        <v>0</v>
      </c>
      <c r="N234">
        <f>_xlfn.XLOOKUP(B234,CRN!G:G,CRN!O:O,"")</f>
        <v>0</v>
      </c>
      <c r="O234">
        <f>IF(N234=0,0,_xlfn.XLOOKUP(C234,CLIENT_CODE!B:B,CLIENT_CODE!K:K,0))</f>
        <v>0</v>
      </c>
      <c r="P234">
        <f>_xlfn.XLOOKUP(B234,CRN!G:G,CRN!P:P,"")</f>
        <v>0</v>
      </c>
      <c r="Q234">
        <f>IF(P234=0,0,_xlfn.XLOOKUP(C234,CLIENT_CODE!B:B,CLIENT_CODE!L:L,0))</f>
        <v>0</v>
      </c>
      <c r="R234">
        <f>_xlfn.XLOOKUP(B234,CRN!G:G,CRN!Q:Q,"")</f>
        <v>0</v>
      </c>
      <c r="S234">
        <f>IF(R234=0,0,_xlfn.XLOOKUP(C234,CLIENT_CODE!B:B,CLIENT_CODE!M:M,0))</f>
        <v>0</v>
      </c>
      <c r="T234">
        <f>_xlfn.XLOOKUP(B234,CRN!G:G,CRN!R:R,"")</f>
        <v>0</v>
      </c>
      <c r="U234">
        <f>IF(T234=0,0,_xlfn.XLOOKUP(C234,CLIENT_CODE!B:B,CLIENT_CODE!N:N,0))</f>
        <v>0</v>
      </c>
      <c r="V234">
        <f>_xlfn.XLOOKUP(B234,CRN!G:G,CRN!S:S,"")</f>
        <v>0</v>
      </c>
      <c r="W234">
        <f>IF(V234=0,0,_xlfn.XLOOKUP(C234,CLIENT_CODE!B:B,CLIENT_CODE!O:O,0))</f>
        <v>0</v>
      </c>
      <c r="X234">
        <f>_xlfn.XLOOKUP(B234,CRN!G:G,CRN!T:T,"")</f>
        <v>0</v>
      </c>
      <c r="Y234">
        <f>IF(X234=0,0,_xlfn.XLOOKUP(C234,CLIENT_CODE!B:B,CLIENT_CODE!P:P,0))</f>
        <v>0</v>
      </c>
      <c r="Z234">
        <f>_xlfn.XLOOKUP(B234,CRN!G:G,CRN!U:U,"")</f>
        <v>0</v>
      </c>
      <c r="AA234">
        <f>IF(X234=0,0,_xlfn.XLOOKUP(C234,CLIENT_CODE!B:B,CLIENT_CODE!P:P,0))</f>
        <v>0</v>
      </c>
      <c r="AB234">
        <f>_xlfn.XLOOKUP(B234,CRN!G:G,CRN!V:V,"")</f>
        <v>0</v>
      </c>
      <c r="AC234">
        <f>IF(AB234=0,0,_xlfn.XLOOKUP(C234,CLIENT_CODE!B:B,CLIENT_CODE!R:R,0))</f>
        <v>0</v>
      </c>
      <c r="AD234">
        <f t="shared" si="3"/>
        <v>0</v>
      </c>
    </row>
    <row r="235" spans="1:30">
      <c r="A235" s="42">
        <v>234</v>
      </c>
      <c r="E235">
        <f>IF(D235=0,0,_xlfn.XLOOKUP(C235,CLIENT_CODE!B:B,CLIENT_CODE!F:F,0))</f>
        <v>0</v>
      </c>
      <c r="F235">
        <f>_xlfn.XLOOKUP(B235,CRN!G:G,CRN!K:K,"")</f>
        <v>0</v>
      </c>
      <c r="G235">
        <f>IF(F235=0,0,_xlfn.XLOOKUP(C235,CLIENT_CODE!B:B,CLIENT_CODE!G:G,0))</f>
        <v>0</v>
      </c>
      <c r="H235">
        <f>_xlfn.XLOOKUP(B235,CRN!G:G,CRN!L:L,"")</f>
        <v>0</v>
      </c>
      <c r="I235">
        <f>IF(H235=0,0,_xlfn.XLOOKUP(C235,CLIENT_CODE!B:B,CLIENT_CODE!H:H,0))</f>
        <v>0</v>
      </c>
      <c r="J235">
        <f>_xlfn.XLOOKUP(B235,CRN!G:G,CRN!M:M,"")</f>
        <v>0</v>
      </c>
      <c r="K235">
        <f>IF(J235=0,0,_xlfn.XLOOKUP(C235,CLIENT_CODE!B:B,CLIENT_CODE!I:I,0))</f>
        <v>0</v>
      </c>
      <c r="L235">
        <f>_xlfn.XLOOKUP(B235,CRN!G:G,CRN!N:N,"")</f>
        <v>0</v>
      </c>
      <c r="M235">
        <f>IF(L235=0,0,_xlfn.XLOOKUP(C235,CLIENT_CODE!B:B,CLIENT_CODE!J:J,0))</f>
        <v>0</v>
      </c>
      <c r="N235">
        <f>_xlfn.XLOOKUP(B235,CRN!G:G,CRN!O:O,"")</f>
        <v>0</v>
      </c>
      <c r="O235">
        <f>IF(N235=0,0,_xlfn.XLOOKUP(C235,CLIENT_CODE!B:B,CLIENT_CODE!K:K,0))</f>
        <v>0</v>
      </c>
      <c r="P235">
        <f>_xlfn.XLOOKUP(B235,CRN!G:G,CRN!P:P,"")</f>
        <v>0</v>
      </c>
      <c r="Q235">
        <f>IF(P235=0,0,_xlfn.XLOOKUP(C235,CLIENT_CODE!B:B,CLIENT_CODE!L:L,0))</f>
        <v>0</v>
      </c>
      <c r="R235">
        <f>_xlfn.XLOOKUP(B235,CRN!G:G,CRN!Q:Q,"")</f>
        <v>0</v>
      </c>
      <c r="S235">
        <f>IF(R235=0,0,_xlfn.XLOOKUP(C235,CLIENT_CODE!B:B,CLIENT_CODE!M:M,0))</f>
        <v>0</v>
      </c>
      <c r="T235">
        <f>_xlfn.XLOOKUP(B235,CRN!G:G,CRN!R:R,"")</f>
        <v>0</v>
      </c>
      <c r="U235">
        <f>IF(T235=0,0,_xlfn.XLOOKUP(C235,CLIENT_CODE!B:B,CLIENT_CODE!N:N,0))</f>
        <v>0</v>
      </c>
      <c r="V235">
        <f>_xlfn.XLOOKUP(B235,CRN!G:G,CRN!S:S,"")</f>
        <v>0</v>
      </c>
      <c r="W235">
        <f>IF(V235=0,0,_xlfn.XLOOKUP(C235,CLIENT_CODE!B:B,CLIENT_CODE!O:O,0))</f>
        <v>0</v>
      </c>
      <c r="X235">
        <f>_xlfn.XLOOKUP(B235,CRN!G:G,CRN!T:T,"")</f>
        <v>0</v>
      </c>
      <c r="Y235">
        <f>IF(X235=0,0,_xlfn.XLOOKUP(C235,CLIENT_CODE!B:B,CLIENT_CODE!P:P,0))</f>
        <v>0</v>
      </c>
      <c r="Z235">
        <f>_xlfn.XLOOKUP(B235,CRN!G:G,CRN!U:U,"")</f>
        <v>0</v>
      </c>
      <c r="AA235">
        <f>IF(X235=0,0,_xlfn.XLOOKUP(C235,CLIENT_CODE!B:B,CLIENT_CODE!P:P,0))</f>
        <v>0</v>
      </c>
      <c r="AB235">
        <f>_xlfn.XLOOKUP(B235,CRN!G:G,CRN!V:V,"")</f>
        <v>0</v>
      </c>
      <c r="AC235">
        <f>IF(AB235=0,0,_xlfn.XLOOKUP(C235,CLIENT_CODE!B:B,CLIENT_CODE!R:R,0))</f>
        <v>0</v>
      </c>
      <c r="AD235">
        <f t="shared" si="3"/>
        <v>0</v>
      </c>
    </row>
    <row r="236" spans="1:30">
      <c r="A236" s="42">
        <v>235</v>
      </c>
      <c r="E236">
        <f>IF(D236=0,0,_xlfn.XLOOKUP(C236,CLIENT_CODE!B:B,CLIENT_CODE!F:F,0))</f>
        <v>0</v>
      </c>
      <c r="F236">
        <f>_xlfn.XLOOKUP(B236,CRN!G:G,CRN!K:K,"")</f>
        <v>0</v>
      </c>
      <c r="G236">
        <f>IF(F236=0,0,_xlfn.XLOOKUP(C236,CLIENT_CODE!B:B,CLIENT_CODE!G:G,0))</f>
        <v>0</v>
      </c>
      <c r="H236">
        <f>_xlfn.XLOOKUP(B236,CRN!G:G,CRN!L:L,"")</f>
        <v>0</v>
      </c>
      <c r="I236">
        <f>IF(H236=0,0,_xlfn.XLOOKUP(C236,CLIENT_CODE!B:B,CLIENT_CODE!H:H,0))</f>
        <v>0</v>
      </c>
      <c r="J236">
        <f>_xlfn.XLOOKUP(B236,CRN!G:G,CRN!M:M,"")</f>
        <v>0</v>
      </c>
      <c r="K236">
        <f>IF(J236=0,0,_xlfn.XLOOKUP(C236,CLIENT_CODE!B:B,CLIENT_CODE!I:I,0))</f>
        <v>0</v>
      </c>
      <c r="L236">
        <f>_xlfn.XLOOKUP(B236,CRN!G:G,CRN!N:N,"")</f>
        <v>0</v>
      </c>
      <c r="M236">
        <f>IF(L236=0,0,_xlfn.XLOOKUP(C236,CLIENT_CODE!B:B,CLIENT_CODE!J:J,0))</f>
        <v>0</v>
      </c>
      <c r="N236">
        <f>_xlfn.XLOOKUP(B236,CRN!G:G,CRN!O:O,"")</f>
        <v>0</v>
      </c>
      <c r="O236">
        <f>IF(N236=0,0,_xlfn.XLOOKUP(C236,CLIENT_CODE!B:B,CLIENT_CODE!K:K,0))</f>
        <v>0</v>
      </c>
      <c r="P236">
        <f>_xlfn.XLOOKUP(B236,CRN!G:G,CRN!P:P,"")</f>
        <v>0</v>
      </c>
      <c r="Q236">
        <f>IF(P236=0,0,_xlfn.XLOOKUP(C236,CLIENT_CODE!B:B,CLIENT_CODE!L:L,0))</f>
        <v>0</v>
      </c>
      <c r="R236">
        <f>_xlfn.XLOOKUP(B236,CRN!G:G,CRN!Q:Q,"")</f>
        <v>0</v>
      </c>
      <c r="S236">
        <f>IF(R236=0,0,_xlfn.XLOOKUP(C236,CLIENT_CODE!B:B,CLIENT_CODE!M:M,0))</f>
        <v>0</v>
      </c>
      <c r="T236">
        <f>_xlfn.XLOOKUP(B236,CRN!G:G,CRN!R:R,"")</f>
        <v>0</v>
      </c>
      <c r="U236">
        <f>IF(T236=0,0,_xlfn.XLOOKUP(C236,CLIENT_CODE!B:B,CLIENT_CODE!N:N,0))</f>
        <v>0</v>
      </c>
      <c r="V236">
        <f>_xlfn.XLOOKUP(B236,CRN!G:G,CRN!S:S,"")</f>
        <v>0</v>
      </c>
      <c r="W236">
        <f>IF(V236=0,0,_xlfn.XLOOKUP(C236,CLIENT_CODE!B:B,CLIENT_CODE!O:O,0))</f>
        <v>0</v>
      </c>
      <c r="X236">
        <f>_xlfn.XLOOKUP(B236,CRN!G:G,CRN!T:T,"")</f>
        <v>0</v>
      </c>
      <c r="Y236">
        <f>IF(X236=0,0,_xlfn.XLOOKUP(C236,CLIENT_CODE!B:B,CLIENT_CODE!P:P,0))</f>
        <v>0</v>
      </c>
      <c r="Z236">
        <f>_xlfn.XLOOKUP(B236,CRN!G:G,CRN!U:U,"")</f>
        <v>0</v>
      </c>
      <c r="AA236">
        <f>IF(X236=0,0,_xlfn.XLOOKUP(C236,CLIENT_CODE!B:B,CLIENT_CODE!P:P,0))</f>
        <v>0</v>
      </c>
      <c r="AB236">
        <f>_xlfn.XLOOKUP(B236,CRN!G:G,CRN!V:V,"")</f>
        <v>0</v>
      </c>
      <c r="AC236">
        <f>IF(AB236=0,0,_xlfn.XLOOKUP(C236,CLIENT_CODE!B:B,CLIENT_CODE!R:R,0))</f>
        <v>0</v>
      </c>
      <c r="AD236">
        <f t="shared" si="3"/>
        <v>0</v>
      </c>
    </row>
    <row r="237" spans="1:30">
      <c r="A237" s="42">
        <v>236</v>
      </c>
      <c r="E237">
        <f>IF(D237=0,0,_xlfn.XLOOKUP(C237,CLIENT_CODE!B:B,CLIENT_CODE!F:F,0))</f>
        <v>0</v>
      </c>
      <c r="F237">
        <f>_xlfn.XLOOKUP(B237,CRN!G:G,CRN!K:K,"")</f>
        <v>0</v>
      </c>
      <c r="G237">
        <f>IF(F237=0,0,_xlfn.XLOOKUP(C237,CLIENT_CODE!B:B,CLIENT_CODE!G:G,0))</f>
        <v>0</v>
      </c>
      <c r="H237">
        <f>_xlfn.XLOOKUP(B237,CRN!G:G,CRN!L:L,"")</f>
        <v>0</v>
      </c>
      <c r="I237">
        <f>IF(H237=0,0,_xlfn.XLOOKUP(C237,CLIENT_CODE!B:B,CLIENT_CODE!H:H,0))</f>
        <v>0</v>
      </c>
      <c r="J237">
        <f>_xlfn.XLOOKUP(B237,CRN!G:G,CRN!M:M,"")</f>
        <v>0</v>
      </c>
      <c r="K237">
        <f>IF(J237=0,0,_xlfn.XLOOKUP(C237,CLIENT_CODE!B:B,CLIENT_CODE!I:I,0))</f>
        <v>0</v>
      </c>
      <c r="L237">
        <f>_xlfn.XLOOKUP(B237,CRN!G:G,CRN!N:N,"")</f>
        <v>0</v>
      </c>
      <c r="M237">
        <f>IF(L237=0,0,_xlfn.XLOOKUP(C237,CLIENT_CODE!B:B,CLIENT_CODE!J:J,0))</f>
        <v>0</v>
      </c>
      <c r="N237">
        <f>_xlfn.XLOOKUP(B237,CRN!G:G,CRN!O:O,"")</f>
        <v>0</v>
      </c>
      <c r="O237">
        <f>IF(N237=0,0,_xlfn.XLOOKUP(C237,CLIENT_CODE!B:B,CLIENT_CODE!K:K,0))</f>
        <v>0</v>
      </c>
      <c r="P237">
        <f>_xlfn.XLOOKUP(B237,CRN!G:G,CRN!P:P,"")</f>
        <v>0</v>
      </c>
      <c r="Q237">
        <f>IF(P237=0,0,_xlfn.XLOOKUP(C237,CLIENT_CODE!B:B,CLIENT_CODE!L:L,0))</f>
        <v>0</v>
      </c>
      <c r="R237">
        <f>_xlfn.XLOOKUP(B237,CRN!G:G,CRN!Q:Q,"")</f>
        <v>0</v>
      </c>
      <c r="S237">
        <f>IF(R237=0,0,_xlfn.XLOOKUP(C237,CLIENT_CODE!B:B,CLIENT_CODE!M:M,0))</f>
        <v>0</v>
      </c>
      <c r="T237">
        <f>_xlfn.XLOOKUP(B237,CRN!G:G,CRN!R:R,"")</f>
        <v>0</v>
      </c>
      <c r="U237">
        <f>IF(T237=0,0,_xlfn.XLOOKUP(C237,CLIENT_CODE!B:B,CLIENT_CODE!N:N,0))</f>
        <v>0</v>
      </c>
      <c r="V237">
        <f>_xlfn.XLOOKUP(B237,CRN!G:G,CRN!S:S,"")</f>
        <v>0</v>
      </c>
      <c r="W237">
        <f>IF(V237=0,0,_xlfn.XLOOKUP(C237,CLIENT_CODE!B:B,CLIENT_CODE!O:O,0))</f>
        <v>0</v>
      </c>
      <c r="X237">
        <f>_xlfn.XLOOKUP(B237,CRN!G:G,CRN!T:T,"")</f>
        <v>0</v>
      </c>
      <c r="Y237">
        <f>IF(X237=0,0,_xlfn.XLOOKUP(C237,CLIENT_CODE!B:B,CLIENT_CODE!P:P,0))</f>
        <v>0</v>
      </c>
      <c r="Z237">
        <f>_xlfn.XLOOKUP(B237,CRN!G:G,CRN!U:U,"")</f>
        <v>0</v>
      </c>
      <c r="AA237">
        <f>IF(X237=0,0,_xlfn.XLOOKUP(C237,CLIENT_CODE!B:B,CLIENT_CODE!P:P,0))</f>
        <v>0</v>
      </c>
      <c r="AB237">
        <f>_xlfn.XLOOKUP(B237,CRN!G:G,CRN!V:V,"")</f>
        <v>0</v>
      </c>
      <c r="AC237">
        <f>IF(AB237=0,0,_xlfn.XLOOKUP(C237,CLIENT_CODE!B:B,CLIENT_CODE!R:R,0))</f>
        <v>0</v>
      </c>
      <c r="AD237">
        <f t="shared" si="3"/>
        <v>0</v>
      </c>
    </row>
    <row r="238" spans="1:30">
      <c r="A238" s="42">
        <v>237</v>
      </c>
      <c r="E238">
        <f>IF(D238=0,0,_xlfn.XLOOKUP(C238,CLIENT_CODE!B:B,CLIENT_CODE!F:F,0))</f>
        <v>0</v>
      </c>
      <c r="F238">
        <f>_xlfn.XLOOKUP(B238,CRN!G:G,CRN!K:K,"")</f>
        <v>0</v>
      </c>
      <c r="G238">
        <f>IF(F238=0,0,_xlfn.XLOOKUP(C238,CLIENT_CODE!B:B,CLIENT_CODE!G:G,0))</f>
        <v>0</v>
      </c>
      <c r="H238">
        <f>_xlfn.XLOOKUP(B238,CRN!G:G,CRN!L:L,"")</f>
        <v>0</v>
      </c>
      <c r="I238">
        <f>IF(H238=0,0,_xlfn.XLOOKUP(C238,CLIENT_CODE!B:B,CLIENT_CODE!H:H,0))</f>
        <v>0</v>
      </c>
      <c r="J238">
        <f>_xlfn.XLOOKUP(B238,CRN!G:G,CRN!M:M,"")</f>
        <v>0</v>
      </c>
      <c r="K238">
        <f>IF(J238=0,0,_xlfn.XLOOKUP(C238,CLIENT_CODE!B:B,CLIENT_CODE!I:I,0))</f>
        <v>0</v>
      </c>
      <c r="L238">
        <f>_xlfn.XLOOKUP(B238,CRN!G:G,CRN!N:N,"")</f>
        <v>0</v>
      </c>
      <c r="M238">
        <f>IF(L238=0,0,_xlfn.XLOOKUP(C238,CLIENT_CODE!B:B,CLIENT_CODE!J:J,0))</f>
        <v>0</v>
      </c>
      <c r="N238">
        <f>_xlfn.XLOOKUP(B238,CRN!G:G,CRN!O:O,"")</f>
        <v>0</v>
      </c>
      <c r="O238">
        <f>IF(N238=0,0,_xlfn.XLOOKUP(C238,CLIENT_CODE!B:B,CLIENT_CODE!K:K,0))</f>
        <v>0</v>
      </c>
      <c r="P238">
        <f>_xlfn.XLOOKUP(B238,CRN!G:G,CRN!P:P,"")</f>
        <v>0</v>
      </c>
      <c r="Q238">
        <f>IF(P238=0,0,_xlfn.XLOOKUP(C238,CLIENT_CODE!B:B,CLIENT_CODE!L:L,0))</f>
        <v>0</v>
      </c>
      <c r="R238">
        <f>_xlfn.XLOOKUP(B238,CRN!G:G,CRN!Q:Q,"")</f>
        <v>0</v>
      </c>
      <c r="S238">
        <f>IF(R238=0,0,_xlfn.XLOOKUP(C238,CLIENT_CODE!B:B,CLIENT_CODE!M:M,0))</f>
        <v>0</v>
      </c>
      <c r="T238">
        <f>_xlfn.XLOOKUP(B238,CRN!G:G,CRN!R:R,"")</f>
        <v>0</v>
      </c>
      <c r="U238">
        <f>IF(T238=0,0,_xlfn.XLOOKUP(C238,CLIENT_CODE!B:B,CLIENT_CODE!N:N,0))</f>
        <v>0</v>
      </c>
      <c r="V238">
        <f>_xlfn.XLOOKUP(B238,CRN!G:G,CRN!S:S,"")</f>
        <v>0</v>
      </c>
      <c r="W238">
        <f>IF(V238=0,0,_xlfn.XLOOKUP(C238,CLIENT_CODE!B:B,CLIENT_CODE!O:O,0))</f>
        <v>0</v>
      </c>
      <c r="X238">
        <f>_xlfn.XLOOKUP(B238,CRN!G:G,CRN!T:T,"")</f>
        <v>0</v>
      </c>
      <c r="Y238">
        <f>IF(X238=0,0,_xlfn.XLOOKUP(C238,CLIENT_CODE!B:B,CLIENT_CODE!P:P,0))</f>
        <v>0</v>
      </c>
      <c r="Z238">
        <f>_xlfn.XLOOKUP(B238,CRN!G:G,CRN!U:U,"")</f>
        <v>0</v>
      </c>
      <c r="AA238">
        <f>IF(X238=0,0,_xlfn.XLOOKUP(C238,CLIENT_CODE!B:B,CLIENT_CODE!P:P,0))</f>
        <v>0</v>
      </c>
      <c r="AB238">
        <f>_xlfn.XLOOKUP(B238,CRN!G:G,CRN!V:V,"")</f>
        <v>0</v>
      </c>
      <c r="AC238">
        <f>IF(AB238=0,0,_xlfn.XLOOKUP(C238,CLIENT_CODE!B:B,CLIENT_CODE!R:R,0))</f>
        <v>0</v>
      </c>
      <c r="AD238">
        <f t="shared" si="3"/>
        <v>0</v>
      </c>
    </row>
    <row r="239" spans="1:30">
      <c r="A239" s="42">
        <v>238</v>
      </c>
      <c r="E239">
        <f>IF(D239=0,0,_xlfn.XLOOKUP(C239,CLIENT_CODE!B:B,CLIENT_CODE!F:F,0))</f>
        <v>0</v>
      </c>
      <c r="F239">
        <f>_xlfn.XLOOKUP(B239,CRN!G:G,CRN!K:K,"")</f>
        <v>0</v>
      </c>
      <c r="G239">
        <f>IF(F239=0,0,_xlfn.XLOOKUP(C239,CLIENT_CODE!B:B,CLIENT_CODE!G:G,0))</f>
        <v>0</v>
      </c>
      <c r="H239">
        <f>_xlfn.XLOOKUP(B239,CRN!G:G,CRN!L:L,"")</f>
        <v>0</v>
      </c>
      <c r="I239">
        <f>IF(H239=0,0,_xlfn.XLOOKUP(C239,CLIENT_CODE!B:B,CLIENT_CODE!H:H,0))</f>
        <v>0</v>
      </c>
      <c r="J239">
        <f>_xlfn.XLOOKUP(B239,CRN!G:G,CRN!M:M,"")</f>
        <v>0</v>
      </c>
      <c r="K239">
        <f>IF(J239=0,0,_xlfn.XLOOKUP(C239,CLIENT_CODE!B:B,CLIENT_CODE!I:I,0))</f>
        <v>0</v>
      </c>
      <c r="L239">
        <f>_xlfn.XLOOKUP(B239,CRN!G:G,CRN!N:N,"")</f>
        <v>0</v>
      </c>
      <c r="M239">
        <f>IF(L239=0,0,_xlfn.XLOOKUP(C239,CLIENT_CODE!B:B,CLIENT_CODE!J:J,0))</f>
        <v>0</v>
      </c>
      <c r="N239">
        <f>_xlfn.XLOOKUP(B239,CRN!G:G,CRN!O:O,"")</f>
        <v>0</v>
      </c>
      <c r="O239">
        <f>IF(N239=0,0,_xlfn.XLOOKUP(C239,CLIENT_CODE!B:B,CLIENT_CODE!K:K,0))</f>
        <v>0</v>
      </c>
      <c r="P239">
        <f>_xlfn.XLOOKUP(B239,CRN!G:G,CRN!P:P,"")</f>
        <v>0</v>
      </c>
      <c r="Q239">
        <f>IF(P239=0,0,_xlfn.XLOOKUP(C239,CLIENT_CODE!B:B,CLIENT_CODE!L:L,0))</f>
        <v>0</v>
      </c>
      <c r="R239">
        <f>_xlfn.XLOOKUP(B239,CRN!G:G,CRN!Q:Q,"")</f>
        <v>0</v>
      </c>
      <c r="S239">
        <f>IF(R239=0,0,_xlfn.XLOOKUP(C239,CLIENT_CODE!B:B,CLIENT_CODE!M:M,0))</f>
        <v>0</v>
      </c>
      <c r="T239">
        <f>_xlfn.XLOOKUP(B239,CRN!G:G,CRN!R:R,"")</f>
        <v>0</v>
      </c>
      <c r="U239">
        <f>IF(T239=0,0,_xlfn.XLOOKUP(C239,CLIENT_CODE!B:B,CLIENT_CODE!N:N,0))</f>
        <v>0</v>
      </c>
      <c r="V239">
        <f>_xlfn.XLOOKUP(B239,CRN!G:G,CRN!S:S,"")</f>
        <v>0</v>
      </c>
      <c r="W239">
        <f>IF(V239=0,0,_xlfn.XLOOKUP(C239,CLIENT_CODE!B:B,CLIENT_CODE!O:O,0))</f>
        <v>0</v>
      </c>
      <c r="X239">
        <f>_xlfn.XLOOKUP(B239,CRN!G:G,CRN!T:T,"")</f>
        <v>0</v>
      </c>
      <c r="Y239">
        <f>IF(X239=0,0,_xlfn.XLOOKUP(C239,CLIENT_CODE!B:B,CLIENT_CODE!P:P,0))</f>
        <v>0</v>
      </c>
      <c r="Z239">
        <f>_xlfn.XLOOKUP(B239,CRN!G:G,CRN!U:U,"")</f>
        <v>0</v>
      </c>
      <c r="AA239">
        <f>IF(X239=0,0,_xlfn.XLOOKUP(C239,CLIENT_CODE!B:B,CLIENT_CODE!P:P,0))</f>
        <v>0</v>
      </c>
      <c r="AB239">
        <f>_xlfn.XLOOKUP(B239,CRN!G:G,CRN!V:V,"")</f>
        <v>0</v>
      </c>
      <c r="AC239">
        <f>IF(AB239=0,0,_xlfn.XLOOKUP(C239,CLIENT_CODE!B:B,CLIENT_CODE!R:R,0))</f>
        <v>0</v>
      </c>
      <c r="AD239">
        <f t="shared" si="3"/>
        <v>0</v>
      </c>
    </row>
    <row r="240" spans="1:30">
      <c r="A240" s="42">
        <v>239</v>
      </c>
      <c r="E240">
        <f>IF(D240=0,0,_xlfn.XLOOKUP(C240,CLIENT_CODE!B:B,CLIENT_CODE!F:F,0))</f>
        <v>0</v>
      </c>
      <c r="F240">
        <f>_xlfn.XLOOKUP(B240,CRN!G:G,CRN!K:K,"")</f>
        <v>0</v>
      </c>
      <c r="G240">
        <f>IF(F240=0,0,_xlfn.XLOOKUP(C240,CLIENT_CODE!B:B,CLIENT_CODE!G:G,0))</f>
        <v>0</v>
      </c>
      <c r="H240">
        <f>_xlfn.XLOOKUP(B240,CRN!G:G,CRN!L:L,"")</f>
        <v>0</v>
      </c>
      <c r="I240">
        <f>IF(H240=0,0,_xlfn.XLOOKUP(C240,CLIENT_CODE!B:B,CLIENT_CODE!H:H,0))</f>
        <v>0</v>
      </c>
      <c r="J240">
        <f>_xlfn.XLOOKUP(B240,CRN!G:G,CRN!M:M,"")</f>
        <v>0</v>
      </c>
      <c r="K240">
        <f>IF(J240=0,0,_xlfn.XLOOKUP(C240,CLIENT_CODE!B:B,CLIENT_CODE!I:I,0))</f>
        <v>0</v>
      </c>
      <c r="L240">
        <f>_xlfn.XLOOKUP(B240,CRN!G:G,CRN!N:N,"")</f>
        <v>0</v>
      </c>
      <c r="M240">
        <f>IF(L240=0,0,_xlfn.XLOOKUP(C240,CLIENT_CODE!B:B,CLIENT_CODE!J:J,0))</f>
        <v>0</v>
      </c>
      <c r="N240">
        <f>_xlfn.XLOOKUP(B240,CRN!G:G,CRN!O:O,"")</f>
        <v>0</v>
      </c>
      <c r="O240">
        <f>IF(N240=0,0,_xlfn.XLOOKUP(C240,CLIENT_CODE!B:B,CLIENT_CODE!K:K,0))</f>
        <v>0</v>
      </c>
      <c r="P240">
        <f>_xlfn.XLOOKUP(B240,CRN!G:G,CRN!P:P,"")</f>
        <v>0</v>
      </c>
      <c r="Q240">
        <f>IF(P240=0,0,_xlfn.XLOOKUP(C240,CLIENT_CODE!B:B,CLIENT_CODE!L:L,0))</f>
        <v>0</v>
      </c>
      <c r="R240">
        <f>_xlfn.XLOOKUP(B240,CRN!G:G,CRN!Q:Q,"")</f>
        <v>0</v>
      </c>
      <c r="S240">
        <f>IF(R240=0,0,_xlfn.XLOOKUP(C240,CLIENT_CODE!B:B,CLIENT_CODE!M:M,0))</f>
        <v>0</v>
      </c>
      <c r="T240">
        <f>_xlfn.XLOOKUP(B240,CRN!G:G,CRN!R:R,"")</f>
        <v>0</v>
      </c>
      <c r="U240">
        <f>IF(T240=0,0,_xlfn.XLOOKUP(C240,CLIENT_CODE!B:B,CLIENT_CODE!N:N,0))</f>
        <v>0</v>
      </c>
      <c r="V240">
        <f>_xlfn.XLOOKUP(B240,CRN!G:G,CRN!S:S,"")</f>
        <v>0</v>
      </c>
      <c r="W240">
        <f>IF(V240=0,0,_xlfn.XLOOKUP(C240,CLIENT_CODE!B:B,CLIENT_CODE!O:O,0))</f>
        <v>0</v>
      </c>
      <c r="X240">
        <f>_xlfn.XLOOKUP(B240,CRN!G:G,CRN!T:T,"")</f>
        <v>0</v>
      </c>
      <c r="Y240">
        <f>IF(X240=0,0,_xlfn.XLOOKUP(C240,CLIENT_CODE!B:B,CLIENT_CODE!P:P,0))</f>
        <v>0</v>
      </c>
      <c r="Z240">
        <f>_xlfn.XLOOKUP(B240,CRN!G:G,CRN!U:U,"")</f>
        <v>0</v>
      </c>
      <c r="AA240">
        <f>IF(X240=0,0,_xlfn.XLOOKUP(C240,CLIENT_CODE!B:B,CLIENT_CODE!P:P,0))</f>
        <v>0</v>
      </c>
      <c r="AB240">
        <f>_xlfn.XLOOKUP(B240,CRN!G:G,CRN!V:V,"")</f>
        <v>0</v>
      </c>
      <c r="AC240">
        <f>IF(AB240=0,0,_xlfn.XLOOKUP(C240,CLIENT_CODE!B:B,CLIENT_CODE!R:R,0))</f>
        <v>0</v>
      </c>
      <c r="AD240">
        <f t="shared" si="3"/>
        <v>0</v>
      </c>
    </row>
    <row r="241" spans="1:30">
      <c r="A241" s="42">
        <v>240</v>
      </c>
      <c r="E241">
        <f>IF(D241=0,0,_xlfn.XLOOKUP(C241,CLIENT_CODE!B:B,CLIENT_CODE!F:F,0))</f>
        <v>0</v>
      </c>
      <c r="F241">
        <f>_xlfn.XLOOKUP(B241,CRN!G:G,CRN!K:K,"")</f>
        <v>0</v>
      </c>
      <c r="G241">
        <f>IF(F241=0,0,_xlfn.XLOOKUP(C241,CLIENT_CODE!B:B,CLIENT_CODE!G:G,0))</f>
        <v>0</v>
      </c>
      <c r="H241">
        <f>_xlfn.XLOOKUP(B241,CRN!G:G,CRN!L:L,"")</f>
        <v>0</v>
      </c>
      <c r="I241">
        <f>IF(H241=0,0,_xlfn.XLOOKUP(C241,CLIENT_CODE!B:B,CLIENT_CODE!H:H,0))</f>
        <v>0</v>
      </c>
      <c r="J241">
        <f>_xlfn.XLOOKUP(B241,CRN!G:G,CRN!M:M,"")</f>
        <v>0</v>
      </c>
      <c r="K241">
        <f>IF(J241=0,0,_xlfn.XLOOKUP(C241,CLIENT_CODE!B:B,CLIENT_CODE!I:I,0))</f>
        <v>0</v>
      </c>
      <c r="L241">
        <f>_xlfn.XLOOKUP(B241,CRN!G:G,CRN!N:N,"")</f>
        <v>0</v>
      </c>
      <c r="M241">
        <f>IF(L241=0,0,_xlfn.XLOOKUP(C241,CLIENT_CODE!B:B,CLIENT_CODE!J:J,0))</f>
        <v>0</v>
      </c>
      <c r="N241">
        <f>_xlfn.XLOOKUP(B241,CRN!G:G,CRN!O:O,"")</f>
        <v>0</v>
      </c>
      <c r="O241">
        <f>IF(N241=0,0,_xlfn.XLOOKUP(C241,CLIENT_CODE!B:B,CLIENT_CODE!K:K,0))</f>
        <v>0</v>
      </c>
      <c r="P241">
        <f>_xlfn.XLOOKUP(B241,CRN!G:G,CRN!P:P,"")</f>
        <v>0</v>
      </c>
      <c r="Q241">
        <f>IF(P241=0,0,_xlfn.XLOOKUP(C241,CLIENT_CODE!B:B,CLIENT_CODE!L:L,0))</f>
        <v>0</v>
      </c>
      <c r="R241">
        <f>_xlfn.XLOOKUP(B241,CRN!G:G,CRN!Q:Q,"")</f>
        <v>0</v>
      </c>
      <c r="S241">
        <f>IF(R241=0,0,_xlfn.XLOOKUP(C241,CLIENT_CODE!B:B,CLIENT_CODE!M:M,0))</f>
        <v>0</v>
      </c>
      <c r="T241">
        <f>_xlfn.XLOOKUP(B241,CRN!G:G,CRN!R:R,"")</f>
        <v>0</v>
      </c>
      <c r="U241">
        <f>IF(T241=0,0,_xlfn.XLOOKUP(C241,CLIENT_CODE!B:B,CLIENT_CODE!N:N,0))</f>
        <v>0</v>
      </c>
      <c r="V241">
        <f>_xlfn.XLOOKUP(B241,CRN!G:G,CRN!S:S,"")</f>
        <v>0</v>
      </c>
      <c r="W241">
        <f>IF(V241=0,0,_xlfn.XLOOKUP(C241,CLIENT_CODE!B:B,CLIENT_CODE!O:O,0))</f>
        <v>0</v>
      </c>
      <c r="X241">
        <f>_xlfn.XLOOKUP(B241,CRN!G:G,CRN!T:T,"")</f>
        <v>0</v>
      </c>
      <c r="Y241">
        <f>IF(X241=0,0,_xlfn.XLOOKUP(C241,CLIENT_CODE!B:B,CLIENT_CODE!P:P,0))</f>
        <v>0</v>
      </c>
      <c r="Z241">
        <f>_xlfn.XLOOKUP(B241,CRN!G:G,CRN!U:U,"")</f>
        <v>0</v>
      </c>
      <c r="AA241">
        <f>IF(X241=0,0,_xlfn.XLOOKUP(C241,CLIENT_CODE!B:B,CLIENT_CODE!P:P,0))</f>
        <v>0</v>
      </c>
      <c r="AB241">
        <f>_xlfn.XLOOKUP(B241,CRN!G:G,CRN!V:V,"")</f>
        <v>0</v>
      </c>
      <c r="AC241">
        <f>IF(AB241=0,0,_xlfn.XLOOKUP(C241,CLIENT_CODE!B:B,CLIENT_CODE!R:R,0))</f>
        <v>0</v>
      </c>
      <c r="AD241">
        <f t="shared" si="3"/>
        <v>0</v>
      </c>
    </row>
    <row r="242" spans="1:30">
      <c r="A242" s="42">
        <v>241</v>
      </c>
      <c r="E242">
        <f>IF(D242=0,0,_xlfn.XLOOKUP(C242,CLIENT_CODE!B:B,CLIENT_CODE!F:F,0))</f>
        <v>0</v>
      </c>
      <c r="F242">
        <f>_xlfn.XLOOKUP(B242,CRN!G:G,CRN!K:K,"")</f>
        <v>0</v>
      </c>
      <c r="G242">
        <f>IF(F242=0,0,_xlfn.XLOOKUP(C242,CLIENT_CODE!B:B,CLIENT_CODE!G:G,0))</f>
        <v>0</v>
      </c>
      <c r="H242">
        <f>_xlfn.XLOOKUP(B242,CRN!G:G,CRN!L:L,"")</f>
        <v>0</v>
      </c>
      <c r="I242">
        <f>IF(H242=0,0,_xlfn.XLOOKUP(C242,CLIENT_CODE!B:B,CLIENT_CODE!H:H,0))</f>
        <v>0</v>
      </c>
      <c r="J242">
        <f>_xlfn.XLOOKUP(B242,CRN!G:G,CRN!M:M,"")</f>
        <v>0</v>
      </c>
      <c r="K242">
        <f>IF(J242=0,0,_xlfn.XLOOKUP(C242,CLIENT_CODE!B:B,CLIENT_CODE!I:I,0))</f>
        <v>0</v>
      </c>
      <c r="L242">
        <f>_xlfn.XLOOKUP(B242,CRN!G:G,CRN!N:N,"")</f>
        <v>0</v>
      </c>
      <c r="M242">
        <f>IF(L242=0,0,_xlfn.XLOOKUP(C242,CLIENT_CODE!B:B,CLIENT_CODE!J:J,0))</f>
        <v>0</v>
      </c>
      <c r="N242">
        <f>_xlfn.XLOOKUP(B242,CRN!G:G,CRN!O:O,"")</f>
        <v>0</v>
      </c>
      <c r="O242">
        <f>IF(N242=0,0,_xlfn.XLOOKUP(C242,CLIENT_CODE!B:B,CLIENT_CODE!K:K,0))</f>
        <v>0</v>
      </c>
      <c r="P242">
        <f>_xlfn.XLOOKUP(B242,CRN!G:G,CRN!P:P,"")</f>
        <v>0</v>
      </c>
      <c r="Q242">
        <f>IF(P242=0,0,_xlfn.XLOOKUP(C242,CLIENT_CODE!B:B,CLIENT_CODE!L:L,0))</f>
        <v>0</v>
      </c>
      <c r="R242">
        <f>_xlfn.XLOOKUP(B242,CRN!G:G,CRN!Q:Q,"")</f>
        <v>0</v>
      </c>
      <c r="S242">
        <f>IF(R242=0,0,_xlfn.XLOOKUP(C242,CLIENT_CODE!B:B,CLIENT_CODE!M:M,0))</f>
        <v>0</v>
      </c>
      <c r="T242">
        <f>_xlfn.XLOOKUP(B242,CRN!G:G,CRN!R:R,"")</f>
        <v>0</v>
      </c>
      <c r="U242">
        <f>IF(T242=0,0,_xlfn.XLOOKUP(C242,CLIENT_CODE!B:B,CLIENT_CODE!N:N,0))</f>
        <v>0</v>
      </c>
      <c r="V242">
        <f>_xlfn.XLOOKUP(B242,CRN!G:G,CRN!S:S,"")</f>
        <v>0</v>
      </c>
      <c r="W242">
        <f>IF(V242=0,0,_xlfn.XLOOKUP(C242,CLIENT_CODE!B:B,CLIENT_CODE!O:O,0))</f>
        <v>0</v>
      </c>
      <c r="X242">
        <f>_xlfn.XLOOKUP(B242,CRN!G:G,CRN!T:T,"")</f>
        <v>0</v>
      </c>
      <c r="Y242">
        <f>IF(X242=0,0,_xlfn.XLOOKUP(C242,CLIENT_CODE!B:B,CLIENT_CODE!P:P,0))</f>
        <v>0</v>
      </c>
      <c r="Z242">
        <f>_xlfn.XLOOKUP(B242,CRN!G:G,CRN!U:U,"")</f>
        <v>0</v>
      </c>
      <c r="AA242">
        <f>IF(X242=0,0,_xlfn.XLOOKUP(C242,CLIENT_CODE!B:B,CLIENT_CODE!P:P,0))</f>
        <v>0</v>
      </c>
      <c r="AB242">
        <f>_xlfn.XLOOKUP(B242,CRN!G:G,CRN!V:V,"")</f>
        <v>0</v>
      </c>
      <c r="AC242">
        <f>IF(AB242=0,0,_xlfn.XLOOKUP(C242,CLIENT_CODE!B:B,CLIENT_CODE!R:R,0))</f>
        <v>0</v>
      </c>
      <c r="AD242">
        <f t="shared" si="3"/>
        <v>0</v>
      </c>
    </row>
    <row r="243" spans="1:30">
      <c r="A243" s="42">
        <v>242</v>
      </c>
      <c r="E243">
        <f>IF(D243=0,0,_xlfn.XLOOKUP(C243,CLIENT_CODE!B:B,CLIENT_CODE!F:F,0))</f>
        <v>0</v>
      </c>
      <c r="F243">
        <f>_xlfn.XLOOKUP(B243,CRN!G:G,CRN!K:K,"")</f>
        <v>0</v>
      </c>
      <c r="G243">
        <f>IF(F243=0,0,_xlfn.XLOOKUP(C243,CLIENT_CODE!B:B,CLIENT_CODE!G:G,0))</f>
        <v>0</v>
      </c>
      <c r="H243">
        <f>_xlfn.XLOOKUP(B243,CRN!G:G,CRN!L:L,"")</f>
        <v>0</v>
      </c>
      <c r="I243">
        <f>IF(H243=0,0,_xlfn.XLOOKUP(C243,CLIENT_CODE!B:B,CLIENT_CODE!H:H,0))</f>
        <v>0</v>
      </c>
      <c r="J243">
        <f>_xlfn.XLOOKUP(B243,CRN!G:G,CRN!M:M,"")</f>
        <v>0</v>
      </c>
      <c r="K243">
        <f>IF(J243=0,0,_xlfn.XLOOKUP(C243,CLIENT_CODE!B:B,CLIENT_CODE!I:I,0))</f>
        <v>0</v>
      </c>
      <c r="L243">
        <f>_xlfn.XLOOKUP(B243,CRN!G:G,CRN!N:N,"")</f>
        <v>0</v>
      </c>
      <c r="M243">
        <f>IF(L243=0,0,_xlfn.XLOOKUP(C243,CLIENT_CODE!B:B,CLIENT_CODE!J:J,0))</f>
        <v>0</v>
      </c>
      <c r="N243">
        <f>_xlfn.XLOOKUP(B243,CRN!G:G,CRN!O:O,"")</f>
        <v>0</v>
      </c>
      <c r="O243">
        <f>IF(N243=0,0,_xlfn.XLOOKUP(C243,CLIENT_CODE!B:B,CLIENT_CODE!K:K,0))</f>
        <v>0</v>
      </c>
      <c r="P243">
        <f>_xlfn.XLOOKUP(B243,CRN!G:G,CRN!P:P,"")</f>
        <v>0</v>
      </c>
      <c r="Q243">
        <f>IF(P243=0,0,_xlfn.XLOOKUP(C243,CLIENT_CODE!B:B,CLIENT_CODE!L:L,0))</f>
        <v>0</v>
      </c>
      <c r="R243">
        <f>_xlfn.XLOOKUP(B243,CRN!G:G,CRN!Q:Q,"")</f>
        <v>0</v>
      </c>
      <c r="S243">
        <f>IF(R243=0,0,_xlfn.XLOOKUP(C243,CLIENT_CODE!B:B,CLIENT_CODE!M:M,0))</f>
        <v>0</v>
      </c>
      <c r="T243">
        <f>_xlfn.XLOOKUP(B243,CRN!G:G,CRN!R:R,"")</f>
        <v>0</v>
      </c>
      <c r="U243">
        <f>IF(T243=0,0,_xlfn.XLOOKUP(C243,CLIENT_CODE!B:B,CLIENT_CODE!N:N,0))</f>
        <v>0</v>
      </c>
      <c r="V243">
        <f>_xlfn.XLOOKUP(B243,CRN!G:G,CRN!S:S,"")</f>
        <v>0</v>
      </c>
      <c r="W243">
        <f>IF(V243=0,0,_xlfn.XLOOKUP(C243,CLIENT_CODE!B:B,CLIENT_CODE!O:O,0))</f>
        <v>0</v>
      </c>
      <c r="X243">
        <f>_xlfn.XLOOKUP(B243,CRN!G:G,CRN!T:T,"")</f>
        <v>0</v>
      </c>
      <c r="Y243">
        <f>IF(X243=0,0,_xlfn.XLOOKUP(C243,CLIENT_CODE!B:B,CLIENT_CODE!P:P,0))</f>
        <v>0</v>
      </c>
      <c r="Z243">
        <f>_xlfn.XLOOKUP(B243,CRN!G:G,CRN!U:U,"")</f>
        <v>0</v>
      </c>
      <c r="AA243">
        <f>IF(X243=0,0,_xlfn.XLOOKUP(C243,CLIENT_CODE!B:B,CLIENT_CODE!P:P,0))</f>
        <v>0</v>
      </c>
      <c r="AB243">
        <f>_xlfn.XLOOKUP(B243,CRN!G:G,CRN!V:V,"")</f>
        <v>0</v>
      </c>
      <c r="AC243">
        <f>IF(AB243=0,0,_xlfn.XLOOKUP(C243,CLIENT_CODE!B:B,CLIENT_CODE!R:R,0))</f>
        <v>0</v>
      </c>
      <c r="AD243">
        <f t="shared" si="3"/>
        <v>0</v>
      </c>
    </row>
    <row r="244" spans="1:30">
      <c r="A244" s="42">
        <v>243</v>
      </c>
      <c r="E244">
        <f>IF(D244=0,0,_xlfn.XLOOKUP(C244,CLIENT_CODE!B:B,CLIENT_CODE!F:F,0))</f>
        <v>0</v>
      </c>
      <c r="F244">
        <f>_xlfn.XLOOKUP(B244,CRN!G:G,CRN!K:K,"")</f>
        <v>0</v>
      </c>
      <c r="G244">
        <f>IF(F244=0,0,_xlfn.XLOOKUP(C244,CLIENT_CODE!B:B,CLIENT_CODE!G:G,0))</f>
        <v>0</v>
      </c>
      <c r="H244">
        <f>_xlfn.XLOOKUP(B244,CRN!G:G,CRN!L:L,"")</f>
        <v>0</v>
      </c>
      <c r="I244">
        <f>IF(H244=0,0,_xlfn.XLOOKUP(C244,CLIENT_CODE!B:B,CLIENT_CODE!H:H,0))</f>
        <v>0</v>
      </c>
      <c r="J244">
        <f>_xlfn.XLOOKUP(B244,CRN!G:G,CRN!M:M,"")</f>
        <v>0</v>
      </c>
      <c r="K244">
        <f>IF(J244=0,0,_xlfn.XLOOKUP(C244,CLIENT_CODE!B:B,CLIENT_CODE!I:I,0))</f>
        <v>0</v>
      </c>
      <c r="L244">
        <f>_xlfn.XLOOKUP(B244,CRN!G:G,CRN!N:N,"")</f>
        <v>0</v>
      </c>
      <c r="M244">
        <f>IF(L244=0,0,_xlfn.XLOOKUP(C244,CLIENT_CODE!B:B,CLIENT_CODE!J:J,0))</f>
        <v>0</v>
      </c>
      <c r="N244">
        <f>_xlfn.XLOOKUP(B244,CRN!G:G,CRN!O:O,"")</f>
        <v>0</v>
      </c>
      <c r="O244">
        <f>IF(N244=0,0,_xlfn.XLOOKUP(C244,CLIENT_CODE!B:B,CLIENT_CODE!K:K,0))</f>
        <v>0</v>
      </c>
      <c r="P244">
        <f>_xlfn.XLOOKUP(B244,CRN!G:G,CRN!P:P,"")</f>
        <v>0</v>
      </c>
      <c r="Q244">
        <f>IF(P244=0,0,_xlfn.XLOOKUP(C244,CLIENT_CODE!B:B,CLIENT_CODE!L:L,0))</f>
        <v>0</v>
      </c>
      <c r="R244">
        <f>_xlfn.XLOOKUP(B244,CRN!G:G,CRN!Q:Q,"")</f>
        <v>0</v>
      </c>
      <c r="S244">
        <f>IF(R244=0,0,_xlfn.XLOOKUP(C244,CLIENT_CODE!B:B,CLIENT_CODE!M:M,0))</f>
        <v>0</v>
      </c>
      <c r="T244">
        <f>_xlfn.XLOOKUP(B244,CRN!G:G,CRN!R:R,"")</f>
        <v>0</v>
      </c>
      <c r="U244">
        <f>IF(T244=0,0,_xlfn.XLOOKUP(C244,CLIENT_CODE!B:B,CLIENT_CODE!N:N,0))</f>
        <v>0</v>
      </c>
      <c r="V244">
        <f>_xlfn.XLOOKUP(B244,CRN!G:G,CRN!S:S,"")</f>
        <v>0</v>
      </c>
      <c r="W244">
        <f>IF(V244=0,0,_xlfn.XLOOKUP(C244,CLIENT_CODE!B:B,CLIENT_CODE!O:O,0))</f>
        <v>0</v>
      </c>
      <c r="X244">
        <f>_xlfn.XLOOKUP(B244,CRN!G:G,CRN!T:T,"")</f>
        <v>0</v>
      </c>
      <c r="Y244">
        <f>IF(X244=0,0,_xlfn.XLOOKUP(C244,CLIENT_CODE!B:B,CLIENT_CODE!P:P,0))</f>
        <v>0</v>
      </c>
      <c r="Z244">
        <f>_xlfn.XLOOKUP(B244,CRN!G:G,CRN!U:U,"")</f>
        <v>0</v>
      </c>
      <c r="AA244">
        <f>IF(X244=0,0,_xlfn.XLOOKUP(C244,CLIENT_CODE!B:B,CLIENT_CODE!P:P,0))</f>
        <v>0</v>
      </c>
      <c r="AB244">
        <f>_xlfn.XLOOKUP(B244,CRN!G:G,CRN!V:V,"")</f>
        <v>0</v>
      </c>
      <c r="AC244">
        <f>IF(AB244=0,0,_xlfn.XLOOKUP(C244,CLIENT_CODE!B:B,CLIENT_CODE!R:R,0))</f>
        <v>0</v>
      </c>
      <c r="AD244">
        <f t="shared" si="3"/>
        <v>0</v>
      </c>
    </row>
    <row r="245" spans="1:30">
      <c r="A245" s="42">
        <v>244</v>
      </c>
      <c r="E245">
        <f>IF(D245=0,0,_xlfn.XLOOKUP(C245,CLIENT_CODE!B:B,CLIENT_CODE!F:F,0))</f>
        <v>0</v>
      </c>
      <c r="F245">
        <f>_xlfn.XLOOKUP(B245,CRN!G:G,CRN!K:K,"")</f>
        <v>0</v>
      </c>
      <c r="G245">
        <f>IF(F245=0,0,_xlfn.XLOOKUP(C245,CLIENT_CODE!B:B,CLIENT_CODE!G:G,0))</f>
        <v>0</v>
      </c>
      <c r="H245">
        <f>_xlfn.XLOOKUP(B245,CRN!G:G,CRN!L:L,"")</f>
        <v>0</v>
      </c>
      <c r="I245">
        <f>IF(H245=0,0,_xlfn.XLOOKUP(C245,CLIENT_CODE!B:B,CLIENT_CODE!H:H,0))</f>
        <v>0</v>
      </c>
      <c r="J245">
        <f>_xlfn.XLOOKUP(B245,CRN!G:G,CRN!M:M,"")</f>
        <v>0</v>
      </c>
      <c r="K245">
        <f>IF(J245=0,0,_xlfn.XLOOKUP(C245,CLIENT_CODE!B:B,CLIENT_CODE!I:I,0))</f>
        <v>0</v>
      </c>
      <c r="L245">
        <f>_xlfn.XLOOKUP(B245,CRN!G:G,CRN!N:N,"")</f>
        <v>0</v>
      </c>
      <c r="M245">
        <f>IF(L245=0,0,_xlfn.XLOOKUP(C245,CLIENT_CODE!B:B,CLIENT_CODE!J:J,0))</f>
        <v>0</v>
      </c>
      <c r="N245">
        <f>_xlfn.XLOOKUP(B245,CRN!G:G,CRN!O:O,"")</f>
        <v>0</v>
      </c>
      <c r="O245">
        <f>IF(N245=0,0,_xlfn.XLOOKUP(C245,CLIENT_CODE!B:B,CLIENT_CODE!K:K,0))</f>
        <v>0</v>
      </c>
      <c r="P245">
        <f>_xlfn.XLOOKUP(B245,CRN!G:G,CRN!P:P,"")</f>
        <v>0</v>
      </c>
      <c r="Q245">
        <f>IF(P245=0,0,_xlfn.XLOOKUP(C245,CLIENT_CODE!B:B,CLIENT_CODE!L:L,0))</f>
        <v>0</v>
      </c>
      <c r="R245">
        <f>_xlfn.XLOOKUP(B245,CRN!G:G,CRN!Q:Q,"")</f>
        <v>0</v>
      </c>
      <c r="S245">
        <f>IF(R245=0,0,_xlfn.XLOOKUP(C245,CLIENT_CODE!B:B,CLIENT_CODE!M:M,0))</f>
        <v>0</v>
      </c>
      <c r="T245">
        <f>_xlfn.XLOOKUP(B245,CRN!G:G,CRN!R:R,"")</f>
        <v>0</v>
      </c>
      <c r="U245">
        <f>IF(T245=0,0,_xlfn.XLOOKUP(C245,CLIENT_CODE!B:B,CLIENT_CODE!N:N,0))</f>
        <v>0</v>
      </c>
      <c r="V245">
        <f>_xlfn.XLOOKUP(B245,CRN!G:G,CRN!S:S,"")</f>
        <v>0</v>
      </c>
      <c r="W245">
        <f>IF(V245=0,0,_xlfn.XLOOKUP(C245,CLIENT_CODE!B:B,CLIENT_CODE!O:O,0))</f>
        <v>0</v>
      </c>
      <c r="X245">
        <f>_xlfn.XLOOKUP(B245,CRN!G:G,CRN!T:T,"")</f>
        <v>0</v>
      </c>
      <c r="Y245">
        <f>IF(X245=0,0,_xlfn.XLOOKUP(C245,CLIENT_CODE!B:B,CLIENT_CODE!P:P,0))</f>
        <v>0</v>
      </c>
      <c r="Z245">
        <f>_xlfn.XLOOKUP(B245,CRN!G:G,CRN!U:U,"")</f>
        <v>0</v>
      </c>
      <c r="AA245">
        <f>IF(X245=0,0,_xlfn.XLOOKUP(C245,CLIENT_CODE!B:B,CLIENT_CODE!P:P,0))</f>
        <v>0</v>
      </c>
      <c r="AB245">
        <f>_xlfn.XLOOKUP(B245,CRN!G:G,CRN!V:V,"")</f>
        <v>0</v>
      </c>
      <c r="AC245">
        <f>IF(AB245=0,0,_xlfn.XLOOKUP(C245,CLIENT_CODE!B:B,CLIENT_CODE!R:R,0))</f>
        <v>0</v>
      </c>
      <c r="AD245">
        <f t="shared" si="3"/>
        <v>0</v>
      </c>
    </row>
    <row r="246" spans="1:30">
      <c r="A246" s="42">
        <v>245</v>
      </c>
      <c r="E246">
        <f>IF(D246=0,0,_xlfn.XLOOKUP(C246,CLIENT_CODE!B:B,CLIENT_CODE!F:F,0))</f>
        <v>0</v>
      </c>
      <c r="F246">
        <f>_xlfn.XLOOKUP(B246,CRN!G:G,CRN!K:K,"")</f>
        <v>0</v>
      </c>
      <c r="G246">
        <f>IF(F246=0,0,_xlfn.XLOOKUP(C246,CLIENT_CODE!B:B,CLIENT_CODE!G:G,0))</f>
        <v>0</v>
      </c>
      <c r="H246">
        <f>_xlfn.XLOOKUP(B246,CRN!G:G,CRN!L:L,"")</f>
        <v>0</v>
      </c>
      <c r="I246">
        <f>IF(H246=0,0,_xlfn.XLOOKUP(C246,CLIENT_CODE!B:B,CLIENT_CODE!H:H,0))</f>
        <v>0</v>
      </c>
      <c r="J246">
        <f>_xlfn.XLOOKUP(B246,CRN!G:G,CRN!M:M,"")</f>
        <v>0</v>
      </c>
      <c r="K246">
        <f>IF(J246=0,0,_xlfn.XLOOKUP(C246,CLIENT_CODE!B:B,CLIENT_CODE!I:I,0))</f>
        <v>0</v>
      </c>
      <c r="L246">
        <f>_xlfn.XLOOKUP(B246,CRN!G:G,CRN!N:N,"")</f>
        <v>0</v>
      </c>
      <c r="M246">
        <f>IF(L246=0,0,_xlfn.XLOOKUP(C246,CLIENT_CODE!B:B,CLIENT_CODE!J:J,0))</f>
        <v>0</v>
      </c>
      <c r="N246">
        <f>_xlfn.XLOOKUP(B246,CRN!G:G,CRN!O:O,"")</f>
        <v>0</v>
      </c>
      <c r="O246">
        <f>IF(N246=0,0,_xlfn.XLOOKUP(C246,CLIENT_CODE!B:B,CLIENT_CODE!K:K,0))</f>
        <v>0</v>
      </c>
      <c r="P246">
        <f>_xlfn.XLOOKUP(B246,CRN!G:G,CRN!P:P,"")</f>
        <v>0</v>
      </c>
      <c r="Q246">
        <f>IF(P246=0,0,_xlfn.XLOOKUP(C246,CLIENT_CODE!B:B,CLIENT_CODE!L:L,0))</f>
        <v>0</v>
      </c>
      <c r="R246">
        <f>_xlfn.XLOOKUP(B246,CRN!G:G,CRN!Q:Q,"")</f>
        <v>0</v>
      </c>
      <c r="S246">
        <f>IF(R246=0,0,_xlfn.XLOOKUP(C246,CLIENT_CODE!B:B,CLIENT_CODE!M:M,0))</f>
        <v>0</v>
      </c>
      <c r="T246">
        <f>_xlfn.XLOOKUP(B246,CRN!G:G,CRN!R:R,"")</f>
        <v>0</v>
      </c>
      <c r="U246">
        <f>IF(T246=0,0,_xlfn.XLOOKUP(C246,CLIENT_CODE!B:B,CLIENT_CODE!N:N,0))</f>
        <v>0</v>
      </c>
      <c r="V246">
        <f>_xlfn.XLOOKUP(B246,CRN!G:G,CRN!S:S,"")</f>
        <v>0</v>
      </c>
      <c r="W246">
        <f>IF(V246=0,0,_xlfn.XLOOKUP(C246,CLIENT_CODE!B:B,CLIENT_CODE!O:O,0))</f>
        <v>0</v>
      </c>
      <c r="X246">
        <f>_xlfn.XLOOKUP(B246,CRN!G:G,CRN!T:T,"")</f>
        <v>0</v>
      </c>
      <c r="Y246">
        <f>IF(X246=0,0,_xlfn.XLOOKUP(C246,CLIENT_CODE!B:B,CLIENT_CODE!P:P,0))</f>
        <v>0</v>
      </c>
      <c r="Z246">
        <f>_xlfn.XLOOKUP(B246,CRN!G:G,CRN!U:U,"")</f>
        <v>0</v>
      </c>
      <c r="AA246">
        <f>IF(X246=0,0,_xlfn.XLOOKUP(C246,CLIENT_CODE!B:B,CLIENT_CODE!P:P,0))</f>
        <v>0</v>
      </c>
      <c r="AB246">
        <f>_xlfn.XLOOKUP(B246,CRN!G:G,CRN!V:V,"")</f>
        <v>0</v>
      </c>
      <c r="AC246">
        <f>IF(AB246=0,0,_xlfn.XLOOKUP(C246,CLIENT_CODE!B:B,CLIENT_CODE!R:R,0))</f>
        <v>0</v>
      </c>
      <c r="AD246">
        <f t="shared" si="3"/>
        <v>0</v>
      </c>
    </row>
    <row r="247" spans="1:30">
      <c r="A247" s="42">
        <v>246</v>
      </c>
      <c r="E247">
        <f>IF(D247=0,0,_xlfn.XLOOKUP(C247,CLIENT_CODE!B:B,CLIENT_CODE!F:F,0))</f>
        <v>0</v>
      </c>
      <c r="F247">
        <f>_xlfn.XLOOKUP(B247,CRN!G:G,CRN!K:K,"")</f>
        <v>0</v>
      </c>
      <c r="G247">
        <f>IF(F247=0,0,_xlfn.XLOOKUP(C247,CLIENT_CODE!B:B,CLIENT_CODE!G:G,0))</f>
        <v>0</v>
      </c>
      <c r="H247">
        <f>_xlfn.XLOOKUP(B247,CRN!G:G,CRN!L:L,"")</f>
        <v>0</v>
      </c>
      <c r="I247">
        <f>IF(H247=0,0,_xlfn.XLOOKUP(C247,CLIENT_CODE!B:B,CLIENT_CODE!H:H,0))</f>
        <v>0</v>
      </c>
      <c r="J247">
        <f>_xlfn.XLOOKUP(B247,CRN!G:G,CRN!M:M,"")</f>
        <v>0</v>
      </c>
      <c r="K247">
        <f>IF(J247=0,0,_xlfn.XLOOKUP(C247,CLIENT_CODE!B:B,CLIENT_CODE!I:I,0))</f>
        <v>0</v>
      </c>
      <c r="L247">
        <f>_xlfn.XLOOKUP(B247,CRN!G:G,CRN!N:N,"")</f>
        <v>0</v>
      </c>
      <c r="M247">
        <f>IF(L247=0,0,_xlfn.XLOOKUP(C247,CLIENT_CODE!B:B,CLIENT_CODE!J:J,0))</f>
        <v>0</v>
      </c>
      <c r="N247">
        <f>_xlfn.XLOOKUP(B247,CRN!G:G,CRN!O:O,"")</f>
        <v>0</v>
      </c>
      <c r="O247">
        <f>IF(N247=0,0,_xlfn.XLOOKUP(C247,CLIENT_CODE!B:B,CLIENT_CODE!K:K,0))</f>
        <v>0</v>
      </c>
      <c r="P247">
        <f>_xlfn.XLOOKUP(B247,CRN!G:G,CRN!P:P,"")</f>
        <v>0</v>
      </c>
      <c r="Q247">
        <f>IF(P247=0,0,_xlfn.XLOOKUP(C247,CLIENT_CODE!B:B,CLIENT_CODE!L:L,0))</f>
        <v>0</v>
      </c>
      <c r="R247">
        <f>_xlfn.XLOOKUP(B247,CRN!G:G,CRN!Q:Q,"")</f>
        <v>0</v>
      </c>
      <c r="S247">
        <f>IF(R247=0,0,_xlfn.XLOOKUP(C247,CLIENT_CODE!B:B,CLIENT_CODE!M:M,0))</f>
        <v>0</v>
      </c>
      <c r="T247">
        <f>_xlfn.XLOOKUP(B247,CRN!G:G,CRN!R:R,"")</f>
        <v>0</v>
      </c>
      <c r="U247">
        <f>IF(T247=0,0,_xlfn.XLOOKUP(C247,CLIENT_CODE!B:B,CLIENT_CODE!N:N,0))</f>
        <v>0</v>
      </c>
      <c r="V247">
        <f>_xlfn.XLOOKUP(B247,CRN!G:G,CRN!S:S,"")</f>
        <v>0</v>
      </c>
      <c r="W247">
        <f>IF(V247=0,0,_xlfn.XLOOKUP(C247,CLIENT_CODE!B:B,CLIENT_CODE!O:O,0))</f>
        <v>0</v>
      </c>
      <c r="X247">
        <f>_xlfn.XLOOKUP(B247,CRN!G:G,CRN!T:T,"")</f>
        <v>0</v>
      </c>
      <c r="Y247">
        <f>IF(X247=0,0,_xlfn.XLOOKUP(C247,CLIENT_CODE!B:B,CLIENT_CODE!P:P,0))</f>
        <v>0</v>
      </c>
      <c r="Z247">
        <f>_xlfn.XLOOKUP(B247,CRN!G:G,CRN!U:U,"")</f>
        <v>0</v>
      </c>
      <c r="AA247">
        <f>IF(X247=0,0,_xlfn.XLOOKUP(C247,CLIENT_CODE!B:B,CLIENT_CODE!P:P,0))</f>
        <v>0</v>
      </c>
      <c r="AB247">
        <f>_xlfn.XLOOKUP(B247,CRN!G:G,CRN!V:V,"")</f>
        <v>0</v>
      </c>
      <c r="AC247">
        <f>IF(AB247=0,0,_xlfn.XLOOKUP(C247,CLIENT_CODE!B:B,CLIENT_CODE!R:R,0))</f>
        <v>0</v>
      </c>
      <c r="AD247">
        <f t="shared" si="3"/>
        <v>0</v>
      </c>
    </row>
    <row r="248" spans="1:30">
      <c r="A248" s="42">
        <v>247</v>
      </c>
      <c r="E248">
        <f>IF(D248=0,0,_xlfn.XLOOKUP(C248,CLIENT_CODE!B:B,CLIENT_CODE!F:F,0))</f>
        <v>0</v>
      </c>
      <c r="F248">
        <f>_xlfn.XLOOKUP(B248,CRN!G:G,CRN!K:K,"")</f>
        <v>0</v>
      </c>
      <c r="G248">
        <f>IF(F248=0,0,_xlfn.XLOOKUP(C248,CLIENT_CODE!B:B,CLIENT_CODE!G:G,0))</f>
        <v>0</v>
      </c>
      <c r="H248">
        <f>_xlfn.XLOOKUP(B248,CRN!G:G,CRN!L:L,"")</f>
        <v>0</v>
      </c>
      <c r="I248">
        <f>IF(H248=0,0,_xlfn.XLOOKUP(C248,CLIENT_CODE!B:B,CLIENT_CODE!H:H,0))</f>
        <v>0</v>
      </c>
      <c r="J248">
        <f>_xlfn.XLOOKUP(B248,CRN!G:G,CRN!M:M,"")</f>
        <v>0</v>
      </c>
      <c r="K248">
        <f>IF(J248=0,0,_xlfn.XLOOKUP(C248,CLIENT_CODE!B:B,CLIENT_CODE!I:I,0))</f>
        <v>0</v>
      </c>
      <c r="L248">
        <f>_xlfn.XLOOKUP(B248,CRN!G:G,CRN!N:N,"")</f>
        <v>0</v>
      </c>
      <c r="M248">
        <f>IF(L248=0,0,_xlfn.XLOOKUP(C248,CLIENT_CODE!B:B,CLIENT_CODE!J:J,0))</f>
        <v>0</v>
      </c>
      <c r="N248">
        <f>_xlfn.XLOOKUP(B248,CRN!G:G,CRN!O:O,"")</f>
        <v>0</v>
      </c>
      <c r="O248">
        <f>IF(N248=0,0,_xlfn.XLOOKUP(C248,CLIENT_CODE!B:B,CLIENT_CODE!K:K,0))</f>
        <v>0</v>
      </c>
      <c r="P248">
        <f>_xlfn.XLOOKUP(B248,CRN!G:G,CRN!P:P,"")</f>
        <v>0</v>
      </c>
      <c r="Q248">
        <f>IF(P248=0,0,_xlfn.XLOOKUP(C248,CLIENT_CODE!B:B,CLIENT_CODE!L:L,0))</f>
        <v>0</v>
      </c>
      <c r="R248">
        <f>_xlfn.XLOOKUP(B248,CRN!G:G,CRN!Q:Q,"")</f>
        <v>0</v>
      </c>
      <c r="S248">
        <f>IF(R248=0,0,_xlfn.XLOOKUP(C248,CLIENT_CODE!B:B,CLIENT_CODE!M:M,0))</f>
        <v>0</v>
      </c>
      <c r="T248">
        <f>_xlfn.XLOOKUP(B248,CRN!G:G,CRN!R:R,"")</f>
        <v>0</v>
      </c>
      <c r="U248">
        <f>IF(T248=0,0,_xlfn.XLOOKUP(C248,CLIENT_CODE!B:B,CLIENT_CODE!N:N,0))</f>
        <v>0</v>
      </c>
      <c r="V248">
        <f>_xlfn.XLOOKUP(B248,CRN!G:G,CRN!S:S,"")</f>
        <v>0</v>
      </c>
      <c r="W248">
        <f>IF(V248=0,0,_xlfn.XLOOKUP(C248,CLIENT_CODE!B:B,CLIENT_CODE!O:O,0))</f>
        <v>0</v>
      </c>
      <c r="X248">
        <f>_xlfn.XLOOKUP(B248,CRN!G:G,CRN!T:T,"")</f>
        <v>0</v>
      </c>
      <c r="Y248">
        <f>IF(X248=0,0,_xlfn.XLOOKUP(C248,CLIENT_CODE!B:B,CLIENT_CODE!P:P,0))</f>
        <v>0</v>
      </c>
      <c r="Z248">
        <f>_xlfn.XLOOKUP(B248,CRN!G:G,CRN!U:U,"")</f>
        <v>0</v>
      </c>
      <c r="AA248">
        <f>IF(X248=0,0,_xlfn.XLOOKUP(C248,CLIENT_CODE!B:B,CLIENT_CODE!P:P,0))</f>
        <v>0</v>
      </c>
      <c r="AB248">
        <f>_xlfn.XLOOKUP(B248,CRN!G:G,CRN!V:V,"")</f>
        <v>0</v>
      </c>
      <c r="AC248">
        <f>IF(AB248=0,0,_xlfn.XLOOKUP(C248,CLIENT_CODE!B:B,CLIENT_CODE!R:R,0))</f>
        <v>0</v>
      </c>
      <c r="AD248">
        <f t="shared" si="3"/>
        <v>0</v>
      </c>
    </row>
    <row r="249" spans="1:30">
      <c r="A249" s="42">
        <v>248</v>
      </c>
      <c r="E249">
        <f>IF(D249=0,0,_xlfn.XLOOKUP(C249,CLIENT_CODE!B:B,CLIENT_CODE!F:F,0))</f>
        <v>0</v>
      </c>
      <c r="F249">
        <f>_xlfn.XLOOKUP(B249,CRN!G:G,CRN!K:K,"")</f>
        <v>0</v>
      </c>
      <c r="G249">
        <f>IF(F249=0,0,_xlfn.XLOOKUP(C249,CLIENT_CODE!B:B,CLIENT_CODE!G:G,0))</f>
        <v>0</v>
      </c>
      <c r="H249">
        <f>_xlfn.XLOOKUP(B249,CRN!G:G,CRN!L:L,"")</f>
        <v>0</v>
      </c>
      <c r="I249">
        <f>IF(H249=0,0,_xlfn.XLOOKUP(C249,CLIENT_CODE!B:B,CLIENT_CODE!H:H,0))</f>
        <v>0</v>
      </c>
      <c r="J249">
        <f>_xlfn.XLOOKUP(B249,CRN!G:G,CRN!M:M,"")</f>
        <v>0</v>
      </c>
      <c r="K249">
        <f>IF(J249=0,0,_xlfn.XLOOKUP(C249,CLIENT_CODE!B:B,CLIENT_CODE!I:I,0))</f>
        <v>0</v>
      </c>
      <c r="L249">
        <f>_xlfn.XLOOKUP(B249,CRN!G:G,CRN!N:N,"")</f>
        <v>0</v>
      </c>
      <c r="M249">
        <f>IF(L249=0,0,_xlfn.XLOOKUP(C249,CLIENT_CODE!B:B,CLIENT_CODE!J:J,0))</f>
        <v>0</v>
      </c>
      <c r="N249">
        <f>_xlfn.XLOOKUP(B249,CRN!G:G,CRN!O:O,"")</f>
        <v>0</v>
      </c>
      <c r="O249">
        <f>IF(N249=0,0,_xlfn.XLOOKUP(C249,CLIENT_CODE!B:B,CLIENT_CODE!K:K,0))</f>
        <v>0</v>
      </c>
      <c r="P249">
        <f>_xlfn.XLOOKUP(B249,CRN!G:G,CRN!P:P,"")</f>
        <v>0</v>
      </c>
      <c r="Q249">
        <f>IF(P249=0,0,_xlfn.XLOOKUP(C249,CLIENT_CODE!B:B,CLIENT_CODE!L:L,0))</f>
        <v>0</v>
      </c>
      <c r="R249">
        <f>_xlfn.XLOOKUP(B249,CRN!G:G,CRN!Q:Q,"")</f>
        <v>0</v>
      </c>
      <c r="S249">
        <f>IF(R249=0,0,_xlfn.XLOOKUP(C249,CLIENT_CODE!B:B,CLIENT_CODE!M:M,0))</f>
        <v>0</v>
      </c>
      <c r="T249">
        <f>_xlfn.XLOOKUP(B249,CRN!G:G,CRN!R:R,"")</f>
        <v>0</v>
      </c>
      <c r="U249">
        <f>IF(T249=0,0,_xlfn.XLOOKUP(C249,CLIENT_CODE!B:B,CLIENT_CODE!N:N,0))</f>
        <v>0</v>
      </c>
      <c r="V249">
        <f>_xlfn.XLOOKUP(B249,CRN!G:G,CRN!S:S,"")</f>
        <v>0</v>
      </c>
      <c r="W249">
        <f>IF(V249=0,0,_xlfn.XLOOKUP(C249,CLIENT_CODE!B:B,CLIENT_CODE!O:O,0))</f>
        <v>0</v>
      </c>
      <c r="X249">
        <f>_xlfn.XLOOKUP(B249,CRN!G:G,CRN!T:T,"")</f>
        <v>0</v>
      </c>
      <c r="Y249">
        <f>IF(X249=0,0,_xlfn.XLOOKUP(C249,CLIENT_CODE!B:B,CLIENT_CODE!P:P,0))</f>
        <v>0</v>
      </c>
      <c r="Z249">
        <f>_xlfn.XLOOKUP(B249,CRN!G:G,CRN!U:U,"")</f>
        <v>0</v>
      </c>
      <c r="AA249">
        <f>IF(X249=0,0,_xlfn.XLOOKUP(C249,CLIENT_CODE!B:B,CLIENT_CODE!P:P,0))</f>
        <v>0</v>
      </c>
      <c r="AB249">
        <f>_xlfn.XLOOKUP(B249,CRN!G:G,CRN!V:V,"")</f>
        <v>0</v>
      </c>
      <c r="AC249">
        <f>IF(AB249=0,0,_xlfn.XLOOKUP(C249,CLIENT_CODE!B:B,CLIENT_CODE!R:R,0))</f>
        <v>0</v>
      </c>
      <c r="AD249">
        <f t="shared" si="3"/>
        <v>0</v>
      </c>
    </row>
    <row r="250" spans="1:30">
      <c r="A250" s="42">
        <v>249</v>
      </c>
      <c r="E250">
        <f>IF(D250=0,0,_xlfn.XLOOKUP(C250,CLIENT_CODE!B:B,CLIENT_CODE!F:F,0))</f>
        <v>0</v>
      </c>
      <c r="F250">
        <f>_xlfn.XLOOKUP(B250,CRN!G:G,CRN!K:K,"")</f>
        <v>0</v>
      </c>
      <c r="G250">
        <f>IF(F250=0,0,_xlfn.XLOOKUP(C250,CLIENT_CODE!B:B,CLIENT_CODE!G:G,0))</f>
        <v>0</v>
      </c>
      <c r="H250">
        <f>_xlfn.XLOOKUP(B250,CRN!G:G,CRN!L:L,"")</f>
        <v>0</v>
      </c>
      <c r="I250">
        <f>IF(H250=0,0,_xlfn.XLOOKUP(C250,CLIENT_CODE!B:B,CLIENT_CODE!H:H,0))</f>
        <v>0</v>
      </c>
      <c r="J250">
        <f>_xlfn.XLOOKUP(B250,CRN!G:G,CRN!M:M,"")</f>
        <v>0</v>
      </c>
      <c r="K250">
        <f>IF(J250=0,0,_xlfn.XLOOKUP(C250,CLIENT_CODE!B:B,CLIENT_CODE!I:I,0))</f>
        <v>0</v>
      </c>
      <c r="L250">
        <f>_xlfn.XLOOKUP(B250,CRN!G:G,CRN!N:N,"")</f>
        <v>0</v>
      </c>
      <c r="M250">
        <f>IF(L250=0,0,_xlfn.XLOOKUP(C250,CLIENT_CODE!B:B,CLIENT_CODE!J:J,0))</f>
        <v>0</v>
      </c>
      <c r="N250">
        <f>_xlfn.XLOOKUP(B250,CRN!G:G,CRN!O:O,"")</f>
        <v>0</v>
      </c>
      <c r="O250">
        <f>IF(N250=0,0,_xlfn.XLOOKUP(C250,CLIENT_CODE!B:B,CLIENT_CODE!K:K,0))</f>
        <v>0</v>
      </c>
      <c r="P250">
        <f>_xlfn.XLOOKUP(B250,CRN!G:G,CRN!P:P,"")</f>
        <v>0</v>
      </c>
      <c r="Q250">
        <f>IF(P250=0,0,_xlfn.XLOOKUP(C250,CLIENT_CODE!B:B,CLIENT_CODE!L:L,0))</f>
        <v>0</v>
      </c>
      <c r="R250">
        <f>_xlfn.XLOOKUP(B250,CRN!G:G,CRN!Q:Q,"")</f>
        <v>0</v>
      </c>
      <c r="S250">
        <f>IF(R250=0,0,_xlfn.XLOOKUP(C250,CLIENT_CODE!B:B,CLIENT_CODE!M:M,0))</f>
        <v>0</v>
      </c>
      <c r="T250">
        <f>_xlfn.XLOOKUP(B250,CRN!G:G,CRN!R:R,"")</f>
        <v>0</v>
      </c>
      <c r="U250">
        <f>IF(T250=0,0,_xlfn.XLOOKUP(C250,CLIENT_CODE!B:B,CLIENT_CODE!N:N,0))</f>
        <v>0</v>
      </c>
      <c r="V250">
        <f>_xlfn.XLOOKUP(B250,CRN!G:G,CRN!S:S,"")</f>
        <v>0</v>
      </c>
      <c r="W250">
        <f>IF(V250=0,0,_xlfn.XLOOKUP(C250,CLIENT_CODE!B:B,CLIENT_CODE!O:O,0))</f>
        <v>0</v>
      </c>
      <c r="X250">
        <f>_xlfn.XLOOKUP(B250,CRN!G:G,CRN!T:T,"")</f>
        <v>0</v>
      </c>
      <c r="Y250">
        <f>IF(X250=0,0,_xlfn.XLOOKUP(C250,CLIENT_CODE!B:B,CLIENT_CODE!P:P,0))</f>
        <v>0</v>
      </c>
      <c r="Z250">
        <f>_xlfn.XLOOKUP(B250,CRN!G:G,CRN!U:U,"")</f>
        <v>0</v>
      </c>
      <c r="AA250">
        <f>IF(X250=0,0,_xlfn.XLOOKUP(C250,CLIENT_CODE!B:B,CLIENT_CODE!P:P,0))</f>
        <v>0</v>
      </c>
      <c r="AB250">
        <f>_xlfn.XLOOKUP(B250,CRN!G:G,CRN!V:V,"")</f>
        <v>0</v>
      </c>
      <c r="AC250">
        <f>IF(AB250=0,0,_xlfn.XLOOKUP(C250,CLIENT_CODE!B:B,CLIENT_CODE!R:R,0))</f>
        <v>0</v>
      </c>
      <c r="AD250">
        <f t="shared" si="3"/>
        <v>0</v>
      </c>
    </row>
    <row r="251" spans="1:30">
      <c r="A251" s="42">
        <v>250</v>
      </c>
      <c r="E251">
        <f>IF(D251=0,0,_xlfn.XLOOKUP(C251,CLIENT_CODE!B:B,CLIENT_CODE!F:F,0))</f>
        <v>0</v>
      </c>
      <c r="F251">
        <f>_xlfn.XLOOKUP(B251,CRN!G:G,CRN!K:K,"")</f>
        <v>0</v>
      </c>
      <c r="G251">
        <f>IF(F251=0,0,_xlfn.XLOOKUP(C251,CLIENT_CODE!B:B,CLIENT_CODE!G:G,0))</f>
        <v>0</v>
      </c>
      <c r="H251">
        <f>_xlfn.XLOOKUP(B251,CRN!G:G,CRN!L:L,"")</f>
        <v>0</v>
      </c>
      <c r="I251">
        <f>IF(H251=0,0,_xlfn.XLOOKUP(C251,CLIENT_CODE!B:B,CLIENT_CODE!H:H,0))</f>
        <v>0</v>
      </c>
      <c r="J251">
        <f>_xlfn.XLOOKUP(B251,CRN!G:G,CRN!M:M,"")</f>
        <v>0</v>
      </c>
      <c r="K251">
        <f>IF(J251=0,0,_xlfn.XLOOKUP(C251,CLIENT_CODE!B:B,CLIENT_CODE!I:I,0))</f>
        <v>0</v>
      </c>
      <c r="L251">
        <f>_xlfn.XLOOKUP(B251,CRN!G:G,CRN!N:N,"")</f>
        <v>0</v>
      </c>
      <c r="M251">
        <f>IF(L251=0,0,_xlfn.XLOOKUP(C251,CLIENT_CODE!B:B,CLIENT_CODE!J:J,0))</f>
        <v>0</v>
      </c>
      <c r="N251">
        <f>_xlfn.XLOOKUP(B251,CRN!G:G,CRN!O:O,"")</f>
        <v>0</v>
      </c>
      <c r="O251">
        <f>IF(N251=0,0,_xlfn.XLOOKUP(C251,CLIENT_CODE!B:B,CLIENT_CODE!K:K,0))</f>
        <v>0</v>
      </c>
      <c r="P251">
        <f>_xlfn.XLOOKUP(B251,CRN!G:G,CRN!P:P,"")</f>
        <v>0</v>
      </c>
      <c r="Q251">
        <f>IF(P251=0,0,_xlfn.XLOOKUP(C251,CLIENT_CODE!B:B,CLIENT_CODE!L:L,0))</f>
        <v>0</v>
      </c>
      <c r="R251">
        <f>_xlfn.XLOOKUP(B251,CRN!G:G,CRN!Q:Q,"")</f>
        <v>0</v>
      </c>
      <c r="S251">
        <f>IF(R251=0,0,_xlfn.XLOOKUP(C251,CLIENT_CODE!B:B,CLIENT_CODE!M:M,0))</f>
        <v>0</v>
      </c>
      <c r="T251">
        <f>_xlfn.XLOOKUP(B251,CRN!G:G,CRN!R:R,"")</f>
        <v>0</v>
      </c>
      <c r="U251">
        <f>IF(T251=0,0,_xlfn.XLOOKUP(C251,CLIENT_CODE!B:B,CLIENT_CODE!N:N,0))</f>
        <v>0</v>
      </c>
      <c r="V251">
        <f>_xlfn.XLOOKUP(B251,CRN!G:G,CRN!S:S,"")</f>
        <v>0</v>
      </c>
      <c r="W251">
        <f>IF(V251=0,0,_xlfn.XLOOKUP(C251,CLIENT_CODE!B:B,CLIENT_CODE!O:O,0))</f>
        <v>0</v>
      </c>
      <c r="X251">
        <f>_xlfn.XLOOKUP(B251,CRN!G:G,CRN!T:T,"")</f>
        <v>0</v>
      </c>
      <c r="Y251">
        <f>IF(X251=0,0,_xlfn.XLOOKUP(C251,CLIENT_CODE!B:B,CLIENT_CODE!P:P,0))</f>
        <v>0</v>
      </c>
      <c r="Z251">
        <f>_xlfn.XLOOKUP(B251,CRN!G:G,CRN!U:U,"")</f>
        <v>0</v>
      </c>
      <c r="AA251">
        <f>IF(X251=0,0,_xlfn.XLOOKUP(C251,CLIENT_CODE!B:B,CLIENT_CODE!P:P,0))</f>
        <v>0</v>
      </c>
      <c r="AB251">
        <f>_xlfn.XLOOKUP(B251,CRN!G:G,CRN!V:V,"")</f>
        <v>0</v>
      </c>
      <c r="AC251">
        <f>IF(AB251=0,0,_xlfn.XLOOKUP(C251,CLIENT_CODE!B:B,CLIENT_CODE!R:R,0))</f>
        <v>0</v>
      </c>
      <c r="AD251">
        <f t="shared" si="3"/>
        <v>0</v>
      </c>
    </row>
    <row r="252" spans="1:30">
      <c r="A252" s="42">
        <v>251</v>
      </c>
      <c r="E252">
        <f>IF(D252=0,0,_xlfn.XLOOKUP(C252,CLIENT_CODE!B:B,CLIENT_CODE!F:F,0))</f>
        <v>0</v>
      </c>
      <c r="F252">
        <f>_xlfn.XLOOKUP(B252,CRN!G:G,CRN!K:K,"")</f>
        <v>0</v>
      </c>
      <c r="G252">
        <f>IF(F252=0,0,_xlfn.XLOOKUP(C252,CLIENT_CODE!B:B,CLIENT_CODE!G:G,0))</f>
        <v>0</v>
      </c>
      <c r="H252">
        <f>_xlfn.XLOOKUP(B252,CRN!G:G,CRN!L:L,"")</f>
        <v>0</v>
      </c>
      <c r="I252">
        <f>IF(H252=0,0,_xlfn.XLOOKUP(C252,CLIENT_CODE!B:B,CLIENT_CODE!H:H,0))</f>
        <v>0</v>
      </c>
      <c r="J252">
        <f>_xlfn.XLOOKUP(B252,CRN!G:G,CRN!M:M,"")</f>
        <v>0</v>
      </c>
      <c r="K252">
        <f>IF(J252=0,0,_xlfn.XLOOKUP(C252,CLIENT_CODE!B:B,CLIENT_CODE!I:I,0))</f>
        <v>0</v>
      </c>
      <c r="L252">
        <f>_xlfn.XLOOKUP(B252,CRN!G:G,CRN!N:N,"")</f>
        <v>0</v>
      </c>
      <c r="M252">
        <f>IF(L252=0,0,_xlfn.XLOOKUP(C252,CLIENT_CODE!B:B,CLIENT_CODE!J:J,0))</f>
        <v>0</v>
      </c>
      <c r="N252">
        <f>_xlfn.XLOOKUP(B252,CRN!G:G,CRN!O:O,"")</f>
        <v>0</v>
      </c>
      <c r="O252">
        <f>IF(N252=0,0,_xlfn.XLOOKUP(C252,CLIENT_CODE!B:B,CLIENT_CODE!K:K,0))</f>
        <v>0</v>
      </c>
      <c r="P252">
        <f>_xlfn.XLOOKUP(B252,CRN!G:G,CRN!P:P,"")</f>
        <v>0</v>
      </c>
      <c r="Q252">
        <f>IF(P252=0,0,_xlfn.XLOOKUP(C252,CLIENT_CODE!B:B,CLIENT_CODE!L:L,0))</f>
        <v>0</v>
      </c>
      <c r="R252">
        <f>_xlfn.XLOOKUP(B252,CRN!G:G,CRN!Q:Q,"")</f>
        <v>0</v>
      </c>
      <c r="S252">
        <f>IF(R252=0,0,_xlfn.XLOOKUP(C252,CLIENT_CODE!B:B,CLIENT_CODE!M:M,0))</f>
        <v>0</v>
      </c>
      <c r="T252">
        <f>_xlfn.XLOOKUP(B252,CRN!G:G,CRN!R:R,"")</f>
        <v>0</v>
      </c>
      <c r="U252">
        <f>IF(T252=0,0,_xlfn.XLOOKUP(C252,CLIENT_CODE!B:B,CLIENT_CODE!N:N,0))</f>
        <v>0</v>
      </c>
      <c r="V252">
        <f>_xlfn.XLOOKUP(B252,CRN!G:G,CRN!S:S,"")</f>
        <v>0</v>
      </c>
      <c r="W252">
        <f>IF(V252=0,0,_xlfn.XLOOKUP(C252,CLIENT_CODE!B:B,CLIENT_CODE!O:O,0))</f>
        <v>0</v>
      </c>
      <c r="X252">
        <f>_xlfn.XLOOKUP(B252,CRN!G:G,CRN!T:T,"")</f>
        <v>0</v>
      </c>
      <c r="Y252">
        <f>IF(X252=0,0,_xlfn.XLOOKUP(C252,CLIENT_CODE!B:B,CLIENT_CODE!P:P,0))</f>
        <v>0</v>
      </c>
      <c r="Z252">
        <f>_xlfn.XLOOKUP(B252,CRN!G:G,CRN!U:U,"")</f>
        <v>0</v>
      </c>
      <c r="AA252">
        <f>IF(X252=0,0,_xlfn.XLOOKUP(C252,CLIENT_CODE!B:B,CLIENT_CODE!P:P,0))</f>
        <v>0</v>
      </c>
      <c r="AB252">
        <f>_xlfn.XLOOKUP(B252,CRN!G:G,CRN!V:V,"")</f>
        <v>0</v>
      </c>
      <c r="AC252">
        <f>IF(AB252=0,0,_xlfn.XLOOKUP(C252,CLIENT_CODE!B:B,CLIENT_CODE!R:R,0))</f>
        <v>0</v>
      </c>
      <c r="AD252">
        <f t="shared" si="3"/>
        <v>0</v>
      </c>
    </row>
    <row r="253" spans="1:30">
      <c r="A253" s="42">
        <v>252</v>
      </c>
      <c r="E253">
        <f>IF(D253=0,0,_xlfn.XLOOKUP(C253,CLIENT_CODE!B:B,CLIENT_CODE!F:F,0))</f>
        <v>0</v>
      </c>
      <c r="F253">
        <f>_xlfn.XLOOKUP(B253,CRN!G:G,CRN!K:K,"")</f>
        <v>0</v>
      </c>
      <c r="G253">
        <f>IF(F253=0,0,_xlfn.XLOOKUP(C253,CLIENT_CODE!B:B,CLIENT_CODE!G:G,0))</f>
        <v>0</v>
      </c>
      <c r="H253">
        <f>_xlfn.XLOOKUP(B253,CRN!G:G,CRN!L:L,"")</f>
        <v>0</v>
      </c>
      <c r="I253">
        <f>IF(H253=0,0,_xlfn.XLOOKUP(C253,CLIENT_CODE!B:B,CLIENT_CODE!H:H,0))</f>
        <v>0</v>
      </c>
      <c r="J253">
        <f>_xlfn.XLOOKUP(B253,CRN!G:G,CRN!M:M,"")</f>
        <v>0</v>
      </c>
      <c r="K253">
        <f>IF(J253=0,0,_xlfn.XLOOKUP(C253,CLIENT_CODE!B:B,CLIENT_CODE!I:I,0))</f>
        <v>0</v>
      </c>
      <c r="L253">
        <f>_xlfn.XLOOKUP(B253,CRN!G:G,CRN!N:N,"")</f>
        <v>0</v>
      </c>
      <c r="M253">
        <f>IF(L253=0,0,_xlfn.XLOOKUP(C253,CLIENT_CODE!B:B,CLIENT_CODE!J:J,0))</f>
        <v>0</v>
      </c>
      <c r="N253">
        <f>_xlfn.XLOOKUP(B253,CRN!G:G,CRN!O:O,"")</f>
        <v>0</v>
      </c>
      <c r="O253">
        <f>IF(N253=0,0,_xlfn.XLOOKUP(C253,CLIENT_CODE!B:B,CLIENT_CODE!K:K,0))</f>
        <v>0</v>
      </c>
      <c r="P253">
        <f>_xlfn.XLOOKUP(B253,CRN!G:G,CRN!P:P,"")</f>
        <v>0</v>
      </c>
      <c r="Q253">
        <f>IF(P253=0,0,_xlfn.XLOOKUP(C253,CLIENT_CODE!B:B,CLIENT_CODE!L:L,0))</f>
        <v>0</v>
      </c>
      <c r="R253">
        <f>_xlfn.XLOOKUP(B253,CRN!G:G,CRN!Q:Q,"")</f>
        <v>0</v>
      </c>
      <c r="S253">
        <f>IF(R253=0,0,_xlfn.XLOOKUP(C253,CLIENT_CODE!B:B,CLIENT_CODE!M:M,0))</f>
        <v>0</v>
      </c>
      <c r="T253">
        <f>_xlfn.XLOOKUP(B253,CRN!G:G,CRN!R:R,"")</f>
        <v>0</v>
      </c>
      <c r="U253">
        <f>IF(T253=0,0,_xlfn.XLOOKUP(C253,CLIENT_CODE!B:B,CLIENT_CODE!N:N,0))</f>
        <v>0</v>
      </c>
      <c r="V253">
        <f>_xlfn.XLOOKUP(B253,CRN!G:G,CRN!S:S,"")</f>
        <v>0</v>
      </c>
      <c r="W253">
        <f>IF(V253=0,0,_xlfn.XLOOKUP(C253,CLIENT_CODE!B:B,CLIENT_CODE!O:O,0))</f>
        <v>0</v>
      </c>
      <c r="X253">
        <f>_xlfn.XLOOKUP(B253,CRN!G:G,CRN!T:T,"")</f>
        <v>0</v>
      </c>
      <c r="Y253">
        <f>IF(X253=0,0,_xlfn.XLOOKUP(C253,CLIENT_CODE!B:B,CLIENT_CODE!P:P,0))</f>
        <v>0</v>
      </c>
      <c r="Z253">
        <f>_xlfn.XLOOKUP(B253,CRN!G:G,CRN!U:U,"")</f>
        <v>0</v>
      </c>
      <c r="AA253">
        <f>IF(X253=0,0,_xlfn.XLOOKUP(C253,CLIENT_CODE!B:B,CLIENT_CODE!P:P,0))</f>
        <v>0</v>
      </c>
      <c r="AB253">
        <f>_xlfn.XLOOKUP(B253,CRN!G:G,CRN!V:V,"")</f>
        <v>0</v>
      </c>
      <c r="AC253">
        <f>IF(AB253=0,0,_xlfn.XLOOKUP(C253,CLIENT_CODE!B:B,CLIENT_CODE!R:R,0))</f>
        <v>0</v>
      </c>
      <c r="AD253">
        <f t="shared" si="3"/>
        <v>0</v>
      </c>
    </row>
    <row r="254" spans="1:30">
      <c r="A254" s="42">
        <v>253</v>
      </c>
      <c r="E254">
        <f>IF(D254=0,0,_xlfn.XLOOKUP(C254,CLIENT_CODE!B:B,CLIENT_CODE!F:F,0))</f>
        <v>0</v>
      </c>
      <c r="F254">
        <f>_xlfn.XLOOKUP(B254,CRN!G:G,CRN!K:K,"")</f>
        <v>0</v>
      </c>
      <c r="G254">
        <f>IF(F254=0,0,_xlfn.XLOOKUP(C254,CLIENT_CODE!B:B,CLIENT_CODE!G:G,0))</f>
        <v>0</v>
      </c>
      <c r="H254">
        <f>_xlfn.XLOOKUP(B254,CRN!G:G,CRN!L:L,"")</f>
        <v>0</v>
      </c>
      <c r="I254">
        <f>IF(H254=0,0,_xlfn.XLOOKUP(C254,CLIENT_CODE!B:B,CLIENT_CODE!H:H,0))</f>
        <v>0</v>
      </c>
      <c r="J254">
        <f>_xlfn.XLOOKUP(B254,CRN!G:G,CRN!M:M,"")</f>
        <v>0</v>
      </c>
      <c r="K254">
        <f>IF(J254=0,0,_xlfn.XLOOKUP(C254,CLIENT_CODE!B:B,CLIENT_CODE!I:I,0))</f>
        <v>0</v>
      </c>
      <c r="L254">
        <f>_xlfn.XLOOKUP(B254,CRN!G:G,CRN!N:N,"")</f>
        <v>0</v>
      </c>
      <c r="M254">
        <f>IF(L254=0,0,_xlfn.XLOOKUP(C254,CLIENT_CODE!B:B,CLIENT_CODE!J:J,0))</f>
        <v>0</v>
      </c>
      <c r="N254">
        <f>_xlfn.XLOOKUP(B254,CRN!G:G,CRN!O:O,"")</f>
        <v>0</v>
      </c>
      <c r="O254">
        <f>IF(N254=0,0,_xlfn.XLOOKUP(C254,CLIENT_CODE!B:B,CLIENT_CODE!K:K,0))</f>
        <v>0</v>
      </c>
      <c r="P254">
        <f>_xlfn.XLOOKUP(B254,CRN!G:G,CRN!P:P,"")</f>
        <v>0</v>
      </c>
      <c r="Q254">
        <f>IF(P254=0,0,_xlfn.XLOOKUP(C254,CLIENT_CODE!B:B,CLIENT_CODE!L:L,0))</f>
        <v>0</v>
      </c>
      <c r="R254">
        <f>_xlfn.XLOOKUP(B254,CRN!G:G,CRN!Q:Q,"")</f>
        <v>0</v>
      </c>
      <c r="S254">
        <f>IF(R254=0,0,_xlfn.XLOOKUP(C254,CLIENT_CODE!B:B,CLIENT_CODE!M:M,0))</f>
        <v>0</v>
      </c>
      <c r="T254">
        <f>_xlfn.XLOOKUP(B254,CRN!G:G,CRN!R:R,"")</f>
        <v>0</v>
      </c>
      <c r="U254">
        <f>IF(T254=0,0,_xlfn.XLOOKUP(C254,CLIENT_CODE!B:B,CLIENT_CODE!N:N,0))</f>
        <v>0</v>
      </c>
      <c r="V254">
        <f>_xlfn.XLOOKUP(B254,CRN!G:G,CRN!S:S,"")</f>
        <v>0</v>
      </c>
      <c r="W254">
        <f>IF(V254=0,0,_xlfn.XLOOKUP(C254,CLIENT_CODE!B:B,CLIENT_CODE!O:O,0))</f>
        <v>0</v>
      </c>
      <c r="X254">
        <f>_xlfn.XLOOKUP(B254,CRN!G:G,CRN!T:T,"")</f>
        <v>0</v>
      </c>
      <c r="Y254">
        <f>IF(X254=0,0,_xlfn.XLOOKUP(C254,CLIENT_CODE!B:B,CLIENT_CODE!P:P,0))</f>
        <v>0</v>
      </c>
      <c r="Z254">
        <f>_xlfn.XLOOKUP(B254,CRN!G:G,CRN!U:U,"")</f>
        <v>0</v>
      </c>
      <c r="AA254">
        <f>IF(X254=0,0,_xlfn.XLOOKUP(C254,CLIENT_CODE!B:B,CLIENT_CODE!P:P,0))</f>
        <v>0</v>
      </c>
      <c r="AB254">
        <f>_xlfn.XLOOKUP(B254,CRN!G:G,CRN!V:V,"")</f>
        <v>0</v>
      </c>
      <c r="AC254">
        <f>IF(AB254=0,0,_xlfn.XLOOKUP(C254,CLIENT_CODE!B:B,CLIENT_CODE!R:R,0))</f>
        <v>0</v>
      </c>
      <c r="AD254">
        <f t="shared" si="3"/>
        <v>0</v>
      </c>
    </row>
    <row r="255" spans="1:30">
      <c r="A255" s="42">
        <v>254</v>
      </c>
      <c r="E255">
        <f>IF(D255=0,0,_xlfn.XLOOKUP(C255,CLIENT_CODE!B:B,CLIENT_CODE!F:F,0))</f>
        <v>0</v>
      </c>
      <c r="F255">
        <f>_xlfn.XLOOKUP(B255,CRN!G:G,CRN!K:K,"")</f>
        <v>0</v>
      </c>
      <c r="G255">
        <f>IF(F255=0,0,_xlfn.XLOOKUP(C255,CLIENT_CODE!B:B,CLIENT_CODE!G:G,0))</f>
        <v>0</v>
      </c>
      <c r="H255">
        <f>_xlfn.XLOOKUP(B255,CRN!G:G,CRN!L:L,"")</f>
        <v>0</v>
      </c>
      <c r="I255">
        <f>IF(H255=0,0,_xlfn.XLOOKUP(C255,CLIENT_CODE!B:B,CLIENT_CODE!H:H,0))</f>
        <v>0</v>
      </c>
      <c r="J255">
        <f>_xlfn.XLOOKUP(B255,CRN!G:G,CRN!M:M,"")</f>
        <v>0</v>
      </c>
      <c r="K255">
        <f>IF(J255=0,0,_xlfn.XLOOKUP(C255,CLIENT_CODE!B:B,CLIENT_CODE!I:I,0))</f>
        <v>0</v>
      </c>
      <c r="L255">
        <f>_xlfn.XLOOKUP(B255,CRN!G:G,CRN!N:N,"")</f>
        <v>0</v>
      </c>
      <c r="M255">
        <f>IF(L255=0,0,_xlfn.XLOOKUP(C255,CLIENT_CODE!B:B,CLIENT_CODE!J:J,0))</f>
        <v>0</v>
      </c>
      <c r="N255">
        <f>_xlfn.XLOOKUP(B255,CRN!G:G,CRN!O:O,"")</f>
        <v>0</v>
      </c>
      <c r="O255">
        <f>IF(N255=0,0,_xlfn.XLOOKUP(C255,CLIENT_CODE!B:B,CLIENT_CODE!K:K,0))</f>
        <v>0</v>
      </c>
      <c r="P255">
        <f>_xlfn.XLOOKUP(B255,CRN!G:G,CRN!P:P,"")</f>
        <v>0</v>
      </c>
      <c r="Q255">
        <f>IF(P255=0,0,_xlfn.XLOOKUP(C255,CLIENT_CODE!B:B,CLIENT_CODE!L:L,0))</f>
        <v>0</v>
      </c>
      <c r="R255">
        <f>_xlfn.XLOOKUP(B255,CRN!G:G,CRN!Q:Q,"")</f>
        <v>0</v>
      </c>
      <c r="S255">
        <f>IF(R255=0,0,_xlfn.XLOOKUP(C255,CLIENT_CODE!B:B,CLIENT_CODE!M:M,0))</f>
        <v>0</v>
      </c>
      <c r="T255">
        <f>_xlfn.XLOOKUP(B255,CRN!G:G,CRN!R:R,"")</f>
        <v>0</v>
      </c>
      <c r="U255">
        <f>IF(T255=0,0,_xlfn.XLOOKUP(C255,CLIENT_CODE!B:B,CLIENT_CODE!N:N,0))</f>
        <v>0</v>
      </c>
      <c r="V255">
        <f>_xlfn.XLOOKUP(B255,CRN!G:G,CRN!S:S,"")</f>
        <v>0</v>
      </c>
      <c r="W255">
        <f>IF(V255=0,0,_xlfn.XLOOKUP(C255,CLIENT_CODE!B:B,CLIENT_CODE!O:O,0))</f>
        <v>0</v>
      </c>
      <c r="X255">
        <f>_xlfn.XLOOKUP(B255,CRN!G:G,CRN!T:T,"")</f>
        <v>0</v>
      </c>
      <c r="Y255">
        <f>IF(X255=0,0,_xlfn.XLOOKUP(C255,CLIENT_CODE!B:B,CLIENT_CODE!P:P,0))</f>
        <v>0</v>
      </c>
      <c r="Z255">
        <f>_xlfn.XLOOKUP(B255,CRN!G:G,CRN!U:U,"")</f>
        <v>0</v>
      </c>
      <c r="AA255">
        <f>IF(X255=0,0,_xlfn.XLOOKUP(C255,CLIENT_CODE!B:B,CLIENT_CODE!P:P,0))</f>
        <v>0</v>
      </c>
      <c r="AB255">
        <f>_xlfn.XLOOKUP(B255,CRN!G:G,CRN!V:V,"")</f>
        <v>0</v>
      </c>
      <c r="AC255">
        <f>IF(AB255=0,0,_xlfn.XLOOKUP(C255,CLIENT_CODE!B:B,CLIENT_CODE!R:R,0))</f>
        <v>0</v>
      </c>
      <c r="AD255">
        <f t="shared" si="3"/>
        <v>0</v>
      </c>
    </row>
    <row r="256" spans="1:30">
      <c r="A256" s="42">
        <v>255</v>
      </c>
      <c r="E256">
        <f>IF(D256=0,0,_xlfn.XLOOKUP(C256,CLIENT_CODE!B:B,CLIENT_CODE!F:F,0))</f>
        <v>0</v>
      </c>
      <c r="F256">
        <f>_xlfn.XLOOKUP(B256,CRN!G:G,CRN!K:K,"")</f>
        <v>0</v>
      </c>
      <c r="G256">
        <f>IF(F256=0,0,_xlfn.XLOOKUP(C256,CLIENT_CODE!B:B,CLIENT_CODE!G:G,0))</f>
        <v>0</v>
      </c>
      <c r="H256">
        <f>_xlfn.XLOOKUP(B256,CRN!G:G,CRN!L:L,"")</f>
        <v>0</v>
      </c>
      <c r="I256">
        <f>IF(H256=0,0,_xlfn.XLOOKUP(C256,CLIENT_CODE!B:B,CLIENT_CODE!H:H,0))</f>
        <v>0</v>
      </c>
      <c r="J256">
        <f>_xlfn.XLOOKUP(B256,CRN!G:G,CRN!M:M,"")</f>
        <v>0</v>
      </c>
      <c r="K256">
        <f>IF(J256=0,0,_xlfn.XLOOKUP(C256,CLIENT_CODE!B:B,CLIENT_CODE!I:I,0))</f>
        <v>0</v>
      </c>
      <c r="L256">
        <f>_xlfn.XLOOKUP(B256,CRN!G:G,CRN!N:N,"")</f>
        <v>0</v>
      </c>
      <c r="M256">
        <f>IF(L256=0,0,_xlfn.XLOOKUP(C256,CLIENT_CODE!B:B,CLIENT_CODE!J:J,0))</f>
        <v>0</v>
      </c>
      <c r="N256">
        <f>_xlfn.XLOOKUP(B256,CRN!G:G,CRN!O:O,"")</f>
        <v>0</v>
      </c>
      <c r="O256">
        <f>IF(N256=0,0,_xlfn.XLOOKUP(C256,CLIENT_CODE!B:B,CLIENT_CODE!K:K,0))</f>
        <v>0</v>
      </c>
      <c r="P256">
        <f>_xlfn.XLOOKUP(B256,CRN!G:G,CRN!P:P,"")</f>
        <v>0</v>
      </c>
      <c r="Q256">
        <f>IF(P256=0,0,_xlfn.XLOOKUP(C256,CLIENT_CODE!B:B,CLIENT_CODE!L:L,0))</f>
        <v>0</v>
      </c>
      <c r="R256">
        <f>_xlfn.XLOOKUP(B256,CRN!G:G,CRN!Q:Q,"")</f>
        <v>0</v>
      </c>
      <c r="S256">
        <f>IF(R256=0,0,_xlfn.XLOOKUP(C256,CLIENT_CODE!B:B,CLIENT_CODE!M:M,0))</f>
        <v>0</v>
      </c>
      <c r="T256">
        <f>_xlfn.XLOOKUP(B256,CRN!G:G,CRN!R:R,"")</f>
        <v>0</v>
      </c>
      <c r="U256">
        <f>IF(T256=0,0,_xlfn.XLOOKUP(C256,CLIENT_CODE!B:B,CLIENT_CODE!N:N,0))</f>
        <v>0</v>
      </c>
      <c r="V256">
        <f>_xlfn.XLOOKUP(B256,CRN!G:G,CRN!S:S,"")</f>
        <v>0</v>
      </c>
      <c r="W256">
        <f>IF(V256=0,0,_xlfn.XLOOKUP(C256,CLIENT_CODE!B:B,CLIENT_CODE!O:O,0))</f>
        <v>0</v>
      </c>
      <c r="X256">
        <f>_xlfn.XLOOKUP(B256,CRN!G:G,CRN!T:T,"")</f>
        <v>0</v>
      </c>
      <c r="Y256">
        <f>IF(X256=0,0,_xlfn.XLOOKUP(C256,CLIENT_CODE!B:B,CLIENT_CODE!P:P,0))</f>
        <v>0</v>
      </c>
      <c r="Z256">
        <f>_xlfn.XLOOKUP(B256,CRN!G:G,CRN!U:U,"")</f>
        <v>0</v>
      </c>
      <c r="AA256">
        <f>IF(X256=0,0,_xlfn.XLOOKUP(C256,CLIENT_CODE!B:B,CLIENT_CODE!P:P,0))</f>
        <v>0</v>
      </c>
      <c r="AB256">
        <f>_xlfn.XLOOKUP(B256,CRN!G:G,CRN!V:V,"")</f>
        <v>0</v>
      </c>
      <c r="AC256">
        <f>IF(AB256=0,0,_xlfn.XLOOKUP(C256,CLIENT_CODE!B:B,CLIENT_CODE!R:R,0))</f>
        <v>0</v>
      </c>
      <c r="AD256">
        <f t="shared" si="3"/>
        <v>0</v>
      </c>
    </row>
    <row r="257" spans="1:30">
      <c r="A257" s="42">
        <v>256</v>
      </c>
      <c r="E257">
        <f>IF(D257=0,0,_xlfn.XLOOKUP(C257,CLIENT_CODE!B:B,CLIENT_CODE!F:F,0))</f>
        <v>0</v>
      </c>
      <c r="F257">
        <f>_xlfn.XLOOKUP(B257,CRN!G:G,CRN!K:K,"")</f>
        <v>0</v>
      </c>
      <c r="G257">
        <f>IF(F257=0,0,_xlfn.XLOOKUP(C257,CLIENT_CODE!B:B,CLIENT_CODE!G:G,0))</f>
        <v>0</v>
      </c>
      <c r="H257">
        <f>_xlfn.XLOOKUP(B257,CRN!G:G,CRN!L:L,"")</f>
        <v>0</v>
      </c>
      <c r="I257">
        <f>IF(H257=0,0,_xlfn.XLOOKUP(C257,CLIENT_CODE!B:B,CLIENT_CODE!H:H,0))</f>
        <v>0</v>
      </c>
      <c r="J257">
        <f>_xlfn.XLOOKUP(B257,CRN!G:G,CRN!M:M,"")</f>
        <v>0</v>
      </c>
      <c r="K257">
        <f>IF(J257=0,0,_xlfn.XLOOKUP(C257,CLIENT_CODE!B:B,CLIENT_CODE!I:I,0))</f>
        <v>0</v>
      </c>
      <c r="L257">
        <f>_xlfn.XLOOKUP(B257,CRN!G:G,CRN!N:N,"")</f>
        <v>0</v>
      </c>
      <c r="M257">
        <f>IF(L257=0,0,_xlfn.XLOOKUP(C257,CLIENT_CODE!B:B,CLIENT_CODE!J:J,0))</f>
        <v>0</v>
      </c>
      <c r="N257">
        <f>_xlfn.XLOOKUP(B257,CRN!G:G,CRN!O:O,"")</f>
        <v>0</v>
      </c>
      <c r="O257">
        <f>IF(N257=0,0,_xlfn.XLOOKUP(C257,CLIENT_CODE!B:B,CLIENT_CODE!K:K,0))</f>
        <v>0</v>
      </c>
      <c r="P257">
        <f>_xlfn.XLOOKUP(B257,CRN!G:G,CRN!P:P,"")</f>
        <v>0</v>
      </c>
      <c r="Q257">
        <f>IF(P257=0,0,_xlfn.XLOOKUP(C257,CLIENT_CODE!B:B,CLIENT_CODE!L:L,0))</f>
        <v>0</v>
      </c>
      <c r="R257">
        <f>_xlfn.XLOOKUP(B257,CRN!G:G,CRN!Q:Q,"")</f>
        <v>0</v>
      </c>
      <c r="S257">
        <f>IF(R257=0,0,_xlfn.XLOOKUP(C257,CLIENT_CODE!B:B,CLIENT_CODE!M:M,0))</f>
        <v>0</v>
      </c>
      <c r="T257">
        <f>_xlfn.XLOOKUP(B257,CRN!G:G,CRN!R:R,"")</f>
        <v>0</v>
      </c>
      <c r="U257">
        <f>IF(T257=0,0,_xlfn.XLOOKUP(C257,CLIENT_CODE!B:B,CLIENT_CODE!N:N,0))</f>
        <v>0</v>
      </c>
      <c r="V257">
        <f>_xlfn.XLOOKUP(B257,CRN!G:G,CRN!S:S,"")</f>
        <v>0</v>
      </c>
      <c r="W257">
        <f>IF(V257=0,0,_xlfn.XLOOKUP(C257,CLIENT_CODE!B:B,CLIENT_CODE!O:O,0))</f>
        <v>0</v>
      </c>
      <c r="X257">
        <f>_xlfn.XLOOKUP(B257,CRN!G:G,CRN!T:T,"")</f>
        <v>0</v>
      </c>
      <c r="Y257">
        <f>IF(X257=0,0,_xlfn.XLOOKUP(C257,CLIENT_CODE!B:B,CLIENT_CODE!P:P,0))</f>
        <v>0</v>
      </c>
      <c r="Z257">
        <f>_xlfn.XLOOKUP(B257,CRN!G:G,CRN!U:U,"")</f>
        <v>0</v>
      </c>
      <c r="AA257">
        <f>IF(X257=0,0,_xlfn.XLOOKUP(C257,CLIENT_CODE!B:B,CLIENT_CODE!P:P,0))</f>
        <v>0</v>
      </c>
      <c r="AB257">
        <f>_xlfn.XLOOKUP(B257,CRN!G:G,CRN!V:V,"")</f>
        <v>0</v>
      </c>
      <c r="AC257">
        <f>IF(AB257=0,0,_xlfn.XLOOKUP(C257,CLIENT_CODE!B:B,CLIENT_CODE!R:R,0))</f>
        <v>0</v>
      </c>
      <c r="AD257">
        <f t="shared" si="3"/>
        <v>0</v>
      </c>
    </row>
    <row r="258" spans="1:30">
      <c r="A258" s="42">
        <v>257</v>
      </c>
      <c r="E258">
        <f>IF(D258=0,0,_xlfn.XLOOKUP(C258,CLIENT_CODE!B:B,CLIENT_CODE!F:F,0))</f>
        <v>0</v>
      </c>
      <c r="F258">
        <f>_xlfn.XLOOKUP(B258,CRN!G:G,CRN!K:K,"")</f>
        <v>0</v>
      </c>
      <c r="G258">
        <f>IF(F258=0,0,_xlfn.XLOOKUP(C258,CLIENT_CODE!B:B,CLIENT_CODE!G:G,0))</f>
        <v>0</v>
      </c>
      <c r="H258">
        <f>_xlfn.XLOOKUP(B258,CRN!G:G,CRN!L:L,"")</f>
        <v>0</v>
      </c>
      <c r="I258">
        <f>IF(H258=0,0,_xlfn.XLOOKUP(C258,CLIENT_CODE!B:B,CLIENT_CODE!H:H,0))</f>
        <v>0</v>
      </c>
      <c r="J258">
        <f>_xlfn.XLOOKUP(B258,CRN!G:G,CRN!M:M,"")</f>
        <v>0</v>
      </c>
      <c r="K258">
        <f>IF(J258=0,0,_xlfn.XLOOKUP(C258,CLIENT_CODE!B:B,CLIENT_CODE!I:I,0))</f>
        <v>0</v>
      </c>
      <c r="L258">
        <f>_xlfn.XLOOKUP(B258,CRN!G:G,CRN!N:N,"")</f>
        <v>0</v>
      </c>
      <c r="M258">
        <f>IF(L258=0,0,_xlfn.XLOOKUP(C258,CLIENT_CODE!B:B,CLIENT_CODE!J:J,0))</f>
        <v>0</v>
      </c>
      <c r="N258">
        <f>_xlfn.XLOOKUP(B258,CRN!G:G,CRN!O:O,"")</f>
        <v>0</v>
      </c>
      <c r="O258">
        <f>IF(N258=0,0,_xlfn.XLOOKUP(C258,CLIENT_CODE!B:B,CLIENT_CODE!K:K,0))</f>
        <v>0</v>
      </c>
      <c r="P258">
        <f>_xlfn.XLOOKUP(B258,CRN!G:G,CRN!P:P,"")</f>
        <v>0</v>
      </c>
      <c r="Q258">
        <f>IF(P258=0,0,_xlfn.XLOOKUP(C258,CLIENT_CODE!B:B,CLIENT_CODE!L:L,0))</f>
        <v>0</v>
      </c>
      <c r="R258">
        <f>_xlfn.XLOOKUP(B258,CRN!G:G,CRN!Q:Q,"")</f>
        <v>0</v>
      </c>
      <c r="S258">
        <f>IF(R258=0,0,_xlfn.XLOOKUP(C258,CLIENT_CODE!B:B,CLIENT_CODE!M:M,0))</f>
        <v>0</v>
      </c>
      <c r="T258">
        <f>_xlfn.XLOOKUP(B258,CRN!G:G,CRN!R:R,"")</f>
        <v>0</v>
      </c>
      <c r="U258">
        <f>IF(T258=0,0,_xlfn.XLOOKUP(C258,CLIENT_CODE!B:B,CLIENT_CODE!N:N,0))</f>
        <v>0</v>
      </c>
      <c r="V258">
        <f>_xlfn.XLOOKUP(B258,CRN!G:G,CRN!S:S,"")</f>
        <v>0</v>
      </c>
      <c r="W258">
        <f>IF(V258=0,0,_xlfn.XLOOKUP(C258,CLIENT_CODE!B:B,CLIENT_CODE!O:O,0))</f>
        <v>0</v>
      </c>
      <c r="X258">
        <f>_xlfn.XLOOKUP(B258,CRN!G:G,CRN!T:T,"")</f>
        <v>0</v>
      </c>
      <c r="Y258">
        <f>IF(X258=0,0,_xlfn.XLOOKUP(C258,CLIENT_CODE!B:B,CLIENT_CODE!P:P,0))</f>
        <v>0</v>
      </c>
      <c r="Z258">
        <f>_xlfn.XLOOKUP(B258,CRN!G:G,CRN!U:U,"")</f>
        <v>0</v>
      </c>
      <c r="AA258">
        <f>IF(X258=0,0,_xlfn.XLOOKUP(C258,CLIENT_CODE!B:B,CLIENT_CODE!P:P,0))</f>
        <v>0</v>
      </c>
      <c r="AB258">
        <f>_xlfn.XLOOKUP(B258,CRN!G:G,CRN!V:V,"")</f>
        <v>0</v>
      </c>
      <c r="AC258">
        <f>IF(AB258=0,0,_xlfn.XLOOKUP(C258,CLIENT_CODE!B:B,CLIENT_CODE!R:R,0))</f>
        <v>0</v>
      </c>
      <c r="AD258">
        <f t="shared" si="3"/>
        <v>0</v>
      </c>
    </row>
    <row r="259" spans="1:30">
      <c r="A259" s="42">
        <v>258</v>
      </c>
      <c r="E259">
        <f>IF(D259=0,0,_xlfn.XLOOKUP(C259,CLIENT_CODE!B:B,CLIENT_CODE!F:F,0))</f>
        <v>0</v>
      </c>
      <c r="F259">
        <f>_xlfn.XLOOKUP(B259,CRN!G:G,CRN!K:K,"")</f>
        <v>0</v>
      </c>
      <c r="G259">
        <f>IF(F259=0,0,_xlfn.XLOOKUP(C259,CLIENT_CODE!B:B,CLIENT_CODE!G:G,0))</f>
        <v>0</v>
      </c>
      <c r="H259">
        <f>_xlfn.XLOOKUP(B259,CRN!G:G,CRN!L:L,"")</f>
        <v>0</v>
      </c>
      <c r="I259">
        <f>IF(H259=0,0,_xlfn.XLOOKUP(C259,CLIENT_CODE!B:B,CLIENT_CODE!H:H,0))</f>
        <v>0</v>
      </c>
      <c r="J259">
        <f>_xlfn.XLOOKUP(B259,CRN!G:G,CRN!M:M,"")</f>
        <v>0</v>
      </c>
      <c r="K259">
        <f>IF(J259=0,0,_xlfn.XLOOKUP(C259,CLIENT_CODE!B:B,CLIENT_CODE!I:I,0))</f>
        <v>0</v>
      </c>
      <c r="L259">
        <f>_xlfn.XLOOKUP(B259,CRN!G:G,CRN!N:N,"")</f>
        <v>0</v>
      </c>
      <c r="M259">
        <f>IF(L259=0,0,_xlfn.XLOOKUP(C259,CLIENT_CODE!B:B,CLIENT_CODE!J:J,0))</f>
        <v>0</v>
      </c>
      <c r="N259">
        <f>_xlfn.XLOOKUP(B259,CRN!G:G,CRN!O:O,"")</f>
        <v>0</v>
      </c>
      <c r="O259">
        <f>IF(N259=0,0,_xlfn.XLOOKUP(C259,CLIENT_CODE!B:B,CLIENT_CODE!K:K,0))</f>
        <v>0</v>
      </c>
      <c r="P259">
        <f>_xlfn.XLOOKUP(B259,CRN!G:G,CRN!P:P,"")</f>
        <v>0</v>
      </c>
      <c r="Q259">
        <f>IF(P259=0,0,_xlfn.XLOOKUP(C259,CLIENT_CODE!B:B,CLIENT_CODE!L:L,0))</f>
        <v>0</v>
      </c>
      <c r="R259">
        <f>_xlfn.XLOOKUP(B259,CRN!G:G,CRN!Q:Q,"")</f>
        <v>0</v>
      </c>
      <c r="S259">
        <f>IF(R259=0,0,_xlfn.XLOOKUP(C259,CLIENT_CODE!B:B,CLIENT_CODE!M:M,0))</f>
        <v>0</v>
      </c>
      <c r="T259">
        <f>_xlfn.XLOOKUP(B259,CRN!G:G,CRN!R:R,"")</f>
        <v>0</v>
      </c>
      <c r="U259">
        <f>IF(T259=0,0,_xlfn.XLOOKUP(C259,CLIENT_CODE!B:B,CLIENT_CODE!N:N,0))</f>
        <v>0</v>
      </c>
      <c r="V259">
        <f>_xlfn.XLOOKUP(B259,CRN!G:G,CRN!S:S,"")</f>
        <v>0</v>
      </c>
      <c r="W259">
        <f>IF(V259=0,0,_xlfn.XLOOKUP(C259,CLIENT_CODE!B:B,CLIENT_CODE!O:O,0))</f>
        <v>0</v>
      </c>
      <c r="X259">
        <f>_xlfn.XLOOKUP(B259,CRN!G:G,CRN!T:T,"")</f>
        <v>0</v>
      </c>
      <c r="Y259">
        <f>IF(X259=0,0,_xlfn.XLOOKUP(C259,CLIENT_CODE!B:B,CLIENT_CODE!P:P,0))</f>
        <v>0</v>
      </c>
      <c r="Z259">
        <f>_xlfn.XLOOKUP(B259,CRN!G:G,CRN!U:U,"")</f>
        <v>0</v>
      </c>
      <c r="AA259">
        <f>IF(X259=0,0,_xlfn.XLOOKUP(C259,CLIENT_CODE!B:B,CLIENT_CODE!P:P,0))</f>
        <v>0</v>
      </c>
      <c r="AB259">
        <f>_xlfn.XLOOKUP(B259,CRN!G:G,CRN!V:V,"")</f>
        <v>0</v>
      </c>
      <c r="AC259">
        <f>IF(AB259=0,0,_xlfn.XLOOKUP(C259,CLIENT_CODE!B:B,CLIENT_CODE!R:R,0))</f>
        <v>0</v>
      </c>
      <c r="AD259">
        <f t="shared" ref="AD259:AD322" si="4">SUM(E259,G259,I259,K259,M259,O259,Q259,S259,U259,W259,Y259,AA259,AC259,)</f>
        <v>0</v>
      </c>
    </row>
    <row r="260" spans="1:30">
      <c r="A260" s="42">
        <v>259</v>
      </c>
      <c r="E260">
        <f>IF(D260=0,0,_xlfn.XLOOKUP(C260,CLIENT_CODE!B:B,CLIENT_CODE!F:F,0))</f>
        <v>0</v>
      </c>
      <c r="F260">
        <f>_xlfn.XLOOKUP(B260,CRN!G:G,CRN!K:K,"")</f>
        <v>0</v>
      </c>
      <c r="G260">
        <f>IF(F260=0,0,_xlfn.XLOOKUP(C260,CLIENT_CODE!B:B,CLIENT_CODE!G:G,0))</f>
        <v>0</v>
      </c>
      <c r="H260">
        <f>_xlfn.XLOOKUP(B260,CRN!G:G,CRN!L:L,"")</f>
        <v>0</v>
      </c>
      <c r="I260">
        <f>IF(H260=0,0,_xlfn.XLOOKUP(C260,CLIENT_CODE!B:B,CLIENT_CODE!H:H,0))</f>
        <v>0</v>
      </c>
      <c r="J260">
        <f>_xlfn.XLOOKUP(B260,CRN!G:G,CRN!M:M,"")</f>
        <v>0</v>
      </c>
      <c r="K260">
        <f>IF(J260=0,0,_xlfn.XLOOKUP(C260,CLIENT_CODE!B:B,CLIENT_CODE!I:I,0))</f>
        <v>0</v>
      </c>
      <c r="L260">
        <f>_xlfn.XLOOKUP(B260,CRN!G:G,CRN!N:N,"")</f>
        <v>0</v>
      </c>
      <c r="M260">
        <f>IF(L260=0,0,_xlfn.XLOOKUP(C260,CLIENT_CODE!B:B,CLIENT_CODE!J:J,0))</f>
        <v>0</v>
      </c>
      <c r="N260">
        <f>_xlfn.XLOOKUP(B260,CRN!G:G,CRN!O:O,"")</f>
        <v>0</v>
      </c>
      <c r="O260">
        <f>IF(N260=0,0,_xlfn.XLOOKUP(C260,CLIENT_CODE!B:B,CLIENT_CODE!K:K,0))</f>
        <v>0</v>
      </c>
      <c r="P260">
        <f>_xlfn.XLOOKUP(B260,CRN!G:G,CRN!P:P,"")</f>
        <v>0</v>
      </c>
      <c r="Q260">
        <f>IF(P260=0,0,_xlfn.XLOOKUP(C260,CLIENT_CODE!B:B,CLIENT_CODE!L:L,0))</f>
        <v>0</v>
      </c>
      <c r="R260">
        <f>_xlfn.XLOOKUP(B260,CRN!G:G,CRN!Q:Q,"")</f>
        <v>0</v>
      </c>
      <c r="S260">
        <f>IF(R260=0,0,_xlfn.XLOOKUP(C260,CLIENT_CODE!B:B,CLIENT_CODE!M:M,0))</f>
        <v>0</v>
      </c>
      <c r="T260">
        <f>_xlfn.XLOOKUP(B260,CRN!G:G,CRN!R:R,"")</f>
        <v>0</v>
      </c>
      <c r="U260">
        <f>IF(T260=0,0,_xlfn.XLOOKUP(C260,CLIENT_CODE!B:B,CLIENT_CODE!N:N,0))</f>
        <v>0</v>
      </c>
      <c r="V260">
        <f>_xlfn.XLOOKUP(B260,CRN!G:G,CRN!S:S,"")</f>
        <v>0</v>
      </c>
      <c r="W260">
        <f>IF(V260=0,0,_xlfn.XLOOKUP(C260,CLIENT_CODE!B:B,CLIENT_CODE!O:O,0))</f>
        <v>0</v>
      </c>
      <c r="X260">
        <f>_xlfn.XLOOKUP(B260,CRN!G:G,CRN!T:T,"")</f>
        <v>0</v>
      </c>
      <c r="Y260">
        <f>IF(X260=0,0,_xlfn.XLOOKUP(C260,CLIENT_CODE!B:B,CLIENT_CODE!P:P,0))</f>
        <v>0</v>
      </c>
      <c r="Z260">
        <f>_xlfn.XLOOKUP(B260,CRN!G:G,CRN!U:U,"")</f>
        <v>0</v>
      </c>
      <c r="AA260">
        <f>IF(X260=0,0,_xlfn.XLOOKUP(C260,CLIENT_CODE!B:B,CLIENT_CODE!P:P,0))</f>
        <v>0</v>
      </c>
      <c r="AB260">
        <f>_xlfn.XLOOKUP(B260,CRN!G:G,CRN!V:V,"")</f>
        <v>0</v>
      </c>
      <c r="AC260">
        <f>IF(AB260=0,0,_xlfn.XLOOKUP(C260,CLIENT_CODE!B:B,CLIENT_CODE!R:R,0))</f>
        <v>0</v>
      </c>
      <c r="AD260">
        <f t="shared" si="4"/>
        <v>0</v>
      </c>
    </row>
    <row r="261" spans="1:30">
      <c r="A261" s="42">
        <v>260</v>
      </c>
      <c r="E261">
        <f>IF(D261=0,0,_xlfn.XLOOKUP(C261,CLIENT_CODE!B:B,CLIENT_CODE!F:F,0))</f>
        <v>0</v>
      </c>
      <c r="F261">
        <f>_xlfn.XLOOKUP(B261,CRN!G:G,CRN!K:K,"")</f>
        <v>0</v>
      </c>
      <c r="G261">
        <f>IF(F261=0,0,_xlfn.XLOOKUP(C261,CLIENT_CODE!B:B,CLIENT_CODE!G:G,0))</f>
        <v>0</v>
      </c>
      <c r="H261">
        <f>_xlfn.XLOOKUP(B261,CRN!G:G,CRN!L:L,"")</f>
        <v>0</v>
      </c>
      <c r="I261">
        <f>IF(H261=0,0,_xlfn.XLOOKUP(C261,CLIENT_CODE!B:B,CLIENT_CODE!H:H,0))</f>
        <v>0</v>
      </c>
      <c r="J261">
        <f>_xlfn.XLOOKUP(B261,CRN!G:G,CRN!M:M,"")</f>
        <v>0</v>
      </c>
      <c r="K261">
        <f>IF(J261=0,0,_xlfn.XLOOKUP(C261,CLIENT_CODE!B:B,CLIENT_CODE!I:I,0))</f>
        <v>0</v>
      </c>
      <c r="L261">
        <f>_xlfn.XLOOKUP(B261,CRN!G:G,CRN!N:N,"")</f>
        <v>0</v>
      </c>
      <c r="M261">
        <f>IF(L261=0,0,_xlfn.XLOOKUP(C261,CLIENT_CODE!B:B,CLIENT_CODE!J:J,0))</f>
        <v>0</v>
      </c>
      <c r="N261">
        <f>_xlfn.XLOOKUP(B261,CRN!G:G,CRN!O:O,"")</f>
        <v>0</v>
      </c>
      <c r="O261">
        <f>IF(N261=0,0,_xlfn.XLOOKUP(C261,CLIENT_CODE!B:B,CLIENT_CODE!K:K,0))</f>
        <v>0</v>
      </c>
      <c r="P261">
        <f>_xlfn.XLOOKUP(B261,CRN!G:G,CRN!P:P,"")</f>
        <v>0</v>
      </c>
      <c r="Q261">
        <f>IF(P261=0,0,_xlfn.XLOOKUP(C261,CLIENT_CODE!B:B,CLIENT_CODE!L:L,0))</f>
        <v>0</v>
      </c>
      <c r="R261">
        <f>_xlfn.XLOOKUP(B261,CRN!G:G,CRN!Q:Q,"")</f>
        <v>0</v>
      </c>
      <c r="S261">
        <f>IF(R261=0,0,_xlfn.XLOOKUP(C261,CLIENT_CODE!B:B,CLIENT_CODE!M:M,0))</f>
        <v>0</v>
      </c>
      <c r="T261">
        <f>_xlfn.XLOOKUP(B261,CRN!G:G,CRN!R:R,"")</f>
        <v>0</v>
      </c>
      <c r="U261">
        <f>IF(T261=0,0,_xlfn.XLOOKUP(C261,CLIENT_CODE!B:B,CLIENT_CODE!N:N,0))</f>
        <v>0</v>
      </c>
      <c r="V261">
        <f>_xlfn.XLOOKUP(B261,CRN!G:G,CRN!S:S,"")</f>
        <v>0</v>
      </c>
      <c r="W261">
        <f>IF(V261=0,0,_xlfn.XLOOKUP(C261,CLIENT_CODE!B:B,CLIENT_CODE!O:O,0))</f>
        <v>0</v>
      </c>
      <c r="X261">
        <f>_xlfn.XLOOKUP(B261,CRN!G:G,CRN!T:T,"")</f>
        <v>0</v>
      </c>
      <c r="Y261">
        <f>IF(X261=0,0,_xlfn.XLOOKUP(C261,CLIENT_CODE!B:B,CLIENT_CODE!P:P,0))</f>
        <v>0</v>
      </c>
      <c r="Z261">
        <f>_xlfn.XLOOKUP(B261,CRN!G:G,CRN!U:U,"")</f>
        <v>0</v>
      </c>
      <c r="AA261">
        <f>IF(X261=0,0,_xlfn.XLOOKUP(C261,CLIENT_CODE!B:B,CLIENT_CODE!P:P,0))</f>
        <v>0</v>
      </c>
      <c r="AB261">
        <f>_xlfn.XLOOKUP(B261,CRN!G:G,CRN!V:V,"")</f>
        <v>0</v>
      </c>
      <c r="AC261">
        <f>IF(AB261=0,0,_xlfn.XLOOKUP(C261,CLIENT_CODE!B:B,CLIENT_CODE!R:R,0))</f>
        <v>0</v>
      </c>
      <c r="AD261">
        <f t="shared" si="4"/>
        <v>0</v>
      </c>
    </row>
    <row r="262" spans="1:30">
      <c r="A262" s="42">
        <v>261</v>
      </c>
      <c r="E262">
        <f>IF(D262=0,0,_xlfn.XLOOKUP(C262,CLIENT_CODE!B:B,CLIENT_CODE!F:F,0))</f>
        <v>0</v>
      </c>
      <c r="F262">
        <f>_xlfn.XLOOKUP(B262,CRN!G:G,CRN!K:K,"")</f>
        <v>0</v>
      </c>
      <c r="G262">
        <f>IF(F262=0,0,_xlfn.XLOOKUP(C262,CLIENT_CODE!B:B,CLIENT_CODE!G:G,0))</f>
        <v>0</v>
      </c>
      <c r="H262">
        <f>_xlfn.XLOOKUP(B262,CRN!G:G,CRN!L:L,"")</f>
        <v>0</v>
      </c>
      <c r="I262">
        <f>IF(H262=0,0,_xlfn.XLOOKUP(C262,CLIENT_CODE!B:B,CLIENT_CODE!H:H,0))</f>
        <v>0</v>
      </c>
      <c r="J262">
        <f>_xlfn.XLOOKUP(B262,CRN!G:G,CRN!M:M,"")</f>
        <v>0</v>
      </c>
      <c r="K262">
        <f>IF(J262=0,0,_xlfn.XLOOKUP(C262,CLIENT_CODE!B:B,CLIENT_CODE!I:I,0))</f>
        <v>0</v>
      </c>
      <c r="L262">
        <f>_xlfn.XLOOKUP(B262,CRN!G:G,CRN!N:N,"")</f>
        <v>0</v>
      </c>
      <c r="M262">
        <f>IF(L262=0,0,_xlfn.XLOOKUP(C262,CLIENT_CODE!B:B,CLIENT_CODE!J:J,0))</f>
        <v>0</v>
      </c>
      <c r="N262">
        <f>_xlfn.XLOOKUP(B262,CRN!G:G,CRN!O:O,"")</f>
        <v>0</v>
      </c>
      <c r="O262">
        <f>IF(N262=0,0,_xlfn.XLOOKUP(C262,CLIENT_CODE!B:B,CLIENT_CODE!K:K,0))</f>
        <v>0</v>
      </c>
      <c r="P262">
        <f>_xlfn.XLOOKUP(B262,CRN!G:G,CRN!P:P,"")</f>
        <v>0</v>
      </c>
      <c r="Q262">
        <f>IF(P262=0,0,_xlfn.XLOOKUP(C262,CLIENT_CODE!B:B,CLIENT_CODE!L:L,0))</f>
        <v>0</v>
      </c>
      <c r="R262">
        <f>_xlfn.XLOOKUP(B262,CRN!G:G,CRN!Q:Q,"")</f>
        <v>0</v>
      </c>
      <c r="S262">
        <f>IF(R262=0,0,_xlfn.XLOOKUP(C262,CLIENT_CODE!B:B,CLIENT_CODE!M:M,0))</f>
        <v>0</v>
      </c>
      <c r="T262">
        <f>_xlfn.XLOOKUP(B262,CRN!G:G,CRN!R:R,"")</f>
        <v>0</v>
      </c>
      <c r="U262">
        <f>IF(T262=0,0,_xlfn.XLOOKUP(C262,CLIENT_CODE!B:B,CLIENT_CODE!N:N,0))</f>
        <v>0</v>
      </c>
      <c r="V262">
        <f>_xlfn.XLOOKUP(B262,CRN!G:G,CRN!S:S,"")</f>
        <v>0</v>
      </c>
      <c r="W262">
        <f>IF(V262=0,0,_xlfn.XLOOKUP(C262,CLIENT_CODE!B:B,CLIENT_CODE!O:O,0))</f>
        <v>0</v>
      </c>
      <c r="X262">
        <f>_xlfn.XLOOKUP(B262,CRN!G:G,CRN!T:T,"")</f>
        <v>0</v>
      </c>
      <c r="Y262">
        <f>IF(X262=0,0,_xlfn.XLOOKUP(C262,CLIENT_CODE!B:B,CLIENT_CODE!P:P,0))</f>
        <v>0</v>
      </c>
      <c r="Z262">
        <f>_xlfn.XLOOKUP(B262,CRN!G:G,CRN!U:U,"")</f>
        <v>0</v>
      </c>
      <c r="AA262">
        <f>IF(X262=0,0,_xlfn.XLOOKUP(C262,CLIENT_CODE!B:B,CLIENT_CODE!P:P,0))</f>
        <v>0</v>
      </c>
      <c r="AB262">
        <f>_xlfn.XLOOKUP(B262,CRN!G:G,CRN!V:V,"")</f>
        <v>0</v>
      </c>
      <c r="AC262">
        <f>IF(AB262=0,0,_xlfn.XLOOKUP(C262,CLIENT_CODE!B:B,CLIENT_CODE!R:R,0))</f>
        <v>0</v>
      </c>
      <c r="AD262">
        <f t="shared" si="4"/>
        <v>0</v>
      </c>
    </row>
    <row r="263" spans="1:30">
      <c r="A263" s="42">
        <v>262</v>
      </c>
      <c r="E263">
        <f>IF(D263=0,0,_xlfn.XLOOKUP(C263,CLIENT_CODE!B:B,CLIENT_CODE!F:F,0))</f>
        <v>0</v>
      </c>
      <c r="F263">
        <f>_xlfn.XLOOKUP(B263,CRN!G:G,CRN!K:K,"")</f>
        <v>0</v>
      </c>
      <c r="G263">
        <f>IF(F263=0,0,_xlfn.XLOOKUP(C263,CLIENT_CODE!B:B,CLIENT_CODE!G:G,0))</f>
        <v>0</v>
      </c>
      <c r="H263">
        <f>_xlfn.XLOOKUP(B263,CRN!G:G,CRN!L:L,"")</f>
        <v>0</v>
      </c>
      <c r="I263">
        <f>IF(H263=0,0,_xlfn.XLOOKUP(C263,CLIENT_CODE!B:B,CLIENT_CODE!H:H,0))</f>
        <v>0</v>
      </c>
      <c r="J263">
        <f>_xlfn.XLOOKUP(B263,CRN!G:G,CRN!M:M,"")</f>
        <v>0</v>
      </c>
      <c r="K263">
        <f>IF(J263=0,0,_xlfn.XLOOKUP(C263,CLIENT_CODE!B:B,CLIENT_CODE!I:I,0))</f>
        <v>0</v>
      </c>
      <c r="L263">
        <f>_xlfn.XLOOKUP(B263,CRN!G:G,CRN!N:N,"")</f>
        <v>0</v>
      </c>
      <c r="M263">
        <f>IF(L263=0,0,_xlfn.XLOOKUP(C263,CLIENT_CODE!B:B,CLIENT_CODE!J:J,0))</f>
        <v>0</v>
      </c>
      <c r="N263">
        <f>_xlfn.XLOOKUP(B263,CRN!G:G,CRN!O:O,"")</f>
        <v>0</v>
      </c>
      <c r="O263">
        <f>IF(N263=0,0,_xlfn.XLOOKUP(C263,CLIENT_CODE!B:B,CLIENT_CODE!K:K,0))</f>
        <v>0</v>
      </c>
      <c r="P263">
        <f>_xlfn.XLOOKUP(B263,CRN!G:G,CRN!P:P,"")</f>
        <v>0</v>
      </c>
      <c r="Q263">
        <f>IF(P263=0,0,_xlfn.XLOOKUP(C263,CLIENT_CODE!B:B,CLIENT_CODE!L:L,0))</f>
        <v>0</v>
      </c>
      <c r="R263">
        <f>_xlfn.XLOOKUP(B263,CRN!G:G,CRN!Q:Q,"")</f>
        <v>0</v>
      </c>
      <c r="S263">
        <f>IF(R263=0,0,_xlfn.XLOOKUP(C263,CLIENT_CODE!B:B,CLIENT_CODE!M:M,0))</f>
        <v>0</v>
      </c>
      <c r="T263">
        <f>_xlfn.XLOOKUP(B263,CRN!G:G,CRN!R:R,"")</f>
        <v>0</v>
      </c>
      <c r="U263">
        <f>IF(T263=0,0,_xlfn.XLOOKUP(C263,CLIENT_CODE!B:B,CLIENT_CODE!N:N,0))</f>
        <v>0</v>
      </c>
      <c r="V263">
        <f>_xlfn.XLOOKUP(B263,CRN!G:G,CRN!S:S,"")</f>
        <v>0</v>
      </c>
      <c r="W263">
        <f>IF(V263=0,0,_xlfn.XLOOKUP(C263,CLIENT_CODE!B:B,CLIENT_CODE!O:O,0))</f>
        <v>0</v>
      </c>
      <c r="X263">
        <f>_xlfn.XLOOKUP(B263,CRN!G:G,CRN!T:T,"")</f>
        <v>0</v>
      </c>
      <c r="Y263">
        <f>IF(X263=0,0,_xlfn.XLOOKUP(C263,CLIENT_CODE!B:B,CLIENT_CODE!P:P,0))</f>
        <v>0</v>
      </c>
      <c r="Z263">
        <f>_xlfn.XLOOKUP(B263,CRN!G:G,CRN!U:U,"")</f>
        <v>0</v>
      </c>
      <c r="AA263">
        <f>IF(X263=0,0,_xlfn.XLOOKUP(C263,CLIENT_CODE!B:B,CLIENT_CODE!P:P,0))</f>
        <v>0</v>
      </c>
      <c r="AB263">
        <f>_xlfn.XLOOKUP(B263,CRN!G:G,CRN!V:V,"")</f>
        <v>0</v>
      </c>
      <c r="AC263">
        <f>IF(AB263=0,0,_xlfn.XLOOKUP(C263,CLIENT_CODE!B:B,CLIENT_CODE!R:R,0))</f>
        <v>0</v>
      </c>
      <c r="AD263">
        <f t="shared" si="4"/>
        <v>0</v>
      </c>
    </row>
    <row r="264" spans="1:30">
      <c r="A264" s="42">
        <v>263</v>
      </c>
      <c r="E264">
        <f>IF(D264=0,0,_xlfn.XLOOKUP(C264,CLIENT_CODE!B:B,CLIENT_CODE!F:F,0))</f>
        <v>0</v>
      </c>
      <c r="F264">
        <f>_xlfn.XLOOKUP(B264,CRN!G:G,CRN!K:K,"")</f>
        <v>0</v>
      </c>
      <c r="G264">
        <f>IF(F264=0,0,_xlfn.XLOOKUP(C264,CLIENT_CODE!B:B,CLIENT_CODE!G:G,0))</f>
        <v>0</v>
      </c>
      <c r="H264">
        <f>_xlfn.XLOOKUP(B264,CRN!G:G,CRN!L:L,"")</f>
        <v>0</v>
      </c>
      <c r="I264">
        <f>IF(H264=0,0,_xlfn.XLOOKUP(C264,CLIENT_CODE!B:B,CLIENT_CODE!H:H,0))</f>
        <v>0</v>
      </c>
      <c r="J264">
        <f>_xlfn.XLOOKUP(B264,CRN!G:G,CRN!M:M,"")</f>
        <v>0</v>
      </c>
      <c r="K264">
        <f>IF(J264=0,0,_xlfn.XLOOKUP(C264,CLIENT_CODE!B:B,CLIENT_CODE!I:I,0))</f>
        <v>0</v>
      </c>
      <c r="L264">
        <f>_xlfn.XLOOKUP(B264,CRN!G:G,CRN!N:N,"")</f>
        <v>0</v>
      </c>
      <c r="M264">
        <f>IF(L264=0,0,_xlfn.XLOOKUP(C264,CLIENT_CODE!B:B,CLIENT_CODE!J:J,0))</f>
        <v>0</v>
      </c>
      <c r="N264">
        <f>_xlfn.XLOOKUP(B264,CRN!G:G,CRN!O:O,"")</f>
        <v>0</v>
      </c>
      <c r="O264">
        <f>IF(N264=0,0,_xlfn.XLOOKUP(C264,CLIENT_CODE!B:B,CLIENT_CODE!K:K,0))</f>
        <v>0</v>
      </c>
      <c r="P264">
        <f>_xlfn.XLOOKUP(B264,CRN!G:G,CRN!P:P,"")</f>
        <v>0</v>
      </c>
      <c r="Q264">
        <f>IF(P264=0,0,_xlfn.XLOOKUP(C264,CLIENT_CODE!B:B,CLIENT_CODE!L:L,0))</f>
        <v>0</v>
      </c>
      <c r="R264">
        <f>_xlfn.XLOOKUP(B264,CRN!G:G,CRN!Q:Q,"")</f>
        <v>0</v>
      </c>
      <c r="S264">
        <f>IF(R264=0,0,_xlfn.XLOOKUP(C264,CLIENT_CODE!B:B,CLIENT_CODE!M:M,0))</f>
        <v>0</v>
      </c>
      <c r="T264">
        <f>_xlfn.XLOOKUP(B264,CRN!G:G,CRN!R:R,"")</f>
        <v>0</v>
      </c>
      <c r="U264">
        <f>IF(T264=0,0,_xlfn.XLOOKUP(C264,CLIENT_CODE!B:B,CLIENT_CODE!N:N,0))</f>
        <v>0</v>
      </c>
      <c r="V264">
        <f>_xlfn.XLOOKUP(B264,CRN!G:G,CRN!S:S,"")</f>
        <v>0</v>
      </c>
      <c r="W264">
        <f>IF(V264=0,0,_xlfn.XLOOKUP(C264,CLIENT_CODE!B:B,CLIENT_CODE!O:O,0))</f>
        <v>0</v>
      </c>
      <c r="X264">
        <f>_xlfn.XLOOKUP(B264,CRN!G:G,CRN!T:T,"")</f>
        <v>0</v>
      </c>
      <c r="Y264">
        <f>IF(X264=0,0,_xlfn.XLOOKUP(C264,CLIENT_CODE!B:B,CLIENT_CODE!P:P,0))</f>
        <v>0</v>
      </c>
      <c r="Z264">
        <f>_xlfn.XLOOKUP(B264,CRN!G:G,CRN!U:U,"")</f>
        <v>0</v>
      </c>
      <c r="AA264">
        <f>IF(X264=0,0,_xlfn.XLOOKUP(C264,CLIENT_CODE!B:B,CLIENT_CODE!P:P,0))</f>
        <v>0</v>
      </c>
      <c r="AB264">
        <f>_xlfn.XLOOKUP(B264,CRN!G:G,CRN!V:V,"")</f>
        <v>0</v>
      </c>
      <c r="AC264">
        <f>IF(AB264=0,0,_xlfn.XLOOKUP(C264,CLIENT_CODE!B:B,CLIENT_CODE!R:R,0))</f>
        <v>0</v>
      </c>
      <c r="AD264">
        <f t="shared" si="4"/>
        <v>0</v>
      </c>
    </row>
    <row r="265" spans="1:30">
      <c r="A265" s="42">
        <v>264</v>
      </c>
      <c r="E265">
        <f>IF(D265=0,0,_xlfn.XLOOKUP(C265,CLIENT_CODE!B:B,CLIENT_CODE!F:F,0))</f>
        <v>0</v>
      </c>
      <c r="F265">
        <f>_xlfn.XLOOKUP(B265,CRN!G:G,CRN!K:K,"")</f>
        <v>0</v>
      </c>
      <c r="G265">
        <f>IF(F265=0,0,_xlfn.XLOOKUP(C265,CLIENT_CODE!B:B,CLIENT_CODE!G:G,0))</f>
        <v>0</v>
      </c>
      <c r="H265">
        <f>_xlfn.XLOOKUP(B265,CRN!G:G,CRN!L:L,"")</f>
        <v>0</v>
      </c>
      <c r="I265">
        <f>IF(H265=0,0,_xlfn.XLOOKUP(C265,CLIENT_CODE!B:B,CLIENT_CODE!H:H,0))</f>
        <v>0</v>
      </c>
      <c r="J265">
        <f>_xlfn.XLOOKUP(B265,CRN!G:G,CRN!M:M,"")</f>
        <v>0</v>
      </c>
      <c r="K265">
        <f>IF(J265=0,0,_xlfn.XLOOKUP(C265,CLIENT_CODE!B:B,CLIENT_CODE!I:I,0))</f>
        <v>0</v>
      </c>
      <c r="L265">
        <f>_xlfn.XLOOKUP(B265,CRN!G:G,CRN!N:N,"")</f>
        <v>0</v>
      </c>
      <c r="M265">
        <f>IF(L265=0,0,_xlfn.XLOOKUP(C265,CLIENT_CODE!B:B,CLIENT_CODE!J:J,0))</f>
        <v>0</v>
      </c>
      <c r="N265">
        <f>_xlfn.XLOOKUP(B265,CRN!G:G,CRN!O:O,"")</f>
        <v>0</v>
      </c>
      <c r="O265">
        <f>IF(N265=0,0,_xlfn.XLOOKUP(C265,CLIENT_CODE!B:B,CLIENT_CODE!K:K,0))</f>
        <v>0</v>
      </c>
      <c r="P265">
        <f>_xlfn.XLOOKUP(B265,CRN!G:G,CRN!P:P,"")</f>
        <v>0</v>
      </c>
      <c r="Q265">
        <f>IF(P265=0,0,_xlfn.XLOOKUP(C265,CLIENT_CODE!B:B,CLIENT_CODE!L:L,0))</f>
        <v>0</v>
      </c>
      <c r="R265">
        <f>_xlfn.XLOOKUP(B265,CRN!G:G,CRN!Q:Q,"")</f>
        <v>0</v>
      </c>
      <c r="S265">
        <f>IF(R265=0,0,_xlfn.XLOOKUP(C265,CLIENT_CODE!B:B,CLIENT_CODE!M:M,0))</f>
        <v>0</v>
      </c>
      <c r="T265">
        <f>_xlfn.XLOOKUP(B265,CRN!G:G,CRN!R:R,"")</f>
        <v>0</v>
      </c>
      <c r="U265">
        <f>IF(T265=0,0,_xlfn.XLOOKUP(C265,CLIENT_CODE!B:B,CLIENT_CODE!N:N,0))</f>
        <v>0</v>
      </c>
      <c r="V265">
        <f>_xlfn.XLOOKUP(B265,CRN!G:G,CRN!S:S,"")</f>
        <v>0</v>
      </c>
      <c r="W265">
        <f>IF(V265=0,0,_xlfn.XLOOKUP(C265,CLIENT_CODE!B:B,CLIENT_CODE!O:O,0))</f>
        <v>0</v>
      </c>
      <c r="X265">
        <f>_xlfn.XLOOKUP(B265,CRN!G:G,CRN!T:T,"")</f>
        <v>0</v>
      </c>
      <c r="Y265">
        <f>IF(X265=0,0,_xlfn.XLOOKUP(C265,CLIENT_CODE!B:B,CLIENT_CODE!P:P,0))</f>
        <v>0</v>
      </c>
      <c r="Z265">
        <f>_xlfn.XLOOKUP(B265,CRN!G:G,CRN!U:U,"")</f>
        <v>0</v>
      </c>
      <c r="AA265">
        <f>IF(X265=0,0,_xlfn.XLOOKUP(C265,CLIENT_CODE!B:B,CLIENT_CODE!P:P,0))</f>
        <v>0</v>
      </c>
      <c r="AB265">
        <f>_xlfn.XLOOKUP(B265,CRN!G:G,CRN!V:V,"")</f>
        <v>0</v>
      </c>
      <c r="AC265">
        <f>IF(AB265=0,0,_xlfn.XLOOKUP(C265,CLIENT_CODE!B:B,CLIENT_CODE!R:R,0))</f>
        <v>0</v>
      </c>
      <c r="AD265">
        <f t="shared" si="4"/>
        <v>0</v>
      </c>
    </row>
    <row r="266" spans="1:30">
      <c r="A266" s="42">
        <v>265</v>
      </c>
      <c r="E266">
        <f>IF(D266=0,0,_xlfn.XLOOKUP(C266,CLIENT_CODE!B:B,CLIENT_CODE!F:F,0))</f>
        <v>0</v>
      </c>
      <c r="F266">
        <f>_xlfn.XLOOKUP(B266,CRN!G:G,CRN!K:K,"")</f>
        <v>0</v>
      </c>
      <c r="G266">
        <f>IF(F266=0,0,_xlfn.XLOOKUP(C266,CLIENT_CODE!B:B,CLIENT_CODE!G:G,0))</f>
        <v>0</v>
      </c>
      <c r="H266">
        <f>_xlfn.XLOOKUP(B266,CRN!G:G,CRN!L:L,"")</f>
        <v>0</v>
      </c>
      <c r="I266">
        <f>IF(H266=0,0,_xlfn.XLOOKUP(C266,CLIENT_CODE!B:B,CLIENT_CODE!H:H,0))</f>
        <v>0</v>
      </c>
      <c r="J266">
        <f>_xlfn.XLOOKUP(B266,CRN!G:G,CRN!M:M,"")</f>
        <v>0</v>
      </c>
      <c r="K266">
        <f>IF(J266=0,0,_xlfn.XLOOKUP(C266,CLIENT_CODE!B:B,CLIENT_CODE!I:I,0))</f>
        <v>0</v>
      </c>
      <c r="L266">
        <f>_xlfn.XLOOKUP(B266,CRN!G:G,CRN!N:N,"")</f>
        <v>0</v>
      </c>
      <c r="M266">
        <f>IF(L266=0,0,_xlfn.XLOOKUP(C266,CLIENT_CODE!B:B,CLIENT_CODE!J:J,0))</f>
        <v>0</v>
      </c>
      <c r="N266">
        <f>_xlfn.XLOOKUP(B266,CRN!G:G,CRN!O:O,"")</f>
        <v>0</v>
      </c>
      <c r="O266">
        <f>IF(N266=0,0,_xlfn.XLOOKUP(C266,CLIENT_CODE!B:B,CLIENT_CODE!K:K,0))</f>
        <v>0</v>
      </c>
      <c r="P266">
        <f>_xlfn.XLOOKUP(B266,CRN!G:G,CRN!P:P,"")</f>
        <v>0</v>
      </c>
      <c r="Q266">
        <f>IF(P266=0,0,_xlfn.XLOOKUP(C266,CLIENT_CODE!B:B,CLIENT_CODE!L:L,0))</f>
        <v>0</v>
      </c>
      <c r="R266">
        <f>_xlfn.XLOOKUP(B266,CRN!G:G,CRN!Q:Q,"")</f>
        <v>0</v>
      </c>
      <c r="S266">
        <f>IF(R266=0,0,_xlfn.XLOOKUP(C266,CLIENT_CODE!B:B,CLIENT_CODE!M:M,0))</f>
        <v>0</v>
      </c>
      <c r="T266">
        <f>_xlfn.XLOOKUP(B266,CRN!G:G,CRN!R:R,"")</f>
        <v>0</v>
      </c>
      <c r="U266">
        <f>IF(T266=0,0,_xlfn.XLOOKUP(C266,CLIENT_CODE!B:B,CLIENT_CODE!N:N,0))</f>
        <v>0</v>
      </c>
      <c r="V266">
        <f>_xlfn.XLOOKUP(B266,CRN!G:G,CRN!S:S,"")</f>
        <v>0</v>
      </c>
      <c r="W266">
        <f>IF(V266=0,0,_xlfn.XLOOKUP(C266,CLIENT_CODE!B:B,CLIENT_CODE!O:O,0))</f>
        <v>0</v>
      </c>
      <c r="X266">
        <f>_xlfn.XLOOKUP(B266,CRN!G:G,CRN!T:T,"")</f>
        <v>0</v>
      </c>
      <c r="Y266">
        <f>IF(X266=0,0,_xlfn.XLOOKUP(C266,CLIENT_CODE!B:B,CLIENT_CODE!P:P,0))</f>
        <v>0</v>
      </c>
      <c r="Z266">
        <f>_xlfn.XLOOKUP(B266,CRN!G:G,CRN!U:U,"")</f>
        <v>0</v>
      </c>
      <c r="AA266">
        <f>IF(X266=0,0,_xlfn.XLOOKUP(C266,CLIENT_CODE!B:B,CLIENT_CODE!P:P,0))</f>
        <v>0</v>
      </c>
      <c r="AB266">
        <f>_xlfn.XLOOKUP(B266,CRN!G:G,CRN!V:V,"")</f>
        <v>0</v>
      </c>
      <c r="AC266">
        <f>IF(AB266=0,0,_xlfn.XLOOKUP(C266,CLIENT_CODE!B:B,CLIENT_CODE!R:R,0))</f>
        <v>0</v>
      </c>
      <c r="AD266">
        <f t="shared" si="4"/>
        <v>0</v>
      </c>
    </row>
    <row r="267" spans="1:30">
      <c r="A267" s="42">
        <v>266</v>
      </c>
      <c r="E267">
        <f>IF(D267=0,0,_xlfn.XLOOKUP(C267,CLIENT_CODE!B:B,CLIENT_CODE!F:F,0))</f>
        <v>0</v>
      </c>
      <c r="F267">
        <f>_xlfn.XLOOKUP(B267,CRN!G:G,CRN!K:K,"")</f>
        <v>0</v>
      </c>
      <c r="G267">
        <f>IF(F267=0,0,_xlfn.XLOOKUP(C267,CLIENT_CODE!B:B,CLIENT_CODE!G:G,0))</f>
        <v>0</v>
      </c>
      <c r="H267">
        <f>_xlfn.XLOOKUP(B267,CRN!G:G,CRN!L:L,"")</f>
        <v>0</v>
      </c>
      <c r="I267">
        <f>IF(H267=0,0,_xlfn.XLOOKUP(C267,CLIENT_CODE!B:B,CLIENT_CODE!H:H,0))</f>
        <v>0</v>
      </c>
      <c r="J267">
        <f>_xlfn.XLOOKUP(B267,CRN!G:G,CRN!M:M,"")</f>
        <v>0</v>
      </c>
      <c r="K267">
        <f>IF(J267=0,0,_xlfn.XLOOKUP(C267,CLIENT_CODE!B:B,CLIENT_CODE!I:I,0))</f>
        <v>0</v>
      </c>
      <c r="L267">
        <f>_xlfn.XLOOKUP(B267,CRN!G:G,CRN!N:N,"")</f>
        <v>0</v>
      </c>
      <c r="M267">
        <f>IF(L267=0,0,_xlfn.XLOOKUP(C267,CLIENT_CODE!B:B,CLIENT_CODE!J:J,0))</f>
        <v>0</v>
      </c>
      <c r="N267">
        <f>_xlfn.XLOOKUP(B267,CRN!G:G,CRN!O:O,"")</f>
        <v>0</v>
      </c>
      <c r="O267">
        <f>IF(N267=0,0,_xlfn.XLOOKUP(C267,CLIENT_CODE!B:B,CLIENT_CODE!K:K,0))</f>
        <v>0</v>
      </c>
      <c r="P267">
        <f>_xlfn.XLOOKUP(B267,CRN!G:G,CRN!P:P,"")</f>
        <v>0</v>
      </c>
      <c r="Q267">
        <f>IF(P267=0,0,_xlfn.XLOOKUP(C267,CLIENT_CODE!B:B,CLIENT_CODE!L:L,0))</f>
        <v>0</v>
      </c>
      <c r="R267">
        <f>_xlfn.XLOOKUP(B267,CRN!G:G,CRN!Q:Q,"")</f>
        <v>0</v>
      </c>
      <c r="S267">
        <f>IF(R267=0,0,_xlfn.XLOOKUP(C267,CLIENT_CODE!B:B,CLIENT_CODE!M:M,0))</f>
        <v>0</v>
      </c>
      <c r="T267">
        <f>_xlfn.XLOOKUP(B267,CRN!G:G,CRN!R:R,"")</f>
        <v>0</v>
      </c>
      <c r="U267">
        <f>IF(T267=0,0,_xlfn.XLOOKUP(C267,CLIENT_CODE!B:B,CLIENT_CODE!N:N,0))</f>
        <v>0</v>
      </c>
      <c r="V267">
        <f>_xlfn.XLOOKUP(B267,CRN!G:G,CRN!S:S,"")</f>
        <v>0</v>
      </c>
      <c r="W267">
        <f>IF(V267=0,0,_xlfn.XLOOKUP(C267,CLIENT_CODE!B:B,CLIENT_CODE!O:O,0))</f>
        <v>0</v>
      </c>
      <c r="X267">
        <f>_xlfn.XLOOKUP(B267,CRN!G:G,CRN!T:T,"")</f>
        <v>0</v>
      </c>
      <c r="Y267">
        <f>IF(X267=0,0,_xlfn.XLOOKUP(C267,CLIENT_CODE!B:B,CLIENT_CODE!P:P,0))</f>
        <v>0</v>
      </c>
      <c r="Z267">
        <f>_xlfn.XLOOKUP(B267,CRN!G:G,CRN!U:U,"")</f>
        <v>0</v>
      </c>
      <c r="AA267">
        <f>IF(X267=0,0,_xlfn.XLOOKUP(C267,CLIENT_CODE!B:B,CLIENT_CODE!P:P,0))</f>
        <v>0</v>
      </c>
      <c r="AB267">
        <f>_xlfn.XLOOKUP(B267,CRN!G:G,CRN!V:V,"")</f>
        <v>0</v>
      </c>
      <c r="AC267">
        <f>IF(AB267=0,0,_xlfn.XLOOKUP(C267,CLIENT_CODE!B:B,CLIENT_CODE!R:R,0))</f>
        <v>0</v>
      </c>
      <c r="AD267">
        <f t="shared" si="4"/>
        <v>0</v>
      </c>
    </row>
    <row r="268" spans="1:30">
      <c r="A268" s="42">
        <v>267</v>
      </c>
      <c r="E268">
        <f>IF(D268=0,0,_xlfn.XLOOKUP(C268,CLIENT_CODE!B:B,CLIENT_CODE!F:F,0))</f>
        <v>0</v>
      </c>
      <c r="F268">
        <f>_xlfn.XLOOKUP(B268,CRN!G:G,CRN!K:K,"")</f>
        <v>0</v>
      </c>
      <c r="G268">
        <f>IF(F268=0,0,_xlfn.XLOOKUP(C268,CLIENT_CODE!B:B,CLIENT_CODE!G:G,0))</f>
        <v>0</v>
      </c>
      <c r="H268">
        <f>_xlfn.XLOOKUP(B268,CRN!G:G,CRN!L:L,"")</f>
        <v>0</v>
      </c>
      <c r="I268">
        <f>IF(H268=0,0,_xlfn.XLOOKUP(C268,CLIENT_CODE!B:B,CLIENT_CODE!H:H,0))</f>
        <v>0</v>
      </c>
      <c r="J268">
        <f>_xlfn.XLOOKUP(B268,CRN!G:G,CRN!M:M,"")</f>
        <v>0</v>
      </c>
      <c r="K268">
        <f>IF(J268=0,0,_xlfn.XLOOKUP(C268,CLIENT_CODE!B:B,CLIENT_CODE!I:I,0))</f>
        <v>0</v>
      </c>
      <c r="L268">
        <f>_xlfn.XLOOKUP(B268,CRN!G:G,CRN!N:N,"")</f>
        <v>0</v>
      </c>
      <c r="M268">
        <f>IF(L268=0,0,_xlfn.XLOOKUP(C268,CLIENT_CODE!B:B,CLIENT_CODE!J:J,0))</f>
        <v>0</v>
      </c>
      <c r="N268">
        <f>_xlfn.XLOOKUP(B268,CRN!G:G,CRN!O:O,"")</f>
        <v>0</v>
      </c>
      <c r="O268">
        <f>IF(N268=0,0,_xlfn.XLOOKUP(C268,CLIENT_CODE!B:B,CLIENT_CODE!K:K,0))</f>
        <v>0</v>
      </c>
      <c r="P268">
        <f>_xlfn.XLOOKUP(B268,CRN!G:G,CRN!P:P,"")</f>
        <v>0</v>
      </c>
      <c r="Q268">
        <f>IF(P268=0,0,_xlfn.XLOOKUP(C268,CLIENT_CODE!B:B,CLIENT_CODE!L:L,0))</f>
        <v>0</v>
      </c>
      <c r="R268">
        <f>_xlfn.XLOOKUP(B268,CRN!G:G,CRN!Q:Q,"")</f>
        <v>0</v>
      </c>
      <c r="S268">
        <f>IF(R268=0,0,_xlfn.XLOOKUP(C268,CLIENT_CODE!B:B,CLIENT_CODE!M:M,0))</f>
        <v>0</v>
      </c>
      <c r="T268">
        <f>_xlfn.XLOOKUP(B268,CRN!G:G,CRN!R:R,"")</f>
        <v>0</v>
      </c>
      <c r="U268">
        <f>IF(T268=0,0,_xlfn.XLOOKUP(C268,CLIENT_CODE!B:B,CLIENT_CODE!N:N,0))</f>
        <v>0</v>
      </c>
      <c r="V268">
        <f>_xlfn.XLOOKUP(B268,CRN!G:G,CRN!S:S,"")</f>
        <v>0</v>
      </c>
      <c r="W268">
        <f>IF(V268=0,0,_xlfn.XLOOKUP(C268,CLIENT_CODE!B:B,CLIENT_CODE!O:O,0))</f>
        <v>0</v>
      </c>
      <c r="X268">
        <f>_xlfn.XLOOKUP(B268,CRN!G:G,CRN!T:T,"")</f>
        <v>0</v>
      </c>
      <c r="Y268">
        <f>IF(X268=0,0,_xlfn.XLOOKUP(C268,CLIENT_CODE!B:B,CLIENT_CODE!P:P,0))</f>
        <v>0</v>
      </c>
      <c r="Z268">
        <f>_xlfn.XLOOKUP(B268,CRN!G:G,CRN!U:U,"")</f>
        <v>0</v>
      </c>
      <c r="AA268">
        <f>IF(X268=0,0,_xlfn.XLOOKUP(C268,CLIENT_CODE!B:B,CLIENT_CODE!P:P,0))</f>
        <v>0</v>
      </c>
      <c r="AB268">
        <f>_xlfn.XLOOKUP(B268,CRN!G:G,CRN!V:V,"")</f>
        <v>0</v>
      </c>
      <c r="AC268">
        <f>IF(AB268=0,0,_xlfn.XLOOKUP(C268,CLIENT_CODE!B:B,CLIENT_CODE!R:R,0))</f>
        <v>0</v>
      </c>
      <c r="AD268">
        <f t="shared" si="4"/>
        <v>0</v>
      </c>
    </row>
    <row r="269" spans="1:30">
      <c r="A269" s="42">
        <v>268</v>
      </c>
      <c r="E269">
        <f>IF(D269=0,0,_xlfn.XLOOKUP(C269,CLIENT_CODE!B:B,CLIENT_CODE!F:F,0))</f>
        <v>0</v>
      </c>
      <c r="F269">
        <f>_xlfn.XLOOKUP(B269,CRN!G:G,CRN!K:K,"")</f>
        <v>0</v>
      </c>
      <c r="G269">
        <f>IF(F269=0,0,_xlfn.XLOOKUP(C269,CLIENT_CODE!B:B,CLIENT_CODE!G:G,0))</f>
        <v>0</v>
      </c>
      <c r="H269">
        <f>_xlfn.XLOOKUP(B269,CRN!G:G,CRN!L:L,"")</f>
        <v>0</v>
      </c>
      <c r="I269">
        <f>IF(H269=0,0,_xlfn.XLOOKUP(C269,CLIENT_CODE!B:B,CLIENT_CODE!H:H,0))</f>
        <v>0</v>
      </c>
      <c r="J269">
        <f>_xlfn.XLOOKUP(B269,CRN!G:G,CRN!M:M,"")</f>
        <v>0</v>
      </c>
      <c r="K269">
        <f>IF(J269=0,0,_xlfn.XLOOKUP(C269,CLIENT_CODE!B:B,CLIENT_CODE!I:I,0))</f>
        <v>0</v>
      </c>
      <c r="L269">
        <f>_xlfn.XLOOKUP(B269,CRN!G:G,CRN!N:N,"")</f>
        <v>0</v>
      </c>
      <c r="M269">
        <f>IF(L269=0,0,_xlfn.XLOOKUP(C269,CLIENT_CODE!B:B,CLIENT_CODE!J:J,0))</f>
        <v>0</v>
      </c>
      <c r="N269">
        <f>_xlfn.XLOOKUP(B269,CRN!G:G,CRN!O:O,"")</f>
        <v>0</v>
      </c>
      <c r="O269">
        <f>IF(N269=0,0,_xlfn.XLOOKUP(C269,CLIENT_CODE!B:B,CLIENT_CODE!K:K,0))</f>
        <v>0</v>
      </c>
      <c r="P269">
        <f>_xlfn.XLOOKUP(B269,CRN!G:G,CRN!P:P,"")</f>
        <v>0</v>
      </c>
      <c r="Q269">
        <f>IF(P269=0,0,_xlfn.XLOOKUP(C269,CLIENT_CODE!B:B,CLIENT_CODE!L:L,0))</f>
        <v>0</v>
      </c>
      <c r="R269">
        <f>_xlfn.XLOOKUP(B269,CRN!G:G,CRN!Q:Q,"")</f>
        <v>0</v>
      </c>
      <c r="S269">
        <f>IF(R269=0,0,_xlfn.XLOOKUP(C269,CLIENT_CODE!B:B,CLIENT_CODE!M:M,0))</f>
        <v>0</v>
      </c>
      <c r="T269">
        <f>_xlfn.XLOOKUP(B269,CRN!G:G,CRN!R:R,"")</f>
        <v>0</v>
      </c>
      <c r="U269">
        <f>IF(T269=0,0,_xlfn.XLOOKUP(C269,CLIENT_CODE!B:B,CLIENT_CODE!N:N,0))</f>
        <v>0</v>
      </c>
      <c r="V269">
        <f>_xlfn.XLOOKUP(B269,CRN!G:G,CRN!S:S,"")</f>
        <v>0</v>
      </c>
      <c r="W269">
        <f>IF(V269=0,0,_xlfn.XLOOKUP(C269,CLIENT_CODE!B:B,CLIENT_CODE!O:O,0))</f>
        <v>0</v>
      </c>
      <c r="X269">
        <f>_xlfn.XLOOKUP(B269,CRN!G:G,CRN!T:T,"")</f>
        <v>0</v>
      </c>
      <c r="Y269">
        <f>IF(X269=0,0,_xlfn.XLOOKUP(C269,CLIENT_CODE!B:B,CLIENT_CODE!P:P,0))</f>
        <v>0</v>
      </c>
      <c r="Z269">
        <f>_xlfn.XLOOKUP(B269,CRN!G:G,CRN!U:U,"")</f>
        <v>0</v>
      </c>
      <c r="AA269">
        <f>IF(X269=0,0,_xlfn.XLOOKUP(C269,CLIENT_CODE!B:B,CLIENT_CODE!P:P,0))</f>
        <v>0</v>
      </c>
      <c r="AB269">
        <f>_xlfn.XLOOKUP(B269,CRN!G:G,CRN!V:V,"")</f>
        <v>0</v>
      </c>
      <c r="AC269">
        <f>IF(AB269=0,0,_xlfn.XLOOKUP(C269,CLIENT_CODE!B:B,CLIENT_CODE!R:R,0))</f>
        <v>0</v>
      </c>
      <c r="AD269">
        <f t="shared" si="4"/>
        <v>0</v>
      </c>
    </row>
    <row r="270" spans="1:30">
      <c r="A270" s="42">
        <v>269</v>
      </c>
      <c r="E270">
        <f>IF(D270=0,0,_xlfn.XLOOKUP(C270,CLIENT_CODE!B:B,CLIENT_CODE!F:F,0))</f>
        <v>0</v>
      </c>
      <c r="F270">
        <f>_xlfn.XLOOKUP(B270,CRN!G:G,CRN!K:K,"")</f>
        <v>0</v>
      </c>
      <c r="G270">
        <f>IF(F270=0,0,_xlfn.XLOOKUP(C270,CLIENT_CODE!B:B,CLIENT_CODE!G:G,0))</f>
        <v>0</v>
      </c>
      <c r="H270">
        <f>_xlfn.XLOOKUP(B270,CRN!G:G,CRN!L:L,"")</f>
        <v>0</v>
      </c>
      <c r="I270">
        <f>IF(H270=0,0,_xlfn.XLOOKUP(C270,CLIENT_CODE!B:B,CLIENT_CODE!H:H,0))</f>
        <v>0</v>
      </c>
      <c r="J270">
        <f>_xlfn.XLOOKUP(B270,CRN!G:G,CRN!M:M,"")</f>
        <v>0</v>
      </c>
      <c r="K270">
        <f>IF(J270=0,0,_xlfn.XLOOKUP(C270,CLIENT_CODE!B:B,CLIENT_CODE!I:I,0))</f>
        <v>0</v>
      </c>
      <c r="L270">
        <f>_xlfn.XLOOKUP(B270,CRN!G:G,CRN!N:N,"")</f>
        <v>0</v>
      </c>
      <c r="M270">
        <f>IF(L270=0,0,_xlfn.XLOOKUP(C270,CLIENT_CODE!B:B,CLIENT_CODE!J:J,0))</f>
        <v>0</v>
      </c>
      <c r="N270">
        <f>_xlfn.XLOOKUP(B270,CRN!G:G,CRN!O:O,"")</f>
        <v>0</v>
      </c>
      <c r="O270">
        <f>IF(N270=0,0,_xlfn.XLOOKUP(C270,CLIENT_CODE!B:B,CLIENT_CODE!K:K,0))</f>
        <v>0</v>
      </c>
      <c r="P270">
        <f>_xlfn.XLOOKUP(B270,CRN!G:G,CRN!P:P,"")</f>
        <v>0</v>
      </c>
      <c r="Q270">
        <f>IF(P270=0,0,_xlfn.XLOOKUP(C270,CLIENT_CODE!B:B,CLIENT_CODE!L:L,0))</f>
        <v>0</v>
      </c>
      <c r="R270">
        <f>_xlfn.XLOOKUP(B270,CRN!G:G,CRN!Q:Q,"")</f>
        <v>0</v>
      </c>
      <c r="S270">
        <f>IF(R270=0,0,_xlfn.XLOOKUP(C270,CLIENT_CODE!B:B,CLIENT_CODE!M:M,0))</f>
        <v>0</v>
      </c>
      <c r="T270">
        <f>_xlfn.XLOOKUP(B270,CRN!G:G,CRN!R:R,"")</f>
        <v>0</v>
      </c>
      <c r="U270">
        <f>IF(T270=0,0,_xlfn.XLOOKUP(C270,CLIENT_CODE!B:B,CLIENT_CODE!N:N,0))</f>
        <v>0</v>
      </c>
      <c r="V270">
        <f>_xlfn.XLOOKUP(B270,CRN!G:G,CRN!S:S,"")</f>
        <v>0</v>
      </c>
      <c r="W270">
        <f>IF(V270=0,0,_xlfn.XLOOKUP(C270,CLIENT_CODE!B:B,CLIENT_CODE!O:O,0))</f>
        <v>0</v>
      </c>
      <c r="X270">
        <f>_xlfn.XLOOKUP(B270,CRN!G:G,CRN!T:T,"")</f>
        <v>0</v>
      </c>
      <c r="Y270">
        <f>IF(X270=0,0,_xlfn.XLOOKUP(C270,CLIENT_CODE!B:B,CLIENT_CODE!P:P,0))</f>
        <v>0</v>
      </c>
      <c r="Z270">
        <f>_xlfn.XLOOKUP(B270,CRN!G:G,CRN!U:U,"")</f>
        <v>0</v>
      </c>
      <c r="AA270">
        <f>IF(X270=0,0,_xlfn.XLOOKUP(C270,CLIENT_CODE!B:B,CLIENT_CODE!P:P,0))</f>
        <v>0</v>
      </c>
      <c r="AB270">
        <f>_xlfn.XLOOKUP(B270,CRN!G:G,CRN!V:V,"")</f>
        <v>0</v>
      </c>
      <c r="AC270">
        <f>IF(AB270=0,0,_xlfn.XLOOKUP(C270,CLIENT_CODE!B:B,CLIENT_CODE!R:R,0))</f>
        <v>0</v>
      </c>
      <c r="AD270">
        <f t="shared" si="4"/>
        <v>0</v>
      </c>
    </row>
    <row r="271" spans="1:30">
      <c r="A271" s="42">
        <v>270</v>
      </c>
      <c r="E271">
        <f>IF(D271=0,0,_xlfn.XLOOKUP(C271,CLIENT_CODE!B:B,CLIENT_CODE!F:F,0))</f>
        <v>0</v>
      </c>
      <c r="F271">
        <f>_xlfn.XLOOKUP(B271,CRN!G:G,CRN!K:K,"")</f>
        <v>0</v>
      </c>
      <c r="G271">
        <f>IF(F271=0,0,_xlfn.XLOOKUP(C271,CLIENT_CODE!B:B,CLIENT_CODE!G:G,0))</f>
        <v>0</v>
      </c>
      <c r="H271">
        <f>_xlfn.XLOOKUP(B271,CRN!G:G,CRN!L:L,"")</f>
        <v>0</v>
      </c>
      <c r="I271">
        <f>IF(H271=0,0,_xlfn.XLOOKUP(C271,CLIENT_CODE!B:B,CLIENT_CODE!H:H,0))</f>
        <v>0</v>
      </c>
      <c r="J271">
        <f>_xlfn.XLOOKUP(B271,CRN!G:G,CRN!M:M,"")</f>
        <v>0</v>
      </c>
      <c r="K271">
        <f>IF(J271=0,0,_xlfn.XLOOKUP(C271,CLIENT_CODE!B:B,CLIENT_CODE!I:I,0))</f>
        <v>0</v>
      </c>
      <c r="L271">
        <f>_xlfn.XLOOKUP(B271,CRN!G:G,CRN!N:N,"")</f>
        <v>0</v>
      </c>
      <c r="M271">
        <f>IF(L271=0,0,_xlfn.XLOOKUP(C271,CLIENT_CODE!B:B,CLIENT_CODE!J:J,0))</f>
        <v>0</v>
      </c>
      <c r="N271">
        <f>_xlfn.XLOOKUP(B271,CRN!G:G,CRN!O:O,"")</f>
        <v>0</v>
      </c>
      <c r="O271">
        <f>IF(N271=0,0,_xlfn.XLOOKUP(C271,CLIENT_CODE!B:B,CLIENT_CODE!K:K,0))</f>
        <v>0</v>
      </c>
      <c r="P271">
        <f>_xlfn.XLOOKUP(B271,CRN!G:G,CRN!P:P,"")</f>
        <v>0</v>
      </c>
      <c r="Q271">
        <f>IF(P271=0,0,_xlfn.XLOOKUP(C271,CLIENT_CODE!B:B,CLIENT_CODE!L:L,0))</f>
        <v>0</v>
      </c>
      <c r="R271">
        <f>_xlfn.XLOOKUP(B271,CRN!G:G,CRN!Q:Q,"")</f>
        <v>0</v>
      </c>
      <c r="S271">
        <f>IF(R271=0,0,_xlfn.XLOOKUP(C271,CLIENT_CODE!B:B,CLIENT_CODE!M:M,0))</f>
        <v>0</v>
      </c>
      <c r="T271">
        <f>_xlfn.XLOOKUP(B271,CRN!G:G,CRN!R:R,"")</f>
        <v>0</v>
      </c>
      <c r="U271">
        <f>IF(T271=0,0,_xlfn.XLOOKUP(C271,CLIENT_CODE!B:B,CLIENT_CODE!N:N,0))</f>
        <v>0</v>
      </c>
      <c r="V271">
        <f>_xlfn.XLOOKUP(B271,CRN!G:G,CRN!S:S,"")</f>
        <v>0</v>
      </c>
      <c r="W271">
        <f>IF(V271=0,0,_xlfn.XLOOKUP(C271,CLIENT_CODE!B:B,CLIENT_CODE!O:O,0))</f>
        <v>0</v>
      </c>
      <c r="X271">
        <f>_xlfn.XLOOKUP(B271,CRN!G:G,CRN!T:T,"")</f>
        <v>0</v>
      </c>
      <c r="Y271">
        <f>IF(X271=0,0,_xlfn.XLOOKUP(C271,CLIENT_CODE!B:B,CLIENT_CODE!P:P,0))</f>
        <v>0</v>
      </c>
      <c r="Z271">
        <f>_xlfn.XLOOKUP(B271,CRN!G:G,CRN!U:U,"")</f>
        <v>0</v>
      </c>
      <c r="AA271">
        <f>IF(X271=0,0,_xlfn.XLOOKUP(C271,CLIENT_CODE!B:B,CLIENT_CODE!P:P,0))</f>
        <v>0</v>
      </c>
      <c r="AB271">
        <f>_xlfn.XLOOKUP(B271,CRN!G:G,CRN!V:V,"")</f>
        <v>0</v>
      </c>
      <c r="AC271">
        <f>IF(AB271=0,0,_xlfn.XLOOKUP(C271,CLIENT_CODE!B:B,CLIENT_CODE!R:R,0))</f>
        <v>0</v>
      </c>
      <c r="AD271">
        <f t="shared" si="4"/>
        <v>0</v>
      </c>
    </row>
    <row r="272" spans="1:30">
      <c r="A272" s="42">
        <v>271</v>
      </c>
      <c r="E272">
        <f>IF(D272=0,0,_xlfn.XLOOKUP(C272,CLIENT_CODE!B:B,CLIENT_CODE!F:F,0))</f>
        <v>0</v>
      </c>
      <c r="F272">
        <f>_xlfn.XLOOKUP(B272,CRN!G:G,CRN!K:K,"")</f>
        <v>0</v>
      </c>
      <c r="G272">
        <f>IF(F272=0,0,_xlfn.XLOOKUP(C272,CLIENT_CODE!B:B,CLIENT_CODE!G:G,0))</f>
        <v>0</v>
      </c>
      <c r="H272">
        <f>_xlfn.XLOOKUP(B272,CRN!G:G,CRN!L:L,"")</f>
        <v>0</v>
      </c>
      <c r="I272">
        <f>IF(H272=0,0,_xlfn.XLOOKUP(C272,CLIENT_CODE!B:B,CLIENT_CODE!H:H,0))</f>
        <v>0</v>
      </c>
      <c r="J272">
        <f>_xlfn.XLOOKUP(B272,CRN!G:G,CRN!M:M,"")</f>
        <v>0</v>
      </c>
      <c r="K272">
        <f>IF(J272=0,0,_xlfn.XLOOKUP(C272,CLIENT_CODE!B:B,CLIENT_CODE!I:I,0))</f>
        <v>0</v>
      </c>
      <c r="L272">
        <f>_xlfn.XLOOKUP(B272,CRN!G:G,CRN!N:N,"")</f>
        <v>0</v>
      </c>
      <c r="M272">
        <f>IF(L272=0,0,_xlfn.XLOOKUP(C272,CLIENT_CODE!B:B,CLIENT_CODE!J:J,0))</f>
        <v>0</v>
      </c>
      <c r="N272">
        <f>_xlfn.XLOOKUP(B272,CRN!G:G,CRN!O:O,"")</f>
        <v>0</v>
      </c>
      <c r="O272">
        <f>IF(N272=0,0,_xlfn.XLOOKUP(C272,CLIENT_CODE!B:B,CLIENT_CODE!K:K,0))</f>
        <v>0</v>
      </c>
      <c r="P272">
        <f>_xlfn.XLOOKUP(B272,CRN!G:G,CRN!P:P,"")</f>
        <v>0</v>
      </c>
      <c r="Q272">
        <f>IF(P272=0,0,_xlfn.XLOOKUP(C272,CLIENT_CODE!B:B,CLIENT_CODE!L:L,0))</f>
        <v>0</v>
      </c>
      <c r="R272">
        <f>_xlfn.XLOOKUP(B272,CRN!G:G,CRN!Q:Q,"")</f>
        <v>0</v>
      </c>
      <c r="S272">
        <f>IF(R272=0,0,_xlfn.XLOOKUP(C272,CLIENT_CODE!B:B,CLIENT_CODE!M:M,0))</f>
        <v>0</v>
      </c>
      <c r="T272">
        <f>_xlfn.XLOOKUP(B272,CRN!G:G,CRN!R:R,"")</f>
        <v>0</v>
      </c>
      <c r="U272">
        <f>IF(T272=0,0,_xlfn.XLOOKUP(C272,CLIENT_CODE!B:B,CLIENT_CODE!N:N,0))</f>
        <v>0</v>
      </c>
      <c r="V272">
        <f>_xlfn.XLOOKUP(B272,CRN!G:G,CRN!S:S,"")</f>
        <v>0</v>
      </c>
      <c r="W272">
        <f>IF(V272=0,0,_xlfn.XLOOKUP(C272,CLIENT_CODE!B:B,CLIENT_CODE!O:O,0))</f>
        <v>0</v>
      </c>
      <c r="X272">
        <f>_xlfn.XLOOKUP(B272,CRN!G:G,CRN!T:T,"")</f>
        <v>0</v>
      </c>
      <c r="Y272">
        <f>IF(X272=0,0,_xlfn.XLOOKUP(C272,CLIENT_CODE!B:B,CLIENT_CODE!P:P,0))</f>
        <v>0</v>
      </c>
      <c r="Z272">
        <f>_xlfn.XLOOKUP(B272,CRN!G:G,CRN!U:U,"")</f>
        <v>0</v>
      </c>
      <c r="AA272">
        <f>IF(X272=0,0,_xlfn.XLOOKUP(C272,CLIENT_CODE!B:B,CLIENT_CODE!P:P,0))</f>
        <v>0</v>
      </c>
      <c r="AB272">
        <f>_xlfn.XLOOKUP(B272,CRN!G:G,CRN!V:V,"")</f>
        <v>0</v>
      </c>
      <c r="AC272">
        <f>IF(AB272=0,0,_xlfn.XLOOKUP(C272,CLIENT_CODE!B:B,CLIENT_CODE!R:R,0))</f>
        <v>0</v>
      </c>
      <c r="AD272">
        <f t="shared" si="4"/>
        <v>0</v>
      </c>
    </row>
    <row r="273" spans="1:30">
      <c r="A273" s="42">
        <v>272</v>
      </c>
      <c r="E273">
        <f>IF(D273=0,0,_xlfn.XLOOKUP(C273,CLIENT_CODE!B:B,CLIENT_CODE!F:F,0))</f>
        <v>0</v>
      </c>
      <c r="F273">
        <f>_xlfn.XLOOKUP(B273,CRN!G:G,CRN!K:K,"")</f>
        <v>0</v>
      </c>
      <c r="G273">
        <f>IF(F273=0,0,_xlfn.XLOOKUP(C273,CLIENT_CODE!B:B,CLIENT_CODE!G:G,0))</f>
        <v>0</v>
      </c>
      <c r="H273">
        <f>_xlfn.XLOOKUP(B273,CRN!G:G,CRN!L:L,"")</f>
        <v>0</v>
      </c>
      <c r="I273">
        <f>IF(H273=0,0,_xlfn.XLOOKUP(C273,CLIENT_CODE!B:B,CLIENT_CODE!H:H,0))</f>
        <v>0</v>
      </c>
      <c r="J273">
        <f>_xlfn.XLOOKUP(B273,CRN!G:G,CRN!M:M,"")</f>
        <v>0</v>
      </c>
      <c r="K273">
        <f>IF(J273=0,0,_xlfn.XLOOKUP(C273,CLIENT_CODE!B:B,CLIENT_CODE!I:I,0))</f>
        <v>0</v>
      </c>
      <c r="L273">
        <f>_xlfn.XLOOKUP(B273,CRN!G:G,CRN!N:N,"")</f>
        <v>0</v>
      </c>
      <c r="M273">
        <f>IF(L273=0,0,_xlfn.XLOOKUP(C273,CLIENT_CODE!B:B,CLIENT_CODE!J:J,0))</f>
        <v>0</v>
      </c>
      <c r="N273">
        <f>_xlfn.XLOOKUP(B273,CRN!G:G,CRN!O:O,"")</f>
        <v>0</v>
      </c>
      <c r="O273">
        <f>IF(N273=0,0,_xlfn.XLOOKUP(C273,CLIENT_CODE!B:B,CLIENT_CODE!K:K,0))</f>
        <v>0</v>
      </c>
      <c r="P273">
        <f>_xlfn.XLOOKUP(B273,CRN!G:G,CRN!P:P,"")</f>
        <v>0</v>
      </c>
      <c r="Q273">
        <f>IF(P273=0,0,_xlfn.XLOOKUP(C273,CLIENT_CODE!B:B,CLIENT_CODE!L:L,0))</f>
        <v>0</v>
      </c>
      <c r="R273">
        <f>_xlfn.XLOOKUP(B273,CRN!G:G,CRN!Q:Q,"")</f>
        <v>0</v>
      </c>
      <c r="S273">
        <f>IF(R273=0,0,_xlfn.XLOOKUP(C273,CLIENT_CODE!B:B,CLIENT_CODE!M:M,0))</f>
        <v>0</v>
      </c>
      <c r="T273">
        <f>_xlfn.XLOOKUP(B273,CRN!G:G,CRN!R:R,"")</f>
        <v>0</v>
      </c>
      <c r="U273">
        <f>IF(T273=0,0,_xlfn.XLOOKUP(C273,CLIENT_CODE!B:B,CLIENT_CODE!N:N,0))</f>
        <v>0</v>
      </c>
      <c r="V273">
        <f>_xlfn.XLOOKUP(B273,CRN!G:G,CRN!S:S,"")</f>
        <v>0</v>
      </c>
      <c r="W273">
        <f>IF(V273=0,0,_xlfn.XLOOKUP(C273,CLIENT_CODE!B:B,CLIENT_CODE!O:O,0))</f>
        <v>0</v>
      </c>
      <c r="X273">
        <f>_xlfn.XLOOKUP(B273,CRN!G:G,CRN!T:T,"")</f>
        <v>0</v>
      </c>
      <c r="Y273">
        <f>IF(X273=0,0,_xlfn.XLOOKUP(C273,CLIENT_CODE!B:B,CLIENT_CODE!P:P,0))</f>
        <v>0</v>
      </c>
      <c r="Z273">
        <f>_xlfn.XLOOKUP(B273,CRN!G:G,CRN!U:U,"")</f>
        <v>0</v>
      </c>
      <c r="AA273">
        <f>IF(X273=0,0,_xlfn.XLOOKUP(C273,CLIENT_CODE!B:B,CLIENT_CODE!P:P,0))</f>
        <v>0</v>
      </c>
      <c r="AB273">
        <f>_xlfn.XLOOKUP(B273,CRN!G:G,CRN!V:V,"")</f>
        <v>0</v>
      </c>
      <c r="AC273">
        <f>IF(AB273=0,0,_xlfn.XLOOKUP(C273,CLIENT_CODE!B:B,CLIENT_CODE!R:R,0))</f>
        <v>0</v>
      </c>
      <c r="AD273">
        <f t="shared" si="4"/>
        <v>0</v>
      </c>
    </row>
    <row r="274" spans="1:30">
      <c r="A274" s="42">
        <v>273</v>
      </c>
      <c r="E274">
        <f>IF(D274=0,0,_xlfn.XLOOKUP(C274,CLIENT_CODE!B:B,CLIENT_CODE!F:F,0))</f>
        <v>0</v>
      </c>
      <c r="F274">
        <f>_xlfn.XLOOKUP(B274,CRN!G:G,CRN!K:K,"")</f>
        <v>0</v>
      </c>
      <c r="G274">
        <f>IF(F274=0,0,_xlfn.XLOOKUP(C274,CLIENT_CODE!B:B,CLIENT_CODE!G:G,0))</f>
        <v>0</v>
      </c>
      <c r="H274">
        <f>_xlfn.XLOOKUP(B274,CRN!G:G,CRN!L:L,"")</f>
        <v>0</v>
      </c>
      <c r="I274">
        <f>IF(H274=0,0,_xlfn.XLOOKUP(C274,CLIENT_CODE!B:B,CLIENT_CODE!H:H,0))</f>
        <v>0</v>
      </c>
      <c r="J274">
        <f>_xlfn.XLOOKUP(B274,CRN!G:G,CRN!M:M,"")</f>
        <v>0</v>
      </c>
      <c r="K274">
        <f>IF(J274=0,0,_xlfn.XLOOKUP(C274,CLIENT_CODE!B:B,CLIENT_CODE!I:I,0))</f>
        <v>0</v>
      </c>
      <c r="L274">
        <f>_xlfn.XLOOKUP(B274,CRN!G:G,CRN!N:N,"")</f>
        <v>0</v>
      </c>
      <c r="M274">
        <f>IF(L274=0,0,_xlfn.XLOOKUP(C274,CLIENT_CODE!B:B,CLIENT_CODE!J:J,0))</f>
        <v>0</v>
      </c>
      <c r="N274">
        <f>_xlfn.XLOOKUP(B274,CRN!G:G,CRN!O:O,"")</f>
        <v>0</v>
      </c>
      <c r="O274">
        <f>IF(N274=0,0,_xlfn.XLOOKUP(C274,CLIENT_CODE!B:B,CLIENT_CODE!K:K,0))</f>
        <v>0</v>
      </c>
      <c r="P274">
        <f>_xlfn.XLOOKUP(B274,CRN!G:G,CRN!P:P,"")</f>
        <v>0</v>
      </c>
      <c r="Q274">
        <f>IF(P274=0,0,_xlfn.XLOOKUP(C274,CLIENT_CODE!B:B,CLIENT_CODE!L:L,0))</f>
        <v>0</v>
      </c>
      <c r="R274">
        <f>_xlfn.XLOOKUP(B274,CRN!G:G,CRN!Q:Q,"")</f>
        <v>0</v>
      </c>
      <c r="S274">
        <f>IF(R274=0,0,_xlfn.XLOOKUP(C274,CLIENT_CODE!B:B,CLIENT_CODE!M:M,0))</f>
        <v>0</v>
      </c>
      <c r="T274">
        <f>_xlfn.XLOOKUP(B274,CRN!G:G,CRN!R:R,"")</f>
        <v>0</v>
      </c>
      <c r="U274">
        <f>IF(T274=0,0,_xlfn.XLOOKUP(C274,CLIENT_CODE!B:B,CLIENT_CODE!N:N,0))</f>
        <v>0</v>
      </c>
      <c r="V274">
        <f>_xlfn.XLOOKUP(B274,CRN!G:G,CRN!S:S,"")</f>
        <v>0</v>
      </c>
      <c r="W274">
        <f>IF(V274=0,0,_xlfn.XLOOKUP(C274,CLIENT_CODE!B:B,CLIENT_CODE!O:O,0))</f>
        <v>0</v>
      </c>
      <c r="X274">
        <f>_xlfn.XLOOKUP(B274,CRN!G:G,CRN!T:T,"")</f>
        <v>0</v>
      </c>
      <c r="Y274">
        <f>IF(X274=0,0,_xlfn.XLOOKUP(C274,CLIENT_CODE!B:B,CLIENT_CODE!P:P,0))</f>
        <v>0</v>
      </c>
      <c r="Z274">
        <f>_xlfn.XLOOKUP(B274,CRN!G:G,CRN!U:U,"")</f>
        <v>0</v>
      </c>
      <c r="AA274">
        <f>IF(X274=0,0,_xlfn.XLOOKUP(C274,CLIENT_CODE!B:B,CLIENT_CODE!P:P,0))</f>
        <v>0</v>
      </c>
      <c r="AB274">
        <f>_xlfn.XLOOKUP(B274,CRN!G:G,CRN!V:V,"")</f>
        <v>0</v>
      </c>
      <c r="AC274">
        <f>IF(AB274=0,0,_xlfn.XLOOKUP(C274,CLIENT_CODE!B:B,CLIENT_CODE!R:R,0))</f>
        <v>0</v>
      </c>
      <c r="AD274">
        <f t="shared" si="4"/>
        <v>0</v>
      </c>
    </row>
    <row r="275" spans="1:30">
      <c r="A275" s="42">
        <v>274</v>
      </c>
      <c r="E275">
        <f>IF(D275=0,0,_xlfn.XLOOKUP(C275,CLIENT_CODE!B:B,CLIENT_CODE!F:F,0))</f>
        <v>0</v>
      </c>
      <c r="F275">
        <f>_xlfn.XLOOKUP(B275,CRN!G:G,CRN!K:K,"")</f>
        <v>0</v>
      </c>
      <c r="G275">
        <f>IF(F275=0,0,_xlfn.XLOOKUP(C275,CLIENT_CODE!B:B,CLIENT_CODE!G:G,0))</f>
        <v>0</v>
      </c>
      <c r="H275">
        <f>_xlfn.XLOOKUP(B275,CRN!G:G,CRN!L:L,"")</f>
        <v>0</v>
      </c>
      <c r="I275">
        <f>IF(H275=0,0,_xlfn.XLOOKUP(C275,CLIENT_CODE!B:B,CLIENT_CODE!H:H,0))</f>
        <v>0</v>
      </c>
      <c r="J275">
        <f>_xlfn.XLOOKUP(B275,CRN!G:G,CRN!M:M,"")</f>
        <v>0</v>
      </c>
      <c r="K275">
        <f>IF(J275=0,0,_xlfn.XLOOKUP(C275,CLIENT_CODE!B:B,CLIENT_CODE!I:I,0))</f>
        <v>0</v>
      </c>
      <c r="L275">
        <f>_xlfn.XLOOKUP(B275,CRN!G:G,CRN!N:N,"")</f>
        <v>0</v>
      </c>
      <c r="M275">
        <f>IF(L275=0,0,_xlfn.XLOOKUP(C275,CLIENT_CODE!B:B,CLIENT_CODE!J:J,0))</f>
        <v>0</v>
      </c>
      <c r="N275">
        <f>_xlfn.XLOOKUP(B275,CRN!G:G,CRN!O:O,"")</f>
        <v>0</v>
      </c>
      <c r="O275">
        <f>IF(N275=0,0,_xlfn.XLOOKUP(C275,CLIENT_CODE!B:B,CLIENT_CODE!K:K,0))</f>
        <v>0</v>
      </c>
      <c r="P275">
        <f>_xlfn.XLOOKUP(B275,CRN!G:G,CRN!P:P,"")</f>
        <v>0</v>
      </c>
      <c r="Q275">
        <f>IF(P275=0,0,_xlfn.XLOOKUP(C275,CLIENT_CODE!B:B,CLIENT_CODE!L:L,0))</f>
        <v>0</v>
      </c>
      <c r="R275">
        <f>_xlfn.XLOOKUP(B275,CRN!G:G,CRN!Q:Q,"")</f>
        <v>0</v>
      </c>
      <c r="S275">
        <f>IF(R275=0,0,_xlfn.XLOOKUP(C275,CLIENT_CODE!B:B,CLIENT_CODE!M:M,0))</f>
        <v>0</v>
      </c>
      <c r="T275">
        <f>_xlfn.XLOOKUP(B275,CRN!G:G,CRN!R:R,"")</f>
        <v>0</v>
      </c>
      <c r="U275">
        <f>IF(T275=0,0,_xlfn.XLOOKUP(C275,CLIENT_CODE!B:B,CLIENT_CODE!N:N,0))</f>
        <v>0</v>
      </c>
      <c r="V275">
        <f>_xlfn.XLOOKUP(B275,CRN!G:G,CRN!S:S,"")</f>
        <v>0</v>
      </c>
      <c r="W275">
        <f>IF(V275=0,0,_xlfn.XLOOKUP(C275,CLIENT_CODE!B:B,CLIENT_CODE!O:O,0))</f>
        <v>0</v>
      </c>
      <c r="X275">
        <f>_xlfn.XLOOKUP(B275,CRN!G:G,CRN!T:T,"")</f>
        <v>0</v>
      </c>
      <c r="Y275">
        <f>IF(X275=0,0,_xlfn.XLOOKUP(C275,CLIENT_CODE!B:B,CLIENT_CODE!P:P,0))</f>
        <v>0</v>
      </c>
      <c r="Z275">
        <f>_xlfn.XLOOKUP(B275,CRN!G:G,CRN!U:U,"")</f>
        <v>0</v>
      </c>
      <c r="AA275">
        <f>IF(X275=0,0,_xlfn.XLOOKUP(C275,CLIENT_CODE!B:B,CLIENT_CODE!P:P,0))</f>
        <v>0</v>
      </c>
      <c r="AB275">
        <f>_xlfn.XLOOKUP(B275,CRN!G:G,CRN!V:V,"")</f>
        <v>0</v>
      </c>
      <c r="AC275">
        <f>IF(AB275=0,0,_xlfn.XLOOKUP(C275,CLIENT_CODE!B:B,CLIENT_CODE!R:R,0))</f>
        <v>0</v>
      </c>
      <c r="AD275">
        <f t="shared" si="4"/>
        <v>0</v>
      </c>
    </row>
    <row r="276" spans="1:30">
      <c r="A276" s="42">
        <v>275</v>
      </c>
      <c r="E276">
        <f>IF(D276=0,0,_xlfn.XLOOKUP(C276,CLIENT_CODE!B:B,CLIENT_CODE!F:F,0))</f>
        <v>0</v>
      </c>
      <c r="F276">
        <f>_xlfn.XLOOKUP(B276,CRN!G:G,CRN!K:K,"")</f>
        <v>0</v>
      </c>
      <c r="G276">
        <f>IF(F276=0,0,_xlfn.XLOOKUP(C276,CLIENT_CODE!B:B,CLIENT_CODE!G:G,0))</f>
        <v>0</v>
      </c>
      <c r="H276">
        <f>_xlfn.XLOOKUP(B276,CRN!G:G,CRN!L:L,"")</f>
        <v>0</v>
      </c>
      <c r="I276">
        <f>IF(H276=0,0,_xlfn.XLOOKUP(C276,CLIENT_CODE!B:B,CLIENT_CODE!H:H,0))</f>
        <v>0</v>
      </c>
      <c r="J276">
        <f>_xlfn.XLOOKUP(B276,CRN!G:G,CRN!M:M,"")</f>
        <v>0</v>
      </c>
      <c r="K276">
        <f>IF(J276=0,0,_xlfn.XLOOKUP(C276,CLIENT_CODE!B:B,CLIENT_CODE!I:I,0))</f>
        <v>0</v>
      </c>
      <c r="L276">
        <f>_xlfn.XLOOKUP(B276,CRN!G:G,CRN!N:N,"")</f>
        <v>0</v>
      </c>
      <c r="M276">
        <f>IF(L276=0,0,_xlfn.XLOOKUP(C276,CLIENT_CODE!B:B,CLIENT_CODE!J:J,0))</f>
        <v>0</v>
      </c>
      <c r="N276">
        <f>_xlfn.XLOOKUP(B276,CRN!G:G,CRN!O:O,"")</f>
        <v>0</v>
      </c>
      <c r="O276">
        <f>IF(N276=0,0,_xlfn.XLOOKUP(C276,CLIENT_CODE!B:B,CLIENT_CODE!K:K,0))</f>
        <v>0</v>
      </c>
      <c r="P276">
        <f>_xlfn.XLOOKUP(B276,CRN!G:G,CRN!P:P,"")</f>
        <v>0</v>
      </c>
      <c r="Q276">
        <f>IF(P276=0,0,_xlfn.XLOOKUP(C276,CLIENT_CODE!B:B,CLIENT_CODE!L:L,0))</f>
        <v>0</v>
      </c>
      <c r="R276">
        <f>_xlfn.XLOOKUP(B276,CRN!G:G,CRN!Q:Q,"")</f>
        <v>0</v>
      </c>
      <c r="S276">
        <f>IF(R276=0,0,_xlfn.XLOOKUP(C276,CLIENT_CODE!B:B,CLIENT_CODE!M:M,0))</f>
        <v>0</v>
      </c>
      <c r="T276">
        <f>_xlfn.XLOOKUP(B276,CRN!G:G,CRN!R:R,"")</f>
        <v>0</v>
      </c>
      <c r="U276">
        <f>IF(T276=0,0,_xlfn.XLOOKUP(C276,CLIENT_CODE!B:B,CLIENT_CODE!N:N,0))</f>
        <v>0</v>
      </c>
      <c r="V276">
        <f>_xlfn.XLOOKUP(B276,CRN!G:G,CRN!S:S,"")</f>
        <v>0</v>
      </c>
      <c r="W276">
        <f>IF(V276=0,0,_xlfn.XLOOKUP(C276,CLIENT_CODE!B:B,CLIENT_CODE!O:O,0))</f>
        <v>0</v>
      </c>
      <c r="X276">
        <f>_xlfn.XLOOKUP(B276,CRN!G:G,CRN!T:T,"")</f>
        <v>0</v>
      </c>
      <c r="Y276">
        <f>IF(X276=0,0,_xlfn.XLOOKUP(C276,CLIENT_CODE!B:B,CLIENT_CODE!P:P,0))</f>
        <v>0</v>
      </c>
      <c r="Z276">
        <f>_xlfn.XLOOKUP(B276,CRN!G:G,CRN!U:U,"")</f>
        <v>0</v>
      </c>
      <c r="AA276">
        <f>IF(X276=0,0,_xlfn.XLOOKUP(C276,CLIENT_CODE!B:B,CLIENT_CODE!P:P,0))</f>
        <v>0</v>
      </c>
      <c r="AB276">
        <f>_xlfn.XLOOKUP(B276,CRN!G:G,CRN!V:V,"")</f>
        <v>0</v>
      </c>
      <c r="AC276">
        <f>IF(AB276=0,0,_xlfn.XLOOKUP(C276,CLIENT_CODE!B:B,CLIENT_CODE!R:R,0))</f>
        <v>0</v>
      </c>
      <c r="AD276">
        <f t="shared" si="4"/>
        <v>0</v>
      </c>
    </row>
    <row r="277" spans="1:30">
      <c r="A277" s="42">
        <v>276</v>
      </c>
      <c r="E277">
        <f>IF(D277=0,0,_xlfn.XLOOKUP(C277,CLIENT_CODE!B:B,CLIENT_CODE!F:F,0))</f>
        <v>0</v>
      </c>
      <c r="F277">
        <f>_xlfn.XLOOKUP(B277,CRN!G:G,CRN!K:K,"")</f>
        <v>0</v>
      </c>
      <c r="G277">
        <f>IF(F277=0,0,_xlfn.XLOOKUP(C277,CLIENT_CODE!B:B,CLIENT_CODE!G:G,0))</f>
        <v>0</v>
      </c>
      <c r="H277">
        <f>_xlfn.XLOOKUP(B277,CRN!G:G,CRN!L:L,"")</f>
        <v>0</v>
      </c>
      <c r="I277">
        <f>IF(H277=0,0,_xlfn.XLOOKUP(C277,CLIENT_CODE!B:B,CLIENT_CODE!H:H,0))</f>
        <v>0</v>
      </c>
      <c r="J277">
        <f>_xlfn.XLOOKUP(B277,CRN!G:G,CRN!M:M,"")</f>
        <v>0</v>
      </c>
      <c r="K277">
        <f>IF(J277=0,0,_xlfn.XLOOKUP(C277,CLIENT_CODE!B:B,CLIENT_CODE!I:I,0))</f>
        <v>0</v>
      </c>
      <c r="L277">
        <f>_xlfn.XLOOKUP(B277,CRN!G:G,CRN!N:N,"")</f>
        <v>0</v>
      </c>
      <c r="M277">
        <f>IF(L277=0,0,_xlfn.XLOOKUP(C277,CLIENT_CODE!B:B,CLIENT_CODE!J:J,0))</f>
        <v>0</v>
      </c>
      <c r="N277">
        <f>_xlfn.XLOOKUP(B277,CRN!G:G,CRN!O:O,"")</f>
        <v>0</v>
      </c>
      <c r="O277">
        <f>IF(N277=0,0,_xlfn.XLOOKUP(C277,CLIENT_CODE!B:B,CLIENT_CODE!K:K,0))</f>
        <v>0</v>
      </c>
      <c r="P277">
        <f>_xlfn.XLOOKUP(B277,CRN!G:G,CRN!P:P,"")</f>
        <v>0</v>
      </c>
      <c r="Q277">
        <f>IF(P277=0,0,_xlfn.XLOOKUP(C277,CLIENT_CODE!B:B,CLIENT_CODE!L:L,0))</f>
        <v>0</v>
      </c>
      <c r="R277">
        <f>_xlfn.XLOOKUP(B277,CRN!G:G,CRN!Q:Q,"")</f>
        <v>0</v>
      </c>
      <c r="S277">
        <f>IF(R277=0,0,_xlfn.XLOOKUP(C277,CLIENT_CODE!B:B,CLIENT_CODE!M:M,0))</f>
        <v>0</v>
      </c>
      <c r="T277">
        <f>_xlfn.XLOOKUP(B277,CRN!G:G,CRN!R:R,"")</f>
        <v>0</v>
      </c>
      <c r="U277">
        <f>IF(T277=0,0,_xlfn.XLOOKUP(C277,CLIENT_CODE!B:B,CLIENT_CODE!N:N,0))</f>
        <v>0</v>
      </c>
      <c r="V277">
        <f>_xlfn.XLOOKUP(B277,CRN!G:G,CRN!S:S,"")</f>
        <v>0</v>
      </c>
      <c r="W277">
        <f>IF(V277=0,0,_xlfn.XLOOKUP(C277,CLIENT_CODE!B:B,CLIENT_CODE!O:O,0))</f>
        <v>0</v>
      </c>
      <c r="X277">
        <f>_xlfn.XLOOKUP(B277,CRN!G:G,CRN!T:T,"")</f>
        <v>0</v>
      </c>
      <c r="Y277">
        <f>IF(X277=0,0,_xlfn.XLOOKUP(C277,CLIENT_CODE!B:B,CLIENT_CODE!P:P,0))</f>
        <v>0</v>
      </c>
      <c r="Z277">
        <f>_xlfn.XLOOKUP(B277,CRN!G:G,CRN!U:U,"")</f>
        <v>0</v>
      </c>
      <c r="AA277">
        <f>IF(X277=0,0,_xlfn.XLOOKUP(C277,CLIENT_CODE!B:B,CLIENT_CODE!P:P,0))</f>
        <v>0</v>
      </c>
      <c r="AB277">
        <f>_xlfn.XLOOKUP(B277,CRN!G:G,CRN!V:V,"")</f>
        <v>0</v>
      </c>
      <c r="AC277">
        <f>IF(AB277=0,0,_xlfn.XLOOKUP(C277,CLIENT_CODE!B:B,CLIENT_CODE!R:R,0))</f>
        <v>0</v>
      </c>
      <c r="AD277">
        <f t="shared" si="4"/>
        <v>0</v>
      </c>
    </row>
    <row r="278" spans="1:30">
      <c r="A278" s="42">
        <v>277</v>
      </c>
      <c r="E278">
        <f>IF(D278=0,0,_xlfn.XLOOKUP(C278,CLIENT_CODE!B:B,CLIENT_CODE!F:F,0))</f>
        <v>0</v>
      </c>
      <c r="F278">
        <f>_xlfn.XLOOKUP(B278,CRN!G:G,CRN!K:K,"")</f>
        <v>0</v>
      </c>
      <c r="G278">
        <f>IF(F278=0,0,_xlfn.XLOOKUP(C278,CLIENT_CODE!B:B,CLIENT_CODE!G:G,0))</f>
        <v>0</v>
      </c>
      <c r="H278">
        <f>_xlfn.XLOOKUP(B278,CRN!G:G,CRN!L:L,"")</f>
        <v>0</v>
      </c>
      <c r="I278">
        <f>IF(H278=0,0,_xlfn.XLOOKUP(C278,CLIENT_CODE!B:B,CLIENT_CODE!H:H,0))</f>
        <v>0</v>
      </c>
      <c r="J278">
        <f>_xlfn.XLOOKUP(B278,CRN!G:G,CRN!M:M,"")</f>
        <v>0</v>
      </c>
      <c r="K278">
        <f>IF(J278=0,0,_xlfn.XLOOKUP(C278,CLIENT_CODE!B:B,CLIENT_CODE!I:I,0))</f>
        <v>0</v>
      </c>
      <c r="L278">
        <f>_xlfn.XLOOKUP(B278,CRN!G:G,CRN!N:N,"")</f>
        <v>0</v>
      </c>
      <c r="M278">
        <f>IF(L278=0,0,_xlfn.XLOOKUP(C278,CLIENT_CODE!B:B,CLIENT_CODE!J:J,0))</f>
        <v>0</v>
      </c>
      <c r="N278">
        <f>_xlfn.XLOOKUP(B278,CRN!G:G,CRN!O:O,"")</f>
        <v>0</v>
      </c>
      <c r="O278">
        <f>IF(N278=0,0,_xlfn.XLOOKUP(C278,CLIENT_CODE!B:B,CLIENT_CODE!K:K,0))</f>
        <v>0</v>
      </c>
      <c r="P278">
        <f>_xlfn.XLOOKUP(B278,CRN!G:G,CRN!P:P,"")</f>
        <v>0</v>
      </c>
      <c r="Q278">
        <f>IF(P278=0,0,_xlfn.XLOOKUP(C278,CLIENT_CODE!B:B,CLIENT_CODE!L:L,0))</f>
        <v>0</v>
      </c>
      <c r="R278">
        <f>_xlfn.XLOOKUP(B278,CRN!G:G,CRN!Q:Q,"")</f>
        <v>0</v>
      </c>
      <c r="S278">
        <f>IF(R278=0,0,_xlfn.XLOOKUP(C278,CLIENT_CODE!B:B,CLIENT_CODE!M:M,0))</f>
        <v>0</v>
      </c>
      <c r="T278">
        <f>_xlfn.XLOOKUP(B278,CRN!G:G,CRN!R:R,"")</f>
        <v>0</v>
      </c>
      <c r="U278">
        <f>IF(T278=0,0,_xlfn.XLOOKUP(C278,CLIENT_CODE!B:B,CLIENT_CODE!N:N,0))</f>
        <v>0</v>
      </c>
      <c r="V278">
        <f>_xlfn.XLOOKUP(B278,CRN!G:G,CRN!S:S,"")</f>
        <v>0</v>
      </c>
      <c r="W278">
        <f>IF(V278=0,0,_xlfn.XLOOKUP(C278,CLIENT_CODE!B:B,CLIENT_CODE!O:O,0))</f>
        <v>0</v>
      </c>
      <c r="X278">
        <f>_xlfn.XLOOKUP(B278,CRN!G:G,CRN!T:T,"")</f>
        <v>0</v>
      </c>
      <c r="Y278">
        <f>IF(X278=0,0,_xlfn.XLOOKUP(C278,CLIENT_CODE!B:B,CLIENT_CODE!P:P,0))</f>
        <v>0</v>
      </c>
      <c r="Z278">
        <f>_xlfn.XLOOKUP(B278,CRN!G:G,CRN!U:U,"")</f>
        <v>0</v>
      </c>
      <c r="AA278">
        <f>IF(X278=0,0,_xlfn.XLOOKUP(C278,CLIENT_CODE!B:B,CLIENT_CODE!P:P,0))</f>
        <v>0</v>
      </c>
      <c r="AB278">
        <f>_xlfn.XLOOKUP(B278,CRN!G:G,CRN!V:V,"")</f>
        <v>0</v>
      </c>
      <c r="AC278">
        <f>IF(AB278=0,0,_xlfn.XLOOKUP(C278,CLIENT_CODE!B:B,CLIENT_CODE!R:R,0))</f>
        <v>0</v>
      </c>
      <c r="AD278">
        <f t="shared" si="4"/>
        <v>0</v>
      </c>
    </row>
    <row r="279" spans="1:30">
      <c r="A279" s="42">
        <v>278</v>
      </c>
      <c r="E279">
        <f>IF(D279=0,0,_xlfn.XLOOKUP(C279,CLIENT_CODE!B:B,CLIENT_CODE!F:F,0))</f>
        <v>0</v>
      </c>
      <c r="F279">
        <f>_xlfn.XLOOKUP(B279,CRN!G:G,CRN!K:K,"")</f>
        <v>0</v>
      </c>
      <c r="G279">
        <f>IF(F279=0,0,_xlfn.XLOOKUP(C279,CLIENT_CODE!B:B,CLIENT_CODE!G:G,0))</f>
        <v>0</v>
      </c>
      <c r="H279">
        <f>_xlfn.XLOOKUP(B279,CRN!G:G,CRN!L:L,"")</f>
        <v>0</v>
      </c>
      <c r="I279">
        <f>IF(H279=0,0,_xlfn.XLOOKUP(C279,CLIENT_CODE!B:B,CLIENT_CODE!H:H,0))</f>
        <v>0</v>
      </c>
      <c r="J279">
        <f>_xlfn.XLOOKUP(B279,CRN!G:G,CRN!M:M,"")</f>
        <v>0</v>
      </c>
      <c r="K279">
        <f>IF(J279=0,0,_xlfn.XLOOKUP(C279,CLIENT_CODE!B:B,CLIENT_CODE!I:I,0))</f>
        <v>0</v>
      </c>
      <c r="L279">
        <f>_xlfn.XLOOKUP(B279,CRN!G:G,CRN!N:N,"")</f>
        <v>0</v>
      </c>
      <c r="M279">
        <f>IF(L279=0,0,_xlfn.XLOOKUP(C279,CLIENT_CODE!B:B,CLIENT_CODE!J:J,0))</f>
        <v>0</v>
      </c>
      <c r="N279">
        <f>_xlfn.XLOOKUP(B279,CRN!G:G,CRN!O:O,"")</f>
        <v>0</v>
      </c>
      <c r="O279">
        <f>IF(N279=0,0,_xlfn.XLOOKUP(C279,CLIENT_CODE!B:B,CLIENT_CODE!K:K,0))</f>
        <v>0</v>
      </c>
      <c r="P279">
        <f>_xlfn.XLOOKUP(B279,CRN!G:G,CRN!P:P,"")</f>
        <v>0</v>
      </c>
      <c r="Q279">
        <f>IF(P279=0,0,_xlfn.XLOOKUP(C279,CLIENT_CODE!B:B,CLIENT_CODE!L:L,0))</f>
        <v>0</v>
      </c>
      <c r="R279">
        <f>_xlfn.XLOOKUP(B279,CRN!G:G,CRN!Q:Q,"")</f>
        <v>0</v>
      </c>
      <c r="S279">
        <f>IF(R279=0,0,_xlfn.XLOOKUP(C279,CLIENT_CODE!B:B,CLIENT_CODE!M:M,0))</f>
        <v>0</v>
      </c>
      <c r="T279">
        <f>_xlfn.XLOOKUP(B279,CRN!G:G,CRN!R:R,"")</f>
        <v>0</v>
      </c>
      <c r="U279">
        <f>IF(T279=0,0,_xlfn.XLOOKUP(C279,CLIENT_CODE!B:B,CLIENT_CODE!N:N,0))</f>
        <v>0</v>
      </c>
      <c r="V279">
        <f>_xlfn.XLOOKUP(B279,CRN!G:G,CRN!S:S,"")</f>
        <v>0</v>
      </c>
      <c r="W279">
        <f>IF(V279=0,0,_xlfn.XLOOKUP(C279,CLIENT_CODE!B:B,CLIENT_CODE!O:O,0))</f>
        <v>0</v>
      </c>
      <c r="X279">
        <f>_xlfn.XLOOKUP(B279,CRN!G:G,CRN!T:T,"")</f>
        <v>0</v>
      </c>
      <c r="Y279">
        <f>IF(X279=0,0,_xlfn.XLOOKUP(C279,CLIENT_CODE!B:B,CLIENT_CODE!P:P,0))</f>
        <v>0</v>
      </c>
      <c r="Z279">
        <f>_xlfn.XLOOKUP(B279,CRN!G:G,CRN!U:U,"")</f>
        <v>0</v>
      </c>
      <c r="AA279">
        <f>IF(X279=0,0,_xlfn.XLOOKUP(C279,CLIENT_CODE!B:B,CLIENT_CODE!P:P,0))</f>
        <v>0</v>
      </c>
      <c r="AB279">
        <f>_xlfn.XLOOKUP(B279,CRN!G:G,CRN!V:V,"")</f>
        <v>0</v>
      </c>
      <c r="AC279">
        <f>IF(AB279=0,0,_xlfn.XLOOKUP(C279,CLIENT_CODE!B:B,CLIENT_CODE!R:R,0))</f>
        <v>0</v>
      </c>
      <c r="AD279">
        <f t="shared" si="4"/>
        <v>0</v>
      </c>
    </row>
    <row r="280" spans="1:30">
      <c r="A280" s="42">
        <v>279</v>
      </c>
      <c r="E280">
        <f>IF(D280=0,0,_xlfn.XLOOKUP(C280,CLIENT_CODE!B:B,CLIENT_CODE!F:F,0))</f>
        <v>0</v>
      </c>
      <c r="F280">
        <f>_xlfn.XLOOKUP(B280,CRN!G:G,CRN!K:K,"")</f>
        <v>0</v>
      </c>
      <c r="G280">
        <f>IF(F280=0,0,_xlfn.XLOOKUP(C280,CLIENT_CODE!B:B,CLIENT_CODE!G:G,0))</f>
        <v>0</v>
      </c>
      <c r="H280">
        <f>_xlfn.XLOOKUP(B280,CRN!G:G,CRN!L:L,"")</f>
        <v>0</v>
      </c>
      <c r="I280">
        <f>IF(H280=0,0,_xlfn.XLOOKUP(C280,CLIENT_CODE!B:B,CLIENT_CODE!H:H,0))</f>
        <v>0</v>
      </c>
      <c r="J280">
        <f>_xlfn.XLOOKUP(B280,CRN!G:G,CRN!M:M,"")</f>
        <v>0</v>
      </c>
      <c r="K280">
        <f>IF(J280=0,0,_xlfn.XLOOKUP(C280,CLIENT_CODE!B:B,CLIENT_CODE!I:I,0))</f>
        <v>0</v>
      </c>
      <c r="L280">
        <f>_xlfn.XLOOKUP(B280,CRN!G:G,CRN!N:N,"")</f>
        <v>0</v>
      </c>
      <c r="M280">
        <f>IF(L280=0,0,_xlfn.XLOOKUP(C280,CLIENT_CODE!B:B,CLIENT_CODE!J:J,0))</f>
        <v>0</v>
      </c>
      <c r="N280">
        <f>_xlfn.XLOOKUP(B280,CRN!G:G,CRN!O:O,"")</f>
        <v>0</v>
      </c>
      <c r="O280">
        <f>IF(N280=0,0,_xlfn.XLOOKUP(C280,CLIENT_CODE!B:B,CLIENT_CODE!K:K,0))</f>
        <v>0</v>
      </c>
      <c r="P280">
        <f>_xlfn.XLOOKUP(B280,CRN!G:G,CRN!P:P,"")</f>
        <v>0</v>
      </c>
      <c r="Q280">
        <f>IF(P280=0,0,_xlfn.XLOOKUP(C280,CLIENT_CODE!B:B,CLIENT_CODE!L:L,0))</f>
        <v>0</v>
      </c>
      <c r="R280">
        <f>_xlfn.XLOOKUP(B280,CRN!G:G,CRN!Q:Q,"")</f>
        <v>0</v>
      </c>
      <c r="S280">
        <f>IF(R280=0,0,_xlfn.XLOOKUP(C280,CLIENT_CODE!B:B,CLIENT_CODE!M:M,0))</f>
        <v>0</v>
      </c>
      <c r="T280">
        <f>_xlfn.XLOOKUP(B280,CRN!G:G,CRN!R:R,"")</f>
        <v>0</v>
      </c>
      <c r="U280">
        <f>IF(T280=0,0,_xlfn.XLOOKUP(C280,CLIENT_CODE!B:B,CLIENT_CODE!N:N,0))</f>
        <v>0</v>
      </c>
      <c r="V280">
        <f>_xlfn.XLOOKUP(B280,CRN!G:G,CRN!S:S,"")</f>
        <v>0</v>
      </c>
      <c r="W280">
        <f>IF(V280=0,0,_xlfn.XLOOKUP(C280,CLIENT_CODE!B:B,CLIENT_CODE!O:O,0))</f>
        <v>0</v>
      </c>
      <c r="X280">
        <f>_xlfn.XLOOKUP(B280,CRN!G:G,CRN!T:T,"")</f>
        <v>0</v>
      </c>
      <c r="Y280">
        <f>IF(X280=0,0,_xlfn.XLOOKUP(C280,CLIENT_CODE!B:B,CLIENT_CODE!P:P,0))</f>
        <v>0</v>
      </c>
      <c r="Z280">
        <f>_xlfn.XLOOKUP(B280,CRN!G:G,CRN!U:U,"")</f>
        <v>0</v>
      </c>
      <c r="AA280">
        <f>IF(X280=0,0,_xlfn.XLOOKUP(C280,CLIENT_CODE!B:B,CLIENT_CODE!P:P,0))</f>
        <v>0</v>
      </c>
      <c r="AB280">
        <f>_xlfn.XLOOKUP(B280,CRN!G:G,CRN!V:V,"")</f>
        <v>0</v>
      </c>
      <c r="AC280">
        <f>IF(AB280=0,0,_xlfn.XLOOKUP(C280,CLIENT_CODE!B:B,CLIENT_CODE!R:R,0))</f>
        <v>0</v>
      </c>
      <c r="AD280">
        <f t="shared" si="4"/>
        <v>0</v>
      </c>
    </row>
    <row r="281" spans="1:30">
      <c r="A281" s="42">
        <v>280</v>
      </c>
      <c r="E281">
        <f>IF(D281=0,0,_xlfn.XLOOKUP(C281,CLIENT_CODE!B:B,CLIENT_CODE!F:F,0))</f>
        <v>0</v>
      </c>
      <c r="F281">
        <f>_xlfn.XLOOKUP(B281,CRN!G:G,CRN!K:K,"")</f>
        <v>0</v>
      </c>
      <c r="G281">
        <f>IF(F281=0,0,_xlfn.XLOOKUP(C281,CLIENT_CODE!B:B,CLIENT_CODE!G:G,0))</f>
        <v>0</v>
      </c>
      <c r="H281">
        <f>_xlfn.XLOOKUP(B281,CRN!G:G,CRN!L:L,"")</f>
        <v>0</v>
      </c>
      <c r="I281">
        <f>IF(H281=0,0,_xlfn.XLOOKUP(C281,CLIENT_CODE!B:B,CLIENT_CODE!H:H,0))</f>
        <v>0</v>
      </c>
      <c r="J281">
        <f>_xlfn.XLOOKUP(B281,CRN!G:G,CRN!M:M,"")</f>
        <v>0</v>
      </c>
      <c r="K281">
        <f>IF(J281=0,0,_xlfn.XLOOKUP(C281,CLIENT_CODE!B:B,CLIENT_CODE!I:I,0))</f>
        <v>0</v>
      </c>
      <c r="L281">
        <f>_xlfn.XLOOKUP(B281,CRN!G:G,CRN!N:N,"")</f>
        <v>0</v>
      </c>
      <c r="M281">
        <f>IF(L281=0,0,_xlfn.XLOOKUP(C281,CLIENT_CODE!B:B,CLIENT_CODE!J:J,0))</f>
        <v>0</v>
      </c>
      <c r="N281">
        <f>_xlfn.XLOOKUP(B281,CRN!G:G,CRN!O:O,"")</f>
        <v>0</v>
      </c>
      <c r="O281">
        <f>IF(N281=0,0,_xlfn.XLOOKUP(C281,CLIENT_CODE!B:B,CLIENT_CODE!K:K,0))</f>
        <v>0</v>
      </c>
      <c r="P281">
        <f>_xlfn.XLOOKUP(B281,CRN!G:G,CRN!P:P,"")</f>
        <v>0</v>
      </c>
      <c r="Q281">
        <f>IF(P281=0,0,_xlfn.XLOOKUP(C281,CLIENT_CODE!B:B,CLIENT_CODE!L:L,0))</f>
        <v>0</v>
      </c>
      <c r="R281">
        <f>_xlfn.XLOOKUP(B281,CRN!G:G,CRN!Q:Q,"")</f>
        <v>0</v>
      </c>
      <c r="S281">
        <f>IF(R281=0,0,_xlfn.XLOOKUP(C281,CLIENT_CODE!B:B,CLIENT_CODE!M:M,0))</f>
        <v>0</v>
      </c>
      <c r="T281">
        <f>_xlfn.XLOOKUP(B281,CRN!G:G,CRN!R:R,"")</f>
        <v>0</v>
      </c>
      <c r="U281">
        <f>IF(T281=0,0,_xlfn.XLOOKUP(C281,CLIENT_CODE!B:B,CLIENT_CODE!N:N,0))</f>
        <v>0</v>
      </c>
      <c r="V281">
        <f>_xlfn.XLOOKUP(B281,CRN!G:G,CRN!S:S,"")</f>
        <v>0</v>
      </c>
      <c r="W281">
        <f>IF(V281=0,0,_xlfn.XLOOKUP(C281,CLIENT_CODE!B:B,CLIENT_CODE!O:O,0))</f>
        <v>0</v>
      </c>
      <c r="X281">
        <f>_xlfn.XLOOKUP(B281,CRN!G:G,CRN!T:T,"")</f>
        <v>0</v>
      </c>
      <c r="Y281">
        <f>IF(X281=0,0,_xlfn.XLOOKUP(C281,CLIENT_CODE!B:B,CLIENT_CODE!P:P,0))</f>
        <v>0</v>
      </c>
      <c r="Z281">
        <f>_xlfn.XLOOKUP(B281,CRN!G:G,CRN!U:U,"")</f>
        <v>0</v>
      </c>
      <c r="AA281">
        <f>IF(X281=0,0,_xlfn.XLOOKUP(C281,CLIENT_CODE!B:B,CLIENT_CODE!P:P,0))</f>
        <v>0</v>
      </c>
      <c r="AB281">
        <f>_xlfn.XLOOKUP(B281,CRN!G:G,CRN!V:V,"")</f>
        <v>0</v>
      </c>
      <c r="AC281">
        <f>IF(AB281=0,0,_xlfn.XLOOKUP(C281,CLIENT_CODE!B:B,CLIENT_CODE!R:R,0))</f>
        <v>0</v>
      </c>
      <c r="AD281">
        <f t="shared" si="4"/>
        <v>0</v>
      </c>
    </row>
    <row r="282" spans="1:30">
      <c r="A282" s="42">
        <v>281</v>
      </c>
      <c r="E282">
        <f>IF(D282=0,0,_xlfn.XLOOKUP(C282,CLIENT_CODE!B:B,CLIENT_CODE!F:F,0))</f>
        <v>0</v>
      </c>
      <c r="F282">
        <f>_xlfn.XLOOKUP(B282,CRN!G:G,CRN!K:K,"")</f>
        <v>0</v>
      </c>
      <c r="G282">
        <f>IF(F282=0,0,_xlfn.XLOOKUP(C282,CLIENT_CODE!B:B,CLIENT_CODE!G:G,0))</f>
        <v>0</v>
      </c>
      <c r="H282">
        <f>_xlfn.XLOOKUP(B282,CRN!G:G,CRN!L:L,"")</f>
        <v>0</v>
      </c>
      <c r="I282">
        <f>IF(H282=0,0,_xlfn.XLOOKUP(C282,CLIENT_CODE!B:B,CLIENT_CODE!H:H,0))</f>
        <v>0</v>
      </c>
      <c r="J282">
        <f>_xlfn.XLOOKUP(B282,CRN!G:G,CRN!M:M,"")</f>
        <v>0</v>
      </c>
      <c r="K282">
        <f>IF(J282=0,0,_xlfn.XLOOKUP(C282,CLIENT_CODE!B:B,CLIENT_CODE!I:I,0))</f>
        <v>0</v>
      </c>
      <c r="L282">
        <f>_xlfn.XLOOKUP(B282,CRN!G:G,CRN!N:N,"")</f>
        <v>0</v>
      </c>
      <c r="M282">
        <f>IF(L282=0,0,_xlfn.XLOOKUP(C282,CLIENT_CODE!B:B,CLIENT_CODE!J:J,0))</f>
        <v>0</v>
      </c>
      <c r="N282">
        <f>_xlfn.XLOOKUP(B282,CRN!G:G,CRN!O:O,"")</f>
        <v>0</v>
      </c>
      <c r="O282">
        <f>IF(N282=0,0,_xlfn.XLOOKUP(C282,CLIENT_CODE!B:B,CLIENT_CODE!K:K,0))</f>
        <v>0</v>
      </c>
      <c r="P282">
        <f>_xlfn.XLOOKUP(B282,CRN!G:G,CRN!P:P,"")</f>
        <v>0</v>
      </c>
      <c r="Q282">
        <f>IF(P282=0,0,_xlfn.XLOOKUP(C282,CLIENT_CODE!B:B,CLIENT_CODE!L:L,0))</f>
        <v>0</v>
      </c>
      <c r="R282">
        <f>_xlfn.XLOOKUP(B282,CRN!G:G,CRN!Q:Q,"")</f>
        <v>0</v>
      </c>
      <c r="S282">
        <f>IF(R282=0,0,_xlfn.XLOOKUP(C282,CLIENT_CODE!B:B,CLIENT_CODE!M:M,0))</f>
        <v>0</v>
      </c>
      <c r="T282">
        <f>_xlfn.XLOOKUP(B282,CRN!G:G,CRN!R:R,"")</f>
        <v>0</v>
      </c>
      <c r="U282">
        <f>IF(T282=0,0,_xlfn.XLOOKUP(C282,CLIENT_CODE!B:B,CLIENT_CODE!N:N,0))</f>
        <v>0</v>
      </c>
      <c r="V282">
        <f>_xlfn.XLOOKUP(B282,CRN!G:G,CRN!S:S,"")</f>
        <v>0</v>
      </c>
      <c r="W282">
        <f>IF(V282=0,0,_xlfn.XLOOKUP(C282,CLIENT_CODE!B:B,CLIENT_CODE!O:O,0))</f>
        <v>0</v>
      </c>
      <c r="X282">
        <f>_xlfn.XLOOKUP(B282,CRN!G:G,CRN!T:T,"")</f>
        <v>0</v>
      </c>
      <c r="Y282">
        <f>IF(X282=0,0,_xlfn.XLOOKUP(C282,CLIENT_CODE!B:B,CLIENT_CODE!P:P,0))</f>
        <v>0</v>
      </c>
      <c r="Z282">
        <f>_xlfn.XLOOKUP(B282,CRN!G:G,CRN!U:U,"")</f>
        <v>0</v>
      </c>
      <c r="AA282">
        <f>IF(X282=0,0,_xlfn.XLOOKUP(C282,CLIENT_CODE!B:B,CLIENT_CODE!P:P,0))</f>
        <v>0</v>
      </c>
      <c r="AB282">
        <f>_xlfn.XLOOKUP(B282,CRN!G:G,CRN!V:V,"")</f>
        <v>0</v>
      </c>
      <c r="AC282">
        <f>IF(AB282=0,0,_xlfn.XLOOKUP(C282,CLIENT_CODE!B:B,CLIENT_CODE!R:R,0))</f>
        <v>0</v>
      </c>
      <c r="AD282">
        <f t="shared" si="4"/>
        <v>0</v>
      </c>
    </row>
    <row r="283" spans="1:30">
      <c r="A283" s="42">
        <v>282</v>
      </c>
      <c r="E283">
        <f>IF(D283=0,0,_xlfn.XLOOKUP(C283,CLIENT_CODE!B:B,CLIENT_CODE!F:F,0))</f>
        <v>0</v>
      </c>
      <c r="F283">
        <f>_xlfn.XLOOKUP(B283,CRN!G:G,CRN!K:K,"")</f>
        <v>0</v>
      </c>
      <c r="G283">
        <f>IF(F283=0,0,_xlfn.XLOOKUP(C283,CLIENT_CODE!B:B,CLIENT_CODE!G:G,0))</f>
        <v>0</v>
      </c>
      <c r="H283">
        <f>_xlfn.XLOOKUP(B283,CRN!G:G,CRN!L:L,"")</f>
        <v>0</v>
      </c>
      <c r="I283">
        <f>IF(H283=0,0,_xlfn.XLOOKUP(C283,CLIENT_CODE!B:B,CLIENT_CODE!H:H,0))</f>
        <v>0</v>
      </c>
      <c r="J283">
        <f>_xlfn.XLOOKUP(B283,CRN!G:G,CRN!M:M,"")</f>
        <v>0</v>
      </c>
      <c r="K283">
        <f>IF(J283=0,0,_xlfn.XLOOKUP(C283,CLIENT_CODE!B:B,CLIENT_CODE!I:I,0))</f>
        <v>0</v>
      </c>
      <c r="L283">
        <f>_xlfn.XLOOKUP(B283,CRN!G:G,CRN!N:N,"")</f>
        <v>0</v>
      </c>
      <c r="M283">
        <f>IF(L283=0,0,_xlfn.XLOOKUP(C283,CLIENT_CODE!B:B,CLIENT_CODE!J:J,0))</f>
        <v>0</v>
      </c>
      <c r="N283">
        <f>_xlfn.XLOOKUP(B283,CRN!G:G,CRN!O:O,"")</f>
        <v>0</v>
      </c>
      <c r="O283">
        <f>IF(N283=0,0,_xlfn.XLOOKUP(C283,CLIENT_CODE!B:B,CLIENT_CODE!K:K,0))</f>
        <v>0</v>
      </c>
      <c r="P283">
        <f>_xlfn.XLOOKUP(B283,CRN!G:G,CRN!P:P,"")</f>
        <v>0</v>
      </c>
      <c r="Q283">
        <f>IF(P283=0,0,_xlfn.XLOOKUP(C283,CLIENT_CODE!B:B,CLIENT_CODE!L:L,0))</f>
        <v>0</v>
      </c>
      <c r="R283">
        <f>_xlfn.XLOOKUP(B283,CRN!G:G,CRN!Q:Q,"")</f>
        <v>0</v>
      </c>
      <c r="S283">
        <f>IF(R283=0,0,_xlfn.XLOOKUP(C283,CLIENT_CODE!B:B,CLIENT_CODE!M:M,0))</f>
        <v>0</v>
      </c>
      <c r="T283">
        <f>_xlfn.XLOOKUP(B283,CRN!G:G,CRN!R:R,"")</f>
        <v>0</v>
      </c>
      <c r="U283">
        <f>IF(T283=0,0,_xlfn.XLOOKUP(C283,CLIENT_CODE!B:B,CLIENT_CODE!N:N,0))</f>
        <v>0</v>
      </c>
      <c r="V283">
        <f>_xlfn.XLOOKUP(B283,CRN!G:G,CRN!S:S,"")</f>
        <v>0</v>
      </c>
      <c r="W283">
        <f>IF(V283=0,0,_xlfn.XLOOKUP(C283,CLIENT_CODE!B:B,CLIENT_CODE!O:O,0))</f>
        <v>0</v>
      </c>
      <c r="X283">
        <f>_xlfn.XLOOKUP(B283,CRN!G:G,CRN!T:T,"")</f>
        <v>0</v>
      </c>
      <c r="Y283">
        <f>IF(X283=0,0,_xlfn.XLOOKUP(C283,CLIENT_CODE!B:B,CLIENT_CODE!P:P,0))</f>
        <v>0</v>
      </c>
      <c r="Z283">
        <f>_xlfn.XLOOKUP(B283,CRN!G:G,CRN!U:U,"")</f>
        <v>0</v>
      </c>
      <c r="AA283">
        <f>IF(X283=0,0,_xlfn.XLOOKUP(C283,CLIENT_CODE!B:B,CLIENT_CODE!P:P,0))</f>
        <v>0</v>
      </c>
      <c r="AB283">
        <f>_xlfn.XLOOKUP(B283,CRN!G:G,CRN!V:V,"")</f>
        <v>0</v>
      </c>
      <c r="AC283">
        <f>IF(AB283=0,0,_xlfn.XLOOKUP(C283,CLIENT_CODE!B:B,CLIENT_CODE!R:R,0))</f>
        <v>0</v>
      </c>
      <c r="AD283">
        <f t="shared" si="4"/>
        <v>0</v>
      </c>
    </row>
    <row r="284" spans="1:30">
      <c r="A284" s="42">
        <v>283</v>
      </c>
      <c r="E284">
        <f>IF(D284=0,0,_xlfn.XLOOKUP(C284,CLIENT_CODE!B:B,CLIENT_CODE!F:F,0))</f>
        <v>0</v>
      </c>
      <c r="F284">
        <f>_xlfn.XLOOKUP(B284,CRN!G:G,CRN!K:K,"")</f>
        <v>0</v>
      </c>
      <c r="G284">
        <f>IF(F284=0,0,_xlfn.XLOOKUP(C284,CLIENT_CODE!B:B,CLIENT_CODE!G:G,0))</f>
        <v>0</v>
      </c>
      <c r="H284">
        <f>_xlfn.XLOOKUP(B284,CRN!G:G,CRN!L:L,"")</f>
        <v>0</v>
      </c>
      <c r="I284">
        <f>IF(H284=0,0,_xlfn.XLOOKUP(C284,CLIENT_CODE!B:B,CLIENT_CODE!H:H,0))</f>
        <v>0</v>
      </c>
      <c r="J284">
        <f>_xlfn.XLOOKUP(B284,CRN!G:G,CRN!M:M,"")</f>
        <v>0</v>
      </c>
      <c r="K284">
        <f>IF(J284=0,0,_xlfn.XLOOKUP(C284,CLIENT_CODE!B:B,CLIENT_CODE!I:I,0))</f>
        <v>0</v>
      </c>
      <c r="L284">
        <f>_xlfn.XLOOKUP(B284,CRN!G:G,CRN!N:N,"")</f>
        <v>0</v>
      </c>
      <c r="M284">
        <f>IF(L284=0,0,_xlfn.XLOOKUP(C284,CLIENT_CODE!B:B,CLIENT_CODE!J:J,0))</f>
        <v>0</v>
      </c>
      <c r="N284">
        <f>_xlfn.XLOOKUP(B284,CRN!G:G,CRN!O:O,"")</f>
        <v>0</v>
      </c>
      <c r="O284">
        <f>IF(N284=0,0,_xlfn.XLOOKUP(C284,CLIENT_CODE!B:B,CLIENT_CODE!K:K,0))</f>
        <v>0</v>
      </c>
      <c r="P284">
        <f>_xlfn.XLOOKUP(B284,CRN!G:G,CRN!P:P,"")</f>
        <v>0</v>
      </c>
      <c r="Q284">
        <f>IF(P284=0,0,_xlfn.XLOOKUP(C284,CLIENT_CODE!B:B,CLIENT_CODE!L:L,0))</f>
        <v>0</v>
      </c>
      <c r="R284">
        <f>_xlfn.XLOOKUP(B284,CRN!G:G,CRN!Q:Q,"")</f>
        <v>0</v>
      </c>
      <c r="S284">
        <f>IF(R284=0,0,_xlfn.XLOOKUP(C284,CLIENT_CODE!B:B,CLIENT_CODE!M:M,0))</f>
        <v>0</v>
      </c>
      <c r="T284">
        <f>_xlfn.XLOOKUP(B284,CRN!G:G,CRN!R:R,"")</f>
        <v>0</v>
      </c>
      <c r="U284">
        <f>IF(T284=0,0,_xlfn.XLOOKUP(C284,CLIENT_CODE!B:B,CLIENT_CODE!N:N,0))</f>
        <v>0</v>
      </c>
      <c r="V284">
        <f>_xlfn.XLOOKUP(B284,CRN!G:G,CRN!S:S,"")</f>
        <v>0</v>
      </c>
      <c r="W284">
        <f>IF(V284=0,0,_xlfn.XLOOKUP(C284,CLIENT_CODE!B:B,CLIENT_CODE!O:O,0))</f>
        <v>0</v>
      </c>
      <c r="X284">
        <f>_xlfn.XLOOKUP(B284,CRN!G:G,CRN!T:T,"")</f>
        <v>0</v>
      </c>
      <c r="Y284">
        <f>IF(X284=0,0,_xlfn.XLOOKUP(C284,CLIENT_CODE!B:B,CLIENT_CODE!P:P,0))</f>
        <v>0</v>
      </c>
      <c r="Z284">
        <f>_xlfn.XLOOKUP(B284,CRN!G:G,CRN!U:U,"")</f>
        <v>0</v>
      </c>
      <c r="AA284">
        <f>IF(X284=0,0,_xlfn.XLOOKUP(C284,CLIENT_CODE!B:B,CLIENT_CODE!P:P,0))</f>
        <v>0</v>
      </c>
      <c r="AB284">
        <f>_xlfn.XLOOKUP(B284,CRN!G:G,CRN!V:V,"")</f>
        <v>0</v>
      </c>
      <c r="AC284">
        <f>IF(AB284=0,0,_xlfn.XLOOKUP(C284,CLIENT_CODE!B:B,CLIENT_CODE!R:R,0))</f>
        <v>0</v>
      </c>
      <c r="AD284">
        <f t="shared" si="4"/>
        <v>0</v>
      </c>
    </row>
    <row r="285" spans="1:30">
      <c r="A285" s="42">
        <v>284</v>
      </c>
      <c r="E285">
        <f>IF(D285=0,0,_xlfn.XLOOKUP(C285,CLIENT_CODE!B:B,CLIENT_CODE!F:F,0))</f>
        <v>0</v>
      </c>
      <c r="F285">
        <f>_xlfn.XLOOKUP(B285,CRN!G:G,CRN!K:K,"")</f>
        <v>0</v>
      </c>
      <c r="G285">
        <f>IF(F285=0,0,_xlfn.XLOOKUP(C285,CLIENT_CODE!B:B,CLIENT_CODE!G:G,0))</f>
        <v>0</v>
      </c>
      <c r="H285">
        <f>_xlfn.XLOOKUP(B285,CRN!G:G,CRN!L:L,"")</f>
        <v>0</v>
      </c>
      <c r="I285">
        <f>IF(H285=0,0,_xlfn.XLOOKUP(C285,CLIENT_CODE!B:B,CLIENT_CODE!H:H,0))</f>
        <v>0</v>
      </c>
      <c r="J285">
        <f>_xlfn.XLOOKUP(B285,CRN!G:G,CRN!M:M,"")</f>
        <v>0</v>
      </c>
      <c r="K285">
        <f>IF(J285=0,0,_xlfn.XLOOKUP(C285,CLIENT_CODE!B:B,CLIENT_CODE!I:I,0))</f>
        <v>0</v>
      </c>
      <c r="L285">
        <f>_xlfn.XLOOKUP(B285,CRN!G:G,CRN!N:N,"")</f>
        <v>0</v>
      </c>
      <c r="M285">
        <f>IF(L285=0,0,_xlfn.XLOOKUP(C285,CLIENT_CODE!B:B,CLIENT_CODE!J:J,0))</f>
        <v>0</v>
      </c>
      <c r="N285">
        <f>_xlfn.XLOOKUP(B285,CRN!G:G,CRN!O:O,"")</f>
        <v>0</v>
      </c>
      <c r="O285">
        <f>IF(N285=0,0,_xlfn.XLOOKUP(C285,CLIENT_CODE!B:B,CLIENT_CODE!K:K,0))</f>
        <v>0</v>
      </c>
      <c r="P285">
        <f>_xlfn.XLOOKUP(B285,CRN!G:G,CRN!P:P,"")</f>
        <v>0</v>
      </c>
      <c r="Q285">
        <f>IF(P285=0,0,_xlfn.XLOOKUP(C285,CLIENT_CODE!B:B,CLIENT_CODE!L:L,0))</f>
        <v>0</v>
      </c>
      <c r="R285">
        <f>_xlfn.XLOOKUP(B285,CRN!G:G,CRN!Q:Q,"")</f>
        <v>0</v>
      </c>
      <c r="S285">
        <f>IF(R285=0,0,_xlfn.XLOOKUP(C285,CLIENT_CODE!B:B,CLIENT_CODE!M:M,0))</f>
        <v>0</v>
      </c>
      <c r="T285">
        <f>_xlfn.XLOOKUP(B285,CRN!G:G,CRN!R:R,"")</f>
        <v>0</v>
      </c>
      <c r="U285">
        <f>IF(T285=0,0,_xlfn.XLOOKUP(C285,CLIENT_CODE!B:B,CLIENT_CODE!N:N,0))</f>
        <v>0</v>
      </c>
      <c r="V285">
        <f>_xlfn.XLOOKUP(B285,CRN!G:G,CRN!S:S,"")</f>
        <v>0</v>
      </c>
      <c r="W285">
        <f>IF(V285=0,0,_xlfn.XLOOKUP(C285,CLIENT_CODE!B:B,CLIENT_CODE!O:O,0))</f>
        <v>0</v>
      </c>
      <c r="X285">
        <f>_xlfn.XLOOKUP(B285,CRN!G:G,CRN!T:T,"")</f>
        <v>0</v>
      </c>
      <c r="Y285">
        <f>IF(X285=0,0,_xlfn.XLOOKUP(C285,CLIENT_CODE!B:B,CLIENT_CODE!P:P,0))</f>
        <v>0</v>
      </c>
      <c r="Z285">
        <f>_xlfn.XLOOKUP(B285,CRN!G:G,CRN!U:U,"")</f>
        <v>0</v>
      </c>
      <c r="AA285">
        <f>IF(X285=0,0,_xlfn.XLOOKUP(C285,CLIENT_CODE!B:B,CLIENT_CODE!P:P,0))</f>
        <v>0</v>
      </c>
      <c r="AB285">
        <f>_xlfn.XLOOKUP(B285,CRN!G:G,CRN!V:V,"")</f>
        <v>0</v>
      </c>
      <c r="AC285">
        <f>IF(AB285=0,0,_xlfn.XLOOKUP(C285,CLIENT_CODE!B:B,CLIENT_CODE!R:R,0))</f>
        <v>0</v>
      </c>
      <c r="AD285">
        <f t="shared" si="4"/>
        <v>0</v>
      </c>
    </row>
    <row r="286" spans="1:30">
      <c r="A286" s="42">
        <v>285</v>
      </c>
      <c r="E286">
        <f>IF(D286=0,0,_xlfn.XLOOKUP(C286,CLIENT_CODE!B:B,CLIENT_CODE!F:F,0))</f>
        <v>0</v>
      </c>
      <c r="F286">
        <f>_xlfn.XLOOKUP(B286,CRN!G:G,CRN!K:K,"")</f>
        <v>0</v>
      </c>
      <c r="G286">
        <f>IF(F286=0,0,_xlfn.XLOOKUP(C286,CLIENT_CODE!B:B,CLIENT_CODE!G:G,0))</f>
        <v>0</v>
      </c>
      <c r="H286">
        <f>_xlfn.XLOOKUP(B286,CRN!G:G,CRN!L:L,"")</f>
        <v>0</v>
      </c>
      <c r="I286">
        <f>IF(H286=0,0,_xlfn.XLOOKUP(C286,CLIENT_CODE!B:B,CLIENT_CODE!H:H,0))</f>
        <v>0</v>
      </c>
      <c r="J286">
        <f>_xlfn.XLOOKUP(B286,CRN!G:G,CRN!M:M,"")</f>
        <v>0</v>
      </c>
      <c r="K286">
        <f>IF(J286=0,0,_xlfn.XLOOKUP(C286,CLIENT_CODE!B:B,CLIENT_CODE!I:I,0))</f>
        <v>0</v>
      </c>
      <c r="L286">
        <f>_xlfn.XLOOKUP(B286,CRN!G:G,CRN!N:N,"")</f>
        <v>0</v>
      </c>
      <c r="M286">
        <f>IF(L286=0,0,_xlfn.XLOOKUP(C286,CLIENT_CODE!B:B,CLIENT_CODE!J:J,0))</f>
        <v>0</v>
      </c>
      <c r="N286">
        <f>_xlfn.XLOOKUP(B286,CRN!G:G,CRN!O:O,"")</f>
        <v>0</v>
      </c>
      <c r="O286">
        <f>IF(N286=0,0,_xlfn.XLOOKUP(C286,CLIENT_CODE!B:B,CLIENT_CODE!K:K,0))</f>
        <v>0</v>
      </c>
      <c r="P286">
        <f>_xlfn.XLOOKUP(B286,CRN!G:G,CRN!P:P,"")</f>
        <v>0</v>
      </c>
      <c r="Q286">
        <f>IF(P286=0,0,_xlfn.XLOOKUP(C286,CLIENT_CODE!B:B,CLIENT_CODE!L:L,0))</f>
        <v>0</v>
      </c>
      <c r="R286">
        <f>_xlfn.XLOOKUP(B286,CRN!G:G,CRN!Q:Q,"")</f>
        <v>0</v>
      </c>
      <c r="S286">
        <f>IF(R286=0,0,_xlfn.XLOOKUP(C286,CLIENT_CODE!B:B,CLIENT_CODE!M:M,0))</f>
        <v>0</v>
      </c>
      <c r="T286">
        <f>_xlfn.XLOOKUP(B286,CRN!G:G,CRN!R:R,"")</f>
        <v>0</v>
      </c>
      <c r="U286">
        <f>IF(T286=0,0,_xlfn.XLOOKUP(C286,CLIENT_CODE!B:B,CLIENT_CODE!N:N,0))</f>
        <v>0</v>
      </c>
      <c r="V286">
        <f>_xlfn.XLOOKUP(B286,CRN!G:G,CRN!S:S,"")</f>
        <v>0</v>
      </c>
      <c r="W286">
        <f>IF(V286=0,0,_xlfn.XLOOKUP(C286,CLIENT_CODE!B:B,CLIENT_CODE!O:O,0))</f>
        <v>0</v>
      </c>
      <c r="X286">
        <f>_xlfn.XLOOKUP(B286,CRN!G:G,CRN!T:T,"")</f>
        <v>0</v>
      </c>
      <c r="Y286">
        <f>IF(X286=0,0,_xlfn.XLOOKUP(C286,CLIENT_CODE!B:B,CLIENT_CODE!P:P,0))</f>
        <v>0</v>
      </c>
      <c r="Z286">
        <f>_xlfn.XLOOKUP(B286,CRN!G:G,CRN!U:U,"")</f>
        <v>0</v>
      </c>
      <c r="AA286">
        <f>IF(X286=0,0,_xlfn.XLOOKUP(C286,CLIENT_CODE!B:B,CLIENT_CODE!P:P,0))</f>
        <v>0</v>
      </c>
      <c r="AB286">
        <f>_xlfn.XLOOKUP(B286,CRN!G:G,CRN!V:V,"")</f>
        <v>0</v>
      </c>
      <c r="AC286">
        <f>IF(AB286=0,0,_xlfn.XLOOKUP(C286,CLIENT_CODE!B:B,CLIENT_CODE!R:R,0))</f>
        <v>0</v>
      </c>
      <c r="AD286">
        <f t="shared" si="4"/>
        <v>0</v>
      </c>
    </row>
    <row r="287" spans="1:30">
      <c r="A287" s="42">
        <v>286</v>
      </c>
      <c r="E287">
        <f>IF(D287=0,0,_xlfn.XLOOKUP(C287,CLIENT_CODE!B:B,CLIENT_CODE!F:F,0))</f>
        <v>0</v>
      </c>
      <c r="F287">
        <f>_xlfn.XLOOKUP(B287,CRN!G:G,CRN!K:K,"")</f>
        <v>0</v>
      </c>
      <c r="G287">
        <f>IF(F287=0,0,_xlfn.XLOOKUP(C287,CLIENT_CODE!B:B,CLIENT_CODE!G:G,0))</f>
        <v>0</v>
      </c>
      <c r="H287">
        <f>_xlfn.XLOOKUP(B287,CRN!G:G,CRN!L:L,"")</f>
        <v>0</v>
      </c>
      <c r="I287">
        <f>IF(H287=0,0,_xlfn.XLOOKUP(C287,CLIENT_CODE!B:B,CLIENT_CODE!H:H,0))</f>
        <v>0</v>
      </c>
      <c r="J287">
        <f>_xlfn.XLOOKUP(B287,CRN!G:G,CRN!M:M,"")</f>
        <v>0</v>
      </c>
      <c r="K287">
        <f>IF(J287=0,0,_xlfn.XLOOKUP(C287,CLIENT_CODE!B:B,CLIENT_CODE!I:I,0))</f>
        <v>0</v>
      </c>
      <c r="L287">
        <f>_xlfn.XLOOKUP(B287,CRN!G:G,CRN!N:N,"")</f>
        <v>0</v>
      </c>
      <c r="M287">
        <f>IF(L287=0,0,_xlfn.XLOOKUP(C287,CLIENT_CODE!B:B,CLIENT_CODE!J:J,0))</f>
        <v>0</v>
      </c>
      <c r="N287">
        <f>_xlfn.XLOOKUP(B287,CRN!G:G,CRN!O:O,"")</f>
        <v>0</v>
      </c>
      <c r="O287">
        <f>IF(N287=0,0,_xlfn.XLOOKUP(C287,CLIENT_CODE!B:B,CLIENT_CODE!K:K,0))</f>
        <v>0</v>
      </c>
      <c r="P287">
        <f>_xlfn.XLOOKUP(B287,CRN!G:G,CRN!P:P,"")</f>
        <v>0</v>
      </c>
      <c r="Q287">
        <f>IF(P287=0,0,_xlfn.XLOOKUP(C287,CLIENT_CODE!B:B,CLIENT_CODE!L:L,0))</f>
        <v>0</v>
      </c>
      <c r="R287">
        <f>_xlfn.XLOOKUP(B287,CRN!G:G,CRN!Q:Q,"")</f>
        <v>0</v>
      </c>
      <c r="S287">
        <f>IF(R287=0,0,_xlfn.XLOOKUP(C287,CLIENT_CODE!B:B,CLIENT_CODE!M:M,0))</f>
        <v>0</v>
      </c>
      <c r="T287">
        <f>_xlfn.XLOOKUP(B287,CRN!G:G,CRN!R:R,"")</f>
        <v>0</v>
      </c>
      <c r="U287">
        <f>IF(T287=0,0,_xlfn.XLOOKUP(C287,CLIENT_CODE!B:B,CLIENT_CODE!N:N,0))</f>
        <v>0</v>
      </c>
      <c r="V287">
        <f>_xlfn.XLOOKUP(B287,CRN!G:G,CRN!S:S,"")</f>
        <v>0</v>
      </c>
      <c r="W287">
        <f>IF(V287=0,0,_xlfn.XLOOKUP(C287,CLIENT_CODE!B:B,CLIENT_CODE!O:O,0))</f>
        <v>0</v>
      </c>
      <c r="X287">
        <f>_xlfn.XLOOKUP(B287,CRN!G:G,CRN!T:T,"")</f>
        <v>0</v>
      </c>
      <c r="Y287">
        <f>IF(X287=0,0,_xlfn.XLOOKUP(C287,CLIENT_CODE!B:B,CLIENT_CODE!P:P,0))</f>
        <v>0</v>
      </c>
      <c r="Z287">
        <f>_xlfn.XLOOKUP(B287,CRN!G:G,CRN!U:U,"")</f>
        <v>0</v>
      </c>
      <c r="AA287">
        <f>IF(X287=0,0,_xlfn.XLOOKUP(C287,CLIENT_CODE!B:B,CLIENT_CODE!P:P,0))</f>
        <v>0</v>
      </c>
      <c r="AB287">
        <f>_xlfn.XLOOKUP(B287,CRN!G:G,CRN!V:V,"")</f>
        <v>0</v>
      </c>
      <c r="AC287">
        <f>IF(AB287=0,0,_xlfn.XLOOKUP(C287,CLIENT_CODE!B:B,CLIENT_CODE!R:R,0))</f>
        <v>0</v>
      </c>
      <c r="AD287">
        <f t="shared" si="4"/>
        <v>0</v>
      </c>
    </row>
    <row r="288" spans="1:30">
      <c r="A288" s="42">
        <v>287</v>
      </c>
      <c r="E288">
        <f>IF(D288=0,0,_xlfn.XLOOKUP(C288,CLIENT_CODE!B:B,CLIENT_CODE!F:F,0))</f>
        <v>0</v>
      </c>
      <c r="F288">
        <f>_xlfn.XLOOKUP(B288,CRN!G:G,CRN!K:K,"")</f>
        <v>0</v>
      </c>
      <c r="G288">
        <f>IF(F288=0,0,_xlfn.XLOOKUP(C288,CLIENT_CODE!B:B,CLIENT_CODE!G:G,0))</f>
        <v>0</v>
      </c>
      <c r="H288">
        <f>_xlfn.XLOOKUP(B288,CRN!G:G,CRN!L:L,"")</f>
        <v>0</v>
      </c>
      <c r="I288">
        <f>IF(H288=0,0,_xlfn.XLOOKUP(C288,CLIENT_CODE!B:B,CLIENT_CODE!H:H,0))</f>
        <v>0</v>
      </c>
      <c r="J288">
        <f>_xlfn.XLOOKUP(B288,CRN!G:G,CRN!M:M,"")</f>
        <v>0</v>
      </c>
      <c r="K288">
        <f>IF(J288=0,0,_xlfn.XLOOKUP(C288,CLIENT_CODE!B:B,CLIENT_CODE!I:I,0))</f>
        <v>0</v>
      </c>
      <c r="L288">
        <f>_xlfn.XLOOKUP(B288,CRN!G:G,CRN!N:N,"")</f>
        <v>0</v>
      </c>
      <c r="M288">
        <f>IF(L288=0,0,_xlfn.XLOOKUP(C288,CLIENT_CODE!B:B,CLIENT_CODE!J:J,0))</f>
        <v>0</v>
      </c>
      <c r="N288">
        <f>_xlfn.XLOOKUP(B288,CRN!G:G,CRN!O:O,"")</f>
        <v>0</v>
      </c>
      <c r="O288">
        <f>IF(N288=0,0,_xlfn.XLOOKUP(C288,CLIENT_CODE!B:B,CLIENT_CODE!K:K,0))</f>
        <v>0</v>
      </c>
      <c r="P288">
        <f>_xlfn.XLOOKUP(B288,CRN!G:G,CRN!P:P,"")</f>
        <v>0</v>
      </c>
      <c r="Q288">
        <f>IF(P288=0,0,_xlfn.XLOOKUP(C288,CLIENT_CODE!B:B,CLIENT_CODE!L:L,0))</f>
        <v>0</v>
      </c>
      <c r="R288">
        <f>_xlfn.XLOOKUP(B288,CRN!G:G,CRN!Q:Q,"")</f>
        <v>0</v>
      </c>
      <c r="S288">
        <f>IF(R288=0,0,_xlfn.XLOOKUP(C288,CLIENT_CODE!B:B,CLIENT_CODE!M:M,0))</f>
        <v>0</v>
      </c>
      <c r="T288">
        <f>_xlfn.XLOOKUP(B288,CRN!G:G,CRN!R:R,"")</f>
        <v>0</v>
      </c>
      <c r="U288">
        <f>IF(T288=0,0,_xlfn.XLOOKUP(C288,CLIENT_CODE!B:B,CLIENT_CODE!N:N,0))</f>
        <v>0</v>
      </c>
      <c r="V288">
        <f>_xlfn.XLOOKUP(B288,CRN!G:G,CRN!S:S,"")</f>
        <v>0</v>
      </c>
      <c r="W288">
        <f>IF(V288=0,0,_xlfn.XLOOKUP(C288,CLIENT_CODE!B:B,CLIENT_CODE!O:O,0))</f>
        <v>0</v>
      </c>
      <c r="X288">
        <f>_xlfn.XLOOKUP(B288,CRN!G:G,CRN!T:T,"")</f>
        <v>0</v>
      </c>
      <c r="Y288">
        <f>IF(X288=0,0,_xlfn.XLOOKUP(C288,CLIENT_CODE!B:B,CLIENT_CODE!P:P,0))</f>
        <v>0</v>
      </c>
      <c r="Z288">
        <f>_xlfn.XLOOKUP(B288,CRN!G:G,CRN!U:U,"")</f>
        <v>0</v>
      </c>
      <c r="AA288">
        <f>IF(X288=0,0,_xlfn.XLOOKUP(C288,CLIENT_CODE!B:B,CLIENT_CODE!P:P,0))</f>
        <v>0</v>
      </c>
      <c r="AB288">
        <f>_xlfn.XLOOKUP(B288,CRN!G:G,CRN!V:V,"")</f>
        <v>0</v>
      </c>
      <c r="AC288">
        <f>IF(AB288=0,0,_xlfn.XLOOKUP(C288,CLIENT_CODE!B:B,CLIENT_CODE!R:R,0))</f>
        <v>0</v>
      </c>
      <c r="AD288">
        <f t="shared" si="4"/>
        <v>0</v>
      </c>
    </row>
    <row r="289" spans="1:30">
      <c r="A289" s="42">
        <v>288</v>
      </c>
      <c r="E289">
        <f>IF(D289=0,0,_xlfn.XLOOKUP(C289,CLIENT_CODE!B:B,CLIENT_CODE!F:F,0))</f>
        <v>0</v>
      </c>
      <c r="F289">
        <f>_xlfn.XLOOKUP(B289,CRN!G:G,CRN!K:K,"")</f>
        <v>0</v>
      </c>
      <c r="G289">
        <f>IF(F289=0,0,_xlfn.XLOOKUP(C289,CLIENT_CODE!B:B,CLIENT_CODE!G:G,0))</f>
        <v>0</v>
      </c>
      <c r="H289">
        <f>_xlfn.XLOOKUP(B289,CRN!G:G,CRN!L:L,"")</f>
        <v>0</v>
      </c>
      <c r="I289">
        <f>IF(H289=0,0,_xlfn.XLOOKUP(C289,CLIENT_CODE!B:B,CLIENT_CODE!H:H,0))</f>
        <v>0</v>
      </c>
      <c r="J289">
        <f>_xlfn.XLOOKUP(B289,CRN!G:G,CRN!M:M,"")</f>
        <v>0</v>
      </c>
      <c r="K289">
        <f>IF(J289=0,0,_xlfn.XLOOKUP(C289,CLIENT_CODE!B:B,CLIENT_CODE!I:I,0))</f>
        <v>0</v>
      </c>
      <c r="L289">
        <f>_xlfn.XLOOKUP(B289,CRN!G:G,CRN!N:N,"")</f>
        <v>0</v>
      </c>
      <c r="M289">
        <f>IF(L289=0,0,_xlfn.XLOOKUP(C289,CLIENT_CODE!B:B,CLIENT_CODE!J:J,0))</f>
        <v>0</v>
      </c>
      <c r="N289">
        <f>_xlfn.XLOOKUP(B289,CRN!G:G,CRN!O:O,"")</f>
        <v>0</v>
      </c>
      <c r="O289">
        <f>IF(N289=0,0,_xlfn.XLOOKUP(C289,CLIENT_CODE!B:B,CLIENT_CODE!K:K,0))</f>
        <v>0</v>
      </c>
      <c r="P289">
        <f>_xlfn.XLOOKUP(B289,CRN!G:G,CRN!P:P,"")</f>
        <v>0</v>
      </c>
      <c r="Q289">
        <f>IF(P289=0,0,_xlfn.XLOOKUP(C289,CLIENT_CODE!B:B,CLIENT_CODE!L:L,0))</f>
        <v>0</v>
      </c>
      <c r="R289">
        <f>_xlfn.XLOOKUP(B289,CRN!G:G,CRN!Q:Q,"")</f>
        <v>0</v>
      </c>
      <c r="S289">
        <f>IF(R289=0,0,_xlfn.XLOOKUP(C289,CLIENT_CODE!B:B,CLIENT_CODE!M:M,0))</f>
        <v>0</v>
      </c>
      <c r="T289">
        <f>_xlfn.XLOOKUP(B289,CRN!G:G,CRN!R:R,"")</f>
        <v>0</v>
      </c>
      <c r="U289">
        <f>IF(T289=0,0,_xlfn.XLOOKUP(C289,CLIENT_CODE!B:B,CLIENT_CODE!N:N,0))</f>
        <v>0</v>
      </c>
      <c r="V289">
        <f>_xlfn.XLOOKUP(B289,CRN!G:G,CRN!S:S,"")</f>
        <v>0</v>
      </c>
      <c r="W289">
        <f>IF(V289=0,0,_xlfn.XLOOKUP(C289,CLIENT_CODE!B:B,CLIENT_CODE!O:O,0))</f>
        <v>0</v>
      </c>
      <c r="X289">
        <f>_xlfn.XLOOKUP(B289,CRN!G:G,CRN!T:T,"")</f>
        <v>0</v>
      </c>
      <c r="Y289">
        <f>IF(X289=0,0,_xlfn.XLOOKUP(C289,CLIENT_CODE!B:B,CLIENT_CODE!P:P,0))</f>
        <v>0</v>
      </c>
      <c r="Z289">
        <f>_xlfn.XLOOKUP(B289,CRN!G:G,CRN!U:U,"")</f>
        <v>0</v>
      </c>
      <c r="AA289">
        <f>IF(X289=0,0,_xlfn.XLOOKUP(C289,CLIENT_CODE!B:B,CLIENT_CODE!P:P,0))</f>
        <v>0</v>
      </c>
      <c r="AB289">
        <f>_xlfn.XLOOKUP(B289,CRN!G:G,CRN!V:V,"")</f>
        <v>0</v>
      </c>
      <c r="AC289">
        <f>IF(AB289=0,0,_xlfn.XLOOKUP(C289,CLIENT_CODE!B:B,CLIENT_CODE!R:R,0))</f>
        <v>0</v>
      </c>
      <c r="AD289">
        <f t="shared" si="4"/>
        <v>0</v>
      </c>
    </row>
    <row r="290" spans="1:30">
      <c r="A290" s="42">
        <v>289</v>
      </c>
      <c r="E290">
        <f>IF(D290=0,0,_xlfn.XLOOKUP(C290,CLIENT_CODE!B:B,CLIENT_CODE!F:F,0))</f>
        <v>0</v>
      </c>
      <c r="F290">
        <f>_xlfn.XLOOKUP(B290,CRN!G:G,CRN!K:K,"")</f>
        <v>0</v>
      </c>
      <c r="G290">
        <f>IF(F290=0,0,_xlfn.XLOOKUP(C290,CLIENT_CODE!B:B,CLIENT_CODE!G:G,0))</f>
        <v>0</v>
      </c>
      <c r="H290">
        <f>_xlfn.XLOOKUP(B290,CRN!G:G,CRN!L:L,"")</f>
        <v>0</v>
      </c>
      <c r="I290">
        <f>IF(H290=0,0,_xlfn.XLOOKUP(C290,CLIENT_CODE!B:B,CLIENT_CODE!H:H,0))</f>
        <v>0</v>
      </c>
      <c r="J290">
        <f>_xlfn.XLOOKUP(B290,CRN!G:G,CRN!M:M,"")</f>
        <v>0</v>
      </c>
      <c r="K290">
        <f>IF(J290=0,0,_xlfn.XLOOKUP(C290,CLIENT_CODE!B:B,CLIENT_CODE!I:I,0))</f>
        <v>0</v>
      </c>
      <c r="L290">
        <f>_xlfn.XLOOKUP(B290,CRN!G:G,CRN!N:N,"")</f>
        <v>0</v>
      </c>
      <c r="M290">
        <f>IF(L290=0,0,_xlfn.XLOOKUP(C290,CLIENT_CODE!B:B,CLIENT_CODE!J:J,0))</f>
        <v>0</v>
      </c>
      <c r="N290">
        <f>_xlfn.XLOOKUP(B290,CRN!G:G,CRN!O:O,"")</f>
        <v>0</v>
      </c>
      <c r="O290">
        <f>IF(N290=0,0,_xlfn.XLOOKUP(C290,CLIENT_CODE!B:B,CLIENT_CODE!K:K,0))</f>
        <v>0</v>
      </c>
      <c r="P290">
        <f>_xlfn.XLOOKUP(B290,CRN!G:G,CRN!P:P,"")</f>
        <v>0</v>
      </c>
      <c r="Q290">
        <f>IF(P290=0,0,_xlfn.XLOOKUP(C290,CLIENT_CODE!B:B,CLIENT_CODE!L:L,0))</f>
        <v>0</v>
      </c>
      <c r="R290">
        <f>_xlfn.XLOOKUP(B290,CRN!G:G,CRN!Q:Q,"")</f>
        <v>0</v>
      </c>
      <c r="S290">
        <f>IF(R290=0,0,_xlfn.XLOOKUP(C290,CLIENT_CODE!B:B,CLIENT_CODE!M:M,0))</f>
        <v>0</v>
      </c>
      <c r="T290">
        <f>_xlfn.XLOOKUP(B290,CRN!G:G,CRN!R:R,"")</f>
        <v>0</v>
      </c>
      <c r="U290">
        <f>IF(T290=0,0,_xlfn.XLOOKUP(C290,CLIENT_CODE!B:B,CLIENT_CODE!N:N,0))</f>
        <v>0</v>
      </c>
      <c r="V290">
        <f>_xlfn.XLOOKUP(B290,CRN!G:G,CRN!S:S,"")</f>
        <v>0</v>
      </c>
      <c r="W290">
        <f>IF(V290=0,0,_xlfn.XLOOKUP(C290,CLIENT_CODE!B:B,CLIENT_CODE!O:O,0))</f>
        <v>0</v>
      </c>
      <c r="X290">
        <f>_xlfn.XLOOKUP(B290,CRN!G:G,CRN!T:T,"")</f>
        <v>0</v>
      </c>
      <c r="Y290">
        <f>IF(X290=0,0,_xlfn.XLOOKUP(C290,CLIENT_CODE!B:B,CLIENT_CODE!P:P,0))</f>
        <v>0</v>
      </c>
      <c r="Z290">
        <f>_xlfn.XLOOKUP(B290,CRN!G:G,CRN!U:U,"")</f>
        <v>0</v>
      </c>
      <c r="AA290">
        <f>IF(X290=0,0,_xlfn.XLOOKUP(C290,CLIENT_CODE!B:B,CLIENT_CODE!P:P,0))</f>
        <v>0</v>
      </c>
      <c r="AB290">
        <f>_xlfn.XLOOKUP(B290,CRN!G:G,CRN!V:V,"")</f>
        <v>0</v>
      </c>
      <c r="AC290">
        <f>IF(AB290=0,0,_xlfn.XLOOKUP(C290,CLIENT_CODE!B:B,CLIENT_CODE!R:R,0))</f>
        <v>0</v>
      </c>
      <c r="AD290">
        <f t="shared" si="4"/>
        <v>0</v>
      </c>
    </row>
    <row r="291" spans="1:30">
      <c r="A291" s="42">
        <v>290</v>
      </c>
      <c r="E291">
        <f>IF(D291=0,0,_xlfn.XLOOKUP(C291,CLIENT_CODE!B:B,CLIENT_CODE!F:F,0))</f>
        <v>0</v>
      </c>
      <c r="F291">
        <f>_xlfn.XLOOKUP(B291,CRN!G:G,CRN!K:K,"")</f>
        <v>0</v>
      </c>
      <c r="G291">
        <f>IF(F291=0,0,_xlfn.XLOOKUP(C291,CLIENT_CODE!B:B,CLIENT_CODE!G:G,0))</f>
        <v>0</v>
      </c>
      <c r="H291">
        <f>_xlfn.XLOOKUP(B291,CRN!G:G,CRN!L:L,"")</f>
        <v>0</v>
      </c>
      <c r="I291">
        <f>IF(H291=0,0,_xlfn.XLOOKUP(C291,CLIENT_CODE!B:B,CLIENT_CODE!H:H,0))</f>
        <v>0</v>
      </c>
      <c r="J291">
        <f>_xlfn.XLOOKUP(B291,CRN!G:G,CRN!M:M,"")</f>
        <v>0</v>
      </c>
      <c r="K291">
        <f>IF(J291=0,0,_xlfn.XLOOKUP(C291,CLIENT_CODE!B:B,CLIENT_CODE!I:I,0))</f>
        <v>0</v>
      </c>
      <c r="L291">
        <f>_xlfn.XLOOKUP(B291,CRN!G:G,CRN!N:N,"")</f>
        <v>0</v>
      </c>
      <c r="M291">
        <f>IF(L291=0,0,_xlfn.XLOOKUP(C291,CLIENT_CODE!B:B,CLIENT_CODE!J:J,0))</f>
        <v>0</v>
      </c>
      <c r="N291">
        <f>_xlfn.XLOOKUP(B291,CRN!G:G,CRN!O:O,"")</f>
        <v>0</v>
      </c>
      <c r="O291">
        <f>IF(N291=0,0,_xlfn.XLOOKUP(C291,CLIENT_CODE!B:B,CLIENT_CODE!K:K,0))</f>
        <v>0</v>
      </c>
      <c r="P291">
        <f>_xlfn.XLOOKUP(B291,CRN!G:G,CRN!P:P,"")</f>
        <v>0</v>
      </c>
      <c r="Q291">
        <f>IF(P291=0,0,_xlfn.XLOOKUP(C291,CLIENT_CODE!B:B,CLIENT_CODE!L:L,0))</f>
        <v>0</v>
      </c>
      <c r="R291">
        <f>_xlfn.XLOOKUP(B291,CRN!G:G,CRN!Q:Q,"")</f>
        <v>0</v>
      </c>
      <c r="S291">
        <f>IF(R291=0,0,_xlfn.XLOOKUP(C291,CLIENT_CODE!B:B,CLIENT_CODE!M:M,0))</f>
        <v>0</v>
      </c>
      <c r="T291">
        <f>_xlfn.XLOOKUP(B291,CRN!G:G,CRN!R:R,"")</f>
        <v>0</v>
      </c>
      <c r="U291">
        <f>IF(T291=0,0,_xlfn.XLOOKUP(C291,CLIENT_CODE!B:B,CLIENT_CODE!N:N,0))</f>
        <v>0</v>
      </c>
      <c r="V291">
        <f>_xlfn.XLOOKUP(B291,CRN!G:G,CRN!S:S,"")</f>
        <v>0</v>
      </c>
      <c r="W291">
        <f>IF(V291=0,0,_xlfn.XLOOKUP(C291,CLIENT_CODE!B:B,CLIENT_CODE!O:O,0))</f>
        <v>0</v>
      </c>
      <c r="X291">
        <f>_xlfn.XLOOKUP(B291,CRN!G:G,CRN!T:T,"")</f>
        <v>0</v>
      </c>
      <c r="Y291">
        <f>IF(X291=0,0,_xlfn.XLOOKUP(C291,CLIENT_CODE!B:B,CLIENT_CODE!P:P,0))</f>
        <v>0</v>
      </c>
      <c r="Z291">
        <f>_xlfn.XLOOKUP(B291,CRN!G:G,CRN!U:U,"")</f>
        <v>0</v>
      </c>
      <c r="AA291">
        <f>IF(X291=0,0,_xlfn.XLOOKUP(C291,CLIENT_CODE!B:B,CLIENT_CODE!P:P,0))</f>
        <v>0</v>
      </c>
      <c r="AB291">
        <f>_xlfn.XLOOKUP(B291,CRN!G:G,CRN!V:V,"")</f>
        <v>0</v>
      </c>
      <c r="AC291">
        <f>IF(AB291=0,0,_xlfn.XLOOKUP(C291,CLIENT_CODE!B:B,CLIENT_CODE!R:R,0))</f>
        <v>0</v>
      </c>
      <c r="AD291">
        <f t="shared" si="4"/>
        <v>0</v>
      </c>
    </row>
    <row r="292" spans="1:30">
      <c r="A292" s="42">
        <v>291</v>
      </c>
      <c r="E292">
        <f>IF(D292=0,0,_xlfn.XLOOKUP(C292,CLIENT_CODE!B:B,CLIENT_CODE!F:F,0))</f>
        <v>0</v>
      </c>
      <c r="F292">
        <f>_xlfn.XLOOKUP(B292,CRN!G:G,CRN!K:K,"")</f>
        <v>0</v>
      </c>
      <c r="G292">
        <f>IF(F292=0,0,_xlfn.XLOOKUP(C292,CLIENT_CODE!B:B,CLIENT_CODE!G:G,0))</f>
        <v>0</v>
      </c>
      <c r="H292">
        <f>_xlfn.XLOOKUP(B292,CRN!G:G,CRN!L:L,"")</f>
        <v>0</v>
      </c>
      <c r="I292">
        <f>IF(H292=0,0,_xlfn.XLOOKUP(C292,CLIENT_CODE!B:B,CLIENT_CODE!H:H,0))</f>
        <v>0</v>
      </c>
      <c r="J292">
        <f>_xlfn.XLOOKUP(B292,CRN!G:G,CRN!M:M,"")</f>
        <v>0</v>
      </c>
      <c r="K292">
        <f>IF(J292=0,0,_xlfn.XLOOKUP(C292,CLIENT_CODE!B:B,CLIENT_CODE!I:I,0))</f>
        <v>0</v>
      </c>
      <c r="L292">
        <f>_xlfn.XLOOKUP(B292,CRN!G:G,CRN!N:N,"")</f>
        <v>0</v>
      </c>
      <c r="M292">
        <f>IF(L292=0,0,_xlfn.XLOOKUP(C292,CLIENT_CODE!B:B,CLIENT_CODE!J:J,0))</f>
        <v>0</v>
      </c>
      <c r="N292">
        <f>_xlfn.XLOOKUP(B292,CRN!G:G,CRN!O:O,"")</f>
        <v>0</v>
      </c>
      <c r="O292">
        <f>IF(N292=0,0,_xlfn.XLOOKUP(C292,CLIENT_CODE!B:B,CLIENT_CODE!K:K,0))</f>
        <v>0</v>
      </c>
      <c r="P292">
        <f>_xlfn.XLOOKUP(B292,CRN!G:G,CRN!P:P,"")</f>
        <v>0</v>
      </c>
      <c r="Q292">
        <f>IF(P292=0,0,_xlfn.XLOOKUP(C292,CLIENT_CODE!B:B,CLIENT_CODE!L:L,0))</f>
        <v>0</v>
      </c>
      <c r="R292">
        <f>_xlfn.XLOOKUP(B292,CRN!G:G,CRN!Q:Q,"")</f>
        <v>0</v>
      </c>
      <c r="S292">
        <f>IF(R292=0,0,_xlfn.XLOOKUP(C292,CLIENT_CODE!B:B,CLIENT_CODE!M:M,0))</f>
        <v>0</v>
      </c>
      <c r="T292">
        <f>_xlfn.XLOOKUP(B292,CRN!G:G,CRN!R:R,"")</f>
        <v>0</v>
      </c>
      <c r="U292">
        <f>IF(T292=0,0,_xlfn.XLOOKUP(C292,CLIENT_CODE!B:B,CLIENT_CODE!N:N,0))</f>
        <v>0</v>
      </c>
      <c r="V292">
        <f>_xlfn.XLOOKUP(B292,CRN!G:G,CRN!S:S,"")</f>
        <v>0</v>
      </c>
      <c r="W292">
        <f>IF(V292=0,0,_xlfn.XLOOKUP(C292,CLIENT_CODE!B:B,CLIENT_CODE!O:O,0))</f>
        <v>0</v>
      </c>
      <c r="X292">
        <f>_xlfn.XLOOKUP(B292,CRN!G:G,CRN!T:T,"")</f>
        <v>0</v>
      </c>
      <c r="Y292">
        <f>IF(X292=0,0,_xlfn.XLOOKUP(C292,CLIENT_CODE!B:B,CLIENT_CODE!P:P,0))</f>
        <v>0</v>
      </c>
      <c r="Z292">
        <f>_xlfn.XLOOKUP(B292,CRN!G:G,CRN!U:U,"")</f>
        <v>0</v>
      </c>
      <c r="AA292">
        <f>IF(X292=0,0,_xlfn.XLOOKUP(C292,CLIENT_CODE!B:B,CLIENT_CODE!P:P,0))</f>
        <v>0</v>
      </c>
      <c r="AB292">
        <f>_xlfn.XLOOKUP(B292,CRN!G:G,CRN!V:V,"")</f>
        <v>0</v>
      </c>
      <c r="AC292">
        <f>IF(AB292=0,0,_xlfn.XLOOKUP(C292,CLIENT_CODE!B:B,CLIENT_CODE!R:R,0))</f>
        <v>0</v>
      </c>
      <c r="AD292">
        <f t="shared" si="4"/>
        <v>0</v>
      </c>
    </row>
    <row r="293" spans="1:30">
      <c r="A293" s="42">
        <v>292</v>
      </c>
      <c r="E293">
        <f>IF(D293=0,0,_xlfn.XLOOKUP(C293,CLIENT_CODE!B:B,CLIENT_CODE!F:F,0))</f>
        <v>0</v>
      </c>
      <c r="F293">
        <f>_xlfn.XLOOKUP(B293,CRN!G:G,CRN!K:K,"")</f>
        <v>0</v>
      </c>
      <c r="G293">
        <f>IF(F293=0,0,_xlfn.XLOOKUP(C293,CLIENT_CODE!B:B,CLIENT_CODE!G:G,0))</f>
        <v>0</v>
      </c>
      <c r="H293">
        <f>_xlfn.XLOOKUP(B293,CRN!G:G,CRN!L:L,"")</f>
        <v>0</v>
      </c>
      <c r="I293">
        <f>IF(H293=0,0,_xlfn.XLOOKUP(C293,CLIENT_CODE!B:B,CLIENT_CODE!H:H,0))</f>
        <v>0</v>
      </c>
      <c r="J293">
        <f>_xlfn.XLOOKUP(B293,CRN!G:G,CRN!M:M,"")</f>
        <v>0</v>
      </c>
      <c r="K293">
        <f>IF(J293=0,0,_xlfn.XLOOKUP(C293,CLIENT_CODE!B:B,CLIENT_CODE!I:I,0))</f>
        <v>0</v>
      </c>
      <c r="L293">
        <f>_xlfn.XLOOKUP(B293,CRN!G:G,CRN!N:N,"")</f>
        <v>0</v>
      </c>
      <c r="M293">
        <f>IF(L293=0,0,_xlfn.XLOOKUP(C293,CLIENT_CODE!B:B,CLIENT_CODE!J:J,0))</f>
        <v>0</v>
      </c>
      <c r="N293">
        <f>_xlfn.XLOOKUP(B293,CRN!G:G,CRN!O:O,"")</f>
        <v>0</v>
      </c>
      <c r="O293">
        <f>IF(N293=0,0,_xlfn.XLOOKUP(C293,CLIENT_CODE!B:B,CLIENT_CODE!K:K,0))</f>
        <v>0</v>
      </c>
      <c r="P293">
        <f>_xlfn.XLOOKUP(B293,CRN!G:G,CRN!P:P,"")</f>
        <v>0</v>
      </c>
      <c r="Q293">
        <f>IF(P293=0,0,_xlfn.XLOOKUP(C293,CLIENT_CODE!B:B,CLIENT_CODE!L:L,0))</f>
        <v>0</v>
      </c>
      <c r="R293">
        <f>_xlfn.XLOOKUP(B293,CRN!G:G,CRN!Q:Q,"")</f>
        <v>0</v>
      </c>
      <c r="S293">
        <f>IF(R293=0,0,_xlfn.XLOOKUP(C293,CLIENT_CODE!B:B,CLIENT_CODE!M:M,0))</f>
        <v>0</v>
      </c>
      <c r="T293">
        <f>_xlfn.XLOOKUP(B293,CRN!G:G,CRN!R:R,"")</f>
        <v>0</v>
      </c>
      <c r="U293">
        <f>IF(T293=0,0,_xlfn.XLOOKUP(C293,CLIENT_CODE!B:B,CLIENT_CODE!N:N,0))</f>
        <v>0</v>
      </c>
      <c r="V293">
        <f>_xlfn.XLOOKUP(B293,CRN!G:G,CRN!S:S,"")</f>
        <v>0</v>
      </c>
      <c r="W293">
        <f>IF(V293=0,0,_xlfn.XLOOKUP(C293,CLIENT_CODE!B:B,CLIENT_CODE!O:O,0))</f>
        <v>0</v>
      </c>
      <c r="X293">
        <f>_xlfn.XLOOKUP(B293,CRN!G:G,CRN!T:T,"")</f>
        <v>0</v>
      </c>
      <c r="Y293">
        <f>IF(X293=0,0,_xlfn.XLOOKUP(C293,CLIENT_CODE!B:B,CLIENT_CODE!P:P,0))</f>
        <v>0</v>
      </c>
      <c r="Z293">
        <f>_xlfn.XLOOKUP(B293,CRN!G:G,CRN!U:U,"")</f>
        <v>0</v>
      </c>
      <c r="AA293">
        <f>IF(X293=0,0,_xlfn.XLOOKUP(C293,CLIENT_CODE!B:B,CLIENT_CODE!P:P,0))</f>
        <v>0</v>
      </c>
      <c r="AB293">
        <f>_xlfn.XLOOKUP(B293,CRN!G:G,CRN!V:V,"")</f>
        <v>0</v>
      </c>
      <c r="AC293">
        <f>IF(AB293=0,0,_xlfn.XLOOKUP(C293,CLIENT_CODE!B:B,CLIENT_CODE!R:R,0))</f>
        <v>0</v>
      </c>
      <c r="AD293">
        <f t="shared" si="4"/>
        <v>0</v>
      </c>
    </row>
    <row r="294" spans="1:30">
      <c r="A294" s="42">
        <v>293</v>
      </c>
      <c r="E294">
        <f>IF(D294=0,0,_xlfn.XLOOKUP(C294,CLIENT_CODE!B:B,CLIENT_CODE!F:F,0))</f>
        <v>0</v>
      </c>
      <c r="F294">
        <f>_xlfn.XLOOKUP(B294,CRN!G:G,CRN!K:K,"")</f>
        <v>0</v>
      </c>
      <c r="G294">
        <f>IF(F294=0,0,_xlfn.XLOOKUP(C294,CLIENT_CODE!B:B,CLIENT_CODE!G:G,0))</f>
        <v>0</v>
      </c>
      <c r="H294">
        <f>_xlfn.XLOOKUP(B294,CRN!G:G,CRN!L:L,"")</f>
        <v>0</v>
      </c>
      <c r="I294">
        <f>IF(H294=0,0,_xlfn.XLOOKUP(C294,CLIENT_CODE!B:B,CLIENT_CODE!H:H,0))</f>
        <v>0</v>
      </c>
      <c r="J294">
        <f>_xlfn.XLOOKUP(B294,CRN!G:G,CRN!M:M,"")</f>
        <v>0</v>
      </c>
      <c r="K294">
        <f>IF(J294=0,0,_xlfn.XLOOKUP(C294,CLIENT_CODE!B:B,CLIENT_CODE!I:I,0))</f>
        <v>0</v>
      </c>
      <c r="L294">
        <f>_xlfn.XLOOKUP(B294,CRN!G:G,CRN!N:N,"")</f>
        <v>0</v>
      </c>
      <c r="M294">
        <f>IF(L294=0,0,_xlfn.XLOOKUP(C294,CLIENT_CODE!B:B,CLIENT_CODE!J:J,0))</f>
        <v>0</v>
      </c>
      <c r="N294">
        <f>_xlfn.XLOOKUP(B294,CRN!G:G,CRN!O:O,"")</f>
        <v>0</v>
      </c>
      <c r="O294">
        <f>IF(N294=0,0,_xlfn.XLOOKUP(C294,CLIENT_CODE!B:B,CLIENT_CODE!K:K,0))</f>
        <v>0</v>
      </c>
      <c r="P294">
        <f>_xlfn.XLOOKUP(B294,CRN!G:G,CRN!P:P,"")</f>
        <v>0</v>
      </c>
      <c r="Q294">
        <f>IF(P294=0,0,_xlfn.XLOOKUP(C294,CLIENT_CODE!B:B,CLIENT_CODE!L:L,0))</f>
        <v>0</v>
      </c>
      <c r="R294">
        <f>_xlfn.XLOOKUP(B294,CRN!G:G,CRN!Q:Q,"")</f>
        <v>0</v>
      </c>
      <c r="S294">
        <f>IF(R294=0,0,_xlfn.XLOOKUP(C294,CLIENT_CODE!B:B,CLIENT_CODE!M:M,0))</f>
        <v>0</v>
      </c>
      <c r="T294">
        <f>_xlfn.XLOOKUP(B294,CRN!G:G,CRN!R:R,"")</f>
        <v>0</v>
      </c>
      <c r="U294">
        <f>IF(T294=0,0,_xlfn.XLOOKUP(C294,CLIENT_CODE!B:B,CLIENT_CODE!N:N,0))</f>
        <v>0</v>
      </c>
      <c r="V294">
        <f>_xlfn.XLOOKUP(B294,CRN!G:G,CRN!S:S,"")</f>
        <v>0</v>
      </c>
      <c r="W294">
        <f>IF(V294=0,0,_xlfn.XLOOKUP(C294,CLIENT_CODE!B:B,CLIENT_CODE!O:O,0))</f>
        <v>0</v>
      </c>
      <c r="X294">
        <f>_xlfn.XLOOKUP(B294,CRN!G:G,CRN!T:T,"")</f>
        <v>0</v>
      </c>
      <c r="Y294">
        <f>IF(X294=0,0,_xlfn.XLOOKUP(C294,CLIENT_CODE!B:B,CLIENT_CODE!P:P,0))</f>
        <v>0</v>
      </c>
      <c r="Z294">
        <f>_xlfn.XLOOKUP(B294,CRN!G:G,CRN!U:U,"")</f>
        <v>0</v>
      </c>
      <c r="AA294">
        <f>IF(X294=0,0,_xlfn.XLOOKUP(C294,CLIENT_CODE!B:B,CLIENT_CODE!P:P,0))</f>
        <v>0</v>
      </c>
      <c r="AB294">
        <f>_xlfn.XLOOKUP(B294,CRN!G:G,CRN!V:V,"")</f>
        <v>0</v>
      </c>
      <c r="AC294">
        <f>IF(AB294=0,0,_xlfn.XLOOKUP(C294,CLIENT_CODE!B:B,CLIENT_CODE!R:R,0))</f>
        <v>0</v>
      </c>
      <c r="AD294">
        <f t="shared" si="4"/>
        <v>0</v>
      </c>
    </row>
    <row r="295" spans="1:30">
      <c r="A295" s="42">
        <v>294</v>
      </c>
      <c r="E295">
        <f>IF(D295=0,0,_xlfn.XLOOKUP(C295,CLIENT_CODE!B:B,CLIENT_CODE!F:F,0))</f>
        <v>0</v>
      </c>
      <c r="F295">
        <f>_xlfn.XLOOKUP(B295,CRN!G:G,CRN!K:K,"")</f>
        <v>0</v>
      </c>
      <c r="G295">
        <f>IF(F295=0,0,_xlfn.XLOOKUP(C295,CLIENT_CODE!B:B,CLIENT_CODE!G:G,0))</f>
        <v>0</v>
      </c>
      <c r="H295">
        <f>_xlfn.XLOOKUP(B295,CRN!G:G,CRN!L:L,"")</f>
        <v>0</v>
      </c>
      <c r="I295">
        <f>IF(H295=0,0,_xlfn.XLOOKUP(C295,CLIENT_CODE!B:B,CLIENT_CODE!H:H,0))</f>
        <v>0</v>
      </c>
      <c r="J295">
        <f>_xlfn.XLOOKUP(B295,CRN!G:G,CRN!M:M,"")</f>
        <v>0</v>
      </c>
      <c r="K295">
        <f>IF(J295=0,0,_xlfn.XLOOKUP(C295,CLIENT_CODE!B:B,CLIENT_CODE!I:I,0))</f>
        <v>0</v>
      </c>
      <c r="L295">
        <f>_xlfn.XLOOKUP(B295,CRN!G:G,CRN!N:N,"")</f>
        <v>0</v>
      </c>
      <c r="M295">
        <f>IF(L295=0,0,_xlfn.XLOOKUP(C295,CLIENT_CODE!B:B,CLIENT_CODE!J:J,0))</f>
        <v>0</v>
      </c>
      <c r="N295">
        <f>_xlfn.XLOOKUP(B295,CRN!G:G,CRN!O:O,"")</f>
        <v>0</v>
      </c>
      <c r="O295">
        <f>IF(N295=0,0,_xlfn.XLOOKUP(C295,CLIENT_CODE!B:B,CLIENT_CODE!K:K,0))</f>
        <v>0</v>
      </c>
      <c r="P295">
        <f>_xlfn.XLOOKUP(B295,CRN!G:G,CRN!P:P,"")</f>
        <v>0</v>
      </c>
      <c r="Q295">
        <f>IF(P295=0,0,_xlfn.XLOOKUP(C295,CLIENT_CODE!B:B,CLIENT_CODE!L:L,0))</f>
        <v>0</v>
      </c>
      <c r="R295">
        <f>_xlfn.XLOOKUP(B295,CRN!G:G,CRN!Q:Q,"")</f>
        <v>0</v>
      </c>
      <c r="S295">
        <f>IF(R295=0,0,_xlfn.XLOOKUP(C295,CLIENT_CODE!B:B,CLIENT_CODE!M:M,0))</f>
        <v>0</v>
      </c>
      <c r="T295">
        <f>_xlfn.XLOOKUP(B295,CRN!G:G,CRN!R:R,"")</f>
        <v>0</v>
      </c>
      <c r="U295">
        <f>IF(T295=0,0,_xlfn.XLOOKUP(C295,CLIENT_CODE!B:B,CLIENT_CODE!N:N,0))</f>
        <v>0</v>
      </c>
      <c r="V295">
        <f>_xlfn.XLOOKUP(B295,CRN!G:G,CRN!S:S,"")</f>
        <v>0</v>
      </c>
      <c r="W295">
        <f>IF(V295=0,0,_xlfn.XLOOKUP(C295,CLIENT_CODE!B:B,CLIENT_CODE!O:O,0))</f>
        <v>0</v>
      </c>
      <c r="X295">
        <f>_xlfn.XLOOKUP(B295,CRN!G:G,CRN!T:T,"")</f>
        <v>0</v>
      </c>
      <c r="Y295">
        <f>IF(X295=0,0,_xlfn.XLOOKUP(C295,CLIENT_CODE!B:B,CLIENT_CODE!P:P,0))</f>
        <v>0</v>
      </c>
      <c r="Z295">
        <f>_xlfn.XLOOKUP(B295,CRN!G:G,CRN!U:U,"")</f>
        <v>0</v>
      </c>
      <c r="AA295">
        <f>IF(X295=0,0,_xlfn.XLOOKUP(C295,CLIENT_CODE!B:B,CLIENT_CODE!P:P,0))</f>
        <v>0</v>
      </c>
      <c r="AB295">
        <f>_xlfn.XLOOKUP(B295,CRN!G:G,CRN!V:V,"")</f>
        <v>0</v>
      </c>
      <c r="AC295">
        <f>IF(AB295=0,0,_xlfn.XLOOKUP(C295,CLIENT_CODE!B:B,CLIENT_CODE!R:R,0))</f>
        <v>0</v>
      </c>
      <c r="AD295">
        <f t="shared" si="4"/>
        <v>0</v>
      </c>
    </row>
    <row r="296" spans="1:30">
      <c r="A296" s="42">
        <v>295</v>
      </c>
      <c r="E296">
        <f>IF(D296=0,0,_xlfn.XLOOKUP(C296,CLIENT_CODE!B:B,CLIENT_CODE!F:F,0))</f>
        <v>0</v>
      </c>
      <c r="F296">
        <f>_xlfn.XLOOKUP(B296,CRN!G:G,CRN!K:K,"")</f>
        <v>0</v>
      </c>
      <c r="G296">
        <f>IF(F296=0,0,_xlfn.XLOOKUP(C296,CLIENT_CODE!B:B,CLIENT_CODE!G:G,0))</f>
        <v>0</v>
      </c>
      <c r="H296">
        <f>_xlfn.XLOOKUP(B296,CRN!G:G,CRN!L:L,"")</f>
        <v>0</v>
      </c>
      <c r="I296">
        <f>IF(H296=0,0,_xlfn.XLOOKUP(C296,CLIENT_CODE!B:B,CLIENT_CODE!H:H,0))</f>
        <v>0</v>
      </c>
      <c r="J296">
        <f>_xlfn.XLOOKUP(B296,CRN!G:G,CRN!M:M,"")</f>
        <v>0</v>
      </c>
      <c r="K296">
        <f>IF(J296=0,0,_xlfn.XLOOKUP(C296,CLIENT_CODE!B:B,CLIENT_CODE!I:I,0))</f>
        <v>0</v>
      </c>
      <c r="L296">
        <f>_xlfn.XLOOKUP(B296,CRN!G:G,CRN!N:N,"")</f>
        <v>0</v>
      </c>
      <c r="M296">
        <f>IF(L296=0,0,_xlfn.XLOOKUP(C296,CLIENT_CODE!B:B,CLIENT_CODE!J:J,0))</f>
        <v>0</v>
      </c>
      <c r="N296">
        <f>_xlfn.XLOOKUP(B296,CRN!G:G,CRN!O:O,"")</f>
        <v>0</v>
      </c>
      <c r="O296">
        <f>IF(N296=0,0,_xlfn.XLOOKUP(C296,CLIENT_CODE!B:B,CLIENT_CODE!K:K,0))</f>
        <v>0</v>
      </c>
      <c r="P296">
        <f>_xlfn.XLOOKUP(B296,CRN!G:G,CRN!P:P,"")</f>
        <v>0</v>
      </c>
      <c r="Q296">
        <f>IF(P296=0,0,_xlfn.XLOOKUP(C296,CLIENT_CODE!B:B,CLIENT_CODE!L:L,0))</f>
        <v>0</v>
      </c>
      <c r="R296">
        <f>_xlfn.XLOOKUP(B296,CRN!G:G,CRN!Q:Q,"")</f>
        <v>0</v>
      </c>
      <c r="S296">
        <f>IF(R296=0,0,_xlfn.XLOOKUP(C296,CLIENT_CODE!B:B,CLIENT_CODE!M:M,0))</f>
        <v>0</v>
      </c>
      <c r="T296">
        <f>_xlfn.XLOOKUP(B296,CRN!G:G,CRN!R:R,"")</f>
        <v>0</v>
      </c>
      <c r="U296">
        <f>IF(T296=0,0,_xlfn.XLOOKUP(C296,CLIENT_CODE!B:B,CLIENT_CODE!N:N,0))</f>
        <v>0</v>
      </c>
      <c r="V296">
        <f>_xlfn.XLOOKUP(B296,CRN!G:G,CRN!S:S,"")</f>
        <v>0</v>
      </c>
      <c r="W296">
        <f>IF(V296=0,0,_xlfn.XLOOKUP(C296,CLIENT_CODE!B:B,CLIENT_CODE!O:O,0))</f>
        <v>0</v>
      </c>
      <c r="X296">
        <f>_xlfn.XLOOKUP(B296,CRN!G:G,CRN!T:T,"")</f>
        <v>0</v>
      </c>
      <c r="Y296">
        <f>IF(X296=0,0,_xlfn.XLOOKUP(C296,CLIENT_CODE!B:B,CLIENT_CODE!P:P,0))</f>
        <v>0</v>
      </c>
      <c r="Z296">
        <f>_xlfn.XLOOKUP(B296,CRN!G:G,CRN!U:U,"")</f>
        <v>0</v>
      </c>
      <c r="AA296">
        <f>IF(X296=0,0,_xlfn.XLOOKUP(C296,CLIENT_CODE!B:B,CLIENT_CODE!P:P,0))</f>
        <v>0</v>
      </c>
      <c r="AB296">
        <f>_xlfn.XLOOKUP(B296,CRN!G:G,CRN!V:V,"")</f>
        <v>0</v>
      </c>
      <c r="AC296">
        <f>IF(AB296=0,0,_xlfn.XLOOKUP(C296,CLIENT_CODE!B:B,CLIENT_CODE!R:R,0))</f>
        <v>0</v>
      </c>
      <c r="AD296">
        <f t="shared" si="4"/>
        <v>0</v>
      </c>
    </row>
    <row r="297" spans="1:30">
      <c r="A297" s="42">
        <v>296</v>
      </c>
      <c r="E297">
        <f>IF(D297=0,0,_xlfn.XLOOKUP(C297,CLIENT_CODE!B:B,CLIENT_CODE!F:F,0))</f>
        <v>0</v>
      </c>
      <c r="F297">
        <f>_xlfn.XLOOKUP(B297,CRN!G:G,CRN!K:K,"")</f>
        <v>0</v>
      </c>
      <c r="G297">
        <f>IF(F297=0,0,_xlfn.XLOOKUP(C297,CLIENT_CODE!B:B,CLIENT_CODE!G:G,0))</f>
        <v>0</v>
      </c>
      <c r="H297">
        <f>_xlfn.XLOOKUP(B297,CRN!G:G,CRN!L:L,"")</f>
        <v>0</v>
      </c>
      <c r="I297">
        <f>IF(H297=0,0,_xlfn.XLOOKUP(C297,CLIENT_CODE!B:B,CLIENT_CODE!H:H,0))</f>
        <v>0</v>
      </c>
      <c r="J297">
        <f>_xlfn.XLOOKUP(B297,CRN!G:G,CRN!M:M,"")</f>
        <v>0</v>
      </c>
      <c r="K297">
        <f>IF(J297=0,0,_xlfn.XLOOKUP(C297,CLIENT_CODE!B:B,CLIENT_CODE!I:I,0))</f>
        <v>0</v>
      </c>
      <c r="L297">
        <f>_xlfn.XLOOKUP(B297,CRN!G:G,CRN!N:N,"")</f>
        <v>0</v>
      </c>
      <c r="M297">
        <f>IF(L297=0,0,_xlfn.XLOOKUP(C297,CLIENT_CODE!B:B,CLIENT_CODE!J:J,0))</f>
        <v>0</v>
      </c>
      <c r="N297">
        <f>_xlfn.XLOOKUP(B297,CRN!G:G,CRN!O:O,"")</f>
        <v>0</v>
      </c>
      <c r="O297">
        <f>IF(N297=0,0,_xlfn.XLOOKUP(C297,CLIENT_CODE!B:B,CLIENT_CODE!K:K,0))</f>
        <v>0</v>
      </c>
      <c r="P297">
        <f>_xlfn.XLOOKUP(B297,CRN!G:G,CRN!P:P,"")</f>
        <v>0</v>
      </c>
      <c r="Q297">
        <f>IF(P297=0,0,_xlfn.XLOOKUP(C297,CLIENT_CODE!B:B,CLIENT_CODE!L:L,0))</f>
        <v>0</v>
      </c>
      <c r="R297">
        <f>_xlfn.XLOOKUP(B297,CRN!G:G,CRN!Q:Q,"")</f>
        <v>0</v>
      </c>
      <c r="S297">
        <f>IF(R297=0,0,_xlfn.XLOOKUP(C297,CLIENT_CODE!B:B,CLIENT_CODE!M:M,0))</f>
        <v>0</v>
      </c>
      <c r="T297">
        <f>_xlfn.XLOOKUP(B297,CRN!G:G,CRN!R:R,"")</f>
        <v>0</v>
      </c>
      <c r="U297">
        <f>IF(T297=0,0,_xlfn.XLOOKUP(C297,CLIENT_CODE!B:B,CLIENT_CODE!N:N,0))</f>
        <v>0</v>
      </c>
      <c r="V297">
        <f>_xlfn.XLOOKUP(B297,CRN!G:G,CRN!S:S,"")</f>
        <v>0</v>
      </c>
      <c r="W297">
        <f>IF(V297=0,0,_xlfn.XLOOKUP(C297,CLIENT_CODE!B:B,CLIENT_CODE!O:O,0))</f>
        <v>0</v>
      </c>
      <c r="X297">
        <f>_xlfn.XLOOKUP(B297,CRN!G:G,CRN!T:T,"")</f>
        <v>0</v>
      </c>
      <c r="Y297">
        <f>IF(X297=0,0,_xlfn.XLOOKUP(C297,CLIENT_CODE!B:B,CLIENT_CODE!P:P,0))</f>
        <v>0</v>
      </c>
      <c r="Z297">
        <f>_xlfn.XLOOKUP(B297,CRN!G:G,CRN!U:U,"")</f>
        <v>0</v>
      </c>
      <c r="AA297">
        <f>IF(X297=0,0,_xlfn.XLOOKUP(C297,CLIENT_CODE!B:B,CLIENT_CODE!P:P,0))</f>
        <v>0</v>
      </c>
      <c r="AB297">
        <f>_xlfn.XLOOKUP(B297,CRN!G:G,CRN!V:V,"")</f>
        <v>0</v>
      </c>
      <c r="AC297">
        <f>IF(AB297=0,0,_xlfn.XLOOKUP(C297,CLIENT_CODE!B:B,CLIENT_CODE!R:R,0))</f>
        <v>0</v>
      </c>
      <c r="AD297">
        <f t="shared" si="4"/>
        <v>0</v>
      </c>
    </row>
    <row r="298" spans="1:30">
      <c r="A298" s="42">
        <v>297</v>
      </c>
      <c r="E298">
        <f>IF(D298=0,0,_xlfn.XLOOKUP(C298,CLIENT_CODE!B:B,CLIENT_CODE!F:F,0))</f>
        <v>0</v>
      </c>
      <c r="F298">
        <f>_xlfn.XLOOKUP(B298,CRN!G:G,CRN!K:K,"")</f>
        <v>0</v>
      </c>
      <c r="G298">
        <f>IF(F298=0,0,_xlfn.XLOOKUP(C298,CLIENT_CODE!B:B,CLIENT_CODE!G:G,0))</f>
        <v>0</v>
      </c>
      <c r="H298">
        <f>_xlfn.XLOOKUP(B298,CRN!G:G,CRN!L:L,"")</f>
        <v>0</v>
      </c>
      <c r="I298">
        <f>IF(H298=0,0,_xlfn.XLOOKUP(C298,CLIENT_CODE!B:B,CLIENT_CODE!H:H,0))</f>
        <v>0</v>
      </c>
      <c r="J298">
        <f>_xlfn.XLOOKUP(B298,CRN!G:G,CRN!M:M,"")</f>
        <v>0</v>
      </c>
      <c r="K298">
        <f>IF(J298=0,0,_xlfn.XLOOKUP(C298,CLIENT_CODE!B:B,CLIENT_CODE!I:I,0))</f>
        <v>0</v>
      </c>
      <c r="L298">
        <f>_xlfn.XLOOKUP(B298,CRN!G:G,CRN!N:N,"")</f>
        <v>0</v>
      </c>
      <c r="M298">
        <f>IF(L298=0,0,_xlfn.XLOOKUP(C298,CLIENT_CODE!B:B,CLIENT_CODE!J:J,0))</f>
        <v>0</v>
      </c>
      <c r="N298">
        <f>_xlfn.XLOOKUP(B298,CRN!G:G,CRN!O:O,"")</f>
        <v>0</v>
      </c>
      <c r="O298">
        <f>IF(N298=0,0,_xlfn.XLOOKUP(C298,CLIENT_CODE!B:B,CLIENT_CODE!K:K,0))</f>
        <v>0</v>
      </c>
      <c r="P298">
        <f>_xlfn.XLOOKUP(B298,CRN!G:G,CRN!P:P,"")</f>
        <v>0</v>
      </c>
      <c r="Q298">
        <f>IF(P298=0,0,_xlfn.XLOOKUP(C298,CLIENT_CODE!B:B,CLIENT_CODE!L:L,0))</f>
        <v>0</v>
      </c>
      <c r="R298">
        <f>_xlfn.XLOOKUP(B298,CRN!G:G,CRN!Q:Q,"")</f>
        <v>0</v>
      </c>
      <c r="S298">
        <f>IF(R298=0,0,_xlfn.XLOOKUP(C298,CLIENT_CODE!B:B,CLIENT_CODE!M:M,0))</f>
        <v>0</v>
      </c>
      <c r="T298">
        <f>_xlfn.XLOOKUP(B298,CRN!G:G,CRN!R:R,"")</f>
        <v>0</v>
      </c>
      <c r="U298">
        <f>IF(T298=0,0,_xlfn.XLOOKUP(C298,CLIENT_CODE!B:B,CLIENT_CODE!N:N,0))</f>
        <v>0</v>
      </c>
      <c r="V298">
        <f>_xlfn.XLOOKUP(B298,CRN!G:G,CRN!S:S,"")</f>
        <v>0</v>
      </c>
      <c r="W298">
        <f>IF(V298=0,0,_xlfn.XLOOKUP(C298,CLIENT_CODE!B:B,CLIENT_CODE!O:O,0))</f>
        <v>0</v>
      </c>
      <c r="X298">
        <f>_xlfn.XLOOKUP(B298,CRN!G:G,CRN!T:T,"")</f>
        <v>0</v>
      </c>
      <c r="Y298">
        <f>IF(X298=0,0,_xlfn.XLOOKUP(C298,CLIENT_CODE!B:B,CLIENT_CODE!P:P,0))</f>
        <v>0</v>
      </c>
      <c r="Z298">
        <f>_xlfn.XLOOKUP(B298,CRN!G:G,CRN!U:U,"")</f>
        <v>0</v>
      </c>
      <c r="AA298">
        <f>IF(X298=0,0,_xlfn.XLOOKUP(C298,CLIENT_CODE!B:B,CLIENT_CODE!P:P,0))</f>
        <v>0</v>
      </c>
      <c r="AB298">
        <f>_xlfn.XLOOKUP(B298,CRN!G:G,CRN!V:V,"")</f>
        <v>0</v>
      </c>
      <c r="AC298">
        <f>IF(AB298=0,0,_xlfn.XLOOKUP(C298,CLIENT_CODE!B:B,CLIENT_CODE!R:R,0))</f>
        <v>0</v>
      </c>
      <c r="AD298">
        <f t="shared" si="4"/>
        <v>0</v>
      </c>
    </row>
    <row r="299" spans="1:30">
      <c r="A299" s="42">
        <v>298</v>
      </c>
      <c r="E299">
        <f>IF(D299=0,0,_xlfn.XLOOKUP(C299,CLIENT_CODE!B:B,CLIENT_CODE!F:F,0))</f>
        <v>0</v>
      </c>
      <c r="F299">
        <f>_xlfn.XLOOKUP(B299,CRN!G:G,CRN!K:K,"")</f>
        <v>0</v>
      </c>
      <c r="G299">
        <f>IF(F299=0,0,_xlfn.XLOOKUP(C299,CLIENT_CODE!B:B,CLIENT_CODE!G:G,0))</f>
        <v>0</v>
      </c>
      <c r="H299">
        <f>_xlfn.XLOOKUP(B299,CRN!G:G,CRN!L:L,"")</f>
        <v>0</v>
      </c>
      <c r="I299">
        <f>IF(H299=0,0,_xlfn.XLOOKUP(C299,CLIENT_CODE!B:B,CLIENT_CODE!H:H,0))</f>
        <v>0</v>
      </c>
      <c r="J299">
        <f>_xlfn.XLOOKUP(B299,CRN!G:G,CRN!M:M,"")</f>
        <v>0</v>
      </c>
      <c r="K299">
        <f>IF(J299=0,0,_xlfn.XLOOKUP(C299,CLIENT_CODE!B:B,CLIENT_CODE!I:I,0))</f>
        <v>0</v>
      </c>
      <c r="L299">
        <f>_xlfn.XLOOKUP(B299,CRN!G:G,CRN!N:N,"")</f>
        <v>0</v>
      </c>
      <c r="M299">
        <f>IF(L299=0,0,_xlfn.XLOOKUP(C299,CLIENT_CODE!B:B,CLIENT_CODE!J:J,0))</f>
        <v>0</v>
      </c>
      <c r="N299">
        <f>_xlfn.XLOOKUP(B299,CRN!G:G,CRN!O:O,"")</f>
        <v>0</v>
      </c>
      <c r="O299">
        <f>IF(N299=0,0,_xlfn.XLOOKUP(C299,CLIENT_CODE!B:B,CLIENT_CODE!K:K,0))</f>
        <v>0</v>
      </c>
      <c r="P299">
        <f>_xlfn.XLOOKUP(B299,CRN!G:G,CRN!P:P,"")</f>
        <v>0</v>
      </c>
      <c r="Q299">
        <f>IF(P299=0,0,_xlfn.XLOOKUP(C299,CLIENT_CODE!B:B,CLIENT_CODE!L:L,0))</f>
        <v>0</v>
      </c>
      <c r="R299">
        <f>_xlfn.XLOOKUP(B299,CRN!G:G,CRN!Q:Q,"")</f>
        <v>0</v>
      </c>
      <c r="S299">
        <f>IF(R299=0,0,_xlfn.XLOOKUP(C299,CLIENT_CODE!B:B,CLIENT_CODE!M:M,0))</f>
        <v>0</v>
      </c>
      <c r="T299">
        <f>_xlfn.XLOOKUP(B299,CRN!G:G,CRN!R:R,"")</f>
        <v>0</v>
      </c>
      <c r="U299">
        <f>IF(T299=0,0,_xlfn.XLOOKUP(C299,CLIENT_CODE!B:B,CLIENT_CODE!N:N,0))</f>
        <v>0</v>
      </c>
      <c r="V299">
        <f>_xlfn.XLOOKUP(B299,CRN!G:G,CRN!S:S,"")</f>
        <v>0</v>
      </c>
      <c r="W299">
        <f>IF(V299=0,0,_xlfn.XLOOKUP(C299,CLIENT_CODE!B:B,CLIENT_CODE!O:O,0))</f>
        <v>0</v>
      </c>
      <c r="X299">
        <f>_xlfn.XLOOKUP(B299,CRN!G:G,CRN!T:T,"")</f>
        <v>0</v>
      </c>
      <c r="Y299">
        <f>IF(X299=0,0,_xlfn.XLOOKUP(C299,CLIENT_CODE!B:B,CLIENT_CODE!P:P,0))</f>
        <v>0</v>
      </c>
      <c r="Z299">
        <f>_xlfn.XLOOKUP(B299,CRN!G:G,CRN!U:U,"")</f>
        <v>0</v>
      </c>
      <c r="AA299">
        <f>IF(X299=0,0,_xlfn.XLOOKUP(C299,CLIENT_CODE!B:B,CLIENT_CODE!P:P,0))</f>
        <v>0</v>
      </c>
      <c r="AB299">
        <f>_xlfn.XLOOKUP(B299,CRN!G:G,CRN!V:V,"")</f>
        <v>0</v>
      </c>
      <c r="AC299">
        <f>IF(AB299=0,0,_xlfn.XLOOKUP(C299,CLIENT_CODE!B:B,CLIENT_CODE!R:R,0))</f>
        <v>0</v>
      </c>
      <c r="AD299">
        <f t="shared" si="4"/>
        <v>0</v>
      </c>
    </row>
    <row r="300" spans="1:30">
      <c r="A300" s="42">
        <v>299</v>
      </c>
      <c r="E300">
        <f>IF(D300=0,0,_xlfn.XLOOKUP(C300,CLIENT_CODE!B:B,CLIENT_CODE!F:F,0))</f>
        <v>0</v>
      </c>
      <c r="F300">
        <f>_xlfn.XLOOKUP(B300,CRN!G:G,CRN!K:K,"")</f>
        <v>0</v>
      </c>
      <c r="G300">
        <f>IF(F300=0,0,_xlfn.XLOOKUP(C300,CLIENT_CODE!B:B,CLIENT_CODE!G:G,0))</f>
        <v>0</v>
      </c>
      <c r="H300">
        <f>_xlfn.XLOOKUP(B300,CRN!G:G,CRN!L:L,"")</f>
        <v>0</v>
      </c>
      <c r="I300">
        <f>IF(H300=0,0,_xlfn.XLOOKUP(C300,CLIENT_CODE!B:B,CLIENT_CODE!H:H,0))</f>
        <v>0</v>
      </c>
      <c r="J300">
        <f>_xlfn.XLOOKUP(B300,CRN!G:G,CRN!M:M,"")</f>
        <v>0</v>
      </c>
      <c r="K300">
        <f>IF(J300=0,0,_xlfn.XLOOKUP(C300,CLIENT_CODE!B:B,CLIENT_CODE!I:I,0))</f>
        <v>0</v>
      </c>
      <c r="L300">
        <f>_xlfn.XLOOKUP(B300,CRN!G:G,CRN!N:N,"")</f>
        <v>0</v>
      </c>
      <c r="M300">
        <f>IF(L300=0,0,_xlfn.XLOOKUP(C300,CLIENT_CODE!B:B,CLIENT_CODE!J:J,0))</f>
        <v>0</v>
      </c>
      <c r="N300">
        <f>_xlfn.XLOOKUP(B300,CRN!G:G,CRN!O:O,"")</f>
        <v>0</v>
      </c>
      <c r="O300">
        <f>IF(N300=0,0,_xlfn.XLOOKUP(C300,CLIENT_CODE!B:B,CLIENT_CODE!K:K,0))</f>
        <v>0</v>
      </c>
      <c r="P300">
        <f>_xlfn.XLOOKUP(B300,CRN!G:G,CRN!P:P,"")</f>
        <v>0</v>
      </c>
      <c r="Q300">
        <f>IF(P300=0,0,_xlfn.XLOOKUP(C300,CLIENT_CODE!B:B,CLIENT_CODE!L:L,0))</f>
        <v>0</v>
      </c>
      <c r="R300">
        <f>_xlfn.XLOOKUP(B300,CRN!G:G,CRN!Q:Q,"")</f>
        <v>0</v>
      </c>
      <c r="S300">
        <f>IF(R300=0,0,_xlfn.XLOOKUP(C300,CLIENT_CODE!B:B,CLIENT_CODE!M:M,0))</f>
        <v>0</v>
      </c>
      <c r="T300">
        <f>_xlfn.XLOOKUP(B300,CRN!G:G,CRN!R:R,"")</f>
        <v>0</v>
      </c>
      <c r="U300">
        <f>IF(T300=0,0,_xlfn.XLOOKUP(C300,CLIENT_CODE!B:B,CLIENT_CODE!N:N,0))</f>
        <v>0</v>
      </c>
      <c r="V300">
        <f>_xlfn.XLOOKUP(B300,CRN!G:G,CRN!S:S,"")</f>
        <v>0</v>
      </c>
      <c r="W300">
        <f>IF(V300=0,0,_xlfn.XLOOKUP(C300,CLIENT_CODE!B:B,CLIENT_CODE!O:O,0))</f>
        <v>0</v>
      </c>
      <c r="X300">
        <f>_xlfn.XLOOKUP(B300,CRN!G:G,CRN!T:T,"")</f>
        <v>0</v>
      </c>
      <c r="Y300">
        <f>IF(X300=0,0,_xlfn.XLOOKUP(C300,CLIENT_CODE!B:B,CLIENT_CODE!P:P,0))</f>
        <v>0</v>
      </c>
      <c r="Z300">
        <f>_xlfn.XLOOKUP(B300,CRN!G:G,CRN!U:U,"")</f>
        <v>0</v>
      </c>
      <c r="AA300">
        <f>IF(X300=0,0,_xlfn.XLOOKUP(C300,CLIENT_CODE!B:B,CLIENT_CODE!P:P,0))</f>
        <v>0</v>
      </c>
      <c r="AB300">
        <f>_xlfn.XLOOKUP(B300,CRN!G:G,CRN!V:V,"")</f>
        <v>0</v>
      </c>
      <c r="AC300">
        <f>IF(AB300=0,0,_xlfn.XLOOKUP(C300,CLIENT_CODE!B:B,CLIENT_CODE!R:R,0))</f>
        <v>0</v>
      </c>
      <c r="AD300">
        <f t="shared" si="4"/>
        <v>0</v>
      </c>
    </row>
    <row r="301" spans="1:30">
      <c r="A301" s="42">
        <v>300</v>
      </c>
      <c r="E301">
        <f>IF(D301=0,0,_xlfn.XLOOKUP(C301,CLIENT_CODE!B:B,CLIENT_CODE!F:F,0))</f>
        <v>0</v>
      </c>
      <c r="F301">
        <f>_xlfn.XLOOKUP(B301,CRN!G:G,CRN!K:K,"")</f>
        <v>0</v>
      </c>
      <c r="G301">
        <f>IF(F301=0,0,_xlfn.XLOOKUP(C301,CLIENT_CODE!B:B,CLIENT_CODE!G:G,0))</f>
        <v>0</v>
      </c>
      <c r="H301">
        <f>_xlfn.XLOOKUP(B301,CRN!G:G,CRN!L:L,"")</f>
        <v>0</v>
      </c>
      <c r="I301">
        <f>IF(H301=0,0,_xlfn.XLOOKUP(C301,CLIENT_CODE!B:B,CLIENT_CODE!H:H,0))</f>
        <v>0</v>
      </c>
      <c r="J301">
        <f>_xlfn.XLOOKUP(B301,CRN!G:G,CRN!M:M,"")</f>
        <v>0</v>
      </c>
      <c r="K301">
        <f>IF(J301=0,0,_xlfn.XLOOKUP(C301,CLIENT_CODE!B:B,CLIENT_CODE!I:I,0))</f>
        <v>0</v>
      </c>
      <c r="L301">
        <f>_xlfn.XLOOKUP(B301,CRN!G:G,CRN!N:N,"")</f>
        <v>0</v>
      </c>
      <c r="M301">
        <f>IF(L301=0,0,_xlfn.XLOOKUP(C301,CLIENT_CODE!B:B,CLIENT_CODE!J:J,0))</f>
        <v>0</v>
      </c>
      <c r="N301">
        <f>_xlfn.XLOOKUP(B301,CRN!G:G,CRN!O:O,"")</f>
        <v>0</v>
      </c>
      <c r="O301">
        <f>IF(N301=0,0,_xlfn.XLOOKUP(C301,CLIENT_CODE!B:B,CLIENT_CODE!K:K,0))</f>
        <v>0</v>
      </c>
      <c r="P301">
        <f>_xlfn.XLOOKUP(B301,CRN!G:G,CRN!P:P,"")</f>
        <v>0</v>
      </c>
      <c r="Q301">
        <f>IF(P301=0,0,_xlfn.XLOOKUP(C301,CLIENT_CODE!B:B,CLIENT_CODE!L:L,0))</f>
        <v>0</v>
      </c>
      <c r="R301">
        <f>_xlfn.XLOOKUP(B301,CRN!G:G,CRN!Q:Q,"")</f>
        <v>0</v>
      </c>
      <c r="S301">
        <f>IF(R301=0,0,_xlfn.XLOOKUP(C301,CLIENT_CODE!B:B,CLIENT_CODE!M:M,0))</f>
        <v>0</v>
      </c>
      <c r="T301">
        <f>_xlfn.XLOOKUP(B301,CRN!G:G,CRN!R:R,"")</f>
        <v>0</v>
      </c>
      <c r="U301">
        <f>IF(T301=0,0,_xlfn.XLOOKUP(C301,CLIENT_CODE!B:B,CLIENT_CODE!N:N,0))</f>
        <v>0</v>
      </c>
      <c r="V301">
        <f>_xlfn.XLOOKUP(B301,CRN!G:G,CRN!S:S,"")</f>
        <v>0</v>
      </c>
      <c r="W301">
        <f>IF(V301=0,0,_xlfn.XLOOKUP(C301,CLIENT_CODE!B:B,CLIENT_CODE!O:O,0))</f>
        <v>0</v>
      </c>
      <c r="X301">
        <f>_xlfn.XLOOKUP(B301,CRN!G:G,CRN!T:T,"")</f>
        <v>0</v>
      </c>
      <c r="Y301">
        <f>IF(X301=0,0,_xlfn.XLOOKUP(C301,CLIENT_CODE!B:B,CLIENT_CODE!P:P,0))</f>
        <v>0</v>
      </c>
      <c r="Z301">
        <f>_xlfn.XLOOKUP(B301,CRN!G:G,CRN!U:U,"")</f>
        <v>0</v>
      </c>
      <c r="AA301">
        <f>IF(X301=0,0,_xlfn.XLOOKUP(C301,CLIENT_CODE!B:B,CLIENT_CODE!P:P,0))</f>
        <v>0</v>
      </c>
      <c r="AB301">
        <f>_xlfn.XLOOKUP(B301,CRN!G:G,CRN!V:V,"")</f>
        <v>0</v>
      </c>
      <c r="AC301">
        <f>IF(AB301=0,0,_xlfn.XLOOKUP(C301,CLIENT_CODE!B:B,CLIENT_CODE!R:R,0))</f>
        <v>0</v>
      </c>
      <c r="AD301">
        <f t="shared" si="4"/>
        <v>0</v>
      </c>
    </row>
    <row r="302" spans="1:30">
      <c r="A302" s="42">
        <v>301</v>
      </c>
      <c r="E302">
        <f>IF(D302=0,0,_xlfn.XLOOKUP(C302,CLIENT_CODE!B:B,CLIENT_CODE!F:F,0))</f>
        <v>0</v>
      </c>
      <c r="F302">
        <f>_xlfn.XLOOKUP(B302,CRN!G:G,CRN!K:K,"")</f>
        <v>0</v>
      </c>
      <c r="G302">
        <f>IF(F302=0,0,_xlfn.XLOOKUP(C302,CLIENT_CODE!B:B,CLIENT_CODE!G:G,0))</f>
        <v>0</v>
      </c>
      <c r="H302">
        <f>_xlfn.XLOOKUP(B302,CRN!G:G,CRN!L:L,"")</f>
        <v>0</v>
      </c>
      <c r="I302">
        <f>IF(H302=0,0,_xlfn.XLOOKUP(C302,CLIENT_CODE!B:B,CLIENT_CODE!H:H,0))</f>
        <v>0</v>
      </c>
      <c r="J302">
        <f>_xlfn.XLOOKUP(B302,CRN!G:G,CRN!M:M,"")</f>
        <v>0</v>
      </c>
      <c r="K302">
        <f>IF(J302=0,0,_xlfn.XLOOKUP(C302,CLIENT_CODE!B:B,CLIENT_CODE!I:I,0))</f>
        <v>0</v>
      </c>
      <c r="L302">
        <f>_xlfn.XLOOKUP(B302,CRN!G:G,CRN!N:N,"")</f>
        <v>0</v>
      </c>
      <c r="M302">
        <f>IF(L302=0,0,_xlfn.XLOOKUP(C302,CLIENT_CODE!B:B,CLIENT_CODE!J:J,0))</f>
        <v>0</v>
      </c>
      <c r="N302">
        <f>_xlfn.XLOOKUP(B302,CRN!G:G,CRN!O:O,"")</f>
        <v>0</v>
      </c>
      <c r="O302">
        <f>IF(N302=0,0,_xlfn.XLOOKUP(C302,CLIENT_CODE!B:B,CLIENT_CODE!K:K,0))</f>
        <v>0</v>
      </c>
      <c r="P302">
        <f>_xlfn.XLOOKUP(B302,CRN!G:G,CRN!P:P,"")</f>
        <v>0</v>
      </c>
      <c r="Q302">
        <f>IF(P302=0,0,_xlfn.XLOOKUP(C302,CLIENT_CODE!B:B,CLIENT_CODE!L:L,0))</f>
        <v>0</v>
      </c>
      <c r="R302">
        <f>_xlfn.XLOOKUP(B302,CRN!G:G,CRN!Q:Q,"")</f>
        <v>0</v>
      </c>
      <c r="S302">
        <f>IF(R302=0,0,_xlfn.XLOOKUP(C302,CLIENT_CODE!B:B,CLIENT_CODE!M:M,0))</f>
        <v>0</v>
      </c>
      <c r="T302">
        <f>_xlfn.XLOOKUP(B302,CRN!G:G,CRN!R:R,"")</f>
        <v>0</v>
      </c>
      <c r="U302">
        <f>IF(T302=0,0,_xlfn.XLOOKUP(C302,CLIENT_CODE!B:B,CLIENT_CODE!N:N,0))</f>
        <v>0</v>
      </c>
      <c r="V302">
        <f>_xlfn.XLOOKUP(B302,CRN!G:G,CRN!S:S,"")</f>
        <v>0</v>
      </c>
      <c r="W302">
        <f>IF(V302=0,0,_xlfn.XLOOKUP(C302,CLIENT_CODE!B:B,CLIENT_CODE!O:O,0))</f>
        <v>0</v>
      </c>
      <c r="X302">
        <f>_xlfn.XLOOKUP(B302,CRN!G:G,CRN!T:T,"")</f>
        <v>0</v>
      </c>
      <c r="Y302">
        <f>IF(X302=0,0,_xlfn.XLOOKUP(C302,CLIENT_CODE!B:B,CLIENT_CODE!P:P,0))</f>
        <v>0</v>
      </c>
      <c r="Z302">
        <f>_xlfn.XLOOKUP(B302,CRN!G:G,CRN!U:U,"")</f>
        <v>0</v>
      </c>
      <c r="AA302">
        <f>IF(X302=0,0,_xlfn.XLOOKUP(C302,CLIENT_CODE!B:B,CLIENT_CODE!P:P,0))</f>
        <v>0</v>
      </c>
      <c r="AB302">
        <f>_xlfn.XLOOKUP(B302,CRN!G:G,CRN!V:V,"")</f>
        <v>0</v>
      </c>
      <c r="AC302">
        <f>IF(AB302=0,0,_xlfn.XLOOKUP(C302,CLIENT_CODE!B:B,CLIENT_CODE!R:R,0))</f>
        <v>0</v>
      </c>
      <c r="AD302">
        <f t="shared" si="4"/>
        <v>0</v>
      </c>
    </row>
    <row r="303" spans="1:30">
      <c r="A303" s="42">
        <v>302</v>
      </c>
      <c r="E303">
        <f>IF(D303=0,0,_xlfn.XLOOKUP(C303,CLIENT_CODE!B:B,CLIENT_CODE!F:F,0))</f>
        <v>0</v>
      </c>
      <c r="F303">
        <f>_xlfn.XLOOKUP(B303,CRN!G:G,CRN!K:K,"")</f>
        <v>0</v>
      </c>
      <c r="G303">
        <f>IF(F303=0,0,_xlfn.XLOOKUP(C303,CLIENT_CODE!B:B,CLIENT_CODE!G:G,0))</f>
        <v>0</v>
      </c>
      <c r="H303">
        <f>_xlfn.XLOOKUP(B303,CRN!G:G,CRN!L:L,"")</f>
        <v>0</v>
      </c>
      <c r="I303">
        <f>IF(H303=0,0,_xlfn.XLOOKUP(C303,CLIENT_CODE!B:B,CLIENT_CODE!H:H,0))</f>
        <v>0</v>
      </c>
      <c r="J303">
        <f>_xlfn.XLOOKUP(B303,CRN!G:G,CRN!M:M,"")</f>
        <v>0</v>
      </c>
      <c r="K303">
        <f>IF(J303=0,0,_xlfn.XLOOKUP(C303,CLIENT_CODE!B:B,CLIENT_CODE!I:I,0))</f>
        <v>0</v>
      </c>
      <c r="L303">
        <f>_xlfn.XLOOKUP(B303,CRN!G:G,CRN!N:N,"")</f>
        <v>0</v>
      </c>
      <c r="M303">
        <f>IF(L303=0,0,_xlfn.XLOOKUP(C303,CLIENT_CODE!B:B,CLIENT_CODE!J:J,0))</f>
        <v>0</v>
      </c>
      <c r="N303">
        <f>_xlfn.XLOOKUP(B303,CRN!G:G,CRN!O:O,"")</f>
        <v>0</v>
      </c>
      <c r="O303">
        <f>IF(N303=0,0,_xlfn.XLOOKUP(C303,CLIENT_CODE!B:B,CLIENT_CODE!K:K,0))</f>
        <v>0</v>
      </c>
      <c r="P303">
        <f>_xlfn.XLOOKUP(B303,CRN!G:G,CRN!P:P,"")</f>
        <v>0</v>
      </c>
      <c r="Q303">
        <f>IF(P303=0,0,_xlfn.XLOOKUP(C303,CLIENT_CODE!B:B,CLIENT_CODE!L:L,0))</f>
        <v>0</v>
      </c>
      <c r="R303">
        <f>_xlfn.XLOOKUP(B303,CRN!G:G,CRN!Q:Q,"")</f>
        <v>0</v>
      </c>
      <c r="S303">
        <f>IF(R303=0,0,_xlfn.XLOOKUP(C303,CLIENT_CODE!B:B,CLIENT_CODE!M:M,0))</f>
        <v>0</v>
      </c>
      <c r="T303">
        <f>_xlfn.XLOOKUP(B303,CRN!G:G,CRN!R:R,"")</f>
        <v>0</v>
      </c>
      <c r="U303">
        <f>IF(T303=0,0,_xlfn.XLOOKUP(C303,CLIENT_CODE!B:B,CLIENT_CODE!N:N,0))</f>
        <v>0</v>
      </c>
      <c r="V303">
        <f>_xlfn.XLOOKUP(B303,CRN!G:G,CRN!S:S,"")</f>
        <v>0</v>
      </c>
      <c r="W303">
        <f>IF(V303=0,0,_xlfn.XLOOKUP(C303,CLIENT_CODE!B:B,CLIENT_CODE!O:O,0))</f>
        <v>0</v>
      </c>
      <c r="X303">
        <f>_xlfn.XLOOKUP(B303,CRN!G:G,CRN!T:T,"")</f>
        <v>0</v>
      </c>
      <c r="Y303">
        <f>IF(X303=0,0,_xlfn.XLOOKUP(C303,CLIENT_CODE!B:B,CLIENT_CODE!P:P,0))</f>
        <v>0</v>
      </c>
      <c r="Z303">
        <f>_xlfn.XLOOKUP(B303,CRN!G:G,CRN!U:U,"")</f>
        <v>0</v>
      </c>
      <c r="AA303">
        <f>IF(X303=0,0,_xlfn.XLOOKUP(C303,CLIENT_CODE!B:B,CLIENT_CODE!P:P,0))</f>
        <v>0</v>
      </c>
      <c r="AB303">
        <f>_xlfn.XLOOKUP(B303,CRN!G:G,CRN!V:V,"")</f>
        <v>0</v>
      </c>
      <c r="AC303">
        <f>IF(AB303=0,0,_xlfn.XLOOKUP(C303,CLIENT_CODE!B:B,CLIENT_CODE!R:R,0))</f>
        <v>0</v>
      </c>
      <c r="AD303">
        <f t="shared" si="4"/>
        <v>0</v>
      </c>
    </row>
    <row r="304" spans="1:30">
      <c r="A304" s="42">
        <v>303</v>
      </c>
      <c r="E304">
        <f>IF(D304=0,0,_xlfn.XLOOKUP(C304,CLIENT_CODE!B:B,CLIENT_CODE!F:F,0))</f>
        <v>0</v>
      </c>
      <c r="F304">
        <f>_xlfn.XLOOKUP(B304,CRN!G:G,CRN!K:K,"")</f>
        <v>0</v>
      </c>
      <c r="G304">
        <f>IF(F304=0,0,_xlfn.XLOOKUP(C304,CLIENT_CODE!B:B,CLIENT_CODE!G:G,0))</f>
        <v>0</v>
      </c>
      <c r="H304">
        <f>_xlfn.XLOOKUP(B304,CRN!G:G,CRN!L:L,"")</f>
        <v>0</v>
      </c>
      <c r="I304">
        <f>IF(H304=0,0,_xlfn.XLOOKUP(C304,CLIENT_CODE!B:B,CLIENT_CODE!H:H,0))</f>
        <v>0</v>
      </c>
      <c r="J304">
        <f>_xlfn.XLOOKUP(B304,CRN!G:G,CRN!M:M,"")</f>
        <v>0</v>
      </c>
      <c r="K304">
        <f>IF(J304=0,0,_xlfn.XLOOKUP(C304,CLIENT_CODE!B:B,CLIENT_CODE!I:I,0))</f>
        <v>0</v>
      </c>
      <c r="L304">
        <f>_xlfn.XLOOKUP(B304,CRN!G:G,CRN!N:N,"")</f>
        <v>0</v>
      </c>
      <c r="M304">
        <f>IF(L304=0,0,_xlfn.XLOOKUP(C304,CLIENT_CODE!B:B,CLIENT_CODE!J:J,0))</f>
        <v>0</v>
      </c>
      <c r="N304">
        <f>_xlfn.XLOOKUP(B304,CRN!G:G,CRN!O:O,"")</f>
        <v>0</v>
      </c>
      <c r="O304">
        <f>IF(N304=0,0,_xlfn.XLOOKUP(C304,CLIENT_CODE!B:B,CLIENT_CODE!K:K,0))</f>
        <v>0</v>
      </c>
      <c r="P304">
        <f>_xlfn.XLOOKUP(B304,CRN!G:G,CRN!P:P,"")</f>
        <v>0</v>
      </c>
      <c r="Q304">
        <f>IF(P304=0,0,_xlfn.XLOOKUP(C304,CLIENT_CODE!B:B,CLIENT_CODE!L:L,0))</f>
        <v>0</v>
      </c>
      <c r="R304">
        <f>_xlfn.XLOOKUP(B304,CRN!G:G,CRN!Q:Q,"")</f>
        <v>0</v>
      </c>
      <c r="S304">
        <f>IF(R304=0,0,_xlfn.XLOOKUP(C304,CLIENT_CODE!B:B,CLIENT_CODE!M:M,0))</f>
        <v>0</v>
      </c>
      <c r="T304">
        <f>_xlfn.XLOOKUP(B304,CRN!G:G,CRN!R:R,"")</f>
        <v>0</v>
      </c>
      <c r="U304">
        <f>IF(T304=0,0,_xlfn.XLOOKUP(C304,CLIENT_CODE!B:B,CLIENT_CODE!N:N,0))</f>
        <v>0</v>
      </c>
      <c r="V304">
        <f>_xlfn.XLOOKUP(B304,CRN!G:G,CRN!S:S,"")</f>
        <v>0</v>
      </c>
      <c r="W304">
        <f>IF(V304=0,0,_xlfn.XLOOKUP(C304,CLIENT_CODE!B:B,CLIENT_CODE!O:O,0))</f>
        <v>0</v>
      </c>
      <c r="X304">
        <f>_xlfn.XLOOKUP(B304,CRN!G:G,CRN!T:T,"")</f>
        <v>0</v>
      </c>
      <c r="Y304">
        <f>IF(X304=0,0,_xlfn.XLOOKUP(C304,CLIENT_CODE!B:B,CLIENT_CODE!P:P,0))</f>
        <v>0</v>
      </c>
      <c r="Z304">
        <f>_xlfn.XLOOKUP(B304,CRN!G:G,CRN!U:U,"")</f>
        <v>0</v>
      </c>
      <c r="AA304">
        <f>IF(X304=0,0,_xlfn.XLOOKUP(C304,CLIENT_CODE!B:B,CLIENT_CODE!P:P,0))</f>
        <v>0</v>
      </c>
      <c r="AB304">
        <f>_xlfn.XLOOKUP(B304,CRN!G:G,CRN!V:V,"")</f>
        <v>0</v>
      </c>
      <c r="AC304">
        <f>IF(AB304=0,0,_xlfn.XLOOKUP(C304,CLIENT_CODE!B:B,CLIENT_CODE!R:R,0))</f>
        <v>0</v>
      </c>
      <c r="AD304">
        <f t="shared" si="4"/>
        <v>0</v>
      </c>
    </row>
    <row r="305" spans="1:30">
      <c r="A305" s="42">
        <v>304</v>
      </c>
      <c r="E305">
        <f>IF(D305=0,0,_xlfn.XLOOKUP(C305,CLIENT_CODE!B:B,CLIENT_CODE!F:F,0))</f>
        <v>0</v>
      </c>
      <c r="F305">
        <f>_xlfn.XLOOKUP(B305,CRN!G:G,CRN!K:K,"")</f>
        <v>0</v>
      </c>
      <c r="G305">
        <f>IF(F305=0,0,_xlfn.XLOOKUP(C305,CLIENT_CODE!B:B,CLIENT_CODE!G:G,0))</f>
        <v>0</v>
      </c>
      <c r="H305">
        <f>_xlfn.XLOOKUP(B305,CRN!G:G,CRN!L:L,"")</f>
        <v>0</v>
      </c>
      <c r="I305">
        <f>IF(H305=0,0,_xlfn.XLOOKUP(C305,CLIENT_CODE!B:B,CLIENT_CODE!H:H,0))</f>
        <v>0</v>
      </c>
      <c r="J305">
        <f>_xlfn.XLOOKUP(B305,CRN!G:G,CRN!M:M,"")</f>
        <v>0</v>
      </c>
      <c r="K305">
        <f>IF(J305=0,0,_xlfn.XLOOKUP(C305,CLIENT_CODE!B:B,CLIENT_CODE!I:I,0))</f>
        <v>0</v>
      </c>
      <c r="L305">
        <f>_xlfn.XLOOKUP(B305,CRN!G:G,CRN!N:N,"")</f>
        <v>0</v>
      </c>
      <c r="M305">
        <f>IF(L305=0,0,_xlfn.XLOOKUP(C305,CLIENT_CODE!B:B,CLIENT_CODE!J:J,0))</f>
        <v>0</v>
      </c>
      <c r="N305">
        <f>_xlfn.XLOOKUP(B305,CRN!G:G,CRN!O:O,"")</f>
        <v>0</v>
      </c>
      <c r="O305">
        <f>IF(N305=0,0,_xlfn.XLOOKUP(C305,CLIENT_CODE!B:B,CLIENT_CODE!K:K,0))</f>
        <v>0</v>
      </c>
      <c r="P305">
        <f>_xlfn.XLOOKUP(B305,CRN!G:G,CRN!P:P,"")</f>
        <v>0</v>
      </c>
      <c r="Q305">
        <f>IF(P305=0,0,_xlfn.XLOOKUP(C305,CLIENT_CODE!B:B,CLIENT_CODE!L:L,0))</f>
        <v>0</v>
      </c>
      <c r="R305">
        <f>_xlfn.XLOOKUP(B305,CRN!G:G,CRN!Q:Q,"")</f>
        <v>0</v>
      </c>
      <c r="S305">
        <f>IF(R305=0,0,_xlfn.XLOOKUP(C305,CLIENT_CODE!B:B,CLIENT_CODE!M:M,0))</f>
        <v>0</v>
      </c>
      <c r="T305">
        <f>_xlfn.XLOOKUP(B305,CRN!G:G,CRN!R:R,"")</f>
        <v>0</v>
      </c>
      <c r="U305">
        <f>IF(T305=0,0,_xlfn.XLOOKUP(C305,CLIENT_CODE!B:B,CLIENT_CODE!N:N,0))</f>
        <v>0</v>
      </c>
      <c r="V305">
        <f>_xlfn.XLOOKUP(B305,CRN!G:G,CRN!S:S,"")</f>
        <v>0</v>
      </c>
      <c r="W305">
        <f>IF(V305=0,0,_xlfn.XLOOKUP(C305,CLIENT_CODE!B:B,CLIENT_CODE!O:O,0))</f>
        <v>0</v>
      </c>
      <c r="X305">
        <f>_xlfn.XLOOKUP(B305,CRN!G:G,CRN!T:T,"")</f>
        <v>0</v>
      </c>
      <c r="Y305">
        <f>IF(X305=0,0,_xlfn.XLOOKUP(C305,CLIENT_CODE!B:B,CLIENT_CODE!P:P,0))</f>
        <v>0</v>
      </c>
      <c r="Z305">
        <f>_xlfn.XLOOKUP(B305,CRN!G:G,CRN!U:U,"")</f>
        <v>0</v>
      </c>
      <c r="AA305">
        <f>IF(X305=0,0,_xlfn.XLOOKUP(C305,CLIENT_CODE!B:B,CLIENT_CODE!P:P,0))</f>
        <v>0</v>
      </c>
      <c r="AB305">
        <f>_xlfn.XLOOKUP(B305,CRN!G:G,CRN!V:V,"")</f>
        <v>0</v>
      </c>
      <c r="AC305">
        <f>IF(AB305=0,0,_xlfn.XLOOKUP(C305,CLIENT_CODE!B:B,CLIENT_CODE!R:R,0))</f>
        <v>0</v>
      </c>
      <c r="AD305">
        <f t="shared" si="4"/>
        <v>0</v>
      </c>
    </row>
    <row r="306" spans="1:30">
      <c r="A306" s="42">
        <v>305</v>
      </c>
      <c r="E306">
        <f>IF(D306=0,0,_xlfn.XLOOKUP(C306,CLIENT_CODE!B:B,CLIENT_CODE!F:F,0))</f>
        <v>0</v>
      </c>
      <c r="F306">
        <f>_xlfn.XLOOKUP(B306,CRN!G:G,CRN!K:K,"")</f>
        <v>0</v>
      </c>
      <c r="G306">
        <f>IF(F306=0,0,_xlfn.XLOOKUP(C306,CLIENT_CODE!B:B,CLIENT_CODE!G:G,0))</f>
        <v>0</v>
      </c>
      <c r="H306">
        <f>_xlfn.XLOOKUP(B306,CRN!G:G,CRN!L:L,"")</f>
        <v>0</v>
      </c>
      <c r="I306">
        <f>IF(H306=0,0,_xlfn.XLOOKUP(C306,CLIENT_CODE!B:B,CLIENT_CODE!H:H,0))</f>
        <v>0</v>
      </c>
      <c r="J306">
        <f>_xlfn.XLOOKUP(B306,CRN!G:G,CRN!M:M,"")</f>
        <v>0</v>
      </c>
      <c r="K306">
        <f>IF(J306=0,0,_xlfn.XLOOKUP(C306,CLIENT_CODE!B:B,CLIENT_CODE!I:I,0))</f>
        <v>0</v>
      </c>
      <c r="L306">
        <f>_xlfn.XLOOKUP(B306,CRN!G:G,CRN!N:N,"")</f>
        <v>0</v>
      </c>
      <c r="M306">
        <f>IF(L306=0,0,_xlfn.XLOOKUP(C306,CLIENT_CODE!B:B,CLIENT_CODE!J:J,0))</f>
        <v>0</v>
      </c>
      <c r="N306">
        <f>_xlfn.XLOOKUP(B306,CRN!G:G,CRN!O:O,"")</f>
        <v>0</v>
      </c>
      <c r="O306">
        <f>IF(N306=0,0,_xlfn.XLOOKUP(C306,CLIENT_CODE!B:B,CLIENT_CODE!K:K,0))</f>
        <v>0</v>
      </c>
      <c r="P306">
        <f>_xlfn.XLOOKUP(B306,CRN!G:G,CRN!P:P,"")</f>
        <v>0</v>
      </c>
      <c r="Q306">
        <f>IF(P306=0,0,_xlfn.XLOOKUP(C306,CLIENT_CODE!B:B,CLIENT_CODE!L:L,0))</f>
        <v>0</v>
      </c>
      <c r="R306">
        <f>_xlfn.XLOOKUP(B306,CRN!G:G,CRN!Q:Q,"")</f>
        <v>0</v>
      </c>
      <c r="S306">
        <f>IF(R306=0,0,_xlfn.XLOOKUP(C306,CLIENT_CODE!B:B,CLIENT_CODE!M:M,0))</f>
        <v>0</v>
      </c>
      <c r="T306">
        <f>_xlfn.XLOOKUP(B306,CRN!G:G,CRN!R:R,"")</f>
        <v>0</v>
      </c>
      <c r="U306">
        <f>IF(T306=0,0,_xlfn.XLOOKUP(C306,CLIENT_CODE!B:B,CLIENT_CODE!N:N,0))</f>
        <v>0</v>
      </c>
      <c r="V306">
        <f>_xlfn.XLOOKUP(B306,CRN!G:G,CRN!S:S,"")</f>
        <v>0</v>
      </c>
      <c r="W306">
        <f>IF(V306=0,0,_xlfn.XLOOKUP(C306,CLIENT_CODE!B:B,CLIENT_CODE!O:O,0))</f>
        <v>0</v>
      </c>
      <c r="X306">
        <f>_xlfn.XLOOKUP(B306,CRN!G:G,CRN!T:T,"")</f>
        <v>0</v>
      </c>
      <c r="Y306">
        <f>IF(X306=0,0,_xlfn.XLOOKUP(C306,CLIENT_CODE!B:B,CLIENT_CODE!P:P,0))</f>
        <v>0</v>
      </c>
      <c r="Z306">
        <f>_xlfn.XLOOKUP(B306,CRN!G:G,CRN!U:U,"")</f>
        <v>0</v>
      </c>
      <c r="AA306">
        <f>IF(X306=0,0,_xlfn.XLOOKUP(C306,CLIENT_CODE!B:B,CLIENT_CODE!P:P,0))</f>
        <v>0</v>
      </c>
      <c r="AB306">
        <f>_xlfn.XLOOKUP(B306,CRN!G:G,CRN!V:V,"")</f>
        <v>0</v>
      </c>
      <c r="AC306">
        <f>IF(AB306=0,0,_xlfn.XLOOKUP(C306,CLIENT_CODE!B:B,CLIENT_CODE!R:R,0))</f>
        <v>0</v>
      </c>
      <c r="AD306">
        <f t="shared" si="4"/>
        <v>0</v>
      </c>
    </row>
    <row r="307" spans="1:30">
      <c r="A307" s="42">
        <v>306</v>
      </c>
      <c r="E307">
        <f>IF(D307=0,0,_xlfn.XLOOKUP(C307,CLIENT_CODE!B:B,CLIENT_CODE!F:F,0))</f>
        <v>0</v>
      </c>
      <c r="F307">
        <f>_xlfn.XLOOKUP(B307,CRN!G:G,CRN!K:K,"")</f>
        <v>0</v>
      </c>
      <c r="G307">
        <f>IF(F307=0,0,_xlfn.XLOOKUP(C307,CLIENT_CODE!B:B,CLIENT_CODE!G:G,0))</f>
        <v>0</v>
      </c>
      <c r="H307">
        <f>_xlfn.XLOOKUP(B307,CRN!G:G,CRN!L:L,"")</f>
        <v>0</v>
      </c>
      <c r="I307">
        <f>IF(H307=0,0,_xlfn.XLOOKUP(C307,CLIENT_CODE!B:B,CLIENT_CODE!H:H,0))</f>
        <v>0</v>
      </c>
      <c r="J307">
        <f>_xlfn.XLOOKUP(B307,CRN!G:G,CRN!M:M,"")</f>
        <v>0</v>
      </c>
      <c r="K307">
        <f>IF(J307=0,0,_xlfn.XLOOKUP(C307,CLIENT_CODE!B:B,CLIENT_CODE!I:I,0))</f>
        <v>0</v>
      </c>
      <c r="L307">
        <f>_xlfn.XLOOKUP(B307,CRN!G:G,CRN!N:N,"")</f>
        <v>0</v>
      </c>
      <c r="M307">
        <f>IF(L307=0,0,_xlfn.XLOOKUP(C307,CLIENT_CODE!B:B,CLIENT_CODE!J:J,0))</f>
        <v>0</v>
      </c>
      <c r="N307">
        <f>_xlfn.XLOOKUP(B307,CRN!G:G,CRN!O:O,"")</f>
        <v>0</v>
      </c>
      <c r="O307">
        <f>IF(N307=0,0,_xlfn.XLOOKUP(C307,CLIENT_CODE!B:B,CLIENT_CODE!K:K,0))</f>
        <v>0</v>
      </c>
      <c r="P307">
        <f>_xlfn.XLOOKUP(B307,CRN!G:G,CRN!P:P,"")</f>
        <v>0</v>
      </c>
      <c r="Q307">
        <f>IF(P307=0,0,_xlfn.XLOOKUP(C307,CLIENT_CODE!B:B,CLIENT_CODE!L:L,0))</f>
        <v>0</v>
      </c>
      <c r="R307">
        <f>_xlfn.XLOOKUP(B307,CRN!G:G,CRN!Q:Q,"")</f>
        <v>0</v>
      </c>
      <c r="S307">
        <f>IF(R307=0,0,_xlfn.XLOOKUP(C307,CLIENT_CODE!B:B,CLIENT_CODE!M:M,0))</f>
        <v>0</v>
      </c>
      <c r="T307">
        <f>_xlfn.XLOOKUP(B307,CRN!G:G,CRN!R:R,"")</f>
        <v>0</v>
      </c>
      <c r="U307">
        <f>IF(T307=0,0,_xlfn.XLOOKUP(C307,CLIENT_CODE!B:B,CLIENT_CODE!N:N,0))</f>
        <v>0</v>
      </c>
      <c r="V307">
        <f>_xlfn.XLOOKUP(B307,CRN!G:G,CRN!S:S,"")</f>
        <v>0</v>
      </c>
      <c r="W307">
        <f>IF(V307=0,0,_xlfn.XLOOKUP(C307,CLIENT_CODE!B:B,CLIENT_CODE!O:O,0))</f>
        <v>0</v>
      </c>
      <c r="X307">
        <f>_xlfn.XLOOKUP(B307,CRN!G:G,CRN!T:T,"")</f>
        <v>0</v>
      </c>
      <c r="Y307">
        <f>IF(X307=0,0,_xlfn.XLOOKUP(C307,CLIENT_CODE!B:B,CLIENT_CODE!P:P,0))</f>
        <v>0</v>
      </c>
      <c r="Z307">
        <f>_xlfn.XLOOKUP(B307,CRN!G:G,CRN!U:U,"")</f>
        <v>0</v>
      </c>
      <c r="AA307">
        <f>IF(X307=0,0,_xlfn.XLOOKUP(C307,CLIENT_CODE!B:B,CLIENT_CODE!P:P,0))</f>
        <v>0</v>
      </c>
      <c r="AB307">
        <f>_xlfn.XLOOKUP(B307,CRN!G:G,CRN!V:V,"")</f>
        <v>0</v>
      </c>
      <c r="AC307">
        <f>IF(AB307=0,0,_xlfn.XLOOKUP(C307,CLIENT_CODE!B:B,CLIENT_CODE!R:R,0))</f>
        <v>0</v>
      </c>
      <c r="AD307">
        <f t="shared" si="4"/>
        <v>0</v>
      </c>
    </row>
    <row r="308" spans="1:30">
      <c r="A308" s="42">
        <v>307</v>
      </c>
      <c r="E308">
        <f>IF(D308=0,0,_xlfn.XLOOKUP(C308,CLIENT_CODE!B:B,CLIENT_CODE!F:F,0))</f>
        <v>0</v>
      </c>
      <c r="F308">
        <f>_xlfn.XLOOKUP(B308,CRN!G:G,CRN!K:K,"")</f>
        <v>0</v>
      </c>
      <c r="G308">
        <f>IF(F308=0,0,_xlfn.XLOOKUP(C308,CLIENT_CODE!B:B,CLIENT_CODE!G:G,0))</f>
        <v>0</v>
      </c>
      <c r="H308">
        <f>_xlfn.XLOOKUP(B308,CRN!G:G,CRN!L:L,"")</f>
        <v>0</v>
      </c>
      <c r="I308">
        <f>IF(H308=0,0,_xlfn.XLOOKUP(C308,CLIENT_CODE!B:B,CLIENT_CODE!H:H,0))</f>
        <v>0</v>
      </c>
      <c r="J308">
        <f>_xlfn.XLOOKUP(B308,CRN!G:G,CRN!M:M,"")</f>
        <v>0</v>
      </c>
      <c r="K308">
        <f>IF(J308=0,0,_xlfn.XLOOKUP(C308,CLIENT_CODE!B:B,CLIENT_CODE!I:I,0))</f>
        <v>0</v>
      </c>
      <c r="L308">
        <f>_xlfn.XLOOKUP(B308,CRN!G:G,CRN!N:N,"")</f>
        <v>0</v>
      </c>
      <c r="M308">
        <f>IF(L308=0,0,_xlfn.XLOOKUP(C308,CLIENT_CODE!B:B,CLIENT_CODE!J:J,0))</f>
        <v>0</v>
      </c>
      <c r="N308">
        <f>_xlfn.XLOOKUP(B308,CRN!G:G,CRN!O:O,"")</f>
        <v>0</v>
      </c>
      <c r="O308">
        <f>IF(N308=0,0,_xlfn.XLOOKUP(C308,CLIENT_CODE!B:B,CLIENT_CODE!K:K,0))</f>
        <v>0</v>
      </c>
      <c r="P308">
        <f>_xlfn.XLOOKUP(B308,CRN!G:G,CRN!P:P,"")</f>
        <v>0</v>
      </c>
      <c r="Q308">
        <f>IF(P308=0,0,_xlfn.XLOOKUP(C308,CLIENT_CODE!B:B,CLIENT_CODE!L:L,0))</f>
        <v>0</v>
      </c>
      <c r="R308">
        <f>_xlfn.XLOOKUP(B308,CRN!G:G,CRN!Q:Q,"")</f>
        <v>0</v>
      </c>
      <c r="S308">
        <f>IF(R308=0,0,_xlfn.XLOOKUP(C308,CLIENT_CODE!B:B,CLIENT_CODE!M:M,0))</f>
        <v>0</v>
      </c>
      <c r="T308">
        <f>_xlfn.XLOOKUP(B308,CRN!G:G,CRN!R:R,"")</f>
        <v>0</v>
      </c>
      <c r="U308">
        <f>IF(T308=0,0,_xlfn.XLOOKUP(C308,CLIENT_CODE!B:B,CLIENT_CODE!N:N,0))</f>
        <v>0</v>
      </c>
      <c r="V308">
        <f>_xlfn.XLOOKUP(B308,CRN!G:G,CRN!S:S,"")</f>
        <v>0</v>
      </c>
      <c r="W308">
        <f>IF(V308=0,0,_xlfn.XLOOKUP(C308,CLIENT_CODE!B:B,CLIENT_CODE!O:O,0))</f>
        <v>0</v>
      </c>
      <c r="X308">
        <f>_xlfn.XLOOKUP(B308,CRN!G:G,CRN!T:T,"")</f>
        <v>0</v>
      </c>
      <c r="Y308">
        <f>IF(X308=0,0,_xlfn.XLOOKUP(C308,CLIENT_CODE!B:B,CLIENT_CODE!P:P,0))</f>
        <v>0</v>
      </c>
      <c r="Z308">
        <f>_xlfn.XLOOKUP(B308,CRN!G:G,CRN!U:U,"")</f>
        <v>0</v>
      </c>
      <c r="AA308">
        <f>IF(X308=0,0,_xlfn.XLOOKUP(C308,CLIENT_CODE!B:B,CLIENT_CODE!P:P,0))</f>
        <v>0</v>
      </c>
      <c r="AB308">
        <f>_xlfn.XLOOKUP(B308,CRN!G:G,CRN!V:V,"")</f>
        <v>0</v>
      </c>
      <c r="AC308">
        <f>IF(AB308=0,0,_xlfn.XLOOKUP(C308,CLIENT_CODE!B:B,CLIENT_CODE!R:R,0))</f>
        <v>0</v>
      </c>
      <c r="AD308">
        <f t="shared" si="4"/>
        <v>0</v>
      </c>
    </row>
    <row r="309" spans="1:30">
      <c r="A309" s="42">
        <v>308</v>
      </c>
      <c r="E309">
        <f>IF(D309=0,0,_xlfn.XLOOKUP(C309,CLIENT_CODE!B:B,CLIENT_CODE!F:F,0))</f>
        <v>0</v>
      </c>
      <c r="F309">
        <f>_xlfn.XLOOKUP(B309,CRN!G:G,CRN!K:K,"")</f>
        <v>0</v>
      </c>
      <c r="G309">
        <f>IF(F309=0,0,_xlfn.XLOOKUP(C309,CLIENT_CODE!B:B,CLIENT_CODE!G:G,0))</f>
        <v>0</v>
      </c>
      <c r="H309">
        <f>_xlfn.XLOOKUP(B309,CRN!G:G,CRN!L:L,"")</f>
        <v>0</v>
      </c>
      <c r="I309">
        <f>IF(H309=0,0,_xlfn.XLOOKUP(C309,CLIENT_CODE!B:B,CLIENT_CODE!H:H,0))</f>
        <v>0</v>
      </c>
      <c r="J309">
        <f>_xlfn.XLOOKUP(B309,CRN!G:G,CRN!M:M,"")</f>
        <v>0</v>
      </c>
      <c r="K309">
        <f>IF(J309=0,0,_xlfn.XLOOKUP(C309,CLIENT_CODE!B:B,CLIENT_CODE!I:I,0))</f>
        <v>0</v>
      </c>
      <c r="L309">
        <f>_xlfn.XLOOKUP(B309,CRN!G:G,CRN!N:N,"")</f>
        <v>0</v>
      </c>
      <c r="M309">
        <f>IF(L309=0,0,_xlfn.XLOOKUP(C309,CLIENT_CODE!B:B,CLIENT_CODE!J:J,0))</f>
        <v>0</v>
      </c>
      <c r="N309">
        <f>_xlfn.XLOOKUP(B309,CRN!G:G,CRN!O:O,"")</f>
        <v>0</v>
      </c>
      <c r="O309">
        <f>IF(N309=0,0,_xlfn.XLOOKUP(C309,CLIENT_CODE!B:B,CLIENT_CODE!K:K,0))</f>
        <v>0</v>
      </c>
      <c r="P309">
        <f>_xlfn.XLOOKUP(B309,CRN!G:G,CRN!P:P,"")</f>
        <v>0</v>
      </c>
      <c r="Q309">
        <f>IF(P309=0,0,_xlfn.XLOOKUP(C309,CLIENT_CODE!B:B,CLIENT_CODE!L:L,0))</f>
        <v>0</v>
      </c>
      <c r="R309">
        <f>_xlfn.XLOOKUP(B309,CRN!G:G,CRN!Q:Q,"")</f>
        <v>0</v>
      </c>
      <c r="S309">
        <f>IF(R309=0,0,_xlfn.XLOOKUP(C309,CLIENT_CODE!B:B,CLIENT_CODE!M:M,0))</f>
        <v>0</v>
      </c>
      <c r="T309">
        <f>_xlfn.XLOOKUP(B309,CRN!G:G,CRN!R:R,"")</f>
        <v>0</v>
      </c>
      <c r="U309">
        <f>IF(T309=0,0,_xlfn.XLOOKUP(C309,CLIENT_CODE!B:B,CLIENT_CODE!N:N,0))</f>
        <v>0</v>
      </c>
      <c r="V309">
        <f>_xlfn.XLOOKUP(B309,CRN!G:G,CRN!S:S,"")</f>
        <v>0</v>
      </c>
      <c r="W309">
        <f>IF(V309=0,0,_xlfn.XLOOKUP(C309,CLIENT_CODE!B:B,CLIENT_CODE!O:O,0))</f>
        <v>0</v>
      </c>
      <c r="X309">
        <f>_xlfn.XLOOKUP(B309,CRN!G:G,CRN!T:T,"")</f>
        <v>0</v>
      </c>
      <c r="Y309">
        <f>IF(X309=0,0,_xlfn.XLOOKUP(C309,CLIENT_CODE!B:B,CLIENT_CODE!P:P,0))</f>
        <v>0</v>
      </c>
      <c r="Z309">
        <f>_xlfn.XLOOKUP(B309,CRN!G:G,CRN!U:U,"")</f>
        <v>0</v>
      </c>
      <c r="AA309">
        <f>IF(X309=0,0,_xlfn.XLOOKUP(C309,CLIENT_CODE!B:B,CLIENT_CODE!P:P,0))</f>
        <v>0</v>
      </c>
      <c r="AB309">
        <f>_xlfn.XLOOKUP(B309,CRN!G:G,CRN!V:V,"")</f>
        <v>0</v>
      </c>
      <c r="AC309">
        <f>IF(AB309=0,0,_xlfn.XLOOKUP(C309,CLIENT_CODE!B:B,CLIENT_CODE!R:R,0))</f>
        <v>0</v>
      </c>
      <c r="AD309">
        <f t="shared" si="4"/>
        <v>0</v>
      </c>
    </row>
    <row r="310" spans="1:30">
      <c r="A310" s="42">
        <v>309</v>
      </c>
      <c r="E310">
        <f>IF(D310=0,0,_xlfn.XLOOKUP(C310,CLIENT_CODE!B:B,CLIENT_CODE!F:F,0))</f>
        <v>0</v>
      </c>
      <c r="F310">
        <f>_xlfn.XLOOKUP(B310,CRN!G:G,CRN!K:K,"")</f>
        <v>0</v>
      </c>
      <c r="G310">
        <f>IF(F310=0,0,_xlfn.XLOOKUP(C310,CLIENT_CODE!B:B,CLIENT_CODE!G:G,0))</f>
        <v>0</v>
      </c>
      <c r="H310">
        <f>_xlfn.XLOOKUP(B310,CRN!G:G,CRN!L:L,"")</f>
        <v>0</v>
      </c>
      <c r="I310">
        <f>IF(H310=0,0,_xlfn.XLOOKUP(C310,CLIENT_CODE!B:B,CLIENT_CODE!H:H,0))</f>
        <v>0</v>
      </c>
      <c r="J310">
        <f>_xlfn.XLOOKUP(B310,CRN!G:G,CRN!M:M,"")</f>
        <v>0</v>
      </c>
      <c r="K310">
        <f>IF(J310=0,0,_xlfn.XLOOKUP(C310,CLIENT_CODE!B:B,CLIENT_CODE!I:I,0))</f>
        <v>0</v>
      </c>
      <c r="L310">
        <f>_xlfn.XLOOKUP(B310,CRN!G:G,CRN!N:N,"")</f>
        <v>0</v>
      </c>
      <c r="M310">
        <f>IF(L310=0,0,_xlfn.XLOOKUP(C310,CLIENT_CODE!B:B,CLIENT_CODE!J:J,0))</f>
        <v>0</v>
      </c>
      <c r="N310">
        <f>_xlfn.XLOOKUP(B310,CRN!G:G,CRN!O:O,"")</f>
        <v>0</v>
      </c>
      <c r="O310">
        <f>IF(N310=0,0,_xlfn.XLOOKUP(C310,CLIENT_CODE!B:B,CLIENT_CODE!K:K,0))</f>
        <v>0</v>
      </c>
      <c r="P310">
        <f>_xlfn.XLOOKUP(B310,CRN!G:G,CRN!P:P,"")</f>
        <v>0</v>
      </c>
      <c r="Q310">
        <f>IF(P310=0,0,_xlfn.XLOOKUP(C310,CLIENT_CODE!B:B,CLIENT_CODE!L:L,0))</f>
        <v>0</v>
      </c>
      <c r="R310">
        <f>_xlfn.XLOOKUP(B310,CRN!G:G,CRN!Q:Q,"")</f>
        <v>0</v>
      </c>
      <c r="S310">
        <f>IF(R310=0,0,_xlfn.XLOOKUP(C310,CLIENT_CODE!B:B,CLIENT_CODE!M:M,0))</f>
        <v>0</v>
      </c>
      <c r="T310">
        <f>_xlfn.XLOOKUP(B310,CRN!G:G,CRN!R:R,"")</f>
        <v>0</v>
      </c>
      <c r="U310">
        <f>IF(T310=0,0,_xlfn.XLOOKUP(C310,CLIENT_CODE!B:B,CLIENT_CODE!N:N,0))</f>
        <v>0</v>
      </c>
      <c r="V310">
        <f>_xlfn.XLOOKUP(B310,CRN!G:G,CRN!S:S,"")</f>
        <v>0</v>
      </c>
      <c r="W310">
        <f>IF(V310=0,0,_xlfn.XLOOKUP(C310,CLIENT_CODE!B:B,CLIENT_CODE!O:O,0))</f>
        <v>0</v>
      </c>
      <c r="X310">
        <f>_xlfn.XLOOKUP(B310,CRN!G:G,CRN!T:T,"")</f>
        <v>0</v>
      </c>
      <c r="Y310">
        <f>IF(X310=0,0,_xlfn.XLOOKUP(C310,CLIENT_CODE!B:B,CLIENT_CODE!P:P,0))</f>
        <v>0</v>
      </c>
      <c r="Z310">
        <f>_xlfn.XLOOKUP(B310,CRN!G:G,CRN!U:U,"")</f>
        <v>0</v>
      </c>
      <c r="AA310">
        <f>IF(X310=0,0,_xlfn.XLOOKUP(C310,CLIENT_CODE!B:B,CLIENT_CODE!P:P,0))</f>
        <v>0</v>
      </c>
      <c r="AB310">
        <f>_xlfn.XLOOKUP(B310,CRN!G:G,CRN!V:V,"")</f>
        <v>0</v>
      </c>
      <c r="AC310">
        <f>IF(AB310=0,0,_xlfn.XLOOKUP(C310,CLIENT_CODE!B:B,CLIENT_CODE!R:R,0))</f>
        <v>0</v>
      </c>
      <c r="AD310">
        <f t="shared" si="4"/>
        <v>0</v>
      </c>
    </row>
    <row r="311" spans="1:30">
      <c r="A311" s="42">
        <v>310</v>
      </c>
      <c r="E311">
        <f>IF(D311=0,0,_xlfn.XLOOKUP(C311,CLIENT_CODE!B:B,CLIENT_CODE!F:F,0))</f>
        <v>0</v>
      </c>
      <c r="F311">
        <f>_xlfn.XLOOKUP(B311,CRN!G:G,CRN!K:K,"")</f>
        <v>0</v>
      </c>
      <c r="G311">
        <f>IF(F311=0,0,_xlfn.XLOOKUP(C311,CLIENT_CODE!B:B,CLIENT_CODE!G:G,0))</f>
        <v>0</v>
      </c>
      <c r="H311">
        <f>_xlfn.XLOOKUP(B311,CRN!G:G,CRN!L:L,"")</f>
        <v>0</v>
      </c>
      <c r="I311">
        <f>IF(H311=0,0,_xlfn.XLOOKUP(C311,CLIENT_CODE!B:B,CLIENT_CODE!H:H,0))</f>
        <v>0</v>
      </c>
      <c r="J311">
        <f>_xlfn.XLOOKUP(B311,CRN!G:G,CRN!M:M,"")</f>
        <v>0</v>
      </c>
      <c r="K311">
        <f>IF(J311=0,0,_xlfn.XLOOKUP(C311,CLIENT_CODE!B:B,CLIENT_CODE!I:I,0))</f>
        <v>0</v>
      </c>
      <c r="L311">
        <f>_xlfn.XLOOKUP(B311,CRN!G:G,CRN!N:N,"")</f>
        <v>0</v>
      </c>
      <c r="M311">
        <f>IF(L311=0,0,_xlfn.XLOOKUP(C311,CLIENT_CODE!B:B,CLIENT_CODE!J:J,0))</f>
        <v>0</v>
      </c>
      <c r="N311">
        <f>_xlfn.XLOOKUP(B311,CRN!G:G,CRN!O:O,"")</f>
        <v>0</v>
      </c>
      <c r="O311">
        <f>IF(N311=0,0,_xlfn.XLOOKUP(C311,CLIENT_CODE!B:B,CLIENT_CODE!K:K,0))</f>
        <v>0</v>
      </c>
      <c r="P311">
        <f>_xlfn.XLOOKUP(B311,CRN!G:G,CRN!P:P,"")</f>
        <v>0</v>
      </c>
      <c r="Q311">
        <f>IF(P311=0,0,_xlfn.XLOOKUP(C311,CLIENT_CODE!B:B,CLIENT_CODE!L:L,0))</f>
        <v>0</v>
      </c>
      <c r="R311">
        <f>_xlfn.XLOOKUP(B311,CRN!G:G,CRN!Q:Q,"")</f>
        <v>0</v>
      </c>
      <c r="S311">
        <f>IF(R311=0,0,_xlfn.XLOOKUP(C311,CLIENT_CODE!B:B,CLIENT_CODE!M:M,0))</f>
        <v>0</v>
      </c>
      <c r="T311">
        <f>_xlfn.XLOOKUP(B311,CRN!G:G,CRN!R:R,"")</f>
        <v>0</v>
      </c>
      <c r="U311">
        <f>IF(T311=0,0,_xlfn.XLOOKUP(C311,CLIENT_CODE!B:B,CLIENT_CODE!N:N,0))</f>
        <v>0</v>
      </c>
      <c r="V311">
        <f>_xlfn.XLOOKUP(B311,CRN!G:G,CRN!S:S,"")</f>
        <v>0</v>
      </c>
      <c r="W311">
        <f>IF(V311=0,0,_xlfn.XLOOKUP(C311,CLIENT_CODE!B:B,CLIENT_CODE!O:O,0))</f>
        <v>0</v>
      </c>
      <c r="X311">
        <f>_xlfn.XLOOKUP(B311,CRN!G:G,CRN!T:T,"")</f>
        <v>0</v>
      </c>
      <c r="Y311">
        <f>IF(X311=0,0,_xlfn.XLOOKUP(C311,CLIENT_CODE!B:B,CLIENT_CODE!P:P,0))</f>
        <v>0</v>
      </c>
      <c r="Z311">
        <f>_xlfn.XLOOKUP(B311,CRN!G:G,CRN!U:U,"")</f>
        <v>0</v>
      </c>
      <c r="AA311">
        <f>IF(X311=0,0,_xlfn.XLOOKUP(C311,CLIENT_CODE!B:B,CLIENT_CODE!P:P,0))</f>
        <v>0</v>
      </c>
      <c r="AB311">
        <f>_xlfn.XLOOKUP(B311,CRN!G:G,CRN!V:V,"")</f>
        <v>0</v>
      </c>
      <c r="AC311">
        <f>IF(AB311=0,0,_xlfn.XLOOKUP(C311,CLIENT_CODE!B:B,CLIENT_CODE!R:R,0))</f>
        <v>0</v>
      </c>
      <c r="AD311">
        <f t="shared" si="4"/>
        <v>0</v>
      </c>
    </row>
    <row r="312" spans="1:30">
      <c r="A312" s="42">
        <v>311</v>
      </c>
      <c r="E312">
        <f>IF(D312=0,0,_xlfn.XLOOKUP(C312,CLIENT_CODE!B:B,CLIENT_CODE!F:F,0))</f>
        <v>0</v>
      </c>
      <c r="F312">
        <f>_xlfn.XLOOKUP(B312,CRN!G:G,CRN!K:K,"")</f>
        <v>0</v>
      </c>
      <c r="G312">
        <f>IF(F312=0,0,_xlfn.XLOOKUP(C312,CLIENT_CODE!B:B,CLIENT_CODE!G:G,0))</f>
        <v>0</v>
      </c>
      <c r="H312">
        <f>_xlfn.XLOOKUP(B312,CRN!G:G,CRN!L:L,"")</f>
        <v>0</v>
      </c>
      <c r="I312">
        <f>IF(H312=0,0,_xlfn.XLOOKUP(C312,CLIENT_CODE!B:B,CLIENT_CODE!H:H,0))</f>
        <v>0</v>
      </c>
      <c r="J312">
        <f>_xlfn.XLOOKUP(B312,CRN!G:G,CRN!M:M,"")</f>
        <v>0</v>
      </c>
      <c r="K312">
        <f>IF(J312=0,0,_xlfn.XLOOKUP(C312,CLIENT_CODE!B:B,CLIENT_CODE!I:I,0))</f>
        <v>0</v>
      </c>
      <c r="L312">
        <f>_xlfn.XLOOKUP(B312,CRN!G:G,CRN!N:N,"")</f>
        <v>0</v>
      </c>
      <c r="M312">
        <f>IF(L312=0,0,_xlfn.XLOOKUP(C312,CLIENT_CODE!B:B,CLIENT_CODE!J:J,0))</f>
        <v>0</v>
      </c>
      <c r="N312">
        <f>_xlfn.XLOOKUP(B312,CRN!G:G,CRN!O:O,"")</f>
        <v>0</v>
      </c>
      <c r="O312">
        <f>IF(N312=0,0,_xlfn.XLOOKUP(C312,CLIENT_CODE!B:B,CLIENT_CODE!K:K,0))</f>
        <v>0</v>
      </c>
      <c r="P312">
        <f>_xlfn.XLOOKUP(B312,CRN!G:G,CRN!P:P,"")</f>
        <v>0</v>
      </c>
      <c r="Q312">
        <f>IF(P312=0,0,_xlfn.XLOOKUP(C312,CLIENT_CODE!B:B,CLIENT_CODE!L:L,0))</f>
        <v>0</v>
      </c>
      <c r="R312">
        <f>_xlfn.XLOOKUP(B312,CRN!G:G,CRN!Q:Q,"")</f>
        <v>0</v>
      </c>
      <c r="S312">
        <f>IF(R312=0,0,_xlfn.XLOOKUP(C312,CLIENT_CODE!B:B,CLIENT_CODE!M:M,0))</f>
        <v>0</v>
      </c>
      <c r="T312">
        <f>_xlfn.XLOOKUP(B312,CRN!G:G,CRN!R:R,"")</f>
        <v>0</v>
      </c>
      <c r="U312">
        <f>IF(T312=0,0,_xlfn.XLOOKUP(C312,CLIENT_CODE!B:B,CLIENT_CODE!N:N,0))</f>
        <v>0</v>
      </c>
      <c r="V312">
        <f>_xlfn.XLOOKUP(B312,CRN!G:G,CRN!S:S,"")</f>
        <v>0</v>
      </c>
      <c r="W312">
        <f>IF(V312=0,0,_xlfn.XLOOKUP(C312,CLIENT_CODE!B:B,CLIENT_CODE!O:O,0))</f>
        <v>0</v>
      </c>
      <c r="X312">
        <f>_xlfn.XLOOKUP(B312,CRN!G:G,CRN!T:T,"")</f>
        <v>0</v>
      </c>
      <c r="Y312">
        <f>IF(X312=0,0,_xlfn.XLOOKUP(C312,CLIENT_CODE!B:B,CLIENT_CODE!P:P,0))</f>
        <v>0</v>
      </c>
      <c r="Z312">
        <f>_xlfn.XLOOKUP(B312,CRN!G:G,CRN!U:U,"")</f>
        <v>0</v>
      </c>
      <c r="AA312">
        <f>IF(X312=0,0,_xlfn.XLOOKUP(C312,CLIENT_CODE!B:B,CLIENT_CODE!P:P,0))</f>
        <v>0</v>
      </c>
      <c r="AB312">
        <f>_xlfn.XLOOKUP(B312,CRN!G:G,CRN!V:V,"")</f>
        <v>0</v>
      </c>
      <c r="AC312">
        <f>IF(AB312=0,0,_xlfn.XLOOKUP(C312,CLIENT_CODE!B:B,CLIENT_CODE!R:R,0))</f>
        <v>0</v>
      </c>
      <c r="AD312">
        <f t="shared" si="4"/>
        <v>0</v>
      </c>
    </row>
    <row r="313" spans="1:30">
      <c r="A313" s="42">
        <v>312</v>
      </c>
      <c r="E313">
        <f>IF(D313=0,0,_xlfn.XLOOKUP(C313,CLIENT_CODE!B:B,CLIENT_CODE!F:F,0))</f>
        <v>0</v>
      </c>
      <c r="F313">
        <f>_xlfn.XLOOKUP(B313,CRN!G:G,CRN!K:K,"")</f>
        <v>0</v>
      </c>
      <c r="G313">
        <f>IF(F313=0,0,_xlfn.XLOOKUP(C313,CLIENT_CODE!B:B,CLIENT_CODE!G:G,0))</f>
        <v>0</v>
      </c>
      <c r="H313">
        <f>_xlfn.XLOOKUP(B313,CRN!G:G,CRN!L:L,"")</f>
        <v>0</v>
      </c>
      <c r="I313">
        <f>IF(H313=0,0,_xlfn.XLOOKUP(C313,CLIENT_CODE!B:B,CLIENT_CODE!H:H,0))</f>
        <v>0</v>
      </c>
      <c r="J313">
        <f>_xlfn.XLOOKUP(B313,CRN!G:G,CRN!M:M,"")</f>
        <v>0</v>
      </c>
      <c r="K313">
        <f>IF(J313=0,0,_xlfn.XLOOKUP(C313,CLIENT_CODE!B:B,CLIENT_CODE!I:I,0))</f>
        <v>0</v>
      </c>
      <c r="L313">
        <f>_xlfn.XLOOKUP(B313,CRN!G:G,CRN!N:N,"")</f>
        <v>0</v>
      </c>
      <c r="M313">
        <f>IF(L313=0,0,_xlfn.XLOOKUP(C313,CLIENT_CODE!B:B,CLIENT_CODE!J:J,0))</f>
        <v>0</v>
      </c>
      <c r="N313">
        <f>_xlfn.XLOOKUP(B313,CRN!G:G,CRN!O:O,"")</f>
        <v>0</v>
      </c>
      <c r="O313">
        <f>IF(N313=0,0,_xlfn.XLOOKUP(C313,CLIENT_CODE!B:B,CLIENT_CODE!K:K,0))</f>
        <v>0</v>
      </c>
      <c r="P313">
        <f>_xlfn.XLOOKUP(B313,CRN!G:G,CRN!P:P,"")</f>
        <v>0</v>
      </c>
      <c r="Q313">
        <f>IF(P313=0,0,_xlfn.XLOOKUP(C313,CLIENT_CODE!B:B,CLIENT_CODE!L:L,0))</f>
        <v>0</v>
      </c>
      <c r="R313">
        <f>_xlfn.XLOOKUP(B313,CRN!G:G,CRN!Q:Q,"")</f>
        <v>0</v>
      </c>
      <c r="S313">
        <f>IF(R313=0,0,_xlfn.XLOOKUP(C313,CLIENT_CODE!B:B,CLIENT_CODE!M:M,0))</f>
        <v>0</v>
      </c>
      <c r="T313">
        <f>_xlfn.XLOOKUP(B313,CRN!G:G,CRN!R:R,"")</f>
        <v>0</v>
      </c>
      <c r="U313">
        <f>IF(T313=0,0,_xlfn.XLOOKUP(C313,CLIENT_CODE!B:B,CLIENT_CODE!N:N,0))</f>
        <v>0</v>
      </c>
      <c r="V313">
        <f>_xlfn.XLOOKUP(B313,CRN!G:G,CRN!S:S,"")</f>
        <v>0</v>
      </c>
      <c r="W313">
        <f>IF(V313=0,0,_xlfn.XLOOKUP(C313,CLIENT_CODE!B:B,CLIENT_CODE!O:O,0))</f>
        <v>0</v>
      </c>
      <c r="X313">
        <f>_xlfn.XLOOKUP(B313,CRN!G:G,CRN!T:T,"")</f>
        <v>0</v>
      </c>
      <c r="Y313">
        <f>IF(X313=0,0,_xlfn.XLOOKUP(C313,CLIENT_CODE!B:B,CLIENT_CODE!P:P,0))</f>
        <v>0</v>
      </c>
      <c r="Z313">
        <f>_xlfn.XLOOKUP(B313,CRN!G:G,CRN!U:U,"")</f>
        <v>0</v>
      </c>
      <c r="AA313">
        <f>IF(X313=0,0,_xlfn.XLOOKUP(C313,CLIENT_CODE!B:B,CLIENT_CODE!P:P,0))</f>
        <v>0</v>
      </c>
      <c r="AB313">
        <f>_xlfn.XLOOKUP(B313,CRN!G:G,CRN!V:V,"")</f>
        <v>0</v>
      </c>
      <c r="AC313">
        <f>IF(AB313=0,0,_xlfn.XLOOKUP(C313,CLIENT_CODE!B:B,CLIENT_CODE!R:R,0))</f>
        <v>0</v>
      </c>
      <c r="AD313">
        <f t="shared" si="4"/>
        <v>0</v>
      </c>
    </row>
    <row r="314" spans="1:30">
      <c r="A314" s="42">
        <v>313</v>
      </c>
      <c r="E314">
        <f>IF(D314=0,0,_xlfn.XLOOKUP(C314,CLIENT_CODE!B:B,CLIENT_CODE!F:F,0))</f>
        <v>0</v>
      </c>
      <c r="F314">
        <f>_xlfn.XLOOKUP(B314,CRN!G:G,CRN!K:K,"")</f>
        <v>0</v>
      </c>
      <c r="G314">
        <f>IF(F314=0,0,_xlfn.XLOOKUP(C314,CLIENT_CODE!B:B,CLIENT_CODE!G:G,0))</f>
        <v>0</v>
      </c>
      <c r="H314">
        <f>_xlfn.XLOOKUP(B314,CRN!G:G,CRN!L:L,"")</f>
        <v>0</v>
      </c>
      <c r="I314">
        <f>IF(H314=0,0,_xlfn.XLOOKUP(C314,CLIENT_CODE!B:B,CLIENT_CODE!H:H,0))</f>
        <v>0</v>
      </c>
      <c r="J314">
        <f>_xlfn.XLOOKUP(B314,CRN!G:G,CRN!M:M,"")</f>
        <v>0</v>
      </c>
      <c r="K314">
        <f>IF(J314=0,0,_xlfn.XLOOKUP(C314,CLIENT_CODE!B:B,CLIENT_CODE!I:I,0))</f>
        <v>0</v>
      </c>
      <c r="L314">
        <f>_xlfn.XLOOKUP(B314,CRN!G:G,CRN!N:N,"")</f>
        <v>0</v>
      </c>
      <c r="M314">
        <f>IF(L314=0,0,_xlfn.XLOOKUP(C314,CLIENT_CODE!B:B,CLIENT_CODE!J:J,0))</f>
        <v>0</v>
      </c>
      <c r="N314">
        <f>_xlfn.XLOOKUP(B314,CRN!G:G,CRN!O:O,"")</f>
        <v>0</v>
      </c>
      <c r="O314">
        <f>IF(N314=0,0,_xlfn.XLOOKUP(C314,CLIENT_CODE!B:B,CLIENT_CODE!K:K,0))</f>
        <v>0</v>
      </c>
      <c r="P314">
        <f>_xlfn.XLOOKUP(B314,CRN!G:G,CRN!P:P,"")</f>
        <v>0</v>
      </c>
      <c r="Q314">
        <f>IF(P314=0,0,_xlfn.XLOOKUP(C314,CLIENT_CODE!B:B,CLIENT_CODE!L:L,0))</f>
        <v>0</v>
      </c>
      <c r="R314">
        <f>_xlfn.XLOOKUP(B314,CRN!G:G,CRN!Q:Q,"")</f>
        <v>0</v>
      </c>
      <c r="S314">
        <f>IF(R314=0,0,_xlfn.XLOOKUP(C314,CLIENT_CODE!B:B,CLIENT_CODE!M:M,0))</f>
        <v>0</v>
      </c>
      <c r="T314">
        <f>_xlfn.XLOOKUP(B314,CRN!G:G,CRN!R:R,"")</f>
        <v>0</v>
      </c>
      <c r="U314">
        <f>IF(T314=0,0,_xlfn.XLOOKUP(C314,CLIENT_CODE!B:B,CLIENT_CODE!N:N,0))</f>
        <v>0</v>
      </c>
      <c r="V314">
        <f>_xlfn.XLOOKUP(B314,CRN!G:G,CRN!S:S,"")</f>
        <v>0</v>
      </c>
      <c r="W314">
        <f>IF(V314=0,0,_xlfn.XLOOKUP(C314,CLIENT_CODE!B:B,CLIENT_CODE!O:O,0))</f>
        <v>0</v>
      </c>
      <c r="X314">
        <f>_xlfn.XLOOKUP(B314,CRN!G:G,CRN!T:T,"")</f>
        <v>0</v>
      </c>
      <c r="Y314">
        <f>IF(X314=0,0,_xlfn.XLOOKUP(C314,CLIENT_CODE!B:B,CLIENT_CODE!P:P,0))</f>
        <v>0</v>
      </c>
      <c r="Z314">
        <f>_xlfn.XLOOKUP(B314,CRN!G:G,CRN!U:U,"")</f>
        <v>0</v>
      </c>
      <c r="AA314">
        <f>IF(X314=0,0,_xlfn.XLOOKUP(C314,CLIENT_CODE!B:B,CLIENT_CODE!P:P,0))</f>
        <v>0</v>
      </c>
      <c r="AB314">
        <f>_xlfn.XLOOKUP(B314,CRN!G:G,CRN!V:V,"")</f>
        <v>0</v>
      </c>
      <c r="AC314">
        <f>IF(AB314=0,0,_xlfn.XLOOKUP(C314,CLIENT_CODE!B:B,CLIENT_CODE!R:R,0))</f>
        <v>0</v>
      </c>
      <c r="AD314">
        <f t="shared" si="4"/>
        <v>0</v>
      </c>
    </row>
    <row r="315" spans="1:30">
      <c r="A315" s="42">
        <v>314</v>
      </c>
      <c r="E315">
        <f>IF(D315=0,0,_xlfn.XLOOKUP(C315,CLIENT_CODE!B:B,CLIENT_CODE!F:F,0))</f>
        <v>0</v>
      </c>
      <c r="F315">
        <f>_xlfn.XLOOKUP(B315,CRN!G:G,CRN!K:K,"")</f>
        <v>0</v>
      </c>
      <c r="G315">
        <f>IF(F315=0,0,_xlfn.XLOOKUP(C315,CLIENT_CODE!B:B,CLIENT_CODE!G:G,0))</f>
        <v>0</v>
      </c>
      <c r="H315">
        <f>_xlfn.XLOOKUP(B315,CRN!G:G,CRN!L:L,"")</f>
        <v>0</v>
      </c>
      <c r="I315">
        <f>IF(H315=0,0,_xlfn.XLOOKUP(C315,CLIENT_CODE!B:B,CLIENT_CODE!H:H,0))</f>
        <v>0</v>
      </c>
      <c r="J315">
        <f>_xlfn.XLOOKUP(B315,CRN!G:G,CRN!M:M,"")</f>
        <v>0</v>
      </c>
      <c r="K315">
        <f>IF(J315=0,0,_xlfn.XLOOKUP(C315,CLIENT_CODE!B:B,CLIENT_CODE!I:I,0))</f>
        <v>0</v>
      </c>
      <c r="L315">
        <f>_xlfn.XLOOKUP(B315,CRN!G:G,CRN!N:N,"")</f>
        <v>0</v>
      </c>
      <c r="M315">
        <f>IF(L315=0,0,_xlfn.XLOOKUP(C315,CLIENT_CODE!B:B,CLIENT_CODE!J:J,0))</f>
        <v>0</v>
      </c>
      <c r="N315">
        <f>_xlfn.XLOOKUP(B315,CRN!G:G,CRN!O:O,"")</f>
        <v>0</v>
      </c>
      <c r="O315">
        <f>IF(N315=0,0,_xlfn.XLOOKUP(C315,CLIENT_CODE!B:B,CLIENT_CODE!K:K,0))</f>
        <v>0</v>
      </c>
      <c r="P315">
        <f>_xlfn.XLOOKUP(B315,CRN!G:G,CRN!P:P,"")</f>
        <v>0</v>
      </c>
      <c r="Q315">
        <f>IF(P315=0,0,_xlfn.XLOOKUP(C315,CLIENT_CODE!B:B,CLIENT_CODE!L:L,0))</f>
        <v>0</v>
      </c>
      <c r="R315">
        <f>_xlfn.XLOOKUP(B315,CRN!G:G,CRN!Q:Q,"")</f>
        <v>0</v>
      </c>
      <c r="S315">
        <f>IF(R315=0,0,_xlfn.XLOOKUP(C315,CLIENT_CODE!B:B,CLIENT_CODE!M:M,0))</f>
        <v>0</v>
      </c>
      <c r="T315">
        <f>_xlfn.XLOOKUP(B315,CRN!G:G,CRN!R:R,"")</f>
        <v>0</v>
      </c>
      <c r="U315">
        <f>IF(T315=0,0,_xlfn.XLOOKUP(C315,CLIENT_CODE!B:B,CLIENT_CODE!N:N,0))</f>
        <v>0</v>
      </c>
      <c r="V315">
        <f>_xlfn.XLOOKUP(B315,CRN!G:G,CRN!S:S,"")</f>
        <v>0</v>
      </c>
      <c r="W315">
        <f>IF(V315=0,0,_xlfn.XLOOKUP(C315,CLIENT_CODE!B:B,CLIENT_CODE!O:O,0))</f>
        <v>0</v>
      </c>
      <c r="X315">
        <f>_xlfn.XLOOKUP(B315,CRN!G:G,CRN!T:T,"")</f>
        <v>0</v>
      </c>
      <c r="Y315">
        <f>IF(X315=0,0,_xlfn.XLOOKUP(C315,CLIENT_CODE!B:B,CLIENT_CODE!P:P,0))</f>
        <v>0</v>
      </c>
      <c r="Z315">
        <f>_xlfn.XLOOKUP(B315,CRN!G:G,CRN!U:U,"")</f>
        <v>0</v>
      </c>
      <c r="AA315">
        <f>IF(X315=0,0,_xlfn.XLOOKUP(C315,CLIENT_CODE!B:B,CLIENT_CODE!P:P,0))</f>
        <v>0</v>
      </c>
      <c r="AB315">
        <f>_xlfn.XLOOKUP(B315,CRN!G:G,CRN!V:V,"")</f>
        <v>0</v>
      </c>
      <c r="AC315">
        <f>IF(AB315=0,0,_xlfn.XLOOKUP(C315,CLIENT_CODE!B:B,CLIENT_CODE!R:R,0))</f>
        <v>0</v>
      </c>
      <c r="AD315">
        <f t="shared" si="4"/>
        <v>0</v>
      </c>
    </row>
    <row r="316" spans="1:30">
      <c r="A316" s="42">
        <v>315</v>
      </c>
      <c r="E316">
        <f>IF(D316=0,0,_xlfn.XLOOKUP(C316,CLIENT_CODE!B:B,CLIENT_CODE!F:F,0))</f>
        <v>0</v>
      </c>
      <c r="F316">
        <f>_xlfn.XLOOKUP(B316,CRN!G:G,CRN!K:K,"")</f>
        <v>0</v>
      </c>
      <c r="G316">
        <f>IF(F316=0,0,_xlfn.XLOOKUP(C316,CLIENT_CODE!B:B,CLIENT_CODE!G:G,0))</f>
        <v>0</v>
      </c>
      <c r="H316">
        <f>_xlfn.XLOOKUP(B316,CRN!G:G,CRN!L:L,"")</f>
        <v>0</v>
      </c>
      <c r="I316">
        <f>IF(H316=0,0,_xlfn.XLOOKUP(C316,CLIENT_CODE!B:B,CLIENT_CODE!H:H,0))</f>
        <v>0</v>
      </c>
      <c r="J316">
        <f>_xlfn.XLOOKUP(B316,CRN!G:G,CRN!M:M,"")</f>
        <v>0</v>
      </c>
      <c r="K316">
        <f>IF(J316=0,0,_xlfn.XLOOKUP(C316,CLIENT_CODE!B:B,CLIENT_CODE!I:I,0))</f>
        <v>0</v>
      </c>
      <c r="L316">
        <f>_xlfn.XLOOKUP(B316,CRN!G:G,CRN!N:N,"")</f>
        <v>0</v>
      </c>
      <c r="M316">
        <f>IF(L316=0,0,_xlfn.XLOOKUP(C316,CLIENT_CODE!B:B,CLIENT_CODE!J:J,0))</f>
        <v>0</v>
      </c>
      <c r="N316">
        <f>_xlfn.XLOOKUP(B316,CRN!G:G,CRN!O:O,"")</f>
        <v>0</v>
      </c>
      <c r="O316">
        <f>IF(N316=0,0,_xlfn.XLOOKUP(C316,CLIENT_CODE!B:B,CLIENT_CODE!K:K,0))</f>
        <v>0</v>
      </c>
      <c r="P316">
        <f>_xlfn.XLOOKUP(B316,CRN!G:G,CRN!P:P,"")</f>
        <v>0</v>
      </c>
      <c r="Q316">
        <f>IF(P316=0,0,_xlfn.XLOOKUP(C316,CLIENT_CODE!B:B,CLIENT_CODE!L:L,0))</f>
        <v>0</v>
      </c>
      <c r="R316">
        <f>_xlfn.XLOOKUP(B316,CRN!G:G,CRN!Q:Q,"")</f>
        <v>0</v>
      </c>
      <c r="S316">
        <f>IF(R316=0,0,_xlfn.XLOOKUP(C316,CLIENT_CODE!B:B,CLIENT_CODE!M:M,0))</f>
        <v>0</v>
      </c>
      <c r="T316">
        <f>_xlfn.XLOOKUP(B316,CRN!G:G,CRN!R:R,"")</f>
        <v>0</v>
      </c>
      <c r="U316">
        <f>IF(T316=0,0,_xlfn.XLOOKUP(C316,CLIENT_CODE!B:B,CLIENT_CODE!N:N,0))</f>
        <v>0</v>
      </c>
      <c r="V316">
        <f>_xlfn.XLOOKUP(B316,CRN!G:G,CRN!S:S,"")</f>
        <v>0</v>
      </c>
      <c r="W316">
        <f>IF(V316=0,0,_xlfn.XLOOKUP(C316,CLIENT_CODE!B:B,CLIENT_CODE!O:O,0))</f>
        <v>0</v>
      </c>
      <c r="X316">
        <f>_xlfn.XLOOKUP(B316,CRN!G:G,CRN!T:T,"")</f>
        <v>0</v>
      </c>
      <c r="Y316">
        <f>IF(X316=0,0,_xlfn.XLOOKUP(C316,CLIENT_CODE!B:B,CLIENT_CODE!P:P,0))</f>
        <v>0</v>
      </c>
      <c r="Z316">
        <f>_xlfn.XLOOKUP(B316,CRN!G:G,CRN!U:U,"")</f>
        <v>0</v>
      </c>
      <c r="AA316">
        <f>IF(X316=0,0,_xlfn.XLOOKUP(C316,CLIENT_CODE!B:B,CLIENT_CODE!P:P,0))</f>
        <v>0</v>
      </c>
      <c r="AB316">
        <f>_xlfn.XLOOKUP(B316,CRN!G:G,CRN!V:V,"")</f>
        <v>0</v>
      </c>
      <c r="AC316">
        <f>IF(AB316=0,0,_xlfn.XLOOKUP(C316,CLIENT_CODE!B:B,CLIENT_CODE!R:R,0))</f>
        <v>0</v>
      </c>
      <c r="AD316">
        <f t="shared" si="4"/>
        <v>0</v>
      </c>
    </row>
    <row r="317" spans="1:30">
      <c r="A317" s="42">
        <v>316</v>
      </c>
      <c r="E317">
        <f>IF(D317=0,0,_xlfn.XLOOKUP(C317,CLIENT_CODE!B:B,CLIENT_CODE!F:F,0))</f>
        <v>0</v>
      </c>
      <c r="F317">
        <f>_xlfn.XLOOKUP(B317,CRN!G:G,CRN!K:K,"")</f>
        <v>0</v>
      </c>
      <c r="G317">
        <f>IF(F317=0,0,_xlfn.XLOOKUP(C317,CLIENT_CODE!B:B,CLIENT_CODE!G:G,0))</f>
        <v>0</v>
      </c>
      <c r="H317">
        <f>_xlfn.XLOOKUP(B317,CRN!G:G,CRN!L:L,"")</f>
        <v>0</v>
      </c>
      <c r="I317">
        <f>IF(H317=0,0,_xlfn.XLOOKUP(C317,CLIENT_CODE!B:B,CLIENT_CODE!H:H,0))</f>
        <v>0</v>
      </c>
      <c r="J317">
        <f>_xlfn.XLOOKUP(B317,CRN!G:G,CRN!M:M,"")</f>
        <v>0</v>
      </c>
      <c r="K317">
        <f>IF(J317=0,0,_xlfn.XLOOKUP(C317,CLIENT_CODE!B:B,CLIENT_CODE!I:I,0))</f>
        <v>0</v>
      </c>
      <c r="L317">
        <f>_xlfn.XLOOKUP(B317,CRN!G:G,CRN!N:N,"")</f>
        <v>0</v>
      </c>
      <c r="M317">
        <f>IF(L317=0,0,_xlfn.XLOOKUP(C317,CLIENT_CODE!B:B,CLIENT_CODE!J:J,0))</f>
        <v>0</v>
      </c>
      <c r="N317">
        <f>_xlfn.XLOOKUP(B317,CRN!G:G,CRN!O:O,"")</f>
        <v>0</v>
      </c>
      <c r="O317">
        <f>IF(N317=0,0,_xlfn.XLOOKUP(C317,CLIENT_CODE!B:B,CLIENT_CODE!K:K,0))</f>
        <v>0</v>
      </c>
      <c r="P317">
        <f>_xlfn.XLOOKUP(B317,CRN!G:G,CRN!P:P,"")</f>
        <v>0</v>
      </c>
      <c r="Q317">
        <f>IF(P317=0,0,_xlfn.XLOOKUP(C317,CLIENT_CODE!B:B,CLIENT_CODE!L:L,0))</f>
        <v>0</v>
      </c>
      <c r="R317">
        <f>_xlfn.XLOOKUP(B317,CRN!G:G,CRN!Q:Q,"")</f>
        <v>0</v>
      </c>
      <c r="S317">
        <f>IF(R317=0,0,_xlfn.XLOOKUP(C317,CLIENT_CODE!B:B,CLIENT_CODE!M:M,0))</f>
        <v>0</v>
      </c>
      <c r="T317">
        <f>_xlfn.XLOOKUP(B317,CRN!G:G,CRN!R:R,"")</f>
        <v>0</v>
      </c>
      <c r="U317">
        <f>IF(T317=0,0,_xlfn.XLOOKUP(C317,CLIENT_CODE!B:B,CLIENT_CODE!N:N,0))</f>
        <v>0</v>
      </c>
      <c r="V317">
        <f>_xlfn.XLOOKUP(B317,CRN!G:G,CRN!S:S,"")</f>
        <v>0</v>
      </c>
      <c r="W317">
        <f>IF(V317=0,0,_xlfn.XLOOKUP(C317,CLIENT_CODE!B:B,CLIENT_CODE!O:O,0))</f>
        <v>0</v>
      </c>
      <c r="X317">
        <f>_xlfn.XLOOKUP(B317,CRN!G:G,CRN!T:T,"")</f>
        <v>0</v>
      </c>
      <c r="Y317">
        <f>IF(X317=0,0,_xlfn.XLOOKUP(C317,CLIENT_CODE!B:B,CLIENT_CODE!P:P,0))</f>
        <v>0</v>
      </c>
      <c r="Z317">
        <f>_xlfn.XLOOKUP(B317,CRN!G:G,CRN!U:U,"")</f>
        <v>0</v>
      </c>
      <c r="AA317">
        <f>IF(X317=0,0,_xlfn.XLOOKUP(C317,CLIENT_CODE!B:B,CLIENT_CODE!P:P,0))</f>
        <v>0</v>
      </c>
      <c r="AB317">
        <f>_xlfn.XLOOKUP(B317,CRN!G:G,CRN!V:V,"")</f>
        <v>0</v>
      </c>
      <c r="AC317">
        <f>IF(AB317=0,0,_xlfn.XLOOKUP(C317,CLIENT_CODE!B:B,CLIENT_CODE!R:R,0))</f>
        <v>0</v>
      </c>
      <c r="AD317">
        <f t="shared" si="4"/>
        <v>0</v>
      </c>
    </row>
    <row r="318" spans="1:30">
      <c r="A318" s="42">
        <v>317</v>
      </c>
      <c r="E318">
        <f>IF(D318=0,0,_xlfn.XLOOKUP(C318,CLIENT_CODE!B:B,CLIENT_CODE!F:F,0))</f>
        <v>0</v>
      </c>
      <c r="F318">
        <f>_xlfn.XLOOKUP(B318,CRN!G:G,CRN!K:K,"")</f>
        <v>0</v>
      </c>
      <c r="G318">
        <f>IF(F318=0,0,_xlfn.XLOOKUP(C318,CLIENT_CODE!B:B,CLIENT_CODE!G:G,0))</f>
        <v>0</v>
      </c>
      <c r="H318">
        <f>_xlfn.XLOOKUP(B318,CRN!G:G,CRN!L:L,"")</f>
        <v>0</v>
      </c>
      <c r="I318">
        <f>IF(H318=0,0,_xlfn.XLOOKUP(C318,CLIENT_CODE!B:B,CLIENT_CODE!H:H,0))</f>
        <v>0</v>
      </c>
      <c r="J318">
        <f>_xlfn.XLOOKUP(B318,CRN!G:G,CRN!M:M,"")</f>
        <v>0</v>
      </c>
      <c r="K318">
        <f>IF(J318=0,0,_xlfn.XLOOKUP(C318,CLIENT_CODE!B:B,CLIENT_CODE!I:I,0))</f>
        <v>0</v>
      </c>
      <c r="L318">
        <f>_xlfn.XLOOKUP(B318,CRN!G:G,CRN!N:N,"")</f>
        <v>0</v>
      </c>
      <c r="M318">
        <f>IF(L318=0,0,_xlfn.XLOOKUP(C318,CLIENT_CODE!B:B,CLIENT_CODE!J:J,0))</f>
        <v>0</v>
      </c>
      <c r="N318">
        <f>_xlfn.XLOOKUP(B318,CRN!G:G,CRN!O:O,"")</f>
        <v>0</v>
      </c>
      <c r="O318">
        <f>IF(N318=0,0,_xlfn.XLOOKUP(C318,CLIENT_CODE!B:B,CLIENT_CODE!K:K,0))</f>
        <v>0</v>
      </c>
      <c r="P318">
        <f>_xlfn.XLOOKUP(B318,CRN!G:G,CRN!P:P,"")</f>
        <v>0</v>
      </c>
      <c r="Q318">
        <f>IF(P318=0,0,_xlfn.XLOOKUP(C318,CLIENT_CODE!B:B,CLIENT_CODE!L:L,0))</f>
        <v>0</v>
      </c>
      <c r="R318">
        <f>_xlfn.XLOOKUP(B318,CRN!G:G,CRN!Q:Q,"")</f>
        <v>0</v>
      </c>
      <c r="S318">
        <f>IF(R318=0,0,_xlfn.XLOOKUP(C318,CLIENT_CODE!B:B,CLIENT_CODE!M:M,0))</f>
        <v>0</v>
      </c>
      <c r="T318">
        <f>_xlfn.XLOOKUP(B318,CRN!G:G,CRN!R:R,"")</f>
        <v>0</v>
      </c>
      <c r="U318">
        <f>IF(T318=0,0,_xlfn.XLOOKUP(C318,CLIENT_CODE!B:B,CLIENT_CODE!N:N,0))</f>
        <v>0</v>
      </c>
      <c r="V318">
        <f>_xlfn.XLOOKUP(B318,CRN!G:G,CRN!S:S,"")</f>
        <v>0</v>
      </c>
      <c r="W318">
        <f>IF(V318=0,0,_xlfn.XLOOKUP(C318,CLIENT_CODE!B:B,CLIENT_CODE!O:O,0))</f>
        <v>0</v>
      </c>
      <c r="X318">
        <f>_xlfn.XLOOKUP(B318,CRN!G:G,CRN!T:T,"")</f>
        <v>0</v>
      </c>
      <c r="Y318">
        <f>IF(X318=0,0,_xlfn.XLOOKUP(C318,CLIENT_CODE!B:B,CLIENT_CODE!P:P,0))</f>
        <v>0</v>
      </c>
      <c r="Z318">
        <f>_xlfn.XLOOKUP(B318,CRN!G:G,CRN!U:U,"")</f>
        <v>0</v>
      </c>
      <c r="AA318">
        <f>IF(X318=0,0,_xlfn.XLOOKUP(C318,CLIENT_CODE!B:B,CLIENT_CODE!P:P,0))</f>
        <v>0</v>
      </c>
      <c r="AB318">
        <f>_xlfn.XLOOKUP(B318,CRN!G:G,CRN!V:V,"")</f>
        <v>0</v>
      </c>
      <c r="AC318">
        <f>IF(AB318=0,0,_xlfn.XLOOKUP(C318,CLIENT_CODE!B:B,CLIENT_CODE!R:R,0))</f>
        <v>0</v>
      </c>
      <c r="AD318">
        <f t="shared" si="4"/>
        <v>0</v>
      </c>
    </row>
    <row r="319" spans="1:30">
      <c r="A319" s="42">
        <v>318</v>
      </c>
      <c r="E319">
        <f>IF(D319=0,0,_xlfn.XLOOKUP(C319,CLIENT_CODE!B:B,CLIENT_CODE!F:F,0))</f>
        <v>0</v>
      </c>
      <c r="F319">
        <f>_xlfn.XLOOKUP(B319,CRN!G:G,CRN!K:K,"")</f>
        <v>0</v>
      </c>
      <c r="G319">
        <f>IF(F319=0,0,_xlfn.XLOOKUP(C319,CLIENT_CODE!B:B,CLIENT_CODE!G:G,0))</f>
        <v>0</v>
      </c>
      <c r="H319">
        <f>_xlfn.XLOOKUP(B319,CRN!G:G,CRN!L:L,"")</f>
        <v>0</v>
      </c>
      <c r="I319">
        <f>IF(H319=0,0,_xlfn.XLOOKUP(C319,CLIENT_CODE!B:B,CLIENT_CODE!H:H,0))</f>
        <v>0</v>
      </c>
      <c r="J319">
        <f>_xlfn.XLOOKUP(B319,CRN!G:G,CRN!M:M,"")</f>
        <v>0</v>
      </c>
      <c r="K319">
        <f>IF(J319=0,0,_xlfn.XLOOKUP(C319,CLIENT_CODE!B:B,CLIENT_CODE!I:I,0))</f>
        <v>0</v>
      </c>
      <c r="L319">
        <f>_xlfn.XLOOKUP(B319,CRN!G:G,CRN!N:N,"")</f>
        <v>0</v>
      </c>
      <c r="M319">
        <f>IF(L319=0,0,_xlfn.XLOOKUP(C319,CLIENT_CODE!B:B,CLIENT_CODE!J:J,0))</f>
        <v>0</v>
      </c>
      <c r="N319">
        <f>_xlfn.XLOOKUP(B319,CRN!G:G,CRN!O:O,"")</f>
        <v>0</v>
      </c>
      <c r="O319">
        <f>IF(N319=0,0,_xlfn.XLOOKUP(C319,CLIENT_CODE!B:B,CLIENT_CODE!K:K,0))</f>
        <v>0</v>
      </c>
      <c r="P319">
        <f>_xlfn.XLOOKUP(B319,CRN!G:G,CRN!P:P,"")</f>
        <v>0</v>
      </c>
      <c r="Q319">
        <f>IF(P319=0,0,_xlfn.XLOOKUP(C319,CLIENT_CODE!B:B,CLIENT_CODE!L:L,0))</f>
        <v>0</v>
      </c>
      <c r="R319">
        <f>_xlfn.XLOOKUP(B319,CRN!G:G,CRN!Q:Q,"")</f>
        <v>0</v>
      </c>
      <c r="S319">
        <f>IF(R319=0,0,_xlfn.XLOOKUP(C319,CLIENT_CODE!B:B,CLIENT_CODE!M:M,0))</f>
        <v>0</v>
      </c>
      <c r="T319">
        <f>_xlfn.XLOOKUP(B319,CRN!G:G,CRN!R:R,"")</f>
        <v>0</v>
      </c>
      <c r="U319">
        <f>IF(T319=0,0,_xlfn.XLOOKUP(C319,CLIENT_CODE!B:B,CLIENT_CODE!N:N,0))</f>
        <v>0</v>
      </c>
      <c r="V319">
        <f>_xlfn.XLOOKUP(B319,CRN!G:G,CRN!S:S,"")</f>
        <v>0</v>
      </c>
      <c r="W319">
        <f>IF(V319=0,0,_xlfn.XLOOKUP(C319,CLIENT_CODE!B:B,CLIENT_CODE!O:O,0))</f>
        <v>0</v>
      </c>
      <c r="X319">
        <f>_xlfn.XLOOKUP(B319,CRN!G:G,CRN!T:T,"")</f>
        <v>0</v>
      </c>
      <c r="Y319">
        <f>IF(X319=0,0,_xlfn.XLOOKUP(C319,CLIENT_CODE!B:B,CLIENT_CODE!P:P,0))</f>
        <v>0</v>
      </c>
      <c r="Z319">
        <f>_xlfn.XLOOKUP(B319,CRN!G:G,CRN!U:U,"")</f>
        <v>0</v>
      </c>
      <c r="AA319">
        <f>IF(X319=0,0,_xlfn.XLOOKUP(C319,CLIENT_CODE!B:B,CLIENT_CODE!P:P,0))</f>
        <v>0</v>
      </c>
      <c r="AB319">
        <f>_xlfn.XLOOKUP(B319,CRN!G:G,CRN!V:V,"")</f>
        <v>0</v>
      </c>
      <c r="AC319">
        <f>IF(AB319=0,0,_xlfn.XLOOKUP(C319,CLIENT_CODE!B:B,CLIENT_CODE!R:R,0))</f>
        <v>0</v>
      </c>
      <c r="AD319">
        <f t="shared" si="4"/>
        <v>0</v>
      </c>
    </row>
    <row r="320" spans="1:30">
      <c r="A320" s="42">
        <v>319</v>
      </c>
      <c r="E320">
        <f>IF(D320=0,0,_xlfn.XLOOKUP(C320,CLIENT_CODE!B:B,CLIENT_CODE!F:F,0))</f>
        <v>0</v>
      </c>
      <c r="F320">
        <f>_xlfn.XLOOKUP(B320,CRN!G:G,CRN!K:K,"")</f>
        <v>0</v>
      </c>
      <c r="G320">
        <f>IF(F320=0,0,_xlfn.XLOOKUP(C320,CLIENT_CODE!B:B,CLIENT_CODE!G:G,0))</f>
        <v>0</v>
      </c>
      <c r="H320">
        <f>_xlfn.XLOOKUP(B320,CRN!G:G,CRN!L:L,"")</f>
        <v>0</v>
      </c>
      <c r="I320">
        <f>IF(H320=0,0,_xlfn.XLOOKUP(C320,CLIENT_CODE!B:B,CLIENT_CODE!H:H,0))</f>
        <v>0</v>
      </c>
      <c r="J320">
        <f>_xlfn.XLOOKUP(B320,CRN!G:G,CRN!M:M,"")</f>
        <v>0</v>
      </c>
      <c r="K320">
        <f>IF(J320=0,0,_xlfn.XLOOKUP(C320,CLIENT_CODE!B:B,CLIENT_CODE!I:I,0))</f>
        <v>0</v>
      </c>
      <c r="L320">
        <f>_xlfn.XLOOKUP(B320,CRN!G:G,CRN!N:N,"")</f>
        <v>0</v>
      </c>
      <c r="M320">
        <f>IF(L320=0,0,_xlfn.XLOOKUP(C320,CLIENT_CODE!B:B,CLIENT_CODE!J:J,0))</f>
        <v>0</v>
      </c>
      <c r="N320">
        <f>_xlfn.XLOOKUP(B320,CRN!G:G,CRN!O:O,"")</f>
        <v>0</v>
      </c>
      <c r="O320">
        <f>IF(N320=0,0,_xlfn.XLOOKUP(C320,CLIENT_CODE!B:B,CLIENT_CODE!K:K,0))</f>
        <v>0</v>
      </c>
      <c r="P320">
        <f>_xlfn.XLOOKUP(B320,CRN!G:G,CRN!P:P,"")</f>
        <v>0</v>
      </c>
      <c r="Q320">
        <f>IF(P320=0,0,_xlfn.XLOOKUP(C320,CLIENT_CODE!B:B,CLIENT_CODE!L:L,0))</f>
        <v>0</v>
      </c>
      <c r="R320">
        <f>_xlfn.XLOOKUP(B320,CRN!G:G,CRN!Q:Q,"")</f>
        <v>0</v>
      </c>
      <c r="S320">
        <f>IF(R320=0,0,_xlfn.XLOOKUP(C320,CLIENT_CODE!B:B,CLIENT_CODE!M:M,0))</f>
        <v>0</v>
      </c>
      <c r="T320">
        <f>_xlfn.XLOOKUP(B320,CRN!G:G,CRN!R:R,"")</f>
        <v>0</v>
      </c>
      <c r="U320">
        <f>IF(T320=0,0,_xlfn.XLOOKUP(C320,CLIENT_CODE!B:B,CLIENT_CODE!N:N,0))</f>
        <v>0</v>
      </c>
      <c r="V320">
        <f>_xlfn.XLOOKUP(B320,CRN!G:G,CRN!S:S,"")</f>
        <v>0</v>
      </c>
      <c r="W320">
        <f>IF(V320=0,0,_xlfn.XLOOKUP(C320,CLIENT_CODE!B:B,CLIENT_CODE!O:O,0))</f>
        <v>0</v>
      </c>
      <c r="X320">
        <f>_xlfn.XLOOKUP(B320,CRN!G:G,CRN!T:T,"")</f>
        <v>0</v>
      </c>
      <c r="Y320">
        <f>IF(X320=0,0,_xlfn.XLOOKUP(C320,CLIENT_CODE!B:B,CLIENT_CODE!P:P,0))</f>
        <v>0</v>
      </c>
      <c r="Z320">
        <f>_xlfn.XLOOKUP(B320,CRN!G:G,CRN!U:U,"")</f>
        <v>0</v>
      </c>
      <c r="AA320">
        <f>IF(X320=0,0,_xlfn.XLOOKUP(C320,CLIENT_CODE!B:B,CLIENT_CODE!P:P,0))</f>
        <v>0</v>
      </c>
      <c r="AB320">
        <f>_xlfn.XLOOKUP(B320,CRN!G:G,CRN!V:V,"")</f>
        <v>0</v>
      </c>
      <c r="AC320">
        <f>IF(AB320=0,0,_xlfn.XLOOKUP(C320,CLIENT_CODE!B:B,CLIENT_CODE!R:R,0))</f>
        <v>0</v>
      </c>
      <c r="AD320">
        <f t="shared" si="4"/>
        <v>0</v>
      </c>
    </row>
    <row r="321" spans="1:30">
      <c r="A321" s="42">
        <v>320</v>
      </c>
      <c r="E321">
        <f>IF(D321=0,0,_xlfn.XLOOKUP(C321,CLIENT_CODE!B:B,CLIENT_CODE!F:F,0))</f>
        <v>0</v>
      </c>
      <c r="F321">
        <f>_xlfn.XLOOKUP(B321,CRN!G:G,CRN!K:K,"")</f>
        <v>0</v>
      </c>
      <c r="G321">
        <f>IF(F321=0,0,_xlfn.XLOOKUP(C321,CLIENT_CODE!B:B,CLIENT_CODE!G:G,0))</f>
        <v>0</v>
      </c>
      <c r="H321">
        <f>_xlfn.XLOOKUP(B321,CRN!G:G,CRN!L:L,"")</f>
        <v>0</v>
      </c>
      <c r="I321">
        <f>IF(H321=0,0,_xlfn.XLOOKUP(C321,CLIENT_CODE!B:B,CLIENT_CODE!H:H,0))</f>
        <v>0</v>
      </c>
      <c r="J321">
        <f>_xlfn.XLOOKUP(B321,CRN!G:G,CRN!M:M,"")</f>
        <v>0</v>
      </c>
      <c r="K321">
        <f>IF(J321=0,0,_xlfn.XLOOKUP(C321,CLIENT_CODE!B:B,CLIENT_CODE!I:I,0))</f>
        <v>0</v>
      </c>
      <c r="L321">
        <f>_xlfn.XLOOKUP(B321,CRN!G:G,CRN!N:N,"")</f>
        <v>0</v>
      </c>
      <c r="M321">
        <f>IF(L321=0,0,_xlfn.XLOOKUP(C321,CLIENT_CODE!B:B,CLIENT_CODE!J:J,0))</f>
        <v>0</v>
      </c>
      <c r="N321">
        <f>_xlfn.XLOOKUP(B321,CRN!G:G,CRN!O:O,"")</f>
        <v>0</v>
      </c>
      <c r="O321">
        <f>IF(N321=0,0,_xlfn.XLOOKUP(C321,CLIENT_CODE!B:B,CLIENT_CODE!K:K,0))</f>
        <v>0</v>
      </c>
      <c r="P321">
        <f>_xlfn.XLOOKUP(B321,CRN!G:G,CRN!P:P,"")</f>
        <v>0</v>
      </c>
      <c r="Q321">
        <f>IF(P321=0,0,_xlfn.XLOOKUP(C321,CLIENT_CODE!B:B,CLIENT_CODE!L:L,0))</f>
        <v>0</v>
      </c>
      <c r="R321">
        <f>_xlfn.XLOOKUP(B321,CRN!G:G,CRN!Q:Q,"")</f>
        <v>0</v>
      </c>
      <c r="S321">
        <f>IF(R321=0,0,_xlfn.XLOOKUP(C321,CLIENT_CODE!B:B,CLIENT_CODE!M:M,0))</f>
        <v>0</v>
      </c>
      <c r="T321">
        <f>_xlfn.XLOOKUP(B321,CRN!G:G,CRN!R:R,"")</f>
        <v>0</v>
      </c>
      <c r="U321">
        <f>IF(T321=0,0,_xlfn.XLOOKUP(C321,CLIENT_CODE!B:B,CLIENT_CODE!N:N,0))</f>
        <v>0</v>
      </c>
      <c r="V321">
        <f>_xlfn.XLOOKUP(B321,CRN!G:G,CRN!S:S,"")</f>
        <v>0</v>
      </c>
      <c r="W321">
        <f>IF(V321=0,0,_xlfn.XLOOKUP(C321,CLIENT_CODE!B:B,CLIENT_CODE!O:O,0))</f>
        <v>0</v>
      </c>
      <c r="X321">
        <f>_xlfn.XLOOKUP(B321,CRN!G:G,CRN!T:T,"")</f>
        <v>0</v>
      </c>
      <c r="Y321">
        <f>IF(X321=0,0,_xlfn.XLOOKUP(C321,CLIENT_CODE!B:B,CLIENT_CODE!P:P,0))</f>
        <v>0</v>
      </c>
      <c r="Z321">
        <f>_xlfn.XLOOKUP(B321,CRN!G:G,CRN!U:U,"")</f>
        <v>0</v>
      </c>
      <c r="AA321">
        <f>IF(X321=0,0,_xlfn.XLOOKUP(C321,CLIENT_CODE!B:B,CLIENT_CODE!P:P,0))</f>
        <v>0</v>
      </c>
      <c r="AB321">
        <f>_xlfn.XLOOKUP(B321,CRN!G:G,CRN!V:V,"")</f>
        <v>0</v>
      </c>
      <c r="AC321">
        <f>IF(AB321=0,0,_xlfn.XLOOKUP(C321,CLIENT_CODE!B:B,CLIENT_CODE!R:R,0))</f>
        <v>0</v>
      </c>
      <c r="AD321">
        <f t="shared" si="4"/>
        <v>0</v>
      </c>
    </row>
    <row r="322" spans="1:30">
      <c r="A322" s="42">
        <v>321</v>
      </c>
      <c r="E322">
        <f>IF(D322=0,0,_xlfn.XLOOKUP(C322,CLIENT_CODE!B:B,CLIENT_CODE!F:F,0))</f>
        <v>0</v>
      </c>
      <c r="F322">
        <f>_xlfn.XLOOKUP(B322,CRN!G:G,CRN!K:K,"")</f>
        <v>0</v>
      </c>
      <c r="G322">
        <f>IF(F322=0,0,_xlfn.XLOOKUP(C322,CLIENT_CODE!B:B,CLIENT_CODE!G:G,0))</f>
        <v>0</v>
      </c>
      <c r="H322">
        <f>_xlfn.XLOOKUP(B322,CRN!G:G,CRN!L:L,"")</f>
        <v>0</v>
      </c>
      <c r="I322">
        <f>IF(H322=0,0,_xlfn.XLOOKUP(C322,CLIENT_CODE!B:B,CLIENT_CODE!H:H,0))</f>
        <v>0</v>
      </c>
      <c r="J322">
        <f>_xlfn.XLOOKUP(B322,CRN!G:G,CRN!M:M,"")</f>
        <v>0</v>
      </c>
      <c r="K322">
        <f>IF(J322=0,0,_xlfn.XLOOKUP(C322,CLIENT_CODE!B:B,CLIENT_CODE!I:I,0))</f>
        <v>0</v>
      </c>
      <c r="L322">
        <f>_xlfn.XLOOKUP(B322,CRN!G:G,CRN!N:N,"")</f>
        <v>0</v>
      </c>
      <c r="M322">
        <f>IF(L322=0,0,_xlfn.XLOOKUP(C322,CLIENT_CODE!B:B,CLIENT_CODE!J:J,0))</f>
        <v>0</v>
      </c>
      <c r="N322">
        <f>_xlfn.XLOOKUP(B322,CRN!G:G,CRN!O:O,"")</f>
        <v>0</v>
      </c>
      <c r="O322">
        <f>IF(N322=0,0,_xlfn.XLOOKUP(C322,CLIENT_CODE!B:B,CLIENT_CODE!K:K,0))</f>
        <v>0</v>
      </c>
      <c r="P322">
        <f>_xlfn.XLOOKUP(B322,CRN!G:G,CRN!P:P,"")</f>
        <v>0</v>
      </c>
      <c r="Q322">
        <f>IF(P322=0,0,_xlfn.XLOOKUP(C322,CLIENT_CODE!B:B,CLIENT_CODE!L:L,0))</f>
        <v>0</v>
      </c>
      <c r="R322">
        <f>_xlfn.XLOOKUP(B322,CRN!G:G,CRN!Q:Q,"")</f>
        <v>0</v>
      </c>
      <c r="S322">
        <f>IF(R322=0,0,_xlfn.XLOOKUP(C322,CLIENT_CODE!B:B,CLIENT_CODE!M:M,0))</f>
        <v>0</v>
      </c>
      <c r="T322">
        <f>_xlfn.XLOOKUP(B322,CRN!G:G,CRN!R:R,"")</f>
        <v>0</v>
      </c>
      <c r="U322">
        <f>IF(T322=0,0,_xlfn.XLOOKUP(C322,CLIENT_CODE!B:B,CLIENT_CODE!N:N,0))</f>
        <v>0</v>
      </c>
      <c r="V322">
        <f>_xlfn.XLOOKUP(B322,CRN!G:G,CRN!S:S,"")</f>
        <v>0</v>
      </c>
      <c r="W322">
        <f>IF(V322=0,0,_xlfn.XLOOKUP(C322,CLIENT_CODE!B:B,CLIENT_CODE!O:O,0))</f>
        <v>0</v>
      </c>
      <c r="X322">
        <f>_xlfn.XLOOKUP(B322,CRN!G:G,CRN!T:T,"")</f>
        <v>0</v>
      </c>
      <c r="Y322">
        <f>IF(X322=0,0,_xlfn.XLOOKUP(C322,CLIENT_CODE!B:B,CLIENT_CODE!P:P,0))</f>
        <v>0</v>
      </c>
      <c r="Z322">
        <f>_xlfn.XLOOKUP(B322,CRN!G:G,CRN!U:U,"")</f>
        <v>0</v>
      </c>
      <c r="AA322">
        <f>IF(X322=0,0,_xlfn.XLOOKUP(C322,CLIENT_CODE!B:B,CLIENT_CODE!P:P,0))</f>
        <v>0</v>
      </c>
      <c r="AB322">
        <f>_xlfn.XLOOKUP(B322,CRN!G:G,CRN!V:V,"")</f>
        <v>0</v>
      </c>
      <c r="AC322">
        <f>IF(AB322=0,0,_xlfn.XLOOKUP(C322,CLIENT_CODE!B:B,CLIENT_CODE!R:R,0))</f>
        <v>0</v>
      </c>
      <c r="AD322">
        <f t="shared" si="4"/>
        <v>0</v>
      </c>
    </row>
    <row r="323" spans="1:30">
      <c r="A323" s="42">
        <v>322</v>
      </c>
      <c r="E323">
        <f>IF(D323=0,0,_xlfn.XLOOKUP(C323,CLIENT_CODE!B:B,CLIENT_CODE!F:F,0))</f>
        <v>0</v>
      </c>
      <c r="F323">
        <f>_xlfn.XLOOKUP(B323,CRN!G:G,CRN!K:K,"")</f>
        <v>0</v>
      </c>
      <c r="G323">
        <f>IF(F323=0,0,_xlfn.XLOOKUP(C323,CLIENT_CODE!B:B,CLIENT_CODE!G:G,0))</f>
        <v>0</v>
      </c>
      <c r="H323">
        <f>_xlfn.XLOOKUP(B323,CRN!G:G,CRN!L:L,"")</f>
        <v>0</v>
      </c>
      <c r="I323">
        <f>IF(H323=0,0,_xlfn.XLOOKUP(C323,CLIENT_CODE!B:B,CLIENT_CODE!H:H,0))</f>
        <v>0</v>
      </c>
      <c r="J323">
        <f>_xlfn.XLOOKUP(B323,CRN!G:G,CRN!M:M,"")</f>
        <v>0</v>
      </c>
      <c r="K323">
        <f>IF(J323=0,0,_xlfn.XLOOKUP(C323,CLIENT_CODE!B:B,CLIENT_CODE!I:I,0))</f>
        <v>0</v>
      </c>
      <c r="L323">
        <f>_xlfn.XLOOKUP(B323,CRN!G:G,CRN!N:N,"")</f>
        <v>0</v>
      </c>
      <c r="M323">
        <f>IF(L323=0,0,_xlfn.XLOOKUP(C323,CLIENT_CODE!B:B,CLIENT_CODE!J:J,0))</f>
        <v>0</v>
      </c>
      <c r="N323">
        <f>_xlfn.XLOOKUP(B323,CRN!G:G,CRN!O:O,"")</f>
        <v>0</v>
      </c>
      <c r="O323">
        <f>IF(N323=0,0,_xlfn.XLOOKUP(C323,CLIENT_CODE!B:B,CLIENT_CODE!K:K,0))</f>
        <v>0</v>
      </c>
      <c r="P323">
        <f>_xlfn.XLOOKUP(B323,CRN!G:G,CRN!P:P,"")</f>
        <v>0</v>
      </c>
      <c r="Q323">
        <f>IF(P323=0,0,_xlfn.XLOOKUP(C323,CLIENT_CODE!B:B,CLIENT_CODE!L:L,0))</f>
        <v>0</v>
      </c>
      <c r="R323">
        <f>_xlfn.XLOOKUP(B323,CRN!G:G,CRN!Q:Q,"")</f>
        <v>0</v>
      </c>
      <c r="S323">
        <f>IF(R323=0,0,_xlfn.XLOOKUP(C323,CLIENT_CODE!B:B,CLIENT_CODE!M:M,0))</f>
        <v>0</v>
      </c>
      <c r="T323">
        <f>_xlfn.XLOOKUP(B323,CRN!G:G,CRN!R:R,"")</f>
        <v>0</v>
      </c>
      <c r="U323">
        <f>IF(T323=0,0,_xlfn.XLOOKUP(C323,CLIENT_CODE!B:B,CLIENT_CODE!N:N,0))</f>
        <v>0</v>
      </c>
      <c r="V323">
        <f>_xlfn.XLOOKUP(B323,CRN!G:G,CRN!S:S,"")</f>
        <v>0</v>
      </c>
      <c r="W323">
        <f>IF(V323=0,0,_xlfn.XLOOKUP(C323,CLIENT_CODE!B:B,CLIENT_CODE!O:O,0))</f>
        <v>0</v>
      </c>
      <c r="X323">
        <f>_xlfn.XLOOKUP(B323,CRN!G:G,CRN!T:T,"")</f>
        <v>0</v>
      </c>
      <c r="Y323">
        <f>IF(X323=0,0,_xlfn.XLOOKUP(C323,CLIENT_CODE!B:B,CLIENT_CODE!P:P,0))</f>
        <v>0</v>
      </c>
      <c r="Z323">
        <f>_xlfn.XLOOKUP(B323,CRN!G:G,CRN!U:U,"")</f>
        <v>0</v>
      </c>
      <c r="AA323">
        <f>IF(X323=0,0,_xlfn.XLOOKUP(C323,CLIENT_CODE!B:B,CLIENT_CODE!P:P,0))</f>
        <v>0</v>
      </c>
      <c r="AB323">
        <f>_xlfn.XLOOKUP(B323,CRN!G:G,CRN!V:V,"")</f>
        <v>0</v>
      </c>
      <c r="AC323">
        <f>IF(AB323=0,0,_xlfn.XLOOKUP(C323,CLIENT_CODE!B:B,CLIENT_CODE!R:R,0))</f>
        <v>0</v>
      </c>
      <c r="AD323">
        <f t="shared" ref="AD323:AD386" si="5">SUM(E323,G323,I323,K323,M323,O323,Q323,S323,U323,W323,Y323,AA323,AC323,)</f>
        <v>0</v>
      </c>
    </row>
    <row r="324" spans="1:30">
      <c r="A324" s="42">
        <v>323</v>
      </c>
      <c r="E324">
        <f>IF(D324=0,0,_xlfn.XLOOKUP(C324,CLIENT_CODE!B:B,CLIENT_CODE!F:F,0))</f>
        <v>0</v>
      </c>
      <c r="F324">
        <f>_xlfn.XLOOKUP(B324,CRN!G:G,CRN!K:K,"")</f>
        <v>0</v>
      </c>
      <c r="G324">
        <f>IF(F324=0,0,_xlfn.XLOOKUP(C324,CLIENT_CODE!B:B,CLIENT_CODE!G:G,0))</f>
        <v>0</v>
      </c>
      <c r="H324">
        <f>_xlfn.XLOOKUP(B324,CRN!G:G,CRN!L:L,"")</f>
        <v>0</v>
      </c>
      <c r="I324">
        <f>IF(H324=0,0,_xlfn.XLOOKUP(C324,CLIENT_CODE!B:B,CLIENT_CODE!H:H,0))</f>
        <v>0</v>
      </c>
      <c r="J324">
        <f>_xlfn.XLOOKUP(B324,CRN!G:G,CRN!M:M,"")</f>
        <v>0</v>
      </c>
      <c r="K324">
        <f>IF(J324=0,0,_xlfn.XLOOKUP(C324,CLIENT_CODE!B:B,CLIENT_CODE!I:I,0))</f>
        <v>0</v>
      </c>
      <c r="L324">
        <f>_xlfn.XLOOKUP(B324,CRN!G:G,CRN!N:N,"")</f>
        <v>0</v>
      </c>
      <c r="M324">
        <f>IF(L324=0,0,_xlfn.XLOOKUP(C324,CLIENT_CODE!B:B,CLIENT_CODE!J:J,0))</f>
        <v>0</v>
      </c>
      <c r="N324">
        <f>_xlfn.XLOOKUP(B324,CRN!G:G,CRN!O:O,"")</f>
        <v>0</v>
      </c>
      <c r="O324">
        <f>IF(N324=0,0,_xlfn.XLOOKUP(C324,CLIENT_CODE!B:B,CLIENT_CODE!K:K,0))</f>
        <v>0</v>
      </c>
      <c r="P324">
        <f>_xlfn.XLOOKUP(B324,CRN!G:G,CRN!P:P,"")</f>
        <v>0</v>
      </c>
      <c r="Q324">
        <f>IF(P324=0,0,_xlfn.XLOOKUP(C324,CLIENT_CODE!B:B,CLIENT_CODE!L:L,0))</f>
        <v>0</v>
      </c>
      <c r="R324">
        <f>_xlfn.XLOOKUP(B324,CRN!G:G,CRN!Q:Q,"")</f>
        <v>0</v>
      </c>
      <c r="S324">
        <f>IF(R324=0,0,_xlfn.XLOOKUP(C324,CLIENT_CODE!B:B,CLIENT_CODE!M:M,0))</f>
        <v>0</v>
      </c>
      <c r="T324">
        <f>_xlfn.XLOOKUP(B324,CRN!G:G,CRN!R:R,"")</f>
        <v>0</v>
      </c>
      <c r="U324">
        <f>IF(T324=0,0,_xlfn.XLOOKUP(C324,CLIENT_CODE!B:B,CLIENT_CODE!N:N,0))</f>
        <v>0</v>
      </c>
      <c r="V324">
        <f>_xlfn.XLOOKUP(B324,CRN!G:G,CRN!S:S,"")</f>
        <v>0</v>
      </c>
      <c r="W324">
        <f>IF(V324=0,0,_xlfn.XLOOKUP(C324,CLIENT_CODE!B:B,CLIENT_CODE!O:O,0))</f>
        <v>0</v>
      </c>
      <c r="X324">
        <f>_xlfn.XLOOKUP(B324,CRN!G:G,CRN!T:T,"")</f>
        <v>0</v>
      </c>
      <c r="Y324">
        <f>IF(X324=0,0,_xlfn.XLOOKUP(C324,CLIENT_CODE!B:B,CLIENT_CODE!P:P,0))</f>
        <v>0</v>
      </c>
      <c r="Z324">
        <f>_xlfn.XLOOKUP(B324,CRN!G:G,CRN!U:U,"")</f>
        <v>0</v>
      </c>
      <c r="AA324">
        <f>IF(X324=0,0,_xlfn.XLOOKUP(C324,CLIENT_CODE!B:B,CLIENT_CODE!P:P,0))</f>
        <v>0</v>
      </c>
      <c r="AB324">
        <f>_xlfn.XLOOKUP(B324,CRN!G:G,CRN!V:V,"")</f>
        <v>0</v>
      </c>
      <c r="AC324">
        <f>IF(AB324=0,0,_xlfn.XLOOKUP(C324,CLIENT_CODE!B:B,CLIENT_CODE!R:R,0))</f>
        <v>0</v>
      </c>
      <c r="AD324">
        <f t="shared" si="5"/>
        <v>0</v>
      </c>
    </row>
    <row r="325" spans="1:30">
      <c r="A325" s="42">
        <v>324</v>
      </c>
      <c r="E325">
        <f>IF(D325=0,0,_xlfn.XLOOKUP(C325,CLIENT_CODE!B:B,CLIENT_CODE!F:F,0))</f>
        <v>0</v>
      </c>
      <c r="F325">
        <f>_xlfn.XLOOKUP(B325,CRN!G:G,CRN!K:K,"")</f>
        <v>0</v>
      </c>
      <c r="G325">
        <f>IF(F325=0,0,_xlfn.XLOOKUP(C325,CLIENT_CODE!B:B,CLIENT_CODE!G:G,0))</f>
        <v>0</v>
      </c>
      <c r="H325">
        <f>_xlfn.XLOOKUP(B325,CRN!G:G,CRN!L:L,"")</f>
        <v>0</v>
      </c>
      <c r="I325">
        <f>IF(H325=0,0,_xlfn.XLOOKUP(C325,CLIENT_CODE!B:B,CLIENT_CODE!H:H,0))</f>
        <v>0</v>
      </c>
      <c r="J325">
        <f>_xlfn.XLOOKUP(B325,CRN!G:G,CRN!M:M,"")</f>
        <v>0</v>
      </c>
      <c r="K325">
        <f>IF(J325=0,0,_xlfn.XLOOKUP(C325,CLIENT_CODE!B:B,CLIENT_CODE!I:I,0))</f>
        <v>0</v>
      </c>
      <c r="L325">
        <f>_xlfn.XLOOKUP(B325,CRN!G:G,CRN!N:N,"")</f>
        <v>0</v>
      </c>
      <c r="M325">
        <f>IF(L325=0,0,_xlfn.XLOOKUP(C325,CLIENT_CODE!B:B,CLIENT_CODE!J:J,0))</f>
        <v>0</v>
      </c>
      <c r="N325">
        <f>_xlfn.XLOOKUP(B325,CRN!G:G,CRN!O:O,"")</f>
        <v>0</v>
      </c>
      <c r="O325">
        <f>IF(N325=0,0,_xlfn.XLOOKUP(C325,CLIENT_CODE!B:B,CLIENT_CODE!K:K,0))</f>
        <v>0</v>
      </c>
      <c r="P325">
        <f>_xlfn.XLOOKUP(B325,CRN!G:G,CRN!P:P,"")</f>
        <v>0</v>
      </c>
      <c r="Q325">
        <f>IF(P325=0,0,_xlfn.XLOOKUP(C325,CLIENT_CODE!B:B,CLIENT_CODE!L:L,0))</f>
        <v>0</v>
      </c>
      <c r="R325">
        <f>_xlfn.XLOOKUP(B325,CRN!G:G,CRN!Q:Q,"")</f>
        <v>0</v>
      </c>
      <c r="S325">
        <f>IF(R325=0,0,_xlfn.XLOOKUP(C325,CLIENT_CODE!B:B,CLIENT_CODE!M:M,0))</f>
        <v>0</v>
      </c>
      <c r="T325">
        <f>_xlfn.XLOOKUP(B325,CRN!G:G,CRN!R:R,"")</f>
        <v>0</v>
      </c>
      <c r="U325">
        <f>IF(T325=0,0,_xlfn.XLOOKUP(C325,CLIENT_CODE!B:B,CLIENT_CODE!N:N,0))</f>
        <v>0</v>
      </c>
      <c r="V325">
        <f>_xlfn.XLOOKUP(B325,CRN!G:G,CRN!S:S,"")</f>
        <v>0</v>
      </c>
      <c r="W325">
        <f>IF(V325=0,0,_xlfn.XLOOKUP(C325,CLIENT_CODE!B:B,CLIENT_CODE!O:O,0))</f>
        <v>0</v>
      </c>
      <c r="X325">
        <f>_xlfn.XLOOKUP(B325,CRN!G:G,CRN!T:T,"")</f>
        <v>0</v>
      </c>
      <c r="Y325">
        <f>IF(X325=0,0,_xlfn.XLOOKUP(C325,CLIENT_CODE!B:B,CLIENT_CODE!P:P,0))</f>
        <v>0</v>
      </c>
      <c r="Z325">
        <f>_xlfn.XLOOKUP(B325,CRN!G:G,CRN!U:U,"")</f>
        <v>0</v>
      </c>
      <c r="AA325">
        <f>IF(X325=0,0,_xlfn.XLOOKUP(C325,CLIENT_CODE!B:B,CLIENT_CODE!P:P,0))</f>
        <v>0</v>
      </c>
      <c r="AB325">
        <f>_xlfn.XLOOKUP(B325,CRN!G:G,CRN!V:V,"")</f>
        <v>0</v>
      </c>
      <c r="AC325">
        <f>IF(AB325=0,0,_xlfn.XLOOKUP(C325,CLIENT_CODE!B:B,CLIENT_CODE!R:R,0))</f>
        <v>0</v>
      </c>
      <c r="AD325">
        <f t="shared" si="5"/>
        <v>0</v>
      </c>
    </row>
    <row r="326" spans="1:30">
      <c r="A326" s="42">
        <v>325</v>
      </c>
      <c r="E326">
        <f>IF(D326=0,0,_xlfn.XLOOKUP(C326,CLIENT_CODE!B:B,CLIENT_CODE!F:F,0))</f>
        <v>0</v>
      </c>
      <c r="F326">
        <f>_xlfn.XLOOKUP(B326,CRN!G:G,CRN!K:K,"")</f>
        <v>0</v>
      </c>
      <c r="G326">
        <f>IF(F326=0,0,_xlfn.XLOOKUP(C326,CLIENT_CODE!B:B,CLIENT_CODE!G:G,0))</f>
        <v>0</v>
      </c>
      <c r="H326">
        <f>_xlfn.XLOOKUP(B326,CRN!G:G,CRN!L:L,"")</f>
        <v>0</v>
      </c>
      <c r="I326">
        <f>IF(H326=0,0,_xlfn.XLOOKUP(C326,CLIENT_CODE!B:B,CLIENT_CODE!H:H,0))</f>
        <v>0</v>
      </c>
      <c r="J326">
        <f>_xlfn.XLOOKUP(B326,CRN!G:G,CRN!M:M,"")</f>
        <v>0</v>
      </c>
      <c r="K326">
        <f>IF(J326=0,0,_xlfn.XLOOKUP(C326,CLIENT_CODE!B:B,CLIENT_CODE!I:I,0))</f>
        <v>0</v>
      </c>
      <c r="L326">
        <f>_xlfn.XLOOKUP(B326,CRN!G:G,CRN!N:N,"")</f>
        <v>0</v>
      </c>
      <c r="M326">
        <f>IF(L326=0,0,_xlfn.XLOOKUP(C326,CLIENT_CODE!B:B,CLIENT_CODE!J:J,0))</f>
        <v>0</v>
      </c>
      <c r="N326">
        <f>_xlfn.XLOOKUP(B326,CRN!G:G,CRN!O:O,"")</f>
        <v>0</v>
      </c>
      <c r="O326">
        <f>IF(N326=0,0,_xlfn.XLOOKUP(C326,CLIENT_CODE!B:B,CLIENT_CODE!K:K,0))</f>
        <v>0</v>
      </c>
      <c r="P326">
        <f>_xlfn.XLOOKUP(B326,CRN!G:G,CRN!P:P,"")</f>
        <v>0</v>
      </c>
      <c r="Q326">
        <f>IF(P326=0,0,_xlfn.XLOOKUP(C326,CLIENT_CODE!B:B,CLIENT_CODE!L:L,0))</f>
        <v>0</v>
      </c>
      <c r="R326">
        <f>_xlfn.XLOOKUP(B326,CRN!G:G,CRN!Q:Q,"")</f>
        <v>0</v>
      </c>
      <c r="S326">
        <f>IF(R326=0,0,_xlfn.XLOOKUP(C326,CLIENT_CODE!B:B,CLIENT_CODE!M:M,0))</f>
        <v>0</v>
      </c>
      <c r="T326">
        <f>_xlfn.XLOOKUP(B326,CRN!G:G,CRN!R:R,"")</f>
        <v>0</v>
      </c>
      <c r="U326">
        <f>IF(T326=0,0,_xlfn.XLOOKUP(C326,CLIENT_CODE!B:B,CLIENT_CODE!N:N,0))</f>
        <v>0</v>
      </c>
      <c r="V326">
        <f>_xlfn.XLOOKUP(B326,CRN!G:G,CRN!S:S,"")</f>
        <v>0</v>
      </c>
      <c r="W326">
        <f>IF(V326=0,0,_xlfn.XLOOKUP(C326,CLIENT_CODE!B:B,CLIENT_CODE!O:O,0))</f>
        <v>0</v>
      </c>
      <c r="X326">
        <f>_xlfn.XLOOKUP(B326,CRN!G:G,CRN!T:T,"")</f>
        <v>0</v>
      </c>
      <c r="Y326">
        <f>IF(X326=0,0,_xlfn.XLOOKUP(C326,CLIENT_CODE!B:B,CLIENT_CODE!P:P,0))</f>
        <v>0</v>
      </c>
      <c r="Z326">
        <f>_xlfn.XLOOKUP(B326,CRN!G:G,CRN!U:U,"")</f>
        <v>0</v>
      </c>
      <c r="AA326">
        <f>IF(X326=0,0,_xlfn.XLOOKUP(C326,CLIENT_CODE!B:B,CLIENT_CODE!P:P,0))</f>
        <v>0</v>
      </c>
      <c r="AB326">
        <f>_xlfn.XLOOKUP(B326,CRN!G:G,CRN!V:V,"")</f>
        <v>0</v>
      </c>
      <c r="AC326">
        <f>IF(AB326=0,0,_xlfn.XLOOKUP(C326,CLIENT_CODE!B:B,CLIENT_CODE!R:R,0))</f>
        <v>0</v>
      </c>
      <c r="AD326">
        <f t="shared" si="5"/>
        <v>0</v>
      </c>
    </row>
    <row r="327" spans="1:30">
      <c r="A327" s="42">
        <v>326</v>
      </c>
      <c r="E327">
        <f>IF(D327=0,0,_xlfn.XLOOKUP(C327,CLIENT_CODE!B:B,CLIENT_CODE!F:F,0))</f>
        <v>0</v>
      </c>
      <c r="F327">
        <f>_xlfn.XLOOKUP(B327,CRN!G:G,CRN!K:K,"")</f>
        <v>0</v>
      </c>
      <c r="G327">
        <f>IF(F327=0,0,_xlfn.XLOOKUP(C327,CLIENT_CODE!B:B,CLIENT_CODE!G:G,0))</f>
        <v>0</v>
      </c>
      <c r="H327">
        <f>_xlfn.XLOOKUP(B327,CRN!G:G,CRN!L:L,"")</f>
        <v>0</v>
      </c>
      <c r="I327">
        <f>IF(H327=0,0,_xlfn.XLOOKUP(C327,CLIENT_CODE!B:B,CLIENT_CODE!H:H,0))</f>
        <v>0</v>
      </c>
      <c r="J327">
        <f>_xlfn.XLOOKUP(B327,CRN!G:G,CRN!M:M,"")</f>
        <v>0</v>
      </c>
      <c r="K327">
        <f>IF(J327=0,0,_xlfn.XLOOKUP(C327,CLIENT_CODE!B:B,CLIENT_CODE!I:I,0))</f>
        <v>0</v>
      </c>
      <c r="L327">
        <f>_xlfn.XLOOKUP(B327,CRN!G:G,CRN!N:N,"")</f>
        <v>0</v>
      </c>
      <c r="M327">
        <f>IF(L327=0,0,_xlfn.XLOOKUP(C327,CLIENT_CODE!B:B,CLIENT_CODE!J:J,0))</f>
        <v>0</v>
      </c>
      <c r="N327">
        <f>_xlfn.XLOOKUP(B327,CRN!G:G,CRN!O:O,"")</f>
        <v>0</v>
      </c>
      <c r="O327">
        <f>IF(N327=0,0,_xlfn.XLOOKUP(C327,CLIENT_CODE!B:B,CLIENT_CODE!K:K,0))</f>
        <v>0</v>
      </c>
      <c r="P327">
        <f>_xlfn.XLOOKUP(B327,CRN!G:G,CRN!P:P,"")</f>
        <v>0</v>
      </c>
      <c r="Q327">
        <f>IF(P327=0,0,_xlfn.XLOOKUP(C327,CLIENT_CODE!B:B,CLIENT_CODE!L:L,0))</f>
        <v>0</v>
      </c>
      <c r="R327">
        <f>_xlfn.XLOOKUP(B327,CRN!G:G,CRN!Q:Q,"")</f>
        <v>0</v>
      </c>
      <c r="S327">
        <f>IF(R327=0,0,_xlfn.XLOOKUP(C327,CLIENT_CODE!B:B,CLIENT_CODE!M:M,0))</f>
        <v>0</v>
      </c>
      <c r="T327">
        <f>_xlfn.XLOOKUP(B327,CRN!G:G,CRN!R:R,"")</f>
        <v>0</v>
      </c>
      <c r="U327">
        <f>IF(T327=0,0,_xlfn.XLOOKUP(C327,CLIENT_CODE!B:B,CLIENT_CODE!N:N,0))</f>
        <v>0</v>
      </c>
      <c r="V327">
        <f>_xlfn.XLOOKUP(B327,CRN!G:G,CRN!S:S,"")</f>
        <v>0</v>
      </c>
      <c r="W327">
        <f>IF(V327=0,0,_xlfn.XLOOKUP(C327,CLIENT_CODE!B:B,CLIENT_CODE!O:O,0))</f>
        <v>0</v>
      </c>
      <c r="X327">
        <f>_xlfn.XLOOKUP(B327,CRN!G:G,CRN!T:T,"")</f>
        <v>0</v>
      </c>
      <c r="Y327">
        <f>IF(X327=0,0,_xlfn.XLOOKUP(C327,CLIENT_CODE!B:B,CLIENT_CODE!P:P,0))</f>
        <v>0</v>
      </c>
      <c r="Z327">
        <f>_xlfn.XLOOKUP(B327,CRN!G:G,CRN!U:U,"")</f>
        <v>0</v>
      </c>
      <c r="AA327">
        <f>IF(X327=0,0,_xlfn.XLOOKUP(C327,CLIENT_CODE!B:B,CLIENT_CODE!P:P,0))</f>
        <v>0</v>
      </c>
      <c r="AB327">
        <f>_xlfn.XLOOKUP(B327,CRN!G:G,CRN!V:V,"")</f>
        <v>0</v>
      </c>
      <c r="AC327">
        <f>IF(AB327=0,0,_xlfn.XLOOKUP(C327,CLIENT_CODE!B:B,CLIENT_CODE!R:R,0))</f>
        <v>0</v>
      </c>
      <c r="AD327">
        <f t="shared" si="5"/>
        <v>0</v>
      </c>
    </row>
    <row r="328" spans="1:30">
      <c r="A328" s="42">
        <v>327</v>
      </c>
      <c r="E328">
        <f>IF(D328=0,0,_xlfn.XLOOKUP(C328,CLIENT_CODE!B:B,CLIENT_CODE!F:F,0))</f>
        <v>0</v>
      </c>
      <c r="F328">
        <f>_xlfn.XLOOKUP(B328,CRN!G:G,CRN!K:K,"")</f>
        <v>0</v>
      </c>
      <c r="G328">
        <f>IF(F328=0,0,_xlfn.XLOOKUP(C328,CLIENT_CODE!B:B,CLIENT_CODE!G:G,0))</f>
        <v>0</v>
      </c>
      <c r="H328">
        <f>_xlfn.XLOOKUP(B328,CRN!G:G,CRN!L:L,"")</f>
        <v>0</v>
      </c>
      <c r="I328">
        <f>IF(H328=0,0,_xlfn.XLOOKUP(C328,CLIENT_CODE!B:B,CLIENT_CODE!H:H,0))</f>
        <v>0</v>
      </c>
      <c r="J328">
        <f>_xlfn.XLOOKUP(B328,CRN!G:G,CRN!M:M,"")</f>
        <v>0</v>
      </c>
      <c r="K328">
        <f>IF(J328=0,0,_xlfn.XLOOKUP(C328,CLIENT_CODE!B:B,CLIENT_CODE!I:I,0))</f>
        <v>0</v>
      </c>
      <c r="L328">
        <f>_xlfn.XLOOKUP(B328,CRN!G:G,CRN!N:N,"")</f>
        <v>0</v>
      </c>
      <c r="M328">
        <f>IF(L328=0,0,_xlfn.XLOOKUP(C328,CLIENT_CODE!B:B,CLIENT_CODE!J:J,0))</f>
        <v>0</v>
      </c>
      <c r="N328">
        <f>_xlfn.XLOOKUP(B328,CRN!G:G,CRN!O:O,"")</f>
        <v>0</v>
      </c>
      <c r="O328">
        <f>IF(N328=0,0,_xlfn.XLOOKUP(C328,CLIENT_CODE!B:B,CLIENT_CODE!K:K,0))</f>
        <v>0</v>
      </c>
      <c r="P328">
        <f>_xlfn.XLOOKUP(B328,CRN!G:G,CRN!P:P,"")</f>
        <v>0</v>
      </c>
      <c r="Q328">
        <f>IF(P328=0,0,_xlfn.XLOOKUP(C328,CLIENT_CODE!B:B,CLIENT_CODE!L:L,0))</f>
        <v>0</v>
      </c>
      <c r="R328">
        <f>_xlfn.XLOOKUP(B328,CRN!G:G,CRN!Q:Q,"")</f>
        <v>0</v>
      </c>
      <c r="S328">
        <f>IF(R328=0,0,_xlfn.XLOOKUP(C328,CLIENT_CODE!B:B,CLIENT_CODE!M:M,0))</f>
        <v>0</v>
      </c>
      <c r="T328">
        <f>_xlfn.XLOOKUP(B328,CRN!G:G,CRN!R:R,"")</f>
        <v>0</v>
      </c>
      <c r="U328">
        <f>IF(T328=0,0,_xlfn.XLOOKUP(C328,CLIENT_CODE!B:B,CLIENT_CODE!N:N,0))</f>
        <v>0</v>
      </c>
      <c r="V328">
        <f>_xlfn.XLOOKUP(B328,CRN!G:G,CRN!S:S,"")</f>
        <v>0</v>
      </c>
      <c r="W328">
        <f>IF(V328=0,0,_xlfn.XLOOKUP(C328,CLIENT_CODE!B:B,CLIENT_CODE!O:O,0))</f>
        <v>0</v>
      </c>
      <c r="X328">
        <f>_xlfn.XLOOKUP(B328,CRN!G:G,CRN!T:T,"")</f>
        <v>0</v>
      </c>
      <c r="Y328">
        <f>IF(X328=0,0,_xlfn.XLOOKUP(C328,CLIENT_CODE!B:B,CLIENT_CODE!P:P,0))</f>
        <v>0</v>
      </c>
      <c r="Z328">
        <f>_xlfn.XLOOKUP(B328,CRN!G:G,CRN!U:U,"")</f>
        <v>0</v>
      </c>
      <c r="AA328">
        <f>IF(X328=0,0,_xlfn.XLOOKUP(C328,CLIENT_CODE!B:B,CLIENT_CODE!P:P,0))</f>
        <v>0</v>
      </c>
      <c r="AB328">
        <f>_xlfn.XLOOKUP(B328,CRN!G:G,CRN!V:V,"")</f>
        <v>0</v>
      </c>
      <c r="AC328">
        <f>IF(AB328=0,0,_xlfn.XLOOKUP(C328,CLIENT_CODE!B:B,CLIENT_CODE!R:R,0))</f>
        <v>0</v>
      </c>
      <c r="AD328">
        <f t="shared" si="5"/>
        <v>0</v>
      </c>
    </row>
    <row r="329" spans="1:30">
      <c r="A329" s="42">
        <v>328</v>
      </c>
      <c r="E329">
        <f>IF(D329=0,0,_xlfn.XLOOKUP(C329,CLIENT_CODE!B:B,CLIENT_CODE!F:F,0))</f>
        <v>0</v>
      </c>
      <c r="F329">
        <f>_xlfn.XLOOKUP(B329,CRN!G:G,CRN!K:K,"")</f>
        <v>0</v>
      </c>
      <c r="G329">
        <f>IF(F329=0,0,_xlfn.XLOOKUP(C329,CLIENT_CODE!B:B,CLIENT_CODE!G:G,0))</f>
        <v>0</v>
      </c>
      <c r="H329">
        <f>_xlfn.XLOOKUP(B329,CRN!G:G,CRN!L:L,"")</f>
        <v>0</v>
      </c>
      <c r="I329">
        <f>IF(H329=0,0,_xlfn.XLOOKUP(C329,CLIENT_CODE!B:B,CLIENT_CODE!H:H,0))</f>
        <v>0</v>
      </c>
      <c r="J329">
        <f>_xlfn.XLOOKUP(B329,CRN!G:G,CRN!M:M,"")</f>
        <v>0</v>
      </c>
      <c r="K329">
        <f>IF(J329=0,0,_xlfn.XLOOKUP(C329,CLIENT_CODE!B:B,CLIENT_CODE!I:I,0))</f>
        <v>0</v>
      </c>
      <c r="L329">
        <f>_xlfn.XLOOKUP(B329,CRN!G:G,CRN!N:N,"")</f>
        <v>0</v>
      </c>
      <c r="M329">
        <f>IF(L329=0,0,_xlfn.XLOOKUP(C329,CLIENT_CODE!B:B,CLIENT_CODE!J:J,0))</f>
        <v>0</v>
      </c>
      <c r="N329">
        <f>_xlfn.XLOOKUP(B329,CRN!G:G,CRN!O:O,"")</f>
        <v>0</v>
      </c>
      <c r="O329">
        <f>IF(N329=0,0,_xlfn.XLOOKUP(C329,CLIENT_CODE!B:B,CLIENT_CODE!K:K,0))</f>
        <v>0</v>
      </c>
      <c r="P329">
        <f>_xlfn.XLOOKUP(B329,CRN!G:G,CRN!P:P,"")</f>
        <v>0</v>
      </c>
      <c r="Q329">
        <f>IF(P329=0,0,_xlfn.XLOOKUP(C329,CLIENT_CODE!B:B,CLIENT_CODE!L:L,0))</f>
        <v>0</v>
      </c>
      <c r="R329">
        <f>_xlfn.XLOOKUP(B329,CRN!G:G,CRN!Q:Q,"")</f>
        <v>0</v>
      </c>
      <c r="S329">
        <f>IF(R329=0,0,_xlfn.XLOOKUP(C329,CLIENT_CODE!B:B,CLIENT_CODE!M:M,0))</f>
        <v>0</v>
      </c>
      <c r="T329">
        <f>_xlfn.XLOOKUP(B329,CRN!G:G,CRN!R:R,"")</f>
        <v>0</v>
      </c>
      <c r="U329">
        <f>IF(T329=0,0,_xlfn.XLOOKUP(C329,CLIENT_CODE!B:B,CLIENT_CODE!N:N,0))</f>
        <v>0</v>
      </c>
      <c r="V329">
        <f>_xlfn.XLOOKUP(B329,CRN!G:G,CRN!S:S,"")</f>
        <v>0</v>
      </c>
      <c r="W329">
        <f>IF(V329=0,0,_xlfn.XLOOKUP(C329,CLIENT_CODE!B:B,CLIENT_CODE!O:O,0))</f>
        <v>0</v>
      </c>
      <c r="X329">
        <f>_xlfn.XLOOKUP(B329,CRN!G:G,CRN!T:T,"")</f>
        <v>0</v>
      </c>
      <c r="Y329">
        <f>IF(X329=0,0,_xlfn.XLOOKUP(C329,CLIENT_CODE!B:B,CLIENT_CODE!P:P,0))</f>
        <v>0</v>
      </c>
      <c r="Z329">
        <f>_xlfn.XLOOKUP(B329,CRN!G:G,CRN!U:U,"")</f>
        <v>0</v>
      </c>
      <c r="AA329">
        <f>IF(X329=0,0,_xlfn.XLOOKUP(C329,CLIENT_CODE!B:B,CLIENT_CODE!P:P,0))</f>
        <v>0</v>
      </c>
      <c r="AB329">
        <f>_xlfn.XLOOKUP(B329,CRN!G:G,CRN!V:V,"")</f>
        <v>0</v>
      </c>
      <c r="AC329">
        <f>IF(AB329=0,0,_xlfn.XLOOKUP(C329,CLIENT_CODE!B:B,CLIENT_CODE!R:R,0))</f>
        <v>0</v>
      </c>
      <c r="AD329">
        <f t="shared" si="5"/>
        <v>0</v>
      </c>
    </row>
    <row r="330" spans="1:30">
      <c r="A330" s="42">
        <v>329</v>
      </c>
      <c r="E330">
        <f>IF(D330=0,0,_xlfn.XLOOKUP(C330,CLIENT_CODE!B:B,CLIENT_CODE!F:F,0))</f>
        <v>0</v>
      </c>
      <c r="F330">
        <f>_xlfn.XLOOKUP(B330,CRN!G:G,CRN!K:K,"")</f>
        <v>0</v>
      </c>
      <c r="G330">
        <f>IF(F330=0,0,_xlfn.XLOOKUP(C330,CLIENT_CODE!B:B,CLIENT_CODE!G:G,0))</f>
        <v>0</v>
      </c>
      <c r="H330">
        <f>_xlfn.XLOOKUP(B330,CRN!G:G,CRN!L:L,"")</f>
        <v>0</v>
      </c>
      <c r="I330">
        <f>IF(H330=0,0,_xlfn.XLOOKUP(C330,CLIENT_CODE!B:B,CLIENT_CODE!H:H,0))</f>
        <v>0</v>
      </c>
      <c r="J330">
        <f>_xlfn.XLOOKUP(B330,CRN!G:G,CRN!M:M,"")</f>
        <v>0</v>
      </c>
      <c r="K330">
        <f>IF(J330=0,0,_xlfn.XLOOKUP(C330,CLIENT_CODE!B:B,CLIENT_CODE!I:I,0))</f>
        <v>0</v>
      </c>
      <c r="L330">
        <f>_xlfn.XLOOKUP(B330,CRN!G:G,CRN!N:N,"")</f>
        <v>0</v>
      </c>
      <c r="M330">
        <f>IF(L330=0,0,_xlfn.XLOOKUP(C330,CLIENT_CODE!B:B,CLIENT_CODE!J:J,0))</f>
        <v>0</v>
      </c>
      <c r="N330">
        <f>_xlfn.XLOOKUP(B330,CRN!G:G,CRN!O:O,"")</f>
        <v>0</v>
      </c>
      <c r="O330">
        <f>IF(N330=0,0,_xlfn.XLOOKUP(C330,CLIENT_CODE!B:B,CLIENT_CODE!K:K,0))</f>
        <v>0</v>
      </c>
      <c r="P330">
        <f>_xlfn.XLOOKUP(B330,CRN!G:G,CRN!P:P,"")</f>
        <v>0</v>
      </c>
      <c r="Q330">
        <f>IF(P330=0,0,_xlfn.XLOOKUP(C330,CLIENT_CODE!B:B,CLIENT_CODE!L:L,0))</f>
        <v>0</v>
      </c>
      <c r="R330">
        <f>_xlfn.XLOOKUP(B330,CRN!G:G,CRN!Q:Q,"")</f>
        <v>0</v>
      </c>
      <c r="S330">
        <f>IF(R330=0,0,_xlfn.XLOOKUP(C330,CLIENT_CODE!B:B,CLIENT_CODE!M:M,0))</f>
        <v>0</v>
      </c>
      <c r="T330">
        <f>_xlfn.XLOOKUP(B330,CRN!G:G,CRN!R:R,"")</f>
        <v>0</v>
      </c>
      <c r="U330">
        <f>IF(T330=0,0,_xlfn.XLOOKUP(C330,CLIENT_CODE!B:B,CLIENT_CODE!N:N,0))</f>
        <v>0</v>
      </c>
      <c r="V330">
        <f>_xlfn.XLOOKUP(B330,CRN!G:G,CRN!S:S,"")</f>
        <v>0</v>
      </c>
      <c r="W330">
        <f>IF(V330=0,0,_xlfn.XLOOKUP(C330,CLIENT_CODE!B:B,CLIENT_CODE!O:O,0))</f>
        <v>0</v>
      </c>
      <c r="X330">
        <f>_xlfn.XLOOKUP(B330,CRN!G:G,CRN!T:T,"")</f>
        <v>0</v>
      </c>
      <c r="Y330">
        <f>IF(X330=0,0,_xlfn.XLOOKUP(C330,CLIENT_CODE!B:B,CLIENT_CODE!P:P,0))</f>
        <v>0</v>
      </c>
      <c r="Z330">
        <f>_xlfn.XLOOKUP(B330,CRN!G:G,CRN!U:U,"")</f>
        <v>0</v>
      </c>
      <c r="AA330">
        <f>IF(X330=0,0,_xlfn.XLOOKUP(C330,CLIENT_CODE!B:B,CLIENT_CODE!P:P,0))</f>
        <v>0</v>
      </c>
      <c r="AB330">
        <f>_xlfn.XLOOKUP(B330,CRN!G:G,CRN!V:V,"")</f>
        <v>0</v>
      </c>
      <c r="AC330">
        <f>IF(AB330=0,0,_xlfn.XLOOKUP(C330,CLIENT_CODE!B:B,CLIENT_CODE!R:R,0))</f>
        <v>0</v>
      </c>
      <c r="AD330">
        <f t="shared" si="5"/>
        <v>0</v>
      </c>
    </row>
    <row r="331" spans="1:30">
      <c r="A331" s="42">
        <v>330</v>
      </c>
      <c r="E331">
        <f>IF(D331=0,0,_xlfn.XLOOKUP(C331,CLIENT_CODE!B:B,CLIENT_CODE!F:F,0))</f>
        <v>0</v>
      </c>
      <c r="F331">
        <f>_xlfn.XLOOKUP(B331,CRN!G:G,CRN!K:K,"")</f>
        <v>0</v>
      </c>
      <c r="G331">
        <f>IF(F331=0,0,_xlfn.XLOOKUP(C331,CLIENT_CODE!B:B,CLIENT_CODE!G:G,0))</f>
        <v>0</v>
      </c>
      <c r="H331">
        <f>_xlfn.XLOOKUP(B331,CRN!G:G,CRN!L:L,"")</f>
        <v>0</v>
      </c>
      <c r="I331">
        <f>IF(H331=0,0,_xlfn.XLOOKUP(C331,CLIENT_CODE!B:B,CLIENT_CODE!H:H,0))</f>
        <v>0</v>
      </c>
      <c r="J331">
        <f>_xlfn.XLOOKUP(B331,CRN!G:G,CRN!M:M,"")</f>
        <v>0</v>
      </c>
      <c r="K331">
        <f>IF(J331=0,0,_xlfn.XLOOKUP(C331,CLIENT_CODE!B:B,CLIENT_CODE!I:I,0))</f>
        <v>0</v>
      </c>
      <c r="L331">
        <f>_xlfn.XLOOKUP(B331,CRN!G:G,CRN!N:N,"")</f>
        <v>0</v>
      </c>
      <c r="M331">
        <f>IF(L331=0,0,_xlfn.XLOOKUP(C331,CLIENT_CODE!B:B,CLIENT_CODE!J:J,0))</f>
        <v>0</v>
      </c>
      <c r="N331">
        <f>_xlfn.XLOOKUP(B331,CRN!G:G,CRN!O:O,"")</f>
        <v>0</v>
      </c>
      <c r="O331">
        <f>IF(N331=0,0,_xlfn.XLOOKUP(C331,CLIENT_CODE!B:B,CLIENT_CODE!K:K,0))</f>
        <v>0</v>
      </c>
      <c r="P331">
        <f>_xlfn.XLOOKUP(B331,CRN!G:G,CRN!P:P,"")</f>
        <v>0</v>
      </c>
      <c r="Q331">
        <f>IF(P331=0,0,_xlfn.XLOOKUP(C331,CLIENT_CODE!B:B,CLIENT_CODE!L:L,0))</f>
        <v>0</v>
      </c>
      <c r="R331">
        <f>_xlfn.XLOOKUP(B331,CRN!G:G,CRN!Q:Q,"")</f>
        <v>0</v>
      </c>
      <c r="S331">
        <f>IF(R331=0,0,_xlfn.XLOOKUP(C331,CLIENT_CODE!B:B,CLIENT_CODE!M:M,0))</f>
        <v>0</v>
      </c>
      <c r="T331">
        <f>_xlfn.XLOOKUP(B331,CRN!G:G,CRN!R:R,"")</f>
        <v>0</v>
      </c>
      <c r="U331">
        <f>IF(T331=0,0,_xlfn.XLOOKUP(C331,CLIENT_CODE!B:B,CLIENT_CODE!N:N,0))</f>
        <v>0</v>
      </c>
      <c r="V331">
        <f>_xlfn.XLOOKUP(B331,CRN!G:G,CRN!S:S,"")</f>
        <v>0</v>
      </c>
      <c r="W331">
        <f>IF(V331=0,0,_xlfn.XLOOKUP(C331,CLIENT_CODE!B:B,CLIENT_CODE!O:O,0))</f>
        <v>0</v>
      </c>
      <c r="X331">
        <f>_xlfn.XLOOKUP(B331,CRN!G:G,CRN!T:T,"")</f>
        <v>0</v>
      </c>
      <c r="Y331">
        <f>IF(X331=0,0,_xlfn.XLOOKUP(C331,CLIENT_CODE!B:B,CLIENT_CODE!P:P,0))</f>
        <v>0</v>
      </c>
      <c r="Z331">
        <f>_xlfn.XLOOKUP(B331,CRN!G:G,CRN!U:U,"")</f>
        <v>0</v>
      </c>
      <c r="AA331">
        <f>IF(X331=0,0,_xlfn.XLOOKUP(C331,CLIENT_CODE!B:B,CLIENT_CODE!P:P,0))</f>
        <v>0</v>
      </c>
      <c r="AB331">
        <f>_xlfn.XLOOKUP(B331,CRN!G:G,CRN!V:V,"")</f>
        <v>0</v>
      </c>
      <c r="AC331">
        <f>IF(AB331=0,0,_xlfn.XLOOKUP(C331,CLIENT_CODE!B:B,CLIENT_CODE!R:R,0))</f>
        <v>0</v>
      </c>
      <c r="AD331">
        <f t="shared" si="5"/>
        <v>0</v>
      </c>
    </row>
    <row r="332" spans="1:30">
      <c r="A332" s="42">
        <v>331</v>
      </c>
      <c r="E332">
        <f>IF(D332=0,0,_xlfn.XLOOKUP(C332,CLIENT_CODE!B:B,CLIENT_CODE!F:F,0))</f>
        <v>0</v>
      </c>
      <c r="F332">
        <f>_xlfn.XLOOKUP(B332,CRN!G:G,CRN!K:K,"")</f>
        <v>0</v>
      </c>
      <c r="G332">
        <f>IF(F332=0,0,_xlfn.XLOOKUP(C332,CLIENT_CODE!B:B,CLIENT_CODE!G:G,0))</f>
        <v>0</v>
      </c>
      <c r="H332">
        <f>_xlfn.XLOOKUP(B332,CRN!G:G,CRN!L:L,"")</f>
        <v>0</v>
      </c>
      <c r="I332">
        <f>IF(H332=0,0,_xlfn.XLOOKUP(C332,CLIENT_CODE!B:B,CLIENT_CODE!H:H,0))</f>
        <v>0</v>
      </c>
      <c r="J332">
        <f>_xlfn.XLOOKUP(B332,CRN!G:G,CRN!M:M,"")</f>
        <v>0</v>
      </c>
      <c r="K332">
        <f>IF(J332=0,0,_xlfn.XLOOKUP(C332,CLIENT_CODE!B:B,CLIENT_CODE!I:I,0))</f>
        <v>0</v>
      </c>
      <c r="L332">
        <f>_xlfn.XLOOKUP(B332,CRN!G:G,CRN!N:N,"")</f>
        <v>0</v>
      </c>
      <c r="M332">
        <f>IF(L332=0,0,_xlfn.XLOOKUP(C332,CLIENT_CODE!B:B,CLIENT_CODE!J:J,0))</f>
        <v>0</v>
      </c>
      <c r="N332">
        <f>_xlfn.XLOOKUP(B332,CRN!G:G,CRN!O:O,"")</f>
        <v>0</v>
      </c>
      <c r="O332">
        <f>IF(N332=0,0,_xlfn.XLOOKUP(C332,CLIENT_CODE!B:B,CLIENT_CODE!K:K,0))</f>
        <v>0</v>
      </c>
      <c r="P332">
        <f>_xlfn.XLOOKUP(B332,CRN!G:G,CRN!P:P,"")</f>
        <v>0</v>
      </c>
      <c r="Q332">
        <f>IF(P332=0,0,_xlfn.XLOOKUP(C332,CLIENT_CODE!B:B,CLIENT_CODE!L:L,0))</f>
        <v>0</v>
      </c>
      <c r="R332">
        <f>_xlfn.XLOOKUP(B332,CRN!G:G,CRN!Q:Q,"")</f>
        <v>0</v>
      </c>
      <c r="S332">
        <f>IF(R332=0,0,_xlfn.XLOOKUP(C332,CLIENT_CODE!B:B,CLIENT_CODE!M:M,0))</f>
        <v>0</v>
      </c>
      <c r="T332">
        <f>_xlfn.XLOOKUP(B332,CRN!G:G,CRN!R:R,"")</f>
        <v>0</v>
      </c>
      <c r="U332">
        <f>IF(T332=0,0,_xlfn.XLOOKUP(C332,CLIENT_CODE!B:B,CLIENT_CODE!N:N,0))</f>
        <v>0</v>
      </c>
      <c r="V332">
        <f>_xlfn.XLOOKUP(B332,CRN!G:G,CRN!S:S,"")</f>
        <v>0</v>
      </c>
      <c r="W332">
        <f>IF(V332=0,0,_xlfn.XLOOKUP(C332,CLIENT_CODE!B:B,CLIENT_CODE!O:O,0))</f>
        <v>0</v>
      </c>
      <c r="X332">
        <f>_xlfn.XLOOKUP(B332,CRN!G:G,CRN!T:T,"")</f>
        <v>0</v>
      </c>
      <c r="Y332">
        <f>IF(X332=0,0,_xlfn.XLOOKUP(C332,CLIENT_CODE!B:B,CLIENT_CODE!P:P,0))</f>
        <v>0</v>
      </c>
      <c r="Z332">
        <f>_xlfn.XLOOKUP(B332,CRN!G:G,CRN!U:U,"")</f>
        <v>0</v>
      </c>
      <c r="AA332">
        <f>IF(X332=0,0,_xlfn.XLOOKUP(C332,CLIENT_CODE!B:B,CLIENT_CODE!P:P,0))</f>
        <v>0</v>
      </c>
      <c r="AB332">
        <f>_xlfn.XLOOKUP(B332,CRN!G:G,CRN!V:V,"")</f>
        <v>0</v>
      </c>
      <c r="AC332">
        <f>IF(AB332=0,0,_xlfn.XLOOKUP(C332,CLIENT_CODE!B:B,CLIENT_CODE!R:R,0))</f>
        <v>0</v>
      </c>
      <c r="AD332">
        <f t="shared" si="5"/>
        <v>0</v>
      </c>
    </row>
    <row r="333" spans="1:30">
      <c r="A333" s="42">
        <v>332</v>
      </c>
      <c r="E333">
        <f>IF(D333=0,0,_xlfn.XLOOKUP(C333,CLIENT_CODE!B:B,CLIENT_CODE!F:F,0))</f>
        <v>0</v>
      </c>
      <c r="F333">
        <f>_xlfn.XLOOKUP(B333,CRN!G:G,CRN!K:K,"")</f>
        <v>0</v>
      </c>
      <c r="G333">
        <f>IF(F333=0,0,_xlfn.XLOOKUP(C333,CLIENT_CODE!B:B,CLIENT_CODE!G:G,0))</f>
        <v>0</v>
      </c>
      <c r="H333">
        <f>_xlfn.XLOOKUP(B333,CRN!G:G,CRN!L:L,"")</f>
        <v>0</v>
      </c>
      <c r="I333">
        <f>IF(H333=0,0,_xlfn.XLOOKUP(C333,CLIENT_CODE!B:B,CLIENT_CODE!H:H,0))</f>
        <v>0</v>
      </c>
      <c r="J333">
        <f>_xlfn.XLOOKUP(B333,CRN!G:G,CRN!M:M,"")</f>
        <v>0</v>
      </c>
      <c r="K333">
        <f>IF(J333=0,0,_xlfn.XLOOKUP(C333,CLIENT_CODE!B:B,CLIENT_CODE!I:I,0))</f>
        <v>0</v>
      </c>
      <c r="L333">
        <f>_xlfn.XLOOKUP(B333,CRN!G:G,CRN!N:N,"")</f>
        <v>0</v>
      </c>
      <c r="M333">
        <f>IF(L333=0,0,_xlfn.XLOOKUP(C333,CLIENT_CODE!B:B,CLIENT_CODE!J:J,0))</f>
        <v>0</v>
      </c>
      <c r="N333">
        <f>_xlfn.XLOOKUP(B333,CRN!G:G,CRN!O:O,"")</f>
        <v>0</v>
      </c>
      <c r="O333">
        <f>IF(N333=0,0,_xlfn.XLOOKUP(C333,CLIENT_CODE!B:B,CLIENT_CODE!K:K,0))</f>
        <v>0</v>
      </c>
      <c r="P333">
        <f>_xlfn.XLOOKUP(B333,CRN!G:G,CRN!P:P,"")</f>
        <v>0</v>
      </c>
      <c r="Q333">
        <f>IF(P333=0,0,_xlfn.XLOOKUP(C333,CLIENT_CODE!B:B,CLIENT_CODE!L:L,0))</f>
        <v>0</v>
      </c>
      <c r="R333">
        <f>_xlfn.XLOOKUP(B333,CRN!G:G,CRN!Q:Q,"")</f>
        <v>0</v>
      </c>
      <c r="S333">
        <f>IF(R333=0,0,_xlfn.XLOOKUP(C333,CLIENT_CODE!B:B,CLIENT_CODE!M:M,0))</f>
        <v>0</v>
      </c>
      <c r="T333">
        <f>_xlfn.XLOOKUP(B333,CRN!G:G,CRN!R:R,"")</f>
        <v>0</v>
      </c>
      <c r="U333">
        <f>IF(T333=0,0,_xlfn.XLOOKUP(C333,CLIENT_CODE!B:B,CLIENT_CODE!N:N,0))</f>
        <v>0</v>
      </c>
      <c r="V333">
        <f>_xlfn.XLOOKUP(B333,CRN!G:G,CRN!S:S,"")</f>
        <v>0</v>
      </c>
      <c r="W333">
        <f>IF(V333=0,0,_xlfn.XLOOKUP(C333,CLIENT_CODE!B:B,CLIENT_CODE!O:O,0))</f>
        <v>0</v>
      </c>
      <c r="X333">
        <f>_xlfn.XLOOKUP(B333,CRN!G:G,CRN!T:T,"")</f>
        <v>0</v>
      </c>
      <c r="Y333">
        <f>IF(X333=0,0,_xlfn.XLOOKUP(C333,CLIENT_CODE!B:B,CLIENT_CODE!P:P,0))</f>
        <v>0</v>
      </c>
      <c r="Z333">
        <f>_xlfn.XLOOKUP(B333,CRN!G:G,CRN!U:U,"")</f>
        <v>0</v>
      </c>
      <c r="AA333">
        <f>IF(X333=0,0,_xlfn.XLOOKUP(C333,CLIENT_CODE!B:B,CLIENT_CODE!P:P,0))</f>
        <v>0</v>
      </c>
      <c r="AB333">
        <f>_xlfn.XLOOKUP(B333,CRN!G:G,CRN!V:V,"")</f>
        <v>0</v>
      </c>
      <c r="AC333">
        <f>IF(AB333=0,0,_xlfn.XLOOKUP(C333,CLIENT_CODE!B:B,CLIENT_CODE!R:R,0))</f>
        <v>0</v>
      </c>
      <c r="AD333">
        <f t="shared" si="5"/>
        <v>0</v>
      </c>
    </row>
    <row r="334" spans="1:30">
      <c r="A334" s="42">
        <v>333</v>
      </c>
      <c r="E334">
        <f>IF(D334=0,0,_xlfn.XLOOKUP(C334,CLIENT_CODE!B:B,CLIENT_CODE!F:F,0))</f>
        <v>0</v>
      </c>
      <c r="F334">
        <f>_xlfn.XLOOKUP(B334,CRN!G:G,CRN!K:K,"")</f>
        <v>0</v>
      </c>
      <c r="G334">
        <f>IF(F334=0,0,_xlfn.XLOOKUP(C334,CLIENT_CODE!B:B,CLIENT_CODE!G:G,0))</f>
        <v>0</v>
      </c>
      <c r="H334">
        <f>_xlfn.XLOOKUP(B334,CRN!G:G,CRN!L:L,"")</f>
        <v>0</v>
      </c>
      <c r="I334">
        <f>IF(H334=0,0,_xlfn.XLOOKUP(C334,CLIENT_CODE!B:B,CLIENT_CODE!H:H,0))</f>
        <v>0</v>
      </c>
      <c r="J334">
        <f>_xlfn.XLOOKUP(B334,CRN!G:G,CRN!M:M,"")</f>
        <v>0</v>
      </c>
      <c r="K334">
        <f>IF(J334=0,0,_xlfn.XLOOKUP(C334,CLIENT_CODE!B:B,CLIENT_CODE!I:I,0))</f>
        <v>0</v>
      </c>
      <c r="L334">
        <f>_xlfn.XLOOKUP(B334,CRN!G:G,CRN!N:N,"")</f>
        <v>0</v>
      </c>
      <c r="M334">
        <f>IF(L334=0,0,_xlfn.XLOOKUP(C334,CLIENT_CODE!B:B,CLIENT_CODE!J:J,0))</f>
        <v>0</v>
      </c>
      <c r="N334">
        <f>_xlfn.XLOOKUP(B334,CRN!G:G,CRN!O:O,"")</f>
        <v>0</v>
      </c>
      <c r="O334">
        <f>IF(N334=0,0,_xlfn.XLOOKUP(C334,CLIENT_CODE!B:B,CLIENT_CODE!K:K,0))</f>
        <v>0</v>
      </c>
      <c r="P334">
        <f>_xlfn.XLOOKUP(B334,CRN!G:G,CRN!P:P,"")</f>
        <v>0</v>
      </c>
      <c r="Q334">
        <f>IF(P334=0,0,_xlfn.XLOOKUP(C334,CLIENT_CODE!B:B,CLIENT_CODE!L:L,0))</f>
        <v>0</v>
      </c>
      <c r="R334">
        <f>_xlfn.XLOOKUP(B334,CRN!G:G,CRN!Q:Q,"")</f>
        <v>0</v>
      </c>
      <c r="S334">
        <f>IF(R334=0,0,_xlfn.XLOOKUP(C334,CLIENT_CODE!B:B,CLIENT_CODE!M:M,0))</f>
        <v>0</v>
      </c>
      <c r="T334">
        <f>_xlfn.XLOOKUP(B334,CRN!G:G,CRN!R:R,"")</f>
        <v>0</v>
      </c>
      <c r="U334">
        <f>IF(T334=0,0,_xlfn.XLOOKUP(C334,CLIENT_CODE!B:B,CLIENT_CODE!N:N,0))</f>
        <v>0</v>
      </c>
      <c r="V334">
        <f>_xlfn.XLOOKUP(B334,CRN!G:G,CRN!S:S,"")</f>
        <v>0</v>
      </c>
      <c r="W334">
        <f>IF(V334=0,0,_xlfn.XLOOKUP(C334,CLIENT_CODE!B:B,CLIENT_CODE!O:O,0))</f>
        <v>0</v>
      </c>
      <c r="X334">
        <f>_xlfn.XLOOKUP(B334,CRN!G:G,CRN!T:T,"")</f>
        <v>0</v>
      </c>
      <c r="Y334">
        <f>IF(X334=0,0,_xlfn.XLOOKUP(C334,CLIENT_CODE!B:B,CLIENT_CODE!P:P,0))</f>
        <v>0</v>
      </c>
      <c r="Z334">
        <f>_xlfn.XLOOKUP(B334,CRN!G:G,CRN!U:U,"")</f>
        <v>0</v>
      </c>
      <c r="AA334">
        <f>IF(X334=0,0,_xlfn.XLOOKUP(C334,CLIENT_CODE!B:B,CLIENT_CODE!P:P,0))</f>
        <v>0</v>
      </c>
      <c r="AB334">
        <f>_xlfn.XLOOKUP(B334,CRN!G:G,CRN!V:V,"")</f>
        <v>0</v>
      </c>
      <c r="AC334">
        <f>IF(AB334=0,0,_xlfn.XLOOKUP(C334,CLIENT_CODE!B:B,CLIENT_CODE!R:R,0))</f>
        <v>0</v>
      </c>
      <c r="AD334">
        <f t="shared" si="5"/>
        <v>0</v>
      </c>
    </row>
    <row r="335" spans="1:30">
      <c r="A335" s="42">
        <v>334</v>
      </c>
      <c r="E335">
        <f>IF(D335=0,0,_xlfn.XLOOKUP(C335,CLIENT_CODE!B:B,CLIENT_CODE!F:F,0))</f>
        <v>0</v>
      </c>
      <c r="F335">
        <f>_xlfn.XLOOKUP(B335,CRN!G:G,CRN!K:K,"")</f>
        <v>0</v>
      </c>
      <c r="G335">
        <f>IF(F335=0,0,_xlfn.XLOOKUP(C335,CLIENT_CODE!B:B,CLIENT_CODE!G:G,0))</f>
        <v>0</v>
      </c>
      <c r="H335">
        <f>_xlfn.XLOOKUP(B335,CRN!G:G,CRN!L:L,"")</f>
        <v>0</v>
      </c>
      <c r="I335">
        <f>IF(H335=0,0,_xlfn.XLOOKUP(C335,CLIENT_CODE!B:B,CLIENT_CODE!H:H,0))</f>
        <v>0</v>
      </c>
      <c r="J335">
        <f>_xlfn.XLOOKUP(B335,CRN!G:G,CRN!M:M,"")</f>
        <v>0</v>
      </c>
      <c r="K335">
        <f>IF(J335=0,0,_xlfn.XLOOKUP(C335,CLIENT_CODE!B:B,CLIENT_CODE!I:I,0))</f>
        <v>0</v>
      </c>
      <c r="L335">
        <f>_xlfn.XLOOKUP(B335,CRN!G:G,CRN!N:N,"")</f>
        <v>0</v>
      </c>
      <c r="M335">
        <f>IF(L335=0,0,_xlfn.XLOOKUP(C335,CLIENT_CODE!B:B,CLIENT_CODE!J:J,0))</f>
        <v>0</v>
      </c>
      <c r="N335">
        <f>_xlfn.XLOOKUP(B335,CRN!G:G,CRN!O:O,"")</f>
        <v>0</v>
      </c>
      <c r="O335">
        <f>IF(N335=0,0,_xlfn.XLOOKUP(C335,CLIENT_CODE!B:B,CLIENT_CODE!K:K,0))</f>
        <v>0</v>
      </c>
      <c r="P335">
        <f>_xlfn.XLOOKUP(B335,CRN!G:G,CRN!P:P,"")</f>
        <v>0</v>
      </c>
      <c r="Q335">
        <f>IF(P335=0,0,_xlfn.XLOOKUP(C335,CLIENT_CODE!B:B,CLIENT_CODE!L:L,0))</f>
        <v>0</v>
      </c>
      <c r="R335">
        <f>_xlfn.XLOOKUP(B335,CRN!G:G,CRN!Q:Q,"")</f>
        <v>0</v>
      </c>
      <c r="S335">
        <f>IF(R335=0,0,_xlfn.XLOOKUP(C335,CLIENT_CODE!B:B,CLIENT_CODE!M:M,0))</f>
        <v>0</v>
      </c>
      <c r="T335">
        <f>_xlfn.XLOOKUP(B335,CRN!G:G,CRN!R:R,"")</f>
        <v>0</v>
      </c>
      <c r="U335">
        <f>IF(T335=0,0,_xlfn.XLOOKUP(C335,CLIENT_CODE!B:B,CLIENT_CODE!N:N,0))</f>
        <v>0</v>
      </c>
      <c r="V335">
        <f>_xlfn.XLOOKUP(B335,CRN!G:G,CRN!S:S,"")</f>
        <v>0</v>
      </c>
      <c r="W335">
        <f>IF(V335=0,0,_xlfn.XLOOKUP(C335,CLIENT_CODE!B:B,CLIENT_CODE!O:O,0))</f>
        <v>0</v>
      </c>
      <c r="X335">
        <f>_xlfn.XLOOKUP(B335,CRN!G:G,CRN!T:T,"")</f>
        <v>0</v>
      </c>
      <c r="Y335">
        <f>IF(X335=0,0,_xlfn.XLOOKUP(C335,CLIENT_CODE!B:B,CLIENT_CODE!P:P,0))</f>
        <v>0</v>
      </c>
      <c r="Z335">
        <f>_xlfn.XLOOKUP(B335,CRN!G:G,CRN!U:U,"")</f>
        <v>0</v>
      </c>
      <c r="AA335">
        <f>IF(X335=0,0,_xlfn.XLOOKUP(C335,CLIENT_CODE!B:B,CLIENT_CODE!P:P,0))</f>
        <v>0</v>
      </c>
      <c r="AB335">
        <f>_xlfn.XLOOKUP(B335,CRN!G:G,CRN!V:V,"")</f>
        <v>0</v>
      </c>
      <c r="AC335">
        <f>IF(AB335=0,0,_xlfn.XLOOKUP(C335,CLIENT_CODE!B:B,CLIENT_CODE!R:R,0))</f>
        <v>0</v>
      </c>
      <c r="AD335">
        <f t="shared" si="5"/>
        <v>0</v>
      </c>
    </row>
    <row r="336" spans="1:30">
      <c r="A336" s="42">
        <v>335</v>
      </c>
      <c r="E336">
        <f>IF(D336=0,0,_xlfn.XLOOKUP(C336,CLIENT_CODE!B:B,CLIENT_CODE!F:F,0))</f>
        <v>0</v>
      </c>
      <c r="F336">
        <f>_xlfn.XLOOKUP(B336,CRN!G:G,CRN!K:K,"")</f>
        <v>0</v>
      </c>
      <c r="G336">
        <f>IF(F336=0,0,_xlfn.XLOOKUP(C336,CLIENT_CODE!B:B,CLIENT_CODE!G:G,0))</f>
        <v>0</v>
      </c>
      <c r="H336">
        <f>_xlfn.XLOOKUP(B336,CRN!G:G,CRN!L:L,"")</f>
        <v>0</v>
      </c>
      <c r="I336">
        <f>IF(H336=0,0,_xlfn.XLOOKUP(C336,CLIENT_CODE!B:B,CLIENT_CODE!H:H,0))</f>
        <v>0</v>
      </c>
      <c r="J336">
        <f>_xlfn.XLOOKUP(B336,CRN!G:G,CRN!M:M,"")</f>
        <v>0</v>
      </c>
      <c r="K336">
        <f>IF(J336=0,0,_xlfn.XLOOKUP(C336,CLIENT_CODE!B:B,CLIENT_CODE!I:I,0))</f>
        <v>0</v>
      </c>
      <c r="L336">
        <f>_xlfn.XLOOKUP(B336,CRN!G:G,CRN!N:N,"")</f>
        <v>0</v>
      </c>
      <c r="M336">
        <f>IF(L336=0,0,_xlfn.XLOOKUP(C336,CLIENT_CODE!B:B,CLIENT_CODE!J:J,0))</f>
        <v>0</v>
      </c>
      <c r="N336">
        <f>_xlfn.XLOOKUP(B336,CRN!G:G,CRN!O:O,"")</f>
        <v>0</v>
      </c>
      <c r="O336">
        <f>IF(N336=0,0,_xlfn.XLOOKUP(C336,CLIENT_CODE!B:B,CLIENT_CODE!K:K,0))</f>
        <v>0</v>
      </c>
      <c r="P336">
        <f>_xlfn.XLOOKUP(B336,CRN!G:G,CRN!P:P,"")</f>
        <v>0</v>
      </c>
      <c r="Q336">
        <f>IF(P336=0,0,_xlfn.XLOOKUP(C336,CLIENT_CODE!B:B,CLIENT_CODE!L:L,0))</f>
        <v>0</v>
      </c>
      <c r="R336">
        <f>_xlfn.XLOOKUP(B336,CRN!G:G,CRN!Q:Q,"")</f>
        <v>0</v>
      </c>
      <c r="S336">
        <f>IF(R336=0,0,_xlfn.XLOOKUP(C336,CLIENT_CODE!B:B,CLIENT_CODE!M:M,0))</f>
        <v>0</v>
      </c>
      <c r="T336">
        <f>_xlfn.XLOOKUP(B336,CRN!G:G,CRN!R:R,"")</f>
        <v>0</v>
      </c>
      <c r="U336">
        <f>IF(T336=0,0,_xlfn.XLOOKUP(C336,CLIENT_CODE!B:B,CLIENT_CODE!N:N,0))</f>
        <v>0</v>
      </c>
      <c r="V336">
        <f>_xlfn.XLOOKUP(B336,CRN!G:G,CRN!S:S,"")</f>
        <v>0</v>
      </c>
      <c r="W336">
        <f>IF(V336=0,0,_xlfn.XLOOKUP(C336,CLIENT_CODE!B:B,CLIENT_CODE!O:O,0))</f>
        <v>0</v>
      </c>
      <c r="X336">
        <f>_xlfn.XLOOKUP(B336,CRN!G:G,CRN!T:T,"")</f>
        <v>0</v>
      </c>
      <c r="Y336">
        <f>IF(X336=0,0,_xlfn.XLOOKUP(C336,CLIENT_CODE!B:B,CLIENT_CODE!P:P,0))</f>
        <v>0</v>
      </c>
      <c r="Z336">
        <f>_xlfn.XLOOKUP(B336,CRN!G:G,CRN!U:U,"")</f>
        <v>0</v>
      </c>
      <c r="AA336">
        <f>IF(X336=0,0,_xlfn.XLOOKUP(C336,CLIENT_CODE!B:B,CLIENT_CODE!P:P,0))</f>
        <v>0</v>
      </c>
      <c r="AB336">
        <f>_xlfn.XLOOKUP(B336,CRN!G:G,CRN!V:V,"")</f>
        <v>0</v>
      </c>
      <c r="AC336">
        <f>IF(AB336=0,0,_xlfn.XLOOKUP(C336,CLIENT_CODE!B:B,CLIENT_CODE!R:R,0))</f>
        <v>0</v>
      </c>
      <c r="AD336">
        <f t="shared" si="5"/>
        <v>0</v>
      </c>
    </row>
    <row r="337" spans="1:30">
      <c r="A337" s="42">
        <v>336</v>
      </c>
      <c r="E337">
        <f>IF(D337=0,0,_xlfn.XLOOKUP(C337,CLIENT_CODE!B:B,CLIENT_CODE!F:F,0))</f>
        <v>0</v>
      </c>
      <c r="F337">
        <f>_xlfn.XLOOKUP(B337,CRN!G:G,CRN!K:K,"")</f>
        <v>0</v>
      </c>
      <c r="G337">
        <f>IF(F337=0,0,_xlfn.XLOOKUP(C337,CLIENT_CODE!B:B,CLIENT_CODE!G:G,0))</f>
        <v>0</v>
      </c>
      <c r="H337">
        <f>_xlfn.XLOOKUP(B337,CRN!G:G,CRN!L:L,"")</f>
        <v>0</v>
      </c>
      <c r="I337">
        <f>IF(H337=0,0,_xlfn.XLOOKUP(C337,CLIENT_CODE!B:B,CLIENT_CODE!H:H,0))</f>
        <v>0</v>
      </c>
      <c r="J337">
        <f>_xlfn.XLOOKUP(B337,CRN!G:G,CRN!M:M,"")</f>
        <v>0</v>
      </c>
      <c r="K337">
        <f>IF(J337=0,0,_xlfn.XLOOKUP(C337,CLIENT_CODE!B:B,CLIENT_CODE!I:I,0))</f>
        <v>0</v>
      </c>
      <c r="L337">
        <f>_xlfn.XLOOKUP(B337,CRN!G:G,CRN!N:N,"")</f>
        <v>0</v>
      </c>
      <c r="M337">
        <f>IF(L337=0,0,_xlfn.XLOOKUP(C337,CLIENT_CODE!B:B,CLIENT_CODE!J:J,0))</f>
        <v>0</v>
      </c>
      <c r="N337">
        <f>_xlfn.XLOOKUP(B337,CRN!G:G,CRN!O:O,"")</f>
        <v>0</v>
      </c>
      <c r="O337">
        <f>IF(N337=0,0,_xlfn.XLOOKUP(C337,CLIENT_CODE!B:B,CLIENT_CODE!K:K,0))</f>
        <v>0</v>
      </c>
      <c r="P337">
        <f>_xlfn.XLOOKUP(B337,CRN!G:G,CRN!P:P,"")</f>
        <v>0</v>
      </c>
      <c r="Q337">
        <f>IF(P337=0,0,_xlfn.XLOOKUP(C337,CLIENT_CODE!B:B,CLIENT_CODE!L:L,0))</f>
        <v>0</v>
      </c>
      <c r="R337">
        <f>_xlfn.XLOOKUP(B337,CRN!G:G,CRN!Q:Q,"")</f>
        <v>0</v>
      </c>
      <c r="S337">
        <f>IF(R337=0,0,_xlfn.XLOOKUP(C337,CLIENT_CODE!B:B,CLIENT_CODE!M:M,0))</f>
        <v>0</v>
      </c>
      <c r="T337">
        <f>_xlfn.XLOOKUP(B337,CRN!G:G,CRN!R:R,"")</f>
        <v>0</v>
      </c>
      <c r="U337">
        <f>IF(T337=0,0,_xlfn.XLOOKUP(C337,CLIENT_CODE!B:B,CLIENT_CODE!N:N,0))</f>
        <v>0</v>
      </c>
      <c r="V337">
        <f>_xlfn.XLOOKUP(B337,CRN!G:G,CRN!S:S,"")</f>
        <v>0</v>
      </c>
      <c r="W337">
        <f>IF(V337=0,0,_xlfn.XLOOKUP(C337,CLIENT_CODE!B:B,CLIENT_CODE!O:O,0))</f>
        <v>0</v>
      </c>
      <c r="X337">
        <f>_xlfn.XLOOKUP(B337,CRN!G:G,CRN!T:T,"")</f>
        <v>0</v>
      </c>
      <c r="Y337">
        <f>IF(X337=0,0,_xlfn.XLOOKUP(C337,CLIENT_CODE!B:B,CLIENT_CODE!P:P,0))</f>
        <v>0</v>
      </c>
      <c r="Z337">
        <f>_xlfn.XLOOKUP(B337,CRN!G:G,CRN!U:U,"")</f>
        <v>0</v>
      </c>
      <c r="AA337">
        <f>IF(X337=0,0,_xlfn.XLOOKUP(C337,CLIENT_CODE!B:B,CLIENT_CODE!P:P,0))</f>
        <v>0</v>
      </c>
      <c r="AB337">
        <f>_xlfn.XLOOKUP(B337,CRN!G:G,CRN!V:V,"")</f>
        <v>0</v>
      </c>
      <c r="AC337">
        <f>IF(AB337=0,0,_xlfn.XLOOKUP(C337,CLIENT_CODE!B:B,CLIENT_CODE!R:R,0))</f>
        <v>0</v>
      </c>
      <c r="AD337">
        <f t="shared" si="5"/>
        <v>0</v>
      </c>
    </row>
    <row r="338" spans="1:30">
      <c r="A338" s="42">
        <v>337</v>
      </c>
      <c r="E338">
        <f>IF(D338=0,0,_xlfn.XLOOKUP(C338,CLIENT_CODE!B:B,CLIENT_CODE!F:F,0))</f>
        <v>0</v>
      </c>
      <c r="F338">
        <f>_xlfn.XLOOKUP(B338,CRN!G:G,CRN!K:K,"")</f>
        <v>0</v>
      </c>
      <c r="G338">
        <f>IF(F338=0,0,_xlfn.XLOOKUP(C338,CLIENT_CODE!B:B,CLIENT_CODE!G:G,0))</f>
        <v>0</v>
      </c>
      <c r="H338">
        <f>_xlfn.XLOOKUP(B338,CRN!G:G,CRN!L:L,"")</f>
        <v>0</v>
      </c>
      <c r="I338">
        <f>IF(H338=0,0,_xlfn.XLOOKUP(C338,CLIENT_CODE!B:B,CLIENT_CODE!H:H,0))</f>
        <v>0</v>
      </c>
      <c r="J338">
        <f>_xlfn.XLOOKUP(B338,CRN!G:G,CRN!M:M,"")</f>
        <v>0</v>
      </c>
      <c r="K338">
        <f>IF(J338=0,0,_xlfn.XLOOKUP(C338,CLIENT_CODE!B:B,CLIENT_CODE!I:I,0))</f>
        <v>0</v>
      </c>
      <c r="L338">
        <f>_xlfn.XLOOKUP(B338,CRN!G:G,CRN!N:N,"")</f>
        <v>0</v>
      </c>
      <c r="M338">
        <f>IF(L338=0,0,_xlfn.XLOOKUP(C338,CLIENT_CODE!B:B,CLIENT_CODE!J:J,0))</f>
        <v>0</v>
      </c>
      <c r="N338">
        <f>_xlfn.XLOOKUP(B338,CRN!G:G,CRN!O:O,"")</f>
        <v>0</v>
      </c>
      <c r="O338">
        <f>IF(N338=0,0,_xlfn.XLOOKUP(C338,CLIENT_CODE!B:B,CLIENT_CODE!K:K,0))</f>
        <v>0</v>
      </c>
      <c r="P338">
        <f>_xlfn.XLOOKUP(B338,CRN!G:G,CRN!P:P,"")</f>
        <v>0</v>
      </c>
      <c r="Q338">
        <f>IF(P338=0,0,_xlfn.XLOOKUP(C338,CLIENT_CODE!B:B,CLIENT_CODE!L:L,0))</f>
        <v>0</v>
      </c>
      <c r="R338">
        <f>_xlfn.XLOOKUP(B338,CRN!G:G,CRN!Q:Q,"")</f>
        <v>0</v>
      </c>
      <c r="S338">
        <f>IF(R338=0,0,_xlfn.XLOOKUP(C338,CLIENT_CODE!B:B,CLIENT_CODE!M:M,0))</f>
        <v>0</v>
      </c>
      <c r="T338">
        <f>_xlfn.XLOOKUP(B338,CRN!G:G,CRN!R:R,"")</f>
        <v>0</v>
      </c>
      <c r="U338">
        <f>IF(T338=0,0,_xlfn.XLOOKUP(C338,CLIENT_CODE!B:B,CLIENT_CODE!N:N,0))</f>
        <v>0</v>
      </c>
      <c r="V338">
        <f>_xlfn.XLOOKUP(B338,CRN!G:G,CRN!S:S,"")</f>
        <v>0</v>
      </c>
      <c r="W338">
        <f>IF(V338=0,0,_xlfn.XLOOKUP(C338,CLIENT_CODE!B:B,CLIENT_CODE!O:O,0))</f>
        <v>0</v>
      </c>
      <c r="X338">
        <f>_xlfn.XLOOKUP(B338,CRN!G:G,CRN!T:T,"")</f>
        <v>0</v>
      </c>
      <c r="Y338">
        <f>IF(X338=0,0,_xlfn.XLOOKUP(C338,CLIENT_CODE!B:B,CLIENT_CODE!P:P,0))</f>
        <v>0</v>
      </c>
      <c r="Z338">
        <f>_xlfn.XLOOKUP(B338,CRN!G:G,CRN!U:U,"")</f>
        <v>0</v>
      </c>
      <c r="AA338">
        <f>IF(X338=0,0,_xlfn.XLOOKUP(C338,CLIENT_CODE!B:B,CLIENT_CODE!P:P,0))</f>
        <v>0</v>
      </c>
      <c r="AB338">
        <f>_xlfn.XLOOKUP(B338,CRN!G:G,CRN!V:V,"")</f>
        <v>0</v>
      </c>
      <c r="AC338">
        <f>IF(AB338=0,0,_xlfn.XLOOKUP(C338,CLIENT_CODE!B:B,CLIENT_CODE!R:R,0))</f>
        <v>0</v>
      </c>
      <c r="AD338">
        <f t="shared" si="5"/>
        <v>0</v>
      </c>
    </row>
    <row r="339" spans="1:30">
      <c r="A339" s="42">
        <v>338</v>
      </c>
      <c r="E339">
        <f>IF(D339=0,0,_xlfn.XLOOKUP(C339,CLIENT_CODE!B:B,CLIENT_CODE!F:F,0))</f>
        <v>0</v>
      </c>
      <c r="F339">
        <f>_xlfn.XLOOKUP(B339,CRN!G:G,CRN!K:K,"")</f>
        <v>0</v>
      </c>
      <c r="G339">
        <f>IF(F339=0,0,_xlfn.XLOOKUP(C339,CLIENT_CODE!B:B,CLIENT_CODE!G:G,0))</f>
        <v>0</v>
      </c>
      <c r="H339">
        <f>_xlfn.XLOOKUP(B339,CRN!G:G,CRN!L:L,"")</f>
        <v>0</v>
      </c>
      <c r="I339">
        <f>IF(H339=0,0,_xlfn.XLOOKUP(C339,CLIENT_CODE!B:B,CLIENT_CODE!H:H,0))</f>
        <v>0</v>
      </c>
      <c r="J339">
        <f>_xlfn.XLOOKUP(B339,CRN!G:G,CRN!M:M,"")</f>
        <v>0</v>
      </c>
      <c r="K339">
        <f>IF(J339=0,0,_xlfn.XLOOKUP(C339,CLIENT_CODE!B:B,CLIENT_CODE!I:I,0))</f>
        <v>0</v>
      </c>
      <c r="L339">
        <f>_xlfn.XLOOKUP(B339,CRN!G:G,CRN!N:N,"")</f>
        <v>0</v>
      </c>
      <c r="M339">
        <f>IF(L339=0,0,_xlfn.XLOOKUP(C339,CLIENT_CODE!B:B,CLIENT_CODE!J:J,0))</f>
        <v>0</v>
      </c>
      <c r="N339">
        <f>_xlfn.XLOOKUP(B339,CRN!G:G,CRN!O:O,"")</f>
        <v>0</v>
      </c>
      <c r="O339">
        <f>IF(N339=0,0,_xlfn.XLOOKUP(C339,CLIENT_CODE!B:B,CLIENT_CODE!K:K,0))</f>
        <v>0</v>
      </c>
      <c r="P339">
        <f>_xlfn.XLOOKUP(B339,CRN!G:G,CRN!P:P,"")</f>
        <v>0</v>
      </c>
      <c r="Q339">
        <f>IF(P339=0,0,_xlfn.XLOOKUP(C339,CLIENT_CODE!B:B,CLIENT_CODE!L:L,0))</f>
        <v>0</v>
      </c>
      <c r="R339">
        <f>_xlfn.XLOOKUP(B339,CRN!G:G,CRN!Q:Q,"")</f>
        <v>0</v>
      </c>
      <c r="S339">
        <f>IF(R339=0,0,_xlfn.XLOOKUP(C339,CLIENT_CODE!B:B,CLIENT_CODE!M:M,0))</f>
        <v>0</v>
      </c>
      <c r="T339">
        <f>_xlfn.XLOOKUP(B339,CRN!G:G,CRN!R:R,"")</f>
        <v>0</v>
      </c>
      <c r="U339">
        <f>IF(T339=0,0,_xlfn.XLOOKUP(C339,CLIENT_CODE!B:B,CLIENT_CODE!N:N,0))</f>
        <v>0</v>
      </c>
      <c r="V339">
        <f>_xlfn.XLOOKUP(B339,CRN!G:G,CRN!S:S,"")</f>
        <v>0</v>
      </c>
      <c r="W339">
        <f>IF(V339=0,0,_xlfn.XLOOKUP(C339,CLIENT_CODE!B:B,CLIENT_CODE!O:O,0))</f>
        <v>0</v>
      </c>
      <c r="X339">
        <f>_xlfn.XLOOKUP(B339,CRN!G:G,CRN!T:T,"")</f>
        <v>0</v>
      </c>
      <c r="Y339">
        <f>IF(X339=0,0,_xlfn.XLOOKUP(C339,CLIENT_CODE!B:B,CLIENT_CODE!P:P,0))</f>
        <v>0</v>
      </c>
      <c r="Z339">
        <f>_xlfn.XLOOKUP(B339,CRN!G:G,CRN!U:U,"")</f>
        <v>0</v>
      </c>
      <c r="AA339">
        <f>IF(X339=0,0,_xlfn.XLOOKUP(C339,CLIENT_CODE!B:B,CLIENT_CODE!P:P,0))</f>
        <v>0</v>
      </c>
      <c r="AB339">
        <f>_xlfn.XLOOKUP(B339,CRN!G:G,CRN!V:V,"")</f>
        <v>0</v>
      </c>
      <c r="AC339">
        <f>IF(AB339=0,0,_xlfn.XLOOKUP(C339,CLIENT_CODE!B:B,CLIENT_CODE!R:R,0))</f>
        <v>0</v>
      </c>
      <c r="AD339">
        <f t="shared" si="5"/>
        <v>0</v>
      </c>
    </row>
    <row r="340" spans="1:30">
      <c r="A340" s="42">
        <v>339</v>
      </c>
      <c r="E340">
        <f>IF(D340=0,0,_xlfn.XLOOKUP(C340,CLIENT_CODE!B:B,CLIENT_CODE!F:F,0))</f>
        <v>0</v>
      </c>
      <c r="F340">
        <f>_xlfn.XLOOKUP(B340,CRN!G:G,CRN!K:K,"")</f>
        <v>0</v>
      </c>
      <c r="G340">
        <f>IF(F340=0,0,_xlfn.XLOOKUP(C340,CLIENT_CODE!B:B,CLIENT_CODE!G:G,0))</f>
        <v>0</v>
      </c>
      <c r="H340">
        <f>_xlfn.XLOOKUP(B340,CRN!G:G,CRN!L:L,"")</f>
        <v>0</v>
      </c>
      <c r="I340">
        <f>IF(H340=0,0,_xlfn.XLOOKUP(C340,CLIENT_CODE!B:B,CLIENT_CODE!H:H,0))</f>
        <v>0</v>
      </c>
      <c r="J340">
        <f>_xlfn.XLOOKUP(B340,CRN!G:G,CRN!M:M,"")</f>
        <v>0</v>
      </c>
      <c r="K340">
        <f>IF(J340=0,0,_xlfn.XLOOKUP(C340,CLIENT_CODE!B:B,CLIENT_CODE!I:I,0))</f>
        <v>0</v>
      </c>
      <c r="L340">
        <f>_xlfn.XLOOKUP(B340,CRN!G:G,CRN!N:N,"")</f>
        <v>0</v>
      </c>
      <c r="M340">
        <f>IF(L340=0,0,_xlfn.XLOOKUP(C340,CLIENT_CODE!B:B,CLIENT_CODE!J:J,0))</f>
        <v>0</v>
      </c>
      <c r="N340">
        <f>_xlfn.XLOOKUP(B340,CRN!G:G,CRN!O:O,"")</f>
        <v>0</v>
      </c>
      <c r="O340">
        <f>IF(N340=0,0,_xlfn.XLOOKUP(C340,CLIENT_CODE!B:B,CLIENT_CODE!K:K,0))</f>
        <v>0</v>
      </c>
      <c r="P340">
        <f>_xlfn.XLOOKUP(B340,CRN!G:G,CRN!P:P,"")</f>
        <v>0</v>
      </c>
      <c r="Q340">
        <f>IF(P340=0,0,_xlfn.XLOOKUP(C340,CLIENT_CODE!B:B,CLIENT_CODE!L:L,0))</f>
        <v>0</v>
      </c>
      <c r="R340">
        <f>_xlfn.XLOOKUP(B340,CRN!G:G,CRN!Q:Q,"")</f>
        <v>0</v>
      </c>
      <c r="S340">
        <f>IF(R340=0,0,_xlfn.XLOOKUP(C340,CLIENT_CODE!B:B,CLIENT_CODE!M:M,0))</f>
        <v>0</v>
      </c>
      <c r="T340">
        <f>_xlfn.XLOOKUP(B340,CRN!G:G,CRN!R:R,"")</f>
        <v>0</v>
      </c>
      <c r="U340">
        <f>IF(T340=0,0,_xlfn.XLOOKUP(C340,CLIENT_CODE!B:B,CLIENT_CODE!N:N,0))</f>
        <v>0</v>
      </c>
      <c r="V340">
        <f>_xlfn.XLOOKUP(B340,CRN!G:G,CRN!S:S,"")</f>
        <v>0</v>
      </c>
      <c r="W340">
        <f>IF(V340=0,0,_xlfn.XLOOKUP(C340,CLIENT_CODE!B:B,CLIENT_CODE!O:O,0))</f>
        <v>0</v>
      </c>
      <c r="X340">
        <f>_xlfn.XLOOKUP(B340,CRN!G:G,CRN!T:T,"")</f>
        <v>0</v>
      </c>
      <c r="Y340">
        <f>IF(X340=0,0,_xlfn.XLOOKUP(C340,CLIENT_CODE!B:B,CLIENT_CODE!P:P,0))</f>
        <v>0</v>
      </c>
      <c r="Z340">
        <f>_xlfn.XLOOKUP(B340,CRN!G:G,CRN!U:U,"")</f>
        <v>0</v>
      </c>
      <c r="AA340">
        <f>IF(X340=0,0,_xlfn.XLOOKUP(C340,CLIENT_CODE!B:B,CLIENT_CODE!P:P,0))</f>
        <v>0</v>
      </c>
      <c r="AB340">
        <f>_xlfn.XLOOKUP(B340,CRN!G:G,CRN!V:V,"")</f>
        <v>0</v>
      </c>
      <c r="AC340">
        <f>IF(AB340=0,0,_xlfn.XLOOKUP(C340,CLIENT_CODE!B:B,CLIENT_CODE!R:R,0))</f>
        <v>0</v>
      </c>
      <c r="AD340">
        <f t="shared" si="5"/>
        <v>0</v>
      </c>
    </row>
    <row r="341" spans="1:30">
      <c r="A341" s="42">
        <v>340</v>
      </c>
      <c r="E341">
        <f>IF(D341=0,0,_xlfn.XLOOKUP(C341,CLIENT_CODE!B:B,CLIENT_CODE!F:F,0))</f>
        <v>0</v>
      </c>
      <c r="F341">
        <f>_xlfn.XLOOKUP(B341,CRN!G:G,CRN!K:K,"")</f>
        <v>0</v>
      </c>
      <c r="G341">
        <f>IF(F341=0,0,_xlfn.XLOOKUP(C341,CLIENT_CODE!B:B,CLIENT_CODE!G:G,0))</f>
        <v>0</v>
      </c>
      <c r="H341">
        <f>_xlfn.XLOOKUP(B341,CRN!G:G,CRN!L:L,"")</f>
        <v>0</v>
      </c>
      <c r="I341">
        <f>IF(H341=0,0,_xlfn.XLOOKUP(C341,CLIENT_CODE!B:B,CLIENT_CODE!H:H,0))</f>
        <v>0</v>
      </c>
      <c r="J341">
        <f>_xlfn.XLOOKUP(B341,CRN!G:G,CRN!M:M,"")</f>
        <v>0</v>
      </c>
      <c r="K341">
        <f>IF(J341=0,0,_xlfn.XLOOKUP(C341,CLIENT_CODE!B:B,CLIENT_CODE!I:I,0))</f>
        <v>0</v>
      </c>
      <c r="L341">
        <f>_xlfn.XLOOKUP(B341,CRN!G:G,CRN!N:N,"")</f>
        <v>0</v>
      </c>
      <c r="M341">
        <f>IF(L341=0,0,_xlfn.XLOOKUP(C341,CLIENT_CODE!B:B,CLIENT_CODE!J:J,0))</f>
        <v>0</v>
      </c>
      <c r="N341">
        <f>_xlfn.XLOOKUP(B341,CRN!G:G,CRN!O:O,"")</f>
        <v>0</v>
      </c>
      <c r="O341">
        <f>IF(N341=0,0,_xlfn.XLOOKUP(C341,CLIENT_CODE!B:B,CLIENT_CODE!K:K,0))</f>
        <v>0</v>
      </c>
      <c r="P341">
        <f>_xlfn.XLOOKUP(B341,CRN!G:G,CRN!P:P,"")</f>
        <v>0</v>
      </c>
      <c r="Q341">
        <f>IF(P341=0,0,_xlfn.XLOOKUP(C341,CLIENT_CODE!B:B,CLIENT_CODE!L:L,0))</f>
        <v>0</v>
      </c>
      <c r="R341">
        <f>_xlfn.XLOOKUP(B341,CRN!G:G,CRN!Q:Q,"")</f>
        <v>0</v>
      </c>
      <c r="S341">
        <f>IF(R341=0,0,_xlfn.XLOOKUP(C341,CLIENT_CODE!B:B,CLIENT_CODE!M:M,0))</f>
        <v>0</v>
      </c>
      <c r="T341">
        <f>_xlfn.XLOOKUP(B341,CRN!G:G,CRN!R:R,"")</f>
        <v>0</v>
      </c>
      <c r="U341">
        <f>IF(T341=0,0,_xlfn.XLOOKUP(C341,CLIENT_CODE!B:B,CLIENT_CODE!N:N,0))</f>
        <v>0</v>
      </c>
      <c r="V341">
        <f>_xlfn.XLOOKUP(B341,CRN!G:G,CRN!S:S,"")</f>
        <v>0</v>
      </c>
      <c r="W341">
        <f>IF(V341=0,0,_xlfn.XLOOKUP(C341,CLIENT_CODE!B:B,CLIENT_CODE!O:O,0))</f>
        <v>0</v>
      </c>
      <c r="X341">
        <f>_xlfn.XLOOKUP(B341,CRN!G:G,CRN!T:T,"")</f>
        <v>0</v>
      </c>
      <c r="Y341">
        <f>IF(X341=0,0,_xlfn.XLOOKUP(C341,CLIENT_CODE!B:B,CLIENT_CODE!P:P,0))</f>
        <v>0</v>
      </c>
      <c r="Z341">
        <f>_xlfn.XLOOKUP(B341,CRN!G:G,CRN!U:U,"")</f>
        <v>0</v>
      </c>
      <c r="AA341">
        <f>IF(X341=0,0,_xlfn.XLOOKUP(C341,CLIENT_CODE!B:B,CLIENT_CODE!P:P,0))</f>
        <v>0</v>
      </c>
      <c r="AB341">
        <f>_xlfn.XLOOKUP(B341,CRN!G:G,CRN!V:V,"")</f>
        <v>0</v>
      </c>
      <c r="AC341">
        <f>IF(AB341=0,0,_xlfn.XLOOKUP(C341,CLIENT_CODE!B:B,CLIENT_CODE!R:R,0))</f>
        <v>0</v>
      </c>
      <c r="AD341">
        <f t="shared" si="5"/>
        <v>0</v>
      </c>
    </row>
    <row r="342" spans="1:30">
      <c r="A342" s="42">
        <v>341</v>
      </c>
      <c r="E342">
        <f>IF(D342=0,0,_xlfn.XLOOKUP(C342,CLIENT_CODE!B:B,CLIENT_CODE!F:F,0))</f>
        <v>0</v>
      </c>
      <c r="F342">
        <f>_xlfn.XLOOKUP(B342,CRN!G:G,CRN!K:K,"")</f>
        <v>0</v>
      </c>
      <c r="G342">
        <f>IF(F342=0,0,_xlfn.XLOOKUP(C342,CLIENT_CODE!B:B,CLIENT_CODE!G:G,0))</f>
        <v>0</v>
      </c>
      <c r="H342">
        <f>_xlfn.XLOOKUP(B342,CRN!G:G,CRN!L:L,"")</f>
        <v>0</v>
      </c>
      <c r="I342">
        <f>IF(H342=0,0,_xlfn.XLOOKUP(C342,CLIENT_CODE!B:B,CLIENT_CODE!H:H,0))</f>
        <v>0</v>
      </c>
      <c r="J342">
        <f>_xlfn.XLOOKUP(B342,CRN!G:G,CRN!M:M,"")</f>
        <v>0</v>
      </c>
      <c r="K342">
        <f>IF(J342=0,0,_xlfn.XLOOKUP(C342,CLIENT_CODE!B:B,CLIENT_CODE!I:I,0))</f>
        <v>0</v>
      </c>
      <c r="L342">
        <f>_xlfn.XLOOKUP(B342,CRN!G:G,CRN!N:N,"")</f>
        <v>0</v>
      </c>
      <c r="M342">
        <f>IF(L342=0,0,_xlfn.XLOOKUP(C342,CLIENT_CODE!B:B,CLIENT_CODE!J:J,0))</f>
        <v>0</v>
      </c>
      <c r="N342">
        <f>_xlfn.XLOOKUP(B342,CRN!G:G,CRN!O:O,"")</f>
        <v>0</v>
      </c>
      <c r="O342">
        <f>IF(N342=0,0,_xlfn.XLOOKUP(C342,CLIENT_CODE!B:B,CLIENT_CODE!K:K,0))</f>
        <v>0</v>
      </c>
      <c r="P342">
        <f>_xlfn.XLOOKUP(B342,CRN!G:G,CRN!P:P,"")</f>
        <v>0</v>
      </c>
      <c r="Q342">
        <f>IF(P342=0,0,_xlfn.XLOOKUP(C342,CLIENT_CODE!B:B,CLIENT_CODE!L:L,0))</f>
        <v>0</v>
      </c>
      <c r="R342">
        <f>_xlfn.XLOOKUP(B342,CRN!G:G,CRN!Q:Q,"")</f>
        <v>0</v>
      </c>
      <c r="S342">
        <f>IF(R342=0,0,_xlfn.XLOOKUP(C342,CLIENT_CODE!B:B,CLIENT_CODE!M:M,0))</f>
        <v>0</v>
      </c>
      <c r="T342">
        <f>_xlfn.XLOOKUP(B342,CRN!G:G,CRN!R:R,"")</f>
        <v>0</v>
      </c>
      <c r="U342">
        <f>IF(T342=0,0,_xlfn.XLOOKUP(C342,CLIENT_CODE!B:B,CLIENT_CODE!N:N,0))</f>
        <v>0</v>
      </c>
      <c r="V342">
        <f>_xlfn.XLOOKUP(B342,CRN!G:G,CRN!S:S,"")</f>
        <v>0</v>
      </c>
      <c r="W342">
        <f>IF(V342=0,0,_xlfn.XLOOKUP(C342,CLIENT_CODE!B:B,CLIENT_CODE!O:O,0))</f>
        <v>0</v>
      </c>
      <c r="X342">
        <f>_xlfn.XLOOKUP(B342,CRN!G:G,CRN!T:T,"")</f>
        <v>0</v>
      </c>
      <c r="Y342">
        <f>IF(X342=0,0,_xlfn.XLOOKUP(C342,CLIENT_CODE!B:B,CLIENT_CODE!P:P,0))</f>
        <v>0</v>
      </c>
      <c r="Z342">
        <f>_xlfn.XLOOKUP(B342,CRN!G:G,CRN!U:U,"")</f>
        <v>0</v>
      </c>
      <c r="AA342">
        <f>IF(X342=0,0,_xlfn.XLOOKUP(C342,CLIENT_CODE!B:B,CLIENT_CODE!P:P,0))</f>
        <v>0</v>
      </c>
      <c r="AB342">
        <f>_xlfn.XLOOKUP(B342,CRN!G:G,CRN!V:V,"")</f>
        <v>0</v>
      </c>
      <c r="AC342">
        <f>IF(AB342=0,0,_xlfn.XLOOKUP(C342,CLIENT_CODE!B:B,CLIENT_CODE!R:R,0))</f>
        <v>0</v>
      </c>
      <c r="AD342">
        <f t="shared" si="5"/>
        <v>0</v>
      </c>
    </row>
    <row r="343" spans="1:30">
      <c r="A343" s="42">
        <v>342</v>
      </c>
      <c r="E343">
        <f>IF(D343=0,0,_xlfn.XLOOKUP(C343,CLIENT_CODE!B:B,CLIENT_CODE!F:F,0))</f>
        <v>0</v>
      </c>
      <c r="F343">
        <f>_xlfn.XLOOKUP(B343,CRN!G:G,CRN!K:K,"")</f>
        <v>0</v>
      </c>
      <c r="G343">
        <f>IF(F343=0,0,_xlfn.XLOOKUP(C343,CLIENT_CODE!B:B,CLIENT_CODE!G:G,0))</f>
        <v>0</v>
      </c>
      <c r="H343">
        <f>_xlfn.XLOOKUP(B343,CRN!G:G,CRN!L:L,"")</f>
        <v>0</v>
      </c>
      <c r="I343">
        <f>IF(H343=0,0,_xlfn.XLOOKUP(C343,CLIENT_CODE!B:B,CLIENT_CODE!H:H,0))</f>
        <v>0</v>
      </c>
      <c r="J343">
        <f>_xlfn.XLOOKUP(B343,CRN!G:G,CRN!M:M,"")</f>
        <v>0</v>
      </c>
      <c r="K343">
        <f>IF(J343=0,0,_xlfn.XLOOKUP(C343,CLIENT_CODE!B:B,CLIENT_CODE!I:I,0))</f>
        <v>0</v>
      </c>
      <c r="L343">
        <f>_xlfn.XLOOKUP(B343,CRN!G:G,CRN!N:N,"")</f>
        <v>0</v>
      </c>
      <c r="M343">
        <f>IF(L343=0,0,_xlfn.XLOOKUP(C343,CLIENT_CODE!B:B,CLIENT_CODE!J:J,0))</f>
        <v>0</v>
      </c>
      <c r="N343">
        <f>_xlfn.XLOOKUP(B343,CRN!G:G,CRN!O:O,"")</f>
        <v>0</v>
      </c>
      <c r="O343">
        <f>IF(N343=0,0,_xlfn.XLOOKUP(C343,CLIENT_CODE!B:B,CLIENT_CODE!K:K,0))</f>
        <v>0</v>
      </c>
      <c r="P343">
        <f>_xlfn.XLOOKUP(B343,CRN!G:G,CRN!P:P,"")</f>
        <v>0</v>
      </c>
      <c r="Q343">
        <f>IF(P343=0,0,_xlfn.XLOOKUP(C343,CLIENT_CODE!B:B,CLIENT_CODE!L:L,0))</f>
        <v>0</v>
      </c>
      <c r="R343">
        <f>_xlfn.XLOOKUP(B343,CRN!G:G,CRN!Q:Q,"")</f>
        <v>0</v>
      </c>
      <c r="S343">
        <f>IF(R343=0,0,_xlfn.XLOOKUP(C343,CLIENT_CODE!B:B,CLIENT_CODE!M:M,0))</f>
        <v>0</v>
      </c>
      <c r="T343">
        <f>_xlfn.XLOOKUP(B343,CRN!G:G,CRN!R:R,"")</f>
        <v>0</v>
      </c>
      <c r="U343">
        <f>IF(T343=0,0,_xlfn.XLOOKUP(C343,CLIENT_CODE!B:B,CLIENT_CODE!N:N,0))</f>
        <v>0</v>
      </c>
      <c r="V343">
        <f>_xlfn.XLOOKUP(B343,CRN!G:G,CRN!S:S,"")</f>
        <v>0</v>
      </c>
      <c r="W343">
        <f>IF(V343=0,0,_xlfn.XLOOKUP(C343,CLIENT_CODE!B:B,CLIENT_CODE!O:O,0))</f>
        <v>0</v>
      </c>
      <c r="X343">
        <f>_xlfn.XLOOKUP(B343,CRN!G:G,CRN!T:T,"")</f>
        <v>0</v>
      </c>
      <c r="Y343">
        <f>IF(X343=0,0,_xlfn.XLOOKUP(C343,CLIENT_CODE!B:B,CLIENT_CODE!P:P,0))</f>
        <v>0</v>
      </c>
      <c r="Z343">
        <f>_xlfn.XLOOKUP(B343,CRN!G:G,CRN!U:U,"")</f>
        <v>0</v>
      </c>
      <c r="AA343">
        <f>IF(X343=0,0,_xlfn.XLOOKUP(C343,CLIENT_CODE!B:B,CLIENT_CODE!P:P,0))</f>
        <v>0</v>
      </c>
      <c r="AB343">
        <f>_xlfn.XLOOKUP(B343,CRN!G:G,CRN!V:V,"")</f>
        <v>0</v>
      </c>
      <c r="AC343">
        <f>IF(AB343=0,0,_xlfn.XLOOKUP(C343,CLIENT_CODE!B:B,CLIENT_CODE!R:R,0))</f>
        <v>0</v>
      </c>
      <c r="AD343">
        <f t="shared" si="5"/>
        <v>0</v>
      </c>
    </row>
    <row r="344" spans="1:30">
      <c r="A344" s="42">
        <v>343</v>
      </c>
      <c r="E344">
        <f>IF(D344=0,0,_xlfn.XLOOKUP(C344,CLIENT_CODE!B:B,CLIENT_CODE!F:F,0))</f>
        <v>0</v>
      </c>
      <c r="F344">
        <f>_xlfn.XLOOKUP(B344,CRN!G:G,CRN!K:K,"")</f>
        <v>0</v>
      </c>
      <c r="G344">
        <f>IF(F344=0,0,_xlfn.XLOOKUP(C344,CLIENT_CODE!B:B,CLIENT_CODE!G:G,0))</f>
        <v>0</v>
      </c>
      <c r="H344">
        <f>_xlfn.XLOOKUP(B344,CRN!G:G,CRN!L:L,"")</f>
        <v>0</v>
      </c>
      <c r="I344">
        <f>IF(H344=0,0,_xlfn.XLOOKUP(C344,CLIENT_CODE!B:B,CLIENT_CODE!H:H,0))</f>
        <v>0</v>
      </c>
      <c r="J344">
        <f>_xlfn.XLOOKUP(B344,CRN!G:G,CRN!M:M,"")</f>
        <v>0</v>
      </c>
      <c r="K344">
        <f>IF(J344=0,0,_xlfn.XLOOKUP(C344,CLIENT_CODE!B:B,CLIENT_CODE!I:I,0))</f>
        <v>0</v>
      </c>
      <c r="L344">
        <f>_xlfn.XLOOKUP(B344,CRN!G:G,CRN!N:N,"")</f>
        <v>0</v>
      </c>
      <c r="M344">
        <f>IF(L344=0,0,_xlfn.XLOOKUP(C344,CLIENT_CODE!B:B,CLIENT_CODE!J:J,0))</f>
        <v>0</v>
      </c>
      <c r="N344">
        <f>_xlfn.XLOOKUP(B344,CRN!G:G,CRN!O:O,"")</f>
        <v>0</v>
      </c>
      <c r="O344">
        <f>IF(N344=0,0,_xlfn.XLOOKUP(C344,CLIENT_CODE!B:B,CLIENT_CODE!K:K,0))</f>
        <v>0</v>
      </c>
      <c r="P344">
        <f>_xlfn.XLOOKUP(B344,CRN!G:G,CRN!P:P,"")</f>
        <v>0</v>
      </c>
      <c r="Q344">
        <f>IF(P344=0,0,_xlfn.XLOOKUP(C344,CLIENT_CODE!B:B,CLIENT_CODE!L:L,0))</f>
        <v>0</v>
      </c>
      <c r="R344">
        <f>_xlfn.XLOOKUP(B344,CRN!G:G,CRN!Q:Q,"")</f>
        <v>0</v>
      </c>
      <c r="S344">
        <f>IF(R344=0,0,_xlfn.XLOOKUP(C344,CLIENT_CODE!B:B,CLIENT_CODE!M:M,0))</f>
        <v>0</v>
      </c>
      <c r="T344">
        <f>_xlfn.XLOOKUP(B344,CRN!G:G,CRN!R:R,"")</f>
        <v>0</v>
      </c>
      <c r="U344">
        <f>IF(T344=0,0,_xlfn.XLOOKUP(C344,CLIENT_CODE!B:B,CLIENT_CODE!N:N,0))</f>
        <v>0</v>
      </c>
      <c r="V344">
        <f>_xlfn.XLOOKUP(B344,CRN!G:G,CRN!S:S,"")</f>
        <v>0</v>
      </c>
      <c r="W344">
        <f>IF(V344=0,0,_xlfn.XLOOKUP(C344,CLIENT_CODE!B:B,CLIENT_CODE!O:O,0))</f>
        <v>0</v>
      </c>
      <c r="X344">
        <f>_xlfn.XLOOKUP(B344,CRN!G:G,CRN!T:T,"")</f>
        <v>0</v>
      </c>
      <c r="Y344">
        <f>IF(X344=0,0,_xlfn.XLOOKUP(C344,CLIENT_CODE!B:B,CLIENT_CODE!P:P,0))</f>
        <v>0</v>
      </c>
      <c r="Z344">
        <f>_xlfn.XLOOKUP(B344,CRN!G:G,CRN!U:U,"")</f>
        <v>0</v>
      </c>
      <c r="AA344">
        <f>IF(X344=0,0,_xlfn.XLOOKUP(C344,CLIENT_CODE!B:B,CLIENT_CODE!P:P,0))</f>
        <v>0</v>
      </c>
      <c r="AB344">
        <f>_xlfn.XLOOKUP(B344,CRN!G:G,CRN!V:V,"")</f>
        <v>0</v>
      </c>
      <c r="AC344">
        <f>IF(AB344=0,0,_xlfn.XLOOKUP(C344,CLIENT_CODE!B:B,CLIENT_CODE!R:R,0))</f>
        <v>0</v>
      </c>
      <c r="AD344">
        <f t="shared" si="5"/>
        <v>0</v>
      </c>
    </row>
    <row r="345" spans="1:30">
      <c r="A345" s="42">
        <v>344</v>
      </c>
      <c r="E345">
        <f>IF(D345=0,0,_xlfn.XLOOKUP(C345,CLIENT_CODE!B:B,CLIENT_CODE!F:F,0))</f>
        <v>0</v>
      </c>
      <c r="F345">
        <f>_xlfn.XLOOKUP(B345,CRN!G:G,CRN!K:K,"")</f>
        <v>0</v>
      </c>
      <c r="G345">
        <f>IF(F345=0,0,_xlfn.XLOOKUP(C345,CLIENT_CODE!B:B,CLIENT_CODE!G:G,0))</f>
        <v>0</v>
      </c>
      <c r="H345">
        <f>_xlfn.XLOOKUP(B345,CRN!G:G,CRN!L:L,"")</f>
        <v>0</v>
      </c>
      <c r="I345">
        <f>IF(H345=0,0,_xlfn.XLOOKUP(C345,CLIENT_CODE!B:B,CLIENT_CODE!H:H,0))</f>
        <v>0</v>
      </c>
      <c r="J345">
        <f>_xlfn.XLOOKUP(B345,CRN!G:G,CRN!M:M,"")</f>
        <v>0</v>
      </c>
      <c r="K345">
        <f>IF(J345=0,0,_xlfn.XLOOKUP(C345,CLIENT_CODE!B:B,CLIENT_CODE!I:I,0))</f>
        <v>0</v>
      </c>
      <c r="L345">
        <f>_xlfn.XLOOKUP(B345,CRN!G:G,CRN!N:N,"")</f>
        <v>0</v>
      </c>
      <c r="M345">
        <f>IF(L345=0,0,_xlfn.XLOOKUP(C345,CLIENT_CODE!B:B,CLIENT_CODE!J:J,0))</f>
        <v>0</v>
      </c>
      <c r="N345">
        <f>_xlfn.XLOOKUP(B345,CRN!G:G,CRN!O:O,"")</f>
        <v>0</v>
      </c>
      <c r="O345">
        <f>IF(N345=0,0,_xlfn.XLOOKUP(C345,CLIENT_CODE!B:B,CLIENT_CODE!K:K,0))</f>
        <v>0</v>
      </c>
      <c r="P345">
        <f>_xlfn.XLOOKUP(B345,CRN!G:G,CRN!P:P,"")</f>
        <v>0</v>
      </c>
      <c r="Q345">
        <f>IF(P345=0,0,_xlfn.XLOOKUP(C345,CLIENT_CODE!B:B,CLIENT_CODE!L:L,0))</f>
        <v>0</v>
      </c>
      <c r="R345">
        <f>_xlfn.XLOOKUP(B345,CRN!G:G,CRN!Q:Q,"")</f>
        <v>0</v>
      </c>
      <c r="S345">
        <f>IF(R345=0,0,_xlfn.XLOOKUP(C345,CLIENT_CODE!B:B,CLIENT_CODE!M:M,0))</f>
        <v>0</v>
      </c>
      <c r="T345">
        <f>_xlfn.XLOOKUP(B345,CRN!G:G,CRN!R:R,"")</f>
        <v>0</v>
      </c>
      <c r="U345">
        <f>IF(T345=0,0,_xlfn.XLOOKUP(C345,CLIENT_CODE!B:B,CLIENT_CODE!N:N,0))</f>
        <v>0</v>
      </c>
      <c r="V345">
        <f>_xlfn.XLOOKUP(B345,CRN!G:G,CRN!S:S,"")</f>
        <v>0</v>
      </c>
      <c r="W345">
        <f>IF(V345=0,0,_xlfn.XLOOKUP(C345,CLIENT_CODE!B:B,CLIENT_CODE!O:O,0))</f>
        <v>0</v>
      </c>
      <c r="X345">
        <f>_xlfn.XLOOKUP(B345,CRN!G:G,CRN!T:T,"")</f>
        <v>0</v>
      </c>
      <c r="Y345">
        <f>IF(X345=0,0,_xlfn.XLOOKUP(C345,CLIENT_CODE!B:B,CLIENT_CODE!P:P,0))</f>
        <v>0</v>
      </c>
      <c r="Z345">
        <f>_xlfn.XLOOKUP(B345,CRN!G:G,CRN!U:U,"")</f>
        <v>0</v>
      </c>
      <c r="AA345">
        <f>IF(X345=0,0,_xlfn.XLOOKUP(C345,CLIENT_CODE!B:B,CLIENT_CODE!P:P,0))</f>
        <v>0</v>
      </c>
      <c r="AB345">
        <f>_xlfn.XLOOKUP(B345,CRN!G:G,CRN!V:V,"")</f>
        <v>0</v>
      </c>
      <c r="AC345">
        <f>IF(AB345=0,0,_xlfn.XLOOKUP(C345,CLIENT_CODE!B:B,CLIENT_CODE!R:R,0))</f>
        <v>0</v>
      </c>
      <c r="AD345">
        <f t="shared" si="5"/>
        <v>0</v>
      </c>
    </row>
    <row r="346" spans="1:30">
      <c r="A346" s="42">
        <v>345</v>
      </c>
      <c r="E346">
        <f>IF(D346=0,0,_xlfn.XLOOKUP(C346,CLIENT_CODE!B:B,CLIENT_CODE!F:F,0))</f>
        <v>0</v>
      </c>
      <c r="F346">
        <f>_xlfn.XLOOKUP(B346,CRN!G:G,CRN!K:K,"")</f>
        <v>0</v>
      </c>
      <c r="G346">
        <f>IF(F346=0,0,_xlfn.XLOOKUP(C346,CLIENT_CODE!B:B,CLIENT_CODE!G:G,0))</f>
        <v>0</v>
      </c>
      <c r="H346">
        <f>_xlfn.XLOOKUP(B346,CRN!G:G,CRN!L:L,"")</f>
        <v>0</v>
      </c>
      <c r="I346">
        <f>IF(H346=0,0,_xlfn.XLOOKUP(C346,CLIENT_CODE!B:B,CLIENT_CODE!H:H,0))</f>
        <v>0</v>
      </c>
      <c r="J346">
        <f>_xlfn.XLOOKUP(B346,CRN!G:G,CRN!M:M,"")</f>
        <v>0</v>
      </c>
      <c r="K346">
        <f>IF(J346=0,0,_xlfn.XLOOKUP(C346,CLIENT_CODE!B:B,CLIENT_CODE!I:I,0))</f>
        <v>0</v>
      </c>
      <c r="L346">
        <f>_xlfn.XLOOKUP(B346,CRN!G:G,CRN!N:N,"")</f>
        <v>0</v>
      </c>
      <c r="M346">
        <f>IF(L346=0,0,_xlfn.XLOOKUP(C346,CLIENT_CODE!B:B,CLIENT_CODE!J:J,0))</f>
        <v>0</v>
      </c>
      <c r="N346">
        <f>_xlfn.XLOOKUP(B346,CRN!G:G,CRN!O:O,"")</f>
        <v>0</v>
      </c>
      <c r="O346">
        <f>IF(N346=0,0,_xlfn.XLOOKUP(C346,CLIENT_CODE!B:B,CLIENT_CODE!K:K,0))</f>
        <v>0</v>
      </c>
      <c r="P346">
        <f>_xlfn.XLOOKUP(B346,CRN!G:G,CRN!P:P,"")</f>
        <v>0</v>
      </c>
      <c r="Q346">
        <f>IF(P346=0,0,_xlfn.XLOOKUP(C346,CLIENT_CODE!B:B,CLIENT_CODE!L:L,0))</f>
        <v>0</v>
      </c>
      <c r="R346">
        <f>_xlfn.XLOOKUP(B346,CRN!G:G,CRN!Q:Q,"")</f>
        <v>0</v>
      </c>
      <c r="S346">
        <f>IF(R346=0,0,_xlfn.XLOOKUP(C346,CLIENT_CODE!B:B,CLIENT_CODE!M:M,0))</f>
        <v>0</v>
      </c>
      <c r="T346">
        <f>_xlfn.XLOOKUP(B346,CRN!G:G,CRN!R:R,"")</f>
        <v>0</v>
      </c>
      <c r="U346">
        <f>IF(T346=0,0,_xlfn.XLOOKUP(C346,CLIENT_CODE!B:B,CLIENT_CODE!N:N,0))</f>
        <v>0</v>
      </c>
      <c r="V346">
        <f>_xlfn.XLOOKUP(B346,CRN!G:G,CRN!S:S,"")</f>
        <v>0</v>
      </c>
      <c r="W346">
        <f>IF(V346=0,0,_xlfn.XLOOKUP(C346,CLIENT_CODE!B:B,CLIENT_CODE!O:O,0))</f>
        <v>0</v>
      </c>
      <c r="X346">
        <f>_xlfn.XLOOKUP(B346,CRN!G:G,CRN!T:T,"")</f>
        <v>0</v>
      </c>
      <c r="Y346">
        <f>IF(X346=0,0,_xlfn.XLOOKUP(C346,CLIENT_CODE!B:B,CLIENT_CODE!P:P,0))</f>
        <v>0</v>
      </c>
      <c r="Z346">
        <f>_xlfn.XLOOKUP(B346,CRN!G:G,CRN!U:U,"")</f>
        <v>0</v>
      </c>
      <c r="AA346">
        <f>IF(X346=0,0,_xlfn.XLOOKUP(C346,CLIENT_CODE!B:B,CLIENT_CODE!P:P,0))</f>
        <v>0</v>
      </c>
      <c r="AB346">
        <f>_xlfn.XLOOKUP(B346,CRN!G:G,CRN!V:V,"")</f>
        <v>0</v>
      </c>
      <c r="AC346">
        <f>IF(AB346=0,0,_xlfn.XLOOKUP(C346,CLIENT_CODE!B:B,CLIENT_CODE!R:R,0))</f>
        <v>0</v>
      </c>
      <c r="AD346">
        <f t="shared" si="5"/>
        <v>0</v>
      </c>
    </row>
    <row r="347" spans="1:30">
      <c r="A347" s="42">
        <v>346</v>
      </c>
      <c r="E347">
        <f>IF(D347=0,0,_xlfn.XLOOKUP(C347,CLIENT_CODE!B:B,CLIENT_CODE!F:F,0))</f>
        <v>0</v>
      </c>
      <c r="F347">
        <f>_xlfn.XLOOKUP(B347,CRN!G:G,CRN!K:K,"")</f>
        <v>0</v>
      </c>
      <c r="G347">
        <f>IF(F347=0,0,_xlfn.XLOOKUP(C347,CLIENT_CODE!B:B,CLIENT_CODE!G:G,0))</f>
        <v>0</v>
      </c>
      <c r="H347">
        <f>_xlfn.XLOOKUP(B347,CRN!G:G,CRN!L:L,"")</f>
        <v>0</v>
      </c>
      <c r="I347">
        <f>IF(H347=0,0,_xlfn.XLOOKUP(C347,CLIENT_CODE!B:B,CLIENT_CODE!H:H,0))</f>
        <v>0</v>
      </c>
      <c r="J347">
        <f>_xlfn.XLOOKUP(B347,CRN!G:G,CRN!M:M,"")</f>
        <v>0</v>
      </c>
      <c r="K347">
        <f>IF(J347=0,0,_xlfn.XLOOKUP(C347,CLIENT_CODE!B:B,CLIENT_CODE!I:I,0))</f>
        <v>0</v>
      </c>
      <c r="L347">
        <f>_xlfn.XLOOKUP(B347,CRN!G:G,CRN!N:N,"")</f>
        <v>0</v>
      </c>
      <c r="M347">
        <f>IF(L347=0,0,_xlfn.XLOOKUP(C347,CLIENT_CODE!B:B,CLIENT_CODE!J:J,0))</f>
        <v>0</v>
      </c>
      <c r="N347">
        <f>_xlfn.XLOOKUP(B347,CRN!G:G,CRN!O:O,"")</f>
        <v>0</v>
      </c>
      <c r="O347">
        <f>IF(N347=0,0,_xlfn.XLOOKUP(C347,CLIENT_CODE!B:B,CLIENT_CODE!K:K,0))</f>
        <v>0</v>
      </c>
      <c r="P347">
        <f>_xlfn.XLOOKUP(B347,CRN!G:G,CRN!P:P,"")</f>
        <v>0</v>
      </c>
      <c r="Q347">
        <f>IF(P347=0,0,_xlfn.XLOOKUP(C347,CLIENT_CODE!B:B,CLIENT_CODE!L:L,0))</f>
        <v>0</v>
      </c>
      <c r="R347">
        <f>_xlfn.XLOOKUP(B347,CRN!G:G,CRN!Q:Q,"")</f>
        <v>0</v>
      </c>
      <c r="S347">
        <f>IF(R347=0,0,_xlfn.XLOOKUP(C347,CLIENT_CODE!B:B,CLIENT_CODE!M:M,0))</f>
        <v>0</v>
      </c>
      <c r="T347">
        <f>_xlfn.XLOOKUP(B347,CRN!G:G,CRN!R:R,"")</f>
        <v>0</v>
      </c>
      <c r="U347">
        <f>IF(T347=0,0,_xlfn.XLOOKUP(C347,CLIENT_CODE!B:B,CLIENT_CODE!N:N,0))</f>
        <v>0</v>
      </c>
      <c r="V347">
        <f>_xlfn.XLOOKUP(B347,CRN!G:G,CRN!S:S,"")</f>
        <v>0</v>
      </c>
      <c r="W347">
        <f>IF(V347=0,0,_xlfn.XLOOKUP(C347,CLIENT_CODE!B:B,CLIENT_CODE!O:O,0))</f>
        <v>0</v>
      </c>
      <c r="X347">
        <f>_xlfn.XLOOKUP(B347,CRN!G:G,CRN!T:T,"")</f>
        <v>0</v>
      </c>
      <c r="Y347">
        <f>IF(X347=0,0,_xlfn.XLOOKUP(C347,CLIENT_CODE!B:B,CLIENT_CODE!P:P,0))</f>
        <v>0</v>
      </c>
      <c r="Z347">
        <f>_xlfn.XLOOKUP(B347,CRN!G:G,CRN!U:U,"")</f>
        <v>0</v>
      </c>
      <c r="AA347">
        <f>IF(X347=0,0,_xlfn.XLOOKUP(C347,CLIENT_CODE!B:B,CLIENT_CODE!P:P,0))</f>
        <v>0</v>
      </c>
      <c r="AB347">
        <f>_xlfn.XLOOKUP(B347,CRN!G:G,CRN!V:V,"")</f>
        <v>0</v>
      </c>
      <c r="AC347">
        <f>IF(AB347=0,0,_xlfn.XLOOKUP(C347,CLIENT_CODE!B:B,CLIENT_CODE!R:R,0))</f>
        <v>0</v>
      </c>
      <c r="AD347">
        <f t="shared" si="5"/>
        <v>0</v>
      </c>
    </row>
    <row r="348" spans="1:30">
      <c r="A348" s="42">
        <v>347</v>
      </c>
      <c r="E348">
        <f>IF(D348=0,0,_xlfn.XLOOKUP(C348,CLIENT_CODE!B:B,CLIENT_CODE!F:F,0))</f>
        <v>0</v>
      </c>
      <c r="F348">
        <f>_xlfn.XLOOKUP(B348,CRN!G:G,CRN!K:K,"")</f>
        <v>0</v>
      </c>
      <c r="G348">
        <f>IF(F348=0,0,_xlfn.XLOOKUP(C348,CLIENT_CODE!B:B,CLIENT_CODE!G:G,0))</f>
        <v>0</v>
      </c>
      <c r="H348">
        <f>_xlfn.XLOOKUP(B348,CRN!G:G,CRN!L:L,"")</f>
        <v>0</v>
      </c>
      <c r="I348">
        <f>IF(H348=0,0,_xlfn.XLOOKUP(C348,CLIENT_CODE!B:B,CLIENT_CODE!H:H,0))</f>
        <v>0</v>
      </c>
      <c r="J348">
        <f>_xlfn.XLOOKUP(B348,CRN!G:G,CRN!M:M,"")</f>
        <v>0</v>
      </c>
      <c r="K348">
        <f>IF(J348=0,0,_xlfn.XLOOKUP(C348,CLIENT_CODE!B:B,CLIENT_CODE!I:I,0))</f>
        <v>0</v>
      </c>
      <c r="L348">
        <f>_xlfn.XLOOKUP(B348,CRN!G:G,CRN!N:N,"")</f>
        <v>0</v>
      </c>
      <c r="M348">
        <f>IF(L348=0,0,_xlfn.XLOOKUP(C348,CLIENT_CODE!B:B,CLIENT_CODE!J:J,0))</f>
        <v>0</v>
      </c>
      <c r="N348">
        <f>_xlfn.XLOOKUP(B348,CRN!G:G,CRN!O:O,"")</f>
        <v>0</v>
      </c>
      <c r="O348">
        <f>IF(N348=0,0,_xlfn.XLOOKUP(C348,CLIENT_CODE!B:B,CLIENT_CODE!K:K,0))</f>
        <v>0</v>
      </c>
      <c r="P348">
        <f>_xlfn.XLOOKUP(B348,CRN!G:G,CRN!P:P,"")</f>
        <v>0</v>
      </c>
      <c r="Q348">
        <f>IF(P348=0,0,_xlfn.XLOOKUP(C348,CLIENT_CODE!B:B,CLIENT_CODE!L:L,0))</f>
        <v>0</v>
      </c>
      <c r="R348">
        <f>_xlfn.XLOOKUP(B348,CRN!G:G,CRN!Q:Q,"")</f>
        <v>0</v>
      </c>
      <c r="S348">
        <f>IF(R348=0,0,_xlfn.XLOOKUP(C348,CLIENT_CODE!B:B,CLIENT_CODE!M:M,0))</f>
        <v>0</v>
      </c>
      <c r="T348">
        <f>_xlfn.XLOOKUP(B348,CRN!G:G,CRN!R:R,"")</f>
        <v>0</v>
      </c>
      <c r="U348">
        <f>IF(T348=0,0,_xlfn.XLOOKUP(C348,CLIENT_CODE!B:B,CLIENT_CODE!N:N,0))</f>
        <v>0</v>
      </c>
      <c r="V348">
        <f>_xlfn.XLOOKUP(B348,CRN!G:G,CRN!S:S,"")</f>
        <v>0</v>
      </c>
      <c r="W348">
        <f>IF(V348=0,0,_xlfn.XLOOKUP(C348,CLIENT_CODE!B:B,CLIENT_CODE!O:O,0))</f>
        <v>0</v>
      </c>
      <c r="X348">
        <f>_xlfn.XLOOKUP(B348,CRN!G:G,CRN!T:T,"")</f>
        <v>0</v>
      </c>
      <c r="Y348">
        <f>IF(X348=0,0,_xlfn.XLOOKUP(C348,CLIENT_CODE!B:B,CLIENT_CODE!P:P,0))</f>
        <v>0</v>
      </c>
      <c r="Z348">
        <f>_xlfn.XLOOKUP(B348,CRN!G:G,CRN!U:U,"")</f>
        <v>0</v>
      </c>
      <c r="AA348">
        <f>IF(X348=0,0,_xlfn.XLOOKUP(C348,CLIENT_CODE!B:B,CLIENT_CODE!P:P,0))</f>
        <v>0</v>
      </c>
      <c r="AB348">
        <f>_xlfn.XLOOKUP(B348,CRN!G:G,CRN!V:V,"")</f>
        <v>0</v>
      </c>
      <c r="AC348">
        <f>IF(AB348=0,0,_xlfn.XLOOKUP(C348,CLIENT_CODE!B:B,CLIENT_CODE!R:R,0))</f>
        <v>0</v>
      </c>
      <c r="AD348">
        <f t="shared" si="5"/>
        <v>0</v>
      </c>
    </row>
    <row r="349" spans="1:30">
      <c r="A349" s="42">
        <v>348</v>
      </c>
      <c r="E349">
        <f>IF(D349=0,0,_xlfn.XLOOKUP(C349,CLIENT_CODE!B:B,CLIENT_CODE!F:F,0))</f>
        <v>0</v>
      </c>
      <c r="F349">
        <f>_xlfn.XLOOKUP(B349,CRN!G:G,CRN!K:K,"")</f>
        <v>0</v>
      </c>
      <c r="G349">
        <f>IF(F349=0,0,_xlfn.XLOOKUP(C349,CLIENT_CODE!B:B,CLIENT_CODE!G:G,0))</f>
        <v>0</v>
      </c>
      <c r="H349">
        <f>_xlfn.XLOOKUP(B349,CRN!G:G,CRN!L:L,"")</f>
        <v>0</v>
      </c>
      <c r="I349">
        <f>IF(H349=0,0,_xlfn.XLOOKUP(C349,CLIENT_CODE!B:B,CLIENT_CODE!H:H,0))</f>
        <v>0</v>
      </c>
      <c r="J349">
        <f>_xlfn.XLOOKUP(B349,CRN!G:G,CRN!M:M,"")</f>
        <v>0</v>
      </c>
      <c r="K349">
        <f>IF(J349=0,0,_xlfn.XLOOKUP(C349,CLIENT_CODE!B:B,CLIENT_CODE!I:I,0))</f>
        <v>0</v>
      </c>
      <c r="L349">
        <f>_xlfn.XLOOKUP(B349,CRN!G:G,CRN!N:N,"")</f>
        <v>0</v>
      </c>
      <c r="M349">
        <f>IF(L349=0,0,_xlfn.XLOOKUP(C349,CLIENT_CODE!B:B,CLIENT_CODE!J:J,0))</f>
        <v>0</v>
      </c>
      <c r="N349">
        <f>_xlfn.XLOOKUP(B349,CRN!G:G,CRN!O:O,"")</f>
        <v>0</v>
      </c>
      <c r="O349">
        <f>IF(N349=0,0,_xlfn.XLOOKUP(C349,CLIENT_CODE!B:B,CLIENT_CODE!K:K,0))</f>
        <v>0</v>
      </c>
      <c r="P349">
        <f>_xlfn.XLOOKUP(B349,CRN!G:G,CRN!P:P,"")</f>
        <v>0</v>
      </c>
      <c r="Q349">
        <f>IF(P349=0,0,_xlfn.XLOOKUP(C349,CLIENT_CODE!B:B,CLIENT_CODE!L:L,0))</f>
        <v>0</v>
      </c>
      <c r="R349">
        <f>_xlfn.XLOOKUP(B349,CRN!G:G,CRN!Q:Q,"")</f>
        <v>0</v>
      </c>
      <c r="S349">
        <f>IF(R349=0,0,_xlfn.XLOOKUP(C349,CLIENT_CODE!B:B,CLIENT_CODE!M:M,0))</f>
        <v>0</v>
      </c>
      <c r="T349">
        <f>_xlfn.XLOOKUP(B349,CRN!G:G,CRN!R:R,"")</f>
        <v>0</v>
      </c>
      <c r="U349">
        <f>IF(T349=0,0,_xlfn.XLOOKUP(C349,CLIENT_CODE!B:B,CLIENT_CODE!N:N,0))</f>
        <v>0</v>
      </c>
      <c r="V349">
        <f>_xlfn.XLOOKUP(B349,CRN!G:G,CRN!S:S,"")</f>
        <v>0</v>
      </c>
      <c r="W349">
        <f>IF(V349=0,0,_xlfn.XLOOKUP(C349,CLIENT_CODE!B:B,CLIENT_CODE!O:O,0))</f>
        <v>0</v>
      </c>
      <c r="X349">
        <f>_xlfn.XLOOKUP(B349,CRN!G:G,CRN!T:T,"")</f>
        <v>0</v>
      </c>
      <c r="Y349">
        <f>IF(X349=0,0,_xlfn.XLOOKUP(C349,CLIENT_CODE!B:B,CLIENT_CODE!P:P,0))</f>
        <v>0</v>
      </c>
      <c r="Z349">
        <f>_xlfn.XLOOKUP(B349,CRN!G:G,CRN!U:U,"")</f>
        <v>0</v>
      </c>
      <c r="AA349">
        <f>IF(X349=0,0,_xlfn.XLOOKUP(C349,CLIENT_CODE!B:B,CLIENT_CODE!P:P,0))</f>
        <v>0</v>
      </c>
      <c r="AB349">
        <f>_xlfn.XLOOKUP(B349,CRN!G:G,CRN!V:V,"")</f>
        <v>0</v>
      </c>
      <c r="AC349">
        <f>IF(AB349=0,0,_xlfn.XLOOKUP(C349,CLIENT_CODE!B:B,CLIENT_CODE!R:R,0))</f>
        <v>0</v>
      </c>
      <c r="AD349">
        <f t="shared" si="5"/>
        <v>0</v>
      </c>
    </row>
    <row r="350" spans="1:30">
      <c r="A350" s="42">
        <v>349</v>
      </c>
      <c r="E350">
        <f>IF(D350=0,0,_xlfn.XLOOKUP(C350,CLIENT_CODE!B:B,CLIENT_CODE!F:F,0))</f>
        <v>0</v>
      </c>
      <c r="F350">
        <f>_xlfn.XLOOKUP(B350,CRN!G:G,CRN!K:K,"")</f>
        <v>0</v>
      </c>
      <c r="G350">
        <f>IF(F350=0,0,_xlfn.XLOOKUP(C350,CLIENT_CODE!B:B,CLIENT_CODE!G:G,0))</f>
        <v>0</v>
      </c>
      <c r="H350">
        <f>_xlfn.XLOOKUP(B350,CRN!G:G,CRN!L:L,"")</f>
        <v>0</v>
      </c>
      <c r="I350">
        <f>IF(H350=0,0,_xlfn.XLOOKUP(C350,CLIENT_CODE!B:B,CLIENT_CODE!H:H,0))</f>
        <v>0</v>
      </c>
      <c r="J350">
        <f>_xlfn.XLOOKUP(B350,CRN!G:G,CRN!M:M,"")</f>
        <v>0</v>
      </c>
      <c r="K350">
        <f>IF(J350=0,0,_xlfn.XLOOKUP(C350,CLIENT_CODE!B:B,CLIENT_CODE!I:I,0))</f>
        <v>0</v>
      </c>
      <c r="L350">
        <f>_xlfn.XLOOKUP(B350,CRN!G:G,CRN!N:N,"")</f>
        <v>0</v>
      </c>
      <c r="M350">
        <f>IF(L350=0,0,_xlfn.XLOOKUP(C350,CLIENT_CODE!B:B,CLIENT_CODE!J:J,0))</f>
        <v>0</v>
      </c>
      <c r="N350">
        <f>_xlfn.XLOOKUP(B350,CRN!G:G,CRN!O:O,"")</f>
        <v>0</v>
      </c>
      <c r="O350">
        <f>IF(N350=0,0,_xlfn.XLOOKUP(C350,CLIENT_CODE!B:B,CLIENT_CODE!K:K,0))</f>
        <v>0</v>
      </c>
      <c r="P350">
        <f>_xlfn.XLOOKUP(B350,CRN!G:G,CRN!P:P,"")</f>
        <v>0</v>
      </c>
      <c r="Q350">
        <f>IF(P350=0,0,_xlfn.XLOOKUP(C350,CLIENT_CODE!B:B,CLIENT_CODE!L:L,0))</f>
        <v>0</v>
      </c>
      <c r="R350">
        <f>_xlfn.XLOOKUP(B350,CRN!G:G,CRN!Q:Q,"")</f>
        <v>0</v>
      </c>
      <c r="S350">
        <f>IF(R350=0,0,_xlfn.XLOOKUP(C350,CLIENT_CODE!B:B,CLIENT_CODE!M:M,0))</f>
        <v>0</v>
      </c>
      <c r="T350">
        <f>_xlfn.XLOOKUP(B350,CRN!G:G,CRN!R:R,"")</f>
        <v>0</v>
      </c>
      <c r="U350">
        <f>IF(T350=0,0,_xlfn.XLOOKUP(C350,CLIENT_CODE!B:B,CLIENT_CODE!N:N,0))</f>
        <v>0</v>
      </c>
      <c r="V350">
        <f>_xlfn.XLOOKUP(B350,CRN!G:G,CRN!S:S,"")</f>
        <v>0</v>
      </c>
      <c r="W350">
        <f>IF(V350=0,0,_xlfn.XLOOKUP(C350,CLIENT_CODE!B:B,CLIENT_CODE!O:O,0))</f>
        <v>0</v>
      </c>
      <c r="X350">
        <f>_xlfn.XLOOKUP(B350,CRN!G:G,CRN!T:T,"")</f>
        <v>0</v>
      </c>
      <c r="Y350">
        <f>IF(X350=0,0,_xlfn.XLOOKUP(C350,CLIENT_CODE!B:B,CLIENT_CODE!P:P,0))</f>
        <v>0</v>
      </c>
      <c r="Z350">
        <f>_xlfn.XLOOKUP(B350,CRN!G:G,CRN!U:U,"")</f>
        <v>0</v>
      </c>
      <c r="AA350">
        <f>IF(X350=0,0,_xlfn.XLOOKUP(C350,CLIENT_CODE!B:B,CLIENT_CODE!P:P,0))</f>
        <v>0</v>
      </c>
      <c r="AB350">
        <f>_xlfn.XLOOKUP(B350,CRN!G:G,CRN!V:V,"")</f>
        <v>0</v>
      </c>
      <c r="AC350">
        <f>IF(AB350=0,0,_xlfn.XLOOKUP(C350,CLIENT_CODE!B:B,CLIENT_CODE!R:R,0))</f>
        <v>0</v>
      </c>
      <c r="AD350">
        <f t="shared" si="5"/>
        <v>0</v>
      </c>
    </row>
    <row r="351" spans="1:30">
      <c r="A351" s="42">
        <v>350</v>
      </c>
      <c r="E351">
        <f>IF(D351=0,0,_xlfn.XLOOKUP(C351,CLIENT_CODE!B:B,CLIENT_CODE!F:F,0))</f>
        <v>0</v>
      </c>
      <c r="F351">
        <f>_xlfn.XLOOKUP(B351,CRN!G:G,CRN!K:K,"")</f>
        <v>0</v>
      </c>
      <c r="G351">
        <f>IF(F351=0,0,_xlfn.XLOOKUP(C351,CLIENT_CODE!B:B,CLIENT_CODE!G:G,0))</f>
        <v>0</v>
      </c>
      <c r="H351">
        <f>_xlfn.XLOOKUP(B351,CRN!G:G,CRN!L:L,"")</f>
        <v>0</v>
      </c>
      <c r="I351">
        <f>IF(H351=0,0,_xlfn.XLOOKUP(C351,CLIENT_CODE!B:B,CLIENT_CODE!H:H,0))</f>
        <v>0</v>
      </c>
      <c r="J351">
        <f>_xlfn.XLOOKUP(B351,CRN!G:G,CRN!M:M,"")</f>
        <v>0</v>
      </c>
      <c r="K351">
        <f>IF(J351=0,0,_xlfn.XLOOKUP(C351,CLIENT_CODE!B:B,CLIENT_CODE!I:I,0))</f>
        <v>0</v>
      </c>
      <c r="L351">
        <f>_xlfn.XLOOKUP(B351,CRN!G:G,CRN!N:N,"")</f>
        <v>0</v>
      </c>
      <c r="M351">
        <f>IF(L351=0,0,_xlfn.XLOOKUP(C351,CLIENT_CODE!B:B,CLIENT_CODE!J:J,0))</f>
        <v>0</v>
      </c>
      <c r="N351">
        <f>_xlfn.XLOOKUP(B351,CRN!G:G,CRN!O:O,"")</f>
        <v>0</v>
      </c>
      <c r="O351">
        <f>IF(N351=0,0,_xlfn.XLOOKUP(C351,CLIENT_CODE!B:B,CLIENT_CODE!K:K,0))</f>
        <v>0</v>
      </c>
      <c r="P351">
        <f>_xlfn.XLOOKUP(B351,CRN!G:G,CRN!P:P,"")</f>
        <v>0</v>
      </c>
      <c r="Q351">
        <f>IF(P351=0,0,_xlfn.XLOOKUP(C351,CLIENT_CODE!B:B,CLIENT_CODE!L:L,0))</f>
        <v>0</v>
      </c>
      <c r="R351">
        <f>_xlfn.XLOOKUP(B351,CRN!G:G,CRN!Q:Q,"")</f>
        <v>0</v>
      </c>
      <c r="S351">
        <f>IF(R351=0,0,_xlfn.XLOOKUP(C351,CLIENT_CODE!B:B,CLIENT_CODE!M:M,0))</f>
        <v>0</v>
      </c>
      <c r="T351">
        <f>_xlfn.XLOOKUP(B351,CRN!G:G,CRN!R:R,"")</f>
        <v>0</v>
      </c>
      <c r="U351">
        <f>IF(T351=0,0,_xlfn.XLOOKUP(C351,CLIENT_CODE!B:B,CLIENT_CODE!N:N,0))</f>
        <v>0</v>
      </c>
      <c r="V351">
        <f>_xlfn.XLOOKUP(B351,CRN!G:G,CRN!S:S,"")</f>
        <v>0</v>
      </c>
      <c r="W351">
        <f>IF(V351=0,0,_xlfn.XLOOKUP(C351,CLIENT_CODE!B:B,CLIENT_CODE!O:O,0))</f>
        <v>0</v>
      </c>
      <c r="X351">
        <f>_xlfn.XLOOKUP(B351,CRN!G:G,CRN!T:T,"")</f>
        <v>0</v>
      </c>
      <c r="Y351">
        <f>IF(X351=0,0,_xlfn.XLOOKUP(C351,CLIENT_CODE!B:B,CLIENT_CODE!P:P,0))</f>
        <v>0</v>
      </c>
      <c r="Z351">
        <f>_xlfn.XLOOKUP(B351,CRN!G:G,CRN!U:U,"")</f>
        <v>0</v>
      </c>
      <c r="AA351">
        <f>IF(X351=0,0,_xlfn.XLOOKUP(C351,CLIENT_CODE!B:B,CLIENT_CODE!P:P,0))</f>
        <v>0</v>
      </c>
      <c r="AB351">
        <f>_xlfn.XLOOKUP(B351,CRN!G:G,CRN!V:V,"")</f>
        <v>0</v>
      </c>
      <c r="AC351">
        <f>IF(AB351=0,0,_xlfn.XLOOKUP(C351,CLIENT_CODE!B:B,CLIENT_CODE!R:R,0))</f>
        <v>0</v>
      </c>
      <c r="AD351">
        <f t="shared" si="5"/>
        <v>0</v>
      </c>
    </row>
    <row r="352" spans="1:30">
      <c r="A352" s="42">
        <v>351</v>
      </c>
      <c r="E352">
        <f>IF(D352=0,0,_xlfn.XLOOKUP(C352,CLIENT_CODE!B:B,CLIENT_CODE!F:F,0))</f>
        <v>0</v>
      </c>
      <c r="F352">
        <f>_xlfn.XLOOKUP(B352,CRN!G:G,CRN!K:K,"")</f>
        <v>0</v>
      </c>
      <c r="G352">
        <f>IF(F352=0,0,_xlfn.XLOOKUP(C352,CLIENT_CODE!B:B,CLIENT_CODE!G:G,0))</f>
        <v>0</v>
      </c>
      <c r="H352">
        <f>_xlfn.XLOOKUP(B352,CRN!G:G,CRN!L:L,"")</f>
        <v>0</v>
      </c>
      <c r="I352">
        <f>IF(H352=0,0,_xlfn.XLOOKUP(C352,CLIENT_CODE!B:B,CLIENT_CODE!H:H,0))</f>
        <v>0</v>
      </c>
      <c r="J352">
        <f>_xlfn.XLOOKUP(B352,CRN!G:G,CRN!M:M,"")</f>
        <v>0</v>
      </c>
      <c r="K352">
        <f>IF(J352=0,0,_xlfn.XLOOKUP(C352,CLIENT_CODE!B:B,CLIENT_CODE!I:I,0))</f>
        <v>0</v>
      </c>
      <c r="L352">
        <f>_xlfn.XLOOKUP(B352,CRN!G:G,CRN!N:N,"")</f>
        <v>0</v>
      </c>
      <c r="M352">
        <f>IF(L352=0,0,_xlfn.XLOOKUP(C352,CLIENT_CODE!B:B,CLIENT_CODE!J:J,0))</f>
        <v>0</v>
      </c>
      <c r="N352">
        <f>_xlfn.XLOOKUP(B352,CRN!G:G,CRN!O:O,"")</f>
        <v>0</v>
      </c>
      <c r="O352">
        <f>IF(N352=0,0,_xlfn.XLOOKUP(C352,CLIENT_CODE!B:B,CLIENT_CODE!K:K,0))</f>
        <v>0</v>
      </c>
      <c r="P352">
        <f>_xlfn.XLOOKUP(B352,CRN!G:G,CRN!P:P,"")</f>
        <v>0</v>
      </c>
      <c r="Q352">
        <f>IF(P352=0,0,_xlfn.XLOOKUP(C352,CLIENT_CODE!B:B,CLIENT_CODE!L:L,0))</f>
        <v>0</v>
      </c>
      <c r="R352">
        <f>_xlfn.XLOOKUP(B352,CRN!G:G,CRN!Q:Q,"")</f>
        <v>0</v>
      </c>
      <c r="S352">
        <f>IF(R352=0,0,_xlfn.XLOOKUP(C352,CLIENT_CODE!B:B,CLIENT_CODE!M:M,0))</f>
        <v>0</v>
      </c>
      <c r="T352">
        <f>_xlfn.XLOOKUP(B352,CRN!G:G,CRN!R:R,"")</f>
        <v>0</v>
      </c>
      <c r="U352">
        <f>IF(T352=0,0,_xlfn.XLOOKUP(C352,CLIENT_CODE!B:B,CLIENT_CODE!N:N,0))</f>
        <v>0</v>
      </c>
      <c r="V352">
        <f>_xlfn.XLOOKUP(B352,CRN!G:G,CRN!S:S,"")</f>
        <v>0</v>
      </c>
      <c r="W352">
        <f>IF(V352=0,0,_xlfn.XLOOKUP(C352,CLIENT_CODE!B:B,CLIENT_CODE!O:O,0))</f>
        <v>0</v>
      </c>
      <c r="X352">
        <f>_xlfn.XLOOKUP(B352,CRN!G:G,CRN!T:T,"")</f>
        <v>0</v>
      </c>
      <c r="Y352">
        <f>IF(X352=0,0,_xlfn.XLOOKUP(C352,CLIENT_CODE!B:B,CLIENT_CODE!P:P,0))</f>
        <v>0</v>
      </c>
      <c r="Z352">
        <f>_xlfn.XLOOKUP(B352,CRN!G:G,CRN!U:U,"")</f>
        <v>0</v>
      </c>
      <c r="AA352">
        <f>IF(X352=0,0,_xlfn.XLOOKUP(C352,CLIENT_CODE!B:B,CLIENT_CODE!P:P,0))</f>
        <v>0</v>
      </c>
      <c r="AB352">
        <f>_xlfn.XLOOKUP(B352,CRN!G:G,CRN!V:V,"")</f>
        <v>0</v>
      </c>
      <c r="AC352">
        <f>IF(AB352=0,0,_xlfn.XLOOKUP(C352,CLIENT_CODE!B:B,CLIENT_CODE!R:R,0))</f>
        <v>0</v>
      </c>
      <c r="AD352">
        <f t="shared" si="5"/>
        <v>0</v>
      </c>
    </row>
    <row r="353" spans="1:30">
      <c r="A353" s="42">
        <v>352</v>
      </c>
      <c r="E353">
        <f>IF(D353=0,0,_xlfn.XLOOKUP(C353,CLIENT_CODE!B:B,CLIENT_CODE!F:F,0))</f>
        <v>0</v>
      </c>
      <c r="F353">
        <f>_xlfn.XLOOKUP(B353,CRN!G:G,CRN!K:K,"")</f>
        <v>0</v>
      </c>
      <c r="G353">
        <f>IF(F353=0,0,_xlfn.XLOOKUP(C353,CLIENT_CODE!B:B,CLIENT_CODE!G:G,0))</f>
        <v>0</v>
      </c>
      <c r="H353">
        <f>_xlfn.XLOOKUP(B353,CRN!G:G,CRN!L:L,"")</f>
        <v>0</v>
      </c>
      <c r="I353">
        <f>IF(H353=0,0,_xlfn.XLOOKUP(C353,CLIENT_CODE!B:B,CLIENT_CODE!H:H,0))</f>
        <v>0</v>
      </c>
      <c r="J353">
        <f>_xlfn.XLOOKUP(B353,CRN!G:G,CRN!M:M,"")</f>
        <v>0</v>
      </c>
      <c r="K353">
        <f>IF(J353=0,0,_xlfn.XLOOKUP(C353,CLIENT_CODE!B:B,CLIENT_CODE!I:I,0))</f>
        <v>0</v>
      </c>
      <c r="L353">
        <f>_xlfn.XLOOKUP(B353,CRN!G:G,CRN!N:N,"")</f>
        <v>0</v>
      </c>
      <c r="M353">
        <f>IF(L353=0,0,_xlfn.XLOOKUP(C353,CLIENT_CODE!B:B,CLIENT_CODE!J:J,0))</f>
        <v>0</v>
      </c>
      <c r="N353">
        <f>_xlfn.XLOOKUP(B353,CRN!G:G,CRN!O:O,"")</f>
        <v>0</v>
      </c>
      <c r="O353">
        <f>IF(N353=0,0,_xlfn.XLOOKUP(C353,CLIENT_CODE!B:B,CLIENT_CODE!K:K,0))</f>
        <v>0</v>
      </c>
      <c r="P353">
        <f>_xlfn.XLOOKUP(B353,CRN!G:G,CRN!P:P,"")</f>
        <v>0</v>
      </c>
      <c r="Q353">
        <f>IF(P353=0,0,_xlfn.XLOOKUP(C353,CLIENT_CODE!B:B,CLIENT_CODE!L:L,0))</f>
        <v>0</v>
      </c>
      <c r="R353">
        <f>_xlfn.XLOOKUP(B353,CRN!G:G,CRN!Q:Q,"")</f>
        <v>0</v>
      </c>
      <c r="S353">
        <f>IF(R353=0,0,_xlfn.XLOOKUP(C353,CLIENT_CODE!B:B,CLIENT_CODE!M:M,0))</f>
        <v>0</v>
      </c>
      <c r="T353">
        <f>_xlfn.XLOOKUP(B353,CRN!G:G,CRN!R:R,"")</f>
        <v>0</v>
      </c>
      <c r="U353">
        <f>IF(T353=0,0,_xlfn.XLOOKUP(C353,CLIENT_CODE!B:B,CLIENT_CODE!N:N,0))</f>
        <v>0</v>
      </c>
      <c r="V353">
        <f>_xlfn.XLOOKUP(B353,CRN!G:G,CRN!S:S,"")</f>
        <v>0</v>
      </c>
      <c r="W353">
        <f>IF(V353=0,0,_xlfn.XLOOKUP(C353,CLIENT_CODE!B:B,CLIENT_CODE!O:O,0))</f>
        <v>0</v>
      </c>
      <c r="X353">
        <f>_xlfn.XLOOKUP(B353,CRN!G:G,CRN!T:T,"")</f>
        <v>0</v>
      </c>
      <c r="Y353">
        <f>IF(X353=0,0,_xlfn.XLOOKUP(C353,CLIENT_CODE!B:B,CLIENT_CODE!P:P,0))</f>
        <v>0</v>
      </c>
      <c r="Z353">
        <f>_xlfn.XLOOKUP(B353,CRN!G:G,CRN!U:U,"")</f>
        <v>0</v>
      </c>
      <c r="AA353">
        <f>IF(X353=0,0,_xlfn.XLOOKUP(C353,CLIENT_CODE!B:B,CLIENT_CODE!P:P,0))</f>
        <v>0</v>
      </c>
      <c r="AB353">
        <f>_xlfn.XLOOKUP(B353,CRN!G:G,CRN!V:V,"")</f>
        <v>0</v>
      </c>
      <c r="AC353">
        <f>IF(AB353=0,0,_xlfn.XLOOKUP(C353,CLIENT_CODE!B:B,CLIENT_CODE!R:R,0))</f>
        <v>0</v>
      </c>
      <c r="AD353">
        <f t="shared" si="5"/>
        <v>0</v>
      </c>
    </row>
    <row r="354" spans="1:30">
      <c r="A354" s="42">
        <v>353</v>
      </c>
      <c r="E354">
        <f>IF(D354=0,0,_xlfn.XLOOKUP(C354,CLIENT_CODE!B:B,CLIENT_CODE!F:F,0))</f>
        <v>0</v>
      </c>
      <c r="F354">
        <f>_xlfn.XLOOKUP(B354,CRN!G:G,CRN!K:K,"")</f>
        <v>0</v>
      </c>
      <c r="G354">
        <f>IF(F354=0,0,_xlfn.XLOOKUP(C354,CLIENT_CODE!B:B,CLIENT_CODE!G:G,0))</f>
        <v>0</v>
      </c>
      <c r="H354">
        <f>_xlfn.XLOOKUP(B354,CRN!G:G,CRN!L:L,"")</f>
        <v>0</v>
      </c>
      <c r="I354">
        <f>IF(H354=0,0,_xlfn.XLOOKUP(C354,CLIENT_CODE!B:B,CLIENT_CODE!H:H,0))</f>
        <v>0</v>
      </c>
      <c r="J354">
        <f>_xlfn.XLOOKUP(B354,CRN!G:G,CRN!M:M,"")</f>
        <v>0</v>
      </c>
      <c r="K354">
        <f>IF(J354=0,0,_xlfn.XLOOKUP(C354,CLIENT_CODE!B:B,CLIENT_CODE!I:I,0))</f>
        <v>0</v>
      </c>
      <c r="L354">
        <f>_xlfn.XLOOKUP(B354,CRN!G:G,CRN!N:N,"")</f>
        <v>0</v>
      </c>
      <c r="M354">
        <f>IF(L354=0,0,_xlfn.XLOOKUP(C354,CLIENT_CODE!B:B,CLIENT_CODE!J:J,0))</f>
        <v>0</v>
      </c>
      <c r="N354">
        <f>_xlfn.XLOOKUP(B354,CRN!G:G,CRN!O:O,"")</f>
        <v>0</v>
      </c>
      <c r="O354">
        <f>IF(N354=0,0,_xlfn.XLOOKUP(C354,CLIENT_CODE!B:B,CLIENT_CODE!K:K,0))</f>
        <v>0</v>
      </c>
      <c r="P354">
        <f>_xlfn.XLOOKUP(B354,CRN!G:G,CRN!P:P,"")</f>
        <v>0</v>
      </c>
      <c r="Q354">
        <f>IF(P354=0,0,_xlfn.XLOOKUP(C354,CLIENT_CODE!B:B,CLIENT_CODE!L:L,0))</f>
        <v>0</v>
      </c>
      <c r="R354">
        <f>_xlfn.XLOOKUP(B354,CRN!G:G,CRN!Q:Q,"")</f>
        <v>0</v>
      </c>
      <c r="S354">
        <f>IF(R354=0,0,_xlfn.XLOOKUP(C354,CLIENT_CODE!B:B,CLIENT_CODE!M:M,0))</f>
        <v>0</v>
      </c>
      <c r="T354">
        <f>_xlfn.XLOOKUP(B354,CRN!G:G,CRN!R:R,"")</f>
        <v>0</v>
      </c>
      <c r="U354">
        <f>IF(T354=0,0,_xlfn.XLOOKUP(C354,CLIENT_CODE!B:B,CLIENT_CODE!N:N,0))</f>
        <v>0</v>
      </c>
      <c r="V354">
        <f>_xlfn.XLOOKUP(B354,CRN!G:G,CRN!S:S,"")</f>
        <v>0</v>
      </c>
      <c r="W354">
        <f>IF(V354=0,0,_xlfn.XLOOKUP(C354,CLIENT_CODE!B:B,CLIENT_CODE!O:O,0))</f>
        <v>0</v>
      </c>
      <c r="X354">
        <f>_xlfn.XLOOKUP(B354,CRN!G:G,CRN!T:T,"")</f>
        <v>0</v>
      </c>
      <c r="Y354">
        <f>IF(X354=0,0,_xlfn.XLOOKUP(C354,CLIENT_CODE!B:B,CLIENT_CODE!P:P,0))</f>
        <v>0</v>
      </c>
      <c r="Z354">
        <f>_xlfn.XLOOKUP(B354,CRN!G:G,CRN!U:U,"")</f>
        <v>0</v>
      </c>
      <c r="AA354">
        <f>IF(X354=0,0,_xlfn.XLOOKUP(C354,CLIENT_CODE!B:B,CLIENT_CODE!P:P,0))</f>
        <v>0</v>
      </c>
      <c r="AB354">
        <f>_xlfn.XLOOKUP(B354,CRN!G:G,CRN!V:V,"")</f>
        <v>0</v>
      </c>
      <c r="AC354">
        <f>IF(AB354=0,0,_xlfn.XLOOKUP(C354,CLIENT_CODE!B:B,CLIENT_CODE!R:R,0))</f>
        <v>0</v>
      </c>
      <c r="AD354">
        <f t="shared" si="5"/>
        <v>0</v>
      </c>
    </row>
    <row r="355" spans="1:30">
      <c r="A355" s="42">
        <v>354</v>
      </c>
      <c r="E355">
        <f>IF(D355=0,0,_xlfn.XLOOKUP(C355,CLIENT_CODE!B:B,CLIENT_CODE!F:F,0))</f>
        <v>0</v>
      </c>
      <c r="F355">
        <f>_xlfn.XLOOKUP(B355,CRN!G:G,CRN!K:K,"")</f>
        <v>0</v>
      </c>
      <c r="G355">
        <f>IF(F355=0,0,_xlfn.XLOOKUP(C355,CLIENT_CODE!B:B,CLIENT_CODE!G:G,0))</f>
        <v>0</v>
      </c>
      <c r="H355">
        <f>_xlfn.XLOOKUP(B355,CRN!G:G,CRN!L:L,"")</f>
        <v>0</v>
      </c>
      <c r="I355">
        <f>IF(H355=0,0,_xlfn.XLOOKUP(C355,CLIENT_CODE!B:B,CLIENT_CODE!H:H,0))</f>
        <v>0</v>
      </c>
      <c r="J355">
        <f>_xlfn.XLOOKUP(B355,CRN!G:G,CRN!M:M,"")</f>
        <v>0</v>
      </c>
      <c r="K355">
        <f>IF(J355=0,0,_xlfn.XLOOKUP(C355,CLIENT_CODE!B:B,CLIENT_CODE!I:I,0))</f>
        <v>0</v>
      </c>
      <c r="L355">
        <f>_xlfn.XLOOKUP(B355,CRN!G:G,CRN!N:N,"")</f>
        <v>0</v>
      </c>
      <c r="M355">
        <f>IF(L355=0,0,_xlfn.XLOOKUP(C355,CLIENT_CODE!B:B,CLIENT_CODE!J:J,0))</f>
        <v>0</v>
      </c>
      <c r="N355">
        <f>_xlfn.XLOOKUP(B355,CRN!G:G,CRN!O:O,"")</f>
        <v>0</v>
      </c>
      <c r="O355">
        <f>IF(N355=0,0,_xlfn.XLOOKUP(C355,CLIENT_CODE!B:B,CLIENT_CODE!K:K,0))</f>
        <v>0</v>
      </c>
      <c r="P355">
        <f>_xlfn.XLOOKUP(B355,CRN!G:G,CRN!P:P,"")</f>
        <v>0</v>
      </c>
      <c r="Q355">
        <f>IF(P355=0,0,_xlfn.XLOOKUP(C355,CLIENT_CODE!B:B,CLIENT_CODE!L:L,0))</f>
        <v>0</v>
      </c>
      <c r="R355">
        <f>_xlfn.XLOOKUP(B355,CRN!G:G,CRN!Q:Q,"")</f>
        <v>0</v>
      </c>
      <c r="S355">
        <f>IF(R355=0,0,_xlfn.XLOOKUP(C355,CLIENT_CODE!B:B,CLIENT_CODE!M:M,0))</f>
        <v>0</v>
      </c>
      <c r="T355">
        <f>_xlfn.XLOOKUP(B355,CRN!G:G,CRN!R:R,"")</f>
        <v>0</v>
      </c>
      <c r="U355">
        <f>IF(T355=0,0,_xlfn.XLOOKUP(C355,CLIENT_CODE!B:B,CLIENT_CODE!N:N,0))</f>
        <v>0</v>
      </c>
      <c r="V355">
        <f>_xlfn.XLOOKUP(B355,CRN!G:G,CRN!S:S,"")</f>
        <v>0</v>
      </c>
      <c r="W355">
        <f>IF(V355=0,0,_xlfn.XLOOKUP(C355,CLIENT_CODE!B:B,CLIENT_CODE!O:O,0))</f>
        <v>0</v>
      </c>
      <c r="X355">
        <f>_xlfn.XLOOKUP(B355,CRN!G:G,CRN!T:T,"")</f>
        <v>0</v>
      </c>
      <c r="Y355">
        <f>IF(X355=0,0,_xlfn.XLOOKUP(C355,CLIENT_CODE!B:B,CLIENT_CODE!P:P,0))</f>
        <v>0</v>
      </c>
      <c r="Z355">
        <f>_xlfn.XLOOKUP(B355,CRN!G:G,CRN!U:U,"")</f>
        <v>0</v>
      </c>
      <c r="AA355">
        <f>IF(X355=0,0,_xlfn.XLOOKUP(C355,CLIENT_CODE!B:B,CLIENT_CODE!P:P,0))</f>
        <v>0</v>
      </c>
      <c r="AB355">
        <f>_xlfn.XLOOKUP(B355,CRN!G:G,CRN!V:V,"")</f>
        <v>0</v>
      </c>
      <c r="AC355">
        <f>IF(AB355=0,0,_xlfn.XLOOKUP(C355,CLIENT_CODE!B:B,CLIENT_CODE!R:R,0))</f>
        <v>0</v>
      </c>
      <c r="AD355">
        <f t="shared" si="5"/>
        <v>0</v>
      </c>
    </row>
    <row r="356" spans="1:30">
      <c r="A356" s="42">
        <v>355</v>
      </c>
      <c r="E356">
        <f>IF(D356=0,0,_xlfn.XLOOKUP(C356,CLIENT_CODE!B:B,CLIENT_CODE!F:F,0))</f>
        <v>0</v>
      </c>
      <c r="F356">
        <f>_xlfn.XLOOKUP(B356,CRN!G:G,CRN!K:K,"")</f>
        <v>0</v>
      </c>
      <c r="G356">
        <f>IF(F356=0,0,_xlfn.XLOOKUP(C356,CLIENT_CODE!B:B,CLIENT_CODE!G:G,0))</f>
        <v>0</v>
      </c>
      <c r="H356">
        <f>_xlfn.XLOOKUP(B356,CRN!G:G,CRN!L:L,"")</f>
        <v>0</v>
      </c>
      <c r="I356">
        <f>IF(H356=0,0,_xlfn.XLOOKUP(C356,CLIENT_CODE!B:B,CLIENT_CODE!H:H,0))</f>
        <v>0</v>
      </c>
      <c r="J356">
        <f>_xlfn.XLOOKUP(B356,CRN!G:G,CRN!M:M,"")</f>
        <v>0</v>
      </c>
      <c r="K356">
        <f>IF(J356=0,0,_xlfn.XLOOKUP(C356,CLIENT_CODE!B:B,CLIENT_CODE!I:I,0))</f>
        <v>0</v>
      </c>
      <c r="L356">
        <f>_xlfn.XLOOKUP(B356,CRN!G:G,CRN!N:N,"")</f>
        <v>0</v>
      </c>
      <c r="M356">
        <f>IF(L356=0,0,_xlfn.XLOOKUP(C356,CLIENT_CODE!B:B,CLIENT_CODE!J:J,0))</f>
        <v>0</v>
      </c>
      <c r="N356">
        <f>_xlfn.XLOOKUP(B356,CRN!G:G,CRN!O:O,"")</f>
        <v>0</v>
      </c>
      <c r="O356">
        <f>IF(N356=0,0,_xlfn.XLOOKUP(C356,CLIENT_CODE!B:B,CLIENT_CODE!K:K,0))</f>
        <v>0</v>
      </c>
      <c r="P356">
        <f>_xlfn.XLOOKUP(B356,CRN!G:G,CRN!P:P,"")</f>
        <v>0</v>
      </c>
      <c r="Q356">
        <f>IF(P356=0,0,_xlfn.XLOOKUP(C356,CLIENT_CODE!B:B,CLIENT_CODE!L:L,0))</f>
        <v>0</v>
      </c>
      <c r="R356">
        <f>_xlfn.XLOOKUP(B356,CRN!G:G,CRN!Q:Q,"")</f>
        <v>0</v>
      </c>
      <c r="S356">
        <f>IF(R356=0,0,_xlfn.XLOOKUP(C356,CLIENT_CODE!B:B,CLIENT_CODE!M:M,0))</f>
        <v>0</v>
      </c>
      <c r="T356">
        <f>_xlfn.XLOOKUP(B356,CRN!G:G,CRN!R:R,"")</f>
        <v>0</v>
      </c>
      <c r="U356">
        <f>IF(T356=0,0,_xlfn.XLOOKUP(C356,CLIENT_CODE!B:B,CLIENT_CODE!N:N,0))</f>
        <v>0</v>
      </c>
      <c r="V356">
        <f>_xlfn.XLOOKUP(B356,CRN!G:G,CRN!S:S,"")</f>
        <v>0</v>
      </c>
      <c r="W356">
        <f>IF(V356=0,0,_xlfn.XLOOKUP(C356,CLIENT_CODE!B:B,CLIENT_CODE!O:O,0))</f>
        <v>0</v>
      </c>
      <c r="X356">
        <f>_xlfn.XLOOKUP(B356,CRN!G:G,CRN!T:T,"")</f>
        <v>0</v>
      </c>
      <c r="Y356">
        <f>IF(X356=0,0,_xlfn.XLOOKUP(C356,CLIENT_CODE!B:B,CLIENT_CODE!P:P,0))</f>
        <v>0</v>
      </c>
      <c r="Z356">
        <f>_xlfn.XLOOKUP(B356,CRN!G:G,CRN!U:U,"")</f>
        <v>0</v>
      </c>
      <c r="AA356">
        <f>IF(X356=0,0,_xlfn.XLOOKUP(C356,CLIENT_CODE!B:B,CLIENT_CODE!P:P,0))</f>
        <v>0</v>
      </c>
      <c r="AB356">
        <f>_xlfn.XLOOKUP(B356,CRN!G:G,CRN!V:V,"")</f>
        <v>0</v>
      </c>
      <c r="AC356">
        <f>IF(AB356=0,0,_xlfn.XLOOKUP(C356,CLIENT_CODE!B:B,CLIENT_CODE!R:R,0))</f>
        <v>0</v>
      </c>
      <c r="AD356">
        <f t="shared" si="5"/>
        <v>0</v>
      </c>
    </row>
    <row r="357" spans="1:30">
      <c r="A357" s="42">
        <v>356</v>
      </c>
      <c r="E357">
        <f>IF(D357=0,0,_xlfn.XLOOKUP(C357,CLIENT_CODE!B:B,CLIENT_CODE!F:F,0))</f>
        <v>0</v>
      </c>
      <c r="F357">
        <f>_xlfn.XLOOKUP(B357,CRN!G:G,CRN!K:K,"")</f>
        <v>0</v>
      </c>
      <c r="G357">
        <f>IF(F357=0,0,_xlfn.XLOOKUP(C357,CLIENT_CODE!B:B,CLIENT_CODE!G:G,0))</f>
        <v>0</v>
      </c>
      <c r="H357">
        <f>_xlfn.XLOOKUP(B357,CRN!G:G,CRN!L:L,"")</f>
        <v>0</v>
      </c>
      <c r="I357">
        <f>IF(H357=0,0,_xlfn.XLOOKUP(C357,CLIENT_CODE!B:B,CLIENT_CODE!H:H,0))</f>
        <v>0</v>
      </c>
      <c r="J357">
        <f>_xlfn.XLOOKUP(B357,CRN!G:G,CRN!M:M,"")</f>
        <v>0</v>
      </c>
      <c r="K357">
        <f>IF(J357=0,0,_xlfn.XLOOKUP(C357,CLIENT_CODE!B:B,CLIENT_CODE!I:I,0))</f>
        <v>0</v>
      </c>
      <c r="L357">
        <f>_xlfn.XLOOKUP(B357,CRN!G:G,CRN!N:N,"")</f>
        <v>0</v>
      </c>
      <c r="M357">
        <f>IF(L357=0,0,_xlfn.XLOOKUP(C357,CLIENT_CODE!B:B,CLIENT_CODE!J:J,0))</f>
        <v>0</v>
      </c>
      <c r="N357">
        <f>_xlfn.XLOOKUP(B357,CRN!G:G,CRN!O:O,"")</f>
        <v>0</v>
      </c>
      <c r="O357">
        <f>IF(N357=0,0,_xlfn.XLOOKUP(C357,CLIENT_CODE!B:B,CLIENT_CODE!K:K,0))</f>
        <v>0</v>
      </c>
      <c r="P357">
        <f>_xlfn.XLOOKUP(B357,CRN!G:G,CRN!P:P,"")</f>
        <v>0</v>
      </c>
      <c r="Q357">
        <f>IF(P357=0,0,_xlfn.XLOOKUP(C357,CLIENT_CODE!B:B,CLIENT_CODE!L:L,0))</f>
        <v>0</v>
      </c>
      <c r="R357">
        <f>_xlfn.XLOOKUP(B357,CRN!G:G,CRN!Q:Q,"")</f>
        <v>0</v>
      </c>
      <c r="S357">
        <f>IF(R357=0,0,_xlfn.XLOOKUP(C357,CLIENT_CODE!B:B,CLIENT_CODE!M:M,0))</f>
        <v>0</v>
      </c>
      <c r="T357">
        <f>_xlfn.XLOOKUP(B357,CRN!G:G,CRN!R:R,"")</f>
        <v>0</v>
      </c>
      <c r="U357">
        <f>IF(T357=0,0,_xlfn.XLOOKUP(C357,CLIENT_CODE!B:B,CLIENT_CODE!N:N,0))</f>
        <v>0</v>
      </c>
      <c r="V357">
        <f>_xlfn.XLOOKUP(B357,CRN!G:G,CRN!S:S,"")</f>
        <v>0</v>
      </c>
      <c r="W357">
        <f>IF(V357=0,0,_xlfn.XLOOKUP(C357,CLIENT_CODE!B:B,CLIENT_CODE!O:O,0))</f>
        <v>0</v>
      </c>
      <c r="X357">
        <f>_xlfn.XLOOKUP(B357,CRN!G:G,CRN!T:T,"")</f>
        <v>0</v>
      </c>
      <c r="Y357">
        <f>IF(X357=0,0,_xlfn.XLOOKUP(C357,CLIENT_CODE!B:B,CLIENT_CODE!P:P,0))</f>
        <v>0</v>
      </c>
      <c r="Z357">
        <f>_xlfn.XLOOKUP(B357,CRN!G:G,CRN!U:U,"")</f>
        <v>0</v>
      </c>
      <c r="AA357">
        <f>IF(X357=0,0,_xlfn.XLOOKUP(C357,CLIENT_CODE!B:B,CLIENT_CODE!P:P,0))</f>
        <v>0</v>
      </c>
      <c r="AB357">
        <f>_xlfn.XLOOKUP(B357,CRN!G:G,CRN!V:V,"")</f>
        <v>0</v>
      </c>
      <c r="AC357">
        <f>IF(AB357=0,0,_xlfn.XLOOKUP(C357,CLIENT_CODE!B:B,CLIENT_CODE!R:R,0))</f>
        <v>0</v>
      </c>
      <c r="AD357">
        <f t="shared" si="5"/>
        <v>0</v>
      </c>
    </row>
    <row r="358" spans="1:30">
      <c r="A358" s="42">
        <v>357</v>
      </c>
      <c r="E358">
        <f>IF(D358=0,0,_xlfn.XLOOKUP(C358,CLIENT_CODE!B:B,CLIENT_CODE!F:F,0))</f>
        <v>0</v>
      </c>
      <c r="F358">
        <f>_xlfn.XLOOKUP(B358,CRN!G:G,CRN!K:K,"")</f>
        <v>0</v>
      </c>
      <c r="G358">
        <f>IF(F358=0,0,_xlfn.XLOOKUP(C358,CLIENT_CODE!B:B,CLIENT_CODE!G:G,0))</f>
        <v>0</v>
      </c>
      <c r="H358">
        <f>_xlfn.XLOOKUP(B358,CRN!G:G,CRN!L:L,"")</f>
        <v>0</v>
      </c>
      <c r="I358">
        <f>IF(H358=0,0,_xlfn.XLOOKUP(C358,CLIENT_CODE!B:B,CLIENT_CODE!H:H,0))</f>
        <v>0</v>
      </c>
      <c r="J358">
        <f>_xlfn.XLOOKUP(B358,CRN!G:G,CRN!M:M,"")</f>
        <v>0</v>
      </c>
      <c r="K358">
        <f>IF(J358=0,0,_xlfn.XLOOKUP(C358,CLIENT_CODE!B:B,CLIENT_CODE!I:I,0))</f>
        <v>0</v>
      </c>
      <c r="L358">
        <f>_xlfn.XLOOKUP(B358,CRN!G:G,CRN!N:N,"")</f>
        <v>0</v>
      </c>
      <c r="M358">
        <f>IF(L358=0,0,_xlfn.XLOOKUP(C358,CLIENT_CODE!B:B,CLIENT_CODE!J:J,0))</f>
        <v>0</v>
      </c>
      <c r="N358">
        <f>_xlfn.XLOOKUP(B358,CRN!G:G,CRN!O:O,"")</f>
        <v>0</v>
      </c>
      <c r="O358">
        <f>IF(N358=0,0,_xlfn.XLOOKUP(C358,CLIENT_CODE!B:B,CLIENT_CODE!K:K,0))</f>
        <v>0</v>
      </c>
      <c r="P358">
        <f>_xlfn.XLOOKUP(B358,CRN!G:G,CRN!P:P,"")</f>
        <v>0</v>
      </c>
      <c r="Q358">
        <f>IF(P358=0,0,_xlfn.XLOOKUP(C358,CLIENT_CODE!B:B,CLIENT_CODE!L:L,0))</f>
        <v>0</v>
      </c>
      <c r="R358">
        <f>_xlfn.XLOOKUP(B358,CRN!G:G,CRN!Q:Q,"")</f>
        <v>0</v>
      </c>
      <c r="S358">
        <f>IF(R358=0,0,_xlfn.XLOOKUP(C358,CLIENT_CODE!B:B,CLIENT_CODE!M:M,0))</f>
        <v>0</v>
      </c>
      <c r="T358">
        <f>_xlfn.XLOOKUP(B358,CRN!G:G,CRN!R:R,"")</f>
        <v>0</v>
      </c>
      <c r="U358">
        <f>IF(T358=0,0,_xlfn.XLOOKUP(C358,CLIENT_CODE!B:B,CLIENT_CODE!N:N,0))</f>
        <v>0</v>
      </c>
      <c r="V358">
        <f>_xlfn.XLOOKUP(B358,CRN!G:G,CRN!S:S,"")</f>
        <v>0</v>
      </c>
      <c r="W358">
        <f>IF(V358=0,0,_xlfn.XLOOKUP(C358,CLIENT_CODE!B:B,CLIENT_CODE!O:O,0))</f>
        <v>0</v>
      </c>
      <c r="X358">
        <f>_xlfn.XLOOKUP(B358,CRN!G:G,CRN!T:T,"")</f>
        <v>0</v>
      </c>
      <c r="Y358">
        <f>IF(X358=0,0,_xlfn.XLOOKUP(C358,CLIENT_CODE!B:B,CLIENT_CODE!P:P,0))</f>
        <v>0</v>
      </c>
      <c r="Z358">
        <f>_xlfn.XLOOKUP(B358,CRN!G:G,CRN!U:U,"")</f>
        <v>0</v>
      </c>
      <c r="AA358">
        <f>IF(X358=0,0,_xlfn.XLOOKUP(C358,CLIENT_CODE!B:B,CLIENT_CODE!P:P,0))</f>
        <v>0</v>
      </c>
      <c r="AB358">
        <f>_xlfn.XLOOKUP(B358,CRN!G:G,CRN!V:V,"")</f>
        <v>0</v>
      </c>
      <c r="AC358">
        <f>IF(AB358=0,0,_xlfn.XLOOKUP(C358,CLIENT_CODE!B:B,CLIENT_CODE!R:R,0))</f>
        <v>0</v>
      </c>
      <c r="AD358">
        <f t="shared" si="5"/>
        <v>0</v>
      </c>
    </row>
    <row r="359" spans="1:30">
      <c r="A359" s="42">
        <v>358</v>
      </c>
      <c r="E359">
        <f>IF(D359=0,0,_xlfn.XLOOKUP(C359,CLIENT_CODE!B:B,CLIENT_CODE!F:F,0))</f>
        <v>0</v>
      </c>
      <c r="F359">
        <f>_xlfn.XLOOKUP(B359,CRN!G:G,CRN!K:K,"")</f>
        <v>0</v>
      </c>
      <c r="G359">
        <f>IF(F359=0,0,_xlfn.XLOOKUP(C359,CLIENT_CODE!B:B,CLIENT_CODE!G:G,0))</f>
        <v>0</v>
      </c>
      <c r="H359">
        <f>_xlfn.XLOOKUP(B359,CRN!G:G,CRN!L:L,"")</f>
        <v>0</v>
      </c>
      <c r="I359">
        <f>IF(H359=0,0,_xlfn.XLOOKUP(C359,CLIENT_CODE!B:B,CLIENT_CODE!H:H,0))</f>
        <v>0</v>
      </c>
      <c r="J359">
        <f>_xlfn.XLOOKUP(B359,CRN!G:G,CRN!M:M,"")</f>
        <v>0</v>
      </c>
      <c r="K359">
        <f>IF(J359=0,0,_xlfn.XLOOKUP(C359,CLIENT_CODE!B:B,CLIENT_CODE!I:I,0))</f>
        <v>0</v>
      </c>
      <c r="L359">
        <f>_xlfn.XLOOKUP(B359,CRN!G:G,CRN!N:N,"")</f>
        <v>0</v>
      </c>
      <c r="M359">
        <f>IF(L359=0,0,_xlfn.XLOOKUP(C359,CLIENT_CODE!B:B,CLIENT_CODE!J:J,0))</f>
        <v>0</v>
      </c>
      <c r="N359">
        <f>_xlfn.XLOOKUP(B359,CRN!G:G,CRN!O:O,"")</f>
        <v>0</v>
      </c>
      <c r="O359">
        <f>IF(N359=0,0,_xlfn.XLOOKUP(C359,CLIENT_CODE!B:B,CLIENT_CODE!K:K,0))</f>
        <v>0</v>
      </c>
      <c r="P359">
        <f>_xlfn.XLOOKUP(B359,CRN!G:G,CRN!P:P,"")</f>
        <v>0</v>
      </c>
      <c r="Q359">
        <f>IF(P359=0,0,_xlfn.XLOOKUP(C359,CLIENT_CODE!B:B,CLIENT_CODE!L:L,0))</f>
        <v>0</v>
      </c>
      <c r="R359">
        <f>_xlfn.XLOOKUP(B359,CRN!G:G,CRN!Q:Q,"")</f>
        <v>0</v>
      </c>
      <c r="S359">
        <f>IF(R359=0,0,_xlfn.XLOOKUP(C359,CLIENT_CODE!B:B,CLIENT_CODE!M:M,0))</f>
        <v>0</v>
      </c>
      <c r="T359">
        <f>_xlfn.XLOOKUP(B359,CRN!G:G,CRN!R:R,"")</f>
        <v>0</v>
      </c>
      <c r="U359">
        <f>IF(T359=0,0,_xlfn.XLOOKUP(C359,CLIENT_CODE!B:B,CLIENT_CODE!N:N,0))</f>
        <v>0</v>
      </c>
      <c r="V359">
        <f>_xlfn.XLOOKUP(B359,CRN!G:G,CRN!S:S,"")</f>
        <v>0</v>
      </c>
      <c r="W359">
        <f>IF(V359=0,0,_xlfn.XLOOKUP(C359,CLIENT_CODE!B:B,CLIENT_CODE!O:O,0))</f>
        <v>0</v>
      </c>
      <c r="X359">
        <f>_xlfn.XLOOKUP(B359,CRN!G:G,CRN!T:T,"")</f>
        <v>0</v>
      </c>
      <c r="Y359">
        <f>IF(X359=0,0,_xlfn.XLOOKUP(C359,CLIENT_CODE!B:B,CLIENT_CODE!P:P,0))</f>
        <v>0</v>
      </c>
      <c r="Z359">
        <f>_xlfn.XLOOKUP(B359,CRN!G:G,CRN!U:U,"")</f>
        <v>0</v>
      </c>
      <c r="AA359">
        <f>IF(X359=0,0,_xlfn.XLOOKUP(C359,CLIENT_CODE!B:B,CLIENT_CODE!P:P,0))</f>
        <v>0</v>
      </c>
      <c r="AB359">
        <f>_xlfn.XLOOKUP(B359,CRN!G:G,CRN!V:V,"")</f>
        <v>0</v>
      </c>
      <c r="AC359">
        <f>IF(AB359=0,0,_xlfn.XLOOKUP(C359,CLIENT_CODE!B:B,CLIENT_CODE!R:R,0))</f>
        <v>0</v>
      </c>
      <c r="AD359">
        <f t="shared" si="5"/>
        <v>0</v>
      </c>
    </row>
    <row r="360" spans="1:30">
      <c r="A360" s="42">
        <v>359</v>
      </c>
      <c r="E360">
        <f>IF(D360=0,0,_xlfn.XLOOKUP(C360,CLIENT_CODE!B:B,CLIENT_CODE!F:F,0))</f>
        <v>0</v>
      </c>
      <c r="F360">
        <f>_xlfn.XLOOKUP(B360,CRN!G:G,CRN!K:K,"")</f>
        <v>0</v>
      </c>
      <c r="G360">
        <f>IF(F360=0,0,_xlfn.XLOOKUP(C360,CLIENT_CODE!B:B,CLIENT_CODE!G:G,0))</f>
        <v>0</v>
      </c>
      <c r="H360">
        <f>_xlfn.XLOOKUP(B360,CRN!G:G,CRN!L:L,"")</f>
        <v>0</v>
      </c>
      <c r="I360">
        <f>IF(H360=0,0,_xlfn.XLOOKUP(C360,CLIENT_CODE!B:B,CLIENT_CODE!H:H,0))</f>
        <v>0</v>
      </c>
      <c r="J360">
        <f>_xlfn.XLOOKUP(B360,CRN!G:G,CRN!M:M,"")</f>
        <v>0</v>
      </c>
      <c r="K360">
        <f>IF(J360=0,0,_xlfn.XLOOKUP(C360,CLIENT_CODE!B:B,CLIENT_CODE!I:I,0))</f>
        <v>0</v>
      </c>
      <c r="L360">
        <f>_xlfn.XLOOKUP(B360,CRN!G:G,CRN!N:N,"")</f>
        <v>0</v>
      </c>
      <c r="M360">
        <f>IF(L360=0,0,_xlfn.XLOOKUP(C360,CLIENT_CODE!B:B,CLIENT_CODE!J:J,0))</f>
        <v>0</v>
      </c>
      <c r="N360">
        <f>_xlfn.XLOOKUP(B360,CRN!G:G,CRN!O:O,"")</f>
        <v>0</v>
      </c>
      <c r="O360">
        <f>IF(N360=0,0,_xlfn.XLOOKUP(C360,CLIENT_CODE!B:B,CLIENT_CODE!K:K,0))</f>
        <v>0</v>
      </c>
      <c r="P360">
        <f>_xlfn.XLOOKUP(B360,CRN!G:G,CRN!P:P,"")</f>
        <v>0</v>
      </c>
      <c r="Q360">
        <f>IF(P360=0,0,_xlfn.XLOOKUP(C360,CLIENT_CODE!B:B,CLIENT_CODE!L:L,0))</f>
        <v>0</v>
      </c>
      <c r="R360">
        <f>_xlfn.XLOOKUP(B360,CRN!G:G,CRN!Q:Q,"")</f>
        <v>0</v>
      </c>
      <c r="S360">
        <f>IF(R360=0,0,_xlfn.XLOOKUP(C360,CLIENT_CODE!B:B,CLIENT_CODE!M:M,0))</f>
        <v>0</v>
      </c>
      <c r="T360">
        <f>_xlfn.XLOOKUP(B360,CRN!G:G,CRN!R:R,"")</f>
        <v>0</v>
      </c>
      <c r="U360">
        <f>IF(T360=0,0,_xlfn.XLOOKUP(C360,CLIENT_CODE!B:B,CLIENT_CODE!N:N,0))</f>
        <v>0</v>
      </c>
      <c r="V360">
        <f>_xlfn.XLOOKUP(B360,CRN!G:G,CRN!S:S,"")</f>
        <v>0</v>
      </c>
      <c r="W360">
        <f>IF(V360=0,0,_xlfn.XLOOKUP(C360,CLIENT_CODE!B:B,CLIENT_CODE!O:O,0))</f>
        <v>0</v>
      </c>
      <c r="X360">
        <f>_xlfn.XLOOKUP(B360,CRN!G:G,CRN!T:T,"")</f>
        <v>0</v>
      </c>
      <c r="Y360">
        <f>IF(X360=0,0,_xlfn.XLOOKUP(C360,CLIENT_CODE!B:B,CLIENT_CODE!P:P,0))</f>
        <v>0</v>
      </c>
      <c r="Z360">
        <f>_xlfn.XLOOKUP(B360,CRN!G:G,CRN!U:U,"")</f>
        <v>0</v>
      </c>
      <c r="AA360">
        <f>IF(X360=0,0,_xlfn.XLOOKUP(C360,CLIENT_CODE!B:B,CLIENT_CODE!P:P,0))</f>
        <v>0</v>
      </c>
      <c r="AB360">
        <f>_xlfn.XLOOKUP(B360,CRN!G:G,CRN!V:V,"")</f>
        <v>0</v>
      </c>
      <c r="AC360">
        <f>IF(AB360=0,0,_xlfn.XLOOKUP(C360,CLIENT_CODE!B:B,CLIENT_CODE!R:R,0))</f>
        <v>0</v>
      </c>
      <c r="AD360">
        <f t="shared" si="5"/>
        <v>0</v>
      </c>
    </row>
    <row r="361" spans="1:30">
      <c r="A361" s="42">
        <v>360</v>
      </c>
      <c r="E361">
        <f>IF(D361=0,0,_xlfn.XLOOKUP(C361,CLIENT_CODE!B:B,CLIENT_CODE!F:F,0))</f>
        <v>0</v>
      </c>
      <c r="F361">
        <f>_xlfn.XLOOKUP(B361,CRN!G:G,CRN!K:K,"")</f>
        <v>0</v>
      </c>
      <c r="G361">
        <f>IF(F361=0,0,_xlfn.XLOOKUP(C361,CLIENT_CODE!B:B,CLIENT_CODE!G:G,0))</f>
        <v>0</v>
      </c>
      <c r="H361">
        <f>_xlfn.XLOOKUP(B361,CRN!G:G,CRN!L:L,"")</f>
        <v>0</v>
      </c>
      <c r="I361">
        <f>IF(H361=0,0,_xlfn.XLOOKUP(C361,CLIENT_CODE!B:B,CLIENT_CODE!H:H,0))</f>
        <v>0</v>
      </c>
      <c r="J361">
        <f>_xlfn.XLOOKUP(B361,CRN!G:G,CRN!M:M,"")</f>
        <v>0</v>
      </c>
      <c r="K361">
        <f>IF(J361=0,0,_xlfn.XLOOKUP(C361,CLIENT_CODE!B:B,CLIENT_CODE!I:I,0))</f>
        <v>0</v>
      </c>
      <c r="L361">
        <f>_xlfn.XLOOKUP(B361,CRN!G:G,CRN!N:N,"")</f>
        <v>0</v>
      </c>
      <c r="M361">
        <f>IF(L361=0,0,_xlfn.XLOOKUP(C361,CLIENT_CODE!B:B,CLIENT_CODE!J:J,0))</f>
        <v>0</v>
      </c>
      <c r="N361">
        <f>_xlfn.XLOOKUP(B361,CRN!G:G,CRN!O:O,"")</f>
        <v>0</v>
      </c>
      <c r="O361">
        <f>IF(N361=0,0,_xlfn.XLOOKUP(C361,CLIENT_CODE!B:B,CLIENT_CODE!K:K,0))</f>
        <v>0</v>
      </c>
      <c r="P361">
        <f>_xlfn.XLOOKUP(B361,CRN!G:G,CRN!P:P,"")</f>
        <v>0</v>
      </c>
      <c r="Q361">
        <f>IF(P361=0,0,_xlfn.XLOOKUP(C361,CLIENT_CODE!B:B,CLIENT_CODE!L:L,0))</f>
        <v>0</v>
      </c>
      <c r="R361">
        <f>_xlfn.XLOOKUP(B361,CRN!G:G,CRN!Q:Q,"")</f>
        <v>0</v>
      </c>
      <c r="S361">
        <f>IF(R361=0,0,_xlfn.XLOOKUP(C361,CLIENT_CODE!B:B,CLIENT_CODE!M:M,0))</f>
        <v>0</v>
      </c>
      <c r="T361">
        <f>_xlfn.XLOOKUP(B361,CRN!G:G,CRN!R:R,"")</f>
        <v>0</v>
      </c>
      <c r="U361">
        <f>IF(T361=0,0,_xlfn.XLOOKUP(C361,CLIENT_CODE!B:B,CLIENT_CODE!N:N,0))</f>
        <v>0</v>
      </c>
      <c r="V361">
        <f>_xlfn.XLOOKUP(B361,CRN!G:G,CRN!S:S,"")</f>
        <v>0</v>
      </c>
      <c r="W361">
        <f>IF(V361=0,0,_xlfn.XLOOKUP(C361,CLIENT_CODE!B:B,CLIENT_CODE!O:O,0))</f>
        <v>0</v>
      </c>
      <c r="X361">
        <f>_xlfn.XLOOKUP(B361,CRN!G:G,CRN!T:T,"")</f>
        <v>0</v>
      </c>
      <c r="Y361">
        <f>IF(X361=0,0,_xlfn.XLOOKUP(C361,CLIENT_CODE!B:B,CLIENT_CODE!P:P,0))</f>
        <v>0</v>
      </c>
      <c r="Z361">
        <f>_xlfn.XLOOKUP(B361,CRN!G:G,CRN!U:U,"")</f>
        <v>0</v>
      </c>
      <c r="AA361">
        <f>IF(X361=0,0,_xlfn.XLOOKUP(C361,CLIENT_CODE!B:B,CLIENT_CODE!P:P,0))</f>
        <v>0</v>
      </c>
      <c r="AB361">
        <f>_xlfn.XLOOKUP(B361,CRN!G:G,CRN!V:V,"")</f>
        <v>0</v>
      </c>
      <c r="AC361">
        <f>IF(AB361=0,0,_xlfn.XLOOKUP(C361,CLIENT_CODE!B:B,CLIENT_CODE!R:R,0))</f>
        <v>0</v>
      </c>
      <c r="AD361">
        <f t="shared" si="5"/>
        <v>0</v>
      </c>
    </row>
    <row r="362" spans="1:30">
      <c r="A362" s="42">
        <v>361</v>
      </c>
      <c r="E362">
        <f>IF(D362=0,0,_xlfn.XLOOKUP(C362,CLIENT_CODE!B:B,CLIENT_CODE!F:F,0))</f>
        <v>0</v>
      </c>
      <c r="F362">
        <f>_xlfn.XLOOKUP(B362,CRN!G:G,CRN!K:K,"")</f>
        <v>0</v>
      </c>
      <c r="G362">
        <f>IF(F362=0,0,_xlfn.XLOOKUP(C362,CLIENT_CODE!B:B,CLIENT_CODE!G:G,0))</f>
        <v>0</v>
      </c>
      <c r="H362">
        <f>_xlfn.XLOOKUP(B362,CRN!G:G,CRN!L:L,"")</f>
        <v>0</v>
      </c>
      <c r="I362">
        <f>IF(H362=0,0,_xlfn.XLOOKUP(C362,CLIENT_CODE!B:B,CLIENT_CODE!H:H,0))</f>
        <v>0</v>
      </c>
      <c r="J362">
        <f>_xlfn.XLOOKUP(B362,CRN!G:G,CRN!M:M,"")</f>
        <v>0</v>
      </c>
      <c r="K362">
        <f>IF(J362=0,0,_xlfn.XLOOKUP(C362,CLIENT_CODE!B:B,CLIENT_CODE!I:I,0))</f>
        <v>0</v>
      </c>
      <c r="L362">
        <f>_xlfn.XLOOKUP(B362,CRN!G:G,CRN!N:N,"")</f>
        <v>0</v>
      </c>
      <c r="M362">
        <f>IF(L362=0,0,_xlfn.XLOOKUP(C362,CLIENT_CODE!B:B,CLIENT_CODE!J:J,0))</f>
        <v>0</v>
      </c>
      <c r="N362">
        <f>_xlfn.XLOOKUP(B362,CRN!G:G,CRN!O:O,"")</f>
        <v>0</v>
      </c>
      <c r="O362">
        <f>IF(N362=0,0,_xlfn.XLOOKUP(C362,CLIENT_CODE!B:B,CLIENT_CODE!K:K,0))</f>
        <v>0</v>
      </c>
      <c r="P362">
        <f>_xlfn.XLOOKUP(B362,CRN!G:G,CRN!P:P,"")</f>
        <v>0</v>
      </c>
      <c r="Q362">
        <f>IF(P362=0,0,_xlfn.XLOOKUP(C362,CLIENT_CODE!B:B,CLIENT_CODE!L:L,0))</f>
        <v>0</v>
      </c>
      <c r="R362">
        <f>_xlfn.XLOOKUP(B362,CRN!G:G,CRN!Q:Q,"")</f>
        <v>0</v>
      </c>
      <c r="S362">
        <f>IF(R362=0,0,_xlfn.XLOOKUP(C362,CLIENT_CODE!B:B,CLIENT_CODE!M:M,0))</f>
        <v>0</v>
      </c>
      <c r="T362">
        <f>_xlfn.XLOOKUP(B362,CRN!G:G,CRN!R:R,"")</f>
        <v>0</v>
      </c>
      <c r="U362">
        <f>IF(T362=0,0,_xlfn.XLOOKUP(C362,CLIENT_CODE!B:B,CLIENT_CODE!N:N,0))</f>
        <v>0</v>
      </c>
      <c r="V362">
        <f>_xlfn.XLOOKUP(B362,CRN!G:G,CRN!S:S,"")</f>
        <v>0</v>
      </c>
      <c r="W362">
        <f>IF(V362=0,0,_xlfn.XLOOKUP(C362,CLIENT_CODE!B:B,CLIENT_CODE!O:O,0))</f>
        <v>0</v>
      </c>
      <c r="X362">
        <f>_xlfn.XLOOKUP(B362,CRN!G:G,CRN!T:T,"")</f>
        <v>0</v>
      </c>
      <c r="Y362">
        <f>IF(X362=0,0,_xlfn.XLOOKUP(C362,CLIENT_CODE!B:B,CLIENT_CODE!P:P,0))</f>
        <v>0</v>
      </c>
      <c r="Z362">
        <f>_xlfn.XLOOKUP(B362,CRN!G:G,CRN!U:U,"")</f>
        <v>0</v>
      </c>
      <c r="AA362">
        <f>IF(X362=0,0,_xlfn.XLOOKUP(C362,CLIENT_CODE!B:B,CLIENT_CODE!P:P,0))</f>
        <v>0</v>
      </c>
      <c r="AB362">
        <f>_xlfn.XLOOKUP(B362,CRN!G:G,CRN!V:V,"")</f>
        <v>0</v>
      </c>
      <c r="AC362">
        <f>IF(AB362=0,0,_xlfn.XLOOKUP(C362,CLIENT_CODE!B:B,CLIENT_CODE!R:R,0))</f>
        <v>0</v>
      </c>
      <c r="AD362">
        <f t="shared" si="5"/>
        <v>0</v>
      </c>
    </row>
    <row r="363" spans="1:30">
      <c r="A363" s="42">
        <v>362</v>
      </c>
      <c r="E363">
        <f>IF(D363=0,0,_xlfn.XLOOKUP(C363,CLIENT_CODE!B:B,CLIENT_CODE!F:F,0))</f>
        <v>0</v>
      </c>
      <c r="F363">
        <f>_xlfn.XLOOKUP(B363,CRN!G:G,CRN!K:K,"")</f>
        <v>0</v>
      </c>
      <c r="G363">
        <f>IF(F363=0,0,_xlfn.XLOOKUP(C363,CLIENT_CODE!B:B,CLIENT_CODE!G:G,0))</f>
        <v>0</v>
      </c>
      <c r="H363">
        <f>_xlfn.XLOOKUP(B363,CRN!G:G,CRN!L:L,"")</f>
        <v>0</v>
      </c>
      <c r="I363">
        <f>IF(H363=0,0,_xlfn.XLOOKUP(C363,CLIENT_CODE!B:B,CLIENT_CODE!H:H,0))</f>
        <v>0</v>
      </c>
      <c r="J363">
        <f>_xlfn.XLOOKUP(B363,CRN!G:G,CRN!M:M,"")</f>
        <v>0</v>
      </c>
      <c r="K363">
        <f>IF(J363=0,0,_xlfn.XLOOKUP(C363,CLIENT_CODE!B:B,CLIENT_CODE!I:I,0))</f>
        <v>0</v>
      </c>
      <c r="L363">
        <f>_xlfn.XLOOKUP(B363,CRN!G:G,CRN!N:N,"")</f>
        <v>0</v>
      </c>
      <c r="M363">
        <f>IF(L363=0,0,_xlfn.XLOOKUP(C363,CLIENT_CODE!B:B,CLIENT_CODE!J:J,0))</f>
        <v>0</v>
      </c>
      <c r="N363">
        <f>_xlfn.XLOOKUP(B363,CRN!G:G,CRN!O:O,"")</f>
        <v>0</v>
      </c>
      <c r="O363">
        <f>IF(N363=0,0,_xlfn.XLOOKUP(C363,CLIENT_CODE!B:B,CLIENT_CODE!K:K,0))</f>
        <v>0</v>
      </c>
      <c r="P363">
        <f>_xlfn.XLOOKUP(B363,CRN!G:G,CRN!P:P,"")</f>
        <v>0</v>
      </c>
      <c r="Q363">
        <f>IF(P363=0,0,_xlfn.XLOOKUP(C363,CLIENT_CODE!B:B,CLIENT_CODE!L:L,0))</f>
        <v>0</v>
      </c>
      <c r="R363">
        <f>_xlfn.XLOOKUP(B363,CRN!G:G,CRN!Q:Q,"")</f>
        <v>0</v>
      </c>
      <c r="S363">
        <f>IF(R363=0,0,_xlfn.XLOOKUP(C363,CLIENT_CODE!B:B,CLIENT_CODE!M:M,0))</f>
        <v>0</v>
      </c>
      <c r="T363">
        <f>_xlfn.XLOOKUP(B363,CRN!G:G,CRN!R:R,"")</f>
        <v>0</v>
      </c>
      <c r="U363">
        <f>IF(T363=0,0,_xlfn.XLOOKUP(C363,CLIENT_CODE!B:B,CLIENT_CODE!N:N,0))</f>
        <v>0</v>
      </c>
      <c r="V363">
        <f>_xlfn.XLOOKUP(B363,CRN!G:G,CRN!S:S,"")</f>
        <v>0</v>
      </c>
      <c r="W363">
        <f>IF(V363=0,0,_xlfn.XLOOKUP(C363,CLIENT_CODE!B:B,CLIENT_CODE!O:O,0))</f>
        <v>0</v>
      </c>
      <c r="X363">
        <f>_xlfn.XLOOKUP(B363,CRN!G:G,CRN!T:T,"")</f>
        <v>0</v>
      </c>
      <c r="Y363">
        <f>IF(X363=0,0,_xlfn.XLOOKUP(C363,CLIENT_CODE!B:B,CLIENT_CODE!P:P,0))</f>
        <v>0</v>
      </c>
      <c r="Z363">
        <f>_xlfn.XLOOKUP(B363,CRN!G:G,CRN!U:U,"")</f>
        <v>0</v>
      </c>
      <c r="AA363">
        <f>IF(X363=0,0,_xlfn.XLOOKUP(C363,CLIENT_CODE!B:B,CLIENT_CODE!P:P,0))</f>
        <v>0</v>
      </c>
      <c r="AB363">
        <f>_xlfn.XLOOKUP(B363,CRN!G:G,CRN!V:V,"")</f>
        <v>0</v>
      </c>
      <c r="AC363">
        <f>IF(AB363=0,0,_xlfn.XLOOKUP(C363,CLIENT_CODE!B:B,CLIENT_CODE!R:R,0))</f>
        <v>0</v>
      </c>
      <c r="AD363">
        <f t="shared" si="5"/>
        <v>0</v>
      </c>
    </row>
    <row r="364" spans="1:30">
      <c r="A364" s="42">
        <v>363</v>
      </c>
      <c r="E364">
        <f>IF(D364=0,0,_xlfn.XLOOKUP(C364,CLIENT_CODE!B:B,CLIENT_CODE!F:F,0))</f>
        <v>0</v>
      </c>
      <c r="F364">
        <f>_xlfn.XLOOKUP(B364,CRN!G:G,CRN!K:K,"")</f>
        <v>0</v>
      </c>
      <c r="G364">
        <f>IF(F364=0,0,_xlfn.XLOOKUP(C364,CLIENT_CODE!B:B,CLIENT_CODE!G:G,0))</f>
        <v>0</v>
      </c>
      <c r="H364">
        <f>_xlfn.XLOOKUP(B364,CRN!G:G,CRN!L:L,"")</f>
        <v>0</v>
      </c>
      <c r="I364">
        <f>IF(H364=0,0,_xlfn.XLOOKUP(C364,CLIENT_CODE!B:B,CLIENT_CODE!H:H,0))</f>
        <v>0</v>
      </c>
      <c r="J364">
        <f>_xlfn.XLOOKUP(B364,CRN!G:G,CRN!M:M,"")</f>
        <v>0</v>
      </c>
      <c r="K364">
        <f>IF(J364=0,0,_xlfn.XLOOKUP(C364,CLIENT_CODE!B:B,CLIENT_CODE!I:I,0))</f>
        <v>0</v>
      </c>
      <c r="L364">
        <f>_xlfn.XLOOKUP(B364,CRN!G:G,CRN!N:N,"")</f>
        <v>0</v>
      </c>
      <c r="M364">
        <f>IF(L364=0,0,_xlfn.XLOOKUP(C364,CLIENT_CODE!B:B,CLIENT_CODE!J:J,0))</f>
        <v>0</v>
      </c>
      <c r="N364">
        <f>_xlfn.XLOOKUP(B364,CRN!G:G,CRN!O:O,"")</f>
        <v>0</v>
      </c>
      <c r="O364">
        <f>IF(N364=0,0,_xlfn.XLOOKUP(C364,CLIENT_CODE!B:B,CLIENT_CODE!K:K,0))</f>
        <v>0</v>
      </c>
      <c r="P364">
        <f>_xlfn.XLOOKUP(B364,CRN!G:G,CRN!P:P,"")</f>
        <v>0</v>
      </c>
      <c r="Q364">
        <f>IF(P364=0,0,_xlfn.XLOOKUP(C364,CLIENT_CODE!B:B,CLIENT_CODE!L:L,0))</f>
        <v>0</v>
      </c>
      <c r="R364">
        <f>_xlfn.XLOOKUP(B364,CRN!G:G,CRN!Q:Q,"")</f>
        <v>0</v>
      </c>
      <c r="S364">
        <f>IF(R364=0,0,_xlfn.XLOOKUP(C364,CLIENT_CODE!B:B,CLIENT_CODE!M:M,0))</f>
        <v>0</v>
      </c>
      <c r="T364">
        <f>_xlfn.XLOOKUP(B364,CRN!G:G,CRN!R:R,"")</f>
        <v>0</v>
      </c>
      <c r="U364">
        <f>IF(T364=0,0,_xlfn.XLOOKUP(C364,CLIENT_CODE!B:B,CLIENT_CODE!N:N,0))</f>
        <v>0</v>
      </c>
      <c r="V364">
        <f>_xlfn.XLOOKUP(B364,CRN!G:G,CRN!S:S,"")</f>
        <v>0</v>
      </c>
      <c r="W364">
        <f>IF(V364=0,0,_xlfn.XLOOKUP(C364,CLIENT_CODE!B:B,CLIENT_CODE!O:O,0))</f>
        <v>0</v>
      </c>
      <c r="X364">
        <f>_xlfn.XLOOKUP(B364,CRN!G:G,CRN!T:T,"")</f>
        <v>0</v>
      </c>
      <c r="Y364">
        <f>IF(X364=0,0,_xlfn.XLOOKUP(C364,CLIENT_CODE!B:B,CLIENT_CODE!P:P,0))</f>
        <v>0</v>
      </c>
      <c r="Z364">
        <f>_xlfn.XLOOKUP(B364,CRN!G:G,CRN!U:U,"")</f>
        <v>0</v>
      </c>
      <c r="AA364">
        <f>IF(X364=0,0,_xlfn.XLOOKUP(C364,CLIENT_CODE!B:B,CLIENT_CODE!P:P,0))</f>
        <v>0</v>
      </c>
      <c r="AB364">
        <f>_xlfn.XLOOKUP(B364,CRN!G:G,CRN!V:V,"")</f>
        <v>0</v>
      </c>
      <c r="AC364">
        <f>IF(AB364=0,0,_xlfn.XLOOKUP(C364,CLIENT_CODE!B:B,CLIENT_CODE!R:R,0))</f>
        <v>0</v>
      </c>
      <c r="AD364">
        <f t="shared" si="5"/>
        <v>0</v>
      </c>
    </row>
    <row r="365" spans="1:30">
      <c r="A365" s="42">
        <v>364</v>
      </c>
      <c r="E365">
        <f>IF(D365=0,0,_xlfn.XLOOKUP(C365,CLIENT_CODE!B:B,CLIENT_CODE!F:F,0))</f>
        <v>0</v>
      </c>
      <c r="F365">
        <f>_xlfn.XLOOKUP(B365,CRN!G:G,CRN!K:K,"")</f>
        <v>0</v>
      </c>
      <c r="G365">
        <f>IF(F365=0,0,_xlfn.XLOOKUP(C365,CLIENT_CODE!B:B,CLIENT_CODE!G:G,0))</f>
        <v>0</v>
      </c>
      <c r="H365">
        <f>_xlfn.XLOOKUP(B365,CRN!G:G,CRN!L:L,"")</f>
        <v>0</v>
      </c>
      <c r="I365">
        <f>IF(H365=0,0,_xlfn.XLOOKUP(C365,CLIENT_CODE!B:B,CLIENT_CODE!H:H,0))</f>
        <v>0</v>
      </c>
      <c r="J365">
        <f>_xlfn.XLOOKUP(B365,CRN!G:G,CRN!M:M,"")</f>
        <v>0</v>
      </c>
      <c r="K365">
        <f>IF(J365=0,0,_xlfn.XLOOKUP(C365,CLIENT_CODE!B:B,CLIENT_CODE!I:I,0))</f>
        <v>0</v>
      </c>
      <c r="L365">
        <f>_xlfn.XLOOKUP(B365,CRN!G:G,CRN!N:N,"")</f>
        <v>0</v>
      </c>
      <c r="M365">
        <f>IF(L365=0,0,_xlfn.XLOOKUP(C365,CLIENT_CODE!B:B,CLIENT_CODE!J:J,0))</f>
        <v>0</v>
      </c>
      <c r="N365">
        <f>_xlfn.XLOOKUP(B365,CRN!G:G,CRN!O:O,"")</f>
        <v>0</v>
      </c>
      <c r="O365">
        <f>IF(N365=0,0,_xlfn.XLOOKUP(C365,CLIENT_CODE!B:B,CLIENT_CODE!K:K,0))</f>
        <v>0</v>
      </c>
      <c r="P365">
        <f>_xlfn.XLOOKUP(B365,CRN!G:G,CRN!P:P,"")</f>
        <v>0</v>
      </c>
      <c r="Q365">
        <f>IF(P365=0,0,_xlfn.XLOOKUP(C365,CLIENT_CODE!B:B,CLIENT_CODE!L:L,0))</f>
        <v>0</v>
      </c>
      <c r="R365">
        <f>_xlfn.XLOOKUP(B365,CRN!G:G,CRN!Q:Q,"")</f>
        <v>0</v>
      </c>
      <c r="S365">
        <f>IF(R365=0,0,_xlfn.XLOOKUP(C365,CLIENT_CODE!B:B,CLIENT_CODE!M:M,0))</f>
        <v>0</v>
      </c>
      <c r="T365">
        <f>_xlfn.XLOOKUP(B365,CRN!G:G,CRN!R:R,"")</f>
        <v>0</v>
      </c>
      <c r="U365">
        <f>IF(T365=0,0,_xlfn.XLOOKUP(C365,CLIENT_CODE!B:B,CLIENT_CODE!N:N,0))</f>
        <v>0</v>
      </c>
      <c r="V365">
        <f>_xlfn.XLOOKUP(B365,CRN!G:G,CRN!S:S,"")</f>
        <v>0</v>
      </c>
      <c r="W365">
        <f>IF(V365=0,0,_xlfn.XLOOKUP(C365,CLIENT_CODE!B:B,CLIENT_CODE!O:O,0))</f>
        <v>0</v>
      </c>
      <c r="X365">
        <f>_xlfn.XLOOKUP(B365,CRN!G:G,CRN!T:T,"")</f>
        <v>0</v>
      </c>
      <c r="Y365">
        <f>IF(X365=0,0,_xlfn.XLOOKUP(C365,CLIENT_CODE!B:B,CLIENT_CODE!P:P,0))</f>
        <v>0</v>
      </c>
      <c r="Z365">
        <f>_xlfn.XLOOKUP(B365,CRN!G:G,CRN!U:U,"")</f>
        <v>0</v>
      </c>
      <c r="AA365">
        <f>IF(X365=0,0,_xlfn.XLOOKUP(C365,CLIENT_CODE!B:B,CLIENT_CODE!P:P,0))</f>
        <v>0</v>
      </c>
      <c r="AB365">
        <f>_xlfn.XLOOKUP(B365,CRN!G:G,CRN!V:V,"")</f>
        <v>0</v>
      </c>
      <c r="AC365">
        <f>IF(AB365=0,0,_xlfn.XLOOKUP(C365,CLIENT_CODE!B:B,CLIENT_CODE!R:R,0))</f>
        <v>0</v>
      </c>
      <c r="AD365">
        <f t="shared" si="5"/>
        <v>0</v>
      </c>
    </row>
    <row r="366" spans="1:30">
      <c r="A366" s="42">
        <v>365</v>
      </c>
      <c r="E366">
        <f>IF(D366=0,0,_xlfn.XLOOKUP(C366,CLIENT_CODE!B:B,CLIENT_CODE!F:F,0))</f>
        <v>0</v>
      </c>
      <c r="F366">
        <f>_xlfn.XLOOKUP(B366,CRN!G:G,CRN!K:K,"")</f>
        <v>0</v>
      </c>
      <c r="G366">
        <f>IF(F366=0,0,_xlfn.XLOOKUP(C366,CLIENT_CODE!B:B,CLIENT_CODE!G:G,0))</f>
        <v>0</v>
      </c>
      <c r="H366">
        <f>_xlfn.XLOOKUP(B366,CRN!G:G,CRN!L:L,"")</f>
        <v>0</v>
      </c>
      <c r="I366">
        <f>IF(H366=0,0,_xlfn.XLOOKUP(C366,CLIENT_CODE!B:B,CLIENT_CODE!H:H,0))</f>
        <v>0</v>
      </c>
      <c r="J366">
        <f>_xlfn.XLOOKUP(B366,CRN!G:G,CRN!M:M,"")</f>
        <v>0</v>
      </c>
      <c r="K366">
        <f>IF(J366=0,0,_xlfn.XLOOKUP(C366,CLIENT_CODE!B:B,CLIENT_CODE!I:I,0))</f>
        <v>0</v>
      </c>
      <c r="L366">
        <f>_xlfn.XLOOKUP(B366,CRN!G:G,CRN!N:N,"")</f>
        <v>0</v>
      </c>
      <c r="M366">
        <f>IF(L366=0,0,_xlfn.XLOOKUP(C366,CLIENT_CODE!B:B,CLIENT_CODE!J:J,0))</f>
        <v>0</v>
      </c>
      <c r="N366">
        <f>_xlfn.XLOOKUP(B366,CRN!G:G,CRN!O:O,"")</f>
        <v>0</v>
      </c>
      <c r="O366">
        <f>IF(N366=0,0,_xlfn.XLOOKUP(C366,CLIENT_CODE!B:B,CLIENT_CODE!K:K,0))</f>
        <v>0</v>
      </c>
      <c r="P366">
        <f>_xlfn.XLOOKUP(B366,CRN!G:G,CRN!P:P,"")</f>
        <v>0</v>
      </c>
      <c r="Q366">
        <f>IF(P366=0,0,_xlfn.XLOOKUP(C366,CLIENT_CODE!B:B,CLIENT_CODE!L:L,0))</f>
        <v>0</v>
      </c>
      <c r="R366">
        <f>_xlfn.XLOOKUP(B366,CRN!G:G,CRN!Q:Q,"")</f>
        <v>0</v>
      </c>
      <c r="S366">
        <f>IF(R366=0,0,_xlfn.XLOOKUP(C366,CLIENT_CODE!B:B,CLIENT_CODE!M:M,0))</f>
        <v>0</v>
      </c>
      <c r="T366">
        <f>_xlfn.XLOOKUP(B366,CRN!G:G,CRN!R:R,"")</f>
        <v>0</v>
      </c>
      <c r="U366">
        <f>IF(T366=0,0,_xlfn.XLOOKUP(C366,CLIENT_CODE!B:B,CLIENT_CODE!N:N,0))</f>
        <v>0</v>
      </c>
      <c r="V366">
        <f>_xlfn.XLOOKUP(B366,CRN!G:G,CRN!S:S,"")</f>
        <v>0</v>
      </c>
      <c r="W366">
        <f>IF(V366=0,0,_xlfn.XLOOKUP(C366,CLIENT_CODE!B:B,CLIENT_CODE!O:O,0))</f>
        <v>0</v>
      </c>
      <c r="X366">
        <f>_xlfn.XLOOKUP(B366,CRN!G:G,CRN!T:T,"")</f>
        <v>0</v>
      </c>
      <c r="Y366">
        <f>IF(X366=0,0,_xlfn.XLOOKUP(C366,CLIENT_CODE!B:B,CLIENT_CODE!P:P,0))</f>
        <v>0</v>
      </c>
      <c r="Z366">
        <f>_xlfn.XLOOKUP(B366,CRN!G:G,CRN!U:U,"")</f>
        <v>0</v>
      </c>
      <c r="AA366">
        <f>IF(X366=0,0,_xlfn.XLOOKUP(C366,CLIENT_CODE!B:B,CLIENT_CODE!P:P,0))</f>
        <v>0</v>
      </c>
      <c r="AB366">
        <f>_xlfn.XLOOKUP(B366,CRN!G:G,CRN!V:V,"")</f>
        <v>0</v>
      </c>
      <c r="AC366">
        <f>IF(AB366=0,0,_xlfn.XLOOKUP(C366,CLIENT_CODE!B:B,CLIENT_CODE!R:R,0))</f>
        <v>0</v>
      </c>
      <c r="AD366">
        <f t="shared" si="5"/>
        <v>0</v>
      </c>
    </row>
    <row r="367" spans="1:30">
      <c r="A367" s="42">
        <v>366</v>
      </c>
      <c r="E367">
        <f>IF(D367=0,0,_xlfn.XLOOKUP(C367,CLIENT_CODE!B:B,CLIENT_CODE!F:F,0))</f>
        <v>0</v>
      </c>
      <c r="F367">
        <f>_xlfn.XLOOKUP(B367,CRN!G:G,CRN!K:K,"")</f>
        <v>0</v>
      </c>
      <c r="G367">
        <f>IF(F367=0,0,_xlfn.XLOOKUP(C367,CLIENT_CODE!B:B,CLIENT_CODE!G:G,0))</f>
        <v>0</v>
      </c>
      <c r="H367">
        <f>_xlfn.XLOOKUP(B367,CRN!G:G,CRN!L:L,"")</f>
        <v>0</v>
      </c>
      <c r="I367">
        <f>IF(H367=0,0,_xlfn.XLOOKUP(C367,CLIENT_CODE!B:B,CLIENT_CODE!H:H,0))</f>
        <v>0</v>
      </c>
      <c r="J367">
        <f>_xlfn.XLOOKUP(B367,CRN!G:G,CRN!M:M,"")</f>
        <v>0</v>
      </c>
      <c r="K367">
        <f>IF(J367=0,0,_xlfn.XLOOKUP(C367,CLIENT_CODE!B:B,CLIENT_CODE!I:I,0))</f>
        <v>0</v>
      </c>
      <c r="L367">
        <f>_xlfn.XLOOKUP(B367,CRN!G:G,CRN!N:N,"")</f>
        <v>0</v>
      </c>
      <c r="M367">
        <f>IF(L367=0,0,_xlfn.XLOOKUP(C367,CLIENT_CODE!B:B,CLIENT_CODE!J:J,0))</f>
        <v>0</v>
      </c>
      <c r="N367">
        <f>_xlfn.XLOOKUP(B367,CRN!G:G,CRN!O:O,"")</f>
        <v>0</v>
      </c>
      <c r="O367">
        <f>IF(N367=0,0,_xlfn.XLOOKUP(C367,CLIENT_CODE!B:B,CLIENT_CODE!K:K,0))</f>
        <v>0</v>
      </c>
      <c r="P367">
        <f>_xlfn.XLOOKUP(B367,CRN!G:G,CRN!P:P,"")</f>
        <v>0</v>
      </c>
      <c r="Q367">
        <f>IF(P367=0,0,_xlfn.XLOOKUP(C367,CLIENT_CODE!B:B,CLIENT_CODE!L:L,0))</f>
        <v>0</v>
      </c>
      <c r="R367">
        <f>_xlfn.XLOOKUP(B367,CRN!G:G,CRN!Q:Q,"")</f>
        <v>0</v>
      </c>
      <c r="S367">
        <f>IF(R367=0,0,_xlfn.XLOOKUP(C367,CLIENT_CODE!B:B,CLIENT_CODE!M:M,0))</f>
        <v>0</v>
      </c>
      <c r="T367">
        <f>_xlfn.XLOOKUP(B367,CRN!G:G,CRN!R:R,"")</f>
        <v>0</v>
      </c>
      <c r="U367">
        <f>IF(T367=0,0,_xlfn.XLOOKUP(C367,CLIENT_CODE!B:B,CLIENT_CODE!N:N,0))</f>
        <v>0</v>
      </c>
      <c r="V367">
        <f>_xlfn.XLOOKUP(B367,CRN!G:G,CRN!S:S,"")</f>
        <v>0</v>
      </c>
      <c r="W367">
        <f>IF(V367=0,0,_xlfn.XLOOKUP(C367,CLIENT_CODE!B:B,CLIENT_CODE!O:O,0))</f>
        <v>0</v>
      </c>
      <c r="X367">
        <f>_xlfn.XLOOKUP(B367,CRN!G:G,CRN!T:T,"")</f>
        <v>0</v>
      </c>
      <c r="Y367">
        <f>IF(X367=0,0,_xlfn.XLOOKUP(C367,CLIENT_CODE!B:B,CLIENT_CODE!P:P,0))</f>
        <v>0</v>
      </c>
      <c r="Z367">
        <f>_xlfn.XLOOKUP(B367,CRN!G:G,CRN!U:U,"")</f>
        <v>0</v>
      </c>
      <c r="AA367">
        <f>IF(X367=0,0,_xlfn.XLOOKUP(C367,CLIENT_CODE!B:B,CLIENT_CODE!P:P,0))</f>
        <v>0</v>
      </c>
      <c r="AB367">
        <f>_xlfn.XLOOKUP(B367,CRN!G:G,CRN!V:V,"")</f>
        <v>0</v>
      </c>
      <c r="AC367">
        <f>IF(AB367=0,0,_xlfn.XLOOKUP(C367,CLIENT_CODE!B:B,CLIENT_CODE!R:R,0))</f>
        <v>0</v>
      </c>
      <c r="AD367">
        <f t="shared" si="5"/>
        <v>0</v>
      </c>
    </row>
    <row r="368" spans="1:30">
      <c r="A368" s="42">
        <v>367</v>
      </c>
      <c r="E368">
        <f>IF(D368=0,0,_xlfn.XLOOKUP(C368,CLIENT_CODE!B:B,CLIENT_CODE!F:F,0))</f>
        <v>0</v>
      </c>
      <c r="F368">
        <f>_xlfn.XLOOKUP(B368,CRN!G:G,CRN!K:K,"")</f>
        <v>0</v>
      </c>
      <c r="G368">
        <f>IF(F368=0,0,_xlfn.XLOOKUP(C368,CLIENT_CODE!B:B,CLIENT_CODE!G:G,0))</f>
        <v>0</v>
      </c>
      <c r="H368">
        <f>_xlfn.XLOOKUP(B368,CRN!G:G,CRN!L:L,"")</f>
        <v>0</v>
      </c>
      <c r="I368">
        <f>IF(H368=0,0,_xlfn.XLOOKUP(C368,CLIENT_CODE!B:B,CLIENT_CODE!H:H,0))</f>
        <v>0</v>
      </c>
      <c r="J368">
        <f>_xlfn.XLOOKUP(B368,CRN!G:G,CRN!M:M,"")</f>
        <v>0</v>
      </c>
      <c r="K368">
        <f>IF(J368=0,0,_xlfn.XLOOKUP(C368,CLIENT_CODE!B:B,CLIENT_CODE!I:I,0))</f>
        <v>0</v>
      </c>
      <c r="L368">
        <f>_xlfn.XLOOKUP(B368,CRN!G:G,CRN!N:N,"")</f>
        <v>0</v>
      </c>
      <c r="M368">
        <f>IF(L368=0,0,_xlfn.XLOOKUP(C368,CLIENT_CODE!B:B,CLIENT_CODE!J:J,0))</f>
        <v>0</v>
      </c>
      <c r="N368">
        <f>_xlfn.XLOOKUP(B368,CRN!G:G,CRN!O:O,"")</f>
        <v>0</v>
      </c>
      <c r="O368">
        <f>IF(N368=0,0,_xlfn.XLOOKUP(C368,CLIENT_CODE!B:B,CLIENT_CODE!K:K,0))</f>
        <v>0</v>
      </c>
      <c r="P368">
        <f>_xlfn.XLOOKUP(B368,CRN!G:G,CRN!P:P,"")</f>
        <v>0</v>
      </c>
      <c r="Q368">
        <f>IF(P368=0,0,_xlfn.XLOOKUP(C368,CLIENT_CODE!B:B,CLIENT_CODE!L:L,0))</f>
        <v>0</v>
      </c>
      <c r="R368">
        <f>_xlfn.XLOOKUP(B368,CRN!G:G,CRN!Q:Q,"")</f>
        <v>0</v>
      </c>
      <c r="S368">
        <f>IF(R368=0,0,_xlfn.XLOOKUP(C368,CLIENT_CODE!B:B,CLIENT_CODE!M:M,0))</f>
        <v>0</v>
      </c>
      <c r="T368">
        <f>_xlfn.XLOOKUP(B368,CRN!G:G,CRN!R:R,"")</f>
        <v>0</v>
      </c>
      <c r="U368">
        <f>IF(T368=0,0,_xlfn.XLOOKUP(C368,CLIENT_CODE!B:B,CLIENT_CODE!N:N,0))</f>
        <v>0</v>
      </c>
      <c r="V368">
        <f>_xlfn.XLOOKUP(B368,CRN!G:G,CRN!S:S,"")</f>
        <v>0</v>
      </c>
      <c r="W368">
        <f>IF(V368=0,0,_xlfn.XLOOKUP(C368,CLIENT_CODE!B:B,CLIENT_CODE!O:O,0))</f>
        <v>0</v>
      </c>
      <c r="X368">
        <f>_xlfn.XLOOKUP(B368,CRN!G:G,CRN!T:T,"")</f>
        <v>0</v>
      </c>
      <c r="Y368">
        <f>IF(X368=0,0,_xlfn.XLOOKUP(C368,CLIENT_CODE!B:B,CLIENT_CODE!P:P,0))</f>
        <v>0</v>
      </c>
      <c r="Z368">
        <f>_xlfn.XLOOKUP(B368,CRN!G:G,CRN!U:U,"")</f>
        <v>0</v>
      </c>
      <c r="AA368">
        <f>IF(X368=0,0,_xlfn.XLOOKUP(C368,CLIENT_CODE!B:B,CLIENT_CODE!P:P,0))</f>
        <v>0</v>
      </c>
      <c r="AB368">
        <f>_xlfn.XLOOKUP(B368,CRN!G:G,CRN!V:V,"")</f>
        <v>0</v>
      </c>
      <c r="AC368">
        <f>IF(AB368=0,0,_xlfn.XLOOKUP(C368,CLIENT_CODE!B:B,CLIENT_CODE!R:R,0))</f>
        <v>0</v>
      </c>
      <c r="AD368">
        <f t="shared" si="5"/>
        <v>0</v>
      </c>
    </row>
    <row r="369" spans="1:30">
      <c r="A369" s="42">
        <v>368</v>
      </c>
      <c r="E369">
        <f>IF(D369=0,0,_xlfn.XLOOKUP(C369,CLIENT_CODE!B:B,CLIENT_CODE!F:F,0))</f>
        <v>0</v>
      </c>
      <c r="F369">
        <f>_xlfn.XLOOKUP(B369,CRN!G:G,CRN!K:K,"")</f>
        <v>0</v>
      </c>
      <c r="G369">
        <f>IF(F369=0,0,_xlfn.XLOOKUP(C369,CLIENT_CODE!B:B,CLIENT_CODE!G:G,0))</f>
        <v>0</v>
      </c>
      <c r="H369">
        <f>_xlfn.XLOOKUP(B369,CRN!G:G,CRN!L:L,"")</f>
        <v>0</v>
      </c>
      <c r="I369">
        <f>IF(H369=0,0,_xlfn.XLOOKUP(C369,CLIENT_CODE!B:B,CLIENT_CODE!H:H,0))</f>
        <v>0</v>
      </c>
      <c r="J369">
        <f>_xlfn.XLOOKUP(B369,CRN!G:G,CRN!M:M,"")</f>
        <v>0</v>
      </c>
      <c r="K369">
        <f>IF(J369=0,0,_xlfn.XLOOKUP(C369,CLIENT_CODE!B:B,CLIENT_CODE!I:I,0))</f>
        <v>0</v>
      </c>
      <c r="L369">
        <f>_xlfn.XLOOKUP(B369,CRN!G:G,CRN!N:N,"")</f>
        <v>0</v>
      </c>
      <c r="M369">
        <f>IF(L369=0,0,_xlfn.XLOOKUP(C369,CLIENT_CODE!B:B,CLIENT_CODE!J:J,0))</f>
        <v>0</v>
      </c>
      <c r="N369">
        <f>_xlfn.XLOOKUP(B369,CRN!G:G,CRN!O:O,"")</f>
        <v>0</v>
      </c>
      <c r="O369">
        <f>IF(N369=0,0,_xlfn.XLOOKUP(C369,CLIENT_CODE!B:B,CLIENT_CODE!K:K,0))</f>
        <v>0</v>
      </c>
      <c r="P369">
        <f>_xlfn.XLOOKUP(B369,CRN!G:G,CRN!P:P,"")</f>
        <v>0</v>
      </c>
      <c r="Q369">
        <f>IF(P369=0,0,_xlfn.XLOOKUP(C369,CLIENT_CODE!B:B,CLIENT_CODE!L:L,0))</f>
        <v>0</v>
      </c>
      <c r="R369">
        <f>_xlfn.XLOOKUP(B369,CRN!G:G,CRN!Q:Q,"")</f>
        <v>0</v>
      </c>
      <c r="S369">
        <f>IF(R369=0,0,_xlfn.XLOOKUP(C369,CLIENT_CODE!B:B,CLIENT_CODE!M:M,0))</f>
        <v>0</v>
      </c>
      <c r="T369">
        <f>_xlfn.XLOOKUP(B369,CRN!G:G,CRN!R:R,"")</f>
        <v>0</v>
      </c>
      <c r="U369">
        <f>IF(T369=0,0,_xlfn.XLOOKUP(C369,CLIENT_CODE!B:B,CLIENT_CODE!N:N,0))</f>
        <v>0</v>
      </c>
      <c r="V369">
        <f>_xlfn.XLOOKUP(B369,CRN!G:G,CRN!S:S,"")</f>
        <v>0</v>
      </c>
      <c r="W369">
        <f>IF(V369=0,0,_xlfn.XLOOKUP(C369,CLIENT_CODE!B:B,CLIENT_CODE!O:O,0))</f>
        <v>0</v>
      </c>
      <c r="X369">
        <f>_xlfn.XLOOKUP(B369,CRN!G:G,CRN!T:T,"")</f>
        <v>0</v>
      </c>
      <c r="Y369">
        <f>IF(X369=0,0,_xlfn.XLOOKUP(C369,CLIENT_CODE!B:B,CLIENT_CODE!P:P,0))</f>
        <v>0</v>
      </c>
      <c r="Z369">
        <f>_xlfn.XLOOKUP(B369,CRN!G:G,CRN!U:U,"")</f>
        <v>0</v>
      </c>
      <c r="AA369">
        <f>IF(X369=0,0,_xlfn.XLOOKUP(C369,CLIENT_CODE!B:B,CLIENT_CODE!P:P,0))</f>
        <v>0</v>
      </c>
      <c r="AB369">
        <f>_xlfn.XLOOKUP(B369,CRN!G:G,CRN!V:V,"")</f>
        <v>0</v>
      </c>
      <c r="AC369">
        <f>IF(AB369=0,0,_xlfn.XLOOKUP(C369,CLIENT_CODE!B:B,CLIENT_CODE!R:R,0))</f>
        <v>0</v>
      </c>
      <c r="AD369">
        <f t="shared" si="5"/>
        <v>0</v>
      </c>
    </row>
    <row r="370" spans="1:30">
      <c r="A370" s="42">
        <v>369</v>
      </c>
      <c r="E370">
        <f>IF(D370=0,0,_xlfn.XLOOKUP(C370,CLIENT_CODE!B:B,CLIENT_CODE!F:F,0))</f>
        <v>0</v>
      </c>
      <c r="F370">
        <f>_xlfn.XLOOKUP(B370,CRN!G:G,CRN!K:K,"")</f>
        <v>0</v>
      </c>
      <c r="G370">
        <f>IF(F370=0,0,_xlfn.XLOOKUP(C370,CLIENT_CODE!B:B,CLIENT_CODE!G:G,0))</f>
        <v>0</v>
      </c>
      <c r="H370">
        <f>_xlfn.XLOOKUP(B370,CRN!G:G,CRN!L:L,"")</f>
        <v>0</v>
      </c>
      <c r="I370">
        <f>IF(H370=0,0,_xlfn.XLOOKUP(C370,CLIENT_CODE!B:B,CLIENT_CODE!H:H,0))</f>
        <v>0</v>
      </c>
      <c r="J370">
        <f>_xlfn.XLOOKUP(B370,CRN!G:G,CRN!M:M,"")</f>
        <v>0</v>
      </c>
      <c r="K370">
        <f>IF(J370=0,0,_xlfn.XLOOKUP(C370,CLIENT_CODE!B:B,CLIENT_CODE!I:I,0))</f>
        <v>0</v>
      </c>
      <c r="L370">
        <f>_xlfn.XLOOKUP(B370,CRN!G:G,CRN!N:N,"")</f>
        <v>0</v>
      </c>
      <c r="M370">
        <f>IF(L370=0,0,_xlfn.XLOOKUP(C370,CLIENT_CODE!B:B,CLIENT_CODE!J:J,0))</f>
        <v>0</v>
      </c>
      <c r="N370">
        <f>_xlfn.XLOOKUP(B370,CRN!G:G,CRN!O:O,"")</f>
        <v>0</v>
      </c>
      <c r="O370">
        <f>IF(N370=0,0,_xlfn.XLOOKUP(C370,CLIENT_CODE!B:B,CLIENT_CODE!K:K,0))</f>
        <v>0</v>
      </c>
      <c r="P370">
        <f>_xlfn.XLOOKUP(B370,CRN!G:G,CRN!P:P,"")</f>
        <v>0</v>
      </c>
      <c r="Q370">
        <f>IF(P370=0,0,_xlfn.XLOOKUP(C370,CLIENT_CODE!B:B,CLIENT_CODE!L:L,0))</f>
        <v>0</v>
      </c>
      <c r="R370">
        <f>_xlfn.XLOOKUP(B370,CRN!G:G,CRN!Q:Q,"")</f>
        <v>0</v>
      </c>
      <c r="S370">
        <f>IF(R370=0,0,_xlfn.XLOOKUP(C370,CLIENT_CODE!B:B,CLIENT_CODE!M:M,0))</f>
        <v>0</v>
      </c>
      <c r="T370">
        <f>_xlfn.XLOOKUP(B370,CRN!G:G,CRN!R:R,"")</f>
        <v>0</v>
      </c>
      <c r="U370">
        <f>IF(T370=0,0,_xlfn.XLOOKUP(C370,CLIENT_CODE!B:B,CLIENT_CODE!N:N,0))</f>
        <v>0</v>
      </c>
      <c r="V370">
        <f>_xlfn.XLOOKUP(B370,CRN!G:G,CRN!S:S,"")</f>
        <v>0</v>
      </c>
      <c r="W370">
        <f>IF(V370=0,0,_xlfn.XLOOKUP(C370,CLIENT_CODE!B:B,CLIENT_CODE!O:O,0))</f>
        <v>0</v>
      </c>
      <c r="X370">
        <f>_xlfn.XLOOKUP(B370,CRN!G:G,CRN!T:T,"")</f>
        <v>0</v>
      </c>
      <c r="Y370">
        <f>IF(X370=0,0,_xlfn.XLOOKUP(C370,CLIENT_CODE!B:B,CLIENT_CODE!P:P,0))</f>
        <v>0</v>
      </c>
      <c r="Z370">
        <f>_xlfn.XLOOKUP(B370,CRN!G:G,CRN!U:U,"")</f>
        <v>0</v>
      </c>
      <c r="AA370">
        <f>IF(X370=0,0,_xlfn.XLOOKUP(C370,CLIENT_CODE!B:B,CLIENT_CODE!P:P,0))</f>
        <v>0</v>
      </c>
      <c r="AB370">
        <f>_xlfn.XLOOKUP(B370,CRN!G:G,CRN!V:V,"")</f>
        <v>0</v>
      </c>
      <c r="AC370">
        <f>IF(AB370=0,0,_xlfn.XLOOKUP(C370,CLIENT_CODE!B:B,CLIENT_CODE!R:R,0))</f>
        <v>0</v>
      </c>
      <c r="AD370">
        <f t="shared" si="5"/>
        <v>0</v>
      </c>
    </row>
    <row r="371" spans="1:30">
      <c r="A371" s="42">
        <v>370</v>
      </c>
      <c r="E371">
        <f>IF(D371=0,0,_xlfn.XLOOKUP(C371,CLIENT_CODE!B:B,CLIENT_CODE!F:F,0))</f>
        <v>0</v>
      </c>
      <c r="F371">
        <f>_xlfn.XLOOKUP(B371,CRN!G:G,CRN!K:K,"")</f>
        <v>0</v>
      </c>
      <c r="G371">
        <f>IF(F371=0,0,_xlfn.XLOOKUP(C371,CLIENT_CODE!B:B,CLIENT_CODE!G:G,0))</f>
        <v>0</v>
      </c>
      <c r="H371">
        <f>_xlfn.XLOOKUP(B371,CRN!G:G,CRN!L:L,"")</f>
        <v>0</v>
      </c>
      <c r="I371">
        <f>IF(H371=0,0,_xlfn.XLOOKUP(C371,CLIENT_CODE!B:B,CLIENT_CODE!H:H,0))</f>
        <v>0</v>
      </c>
      <c r="J371">
        <f>_xlfn.XLOOKUP(B371,CRN!G:G,CRN!M:M,"")</f>
        <v>0</v>
      </c>
      <c r="K371">
        <f>IF(J371=0,0,_xlfn.XLOOKUP(C371,CLIENT_CODE!B:B,CLIENT_CODE!I:I,0))</f>
        <v>0</v>
      </c>
      <c r="L371">
        <f>_xlfn.XLOOKUP(B371,CRN!G:G,CRN!N:N,"")</f>
        <v>0</v>
      </c>
      <c r="M371">
        <f>IF(L371=0,0,_xlfn.XLOOKUP(C371,CLIENT_CODE!B:B,CLIENT_CODE!J:J,0))</f>
        <v>0</v>
      </c>
      <c r="N371">
        <f>_xlfn.XLOOKUP(B371,CRN!G:G,CRN!O:O,"")</f>
        <v>0</v>
      </c>
      <c r="O371">
        <f>IF(N371=0,0,_xlfn.XLOOKUP(C371,CLIENT_CODE!B:B,CLIENT_CODE!K:K,0))</f>
        <v>0</v>
      </c>
      <c r="P371">
        <f>_xlfn.XLOOKUP(B371,CRN!G:G,CRN!P:P,"")</f>
        <v>0</v>
      </c>
      <c r="Q371">
        <f>IF(P371=0,0,_xlfn.XLOOKUP(C371,CLIENT_CODE!B:B,CLIENT_CODE!L:L,0))</f>
        <v>0</v>
      </c>
      <c r="R371">
        <f>_xlfn.XLOOKUP(B371,CRN!G:G,CRN!Q:Q,"")</f>
        <v>0</v>
      </c>
      <c r="S371">
        <f>IF(R371=0,0,_xlfn.XLOOKUP(C371,CLIENT_CODE!B:B,CLIENT_CODE!M:M,0))</f>
        <v>0</v>
      </c>
      <c r="T371">
        <f>_xlfn.XLOOKUP(B371,CRN!G:G,CRN!R:R,"")</f>
        <v>0</v>
      </c>
      <c r="U371">
        <f>IF(T371=0,0,_xlfn.XLOOKUP(C371,CLIENT_CODE!B:B,CLIENT_CODE!N:N,0))</f>
        <v>0</v>
      </c>
      <c r="V371">
        <f>_xlfn.XLOOKUP(B371,CRN!G:G,CRN!S:S,"")</f>
        <v>0</v>
      </c>
      <c r="W371">
        <f>IF(V371=0,0,_xlfn.XLOOKUP(C371,CLIENT_CODE!B:B,CLIENT_CODE!O:O,0))</f>
        <v>0</v>
      </c>
      <c r="X371">
        <f>_xlfn.XLOOKUP(B371,CRN!G:G,CRN!T:T,"")</f>
        <v>0</v>
      </c>
      <c r="Y371">
        <f>IF(X371=0,0,_xlfn.XLOOKUP(C371,CLIENT_CODE!B:B,CLIENT_CODE!P:P,0))</f>
        <v>0</v>
      </c>
      <c r="Z371">
        <f>_xlfn.XLOOKUP(B371,CRN!G:G,CRN!U:U,"")</f>
        <v>0</v>
      </c>
      <c r="AA371">
        <f>IF(X371=0,0,_xlfn.XLOOKUP(C371,CLIENT_CODE!B:B,CLIENT_CODE!P:P,0))</f>
        <v>0</v>
      </c>
      <c r="AB371">
        <f>_xlfn.XLOOKUP(B371,CRN!G:G,CRN!V:V,"")</f>
        <v>0</v>
      </c>
      <c r="AC371">
        <f>IF(AB371=0,0,_xlfn.XLOOKUP(C371,CLIENT_CODE!B:B,CLIENT_CODE!R:R,0))</f>
        <v>0</v>
      </c>
      <c r="AD371">
        <f t="shared" si="5"/>
        <v>0</v>
      </c>
    </row>
    <row r="372" spans="1:30">
      <c r="A372" s="42">
        <v>371</v>
      </c>
      <c r="E372">
        <f>IF(D372=0,0,_xlfn.XLOOKUP(C372,CLIENT_CODE!B:B,CLIENT_CODE!F:F,0))</f>
        <v>0</v>
      </c>
      <c r="F372">
        <f>_xlfn.XLOOKUP(B372,CRN!G:G,CRN!K:K,"")</f>
        <v>0</v>
      </c>
      <c r="G372">
        <f>IF(F372=0,0,_xlfn.XLOOKUP(C372,CLIENT_CODE!B:B,CLIENT_CODE!G:G,0))</f>
        <v>0</v>
      </c>
      <c r="H372">
        <f>_xlfn.XLOOKUP(B372,CRN!G:G,CRN!L:L,"")</f>
        <v>0</v>
      </c>
      <c r="I372">
        <f>IF(H372=0,0,_xlfn.XLOOKUP(C372,CLIENT_CODE!B:B,CLIENT_CODE!H:H,0))</f>
        <v>0</v>
      </c>
      <c r="J372">
        <f>_xlfn.XLOOKUP(B372,CRN!G:G,CRN!M:M,"")</f>
        <v>0</v>
      </c>
      <c r="K372">
        <f>IF(J372=0,0,_xlfn.XLOOKUP(C372,CLIENT_CODE!B:B,CLIENT_CODE!I:I,0))</f>
        <v>0</v>
      </c>
      <c r="L372">
        <f>_xlfn.XLOOKUP(B372,CRN!G:G,CRN!N:N,"")</f>
        <v>0</v>
      </c>
      <c r="M372">
        <f>IF(L372=0,0,_xlfn.XLOOKUP(C372,CLIENT_CODE!B:B,CLIENT_CODE!J:J,0))</f>
        <v>0</v>
      </c>
      <c r="N372">
        <f>_xlfn.XLOOKUP(B372,CRN!G:G,CRN!O:O,"")</f>
        <v>0</v>
      </c>
      <c r="O372">
        <f>IF(N372=0,0,_xlfn.XLOOKUP(C372,CLIENT_CODE!B:B,CLIENT_CODE!K:K,0))</f>
        <v>0</v>
      </c>
      <c r="P372">
        <f>_xlfn.XLOOKUP(B372,CRN!G:G,CRN!P:P,"")</f>
        <v>0</v>
      </c>
      <c r="Q372">
        <f>IF(P372=0,0,_xlfn.XLOOKUP(C372,CLIENT_CODE!B:B,CLIENT_CODE!L:L,0))</f>
        <v>0</v>
      </c>
      <c r="R372">
        <f>_xlfn.XLOOKUP(B372,CRN!G:G,CRN!Q:Q,"")</f>
        <v>0</v>
      </c>
      <c r="S372">
        <f>IF(R372=0,0,_xlfn.XLOOKUP(C372,CLIENT_CODE!B:B,CLIENT_CODE!M:M,0))</f>
        <v>0</v>
      </c>
      <c r="T372">
        <f>_xlfn.XLOOKUP(B372,CRN!G:G,CRN!R:R,"")</f>
        <v>0</v>
      </c>
      <c r="U372">
        <f>IF(T372=0,0,_xlfn.XLOOKUP(C372,CLIENT_CODE!B:B,CLIENT_CODE!N:N,0))</f>
        <v>0</v>
      </c>
      <c r="V372">
        <f>_xlfn.XLOOKUP(B372,CRN!G:G,CRN!S:S,"")</f>
        <v>0</v>
      </c>
      <c r="W372">
        <f>IF(V372=0,0,_xlfn.XLOOKUP(C372,CLIENT_CODE!B:B,CLIENT_CODE!O:O,0))</f>
        <v>0</v>
      </c>
      <c r="X372">
        <f>_xlfn.XLOOKUP(B372,CRN!G:G,CRN!T:T,"")</f>
        <v>0</v>
      </c>
      <c r="Y372">
        <f>IF(X372=0,0,_xlfn.XLOOKUP(C372,CLIENT_CODE!B:B,CLIENT_CODE!P:P,0))</f>
        <v>0</v>
      </c>
      <c r="Z372">
        <f>_xlfn.XLOOKUP(B372,CRN!G:G,CRN!U:U,"")</f>
        <v>0</v>
      </c>
      <c r="AA372">
        <f>IF(X372=0,0,_xlfn.XLOOKUP(C372,CLIENT_CODE!B:B,CLIENT_CODE!P:P,0))</f>
        <v>0</v>
      </c>
      <c r="AB372">
        <f>_xlfn.XLOOKUP(B372,CRN!G:G,CRN!V:V,"")</f>
        <v>0</v>
      </c>
      <c r="AC372">
        <f>IF(AB372=0,0,_xlfn.XLOOKUP(C372,CLIENT_CODE!B:B,CLIENT_CODE!R:R,0))</f>
        <v>0</v>
      </c>
      <c r="AD372">
        <f t="shared" si="5"/>
        <v>0</v>
      </c>
    </row>
    <row r="373" spans="1:30">
      <c r="A373" s="42">
        <v>372</v>
      </c>
      <c r="E373">
        <f>IF(D373=0,0,_xlfn.XLOOKUP(C373,CLIENT_CODE!B:B,CLIENT_CODE!F:F,0))</f>
        <v>0</v>
      </c>
      <c r="F373">
        <f>_xlfn.XLOOKUP(B373,CRN!G:G,CRN!K:K,"")</f>
        <v>0</v>
      </c>
      <c r="G373">
        <f>IF(F373=0,0,_xlfn.XLOOKUP(C373,CLIENT_CODE!B:B,CLIENT_CODE!G:G,0))</f>
        <v>0</v>
      </c>
      <c r="H373">
        <f>_xlfn.XLOOKUP(B373,CRN!G:G,CRN!L:L,"")</f>
        <v>0</v>
      </c>
      <c r="I373">
        <f>IF(H373=0,0,_xlfn.XLOOKUP(C373,CLIENT_CODE!B:B,CLIENT_CODE!H:H,0))</f>
        <v>0</v>
      </c>
      <c r="J373">
        <f>_xlfn.XLOOKUP(B373,CRN!G:G,CRN!M:M,"")</f>
        <v>0</v>
      </c>
      <c r="K373">
        <f>IF(J373=0,0,_xlfn.XLOOKUP(C373,CLIENT_CODE!B:B,CLIENT_CODE!I:I,0))</f>
        <v>0</v>
      </c>
      <c r="L373">
        <f>_xlfn.XLOOKUP(B373,CRN!G:G,CRN!N:N,"")</f>
        <v>0</v>
      </c>
      <c r="M373">
        <f>IF(L373=0,0,_xlfn.XLOOKUP(C373,CLIENT_CODE!B:B,CLIENT_CODE!J:J,0))</f>
        <v>0</v>
      </c>
      <c r="N373">
        <f>_xlfn.XLOOKUP(B373,CRN!G:G,CRN!O:O,"")</f>
        <v>0</v>
      </c>
      <c r="O373">
        <f>IF(N373=0,0,_xlfn.XLOOKUP(C373,CLIENT_CODE!B:B,CLIENT_CODE!K:K,0))</f>
        <v>0</v>
      </c>
      <c r="P373">
        <f>_xlfn.XLOOKUP(B373,CRN!G:G,CRN!P:P,"")</f>
        <v>0</v>
      </c>
      <c r="Q373">
        <f>IF(P373=0,0,_xlfn.XLOOKUP(C373,CLIENT_CODE!B:B,CLIENT_CODE!L:L,0))</f>
        <v>0</v>
      </c>
      <c r="R373">
        <f>_xlfn.XLOOKUP(B373,CRN!G:G,CRN!Q:Q,"")</f>
        <v>0</v>
      </c>
      <c r="S373">
        <f>IF(R373=0,0,_xlfn.XLOOKUP(C373,CLIENT_CODE!B:B,CLIENT_CODE!M:M,0))</f>
        <v>0</v>
      </c>
      <c r="T373">
        <f>_xlfn.XLOOKUP(B373,CRN!G:G,CRN!R:R,"")</f>
        <v>0</v>
      </c>
      <c r="U373">
        <f>IF(T373=0,0,_xlfn.XLOOKUP(C373,CLIENT_CODE!B:B,CLIENT_CODE!N:N,0))</f>
        <v>0</v>
      </c>
      <c r="V373">
        <f>_xlfn.XLOOKUP(B373,CRN!G:G,CRN!S:S,"")</f>
        <v>0</v>
      </c>
      <c r="W373">
        <f>IF(V373=0,0,_xlfn.XLOOKUP(C373,CLIENT_CODE!B:B,CLIENT_CODE!O:O,0))</f>
        <v>0</v>
      </c>
      <c r="X373">
        <f>_xlfn.XLOOKUP(B373,CRN!G:G,CRN!T:T,"")</f>
        <v>0</v>
      </c>
      <c r="Y373">
        <f>IF(X373=0,0,_xlfn.XLOOKUP(C373,CLIENT_CODE!B:B,CLIENT_CODE!P:P,0))</f>
        <v>0</v>
      </c>
      <c r="Z373">
        <f>_xlfn.XLOOKUP(B373,CRN!G:G,CRN!U:U,"")</f>
        <v>0</v>
      </c>
      <c r="AA373">
        <f>IF(X373=0,0,_xlfn.XLOOKUP(C373,CLIENT_CODE!B:B,CLIENT_CODE!P:P,0))</f>
        <v>0</v>
      </c>
      <c r="AB373">
        <f>_xlfn.XLOOKUP(B373,CRN!G:G,CRN!V:V,"")</f>
        <v>0</v>
      </c>
      <c r="AC373">
        <f>IF(AB373=0,0,_xlfn.XLOOKUP(C373,CLIENT_CODE!B:B,CLIENT_CODE!R:R,0))</f>
        <v>0</v>
      </c>
      <c r="AD373">
        <f t="shared" si="5"/>
        <v>0</v>
      </c>
    </row>
    <row r="374" spans="1:30">
      <c r="A374" s="42">
        <v>373</v>
      </c>
      <c r="E374">
        <f>IF(D374=0,0,_xlfn.XLOOKUP(C374,CLIENT_CODE!B:B,CLIENT_CODE!F:F,0))</f>
        <v>0</v>
      </c>
      <c r="F374">
        <f>_xlfn.XLOOKUP(B374,CRN!G:G,CRN!K:K,"")</f>
        <v>0</v>
      </c>
      <c r="G374">
        <f>IF(F374=0,0,_xlfn.XLOOKUP(C374,CLIENT_CODE!B:B,CLIENT_CODE!G:G,0))</f>
        <v>0</v>
      </c>
      <c r="H374">
        <f>_xlfn.XLOOKUP(B374,CRN!G:G,CRN!L:L,"")</f>
        <v>0</v>
      </c>
      <c r="I374">
        <f>IF(H374=0,0,_xlfn.XLOOKUP(C374,CLIENT_CODE!B:B,CLIENT_CODE!H:H,0))</f>
        <v>0</v>
      </c>
      <c r="J374">
        <f>_xlfn.XLOOKUP(B374,CRN!G:G,CRN!M:M,"")</f>
        <v>0</v>
      </c>
      <c r="K374">
        <f>IF(J374=0,0,_xlfn.XLOOKUP(C374,CLIENT_CODE!B:B,CLIENT_CODE!I:I,0))</f>
        <v>0</v>
      </c>
      <c r="L374">
        <f>_xlfn.XLOOKUP(B374,CRN!G:G,CRN!N:N,"")</f>
        <v>0</v>
      </c>
      <c r="M374">
        <f>IF(L374=0,0,_xlfn.XLOOKUP(C374,CLIENT_CODE!B:B,CLIENT_CODE!J:J,0))</f>
        <v>0</v>
      </c>
      <c r="N374">
        <f>_xlfn.XLOOKUP(B374,CRN!G:G,CRN!O:O,"")</f>
        <v>0</v>
      </c>
      <c r="O374">
        <f>IF(N374=0,0,_xlfn.XLOOKUP(C374,CLIENT_CODE!B:B,CLIENT_CODE!K:K,0))</f>
        <v>0</v>
      </c>
      <c r="P374">
        <f>_xlfn.XLOOKUP(B374,CRN!G:G,CRN!P:P,"")</f>
        <v>0</v>
      </c>
      <c r="Q374">
        <f>IF(P374=0,0,_xlfn.XLOOKUP(C374,CLIENT_CODE!B:B,CLIENT_CODE!L:L,0))</f>
        <v>0</v>
      </c>
      <c r="R374">
        <f>_xlfn.XLOOKUP(B374,CRN!G:G,CRN!Q:Q,"")</f>
        <v>0</v>
      </c>
      <c r="S374">
        <f>IF(R374=0,0,_xlfn.XLOOKUP(C374,CLIENT_CODE!B:B,CLIENT_CODE!M:M,0))</f>
        <v>0</v>
      </c>
      <c r="T374">
        <f>_xlfn.XLOOKUP(B374,CRN!G:G,CRN!R:R,"")</f>
        <v>0</v>
      </c>
      <c r="U374">
        <f>IF(T374=0,0,_xlfn.XLOOKUP(C374,CLIENT_CODE!B:B,CLIENT_CODE!N:N,0))</f>
        <v>0</v>
      </c>
      <c r="V374">
        <f>_xlfn.XLOOKUP(B374,CRN!G:G,CRN!S:S,"")</f>
        <v>0</v>
      </c>
      <c r="W374">
        <f>IF(V374=0,0,_xlfn.XLOOKUP(C374,CLIENT_CODE!B:B,CLIENT_CODE!O:O,0))</f>
        <v>0</v>
      </c>
      <c r="X374">
        <f>_xlfn.XLOOKUP(B374,CRN!G:G,CRN!T:T,"")</f>
        <v>0</v>
      </c>
      <c r="Y374">
        <f>IF(X374=0,0,_xlfn.XLOOKUP(C374,CLIENT_CODE!B:B,CLIENT_CODE!P:P,0))</f>
        <v>0</v>
      </c>
      <c r="Z374">
        <f>_xlfn.XLOOKUP(B374,CRN!G:G,CRN!U:U,"")</f>
        <v>0</v>
      </c>
      <c r="AA374">
        <f>IF(X374=0,0,_xlfn.XLOOKUP(C374,CLIENT_CODE!B:B,CLIENT_CODE!P:P,0))</f>
        <v>0</v>
      </c>
      <c r="AB374">
        <f>_xlfn.XLOOKUP(B374,CRN!G:G,CRN!V:V,"")</f>
        <v>0</v>
      </c>
      <c r="AC374">
        <f>IF(AB374=0,0,_xlfn.XLOOKUP(C374,CLIENT_CODE!B:B,CLIENT_CODE!R:R,0))</f>
        <v>0</v>
      </c>
      <c r="AD374">
        <f t="shared" si="5"/>
        <v>0</v>
      </c>
    </row>
    <row r="375" spans="1:30">
      <c r="A375" s="42">
        <v>374</v>
      </c>
      <c r="E375">
        <f>IF(D375=0,0,_xlfn.XLOOKUP(C375,CLIENT_CODE!B:B,CLIENT_CODE!F:F,0))</f>
        <v>0</v>
      </c>
      <c r="F375">
        <f>_xlfn.XLOOKUP(B375,CRN!G:G,CRN!K:K,"")</f>
        <v>0</v>
      </c>
      <c r="G375">
        <f>IF(F375=0,0,_xlfn.XLOOKUP(C375,CLIENT_CODE!B:B,CLIENT_CODE!G:G,0))</f>
        <v>0</v>
      </c>
      <c r="H375">
        <f>_xlfn.XLOOKUP(B375,CRN!G:G,CRN!L:L,"")</f>
        <v>0</v>
      </c>
      <c r="I375">
        <f>IF(H375=0,0,_xlfn.XLOOKUP(C375,CLIENT_CODE!B:B,CLIENT_CODE!H:H,0))</f>
        <v>0</v>
      </c>
      <c r="J375">
        <f>_xlfn.XLOOKUP(B375,CRN!G:G,CRN!M:M,"")</f>
        <v>0</v>
      </c>
      <c r="K375">
        <f>IF(J375=0,0,_xlfn.XLOOKUP(C375,CLIENT_CODE!B:B,CLIENT_CODE!I:I,0))</f>
        <v>0</v>
      </c>
      <c r="L375">
        <f>_xlfn.XLOOKUP(B375,CRN!G:G,CRN!N:N,"")</f>
        <v>0</v>
      </c>
      <c r="M375">
        <f>IF(L375=0,0,_xlfn.XLOOKUP(C375,CLIENT_CODE!B:B,CLIENT_CODE!J:J,0))</f>
        <v>0</v>
      </c>
      <c r="N375">
        <f>_xlfn.XLOOKUP(B375,CRN!G:G,CRN!O:O,"")</f>
        <v>0</v>
      </c>
      <c r="O375">
        <f>IF(N375=0,0,_xlfn.XLOOKUP(C375,CLIENT_CODE!B:B,CLIENT_CODE!K:K,0))</f>
        <v>0</v>
      </c>
      <c r="P375">
        <f>_xlfn.XLOOKUP(B375,CRN!G:G,CRN!P:P,"")</f>
        <v>0</v>
      </c>
      <c r="Q375">
        <f>IF(P375=0,0,_xlfn.XLOOKUP(C375,CLIENT_CODE!B:B,CLIENT_CODE!L:L,0))</f>
        <v>0</v>
      </c>
      <c r="R375">
        <f>_xlfn.XLOOKUP(B375,CRN!G:G,CRN!Q:Q,"")</f>
        <v>0</v>
      </c>
      <c r="S375">
        <f>IF(R375=0,0,_xlfn.XLOOKUP(C375,CLIENT_CODE!B:B,CLIENT_CODE!M:M,0))</f>
        <v>0</v>
      </c>
      <c r="T375">
        <f>_xlfn.XLOOKUP(B375,CRN!G:G,CRN!R:R,"")</f>
        <v>0</v>
      </c>
      <c r="U375">
        <f>IF(T375=0,0,_xlfn.XLOOKUP(C375,CLIENT_CODE!B:B,CLIENT_CODE!N:N,0))</f>
        <v>0</v>
      </c>
      <c r="V375">
        <f>_xlfn.XLOOKUP(B375,CRN!G:G,CRN!S:S,"")</f>
        <v>0</v>
      </c>
      <c r="W375">
        <f>IF(V375=0,0,_xlfn.XLOOKUP(C375,CLIENT_CODE!B:B,CLIENT_CODE!O:O,0))</f>
        <v>0</v>
      </c>
      <c r="X375">
        <f>_xlfn.XLOOKUP(B375,CRN!G:G,CRN!T:T,"")</f>
        <v>0</v>
      </c>
      <c r="Y375">
        <f>IF(X375=0,0,_xlfn.XLOOKUP(C375,CLIENT_CODE!B:B,CLIENT_CODE!P:P,0))</f>
        <v>0</v>
      </c>
      <c r="Z375">
        <f>_xlfn.XLOOKUP(B375,CRN!G:G,CRN!U:U,"")</f>
        <v>0</v>
      </c>
      <c r="AA375">
        <f>IF(X375=0,0,_xlfn.XLOOKUP(C375,CLIENT_CODE!B:B,CLIENT_CODE!P:P,0))</f>
        <v>0</v>
      </c>
      <c r="AB375">
        <f>_xlfn.XLOOKUP(B375,CRN!G:G,CRN!V:V,"")</f>
        <v>0</v>
      </c>
      <c r="AC375">
        <f>IF(AB375=0,0,_xlfn.XLOOKUP(C375,CLIENT_CODE!B:B,CLIENT_CODE!R:R,0))</f>
        <v>0</v>
      </c>
      <c r="AD375">
        <f t="shared" si="5"/>
        <v>0</v>
      </c>
    </row>
    <row r="376" spans="1:30">
      <c r="A376" s="42">
        <v>375</v>
      </c>
      <c r="E376">
        <f>IF(D376=0,0,_xlfn.XLOOKUP(C376,CLIENT_CODE!B:B,CLIENT_CODE!F:F,0))</f>
        <v>0</v>
      </c>
      <c r="F376">
        <f>_xlfn.XLOOKUP(B376,CRN!G:G,CRN!K:K,"")</f>
        <v>0</v>
      </c>
      <c r="G376">
        <f>IF(F376=0,0,_xlfn.XLOOKUP(C376,CLIENT_CODE!B:B,CLIENT_CODE!G:G,0))</f>
        <v>0</v>
      </c>
      <c r="H376">
        <f>_xlfn.XLOOKUP(B376,CRN!G:G,CRN!L:L,"")</f>
        <v>0</v>
      </c>
      <c r="I376">
        <f>IF(H376=0,0,_xlfn.XLOOKUP(C376,CLIENT_CODE!B:B,CLIENT_CODE!H:H,0))</f>
        <v>0</v>
      </c>
      <c r="J376">
        <f>_xlfn.XLOOKUP(B376,CRN!G:G,CRN!M:M,"")</f>
        <v>0</v>
      </c>
      <c r="K376">
        <f>IF(J376=0,0,_xlfn.XLOOKUP(C376,CLIENT_CODE!B:B,CLIENT_CODE!I:I,0))</f>
        <v>0</v>
      </c>
      <c r="L376">
        <f>_xlfn.XLOOKUP(B376,CRN!G:G,CRN!N:N,"")</f>
        <v>0</v>
      </c>
      <c r="M376">
        <f>IF(L376=0,0,_xlfn.XLOOKUP(C376,CLIENT_CODE!B:B,CLIENT_CODE!J:J,0))</f>
        <v>0</v>
      </c>
      <c r="N376">
        <f>_xlfn.XLOOKUP(B376,CRN!G:G,CRN!O:O,"")</f>
        <v>0</v>
      </c>
      <c r="O376">
        <f>IF(N376=0,0,_xlfn.XLOOKUP(C376,CLIENT_CODE!B:B,CLIENT_CODE!K:K,0))</f>
        <v>0</v>
      </c>
      <c r="P376">
        <f>_xlfn.XLOOKUP(B376,CRN!G:G,CRN!P:P,"")</f>
        <v>0</v>
      </c>
      <c r="Q376">
        <f>IF(P376=0,0,_xlfn.XLOOKUP(C376,CLIENT_CODE!B:B,CLIENT_CODE!L:L,0))</f>
        <v>0</v>
      </c>
      <c r="R376">
        <f>_xlfn.XLOOKUP(B376,CRN!G:G,CRN!Q:Q,"")</f>
        <v>0</v>
      </c>
      <c r="S376">
        <f>IF(R376=0,0,_xlfn.XLOOKUP(C376,CLIENT_CODE!B:B,CLIENT_CODE!M:M,0))</f>
        <v>0</v>
      </c>
      <c r="T376">
        <f>_xlfn.XLOOKUP(B376,CRN!G:G,CRN!R:R,"")</f>
        <v>0</v>
      </c>
      <c r="U376">
        <f>IF(T376=0,0,_xlfn.XLOOKUP(C376,CLIENT_CODE!B:B,CLIENT_CODE!N:N,0))</f>
        <v>0</v>
      </c>
      <c r="V376">
        <f>_xlfn.XLOOKUP(B376,CRN!G:G,CRN!S:S,"")</f>
        <v>0</v>
      </c>
      <c r="W376">
        <f>IF(V376=0,0,_xlfn.XLOOKUP(C376,CLIENT_CODE!B:B,CLIENT_CODE!O:O,0))</f>
        <v>0</v>
      </c>
      <c r="X376">
        <f>_xlfn.XLOOKUP(B376,CRN!G:G,CRN!T:T,"")</f>
        <v>0</v>
      </c>
      <c r="Y376">
        <f>IF(X376=0,0,_xlfn.XLOOKUP(C376,CLIENT_CODE!B:B,CLIENT_CODE!P:P,0))</f>
        <v>0</v>
      </c>
      <c r="Z376">
        <f>_xlfn.XLOOKUP(B376,CRN!G:G,CRN!U:U,"")</f>
        <v>0</v>
      </c>
      <c r="AA376">
        <f>IF(X376=0,0,_xlfn.XLOOKUP(C376,CLIENT_CODE!B:B,CLIENT_CODE!P:P,0))</f>
        <v>0</v>
      </c>
      <c r="AB376">
        <f>_xlfn.XLOOKUP(B376,CRN!G:G,CRN!V:V,"")</f>
        <v>0</v>
      </c>
      <c r="AC376">
        <f>IF(AB376=0,0,_xlfn.XLOOKUP(C376,CLIENT_CODE!B:B,CLIENT_CODE!R:R,0))</f>
        <v>0</v>
      </c>
      <c r="AD376">
        <f t="shared" si="5"/>
        <v>0</v>
      </c>
    </row>
    <row r="377" spans="1:30">
      <c r="A377" s="42">
        <v>376</v>
      </c>
      <c r="E377">
        <f>IF(D377=0,0,_xlfn.XLOOKUP(C377,CLIENT_CODE!B:B,CLIENT_CODE!F:F,0))</f>
        <v>0</v>
      </c>
      <c r="F377">
        <f>_xlfn.XLOOKUP(B377,CRN!G:G,CRN!K:K,"")</f>
        <v>0</v>
      </c>
      <c r="G377">
        <f>IF(F377=0,0,_xlfn.XLOOKUP(C377,CLIENT_CODE!B:B,CLIENT_CODE!G:G,0))</f>
        <v>0</v>
      </c>
      <c r="H377">
        <f>_xlfn.XLOOKUP(B377,CRN!G:G,CRN!L:L,"")</f>
        <v>0</v>
      </c>
      <c r="I377">
        <f>IF(H377=0,0,_xlfn.XLOOKUP(C377,CLIENT_CODE!B:B,CLIENT_CODE!H:H,0))</f>
        <v>0</v>
      </c>
      <c r="J377">
        <f>_xlfn.XLOOKUP(B377,CRN!G:G,CRN!M:M,"")</f>
        <v>0</v>
      </c>
      <c r="K377">
        <f>IF(J377=0,0,_xlfn.XLOOKUP(C377,CLIENT_CODE!B:B,CLIENT_CODE!I:I,0))</f>
        <v>0</v>
      </c>
      <c r="L377">
        <f>_xlfn.XLOOKUP(B377,CRN!G:G,CRN!N:N,"")</f>
        <v>0</v>
      </c>
      <c r="M377">
        <f>IF(L377=0,0,_xlfn.XLOOKUP(C377,CLIENT_CODE!B:B,CLIENT_CODE!J:J,0))</f>
        <v>0</v>
      </c>
      <c r="N377">
        <f>_xlfn.XLOOKUP(B377,CRN!G:G,CRN!O:O,"")</f>
        <v>0</v>
      </c>
      <c r="O377">
        <f>IF(N377=0,0,_xlfn.XLOOKUP(C377,CLIENT_CODE!B:B,CLIENT_CODE!K:K,0))</f>
        <v>0</v>
      </c>
      <c r="P377">
        <f>_xlfn.XLOOKUP(B377,CRN!G:G,CRN!P:P,"")</f>
        <v>0</v>
      </c>
      <c r="Q377">
        <f>IF(P377=0,0,_xlfn.XLOOKUP(C377,CLIENT_CODE!B:B,CLIENT_CODE!L:L,0))</f>
        <v>0</v>
      </c>
      <c r="R377">
        <f>_xlfn.XLOOKUP(B377,CRN!G:G,CRN!Q:Q,"")</f>
        <v>0</v>
      </c>
      <c r="S377">
        <f>IF(R377=0,0,_xlfn.XLOOKUP(C377,CLIENT_CODE!B:B,CLIENT_CODE!M:M,0))</f>
        <v>0</v>
      </c>
      <c r="T377">
        <f>_xlfn.XLOOKUP(B377,CRN!G:G,CRN!R:R,"")</f>
        <v>0</v>
      </c>
      <c r="U377">
        <f>IF(T377=0,0,_xlfn.XLOOKUP(C377,CLIENT_CODE!B:B,CLIENT_CODE!N:N,0))</f>
        <v>0</v>
      </c>
      <c r="V377">
        <f>_xlfn.XLOOKUP(B377,CRN!G:G,CRN!S:S,"")</f>
        <v>0</v>
      </c>
      <c r="W377">
        <f>IF(V377=0,0,_xlfn.XLOOKUP(C377,CLIENT_CODE!B:B,CLIENT_CODE!O:O,0))</f>
        <v>0</v>
      </c>
      <c r="X377">
        <f>_xlfn.XLOOKUP(B377,CRN!G:G,CRN!T:T,"")</f>
        <v>0</v>
      </c>
      <c r="Y377">
        <f>IF(X377=0,0,_xlfn.XLOOKUP(C377,CLIENT_CODE!B:B,CLIENT_CODE!P:P,0))</f>
        <v>0</v>
      </c>
      <c r="Z377">
        <f>_xlfn.XLOOKUP(B377,CRN!G:G,CRN!U:U,"")</f>
        <v>0</v>
      </c>
      <c r="AA377">
        <f>IF(X377=0,0,_xlfn.XLOOKUP(C377,CLIENT_CODE!B:B,CLIENT_CODE!P:P,0))</f>
        <v>0</v>
      </c>
      <c r="AB377">
        <f>_xlfn.XLOOKUP(B377,CRN!G:G,CRN!V:V,"")</f>
        <v>0</v>
      </c>
      <c r="AC377">
        <f>IF(AB377=0,0,_xlfn.XLOOKUP(C377,CLIENT_CODE!B:B,CLIENT_CODE!R:R,0))</f>
        <v>0</v>
      </c>
      <c r="AD377">
        <f t="shared" si="5"/>
        <v>0</v>
      </c>
    </row>
    <row r="378" spans="1:30">
      <c r="A378" s="42">
        <v>377</v>
      </c>
      <c r="E378">
        <f>IF(D378=0,0,_xlfn.XLOOKUP(C378,CLIENT_CODE!B:B,CLIENT_CODE!F:F,0))</f>
        <v>0</v>
      </c>
      <c r="F378">
        <f>_xlfn.XLOOKUP(B378,CRN!G:G,CRN!K:K,"")</f>
        <v>0</v>
      </c>
      <c r="G378">
        <f>IF(F378=0,0,_xlfn.XLOOKUP(C378,CLIENT_CODE!B:B,CLIENT_CODE!G:G,0))</f>
        <v>0</v>
      </c>
      <c r="H378">
        <f>_xlfn.XLOOKUP(B378,CRN!G:G,CRN!L:L,"")</f>
        <v>0</v>
      </c>
      <c r="I378">
        <f>IF(H378=0,0,_xlfn.XLOOKUP(C378,CLIENT_CODE!B:B,CLIENT_CODE!H:H,0))</f>
        <v>0</v>
      </c>
      <c r="J378">
        <f>_xlfn.XLOOKUP(B378,CRN!G:G,CRN!M:M,"")</f>
        <v>0</v>
      </c>
      <c r="K378">
        <f>IF(J378=0,0,_xlfn.XLOOKUP(C378,CLIENT_CODE!B:B,CLIENT_CODE!I:I,0))</f>
        <v>0</v>
      </c>
      <c r="L378">
        <f>_xlfn.XLOOKUP(B378,CRN!G:G,CRN!N:N,"")</f>
        <v>0</v>
      </c>
      <c r="M378">
        <f>IF(L378=0,0,_xlfn.XLOOKUP(C378,CLIENT_CODE!B:B,CLIENT_CODE!J:J,0))</f>
        <v>0</v>
      </c>
      <c r="N378">
        <f>_xlfn.XLOOKUP(B378,CRN!G:G,CRN!O:O,"")</f>
        <v>0</v>
      </c>
      <c r="O378">
        <f>IF(N378=0,0,_xlfn.XLOOKUP(C378,CLIENT_CODE!B:B,CLIENT_CODE!K:K,0))</f>
        <v>0</v>
      </c>
      <c r="P378">
        <f>_xlfn.XLOOKUP(B378,CRN!G:G,CRN!P:P,"")</f>
        <v>0</v>
      </c>
      <c r="Q378">
        <f>IF(P378=0,0,_xlfn.XLOOKUP(C378,CLIENT_CODE!B:B,CLIENT_CODE!L:L,0))</f>
        <v>0</v>
      </c>
      <c r="R378">
        <f>_xlfn.XLOOKUP(B378,CRN!G:G,CRN!Q:Q,"")</f>
        <v>0</v>
      </c>
      <c r="S378">
        <f>IF(R378=0,0,_xlfn.XLOOKUP(C378,CLIENT_CODE!B:B,CLIENT_CODE!M:M,0))</f>
        <v>0</v>
      </c>
      <c r="T378">
        <f>_xlfn.XLOOKUP(B378,CRN!G:G,CRN!R:R,"")</f>
        <v>0</v>
      </c>
      <c r="U378">
        <f>IF(T378=0,0,_xlfn.XLOOKUP(C378,CLIENT_CODE!B:B,CLIENT_CODE!N:N,0))</f>
        <v>0</v>
      </c>
      <c r="V378">
        <f>_xlfn.XLOOKUP(B378,CRN!G:G,CRN!S:S,"")</f>
        <v>0</v>
      </c>
      <c r="W378">
        <f>IF(V378=0,0,_xlfn.XLOOKUP(C378,CLIENT_CODE!B:B,CLIENT_CODE!O:O,0))</f>
        <v>0</v>
      </c>
      <c r="X378">
        <f>_xlfn.XLOOKUP(B378,CRN!G:G,CRN!T:T,"")</f>
        <v>0</v>
      </c>
      <c r="Y378">
        <f>IF(X378=0,0,_xlfn.XLOOKUP(C378,CLIENT_CODE!B:B,CLIENT_CODE!P:P,0))</f>
        <v>0</v>
      </c>
      <c r="Z378">
        <f>_xlfn.XLOOKUP(B378,CRN!G:G,CRN!U:U,"")</f>
        <v>0</v>
      </c>
      <c r="AA378">
        <f>IF(X378=0,0,_xlfn.XLOOKUP(C378,CLIENT_CODE!B:B,CLIENT_CODE!P:P,0))</f>
        <v>0</v>
      </c>
      <c r="AB378">
        <f>_xlfn.XLOOKUP(B378,CRN!G:G,CRN!V:V,"")</f>
        <v>0</v>
      </c>
      <c r="AC378">
        <f>IF(AB378=0,0,_xlfn.XLOOKUP(C378,CLIENT_CODE!B:B,CLIENT_CODE!R:R,0))</f>
        <v>0</v>
      </c>
      <c r="AD378">
        <f t="shared" si="5"/>
        <v>0</v>
      </c>
    </row>
    <row r="379" spans="1:30">
      <c r="A379" s="42">
        <v>378</v>
      </c>
      <c r="E379">
        <f>IF(D379=0,0,_xlfn.XLOOKUP(C379,CLIENT_CODE!B:B,CLIENT_CODE!F:F,0))</f>
        <v>0</v>
      </c>
      <c r="F379">
        <f>_xlfn.XLOOKUP(B379,CRN!G:G,CRN!K:K,"")</f>
        <v>0</v>
      </c>
      <c r="G379">
        <f>IF(F379=0,0,_xlfn.XLOOKUP(C379,CLIENT_CODE!B:B,CLIENT_CODE!G:G,0))</f>
        <v>0</v>
      </c>
      <c r="H379">
        <f>_xlfn.XLOOKUP(B379,CRN!G:G,CRN!L:L,"")</f>
        <v>0</v>
      </c>
      <c r="I379">
        <f>IF(H379=0,0,_xlfn.XLOOKUP(C379,CLIENT_CODE!B:B,CLIENT_CODE!H:H,0))</f>
        <v>0</v>
      </c>
      <c r="J379">
        <f>_xlfn.XLOOKUP(B379,CRN!G:G,CRN!M:M,"")</f>
        <v>0</v>
      </c>
      <c r="K379">
        <f>IF(J379=0,0,_xlfn.XLOOKUP(C379,CLIENT_CODE!B:B,CLIENT_CODE!I:I,0))</f>
        <v>0</v>
      </c>
      <c r="L379">
        <f>_xlfn.XLOOKUP(B379,CRN!G:G,CRN!N:N,"")</f>
        <v>0</v>
      </c>
      <c r="M379">
        <f>IF(L379=0,0,_xlfn.XLOOKUP(C379,CLIENT_CODE!B:B,CLIENT_CODE!J:J,0))</f>
        <v>0</v>
      </c>
      <c r="N379">
        <f>_xlfn.XLOOKUP(B379,CRN!G:G,CRN!O:O,"")</f>
        <v>0</v>
      </c>
      <c r="O379">
        <f>IF(N379=0,0,_xlfn.XLOOKUP(C379,CLIENT_CODE!B:B,CLIENT_CODE!K:K,0))</f>
        <v>0</v>
      </c>
      <c r="P379">
        <f>_xlfn.XLOOKUP(B379,CRN!G:G,CRN!P:P,"")</f>
        <v>0</v>
      </c>
      <c r="Q379">
        <f>IF(P379=0,0,_xlfn.XLOOKUP(C379,CLIENT_CODE!B:B,CLIENT_CODE!L:L,0))</f>
        <v>0</v>
      </c>
      <c r="R379">
        <f>_xlfn.XLOOKUP(B379,CRN!G:G,CRN!Q:Q,"")</f>
        <v>0</v>
      </c>
      <c r="S379">
        <f>IF(R379=0,0,_xlfn.XLOOKUP(C379,CLIENT_CODE!B:B,CLIENT_CODE!M:M,0))</f>
        <v>0</v>
      </c>
      <c r="T379">
        <f>_xlfn.XLOOKUP(B379,CRN!G:G,CRN!R:R,"")</f>
        <v>0</v>
      </c>
      <c r="U379">
        <f>IF(T379=0,0,_xlfn.XLOOKUP(C379,CLIENT_CODE!B:B,CLIENT_CODE!N:N,0))</f>
        <v>0</v>
      </c>
      <c r="V379">
        <f>_xlfn.XLOOKUP(B379,CRN!G:G,CRN!S:S,"")</f>
        <v>0</v>
      </c>
      <c r="W379">
        <f>IF(V379=0,0,_xlfn.XLOOKUP(C379,CLIENT_CODE!B:B,CLIENT_CODE!O:O,0))</f>
        <v>0</v>
      </c>
      <c r="X379">
        <f>_xlfn.XLOOKUP(B379,CRN!G:G,CRN!T:T,"")</f>
        <v>0</v>
      </c>
      <c r="Y379">
        <f>IF(X379=0,0,_xlfn.XLOOKUP(C379,CLIENT_CODE!B:B,CLIENT_CODE!P:P,0))</f>
        <v>0</v>
      </c>
      <c r="Z379">
        <f>_xlfn.XLOOKUP(B379,CRN!G:G,CRN!U:U,"")</f>
        <v>0</v>
      </c>
      <c r="AA379">
        <f>IF(X379=0,0,_xlfn.XLOOKUP(C379,CLIENT_CODE!B:B,CLIENT_CODE!P:P,0))</f>
        <v>0</v>
      </c>
      <c r="AB379">
        <f>_xlfn.XLOOKUP(B379,CRN!G:G,CRN!V:V,"")</f>
        <v>0</v>
      </c>
      <c r="AC379">
        <f>IF(AB379=0,0,_xlfn.XLOOKUP(C379,CLIENT_CODE!B:B,CLIENT_CODE!R:R,0))</f>
        <v>0</v>
      </c>
      <c r="AD379">
        <f t="shared" si="5"/>
        <v>0</v>
      </c>
    </row>
    <row r="380" spans="1:30">
      <c r="A380" s="42">
        <v>379</v>
      </c>
      <c r="E380">
        <f>IF(D380=0,0,_xlfn.XLOOKUP(C380,CLIENT_CODE!B:B,CLIENT_CODE!F:F,0))</f>
        <v>0</v>
      </c>
      <c r="F380">
        <f>_xlfn.XLOOKUP(B380,CRN!G:G,CRN!K:K,"")</f>
        <v>0</v>
      </c>
      <c r="G380">
        <f>IF(F380=0,0,_xlfn.XLOOKUP(C380,CLIENT_CODE!B:B,CLIENT_CODE!G:G,0))</f>
        <v>0</v>
      </c>
      <c r="H380">
        <f>_xlfn.XLOOKUP(B380,CRN!G:G,CRN!L:L,"")</f>
        <v>0</v>
      </c>
      <c r="I380">
        <f>IF(H380=0,0,_xlfn.XLOOKUP(C380,CLIENT_CODE!B:B,CLIENT_CODE!H:H,0))</f>
        <v>0</v>
      </c>
      <c r="J380">
        <f>_xlfn.XLOOKUP(B380,CRN!G:G,CRN!M:M,"")</f>
        <v>0</v>
      </c>
      <c r="K380">
        <f>IF(J380=0,0,_xlfn.XLOOKUP(C380,CLIENT_CODE!B:B,CLIENT_CODE!I:I,0))</f>
        <v>0</v>
      </c>
      <c r="L380">
        <f>_xlfn.XLOOKUP(B380,CRN!G:G,CRN!N:N,"")</f>
        <v>0</v>
      </c>
      <c r="M380">
        <f>IF(L380=0,0,_xlfn.XLOOKUP(C380,CLIENT_CODE!B:B,CLIENT_CODE!J:J,0))</f>
        <v>0</v>
      </c>
      <c r="N380">
        <f>_xlfn.XLOOKUP(B380,CRN!G:G,CRN!O:O,"")</f>
        <v>0</v>
      </c>
      <c r="O380">
        <f>IF(N380=0,0,_xlfn.XLOOKUP(C380,CLIENT_CODE!B:B,CLIENT_CODE!K:K,0))</f>
        <v>0</v>
      </c>
      <c r="P380">
        <f>_xlfn.XLOOKUP(B380,CRN!G:G,CRN!P:P,"")</f>
        <v>0</v>
      </c>
      <c r="Q380">
        <f>IF(P380=0,0,_xlfn.XLOOKUP(C380,CLIENT_CODE!B:B,CLIENT_CODE!L:L,0))</f>
        <v>0</v>
      </c>
      <c r="R380">
        <f>_xlfn.XLOOKUP(B380,CRN!G:G,CRN!Q:Q,"")</f>
        <v>0</v>
      </c>
      <c r="S380">
        <f>IF(R380=0,0,_xlfn.XLOOKUP(C380,CLIENT_CODE!B:B,CLIENT_CODE!M:M,0))</f>
        <v>0</v>
      </c>
      <c r="T380">
        <f>_xlfn.XLOOKUP(B380,CRN!G:G,CRN!R:R,"")</f>
        <v>0</v>
      </c>
      <c r="U380">
        <f>IF(T380=0,0,_xlfn.XLOOKUP(C380,CLIENT_CODE!B:B,CLIENT_CODE!N:N,0))</f>
        <v>0</v>
      </c>
      <c r="V380">
        <f>_xlfn.XLOOKUP(B380,CRN!G:G,CRN!S:S,"")</f>
        <v>0</v>
      </c>
      <c r="W380">
        <f>IF(V380=0,0,_xlfn.XLOOKUP(C380,CLIENT_CODE!B:B,CLIENT_CODE!O:O,0))</f>
        <v>0</v>
      </c>
      <c r="X380">
        <f>_xlfn.XLOOKUP(B380,CRN!G:G,CRN!T:T,"")</f>
        <v>0</v>
      </c>
      <c r="Y380">
        <f>IF(X380=0,0,_xlfn.XLOOKUP(C380,CLIENT_CODE!B:B,CLIENT_CODE!P:P,0))</f>
        <v>0</v>
      </c>
      <c r="Z380">
        <f>_xlfn.XLOOKUP(B380,CRN!G:G,CRN!U:U,"")</f>
        <v>0</v>
      </c>
      <c r="AA380">
        <f>IF(X380=0,0,_xlfn.XLOOKUP(C380,CLIENT_CODE!B:B,CLIENT_CODE!P:P,0))</f>
        <v>0</v>
      </c>
      <c r="AB380">
        <f>_xlfn.XLOOKUP(B380,CRN!G:G,CRN!V:V,"")</f>
        <v>0</v>
      </c>
      <c r="AC380">
        <f>IF(AB380=0,0,_xlfn.XLOOKUP(C380,CLIENT_CODE!B:B,CLIENT_CODE!R:R,0))</f>
        <v>0</v>
      </c>
      <c r="AD380">
        <f t="shared" si="5"/>
        <v>0</v>
      </c>
    </row>
    <row r="381" spans="1:30">
      <c r="A381" s="42">
        <v>380</v>
      </c>
      <c r="E381">
        <f>IF(D381=0,0,_xlfn.XLOOKUP(C381,CLIENT_CODE!B:B,CLIENT_CODE!F:F,0))</f>
        <v>0</v>
      </c>
      <c r="F381">
        <f>_xlfn.XLOOKUP(B381,CRN!G:G,CRN!K:K,"")</f>
        <v>0</v>
      </c>
      <c r="G381">
        <f>IF(F381=0,0,_xlfn.XLOOKUP(C381,CLIENT_CODE!B:B,CLIENT_CODE!G:G,0))</f>
        <v>0</v>
      </c>
      <c r="H381">
        <f>_xlfn.XLOOKUP(B381,CRN!G:G,CRN!L:L,"")</f>
        <v>0</v>
      </c>
      <c r="I381">
        <f>IF(H381=0,0,_xlfn.XLOOKUP(C381,CLIENT_CODE!B:B,CLIENT_CODE!H:H,0))</f>
        <v>0</v>
      </c>
      <c r="J381">
        <f>_xlfn.XLOOKUP(B381,CRN!G:G,CRN!M:M,"")</f>
        <v>0</v>
      </c>
      <c r="K381">
        <f>IF(J381=0,0,_xlfn.XLOOKUP(C381,CLIENT_CODE!B:B,CLIENT_CODE!I:I,0))</f>
        <v>0</v>
      </c>
      <c r="L381">
        <f>_xlfn.XLOOKUP(B381,CRN!G:G,CRN!N:N,"")</f>
        <v>0</v>
      </c>
      <c r="M381">
        <f>IF(L381=0,0,_xlfn.XLOOKUP(C381,CLIENT_CODE!B:B,CLIENT_CODE!J:J,0))</f>
        <v>0</v>
      </c>
      <c r="N381">
        <f>_xlfn.XLOOKUP(B381,CRN!G:G,CRN!O:O,"")</f>
        <v>0</v>
      </c>
      <c r="O381">
        <f>IF(N381=0,0,_xlfn.XLOOKUP(C381,CLIENT_CODE!B:B,CLIENT_CODE!K:K,0))</f>
        <v>0</v>
      </c>
      <c r="P381">
        <f>_xlfn.XLOOKUP(B381,CRN!G:G,CRN!P:P,"")</f>
        <v>0</v>
      </c>
      <c r="Q381">
        <f>IF(P381=0,0,_xlfn.XLOOKUP(C381,CLIENT_CODE!B:B,CLIENT_CODE!L:L,0))</f>
        <v>0</v>
      </c>
      <c r="R381">
        <f>_xlfn.XLOOKUP(B381,CRN!G:G,CRN!Q:Q,"")</f>
        <v>0</v>
      </c>
      <c r="S381">
        <f>IF(R381=0,0,_xlfn.XLOOKUP(C381,CLIENT_CODE!B:B,CLIENT_CODE!M:M,0))</f>
        <v>0</v>
      </c>
      <c r="T381">
        <f>_xlfn.XLOOKUP(B381,CRN!G:G,CRN!R:R,"")</f>
        <v>0</v>
      </c>
      <c r="U381">
        <f>IF(T381=0,0,_xlfn.XLOOKUP(C381,CLIENT_CODE!B:B,CLIENT_CODE!N:N,0))</f>
        <v>0</v>
      </c>
      <c r="V381">
        <f>_xlfn.XLOOKUP(B381,CRN!G:G,CRN!S:S,"")</f>
        <v>0</v>
      </c>
      <c r="W381">
        <f>IF(V381=0,0,_xlfn.XLOOKUP(C381,CLIENT_CODE!B:B,CLIENT_CODE!O:O,0))</f>
        <v>0</v>
      </c>
      <c r="X381">
        <f>_xlfn.XLOOKUP(B381,CRN!G:G,CRN!T:T,"")</f>
        <v>0</v>
      </c>
      <c r="Y381">
        <f>IF(X381=0,0,_xlfn.XLOOKUP(C381,CLIENT_CODE!B:B,CLIENT_CODE!P:P,0))</f>
        <v>0</v>
      </c>
      <c r="Z381">
        <f>_xlfn.XLOOKUP(B381,CRN!G:G,CRN!U:U,"")</f>
        <v>0</v>
      </c>
      <c r="AA381">
        <f>IF(X381=0,0,_xlfn.XLOOKUP(C381,CLIENT_CODE!B:B,CLIENT_CODE!P:P,0))</f>
        <v>0</v>
      </c>
      <c r="AB381">
        <f>_xlfn.XLOOKUP(B381,CRN!G:G,CRN!V:V,"")</f>
        <v>0</v>
      </c>
      <c r="AC381">
        <f>IF(AB381=0,0,_xlfn.XLOOKUP(C381,CLIENT_CODE!B:B,CLIENT_CODE!R:R,0))</f>
        <v>0</v>
      </c>
      <c r="AD381">
        <f t="shared" si="5"/>
        <v>0</v>
      </c>
    </row>
    <row r="382" spans="1:30">
      <c r="A382" s="42">
        <v>381</v>
      </c>
      <c r="E382">
        <f>IF(D382=0,0,_xlfn.XLOOKUP(C382,CLIENT_CODE!B:B,CLIENT_CODE!F:F,0))</f>
        <v>0</v>
      </c>
      <c r="F382">
        <f>_xlfn.XLOOKUP(B382,CRN!G:G,CRN!K:K,"")</f>
        <v>0</v>
      </c>
      <c r="G382">
        <f>IF(F382=0,0,_xlfn.XLOOKUP(C382,CLIENT_CODE!B:B,CLIENT_CODE!G:G,0))</f>
        <v>0</v>
      </c>
      <c r="H382">
        <f>_xlfn.XLOOKUP(B382,CRN!G:G,CRN!L:L,"")</f>
        <v>0</v>
      </c>
      <c r="I382">
        <f>IF(H382=0,0,_xlfn.XLOOKUP(C382,CLIENT_CODE!B:B,CLIENT_CODE!H:H,0))</f>
        <v>0</v>
      </c>
      <c r="J382">
        <f>_xlfn.XLOOKUP(B382,CRN!G:G,CRN!M:M,"")</f>
        <v>0</v>
      </c>
      <c r="K382">
        <f>IF(J382=0,0,_xlfn.XLOOKUP(C382,CLIENT_CODE!B:B,CLIENT_CODE!I:I,0))</f>
        <v>0</v>
      </c>
      <c r="L382">
        <f>_xlfn.XLOOKUP(B382,CRN!G:G,CRN!N:N,"")</f>
        <v>0</v>
      </c>
      <c r="M382">
        <f>IF(L382=0,0,_xlfn.XLOOKUP(C382,CLIENT_CODE!B:B,CLIENT_CODE!J:J,0))</f>
        <v>0</v>
      </c>
      <c r="N382">
        <f>_xlfn.XLOOKUP(B382,CRN!G:G,CRN!O:O,"")</f>
        <v>0</v>
      </c>
      <c r="O382">
        <f>IF(N382=0,0,_xlfn.XLOOKUP(C382,CLIENT_CODE!B:B,CLIENT_CODE!K:K,0))</f>
        <v>0</v>
      </c>
      <c r="P382">
        <f>_xlfn.XLOOKUP(B382,CRN!G:G,CRN!P:P,"")</f>
        <v>0</v>
      </c>
      <c r="Q382">
        <f>IF(P382=0,0,_xlfn.XLOOKUP(C382,CLIENT_CODE!B:B,CLIENT_CODE!L:L,0))</f>
        <v>0</v>
      </c>
      <c r="R382">
        <f>_xlfn.XLOOKUP(B382,CRN!G:G,CRN!Q:Q,"")</f>
        <v>0</v>
      </c>
      <c r="S382">
        <f>IF(R382=0,0,_xlfn.XLOOKUP(C382,CLIENT_CODE!B:B,CLIENT_CODE!M:M,0))</f>
        <v>0</v>
      </c>
      <c r="T382">
        <f>_xlfn.XLOOKUP(B382,CRN!G:G,CRN!R:R,"")</f>
        <v>0</v>
      </c>
      <c r="U382">
        <f>IF(T382=0,0,_xlfn.XLOOKUP(C382,CLIENT_CODE!B:B,CLIENT_CODE!N:N,0))</f>
        <v>0</v>
      </c>
      <c r="V382">
        <f>_xlfn.XLOOKUP(B382,CRN!G:G,CRN!S:S,"")</f>
        <v>0</v>
      </c>
      <c r="W382">
        <f>IF(V382=0,0,_xlfn.XLOOKUP(C382,CLIENT_CODE!B:B,CLIENT_CODE!O:O,0))</f>
        <v>0</v>
      </c>
      <c r="X382">
        <f>_xlfn.XLOOKUP(B382,CRN!G:G,CRN!T:T,"")</f>
        <v>0</v>
      </c>
      <c r="Y382">
        <f>IF(X382=0,0,_xlfn.XLOOKUP(C382,CLIENT_CODE!B:B,CLIENT_CODE!P:P,0))</f>
        <v>0</v>
      </c>
      <c r="Z382">
        <f>_xlfn.XLOOKUP(B382,CRN!G:G,CRN!U:U,"")</f>
        <v>0</v>
      </c>
      <c r="AA382">
        <f>IF(X382=0,0,_xlfn.XLOOKUP(C382,CLIENT_CODE!B:B,CLIENT_CODE!P:P,0))</f>
        <v>0</v>
      </c>
      <c r="AB382">
        <f>_xlfn.XLOOKUP(B382,CRN!G:G,CRN!V:V,"")</f>
        <v>0</v>
      </c>
      <c r="AC382">
        <f>IF(AB382=0,0,_xlfn.XLOOKUP(C382,CLIENT_CODE!B:B,CLIENT_CODE!R:R,0))</f>
        <v>0</v>
      </c>
      <c r="AD382">
        <f t="shared" si="5"/>
        <v>0</v>
      </c>
    </row>
    <row r="383" spans="1:30">
      <c r="A383" s="42">
        <v>382</v>
      </c>
      <c r="E383">
        <f>IF(D383=0,0,_xlfn.XLOOKUP(C383,CLIENT_CODE!B:B,CLIENT_CODE!F:F,0))</f>
        <v>0</v>
      </c>
      <c r="F383">
        <f>_xlfn.XLOOKUP(B383,CRN!G:G,CRN!K:K,"")</f>
        <v>0</v>
      </c>
      <c r="G383">
        <f>IF(F383=0,0,_xlfn.XLOOKUP(C383,CLIENT_CODE!B:B,CLIENT_CODE!G:G,0))</f>
        <v>0</v>
      </c>
      <c r="H383">
        <f>_xlfn.XLOOKUP(B383,CRN!G:G,CRN!L:L,"")</f>
        <v>0</v>
      </c>
      <c r="I383">
        <f>IF(H383=0,0,_xlfn.XLOOKUP(C383,CLIENT_CODE!B:B,CLIENT_CODE!H:H,0))</f>
        <v>0</v>
      </c>
      <c r="J383">
        <f>_xlfn.XLOOKUP(B383,CRN!G:G,CRN!M:M,"")</f>
        <v>0</v>
      </c>
      <c r="K383">
        <f>IF(J383=0,0,_xlfn.XLOOKUP(C383,CLIENT_CODE!B:B,CLIENT_CODE!I:I,0))</f>
        <v>0</v>
      </c>
      <c r="L383">
        <f>_xlfn.XLOOKUP(B383,CRN!G:G,CRN!N:N,"")</f>
        <v>0</v>
      </c>
      <c r="M383">
        <f>IF(L383=0,0,_xlfn.XLOOKUP(C383,CLIENT_CODE!B:B,CLIENT_CODE!J:J,0))</f>
        <v>0</v>
      </c>
      <c r="N383">
        <f>_xlfn.XLOOKUP(B383,CRN!G:G,CRN!O:O,"")</f>
        <v>0</v>
      </c>
      <c r="O383">
        <f>IF(N383=0,0,_xlfn.XLOOKUP(C383,CLIENT_CODE!B:B,CLIENT_CODE!K:K,0))</f>
        <v>0</v>
      </c>
      <c r="P383">
        <f>_xlfn.XLOOKUP(B383,CRN!G:G,CRN!P:P,"")</f>
        <v>0</v>
      </c>
      <c r="Q383">
        <f>IF(P383=0,0,_xlfn.XLOOKUP(C383,CLIENT_CODE!B:B,CLIENT_CODE!L:L,0))</f>
        <v>0</v>
      </c>
      <c r="R383">
        <f>_xlfn.XLOOKUP(B383,CRN!G:G,CRN!Q:Q,"")</f>
        <v>0</v>
      </c>
      <c r="S383">
        <f>IF(R383=0,0,_xlfn.XLOOKUP(C383,CLIENT_CODE!B:B,CLIENT_CODE!M:M,0))</f>
        <v>0</v>
      </c>
      <c r="T383">
        <f>_xlfn.XLOOKUP(B383,CRN!G:G,CRN!R:R,"")</f>
        <v>0</v>
      </c>
      <c r="U383">
        <f>IF(T383=0,0,_xlfn.XLOOKUP(C383,CLIENT_CODE!B:B,CLIENT_CODE!N:N,0))</f>
        <v>0</v>
      </c>
      <c r="V383">
        <f>_xlfn.XLOOKUP(B383,CRN!G:G,CRN!S:S,"")</f>
        <v>0</v>
      </c>
      <c r="W383">
        <f>IF(V383=0,0,_xlfn.XLOOKUP(C383,CLIENT_CODE!B:B,CLIENT_CODE!O:O,0))</f>
        <v>0</v>
      </c>
      <c r="X383">
        <f>_xlfn.XLOOKUP(B383,CRN!G:G,CRN!T:T,"")</f>
        <v>0</v>
      </c>
      <c r="Y383">
        <f>IF(X383=0,0,_xlfn.XLOOKUP(C383,CLIENT_CODE!B:B,CLIENT_CODE!P:P,0))</f>
        <v>0</v>
      </c>
      <c r="Z383">
        <f>_xlfn.XLOOKUP(B383,CRN!G:G,CRN!U:U,"")</f>
        <v>0</v>
      </c>
      <c r="AA383">
        <f>IF(X383=0,0,_xlfn.XLOOKUP(C383,CLIENT_CODE!B:B,CLIENT_CODE!P:P,0))</f>
        <v>0</v>
      </c>
      <c r="AB383">
        <f>_xlfn.XLOOKUP(B383,CRN!G:G,CRN!V:V,"")</f>
        <v>0</v>
      </c>
      <c r="AC383">
        <f>IF(AB383=0,0,_xlfn.XLOOKUP(C383,CLIENT_CODE!B:B,CLIENT_CODE!R:R,0))</f>
        <v>0</v>
      </c>
      <c r="AD383">
        <f t="shared" si="5"/>
        <v>0</v>
      </c>
    </row>
    <row r="384" spans="1:30">
      <c r="A384" s="42">
        <v>383</v>
      </c>
      <c r="E384">
        <f>IF(D384=0,0,_xlfn.XLOOKUP(C384,CLIENT_CODE!B:B,CLIENT_CODE!F:F,0))</f>
        <v>0</v>
      </c>
      <c r="F384">
        <f>_xlfn.XLOOKUP(B384,CRN!G:G,CRN!K:K,"")</f>
        <v>0</v>
      </c>
      <c r="G384">
        <f>IF(F384=0,0,_xlfn.XLOOKUP(C384,CLIENT_CODE!B:B,CLIENT_CODE!G:G,0))</f>
        <v>0</v>
      </c>
      <c r="H384">
        <f>_xlfn.XLOOKUP(B384,CRN!G:G,CRN!L:L,"")</f>
        <v>0</v>
      </c>
      <c r="I384">
        <f>IF(H384=0,0,_xlfn.XLOOKUP(C384,CLIENT_CODE!B:B,CLIENT_CODE!H:H,0))</f>
        <v>0</v>
      </c>
      <c r="J384">
        <f>_xlfn.XLOOKUP(B384,CRN!G:G,CRN!M:M,"")</f>
        <v>0</v>
      </c>
      <c r="K384">
        <f>IF(J384=0,0,_xlfn.XLOOKUP(C384,CLIENT_CODE!B:B,CLIENT_CODE!I:I,0))</f>
        <v>0</v>
      </c>
      <c r="L384">
        <f>_xlfn.XLOOKUP(B384,CRN!G:G,CRN!N:N,"")</f>
        <v>0</v>
      </c>
      <c r="M384">
        <f>IF(L384=0,0,_xlfn.XLOOKUP(C384,CLIENT_CODE!B:B,CLIENT_CODE!J:J,0))</f>
        <v>0</v>
      </c>
      <c r="N384">
        <f>_xlfn.XLOOKUP(B384,CRN!G:G,CRN!O:O,"")</f>
        <v>0</v>
      </c>
      <c r="O384">
        <f>IF(N384=0,0,_xlfn.XLOOKUP(C384,CLIENT_CODE!B:B,CLIENT_CODE!K:K,0))</f>
        <v>0</v>
      </c>
      <c r="P384">
        <f>_xlfn.XLOOKUP(B384,CRN!G:G,CRN!P:P,"")</f>
        <v>0</v>
      </c>
      <c r="Q384">
        <f>IF(P384=0,0,_xlfn.XLOOKUP(C384,CLIENT_CODE!B:B,CLIENT_CODE!L:L,0))</f>
        <v>0</v>
      </c>
      <c r="R384">
        <f>_xlfn.XLOOKUP(B384,CRN!G:G,CRN!Q:Q,"")</f>
        <v>0</v>
      </c>
      <c r="S384">
        <f>IF(R384=0,0,_xlfn.XLOOKUP(C384,CLIENT_CODE!B:B,CLIENT_CODE!M:M,0))</f>
        <v>0</v>
      </c>
      <c r="T384">
        <f>_xlfn.XLOOKUP(B384,CRN!G:G,CRN!R:R,"")</f>
        <v>0</v>
      </c>
      <c r="U384">
        <f>IF(T384=0,0,_xlfn.XLOOKUP(C384,CLIENT_CODE!B:B,CLIENT_CODE!N:N,0))</f>
        <v>0</v>
      </c>
      <c r="V384">
        <f>_xlfn.XLOOKUP(B384,CRN!G:G,CRN!S:S,"")</f>
        <v>0</v>
      </c>
      <c r="W384">
        <f>IF(V384=0,0,_xlfn.XLOOKUP(C384,CLIENT_CODE!B:B,CLIENT_CODE!O:O,0))</f>
        <v>0</v>
      </c>
      <c r="X384">
        <f>_xlfn.XLOOKUP(B384,CRN!G:G,CRN!T:T,"")</f>
        <v>0</v>
      </c>
      <c r="Y384">
        <f>IF(X384=0,0,_xlfn.XLOOKUP(C384,CLIENT_CODE!B:B,CLIENT_CODE!P:P,0))</f>
        <v>0</v>
      </c>
      <c r="Z384">
        <f>_xlfn.XLOOKUP(B384,CRN!G:G,CRN!U:U,"")</f>
        <v>0</v>
      </c>
      <c r="AA384">
        <f>IF(X384=0,0,_xlfn.XLOOKUP(C384,CLIENT_CODE!B:B,CLIENT_CODE!P:P,0))</f>
        <v>0</v>
      </c>
      <c r="AB384">
        <f>_xlfn.XLOOKUP(B384,CRN!G:G,CRN!V:V,"")</f>
        <v>0</v>
      </c>
      <c r="AC384">
        <f>IF(AB384=0,0,_xlfn.XLOOKUP(C384,CLIENT_CODE!B:B,CLIENT_CODE!R:R,0))</f>
        <v>0</v>
      </c>
      <c r="AD384">
        <f t="shared" si="5"/>
        <v>0</v>
      </c>
    </row>
    <row r="385" spans="1:30">
      <c r="A385" s="42">
        <v>384</v>
      </c>
      <c r="E385">
        <f>IF(D385=0,0,_xlfn.XLOOKUP(C385,CLIENT_CODE!B:B,CLIENT_CODE!F:F,0))</f>
        <v>0</v>
      </c>
      <c r="F385">
        <f>_xlfn.XLOOKUP(B385,CRN!G:G,CRN!K:K,"")</f>
        <v>0</v>
      </c>
      <c r="G385">
        <f>IF(F385=0,0,_xlfn.XLOOKUP(C385,CLIENT_CODE!B:B,CLIENT_CODE!G:G,0))</f>
        <v>0</v>
      </c>
      <c r="H385">
        <f>_xlfn.XLOOKUP(B385,CRN!G:G,CRN!L:L,"")</f>
        <v>0</v>
      </c>
      <c r="I385">
        <f>IF(H385=0,0,_xlfn.XLOOKUP(C385,CLIENT_CODE!B:B,CLIENT_CODE!H:H,0))</f>
        <v>0</v>
      </c>
      <c r="J385">
        <f>_xlfn.XLOOKUP(B385,CRN!G:G,CRN!M:M,"")</f>
        <v>0</v>
      </c>
      <c r="K385">
        <f>IF(J385=0,0,_xlfn.XLOOKUP(C385,CLIENT_CODE!B:B,CLIENT_CODE!I:I,0))</f>
        <v>0</v>
      </c>
      <c r="L385">
        <f>_xlfn.XLOOKUP(B385,CRN!G:G,CRN!N:N,"")</f>
        <v>0</v>
      </c>
      <c r="M385">
        <f>IF(L385=0,0,_xlfn.XLOOKUP(C385,CLIENT_CODE!B:B,CLIENT_CODE!J:J,0))</f>
        <v>0</v>
      </c>
      <c r="N385">
        <f>_xlfn.XLOOKUP(B385,CRN!G:G,CRN!O:O,"")</f>
        <v>0</v>
      </c>
      <c r="O385">
        <f>IF(N385=0,0,_xlfn.XLOOKUP(C385,CLIENT_CODE!B:B,CLIENT_CODE!K:K,0))</f>
        <v>0</v>
      </c>
      <c r="P385">
        <f>_xlfn.XLOOKUP(B385,CRN!G:G,CRN!P:P,"")</f>
        <v>0</v>
      </c>
      <c r="Q385">
        <f>IF(P385=0,0,_xlfn.XLOOKUP(C385,CLIENT_CODE!B:B,CLIENT_CODE!L:L,0))</f>
        <v>0</v>
      </c>
      <c r="R385">
        <f>_xlfn.XLOOKUP(B385,CRN!G:G,CRN!Q:Q,"")</f>
        <v>0</v>
      </c>
      <c r="S385">
        <f>IF(R385=0,0,_xlfn.XLOOKUP(C385,CLIENT_CODE!B:B,CLIENT_CODE!M:M,0))</f>
        <v>0</v>
      </c>
      <c r="T385">
        <f>_xlfn.XLOOKUP(B385,CRN!G:G,CRN!R:R,"")</f>
        <v>0</v>
      </c>
      <c r="U385">
        <f>IF(T385=0,0,_xlfn.XLOOKUP(C385,CLIENT_CODE!B:B,CLIENT_CODE!N:N,0))</f>
        <v>0</v>
      </c>
      <c r="V385">
        <f>_xlfn.XLOOKUP(B385,CRN!G:G,CRN!S:S,"")</f>
        <v>0</v>
      </c>
      <c r="W385">
        <f>IF(V385=0,0,_xlfn.XLOOKUP(C385,CLIENT_CODE!B:B,CLIENT_CODE!O:O,0))</f>
        <v>0</v>
      </c>
      <c r="X385">
        <f>_xlfn.XLOOKUP(B385,CRN!G:G,CRN!T:T,"")</f>
        <v>0</v>
      </c>
      <c r="Y385">
        <f>IF(X385=0,0,_xlfn.XLOOKUP(C385,CLIENT_CODE!B:B,CLIENT_CODE!P:P,0))</f>
        <v>0</v>
      </c>
      <c r="Z385">
        <f>_xlfn.XLOOKUP(B385,CRN!G:G,CRN!U:U,"")</f>
        <v>0</v>
      </c>
      <c r="AA385">
        <f>IF(X385=0,0,_xlfn.XLOOKUP(C385,CLIENT_CODE!B:B,CLIENT_CODE!P:P,0))</f>
        <v>0</v>
      </c>
      <c r="AB385">
        <f>_xlfn.XLOOKUP(B385,CRN!G:G,CRN!V:V,"")</f>
        <v>0</v>
      </c>
      <c r="AC385">
        <f>IF(AB385=0,0,_xlfn.XLOOKUP(C385,CLIENT_CODE!B:B,CLIENT_CODE!R:R,0))</f>
        <v>0</v>
      </c>
      <c r="AD385">
        <f t="shared" si="5"/>
        <v>0</v>
      </c>
    </row>
    <row r="386" spans="1:30">
      <c r="A386" s="42">
        <v>385</v>
      </c>
      <c r="E386">
        <f>IF(D386=0,0,_xlfn.XLOOKUP(C386,CLIENT_CODE!B:B,CLIENT_CODE!F:F,0))</f>
        <v>0</v>
      </c>
      <c r="F386">
        <f>_xlfn.XLOOKUP(B386,CRN!G:G,CRN!K:K,"")</f>
        <v>0</v>
      </c>
      <c r="G386">
        <f>IF(F386=0,0,_xlfn.XLOOKUP(C386,CLIENT_CODE!B:B,CLIENT_CODE!G:G,0))</f>
        <v>0</v>
      </c>
      <c r="H386">
        <f>_xlfn.XLOOKUP(B386,CRN!G:G,CRN!L:L,"")</f>
        <v>0</v>
      </c>
      <c r="I386">
        <f>IF(H386=0,0,_xlfn.XLOOKUP(C386,CLIENT_CODE!B:B,CLIENT_CODE!H:H,0))</f>
        <v>0</v>
      </c>
      <c r="J386">
        <f>_xlfn.XLOOKUP(B386,CRN!G:G,CRN!M:M,"")</f>
        <v>0</v>
      </c>
      <c r="K386">
        <f>IF(J386=0,0,_xlfn.XLOOKUP(C386,CLIENT_CODE!B:B,CLIENT_CODE!I:I,0))</f>
        <v>0</v>
      </c>
      <c r="L386">
        <f>_xlfn.XLOOKUP(B386,CRN!G:G,CRN!N:N,"")</f>
        <v>0</v>
      </c>
      <c r="M386">
        <f>IF(L386=0,0,_xlfn.XLOOKUP(C386,CLIENT_CODE!B:B,CLIENT_CODE!J:J,0))</f>
        <v>0</v>
      </c>
      <c r="N386">
        <f>_xlfn.XLOOKUP(B386,CRN!G:G,CRN!O:O,"")</f>
        <v>0</v>
      </c>
      <c r="O386">
        <f>IF(N386=0,0,_xlfn.XLOOKUP(C386,CLIENT_CODE!B:B,CLIENT_CODE!K:K,0))</f>
        <v>0</v>
      </c>
      <c r="P386">
        <f>_xlfn.XLOOKUP(B386,CRN!G:G,CRN!P:P,"")</f>
        <v>0</v>
      </c>
      <c r="Q386">
        <f>IF(P386=0,0,_xlfn.XLOOKUP(C386,CLIENT_CODE!B:B,CLIENT_CODE!L:L,0))</f>
        <v>0</v>
      </c>
      <c r="R386">
        <f>_xlfn.XLOOKUP(B386,CRN!G:G,CRN!Q:Q,"")</f>
        <v>0</v>
      </c>
      <c r="S386">
        <f>IF(R386=0,0,_xlfn.XLOOKUP(C386,CLIENT_CODE!B:B,CLIENT_CODE!M:M,0))</f>
        <v>0</v>
      </c>
      <c r="T386">
        <f>_xlfn.XLOOKUP(B386,CRN!G:G,CRN!R:R,"")</f>
        <v>0</v>
      </c>
      <c r="U386">
        <f>IF(T386=0,0,_xlfn.XLOOKUP(C386,CLIENT_CODE!B:B,CLIENT_CODE!N:N,0))</f>
        <v>0</v>
      </c>
      <c r="V386">
        <f>_xlfn.XLOOKUP(B386,CRN!G:G,CRN!S:S,"")</f>
        <v>0</v>
      </c>
      <c r="W386">
        <f>IF(V386=0,0,_xlfn.XLOOKUP(C386,CLIENT_CODE!B:B,CLIENT_CODE!O:O,0))</f>
        <v>0</v>
      </c>
      <c r="X386">
        <f>_xlfn.XLOOKUP(B386,CRN!G:G,CRN!T:T,"")</f>
        <v>0</v>
      </c>
      <c r="Y386">
        <f>IF(X386=0,0,_xlfn.XLOOKUP(C386,CLIENT_CODE!B:B,CLIENT_CODE!P:P,0))</f>
        <v>0</v>
      </c>
      <c r="Z386">
        <f>_xlfn.XLOOKUP(B386,CRN!G:G,CRN!U:U,"")</f>
        <v>0</v>
      </c>
      <c r="AA386">
        <f>IF(X386=0,0,_xlfn.XLOOKUP(C386,CLIENT_CODE!B:B,CLIENT_CODE!P:P,0))</f>
        <v>0</v>
      </c>
      <c r="AB386">
        <f>_xlfn.XLOOKUP(B386,CRN!G:G,CRN!V:V,"")</f>
        <v>0</v>
      </c>
      <c r="AC386">
        <f>IF(AB386=0,0,_xlfn.XLOOKUP(C386,CLIENT_CODE!B:B,CLIENT_CODE!R:R,0))</f>
        <v>0</v>
      </c>
      <c r="AD386">
        <f t="shared" si="5"/>
        <v>0</v>
      </c>
    </row>
    <row r="387" spans="1:30">
      <c r="A387" s="42">
        <v>386</v>
      </c>
      <c r="E387">
        <f>IF(D387=0,0,_xlfn.XLOOKUP(C387,CLIENT_CODE!B:B,CLIENT_CODE!F:F,0))</f>
        <v>0</v>
      </c>
      <c r="F387">
        <f>_xlfn.XLOOKUP(B387,CRN!G:G,CRN!K:K,"")</f>
        <v>0</v>
      </c>
      <c r="G387">
        <f>IF(F387=0,0,_xlfn.XLOOKUP(C387,CLIENT_CODE!B:B,CLIENT_CODE!G:G,0))</f>
        <v>0</v>
      </c>
      <c r="H387">
        <f>_xlfn.XLOOKUP(B387,CRN!G:G,CRN!L:L,"")</f>
        <v>0</v>
      </c>
      <c r="I387">
        <f>IF(H387=0,0,_xlfn.XLOOKUP(C387,CLIENT_CODE!B:B,CLIENT_CODE!H:H,0))</f>
        <v>0</v>
      </c>
      <c r="J387">
        <f>_xlfn.XLOOKUP(B387,CRN!G:G,CRN!M:M,"")</f>
        <v>0</v>
      </c>
      <c r="K387">
        <f>IF(J387=0,0,_xlfn.XLOOKUP(C387,CLIENT_CODE!B:B,CLIENT_CODE!I:I,0))</f>
        <v>0</v>
      </c>
      <c r="L387">
        <f>_xlfn.XLOOKUP(B387,CRN!G:G,CRN!N:N,"")</f>
        <v>0</v>
      </c>
      <c r="M387">
        <f>IF(L387=0,0,_xlfn.XLOOKUP(C387,CLIENT_CODE!B:B,CLIENT_CODE!J:J,0))</f>
        <v>0</v>
      </c>
      <c r="N387">
        <f>_xlfn.XLOOKUP(B387,CRN!G:G,CRN!O:O,"")</f>
        <v>0</v>
      </c>
      <c r="O387">
        <f>IF(N387=0,0,_xlfn.XLOOKUP(C387,CLIENT_CODE!B:B,CLIENT_CODE!K:K,0))</f>
        <v>0</v>
      </c>
      <c r="P387">
        <f>_xlfn.XLOOKUP(B387,CRN!G:G,CRN!P:P,"")</f>
        <v>0</v>
      </c>
      <c r="Q387">
        <f>IF(P387=0,0,_xlfn.XLOOKUP(C387,CLIENT_CODE!B:B,CLIENT_CODE!L:L,0))</f>
        <v>0</v>
      </c>
      <c r="R387">
        <f>_xlfn.XLOOKUP(B387,CRN!G:G,CRN!Q:Q,"")</f>
        <v>0</v>
      </c>
      <c r="S387">
        <f>IF(R387=0,0,_xlfn.XLOOKUP(C387,CLIENT_CODE!B:B,CLIENT_CODE!M:M,0))</f>
        <v>0</v>
      </c>
      <c r="T387">
        <f>_xlfn.XLOOKUP(B387,CRN!G:G,CRN!R:R,"")</f>
        <v>0</v>
      </c>
      <c r="U387">
        <f>IF(T387=0,0,_xlfn.XLOOKUP(C387,CLIENT_CODE!B:B,CLIENT_CODE!N:N,0))</f>
        <v>0</v>
      </c>
      <c r="V387">
        <f>_xlfn.XLOOKUP(B387,CRN!G:G,CRN!S:S,"")</f>
        <v>0</v>
      </c>
      <c r="W387">
        <f>IF(V387=0,0,_xlfn.XLOOKUP(C387,CLIENT_CODE!B:B,CLIENT_CODE!O:O,0))</f>
        <v>0</v>
      </c>
      <c r="X387">
        <f>_xlfn.XLOOKUP(B387,CRN!G:G,CRN!T:T,"")</f>
        <v>0</v>
      </c>
      <c r="Y387">
        <f>IF(X387=0,0,_xlfn.XLOOKUP(C387,CLIENT_CODE!B:B,CLIENT_CODE!P:P,0))</f>
        <v>0</v>
      </c>
      <c r="Z387">
        <f>_xlfn.XLOOKUP(B387,CRN!G:G,CRN!U:U,"")</f>
        <v>0</v>
      </c>
      <c r="AA387">
        <f>IF(X387=0,0,_xlfn.XLOOKUP(C387,CLIENT_CODE!B:B,CLIENT_CODE!P:P,0))</f>
        <v>0</v>
      </c>
      <c r="AB387">
        <f>_xlfn.XLOOKUP(B387,CRN!G:G,CRN!V:V,"")</f>
        <v>0</v>
      </c>
      <c r="AC387">
        <f>IF(AB387=0,0,_xlfn.XLOOKUP(C387,CLIENT_CODE!B:B,CLIENT_CODE!R:R,0))</f>
        <v>0</v>
      </c>
      <c r="AD387">
        <f t="shared" ref="AD387:AD450" si="6">SUM(E387,G387,I387,K387,M387,O387,Q387,S387,U387,W387,Y387,AA387,AC387,)</f>
        <v>0</v>
      </c>
    </row>
    <row r="388" spans="1:30">
      <c r="A388" s="42">
        <v>387</v>
      </c>
      <c r="E388">
        <f>IF(D388=0,0,_xlfn.XLOOKUP(C388,CLIENT_CODE!B:B,CLIENT_CODE!F:F,0))</f>
        <v>0</v>
      </c>
      <c r="F388">
        <f>_xlfn.XLOOKUP(B388,CRN!G:G,CRN!K:K,"")</f>
        <v>0</v>
      </c>
      <c r="G388">
        <f>IF(F388=0,0,_xlfn.XLOOKUP(C388,CLIENT_CODE!B:B,CLIENT_CODE!G:G,0))</f>
        <v>0</v>
      </c>
      <c r="H388">
        <f>_xlfn.XLOOKUP(B388,CRN!G:G,CRN!L:L,"")</f>
        <v>0</v>
      </c>
      <c r="I388">
        <f>IF(H388=0,0,_xlfn.XLOOKUP(C388,CLIENT_CODE!B:B,CLIENT_CODE!H:H,0))</f>
        <v>0</v>
      </c>
      <c r="J388">
        <f>_xlfn.XLOOKUP(B388,CRN!G:G,CRN!M:M,"")</f>
        <v>0</v>
      </c>
      <c r="K388">
        <f>IF(J388=0,0,_xlfn.XLOOKUP(C388,CLIENT_CODE!B:B,CLIENT_CODE!I:I,0))</f>
        <v>0</v>
      </c>
      <c r="L388">
        <f>_xlfn.XLOOKUP(B388,CRN!G:G,CRN!N:N,"")</f>
        <v>0</v>
      </c>
      <c r="M388">
        <f>IF(L388=0,0,_xlfn.XLOOKUP(C388,CLIENT_CODE!B:B,CLIENT_CODE!J:J,0))</f>
        <v>0</v>
      </c>
      <c r="N388">
        <f>_xlfn.XLOOKUP(B388,CRN!G:G,CRN!O:O,"")</f>
        <v>0</v>
      </c>
      <c r="O388">
        <f>IF(N388=0,0,_xlfn.XLOOKUP(C388,CLIENT_CODE!B:B,CLIENT_CODE!K:K,0))</f>
        <v>0</v>
      </c>
      <c r="P388">
        <f>_xlfn.XLOOKUP(B388,CRN!G:G,CRN!P:P,"")</f>
        <v>0</v>
      </c>
      <c r="Q388">
        <f>IF(P388=0,0,_xlfn.XLOOKUP(C388,CLIENT_CODE!B:B,CLIENT_CODE!L:L,0))</f>
        <v>0</v>
      </c>
      <c r="R388">
        <f>_xlfn.XLOOKUP(B388,CRN!G:G,CRN!Q:Q,"")</f>
        <v>0</v>
      </c>
      <c r="S388">
        <f>IF(R388=0,0,_xlfn.XLOOKUP(C388,CLIENT_CODE!B:B,CLIENT_CODE!M:M,0))</f>
        <v>0</v>
      </c>
      <c r="T388">
        <f>_xlfn.XLOOKUP(B388,CRN!G:G,CRN!R:R,"")</f>
        <v>0</v>
      </c>
      <c r="U388">
        <f>IF(T388=0,0,_xlfn.XLOOKUP(C388,CLIENT_CODE!B:B,CLIENT_CODE!N:N,0))</f>
        <v>0</v>
      </c>
      <c r="V388">
        <f>_xlfn.XLOOKUP(B388,CRN!G:G,CRN!S:S,"")</f>
        <v>0</v>
      </c>
      <c r="W388">
        <f>IF(V388=0,0,_xlfn.XLOOKUP(C388,CLIENT_CODE!B:B,CLIENT_CODE!O:O,0))</f>
        <v>0</v>
      </c>
      <c r="X388">
        <f>_xlfn.XLOOKUP(B388,CRN!G:G,CRN!T:T,"")</f>
        <v>0</v>
      </c>
      <c r="Y388">
        <f>IF(X388=0,0,_xlfn.XLOOKUP(C388,CLIENT_CODE!B:B,CLIENT_CODE!P:P,0))</f>
        <v>0</v>
      </c>
      <c r="Z388">
        <f>_xlfn.XLOOKUP(B388,CRN!G:G,CRN!U:U,"")</f>
        <v>0</v>
      </c>
      <c r="AA388">
        <f>IF(X388=0,0,_xlfn.XLOOKUP(C388,CLIENT_CODE!B:B,CLIENT_CODE!P:P,0))</f>
        <v>0</v>
      </c>
      <c r="AB388">
        <f>_xlfn.XLOOKUP(B388,CRN!G:G,CRN!V:V,"")</f>
        <v>0</v>
      </c>
      <c r="AC388">
        <f>IF(AB388=0,0,_xlfn.XLOOKUP(C388,CLIENT_CODE!B:B,CLIENT_CODE!R:R,0))</f>
        <v>0</v>
      </c>
      <c r="AD388">
        <f t="shared" si="6"/>
        <v>0</v>
      </c>
    </row>
    <row r="389" spans="1:30">
      <c r="A389" s="42">
        <v>388</v>
      </c>
      <c r="E389">
        <f>IF(D389=0,0,_xlfn.XLOOKUP(C389,CLIENT_CODE!B:B,CLIENT_CODE!F:F,0))</f>
        <v>0</v>
      </c>
      <c r="F389">
        <f>_xlfn.XLOOKUP(B389,CRN!G:G,CRN!K:K,"")</f>
        <v>0</v>
      </c>
      <c r="G389">
        <f>IF(F389=0,0,_xlfn.XLOOKUP(C389,CLIENT_CODE!B:B,CLIENT_CODE!G:G,0))</f>
        <v>0</v>
      </c>
      <c r="H389">
        <f>_xlfn.XLOOKUP(B389,CRN!G:G,CRN!L:L,"")</f>
        <v>0</v>
      </c>
      <c r="I389">
        <f>IF(H389=0,0,_xlfn.XLOOKUP(C389,CLIENT_CODE!B:B,CLIENT_CODE!H:H,0))</f>
        <v>0</v>
      </c>
      <c r="J389">
        <f>_xlfn.XLOOKUP(B389,CRN!G:G,CRN!M:M,"")</f>
        <v>0</v>
      </c>
      <c r="K389">
        <f>IF(J389=0,0,_xlfn.XLOOKUP(C389,CLIENT_CODE!B:B,CLIENT_CODE!I:I,0))</f>
        <v>0</v>
      </c>
      <c r="L389">
        <f>_xlfn.XLOOKUP(B389,CRN!G:G,CRN!N:N,"")</f>
        <v>0</v>
      </c>
      <c r="M389">
        <f>IF(L389=0,0,_xlfn.XLOOKUP(C389,CLIENT_CODE!B:B,CLIENT_CODE!J:J,0))</f>
        <v>0</v>
      </c>
      <c r="N389">
        <f>_xlfn.XLOOKUP(B389,CRN!G:G,CRN!O:O,"")</f>
        <v>0</v>
      </c>
      <c r="O389">
        <f>IF(N389=0,0,_xlfn.XLOOKUP(C389,CLIENT_CODE!B:B,CLIENT_CODE!K:K,0))</f>
        <v>0</v>
      </c>
      <c r="P389">
        <f>_xlfn.XLOOKUP(B389,CRN!G:G,CRN!P:P,"")</f>
        <v>0</v>
      </c>
      <c r="Q389">
        <f>IF(P389=0,0,_xlfn.XLOOKUP(C389,CLIENT_CODE!B:B,CLIENT_CODE!L:L,0))</f>
        <v>0</v>
      </c>
      <c r="R389">
        <f>_xlfn.XLOOKUP(B389,CRN!G:G,CRN!Q:Q,"")</f>
        <v>0</v>
      </c>
      <c r="S389">
        <f>IF(R389=0,0,_xlfn.XLOOKUP(C389,CLIENT_CODE!B:B,CLIENT_CODE!M:M,0))</f>
        <v>0</v>
      </c>
      <c r="T389">
        <f>_xlfn.XLOOKUP(B389,CRN!G:G,CRN!R:R,"")</f>
        <v>0</v>
      </c>
      <c r="U389">
        <f>IF(T389=0,0,_xlfn.XLOOKUP(C389,CLIENT_CODE!B:B,CLIENT_CODE!N:N,0))</f>
        <v>0</v>
      </c>
      <c r="V389">
        <f>_xlfn.XLOOKUP(B389,CRN!G:G,CRN!S:S,"")</f>
        <v>0</v>
      </c>
      <c r="W389">
        <f>IF(V389=0,0,_xlfn.XLOOKUP(C389,CLIENT_CODE!B:B,CLIENT_CODE!O:O,0))</f>
        <v>0</v>
      </c>
      <c r="X389">
        <f>_xlfn.XLOOKUP(B389,CRN!G:G,CRN!T:T,"")</f>
        <v>0</v>
      </c>
      <c r="Y389">
        <f>IF(X389=0,0,_xlfn.XLOOKUP(C389,CLIENT_CODE!B:B,CLIENT_CODE!P:P,0))</f>
        <v>0</v>
      </c>
      <c r="Z389">
        <f>_xlfn.XLOOKUP(B389,CRN!G:G,CRN!U:U,"")</f>
        <v>0</v>
      </c>
      <c r="AA389">
        <f>IF(X389=0,0,_xlfn.XLOOKUP(C389,CLIENT_CODE!B:B,CLIENT_CODE!P:P,0))</f>
        <v>0</v>
      </c>
      <c r="AB389">
        <f>_xlfn.XLOOKUP(B389,CRN!G:G,CRN!V:V,"")</f>
        <v>0</v>
      </c>
      <c r="AC389">
        <f>IF(AB389=0,0,_xlfn.XLOOKUP(C389,CLIENT_CODE!B:B,CLIENT_CODE!R:R,0))</f>
        <v>0</v>
      </c>
      <c r="AD389">
        <f t="shared" si="6"/>
        <v>0</v>
      </c>
    </row>
    <row r="390" spans="1:30">
      <c r="A390" s="42">
        <v>389</v>
      </c>
      <c r="E390">
        <f>IF(D390=0,0,_xlfn.XLOOKUP(C390,CLIENT_CODE!B:B,CLIENT_CODE!F:F,0))</f>
        <v>0</v>
      </c>
      <c r="F390">
        <f>_xlfn.XLOOKUP(B390,CRN!G:G,CRN!K:K,"")</f>
        <v>0</v>
      </c>
      <c r="G390">
        <f>IF(F390=0,0,_xlfn.XLOOKUP(C390,CLIENT_CODE!B:B,CLIENT_CODE!G:G,0))</f>
        <v>0</v>
      </c>
      <c r="H390">
        <f>_xlfn.XLOOKUP(B390,CRN!G:G,CRN!L:L,"")</f>
        <v>0</v>
      </c>
      <c r="I390">
        <f>IF(H390=0,0,_xlfn.XLOOKUP(C390,CLIENT_CODE!B:B,CLIENT_CODE!H:H,0))</f>
        <v>0</v>
      </c>
      <c r="J390">
        <f>_xlfn.XLOOKUP(B390,CRN!G:G,CRN!M:M,"")</f>
        <v>0</v>
      </c>
      <c r="K390">
        <f>IF(J390=0,0,_xlfn.XLOOKUP(C390,CLIENT_CODE!B:B,CLIENT_CODE!I:I,0))</f>
        <v>0</v>
      </c>
      <c r="L390">
        <f>_xlfn.XLOOKUP(B390,CRN!G:G,CRN!N:N,"")</f>
        <v>0</v>
      </c>
      <c r="M390">
        <f>IF(L390=0,0,_xlfn.XLOOKUP(C390,CLIENT_CODE!B:B,CLIENT_CODE!J:J,0))</f>
        <v>0</v>
      </c>
      <c r="N390">
        <f>_xlfn.XLOOKUP(B390,CRN!G:G,CRN!O:O,"")</f>
        <v>0</v>
      </c>
      <c r="O390">
        <f>IF(N390=0,0,_xlfn.XLOOKUP(C390,CLIENT_CODE!B:B,CLIENT_CODE!K:K,0))</f>
        <v>0</v>
      </c>
      <c r="P390">
        <f>_xlfn.XLOOKUP(B390,CRN!G:G,CRN!P:P,"")</f>
        <v>0</v>
      </c>
      <c r="Q390">
        <f>IF(P390=0,0,_xlfn.XLOOKUP(C390,CLIENT_CODE!B:B,CLIENT_CODE!L:L,0))</f>
        <v>0</v>
      </c>
      <c r="R390">
        <f>_xlfn.XLOOKUP(B390,CRN!G:G,CRN!Q:Q,"")</f>
        <v>0</v>
      </c>
      <c r="S390">
        <f>IF(R390=0,0,_xlfn.XLOOKUP(C390,CLIENT_CODE!B:B,CLIENT_CODE!M:M,0))</f>
        <v>0</v>
      </c>
      <c r="T390">
        <f>_xlfn.XLOOKUP(B390,CRN!G:G,CRN!R:R,"")</f>
        <v>0</v>
      </c>
      <c r="U390">
        <f>IF(T390=0,0,_xlfn.XLOOKUP(C390,CLIENT_CODE!B:B,CLIENT_CODE!N:N,0))</f>
        <v>0</v>
      </c>
      <c r="V390">
        <f>_xlfn.XLOOKUP(B390,CRN!G:G,CRN!S:S,"")</f>
        <v>0</v>
      </c>
      <c r="W390">
        <f>IF(V390=0,0,_xlfn.XLOOKUP(C390,CLIENT_CODE!B:B,CLIENT_CODE!O:O,0))</f>
        <v>0</v>
      </c>
      <c r="X390">
        <f>_xlfn.XLOOKUP(B390,CRN!G:G,CRN!T:T,"")</f>
        <v>0</v>
      </c>
      <c r="Y390">
        <f>IF(X390=0,0,_xlfn.XLOOKUP(C390,CLIENT_CODE!B:B,CLIENT_CODE!P:P,0))</f>
        <v>0</v>
      </c>
      <c r="Z390">
        <f>_xlfn.XLOOKUP(B390,CRN!G:G,CRN!U:U,"")</f>
        <v>0</v>
      </c>
      <c r="AA390">
        <f>IF(X390=0,0,_xlfn.XLOOKUP(C390,CLIENT_CODE!B:B,CLIENT_CODE!P:P,0))</f>
        <v>0</v>
      </c>
      <c r="AB390">
        <f>_xlfn.XLOOKUP(B390,CRN!G:G,CRN!V:V,"")</f>
        <v>0</v>
      </c>
      <c r="AC390">
        <f>IF(AB390=0,0,_xlfn.XLOOKUP(C390,CLIENT_CODE!B:B,CLIENT_CODE!R:R,0))</f>
        <v>0</v>
      </c>
      <c r="AD390">
        <f t="shared" si="6"/>
        <v>0</v>
      </c>
    </row>
    <row r="391" spans="1:30">
      <c r="A391" s="42">
        <v>390</v>
      </c>
      <c r="E391">
        <f>IF(D391=0,0,_xlfn.XLOOKUP(C391,CLIENT_CODE!B:B,CLIENT_CODE!F:F,0))</f>
        <v>0</v>
      </c>
      <c r="F391">
        <f>_xlfn.XLOOKUP(B391,CRN!G:G,CRN!K:K,"")</f>
        <v>0</v>
      </c>
      <c r="G391">
        <f>IF(F391=0,0,_xlfn.XLOOKUP(C391,CLIENT_CODE!B:B,CLIENT_CODE!G:G,0))</f>
        <v>0</v>
      </c>
      <c r="H391">
        <f>_xlfn.XLOOKUP(B391,CRN!G:G,CRN!L:L,"")</f>
        <v>0</v>
      </c>
      <c r="I391">
        <f>IF(H391=0,0,_xlfn.XLOOKUP(C391,CLIENT_CODE!B:B,CLIENT_CODE!H:H,0))</f>
        <v>0</v>
      </c>
      <c r="J391">
        <f>_xlfn.XLOOKUP(B391,CRN!G:G,CRN!M:M,"")</f>
        <v>0</v>
      </c>
      <c r="K391">
        <f>IF(J391=0,0,_xlfn.XLOOKUP(C391,CLIENT_CODE!B:B,CLIENT_CODE!I:I,0))</f>
        <v>0</v>
      </c>
      <c r="L391">
        <f>_xlfn.XLOOKUP(B391,CRN!G:G,CRN!N:N,"")</f>
        <v>0</v>
      </c>
      <c r="M391">
        <f>IF(L391=0,0,_xlfn.XLOOKUP(C391,CLIENT_CODE!B:B,CLIENT_CODE!J:J,0))</f>
        <v>0</v>
      </c>
      <c r="N391">
        <f>_xlfn.XLOOKUP(B391,CRN!G:G,CRN!O:O,"")</f>
        <v>0</v>
      </c>
      <c r="O391">
        <f>IF(N391=0,0,_xlfn.XLOOKUP(C391,CLIENT_CODE!B:B,CLIENT_CODE!K:K,0))</f>
        <v>0</v>
      </c>
      <c r="P391">
        <f>_xlfn.XLOOKUP(B391,CRN!G:G,CRN!P:P,"")</f>
        <v>0</v>
      </c>
      <c r="Q391">
        <f>IF(P391=0,0,_xlfn.XLOOKUP(C391,CLIENT_CODE!B:B,CLIENT_CODE!L:L,0))</f>
        <v>0</v>
      </c>
      <c r="R391">
        <f>_xlfn.XLOOKUP(B391,CRN!G:G,CRN!Q:Q,"")</f>
        <v>0</v>
      </c>
      <c r="S391">
        <f>IF(R391=0,0,_xlfn.XLOOKUP(C391,CLIENT_CODE!B:B,CLIENT_CODE!M:M,0))</f>
        <v>0</v>
      </c>
      <c r="T391">
        <f>_xlfn.XLOOKUP(B391,CRN!G:G,CRN!R:R,"")</f>
        <v>0</v>
      </c>
      <c r="U391">
        <f>IF(T391=0,0,_xlfn.XLOOKUP(C391,CLIENT_CODE!B:B,CLIENT_CODE!N:N,0))</f>
        <v>0</v>
      </c>
      <c r="V391">
        <f>_xlfn.XLOOKUP(B391,CRN!G:G,CRN!S:S,"")</f>
        <v>0</v>
      </c>
      <c r="W391">
        <f>IF(V391=0,0,_xlfn.XLOOKUP(C391,CLIENT_CODE!B:B,CLIENT_CODE!O:O,0))</f>
        <v>0</v>
      </c>
      <c r="X391">
        <f>_xlfn.XLOOKUP(B391,CRN!G:G,CRN!T:T,"")</f>
        <v>0</v>
      </c>
      <c r="Y391">
        <f>IF(X391=0,0,_xlfn.XLOOKUP(C391,CLIENT_CODE!B:B,CLIENT_CODE!P:P,0))</f>
        <v>0</v>
      </c>
      <c r="Z391">
        <f>_xlfn.XLOOKUP(B391,CRN!G:G,CRN!U:U,"")</f>
        <v>0</v>
      </c>
      <c r="AA391">
        <f>IF(X391=0,0,_xlfn.XLOOKUP(C391,CLIENT_CODE!B:B,CLIENT_CODE!P:P,0))</f>
        <v>0</v>
      </c>
      <c r="AB391">
        <f>_xlfn.XLOOKUP(B391,CRN!G:G,CRN!V:V,"")</f>
        <v>0</v>
      </c>
      <c r="AC391">
        <f>IF(AB391=0,0,_xlfn.XLOOKUP(C391,CLIENT_CODE!B:B,CLIENT_CODE!R:R,0))</f>
        <v>0</v>
      </c>
      <c r="AD391">
        <f t="shared" si="6"/>
        <v>0</v>
      </c>
    </row>
    <row r="392" spans="1:30">
      <c r="A392" s="42">
        <v>391</v>
      </c>
      <c r="E392">
        <f>IF(D392=0,0,_xlfn.XLOOKUP(C392,CLIENT_CODE!B:B,CLIENT_CODE!F:F,0))</f>
        <v>0</v>
      </c>
      <c r="F392">
        <f>_xlfn.XLOOKUP(B392,CRN!G:G,CRN!K:K,"")</f>
        <v>0</v>
      </c>
      <c r="G392">
        <f>IF(F392=0,0,_xlfn.XLOOKUP(C392,CLIENT_CODE!B:B,CLIENT_CODE!G:G,0))</f>
        <v>0</v>
      </c>
      <c r="H392">
        <f>_xlfn.XLOOKUP(B392,CRN!G:G,CRN!L:L,"")</f>
        <v>0</v>
      </c>
      <c r="I392">
        <f>IF(H392=0,0,_xlfn.XLOOKUP(C392,CLIENT_CODE!B:B,CLIENT_CODE!H:H,0))</f>
        <v>0</v>
      </c>
      <c r="J392">
        <f>_xlfn.XLOOKUP(B392,CRN!G:G,CRN!M:M,"")</f>
        <v>0</v>
      </c>
      <c r="K392">
        <f>IF(J392=0,0,_xlfn.XLOOKUP(C392,CLIENT_CODE!B:B,CLIENT_CODE!I:I,0))</f>
        <v>0</v>
      </c>
      <c r="L392">
        <f>_xlfn.XLOOKUP(B392,CRN!G:G,CRN!N:N,"")</f>
        <v>0</v>
      </c>
      <c r="M392">
        <f>IF(L392=0,0,_xlfn.XLOOKUP(C392,CLIENT_CODE!B:B,CLIENT_CODE!J:J,0))</f>
        <v>0</v>
      </c>
      <c r="N392">
        <f>_xlfn.XLOOKUP(B392,CRN!G:G,CRN!O:O,"")</f>
        <v>0</v>
      </c>
      <c r="O392">
        <f>IF(N392=0,0,_xlfn.XLOOKUP(C392,CLIENT_CODE!B:B,CLIENT_CODE!K:K,0))</f>
        <v>0</v>
      </c>
      <c r="P392">
        <f>_xlfn.XLOOKUP(B392,CRN!G:G,CRN!P:P,"")</f>
        <v>0</v>
      </c>
      <c r="Q392">
        <f>IF(P392=0,0,_xlfn.XLOOKUP(C392,CLIENT_CODE!B:B,CLIENT_CODE!L:L,0))</f>
        <v>0</v>
      </c>
      <c r="R392">
        <f>_xlfn.XLOOKUP(B392,CRN!G:G,CRN!Q:Q,"")</f>
        <v>0</v>
      </c>
      <c r="S392">
        <f>IF(R392=0,0,_xlfn.XLOOKUP(C392,CLIENT_CODE!B:B,CLIENT_CODE!M:M,0))</f>
        <v>0</v>
      </c>
      <c r="T392">
        <f>_xlfn.XLOOKUP(B392,CRN!G:G,CRN!R:R,"")</f>
        <v>0</v>
      </c>
      <c r="U392">
        <f>IF(T392=0,0,_xlfn.XLOOKUP(C392,CLIENT_CODE!B:B,CLIENT_CODE!N:N,0))</f>
        <v>0</v>
      </c>
      <c r="V392">
        <f>_xlfn.XLOOKUP(B392,CRN!G:G,CRN!S:S,"")</f>
        <v>0</v>
      </c>
      <c r="W392">
        <f>IF(V392=0,0,_xlfn.XLOOKUP(C392,CLIENT_CODE!B:B,CLIENT_CODE!O:O,0))</f>
        <v>0</v>
      </c>
      <c r="X392">
        <f>_xlfn.XLOOKUP(B392,CRN!G:G,CRN!T:T,"")</f>
        <v>0</v>
      </c>
      <c r="Y392">
        <f>IF(X392=0,0,_xlfn.XLOOKUP(C392,CLIENT_CODE!B:B,CLIENT_CODE!P:P,0))</f>
        <v>0</v>
      </c>
      <c r="Z392">
        <f>_xlfn.XLOOKUP(B392,CRN!G:G,CRN!U:U,"")</f>
        <v>0</v>
      </c>
      <c r="AA392">
        <f>IF(X392=0,0,_xlfn.XLOOKUP(C392,CLIENT_CODE!B:B,CLIENT_CODE!P:P,0))</f>
        <v>0</v>
      </c>
      <c r="AB392">
        <f>_xlfn.XLOOKUP(B392,CRN!G:G,CRN!V:V,"")</f>
        <v>0</v>
      </c>
      <c r="AC392">
        <f>IF(AB392=0,0,_xlfn.XLOOKUP(C392,CLIENT_CODE!B:B,CLIENT_CODE!R:R,0))</f>
        <v>0</v>
      </c>
      <c r="AD392">
        <f t="shared" si="6"/>
        <v>0</v>
      </c>
    </row>
    <row r="393" spans="1:30">
      <c r="A393" s="42">
        <v>392</v>
      </c>
      <c r="E393">
        <f>IF(D393=0,0,_xlfn.XLOOKUP(C393,CLIENT_CODE!B:B,CLIENT_CODE!F:F,0))</f>
        <v>0</v>
      </c>
      <c r="F393">
        <f>_xlfn.XLOOKUP(B393,CRN!G:G,CRN!K:K,"")</f>
        <v>0</v>
      </c>
      <c r="G393">
        <f>IF(F393=0,0,_xlfn.XLOOKUP(C393,CLIENT_CODE!B:B,CLIENT_CODE!G:G,0))</f>
        <v>0</v>
      </c>
      <c r="H393">
        <f>_xlfn.XLOOKUP(B393,CRN!G:G,CRN!L:L,"")</f>
        <v>0</v>
      </c>
      <c r="I393">
        <f>IF(H393=0,0,_xlfn.XLOOKUP(C393,CLIENT_CODE!B:B,CLIENT_CODE!H:H,0))</f>
        <v>0</v>
      </c>
      <c r="J393">
        <f>_xlfn.XLOOKUP(B393,CRN!G:G,CRN!M:M,"")</f>
        <v>0</v>
      </c>
      <c r="K393">
        <f>IF(J393=0,0,_xlfn.XLOOKUP(C393,CLIENT_CODE!B:B,CLIENT_CODE!I:I,0))</f>
        <v>0</v>
      </c>
      <c r="L393">
        <f>_xlfn.XLOOKUP(B393,CRN!G:G,CRN!N:N,"")</f>
        <v>0</v>
      </c>
      <c r="M393">
        <f>IF(L393=0,0,_xlfn.XLOOKUP(C393,CLIENT_CODE!B:B,CLIENT_CODE!J:J,0))</f>
        <v>0</v>
      </c>
      <c r="N393">
        <f>_xlfn.XLOOKUP(B393,CRN!G:G,CRN!O:O,"")</f>
        <v>0</v>
      </c>
      <c r="O393">
        <f>IF(N393=0,0,_xlfn.XLOOKUP(C393,CLIENT_CODE!B:B,CLIENT_CODE!K:K,0))</f>
        <v>0</v>
      </c>
      <c r="P393">
        <f>_xlfn.XLOOKUP(B393,CRN!G:G,CRN!P:P,"")</f>
        <v>0</v>
      </c>
      <c r="Q393">
        <f>IF(P393=0,0,_xlfn.XLOOKUP(C393,CLIENT_CODE!B:B,CLIENT_CODE!L:L,0))</f>
        <v>0</v>
      </c>
      <c r="R393">
        <f>_xlfn.XLOOKUP(B393,CRN!G:G,CRN!Q:Q,"")</f>
        <v>0</v>
      </c>
      <c r="S393">
        <f>IF(R393=0,0,_xlfn.XLOOKUP(C393,CLIENT_CODE!B:B,CLIENT_CODE!M:M,0))</f>
        <v>0</v>
      </c>
      <c r="T393">
        <f>_xlfn.XLOOKUP(B393,CRN!G:G,CRN!R:R,"")</f>
        <v>0</v>
      </c>
      <c r="U393">
        <f>IF(T393=0,0,_xlfn.XLOOKUP(C393,CLIENT_CODE!B:B,CLIENT_CODE!N:N,0))</f>
        <v>0</v>
      </c>
      <c r="V393">
        <f>_xlfn.XLOOKUP(B393,CRN!G:G,CRN!S:S,"")</f>
        <v>0</v>
      </c>
      <c r="W393">
        <f>IF(V393=0,0,_xlfn.XLOOKUP(C393,CLIENT_CODE!B:B,CLIENT_CODE!O:O,0))</f>
        <v>0</v>
      </c>
      <c r="X393">
        <f>_xlfn.XLOOKUP(B393,CRN!G:G,CRN!T:T,"")</f>
        <v>0</v>
      </c>
      <c r="Y393">
        <f>IF(X393=0,0,_xlfn.XLOOKUP(C393,CLIENT_CODE!B:B,CLIENT_CODE!P:P,0))</f>
        <v>0</v>
      </c>
      <c r="Z393">
        <f>_xlfn.XLOOKUP(B393,CRN!G:G,CRN!U:U,"")</f>
        <v>0</v>
      </c>
      <c r="AA393">
        <f>IF(X393=0,0,_xlfn.XLOOKUP(C393,CLIENT_CODE!B:B,CLIENT_CODE!P:P,0))</f>
        <v>0</v>
      </c>
      <c r="AB393">
        <f>_xlfn.XLOOKUP(B393,CRN!G:G,CRN!V:V,"")</f>
        <v>0</v>
      </c>
      <c r="AC393">
        <f>IF(AB393=0,0,_xlfn.XLOOKUP(C393,CLIENT_CODE!B:B,CLIENT_CODE!R:R,0))</f>
        <v>0</v>
      </c>
      <c r="AD393">
        <f t="shared" si="6"/>
        <v>0</v>
      </c>
    </row>
    <row r="394" spans="1:30">
      <c r="A394" s="42">
        <v>393</v>
      </c>
      <c r="E394">
        <f>IF(D394=0,0,_xlfn.XLOOKUP(C394,CLIENT_CODE!B:B,CLIENT_CODE!F:F,0))</f>
        <v>0</v>
      </c>
      <c r="F394">
        <f>_xlfn.XLOOKUP(B394,CRN!G:G,CRN!K:K,"")</f>
        <v>0</v>
      </c>
      <c r="G394">
        <f>IF(F394=0,0,_xlfn.XLOOKUP(C394,CLIENT_CODE!B:B,CLIENT_CODE!G:G,0))</f>
        <v>0</v>
      </c>
      <c r="H394">
        <f>_xlfn.XLOOKUP(B394,CRN!G:G,CRN!L:L,"")</f>
        <v>0</v>
      </c>
      <c r="I394">
        <f>IF(H394=0,0,_xlfn.XLOOKUP(C394,CLIENT_CODE!B:B,CLIENT_CODE!H:H,0))</f>
        <v>0</v>
      </c>
      <c r="J394">
        <f>_xlfn.XLOOKUP(B394,CRN!G:G,CRN!M:M,"")</f>
        <v>0</v>
      </c>
      <c r="K394">
        <f>IF(J394=0,0,_xlfn.XLOOKUP(C394,CLIENT_CODE!B:B,CLIENT_CODE!I:I,0))</f>
        <v>0</v>
      </c>
      <c r="L394">
        <f>_xlfn.XLOOKUP(B394,CRN!G:G,CRN!N:N,"")</f>
        <v>0</v>
      </c>
      <c r="M394">
        <f>IF(L394=0,0,_xlfn.XLOOKUP(C394,CLIENT_CODE!B:B,CLIENT_CODE!J:J,0))</f>
        <v>0</v>
      </c>
      <c r="N394">
        <f>_xlfn.XLOOKUP(B394,CRN!G:G,CRN!O:O,"")</f>
        <v>0</v>
      </c>
      <c r="O394">
        <f>IF(N394=0,0,_xlfn.XLOOKUP(C394,CLIENT_CODE!B:B,CLIENT_CODE!K:K,0))</f>
        <v>0</v>
      </c>
      <c r="P394">
        <f>_xlfn.XLOOKUP(B394,CRN!G:G,CRN!P:P,"")</f>
        <v>0</v>
      </c>
      <c r="Q394">
        <f>IF(P394=0,0,_xlfn.XLOOKUP(C394,CLIENT_CODE!B:B,CLIENT_CODE!L:L,0))</f>
        <v>0</v>
      </c>
      <c r="R394">
        <f>_xlfn.XLOOKUP(B394,CRN!G:G,CRN!Q:Q,"")</f>
        <v>0</v>
      </c>
      <c r="S394">
        <f>IF(R394=0,0,_xlfn.XLOOKUP(C394,CLIENT_CODE!B:B,CLIENT_CODE!M:M,0))</f>
        <v>0</v>
      </c>
      <c r="T394">
        <f>_xlfn.XLOOKUP(B394,CRN!G:G,CRN!R:R,"")</f>
        <v>0</v>
      </c>
      <c r="U394">
        <f>IF(T394=0,0,_xlfn.XLOOKUP(C394,CLIENT_CODE!B:B,CLIENT_CODE!N:N,0))</f>
        <v>0</v>
      </c>
      <c r="V394">
        <f>_xlfn.XLOOKUP(B394,CRN!G:G,CRN!S:S,"")</f>
        <v>0</v>
      </c>
      <c r="W394">
        <f>IF(V394=0,0,_xlfn.XLOOKUP(C394,CLIENT_CODE!B:B,CLIENT_CODE!O:O,0))</f>
        <v>0</v>
      </c>
      <c r="X394">
        <f>_xlfn.XLOOKUP(B394,CRN!G:G,CRN!T:T,"")</f>
        <v>0</v>
      </c>
      <c r="Y394">
        <f>IF(X394=0,0,_xlfn.XLOOKUP(C394,CLIENT_CODE!B:B,CLIENT_CODE!P:P,0))</f>
        <v>0</v>
      </c>
      <c r="Z394">
        <f>_xlfn.XLOOKUP(B394,CRN!G:G,CRN!U:U,"")</f>
        <v>0</v>
      </c>
      <c r="AA394">
        <f>IF(X394=0,0,_xlfn.XLOOKUP(C394,CLIENT_CODE!B:B,CLIENT_CODE!P:P,0))</f>
        <v>0</v>
      </c>
      <c r="AB394">
        <f>_xlfn.XLOOKUP(B394,CRN!G:G,CRN!V:V,"")</f>
        <v>0</v>
      </c>
      <c r="AC394">
        <f>IF(AB394=0,0,_xlfn.XLOOKUP(C394,CLIENT_CODE!B:B,CLIENT_CODE!R:R,0))</f>
        <v>0</v>
      </c>
      <c r="AD394">
        <f t="shared" si="6"/>
        <v>0</v>
      </c>
    </row>
    <row r="395" spans="1:30">
      <c r="A395" s="42">
        <v>394</v>
      </c>
      <c r="E395">
        <f>IF(D395=0,0,_xlfn.XLOOKUP(C395,CLIENT_CODE!B:B,CLIENT_CODE!F:F,0))</f>
        <v>0</v>
      </c>
      <c r="F395">
        <f>_xlfn.XLOOKUP(B395,CRN!G:G,CRN!K:K,"")</f>
        <v>0</v>
      </c>
      <c r="G395">
        <f>IF(F395=0,0,_xlfn.XLOOKUP(C395,CLIENT_CODE!B:B,CLIENT_CODE!G:G,0))</f>
        <v>0</v>
      </c>
      <c r="H395">
        <f>_xlfn.XLOOKUP(B395,CRN!G:G,CRN!L:L,"")</f>
        <v>0</v>
      </c>
      <c r="I395">
        <f>IF(H395=0,0,_xlfn.XLOOKUP(C395,CLIENT_CODE!B:B,CLIENT_CODE!H:H,0))</f>
        <v>0</v>
      </c>
      <c r="J395">
        <f>_xlfn.XLOOKUP(B395,CRN!G:G,CRN!M:M,"")</f>
        <v>0</v>
      </c>
      <c r="K395">
        <f>IF(J395=0,0,_xlfn.XLOOKUP(C395,CLIENT_CODE!B:B,CLIENT_CODE!I:I,0))</f>
        <v>0</v>
      </c>
      <c r="L395">
        <f>_xlfn.XLOOKUP(B395,CRN!G:G,CRN!N:N,"")</f>
        <v>0</v>
      </c>
      <c r="M395">
        <f>IF(L395=0,0,_xlfn.XLOOKUP(C395,CLIENT_CODE!B:B,CLIENT_CODE!J:J,0))</f>
        <v>0</v>
      </c>
      <c r="N395">
        <f>_xlfn.XLOOKUP(B395,CRN!G:G,CRN!O:O,"")</f>
        <v>0</v>
      </c>
      <c r="O395">
        <f>IF(N395=0,0,_xlfn.XLOOKUP(C395,CLIENT_CODE!B:B,CLIENT_CODE!K:K,0))</f>
        <v>0</v>
      </c>
      <c r="P395">
        <f>_xlfn.XLOOKUP(B395,CRN!G:G,CRN!P:P,"")</f>
        <v>0</v>
      </c>
      <c r="Q395">
        <f>IF(P395=0,0,_xlfn.XLOOKUP(C395,CLIENT_CODE!B:B,CLIENT_CODE!L:L,0))</f>
        <v>0</v>
      </c>
      <c r="R395">
        <f>_xlfn.XLOOKUP(B395,CRN!G:G,CRN!Q:Q,"")</f>
        <v>0</v>
      </c>
      <c r="S395">
        <f>IF(R395=0,0,_xlfn.XLOOKUP(C395,CLIENT_CODE!B:B,CLIENT_CODE!M:M,0))</f>
        <v>0</v>
      </c>
      <c r="T395">
        <f>_xlfn.XLOOKUP(B395,CRN!G:G,CRN!R:R,"")</f>
        <v>0</v>
      </c>
      <c r="U395">
        <f>IF(T395=0,0,_xlfn.XLOOKUP(C395,CLIENT_CODE!B:B,CLIENT_CODE!N:N,0))</f>
        <v>0</v>
      </c>
      <c r="V395">
        <f>_xlfn.XLOOKUP(B395,CRN!G:G,CRN!S:S,"")</f>
        <v>0</v>
      </c>
      <c r="W395">
        <f>IF(V395=0,0,_xlfn.XLOOKUP(C395,CLIENT_CODE!B:B,CLIENT_CODE!O:O,0))</f>
        <v>0</v>
      </c>
      <c r="X395">
        <f>_xlfn.XLOOKUP(B395,CRN!G:G,CRN!T:T,"")</f>
        <v>0</v>
      </c>
      <c r="Y395">
        <f>IF(X395=0,0,_xlfn.XLOOKUP(C395,CLIENT_CODE!B:B,CLIENT_CODE!P:P,0))</f>
        <v>0</v>
      </c>
      <c r="Z395">
        <f>_xlfn.XLOOKUP(B395,CRN!G:G,CRN!U:U,"")</f>
        <v>0</v>
      </c>
      <c r="AA395">
        <f>IF(X395=0,0,_xlfn.XLOOKUP(C395,CLIENT_CODE!B:B,CLIENT_CODE!P:P,0))</f>
        <v>0</v>
      </c>
      <c r="AB395">
        <f>_xlfn.XLOOKUP(B395,CRN!G:G,CRN!V:V,"")</f>
        <v>0</v>
      </c>
      <c r="AC395">
        <f>IF(AB395=0,0,_xlfn.XLOOKUP(C395,CLIENT_CODE!B:B,CLIENT_CODE!R:R,0))</f>
        <v>0</v>
      </c>
      <c r="AD395">
        <f t="shared" si="6"/>
        <v>0</v>
      </c>
    </row>
    <row r="396" spans="1:30">
      <c r="A396" s="42">
        <v>395</v>
      </c>
      <c r="E396">
        <f>IF(D396=0,0,_xlfn.XLOOKUP(C396,CLIENT_CODE!B:B,CLIENT_CODE!F:F,0))</f>
        <v>0</v>
      </c>
      <c r="F396">
        <f>_xlfn.XLOOKUP(B396,CRN!G:G,CRN!K:K,"")</f>
        <v>0</v>
      </c>
      <c r="G396">
        <f>IF(F396=0,0,_xlfn.XLOOKUP(C396,CLIENT_CODE!B:B,CLIENT_CODE!G:G,0))</f>
        <v>0</v>
      </c>
      <c r="H396">
        <f>_xlfn.XLOOKUP(B396,CRN!G:G,CRN!L:L,"")</f>
        <v>0</v>
      </c>
      <c r="I396">
        <f>IF(H396=0,0,_xlfn.XLOOKUP(C396,CLIENT_CODE!B:B,CLIENT_CODE!H:H,0))</f>
        <v>0</v>
      </c>
      <c r="J396">
        <f>_xlfn.XLOOKUP(B396,CRN!G:G,CRN!M:M,"")</f>
        <v>0</v>
      </c>
      <c r="K396">
        <f>IF(J396=0,0,_xlfn.XLOOKUP(C396,CLIENT_CODE!B:B,CLIENT_CODE!I:I,0))</f>
        <v>0</v>
      </c>
      <c r="L396">
        <f>_xlfn.XLOOKUP(B396,CRN!G:G,CRN!N:N,"")</f>
        <v>0</v>
      </c>
      <c r="M396">
        <f>IF(L396=0,0,_xlfn.XLOOKUP(C396,CLIENT_CODE!B:B,CLIENT_CODE!J:J,0))</f>
        <v>0</v>
      </c>
      <c r="N396">
        <f>_xlfn.XLOOKUP(B396,CRN!G:G,CRN!O:O,"")</f>
        <v>0</v>
      </c>
      <c r="O396">
        <f>IF(N396=0,0,_xlfn.XLOOKUP(C396,CLIENT_CODE!B:B,CLIENT_CODE!K:K,0))</f>
        <v>0</v>
      </c>
      <c r="P396">
        <f>_xlfn.XLOOKUP(B396,CRN!G:G,CRN!P:P,"")</f>
        <v>0</v>
      </c>
      <c r="Q396">
        <f>IF(P396=0,0,_xlfn.XLOOKUP(C396,CLIENT_CODE!B:B,CLIENT_CODE!L:L,0))</f>
        <v>0</v>
      </c>
      <c r="R396">
        <f>_xlfn.XLOOKUP(B396,CRN!G:G,CRN!Q:Q,"")</f>
        <v>0</v>
      </c>
      <c r="S396">
        <f>IF(R396=0,0,_xlfn.XLOOKUP(C396,CLIENT_CODE!B:B,CLIENT_CODE!M:M,0))</f>
        <v>0</v>
      </c>
      <c r="T396">
        <f>_xlfn.XLOOKUP(B396,CRN!G:G,CRN!R:R,"")</f>
        <v>0</v>
      </c>
      <c r="U396">
        <f>IF(T396=0,0,_xlfn.XLOOKUP(C396,CLIENT_CODE!B:B,CLIENT_CODE!N:N,0))</f>
        <v>0</v>
      </c>
      <c r="V396">
        <f>_xlfn.XLOOKUP(B396,CRN!G:G,CRN!S:S,"")</f>
        <v>0</v>
      </c>
      <c r="W396">
        <f>IF(V396=0,0,_xlfn.XLOOKUP(C396,CLIENT_CODE!B:B,CLIENT_CODE!O:O,0))</f>
        <v>0</v>
      </c>
      <c r="X396">
        <f>_xlfn.XLOOKUP(B396,CRN!G:G,CRN!T:T,"")</f>
        <v>0</v>
      </c>
      <c r="Y396">
        <f>IF(X396=0,0,_xlfn.XLOOKUP(C396,CLIENT_CODE!B:B,CLIENT_CODE!P:P,0))</f>
        <v>0</v>
      </c>
      <c r="Z396">
        <f>_xlfn.XLOOKUP(B396,CRN!G:G,CRN!U:U,"")</f>
        <v>0</v>
      </c>
      <c r="AA396">
        <f>IF(X396=0,0,_xlfn.XLOOKUP(C396,CLIENT_CODE!B:B,CLIENT_CODE!P:P,0))</f>
        <v>0</v>
      </c>
      <c r="AB396">
        <f>_xlfn.XLOOKUP(B396,CRN!G:G,CRN!V:V,"")</f>
        <v>0</v>
      </c>
      <c r="AC396">
        <f>IF(AB396=0,0,_xlfn.XLOOKUP(C396,CLIENT_CODE!B:B,CLIENT_CODE!R:R,0))</f>
        <v>0</v>
      </c>
      <c r="AD396">
        <f t="shared" si="6"/>
        <v>0</v>
      </c>
    </row>
    <row r="397" spans="1:30">
      <c r="A397" s="42">
        <v>396</v>
      </c>
      <c r="E397">
        <f>IF(D397=0,0,_xlfn.XLOOKUP(C397,CLIENT_CODE!B:B,CLIENT_CODE!F:F,0))</f>
        <v>0</v>
      </c>
      <c r="F397">
        <f>_xlfn.XLOOKUP(B397,CRN!G:G,CRN!K:K,"")</f>
        <v>0</v>
      </c>
      <c r="G397">
        <f>IF(F397=0,0,_xlfn.XLOOKUP(C397,CLIENT_CODE!B:B,CLIENT_CODE!G:G,0))</f>
        <v>0</v>
      </c>
      <c r="H397">
        <f>_xlfn.XLOOKUP(B397,CRN!G:G,CRN!L:L,"")</f>
        <v>0</v>
      </c>
      <c r="I397">
        <f>IF(H397=0,0,_xlfn.XLOOKUP(C397,CLIENT_CODE!B:B,CLIENT_CODE!H:H,0))</f>
        <v>0</v>
      </c>
      <c r="J397">
        <f>_xlfn.XLOOKUP(B397,CRN!G:G,CRN!M:M,"")</f>
        <v>0</v>
      </c>
      <c r="K397">
        <f>IF(J397=0,0,_xlfn.XLOOKUP(C397,CLIENT_CODE!B:B,CLIENT_CODE!I:I,0))</f>
        <v>0</v>
      </c>
      <c r="L397">
        <f>_xlfn.XLOOKUP(B397,CRN!G:G,CRN!N:N,"")</f>
        <v>0</v>
      </c>
      <c r="M397">
        <f>IF(L397=0,0,_xlfn.XLOOKUP(C397,CLIENT_CODE!B:B,CLIENT_CODE!J:J,0))</f>
        <v>0</v>
      </c>
      <c r="N397">
        <f>_xlfn.XLOOKUP(B397,CRN!G:G,CRN!O:O,"")</f>
        <v>0</v>
      </c>
      <c r="O397">
        <f>IF(N397=0,0,_xlfn.XLOOKUP(C397,CLIENT_CODE!B:B,CLIENT_CODE!K:K,0))</f>
        <v>0</v>
      </c>
      <c r="P397">
        <f>_xlfn.XLOOKUP(B397,CRN!G:G,CRN!P:P,"")</f>
        <v>0</v>
      </c>
      <c r="Q397">
        <f>IF(P397=0,0,_xlfn.XLOOKUP(C397,CLIENT_CODE!B:B,CLIENT_CODE!L:L,0))</f>
        <v>0</v>
      </c>
      <c r="R397">
        <f>_xlfn.XLOOKUP(B397,CRN!G:G,CRN!Q:Q,"")</f>
        <v>0</v>
      </c>
      <c r="S397">
        <f>IF(R397=0,0,_xlfn.XLOOKUP(C397,CLIENT_CODE!B:B,CLIENT_CODE!M:M,0))</f>
        <v>0</v>
      </c>
      <c r="T397">
        <f>_xlfn.XLOOKUP(B397,CRN!G:G,CRN!R:R,"")</f>
        <v>0</v>
      </c>
      <c r="U397">
        <f>IF(T397=0,0,_xlfn.XLOOKUP(C397,CLIENT_CODE!B:B,CLIENT_CODE!N:N,0))</f>
        <v>0</v>
      </c>
      <c r="V397">
        <f>_xlfn.XLOOKUP(B397,CRN!G:G,CRN!S:S,"")</f>
        <v>0</v>
      </c>
      <c r="W397">
        <f>IF(V397=0,0,_xlfn.XLOOKUP(C397,CLIENT_CODE!B:B,CLIENT_CODE!O:O,0))</f>
        <v>0</v>
      </c>
      <c r="X397">
        <f>_xlfn.XLOOKUP(B397,CRN!G:G,CRN!T:T,"")</f>
        <v>0</v>
      </c>
      <c r="Y397">
        <f>IF(X397=0,0,_xlfn.XLOOKUP(C397,CLIENT_CODE!B:B,CLIENT_CODE!P:P,0))</f>
        <v>0</v>
      </c>
      <c r="Z397">
        <f>_xlfn.XLOOKUP(B397,CRN!G:G,CRN!U:U,"")</f>
        <v>0</v>
      </c>
      <c r="AA397">
        <f>IF(X397=0,0,_xlfn.XLOOKUP(C397,CLIENT_CODE!B:B,CLIENT_CODE!P:P,0))</f>
        <v>0</v>
      </c>
      <c r="AB397">
        <f>_xlfn.XLOOKUP(B397,CRN!G:G,CRN!V:V,"")</f>
        <v>0</v>
      </c>
      <c r="AC397">
        <f>IF(AB397=0,0,_xlfn.XLOOKUP(C397,CLIENT_CODE!B:B,CLIENT_CODE!R:R,0))</f>
        <v>0</v>
      </c>
      <c r="AD397">
        <f t="shared" si="6"/>
        <v>0</v>
      </c>
    </row>
    <row r="398" spans="1:30">
      <c r="A398" s="42">
        <v>397</v>
      </c>
      <c r="E398">
        <f>IF(D398=0,0,_xlfn.XLOOKUP(C398,CLIENT_CODE!B:B,CLIENT_CODE!F:F,0))</f>
        <v>0</v>
      </c>
      <c r="F398">
        <f>_xlfn.XLOOKUP(B398,CRN!G:G,CRN!K:K,"")</f>
        <v>0</v>
      </c>
      <c r="G398">
        <f>IF(F398=0,0,_xlfn.XLOOKUP(C398,CLIENT_CODE!B:B,CLIENT_CODE!G:G,0))</f>
        <v>0</v>
      </c>
      <c r="H398">
        <f>_xlfn.XLOOKUP(B398,CRN!G:G,CRN!L:L,"")</f>
        <v>0</v>
      </c>
      <c r="I398">
        <f>IF(H398=0,0,_xlfn.XLOOKUP(C398,CLIENT_CODE!B:B,CLIENT_CODE!H:H,0))</f>
        <v>0</v>
      </c>
      <c r="J398">
        <f>_xlfn.XLOOKUP(B398,CRN!G:G,CRN!M:M,"")</f>
        <v>0</v>
      </c>
      <c r="K398">
        <f>IF(J398=0,0,_xlfn.XLOOKUP(C398,CLIENT_CODE!B:B,CLIENT_CODE!I:I,0))</f>
        <v>0</v>
      </c>
      <c r="L398">
        <f>_xlfn.XLOOKUP(B398,CRN!G:G,CRN!N:N,"")</f>
        <v>0</v>
      </c>
      <c r="M398">
        <f>IF(L398=0,0,_xlfn.XLOOKUP(C398,CLIENT_CODE!B:B,CLIENT_CODE!J:J,0))</f>
        <v>0</v>
      </c>
      <c r="N398">
        <f>_xlfn.XLOOKUP(B398,CRN!G:G,CRN!O:O,"")</f>
        <v>0</v>
      </c>
      <c r="O398">
        <f>IF(N398=0,0,_xlfn.XLOOKUP(C398,CLIENT_CODE!B:B,CLIENT_CODE!K:K,0))</f>
        <v>0</v>
      </c>
      <c r="P398">
        <f>_xlfn.XLOOKUP(B398,CRN!G:G,CRN!P:P,"")</f>
        <v>0</v>
      </c>
      <c r="Q398">
        <f>IF(P398=0,0,_xlfn.XLOOKUP(C398,CLIENT_CODE!B:B,CLIENT_CODE!L:L,0))</f>
        <v>0</v>
      </c>
      <c r="R398">
        <f>_xlfn.XLOOKUP(B398,CRN!G:G,CRN!Q:Q,"")</f>
        <v>0</v>
      </c>
      <c r="S398">
        <f>IF(R398=0,0,_xlfn.XLOOKUP(C398,CLIENT_CODE!B:B,CLIENT_CODE!M:M,0))</f>
        <v>0</v>
      </c>
      <c r="T398">
        <f>_xlfn.XLOOKUP(B398,CRN!G:G,CRN!R:R,"")</f>
        <v>0</v>
      </c>
      <c r="U398">
        <f>IF(T398=0,0,_xlfn.XLOOKUP(C398,CLIENT_CODE!B:B,CLIENT_CODE!N:N,0))</f>
        <v>0</v>
      </c>
      <c r="V398">
        <f>_xlfn.XLOOKUP(B398,CRN!G:G,CRN!S:S,"")</f>
        <v>0</v>
      </c>
      <c r="W398">
        <f>IF(V398=0,0,_xlfn.XLOOKUP(C398,CLIENT_CODE!B:B,CLIENT_CODE!O:O,0))</f>
        <v>0</v>
      </c>
      <c r="X398">
        <f>_xlfn.XLOOKUP(B398,CRN!G:G,CRN!T:T,"")</f>
        <v>0</v>
      </c>
      <c r="Y398">
        <f>IF(X398=0,0,_xlfn.XLOOKUP(C398,CLIENT_CODE!B:B,CLIENT_CODE!P:P,0))</f>
        <v>0</v>
      </c>
      <c r="Z398">
        <f>_xlfn.XLOOKUP(B398,CRN!G:G,CRN!U:U,"")</f>
        <v>0</v>
      </c>
      <c r="AA398">
        <f>IF(X398=0,0,_xlfn.XLOOKUP(C398,CLIENT_CODE!B:B,CLIENT_CODE!P:P,0))</f>
        <v>0</v>
      </c>
      <c r="AB398">
        <f>_xlfn.XLOOKUP(B398,CRN!G:G,CRN!V:V,"")</f>
        <v>0</v>
      </c>
      <c r="AC398">
        <f>IF(AB398=0,0,_xlfn.XLOOKUP(C398,CLIENT_CODE!B:B,CLIENT_CODE!R:R,0))</f>
        <v>0</v>
      </c>
      <c r="AD398">
        <f t="shared" si="6"/>
        <v>0</v>
      </c>
    </row>
    <row r="399" spans="1:30">
      <c r="A399" s="42">
        <v>398</v>
      </c>
      <c r="E399">
        <f>IF(D399=0,0,_xlfn.XLOOKUP(C399,CLIENT_CODE!B:B,CLIENT_CODE!F:F,0))</f>
        <v>0</v>
      </c>
      <c r="F399">
        <f>_xlfn.XLOOKUP(B399,CRN!G:G,CRN!K:K,"")</f>
        <v>0</v>
      </c>
      <c r="G399">
        <f>IF(F399=0,0,_xlfn.XLOOKUP(C399,CLIENT_CODE!B:B,CLIENT_CODE!G:G,0))</f>
        <v>0</v>
      </c>
      <c r="H399">
        <f>_xlfn.XLOOKUP(B399,CRN!G:G,CRN!L:L,"")</f>
        <v>0</v>
      </c>
      <c r="I399">
        <f>IF(H399=0,0,_xlfn.XLOOKUP(C399,CLIENT_CODE!B:B,CLIENT_CODE!H:H,0))</f>
        <v>0</v>
      </c>
      <c r="J399">
        <f>_xlfn.XLOOKUP(B399,CRN!G:G,CRN!M:M,"")</f>
        <v>0</v>
      </c>
      <c r="K399">
        <f>IF(J399=0,0,_xlfn.XLOOKUP(C399,CLIENT_CODE!B:B,CLIENT_CODE!I:I,0))</f>
        <v>0</v>
      </c>
      <c r="L399">
        <f>_xlfn.XLOOKUP(B399,CRN!G:G,CRN!N:N,"")</f>
        <v>0</v>
      </c>
      <c r="M399">
        <f>IF(L399=0,0,_xlfn.XLOOKUP(C399,CLIENT_CODE!B:B,CLIENT_CODE!J:J,0))</f>
        <v>0</v>
      </c>
      <c r="N399">
        <f>_xlfn.XLOOKUP(B399,CRN!G:G,CRN!O:O,"")</f>
        <v>0</v>
      </c>
      <c r="O399">
        <f>IF(N399=0,0,_xlfn.XLOOKUP(C399,CLIENT_CODE!B:B,CLIENT_CODE!K:K,0))</f>
        <v>0</v>
      </c>
      <c r="P399">
        <f>_xlfn.XLOOKUP(B399,CRN!G:G,CRN!P:P,"")</f>
        <v>0</v>
      </c>
      <c r="Q399">
        <f>IF(P399=0,0,_xlfn.XLOOKUP(C399,CLIENT_CODE!B:B,CLIENT_CODE!L:L,0))</f>
        <v>0</v>
      </c>
      <c r="R399">
        <f>_xlfn.XLOOKUP(B399,CRN!G:G,CRN!Q:Q,"")</f>
        <v>0</v>
      </c>
      <c r="S399">
        <f>IF(R399=0,0,_xlfn.XLOOKUP(C399,CLIENT_CODE!B:B,CLIENT_CODE!M:M,0))</f>
        <v>0</v>
      </c>
      <c r="T399">
        <f>_xlfn.XLOOKUP(B399,CRN!G:G,CRN!R:R,"")</f>
        <v>0</v>
      </c>
      <c r="U399">
        <f>IF(T399=0,0,_xlfn.XLOOKUP(C399,CLIENT_CODE!B:B,CLIENT_CODE!N:N,0))</f>
        <v>0</v>
      </c>
      <c r="V399">
        <f>_xlfn.XLOOKUP(B399,CRN!G:G,CRN!S:S,"")</f>
        <v>0</v>
      </c>
      <c r="W399">
        <f>IF(V399=0,0,_xlfn.XLOOKUP(C399,CLIENT_CODE!B:B,CLIENT_CODE!O:O,0))</f>
        <v>0</v>
      </c>
      <c r="X399">
        <f>_xlfn.XLOOKUP(B399,CRN!G:G,CRN!T:T,"")</f>
        <v>0</v>
      </c>
      <c r="Y399">
        <f>IF(X399=0,0,_xlfn.XLOOKUP(C399,CLIENT_CODE!B:B,CLIENT_CODE!P:P,0))</f>
        <v>0</v>
      </c>
      <c r="Z399">
        <f>_xlfn.XLOOKUP(B399,CRN!G:G,CRN!U:U,"")</f>
        <v>0</v>
      </c>
      <c r="AA399">
        <f>IF(X399=0,0,_xlfn.XLOOKUP(C399,CLIENT_CODE!B:B,CLIENT_CODE!P:P,0))</f>
        <v>0</v>
      </c>
      <c r="AB399">
        <f>_xlfn.XLOOKUP(B399,CRN!G:G,CRN!V:V,"")</f>
        <v>0</v>
      </c>
      <c r="AC399">
        <f>IF(AB399=0,0,_xlfn.XLOOKUP(C399,CLIENT_CODE!B:B,CLIENT_CODE!R:R,0))</f>
        <v>0</v>
      </c>
      <c r="AD399">
        <f t="shared" si="6"/>
        <v>0</v>
      </c>
    </row>
    <row r="400" spans="1:30">
      <c r="A400" s="42">
        <v>399</v>
      </c>
      <c r="E400">
        <f>IF(D400=0,0,_xlfn.XLOOKUP(C400,CLIENT_CODE!B:B,CLIENT_CODE!F:F,0))</f>
        <v>0</v>
      </c>
      <c r="F400">
        <f>_xlfn.XLOOKUP(B400,CRN!G:G,CRN!K:K,"")</f>
        <v>0</v>
      </c>
      <c r="G400">
        <f>IF(F400=0,0,_xlfn.XLOOKUP(C400,CLIENT_CODE!B:B,CLIENT_CODE!G:G,0))</f>
        <v>0</v>
      </c>
      <c r="H400">
        <f>_xlfn.XLOOKUP(B400,CRN!G:G,CRN!L:L,"")</f>
        <v>0</v>
      </c>
      <c r="I400">
        <f>IF(H400=0,0,_xlfn.XLOOKUP(C400,CLIENT_CODE!B:B,CLIENT_CODE!H:H,0))</f>
        <v>0</v>
      </c>
      <c r="J400">
        <f>_xlfn.XLOOKUP(B400,CRN!G:G,CRN!M:M,"")</f>
        <v>0</v>
      </c>
      <c r="K400">
        <f>IF(J400=0,0,_xlfn.XLOOKUP(C400,CLIENT_CODE!B:B,CLIENT_CODE!I:I,0))</f>
        <v>0</v>
      </c>
      <c r="L400">
        <f>_xlfn.XLOOKUP(B400,CRN!G:G,CRN!N:N,"")</f>
        <v>0</v>
      </c>
      <c r="M400">
        <f>IF(L400=0,0,_xlfn.XLOOKUP(C400,CLIENT_CODE!B:B,CLIENT_CODE!J:J,0))</f>
        <v>0</v>
      </c>
      <c r="N400">
        <f>_xlfn.XLOOKUP(B400,CRN!G:G,CRN!O:O,"")</f>
        <v>0</v>
      </c>
      <c r="O400">
        <f>IF(N400=0,0,_xlfn.XLOOKUP(C400,CLIENT_CODE!B:B,CLIENT_CODE!K:K,0))</f>
        <v>0</v>
      </c>
      <c r="P400">
        <f>_xlfn.XLOOKUP(B400,CRN!G:G,CRN!P:P,"")</f>
        <v>0</v>
      </c>
      <c r="Q400">
        <f>IF(P400=0,0,_xlfn.XLOOKUP(C400,CLIENT_CODE!B:B,CLIENT_CODE!L:L,0))</f>
        <v>0</v>
      </c>
      <c r="R400">
        <f>_xlfn.XLOOKUP(B400,CRN!G:G,CRN!Q:Q,"")</f>
        <v>0</v>
      </c>
      <c r="S400">
        <f>IF(R400=0,0,_xlfn.XLOOKUP(C400,CLIENT_CODE!B:B,CLIENT_CODE!M:M,0))</f>
        <v>0</v>
      </c>
      <c r="T400">
        <f>_xlfn.XLOOKUP(B400,CRN!G:G,CRN!R:R,"")</f>
        <v>0</v>
      </c>
      <c r="U400">
        <f>IF(T400=0,0,_xlfn.XLOOKUP(C400,CLIENT_CODE!B:B,CLIENT_CODE!N:N,0))</f>
        <v>0</v>
      </c>
      <c r="V400">
        <f>_xlfn.XLOOKUP(B400,CRN!G:G,CRN!S:S,"")</f>
        <v>0</v>
      </c>
      <c r="W400">
        <f>IF(V400=0,0,_xlfn.XLOOKUP(C400,CLIENT_CODE!B:B,CLIENT_CODE!O:O,0))</f>
        <v>0</v>
      </c>
      <c r="X400">
        <f>_xlfn.XLOOKUP(B400,CRN!G:G,CRN!T:T,"")</f>
        <v>0</v>
      </c>
      <c r="Y400">
        <f>IF(X400=0,0,_xlfn.XLOOKUP(C400,CLIENT_CODE!B:B,CLIENT_CODE!P:P,0))</f>
        <v>0</v>
      </c>
      <c r="Z400">
        <f>_xlfn.XLOOKUP(B400,CRN!G:G,CRN!U:U,"")</f>
        <v>0</v>
      </c>
      <c r="AA400">
        <f>IF(X400=0,0,_xlfn.XLOOKUP(C400,CLIENT_CODE!B:B,CLIENT_CODE!P:P,0))</f>
        <v>0</v>
      </c>
      <c r="AB400">
        <f>_xlfn.XLOOKUP(B400,CRN!G:G,CRN!V:V,"")</f>
        <v>0</v>
      </c>
      <c r="AC400">
        <f>IF(AB400=0,0,_xlfn.XLOOKUP(C400,CLIENT_CODE!B:B,CLIENT_CODE!R:R,0))</f>
        <v>0</v>
      </c>
      <c r="AD400">
        <f t="shared" si="6"/>
        <v>0</v>
      </c>
    </row>
    <row r="401" spans="1:30">
      <c r="A401" s="42">
        <v>400</v>
      </c>
      <c r="E401">
        <f>IF(D401=0,0,_xlfn.XLOOKUP(C401,CLIENT_CODE!B:B,CLIENT_CODE!F:F,0))</f>
        <v>0</v>
      </c>
      <c r="F401">
        <f>_xlfn.XLOOKUP(B401,CRN!G:G,CRN!K:K,"")</f>
        <v>0</v>
      </c>
      <c r="G401">
        <f>IF(F401=0,0,_xlfn.XLOOKUP(C401,CLIENT_CODE!B:B,CLIENT_CODE!G:G,0))</f>
        <v>0</v>
      </c>
      <c r="H401">
        <f>_xlfn.XLOOKUP(B401,CRN!G:G,CRN!L:L,"")</f>
        <v>0</v>
      </c>
      <c r="I401">
        <f>IF(H401=0,0,_xlfn.XLOOKUP(C401,CLIENT_CODE!B:B,CLIENT_CODE!H:H,0))</f>
        <v>0</v>
      </c>
      <c r="J401">
        <f>_xlfn.XLOOKUP(B401,CRN!G:G,CRN!M:M,"")</f>
        <v>0</v>
      </c>
      <c r="K401">
        <f>IF(J401=0,0,_xlfn.XLOOKUP(C401,CLIENT_CODE!B:B,CLIENT_CODE!I:I,0))</f>
        <v>0</v>
      </c>
      <c r="L401">
        <f>_xlfn.XLOOKUP(B401,CRN!G:G,CRN!N:N,"")</f>
        <v>0</v>
      </c>
      <c r="M401">
        <f>IF(L401=0,0,_xlfn.XLOOKUP(C401,CLIENT_CODE!B:B,CLIENT_CODE!J:J,0))</f>
        <v>0</v>
      </c>
      <c r="N401">
        <f>_xlfn.XLOOKUP(B401,CRN!G:G,CRN!O:O,"")</f>
        <v>0</v>
      </c>
      <c r="O401">
        <f>IF(N401=0,0,_xlfn.XLOOKUP(C401,CLIENT_CODE!B:B,CLIENT_CODE!K:K,0))</f>
        <v>0</v>
      </c>
      <c r="P401">
        <f>_xlfn.XLOOKUP(B401,CRN!G:G,CRN!P:P,"")</f>
        <v>0</v>
      </c>
      <c r="Q401">
        <f>IF(P401=0,0,_xlfn.XLOOKUP(C401,CLIENT_CODE!B:B,CLIENT_CODE!L:L,0))</f>
        <v>0</v>
      </c>
      <c r="R401">
        <f>_xlfn.XLOOKUP(B401,CRN!G:G,CRN!Q:Q,"")</f>
        <v>0</v>
      </c>
      <c r="S401">
        <f>IF(R401=0,0,_xlfn.XLOOKUP(C401,CLIENT_CODE!B:B,CLIENT_CODE!M:M,0))</f>
        <v>0</v>
      </c>
      <c r="T401">
        <f>_xlfn.XLOOKUP(B401,CRN!G:G,CRN!R:R,"")</f>
        <v>0</v>
      </c>
      <c r="U401">
        <f>IF(T401=0,0,_xlfn.XLOOKUP(C401,CLIENT_CODE!B:B,CLIENT_CODE!N:N,0))</f>
        <v>0</v>
      </c>
      <c r="V401">
        <f>_xlfn.XLOOKUP(B401,CRN!G:G,CRN!S:S,"")</f>
        <v>0</v>
      </c>
      <c r="W401">
        <f>IF(V401=0,0,_xlfn.XLOOKUP(C401,CLIENT_CODE!B:B,CLIENT_CODE!O:O,0))</f>
        <v>0</v>
      </c>
      <c r="X401">
        <f>_xlfn.XLOOKUP(B401,CRN!G:G,CRN!T:T,"")</f>
        <v>0</v>
      </c>
      <c r="Y401">
        <f>IF(X401=0,0,_xlfn.XLOOKUP(C401,CLIENT_CODE!B:B,CLIENT_CODE!P:P,0))</f>
        <v>0</v>
      </c>
      <c r="Z401">
        <f>_xlfn.XLOOKUP(B401,CRN!G:G,CRN!U:U,"")</f>
        <v>0</v>
      </c>
      <c r="AA401">
        <f>IF(X401=0,0,_xlfn.XLOOKUP(C401,CLIENT_CODE!B:B,CLIENT_CODE!P:P,0))</f>
        <v>0</v>
      </c>
      <c r="AB401">
        <f>_xlfn.XLOOKUP(B401,CRN!G:G,CRN!V:V,"")</f>
        <v>0</v>
      </c>
      <c r="AC401">
        <f>IF(AB401=0,0,_xlfn.XLOOKUP(C401,CLIENT_CODE!B:B,CLIENT_CODE!R:R,0))</f>
        <v>0</v>
      </c>
      <c r="AD401">
        <f t="shared" si="6"/>
        <v>0</v>
      </c>
    </row>
    <row r="402" spans="1:30">
      <c r="A402" s="42">
        <v>401</v>
      </c>
      <c r="E402">
        <f>IF(D402=0,0,_xlfn.XLOOKUP(C402,CLIENT_CODE!B:B,CLIENT_CODE!F:F,0))</f>
        <v>0</v>
      </c>
      <c r="F402">
        <f>_xlfn.XLOOKUP(B402,CRN!G:G,CRN!K:K,"")</f>
        <v>0</v>
      </c>
      <c r="G402">
        <f>IF(F402=0,0,_xlfn.XLOOKUP(C402,CLIENT_CODE!B:B,CLIENT_CODE!G:G,0))</f>
        <v>0</v>
      </c>
      <c r="H402">
        <f>_xlfn.XLOOKUP(B402,CRN!G:G,CRN!L:L,"")</f>
        <v>0</v>
      </c>
      <c r="I402">
        <f>IF(H402=0,0,_xlfn.XLOOKUP(C402,CLIENT_CODE!B:B,CLIENT_CODE!H:H,0))</f>
        <v>0</v>
      </c>
      <c r="J402">
        <f>_xlfn.XLOOKUP(B402,CRN!G:G,CRN!M:M,"")</f>
        <v>0</v>
      </c>
      <c r="K402">
        <f>IF(J402=0,0,_xlfn.XLOOKUP(C402,CLIENT_CODE!B:B,CLIENT_CODE!I:I,0))</f>
        <v>0</v>
      </c>
      <c r="L402">
        <f>_xlfn.XLOOKUP(B402,CRN!G:G,CRN!N:N,"")</f>
        <v>0</v>
      </c>
      <c r="M402">
        <f>IF(L402=0,0,_xlfn.XLOOKUP(C402,CLIENT_CODE!B:B,CLIENT_CODE!J:J,0))</f>
        <v>0</v>
      </c>
      <c r="N402">
        <f>_xlfn.XLOOKUP(B402,CRN!G:G,CRN!O:O,"")</f>
        <v>0</v>
      </c>
      <c r="O402">
        <f>IF(N402=0,0,_xlfn.XLOOKUP(C402,CLIENT_CODE!B:B,CLIENT_CODE!K:K,0))</f>
        <v>0</v>
      </c>
      <c r="P402">
        <f>_xlfn.XLOOKUP(B402,CRN!G:G,CRN!P:P,"")</f>
        <v>0</v>
      </c>
      <c r="Q402">
        <f>IF(P402=0,0,_xlfn.XLOOKUP(C402,CLIENT_CODE!B:B,CLIENT_CODE!L:L,0))</f>
        <v>0</v>
      </c>
      <c r="R402">
        <f>_xlfn.XLOOKUP(B402,CRN!G:G,CRN!Q:Q,"")</f>
        <v>0</v>
      </c>
      <c r="S402">
        <f>IF(R402=0,0,_xlfn.XLOOKUP(C402,CLIENT_CODE!B:B,CLIENT_CODE!M:M,0))</f>
        <v>0</v>
      </c>
      <c r="T402">
        <f>_xlfn.XLOOKUP(B402,CRN!G:G,CRN!R:R,"")</f>
        <v>0</v>
      </c>
      <c r="U402">
        <f>IF(T402=0,0,_xlfn.XLOOKUP(C402,CLIENT_CODE!B:B,CLIENT_CODE!N:N,0))</f>
        <v>0</v>
      </c>
      <c r="V402">
        <f>_xlfn.XLOOKUP(B402,CRN!G:G,CRN!S:S,"")</f>
        <v>0</v>
      </c>
      <c r="W402">
        <f>IF(V402=0,0,_xlfn.XLOOKUP(C402,CLIENT_CODE!B:B,CLIENT_CODE!O:O,0))</f>
        <v>0</v>
      </c>
      <c r="X402">
        <f>_xlfn.XLOOKUP(B402,CRN!G:G,CRN!T:T,"")</f>
        <v>0</v>
      </c>
      <c r="Y402">
        <f>IF(X402=0,0,_xlfn.XLOOKUP(C402,CLIENT_CODE!B:B,CLIENT_CODE!P:P,0))</f>
        <v>0</v>
      </c>
      <c r="Z402">
        <f>_xlfn.XLOOKUP(B402,CRN!G:G,CRN!U:U,"")</f>
        <v>0</v>
      </c>
      <c r="AA402">
        <f>IF(X402=0,0,_xlfn.XLOOKUP(C402,CLIENT_CODE!B:B,CLIENT_CODE!P:P,0))</f>
        <v>0</v>
      </c>
      <c r="AB402">
        <f>_xlfn.XLOOKUP(B402,CRN!G:G,CRN!V:V,"")</f>
        <v>0</v>
      </c>
      <c r="AC402">
        <f>IF(AB402=0,0,_xlfn.XLOOKUP(C402,CLIENT_CODE!B:B,CLIENT_CODE!R:R,0))</f>
        <v>0</v>
      </c>
      <c r="AD402">
        <f t="shared" si="6"/>
        <v>0</v>
      </c>
    </row>
    <row r="403" spans="1:30">
      <c r="A403" s="42">
        <v>402</v>
      </c>
      <c r="E403">
        <f>IF(D403=0,0,_xlfn.XLOOKUP(C403,CLIENT_CODE!B:B,CLIENT_CODE!F:F,0))</f>
        <v>0</v>
      </c>
      <c r="F403">
        <f>_xlfn.XLOOKUP(B403,CRN!G:G,CRN!K:K,"")</f>
        <v>0</v>
      </c>
      <c r="G403">
        <f>IF(F403=0,0,_xlfn.XLOOKUP(C403,CLIENT_CODE!B:B,CLIENT_CODE!G:G,0))</f>
        <v>0</v>
      </c>
      <c r="H403">
        <f>_xlfn.XLOOKUP(B403,CRN!G:G,CRN!L:L,"")</f>
        <v>0</v>
      </c>
      <c r="I403">
        <f>IF(H403=0,0,_xlfn.XLOOKUP(C403,CLIENT_CODE!B:B,CLIENT_CODE!H:H,0))</f>
        <v>0</v>
      </c>
      <c r="J403">
        <f>_xlfn.XLOOKUP(B403,CRN!G:G,CRN!M:M,"")</f>
        <v>0</v>
      </c>
      <c r="K403">
        <f>IF(J403=0,0,_xlfn.XLOOKUP(C403,CLIENT_CODE!B:B,CLIENT_CODE!I:I,0))</f>
        <v>0</v>
      </c>
      <c r="L403">
        <f>_xlfn.XLOOKUP(B403,CRN!G:G,CRN!N:N,"")</f>
        <v>0</v>
      </c>
      <c r="M403">
        <f>IF(L403=0,0,_xlfn.XLOOKUP(C403,CLIENT_CODE!B:B,CLIENT_CODE!J:J,0))</f>
        <v>0</v>
      </c>
      <c r="N403">
        <f>_xlfn.XLOOKUP(B403,CRN!G:G,CRN!O:O,"")</f>
        <v>0</v>
      </c>
      <c r="O403">
        <f>IF(N403=0,0,_xlfn.XLOOKUP(C403,CLIENT_CODE!B:B,CLIENT_CODE!K:K,0))</f>
        <v>0</v>
      </c>
      <c r="P403">
        <f>_xlfn.XLOOKUP(B403,CRN!G:G,CRN!P:P,"")</f>
        <v>0</v>
      </c>
      <c r="Q403">
        <f>IF(P403=0,0,_xlfn.XLOOKUP(C403,CLIENT_CODE!B:B,CLIENT_CODE!L:L,0))</f>
        <v>0</v>
      </c>
      <c r="R403">
        <f>_xlfn.XLOOKUP(B403,CRN!G:G,CRN!Q:Q,"")</f>
        <v>0</v>
      </c>
      <c r="S403">
        <f>IF(R403=0,0,_xlfn.XLOOKUP(C403,CLIENT_CODE!B:B,CLIENT_CODE!M:M,0))</f>
        <v>0</v>
      </c>
      <c r="T403">
        <f>_xlfn.XLOOKUP(B403,CRN!G:G,CRN!R:R,"")</f>
        <v>0</v>
      </c>
      <c r="U403">
        <f>IF(T403=0,0,_xlfn.XLOOKUP(C403,CLIENT_CODE!B:B,CLIENT_CODE!N:N,0))</f>
        <v>0</v>
      </c>
      <c r="V403">
        <f>_xlfn.XLOOKUP(B403,CRN!G:G,CRN!S:S,"")</f>
        <v>0</v>
      </c>
      <c r="W403">
        <f>IF(V403=0,0,_xlfn.XLOOKUP(C403,CLIENT_CODE!B:B,CLIENT_CODE!O:O,0))</f>
        <v>0</v>
      </c>
      <c r="X403">
        <f>_xlfn.XLOOKUP(B403,CRN!G:G,CRN!T:T,"")</f>
        <v>0</v>
      </c>
      <c r="Y403">
        <f>IF(X403=0,0,_xlfn.XLOOKUP(C403,CLIENT_CODE!B:B,CLIENT_CODE!P:P,0))</f>
        <v>0</v>
      </c>
      <c r="Z403">
        <f>_xlfn.XLOOKUP(B403,CRN!G:G,CRN!U:U,"")</f>
        <v>0</v>
      </c>
      <c r="AA403">
        <f>IF(X403=0,0,_xlfn.XLOOKUP(C403,CLIENT_CODE!B:B,CLIENT_CODE!P:P,0))</f>
        <v>0</v>
      </c>
      <c r="AB403">
        <f>_xlfn.XLOOKUP(B403,CRN!G:G,CRN!V:V,"")</f>
        <v>0</v>
      </c>
      <c r="AC403">
        <f>IF(AB403=0,0,_xlfn.XLOOKUP(C403,CLIENT_CODE!B:B,CLIENT_CODE!R:R,0))</f>
        <v>0</v>
      </c>
      <c r="AD403">
        <f t="shared" si="6"/>
        <v>0</v>
      </c>
    </row>
    <row r="404" spans="1:30">
      <c r="A404" s="42">
        <v>403</v>
      </c>
      <c r="E404">
        <f>IF(D404=0,0,_xlfn.XLOOKUP(C404,CLIENT_CODE!B:B,CLIENT_CODE!F:F,0))</f>
        <v>0</v>
      </c>
      <c r="F404">
        <f>_xlfn.XLOOKUP(B404,CRN!G:G,CRN!K:K,"")</f>
        <v>0</v>
      </c>
      <c r="G404">
        <f>IF(F404=0,0,_xlfn.XLOOKUP(C404,CLIENT_CODE!B:B,CLIENT_CODE!G:G,0))</f>
        <v>0</v>
      </c>
      <c r="H404">
        <f>_xlfn.XLOOKUP(B404,CRN!G:G,CRN!L:L,"")</f>
        <v>0</v>
      </c>
      <c r="I404">
        <f>IF(H404=0,0,_xlfn.XLOOKUP(C404,CLIENT_CODE!B:B,CLIENT_CODE!H:H,0))</f>
        <v>0</v>
      </c>
      <c r="J404">
        <f>_xlfn.XLOOKUP(B404,CRN!G:G,CRN!M:M,"")</f>
        <v>0</v>
      </c>
      <c r="K404">
        <f>IF(J404=0,0,_xlfn.XLOOKUP(C404,CLIENT_CODE!B:B,CLIENT_CODE!I:I,0))</f>
        <v>0</v>
      </c>
      <c r="L404">
        <f>_xlfn.XLOOKUP(B404,CRN!G:G,CRN!N:N,"")</f>
        <v>0</v>
      </c>
      <c r="M404">
        <f>IF(L404=0,0,_xlfn.XLOOKUP(C404,CLIENT_CODE!B:B,CLIENT_CODE!J:J,0))</f>
        <v>0</v>
      </c>
      <c r="N404">
        <f>_xlfn.XLOOKUP(B404,CRN!G:G,CRN!O:O,"")</f>
        <v>0</v>
      </c>
      <c r="O404">
        <f>IF(N404=0,0,_xlfn.XLOOKUP(C404,CLIENT_CODE!B:B,CLIENT_CODE!K:K,0))</f>
        <v>0</v>
      </c>
      <c r="P404">
        <f>_xlfn.XLOOKUP(B404,CRN!G:G,CRN!P:P,"")</f>
        <v>0</v>
      </c>
      <c r="Q404">
        <f>IF(P404=0,0,_xlfn.XLOOKUP(C404,CLIENT_CODE!B:B,CLIENT_CODE!L:L,0))</f>
        <v>0</v>
      </c>
      <c r="R404">
        <f>_xlfn.XLOOKUP(B404,CRN!G:G,CRN!Q:Q,"")</f>
        <v>0</v>
      </c>
      <c r="S404">
        <f>IF(R404=0,0,_xlfn.XLOOKUP(C404,CLIENT_CODE!B:B,CLIENT_CODE!M:M,0))</f>
        <v>0</v>
      </c>
      <c r="T404">
        <f>_xlfn.XLOOKUP(B404,CRN!G:G,CRN!R:R,"")</f>
        <v>0</v>
      </c>
      <c r="U404">
        <f>IF(T404=0,0,_xlfn.XLOOKUP(C404,CLIENT_CODE!B:B,CLIENT_CODE!N:N,0))</f>
        <v>0</v>
      </c>
      <c r="V404">
        <f>_xlfn.XLOOKUP(B404,CRN!G:G,CRN!S:S,"")</f>
        <v>0</v>
      </c>
      <c r="W404">
        <f>IF(V404=0,0,_xlfn.XLOOKUP(C404,CLIENT_CODE!B:B,CLIENT_CODE!O:O,0))</f>
        <v>0</v>
      </c>
      <c r="X404">
        <f>_xlfn.XLOOKUP(B404,CRN!G:G,CRN!T:T,"")</f>
        <v>0</v>
      </c>
      <c r="Y404">
        <f>IF(X404=0,0,_xlfn.XLOOKUP(C404,CLIENT_CODE!B:B,CLIENT_CODE!P:P,0))</f>
        <v>0</v>
      </c>
      <c r="Z404">
        <f>_xlfn.XLOOKUP(B404,CRN!G:G,CRN!U:U,"")</f>
        <v>0</v>
      </c>
      <c r="AA404">
        <f>IF(X404=0,0,_xlfn.XLOOKUP(C404,CLIENT_CODE!B:B,CLIENT_CODE!P:P,0))</f>
        <v>0</v>
      </c>
      <c r="AB404">
        <f>_xlfn.XLOOKUP(B404,CRN!G:G,CRN!V:V,"")</f>
        <v>0</v>
      </c>
      <c r="AC404">
        <f>IF(AB404=0,0,_xlfn.XLOOKUP(C404,CLIENT_CODE!B:B,CLIENT_CODE!R:R,0))</f>
        <v>0</v>
      </c>
      <c r="AD404">
        <f t="shared" si="6"/>
        <v>0</v>
      </c>
    </row>
    <row r="405" spans="1:30">
      <c r="A405" s="42">
        <v>404</v>
      </c>
      <c r="E405">
        <f>IF(D405=0,0,_xlfn.XLOOKUP(C405,CLIENT_CODE!B:B,CLIENT_CODE!F:F,0))</f>
        <v>0</v>
      </c>
      <c r="F405">
        <f>_xlfn.XLOOKUP(B405,CRN!G:G,CRN!K:K,"")</f>
        <v>0</v>
      </c>
      <c r="G405">
        <f>IF(F405=0,0,_xlfn.XLOOKUP(C405,CLIENT_CODE!B:B,CLIENT_CODE!G:G,0))</f>
        <v>0</v>
      </c>
      <c r="H405">
        <f>_xlfn.XLOOKUP(B405,CRN!G:G,CRN!L:L,"")</f>
        <v>0</v>
      </c>
      <c r="I405">
        <f>IF(H405=0,0,_xlfn.XLOOKUP(C405,CLIENT_CODE!B:B,CLIENT_CODE!H:H,0))</f>
        <v>0</v>
      </c>
      <c r="J405">
        <f>_xlfn.XLOOKUP(B405,CRN!G:G,CRN!M:M,"")</f>
        <v>0</v>
      </c>
      <c r="K405">
        <f>IF(J405=0,0,_xlfn.XLOOKUP(C405,CLIENT_CODE!B:B,CLIENT_CODE!I:I,0))</f>
        <v>0</v>
      </c>
      <c r="L405">
        <f>_xlfn.XLOOKUP(B405,CRN!G:G,CRN!N:N,"")</f>
        <v>0</v>
      </c>
      <c r="M405">
        <f>IF(L405=0,0,_xlfn.XLOOKUP(C405,CLIENT_CODE!B:B,CLIENT_CODE!J:J,0))</f>
        <v>0</v>
      </c>
      <c r="N405">
        <f>_xlfn.XLOOKUP(B405,CRN!G:G,CRN!O:O,"")</f>
        <v>0</v>
      </c>
      <c r="O405">
        <f>IF(N405=0,0,_xlfn.XLOOKUP(C405,CLIENT_CODE!B:B,CLIENT_CODE!K:K,0))</f>
        <v>0</v>
      </c>
      <c r="P405">
        <f>_xlfn.XLOOKUP(B405,CRN!G:G,CRN!P:P,"")</f>
        <v>0</v>
      </c>
      <c r="Q405">
        <f>IF(P405=0,0,_xlfn.XLOOKUP(C405,CLIENT_CODE!B:B,CLIENT_CODE!L:L,0))</f>
        <v>0</v>
      </c>
      <c r="R405">
        <f>_xlfn.XLOOKUP(B405,CRN!G:G,CRN!Q:Q,"")</f>
        <v>0</v>
      </c>
      <c r="S405">
        <f>IF(R405=0,0,_xlfn.XLOOKUP(C405,CLIENT_CODE!B:B,CLIENT_CODE!M:M,0))</f>
        <v>0</v>
      </c>
      <c r="T405">
        <f>_xlfn.XLOOKUP(B405,CRN!G:G,CRN!R:R,"")</f>
        <v>0</v>
      </c>
      <c r="U405">
        <f>IF(T405=0,0,_xlfn.XLOOKUP(C405,CLIENT_CODE!B:B,CLIENT_CODE!N:N,0))</f>
        <v>0</v>
      </c>
      <c r="V405">
        <f>_xlfn.XLOOKUP(B405,CRN!G:G,CRN!S:S,"")</f>
        <v>0</v>
      </c>
      <c r="W405">
        <f>IF(V405=0,0,_xlfn.XLOOKUP(C405,CLIENT_CODE!B:B,CLIENT_CODE!O:O,0))</f>
        <v>0</v>
      </c>
      <c r="X405">
        <f>_xlfn.XLOOKUP(B405,CRN!G:G,CRN!T:T,"")</f>
        <v>0</v>
      </c>
      <c r="Y405">
        <f>IF(X405=0,0,_xlfn.XLOOKUP(C405,CLIENT_CODE!B:B,CLIENT_CODE!P:P,0))</f>
        <v>0</v>
      </c>
      <c r="Z405">
        <f>_xlfn.XLOOKUP(B405,CRN!G:G,CRN!U:U,"")</f>
        <v>0</v>
      </c>
      <c r="AA405">
        <f>IF(X405=0,0,_xlfn.XLOOKUP(C405,CLIENT_CODE!B:B,CLIENT_CODE!P:P,0))</f>
        <v>0</v>
      </c>
      <c r="AB405">
        <f>_xlfn.XLOOKUP(B405,CRN!G:G,CRN!V:V,"")</f>
        <v>0</v>
      </c>
      <c r="AC405">
        <f>IF(AB405=0,0,_xlfn.XLOOKUP(C405,CLIENT_CODE!B:B,CLIENT_CODE!R:R,0))</f>
        <v>0</v>
      </c>
      <c r="AD405">
        <f t="shared" si="6"/>
        <v>0</v>
      </c>
    </row>
    <row r="406" spans="1:30">
      <c r="A406" s="42">
        <v>405</v>
      </c>
      <c r="E406">
        <f>IF(D406=0,0,_xlfn.XLOOKUP(C406,CLIENT_CODE!B:B,CLIENT_CODE!F:F,0))</f>
        <v>0</v>
      </c>
      <c r="F406">
        <f>_xlfn.XLOOKUP(B406,CRN!G:G,CRN!K:K,"")</f>
        <v>0</v>
      </c>
      <c r="G406">
        <f>IF(F406=0,0,_xlfn.XLOOKUP(C406,CLIENT_CODE!B:B,CLIENT_CODE!G:G,0))</f>
        <v>0</v>
      </c>
      <c r="H406">
        <f>_xlfn.XLOOKUP(B406,CRN!G:G,CRN!L:L,"")</f>
        <v>0</v>
      </c>
      <c r="I406">
        <f>IF(H406=0,0,_xlfn.XLOOKUP(C406,CLIENT_CODE!B:B,CLIENT_CODE!H:H,0))</f>
        <v>0</v>
      </c>
      <c r="J406">
        <f>_xlfn.XLOOKUP(B406,CRN!G:G,CRN!M:M,"")</f>
        <v>0</v>
      </c>
      <c r="K406">
        <f>IF(J406=0,0,_xlfn.XLOOKUP(C406,CLIENT_CODE!B:B,CLIENT_CODE!I:I,0))</f>
        <v>0</v>
      </c>
      <c r="L406">
        <f>_xlfn.XLOOKUP(B406,CRN!G:G,CRN!N:N,"")</f>
        <v>0</v>
      </c>
      <c r="M406">
        <f>IF(L406=0,0,_xlfn.XLOOKUP(C406,CLIENT_CODE!B:B,CLIENT_CODE!J:J,0))</f>
        <v>0</v>
      </c>
      <c r="N406">
        <f>_xlfn.XLOOKUP(B406,CRN!G:G,CRN!O:O,"")</f>
        <v>0</v>
      </c>
      <c r="O406">
        <f>IF(N406=0,0,_xlfn.XLOOKUP(C406,CLIENT_CODE!B:B,CLIENT_CODE!K:K,0))</f>
        <v>0</v>
      </c>
      <c r="P406">
        <f>_xlfn.XLOOKUP(B406,CRN!G:G,CRN!P:P,"")</f>
        <v>0</v>
      </c>
      <c r="Q406">
        <f>IF(P406=0,0,_xlfn.XLOOKUP(C406,CLIENT_CODE!B:B,CLIENT_CODE!L:L,0))</f>
        <v>0</v>
      </c>
      <c r="R406">
        <f>_xlfn.XLOOKUP(B406,CRN!G:G,CRN!Q:Q,"")</f>
        <v>0</v>
      </c>
      <c r="S406">
        <f>IF(R406=0,0,_xlfn.XLOOKUP(C406,CLIENT_CODE!B:B,CLIENT_CODE!M:M,0))</f>
        <v>0</v>
      </c>
      <c r="T406">
        <f>_xlfn.XLOOKUP(B406,CRN!G:G,CRN!R:R,"")</f>
        <v>0</v>
      </c>
      <c r="U406">
        <f>IF(T406=0,0,_xlfn.XLOOKUP(C406,CLIENT_CODE!B:B,CLIENT_CODE!N:N,0))</f>
        <v>0</v>
      </c>
      <c r="V406">
        <f>_xlfn.XLOOKUP(B406,CRN!G:G,CRN!S:S,"")</f>
        <v>0</v>
      </c>
      <c r="W406">
        <f>IF(V406=0,0,_xlfn.XLOOKUP(C406,CLIENT_CODE!B:B,CLIENT_CODE!O:O,0))</f>
        <v>0</v>
      </c>
      <c r="X406">
        <f>_xlfn.XLOOKUP(B406,CRN!G:G,CRN!T:T,"")</f>
        <v>0</v>
      </c>
      <c r="Y406">
        <f>IF(X406=0,0,_xlfn.XLOOKUP(C406,CLIENT_CODE!B:B,CLIENT_CODE!P:P,0))</f>
        <v>0</v>
      </c>
      <c r="Z406">
        <f>_xlfn.XLOOKUP(B406,CRN!G:G,CRN!U:U,"")</f>
        <v>0</v>
      </c>
      <c r="AA406">
        <f>IF(X406=0,0,_xlfn.XLOOKUP(C406,CLIENT_CODE!B:B,CLIENT_CODE!P:P,0))</f>
        <v>0</v>
      </c>
      <c r="AB406">
        <f>_xlfn.XLOOKUP(B406,CRN!G:G,CRN!V:V,"")</f>
        <v>0</v>
      </c>
      <c r="AC406">
        <f>IF(AB406=0,0,_xlfn.XLOOKUP(C406,CLIENT_CODE!B:B,CLIENT_CODE!R:R,0))</f>
        <v>0</v>
      </c>
      <c r="AD406">
        <f t="shared" si="6"/>
        <v>0</v>
      </c>
    </row>
    <row r="407" spans="1:30">
      <c r="A407" s="42">
        <v>406</v>
      </c>
      <c r="E407">
        <f>IF(D407=0,0,_xlfn.XLOOKUP(C407,CLIENT_CODE!B:B,CLIENT_CODE!F:F,0))</f>
        <v>0</v>
      </c>
      <c r="F407">
        <f>_xlfn.XLOOKUP(B407,CRN!G:G,CRN!K:K,"")</f>
        <v>0</v>
      </c>
      <c r="G407">
        <f>IF(F407=0,0,_xlfn.XLOOKUP(C407,CLIENT_CODE!B:B,CLIENT_CODE!G:G,0))</f>
        <v>0</v>
      </c>
      <c r="H407">
        <f>_xlfn.XLOOKUP(B407,CRN!G:G,CRN!L:L,"")</f>
        <v>0</v>
      </c>
      <c r="I407">
        <f>IF(H407=0,0,_xlfn.XLOOKUP(C407,CLIENT_CODE!B:B,CLIENT_CODE!H:H,0))</f>
        <v>0</v>
      </c>
      <c r="J407">
        <f>_xlfn.XLOOKUP(B407,CRN!G:G,CRN!M:M,"")</f>
        <v>0</v>
      </c>
      <c r="K407">
        <f>IF(J407=0,0,_xlfn.XLOOKUP(C407,CLIENT_CODE!B:B,CLIENT_CODE!I:I,0))</f>
        <v>0</v>
      </c>
      <c r="L407">
        <f>_xlfn.XLOOKUP(B407,CRN!G:G,CRN!N:N,"")</f>
        <v>0</v>
      </c>
      <c r="M407">
        <f>IF(L407=0,0,_xlfn.XLOOKUP(C407,CLIENT_CODE!B:B,CLIENT_CODE!J:J,0))</f>
        <v>0</v>
      </c>
      <c r="N407">
        <f>_xlfn.XLOOKUP(B407,CRN!G:G,CRN!O:O,"")</f>
        <v>0</v>
      </c>
      <c r="O407">
        <f>IF(N407=0,0,_xlfn.XLOOKUP(C407,CLIENT_CODE!B:B,CLIENT_CODE!K:K,0))</f>
        <v>0</v>
      </c>
      <c r="P407">
        <f>_xlfn.XLOOKUP(B407,CRN!G:G,CRN!P:P,"")</f>
        <v>0</v>
      </c>
      <c r="Q407">
        <f>IF(P407=0,0,_xlfn.XLOOKUP(C407,CLIENT_CODE!B:B,CLIENT_CODE!L:L,0))</f>
        <v>0</v>
      </c>
      <c r="R407">
        <f>_xlfn.XLOOKUP(B407,CRN!G:G,CRN!Q:Q,"")</f>
        <v>0</v>
      </c>
      <c r="S407">
        <f>IF(R407=0,0,_xlfn.XLOOKUP(C407,CLIENT_CODE!B:B,CLIENT_CODE!M:M,0))</f>
        <v>0</v>
      </c>
      <c r="T407">
        <f>_xlfn.XLOOKUP(B407,CRN!G:G,CRN!R:R,"")</f>
        <v>0</v>
      </c>
      <c r="U407">
        <f>IF(T407=0,0,_xlfn.XLOOKUP(C407,CLIENT_CODE!B:B,CLIENT_CODE!N:N,0))</f>
        <v>0</v>
      </c>
      <c r="V407">
        <f>_xlfn.XLOOKUP(B407,CRN!G:G,CRN!S:S,"")</f>
        <v>0</v>
      </c>
      <c r="W407">
        <f>IF(V407=0,0,_xlfn.XLOOKUP(C407,CLIENT_CODE!B:B,CLIENT_CODE!O:O,0))</f>
        <v>0</v>
      </c>
      <c r="X407">
        <f>_xlfn.XLOOKUP(B407,CRN!G:G,CRN!T:T,"")</f>
        <v>0</v>
      </c>
      <c r="Y407">
        <f>IF(X407=0,0,_xlfn.XLOOKUP(C407,CLIENT_CODE!B:B,CLIENT_CODE!P:P,0))</f>
        <v>0</v>
      </c>
      <c r="Z407">
        <f>_xlfn.XLOOKUP(B407,CRN!G:G,CRN!U:U,"")</f>
        <v>0</v>
      </c>
      <c r="AA407">
        <f>IF(X407=0,0,_xlfn.XLOOKUP(C407,CLIENT_CODE!B:B,CLIENT_CODE!P:P,0))</f>
        <v>0</v>
      </c>
      <c r="AB407">
        <f>_xlfn.XLOOKUP(B407,CRN!G:G,CRN!V:V,"")</f>
        <v>0</v>
      </c>
      <c r="AC407">
        <f>IF(AB407=0,0,_xlfn.XLOOKUP(C407,CLIENT_CODE!B:B,CLIENT_CODE!R:R,0))</f>
        <v>0</v>
      </c>
      <c r="AD407">
        <f t="shared" si="6"/>
        <v>0</v>
      </c>
    </row>
    <row r="408" spans="1:30">
      <c r="A408" s="42">
        <v>407</v>
      </c>
      <c r="E408">
        <f>IF(D408=0,0,_xlfn.XLOOKUP(C408,CLIENT_CODE!B:B,CLIENT_CODE!F:F,0))</f>
        <v>0</v>
      </c>
      <c r="F408">
        <f>_xlfn.XLOOKUP(B408,CRN!G:G,CRN!K:K,"")</f>
        <v>0</v>
      </c>
      <c r="G408">
        <f>IF(F408=0,0,_xlfn.XLOOKUP(C408,CLIENT_CODE!B:B,CLIENT_CODE!G:G,0))</f>
        <v>0</v>
      </c>
      <c r="H408">
        <f>_xlfn.XLOOKUP(B408,CRN!G:G,CRN!L:L,"")</f>
        <v>0</v>
      </c>
      <c r="I408">
        <f>IF(H408=0,0,_xlfn.XLOOKUP(C408,CLIENT_CODE!B:B,CLIENT_CODE!H:H,0))</f>
        <v>0</v>
      </c>
      <c r="J408">
        <f>_xlfn.XLOOKUP(B408,CRN!G:G,CRN!M:M,"")</f>
        <v>0</v>
      </c>
      <c r="K408">
        <f>IF(J408=0,0,_xlfn.XLOOKUP(C408,CLIENT_CODE!B:B,CLIENT_CODE!I:I,0))</f>
        <v>0</v>
      </c>
      <c r="L408">
        <f>_xlfn.XLOOKUP(B408,CRN!G:G,CRN!N:N,"")</f>
        <v>0</v>
      </c>
      <c r="M408">
        <f>IF(L408=0,0,_xlfn.XLOOKUP(C408,CLIENT_CODE!B:B,CLIENT_CODE!J:J,0))</f>
        <v>0</v>
      </c>
      <c r="N408">
        <f>_xlfn.XLOOKUP(B408,CRN!G:G,CRN!O:O,"")</f>
        <v>0</v>
      </c>
      <c r="O408">
        <f>IF(N408=0,0,_xlfn.XLOOKUP(C408,CLIENT_CODE!B:B,CLIENT_CODE!K:K,0))</f>
        <v>0</v>
      </c>
      <c r="P408">
        <f>_xlfn.XLOOKUP(B408,CRN!G:G,CRN!P:P,"")</f>
        <v>0</v>
      </c>
      <c r="Q408">
        <f>IF(P408=0,0,_xlfn.XLOOKUP(C408,CLIENT_CODE!B:B,CLIENT_CODE!L:L,0))</f>
        <v>0</v>
      </c>
      <c r="R408">
        <f>_xlfn.XLOOKUP(B408,CRN!G:G,CRN!Q:Q,"")</f>
        <v>0</v>
      </c>
      <c r="S408">
        <f>IF(R408=0,0,_xlfn.XLOOKUP(C408,CLIENT_CODE!B:B,CLIENT_CODE!M:M,0))</f>
        <v>0</v>
      </c>
      <c r="T408">
        <f>_xlfn.XLOOKUP(B408,CRN!G:G,CRN!R:R,"")</f>
        <v>0</v>
      </c>
      <c r="U408">
        <f>IF(T408=0,0,_xlfn.XLOOKUP(C408,CLIENT_CODE!B:B,CLIENT_CODE!N:N,0))</f>
        <v>0</v>
      </c>
      <c r="V408">
        <f>_xlfn.XLOOKUP(B408,CRN!G:G,CRN!S:S,"")</f>
        <v>0</v>
      </c>
      <c r="W408">
        <f>IF(V408=0,0,_xlfn.XLOOKUP(C408,CLIENT_CODE!B:B,CLIENT_CODE!O:O,0))</f>
        <v>0</v>
      </c>
      <c r="X408">
        <f>_xlfn.XLOOKUP(B408,CRN!G:G,CRN!T:T,"")</f>
        <v>0</v>
      </c>
      <c r="Y408">
        <f>IF(X408=0,0,_xlfn.XLOOKUP(C408,CLIENT_CODE!B:B,CLIENT_CODE!P:P,0))</f>
        <v>0</v>
      </c>
      <c r="Z408">
        <f>_xlfn.XLOOKUP(B408,CRN!G:G,CRN!U:U,"")</f>
        <v>0</v>
      </c>
      <c r="AA408">
        <f>IF(X408=0,0,_xlfn.XLOOKUP(C408,CLIENT_CODE!B:B,CLIENT_CODE!P:P,0))</f>
        <v>0</v>
      </c>
      <c r="AB408">
        <f>_xlfn.XLOOKUP(B408,CRN!G:G,CRN!V:V,"")</f>
        <v>0</v>
      </c>
      <c r="AC408">
        <f>IF(AB408=0,0,_xlfn.XLOOKUP(C408,CLIENT_CODE!B:B,CLIENT_CODE!R:R,0))</f>
        <v>0</v>
      </c>
      <c r="AD408">
        <f t="shared" si="6"/>
        <v>0</v>
      </c>
    </row>
    <row r="409" spans="1:30">
      <c r="A409" s="42">
        <v>408</v>
      </c>
      <c r="E409">
        <f>IF(D409=0,0,_xlfn.XLOOKUP(C409,CLIENT_CODE!B:B,CLIENT_CODE!F:F,0))</f>
        <v>0</v>
      </c>
      <c r="F409">
        <f>_xlfn.XLOOKUP(B409,CRN!G:G,CRN!K:K,"")</f>
        <v>0</v>
      </c>
      <c r="G409">
        <f>IF(F409=0,0,_xlfn.XLOOKUP(C409,CLIENT_CODE!B:B,CLIENT_CODE!G:G,0))</f>
        <v>0</v>
      </c>
      <c r="H409">
        <f>_xlfn.XLOOKUP(B409,CRN!G:G,CRN!L:L,"")</f>
        <v>0</v>
      </c>
      <c r="I409">
        <f>IF(H409=0,0,_xlfn.XLOOKUP(C409,CLIENT_CODE!B:B,CLIENT_CODE!H:H,0))</f>
        <v>0</v>
      </c>
      <c r="J409">
        <f>_xlfn.XLOOKUP(B409,CRN!G:G,CRN!M:M,"")</f>
        <v>0</v>
      </c>
      <c r="K409">
        <f>IF(J409=0,0,_xlfn.XLOOKUP(C409,CLIENT_CODE!B:B,CLIENT_CODE!I:I,0))</f>
        <v>0</v>
      </c>
      <c r="L409">
        <f>_xlfn.XLOOKUP(B409,CRN!G:G,CRN!N:N,"")</f>
        <v>0</v>
      </c>
      <c r="M409">
        <f>IF(L409=0,0,_xlfn.XLOOKUP(C409,CLIENT_CODE!B:B,CLIENT_CODE!J:J,0))</f>
        <v>0</v>
      </c>
      <c r="N409">
        <f>_xlfn.XLOOKUP(B409,CRN!G:G,CRN!O:O,"")</f>
        <v>0</v>
      </c>
      <c r="O409">
        <f>IF(N409=0,0,_xlfn.XLOOKUP(C409,CLIENT_CODE!B:B,CLIENT_CODE!K:K,0))</f>
        <v>0</v>
      </c>
      <c r="P409">
        <f>_xlfn.XLOOKUP(B409,CRN!G:G,CRN!P:P,"")</f>
        <v>0</v>
      </c>
      <c r="Q409">
        <f>IF(P409=0,0,_xlfn.XLOOKUP(C409,CLIENT_CODE!B:B,CLIENT_CODE!L:L,0))</f>
        <v>0</v>
      </c>
      <c r="R409">
        <f>_xlfn.XLOOKUP(B409,CRN!G:G,CRN!Q:Q,"")</f>
        <v>0</v>
      </c>
      <c r="S409">
        <f>IF(R409=0,0,_xlfn.XLOOKUP(C409,CLIENT_CODE!B:B,CLIENT_CODE!M:M,0))</f>
        <v>0</v>
      </c>
      <c r="T409">
        <f>_xlfn.XLOOKUP(B409,CRN!G:G,CRN!R:R,"")</f>
        <v>0</v>
      </c>
      <c r="U409">
        <f>IF(T409=0,0,_xlfn.XLOOKUP(C409,CLIENT_CODE!B:B,CLIENT_CODE!N:N,0))</f>
        <v>0</v>
      </c>
      <c r="V409">
        <f>_xlfn.XLOOKUP(B409,CRN!G:G,CRN!S:S,"")</f>
        <v>0</v>
      </c>
      <c r="W409">
        <f>IF(V409=0,0,_xlfn.XLOOKUP(C409,CLIENT_CODE!B:B,CLIENT_CODE!O:O,0))</f>
        <v>0</v>
      </c>
      <c r="X409">
        <f>_xlfn.XLOOKUP(B409,CRN!G:G,CRN!T:T,"")</f>
        <v>0</v>
      </c>
      <c r="Y409">
        <f>IF(X409=0,0,_xlfn.XLOOKUP(C409,CLIENT_CODE!B:B,CLIENT_CODE!P:P,0))</f>
        <v>0</v>
      </c>
      <c r="Z409">
        <f>_xlfn.XLOOKUP(B409,CRN!G:G,CRN!U:U,"")</f>
        <v>0</v>
      </c>
      <c r="AA409">
        <f>IF(X409=0,0,_xlfn.XLOOKUP(C409,CLIENT_CODE!B:B,CLIENT_CODE!P:P,0))</f>
        <v>0</v>
      </c>
      <c r="AB409">
        <f>_xlfn.XLOOKUP(B409,CRN!G:G,CRN!V:V,"")</f>
        <v>0</v>
      </c>
      <c r="AC409">
        <f>IF(AB409=0,0,_xlfn.XLOOKUP(C409,CLIENT_CODE!B:B,CLIENT_CODE!R:R,0))</f>
        <v>0</v>
      </c>
      <c r="AD409">
        <f t="shared" si="6"/>
        <v>0</v>
      </c>
    </row>
    <row r="410" spans="1:30">
      <c r="A410" s="42">
        <v>409</v>
      </c>
      <c r="E410">
        <f>IF(D410=0,0,_xlfn.XLOOKUP(C410,CLIENT_CODE!B:B,CLIENT_CODE!F:F,0))</f>
        <v>0</v>
      </c>
      <c r="F410">
        <f>_xlfn.XLOOKUP(B410,CRN!G:G,CRN!K:K,"")</f>
        <v>0</v>
      </c>
      <c r="G410">
        <f>IF(F410=0,0,_xlfn.XLOOKUP(C410,CLIENT_CODE!B:B,CLIENT_CODE!G:G,0))</f>
        <v>0</v>
      </c>
      <c r="H410">
        <f>_xlfn.XLOOKUP(B410,CRN!G:G,CRN!L:L,"")</f>
        <v>0</v>
      </c>
      <c r="I410">
        <f>IF(H410=0,0,_xlfn.XLOOKUP(C410,CLIENT_CODE!B:B,CLIENT_CODE!H:H,0))</f>
        <v>0</v>
      </c>
      <c r="J410">
        <f>_xlfn.XLOOKUP(B410,CRN!G:G,CRN!M:M,"")</f>
        <v>0</v>
      </c>
      <c r="K410">
        <f>IF(J410=0,0,_xlfn.XLOOKUP(C410,CLIENT_CODE!B:B,CLIENT_CODE!I:I,0))</f>
        <v>0</v>
      </c>
      <c r="L410">
        <f>_xlfn.XLOOKUP(B410,CRN!G:G,CRN!N:N,"")</f>
        <v>0</v>
      </c>
      <c r="M410">
        <f>IF(L410=0,0,_xlfn.XLOOKUP(C410,CLIENT_CODE!B:B,CLIENT_CODE!J:J,0))</f>
        <v>0</v>
      </c>
      <c r="N410">
        <f>_xlfn.XLOOKUP(B410,CRN!G:G,CRN!O:O,"")</f>
        <v>0</v>
      </c>
      <c r="O410">
        <f>IF(N410=0,0,_xlfn.XLOOKUP(C410,CLIENT_CODE!B:B,CLIENT_CODE!K:K,0))</f>
        <v>0</v>
      </c>
      <c r="P410">
        <f>_xlfn.XLOOKUP(B410,CRN!G:G,CRN!P:P,"")</f>
        <v>0</v>
      </c>
      <c r="Q410">
        <f>IF(P410=0,0,_xlfn.XLOOKUP(C410,CLIENT_CODE!B:B,CLIENT_CODE!L:L,0))</f>
        <v>0</v>
      </c>
      <c r="R410">
        <f>_xlfn.XLOOKUP(B410,CRN!G:G,CRN!Q:Q,"")</f>
        <v>0</v>
      </c>
      <c r="S410">
        <f>IF(R410=0,0,_xlfn.XLOOKUP(C410,CLIENT_CODE!B:B,CLIENT_CODE!M:M,0))</f>
        <v>0</v>
      </c>
      <c r="T410">
        <f>_xlfn.XLOOKUP(B410,CRN!G:G,CRN!R:R,"")</f>
        <v>0</v>
      </c>
      <c r="U410">
        <f>IF(T410=0,0,_xlfn.XLOOKUP(C410,CLIENT_CODE!B:B,CLIENT_CODE!N:N,0))</f>
        <v>0</v>
      </c>
      <c r="V410">
        <f>_xlfn.XLOOKUP(B410,CRN!G:G,CRN!S:S,"")</f>
        <v>0</v>
      </c>
      <c r="W410">
        <f>IF(V410=0,0,_xlfn.XLOOKUP(C410,CLIENT_CODE!B:B,CLIENT_CODE!O:O,0))</f>
        <v>0</v>
      </c>
      <c r="X410">
        <f>_xlfn.XLOOKUP(B410,CRN!G:G,CRN!T:T,"")</f>
        <v>0</v>
      </c>
      <c r="Y410">
        <f>IF(X410=0,0,_xlfn.XLOOKUP(C410,CLIENT_CODE!B:B,CLIENT_CODE!P:P,0))</f>
        <v>0</v>
      </c>
      <c r="Z410">
        <f>_xlfn.XLOOKUP(B410,CRN!G:G,CRN!U:U,"")</f>
        <v>0</v>
      </c>
      <c r="AA410">
        <f>IF(X410=0,0,_xlfn.XLOOKUP(C410,CLIENT_CODE!B:B,CLIENT_CODE!P:P,0))</f>
        <v>0</v>
      </c>
      <c r="AB410">
        <f>_xlfn.XLOOKUP(B410,CRN!G:G,CRN!V:V,"")</f>
        <v>0</v>
      </c>
      <c r="AC410">
        <f>IF(AB410=0,0,_xlfn.XLOOKUP(C410,CLIENT_CODE!B:B,CLIENT_CODE!R:R,0))</f>
        <v>0</v>
      </c>
      <c r="AD410">
        <f t="shared" si="6"/>
        <v>0</v>
      </c>
    </row>
    <row r="411" spans="1:30">
      <c r="A411" s="42">
        <v>410</v>
      </c>
      <c r="E411">
        <f>IF(D411=0,0,_xlfn.XLOOKUP(C411,CLIENT_CODE!B:B,CLIENT_CODE!F:F,0))</f>
        <v>0</v>
      </c>
      <c r="F411">
        <f>_xlfn.XLOOKUP(B411,CRN!G:G,CRN!K:K,"")</f>
        <v>0</v>
      </c>
      <c r="G411">
        <f>IF(F411=0,0,_xlfn.XLOOKUP(C411,CLIENT_CODE!B:B,CLIENT_CODE!G:G,0))</f>
        <v>0</v>
      </c>
      <c r="H411">
        <f>_xlfn.XLOOKUP(B411,CRN!G:G,CRN!L:L,"")</f>
        <v>0</v>
      </c>
      <c r="I411">
        <f>IF(H411=0,0,_xlfn.XLOOKUP(C411,CLIENT_CODE!B:B,CLIENT_CODE!H:H,0))</f>
        <v>0</v>
      </c>
      <c r="J411">
        <f>_xlfn.XLOOKUP(B411,CRN!G:G,CRN!M:M,"")</f>
        <v>0</v>
      </c>
      <c r="K411">
        <f>IF(J411=0,0,_xlfn.XLOOKUP(C411,CLIENT_CODE!B:B,CLIENT_CODE!I:I,0))</f>
        <v>0</v>
      </c>
      <c r="L411">
        <f>_xlfn.XLOOKUP(B411,CRN!G:G,CRN!N:N,"")</f>
        <v>0</v>
      </c>
      <c r="M411">
        <f>IF(L411=0,0,_xlfn.XLOOKUP(C411,CLIENT_CODE!B:B,CLIENT_CODE!J:J,0))</f>
        <v>0</v>
      </c>
      <c r="N411">
        <f>_xlfn.XLOOKUP(B411,CRN!G:G,CRN!O:O,"")</f>
        <v>0</v>
      </c>
      <c r="O411">
        <f>IF(N411=0,0,_xlfn.XLOOKUP(C411,CLIENT_CODE!B:B,CLIENT_CODE!K:K,0))</f>
        <v>0</v>
      </c>
      <c r="P411">
        <f>_xlfn.XLOOKUP(B411,CRN!G:G,CRN!P:P,"")</f>
        <v>0</v>
      </c>
      <c r="Q411">
        <f>IF(P411=0,0,_xlfn.XLOOKUP(C411,CLIENT_CODE!B:B,CLIENT_CODE!L:L,0))</f>
        <v>0</v>
      </c>
      <c r="R411">
        <f>_xlfn.XLOOKUP(B411,CRN!G:G,CRN!Q:Q,"")</f>
        <v>0</v>
      </c>
      <c r="S411">
        <f>IF(R411=0,0,_xlfn.XLOOKUP(C411,CLIENT_CODE!B:B,CLIENT_CODE!M:M,0))</f>
        <v>0</v>
      </c>
      <c r="T411">
        <f>_xlfn.XLOOKUP(B411,CRN!G:G,CRN!R:R,"")</f>
        <v>0</v>
      </c>
      <c r="U411">
        <f>IF(T411=0,0,_xlfn.XLOOKUP(C411,CLIENT_CODE!B:B,CLIENT_CODE!N:N,0))</f>
        <v>0</v>
      </c>
      <c r="V411">
        <f>_xlfn.XLOOKUP(B411,CRN!G:G,CRN!S:S,"")</f>
        <v>0</v>
      </c>
      <c r="W411">
        <f>IF(V411=0,0,_xlfn.XLOOKUP(C411,CLIENT_CODE!B:B,CLIENT_CODE!O:O,0))</f>
        <v>0</v>
      </c>
      <c r="X411">
        <f>_xlfn.XLOOKUP(B411,CRN!G:G,CRN!T:T,"")</f>
        <v>0</v>
      </c>
      <c r="Y411">
        <f>IF(X411=0,0,_xlfn.XLOOKUP(C411,CLIENT_CODE!B:B,CLIENT_CODE!P:P,0))</f>
        <v>0</v>
      </c>
      <c r="Z411">
        <f>_xlfn.XLOOKUP(B411,CRN!G:G,CRN!U:U,"")</f>
        <v>0</v>
      </c>
      <c r="AA411">
        <f>IF(X411=0,0,_xlfn.XLOOKUP(C411,CLIENT_CODE!B:B,CLIENT_CODE!P:P,0))</f>
        <v>0</v>
      </c>
      <c r="AB411">
        <f>_xlfn.XLOOKUP(B411,CRN!G:G,CRN!V:V,"")</f>
        <v>0</v>
      </c>
      <c r="AC411">
        <f>IF(AB411=0,0,_xlfn.XLOOKUP(C411,CLIENT_CODE!B:B,CLIENT_CODE!R:R,0))</f>
        <v>0</v>
      </c>
      <c r="AD411">
        <f t="shared" si="6"/>
        <v>0</v>
      </c>
    </row>
    <row r="412" spans="1:30">
      <c r="A412" s="42">
        <v>411</v>
      </c>
      <c r="E412">
        <f>IF(D412=0,0,_xlfn.XLOOKUP(C412,CLIENT_CODE!B:B,CLIENT_CODE!F:F,0))</f>
        <v>0</v>
      </c>
      <c r="F412">
        <f>_xlfn.XLOOKUP(B412,CRN!G:G,CRN!K:K,"")</f>
        <v>0</v>
      </c>
      <c r="G412">
        <f>IF(F412=0,0,_xlfn.XLOOKUP(C412,CLIENT_CODE!B:B,CLIENT_CODE!G:G,0))</f>
        <v>0</v>
      </c>
      <c r="H412">
        <f>_xlfn.XLOOKUP(B412,CRN!G:G,CRN!L:L,"")</f>
        <v>0</v>
      </c>
      <c r="I412">
        <f>IF(H412=0,0,_xlfn.XLOOKUP(C412,CLIENT_CODE!B:B,CLIENT_CODE!H:H,0))</f>
        <v>0</v>
      </c>
      <c r="J412">
        <f>_xlfn.XLOOKUP(B412,CRN!G:G,CRN!M:M,"")</f>
        <v>0</v>
      </c>
      <c r="K412">
        <f>IF(J412=0,0,_xlfn.XLOOKUP(C412,CLIENT_CODE!B:B,CLIENT_CODE!I:I,0))</f>
        <v>0</v>
      </c>
      <c r="L412">
        <f>_xlfn.XLOOKUP(B412,CRN!G:G,CRN!N:N,"")</f>
        <v>0</v>
      </c>
      <c r="M412">
        <f>IF(L412=0,0,_xlfn.XLOOKUP(C412,CLIENT_CODE!B:B,CLIENT_CODE!J:J,0))</f>
        <v>0</v>
      </c>
      <c r="N412">
        <f>_xlfn.XLOOKUP(B412,CRN!G:G,CRN!O:O,"")</f>
        <v>0</v>
      </c>
      <c r="O412">
        <f>IF(N412=0,0,_xlfn.XLOOKUP(C412,CLIENT_CODE!B:B,CLIENT_CODE!K:K,0))</f>
        <v>0</v>
      </c>
      <c r="P412">
        <f>_xlfn.XLOOKUP(B412,CRN!G:G,CRN!P:P,"")</f>
        <v>0</v>
      </c>
      <c r="Q412">
        <f>IF(P412=0,0,_xlfn.XLOOKUP(C412,CLIENT_CODE!B:B,CLIENT_CODE!L:L,0))</f>
        <v>0</v>
      </c>
      <c r="R412">
        <f>_xlfn.XLOOKUP(B412,CRN!G:G,CRN!Q:Q,"")</f>
        <v>0</v>
      </c>
      <c r="S412">
        <f>IF(R412=0,0,_xlfn.XLOOKUP(C412,CLIENT_CODE!B:B,CLIENT_CODE!M:M,0))</f>
        <v>0</v>
      </c>
      <c r="T412">
        <f>_xlfn.XLOOKUP(B412,CRN!G:G,CRN!R:R,"")</f>
        <v>0</v>
      </c>
      <c r="U412">
        <f>IF(T412=0,0,_xlfn.XLOOKUP(C412,CLIENT_CODE!B:B,CLIENT_CODE!N:N,0))</f>
        <v>0</v>
      </c>
      <c r="V412">
        <f>_xlfn.XLOOKUP(B412,CRN!G:G,CRN!S:S,"")</f>
        <v>0</v>
      </c>
      <c r="W412">
        <f>IF(V412=0,0,_xlfn.XLOOKUP(C412,CLIENT_CODE!B:B,CLIENT_CODE!O:O,0))</f>
        <v>0</v>
      </c>
      <c r="X412">
        <f>_xlfn.XLOOKUP(B412,CRN!G:G,CRN!T:T,"")</f>
        <v>0</v>
      </c>
      <c r="Y412">
        <f>IF(X412=0,0,_xlfn.XLOOKUP(C412,CLIENT_CODE!B:B,CLIENT_CODE!P:P,0))</f>
        <v>0</v>
      </c>
      <c r="Z412">
        <f>_xlfn.XLOOKUP(B412,CRN!G:G,CRN!U:U,"")</f>
        <v>0</v>
      </c>
      <c r="AA412">
        <f>IF(X412=0,0,_xlfn.XLOOKUP(C412,CLIENT_CODE!B:B,CLIENT_CODE!P:P,0))</f>
        <v>0</v>
      </c>
      <c r="AB412">
        <f>_xlfn.XLOOKUP(B412,CRN!G:G,CRN!V:V,"")</f>
        <v>0</v>
      </c>
      <c r="AC412">
        <f>IF(AB412=0,0,_xlfn.XLOOKUP(C412,CLIENT_CODE!B:B,CLIENT_CODE!R:R,0))</f>
        <v>0</v>
      </c>
      <c r="AD412">
        <f t="shared" si="6"/>
        <v>0</v>
      </c>
    </row>
    <row r="413" spans="1:30">
      <c r="A413" s="42">
        <v>412</v>
      </c>
      <c r="E413">
        <f>IF(D413=0,0,_xlfn.XLOOKUP(C413,CLIENT_CODE!B:B,CLIENT_CODE!F:F,0))</f>
        <v>0</v>
      </c>
      <c r="F413">
        <f>_xlfn.XLOOKUP(B413,CRN!G:G,CRN!K:K,"")</f>
        <v>0</v>
      </c>
      <c r="G413">
        <f>IF(F413=0,0,_xlfn.XLOOKUP(C413,CLIENT_CODE!B:B,CLIENT_CODE!G:G,0))</f>
        <v>0</v>
      </c>
      <c r="H413">
        <f>_xlfn.XLOOKUP(B413,CRN!G:G,CRN!L:L,"")</f>
        <v>0</v>
      </c>
      <c r="I413">
        <f>IF(H413=0,0,_xlfn.XLOOKUP(C413,CLIENT_CODE!B:B,CLIENT_CODE!H:H,0))</f>
        <v>0</v>
      </c>
      <c r="J413">
        <f>_xlfn.XLOOKUP(B413,CRN!G:G,CRN!M:M,"")</f>
        <v>0</v>
      </c>
      <c r="K413">
        <f>IF(J413=0,0,_xlfn.XLOOKUP(C413,CLIENT_CODE!B:B,CLIENT_CODE!I:I,0))</f>
        <v>0</v>
      </c>
      <c r="L413">
        <f>_xlfn.XLOOKUP(B413,CRN!G:G,CRN!N:N,"")</f>
        <v>0</v>
      </c>
      <c r="M413">
        <f>IF(L413=0,0,_xlfn.XLOOKUP(C413,CLIENT_CODE!B:B,CLIENT_CODE!J:J,0))</f>
        <v>0</v>
      </c>
      <c r="N413">
        <f>_xlfn.XLOOKUP(B413,CRN!G:G,CRN!O:O,"")</f>
        <v>0</v>
      </c>
      <c r="O413">
        <f>IF(N413=0,0,_xlfn.XLOOKUP(C413,CLIENT_CODE!B:B,CLIENT_CODE!K:K,0))</f>
        <v>0</v>
      </c>
      <c r="P413">
        <f>_xlfn.XLOOKUP(B413,CRN!G:G,CRN!P:P,"")</f>
        <v>0</v>
      </c>
      <c r="Q413">
        <f>IF(P413=0,0,_xlfn.XLOOKUP(C413,CLIENT_CODE!B:B,CLIENT_CODE!L:L,0))</f>
        <v>0</v>
      </c>
      <c r="R413">
        <f>_xlfn.XLOOKUP(B413,CRN!G:G,CRN!Q:Q,"")</f>
        <v>0</v>
      </c>
      <c r="S413">
        <f>IF(R413=0,0,_xlfn.XLOOKUP(C413,CLIENT_CODE!B:B,CLIENT_CODE!M:M,0))</f>
        <v>0</v>
      </c>
      <c r="T413">
        <f>_xlfn.XLOOKUP(B413,CRN!G:G,CRN!R:R,"")</f>
        <v>0</v>
      </c>
      <c r="U413">
        <f>IF(T413=0,0,_xlfn.XLOOKUP(C413,CLIENT_CODE!B:B,CLIENT_CODE!N:N,0))</f>
        <v>0</v>
      </c>
      <c r="V413">
        <f>_xlfn.XLOOKUP(B413,CRN!G:G,CRN!S:S,"")</f>
        <v>0</v>
      </c>
      <c r="W413">
        <f>IF(V413=0,0,_xlfn.XLOOKUP(C413,CLIENT_CODE!B:B,CLIENT_CODE!O:O,0))</f>
        <v>0</v>
      </c>
      <c r="X413">
        <f>_xlfn.XLOOKUP(B413,CRN!G:G,CRN!T:T,"")</f>
        <v>0</v>
      </c>
      <c r="Y413">
        <f>IF(X413=0,0,_xlfn.XLOOKUP(C413,CLIENT_CODE!B:B,CLIENT_CODE!P:P,0))</f>
        <v>0</v>
      </c>
      <c r="Z413">
        <f>_xlfn.XLOOKUP(B413,CRN!G:G,CRN!U:U,"")</f>
        <v>0</v>
      </c>
      <c r="AA413">
        <f>IF(X413=0,0,_xlfn.XLOOKUP(C413,CLIENT_CODE!B:B,CLIENT_CODE!P:P,0))</f>
        <v>0</v>
      </c>
      <c r="AB413">
        <f>_xlfn.XLOOKUP(B413,CRN!G:G,CRN!V:V,"")</f>
        <v>0</v>
      </c>
      <c r="AC413">
        <f>IF(AB413=0,0,_xlfn.XLOOKUP(C413,CLIENT_CODE!B:B,CLIENT_CODE!R:R,0))</f>
        <v>0</v>
      </c>
      <c r="AD413">
        <f t="shared" si="6"/>
        <v>0</v>
      </c>
    </row>
    <row r="414" spans="1:30">
      <c r="A414" s="42">
        <v>413</v>
      </c>
      <c r="E414">
        <f>IF(D414=0,0,_xlfn.XLOOKUP(C414,CLIENT_CODE!B:B,CLIENT_CODE!F:F,0))</f>
        <v>0</v>
      </c>
      <c r="F414">
        <f>_xlfn.XLOOKUP(B414,CRN!G:G,CRN!K:K,"")</f>
        <v>0</v>
      </c>
      <c r="G414">
        <f>IF(F414=0,0,_xlfn.XLOOKUP(C414,CLIENT_CODE!B:B,CLIENT_CODE!G:G,0))</f>
        <v>0</v>
      </c>
      <c r="H414">
        <f>_xlfn.XLOOKUP(B414,CRN!G:G,CRN!L:L,"")</f>
        <v>0</v>
      </c>
      <c r="I414">
        <f>IF(H414=0,0,_xlfn.XLOOKUP(C414,CLIENT_CODE!B:B,CLIENT_CODE!H:H,0))</f>
        <v>0</v>
      </c>
      <c r="J414">
        <f>_xlfn.XLOOKUP(B414,CRN!G:G,CRN!M:M,"")</f>
        <v>0</v>
      </c>
      <c r="K414">
        <f>IF(J414=0,0,_xlfn.XLOOKUP(C414,CLIENT_CODE!B:B,CLIENT_CODE!I:I,0))</f>
        <v>0</v>
      </c>
      <c r="L414">
        <f>_xlfn.XLOOKUP(B414,CRN!G:G,CRN!N:N,"")</f>
        <v>0</v>
      </c>
      <c r="M414">
        <f>IF(L414=0,0,_xlfn.XLOOKUP(C414,CLIENT_CODE!B:B,CLIENT_CODE!J:J,0))</f>
        <v>0</v>
      </c>
      <c r="N414">
        <f>_xlfn.XLOOKUP(B414,CRN!G:G,CRN!O:O,"")</f>
        <v>0</v>
      </c>
      <c r="O414">
        <f>IF(N414=0,0,_xlfn.XLOOKUP(C414,CLIENT_CODE!B:B,CLIENT_CODE!K:K,0))</f>
        <v>0</v>
      </c>
      <c r="P414">
        <f>_xlfn.XLOOKUP(B414,CRN!G:G,CRN!P:P,"")</f>
        <v>0</v>
      </c>
      <c r="Q414">
        <f>IF(P414=0,0,_xlfn.XLOOKUP(C414,CLIENT_CODE!B:B,CLIENT_CODE!L:L,0))</f>
        <v>0</v>
      </c>
      <c r="R414">
        <f>_xlfn.XLOOKUP(B414,CRN!G:G,CRN!Q:Q,"")</f>
        <v>0</v>
      </c>
      <c r="S414">
        <f>IF(R414=0,0,_xlfn.XLOOKUP(C414,CLIENT_CODE!B:B,CLIENT_CODE!M:M,0))</f>
        <v>0</v>
      </c>
      <c r="T414">
        <f>_xlfn.XLOOKUP(B414,CRN!G:G,CRN!R:R,"")</f>
        <v>0</v>
      </c>
      <c r="U414">
        <f>IF(T414=0,0,_xlfn.XLOOKUP(C414,CLIENT_CODE!B:B,CLIENT_CODE!N:N,0))</f>
        <v>0</v>
      </c>
      <c r="V414">
        <f>_xlfn.XLOOKUP(B414,CRN!G:G,CRN!S:S,"")</f>
        <v>0</v>
      </c>
      <c r="W414">
        <f>IF(V414=0,0,_xlfn.XLOOKUP(C414,CLIENT_CODE!B:B,CLIENT_CODE!O:O,0))</f>
        <v>0</v>
      </c>
      <c r="X414">
        <f>_xlfn.XLOOKUP(B414,CRN!G:G,CRN!T:T,"")</f>
        <v>0</v>
      </c>
      <c r="Y414">
        <f>IF(X414=0,0,_xlfn.XLOOKUP(C414,CLIENT_CODE!B:B,CLIENT_CODE!P:P,0))</f>
        <v>0</v>
      </c>
      <c r="Z414">
        <f>_xlfn.XLOOKUP(B414,CRN!G:G,CRN!U:U,"")</f>
        <v>0</v>
      </c>
      <c r="AA414">
        <f>IF(X414=0,0,_xlfn.XLOOKUP(C414,CLIENT_CODE!B:B,CLIENT_CODE!P:P,0))</f>
        <v>0</v>
      </c>
      <c r="AB414">
        <f>_xlfn.XLOOKUP(B414,CRN!G:G,CRN!V:V,"")</f>
        <v>0</v>
      </c>
      <c r="AC414">
        <f>IF(AB414=0,0,_xlfn.XLOOKUP(C414,CLIENT_CODE!B:B,CLIENT_CODE!R:R,0))</f>
        <v>0</v>
      </c>
      <c r="AD414">
        <f t="shared" si="6"/>
        <v>0</v>
      </c>
    </row>
    <row r="415" spans="1:30">
      <c r="A415" s="42">
        <v>414</v>
      </c>
      <c r="E415">
        <f>IF(D415=0,0,_xlfn.XLOOKUP(C415,CLIENT_CODE!B:B,CLIENT_CODE!F:F,0))</f>
        <v>0</v>
      </c>
      <c r="F415">
        <f>_xlfn.XLOOKUP(B415,CRN!G:G,CRN!K:K,"")</f>
        <v>0</v>
      </c>
      <c r="G415">
        <f>IF(F415=0,0,_xlfn.XLOOKUP(C415,CLIENT_CODE!B:B,CLIENT_CODE!G:G,0))</f>
        <v>0</v>
      </c>
      <c r="H415">
        <f>_xlfn.XLOOKUP(B415,CRN!G:G,CRN!L:L,"")</f>
        <v>0</v>
      </c>
      <c r="I415">
        <f>IF(H415=0,0,_xlfn.XLOOKUP(C415,CLIENT_CODE!B:B,CLIENT_CODE!H:H,0))</f>
        <v>0</v>
      </c>
      <c r="J415">
        <f>_xlfn.XLOOKUP(B415,CRN!G:G,CRN!M:M,"")</f>
        <v>0</v>
      </c>
      <c r="K415">
        <f>IF(J415=0,0,_xlfn.XLOOKUP(C415,CLIENT_CODE!B:B,CLIENT_CODE!I:I,0))</f>
        <v>0</v>
      </c>
      <c r="L415">
        <f>_xlfn.XLOOKUP(B415,CRN!G:G,CRN!N:N,"")</f>
        <v>0</v>
      </c>
      <c r="M415">
        <f>IF(L415=0,0,_xlfn.XLOOKUP(C415,CLIENT_CODE!B:B,CLIENT_CODE!J:J,0))</f>
        <v>0</v>
      </c>
      <c r="N415">
        <f>_xlfn.XLOOKUP(B415,CRN!G:G,CRN!O:O,"")</f>
        <v>0</v>
      </c>
      <c r="O415">
        <f>IF(N415=0,0,_xlfn.XLOOKUP(C415,CLIENT_CODE!B:B,CLIENT_CODE!K:K,0))</f>
        <v>0</v>
      </c>
      <c r="P415">
        <f>_xlfn.XLOOKUP(B415,CRN!G:G,CRN!P:P,"")</f>
        <v>0</v>
      </c>
      <c r="Q415">
        <f>IF(P415=0,0,_xlfn.XLOOKUP(C415,CLIENT_CODE!B:B,CLIENT_CODE!L:L,0))</f>
        <v>0</v>
      </c>
      <c r="R415">
        <f>_xlfn.XLOOKUP(B415,CRN!G:G,CRN!Q:Q,"")</f>
        <v>0</v>
      </c>
      <c r="S415">
        <f>IF(R415=0,0,_xlfn.XLOOKUP(C415,CLIENT_CODE!B:B,CLIENT_CODE!M:M,0))</f>
        <v>0</v>
      </c>
      <c r="T415">
        <f>_xlfn.XLOOKUP(B415,CRN!G:G,CRN!R:R,"")</f>
        <v>0</v>
      </c>
      <c r="U415">
        <f>IF(T415=0,0,_xlfn.XLOOKUP(C415,CLIENT_CODE!B:B,CLIENT_CODE!N:N,0))</f>
        <v>0</v>
      </c>
      <c r="V415">
        <f>_xlfn.XLOOKUP(B415,CRN!G:G,CRN!S:S,"")</f>
        <v>0</v>
      </c>
      <c r="W415">
        <f>IF(V415=0,0,_xlfn.XLOOKUP(C415,CLIENT_CODE!B:B,CLIENT_CODE!O:O,0))</f>
        <v>0</v>
      </c>
      <c r="X415">
        <f>_xlfn.XLOOKUP(B415,CRN!G:G,CRN!T:T,"")</f>
        <v>0</v>
      </c>
      <c r="Y415">
        <f>IF(X415=0,0,_xlfn.XLOOKUP(C415,CLIENT_CODE!B:B,CLIENT_CODE!P:P,0))</f>
        <v>0</v>
      </c>
      <c r="Z415">
        <f>_xlfn.XLOOKUP(B415,CRN!G:G,CRN!U:U,"")</f>
        <v>0</v>
      </c>
      <c r="AA415">
        <f>IF(X415=0,0,_xlfn.XLOOKUP(C415,CLIENT_CODE!B:B,CLIENT_CODE!P:P,0))</f>
        <v>0</v>
      </c>
      <c r="AB415">
        <f>_xlfn.XLOOKUP(B415,CRN!G:G,CRN!V:V,"")</f>
        <v>0</v>
      </c>
      <c r="AC415">
        <f>IF(AB415=0,0,_xlfn.XLOOKUP(C415,CLIENT_CODE!B:B,CLIENT_CODE!R:R,0))</f>
        <v>0</v>
      </c>
      <c r="AD415">
        <f t="shared" si="6"/>
        <v>0</v>
      </c>
    </row>
    <row r="416" spans="1:30">
      <c r="A416" s="42">
        <v>415</v>
      </c>
      <c r="E416">
        <f>IF(D416=0,0,_xlfn.XLOOKUP(C416,CLIENT_CODE!B:B,CLIENT_CODE!F:F,0))</f>
        <v>0</v>
      </c>
      <c r="F416">
        <f>_xlfn.XLOOKUP(B416,CRN!G:G,CRN!K:K,"")</f>
        <v>0</v>
      </c>
      <c r="G416">
        <f>IF(F416=0,0,_xlfn.XLOOKUP(C416,CLIENT_CODE!B:B,CLIENT_CODE!G:G,0))</f>
        <v>0</v>
      </c>
      <c r="H416">
        <f>_xlfn.XLOOKUP(B416,CRN!G:G,CRN!L:L,"")</f>
        <v>0</v>
      </c>
      <c r="I416">
        <f>IF(H416=0,0,_xlfn.XLOOKUP(C416,CLIENT_CODE!B:B,CLIENT_CODE!H:H,0))</f>
        <v>0</v>
      </c>
      <c r="J416">
        <f>_xlfn.XLOOKUP(B416,CRN!G:G,CRN!M:M,"")</f>
        <v>0</v>
      </c>
      <c r="K416">
        <f>IF(J416=0,0,_xlfn.XLOOKUP(C416,CLIENT_CODE!B:B,CLIENT_CODE!I:I,0))</f>
        <v>0</v>
      </c>
      <c r="L416">
        <f>_xlfn.XLOOKUP(B416,CRN!G:G,CRN!N:N,"")</f>
        <v>0</v>
      </c>
      <c r="M416">
        <f>IF(L416=0,0,_xlfn.XLOOKUP(C416,CLIENT_CODE!B:B,CLIENT_CODE!J:J,0))</f>
        <v>0</v>
      </c>
      <c r="N416">
        <f>_xlfn.XLOOKUP(B416,CRN!G:G,CRN!O:O,"")</f>
        <v>0</v>
      </c>
      <c r="O416">
        <f>IF(N416=0,0,_xlfn.XLOOKUP(C416,CLIENT_CODE!B:B,CLIENT_CODE!K:K,0))</f>
        <v>0</v>
      </c>
      <c r="P416">
        <f>_xlfn.XLOOKUP(B416,CRN!G:G,CRN!P:P,"")</f>
        <v>0</v>
      </c>
      <c r="Q416">
        <f>IF(P416=0,0,_xlfn.XLOOKUP(C416,CLIENT_CODE!B:B,CLIENT_CODE!L:L,0))</f>
        <v>0</v>
      </c>
      <c r="R416">
        <f>_xlfn.XLOOKUP(B416,CRN!G:G,CRN!Q:Q,"")</f>
        <v>0</v>
      </c>
      <c r="S416">
        <f>IF(R416=0,0,_xlfn.XLOOKUP(C416,CLIENT_CODE!B:B,CLIENT_CODE!M:M,0))</f>
        <v>0</v>
      </c>
      <c r="T416">
        <f>_xlfn.XLOOKUP(B416,CRN!G:G,CRN!R:R,"")</f>
        <v>0</v>
      </c>
      <c r="U416">
        <f>IF(T416=0,0,_xlfn.XLOOKUP(C416,CLIENT_CODE!B:B,CLIENT_CODE!N:N,0))</f>
        <v>0</v>
      </c>
      <c r="V416">
        <f>_xlfn.XLOOKUP(B416,CRN!G:G,CRN!S:S,"")</f>
        <v>0</v>
      </c>
      <c r="W416">
        <f>IF(V416=0,0,_xlfn.XLOOKUP(C416,CLIENT_CODE!B:B,CLIENT_CODE!O:O,0))</f>
        <v>0</v>
      </c>
      <c r="X416">
        <f>_xlfn.XLOOKUP(B416,CRN!G:G,CRN!T:T,"")</f>
        <v>0</v>
      </c>
      <c r="Y416">
        <f>IF(X416=0,0,_xlfn.XLOOKUP(C416,CLIENT_CODE!B:B,CLIENT_CODE!P:P,0))</f>
        <v>0</v>
      </c>
      <c r="Z416">
        <f>_xlfn.XLOOKUP(B416,CRN!G:G,CRN!U:U,"")</f>
        <v>0</v>
      </c>
      <c r="AA416">
        <f>IF(X416=0,0,_xlfn.XLOOKUP(C416,CLIENT_CODE!B:B,CLIENT_CODE!P:P,0))</f>
        <v>0</v>
      </c>
      <c r="AB416">
        <f>_xlfn.XLOOKUP(B416,CRN!G:G,CRN!V:V,"")</f>
        <v>0</v>
      </c>
      <c r="AC416">
        <f>IF(AB416=0,0,_xlfn.XLOOKUP(C416,CLIENT_CODE!B:B,CLIENT_CODE!R:R,0))</f>
        <v>0</v>
      </c>
      <c r="AD416">
        <f t="shared" si="6"/>
        <v>0</v>
      </c>
    </row>
    <row r="417" spans="1:30">
      <c r="A417" s="42">
        <v>416</v>
      </c>
      <c r="E417">
        <f>IF(D417=0,0,_xlfn.XLOOKUP(C417,CLIENT_CODE!B:B,CLIENT_CODE!F:F,0))</f>
        <v>0</v>
      </c>
      <c r="F417">
        <f>_xlfn.XLOOKUP(B417,CRN!G:G,CRN!K:K,"")</f>
        <v>0</v>
      </c>
      <c r="G417">
        <f>IF(F417=0,0,_xlfn.XLOOKUP(C417,CLIENT_CODE!B:B,CLIENT_CODE!G:G,0))</f>
        <v>0</v>
      </c>
      <c r="H417">
        <f>_xlfn.XLOOKUP(B417,CRN!G:G,CRN!L:L,"")</f>
        <v>0</v>
      </c>
      <c r="I417">
        <f>IF(H417=0,0,_xlfn.XLOOKUP(C417,CLIENT_CODE!B:B,CLIENT_CODE!H:H,0))</f>
        <v>0</v>
      </c>
      <c r="J417">
        <f>_xlfn.XLOOKUP(B417,CRN!G:G,CRN!M:M,"")</f>
        <v>0</v>
      </c>
      <c r="K417">
        <f>IF(J417=0,0,_xlfn.XLOOKUP(C417,CLIENT_CODE!B:B,CLIENT_CODE!I:I,0))</f>
        <v>0</v>
      </c>
      <c r="L417">
        <f>_xlfn.XLOOKUP(B417,CRN!G:G,CRN!N:N,"")</f>
        <v>0</v>
      </c>
      <c r="M417">
        <f>IF(L417=0,0,_xlfn.XLOOKUP(C417,CLIENT_CODE!B:B,CLIENT_CODE!J:J,0))</f>
        <v>0</v>
      </c>
      <c r="N417">
        <f>_xlfn.XLOOKUP(B417,CRN!G:G,CRN!O:O,"")</f>
        <v>0</v>
      </c>
      <c r="O417">
        <f>IF(N417=0,0,_xlfn.XLOOKUP(C417,CLIENT_CODE!B:B,CLIENT_CODE!K:K,0))</f>
        <v>0</v>
      </c>
      <c r="P417">
        <f>_xlfn.XLOOKUP(B417,CRN!G:G,CRN!P:P,"")</f>
        <v>0</v>
      </c>
      <c r="Q417">
        <f>IF(P417=0,0,_xlfn.XLOOKUP(C417,CLIENT_CODE!B:B,CLIENT_CODE!L:L,0))</f>
        <v>0</v>
      </c>
      <c r="R417">
        <f>_xlfn.XLOOKUP(B417,CRN!G:G,CRN!Q:Q,"")</f>
        <v>0</v>
      </c>
      <c r="S417">
        <f>IF(R417=0,0,_xlfn.XLOOKUP(C417,CLIENT_CODE!B:B,CLIENT_CODE!M:M,0))</f>
        <v>0</v>
      </c>
      <c r="T417">
        <f>_xlfn.XLOOKUP(B417,CRN!G:G,CRN!R:R,"")</f>
        <v>0</v>
      </c>
      <c r="U417">
        <f>IF(T417=0,0,_xlfn.XLOOKUP(C417,CLIENT_CODE!B:B,CLIENT_CODE!N:N,0))</f>
        <v>0</v>
      </c>
      <c r="V417">
        <f>_xlfn.XLOOKUP(B417,CRN!G:G,CRN!S:S,"")</f>
        <v>0</v>
      </c>
      <c r="W417">
        <f>IF(V417=0,0,_xlfn.XLOOKUP(C417,CLIENT_CODE!B:B,CLIENT_CODE!O:O,0))</f>
        <v>0</v>
      </c>
      <c r="X417">
        <f>_xlfn.XLOOKUP(B417,CRN!G:G,CRN!T:T,"")</f>
        <v>0</v>
      </c>
      <c r="Y417">
        <f>IF(X417=0,0,_xlfn.XLOOKUP(C417,CLIENT_CODE!B:B,CLIENT_CODE!P:P,0))</f>
        <v>0</v>
      </c>
      <c r="Z417">
        <f>_xlfn.XLOOKUP(B417,CRN!G:G,CRN!U:U,"")</f>
        <v>0</v>
      </c>
      <c r="AA417">
        <f>IF(X417=0,0,_xlfn.XLOOKUP(C417,CLIENT_CODE!B:B,CLIENT_CODE!P:P,0))</f>
        <v>0</v>
      </c>
      <c r="AB417">
        <f>_xlfn.XLOOKUP(B417,CRN!G:G,CRN!V:V,"")</f>
        <v>0</v>
      </c>
      <c r="AC417">
        <f>IF(AB417=0,0,_xlfn.XLOOKUP(C417,CLIENT_CODE!B:B,CLIENT_CODE!R:R,0))</f>
        <v>0</v>
      </c>
      <c r="AD417">
        <f t="shared" si="6"/>
        <v>0</v>
      </c>
    </row>
    <row r="418" spans="1:30">
      <c r="A418" s="42">
        <v>417</v>
      </c>
      <c r="E418">
        <f>IF(D418=0,0,_xlfn.XLOOKUP(C418,CLIENT_CODE!B:B,CLIENT_CODE!F:F,0))</f>
        <v>0</v>
      </c>
      <c r="F418">
        <f>_xlfn.XLOOKUP(B418,CRN!G:G,CRN!K:K,"")</f>
        <v>0</v>
      </c>
      <c r="G418">
        <f>IF(F418=0,0,_xlfn.XLOOKUP(C418,CLIENT_CODE!B:B,CLIENT_CODE!G:G,0))</f>
        <v>0</v>
      </c>
      <c r="H418">
        <f>_xlfn.XLOOKUP(B418,CRN!G:G,CRN!L:L,"")</f>
        <v>0</v>
      </c>
      <c r="I418">
        <f>IF(H418=0,0,_xlfn.XLOOKUP(C418,CLIENT_CODE!B:B,CLIENT_CODE!H:H,0))</f>
        <v>0</v>
      </c>
      <c r="J418">
        <f>_xlfn.XLOOKUP(B418,CRN!G:G,CRN!M:M,"")</f>
        <v>0</v>
      </c>
      <c r="K418">
        <f>IF(J418=0,0,_xlfn.XLOOKUP(C418,CLIENT_CODE!B:B,CLIENT_CODE!I:I,0))</f>
        <v>0</v>
      </c>
      <c r="L418">
        <f>_xlfn.XLOOKUP(B418,CRN!G:G,CRN!N:N,"")</f>
        <v>0</v>
      </c>
      <c r="M418">
        <f>IF(L418=0,0,_xlfn.XLOOKUP(C418,CLIENT_CODE!B:B,CLIENT_CODE!J:J,0))</f>
        <v>0</v>
      </c>
      <c r="N418">
        <f>_xlfn.XLOOKUP(B418,CRN!G:G,CRN!O:O,"")</f>
        <v>0</v>
      </c>
      <c r="O418">
        <f>IF(N418=0,0,_xlfn.XLOOKUP(C418,CLIENT_CODE!B:B,CLIENT_CODE!K:K,0))</f>
        <v>0</v>
      </c>
      <c r="P418">
        <f>_xlfn.XLOOKUP(B418,CRN!G:G,CRN!P:P,"")</f>
        <v>0</v>
      </c>
      <c r="Q418">
        <f>IF(P418=0,0,_xlfn.XLOOKUP(C418,CLIENT_CODE!B:B,CLIENT_CODE!L:L,0))</f>
        <v>0</v>
      </c>
      <c r="R418">
        <f>_xlfn.XLOOKUP(B418,CRN!G:G,CRN!Q:Q,"")</f>
        <v>0</v>
      </c>
      <c r="S418">
        <f>IF(R418=0,0,_xlfn.XLOOKUP(C418,CLIENT_CODE!B:B,CLIENT_CODE!M:M,0))</f>
        <v>0</v>
      </c>
      <c r="T418">
        <f>_xlfn.XLOOKUP(B418,CRN!G:G,CRN!R:R,"")</f>
        <v>0</v>
      </c>
      <c r="U418">
        <f>IF(T418=0,0,_xlfn.XLOOKUP(C418,CLIENT_CODE!B:B,CLIENT_CODE!N:N,0))</f>
        <v>0</v>
      </c>
      <c r="V418">
        <f>_xlfn.XLOOKUP(B418,CRN!G:G,CRN!S:S,"")</f>
        <v>0</v>
      </c>
      <c r="W418">
        <f>IF(V418=0,0,_xlfn.XLOOKUP(C418,CLIENT_CODE!B:B,CLIENT_CODE!O:O,0))</f>
        <v>0</v>
      </c>
      <c r="X418">
        <f>_xlfn.XLOOKUP(B418,CRN!G:G,CRN!T:T,"")</f>
        <v>0</v>
      </c>
      <c r="Y418">
        <f>IF(X418=0,0,_xlfn.XLOOKUP(C418,CLIENT_CODE!B:B,CLIENT_CODE!P:P,0))</f>
        <v>0</v>
      </c>
      <c r="Z418">
        <f>_xlfn.XLOOKUP(B418,CRN!G:G,CRN!U:U,"")</f>
        <v>0</v>
      </c>
      <c r="AA418">
        <f>IF(X418=0,0,_xlfn.XLOOKUP(C418,CLIENT_CODE!B:B,CLIENT_CODE!P:P,0))</f>
        <v>0</v>
      </c>
      <c r="AB418">
        <f>_xlfn.XLOOKUP(B418,CRN!G:G,CRN!V:V,"")</f>
        <v>0</v>
      </c>
      <c r="AC418">
        <f>IF(AB418=0,0,_xlfn.XLOOKUP(C418,CLIENT_CODE!B:B,CLIENT_CODE!R:R,0))</f>
        <v>0</v>
      </c>
      <c r="AD418">
        <f t="shared" si="6"/>
        <v>0</v>
      </c>
    </row>
    <row r="419" spans="1:30">
      <c r="A419" s="42">
        <v>418</v>
      </c>
      <c r="E419">
        <f>IF(D419=0,0,_xlfn.XLOOKUP(C419,CLIENT_CODE!B:B,CLIENT_CODE!F:F,0))</f>
        <v>0</v>
      </c>
      <c r="F419">
        <f>_xlfn.XLOOKUP(B419,CRN!G:G,CRN!K:K,"")</f>
        <v>0</v>
      </c>
      <c r="G419">
        <f>IF(F419=0,0,_xlfn.XLOOKUP(C419,CLIENT_CODE!B:B,CLIENT_CODE!G:G,0))</f>
        <v>0</v>
      </c>
      <c r="H419">
        <f>_xlfn.XLOOKUP(B419,CRN!G:G,CRN!L:L,"")</f>
        <v>0</v>
      </c>
      <c r="I419">
        <f>IF(H419=0,0,_xlfn.XLOOKUP(C419,CLIENT_CODE!B:B,CLIENT_CODE!H:H,0))</f>
        <v>0</v>
      </c>
      <c r="J419">
        <f>_xlfn.XLOOKUP(B419,CRN!G:G,CRN!M:M,"")</f>
        <v>0</v>
      </c>
      <c r="K419">
        <f>IF(J419=0,0,_xlfn.XLOOKUP(C419,CLIENT_CODE!B:B,CLIENT_CODE!I:I,0))</f>
        <v>0</v>
      </c>
      <c r="L419">
        <f>_xlfn.XLOOKUP(B419,CRN!G:G,CRN!N:N,"")</f>
        <v>0</v>
      </c>
      <c r="M419">
        <f>IF(L419=0,0,_xlfn.XLOOKUP(C419,CLIENT_CODE!B:B,CLIENT_CODE!J:J,0))</f>
        <v>0</v>
      </c>
      <c r="N419">
        <f>_xlfn.XLOOKUP(B419,CRN!G:G,CRN!O:O,"")</f>
        <v>0</v>
      </c>
      <c r="O419">
        <f>IF(N419=0,0,_xlfn.XLOOKUP(C419,CLIENT_CODE!B:B,CLIENT_CODE!K:K,0))</f>
        <v>0</v>
      </c>
      <c r="P419">
        <f>_xlfn.XLOOKUP(B419,CRN!G:G,CRN!P:P,"")</f>
        <v>0</v>
      </c>
      <c r="Q419">
        <f>IF(P419=0,0,_xlfn.XLOOKUP(C419,CLIENT_CODE!B:B,CLIENT_CODE!L:L,0))</f>
        <v>0</v>
      </c>
      <c r="R419">
        <f>_xlfn.XLOOKUP(B419,CRN!G:G,CRN!Q:Q,"")</f>
        <v>0</v>
      </c>
      <c r="S419">
        <f>IF(R419=0,0,_xlfn.XLOOKUP(C419,CLIENT_CODE!B:B,CLIENT_CODE!M:M,0))</f>
        <v>0</v>
      </c>
      <c r="T419">
        <f>_xlfn.XLOOKUP(B419,CRN!G:G,CRN!R:R,"")</f>
        <v>0</v>
      </c>
      <c r="U419">
        <f>IF(T419=0,0,_xlfn.XLOOKUP(C419,CLIENT_CODE!B:B,CLIENT_CODE!N:N,0))</f>
        <v>0</v>
      </c>
      <c r="V419">
        <f>_xlfn.XLOOKUP(B419,CRN!G:G,CRN!S:S,"")</f>
        <v>0</v>
      </c>
      <c r="W419">
        <f>IF(V419=0,0,_xlfn.XLOOKUP(C419,CLIENT_CODE!B:B,CLIENT_CODE!O:O,0))</f>
        <v>0</v>
      </c>
      <c r="X419">
        <f>_xlfn.XLOOKUP(B419,CRN!G:G,CRN!T:T,"")</f>
        <v>0</v>
      </c>
      <c r="Y419">
        <f>IF(X419=0,0,_xlfn.XLOOKUP(C419,CLIENT_CODE!B:B,CLIENT_CODE!P:P,0))</f>
        <v>0</v>
      </c>
      <c r="Z419">
        <f>_xlfn.XLOOKUP(B419,CRN!G:G,CRN!U:U,"")</f>
        <v>0</v>
      </c>
      <c r="AA419">
        <f>IF(X419=0,0,_xlfn.XLOOKUP(C419,CLIENT_CODE!B:B,CLIENT_CODE!P:P,0))</f>
        <v>0</v>
      </c>
      <c r="AB419">
        <f>_xlfn.XLOOKUP(B419,CRN!G:G,CRN!V:V,"")</f>
        <v>0</v>
      </c>
      <c r="AC419">
        <f>IF(AB419=0,0,_xlfn.XLOOKUP(C419,CLIENT_CODE!B:B,CLIENT_CODE!R:R,0))</f>
        <v>0</v>
      </c>
      <c r="AD419">
        <f t="shared" si="6"/>
        <v>0</v>
      </c>
    </row>
    <row r="420" spans="1:30">
      <c r="A420" s="42">
        <v>419</v>
      </c>
      <c r="E420">
        <f>IF(D420=0,0,_xlfn.XLOOKUP(C420,CLIENT_CODE!B:B,CLIENT_CODE!F:F,0))</f>
        <v>0</v>
      </c>
      <c r="F420">
        <f>_xlfn.XLOOKUP(B420,CRN!G:G,CRN!K:K,"")</f>
        <v>0</v>
      </c>
      <c r="G420">
        <f>IF(F420=0,0,_xlfn.XLOOKUP(C420,CLIENT_CODE!B:B,CLIENT_CODE!G:G,0))</f>
        <v>0</v>
      </c>
      <c r="H420">
        <f>_xlfn.XLOOKUP(B420,CRN!G:G,CRN!L:L,"")</f>
        <v>0</v>
      </c>
      <c r="I420">
        <f>IF(H420=0,0,_xlfn.XLOOKUP(C420,CLIENT_CODE!B:B,CLIENT_CODE!H:H,0))</f>
        <v>0</v>
      </c>
      <c r="J420">
        <f>_xlfn.XLOOKUP(B420,CRN!G:G,CRN!M:M,"")</f>
        <v>0</v>
      </c>
      <c r="K420">
        <f>IF(J420=0,0,_xlfn.XLOOKUP(C420,CLIENT_CODE!B:B,CLIENT_CODE!I:I,0))</f>
        <v>0</v>
      </c>
      <c r="L420">
        <f>_xlfn.XLOOKUP(B420,CRN!G:G,CRN!N:N,"")</f>
        <v>0</v>
      </c>
      <c r="M420">
        <f>IF(L420=0,0,_xlfn.XLOOKUP(C420,CLIENT_CODE!B:B,CLIENT_CODE!J:J,0))</f>
        <v>0</v>
      </c>
      <c r="N420">
        <f>_xlfn.XLOOKUP(B420,CRN!G:G,CRN!O:O,"")</f>
        <v>0</v>
      </c>
      <c r="O420">
        <f>IF(N420=0,0,_xlfn.XLOOKUP(C420,CLIENT_CODE!B:B,CLIENT_CODE!K:K,0))</f>
        <v>0</v>
      </c>
      <c r="P420">
        <f>_xlfn.XLOOKUP(B420,CRN!G:G,CRN!P:P,"")</f>
        <v>0</v>
      </c>
      <c r="Q420">
        <f>IF(P420=0,0,_xlfn.XLOOKUP(C420,CLIENT_CODE!B:B,CLIENT_CODE!L:L,0))</f>
        <v>0</v>
      </c>
      <c r="R420">
        <f>_xlfn.XLOOKUP(B420,CRN!G:G,CRN!Q:Q,"")</f>
        <v>0</v>
      </c>
      <c r="S420">
        <f>IF(R420=0,0,_xlfn.XLOOKUP(C420,CLIENT_CODE!B:B,CLIENT_CODE!M:M,0))</f>
        <v>0</v>
      </c>
      <c r="T420">
        <f>_xlfn.XLOOKUP(B420,CRN!G:G,CRN!R:R,"")</f>
        <v>0</v>
      </c>
      <c r="U420">
        <f>IF(T420=0,0,_xlfn.XLOOKUP(C420,CLIENT_CODE!B:B,CLIENT_CODE!N:N,0))</f>
        <v>0</v>
      </c>
      <c r="V420">
        <f>_xlfn.XLOOKUP(B420,CRN!G:G,CRN!S:S,"")</f>
        <v>0</v>
      </c>
      <c r="W420">
        <f>IF(V420=0,0,_xlfn.XLOOKUP(C420,CLIENT_CODE!B:B,CLIENT_CODE!O:O,0))</f>
        <v>0</v>
      </c>
      <c r="X420">
        <f>_xlfn.XLOOKUP(B420,CRN!G:G,CRN!T:T,"")</f>
        <v>0</v>
      </c>
      <c r="Y420">
        <f>IF(X420=0,0,_xlfn.XLOOKUP(C420,CLIENT_CODE!B:B,CLIENT_CODE!P:P,0))</f>
        <v>0</v>
      </c>
      <c r="Z420">
        <f>_xlfn.XLOOKUP(B420,CRN!G:G,CRN!U:U,"")</f>
        <v>0</v>
      </c>
      <c r="AA420">
        <f>IF(X420=0,0,_xlfn.XLOOKUP(C420,CLIENT_CODE!B:B,CLIENT_CODE!P:P,0))</f>
        <v>0</v>
      </c>
      <c r="AB420">
        <f>_xlfn.XLOOKUP(B420,CRN!G:G,CRN!V:V,"")</f>
        <v>0</v>
      </c>
      <c r="AC420">
        <f>IF(AB420=0,0,_xlfn.XLOOKUP(C420,CLIENT_CODE!B:B,CLIENT_CODE!R:R,0))</f>
        <v>0</v>
      </c>
      <c r="AD420">
        <f t="shared" si="6"/>
        <v>0</v>
      </c>
    </row>
    <row r="421" spans="1:30">
      <c r="A421" s="42">
        <v>420</v>
      </c>
      <c r="E421">
        <f>IF(D421=0,0,_xlfn.XLOOKUP(C421,CLIENT_CODE!B:B,CLIENT_CODE!F:F,0))</f>
        <v>0</v>
      </c>
      <c r="F421">
        <f>_xlfn.XLOOKUP(B421,CRN!G:G,CRN!K:K,"")</f>
        <v>0</v>
      </c>
      <c r="G421">
        <f>IF(F421=0,0,_xlfn.XLOOKUP(C421,CLIENT_CODE!B:B,CLIENT_CODE!G:G,0))</f>
        <v>0</v>
      </c>
      <c r="H421">
        <f>_xlfn.XLOOKUP(B421,CRN!G:G,CRN!L:L,"")</f>
        <v>0</v>
      </c>
      <c r="I421">
        <f>IF(H421=0,0,_xlfn.XLOOKUP(C421,CLIENT_CODE!B:B,CLIENT_CODE!H:H,0))</f>
        <v>0</v>
      </c>
      <c r="J421">
        <f>_xlfn.XLOOKUP(B421,CRN!G:G,CRN!M:M,"")</f>
        <v>0</v>
      </c>
      <c r="K421">
        <f>IF(J421=0,0,_xlfn.XLOOKUP(C421,CLIENT_CODE!B:B,CLIENT_CODE!I:I,0))</f>
        <v>0</v>
      </c>
      <c r="L421">
        <f>_xlfn.XLOOKUP(B421,CRN!G:G,CRN!N:N,"")</f>
        <v>0</v>
      </c>
      <c r="M421">
        <f>IF(L421=0,0,_xlfn.XLOOKUP(C421,CLIENT_CODE!B:B,CLIENT_CODE!J:J,0))</f>
        <v>0</v>
      </c>
      <c r="N421">
        <f>_xlfn.XLOOKUP(B421,CRN!G:G,CRN!O:O,"")</f>
        <v>0</v>
      </c>
      <c r="O421">
        <f>IF(N421=0,0,_xlfn.XLOOKUP(C421,CLIENT_CODE!B:B,CLIENT_CODE!K:K,0))</f>
        <v>0</v>
      </c>
      <c r="P421">
        <f>_xlfn.XLOOKUP(B421,CRN!G:G,CRN!P:P,"")</f>
        <v>0</v>
      </c>
      <c r="Q421">
        <f>IF(P421=0,0,_xlfn.XLOOKUP(C421,CLIENT_CODE!B:B,CLIENT_CODE!L:L,0))</f>
        <v>0</v>
      </c>
      <c r="R421">
        <f>_xlfn.XLOOKUP(B421,CRN!G:G,CRN!Q:Q,"")</f>
        <v>0</v>
      </c>
      <c r="S421">
        <f>IF(R421=0,0,_xlfn.XLOOKUP(C421,CLIENT_CODE!B:B,CLIENT_CODE!M:M,0))</f>
        <v>0</v>
      </c>
      <c r="T421">
        <f>_xlfn.XLOOKUP(B421,CRN!G:G,CRN!R:R,"")</f>
        <v>0</v>
      </c>
      <c r="U421">
        <f>IF(T421=0,0,_xlfn.XLOOKUP(C421,CLIENT_CODE!B:B,CLIENT_CODE!N:N,0))</f>
        <v>0</v>
      </c>
      <c r="V421">
        <f>_xlfn.XLOOKUP(B421,CRN!G:G,CRN!S:S,"")</f>
        <v>0</v>
      </c>
      <c r="W421">
        <f>IF(V421=0,0,_xlfn.XLOOKUP(C421,CLIENT_CODE!B:B,CLIENT_CODE!O:O,0))</f>
        <v>0</v>
      </c>
      <c r="X421">
        <f>_xlfn.XLOOKUP(B421,CRN!G:G,CRN!T:T,"")</f>
        <v>0</v>
      </c>
      <c r="Y421">
        <f>IF(X421=0,0,_xlfn.XLOOKUP(C421,CLIENT_CODE!B:B,CLIENT_CODE!P:P,0))</f>
        <v>0</v>
      </c>
      <c r="Z421">
        <f>_xlfn.XLOOKUP(B421,CRN!G:G,CRN!U:U,"")</f>
        <v>0</v>
      </c>
      <c r="AA421">
        <f>IF(X421=0,0,_xlfn.XLOOKUP(C421,CLIENT_CODE!B:B,CLIENT_CODE!P:P,0))</f>
        <v>0</v>
      </c>
      <c r="AB421">
        <f>_xlfn.XLOOKUP(B421,CRN!G:G,CRN!V:V,"")</f>
        <v>0</v>
      </c>
      <c r="AC421">
        <f>IF(AB421=0,0,_xlfn.XLOOKUP(C421,CLIENT_CODE!B:B,CLIENT_CODE!R:R,0))</f>
        <v>0</v>
      </c>
      <c r="AD421">
        <f t="shared" si="6"/>
        <v>0</v>
      </c>
    </row>
    <row r="422" spans="1:30">
      <c r="A422" s="42">
        <v>421</v>
      </c>
      <c r="E422">
        <f>IF(D422=0,0,_xlfn.XLOOKUP(C422,CLIENT_CODE!B:B,CLIENT_CODE!F:F,0))</f>
        <v>0</v>
      </c>
      <c r="F422">
        <f>_xlfn.XLOOKUP(B422,CRN!G:G,CRN!K:K,"")</f>
        <v>0</v>
      </c>
      <c r="G422">
        <f>IF(F422=0,0,_xlfn.XLOOKUP(C422,CLIENT_CODE!B:B,CLIENT_CODE!G:G,0))</f>
        <v>0</v>
      </c>
      <c r="H422">
        <f>_xlfn.XLOOKUP(B422,CRN!G:G,CRN!L:L,"")</f>
        <v>0</v>
      </c>
      <c r="I422">
        <f>IF(H422=0,0,_xlfn.XLOOKUP(C422,CLIENT_CODE!B:B,CLIENT_CODE!H:H,0))</f>
        <v>0</v>
      </c>
      <c r="J422">
        <f>_xlfn.XLOOKUP(B422,CRN!G:G,CRN!M:M,"")</f>
        <v>0</v>
      </c>
      <c r="K422">
        <f>IF(J422=0,0,_xlfn.XLOOKUP(C422,CLIENT_CODE!B:B,CLIENT_CODE!I:I,0))</f>
        <v>0</v>
      </c>
      <c r="L422">
        <f>_xlfn.XLOOKUP(B422,CRN!G:G,CRN!N:N,"")</f>
        <v>0</v>
      </c>
      <c r="M422">
        <f>IF(L422=0,0,_xlfn.XLOOKUP(C422,CLIENT_CODE!B:B,CLIENT_CODE!J:J,0))</f>
        <v>0</v>
      </c>
      <c r="N422">
        <f>_xlfn.XLOOKUP(B422,CRN!G:G,CRN!O:O,"")</f>
        <v>0</v>
      </c>
      <c r="O422">
        <f>IF(N422=0,0,_xlfn.XLOOKUP(C422,CLIENT_CODE!B:B,CLIENT_CODE!K:K,0))</f>
        <v>0</v>
      </c>
      <c r="P422">
        <f>_xlfn.XLOOKUP(B422,CRN!G:G,CRN!P:P,"")</f>
        <v>0</v>
      </c>
      <c r="Q422">
        <f>IF(P422=0,0,_xlfn.XLOOKUP(C422,CLIENT_CODE!B:B,CLIENT_CODE!L:L,0))</f>
        <v>0</v>
      </c>
      <c r="R422">
        <f>_xlfn.XLOOKUP(B422,CRN!G:G,CRN!Q:Q,"")</f>
        <v>0</v>
      </c>
      <c r="S422">
        <f>IF(R422=0,0,_xlfn.XLOOKUP(C422,CLIENT_CODE!B:B,CLIENT_CODE!M:M,0))</f>
        <v>0</v>
      </c>
      <c r="T422">
        <f>_xlfn.XLOOKUP(B422,CRN!G:G,CRN!R:R,"")</f>
        <v>0</v>
      </c>
      <c r="U422">
        <f>IF(T422=0,0,_xlfn.XLOOKUP(C422,CLIENT_CODE!B:B,CLIENT_CODE!N:N,0))</f>
        <v>0</v>
      </c>
      <c r="V422">
        <f>_xlfn.XLOOKUP(B422,CRN!G:G,CRN!S:S,"")</f>
        <v>0</v>
      </c>
      <c r="W422">
        <f>IF(V422=0,0,_xlfn.XLOOKUP(C422,CLIENT_CODE!B:B,CLIENT_CODE!O:O,0))</f>
        <v>0</v>
      </c>
      <c r="X422">
        <f>_xlfn.XLOOKUP(B422,CRN!G:G,CRN!T:T,"")</f>
        <v>0</v>
      </c>
      <c r="Y422">
        <f>IF(X422=0,0,_xlfn.XLOOKUP(C422,CLIENT_CODE!B:B,CLIENT_CODE!P:P,0))</f>
        <v>0</v>
      </c>
      <c r="Z422">
        <f>_xlfn.XLOOKUP(B422,CRN!G:G,CRN!U:U,"")</f>
        <v>0</v>
      </c>
      <c r="AA422">
        <f>IF(X422=0,0,_xlfn.XLOOKUP(C422,CLIENT_CODE!B:B,CLIENT_CODE!P:P,0))</f>
        <v>0</v>
      </c>
      <c r="AB422">
        <f>_xlfn.XLOOKUP(B422,CRN!G:G,CRN!V:V,"")</f>
        <v>0</v>
      </c>
      <c r="AC422">
        <f>IF(AB422=0,0,_xlfn.XLOOKUP(C422,CLIENT_CODE!B:B,CLIENT_CODE!R:R,0))</f>
        <v>0</v>
      </c>
      <c r="AD422">
        <f t="shared" si="6"/>
        <v>0</v>
      </c>
    </row>
    <row r="423" spans="1:30">
      <c r="A423" s="42">
        <v>422</v>
      </c>
      <c r="E423">
        <f>IF(D423=0,0,_xlfn.XLOOKUP(C423,CLIENT_CODE!B:B,CLIENT_CODE!F:F,0))</f>
        <v>0</v>
      </c>
      <c r="F423">
        <f>_xlfn.XLOOKUP(B423,CRN!G:G,CRN!K:K,"")</f>
        <v>0</v>
      </c>
      <c r="G423">
        <f>IF(F423=0,0,_xlfn.XLOOKUP(C423,CLIENT_CODE!B:B,CLIENT_CODE!G:G,0))</f>
        <v>0</v>
      </c>
      <c r="H423">
        <f>_xlfn.XLOOKUP(B423,CRN!G:G,CRN!L:L,"")</f>
        <v>0</v>
      </c>
      <c r="I423">
        <f>IF(H423=0,0,_xlfn.XLOOKUP(C423,CLIENT_CODE!B:B,CLIENT_CODE!H:H,0))</f>
        <v>0</v>
      </c>
      <c r="J423">
        <f>_xlfn.XLOOKUP(B423,CRN!G:G,CRN!M:M,"")</f>
        <v>0</v>
      </c>
      <c r="K423">
        <f>IF(J423=0,0,_xlfn.XLOOKUP(C423,CLIENT_CODE!B:B,CLIENT_CODE!I:I,0))</f>
        <v>0</v>
      </c>
      <c r="L423">
        <f>_xlfn.XLOOKUP(B423,CRN!G:G,CRN!N:N,"")</f>
        <v>0</v>
      </c>
      <c r="M423">
        <f>IF(L423=0,0,_xlfn.XLOOKUP(C423,CLIENT_CODE!B:B,CLIENT_CODE!J:J,0))</f>
        <v>0</v>
      </c>
      <c r="N423">
        <f>_xlfn.XLOOKUP(B423,CRN!G:G,CRN!O:O,"")</f>
        <v>0</v>
      </c>
      <c r="O423">
        <f>IF(N423=0,0,_xlfn.XLOOKUP(C423,CLIENT_CODE!B:B,CLIENT_CODE!K:K,0))</f>
        <v>0</v>
      </c>
      <c r="P423">
        <f>_xlfn.XLOOKUP(B423,CRN!G:G,CRN!P:P,"")</f>
        <v>0</v>
      </c>
      <c r="Q423">
        <f>IF(P423=0,0,_xlfn.XLOOKUP(C423,CLIENT_CODE!B:B,CLIENT_CODE!L:L,0))</f>
        <v>0</v>
      </c>
      <c r="R423">
        <f>_xlfn.XLOOKUP(B423,CRN!G:G,CRN!Q:Q,"")</f>
        <v>0</v>
      </c>
      <c r="S423">
        <f>IF(R423=0,0,_xlfn.XLOOKUP(C423,CLIENT_CODE!B:B,CLIENT_CODE!M:M,0))</f>
        <v>0</v>
      </c>
      <c r="T423">
        <f>_xlfn.XLOOKUP(B423,CRN!G:G,CRN!R:R,"")</f>
        <v>0</v>
      </c>
      <c r="U423">
        <f>IF(T423=0,0,_xlfn.XLOOKUP(C423,CLIENT_CODE!B:B,CLIENT_CODE!N:N,0))</f>
        <v>0</v>
      </c>
      <c r="V423">
        <f>_xlfn.XLOOKUP(B423,CRN!G:G,CRN!S:S,"")</f>
        <v>0</v>
      </c>
      <c r="W423">
        <f>IF(V423=0,0,_xlfn.XLOOKUP(C423,CLIENT_CODE!B:B,CLIENT_CODE!O:O,0))</f>
        <v>0</v>
      </c>
      <c r="X423">
        <f>_xlfn.XLOOKUP(B423,CRN!G:G,CRN!T:T,"")</f>
        <v>0</v>
      </c>
      <c r="Y423">
        <f>IF(X423=0,0,_xlfn.XLOOKUP(C423,CLIENT_CODE!B:B,CLIENT_CODE!P:P,0))</f>
        <v>0</v>
      </c>
      <c r="Z423">
        <f>_xlfn.XLOOKUP(B423,CRN!G:G,CRN!U:U,"")</f>
        <v>0</v>
      </c>
      <c r="AA423">
        <f>IF(X423=0,0,_xlfn.XLOOKUP(C423,CLIENT_CODE!B:B,CLIENT_CODE!P:P,0))</f>
        <v>0</v>
      </c>
      <c r="AB423">
        <f>_xlfn.XLOOKUP(B423,CRN!G:G,CRN!V:V,"")</f>
        <v>0</v>
      </c>
      <c r="AC423">
        <f>IF(AB423=0,0,_xlfn.XLOOKUP(C423,CLIENT_CODE!B:B,CLIENT_CODE!R:R,0))</f>
        <v>0</v>
      </c>
      <c r="AD423">
        <f t="shared" si="6"/>
        <v>0</v>
      </c>
    </row>
    <row r="424" spans="1:30">
      <c r="A424" s="42">
        <v>423</v>
      </c>
      <c r="E424">
        <f>IF(D424=0,0,_xlfn.XLOOKUP(C424,CLIENT_CODE!B:B,CLIENT_CODE!F:F,0))</f>
        <v>0</v>
      </c>
      <c r="F424">
        <f>_xlfn.XLOOKUP(B424,CRN!G:G,CRN!K:K,"")</f>
        <v>0</v>
      </c>
      <c r="G424">
        <f>IF(F424=0,0,_xlfn.XLOOKUP(C424,CLIENT_CODE!B:B,CLIENT_CODE!G:G,0))</f>
        <v>0</v>
      </c>
      <c r="H424">
        <f>_xlfn.XLOOKUP(B424,CRN!G:G,CRN!L:L,"")</f>
        <v>0</v>
      </c>
      <c r="I424">
        <f>IF(H424=0,0,_xlfn.XLOOKUP(C424,CLIENT_CODE!B:B,CLIENT_CODE!H:H,0))</f>
        <v>0</v>
      </c>
      <c r="J424">
        <f>_xlfn.XLOOKUP(B424,CRN!G:G,CRN!M:M,"")</f>
        <v>0</v>
      </c>
      <c r="K424">
        <f>IF(J424=0,0,_xlfn.XLOOKUP(C424,CLIENT_CODE!B:B,CLIENT_CODE!I:I,0))</f>
        <v>0</v>
      </c>
      <c r="L424">
        <f>_xlfn.XLOOKUP(B424,CRN!G:G,CRN!N:N,"")</f>
        <v>0</v>
      </c>
      <c r="M424">
        <f>IF(L424=0,0,_xlfn.XLOOKUP(C424,CLIENT_CODE!B:B,CLIENT_CODE!J:J,0))</f>
        <v>0</v>
      </c>
      <c r="N424">
        <f>_xlfn.XLOOKUP(B424,CRN!G:G,CRN!O:O,"")</f>
        <v>0</v>
      </c>
      <c r="O424">
        <f>IF(N424=0,0,_xlfn.XLOOKUP(C424,CLIENT_CODE!B:B,CLIENT_CODE!K:K,0))</f>
        <v>0</v>
      </c>
      <c r="P424">
        <f>_xlfn.XLOOKUP(B424,CRN!G:G,CRN!P:P,"")</f>
        <v>0</v>
      </c>
      <c r="Q424">
        <f>IF(P424=0,0,_xlfn.XLOOKUP(C424,CLIENT_CODE!B:B,CLIENT_CODE!L:L,0))</f>
        <v>0</v>
      </c>
      <c r="R424">
        <f>_xlfn.XLOOKUP(B424,CRN!G:G,CRN!Q:Q,"")</f>
        <v>0</v>
      </c>
      <c r="S424">
        <f>IF(R424=0,0,_xlfn.XLOOKUP(C424,CLIENT_CODE!B:B,CLIENT_CODE!M:M,0))</f>
        <v>0</v>
      </c>
      <c r="T424">
        <f>_xlfn.XLOOKUP(B424,CRN!G:G,CRN!R:R,"")</f>
        <v>0</v>
      </c>
      <c r="U424">
        <f>IF(T424=0,0,_xlfn.XLOOKUP(C424,CLIENT_CODE!B:B,CLIENT_CODE!N:N,0))</f>
        <v>0</v>
      </c>
      <c r="V424">
        <f>_xlfn.XLOOKUP(B424,CRN!G:G,CRN!S:S,"")</f>
        <v>0</v>
      </c>
      <c r="W424">
        <f>IF(V424=0,0,_xlfn.XLOOKUP(C424,CLIENT_CODE!B:B,CLIENT_CODE!O:O,0))</f>
        <v>0</v>
      </c>
      <c r="X424">
        <f>_xlfn.XLOOKUP(B424,CRN!G:G,CRN!T:T,"")</f>
        <v>0</v>
      </c>
      <c r="Y424">
        <f>IF(X424=0,0,_xlfn.XLOOKUP(C424,CLIENT_CODE!B:B,CLIENT_CODE!P:P,0))</f>
        <v>0</v>
      </c>
      <c r="Z424">
        <f>_xlfn.XLOOKUP(B424,CRN!G:G,CRN!U:U,"")</f>
        <v>0</v>
      </c>
      <c r="AA424">
        <f>IF(X424=0,0,_xlfn.XLOOKUP(C424,CLIENT_CODE!B:B,CLIENT_CODE!P:P,0))</f>
        <v>0</v>
      </c>
      <c r="AB424">
        <f>_xlfn.XLOOKUP(B424,CRN!G:G,CRN!V:V,"")</f>
        <v>0</v>
      </c>
      <c r="AC424">
        <f>IF(AB424=0,0,_xlfn.XLOOKUP(C424,CLIENT_CODE!B:B,CLIENT_CODE!R:R,0))</f>
        <v>0</v>
      </c>
      <c r="AD424">
        <f t="shared" si="6"/>
        <v>0</v>
      </c>
    </row>
    <row r="425" spans="1:30">
      <c r="A425" s="42">
        <v>424</v>
      </c>
      <c r="E425">
        <f>IF(D425=0,0,_xlfn.XLOOKUP(C425,CLIENT_CODE!B:B,CLIENT_CODE!F:F,0))</f>
        <v>0</v>
      </c>
      <c r="F425">
        <f>_xlfn.XLOOKUP(B425,CRN!G:G,CRN!K:K,"")</f>
        <v>0</v>
      </c>
      <c r="G425">
        <f>IF(F425=0,0,_xlfn.XLOOKUP(C425,CLIENT_CODE!B:B,CLIENT_CODE!G:G,0))</f>
        <v>0</v>
      </c>
      <c r="H425">
        <f>_xlfn.XLOOKUP(B425,CRN!G:G,CRN!L:L,"")</f>
        <v>0</v>
      </c>
      <c r="I425">
        <f>IF(H425=0,0,_xlfn.XLOOKUP(C425,CLIENT_CODE!B:B,CLIENT_CODE!H:H,0))</f>
        <v>0</v>
      </c>
      <c r="J425">
        <f>_xlfn.XLOOKUP(B425,CRN!G:G,CRN!M:M,"")</f>
        <v>0</v>
      </c>
      <c r="K425">
        <f>IF(J425=0,0,_xlfn.XLOOKUP(C425,CLIENT_CODE!B:B,CLIENT_CODE!I:I,0))</f>
        <v>0</v>
      </c>
      <c r="L425">
        <f>_xlfn.XLOOKUP(B425,CRN!G:G,CRN!N:N,"")</f>
        <v>0</v>
      </c>
      <c r="M425">
        <f>IF(L425=0,0,_xlfn.XLOOKUP(C425,CLIENT_CODE!B:B,CLIENT_CODE!J:J,0))</f>
        <v>0</v>
      </c>
      <c r="N425">
        <f>_xlfn.XLOOKUP(B425,CRN!G:G,CRN!O:O,"")</f>
        <v>0</v>
      </c>
      <c r="O425">
        <f>IF(N425=0,0,_xlfn.XLOOKUP(C425,CLIENT_CODE!B:B,CLIENT_CODE!K:K,0))</f>
        <v>0</v>
      </c>
      <c r="P425">
        <f>_xlfn.XLOOKUP(B425,CRN!G:G,CRN!P:P,"")</f>
        <v>0</v>
      </c>
      <c r="Q425">
        <f>IF(P425=0,0,_xlfn.XLOOKUP(C425,CLIENT_CODE!B:B,CLIENT_CODE!L:L,0))</f>
        <v>0</v>
      </c>
      <c r="R425">
        <f>_xlfn.XLOOKUP(B425,CRN!G:G,CRN!Q:Q,"")</f>
        <v>0</v>
      </c>
      <c r="S425">
        <f>IF(R425=0,0,_xlfn.XLOOKUP(C425,CLIENT_CODE!B:B,CLIENT_CODE!M:M,0))</f>
        <v>0</v>
      </c>
      <c r="T425">
        <f>_xlfn.XLOOKUP(B425,CRN!G:G,CRN!R:R,"")</f>
        <v>0</v>
      </c>
      <c r="U425">
        <f>IF(T425=0,0,_xlfn.XLOOKUP(C425,CLIENT_CODE!B:B,CLIENT_CODE!N:N,0))</f>
        <v>0</v>
      </c>
      <c r="V425">
        <f>_xlfn.XLOOKUP(B425,CRN!G:G,CRN!S:S,"")</f>
        <v>0</v>
      </c>
      <c r="W425">
        <f>IF(V425=0,0,_xlfn.XLOOKUP(C425,CLIENT_CODE!B:B,CLIENT_CODE!O:O,0))</f>
        <v>0</v>
      </c>
      <c r="X425">
        <f>_xlfn.XLOOKUP(B425,CRN!G:G,CRN!T:T,"")</f>
        <v>0</v>
      </c>
      <c r="Y425">
        <f>IF(X425=0,0,_xlfn.XLOOKUP(C425,CLIENT_CODE!B:B,CLIENT_CODE!P:P,0))</f>
        <v>0</v>
      </c>
      <c r="Z425">
        <f>_xlfn.XLOOKUP(B425,CRN!G:G,CRN!U:U,"")</f>
        <v>0</v>
      </c>
      <c r="AA425">
        <f>IF(X425=0,0,_xlfn.XLOOKUP(C425,CLIENT_CODE!B:B,CLIENT_CODE!P:P,0))</f>
        <v>0</v>
      </c>
      <c r="AB425">
        <f>_xlfn.XLOOKUP(B425,CRN!G:G,CRN!V:V,"")</f>
        <v>0</v>
      </c>
      <c r="AC425">
        <f>IF(AB425=0,0,_xlfn.XLOOKUP(C425,CLIENT_CODE!B:B,CLIENT_CODE!R:R,0))</f>
        <v>0</v>
      </c>
      <c r="AD425">
        <f t="shared" si="6"/>
        <v>0</v>
      </c>
    </row>
    <row r="426" spans="1:30">
      <c r="A426" s="42">
        <v>425</v>
      </c>
      <c r="E426">
        <f>IF(D426=0,0,_xlfn.XLOOKUP(C426,CLIENT_CODE!B:B,CLIENT_CODE!F:F,0))</f>
        <v>0</v>
      </c>
      <c r="F426">
        <f>_xlfn.XLOOKUP(B426,CRN!G:G,CRN!K:K,"")</f>
        <v>0</v>
      </c>
      <c r="G426">
        <f>IF(F426=0,0,_xlfn.XLOOKUP(C426,CLIENT_CODE!B:B,CLIENT_CODE!G:G,0))</f>
        <v>0</v>
      </c>
      <c r="H426">
        <f>_xlfn.XLOOKUP(B426,CRN!G:G,CRN!L:L,"")</f>
        <v>0</v>
      </c>
      <c r="I426">
        <f>IF(H426=0,0,_xlfn.XLOOKUP(C426,CLIENT_CODE!B:B,CLIENT_CODE!H:H,0))</f>
        <v>0</v>
      </c>
      <c r="J426">
        <f>_xlfn.XLOOKUP(B426,CRN!G:G,CRN!M:M,"")</f>
        <v>0</v>
      </c>
      <c r="K426">
        <f>IF(J426=0,0,_xlfn.XLOOKUP(C426,CLIENT_CODE!B:B,CLIENT_CODE!I:I,0))</f>
        <v>0</v>
      </c>
      <c r="L426">
        <f>_xlfn.XLOOKUP(B426,CRN!G:G,CRN!N:N,"")</f>
        <v>0</v>
      </c>
      <c r="M426">
        <f>IF(L426=0,0,_xlfn.XLOOKUP(C426,CLIENT_CODE!B:B,CLIENT_CODE!J:J,0))</f>
        <v>0</v>
      </c>
      <c r="N426">
        <f>_xlfn.XLOOKUP(B426,CRN!G:G,CRN!O:O,"")</f>
        <v>0</v>
      </c>
      <c r="O426">
        <f>IF(N426=0,0,_xlfn.XLOOKUP(C426,CLIENT_CODE!B:B,CLIENT_CODE!K:K,0))</f>
        <v>0</v>
      </c>
      <c r="P426">
        <f>_xlfn.XLOOKUP(B426,CRN!G:G,CRN!P:P,"")</f>
        <v>0</v>
      </c>
      <c r="Q426">
        <f>IF(P426=0,0,_xlfn.XLOOKUP(C426,CLIENT_CODE!B:B,CLIENT_CODE!L:L,0))</f>
        <v>0</v>
      </c>
      <c r="R426">
        <f>_xlfn.XLOOKUP(B426,CRN!G:G,CRN!Q:Q,"")</f>
        <v>0</v>
      </c>
      <c r="S426">
        <f>IF(R426=0,0,_xlfn.XLOOKUP(C426,CLIENT_CODE!B:B,CLIENT_CODE!M:M,0))</f>
        <v>0</v>
      </c>
      <c r="T426">
        <f>_xlfn.XLOOKUP(B426,CRN!G:G,CRN!R:R,"")</f>
        <v>0</v>
      </c>
      <c r="U426">
        <f>IF(T426=0,0,_xlfn.XLOOKUP(C426,CLIENT_CODE!B:B,CLIENT_CODE!N:N,0))</f>
        <v>0</v>
      </c>
      <c r="V426">
        <f>_xlfn.XLOOKUP(B426,CRN!G:G,CRN!S:S,"")</f>
        <v>0</v>
      </c>
      <c r="W426">
        <f>IF(V426=0,0,_xlfn.XLOOKUP(C426,CLIENT_CODE!B:B,CLIENT_CODE!O:O,0))</f>
        <v>0</v>
      </c>
      <c r="X426">
        <f>_xlfn.XLOOKUP(B426,CRN!G:G,CRN!T:T,"")</f>
        <v>0</v>
      </c>
      <c r="Y426">
        <f>IF(X426=0,0,_xlfn.XLOOKUP(C426,CLIENT_CODE!B:B,CLIENT_CODE!P:P,0))</f>
        <v>0</v>
      </c>
      <c r="Z426">
        <f>_xlfn.XLOOKUP(B426,CRN!G:G,CRN!U:U,"")</f>
        <v>0</v>
      </c>
      <c r="AA426">
        <f>IF(X426=0,0,_xlfn.XLOOKUP(C426,CLIENT_CODE!B:B,CLIENT_CODE!P:P,0))</f>
        <v>0</v>
      </c>
      <c r="AB426">
        <f>_xlfn.XLOOKUP(B426,CRN!G:G,CRN!V:V,"")</f>
        <v>0</v>
      </c>
      <c r="AC426">
        <f>IF(AB426=0,0,_xlfn.XLOOKUP(C426,CLIENT_CODE!B:B,CLIENT_CODE!R:R,0))</f>
        <v>0</v>
      </c>
      <c r="AD426">
        <f t="shared" si="6"/>
        <v>0</v>
      </c>
    </row>
    <row r="427" spans="1:30">
      <c r="A427" s="42">
        <v>426</v>
      </c>
      <c r="E427">
        <f>IF(D427=0,0,_xlfn.XLOOKUP(C427,CLIENT_CODE!B:B,CLIENT_CODE!F:F,0))</f>
        <v>0</v>
      </c>
      <c r="F427">
        <f>_xlfn.XLOOKUP(B427,CRN!G:G,CRN!K:K,"")</f>
        <v>0</v>
      </c>
      <c r="G427">
        <f>IF(F427=0,0,_xlfn.XLOOKUP(C427,CLIENT_CODE!B:B,CLIENT_CODE!G:G,0))</f>
        <v>0</v>
      </c>
      <c r="H427">
        <f>_xlfn.XLOOKUP(B427,CRN!G:G,CRN!L:L,"")</f>
        <v>0</v>
      </c>
      <c r="I427">
        <f>IF(H427=0,0,_xlfn.XLOOKUP(C427,CLIENT_CODE!B:B,CLIENT_CODE!H:H,0))</f>
        <v>0</v>
      </c>
      <c r="J427">
        <f>_xlfn.XLOOKUP(B427,CRN!G:G,CRN!M:M,"")</f>
        <v>0</v>
      </c>
      <c r="K427">
        <f>IF(J427=0,0,_xlfn.XLOOKUP(C427,CLIENT_CODE!B:B,CLIENT_CODE!I:I,0))</f>
        <v>0</v>
      </c>
      <c r="L427">
        <f>_xlfn.XLOOKUP(B427,CRN!G:G,CRN!N:N,"")</f>
        <v>0</v>
      </c>
      <c r="M427">
        <f>IF(L427=0,0,_xlfn.XLOOKUP(C427,CLIENT_CODE!B:B,CLIENT_CODE!J:J,0))</f>
        <v>0</v>
      </c>
      <c r="N427">
        <f>_xlfn.XLOOKUP(B427,CRN!G:G,CRN!O:O,"")</f>
        <v>0</v>
      </c>
      <c r="O427">
        <f>IF(N427=0,0,_xlfn.XLOOKUP(C427,CLIENT_CODE!B:B,CLIENT_CODE!K:K,0))</f>
        <v>0</v>
      </c>
      <c r="P427">
        <f>_xlfn.XLOOKUP(B427,CRN!G:G,CRN!P:P,"")</f>
        <v>0</v>
      </c>
      <c r="Q427">
        <f>IF(P427=0,0,_xlfn.XLOOKUP(C427,CLIENT_CODE!B:B,CLIENT_CODE!L:L,0))</f>
        <v>0</v>
      </c>
      <c r="R427">
        <f>_xlfn.XLOOKUP(B427,CRN!G:G,CRN!Q:Q,"")</f>
        <v>0</v>
      </c>
      <c r="S427">
        <f>IF(R427=0,0,_xlfn.XLOOKUP(C427,CLIENT_CODE!B:B,CLIENT_CODE!M:M,0))</f>
        <v>0</v>
      </c>
      <c r="T427">
        <f>_xlfn.XLOOKUP(B427,CRN!G:G,CRN!R:R,"")</f>
        <v>0</v>
      </c>
      <c r="U427">
        <f>IF(T427=0,0,_xlfn.XLOOKUP(C427,CLIENT_CODE!B:B,CLIENT_CODE!N:N,0))</f>
        <v>0</v>
      </c>
      <c r="V427">
        <f>_xlfn.XLOOKUP(B427,CRN!G:G,CRN!S:S,"")</f>
        <v>0</v>
      </c>
      <c r="W427">
        <f>IF(V427=0,0,_xlfn.XLOOKUP(C427,CLIENT_CODE!B:B,CLIENT_CODE!O:O,0))</f>
        <v>0</v>
      </c>
      <c r="X427">
        <f>_xlfn.XLOOKUP(B427,CRN!G:G,CRN!T:T,"")</f>
        <v>0</v>
      </c>
      <c r="Y427">
        <f>IF(X427=0,0,_xlfn.XLOOKUP(C427,CLIENT_CODE!B:B,CLIENT_CODE!P:P,0))</f>
        <v>0</v>
      </c>
      <c r="Z427">
        <f>_xlfn.XLOOKUP(B427,CRN!G:G,CRN!U:U,"")</f>
        <v>0</v>
      </c>
      <c r="AA427">
        <f>IF(X427=0,0,_xlfn.XLOOKUP(C427,CLIENT_CODE!B:B,CLIENT_CODE!P:P,0))</f>
        <v>0</v>
      </c>
      <c r="AB427">
        <f>_xlfn.XLOOKUP(B427,CRN!G:G,CRN!V:V,"")</f>
        <v>0</v>
      </c>
      <c r="AC427">
        <f>IF(AB427=0,0,_xlfn.XLOOKUP(C427,CLIENT_CODE!B:B,CLIENT_CODE!R:R,0))</f>
        <v>0</v>
      </c>
      <c r="AD427">
        <f t="shared" si="6"/>
        <v>0</v>
      </c>
    </row>
    <row r="428" spans="1:30">
      <c r="A428" s="42">
        <v>427</v>
      </c>
      <c r="E428">
        <f>IF(D428=0,0,_xlfn.XLOOKUP(C428,CLIENT_CODE!B:B,CLIENT_CODE!F:F,0))</f>
        <v>0</v>
      </c>
      <c r="F428">
        <f>_xlfn.XLOOKUP(B428,CRN!G:G,CRN!K:K,"")</f>
        <v>0</v>
      </c>
      <c r="G428">
        <f>IF(F428=0,0,_xlfn.XLOOKUP(C428,CLIENT_CODE!B:B,CLIENT_CODE!G:G,0))</f>
        <v>0</v>
      </c>
      <c r="H428">
        <f>_xlfn.XLOOKUP(B428,CRN!G:G,CRN!L:L,"")</f>
        <v>0</v>
      </c>
      <c r="I428">
        <f>IF(H428=0,0,_xlfn.XLOOKUP(C428,CLIENT_CODE!B:B,CLIENT_CODE!H:H,0))</f>
        <v>0</v>
      </c>
      <c r="J428">
        <f>_xlfn.XLOOKUP(B428,CRN!G:G,CRN!M:M,"")</f>
        <v>0</v>
      </c>
      <c r="K428">
        <f>IF(J428=0,0,_xlfn.XLOOKUP(C428,CLIENT_CODE!B:B,CLIENT_CODE!I:I,0))</f>
        <v>0</v>
      </c>
      <c r="L428">
        <f>_xlfn.XLOOKUP(B428,CRN!G:G,CRN!N:N,"")</f>
        <v>0</v>
      </c>
      <c r="M428">
        <f>IF(L428=0,0,_xlfn.XLOOKUP(C428,CLIENT_CODE!B:B,CLIENT_CODE!J:J,0))</f>
        <v>0</v>
      </c>
      <c r="N428">
        <f>_xlfn.XLOOKUP(B428,CRN!G:G,CRN!O:O,"")</f>
        <v>0</v>
      </c>
      <c r="O428">
        <f>IF(N428=0,0,_xlfn.XLOOKUP(C428,CLIENT_CODE!B:B,CLIENT_CODE!K:K,0))</f>
        <v>0</v>
      </c>
      <c r="P428">
        <f>_xlfn.XLOOKUP(B428,CRN!G:G,CRN!P:P,"")</f>
        <v>0</v>
      </c>
      <c r="Q428">
        <f>IF(P428=0,0,_xlfn.XLOOKUP(C428,CLIENT_CODE!B:B,CLIENT_CODE!L:L,0))</f>
        <v>0</v>
      </c>
      <c r="R428">
        <f>_xlfn.XLOOKUP(B428,CRN!G:G,CRN!Q:Q,"")</f>
        <v>0</v>
      </c>
      <c r="S428">
        <f>IF(R428=0,0,_xlfn.XLOOKUP(C428,CLIENT_CODE!B:B,CLIENT_CODE!M:M,0))</f>
        <v>0</v>
      </c>
      <c r="T428">
        <f>_xlfn.XLOOKUP(B428,CRN!G:G,CRN!R:R,"")</f>
        <v>0</v>
      </c>
      <c r="U428">
        <f>IF(T428=0,0,_xlfn.XLOOKUP(C428,CLIENT_CODE!B:B,CLIENT_CODE!N:N,0))</f>
        <v>0</v>
      </c>
      <c r="V428">
        <f>_xlfn.XLOOKUP(B428,CRN!G:G,CRN!S:S,"")</f>
        <v>0</v>
      </c>
      <c r="W428">
        <f>IF(V428=0,0,_xlfn.XLOOKUP(C428,CLIENT_CODE!B:B,CLIENT_CODE!O:O,0))</f>
        <v>0</v>
      </c>
      <c r="X428">
        <f>_xlfn.XLOOKUP(B428,CRN!G:G,CRN!T:T,"")</f>
        <v>0</v>
      </c>
      <c r="Y428">
        <f>IF(X428=0,0,_xlfn.XLOOKUP(C428,CLIENT_CODE!B:B,CLIENT_CODE!P:P,0))</f>
        <v>0</v>
      </c>
      <c r="Z428">
        <f>_xlfn.XLOOKUP(B428,CRN!G:G,CRN!U:U,"")</f>
        <v>0</v>
      </c>
      <c r="AA428">
        <f>IF(X428=0,0,_xlfn.XLOOKUP(C428,CLIENT_CODE!B:B,CLIENT_CODE!P:P,0))</f>
        <v>0</v>
      </c>
      <c r="AB428">
        <f>_xlfn.XLOOKUP(B428,CRN!G:G,CRN!V:V,"")</f>
        <v>0</v>
      </c>
      <c r="AC428">
        <f>IF(AB428=0,0,_xlfn.XLOOKUP(C428,CLIENT_CODE!B:B,CLIENT_CODE!R:R,0))</f>
        <v>0</v>
      </c>
      <c r="AD428">
        <f t="shared" si="6"/>
        <v>0</v>
      </c>
    </row>
    <row r="429" spans="1:30">
      <c r="A429" s="42">
        <v>428</v>
      </c>
      <c r="E429">
        <f>IF(D429=0,0,_xlfn.XLOOKUP(C429,CLIENT_CODE!B:B,CLIENT_CODE!F:F,0))</f>
        <v>0</v>
      </c>
      <c r="F429">
        <f>_xlfn.XLOOKUP(B429,CRN!G:G,CRN!K:K,"")</f>
        <v>0</v>
      </c>
      <c r="G429">
        <f>IF(F429=0,0,_xlfn.XLOOKUP(C429,CLIENT_CODE!B:B,CLIENT_CODE!G:G,0))</f>
        <v>0</v>
      </c>
      <c r="H429">
        <f>_xlfn.XLOOKUP(B429,CRN!G:G,CRN!L:L,"")</f>
        <v>0</v>
      </c>
      <c r="I429">
        <f>IF(H429=0,0,_xlfn.XLOOKUP(C429,CLIENT_CODE!B:B,CLIENT_CODE!H:H,0))</f>
        <v>0</v>
      </c>
      <c r="J429">
        <f>_xlfn.XLOOKUP(B429,CRN!G:G,CRN!M:M,"")</f>
        <v>0</v>
      </c>
      <c r="K429">
        <f>IF(J429=0,0,_xlfn.XLOOKUP(C429,CLIENT_CODE!B:B,CLIENT_CODE!I:I,0))</f>
        <v>0</v>
      </c>
      <c r="L429">
        <f>_xlfn.XLOOKUP(B429,CRN!G:G,CRN!N:N,"")</f>
        <v>0</v>
      </c>
      <c r="M429">
        <f>IF(L429=0,0,_xlfn.XLOOKUP(C429,CLIENT_CODE!B:B,CLIENT_CODE!J:J,0))</f>
        <v>0</v>
      </c>
      <c r="N429">
        <f>_xlfn.XLOOKUP(B429,CRN!G:G,CRN!O:O,"")</f>
        <v>0</v>
      </c>
      <c r="O429">
        <f>IF(N429=0,0,_xlfn.XLOOKUP(C429,CLIENT_CODE!B:B,CLIENT_CODE!K:K,0))</f>
        <v>0</v>
      </c>
      <c r="P429">
        <f>_xlfn.XLOOKUP(B429,CRN!G:G,CRN!P:P,"")</f>
        <v>0</v>
      </c>
      <c r="Q429">
        <f>IF(P429=0,0,_xlfn.XLOOKUP(C429,CLIENT_CODE!B:B,CLIENT_CODE!L:L,0))</f>
        <v>0</v>
      </c>
      <c r="R429">
        <f>_xlfn.XLOOKUP(B429,CRN!G:G,CRN!Q:Q,"")</f>
        <v>0</v>
      </c>
      <c r="S429">
        <f>IF(R429=0,0,_xlfn.XLOOKUP(C429,CLIENT_CODE!B:B,CLIENT_CODE!M:M,0))</f>
        <v>0</v>
      </c>
      <c r="T429">
        <f>_xlfn.XLOOKUP(B429,CRN!G:G,CRN!R:R,"")</f>
        <v>0</v>
      </c>
      <c r="U429">
        <f>IF(T429=0,0,_xlfn.XLOOKUP(C429,CLIENT_CODE!B:B,CLIENT_CODE!N:N,0))</f>
        <v>0</v>
      </c>
      <c r="V429">
        <f>_xlfn.XLOOKUP(B429,CRN!G:G,CRN!S:S,"")</f>
        <v>0</v>
      </c>
      <c r="W429">
        <f>IF(V429=0,0,_xlfn.XLOOKUP(C429,CLIENT_CODE!B:B,CLIENT_CODE!O:O,0))</f>
        <v>0</v>
      </c>
      <c r="X429">
        <f>_xlfn.XLOOKUP(B429,CRN!G:G,CRN!T:T,"")</f>
        <v>0</v>
      </c>
      <c r="Y429">
        <f>IF(X429=0,0,_xlfn.XLOOKUP(C429,CLIENT_CODE!B:B,CLIENT_CODE!P:P,0))</f>
        <v>0</v>
      </c>
      <c r="Z429">
        <f>_xlfn.XLOOKUP(B429,CRN!G:G,CRN!U:U,"")</f>
        <v>0</v>
      </c>
      <c r="AA429">
        <f>IF(X429=0,0,_xlfn.XLOOKUP(C429,CLIENT_CODE!B:B,CLIENT_CODE!P:P,0))</f>
        <v>0</v>
      </c>
      <c r="AB429">
        <f>_xlfn.XLOOKUP(B429,CRN!G:G,CRN!V:V,"")</f>
        <v>0</v>
      </c>
      <c r="AC429">
        <f>IF(AB429=0,0,_xlfn.XLOOKUP(C429,CLIENT_CODE!B:B,CLIENT_CODE!R:R,0))</f>
        <v>0</v>
      </c>
      <c r="AD429">
        <f t="shared" si="6"/>
        <v>0</v>
      </c>
    </row>
    <row r="430" spans="1:30">
      <c r="A430" s="42">
        <v>429</v>
      </c>
      <c r="E430">
        <f>IF(D430=0,0,_xlfn.XLOOKUP(C430,CLIENT_CODE!B:B,CLIENT_CODE!F:F,0))</f>
        <v>0</v>
      </c>
      <c r="F430">
        <f>_xlfn.XLOOKUP(B430,CRN!G:G,CRN!K:K,"")</f>
        <v>0</v>
      </c>
      <c r="G430">
        <f>IF(F430=0,0,_xlfn.XLOOKUP(C430,CLIENT_CODE!B:B,CLIENT_CODE!G:G,0))</f>
        <v>0</v>
      </c>
      <c r="H430">
        <f>_xlfn.XLOOKUP(B430,CRN!G:G,CRN!L:L,"")</f>
        <v>0</v>
      </c>
      <c r="I430">
        <f>IF(H430=0,0,_xlfn.XLOOKUP(C430,CLIENT_CODE!B:B,CLIENT_CODE!H:H,0))</f>
        <v>0</v>
      </c>
      <c r="J430">
        <f>_xlfn.XLOOKUP(B430,CRN!G:G,CRN!M:M,"")</f>
        <v>0</v>
      </c>
      <c r="K430">
        <f>IF(J430=0,0,_xlfn.XLOOKUP(C430,CLIENT_CODE!B:B,CLIENT_CODE!I:I,0))</f>
        <v>0</v>
      </c>
      <c r="L430">
        <f>_xlfn.XLOOKUP(B430,CRN!G:G,CRN!N:N,"")</f>
        <v>0</v>
      </c>
      <c r="M430">
        <f>IF(L430=0,0,_xlfn.XLOOKUP(C430,CLIENT_CODE!B:B,CLIENT_CODE!J:J,0))</f>
        <v>0</v>
      </c>
      <c r="N430">
        <f>_xlfn.XLOOKUP(B430,CRN!G:G,CRN!O:O,"")</f>
        <v>0</v>
      </c>
      <c r="O430">
        <f>IF(N430=0,0,_xlfn.XLOOKUP(C430,CLIENT_CODE!B:B,CLIENT_CODE!K:K,0))</f>
        <v>0</v>
      </c>
      <c r="P430">
        <f>_xlfn.XLOOKUP(B430,CRN!G:G,CRN!P:P,"")</f>
        <v>0</v>
      </c>
      <c r="Q430">
        <f>IF(P430=0,0,_xlfn.XLOOKUP(C430,CLIENT_CODE!B:B,CLIENT_CODE!L:L,0))</f>
        <v>0</v>
      </c>
      <c r="R430">
        <f>_xlfn.XLOOKUP(B430,CRN!G:G,CRN!Q:Q,"")</f>
        <v>0</v>
      </c>
      <c r="S430">
        <f>IF(R430=0,0,_xlfn.XLOOKUP(C430,CLIENT_CODE!B:B,CLIENT_CODE!M:M,0))</f>
        <v>0</v>
      </c>
      <c r="T430">
        <f>_xlfn.XLOOKUP(B430,CRN!G:G,CRN!R:R,"")</f>
        <v>0</v>
      </c>
      <c r="U430">
        <f>IF(T430=0,0,_xlfn.XLOOKUP(C430,CLIENT_CODE!B:B,CLIENT_CODE!N:N,0))</f>
        <v>0</v>
      </c>
      <c r="V430">
        <f>_xlfn.XLOOKUP(B430,CRN!G:G,CRN!S:S,"")</f>
        <v>0</v>
      </c>
      <c r="W430">
        <f>IF(V430=0,0,_xlfn.XLOOKUP(C430,CLIENT_CODE!B:B,CLIENT_CODE!O:O,0))</f>
        <v>0</v>
      </c>
      <c r="X430">
        <f>_xlfn.XLOOKUP(B430,CRN!G:G,CRN!T:T,"")</f>
        <v>0</v>
      </c>
      <c r="Y430">
        <f>IF(X430=0,0,_xlfn.XLOOKUP(C430,CLIENT_CODE!B:B,CLIENT_CODE!P:P,0))</f>
        <v>0</v>
      </c>
      <c r="Z430">
        <f>_xlfn.XLOOKUP(B430,CRN!G:G,CRN!U:U,"")</f>
        <v>0</v>
      </c>
      <c r="AA430">
        <f>IF(X430=0,0,_xlfn.XLOOKUP(C430,CLIENT_CODE!B:B,CLIENT_CODE!P:P,0))</f>
        <v>0</v>
      </c>
      <c r="AB430">
        <f>_xlfn.XLOOKUP(B430,CRN!G:G,CRN!V:V,"")</f>
        <v>0</v>
      </c>
      <c r="AC430">
        <f>IF(AB430=0,0,_xlfn.XLOOKUP(C430,CLIENT_CODE!B:B,CLIENT_CODE!R:R,0))</f>
        <v>0</v>
      </c>
      <c r="AD430">
        <f t="shared" si="6"/>
        <v>0</v>
      </c>
    </row>
    <row r="431" spans="1:30">
      <c r="A431" s="42">
        <v>430</v>
      </c>
      <c r="E431">
        <f>IF(D431=0,0,_xlfn.XLOOKUP(C431,CLIENT_CODE!B:B,CLIENT_CODE!F:F,0))</f>
        <v>0</v>
      </c>
      <c r="F431">
        <f>_xlfn.XLOOKUP(B431,CRN!G:G,CRN!K:K,"")</f>
        <v>0</v>
      </c>
      <c r="G431">
        <f>IF(F431=0,0,_xlfn.XLOOKUP(C431,CLIENT_CODE!B:B,CLIENT_CODE!G:G,0))</f>
        <v>0</v>
      </c>
      <c r="H431">
        <f>_xlfn.XLOOKUP(B431,CRN!G:G,CRN!L:L,"")</f>
        <v>0</v>
      </c>
      <c r="I431">
        <f>IF(H431=0,0,_xlfn.XLOOKUP(C431,CLIENT_CODE!B:B,CLIENT_CODE!H:H,0))</f>
        <v>0</v>
      </c>
      <c r="J431">
        <f>_xlfn.XLOOKUP(B431,CRN!G:G,CRN!M:M,"")</f>
        <v>0</v>
      </c>
      <c r="K431">
        <f>IF(J431=0,0,_xlfn.XLOOKUP(C431,CLIENT_CODE!B:B,CLIENT_CODE!I:I,0))</f>
        <v>0</v>
      </c>
      <c r="L431">
        <f>_xlfn.XLOOKUP(B431,CRN!G:G,CRN!N:N,"")</f>
        <v>0</v>
      </c>
      <c r="M431">
        <f>IF(L431=0,0,_xlfn.XLOOKUP(C431,CLIENT_CODE!B:B,CLIENT_CODE!J:J,0))</f>
        <v>0</v>
      </c>
      <c r="N431">
        <f>_xlfn.XLOOKUP(B431,CRN!G:G,CRN!O:O,"")</f>
        <v>0</v>
      </c>
      <c r="O431">
        <f>IF(N431=0,0,_xlfn.XLOOKUP(C431,CLIENT_CODE!B:B,CLIENT_CODE!K:K,0))</f>
        <v>0</v>
      </c>
      <c r="P431">
        <f>_xlfn.XLOOKUP(B431,CRN!G:G,CRN!P:P,"")</f>
        <v>0</v>
      </c>
      <c r="Q431">
        <f>IF(P431=0,0,_xlfn.XLOOKUP(C431,CLIENT_CODE!B:B,CLIENT_CODE!L:L,0))</f>
        <v>0</v>
      </c>
      <c r="R431">
        <f>_xlfn.XLOOKUP(B431,CRN!G:G,CRN!Q:Q,"")</f>
        <v>0</v>
      </c>
      <c r="S431">
        <f>IF(R431=0,0,_xlfn.XLOOKUP(C431,CLIENT_CODE!B:B,CLIENT_CODE!M:M,0))</f>
        <v>0</v>
      </c>
      <c r="T431">
        <f>_xlfn.XLOOKUP(B431,CRN!G:G,CRN!R:R,"")</f>
        <v>0</v>
      </c>
      <c r="U431">
        <f>IF(T431=0,0,_xlfn.XLOOKUP(C431,CLIENT_CODE!B:B,CLIENT_CODE!N:N,0))</f>
        <v>0</v>
      </c>
      <c r="V431">
        <f>_xlfn.XLOOKUP(B431,CRN!G:G,CRN!S:S,"")</f>
        <v>0</v>
      </c>
      <c r="W431">
        <f>IF(V431=0,0,_xlfn.XLOOKUP(C431,CLIENT_CODE!B:B,CLIENT_CODE!O:O,0))</f>
        <v>0</v>
      </c>
      <c r="X431">
        <f>_xlfn.XLOOKUP(B431,CRN!G:G,CRN!T:T,"")</f>
        <v>0</v>
      </c>
      <c r="Y431">
        <f>IF(X431=0,0,_xlfn.XLOOKUP(C431,CLIENT_CODE!B:B,CLIENT_CODE!P:P,0))</f>
        <v>0</v>
      </c>
      <c r="Z431">
        <f>_xlfn.XLOOKUP(B431,CRN!G:G,CRN!U:U,"")</f>
        <v>0</v>
      </c>
      <c r="AA431">
        <f>IF(X431=0,0,_xlfn.XLOOKUP(C431,CLIENT_CODE!B:B,CLIENT_CODE!P:P,0))</f>
        <v>0</v>
      </c>
      <c r="AB431">
        <f>_xlfn.XLOOKUP(B431,CRN!G:G,CRN!V:V,"")</f>
        <v>0</v>
      </c>
      <c r="AC431">
        <f>IF(AB431=0,0,_xlfn.XLOOKUP(C431,CLIENT_CODE!B:B,CLIENT_CODE!R:R,0))</f>
        <v>0</v>
      </c>
      <c r="AD431">
        <f t="shared" si="6"/>
        <v>0</v>
      </c>
    </row>
    <row r="432" spans="1:30">
      <c r="A432" s="42">
        <v>431</v>
      </c>
      <c r="E432">
        <f>IF(D432=0,0,_xlfn.XLOOKUP(C432,CLIENT_CODE!B:B,CLIENT_CODE!F:F,0))</f>
        <v>0</v>
      </c>
      <c r="F432">
        <f>_xlfn.XLOOKUP(B432,CRN!G:G,CRN!K:K,"")</f>
        <v>0</v>
      </c>
      <c r="G432">
        <f>IF(F432=0,0,_xlfn.XLOOKUP(C432,CLIENT_CODE!B:B,CLIENT_CODE!G:G,0))</f>
        <v>0</v>
      </c>
      <c r="H432">
        <f>_xlfn.XLOOKUP(B432,CRN!G:G,CRN!L:L,"")</f>
        <v>0</v>
      </c>
      <c r="I432">
        <f>IF(H432=0,0,_xlfn.XLOOKUP(C432,CLIENT_CODE!B:B,CLIENT_CODE!H:H,0))</f>
        <v>0</v>
      </c>
      <c r="J432">
        <f>_xlfn.XLOOKUP(B432,CRN!G:G,CRN!M:M,"")</f>
        <v>0</v>
      </c>
      <c r="K432">
        <f>IF(J432=0,0,_xlfn.XLOOKUP(C432,CLIENT_CODE!B:B,CLIENT_CODE!I:I,0))</f>
        <v>0</v>
      </c>
      <c r="L432">
        <f>_xlfn.XLOOKUP(B432,CRN!G:G,CRN!N:N,"")</f>
        <v>0</v>
      </c>
      <c r="M432">
        <f>IF(L432=0,0,_xlfn.XLOOKUP(C432,CLIENT_CODE!B:B,CLIENT_CODE!J:J,0))</f>
        <v>0</v>
      </c>
      <c r="N432">
        <f>_xlfn.XLOOKUP(B432,CRN!G:G,CRN!O:O,"")</f>
        <v>0</v>
      </c>
      <c r="O432">
        <f>IF(N432=0,0,_xlfn.XLOOKUP(C432,CLIENT_CODE!B:B,CLIENT_CODE!K:K,0))</f>
        <v>0</v>
      </c>
      <c r="P432">
        <f>_xlfn.XLOOKUP(B432,CRN!G:G,CRN!P:P,"")</f>
        <v>0</v>
      </c>
      <c r="Q432">
        <f>IF(P432=0,0,_xlfn.XLOOKUP(C432,CLIENT_CODE!B:B,CLIENT_CODE!L:L,0))</f>
        <v>0</v>
      </c>
      <c r="R432">
        <f>_xlfn.XLOOKUP(B432,CRN!G:G,CRN!Q:Q,"")</f>
        <v>0</v>
      </c>
      <c r="S432">
        <f>IF(R432=0,0,_xlfn.XLOOKUP(C432,CLIENT_CODE!B:B,CLIENT_CODE!M:M,0))</f>
        <v>0</v>
      </c>
      <c r="T432">
        <f>_xlfn.XLOOKUP(B432,CRN!G:G,CRN!R:R,"")</f>
        <v>0</v>
      </c>
      <c r="U432">
        <f>IF(T432=0,0,_xlfn.XLOOKUP(C432,CLIENT_CODE!B:B,CLIENT_CODE!N:N,0))</f>
        <v>0</v>
      </c>
      <c r="V432">
        <f>_xlfn.XLOOKUP(B432,CRN!G:G,CRN!S:S,"")</f>
        <v>0</v>
      </c>
      <c r="W432">
        <f>IF(V432=0,0,_xlfn.XLOOKUP(C432,CLIENT_CODE!B:B,CLIENT_CODE!O:O,0))</f>
        <v>0</v>
      </c>
      <c r="X432">
        <f>_xlfn.XLOOKUP(B432,CRN!G:G,CRN!T:T,"")</f>
        <v>0</v>
      </c>
      <c r="Y432">
        <f>IF(X432=0,0,_xlfn.XLOOKUP(C432,CLIENT_CODE!B:B,CLIENT_CODE!P:P,0))</f>
        <v>0</v>
      </c>
      <c r="Z432">
        <f>_xlfn.XLOOKUP(B432,CRN!G:G,CRN!U:U,"")</f>
        <v>0</v>
      </c>
      <c r="AA432">
        <f>IF(X432=0,0,_xlfn.XLOOKUP(C432,CLIENT_CODE!B:B,CLIENT_CODE!P:P,0))</f>
        <v>0</v>
      </c>
      <c r="AB432">
        <f>_xlfn.XLOOKUP(B432,CRN!G:G,CRN!V:V,"")</f>
        <v>0</v>
      </c>
      <c r="AC432">
        <f>IF(AB432=0,0,_xlfn.XLOOKUP(C432,CLIENT_CODE!B:B,CLIENT_CODE!R:R,0))</f>
        <v>0</v>
      </c>
      <c r="AD432">
        <f t="shared" si="6"/>
        <v>0</v>
      </c>
    </row>
    <row r="433" spans="1:30">
      <c r="A433" s="42">
        <v>432</v>
      </c>
      <c r="E433">
        <f>IF(D433=0,0,_xlfn.XLOOKUP(C433,CLIENT_CODE!B:B,CLIENT_CODE!F:F,0))</f>
        <v>0</v>
      </c>
      <c r="F433">
        <f>_xlfn.XLOOKUP(B433,CRN!G:G,CRN!K:K,"")</f>
        <v>0</v>
      </c>
      <c r="G433">
        <f>IF(F433=0,0,_xlfn.XLOOKUP(C433,CLIENT_CODE!B:B,CLIENT_CODE!G:G,0))</f>
        <v>0</v>
      </c>
      <c r="H433">
        <f>_xlfn.XLOOKUP(B433,CRN!G:G,CRN!L:L,"")</f>
        <v>0</v>
      </c>
      <c r="I433">
        <f>IF(H433=0,0,_xlfn.XLOOKUP(C433,CLIENT_CODE!B:B,CLIENT_CODE!H:H,0))</f>
        <v>0</v>
      </c>
      <c r="J433">
        <f>_xlfn.XLOOKUP(B433,CRN!G:G,CRN!M:M,"")</f>
        <v>0</v>
      </c>
      <c r="K433">
        <f>IF(J433=0,0,_xlfn.XLOOKUP(C433,CLIENT_CODE!B:B,CLIENT_CODE!I:I,0))</f>
        <v>0</v>
      </c>
      <c r="L433">
        <f>_xlfn.XLOOKUP(B433,CRN!G:G,CRN!N:N,"")</f>
        <v>0</v>
      </c>
      <c r="M433">
        <f>IF(L433=0,0,_xlfn.XLOOKUP(C433,CLIENT_CODE!B:B,CLIENT_CODE!J:J,0))</f>
        <v>0</v>
      </c>
      <c r="N433">
        <f>_xlfn.XLOOKUP(B433,CRN!G:G,CRN!O:O,"")</f>
        <v>0</v>
      </c>
      <c r="O433">
        <f>IF(N433=0,0,_xlfn.XLOOKUP(C433,CLIENT_CODE!B:B,CLIENT_CODE!K:K,0))</f>
        <v>0</v>
      </c>
      <c r="P433">
        <f>_xlfn.XLOOKUP(B433,CRN!G:G,CRN!P:P,"")</f>
        <v>0</v>
      </c>
      <c r="Q433">
        <f>IF(P433=0,0,_xlfn.XLOOKUP(C433,CLIENT_CODE!B:B,CLIENT_CODE!L:L,0))</f>
        <v>0</v>
      </c>
      <c r="R433">
        <f>_xlfn.XLOOKUP(B433,CRN!G:G,CRN!Q:Q,"")</f>
        <v>0</v>
      </c>
      <c r="S433">
        <f>IF(R433=0,0,_xlfn.XLOOKUP(C433,CLIENT_CODE!B:B,CLIENT_CODE!M:M,0))</f>
        <v>0</v>
      </c>
      <c r="T433">
        <f>_xlfn.XLOOKUP(B433,CRN!G:G,CRN!R:R,"")</f>
        <v>0</v>
      </c>
      <c r="U433">
        <f>IF(T433=0,0,_xlfn.XLOOKUP(C433,CLIENT_CODE!B:B,CLIENT_CODE!N:N,0))</f>
        <v>0</v>
      </c>
      <c r="V433">
        <f>_xlfn.XLOOKUP(B433,CRN!G:G,CRN!S:S,"")</f>
        <v>0</v>
      </c>
      <c r="W433">
        <f>IF(V433=0,0,_xlfn.XLOOKUP(C433,CLIENT_CODE!B:B,CLIENT_CODE!O:O,0))</f>
        <v>0</v>
      </c>
      <c r="X433">
        <f>_xlfn.XLOOKUP(B433,CRN!G:G,CRN!T:T,"")</f>
        <v>0</v>
      </c>
      <c r="Y433">
        <f>IF(X433=0,0,_xlfn.XLOOKUP(C433,CLIENT_CODE!B:B,CLIENT_CODE!P:P,0))</f>
        <v>0</v>
      </c>
      <c r="Z433">
        <f>_xlfn.XLOOKUP(B433,CRN!G:G,CRN!U:U,"")</f>
        <v>0</v>
      </c>
      <c r="AA433">
        <f>IF(X433=0,0,_xlfn.XLOOKUP(C433,CLIENT_CODE!B:B,CLIENT_CODE!P:P,0))</f>
        <v>0</v>
      </c>
      <c r="AB433">
        <f>_xlfn.XLOOKUP(B433,CRN!G:G,CRN!V:V,"")</f>
        <v>0</v>
      </c>
      <c r="AC433">
        <f>IF(AB433=0,0,_xlfn.XLOOKUP(C433,CLIENT_CODE!B:B,CLIENT_CODE!R:R,0))</f>
        <v>0</v>
      </c>
      <c r="AD433">
        <f t="shared" si="6"/>
        <v>0</v>
      </c>
    </row>
    <row r="434" spans="1:30">
      <c r="A434" s="42">
        <v>433</v>
      </c>
      <c r="E434">
        <f>IF(D434=0,0,_xlfn.XLOOKUP(C434,CLIENT_CODE!B:B,CLIENT_CODE!F:F,0))</f>
        <v>0</v>
      </c>
      <c r="F434">
        <f>_xlfn.XLOOKUP(B434,CRN!G:G,CRN!K:K,"")</f>
        <v>0</v>
      </c>
      <c r="G434">
        <f>IF(F434=0,0,_xlfn.XLOOKUP(C434,CLIENT_CODE!B:B,CLIENT_CODE!G:G,0))</f>
        <v>0</v>
      </c>
      <c r="H434">
        <f>_xlfn.XLOOKUP(B434,CRN!G:G,CRN!L:L,"")</f>
        <v>0</v>
      </c>
      <c r="I434">
        <f>IF(H434=0,0,_xlfn.XLOOKUP(C434,CLIENT_CODE!B:B,CLIENT_CODE!H:H,0))</f>
        <v>0</v>
      </c>
      <c r="J434">
        <f>_xlfn.XLOOKUP(B434,CRN!G:G,CRN!M:M,"")</f>
        <v>0</v>
      </c>
      <c r="K434">
        <f>IF(J434=0,0,_xlfn.XLOOKUP(C434,CLIENT_CODE!B:B,CLIENT_CODE!I:I,0))</f>
        <v>0</v>
      </c>
      <c r="L434">
        <f>_xlfn.XLOOKUP(B434,CRN!G:G,CRN!N:N,"")</f>
        <v>0</v>
      </c>
      <c r="M434">
        <f>IF(L434=0,0,_xlfn.XLOOKUP(C434,CLIENT_CODE!B:B,CLIENT_CODE!J:J,0))</f>
        <v>0</v>
      </c>
      <c r="N434">
        <f>_xlfn.XLOOKUP(B434,CRN!G:G,CRN!O:O,"")</f>
        <v>0</v>
      </c>
      <c r="O434">
        <f>IF(N434=0,0,_xlfn.XLOOKUP(C434,CLIENT_CODE!B:B,CLIENT_CODE!K:K,0))</f>
        <v>0</v>
      </c>
      <c r="P434">
        <f>_xlfn.XLOOKUP(B434,CRN!G:G,CRN!P:P,"")</f>
        <v>0</v>
      </c>
      <c r="Q434">
        <f>IF(P434=0,0,_xlfn.XLOOKUP(C434,CLIENT_CODE!B:B,CLIENT_CODE!L:L,0))</f>
        <v>0</v>
      </c>
      <c r="R434">
        <f>_xlfn.XLOOKUP(B434,CRN!G:G,CRN!Q:Q,"")</f>
        <v>0</v>
      </c>
      <c r="S434">
        <f>IF(R434=0,0,_xlfn.XLOOKUP(C434,CLIENT_CODE!B:B,CLIENT_CODE!M:M,0))</f>
        <v>0</v>
      </c>
      <c r="T434">
        <f>_xlfn.XLOOKUP(B434,CRN!G:G,CRN!R:R,"")</f>
        <v>0</v>
      </c>
      <c r="U434">
        <f>IF(T434=0,0,_xlfn.XLOOKUP(C434,CLIENT_CODE!B:B,CLIENT_CODE!N:N,0))</f>
        <v>0</v>
      </c>
      <c r="V434">
        <f>_xlfn.XLOOKUP(B434,CRN!G:G,CRN!S:S,"")</f>
        <v>0</v>
      </c>
      <c r="W434">
        <f>IF(V434=0,0,_xlfn.XLOOKUP(C434,CLIENT_CODE!B:B,CLIENT_CODE!O:O,0))</f>
        <v>0</v>
      </c>
      <c r="X434">
        <f>_xlfn.XLOOKUP(B434,CRN!G:G,CRN!T:T,"")</f>
        <v>0</v>
      </c>
      <c r="Y434">
        <f>IF(X434=0,0,_xlfn.XLOOKUP(C434,CLIENT_CODE!B:B,CLIENT_CODE!P:P,0))</f>
        <v>0</v>
      </c>
      <c r="Z434">
        <f>_xlfn.XLOOKUP(B434,CRN!G:G,CRN!U:U,"")</f>
        <v>0</v>
      </c>
      <c r="AA434">
        <f>IF(X434=0,0,_xlfn.XLOOKUP(C434,CLIENT_CODE!B:B,CLIENT_CODE!P:P,0))</f>
        <v>0</v>
      </c>
      <c r="AB434">
        <f>_xlfn.XLOOKUP(B434,CRN!G:G,CRN!V:V,"")</f>
        <v>0</v>
      </c>
      <c r="AC434">
        <f>IF(AB434=0,0,_xlfn.XLOOKUP(C434,CLIENT_CODE!B:B,CLIENT_CODE!R:R,0))</f>
        <v>0</v>
      </c>
      <c r="AD434">
        <f t="shared" si="6"/>
        <v>0</v>
      </c>
    </row>
    <row r="435" spans="1:30">
      <c r="A435" s="42">
        <v>434</v>
      </c>
      <c r="E435">
        <f>IF(D435=0,0,_xlfn.XLOOKUP(C435,CLIENT_CODE!B:B,CLIENT_CODE!F:F,0))</f>
        <v>0</v>
      </c>
      <c r="F435">
        <f>_xlfn.XLOOKUP(B435,CRN!G:G,CRN!K:K,"")</f>
        <v>0</v>
      </c>
      <c r="G435">
        <f>IF(F435=0,0,_xlfn.XLOOKUP(C435,CLIENT_CODE!B:B,CLIENT_CODE!G:G,0))</f>
        <v>0</v>
      </c>
      <c r="H435">
        <f>_xlfn.XLOOKUP(B435,CRN!G:G,CRN!L:L,"")</f>
        <v>0</v>
      </c>
      <c r="I435">
        <f>IF(H435=0,0,_xlfn.XLOOKUP(C435,CLIENT_CODE!B:B,CLIENT_CODE!H:H,0))</f>
        <v>0</v>
      </c>
      <c r="J435">
        <f>_xlfn.XLOOKUP(B435,CRN!G:G,CRN!M:M,"")</f>
        <v>0</v>
      </c>
      <c r="K435">
        <f>IF(J435=0,0,_xlfn.XLOOKUP(C435,CLIENT_CODE!B:B,CLIENT_CODE!I:I,0))</f>
        <v>0</v>
      </c>
      <c r="L435">
        <f>_xlfn.XLOOKUP(B435,CRN!G:G,CRN!N:N,"")</f>
        <v>0</v>
      </c>
      <c r="M435">
        <f>IF(L435=0,0,_xlfn.XLOOKUP(C435,CLIENT_CODE!B:B,CLIENT_CODE!J:J,0))</f>
        <v>0</v>
      </c>
      <c r="N435">
        <f>_xlfn.XLOOKUP(B435,CRN!G:G,CRN!O:O,"")</f>
        <v>0</v>
      </c>
      <c r="O435">
        <f>IF(N435=0,0,_xlfn.XLOOKUP(C435,CLIENT_CODE!B:B,CLIENT_CODE!K:K,0))</f>
        <v>0</v>
      </c>
      <c r="P435">
        <f>_xlfn.XLOOKUP(B435,CRN!G:G,CRN!P:P,"")</f>
        <v>0</v>
      </c>
      <c r="Q435">
        <f>IF(P435=0,0,_xlfn.XLOOKUP(C435,CLIENT_CODE!B:B,CLIENT_CODE!L:L,0))</f>
        <v>0</v>
      </c>
      <c r="R435">
        <f>_xlfn.XLOOKUP(B435,CRN!G:G,CRN!Q:Q,"")</f>
        <v>0</v>
      </c>
      <c r="S435">
        <f>IF(R435=0,0,_xlfn.XLOOKUP(C435,CLIENT_CODE!B:B,CLIENT_CODE!M:M,0))</f>
        <v>0</v>
      </c>
      <c r="T435">
        <f>_xlfn.XLOOKUP(B435,CRN!G:G,CRN!R:R,"")</f>
        <v>0</v>
      </c>
      <c r="U435">
        <f>IF(T435=0,0,_xlfn.XLOOKUP(C435,CLIENT_CODE!B:B,CLIENT_CODE!N:N,0))</f>
        <v>0</v>
      </c>
      <c r="V435">
        <f>_xlfn.XLOOKUP(B435,CRN!G:G,CRN!S:S,"")</f>
        <v>0</v>
      </c>
      <c r="W435">
        <f>IF(V435=0,0,_xlfn.XLOOKUP(C435,CLIENT_CODE!B:B,CLIENT_CODE!O:O,0))</f>
        <v>0</v>
      </c>
      <c r="X435">
        <f>_xlfn.XLOOKUP(B435,CRN!G:G,CRN!T:T,"")</f>
        <v>0</v>
      </c>
      <c r="Y435">
        <f>IF(X435=0,0,_xlfn.XLOOKUP(C435,CLIENT_CODE!B:B,CLIENT_CODE!P:P,0))</f>
        <v>0</v>
      </c>
      <c r="Z435">
        <f>_xlfn.XLOOKUP(B435,CRN!G:G,CRN!U:U,"")</f>
        <v>0</v>
      </c>
      <c r="AA435">
        <f>IF(X435=0,0,_xlfn.XLOOKUP(C435,CLIENT_CODE!B:B,CLIENT_CODE!P:P,0))</f>
        <v>0</v>
      </c>
      <c r="AB435">
        <f>_xlfn.XLOOKUP(B435,CRN!G:G,CRN!V:V,"")</f>
        <v>0</v>
      </c>
      <c r="AC435">
        <f>IF(AB435=0,0,_xlfn.XLOOKUP(C435,CLIENT_CODE!B:B,CLIENT_CODE!R:R,0))</f>
        <v>0</v>
      </c>
      <c r="AD435">
        <f t="shared" si="6"/>
        <v>0</v>
      </c>
    </row>
    <row r="436" spans="1:30">
      <c r="A436" s="42">
        <v>435</v>
      </c>
      <c r="E436">
        <f>IF(D436=0,0,_xlfn.XLOOKUP(C436,CLIENT_CODE!B:B,CLIENT_CODE!F:F,0))</f>
        <v>0</v>
      </c>
      <c r="F436">
        <f>_xlfn.XLOOKUP(B436,CRN!G:G,CRN!K:K,"")</f>
        <v>0</v>
      </c>
      <c r="G436">
        <f>IF(F436=0,0,_xlfn.XLOOKUP(C436,CLIENT_CODE!B:B,CLIENT_CODE!G:G,0))</f>
        <v>0</v>
      </c>
      <c r="H436">
        <f>_xlfn.XLOOKUP(B436,CRN!G:G,CRN!L:L,"")</f>
        <v>0</v>
      </c>
      <c r="I436">
        <f>IF(H436=0,0,_xlfn.XLOOKUP(C436,CLIENT_CODE!B:B,CLIENT_CODE!H:H,0))</f>
        <v>0</v>
      </c>
      <c r="J436">
        <f>_xlfn.XLOOKUP(B436,CRN!G:G,CRN!M:M,"")</f>
        <v>0</v>
      </c>
      <c r="K436">
        <f>IF(J436=0,0,_xlfn.XLOOKUP(C436,CLIENT_CODE!B:B,CLIENT_CODE!I:I,0))</f>
        <v>0</v>
      </c>
      <c r="L436">
        <f>_xlfn.XLOOKUP(B436,CRN!G:G,CRN!N:N,"")</f>
        <v>0</v>
      </c>
      <c r="M436">
        <f>IF(L436=0,0,_xlfn.XLOOKUP(C436,CLIENT_CODE!B:B,CLIENT_CODE!J:J,0))</f>
        <v>0</v>
      </c>
      <c r="N436">
        <f>_xlfn.XLOOKUP(B436,CRN!G:G,CRN!O:O,"")</f>
        <v>0</v>
      </c>
      <c r="O436">
        <f>IF(N436=0,0,_xlfn.XLOOKUP(C436,CLIENT_CODE!B:B,CLIENT_CODE!K:K,0))</f>
        <v>0</v>
      </c>
      <c r="P436">
        <f>_xlfn.XLOOKUP(B436,CRN!G:G,CRN!P:P,"")</f>
        <v>0</v>
      </c>
      <c r="Q436">
        <f>IF(P436=0,0,_xlfn.XLOOKUP(C436,CLIENT_CODE!B:B,CLIENT_CODE!L:L,0))</f>
        <v>0</v>
      </c>
      <c r="R436">
        <f>_xlfn.XLOOKUP(B436,CRN!G:G,CRN!Q:Q,"")</f>
        <v>0</v>
      </c>
      <c r="S436">
        <f>IF(R436=0,0,_xlfn.XLOOKUP(C436,CLIENT_CODE!B:B,CLIENT_CODE!M:M,0))</f>
        <v>0</v>
      </c>
      <c r="T436">
        <f>_xlfn.XLOOKUP(B436,CRN!G:G,CRN!R:R,"")</f>
        <v>0</v>
      </c>
      <c r="U436">
        <f>IF(T436=0,0,_xlfn.XLOOKUP(C436,CLIENT_CODE!B:B,CLIENT_CODE!N:N,0))</f>
        <v>0</v>
      </c>
      <c r="V436">
        <f>_xlfn.XLOOKUP(B436,CRN!G:G,CRN!S:S,"")</f>
        <v>0</v>
      </c>
      <c r="W436">
        <f>IF(V436=0,0,_xlfn.XLOOKUP(C436,CLIENT_CODE!B:B,CLIENT_CODE!O:O,0))</f>
        <v>0</v>
      </c>
      <c r="X436">
        <f>_xlfn.XLOOKUP(B436,CRN!G:G,CRN!T:T,"")</f>
        <v>0</v>
      </c>
      <c r="Y436">
        <f>IF(X436=0,0,_xlfn.XLOOKUP(C436,CLIENT_CODE!B:B,CLIENT_CODE!P:P,0))</f>
        <v>0</v>
      </c>
      <c r="Z436">
        <f>_xlfn.XLOOKUP(B436,CRN!G:G,CRN!U:U,"")</f>
        <v>0</v>
      </c>
      <c r="AA436">
        <f>IF(X436=0,0,_xlfn.XLOOKUP(C436,CLIENT_CODE!B:B,CLIENT_CODE!P:P,0))</f>
        <v>0</v>
      </c>
      <c r="AB436">
        <f>_xlfn.XLOOKUP(B436,CRN!G:G,CRN!V:V,"")</f>
        <v>0</v>
      </c>
      <c r="AC436">
        <f>IF(AB436=0,0,_xlfn.XLOOKUP(C436,CLIENT_CODE!B:B,CLIENT_CODE!R:R,0))</f>
        <v>0</v>
      </c>
      <c r="AD436">
        <f t="shared" si="6"/>
        <v>0</v>
      </c>
    </row>
    <row r="437" spans="1:30">
      <c r="A437" s="42">
        <v>436</v>
      </c>
      <c r="E437">
        <f>IF(D437=0,0,_xlfn.XLOOKUP(C437,CLIENT_CODE!B:B,CLIENT_CODE!F:F,0))</f>
        <v>0</v>
      </c>
      <c r="F437">
        <f>_xlfn.XLOOKUP(B437,CRN!G:G,CRN!K:K,"")</f>
        <v>0</v>
      </c>
      <c r="G437">
        <f>IF(F437=0,0,_xlfn.XLOOKUP(C437,CLIENT_CODE!B:B,CLIENT_CODE!G:G,0))</f>
        <v>0</v>
      </c>
      <c r="H437">
        <f>_xlfn.XLOOKUP(B437,CRN!G:G,CRN!L:L,"")</f>
        <v>0</v>
      </c>
      <c r="I437">
        <f>IF(H437=0,0,_xlfn.XLOOKUP(C437,CLIENT_CODE!B:B,CLIENT_CODE!H:H,0))</f>
        <v>0</v>
      </c>
      <c r="J437">
        <f>_xlfn.XLOOKUP(B437,CRN!G:G,CRN!M:M,"")</f>
        <v>0</v>
      </c>
      <c r="K437">
        <f>IF(J437=0,0,_xlfn.XLOOKUP(C437,CLIENT_CODE!B:B,CLIENT_CODE!I:I,0))</f>
        <v>0</v>
      </c>
      <c r="L437">
        <f>_xlfn.XLOOKUP(B437,CRN!G:G,CRN!N:N,"")</f>
        <v>0</v>
      </c>
      <c r="M437">
        <f>IF(L437=0,0,_xlfn.XLOOKUP(C437,CLIENT_CODE!B:B,CLIENT_CODE!J:J,0))</f>
        <v>0</v>
      </c>
      <c r="N437">
        <f>_xlfn.XLOOKUP(B437,CRN!G:G,CRN!O:O,"")</f>
        <v>0</v>
      </c>
      <c r="O437">
        <f>IF(N437=0,0,_xlfn.XLOOKUP(C437,CLIENT_CODE!B:B,CLIENT_CODE!K:K,0))</f>
        <v>0</v>
      </c>
      <c r="P437">
        <f>_xlfn.XLOOKUP(B437,CRN!G:G,CRN!P:P,"")</f>
        <v>0</v>
      </c>
      <c r="Q437">
        <f>IF(P437=0,0,_xlfn.XLOOKUP(C437,CLIENT_CODE!B:B,CLIENT_CODE!L:L,0))</f>
        <v>0</v>
      </c>
      <c r="R437">
        <f>_xlfn.XLOOKUP(B437,CRN!G:G,CRN!Q:Q,"")</f>
        <v>0</v>
      </c>
      <c r="S437">
        <f>IF(R437=0,0,_xlfn.XLOOKUP(C437,CLIENT_CODE!B:B,CLIENT_CODE!M:M,0))</f>
        <v>0</v>
      </c>
      <c r="T437">
        <f>_xlfn.XLOOKUP(B437,CRN!G:G,CRN!R:R,"")</f>
        <v>0</v>
      </c>
      <c r="U437">
        <f>IF(T437=0,0,_xlfn.XLOOKUP(C437,CLIENT_CODE!B:B,CLIENT_CODE!N:N,0))</f>
        <v>0</v>
      </c>
      <c r="V437">
        <f>_xlfn.XLOOKUP(B437,CRN!G:G,CRN!S:S,"")</f>
        <v>0</v>
      </c>
      <c r="W437">
        <f>IF(V437=0,0,_xlfn.XLOOKUP(C437,CLIENT_CODE!B:B,CLIENT_CODE!O:O,0))</f>
        <v>0</v>
      </c>
      <c r="X437">
        <f>_xlfn.XLOOKUP(B437,CRN!G:G,CRN!T:T,"")</f>
        <v>0</v>
      </c>
      <c r="Y437">
        <f>IF(X437=0,0,_xlfn.XLOOKUP(C437,CLIENT_CODE!B:B,CLIENT_CODE!P:P,0))</f>
        <v>0</v>
      </c>
      <c r="Z437">
        <f>_xlfn.XLOOKUP(B437,CRN!G:G,CRN!U:U,"")</f>
        <v>0</v>
      </c>
      <c r="AA437">
        <f>IF(X437=0,0,_xlfn.XLOOKUP(C437,CLIENT_CODE!B:B,CLIENT_CODE!P:P,0))</f>
        <v>0</v>
      </c>
      <c r="AB437">
        <f>_xlfn.XLOOKUP(B437,CRN!G:G,CRN!V:V,"")</f>
        <v>0</v>
      </c>
      <c r="AC437">
        <f>IF(AB437=0,0,_xlfn.XLOOKUP(C437,CLIENT_CODE!B:B,CLIENT_CODE!R:R,0))</f>
        <v>0</v>
      </c>
      <c r="AD437">
        <f t="shared" si="6"/>
        <v>0</v>
      </c>
    </row>
    <row r="438" spans="1:30">
      <c r="A438" s="42">
        <v>437</v>
      </c>
      <c r="E438">
        <f>IF(D438=0,0,_xlfn.XLOOKUP(C438,CLIENT_CODE!B:B,CLIENT_CODE!F:F,0))</f>
        <v>0</v>
      </c>
      <c r="F438">
        <f>_xlfn.XLOOKUP(B438,CRN!G:G,CRN!K:K,"")</f>
        <v>0</v>
      </c>
      <c r="G438">
        <f>IF(F438=0,0,_xlfn.XLOOKUP(C438,CLIENT_CODE!B:B,CLIENT_CODE!G:G,0))</f>
        <v>0</v>
      </c>
      <c r="H438">
        <f>_xlfn.XLOOKUP(B438,CRN!G:G,CRN!L:L,"")</f>
        <v>0</v>
      </c>
      <c r="I438">
        <f>IF(H438=0,0,_xlfn.XLOOKUP(C438,CLIENT_CODE!B:B,CLIENT_CODE!H:H,0))</f>
        <v>0</v>
      </c>
      <c r="J438">
        <f>_xlfn.XLOOKUP(B438,CRN!G:G,CRN!M:M,"")</f>
        <v>0</v>
      </c>
      <c r="K438">
        <f>IF(J438=0,0,_xlfn.XLOOKUP(C438,CLIENT_CODE!B:B,CLIENT_CODE!I:I,0))</f>
        <v>0</v>
      </c>
      <c r="L438">
        <f>_xlfn.XLOOKUP(B438,CRN!G:G,CRN!N:N,"")</f>
        <v>0</v>
      </c>
      <c r="M438">
        <f>IF(L438=0,0,_xlfn.XLOOKUP(C438,CLIENT_CODE!B:B,CLIENT_CODE!J:J,0))</f>
        <v>0</v>
      </c>
      <c r="N438">
        <f>_xlfn.XLOOKUP(B438,CRN!G:G,CRN!O:O,"")</f>
        <v>0</v>
      </c>
      <c r="O438">
        <f>IF(N438=0,0,_xlfn.XLOOKUP(C438,CLIENT_CODE!B:B,CLIENT_CODE!K:K,0))</f>
        <v>0</v>
      </c>
      <c r="P438">
        <f>_xlfn.XLOOKUP(B438,CRN!G:G,CRN!P:P,"")</f>
        <v>0</v>
      </c>
      <c r="Q438">
        <f>IF(P438=0,0,_xlfn.XLOOKUP(C438,CLIENT_CODE!B:B,CLIENT_CODE!L:L,0))</f>
        <v>0</v>
      </c>
      <c r="R438">
        <f>_xlfn.XLOOKUP(B438,CRN!G:G,CRN!Q:Q,"")</f>
        <v>0</v>
      </c>
      <c r="S438">
        <f>IF(R438=0,0,_xlfn.XLOOKUP(C438,CLIENT_CODE!B:B,CLIENT_CODE!M:M,0))</f>
        <v>0</v>
      </c>
      <c r="T438">
        <f>_xlfn.XLOOKUP(B438,CRN!G:G,CRN!R:R,"")</f>
        <v>0</v>
      </c>
      <c r="U438">
        <f>IF(T438=0,0,_xlfn.XLOOKUP(C438,CLIENT_CODE!B:B,CLIENT_CODE!N:N,0))</f>
        <v>0</v>
      </c>
      <c r="V438">
        <f>_xlfn.XLOOKUP(B438,CRN!G:G,CRN!S:S,"")</f>
        <v>0</v>
      </c>
      <c r="W438">
        <f>IF(V438=0,0,_xlfn.XLOOKUP(C438,CLIENT_CODE!B:B,CLIENT_CODE!O:O,0))</f>
        <v>0</v>
      </c>
      <c r="X438">
        <f>_xlfn.XLOOKUP(B438,CRN!G:G,CRN!T:T,"")</f>
        <v>0</v>
      </c>
      <c r="Y438">
        <f>IF(X438=0,0,_xlfn.XLOOKUP(C438,CLIENT_CODE!B:B,CLIENT_CODE!P:P,0))</f>
        <v>0</v>
      </c>
      <c r="Z438">
        <f>_xlfn.XLOOKUP(B438,CRN!G:G,CRN!U:U,"")</f>
        <v>0</v>
      </c>
      <c r="AA438">
        <f>IF(X438=0,0,_xlfn.XLOOKUP(C438,CLIENT_CODE!B:B,CLIENT_CODE!P:P,0))</f>
        <v>0</v>
      </c>
      <c r="AB438">
        <f>_xlfn.XLOOKUP(B438,CRN!G:G,CRN!V:V,"")</f>
        <v>0</v>
      </c>
      <c r="AC438">
        <f>IF(AB438=0,0,_xlfn.XLOOKUP(C438,CLIENT_CODE!B:B,CLIENT_CODE!R:R,0))</f>
        <v>0</v>
      </c>
      <c r="AD438">
        <f t="shared" si="6"/>
        <v>0</v>
      </c>
    </row>
    <row r="439" spans="1:30">
      <c r="A439" s="42">
        <v>438</v>
      </c>
      <c r="E439">
        <f>IF(D439=0,0,_xlfn.XLOOKUP(C439,CLIENT_CODE!B:B,CLIENT_CODE!F:F,0))</f>
        <v>0</v>
      </c>
      <c r="F439">
        <f>_xlfn.XLOOKUP(B439,CRN!G:G,CRN!K:K,"")</f>
        <v>0</v>
      </c>
      <c r="G439">
        <f>IF(F439=0,0,_xlfn.XLOOKUP(C439,CLIENT_CODE!B:B,CLIENT_CODE!G:G,0))</f>
        <v>0</v>
      </c>
      <c r="H439">
        <f>_xlfn.XLOOKUP(B439,CRN!G:G,CRN!L:L,"")</f>
        <v>0</v>
      </c>
      <c r="I439">
        <f>IF(H439=0,0,_xlfn.XLOOKUP(C439,CLIENT_CODE!B:B,CLIENT_CODE!H:H,0))</f>
        <v>0</v>
      </c>
      <c r="J439">
        <f>_xlfn.XLOOKUP(B439,CRN!G:G,CRN!M:M,"")</f>
        <v>0</v>
      </c>
      <c r="K439">
        <f>IF(J439=0,0,_xlfn.XLOOKUP(C439,CLIENT_CODE!B:B,CLIENT_CODE!I:I,0))</f>
        <v>0</v>
      </c>
      <c r="L439">
        <f>_xlfn.XLOOKUP(B439,CRN!G:G,CRN!N:N,"")</f>
        <v>0</v>
      </c>
      <c r="M439">
        <f>IF(L439=0,0,_xlfn.XLOOKUP(C439,CLIENT_CODE!B:B,CLIENT_CODE!J:J,0))</f>
        <v>0</v>
      </c>
      <c r="N439">
        <f>_xlfn.XLOOKUP(B439,CRN!G:G,CRN!O:O,"")</f>
        <v>0</v>
      </c>
      <c r="O439">
        <f>IF(N439=0,0,_xlfn.XLOOKUP(C439,CLIENT_CODE!B:B,CLIENT_CODE!K:K,0))</f>
        <v>0</v>
      </c>
      <c r="P439">
        <f>_xlfn.XLOOKUP(B439,CRN!G:G,CRN!P:P,"")</f>
        <v>0</v>
      </c>
      <c r="Q439">
        <f>IF(P439=0,0,_xlfn.XLOOKUP(C439,CLIENT_CODE!B:B,CLIENT_CODE!L:L,0))</f>
        <v>0</v>
      </c>
      <c r="R439">
        <f>_xlfn.XLOOKUP(B439,CRN!G:G,CRN!Q:Q,"")</f>
        <v>0</v>
      </c>
      <c r="S439">
        <f>IF(R439=0,0,_xlfn.XLOOKUP(C439,CLIENT_CODE!B:B,CLIENT_CODE!M:M,0))</f>
        <v>0</v>
      </c>
      <c r="T439">
        <f>_xlfn.XLOOKUP(B439,CRN!G:G,CRN!R:R,"")</f>
        <v>0</v>
      </c>
      <c r="U439">
        <f>IF(T439=0,0,_xlfn.XLOOKUP(C439,CLIENT_CODE!B:B,CLIENT_CODE!N:N,0))</f>
        <v>0</v>
      </c>
      <c r="V439">
        <f>_xlfn.XLOOKUP(B439,CRN!G:G,CRN!S:S,"")</f>
        <v>0</v>
      </c>
      <c r="W439">
        <f>IF(V439=0,0,_xlfn.XLOOKUP(C439,CLIENT_CODE!B:B,CLIENT_CODE!O:O,0))</f>
        <v>0</v>
      </c>
      <c r="X439">
        <f>_xlfn.XLOOKUP(B439,CRN!G:G,CRN!T:T,"")</f>
        <v>0</v>
      </c>
      <c r="Y439">
        <f>IF(X439=0,0,_xlfn.XLOOKUP(C439,CLIENT_CODE!B:B,CLIENT_CODE!P:P,0))</f>
        <v>0</v>
      </c>
      <c r="Z439">
        <f>_xlfn.XLOOKUP(B439,CRN!G:G,CRN!U:U,"")</f>
        <v>0</v>
      </c>
      <c r="AA439">
        <f>IF(X439=0,0,_xlfn.XLOOKUP(C439,CLIENT_CODE!B:B,CLIENT_CODE!P:P,0))</f>
        <v>0</v>
      </c>
      <c r="AB439">
        <f>_xlfn.XLOOKUP(B439,CRN!G:G,CRN!V:V,"")</f>
        <v>0</v>
      </c>
      <c r="AC439">
        <f>IF(AB439=0,0,_xlfn.XLOOKUP(C439,CLIENT_CODE!B:B,CLIENT_CODE!R:R,0))</f>
        <v>0</v>
      </c>
      <c r="AD439">
        <f t="shared" si="6"/>
        <v>0</v>
      </c>
    </row>
    <row r="440" spans="1:30">
      <c r="A440" s="42">
        <v>439</v>
      </c>
      <c r="E440">
        <f>IF(D440=0,0,_xlfn.XLOOKUP(C440,CLIENT_CODE!B:B,CLIENT_CODE!F:F,0))</f>
        <v>0</v>
      </c>
      <c r="F440">
        <f>_xlfn.XLOOKUP(B440,CRN!G:G,CRN!K:K,"")</f>
        <v>0</v>
      </c>
      <c r="G440">
        <f>IF(F440=0,0,_xlfn.XLOOKUP(C440,CLIENT_CODE!B:B,CLIENT_CODE!G:G,0))</f>
        <v>0</v>
      </c>
      <c r="H440">
        <f>_xlfn.XLOOKUP(B440,CRN!G:G,CRN!L:L,"")</f>
        <v>0</v>
      </c>
      <c r="I440">
        <f>IF(H440=0,0,_xlfn.XLOOKUP(C440,CLIENT_CODE!B:B,CLIENT_CODE!H:H,0))</f>
        <v>0</v>
      </c>
      <c r="J440">
        <f>_xlfn.XLOOKUP(B440,CRN!G:G,CRN!M:M,"")</f>
        <v>0</v>
      </c>
      <c r="K440">
        <f>IF(J440=0,0,_xlfn.XLOOKUP(C440,CLIENT_CODE!B:B,CLIENT_CODE!I:I,0))</f>
        <v>0</v>
      </c>
      <c r="L440">
        <f>_xlfn.XLOOKUP(B440,CRN!G:G,CRN!N:N,"")</f>
        <v>0</v>
      </c>
      <c r="M440">
        <f>IF(L440=0,0,_xlfn.XLOOKUP(C440,CLIENT_CODE!B:B,CLIENT_CODE!J:J,0))</f>
        <v>0</v>
      </c>
      <c r="N440">
        <f>_xlfn.XLOOKUP(B440,CRN!G:G,CRN!O:O,"")</f>
        <v>0</v>
      </c>
      <c r="O440">
        <f>IF(N440=0,0,_xlfn.XLOOKUP(C440,CLIENT_CODE!B:B,CLIENT_CODE!K:K,0))</f>
        <v>0</v>
      </c>
      <c r="P440">
        <f>_xlfn.XLOOKUP(B440,CRN!G:G,CRN!P:P,"")</f>
        <v>0</v>
      </c>
      <c r="Q440">
        <f>IF(P440=0,0,_xlfn.XLOOKUP(C440,CLIENT_CODE!B:B,CLIENT_CODE!L:L,0))</f>
        <v>0</v>
      </c>
      <c r="R440">
        <f>_xlfn.XLOOKUP(B440,CRN!G:G,CRN!Q:Q,"")</f>
        <v>0</v>
      </c>
      <c r="S440">
        <f>IF(R440=0,0,_xlfn.XLOOKUP(C440,CLIENT_CODE!B:B,CLIENT_CODE!M:M,0))</f>
        <v>0</v>
      </c>
      <c r="T440">
        <f>_xlfn.XLOOKUP(B440,CRN!G:G,CRN!R:R,"")</f>
        <v>0</v>
      </c>
      <c r="U440">
        <f>IF(T440=0,0,_xlfn.XLOOKUP(C440,CLIENT_CODE!B:B,CLIENT_CODE!N:N,0))</f>
        <v>0</v>
      </c>
      <c r="V440">
        <f>_xlfn.XLOOKUP(B440,CRN!G:G,CRN!S:S,"")</f>
        <v>0</v>
      </c>
      <c r="W440">
        <f>IF(V440=0,0,_xlfn.XLOOKUP(C440,CLIENT_CODE!B:B,CLIENT_CODE!O:O,0))</f>
        <v>0</v>
      </c>
      <c r="X440">
        <f>_xlfn.XLOOKUP(B440,CRN!G:G,CRN!T:T,"")</f>
        <v>0</v>
      </c>
      <c r="Y440">
        <f>IF(X440=0,0,_xlfn.XLOOKUP(C440,CLIENT_CODE!B:B,CLIENT_CODE!P:P,0))</f>
        <v>0</v>
      </c>
      <c r="Z440">
        <f>_xlfn.XLOOKUP(B440,CRN!G:G,CRN!U:U,"")</f>
        <v>0</v>
      </c>
      <c r="AA440">
        <f>IF(X440=0,0,_xlfn.XLOOKUP(C440,CLIENT_CODE!B:B,CLIENT_CODE!P:P,0))</f>
        <v>0</v>
      </c>
      <c r="AB440">
        <f>_xlfn.XLOOKUP(B440,CRN!G:G,CRN!V:V,"")</f>
        <v>0</v>
      </c>
      <c r="AC440">
        <f>IF(AB440=0,0,_xlfn.XLOOKUP(C440,CLIENT_CODE!B:B,CLIENT_CODE!R:R,0))</f>
        <v>0</v>
      </c>
      <c r="AD440">
        <f t="shared" si="6"/>
        <v>0</v>
      </c>
    </row>
    <row r="441" spans="1:30">
      <c r="A441" s="42">
        <v>440</v>
      </c>
      <c r="E441">
        <f>IF(D441=0,0,_xlfn.XLOOKUP(C441,CLIENT_CODE!B:B,CLIENT_CODE!F:F,0))</f>
        <v>0</v>
      </c>
      <c r="F441">
        <f>_xlfn.XLOOKUP(B441,CRN!G:G,CRN!K:K,"")</f>
        <v>0</v>
      </c>
      <c r="G441">
        <f>IF(F441=0,0,_xlfn.XLOOKUP(C441,CLIENT_CODE!B:B,CLIENT_CODE!G:G,0))</f>
        <v>0</v>
      </c>
      <c r="H441">
        <f>_xlfn.XLOOKUP(B441,CRN!G:G,CRN!L:L,"")</f>
        <v>0</v>
      </c>
      <c r="I441">
        <f>IF(H441=0,0,_xlfn.XLOOKUP(C441,CLIENT_CODE!B:B,CLIENT_CODE!H:H,0))</f>
        <v>0</v>
      </c>
      <c r="J441">
        <f>_xlfn.XLOOKUP(B441,CRN!G:G,CRN!M:M,"")</f>
        <v>0</v>
      </c>
      <c r="K441">
        <f>IF(J441=0,0,_xlfn.XLOOKUP(C441,CLIENT_CODE!B:B,CLIENT_CODE!I:I,0))</f>
        <v>0</v>
      </c>
      <c r="L441">
        <f>_xlfn.XLOOKUP(B441,CRN!G:G,CRN!N:N,"")</f>
        <v>0</v>
      </c>
      <c r="M441">
        <f>IF(L441=0,0,_xlfn.XLOOKUP(C441,CLIENT_CODE!B:B,CLIENT_CODE!J:J,0))</f>
        <v>0</v>
      </c>
      <c r="N441">
        <f>_xlfn.XLOOKUP(B441,CRN!G:G,CRN!O:O,"")</f>
        <v>0</v>
      </c>
      <c r="O441">
        <f>IF(N441=0,0,_xlfn.XLOOKUP(C441,CLIENT_CODE!B:B,CLIENT_CODE!K:K,0))</f>
        <v>0</v>
      </c>
      <c r="P441">
        <f>_xlfn.XLOOKUP(B441,CRN!G:G,CRN!P:P,"")</f>
        <v>0</v>
      </c>
      <c r="Q441">
        <f>IF(P441=0,0,_xlfn.XLOOKUP(C441,CLIENT_CODE!B:B,CLIENT_CODE!L:L,0))</f>
        <v>0</v>
      </c>
      <c r="R441">
        <f>_xlfn.XLOOKUP(B441,CRN!G:G,CRN!Q:Q,"")</f>
        <v>0</v>
      </c>
      <c r="S441">
        <f>IF(R441=0,0,_xlfn.XLOOKUP(C441,CLIENT_CODE!B:B,CLIENT_CODE!M:M,0))</f>
        <v>0</v>
      </c>
      <c r="T441">
        <f>_xlfn.XLOOKUP(B441,CRN!G:G,CRN!R:R,"")</f>
        <v>0</v>
      </c>
      <c r="U441">
        <f>IF(T441=0,0,_xlfn.XLOOKUP(C441,CLIENT_CODE!B:B,CLIENT_CODE!N:N,0))</f>
        <v>0</v>
      </c>
      <c r="V441">
        <f>_xlfn.XLOOKUP(B441,CRN!G:G,CRN!S:S,"")</f>
        <v>0</v>
      </c>
      <c r="W441">
        <f>IF(V441=0,0,_xlfn.XLOOKUP(C441,CLIENT_CODE!B:B,CLIENT_CODE!O:O,0))</f>
        <v>0</v>
      </c>
      <c r="X441">
        <f>_xlfn.XLOOKUP(B441,CRN!G:G,CRN!T:T,"")</f>
        <v>0</v>
      </c>
      <c r="Y441">
        <f>IF(X441=0,0,_xlfn.XLOOKUP(C441,CLIENT_CODE!B:B,CLIENT_CODE!P:P,0))</f>
        <v>0</v>
      </c>
      <c r="Z441">
        <f>_xlfn.XLOOKUP(B441,CRN!G:G,CRN!U:U,"")</f>
        <v>0</v>
      </c>
      <c r="AA441">
        <f>IF(X441=0,0,_xlfn.XLOOKUP(C441,CLIENT_CODE!B:B,CLIENT_CODE!P:P,0))</f>
        <v>0</v>
      </c>
      <c r="AB441">
        <f>_xlfn.XLOOKUP(B441,CRN!G:G,CRN!V:V,"")</f>
        <v>0</v>
      </c>
      <c r="AC441">
        <f>IF(AB441=0,0,_xlfn.XLOOKUP(C441,CLIENT_CODE!B:B,CLIENT_CODE!R:R,0))</f>
        <v>0</v>
      </c>
      <c r="AD441">
        <f t="shared" si="6"/>
        <v>0</v>
      </c>
    </row>
    <row r="442" spans="1:30">
      <c r="A442" s="42">
        <v>441</v>
      </c>
      <c r="E442">
        <f>IF(D442=0,0,_xlfn.XLOOKUP(C442,CLIENT_CODE!B:B,CLIENT_CODE!F:F,0))</f>
        <v>0</v>
      </c>
      <c r="F442">
        <f>_xlfn.XLOOKUP(B442,CRN!G:G,CRN!K:K,"")</f>
        <v>0</v>
      </c>
      <c r="G442">
        <f>IF(F442=0,0,_xlfn.XLOOKUP(C442,CLIENT_CODE!B:B,CLIENT_CODE!G:G,0))</f>
        <v>0</v>
      </c>
      <c r="H442">
        <f>_xlfn.XLOOKUP(B442,CRN!G:G,CRN!L:L,"")</f>
        <v>0</v>
      </c>
      <c r="I442">
        <f>IF(H442=0,0,_xlfn.XLOOKUP(C442,CLIENT_CODE!B:B,CLIENT_CODE!H:H,0))</f>
        <v>0</v>
      </c>
      <c r="J442">
        <f>_xlfn.XLOOKUP(B442,CRN!G:G,CRN!M:M,"")</f>
        <v>0</v>
      </c>
      <c r="K442">
        <f>IF(J442=0,0,_xlfn.XLOOKUP(C442,CLIENT_CODE!B:B,CLIENT_CODE!I:I,0))</f>
        <v>0</v>
      </c>
      <c r="L442">
        <f>_xlfn.XLOOKUP(B442,CRN!G:G,CRN!N:N,"")</f>
        <v>0</v>
      </c>
      <c r="M442">
        <f>IF(L442=0,0,_xlfn.XLOOKUP(C442,CLIENT_CODE!B:B,CLIENT_CODE!J:J,0))</f>
        <v>0</v>
      </c>
      <c r="N442">
        <f>_xlfn.XLOOKUP(B442,CRN!G:G,CRN!O:O,"")</f>
        <v>0</v>
      </c>
      <c r="O442">
        <f>IF(N442=0,0,_xlfn.XLOOKUP(C442,CLIENT_CODE!B:B,CLIENT_CODE!K:K,0))</f>
        <v>0</v>
      </c>
      <c r="P442">
        <f>_xlfn.XLOOKUP(B442,CRN!G:G,CRN!P:P,"")</f>
        <v>0</v>
      </c>
      <c r="Q442">
        <f>IF(P442=0,0,_xlfn.XLOOKUP(C442,CLIENT_CODE!B:B,CLIENT_CODE!L:L,0))</f>
        <v>0</v>
      </c>
      <c r="R442">
        <f>_xlfn.XLOOKUP(B442,CRN!G:G,CRN!Q:Q,"")</f>
        <v>0</v>
      </c>
      <c r="S442">
        <f>IF(R442=0,0,_xlfn.XLOOKUP(C442,CLIENT_CODE!B:B,CLIENT_CODE!M:M,0))</f>
        <v>0</v>
      </c>
      <c r="T442">
        <f>_xlfn.XLOOKUP(B442,CRN!G:G,CRN!R:R,"")</f>
        <v>0</v>
      </c>
      <c r="U442">
        <f>IF(T442=0,0,_xlfn.XLOOKUP(C442,CLIENT_CODE!B:B,CLIENT_CODE!N:N,0))</f>
        <v>0</v>
      </c>
      <c r="V442">
        <f>_xlfn.XLOOKUP(B442,CRN!G:G,CRN!S:S,"")</f>
        <v>0</v>
      </c>
      <c r="W442">
        <f>IF(V442=0,0,_xlfn.XLOOKUP(C442,CLIENT_CODE!B:B,CLIENT_CODE!O:O,0))</f>
        <v>0</v>
      </c>
      <c r="X442">
        <f>_xlfn.XLOOKUP(B442,CRN!G:G,CRN!T:T,"")</f>
        <v>0</v>
      </c>
      <c r="Y442">
        <f>IF(X442=0,0,_xlfn.XLOOKUP(C442,CLIENT_CODE!B:B,CLIENT_CODE!P:P,0))</f>
        <v>0</v>
      </c>
      <c r="Z442">
        <f>_xlfn.XLOOKUP(B442,CRN!G:G,CRN!U:U,"")</f>
        <v>0</v>
      </c>
      <c r="AA442">
        <f>IF(X442=0,0,_xlfn.XLOOKUP(C442,CLIENT_CODE!B:B,CLIENT_CODE!P:P,0))</f>
        <v>0</v>
      </c>
      <c r="AB442">
        <f>_xlfn.XLOOKUP(B442,CRN!G:G,CRN!V:V,"")</f>
        <v>0</v>
      </c>
      <c r="AC442">
        <f>IF(AB442=0,0,_xlfn.XLOOKUP(C442,CLIENT_CODE!B:B,CLIENT_CODE!R:R,0))</f>
        <v>0</v>
      </c>
      <c r="AD442">
        <f t="shared" si="6"/>
        <v>0</v>
      </c>
    </row>
    <row r="443" spans="1:30">
      <c r="A443" s="42">
        <v>442</v>
      </c>
      <c r="E443">
        <f>IF(D443=0,0,_xlfn.XLOOKUP(C443,CLIENT_CODE!B:B,CLIENT_CODE!F:F,0))</f>
        <v>0</v>
      </c>
      <c r="F443">
        <f>_xlfn.XLOOKUP(B443,CRN!G:G,CRN!K:K,"")</f>
        <v>0</v>
      </c>
      <c r="G443">
        <f>IF(F443=0,0,_xlfn.XLOOKUP(C443,CLIENT_CODE!B:B,CLIENT_CODE!G:G,0))</f>
        <v>0</v>
      </c>
      <c r="H443">
        <f>_xlfn.XLOOKUP(B443,CRN!G:G,CRN!L:L,"")</f>
        <v>0</v>
      </c>
      <c r="I443">
        <f>IF(H443=0,0,_xlfn.XLOOKUP(C443,CLIENT_CODE!B:B,CLIENT_CODE!H:H,0))</f>
        <v>0</v>
      </c>
      <c r="J443">
        <f>_xlfn.XLOOKUP(B443,CRN!G:G,CRN!M:M,"")</f>
        <v>0</v>
      </c>
      <c r="K443">
        <f>IF(J443=0,0,_xlfn.XLOOKUP(C443,CLIENT_CODE!B:B,CLIENT_CODE!I:I,0))</f>
        <v>0</v>
      </c>
      <c r="L443">
        <f>_xlfn.XLOOKUP(B443,CRN!G:G,CRN!N:N,"")</f>
        <v>0</v>
      </c>
      <c r="M443">
        <f>IF(L443=0,0,_xlfn.XLOOKUP(C443,CLIENT_CODE!B:B,CLIENT_CODE!J:J,0))</f>
        <v>0</v>
      </c>
      <c r="N443">
        <f>_xlfn.XLOOKUP(B443,CRN!G:G,CRN!O:O,"")</f>
        <v>0</v>
      </c>
      <c r="O443">
        <f>IF(N443=0,0,_xlfn.XLOOKUP(C443,CLIENT_CODE!B:B,CLIENT_CODE!K:K,0))</f>
        <v>0</v>
      </c>
      <c r="P443">
        <f>_xlfn.XLOOKUP(B443,CRN!G:G,CRN!P:P,"")</f>
        <v>0</v>
      </c>
      <c r="Q443">
        <f>IF(P443=0,0,_xlfn.XLOOKUP(C443,CLIENT_CODE!B:B,CLIENT_CODE!L:L,0))</f>
        <v>0</v>
      </c>
      <c r="R443">
        <f>_xlfn.XLOOKUP(B443,CRN!G:G,CRN!Q:Q,"")</f>
        <v>0</v>
      </c>
      <c r="S443">
        <f>IF(R443=0,0,_xlfn.XLOOKUP(C443,CLIENT_CODE!B:B,CLIENT_CODE!M:M,0))</f>
        <v>0</v>
      </c>
      <c r="T443">
        <f>_xlfn.XLOOKUP(B443,CRN!G:G,CRN!R:R,"")</f>
        <v>0</v>
      </c>
      <c r="U443">
        <f>IF(T443=0,0,_xlfn.XLOOKUP(C443,CLIENT_CODE!B:B,CLIENT_CODE!N:N,0))</f>
        <v>0</v>
      </c>
      <c r="V443">
        <f>_xlfn.XLOOKUP(B443,CRN!G:G,CRN!S:S,"")</f>
        <v>0</v>
      </c>
      <c r="W443">
        <f>IF(V443=0,0,_xlfn.XLOOKUP(C443,CLIENT_CODE!B:B,CLIENT_CODE!O:O,0))</f>
        <v>0</v>
      </c>
      <c r="X443">
        <f>_xlfn.XLOOKUP(B443,CRN!G:G,CRN!T:T,"")</f>
        <v>0</v>
      </c>
      <c r="Y443">
        <f>IF(X443=0,0,_xlfn.XLOOKUP(C443,CLIENT_CODE!B:B,CLIENT_CODE!P:P,0))</f>
        <v>0</v>
      </c>
      <c r="Z443">
        <f>_xlfn.XLOOKUP(B443,CRN!G:G,CRN!U:U,"")</f>
        <v>0</v>
      </c>
      <c r="AA443">
        <f>IF(X443=0,0,_xlfn.XLOOKUP(C443,CLIENT_CODE!B:B,CLIENT_CODE!P:P,0))</f>
        <v>0</v>
      </c>
      <c r="AB443">
        <f>_xlfn.XLOOKUP(B443,CRN!G:G,CRN!V:V,"")</f>
        <v>0</v>
      </c>
      <c r="AC443">
        <f>IF(AB443=0,0,_xlfn.XLOOKUP(C443,CLIENT_CODE!B:B,CLIENT_CODE!R:R,0))</f>
        <v>0</v>
      </c>
      <c r="AD443">
        <f t="shared" si="6"/>
        <v>0</v>
      </c>
    </row>
    <row r="444" spans="1:30">
      <c r="A444" s="42">
        <v>443</v>
      </c>
      <c r="E444">
        <f>IF(D444=0,0,_xlfn.XLOOKUP(C444,CLIENT_CODE!B:B,CLIENT_CODE!F:F,0))</f>
        <v>0</v>
      </c>
      <c r="F444">
        <f>_xlfn.XLOOKUP(B444,CRN!G:G,CRN!K:K,"")</f>
        <v>0</v>
      </c>
      <c r="G444">
        <f>IF(F444=0,0,_xlfn.XLOOKUP(C444,CLIENT_CODE!B:B,CLIENT_CODE!G:G,0))</f>
        <v>0</v>
      </c>
      <c r="H444">
        <f>_xlfn.XLOOKUP(B444,CRN!G:G,CRN!L:L,"")</f>
        <v>0</v>
      </c>
      <c r="I444">
        <f>IF(H444=0,0,_xlfn.XLOOKUP(C444,CLIENT_CODE!B:B,CLIENT_CODE!H:H,0))</f>
        <v>0</v>
      </c>
      <c r="J444">
        <f>_xlfn.XLOOKUP(B444,CRN!G:G,CRN!M:M,"")</f>
        <v>0</v>
      </c>
      <c r="K444">
        <f>IF(J444=0,0,_xlfn.XLOOKUP(C444,CLIENT_CODE!B:B,CLIENT_CODE!I:I,0))</f>
        <v>0</v>
      </c>
      <c r="L444">
        <f>_xlfn.XLOOKUP(B444,CRN!G:G,CRN!N:N,"")</f>
        <v>0</v>
      </c>
      <c r="M444">
        <f>IF(L444=0,0,_xlfn.XLOOKUP(C444,CLIENT_CODE!B:B,CLIENT_CODE!J:J,0))</f>
        <v>0</v>
      </c>
      <c r="N444">
        <f>_xlfn.XLOOKUP(B444,CRN!G:G,CRN!O:O,"")</f>
        <v>0</v>
      </c>
      <c r="O444">
        <f>IF(N444=0,0,_xlfn.XLOOKUP(C444,CLIENT_CODE!B:B,CLIENT_CODE!K:K,0))</f>
        <v>0</v>
      </c>
      <c r="P444">
        <f>_xlfn.XLOOKUP(B444,CRN!G:G,CRN!P:P,"")</f>
        <v>0</v>
      </c>
      <c r="Q444">
        <f>IF(P444=0,0,_xlfn.XLOOKUP(C444,CLIENT_CODE!B:B,CLIENT_CODE!L:L,0))</f>
        <v>0</v>
      </c>
      <c r="R444">
        <f>_xlfn.XLOOKUP(B444,CRN!G:G,CRN!Q:Q,"")</f>
        <v>0</v>
      </c>
      <c r="S444">
        <f>IF(R444=0,0,_xlfn.XLOOKUP(C444,CLIENT_CODE!B:B,CLIENT_CODE!M:M,0))</f>
        <v>0</v>
      </c>
      <c r="T444">
        <f>_xlfn.XLOOKUP(B444,CRN!G:G,CRN!R:R,"")</f>
        <v>0</v>
      </c>
      <c r="U444">
        <f>IF(T444=0,0,_xlfn.XLOOKUP(C444,CLIENT_CODE!B:B,CLIENT_CODE!N:N,0))</f>
        <v>0</v>
      </c>
      <c r="V444">
        <f>_xlfn.XLOOKUP(B444,CRN!G:G,CRN!S:S,"")</f>
        <v>0</v>
      </c>
      <c r="W444">
        <f>IF(V444=0,0,_xlfn.XLOOKUP(C444,CLIENT_CODE!B:B,CLIENT_CODE!O:O,0))</f>
        <v>0</v>
      </c>
      <c r="X444">
        <f>_xlfn.XLOOKUP(B444,CRN!G:G,CRN!T:T,"")</f>
        <v>0</v>
      </c>
      <c r="Y444">
        <f>IF(X444=0,0,_xlfn.XLOOKUP(C444,CLIENT_CODE!B:B,CLIENT_CODE!P:P,0))</f>
        <v>0</v>
      </c>
      <c r="Z444">
        <f>_xlfn.XLOOKUP(B444,CRN!G:G,CRN!U:U,"")</f>
        <v>0</v>
      </c>
      <c r="AA444">
        <f>IF(X444=0,0,_xlfn.XLOOKUP(C444,CLIENT_CODE!B:B,CLIENT_CODE!P:P,0))</f>
        <v>0</v>
      </c>
      <c r="AB444">
        <f>_xlfn.XLOOKUP(B444,CRN!G:G,CRN!V:V,"")</f>
        <v>0</v>
      </c>
      <c r="AC444">
        <f>IF(AB444=0,0,_xlfn.XLOOKUP(C444,CLIENT_CODE!B:B,CLIENT_CODE!R:R,0))</f>
        <v>0</v>
      </c>
      <c r="AD444">
        <f t="shared" si="6"/>
        <v>0</v>
      </c>
    </row>
    <row r="445" spans="1:30">
      <c r="A445" s="42">
        <v>444</v>
      </c>
      <c r="E445">
        <f>IF(D445=0,0,_xlfn.XLOOKUP(C445,CLIENT_CODE!B:B,CLIENT_CODE!F:F,0))</f>
        <v>0</v>
      </c>
      <c r="F445">
        <f>_xlfn.XLOOKUP(B445,CRN!G:G,CRN!K:K,"")</f>
        <v>0</v>
      </c>
      <c r="G445">
        <f>IF(F445=0,0,_xlfn.XLOOKUP(C445,CLIENT_CODE!B:B,CLIENT_CODE!G:G,0))</f>
        <v>0</v>
      </c>
      <c r="H445">
        <f>_xlfn.XLOOKUP(B445,CRN!G:G,CRN!L:L,"")</f>
        <v>0</v>
      </c>
      <c r="I445">
        <f>IF(H445=0,0,_xlfn.XLOOKUP(C445,CLIENT_CODE!B:B,CLIENT_CODE!H:H,0))</f>
        <v>0</v>
      </c>
      <c r="J445">
        <f>_xlfn.XLOOKUP(B445,CRN!G:G,CRN!M:M,"")</f>
        <v>0</v>
      </c>
      <c r="K445">
        <f>IF(J445=0,0,_xlfn.XLOOKUP(C445,CLIENT_CODE!B:B,CLIENT_CODE!I:I,0))</f>
        <v>0</v>
      </c>
      <c r="L445">
        <f>_xlfn.XLOOKUP(B445,CRN!G:G,CRN!N:N,"")</f>
        <v>0</v>
      </c>
      <c r="M445">
        <f>IF(L445=0,0,_xlfn.XLOOKUP(C445,CLIENT_CODE!B:B,CLIENT_CODE!J:J,0))</f>
        <v>0</v>
      </c>
      <c r="N445">
        <f>_xlfn.XLOOKUP(B445,CRN!G:G,CRN!O:O,"")</f>
        <v>0</v>
      </c>
      <c r="O445">
        <f>IF(N445=0,0,_xlfn.XLOOKUP(C445,CLIENT_CODE!B:B,CLIENT_CODE!K:K,0))</f>
        <v>0</v>
      </c>
      <c r="P445">
        <f>_xlfn.XLOOKUP(B445,CRN!G:G,CRN!P:P,"")</f>
        <v>0</v>
      </c>
      <c r="Q445">
        <f>IF(P445=0,0,_xlfn.XLOOKUP(C445,CLIENT_CODE!B:B,CLIENT_CODE!L:L,0))</f>
        <v>0</v>
      </c>
      <c r="R445">
        <f>_xlfn.XLOOKUP(B445,CRN!G:G,CRN!Q:Q,"")</f>
        <v>0</v>
      </c>
      <c r="S445">
        <f>IF(R445=0,0,_xlfn.XLOOKUP(C445,CLIENT_CODE!B:B,CLIENT_CODE!M:M,0))</f>
        <v>0</v>
      </c>
      <c r="T445">
        <f>_xlfn.XLOOKUP(B445,CRN!G:G,CRN!R:R,"")</f>
        <v>0</v>
      </c>
      <c r="U445">
        <f>IF(T445=0,0,_xlfn.XLOOKUP(C445,CLIENT_CODE!B:B,CLIENT_CODE!N:N,0))</f>
        <v>0</v>
      </c>
      <c r="V445">
        <f>_xlfn.XLOOKUP(B445,CRN!G:G,CRN!S:S,"")</f>
        <v>0</v>
      </c>
      <c r="W445">
        <f>IF(V445=0,0,_xlfn.XLOOKUP(C445,CLIENT_CODE!B:B,CLIENT_CODE!O:O,0))</f>
        <v>0</v>
      </c>
      <c r="X445">
        <f>_xlfn.XLOOKUP(B445,CRN!G:G,CRN!T:T,"")</f>
        <v>0</v>
      </c>
      <c r="Y445">
        <f>IF(X445=0,0,_xlfn.XLOOKUP(C445,CLIENT_CODE!B:B,CLIENT_CODE!P:P,0))</f>
        <v>0</v>
      </c>
      <c r="Z445">
        <f>_xlfn.XLOOKUP(B445,CRN!G:G,CRN!U:U,"")</f>
        <v>0</v>
      </c>
      <c r="AA445">
        <f>IF(X445=0,0,_xlfn.XLOOKUP(C445,CLIENT_CODE!B:B,CLIENT_CODE!P:P,0))</f>
        <v>0</v>
      </c>
      <c r="AB445">
        <f>_xlfn.XLOOKUP(B445,CRN!G:G,CRN!V:V,"")</f>
        <v>0</v>
      </c>
      <c r="AC445">
        <f>IF(AB445=0,0,_xlfn.XLOOKUP(C445,CLIENT_CODE!B:B,CLIENT_CODE!R:R,0))</f>
        <v>0</v>
      </c>
      <c r="AD445">
        <f t="shared" si="6"/>
        <v>0</v>
      </c>
    </row>
    <row r="446" spans="1:30">
      <c r="A446" s="42">
        <v>445</v>
      </c>
      <c r="E446">
        <f>IF(D446=0,0,_xlfn.XLOOKUP(C446,CLIENT_CODE!B:B,CLIENT_CODE!F:F,0))</f>
        <v>0</v>
      </c>
      <c r="F446">
        <f>_xlfn.XLOOKUP(B446,CRN!G:G,CRN!K:K,"")</f>
        <v>0</v>
      </c>
      <c r="G446">
        <f>IF(F446=0,0,_xlfn.XLOOKUP(C446,CLIENT_CODE!B:B,CLIENT_CODE!G:G,0))</f>
        <v>0</v>
      </c>
      <c r="H446">
        <f>_xlfn.XLOOKUP(B446,CRN!G:G,CRN!L:L,"")</f>
        <v>0</v>
      </c>
      <c r="I446">
        <f>IF(H446=0,0,_xlfn.XLOOKUP(C446,CLIENT_CODE!B:B,CLIENT_CODE!H:H,0))</f>
        <v>0</v>
      </c>
      <c r="J446">
        <f>_xlfn.XLOOKUP(B446,CRN!G:G,CRN!M:M,"")</f>
        <v>0</v>
      </c>
      <c r="K446">
        <f>IF(J446=0,0,_xlfn.XLOOKUP(C446,CLIENT_CODE!B:B,CLIENT_CODE!I:I,0))</f>
        <v>0</v>
      </c>
      <c r="L446">
        <f>_xlfn.XLOOKUP(B446,CRN!G:G,CRN!N:N,"")</f>
        <v>0</v>
      </c>
      <c r="M446">
        <f>IF(L446=0,0,_xlfn.XLOOKUP(C446,CLIENT_CODE!B:B,CLIENT_CODE!J:J,0))</f>
        <v>0</v>
      </c>
      <c r="N446">
        <f>_xlfn.XLOOKUP(B446,CRN!G:G,CRN!O:O,"")</f>
        <v>0</v>
      </c>
      <c r="O446">
        <f>IF(N446=0,0,_xlfn.XLOOKUP(C446,CLIENT_CODE!B:B,CLIENT_CODE!K:K,0))</f>
        <v>0</v>
      </c>
      <c r="P446">
        <f>_xlfn.XLOOKUP(B446,CRN!G:G,CRN!P:P,"")</f>
        <v>0</v>
      </c>
      <c r="Q446">
        <f>IF(P446=0,0,_xlfn.XLOOKUP(C446,CLIENT_CODE!B:B,CLIENT_CODE!L:L,0))</f>
        <v>0</v>
      </c>
      <c r="R446">
        <f>_xlfn.XLOOKUP(B446,CRN!G:G,CRN!Q:Q,"")</f>
        <v>0</v>
      </c>
      <c r="S446">
        <f>IF(R446=0,0,_xlfn.XLOOKUP(C446,CLIENT_CODE!B:B,CLIENT_CODE!M:M,0))</f>
        <v>0</v>
      </c>
      <c r="T446">
        <f>_xlfn.XLOOKUP(B446,CRN!G:G,CRN!R:R,"")</f>
        <v>0</v>
      </c>
      <c r="U446">
        <f>IF(T446=0,0,_xlfn.XLOOKUP(C446,CLIENT_CODE!B:B,CLIENT_CODE!N:N,0))</f>
        <v>0</v>
      </c>
      <c r="V446">
        <f>_xlfn.XLOOKUP(B446,CRN!G:G,CRN!S:S,"")</f>
        <v>0</v>
      </c>
      <c r="W446">
        <f>IF(V446=0,0,_xlfn.XLOOKUP(C446,CLIENT_CODE!B:B,CLIENT_CODE!O:O,0))</f>
        <v>0</v>
      </c>
      <c r="X446">
        <f>_xlfn.XLOOKUP(B446,CRN!G:G,CRN!T:T,"")</f>
        <v>0</v>
      </c>
      <c r="Y446">
        <f>IF(X446=0,0,_xlfn.XLOOKUP(C446,CLIENT_CODE!B:B,CLIENT_CODE!P:P,0))</f>
        <v>0</v>
      </c>
      <c r="Z446">
        <f>_xlfn.XLOOKUP(B446,CRN!G:G,CRN!U:U,"")</f>
        <v>0</v>
      </c>
      <c r="AA446">
        <f>IF(X446=0,0,_xlfn.XLOOKUP(C446,CLIENT_CODE!B:B,CLIENT_CODE!P:P,0))</f>
        <v>0</v>
      </c>
      <c r="AB446">
        <f>_xlfn.XLOOKUP(B446,CRN!G:G,CRN!V:V,"")</f>
        <v>0</v>
      </c>
      <c r="AC446">
        <f>IF(AB446=0,0,_xlfn.XLOOKUP(C446,CLIENT_CODE!B:B,CLIENT_CODE!R:R,0))</f>
        <v>0</v>
      </c>
      <c r="AD446">
        <f t="shared" si="6"/>
        <v>0</v>
      </c>
    </row>
    <row r="447" spans="1:30">
      <c r="A447" s="42">
        <v>446</v>
      </c>
      <c r="E447">
        <f>IF(D447=0,0,_xlfn.XLOOKUP(C447,CLIENT_CODE!B:B,CLIENT_CODE!F:F,0))</f>
        <v>0</v>
      </c>
      <c r="F447">
        <f>_xlfn.XLOOKUP(B447,CRN!G:G,CRN!K:K,"")</f>
        <v>0</v>
      </c>
      <c r="G447">
        <f>IF(F447=0,0,_xlfn.XLOOKUP(C447,CLIENT_CODE!B:B,CLIENT_CODE!G:G,0))</f>
        <v>0</v>
      </c>
      <c r="H447">
        <f>_xlfn.XLOOKUP(B447,CRN!G:G,CRN!L:L,"")</f>
        <v>0</v>
      </c>
      <c r="I447">
        <f>IF(H447=0,0,_xlfn.XLOOKUP(C447,CLIENT_CODE!B:B,CLIENT_CODE!H:H,0))</f>
        <v>0</v>
      </c>
      <c r="J447">
        <f>_xlfn.XLOOKUP(B447,CRN!G:G,CRN!M:M,"")</f>
        <v>0</v>
      </c>
      <c r="K447">
        <f>IF(J447=0,0,_xlfn.XLOOKUP(C447,CLIENT_CODE!B:B,CLIENT_CODE!I:I,0))</f>
        <v>0</v>
      </c>
      <c r="L447">
        <f>_xlfn.XLOOKUP(B447,CRN!G:G,CRN!N:N,"")</f>
        <v>0</v>
      </c>
      <c r="M447">
        <f>IF(L447=0,0,_xlfn.XLOOKUP(C447,CLIENT_CODE!B:B,CLIENT_CODE!J:J,0))</f>
        <v>0</v>
      </c>
      <c r="N447">
        <f>_xlfn.XLOOKUP(B447,CRN!G:G,CRN!O:O,"")</f>
        <v>0</v>
      </c>
      <c r="O447">
        <f>IF(N447=0,0,_xlfn.XLOOKUP(C447,CLIENT_CODE!B:B,CLIENT_CODE!K:K,0))</f>
        <v>0</v>
      </c>
      <c r="P447">
        <f>_xlfn.XLOOKUP(B447,CRN!G:G,CRN!P:P,"")</f>
        <v>0</v>
      </c>
      <c r="Q447">
        <f>IF(P447=0,0,_xlfn.XLOOKUP(C447,CLIENT_CODE!B:B,CLIENT_CODE!L:L,0))</f>
        <v>0</v>
      </c>
      <c r="R447">
        <f>_xlfn.XLOOKUP(B447,CRN!G:G,CRN!Q:Q,"")</f>
        <v>0</v>
      </c>
      <c r="S447">
        <f>IF(R447=0,0,_xlfn.XLOOKUP(C447,CLIENT_CODE!B:B,CLIENT_CODE!M:M,0))</f>
        <v>0</v>
      </c>
      <c r="T447">
        <f>_xlfn.XLOOKUP(B447,CRN!G:G,CRN!R:R,"")</f>
        <v>0</v>
      </c>
      <c r="U447">
        <f>IF(T447=0,0,_xlfn.XLOOKUP(C447,CLIENT_CODE!B:B,CLIENT_CODE!N:N,0))</f>
        <v>0</v>
      </c>
      <c r="V447">
        <f>_xlfn.XLOOKUP(B447,CRN!G:G,CRN!S:S,"")</f>
        <v>0</v>
      </c>
      <c r="W447">
        <f>IF(V447=0,0,_xlfn.XLOOKUP(C447,CLIENT_CODE!B:B,CLIENT_CODE!O:O,0))</f>
        <v>0</v>
      </c>
      <c r="X447">
        <f>_xlfn.XLOOKUP(B447,CRN!G:G,CRN!T:T,"")</f>
        <v>0</v>
      </c>
      <c r="Y447">
        <f>IF(X447=0,0,_xlfn.XLOOKUP(C447,CLIENT_CODE!B:B,CLIENT_CODE!P:P,0))</f>
        <v>0</v>
      </c>
      <c r="Z447">
        <f>_xlfn.XLOOKUP(B447,CRN!G:G,CRN!U:U,"")</f>
        <v>0</v>
      </c>
      <c r="AA447">
        <f>IF(X447=0,0,_xlfn.XLOOKUP(C447,CLIENT_CODE!B:B,CLIENT_CODE!P:P,0))</f>
        <v>0</v>
      </c>
      <c r="AB447">
        <f>_xlfn.XLOOKUP(B447,CRN!G:G,CRN!V:V,"")</f>
        <v>0</v>
      </c>
      <c r="AC447">
        <f>IF(AB447=0,0,_xlfn.XLOOKUP(C447,CLIENT_CODE!B:B,CLIENT_CODE!R:R,0))</f>
        <v>0</v>
      </c>
      <c r="AD447">
        <f t="shared" si="6"/>
        <v>0</v>
      </c>
    </row>
    <row r="448" spans="1:30">
      <c r="A448" s="42">
        <v>447</v>
      </c>
      <c r="E448">
        <f>IF(D448=0,0,_xlfn.XLOOKUP(C448,CLIENT_CODE!B:B,CLIENT_CODE!F:F,0))</f>
        <v>0</v>
      </c>
      <c r="F448">
        <f>_xlfn.XLOOKUP(B448,CRN!G:G,CRN!K:K,"")</f>
        <v>0</v>
      </c>
      <c r="G448">
        <f>IF(F448=0,0,_xlfn.XLOOKUP(C448,CLIENT_CODE!B:B,CLIENT_CODE!G:G,0))</f>
        <v>0</v>
      </c>
      <c r="H448">
        <f>_xlfn.XLOOKUP(B448,CRN!G:G,CRN!L:L,"")</f>
        <v>0</v>
      </c>
      <c r="I448">
        <f>IF(H448=0,0,_xlfn.XLOOKUP(C448,CLIENT_CODE!B:B,CLIENT_CODE!H:H,0))</f>
        <v>0</v>
      </c>
      <c r="J448">
        <f>_xlfn.XLOOKUP(B448,CRN!G:G,CRN!M:M,"")</f>
        <v>0</v>
      </c>
      <c r="K448">
        <f>IF(J448=0,0,_xlfn.XLOOKUP(C448,CLIENT_CODE!B:B,CLIENT_CODE!I:I,0))</f>
        <v>0</v>
      </c>
      <c r="L448">
        <f>_xlfn.XLOOKUP(B448,CRN!G:G,CRN!N:N,"")</f>
        <v>0</v>
      </c>
      <c r="M448">
        <f>IF(L448=0,0,_xlfn.XLOOKUP(C448,CLIENT_CODE!B:B,CLIENT_CODE!J:J,0))</f>
        <v>0</v>
      </c>
      <c r="N448">
        <f>_xlfn.XLOOKUP(B448,CRN!G:G,CRN!O:O,"")</f>
        <v>0</v>
      </c>
      <c r="O448">
        <f>IF(N448=0,0,_xlfn.XLOOKUP(C448,CLIENT_CODE!B:B,CLIENT_CODE!K:K,0))</f>
        <v>0</v>
      </c>
      <c r="P448">
        <f>_xlfn.XLOOKUP(B448,CRN!G:G,CRN!P:P,"")</f>
        <v>0</v>
      </c>
      <c r="Q448">
        <f>IF(P448=0,0,_xlfn.XLOOKUP(C448,CLIENT_CODE!B:B,CLIENT_CODE!L:L,0))</f>
        <v>0</v>
      </c>
      <c r="R448">
        <f>_xlfn.XLOOKUP(B448,CRN!G:G,CRN!Q:Q,"")</f>
        <v>0</v>
      </c>
      <c r="S448">
        <f>IF(R448=0,0,_xlfn.XLOOKUP(C448,CLIENT_CODE!B:B,CLIENT_CODE!M:M,0))</f>
        <v>0</v>
      </c>
      <c r="T448">
        <f>_xlfn.XLOOKUP(B448,CRN!G:G,CRN!R:R,"")</f>
        <v>0</v>
      </c>
      <c r="U448">
        <f>IF(T448=0,0,_xlfn.XLOOKUP(C448,CLIENT_CODE!B:B,CLIENT_CODE!N:N,0))</f>
        <v>0</v>
      </c>
      <c r="V448">
        <f>_xlfn.XLOOKUP(B448,CRN!G:G,CRN!S:S,"")</f>
        <v>0</v>
      </c>
      <c r="W448">
        <f>IF(V448=0,0,_xlfn.XLOOKUP(C448,CLIENT_CODE!B:B,CLIENT_CODE!O:O,0))</f>
        <v>0</v>
      </c>
      <c r="X448">
        <f>_xlfn.XLOOKUP(B448,CRN!G:G,CRN!T:T,"")</f>
        <v>0</v>
      </c>
      <c r="Y448">
        <f>IF(X448=0,0,_xlfn.XLOOKUP(C448,CLIENT_CODE!B:B,CLIENT_CODE!P:P,0))</f>
        <v>0</v>
      </c>
      <c r="Z448">
        <f>_xlfn.XLOOKUP(B448,CRN!G:G,CRN!U:U,"")</f>
        <v>0</v>
      </c>
      <c r="AA448">
        <f>IF(X448=0,0,_xlfn.XLOOKUP(C448,CLIENT_CODE!B:B,CLIENT_CODE!P:P,0))</f>
        <v>0</v>
      </c>
      <c r="AB448">
        <f>_xlfn.XLOOKUP(B448,CRN!G:G,CRN!V:V,"")</f>
        <v>0</v>
      </c>
      <c r="AC448">
        <f>IF(AB448=0,0,_xlfn.XLOOKUP(C448,CLIENT_CODE!B:B,CLIENT_CODE!R:R,0))</f>
        <v>0</v>
      </c>
      <c r="AD448">
        <f t="shared" si="6"/>
        <v>0</v>
      </c>
    </row>
    <row r="449" spans="1:30">
      <c r="A449" s="42">
        <v>448</v>
      </c>
      <c r="E449">
        <f>IF(D449=0,0,_xlfn.XLOOKUP(C449,CLIENT_CODE!B:B,CLIENT_CODE!F:F,0))</f>
        <v>0</v>
      </c>
      <c r="F449">
        <f>_xlfn.XLOOKUP(B449,CRN!G:G,CRN!K:K,"")</f>
        <v>0</v>
      </c>
      <c r="G449">
        <f>IF(F449=0,0,_xlfn.XLOOKUP(C449,CLIENT_CODE!B:B,CLIENT_CODE!G:G,0))</f>
        <v>0</v>
      </c>
      <c r="H449">
        <f>_xlfn.XLOOKUP(B449,CRN!G:G,CRN!L:L,"")</f>
        <v>0</v>
      </c>
      <c r="I449">
        <f>IF(H449=0,0,_xlfn.XLOOKUP(C449,CLIENT_CODE!B:B,CLIENT_CODE!H:H,0))</f>
        <v>0</v>
      </c>
      <c r="J449">
        <f>_xlfn.XLOOKUP(B449,CRN!G:G,CRN!M:M,"")</f>
        <v>0</v>
      </c>
      <c r="K449">
        <f>IF(J449=0,0,_xlfn.XLOOKUP(C449,CLIENT_CODE!B:B,CLIENT_CODE!I:I,0))</f>
        <v>0</v>
      </c>
      <c r="L449">
        <f>_xlfn.XLOOKUP(B449,CRN!G:G,CRN!N:N,"")</f>
        <v>0</v>
      </c>
      <c r="M449">
        <f>IF(L449=0,0,_xlfn.XLOOKUP(C449,CLIENT_CODE!B:B,CLIENT_CODE!J:J,0))</f>
        <v>0</v>
      </c>
      <c r="N449">
        <f>_xlfn.XLOOKUP(B449,CRN!G:G,CRN!O:O,"")</f>
        <v>0</v>
      </c>
      <c r="O449">
        <f>IF(N449=0,0,_xlfn.XLOOKUP(C449,CLIENT_CODE!B:B,CLIENT_CODE!K:K,0))</f>
        <v>0</v>
      </c>
      <c r="P449">
        <f>_xlfn.XLOOKUP(B449,CRN!G:G,CRN!P:P,"")</f>
        <v>0</v>
      </c>
      <c r="Q449">
        <f>IF(P449=0,0,_xlfn.XLOOKUP(C449,CLIENT_CODE!B:B,CLIENT_CODE!L:L,0))</f>
        <v>0</v>
      </c>
      <c r="R449">
        <f>_xlfn.XLOOKUP(B449,CRN!G:G,CRN!Q:Q,"")</f>
        <v>0</v>
      </c>
      <c r="S449">
        <f>IF(R449=0,0,_xlfn.XLOOKUP(C449,CLIENT_CODE!B:B,CLIENT_CODE!M:M,0))</f>
        <v>0</v>
      </c>
      <c r="T449">
        <f>_xlfn.XLOOKUP(B449,CRN!G:G,CRN!R:R,"")</f>
        <v>0</v>
      </c>
      <c r="U449">
        <f>IF(T449=0,0,_xlfn.XLOOKUP(C449,CLIENT_CODE!B:B,CLIENT_CODE!N:N,0))</f>
        <v>0</v>
      </c>
      <c r="V449">
        <f>_xlfn.XLOOKUP(B449,CRN!G:G,CRN!S:S,"")</f>
        <v>0</v>
      </c>
      <c r="W449">
        <f>IF(V449=0,0,_xlfn.XLOOKUP(C449,CLIENT_CODE!B:B,CLIENT_CODE!O:O,0))</f>
        <v>0</v>
      </c>
      <c r="X449">
        <f>_xlfn.XLOOKUP(B449,CRN!G:G,CRN!T:T,"")</f>
        <v>0</v>
      </c>
      <c r="Y449">
        <f>IF(X449=0,0,_xlfn.XLOOKUP(C449,CLIENT_CODE!B:B,CLIENT_CODE!P:P,0))</f>
        <v>0</v>
      </c>
      <c r="Z449">
        <f>_xlfn.XLOOKUP(B449,CRN!G:G,CRN!U:U,"")</f>
        <v>0</v>
      </c>
      <c r="AA449">
        <f>IF(X449=0,0,_xlfn.XLOOKUP(C449,CLIENT_CODE!B:B,CLIENT_CODE!P:P,0))</f>
        <v>0</v>
      </c>
      <c r="AB449">
        <f>_xlfn.XLOOKUP(B449,CRN!G:G,CRN!V:V,"")</f>
        <v>0</v>
      </c>
      <c r="AC449">
        <f>IF(AB449=0,0,_xlfn.XLOOKUP(C449,CLIENT_CODE!B:B,CLIENT_CODE!R:R,0))</f>
        <v>0</v>
      </c>
      <c r="AD449">
        <f t="shared" si="6"/>
        <v>0</v>
      </c>
    </row>
    <row r="450" spans="1:30">
      <c r="A450" s="42">
        <v>449</v>
      </c>
      <c r="E450">
        <f>IF(D450=0,0,_xlfn.XLOOKUP(C450,CLIENT_CODE!B:B,CLIENT_CODE!F:F,0))</f>
        <v>0</v>
      </c>
      <c r="F450">
        <f>_xlfn.XLOOKUP(B450,CRN!G:G,CRN!K:K,"")</f>
        <v>0</v>
      </c>
      <c r="G450">
        <f>IF(F450=0,0,_xlfn.XLOOKUP(C450,CLIENT_CODE!B:B,CLIENT_CODE!G:G,0))</f>
        <v>0</v>
      </c>
      <c r="H450">
        <f>_xlfn.XLOOKUP(B450,CRN!G:G,CRN!L:L,"")</f>
        <v>0</v>
      </c>
      <c r="I450">
        <f>IF(H450=0,0,_xlfn.XLOOKUP(C450,CLIENT_CODE!B:B,CLIENT_CODE!H:H,0))</f>
        <v>0</v>
      </c>
      <c r="J450">
        <f>_xlfn.XLOOKUP(B450,CRN!G:G,CRN!M:M,"")</f>
        <v>0</v>
      </c>
      <c r="K450">
        <f>IF(J450=0,0,_xlfn.XLOOKUP(C450,CLIENT_CODE!B:B,CLIENT_CODE!I:I,0))</f>
        <v>0</v>
      </c>
      <c r="L450">
        <f>_xlfn.XLOOKUP(B450,CRN!G:G,CRN!N:N,"")</f>
        <v>0</v>
      </c>
      <c r="M450">
        <f>IF(L450=0,0,_xlfn.XLOOKUP(C450,CLIENT_CODE!B:B,CLIENT_CODE!J:J,0))</f>
        <v>0</v>
      </c>
      <c r="N450">
        <f>_xlfn.XLOOKUP(B450,CRN!G:G,CRN!O:O,"")</f>
        <v>0</v>
      </c>
      <c r="O450">
        <f>IF(N450=0,0,_xlfn.XLOOKUP(C450,CLIENT_CODE!B:B,CLIENT_CODE!K:K,0))</f>
        <v>0</v>
      </c>
      <c r="P450">
        <f>_xlfn.XLOOKUP(B450,CRN!G:G,CRN!P:P,"")</f>
        <v>0</v>
      </c>
      <c r="Q450">
        <f>IF(P450=0,0,_xlfn.XLOOKUP(C450,CLIENT_CODE!B:B,CLIENT_CODE!L:L,0))</f>
        <v>0</v>
      </c>
      <c r="R450">
        <f>_xlfn.XLOOKUP(B450,CRN!G:G,CRN!Q:Q,"")</f>
        <v>0</v>
      </c>
      <c r="S450">
        <f>IF(R450=0,0,_xlfn.XLOOKUP(C450,CLIENT_CODE!B:B,CLIENT_CODE!M:M,0))</f>
        <v>0</v>
      </c>
      <c r="T450">
        <f>_xlfn.XLOOKUP(B450,CRN!G:G,CRN!R:R,"")</f>
        <v>0</v>
      </c>
      <c r="U450">
        <f>IF(T450=0,0,_xlfn.XLOOKUP(C450,CLIENT_CODE!B:B,CLIENT_CODE!N:N,0))</f>
        <v>0</v>
      </c>
      <c r="V450">
        <f>_xlfn.XLOOKUP(B450,CRN!G:G,CRN!S:S,"")</f>
        <v>0</v>
      </c>
      <c r="W450">
        <f>IF(V450=0,0,_xlfn.XLOOKUP(C450,CLIENT_CODE!B:B,CLIENT_CODE!O:O,0))</f>
        <v>0</v>
      </c>
      <c r="X450">
        <f>_xlfn.XLOOKUP(B450,CRN!G:G,CRN!T:T,"")</f>
        <v>0</v>
      </c>
      <c r="Y450">
        <f>IF(X450=0,0,_xlfn.XLOOKUP(C450,CLIENT_CODE!B:B,CLIENT_CODE!P:P,0))</f>
        <v>0</v>
      </c>
      <c r="Z450">
        <f>_xlfn.XLOOKUP(B450,CRN!G:G,CRN!U:U,"")</f>
        <v>0</v>
      </c>
      <c r="AA450">
        <f>IF(X450=0,0,_xlfn.XLOOKUP(C450,CLIENT_CODE!B:B,CLIENT_CODE!P:P,0))</f>
        <v>0</v>
      </c>
      <c r="AB450">
        <f>_xlfn.XLOOKUP(B450,CRN!G:G,CRN!V:V,"")</f>
        <v>0</v>
      </c>
      <c r="AC450">
        <f>IF(AB450=0,0,_xlfn.XLOOKUP(C450,CLIENT_CODE!B:B,CLIENT_CODE!R:R,0))</f>
        <v>0</v>
      </c>
      <c r="AD450">
        <f t="shared" si="6"/>
        <v>0</v>
      </c>
    </row>
    <row r="451" spans="1:30">
      <c r="A451" s="42">
        <v>450</v>
      </c>
      <c r="E451">
        <f>IF(D451=0,0,_xlfn.XLOOKUP(C451,CLIENT_CODE!B:B,CLIENT_CODE!F:F,0))</f>
        <v>0</v>
      </c>
      <c r="F451">
        <f>_xlfn.XLOOKUP(B451,CRN!G:G,CRN!K:K,"")</f>
        <v>0</v>
      </c>
      <c r="G451">
        <f>IF(F451=0,0,_xlfn.XLOOKUP(C451,CLIENT_CODE!B:B,CLIENT_CODE!G:G,0))</f>
        <v>0</v>
      </c>
      <c r="H451">
        <f>_xlfn.XLOOKUP(B451,CRN!G:G,CRN!L:L,"")</f>
        <v>0</v>
      </c>
      <c r="I451">
        <f>IF(H451=0,0,_xlfn.XLOOKUP(C451,CLIENT_CODE!B:B,CLIENT_CODE!H:H,0))</f>
        <v>0</v>
      </c>
      <c r="J451">
        <f>_xlfn.XLOOKUP(B451,CRN!G:G,CRN!M:M,"")</f>
        <v>0</v>
      </c>
      <c r="K451">
        <f>IF(J451=0,0,_xlfn.XLOOKUP(C451,CLIENT_CODE!B:B,CLIENT_CODE!I:I,0))</f>
        <v>0</v>
      </c>
      <c r="L451">
        <f>_xlfn.XLOOKUP(B451,CRN!G:G,CRN!N:N,"")</f>
        <v>0</v>
      </c>
      <c r="M451">
        <f>IF(L451=0,0,_xlfn.XLOOKUP(C451,CLIENT_CODE!B:B,CLIENT_CODE!J:J,0))</f>
        <v>0</v>
      </c>
      <c r="N451">
        <f>_xlfn.XLOOKUP(B451,CRN!G:G,CRN!O:O,"")</f>
        <v>0</v>
      </c>
      <c r="O451">
        <f>IF(N451=0,0,_xlfn.XLOOKUP(C451,CLIENT_CODE!B:B,CLIENT_CODE!K:K,0))</f>
        <v>0</v>
      </c>
      <c r="P451">
        <f>_xlfn.XLOOKUP(B451,CRN!G:G,CRN!P:P,"")</f>
        <v>0</v>
      </c>
      <c r="Q451">
        <f>IF(P451=0,0,_xlfn.XLOOKUP(C451,CLIENT_CODE!B:B,CLIENT_CODE!L:L,0))</f>
        <v>0</v>
      </c>
      <c r="R451">
        <f>_xlfn.XLOOKUP(B451,CRN!G:G,CRN!Q:Q,"")</f>
        <v>0</v>
      </c>
      <c r="S451">
        <f>IF(R451=0,0,_xlfn.XLOOKUP(C451,CLIENT_CODE!B:B,CLIENT_CODE!M:M,0))</f>
        <v>0</v>
      </c>
      <c r="T451">
        <f>_xlfn.XLOOKUP(B451,CRN!G:G,CRN!R:R,"")</f>
        <v>0</v>
      </c>
      <c r="U451">
        <f>IF(T451=0,0,_xlfn.XLOOKUP(C451,CLIENT_CODE!B:B,CLIENT_CODE!N:N,0))</f>
        <v>0</v>
      </c>
      <c r="V451">
        <f>_xlfn.XLOOKUP(B451,CRN!G:G,CRN!S:S,"")</f>
        <v>0</v>
      </c>
      <c r="W451">
        <f>IF(V451=0,0,_xlfn.XLOOKUP(C451,CLIENT_CODE!B:B,CLIENT_CODE!O:O,0))</f>
        <v>0</v>
      </c>
      <c r="X451">
        <f>_xlfn.XLOOKUP(B451,CRN!G:G,CRN!T:T,"")</f>
        <v>0</v>
      </c>
      <c r="Y451">
        <f>IF(X451=0,0,_xlfn.XLOOKUP(C451,CLIENT_CODE!B:B,CLIENT_CODE!P:P,0))</f>
        <v>0</v>
      </c>
      <c r="Z451">
        <f>_xlfn.XLOOKUP(B451,CRN!G:G,CRN!U:U,"")</f>
        <v>0</v>
      </c>
      <c r="AA451">
        <f>IF(X451=0,0,_xlfn.XLOOKUP(C451,CLIENT_CODE!B:B,CLIENT_CODE!P:P,0))</f>
        <v>0</v>
      </c>
      <c r="AB451">
        <f>_xlfn.XLOOKUP(B451,CRN!G:G,CRN!V:V,"")</f>
        <v>0</v>
      </c>
      <c r="AC451">
        <f>IF(AB451=0,0,_xlfn.XLOOKUP(C451,CLIENT_CODE!B:B,CLIENT_CODE!R:R,0))</f>
        <v>0</v>
      </c>
      <c r="AD451">
        <f t="shared" ref="AD451:AD500" si="7">SUM(E451,G451,I451,K451,M451,O451,Q451,S451,U451,W451,Y451,AA451,AC451,)</f>
        <v>0</v>
      </c>
    </row>
    <row r="452" spans="1:30">
      <c r="A452" s="42">
        <v>451</v>
      </c>
      <c r="E452">
        <f>IF(D452=0,0,_xlfn.XLOOKUP(C452,CLIENT_CODE!B:B,CLIENT_CODE!F:F,0))</f>
        <v>0</v>
      </c>
      <c r="F452">
        <f>_xlfn.XLOOKUP(B452,CRN!G:G,CRN!K:K,"")</f>
        <v>0</v>
      </c>
      <c r="G452">
        <f>IF(F452=0,0,_xlfn.XLOOKUP(C452,CLIENT_CODE!B:B,CLIENT_CODE!G:G,0))</f>
        <v>0</v>
      </c>
      <c r="H452">
        <f>_xlfn.XLOOKUP(B452,CRN!G:G,CRN!L:L,"")</f>
        <v>0</v>
      </c>
      <c r="I452">
        <f>IF(H452=0,0,_xlfn.XLOOKUP(C452,CLIENT_CODE!B:B,CLIENT_CODE!H:H,0))</f>
        <v>0</v>
      </c>
      <c r="J452">
        <f>_xlfn.XLOOKUP(B452,CRN!G:G,CRN!M:M,"")</f>
        <v>0</v>
      </c>
      <c r="K452">
        <f>IF(J452=0,0,_xlfn.XLOOKUP(C452,CLIENT_CODE!B:B,CLIENT_CODE!I:I,0))</f>
        <v>0</v>
      </c>
      <c r="L452">
        <f>_xlfn.XLOOKUP(B452,CRN!G:G,CRN!N:N,"")</f>
        <v>0</v>
      </c>
      <c r="M452">
        <f>IF(L452=0,0,_xlfn.XLOOKUP(C452,CLIENT_CODE!B:B,CLIENT_CODE!J:J,0))</f>
        <v>0</v>
      </c>
      <c r="N452">
        <f>_xlfn.XLOOKUP(B452,CRN!G:G,CRN!O:O,"")</f>
        <v>0</v>
      </c>
      <c r="O452">
        <f>IF(N452=0,0,_xlfn.XLOOKUP(C452,CLIENT_CODE!B:B,CLIENT_CODE!K:K,0))</f>
        <v>0</v>
      </c>
      <c r="P452">
        <f>_xlfn.XLOOKUP(B452,CRN!G:G,CRN!P:P,"")</f>
        <v>0</v>
      </c>
      <c r="Q452">
        <f>IF(P452=0,0,_xlfn.XLOOKUP(C452,CLIENT_CODE!B:B,CLIENT_CODE!L:L,0))</f>
        <v>0</v>
      </c>
      <c r="R452">
        <f>_xlfn.XLOOKUP(B452,CRN!G:G,CRN!Q:Q,"")</f>
        <v>0</v>
      </c>
      <c r="S452">
        <f>IF(R452=0,0,_xlfn.XLOOKUP(C452,CLIENT_CODE!B:B,CLIENT_CODE!M:M,0))</f>
        <v>0</v>
      </c>
      <c r="T452">
        <f>_xlfn.XLOOKUP(B452,CRN!G:G,CRN!R:R,"")</f>
        <v>0</v>
      </c>
      <c r="U452">
        <f>IF(T452=0,0,_xlfn.XLOOKUP(C452,CLIENT_CODE!B:B,CLIENT_CODE!N:N,0))</f>
        <v>0</v>
      </c>
      <c r="V452">
        <f>_xlfn.XLOOKUP(B452,CRN!G:G,CRN!S:S,"")</f>
        <v>0</v>
      </c>
      <c r="W452">
        <f>IF(V452=0,0,_xlfn.XLOOKUP(C452,CLIENT_CODE!B:B,CLIENT_CODE!O:O,0))</f>
        <v>0</v>
      </c>
      <c r="X452">
        <f>_xlfn.XLOOKUP(B452,CRN!G:G,CRN!T:T,"")</f>
        <v>0</v>
      </c>
      <c r="Y452">
        <f>IF(X452=0,0,_xlfn.XLOOKUP(C452,CLIENT_CODE!B:B,CLIENT_CODE!P:P,0))</f>
        <v>0</v>
      </c>
      <c r="Z452">
        <f>_xlfn.XLOOKUP(B452,CRN!G:G,CRN!U:U,"")</f>
        <v>0</v>
      </c>
      <c r="AA452">
        <f>IF(X452=0,0,_xlfn.XLOOKUP(C452,CLIENT_CODE!B:B,CLIENT_CODE!P:P,0))</f>
        <v>0</v>
      </c>
      <c r="AB452">
        <f>_xlfn.XLOOKUP(B452,CRN!G:G,CRN!V:V,"")</f>
        <v>0</v>
      </c>
      <c r="AC452">
        <f>IF(AB452=0,0,_xlfn.XLOOKUP(C452,CLIENT_CODE!B:B,CLIENT_CODE!R:R,0))</f>
        <v>0</v>
      </c>
      <c r="AD452">
        <f t="shared" si="7"/>
        <v>0</v>
      </c>
    </row>
    <row r="453" spans="1:30">
      <c r="A453" s="42">
        <v>452</v>
      </c>
      <c r="E453">
        <f>IF(D453=0,0,_xlfn.XLOOKUP(C453,CLIENT_CODE!B:B,CLIENT_CODE!F:F,0))</f>
        <v>0</v>
      </c>
      <c r="F453">
        <f>_xlfn.XLOOKUP(B453,CRN!G:G,CRN!K:K,"")</f>
        <v>0</v>
      </c>
      <c r="G453">
        <f>IF(F453=0,0,_xlfn.XLOOKUP(C453,CLIENT_CODE!B:B,CLIENT_CODE!G:G,0))</f>
        <v>0</v>
      </c>
      <c r="H453">
        <f>_xlfn.XLOOKUP(B453,CRN!G:G,CRN!L:L,"")</f>
        <v>0</v>
      </c>
      <c r="I453">
        <f>IF(H453=0,0,_xlfn.XLOOKUP(C453,CLIENT_CODE!B:B,CLIENT_CODE!H:H,0))</f>
        <v>0</v>
      </c>
      <c r="J453">
        <f>_xlfn.XLOOKUP(B453,CRN!G:G,CRN!M:M,"")</f>
        <v>0</v>
      </c>
      <c r="K453">
        <f>IF(J453=0,0,_xlfn.XLOOKUP(C453,CLIENT_CODE!B:B,CLIENT_CODE!I:I,0))</f>
        <v>0</v>
      </c>
      <c r="L453">
        <f>_xlfn.XLOOKUP(B453,CRN!G:G,CRN!N:N,"")</f>
        <v>0</v>
      </c>
      <c r="M453">
        <f>IF(L453=0,0,_xlfn.XLOOKUP(C453,CLIENT_CODE!B:B,CLIENT_CODE!J:J,0))</f>
        <v>0</v>
      </c>
      <c r="N453">
        <f>_xlfn.XLOOKUP(B453,CRN!G:G,CRN!O:O,"")</f>
        <v>0</v>
      </c>
      <c r="O453">
        <f>IF(N453=0,0,_xlfn.XLOOKUP(C453,CLIENT_CODE!B:B,CLIENT_CODE!K:K,0))</f>
        <v>0</v>
      </c>
      <c r="P453">
        <f>_xlfn.XLOOKUP(B453,CRN!G:G,CRN!P:P,"")</f>
        <v>0</v>
      </c>
      <c r="Q453">
        <f>IF(P453=0,0,_xlfn.XLOOKUP(C453,CLIENT_CODE!B:B,CLIENT_CODE!L:L,0))</f>
        <v>0</v>
      </c>
      <c r="R453">
        <f>_xlfn.XLOOKUP(B453,CRN!G:G,CRN!Q:Q,"")</f>
        <v>0</v>
      </c>
      <c r="S453">
        <f>IF(R453=0,0,_xlfn.XLOOKUP(C453,CLIENT_CODE!B:B,CLIENT_CODE!M:M,0))</f>
        <v>0</v>
      </c>
      <c r="T453">
        <f>_xlfn.XLOOKUP(B453,CRN!G:G,CRN!R:R,"")</f>
        <v>0</v>
      </c>
      <c r="U453">
        <f>IF(T453=0,0,_xlfn.XLOOKUP(C453,CLIENT_CODE!B:B,CLIENT_CODE!N:N,0))</f>
        <v>0</v>
      </c>
      <c r="V453">
        <f>_xlfn.XLOOKUP(B453,CRN!G:G,CRN!S:S,"")</f>
        <v>0</v>
      </c>
      <c r="W453">
        <f>IF(V453=0,0,_xlfn.XLOOKUP(C453,CLIENT_CODE!B:B,CLIENT_CODE!O:O,0))</f>
        <v>0</v>
      </c>
      <c r="X453">
        <f>_xlfn.XLOOKUP(B453,CRN!G:G,CRN!T:T,"")</f>
        <v>0</v>
      </c>
      <c r="Y453">
        <f>IF(X453=0,0,_xlfn.XLOOKUP(C453,CLIENT_CODE!B:B,CLIENT_CODE!P:P,0))</f>
        <v>0</v>
      </c>
      <c r="Z453">
        <f>_xlfn.XLOOKUP(B453,CRN!G:G,CRN!U:U,"")</f>
        <v>0</v>
      </c>
      <c r="AA453">
        <f>IF(X453=0,0,_xlfn.XLOOKUP(C453,CLIENT_CODE!B:B,CLIENT_CODE!P:P,0))</f>
        <v>0</v>
      </c>
      <c r="AB453">
        <f>_xlfn.XLOOKUP(B453,CRN!G:G,CRN!V:V,"")</f>
        <v>0</v>
      </c>
      <c r="AC453">
        <f>IF(AB453=0,0,_xlfn.XLOOKUP(C453,CLIENT_CODE!B:B,CLIENT_CODE!R:R,0))</f>
        <v>0</v>
      </c>
      <c r="AD453">
        <f t="shared" si="7"/>
        <v>0</v>
      </c>
    </row>
    <row r="454" spans="1:30">
      <c r="A454" s="42">
        <v>453</v>
      </c>
      <c r="E454">
        <f>IF(D454=0,0,_xlfn.XLOOKUP(C454,CLIENT_CODE!B:B,CLIENT_CODE!F:F,0))</f>
        <v>0</v>
      </c>
      <c r="F454">
        <f>_xlfn.XLOOKUP(B454,CRN!G:G,CRN!K:K,"")</f>
        <v>0</v>
      </c>
      <c r="G454">
        <f>IF(F454=0,0,_xlfn.XLOOKUP(C454,CLIENT_CODE!B:B,CLIENT_CODE!G:G,0))</f>
        <v>0</v>
      </c>
      <c r="H454">
        <f>_xlfn.XLOOKUP(B454,CRN!G:G,CRN!L:L,"")</f>
        <v>0</v>
      </c>
      <c r="I454">
        <f>IF(H454=0,0,_xlfn.XLOOKUP(C454,CLIENT_CODE!B:B,CLIENT_CODE!H:H,0))</f>
        <v>0</v>
      </c>
      <c r="J454">
        <f>_xlfn.XLOOKUP(B454,CRN!G:G,CRN!M:M,"")</f>
        <v>0</v>
      </c>
      <c r="K454">
        <f>IF(J454=0,0,_xlfn.XLOOKUP(C454,CLIENT_CODE!B:B,CLIENT_CODE!I:I,0))</f>
        <v>0</v>
      </c>
      <c r="L454">
        <f>_xlfn.XLOOKUP(B454,CRN!G:G,CRN!N:N,"")</f>
        <v>0</v>
      </c>
      <c r="M454">
        <f>IF(L454=0,0,_xlfn.XLOOKUP(C454,CLIENT_CODE!B:B,CLIENT_CODE!J:J,0))</f>
        <v>0</v>
      </c>
      <c r="N454">
        <f>_xlfn.XLOOKUP(B454,CRN!G:G,CRN!O:O,"")</f>
        <v>0</v>
      </c>
      <c r="O454">
        <f>IF(N454=0,0,_xlfn.XLOOKUP(C454,CLIENT_CODE!B:B,CLIENT_CODE!K:K,0))</f>
        <v>0</v>
      </c>
      <c r="P454">
        <f>_xlfn.XLOOKUP(B454,CRN!G:G,CRN!P:P,"")</f>
        <v>0</v>
      </c>
      <c r="Q454">
        <f>IF(P454=0,0,_xlfn.XLOOKUP(C454,CLIENT_CODE!B:B,CLIENT_CODE!L:L,0))</f>
        <v>0</v>
      </c>
      <c r="R454">
        <f>_xlfn.XLOOKUP(B454,CRN!G:G,CRN!Q:Q,"")</f>
        <v>0</v>
      </c>
      <c r="S454">
        <f>IF(R454=0,0,_xlfn.XLOOKUP(C454,CLIENT_CODE!B:B,CLIENT_CODE!M:M,0))</f>
        <v>0</v>
      </c>
      <c r="T454">
        <f>_xlfn.XLOOKUP(B454,CRN!G:G,CRN!R:R,"")</f>
        <v>0</v>
      </c>
      <c r="U454">
        <f>IF(T454=0,0,_xlfn.XLOOKUP(C454,CLIENT_CODE!B:B,CLIENT_CODE!N:N,0))</f>
        <v>0</v>
      </c>
      <c r="V454">
        <f>_xlfn.XLOOKUP(B454,CRN!G:G,CRN!S:S,"")</f>
        <v>0</v>
      </c>
      <c r="W454">
        <f>IF(V454=0,0,_xlfn.XLOOKUP(C454,CLIENT_CODE!B:B,CLIENT_CODE!O:O,0))</f>
        <v>0</v>
      </c>
      <c r="X454">
        <f>_xlfn.XLOOKUP(B454,CRN!G:G,CRN!T:T,"")</f>
        <v>0</v>
      </c>
      <c r="Y454">
        <f>IF(X454=0,0,_xlfn.XLOOKUP(C454,CLIENT_CODE!B:B,CLIENT_CODE!P:P,0))</f>
        <v>0</v>
      </c>
      <c r="Z454">
        <f>_xlfn.XLOOKUP(B454,CRN!G:G,CRN!U:U,"")</f>
        <v>0</v>
      </c>
      <c r="AA454">
        <f>IF(X454=0,0,_xlfn.XLOOKUP(C454,CLIENT_CODE!B:B,CLIENT_CODE!P:P,0))</f>
        <v>0</v>
      </c>
      <c r="AB454">
        <f>_xlfn.XLOOKUP(B454,CRN!G:G,CRN!V:V,"")</f>
        <v>0</v>
      </c>
      <c r="AC454">
        <f>IF(AB454=0,0,_xlfn.XLOOKUP(C454,CLIENT_CODE!B:B,CLIENT_CODE!R:R,0))</f>
        <v>0</v>
      </c>
      <c r="AD454">
        <f t="shared" si="7"/>
        <v>0</v>
      </c>
    </row>
    <row r="455" spans="1:30">
      <c r="A455" s="42">
        <v>454</v>
      </c>
      <c r="E455">
        <f>IF(D455=0,0,_xlfn.XLOOKUP(C455,CLIENT_CODE!B:B,CLIENT_CODE!F:F,0))</f>
        <v>0</v>
      </c>
      <c r="F455">
        <f>_xlfn.XLOOKUP(B455,CRN!G:G,CRN!K:K,"")</f>
        <v>0</v>
      </c>
      <c r="G455">
        <f>IF(F455=0,0,_xlfn.XLOOKUP(C455,CLIENT_CODE!B:B,CLIENT_CODE!G:G,0))</f>
        <v>0</v>
      </c>
      <c r="H455">
        <f>_xlfn.XLOOKUP(B455,CRN!G:G,CRN!L:L,"")</f>
        <v>0</v>
      </c>
      <c r="I455">
        <f>IF(H455=0,0,_xlfn.XLOOKUP(C455,CLIENT_CODE!B:B,CLIENT_CODE!H:H,0))</f>
        <v>0</v>
      </c>
      <c r="J455">
        <f>_xlfn.XLOOKUP(B455,CRN!G:G,CRN!M:M,"")</f>
        <v>0</v>
      </c>
      <c r="K455">
        <f>IF(J455=0,0,_xlfn.XLOOKUP(C455,CLIENT_CODE!B:B,CLIENT_CODE!I:I,0))</f>
        <v>0</v>
      </c>
      <c r="L455">
        <f>_xlfn.XLOOKUP(B455,CRN!G:G,CRN!N:N,"")</f>
        <v>0</v>
      </c>
      <c r="M455">
        <f>IF(L455=0,0,_xlfn.XLOOKUP(C455,CLIENT_CODE!B:B,CLIENT_CODE!J:J,0))</f>
        <v>0</v>
      </c>
      <c r="N455">
        <f>_xlfn.XLOOKUP(B455,CRN!G:G,CRN!O:O,"")</f>
        <v>0</v>
      </c>
      <c r="O455">
        <f>IF(N455=0,0,_xlfn.XLOOKUP(C455,CLIENT_CODE!B:B,CLIENT_CODE!K:K,0))</f>
        <v>0</v>
      </c>
      <c r="P455">
        <f>_xlfn.XLOOKUP(B455,CRN!G:G,CRN!P:P,"")</f>
        <v>0</v>
      </c>
      <c r="Q455">
        <f>IF(P455=0,0,_xlfn.XLOOKUP(C455,CLIENT_CODE!B:B,CLIENT_CODE!L:L,0))</f>
        <v>0</v>
      </c>
      <c r="R455">
        <f>_xlfn.XLOOKUP(B455,CRN!G:G,CRN!Q:Q,"")</f>
        <v>0</v>
      </c>
      <c r="S455">
        <f>IF(R455=0,0,_xlfn.XLOOKUP(C455,CLIENT_CODE!B:B,CLIENT_CODE!M:M,0))</f>
        <v>0</v>
      </c>
      <c r="T455">
        <f>_xlfn.XLOOKUP(B455,CRN!G:G,CRN!R:R,"")</f>
        <v>0</v>
      </c>
      <c r="U455">
        <f>IF(T455=0,0,_xlfn.XLOOKUP(C455,CLIENT_CODE!B:B,CLIENT_CODE!N:N,0))</f>
        <v>0</v>
      </c>
      <c r="V455">
        <f>_xlfn.XLOOKUP(B455,CRN!G:G,CRN!S:S,"")</f>
        <v>0</v>
      </c>
      <c r="W455">
        <f>IF(V455=0,0,_xlfn.XLOOKUP(C455,CLIENT_CODE!B:B,CLIENT_CODE!O:O,0))</f>
        <v>0</v>
      </c>
      <c r="X455">
        <f>_xlfn.XLOOKUP(B455,CRN!G:G,CRN!T:T,"")</f>
        <v>0</v>
      </c>
      <c r="Y455">
        <f>IF(X455=0,0,_xlfn.XLOOKUP(C455,CLIENT_CODE!B:B,CLIENT_CODE!P:P,0))</f>
        <v>0</v>
      </c>
      <c r="Z455">
        <f>_xlfn.XLOOKUP(B455,CRN!G:G,CRN!U:U,"")</f>
        <v>0</v>
      </c>
      <c r="AA455">
        <f>IF(X455=0,0,_xlfn.XLOOKUP(C455,CLIENT_CODE!B:B,CLIENT_CODE!P:P,0))</f>
        <v>0</v>
      </c>
      <c r="AB455">
        <f>_xlfn.XLOOKUP(B455,CRN!G:G,CRN!V:V,"")</f>
        <v>0</v>
      </c>
      <c r="AC455">
        <f>IF(AB455=0,0,_xlfn.XLOOKUP(C455,CLIENT_CODE!B:B,CLIENT_CODE!R:R,0))</f>
        <v>0</v>
      </c>
      <c r="AD455">
        <f t="shared" si="7"/>
        <v>0</v>
      </c>
    </row>
    <row r="456" spans="1:30">
      <c r="A456" s="42">
        <v>455</v>
      </c>
      <c r="E456">
        <f>IF(D456=0,0,_xlfn.XLOOKUP(C456,CLIENT_CODE!B:B,CLIENT_CODE!F:F,0))</f>
        <v>0</v>
      </c>
      <c r="F456">
        <f>_xlfn.XLOOKUP(B456,CRN!G:G,CRN!K:K,"")</f>
        <v>0</v>
      </c>
      <c r="G456">
        <f>IF(F456=0,0,_xlfn.XLOOKUP(C456,CLIENT_CODE!B:B,CLIENT_CODE!G:G,0))</f>
        <v>0</v>
      </c>
      <c r="H456">
        <f>_xlfn.XLOOKUP(B456,CRN!G:G,CRN!L:L,"")</f>
        <v>0</v>
      </c>
      <c r="I456">
        <f>IF(H456=0,0,_xlfn.XLOOKUP(C456,CLIENT_CODE!B:B,CLIENT_CODE!H:H,0))</f>
        <v>0</v>
      </c>
      <c r="J456">
        <f>_xlfn.XLOOKUP(B456,CRN!G:G,CRN!M:M,"")</f>
        <v>0</v>
      </c>
      <c r="K456">
        <f>IF(J456=0,0,_xlfn.XLOOKUP(C456,CLIENT_CODE!B:B,CLIENT_CODE!I:I,0))</f>
        <v>0</v>
      </c>
      <c r="L456">
        <f>_xlfn.XLOOKUP(B456,CRN!G:G,CRN!N:N,"")</f>
        <v>0</v>
      </c>
      <c r="M456">
        <f>IF(L456=0,0,_xlfn.XLOOKUP(C456,CLIENT_CODE!B:B,CLIENT_CODE!J:J,0))</f>
        <v>0</v>
      </c>
      <c r="N456">
        <f>_xlfn.XLOOKUP(B456,CRN!G:G,CRN!O:O,"")</f>
        <v>0</v>
      </c>
      <c r="O456">
        <f>IF(N456=0,0,_xlfn.XLOOKUP(C456,CLIENT_CODE!B:B,CLIENT_CODE!K:K,0))</f>
        <v>0</v>
      </c>
      <c r="P456">
        <f>_xlfn.XLOOKUP(B456,CRN!G:G,CRN!P:P,"")</f>
        <v>0</v>
      </c>
      <c r="Q456">
        <f>IF(P456=0,0,_xlfn.XLOOKUP(C456,CLIENT_CODE!B:B,CLIENT_CODE!L:L,0))</f>
        <v>0</v>
      </c>
      <c r="R456">
        <f>_xlfn.XLOOKUP(B456,CRN!G:G,CRN!Q:Q,"")</f>
        <v>0</v>
      </c>
      <c r="S456">
        <f>IF(R456=0,0,_xlfn.XLOOKUP(C456,CLIENT_CODE!B:B,CLIENT_CODE!M:M,0))</f>
        <v>0</v>
      </c>
      <c r="T456">
        <f>_xlfn.XLOOKUP(B456,CRN!G:G,CRN!R:R,"")</f>
        <v>0</v>
      </c>
      <c r="U456">
        <f>IF(T456=0,0,_xlfn.XLOOKUP(C456,CLIENT_CODE!B:B,CLIENT_CODE!N:N,0))</f>
        <v>0</v>
      </c>
      <c r="V456">
        <f>_xlfn.XLOOKUP(B456,CRN!G:G,CRN!S:S,"")</f>
        <v>0</v>
      </c>
      <c r="W456">
        <f>IF(V456=0,0,_xlfn.XLOOKUP(C456,CLIENT_CODE!B:B,CLIENT_CODE!O:O,0))</f>
        <v>0</v>
      </c>
      <c r="X456">
        <f>_xlfn.XLOOKUP(B456,CRN!G:G,CRN!T:T,"")</f>
        <v>0</v>
      </c>
      <c r="Y456">
        <f>IF(X456=0,0,_xlfn.XLOOKUP(C456,CLIENT_CODE!B:B,CLIENT_CODE!P:P,0))</f>
        <v>0</v>
      </c>
      <c r="Z456">
        <f>_xlfn.XLOOKUP(B456,CRN!G:G,CRN!U:U,"")</f>
        <v>0</v>
      </c>
      <c r="AA456">
        <f>IF(X456=0,0,_xlfn.XLOOKUP(C456,CLIENT_CODE!B:B,CLIENT_CODE!P:P,0))</f>
        <v>0</v>
      </c>
      <c r="AB456">
        <f>_xlfn.XLOOKUP(B456,CRN!G:G,CRN!V:V,"")</f>
        <v>0</v>
      </c>
      <c r="AC456">
        <f>IF(AB456=0,0,_xlfn.XLOOKUP(C456,CLIENT_CODE!B:B,CLIENT_CODE!R:R,0))</f>
        <v>0</v>
      </c>
      <c r="AD456">
        <f t="shared" si="7"/>
        <v>0</v>
      </c>
    </row>
    <row r="457" spans="1:30">
      <c r="A457" s="42">
        <v>456</v>
      </c>
      <c r="E457">
        <f>IF(D457=0,0,_xlfn.XLOOKUP(C457,CLIENT_CODE!B:B,CLIENT_CODE!F:F,0))</f>
        <v>0</v>
      </c>
      <c r="F457">
        <f>_xlfn.XLOOKUP(B457,CRN!G:G,CRN!K:K,"")</f>
        <v>0</v>
      </c>
      <c r="G457">
        <f>IF(F457=0,0,_xlfn.XLOOKUP(C457,CLIENT_CODE!B:B,CLIENT_CODE!G:G,0))</f>
        <v>0</v>
      </c>
      <c r="H457">
        <f>_xlfn.XLOOKUP(B457,CRN!G:G,CRN!L:L,"")</f>
        <v>0</v>
      </c>
      <c r="I457">
        <f>IF(H457=0,0,_xlfn.XLOOKUP(C457,CLIENT_CODE!B:B,CLIENT_CODE!H:H,0))</f>
        <v>0</v>
      </c>
      <c r="J457">
        <f>_xlfn.XLOOKUP(B457,CRN!G:G,CRN!M:M,"")</f>
        <v>0</v>
      </c>
      <c r="K457">
        <f>IF(J457=0,0,_xlfn.XLOOKUP(C457,CLIENT_CODE!B:B,CLIENT_CODE!I:I,0))</f>
        <v>0</v>
      </c>
      <c r="L457">
        <f>_xlfn.XLOOKUP(B457,CRN!G:G,CRN!N:N,"")</f>
        <v>0</v>
      </c>
      <c r="M457">
        <f>IF(L457=0,0,_xlfn.XLOOKUP(C457,CLIENT_CODE!B:B,CLIENT_CODE!J:J,0))</f>
        <v>0</v>
      </c>
      <c r="N457">
        <f>_xlfn.XLOOKUP(B457,CRN!G:G,CRN!O:O,"")</f>
        <v>0</v>
      </c>
      <c r="O457">
        <f>IF(N457=0,0,_xlfn.XLOOKUP(C457,CLIENT_CODE!B:B,CLIENT_CODE!K:K,0))</f>
        <v>0</v>
      </c>
      <c r="P457">
        <f>_xlfn.XLOOKUP(B457,CRN!G:G,CRN!P:P,"")</f>
        <v>0</v>
      </c>
      <c r="Q457">
        <f>IF(P457=0,0,_xlfn.XLOOKUP(C457,CLIENT_CODE!B:B,CLIENT_CODE!L:L,0))</f>
        <v>0</v>
      </c>
      <c r="R457">
        <f>_xlfn.XLOOKUP(B457,CRN!G:G,CRN!Q:Q,"")</f>
        <v>0</v>
      </c>
      <c r="S457">
        <f>IF(R457=0,0,_xlfn.XLOOKUP(C457,CLIENT_CODE!B:B,CLIENT_CODE!M:M,0))</f>
        <v>0</v>
      </c>
      <c r="T457">
        <f>_xlfn.XLOOKUP(B457,CRN!G:G,CRN!R:R,"")</f>
        <v>0</v>
      </c>
      <c r="U457">
        <f>IF(T457=0,0,_xlfn.XLOOKUP(C457,CLIENT_CODE!B:B,CLIENT_CODE!N:N,0))</f>
        <v>0</v>
      </c>
      <c r="V457">
        <f>_xlfn.XLOOKUP(B457,CRN!G:G,CRN!S:S,"")</f>
        <v>0</v>
      </c>
      <c r="W457">
        <f>IF(V457=0,0,_xlfn.XLOOKUP(C457,CLIENT_CODE!B:B,CLIENT_CODE!O:O,0))</f>
        <v>0</v>
      </c>
      <c r="X457">
        <f>_xlfn.XLOOKUP(B457,CRN!G:G,CRN!T:T,"")</f>
        <v>0</v>
      </c>
      <c r="Y457">
        <f>IF(X457=0,0,_xlfn.XLOOKUP(C457,CLIENT_CODE!B:B,CLIENT_CODE!P:P,0))</f>
        <v>0</v>
      </c>
      <c r="Z457">
        <f>_xlfn.XLOOKUP(B457,CRN!G:G,CRN!U:U,"")</f>
        <v>0</v>
      </c>
      <c r="AA457">
        <f>IF(X457=0,0,_xlfn.XLOOKUP(C457,CLIENT_CODE!B:B,CLIENT_CODE!P:P,0))</f>
        <v>0</v>
      </c>
      <c r="AB457">
        <f>_xlfn.XLOOKUP(B457,CRN!G:G,CRN!V:V,"")</f>
        <v>0</v>
      </c>
      <c r="AC457">
        <f>IF(AB457=0,0,_xlfn.XLOOKUP(C457,CLIENT_CODE!B:B,CLIENT_CODE!R:R,0))</f>
        <v>0</v>
      </c>
      <c r="AD457">
        <f t="shared" si="7"/>
        <v>0</v>
      </c>
    </row>
    <row r="458" spans="1:30">
      <c r="A458" s="42">
        <v>457</v>
      </c>
      <c r="E458">
        <f>IF(D458=0,0,_xlfn.XLOOKUP(C458,CLIENT_CODE!B:B,CLIENT_CODE!F:F,0))</f>
        <v>0</v>
      </c>
      <c r="F458">
        <f>_xlfn.XLOOKUP(B458,CRN!G:G,CRN!K:K,"")</f>
        <v>0</v>
      </c>
      <c r="G458">
        <f>IF(F458=0,0,_xlfn.XLOOKUP(C458,CLIENT_CODE!B:B,CLIENT_CODE!G:G,0))</f>
        <v>0</v>
      </c>
      <c r="H458">
        <f>_xlfn.XLOOKUP(B458,CRN!G:G,CRN!L:L,"")</f>
        <v>0</v>
      </c>
      <c r="I458">
        <f>IF(H458=0,0,_xlfn.XLOOKUP(C458,CLIENT_CODE!B:B,CLIENT_CODE!H:H,0))</f>
        <v>0</v>
      </c>
      <c r="J458">
        <f>_xlfn.XLOOKUP(B458,CRN!G:G,CRN!M:M,"")</f>
        <v>0</v>
      </c>
      <c r="K458">
        <f>IF(J458=0,0,_xlfn.XLOOKUP(C458,CLIENT_CODE!B:B,CLIENT_CODE!I:I,0))</f>
        <v>0</v>
      </c>
      <c r="L458">
        <f>_xlfn.XLOOKUP(B458,CRN!G:G,CRN!N:N,"")</f>
        <v>0</v>
      </c>
      <c r="M458">
        <f>IF(L458=0,0,_xlfn.XLOOKUP(C458,CLIENT_CODE!B:B,CLIENT_CODE!J:J,0))</f>
        <v>0</v>
      </c>
      <c r="N458">
        <f>_xlfn.XLOOKUP(B458,CRN!G:G,CRN!O:O,"")</f>
        <v>0</v>
      </c>
      <c r="O458">
        <f>IF(N458=0,0,_xlfn.XLOOKUP(C458,CLIENT_CODE!B:B,CLIENT_CODE!K:K,0))</f>
        <v>0</v>
      </c>
      <c r="P458">
        <f>_xlfn.XLOOKUP(B458,CRN!G:G,CRN!P:P,"")</f>
        <v>0</v>
      </c>
      <c r="Q458">
        <f>IF(P458=0,0,_xlfn.XLOOKUP(C458,CLIENT_CODE!B:B,CLIENT_CODE!L:L,0))</f>
        <v>0</v>
      </c>
      <c r="R458">
        <f>_xlfn.XLOOKUP(B458,CRN!G:G,CRN!Q:Q,"")</f>
        <v>0</v>
      </c>
      <c r="S458">
        <f>IF(R458=0,0,_xlfn.XLOOKUP(C458,CLIENT_CODE!B:B,CLIENT_CODE!M:M,0))</f>
        <v>0</v>
      </c>
      <c r="T458">
        <f>_xlfn.XLOOKUP(B458,CRN!G:G,CRN!R:R,"")</f>
        <v>0</v>
      </c>
      <c r="U458">
        <f>IF(T458=0,0,_xlfn.XLOOKUP(C458,CLIENT_CODE!B:B,CLIENT_CODE!N:N,0))</f>
        <v>0</v>
      </c>
      <c r="V458">
        <f>_xlfn.XLOOKUP(B458,CRN!G:G,CRN!S:S,"")</f>
        <v>0</v>
      </c>
      <c r="W458">
        <f>IF(V458=0,0,_xlfn.XLOOKUP(C458,CLIENT_CODE!B:B,CLIENT_CODE!O:O,0))</f>
        <v>0</v>
      </c>
      <c r="X458">
        <f>_xlfn.XLOOKUP(B458,CRN!G:G,CRN!T:T,"")</f>
        <v>0</v>
      </c>
      <c r="Y458">
        <f>IF(X458=0,0,_xlfn.XLOOKUP(C458,CLIENT_CODE!B:B,CLIENT_CODE!P:P,0))</f>
        <v>0</v>
      </c>
      <c r="Z458">
        <f>_xlfn.XLOOKUP(B458,CRN!G:G,CRN!U:U,"")</f>
        <v>0</v>
      </c>
      <c r="AA458">
        <f>IF(X458=0,0,_xlfn.XLOOKUP(C458,CLIENT_CODE!B:B,CLIENT_CODE!P:P,0))</f>
        <v>0</v>
      </c>
      <c r="AB458">
        <f>_xlfn.XLOOKUP(B458,CRN!G:G,CRN!V:V,"")</f>
        <v>0</v>
      </c>
      <c r="AC458">
        <f>IF(AB458=0,0,_xlfn.XLOOKUP(C458,CLIENT_CODE!B:B,CLIENT_CODE!R:R,0))</f>
        <v>0</v>
      </c>
      <c r="AD458">
        <f t="shared" si="7"/>
        <v>0</v>
      </c>
    </row>
    <row r="459" spans="1:30">
      <c r="A459" s="42">
        <v>458</v>
      </c>
      <c r="E459">
        <f>IF(D459=0,0,_xlfn.XLOOKUP(C459,CLIENT_CODE!B:B,CLIENT_CODE!F:F,0))</f>
        <v>0</v>
      </c>
      <c r="F459">
        <f>_xlfn.XLOOKUP(B459,CRN!G:G,CRN!K:K,"")</f>
        <v>0</v>
      </c>
      <c r="G459">
        <f>IF(F459=0,0,_xlfn.XLOOKUP(C459,CLIENT_CODE!B:B,CLIENT_CODE!G:G,0))</f>
        <v>0</v>
      </c>
      <c r="H459">
        <f>_xlfn.XLOOKUP(B459,CRN!G:G,CRN!L:L,"")</f>
        <v>0</v>
      </c>
      <c r="I459">
        <f>IF(H459=0,0,_xlfn.XLOOKUP(C459,CLIENT_CODE!B:B,CLIENT_CODE!H:H,0))</f>
        <v>0</v>
      </c>
      <c r="J459">
        <f>_xlfn.XLOOKUP(B459,CRN!G:G,CRN!M:M,"")</f>
        <v>0</v>
      </c>
      <c r="K459">
        <f>IF(J459=0,0,_xlfn.XLOOKUP(C459,CLIENT_CODE!B:B,CLIENT_CODE!I:I,0))</f>
        <v>0</v>
      </c>
      <c r="L459">
        <f>_xlfn.XLOOKUP(B459,CRN!G:G,CRN!N:N,"")</f>
        <v>0</v>
      </c>
      <c r="M459">
        <f>IF(L459=0,0,_xlfn.XLOOKUP(C459,CLIENT_CODE!B:B,CLIENT_CODE!J:J,0))</f>
        <v>0</v>
      </c>
      <c r="N459">
        <f>_xlfn.XLOOKUP(B459,CRN!G:G,CRN!O:O,"")</f>
        <v>0</v>
      </c>
      <c r="O459">
        <f>IF(N459=0,0,_xlfn.XLOOKUP(C459,CLIENT_CODE!B:B,CLIENT_CODE!K:K,0))</f>
        <v>0</v>
      </c>
      <c r="P459">
        <f>_xlfn.XLOOKUP(B459,CRN!G:G,CRN!P:P,"")</f>
        <v>0</v>
      </c>
      <c r="Q459">
        <f>IF(P459=0,0,_xlfn.XLOOKUP(C459,CLIENT_CODE!B:B,CLIENT_CODE!L:L,0))</f>
        <v>0</v>
      </c>
      <c r="R459">
        <f>_xlfn.XLOOKUP(B459,CRN!G:G,CRN!Q:Q,"")</f>
        <v>0</v>
      </c>
      <c r="S459">
        <f>IF(R459=0,0,_xlfn.XLOOKUP(C459,CLIENT_CODE!B:B,CLIENT_CODE!M:M,0))</f>
        <v>0</v>
      </c>
      <c r="T459">
        <f>_xlfn.XLOOKUP(B459,CRN!G:G,CRN!R:R,"")</f>
        <v>0</v>
      </c>
      <c r="U459">
        <f>IF(T459=0,0,_xlfn.XLOOKUP(C459,CLIENT_CODE!B:B,CLIENT_CODE!N:N,0))</f>
        <v>0</v>
      </c>
      <c r="V459">
        <f>_xlfn.XLOOKUP(B459,CRN!G:G,CRN!S:S,"")</f>
        <v>0</v>
      </c>
      <c r="W459">
        <f>IF(V459=0,0,_xlfn.XLOOKUP(C459,CLIENT_CODE!B:B,CLIENT_CODE!O:O,0))</f>
        <v>0</v>
      </c>
      <c r="X459">
        <f>_xlfn.XLOOKUP(B459,CRN!G:G,CRN!T:T,"")</f>
        <v>0</v>
      </c>
      <c r="Y459">
        <f>IF(X459=0,0,_xlfn.XLOOKUP(C459,CLIENT_CODE!B:B,CLIENT_CODE!P:P,0))</f>
        <v>0</v>
      </c>
      <c r="Z459">
        <f>_xlfn.XLOOKUP(B459,CRN!G:G,CRN!U:U,"")</f>
        <v>0</v>
      </c>
      <c r="AA459">
        <f>IF(X459=0,0,_xlfn.XLOOKUP(C459,CLIENT_CODE!B:B,CLIENT_CODE!P:P,0))</f>
        <v>0</v>
      </c>
      <c r="AB459">
        <f>_xlfn.XLOOKUP(B459,CRN!G:G,CRN!V:V,"")</f>
        <v>0</v>
      </c>
      <c r="AC459">
        <f>IF(AB459=0,0,_xlfn.XLOOKUP(C459,CLIENT_CODE!B:B,CLIENT_CODE!R:R,0))</f>
        <v>0</v>
      </c>
      <c r="AD459">
        <f t="shared" si="7"/>
        <v>0</v>
      </c>
    </row>
    <row r="460" spans="1:30">
      <c r="A460" s="42">
        <v>459</v>
      </c>
      <c r="E460">
        <f>IF(D460=0,0,_xlfn.XLOOKUP(C460,CLIENT_CODE!B:B,CLIENT_CODE!F:F,0))</f>
        <v>0</v>
      </c>
      <c r="F460">
        <f>_xlfn.XLOOKUP(B460,CRN!G:G,CRN!K:K,"")</f>
        <v>0</v>
      </c>
      <c r="G460">
        <f>IF(F460=0,0,_xlfn.XLOOKUP(C460,CLIENT_CODE!B:B,CLIENT_CODE!G:G,0))</f>
        <v>0</v>
      </c>
      <c r="H460">
        <f>_xlfn.XLOOKUP(B460,CRN!G:G,CRN!L:L,"")</f>
        <v>0</v>
      </c>
      <c r="I460">
        <f>IF(H460=0,0,_xlfn.XLOOKUP(C460,CLIENT_CODE!B:B,CLIENT_CODE!H:H,0))</f>
        <v>0</v>
      </c>
      <c r="J460">
        <f>_xlfn.XLOOKUP(B460,CRN!G:G,CRN!M:M,"")</f>
        <v>0</v>
      </c>
      <c r="K460">
        <f>IF(J460=0,0,_xlfn.XLOOKUP(C460,CLIENT_CODE!B:B,CLIENT_CODE!I:I,0))</f>
        <v>0</v>
      </c>
      <c r="L460">
        <f>_xlfn.XLOOKUP(B460,CRN!G:G,CRN!N:N,"")</f>
        <v>0</v>
      </c>
      <c r="M460">
        <f>IF(L460=0,0,_xlfn.XLOOKUP(C460,CLIENT_CODE!B:B,CLIENT_CODE!J:J,0))</f>
        <v>0</v>
      </c>
      <c r="N460">
        <f>_xlfn.XLOOKUP(B460,CRN!G:G,CRN!O:O,"")</f>
        <v>0</v>
      </c>
      <c r="O460">
        <f>IF(N460=0,0,_xlfn.XLOOKUP(C460,CLIENT_CODE!B:B,CLIENT_CODE!K:K,0))</f>
        <v>0</v>
      </c>
      <c r="P460">
        <f>_xlfn.XLOOKUP(B460,CRN!G:G,CRN!P:P,"")</f>
        <v>0</v>
      </c>
      <c r="Q460">
        <f>IF(P460=0,0,_xlfn.XLOOKUP(C460,CLIENT_CODE!B:B,CLIENT_CODE!L:L,0))</f>
        <v>0</v>
      </c>
      <c r="R460">
        <f>_xlfn.XLOOKUP(B460,CRN!G:G,CRN!Q:Q,"")</f>
        <v>0</v>
      </c>
      <c r="S460">
        <f>IF(R460=0,0,_xlfn.XLOOKUP(C460,CLIENT_CODE!B:B,CLIENT_CODE!M:M,0))</f>
        <v>0</v>
      </c>
      <c r="T460">
        <f>_xlfn.XLOOKUP(B460,CRN!G:G,CRN!R:R,"")</f>
        <v>0</v>
      </c>
      <c r="U460">
        <f>IF(T460=0,0,_xlfn.XLOOKUP(C460,CLIENT_CODE!B:B,CLIENT_CODE!N:N,0))</f>
        <v>0</v>
      </c>
      <c r="V460">
        <f>_xlfn.XLOOKUP(B460,CRN!G:G,CRN!S:S,"")</f>
        <v>0</v>
      </c>
      <c r="W460">
        <f>IF(V460=0,0,_xlfn.XLOOKUP(C460,CLIENT_CODE!B:B,CLIENT_CODE!O:O,0))</f>
        <v>0</v>
      </c>
      <c r="X460">
        <f>_xlfn.XLOOKUP(B460,CRN!G:G,CRN!T:T,"")</f>
        <v>0</v>
      </c>
      <c r="Y460">
        <f>IF(X460=0,0,_xlfn.XLOOKUP(C460,CLIENT_CODE!B:B,CLIENT_CODE!P:P,0))</f>
        <v>0</v>
      </c>
      <c r="Z460">
        <f>_xlfn.XLOOKUP(B460,CRN!G:G,CRN!U:U,"")</f>
        <v>0</v>
      </c>
      <c r="AA460">
        <f>IF(X460=0,0,_xlfn.XLOOKUP(C460,CLIENT_CODE!B:B,CLIENT_CODE!P:P,0))</f>
        <v>0</v>
      </c>
      <c r="AB460">
        <f>_xlfn.XLOOKUP(B460,CRN!G:G,CRN!V:V,"")</f>
        <v>0</v>
      </c>
      <c r="AC460">
        <f>IF(AB460=0,0,_xlfn.XLOOKUP(C460,CLIENT_CODE!B:B,CLIENT_CODE!R:R,0))</f>
        <v>0</v>
      </c>
      <c r="AD460">
        <f t="shared" si="7"/>
        <v>0</v>
      </c>
    </row>
    <row r="461" spans="1:30">
      <c r="A461" s="42">
        <v>460</v>
      </c>
      <c r="E461">
        <f>IF(D461=0,0,_xlfn.XLOOKUP(C461,CLIENT_CODE!B:B,CLIENT_CODE!F:F,0))</f>
        <v>0</v>
      </c>
      <c r="F461">
        <f>_xlfn.XLOOKUP(B461,CRN!G:G,CRN!K:K,"")</f>
        <v>0</v>
      </c>
      <c r="G461">
        <f>IF(F461=0,0,_xlfn.XLOOKUP(C461,CLIENT_CODE!B:B,CLIENT_CODE!G:G,0))</f>
        <v>0</v>
      </c>
      <c r="H461">
        <f>_xlfn.XLOOKUP(B461,CRN!G:G,CRN!L:L,"")</f>
        <v>0</v>
      </c>
      <c r="I461">
        <f>IF(H461=0,0,_xlfn.XLOOKUP(C461,CLIENT_CODE!B:B,CLIENT_CODE!H:H,0))</f>
        <v>0</v>
      </c>
      <c r="J461">
        <f>_xlfn.XLOOKUP(B461,CRN!G:G,CRN!M:M,"")</f>
        <v>0</v>
      </c>
      <c r="K461">
        <f>IF(J461=0,0,_xlfn.XLOOKUP(C461,CLIENT_CODE!B:B,CLIENT_CODE!I:I,0))</f>
        <v>0</v>
      </c>
      <c r="L461">
        <f>_xlfn.XLOOKUP(B461,CRN!G:G,CRN!N:N,"")</f>
        <v>0</v>
      </c>
      <c r="M461">
        <f>IF(L461=0,0,_xlfn.XLOOKUP(C461,CLIENT_CODE!B:B,CLIENT_CODE!J:J,0))</f>
        <v>0</v>
      </c>
      <c r="N461">
        <f>_xlfn.XLOOKUP(B461,CRN!G:G,CRN!O:O,"")</f>
        <v>0</v>
      </c>
      <c r="O461">
        <f>IF(N461=0,0,_xlfn.XLOOKUP(C461,CLIENT_CODE!B:B,CLIENT_CODE!K:K,0))</f>
        <v>0</v>
      </c>
      <c r="P461">
        <f>_xlfn.XLOOKUP(B461,CRN!G:G,CRN!P:P,"")</f>
        <v>0</v>
      </c>
      <c r="Q461">
        <f>IF(P461=0,0,_xlfn.XLOOKUP(C461,CLIENT_CODE!B:B,CLIENT_CODE!L:L,0))</f>
        <v>0</v>
      </c>
      <c r="R461">
        <f>_xlfn.XLOOKUP(B461,CRN!G:G,CRN!Q:Q,"")</f>
        <v>0</v>
      </c>
      <c r="S461">
        <f>IF(R461=0,0,_xlfn.XLOOKUP(C461,CLIENT_CODE!B:B,CLIENT_CODE!M:M,0))</f>
        <v>0</v>
      </c>
      <c r="T461">
        <f>_xlfn.XLOOKUP(B461,CRN!G:G,CRN!R:R,"")</f>
        <v>0</v>
      </c>
      <c r="U461">
        <f>IF(T461=0,0,_xlfn.XLOOKUP(C461,CLIENT_CODE!B:B,CLIENT_CODE!N:N,0))</f>
        <v>0</v>
      </c>
      <c r="V461">
        <f>_xlfn.XLOOKUP(B461,CRN!G:G,CRN!S:S,"")</f>
        <v>0</v>
      </c>
      <c r="W461">
        <f>IF(V461=0,0,_xlfn.XLOOKUP(C461,CLIENT_CODE!B:B,CLIENT_CODE!O:O,0))</f>
        <v>0</v>
      </c>
      <c r="X461">
        <f>_xlfn.XLOOKUP(B461,CRN!G:G,CRN!T:T,"")</f>
        <v>0</v>
      </c>
      <c r="Y461">
        <f>IF(X461=0,0,_xlfn.XLOOKUP(C461,CLIENT_CODE!B:B,CLIENT_CODE!P:P,0))</f>
        <v>0</v>
      </c>
      <c r="Z461">
        <f>_xlfn.XLOOKUP(B461,CRN!G:G,CRN!U:U,"")</f>
        <v>0</v>
      </c>
      <c r="AA461">
        <f>IF(X461=0,0,_xlfn.XLOOKUP(C461,CLIENT_CODE!B:B,CLIENT_CODE!P:P,0))</f>
        <v>0</v>
      </c>
      <c r="AB461">
        <f>_xlfn.XLOOKUP(B461,CRN!G:G,CRN!V:V,"")</f>
        <v>0</v>
      </c>
      <c r="AC461">
        <f>IF(AB461=0,0,_xlfn.XLOOKUP(C461,CLIENT_CODE!B:B,CLIENT_CODE!R:R,0))</f>
        <v>0</v>
      </c>
      <c r="AD461">
        <f t="shared" si="7"/>
        <v>0</v>
      </c>
    </row>
    <row r="462" spans="1:30">
      <c r="A462" s="42">
        <v>461</v>
      </c>
      <c r="E462">
        <f>IF(D462=0,0,_xlfn.XLOOKUP(C462,CLIENT_CODE!B:B,CLIENT_CODE!F:F,0))</f>
        <v>0</v>
      </c>
      <c r="F462">
        <f>_xlfn.XLOOKUP(B462,CRN!G:G,CRN!K:K,"")</f>
        <v>0</v>
      </c>
      <c r="G462">
        <f>IF(F462=0,0,_xlfn.XLOOKUP(C462,CLIENT_CODE!B:B,CLIENT_CODE!G:G,0))</f>
        <v>0</v>
      </c>
      <c r="H462">
        <f>_xlfn.XLOOKUP(B462,CRN!G:G,CRN!L:L,"")</f>
        <v>0</v>
      </c>
      <c r="I462">
        <f>IF(H462=0,0,_xlfn.XLOOKUP(C462,CLIENT_CODE!B:B,CLIENT_CODE!H:H,0))</f>
        <v>0</v>
      </c>
      <c r="J462">
        <f>_xlfn.XLOOKUP(B462,CRN!G:G,CRN!M:M,"")</f>
        <v>0</v>
      </c>
      <c r="K462">
        <f>IF(J462=0,0,_xlfn.XLOOKUP(C462,CLIENT_CODE!B:B,CLIENT_CODE!I:I,0))</f>
        <v>0</v>
      </c>
      <c r="L462">
        <f>_xlfn.XLOOKUP(B462,CRN!G:G,CRN!N:N,"")</f>
        <v>0</v>
      </c>
      <c r="M462">
        <f>IF(L462=0,0,_xlfn.XLOOKUP(C462,CLIENT_CODE!B:B,CLIENT_CODE!J:J,0))</f>
        <v>0</v>
      </c>
      <c r="N462">
        <f>_xlfn.XLOOKUP(B462,CRN!G:G,CRN!O:O,"")</f>
        <v>0</v>
      </c>
      <c r="O462">
        <f>IF(N462=0,0,_xlfn.XLOOKUP(C462,CLIENT_CODE!B:B,CLIENT_CODE!K:K,0))</f>
        <v>0</v>
      </c>
      <c r="P462">
        <f>_xlfn.XLOOKUP(B462,CRN!G:G,CRN!P:P,"")</f>
        <v>0</v>
      </c>
      <c r="Q462">
        <f>IF(P462=0,0,_xlfn.XLOOKUP(C462,CLIENT_CODE!B:B,CLIENT_CODE!L:L,0))</f>
        <v>0</v>
      </c>
      <c r="R462">
        <f>_xlfn.XLOOKUP(B462,CRN!G:G,CRN!Q:Q,"")</f>
        <v>0</v>
      </c>
      <c r="S462">
        <f>IF(R462=0,0,_xlfn.XLOOKUP(C462,CLIENT_CODE!B:B,CLIENT_CODE!M:M,0))</f>
        <v>0</v>
      </c>
      <c r="T462">
        <f>_xlfn.XLOOKUP(B462,CRN!G:G,CRN!R:R,"")</f>
        <v>0</v>
      </c>
      <c r="U462">
        <f>IF(T462=0,0,_xlfn.XLOOKUP(C462,CLIENT_CODE!B:B,CLIENT_CODE!N:N,0))</f>
        <v>0</v>
      </c>
      <c r="V462">
        <f>_xlfn.XLOOKUP(B462,CRN!G:G,CRN!S:S,"")</f>
        <v>0</v>
      </c>
      <c r="W462">
        <f>IF(V462=0,0,_xlfn.XLOOKUP(C462,CLIENT_CODE!B:B,CLIENT_CODE!O:O,0))</f>
        <v>0</v>
      </c>
      <c r="X462">
        <f>_xlfn.XLOOKUP(B462,CRN!G:G,CRN!T:T,"")</f>
        <v>0</v>
      </c>
      <c r="Y462">
        <f>IF(X462=0,0,_xlfn.XLOOKUP(C462,CLIENT_CODE!B:B,CLIENT_CODE!P:P,0))</f>
        <v>0</v>
      </c>
      <c r="Z462">
        <f>_xlfn.XLOOKUP(B462,CRN!G:G,CRN!U:U,"")</f>
        <v>0</v>
      </c>
      <c r="AA462">
        <f>IF(X462=0,0,_xlfn.XLOOKUP(C462,CLIENT_CODE!B:B,CLIENT_CODE!P:P,0))</f>
        <v>0</v>
      </c>
      <c r="AB462">
        <f>_xlfn.XLOOKUP(B462,CRN!G:G,CRN!V:V,"")</f>
        <v>0</v>
      </c>
      <c r="AC462">
        <f>IF(AB462=0,0,_xlfn.XLOOKUP(C462,CLIENT_CODE!B:B,CLIENT_CODE!R:R,0))</f>
        <v>0</v>
      </c>
      <c r="AD462">
        <f t="shared" si="7"/>
        <v>0</v>
      </c>
    </row>
    <row r="463" spans="1:30">
      <c r="A463" s="42">
        <v>462</v>
      </c>
      <c r="E463">
        <f>IF(D463=0,0,_xlfn.XLOOKUP(C463,CLIENT_CODE!B:B,CLIENT_CODE!F:F,0))</f>
        <v>0</v>
      </c>
      <c r="F463">
        <f>_xlfn.XLOOKUP(B463,CRN!G:G,CRN!K:K,"")</f>
        <v>0</v>
      </c>
      <c r="G463">
        <f>IF(F463=0,0,_xlfn.XLOOKUP(C463,CLIENT_CODE!B:B,CLIENT_CODE!G:G,0))</f>
        <v>0</v>
      </c>
      <c r="H463">
        <f>_xlfn.XLOOKUP(B463,CRN!G:G,CRN!L:L,"")</f>
        <v>0</v>
      </c>
      <c r="I463">
        <f>IF(H463=0,0,_xlfn.XLOOKUP(C463,CLIENT_CODE!B:B,CLIENT_CODE!H:H,0))</f>
        <v>0</v>
      </c>
      <c r="J463">
        <f>_xlfn.XLOOKUP(B463,CRN!G:G,CRN!M:M,"")</f>
        <v>0</v>
      </c>
      <c r="K463">
        <f>IF(J463=0,0,_xlfn.XLOOKUP(C463,CLIENT_CODE!B:B,CLIENT_CODE!I:I,0))</f>
        <v>0</v>
      </c>
      <c r="L463">
        <f>_xlfn.XLOOKUP(B463,CRN!G:G,CRN!N:N,"")</f>
        <v>0</v>
      </c>
      <c r="M463">
        <f>IF(L463=0,0,_xlfn.XLOOKUP(C463,CLIENT_CODE!B:B,CLIENT_CODE!J:J,0))</f>
        <v>0</v>
      </c>
      <c r="N463">
        <f>_xlfn.XLOOKUP(B463,CRN!G:G,CRN!O:O,"")</f>
        <v>0</v>
      </c>
      <c r="O463">
        <f>IF(N463=0,0,_xlfn.XLOOKUP(C463,CLIENT_CODE!B:B,CLIENT_CODE!K:K,0))</f>
        <v>0</v>
      </c>
      <c r="P463">
        <f>_xlfn.XLOOKUP(B463,CRN!G:G,CRN!P:P,"")</f>
        <v>0</v>
      </c>
      <c r="Q463">
        <f>IF(P463=0,0,_xlfn.XLOOKUP(C463,CLIENT_CODE!B:B,CLIENT_CODE!L:L,0))</f>
        <v>0</v>
      </c>
      <c r="R463">
        <f>_xlfn.XLOOKUP(B463,CRN!G:G,CRN!Q:Q,"")</f>
        <v>0</v>
      </c>
      <c r="S463">
        <f>IF(R463=0,0,_xlfn.XLOOKUP(C463,CLIENT_CODE!B:B,CLIENT_CODE!M:M,0))</f>
        <v>0</v>
      </c>
      <c r="T463">
        <f>_xlfn.XLOOKUP(B463,CRN!G:G,CRN!R:R,"")</f>
        <v>0</v>
      </c>
      <c r="U463">
        <f>IF(T463=0,0,_xlfn.XLOOKUP(C463,CLIENT_CODE!B:B,CLIENT_CODE!N:N,0))</f>
        <v>0</v>
      </c>
      <c r="V463">
        <f>_xlfn.XLOOKUP(B463,CRN!G:G,CRN!S:S,"")</f>
        <v>0</v>
      </c>
      <c r="W463">
        <f>IF(V463=0,0,_xlfn.XLOOKUP(C463,CLIENT_CODE!B:B,CLIENT_CODE!O:O,0))</f>
        <v>0</v>
      </c>
      <c r="X463">
        <f>_xlfn.XLOOKUP(B463,CRN!G:G,CRN!T:T,"")</f>
        <v>0</v>
      </c>
      <c r="Y463">
        <f>IF(X463=0,0,_xlfn.XLOOKUP(C463,CLIENT_CODE!B:B,CLIENT_CODE!P:P,0))</f>
        <v>0</v>
      </c>
      <c r="Z463">
        <f>_xlfn.XLOOKUP(B463,CRN!G:G,CRN!U:U,"")</f>
        <v>0</v>
      </c>
      <c r="AA463">
        <f>IF(X463=0,0,_xlfn.XLOOKUP(C463,CLIENT_CODE!B:B,CLIENT_CODE!P:P,0))</f>
        <v>0</v>
      </c>
      <c r="AB463">
        <f>_xlfn.XLOOKUP(B463,CRN!G:G,CRN!V:V,"")</f>
        <v>0</v>
      </c>
      <c r="AC463">
        <f>IF(AB463=0,0,_xlfn.XLOOKUP(C463,CLIENT_CODE!B:B,CLIENT_CODE!R:R,0))</f>
        <v>0</v>
      </c>
      <c r="AD463">
        <f t="shared" si="7"/>
        <v>0</v>
      </c>
    </row>
    <row r="464" spans="1:30">
      <c r="A464" s="42">
        <v>463</v>
      </c>
      <c r="E464">
        <f>IF(D464=0,0,_xlfn.XLOOKUP(C464,CLIENT_CODE!B:B,CLIENT_CODE!F:F,0))</f>
        <v>0</v>
      </c>
      <c r="F464">
        <f>_xlfn.XLOOKUP(B464,CRN!G:G,CRN!K:K,"")</f>
        <v>0</v>
      </c>
      <c r="G464">
        <f>IF(F464=0,0,_xlfn.XLOOKUP(C464,CLIENT_CODE!B:B,CLIENT_CODE!G:G,0))</f>
        <v>0</v>
      </c>
      <c r="H464">
        <f>_xlfn.XLOOKUP(B464,CRN!G:G,CRN!L:L,"")</f>
        <v>0</v>
      </c>
      <c r="I464">
        <f>IF(H464=0,0,_xlfn.XLOOKUP(C464,CLIENT_CODE!B:B,CLIENT_CODE!H:H,0))</f>
        <v>0</v>
      </c>
      <c r="J464">
        <f>_xlfn.XLOOKUP(B464,CRN!G:G,CRN!M:M,"")</f>
        <v>0</v>
      </c>
      <c r="K464">
        <f>IF(J464=0,0,_xlfn.XLOOKUP(C464,CLIENT_CODE!B:B,CLIENT_CODE!I:I,0))</f>
        <v>0</v>
      </c>
      <c r="L464">
        <f>_xlfn.XLOOKUP(B464,CRN!G:G,CRN!N:N,"")</f>
        <v>0</v>
      </c>
      <c r="M464">
        <f>IF(L464=0,0,_xlfn.XLOOKUP(C464,CLIENT_CODE!B:B,CLIENT_CODE!J:J,0))</f>
        <v>0</v>
      </c>
      <c r="N464">
        <f>_xlfn.XLOOKUP(B464,CRN!G:G,CRN!O:O,"")</f>
        <v>0</v>
      </c>
      <c r="O464">
        <f>IF(N464=0,0,_xlfn.XLOOKUP(C464,CLIENT_CODE!B:B,CLIENT_CODE!K:K,0))</f>
        <v>0</v>
      </c>
      <c r="P464">
        <f>_xlfn.XLOOKUP(B464,CRN!G:G,CRN!P:P,"")</f>
        <v>0</v>
      </c>
      <c r="Q464">
        <f>IF(P464=0,0,_xlfn.XLOOKUP(C464,CLIENT_CODE!B:B,CLIENT_CODE!L:L,0))</f>
        <v>0</v>
      </c>
      <c r="R464">
        <f>_xlfn.XLOOKUP(B464,CRN!G:G,CRN!Q:Q,"")</f>
        <v>0</v>
      </c>
      <c r="S464">
        <f>IF(R464=0,0,_xlfn.XLOOKUP(C464,CLIENT_CODE!B:B,CLIENT_CODE!M:M,0))</f>
        <v>0</v>
      </c>
      <c r="T464">
        <f>_xlfn.XLOOKUP(B464,CRN!G:G,CRN!R:R,"")</f>
        <v>0</v>
      </c>
      <c r="U464">
        <f>IF(T464=0,0,_xlfn.XLOOKUP(C464,CLIENT_CODE!B:B,CLIENT_CODE!N:N,0))</f>
        <v>0</v>
      </c>
      <c r="V464">
        <f>_xlfn.XLOOKUP(B464,CRN!G:G,CRN!S:S,"")</f>
        <v>0</v>
      </c>
      <c r="W464">
        <f>IF(V464=0,0,_xlfn.XLOOKUP(C464,CLIENT_CODE!B:B,CLIENT_CODE!O:O,0))</f>
        <v>0</v>
      </c>
      <c r="X464">
        <f>_xlfn.XLOOKUP(B464,CRN!G:G,CRN!T:T,"")</f>
        <v>0</v>
      </c>
      <c r="Y464">
        <f>IF(X464=0,0,_xlfn.XLOOKUP(C464,CLIENT_CODE!B:B,CLIENT_CODE!P:P,0))</f>
        <v>0</v>
      </c>
      <c r="Z464">
        <f>_xlfn.XLOOKUP(B464,CRN!G:G,CRN!U:U,"")</f>
        <v>0</v>
      </c>
      <c r="AA464">
        <f>IF(X464=0,0,_xlfn.XLOOKUP(C464,CLIENT_CODE!B:B,CLIENT_CODE!P:P,0))</f>
        <v>0</v>
      </c>
      <c r="AB464">
        <f>_xlfn.XLOOKUP(B464,CRN!G:G,CRN!V:V,"")</f>
        <v>0</v>
      </c>
      <c r="AC464">
        <f>IF(AB464=0,0,_xlfn.XLOOKUP(C464,CLIENT_CODE!B:B,CLIENT_CODE!R:R,0))</f>
        <v>0</v>
      </c>
      <c r="AD464">
        <f t="shared" si="7"/>
        <v>0</v>
      </c>
    </row>
    <row r="465" spans="1:30">
      <c r="A465" s="42">
        <v>464</v>
      </c>
      <c r="E465">
        <f>IF(D465=0,0,_xlfn.XLOOKUP(C465,CLIENT_CODE!B:B,CLIENT_CODE!F:F,0))</f>
        <v>0</v>
      </c>
      <c r="F465">
        <f>_xlfn.XLOOKUP(B465,CRN!G:G,CRN!K:K,"")</f>
        <v>0</v>
      </c>
      <c r="G465">
        <f>IF(F465=0,0,_xlfn.XLOOKUP(C465,CLIENT_CODE!B:B,CLIENT_CODE!G:G,0))</f>
        <v>0</v>
      </c>
      <c r="H465">
        <f>_xlfn.XLOOKUP(B465,CRN!G:G,CRN!L:L,"")</f>
        <v>0</v>
      </c>
      <c r="I465">
        <f>IF(H465=0,0,_xlfn.XLOOKUP(C465,CLIENT_CODE!B:B,CLIENT_CODE!H:H,0))</f>
        <v>0</v>
      </c>
      <c r="J465">
        <f>_xlfn.XLOOKUP(B465,CRN!G:G,CRN!M:M,"")</f>
        <v>0</v>
      </c>
      <c r="K465">
        <f>IF(J465=0,0,_xlfn.XLOOKUP(C465,CLIENT_CODE!B:B,CLIENT_CODE!I:I,0))</f>
        <v>0</v>
      </c>
      <c r="L465">
        <f>_xlfn.XLOOKUP(B465,CRN!G:G,CRN!N:N,"")</f>
        <v>0</v>
      </c>
      <c r="M465">
        <f>IF(L465=0,0,_xlfn.XLOOKUP(C465,CLIENT_CODE!B:B,CLIENT_CODE!J:J,0))</f>
        <v>0</v>
      </c>
      <c r="N465">
        <f>_xlfn.XLOOKUP(B465,CRN!G:G,CRN!O:O,"")</f>
        <v>0</v>
      </c>
      <c r="O465">
        <f>IF(N465=0,0,_xlfn.XLOOKUP(C465,CLIENT_CODE!B:B,CLIENT_CODE!K:K,0))</f>
        <v>0</v>
      </c>
      <c r="P465">
        <f>_xlfn.XLOOKUP(B465,CRN!G:G,CRN!P:P,"")</f>
        <v>0</v>
      </c>
      <c r="Q465">
        <f>IF(P465=0,0,_xlfn.XLOOKUP(C465,CLIENT_CODE!B:B,CLIENT_CODE!L:L,0))</f>
        <v>0</v>
      </c>
      <c r="R465">
        <f>_xlfn.XLOOKUP(B465,CRN!G:G,CRN!Q:Q,"")</f>
        <v>0</v>
      </c>
      <c r="S465">
        <f>IF(R465=0,0,_xlfn.XLOOKUP(C465,CLIENT_CODE!B:B,CLIENT_CODE!M:M,0))</f>
        <v>0</v>
      </c>
      <c r="T465">
        <f>_xlfn.XLOOKUP(B465,CRN!G:G,CRN!R:R,"")</f>
        <v>0</v>
      </c>
      <c r="U465">
        <f>IF(T465=0,0,_xlfn.XLOOKUP(C465,CLIENT_CODE!B:B,CLIENT_CODE!N:N,0))</f>
        <v>0</v>
      </c>
      <c r="V465">
        <f>_xlfn.XLOOKUP(B465,CRN!G:G,CRN!S:S,"")</f>
        <v>0</v>
      </c>
      <c r="W465">
        <f>IF(V465=0,0,_xlfn.XLOOKUP(C465,CLIENT_CODE!B:B,CLIENT_CODE!O:O,0))</f>
        <v>0</v>
      </c>
      <c r="X465">
        <f>_xlfn.XLOOKUP(B465,CRN!G:G,CRN!T:T,"")</f>
        <v>0</v>
      </c>
      <c r="Y465">
        <f>IF(X465=0,0,_xlfn.XLOOKUP(C465,CLIENT_CODE!B:B,CLIENT_CODE!P:P,0))</f>
        <v>0</v>
      </c>
      <c r="Z465">
        <f>_xlfn.XLOOKUP(B465,CRN!G:G,CRN!U:U,"")</f>
        <v>0</v>
      </c>
      <c r="AA465">
        <f>IF(X465=0,0,_xlfn.XLOOKUP(C465,CLIENT_CODE!B:B,CLIENT_CODE!P:P,0))</f>
        <v>0</v>
      </c>
      <c r="AB465">
        <f>_xlfn.XLOOKUP(B465,CRN!G:G,CRN!V:V,"")</f>
        <v>0</v>
      </c>
      <c r="AC465">
        <f>IF(AB465=0,0,_xlfn.XLOOKUP(C465,CLIENT_CODE!B:B,CLIENT_CODE!R:R,0))</f>
        <v>0</v>
      </c>
      <c r="AD465">
        <f t="shared" si="7"/>
        <v>0</v>
      </c>
    </row>
    <row r="466" spans="1:30">
      <c r="A466" s="42">
        <v>465</v>
      </c>
      <c r="E466">
        <f>IF(D466=0,0,_xlfn.XLOOKUP(C466,CLIENT_CODE!B:B,CLIENT_CODE!F:F,0))</f>
        <v>0</v>
      </c>
      <c r="F466">
        <f>_xlfn.XLOOKUP(B466,CRN!G:G,CRN!K:K,"")</f>
        <v>0</v>
      </c>
      <c r="G466">
        <f>IF(F466=0,0,_xlfn.XLOOKUP(C466,CLIENT_CODE!B:B,CLIENT_CODE!G:G,0))</f>
        <v>0</v>
      </c>
      <c r="H466">
        <f>_xlfn.XLOOKUP(B466,CRN!G:G,CRN!L:L,"")</f>
        <v>0</v>
      </c>
      <c r="I466">
        <f>IF(H466=0,0,_xlfn.XLOOKUP(C466,CLIENT_CODE!B:B,CLIENT_CODE!H:H,0))</f>
        <v>0</v>
      </c>
      <c r="J466">
        <f>_xlfn.XLOOKUP(B466,CRN!G:G,CRN!M:M,"")</f>
        <v>0</v>
      </c>
      <c r="K466">
        <f>IF(J466=0,0,_xlfn.XLOOKUP(C466,CLIENT_CODE!B:B,CLIENT_CODE!I:I,0))</f>
        <v>0</v>
      </c>
      <c r="L466">
        <f>_xlfn.XLOOKUP(B466,CRN!G:G,CRN!N:N,"")</f>
        <v>0</v>
      </c>
      <c r="M466">
        <f>IF(L466=0,0,_xlfn.XLOOKUP(C466,CLIENT_CODE!B:B,CLIENT_CODE!J:J,0))</f>
        <v>0</v>
      </c>
      <c r="N466">
        <f>_xlfn.XLOOKUP(B466,CRN!G:G,CRN!O:O,"")</f>
        <v>0</v>
      </c>
      <c r="O466">
        <f>IF(N466=0,0,_xlfn.XLOOKUP(C466,CLIENT_CODE!B:B,CLIENT_CODE!K:K,0))</f>
        <v>0</v>
      </c>
      <c r="P466">
        <f>_xlfn.XLOOKUP(B466,CRN!G:G,CRN!P:P,"")</f>
        <v>0</v>
      </c>
      <c r="Q466">
        <f>IF(P466=0,0,_xlfn.XLOOKUP(C466,CLIENT_CODE!B:B,CLIENT_CODE!L:L,0))</f>
        <v>0</v>
      </c>
      <c r="R466">
        <f>_xlfn.XLOOKUP(B466,CRN!G:G,CRN!Q:Q,"")</f>
        <v>0</v>
      </c>
      <c r="S466">
        <f>IF(R466=0,0,_xlfn.XLOOKUP(C466,CLIENT_CODE!B:B,CLIENT_CODE!M:M,0))</f>
        <v>0</v>
      </c>
      <c r="T466">
        <f>_xlfn.XLOOKUP(B466,CRN!G:G,CRN!R:R,"")</f>
        <v>0</v>
      </c>
      <c r="U466">
        <f>IF(T466=0,0,_xlfn.XLOOKUP(C466,CLIENT_CODE!B:B,CLIENT_CODE!N:N,0))</f>
        <v>0</v>
      </c>
      <c r="V466">
        <f>_xlfn.XLOOKUP(B466,CRN!G:G,CRN!S:S,"")</f>
        <v>0</v>
      </c>
      <c r="W466">
        <f>IF(V466=0,0,_xlfn.XLOOKUP(C466,CLIENT_CODE!B:B,CLIENT_CODE!O:O,0))</f>
        <v>0</v>
      </c>
      <c r="X466">
        <f>_xlfn.XLOOKUP(B466,CRN!G:G,CRN!T:T,"")</f>
        <v>0</v>
      </c>
      <c r="Y466">
        <f>IF(X466=0,0,_xlfn.XLOOKUP(C466,CLIENT_CODE!B:B,CLIENT_CODE!P:P,0))</f>
        <v>0</v>
      </c>
      <c r="Z466">
        <f>_xlfn.XLOOKUP(B466,CRN!G:G,CRN!U:U,"")</f>
        <v>0</v>
      </c>
      <c r="AA466">
        <f>IF(X466=0,0,_xlfn.XLOOKUP(C466,CLIENT_CODE!B:B,CLIENT_CODE!P:P,0))</f>
        <v>0</v>
      </c>
      <c r="AB466">
        <f>_xlfn.XLOOKUP(B466,CRN!G:G,CRN!V:V,"")</f>
        <v>0</v>
      </c>
      <c r="AC466">
        <f>IF(AB466=0,0,_xlfn.XLOOKUP(C466,CLIENT_CODE!B:B,CLIENT_CODE!R:R,0))</f>
        <v>0</v>
      </c>
      <c r="AD466">
        <f t="shared" si="7"/>
        <v>0</v>
      </c>
    </row>
    <row r="467" spans="1:30">
      <c r="A467" s="42">
        <v>466</v>
      </c>
      <c r="E467">
        <f>IF(D467=0,0,_xlfn.XLOOKUP(C467,CLIENT_CODE!B:B,CLIENT_CODE!F:F,0))</f>
        <v>0</v>
      </c>
      <c r="F467">
        <f>_xlfn.XLOOKUP(B467,CRN!G:G,CRN!K:K,"")</f>
        <v>0</v>
      </c>
      <c r="G467">
        <f>IF(F467=0,0,_xlfn.XLOOKUP(C467,CLIENT_CODE!B:B,CLIENT_CODE!G:G,0))</f>
        <v>0</v>
      </c>
      <c r="H467">
        <f>_xlfn.XLOOKUP(B467,CRN!G:G,CRN!L:L,"")</f>
        <v>0</v>
      </c>
      <c r="I467">
        <f>IF(H467=0,0,_xlfn.XLOOKUP(C467,CLIENT_CODE!B:B,CLIENT_CODE!H:H,0))</f>
        <v>0</v>
      </c>
      <c r="J467">
        <f>_xlfn.XLOOKUP(B467,CRN!G:G,CRN!M:M,"")</f>
        <v>0</v>
      </c>
      <c r="K467">
        <f>IF(J467=0,0,_xlfn.XLOOKUP(C467,CLIENT_CODE!B:B,CLIENT_CODE!I:I,0))</f>
        <v>0</v>
      </c>
      <c r="L467">
        <f>_xlfn.XLOOKUP(B467,CRN!G:G,CRN!N:N,"")</f>
        <v>0</v>
      </c>
      <c r="M467">
        <f>IF(L467=0,0,_xlfn.XLOOKUP(C467,CLIENT_CODE!B:B,CLIENT_CODE!J:J,0))</f>
        <v>0</v>
      </c>
      <c r="N467">
        <f>_xlfn.XLOOKUP(B467,CRN!G:G,CRN!O:O,"")</f>
        <v>0</v>
      </c>
      <c r="O467">
        <f>IF(N467=0,0,_xlfn.XLOOKUP(C467,CLIENT_CODE!B:B,CLIENT_CODE!K:K,0))</f>
        <v>0</v>
      </c>
      <c r="P467">
        <f>_xlfn.XLOOKUP(B467,CRN!G:G,CRN!P:P,"")</f>
        <v>0</v>
      </c>
      <c r="Q467">
        <f>IF(P467=0,0,_xlfn.XLOOKUP(C467,CLIENT_CODE!B:B,CLIENT_CODE!L:L,0))</f>
        <v>0</v>
      </c>
      <c r="R467">
        <f>_xlfn.XLOOKUP(B467,CRN!G:G,CRN!Q:Q,"")</f>
        <v>0</v>
      </c>
      <c r="S467">
        <f>IF(R467=0,0,_xlfn.XLOOKUP(C467,CLIENT_CODE!B:B,CLIENT_CODE!M:M,0))</f>
        <v>0</v>
      </c>
      <c r="T467">
        <f>_xlfn.XLOOKUP(B467,CRN!G:G,CRN!R:R,"")</f>
        <v>0</v>
      </c>
      <c r="U467">
        <f>IF(T467=0,0,_xlfn.XLOOKUP(C467,CLIENT_CODE!B:B,CLIENT_CODE!N:N,0))</f>
        <v>0</v>
      </c>
      <c r="V467">
        <f>_xlfn.XLOOKUP(B467,CRN!G:G,CRN!S:S,"")</f>
        <v>0</v>
      </c>
      <c r="W467">
        <f>IF(V467=0,0,_xlfn.XLOOKUP(C467,CLIENT_CODE!B:B,CLIENT_CODE!O:O,0))</f>
        <v>0</v>
      </c>
      <c r="X467">
        <f>_xlfn.XLOOKUP(B467,CRN!G:G,CRN!T:T,"")</f>
        <v>0</v>
      </c>
      <c r="Y467">
        <f>IF(X467=0,0,_xlfn.XLOOKUP(C467,CLIENT_CODE!B:B,CLIENT_CODE!P:P,0))</f>
        <v>0</v>
      </c>
      <c r="Z467">
        <f>_xlfn.XLOOKUP(B467,CRN!G:G,CRN!U:U,"")</f>
        <v>0</v>
      </c>
      <c r="AA467">
        <f>IF(X467=0,0,_xlfn.XLOOKUP(C467,CLIENT_CODE!B:B,CLIENT_CODE!P:P,0))</f>
        <v>0</v>
      </c>
      <c r="AB467">
        <f>_xlfn.XLOOKUP(B467,CRN!G:G,CRN!V:V,"")</f>
        <v>0</v>
      </c>
      <c r="AC467">
        <f>IF(AB467=0,0,_xlfn.XLOOKUP(C467,CLIENT_CODE!B:B,CLIENT_CODE!R:R,0))</f>
        <v>0</v>
      </c>
      <c r="AD467">
        <f t="shared" si="7"/>
        <v>0</v>
      </c>
    </row>
    <row r="468" spans="1:30">
      <c r="A468" s="42">
        <v>467</v>
      </c>
      <c r="E468">
        <f>IF(D468=0,0,_xlfn.XLOOKUP(C468,CLIENT_CODE!B:B,CLIENT_CODE!F:F,0))</f>
        <v>0</v>
      </c>
      <c r="F468">
        <f>_xlfn.XLOOKUP(B468,CRN!G:G,CRN!K:K,"")</f>
        <v>0</v>
      </c>
      <c r="G468">
        <f>IF(F468=0,0,_xlfn.XLOOKUP(C468,CLIENT_CODE!B:B,CLIENT_CODE!G:G,0))</f>
        <v>0</v>
      </c>
      <c r="H468">
        <f>_xlfn.XLOOKUP(B468,CRN!G:G,CRN!L:L,"")</f>
        <v>0</v>
      </c>
      <c r="I468">
        <f>IF(H468=0,0,_xlfn.XLOOKUP(C468,CLIENT_CODE!B:B,CLIENT_CODE!H:H,0))</f>
        <v>0</v>
      </c>
      <c r="J468">
        <f>_xlfn.XLOOKUP(B468,CRN!G:G,CRN!M:M,"")</f>
        <v>0</v>
      </c>
      <c r="K468">
        <f>IF(J468=0,0,_xlfn.XLOOKUP(C468,CLIENT_CODE!B:B,CLIENT_CODE!I:I,0))</f>
        <v>0</v>
      </c>
      <c r="L468">
        <f>_xlfn.XLOOKUP(B468,CRN!G:G,CRN!N:N,"")</f>
        <v>0</v>
      </c>
      <c r="M468">
        <f>IF(L468=0,0,_xlfn.XLOOKUP(C468,CLIENT_CODE!B:B,CLIENT_CODE!J:J,0))</f>
        <v>0</v>
      </c>
      <c r="N468">
        <f>_xlfn.XLOOKUP(B468,CRN!G:G,CRN!O:O,"")</f>
        <v>0</v>
      </c>
      <c r="O468">
        <f>IF(N468=0,0,_xlfn.XLOOKUP(C468,CLIENT_CODE!B:B,CLIENT_CODE!K:K,0))</f>
        <v>0</v>
      </c>
      <c r="P468">
        <f>_xlfn.XLOOKUP(B468,CRN!G:G,CRN!P:P,"")</f>
        <v>0</v>
      </c>
      <c r="Q468">
        <f>IF(P468=0,0,_xlfn.XLOOKUP(C468,CLIENT_CODE!B:B,CLIENT_CODE!L:L,0))</f>
        <v>0</v>
      </c>
      <c r="R468">
        <f>_xlfn.XLOOKUP(B468,CRN!G:G,CRN!Q:Q,"")</f>
        <v>0</v>
      </c>
      <c r="S468">
        <f>IF(R468=0,0,_xlfn.XLOOKUP(C468,CLIENT_CODE!B:B,CLIENT_CODE!M:M,0))</f>
        <v>0</v>
      </c>
      <c r="T468">
        <f>_xlfn.XLOOKUP(B468,CRN!G:G,CRN!R:R,"")</f>
        <v>0</v>
      </c>
      <c r="U468">
        <f>IF(T468=0,0,_xlfn.XLOOKUP(C468,CLIENT_CODE!B:B,CLIENT_CODE!N:N,0))</f>
        <v>0</v>
      </c>
      <c r="V468">
        <f>_xlfn.XLOOKUP(B468,CRN!G:G,CRN!S:S,"")</f>
        <v>0</v>
      </c>
      <c r="W468">
        <f>IF(V468=0,0,_xlfn.XLOOKUP(C468,CLIENT_CODE!B:B,CLIENT_CODE!O:O,0))</f>
        <v>0</v>
      </c>
      <c r="X468">
        <f>_xlfn.XLOOKUP(B468,CRN!G:G,CRN!T:T,"")</f>
        <v>0</v>
      </c>
      <c r="Y468">
        <f>IF(X468=0,0,_xlfn.XLOOKUP(C468,CLIENT_CODE!B:B,CLIENT_CODE!P:P,0))</f>
        <v>0</v>
      </c>
      <c r="Z468">
        <f>_xlfn.XLOOKUP(B468,CRN!G:G,CRN!U:U,"")</f>
        <v>0</v>
      </c>
      <c r="AA468">
        <f>IF(X468=0,0,_xlfn.XLOOKUP(C468,CLIENT_CODE!B:B,CLIENT_CODE!P:P,0))</f>
        <v>0</v>
      </c>
      <c r="AB468">
        <f>_xlfn.XLOOKUP(B468,CRN!G:G,CRN!V:V,"")</f>
        <v>0</v>
      </c>
      <c r="AC468">
        <f>IF(AB468=0,0,_xlfn.XLOOKUP(C468,CLIENT_CODE!B:B,CLIENT_CODE!R:R,0))</f>
        <v>0</v>
      </c>
      <c r="AD468">
        <f t="shared" si="7"/>
        <v>0</v>
      </c>
    </row>
    <row r="469" spans="1:30">
      <c r="A469" s="42">
        <v>468</v>
      </c>
      <c r="E469">
        <f>IF(D469=0,0,_xlfn.XLOOKUP(C469,CLIENT_CODE!B:B,CLIENT_CODE!F:F,0))</f>
        <v>0</v>
      </c>
      <c r="F469">
        <f>_xlfn.XLOOKUP(B469,CRN!G:G,CRN!K:K,"")</f>
        <v>0</v>
      </c>
      <c r="G469">
        <f>IF(F469=0,0,_xlfn.XLOOKUP(C469,CLIENT_CODE!B:B,CLIENT_CODE!G:G,0))</f>
        <v>0</v>
      </c>
      <c r="H469">
        <f>_xlfn.XLOOKUP(B469,CRN!G:G,CRN!L:L,"")</f>
        <v>0</v>
      </c>
      <c r="I469">
        <f>IF(H469=0,0,_xlfn.XLOOKUP(C469,CLIENT_CODE!B:B,CLIENT_CODE!H:H,0))</f>
        <v>0</v>
      </c>
      <c r="J469">
        <f>_xlfn.XLOOKUP(B469,CRN!G:G,CRN!M:M,"")</f>
        <v>0</v>
      </c>
      <c r="K469">
        <f>IF(J469=0,0,_xlfn.XLOOKUP(C469,CLIENT_CODE!B:B,CLIENT_CODE!I:I,0))</f>
        <v>0</v>
      </c>
      <c r="L469">
        <f>_xlfn.XLOOKUP(B469,CRN!G:G,CRN!N:N,"")</f>
        <v>0</v>
      </c>
      <c r="M469">
        <f>IF(L469=0,0,_xlfn.XLOOKUP(C469,CLIENT_CODE!B:B,CLIENT_CODE!J:J,0))</f>
        <v>0</v>
      </c>
      <c r="N469">
        <f>_xlfn.XLOOKUP(B469,CRN!G:G,CRN!O:O,"")</f>
        <v>0</v>
      </c>
      <c r="O469">
        <f>IF(N469=0,0,_xlfn.XLOOKUP(C469,CLIENT_CODE!B:B,CLIENT_CODE!K:K,0))</f>
        <v>0</v>
      </c>
      <c r="P469">
        <f>_xlfn.XLOOKUP(B469,CRN!G:G,CRN!P:P,"")</f>
        <v>0</v>
      </c>
      <c r="Q469">
        <f>IF(P469=0,0,_xlfn.XLOOKUP(C469,CLIENT_CODE!B:B,CLIENT_CODE!L:L,0))</f>
        <v>0</v>
      </c>
      <c r="R469">
        <f>_xlfn.XLOOKUP(B469,CRN!G:G,CRN!Q:Q,"")</f>
        <v>0</v>
      </c>
      <c r="S469">
        <f>IF(R469=0,0,_xlfn.XLOOKUP(C469,CLIENT_CODE!B:B,CLIENT_CODE!M:M,0))</f>
        <v>0</v>
      </c>
      <c r="T469">
        <f>_xlfn.XLOOKUP(B469,CRN!G:G,CRN!R:R,"")</f>
        <v>0</v>
      </c>
      <c r="U469">
        <f>IF(T469=0,0,_xlfn.XLOOKUP(C469,CLIENT_CODE!B:B,CLIENT_CODE!N:N,0))</f>
        <v>0</v>
      </c>
      <c r="V469">
        <f>_xlfn.XLOOKUP(B469,CRN!G:G,CRN!S:S,"")</f>
        <v>0</v>
      </c>
      <c r="W469">
        <f>IF(V469=0,0,_xlfn.XLOOKUP(C469,CLIENT_CODE!B:B,CLIENT_CODE!O:O,0))</f>
        <v>0</v>
      </c>
      <c r="X469">
        <f>_xlfn.XLOOKUP(B469,CRN!G:G,CRN!T:T,"")</f>
        <v>0</v>
      </c>
      <c r="Y469">
        <f>IF(X469=0,0,_xlfn.XLOOKUP(C469,CLIENT_CODE!B:B,CLIENT_CODE!P:P,0))</f>
        <v>0</v>
      </c>
      <c r="Z469">
        <f>_xlfn.XLOOKUP(B469,CRN!G:G,CRN!U:U,"")</f>
        <v>0</v>
      </c>
      <c r="AA469">
        <f>IF(X469=0,0,_xlfn.XLOOKUP(C469,CLIENT_CODE!B:B,CLIENT_CODE!P:P,0))</f>
        <v>0</v>
      </c>
      <c r="AB469">
        <f>_xlfn.XLOOKUP(B469,CRN!G:G,CRN!V:V,"")</f>
        <v>0</v>
      </c>
      <c r="AC469">
        <f>IF(AB469=0,0,_xlfn.XLOOKUP(C469,CLIENT_CODE!B:B,CLIENT_CODE!R:R,0))</f>
        <v>0</v>
      </c>
      <c r="AD469">
        <f t="shared" si="7"/>
        <v>0</v>
      </c>
    </row>
    <row r="470" spans="1:30">
      <c r="A470" s="42">
        <v>469</v>
      </c>
      <c r="E470">
        <f>IF(D470=0,0,_xlfn.XLOOKUP(C470,CLIENT_CODE!B:B,CLIENT_CODE!F:F,0))</f>
        <v>0</v>
      </c>
      <c r="F470">
        <f>_xlfn.XLOOKUP(B470,CRN!G:G,CRN!K:K,"")</f>
        <v>0</v>
      </c>
      <c r="G470">
        <f>IF(F470=0,0,_xlfn.XLOOKUP(C470,CLIENT_CODE!B:B,CLIENT_CODE!G:G,0))</f>
        <v>0</v>
      </c>
      <c r="H470">
        <f>_xlfn.XLOOKUP(B470,CRN!G:G,CRN!L:L,"")</f>
        <v>0</v>
      </c>
      <c r="I470">
        <f>IF(H470=0,0,_xlfn.XLOOKUP(C470,CLIENT_CODE!B:B,CLIENT_CODE!H:H,0))</f>
        <v>0</v>
      </c>
      <c r="J470">
        <f>_xlfn.XLOOKUP(B470,CRN!G:G,CRN!M:M,"")</f>
        <v>0</v>
      </c>
      <c r="K470">
        <f>IF(J470=0,0,_xlfn.XLOOKUP(C470,CLIENT_CODE!B:B,CLIENT_CODE!I:I,0))</f>
        <v>0</v>
      </c>
      <c r="L470">
        <f>_xlfn.XLOOKUP(B470,CRN!G:G,CRN!N:N,"")</f>
        <v>0</v>
      </c>
      <c r="M470">
        <f>IF(L470=0,0,_xlfn.XLOOKUP(C470,CLIENT_CODE!B:B,CLIENT_CODE!J:J,0))</f>
        <v>0</v>
      </c>
      <c r="N470">
        <f>_xlfn.XLOOKUP(B470,CRN!G:G,CRN!O:O,"")</f>
        <v>0</v>
      </c>
      <c r="O470">
        <f>IF(N470=0,0,_xlfn.XLOOKUP(C470,CLIENT_CODE!B:B,CLIENT_CODE!K:K,0))</f>
        <v>0</v>
      </c>
      <c r="P470">
        <f>_xlfn.XLOOKUP(B470,CRN!G:G,CRN!P:P,"")</f>
        <v>0</v>
      </c>
      <c r="Q470">
        <f>IF(P470=0,0,_xlfn.XLOOKUP(C470,CLIENT_CODE!B:B,CLIENT_CODE!L:L,0))</f>
        <v>0</v>
      </c>
      <c r="R470">
        <f>_xlfn.XLOOKUP(B470,CRN!G:G,CRN!Q:Q,"")</f>
        <v>0</v>
      </c>
      <c r="S470">
        <f>IF(R470=0,0,_xlfn.XLOOKUP(C470,CLIENT_CODE!B:B,CLIENT_CODE!M:M,0))</f>
        <v>0</v>
      </c>
      <c r="T470">
        <f>_xlfn.XLOOKUP(B470,CRN!G:G,CRN!R:R,"")</f>
        <v>0</v>
      </c>
      <c r="U470">
        <f>IF(T470=0,0,_xlfn.XLOOKUP(C470,CLIENT_CODE!B:B,CLIENT_CODE!N:N,0))</f>
        <v>0</v>
      </c>
      <c r="V470">
        <f>_xlfn.XLOOKUP(B470,CRN!G:G,CRN!S:S,"")</f>
        <v>0</v>
      </c>
      <c r="W470">
        <f>IF(V470=0,0,_xlfn.XLOOKUP(C470,CLIENT_CODE!B:B,CLIENT_CODE!O:O,0))</f>
        <v>0</v>
      </c>
      <c r="X470">
        <f>_xlfn.XLOOKUP(B470,CRN!G:G,CRN!T:T,"")</f>
        <v>0</v>
      </c>
      <c r="Y470">
        <f>IF(X470=0,0,_xlfn.XLOOKUP(C470,CLIENT_CODE!B:B,CLIENT_CODE!P:P,0))</f>
        <v>0</v>
      </c>
      <c r="Z470">
        <f>_xlfn.XLOOKUP(B470,CRN!G:G,CRN!U:U,"")</f>
        <v>0</v>
      </c>
      <c r="AA470">
        <f>IF(X470=0,0,_xlfn.XLOOKUP(C470,CLIENT_CODE!B:B,CLIENT_CODE!P:P,0))</f>
        <v>0</v>
      </c>
      <c r="AB470">
        <f>_xlfn.XLOOKUP(B470,CRN!G:G,CRN!V:V,"")</f>
        <v>0</v>
      </c>
      <c r="AC470">
        <f>IF(AB470=0,0,_xlfn.XLOOKUP(C470,CLIENT_CODE!B:B,CLIENT_CODE!R:R,0))</f>
        <v>0</v>
      </c>
      <c r="AD470">
        <f t="shared" si="7"/>
        <v>0</v>
      </c>
    </row>
    <row r="471" spans="1:30">
      <c r="A471" s="42">
        <v>470</v>
      </c>
      <c r="E471">
        <f>IF(D471=0,0,_xlfn.XLOOKUP(C471,CLIENT_CODE!B:B,CLIENT_CODE!F:F,0))</f>
        <v>0</v>
      </c>
      <c r="F471">
        <f>_xlfn.XLOOKUP(B471,CRN!G:G,CRN!K:K,"")</f>
        <v>0</v>
      </c>
      <c r="G471">
        <f>IF(F471=0,0,_xlfn.XLOOKUP(C471,CLIENT_CODE!B:B,CLIENT_CODE!G:G,0))</f>
        <v>0</v>
      </c>
      <c r="H471">
        <f>_xlfn.XLOOKUP(B471,CRN!G:G,CRN!L:L,"")</f>
        <v>0</v>
      </c>
      <c r="I471">
        <f>IF(H471=0,0,_xlfn.XLOOKUP(C471,CLIENT_CODE!B:B,CLIENT_CODE!H:H,0))</f>
        <v>0</v>
      </c>
      <c r="J471">
        <f>_xlfn.XLOOKUP(B471,CRN!G:G,CRN!M:M,"")</f>
        <v>0</v>
      </c>
      <c r="K471">
        <f>IF(J471=0,0,_xlfn.XLOOKUP(C471,CLIENT_CODE!B:B,CLIENT_CODE!I:I,0))</f>
        <v>0</v>
      </c>
      <c r="L471">
        <f>_xlfn.XLOOKUP(B471,CRN!G:G,CRN!N:N,"")</f>
        <v>0</v>
      </c>
      <c r="M471">
        <f>IF(L471=0,0,_xlfn.XLOOKUP(C471,CLIENT_CODE!B:B,CLIENT_CODE!J:J,0))</f>
        <v>0</v>
      </c>
      <c r="N471">
        <f>_xlfn.XLOOKUP(B471,CRN!G:G,CRN!O:O,"")</f>
        <v>0</v>
      </c>
      <c r="O471">
        <f>IF(N471=0,0,_xlfn.XLOOKUP(C471,CLIENT_CODE!B:B,CLIENT_CODE!K:K,0))</f>
        <v>0</v>
      </c>
      <c r="P471">
        <f>_xlfn.XLOOKUP(B471,CRN!G:G,CRN!P:P,"")</f>
        <v>0</v>
      </c>
      <c r="Q471">
        <f>IF(P471=0,0,_xlfn.XLOOKUP(C471,CLIENT_CODE!B:B,CLIENT_CODE!L:L,0))</f>
        <v>0</v>
      </c>
      <c r="R471">
        <f>_xlfn.XLOOKUP(B471,CRN!G:G,CRN!Q:Q,"")</f>
        <v>0</v>
      </c>
      <c r="S471">
        <f>IF(R471=0,0,_xlfn.XLOOKUP(C471,CLIENT_CODE!B:B,CLIENT_CODE!M:M,0))</f>
        <v>0</v>
      </c>
      <c r="T471">
        <f>_xlfn.XLOOKUP(B471,CRN!G:G,CRN!R:R,"")</f>
        <v>0</v>
      </c>
      <c r="U471">
        <f>IF(T471=0,0,_xlfn.XLOOKUP(C471,CLIENT_CODE!B:B,CLIENT_CODE!N:N,0))</f>
        <v>0</v>
      </c>
      <c r="V471">
        <f>_xlfn.XLOOKUP(B471,CRN!G:G,CRN!S:S,"")</f>
        <v>0</v>
      </c>
      <c r="W471">
        <f>IF(V471=0,0,_xlfn.XLOOKUP(C471,CLIENT_CODE!B:B,CLIENT_CODE!O:O,0))</f>
        <v>0</v>
      </c>
      <c r="X471">
        <f>_xlfn.XLOOKUP(B471,CRN!G:G,CRN!T:T,"")</f>
        <v>0</v>
      </c>
      <c r="Y471">
        <f>IF(X471=0,0,_xlfn.XLOOKUP(C471,CLIENT_CODE!B:B,CLIENT_CODE!P:P,0))</f>
        <v>0</v>
      </c>
      <c r="Z471">
        <f>_xlfn.XLOOKUP(B471,CRN!G:G,CRN!U:U,"")</f>
        <v>0</v>
      </c>
      <c r="AA471">
        <f>IF(X471=0,0,_xlfn.XLOOKUP(C471,CLIENT_CODE!B:B,CLIENT_CODE!P:P,0))</f>
        <v>0</v>
      </c>
      <c r="AB471">
        <f>_xlfn.XLOOKUP(B471,CRN!G:G,CRN!V:V,"")</f>
        <v>0</v>
      </c>
      <c r="AC471">
        <f>IF(AB471=0,0,_xlfn.XLOOKUP(C471,CLIENT_CODE!B:B,CLIENT_CODE!R:R,0))</f>
        <v>0</v>
      </c>
      <c r="AD471">
        <f t="shared" si="7"/>
        <v>0</v>
      </c>
    </row>
    <row r="472" spans="1:30">
      <c r="A472" s="42">
        <v>471</v>
      </c>
      <c r="E472">
        <f>IF(D472=0,0,_xlfn.XLOOKUP(C472,CLIENT_CODE!B:B,CLIENT_CODE!F:F,0))</f>
        <v>0</v>
      </c>
      <c r="F472">
        <f>_xlfn.XLOOKUP(B472,CRN!G:G,CRN!K:K,"")</f>
        <v>0</v>
      </c>
      <c r="G472">
        <f>IF(F472=0,0,_xlfn.XLOOKUP(C472,CLIENT_CODE!B:B,CLIENT_CODE!G:G,0))</f>
        <v>0</v>
      </c>
      <c r="H472">
        <f>_xlfn.XLOOKUP(B472,CRN!G:G,CRN!L:L,"")</f>
        <v>0</v>
      </c>
      <c r="I472">
        <f>IF(H472=0,0,_xlfn.XLOOKUP(C472,CLIENT_CODE!B:B,CLIENT_CODE!H:H,0))</f>
        <v>0</v>
      </c>
      <c r="J472">
        <f>_xlfn.XLOOKUP(B472,CRN!G:G,CRN!M:M,"")</f>
        <v>0</v>
      </c>
      <c r="K472">
        <f>IF(J472=0,0,_xlfn.XLOOKUP(C472,CLIENT_CODE!B:B,CLIENT_CODE!I:I,0))</f>
        <v>0</v>
      </c>
      <c r="L472">
        <f>_xlfn.XLOOKUP(B472,CRN!G:G,CRN!N:N,"")</f>
        <v>0</v>
      </c>
      <c r="M472">
        <f>IF(L472=0,0,_xlfn.XLOOKUP(C472,CLIENT_CODE!B:B,CLIENT_CODE!J:J,0))</f>
        <v>0</v>
      </c>
      <c r="N472">
        <f>_xlfn.XLOOKUP(B472,CRN!G:G,CRN!O:O,"")</f>
        <v>0</v>
      </c>
      <c r="O472">
        <f>IF(N472=0,0,_xlfn.XLOOKUP(C472,CLIENT_CODE!B:B,CLIENT_CODE!K:K,0))</f>
        <v>0</v>
      </c>
      <c r="P472">
        <f>_xlfn.XLOOKUP(B472,CRN!G:G,CRN!P:P,"")</f>
        <v>0</v>
      </c>
      <c r="Q472">
        <f>IF(P472=0,0,_xlfn.XLOOKUP(C472,CLIENT_CODE!B:B,CLIENT_CODE!L:L,0))</f>
        <v>0</v>
      </c>
      <c r="R472">
        <f>_xlfn.XLOOKUP(B472,CRN!G:G,CRN!Q:Q,"")</f>
        <v>0</v>
      </c>
      <c r="S472">
        <f>IF(R472=0,0,_xlfn.XLOOKUP(C472,CLIENT_CODE!B:B,CLIENT_CODE!M:M,0))</f>
        <v>0</v>
      </c>
      <c r="T472">
        <f>_xlfn.XLOOKUP(B472,CRN!G:G,CRN!R:R,"")</f>
        <v>0</v>
      </c>
      <c r="U472">
        <f>IF(T472=0,0,_xlfn.XLOOKUP(C472,CLIENT_CODE!B:B,CLIENT_CODE!N:N,0))</f>
        <v>0</v>
      </c>
      <c r="V472">
        <f>_xlfn.XLOOKUP(B472,CRN!G:G,CRN!S:S,"")</f>
        <v>0</v>
      </c>
      <c r="W472">
        <f>IF(V472=0,0,_xlfn.XLOOKUP(C472,CLIENT_CODE!B:B,CLIENT_CODE!O:O,0))</f>
        <v>0</v>
      </c>
      <c r="X472">
        <f>_xlfn.XLOOKUP(B472,CRN!G:G,CRN!T:T,"")</f>
        <v>0</v>
      </c>
      <c r="Y472">
        <f>IF(X472=0,0,_xlfn.XLOOKUP(C472,CLIENT_CODE!B:B,CLIENT_CODE!P:P,0))</f>
        <v>0</v>
      </c>
      <c r="Z472">
        <f>_xlfn.XLOOKUP(B472,CRN!G:G,CRN!U:U,"")</f>
        <v>0</v>
      </c>
      <c r="AA472">
        <f>IF(X472=0,0,_xlfn.XLOOKUP(C472,CLIENT_CODE!B:B,CLIENT_CODE!P:P,0))</f>
        <v>0</v>
      </c>
      <c r="AB472">
        <f>_xlfn.XLOOKUP(B472,CRN!G:G,CRN!V:V,"")</f>
        <v>0</v>
      </c>
      <c r="AC472">
        <f>IF(AB472=0,0,_xlfn.XLOOKUP(C472,CLIENT_CODE!B:B,CLIENT_CODE!R:R,0))</f>
        <v>0</v>
      </c>
      <c r="AD472">
        <f t="shared" si="7"/>
        <v>0</v>
      </c>
    </row>
    <row r="473" spans="1:30">
      <c r="A473" s="42">
        <v>472</v>
      </c>
      <c r="E473">
        <f>IF(D473=0,0,_xlfn.XLOOKUP(C473,CLIENT_CODE!B:B,CLIENT_CODE!F:F,0))</f>
        <v>0</v>
      </c>
      <c r="F473">
        <f>_xlfn.XLOOKUP(B473,CRN!G:G,CRN!K:K,"")</f>
        <v>0</v>
      </c>
      <c r="G473">
        <f>IF(F473=0,0,_xlfn.XLOOKUP(C473,CLIENT_CODE!B:B,CLIENT_CODE!G:G,0))</f>
        <v>0</v>
      </c>
      <c r="H473">
        <f>_xlfn.XLOOKUP(B473,CRN!G:G,CRN!L:L,"")</f>
        <v>0</v>
      </c>
      <c r="I473">
        <f>IF(H473=0,0,_xlfn.XLOOKUP(C473,CLIENT_CODE!B:B,CLIENT_CODE!H:H,0))</f>
        <v>0</v>
      </c>
      <c r="J473">
        <f>_xlfn.XLOOKUP(B473,CRN!G:G,CRN!M:M,"")</f>
        <v>0</v>
      </c>
      <c r="K473">
        <f>IF(J473=0,0,_xlfn.XLOOKUP(C473,CLIENT_CODE!B:B,CLIENT_CODE!I:I,0))</f>
        <v>0</v>
      </c>
      <c r="L473">
        <f>_xlfn.XLOOKUP(B473,CRN!G:G,CRN!N:N,"")</f>
        <v>0</v>
      </c>
      <c r="M473">
        <f>IF(L473=0,0,_xlfn.XLOOKUP(C473,CLIENT_CODE!B:B,CLIENT_CODE!J:J,0))</f>
        <v>0</v>
      </c>
      <c r="N473">
        <f>_xlfn.XLOOKUP(B473,CRN!G:G,CRN!O:O,"")</f>
        <v>0</v>
      </c>
      <c r="O473">
        <f>IF(N473=0,0,_xlfn.XLOOKUP(C473,CLIENT_CODE!B:B,CLIENT_CODE!K:K,0))</f>
        <v>0</v>
      </c>
      <c r="P473">
        <f>_xlfn.XLOOKUP(B473,CRN!G:G,CRN!P:P,"")</f>
        <v>0</v>
      </c>
      <c r="Q473">
        <f>IF(P473=0,0,_xlfn.XLOOKUP(C473,CLIENT_CODE!B:B,CLIENT_CODE!L:L,0))</f>
        <v>0</v>
      </c>
      <c r="R473">
        <f>_xlfn.XLOOKUP(B473,CRN!G:G,CRN!Q:Q,"")</f>
        <v>0</v>
      </c>
      <c r="S473">
        <f>IF(R473=0,0,_xlfn.XLOOKUP(C473,CLIENT_CODE!B:B,CLIENT_CODE!M:M,0))</f>
        <v>0</v>
      </c>
      <c r="T473">
        <f>_xlfn.XLOOKUP(B473,CRN!G:G,CRN!R:R,"")</f>
        <v>0</v>
      </c>
      <c r="U473">
        <f>IF(T473=0,0,_xlfn.XLOOKUP(C473,CLIENT_CODE!B:B,CLIENT_CODE!N:N,0))</f>
        <v>0</v>
      </c>
      <c r="V473">
        <f>_xlfn.XLOOKUP(B473,CRN!G:G,CRN!S:S,"")</f>
        <v>0</v>
      </c>
      <c r="W473">
        <f>IF(V473=0,0,_xlfn.XLOOKUP(C473,CLIENT_CODE!B:B,CLIENT_CODE!O:O,0))</f>
        <v>0</v>
      </c>
      <c r="X473">
        <f>_xlfn.XLOOKUP(B473,CRN!G:G,CRN!T:T,"")</f>
        <v>0</v>
      </c>
      <c r="Y473">
        <f>IF(X473=0,0,_xlfn.XLOOKUP(C473,CLIENT_CODE!B:B,CLIENT_CODE!P:P,0))</f>
        <v>0</v>
      </c>
      <c r="Z473">
        <f>_xlfn.XLOOKUP(B473,CRN!G:G,CRN!U:U,"")</f>
        <v>0</v>
      </c>
      <c r="AA473">
        <f>IF(X473=0,0,_xlfn.XLOOKUP(C473,CLIENT_CODE!B:B,CLIENT_CODE!P:P,0))</f>
        <v>0</v>
      </c>
      <c r="AB473">
        <f>_xlfn.XLOOKUP(B473,CRN!G:G,CRN!V:V,"")</f>
        <v>0</v>
      </c>
      <c r="AC473">
        <f>IF(AB473=0,0,_xlfn.XLOOKUP(C473,CLIENT_CODE!B:B,CLIENT_CODE!R:R,0))</f>
        <v>0</v>
      </c>
      <c r="AD473">
        <f t="shared" si="7"/>
        <v>0</v>
      </c>
    </row>
    <row r="474" spans="1:30">
      <c r="A474" s="42">
        <v>473</v>
      </c>
      <c r="E474">
        <f>IF(D474=0,0,_xlfn.XLOOKUP(C474,CLIENT_CODE!B:B,CLIENT_CODE!F:F,0))</f>
        <v>0</v>
      </c>
      <c r="F474">
        <f>_xlfn.XLOOKUP(B474,CRN!G:G,CRN!K:K,"")</f>
        <v>0</v>
      </c>
      <c r="G474">
        <f>IF(F474=0,0,_xlfn.XLOOKUP(C474,CLIENT_CODE!B:B,CLIENT_CODE!G:G,0))</f>
        <v>0</v>
      </c>
      <c r="H474">
        <f>_xlfn.XLOOKUP(B474,CRN!G:G,CRN!L:L,"")</f>
        <v>0</v>
      </c>
      <c r="I474">
        <f>IF(H474=0,0,_xlfn.XLOOKUP(C474,CLIENT_CODE!B:B,CLIENT_CODE!H:H,0))</f>
        <v>0</v>
      </c>
      <c r="J474">
        <f>_xlfn.XLOOKUP(B474,CRN!G:G,CRN!M:M,"")</f>
        <v>0</v>
      </c>
      <c r="K474">
        <f>IF(J474=0,0,_xlfn.XLOOKUP(C474,CLIENT_CODE!B:B,CLIENT_CODE!I:I,0))</f>
        <v>0</v>
      </c>
      <c r="L474">
        <f>_xlfn.XLOOKUP(B474,CRN!G:G,CRN!N:N,"")</f>
        <v>0</v>
      </c>
      <c r="M474">
        <f>IF(L474=0,0,_xlfn.XLOOKUP(C474,CLIENT_CODE!B:B,CLIENT_CODE!J:J,0))</f>
        <v>0</v>
      </c>
      <c r="N474">
        <f>_xlfn.XLOOKUP(B474,CRN!G:G,CRN!O:O,"")</f>
        <v>0</v>
      </c>
      <c r="O474">
        <f>IF(N474=0,0,_xlfn.XLOOKUP(C474,CLIENT_CODE!B:B,CLIENT_CODE!K:K,0))</f>
        <v>0</v>
      </c>
      <c r="P474">
        <f>_xlfn.XLOOKUP(B474,CRN!G:G,CRN!P:P,"")</f>
        <v>0</v>
      </c>
      <c r="Q474">
        <f>IF(P474=0,0,_xlfn.XLOOKUP(C474,CLIENT_CODE!B:B,CLIENT_CODE!L:L,0))</f>
        <v>0</v>
      </c>
      <c r="R474">
        <f>_xlfn.XLOOKUP(B474,CRN!G:G,CRN!Q:Q,"")</f>
        <v>0</v>
      </c>
      <c r="S474">
        <f>IF(R474=0,0,_xlfn.XLOOKUP(C474,CLIENT_CODE!B:B,CLIENT_CODE!M:M,0))</f>
        <v>0</v>
      </c>
      <c r="T474">
        <f>_xlfn.XLOOKUP(B474,CRN!G:G,CRN!R:R,"")</f>
        <v>0</v>
      </c>
      <c r="U474">
        <f>IF(T474=0,0,_xlfn.XLOOKUP(C474,CLIENT_CODE!B:B,CLIENT_CODE!N:N,0))</f>
        <v>0</v>
      </c>
      <c r="V474">
        <f>_xlfn.XLOOKUP(B474,CRN!G:G,CRN!S:S,"")</f>
        <v>0</v>
      </c>
      <c r="W474">
        <f>IF(V474=0,0,_xlfn.XLOOKUP(C474,CLIENT_CODE!B:B,CLIENT_CODE!O:O,0))</f>
        <v>0</v>
      </c>
      <c r="X474">
        <f>_xlfn.XLOOKUP(B474,CRN!G:G,CRN!T:T,"")</f>
        <v>0</v>
      </c>
      <c r="Y474">
        <f>IF(X474=0,0,_xlfn.XLOOKUP(C474,CLIENT_CODE!B:B,CLIENT_CODE!P:P,0))</f>
        <v>0</v>
      </c>
      <c r="Z474">
        <f>_xlfn.XLOOKUP(B474,CRN!G:G,CRN!U:U,"")</f>
        <v>0</v>
      </c>
      <c r="AA474">
        <f>IF(X474=0,0,_xlfn.XLOOKUP(C474,CLIENT_CODE!B:B,CLIENT_CODE!P:P,0))</f>
        <v>0</v>
      </c>
      <c r="AB474">
        <f>_xlfn.XLOOKUP(B474,CRN!G:G,CRN!V:V,"")</f>
        <v>0</v>
      </c>
      <c r="AC474">
        <f>IF(AB474=0,0,_xlfn.XLOOKUP(C474,CLIENT_CODE!B:B,CLIENT_CODE!R:R,0))</f>
        <v>0</v>
      </c>
      <c r="AD474">
        <f t="shared" si="7"/>
        <v>0</v>
      </c>
    </row>
    <row r="475" spans="1:30">
      <c r="A475" s="42">
        <v>474</v>
      </c>
      <c r="E475">
        <f>IF(D475=0,0,_xlfn.XLOOKUP(C475,CLIENT_CODE!B:B,CLIENT_CODE!F:F,0))</f>
        <v>0</v>
      </c>
      <c r="F475">
        <f>_xlfn.XLOOKUP(B475,CRN!G:G,CRN!K:K,"")</f>
        <v>0</v>
      </c>
      <c r="G475">
        <f>IF(F475=0,0,_xlfn.XLOOKUP(C475,CLIENT_CODE!B:B,CLIENT_CODE!G:G,0))</f>
        <v>0</v>
      </c>
      <c r="H475">
        <f>_xlfn.XLOOKUP(B475,CRN!G:G,CRN!L:L,"")</f>
        <v>0</v>
      </c>
      <c r="I475">
        <f>IF(H475=0,0,_xlfn.XLOOKUP(C475,CLIENT_CODE!B:B,CLIENT_CODE!H:H,0))</f>
        <v>0</v>
      </c>
      <c r="J475">
        <f>_xlfn.XLOOKUP(B475,CRN!G:G,CRN!M:M,"")</f>
        <v>0</v>
      </c>
      <c r="K475">
        <f>IF(J475=0,0,_xlfn.XLOOKUP(C475,CLIENT_CODE!B:B,CLIENT_CODE!I:I,0))</f>
        <v>0</v>
      </c>
      <c r="L475">
        <f>_xlfn.XLOOKUP(B475,CRN!G:G,CRN!N:N,"")</f>
        <v>0</v>
      </c>
      <c r="M475">
        <f>IF(L475=0,0,_xlfn.XLOOKUP(C475,CLIENT_CODE!B:B,CLIENT_CODE!J:J,0))</f>
        <v>0</v>
      </c>
      <c r="N475">
        <f>_xlfn.XLOOKUP(B475,CRN!G:G,CRN!O:O,"")</f>
        <v>0</v>
      </c>
      <c r="O475">
        <f>IF(N475=0,0,_xlfn.XLOOKUP(C475,CLIENT_CODE!B:B,CLIENT_CODE!K:K,0))</f>
        <v>0</v>
      </c>
      <c r="P475">
        <f>_xlfn.XLOOKUP(B475,CRN!G:G,CRN!P:P,"")</f>
        <v>0</v>
      </c>
      <c r="Q475">
        <f>IF(P475=0,0,_xlfn.XLOOKUP(C475,CLIENT_CODE!B:B,CLIENT_CODE!L:L,0))</f>
        <v>0</v>
      </c>
      <c r="R475">
        <f>_xlfn.XLOOKUP(B475,CRN!G:G,CRN!Q:Q,"")</f>
        <v>0</v>
      </c>
      <c r="S475">
        <f>IF(R475=0,0,_xlfn.XLOOKUP(C475,CLIENT_CODE!B:B,CLIENT_CODE!M:M,0))</f>
        <v>0</v>
      </c>
      <c r="T475">
        <f>_xlfn.XLOOKUP(B475,CRN!G:G,CRN!R:R,"")</f>
        <v>0</v>
      </c>
      <c r="U475">
        <f>IF(T475=0,0,_xlfn.XLOOKUP(C475,CLIENT_CODE!B:B,CLIENT_CODE!N:N,0))</f>
        <v>0</v>
      </c>
      <c r="V475">
        <f>_xlfn.XLOOKUP(B475,CRN!G:G,CRN!S:S,"")</f>
        <v>0</v>
      </c>
      <c r="W475">
        <f>IF(V475=0,0,_xlfn.XLOOKUP(C475,CLIENT_CODE!B:B,CLIENT_CODE!O:O,0))</f>
        <v>0</v>
      </c>
      <c r="X475">
        <f>_xlfn.XLOOKUP(B475,CRN!G:G,CRN!T:T,"")</f>
        <v>0</v>
      </c>
      <c r="Y475">
        <f>IF(X475=0,0,_xlfn.XLOOKUP(C475,CLIENT_CODE!B:B,CLIENT_CODE!P:P,0))</f>
        <v>0</v>
      </c>
      <c r="Z475">
        <f>_xlfn.XLOOKUP(B475,CRN!G:G,CRN!U:U,"")</f>
        <v>0</v>
      </c>
      <c r="AA475">
        <f>IF(X475=0,0,_xlfn.XLOOKUP(C475,CLIENT_CODE!B:B,CLIENT_CODE!P:P,0))</f>
        <v>0</v>
      </c>
      <c r="AB475">
        <f>_xlfn.XLOOKUP(B475,CRN!G:G,CRN!V:V,"")</f>
        <v>0</v>
      </c>
      <c r="AC475">
        <f>IF(AB475=0,0,_xlfn.XLOOKUP(C475,CLIENT_CODE!B:B,CLIENT_CODE!R:R,0))</f>
        <v>0</v>
      </c>
      <c r="AD475">
        <f t="shared" si="7"/>
        <v>0</v>
      </c>
    </row>
    <row r="476" spans="1:30">
      <c r="A476" s="42">
        <v>475</v>
      </c>
      <c r="E476">
        <f>IF(D476=0,0,_xlfn.XLOOKUP(C476,CLIENT_CODE!B:B,CLIENT_CODE!F:F,0))</f>
        <v>0</v>
      </c>
      <c r="F476">
        <f>_xlfn.XLOOKUP(B476,CRN!G:G,CRN!K:K,"")</f>
        <v>0</v>
      </c>
      <c r="G476">
        <f>IF(F476=0,0,_xlfn.XLOOKUP(C476,CLIENT_CODE!B:B,CLIENT_CODE!G:G,0))</f>
        <v>0</v>
      </c>
      <c r="H476">
        <f>_xlfn.XLOOKUP(B476,CRN!G:G,CRN!L:L,"")</f>
        <v>0</v>
      </c>
      <c r="I476">
        <f>IF(H476=0,0,_xlfn.XLOOKUP(C476,CLIENT_CODE!B:B,CLIENT_CODE!H:H,0))</f>
        <v>0</v>
      </c>
      <c r="J476">
        <f>_xlfn.XLOOKUP(B476,CRN!G:G,CRN!M:M,"")</f>
        <v>0</v>
      </c>
      <c r="K476">
        <f>IF(J476=0,0,_xlfn.XLOOKUP(C476,CLIENT_CODE!B:B,CLIENT_CODE!I:I,0))</f>
        <v>0</v>
      </c>
      <c r="L476">
        <f>_xlfn.XLOOKUP(B476,CRN!G:G,CRN!N:N,"")</f>
        <v>0</v>
      </c>
      <c r="M476">
        <f>IF(L476=0,0,_xlfn.XLOOKUP(C476,CLIENT_CODE!B:B,CLIENT_CODE!J:J,0))</f>
        <v>0</v>
      </c>
      <c r="N476">
        <f>_xlfn.XLOOKUP(B476,CRN!G:G,CRN!O:O,"")</f>
        <v>0</v>
      </c>
      <c r="O476">
        <f>IF(N476=0,0,_xlfn.XLOOKUP(C476,CLIENT_CODE!B:B,CLIENT_CODE!K:K,0))</f>
        <v>0</v>
      </c>
      <c r="P476">
        <f>_xlfn.XLOOKUP(B476,CRN!G:G,CRN!P:P,"")</f>
        <v>0</v>
      </c>
      <c r="Q476">
        <f>IF(P476=0,0,_xlfn.XLOOKUP(C476,CLIENT_CODE!B:B,CLIENT_CODE!L:L,0))</f>
        <v>0</v>
      </c>
      <c r="R476">
        <f>_xlfn.XLOOKUP(B476,CRN!G:G,CRN!Q:Q,"")</f>
        <v>0</v>
      </c>
      <c r="S476">
        <f>IF(R476=0,0,_xlfn.XLOOKUP(C476,CLIENT_CODE!B:B,CLIENT_CODE!M:M,0))</f>
        <v>0</v>
      </c>
      <c r="T476">
        <f>_xlfn.XLOOKUP(B476,CRN!G:G,CRN!R:R,"")</f>
        <v>0</v>
      </c>
      <c r="U476">
        <f>IF(T476=0,0,_xlfn.XLOOKUP(C476,CLIENT_CODE!B:B,CLIENT_CODE!N:N,0))</f>
        <v>0</v>
      </c>
      <c r="V476">
        <f>_xlfn.XLOOKUP(B476,CRN!G:G,CRN!S:S,"")</f>
        <v>0</v>
      </c>
      <c r="W476">
        <f>IF(V476=0,0,_xlfn.XLOOKUP(C476,CLIENT_CODE!B:B,CLIENT_CODE!O:O,0))</f>
        <v>0</v>
      </c>
      <c r="X476">
        <f>_xlfn.XLOOKUP(B476,CRN!G:G,CRN!T:T,"")</f>
        <v>0</v>
      </c>
      <c r="Y476">
        <f>IF(X476=0,0,_xlfn.XLOOKUP(C476,CLIENT_CODE!B:B,CLIENT_CODE!P:P,0))</f>
        <v>0</v>
      </c>
      <c r="Z476">
        <f>_xlfn.XLOOKUP(B476,CRN!G:G,CRN!U:U,"")</f>
        <v>0</v>
      </c>
      <c r="AA476">
        <f>IF(X476=0,0,_xlfn.XLOOKUP(C476,CLIENT_CODE!B:B,CLIENT_CODE!P:P,0))</f>
        <v>0</v>
      </c>
      <c r="AB476">
        <f>_xlfn.XLOOKUP(B476,CRN!G:G,CRN!V:V,"")</f>
        <v>0</v>
      </c>
      <c r="AC476">
        <f>IF(AB476=0,0,_xlfn.XLOOKUP(C476,CLIENT_CODE!B:B,CLIENT_CODE!R:R,0))</f>
        <v>0</v>
      </c>
      <c r="AD476">
        <f t="shared" si="7"/>
        <v>0</v>
      </c>
    </row>
    <row r="477" spans="1:30">
      <c r="A477" s="42">
        <v>476</v>
      </c>
      <c r="E477">
        <f>IF(D477=0,0,_xlfn.XLOOKUP(C477,CLIENT_CODE!B:B,CLIENT_CODE!F:F,0))</f>
        <v>0</v>
      </c>
      <c r="F477">
        <f>_xlfn.XLOOKUP(B477,CRN!G:G,CRN!K:K,"")</f>
        <v>0</v>
      </c>
      <c r="G477">
        <f>IF(F477=0,0,_xlfn.XLOOKUP(C477,CLIENT_CODE!B:B,CLIENT_CODE!G:G,0))</f>
        <v>0</v>
      </c>
      <c r="H477">
        <f>_xlfn.XLOOKUP(B477,CRN!G:G,CRN!L:L,"")</f>
        <v>0</v>
      </c>
      <c r="I477">
        <f>IF(H477=0,0,_xlfn.XLOOKUP(C477,CLIENT_CODE!B:B,CLIENT_CODE!H:H,0))</f>
        <v>0</v>
      </c>
      <c r="J477">
        <f>_xlfn.XLOOKUP(B477,CRN!G:G,CRN!M:M,"")</f>
        <v>0</v>
      </c>
      <c r="K477">
        <f>IF(J477=0,0,_xlfn.XLOOKUP(C477,CLIENT_CODE!B:B,CLIENT_CODE!I:I,0))</f>
        <v>0</v>
      </c>
      <c r="L477">
        <f>_xlfn.XLOOKUP(B477,CRN!G:G,CRN!N:N,"")</f>
        <v>0</v>
      </c>
      <c r="M477">
        <f>IF(L477=0,0,_xlfn.XLOOKUP(C477,CLIENT_CODE!B:B,CLIENT_CODE!J:J,0))</f>
        <v>0</v>
      </c>
      <c r="N477">
        <f>_xlfn.XLOOKUP(B477,CRN!G:G,CRN!O:O,"")</f>
        <v>0</v>
      </c>
      <c r="O477">
        <f>IF(N477=0,0,_xlfn.XLOOKUP(C477,CLIENT_CODE!B:B,CLIENT_CODE!K:K,0))</f>
        <v>0</v>
      </c>
      <c r="P477">
        <f>_xlfn.XLOOKUP(B477,CRN!G:G,CRN!P:P,"")</f>
        <v>0</v>
      </c>
      <c r="Q477">
        <f>IF(P477=0,0,_xlfn.XLOOKUP(C477,CLIENT_CODE!B:B,CLIENT_CODE!L:L,0))</f>
        <v>0</v>
      </c>
      <c r="R477">
        <f>_xlfn.XLOOKUP(B477,CRN!G:G,CRN!Q:Q,"")</f>
        <v>0</v>
      </c>
      <c r="S477">
        <f>IF(R477=0,0,_xlfn.XLOOKUP(C477,CLIENT_CODE!B:B,CLIENT_CODE!M:M,0))</f>
        <v>0</v>
      </c>
      <c r="T477">
        <f>_xlfn.XLOOKUP(B477,CRN!G:G,CRN!R:R,"")</f>
        <v>0</v>
      </c>
      <c r="U477">
        <f>IF(T477=0,0,_xlfn.XLOOKUP(C477,CLIENT_CODE!B:B,CLIENT_CODE!N:N,0))</f>
        <v>0</v>
      </c>
      <c r="V477">
        <f>_xlfn.XLOOKUP(B477,CRN!G:G,CRN!S:S,"")</f>
        <v>0</v>
      </c>
      <c r="W477">
        <f>IF(V477=0,0,_xlfn.XLOOKUP(C477,CLIENT_CODE!B:B,CLIENT_CODE!O:O,0))</f>
        <v>0</v>
      </c>
      <c r="X477">
        <f>_xlfn.XLOOKUP(B477,CRN!G:G,CRN!T:T,"")</f>
        <v>0</v>
      </c>
      <c r="Y477">
        <f>IF(X477=0,0,_xlfn.XLOOKUP(C477,CLIENT_CODE!B:B,CLIENT_CODE!P:P,0))</f>
        <v>0</v>
      </c>
      <c r="Z477">
        <f>_xlfn.XLOOKUP(B477,CRN!G:G,CRN!U:U,"")</f>
        <v>0</v>
      </c>
      <c r="AA477">
        <f>IF(X477=0,0,_xlfn.XLOOKUP(C477,CLIENT_CODE!B:B,CLIENT_CODE!P:P,0))</f>
        <v>0</v>
      </c>
      <c r="AB477">
        <f>_xlfn.XLOOKUP(B477,CRN!G:G,CRN!V:V,"")</f>
        <v>0</v>
      </c>
      <c r="AC477">
        <f>IF(AB477=0,0,_xlfn.XLOOKUP(C477,CLIENT_CODE!B:B,CLIENT_CODE!R:R,0))</f>
        <v>0</v>
      </c>
      <c r="AD477">
        <f t="shared" si="7"/>
        <v>0</v>
      </c>
    </row>
    <row r="478" spans="1:30">
      <c r="A478" s="42">
        <v>477</v>
      </c>
      <c r="E478">
        <f>IF(D478=0,0,_xlfn.XLOOKUP(C478,CLIENT_CODE!B:B,CLIENT_CODE!F:F,0))</f>
        <v>0</v>
      </c>
      <c r="F478">
        <f>_xlfn.XLOOKUP(B478,CRN!G:G,CRN!K:K,"")</f>
        <v>0</v>
      </c>
      <c r="G478">
        <f>IF(F478=0,0,_xlfn.XLOOKUP(C478,CLIENT_CODE!B:B,CLIENT_CODE!G:G,0))</f>
        <v>0</v>
      </c>
      <c r="H478">
        <f>_xlfn.XLOOKUP(B478,CRN!G:G,CRN!L:L,"")</f>
        <v>0</v>
      </c>
      <c r="I478">
        <f>IF(H478=0,0,_xlfn.XLOOKUP(C478,CLIENT_CODE!B:B,CLIENT_CODE!H:H,0))</f>
        <v>0</v>
      </c>
      <c r="J478">
        <f>_xlfn.XLOOKUP(B478,CRN!G:G,CRN!M:M,"")</f>
        <v>0</v>
      </c>
      <c r="K478">
        <f>IF(J478=0,0,_xlfn.XLOOKUP(C478,CLIENT_CODE!B:B,CLIENT_CODE!I:I,0))</f>
        <v>0</v>
      </c>
      <c r="L478">
        <f>_xlfn.XLOOKUP(B478,CRN!G:G,CRN!N:N,"")</f>
        <v>0</v>
      </c>
      <c r="M478">
        <f>IF(L478=0,0,_xlfn.XLOOKUP(C478,CLIENT_CODE!B:B,CLIENT_CODE!J:J,0))</f>
        <v>0</v>
      </c>
      <c r="N478">
        <f>_xlfn.XLOOKUP(B478,CRN!G:G,CRN!O:O,"")</f>
        <v>0</v>
      </c>
      <c r="O478">
        <f>IF(N478=0,0,_xlfn.XLOOKUP(C478,CLIENT_CODE!B:B,CLIENT_CODE!K:K,0))</f>
        <v>0</v>
      </c>
      <c r="P478">
        <f>_xlfn.XLOOKUP(B478,CRN!G:G,CRN!P:P,"")</f>
        <v>0</v>
      </c>
      <c r="Q478">
        <f>IF(P478=0,0,_xlfn.XLOOKUP(C478,CLIENT_CODE!B:B,CLIENT_CODE!L:L,0))</f>
        <v>0</v>
      </c>
      <c r="R478">
        <f>_xlfn.XLOOKUP(B478,CRN!G:G,CRN!Q:Q,"")</f>
        <v>0</v>
      </c>
      <c r="S478">
        <f>IF(R478=0,0,_xlfn.XLOOKUP(C478,CLIENT_CODE!B:B,CLIENT_CODE!M:M,0))</f>
        <v>0</v>
      </c>
      <c r="T478">
        <f>_xlfn.XLOOKUP(B478,CRN!G:G,CRN!R:R,"")</f>
        <v>0</v>
      </c>
      <c r="U478">
        <f>IF(T478=0,0,_xlfn.XLOOKUP(C478,CLIENT_CODE!B:B,CLIENT_CODE!N:N,0))</f>
        <v>0</v>
      </c>
      <c r="V478">
        <f>_xlfn.XLOOKUP(B478,CRN!G:G,CRN!S:S,"")</f>
        <v>0</v>
      </c>
      <c r="W478">
        <f>IF(V478=0,0,_xlfn.XLOOKUP(C478,CLIENT_CODE!B:B,CLIENT_CODE!O:O,0))</f>
        <v>0</v>
      </c>
      <c r="X478">
        <f>_xlfn.XLOOKUP(B478,CRN!G:G,CRN!T:T,"")</f>
        <v>0</v>
      </c>
      <c r="Y478">
        <f>IF(X478=0,0,_xlfn.XLOOKUP(C478,CLIENT_CODE!B:B,CLIENT_CODE!P:P,0))</f>
        <v>0</v>
      </c>
      <c r="Z478">
        <f>_xlfn.XLOOKUP(B478,CRN!G:G,CRN!U:U,"")</f>
        <v>0</v>
      </c>
      <c r="AA478">
        <f>IF(X478=0,0,_xlfn.XLOOKUP(C478,CLIENT_CODE!B:B,CLIENT_CODE!P:P,0))</f>
        <v>0</v>
      </c>
      <c r="AB478">
        <f>_xlfn.XLOOKUP(B478,CRN!G:G,CRN!V:V,"")</f>
        <v>0</v>
      </c>
      <c r="AC478">
        <f>IF(AB478=0,0,_xlfn.XLOOKUP(C478,CLIENT_CODE!B:B,CLIENT_CODE!R:R,0))</f>
        <v>0</v>
      </c>
      <c r="AD478">
        <f t="shared" si="7"/>
        <v>0</v>
      </c>
    </row>
    <row r="479" spans="1:30">
      <c r="A479" s="42">
        <v>478</v>
      </c>
      <c r="E479">
        <f>IF(D479=0,0,_xlfn.XLOOKUP(C479,CLIENT_CODE!B:B,CLIENT_CODE!F:F,0))</f>
        <v>0</v>
      </c>
      <c r="F479">
        <f>_xlfn.XLOOKUP(B479,CRN!G:G,CRN!K:K,"")</f>
        <v>0</v>
      </c>
      <c r="G479">
        <f>IF(F479=0,0,_xlfn.XLOOKUP(C479,CLIENT_CODE!B:B,CLIENT_CODE!G:G,0))</f>
        <v>0</v>
      </c>
      <c r="H479">
        <f>_xlfn.XLOOKUP(B479,CRN!G:G,CRN!L:L,"")</f>
        <v>0</v>
      </c>
      <c r="I479">
        <f>IF(H479=0,0,_xlfn.XLOOKUP(C479,CLIENT_CODE!B:B,CLIENT_CODE!H:H,0))</f>
        <v>0</v>
      </c>
      <c r="J479">
        <f>_xlfn.XLOOKUP(B479,CRN!G:G,CRN!M:M,"")</f>
        <v>0</v>
      </c>
      <c r="K479">
        <f>IF(J479=0,0,_xlfn.XLOOKUP(C479,CLIENT_CODE!B:B,CLIENT_CODE!I:I,0))</f>
        <v>0</v>
      </c>
      <c r="L479">
        <f>_xlfn.XLOOKUP(B479,CRN!G:G,CRN!N:N,"")</f>
        <v>0</v>
      </c>
      <c r="M479">
        <f>IF(L479=0,0,_xlfn.XLOOKUP(C479,CLIENT_CODE!B:B,CLIENT_CODE!J:J,0))</f>
        <v>0</v>
      </c>
      <c r="N479">
        <f>_xlfn.XLOOKUP(B479,CRN!G:G,CRN!O:O,"")</f>
        <v>0</v>
      </c>
      <c r="O479">
        <f>IF(N479=0,0,_xlfn.XLOOKUP(C479,CLIENT_CODE!B:B,CLIENT_CODE!K:K,0))</f>
        <v>0</v>
      </c>
      <c r="P479">
        <f>_xlfn.XLOOKUP(B479,CRN!G:G,CRN!P:P,"")</f>
        <v>0</v>
      </c>
      <c r="Q479">
        <f>IF(P479=0,0,_xlfn.XLOOKUP(C479,CLIENT_CODE!B:B,CLIENT_CODE!L:L,0))</f>
        <v>0</v>
      </c>
      <c r="R479">
        <f>_xlfn.XLOOKUP(B479,CRN!G:G,CRN!Q:Q,"")</f>
        <v>0</v>
      </c>
      <c r="S479">
        <f>IF(R479=0,0,_xlfn.XLOOKUP(C479,CLIENT_CODE!B:B,CLIENT_CODE!M:M,0))</f>
        <v>0</v>
      </c>
      <c r="T479">
        <f>_xlfn.XLOOKUP(B479,CRN!G:G,CRN!R:R,"")</f>
        <v>0</v>
      </c>
      <c r="U479">
        <f>IF(T479=0,0,_xlfn.XLOOKUP(C479,CLIENT_CODE!B:B,CLIENT_CODE!N:N,0))</f>
        <v>0</v>
      </c>
      <c r="V479">
        <f>_xlfn.XLOOKUP(B479,CRN!G:G,CRN!S:S,"")</f>
        <v>0</v>
      </c>
      <c r="W479">
        <f>IF(V479=0,0,_xlfn.XLOOKUP(C479,CLIENT_CODE!B:B,CLIENT_CODE!O:O,0))</f>
        <v>0</v>
      </c>
      <c r="X479">
        <f>_xlfn.XLOOKUP(B479,CRN!G:G,CRN!T:T,"")</f>
        <v>0</v>
      </c>
      <c r="Y479">
        <f>IF(X479=0,0,_xlfn.XLOOKUP(C479,CLIENT_CODE!B:B,CLIENT_CODE!P:P,0))</f>
        <v>0</v>
      </c>
      <c r="Z479">
        <f>_xlfn.XLOOKUP(B479,CRN!G:G,CRN!U:U,"")</f>
        <v>0</v>
      </c>
      <c r="AA479">
        <f>IF(X479=0,0,_xlfn.XLOOKUP(C479,CLIENT_CODE!B:B,CLIENT_CODE!P:P,0))</f>
        <v>0</v>
      </c>
      <c r="AB479">
        <f>_xlfn.XLOOKUP(B479,CRN!G:G,CRN!V:V,"")</f>
        <v>0</v>
      </c>
      <c r="AC479">
        <f>IF(AB479=0,0,_xlfn.XLOOKUP(C479,CLIENT_CODE!B:B,CLIENT_CODE!R:R,0))</f>
        <v>0</v>
      </c>
      <c r="AD479">
        <f t="shared" si="7"/>
        <v>0</v>
      </c>
    </row>
    <row r="480" spans="1:30">
      <c r="A480" s="42">
        <v>479</v>
      </c>
      <c r="E480">
        <f>IF(D480=0,0,_xlfn.XLOOKUP(C480,CLIENT_CODE!B:B,CLIENT_CODE!F:F,0))</f>
        <v>0</v>
      </c>
      <c r="F480">
        <f>_xlfn.XLOOKUP(B480,CRN!G:G,CRN!K:K,"")</f>
        <v>0</v>
      </c>
      <c r="G480">
        <f>IF(F480=0,0,_xlfn.XLOOKUP(C480,CLIENT_CODE!B:B,CLIENT_CODE!G:G,0))</f>
        <v>0</v>
      </c>
      <c r="H480">
        <f>_xlfn.XLOOKUP(B480,CRN!G:G,CRN!L:L,"")</f>
        <v>0</v>
      </c>
      <c r="I480">
        <f>IF(H480=0,0,_xlfn.XLOOKUP(C480,CLIENT_CODE!B:B,CLIENT_CODE!H:H,0))</f>
        <v>0</v>
      </c>
      <c r="J480">
        <f>_xlfn.XLOOKUP(B480,CRN!G:G,CRN!M:M,"")</f>
        <v>0</v>
      </c>
      <c r="K480">
        <f>IF(J480=0,0,_xlfn.XLOOKUP(C480,CLIENT_CODE!B:B,CLIENT_CODE!I:I,0))</f>
        <v>0</v>
      </c>
      <c r="L480">
        <f>_xlfn.XLOOKUP(B480,CRN!G:G,CRN!N:N,"")</f>
        <v>0</v>
      </c>
      <c r="M480">
        <f>IF(L480=0,0,_xlfn.XLOOKUP(C480,CLIENT_CODE!B:B,CLIENT_CODE!J:J,0))</f>
        <v>0</v>
      </c>
      <c r="N480">
        <f>_xlfn.XLOOKUP(B480,CRN!G:G,CRN!O:O,"")</f>
        <v>0</v>
      </c>
      <c r="O480">
        <f>IF(N480=0,0,_xlfn.XLOOKUP(C480,CLIENT_CODE!B:B,CLIENT_CODE!K:K,0))</f>
        <v>0</v>
      </c>
      <c r="P480">
        <f>_xlfn.XLOOKUP(B480,CRN!G:G,CRN!P:P,"")</f>
        <v>0</v>
      </c>
      <c r="Q480">
        <f>IF(P480=0,0,_xlfn.XLOOKUP(C480,CLIENT_CODE!B:B,CLIENT_CODE!L:L,0))</f>
        <v>0</v>
      </c>
      <c r="R480">
        <f>_xlfn.XLOOKUP(B480,CRN!G:G,CRN!Q:Q,"")</f>
        <v>0</v>
      </c>
      <c r="S480">
        <f>IF(R480=0,0,_xlfn.XLOOKUP(C480,CLIENT_CODE!B:B,CLIENT_CODE!M:M,0))</f>
        <v>0</v>
      </c>
      <c r="T480">
        <f>_xlfn.XLOOKUP(B480,CRN!G:G,CRN!R:R,"")</f>
        <v>0</v>
      </c>
      <c r="U480">
        <f>IF(T480=0,0,_xlfn.XLOOKUP(C480,CLIENT_CODE!B:B,CLIENT_CODE!N:N,0))</f>
        <v>0</v>
      </c>
      <c r="V480">
        <f>_xlfn.XLOOKUP(B480,CRN!G:G,CRN!S:S,"")</f>
        <v>0</v>
      </c>
      <c r="W480">
        <f>IF(V480=0,0,_xlfn.XLOOKUP(C480,CLIENT_CODE!B:B,CLIENT_CODE!O:O,0))</f>
        <v>0</v>
      </c>
      <c r="X480">
        <f>_xlfn.XLOOKUP(B480,CRN!G:G,CRN!T:T,"")</f>
        <v>0</v>
      </c>
      <c r="Y480">
        <f>IF(X480=0,0,_xlfn.XLOOKUP(C480,CLIENT_CODE!B:B,CLIENT_CODE!P:P,0))</f>
        <v>0</v>
      </c>
      <c r="Z480">
        <f>_xlfn.XLOOKUP(B480,CRN!G:G,CRN!U:U,"")</f>
        <v>0</v>
      </c>
      <c r="AA480">
        <f>IF(X480=0,0,_xlfn.XLOOKUP(C480,CLIENT_CODE!B:B,CLIENT_CODE!P:P,0))</f>
        <v>0</v>
      </c>
      <c r="AB480">
        <f>_xlfn.XLOOKUP(B480,CRN!G:G,CRN!V:V,"")</f>
        <v>0</v>
      </c>
      <c r="AC480">
        <f>IF(AB480=0,0,_xlfn.XLOOKUP(C480,CLIENT_CODE!B:B,CLIENT_CODE!R:R,0))</f>
        <v>0</v>
      </c>
      <c r="AD480">
        <f t="shared" si="7"/>
        <v>0</v>
      </c>
    </row>
    <row r="481" spans="1:30">
      <c r="A481" s="42">
        <v>480</v>
      </c>
      <c r="E481">
        <f>IF(D481=0,0,_xlfn.XLOOKUP(C481,CLIENT_CODE!B:B,CLIENT_CODE!F:F,0))</f>
        <v>0</v>
      </c>
      <c r="F481">
        <f>_xlfn.XLOOKUP(B481,CRN!G:G,CRN!K:K,"")</f>
        <v>0</v>
      </c>
      <c r="G481">
        <f>IF(F481=0,0,_xlfn.XLOOKUP(C481,CLIENT_CODE!B:B,CLIENT_CODE!G:G,0))</f>
        <v>0</v>
      </c>
      <c r="H481">
        <f>_xlfn.XLOOKUP(B481,CRN!G:G,CRN!L:L,"")</f>
        <v>0</v>
      </c>
      <c r="I481">
        <f>IF(H481=0,0,_xlfn.XLOOKUP(C481,CLIENT_CODE!B:B,CLIENT_CODE!H:H,0))</f>
        <v>0</v>
      </c>
      <c r="J481">
        <f>_xlfn.XLOOKUP(B481,CRN!G:G,CRN!M:M,"")</f>
        <v>0</v>
      </c>
      <c r="K481">
        <f>IF(J481=0,0,_xlfn.XLOOKUP(C481,CLIENT_CODE!B:B,CLIENT_CODE!I:I,0))</f>
        <v>0</v>
      </c>
      <c r="L481">
        <f>_xlfn.XLOOKUP(B481,CRN!G:G,CRN!N:N,"")</f>
        <v>0</v>
      </c>
      <c r="M481">
        <f>IF(L481=0,0,_xlfn.XLOOKUP(C481,CLIENT_CODE!B:B,CLIENT_CODE!J:J,0))</f>
        <v>0</v>
      </c>
      <c r="N481">
        <f>_xlfn.XLOOKUP(B481,CRN!G:G,CRN!O:O,"")</f>
        <v>0</v>
      </c>
      <c r="O481">
        <f>IF(N481=0,0,_xlfn.XLOOKUP(C481,CLIENT_CODE!B:B,CLIENT_CODE!K:K,0))</f>
        <v>0</v>
      </c>
      <c r="P481">
        <f>_xlfn.XLOOKUP(B481,CRN!G:G,CRN!P:P,"")</f>
        <v>0</v>
      </c>
      <c r="Q481">
        <f>IF(P481=0,0,_xlfn.XLOOKUP(C481,CLIENT_CODE!B:B,CLIENT_CODE!L:L,0))</f>
        <v>0</v>
      </c>
      <c r="R481">
        <f>_xlfn.XLOOKUP(B481,CRN!G:G,CRN!Q:Q,"")</f>
        <v>0</v>
      </c>
      <c r="S481">
        <f>IF(R481=0,0,_xlfn.XLOOKUP(C481,CLIENT_CODE!B:B,CLIENT_CODE!M:M,0))</f>
        <v>0</v>
      </c>
      <c r="T481">
        <f>_xlfn.XLOOKUP(B481,CRN!G:G,CRN!R:R,"")</f>
        <v>0</v>
      </c>
      <c r="U481">
        <f>IF(T481=0,0,_xlfn.XLOOKUP(C481,CLIENT_CODE!B:B,CLIENT_CODE!N:N,0))</f>
        <v>0</v>
      </c>
      <c r="V481">
        <f>_xlfn.XLOOKUP(B481,CRN!G:G,CRN!S:S,"")</f>
        <v>0</v>
      </c>
      <c r="W481">
        <f>IF(V481=0,0,_xlfn.XLOOKUP(C481,CLIENT_CODE!B:B,CLIENT_CODE!O:O,0))</f>
        <v>0</v>
      </c>
      <c r="X481">
        <f>_xlfn.XLOOKUP(B481,CRN!G:G,CRN!T:T,"")</f>
        <v>0</v>
      </c>
      <c r="Y481">
        <f>IF(X481=0,0,_xlfn.XLOOKUP(C481,CLIENT_CODE!B:B,CLIENT_CODE!P:P,0))</f>
        <v>0</v>
      </c>
      <c r="Z481">
        <f>_xlfn.XLOOKUP(B481,CRN!G:G,CRN!U:U,"")</f>
        <v>0</v>
      </c>
      <c r="AA481">
        <f>IF(X481=0,0,_xlfn.XLOOKUP(C481,CLIENT_CODE!B:B,CLIENT_CODE!P:P,0))</f>
        <v>0</v>
      </c>
      <c r="AB481">
        <f>_xlfn.XLOOKUP(B481,CRN!G:G,CRN!V:V,"")</f>
        <v>0</v>
      </c>
      <c r="AC481">
        <f>IF(AB481=0,0,_xlfn.XLOOKUP(C481,CLIENT_CODE!B:B,CLIENT_CODE!R:R,0))</f>
        <v>0</v>
      </c>
      <c r="AD481">
        <f t="shared" si="7"/>
        <v>0</v>
      </c>
    </row>
    <row r="482" spans="1:30">
      <c r="A482" s="42">
        <v>481</v>
      </c>
      <c r="E482">
        <f>IF(D482=0,0,_xlfn.XLOOKUP(C482,CLIENT_CODE!B:B,CLIENT_CODE!F:F,0))</f>
        <v>0</v>
      </c>
      <c r="F482">
        <f>_xlfn.XLOOKUP(B482,CRN!G:G,CRN!K:K,"")</f>
        <v>0</v>
      </c>
      <c r="G482">
        <f>IF(F482=0,0,_xlfn.XLOOKUP(C482,CLIENT_CODE!B:B,CLIENT_CODE!G:G,0))</f>
        <v>0</v>
      </c>
      <c r="H482">
        <f>_xlfn.XLOOKUP(B482,CRN!G:G,CRN!L:L,"")</f>
        <v>0</v>
      </c>
      <c r="I482">
        <f>IF(H482=0,0,_xlfn.XLOOKUP(C482,CLIENT_CODE!B:B,CLIENT_CODE!H:H,0))</f>
        <v>0</v>
      </c>
      <c r="J482">
        <f>_xlfn.XLOOKUP(B482,CRN!G:G,CRN!M:M,"")</f>
        <v>0</v>
      </c>
      <c r="K482">
        <f>IF(J482=0,0,_xlfn.XLOOKUP(C482,CLIENT_CODE!B:B,CLIENT_CODE!I:I,0))</f>
        <v>0</v>
      </c>
      <c r="L482">
        <f>_xlfn.XLOOKUP(B482,CRN!G:G,CRN!N:N,"")</f>
        <v>0</v>
      </c>
      <c r="M482">
        <f>IF(L482=0,0,_xlfn.XLOOKUP(C482,CLIENT_CODE!B:B,CLIENT_CODE!J:J,0))</f>
        <v>0</v>
      </c>
      <c r="N482">
        <f>_xlfn.XLOOKUP(B482,CRN!G:G,CRN!O:O,"")</f>
        <v>0</v>
      </c>
      <c r="O482">
        <f>IF(N482=0,0,_xlfn.XLOOKUP(C482,CLIENT_CODE!B:B,CLIENT_CODE!K:K,0))</f>
        <v>0</v>
      </c>
      <c r="P482">
        <f>_xlfn.XLOOKUP(B482,CRN!G:G,CRN!P:P,"")</f>
        <v>0</v>
      </c>
      <c r="Q482">
        <f>IF(P482=0,0,_xlfn.XLOOKUP(C482,CLIENT_CODE!B:B,CLIENT_CODE!L:L,0))</f>
        <v>0</v>
      </c>
      <c r="R482">
        <f>_xlfn.XLOOKUP(B482,CRN!G:G,CRN!Q:Q,"")</f>
        <v>0</v>
      </c>
      <c r="S482">
        <f>IF(R482=0,0,_xlfn.XLOOKUP(C482,CLIENT_CODE!B:B,CLIENT_CODE!M:M,0))</f>
        <v>0</v>
      </c>
      <c r="T482">
        <f>_xlfn.XLOOKUP(B482,CRN!G:G,CRN!R:R,"")</f>
        <v>0</v>
      </c>
      <c r="U482">
        <f>IF(T482=0,0,_xlfn.XLOOKUP(C482,CLIENT_CODE!B:B,CLIENT_CODE!N:N,0))</f>
        <v>0</v>
      </c>
      <c r="V482">
        <f>_xlfn.XLOOKUP(B482,CRN!G:G,CRN!S:S,"")</f>
        <v>0</v>
      </c>
      <c r="W482">
        <f>IF(V482=0,0,_xlfn.XLOOKUP(C482,CLIENT_CODE!B:B,CLIENT_CODE!O:O,0))</f>
        <v>0</v>
      </c>
      <c r="X482">
        <f>_xlfn.XLOOKUP(B482,CRN!G:G,CRN!T:T,"")</f>
        <v>0</v>
      </c>
      <c r="Y482">
        <f>IF(X482=0,0,_xlfn.XLOOKUP(C482,CLIENT_CODE!B:B,CLIENT_CODE!P:P,0))</f>
        <v>0</v>
      </c>
      <c r="Z482">
        <f>_xlfn.XLOOKUP(B482,CRN!G:G,CRN!U:U,"")</f>
        <v>0</v>
      </c>
      <c r="AA482">
        <f>IF(X482=0,0,_xlfn.XLOOKUP(C482,CLIENT_CODE!B:B,CLIENT_CODE!P:P,0))</f>
        <v>0</v>
      </c>
      <c r="AB482">
        <f>_xlfn.XLOOKUP(B482,CRN!G:G,CRN!V:V,"")</f>
        <v>0</v>
      </c>
      <c r="AC482">
        <f>IF(AB482=0,0,_xlfn.XLOOKUP(C482,CLIENT_CODE!B:B,CLIENT_CODE!R:R,0))</f>
        <v>0</v>
      </c>
      <c r="AD482">
        <f t="shared" si="7"/>
        <v>0</v>
      </c>
    </row>
    <row r="483" spans="1:30">
      <c r="A483" s="42">
        <v>482</v>
      </c>
      <c r="E483">
        <f>IF(D483=0,0,_xlfn.XLOOKUP(C483,CLIENT_CODE!B:B,CLIENT_CODE!F:F,0))</f>
        <v>0</v>
      </c>
      <c r="F483">
        <f>_xlfn.XLOOKUP(B483,CRN!G:G,CRN!K:K,"")</f>
        <v>0</v>
      </c>
      <c r="G483">
        <f>IF(F483=0,0,_xlfn.XLOOKUP(C483,CLIENT_CODE!B:B,CLIENT_CODE!G:G,0))</f>
        <v>0</v>
      </c>
      <c r="H483">
        <f>_xlfn.XLOOKUP(B483,CRN!G:G,CRN!L:L,"")</f>
        <v>0</v>
      </c>
      <c r="I483">
        <f>IF(H483=0,0,_xlfn.XLOOKUP(C483,CLIENT_CODE!B:B,CLIENT_CODE!H:H,0))</f>
        <v>0</v>
      </c>
      <c r="J483">
        <f>_xlfn.XLOOKUP(B483,CRN!G:G,CRN!M:M,"")</f>
        <v>0</v>
      </c>
      <c r="K483">
        <f>IF(J483=0,0,_xlfn.XLOOKUP(C483,CLIENT_CODE!B:B,CLIENT_CODE!I:I,0))</f>
        <v>0</v>
      </c>
      <c r="L483">
        <f>_xlfn.XLOOKUP(B483,CRN!G:G,CRN!N:N,"")</f>
        <v>0</v>
      </c>
      <c r="M483">
        <f>IF(L483=0,0,_xlfn.XLOOKUP(C483,CLIENT_CODE!B:B,CLIENT_CODE!J:J,0))</f>
        <v>0</v>
      </c>
      <c r="N483">
        <f>_xlfn.XLOOKUP(B483,CRN!G:G,CRN!O:O,"")</f>
        <v>0</v>
      </c>
      <c r="O483">
        <f>IF(N483=0,0,_xlfn.XLOOKUP(C483,CLIENT_CODE!B:B,CLIENT_CODE!K:K,0))</f>
        <v>0</v>
      </c>
      <c r="P483">
        <f>_xlfn.XLOOKUP(B483,CRN!G:G,CRN!P:P,"")</f>
        <v>0</v>
      </c>
      <c r="Q483">
        <f>IF(P483=0,0,_xlfn.XLOOKUP(C483,CLIENT_CODE!B:B,CLIENT_CODE!L:L,0))</f>
        <v>0</v>
      </c>
      <c r="R483">
        <f>_xlfn.XLOOKUP(B483,CRN!G:G,CRN!Q:Q,"")</f>
        <v>0</v>
      </c>
      <c r="S483">
        <f>IF(R483=0,0,_xlfn.XLOOKUP(C483,CLIENT_CODE!B:B,CLIENT_CODE!M:M,0))</f>
        <v>0</v>
      </c>
      <c r="T483">
        <f>_xlfn.XLOOKUP(B483,CRN!G:G,CRN!R:R,"")</f>
        <v>0</v>
      </c>
      <c r="U483">
        <f>IF(T483=0,0,_xlfn.XLOOKUP(C483,CLIENT_CODE!B:B,CLIENT_CODE!N:N,0))</f>
        <v>0</v>
      </c>
      <c r="V483">
        <f>_xlfn.XLOOKUP(B483,CRN!G:G,CRN!S:S,"")</f>
        <v>0</v>
      </c>
      <c r="W483">
        <f>IF(V483=0,0,_xlfn.XLOOKUP(C483,CLIENT_CODE!B:B,CLIENT_CODE!O:O,0))</f>
        <v>0</v>
      </c>
      <c r="X483">
        <f>_xlfn.XLOOKUP(B483,CRN!G:G,CRN!T:T,"")</f>
        <v>0</v>
      </c>
      <c r="Y483">
        <f>IF(X483=0,0,_xlfn.XLOOKUP(C483,CLIENT_CODE!B:B,CLIENT_CODE!P:P,0))</f>
        <v>0</v>
      </c>
      <c r="Z483">
        <f>_xlfn.XLOOKUP(B483,CRN!G:G,CRN!U:U,"")</f>
        <v>0</v>
      </c>
      <c r="AA483">
        <f>IF(X483=0,0,_xlfn.XLOOKUP(C483,CLIENT_CODE!B:B,CLIENT_CODE!P:P,0))</f>
        <v>0</v>
      </c>
      <c r="AB483">
        <f>_xlfn.XLOOKUP(B483,CRN!G:G,CRN!V:V,"")</f>
        <v>0</v>
      </c>
      <c r="AC483">
        <f>IF(AB483=0,0,_xlfn.XLOOKUP(C483,CLIENT_CODE!B:B,CLIENT_CODE!R:R,0))</f>
        <v>0</v>
      </c>
      <c r="AD483">
        <f t="shared" si="7"/>
        <v>0</v>
      </c>
    </row>
    <row r="484" spans="1:30">
      <c r="A484" s="42">
        <v>483</v>
      </c>
      <c r="E484">
        <f>IF(D484=0,0,_xlfn.XLOOKUP(C484,CLIENT_CODE!B:B,CLIENT_CODE!F:F,0))</f>
        <v>0</v>
      </c>
      <c r="F484">
        <f>_xlfn.XLOOKUP(B484,CRN!G:G,CRN!K:K,"")</f>
        <v>0</v>
      </c>
      <c r="G484">
        <f>IF(F484=0,0,_xlfn.XLOOKUP(C484,CLIENT_CODE!B:B,CLIENT_CODE!G:G,0))</f>
        <v>0</v>
      </c>
      <c r="H484">
        <f>_xlfn.XLOOKUP(B484,CRN!G:G,CRN!L:L,"")</f>
        <v>0</v>
      </c>
      <c r="I484">
        <f>IF(H484=0,0,_xlfn.XLOOKUP(C484,CLIENT_CODE!B:B,CLIENT_CODE!H:H,0))</f>
        <v>0</v>
      </c>
      <c r="J484">
        <f>_xlfn.XLOOKUP(B484,CRN!G:G,CRN!M:M,"")</f>
        <v>0</v>
      </c>
      <c r="K484">
        <f>IF(J484=0,0,_xlfn.XLOOKUP(C484,CLIENT_CODE!B:B,CLIENT_CODE!I:I,0))</f>
        <v>0</v>
      </c>
      <c r="L484">
        <f>_xlfn.XLOOKUP(B484,CRN!G:G,CRN!N:N,"")</f>
        <v>0</v>
      </c>
      <c r="M484">
        <f>IF(L484=0,0,_xlfn.XLOOKUP(C484,CLIENT_CODE!B:B,CLIENT_CODE!J:J,0))</f>
        <v>0</v>
      </c>
      <c r="N484">
        <f>_xlfn.XLOOKUP(B484,CRN!G:G,CRN!O:O,"")</f>
        <v>0</v>
      </c>
      <c r="O484">
        <f>IF(N484=0,0,_xlfn.XLOOKUP(C484,CLIENT_CODE!B:B,CLIENT_CODE!K:K,0))</f>
        <v>0</v>
      </c>
      <c r="P484">
        <f>_xlfn.XLOOKUP(B484,CRN!G:G,CRN!P:P,"")</f>
        <v>0</v>
      </c>
      <c r="Q484">
        <f>IF(P484=0,0,_xlfn.XLOOKUP(C484,CLIENT_CODE!B:B,CLIENT_CODE!L:L,0))</f>
        <v>0</v>
      </c>
      <c r="R484">
        <f>_xlfn.XLOOKUP(B484,CRN!G:G,CRN!Q:Q,"")</f>
        <v>0</v>
      </c>
      <c r="S484">
        <f>IF(R484=0,0,_xlfn.XLOOKUP(C484,CLIENT_CODE!B:B,CLIENT_CODE!M:M,0))</f>
        <v>0</v>
      </c>
      <c r="T484">
        <f>_xlfn.XLOOKUP(B484,CRN!G:G,CRN!R:R,"")</f>
        <v>0</v>
      </c>
      <c r="U484">
        <f>IF(T484=0,0,_xlfn.XLOOKUP(C484,CLIENT_CODE!B:B,CLIENT_CODE!N:N,0))</f>
        <v>0</v>
      </c>
      <c r="V484">
        <f>_xlfn.XLOOKUP(B484,CRN!G:G,CRN!S:S,"")</f>
        <v>0</v>
      </c>
      <c r="W484">
        <f>IF(V484=0,0,_xlfn.XLOOKUP(C484,CLIENT_CODE!B:B,CLIENT_CODE!O:O,0))</f>
        <v>0</v>
      </c>
      <c r="X484">
        <f>_xlfn.XLOOKUP(B484,CRN!G:G,CRN!T:T,"")</f>
        <v>0</v>
      </c>
      <c r="Y484">
        <f>IF(X484=0,0,_xlfn.XLOOKUP(C484,CLIENT_CODE!B:B,CLIENT_CODE!P:P,0))</f>
        <v>0</v>
      </c>
      <c r="Z484">
        <f>_xlfn.XLOOKUP(B484,CRN!G:G,CRN!U:U,"")</f>
        <v>0</v>
      </c>
      <c r="AA484">
        <f>IF(X484=0,0,_xlfn.XLOOKUP(C484,CLIENT_CODE!B:B,CLIENT_CODE!P:P,0))</f>
        <v>0</v>
      </c>
      <c r="AB484">
        <f>_xlfn.XLOOKUP(B484,CRN!G:G,CRN!V:V,"")</f>
        <v>0</v>
      </c>
      <c r="AC484">
        <f>IF(AB484=0,0,_xlfn.XLOOKUP(C484,CLIENT_CODE!B:B,CLIENT_CODE!R:R,0))</f>
        <v>0</v>
      </c>
      <c r="AD484">
        <f t="shared" si="7"/>
        <v>0</v>
      </c>
    </row>
    <row r="485" spans="1:30">
      <c r="A485" s="42">
        <v>484</v>
      </c>
      <c r="E485">
        <f>IF(D485=0,0,_xlfn.XLOOKUP(C485,CLIENT_CODE!B:B,CLIENT_CODE!F:F,0))</f>
        <v>0</v>
      </c>
      <c r="F485">
        <f>_xlfn.XLOOKUP(B485,CRN!G:G,CRN!K:K,"")</f>
        <v>0</v>
      </c>
      <c r="G485">
        <f>IF(F485=0,0,_xlfn.XLOOKUP(C485,CLIENT_CODE!B:B,CLIENT_CODE!G:G,0))</f>
        <v>0</v>
      </c>
      <c r="H485">
        <f>_xlfn.XLOOKUP(B485,CRN!G:G,CRN!L:L,"")</f>
        <v>0</v>
      </c>
      <c r="I485">
        <f>IF(H485=0,0,_xlfn.XLOOKUP(C485,CLIENT_CODE!B:B,CLIENT_CODE!H:H,0))</f>
        <v>0</v>
      </c>
      <c r="J485">
        <f>_xlfn.XLOOKUP(B485,CRN!G:G,CRN!M:M,"")</f>
        <v>0</v>
      </c>
      <c r="K485">
        <f>IF(J485=0,0,_xlfn.XLOOKUP(C485,CLIENT_CODE!B:B,CLIENT_CODE!I:I,0))</f>
        <v>0</v>
      </c>
      <c r="L485">
        <f>_xlfn.XLOOKUP(B485,CRN!G:G,CRN!N:N,"")</f>
        <v>0</v>
      </c>
      <c r="M485">
        <f>IF(L485=0,0,_xlfn.XLOOKUP(C485,CLIENT_CODE!B:B,CLIENT_CODE!J:J,0))</f>
        <v>0</v>
      </c>
      <c r="N485">
        <f>_xlfn.XLOOKUP(B485,CRN!G:G,CRN!O:O,"")</f>
        <v>0</v>
      </c>
      <c r="O485">
        <f>IF(N485=0,0,_xlfn.XLOOKUP(C485,CLIENT_CODE!B:B,CLIENT_CODE!K:K,0))</f>
        <v>0</v>
      </c>
      <c r="P485">
        <f>_xlfn.XLOOKUP(B485,CRN!G:G,CRN!P:P,"")</f>
        <v>0</v>
      </c>
      <c r="Q485">
        <f>IF(P485=0,0,_xlfn.XLOOKUP(C485,CLIENT_CODE!B:B,CLIENT_CODE!L:L,0))</f>
        <v>0</v>
      </c>
      <c r="R485">
        <f>_xlfn.XLOOKUP(B485,CRN!G:G,CRN!Q:Q,"")</f>
        <v>0</v>
      </c>
      <c r="S485">
        <f>IF(R485=0,0,_xlfn.XLOOKUP(C485,CLIENT_CODE!B:B,CLIENT_CODE!M:M,0))</f>
        <v>0</v>
      </c>
      <c r="T485">
        <f>_xlfn.XLOOKUP(B485,CRN!G:G,CRN!R:R,"")</f>
        <v>0</v>
      </c>
      <c r="U485">
        <f>IF(T485=0,0,_xlfn.XLOOKUP(C485,CLIENT_CODE!B:B,CLIENT_CODE!N:N,0))</f>
        <v>0</v>
      </c>
      <c r="V485">
        <f>_xlfn.XLOOKUP(B485,CRN!G:G,CRN!S:S,"")</f>
        <v>0</v>
      </c>
      <c r="W485">
        <f>IF(V485=0,0,_xlfn.XLOOKUP(C485,CLIENT_CODE!B:B,CLIENT_CODE!O:O,0))</f>
        <v>0</v>
      </c>
      <c r="X485">
        <f>_xlfn.XLOOKUP(B485,CRN!G:G,CRN!T:T,"")</f>
        <v>0</v>
      </c>
      <c r="Y485">
        <f>IF(X485=0,0,_xlfn.XLOOKUP(C485,CLIENT_CODE!B:B,CLIENT_CODE!P:P,0))</f>
        <v>0</v>
      </c>
      <c r="Z485">
        <f>_xlfn.XLOOKUP(B485,CRN!G:G,CRN!U:U,"")</f>
        <v>0</v>
      </c>
      <c r="AA485">
        <f>IF(X485=0,0,_xlfn.XLOOKUP(C485,CLIENT_CODE!B:B,CLIENT_CODE!P:P,0))</f>
        <v>0</v>
      </c>
      <c r="AB485">
        <f>_xlfn.XLOOKUP(B485,CRN!G:G,CRN!V:V,"")</f>
        <v>0</v>
      </c>
      <c r="AC485">
        <f>IF(AB485=0,0,_xlfn.XLOOKUP(C485,CLIENT_CODE!B:B,CLIENT_CODE!R:R,0))</f>
        <v>0</v>
      </c>
      <c r="AD485">
        <f t="shared" si="7"/>
        <v>0</v>
      </c>
    </row>
    <row r="486" spans="1:30">
      <c r="A486" s="42">
        <v>485</v>
      </c>
      <c r="E486">
        <f>IF(D486=0,0,_xlfn.XLOOKUP(C486,CLIENT_CODE!B:B,CLIENT_CODE!F:F,0))</f>
        <v>0</v>
      </c>
      <c r="F486">
        <f>_xlfn.XLOOKUP(B486,CRN!G:G,CRN!K:K,"")</f>
        <v>0</v>
      </c>
      <c r="G486">
        <f>IF(F486=0,0,_xlfn.XLOOKUP(C486,CLIENT_CODE!B:B,CLIENT_CODE!G:G,0))</f>
        <v>0</v>
      </c>
      <c r="H486">
        <f>_xlfn.XLOOKUP(B486,CRN!G:G,CRN!L:L,"")</f>
        <v>0</v>
      </c>
      <c r="I486">
        <f>IF(H486=0,0,_xlfn.XLOOKUP(C486,CLIENT_CODE!B:B,CLIENT_CODE!H:H,0))</f>
        <v>0</v>
      </c>
      <c r="J486">
        <f>_xlfn.XLOOKUP(B486,CRN!G:G,CRN!M:M,"")</f>
        <v>0</v>
      </c>
      <c r="K486">
        <f>IF(J486=0,0,_xlfn.XLOOKUP(C486,CLIENT_CODE!B:B,CLIENT_CODE!I:I,0))</f>
        <v>0</v>
      </c>
      <c r="L486">
        <f>_xlfn.XLOOKUP(B486,CRN!G:G,CRN!N:N,"")</f>
        <v>0</v>
      </c>
      <c r="M486">
        <f>IF(L486=0,0,_xlfn.XLOOKUP(C486,CLIENT_CODE!B:B,CLIENT_CODE!J:J,0))</f>
        <v>0</v>
      </c>
      <c r="N486">
        <f>_xlfn.XLOOKUP(B486,CRN!G:G,CRN!O:O,"")</f>
        <v>0</v>
      </c>
      <c r="O486">
        <f>IF(N486=0,0,_xlfn.XLOOKUP(C486,CLIENT_CODE!B:B,CLIENT_CODE!K:K,0))</f>
        <v>0</v>
      </c>
      <c r="P486">
        <f>_xlfn.XLOOKUP(B486,CRN!G:G,CRN!P:P,"")</f>
        <v>0</v>
      </c>
      <c r="Q486">
        <f>IF(P486=0,0,_xlfn.XLOOKUP(C486,CLIENT_CODE!B:B,CLIENT_CODE!L:L,0))</f>
        <v>0</v>
      </c>
      <c r="R486">
        <f>_xlfn.XLOOKUP(B486,CRN!G:G,CRN!Q:Q,"")</f>
        <v>0</v>
      </c>
      <c r="S486">
        <f>IF(R486=0,0,_xlfn.XLOOKUP(C486,CLIENT_CODE!B:B,CLIENT_CODE!M:M,0))</f>
        <v>0</v>
      </c>
      <c r="T486">
        <f>_xlfn.XLOOKUP(B486,CRN!G:G,CRN!R:R,"")</f>
        <v>0</v>
      </c>
      <c r="U486">
        <f>IF(T486=0,0,_xlfn.XLOOKUP(C486,CLIENT_CODE!B:B,CLIENT_CODE!N:N,0))</f>
        <v>0</v>
      </c>
      <c r="V486">
        <f>_xlfn.XLOOKUP(B486,CRN!G:G,CRN!S:S,"")</f>
        <v>0</v>
      </c>
      <c r="W486">
        <f>IF(V486=0,0,_xlfn.XLOOKUP(C486,CLIENT_CODE!B:B,CLIENT_CODE!O:O,0))</f>
        <v>0</v>
      </c>
      <c r="X486">
        <f>_xlfn.XLOOKUP(B486,CRN!G:G,CRN!T:T,"")</f>
        <v>0</v>
      </c>
      <c r="Y486">
        <f>IF(X486=0,0,_xlfn.XLOOKUP(C486,CLIENT_CODE!B:B,CLIENT_CODE!P:P,0))</f>
        <v>0</v>
      </c>
      <c r="Z486">
        <f>_xlfn.XLOOKUP(B486,CRN!G:G,CRN!U:U,"")</f>
        <v>0</v>
      </c>
      <c r="AA486">
        <f>IF(X486=0,0,_xlfn.XLOOKUP(C486,CLIENT_CODE!B:B,CLIENT_CODE!P:P,0))</f>
        <v>0</v>
      </c>
      <c r="AB486">
        <f>_xlfn.XLOOKUP(B486,CRN!G:G,CRN!V:V,"")</f>
        <v>0</v>
      </c>
      <c r="AC486">
        <f>IF(AB486=0,0,_xlfn.XLOOKUP(C486,CLIENT_CODE!B:B,CLIENT_CODE!R:R,0))</f>
        <v>0</v>
      </c>
      <c r="AD486">
        <f t="shared" si="7"/>
        <v>0</v>
      </c>
    </row>
    <row r="487" spans="1:30">
      <c r="A487" s="42">
        <v>486</v>
      </c>
      <c r="E487">
        <f>IF(D487=0,0,_xlfn.XLOOKUP(C487,CLIENT_CODE!B:B,CLIENT_CODE!F:F,0))</f>
        <v>0</v>
      </c>
      <c r="F487">
        <f>_xlfn.XLOOKUP(B487,CRN!G:G,CRN!K:K,"")</f>
        <v>0</v>
      </c>
      <c r="G487">
        <f>IF(F487=0,0,_xlfn.XLOOKUP(C487,CLIENT_CODE!B:B,CLIENT_CODE!G:G,0))</f>
        <v>0</v>
      </c>
      <c r="H487">
        <f>_xlfn.XLOOKUP(B487,CRN!G:G,CRN!L:L,"")</f>
        <v>0</v>
      </c>
      <c r="I487">
        <f>IF(H487=0,0,_xlfn.XLOOKUP(C487,CLIENT_CODE!B:B,CLIENT_CODE!H:H,0))</f>
        <v>0</v>
      </c>
      <c r="J487">
        <f>_xlfn.XLOOKUP(B487,CRN!G:G,CRN!M:M,"")</f>
        <v>0</v>
      </c>
      <c r="K487">
        <f>IF(J487=0,0,_xlfn.XLOOKUP(C487,CLIENT_CODE!B:B,CLIENT_CODE!I:I,0))</f>
        <v>0</v>
      </c>
      <c r="L487">
        <f>_xlfn.XLOOKUP(B487,CRN!G:G,CRN!N:N,"")</f>
        <v>0</v>
      </c>
      <c r="M487">
        <f>IF(L487=0,0,_xlfn.XLOOKUP(C487,CLIENT_CODE!B:B,CLIENT_CODE!J:J,0))</f>
        <v>0</v>
      </c>
      <c r="N487">
        <f>_xlfn.XLOOKUP(B487,CRN!G:G,CRN!O:O,"")</f>
        <v>0</v>
      </c>
      <c r="O487">
        <f>IF(N487=0,0,_xlfn.XLOOKUP(C487,CLIENT_CODE!B:B,CLIENT_CODE!K:K,0))</f>
        <v>0</v>
      </c>
      <c r="P487">
        <f>_xlfn.XLOOKUP(B487,CRN!G:G,CRN!P:P,"")</f>
        <v>0</v>
      </c>
      <c r="Q487">
        <f>IF(P487=0,0,_xlfn.XLOOKUP(C487,CLIENT_CODE!B:B,CLIENT_CODE!L:L,0))</f>
        <v>0</v>
      </c>
      <c r="R487">
        <f>_xlfn.XLOOKUP(B487,CRN!G:G,CRN!Q:Q,"")</f>
        <v>0</v>
      </c>
      <c r="S487">
        <f>IF(R487=0,0,_xlfn.XLOOKUP(C487,CLIENT_CODE!B:B,CLIENT_CODE!M:M,0))</f>
        <v>0</v>
      </c>
      <c r="T487">
        <f>_xlfn.XLOOKUP(B487,CRN!G:G,CRN!R:R,"")</f>
        <v>0</v>
      </c>
      <c r="U487">
        <f>IF(T487=0,0,_xlfn.XLOOKUP(C487,CLIENT_CODE!B:B,CLIENT_CODE!N:N,0))</f>
        <v>0</v>
      </c>
      <c r="V487">
        <f>_xlfn.XLOOKUP(B487,CRN!G:G,CRN!S:S,"")</f>
        <v>0</v>
      </c>
      <c r="W487">
        <f>IF(V487=0,0,_xlfn.XLOOKUP(C487,CLIENT_CODE!B:B,CLIENT_CODE!O:O,0))</f>
        <v>0</v>
      </c>
      <c r="X487">
        <f>_xlfn.XLOOKUP(B487,CRN!G:G,CRN!T:T,"")</f>
        <v>0</v>
      </c>
      <c r="Y487">
        <f>IF(X487=0,0,_xlfn.XLOOKUP(C487,CLIENT_CODE!B:B,CLIENT_CODE!P:P,0))</f>
        <v>0</v>
      </c>
      <c r="Z487">
        <f>_xlfn.XLOOKUP(B487,CRN!G:G,CRN!U:U,"")</f>
        <v>0</v>
      </c>
      <c r="AA487">
        <f>IF(X487=0,0,_xlfn.XLOOKUP(C487,CLIENT_CODE!B:B,CLIENT_CODE!P:P,0))</f>
        <v>0</v>
      </c>
      <c r="AB487">
        <f>_xlfn.XLOOKUP(B487,CRN!G:G,CRN!V:V,"")</f>
        <v>0</v>
      </c>
      <c r="AC487">
        <f>IF(AB487=0,0,_xlfn.XLOOKUP(C487,CLIENT_CODE!B:B,CLIENT_CODE!R:R,0))</f>
        <v>0</v>
      </c>
      <c r="AD487">
        <f t="shared" si="7"/>
        <v>0</v>
      </c>
    </row>
    <row r="488" spans="1:30">
      <c r="A488" s="42">
        <v>487</v>
      </c>
      <c r="E488">
        <f>IF(D488=0,0,_xlfn.XLOOKUP(C488,CLIENT_CODE!B:B,CLIENT_CODE!F:F,0))</f>
        <v>0</v>
      </c>
      <c r="F488">
        <f>_xlfn.XLOOKUP(B488,CRN!G:G,CRN!K:K,"")</f>
        <v>0</v>
      </c>
      <c r="G488">
        <f>IF(F488=0,0,_xlfn.XLOOKUP(C488,CLIENT_CODE!B:B,CLIENT_CODE!G:G,0))</f>
        <v>0</v>
      </c>
      <c r="H488">
        <f>_xlfn.XLOOKUP(B488,CRN!G:G,CRN!L:L,"")</f>
        <v>0</v>
      </c>
      <c r="I488">
        <f>IF(H488=0,0,_xlfn.XLOOKUP(C488,CLIENT_CODE!B:B,CLIENT_CODE!H:H,0))</f>
        <v>0</v>
      </c>
      <c r="J488">
        <f>_xlfn.XLOOKUP(B488,CRN!G:G,CRN!M:M,"")</f>
        <v>0</v>
      </c>
      <c r="K488">
        <f>IF(J488=0,0,_xlfn.XLOOKUP(C488,CLIENT_CODE!B:B,CLIENT_CODE!I:I,0))</f>
        <v>0</v>
      </c>
      <c r="L488">
        <f>_xlfn.XLOOKUP(B488,CRN!G:G,CRN!N:N,"")</f>
        <v>0</v>
      </c>
      <c r="M488">
        <f>IF(L488=0,0,_xlfn.XLOOKUP(C488,CLIENT_CODE!B:B,CLIENT_CODE!J:J,0))</f>
        <v>0</v>
      </c>
      <c r="N488">
        <f>_xlfn.XLOOKUP(B488,CRN!G:G,CRN!O:O,"")</f>
        <v>0</v>
      </c>
      <c r="O488">
        <f>IF(N488=0,0,_xlfn.XLOOKUP(C488,CLIENT_CODE!B:B,CLIENT_CODE!K:K,0))</f>
        <v>0</v>
      </c>
      <c r="P488">
        <f>_xlfn.XLOOKUP(B488,CRN!G:G,CRN!P:P,"")</f>
        <v>0</v>
      </c>
      <c r="Q488">
        <f>IF(P488=0,0,_xlfn.XLOOKUP(C488,CLIENT_CODE!B:B,CLIENT_CODE!L:L,0))</f>
        <v>0</v>
      </c>
      <c r="R488">
        <f>_xlfn.XLOOKUP(B488,CRN!G:G,CRN!Q:Q,"")</f>
        <v>0</v>
      </c>
      <c r="S488">
        <f>IF(R488=0,0,_xlfn.XLOOKUP(C488,CLIENT_CODE!B:B,CLIENT_CODE!M:M,0))</f>
        <v>0</v>
      </c>
      <c r="T488">
        <f>_xlfn.XLOOKUP(B488,CRN!G:G,CRN!R:R,"")</f>
        <v>0</v>
      </c>
      <c r="U488">
        <f>IF(T488=0,0,_xlfn.XLOOKUP(C488,CLIENT_CODE!B:B,CLIENT_CODE!N:N,0))</f>
        <v>0</v>
      </c>
      <c r="V488">
        <f>_xlfn.XLOOKUP(B488,CRN!G:G,CRN!S:S,"")</f>
        <v>0</v>
      </c>
      <c r="W488">
        <f>IF(V488=0,0,_xlfn.XLOOKUP(C488,CLIENT_CODE!B:B,CLIENT_CODE!O:O,0))</f>
        <v>0</v>
      </c>
      <c r="X488">
        <f>_xlfn.XLOOKUP(B488,CRN!G:G,CRN!T:T,"")</f>
        <v>0</v>
      </c>
      <c r="Y488">
        <f>IF(X488=0,0,_xlfn.XLOOKUP(C488,CLIENT_CODE!B:B,CLIENT_CODE!P:P,0))</f>
        <v>0</v>
      </c>
      <c r="Z488">
        <f>_xlfn.XLOOKUP(B488,CRN!G:G,CRN!U:U,"")</f>
        <v>0</v>
      </c>
      <c r="AA488">
        <f>IF(X488=0,0,_xlfn.XLOOKUP(C488,CLIENT_CODE!B:B,CLIENT_CODE!P:P,0))</f>
        <v>0</v>
      </c>
      <c r="AB488">
        <f>_xlfn.XLOOKUP(B488,CRN!G:G,CRN!V:V,"")</f>
        <v>0</v>
      </c>
      <c r="AC488">
        <f>IF(AB488=0,0,_xlfn.XLOOKUP(C488,CLIENT_CODE!B:B,CLIENT_CODE!R:R,0))</f>
        <v>0</v>
      </c>
      <c r="AD488">
        <f t="shared" si="7"/>
        <v>0</v>
      </c>
    </row>
    <row r="489" spans="1:30">
      <c r="A489" s="42">
        <v>488</v>
      </c>
      <c r="E489">
        <f>IF(D489=0,0,_xlfn.XLOOKUP(C489,CLIENT_CODE!B:B,CLIENT_CODE!F:F,0))</f>
        <v>0</v>
      </c>
      <c r="F489">
        <f>_xlfn.XLOOKUP(B489,CRN!G:G,CRN!K:K,"")</f>
        <v>0</v>
      </c>
      <c r="G489">
        <f>IF(F489=0,0,_xlfn.XLOOKUP(C489,CLIENT_CODE!B:B,CLIENT_CODE!G:G,0))</f>
        <v>0</v>
      </c>
      <c r="H489">
        <f>_xlfn.XLOOKUP(B489,CRN!G:G,CRN!L:L,"")</f>
        <v>0</v>
      </c>
      <c r="I489">
        <f>IF(H489=0,0,_xlfn.XLOOKUP(C489,CLIENT_CODE!B:B,CLIENT_CODE!H:H,0))</f>
        <v>0</v>
      </c>
      <c r="J489">
        <f>_xlfn.XLOOKUP(B489,CRN!G:G,CRN!M:M,"")</f>
        <v>0</v>
      </c>
      <c r="K489">
        <f>IF(J489=0,0,_xlfn.XLOOKUP(C489,CLIENT_CODE!B:B,CLIENT_CODE!I:I,0))</f>
        <v>0</v>
      </c>
      <c r="L489">
        <f>_xlfn.XLOOKUP(B489,CRN!G:G,CRN!N:N,"")</f>
        <v>0</v>
      </c>
      <c r="M489">
        <f>IF(L489=0,0,_xlfn.XLOOKUP(C489,CLIENT_CODE!B:B,CLIENT_CODE!J:J,0))</f>
        <v>0</v>
      </c>
      <c r="N489">
        <f>_xlfn.XLOOKUP(B489,CRN!G:G,CRN!O:O,"")</f>
        <v>0</v>
      </c>
      <c r="O489">
        <f>IF(N489=0,0,_xlfn.XLOOKUP(C489,CLIENT_CODE!B:B,CLIENT_CODE!K:K,0))</f>
        <v>0</v>
      </c>
      <c r="P489">
        <f>_xlfn.XLOOKUP(B489,CRN!G:G,CRN!P:P,"")</f>
        <v>0</v>
      </c>
      <c r="Q489">
        <f>IF(P489=0,0,_xlfn.XLOOKUP(C489,CLIENT_CODE!B:B,CLIENT_CODE!L:L,0))</f>
        <v>0</v>
      </c>
      <c r="R489">
        <f>_xlfn.XLOOKUP(B489,CRN!G:G,CRN!Q:Q,"")</f>
        <v>0</v>
      </c>
      <c r="S489">
        <f>IF(R489=0,0,_xlfn.XLOOKUP(C489,CLIENT_CODE!B:B,CLIENT_CODE!M:M,0))</f>
        <v>0</v>
      </c>
      <c r="T489">
        <f>_xlfn.XLOOKUP(B489,CRN!G:G,CRN!R:R,"")</f>
        <v>0</v>
      </c>
      <c r="U489">
        <f>IF(T489=0,0,_xlfn.XLOOKUP(C489,CLIENT_CODE!B:B,CLIENT_CODE!N:N,0))</f>
        <v>0</v>
      </c>
      <c r="V489">
        <f>_xlfn.XLOOKUP(B489,CRN!G:G,CRN!S:S,"")</f>
        <v>0</v>
      </c>
      <c r="W489">
        <f>IF(V489=0,0,_xlfn.XLOOKUP(C489,CLIENT_CODE!B:B,CLIENT_CODE!O:O,0))</f>
        <v>0</v>
      </c>
      <c r="X489">
        <f>_xlfn.XLOOKUP(B489,CRN!G:G,CRN!T:T,"")</f>
        <v>0</v>
      </c>
      <c r="Y489">
        <f>IF(X489=0,0,_xlfn.XLOOKUP(C489,CLIENT_CODE!B:B,CLIENT_CODE!P:P,0))</f>
        <v>0</v>
      </c>
      <c r="Z489">
        <f>_xlfn.XLOOKUP(B489,CRN!G:G,CRN!U:U,"")</f>
        <v>0</v>
      </c>
      <c r="AA489">
        <f>IF(X489=0,0,_xlfn.XLOOKUP(C489,CLIENT_CODE!B:B,CLIENT_CODE!P:P,0))</f>
        <v>0</v>
      </c>
      <c r="AB489">
        <f>_xlfn.XLOOKUP(B489,CRN!G:G,CRN!V:V,"")</f>
        <v>0</v>
      </c>
      <c r="AC489">
        <f>IF(AB489=0,0,_xlfn.XLOOKUP(C489,CLIENT_CODE!B:B,CLIENT_CODE!R:R,0))</f>
        <v>0</v>
      </c>
      <c r="AD489">
        <f t="shared" si="7"/>
        <v>0</v>
      </c>
    </row>
    <row r="490" spans="1:30">
      <c r="A490" s="42">
        <v>489</v>
      </c>
      <c r="E490">
        <f>IF(D490=0,0,_xlfn.XLOOKUP(C490,CLIENT_CODE!B:B,CLIENT_CODE!F:F,0))</f>
        <v>0</v>
      </c>
      <c r="F490">
        <f>_xlfn.XLOOKUP(B490,CRN!G:G,CRN!K:K,"")</f>
        <v>0</v>
      </c>
      <c r="G490">
        <f>IF(F490=0,0,_xlfn.XLOOKUP(C490,CLIENT_CODE!B:B,CLIENT_CODE!G:G,0))</f>
        <v>0</v>
      </c>
      <c r="H490">
        <f>_xlfn.XLOOKUP(B490,CRN!G:G,CRN!L:L,"")</f>
        <v>0</v>
      </c>
      <c r="I490">
        <f>IF(H490=0,0,_xlfn.XLOOKUP(C490,CLIENT_CODE!B:B,CLIENT_CODE!H:H,0))</f>
        <v>0</v>
      </c>
      <c r="J490">
        <f>_xlfn.XLOOKUP(B490,CRN!G:G,CRN!M:M,"")</f>
        <v>0</v>
      </c>
      <c r="K490">
        <f>IF(J490=0,0,_xlfn.XLOOKUP(C490,CLIENT_CODE!B:B,CLIENT_CODE!I:I,0))</f>
        <v>0</v>
      </c>
      <c r="L490">
        <f>_xlfn.XLOOKUP(B490,CRN!G:G,CRN!N:N,"")</f>
        <v>0</v>
      </c>
      <c r="M490">
        <f>IF(L490=0,0,_xlfn.XLOOKUP(C490,CLIENT_CODE!B:B,CLIENT_CODE!J:J,0))</f>
        <v>0</v>
      </c>
      <c r="N490">
        <f>_xlfn.XLOOKUP(B490,CRN!G:G,CRN!O:O,"")</f>
        <v>0</v>
      </c>
      <c r="O490">
        <f>IF(N490=0,0,_xlfn.XLOOKUP(C490,CLIENT_CODE!B:B,CLIENT_CODE!K:K,0))</f>
        <v>0</v>
      </c>
      <c r="P490">
        <f>_xlfn.XLOOKUP(B490,CRN!G:G,CRN!P:P,"")</f>
        <v>0</v>
      </c>
      <c r="Q490">
        <f>IF(P490=0,0,_xlfn.XLOOKUP(C490,CLIENT_CODE!B:B,CLIENT_CODE!L:L,0))</f>
        <v>0</v>
      </c>
      <c r="R490">
        <f>_xlfn.XLOOKUP(B490,CRN!G:G,CRN!Q:Q,"")</f>
        <v>0</v>
      </c>
      <c r="S490">
        <f>IF(R490=0,0,_xlfn.XLOOKUP(C490,CLIENT_CODE!B:B,CLIENT_CODE!M:M,0))</f>
        <v>0</v>
      </c>
      <c r="T490">
        <f>_xlfn.XLOOKUP(B490,CRN!G:G,CRN!R:R,"")</f>
        <v>0</v>
      </c>
      <c r="U490">
        <f>IF(T490=0,0,_xlfn.XLOOKUP(C490,CLIENT_CODE!B:B,CLIENT_CODE!N:N,0))</f>
        <v>0</v>
      </c>
      <c r="V490">
        <f>_xlfn.XLOOKUP(B490,CRN!G:G,CRN!S:S,"")</f>
        <v>0</v>
      </c>
      <c r="W490">
        <f>IF(V490=0,0,_xlfn.XLOOKUP(C490,CLIENT_CODE!B:B,CLIENT_CODE!O:O,0))</f>
        <v>0</v>
      </c>
      <c r="X490">
        <f>_xlfn.XLOOKUP(B490,CRN!G:G,CRN!T:T,"")</f>
        <v>0</v>
      </c>
      <c r="Y490">
        <f>IF(X490=0,0,_xlfn.XLOOKUP(C490,CLIENT_CODE!B:B,CLIENT_CODE!P:P,0))</f>
        <v>0</v>
      </c>
      <c r="Z490">
        <f>_xlfn.XLOOKUP(B490,CRN!G:G,CRN!U:U,"")</f>
        <v>0</v>
      </c>
      <c r="AA490">
        <f>IF(X490=0,0,_xlfn.XLOOKUP(C490,CLIENT_CODE!B:B,CLIENT_CODE!P:P,0))</f>
        <v>0</v>
      </c>
      <c r="AB490">
        <f>_xlfn.XLOOKUP(B490,CRN!G:G,CRN!V:V,"")</f>
        <v>0</v>
      </c>
      <c r="AC490">
        <f>IF(AB490=0,0,_xlfn.XLOOKUP(C490,CLIENT_CODE!B:B,CLIENT_CODE!R:R,0))</f>
        <v>0</v>
      </c>
      <c r="AD490">
        <f t="shared" si="7"/>
        <v>0</v>
      </c>
    </row>
    <row r="491" spans="1:30">
      <c r="A491" s="42">
        <v>490</v>
      </c>
      <c r="E491">
        <f>IF(D491=0,0,_xlfn.XLOOKUP(C491,CLIENT_CODE!B:B,CLIENT_CODE!F:F,0))</f>
        <v>0</v>
      </c>
      <c r="F491">
        <f>_xlfn.XLOOKUP(B491,CRN!G:G,CRN!K:K,"")</f>
        <v>0</v>
      </c>
      <c r="G491">
        <f>IF(F491=0,0,_xlfn.XLOOKUP(C491,CLIENT_CODE!B:B,CLIENT_CODE!G:G,0))</f>
        <v>0</v>
      </c>
      <c r="H491">
        <f>_xlfn.XLOOKUP(B491,CRN!G:G,CRN!L:L,"")</f>
        <v>0</v>
      </c>
      <c r="I491">
        <f>IF(H491=0,0,_xlfn.XLOOKUP(C491,CLIENT_CODE!B:B,CLIENT_CODE!H:H,0))</f>
        <v>0</v>
      </c>
      <c r="J491">
        <f>_xlfn.XLOOKUP(B491,CRN!G:G,CRN!M:M,"")</f>
        <v>0</v>
      </c>
      <c r="K491">
        <f>IF(J491=0,0,_xlfn.XLOOKUP(C491,CLIENT_CODE!B:B,CLIENT_CODE!I:I,0))</f>
        <v>0</v>
      </c>
      <c r="L491">
        <f>_xlfn.XLOOKUP(B491,CRN!G:G,CRN!N:N,"")</f>
        <v>0</v>
      </c>
      <c r="M491">
        <f>IF(L491=0,0,_xlfn.XLOOKUP(C491,CLIENT_CODE!B:B,CLIENT_CODE!J:J,0))</f>
        <v>0</v>
      </c>
      <c r="N491">
        <f>_xlfn.XLOOKUP(B491,CRN!G:G,CRN!O:O,"")</f>
        <v>0</v>
      </c>
      <c r="O491">
        <f>IF(N491=0,0,_xlfn.XLOOKUP(C491,CLIENT_CODE!B:B,CLIENT_CODE!K:K,0))</f>
        <v>0</v>
      </c>
      <c r="P491">
        <f>_xlfn.XLOOKUP(B491,CRN!G:G,CRN!P:P,"")</f>
        <v>0</v>
      </c>
      <c r="Q491">
        <f>IF(P491=0,0,_xlfn.XLOOKUP(C491,CLIENT_CODE!B:B,CLIENT_CODE!L:L,0))</f>
        <v>0</v>
      </c>
      <c r="R491">
        <f>_xlfn.XLOOKUP(B491,CRN!G:G,CRN!Q:Q,"")</f>
        <v>0</v>
      </c>
      <c r="S491">
        <f>IF(R491=0,0,_xlfn.XLOOKUP(C491,CLIENT_CODE!B:B,CLIENT_CODE!M:M,0))</f>
        <v>0</v>
      </c>
      <c r="T491">
        <f>_xlfn.XLOOKUP(B491,CRN!G:G,CRN!R:R,"")</f>
        <v>0</v>
      </c>
      <c r="U491">
        <f>IF(T491=0,0,_xlfn.XLOOKUP(C491,CLIENT_CODE!B:B,CLIENT_CODE!N:N,0))</f>
        <v>0</v>
      </c>
      <c r="V491">
        <f>_xlfn.XLOOKUP(B491,CRN!G:G,CRN!S:S,"")</f>
        <v>0</v>
      </c>
      <c r="W491">
        <f>IF(V491=0,0,_xlfn.XLOOKUP(C491,CLIENT_CODE!B:B,CLIENT_CODE!O:O,0))</f>
        <v>0</v>
      </c>
      <c r="X491">
        <f>_xlfn.XLOOKUP(B491,CRN!G:G,CRN!T:T,"")</f>
        <v>0</v>
      </c>
      <c r="Y491">
        <f>IF(X491=0,0,_xlfn.XLOOKUP(C491,CLIENT_CODE!B:B,CLIENT_CODE!P:P,0))</f>
        <v>0</v>
      </c>
      <c r="Z491">
        <f>_xlfn.XLOOKUP(B491,CRN!G:G,CRN!U:U,"")</f>
        <v>0</v>
      </c>
      <c r="AA491">
        <f>IF(X491=0,0,_xlfn.XLOOKUP(C491,CLIENT_CODE!B:B,CLIENT_CODE!P:P,0))</f>
        <v>0</v>
      </c>
      <c r="AB491">
        <f>_xlfn.XLOOKUP(B491,CRN!G:G,CRN!V:V,"")</f>
        <v>0</v>
      </c>
      <c r="AC491">
        <f>IF(AB491=0,0,_xlfn.XLOOKUP(C491,CLIENT_CODE!B:B,CLIENT_CODE!R:R,0))</f>
        <v>0</v>
      </c>
      <c r="AD491">
        <f t="shared" si="7"/>
        <v>0</v>
      </c>
    </row>
    <row r="492" spans="1:30">
      <c r="A492" s="42">
        <v>491</v>
      </c>
      <c r="E492">
        <f>IF(D492=0,0,_xlfn.XLOOKUP(C492,CLIENT_CODE!B:B,CLIENT_CODE!F:F,0))</f>
        <v>0</v>
      </c>
      <c r="F492">
        <f>_xlfn.XLOOKUP(B492,CRN!G:G,CRN!K:K,"")</f>
        <v>0</v>
      </c>
      <c r="G492">
        <f>IF(F492=0,0,_xlfn.XLOOKUP(C492,CLIENT_CODE!B:B,CLIENT_CODE!G:G,0))</f>
        <v>0</v>
      </c>
      <c r="H492">
        <f>_xlfn.XLOOKUP(B492,CRN!G:G,CRN!L:L,"")</f>
        <v>0</v>
      </c>
      <c r="I492">
        <f>IF(H492=0,0,_xlfn.XLOOKUP(C492,CLIENT_CODE!B:B,CLIENT_CODE!H:H,0))</f>
        <v>0</v>
      </c>
      <c r="J492">
        <f>_xlfn.XLOOKUP(B492,CRN!G:G,CRN!M:M,"")</f>
        <v>0</v>
      </c>
      <c r="K492">
        <f>IF(J492=0,0,_xlfn.XLOOKUP(C492,CLIENT_CODE!B:B,CLIENT_CODE!I:I,0))</f>
        <v>0</v>
      </c>
      <c r="L492">
        <f>_xlfn.XLOOKUP(B492,CRN!G:G,CRN!N:N,"")</f>
        <v>0</v>
      </c>
      <c r="M492">
        <f>IF(L492=0,0,_xlfn.XLOOKUP(C492,CLIENT_CODE!B:B,CLIENT_CODE!J:J,0))</f>
        <v>0</v>
      </c>
      <c r="N492">
        <f>_xlfn.XLOOKUP(B492,CRN!G:G,CRN!O:O,"")</f>
        <v>0</v>
      </c>
      <c r="O492">
        <f>IF(N492=0,0,_xlfn.XLOOKUP(C492,CLIENT_CODE!B:B,CLIENT_CODE!K:K,0))</f>
        <v>0</v>
      </c>
      <c r="P492">
        <f>_xlfn.XLOOKUP(B492,CRN!G:G,CRN!P:P,"")</f>
        <v>0</v>
      </c>
      <c r="Q492">
        <f>IF(P492=0,0,_xlfn.XLOOKUP(C492,CLIENT_CODE!B:B,CLIENT_CODE!L:L,0))</f>
        <v>0</v>
      </c>
      <c r="R492">
        <f>_xlfn.XLOOKUP(B492,CRN!G:G,CRN!Q:Q,"")</f>
        <v>0</v>
      </c>
      <c r="S492">
        <f>IF(R492=0,0,_xlfn.XLOOKUP(C492,CLIENT_CODE!B:B,CLIENT_CODE!M:M,0))</f>
        <v>0</v>
      </c>
      <c r="T492">
        <f>_xlfn.XLOOKUP(B492,CRN!G:G,CRN!R:R,"")</f>
        <v>0</v>
      </c>
      <c r="U492">
        <f>IF(T492=0,0,_xlfn.XLOOKUP(C492,CLIENT_CODE!B:B,CLIENT_CODE!N:N,0))</f>
        <v>0</v>
      </c>
      <c r="V492">
        <f>_xlfn.XLOOKUP(B492,CRN!G:G,CRN!S:S,"")</f>
        <v>0</v>
      </c>
      <c r="W492">
        <f>IF(V492=0,0,_xlfn.XLOOKUP(C492,CLIENT_CODE!B:B,CLIENT_CODE!O:O,0))</f>
        <v>0</v>
      </c>
      <c r="X492">
        <f>_xlfn.XLOOKUP(B492,CRN!G:G,CRN!T:T,"")</f>
        <v>0</v>
      </c>
      <c r="Y492">
        <f>IF(X492=0,0,_xlfn.XLOOKUP(C492,CLIENT_CODE!B:B,CLIENT_CODE!P:P,0))</f>
        <v>0</v>
      </c>
      <c r="Z492">
        <f>_xlfn.XLOOKUP(B492,CRN!G:G,CRN!U:U,"")</f>
        <v>0</v>
      </c>
      <c r="AA492">
        <f>IF(X492=0,0,_xlfn.XLOOKUP(C492,CLIENT_CODE!B:B,CLIENT_CODE!P:P,0))</f>
        <v>0</v>
      </c>
      <c r="AB492">
        <f>_xlfn.XLOOKUP(B492,CRN!G:G,CRN!V:V,"")</f>
        <v>0</v>
      </c>
      <c r="AC492">
        <f>IF(AB492=0,0,_xlfn.XLOOKUP(C492,CLIENT_CODE!B:B,CLIENT_CODE!R:R,0))</f>
        <v>0</v>
      </c>
      <c r="AD492">
        <f t="shared" si="7"/>
        <v>0</v>
      </c>
    </row>
    <row r="493" spans="1:30">
      <c r="A493" s="42">
        <v>492</v>
      </c>
      <c r="E493">
        <f>IF(D493=0,0,_xlfn.XLOOKUP(C493,CLIENT_CODE!B:B,CLIENT_CODE!F:F,0))</f>
        <v>0</v>
      </c>
      <c r="F493">
        <f>_xlfn.XLOOKUP(B493,CRN!G:G,CRN!K:K,"")</f>
        <v>0</v>
      </c>
      <c r="G493">
        <f>IF(F493=0,0,_xlfn.XLOOKUP(C493,CLIENT_CODE!B:B,CLIENT_CODE!G:G,0))</f>
        <v>0</v>
      </c>
      <c r="H493">
        <f>_xlfn.XLOOKUP(B493,CRN!G:G,CRN!L:L,"")</f>
        <v>0</v>
      </c>
      <c r="I493">
        <f>IF(H493=0,0,_xlfn.XLOOKUP(C493,CLIENT_CODE!B:B,CLIENT_CODE!H:H,0))</f>
        <v>0</v>
      </c>
      <c r="J493">
        <f>_xlfn.XLOOKUP(B493,CRN!G:G,CRN!M:M,"")</f>
        <v>0</v>
      </c>
      <c r="K493">
        <f>IF(J493=0,0,_xlfn.XLOOKUP(C493,CLIENT_CODE!B:B,CLIENT_CODE!I:I,0))</f>
        <v>0</v>
      </c>
      <c r="L493">
        <f>_xlfn.XLOOKUP(B493,CRN!G:G,CRN!N:N,"")</f>
        <v>0</v>
      </c>
      <c r="M493">
        <f>IF(L493=0,0,_xlfn.XLOOKUP(C493,CLIENT_CODE!B:B,CLIENT_CODE!J:J,0))</f>
        <v>0</v>
      </c>
      <c r="N493">
        <f>_xlfn.XLOOKUP(B493,CRN!G:G,CRN!O:O,"")</f>
        <v>0</v>
      </c>
      <c r="O493">
        <f>IF(N493=0,0,_xlfn.XLOOKUP(C493,CLIENT_CODE!B:B,CLIENT_CODE!K:K,0))</f>
        <v>0</v>
      </c>
      <c r="P493">
        <f>_xlfn.XLOOKUP(B493,CRN!G:G,CRN!P:P,"")</f>
        <v>0</v>
      </c>
      <c r="Q493">
        <f>IF(P493=0,0,_xlfn.XLOOKUP(C493,CLIENT_CODE!B:B,CLIENT_CODE!L:L,0))</f>
        <v>0</v>
      </c>
      <c r="R493">
        <f>_xlfn.XLOOKUP(B493,CRN!G:G,CRN!Q:Q,"")</f>
        <v>0</v>
      </c>
      <c r="S493">
        <f>IF(R493=0,0,_xlfn.XLOOKUP(C493,CLIENT_CODE!B:B,CLIENT_CODE!M:M,0))</f>
        <v>0</v>
      </c>
      <c r="T493">
        <f>_xlfn.XLOOKUP(B493,CRN!G:G,CRN!R:R,"")</f>
        <v>0</v>
      </c>
      <c r="U493">
        <f>IF(T493=0,0,_xlfn.XLOOKUP(C493,CLIENT_CODE!B:B,CLIENT_CODE!N:N,0))</f>
        <v>0</v>
      </c>
      <c r="V493">
        <f>_xlfn.XLOOKUP(B493,CRN!G:G,CRN!S:S,"")</f>
        <v>0</v>
      </c>
      <c r="W493">
        <f>IF(V493=0,0,_xlfn.XLOOKUP(C493,CLIENT_CODE!B:B,CLIENT_CODE!O:O,0))</f>
        <v>0</v>
      </c>
      <c r="X493">
        <f>_xlfn.XLOOKUP(B493,CRN!G:G,CRN!T:T,"")</f>
        <v>0</v>
      </c>
      <c r="Y493">
        <f>IF(X493=0,0,_xlfn.XLOOKUP(C493,CLIENT_CODE!B:B,CLIENT_CODE!P:P,0))</f>
        <v>0</v>
      </c>
      <c r="Z493">
        <f>_xlfn.XLOOKUP(B493,CRN!G:G,CRN!U:U,"")</f>
        <v>0</v>
      </c>
      <c r="AA493">
        <f>IF(X493=0,0,_xlfn.XLOOKUP(C493,CLIENT_CODE!B:B,CLIENT_CODE!P:P,0))</f>
        <v>0</v>
      </c>
      <c r="AB493">
        <f>_xlfn.XLOOKUP(B493,CRN!G:G,CRN!V:V,"")</f>
        <v>0</v>
      </c>
      <c r="AC493">
        <f>IF(AB493=0,0,_xlfn.XLOOKUP(C493,CLIENT_CODE!B:B,CLIENT_CODE!R:R,0))</f>
        <v>0</v>
      </c>
      <c r="AD493">
        <f t="shared" si="7"/>
        <v>0</v>
      </c>
    </row>
    <row r="494" spans="1:30">
      <c r="A494" s="42">
        <v>493</v>
      </c>
      <c r="E494">
        <f>IF(D494=0,0,_xlfn.XLOOKUP(C494,CLIENT_CODE!B:B,CLIENT_CODE!F:F,0))</f>
        <v>0</v>
      </c>
      <c r="F494">
        <f>_xlfn.XLOOKUP(B494,CRN!G:G,CRN!K:K,"")</f>
        <v>0</v>
      </c>
      <c r="G494">
        <f>IF(F494=0,0,_xlfn.XLOOKUP(C494,CLIENT_CODE!B:B,CLIENT_CODE!G:G,0))</f>
        <v>0</v>
      </c>
      <c r="H494">
        <f>_xlfn.XLOOKUP(B494,CRN!G:G,CRN!L:L,"")</f>
        <v>0</v>
      </c>
      <c r="I494">
        <f>IF(H494=0,0,_xlfn.XLOOKUP(C494,CLIENT_CODE!B:B,CLIENT_CODE!H:H,0))</f>
        <v>0</v>
      </c>
      <c r="J494">
        <f>_xlfn.XLOOKUP(B494,CRN!G:G,CRN!M:M,"")</f>
        <v>0</v>
      </c>
      <c r="K494">
        <f>IF(J494=0,0,_xlfn.XLOOKUP(C494,CLIENT_CODE!B:B,CLIENT_CODE!I:I,0))</f>
        <v>0</v>
      </c>
      <c r="L494">
        <f>_xlfn.XLOOKUP(B494,CRN!G:G,CRN!N:N,"")</f>
        <v>0</v>
      </c>
      <c r="M494">
        <f>IF(L494=0,0,_xlfn.XLOOKUP(C494,CLIENT_CODE!B:B,CLIENT_CODE!J:J,0))</f>
        <v>0</v>
      </c>
      <c r="N494">
        <f>_xlfn.XLOOKUP(B494,CRN!G:G,CRN!O:O,"")</f>
        <v>0</v>
      </c>
      <c r="O494">
        <f>IF(N494=0,0,_xlfn.XLOOKUP(C494,CLIENT_CODE!B:B,CLIENT_CODE!K:K,0))</f>
        <v>0</v>
      </c>
      <c r="P494">
        <f>_xlfn.XLOOKUP(B494,CRN!G:G,CRN!P:P,"")</f>
        <v>0</v>
      </c>
      <c r="Q494">
        <f>IF(P494=0,0,_xlfn.XLOOKUP(C494,CLIENT_CODE!B:B,CLIENT_CODE!L:L,0))</f>
        <v>0</v>
      </c>
      <c r="R494">
        <f>_xlfn.XLOOKUP(B494,CRN!G:G,CRN!Q:Q,"")</f>
        <v>0</v>
      </c>
      <c r="S494">
        <f>IF(R494=0,0,_xlfn.XLOOKUP(C494,CLIENT_CODE!B:B,CLIENT_CODE!M:M,0))</f>
        <v>0</v>
      </c>
      <c r="T494">
        <f>_xlfn.XLOOKUP(B494,CRN!G:G,CRN!R:R,"")</f>
        <v>0</v>
      </c>
      <c r="U494">
        <f>IF(T494=0,0,_xlfn.XLOOKUP(C494,CLIENT_CODE!B:B,CLIENT_CODE!N:N,0))</f>
        <v>0</v>
      </c>
      <c r="V494">
        <f>_xlfn.XLOOKUP(B494,CRN!G:G,CRN!S:S,"")</f>
        <v>0</v>
      </c>
      <c r="W494">
        <f>IF(V494=0,0,_xlfn.XLOOKUP(C494,CLIENT_CODE!B:B,CLIENT_CODE!O:O,0))</f>
        <v>0</v>
      </c>
      <c r="X494">
        <f>_xlfn.XLOOKUP(B494,CRN!G:G,CRN!T:T,"")</f>
        <v>0</v>
      </c>
      <c r="Y494">
        <f>IF(X494=0,0,_xlfn.XLOOKUP(C494,CLIENT_CODE!B:B,CLIENT_CODE!P:P,0))</f>
        <v>0</v>
      </c>
      <c r="Z494">
        <f>_xlfn.XLOOKUP(B494,CRN!G:G,CRN!U:U,"")</f>
        <v>0</v>
      </c>
      <c r="AA494">
        <f>IF(X494=0,0,_xlfn.XLOOKUP(C494,CLIENT_CODE!B:B,CLIENT_CODE!P:P,0))</f>
        <v>0</v>
      </c>
      <c r="AB494">
        <f>_xlfn.XLOOKUP(B494,CRN!G:G,CRN!V:V,"")</f>
        <v>0</v>
      </c>
      <c r="AC494">
        <f>IF(AB494=0,0,_xlfn.XLOOKUP(C494,CLIENT_CODE!B:B,CLIENT_CODE!R:R,0))</f>
        <v>0</v>
      </c>
      <c r="AD494">
        <f t="shared" si="7"/>
        <v>0</v>
      </c>
    </row>
    <row r="495" spans="1:30">
      <c r="A495" s="42">
        <v>494</v>
      </c>
      <c r="E495">
        <f>IF(D495=0,0,_xlfn.XLOOKUP(C495,CLIENT_CODE!B:B,CLIENT_CODE!F:F,0))</f>
        <v>0</v>
      </c>
      <c r="F495">
        <f>_xlfn.XLOOKUP(B495,CRN!G:G,CRN!K:K,"")</f>
        <v>0</v>
      </c>
      <c r="G495">
        <f>IF(F495=0,0,_xlfn.XLOOKUP(C495,CLIENT_CODE!B:B,CLIENT_CODE!G:G,0))</f>
        <v>0</v>
      </c>
      <c r="H495">
        <f>_xlfn.XLOOKUP(B495,CRN!G:G,CRN!L:L,"")</f>
        <v>0</v>
      </c>
      <c r="I495">
        <f>IF(H495=0,0,_xlfn.XLOOKUP(C495,CLIENT_CODE!B:B,CLIENT_CODE!H:H,0))</f>
        <v>0</v>
      </c>
      <c r="J495">
        <f>_xlfn.XLOOKUP(B495,CRN!G:G,CRN!M:M,"")</f>
        <v>0</v>
      </c>
      <c r="K495">
        <f>IF(J495=0,0,_xlfn.XLOOKUP(C495,CLIENT_CODE!B:B,CLIENT_CODE!I:I,0))</f>
        <v>0</v>
      </c>
      <c r="L495">
        <f>_xlfn.XLOOKUP(B495,CRN!G:G,CRN!N:N,"")</f>
        <v>0</v>
      </c>
      <c r="M495">
        <f>IF(L495=0,0,_xlfn.XLOOKUP(C495,CLIENT_CODE!B:B,CLIENT_CODE!J:J,0))</f>
        <v>0</v>
      </c>
      <c r="N495">
        <f>_xlfn.XLOOKUP(B495,CRN!G:G,CRN!O:O,"")</f>
        <v>0</v>
      </c>
      <c r="O495">
        <f>IF(N495=0,0,_xlfn.XLOOKUP(C495,CLIENT_CODE!B:B,CLIENT_CODE!K:K,0))</f>
        <v>0</v>
      </c>
      <c r="P495">
        <f>_xlfn.XLOOKUP(B495,CRN!G:G,CRN!P:P,"")</f>
        <v>0</v>
      </c>
      <c r="Q495">
        <f>IF(P495=0,0,_xlfn.XLOOKUP(C495,CLIENT_CODE!B:B,CLIENT_CODE!L:L,0))</f>
        <v>0</v>
      </c>
      <c r="R495">
        <f>_xlfn.XLOOKUP(B495,CRN!G:G,CRN!Q:Q,"")</f>
        <v>0</v>
      </c>
      <c r="S495">
        <f>IF(R495=0,0,_xlfn.XLOOKUP(C495,CLIENT_CODE!B:B,CLIENT_CODE!M:M,0))</f>
        <v>0</v>
      </c>
      <c r="T495">
        <f>_xlfn.XLOOKUP(B495,CRN!G:G,CRN!R:R,"")</f>
        <v>0</v>
      </c>
      <c r="U495">
        <f>IF(T495=0,0,_xlfn.XLOOKUP(C495,CLIENT_CODE!B:B,CLIENT_CODE!N:N,0))</f>
        <v>0</v>
      </c>
      <c r="V495">
        <f>_xlfn.XLOOKUP(B495,CRN!G:G,CRN!S:S,"")</f>
        <v>0</v>
      </c>
      <c r="W495">
        <f>IF(V495=0,0,_xlfn.XLOOKUP(C495,CLIENT_CODE!B:B,CLIENT_CODE!O:O,0))</f>
        <v>0</v>
      </c>
      <c r="X495">
        <f>_xlfn.XLOOKUP(B495,CRN!G:G,CRN!T:T,"")</f>
        <v>0</v>
      </c>
      <c r="Y495">
        <f>IF(X495=0,0,_xlfn.XLOOKUP(C495,CLIENT_CODE!B:B,CLIENT_CODE!P:P,0))</f>
        <v>0</v>
      </c>
      <c r="Z495">
        <f>_xlfn.XLOOKUP(B495,CRN!G:G,CRN!U:U,"")</f>
        <v>0</v>
      </c>
      <c r="AA495">
        <f>IF(X495=0,0,_xlfn.XLOOKUP(C495,CLIENT_CODE!B:B,CLIENT_CODE!P:P,0))</f>
        <v>0</v>
      </c>
      <c r="AB495">
        <f>_xlfn.XLOOKUP(B495,CRN!G:G,CRN!V:V,"")</f>
        <v>0</v>
      </c>
      <c r="AC495">
        <f>IF(AB495=0,0,_xlfn.XLOOKUP(C495,CLIENT_CODE!B:B,CLIENT_CODE!R:R,0))</f>
        <v>0</v>
      </c>
      <c r="AD495">
        <f t="shared" si="7"/>
        <v>0</v>
      </c>
    </row>
    <row r="496" spans="1:30">
      <c r="A496" s="42">
        <v>495</v>
      </c>
      <c r="E496">
        <f>IF(D496=0,0,_xlfn.XLOOKUP(C496,CLIENT_CODE!B:B,CLIENT_CODE!F:F,0))</f>
        <v>0</v>
      </c>
      <c r="F496">
        <f>_xlfn.XLOOKUP(B496,CRN!G:G,CRN!K:K,"")</f>
        <v>0</v>
      </c>
      <c r="G496">
        <f>IF(F496=0,0,_xlfn.XLOOKUP(C496,CLIENT_CODE!B:B,CLIENT_CODE!G:G,0))</f>
        <v>0</v>
      </c>
      <c r="H496">
        <f>_xlfn.XLOOKUP(B496,CRN!G:G,CRN!L:L,"")</f>
        <v>0</v>
      </c>
      <c r="I496">
        <f>IF(H496=0,0,_xlfn.XLOOKUP(C496,CLIENT_CODE!B:B,CLIENT_CODE!H:H,0))</f>
        <v>0</v>
      </c>
      <c r="J496">
        <f>_xlfn.XLOOKUP(B496,CRN!G:G,CRN!M:M,"")</f>
        <v>0</v>
      </c>
      <c r="K496">
        <f>IF(J496=0,0,_xlfn.XLOOKUP(C496,CLIENT_CODE!B:B,CLIENT_CODE!I:I,0))</f>
        <v>0</v>
      </c>
      <c r="L496">
        <f>_xlfn.XLOOKUP(B496,CRN!G:G,CRN!N:N,"")</f>
        <v>0</v>
      </c>
      <c r="M496">
        <f>IF(L496=0,0,_xlfn.XLOOKUP(C496,CLIENT_CODE!B:B,CLIENT_CODE!J:J,0))</f>
        <v>0</v>
      </c>
      <c r="N496">
        <f>_xlfn.XLOOKUP(B496,CRN!G:G,CRN!O:O,"")</f>
        <v>0</v>
      </c>
      <c r="O496">
        <f>IF(N496=0,0,_xlfn.XLOOKUP(C496,CLIENT_CODE!B:B,CLIENT_CODE!K:K,0))</f>
        <v>0</v>
      </c>
      <c r="P496">
        <f>_xlfn.XLOOKUP(B496,CRN!G:G,CRN!P:P,"")</f>
        <v>0</v>
      </c>
      <c r="Q496">
        <f>IF(P496=0,0,_xlfn.XLOOKUP(C496,CLIENT_CODE!B:B,CLIENT_CODE!L:L,0))</f>
        <v>0</v>
      </c>
      <c r="R496">
        <f>_xlfn.XLOOKUP(B496,CRN!G:G,CRN!Q:Q,"")</f>
        <v>0</v>
      </c>
      <c r="S496">
        <f>IF(R496=0,0,_xlfn.XLOOKUP(C496,CLIENT_CODE!B:B,CLIENT_CODE!M:M,0))</f>
        <v>0</v>
      </c>
      <c r="T496">
        <f>_xlfn.XLOOKUP(B496,CRN!G:G,CRN!R:R,"")</f>
        <v>0</v>
      </c>
      <c r="U496">
        <f>IF(T496=0,0,_xlfn.XLOOKUP(C496,CLIENT_CODE!B:B,CLIENT_CODE!N:N,0))</f>
        <v>0</v>
      </c>
      <c r="V496">
        <f>_xlfn.XLOOKUP(B496,CRN!G:G,CRN!S:S,"")</f>
        <v>0</v>
      </c>
      <c r="W496">
        <f>IF(V496=0,0,_xlfn.XLOOKUP(C496,CLIENT_CODE!B:B,CLIENT_CODE!O:O,0))</f>
        <v>0</v>
      </c>
      <c r="X496">
        <f>_xlfn.XLOOKUP(B496,CRN!G:G,CRN!T:T,"")</f>
        <v>0</v>
      </c>
      <c r="Y496">
        <f>IF(X496=0,0,_xlfn.XLOOKUP(C496,CLIENT_CODE!B:B,CLIENT_CODE!P:P,0))</f>
        <v>0</v>
      </c>
      <c r="Z496">
        <f>_xlfn.XLOOKUP(B496,CRN!G:G,CRN!U:U,"")</f>
        <v>0</v>
      </c>
      <c r="AA496">
        <f>IF(X496=0,0,_xlfn.XLOOKUP(C496,CLIENT_CODE!B:B,CLIENT_CODE!P:P,0))</f>
        <v>0</v>
      </c>
      <c r="AB496">
        <f>_xlfn.XLOOKUP(B496,CRN!G:G,CRN!V:V,"")</f>
        <v>0</v>
      </c>
      <c r="AC496">
        <f>IF(AB496=0,0,_xlfn.XLOOKUP(C496,CLIENT_CODE!B:B,CLIENT_CODE!R:R,0))</f>
        <v>0</v>
      </c>
      <c r="AD496">
        <f t="shared" si="7"/>
        <v>0</v>
      </c>
    </row>
    <row r="497" spans="1:30">
      <c r="A497" s="42">
        <v>496</v>
      </c>
      <c r="E497">
        <f>IF(D497=0,0,_xlfn.XLOOKUP(C497,CLIENT_CODE!B:B,CLIENT_CODE!F:F,0))</f>
        <v>0</v>
      </c>
      <c r="F497">
        <f>_xlfn.XLOOKUP(B497,CRN!G:G,CRN!K:K,"")</f>
        <v>0</v>
      </c>
      <c r="G497">
        <f>IF(F497=0,0,_xlfn.XLOOKUP(C497,CLIENT_CODE!B:B,CLIENT_CODE!G:G,0))</f>
        <v>0</v>
      </c>
      <c r="H497">
        <f>_xlfn.XLOOKUP(B497,CRN!G:G,CRN!L:L,"")</f>
        <v>0</v>
      </c>
      <c r="I497">
        <f>IF(H497=0,0,_xlfn.XLOOKUP(C497,CLIENT_CODE!B:B,CLIENT_CODE!H:H,0))</f>
        <v>0</v>
      </c>
      <c r="J497">
        <f>_xlfn.XLOOKUP(B497,CRN!G:G,CRN!M:M,"")</f>
        <v>0</v>
      </c>
      <c r="K497">
        <f>IF(J497=0,0,_xlfn.XLOOKUP(C497,CLIENT_CODE!B:B,CLIENT_CODE!I:I,0))</f>
        <v>0</v>
      </c>
      <c r="L497">
        <f>_xlfn.XLOOKUP(B497,CRN!G:G,CRN!N:N,"")</f>
        <v>0</v>
      </c>
      <c r="M497">
        <f>IF(L497=0,0,_xlfn.XLOOKUP(C497,CLIENT_CODE!B:B,CLIENT_CODE!J:J,0))</f>
        <v>0</v>
      </c>
      <c r="N497">
        <f>_xlfn.XLOOKUP(B497,CRN!G:G,CRN!O:O,"")</f>
        <v>0</v>
      </c>
      <c r="O497">
        <f>IF(N497=0,0,_xlfn.XLOOKUP(C497,CLIENT_CODE!B:B,CLIENT_CODE!K:K,0))</f>
        <v>0</v>
      </c>
      <c r="P497">
        <f>_xlfn.XLOOKUP(B497,CRN!G:G,CRN!P:P,"")</f>
        <v>0</v>
      </c>
      <c r="Q497">
        <f>IF(P497=0,0,_xlfn.XLOOKUP(C497,CLIENT_CODE!B:B,CLIENT_CODE!L:L,0))</f>
        <v>0</v>
      </c>
      <c r="R497">
        <f>_xlfn.XLOOKUP(B497,CRN!G:G,CRN!Q:Q,"")</f>
        <v>0</v>
      </c>
      <c r="S497">
        <f>IF(R497=0,0,_xlfn.XLOOKUP(C497,CLIENT_CODE!B:B,CLIENT_CODE!M:M,0))</f>
        <v>0</v>
      </c>
      <c r="T497">
        <f>_xlfn.XLOOKUP(B497,CRN!G:G,CRN!R:R,"")</f>
        <v>0</v>
      </c>
      <c r="U497">
        <f>IF(T497=0,0,_xlfn.XLOOKUP(C497,CLIENT_CODE!B:B,CLIENT_CODE!N:N,0))</f>
        <v>0</v>
      </c>
      <c r="V497">
        <f>_xlfn.XLOOKUP(B497,CRN!G:G,CRN!S:S,"")</f>
        <v>0</v>
      </c>
      <c r="W497">
        <f>IF(V497=0,0,_xlfn.XLOOKUP(C497,CLIENT_CODE!B:B,CLIENT_CODE!O:O,0))</f>
        <v>0</v>
      </c>
      <c r="X497">
        <f>_xlfn.XLOOKUP(B497,CRN!G:G,CRN!T:T,"")</f>
        <v>0</v>
      </c>
      <c r="Y497">
        <f>IF(X497=0,0,_xlfn.XLOOKUP(C497,CLIENT_CODE!B:B,CLIENT_CODE!P:P,0))</f>
        <v>0</v>
      </c>
      <c r="Z497">
        <f>_xlfn.XLOOKUP(B497,CRN!G:G,CRN!U:U,"")</f>
        <v>0</v>
      </c>
      <c r="AA497">
        <f>IF(X497=0,0,_xlfn.XLOOKUP(C497,CLIENT_CODE!B:B,CLIENT_CODE!P:P,0))</f>
        <v>0</v>
      </c>
      <c r="AB497">
        <f>_xlfn.XLOOKUP(B497,CRN!G:G,CRN!V:V,"")</f>
        <v>0</v>
      </c>
      <c r="AC497">
        <f>IF(AB497=0,0,_xlfn.XLOOKUP(C497,CLIENT_CODE!B:B,CLIENT_CODE!R:R,0))</f>
        <v>0</v>
      </c>
      <c r="AD497">
        <f t="shared" si="7"/>
        <v>0</v>
      </c>
    </row>
    <row r="498" spans="1:30">
      <c r="A498" s="42">
        <v>497</v>
      </c>
      <c r="E498">
        <f>IF(D498=0,0,_xlfn.XLOOKUP(C498,CLIENT_CODE!B:B,CLIENT_CODE!F:F,0))</f>
        <v>0</v>
      </c>
      <c r="F498">
        <f>_xlfn.XLOOKUP(B498,CRN!G:G,CRN!K:K,"")</f>
        <v>0</v>
      </c>
      <c r="G498">
        <f>IF(F498=0,0,_xlfn.XLOOKUP(C498,CLIENT_CODE!B:B,CLIENT_CODE!G:G,0))</f>
        <v>0</v>
      </c>
      <c r="H498">
        <f>_xlfn.XLOOKUP(B498,CRN!G:G,CRN!L:L,"")</f>
        <v>0</v>
      </c>
      <c r="I498">
        <f>IF(H498=0,0,_xlfn.XLOOKUP(C498,CLIENT_CODE!B:B,CLIENT_CODE!H:H,0))</f>
        <v>0</v>
      </c>
      <c r="J498">
        <f>_xlfn.XLOOKUP(B498,CRN!G:G,CRN!M:M,"")</f>
        <v>0</v>
      </c>
      <c r="K498">
        <f>IF(J498=0,0,_xlfn.XLOOKUP(C498,CLIENT_CODE!B:B,CLIENT_CODE!I:I,0))</f>
        <v>0</v>
      </c>
      <c r="L498">
        <f>_xlfn.XLOOKUP(B498,CRN!G:G,CRN!N:N,"")</f>
        <v>0</v>
      </c>
      <c r="M498">
        <f>IF(L498=0,0,_xlfn.XLOOKUP(C498,CLIENT_CODE!B:B,CLIENT_CODE!J:J,0))</f>
        <v>0</v>
      </c>
      <c r="N498">
        <f>_xlfn.XLOOKUP(B498,CRN!G:G,CRN!O:O,"")</f>
        <v>0</v>
      </c>
      <c r="O498">
        <f>IF(N498=0,0,_xlfn.XLOOKUP(C498,CLIENT_CODE!B:B,CLIENT_CODE!K:K,0))</f>
        <v>0</v>
      </c>
      <c r="P498">
        <f>_xlfn.XLOOKUP(B498,CRN!G:G,CRN!P:P,"")</f>
        <v>0</v>
      </c>
      <c r="Q498">
        <f>IF(P498=0,0,_xlfn.XLOOKUP(C498,CLIENT_CODE!B:B,CLIENT_CODE!L:L,0))</f>
        <v>0</v>
      </c>
      <c r="R498">
        <f>_xlfn.XLOOKUP(B498,CRN!G:G,CRN!Q:Q,"")</f>
        <v>0</v>
      </c>
      <c r="S498">
        <f>IF(R498=0,0,_xlfn.XLOOKUP(C498,CLIENT_CODE!B:B,CLIENT_CODE!M:M,0))</f>
        <v>0</v>
      </c>
      <c r="T498">
        <f>_xlfn.XLOOKUP(B498,CRN!G:G,CRN!R:R,"")</f>
        <v>0</v>
      </c>
      <c r="U498">
        <f>IF(T498=0,0,_xlfn.XLOOKUP(C498,CLIENT_CODE!B:B,CLIENT_CODE!N:N,0))</f>
        <v>0</v>
      </c>
      <c r="V498">
        <f>_xlfn.XLOOKUP(B498,CRN!G:G,CRN!S:S,"")</f>
        <v>0</v>
      </c>
      <c r="W498">
        <f>IF(V498=0,0,_xlfn.XLOOKUP(C498,CLIENT_CODE!B:B,CLIENT_CODE!O:O,0))</f>
        <v>0</v>
      </c>
      <c r="X498">
        <f>_xlfn.XLOOKUP(B498,CRN!G:G,CRN!T:T,"")</f>
        <v>0</v>
      </c>
      <c r="Y498">
        <f>IF(X498=0,0,_xlfn.XLOOKUP(C498,CLIENT_CODE!B:B,CLIENT_CODE!P:P,0))</f>
        <v>0</v>
      </c>
      <c r="Z498">
        <f>_xlfn.XLOOKUP(B498,CRN!G:G,CRN!U:U,"")</f>
        <v>0</v>
      </c>
      <c r="AA498">
        <f>IF(X498=0,0,_xlfn.XLOOKUP(C498,CLIENT_CODE!B:B,CLIENT_CODE!P:P,0))</f>
        <v>0</v>
      </c>
      <c r="AB498">
        <f>_xlfn.XLOOKUP(B498,CRN!G:G,CRN!V:V,"")</f>
        <v>0</v>
      </c>
      <c r="AC498">
        <f>IF(AB498=0,0,_xlfn.XLOOKUP(C498,CLIENT_CODE!B:B,CLIENT_CODE!R:R,0))</f>
        <v>0</v>
      </c>
      <c r="AD498">
        <f t="shared" si="7"/>
        <v>0</v>
      </c>
    </row>
    <row r="499" spans="1:30">
      <c r="A499" s="42">
        <v>498</v>
      </c>
      <c r="E499">
        <f>IF(D499=0,0,_xlfn.XLOOKUP(C499,CLIENT_CODE!B:B,CLIENT_CODE!F:F,0))</f>
        <v>0</v>
      </c>
      <c r="F499">
        <f>_xlfn.XLOOKUP(B499,CRN!G:G,CRN!K:K,"")</f>
        <v>0</v>
      </c>
      <c r="G499">
        <f>IF(F499=0,0,_xlfn.XLOOKUP(C499,CLIENT_CODE!B:B,CLIENT_CODE!G:G,0))</f>
        <v>0</v>
      </c>
      <c r="H499">
        <f>_xlfn.XLOOKUP(B499,CRN!G:G,CRN!L:L,"")</f>
        <v>0</v>
      </c>
      <c r="I499">
        <f>IF(H499=0,0,_xlfn.XLOOKUP(C499,CLIENT_CODE!B:B,CLIENT_CODE!H:H,0))</f>
        <v>0</v>
      </c>
      <c r="J499">
        <f>_xlfn.XLOOKUP(B499,CRN!G:G,CRN!M:M,"")</f>
        <v>0</v>
      </c>
      <c r="K499">
        <f>IF(J499=0,0,_xlfn.XLOOKUP(C499,CLIENT_CODE!B:B,CLIENT_CODE!I:I,0))</f>
        <v>0</v>
      </c>
      <c r="L499">
        <f>_xlfn.XLOOKUP(B499,CRN!G:G,CRN!N:N,"")</f>
        <v>0</v>
      </c>
      <c r="M499">
        <f>IF(L499=0,0,_xlfn.XLOOKUP(C499,CLIENT_CODE!B:B,CLIENT_CODE!J:J,0))</f>
        <v>0</v>
      </c>
      <c r="N499">
        <f>_xlfn.XLOOKUP(B499,CRN!G:G,CRN!O:O,"")</f>
        <v>0</v>
      </c>
      <c r="O499">
        <f>IF(N499=0,0,_xlfn.XLOOKUP(C499,CLIENT_CODE!B:B,CLIENT_CODE!K:K,0))</f>
        <v>0</v>
      </c>
      <c r="P499">
        <f>_xlfn.XLOOKUP(B499,CRN!G:G,CRN!P:P,"")</f>
        <v>0</v>
      </c>
      <c r="Q499">
        <f>IF(P499=0,0,_xlfn.XLOOKUP(C499,CLIENT_CODE!B:B,CLIENT_CODE!L:L,0))</f>
        <v>0</v>
      </c>
      <c r="R499">
        <f>_xlfn.XLOOKUP(B499,CRN!G:G,CRN!Q:Q,"")</f>
        <v>0</v>
      </c>
      <c r="S499">
        <f>IF(R499=0,0,_xlfn.XLOOKUP(C499,CLIENT_CODE!B:B,CLIENT_CODE!M:M,0))</f>
        <v>0</v>
      </c>
      <c r="T499">
        <f>_xlfn.XLOOKUP(B499,CRN!G:G,CRN!R:R,"")</f>
        <v>0</v>
      </c>
      <c r="U499">
        <f>IF(T499=0,0,_xlfn.XLOOKUP(C499,CLIENT_CODE!B:B,CLIENT_CODE!N:N,0))</f>
        <v>0</v>
      </c>
      <c r="V499">
        <f>_xlfn.XLOOKUP(B499,CRN!G:G,CRN!S:S,"")</f>
        <v>0</v>
      </c>
      <c r="W499">
        <f>IF(V499=0,0,_xlfn.XLOOKUP(C499,CLIENT_CODE!B:B,CLIENT_CODE!O:O,0))</f>
        <v>0</v>
      </c>
      <c r="X499">
        <f>_xlfn.XLOOKUP(B499,CRN!G:G,CRN!T:T,"")</f>
        <v>0</v>
      </c>
      <c r="Y499">
        <f>IF(X499=0,0,_xlfn.XLOOKUP(C499,CLIENT_CODE!B:B,CLIENT_CODE!P:P,0))</f>
        <v>0</v>
      </c>
      <c r="Z499">
        <f>_xlfn.XLOOKUP(B499,CRN!G:G,CRN!U:U,"")</f>
        <v>0</v>
      </c>
      <c r="AA499">
        <f>IF(X499=0,0,_xlfn.XLOOKUP(C499,CLIENT_CODE!B:B,CLIENT_CODE!P:P,0))</f>
        <v>0</v>
      </c>
      <c r="AB499">
        <f>_xlfn.XLOOKUP(B499,CRN!G:G,CRN!V:V,"")</f>
        <v>0</v>
      </c>
      <c r="AC499">
        <f>IF(AB499=0,0,_xlfn.XLOOKUP(C499,CLIENT_CODE!B:B,CLIENT_CODE!R:R,0))</f>
        <v>0</v>
      </c>
      <c r="AD499">
        <f t="shared" si="7"/>
        <v>0</v>
      </c>
    </row>
    <row r="500" spans="1:30">
      <c r="A500" s="42">
        <v>499</v>
      </c>
      <c r="E500">
        <f>IF(D500=0,0,_xlfn.XLOOKUP(C500,CLIENT_CODE!B:B,CLIENT_CODE!F:F,0))</f>
        <v>0</v>
      </c>
      <c r="F500">
        <f>_xlfn.XLOOKUP(B500,CRN!G:G,CRN!K:K,"")</f>
        <v>0</v>
      </c>
      <c r="G500">
        <f>IF(F500=0,0,_xlfn.XLOOKUP(C500,CLIENT_CODE!B:B,CLIENT_CODE!G:G,0))</f>
        <v>0</v>
      </c>
      <c r="H500">
        <f>_xlfn.XLOOKUP(B500,CRN!G:G,CRN!L:L,"")</f>
        <v>0</v>
      </c>
      <c r="I500">
        <f>IF(H500=0,0,_xlfn.XLOOKUP(C500,CLIENT_CODE!B:B,CLIENT_CODE!H:H,0))</f>
        <v>0</v>
      </c>
      <c r="J500">
        <f>_xlfn.XLOOKUP(B500,CRN!G:G,CRN!M:M,"")</f>
        <v>0</v>
      </c>
      <c r="K500">
        <f>IF(J500=0,0,_xlfn.XLOOKUP(C500,CLIENT_CODE!B:B,CLIENT_CODE!I:I,0))</f>
        <v>0</v>
      </c>
      <c r="L500">
        <f>_xlfn.XLOOKUP(B500,CRN!G:G,CRN!N:N,"")</f>
        <v>0</v>
      </c>
      <c r="M500">
        <f>IF(L500=0,0,_xlfn.XLOOKUP(C500,CLIENT_CODE!B:B,CLIENT_CODE!J:J,0))</f>
        <v>0</v>
      </c>
      <c r="N500">
        <f>_xlfn.XLOOKUP(B500,CRN!G:G,CRN!O:O,"")</f>
        <v>0</v>
      </c>
      <c r="O500">
        <f>IF(N500=0,0,_xlfn.XLOOKUP(C500,CLIENT_CODE!B:B,CLIENT_CODE!K:K,0))</f>
        <v>0</v>
      </c>
      <c r="P500">
        <f>_xlfn.XLOOKUP(B500,CRN!G:G,CRN!P:P,"")</f>
        <v>0</v>
      </c>
      <c r="Q500">
        <f>IF(P500=0,0,_xlfn.XLOOKUP(C500,CLIENT_CODE!B:B,CLIENT_CODE!L:L,0))</f>
        <v>0</v>
      </c>
      <c r="R500">
        <f>_xlfn.XLOOKUP(B500,CRN!G:G,CRN!Q:Q,"")</f>
        <v>0</v>
      </c>
      <c r="S500">
        <f>IF(R500=0,0,_xlfn.XLOOKUP(C500,CLIENT_CODE!B:B,CLIENT_CODE!M:M,0))</f>
        <v>0</v>
      </c>
      <c r="T500">
        <f>_xlfn.XLOOKUP(B500,CRN!G:G,CRN!R:R,"")</f>
        <v>0</v>
      </c>
      <c r="U500">
        <f>IF(T500=0,0,_xlfn.XLOOKUP(C500,CLIENT_CODE!B:B,CLIENT_CODE!N:N,0))</f>
        <v>0</v>
      </c>
      <c r="V500">
        <f>_xlfn.XLOOKUP(B500,CRN!G:G,CRN!S:S,"")</f>
        <v>0</v>
      </c>
      <c r="W500">
        <f>IF(V500=0,0,_xlfn.XLOOKUP(C500,CLIENT_CODE!B:B,CLIENT_CODE!O:O,0))</f>
        <v>0</v>
      </c>
      <c r="X500">
        <f>_xlfn.XLOOKUP(B500,CRN!G:G,CRN!T:T,"")</f>
        <v>0</v>
      </c>
      <c r="Y500">
        <f>IF(X500=0,0,_xlfn.XLOOKUP(C500,CLIENT_CODE!B:B,CLIENT_CODE!P:P,0))</f>
        <v>0</v>
      </c>
      <c r="Z500">
        <f>_xlfn.XLOOKUP(B500,CRN!G:G,CRN!U:U,"")</f>
        <v>0</v>
      </c>
      <c r="AA500">
        <f>IF(X500=0,0,_xlfn.XLOOKUP(C500,CLIENT_CODE!B:B,CLIENT_CODE!P:P,0))</f>
        <v>0</v>
      </c>
      <c r="AB500">
        <f>_xlfn.XLOOKUP(B500,CRN!G:G,CRN!V:V,"")</f>
        <v>0</v>
      </c>
      <c r="AC500">
        <f>IF(AB500=0,0,_xlfn.XLOOKUP(C500,CLIENT_CODE!B:B,CLIENT_CODE!R:R,0))</f>
        <v>0</v>
      </c>
      <c r="AD500">
        <f t="shared" si="7"/>
        <v>0</v>
      </c>
    </row>
  </sheetData>
  <protectedRanges>
    <protectedRange sqref="D1:I1 K1:AC1" name="Range1_1"/>
  </protectedRange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000E-90D9-4B2F-9733-B3E020A00496}">
  <sheetPr codeName="Sheet4"/>
  <dimension ref="B1:W501"/>
  <sheetViews>
    <sheetView workbookViewId="0">
      <pane xSplit="2" ySplit="2" topLeftCell="G163" activePane="bottomRight" state="frozen"/>
      <selection pane="topRight"/>
      <selection pane="bottomLeft"/>
      <selection pane="bottomRight" activeCell="R171" sqref="R171"/>
    </sheetView>
  </sheetViews>
  <sheetFormatPr defaultRowHeight="15" customHeight="1"/>
  <cols>
    <col min="2" max="2" width="21.453125" style="42" customWidth="1"/>
    <col min="3" max="3" width="49.1796875" hidden="1" customWidth="1"/>
    <col min="4" max="4" width="19.7265625" hidden="1" customWidth="1"/>
    <col min="5" max="5" width="8.1796875" customWidth="1"/>
    <col min="6" max="6" width="18.26953125" customWidth="1"/>
    <col min="7" max="8" width="10.453125" customWidth="1"/>
    <col min="9" max="9" width="9.1796875" customWidth="1"/>
    <col min="10" max="10" width="10.1796875" bestFit="1" customWidth="1"/>
    <col min="11" max="16" width="9.1796875" customWidth="1"/>
    <col min="17" max="17" width="11.7265625" customWidth="1"/>
    <col min="18" max="19" width="9.453125" customWidth="1"/>
    <col min="20" max="20" width="12.54296875" style="42" customWidth="1"/>
    <col min="21" max="22" width="9.1796875" customWidth="1"/>
    <col min="23" max="23" width="13.7265625" customWidth="1"/>
  </cols>
  <sheetData>
    <row r="1" spans="2:23" ht="14.5"/>
    <row r="2" spans="2:23" ht="14.5">
      <c r="B2" s="204" t="str" cm="1">
        <f t="array" aca="1" ref="B2:E227" ca="1">_xlfn._xlws.FILTER(_xlfn.CHOOSECOLS(MIS_Backend_Data!B:AC,1,2,4,10), MIS_Backend_Data!E:E&lt;&gt;"")</f>
        <v>CLAIM NUMBER</v>
      </c>
      <c r="C2" s="15" t="str">
        <f ca="1"/>
        <v>CLIENT NAME</v>
      </c>
      <c r="D2" s="15" t="str">
        <f ca="1"/>
        <v>CRN</v>
      </c>
      <c r="E2" s="18" t="str">
        <f ca="1"/>
        <v>TAT</v>
      </c>
      <c r="F2" s="18" t="s">
        <v>649</v>
      </c>
      <c r="G2" s="16" t="s">
        <v>634</v>
      </c>
      <c r="H2" s="16" t="s">
        <v>636</v>
      </c>
      <c r="I2" s="16" t="s">
        <v>631</v>
      </c>
      <c r="J2" s="25" t="s">
        <v>650</v>
      </c>
      <c r="K2" s="16" t="s">
        <v>638</v>
      </c>
      <c r="L2" s="16" t="s">
        <v>14</v>
      </c>
      <c r="M2" s="16" t="s">
        <v>15</v>
      </c>
      <c r="N2" s="16" t="s">
        <v>651</v>
      </c>
      <c r="O2" s="16" t="s">
        <v>652</v>
      </c>
      <c r="P2" s="16" t="s">
        <v>653</v>
      </c>
      <c r="Q2" s="16" t="s">
        <v>654</v>
      </c>
      <c r="R2" s="16" t="s">
        <v>21</v>
      </c>
      <c r="S2" s="16" t="s">
        <v>20</v>
      </c>
      <c r="T2" s="300" t="s">
        <v>655</v>
      </c>
      <c r="U2" s="16" t="s">
        <v>656</v>
      </c>
      <c r="V2" s="16" t="s">
        <v>657</v>
      </c>
      <c r="W2" s="16" t="s">
        <v>658</v>
      </c>
    </row>
    <row r="3" spans="2:23" ht="16.5" customHeight="1">
      <c r="B3" s="205" t="str">
        <f ca="1"/>
        <v>C2264103101203-00</v>
      </c>
      <c r="C3" s="17" t="str">
        <f ca="1"/>
        <v>Magma HDI General Insurance Company Ltd</v>
      </c>
      <c r="D3" s="17" t="str">
        <f ca="1"/>
        <v>M002-1001-SS-2025</v>
      </c>
      <c r="E3" s="19">
        <f ca="1"/>
        <v>152</v>
      </c>
      <c r="F3" s="19" t="str">
        <f>IF(MIS_Backend_Data!O2="", "", MIS_Backend_Data!O2)</f>
        <v>Completed</v>
      </c>
      <c r="G3" t="str">
        <f>IF(MIS_Backend_Data!T2="", "", MIS_Backend_Data!T2)</f>
        <v>Completed</v>
      </c>
      <c r="H3" t="str">
        <f>IF(MIS_Backend_Data!X2="", "", MIS_Backend_Data!X2)</f>
        <v>NA</v>
      </c>
      <c r="I3" t="str">
        <f>IF(MIS_Backend_Data!AC2="", "", MIS_Backend_Data!AC2)</f>
        <v>Completed</v>
      </c>
      <c r="J3" t="str">
        <f>IF(MIS_Backend_Data!AB2="", "", MIS_Backend_Data!AB2)</f>
        <v>NA</v>
      </c>
      <c r="K3" t="str">
        <f>IF(MIS_Backend_Data!AG2="", "", MIS_Backend_Data!AG2)</f>
        <v>NA</v>
      </c>
      <c r="L3" s="20" t="str">
        <f>IF(MIS_Backend_Data!AI2="", "", MIS_Backend_Data!AI2)</f>
        <v>NA</v>
      </c>
      <c r="M3" t="str">
        <f>IF(MIS_Backend_Data!AK2="", "", MIS_Backend_Data!AK2)</f>
        <v>NA</v>
      </c>
      <c r="N3" t="str">
        <f>IF(MIS_Backend_Data!AM2="", "", MIS_Backend_Data!AM2)</f>
        <v>NA</v>
      </c>
      <c r="O3" t="str">
        <f>IF(MIS_Backend_Data!AO2="", "", MIS_Backend_Data!AO2)</f>
        <v>NA</v>
      </c>
      <c r="P3" t="str">
        <f>IF(MIS_Backend_Data!AS2="", "", MIS_Backend_Data!AS2)</f>
        <v>Completed</v>
      </c>
      <c r="Q3" t="str">
        <f>IF(MIS_Backend_Data!AX2="", "", MIS_Backend_Data!AX2)</f>
        <v>Completed</v>
      </c>
      <c r="R3" t="str">
        <f>IF(MIS_Backend_Data!BB2="", "", MIS_Backend_Data!BB2)</f>
        <v>NA</v>
      </c>
      <c r="S3" t="str">
        <f>IF(MIS_Backend_Data!AW2="", "", MIS_Backend_Data!AW2)</f>
        <v>NA</v>
      </c>
      <c r="T3" s="42" t="str">
        <f>IF(MIS_Backend_Data!N2="Dispatch","Completed","NA")</f>
        <v>Completed</v>
      </c>
      <c r="U3" t="str">
        <f>IF(F3="WIP", IF(COUNTIF(G3:R3, "WIP")=2, 2, ""), "")</f>
        <v/>
      </c>
      <c r="V3" t="str">
        <f>IF(F3="WIP", IF(COUNTIF(G3:R3, "WIP")=1, 1, ""), "")</f>
        <v/>
      </c>
      <c r="W3" s="20" t="str">
        <f>IF(OR(F3="WIP",F3="Pending for CS"),
    IF(COUNTIFS(G3:R3,"&lt;&gt;Completed",G3:R3,"&lt;&gt;NA")=0,"GTG",""),
"")</f>
        <v/>
      </c>
    </row>
    <row r="4" spans="2:23" ht="14.5">
      <c r="B4" s="205" t="str">
        <f ca="1"/>
        <v>C2264191100006-00</v>
      </c>
      <c r="C4" s="17" t="str">
        <f ca="1"/>
        <v>Magma HDI General Insurance Company Ltd</v>
      </c>
      <c r="D4" s="17" t="str">
        <f ca="1"/>
        <v>M002-1002-SS-2025</v>
      </c>
      <c r="E4" s="19">
        <f ca="1"/>
        <v>154</v>
      </c>
      <c r="F4" s="19" t="str">
        <f>IF(MIS_Backend_Data!O3="", "", MIS_Backend_Data!O3)</f>
        <v>WIP</v>
      </c>
      <c r="G4" t="str">
        <f>IF(MIS_Backend_Data!T3="", "", MIS_Backend_Data!T3)</f>
        <v>WIP</v>
      </c>
      <c r="H4" t="str">
        <f>IF(MIS_Backend_Data!X3="", "", MIS_Backend_Data!X3)</f>
        <v>NA</v>
      </c>
      <c r="I4" t="str">
        <f>IF(MIS_Backend_Data!AC3="", "", MIS_Backend_Data!AC3)</f>
        <v>WIP</v>
      </c>
      <c r="J4" t="str">
        <f>IF(MIS_Backend_Data!AB3="", "", MIS_Backend_Data!AB3)</f>
        <v>NA</v>
      </c>
      <c r="K4" t="str">
        <f>IF(MIS_Backend_Data!AG3="", "", MIS_Backend_Data!AG3)</f>
        <v>NA</v>
      </c>
      <c r="L4" s="20" t="str">
        <f>IF(MIS_Backend_Data!AI3="", "", MIS_Backend_Data!AI3)</f>
        <v>NA</v>
      </c>
      <c r="M4" t="str">
        <f>IF(MIS_Backend_Data!AK3="", "", MIS_Backend_Data!AK3)</f>
        <v>NA</v>
      </c>
      <c r="N4" t="str">
        <f>IF(MIS_Backend_Data!AM3="", "", MIS_Backend_Data!AM3)</f>
        <v>NA</v>
      </c>
      <c r="O4" t="str">
        <f>IF(MIS_Backend_Data!AO3="", "", MIS_Backend_Data!AO3)</f>
        <v>NA</v>
      </c>
      <c r="P4" t="str">
        <f>IF(MIS_Backend_Data!AS3="", "", MIS_Backend_Data!AS3)</f>
        <v>WIP</v>
      </c>
      <c r="Q4" t="str">
        <f>IF(MIS_Backend_Data!AX3="", "", MIS_Backend_Data!AX3)</f>
        <v>Completed</v>
      </c>
      <c r="R4" t="str">
        <f>IF(MIS_Backend_Data!BB3="", "", MIS_Backend_Data!BB3)</f>
        <v>NA</v>
      </c>
      <c r="S4" t="str">
        <f>IF(MIS_Backend_Data!AW3="", "", MIS_Backend_Data!AW3)</f>
        <v>NA</v>
      </c>
      <c r="T4" s="42" t="str">
        <f>IF(MIS_Backend_Data!N3="Dispatch","Completed","NA")</f>
        <v>NA</v>
      </c>
      <c r="U4" t="str">
        <f t="shared" ref="U4:U67" si="0">IF(F4="WIP", IF(COUNTIF(G4:R4, "WIP")=2, 2, ""), "")</f>
        <v/>
      </c>
      <c r="V4" t="str">
        <f t="shared" ref="V4:V67" si="1">IF(F4="WIP", IF(COUNTIF(G4:R4, "WIP")=1, 1, ""), "")</f>
        <v/>
      </c>
      <c r="W4" s="20" t="str">
        <f t="shared" ref="W4:W67" si="2">IF(OR(F4="WIP",F4="Pending for CS"),
    IF(COUNTIFS(G4:R4,"&lt;&gt;Completed",G4:R4,"&lt;&gt;NA")=0,"GTG",""),
"")</f>
        <v/>
      </c>
    </row>
    <row r="5" spans="2:23" ht="14.5">
      <c r="B5" s="205" t="str">
        <f ca="1"/>
        <v>C2264103101217-04</v>
      </c>
      <c r="C5" s="17" t="str">
        <f ca="1"/>
        <v>Magma HDI General Insurance Company Ltd</v>
      </c>
      <c r="D5" s="17" t="str">
        <f ca="1"/>
        <v>M002-1003-SS-2025</v>
      </c>
      <c r="E5" s="19">
        <f ca="1"/>
        <v>138</v>
      </c>
      <c r="F5" s="19" t="str">
        <f>IF(MIS_Backend_Data!O4="", "", MIS_Backend_Data!O4)</f>
        <v>Completed</v>
      </c>
      <c r="G5" t="str">
        <f>IF(MIS_Backend_Data!T4="", "", MIS_Backend_Data!T4)</f>
        <v>Completed</v>
      </c>
      <c r="H5" t="str">
        <f>IF(MIS_Backend_Data!X4="", "", MIS_Backend_Data!X4)</f>
        <v>NA</v>
      </c>
      <c r="I5" t="str">
        <f>IF(MIS_Backend_Data!AC4="", "", MIS_Backend_Data!AC4)</f>
        <v>Completed</v>
      </c>
      <c r="J5" t="str">
        <f>IF(MIS_Backend_Data!AB4="", "", MIS_Backend_Data!AB4)</f>
        <v>NA</v>
      </c>
      <c r="K5" t="str">
        <f>IF(MIS_Backend_Data!AG4="", "", MIS_Backend_Data!AG4)</f>
        <v>Completed</v>
      </c>
      <c r="L5" s="20" t="str">
        <f>IF(MIS_Backend_Data!AI4="", "", MIS_Backend_Data!AI4)</f>
        <v>NA</v>
      </c>
      <c r="M5" t="str">
        <f>IF(MIS_Backend_Data!AK4="", "", MIS_Backend_Data!AK4)</f>
        <v>NA</v>
      </c>
      <c r="N5" t="str">
        <f>IF(MIS_Backend_Data!AM4="", "", MIS_Backend_Data!AM4)</f>
        <v>NA</v>
      </c>
      <c r="O5" t="str">
        <f>IF(MIS_Backend_Data!AO4="", "", MIS_Backend_Data!AO4)</f>
        <v>NA</v>
      </c>
      <c r="P5" t="str">
        <f>IF(MIS_Backend_Data!AS4="", "", MIS_Backend_Data!AS4)</f>
        <v>Completed</v>
      </c>
      <c r="Q5" t="str">
        <f>IF(MIS_Backend_Data!AX4="", "", MIS_Backend_Data!AX4)</f>
        <v>Completed</v>
      </c>
      <c r="R5" t="str">
        <f>IF(MIS_Backend_Data!BB4="", "", MIS_Backend_Data!BB4)</f>
        <v>NA</v>
      </c>
      <c r="S5" t="str">
        <f>IF(MIS_Backend_Data!AW4="", "", MIS_Backend_Data!AW4)</f>
        <v>NA</v>
      </c>
      <c r="T5" s="42" t="str">
        <f>IF(MIS_Backend_Data!N4="Dispatch","Completed","NA")</f>
        <v>Completed</v>
      </c>
      <c r="U5" t="str">
        <f t="shared" si="0"/>
        <v/>
      </c>
      <c r="V5" t="str">
        <f t="shared" si="1"/>
        <v/>
      </c>
      <c r="W5" s="20" t="str">
        <f t="shared" si="2"/>
        <v/>
      </c>
    </row>
    <row r="6" spans="2:23" ht="14.5">
      <c r="B6" s="205" t="str">
        <f ca="1"/>
        <v xml:space="preserve">MTP-N-2526-002724 </v>
      </c>
      <c r="C6" s="17" t="str">
        <f ca="1"/>
        <v>Generali Central Insurance Company Limited</v>
      </c>
      <c r="D6" s="17" t="str">
        <f ca="1"/>
        <v>F001-1004-SS-2025</v>
      </c>
      <c r="E6" s="19">
        <f ca="1"/>
        <v>28</v>
      </c>
      <c r="F6" s="19" t="str">
        <f>IF(MIS_Backend_Data!O5="", "", MIS_Backend_Data!O5)</f>
        <v>Completed</v>
      </c>
      <c r="G6" t="str">
        <f>IF(MIS_Backend_Data!T5="", "", MIS_Backend_Data!T5)</f>
        <v>Completed</v>
      </c>
      <c r="H6" t="str">
        <f>IF(MIS_Backend_Data!X5="", "", MIS_Backend_Data!X5)</f>
        <v>NA</v>
      </c>
      <c r="I6" t="str">
        <f>IF(MIS_Backend_Data!AC5="", "", MIS_Backend_Data!AC5)</f>
        <v>Completed</v>
      </c>
      <c r="J6" t="str">
        <f>IF(MIS_Backend_Data!AB5="", "", MIS_Backend_Data!AB5)</f>
        <v>NA</v>
      </c>
      <c r="K6" t="str">
        <f>IF(MIS_Backend_Data!AG5="", "", MIS_Backend_Data!AG5)</f>
        <v>Completed</v>
      </c>
      <c r="L6" s="20" t="str">
        <f>IF(MIS_Backend_Data!AI5="", "", MIS_Backend_Data!AI5)</f>
        <v>WIP</v>
      </c>
      <c r="M6" t="str">
        <f>IF(MIS_Backend_Data!AK5="", "", MIS_Backend_Data!AK5)</f>
        <v>WIP</v>
      </c>
      <c r="N6" t="str">
        <f>IF(MIS_Backend_Data!AM5="", "", MIS_Backend_Data!AM5)</f>
        <v>NA</v>
      </c>
      <c r="O6" t="str">
        <f>IF(MIS_Backend_Data!AO5="", "", MIS_Backend_Data!AO5)</f>
        <v>NA</v>
      </c>
      <c r="P6" t="str">
        <f>IF(MIS_Backend_Data!AS5="", "", MIS_Backend_Data!AS5)</f>
        <v>Completed</v>
      </c>
      <c r="Q6" t="str">
        <f>IF(MIS_Backend_Data!AX5="", "", MIS_Backend_Data!AX5)</f>
        <v>NA</v>
      </c>
      <c r="R6" t="str">
        <f>IF(MIS_Backend_Data!BB5="", "", MIS_Backend_Data!BB5)</f>
        <v>Completed</v>
      </c>
      <c r="S6" t="str">
        <f>IF(MIS_Backend_Data!AW5="", "", MIS_Backend_Data!AW5)</f>
        <v>NA</v>
      </c>
      <c r="T6" s="42" t="str">
        <f>IF(MIS_Backend_Data!N5="Dispatch","Completed","NA")</f>
        <v>Completed</v>
      </c>
      <c r="U6" t="str">
        <f t="shared" si="0"/>
        <v/>
      </c>
      <c r="V6" t="str">
        <f t="shared" si="1"/>
        <v/>
      </c>
      <c r="W6" s="20" t="str">
        <f t="shared" si="2"/>
        <v/>
      </c>
    </row>
    <row r="7" spans="2:23" ht="14.5">
      <c r="B7" s="205" t="str">
        <f ca="1"/>
        <v>MTP-N-2526-002725</v>
      </c>
      <c r="C7" s="17" t="str">
        <f ca="1"/>
        <v>Generali Central Insurance Company Limited</v>
      </c>
      <c r="D7" s="17" t="str">
        <f ca="1"/>
        <v>F001-1005-SS-2025</v>
      </c>
      <c r="E7" s="19">
        <f ca="1"/>
        <v>28</v>
      </c>
      <c r="F7" s="19" t="str">
        <f>IF(MIS_Backend_Data!O6="", "", MIS_Backend_Data!O6)</f>
        <v>Completed</v>
      </c>
      <c r="G7" t="str">
        <f>IF(MIS_Backend_Data!T6="", "", MIS_Backend_Data!T6)</f>
        <v>Completed</v>
      </c>
      <c r="H7" t="str">
        <f>IF(MIS_Backend_Data!X6="", "", MIS_Backend_Data!X6)</f>
        <v>NA</v>
      </c>
      <c r="I7" t="str">
        <f>IF(MIS_Backend_Data!AC6="", "", MIS_Backend_Data!AC6)</f>
        <v>NA</v>
      </c>
      <c r="J7" t="str">
        <f>IF(MIS_Backend_Data!AB6="", "", MIS_Backend_Data!AB6)</f>
        <v>NA</v>
      </c>
      <c r="K7" t="str">
        <f>IF(MIS_Backend_Data!AG6="", "", MIS_Backend_Data!AG6)</f>
        <v>NA</v>
      </c>
      <c r="L7" s="20" t="str">
        <f>IF(MIS_Backend_Data!AI6="", "", MIS_Backend_Data!AI6)</f>
        <v>NA</v>
      </c>
      <c r="M7" t="str">
        <f>IF(MIS_Backend_Data!AK6="", "", MIS_Backend_Data!AK6)</f>
        <v>NA</v>
      </c>
      <c r="N7" t="str">
        <f>IF(MIS_Backend_Data!AM6="", "", MIS_Backend_Data!AM6)</f>
        <v>NA</v>
      </c>
      <c r="O7" t="str">
        <f>IF(MIS_Backend_Data!AO6="", "", MIS_Backend_Data!AO6)</f>
        <v>NA</v>
      </c>
      <c r="P7" t="str">
        <f>IF(MIS_Backend_Data!AS6="", "", MIS_Backend_Data!AS6)</f>
        <v>STOP</v>
      </c>
      <c r="Q7" t="str">
        <f>IF(MIS_Backend_Data!AX6="", "", MIS_Backend_Data!AX6)</f>
        <v>NA</v>
      </c>
      <c r="R7" t="str">
        <f>IF(MIS_Backend_Data!BB6="", "", MIS_Backend_Data!BB6)</f>
        <v>NA</v>
      </c>
      <c r="S7" t="str">
        <f>IF(MIS_Backend_Data!AW6="", "", MIS_Backend_Data!AW6)</f>
        <v/>
      </c>
      <c r="T7" s="42" t="str">
        <f>IF(MIS_Backend_Data!N6="Dispatch","Completed","NA")</f>
        <v>Completed</v>
      </c>
      <c r="U7" t="str">
        <f t="shared" si="0"/>
        <v/>
      </c>
      <c r="V7" t="str">
        <f t="shared" si="1"/>
        <v/>
      </c>
      <c r="W7" s="20" t="str">
        <f t="shared" si="2"/>
        <v/>
      </c>
    </row>
    <row r="8" spans="2:23" ht="14.5">
      <c r="B8" s="205" t="str">
        <f ca="1"/>
        <v>MTP-N-2526-002726</v>
      </c>
      <c r="C8" s="17" t="str">
        <f ca="1"/>
        <v>Generali Central Insurance Company Limited</v>
      </c>
      <c r="D8" s="17" t="str">
        <f ca="1"/>
        <v>F001-1006-SS-2025</v>
      </c>
      <c r="E8" s="19">
        <f ca="1"/>
        <v>28</v>
      </c>
      <c r="F8" s="19" t="str">
        <f>IF(MIS_Backend_Data!O7="", "", MIS_Backend_Data!O7)</f>
        <v>Completed</v>
      </c>
      <c r="G8" t="str">
        <f>IF(MIS_Backend_Data!T7="", "", MIS_Backend_Data!T7)</f>
        <v>Completed</v>
      </c>
      <c r="H8" t="str">
        <f>IF(MIS_Backend_Data!X7="", "", MIS_Backend_Data!X7)</f>
        <v>NA</v>
      </c>
      <c r="I8" t="str">
        <f>IF(MIS_Backend_Data!AC7="", "", MIS_Backend_Data!AC7)</f>
        <v>Completed</v>
      </c>
      <c r="J8" t="str">
        <f>IF(MIS_Backend_Data!AB7="", "", MIS_Backend_Data!AB7)</f>
        <v>NA</v>
      </c>
      <c r="K8" t="str">
        <f>IF(MIS_Backend_Data!AG7="", "", MIS_Backend_Data!AG7)</f>
        <v>NA</v>
      </c>
      <c r="L8" s="20" t="str">
        <f>IF(MIS_Backend_Data!AI7="", "", MIS_Backend_Data!AI7)</f>
        <v>NA</v>
      </c>
      <c r="M8" t="str">
        <f>IF(MIS_Backend_Data!AK7="", "", MIS_Backend_Data!AK7)</f>
        <v>NA</v>
      </c>
      <c r="N8" t="str">
        <f>IF(MIS_Backend_Data!AM7="", "", MIS_Backend_Data!AM7)</f>
        <v>NA</v>
      </c>
      <c r="O8" t="str">
        <f>IF(MIS_Backend_Data!AO7="", "", MIS_Backend_Data!AO7)</f>
        <v>NA</v>
      </c>
      <c r="P8" t="str">
        <f>IF(MIS_Backend_Data!AS7="", "", MIS_Backend_Data!AS7)</f>
        <v>Completed</v>
      </c>
      <c r="Q8" t="str">
        <f>IF(MIS_Backend_Data!AX7="", "", MIS_Backend_Data!AX7)</f>
        <v>Completed</v>
      </c>
      <c r="R8" t="str">
        <f>IF(MIS_Backend_Data!BB7="", "", MIS_Backend_Data!BB7)</f>
        <v>NA</v>
      </c>
      <c r="S8" t="str">
        <f>IF(MIS_Backend_Data!AW7="", "", MIS_Backend_Data!AW7)</f>
        <v/>
      </c>
      <c r="T8" s="42" t="str">
        <f>IF(MIS_Backend_Data!N7="Dispatch","Completed","NA")</f>
        <v>Completed</v>
      </c>
      <c r="U8" t="str">
        <f t="shared" si="0"/>
        <v/>
      </c>
      <c r="V8" t="str">
        <f t="shared" si="1"/>
        <v/>
      </c>
      <c r="W8" s="20" t="str">
        <f t="shared" si="2"/>
        <v/>
      </c>
    </row>
    <row r="9" spans="2:23" ht="29">
      <c r="B9" s="205" t="str">
        <f ca="1"/>
        <v>MTP-N-2526-002845</v>
      </c>
      <c r="C9" s="17" t="str">
        <f ca="1"/>
        <v>Generali Central Insurance Company Limited</v>
      </c>
      <c r="D9" s="17" t="str">
        <f ca="1"/>
        <v>F001-1007-SS-2025</v>
      </c>
      <c r="E9" s="19">
        <f ca="1"/>
        <v>51</v>
      </c>
      <c r="F9" s="19" t="str">
        <f>IF(MIS_Backend_Data!O8="", "", MIS_Backend_Data!O8)</f>
        <v>Pending CS</v>
      </c>
      <c r="G9" t="str">
        <f>IF(MIS_Backend_Data!T8="", "", MIS_Backend_Data!T8)</f>
        <v>NA</v>
      </c>
      <c r="H9" t="str">
        <f>IF(MIS_Backend_Data!X8="", "", MIS_Backend_Data!X8)</f>
        <v>NA</v>
      </c>
      <c r="I9" t="str">
        <f>IF(MIS_Backend_Data!AC8="", "", MIS_Backend_Data!AC8)</f>
        <v>Completed</v>
      </c>
      <c r="J9" t="str">
        <f>IF(MIS_Backend_Data!AB8="", "", MIS_Backend_Data!AB8)</f>
        <v>NA</v>
      </c>
      <c r="K9" t="str">
        <f>IF(MIS_Backend_Data!AG8="", "", MIS_Backend_Data!AG8)</f>
        <v>Completed</v>
      </c>
      <c r="L9" s="20" t="str">
        <f>IF(MIS_Backend_Data!AI8="", "", MIS_Backend_Data!AI8)</f>
        <v>Completed</v>
      </c>
      <c r="M9" t="str">
        <f>IF(MIS_Backend_Data!AK8="", "", MIS_Backend_Data!AK8)</f>
        <v>Completed</v>
      </c>
      <c r="N9" t="str">
        <f>IF(MIS_Backend_Data!AM8="", "", MIS_Backend_Data!AM8)</f>
        <v xml:space="preserve">NA </v>
      </c>
      <c r="O9" t="str">
        <f>IF(MIS_Backend_Data!AO8="", "", MIS_Backend_Data!AO8)</f>
        <v>NA</v>
      </c>
      <c r="P9" t="str">
        <f>IF(MIS_Backend_Data!AS8="", "", MIS_Backend_Data!AS8)</f>
        <v>Completed</v>
      </c>
      <c r="Q9" t="str">
        <f>IF(MIS_Backend_Data!AX8="", "", MIS_Backend_Data!AX8)</f>
        <v>WIP</v>
      </c>
      <c r="R9" t="str">
        <f>IF(MIS_Backend_Data!BB8="", "", MIS_Backend_Data!BB8)</f>
        <v xml:space="preserve">NA </v>
      </c>
      <c r="S9" t="str">
        <f>IF(MIS_Backend_Data!AW8="", "", MIS_Backend_Data!AW8)</f>
        <v/>
      </c>
      <c r="T9" s="42" t="str">
        <f>IF(MIS_Backend_Data!N8="Dispatch","Completed","NA")</f>
        <v>NA</v>
      </c>
      <c r="U9" t="str">
        <f t="shared" si="0"/>
        <v/>
      </c>
      <c r="V9" t="str">
        <f t="shared" si="1"/>
        <v/>
      </c>
      <c r="W9" s="20" t="str">
        <f t="shared" si="2"/>
        <v/>
      </c>
    </row>
    <row r="10" spans="2:23" ht="29">
      <c r="B10" s="205" t="str">
        <f ca="1"/>
        <v>MTP-N-2526-003010</v>
      </c>
      <c r="C10" s="17" t="str">
        <f ca="1"/>
        <v>Generali Central Insurance Company Limited</v>
      </c>
      <c r="D10" s="17" t="str">
        <f ca="1"/>
        <v>F001-1008-SS-2025</v>
      </c>
      <c r="E10" s="19">
        <f ca="1"/>
        <v>66</v>
      </c>
      <c r="F10" s="19" t="str">
        <f>IF(MIS_Backend_Data!O9="", "", MIS_Backend_Data!O9)</f>
        <v>Completed</v>
      </c>
      <c r="G10" t="str">
        <f>IF(MIS_Backend_Data!T9="", "", MIS_Backend_Data!T9)</f>
        <v>Completed</v>
      </c>
      <c r="H10" t="str">
        <f>IF(MIS_Backend_Data!X9="", "", MIS_Backend_Data!X9)</f>
        <v>NA</v>
      </c>
      <c r="I10" t="str">
        <f>IF(MIS_Backend_Data!AC9="", "", MIS_Backend_Data!AC9)</f>
        <v>Completed</v>
      </c>
      <c r="J10" t="str">
        <f>IF(MIS_Backend_Data!AB9="", "", MIS_Backend_Data!AB9)</f>
        <v>NA</v>
      </c>
      <c r="K10" t="str">
        <f>IF(MIS_Backend_Data!AG9="", "", MIS_Backend_Data!AG9)</f>
        <v>Completed</v>
      </c>
      <c r="L10" s="20" t="str">
        <f>IF(MIS_Backend_Data!AI9="", "", MIS_Backend_Data!AI9)</f>
        <v>Completed</v>
      </c>
      <c r="M10" t="str">
        <f>IF(MIS_Backend_Data!AK9="", "", MIS_Backend_Data!AK9)</f>
        <v>Completed</v>
      </c>
      <c r="N10" t="str">
        <f>IF(MIS_Backend_Data!AM9="", "", MIS_Backend_Data!AM9)</f>
        <v>Completed</v>
      </c>
      <c r="O10" t="str">
        <f>IF(MIS_Backend_Data!AO9="", "", MIS_Backend_Data!AO9)</f>
        <v>NA</v>
      </c>
      <c r="P10" t="str">
        <f>IF(MIS_Backend_Data!AS9="", "", MIS_Backend_Data!AS9)</f>
        <v>Completed</v>
      </c>
      <c r="Q10" t="str">
        <f>IF(MIS_Backend_Data!AX9="", "", MIS_Backend_Data!AX9)</f>
        <v>Completed</v>
      </c>
      <c r="R10" t="str">
        <f>IF(MIS_Backend_Data!BB9="", "", MIS_Backend_Data!BB9)</f>
        <v xml:space="preserve">NA </v>
      </c>
      <c r="S10" t="str">
        <f>IF(MIS_Backend_Data!AW9="", "", MIS_Backend_Data!AW9)</f>
        <v xml:space="preserve">NA </v>
      </c>
      <c r="T10" s="42" t="str">
        <f>IF(MIS_Backend_Data!N9="Dispatch","Completed","NA")</f>
        <v>Completed</v>
      </c>
      <c r="U10" t="str">
        <f t="shared" si="0"/>
        <v/>
      </c>
      <c r="V10" t="str">
        <f t="shared" si="1"/>
        <v/>
      </c>
      <c r="W10" s="20" t="str">
        <f t="shared" si="2"/>
        <v/>
      </c>
    </row>
    <row r="11" spans="2:23" ht="14.5">
      <c r="B11" s="205" t="str">
        <f ca="1"/>
        <v>2025209111</v>
      </c>
      <c r="C11" s="17" t="str">
        <f ca="1"/>
        <v>Indusind General Insurance Co Ltd</v>
      </c>
      <c r="D11" s="17" t="str">
        <f ca="1"/>
        <v>R001-1009-SS-2025</v>
      </c>
      <c r="E11" s="19">
        <f ca="1"/>
        <v>54</v>
      </c>
      <c r="F11" s="19" t="str">
        <f>IF(MIS_Backend_Data!O10="", "", MIS_Backend_Data!O10)</f>
        <v>Completed</v>
      </c>
      <c r="G11" t="str">
        <f>IF(MIS_Backend_Data!T10="", "", MIS_Backend_Data!T10)</f>
        <v>Completed</v>
      </c>
      <c r="H11" t="str">
        <f>IF(MIS_Backend_Data!X10="", "", MIS_Backend_Data!X10)</f>
        <v>NA</v>
      </c>
      <c r="I11" t="str">
        <f>IF(MIS_Backend_Data!AC10="", "", MIS_Backend_Data!AC10)</f>
        <v>Completed</v>
      </c>
      <c r="J11" t="str">
        <f>IF(MIS_Backend_Data!AB10="", "", MIS_Backend_Data!AB10)</f>
        <v>NA</v>
      </c>
      <c r="K11" t="str">
        <f>IF(MIS_Backend_Data!AG10="", "", MIS_Backend_Data!AG10)</f>
        <v>Completed</v>
      </c>
      <c r="L11" s="20" t="str">
        <f>IF(MIS_Backend_Data!AI10="", "", MIS_Backend_Data!AI10)</f>
        <v>NA</v>
      </c>
      <c r="M11" t="str">
        <f>IF(MIS_Backend_Data!AK10="", "", MIS_Backend_Data!AK10)</f>
        <v>NA</v>
      </c>
      <c r="N11" t="str">
        <f>IF(MIS_Backend_Data!AM10="", "", MIS_Backend_Data!AM10)</f>
        <v>NA</v>
      </c>
      <c r="O11" t="str">
        <f>IF(MIS_Backend_Data!AO10="", "", MIS_Backend_Data!AO10)</f>
        <v>NA</v>
      </c>
      <c r="P11" t="str">
        <f>IF(MIS_Backend_Data!AS10="", "", MIS_Backend_Data!AS10)</f>
        <v>Completed</v>
      </c>
      <c r="Q11" t="str">
        <f>IF(MIS_Backend_Data!AX10="", "", MIS_Backend_Data!AX10)</f>
        <v>Completed</v>
      </c>
      <c r="R11" t="str">
        <f>IF(MIS_Backend_Data!BB10="", "", MIS_Backend_Data!BB10)</f>
        <v>NA</v>
      </c>
      <c r="S11" t="str">
        <f>IF(MIS_Backend_Data!AW10="", "", MIS_Backend_Data!AW10)</f>
        <v/>
      </c>
      <c r="T11" s="42" t="str">
        <f>IF(MIS_Backend_Data!N10="Dispatch","Completed","NA")</f>
        <v>Completed</v>
      </c>
      <c r="U11" t="str">
        <f t="shared" si="0"/>
        <v/>
      </c>
      <c r="V11" t="str">
        <f t="shared" si="1"/>
        <v/>
      </c>
      <c r="W11" s="20" t="str">
        <f t="shared" si="2"/>
        <v/>
      </c>
    </row>
    <row r="12" spans="2:23" ht="29">
      <c r="B12" s="205" t="str">
        <f ca="1"/>
        <v>CN064878</v>
      </c>
      <c r="C12" s="17" t="str">
        <f ca="1"/>
        <v>Generali Central Insurance Company Limited</v>
      </c>
      <c r="D12" s="17" t="str">
        <f ca="1"/>
        <v>F001-1010-SS-2025</v>
      </c>
      <c r="E12" s="19">
        <f ca="1"/>
        <v>54</v>
      </c>
      <c r="F12" s="19" t="str">
        <f>IF(MIS_Backend_Data!O11="", "", MIS_Backend_Data!O11)</f>
        <v>Completed</v>
      </c>
      <c r="G12" t="str">
        <f>IF(MIS_Backend_Data!T11="", "", MIS_Backend_Data!T11)</f>
        <v>Completed</v>
      </c>
      <c r="H12" t="str">
        <f>IF(MIS_Backend_Data!X11="", "", MIS_Backend_Data!X11)</f>
        <v>Completed</v>
      </c>
      <c r="I12" t="str">
        <f>IF(MIS_Backend_Data!AC11="", "", MIS_Backend_Data!AC11)</f>
        <v>Completed</v>
      </c>
      <c r="J12" t="str">
        <f>IF(MIS_Backend_Data!AB11="", "", MIS_Backend_Data!AB11)</f>
        <v>NA</v>
      </c>
      <c r="K12" t="str">
        <f>IF(MIS_Backend_Data!AG11="", "", MIS_Backend_Data!AG11)</f>
        <v>Completed</v>
      </c>
      <c r="L12" s="20" t="str">
        <f>IF(MIS_Backend_Data!AI11="", "", MIS_Backend_Data!AI11)</f>
        <v>Completed</v>
      </c>
      <c r="M12" t="str">
        <f>IF(MIS_Backend_Data!AK11="", "", MIS_Backend_Data!AK11)</f>
        <v>WIP</v>
      </c>
      <c r="N12" t="str">
        <f>IF(MIS_Backend_Data!AM11="", "", MIS_Backend_Data!AM11)</f>
        <v xml:space="preserve">NA </v>
      </c>
      <c r="O12" t="str">
        <f>IF(MIS_Backend_Data!AO11="", "", MIS_Backend_Data!AO11)</f>
        <v>NA</v>
      </c>
      <c r="P12" t="str">
        <f>IF(MIS_Backend_Data!AS11="", "", MIS_Backend_Data!AS11)</f>
        <v>Completed</v>
      </c>
      <c r="Q12" t="str">
        <f>IF(MIS_Backend_Data!AX11="", "", MIS_Backend_Data!AX11)</f>
        <v>Completed</v>
      </c>
      <c r="R12" t="str">
        <f>IF(MIS_Backend_Data!BB11="", "", MIS_Backend_Data!BB11)</f>
        <v>Completed</v>
      </c>
      <c r="S12" t="str">
        <f>IF(MIS_Backend_Data!AW11="", "", MIS_Backend_Data!AW11)</f>
        <v/>
      </c>
      <c r="T12" s="42" t="str">
        <f>IF(MIS_Backend_Data!N11="Dispatch","Completed","NA")</f>
        <v>Completed</v>
      </c>
      <c r="U12" t="str">
        <f t="shared" si="0"/>
        <v/>
      </c>
      <c r="V12" t="str">
        <f t="shared" si="1"/>
        <v/>
      </c>
      <c r="W12" s="20" t="str">
        <f t="shared" si="2"/>
        <v/>
      </c>
    </row>
    <row r="13" spans="2:23" ht="14.5">
      <c r="B13" s="205" t="str">
        <f ca="1"/>
        <v>2025201119</v>
      </c>
      <c r="C13" s="17" t="str">
        <f ca="1"/>
        <v>Indusind General Insurance Co Ltd</v>
      </c>
      <c r="D13" s="17" t="str">
        <f ca="1"/>
        <v>R001-1011-SS-2025</v>
      </c>
      <c r="E13" s="19">
        <f ca="1"/>
        <v>111</v>
      </c>
      <c r="F13" s="19" t="str">
        <f>IF(MIS_Backend_Data!O12="", "", MIS_Backend_Data!O12)</f>
        <v>Pending CS</v>
      </c>
      <c r="G13" t="str">
        <f>IF(MIS_Backend_Data!T12="", "", MIS_Backend_Data!T12)</f>
        <v>NA</v>
      </c>
      <c r="H13" t="str">
        <f>IF(MIS_Backend_Data!X12="", "", MIS_Backend_Data!X12)</f>
        <v>NA</v>
      </c>
      <c r="I13" t="str">
        <f>IF(MIS_Backend_Data!AC12="", "", MIS_Backend_Data!AC12)</f>
        <v>NA</v>
      </c>
      <c r="J13" t="str">
        <f>IF(MIS_Backend_Data!AB12="", "", MIS_Backend_Data!AB12)</f>
        <v>NA</v>
      </c>
      <c r="K13" t="str">
        <f>IF(MIS_Backend_Data!AG12="", "", MIS_Backend_Data!AG12)</f>
        <v>NA</v>
      </c>
      <c r="L13" s="20" t="str">
        <f>IF(MIS_Backend_Data!AI12="", "", MIS_Backend_Data!AI12)</f>
        <v>NA</v>
      </c>
      <c r="M13" t="str">
        <f>IF(MIS_Backend_Data!AK12="", "", MIS_Backend_Data!AK12)</f>
        <v>NA</v>
      </c>
      <c r="N13" t="str">
        <f>IF(MIS_Backend_Data!AM12="", "", MIS_Backend_Data!AM12)</f>
        <v>NA</v>
      </c>
      <c r="O13" t="str">
        <f>IF(MIS_Backend_Data!AO12="", "", MIS_Backend_Data!AO12)</f>
        <v>NA</v>
      </c>
      <c r="P13" t="str">
        <f>IF(MIS_Backend_Data!AS12="", "", MIS_Backend_Data!AS12)</f>
        <v>NA</v>
      </c>
      <c r="Q13" t="str">
        <f>IF(MIS_Backend_Data!AX12="", "", MIS_Backend_Data!AX12)</f>
        <v>WIP</v>
      </c>
      <c r="R13" t="str">
        <f>IF(MIS_Backend_Data!BB12="", "", MIS_Backend_Data!BB12)</f>
        <v>NI</v>
      </c>
      <c r="S13" t="str">
        <f>IF(MIS_Backend_Data!AW12="", "", MIS_Backend_Data!AW12)</f>
        <v/>
      </c>
      <c r="T13" s="42" t="str">
        <f>IF(MIS_Backend_Data!N12="Dispatch","Completed","NA")</f>
        <v>NA</v>
      </c>
      <c r="U13" t="str">
        <f t="shared" si="0"/>
        <v/>
      </c>
      <c r="V13" t="str">
        <f t="shared" si="1"/>
        <v/>
      </c>
      <c r="W13" s="20" t="str">
        <f t="shared" si="2"/>
        <v/>
      </c>
    </row>
    <row r="14" spans="2:23" ht="14.5">
      <c r="B14" s="205" t="str">
        <f ca="1"/>
        <v>2025210107</v>
      </c>
      <c r="C14" s="17" t="str">
        <f ca="1"/>
        <v>Indusind General Insurance Co Ltd</v>
      </c>
      <c r="D14" s="17" t="str">
        <f ca="1"/>
        <v>R001-1012-SS-2025</v>
      </c>
      <c r="E14" s="19">
        <f ca="1"/>
        <v>59</v>
      </c>
      <c r="F14" s="19" t="str">
        <f>IF(MIS_Backend_Data!O13="", "", MIS_Backend_Data!O13)</f>
        <v>Completed</v>
      </c>
      <c r="G14" t="str">
        <f>IF(MIS_Backend_Data!T13="", "", MIS_Backend_Data!T13)</f>
        <v>Completed</v>
      </c>
      <c r="H14" t="str">
        <f>IF(MIS_Backend_Data!X13="", "", MIS_Backend_Data!X13)</f>
        <v>NA</v>
      </c>
      <c r="I14" t="str">
        <f>IF(MIS_Backend_Data!AC13="", "", MIS_Backend_Data!AC13)</f>
        <v>Completed</v>
      </c>
      <c r="J14" t="str">
        <f>IF(MIS_Backend_Data!AB13="", "", MIS_Backend_Data!AB13)</f>
        <v>NA</v>
      </c>
      <c r="K14" t="str">
        <f>IF(MIS_Backend_Data!AG13="", "", MIS_Backend_Data!AG13)</f>
        <v>Completed</v>
      </c>
      <c r="L14" s="20" t="str">
        <f>IF(MIS_Backend_Data!AI13="", "", MIS_Backend_Data!AI13)</f>
        <v>NA</v>
      </c>
      <c r="M14" t="str">
        <f>IF(MIS_Backend_Data!AK13="", "", MIS_Backend_Data!AK13)</f>
        <v>NA</v>
      </c>
      <c r="N14" t="str">
        <f>IF(MIS_Backend_Data!AM13="", "", MIS_Backend_Data!AM13)</f>
        <v>NA</v>
      </c>
      <c r="O14" t="str">
        <f>IF(MIS_Backend_Data!AO13="", "", MIS_Backend_Data!AO13)</f>
        <v>NA</v>
      </c>
      <c r="P14" t="str">
        <f>IF(MIS_Backend_Data!AS13="", "", MIS_Backend_Data!AS13)</f>
        <v>Completed</v>
      </c>
      <c r="Q14" t="str">
        <f>IF(MIS_Backend_Data!AX13="", "", MIS_Backend_Data!AX13)</f>
        <v>Completed</v>
      </c>
      <c r="R14" t="str">
        <f>IF(MIS_Backend_Data!BB13="", "", MIS_Backend_Data!BB13)</f>
        <v>NA</v>
      </c>
      <c r="S14" t="str">
        <f>IF(MIS_Backend_Data!AW13="", "", MIS_Backend_Data!AW13)</f>
        <v/>
      </c>
      <c r="T14" s="42" t="str">
        <f>IF(MIS_Backend_Data!N13="Dispatch","Completed","NA")</f>
        <v>Completed</v>
      </c>
      <c r="U14" t="str">
        <f t="shared" si="0"/>
        <v/>
      </c>
      <c r="V14" t="str">
        <f t="shared" si="1"/>
        <v/>
      </c>
      <c r="W14" s="20" t="str">
        <f t="shared" si="2"/>
        <v/>
      </c>
    </row>
    <row r="15" spans="2:23" ht="14.5">
      <c r="B15" s="205" t="str">
        <f ca="1"/>
        <v>2025209818</v>
      </c>
      <c r="C15" s="17" t="str">
        <f ca="1"/>
        <v>Indusind General Insurance Co Ltd</v>
      </c>
      <c r="D15" s="17" t="str">
        <f ca="1"/>
        <v>R001-1013-SS-2025</v>
      </c>
      <c r="E15" s="19">
        <f ca="1"/>
        <v>65</v>
      </c>
      <c r="F15" s="19" t="str">
        <f>IF(MIS_Backend_Data!O14="", "", MIS_Backend_Data!O14)</f>
        <v>Completed</v>
      </c>
      <c r="G15" t="str">
        <f>IF(MIS_Backend_Data!T14="", "", MIS_Backend_Data!T14)</f>
        <v>Completed</v>
      </c>
      <c r="H15" t="str">
        <f>IF(MIS_Backend_Data!X14="", "", MIS_Backend_Data!X14)</f>
        <v>NA</v>
      </c>
      <c r="I15" t="str">
        <f>IF(MIS_Backend_Data!AC14="", "", MIS_Backend_Data!AC14)</f>
        <v>NA</v>
      </c>
      <c r="J15" t="str">
        <f>IF(MIS_Backend_Data!AB14="", "", MIS_Backend_Data!AB14)</f>
        <v>NA</v>
      </c>
      <c r="K15" t="str">
        <f>IF(MIS_Backend_Data!AG14="", "", MIS_Backend_Data!AG14)</f>
        <v xml:space="preserve">NA </v>
      </c>
      <c r="L15" s="20" t="str">
        <f>IF(MIS_Backend_Data!AI14="", "", MIS_Backend_Data!AI14)</f>
        <v>NA</v>
      </c>
      <c r="M15" t="str">
        <f>IF(MIS_Backend_Data!AK14="", "", MIS_Backend_Data!AK14)</f>
        <v>NA</v>
      </c>
      <c r="N15" t="str">
        <f>IF(MIS_Backend_Data!AM14="", "", MIS_Backend_Data!AM14)</f>
        <v>NA</v>
      </c>
      <c r="O15" t="str">
        <f>IF(MIS_Backend_Data!AO14="", "", MIS_Backend_Data!AO14)</f>
        <v>NA</v>
      </c>
      <c r="P15" t="str">
        <f>IF(MIS_Backend_Data!AS14="", "", MIS_Backend_Data!AS14)</f>
        <v>NA</v>
      </c>
      <c r="Q15" t="str">
        <f>IF(MIS_Backend_Data!AX14="", "", MIS_Backend_Data!AX14)</f>
        <v>NA</v>
      </c>
      <c r="R15" t="str">
        <f>IF(MIS_Backend_Data!BB14="", "", MIS_Backend_Data!BB14)</f>
        <v>NA</v>
      </c>
      <c r="S15" t="str">
        <f>IF(MIS_Backend_Data!AW14="", "", MIS_Backend_Data!AW14)</f>
        <v/>
      </c>
      <c r="T15" s="42" t="str">
        <f>IF(MIS_Backend_Data!N14="Dispatch","Completed","NA")</f>
        <v>Completed</v>
      </c>
      <c r="U15" t="str">
        <f t="shared" si="0"/>
        <v/>
      </c>
      <c r="V15" t="str">
        <f t="shared" si="1"/>
        <v/>
      </c>
      <c r="W15" s="20" t="str">
        <f t="shared" si="2"/>
        <v/>
      </c>
    </row>
    <row r="16" spans="2:23" ht="14.5">
      <c r="B16" s="205" t="str">
        <f ca="1"/>
        <v>2025210174</v>
      </c>
      <c r="C16" s="17" t="str">
        <f ca="1"/>
        <v>Indusind General Insurance Co Ltd</v>
      </c>
      <c r="D16" s="17" t="str">
        <f ca="1"/>
        <v>R001-1014-SS-2025</v>
      </c>
      <c r="E16" s="19">
        <f ca="1"/>
        <v>59</v>
      </c>
      <c r="F16" s="19" t="str">
        <f>IF(MIS_Backend_Data!O15="", "", MIS_Backend_Data!O15)</f>
        <v>Completed</v>
      </c>
      <c r="G16" t="str">
        <f>IF(MIS_Backend_Data!T15="", "", MIS_Backend_Data!T15)</f>
        <v>Completed</v>
      </c>
      <c r="H16" t="str">
        <f>IF(MIS_Backend_Data!X15="", "", MIS_Backend_Data!X15)</f>
        <v>NA</v>
      </c>
      <c r="I16" t="str">
        <f>IF(MIS_Backend_Data!AC15="", "", MIS_Backend_Data!AC15)</f>
        <v>Completed</v>
      </c>
      <c r="J16" t="str">
        <f>IF(MIS_Backend_Data!AB15="", "", MIS_Backend_Data!AB15)</f>
        <v>NA</v>
      </c>
      <c r="K16" t="str">
        <f>IF(MIS_Backend_Data!AG15="", "", MIS_Backend_Data!AG15)</f>
        <v>Completed</v>
      </c>
      <c r="L16" s="20" t="str">
        <f>IF(MIS_Backend_Data!AI15="", "", MIS_Backend_Data!AI15)</f>
        <v>NA</v>
      </c>
      <c r="M16" t="str">
        <f>IF(MIS_Backend_Data!AK15="", "", MIS_Backend_Data!AK15)</f>
        <v>NA</v>
      </c>
      <c r="N16" t="str">
        <f>IF(MIS_Backend_Data!AM15="", "", MIS_Backend_Data!AM15)</f>
        <v>NA</v>
      </c>
      <c r="O16" t="str">
        <f>IF(MIS_Backend_Data!AO15="", "", MIS_Backend_Data!AO15)</f>
        <v>NA</v>
      </c>
      <c r="P16" t="str">
        <f>IF(MIS_Backend_Data!AS15="", "", MIS_Backend_Data!AS15)</f>
        <v>Completed</v>
      </c>
      <c r="Q16" t="str">
        <f>IF(MIS_Backend_Data!AX15="", "", MIS_Backend_Data!AX15)</f>
        <v>Completed</v>
      </c>
      <c r="R16" t="str">
        <f>IF(MIS_Backend_Data!BB15="", "", MIS_Backend_Data!BB15)</f>
        <v>NA</v>
      </c>
      <c r="S16" t="str">
        <f>IF(MIS_Backend_Data!AW15="", "", MIS_Backend_Data!AW15)</f>
        <v/>
      </c>
      <c r="T16" s="42" t="str">
        <f>IF(MIS_Backend_Data!N15="Dispatch","Completed","NA")</f>
        <v>Completed</v>
      </c>
      <c r="U16" t="str">
        <f t="shared" si="0"/>
        <v/>
      </c>
      <c r="V16" t="str">
        <f t="shared" si="1"/>
        <v/>
      </c>
      <c r="W16" s="20" t="str">
        <f t="shared" si="2"/>
        <v/>
      </c>
    </row>
    <row r="17" spans="2:23" ht="14.5">
      <c r="B17" s="205" t="str">
        <f ca="1"/>
        <v>2025210104</v>
      </c>
      <c r="C17" s="17" t="str">
        <f ca="1"/>
        <v>Indusind General Insurance Co Ltd</v>
      </c>
      <c r="D17" s="17" t="str">
        <f ca="1"/>
        <v>R001-1015-SS-2025</v>
      </c>
      <c r="E17" s="19">
        <f ca="1"/>
        <v>56</v>
      </c>
      <c r="F17" s="19" t="str">
        <f>IF(MIS_Backend_Data!O16="", "", MIS_Backend_Data!O16)</f>
        <v>Completed</v>
      </c>
      <c r="G17" t="str">
        <f>IF(MIS_Backend_Data!T16="", "", MIS_Backend_Data!T16)</f>
        <v>Completed</v>
      </c>
      <c r="H17" t="str">
        <f>IF(MIS_Backend_Data!X16="", "", MIS_Backend_Data!X16)</f>
        <v>NA</v>
      </c>
      <c r="I17" t="str">
        <f>IF(MIS_Backend_Data!AC16="", "", MIS_Backend_Data!AC16)</f>
        <v>NA</v>
      </c>
      <c r="J17" t="str">
        <f>IF(MIS_Backend_Data!AB16="", "", MIS_Backend_Data!AB16)</f>
        <v>NA</v>
      </c>
      <c r="K17" t="str">
        <f>IF(MIS_Backend_Data!AG16="", "", MIS_Backend_Data!AG16)</f>
        <v>NA</v>
      </c>
      <c r="L17" s="20" t="str">
        <f>IF(MIS_Backend_Data!AI16="", "", MIS_Backend_Data!AI16)</f>
        <v>NA</v>
      </c>
      <c r="M17" t="str">
        <f>IF(MIS_Backend_Data!AK16="", "", MIS_Backend_Data!AK16)</f>
        <v>NA</v>
      </c>
      <c r="N17" t="str">
        <f>IF(MIS_Backend_Data!AM16="", "", MIS_Backend_Data!AM16)</f>
        <v>NA</v>
      </c>
      <c r="O17" t="str">
        <f>IF(MIS_Backend_Data!AO16="", "", MIS_Backend_Data!AO16)</f>
        <v>NA</v>
      </c>
      <c r="P17" t="str">
        <f>IF(MIS_Backend_Data!AS16="", "", MIS_Backend_Data!AS16)</f>
        <v>NA</v>
      </c>
      <c r="Q17" t="str">
        <f>IF(MIS_Backend_Data!AX16="", "", MIS_Backend_Data!AX16)</f>
        <v>Completed</v>
      </c>
      <c r="R17" t="str">
        <f>IF(MIS_Backend_Data!BB16="", "", MIS_Backend_Data!BB16)</f>
        <v>NA</v>
      </c>
      <c r="S17" t="str">
        <f>IF(MIS_Backend_Data!AW16="", "", MIS_Backend_Data!AW16)</f>
        <v/>
      </c>
      <c r="T17" s="42" t="str">
        <f>IF(MIS_Backend_Data!N16="Dispatch","Completed","NA")</f>
        <v>Completed</v>
      </c>
      <c r="U17" t="str">
        <f t="shared" si="0"/>
        <v/>
      </c>
      <c r="V17" t="str">
        <f t="shared" si="1"/>
        <v/>
      </c>
      <c r="W17" s="20" t="str">
        <f t="shared" si="2"/>
        <v/>
      </c>
    </row>
    <row r="18" spans="2:23" ht="14.5">
      <c r="B18" s="205" t="str">
        <f ca="1"/>
        <v>2025209654</v>
      </c>
      <c r="C18" s="17" t="str">
        <f ca="1"/>
        <v>Indusind General Insurance Co Ltd</v>
      </c>
      <c r="D18" s="17" t="str">
        <f ca="1"/>
        <v>R001-1016-SS-2025</v>
      </c>
      <c r="E18" s="19">
        <f ca="1"/>
        <v>110</v>
      </c>
      <c r="F18" s="19" t="str">
        <f>IF(MIS_Backend_Data!O17="", "", MIS_Backend_Data!O17)</f>
        <v>Pending CS</v>
      </c>
      <c r="G18" t="str">
        <f>IF(MIS_Backend_Data!T17="", "", MIS_Backend_Data!T17)</f>
        <v>Completed</v>
      </c>
      <c r="H18" t="str">
        <f>IF(MIS_Backend_Data!X17="", "", MIS_Backend_Data!X17)</f>
        <v>NA</v>
      </c>
      <c r="I18" t="str">
        <f>IF(MIS_Backend_Data!AC17="", "", MIS_Backend_Data!AC17)</f>
        <v>Completed</v>
      </c>
      <c r="J18" t="str">
        <f>IF(MIS_Backend_Data!AB17="", "", MIS_Backend_Data!AB17)</f>
        <v>NA</v>
      </c>
      <c r="K18" t="str">
        <f>IF(MIS_Backend_Data!AG17="", "", MIS_Backend_Data!AG17)</f>
        <v>Completed</v>
      </c>
      <c r="L18" s="20" t="str">
        <f>IF(MIS_Backend_Data!AI17="", "", MIS_Backend_Data!AI17)</f>
        <v>NA</v>
      </c>
      <c r="M18" t="str">
        <f>IF(MIS_Backend_Data!AK17="", "", MIS_Backend_Data!AK17)</f>
        <v>NA</v>
      </c>
      <c r="N18" t="str">
        <f>IF(MIS_Backend_Data!AM17="", "", MIS_Backend_Data!AM17)</f>
        <v>NA</v>
      </c>
      <c r="O18" t="str">
        <f>IF(MIS_Backend_Data!AO17="", "", MIS_Backend_Data!AO17)</f>
        <v>NA</v>
      </c>
      <c r="P18" t="str">
        <f>IF(MIS_Backend_Data!AS17="", "", MIS_Backend_Data!AS17)</f>
        <v>Completed</v>
      </c>
      <c r="Q18" t="str">
        <f>IF(MIS_Backend_Data!AX17="", "", MIS_Backend_Data!AX17)</f>
        <v>WIP</v>
      </c>
      <c r="R18" t="str">
        <f>IF(MIS_Backend_Data!BB17="", "", MIS_Backend_Data!BB17)</f>
        <v>NA</v>
      </c>
      <c r="S18" t="str">
        <f>IF(MIS_Backend_Data!AW17="", "", MIS_Backend_Data!AW17)</f>
        <v/>
      </c>
      <c r="T18" s="42" t="str">
        <f>IF(MIS_Backend_Data!N17="Dispatch","Completed","NA")</f>
        <v>NA</v>
      </c>
      <c r="U18" t="str">
        <f t="shared" si="0"/>
        <v/>
      </c>
      <c r="V18" t="str">
        <f t="shared" si="1"/>
        <v/>
      </c>
      <c r="W18" s="20" t="str">
        <f t="shared" si="2"/>
        <v/>
      </c>
    </row>
    <row r="19" spans="2:23" ht="14.5">
      <c r="B19" s="205" t="str">
        <f ca="1"/>
        <v>2025209769</v>
      </c>
      <c r="C19" s="17" t="str">
        <f ca="1"/>
        <v>Indusind General Insurance Co Ltd</v>
      </c>
      <c r="D19" s="17" t="str">
        <f ca="1"/>
        <v>R001-1017-SS-2025</v>
      </c>
      <c r="E19" s="19">
        <f ca="1"/>
        <v>110</v>
      </c>
      <c r="F19" s="19" t="str">
        <f>IF(MIS_Backend_Data!O18="", "", MIS_Backend_Data!O18)</f>
        <v>WIP</v>
      </c>
      <c r="G19" t="str">
        <f>IF(MIS_Backend_Data!T18="", "", MIS_Backend_Data!T18)</f>
        <v>Completed</v>
      </c>
      <c r="H19" t="str">
        <f>IF(MIS_Backend_Data!X18="", "", MIS_Backend_Data!X18)</f>
        <v>NA</v>
      </c>
      <c r="I19" t="str">
        <f>IF(MIS_Backend_Data!AC18="", "", MIS_Backend_Data!AC18)</f>
        <v>WIP</v>
      </c>
      <c r="J19" t="str">
        <f>IF(MIS_Backend_Data!AB18="", "", MIS_Backend_Data!AB18)</f>
        <v>NA</v>
      </c>
      <c r="K19" t="str">
        <f>IF(MIS_Backend_Data!AG18="", "", MIS_Backend_Data!AG18)</f>
        <v>WIP</v>
      </c>
      <c r="L19" s="20" t="str">
        <f>IF(MIS_Backend_Data!AI18="", "", MIS_Backend_Data!AI18)</f>
        <v>NA</v>
      </c>
      <c r="M19" t="str">
        <f>IF(MIS_Backend_Data!AK18="", "", MIS_Backend_Data!AK18)</f>
        <v>NA</v>
      </c>
      <c r="N19" t="str">
        <f>IF(MIS_Backend_Data!AM18="", "", MIS_Backend_Data!AM18)</f>
        <v>NA</v>
      </c>
      <c r="O19" t="str">
        <f>IF(MIS_Backend_Data!AO18="", "", MIS_Backend_Data!AO18)</f>
        <v>NA</v>
      </c>
      <c r="P19" t="str">
        <f>IF(MIS_Backend_Data!AS18="", "", MIS_Backend_Data!AS18)</f>
        <v>Completed</v>
      </c>
      <c r="Q19" t="str">
        <f>IF(MIS_Backend_Data!AX18="", "", MIS_Backend_Data!AX18)</f>
        <v>WIP</v>
      </c>
      <c r="R19" t="str">
        <f>IF(MIS_Backend_Data!BB18="", "", MIS_Backend_Data!BB18)</f>
        <v>NA</v>
      </c>
      <c r="S19" t="str">
        <f>IF(MIS_Backend_Data!AW18="", "", MIS_Backend_Data!AW18)</f>
        <v/>
      </c>
      <c r="T19" s="42" t="str">
        <f>IF(MIS_Backend_Data!N18="Dispatch","Completed","NA")</f>
        <v>NA</v>
      </c>
      <c r="U19" t="str">
        <f t="shared" si="0"/>
        <v/>
      </c>
      <c r="V19" t="str">
        <f t="shared" si="1"/>
        <v/>
      </c>
      <c r="W19" s="20" t="str">
        <f t="shared" si="2"/>
        <v/>
      </c>
    </row>
    <row r="20" spans="2:23" ht="29">
      <c r="B20" s="205" t="str">
        <f ca="1"/>
        <v>CN065449</v>
      </c>
      <c r="C20" s="17" t="str">
        <f ca="1"/>
        <v>Generali Central Insurance Company Limited</v>
      </c>
      <c r="D20" s="17" t="str">
        <f ca="1"/>
        <v>F001-1018-SS-2025</v>
      </c>
      <c r="E20" s="19">
        <f ca="1"/>
        <v>45</v>
      </c>
      <c r="F20" s="19" t="str">
        <f>IF(MIS_Backend_Data!O19="", "", MIS_Backend_Data!O19)</f>
        <v>Completed</v>
      </c>
      <c r="G20" t="str">
        <f>IF(MIS_Backend_Data!T19="", "", MIS_Backend_Data!T19)</f>
        <v>Completed</v>
      </c>
      <c r="H20" t="str">
        <f>IF(MIS_Backend_Data!X19="", "", MIS_Backend_Data!X19)</f>
        <v>NA</v>
      </c>
      <c r="I20" t="str">
        <f>IF(MIS_Backend_Data!AC19="", "", MIS_Backend_Data!AC19)</f>
        <v>Completed</v>
      </c>
      <c r="J20" t="str">
        <f>IF(MIS_Backend_Data!AB19="", "", MIS_Backend_Data!AB19)</f>
        <v>NA</v>
      </c>
      <c r="K20" t="str">
        <f>IF(MIS_Backend_Data!AG19="", "", MIS_Backend_Data!AG19)</f>
        <v>Completed</v>
      </c>
      <c r="L20" s="20" t="str">
        <f>IF(MIS_Backend_Data!AI19="", "", MIS_Backend_Data!AI19)</f>
        <v>Completed</v>
      </c>
      <c r="M20" t="str">
        <f>IF(MIS_Backend_Data!AK19="", "", MIS_Backend_Data!AK19)</f>
        <v>Completed</v>
      </c>
      <c r="N20" t="str">
        <f>IF(MIS_Backend_Data!AM19="", "", MIS_Backend_Data!AM19)</f>
        <v>NA</v>
      </c>
      <c r="O20" t="str">
        <f>IF(MIS_Backend_Data!AO19="", "", MIS_Backend_Data!AO19)</f>
        <v>NA</v>
      </c>
      <c r="P20" t="str">
        <f>IF(MIS_Backend_Data!AS19="", "", MIS_Backend_Data!AS19)</f>
        <v>Completed</v>
      </c>
      <c r="Q20" t="str">
        <f>IF(MIS_Backend_Data!AX19="", "", MIS_Backend_Data!AX19)</f>
        <v>WIP</v>
      </c>
      <c r="R20" t="str">
        <f>IF(MIS_Backend_Data!BB19="", "", MIS_Backend_Data!BB19)</f>
        <v>Completed</v>
      </c>
      <c r="S20" t="str">
        <f>IF(MIS_Backend_Data!AW19="", "", MIS_Backend_Data!AW19)</f>
        <v/>
      </c>
      <c r="T20" s="42" t="str">
        <f>IF(MIS_Backend_Data!N19="Dispatch","Completed","NA")</f>
        <v>Completed</v>
      </c>
      <c r="U20" t="str">
        <f t="shared" si="0"/>
        <v/>
      </c>
      <c r="V20" t="str">
        <f t="shared" si="1"/>
        <v/>
      </c>
      <c r="W20" s="20" t="str">
        <f t="shared" si="2"/>
        <v/>
      </c>
    </row>
    <row r="21" spans="2:23" ht="14.5">
      <c r="B21" s="205" t="str">
        <f ca="1"/>
        <v>MTP-N-2526-003270</v>
      </c>
      <c r="C21" s="17" t="str">
        <f ca="1"/>
        <v>Generali Central Insurance Company Limited</v>
      </c>
      <c r="D21" s="17" t="str">
        <f ca="1"/>
        <v>F001-1019-SS-2025</v>
      </c>
      <c r="E21" s="19">
        <f ca="1"/>
        <v>84</v>
      </c>
      <c r="F21" s="19" t="str">
        <f>IF(MIS_Backend_Data!O20="", "", MIS_Backend_Data!O20)</f>
        <v>Completed</v>
      </c>
      <c r="G21" t="str">
        <f>IF(MIS_Backend_Data!T20="", "", MIS_Backend_Data!T20)</f>
        <v>Completed</v>
      </c>
      <c r="H21" t="str">
        <f>IF(MIS_Backend_Data!X20="", "", MIS_Backend_Data!X20)</f>
        <v>NA</v>
      </c>
      <c r="I21" t="str">
        <f>IF(MIS_Backend_Data!AC20="", "", MIS_Backend_Data!AC20)</f>
        <v>NA</v>
      </c>
      <c r="J21" t="str">
        <f>IF(MIS_Backend_Data!AB20="", "", MIS_Backend_Data!AB20)</f>
        <v>NA</v>
      </c>
      <c r="K21" t="str">
        <f>IF(MIS_Backend_Data!AG20="", "", MIS_Backend_Data!AG20)</f>
        <v>NA</v>
      </c>
      <c r="L21" s="20" t="str">
        <f>IF(MIS_Backend_Data!AI20="", "", MIS_Backend_Data!AI20)</f>
        <v>NA</v>
      </c>
      <c r="M21" t="str">
        <f>IF(MIS_Backend_Data!AK20="", "", MIS_Backend_Data!AK20)</f>
        <v>NA</v>
      </c>
      <c r="N21" t="str">
        <f>IF(MIS_Backend_Data!AM20="", "", MIS_Backend_Data!AM20)</f>
        <v>NA</v>
      </c>
      <c r="O21" t="str">
        <f>IF(MIS_Backend_Data!AO20="", "", MIS_Backend_Data!AO20)</f>
        <v>NA</v>
      </c>
      <c r="P21" t="str">
        <f>IF(MIS_Backend_Data!AS20="", "", MIS_Backend_Data!AS20)</f>
        <v>NA</v>
      </c>
      <c r="Q21" t="str">
        <f>IF(MIS_Backend_Data!AX20="", "", MIS_Backend_Data!AX20)</f>
        <v>NA</v>
      </c>
      <c r="R21" t="str">
        <f>IF(MIS_Backend_Data!BB20="", "", MIS_Backend_Data!BB20)</f>
        <v>Completed</v>
      </c>
      <c r="S21" t="str">
        <f>IF(MIS_Backend_Data!AW20="", "", MIS_Backend_Data!AW20)</f>
        <v/>
      </c>
      <c r="T21" s="42" t="str">
        <f>IF(MIS_Backend_Data!N20="Dispatch","Completed","NA")</f>
        <v>Completed</v>
      </c>
      <c r="U21" t="str">
        <f t="shared" si="0"/>
        <v/>
      </c>
      <c r="V21" t="str">
        <f t="shared" si="1"/>
        <v/>
      </c>
      <c r="W21" s="20" t="str">
        <f t="shared" si="2"/>
        <v/>
      </c>
    </row>
    <row r="22" spans="2:23" ht="14.5">
      <c r="B22" s="205" t="str">
        <f ca="1"/>
        <v>MTP-N-2526-003272</v>
      </c>
      <c r="C22" s="17" t="str">
        <f ca="1"/>
        <v>Generali Central Insurance Company Limited</v>
      </c>
      <c r="D22" s="17" t="str">
        <f ca="1"/>
        <v>F001-1020-SS-2025</v>
      </c>
      <c r="E22" s="19">
        <f ca="1"/>
        <v>84</v>
      </c>
      <c r="F22" s="19" t="str">
        <f>IF(MIS_Backend_Data!O21="", "", MIS_Backend_Data!O21)</f>
        <v>Completed</v>
      </c>
      <c r="G22" t="str">
        <f>IF(MIS_Backend_Data!T21="", "", MIS_Backend_Data!T21)</f>
        <v>Completed</v>
      </c>
      <c r="H22" t="str">
        <f>IF(MIS_Backend_Data!X21="", "", MIS_Backend_Data!X21)</f>
        <v>NA</v>
      </c>
      <c r="I22" t="str">
        <f>IF(MIS_Backend_Data!AC21="", "", MIS_Backend_Data!AC21)</f>
        <v>NA</v>
      </c>
      <c r="J22" t="str">
        <f>IF(MIS_Backend_Data!AB21="", "", MIS_Backend_Data!AB21)</f>
        <v>NA</v>
      </c>
      <c r="K22" t="str">
        <f>IF(MIS_Backend_Data!AG21="", "", MIS_Backend_Data!AG21)</f>
        <v>NA</v>
      </c>
      <c r="L22" s="20" t="str">
        <f>IF(MIS_Backend_Data!AI21="", "", MIS_Backend_Data!AI21)</f>
        <v>NA</v>
      </c>
      <c r="M22" t="str">
        <f>IF(MIS_Backend_Data!AK21="", "", MIS_Backend_Data!AK21)</f>
        <v>NA</v>
      </c>
      <c r="N22" t="str">
        <f>IF(MIS_Backend_Data!AM21="", "", MIS_Backend_Data!AM21)</f>
        <v>NA</v>
      </c>
      <c r="O22" t="str">
        <f>IF(MIS_Backend_Data!AO21="", "", MIS_Backend_Data!AO21)</f>
        <v>NA</v>
      </c>
      <c r="P22" t="str">
        <f>IF(MIS_Backend_Data!AS21="", "", MIS_Backend_Data!AS21)</f>
        <v>NA</v>
      </c>
      <c r="Q22" t="str">
        <f>IF(MIS_Backend_Data!AX21="", "", MIS_Backend_Data!AX21)</f>
        <v>NA</v>
      </c>
      <c r="R22" t="str">
        <f>IF(MIS_Backend_Data!BB21="", "", MIS_Backend_Data!BB21)</f>
        <v>Completed</v>
      </c>
      <c r="S22" t="str">
        <f>IF(MIS_Backend_Data!AW21="", "", MIS_Backend_Data!AW21)</f>
        <v/>
      </c>
      <c r="T22" s="42" t="str">
        <f>IF(MIS_Backend_Data!N21="Dispatch","Completed","NA")</f>
        <v>Completed</v>
      </c>
      <c r="U22" t="str">
        <f t="shared" si="0"/>
        <v/>
      </c>
      <c r="V22" t="str">
        <f t="shared" si="1"/>
        <v/>
      </c>
      <c r="W22" s="20" t="str">
        <f t="shared" si="2"/>
        <v/>
      </c>
    </row>
    <row r="23" spans="2:23" ht="14.5">
      <c r="B23" s="205" t="str">
        <f ca="1"/>
        <v>C2254103102949-00</v>
      </c>
      <c r="C23" s="17" t="str">
        <f ca="1"/>
        <v>Magma HDI General Insurance Company Ltd</v>
      </c>
      <c r="D23" s="17" t="str">
        <f ca="1"/>
        <v>M002-1021-SS-2025</v>
      </c>
      <c r="E23" s="19">
        <f ca="1"/>
        <v>242</v>
      </c>
      <c r="F23" s="19" t="str">
        <f>IF(MIS_Backend_Data!O22="", "", MIS_Backend_Data!O22)</f>
        <v>Completed</v>
      </c>
      <c r="G23" t="str">
        <f>IF(MIS_Backend_Data!T22="", "", MIS_Backend_Data!T22)</f>
        <v>Completed</v>
      </c>
      <c r="H23" t="str">
        <f>IF(MIS_Backend_Data!X22="", "", MIS_Backend_Data!X22)</f>
        <v>NA</v>
      </c>
      <c r="I23" t="str">
        <f>IF(MIS_Backend_Data!AC22="", "", MIS_Backend_Data!AC22)</f>
        <v>Completed</v>
      </c>
      <c r="J23" t="str">
        <f>IF(MIS_Backend_Data!AB22="", "", MIS_Backend_Data!AB22)</f>
        <v>NA</v>
      </c>
      <c r="K23" t="str">
        <f>IF(MIS_Backend_Data!AG22="", "", MIS_Backend_Data!AG22)</f>
        <v>NA</v>
      </c>
      <c r="L23" s="20" t="str">
        <f>IF(MIS_Backend_Data!AI22="", "", MIS_Backend_Data!AI22)</f>
        <v>NA</v>
      </c>
      <c r="M23" t="str">
        <f>IF(MIS_Backend_Data!AK22="", "", MIS_Backend_Data!AK22)</f>
        <v>NA</v>
      </c>
      <c r="N23" t="str">
        <f>IF(MIS_Backend_Data!AM22="", "", MIS_Backend_Data!AM22)</f>
        <v>NA</v>
      </c>
      <c r="O23" t="str">
        <f>IF(MIS_Backend_Data!AO22="", "", MIS_Backend_Data!AO22)</f>
        <v xml:space="preserve">NA </v>
      </c>
      <c r="P23" t="str">
        <f>IF(MIS_Backend_Data!AS22="", "", MIS_Backend_Data!AS22)</f>
        <v>Completed</v>
      </c>
      <c r="Q23" t="str">
        <f>IF(MIS_Backend_Data!AX22="", "", MIS_Backend_Data!AX22)</f>
        <v>Completed</v>
      </c>
      <c r="R23" t="str">
        <f>IF(MIS_Backend_Data!BB22="", "", MIS_Backend_Data!BB22)</f>
        <v>NA</v>
      </c>
      <c r="S23" t="str">
        <f>IF(MIS_Backend_Data!AW22="", "", MIS_Backend_Data!AW22)</f>
        <v>NA</v>
      </c>
      <c r="T23" s="42" t="str">
        <f>IF(MIS_Backend_Data!N22="Dispatch","Completed","NA")</f>
        <v>Completed</v>
      </c>
      <c r="U23" t="str">
        <f t="shared" si="0"/>
        <v/>
      </c>
      <c r="V23" t="str">
        <f t="shared" si="1"/>
        <v/>
      </c>
      <c r="W23" s="20" t="str">
        <f t="shared" si="2"/>
        <v/>
      </c>
    </row>
    <row r="24" spans="2:23" ht="14.5">
      <c r="B24" s="205" t="str">
        <f ca="1"/>
        <v>2024214888</v>
      </c>
      <c r="C24" s="17" t="str">
        <f ca="1"/>
        <v>Indusind General Insurance Co Ltd</v>
      </c>
      <c r="D24" s="17" t="str">
        <f ca="1"/>
        <v>R001-1022-SS-2025</v>
      </c>
      <c r="E24" s="19">
        <f ca="1"/>
        <v>82</v>
      </c>
      <c r="F24" s="19" t="str">
        <f>IF(MIS_Backend_Data!O23="", "", MIS_Backend_Data!O23)</f>
        <v>Completed</v>
      </c>
      <c r="G24" t="str">
        <f>IF(MIS_Backend_Data!T23="", "", MIS_Backend_Data!T23)</f>
        <v>Completed</v>
      </c>
      <c r="H24" t="str">
        <f>IF(MIS_Backend_Data!X23="", "", MIS_Backend_Data!X23)</f>
        <v>NA</v>
      </c>
      <c r="I24" t="str">
        <f>IF(MIS_Backend_Data!AC23="", "", MIS_Backend_Data!AC23)</f>
        <v>Completed</v>
      </c>
      <c r="J24" t="str">
        <f>IF(MIS_Backend_Data!AB23="", "", MIS_Backend_Data!AB23)</f>
        <v>NA</v>
      </c>
      <c r="K24" t="str">
        <f>IF(MIS_Backend_Data!AG23="", "", MIS_Backend_Data!AG23)</f>
        <v>Completed</v>
      </c>
      <c r="L24" s="20" t="str">
        <f>IF(MIS_Backend_Data!AI23="", "", MIS_Backend_Data!AI23)</f>
        <v>NA</v>
      </c>
      <c r="M24" t="str">
        <f>IF(MIS_Backend_Data!AK23="", "", MIS_Backend_Data!AK23)</f>
        <v>NA</v>
      </c>
      <c r="N24" t="str">
        <f>IF(MIS_Backend_Data!AM23="", "", MIS_Backend_Data!AM23)</f>
        <v>NA</v>
      </c>
      <c r="O24" t="str">
        <f>IF(MIS_Backend_Data!AO23="", "", MIS_Backend_Data!AO23)</f>
        <v>NA</v>
      </c>
      <c r="P24" t="str">
        <f>IF(MIS_Backend_Data!AS23="", "", MIS_Backend_Data!AS23)</f>
        <v>Completed</v>
      </c>
      <c r="Q24" t="str">
        <f>IF(MIS_Backend_Data!AX23="", "", MIS_Backend_Data!AX23)</f>
        <v>Completed</v>
      </c>
      <c r="R24" t="str">
        <f>IF(MIS_Backend_Data!BB23="", "", MIS_Backend_Data!BB23)</f>
        <v>NA</v>
      </c>
      <c r="S24" t="str">
        <f>IF(MIS_Backend_Data!AW23="", "", MIS_Backend_Data!AW23)</f>
        <v>NA</v>
      </c>
      <c r="T24" s="42" t="str">
        <f>IF(MIS_Backend_Data!N23="Dispatch","Completed","NA")</f>
        <v>Completed</v>
      </c>
      <c r="U24" t="str">
        <f t="shared" si="0"/>
        <v/>
      </c>
      <c r="V24" t="str">
        <f t="shared" si="1"/>
        <v/>
      </c>
      <c r="W24" s="20" t="str">
        <f t="shared" si="2"/>
        <v/>
      </c>
    </row>
    <row r="25" spans="2:23" ht="14.5">
      <c r="B25" s="205" t="str">
        <f ca="1"/>
        <v>2024214879</v>
      </c>
      <c r="C25" s="17" t="str">
        <f ca="1"/>
        <v>Indusind General Insurance Co Ltd</v>
      </c>
      <c r="D25" s="17" t="str">
        <f ca="1"/>
        <v>R001-1023-SS-2025</v>
      </c>
      <c r="E25" s="19">
        <f ca="1"/>
        <v>81</v>
      </c>
      <c r="F25" s="19" t="str">
        <f>IF(MIS_Backend_Data!O24="", "", MIS_Backend_Data!O24)</f>
        <v>Completed</v>
      </c>
      <c r="G25" t="str">
        <f>IF(MIS_Backend_Data!T24="", "", MIS_Backend_Data!T24)</f>
        <v>Completed</v>
      </c>
      <c r="H25" t="str">
        <f>IF(MIS_Backend_Data!X24="", "", MIS_Backend_Data!X24)</f>
        <v>NA</v>
      </c>
      <c r="I25" t="str">
        <f>IF(MIS_Backend_Data!AC24="", "", MIS_Backend_Data!AC24)</f>
        <v>NA</v>
      </c>
      <c r="J25" t="str">
        <f>IF(MIS_Backend_Data!AB24="", "", MIS_Backend_Data!AB24)</f>
        <v>NA</v>
      </c>
      <c r="K25" t="str">
        <f>IF(MIS_Backend_Data!AG24="", "", MIS_Backend_Data!AG24)</f>
        <v>NA</v>
      </c>
      <c r="L25" s="20" t="str">
        <f>IF(MIS_Backend_Data!AI24="", "", MIS_Backend_Data!AI24)</f>
        <v>NA</v>
      </c>
      <c r="M25" t="str">
        <f>IF(MIS_Backend_Data!AK24="", "", MIS_Backend_Data!AK24)</f>
        <v>NA</v>
      </c>
      <c r="N25" t="str">
        <f>IF(MIS_Backend_Data!AM24="", "", MIS_Backend_Data!AM24)</f>
        <v>NA</v>
      </c>
      <c r="O25" t="str">
        <f>IF(MIS_Backend_Data!AO24="", "", MIS_Backend_Data!AO24)</f>
        <v>NA</v>
      </c>
      <c r="P25" t="str">
        <f>IF(MIS_Backend_Data!AS24="", "", MIS_Backend_Data!AS24)</f>
        <v>NA</v>
      </c>
      <c r="Q25" t="str">
        <f>IF(MIS_Backend_Data!AX24="", "", MIS_Backend_Data!AX24)</f>
        <v>NA</v>
      </c>
      <c r="R25" t="str">
        <f>IF(MIS_Backend_Data!BB24="", "", MIS_Backend_Data!BB24)</f>
        <v>NA</v>
      </c>
      <c r="S25" t="str">
        <f>IF(MIS_Backend_Data!AW24="", "", MIS_Backend_Data!AW24)</f>
        <v>NA</v>
      </c>
      <c r="T25" s="42" t="str">
        <f>IF(MIS_Backend_Data!N24="Dispatch","Completed","NA")</f>
        <v>Completed</v>
      </c>
      <c r="U25" t="str">
        <f t="shared" si="0"/>
        <v/>
      </c>
      <c r="V25" t="str">
        <f t="shared" si="1"/>
        <v/>
      </c>
      <c r="W25" s="20" t="str">
        <f t="shared" si="2"/>
        <v/>
      </c>
    </row>
    <row r="26" spans="2:23" ht="14.5">
      <c r="B26" s="205" t="str">
        <f ca="1"/>
        <v>CM889835</v>
      </c>
      <c r="C26" s="17" t="str">
        <f ca="1"/>
        <v>Generali Central Insurance Company Limited</v>
      </c>
      <c r="D26" s="17" t="str">
        <f ca="1"/>
        <v>F001-1024-SS-2025</v>
      </c>
      <c r="E26" s="19">
        <f ca="1"/>
        <v>98</v>
      </c>
      <c r="F26" s="19" t="str">
        <f>IF(MIS_Backend_Data!O25="", "", MIS_Backend_Data!O25)</f>
        <v>WIP</v>
      </c>
      <c r="G26" t="str">
        <f>IF(MIS_Backend_Data!T25="", "", MIS_Backend_Data!T25)</f>
        <v>Completed</v>
      </c>
      <c r="H26" t="str">
        <f>IF(MIS_Backend_Data!X25="", "", MIS_Backend_Data!X25)</f>
        <v>NA</v>
      </c>
      <c r="I26" t="str">
        <f>IF(MIS_Backend_Data!AC25="", "", MIS_Backend_Data!AC25)</f>
        <v>Completed</v>
      </c>
      <c r="J26" t="str">
        <f>IF(MIS_Backend_Data!AB25="", "", MIS_Backend_Data!AB25)</f>
        <v>NA</v>
      </c>
      <c r="K26" t="str">
        <f>IF(MIS_Backend_Data!AG25="", "", MIS_Backend_Data!AG25)</f>
        <v>NA</v>
      </c>
      <c r="L26" s="20" t="str">
        <f>IF(MIS_Backend_Data!AI25="", "", MIS_Backend_Data!AI25)</f>
        <v>NA</v>
      </c>
      <c r="M26" t="str">
        <f>IF(MIS_Backend_Data!AK25="", "", MIS_Backend_Data!AK25)</f>
        <v>NA</v>
      </c>
      <c r="N26" t="str">
        <f>IF(MIS_Backend_Data!AM25="", "", MIS_Backend_Data!AM25)</f>
        <v>NA</v>
      </c>
      <c r="O26" t="str">
        <f>IF(MIS_Backend_Data!AO25="", "", MIS_Backend_Data!AO25)</f>
        <v>NA</v>
      </c>
      <c r="P26" t="str">
        <f>IF(MIS_Backend_Data!AS25="", "", MIS_Backend_Data!AS25)</f>
        <v>Completed</v>
      </c>
      <c r="Q26" t="str">
        <f>IF(MIS_Backend_Data!AX25="", "", MIS_Backend_Data!AX25)</f>
        <v>NA</v>
      </c>
      <c r="R26" t="str">
        <f>IF(MIS_Backend_Data!BB25="", "", MIS_Backend_Data!BB25)</f>
        <v>NI</v>
      </c>
      <c r="S26" t="str">
        <f>IF(MIS_Backend_Data!AW25="", "", MIS_Backend_Data!AW25)</f>
        <v>NA</v>
      </c>
      <c r="T26" s="42" t="str">
        <f>IF(MIS_Backend_Data!N25="Dispatch","Completed","NA")</f>
        <v>NA</v>
      </c>
      <c r="U26" t="str">
        <f t="shared" si="0"/>
        <v/>
      </c>
      <c r="V26" t="str">
        <f t="shared" si="1"/>
        <v/>
      </c>
      <c r="W26" s="20" t="str">
        <f t="shared" si="2"/>
        <v/>
      </c>
    </row>
    <row r="27" spans="2:23" ht="14.5">
      <c r="B27" s="205" t="str">
        <f ca="1"/>
        <v>2022201759</v>
      </c>
      <c r="C27" s="17" t="str">
        <f ca="1"/>
        <v>Indusind General Insurance Co Ltd</v>
      </c>
      <c r="D27" s="17" t="str">
        <f ca="1"/>
        <v>R001-1025-SS-2025</v>
      </c>
      <c r="E27" s="19">
        <f ca="1"/>
        <v>70</v>
      </c>
      <c r="F27" s="19" t="str">
        <f>IF(MIS_Backend_Data!O26="", "", MIS_Backend_Data!O26)</f>
        <v>Completed</v>
      </c>
      <c r="G27" t="str">
        <f>IF(MIS_Backend_Data!T26="", "", MIS_Backend_Data!T26)</f>
        <v>NA</v>
      </c>
      <c r="H27" t="str">
        <f>IF(MIS_Backend_Data!X26="", "", MIS_Backend_Data!X26)</f>
        <v>NA</v>
      </c>
      <c r="I27" t="str">
        <f>IF(MIS_Backend_Data!AC26="", "", MIS_Backend_Data!AC26)</f>
        <v>NA</v>
      </c>
      <c r="J27" t="str">
        <f>IF(MIS_Backend_Data!AB26="", "", MIS_Backend_Data!AB26)</f>
        <v>NA</v>
      </c>
      <c r="K27" t="str">
        <f>IF(MIS_Backend_Data!AG26="", "", MIS_Backend_Data!AG26)</f>
        <v>NA</v>
      </c>
      <c r="L27" s="20" t="str">
        <f>IF(MIS_Backend_Data!AI26="", "", MIS_Backend_Data!AI26)</f>
        <v>NA</v>
      </c>
      <c r="M27" t="str">
        <f>IF(MIS_Backend_Data!AK26="", "", MIS_Backend_Data!AK26)</f>
        <v>NA</v>
      </c>
      <c r="N27" t="str">
        <f>IF(MIS_Backend_Data!AM26="", "", MIS_Backend_Data!AM26)</f>
        <v>WIP</v>
      </c>
      <c r="O27" t="str">
        <f>IF(MIS_Backend_Data!AO26="", "", MIS_Backend_Data!AO26)</f>
        <v>NA</v>
      </c>
      <c r="P27" t="str">
        <f>IF(MIS_Backend_Data!AS26="", "", MIS_Backend_Data!AS26)</f>
        <v>NA</v>
      </c>
      <c r="Q27" t="str">
        <f>IF(MIS_Backend_Data!AX26="", "", MIS_Backend_Data!AX26)</f>
        <v>NA</v>
      </c>
      <c r="R27" t="str">
        <f>IF(MIS_Backend_Data!BB26="", "", MIS_Backend_Data!BB26)</f>
        <v>NA</v>
      </c>
      <c r="S27" t="str">
        <f>IF(MIS_Backend_Data!AW26="", "", MIS_Backend_Data!AW26)</f>
        <v>NA</v>
      </c>
      <c r="T27" s="42" t="str">
        <f>IF(MIS_Backend_Data!N26="Dispatch","Completed","NA")</f>
        <v>Completed</v>
      </c>
      <c r="U27" t="str">
        <f t="shared" si="0"/>
        <v/>
      </c>
      <c r="V27" t="str">
        <f t="shared" si="1"/>
        <v/>
      </c>
      <c r="W27" s="20" t="str">
        <f t="shared" si="2"/>
        <v/>
      </c>
    </row>
    <row r="28" spans="2:23" ht="14.5">
      <c r="B28" s="205" t="str">
        <f ca="1"/>
        <v>2025202327</v>
      </c>
      <c r="C28" s="17" t="str">
        <f ca="1"/>
        <v>Indusind General Insurance Co Ltd</v>
      </c>
      <c r="D28" s="17" t="str">
        <f ca="1"/>
        <v>R001-1026-SS-2025</v>
      </c>
      <c r="E28" s="19">
        <f ca="1"/>
        <v>89</v>
      </c>
      <c r="F28" s="19" t="str">
        <f>IF(MIS_Backend_Data!O27="", "", MIS_Backend_Data!O27)</f>
        <v>QC</v>
      </c>
      <c r="G28" t="str">
        <f>IF(MIS_Backend_Data!T27="", "", MIS_Backend_Data!T27)</f>
        <v>Completed</v>
      </c>
      <c r="H28" t="str">
        <f>IF(MIS_Backend_Data!X27="", "", MIS_Backend_Data!X27)</f>
        <v>NA</v>
      </c>
      <c r="I28" t="str">
        <f>IF(MIS_Backend_Data!AC27="", "", MIS_Backend_Data!AC27)</f>
        <v>Completed</v>
      </c>
      <c r="J28" t="str">
        <f>IF(MIS_Backend_Data!AB27="", "", MIS_Backend_Data!AB27)</f>
        <v>NA</v>
      </c>
      <c r="K28" t="str">
        <f>IF(MIS_Backend_Data!AG27="", "", MIS_Backend_Data!AG27)</f>
        <v>Completed</v>
      </c>
      <c r="L28" s="20" t="str">
        <f>IF(MIS_Backend_Data!AI27="", "", MIS_Backend_Data!AI27)</f>
        <v>NA</v>
      </c>
      <c r="M28" t="str">
        <f>IF(MIS_Backend_Data!AK27="", "", MIS_Backend_Data!AK27)</f>
        <v>NA</v>
      </c>
      <c r="N28" t="str">
        <f>IF(MIS_Backend_Data!AM27="", "", MIS_Backend_Data!AM27)</f>
        <v>NA</v>
      </c>
      <c r="O28" t="str">
        <f>IF(MIS_Backend_Data!AO27="", "", MIS_Backend_Data!AO27)</f>
        <v>NA</v>
      </c>
      <c r="P28" t="str">
        <f>IF(MIS_Backend_Data!AS27="", "", MIS_Backend_Data!AS27)</f>
        <v>Completed</v>
      </c>
      <c r="Q28" t="str">
        <f>IF(MIS_Backend_Data!AX27="", "", MIS_Backend_Data!AX27)</f>
        <v>Completed</v>
      </c>
      <c r="R28" t="str">
        <f>IF(MIS_Backend_Data!BB27="", "", MIS_Backend_Data!BB27)</f>
        <v>NA</v>
      </c>
      <c r="S28" t="str">
        <f>IF(MIS_Backend_Data!AW27="", "", MIS_Backend_Data!AW27)</f>
        <v>NA</v>
      </c>
      <c r="T28" s="42" t="str">
        <f>IF(MIS_Backend_Data!N27="Dispatch","Completed","NA")</f>
        <v>NA</v>
      </c>
      <c r="U28" t="str">
        <f t="shared" si="0"/>
        <v/>
      </c>
      <c r="V28" t="str">
        <f t="shared" si="1"/>
        <v/>
      </c>
      <c r="W28" s="20" t="str">
        <f t="shared" si="2"/>
        <v/>
      </c>
    </row>
    <row r="29" spans="2:23" ht="14.5">
      <c r="B29" s="205" t="str">
        <f ca="1"/>
        <v>2025200573</v>
      </c>
      <c r="C29" s="17" t="str">
        <f ca="1"/>
        <v>Indusind General Insurance Co Ltd</v>
      </c>
      <c r="D29" s="17" t="str">
        <f ca="1"/>
        <v>R001-1027-SS-2025</v>
      </c>
      <c r="E29" s="19">
        <f ca="1"/>
        <v>89</v>
      </c>
      <c r="F29" s="19" t="str">
        <f>IF(MIS_Backend_Data!O28="", "", MIS_Backend_Data!O28)</f>
        <v>WIP</v>
      </c>
      <c r="G29" t="str">
        <f>IF(MIS_Backend_Data!T28="", "", MIS_Backend_Data!T28)</f>
        <v>Completed</v>
      </c>
      <c r="H29" t="str">
        <f>IF(MIS_Backend_Data!X28="", "", MIS_Backend_Data!X28)</f>
        <v>NA</v>
      </c>
      <c r="I29" t="str">
        <f>IF(MIS_Backend_Data!AC28="", "", MIS_Backend_Data!AC28)</f>
        <v>WIP</v>
      </c>
      <c r="J29" t="str">
        <f>IF(MIS_Backend_Data!AB28="", "", MIS_Backend_Data!AB28)</f>
        <v>NA</v>
      </c>
      <c r="K29" t="str">
        <f>IF(MIS_Backend_Data!AG28="", "", MIS_Backend_Data!AG28)</f>
        <v>WIP</v>
      </c>
      <c r="L29" s="20" t="str">
        <f>IF(MIS_Backend_Data!AI28="", "", MIS_Backend_Data!AI28)</f>
        <v>NA</v>
      </c>
      <c r="M29" t="str">
        <f>IF(MIS_Backend_Data!AK28="", "", MIS_Backend_Data!AK28)</f>
        <v>NA</v>
      </c>
      <c r="N29" t="str">
        <f>IF(MIS_Backend_Data!AM28="", "", MIS_Backend_Data!AM28)</f>
        <v>NA</v>
      </c>
      <c r="O29" t="str">
        <f>IF(MIS_Backend_Data!AO28="", "", MIS_Backend_Data!AO28)</f>
        <v>NA</v>
      </c>
      <c r="P29" t="str">
        <f>IF(MIS_Backend_Data!AS28="", "", MIS_Backend_Data!AS28)</f>
        <v>WIP</v>
      </c>
      <c r="Q29" t="str">
        <f>IF(MIS_Backend_Data!AX28="", "", MIS_Backend_Data!AX28)</f>
        <v>WIP</v>
      </c>
      <c r="R29" t="str">
        <f>IF(MIS_Backend_Data!BB28="", "", MIS_Backend_Data!BB28)</f>
        <v>NA</v>
      </c>
      <c r="S29" t="str">
        <f>IF(MIS_Backend_Data!AW28="", "", MIS_Backend_Data!AW28)</f>
        <v>NA</v>
      </c>
      <c r="T29" s="42" t="str">
        <f>IF(MIS_Backend_Data!N28="Dispatch","Completed","NA")</f>
        <v>NA</v>
      </c>
      <c r="U29" t="str">
        <f t="shared" si="0"/>
        <v/>
      </c>
      <c r="V29" t="str">
        <f t="shared" si="1"/>
        <v/>
      </c>
      <c r="W29" s="20" t="str">
        <f t="shared" si="2"/>
        <v/>
      </c>
    </row>
    <row r="30" spans="2:23" ht="14.5">
      <c r="B30" s="205" t="str">
        <f ca="1"/>
        <v>2025206296</v>
      </c>
      <c r="C30" s="17" t="str">
        <f ca="1"/>
        <v>Indusind General Insurance Co Ltd</v>
      </c>
      <c r="D30" s="17" t="str">
        <f ca="1"/>
        <v>R001-1028-SS-2025</v>
      </c>
      <c r="E30" s="19">
        <f ca="1"/>
        <v>89</v>
      </c>
      <c r="F30" s="19" t="str">
        <f>IF(MIS_Backend_Data!O29="", "", MIS_Backend_Data!O29)</f>
        <v>Pending CS</v>
      </c>
      <c r="G30" t="str">
        <f>IF(MIS_Backend_Data!T29="", "", MIS_Backend_Data!T29)</f>
        <v>Completed</v>
      </c>
      <c r="H30" t="str">
        <f>IF(MIS_Backend_Data!X29="", "", MIS_Backend_Data!X29)</f>
        <v>NA</v>
      </c>
      <c r="I30" t="str">
        <f>IF(MIS_Backend_Data!AC29="", "", MIS_Backend_Data!AC29)</f>
        <v>Completed</v>
      </c>
      <c r="J30" t="str">
        <f>IF(MIS_Backend_Data!AB29="", "", MIS_Backend_Data!AB29)</f>
        <v>NA</v>
      </c>
      <c r="K30" t="str">
        <f>IF(MIS_Backend_Data!AG29="", "", MIS_Backend_Data!AG29)</f>
        <v>Completed</v>
      </c>
      <c r="L30" s="20" t="str">
        <f>IF(MIS_Backend_Data!AI29="", "", MIS_Backend_Data!AI29)</f>
        <v>NA</v>
      </c>
      <c r="M30" t="str">
        <f>IF(MIS_Backend_Data!AK29="", "", MIS_Backend_Data!AK29)</f>
        <v>NA</v>
      </c>
      <c r="N30" t="str">
        <f>IF(MIS_Backend_Data!AM29="", "", MIS_Backend_Data!AM29)</f>
        <v>NA</v>
      </c>
      <c r="O30" t="str">
        <f>IF(MIS_Backend_Data!AO29="", "", MIS_Backend_Data!AO29)</f>
        <v>NA</v>
      </c>
      <c r="P30" t="str">
        <f>IF(MIS_Backend_Data!AS29="", "", MIS_Backend_Data!AS29)</f>
        <v>Completed</v>
      </c>
      <c r="Q30" t="str">
        <f>IF(MIS_Backend_Data!AX29="", "", MIS_Backend_Data!AX29)</f>
        <v>WIP</v>
      </c>
      <c r="R30" t="str">
        <f>IF(MIS_Backend_Data!BB29="", "", MIS_Backend_Data!BB29)</f>
        <v>NA</v>
      </c>
      <c r="S30" t="str">
        <f>IF(MIS_Backend_Data!AW29="", "", MIS_Backend_Data!AW29)</f>
        <v>NA</v>
      </c>
      <c r="T30" s="42" t="str">
        <f>IF(MIS_Backend_Data!N29="Dispatch","Completed","NA")</f>
        <v>NA</v>
      </c>
      <c r="U30" t="str">
        <f t="shared" si="0"/>
        <v/>
      </c>
      <c r="V30" t="str">
        <f t="shared" si="1"/>
        <v/>
      </c>
      <c r="W30" s="20" t="str">
        <f t="shared" si="2"/>
        <v/>
      </c>
    </row>
    <row r="31" spans="2:23" ht="14.5">
      <c r="B31" s="205" t="str">
        <f ca="1"/>
        <v>2025202596</v>
      </c>
      <c r="C31" s="17" t="str">
        <f ca="1"/>
        <v>Indusind General Insurance Co Ltd</v>
      </c>
      <c r="D31" s="17" t="str">
        <f ca="1"/>
        <v>R001-1029-SS-2025</v>
      </c>
      <c r="E31" s="19">
        <f ca="1"/>
        <v>57</v>
      </c>
      <c r="F31" s="19" t="str">
        <f>IF(MIS_Backend_Data!O30="", "", MIS_Backend_Data!O30)</f>
        <v>Completed</v>
      </c>
      <c r="G31" t="str">
        <f>IF(MIS_Backend_Data!T30="", "", MIS_Backend_Data!T30)</f>
        <v>Completed</v>
      </c>
      <c r="H31" t="str">
        <f>IF(MIS_Backend_Data!X30="", "", MIS_Backend_Data!X30)</f>
        <v>NA</v>
      </c>
      <c r="I31" t="str">
        <f>IF(MIS_Backend_Data!AC30="", "", MIS_Backend_Data!AC30)</f>
        <v>Completed</v>
      </c>
      <c r="J31" t="str">
        <f>IF(MIS_Backend_Data!AB30="", "", MIS_Backend_Data!AB30)</f>
        <v>NA</v>
      </c>
      <c r="K31" t="str">
        <f>IF(MIS_Backend_Data!AG30="", "", MIS_Backend_Data!AG30)</f>
        <v>Completed</v>
      </c>
      <c r="L31" s="20" t="str">
        <f>IF(MIS_Backend_Data!AI30="", "", MIS_Backend_Data!AI30)</f>
        <v>NA</v>
      </c>
      <c r="M31" t="str">
        <f>IF(MIS_Backend_Data!AK30="", "", MIS_Backend_Data!AK30)</f>
        <v>NA</v>
      </c>
      <c r="N31" t="str">
        <f>IF(MIS_Backend_Data!AM30="", "", MIS_Backend_Data!AM30)</f>
        <v>NA</v>
      </c>
      <c r="O31" t="str">
        <f>IF(MIS_Backend_Data!AO30="", "", MIS_Backend_Data!AO30)</f>
        <v>NA</v>
      </c>
      <c r="P31" t="str">
        <f>IF(MIS_Backend_Data!AS30="", "", MIS_Backend_Data!AS30)</f>
        <v>Completed</v>
      </c>
      <c r="Q31" t="str">
        <f>IF(MIS_Backend_Data!AX30="", "", MIS_Backend_Data!AX30)</f>
        <v>NA</v>
      </c>
      <c r="R31" t="str">
        <f>IF(MIS_Backend_Data!BB30="", "", MIS_Backend_Data!BB30)</f>
        <v>NA</v>
      </c>
      <c r="S31" t="str">
        <f>IF(MIS_Backend_Data!AW30="", "", MIS_Backend_Data!AW30)</f>
        <v>NA</v>
      </c>
      <c r="T31" s="42" t="str">
        <f>IF(MIS_Backend_Data!N30="Dispatch","Completed","NA")</f>
        <v>Completed</v>
      </c>
      <c r="U31" t="str">
        <f t="shared" si="0"/>
        <v/>
      </c>
      <c r="V31" t="str">
        <f t="shared" si="1"/>
        <v/>
      </c>
      <c r="W31" s="20" t="str">
        <f t="shared" si="2"/>
        <v/>
      </c>
    </row>
    <row r="32" spans="2:23" ht="14.5">
      <c r="B32" s="205" t="str">
        <f ca="1"/>
        <v>2025211210</v>
      </c>
      <c r="C32" s="17" t="str">
        <f ca="1"/>
        <v>Indusind General Insurance Co Ltd</v>
      </c>
      <c r="D32" s="17" t="str">
        <f ca="1"/>
        <v>R001-1030-SS-2025</v>
      </c>
      <c r="E32" s="19">
        <f ca="1"/>
        <v>71</v>
      </c>
      <c r="F32" s="19" t="str">
        <f>IF(MIS_Backend_Data!O31="", "", MIS_Backend_Data!O31)</f>
        <v>Completed</v>
      </c>
      <c r="G32" t="str">
        <f>IF(MIS_Backend_Data!T31="", "", MIS_Backend_Data!T31)</f>
        <v>Completed</v>
      </c>
      <c r="H32" t="str">
        <f>IF(MIS_Backend_Data!X31="", "", MIS_Backend_Data!X31)</f>
        <v>NA</v>
      </c>
      <c r="I32" t="str">
        <f>IF(MIS_Backend_Data!AC31="", "", MIS_Backend_Data!AC31)</f>
        <v>Completed</v>
      </c>
      <c r="J32" t="str">
        <f>IF(MIS_Backend_Data!AB31="", "", MIS_Backend_Data!AB31)</f>
        <v>NA</v>
      </c>
      <c r="K32" t="str">
        <f>IF(MIS_Backend_Data!AG31="", "", MIS_Backend_Data!AG31)</f>
        <v>Completed</v>
      </c>
      <c r="L32" s="20" t="str">
        <f>IF(MIS_Backend_Data!AI31="", "", MIS_Backend_Data!AI31)</f>
        <v>NA</v>
      </c>
      <c r="M32" t="str">
        <f>IF(MIS_Backend_Data!AK31="", "", MIS_Backend_Data!AK31)</f>
        <v>NA</v>
      </c>
      <c r="N32" t="str">
        <f>IF(MIS_Backend_Data!AM31="", "", MIS_Backend_Data!AM31)</f>
        <v>NA</v>
      </c>
      <c r="O32" t="str">
        <f>IF(MIS_Backend_Data!AO31="", "", MIS_Backend_Data!AO31)</f>
        <v>NA</v>
      </c>
      <c r="P32" t="str">
        <f>IF(MIS_Backend_Data!AS31="", "", MIS_Backend_Data!AS31)</f>
        <v>Completed</v>
      </c>
      <c r="Q32" t="str">
        <f>IF(MIS_Backend_Data!AX31="", "", MIS_Backend_Data!AX31)</f>
        <v>Completed</v>
      </c>
      <c r="R32" t="str">
        <f>IF(MIS_Backend_Data!BB31="", "", MIS_Backend_Data!BB31)</f>
        <v>NA</v>
      </c>
      <c r="S32" t="str">
        <f>IF(MIS_Backend_Data!AW31="", "", MIS_Backend_Data!AW31)</f>
        <v>NA</v>
      </c>
      <c r="T32" s="42" t="str">
        <f>IF(MIS_Backend_Data!N31="Dispatch","Completed","NA")</f>
        <v>Completed</v>
      </c>
      <c r="U32" t="str">
        <f t="shared" si="0"/>
        <v/>
      </c>
      <c r="V32" t="str">
        <f t="shared" si="1"/>
        <v/>
      </c>
      <c r="W32" s="20" t="str">
        <f t="shared" si="2"/>
        <v/>
      </c>
    </row>
    <row r="33" spans="2:23" ht="14.5">
      <c r="B33" s="205" t="str">
        <f ca="1"/>
        <v>2025211101</v>
      </c>
      <c r="C33" s="17" t="str">
        <f ca="1"/>
        <v>Indusind General Insurance Co Ltd</v>
      </c>
      <c r="D33" s="17" t="str">
        <f ca="1"/>
        <v>R001-1031-SS-2025</v>
      </c>
      <c r="E33" s="19">
        <f ca="1"/>
        <v>89</v>
      </c>
      <c r="F33" s="19" t="str">
        <f>IF(MIS_Backend_Data!O32="", "", MIS_Backend_Data!O32)</f>
        <v>Pending CS</v>
      </c>
      <c r="G33" t="str">
        <f>IF(MIS_Backend_Data!T32="", "", MIS_Backend_Data!T32)</f>
        <v>Completed</v>
      </c>
      <c r="H33" t="str">
        <f>IF(MIS_Backend_Data!X32="", "", MIS_Backend_Data!X32)</f>
        <v>NA</v>
      </c>
      <c r="I33" t="str">
        <f>IF(MIS_Backend_Data!AC32="", "", MIS_Backend_Data!AC32)</f>
        <v>Completed</v>
      </c>
      <c r="J33" t="str">
        <f>IF(MIS_Backend_Data!AB32="", "", MIS_Backend_Data!AB32)</f>
        <v>NA</v>
      </c>
      <c r="K33" t="str">
        <f>IF(MIS_Backend_Data!AG32="", "", MIS_Backend_Data!AG32)</f>
        <v>Completed</v>
      </c>
      <c r="L33" s="20" t="str">
        <f>IF(MIS_Backend_Data!AI32="", "", MIS_Backend_Data!AI32)</f>
        <v>NA</v>
      </c>
      <c r="M33" t="str">
        <f>IF(MIS_Backend_Data!AK32="", "", MIS_Backend_Data!AK32)</f>
        <v>NA</v>
      </c>
      <c r="N33" t="str">
        <f>IF(MIS_Backend_Data!AM32="", "", MIS_Backend_Data!AM32)</f>
        <v>NA</v>
      </c>
      <c r="O33" t="str">
        <f>IF(MIS_Backend_Data!AO32="", "", MIS_Backend_Data!AO32)</f>
        <v>NA</v>
      </c>
      <c r="P33" t="str">
        <f>IF(MIS_Backend_Data!AS32="", "", MIS_Backend_Data!AS32)</f>
        <v>Completed</v>
      </c>
      <c r="Q33" t="str">
        <f>IF(MIS_Backend_Data!AX32="", "", MIS_Backend_Data!AX32)</f>
        <v>WIP</v>
      </c>
      <c r="R33" t="str">
        <f>IF(MIS_Backend_Data!BB32="", "", MIS_Backend_Data!BB32)</f>
        <v>NA</v>
      </c>
      <c r="S33" t="str">
        <f>IF(MIS_Backend_Data!AW32="", "", MIS_Backend_Data!AW32)</f>
        <v>NA</v>
      </c>
      <c r="T33" s="42" t="str">
        <f>IF(MIS_Backend_Data!N32="Dispatch","Completed","NA")</f>
        <v>NA</v>
      </c>
      <c r="U33" t="str">
        <f t="shared" si="0"/>
        <v/>
      </c>
      <c r="V33" t="str">
        <f t="shared" si="1"/>
        <v/>
      </c>
      <c r="W33" s="20" t="str">
        <f t="shared" si="2"/>
        <v/>
      </c>
    </row>
    <row r="34" spans="2:23" ht="29">
      <c r="B34" s="205" t="str">
        <f ca="1"/>
        <v>CN069407</v>
      </c>
      <c r="C34" s="17" t="str">
        <f ca="1"/>
        <v>Generali Central Insurance Company Limited</v>
      </c>
      <c r="D34" s="17" t="str">
        <f ca="1"/>
        <v>F001-1032-SS-2025</v>
      </c>
      <c r="E34" s="19">
        <f ca="1"/>
        <v>48</v>
      </c>
      <c r="F34" s="19" t="str">
        <f>IF(MIS_Backend_Data!O33="", "", MIS_Backend_Data!O33)</f>
        <v>Completed</v>
      </c>
      <c r="G34" t="str">
        <f>IF(MIS_Backend_Data!T33="", "", MIS_Backend_Data!T33)</f>
        <v>Completed</v>
      </c>
      <c r="H34" t="str">
        <f>IF(MIS_Backend_Data!X33="", "", MIS_Backend_Data!X33)</f>
        <v>NA</v>
      </c>
      <c r="I34" t="str">
        <f>IF(MIS_Backend_Data!AC33="", "", MIS_Backend_Data!AC33)</f>
        <v>Completed</v>
      </c>
      <c r="J34" t="str">
        <f>IF(MIS_Backend_Data!AB33="", "", MIS_Backend_Data!AB33)</f>
        <v>NA</v>
      </c>
      <c r="K34" t="str">
        <f>IF(MIS_Backend_Data!AG33="", "", MIS_Backend_Data!AG33)</f>
        <v>Completed</v>
      </c>
      <c r="L34" s="20" t="str">
        <f>IF(MIS_Backend_Data!AI33="", "", MIS_Backend_Data!AI33)</f>
        <v>Completed</v>
      </c>
      <c r="M34" t="str">
        <f>IF(MIS_Backend_Data!AK33="", "", MIS_Backend_Data!AK33)</f>
        <v>Completed</v>
      </c>
      <c r="N34" t="str">
        <f>IF(MIS_Backend_Data!AM33="", "", MIS_Backend_Data!AM33)</f>
        <v>NA</v>
      </c>
      <c r="O34" t="str">
        <f>IF(MIS_Backend_Data!AO33="", "", MIS_Backend_Data!AO33)</f>
        <v>NA</v>
      </c>
      <c r="P34" t="str">
        <f>IF(MIS_Backend_Data!AS33="", "", MIS_Backend_Data!AS33)</f>
        <v>Completed</v>
      </c>
      <c r="Q34" t="str">
        <f>IF(MIS_Backend_Data!AX33="", "", MIS_Backend_Data!AX33)</f>
        <v>Completed</v>
      </c>
      <c r="R34" t="str">
        <f>IF(MIS_Backend_Data!BB33="", "", MIS_Backend_Data!BB33)</f>
        <v>Completed</v>
      </c>
      <c r="S34" t="str">
        <f>IF(MIS_Backend_Data!AW33="", "", MIS_Backend_Data!AW33)</f>
        <v>NA</v>
      </c>
      <c r="T34" s="42" t="str">
        <f>IF(MIS_Backend_Data!N33="Dispatch","Completed","NA")</f>
        <v>Completed</v>
      </c>
      <c r="U34" t="str">
        <f t="shared" si="0"/>
        <v/>
      </c>
      <c r="V34" t="str">
        <f t="shared" si="1"/>
        <v/>
      </c>
      <c r="W34" s="20" t="str">
        <f t="shared" si="2"/>
        <v/>
      </c>
    </row>
    <row r="35" spans="2:23" ht="14.5">
      <c r="B35" s="205" t="str">
        <f ca="1"/>
        <v>2025211134</v>
      </c>
      <c r="C35" s="17" t="str">
        <f ca="1"/>
        <v>Indusind General Insurance Co Ltd</v>
      </c>
      <c r="D35" s="17" t="str">
        <f ca="1"/>
        <v>R001-1033-SS-2025</v>
      </c>
      <c r="E35" s="19">
        <f ca="1"/>
        <v>87</v>
      </c>
      <c r="F35" s="19" t="str">
        <f>IF(MIS_Backend_Data!O34="", "", MIS_Backend_Data!O34)</f>
        <v>WIP</v>
      </c>
      <c r="G35" t="str">
        <f>IF(MIS_Backend_Data!T34="", "", MIS_Backend_Data!T34)</f>
        <v>Completed</v>
      </c>
      <c r="H35" t="str">
        <f>IF(MIS_Backend_Data!X34="", "", MIS_Backend_Data!X34)</f>
        <v>NA</v>
      </c>
      <c r="I35" t="str">
        <f>IF(MIS_Backend_Data!AC34="", "", MIS_Backend_Data!AC34)</f>
        <v>Completed</v>
      </c>
      <c r="J35" t="str">
        <f>IF(MIS_Backend_Data!AB34="", "", MIS_Backend_Data!AB34)</f>
        <v>NA</v>
      </c>
      <c r="K35" t="str">
        <f>IF(MIS_Backend_Data!AG34="", "", MIS_Backend_Data!AG34)</f>
        <v>WIP</v>
      </c>
      <c r="L35" s="20" t="str">
        <f>IF(MIS_Backend_Data!AI34="", "", MIS_Backend_Data!AI34)</f>
        <v>NA</v>
      </c>
      <c r="M35" t="str">
        <f>IF(MIS_Backend_Data!AK34="", "", MIS_Backend_Data!AK34)</f>
        <v>NA</v>
      </c>
      <c r="N35" t="str">
        <f>IF(MIS_Backend_Data!AM34="", "", MIS_Backend_Data!AM34)</f>
        <v>NA</v>
      </c>
      <c r="O35" t="str">
        <f>IF(MIS_Backend_Data!AO34="", "", MIS_Backend_Data!AO34)</f>
        <v>NA</v>
      </c>
      <c r="P35" t="str">
        <f>IF(MIS_Backend_Data!AS34="", "", MIS_Backend_Data!AS34)</f>
        <v>Completed</v>
      </c>
      <c r="Q35" t="str">
        <f>IF(MIS_Backend_Data!AX34="", "", MIS_Backend_Data!AX34)</f>
        <v>Completed</v>
      </c>
      <c r="R35" t="str">
        <f>IF(MIS_Backend_Data!BB34="", "", MIS_Backend_Data!BB34)</f>
        <v>NA</v>
      </c>
      <c r="S35" t="str">
        <f>IF(MIS_Backend_Data!AW34="", "", MIS_Backend_Data!AW34)</f>
        <v>NA</v>
      </c>
      <c r="T35" s="42" t="str">
        <f>IF(MIS_Backend_Data!N34="Dispatch","Completed","NA")</f>
        <v>NA</v>
      </c>
      <c r="U35" t="str">
        <f t="shared" si="0"/>
        <v/>
      </c>
      <c r="V35">
        <f t="shared" si="1"/>
        <v>1</v>
      </c>
      <c r="W35" s="20" t="str">
        <f t="shared" si="2"/>
        <v/>
      </c>
    </row>
    <row r="36" spans="2:23" ht="14.5">
      <c r="B36" s="205" t="str">
        <f ca="1"/>
        <v>2025207292</v>
      </c>
      <c r="C36" s="17" t="str">
        <f ca="1"/>
        <v>Indusind General Insurance Co Ltd</v>
      </c>
      <c r="D36" s="17" t="str">
        <f ca="1"/>
        <v>R001-1034-SS-2025</v>
      </c>
      <c r="E36" s="19">
        <f ca="1"/>
        <v>87</v>
      </c>
      <c r="F36" s="19" t="str">
        <f>IF(MIS_Backend_Data!O35="", "", MIS_Backend_Data!O35)</f>
        <v>Pending CS</v>
      </c>
      <c r="G36" t="str">
        <f>IF(MIS_Backend_Data!T35="", "", MIS_Backend_Data!T35)</f>
        <v>NA</v>
      </c>
      <c r="H36" t="str">
        <f>IF(MIS_Backend_Data!X35="", "", MIS_Backend_Data!X35)</f>
        <v>NA</v>
      </c>
      <c r="I36" t="str">
        <f>IF(MIS_Backend_Data!AC35="", "", MIS_Backend_Data!AC35)</f>
        <v>NA</v>
      </c>
      <c r="J36" t="str">
        <f>IF(MIS_Backend_Data!AB35="", "", MIS_Backend_Data!AB35)</f>
        <v>NA</v>
      </c>
      <c r="K36" t="str">
        <f>IF(MIS_Backend_Data!AG35="", "", MIS_Backend_Data!AG35)</f>
        <v>NA</v>
      </c>
      <c r="L36" s="20" t="str">
        <f>IF(MIS_Backend_Data!AI35="", "", MIS_Backend_Data!AI35)</f>
        <v>NA</v>
      </c>
      <c r="M36" t="str">
        <f>IF(MIS_Backend_Data!AK35="", "", MIS_Backend_Data!AK35)</f>
        <v>NA</v>
      </c>
      <c r="N36" t="str">
        <f>IF(MIS_Backend_Data!AM35="", "", MIS_Backend_Data!AM35)</f>
        <v>NA</v>
      </c>
      <c r="O36" t="str">
        <f>IF(MIS_Backend_Data!AO35="", "", MIS_Backend_Data!AO35)</f>
        <v>NA</v>
      </c>
      <c r="P36" t="str">
        <f>IF(MIS_Backend_Data!AS35="", "", MIS_Backend_Data!AS35)</f>
        <v>NA</v>
      </c>
      <c r="Q36" t="str">
        <f>IF(MIS_Backend_Data!AX35="", "", MIS_Backend_Data!AX35)</f>
        <v>WIP</v>
      </c>
      <c r="R36" t="str">
        <f>IF(MIS_Backend_Data!BB35="", "", MIS_Backend_Data!BB35)</f>
        <v>NA</v>
      </c>
      <c r="S36" t="str">
        <f>IF(MIS_Backend_Data!AW35="", "", MIS_Backend_Data!AW35)</f>
        <v>NA</v>
      </c>
      <c r="T36" s="42" t="str">
        <f>IF(MIS_Backend_Data!N35="Dispatch","Completed","NA")</f>
        <v>NA</v>
      </c>
      <c r="U36" t="str">
        <f t="shared" si="0"/>
        <v/>
      </c>
      <c r="V36" t="str">
        <f t="shared" si="1"/>
        <v/>
      </c>
      <c r="W36" s="20" t="str">
        <f t="shared" si="2"/>
        <v/>
      </c>
    </row>
    <row r="37" spans="2:23" ht="14.5">
      <c r="B37" s="205" t="str">
        <f ca="1"/>
        <v>2025211462</v>
      </c>
      <c r="C37" s="17" t="str">
        <f ca="1"/>
        <v>Indusind General Insurance Co Ltd</v>
      </c>
      <c r="D37" s="17" t="str">
        <f ca="1"/>
        <v>R001-1035-SS-2025</v>
      </c>
      <c r="E37" s="19">
        <f ca="1"/>
        <v>83</v>
      </c>
      <c r="F37" s="19" t="str">
        <f>IF(MIS_Backend_Data!O36="", "", MIS_Backend_Data!O36)</f>
        <v>QC</v>
      </c>
      <c r="G37" t="str">
        <f>IF(MIS_Backend_Data!T36="", "", MIS_Backend_Data!T36)</f>
        <v>Completed</v>
      </c>
      <c r="H37" t="str">
        <f>IF(MIS_Backend_Data!X36="", "", MIS_Backend_Data!X36)</f>
        <v>NA</v>
      </c>
      <c r="I37" t="str">
        <f>IF(MIS_Backend_Data!AC36="", "", MIS_Backend_Data!AC36)</f>
        <v>Completed</v>
      </c>
      <c r="J37" t="str">
        <f>IF(MIS_Backend_Data!AB36="", "", MIS_Backend_Data!AB36)</f>
        <v>NA</v>
      </c>
      <c r="K37" t="str">
        <f>IF(MIS_Backend_Data!AG36="", "", MIS_Backend_Data!AG36)</f>
        <v>NA</v>
      </c>
      <c r="L37" s="20" t="str">
        <f>IF(MIS_Backend_Data!AI36="", "", MIS_Backend_Data!AI36)</f>
        <v>NA</v>
      </c>
      <c r="M37" t="str">
        <f>IF(MIS_Backend_Data!AK36="", "", MIS_Backend_Data!AK36)</f>
        <v>NA</v>
      </c>
      <c r="N37" t="str">
        <f>IF(MIS_Backend_Data!AM36="", "", MIS_Backend_Data!AM36)</f>
        <v>NA</v>
      </c>
      <c r="O37" t="str">
        <f>IF(MIS_Backend_Data!AO36="", "", MIS_Backend_Data!AO36)</f>
        <v>NA</v>
      </c>
      <c r="P37" t="str">
        <f>IF(MIS_Backend_Data!AS36="", "", MIS_Backend_Data!AS36)</f>
        <v>Completed</v>
      </c>
      <c r="Q37" t="str">
        <f>IF(MIS_Backend_Data!AX36="", "", MIS_Backend_Data!AX36)</f>
        <v>WIP</v>
      </c>
      <c r="R37" t="str">
        <f>IF(MIS_Backend_Data!BB36="", "", MIS_Backend_Data!BB36)</f>
        <v>NA</v>
      </c>
      <c r="S37" t="str">
        <f>IF(MIS_Backend_Data!AW36="", "", MIS_Backend_Data!AW36)</f>
        <v>NA</v>
      </c>
      <c r="T37" s="42" t="str">
        <f>IF(MIS_Backend_Data!N36="Dispatch","Completed","NA")</f>
        <v>NA</v>
      </c>
      <c r="U37" t="str">
        <f t="shared" si="0"/>
        <v/>
      </c>
      <c r="V37" t="str">
        <f t="shared" si="1"/>
        <v/>
      </c>
      <c r="W37" s="20" t="str">
        <f t="shared" si="2"/>
        <v/>
      </c>
    </row>
    <row r="38" spans="2:23" ht="14.5">
      <c r="B38" s="205" t="str">
        <f ca="1"/>
        <v>2025211458</v>
      </c>
      <c r="C38" s="17" t="str">
        <f ca="1"/>
        <v>Indusind General Insurance Co Ltd</v>
      </c>
      <c r="D38" s="17" t="str">
        <f ca="1"/>
        <v>R001-1036-SS-2025</v>
      </c>
      <c r="E38" s="19">
        <f ca="1"/>
        <v>83</v>
      </c>
      <c r="F38" s="19" t="str">
        <f>IF(MIS_Backend_Data!O37="", "", MIS_Backend_Data!O37)</f>
        <v>Pending CS</v>
      </c>
      <c r="G38" t="str">
        <f>IF(MIS_Backend_Data!T37="", "", MIS_Backend_Data!T37)</f>
        <v>Completed</v>
      </c>
      <c r="H38" t="str">
        <f>IF(MIS_Backend_Data!X37="", "", MIS_Backend_Data!X37)</f>
        <v>NA</v>
      </c>
      <c r="I38" t="str">
        <f>IF(MIS_Backend_Data!AC37="", "", MIS_Backend_Data!AC37)</f>
        <v>Completed</v>
      </c>
      <c r="J38" t="str">
        <f>IF(MIS_Backend_Data!AB37="", "", MIS_Backend_Data!AB37)</f>
        <v>NA</v>
      </c>
      <c r="K38" t="str">
        <f>IF(MIS_Backend_Data!AG37="", "", MIS_Backend_Data!AG37)</f>
        <v>Completed</v>
      </c>
      <c r="L38" s="20" t="str">
        <f>IF(MIS_Backend_Data!AI37="", "", MIS_Backend_Data!AI37)</f>
        <v>NA</v>
      </c>
      <c r="M38" t="str">
        <f>IF(MIS_Backend_Data!AK37="", "", MIS_Backend_Data!AK37)</f>
        <v>NA</v>
      </c>
      <c r="N38" t="str">
        <f>IF(MIS_Backend_Data!AM37="", "", MIS_Backend_Data!AM37)</f>
        <v>NA</v>
      </c>
      <c r="O38" t="str">
        <f>IF(MIS_Backend_Data!AO37="", "", MIS_Backend_Data!AO37)</f>
        <v>NA</v>
      </c>
      <c r="P38" t="str">
        <f>IF(MIS_Backend_Data!AS37="", "", MIS_Backend_Data!AS37)</f>
        <v>Completed</v>
      </c>
      <c r="Q38" t="str">
        <f>IF(MIS_Backend_Data!AX37="", "", MIS_Backend_Data!AX37)</f>
        <v>WIP</v>
      </c>
      <c r="R38" t="str">
        <f>IF(MIS_Backend_Data!BB37="", "", MIS_Backend_Data!BB37)</f>
        <v>NA</v>
      </c>
      <c r="S38" t="str">
        <f>IF(MIS_Backend_Data!AW37="", "", MIS_Backend_Data!AW37)</f>
        <v>NA</v>
      </c>
      <c r="T38" s="42" t="str">
        <f>IF(MIS_Backend_Data!N37="Dispatch","Completed","NA")</f>
        <v>NA</v>
      </c>
      <c r="U38" t="str">
        <f t="shared" si="0"/>
        <v/>
      </c>
      <c r="V38" t="str">
        <f t="shared" si="1"/>
        <v/>
      </c>
      <c r="W38" s="20" t="str">
        <f t="shared" si="2"/>
        <v/>
      </c>
    </row>
    <row r="39" spans="2:23" ht="14.5">
      <c r="B39" s="205" t="str">
        <f ca="1"/>
        <v>2025211454</v>
      </c>
      <c r="C39" s="17" t="str">
        <f ca="1"/>
        <v>Indusind General Insurance Co Ltd</v>
      </c>
      <c r="D39" s="17" t="str">
        <f ca="1"/>
        <v>R001-1037-SS-2025</v>
      </c>
      <c r="E39" s="19">
        <f ca="1"/>
        <v>83</v>
      </c>
      <c r="F39" s="19" t="str">
        <f>IF(MIS_Backend_Data!O38="", "", MIS_Backend_Data!O38)</f>
        <v>WIP</v>
      </c>
      <c r="G39" t="str">
        <f>IF(MIS_Backend_Data!T38="", "", MIS_Backend_Data!T38)</f>
        <v>Completed</v>
      </c>
      <c r="H39" t="str">
        <f>IF(MIS_Backend_Data!X38="", "", MIS_Backend_Data!X38)</f>
        <v>NA</v>
      </c>
      <c r="I39" t="str">
        <f>IF(MIS_Backend_Data!AC38="", "", MIS_Backend_Data!AC38)</f>
        <v>Completed</v>
      </c>
      <c r="J39" t="str">
        <f>IF(MIS_Backend_Data!AB38="", "", MIS_Backend_Data!AB38)</f>
        <v>NA</v>
      </c>
      <c r="K39" t="str">
        <f>IF(MIS_Backend_Data!AG38="", "", MIS_Backend_Data!AG38)</f>
        <v>WIP</v>
      </c>
      <c r="L39" s="20" t="str">
        <f>IF(MIS_Backend_Data!AI38="", "", MIS_Backend_Data!AI38)</f>
        <v>NA</v>
      </c>
      <c r="M39" t="str">
        <f>IF(MIS_Backend_Data!AK38="", "", MIS_Backend_Data!AK38)</f>
        <v>NA</v>
      </c>
      <c r="N39" t="str">
        <f>IF(MIS_Backend_Data!AM38="", "", MIS_Backend_Data!AM38)</f>
        <v>NA</v>
      </c>
      <c r="O39" t="str">
        <f>IF(MIS_Backend_Data!AO38="", "", MIS_Backend_Data!AO38)</f>
        <v>NA</v>
      </c>
      <c r="P39" t="str">
        <f>IF(MIS_Backend_Data!AS38="", "", MIS_Backend_Data!AS38)</f>
        <v>Completed</v>
      </c>
      <c r="Q39" t="str">
        <f>IF(MIS_Backend_Data!AX38="", "", MIS_Backend_Data!AX38)</f>
        <v>WIP</v>
      </c>
      <c r="R39" t="str">
        <f>IF(MIS_Backend_Data!BB38="", "", MIS_Backend_Data!BB38)</f>
        <v>NA</v>
      </c>
      <c r="S39" t="str">
        <f>IF(MIS_Backend_Data!AW38="", "", MIS_Backend_Data!AW38)</f>
        <v>NA</v>
      </c>
      <c r="T39" s="42" t="str">
        <f>IF(MIS_Backend_Data!N38="Dispatch","Completed","NA")</f>
        <v>NA</v>
      </c>
      <c r="U39">
        <f t="shared" si="0"/>
        <v>2</v>
      </c>
      <c r="V39" t="str">
        <f t="shared" si="1"/>
        <v/>
      </c>
      <c r="W39" s="20" t="str">
        <f t="shared" si="2"/>
        <v/>
      </c>
    </row>
    <row r="40" spans="2:23" ht="14.5">
      <c r="B40" s="205" t="str">
        <f ca="1"/>
        <v>2025211475</v>
      </c>
      <c r="C40" s="17" t="str">
        <f ca="1"/>
        <v>Indusind General Insurance Co Ltd</v>
      </c>
      <c r="D40" s="17" t="str">
        <f ca="1"/>
        <v>R001-1038-SS-2025</v>
      </c>
      <c r="E40" s="19">
        <f ca="1"/>
        <v>81</v>
      </c>
      <c r="F40" s="19" t="str">
        <f>IF(MIS_Backend_Data!O39="", "", MIS_Backend_Data!O39)</f>
        <v>WIP</v>
      </c>
      <c r="G40" t="str">
        <f>IF(MIS_Backend_Data!T39="", "", MIS_Backend_Data!T39)</f>
        <v>Completed</v>
      </c>
      <c r="H40" t="str">
        <f>IF(MIS_Backend_Data!X39="", "", MIS_Backend_Data!X39)</f>
        <v>NA</v>
      </c>
      <c r="I40" t="str">
        <f>IF(MIS_Backend_Data!AC39="", "", MIS_Backend_Data!AC39)</f>
        <v>Completed</v>
      </c>
      <c r="J40" t="str">
        <f>IF(MIS_Backend_Data!AB39="", "", MIS_Backend_Data!AB39)</f>
        <v>NA</v>
      </c>
      <c r="K40" t="str">
        <f>IF(MIS_Backend_Data!AG39="", "", MIS_Backend_Data!AG39)</f>
        <v>WIP</v>
      </c>
      <c r="L40" s="20" t="str">
        <f>IF(MIS_Backend_Data!AI39="", "", MIS_Backend_Data!AI39)</f>
        <v>NA</v>
      </c>
      <c r="M40" t="str">
        <f>IF(MIS_Backend_Data!AK39="", "", MIS_Backend_Data!AK39)</f>
        <v>NA</v>
      </c>
      <c r="N40" t="str">
        <f>IF(MIS_Backend_Data!AM39="", "", MIS_Backend_Data!AM39)</f>
        <v>NA</v>
      </c>
      <c r="O40" t="str">
        <f>IF(MIS_Backend_Data!AO39="", "", MIS_Backend_Data!AO39)</f>
        <v>NA</v>
      </c>
      <c r="P40" t="str">
        <f>IF(MIS_Backend_Data!AS39="", "", MIS_Backend_Data!AS39)</f>
        <v>WIP</v>
      </c>
      <c r="Q40" t="str">
        <f>IF(MIS_Backend_Data!AX39="", "", MIS_Backend_Data!AX39)</f>
        <v>WIP</v>
      </c>
      <c r="R40" t="str">
        <f>IF(MIS_Backend_Data!BB39="", "", MIS_Backend_Data!BB39)</f>
        <v>NA</v>
      </c>
      <c r="S40" t="str">
        <f>IF(MIS_Backend_Data!AW39="", "", MIS_Backend_Data!AW39)</f>
        <v>NA</v>
      </c>
      <c r="T40" s="42" t="str">
        <f>IF(MIS_Backend_Data!N39="Dispatch","Completed","NA")</f>
        <v>NA</v>
      </c>
      <c r="U40" t="str">
        <f t="shared" si="0"/>
        <v/>
      </c>
      <c r="V40" t="str">
        <f t="shared" si="1"/>
        <v/>
      </c>
      <c r="W40" s="20" t="str">
        <f t="shared" si="2"/>
        <v/>
      </c>
    </row>
    <row r="41" spans="2:23" ht="14.5">
      <c r="B41" s="205" t="str">
        <f ca="1"/>
        <v>2025211478</v>
      </c>
      <c r="C41" s="17" t="str">
        <f ca="1"/>
        <v>Indusind General Insurance Co Ltd</v>
      </c>
      <c r="D41" s="17" t="str">
        <f ca="1"/>
        <v>R001-1039-SS-2025</v>
      </c>
      <c r="E41" s="19">
        <f ca="1"/>
        <v>81</v>
      </c>
      <c r="F41" s="19" t="str">
        <f>IF(MIS_Backend_Data!O40="", "", MIS_Backend_Data!O40)</f>
        <v>Pending CS</v>
      </c>
      <c r="G41" t="str">
        <f>IF(MIS_Backend_Data!T40="", "", MIS_Backend_Data!T40)</f>
        <v>Completed</v>
      </c>
      <c r="H41" t="str">
        <f>IF(MIS_Backend_Data!X40="", "", MIS_Backend_Data!X40)</f>
        <v>NA</v>
      </c>
      <c r="I41" t="str">
        <f>IF(MIS_Backend_Data!AC40="", "", MIS_Backend_Data!AC40)</f>
        <v>Completed</v>
      </c>
      <c r="J41" t="str">
        <f>IF(MIS_Backend_Data!AB40="", "", MIS_Backend_Data!AB40)</f>
        <v>NA</v>
      </c>
      <c r="K41" t="str">
        <f>IF(MIS_Backend_Data!AG40="", "", MIS_Backend_Data!AG40)</f>
        <v>Completed</v>
      </c>
      <c r="L41" s="20" t="str">
        <f>IF(MIS_Backend_Data!AI40="", "", MIS_Backend_Data!AI40)</f>
        <v>NA</v>
      </c>
      <c r="M41" t="str">
        <f>IF(MIS_Backend_Data!AK40="", "", MIS_Backend_Data!AK40)</f>
        <v>NA</v>
      </c>
      <c r="N41" t="str">
        <f>IF(MIS_Backend_Data!AM40="", "", MIS_Backend_Data!AM40)</f>
        <v>NA</v>
      </c>
      <c r="O41" t="str">
        <f>IF(MIS_Backend_Data!AO40="", "", MIS_Backend_Data!AO40)</f>
        <v>NA</v>
      </c>
      <c r="P41" t="str">
        <f>IF(MIS_Backend_Data!AS40="", "", MIS_Backend_Data!AS40)</f>
        <v>Completed</v>
      </c>
      <c r="Q41" t="str">
        <f>IF(MIS_Backend_Data!AX40="", "", MIS_Backend_Data!AX40)</f>
        <v>WIP</v>
      </c>
      <c r="R41" t="str">
        <f>IF(MIS_Backend_Data!BB40="", "", MIS_Backend_Data!BB40)</f>
        <v>NA</v>
      </c>
      <c r="S41" t="str">
        <f>IF(MIS_Backend_Data!AW40="", "", MIS_Backend_Data!AW40)</f>
        <v>NA</v>
      </c>
      <c r="T41" s="42" t="str">
        <f>IF(MIS_Backend_Data!N40="Dispatch","Completed","NA")</f>
        <v>NA</v>
      </c>
      <c r="U41" t="str">
        <f t="shared" si="0"/>
        <v/>
      </c>
      <c r="V41" t="str">
        <f t="shared" si="1"/>
        <v/>
      </c>
      <c r="W41" s="20" t="str">
        <f t="shared" si="2"/>
        <v/>
      </c>
    </row>
    <row r="42" spans="2:23" ht="14.5">
      <c r="B42" s="205" t="str">
        <f ca="1"/>
        <v>2025210709</v>
      </c>
      <c r="C42" s="17" t="str">
        <f ca="1"/>
        <v>Indusind General Insurance Co Ltd</v>
      </c>
      <c r="D42" s="17" t="str">
        <f ca="1"/>
        <v>R001-1040-SS-2025</v>
      </c>
      <c r="E42" s="19">
        <f ca="1"/>
        <v>65</v>
      </c>
      <c r="F42" s="19" t="str">
        <f>IF(MIS_Backend_Data!O41="", "", MIS_Backend_Data!O41)</f>
        <v>Completed</v>
      </c>
      <c r="G42" t="str">
        <f>IF(MIS_Backend_Data!T41="", "", MIS_Backend_Data!T41)</f>
        <v>Completed</v>
      </c>
      <c r="H42" t="str">
        <f>IF(MIS_Backend_Data!X41="", "", MIS_Backend_Data!X41)</f>
        <v>NA</v>
      </c>
      <c r="I42" t="str">
        <f>IF(MIS_Backend_Data!AC41="", "", MIS_Backend_Data!AC41)</f>
        <v>Completed</v>
      </c>
      <c r="J42" t="str">
        <f>IF(MIS_Backend_Data!AB41="", "", MIS_Backend_Data!AB41)</f>
        <v>NA</v>
      </c>
      <c r="K42" t="str">
        <f>IF(MIS_Backend_Data!AG41="", "", MIS_Backend_Data!AG41)</f>
        <v>WIP</v>
      </c>
      <c r="L42" s="20" t="str">
        <f>IF(MIS_Backend_Data!AI41="", "", MIS_Backend_Data!AI41)</f>
        <v>NA</v>
      </c>
      <c r="M42" t="str">
        <f>IF(MIS_Backend_Data!AK41="", "", MIS_Backend_Data!AK41)</f>
        <v>NA</v>
      </c>
      <c r="N42" t="str">
        <f>IF(MIS_Backend_Data!AM41="", "", MIS_Backend_Data!AM41)</f>
        <v>NA</v>
      </c>
      <c r="O42" t="str">
        <f>IF(MIS_Backend_Data!AO41="", "", MIS_Backend_Data!AO41)</f>
        <v>NA</v>
      </c>
      <c r="P42" t="str">
        <f>IF(MIS_Backend_Data!AS41="", "", MIS_Backend_Data!AS41)</f>
        <v>Completed</v>
      </c>
      <c r="Q42" t="str">
        <f>IF(MIS_Backend_Data!AX41="", "", MIS_Backend_Data!AX41)</f>
        <v>WIP</v>
      </c>
      <c r="R42" t="str">
        <f>IF(MIS_Backend_Data!BB41="", "", MIS_Backend_Data!BB41)</f>
        <v>NA</v>
      </c>
      <c r="S42" t="str">
        <f>IF(MIS_Backend_Data!AW41="", "", MIS_Backend_Data!AW41)</f>
        <v>NA</v>
      </c>
      <c r="T42" s="42" t="str">
        <f>IF(MIS_Backend_Data!N41="Dispatch","Completed","NA")</f>
        <v>Completed</v>
      </c>
      <c r="U42" t="str">
        <f t="shared" si="0"/>
        <v/>
      </c>
      <c r="V42" t="str">
        <f t="shared" si="1"/>
        <v/>
      </c>
      <c r="W42" s="20" t="str">
        <f t="shared" si="2"/>
        <v/>
      </c>
    </row>
    <row r="43" spans="2:23" ht="14.5">
      <c r="B43" s="205" t="str">
        <f ca="1"/>
        <v>CN066141</v>
      </c>
      <c r="C43" s="17" t="str">
        <f ca="1"/>
        <v>Generali Central Insurance Company Limited</v>
      </c>
      <c r="D43" s="17" t="str">
        <f ca="1"/>
        <v>F001-1041-SS-2025</v>
      </c>
      <c r="E43" s="19">
        <f ca="1"/>
        <v>50</v>
      </c>
      <c r="F43" s="19" t="str">
        <f>IF(MIS_Backend_Data!O42="", "", MIS_Backend_Data!O42)</f>
        <v>Completed</v>
      </c>
      <c r="G43" t="str">
        <f>IF(MIS_Backend_Data!T42="", "", MIS_Backend_Data!T42)</f>
        <v>NA</v>
      </c>
      <c r="H43" t="str">
        <f>IF(MIS_Backend_Data!X42="", "", MIS_Backend_Data!X42)</f>
        <v>NA</v>
      </c>
      <c r="I43" t="str">
        <f>IF(MIS_Backend_Data!AC42="", "", MIS_Backend_Data!AC42)</f>
        <v>NA</v>
      </c>
      <c r="J43" t="str">
        <f>IF(MIS_Backend_Data!AB42="", "", MIS_Backend_Data!AB42)</f>
        <v>NA</v>
      </c>
      <c r="K43" t="str">
        <f>IF(MIS_Backend_Data!AG42="", "", MIS_Backend_Data!AG42)</f>
        <v>NA</v>
      </c>
      <c r="L43" s="20" t="str">
        <f>IF(MIS_Backend_Data!AI42="", "", MIS_Backend_Data!AI42)</f>
        <v>NA</v>
      </c>
      <c r="M43" t="str">
        <f>IF(MIS_Backend_Data!AK42="", "", MIS_Backend_Data!AK42)</f>
        <v>NA</v>
      </c>
      <c r="N43" t="str">
        <f>IF(MIS_Backend_Data!AM42="", "", MIS_Backend_Data!AM42)</f>
        <v xml:space="preserve">NA </v>
      </c>
      <c r="O43" t="str">
        <f>IF(MIS_Backend_Data!AO42="", "", MIS_Backend_Data!AO42)</f>
        <v>NA</v>
      </c>
      <c r="P43" t="str">
        <f>IF(MIS_Backend_Data!AS42="", "", MIS_Backend_Data!AS42)</f>
        <v>NA</v>
      </c>
      <c r="Q43" t="str">
        <f>IF(MIS_Backend_Data!AX42="", "", MIS_Backend_Data!AX42)</f>
        <v>NA</v>
      </c>
      <c r="R43" t="str">
        <f>IF(MIS_Backend_Data!BB42="", "", MIS_Backend_Data!BB42)</f>
        <v>WIP</v>
      </c>
      <c r="S43" t="str">
        <f>IF(MIS_Backend_Data!AW42="", "", MIS_Backend_Data!AW42)</f>
        <v>NA</v>
      </c>
      <c r="T43" s="42" t="str">
        <f>IF(MIS_Backend_Data!N42="Dispatch","Completed","NA")</f>
        <v>Completed</v>
      </c>
      <c r="U43" t="str">
        <f t="shared" si="0"/>
        <v/>
      </c>
      <c r="V43" t="str">
        <f t="shared" si="1"/>
        <v/>
      </c>
      <c r="W43" s="20" t="str">
        <f t="shared" si="2"/>
        <v/>
      </c>
    </row>
    <row r="44" spans="2:23" ht="14.5">
      <c r="B44" s="205" t="str">
        <f ca="1"/>
        <v>MTP-N-2526-004127</v>
      </c>
      <c r="C44" s="17" t="str">
        <f ca="1"/>
        <v>Generali Central Insurance Company Limited</v>
      </c>
      <c r="D44" s="17" t="str">
        <f ca="1"/>
        <v>F001-1042-SS-2025</v>
      </c>
      <c r="E44" s="19">
        <f ca="1"/>
        <v>67</v>
      </c>
      <c r="F44" s="19" t="str">
        <f>IF(MIS_Backend_Data!O43="", "", MIS_Backend_Data!O43)</f>
        <v>WIP</v>
      </c>
      <c r="G44" t="str">
        <f>IF(MIS_Backend_Data!T43="", "", MIS_Backend_Data!T43)</f>
        <v>Completed</v>
      </c>
      <c r="H44" t="str">
        <f>IF(MIS_Backend_Data!X43="", "", MIS_Backend_Data!X43)</f>
        <v>NA</v>
      </c>
      <c r="I44" t="str">
        <f>IF(MIS_Backend_Data!AC43="", "", MIS_Backend_Data!AC43)</f>
        <v>WIP</v>
      </c>
      <c r="J44" t="str">
        <f>IF(MIS_Backend_Data!AB43="", "", MIS_Backend_Data!AB43)</f>
        <v>NA</v>
      </c>
      <c r="K44" t="str">
        <f>IF(MIS_Backend_Data!AG43="", "", MIS_Backend_Data!AG43)</f>
        <v>WIP</v>
      </c>
      <c r="L44" s="20" t="str">
        <f>IF(MIS_Backend_Data!AI43="", "", MIS_Backend_Data!AI43)</f>
        <v>WIP</v>
      </c>
      <c r="M44" t="str">
        <f>IF(MIS_Backend_Data!AK43="", "", MIS_Backend_Data!AK43)</f>
        <v>WIP</v>
      </c>
      <c r="N44" t="str">
        <f>IF(MIS_Backend_Data!AM43="", "", MIS_Backend_Data!AM43)</f>
        <v>NA</v>
      </c>
      <c r="O44" t="str">
        <f>IF(MIS_Backend_Data!AO43="", "", MIS_Backend_Data!AO43)</f>
        <v>NA</v>
      </c>
      <c r="P44" t="str">
        <f>IF(MIS_Backend_Data!AS43="", "", MIS_Backend_Data!AS43)</f>
        <v>WIP</v>
      </c>
      <c r="Q44" t="str">
        <f>IF(MIS_Backend_Data!AX43="", "", MIS_Backend_Data!AX43)</f>
        <v>WIP</v>
      </c>
      <c r="R44" t="str">
        <f>IF(MIS_Backend_Data!BB43="", "", MIS_Backend_Data!BB43)</f>
        <v>NA</v>
      </c>
      <c r="S44" t="str">
        <f>IF(MIS_Backend_Data!AW43="", "", MIS_Backend_Data!AW43)</f>
        <v>NA</v>
      </c>
      <c r="T44" s="42" t="str">
        <f>IF(MIS_Backend_Data!N43="Dispatch","Completed","NA")</f>
        <v>NA</v>
      </c>
      <c r="U44" t="str">
        <f t="shared" si="0"/>
        <v/>
      </c>
      <c r="V44" t="str">
        <f t="shared" si="1"/>
        <v/>
      </c>
      <c r="W44" s="20" t="str">
        <f t="shared" si="2"/>
        <v/>
      </c>
    </row>
    <row r="45" spans="2:23" ht="14.5">
      <c r="B45" s="205" t="str">
        <f ca="1"/>
        <v>2025212071</v>
      </c>
      <c r="C45" s="17" t="str">
        <f ca="1"/>
        <v>Indusind General Insurance Co Ltd</v>
      </c>
      <c r="D45" s="17" t="str">
        <f ca="1"/>
        <v>R001-1043-SS-2025</v>
      </c>
      <c r="E45" s="19">
        <f ca="1"/>
        <v>56</v>
      </c>
      <c r="F45" s="19" t="str">
        <f>IF(MIS_Backend_Data!O44="", "", MIS_Backend_Data!O44)</f>
        <v>Completed</v>
      </c>
      <c r="G45" t="str">
        <f>IF(MIS_Backend_Data!T44="", "", MIS_Backend_Data!T44)</f>
        <v>Completed</v>
      </c>
      <c r="H45" t="str">
        <f>IF(MIS_Backend_Data!X44="", "", MIS_Backend_Data!X44)</f>
        <v>NA</v>
      </c>
      <c r="I45" t="str">
        <f>IF(MIS_Backend_Data!AC44="", "", MIS_Backend_Data!AC44)</f>
        <v>NA</v>
      </c>
      <c r="J45" t="str">
        <f>IF(MIS_Backend_Data!AB44="", "", MIS_Backend_Data!AB44)</f>
        <v>NA</v>
      </c>
      <c r="K45" t="str">
        <f>IF(MIS_Backend_Data!AG44="", "", MIS_Backend_Data!AG44)</f>
        <v>NA</v>
      </c>
      <c r="L45" s="20" t="str">
        <f>IF(MIS_Backend_Data!AI44="", "", MIS_Backend_Data!AI44)</f>
        <v>NA</v>
      </c>
      <c r="M45" t="str">
        <f>IF(MIS_Backend_Data!AK44="", "", MIS_Backend_Data!AK44)</f>
        <v>NA</v>
      </c>
      <c r="N45" t="str">
        <f>IF(MIS_Backend_Data!AM44="", "", MIS_Backend_Data!AM44)</f>
        <v xml:space="preserve">NA </v>
      </c>
      <c r="O45" t="str">
        <f>IF(MIS_Backend_Data!AO44="", "", MIS_Backend_Data!AO44)</f>
        <v>NA</v>
      </c>
      <c r="P45" t="str">
        <f>IF(MIS_Backend_Data!AS44="", "", MIS_Backend_Data!AS44)</f>
        <v>NA</v>
      </c>
      <c r="Q45" t="str">
        <f>IF(MIS_Backend_Data!AX44="", "", MIS_Backend_Data!AX44)</f>
        <v>NA</v>
      </c>
      <c r="R45" t="str">
        <f>IF(MIS_Backend_Data!BB44="", "", MIS_Backend_Data!BB44)</f>
        <v>NA</v>
      </c>
      <c r="S45" t="str">
        <f>IF(MIS_Backend_Data!AW44="", "", MIS_Backend_Data!AW44)</f>
        <v>NA</v>
      </c>
      <c r="T45" s="42" t="str">
        <f>IF(MIS_Backend_Data!N44="Dispatch","Completed","NA")</f>
        <v>Completed</v>
      </c>
      <c r="U45" t="str">
        <f t="shared" si="0"/>
        <v/>
      </c>
      <c r="V45" t="str">
        <f t="shared" si="1"/>
        <v/>
      </c>
      <c r="W45" s="20" t="str">
        <f t="shared" si="2"/>
        <v/>
      </c>
    </row>
    <row r="46" spans="2:23" ht="14.5">
      <c r="B46" s="205" t="str">
        <f ca="1"/>
        <v>2025212068</v>
      </c>
      <c r="C46" s="17" t="str">
        <f ca="1"/>
        <v>Indusind General Insurance Co Ltd</v>
      </c>
      <c r="D46" s="17" t="str">
        <f ca="1"/>
        <v>R001-1044-SS-2025</v>
      </c>
      <c r="E46" s="19">
        <f ca="1"/>
        <v>48</v>
      </c>
      <c r="F46" s="19" t="str">
        <f>IF(MIS_Backend_Data!O45="", "", MIS_Backend_Data!O45)</f>
        <v>Completed</v>
      </c>
      <c r="G46" t="str">
        <f>IF(MIS_Backend_Data!T45="", "", MIS_Backend_Data!T45)</f>
        <v>Completed</v>
      </c>
      <c r="H46" t="str">
        <f>IF(MIS_Backend_Data!X45="", "", MIS_Backend_Data!X45)</f>
        <v>NA</v>
      </c>
      <c r="I46" t="str">
        <f>IF(MIS_Backend_Data!AC45="", "", MIS_Backend_Data!AC45)</f>
        <v>Completed</v>
      </c>
      <c r="J46" t="str">
        <f>IF(MIS_Backend_Data!AB45="", "", MIS_Backend_Data!AB45)</f>
        <v>Completed</v>
      </c>
      <c r="K46" t="str">
        <f>IF(MIS_Backend_Data!AG45="", "", MIS_Backend_Data!AG45)</f>
        <v>Completed</v>
      </c>
      <c r="L46" s="20" t="str">
        <f>IF(MIS_Backend_Data!AI45="", "", MIS_Backend_Data!AI45)</f>
        <v>NA</v>
      </c>
      <c r="M46" t="str">
        <f>IF(MIS_Backend_Data!AK45="", "", MIS_Backend_Data!AK45)</f>
        <v>NA</v>
      </c>
      <c r="N46" t="str">
        <f>IF(MIS_Backend_Data!AM45="", "", MIS_Backend_Data!AM45)</f>
        <v xml:space="preserve">NA </v>
      </c>
      <c r="O46" t="str">
        <f>IF(MIS_Backend_Data!AO45="", "", MIS_Backend_Data!AO45)</f>
        <v>NA</v>
      </c>
      <c r="P46" t="str">
        <f>IF(MIS_Backend_Data!AS45="", "", MIS_Backend_Data!AS45)</f>
        <v>Completed</v>
      </c>
      <c r="Q46" t="str">
        <f>IF(MIS_Backend_Data!AX45="", "", MIS_Backend_Data!AX45)</f>
        <v>Completed</v>
      </c>
      <c r="R46" t="str">
        <f>IF(MIS_Backend_Data!BB45="", "", MIS_Backend_Data!BB45)</f>
        <v>NA</v>
      </c>
      <c r="S46" t="str">
        <f>IF(MIS_Backend_Data!AW45="", "", MIS_Backend_Data!AW45)</f>
        <v>NA</v>
      </c>
      <c r="T46" s="42" t="str">
        <f>IF(MIS_Backend_Data!N45="Dispatch","Completed","NA")</f>
        <v>Completed</v>
      </c>
      <c r="U46" t="str">
        <f t="shared" si="0"/>
        <v/>
      </c>
      <c r="V46" t="str">
        <f t="shared" si="1"/>
        <v/>
      </c>
      <c r="W46" s="20" t="str">
        <f t="shared" si="2"/>
        <v/>
      </c>
    </row>
    <row r="47" spans="2:23" ht="14.5">
      <c r="B47" s="205" t="str">
        <f ca="1"/>
        <v>2025212058</v>
      </c>
      <c r="C47" s="17" t="str">
        <f ca="1"/>
        <v>Indusind General Insurance Co Ltd</v>
      </c>
      <c r="D47" s="17" t="str">
        <f ca="1"/>
        <v>R001-1045-SS-2025</v>
      </c>
      <c r="E47" s="19">
        <f ca="1"/>
        <v>10</v>
      </c>
      <c r="F47" s="19" t="str">
        <f>IF(MIS_Backend_Data!O46="", "", MIS_Backend_Data!O46)</f>
        <v>WIP</v>
      </c>
      <c r="G47" t="str">
        <f>IF(MIS_Backend_Data!T46="", "", MIS_Backend_Data!T46)</f>
        <v>Completed</v>
      </c>
      <c r="H47" t="str">
        <f>IF(MIS_Backend_Data!X46="", "", MIS_Backend_Data!X46)</f>
        <v>NA</v>
      </c>
      <c r="I47" t="str">
        <f>IF(MIS_Backend_Data!AC46="", "", MIS_Backend_Data!AC46)</f>
        <v>Completed</v>
      </c>
      <c r="J47" t="str">
        <f>IF(MIS_Backend_Data!AB46="", "", MIS_Backend_Data!AB46)</f>
        <v>NA</v>
      </c>
      <c r="K47" t="str">
        <f>IF(MIS_Backend_Data!AG46="", "", MIS_Backend_Data!AG46)</f>
        <v>WIP</v>
      </c>
      <c r="L47" s="20" t="str">
        <f>IF(MIS_Backend_Data!AI46="", "", MIS_Backend_Data!AI46)</f>
        <v>NA</v>
      </c>
      <c r="M47" t="str">
        <f>IF(MIS_Backend_Data!AK46="", "", MIS_Backend_Data!AK46)</f>
        <v>NA</v>
      </c>
      <c r="N47" t="str">
        <f>IF(MIS_Backend_Data!AM46="", "", MIS_Backend_Data!AM46)</f>
        <v xml:space="preserve">NA </v>
      </c>
      <c r="O47" t="str">
        <f>IF(MIS_Backend_Data!AO46="", "", MIS_Backend_Data!AO46)</f>
        <v>NA</v>
      </c>
      <c r="P47" t="str">
        <f>IF(MIS_Backend_Data!AS46="", "", MIS_Backend_Data!AS46)</f>
        <v>Completed</v>
      </c>
      <c r="Q47" t="str">
        <f>IF(MIS_Backend_Data!AX46="", "", MIS_Backend_Data!AX46)</f>
        <v>WIP</v>
      </c>
      <c r="R47" t="str">
        <f>IF(MIS_Backend_Data!BB46="", "", MIS_Backend_Data!BB46)</f>
        <v>NA</v>
      </c>
      <c r="S47" t="str">
        <f>IF(MIS_Backend_Data!AW46="", "", MIS_Backend_Data!AW46)</f>
        <v>NA</v>
      </c>
      <c r="T47" s="42" t="str">
        <f>IF(MIS_Backend_Data!N46="Dispatch","Completed","NA")</f>
        <v>NA</v>
      </c>
      <c r="U47">
        <f t="shared" si="0"/>
        <v>2</v>
      </c>
      <c r="V47" t="str">
        <f t="shared" si="1"/>
        <v/>
      </c>
      <c r="W47" s="20" t="str">
        <f t="shared" si="2"/>
        <v/>
      </c>
    </row>
    <row r="48" spans="2:23" ht="14.5">
      <c r="B48" s="205" t="str">
        <f ca="1"/>
        <v>2025212055</v>
      </c>
      <c r="C48" s="17" t="str">
        <f ca="1"/>
        <v>Indusind General Insurance Co Ltd</v>
      </c>
      <c r="D48" s="17" t="str">
        <f ca="1"/>
        <v>R001-1046-SS-2025</v>
      </c>
      <c r="E48" s="19">
        <f ca="1"/>
        <v>66</v>
      </c>
      <c r="F48" s="19" t="str">
        <f>IF(MIS_Backend_Data!O47="", "", MIS_Backend_Data!O47)</f>
        <v>WIP</v>
      </c>
      <c r="G48" t="str">
        <f>IF(MIS_Backend_Data!T47="", "", MIS_Backend_Data!T47)</f>
        <v>Completed</v>
      </c>
      <c r="H48" t="str">
        <f>IF(MIS_Backend_Data!X47="", "", MIS_Backend_Data!X47)</f>
        <v>NA</v>
      </c>
      <c r="I48" t="str">
        <f>IF(MIS_Backend_Data!AC47="", "", MIS_Backend_Data!AC47)</f>
        <v>NA</v>
      </c>
      <c r="J48" t="str">
        <f>IF(MIS_Backend_Data!AB47="", "", MIS_Backend_Data!AB47)</f>
        <v>NA</v>
      </c>
      <c r="K48" t="str">
        <f>IF(MIS_Backend_Data!AG47="", "", MIS_Backend_Data!AG47)</f>
        <v>NA</v>
      </c>
      <c r="L48" s="20" t="str">
        <f>IF(MIS_Backend_Data!AI47="", "", MIS_Backend_Data!AI47)</f>
        <v>NA</v>
      </c>
      <c r="M48" t="str">
        <f>IF(MIS_Backend_Data!AK47="", "", MIS_Backend_Data!AK47)</f>
        <v>NA</v>
      </c>
      <c r="N48" t="str">
        <f>IF(MIS_Backend_Data!AM47="", "", MIS_Backend_Data!AM47)</f>
        <v xml:space="preserve">NA </v>
      </c>
      <c r="O48" t="str">
        <f>IF(MIS_Backend_Data!AO47="", "", MIS_Backend_Data!AO47)</f>
        <v>NA</v>
      </c>
      <c r="P48" t="str">
        <f>IF(MIS_Backend_Data!AS47="", "", MIS_Backend_Data!AS47)</f>
        <v>NA</v>
      </c>
      <c r="Q48" t="str">
        <f>IF(MIS_Backend_Data!AX47="", "", MIS_Backend_Data!AX47)</f>
        <v>NA</v>
      </c>
      <c r="R48" t="str">
        <f>IF(MIS_Backend_Data!BB47="", "", MIS_Backend_Data!BB47)</f>
        <v>NA</v>
      </c>
      <c r="S48" t="str">
        <f>IF(MIS_Backend_Data!AW47="", "", MIS_Backend_Data!AW47)</f>
        <v>NA</v>
      </c>
      <c r="T48" s="42" t="str">
        <f>IF(MIS_Backend_Data!N47="Dispatch","Completed","NA")</f>
        <v>NA</v>
      </c>
      <c r="U48" t="str">
        <f t="shared" si="0"/>
        <v/>
      </c>
      <c r="V48" t="str">
        <f t="shared" si="1"/>
        <v/>
      </c>
      <c r="W48" s="20" t="str">
        <f t="shared" si="2"/>
        <v/>
      </c>
    </row>
    <row r="49" spans="2:23" ht="14.5">
      <c r="B49" s="205" t="str">
        <f ca="1"/>
        <v>2025212053</v>
      </c>
      <c r="C49" s="17" t="str">
        <f ca="1"/>
        <v>Indusind General Insurance Co Ltd</v>
      </c>
      <c r="D49" s="17" t="str">
        <f ca="1"/>
        <v>R001-1047-SS-2025</v>
      </c>
      <c r="E49" s="19">
        <f ca="1"/>
        <v>66</v>
      </c>
      <c r="F49" s="19" t="str">
        <f>IF(MIS_Backend_Data!O48="", "", MIS_Backend_Data!O48)</f>
        <v>WIP</v>
      </c>
      <c r="G49" t="str">
        <f>IF(MIS_Backend_Data!T48="", "", MIS_Backend_Data!T48)</f>
        <v>Completed</v>
      </c>
      <c r="H49" t="str">
        <f>IF(MIS_Backend_Data!X48="", "", MIS_Backend_Data!X48)</f>
        <v>NA</v>
      </c>
      <c r="I49" t="str">
        <f>IF(MIS_Backend_Data!AC48="", "", MIS_Backend_Data!AC48)</f>
        <v>WIP</v>
      </c>
      <c r="J49" t="str">
        <f>IF(MIS_Backend_Data!AB48="", "", MIS_Backend_Data!AB48)</f>
        <v>NA</v>
      </c>
      <c r="K49" t="str">
        <f>IF(MIS_Backend_Data!AG48="", "", MIS_Backend_Data!AG48)</f>
        <v>Completed</v>
      </c>
      <c r="L49" s="20" t="str">
        <f>IF(MIS_Backend_Data!AI48="", "", MIS_Backend_Data!AI48)</f>
        <v>NA</v>
      </c>
      <c r="M49" t="str">
        <f>IF(MIS_Backend_Data!AK48="", "", MIS_Backend_Data!AK48)</f>
        <v>NA</v>
      </c>
      <c r="N49" t="str">
        <f>IF(MIS_Backend_Data!AM48="", "", MIS_Backend_Data!AM48)</f>
        <v xml:space="preserve">NA </v>
      </c>
      <c r="O49" t="str">
        <f>IF(MIS_Backend_Data!AO48="", "", MIS_Backend_Data!AO48)</f>
        <v>NA</v>
      </c>
      <c r="P49" t="str">
        <f>IF(MIS_Backend_Data!AS48="", "", MIS_Backend_Data!AS48)</f>
        <v>WIP</v>
      </c>
      <c r="Q49" t="str">
        <f>IF(MIS_Backend_Data!AX48="", "", MIS_Backend_Data!AX48)</f>
        <v>WIP</v>
      </c>
      <c r="R49" t="str">
        <f>IF(MIS_Backend_Data!BB48="", "", MIS_Backend_Data!BB48)</f>
        <v>NA</v>
      </c>
      <c r="S49" t="str">
        <f>IF(MIS_Backend_Data!AW48="", "", MIS_Backend_Data!AW48)</f>
        <v>NA</v>
      </c>
      <c r="T49" s="42" t="str">
        <f>IF(MIS_Backend_Data!N48="Dispatch","Completed","NA")</f>
        <v>NA</v>
      </c>
      <c r="U49" t="str">
        <f t="shared" si="0"/>
        <v/>
      </c>
      <c r="V49" t="str">
        <f t="shared" si="1"/>
        <v/>
      </c>
      <c r="W49" s="20" t="str">
        <f t="shared" si="2"/>
        <v/>
      </c>
    </row>
    <row r="50" spans="2:23" ht="14.5">
      <c r="B50" s="205">
        <f ca="1"/>
        <v>2025212050</v>
      </c>
      <c r="C50" s="17" t="str">
        <f ca="1"/>
        <v>Indusind General Insurance Co Ltd</v>
      </c>
      <c r="D50" s="17" t="str">
        <f ca="1"/>
        <v>R001-1048-SS-2025</v>
      </c>
      <c r="E50" s="19">
        <f ca="1"/>
        <v>66</v>
      </c>
      <c r="F50" s="19" t="str">
        <f>IF(MIS_Backend_Data!O49="", "", MIS_Backend_Data!O49)</f>
        <v>WIP</v>
      </c>
      <c r="G50" t="str">
        <f>IF(MIS_Backend_Data!T49="", "", MIS_Backend_Data!T49)</f>
        <v>Completed</v>
      </c>
      <c r="H50" t="str">
        <f>IF(MIS_Backend_Data!X49="", "", MIS_Backend_Data!X49)</f>
        <v>NA</v>
      </c>
      <c r="I50" t="str">
        <f>IF(MIS_Backend_Data!AC49="", "", MIS_Backend_Data!AC49)</f>
        <v>Completed</v>
      </c>
      <c r="J50" t="str">
        <f>IF(MIS_Backend_Data!AB49="", "", MIS_Backend_Data!AB49)</f>
        <v>NA</v>
      </c>
      <c r="K50" t="str">
        <f>IF(MIS_Backend_Data!AG49="", "", MIS_Backend_Data!AG49)</f>
        <v>Completed</v>
      </c>
      <c r="L50" s="20" t="str">
        <f>IF(MIS_Backend_Data!AI49="", "", MIS_Backend_Data!AI49)</f>
        <v>NA</v>
      </c>
      <c r="M50" t="str">
        <f>IF(MIS_Backend_Data!AK49="", "", MIS_Backend_Data!AK49)</f>
        <v>NA</v>
      </c>
      <c r="N50" t="str">
        <f>IF(MIS_Backend_Data!AM49="", "", MIS_Backend_Data!AM49)</f>
        <v>NA</v>
      </c>
      <c r="O50" t="str">
        <f>IF(MIS_Backend_Data!AO49="", "", MIS_Backend_Data!AO49)</f>
        <v>NA</v>
      </c>
      <c r="P50" t="str">
        <f>IF(MIS_Backend_Data!AS49="", "", MIS_Backend_Data!AS49)</f>
        <v>Completed</v>
      </c>
      <c r="Q50" t="str">
        <f>IF(MIS_Backend_Data!AX49="", "", MIS_Backend_Data!AX49)</f>
        <v>Completed</v>
      </c>
      <c r="R50" t="str">
        <f>IF(MIS_Backend_Data!BB49="", "", MIS_Backend_Data!BB49)</f>
        <v>NA</v>
      </c>
      <c r="S50" t="str">
        <f>IF(MIS_Backend_Data!AW49="", "", MIS_Backend_Data!AW49)</f>
        <v>NA</v>
      </c>
      <c r="T50" s="42" t="str">
        <f>IF(MIS_Backend_Data!N49="Dispatch","Completed","NA")</f>
        <v>NA</v>
      </c>
      <c r="U50" t="str">
        <f t="shared" si="0"/>
        <v/>
      </c>
      <c r="V50" t="str">
        <f t="shared" si="1"/>
        <v/>
      </c>
      <c r="W50" s="20" t="str">
        <f t="shared" si="2"/>
        <v>GTG</v>
      </c>
    </row>
    <row r="51" spans="2:23" ht="14.5">
      <c r="B51" s="205" t="str">
        <f ca="1"/>
        <v>2025212047</v>
      </c>
      <c r="C51" s="17" t="str">
        <f ca="1"/>
        <v>Indusind General Insurance Co Ltd</v>
      </c>
      <c r="D51" s="17" t="str">
        <f ca="1"/>
        <v>R001-1049-SS-2025</v>
      </c>
      <c r="E51" s="19">
        <f ca="1"/>
        <v>66</v>
      </c>
      <c r="F51" s="19" t="str">
        <f>IF(MIS_Backend_Data!O50="", "", MIS_Backend_Data!O50)</f>
        <v>Pending CS</v>
      </c>
      <c r="G51" t="str">
        <f>IF(MIS_Backend_Data!T50="", "", MIS_Backend_Data!T50)</f>
        <v>Completed</v>
      </c>
      <c r="H51" t="str">
        <f>IF(MIS_Backend_Data!X50="", "", MIS_Backend_Data!X50)</f>
        <v>NA</v>
      </c>
      <c r="I51" t="str">
        <f>IF(MIS_Backend_Data!AC50="", "", MIS_Backend_Data!AC50)</f>
        <v>Completed</v>
      </c>
      <c r="J51" t="str">
        <f>IF(MIS_Backend_Data!AB50="", "", MIS_Backend_Data!AB50)</f>
        <v>NA</v>
      </c>
      <c r="K51" t="str">
        <f>IF(MIS_Backend_Data!AG50="", "", MIS_Backend_Data!AG50)</f>
        <v>Completed</v>
      </c>
      <c r="L51" s="20" t="str">
        <f>IF(MIS_Backend_Data!AI50="", "", MIS_Backend_Data!AI50)</f>
        <v>NA</v>
      </c>
      <c r="M51" t="str">
        <f>IF(MIS_Backend_Data!AK50="", "", MIS_Backend_Data!AK50)</f>
        <v>NA</v>
      </c>
      <c r="N51" t="str">
        <f>IF(MIS_Backend_Data!AM50="", "", MIS_Backend_Data!AM50)</f>
        <v>NA</v>
      </c>
      <c r="O51" t="str">
        <f>IF(MIS_Backend_Data!AO50="", "", MIS_Backend_Data!AO50)</f>
        <v>NA</v>
      </c>
      <c r="P51" t="str">
        <f>IF(MIS_Backend_Data!AS50="", "", MIS_Backend_Data!AS50)</f>
        <v>Completed</v>
      </c>
      <c r="Q51" t="str">
        <f>IF(MIS_Backend_Data!AX50="", "", MIS_Backend_Data!AX50)</f>
        <v>NI</v>
      </c>
      <c r="R51" t="str">
        <f>IF(MIS_Backend_Data!BB50="", "", MIS_Backend_Data!BB50)</f>
        <v>NA</v>
      </c>
      <c r="S51" t="str">
        <f>IF(MIS_Backend_Data!AW50="", "", MIS_Backend_Data!AW50)</f>
        <v>NA</v>
      </c>
      <c r="T51" s="42" t="str">
        <f>IF(MIS_Backend_Data!N50="Dispatch","Completed","NA")</f>
        <v>NA</v>
      </c>
      <c r="U51" t="str">
        <f t="shared" si="0"/>
        <v/>
      </c>
      <c r="V51" t="str">
        <f t="shared" si="1"/>
        <v/>
      </c>
      <c r="W51" s="20" t="str">
        <f t="shared" si="2"/>
        <v/>
      </c>
    </row>
    <row r="52" spans="2:23" ht="14.5">
      <c r="B52" s="205" t="str">
        <f ca="1"/>
        <v>MTP-N-2526-004166</v>
      </c>
      <c r="C52" s="17" t="str">
        <f ca="1"/>
        <v>Generali Central Insurance Company Limited</v>
      </c>
      <c r="D52" s="17" t="str">
        <f ca="1"/>
        <v>F001-1050-SS-2025</v>
      </c>
      <c r="E52" s="19">
        <f ca="1"/>
        <v>46</v>
      </c>
      <c r="F52" s="19" t="str">
        <f>IF(MIS_Backend_Data!O51="", "", MIS_Backend_Data!O51)</f>
        <v>Completed</v>
      </c>
      <c r="G52" t="str">
        <f>IF(MIS_Backend_Data!T51="", "", MIS_Backend_Data!T51)</f>
        <v>Completed</v>
      </c>
      <c r="H52" t="str">
        <f>IF(MIS_Backend_Data!X51="", "", MIS_Backend_Data!X51)</f>
        <v>WIP</v>
      </c>
      <c r="I52" t="str">
        <f>IF(MIS_Backend_Data!AC51="", "", MIS_Backend_Data!AC51)</f>
        <v>NA</v>
      </c>
      <c r="J52" t="str">
        <f>IF(MIS_Backend_Data!AB51="", "", MIS_Backend_Data!AB51)</f>
        <v>NA</v>
      </c>
      <c r="K52" t="str">
        <f>IF(MIS_Backend_Data!AG51="", "", MIS_Backend_Data!AG51)</f>
        <v>NA</v>
      </c>
      <c r="L52" s="20" t="str">
        <f>IF(MIS_Backend_Data!AI51="", "", MIS_Backend_Data!AI51)</f>
        <v>NA</v>
      </c>
      <c r="M52" t="str">
        <f>IF(MIS_Backend_Data!AK51="", "", MIS_Backend_Data!AK51)</f>
        <v>NA</v>
      </c>
      <c r="N52" t="str">
        <f>IF(MIS_Backend_Data!AM51="", "", MIS_Backend_Data!AM51)</f>
        <v>NA</v>
      </c>
      <c r="O52" t="str">
        <f>IF(MIS_Backend_Data!AO51="", "", MIS_Backend_Data!AO51)</f>
        <v>NA</v>
      </c>
      <c r="P52" t="str">
        <f>IF(MIS_Backend_Data!AS51="", "", MIS_Backend_Data!AS51)</f>
        <v>NA</v>
      </c>
      <c r="Q52" t="str">
        <f>IF(MIS_Backend_Data!AX51="", "", MIS_Backend_Data!AX51)</f>
        <v>NA</v>
      </c>
      <c r="R52" t="str">
        <f>IF(MIS_Backend_Data!BB51="", "", MIS_Backend_Data!BB51)</f>
        <v>WIP</v>
      </c>
      <c r="S52" t="str">
        <f>IF(MIS_Backend_Data!AW51="", "", MIS_Backend_Data!AW51)</f>
        <v>NA</v>
      </c>
      <c r="T52" s="42" t="str">
        <f>IF(MIS_Backend_Data!N51="Dispatch","Completed","NA")</f>
        <v>NA</v>
      </c>
      <c r="U52" t="str">
        <f t="shared" si="0"/>
        <v/>
      </c>
      <c r="V52" t="str">
        <f t="shared" si="1"/>
        <v/>
      </c>
      <c r="W52" s="20" t="str">
        <f t="shared" si="2"/>
        <v/>
      </c>
    </row>
    <row r="53" spans="2:23" ht="14.5">
      <c r="B53" s="205" t="str">
        <f ca="1"/>
        <v>2025212181</v>
      </c>
      <c r="C53" s="17" t="str">
        <f ca="1"/>
        <v>Indusind General Insurance Co Ltd</v>
      </c>
      <c r="D53" s="17" t="str">
        <f ca="1"/>
        <v>R001-1051-SS-2025</v>
      </c>
      <c r="E53" s="19">
        <f ca="1"/>
        <v>63</v>
      </c>
      <c r="F53" s="19" t="str">
        <f>IF(MIS_Backend_Data!O52="", "", MIS_Backend_Data!O52)</f>
        <v>Pending CS</v>
      </c>
      <c r="G53" t="str">
        <f>IF(MIS_Backend_Data!T52="", "", MIS_Backend_Data!T52)</f>
        <v>Completed</v>
      </c>
      <c r="H53" t="str">
        <f>IF(MIS_Backend_Data!X52="", "", MIS_Backend_Data!X52)</f>
        <v>NA</v>
      </c>
      <c r="I53" t="str">
        <f>IF(MIS_Backend_Data!AC52="", "", MIS_Backend_Data!AC52)</f>
        <v>Completed</v>
      </c>
      <c r="J53" t="str">
        <f>IF(MIS_Backend_Data!AB52="", "", MIS_Backend_Data!AB52)</f>
        <v>NA</v>
      </c>
      <c r="K53" t="str">
        <f>IF(MIS_Backend_Data!AG52="", "", MIS_Backend_Data!AG52)</f>
        <v>Completed</v>
      </c>
      <c r="L53" s="20" t="str">
        <f>IF(MIS_Backend_Data!AI52="", "", MIS_Backend_Data!AI52)</f>
        <v>NA</v>
      </c>
      <c r="M53" t="str">
        <f>IF(MIS_Backend_Data!AK52="", "", MIS_Backend_Data!AK52)</f>
        <v>NA</v>
      </c>
      <c r="N53" t="str">
        <f>IF(MIS_Backend_Data!AM52="", "", MIS_Backend_Data!AM52)</f>
        <v>NA</v>
      </c>
      <c r="O53" t="str">
        <f>IF(MIS_Backend_Data!AO52="", "", MIS_Backend_Data!AO52)</f>
        <v>NA</v>
      </c>
      <c r="P53" t="str">
        <f>IF(MIS_Backend_Data!AS52="", "", MIS_Backend_Data!AS52)</f>
        <v>Completed</v>
      </c>
      <c r="Q53" t="str">
        <f>IF(MIS_Backend_Data!AX52="", "", MIS_Backend_Data!AX52)</f>
        <v>NI</v>
      </c>
      <c r="R53" t="str">
        <f>IF(MIS_Backend_Data!BB52="", "", MIS_Backend_Data!BB52)</f>
        <v>NA</v>
      </c>
      <c r="S53" t="str">
        <f>IF(MIS_Backend_Data!AW52="", "", MIS_Backend_Data!AW52)</f>
        <v>NA</v>
      </c>
      <c r="T53" s="42" t="str">
        <f>IF(MIS_Backend_Data!N52="Dispatch","Completed","NA")</f>
        <v>NA</v>
      </c>
      <c r="U53" t="str">
        <f t="shared" si="0"/>
        <v/>
      </c>
      <c r="V53" t="str">
        <f t="shared" si="1"/>
        <v/>
      </c>
      <c r="W53" s="20" t="str">
        <f t="shared" si="2"/>
        <v/>
      </c>
    </row>
    <row r="54" spans="2:23" ht="14.5">
      <c r="B54" s="205" t="str">
        <f ca="1"/>
        <v>2025212170</v>
      </c>
      <c r="C54" s="17" t="str">
        <f ca="1"/>
        <v>Indusind General Insurance Co Ltd</v>
      </c>
      <c r="D54" s="17" t="str">
        <f ca="1"/>
        <v>R001-1052-SS-2025</v>
      </c>
      <c r="E54" s="19">
        <f ca="1"/>
        <v>58</v>
      </c>
      <c r="F54" s="19" t="str">
        <f>IF(MIS_Backend_Data!O53="", "", MIS_Backend_Data!O53)</f>
        <v>Completed</v>
      </c>
      <c r="G54" t="str">
        <f>IF(MIS_Backend_Data!T53="", "", MIS_Backend_Data!T53)</f>
        <v>Completed</v>
      </c>
      <c r="H54" t="str">
        <f>IF(MIS_Backend_Data!X53="", "", MIS_Backend_Data!X53)</f>
        <v>NA</v>
      </c>
      <c r="I54" t="str">
        <f>IF(MIS_Backend_Data!AC53="", "", MIS_Backend_Data!AC53)</f>
        <v>Completed</v>
      </c>
      <c r="J54" t="str">
        <f>IF(MIS_Backend_Data!AB53="", "", MIS_Backend_Data!AB53)</f>
        <v>NA</v>
      </c>
      <c r="K54" t="str">
        <f>IF(MIS_Backend_Data!AG53="", "", MIS_Backend_Data!AG53)</f>
        <v>Completed</v>
      </c>
      <c r="L54" s="20" t="str">
        <f>IF(MIS_Backend_Data!AI53="", "", MIS_Backend_Data!AI53)</f>
        <v>NA</v>
      </c>
      <c r="M54" t="str">
        <f>IF(MIS_Backend_Data!AK53="", "", MIS_Backend_Data!AK53)</f>
        <v>NA</v>
      </c>
      <c r="N54" t="str">
        <f>IF(MIS_Backend_Data!AM53="", "", MIS_Backend_Data!AM53)</f>
        <v>NA</v>
      </c>
      <c r="O54" t="str">
        <f>IF(MIS_Backend_Data!AO53="", "", MIS_Backend_Data!AO53)</f>
        <v>NA</v>
      </c>
      <c r="P54" t="str">
        <f>IF(MIS_Backend_Data!AS53="", "", MIS_Backend_Data!AS53)</f>
        <v>Completed</v>
      </c>
      <c r="Q54" t="str">
        <f>IF(MIS_Backend_Data!AX53="", "", MIS_Backend_Data!AX53)</f>
        <v>Completed</v>
      </c>
      <c r="R54" t="str">
        <f>IF(MIS_Backend_Data!BB53="", "", MIS_Backend_Data!BB53)</f>
        <v>NA</v>
      </c>
      <c r="S54" t="str">
        <f>IF(MIS_Backend_Data!AW53="", "", MIS_Backend_Data!AW53)</f>
        <v>NA</v>
      </c>
      <c r="T54" s="42" t="str">
        <f>IF(MIS_Backend_Data!N53="Dispatch","Completed","NA")</f>
        <v>NA</v>
      </c>
      <c r="U54" t="str">
        <f t="shared" si="0"/>
        <v/>
      </c>
      <c r="V54" t="str">
        <f t="shared" si="1"/>
        <v/>
      </c>
      <c r="W54" s="20" t="str">
        <f t="shared" si="2"/>
        <v/>
      </c>
    </row>
    <row r="55" spans="2:23" ht="14.5">
      <c r="B55" s="205" t="str">
        <f ca="1"/>
        <v>2025212168</v>
      </c>
      <c r="C55" s="17" t="str">
        <f ca="1"/>
        <v>Indusind General Insurance Co Ltd</v>
      </c>
      <c r="D55" s="17" t="str">
        <f ca="1"/>
        <v>R001-1053-SS-2025</v>
      </c>
      <c r="E55" s="19">
        <f ca="1"/>
        <v>63</v>
      </c>
      <c r="F55" s="19" t="str">
        <f>IF(MIS_Backend_Data!O54="", "", MIS_Backend_Data!O54)</f>
        <v>Pending CS</v>
      </c>
      <c r="G55" t="str">
        <f>IF(MIS_Backend_Data!T54="", "", MIS_Backend_Data!T54)</f>
        <v>Completed</v>
      </c>
      <c r="H55" t="str">
        <f>IF(MIS_Backend_Data!X54="", "", MIS_Backend_Data!X54)</f>
        <v>NA</v>
      </c>
      <c r="I55" t="str">
        <f>IF(MIS_Backend_Data!AC54="", "", MIS_Backend_Data!AC54)</f>
        <v>Completed</v>
      </c>
      <c r="J55" t="str">
        <f>IF(MIS_Backend_Data!AB54="", "", MIS_Backend_Data!AB54)</f>
        <v>NA</v>
      </c>
      <c r="K55" t="str">
        <f>IF(MIS_Backend_Data!AG54="", "", MIS_Backend_Data!AG54)</f>
        <v>Completed</v>
      </c>
      <c r="L55" s="20" t="str">
        <f>IF(MIS_Backend_Data!AI54="", "", MIS_Backend_Data!AI54)</f>
        <v>NA</v>
      </c>
      <c r="M55" t="str">
        <f>IF(MIS_Backend_Data!AK54="", "", MIS_Backend_Data!AK54)</f>
        <v>NA</v>
      </c>
      <c r="N55" t="str">
        <f>IF(MIS_Backend_Data!AM54="", "", MIS_Backend_Data!AM54)</f>
        <v>NA</v>
      </c>
      <c r="O55" t="str">
        <f>IF(MIS_Backend_Data!AO54="", "", MIS_Backend_Data!AO54)</f>
        <v>NA</v>
      </c>
      <c r="P55" t="str">
        <f>IF(MIS_Backend_Data!AS54="", "", MIS_Backend_Data!AS54)</f>
        <v>Completed</v>
      </c>
      <c r="Q55" t="str">
        <f>IF(MIS_Backend_Data!AX54="", "", MIS_Backend_Data!AX54)</f>
        <v>WIP</v>
      </c>
      <c r="R55" t="str">
        <f>IF(MIS_Backend_Data!BB54="", "", MIS_Backend_Data!BB54)</f>
        <v>NA</v>
      </c>
      <c r="S55" t="str">
        <f>IF(MIS_Backend_Data!AW54="", "", MIS_Backend_Data!AW54)</f>
        <v>NA</v>
      </c>
      <c r="T55" s="42" t="str">
        <f>IF(MIS_Backend_Data!N54="Dispatch","Completed","NA")</f>
        <v>NA</v>
      </c>
      <c r="U55" t="str">
        <f t="shared" si="0"/>
        <v/>
      </c>
      <c r="V55" t="str">
        <f t="shared" si="1"/>
        <v/>
      </c>
      <c r="W55" s="20" t="str">
        <f t="shared" si="2"/>
        <v/>
      </c>
    </row>
    <row r="56" spans="2:23" ht="14.5">
      <c r="B56" s="205" t="str">
        <f ca="1"/>
        <v>2025212148</v>
      </c>
      <c r="C56" s="17" t="str">
        <f ca="1"/>
        <v>Indusind General Insurance Co Ltd</v>
      </c>
      <c r="D56" s="17" t="str">
        <f ca="1"/>
        <v>R001-1054-SS-2025</v>
      </c>
      <c r="E56" s="19">
        <f ca="1"/>
        <v>63</v>
      </c>
      <c r="F56" s="19" t="str">
        <f>IF(MIS_Backend_Data!O55="", "", MIS_Backend_Data!O55)</f>
        <v>Pending CS</v>
      </c>
      <c r="G56" t="str">
        <f>IF(MIS_Backend_Data!T55="", "", MIS_Backend_Data!T55)</f>
        <v>Completed</v>
      </c>
      <c r="H56" t="str">
        <f>IF(MIS_Backend_Data!X55="", "", MIS_Backend_Data!X55)</f>
        <v>NA</v>
      </c>
      <c r="I56" t="str">
        <f>IF(MIS_Backend_Data!AC55="", "", MIS_Backend_Data!AC55)</f>
        <v>Completed</v>
      </c>
      <c r="J56" t="str">
        <f>IF(MIS_Backend_Data!AB55="", "", MIS_Backend_Data!AB55)</f>
        <v>NA</v>
      </c>
      <c r="K56" t="str">
        <f>IF(MIS_Backend_Data!AG55="", "", MIS_Backend_Data!AG55)</f>
        <v>Completed</v>
      </c>
      <c r="L56" s="20" t="str">
        <f>IF(MIS_Backend_Data!AI55="", "", MIS_Backend_Data!AI55)</f>
        <v>NA</v>
      </c>
      <c r="M56" t="str">
        <f>IF(MIS_Backend_Data!AK55="", "", MIS_Backend_Data!AK55)</f>
        <v>NA</v>
      </c>
      <c r="N56" t="str">
        <f>IF(MIS_Backend_Data!AM55="", "", MIS_Backend_Data!AM55)</f>
        <v>NA</v>
      </c>
      <c r="O56" t="str">
        <f>IF(MIS_Backend_Data!AO55="", "", MIS_Backend_Data!AO55)</f>
        <v>NA</v>
      </c>
      <c r="P56" t="str">
        <f>IF(MIS_Backend_Data!AS55="", "", MIS_Backend_Data!AS55)</f>
        <v>Completed</v>
      </c>
      <c r="Q56" t="str">
        <f>IF(MIS_Backend_Data!AX55="", "", MIS_Backend_Data!AX55)</f>
        <v>WIP</v>
      </c>
      <c r="R56" t="str">
        <f>IF(MIS_Backend_Data!BB55="", "", MIS_Backend_Data!BB55)</f>
        <v>NA</v>
      </c>
      <c r="S56" t="str">
        <f>IF(MIS_Backend_Data!AW55="", "", MIS_Backend_Data!AW55)</f>
        <v>NA</v>
      </c>
      <c r="T56" s="42" t="str">
        <f>IF(MIS_Backend_Data!N55="Dispatch","Completed","NA")</f>
        <v>NA</v>
      </c>
      <c r="U56" t="str">
        <f t="shared" si="0"/>
        <v/>
      </c>
      <c r="V56" t="str">
        <f t="shared" si="1"/>
        <v/>
      </c>
      <c r="W56" s="20" t="str">
        <f t="shared" si="2"/>
        <v/>
      </c>
    </row>
    <row r="57" spans="2:23" ht="14.5">
      <c r="B57" s="205" t="str">
        <f ca="1"/>
        <v>2025212191</v>
      </c>
      <c r="C57" s="17" t="str">
        <f ca="1"/>
        <v>Indusind General Insurance Co Ltd</v>
      </c>
      <c r="D57" s="17" t="str">
        <f ca="1"/>
        <v>R001-1055-SS-2025</v>
      </c>
      <c r="E57" s="19">
        <f ca="1"/>
        <v>63</v>
      </c>
      <c r="F57" s="19" t="str">
        <f>IF(MIS_Backend_Data!O56="", "", MIS_Backend_Data!O56)</f>
        <v>WIP</v>
      </c>
      <c r="G57" t="str">
        <f>IF(MIS_Backend_Data!T56="", "", MIS_Backend_Data!T56)</f>
        <v>WIP</v>
      </c>
      <c r="H57" t="str">
        <f>IF(MIS_Backend_Data!X56="", "", MIS_Backend_Data!X56)</f>
        <v>NA</v>
      </c>
      <c r="I57" t="str">
        <f>IF(MIS_Backend_Data!AC56="", "", MIS_Backend_Data!AC56)</f>
        <v>WIP</v>
      </c>
      <c r="J57" t="str">
        <f>IF(MIS_Backend_Data!AB56="", "", MIS_Backend_Data!AB56)</f>
        <v>NA</v>
      </c>
      <c r="K57" t="str">
        <f>IF(MIS_Backend_Data!AG56="", "", MIS_Backend_Data!AG56)</f>
        <v>WIP</v>
      </c>
      <c r="L57" s="20" t="str">
        <f>IF(MIS_Backend_Data!AI56="", "", MIS_Backend_Data!AI56)</f>
        <v>NA</v>
      </c>
      <c r="M57" t="str">
        <f>IF(MIS_Backend_Data!AK56="", "", MIS_Backend_Data!AK56)</f>
        <v>NA</v>
      </c>
      <c r="N57" t="str">
        <f>IF(MIS_Backend_Data!AM56="", "", MIS_Backend_Data!AM56)</f>
        <v>NA</v>
      </c>
      <c r="O57" t="str">
        <f>IF(MIS_Backend_Data!AO56="", "", MIS_Backend_Data!AO56)</f>
        <v>NA</v>
      </c>
      <c r="P57" t="str">
        <f>IF(MIS_Backend_Data!AS56="", "", MIS_Backend_Data!AS56)</f>
        <v>WIP</v>
      </c>
      <c r="Q57" t="str">
        <f>IF(MIS_Backend_Data!AX56="", "", MIS_Backend_Data!AX56)</f>
        <v>NA</v>
      </c>
      <c r="R57" t="str">
        <f>IF(MIS_Backend_Data!BB56="", "", MIS_Backend_Data!BB56)</f>
        <v>NA</v>
      </c>
      <c r="S57" t="str">
        <f>IF(MIS_Backend_Data!AW56="", "", MIS_Backend_Data!AW56)</f>
        <v>NA</v>
      </c>
      <c r="T57" s="42" t="str">
        <f>IF(MIS_Backend_Data!N56="Dispatch","Completed","NA")</f>
        <v>NA</v>
      </c>
      <c r="U57" t="str">
        <f t="shared" si="0"/>
        <v/>
      </c>
      <c r="V57" t="str">
        <f t="shared" si="1"/>
        <v/>
      </c>
      <c r="W57" s="20" t="str">
        <f t="shared" si="2"/>
        <v/>
      </c>
    </row>
    <row r="58" spans="2:23" ht="14.5">
      <c r="B58" s="205" t="str">
        <f ca="1"/>
        <v>2025212189</v>
      </c>
      <c r="C58" s="17" t="str">
        <f ca="1"/>
        <v>Indusind General Insurance Co Ltd</v>
      </c>
      <c r="D58" s="17" t="str">
        <f ca="1"/>
        <v>R001-1056-SS-2025</v>
      </c>
      <c r="E58" s="19">
        <f ca="1"/>
        <v>63</v>
      </c>
      <c r="F58" s="19" t="str">
        <f>IF(MIS_Backend_Data!O57="", "", MIS_Backend_Data!O57)</f>
        <v>WIP</v>
      </c>
      <c r="G58" t="str">
        <f>IF(MIS_Backend_Data!T57="", "", MIS_Backend_Data!T57)</f>
        <v>WIP</v>
      </c>
      <c r="H58" t="str">
        <f>IF(MIS_Backend_Data!X57="", "", MIS_Backend_Data!X57)</f>
        <v>NA</v>
      </c>
      <c r="I58" t="str">
        <f>IF(MIS_Backend_Data!AC57="", "", MIS_Backend_Data!AC57)</f>
        <v>WIP</v>
      </c>
      <c r="J58" t="str">
        <f>IF(MIS_Backend_Data!AB57="", "", MIS_Backend_Data!AB57)</f>
        <v>NA</v>
      </c>
      <c r="K58" t="str">
        <f>IF(MIS_Backend_Data!AG57="", "", MIS_Backend_Data!AG57)</f>
        <v>WIP</v>
      </c>
      <c r="L58" s="20" t="str">
        <f>IF(MIS_Backend_Data!AI57="", "", MIS_Backend_Data!AI57)</f>
        <v>NA</v>
      </c>
      <c r="M58" t="str">
        <f>IF(MIS_Backend_Data!AK57="", "", MIS_Backend_Data!AK57)</f>
        <v>NA</v>
      </c>
      <c r="N58" t="str">
        <f>IF(MIS_Backend_Data!AM57="", "", MIS_Backend_Data!AM57)</f>
        <v>NA</v>
      </c>
      <c r="O58" t="str">
        <f>IF(MIS_Backend_Data!AO57="", "", MIS_Backend_Data!AO57)</f>
        <v>NA</v>
      </c>
      <c r="P58" t="str">
        <f>IF(MIS_Backend_Data!AS57="", "", MIS_Backend_Data!AS57)</f>
        <v>Completed</v>
      </c>
      <c r="Q58" t="str">
        <f>IF(MIS_Backend_Data!AX57="", "", MIS_Backend_Data!AX57)</f>
        <v>STOP</v>
      </c>
      <c r="R58" t="str">
        <f>IF(MIS_Backend_Data!BB57="", "", MIS_Backend_Data!BB57)</f>
        <v>NA</v>
      </c>
      <c r="S58" t="str">
        <f>IF(MIS_Backend_Data!AW57="", "", MIS_Backend_Data!AW57)</f>
        <v>NA</v>
      </c>
      <c r="T58" s="42" t="str">
        <f>IF(MIS_Backend_Data!N57="Dispatch","Completed","NA")</f>
        <v>NA</v>
      </c>
      <c r="U58" t="str">
        <f t="shared" si="0"/>
        <v/>
      </c>
      <c r="V58" t="str">
        <f t="shared" si="1"/>
        <v/>
      </c>
      <c r="W58" s="20" t="str">
        <f t="shared" si="2"/>
        <v/>
      </c>
    </row>
    <row r="59" spans="2:23" ht="14.5">
      <c r="B59" s="205" t="str">
        <f ca="1"/>
        <v>2025212179</v>
      </c>
      <c r="C59" s="17" t="str">
        <f ca="1"/>
        <v>Indusind General Insurance Co Ltd</v>
      </c>
      <c r="D59" s="17" t="str">
        <f ca="1"/>
        <v>R001-1057-SS-2025</v>
      </c>
      <c r="E59" s="19">
        <f ca="1"/>
        <v>63</v>
      </c>
      <c r="F59" s="19" t="str">
        <f>IF(MIS_Backend_Data!O58="", "", MIS_Backend_Data!O58)</f>
        <v>IR - Wiritng</v>
      </c>
      <c r="G59" t="str">
        <f>IF(MIS_Backend_Data!T58="", "", MIS_Backend_Data!T58)</f>
        <v>Completed</v>
      </c>
      <c r="H59" t="str">
        <f>IF(MIS_Backend_Data!X58="", "", MIS_Backend_Data!X58)</f>
        <v>NA</v>
      </c>
      <c r="I59" t="str">
        <f>IF(MIS_Backend_Data!AC58="", "", MIS_Backend_Data!AC58)</f>
        <v>Completed</v>
      </c>
      <c r="J59" t="str">
        <f>IF(MIS_Backend_Data!AB58="", "", MIS_Backend_Data!AB58)</f>
        <v>NA</v>
      </c>
      <c r="K59" t="str">
        <f>IF(MIS_Backend_Data!AG58="", "", MIS_Backend_Data!AG58)</f>
        <v>Completed</v>
      </c>
      <c r="L59" s="20" t="str">
        <f>IF(MIS_Backend_Data!AI58="", "", MIS_Backend_Data!AI58)</f>
        <v>NA</v>
      </c>
      <c r="M59" t="str">
        <f>IF(MIS_Backend_Data!AK58="", "", MIS_Backend_Data!AK58)</f>
        <v>NA</v>
      </c>
      <c r="N59" t="str">
        <f>IF(MIS_Backend_Data!AM58="", "", MIS_Backend_Data!AM58)</f>
        <v>NA</v>
      </c>
      <c r="O59" t="str">
        <f>IF(MIS_Backend_Data!AO58="", "", MIS_Backend_Data!AO58)</f>
        <v>NA</v>
      </c>
      <c r="P59" t="str">
        <f>IF(MIS_Backend_Data!AS58="", "", MIS_Backend_Data!AS58)</f>
        <v>Completed</v>
      </c>
      <c r="Q59" t="str">
        <f>IF(MIS_Backend_Data!AX58="", "", MIS_Backend_Data!AX58)</f>
        <v>Not Filed</v>
      </c>
      <c r="R59" t="str">
        <f>IF(MIS_Backend_Data!BB58="", "", MIS_Backend_Data!BB58)</f>
        <v>NA</v>
      </c>
      <c r="S59" t="str">
        <f>IF(MIS_Backend_Data!AW58="", "", MIS_Backend_Data!AW58)</f>
        <v>NA</v>
      </c>
      <c r="T59" s="42" t="str">
        <f>IF(MIS_Backend_Data!N58="Dispatch","Completed","NA")</f>
        <v>NA</v>
      </c>
      <c r="U59" t="str">
        <f t="shared" si="0"/>
        <v/>
      </c>
      <c r="V59" t="str">
        <f t="shared" si="1"/>
        <v/>
      </c>
      <c r="W59" s="20" t="str">
        <f t="shared" si="2"/>
        <v/>
      </c>
    </row>
    <row r="60" spans="2:23" ht="14.5">
      <c r="B60" s="205" t="str">
        <f ca="1"/>
        <v>2025212145</v>
      </c>
      <c r="C60" s="17" t="str">
        <f ca="1"/>
        <v>Indusind General Insurance Co Ltd</v>
      </c>
      <c r="D60" s="17" t="str">
        <f ca="1"/>
        <v>R001-1058-SS-2025</v>
      </c>
      <c r="E60" s="19">
        <f ca="1"/>
        <v>63</v>
      </c>
      <c r="F60" s="19" t="str">
        <f>IF(MIS_Backend_Data!O59="", "", MIS_Backend_Data!O59)</f>
        <v>Pending CS</v>
      </c>
      <c r="G60" t="str">
        <f>IF(MIS_Backend_Data!T59="", "", MIS_Backend_Data!T59)</f>
        <v>Completed</v>
      </c>
      <c r="H60" t="str">
        <f>IF(MIS_Backend_Data!X59="", "", MIS_Backend_Data!X59)</f>
        <v>NA</v>
      </c>
      <c r="I60" t="str">
        <f>IF(MIS_Backend_Data!AC59="", "", MIS_Backend_Data!AC59)</f>
        <v>Completed</v>
      </c>
      <c r="J60" t="str">
        <f>IF(MIS_Backend_Data!AB59="", "", MIS_Backend_Data!AB59)</f>
        <v>NA</v>
      </c>
      <c r="K60" t="str">
        <f>IF(MIS_Backend_Data!AG59="", "", MIS_Backend_Data!AG59)</f>
        <v>Completed</v>
      </c>
      <c r="L60" s="20" t="str">
        <f>IF(MIS_Backend_Data!AI59="", "", MIS_Backend_Data!AI59)</f>
        <v>NA</v>
      </c>
      <c r="M60" t="str">
        <f>IF(MIS_Backend_Data!AK59="", "", MIS_Backend_Data!AK59)</f>
        <v>NA</v>
      </c>
      <c r="N60" t="str">
        <f>IF(MIS_Backend_Data!AM59="", "", MIS_Backend_Data!AM59)</f>
        <v>NA</v>
      </c>
      <c r="O60" t="str">
        <f>IF(MIS_Backend_Data!AO59="", "", MIS_Backend_Data!AO59)</f>
        <v>NA</v>
      </c>
      <c r="P60" t="str">
        <f>IF(MIS_Backend_Data!AS59="", "", MIS_Backend_Data!AS59)</f>
        <v>Completed</v>
      </c>
      <c r="Q60" t="str">
        <f>IF(MIS_Backend_Data!AX59="", "", MIS_Backend_Data!AX59)</f>
        <v>NA</v>
      </c>
      <c r="R60" t="str">
        <f>IF(MIS_Backend_Data!BB59="", "", MIS_Backend_Data!BB59)</f>
        <v>NA</v>
      </c>
      <c r="S60" t="str">
        <f>IF(MIS_Backend_Data!AW59="", "", MIS_Backend_Data!AW59)</f>
        <v>NA</v>
      </c>
      <c r="T60" s="42" t="str">
        <f>IF(MIS_Backend_Data!N59="Dispatch","Completed","NA")</f>
        <v>NA</v>
      </c>
      <c r="U60" t="str">
        <f t="shared" si="0"/>
        <v/>
      </c>
      <c r="V60" t="str">
        <f t="shared" si="1"/>
        <v/>
      </c>
      <c r="W60" s="20" t="str">
        <f t="shared" si="2"/>
        <v/>
      </c>
    </row>
    <row r="61" spans="2:23" ht="14.5">
      <c r="B61" s="205" t="str">
        <f ca="1"/>
        <v>2025212140</v>
      </c>
      <c r="C61" s="17" t="str">
        <f ca="1"/>
        <v>Indusind General Insurance Co Ltd</v>
      </c>
      <c r="D61" s="17" t="str">
        <f ca="1"/>
        <v>R001-1059-SS-2025</v>
      </c>
      <c r="E61" s="19">
        <f ca="1"/>
        <v>57</v>
      </c>
      <c r="F61" s="19" t="str">
        <f>IF(MIS_Backend_Data!O60="", "", MIS_Backend_Data!O60)</f>
        <v>Completed</v>
      </c>
      <c r="G61" t="str">
        <f>IF(MIS_Backend_Data!T60="", "", MIS_Backend_Data!T60)</f>
        <v>Completed</v>
      </c>
      <c r="H61" t="str">
        <f>IF(MIS_Backend_Data!X60="", "", MIS_Backend_Data!X60)</f>
        <v>NA</v>
      </c>
      <c r="I61" t="str">
        <f>IF(MIS_Backend_Data!AC60="", "", MIS_Backend_Data!AC60)</f>
        <v>Completed</v>
      </c>
      <c r="J61" t="str">
        <f>IF(MIS_Backend_Data!AB60="", "", MIS_Backend_Data!AB60)</f>
        <v>NA</v>
      </c>
      <c r="K61" t="str">
        <f>IF(MIS_Backend_Data!AG60="", "", MIS_Backend_Data!AG60)</f>
        <v>NA</v>
      </c>
      <c r="L61" s="20" t="str">
        <f>IF(MIS_Backend_Data!AI60="", "", MIS_Backend_Data!AI60)</f>
        <v>NA</v>
      </c>
      <c r="M61" t="str">
        <f>IF(MIS_Backend_Data!AK60="", "", MIS_Backend_Data!AK60)</f>
        <v>NA</v>
      </c>
      <c r="N61" t="str">
        <f>IF(MIS_Backend_Data!AM60="", "", MIS_Backend_Data!AM60)</f>
        <v>NA</v>
      </c>
      <c r="O61" t="str">
        <f>IF(MIS_Backend_Data!AO60="", "", MIS_Backend_Data!AO60)</f>
        <v>NA</v>
      </c>
      <c r="P61" t="str">
        <f>IF(MIS_Backend_Data!AS60="", "", MIS_Backend_Data!AS60)</f>
        <v>Completed</v>
      </c>
      <c r="Q61" t="str">
        <f>IF(MIS_Backend_Data!AX60="", "", MIS_Backend_Data!AX60)</f>
        <v>Completed</v>
      </c>
      <c r="R61" t="str">
        <f>IF(MIS_Backend_Data!BB60="", "", MIS_Backend_Data!BB60)</f>
        <v>NA</v>
      </c>
      <c r="S61" t="str">
        <f>IF(MIS_Backend_Data!AW60="", "", MIS_Backend_Data!AW60)</f>
        <v>NA</v>
      </c>
      <c r="T61" s="42" t="str">
        <f>IF(MIS_Backend_Data!N60="Dispatch","Completed","NA")</f>
        <v>NA</v>
      </c>
      <c r="U61" t="str">
        <f t="shared" si="0"/>
        <v/>
      </c>
      <c r="V61" t="str">
        <f t="shared" si="1"/>
        <v/>
      </c>
      <c r="W61" s="20" t="str">
        <f t="shared" si="2"/>
        <v/>
      </c>
    </row>
    <row r="62" spans="2:23" ht="14.5">
      <c r="B62" s="205" t="str">
        <f ca="1"/>
        <v>2025212028</v>
      </c>
      <c r="C62" s="17" t="str">
        <f ca="1"/>
        <v>Indusind General Insurance Co Ltd</v>
      </c>
      <c r="D62" s="17" t="str">
        <f ca="1"/>
        <v>R001-1060-SS-2025</v>
      </c>
      <c r="E62" s="19">
        <f ca="1"/>
        <v>51</v>
      </c>
      <c r="F62" s="19" t="str">
        <f>IF(MIS_Backend_Data!O61="", "", MIS_Backend_Data!O61)</f>
        <v>Completed</v>
      </c>
      <c r="G62" t="str">
        <f>IF(MIS_Backend_Data!T61="", "", MIS_Backend_Data!T61)</f>
        <v>NA</v>
      </c>
      <c r="H62" t="str">
        <f>IF(MIS_Backend_Data!X61="", "", MIS_Backend_Data!X61)</f>
        <v>NA</v>
      </c>
      <c r="I62" t="str">
        <f>IF(MIS_Backend_Data!AC61="", "", MIS_Backend_Data!AC61)</f>
        <v>Completed</v>
      </c>
      <c r="J62" t="str">
        <f>IF(MIS_Backend_Data!AB61="", "", MIS_Backend_Data!AB61)</f>
        <v>NA</v>
      </c>
      <c r="K62" t="str">
        <f>IF(MIS_Backend_Data!AG61="", "", MIS_Backend_Data!AG61)</f>
        <v>NA</v>
      </c>
      <c r="L62" s="20" t="str">
        <f>IF(MIS_Backend_Data!AI61="", "", MIS_Backend_Data!AI61)</f>
        <v>NA</v>
      </c>
      <c r="M62" t="str">
        <f>IF(MIS_Backend_Data!AK61="", "", MIS_Backend_Data!AK61)</f>
        <v>NA</v>
      </c>
      <c r="N62" t="str">
        <f>IF(MIS_Backend_Data!AM61="", "", MIS_Backend_Data!AM61)</f>
        <v>NA</v>
      </c>
      <c r="O62" t="str">
        <f>IF(MIS_Backend_Data!AO61="", "", MIS_Backend_Data!AO61)</f>
        <v>NA</v>
      </c>
      <c r="P62" t="str">
        <f>IF(MIS_Backend_Data!AS61="", "", MIS_Backend_Data!AS61)</f>
        <v>NA</v>
      </c>
      <c r="Q62" t="str">
        <f>IF(MIS_Backend_Data!AX61="", "", MIS_Backend_Data!AX61)</f>
        <v>NA</v>
      </c>
      <c r="R62" t="str">
        <f>IF(MIS_Backend_Data!BB61="", "", MIS_Backend_Data!BB61)</f>
        <v>NA</v>
      </c>
      <c r="S62" t="str">
        <f>IF(MIS_Backend_Data!AW61="", "", MIS_Backend_Data!AW61)</f>
        <v>NA</v>
      </c>
      <c r="T62" s="42" t="str">
        <f>IF(MIS_Backend_Data!N61="Dispatch","Completed","NA")</f>
        <v>Completed</v>
      </c>
      <c r="U62" t="str">
        <f t="shared" si="0"/>
        <v/>
      </c>
      <c r="V62" t="str">
        <f t="shared" si="1"/>
        <v/>
      </c>
      <c r="W62" s="20" t="str">
        <f t="shared" si="2"/>
        <v/>
      </c>
    </row>
    <row r="63" spans="2:23" ht="14.5">
      <c r="B63" s="205" t="str">
        <f ca="1"/>
        <v>2025212222</v>
      </c>
      <c r="C63" s="17" t="str">
        <f ca="1"/>
        <v>Indusind General Insurance Co Ltd</v>
      </c>
      <c r="D63" s="17" t="str">
        <f ca="1"/>
        <v>R001-1061-SS-2025</v>
      </c>
      <c r="E63" s="19">
        <f ca="1"/>
        <v>63</v>
      </c>
      <c r="F63" s="19" t="str">
        <f>IF(MIS_Backend_Data!O62="", "", MIS_Backend_Data!O62)</f>
        <v>WIP</v>
      </c>
      <c r="G63" t="str">
        <f>IF(MIS_Backend_Data!T62="", "", MIS_Backend_Data!T62)</f>
        <v>Completed</v>
      </c>
      <c r="H63" t="str">
        <f>IF(MIS_Backend_Data!X62="", "", MIS_Backend_Data!X62)</f>
        <v>NA</v>
      </c>
      <c r="I63" t="str">
        <f>IF(MIS_Backend_Data!AC62="", "", MIS_Backend_Data!AC62)</f>
        <v>NA</v>
      </c>
      <c r="J63" t="str">
        <f>IF(MIS_Backend_Data!AB62="", "", MIS_Backend_Data!AB62)</f>
        <v>NA</v>
      </c>
      <c r="K63" t="str">
        <f>IF(MIS_Backend_Data!AG62="", "", MIS_Backend_Data!AG62)</f>
        <v>NA</v>
      </c>
      <c r="L63" s="20" t="str">
        <f>IF(MIS_Backend_Data!AI62="", "", MIS_Backend_Data!AI62)</f>
        <v>NA</v>
      </c>
      <c r="M63" t="str">
        <f>IF(MIS_Backend_Data!AK62="", "", MIS_Backend_Data!AK62)</f>
        <v>NA</v>
      </c>
      <c r="N63" t="str">
        <f>IF(MIS_Backend_Data!AM62="", "", MIS_Backend_Data!AM62)</f>
        <v>NA</v>
      </c>
      <c r="O63" t="str">
        <f>IF(MIS_Backend_Data!AO62="", "", MIS_Backend_Data!AO62)</f>
        <v>NA</v>
      </c>
      <c r="P63" t="str">
        <f>IF(MIS_Backend_Data!AS62="", "", MIS_Backend_Data!AS62)</f>
        <v>NA</v>
      </c>
      <c r="Q63" t="str">
        <f>IF(MIS_Backend_Data!AX62="", "", MIS_Backend_Data!AX62)</f>
        <v>WIP</v>
      </c>
      <c r="R63" t="str">
        <f>IF(MIS_Backend_Data!BB62="", "", MIS_Backend_Data!BB62)</f>
        <v>NA</v>
      </c>
      <c r="S63" t="str">
        <f>IF(MIS_Backend_Data!AW62="", "", MIS_Backend_Data!AW62)</f>
        <v>NA</v>
      </c>
      <c r="T63" s="42" t="str">
        <f>IF(MIS_Backend_Data!N62="Dispatch","Completed","NA")</f>
        <v>NA</v>
      </c>
      <c r="U63" t="str">
        <f t="shared" si="0"/>
        <v/>
      </c>
      <c r="V63">
        <f t="shared" si="1"/>
        <v>1</v>
      </c>
      <c r="W63" s="20" t="str">
        <f t="shared" si="2"/>
        <v/>
      </c>
    </row>
    <row r="64" spans="2:23" ht="14.5">
      <c r="B64" s="205" t="str">
        <f ca="1"/>
        <v>2025212162</v>
      </c>
      <c r="C64" s="17" t="str">
        <f ca="1"/>
        <v>Indusind General Insurance Co Ltd</v>
      </c>
      <c r="D64" s="17" t="str">
        <f ca="1"/>
        <v>R001-1062-SS-2025</v>
      </c>
      <c r="E64" s="19">
        <f ca="1"/>
        <v>63</v>
      </c>
      <c r="F64" s="19" t="str">
        <f>IF(MIS_Backend_Data!O63="", "", MIS_Backend_Data!O63)</f>
        <v>WIP</v>
      </c>
      <c r="G64" t="str">
        <f>IF(MIS_Backend_Data!T63="", "", MIS_Backend_Data!T63)</f>
        <v>Completed</v>
      </c>
      <c r="H64" t="str">
        <f>IF(MIS_Backend_Data!X63="", "", MIS_Backend_Data!X63)</f>
        <v>NA</v>
      </c>
      <c r="I64" t="str">
        <f>IF(MIS_Backend_Data!AC63="", "", MIS_Backend_Data!AC63)</f>
        <v>NA</v>
      </c>
      <c r="J64" t="str">
        <f>IF(MIS_Backend_Data!AB63="", "", MIS_Backend_Data!AB63)</f>
        <v>NA</v>
      </c>
      <c r="K64" t="str">
        <f>IF(MIS_Backend_Data!AG63="", "", MIS_Backend_Data!AG63)</f>
        <v>NA</v>
      </c>
      <c r="L64" s="20" t="str">
        <f>IF(MIS_Backend_Data!AI63="", "", MIS_Backend_Data!AI63)</f>
        <v>NA</v>
      </c>
      <c r="M64" t="str">
        <f>IF(MIS_Backend_Data!AK63="", "", MIS_Backend_Data!AK63)</f>
        <v>NA</v>
      </c>
      <c r="N64" t="str">
        <f>IF(MIS_Backend_Data!AM63="", "", MIS_Backend_Data!AM63)</f>
        <v>NA</v>
      </c>
      <c r="O64" t="str">
        <f>IF(MIS_Backend_Data!AO63="", "", MIS_Backend_Data!AO63)</f>
        <v>NA</v>
      </c>
      <c r="P64" t="str">
        <f>IF(MIS_Backend_Data!AS63="", "", MIS_Backend_Data!AS63)</f>
        <v>NA</v>
      </c>
      <c r="Q64" t="str">
        <f>IF(MIS_Backend_Data!AX63="", "", MIS_Backend_Data!AX63)</f>
        <v>WIP</v>
      </c>
      <c r="R64" t="str">
        <f>IF(MIS_Backend_Data!BB63="", "", MIS_Backend_Data!BB63)</f>
        <v>NA</v>
      </c>
      <c r="S64" t="str">
        <f>IF(MIS_Backend_Data!AW63="", "", MIS_Backend_Data!AW63)</f>
        <v>NA</v>
      </c>
      <c r="T64" s="42" t="str">
        <f>IF(MIS_Backend_Data!N63="Dispatch","Completed","NA")</f>
        <v>NA</v>
      </c>
      <c r="U64" t="str">
        <f t="shared" si="0"/>
        <v/>
      </c>
      <c r="V64">
        <f t="shared" si="1"/>
        <v>1</v>
      </c>
      <c r="W64" s="20" t="str">
        <f t="shared" si="2"/>
        <v/>
      </c>
    </row>
    <row r="65" spans="2:23" ht="14.5">
      <c r="B65" s="205" t="str">
        <f ca="1"/>
        <v xml:space="preserve">CN074856 </v>
      </c>
      <c r="C65" s="17" t="str">
        <f ca="1"/>
        <v>Generali Central Insurance Company Limited</v>
      </c>
      <c r="D65" s="17" t="str">
        <f ca="1"/>
        <v>F001-1063-SS-2025</v>
      </c>
      <c r="E65" s="19">
        <f ca="1"/>
        <v>19</v>
      </c>
      <c r="F65" s="19" t="str">
        <f>IF(MIS_Backend_Data!O64="", "", MIS_Backend_Data!O64)</f>
        <v>Completed</v>
      </c>
      <c r="G65" t="str">
        <f>IF(MIS_Backend_Data!T64="", "", MIS_Backend_Data!T64)</f>
        <v>NA</v>
      </c>
      <c r="H65" t="str">
        <f>IF(MIS_Backend_Data!X64="", "", MIS_Backend_Data!X64)</f>
        <v>NA</v>
      </c>
      <c r="I65" t="str">
        <f>IF(MIS_Backend_Data!AC64="", "", MIS_Backend_Data!AC64)</f>
        <v>Completed</v>
      </c>
      <c r="J65" t="str">
        <f>IF(MIS_Backend_Data!AB64="", "", MIS_Backend_Data!AB64)</f>
        <v>NA</v>
      </c>
      <c r="K65" t="str">
        <f>IF(MIS_Backend_Data!AG64="", "", MIS_Backend_Data!AG64)</f>
        <v>Completed</v>
      </c>
      <c r="L65" s="20" t="str">
        <f>IF(MIS_Backend_Data!AI64="", "", MIS_Backend_Data!AI64)</f>
        <v>NA</v>
      </c>
      <c r="M65" t="str">
        <f>IF(MIS_Backend_Data!AK64="", "", MIS_Backend_Data!AK64)</f>
        <v>NA</v>
      </c>
      <c r="N65" t="str">
        <f>IF(MIS_Backend_Data!AM64="", "", MIS_Backend_Data!AM64)</f>
        <v>NA</v>
      </c>
      <c r="O65" t="str">
        <f>IF(MIS_Backend_Data!AO64="", "", MIS_Backend_Data!AO64)</f>
        <v>NA</v>
      </c>
      <c r="P65" t="str">
        <f>IF(MIS_Backend_Data!AS64="", "", MIS_Backend_Data!AS64)</f>
        <v>NA</v>
      </c>
      <c r="Q65" t="str">
        <f>IF(MIS_Backend_Data!AX64="", "", MIS_Backend_Data!AX64)</f>
        <v/>
      </c>
      <c r="R65" t="str">
        <f>IF(MIS_Backend_Data!BB64="", "", MIS_Backend_Data!BB64)</f>
        <v>NA</v>
      </c>
      <c r="S65" t="str">
        <f>IF(MIS_Backend_Data!AW64="", "", MIS_Backend_Data!AW64)</f>
        <v/>
      </c>
      <c r="T65" s="42" t="str">
        <f>IF(MIS_Backend_Data!N64="Dispatch","Completed","NA")</f>
        <v>Completed</v>
      </c>
      <c r="U65" t="str">
        <f t="shared" si="0"/>
        <v/>
      </c>
      <c r="V65" t="str">
        <f t="shared" si="1"/>
        <v/>
      </c>
      <c r="W65" s="20" t="str">
        <f t="shared" si="2"/>
        <v/>
      </c>
    </row>
    <row r="66" spans="2:23" ht="14.5">
      <c r="B66" s="205" t="str">
        <f ca="1"/>
        <v xml:space="preserve">CM596085 </v>
      </c>
      <c r="C66" s="17" t="str">
        <f ca="1"/>
        <v>Generali Central Insurance Company Limited</v>
      </c>
      <c r="D66" s="17" t="str">
        <f ca="1"/>
        <v>F001-1064-SS-2025</v>
      </c>
      <c r="E66" s="19">
        <f ca="1"/>
        <v>18</v>
      </c>
      <c r="F66" s="19" t="str">
        <f>IF(MIS_Backend_Data!O65="", "", MIS_Backend_Data!O65)</f>
        <v>Completed</v>
      </c>
      <c r="G66" t="str">
        <f>IF(MIS_Backend_Data!T65="", "", MIS_Backend_Data!T65)</f>
        <v>NA</v>
      </c>
      <c r="H66" t="str">
        <f>IF(MIS_Backend_Data!X65="", "", MIS_Backend_Data!X65)</f>
        <v>NA</v>
      </c>
      <c r="I66" t="str">
        <f>IF(MIS_Backend_Data!AC65="", "", MIS_Backend_Data!AC65)</f>
        <v>NA</v>
      </c>
      <c r="J66" t="str">
        <f>IF(MIS_Backend_Data!AB65="", "", MIS_Backend_Data!AB65)</f>
        <v>NA</v>
      </c>
      <c r="K66" t="str">
        <f>IF(MIS_Backend_Data!AG65="", "", MIS_Backend_Data!AG65)</f>
        <v>NA</v>
      </c>
      <c r="L66" s="20" t="str">
        <f>IF(MIS_Backend_Data!AI65="", "", MIS_Backend_Data!AI65)</f>
        <v>NA</v>
      </c>
      <c r="M66" t="str">
        <f>IF(MIS_Backend_Data!AK65="", "", MIS_Backend_Data!AK65)</f>
        <v>NA</v>
      </c>
      <c r="N66" t="str">
        <f>IF(MIS_Backend_Data!AM65="", "", MIS_Backend_Data!AM65)</f>
        <v>NA</v>
      </c>
      <c r="O66" t="str">
        <f>IF(MIS_Backend_Data!AO65="", "", MIS_Backend_Data!AO65)</f>
        <v>NA</v>
      </c>
      <c r="P66" t="str">
        <f>IF(MIS_Backend_Data!AS65="", "", MIS_Backend_Data!AS65)</f>
        <v>NA</v>
      </c>
      <c r="Q66" t="str">
        <f>IF(MIS_Backend_Data!AX65="", "", MIS_Backend_Data!AX65)</f>
        <v>NA</v>
      </c>
      <c r="R66" t="str">
        <f>IF(MIS_Backend_Data!BB65="", "", MIS_Backend_Data!BB65)</f>
        <v>NA</v>
      </c>
      <c r="S66" t="str">
        <f>IF(MIS_Backend_Data!AW65="", "", MIS_Backend_Data!AW65)</f>
        <v>NA</v>
      </c>
      <c r="T66" s="42" t="str">
        <f>IF(MIS_Backend_Data!N65="Dispatch","Completed","NA")</f>
        <v>Completed</v>
      </c>
      <c r="U66" t="str">
        <f t="shared" si="0"/>
        <v/>
      </c>
      <c r="V66" t="str">
        <f t="shared" si="1"/>
        <v/>
      </c>
      <c r="W66" s="20" t="str">
        <f t="shared" si="2"/>
        <v/>
      </c>
    </row>
    <row r="67" spans="2:23" ht="14.5">
      <c r="B67" s="205" t="str">
        <f ca="1"/>
        <v>2025212410</v>
      </c>
      <c r="C67" s="17" t="str">
        <f ca="1"/>
        <v>Indusind General Insurance Co Ltd</v>
      </c>
      <c r="D67" s="17" t="str">
        <f ca="1"/>
        <v>R001-1065-SS-2025</v>
      </c>
      <c r="E67" s="19">
        <f ca="1"/>
        <v>57</v>
      </c>
      <c r="F67" s="19" t="str">
        <f>IF(MIS_Backend_Data!O66="", "", MIS_Backend_Data!O66)</f>
        <v>WIP</v>
      </c>
      <c r="G67" t="str">
        <f>IF(MIS_Backend_Data!T66="", "", MIS_Backend_Data!T66)</f>
        <v>WIP</v>
      </c>
      <c r="H67" t="str">
        <f>IF(MIS_Backend_Data!X66="", "", MIS_Backend_Data!X66)</f>
        <v>NA</v>
      </c>
      <c r="I67" t="str">
        <f>IF(MIS_Backend_Data!AC66="", "", MIS_Backend_Data!AC66)</f>
        <v>WIP</v>
      </c>
      <c r="J67" t="str">
        <f>IF(MIS_Backend_Data!AB66="", "", MIS_Backend_Data!AB66)</f>
        <v>NA</v>
      </c>
      <c r="K67" t="str">
        <f>IF(MIS_Backend_Data!AG66="", "", MIS_Backend_Data!AG66)</f>
        <v>WIP</v>
      </c>
      <c r="L67" s="20" t="str">
        <f>IF(MIS_Backend_Data!AI66="", "", MIS_Backend_Data!AI66)</f>
        <v>NA</v>
      </c>
      <c r="M67" t="str">
        <f>IF(MIS_Backend_Data!AK66="", "", MIS_Backend_Data!AK66)</f>
        <v>NA</v>
      </c>
      <c r="N67" t="str">
        <f>IF(MIS_Backend_Data!AM66="", "", MIS_Backend_Data!AM66)</f>
        <v>NA</v>
      </c>
      <c r="O67" t="str">
        <f>IF(MIS_Backend_Data!AO66="", "", MIS_Backend_Data!AO66)</f>
        <v>NA</v>
      </c>
      <c r="P67" t="str">
        <f>IF(MIS_Backend_Data!AS66="", "", MIS_Backend_Data!AS66)</f>
        <v>Completed</v>
      </c>
      <c r="Q67" t="str">
        <f>IF(MIS_Backend_Data!AX66="", "", MIS_Backend_Data!AX66)</f>
        <v>Completed</v>
      </c>
      <c r="R67" t="str">
        <f>IF(MIS_Backend_Data!BB66="", "", MIS_Backend_Data!BB66)</f>
        <v>NA</v>
      </c>
      <c r="S67" t="str">
        <f>IF(MIS_Backend_Data!AW66="", "", MIS_Backend_Data!AW66)</f>
        <v>NA</v>
      </c>
      <c r="T67" s="42" t="str">
        <f>IF(MIS_Backend_Data!N66="Dispatch","Completed","NA")</f>
        <v>NA</v>
      </c>
      <c r="U67" t="str">
        <f t="shared" si="0"/>
        <v/>
      </c>
      <c r="V67" t="str">
        <f t="shared" si="1"/>
        <v/>
      </c>
      <c r="W67" s="20" t="str">
        <f t="shared" si="2"/>
        <v/>
      </c>
    </row>
    <row r="68" spans="2:23" ht="14.5">
      <c r="B68" s="205" t="str">
        <f ca="1"/>
        <v>2025212250</v>
      </c>
      <c r="C68" s="17" t="str">
        <f ca="1"/>
        <v>Indusind General Insurance Co Ltd</v>
      </c>
      <c r="D68" s="17" t="str">
        <f ca="1"/>
        <v>R001-1066-SS-2025</v>
      </c>
      <c r="E68" s="19">
        <f ca="1"/>
        <v>55</v>
      </c>
      <c r="F68" s="19" t="str">
        <f>IF(MIS_Backend_Data!O67="", "", MIS_Backend_Data!O67)</f>
        <v>Completed</v>
      </c>
      <c r="G68" t="str">
        <f>IF(MIS_Backend_Data!T67="", "", MIS_Backend_Data!T67)</f>
        <v>Completed</v>
      </c>
      <c r="H68" t="str">
        <f>IF(MIS_Backend_Data!X67="", "", MIS_Backend_Data!X67)</f>
        <v>NA</v>
      </c>
      <c r="I68" t="str">
        <f>IF(MIS_Backend_Data!AC67="", "", MIS_Backend_Data!AC67)</f>
        <v>Completed</v>
      </c>
      <c r="J68" t="str">
        <f>IF(MIS_Backend_Data!AB67="", "", MIS_Backend_Data!AB67)</f>
        <v>NA</v>
      </c>
      <c r="K68" t="str">
        <f>IF(MIS_Backend_Data!AG67="", "", MIS_Backend_Data!AG67)</f>
        <v>Completed</v>
      </c>
      <c r="L68" s="20" t="str">
        <f>IF(MIS_Backend_Data!AI67="", "", MIS_Backend_Data!AI67)</f>
        <v>NA</v>
      </c>
      <c r="M68" t="str">
        <f>IF(MIS_Backend_Data!AK67="", "", MIS_Backend_Data!AK67)</f>
        <v>NA</v>
      </c>
      <c r="N68" t="str">
        <f>IF(MIS_Backend_Data!AM67="", "", MIS_Backend_Data!AM67)</f>
        <v>NA</v>
      </c>
      <c r="O68" t="str">
        <f>IF(MIS_Backend_Data!AO67="", "", MIS_Backend_Data!AO67)</f>
        <v>NA</v>
      </c>
      <c r="P68" t="str">
        <f>IF(MIS_Backend_Data!AS67="", "", MIS_Backend_Data!AS67)</f>
        <v>Completed</v>
      </c>
      <c r="Q68" t="str">
        <f>IF(MIS_Backend_Data!AX67="", "", MIS_Backend_Data!AX67)</f>
        <v>NA</v>
      </c>
      <c r="R68" t="str">
        <f>IF(MIS_Backend_Data!BB67="", "", MIS_Backend_Data!BB67)</f>
        <v>NA</v>
      </c>
      <c r="S68" t="str">
        <f>IF(MIS_Backend_Data!AW67="", "", MIS_Backend_Data!AW67)</f>
        <v>NA</v>
      </c>
      <c r="T68" s="42" t="str">
        <f>IF(MIS_Backend_Data!N67="Dispatch","Completed","NA")</f>
        <v>Completed</v>
      </c>
      <c r="U68" t="str">
        <f t="shared" ref="U68:U131" si="3">IF(F68="WIP", IF(COUNTIF(G68:R68, "WIP")=2, 2, ""), "")</f>
        <v/>
      </c>
      <c r="V68" t="str">
        <f t="shared" ref="V68:V131" si="4">IF(F68="WIP", IF(COUNTIF(G68:R68, "WIP")=1, 1, ""), "")</f>
        <v/>
      </c>
      <c r="W68" s="20" t="str">
        <f t="shared" ref="W68:W131" si="5">IF(OR(F68="WIP",F68="Pending for CS"),
    IF(COUNTIFS(G68:R68,"&lt;&gt;Completed",G68:R68,"&lt;&gt;NA")=0,"GTG",""),
"")</f>
        <v/>
      </c>
    </row>
    <row r="69" spans="2:23" ht="14.5">
      <c r="B69" s="205" t="str">
        <f ca="1"/>
        <v>2025212219</v>
      </c>
      <c r="C69" s="17" t="str">
        <f ca="1"/>
        <v>Indusind General Insurance Co Ltd</v>
      </c>
      <c r="D69" s="17" t="str">
        <f ca="1"/>
        <v>R001-1067-SS-2025</v>
      </c>
      <c r="E69" s="19">
        <f ca="1"/>
        <v>57</v>
      </c>
      <c r="F69" s="19" t="str">
        <f>IF(MIS_Backend_Data!O68="", "", MIS_Backend_Data!O68)</f>
        <v>QC</v>
      </c>
      <c r="G69" t="str">
        <f>IF(MIS_Backend_Data!T68="", "", MIS_Backend_Data!T68)</f>
        <v>Completed</v>
      </c>
      <c r="H69" t="str">
        <f>IF(MIS_Backend_Data!X68="", "", MIS_Backend_Data!X68)</f>
        <v>NA</v>
      </c>
      <c r="I69" t="str">
        <f>IF(MIS_Backend_Data!AC68="", "", MIS_Backend_Data!AC68)</f>
        <v>Completed</v>
      </c>
      <c r="J69" t="str">
        <f>IF(MIS_Backend_Data!AB68="", "", MIS_Backend_Data!AB68)</f>
        <v>NA</v>
      </c>
      <c r="K69" t="str">
        <f>IF(MIS_Backend_Data!AG68="", "", MIS_Backend_Data!AG68)</f>
        <v>Completed</v>
      </c>
      <c r="L69" s="20" t="str">
        <f>IF(MIS_Backend_Data!AI68="", "", MIS_Backend_Data!AI68)</f>
        <v>NA</v>
      </c>
      <c r="M69" t="str">
        <f>IF(MIS_Backend_Data!AK68="", "", MIS_Backend_Data!AK68)</f>
        <v>NA</v>
      </c>
      <c r="N69" t="str">
        <f>IF(MIS_Backend_Data!AM68="", "", MIS_Backend_Data!AM68)</f>
        <v>NA</v>
      </c>
      <c r="O69" t="str">
        <f>IF(MIS_Backend_Data!AO68="", "", MIS_Backend_Data!AO68)</f>
        <v>NA</v>
      </c>
      <c r="P69" t="str">
        <f>IF(MIS_Backend_Data!AS68="", "", MIS_Backend_Data!AS68)</f>
        <v>Completed</v>
      </c>
      <c r="Q69" t="str">
        <f>IF(MIS_Backend_Data!AX68="", "", MIS_Backend_Data!AX68)</f>
        <v>Completed</v>
      </c>
      <c r="R69" t="str">
        <f>IF(MIS_Backend_Data!BB68="", "", MIS_Backend_Data!BB68)</f>
        <v>NA</v>
      </c>
      <c r="S69" t="str">
        <f>IF(MIS_Backend_Data!AW68="", "", MIS_Backend_Data!AW68)</f>
        <v>NA</v>
      </c>
      <c r="T69" s="42" t="str">
        <f>IF(MIS_Backend_Data!N68="Dispatch","Completed","NA")</f>
        <v>NA</v>
      </c>
      <c r="U69" t="str">
        <f t="shared" si="3"/>
        <v/>
      </c>
      <c r="V69" t="str">
        <f t="shared" si="4"/>
        <v/>
      </c>
      <c r="W69" s="20" t="str">
        <f t="shared" si="5"/>
        <v/>
      </c>
    </row>
    <row r="70" spans="2:23" ht="14.5">
      <c r="B70" s="205" t="str">
        <f ca="1"/>
        <v>2025212215</v>
      </c>
      <c r="C70" s="17" t="str">
        <f ca="1"/>
        <v>Indusind General Insurance Co Ltd</v>
      </c>
      <c r="D70" s="17" t="str">
        <f ca="1"/>
        <v>R001-1068-SS-2025</v>
      </c>
      <c r="E70" s="19">
        <f ca="1"/>
        <v>57</v>
      </c>
      <c r="F70" s="19" t="str">
        <f>IF(MIS_Backend_Data!O69="", "", MIS_Backend_Data!O69)</f>
        <v>WIP</v>
      </c>
      <c r="G70" t="str">
        <f>IF(MIS_Backend_Data!T69="", "", MIS_Backend_Data!T69)</f>
        <v>Completed</v>
      </c>
      <c r="H70" t="str">
        <f>IF(MIS_Backend_Data!X69="", "", MIS_Backend_Data!X69)</f>
        <v>NA</v>
      </c>
      <c r="I70" t="str">
        <f>IF(MIS_Backend_Data!AC69="", "", MIS_Backend_Data!AC69)</f>
        <v>WIP</v>
      </c>
      <c r="J70" t="str">
        <f>IF(MIS_Backend_Data!AB69="", "", MIS_Backend_Data!AB69)</f>
        <v>NA</v>
      </c>
      <c r="K70" t="str">
        <f>IF(MIS_Backend_Data!AG69="", "", MIS_Backend_Data!AG69)</f>
        <v>WIP</v>
      </c>
      <c r="L70" s="20" t="str">
        <f>IF(MIS_Backend_Data!AI69="", "", MIS_Backend_Data!AI69)</f>
        <v>NA</v>
      </c>
      <c r="M70" t="str">
        <f>IF(MIS_Backend_Data!AK69="", "", MIS_Backend_Data!AK69)</f>
        <v>NA</v>
      </c>
      <c r="N70" t="str">
        <f>IF(MIS_Backend_Data!AM69="", "", MIS_Backend_Data!AM69)</f>
        <v>NA</v>
      </c>
      <c r="O70" t="str">
        <f>IF(MIS_Backend_Data!AO69="", "", MIS_Backend_Data!AO69)</f>
        <v>NA</v>
      </c>
      <c r="P70" t="str">
        <f>IF(MIS_Backend_Data!AS69="", "", MIS_Backend_Data!AS69)</f>
        <v>WIP</v>
      </c>
      <c r="Q70" t="str">
        <f>IF(MIS_Backend_Data!AX69="", "", MIS_Backend_Data!AX69)</f>
        <v>WIP</v>
      </c>
      <c r="R70" t="str">
        <f>IF(MIS_Backend_Data!BB69="", "", MIS_Backend_Data!BB69)</f>
        <v>NA</v>
      </c>
      <c r="S70" t="str">
        <f>IF(MIS_Backend_Data!AW69="", "", MIS_Backend_Data!AW69)</f>
        <v>NA</v>
      </c>
      <c r="T70" s="42" t="str">
        <f>IF(MIS_Backend_Data!N69="Dispatch","Completed","NA")</f>
        <v>NA</v>
      </c>
      <c r="U70" t="str">
        <f t="shared" si="3"/>
        <v/>
      </c>
      <c r="V70" t="str">
        <f t="shared" si="4"/>
        <v/>
      </c>
      <c r="W70" s="20" t="str">
        <f t="shared" si="5"/>
        <v/>
      </c>
    </row>
    <row r="71" spans="2:23" ht="14.5">
      <c r="B71" s="205" t="str">
        <f ca="1"/>
        <v>2025212407</v>
      </c>
      <c r="C71" s="17" t="str">
        <f ca="1"/>
        <v>Indusind General Insurance Co Ltd</v>
      </c>
      <c r="D71" s="17" t="str">
        <f ca="1"/>
        <v>R001-1069-SS-2025</v>
      </c>
      <c r="E71" s="19">
        <f ca="1"/>
        <v>57</v>
      </c>
      <c r="F71" s="19" t="str">
        <f>IF(MIS_Backend_Data!O70="", "", MIS_Backend_Data!O70)</f>
        <v>WIP</v>
      </c>
      <c r="G71" t="str">
        <f>IF(MIS_Backend_Data!T70="", "", MIS_Backend_Data!T70)</f>
        <v>WIP</v>
      </c>
      <c r="H71" t="str">
        <f>IF(MIS_Backend_Data!X70="", "", MIS_Backend_Data!X70)</f>
        <v>NA</v>
      </c>
      <c r="I71" t="str">
        <f>IF(MIS_Backend_Data!AC70="", "", MIS_Backend_Data!AC70)</f>
        <v>NA</v>
      </c>
      <c r="J71" t="str">
        <f>IF(MIS_Backend_Data!AB70="", "", MIS_Backend_Data!AB70)</f>
        <v>NA</v>
      </c>
      <c r="K71" t="str">
        <f>IF(MIS_Backend_Data!AG70="", "", MIS_Backend_Data!AG70)</f>
        <v>NA</v>
      </c>
      <c r="L71" s="20" t="str">
        <f>IF(MIS_Backend_Data!AI70="", "", MIS_Backend_Data!AI70)</f>
        <v>NA</v>
      </c>
      <c r="M71" t="str">
        <f>IF(MIS_Backend_Data!AK70="", "", MIS_Backend_Data!AK70)</f>
        <v>NA</v>
      </c>
      <c r="N71" t="str">
        <f>IF(MIS_Backend_Data!AM70="", "", MIS_Backend_Data!AM70)</f>
        <v>NA</v>
      </c>
      <c r="O71" t="str">
        <f>IF(MIS_Backend_Data!AO70="", "", MIS_Backend_Data!AO70)</f>
        <v>NA</v>
      </c>
      <c r="P71" t="str">
        <f>IF(MIS_Backend_Data!AS70="", "", MIS_Backend_Data!AS70)</f>
        <v>NA</v>
      </c>
      <c r="Q71" t="str">
        <f>IF(MIS_Backend_Data!AX70="", "", MIS_Backend_Data!AX70)</f>
        <v xml:space="preserve">NA </v>
      </c>
      <c r="R71" t="str">
        <f>IF(MIS_Backend_Data!BB70="", "", MIS_Backend_Data!BB70)</f>
        <v>NA</v>
      </c>
      <c r="S71" t="str">
        <f>IF(MIS_Backend_Data!AW70="", "", MIS_Backend_Data!AW70)</f>
        <v>NA</v>
      </c>
      <c r="T71" s="42" t="str">
        <f>IF(MIS_Backend_Data!N70="Dispatch","Completed","NA")</f>
        <v>NA</v>
      </c>
      <c r="U71" t="str">
        <f t="shared" si="3"/>
        <v/>
      </c>
      <c r="V71">
        <f t="shared" si="4"/>
        <v>1</v>
      </c>
      <c r="W71" s="20" t="str">
        <f t="shared" si="5"/>
        <v/>
      </c>
    </row>
    <row r="72" spans="2:23" ht="14.5">
      <c r="B72" s="205" t="str">
        <f ca="1"/>
        <v>2025212443</v>
      </c>
      <c r="C72" s="17" t="str">
        <f ca="1"/>
        <v>Indusind General Insurance Co Ltd</v>
      </c>
      <c r="D72" s="17" t="str">
        <f ca="1"/>
        <v>R001-1070-SS-2025</v>
      </c>
      <c r="E72" s="19">
        <f ca="1"/>
        <v>57</v>
      </c>
      <c r="F72" s="19" t="str">
        <f>IF(MIS_Backend_Data!O71="", "", MIS_Backend_Data!O71)</f>
        <v>WIP</v>
      </c>
      <c r="G72" t="str">
        <f>IF(MIS_Backend_Data!T71="", "", MIS_Backend_Data!T71)</f>
        <v>WIP</v>
      </c>
      <c r="H72" t="str">
        <f>IF(MIS_Backend_Data!X71="", "", MIS_Backend_Data!X71)</f>
        <v>NA</v>
      </c>
      <c r="I72" t="str">
        <f>IF(MIS_Backend_Data!AC71="", "", MIS_Backend_Data!AC71)</f>
        <v>WIP</v>
      </c>
      <c r="J72" t="str">
        <f>IF(MIS_Backend_Data!AB71="", "", MIS_Backend_Data!AB71)</f>
        <v>NA</v>
      </c>
      <c r="K72" t="str">
        <f>IF(MIS_Backend_Data!AG71="", "", MIS_Backend_Data!AG71)</f>
        <v>WIP</v>
      </c>
      <c r="L72" s="20" t="str">
        <f>IF(MIS_Backend_Data!AI71="", "", MIS_Backend_Data!AI71)</f>
        <v>NA</v>
      </c>
      <c r="M72" t="str">
        <f>IF(MIS_Backend_Data!AK71="", "", MIS_Backend_Data!AK71)</f>
        <v>NA</v>
      </c>
      <c r="N72" t="str">
        <f>IF(MIS_Backend_Data!AM71="", "", MIS_Backend_Data!AM71)</f>
        <v>NA</v>
      </c>
      <c r="O72" t="str">
        <f>IF(MIS_Backend_Data!AO71="", "", MIS_Backend_Data!AO71)</f>
        <v>NA</v>
      </c>
      <c r="P72" t="str">
        <f>IF(MIS_Backend_Data!AS71="", "", MIS_Backend_Data!AS71)</f>
        <v>WIP</v>
      </c>
      <c r="Q72" t="str">
        <f>IF(MIS_Backend_Data!AX71="", "", MIS_Backend_Data!AX71)</f>
        <v>Completed</v>
      </c>
      <c r="R72" t="str">
        <f>IF(MIS_Backend_Data!BB71="", "", MIS_Backend_Data!BB71)</f>
        <v>NA</v>
      </c>
      <c r="S72" t="str">
        <f>IF(MIS_Backend_Data!AW71="", "", MIS_Backend_Data!AW71)</f>
        <v>NA</v>
      </c>
      <c r="T72" s="42" t="str">
        <f>IF(MIS_Backend_Data!N71="Dispatch","Completed","NA")</f>
        <v>NA</v>
      </c>
      <c r="U72" t="str">
        <f t="shared" si="3"/>
        <v/>
      </c>
      <c r="V72" t="str">
        <f t="shared" si="4"/>
        <v/>
      </c>
      <c r="W72" s="20" t="str">
        <f t="shared" si="5"/>
        <v/>
      </c>
    </row>
    <row r="73" spans="2:23" ht="14.5">
      <c r="B73" s="205" t="str">
        <f ca="1"/>
        <v>2025212467</v>
      </c>
      <c r="C73" s="17" t="str">
        <f ca="1"/>
        <v>Indusind General Insurance Co Ltd</v>
      </c>
      <c r="D73" s="17" t="str">
        <f ca="1"/>
        <v>R001-1071-SS-2025</v>
      </c>
      <c r="E73" s="19">
        <f ca="1"/>
        <v>57</v>
      </c>
      <c r="F73" s="19" t="str">
        <f>IF(MIS_Backend_Data!O72="", "", MIS_Backend_Data!O72)</f>
        <v>WIP</v>
      </c>
      <c r="G73" t="str">
        <f>IF(MIS_Backend_Data!T72="", "", MIS_Backend_Data!T72)</f>
        <v>WIP</v>
      </c>
      <c r="H73" t="str">
        <f>IF(MIS_Backend_Data!X72="", "", MIS_Backend_Data!X72)</f>
        <v>NA</v>
      </c>
      <c r="I73" t="str">
        <f>IF(MIS_Backend_Data!AC72="", "", MIS_Backend_Data!AC72)</f>
        <v>WIP</v>
      </c>
      <c r="J73" t="str">
        <f>IF(MIS_Backend_Data!AB72="", "", MIS_Backend_Data!AB72)</f>
        <v>NA</v>
      </c>
      <c r="K73" t="str">
        <f>IF(MIS_Backend_Data!AG72="", "", MIS_Backend_Data!AG72)</f>
        <v>WIP</v>
      </c>
      <c r="L73" s="20" t="str">
        <f>IF(MIS_Backend_Data!AI72="", "", MIS_Backend_Data!AI72)</f>
        <v>NA</v>
      </c>
      <c r="M73" t="str">
        <f>IF(MIS_Backend_Data!AK72="", "", MIS_Backend_Data!AK72)</f>
        <v>NA</v>
      </c>
      <c r="N73" t="str">
        <f>IF(MIS_Backend_Data!AM72="", "", MIS_Backend_Data!AM72)</f>
        <v>NA</v>
      </c>
      <c r="O73" t="str">
        <f>IF(MIS_Backend_Data!AO72="", "", MIS_Backend_Data!AO72)</f>
        <v>NA</v>
      </c>
      <c r="P73" t="str">
        <f>IF(MIS_Backend_Data!AS72="", "", MIS_Backend_Data!AS72)</f>
        <v>WIP</v>
      </c>
      <c r="Q73" t="str">
        <f>IF(MIS_Backend_Data!AX72="", "", MIS_Backend_Data!AX72)</f>
        <v>WIP</v>
      </c>
      <c r="R73" t="str">
        <f>IF(MIS_Backend_Data!BB72="", "", MIS_Backend_Data!BB72)</f>
        <v>NA</v>
      </c>
      <c r="S73" t="str">
        <f>IF(MIS_Backend_Data!AW72="", "", MIS_Backend_Data!AW72)</f>
        <v>NA</v>
      </c>
      <c r="T73" s="42" t="str">
        <f>IF(MIS_Backend_Data!N72="Dispatch","Completed","NA")</f>
        <v>NA</v>
      </c>
      <c r="U73" t="str">
        <f t="shared" si="3"/>
        <v/>
      </c>
      <c r="V73" t="str">
        <f t="shared" si="4"/>
        <v/>
      </c>
      <c r="W73" s="20" t="str">
        <f t="shared" si="5"/>
        <v/>
      </c>
    </row>
    <row r="74" spans="2:23" ht="14.5">
      <c r="B74" s="205" t="str">
        <f ca="1"/>
        <v>2025212380</v>
      </c>
      <c r="C74" s="17" t="str">
        <f ca="1"/>
        <v>Indusind General Insurance Co Ltd</v>
      </c>
      <c r="D74" s="17" t="str">
        <f ca="1"/>
        <v>R001-1072-SS-2025</v>
      </c>
      <c r="E74" s="19">
        <f ca="1"/>
        <v>57</v>
      </c>
      <c r="F74" s="19" t="str">
        <f>IF(MIS_Backend_Data!O73="", "", MIS_Backend_Data!O73)</f>
        <v>Pending CS</v>
      </c>
      <c r="G74" t="str">
        <f>IF(MIS_Backend_Data!T73="", "", MIS_Backend_Data!T73)</f>
        <v>Completed</v>
      </c>
      <c r="H74" t="str">
        <f>IF(MIS_Backend_Data!X73="", "", MIS_Backend_Data!X73)</f>
        <v>NA</v>
      </c>
      <c r="I74" t="str">
        <f>IF(MIS_Backend_Data!AC73="", "", MIS_Backend_Data!AC73)</f>
        <v>Completed</v>
      </c>
      <c r="J74" t="str">
        <f>IF(MIS_Backend_Data!AB73="", "", MIS_Backend_Data!AB73)</f>
        <v>NA</v>
      </c>
      <c r="K74" t="str">
        <f>IF(MIS_Backend_Data!AG73="", "", MIS_Backend_Data!AG73)</f>
        <v>Completed</v>
      </c>
      <c r="L74" s="20" t="str">
        <f>IF(MIS_Backend_Data!AI73="", "", MIS_Backend_Data!AI73)</f>
        <v>NA</v>
      </c>
      <c r="M74" t="str">
        <f>IF(MIS_Backend_Data!AK73="", "", MIS_Backend_Data!AK73)</f>
        <v>NA</v>
      </c>
      <c r="N74" t="str">
        <f>IF(MIS_Backend_Data!AM73="", "", MIS_Backend_Data!AM73)</f>
        <v>NA</v>
      </c>
      <c r="O74" t="str">
        <f>IF(MIS_Backend_Data!AO73="", "", MIS_Backend_Data!AO73)</f>
        <v>NA</v>
      </c>
      <c r="P74" t="str">
        <f>IF(MIS_Backend_Data!AS73="", "", MIS_Backend_Data!AS73)</f>
        <v>Completed</v>
      </c>
      <c r="Q74" t="str">
        <f>IF(MIS_Backend_Data!AX73="", "", MIS_Backend_Data!AX73)</f>
        <v>WIP</v>
      </c>
      <c r="R74" t="str">
        <f>IF(MIS_Backend_Data!BB73="", "", MIS_Backend_Data!BB73)</f>
        <v>NA</v>
      </c>
      <c r="S74" t="str">
        <f>IF(MIS_Backend_Data!AW73="", "", MIS_Backend_Data!AW73)</f>
        <v>NA</v>
      </c>
      <c r="T74" s="42" t="str">
        <f>IF(MIS_Backend_Data!N73="Dispatch","Completed","NA")</f>
        <v>NA</v>
      </c>
      <c r="U74" t="str">
        <f t="shared" si="3"/>
        <v/>
      </c>
      <c r="V74" t="str">
        <f t="shared" si="4"/>
        <v/>
      </c>
      <c r="W74" s="20" t="str">
        <f t="shared" si="5"/>
        <v/>
      </c>
    </row>
    <row r="75" spans="2:23" ht="14.5">
      <c r="B75" s="205" t="str">
        <f ca="1"/>
        <v>2025212399</v>
      </c>
      <c r="C75" s="17" t="str">
        <f ca="1"/>
        <v>Indusind General Insurance Co Ltd</v>
      </c>
      <c r="D75" s="17" t="str">
        <f ca="1"/>
        <v>R001-1073-SS-2025</v>
      </c>
      <c r="E75" s="19">
        <f ca="1"/>
        <v>52</v>
      </c>
      <c r="F75" s="19" t="str">
        <f>IF(MIS_Backend_Data!O74="", "", MIS_Backend_Data!O74)</f>
        <v>Completed</v>
      </c>
      <c r="G75" t="str">
        <f>IF(MIS_Backend_Data!T74="", "", MIS_Backend_Data!T74)</f>
        <v>Completed</v>
      </c>
      <c r="H75" t="str">
        <f>IF(MIS_Backend_Data!X74="", "", MIS_Backend_Data!X74)</f>
        <v>NA</v>
      </c>
      <c r="I75" t="str">
        <f>IF(MIS_Backend_Data!AC74="", "", MIS_Backend_Data!AC74)</f>
        <v>Completed</v>
      </c>
      <c r="J75" t="str">
        <f>IF(MIS_Backend_Data!AB74="", "", MIS_Backend_Data!AB74)</f>
        <v>NA</v>
      </c>
      <c r="K75" t="str">
        <f>IF(MIS_Backend_Data!AG74="", "", MIS_Backend_Data!AG74)</f>
        <v>Completed</v>
      </c>
      <c r="L75" s="20" t="str">
        <f>IF(MIS_Backend_Data!AI74="", "", MIS_Backend_Data!AI74)</f>
        <v>NA</v>
      </c>
      <c r="M75" t="str">
        <f>IF(MIS_Backend_Data!AK74="", "", MIS_Backend_Data!AK74)</f>
        <v>NA</v>
      </c>
      <c r="N75" t="str">
        <f>IF(MIS_Backend_Data!AM74="", "", MIS_Backend_Data!AM74)</f>
        <v>NA</v>
      </c>
      <c r="O75" t="str">
        <f>IF(MIS_Backend_Data!AO74="", "", MIS_Backend_Data!AO74)</f>
        <v>NA</v>
      </c>
      <c r="P75" t="str">
        <f>IF(MIS_Backend_Data!AS74="", "", MIS_Backend_Data!AS74)</f>
        <v>Completed</v>
      </c>
      <c r="Q75" t="str">
        <f>IF(MIS_Backend_Data!AX74="", "", MIS_Backend_Data!AX74)</f>
        <v>Completed</v>
      </c>
      <c r="R75" t="str">
        <f>IF(MIS_Backend_Data!BB74="", "", MIS_Backend_Data!BB74)</f>
        <v>NA</v>
      </c>
      <c r="S75" t="str">
        <f>IF(MIS_Backend_Data!AW74="", "", MIS_Backend_Data!AW74)</f>
        <v>NA</v>
      </c>
      <c r="T75" s="42" t="str">
        <f>IF(MIS_Backend_Data!N74="Dispatch","Completed","NA")</f>
        <v>NA</v>
      </c>
      <c r="U75" t="str">
        <f t="shared" si="3"/>
        <v/>
      </c>
      <c r="V75" t="str">
        <f t="shared" si="4"/>
        <v/>
      </c>
      <c r="W75" s="20" t="str">
        <f t="shared" si="5"/>
        <v/>
      </c>
    </row>
    <row r="76" spans="2:23" ht="14.5">
      <c r="B76" s="205" t="str">
        <f ca="1"/>
        <v>2025212401</v>
      </c>
      <c r="C76" s="17" t="str">
        <f ca="1"/>
        <v>Indusind General Insurance Co Ltd</v>
      </c>
      <c r="D76" s="17" t="str">
        <f ca="1"/>
        <v>R001-1074-SS-2025</v>
      </c>
      <c r="E76" s="19">
        <f ca="1"/>
        <v>54</v>
      </c>
      <c r="F76" s="19" t="str">
        <f>IF(MIS_Backend_Data!O75="", "", MIS_Backend_Data!O75)</f>
        <v>Completed</v>
      </c>
      <c r="G76" t="str">
        <f>IF(MIS_Backend_Data!T75="", "", MIS_Backend_Data!T75)</f>
        <v>Completed</v>
      </c>
      <c r="H76" t="str">
        <f>IF(MIS_Backend_Data!X75="", "", MIS_Backend_Data!X75)</f>
        <v>NA</v>
      </c>
      <c r="I76" t="str">
        <f>IF(MIS_Backend_Data!AC75="", "", MIS_Backend_Data!AC75)</f>
        <v>Completed</v>
      </c>
      <c r="J76" t="str">
        <f>IF(MIS_Backend_Data!AB75="", "", MIS_Backend_Data!AB75)</f>
        <v>NA</v>
      </c>
      <c r="K76" t="str">
        <f>IF(MIS_Backend_Data!AG75="", "", MIS_Backend_Data!AG75)</f>
        <v>Completed</v>
      </c>
      <c r="L76" s="20" t="str">
        <f>IF(MIS_Backend_Data!AI75="", "", MIS_Backend_Data!AI75)</f>
        <v>NA</v>
      </c>
      <c r="M76" t="str">
        <f>IF(MIS_Backend_Data!AK75="", "", MIS_Backend_Data!AK75)</f>
        <v>NA</v>
      </c>
      <c r="N76" t="str">
        <f>IF(MIS_Backend_Data!AM75="", "", MIS_Backend_Data!AM75)</f>
        <v>NA</v>
      </c>
      <c r="O76" t="str">
        <f>IF(MIS_Backend_Data!AO75="", "", MIS_Backend_Data!AO75)</f>
        <v>NA</v>
      </c>
      <c r="P76" t="str">
        <f>IF(MIS_Backend_Data!AS75="", "", MIS_Backend_Data!AS75)</f>
        <v>Completed</v>
      </c>
      <c r="Q76" t="str">
        <f>IF(MIS_Backend_Data!AX75="", "", MIS_Backend_Data!AX75)</f>
        <v>NA</v>
      </c>
      <c r="R76" t="str">
        <f>IF(MIS_Backend_Data!BB75="", "", MIS_Backend_Data!BB75)</f>
        <v>NA</v>
      </c>
      <c r="S76" t="str">
        <f>IF(MIS_Backend_Data!AW75="", "", MIS_Backend_Data!AW75)</f>
        <v>NA</v>
      </c>
      <c r="T76" s="42" t="str">
        <f>IF(MIS_Backend_Data!N75="Dispatch","Completed","NA")</f>
        <v>Completed</v>
      </c>
      <c r="U76" t="str">
        <f t="shared" si="3"/>
        <v/>
      </c>
      <c r="V76" t="str">
        <f t="shared" si="4"/>
        <v/>
      </c>
      <c r="W76" s="20" t="str">
        <f t="shared" si="5"/>
        <v/>
      </c>
    </row>
    <row r="77" spans="2:23" ht="14.5">
      <c r="B77" s="205" t="str">
        <f ca="1"/>
        <v>2025212349</v>
      </c>
      <c r="C77" s="17" t="str">
        <f ca="1"/>
        <v>Indusind General Insurance Co Ltd</v>
      </c>
      <c r="D77" s="17" t="str">
        <f ca="1"/>
        <v>R001-1075-SS-2025</v>
      </c>
      <c r="E77" s="19">
        <f ca="1"/>
        <v>57</v>
      </c>
      <c r="F77" s="19" t="str">
        <f>IF(MIS_Backend_Data!O76="", "", MIS_Backend_Data!O76)</f>
        <v>Pending CS</v>
      </c>
      <c r="G77" t="str">
        <f>IF(MIS_Backend_Data!T76="", "", MIS_Backend_Data!T76)</f>
        <v>Completed</v>
      </c>
      <c r="H77" t="str">
        <f>IF(MIS_Backend_Data!X76="", "", MIS_Backend_Data!X76)</f>
        <v>WIP</v>
      </c>
      <c r="I77" t="str">
        <f>IF(MIS_Backend_Data!AC76="", "", MIS_Backend_Data!AC76)</f>
        <v>Completed</v>
      </c>
      <c r="J77" t="str">
        <f>IF(MIS_Backend_Data!AB76="", "", MIS_Backend_Data!AB76)</f>
        <v>NA</v>
      </c>
      <c r="K77" t="str">
        <f>IF(MIS_Backend_Data!AG76="", "", MIS_Backend_Data!AG76)</f>
        <v>Completed</v>
      </c>
      <c r="L77" s="20" t="str">
        <f>IF(MIS_Backend_Data!AI76="", "", MIS_Backend_Data!AI76)</f>
        <v>NA</v>
      </c>
      <c r="M77" t="str">
        <f>IF(MIS_Backend_Data!AK76="", "", MIS_Backend_Data!AK76)</f>
        <v>NA</v>
      </c>
      <c r="N77" t="str">
        <f>IF(MIS_Backend_Data!AM76="", "", MIS_Backend_Data!AM76)</f>
        <v>NA</v>
      </c>
      <c r="O77" t="str">
        <f>IF(MIS_Backend_Data!AO76="", "", MIS_Backend_Data!AO76)</f>
        <v>NA</v>
      </c>
      <c r="P77" t="str">
        <f>IF(MIS_Backend_Data!AS76="", "", MIS_Backend_Data!AS76)</f>
        <v>Completed</v>
      </c>
      <c r="Q77" t="str">
        <f>IF(MIS_Backend_Data!AX76="", "", MIS_Backend_Data!AX76)</f>
        <v>WIP</v>
      </c>
      <c r="R77" t="str">
        <f>IF(MIS_Backend_Data!BB76="", "", MIS_Backend_Data!BB76)</f>
        <v>NA</v>
      </c>
      <c r="S77" t="str">
        <f>IF(MIS_Backend_Data!AW76="", "", MIS_Backend_Data!AW76)</f>
        <v>NA</v>
      </c>
      <c r="T77" s="42" t="str">
        <f>IF(MIS_Backend_Data!N76="Dispatch","Completed","NA")</f>
        <v>NA</v>
      </c>
      <c r="U77" t="str">
        <f t="shared" si="3"/>
        <v/>
      </c>
      <c r="V77" t="str">
        <f t="shared" si="4"/>
        <v/>
      </c>
      <c r="W77" s="20" t="str">
        <f t="shared" si="5"/>
        <v/>
      </c>
    </row>
    <row r="78" spans="2:23" ht="14.5">
      <c r="B78" s="205" t="str">
        <f ca="1"/>
        <v>2025212447</v>
      </c>
      <c r="C78" s="17" t="str">
        <f ca="1"/>
        <v>Indusind General Insurance Co Ltd</v>
      </c>
      <c r="D78" s="17" t="str">
        <f ca="1"/>
        <v>R001-1076-SS-2025</v>
      </c>
      <c r="E78" s="19">
        <f ca="1"/>
        <v>54</v>
      </c>
      <c r="F78" s="19" t="str">
        <f>IF(MIS_Backend_Data!O77="", "", MIS_Backend_Data!O77)</f>
        <v>Pending CS</v>
      </c>
      <c r="G78" t="str">
        <f>IF(MIS_Backend_Data!T77="", "", MIS_Backend_Data!T77)</f>
        <v>Completed</v>
      </c>
      <c r="H78" t="str">
        <f>IF(MIS_Backend_Data!X77="", "", MIS_Backend_Data!X77)</f>
        <v>Amit Dalvi</v>
      </c>
      <c r="I78" t="str">
        <f>IF(MIS_Backend_Data!AC77="", "", MIS_Backend_Data!AC77)</f>
        <v>Completed</v>
      </c>
      <c r="J78" t="str">
        <f>IF(MIS_Backend_Data!AB77="", "", MIS_Backend_Data!AB77)</f>
        <v>NA</v>
      </c>
      <c r="K78" t="str">
        <f>IF(MIS_Backend_Data!AG77="", "", MIS_Backend_Data!AG77)</f>
        <v>Completed</v>
      </c>
      <c r="L78" s="20" t="str">
        <f>IF(MIS_Backend_Data!AI77="", "", MIS_Backend_Data!AI77)</f>
        <v>NA</v>
      </c>
      <c r="M78" t="str">
        <f>IF(MIS_Backend_Data!AK77="", "", MIS_Backend_Data!AK77)</f>
        <v>NA</v>
      </c>
      <c r="N78" t="str">
        <f>IF(MIS_Backend_Data!AM77="", "", MIS_Backend_Data!AM77)</f>
        <v>NA</v>
      </c>
      <c r="O78" t="str">
        <f>IF(MIS_Backend_Data!AO77="", "", MIS_Backend_Data!AO77)</f>
        <v>NA</v>
      </c>
      <c r="P78" t="str">
        <f>IF(MIS_Backend_Data!AS77="", "", MIS_Backend_Data!AS77)</f>
        <v>Completed</v>
      </c>
      <c r="Q78" t="str">
        <f>IF(MIS_Backend_Data!AX77="", "", MIS_Backend_Data!AX77)</f>
        <v>WIP</v>
      </c>
      <c r="R78" t="str">
        <f>IF(MIS_Backend_Data!BB77="", "", MIS_Backend_Data!BB77)</f>
        <v>Completed</v>
      </c>
      <c r="S78" t="str">
        <f>IF(MIS_Backend_Data!AW77="", "", MIS_Backend_Data!AW77)</f>
        <v>NA</v>
      </c>
      <c r="T78" s="42" t="str">
        <f>IF(MIS_Backend_Data!N77="Dispatch","Completed","NA")</f>
        <v>NA</v>
      </c>
      <c r="U78" t="str">
        <f t="shared" si="3"/>
        <v/>
      </c>
      <c r="V78" t="str">
        <f t="shared" si="4"/>
        <v/>
      </c>
      <c r="W78" s="20" t="str">
        <f t="shared" si="5"/>
        <v/>
      </c>
    </row>
    <row r="79" spans="2:23" ht="14.5">
      <c r="B79" s="205" t="str">
        <f ca="1"/>
        <v>MTP-N-2526-004298</v>
      </c>
      <c r="C79" s="17" t="str">
        <f ca="1"/>
        <v>Generali Central Insurance Company Limited</v>
      </c>
      <c r="D79" s="17" t="str">
        <f ca="1"/>
        <v>F001-1077-SS-2025</v>
      </c>
      <c r="E79" s="19">
        <f ca="1"/>
        <v>44</v>
      </c>
      <c r="F79" s="19" t="str">
        <f>IF(MIS_Backend_Data!O78="", "", MIS_Backend_Data!O78)</f>
        <v>Completed</v>
      </c>
      <c r="G79" t="str">
        <f>IF(MIS_Backend_Data!T78="", "", MIS_Backend_Data!T78)</f>
        <v>Completed</v>
      </c>
      <c r="H79" t="str">
        <f>IF(MIS_Backend_Data!X78="", "", MIS_Backend_Data!X78)</f>
        <v>NA</v>
      </c>
      <c r="I79" t="str">
        <f>IF(MIS_Backend_Data!AC78="", "", MIS_Backend_Data!AC78)</f>
        <v>Completed</v>
      </c>
      <c r="J79" t="str">
        <f>IF(MIS_Backend_Data!AB78="", "", MIS_Backend_Data!AB78)</f>
        <v>NA</v>
      </c>
      <c r="K79" t="str">
        <f>IF(MIS_Backend_Data!AG78="", "", MIS_Backend_Data!AG78)</f>
        <v>Completed</v>
      </c>
      <c r="L79" s="20" t="str">
        <f>IF(MIS_Backend_Data!AI78="", "", MIS_Backend_Data!AI78)</f>
        <v>NA</v>
      </c>
      <c r="M79" t="str">
        <f>IF(MIS_Backend_Data!AK78="", "", MIS_Backend_Data!AK78)</f>
        <v>NA</v>
      </c>
      <c r="N79" t="str">
        <f>IF(MIS_Backend_Data!AM78="", "", MIS_Backend_Data!AM78)</f>
        <v>NA</v>
      </c>
      <c r="O79" t="str">
        <f>IF(MIS_Backend_Data!AO78="", "", MIS_Backend_Data!AO78)</f>
        <v>NA</v>
      </c>
      <c r="P79" t="str">
        <f>IF(MIS_Backend_Data!AS78="", "", MIS_Backend_Data!AS78)</f>
        <v>Completed</v>
      </c>
      <c r="Q79" t="str">
        <f>IF(MIS_Backend_Data!AX78="", "", MIS_Backend_Data!AX78)</f>
        <v>NA</v>
      </c>
      <c r="R79" t="str">
        <f>IF(MIS_Backend_Data!BB78="", "", MIS_Backend_Data!BB78)</f>
        <v>Completed</v>
      </c>
      <c r="S79" t="str">
        <f>IF(MIS_Backend_Data!AW78="", "", MIS_Backend_Data!AW78)</f>
        <v>NA</v>
      </c>
      <c r="T79" s="42" t="str">
        <f>IF(MIS_Backend_Data!N78="Dispatch","Completed","NA")</f>
        <v>Completed</v>
      </c>
      <c r="U79" t="str">
        <f t="shared" si="3"/>
        <v/>
      </c>
      <c r="V79" t="str">
        <f t="shared" si="4"/>
        <v/>
      </c>
      <c r="W79" s="20" t="str">
        <f t="shared" si="5"/>
        <v/>
      </c>
    </row>
    <row r="80" spans="2:23" ht="14.5">
      <c r="B80" s="205" t="str">
        <f ca="1"/>
        <v>2024213743</v>
      </c>
      <c r="C80" s="17" t="str">
        <f ca="1"/>
        <v>Indusind General Insurance Co Ltd</v>
      </c>
      <c r="D80" s="17" t="str">
        <f ca="1"/>
        <v>R001-1078-SS-2025</v>
      </c>
      <c r="E80" s="19">
        <f ca="1"/>
        <v>53</v>
      </c>
      <c r="F80" s="19" t="str">
        <f>IF(MIS_Backend_Data!O79="", "", MIS_Backend_Data!O79)</f>
        <v>WIP</v>
      </c>
      <c r="G80" t="str">
        <f>IF(MIS_Backend_Data!T79="", "", MIS_Backend_Data!T79)</f>
        <v>NA</v>
      </c>
      <c r="H80" t="str">
        <f>IF(MIS_Backend_Data!X79="", "", MIS_Backend_Data!X79)</f>
        <v>NA</v>
      </c>
      <c r="I80" t="str">
        <f>IF(MIS_Backend_Data!AC79="", "", MIS_Backend_Data!AC79)</f>
        <v>NA</v>
      </c>
      <c r="J80" t="str">
        <f>IF(MIS_Backend_Data!AB79="", "", MIS_Backend_Data!AB79)</f>
        <v>NA</v>
      </c>
      <c r="K80" t="str">
        <f>IF(MIS_Backend_Data!AG79="", "", MIS_Backend_Data!AG79)</f>
        <v>NA</v>
      </c>
      <c r="L80" s="20" t="str">
        <f>IF(MIS_Backend_Data!AI79="", "", MIS_Backend_Data!AI79)</f>
        <v>NA</v>
      </c>
      <c r="M80" t="str">
        <f>IF(MIS_Backend_Data!AK79="", "", MIS_Backend_Data!AK79)</f>
        <v>NA</v>
      </c>
      <c r="N80" t="str">
        <f>IF(MIS_Backend_Data!AM79="", "", MIS_Backend_Data!AM79)</f>
        <v>NA</v>
      </c>
      <c r="O80" t="str">
        <f>IF(MIS_Backend_Data!AO79="", "", MIS_Backend_Data!AO79)</f>
        <v>NA</v>
      </c>
      <c r="P80" t="str">
        <f>IF(MIS_Backend_Data!AS79="", "", MIS_Backend_Data!AS79)</f>
        <v>NA</v>
      </c>
      <c r="Q80" t="str">
        <f>IF(MIS_Backend_Data!AX79="", "", MIS_Backend_Data!AX79)</f>
        <v>NI</v>
      </c>
      <c r="R80" t="str">
        <f>IF(MIS_Backend_Data!BB79="", "", MIS_Backend_Data!BB79)</f>
        <v>NA</v>
      </c>
      <c r="S80" t="str">
        <f>IF(MIS_Backend_Data!AW79="", "", MIS_Backend_Data!AW79)</f>
        <v>NA</v>
      </c>
      <c r="T80" s="42" t="str">
        <f>IF(MIS_Backend_Data!N79="Dispatch","Completed","NA")</f>
        <v>NA</v>
      </c>
      <c r="U80" t="str">
        <f t="shared" si="3"/>
        <v/>
      </c>
      <c r="V80" t="str">
        <f t="shared" si="4"/>
        <v/>
      </c>
      <c r="W80" s="20" t="str">
        <f t="shared" si="5"/>
        <v/>
      </c>
    </row>
    <row r="81" spans="2:23" ht="14.5">
      <c r="B81" s="205" t="str">
        <f ca="1"/>
        <v>2025212533</v>
      </c>
      <c r="C81" s="17" t="str">
        <f ca="1"/>
        <v>Indusind General Insurance Co Ltd</v>
      </c>
      <c r="D81" s="17" t="str">
        <f ca="1"/>
        <v>R001-1079-SS-2025</v>
      </c>
      <c r="E81" s="19">
        <f ca="1"/>
        <v>52</v>
      </c>
      <c r="F81" s="19" t="str">
        <f>IF(MIS_Backend_Data!O80="", "", MIS_Backend_Data!O80)</f>
        <v>WIP</v>
      </c>
      <c r="G81" t="str">
        <f>IF(MIS_Backend_Data!T80="", "", MIS_Backend_Data!T80)</f>
        <v>Completed</v>
      </c>
      <c r="H81" t="str">
        <f>IF(MIS_Backend_Data!X80="", "", MIS_Backend_Data!X80)</f>
        <v>NA</v>
      </c>
      <c r="I81" t="str">
        <f>IF(MIS_Backend_Data!AC80="", "", MIS_Backend_Data!AC80)</f>
        <v>Completed</v>
      </c>
      <c r="J81" t="str">
        <f>IF(MIS_Backend_Data!AB80="", "", MIS_Backend_Data!AB80)</f>
        <v>NI</v>
      </c>
      <c r="K81" t="str">
        <f>IF(MIS_Backend_Data!AG80="", "", MIS_Backend_Data!AG80)</f>
        <v>NI</v>
      </c>
      <c r="L81" s="20" t="str">
        <f>IF(MIS_Backend_Data!AI80="", "", MIS_Backend_Data!AI80)</f>
        <v>NA</v>
      </c>
      <c r="M81" t="str">
        <f>IF(MIS_Backend_Data!AK80="", "", MIS_Backend_Data!AK80)</f>
        <v>NA</v>
      </c>
      <c r="N81" t="str">
        <f>IF(MIS_Backend_Data!AM80="", "", MIS_Backend_Data!AM80)</f>
        <v>NA</v>
      </c>
      <c r="O81" t="str">
        <f>IF(MIS_Backend_Data!AO80="", "", MIS_Backend_Data!AO80)</f>
        <v>NA</v>
      </c>
      <c r="P81" t="str">
        <f>IF(MIS_Backend_Data!AS80="", "", MIS_Backend_Data!AS80)</f>
        <v>NI</v>
      </c>
      <c r="Q81" t="str">
        <f>IF(MIS_Backend_Data!AX80="", "", MIS_Backend_Data!AX80)</f>
        <v>Completed</v>
      </c>
      <c r="R81" t="str">
        <f>IF(MIS_Backend_Data!BB80="", "", MIS_Backend_Data!BB80)</f>
        <v>NA</v>
      </c>
      <c r="S81" t="str">
        <f>IF(MIS_Backend_Data!AW80="", "", MIS_Backend_Data!AW80)</f>
        <v>NA</v>
      </c>
      <c r="T81" s="42" t="str">
        <f>IF(MIS_Backend_Data!N80="Dispatch","Completed","NA")</f>
        <v>NA</v>
      </c>
      <c r="U81" t="str">
        <f t="shared" si="3"/>
        <v/>
      </c>
      <c r="V81" t="str">
        <f t="shared" si="4"/>
        <v/>
      </c>
      <c r="W81" s="20" t="str">
        <f t="shared" si="5"/>
        <v/>
      </c>
    </row>
    <row r="82" spans="2:23" ht="14.5">
      <c r="B82" s="205" t="str">
        <f ca="1"/>
        <v>2023205098</v>
      </c>
      <c r="C82" s="17" t="str">
        <f ca="1"/>
        <v>Indusind General Insurance Co Ltd</v>
      </c>
      <c r="D82" s="17" t="str">
        <f ca="1"/>
        <v>R001-1080-SS-2025</v>
      </c>
      <c r="E82" s="19">
        <f ca="1"/>
        <v>38</v>
      </c>
      <c r="F82" s="19" t="str">
        <f>IF(MIS_Backend_Data!O81="", "", MIS_Backend_Data!O81)</f>
        <v>Completed</v>
      </c>
      <c r="G82" t="str">
        <f>IF(MIS_Backend_Data!T81="", "", MIS_Backend_Data!T81)</f>
        <v>Completed</v>
      </c>
      <c r="H82" t="str">
        <f>IF(MIS_Backend_Data!X81="", "", MIS_Backend_Data!X81)</f>
        <v>NA</v>
      </c>
      <c r="I82" t="str">
        <f>IF(MIS_Backend_Data!AC81="", "", MIS_Backend_Data!AC81)</f>
        <v>NA</v>
      </c>
      <c r="J82" t="str">
        <f>IF(MIS_Backend_Data!AB81="", "", MIS_Backend_Data!AB81)</f>
        <v>NA</v>
      </c>
      <c r="K82" t="str">
        <f>IF(MIS_Backend_Data!AG81="", "", MIS_Backend_Data!AG81)</f>
        <v>NA</v>
      </c>
      <c r="L82" s="20" t="str">
        <f>IF(MIS_Backend_Data!AI81="", "", MIS_Backend_Data!AI81)</f>
        <v>NA</v>
      </c>
      <c r="M82" t="str">
        <f>IF(MIS_Backend_Data!AK81="", "", MIS_Backend_Data!AK81)</f>
        <v>NA</v>
      </c>
      <c r="N82" t="str">
        <f>IF(MIS_Backend_Data!AM81="", "", MIS_Backend_Data!AM81)</f>
        <v>NA</v>
      </c>
      <c r="O82" t="str">
        <f>IF(MIS_Backend_Data!AO81="", "", MIS_Backend_Data!AO81)</f>
        <v>NA</v>
      </c>
      <c r="P82" t="str">
        <f>IF(MIS_Backend_Data!AS81="", "", MIS_Backend_Data!AS81)</f>
        <v>NA</v>
      </c>
      <c r="Q82" t="str">
        <f>IF(MIS_Backend_Data!AX81="", "", MIS_Backend_Data!AX81)</f>
        <v>NA</v>
      </c>
      <c r="R82" t="str">
        <f>IF(MIS_Backend_Data!BB81="", "", MIS_Backend_Data!BB81)</f>
        <v>NA</v>
      </c>
      <c r="S82" t="str">
        <f>IF(MIS_Backend_Data!AW81="", "", MIS_Backend_Data!AW81)</f>
        <v>NA</v>
      </c>
      <c r="T82" s="42" t="str">
        <f>IF(MIS_Backend_Data!N81="Dispatch","Completed","NA")</f>
        <v>Completed</v>
      </c>
      <c r="U82" t="str">
        <f t="shared" si="3"/>
        <v/>
      </c>
      <c r="V82" t="str">
        <f t="shared" si="4"/>
        <v/>
      </c>
      <c r="W82" s="20" t="str">
        <f t="shared" si="5"/>
        <v/>
      </c>
    </row>
    <row r="83" spans="2:23" ht="14.5">
      <c r="B83" s="205" t="str">
        <f ca="1"/>
        <v>2021205783</v>
      </c>
      <c r="C83" s="17" t="str">
        <f ca="1"/>
        <v>Indusind General Insurance Co Ltd</v>
      </c>
      <c r="D83" s="17" t="str">
        <f ca="1"/>
        <v>R001-1081-SS-2025</v>
      </c>
      <c r="E83" s="19">
        <f ca="1"/>
        <v>52</v>
      </c>
      <c r="F83" s="19" t="str">
        <f>IF(MIS_Backend_Data!O82="", "", MIS_Backend_Data!O82)</f>
        <v>QC</v>
      </c>
      <c r="G83" t="str">
        <f>IF(MIS_Backend_Data!T82="", "", MIS_Backend_Data!T82)</f>
        <v>Completed</v>
      </c>
      <c r="H83" t="str">
        <f>IF(MIS_Backend_Data!X82="", "", MIS_Backend_Data!X82)</f>
        <v>NA</v>
      </c>
      <c r="I83" t="str">
        <f>IF(MIS_Backend_Data!AC82="", "", MIS_Backend_Data!AC82)</f>
        <v>NA</v>
      </c>
      <c r="J83" t="str">
        <f>IF(MIS_Backend_Data!AB82="", "", MIS_Backend_Data!AB82)</f>
        <v>NA</v>
      </c>
      <c r="K83" t="str">
        <f>IF(MIS_Backend_Data!AG82="", "", MIS_Backend_Data!AG82)</f>
        <v>NA</v>
      </c>
      <c r="L83" s="20" t="str">
        <f>IF(MIS_Backend_Data!AI82="", "", MIS_Backend_Data!AI82)</f>
        <v>NA</v>
      </c>
      <c r="M83" t="str">
        <f>IF(MIS_Backend_Data!AK82="", "", MIS_Backend_Data!AK82)</f>
        <v>NA</v>
      </c>
      <c r="N83" t="str">
        <f>IF(MIS_Backend_Data!AM82="", "", MIS_Backend_Data!AM82)</f>
        <v>NA</v>
      </c>
      <c r="O83" t="str">
        <f>IF(MIS_Backend_Data!AO82="", "", MIS_Backend_Data!AO82)</f>
        <v>NA</v>
      </c>
      <c r="P83" t="str">
        <f>IF(MIS_Backend_Data!AS82="", "", MIS_Backend_Data!AS82)</f>
        <v>NA</v>
      </c>
      <c r="Q83" t="str">
        <f>IF(MIS_Backend_Data!AX82="", "", MIS_Backend_Data!AX82)</f>
        <v>NA</v>
      </c>
      <c r="R83" t="str">
        <f>IF(MIS_Backend_Data!BB82="", "", MIS_Backend_Data!BB82)</f>
        <v>NA</v>
      </c>
      <c r="S83" t="str">
        <f>IF(MIS_Backend_Data!AW82="", "", MIS_Backend_Data!AW82)</f>
        <v>NA</v>
      </c>
      <c r="T83" s="42" t="str">
        <f>IF(MIS_Backend_Data!N82="Dispatch","Completed","NA")</f>
        <v>NA</v>
      </c>
      <c r="U83" t="str">
        <f t="shared" si="3"/>
        <v/>
      </c>
      <c r="V83" t="str">
        <f t="shared" si="4"/>
        <v/>
      </c>
      <c r="W83" s="20" t="str">
        <f t="shared" si="5"/>
        <v/>
      </c>
    </row>
    <row r="84" spans="2:23" ht="14.5">
      <c r="B84" s="205" t="str">
        <f ca="1"/>
        <v>2020208122</v>
      </c>
      <c r="C84" s="17" t="str">
        <f ca="1"/>
        <v>Indusind General Insurance Co Ltd</v>
      </c>
      <c r="D84" s="17" t="str">
        <f ca="1"/>
        <v>R001-1082-SS-2025</v>
      </c>
      <c r="E84" s="19">
        <f ca="1"/>
        <v>22</v>
      </c>
      <c r="F84" s="19" t="str">
        <f>IF(MIS_Backend_Data!O83="", "", MIS_Backend_Data!O83)</f>
        <v>Completed</v>
      </c>
      <c r="G84" t="str">
        <f>IF(MIS_Backend_Data!T83="", "", MIS_Backend_Data!T83)</f>
        <v>Completed</v>
      </c>
      <c r="H84" t="str">
        <f>IF(MIS_Backend_Data!X83="", "", MIS_Backend_Data!X83)</f>
        <v>NA</v>
      </c>
      <c r="I84" t="str">
        <f>IF(MIS_Backend_Data!AC83="", "", MIS_Backend_Data!AC83)</f>
        <v>NA</v>
      </c>
      <c r="J84" t="str">
        <f>IF(MIS_Backend_Data!AB83="", "", MIS_Backend_Data!AB83)</f>
        <v>NA</v>
      </c>
      <c r="K84" t="str">
        <f>IF(MIS_Backend_Data!AG83="", "", MIS_Backend_Data!AG83)</f>
        <v>NA</v>
      </c>
      <c r="L84" s="20" t="str">
        <f>IF(MIS_Backend_Data!AI83="", "", MIS_Backend_Data!AI83)</f>
        <v>NA</v>
      </c>
      <c r="M84" t="str">
        <f>IF(MIS_Backend_Data!AK83="", "", MIS_Backend_Data!AK83)</f>
        <v>NA</v>
      </c>
      <c r="N84" t="str">
        <f>IF(MIS_Backend_Data!AM83="", "", MIS_Backend_Data!AM83)</f>
        <v>NA</v>
      </c>
      <c r="O84" t="str">
        <f>IF(MIS_Backend_Data!AO83="", "", MIS_Backend_Data!AO83)</f>
        <v>NA</v>
      </c>
      <c r="P84" t="str">
        <f>IF(MIS_Backend_Data!AS83="", "", MIS_Backend_Data!AS83)</f>
        <v>NA</v>
      </c>
      <c r="Q84" t="str">
        <f>IF(MIS_Backend_Data!AX83="", "", MIS_Backend_Data!AX83)</f>
        <v>NA</v>
      </c>
      <c r="R84" t="str">
        <f>IF(MIS_Backend_Data!BB83="", "", MIS_Backend_Data!BB83)</f>
        <v>NA</v>
      </c>
      <c r="S84" t="str">
        <f>IF(MIS_Backend_Data!AW83="", "", MIS_Backend_Data!AW83)</f>
        <v>NA</v>
      </c>
      <c r="T84" s="42" t="str">
        <f>IF(MIS_Backend_Data!N83="Dispatch","Completed","NA")</f>
        <v>Completed</v>
      </c>
      <c r="U84" t="str">
        <f t="shared" si="3"/>
        <v/>
      </c>
      <c r="V84" t="str">
        <f t="shared" si="4"/>
        <v/>
      </c>
      <c r="W84" s="20" t="str">
        <f t="shared" si="5"/>
        <v/>
      </c>
    </row>
    <row r="85" spans="2:23" ht="14.5">
      <c r="B85" s="205" t="str">
        <f ca="1"/>
        <v>2019201744</v>
      </c>
      <c r="C85" s="17" t="str">
        <f ca="1"/>
        <v>Indusind General Insurance Co Ltd</v>
      </c>
      <c r="D85" s="17" t="str">
        <f ca="1"/>
        <v>R001-1083-SS-2025</v>
      </c>
      <c r="E85" s="19">
        <f ca="1"/>
        <v>36</v>
      </c>
      <c r="F85" s="19" t="str">
        <f>IF(MIS_Backend_Data!O84="", "", MIS_Backend_Data!O84)</f>
        <v>Completed</v>
      </c>
      <c r="G85" t="str">
        <f>IF(MIS_Backend_Data!T84="", "", MIS_Backend_Data!T84)</f>
        <v>Completed</v>
      </c>
      <c r="H85" t="str">
        <f>IF(MIS_Backend_Data!X84="", "", MIS_Backend_Data!X84)</f>
        <v>NA</v>
      </c>
      <c r="I85" t="str">
        <f>IF(MIS_Backend_Data!AC84="", "", MIS_Backend_Data!AC84)</f>
        <v>NA</v>
      </c>
      <c r="J85" t="str">
        <f>IF(MIS_Backend_Data!AB84="", "", MIS_Backend_Data!AB84)</f>
        <v>NA</v>
      </c>
      <c r="K85" t="str">
        <f>IF(MIS_Backend_Data!AG84="", "", MIS_Backend_Data!AG84)</f>
        <v>NA</v>
      </c>
      <c r="L85" s="20" t="str">
        <f>IF(MIS_Backend_Data!AI84="", "", MIS_Backend_Data!AI84)</f>
        <v>NA</v>
      </c>
      <c r="M85" t="str">
        <f>IF(MIS_Backend_Data!AK84="", "", MIS_Backend_Data!AK84)</f>
        <v>NA</v>
      </c>
      <c r="N85" t="str">
        <f>IF(MIS_Backend_Data!AM84="", "", MIS_Backend_Data!AM84)</f>
        <v>NA</v>
      </c>
      <c r="O85" t="str">
        <f>IF(MIS_Backend_Data!AO84="", "", MIS_Backend_Data!AO84)</f>
        <v>NA</v>
      </c>
      <c r="P85" t="str">
        <f>IF(MIS_Backend_Data!AS84="", "", MIS_Backend_Data!AS84)</f>
        <v>NA</v>
      </c>
      <c r="Q85" t="str">
        <f>IF(MIS_Backend_Data!AX84="", "", MIS_Backend_Data!AX84)</f>
        <v>NA</v>
      </c>
      <c r="R85" t="str">
        <f>IF(MIS_Backend_Data!BB84="", "", MIS_Backend_Data!BB84)</f>
        <v>NA</v>
      </c>
      <c r="S85" t="str">
        <f>IF(MIS_Backend_Data!AW84="", "", MIS_Backend_Data!AW84)</f>
        <v>NA</v>
      </c>
      <c r="T85" s="42" t="str">
        <f>IF(MIS_Backend_Data!N84="Dispatch","Completed","NA")</f>
        <v>Completed</v>
      </c>
      <c r="U85" t="str">
        <f t="shared" si="3"/>
        <v/>
      </c>
      <c r="V85" t="str">
        <f t="shared" si="4"/>
        <v/>
      </c>
      <c r="W85" s="20" t="str">
        <f t="shared" si="5"/>
        <v/>
      </c>
    </row>
    <row r="86" spans="2:23" ht="14.5">
      <c r="B86" s="205" t="str">
        <f ca="1"/>
        <v>2022209063</v>
      </c>
      <c r="C86" s="17" t="str">
        <f ca="1"/>
        <v>Indusind General Insurance Co Ltd</v>
      </c>
      <c r="D86" s="17" t="str">
        <f ca="1"/>
        <v>R001-1084-SS-2025</v>
      </c>
      <c r="E86" s="19">
        <f ca="1"/>
        <v>36</v>
      </c>
      <c r="F86" s="19" t="str">
        <f>IF(MIS_Backend_Data!O85="", "", MIS_Backend_Data!O85)</f>
        <v>Completed</v>
      </c>
      <c r="G86" t="str">
        <f>IF(MIS_Backend_Data!T85="", "", MIS_Backend_Data!T85)</f>
        <v>Completed</v>
      </c>
      <c r="H86" t="str">
        <f>IF(MIS_Backend_Data!X85="", "", MIS_Backend_Data!X85)</f>
        <v>NA</v>
      </c>
      <c r="I86" t="str">
        <f>IF(MIS_Backend_Data!AC85="", "", MIS_Backend_Data!AC85)</f>
        <v>NA</v>
      </c>
      <c r="J86" t="str">
        <f>IF(MIS_Backend_Data!AB85="", "", MIS_Backend_Data!AB85)</f>
        <v>NA</v>
      </c>
      <c r="K86" t="str">
        <f>IF(MIS_Backend_Data!AG85="", "", MIS_Backend_Data!AG85)</f>
        <v>NA</v>
      </c>
      <c r="L86" s="20" t="str">
        <f>IF(MIS_Backend_Data!AI85="", "", MIS_Backend_Data!AI85)</f>
        <v>NA</v>
      </c>
      <c r="M86" t="str">
        <f>IF(MIS_Backend_Data!AK85="", "", MIS_Backend_Data!AK85)</f>
        <v>NA</v>
      </c>
      <c r="N86" t="str">
        <f>IF(MIS_Backend_Data!AM85="", "", MIS_Backend_Data!AM85)</f>
        <v>Offline</v>
      </c>
      <c r="O86" t="str">
        <f>IF(MIS_Backend_Data!AO85="", "", MIS_Backend_Data!AO85)</f>
        <v>NA</v>
      </c>
      <c r="P86" t="str">
        <f>IF(MIS_Backend_Data!AS85="", "", MIS_Backend_Data!AS85)</f>
        <v>NA</v>
      </c>
      <c r="Q86" t="str">
        <f>IF(MIS_Backend_Data!AX85="", "", MIS_Backend_Data!AX85)</f>
        <v>NA</v>
      </c>
      <c r="R86" t="str">
        <f>IF(MIS_Backend_Data!BB85="", "", MIS_Backend_Data!BB85)</f>
        <v>NA</v>
      </c>
      <c r="S86" t="str">
        <f>IF(MIS_Backend_Data!AW85="", "", MIS_Backend_Data!AW85)</f>
        <v>NA</v>
      </c>
      <c r="T86" s="42" t="str">
        <f>IF(MIS_Backend_Data!N85="Dispatch","Completed","NA")</f>
        <v>Completed</v>
      </c>
      <c r="U86" t="str">
        <f t="shared" si="3"/>
        <v/>
      </c>
      <c r="V86" t="str">
        <f t="shared" si="4"/>
        <v/>
      </c>
      <c r="W86" s="20" t="str">
        <f t="shared" si="5"/>
        <v/>
      </c>
    </row>
    <row r="87" spans="2:23" ht="14.5">
      <c r="B87" s="205" t="str">
        <f ca="1"/>
        <v>2017212612</v>
      </c>
      <c r="C87" s="17" t="str">
        <f ca="1"/>
        <v>Indusind General Insurance Co Ltd</v>
      </c>
      <c r="D87" s="17" t="str">
        <f ca="1"/>
        <v>R001-1085-SS-2025</v>
      </c>
      <c r="E87" s="19">
        <f ca="1"/>
        <v>52</v>
      </c>
      <c r="F87" s="19" t="str">
        <f>IF(MIS_Backend_Data!O86="", "", MIS_Backend_Data!O86)</f>
        <v>WIP</v>
      </c>
      <c r="G87" t="str">
        <f>IF(MIS_Backend_Data!T86="", "", MIS_Backend_Data!T86)</f>
        <v>WIP</v>
      </c>
      <c r="H87" t="str">
        <f>IF(MIS_Backend_Data!X86="", "", MIS_Backend_Data!X86)</f>
        <v>NA</v>
      </c>
      <c r="I87" t="str">
        <f>IF(MIS_Backend_Data!AC86="", "", MIS_Backend_Data!AC86)</f>
        <v>NA</v>
      </c>
      <c r="J87" t="str">
        <f>IF(MIS_Backend_Data!AB86="", "", MIS_Backend_Data!AB86)</f>
        <v>NA</v>
      </c>
      <c r="K87" t="str">
        <f>IF(MIS_Backend_Data!AG86="", "", MIS_Backend_Data!AG86)</f>
        <v>NA</v>
      </c>
      <c r="L87" s="20" t="str">
        <f>IF(MIS_Backend_Data!AI86="", "", MIS_Backend_Data!AI86)</f>
        <v>NA</v>
      </c>
      <c r="M87" t="str">
        <f>IF(MIS_Backend_Data!AK86="", "", MIS_Backend_Data!AK86)</f>
        <v>NA</v>
      </c>
      <c r="N87" t="str">
        <f>IF(MIS_Backend_Data!AM86="", "", MIS_Backend_Data!AM86)</f>
        <v>NA</v>
      </c>
      <c r="O87" t="str">
        <f>IF(MIS_Backend_Data!AO86="", "", MIS_Backend_Data!AO86)</f>
        <v>NA</v>
      </c>
      <c r="P87" t="str">
        <f>IF(MIS_Backend_Data!AS86="", "", MIS_Backend_Data!AS86)</f>
        <v>NA</v>
      </c>
      <c r="Q87" t="str">
        <f>IF(MIS_Backend_Data!AX86="", "", MIS_Backend_Data!AX86)</f>
        <v>NA</v>
      </c>
      <c r="R87" t="str">
        <f>IF(MIS_Backend_Data!BB86="", "", MIS_Backend_Data!BB86)</f>
        <v>NA</v>
      </c>
      <c r="S87" t="str">
        <f>IF(MIS_Backend_Data!AW86="", "", MIS_Backend_Data!AW86)</f>
        <v>NA</v>
      </c>
      <c r="T87" s="42" t="str">
        <f>IF(MIS_Backend_Data!N86="Dispatch","Completed","NA")</f>
        <v>NA</v>
      </c>
      <c r="U87" t="str">
        <f t="shared" si="3"/>
        <v/>
      </c>
      <c r="V87">
        <f t="shared" si="4"/>
        <v>1</v>
      </c>
      <c r="W87" s="20" t="str">
        <f t="shared" si="5"/>
        <v/>
      </c>
    </row>
    <row r="88" spans="2:23" ht="14.5">
      <c r="B88" s="205" t="str">
        <f ca="1"/>
        <v>MISC-2025-001662</v>
      </c>
      <c r="C88" s="17" t="str">
        <f ca="1"/>
        <v>Generali Central Insurance Company Limited</v>
      </c>
      <c r="D88" s="17" t="str">
        <f ca="1"/>
        <v>F001-1086-SS-2025</v>
      </c>
      <c r="E88" s="19">
        <f ca="1"/>
        <v>21</v>
      </c>
      <c r="F88" s="19" t="str">
        <f>IF(MIS_Backend_Data!O87="", "", MIS_Backend_Data!O87)</f>
        <v>Completed</v>
      </c>
      <c r="G88" t="str">
        <f>IF(MIS_Backend_Data!T87="", "", MIS_Backend_Data!T87)</f>
        <v>Completed</v>
      </c>
      <c r="H88" t="str">
        <f>IF(MIS_Backend_Data!X87="", "", MIS_Backend_Data!X87)</f>
        <v>NA</v>
      </c>
      <c r="I88" t="str">
        <f>IF(MIS_Backend_Data!AC87="", "", MIS_Backend_Data!AC87)</f>
        <v>Completed</v>
      </c>
      <c r="J88" t="str">
        <f>IF(MIS_Backend_Data!AB87="", "", MIS_Backend_Data!AB87)</f>
        <v>NA</v>
      </c>
      <c r="K88" t="str">
        <f>IF(MIS_Backend_Data!AG87="", "", MIS_Backend_Data!AG87)</f>
        <v>NA</v>
      </c>
      <c r="L88" s="20" t="str">
        <f>IF(MIS_Backend_Data!AI87="", "", MIS_Backend_Data!AI87)</f>
        <v>NA</v>
      </c>
      <c r="M88" t="str">
        <f>IF(MIS_Backend_Data!AK87="", "", MIS_Backend_Data!AK87)</f>
        <v>NA</v>
      </c>
      <c r="N88" t="str">
        <f>IF(MIS_Backend_Data!AM87="", "", MIS_Backend_Data!AM87)</f>
        <v>NA</v>
      </c>
      <c r="O88" t="str">
        <f>IF(MIS_Backend_Data!AO87="", "", MIS_Backend_Data!AO87)</f>
        <v>NA</v>
      </c>
      <c r="P88" t="str">
        <f>IF(MIS_Backend_Data!AS87="", "", MIS_Backend_Data!AS87)</f>
        <v>NA</v>
      </c>
      <c r="Q88" t="str">
        <f>IF(MIS_Backend_Data!AX87="", "", MIS_Backend_Data!AX87)</f>
        <v>NA</v>
      </c>
      <c r="R88" t="str">
        <f>IF(MIS_Backend_Data!BB87="", "", MIS_Backend_Data!BB87)</f>
        <v>Completed</v>
      </c>
      <c r="S88" t="str">
        <f>IF(MIS_Backend_Data!AW87="", "", MIS_Backend_Data!AW87)</f>
        <v>NA</v>
      </c>
      <c r="T88" s="42" t="str">
        <f>IF(MIS_Backend_Data!N87="Dispatch","Completed","NA")</f>
        <v>Completed</v>
      </c>
      <c r="U88" t="str">
        <f t="shared" si="3"/>
        <v/>
      </c>
      <c r="V88" t="str">
        <f t="shared" si="4"/>
        <v/>
      </c>
      <c r="W88" s="20" t="str">
        <f t="shared" si="5"/>
        <v/>
      </c>
    </row>
    <row r="89" spans="2:23" ht="14.5">
      <c r="B89" s="205" t="str">
        <f ca="1"/>
        <v>2025212670</v>
      </c>
      <c r="C89" s="17" t="str">
        <f ca="1"/>
        <v>Indusind General Insurance Co Ltd</v>
      </c>
      <c r="D89" s="17" t="str">
        <f ca="1"/>
        <v>R001-1087-SS-2025</v>
      </c>
      <c r="E89" s="19">
        <f ca="1"/>
        <v>21</v>
      </c>
      <c r="F89" s="19" t="str">
        <f>IF(MIS_Backend_Data!O88="", "", MIS_Backend_Data!O88)</f>
        <v>Completed</v>
      </c>
      <c r="G89" t="str">
        <f>IF(MIS_Backend_Data!T88="", "", MIS_Backend_Data!T88)</f>
        <v>Completed</v>
      </c>
      <c r="H89" t="str">
        <f>IF(MIS_Backend_Data!X88="", "", MIS_Backend_Data!X88)</f>
        <v>NA</v>
      </c>
      <c r="I89" t="str">
        <f>IF(MIS_Backend_Data!AC88="", "", MIS_Backend_Data!AC88)</f>
        <v>NA</v>
      </c>
      <c r="J89" t="str">
        <f>IF(MIS_Backend_Data!AB88="", "", MIS_Backend_Data!AB88)</f>
        <v>NA</v>
      </c>
      <c r="K89" t="str">
        <f>IF(MIS_Backend_Data!AG88="", "", MIS_Backend_Data!AG88)</f>
        <v>NA</v>
      </c>
      <c r="L89" s="20" t="str">
        <f>IF(MIS_Backend_Data!AI88="", "", MIS_Backend_Data!AI88)</f>
        <v>NA</v>
      </c>
      <c r="M89" t="str">
        <f>IF(MIS_Backend_Data!AK88="", "", MIS_Backend_Data!AK88)</f>
        <v>NA</v>
      </c>
      <c r="N89" t="str">
        <f>IF(MIS_Backend_Data!AM88="", "", MIS_Backend_Data!AM88)</f>
        <v>NA</v>
      </c>
      <c r="O89" t="str">
        <f>IF(MIS_Backend_Data!AO88="", "", MIS_Backend_Data!AO88)</f>
        <v>NA</v>
      </c>
      <c r="P89" t="str">
        <f>IF(MIS_Backend_Data!AS88="", "", MIS_Backend_Data!AS88)</f>
        <v>NA</v>
      </c>
      <c r="Q89" t="str">
        <f>IF(MIS_Backend_Data!AX88="", "", MIS_Backend_Data!AX88)</f>
        <v>NA</v>
      </c>
      <c r="R89" t="str">
        <f>IF(MIS_Backend_Data!BB88="", "", MIS_Backend_Data!BB88)</f>
        <v>NA</v>
      </c>
      <c r="S89" t="str">
        <f>IF(MIS_Backend_Data!AW88="", "", MIS_Backend_Data!AW88)</f>
        <v>NA</v>
      </c>
      <c r="T89" s="42" t="str">
        <f>IF(MIS_Backend_Data!N88="Dispatch","Completed","NA")</f>
        <v>Completed</v>
      </c>
      <c r="U89" t="str">
        <f t="shared" si="3"/>
        <v/>
      </c>
      <c r="V89" t="str">
        <f t="shared" si="4"/>
        <v/>
      </c>
      <c r="W89" s="20" t="str">
        <f t="shared" si="5"/>
        <v/>
      </c>
    </row>
    <row r="90" spans="2:23" ht="14.5">
      <c r="B90" s="205" t="str">
        <f ca="1"/>
        <v>2025212671</v>
      </c>
      <c r="C90" s="17" t="str">
        <f ca="1"/>
        <v>Indusind General Insurance Co Ltd</v>
      </c>
      <c r="D90" s="17" t="str">
        <f ca="1"/>
        <v>R001-1088-SS-2025</v>
      </c>
      <c r="E90" s="19">
        <f ca="1"/>
        <v>21</v>
      </c>
      <c r="F90" s="19" t="str">
        <f>IF(MIS_Backend_Data!O89="", "", MIS_Backend_Data!O89)</f>
        <v>Completed</v>
      </c>
      <c r="G90" t="str">
        <f>IF(MIS_Backend_Data!T89="", "", MIS_Backend_Data!T89)</f>
        <v>Completed</v>
      </c>
      <c r="H90" t="str">
        <f>IF(MIS_Backend_Data!X89="", "", MIS_Backend_Data!X89)</f>
        <v>NA</v>
      </c>
      <c r="I90" t="str">
        <f>IF(MIS_Backend_Data!AC89="", "", MIS_Backend_Data!AC89)</f>
        <v>NA</v>
      </c>
      <c r="J90" t="str">
        <f>IF(MIS_Backend_Data!AB89="", "", MIS_Backend_Data!AB89)</f>
        <v>NA</v>
      </c>
      <c r="K90" t="str">
        <f>IF(MIS_Backend_Data!AG89="", "", MIS_Backend_Data!AG89)</f>
        <v>NA</v>
      </c>
      <c r="L90" s="20" t="str">
        <f>IF(MIS_Backend_Data!AI89="", "", MIS_Backend_Data!AI89)</f>
        <v>NA</v>
      </c>
      <c r="M90" t="str">
        <f>IF(MIS_Backend_Data!AK89="", "", MIS_Backend_Data!AK89)</f>
        <v>NA</v>
      </c>
      <c r="N90" t="str">
        <f>IF(MIS_Backend_Data!AM89="", "", MIS_Backend_Data!AM89)</f>
        <v>NA</v>
      </c>
      <c r="O90" t="str">
        <f>IF(MIS_Backend_Data!AO89="", "", MIS_Backend_Data!AO89)</f>
        <v>NA</v>
      </c>
      <c r="P90" t="str">
        <f>IF(MIS_Backend_Data!AS89="", "", MIS_Backend_Data!AS89)</f>
        <v>NA</v>
      </c>
      <c r="Q90" t="str">
        <f>IF(MIS_Backend_Data!AX89="", "", MIS_Backend_Data!AX89)</f>
        <v>NA</v>
      </c>
      <c r="R90" t="str">
        <f>IF(MIS_Backend_Data!BB89="", "", MIS_Backend_Data!BB89)</f>
        <v>NA</v>
      </c>
      <c r="S90" t="str">
        <f>IF(MIS_Backend_Data!AW89="", "", MIS_Backend_Data!AW89)</f>
        <v>NA</v>
      </c>
      <c r="T90" s="42" t="str">
        <f>IF(MIS_Backend_Data!N89="Dispatch","Completed","NA")</f>
        <v>Completed</v>
      </c>
      <c r="U90" t="str">
        <f t="shared" si="3"/>
        <v/>
      </c>
      <c r="V90" t="str">
        <f t="shared" si="4"/>
        <v/>
      </c>
      <c r="W90" s="20" t="str">
        <f t="shared" si="5"/>
        <v/>
      </c>
    </row>
    <row r="91" spans="2:23" ht="14.5">
      <c r="B91" s="205" t="str">
        <f ca="1"/>
        <v>2025212673</v>
      </c>
      <c r="C91" s="17" t="str">
        <f ca="1"/>
        <v>Indusind General Insurance Co Ltd</v>
      </c>
      <c r="D91" s="17" t="str">
        <f ca="1"/>
        <v>R001-1089-SS-2025</v>
      </c>
      <c r="E91" s="19">
        <f ca="1"/>
        <v>21</v>
      </c>
      <c r="F91" s="19" t="str">
        <f>IF(MIS_Backend_Data!O90="", "", MIS_Backend_Data!O90)</f>
        <v>Completed</v>
      </c>
      <c r="G91" t="str">
        <f>IF(MIS_Backend_Data!T90="", "", MIS_Backend_Data!T90)</f>
        <v>Completed</v>
      </c>
      <c r="H91" t="str">
        <f>IF(MIS_Backend_Data!X90="", "", MIS_Backend_Data!X90)</f>
        <v>NA</v>
      </c>
      <c r="I91" t="str">
        <f>IF(MIS_Backend_Data!AC90="", "", MIS_Backend_Data!AC90)</f>
        <v>Completed</v>
      </c>
      <c r="J91" t="str">
        <f>IF(MIS_Backend_Data!AB90="", "", MIS_Backend_Data!AB90)</f>
        <v>NA</v>
      </c>
      <c r="K91" t="str">
        <f>IF(MIS_Backend_Data!AG90="", "", MIS_Backend_Data!AG90)</f>
        <v>Completed</v>
      </c>
      <c r="L91" s="20" t="str">
        <f>IF(MIS_Backend_Data!AI90="", "", MIS_Backend_Data!AI90)</f>
        <v>NA</v>
      </c>
      <c r="M91" t="str">
        <f>IF(MIS_Backend_Data!AK90="", "", MIS_Backend_Data!AK90)</f>
        <v>NA</v>
      </c>
      <c r="N91" t="str">
        <f>IF(MIS_Backend_Data!AM90="", "", MIS_Backend_Data!AM90)</f>
        <v>NA</v>
      </c>
      <c r="O91" t="str">
        <f>IF(MIS_Backend_Data!AO90="", "", MIS_Backend_Data!AO90)</f>
        <v>NA</v>
      </c>
      <c r="P91" t="str">
        <f>IF(MIS_Backend_Data!AS90="", "", MIS_Backend_Data!AS90)</f>
        <v>Completed</v>
      </c>
      <c r="Q91" t="str">
        <f>IF(MIS_Backend_Data!AX90="", "", MIS_Backend_Data!AX90)</f>
        <v>Completed</v>
      </c>
      <c r="R91" t="str">
        <f>IF(MIS_Backend_Data!BB90="", "", MIS_Backend_Data!BB90)</f>
        <v>NA</v>
      </c>
      <c r="S91" t="str">
        <f>IF(MIS_Backend_Data!AW90="", "", MIS_Backend_Data!AW90)</f>
        <v>NA</v>
      </c>
      <c r="T91" s="42" t="str">
        <f>IF(MIS_Backend_Data!N90="Dispatch","Completed","NA")</f>
        <v>Completed</v>
      </c>
      <c r="U91" t="str">
        <f t="shared" si="3"/>
        <v/>
      </c>
      <c r="V91" t="str">
        <f t="shared" si="4"/>
        <v/>
      </c>
      <c r="W91" s="20" t="str">
        <f t="shared" si="5"/>
        <v/>
      </c>
    </row>
    <row r="92" spans="2:23" ht="14.5">
      <c r="B92" s="205" t="str">
        <f ca="1"/>
        <v>2025212540</v>
      </c>
      <c r="C92" s="17" t="str">
        <f ca="1"/>
        <v>Indusind General Insurance Co Ltd</v>
      </c>
      <c r="D92" s="17" t="str">
        <f ca="1"/>
        <v>R001-1090-SS-2025</v>
      </c>
      <c r="E92" s="19">
        <f ca="1"/>
        <v>48</v>
      </c>
      <c r="F92" s="19" t="str">
        <f>IF(MIS_Backend_Data!O91="", "", MIS_Backend_Data!O91)</f>
        <v>WIP</v>
      </c>
      <c r="G92" t="str">
        <f>IF(MIS_Backend_Data!T91="", "", MIS_Backend_Data!T91)</f>
        <v>Completed</v>
      </c>
      <c r="H92" t="str">
        <f>IF(MIS_Backend_Data!X91="", "", MIS_Backend_Data!X91)</f>
        <v>NA</v>
      </c>
      <c r="I92" t="str">
        <f>IF(MIS_Backend_Data!AC91="", "", MIS_Backend_Data!AC91)</f>
        <v>Completed</v>
      </c>
      <c r="J92" t="str">
        <f>IF(MIS_Backend_Data!AB91="", "", MIS_Backend_Data!AB91)</f>
        <v>NA</v>
      </c>
      <c r="K92" t="str">
        <f>IF(MIS_Backend_Data!AG91="", "", MIS_Backend_Data!AG91)</f>
        <v>NA</v>
      </c>
      <c r="L92" s="20" t="str">
        <f>IF(MIS_Backend_Data!AI91="", "", MIS_Backend_Data!AI91)</f>
        <v>NA</v>
      </c>
      <c r="M92" t="str">
        <f>IF(MIS_Backend_Data!AK91="", "", MIS_Backend_Data!AK91)</f>
        <v>NA</v>
      </c>
      <c r="N92" t="str">
        <f>IF(MIS_Backend_Data!AM91="", "", MIS_Backend_Data!AM91)</f>
        <v>NA</v>
      </c>
      <c r="O92" t="str">
        <f>IF(MIS_Backend_Data!AO91="", "", MIS_Backend_Data!AO91)</f>
        <v>NA</v>
      </c>
      <c r="P92" t="str">
        <f>IF(MIS_Backend_Data!AS91="", "", MIS_Backend_Data!AS91)</f>
        <v>WIP</v>
      </c>
      <c r="Q92" t="str">
        <f>IF(MIS_Backend_Data!AX91="", "", MIS_Backend_Data!AX91)</f>
        <v>WIP</v>
      </c>
      <c r="R92" t="str">
        <f>IF(MIS_Backend_Data!BB91="", "", MIS_Backend_Data!BB91)</f>
        <v>NA</v>
      </c>
      <c r="S92" t="str">
        <f>IF(MIS_Backend_Data!AW91="", "", MIS_Backend_Data!AW91)</f>
        <v>NA</v>
      </c>
      <c r="T92" s="42" t="str">
        <f>IF(MIS_Backend_Data!N91="Dispatch","Completed","NA")</f>
        <v>NA</v>
      </c>
      <c r="U92">
        <f t="shared" si="3"/>
        <v>2</v>
      </c>
      <c r="V92" t="str">
        <f t="shared" si="4"/>
        <v/>
      </c>
      <c r="W92" s="20" t="str">
        <f t="shared" si="5"/>
        <v/>
      </c>
    </row>
    <row r="93" spans="2:23" ht="14.5">
      <c r="B93" s="205" t="str">
        <f ca="1"/>
        <v>2025212595</v>
      </c>
      <c r="C93" s="17" t="str">
        <f ca="1"/>
        <v>Indusind General Insurance Co Ltd</v>
      </c>
      <c r="D93" s="17" t="str">
        <f ca="1"/>
        <v>R001-1091-SS-2025</v>
      </c>
      <c r="E93" s="19">
        <f ca="1"/>
        <v>48</v>
      </c>
      <c r="F93" s="19" t="str">
        <f>IF(MIS_Backend_Data!O92="", "", MIS_Backend_Data!O92)</f>
        <v>QC</v>
      </c>
      <c r="G93" t="str">
        <f>IF(MIS_Backend_Data!T92="", "", MIS_Backend_Data!T92)</f>
        <v>Completed</v>
      </c>
      <c r="H93" t="str">
        <f>IF(MIS_Backend_Data!X92="", "", MIS_Backend_Data!X92)</f>
        <v>NA</v>
      </c>
      <c r="I93" t="str">
        <f>IF(MIS_Backend_Data!AC92="", "", MIS_Backend_Data!AC92)</f>
        <v>Completed</v>
      </c>
      <c r="J93" t="str">
        <f>IF(MIS_Backend_Data!AB92="", "", MIS_Backend_Data!AB92)</f>
        <v>NA</v>
      </c>
      <c r="K93" t="str">
        <f>IF(MIS_Backend_Data!AG92="", "", MIS_Backend_Data!AG92)</f>
        <v>NA</v>
      </c>
      <c r="L93" s="20" t="str">
        <f>IF(MIS_Backend_Data!AI92="", "", MIS_Backend_Data!AI92)</f>
        <v>NA</v>
      </c>
      <c r="M93" t="str">
        <f>IF(MIS_Backend_Data!AK92="", "", MIS_Backend_Data!AK92)</f>
        <v>NA</v>
      </c>
      <c r="N93" t="str">
        <f>IF(MIS_Backend_Data!AM92="", "", MIS_Backend_Data!AM92)</f>
        <v>NA</v>
      </c>
      <c r="O93" t="str">
        <f>IF(MIS_Backend_Data!AO92="", "", MIS_Backend_Data!AO92)</f>
        <v>NA</v>
      </c>
      <c r="P93" t="str">
        <f>IF(MIS_Backend_Data!AS92="", "", MIS_Backend_Data!AS92)</f>
        <v>Completed</v>
      </c>
      <c r="Q93" t="str">
        <f>IF(MIS_Backend_Data!AX92="", "", MIS_Backend_Data!AX92)</f>
        <v>WIP</v>
      </c>
      <c r="R93" t="str">
        <f>IF(MIS_Backend_Data!BB92="", "", MIS_Backend_Data!BB92)</f>
        <v>NA</v>
      </c>
      <c r="S93" t="str">
        <f>IF(MIS_Backend_Data!AW92="", "", MIS_Backend_Data!AW92)</f>
        <v>NA</v>
      </c>
      <c r="T93" s="42" t="str">
        <f>IF(MIS_Backend_Data!N92="Dispatch","Completed","NA")</f>
        <v>NA</v>
      </c>
      <c r="U93" t="str">
        <f t="shared" si="3"/>
        <v/>
      </c>
      <c r="V93" t="str">
        <f t="shared" si="4"/>
        <v/>
      </c>
      <c r="W93" s="20" t="str">
        <f t="shared" si="5"/>
        <v/>
      </c>
    </row>
    <row r="94" spans="2:23" ht="14.5">
      <c r="B94" s="205" t="str">
        <f ca="1"/>
        <v>2025212716</v>
      </c>
      <c r="C94" s="17" t="str">
        <f ca="1"/>
        <v>Indusind General Insurance Co Ltd</v>
      </c>
      <c r="D94" s="17" t="str">
        <f ca="1"/>
        <v>R001-1092-SS-2025</v>
      </c>
      <c r="E94" s="19">
        <f ca="1"/>
        <v>48</v>
      </c>
      <c r="F94" s="19" t="str">
        <f>IF(MIS_Backend_Data!O93="", "", MIS_Backend_Data!O93)</f>
        <v>WIP</v>
      </c>
      <c r="G94" t="str">
        <f>IF(MIS_Backend_Data!T93="", "", MIS_Backend_Data!T93)</f>
        <v>Completed</v>
      </c>
      <c r="H94" t="str">
        <f>IF(MIS_Backend_Data!X93="", "", MIS_Backend_Data!X93)</f>
        <v>NA</v>
      </c>
      <c r="I94" t="str">
        <f>IF(MIS_Backend_Data!AC93="", "", MIS_Backend_Data!AC93)</f>
        <v>WIP</v>
      </c>
      <c r="J94" t="str">
        <f>IF(MIS_Backend_Data!AB93="", "", MIS_Backend_Data!AB93)</f>
        <v>NA</v>
      </c>
      <c r="K94" t="str">
        <f>IF(MIS_Backend_Data!AG93="", "", MIS_Backend_Data!AG93)</f>
        <v>NI</v>
      </c>
      <c r="L94" s="20" t="str">
        <f>IF(MIS_Backend_Data!AI93="", "", MIS_Backend_Data!AI93)</f>
        <v>NA</v>
      </c>
      <c r="M94" t="str">
        <f>IF(MIS_Backend_Data!AK93="", "", MIS_Backend_Data!AK93)</f>
        <v>NA</v>
      </c>
      <c r="N94" t="str">
        <f>IF(MIS_Backend_Data!AM93="", "", MIS_Backend_Data!AM93)</f>
        <v>NA</v>
      </c>
      <c r="O94" t="str">
        <f>IF(MIS_Backend_Data!AO93="", "", MIS_Backend_Data!AO93)</f>
        <v>NA</v>
      </c>
      <c r="P94" t="str">
        <f>IF(MIS_Backend_Data!AS93="", "", MIS_Backend_Data!AS93)</f>
        <v>WIP</v>
      </c>
      <c r="Q94" t="str">
        <f>IF(MIS_Backend_Data!AX93="", "", MIS_Backend_Data!AX93)</f>
        <v>WIP</v>
      </c>
      <c r="R94" t="str">
        <f>IF(MIS_Backend_Data!BB93="", "", MIS_Backend_Data!BB93)</f>
        <v>NA</v>
      </c>
      <c r="S94" t="str">
        <f>IF(MIS_Backend_Data!AW93="", "", MIS_Backend_Data!AW93)</f>
        <v>NA</v>
      </c>
      <c r="T94" s="42" t="str">
        <f>IF(MIS_Backend_Data!N93="Dispatch","Completed","NA")</f>
        <v>NA</v>
      </c>
      <c r="U94" t="str">
        <f t="shared" si="3"/>
        <v/>
      </c>
      <c r="V94" t="str">
        <f t="shared" si="4"/>
        <v/>
      </c>
      <c r="W94" s="20" t="str">
        <f t="shared" si="5"/>
        <v/>
      </c>
    </row>
    <row r="95" spans="2:23" ht="14.5">
      <c r="B95" s="205" t="str">
        <f ca="1"/>
        <v>2025208486</v>
      </c>
      <c r="C95" s="17" t="str">
        <f ca="1"/>
        <v>Indusind General Insurance Co Ltd</v>
      </c>
      <c r="D95" s="17" t="str">
        <f ca="1"/>
        <v>R001-1093-SS-2025</v>
      </c>
      <c r="E95" s="19">
        <f ca="1"/>
        <v>47</v>
      </c>
      <c r="F95" s="19" t="str">
        <f>IF(MIS_Backend_Data!O94="", "", MIS_Backend_Data!O94)</f>
        <v>WIP</v>
      </c>
      <c r="G95" t="str">
        <f>IF(MIS_Backend_Data!T94="", "", MIS_Backend_Data!T94)</f>
        <v>WIP</v>
      </c>
      <c r="H95" t="str">
        <f>IF(MIS_Backend_Data!X94="", "", MIS_Backend_Data!X94)</f>
        <v>NA</v>
      </c>
      <c r="I95" t="str">
        <f>IF(MIS_Backend_Data!AC94="", "", MIS_Backend_Data!AC94)</f>
        <v>WIP</v>
      </c>
      <c r="J95" t="str">
        <f>IF(MIS_Backend_Data!AB94="", "", MIS_Backend_Data!AB94)</f>
        <v>NA</v>
      </c>
      <c r="K95" t="str">
        <f>IF(MIS_Backend_Data!AG94="", "", MIS_Backend_Data!AG94)</f>
        <v>WIP</v>
      </c>
      <c r="L95" s="20" t="str">
        <f>IF(MIS_Backend_Data!AI94="", "", MIS_Backend_Data!AI94)</f>
        <v>NA</v>
      </c>
      <c r="M95" t="str">
        <f>IF(MIS_Backend_Data!AK94="", "", MIS_Backend_Data!AK94)</f>
        <v>NA</v>
      </c>
      <c r="N95" t="str">
        <f>IF(MIS_Backend_Data!AM94="", "", MIS_Backend_Data!AM94)</f>
        <v>NA</v>
      </c>
      <c r="O95" t="str">
        <f>IF(MIS_Backend_Data!AO94="", "", MIS_Backend_Data!AO94)</f>
        <v>NA</v>
      </c>
      <c r="P95" t="str">
        <f>IF(MIS_Backend_Data!AS94="", "", MIS_Backend_Data!AS94)</f>
        <v>WIP</v>
      </c>
      <c r="Q95" t="str">
        <f>IF(MIS_Backend_Data!AX94="", "", MIS_Backend_Data!AX94)</f>
        <v>Completed</v>
      </c>
      <c r="R95" t="str">
        <f>IF(MIS_Backend_Data!BB94="", "", MIS_Backend_Data!BB94)</f>
        <v>NA</v>
      </c>
      <c r="S95" t="str">
        <f>IF(MIS_Backend_Data!AW94="", "", MIS_Backend_Data!AW94)</f>
        <v>NA</v>
      </c>
      <c r="T95" s="42" t="str">
        <f>IF(MIS_Backend_Data!N94="Dispatch","Completed","NA")</f>
        <v>NA</v>
      </c>
      <c r="U95" t="str">
        <f t="shared" si="3"/>
        <v/>
      </c>
      <c r="V95" t="str">
        <f t="shared" si="4"/>
        <v/>
      </c>
      <c r="W95" s="20" t="str">
        <f t="shared" si="5"/>
        <v/>
      </c>
    </row>
    <row r="96" spans="2:23" ht="14.5">
      <c r="B96" s="205" t="str">
        <f ca="1"/>
        <v>2025209152</v>
      </c>
      <c r="C96" s="17" t="str">
        <f ca="1"/>
        <v>Indusind General Insurance Co Ltd</v>
      </c>
      <c r="D96" s="17" t="str">
        <f ca="1"/>
        <v>R001-1094-SS-2025</v>
      </c>
      <c r="E96" s="19">
        <f ca="1"/>
        <v>47</v>
      </c>
      <c r="F96" s="19" t="str">
        <f>IF(MIS_Backend_Data!O95="", "", MIS_Backend_Data!O95)</f>
        <v>WIP</v>
      </c>
      <c r="G96" t="str">
        <f>IF(MIS_Backend_Data!T95="", "", MIS_Backend_Data!T95)</f>
        <v>Completed</v>
      </c>
      <c r="H96" t="str">
        <f>IF(MIS_Backend_Data!X95="", "", MIS_Backend_Data!X95)</f>
        <v>NA</v>
      </c>
      <c r="I96" t="str">
        <f>IF(MIS_Backend_Data!AC95="", "", MIS_Backend_Data!AC95)</f>
        <v>Completed</v>
      </c>
      <c r="J96" t="str">
        <f>IF(MIS_Backend_Data!AB95="", "", MIS_Backend_Data!AB95)</f>
        <v>NA</v>
      </c>
      <c r="K96" t="str">
        <f>IF(MIS_Backend_Data!AG95="", "", MIS_Backend_Data!AG95)</f>
        <v>WIP</v>
      </c>
      <c r="L96" s="20" t="str">
        <f>IF(MIS_Backend_Data!AI95="", "", MIS_Backend_Data!AI95)</f>
        <v>NA</v>
      </c>
      <c r="M96" t="str">
        <f>IF(MIS_Backend_Data!AK95="", "", MIS_Backend_Data!AK95)</f>
        <v>NA</v>
      </c>
      <c r="N96" t="str">
        <f>IF(MIS_Backend_Data!AM95="", "", MIS_Backend_Data!AM95)</f>
        <v>NA</v>
      </c>
      <c r="O96" t="str">
        <f>IF(MIS_Backend_Data!AO95="", "", MIS_Backend_Data!AO95)</f>
        <v>NA</v>
      </c>
      <c r="P96" t="str">
        <f>IF(MIS_Backend_Data!AS95="", "", MIS_Backend_Data!AS95)</f>
        <v>Completed</v>
      </c>
      <c r="Q96" t="str">
        <f>IF(MIS_Backend_Data!AX95="", "", MIS_Backend_Data!AX95)</f>
        <v>WIP</v>
      </c>
      <c r="R96" t="str">
        <f>IF(MIS_Backend_Data!BB95="", "", MIS_Backend_Data!BB95)</f>
        <v>NA</v>
      </c>
      <c r="S96" t="str">
        <f>IF(MIS_Backend_Data!AW95="", "", MIS_Backend_Data!AW95)</f>
        <v>NA</v>
      </c>
      <c r="T96" s="42" t="str">
        <f>IF(MIS_Backend_Data!N95="Dispatch","Completed","NA")</f>
        <v>NA</v>
      </c>
      <c r="U96">
        <f t="shared" si="3"/>
        <v>2</v>
      </c>
      <c r="V96" t="str">
        <f t="shared" si="4"/>
        <v/>
      </c>
      <c r="W96" s="20" t="str">
        <f t="shared" si="5"/>
        <v/>
      </c>
    </row>
    <row r="97" spans="2:23" ht="14.5">
      <c r="B97" s="205" t="str">
        <f ca="1"/>
        <v>2025212593</v>
      </c>
      <c r="C97" s="17" t="str">
        <f ca="1"/>
        <v>Indusind General Insurance Co Ltd</v>
      </c>
      <c r="D97" s="17" t="str">
        <f ca="1"/>
        <v>R001-1095-SS-2025</v>
      </c>
      <c r="E97" s="19">
        <f ca="1"/>
        <v>47</v>
      </c>
      <c r="F97" s="19" t="str">
        <f>IF(MIS_Backend_Data!O96="", "", MIS_Backend_Data!O96)</f>
        <v>Connected Pending</v>
      </c>
      <c r="G97" t="str">
        <f>IF(MIS_Backend_Data!T96="", "", MIS_Backend_Data!T96)</f>
        <v>Completed</v>
      </c>
      <c r="H97" t="str">
        <f>IF(MIS_Backend_Data!X96="", "", MIS_Backend_Data!X96)</f>
        <v>NA</v>
      </c>
      <c r="I97" t="str">
        <f>IF(MIS_Backend_Data!AC96="", "", MIS_Backend_Data!AC96)</f>
        <v>NA</v>
      </c>
      <c r="J97" t="str">
        <f>IF(MIS_Backend_Data!AB96="", "", MIS_Backend_Data!AB96)</f>
        <v>NA</v>
      </c>
      <c r="K97" t="str">
        <f>IF(MIS_Backend_Data!AG96="", "", MIS_Backend_Data!AG96)</f>
        <v>NA</v>
      </c>
      <c r="L97" s="20" t="str">
        <f>IF(MIS_Backend_Data!AI96="", "", MIS_Backend_Data!AI96)</f>
        <v>NA</v>
      </c>
      <c r="M97" t="str">
        <f>IF(MIS_Backend_Data!AK96="", "", MIS_Backend_Data!AK96)</f>
        <v>NA</v>
      </c>
      <c r="N97" t="str">
        <f>IF(MIS_Backend_Data!AM96="", "", MIS_Backend_Data!AM96)</f>
        <v>NA</v>
      </c>
      <c r="O97" t="str">
        <f>IF(MIS_Backend_Data!AO96="", "", MIS_Backend_Data!AO96)</f>
        <v>NA</v>
      </c>
      <c r="P97" t="str">
        <f>IF(MIS_Backend_Data!AS96="", "", MIS_Backend_Data!AS96)</f>
        <v>NA</v>
      </c>
      <c r="Q97" t="str">
        <f>IF(MIS_Backend_Data!AX96="", "", MIS_Backend_Data!AX96)</f>
        <v>NA</v>
      </c>
      <c r="R97" t="str">
        <f>IF(MIS_Backend_Data!BB96="", "", MIS_Backend_Data!BB96)</f>
        <v>NA</v>
      </c>
      <c r="S97" t="str">
        <f>IF(MIS_Backend_Data!AW96="", "", MIS_Backend_Data!AW96)</f>
        <v>NA</v>
      </c>
      <c r="T97" s="42" t="str">
        <f>IF(MIS_Backend_Data!N96="Dispatch","Completed","NA")</f>
        <v>NA</v>
      </c>
      <c r="U97" t="str">
        <f t="shared" si="3"/>
        <v/>
      </c>
      <c r="V97" t="str">
        <f t="shared" si="4"/>
        <v/>
      </c>
      <c r="W97" s="20" t="str">
        <f t="shared" si="5"/>
        <v/>
      </c>
    </row>
    <row r="98" spans="2:23" ht="14.5">
      <c r="B98" s="205" t="str">
        <f ca="1"/>
        <v>2025212721</v>
      </c>
      <c r="C98" s="17" t="str">
        <f ca="1"/>
        <v>Indusind General Insurance Co Ltd</v>
      </c>
      <c r="D98" s="17" t="str">
        <f ca="1"/>
        <v>R001-1096-SS-2025</v>
      </c>
      <c r="E98" s="19">
        <f ca="1"/>
        <v>47</v>
      </c>
      <c r="F98" s="19" t="str">
        <f>IF(MIS_Backend_Data!O97="", "", MIS_Backend_Data!O97)</f>
        <v>WIP</v>
      </c>
      <c r="G98" t="str">
        <f>IF(MIS_Backend_Data!T97="", "", MIS_Backend_Data!T97)</f>
        <v>Completed</v>
      </c>
      <c r="H98" t="str">
        <f>IF(MIS_Backend_Data!X97="", "", MIS_Backend_Data!X97)</f>
        <v>NA</v>
      </c>
      <c r="I98" t="str">
        <f>IF(MIS_Backend_Data!AC97="", "", MIS_Backend_Data!AC97)</f>
        <v>WIP</v>
      </c>
      <c r="J98" t="str">
        <f>IF(MIS_Backend_Data!AB97="", "", MIS_Backend_Data!AB97)</f>
        <v>NA</v>
      </c>
      <c r="K98" t="str">
        <f>IF(MIS_Backend_Data!AG97="", "", MIS_Backend_Data!AG97)</f>
        <v>WIP</v>
      </c>
      <c r="L98" s="20" t="str">
        <f>IF(MIS_Backend_Data!AI97="", "", MIS_Backend_Data!AI97)</f>
        <v>NA</v>
      </c>
      <c r="M98" t="str">
        <f>IF(MIS_Backend_Data!AK97="", "", MIS_Backend_Data!AK97)</f>
        <v>NA</v>
      </c>
      <c r="N98" t="str">
        <f>IF(MIS_Backend_Data!AM97="", "", MIS_Backend_Data!AM97)</f>
        <v>NA</v>
      </c>
      <c r="O98" t="str">
        <f>IF(MIS_Backend_Data!AO97="", "", MIS_Backend_Data!AO97)</f>
        <v>NA</v>
      </c>
      <c r="P98" t="str">
        <f>IF(MIS_Backend_Data!AS97="", "", MIS_Backend_Data!AS97)</f>
        <v>Completed</v>
      </c>
      <c r="Q98" t="str">
        <f>IF(MIS_Backend_Data!AX97="", "", MIS_Backend_Data!AX97)</f>
        <v>WIP</v>
      </c>
      <c r="R98" t="str">
        <f>IF(MIS_Backend_Data!BB97="", "", MIS_Backend_Data!BB97)</f>
        <v>NA</v>
      </c>
      <c r="S98" t="str">
        <f>IF(MIS_Backend_Data!AW97="", "", MIS_Backend_Data!AW97)</f>
        <v>NA</v>
      </c>
      <c r="T98" s="42" t="str">
        <f>IF(MIS_Backend_Data!N97="Dispatch","Completed","NA")</f>
        <v>NA</v>
      </c>
      <c r="U98" t="str">
        <f t="shared" si="3"/>
        <v/>
      </c>
      <c r="V98" t="str">
        <f t="shared" si="4"/>
        <v/>
      </c>
      <c r="W98" s="20" t="str">
        <f t="shared" si="5"/>
        <v/>
      </c>
    </row>
    <row r="99" spans="2:23" ht="14.5">
      <c r="B99" s="205" t="str">
        <f ca="1"/>
        <v>2025209441</v>
      </c>
      <c r="C99" s="17" t="str">
        <f ca="1"/>
        <v>Indusind General Insurance Co Ltd</v>
      </c>
      <c r="D99" s="17" t="str">
        <f ca="1"/>
        <v>R001-1097-SS-2025</v>
      </c>
      <c r="E99" s="19">
        <f ca="1"/>
        <v>47</v>
      </c>
      <c r="F99" s="19" t="str">
        <f>IF(MIS_Backend_Data!O98="", "", MIS_Backend_Data!O98)</f>
        <v>WIP</v>
      </c>
      <c r="G99" t="str">
        <f>IF(MIS_Backend_Data!T98="", "", MIS_Backend_Data!T98)</f>
        <v>Completed</v>
      </c>
      <c r="H99" t="str">
        <f>IF(MIS_Backend_Data!X98="", "", MIS_Backend_Data!X98)</f>
        <v>NA</v>
      </c>
      <c r="I99" t="str">
        <f>IF(MIS_Backend_Data!AC98="", "", MIS_Backend_Data!AC98)</f>
        <v>WIP</v>
      </c>
      <c r="J99" t="str">
        <f>IF(MIS_Backend_Data!AB98="", "", MIS_Backend_Data!AB98)</f>
        <v>NA</v>
      </c>
      <c r="K99" t="str">
        <f>IF(MIS_Backend_Data!AG98="", "", MIS_Backend_Data!AG98)</f>
        <v>NI</v>
      </c>
      <c r="L99" s="20" t="str">
        <f>IF(MIS_Backend_Data!AI98="", "", MIS_Backend_Data!AI98)</f>
        <v>NA</v>
      </c>
      <c r="M99" t="str">
        <f>IF(MIS_Backend_Data!AK98="", "", MIS_Backend_Data!AK98)</f>
        <v>NA</v>
      </c>
      <c r="N99" t="str">
        <f>IF(MIS_Backend_Data!AM98="", "", MIS_Backend_Data!AM98)</f>
        <v>NA</v>
      </c>
      <c r="O99" t="str">
        <f>IF(MIS_Backend_Data!AO98="", "", MIS_Backend_Data!AO98)</f>
        <v>NA</v>
      </c>
      <c r="P99" t="str">
        <f>IF(MIS_Backend_Data!AS98="", "", MIS_Backend_Data!AS98)</f>
        <v>Completed</v>
      </c>
      <c r="Q99" t="str">
        <f>IF(MIS_Backend_Data!AX98="", "", MIS_Backend_Data!AX98)</f>
        <v>NI</v>
      </c>
      <c r="R99" t="str">
        <f>IF(MIS_Backend_Data!BB98="", "", MIS_Backend_Data!BB98)</f>
        <v>NA</v>
      </c>
      <c r="S99" t="str">
        <f>IF(MIS_Backend_Data!AW98="", "", MIS_Backend_Data!AW98)</f>
        <v>NA</v>
      </c>
      <c r="T99" s="42" t="str">
        <f>IF(MIS_Backend_Data!N98="Dispatch","Completed","NA")</f>
        <v>NA</v>
      </c>
      <c r="U99" t="str">
        <f t="shared" si="3"/>
        <v/>
      </c>
      <c r="V99">
        <f t="shared" si="4"/>
        <v>1</v>
      </c>
      <c r="W99" s="20" t="str">
        <f t="shared" si="5"/>
        <v/>
      </c>
    </row>
    <row r="100" spans="2:23" ht="14.5">
      <c r="B100" s="205" t="str">
        <f ca="1"/>
        <v>2025209731</v>
      </c>
      <c r="C100" s="17" t="str">
        <f ca="1"/>
        <v>Indusind General Insurance Co Ltd</v>
      </c>
      <c r="D100" s="17" t="str">
        <f ca="1"/>
        <v>R001-1098-SS-2025</v>
      </c>
      <c r="E100" s="19">
        <f ca="1"/>
        <v>47</v>
      </c>
      <c r="F100" s="19" t="str">
        <f>IF(MIS_Backend_Data!O99="", "", MIS_Backend_Data!O99)</f>
        <v>WIP</v>
      </c>
      <c r="G100" t="str">
        <f>IF(MIS_Backend_Data!T99="", "", MIS_Backend_Data!T99)</f>
        <v>WIP</v>
      </c>
      <c r="H100" t="str">
        <f>IF(MIS_Backend_Data!X99="", "", MIS_Backend_Data!X99)</f>
        <v>NA</v>
      </c>
      <c r="I100" t="str">
        <f>IF(MIS_Backend_Data!AC99="", "", MIS_Backend_Data!AC99)</f>
        <v>WIP</v>
      </c>
      <c r="J100" t="str">
        <f>IF(MIS_Backend_Data!AB99="", "", MIS_Backend_Data!AB99)</f>
        <v>NA</v>
      </c>
      <c r="K100" t="str">
        <f>IF(MIS_Backend_Data!AG99="", "", MIS_Backend_Data!AG99)</f>
        <v>WIP</v>
      </c>
      <c r="L100" s="20" t="str">
        <f>IF(MIS_Backend_Data!AI99="", "", MIS_Backend_Data!AI99)</f>
        <v>NA</v>
      </c>
      <c r="M100" t="str">
        <f>IF(MIS_Backend_Data!AK99="", "", MIS_Backend_Data!AK99)</f>
        <v>NA</v>
      </c>
      <c r="N100" t="str">
        <f>IF(MIS_Backend_Data!AM99="", "", MIS_Backend_Data!AM99)</f>
        <v>NA</v>
      </c>
      <c r="O100" t="str">
        <f>IF(MIS_Backend_Data!AO99="", "", MIS_Backend_Data!AO99)</f>
        <v>NA</v>
      </c>
      <c r="P100" t="str">
        <f>IF(MIS_Backend_Data!AS99="", "", MIS_Backend_Data!AS99)</f>
        <v>WIP</v>
      </c>
      <c r="Q100" t="str">
        <f>IF(MIS_Backend_Data!AX99="", "", MIS_Backend_Data!AX99)</f>
        <v>NI</v>
      </c>
      <c r="R100" t="str">
        <f>IF(MIS_Backend_Data!BB99="", "", MIS_Backend_Data!BB99)</f>
        <v>NA</v>
      </c>
      <c r="S100" t="str">
        <f>IF(MIS_Backend_Data!AW99="", "", MIS_Backend_Data!AW99)</f>
        <v>NA</v>
      </c>
      <c r="T100" s="42" t="str">
        <f>IF(MIS_Backend_Data!N99="Dispatch","Completed","NA")</f>
        <v>NA</v>
      </c>
      <c r="U100" t="str">
        <f t="shared" si="3"/>
        <v/>
      </c>
      <c r="V100" t="str">
        <f t="shared" si="4"/>
        <v/>
      </c>
      <c r="W100" s="20" t="str">
        <f t="shared" si="5"/>
        <v/>
      </c>
    </row>
    <row r="101" spans="2:23" ht="14.5">
      <c r="B101" s="205" t="str">
        <f ca="1"/>
        <v>2025210423</v>
      </c>
      <c r="C101" s="17" t="str">
        <f ca="1"/>
        <v>Indusind General Insurance Co Ltd</v>
      </c>
      <c r="D101" s="17" t="str">
        <f ca="1"/>
        <v>R001-1099-SS-2025</v>
      </c>
      <c r="E101" s="19">
        <f ca="1"/>
        <v>47</v>
      </c>
      <c r="F101" s="19" t="str">
        <f>IF(MIS_Backend_Data!O100="", "", MIS_Backend_Data!O100)</f>
        <v>WIP</v>
      </c>
      <c r="G101" t="str">
        <f>IF(MIS_Backend_Data!T100="", "", MIS_Backend_Data!T100)</f>
        <v>Completed</v>
      </c>
      <c r="H101" t="str">
        <f>IF(MIS_Backend_Data!X100="", "", MIS_Backend_Data!X100)</f>
        <v>NA</v>
      </c>
      <c r="I101" t="str">
        <f>IF(MIS_Backend_Data!AC100="", "", MIS_Backend_Data!AC100)</f>
        <v>WIP</v>
      </c>
      <c r="J101" t="str">
        <f>IF(MIS_Backend_Data!AB100="", "", MIS_Backend_Data!AB100)</f>
        <v>NA</v>
      </c>
      <c r="K101" t="str">
        <f>IF(MIS_Backend_Data!AG100="", "", MIS_Backend_Data!AG100)</f>
        <v>WIP</v>
      </c>
      <c r="L101" s="20" t="str">
        <f>IF(MIS_Backend_Data!AI100="", "", MIS_Backend_Data!AI100)</f>
        <v>NA</v>
      </c>
      <c r="M101" t="str">
        <f>IF(MIS_Backend_Data!AK100="", "", MIS_Backend_Data!AK100)</f>
        <v>NA</v>
      </c>
      <c r="N101" t="str">
        <f>IF(MIS_Backend_Data!AM100="", "", MIS_Backend_Data!AM100)</f>
        <v>NA</v>
      </c>
      <c r="O101" t="str">
        <f>IF(MIS_Backend_Data!AO100="", "", MIS_Backend_Data!AO100)</f>
        <v>NA</v>
      </c>
      <c r="P101" t="str">
        <f>IF(MIS_Backend_Data!AS100="", "", MIS_Backend_Data!AS100)</f>
        <v>Completed</v>
      </c>
      <c r="Q101" t="str">
        <f>IF(MIS_Backend_Data!AX100="", "", MIS_Backend_Data!AX100)</f>
        <v>WIP</v>
      </c>
      <c r="R101" t="str">
        <f>IF(MIS_Backend_Data!BB100="", "", MIS_Backend_Data!BB100)</f>
        <v>NA</v>
      </c>
      <c r="S101" t="str">
        <f>IF(MIS_Backend_Data!AW100="", "", MIS_Backend_Data!AW100)</f>
        <v>NA</v>
      </c>
      <c r="T101" s="42" t="str">
        <f>IF(MIS_Backend_Data!N100="Dispatch","Completed","NA")</f>
        <v>NA</v>
      </c>
      <c r="U101" t="str">
        <f t="shared" si="3"/>
        <v/>
      </c>
      <c r="V101" t="str">
        <f t="shared" si="4"/>
        <v/>
      </c>
      <c r="W101" s="20" t="str">
        <f t="shared" si="5"/>
        <v/>
      </c>
    </row>
    <row r="102" spans="2:23" ht="14.5">
      <c r="B102" s="205" t="str">
        <f ca="1"/>
        <v>2025210175</v>
      </c>
      <c r="C102" s="17" t="str">
        <f ca="1"/>
        <v>Indusind General Insurance Co Ltd</v>
      </c>
      <c r="D102" s="17" t="str">
        <f ca="1"/>
        <v>R001-1100-SS-2025</v>
      </c>
      <c r="E102" s="19">
        <f ca="1"/>
        <v>47</v>
      </c>
      <c r="F102" s="19" t="str">
        <f>IF(MIS_Backend_Data!O101="", "", MIS_Backend_Data!O101)</f>
        <v>WIP</v>
      </c>
      <c r="G102" t="str">
        <f>IF(MIS_Backend_Data!T101="", "", MIS_Backend_Data!T101)</f>
        <v>WIP</v>
      </c>
      <c r="H102" t="str">
        <f>IF(MIS_Backend_Data!X101="", "", MIS_Backend_Data!X101)</f>
        <v>NA</v>
      </c>
      <c r="I102" t="str">
        <f>IF(MIS_Backend_Data!AC101="", "", MIS_Backend_Data!AC101)</f>
        <v>WIP</v>
      </c>
      <c r="J102" t="str">
        <f>IF(MIS_Backend_Data!AB101="", "", MIS_Backend_Data!AB101)</f>
        <v>NA</v>
      </c>
      <c r="K102" t="str">
        <f>IF(MIS_Backend_Data!AG101="", "", MIS_Backend_Data!AG101)</f>
        <v>WIP</v>
      </c>
      <c r="L102" s="20" t="str">
        <f>IF(MIS_Backend_Data!AI101="", "", MIS_Backend_Data!AI101)</f>
        <v>NA</v>
      </c>
      <c r="M102" t="str">
        <f>IF(MIS_Backend_Data!AK101="", "", MIS_Backend_Data!AK101)</f>
        <v>NA</v>
      </c>
      <c r="N102" t="str">
        <f>IF(MIS_Backend_Data!AM101="", "", MIS_Backend_Data!AM101)</f>
        <v>NA</v>
      </c>
      <c r="O102" t="str">
        <f>IF(MIS_Backend_Data!AO101="", "", MIS_Backend_Data!AO101)</f>
        <v>NA</v>
      </c>
      <c r="P102" t="str">
        <f>IF(MIS_Backend_Data!AS101="", "", MIS_Backend_Data!AS101)</f>
        <v>WIP</v>
      </c>
      <c r="Q102" t="str">
        <f>IF(MIS_Backend_Data!AX101="", "", MIS_Backend_Data!AX101)</f>
        <v>WIP</v>
      </c>
      <c r="R102" t="str">
        <f>IF(MIS_Backend_Data!BB101="", "", MIS_Backend_Data!BB101)</f>
        <v>NA</v>
      </c>
      <c r="S102" t="str">
        <f>IF(MIS_Backend_Data!AW101="", "", MIS_Backend_Data!AW101)</f>
        <v>NA</v>
      </c>
      <c r="T102" s="42" t="str">
        <f>IF(MIS_Backend_Data!N101="Dispatch","Completed","NA")</f>
        <v>NA</v>
      </c>
      <c r="U102" t="str">
        <f t="shared" si="3"/>
        <v/>
      </c>
      <c r="V102" t="str">
        <f t="shared" si="4"/>
        <v/>
      </c>
      <c r="W102" s="20" t="str">
        <f t="shared" si="5"/>
        <v/>
      </c>
    </row>
    <row r="103" spans="2:23" ht="14.5">
      <c r="B103" s="205" t="str">
        <f ca="1"/>
        <v>2025210211</v>
      </c>
      <c r="C103" s="17" t="str">
        <f ca="1"/>
        <v>Indusind General Insurance Co Ltd</v>
      </c>
      <c r="D103" s="17" t="str">
        <f ca="1"/>
        <v>R001-1101-SS-2025</v>
      </c>
      <c r="E103" s="19">
        <f ca="1"/>
        <v>47</v>
      </c>
      <c r="F103" s="19" t="str">
        <f>IF(MIS_Backend_Data!O102="", "", MIS_Backend_Data!O102)</f>
        <v>WIP</v>
      </c>
      <c r="G103" t="str">
        <f>IF(MIS_Backend_Data!T102="", "", MIS_Backend_Data!T102)</f>
        <v>Completed</v>
      </c>
      <c r="H103" t="str">
        <f>IF(MIS_Backend_Data!X102="", "", MIS_Backend_Data!X102)</f>
        <v>NA</v>
      </c>
      <c r="I103" t="str">
        <f>IF(MIS_Backend_Data!AC102="", "", MIS_Backend_Data!AC102)</f>
        <v>Completed</v>
      </c>
      <c r="J103" t="str">
        <f>IF(MIS_Backend_Data!AB102="", "", MIS_Backend_Data!AB102)</f>
        <v>NA</v>
      </c>
      <c r="K103" t="str">
        <f>IF(MIS_Backend_Data!AG102="", "", MIS_Backend_Data!AG102)</f>
        <v>Completed</v>
      </c>
      <c r="L103" s="20" t="str">
        <f>IF(MIS_Backend_Data!AI102="", "", MIS_Backend_Data!AI102)</f>
        <v>NA</v>
      </c>
      <c r="M103" t="str">
        <f>IF(MIS_Backend_Data!AK102="", "", MIS_Backend_Data!AK102)</f>
        <v>NA</v>
      </c>
      <c r="N103" t="str">
        <f>IF(MIS_Backend_Data!AM102="", "", MIS_Backend_Data!AM102)</f>
        <v>NA</v>
      </c>
      <c r="O103" t="str">
        <f>IF(MIS_Backend_Data!AO102="", "", MIS_Backend_Data!AO102)</f>
        <v>NA</v>
      </c>
      <c r="P103" t="str">
        <f>IF(MIS_Backend_Data!AS102="", "", MIS_Backend_Data!AS102)</f>
        <v>Completed</v>
      </c>
      <c r="Q103" t="str">
        <f>IF(MIS_Backend_Data!AX102="", "", MIS_Backend_Data!AX102)</f>
        <v>WIP</v>
      </c>
      <c r="R103" t="str">
        <f>IF(MIS_Backend_Data!BB102="", "", MIS_Backend_Data!BB102)</f>
        <v>NA</v>
      </c>
      <c r="S103" t="str">
        <f>IF(MIS_Backend_Data!AW102="", "", MIS_Backend_Data!AW102)</f>
        <v>NA</v>
      </c>
      <c r="T103" s="42" t="str">
        <f>IF(MIS_Backend_Data!N102="Dispatch","Completed","NA")</f>
        <v>NA</v>
      </c>
      <c r="U103" t="str">
        <f t="shared" si="3"/>
        <v/>
      </c>
      <c r="V103">
        <f t="shared" si="4"/>
        <v>1</v>
      </c>
      <c r="W103" s="20" t="str">
        <f t="shared" si="5"/>
        <v/>
      </c>
    </row>
    <row r="104" spans="2:23" ht="14.5">
      <c r="B104" s="205" t="str">
        <f ca="1"/>
        <v>2025209709</v>
      </c>
      <c r="C104" s="17" t="str">
        <f ca="1"/>
        <v>Indusind General Insurance Co Ltd</v>
      </c>
      <c r="D104" s="17" t="str">
        <f ca="1"/>
        <v>R001-1102-SS-2025</v>
      </c>
      <c r="E104" s="19">
        <f ca="1"/>
        <v>47</v>
      </c>
      <c r="F104" s="19" t="str">
        <f>IF(MIS_Backend_Data!O103="", "", MIS_Backend_Data!O103)</f>
        <v>WIP</v>
      </c>
      <c r="G104" t="str">
        <f>IF(MIS_Backend_Data!T103="", "", MIS_Backend_Data!T103)</f>
        <v>Completed</v>
      </c>
      <c r="H104" t="str">
        <f>IF(MIS_Backend_Data!X103="", "", MIS_Backend_Data!X103)</f>
        <v>NA</v>
      </c>
      <c r="I104" t="str">
        <f>IF(MIS_Backend_Data!AC103="", "", MIS_Backend_Data!AC103)</f>
        <v>WIP</v>
      </c>
      <c r="J104" t="str">
        <f>IF(MIS_Backend_Data!AB103="", "", MIS_Backend_Data!AB103)</f>
        <v>NA</v>
      </c>
      <c r="K104" t="str">
        <f>IF(MIS_Backend_Data!AG103="", "", MIS_Backend_Data!AG103)</f>
        <v>WIP</v>
      </c>
      <c r="L104" s="20" t="str">
        <f>IF(MIS_Backend_Data!AI103="", "", MIS_Backend_Data!AI103)</f>
        <v>NA</v>
      </c>
      <c r="M104" t="str">
        <f>IF(MIS_Backend_Data!AK103="", "", MIS_Backend_Data!AK103)</f>
        <v>NA</v>
      </c>
      <c r="N104" t="str">
        <f>IF(MIS_Backend_Data!AM103="", "", MIS_Backend_Data!AM103)</f>
        <v>NA</v>
      </c>
      <c r="O104" t="str">
        <f>IF(MIS_Backend_Data!AO103="", "", MIS_Backend_Data!AO103)</f>
        <v>NA</v>
      </c>
      <c r="P104" t="str">
        <f>IF(MIS_Backend_Data!AS103="", "", MIS_Backend_Data!AS103)</f>
        <v>Completed</v>
      </c>
      <c r="Q104" t="str">
        <f>IF(MIS_Backend_Data!AX103="", "", MIS_Backend_Data!AX103)</f>
        <v>WIP</v>
      </c>
      <c r="R104" t="str">
        <f>IF(MIS_Backend_Data!BB103="", "", MIS_Backend_Data!BB103)</f>
        <v>NA</v>
      </c>
      <c r="S104" t="str">
        <f>IF(MIS_Backend_Data!AW103="", "", MIS_Backend_Data!AW103)</f>
        <v>NA</v>
      </c>
      <c r="T104" s="42" t="str">
        <f>IF(MIS_Backend_Data!N103="Dispatch","Completed","NA")</f>
        <v>NA</v>
      </c>
      <c r="U104" t="str">
        <f t="shared" si="3"/>
        <v/>
      </c>
      <c r="V104" t="str">
        <f t="shared" si="4"/>
        <v/>
      </c>
      <c r="W104" s="20" t="str">
        <f t="shared" si="5"/>
        <v/>
      </c>
    </row>
    <row r="105" spans="2:23" ht="14.5">
      <c r="B105" s="205" t="str">
        <f ca="1"/>
        <v>2025210102</v>
      </c>
      <c r="C105" s="17" t="str">
        <f ca="1"/>
        <v>Indusind General Insurance Co Ltd</v>
      </c>
      <c r="D105" s="17" t="str">
        <f ca="1"/>
        <v>R001-1103-SS-2025</v>
      </c>
      <c r="E105" s="19">
        <f ca="1"/>
        <v>46</v>
      </c>
      <c r="F105" s="19" t="str">
        <f>IF(MIS_Backend_Data!O104="", "", MIS_Backend_Data!O104)</f>
        <v>Pending CS</v>
      </c>
      <c r="G105" t="str">
        <f>IF(MIS_Backend_Data!T104="", "", MIS_Backend_Data!T104)</f>
        <v>Completed</v>
      </c>
      <c r="H105" t="str">
        <f>IF(MIS_Backend_Data!X104="", "", MIS_Backend_Data!X104)</f>
        <v>NA</v>
      </c>
      <c r="I105" t="str">
        <f>IF(MIS_Backend_Data!AC104="", "", MIS_Backend_Data!AC104)</f>
        <v>Completed</v>
      </c>
      <c r="J105" t="str">
        <f>IF(MIS_Backend_Data!AB104="", "", MIS_Backend_Data!AB104)</f>
        <v>NA</v>
      </c>
      <c r="K105" t="str">
        <f>IF(MIS_Backend_Data!AG104="", "", MIS_Backend_Data!AG104)</f>
        <v>Completed</v>
      </c>
      <c r="L105" s="20" t="str">
        <f>IF(MIS_Backend_Data!AI104="", "", MIS_Backend_Data!AI104)</f>
        <v>NA</v>
      </c>
      <c r="M105" t="str">
        <f>IF(MIS_Backend_Data!AK104="", "", MIS_Backend_Data!AK104)</f>
        <v>NA</v>
      </c>
      <c r="N105" t="str">
        <f>IF(MIS_Backend_Data!AM104="", "", MIS_Backend_Data!AM104)</f>
        <v>NA</v>
      </c>
      <c r="O105" t="str">
        <f>IF(MIS_Backend_Data!AO104="", "", MIS_Backend_Data!AO104)</f>
        <v>NA</v>
      </c>
      <c r="P105" t="str">
        <f>IF(MIS_Backend_Data!AS104="", "", MIS_Backend_Data!AS104)</f>
        <v>Completed</v>
      </c>
      <c r="Q105" t="str">
        <f>IF(MIS_Backend_Data!AX104="", "", MIS_Backend_Data!AX104)</f>
        <v>WIP</v>
      </c>
      <c r="R105" t="str">
        <f>IF(MIS_Backend_Data!BB104="", "", MIS_Backend_Data!BB104)</f>
        <v>NA</v>
      </c>
      <c r="S105" t="str">
        <f>IF(MIS_Backend_Data!AW104="", "", MIS_Backend_Data!AW104)</f>
        <v>NA</v>
      </c>
      <c r="T105" s="42" t="str">
        <f>IF(MIS_Backend_Data!N104="Dispatch","Completed","NA")</f>
        <v>NA</v>
      </c>
      <c r="U105" t="str">
        <f t="shared" si="3"/>
        <v/>
      </c>
      <c r="V105" t="str">
        <f t="shared" si="4"/>
        <v/>
      </c>
      <c r="W105" s="20" t="str">
        <f t="shared" si="5"/>
        <v/>
      </c>
    </row>
    <row r="106" spans="2:23" ht="14.5">
      <c r="B106" s="205" t="str">
        <f ca="1"/>
        <v>2025212758</v>
      </c>
      <c r="C106" s="17" t="str">
        <f ca="1"/>
        <v>Indusind General Insurance Co Ltd</v>
      </c>
      <c r="D106" s="17" t="str">
        <f ca="1"/>
        <v>R001-1104-SS-2025</v>
      </c>
      <c r="E106" s="19">
        <f ca="1"/>
        <v>46</v>
      </c>
      <c r="F106" s="19" t="str">
        <f>IF(MIS_Backend_Data!O105="", "", MIS_Backend_Data!O105)</f>
        <v>WIP</v>
      </c>
      <c r="G106" t="str">
        <f>IF(MIS_Backend_Data!T105="", "", MIS_Backend_Data!T105)</f>
        <v>Completed</v>
      </c>
      <c r="H106" t="str">
        <f>IF(MIS_Backend_Data!X105="", "", MIS_Backend_Data!X105)</f>
        <v>NA</v>
      </c>
      <c r="I106" t="str">
        <f>IF(MIS_Backend_Data!AC105="", "", MIS_Backend_Data!AC105)</f>
        <v>Completed</v>
      </c>
      <c r="J106" t="str">
        <f>IF(MIS_Backend_Data!AB105="", "", MIS_Backend_Data!AB105)</f>
        <v>NA</v>
      </c>
      <c r="K106" t="str">
        <f>IF(MIS_Backend_Data!AG105="", "", MIS_Backend_Data!AG105)</f>
        <v>WIP</v>
      </c>
      <c r="L106" s="20" t="str">
        <f>IF(MIS_Backend_Data!AI105="", "", MIS_Backend_Data!AI105)</f>
        <v>NA</v>
      </c>
      <c r="M106" t="str">
        <f>IF(MIS_Backend_Data!AK105="", "", MIS_Backend_Data!AK105)</f>
        <v>NA</v>
      </c>
      <c r="N106" t="str">
        <f>IF(MIS_Backend_Data!AM105="", "", MIS_Backend_Data!AM105)</f>
        <v>NA</v>
      </c>
      <c r="O106" t="str">
        <f>IF(MIS_Backend_Data!AO105="", "", MIS_Backend_Data!AO105)</f>
        <v>NA</v>
      </c>
      <c r="P106" t="str">
        <f>IF(MIS_Backend_Data!AS105="", "", MIS_Backend_Data!AS105)</f>
        <v>Completed</v>
      </c>
      <c r="Q106" t="str">
        <f>IF(MIS_Backend_Data!AX105="", "", MIS_Backend_Data!AX105)</f>
        <v>WIP</v>
      </c>
      <c r="R106" t="str">
        <f>IF(MIS_Backend_Data!BB105="", "", MIS_Backend_Data!BB105)</f>
        <v>NA</v>
      </c>
      <c r="S106" t="str">
        <f>IF(MIS_Backend_Data!AW105="", "", MIS_Backend_Data!AW105)</f>
        <v>NA</v>
      </c>
      <c r="T106" s="42" t="str">
        <f>IF(MIS_Backend_Data!N105="Dispatch","Completed","NA")</f>
        <v>NA</v>
      </c>
      <c r="U106">
        <f t="shared" si="3"/>
        <v>2</v>
      </c>
      <c r="V106" t="str">
        <f t="shared" si="4"/>
        <v/>
      </c>
      <c r="W106" s="20" t="str">
        <f t="shared" si="5"/>
        <v/>
      </c>
    </row>
    <row r="107" spans="2:23" ht="14.5">
      <c r="B107" s="205" t="str">
        <f ca="1"/>
        <v>2025209132</v>
      </c>
      <c r="C107" s="17" t="str">
        <f ca="1"/>
        <v>Indusind General Insurance Co Ltd</v>
      </c>
      <c r="D107" s="17" t="str">
        <f ca="1"/>
        <v>R001-1105-SS-2025</v>
      </c>
      <c r="E107" s="19">
        <f ca="1"/>
        <v>29</v>
      </c>
      <c r="F107" s="19" t="str">
        <f>IF(MIS_Backend_Data!O106="", "", MIS_Backend_Data!O106)</f>
        <v>Completed</v>
      </c>
      <c r="G107" t="str">
        <f>IF(MIS_Backend_Data!T106="", "", MIS_Backend_Data!T106)</f>
        <v>Completed</v>
      </c>
      <c r="H107" t="str">
        <f>IF(MIS_Backend_Data!X106="", "", MIS_Backend_Data!X106)</f>
        <v>NA</v>
      </c>
      <c r="I107" t="str">
        <f>IF(MIS_Backend_Data!AC106="", "", MIS_Backend_Data!AC106)</f>
        <v>NA</v>
      </c>
      <c r="J107" t="str">
        <f>IF(MIS_Backend_Data!AB106="", "", MIS_Backend_Data!AB106)</f>
        <v>NA</v>
      </c>
      <c r="K107" t="str">
        <f>IF(MIS_Backend_Data!AG106="", "", MIS_Backend_Data!AG106)</f>
        <v>NA</v>
      </c>
      <c r="L107" s="20" t="str">
        <f>IF(MIS_Backend_Data!AI106="", "", MIS_Backend_Data!AI106)</f>
        <v>NA</v>
      </c>
      <c r="M107" t="str">
        <f>IF(MIS_Backend_Data!AK106="", "", MIS_Backend_Data!AK106)</f>
        <v>NA</v>
      </c>
      <c r="N107" t="str">
        <f>IF(MIS_Backend_Data!AM106="", "", MIS_Backend_Data!AM106)</f>
        <v>NA</v>
      </c>
      <c r="O107" t="str">
        <f>IF(MIS_Backend_Data!AO106="", "", MIS_Backend_Data!AO106)</f>
        <v>NA</v>
      </c>
      <c r="P107" t="str">
        <f>IF(MIS_Backend_Data!AS106="", "", MIS_Backend_Data!AS106)</f>
        <v>NA</v>
      </c>
      <c r="Q107" t="str">
        <f>IF(MIS_Backend_Data!AX106="", "", MIS_Backend_Data!AX106)</f>
        <v>NA</v>
      </c>
      <c r="R107" t="str">
        <f>IF(MIS_Backend_Data!BB106="", "", MIS_Backend_Data!BB106)</f>
        <v>NA</v>
      </c>
      <c r="S107" t="str">
        <f>IF(MIS_Backend_Data!AW106="", "", MIS_Backend_Data!AW106)</f>
        <v>NA</v>
      </c>
      <c r="T107" s="42" t="str">
        <f>IF(MIS_Backend_Data!N106="Dispatch","Completed","NA")</f>
        <v>Completed</v>
      </c>
      <c r="U107" t="str">
        <f t="shared" si="3"/>
        <v/>
      </c>
      <c r="V107" t="str">
        <f t="shared" si="4"/>
        <v/>
      </c>
      <c r="W107" s="20" t="str">
        <f t="shared" si="5"/>
        <v/>
      </c>
    </row>
    <row r="108" spans="2:23" ht="14.5">
      <c r="B108" s="205" t="str">
        <f ca="1"/>
        <v>2025209145</v>
      </c>
      <c r="C108" s="17" t="str">
        <f ca="1"/>
        <v>Indusind General Insurance Co Ltd</v>
      </c>
      <c r="D108" s="17" t="str">
        <f ca="1"/>
        <v>R001-1106-SS-2025</v>
      </c>
      <c r="E108" s="19">
        <f ca="1"/>
        <v>29</v>
      </c>
      <c r="F108" s="19" t="str">
        <f>IF(MIS_Backend_Data!O107="", "", MIS_Backend_Data!O107)</f>
        <v>Completed</v>
      </c>
      <c r="G108" t="str">
        <f>IF(MIS_Backend_Data!T107="", "", MIS_Backend_Data!T107)</f>
        <v>Completed</v>
      </c>
      <c r="H108" t="str">
        <f>IF(MIS_Backend_Data!X107="", "", MIS_Backend_Data!X107)</f>
        <v>NA</v>
      </c>
      <c r="I108" t="str">
        <f>IF(MIS_Backend_Data!AC107="", "", MIS_Backend_Data!AC107)</f>
        <v>NA</v>
      </c>
      <c r="J108" t="str">
        <f>IF(MIS_Backend_Data!AB107="", "", MIS_Backend_Data!AB107)</f>
        <v>NA</v>
      </c>
      <c r="K108" t="str">
        <f>IF(MIS_Backend_Data!AG107="", "", MIS_Backend_Data!AG107)</f>
        <v>NA</v>
      </c>
      <c r="L108" s="20" t="str">
        <f>IF(MIS_Backend_Data!AI107="", "", MIS_Backend_Data!AI107)</f>
        <v>NA</v>
      </c>
      <c r="M108" t="str">
        <f>IF(MIS_Backend_Data!AK107="", "", MIS_Backend_Data!AK107)</f>
        <v>NA</v>
      </c>
      <c r="N108" t="str">
        <f>IF(MIS_Backend_Data!AM107="", "", MIS_Backend_Data!AM107)</f>
        <v>NA</v>
      </c>
      <c r="O108" t="str">
        <f>IF(MIS_Backend_Data!AO107="", "", MIS_Backend_Data!AO107)</f>
        <v>NA</v>
      </c>
      <c r="P108" t="str">
        <f>IF(MIS_Backend_Data!AS107="", "", MIS_Backend_Data!AS107)</f>
        <v>NA</v>
      </c>
      <c r="Q108" t="str">
        <f>IF(MIS_Backend_Data!AX107="", "", MIS_Backend_Data!AX107)</f>
        <v>NA</v>
      </c>
      <c r="R108" t="str">
        <f>IF(MIS_Backend_Data!BB107="", "", MIS_Backend_Data!BB107)</f>
        <v>NA</v>
      </c>
      <c r="S108" t="str">
        <f>IF(MIS_Backend_Data!AW107="", "", MIS_Backend_Data!AW107)</f>
        <v>NA</v>
      </c>
      <c r="T108" s="42" t="str">
        <f>IF(MIS_Backend_Data!N107="Dispatch","Completed","NA")</f>
        <v>Completed</v>
      </c>
      <c r="U108" t="str">
        <f t="shared" si="3"/>
        <v/>
      </c>
      <c r="V108" t="str">
        <f t="shared" si="4"/>
        <v/>
      </c>
      <c r="W108" s="20" t="str">
        <f t="shared" si="5"/>
        <v/>
      </c>
    </row>
    <row r="109" spans="2:23" ht="14.5">
      <c r="B109" s="205" t="str">
        <f ca="1"/>
        <v>2025206806</v>
      </c>
      <c r="C109" s="17" t="str">
        <f ca="1"/>
        <v>Indusind General Insurance Co Ltd</v>
      </c>
      <c r="D109" s="17" t="str">
        <f ca="1"/>
        <v>R001-1107-SS-2025</v>
      </c>
      <c r="E109" s="19">
        <f ca="1"/>
        <v>29</v>
      </c>
      <c r="F109" s="19" t="str">
        <f>IF(MIS_Backend_Data!O108="", "", MIS_Backend_Data!O108)</f>
        <v>Completed</v>
      </c>
      <c r="G109" t="str">
        <f>IF(MIS_Backend_Data!T108="", "", MIS_Backend_Data!T108)</f>
        <v>Completed</v>
      </c>
      <c r="H109" t="str">
        <f>IF(MIS_Backend_Data!X108="", "", MIS_Backend_Data!X108)</f>
        <v>NA</v>
      </c>
      <c r="I109" t="str">
        <f>IF(MIS_Backend_Data!AC108="", "", MIS_Backend_Data!AC108)</f>
        <v>Completed</v>
      </c>
      <c r="J109" t="str">
        <f>IF(MIS_Backend_Data!AB108="", "", MIS_Backend_Data!AB108)</f>
        <v>NA</v>
      </c>
      <c r="K109" t="str">
        <f>IF(MIS_Backend_Data!AG108="", "", MIS_Backend_Data!AG108)</f>
        <v>Completed</v>
      </c>
      <c r="L109" s="20" t="str">
        <f>IF(MIS_Backend_Data!AI108="", "", MIS_Backend_Data!AI108)</f>
        <v>NA</v>
      </c>
      <c r="M109" t="str">
        <f>IF(MIS_Backend_Data!AK108="", "", MIS_Backend_Data!AK108)</f>
        <v>NA</v>
      </c>
      <c r="N109" t="str">
        <f>IF(MIS_Backend_Data!AM108="", "", MIS_Backend_Data!AM108)</f>
        <v>NA</v>
      </c>
      <c r="O109" t="str">
        <f>IF(MIS_Backend_Data!AO108="", "", MIS_Backend_Data!AO108)</f>
        <v>NA</v>
      </c>
      <c r="P109" t="str">
        <f>IF(MIS_Backend_Data!AS108="", "", MIS_Backend_Data!AS108)</f>
        <v>Completed</v>
      </c>
      <c r="Q109" t="str">
        <f>IF(MIS_Backend_Data!AX108="", "", MIS_Backend_Data!AX108)</f>
        <v>WIP</v>
      </c>
      <c r="R109" t="str">
        <f>IF(MIS_Backend_Data!BB108="", "", MIS_Backend_Data!BB108)</f>
        <v>NA</v>
      </c>
      <c r="S109" t="str">
        <f>IF(MIS_Backend_Data!AW108="", "", MIS_Backend_Data!AW108)</f>
        <v>NA</v>
      </c>
      <c r="T109" s="42" t="str">
        <f>IF(MIS_Backend_Data!N108="Dispatch","Completed","NA")</f>
        <v>Completed</v>
      </c>
      <c r="U109" t="str">
        <f t="shared" si="3"/>
        <v/>
      </c>
      <c r="V109" t="str">
        <f t="shared" si="4"/>
        <v/>
      </c>
      <c r="W109" s="20" t="str">
        <f t="shared" si="5"/>
        <v/>
      </c>
    </row>
    <row r="110" spans="2:23" ht="14.5">
      <c r="B110" s="205" t="str">
        <f ca="1"/>
        <v>2025210434</v>
      </c>
      <c r="C110" s="17" t="str">
        <f ca="1"/>
        <v>Indusind General Insurance Co Ltd</v>
      </c>
      <c r="D110" s="17" t="str">
        <f ca="1"/>
        <v>R001-1108-SS-2025</v>
      </c>
      <c r="E110" s="19">
        <f ca="1"/>
        <v>32</v>
      </c>
      <c r="F110" s="19" t="str">
        <f>IF(MIS_Backend_Data!O109="", "", MIS_Backend_Data!O109)</f>
        <v>Completed</v>
      </c>
      <c r="G110" t="str">
        <f>IF(MIS_Backend_Data!T109="", "", MIS_Backend_Data!T109)</f>
        <v>Completed</v>
      </c>
      <c r="H110" t="str">
        <f>IF(MIS_Backend_Data!X109="", "", MIS_Backend_Data!X109)</f>
        <v>NA</v>
      </c>
      <c r="I110" t="str">
        <f>IF(MIS_Backend_Data!AC109="", "", MIS_Backend_Data!AC109)</f>
        <v>Completed</v>
      </c>
      <c r="J110" t="str">
        <f>IF(MIS_Backend_Data!AB109="", "", MIS_Backend_Data!AB109)</f>
        <v>NA</v>
      </c>
      <c r="K110" t="str">
        <f>IF(MIS_Backend_Data!AG109="", "", MIS_Backend_Data!AG109)</f>
        <v>NA</v>
      </c>
      <c r="L110" s="20" t="str">
        <f>IF(MIS_Backend_Data!AI109="", "", MIS_Backend_Data!AI109)</f>
        <v>NA</v>
      </c>
      <c r="M110" t="str">
        <f>IF(MIS_Backend_Data!AK109="", "", MIS_Backend_Data!AK109)</f>
        <v>NA</v>
      </c>
      <c r="N110" t="str">
        <f>IF(MIS_Backend_Data!AM109="", "", MIS_Backend_Data!AM109)</f>
        <v>NA</v>
      </c>
      <c r="O110" t="str">
        <f>IF(MIS_Backend_Data!AO109="", "", MIS_Backend_Data!AO109)</f>
        <v>NA</v>
      </c>
      <c r="P110" t="str">
        <f>IF(MIS_Backend_Data!AS109="", "", MIS_Backend_Data!AS109)</f>
        <v>NA</v>
      </c>
      <c r="Q110" t="str">
        <f>IF(MIS_Backend_Data!AX109="", "", MIS_Backend_Data!AX109)</f>
        <v>NA</v>
      </c>
      <c r="R110" t="str">
        <f>IF(MIS_Backend_Data!BB109="", "", MIS_Backend_Data!BB109)</f>
        <v>NA</v>
      </c>
      <c r="S110" t="str">
        <f>IF(MIS_Backend_Data!AW109="", "", MIS_Backend_Data!AW109)</f>
        <v>NA</v>
      </c>
      <c r="T110" s="42" t="str">
        <f>IF(MIS_Backend_Data!N109="Dispatch","Completed","NA")</f>
        <v>Completed</v>
      </c>
      <c r="U110" t="str">
        <f t="shared" si="3"/>
        <v/>
      </c>
      <c r="V110" t="str">
        <f t="shared" si="4"/>
        <v/>
      </c>
      <c r="W110" s="20" t="str">
        <f t="shared" si="5"/>
        <v/>
      </c>
    </row>
    <row r="111" spans="2:23" ht="14.5">
      <c r="B111" s="205" t="str">
        <f ca="1"/>
        <v>2025209745</v>
      </c>
      <c r="C111" s="17" t="str">
        <f ca="1"/>
        <v>Indusind General Insurance Co Ltd</v>
      </c>
      <c r="D111" s="17" t="str">
        <f ca="1"/>
        <v>R001-1109-SS-2025</v>
      </c>
      <c r="E111" s="19">
        <f ca="1"/>
        <v>46</v>
      </c>
      <c r="F111" s="19" t="str">
        <f>IF(MIS_Backend_Data!O110="", "", MIS_Backend_Data!O110)</f>
        <v>IR - Wiritng</v>
      </c>
      <c r="G111" t="str">
        <f>IF(MIS_Backend_Data!T110="", "", MIS_Backend_Data!T110)</f>
        <v>Completed</v>
      </c>
      <c r="H111" t="str">
        <f>IF(MIS_Backend_Data!X110="", "", MIS_Backend_Data!X110)</f>
        <v>NA</v>
      </c>
      <c r="I111" t="str">
        <f>IF(MIS_Backend_Data!AC110="", "", MIS_Backend_Data!AC110)</f>
        <v>NA</v>
      </c>
      <c r="J111" t="str">
        <f>IF(MIS_Backend_Data!AB110="", "", MIS_Backend_Data!AB110)</f>
        <v>NA</v>
      </c>
      <c r="K111" t="str">
        <f>IF(MIS_Backend_Data!AG110="", "", MIS_Backend_Data!AG110)</f>
        <v>NA</v>
      </c>
      <c r="L111" s="20" t="str">
        <f>IF(MIS_Backend_Data!AI110="", "", MIS_Backend_Data!AI110)</f>
        <v>NA</v>
      </c>
      <c r="M111" t="str">
        <f>IF(MIS_Backend_Data!AK110="", "", MIS_Backend_Data!AK110)</f>
        <v>NA</v>
      </c>
      <c r="N111" t="str">
        <f>IF(MIS_Backend_Data!AM110="", "", MIS_Backend_Data!AM110)</f>
        <v>NA</v>
      </c>
      <c r="O111" t="str">
        <f>IF(MIS_Backend_Data!AO110="", "", MIS_Backend_Data!AO110)</f>
        <v>NA</v>
      </c>
      <c r="P111" t="str">
        <f>IF(MIS_Backend_Data!AS110="", "", MIS_Backend_Data!AS110)</f>
        <v>Completed</v>
      </c>
      <c r="Q111" t="str">
        <f>IF(MIS_Backend_Data!AX110="", "", MIS_Backend_Data!AX110)</f>
        <v>NA</v>
      </c>
      <c r="R111" t="str">
        <f>IF(MIS_Backend_Data!BB110="", "", MIS_Backend_Data!BB110)</f>
        <v>NA</v>
      </c>
      <c r="S111" t="str">
        <f>IF(MIS_Backend_Data!AW110="", "", MIS_Backend_Data!AW110)</f>
        <v>NA</v>
      </c>
      <c r="T111" s="42" t="str">
        <f>IF(MIS_Backend_Data!N110="Dispatch","Completed","NA")</f>
        <v>NA</v>
      </c>
      <c r="U111" t="str">
        <f t="shared" si="3"/>
        <v/>
      </c>
      <c r="V111" t="str">
        <f t="shared" si="4"/>
        <v/>
      </c>
      <c r="W111" s="20" t="str">
        <f t="shared" si="5"/>
        <v/>
      </c>
    </row>
    <row r="112" spans="2:23" ht="14.5">
      <c r="B112" s="205" t="str">
        <f ca="1"/>
        <v>2023210048</v>
      </c>
      <c r="C112" s="17" t="str">
        <f ca="1"/>
        <v>Indusind General Insurance Co Ltd</v>
      </c>
      <c r="D112" s="17" t="str">
        <f ca="1"/>
        <v>R001-1110-SS-2025</v>
      </c>
      <c r="E112" s="19">
        <f ca="1"/>
        <v>46</v>
      </c>
      <c r="F112" s="19" t="str">
        <f>IF(MIS_Backend_Data!O111="", "", MIS_Backend_Data!O111)</f>
        <v>WIP</v>
      </c>
      <c r="G112" t="str">
        <f>IF(MIS_Backend_Data!T111="", "", MIS_Backend_Data!T111)</f>
        <v>NA</v>
      </c>
      <c r="H112" t="str">
        <f>IF(MIS_Backend_Data!X111="", "", MIS_Backend_Data!X111)</f>
        <v>NA</v>
      </c>
      <c r="I112" t="str">
        <f>IF(MIS_Backend_Data!AC111="", "", MIS_Backend_Data!AC111)</f>
        <v>NA</v>
      </c>
      <c r="J112" t="str">
        <f>IF(MIS_Backend_Data!AB111="", "", MIS_Backend_Data!AB111)</f>
        <v>NA</v>
      </c>
      <c r="K112" t="str">
        <f>IF(MIS_Backend_Data!AG111="", "", MIS_Backend_Data!AG111)</f>
        <v>WIP</v>
      </c>
      <c r="L112" s="20" t="str">
        <f>IF(MIS_Backend_Data!AI111="", "", MIS_Backend_Data!AI111)</f>
        <v>NA</v>
      </c>
      <c r="M112" t="str">
        <f>IF(MIS_Backend_Data!AK111="", "", MIS_Backend_Data!AK111)</f>
        <v>NA</v>
      </c>
      <c r="N112" t="str">
        <f>IF(MIS_Backend_Data!AM111="", "", MIS_Backend_Data!AM111)</f>
        <v>NA</v>
      </c>
      <c r="O112" t="str">
        <f>IF(MIS_Backend_Data!AO111="", "", MIS_Backend_Data!AO111)</f>
        <v>NA</v>
      </c>
      <c r="P112" t="str">
        <f>IF(MIS_Backend_Data!AS111="", "", MIS_Backend_Data!AS111)</f>
        <v>NA</v>
      </c>
      <c r="Q112" t="str">
        <f>IF(MIS_Backend_Data!AX111="", "", MIS_Backend_Data!AX111)</f>
        <v>NA</v>
      </c>
      <c r="R112" t="str">
        <f>IF(MIS_Backend_Data!BB111="", "", MIS_Backend_Data!BB111)</f>
        <v>NA</v>
      </c>
      <c r="S112" t="str">
        <f>IF(MIS_Backend_Data!AW111="", "", MIS_Backend_Data!AW111)</f>
        <v>NA</v>
      </c>
      <c r="T112" s="42" t="str">
        <f>IF(MIS_Backend_Data!N111="Dispatch","Completed","NA")</f>
        <v>NA</v>
      </c>
      <c r="U112" t="str">
        <f t="shared" si="3"/>
        <v/>
      </c>
      <c r="V112">
        <f t="shared" si="4"/>
        <v>1</v>
      </c>
      <c r="W112" s="20" t="str">
        <f t="shared" si="5"/>
        <v/>
      </c>
    </row>
    <row r="113" spans="2:23" ht="14.5">
      <c r="B113" s="205" t="str">
        <f ca="1"/>
        <v>2023202836</v>
      </c>
      <c r="C113" s="17" t="str">
        <f ca="1"/>
        <v>Indusind General Insurance Co Ltd</v>
      </c>
      <c r="D113" s="17" t="str">
        <f ca="1"/>
        <v>R001-1111-SS-2025</v>
      </c>
      <c r="E113" s="19">
        <f ca="1"/>
        <v>44</v>
      </c>
      <c r="F113" s="19" t="str">
        <f>IF(MIS_Backend_Data!O112="", "", MIS_Backend_Data!O112)</f>
        <v>Completed</v>
      </c>
      <c r="G113" t="str">
        <f>IF(MIS_Backend_Data!T112="", "", MIS_Backend_Data!T112)</f>
        <v>Completed</v>
      </c>
      <c r="H113" t="str">
        <f>IF(MIS_Backend_Data!X112="", "", MIS_Backend_Data!X112)</f>
        <v>NA</v>
      </c>
      <c r="I113" t="str">
        <f>IF(MIS_Backend_Data!AC112="", "", MIS_Backend_Data!AC112)</f>
        <v>NA</v>
      </c>
      <c r="J113" t="str">
        <f>IF(MIS_Backend_Data!AB112="", "", MIS_Backend_Data!AB112)</f>
        <v>NA</v>
      </c>
      <c r="K113" t="str">
        <f>IF(MIS_Backend_Data!AG112="", "", MIS_Backend_Data!AG112)</f>
        <v>NA</v>
      </c>
      <c r="L113" s="20" t="str">
        <f>IF(MIS_Backend_Data!AI112="", "", MIS_Backend_Data!AI112)</f>
        <v>NA</v>
      </c>
      <c r="M113" t="str">
        <f>IF(MIS_Backend_Data!AK112="", "", MIS_Backend_Data!AK112)</f>
        <v>NA</v>
      </c>
      <c r="N113" t="str">
        <f>IF(MIS_Backend_Data!AM112="", "", MIS_Backend_Data!AM112)</f>
        <v>NA</v>
      </c>
      <c r="O113" t="str">
        <f>IF(MIS_Backend_Data!AO112="", "", MIS_Backend_Data!AO112)</f>
        <v>NA</v>
      </c>
      <c r="P113" t="str">
        <f>IF(MIS_Backend_Data!AS112="", "", MIS_Backend_Data!AS112)</f>
        <v>NA</v>
      </c>
      <c r="Q113" t="str">
        <f>IF(MIS_Backend_Data!AX112="", "", MIS_Backend_Data!AX112)</f>
        <v>NA</v>
      </c>
      <c r="R113" t="str">
        <f>IF(MIS_Backend_Data!BB112="", "", MIS_Backend_Data!BB112)</f>
        <v>NA</v>
      </c>
      <c r="S113" t="str">
        <f>IF(MIS_Backend_Data!AW112="", "", MIS_Backend_Data!AW112)</f>
        <v>NA</v>
      </c>
      <c r="T113" s="42" t="str">
        <f>IF(MIS_Backend_Data!N112="Dispatch","Completed","NA")</f>
        <v>NA</v>
      </c>
      <c r="U113" t="str">
        <f t="shared" si="3"/>
        <v/>
      </c>
      <c r="V113" t="str">
        <f t="shared" si="4"/>
        <v/>
      </c>
      <c r="W113" s="20" t="str">
        <f t="shared" si="5"/>
        <v/>
      </c>
    </row>
    <row r="114" spans="2:23" ht="14.5">
      <c r="B114" s="205" t="str">
        <f ca="1"/>
        <v>MTP-N-2526-004387</v>
      </c>
      <c r="C114" s="17" t="str">
        <f ca="1"/>
        <v>Generali Central Insurance Company Limited</v>
      </c>
      <c r="D114" s="17" t="str">
        <f ca="1"/>
        <v>F001-1112-SS-2025</v>
      </c>
      <c r="E114" s="19">
        <f ca="1"/>
        <v>46</v>
      </c>
      <c r="F114" s="19" t="str">
        <f>IF(MIS_Backend_Data!O113="", "", MIS_Backend_Data!O113)</f>
        <v>WIP</v>
      </c>
      <c r="G114" t="str">
        <f>IF(MIS_Backend_Data!T113="", "", MIS_Backend_Data!T113)</f>
        <v>Completed</v>
      </c>
      <c r="H114" t="str">
        <f>IF(MIS_Backend_Data!X113="", "", MIS_Backend_Data!X113)</f>
        <v>NA</v>
      </c>
      <c r="I114" t="str">
        <f>IF(MIS_Backend_Data!AC113="", "", MIS_Backend_Data!AC113)</f>
        <v>Completed</v>
      </c>
      <c r="J114" t="str">
        <f>IF(MIS_Backend_Data!AB113="", "", MIS_Backend_Data!AB113)</f>
        <v>NA</v>
      </c>
      <c r="K114" t="str">
        <f>IF(MIS_Backend_Data!AG113="", "", MIS_Backend_Data!AG113)</f>
        <v>WIP</v>
      </c>
      <c r="L114" s="20" t="str">
        <f>IF(MIS_Backend_Data!AI113="", "", MIS_Backend_Data!AI113)</f>
        <v>WIP</v>
      </c>
      <c r="M114" t="str">
        <f>IF(MIS_Backend_Data!AK113="", "", MIS_Backend_Data!AK113)</f>
        <v>NA</v>
      </c>
      <c r="N114" t="str">
        <f>IF(MIS_Backend_Data!AM113="", "", MIS_Backend_Data!AM113)</f>
        <v>NA</v>
      </c>
      <c r="O114" t="str">
        <f>IF(MIS_Backend_Data!AO113="", "", MIS_Backend_Data!AO113)</f>
        <v>NA</v>
      </c>
      <c r="P114" t="str">
        <f>IF(MIS_Backend_Data!AS113="", "", MIS_Backend_Data!AS113)</f>
        <v>WIP</v>
      </c>
      <c r="Q114" t="str">
        <f>IF(MIS_Backend_Data!AX113="", "", MIS_Backend_Data!AX113)</f>
        <v>WIP</v>
      </c>
      <c r="R114" t="str">
        <f>IF(MIS_Backend_Data!BB113="", "", MIS_Backend_Data!BB113)</f>
        <v>NA</v>
      </c>
      <c r="S114" t="str">
        <f>IF(MIS_Backend_Data!AW113="", "", MIS_Backend_Data!AW113)</f>
        <v>NA</v>
      </c>
      <c r="T114" s="42" t="str">
        <f>IF(MIS_Backend_Data!N113="Dispatch","Completed","NA")</f>
        <v>NA</v>
      </c>
      <c r="U114" t="str">
        <f t="shared" si="3"/>
        <v/>
      </c>
      <c r="V114" t="str">
        <f t="shared" si="4"/>
        <v/>
      </c>
      <c r="W114" s="20" t="str">
        <f t="shared" si="5"/>
        <v/>
      </c>
    </row>
    <row r="115" spans="2:23" ht="14.5">
      <c r="B115" s="205" t="str">
        <f ca="1"/>
        <v>MTP-N-2526-004507</v>
      </c>
      <c r="C115" s="17" t="str">
        <f ca="1"/>
        <v>Generali Central Insurance Company Limited</v>
      </c>
      <c r="D115" s="17" t="str">
        <f ca="1"/>
        <v>F001-1113-SS-2025</v>
      </c>
      <c r="E115" s="19">
        <f ca="1"/>
        <v>46</v>
      </c>
      <c r="F115" s="19" t="str">
        <f>IF(MIS_Backend_Data!O114="", "", MIS_Backend_Data!O114)</f>
        <v>WIP</v>
      </c>
      <c r="G115" t="str">
        <f>IF(MIS_Backend_Data!T114="", "", MIS_Backend_Data!T114)</f>
        <v>WIP</v>
      </c>
      <c r="H115" t="str">
        <f>IF(MIS_Backend_Data!X114="", "", MIS_Backend_Data!X114)</f>
        <v>NA</v>
      </c>
      <c r="I115" t="str">
        <f>IF(MIS_Backend_Data!AC114="", "", MIS_Backend_Data!AC114)</f>
        <v>WIP</v>
      </c>
      <c r="J115" t="str">
        <f>IF(MIS_Backend_Data!AB114="", "", MIS_Backend_Data!AB114)</f>
        <v>NA</v>
      </c>
      <c r="K115" t="str">
        <f>IF(MIS_Backend_Data!AG114="", "", MIS_Backend_Data!AG114)</f>
        <v>WIP</v>
      </c>
      <c r="L115" s="20" t="str">
        <f>IF(MIS_Backend_Data!AI114="", "", MIS_Backend_Data!AI114)</f>
        <v>WIP</v>
      </c>
      <c r="M115" t="str">
        <f>IF(MIS_Backend_Data!AK114="", "", MIS_Backend_Data!AK114)</f>
        <v>NA</v>
      </c>
      <c r="N115" t="str">
        <f>IF(MIS_Backend_Data!AM114="", "", MIS_Backend_Data!AM114)</f>
        <v>NA</v>
      </c>
      <c r="O115" t="str">
        <f>IF(MIS_Backend_Data!AO114="", "", MIS_Backend_Data!AO114)</f>
        <v>NA</v>
      </c>
      <c r="P115" t="str">
        <f>IF(MIS_Backend_Data!AS114="", "", MIS_Backend_Data!AS114)</f>
        <v>WIP</v>
      </c>
      <c r="Q115" t="str">
        <f>IF(MIS_Backend_Data!AX114="", "", MIS_Backend_Data!AX114)</f>
        <v>WIP</v>
      </c>
      <c r="R115" t="str">
        <f>IF(MIS_Backend_Data!BB114="", "", MIS_Backend_Data!BB114)</f>
        <v>NA</v>
      </c>
      <c r="S115" t="str">
        <f>IF(MIS_Backend_Data!AW114="", "", MIS_Backend_Data!AW114)</f>
        <v>NA</v>
      </c>
      <c r="T115" s="42" t="str">
        <f>IF(MIS_Backend_Data!N114="Dispatch","Completed","NA")</f>
        <v>NA</v>
      </c>
      <c r="U115" t="str">
        <f t="shared" si="3"/>
        <v/>
      </c>
      <c r="V115" t="str">
        <f t="shared" si="4"/>
        <v/>
      </c>
      <c r="W115" s="20" t="str">
        <f t="shared" si="5"/>
        <v/>
      </c>
    </row>
    <row r="116" spans="2:23" ht="14.5">
      <c r="B116" s="205" t="str">
        <f ca="1"/>
        <v>MTP-N-2526-004327</v>
      </c>
      <c r="C116" s="17" t="str">
        <f ca="1"/>
        <v>Generali Central Insurance Company Limited</v>
      </c>
      <c r="D116" s="17" t="str">
        <f ca="1"/>
        <v>F001-1114-SS-2025</v>
      </c>
      <c r="E116" s="19">
        <f ca="1"/>
        <v>47</v>
      </c>
      <c r="F116" s="19" t="str">
        <f>IF(MIS_Backend_Data!O115="", "", MIS_Backend_Data!O115)</f>
        <v>WIP</v>
      </c>
      <c r="G116" t="str">
        <f>IF(MIS_Backend_Data!T115="", "", MIS_Backend_Data!T115)</f>
        <v>Completed</v>
      </c>
      <c r="H116" t="str">
        <f>IF(MIS_Backend_Data!X115="", "", MIS_Backend_Data!X115)</f>
        <v>NA</v>
      </c>
      <c r="I116" t="str">
        <f>IF(MIS_Backend_Data!AC115="", "", MIS_Backend_Data!AC115)</f>
        <v>Completed</v>
      </c>
      <c r="J116" t="str">
        <f>IF(MIS_Backend_Data!AB115="", "", MIS_Backend_Data!AB115)</f>
        <v>NA</v>
      </c>
      <c r="K116" t="str">
        <f>IF(MIS_Backend_Data!AG115="", "", MIS_Backend_Data!AG115)</f>
        <v>Completed</v>
      </c>
      <c r="L116" s="20" t="str">
        <f>IF(MIS_Backend_Data!AI115="", "", MIS_Backend_Data!AI115)</f>
        <v>NA</v>
      </c>
      <c r="M116" t="str">
        <f>IF(MIS_Backend_Data!AK115="", "", MIS_Backend_Data!AK115)</f>
        <v>NA</v>
      </c>
      <c r="N116" t="str">
        <f>IF(MIS_Backend_Data!AM115="", "", MIS_Backend_Data!AM115)</f>
        <v>NA</v>
      </c>
      <c r="O116" t="str">
        <f>IF(MIS_Backend_Data!AO115="", "", MIS_Backend_Data!AO115)</f>
        <v>NA</v>
      </c>
      <c r="P116" t="str">
        <f>IF(MIS_Backend_Data!AS115="", "", MIS_Backend_Data!AS115)</f>
        <v>WIP</v>
      </c>
      <c r="Q116" t="str">
        <f>IF(MIS_Backend_Data!AX115="", "", MIS_Backend_Data!AX115)</f>
        <v>STOP</v>
      </c>
      <c r="R116" t="str">
        <f>IF(MIS_Backend_Data!BB115="", "", MIS_Backend_Data!BB115)</f>
        <v>NA</v>
      </c>
      <c r="S116" t="str">
        <f>IF(MIS_Backend_Data!AW115="", "", MIS_Backend_Data!AW115)</f>
        <v>NA</v>
      </c>
      <c r="T116" s="42" t="str">
        <f>IF(MIS_Backend_Data!N115="Dispatch","Completed","NA")</f>
        <v>NA</v>
      </c>
      <c r="U116" t="str">
        <f t="shared" si="3"/>
        <v/>
      </c>
      <c r="V116">
        <f t="shared" si="4"/>
        <v>1</v>
      </c>
      <c r="W116" s="20" t="str">
        <f t="shared" si="5"/>
        <v/>
      </c>
    </row>
    <row r="117" spans="2:23" ht="14.5">
      <c r="B117" s="205" t="str">
        <f ca="1"/>
        <v>CM961508</v>
      </c>
      <c r="C117" s="17" t="str">
        <f ca="1"/>
        <v>Generali Central Insurance Company Limited</v>
      </c>
      <c r="D117" s="17" t="str">
        <f ca="1"/>
        <v>F001-1115-SS-2025</v>
      </c>
      <c r="E117" s="19">
        <f ca="1"/>
        <v>9</v>
      </c>
      <c r="F117" s="19" t="str">
        <f>IF(MIS_Backend_Data!O116="", "", MIS_Backend_Data!O116)</f>
        <v>Completed</v>
      </c>
      <c r="G117" t="str">
        <f>IF(MIS_Backend_Data!T116="", "", MIS_Backend_Data!T116)</f>
        <v>NA</v>
      </c>
      <c r="H117" t="str">
        <f>IF(MIS_Backend_Data!X116="", "", MIS_Backend_Data!X116)</f>
        <v>Completed</v>
      </c>
      <c r="I117" t="str">
        <f>IF(MIS_Backend_Data!AC116="", "", MIS_Backend_Data!AC116)</f>
        <v>NA</v>
      </c>
      <c r="J117" t="str">
        <f>IF(MIS_Backend_Data!AB116="", "", MIS_Backend_Data!AB116)</f>
        <v>NA</v>
      </c>
      <c r="K117" t="str">
        <f>IF(MIS_Backend_Data!AG116="", "", MIS_Backend_Data!AG116)</f>
        <v>NI</v>
      </c>
      <c r="L117" s="20" t="str">
        <f>IF(MIS_Backend_Data!AI116="", "", MIS_Backend_Data!AI116)</f>
        <v>NA</v>
      </c>
      <c r="M117" t="str">
        <f>IF(MIS_Backend_Data!AK116="", "", MIS_Backend_Data!AK116)</f>
        <v>NA</v>
      </c>
      <c r="N117" t="str">
        <f>IF(MIS_Backend_Data!AM116="", "", MIS_Backend_Data!AM116)</f>
        <v>NA</v>
      </c>
      <c r="O117" t="str">
        <f>IF(MIS_Backend_Data!AO116="", "", MIS_Backend_Data!AO116)</f>
        <v>NA</v>
      </c>
      <c r="P117" t="str">
        <f>IF(MIS_Backend_Data!AS116="", "", MIS_Backend_Data!AS116)</f>
        <v>NA</v>
      </c>
      <c r="Q117" t="str">
        <f>IF(MIS_Backend_Data!AX116="", "", MIS_Backend_Data!AX116)</f>
        <v>NA</v>
      </c>
      <c r="R117" t="str">
        <f>IF(MIS_Backend_Data!BB116="", "", MIS_Backend_Data!BB116)</f>
        <v>NA</v>
      </c>
      <c r="S117" t="str">
        <f>IF(MIS_Backend_Data!AW116="", "", MIS_Backend_Data!AW116)</f>
        <v>NA</v>
      </c>
      <c r="T117" s="42" t="str">
        <f>IF(MIS_Backend_Data!N116="Dispatch","Completed","NA")</f>
        <v>Completed</v>
      </c>
      <c r="U117" t="str">
        <f t="shared" si="3"/>
        <v/>
      </c>
      <c r="V117" t="str">
        <f t="shared" si="4"/>
        <v/>
      </c>
      <c r="W117" s="20" t="str">
        <f t="shared" si="5"/>
        <v/>
      </c>
    </row>
    <row r="118" spans="2:23" ht="14.5">
      <c r="B118" s="205" t="str">
        <f ca="1"/>
        <v>L0016122</v>
      </c>
      <c r="C118" s="17" t="str">
        <f ca="1"/>
        <v>Generali Central Insurance Company Limited</v>
      </c>
      <c r="D118" s="17" t="str">
        <f ca="1"/>
        <v>F001-1116-SS-2025</v>
      </c>
      <c r="E118" s="19">
        <f ca="1"/>
        <v>36</v>
      </c>
      <c r="F118" s="19" t="str">
        <f>IF(MIS_Backend_Data!O117="", "", MIS_Backend_Data!O117)</f>
        <v>Completed</v>
      </c>
      <c r="G118" t="str">
        <f>IF(MIS_Backend_Data!T117="", "", MIS_Backend_Data!T117)</f>
        <v>WIP</v>
      </c>
      <c r="H118" t="str">
        <f>IF(MIS_Backend_Data!X117="", "", MIS_Backend_Data!X117)</f>
        <v>NA</v>
      </c>
      <c r="I118" t="str">
        <f>IF(MIS_Backend_Data!AC117="", "", MIS_Backend_Data!AC117)</f>
        <v>Completed</v>
      </c>
      <c r="J118" t="str">
        <f>IF(MIS_Backend_Data!AB117="", "", MIS_Backend_Data!AB117)</f>
        <v>NA</v>
      </c>
      <c r="K118" t="str">
        <f>IF(MIS_Backend_Data!AG117="", "", MIS_Backend_Data!AG117)</f>
        <v>Completed</v>
      </c>
      <c r="L118" s="20" t="str">
        <f>IF(MIS_Backend_Data!AI117="", "", MIS_Backend_Data!AI117)</f>
        <v>NA</v>
      </c>
      <c r="M118" t="str">
        <f>IF(MIS_Backend_Data!AK117="", "", MIS_Backend_Data!AK117)</f>
        <v>NA</v>
      </c>
      <c r="N118" t="str">
        <f>IF(MIS_Backend_Data!AM117="", "", MIS_Backend_Data!AM117)</f>
        <v>NA</v>
      </c>
      <c r="O118" t="str">
        <f>IF(MIS_Backend_Data!AO117="", "", MIS_Backend_Data!AO117)</f>
        <v>NA</v>
      </c>
      <c r="P118" t="str">
        <f>IF(MIS_Backend_Data!AS117="", "", MIS_Backend_Data!AS117)</f>
        <v>Completed</v>
      </c>
      <c r="Q118" t="str">
        <f>IF(MIS_Backend_Data!AX117="", "", MIS_Backend_Data!AX117)</f>
        <v>Completed</v>
      </c>
      <c r="R118" t="str">
        <f>IF(MIS_Backend_Data!BB117="", "", MIS_Backend_Data!BB117)</f>
        <v>NA</v>
      </c>
      <c r="S118" t="str">
        <f>IF(MIS_Backend_Data!AW117="", "", MIS_Backend_Data!AW117)</f>
        <v>NA</v>
      </c>
      <c r="T118" s="42" t="str">
        <f>IF(MIS_Backend_Data!N117="Dispatch","Completed","NA")</f>
        <v>Completed</v>
      </c>
      <c r="U118" t="str">
        <f t="shared" si="3"/>
        <v/>
      </c>
      <c r="V118" t="str">
        <f t="shared" si="4"/>
        <v/>
      </c>
      <c r="W118" s="20" t="str">
        <f t="shared" si="5"/>
        <v/>
      </c>
    </row>
    <row r="119" spans="2:23" ht="14.5">
      <c r="B119" s="205" t="str">
        <f ca="1"/>
        <v>2002429</v>
      </c>
      <c r="C119" s="17" t="str">
        <f ca="1"/>
        <v>SBI General Insurance Company Ltd</v>
      </c>
      <c r="D119" s="17" t="str">
        <f ca="1"/>
        <v>S002-1117-SS-2025</v>
      </c>
      <c r="E119" s="19">
        <f ca="1"/>
        <v>46</v>
      </c>
      <c r="F119" s="19" t="str">
        <f>IF(MIS_Backend_Data!O118="", "", MIS_Backend_Data!O118)</f>
        <v>WIP</v>
      </c>
      <c r="G119" t="str">
        <f>IF(MIS_Backend_Data!T118="", "", MIS_Backend_Data!T118)</f>
        <v>Completed</v>
      </c>
      <c r="H119" t="str">
        <f>IF(MIS_Backend_Data!X118="", "", MIS_Backend_Data!X118)</f>
        <v>NA</v>
      </c>
      <c r="I119" t="str">
        <f>IF(MIS_Backend_Data!AC118="", "", MIS_Backend_Data!AC118)</f>
        <v>Completed</v>
      </c>
      <c r="J119" t="str">
        <f>IF(MIS_Backend_Data!AB118="", "", MIS_Backend_Data!AB118)</f>
        <v>NA</v>
      </c>
      <c r="K119" t="str">
        <f>IF(MIS_Backend_Data!AG118="", "", MIS_Backend_Data!AG118)</f>
        <v>NA</v>
      </c>
      <c r="L119" s="20" t="str">
        <f>IF(MIS_Backend_Data!AI118="", "", MIS_Backend_Data!AI118)</f>
        <v>NA</v>
      </c>
      <c r="M119" t="str">
        <f>IF(MIS_Backend_Data!AK118="", "", MIS_Backend_Data!AK118)</f>
        <v>NA</v>
      </c>
      <c r="N119" t="str">
        <f>IF(MIS_Backend_Data!AM118="", "", MIS_Backend_Data!AM118)</f>
        <v>NA</v>
      </c>
      <c r="O119" t="str">
        <f>IF(MIS_Backend_Data!AO118="", "", MIS_Backend_Data!AO118)</f>
        <v>NA</v>
      </c>
      <c r="P119" t="str">
        <f>IF(MIS_Backend_Data!AS118="", "", MIS_Backend_Data!AS118)</f>
        <v>Completed</v>
      </c>
      <c r="Q119" t="str">
        <f>IF(MIS_Backend_Data!AX118="", "", MIS_Backend_Data!AX118)</f>
        <v>NI</v>
      </c>
      <c r="R119" t="str">
        <f>IF(MIS_Backend_Data!BB118="", "", MIS_Backend_Data!BB118)</f>
        <v>NA</v>
      </c>
      <c r="S119" t="str">
        <f>IF(MIS_Backend_Data!AW118="", "", MIS_Backend_Data!AW118)</f>
        <v>NA</v>
      </c>
      <c r="T119" s="42" t="str">
        <f>IF(MIS_Backend_Data!N118="Dispatch","Completed","NA")</f>
        <v>NA</v>
      </c>
      <c r="U119" t="str">
        <f t="shared" si="3"/>
        <v/>
      </c>
      <c r="V119" t="str">
        <f t="shared" si="4"/>
        <v/>
      </c>
      <c r="W119" s="20" t="str">
        <f t="shared" si="5"/>
        <v/>
      </c>
    </row>
    <row r="120" spans="2:23" ht="14.5">
      <c r="B120" s="205" t="str">
        <f ca="1"/>
        <v>2745855</v>
      </c>
      <c r="C120" s="17" t="str">
        <f ca="1"/>
        <v>SBI General Insurance Company Ltd</v>
      </c>
      <c r="D120" s="17" t="str">
        <f ca="1"/>
        <v>S002-1118-SS-2025</v>
      </c>
      <c r="E120" s="19">
        <f ca="1"/>
        <v>46</v>
      </c>
      <c r="F120" s="19" t="str">
        <f>IF(MIS_Backend_Data!O119="", "", MIS_Backend_Data!O119)</f>
        <v>Pending CS</v>
      </c>
      <c r="G120" t="str">
        <f>IF(MIS_Backend_Data!T119="", "", MIS_Backend_Data!T119)</f>
        <v>Completed</v>
      </c>
      <c r="H120" t="str">
        <f>IF(MIS_Backend_Data!X119="", "", MIS_Backend_Data!X119)</f>
        <v>NA</v>
      </c>
      <c r="I120" t="str">
        <f>IF(MIS_Backend_Data!AC119="", "", MIS_Backend_Data!AC119)</f>
        <v>Completed</v>
      </c>
      <c r="J120" t="str">
        <f>IF(MIS_Backend_Data!AB119="", "", MIS_Backend_Data!AB119)</f>
        <v>NA</v>
      </c>
      <c r="K120" t="str">
        <f>IF(MIS_Backend_Data!AG119="", "", MIS_Backend_Data!AG119)</f>
        <v>NA</v>
      </c>
      <c r="L120" s="20" t="str">
        <f>IF(MIS_Backend_Data!AI119="", "", MIS_Backend_Data!AI119)</f>
        <v>NA</v>
      </c>
      <c r="M120" t="str">
        <f>IF(MIS_Backend_Data!AK119="", "", MIS_Backend_Data!AK119)</f>
        <v>NA</v>
      </c>
      <c r="N120" t="str">
        <f>IF(MIS_Backend_Data!AM119="", "", MIS_Backend_Data!AM119)</f>
        <v>NA</v>
      </c>
      <c r="O120" t="str">
        <f>IF(MIS_Backend_Data!AO119="", "", MIS_Backend_Data!AO119)</f>
        <v>NA</v>
      </c>
      <c r="P120" t="str">
        <f>IF(MIS_Backend_Data!AS119="", "", MIS_Backend_Data!AS119)</f>
        <v>Completed</v>
      </c>
      <c r="Q120" t="str">
        <f>IF(MIS_Backend_Data!AX119="", "", MIS_Backend_Data!AX119)</f>
        <v>NI</v>
      </c>
      <c r="R120" t="str">
        <f>IF(MIS_Backend_Data!BB119="", "", MIS_Backend_Data!BB119)</f>
        <v>NA</v>
      </c>
      <c r="S120" t="str">
        <f>IF(MIS_Backend_Data!AW119="", "", MIS_Backend_Data!AW119)</f>
        <v>NA</v>
      </c>
      <c r="T120" s="42" t="str">
        <f>IF(MIS_Backend_Data!N119="Dispatch","Completed","NA")</f>
        <v>NA</v>
      </c>
      <c r="U120" t="str">
        <f t="shared" si="3"/>
        <v/>
      </c>
      <c r="V120" t="str">
        <f t="shared" si="4"/>
        <v/>
      </c>
      <c r="W120" s="20" t="str">
        <f t="shared" si="5"/>
        <v/>
      </c>
    </row>
    <row r="121" spans="2:23" ht="14.5">
      <c r="B121" s="205" t="str">
        <f ca="1"/>
        <v>2748309</v>
      </c>
      <c r="C121" s="17" t="str">
        <f ca="1"/>
        <v>SBI General Insurance Company Ltd</v>
      </c>
      <c r="D121" s="17" t="str">
        <f ca="1"/>
        <v>S002-1119-SS-2025</v>
      </c>
      <c r="E121" s="19">
        <f ca="1"/>
        <v>46</v>
      </c>
      <c r="F121" s="19" t="str">
        <f>IF(MIS_Backend_Data!O120="", "", MIS_Backend_Data!O120)</f>
        <v>Connected Pending</v>
      </c>
      <c r="G121" t="str">
        <f>IF(MIS_Backend_Data!T120="", "", MIS_Backend_Data!T120)</f>
        <v>Completed</v>
      </c>
      <c r="H121" t="str">
        <f>IF(MIS_Backend_Data!X120="", "", MIS_Backend_Data!X120)</f>
        <v>NA</v>
      </c>
      <c r="I121" t="str">
        <f>IF(MIS_Backend_Data!AC120="", "", MIS_Backend_Data!AC120)</f>
        <v>NA</v>
      </c>
      <c r="J121" t="str">
        <f>IF(MIS_Backend_Data!AB120="", "", MIS_Backend_Data!AB120)</f>
        <v>NA</v>
      </c>
      <c r="K121" t="str">
        <f>IF(MIS_Backend_Data!AG120="", "", MIS_Backend_Data!AG120)</f>
        <v>NA</v>
      </c>
      <c r="L121" s="20" t="str">
        <f>IF(MIS_Backend_Data!AI120="", "", MIS_Backend_Data!AI120)</f>
        <v>NA</v>
      </c>
      <c r="M121" t="str">
        <f>IF(MIS_Backend_Data!AK120="", "", MIS_Backend_Data!AK120)</f>
        <v>NA</v>
      </c>
      <c r="N121" t="str">
        <f>IF(MIS_Backend_Data!AM120="", "", MIS_Backend_Data!AM120)</f>
        <v>NA</v>
      </c>
      <c r="O121" t="str">
        <f>IF(MIS_Backend_Data!AO120="", "", MIS_Backend_Data!AO120)</f>
        <v>NA</v>
      </c>
      <c r="P121" t="str">
        <f>IF(MIS_Backend_Data!AS120="", "", MIS_Backend_Data!AS120)</f>
        <v>NA</v>
      </c>
      <c r="Q121" t="str">
        <f>IF(MIS_Backend_Data!AX120="", "", MIS_Backend_Data!AX120)</f>
        <v>NA</v>
      </c>
      <c r="R121" t="str">
        <f>IF(MIS_Backend_Data!BB120="", "", MIS_Backend_Data!BB120)</f>
        <v>NA</v>
      </c>
      <c r="S121" t="str">
        <f>IF(MIS_Backend_Data!AW120="", "", MIS_Backend_Data!AW120)</f>
        <v>NA</v>
      </c>
      <c r="T121" s="42" t="str">
        <f>IF(MIS_Backend_Data!N120="Dispatch","Completed","NA")</f>
        <v>NA</v>
      </c>
      <c r="U121" t="str">
        <f t="shared" si="3"/>
        <v/>
      </c>
      <c r="V121" t="str">
        <f t="shared" si="4"/>
        <v/>
      </c>
      <c r="W121" s="20" t="str">
        <f t="shared" si="5"/>
        <v/>
      </c>
    </row>
    <row r="122" spans="2:23" ht="14.5">
      <c r="B122" s="205" t="str">
        <f ca="1"/>
        <v>2748311</v>
      </c>
      <c r="C122" s="17" t="str">
        <f ca="1"/>
        <v>SBI General Insurance Company Ltd</v>
      </c>
      <c r="D122" s="17" t="str">
        <f ca="1"/>
        <v>S002-1120-SS-2025</v>
      </c>
      <c r="E122" s="19">
        <f ca="1"/>
        <v>46</v>
      </c>
      <c r="F122" s="19" t="str">
        <f>IF(MIS_Backend_Data!O121="", "", MIS_Backend_Data!O121)</f>
        <v>WIP</v>
      </c>
      <c r="G122" t="str">
        <f>IF(MIS_Backend_Data!T121="", "", MIS_Backend_Data!T121)</f>
        <v>Completed</v>
      </c>
      <c r="H122" t="str">
        <f>IF(MIS_Backend_Data!X121="", "", MIS_Backend_Data!X121)</f>
        <v>NA</v>
      </c>
      <c r="I122" t="str">
        <f>IF(MIS_Backend_Data!AC121="", "", MIS_Backend_Data!AC121)</f>
        <v>NI</v>
      </c>
      <c r="J122" t="str">
        <f>IF(MIS_Backend_Data!AB121="", "", MIS_Backend_Data!AB121)</f>
        <v>NA</v>
      </c>
      <c r="K122" t="str">
        <f>IF(MIS_Backend_Data!AG121="", "", MIS_Backend_Data!AG121)</f>
        <v>NI</v>
      </c>
      <c r="L122" s="20" t="str">
        <f>IF(MIS_Backend_Data!AI121="", "", MIS_Backend_Data!AI121)</f>
        <v>NA</v>
      </c>
      <c r="M122" t="str">
        <f>IF(MIS_Backend_Data!AK121="", "", MIS_Backend_Data!AK121)</f>
        <v>NA</v>
      </c>
      <c r="N122" t="str">
        <f>IF(MIS_Backend_Data!AM121="", "", MIS_Backend_Data!AM121)</f>
        <v>NA</v>
      </c>
      <c r="O122" t="str">
        <f>IF(MIS_Backend_Data!AO121="", "", MIS_Backend_Data!AO121)</f>
        <v>NA</v>
      </c>
      <c r="P122" t="str">
        <f>IF(MIS_Backend_Data!AS121="", "", MIS_Backend_Data!AS121)</f>
        <v>NI</v>
      </c>
      <c r="Q122" t="str">
        <f>IF(MIS_Backend_Data!AX121="", "", MIS_Backend_Data!AX121)</f>
        <v>NI</v>
      </c>
      <c r="R122" t="str">
        <f>IF(MIS_Backend_Data!BB121="", "", MIS_Backend_Data!BB121)</f>
        <v>NA</v>
      </c>
      <c r="S122" t="str">
        <f>IF(MIS_Backend_Data!AW121="", "", MIS_Backend_Data!AW121)</f>
        <v>NA</v>
      </c>
      <c r="T122" s="42" t="str">
        <f>IF(MIS_Backend_Data!N121="Dispatch","Completed","NA")</f>
        <v>NA</v>
      </c>
      <c r="U122" t="str">
        <f t="shared" si="3"/>
        <v/>
      </c>
      <c r="V122" t="str">
        <f t="shared" si="4"/>
        <v/>
      </c>
      <c r="W122" s="20" t="str">
        <f t="shared" si="5"/>
        <v/>
      </c>
    </row>
    <row r="123" spans="2:23" ht="14.5">
      <c r="B123" s="205" t="str">
        <f ca="1"/>
        <v>2748142</v>
      </c>
      <c r="C123" s="17" t="str">
        <f ca="1"/>
        <v>SBI General Insurance Company Ltd</v>
      </c>
      <c r="D123" s="17" t="str">
        <f ca="1"/>
        <v>S002-1121-SS-2025</v>
      </c>
      <c r="E123" s="19">
        <f ca="1"/>
        <v>46</v>
      </c>
      <c r="F123" s="19" t="str">
        <f>IF(MIS_Backend_Data!O122="", "", MIS_Backend_Data!O122)</f>
        <v>WIP</v>
      </c>
      <c r="G123" t="str">
        <f>IF(MIS_Backend_Data!T122="", "", MIS_Backend_Data!T122)</f>
        <v>Completed</v>
      </c>
      <c r="H123" t="str">
        <f>IF(MIS_Backend_Data!X122="", "", MIS_Backend_Data!X122)</f>
        <v>NA</v>
      </c>
      <c r="I123" t="str">
        <f>IF(MIS_Backend_Data!AC122="", "", MIS_Backend_Data!AC122)</f>
        <v>Completed</v>
      </c>
      <c r="J123" t="str">
        <f>IF(MIS_Backend_Data!AB122="", "", MIS_Backend_Data!AB122)</f>
        <v>NA</v>
      </c>
      <c r="K123" t="str">
        <f>IF(MIS_Backend_Data!AG122="", "", MIS_Backend_Data!AG122)</f>
        <v>WIP</v>
      </c>
      <c r="L123" s="20" t="str">
        <f>IF(MIS_Backend_Data!AI122="", "", MIS_Backend_Data!AI122)</f>
        <v>NA</v>
      </c>
      <c r="M123" t="str">
        <f>IF(MIS_Backend_Data!AK122="", "", MIS_Backend_Data!AK122)</f>
        <v>NA</v>
      </c>
      <c r="N123" t="str">
        <f>IF(MIS_Backend_Data!AM122="", "", MIS_Backend_Data!AM122)</f>
        <v>NA</v>
      </c>
      <c r="O123" t="str">
        <f>IF(MIS_Backend_Data!AO122="", "", MIS_Backend_Data!AO122)</f>
        <v>NA</v>
      </c>
      <c r="P123" t="str">
        <f>IF(MIS_Backend_Data!AS122="", "", MIS_Backend_Data!AS122)</f>
        <v>Completed</v>
      </c>
      <c r="Q123" t="str">
        <f>IF(MIS_Backend_Data!AX122="", "", MIS_Backend_Data!AX122)</f>
        <v>WIP</v>
      </c>
      <c r="R123" t="str">
        <f>IF(MIS_Backend_Data!BB122="", "", MIS_Backend_Data!BB122)</f>
        <v>NA</v>
      </c>
      <c r="S123" t="str">
        <f>IF(MIS_Backend_Data!AW122="", "", MIS_Backend_Data!AW122)</f>
        <v>NA</v>
      </c>
      <c r="T123" s="42" t="str">
        <f>IF(MIS_Backend_Data!N122="Dispatch","Completed","NA")</f>
        <v>NA</v>
      </c>
      <c r="U123">
        <f t="shared" si="3"/>
        <v>2</v>
      </c>
      <c r="V123" t="str">
        <f t="shared" si="4"/>
        <v/>
      </c>
      <c r="W123" s="20" t="str">
        <f t="shared" si="5"/>
        <v/>
      </c>
    </row>
    <row r="124" spans="2:23" ht="14.5">
      <c r="B124" s="205" t="str">
        <f ca="1"/>
        <v>2025212933</v>
      </c>
      <c r="C124" s="17" t="str">
        <f ca="1"/>
        <v>Indusind General Insurance Co Ltd</v>
      </c>
      <c r="D124" s="17" t="str">
        <f ca="1"/>
        <v>R001-1122-SS-2025</v>
      </c>
      <c r="E124" s="19">
        <f ca="1"/>
        <v>43</v>
      </c>
      <c r="F124" s="19" t="str">
        <f>IF(MIS_Backend_Data!O123="", "", MIS_Backend_Data!O123)</f>
        <v>WIP</v>
      </c>
      <c r="G124" t="str">
        <f>IF(MIS_Backend_Data!T123="", "", MIS_Backend_Data!T123)</f>
        <v>WIP</v>
      </c>
      <c r="H124" t="str">
        <f>IF(MIS_Backend_Data!X123="", "", MIS_Backend_Data!X123)</f>
        <v>NA</v>
      </c>
      <c r="I124" t="str">
        <f>IF(MIS_Backend_Data!AC123="", "", MIS_Backend_Data!AC123)</f>
        <v>WIP</v>
      </c>
      <c r="J124" t="str">
        <f>IF(MIS_Backend_Data!AB123="", "", MIS_Backend_Data!AB123)</f>
        <v>NA</v>
      </c>
      <c r="K124" t="str">
        <f>IF(MIS_Backend_Data!AG123="", "", MIS_Backend_Data!AG123)</f>
        <v>WIP</v>
      </c>
      <c r="L124" s="20" t="str">
        <f>IF(MIS_Backend_Data!AI123="", "", MIS_Backend_Data!AI123)</f>
        <v>NA</v>
      </c>
      <c r="M124" t="str">
        <f>IF(MIS_Backend_Data!AK123="", "", MIS_Backend_Data!AK123)</f>
        <v>NA</v>
      </c>
      <c r="N124" t="str">
        <f>IF(MIS_Backend_Data!AM123="", "", MIS_Backend_Data!AM123)</f>
        <v>NA</v>
      </c>
      <c r="O124" t="str">
        <f>IF(MIS_Backend_Data!AO123="", "", MIS_Backend_Data!AO123)</f>
        <v>NA</v>
      </c>
      <c r="P124" t="str">
        <f>IF(MIS_Backend_Data!AS123="", "", MIS_Backend_Data!AS123)</f>
        <v>WIP</v>
      </c>
      <c r="Q124" t="str">
        <f>IF(MIS_Backend_Data!AX123="", "", MIS_Backend_Data!AX123)</f>
        <v>Completed</v>
      </c>
      <c r="R124" t="str">
        <f>IF(MIS_Backend_Data!BB123="", "", MIS_Backend_Data!BB123)</f>
        <v>NA</v>
      </c>
      <c r="S124" t="str">
        <f>IF(MIS_Backend_Data!AW123="", "", MIS_Backend_Data!AW123)</f>
        <v>NA</v>
      </c>
      <c r="T124" s="42" t="str">
        <f>IF(MIS_Backend_Data!N123="Dispatch","Completed","NA")</f>
        <v>NA</v>
      </c>
      <c r="U124" t="str">
        <f t="shared" si="3"/>
        <v/>
      </c>
      <c r="V124" t="str">
        <f t="shared" si="4"/>
        <v/>
      </c>
      <c r="W124" s="20" t="str">
        <f t="shared" si="5"/>
        <v/>
      </c>
    </row>
    <row r="125" spans="2:23" ht="14.5">
      <c r="B125" s="205" t="str">
        <f ca="1"/>
        <v>2025210107</v>
      </c>
      <c r="C125" s="17" t="str">
        <f ca="1"/>
        <v>Indusind General Insurance Co Ltd</v>
      </c>
      <c r="D125" s="17" t="str">
        <f ca="1"/>
        <v>R001-1123-SS-2025</v>
      </c>
      <c r="E125" s="19">
        <f ca="1"/>
        <v>43</v>
      </c>
      <c r="F125" s="19" t="str">
        <f>IF(MIS_Backend_Data!O124="", "", MIS_Backend_Data!O124)</f>
        <v>WIP</v>
      </c>
      <c r="G125" t="str">
        <f>IF(MIS_Backend_Data!T124="", "", MIS_Backend_Data!T124)</f>
        <v>NA</v>
      </c>
      <c r="H125" t="str">
        <f>IF(MIS_Backend_Data!X124="", "", MIS_Backend_Data!X124)</f>
        <v>NA</v>
      </c>
      <c r="I125" t="str">
        <f>IF(MIS_Backend_Data!AC124="", "", MIS_Backend_Data!AC124)</f>
        <v>NA</v>
      </c>
      <c r="J125" t="str">
        <f>IF(MIS_Backend_Data!AB124="", "", MIS_Backend_Data!AB124)</f>
        <v>NA</v>
      </c>
      <c r="K125" t="str">
        <f>IF(MIS_Backend_Data!AG124="", "", MIS_Backend_Data!AG124)</f>
        <v>NA</v>
      </c>
      <c r="L125" s="20" t="str">
        <f>IF(MIS_Backend_Data!AI124="", "", MIS_Backend_Data!AI124)</f>
        <v>NA</v>
      </c>
      <c r="M125" t="str">
        <f>IF(MIS_Backend_Data!AK124="", "", MIS_Backend_Data!AK124)</f>
        <v>NA</v>
      </c>
      <c r="N125" t="str">
        <f>IF(MIS_Backend_Data!AM124="", "", MIS_Backend_Data!AM124)</f>
        <v>WIP</v>
      </c>
      <c r="O125" t="str">
        <f>IF(MIS_Backend_Data!AO124="", "", MIS_Backend_Data!AO124)</f>
        <v>NA</v>
      </c>
      <c r="P125" t="str">
        <f>IF(MIS_Backend_Data!AS124="", "", MIS_Backend_Data!AS124)</f>
        <v>NA</v>
      </c>
      <c r="Q125" t="str">
        <f>IF(MIS_Backend_Data!AX124="", "", MIS_Backend_Data!AX124)</f>
        <v>NA</v>
      </c>
      <c r="R125" t="str">
        <f>IF(MIS_Backend_Data!BB124="", "", MIS_Backend_Data!BB124)</f>
        <v>NA</v>
      </c>
      <c r="S125" t="str">
        <f>IF(MIS_Backend_Data!AW124="", "", MIS_Backend_Data!AW124)</f>
        <v>NA</v>
      </c>
      <c r="T125" s="42" t="str">
        <f>IF(MIS_Backend_Data!N124="Dispatch","Completed","NA")</f>
        <v>NA</v>
      </c>
      <c r="U125" t="str">
        <f t="shared" si="3"/>
        <v/>
      </c>
      <c r="V125">
        <f t="shared" si="4"/>
        <v>1</v>
      </c>
      <c r="W125" s="20" t="str">
        <f t="shared" si="5"/>
        <v/>
      </c>
    </row>
    <row r="126" spans="2:23" ht="14.5">
      <c r="B126" s="205" t="str">
        <f ca="1"/>
        <v>2022213651</v>
      </c>
      <c r="C126" s="17" t="str">
        <f ca="1"/>
        <v>Indusind General Insurance Co Ltd</v>
      </c>
      <c r="D126" s="17" t="str">
        <f ca="1"/>
        <v>R001-1124-SS-2025</v>
      </c>
      <c r="E126" s="19">
        <f ca="1"/>
        <v>42</v>
      </c>
      <c r="F126" s="19" t="str">
        <f>IF(MIS_Backend_Data!O125="", "", MIS_Backend_Data!O125)</f>
        <v>Pending CS</v>
      </c>
      <c r="G126" t="str">
        <f>IF(MIS_Backend_Data!T125="", "", MIS_Backend_Data!T125)</f>
        <v>NA</v>
      </c>
      <c r="H126" t="str">
        <f>IF(MIS_Backend_Data!X125="", "", MIS_Backend_Data!X125)</f>
        <v>NA</v>
      </c>
      <c r="I126" t="str">
        <f>IF(MIS_Backend_Data!AC125="", "", MIS_Backend_Data!AC125)</f>
        <v>NA</v>
      </c>
      <c r="J126" t="str">
        <f>IF(MIS_Backend_Data!AB125="", "", MIS_Backend_Data!AB125)</f>
        <v>NA</v>
      </c>
      <c r="K126" t="str">
        <f>IF(MIS_Backend_Data!AG125="", "", MIS_Backend_Data!AG125)</f>
        <v>NA</v>
      </c>
      <c r="L126" s="20" t="str">
        <f>IF(MIS_Backend_Data!AI125="", "", MIS_Backend_Data!AI125)</f>
        <v>NA</v>
      </c>
      <c r="M126" t="str">
        <f>IF(MIS_Backend_Data!AK125="", "", MIS_Backend_Data!AK125)</f>
        <v>NA</v>
      </c>
      <c r="N126" t="str">
        <f>IF(MIS_Backend_Data!AM125="", "", MIS_Backend_Data!AM125)</f>
        <v>NA</v>
      </c>
      <c r="O126" t="str">
        <f>IF(MIS_Backend_Data!AO125="", "", MIS_Backend_Data!AO125)</f>
        <v>NA</v>
      </c>
      <c r="P126" t="str">
        <f>IF(MIS_Backend_Data!AS125="", "", MIS_Backend_Data!AS125)</f>
        <v>NA</v>
      </c>
      <c r="Q126" t="str">
        <f>IF(MIS_Backend_Data!AX125="", "", MIS_Backend_Data!AX125)</f>
        <v>WIP</v>
      </c>
      <c r="R126" t="str">
        <f>IF(MIS_Backend_Data!BB125="", "", MIS_Backend_Data!BB125)</f>
        <v>NA</v>
      </c>
      <c r="S126" t="str">
        <f>IF(MIS_Backend_Data!AW125="", "", MIS_Backend_Data!AW125)</f>
        <v>NA</v>
      </c>
      <c r="T126" s="42" t="str">
        <f>IF(MIS_Backend_Data!N125="Dispatch","Completed","NA")</f>
        <v>NA</v>
      </c>
      <c r="U126" t="str">
        <f t="shared" si="3"/>
        <v/>
      </c>
      <c r="V126" t="str">
        <f t="shared" si="4"/>
        <v/>
      </c>
      <c r="W126" s="20" t="str">
        <f t="shared" si="5"/>
        <v/>
      </c>
    </row>
    <row r="127" spans="2:23" ht="14.5">
      <c r="B127" s="205" t="str">
        <f ca="1"/>
        <v>2025212966</v>
      </c>
      <c r="C127" s="17" t="str">
        <f ca="1"/>
        <v>Indusind General Insurance Co Ltd</v>
      </c>
      <c r="D127" s="17" t="str">
        <f ca="1"/>
        <v>R001-1125-SS-2025</v>
      </c>
      <c r="E127" s="19">
        <f ca="1"/>
        <v>39</v>
      </c>
      <c r="F127" s="19" t="str">
        <f>IF(MIS_Backend_Data!O126="", "", MIS_Backend_Data!O126)</f>
        <v>Completed</v>
      </c>
      <c r="G127" t="str">
        <f>IF(MIS_Backend_Data!T126="", "", MIS_Backend_Data!T126)</f>
        <v>Completed</v>
      </c>
      <c r="H127" t="str">
        <f>IF(MIS_Backend_Data!X126="", "", MIS_Backend_Data!X126)</f>
        <v>NA</v>
      </c>
      <c r="I127" t="str">
        <f>IF(MIS_Backend_Data!AC126="", "", MIS_Backend_Data!AC126)</f>
        <v>Completed</v>
      </c>
      <c r="J127" t="str">
        <f>IF(MIS_Backend_Data!AB126="", "", MIS_Backend_Data!AB126)</f>
        <v>NA</v>
      </c>
      <c r="K127" t="str">
        <f>IF(MIS_Backend_Data!AG126="", "", MIS_Backend_Data!AG126)</f>
        <v>Completed</v>
      </c>
      <c r="L127" s="20" t="str">
        <f>IF(MIS_Backend_Data!AI126="", "", MIS_Backend_Data!AI126)</f>
        <v>NA</v>
      </c>
      <c r="M127" t="str">
        <f>IF(MIS_Backend_Data!AK126="", "", MIS_Backend_Data!AK126)</f>
        <v>NA</v>
      </c>
      <c r="N127" t="str">
        <f>IF(MIS_Backend_Data!AM126="", "", MIS_Backend_Data!AM126)</f>
        <v>NA</v>
      </c>
      <c r="O127" t="str">
        <f>IF(MIS_Backend_Data!AO126="", "", MIS_Backend_Data!AO126)</f>
        <v>NA</v>
      </c>
      <c r="P127" t="str">
        <f>IF(MIS_Backend_Data!AS126="", "", MIS_Backend_Data!AS126)</f>
        <v>Completed</v>
      </c>
      <c r="Q127" t="str">
        <f>IF(MIS_Backend_Data!AX126="", "", MIS_Backend_Data!AX126)</f>
        <v>Completed</v>
      </c>
      <c r="R127" t="str">
        <f>IF(MIS_Backend_Data!BB126="", "", MIS_Backend_Data!BB126)</f>
        <v>NA</v>
      </c>
      <c r="S127" t="str">
        <f>IF(MIS_Backend_Data!AW126="", "", MIS_Backend_Data!AW126)</f>
        <v>NA</v>
      </c>
      <c r="T127" s="42" t="str">
        <f>IF(MIS_Backend_Data!N126="Dispatch","Completed","NA")</f>
        <v>NA</v>
      </c>
      <c r="U127" t="str">
        <f t="shared" si="3"/>
        <v/>
      </c>
      <c r="V127" t="str">
        <f t="shared" si="4"/>
        <v/>
      </c>
      <c r="W127" s="20" t="str">
        <f t="shared" si="5"/>
        <v/>
      </c>
    </row>
    <row r="128" spans="2:23" ht="14.5">
      <c r="B128" s="205" t="str">
        <f ca="1"/>
        <v>2025212965</v>
      </c>
      <c r="C128" s="17" t="str">
        <f ca="1"/>
        <v>Indusind General Insurance Co Ltd</v>
      </c>
      <c r="D128" s="17" t="str">
        <f ca="1"/>
        <v>R001-1126-SS-2025</v>
      </c>
      <c r="E128" s="19">
        <f ca="1"/>
        <v>41</v>
      </c>
      <c r="F128" s="19" t="str">
        <f>IF(MIS_Backend_Data!O127="", "", MIS_Backend_Data!O127)</f>
        <v>WIP</v>
      </c>
      <c r="G128" t="str">
        <f>IF(MIS_Backend_Data!T127="", "", MIS_Backend_Data!T127)</f>
        <v>Completed</v>
      </c>
      <c r="H128" t="str">
        <f>IF(MIS_Backend_Data!X127="", "", MIS_Backend_Data!X127)</f>
        <v>NA</v>
      </c>
      <c r="I128" t="str">
        <f>IF(MIS_Backend_Data!AC127="", "", MIS_Backend_Data!AC127)</f>
        <v>Completed</v>
      </c>
      <c r="J128" t="str">
        <f>IF(MIS_Backend_Data!AB127="", "", MIS_Backend_Data!AB127)</f>
        <v>NA</v>
      </c>
      <c r="K128" t="str">
        <f>IF(MIS_Backend_Data!AG127="", "", MIS_Backend_Data!AG127)</f>
        <v>Completed</v>
      </c>
      <c r="L128" s="20" t="str">
        <f>IF(MIS_Backend_Data!AI127="", "", MIS_Backend_Data!AI127)</f>
        <v>NA</v>
      </c>
      <c r="M128" t="str">
        <f>IF(MIS_Backend_Data!AK127="", "", MIS_Backend_Data!AK127)</f>
        <v>NA</v>
      </c>
      <c r="N128" t="str">
        <f>IF(MIS_Backend_Data!AM127="", "", MIS_Backend_Data!AM127)</f>
        <v>NA</v>
      </c>
      <c r="O128" t="str">
        <f>IF(MIS_Backend_Data!AO127="", "", MIS_Backend_Data!AO127)</f>
        <v>NA</v>
      </c>
      <c r="P128" t="str">
        <f>IF(MIS_Backend_Data!AS127="", "", MIS_Backend_Data!AS127)</f>
        <v>Completed</v>
      </c>
      <c r="Q128" t="str">
        <f>IF(MIS_Backend_Data!AX127="", "", MIS_Backend_Data!AX127)</f>
        <v>WIP</v>
      </c>
      <c r="R128" t="str">
        <f>IF(MIS_Backend_Data!BB127="", "", MIS_Backend_Data!BB127)</f>
        <v>NA</v>
      </c>
      <c r="S128" t="str">
        <f>IF(MIS_Backend_Data!AW127="", "", MIS_Backend_Data!AW127)</f>
        <v>NA</v>
      </c>
      <c r="T128" s="42" t="str">
        <f>IF(MIS_Backend_Data!N127="Dispatch","Completed","NA")</f>
        <v>NA</v>
      </c>
      <c r="U128" t="str">
        <f t="shared" si="3"/>
        <v/>
      </c>
      <c r="V128">
        <f t="shared" si="4"/>
        <v>1</v>
      </c>
      <c r="W128" s="20" t="str">
        <f t="shared" si="5"/>
        <v/>
      </c>
    </row>
    <row r="129" spans="2:23" ht="14.5">
      <c r="B129" s="205" t="str">
        <f ca="1"/>
        <v>2025212927</v>
      </c>
      <c r="C129" s="17" t="str">
        <f ca="1"/>
        <v>Indusind General Insurance Co Ltd</v>
      </c>
      <c r="D129" s="17" t="str">
        <f ca="1"/>
        <v>R001-1127-SS-2025</v>
      </c>
      <c r="E129" s="19">
        <f ca="1"/>
        <v>36</v>
      </c>
      <c r="F129" s="19" t="str">
        <f>IF(MIS_Backend_Data!O128="", "", MIS_Backend_Data!O128)</f>
        <v>Completed</v>
      </c>
      <c r="G129" t="str">
        <f>IF(MIS_Backend_Data!T128="", "", MIS_Backend_Data!T128)</f>
        <v>Completed</v>
      </c>
      <c r="H129" t="str">
        <f>IF(MIS_Backend_Data!X128="", "", MIS_Backend_Data!X128)</f>
        <v>NA</v>
      </c>
      <c r="I129" t="str">
        <f>IF(MIS_Backend_Data!AC128="", "", MIS_Backend_Data!AC128)</f>
        <v>Completed</v>
      </c>
      <c r="J129" t="str">
        <f>IF(MIS_Backend_Data!AB128="", "", MIS_Backend_Data!AB128)</f>
        <v>NA</v>
      </c>
      <c r="K129" t="str">
        <f>IF(MIS_Backend_Data!AG128="", "", MIS_Backend_Data!AG128)</f>
        <v>NA</v>
      </c>
      <c r="L129" s="20" t="str">
        <f>IF(MIS_Backend_Data!AI128="", "", MIS_Backend_Data!AI128)</f>
        <v>NA</v>
      </c>
      <c r="M129" t="str">
        <f>IF(MIS_Backend_Data!AK128="", "", MIS_Backend_Data!AK128)</f>
        <v>NA</v>
      </c>
      <c r="N129" t="str">
        <f>IF(MIS_Backend_Data!AM128="", "", MIS_Backend_Data!AM128)</f>
        <v>NA</v>
      </c>
      <c r="O129" t="str">
        <f>IF(MIS_Backend_Data!AO128="", "", MIS_Backend_Data!AO128)</f>
        <v>NA</v>
      </c>
      <c r="P129" t="str">
        <f>IF(MIS_Backend_Data!AS128="", "", MIS_Backend_Data!AS128)</f>
        <v>Completed</v>
      </c>
      <c r="Q129" t="str">
        <f>IF(MIS_Backend_Data!AX128="", "", MIS_Backend_Data!AX128)</f>
        <v>Completed</v>
      </c>
      <c r="R129" t="str">
        <f>IF(MIS_Backend_Data!BB128="", "", MIS_Backend_Data!BB128)</f>
        <v>NA</v>
      </c>
      <c r="S129" t="str">
        <f>IF(MIS_Backend_Data!AW128="", "", MIS_Backend_Data!AW128)</f>
        <v>NA</v>
      </c>
      <c r="T129" s="42" t="str">
        <f>IF(MIS_Backend_Data!N128="Dispatch","Completed","NA")</f>
        <v>Completed</v>
      </c>
      <c r="U129" t="str">
        <f t="shared" si="3"/>
        <v/>
      </c>
      <c r="V129" t="str">
        <f t="shared" si="4"/>
        <v/>
      </c>
      <c r="W129" s="20" t="str">
        <f t="shared" si="5"/>
        <v/>
      </c>
    </row>
    <row r="130" spans="2:23" ht="14.5">
      <c r="B130" s="205" t="str">
        <f ca="1"/>
        <v>2025212925</v>
      </c>
      <c r="C130" s="17" t="str">
        <f ca="1"/>
        <v>Indusind General Insurance Co Ltd</v>
      </c>
      <c r="D130" s="17" t="str">
        <f ca="1"/>
        <v>R001-1128-SS-2025</v>
      </c>
      <c r="E130" s="19">
        <f ca="1"/>
        <v>41</v>
      </c>
      <c r="F130" s="19" t="str">
        <f>IF(MIS_Backend_Data!O129="", "", MIS_Backend_Data!O129)</f>
        <v>WIP</v>
      </c>
      <c r="G130" t="str">
        <f>IF(MIS_Backend_Data!T129="", "", MIS_Backend_Data!T129)</f>
        <v>Completed</v>
      </c>
      <c r="H130" t="str">
        <f>IF(MIS_Backend_Data!X129="", "", MIS_Backend_Data!X129)</f>
        <v>NA</v>
      </c>
      <c r="I130" t="str">
        <f>IF(MIS_Backend_Data!AC129="", "", MIS_Backend_Data!AC129)</f>
        <v>Completed</v>
      </c>
      <c r="J130" t="str">
        <f>IF(MIS_Backend_Data!AB129="", "", MIS_Backend_Data!AB129)</f>
        <v>NA</v>
      </c>
      <c r="K130" t="str">
        <f>IF(MIS_Backend_Data!AG129="", "", MIS_Backend_Data!AG129)</f>
        <v>Completed</v>
      </c>
      <c r="L130" s="20" t="str">
        <f>IF(MIS_Backend_Data!AI129="", "", MIS_Backend_Data!AI129)</f>
        <v>NA</v>
      </c>
      <c r="M130" t="str">
        <f>IF(MIS_Backend_Data!AK129="", "", MIS_Backend_Data!AK129)</f>
        <v>NA</v>
      </c>
      <c r="N130" t="str">
        <f>IF(MIS_Backend_Data!AM129="", "", MIS_Backend_Data!AM129)</f>
        <v>NA</v>
      </c>
      <c r="O130" t="str">
        <f>IF(MIS_Backend_Data!AO129="", "", MIS_Backend_Data!AO129)</f>
        <v>NA</v>
      </c>
      <c r="P130" t="str">
        <f>IF(MIS_Backend_Data!AS129="", "", MIS_Backend_Data!AS129)</f>
        <v>Completed</v>
      </c>
      <c r="Q130" t="str">
        <f>IF(MIS_Backend_Data!AX129="", "", MIS_Backend_Data!AX129)</f>
        <v>NI</v>
      </c>
      <c r="R130" t="str">
        <f>IF(MIS_Backend_Data!BB129="", "", MIS_Backend_Data!BB129)</f>
        <v>NA</v>
      </c>
      <c r="S130" t="str">
        <f>IF(MIS_Backend_Data!AW129="", "", MIS_Backend_Data!AW129)</f>
        <v>NA</v>
      </c>
      <c r="T130" s="42" t="str">
        <f>IF(MIS_Backend_Data!N129="Dispatch","Completed","NA")</f>
        <v>NA</v>
      </c>
      <c r="U130" t="str">
        <f t="shared" si="3"/>
        <v/>
      </c>
      <c r="V130" t="str">
        <f t="shared" si="4"/>
        <v/>
      </c>
      <c r="W130" s="20" t="str">
        <f t="shared" si="5"/>
        <v/>
      </c>
    </row>
    <row r="131" spans="2:23" ht="14.5">
      <c r="B131" s="205" t="str">
        <f ca="1"/>
        <v>2752072</v>
      </c>
      <c r="C131" s="17" t="str">
        <f ca="1"/>
        <v>SBI General Insurance Company Ltd</v>
      </c>
      <c r="D131" s="17" t="str">
        <f ca="1"/>
        <v>S002-1129-SS-2025</v>
      </c>
      <c r="E131" s="19">
        <f ca="1"/>
        <v>40</v>
      </c>
      <c r="F131" s="19" t="str">
        <f>IF(MIS_Backend_Data!O130="", "", MIS_Backend_Data!O130)</f>
        <v>WIP</v>
      </c>
      <c r="G131" t="str">
        <f>IF(MIS_Backend_Data!T130="", "", MIS_Backend_Data!T130)</f>
        <v>WIP</v>
      </c>
      <c r="H131" t="str">
        <f>IF(MIS_Backend_Data!X130="", "", MIS_Backend_Data!X130)</f>
        <v>NA</v>
      </c>
      <c r="I131" t="str">
        <f>IF(MIS_Backend_Data!AC130="", "", MIS_Backend_Data!AC130)</f>
        <v>WIP</v>
      </c>
      <c r="J131" t="str">
        <f>IF(MIS_Backend_Data!AB130="", "", MIS_Backend_Data!AB130)</f>
        <v>NA</v>
      </c>
      <c r="K131" t="str">
        <f>IF(MIS_Backend_Data!AG130="", "", MIS_Backend_Data!AG130)</f>
        <v>WIP</v>
      </c>
      <c r="L131" s="20" t="str">
        <f>IF(MIS_Backend_Data!AI130="", "", MIS_Backend_Data!AI130)</f>
        <v>NA</v>
      </c>
      <c r="M131" t="str">
        <f>IF(MIS_Backend_Data!AK130="", "", MIS_Backend_Data!AK130)</f>
        <v>NA</v>
      </c>
      <c r="N131" t="str">
        <f>IF(MIS_Backend_Data!AM130="", "", MIS_Backend_Data!AM130)</f>
        <v>NA</v>
      </c>
      <c r="O131" t="str">
        <f>IF(MIS_Backend_Data!AO130="", "", MIS_Backend_Data!AO130)</f>
        <v>NA</v>
      </c>
      <c r="P131" t="str">
        <f>IF(MIS_Backend_Data!AS130="", "", MIS_Backend_Data!AS130)</f>
        <v>WIP</v>
      </c>
      <c r="Q131" t="str">
        <f>IF(MIS_Backend_Data!AX130="", "", MIS_Backend_Data!AX130)</f>
        <v>WIP</v>
      </c>
      <c r="R131" t="str">
        <f>IF(MIS_Backend_Data!BB130="", "", MIS_Backend_Data!BB130)</f>
        <v>NA</v>
      </c>
      <c r="S131" t="str">
        <f>IF(MIS_Backend_Data!AW130="", "", MIS_Backend_Data!AW130)</f>
        <v>NA</v>
      </c>
      <c r="T131" s="42" t="str">
        <f>IF(MIS_Backend_Data!N130="Dispatch","Completed","NA")</f>
        <v>NA</v>
      </c>
      <c r="U131" t="str">
        <f t="shared" si="3"/>
        <v/>
      </c>
      <c r="V131" t="str">
        <f t="shared" si="4"/>
        <v/>
      </c>
      <c r="W131" s="20" t="str">
        <f t="shared" si="5"/>
        <v/>
      </c>
    </row>
    <row r="132" spans="2:23" ht="14.5">
      <c r="B132" s="205" t="str">
        <f ca="1"/>
        <v>2312792</v>
      </c>
      <c r="C132" s="17" t="str">
        <f ca="1"/>
        <v>SBI General Insurance Company Ltd</v>
      </c>
      <c r="D132" s="17" t="str">
        <f ca="1"/>
        <v>S002-1130-SS-2025</v>
      </c>
      <c r="E132" s="19">
        <f ca="1"/>
        <v>20</v>
      </c>
      <c r="F132" s="19" t="str">
        <f>IF(MIS_Backend_Data!O131="", "", MIS_Backend_Data!O131)</f>
        <v>Completed</v>
      </c>
      <c r="G132" t="str">
        <f>IF(MIS_Backend_Data!T131="", "", MIS_Backend_Data!T131)</f>
        <v>NA</v>
      </c>
      <c r="H132" t="str">
        <f>IF(MIS_Backend_Data!X131="", "", MIS_Backend_Data!X131)</f>
        <v>NA</v>
      </c>
      <c r="I132" t="str">
        <f>IF(MIS_Backend_Data!AC131="", "", MIS_Backend_Data!AC131)</f>
        <v>NA</v>
      </c>
      <c r="J132" t="str">
        <f>IF(MIS_Backend_Data!AB131="", "", MIS_Backend_Data!AB131)</f>
        <v>NA</v>
      </c>
      <c r="K132" t="str">
        <f>IF(MIS_Backend_Data!AG131="", "", MIS_Backend_Data!AG131)</f>
        <v>NA</v>
      </c>
      <c r="L132" s="20" t="str">
        <f>IF(MIS_Backend_Data!AI131="", "", MIS_Backend_Data!AI131)</f>
        <v>NA</v>
      </c>
      <c r="M132" t="str">
        <f>IF(MIS_Backend_Data!AK131="", "", MIS_Backend_Data!AK131)</f>
        <v>NA</v>
      </c>
      <c r="N132" t="str">
        <f>IF(MIS_Backend_Data!AM131="", "", MIS_Backend_Data!AM131)</f>
        <v>NA</v>
      </c>
      <c r="O132" t="str">
        <f>IF(MIS_Backend_Data!AO131="", "", MIS_Backend_Data!AO131)</f>
        <v>NA</v>
      </c>
      <c r="P132" t="str">
        <f>IF(MIS_Backend_Data!AS131="", "", MIS_Backend_Data!AS131)</f>
        <v>NA</v>
      </c>
      <c r="Q132" t="str">
        <f>IF(MIS_Backend_Data!AX131="", "", MIS_Backend_Data!AX131)</f>
        <v>NA</v>
      </c>
      <c r="R132" t="str">
        <f>IF(MIS_Backend_Data!BB131="", "", MIS_Backend_Data!BB131)</f>
        <v>Completed</v>
      </c>
      <c r="S132" t="str">
        <f>IF(MIS_Backend_Data!AW131="", "", MIS_Backend_Data!AW131)</f>
        <v>NA</v>
      </c>
      <c r="T132" s="42" t="str">
        <f>IF(MIS_Backend_Data!N131="Dispatch","Completed","NA")</f>
        <v>Completed</v>
      </c>
      <c r="U132" t="str">
        <f t="shared" ref="U132:U195" si="6">IF(F132="WIP", IF(COUNTIF(G132:R132, "WIP")=2, 2, ""), "")</f>
        <v/>
      </c>
      <c r="V132" t="str">
        <f t="shared" ref="V132:V195" si="7">IF(F132="WIP", IF(COUNTIF(G132:R132, "WIP")=1, 1, ""), "")</f>
        <v/>
      </c>
      <c r="W132" s="20" t="str">
        <f t="shared" ref="W132:W195" si="8">IF(OR(F132="WIP",F132="Pending for CS"),
    IF(COUNTIFS(G132:R132,"&lt;&gt;Completed",G132:R132,"&lt;&gt;NA")=0,"GTG",""),
"")</f>
        <v/>
      </c>
    </row>
    <row r="133" spans="2:23" ht="14.5">
      <c r="B133" s="205" t="str">
        <f ca="1"/>
        <v>MTP-N-2526-004746</v>
      </c>
      <c r="C133" s="17" t="str">
        <f ca="1"/>
        <v>Generali Central Insurance Company Limited</v>
      </c>
      <c r="D133" s="17" t="str">
        <f ca="1"/>
        <v>F001-1131-SS-2025</v>
      </c>
      <c r="E133" s="19">
        <f ca="1"/>
        <v>40</v>
      </c>
      <c r="F133" s="19" t="str">
        <f>IF(MIS_Backend_Data!O132="", "", MIS_Backend_Data!O132)</f>
        <v>WIP</v>
      </c>
      <c r="G133" t="str">
        <f>IF(MIS_Backend_Data!T132="", "", MIS_Backend_Data!T132)</f>
        <v>Completed</v>
      </c>
      <c r="H133" t="str">
        <f>IF(MIS_Backend_Data!X132="", "", MIS_Backend_Data!X132)</f>
        <v>NA</v>
      </c>
      <c r="I133" t="str">
        <f>IF(MIS_Backend_Data!AC132="", "", MIS_Backend_Data!AC132)</f>
        <v>Completed</v>
      </c>
      <c r="J133" t="str">
        <f>IF(MIS_Backend_Data!AB132="", "", MIS_Backend_Data!AB132)</f>
        <v>NA</v>
      </c>
      <c r="K133" t="str">
        <f>IF(MIS_Backend_Data!AG132="", "", MIS_Backend_Data!AG132)</f>
        <v>Completed</v>
      </c>
      <c r="L133" s="20" t="str">
        <f>IF(MIS_Backend_Data!AI132="", "", MIS_Backend_Data!AI132)</f>
        <v>NA</v>
      </c>
      <c r="M133" t="str">
        <f>IF(MIS_Backend_Data!AK132="", "", MIS_Backend_Data!AK132)</f>
        <v>NA</v>
      </c>
      <c r="N133" t="str">
        <f>IF(MIS_Backend_Data!AM132="", "", MIS_Backend_Data!AM132)</f>
        <v>NA</v>
      </c>
      <c r="O133" t="str">
        <f>IF(MIS_Backend_Data!AO132="", "", MIS_Backend_Data!AO132)</f>
        <v>NA</v>
      </c>
      <c r="P133" t="str">
        <f>IF(MIS_Backend_Data!AS132="", "", MIS_Backend_Data!AS132)</f>
        <v>Completed</v>
      </c>
      <c r="Q133" t="str">
        <f>IF(MIS_Backend_Data!AX132="", "", MIS_Backend_Data!AX132)</f>
        <v>NI</v>
      </c>
      <c r="R133" t="str">
        <f>IF(MIS_Backend_Data!BB132="", "", MIS_Backend_Data!BB132)</f>
        <v>NA</v>
      </c>
      <c r="S133" t="str">
        <f>IF(MIS_Backend_Data!AW132="", "", MIS_Backend_Data!AW132)</f>
        <v>NA</v>
      </c>
      <c r="T133" s="42" t="str">
        <f>IF(MIS_Backend_Data!N132="Dispatch","Completed","NA")</f>
        <v>NA</v>
      </c>
      <c r="U133" t="str">
        <f t="shared" si="6"/>
        <v/>
      </c>
      <c r="V133" t="str">
        <f t="shared" si="7"/>
        <v/>
      </c>
      <c r="W133" s="20" t="str">
        <f t="shared" si="8"/>
        <v/>
      </c>
    </row>
    <row r="134" spans="2:23" ht="14.5">
      <c r="B134" s="205" t="str">
        <f ca="1"/>
        <v>CM570910</v>
      </c>
      <c r="C134" s="17" t="str">
        <f ca="1"/>
        <v>Generali Central Insurance Company Limited</v>
      </c>
      <c r="D134" s="17" t="str">
        <f ca="1"/>
        <v>F001-1132-SS-2025</v>
      </c>
      <c r="E134" s="19">
        <f ca="1"/>
        <v>40</v>
      </c>
      <c r="F134" s="19" t="str">
        <f>IF(MIS_Backend_Data!O133="", "", MIS_Backend_Data!O133)</f>
        <v>Pending CS</v>
      </c>
      <c r="G134" t="str">
        <f>IF(MIS_Backend_Data!T133="", "", MIS_Backend_Data!T133)</f>
        <v>NA</v>
      </c>
      <c r="H134" t="str">
        <f>IF(MIS_Backend_Data!X133="", "", MIS_Backend_Data!X133)</f>
        <v>NA</v>
      </c>
      <c r="I134" t="str">
        <f>IF(MIS_Backend_Data!AC133="", "", MIS_Backend_Data!AC133)</f>
        <v>NA</v>
      </c>
      <c r="J134" t="str">
        <f>IF(MIS_Backend_Data!AB133="", "", MIS_Backend_Data!AB133)</f>
        <v>NA</v>
      </c>
      <c r="K134" t="str">
        <f>IF(MIS_Backend_Data!AG133="", "", MIS_Backend_Data!AG133)</f>
        <v>NA</v>
      </c>
      <c r="L134" s="20" t="str">
        <f>IF(MIS_Backend_Data!AI133="", "", MIS_Backend_Data!AI133)</f>
        <v>NA</v>
      </c>
      <c r="M134" t="str">
        <f>IF(MIS_Backend_Data!AK133="", "", MIS_Backend_Data!AK133)</f>
        <v>NA</v>
      </c>
      <c r="N134" t="str">
        <f>IF(MIS_Backend_Data!AM133="", "", MIS_Backend_Data!AM133)</f>
        <v>NA</v>
      </c>
      <c r="O134" t="str">
        <f>IF(MIS_Backend_Data!AO133="", "", MIS_Backend_Data!AO133)</f>
        <v>NA</v>
      </c>
      <c r="P134" t="str">
        <f>IF(MIS_Backend_Data!AS133="", "", MIS_Backend_Data!AS133)</f>
        <v>NA</v>
      </c>
      <c r="Q134" t="str">
        <f>IF(MIS_Backend_Data!AX133="", "", MIS_Backend_Data!AX133)</f>
        <v>WIP</v>
      </c>
      <c r="R134" t="str">
        <f>IF(MIS_Backend_Data!BB133="", "", MIS_Backend_Data!BB133)</f>
        <v>NA</v>
      </c>
      <c r="S134" t="str">
        <f>IF(MIS_Backend_Data!AW133="", "", MIS_Backend_Data!AW133)</f>
        <v>NA</v>
      </c>
      <c r="T134" s="42" t="str">
        <f>IF(MIS_Backend_Data!N133="Dispatch","Completed","NA")</f>
        <v>NA</v>
      </c>
      <c r="U134" t="str">
        <f t="shared" si="6"/>
        <v/>
      </c>
      <c r="V134" t="str">
        <f t="shared" si="7"/>
        <v/>
      </c>
      <c r="W134" s="20" t="str">
        <f t="shared" si="8"/>
        <v/>
      </c>
    </row>
    <row r="135" spans="2:23" ht="14.5">
      <c r="B135" s="205" t="str">
        <f ca="1"/>
        <v>2023209914</v>
      </c>
      <c r="C135" s="17" t="str">
        <f ca="1"/>
        <v>Indusind General Insurance Co Ltd</v>
      </c>
      <c r="D135" s="17" t="str">
        <f ca="1"/>
        <v>R001-1133-SS-2025</v>
      </c>
      <c r="E135" s="19">
        <f ca="1"/>
        <v>38</v>
      </c>
      <c r="F135" s="19" t="str">
        <f>IF(MIS_Backend_Data!O134="", "", MIS_Backend_Data!O134)</f>
        <v>Pending CS</v>
      </c>
      <c r="G135" t="str">
        <f>IF(MIS_Backend_Data!T134="", "", MIS_Backend_Data!T134)</f>
        <v>NA</v>
      </c>
      <c r="H135" t="str">
        <f>IF(MIS_Backend_Data!X134="", "", MIS_Backend_Data!X134)</f>
        <v>NA</v>
      </c>
      <c r="I135" t="str">
        <f>IF(MIS_Backend_Data!AC134="", "", MIS_Backend_Data!AC134)</f>
        <v>NA</v>
      </c>
      <c r="J135" t="str">
        <f>IF(MIS_Backend_Data!AB134="", "", MIS_Backend_Data!AB134)</f>
        <v>NA</v>
      </c>
      <c r="K135" t="str">
        <f>IF(MIS_Backend_Data!AG134="", "", MIS_Backend_Data!AG134)</f>
        <v>NA</v>
      </c>
      <c r="L135" s="20" t="str">
        <f>IF(MIS_Backend_Data!AI134="", "", MIS_Backend_Data!AI134)</f>
        <v>NA</v>
      </c>
      <c r="M135" t="str">
        <f>IF(MIS_Backend_Data!AK134="", "", MIS_Backend_Data!AK134)</f>
        <v>NA</v>
      </c>
      <c r="N135" t="str">
        <f>IF(MIS_Backend_Data!AM134="", "", MIS_Backend_Data!AM134)</f>
        <v>NA</v>
      </c>
      <c r="O135" t="str">
        <f>IF(MIS_Backend_Data!AO134="", "", MIS_Backend_Data!AO134)</f>
        <v>NA</v>
      </c>
      <c r="P135" t="str">
        <f>IF(MIS_Backend_Data!AS134="", "", MIS_Backend_Data!AS134)</f>
        <v>NA</v>
      </c>
      <c r="Q135" t="str">
        <f>IF(MIS_Backend_Data!AX134="", "", MIS_Backend_Data!AX134)</f>
        <v>WIP</v>
      </c>
      <c r="R135" t="str">
        <f>IF(MIS_Backend_Data!BB134="", "", MIS_Backend_Data!BB134)</f>
        <v>NA</v>
      </c>
      <c r="S135" t="str">
        <f>IF(MIS_Backend_Data!AW134="", "", MIS_Backend_Data!AW134)</f>
        <v>NA</v>
      </c>
      <c r="T135" s="42" t="str">
        <f>IF(MIS_Backend_Data!N134="Dispatch","Completed","NA")</f>
        <v>NA</v>
      </c>
      <c r="U135" t="str">
        <f t="shared" si="6"/>
        <v/>
      </c>
      <c r="V135" t="str">
        <f t="shared" si="7"/>
        <v/>
      </c>
      <c r="W135" s="20" t="str">
        <f t="shared" si="8"/>
        <v/>
      </c>
    </row>
    <row r="136" spans="2:23" ht="14.5">
      <c r="B136" s="205" t="str">
        <f ca="1"/>
        <v>2025200081</v>
      </c>
      <c r="C136" s="17" t="str">
        <f ca="1"/>
        <v>Indusind General Insurance Co Ltd</v>
      </c>
      <c r="D136" s="17" t="str">
        <f ca="1"/>
        <v>R001-1134-SS-2025</v>
      </c>
      <c r="E136" s="19">
        <f ca="1"/>
        <v>38</v>
      </c>
      <c r="F136" s="19" t="str">
        <f>IF(MIS_Backend_Data!O135="", "", MIS_Backend_Data!O135)</f>
        <v>Pending CS</v>
      </c>
      <c r="G136" t="str">
        <f>IF(MIS_Backend_Data!T135="", "", MIS_Backend_Data!T135)</f>
        <v>NA</v>
      </c>
      <c r="H136" t="str">
        <f>IF(MIS_Backend_Data!X135="", "", MIS_Backend_Data!X135)</f>
        <v>NA</v>
      </c>
      <c r="I136" t="str">
        <f>IF(MIS_Backend_Data!AC135="", "", MIS_Backend_Data!AC135)</f>
        <v>NA</v>
      </c>
      <c r="J136" t="str">
        <f>IF(MIS_Backend_Data!AB135="", "", MIS_Backend_Data!AB135)</f>
        <v>NA</v>
      </c>
      <c r="K136" t="str">
        <f>IF(MIS_Backend_Data!AG135="", "", MIS_Backend_Data!AG135)</f>
        <v>NA</v>
      </c>
      <c r="L136" s="20" t="str">
        <f>IF(MIS_Backend_Data!AI135="", "", MIS_Backend_Data!AI135)</f>
        <v>NA</v>
      </c>
      <c r="M136" t="str">
        <f>IF(MIS_Backend_Data!AK135="", "", MIS_Backend_Data!AK135)</f>
        <v>NA</v>
      </c>
      <c r="N136" t="str">
        <f>IF(MIS_Backend_Data!AM135="", "", MIS_Backend_Data!AM135)</f>
        <v>NA</v>
      </c>
      <c r="O136" t="str">
        <f>IF(MIS_Backend_Data!AO135="", "", MIS_Backend_Data!AO135)</f>
        <v>NA</v>
      </c>
      <c r="P136" t="str">
        <f>IF(MIS_Backend_Data!AS135="", "", MIS_Backend_Data!AS135)</f>
        <v>NA</v>
      </c>
      <c r="Q136" t="str">
        <f>IF(MIS_Backend_Data!AX135="", "", MIS_Backend_Data!AX135)</f>
        <v>WIP</v>
      </c>
      <c r="R136" t="str">
        <f>IF(MIS_Backend_Data!BB135="", "", MIS_Backend_Data!BB135)</f>
        <v>NA</v>
      </c>
      <c r="S136" t="str">
        <f>IF(MIS_Backend_Data!AW135="", "", MIS_Backend_Data!AW135)</f>
        <v>NA</v>
      </c>
      <c r="T136" s="42" t="str">
        <f>IF(MIS_Backend_Data!N135="Dispatch","Completed","NA")</f>
        <v>NA</v>
      </c>
      <c r="U136" t="str">
        <f t="shared" si="6"/>
        <v/>
      </c>
      <c r="V136" t="str">
        <f t="shared" si="7"/>
        <v/>
      </c>
      <c r="W136" s="20" t="str">
        <f t="shared" si="8"/>
        <v/>
      </c>
    </row>
    <row r="137" spans="2:23" ht="14.5">
      <c r="B137" s="205" t="str">
        <f ca="1"/>
        <v>2024200689</v>
      </c>
      <c r="C137" s="17" t="str">
        <f ca="1"/>
        <v>Indusind General Insurance Co Ltd</v>
      </c>
      <c r="D137" s="17" t="str">
        <f ca="1"/>
        <v>R001-1135-SS-2025</v>
      </c>
      <c r="E137" s="19">
        <f ca="1"/>
        <v>38</v>
      </c>
      <c r="F137" s="19" t="str">
        <f>IF(MIS_Backend_Data!O136="", "", MIS_Backend_Data!O136)</f>
        <v>WIP</v>
      </c>
      <c r="G137" t="str">
        <f>IF(MIS_Backend_Data!T136="", "", MIS_Backend_Data!T136)</f>
        <v>NA</v>
      </c>
      <c r="H137" t="str">
        <f>IF(MIS_Backend_Data!X136="", "", MIS_Backend_Data!X136)</f>
        <v>NA</v>
      </c>
      <c r="I137" t="str">
        <f>IF(MIS_Backend_Data!AC136="", "", MIS_Backend_Data!AC136)</f>
        <v>NA</v>
      </c>
      <c r="J137" t="str">
        <f>IF(MIS_Backend_Data!AB136="", "", MIS_Backend_Data!AB136)</f>
        <v>NA</v>
      </c>
      <c r="K137" t="str">
        <f>IF(MIS_Backend_Data!AG136="", "", MIS_Backend_Data!AG136)</f>
        <v>NA</v>
      </c>
      <c r="L137" s="20" t="str">
        <f>IF(MIS_Backend_Data!AI136="", "", MIS_Backend_Data!AI136)</f>
        <v>NA</v>
      </c>
      <c r="M137" t="str">
        <f>IF(MIS_Backend_Data!AK136="", "", MIS_Backend_Data!AK136)</f>
        <v>NA</v>
      </c>
      <c r="N137" t="str">
        <f>IF(MIS_Backend_Data!AM136="", "", MIS_Backend_Data!AM136)</f>
        <v>NA</v>
      </c>
      <c r="O137" t="str">
        <f>IF(MIS_Backend_Data!AO136="", "", MIS_Backend_Data!AO136)</f>
        <v>NA</v>
      </c>
      <c r="P137" t="str">
        <f>IF(MIS_Backend_Data!AS136="", "", MIS_Backend_Data!AS136)</f>
        <v>NA</v>
      </c>
      <c r="Q137" t="str">
        <f>IF(MIS_Backend_Data!AX136="", "", MIS_Backend_Data!AX136)</f>
        <v>WIP</v>
      </c>
      <c r="R137" t="str">
        <f>IF(MIS_Backend_Data!BB136="", "", MIS_Backend_Data!BB136)</f>
        <v>WIP</v>
      </c>
      <c r="S137" t="str">
        <f>IF(MIS_Backend_Data!AW136="", "", MIS_Backend_Data!AW136)</f>
        <v>NA</v>
      </c>
      <c r="T137" s="42" t="str">
        <f>IF(MIS_Backend_Data!N136="Dispatch","Completed","NA")</f>
        <v>NA</v>
      </c>
      <c r="U137">
        <f t="shared" si="6"/>
        <v>2</v>
      </c>
      <c r="V137" t="str">
        <f t="shared" si="7"/>
        <v/>
      </c>
      <c r="W137" s="20" t="str">
        <f t="shared" si="8"/>
        <v/>
      </c>
    </row>
    <row r="138" spans="2:23" ht="14.5">
      <c r="B138" s="205" t="str">
        <f ca="1"/>
        <v>2024216011</v>
      </c>
      <c r="C138" s="17" t="str">
        <f ca="1"/>
        <v>Indusind General Insurance Co Ltd</v>
      </c>
      <c r="D138" s="17" t="str">
        <f ca="1"/>
        <v>R001-1136-SS-2025</v>
      </c>
      <c r="E138" s="19">
        <f ca="1"/>
        <v>38</v>
      </c>
      <c r="F138" s="19" t="str">
        <f>IF(MIS_Backend_Data!O137="", "", MIS_Backend_Data!O137)</f>
        <v>WIP</v>
      </c>
      <c r="G138" t="str">
        <f>IF(MIS_Backend_Data!T137="", "", MIS_Backend_Data!T137)</f>
        <v>WIP</v>
      </c>
      <c r="H138" t="str">
        <f>IF(MIS_Backend_Data!X137="", "", MIS_Backend_Data!X137)</f>
        <v>NA</v>
      </c>
      <c r="I138" t="str">
        <f>IF(MIS_Backend_Data!AC137="", "", MIS_Backend_Data!AC137)</f>
        <v>WIP</v>
      </c>
      <c r="J138" t="str">
        <f>IF(MIS_Backend_Data!AB137="", "", MIS_Backend_Data!AB137)</f>
        <v>NA</v>
      </c>
      <c r="K138" t="str">
        <f>IF(MIS_Backend_Data!AG137="", "", MIS_Backend_Data!AG137)</f>
        <v>WIP</v>
      </c>
      <c r="L138" s="20" t="str">
        <f>IF(MIS_Backend_Data!AI137="", "", MIS_Backend_Data!AI137)</f>
        <v>NA</v>
      </c>
      <c r="M138" t="str">
        <f>IF(MIS_Backend_Data!AK137="", "", MIS_Backend_Data!AK137)</f>
        <v>NA</v>
      </c>
      <c r="N138" t="str">
        <f>IF(MIS_Backend_Data!AM137="", "", MIS_Backend_Data!AM137)</f>
        <v>NA</v>
      </c>
      <c r="O138" t="str">
        <f>IF(MIS_Backend_Data!AO137="", "", MIS_Backend_Data!AO137)</f>
        <v>NA</v>
      </c>
      <c r="P138" t="str">
        <f>IF(MIS_Backend_Data!AS137="", "", MIS_Backend_Data!AS137)</f>
        <v>WIP</v>
      </c>
      <c r="Q138" t="str">
        <f>IF(MIS_Backend_Data!AX137="", "", MIS_Backend_Data!AX137)</f>
        <v>WIP</v>
      </c>
      <c r="R138" t="str">
        <f>IF(MIS_Backend_Data!BB137="", "", MIS_Backend_Data!BB137)</f>
        <v>NA</v>
      </c>
      <c r="S138" t="str">
        <f>IF(MIS_Backend_Data!AW137="", "", MIS_Backend_Data!AW137)</f>
        <v>NA</v>
      </c>
      <c r="T138" s="42" t="str">
        <f>IF(MIS_Backend_Data!N137="Dispatch","Completed","NA")</f>
        <v>NA</v>
      </c>
      <c r="U138" t="str">
        <f t="shared" si="6"/>
        <v/>
      </c>
      <c r="V138" t="str">
        <f t="shared" si="7"/>
        <v/>
      </c>
      <c r="W138" s="20" t="str">
        <f t="shared" si="8"/>
        <v/>
      </c>
    </row>
    <row r="139" spans="2:23" ht="14.5">
      <c r="B139" s="205" t="str">
        <f ca="1"/>
        <v>2025202308</v>
      </c>
      <c r="C139" s="17" t="str">
        <f ca="1"/>
        <v>Indusind General Insurance Co Ltd</v>
      </c>
      <c r="D139" s="17" t="str">
        <f ca="1"/>
        <v>R001-1137-SS-2025</v>
      </c>
      <c r="E139" s="19">
        <f ca="1"/>
        <v>38</v>
      </c>
      <c r="F139" s="19" t="str">
        <f>IF(MIS_Backend_Data!O138="", "", MIS_Backend_Data!O138)</f>
        <v>Withdraw</v>
      </c>
      <c r="G139" t="str">
        <f>IF(MIS_Backend_Data!T138="", "", MIS_Backend_Data!T138)</f>
        <v>NA</v>
      </c>
      <c r="H139" t="str">
        <f>IF(MIS_Backend_Data!X138="", "", MIS_Backend_Data!X138)</f>
        <v>NA</v>
      </c>
      <c r="I139" t="str">
        <f>IF(MIS_Backend_Data!AC138="", "", MIS_Backend_Data!AC138)</f>
        <v>NA</v>
      </c>
      <c r="J139" t="str">
        <f>IF(MIS_Backend_Data!AB138="", "", MIS_Backend_Data!AB138)</f>
        <v>NA</v>
      </c>
      <c r="K139" t="str">
        <f>IF(MIS_Backend_Data!AG138="", "", MIS_Backend_Data!AG138)</f>
        <v>NA</v>
      </c>
      <c r="L139" s="20" t="str">
        <f>IF(MIS_Backend_Data!AI138="", "", MIS_Backend_Data!AI138)</f>
        <v>NA</v>
      </c>
      <c r="M139" t="str">
        <f>IF(MIS_Backend_Data!AK138="", "", MIS_Backend_Data!AK138)</f>
        <v>NA</v>
      </c>
      <c r="N139" t="str">
        <f>IF(MIS_Backend_Data!AM138="", "", MIS_Backend_Data!AM138)</f>
        <v>NA</v>
      </c>
      <c r="O139" t="str">
        <f>IF(MIS_Backend_Data!AO138="", "", MIS_Backend_Data!AO138)</f>
        <v>NA</v>
      </c>
      <c r="P139" t="str">
        <f>IF(MIS_Backend_Data!AS138="", "", MIS_Backend_Data!AS138)</f>
        <v>NA</v>
      </c>
      <c r="Q139" t="str">
        <f>IF(MIS_Backend_Data!AX138="", "", MIS_Backend_Data!AX138)</f>
        <v>NA</v>
      </c>
      <c r="R139" t="str">
        <f>IF(MIS_Backend_Data!BB138="", "", MIS_Backend_Data!BB138)</f>
        <v>NA</v>
      </c>
      <c r="S139" t="str">
        <f>IF(MIS_Backend_Data!AW138="", "", MIS_Backend_Data!AW138)</f>
        <v>NA</v>
      </c>
      <c r="T139" s="42" t="str">
        <f>IF(MIS_Backend_Data!N138="Dispatch","Completed","NA")</f>
        <v>NA</v>
      </c>
      <c r="U139" t="str">
        <f t="shared" si="6"/>
        <v/>
      </c>
      <c r="V139" t="str">
        <f t="shared" si="7"/>
        <v/>
      </c>
      <c r="W139" s="20" t="str">
        <f t="shared" si="8"/>
        <v/>
      </c>
    </row>
    <row r="140" spans="2:23" ht="14.5">
      <c r="B140" s="205" t="str">
        <f ca="1"/>
        <v>2585893</v>
      </c>
      <c r="C140" s="17" t="str">
        <f ca="1"/>
        <v>SBI General Insurance Company Ltd</v>
      </c>
      <c r="D140" s="17" t="str">
        <f ca="1"/>
        <v>S002-1138-SS-2025</v>
      </c>
      <c r="E140" s="19">
        <f ca="1"/>
        <v>38</v>
      </c>
      <c r="F140" s="19" t="str">
        <f>IF(MIS_Backend_Data!O139="", "", MIS_Backend_Data!O139)</f>
        <v>Withdraw</v>
      </c>
      <c r="G140" t="str">
        <f>IF(MIS_Backend_Data!T139="", "", MIS_Backend_Data!T139)</f>
        <v>NA</v>
      </c>
      <c r="H140" t="str">
        <f>IF(MIS_Backend_Data!X139="", "", MIS_Backend_Data!X139)</f>
        <v>NA</v>
      </c>
      <c r="I140" t="str">
        <f>IF(MIS_Backend_Data!AC139="", "", MIS_Backend_Data!AC139)</f>
        <v>Completed</v>
      </c>
      <c r="J140" t="str">
        <f>IF(MIS_Backend_Data!AB139="", "", MIS_Backend_Data!AB139)</f>
        <v>NA</v>
      </c>
      <c r="K140" t="str">
        <f>IF(MIS_Backend_Data!AG139="", "", MIS_Backend_Data!AG139)</f>
        <v>Completed</v>
      </c>
      <c r="L140" s="20" t="str">
        <f>IF(MIS_Backend_Data!AI139="", "", MIS_Backend_Data!AI139)</f>
        <v>NA</v>
      </c>
      <c r="M140" t="str">
        <f>IF(MIS_Backend_Data!AK139="", "", MIS_Backend_Data!AK139)</f>
        <v>NA</v>
      </c>
      <c r="N140" t="str">
        <f>IF(MIS_Backend_Data!AM139="", "", MIS_Backend_Data!AM139)</f>
        <v xml:space="preserve">NA </v>
      </c>
      <c r="O140" t="str">
        <f>IF(MIS_Backend_Data!AO139="", "", MIS_Backend_Data!AO139)</f>
        <v>NA</v>
      </c>
      <c r="P140" t="str">
        <f>IF(MIS_Backend_Data!AS139="", "", MIS_Backend_Data!AS139)</f>
        <v>NA</v>
      </c>
      <c r="Q140" t="str">
        <f>IF(MIS_Backend_Data!AX139="", "", MIS_Backend_Data!AX139)</f>
        <v>NA</v>
      </c>
      <c r="R140" t="str">
        <f>IF(MIS_Backend_Data!BB139="", "", MIS_Backend_Data!BB139)</f>
        <v xml:space="preserve">NA </v>
      </c>
      <c r="S140" t="str">
        <f>IF(MIS_Backend_Data!AW139="", "", MIS_Backend_Data!AW139)</f>
        <v>NA</v>
      </c>
      <c r="T140" s="42" t="str">
        <f>IF(MIS_Backend_Data!N139="Dispatch","Completed","NA")</f>
        <v>NA</v>
      </c>
      <c r="U140" t="str">
        <f t="shared" si="6"/>
        <v/>
      </c>
      <c r="V140" t="str">
        <f t="shared" si="7"/>
        <v/>
      </c>
      <c r="W140" s="20" t="str">
        <f t="shared" si="8"/>
        <v/>
      </c>
    </row>
    <row r="141" spans="2:23" ht="14.5">
      <c r="B141" s="205" t="str">
        <f ca="1"/>
        <v>2025213092</v>
      </c>
      <c r="C141" s="17" t="str">
        <f ca="1"/>
        <v>Indusind General Insurance Co Ltd</v>
      </c>
      <c r="D141" s="17" t="str">
        <f ca="1"/>
        <v>R001-1139-SS-2025</v>
      </c>
      <c r="E141" s="19">
        <f ca="1"/>
        <v>37</v>
      </c>
      <c r="F141" s="19" t="str">
        <f>IF(MIS_Backend_Data!O140="", "", MIS_Backend_Data!O140)</f>
        <v>WIP</v>
      </c>
      <c r="G141" t="str">
        <f>IF(MIS_Backend_Data!T140="", "", MIS_Backend_Data!T140)</f>
        <v xml:space="preserve">NA </v>
      </c>
      <c r="H141" t="str">
        <f>IF(MIS_Backend_Data!X140="", "", MIS_Backend_Data!X140)</f>
        <v>NA</v>
      </c>
      <c r="I141" t="str">
        <f>IF(MIS_Backend_Data!AC140="", "", MIS_Backend_Data!AC140)</f>
        <v>WIP</v>
      </c>
      <c r="J141" t="str">
        <f>IF(MIS_Backend_Data!AB140="", "", MIS_Backend_Data!AB140)</f>
        <v>NA</v>
      </c>
      <c r="K141" t="str">
        <f>IF(MIS_Backend_Data!AG140="", "", MIS_Backend_Data!AG140)</f>
        <v>WIP</v>
      </c>
      <c r="L141" s="20" t="str">
        <f>IF(MIS_Backend_Data!AI140="", "", MIS_Backend_Data!AI140)</f>
        <v>NA</v>
      </c>
      <c r="M141" t="str">
        <f>IF(MIS_Backend_Data!AK140="", "", MIS_Backend_Data!AK140)</f>
        <v>NA</v>
      </c>
      <c r="N141" t="str">
        <f>IF(MIS_Backend_Data!AM140="", "", MIS_Backend_Data!AM140)</f>
        <v xml:space="preserve">NA </v>
      </c>
      <c r="O141" t="str">
        <f>IF(MIS_Backend_Data!AO140="", "", MIS_Backend_Data!AO140)</f>
        <v>NA</v>
      </c>
      <c r="P141" t="str">
        <f>IF(MIS_Backend_Data!AS140="", "", MIS_Backend_Data!AS140)</f>
        <v>NA</v>
      </c>
      <c r="Q141" t="str">
        <f>IF(MIS_Backend_Data!AX140="", "", MIS_Backend_Data!AX140)</f>
        <v>WIP</v>
      </c>
      <c r="R141" t="str">
        <f>IF(MIS_Backend_Data!BB140="", "", MIS_Backend_Data!BB140)</f>
        <v xml:space="preserve">NA </v>
      </c>
      <c r="S141" t="str">
        <f>IF(MIS_Backend_Data!AW140="", "", MIS_Backend_Data!AW140)</f>
        <v>NA</v>
      </c>
      <c r="T141" s="42" t="str">
        <f>IF(MIS_Backend_Data!N140="Dispatch","Completed","NA")</f>
        <v>NA</v>
      </c>
      <c r="U141" t="str">
        <f t="shared" si="6"/>
        <v/>
      </c>
      <c r="V141" t="str">
        <f t="shared" si="7"/>
        <v/>
      </c>
      <c r="W141" s="20" t="str">
        <f t="shared" si="8"/>
        <v/>
      </c>
    </row>
    <row r="142" spans="2:23" ht="14.5">
      <c r="B142" s="205" t="str">
        <f ca="1"/>
        <v>2025204832</v>
      </c>
      <c r="C142" s="17" t="str">
        <f ca="1"/>
        <v>Indusind General Insurance Co Ltd</v>
      </c>
      <c r="D142" s="17" t="str">
        <f ca="1"/>
        <v>R001-1140-SS-2025</v>
      </c>
      <c r="E142" s="19">
        <f ca="1"/>
        <v>37</v>
      </c>
      <c r="F142" s="19" t="str">
        <f>IF(MIS_Backend_Data!O141="", "", MIS_Backend_Data!O141)</f>
        <v>WIP</v>
      </c>
      <c r="G142" t="str">
        <f>IF(MIS_Backend_Data!T141="", "", MIS_Backend_Data!T141)</f>
        <v>WIP</v>
      </c>
      <c r="H142" t="str">
        <f>IF(MIS_Backend_Data!X141="", "", MIS_Backend_Data!X141)</f>
        <v>NA</v>
      </c>
      <c r="I142" t="str">
        <f>IF(MIS_Backend_Data!AC141="", "", MIS_Backend_Data!AC141)</f>
        <v xml:space="preserve">NA </v>
      </c>
      <c r="J142" t="str">
        <f>IF(MIS_Backend_Data!AB141="", "", MIS_Backend_Data!AB141)</f>
        <v xml:space="preserve">NA </v>
      </c>
      <c r="K142" t="str">
        <f>IF(MIS_Backend_Data!AG141="", "", MIS_Backend_Data!AG141)</f>
        <v>NA</v>
      </c>
      <c r="L142" s="20" t="str">
        <f>IF(MIS_Backend_Data!AI141="", "", MIS_Backend_Data!AI141)</f>
        <v>NA</v>
      </c>
      <c r="M142" t="str">
        <f>IF(MIS_Backend_Data!AK141="", "", MIS_Backend_Data!AK141)</f>
        <v>NA</v>
      </c>
      <c r="N142" t="str">
        <f>IF(MIS_Backend_Data!AM141="", "", MIS_Backend_Data!AM141)</f>
        <v xml:space="preserve">NA </v>
      </c>
      <c r="O142" t="str">
        <f>IF(MIS_Backend_Data!AO141="", "", MIS_Backend_Data!AO141)</f>
        <v>NA</v>
      </c>
      <c r="P142" t="str">
        <f>IF(MIS_Backend_Data!AS141="", "", MIS_Backend_Data!AS141)</f>
        <v>NA</v>
      </c>
      <c r="Q142" t="str">
        <f>IF(MIS_Backend_Data!AX141="", "", MIS_Backend_Data!AX141)</f>
        <v>WIP</v>
      </c>
      <c r="R142" t="str">
        <f>IF(MIS_Backend_Data!BB141="", "", MIS_Backend_Data!BB141)</f>
        <v xml:space="preserve">NA </v>
      </c>
      <c r="S142" t="str">
        <f>IF(MIS_Backend_Data!AW141="", "", MIS_Backend_Data!AW141)</f>
        <v>NA</v>
      </c>
      <c r="T142" s="42" t="str">
        <f>IF(MIS_Backend_Data!N141="Dispatch","Completed","NA")</f>
        <v>NA</v>
      </c>
      <c r="U142">
        <f t="shared" si="6"/>
        <v>2</v>
      </c>
      <c r="V142" t="str">
        <f t="shared" si="7"/>
        <v/>
      </c>
      <c r="W142" s="20" t="str">
        <f t="shared" si="8"/>
        <v/>
      </c>
    </row>
    <row r="143" spans="2:23" ht="14.5">
      <c r="B143" s="205" t="str">
        <f ca="1"/>
        <v>2025213146</v>
      </c>
      <c r="C143" s="17" t="str">
        <f ca="1"/>
        <v>Indusind General Insurance Co Ltd</v>
      </c>
      <c r="D143" s="17" t="str">
        <f ca="1"/>
        <v>R001-1141-SS-2025</v>
      </c>
      <c r="E143" s="19">
        <f ca="1"/>
        <v>37</v>
      </c>
      <c r="F143" s="19" t="str">
        <f>IF(MIS_Backend_Data!O142="", "", MIS_Backend_Data!O142)</f>
        <v>WIP</v>
      </c>
      <c r="G143" t="str">
        <f>IF(MIS_Backend_Data!T142="", "", MIS_Backend_Data!T142)</f>
        <v>WIP</v>
      </c>
      <c r="H143" t="str">
        <f>IF(MIS_Backend_Data!X142="", "", MIS_Backend_Data!X142)</f>
        <v>NA</v>
      </c>
      <c r="I143" t="str">
        <f>IF(MIS_Backend_Data!AC142="", "", MIS_Backend_Data!AC142)</f>
        <v xml:space="preserve">WIP </v>
      </c>
      <c r="J143" t="str">
        <f>IF(MIS_Backend_Data!AB142="", "", MIS_Backend_Data!AB142)</f>
        <v xml:space="preserve">NA </v>
      </c>
      <c r="K143" t="str">
        <f>IF(MIS_Backend_Data!AG142="", "", MIS_Backend_Data!AG142)</f>
        <v>WIP</v>
      </c>
      <c r="L143" s="20" t="str">
        <f>IF(MIS_Backend_Data!AI142="", "", MIS_Backend_Data!AI142)</f>
        <v>NA</v>
      </c>
      <c r="M143" t="str">
        <f>IF(MIS_Backend_Data!AK142="", "", MIS_Backend_Data!AK142)</f>
        <v xml:space="preserve">NA </v>
      </c>
      <c r="N143" t="str">
        <f>IF(MIS_Backend_Data!AM142="", "", MIS_Backend_Data!AM142)</f>
        <v>NA</v>
      </c>
      <c r="O143" t="str">
        <f>IF(MIS_Backend_Data!AO142="", "", MIS_Backend_Data!AO142)</f>
        <v>NA</v>
      </c>
      <c r="P143" t="str">
        <f>IF(MIS_Backend_Data!AS142="", "", MIS_Backend_Data!AS142)</f>
        <v xml:space="preserve">WIP </v>
      </c>
      <c r="Q143" t="str">
        <f>IF(MIS_Backend_Data!AX142="", "", MIS_Backend_Data!AX142)</f>
        <v>WIP</v>
      </c>
      <c r="R143" t="str">
        <f>IF(MIS_Backend_Data!BB142="", "", MIS_Backend_Data!BB142)</f>
        <v xml:space="preserve">NA </v>
      </c>
      <c r="S143" t="str">
        <f>IF(MIS_Backend_Data!AW142="", "", MIS_Backend_Data!AW142)</f>
        <v xml:space="preserve">NA </v>
      </c>
      <c r="T143" s="42" t="str">
        <f>IF(MIS_Backend_Data!N142="Dispatch","Completed","NA")</f>
        <v>NA</v>
      </c>
      <c r="U143" t="str">
        <f t="shared" si="6"/>
        <v/>
      </c>
      <c r="V143" t="str">
        <f t="shared" si="7"/>
        <v/>
      </c>
      <c r="W143" s="20" t="str">
        <f t="shared" si="8"/>
        <v/>
      </c>
    </row>
    <row r="144" spans="2:23" ht="14.5">
      <c r="B144" s="205" t="str">
        <f ca="1"/>
        <v>2025213359</v>
      </c>
      <c r="C144" s="17" t="str">
        <f ca="1"/>
        <v>Indusind General Insurance Co Ltd</v>
      </c>
      <c r="D144" s="17" t="str">
        <f ca="1"/>
        <v>R001-1142-SS-2025</v>
      </c>
      <c r="E144" s="19">
        <f ca="1"/>
        <v>35</v>
      </c>
      <c r="F144" s="19" t="str">
        <f>IF(MIS_Backend_Data!O143="", "", MIS_Backend_Data!O143)</f>
        <v>WIP</v>
      </c>
      <c r="G144" t="str">
        <f>IF(MIS_Backend_Data!T143="", "", MIS_Backend_Data!T143)</f>
        <v>WIP</v>
      </c>
      <c r="H144" t="str">
        <f>IF(MIS_Backend_Data!X143="", "", MIS_Backend_Data!X143)</f>
        <v>NA</v>
      </c>
      <c r="I144" t="str">
        <f>IF(MIS_Backend_Data!AC143="", "", MIS_Backend_Data!AC143)</f>
        <v>WIP</v>
      </c>
      <c r="J144" t="str">
        <f>IF(MIS_Backend_Data!AB143="", "", MIS_Backend_Data!AB143)</f>
        <v>NA</v>
      </c>
      <c r="K144" t="str">
        <f>IF(MIS_Backend_Data!AG143="", "", MIS_Backend_Data!AG143)</f>
        <v>Completed</v>
      </c>
      <c r="L144" s="20" t="str">
        <f>IF(MIS_Backend_Data!AI143="", "", MIS_Backend_Data!AI143)</f>
        <v>NA</v>
      </c>
      <c r="M144" t="str">
        <f>IF(MIS_Backend_Data!AK143="", "", MIS_Backend_Data!AK143)</f>
        <v>NA</v>
      </c>
      <c r="N144" t="str">
        <f>IF(MIS_Backend_Data!AM143="", "", MIS_Backend_Data!AM143)</f>
        <v>NA</v>
      </c>
      <c r="O144" t="str">
        <f>IF(MIS_Backend_Data!AO143="", "", MIS_Backend_Data!AO143)</f>
        <v>NA</v>
      </c>
      <c r="P144" t="str">
        <f>IF(MIS_Backend_Data!AS143="", "", MIS_Backend_Data!AS143)</f>
        <v>Completed</v>
      </c>
      <c r="Q144" t="str">
        <f>IF(MIS_Backend_Data!AX143="", "", MIS_Backend_Data!AX143)</f>
        <v>NI</v>
      </c>
      <c r="R144" t="str">
        <f>IF(MIS_Backend_Data!BB143="", "", MIS_Backend_Data!BB143)</f>
        <v>NA</v>
      </c>
      <c r="S144" t="str">
        <f>IF(MIS_Backend_Data!AW143="", "", MIS_Backend_Data!AW143)</f>
        <v>NA</v>
      </c>
      <c r="T144" s="42" t="str">
        <f>IF(MIS_Backend_Data!N143="Dispatch","Completed","NA")</f>
        <v>NA</v>
      </c>
      <c r="U144">
        <f t="shared" si="6"/>
        <v>2</v>
      </c>
      <c r="V144" t="str">
        <f t="shared" si="7"/>
        <v/>
      </c>
      <c r="W144" s="20" t="str">
        <f t="shared" si="8"/>
        <v/>
      </c>
    </row>
    <row r="145" spans="2:23" ht="14.5">
      <c r="B145" s="205" t="str">
        <f ca="1"/>
        <v>2752851</v>
      </c>
      <c r="C145" s="17" t="str">
        <f ca="1"/>
        <v>SBI General Insurance Company Ltd</v>
      </c>
      <c r="D145" s="17" t="str">
        <f ca="1"/>
        <v>S002-1143-SS-2025</v>
      </c>
      <c r="E145" s="19">
        <f ca="1"/>
        <v>35</v>
      </c>
      <c r="F145" s="19" t="str">
        <f>IF(MIS_Backend_Data!O144="", "", MIS_Backend_Data!O144)</f>
        <v>WIP</v>
      </c>
      <c r="G145" t="str">
        <f>IF(MIS_Backend_Data!T144="", "", MIS_Backend_Data!T144)</f>
        <v>WIP</v>
      </c>
      <c r="H145" t="str">
        <f>IF(MIS_Backend_Data!X144="", "", MIS_Backend_Data!X144)</f>
        <v>NI</v>
      </c>
      <c r="I145" t="str">
        <f>IF(MIS_Backend_Data!AC144="", "", MIS_Backend_Data!AC144)</f>
        <v>WIP</v>
      </c>
      <c r="J145" t="str">
        <f>IF(MIS_Backend_Data!AB144="", "", MIS_Backend_Data!AB144)</f>
        <v>NA</v>
      </c>
      <c r="K145" t="str">
        <f>IF(MIS_Backend_Data!AG144="", "", MIS_Backend_Data!AG144)</f>
        <v>NI</v>
      </c>
      <c r="L145" s="20" t="str">
        <f>IF(MIS_Backend_Data!AI144="", "", MIS_Backend_Data!AI144)</f>
        <v>NA</v>
      </c>
      <c r="M145" t="str">
        <f>IF(MIS_Backend_Data!AK144="", "", MIS_Backend_Data!AK144)</f>
        <v>NA</v>
      </c>
      <c r="N145" t="str">
        <f>IF(MIS_Backend_Data!AM144="", "", MIS_Backend_Data!AM144)</f>
        <v>NA</v>
      </c>
      <c r="O145" t="str">
        <f>IF(MIS_Backend_Data!AO144="", "", MIS_Backend_Data!AO144)</f>
        <v>NA</v>
      </c>
      <c r="P145" t="str">
        <f>IF(MIS_Backend_Data!AS144="", "", MIS_Backend_Data!AS144)</f>
        <v>WIP</v>
      </c>
      <c r="Q145" t="str">
        <f>IF(MIS_Backend_Data!AX144="", "", MIS_Backend_Data!AX144)</f>
        <v>WIP</v>
      </c>
      <c r="R145" t="str">
        <f>IF(MIS_Backend_Data!BB144="", "", MIS_Backend_Data!BB144)</f>
        <v>NI</v>
      </c>
      <c r="S145" t="str">
        <f>IF(MIS_Backend_Data!AW144="", "", MIS_Backend_Data!AW144)</f>
        <v>NA</v>
      </c>
      <c r="T145" s="42" t="str">
        <f>IF(MIS_Backend_Data!N144="Dispatch","Completed","NA")</f>
        <v>NA</v>
      </c>
      <c r="U145" t="str">
        <f t="shared" si="6"/>
        <v/>
      </c>
      <c r="V145" t="str">
        <f t="shared" si="7"/>
        <v/>
      </c>
      <c r="W145" s="20" t="str">
        <f t="shared" si="8"/>
        <v/>
      </c>
    </row>
    <row r="146" spans="2:23" ht="14.5">
      <c r="B146" s="205" t="str">
        <f ca="1"/>
        <v>2752855</v>
      </c>
      <c r="C146" s="17" t="str">
        <f ca="1"/>
        <v>SBI General Insurance Company Ltd</v>
      </c>
      <c r="D146" s="17" t="str">
        <f ca="1"/>
        <v>S002-1144-SS-2025</v>
      </c>
      <c r="E146" s="19">
        <f ca="1"/>
        <v>35</v>
      </c>
      <c r="F146" s="19" t="str">
        <f>IF(MIS_Backend_Data!O145="", "", MIS_Backend_Data!O145)</f>
        <v>WIP</v>
      </c>
      <c r="G146" t="str">
        <f>IF(MIS_Backend_Data!T145="", "", MIS_Backend_Data!T145)</f>
        <v>WIP</v>
      </c>
      <c r="H146" t="str">
        <f>IF(MIS_Backend_Data!X145="", "", MIS_Backend_Data!X145)</f>
        <v>NI</v>
      </c>
      <c r="I146" t="str">
        <f>IF(MIS_Backend_Data!AC145="", "", MIS_Backend_Data!AC145)</f>
        <v>WIP</v>
      </c>
      <c r="J146" t="str">
        <f>IF(MIS_Backend_Data!AB145="", "", MIS_Backend_Data!AB145)</f>
        <v>NA</v>
      </c>
      <c r="K146" t="str">
        <f>IF(MIS_Backend_Data!AG145="", "", MIS_Backend_Data!AG145)</f>
        <v>NA</v>
      </c>
      <c r="L146" s="20" t="str">
        <f>IF(MIS_Backend_Data!AI145="", "", MIS_Backend_Data!AI145)</f>
        <v>NA</v>
      </c>
      <c r="M146" t="str">
        <f>IF(MIS_Backend_Data!AK145="", "", MIS_Backend_Data!AK145)</f>
        <v>NA</v>
      </c>
      <c r="N146" t="str">
        <f>IF(MIS_Backend_Data!AM145="", "", MIS_Backend_Data!AM145)</f>
        <v>NA</v>
      </c>
      <c r="O146" t="str">
        <f>IF(MIS_Backend_Data!AO145="", "", MIS_Backend_Data!AO145)</f>
        <v>NA</v>
      </c>
      <c r="P146" t="str">
        <f>IF(MIS_Backend_Data!AS145="", "", MIS_Backend_Data!AS145)</f>
        <v>WIP</v>
      </c>
      <c r="Q146" t="str">
        <f>IF(MIS_Backend_Data!AX145="", "", MIS_Backend_Data!AX145)</f>
        <v>WIP</v>
      </c>
      <c r="R146" t="str">
        <f>IF(MIS_Backend_Data!BB145="", "", MIS_Backend_Data!BB145)</f>
        <v>NI</v>
      </c>
      <c r="S146" t="str">
        <f>IF(MIS_Backend_Data!AW145="", "", MIS_Backend_Data!AW145)</f>
        <v>NA</v>
      </c>
      <c r="T146" s="42" t="str">
        <f>IF(MIS_Backend_Data!N145="Dispatch","Completed","NA")</f>
        <v>NA</v>
      </c>
      <c r="U146" t="str">
        <f t="shared" si="6"/>
        <v/>
      </c>
      <c r="V146" t="str">
        <f t="shared" si="7"/>
        <v/>
      </c>
      <c r="W146" s="20" t="str">
        <f t="shared" si="8"/>
        <v/>
      </c>
    </row>
    <row r="147" spans="2:23" ht="14.5">
      <c r="B147" s="205" t="str">
        <f ca="1"/>
        <v>2750504</v>
      </c>
      <c r="C147" s="17" t="str">
        <f ca="1"/>
        <v>SBI General Insurance Company Ltd</v>
      </c>
      <c r="D147" s="17" t="str">
        <f ca="1"/>
        <v>S002-1145-SS-2025</v>
      </c>
      <c r="E147" s="19">
        <f ca="1"/>
        <v>34</v>
      </c>
      <c r="F147" s="19" t="str">
        <f>IF(MIS_Backend_Data!O146="", "", MIS_Backend_Data!O146)</f>
        <v>WIP</v>
      </c>
      <c r="G147" t="str">
        <f>IF(MIS_Backend_Data!T146="", "", MIS_Backend_Data!T146)</f>
        <v>Completed</v>
      </c>
      <c r="H147" t="str">
        <f>IF(MIS_Backend_Data!X146="", "", MIS_Backend_Data!X146)</f>
        <v>NA</v>
      </c>
      <c r="I147" t="str">
        <f>IF(MIS_Backend_Data!AC146="", "", MIS_Backend_Data!AC146)</f>
        <v>NI</v>
      </c>
      <c r="J147" t="str">
        <f>IF(MIS_Backend_Data!AB146="", "", MIS_Backend_Data!AB146)</f>
        <v>NA</v>
      </c>
      <c r="K147" t="str">
        <f>IF(MIS_Backend_Data!AG146="", "", MIS_Backend_Data!AG146)</f>
        <v>NI</v>
      </c>
      <c r="L147" s="20" t="str">
        <f>IF(MIS_Backend_Data!AI146="", "", MIS_Backend_Data!AI146)</f>
        <v>NA</v>
      </c>
      <c r="M147" t="str">
        <f>IF(MIS_Backend_Data!AK146="", "", MIS_Backend_Data!AK146)</f>
        <v>NA</v>
      </c>
      <c r="N147" t="str">
        <f>IF(MIS_Backend_Data!AM146="", "", MIS_Backend_Data!AM146)</f>
        <v>NA</v>
      </c>
      <c r="O147" t="str">
        <f>IF(MIS_Backend_Data!AO146="", "", MIS_Backend_Data!AO146)</f>
        <v>NA</v>
      </c>
      <c r="P147" t="str">
        <f>IF(MIS_Backend_Data!AS146="", "", MIS_Backend_Data!AS146)</f>
        <v>Completed</v>
      </c>
      <c r="Q147" t="str">
        <f>IF(MIS_Backend_Data!AX146="", "", MIS_Backend_Data!AX146)</f>
        <v>NI</v>
      </c>
      <c r="R147" t="str">
        <f>IF(MIS_Backend_Data!BB146="", "", MIS_Backend_Data!BB146)</f>
        <v>NI</v>
      </c>
      <c r="S147" t="str">
        <f>IF(MIS_Backend_Data!AW146="", "", MIS_Backend_Data!AW146)</f>
        <v>NA</v>
      </c>
      <c r="T147" s="42" t="str">
        <f>IF(MIS_Backend_Data!N146="Dispatch","Completed","NA")</f>
        <v>NA</v>
      </c>
      <c r="U147" t="str">
        <f t="shared" si="6"/>
        <v/>
      </c>
      <c r="V147" t="str">
        <f t="shared" si="7"/>
        <v/>
      </c>
      <c r="W147" s="20" t="str">
        <f t="shared" si="8"/>
        <v/>
      </c>
    </row>
    <row r="148" spans="2:23" ht="14.5">
      <c r="B148" s="205" t="str">
        <f ca="1"/>
        <v>2517801</v>
      </c>
      <c r="C148" s="17" t="str">
        <f ca="1"/>
        <v>SBI General Insurance Company Ltd</v>
      </c>
      <c r="D148" s="17" t="str">
        <f ca="1"/>
        <v>S002-1146-SS-2025</v>
      </c>
      <c r="E148" s="19">
        <f ca="1"/>
        <v>8</v>
      </c>
      <c r="F148" s="19" t="str">
        <f>IF(MIS_Backend_Data!O147="", "", MIS_Backend_Data!O147)</f>
        <v>Completed</v>
      </c>
      <c r="G148" t="str">
        <f>IF(MIS_Backend_Data!T147="", "", MIS_Backend_Data!T147)</f>
        <v>NA</v>
      </c>
      <c r="H148" t="str">
        <f>IF(MIS_Backend_Data!X147="", "", MIS_Backend_Data!X147)</f>
        <v>NA</v>
      </c>
      <c r="I148" t="str">
        <f>IF(MIS_Backend_Data!AC147="", "", MIS_Backend_Data!AC147)</f>
        <v>NA</v>
      </c>
      <c r="J148" t="str">
        <f>IF(MIS_Backend_Data!AB147="", "", MIS_Backend_Data!AB147)</f>
        <v>NA</v>
      </c>
      <c r="K148" t="str">
        <f>IF(MIS_Backend_Data!AG147="", "", MIS_Backend_Data!AG147)</f>
        <v>NA</v>
      </c>
      <c r="L148" s="20" t="str">
        <f>IF(MIS_Backend_Data!AI147="", "", MIS_Backend_Data!AI147)</f>
        <v>NA</v>
      </c>
      <c r="M148" t="str">
        <f>IF(MIS_Backend_Data!AK147="", "", MIS_Backend_Data!AK147)</f>
        <v>NA</v>
      </c>
      <c r="N148" t="str">
        <f>IF(MIS_Backend_Data!AM147="", "", MIS_Backend_Data!AM147)</f>
        <v>NA</v>
      </c>
      <c r="O148" t="str">
        <f>IF(MIS_Backend_Data!AO147="", "", MIS_Backend_Data!AO147)</f>
        <v>NA</v>
      </c>
      <c r="P148" t="str">
        <f>IF(MIS_Backend_Data!AS147="", "", MIS_Backend_Data!AS147)</f>
        <v>NA</v>
      </c>
      <c r="Q148" t="str">
        <f>IF(MIS_Backend_Data!AX147="", "", MIS_Backend_Data!AX147)</f>
        <v>Completed</v>
      </c>
      <c r="R148" t="str">
        <f>IF(MIS_Backend_Data!BB147="", "", MIS_Backend_Data!BB147)</f>
        <v>Completed</v>
      </c>
      <c r="S148" t="str">
        <f>IF(MIS_Backend_Data!AW147="", "", MIS_Backend_Data!AW147)</f>
        <v>NA</v>
      </c>
      <c r="T148" s="42" t="str">
        <f>IF(MIS_Backend_Data!N147="Dispatch","Completed","NA")</f>
        <v>Completed</v>
      </c>
      <c r="U148" t="str">
        <f t="shared" si="6"/>
        <v/>
      </c>
      <c r="V148" t="str">
        <f t="shared" si="7"/>
        <v/>
      </c>
      <c r="W148" s="20" t="str">
        <f t="shared" si="8"/>
        <v/>
      </c>
    </row>
    <row r="149" spans="2:23" ht="14.5">
      <c r="B149" s="205" t="str">
        <f ca="1"/>
        <v>Hold-228494</v>
      </c>
      <c r="C149" s="17" t="str">
        <f ca="1"/>
        <v>Bajaj Allianz General Insurance Company Ltd</v>
      </c>
      <c r="D149" s="17" t="str">
        <f ca="1"/>
        <v>B001-1147-SS-2025</v>
      </c>
      <c r="E149" s="19">
        <f ca="1"/>
        <v>14</v>
      </c>
      <c r="F149" s="19" t="str">
        <f>IF(MIS_Backend_Data!O148="", "", MIS_Backend_Data!O148)</f>
        <v>Completed</v>
      </c>
      <c r="G149" t="str">
        <f>IF(MIS_Backend_Data!T148="", "", MIS_Backend_Data!T148)</f>
        <v>NA</v>
      </c>
      <c r="H149" t="str">
        <f>IF(MIS_Backend_Data!X148="", "", MIS_Backend_Data!X148)</f>
        <v>NA</v>
      </c>
      <c r="I149" t="str">
        <f>IF(MIS_Backend_Data!AC148="", "", MIS_Backend_Data!AC148)</f>
        <v>NA</v>
      </c>
      <c r="J149" t="str">
        <f>IF(MIS_Backend_Data!AB148="", "", MIS_Backend_Data!AB148)</f>
        <v>NA</v>
      </c>
      <c r="K149" t="str">
        <f>IF(MIS_Backend_Data!AG148="", "", MIS_Backend_Data!AG148)</f>
        <v>NA</v>
      </c>
      <c r="L149" s="20" t="str">
        <f>IF(MIS_Backend_Data!AI148="", "", MIS_Backend_Data!AI148)</f>
        <v>NA</v>
      </c>
      <c r="M149" t="str">
        <f>IF(MIS_Backend_Data!AK148="", "", MIS_Backend_Data!AK148)</f>
        <v>NA</v>
      </c>
      <c r="N149" t="str">
        <f>IF(MIS_Backend_Data!AM148="", "", MIS_Backend_Data!AM148)</f>
        <v>NA</v>
      </c>
      <c r="O149" t="str">
        <f>IF(MIS_Backend_Data!AO148="", "", MIS_Backend_Data!AO148)</f>
        <v>NA</v>
      </c>
      <c r="P149" t="str">
        <f>IF(MIS_Backend_Data!AS148="", "", MIS_Backend_Data!AS148)</f>
        <v>NA</v>
      </c>
      <c r="Q149" t="str">
        <f>IF(MIS_Backend_Data!AX148="", "", MIS_Backend_Data!AX148)</f>
        <v>NA</v>
      </c>
      <c r="R149" t="str">
        <f>IF(MIS_Backend_Data!BB148="", "", MIS_Backend_Data!BB148)</f>
        <v>Completed</v>
      </c>
      <c r="S149" t="str">
        <f>IF(MIS_Backend_Data!AW148="", "", MIS_Backend_Data!AW148)</f>
        <v>NA</v>
      </c>
      <c r="T149" s="42" t="str">
        <f>IF(MIS_Backend_Data!N148="Dispatch","Completed","NA")</f>
        <v>Completed</v>
      </c>
      <c r="U149" t="str">
        <f t="shared" si="6"/>
        <v/>
      </c>
      <c r="V149" t="str">
        <f t="shared" si="7"/>
        <v/>
      </c>
      <c r="W149" s="20" t="str">
        <f t="shared" si="8"/>
        <v/>
      </c>
    </row>
    <row r="150" spans="2:23" ht="14.5">
      <c r="B150" s="205" t="str">
        <f ca="1"/>
        <v>CN079727</v>
      </c>
      <c r="C150" s="17" t="str">
        <f ca="1"/>
        <v>Generali Central Insurance Company Limited</v>
      </c>
      <c r="D150" s="17" t="str">
        <f ca="1"/>
        <v>F001-1148-SS-2025</v>
      </c>
      <c r="E150" s="19">
        <f ca="1"/>
        <v>20</v>
      </c>
      <c r="F150" s="19" t="str">
        <f>IF(MIS_Backend_Data!O149="", "", MIS_Backend_Data!O149)</f>
        <v>WIP</v>
      </c>
      <c r="G150" t="str">
        <f>IF(MIS_Backend_Data!T149="", "", MIS_Backend_Data!T149)</f>
        <v>Completed</v>
      </c>
      <c r="H150" t="str">
        <f>IF(MIS_Backend_Data!X149="", "", MIS_Backend_Data!X149)</f>
        <v>NA</v>
      </c>
      <c r="I150" t="str">
        <f>IF(MIS_Backend_Data!AC149="", "", MIS_Backend_Data!AC149)</f>
        <v>Completed</v>
      </c>
      <c r="J150" t="str">
        <f>IF(MIS_Backend_Data!AB149="", "", MIS_Backend_Data!AB149)</f>
        <v>NA</v>
      </c>
      <c r="K150" t="str">
        <f>IF(MIS_Backend_Data!AG149="", "", MIS_Backend_Data!AG149)</f>
        <v>NA</v>
      </c>
      <c r="L150" s="20" t="str">
        <f>IF(MIS_Backend_Data!AI149="", "", MIS_Backend_Data!AI149)</f>
        <v>NA</v>
      </c>
      <c r="M150" t="str">
        <f>IF(MIS_Backend_Data!AK149="", "", MIS_Backend_Data!AK149)</f>
        <v>NA</v>
      </c>
      <c r="N150" t="str">
        <f>IF(MIS_Backend_Data!AM149="", "", MIS_Backend_Data!AM149)</f>
        <v>NA</v>
      </c>
      <c r="O150" t="str">
        <f>IF(MIS_Backend_Data!AO149="", "", MIS_Backend_Data!AO149)</f>
        <v>NA</v>
      </c>
      <c r="P150" t="str">
        <f>IF(MIS_Backend_Data!AS149="", "", MIS_Backend_Data!AS149)</f>
        <v>NI</v>
      </c>
      <c r="Q150" t="str">
        <f>IF(MIS_Backend_Data!AX149="", "", MIS_Backend_Data!AX149)</f>
        <v>NI</v>
      </c>
      <c r="R150" t="str">
        <f>IF(MIS_Backend_Data!BB149="", "", MIS_Backend_Data!BB149)</f>
        <v>NA</v>
      </c>
      <c r="S150" t="str">
        <f>IF(MIS_Backend_Data!AW149="", "", MIS_Backend_Data!AW149)</f>
        <v>NA</v>
      </c>
      <c r="T150" s="42" t="str">
        <f>IF(MIS_Backend_Data!N149="Dispatch","Completed","NA")</f>
        <v>Completed</v>
      </c>
      <c r="U150" t="str">
        <f t="shared" si="6"/>
        <v/>
      </c>
      <c r="V150" t="str">
        <f t="shared" si="7"/>
        <v/>
      </c>
      <c r="W150" s="20" t="str">
        <f t="shared" si="8"/>
        <v/>
      </c>
    </row>
    <row r="151" spans="2:23" ht="14.5">
      <c r="B151" s="205" t="str">
        <f ca="1"/>
        <v>CM839422</v>
      </c>
      <c r="C151" s="17" t="str">
        <f ca="1"/>
        <v>Generali Central Insurance Company Limited</v>
      </c>
      <c r="D151" s="17" t="str">
        <f ca="1"/>
        <v>F001-1149-SS-2025</v>
      </c>
      <c r="E151" s="19">
        <f ca="1"/>
        <v>6</v>
      </c>
      <c r="F151" s="19" t="str">
        <f>IF(MIS_Backend_Data!O150="", "", MIS_Backend_Data!O150)</f>
        <v>Completed</v>
      </c>
      <c r="G151" t="str">
        <f>IF(MIS_Backend_Data!T150="", "", MIS_Backend_Data!T150)</f>
        <v>NA</v>
      </c>
      <c r="H151" t="str">
        <f>IF(MIS_Backend_Data!X150="", "", MIS_Backend_Data!X150)</f>
        <v>NA</v>
      </c>
      <c r="I151" t="str">
        <f>IF(MIS_Backend_Data!AC150="", "", MIS_Backend_Data!AC150)</f>
        <v>NA</v>
      </c>
      <c r="J151" t="str">
        <f>IF(MIS_Backend_Data!AB150="", "", MIS_Backend_Data!AB150)</f>
        <v>NA</v>
      </c>
      <c r="K151" t="str">
        <f>IF(MIS_Backend_Data!AG150="", "", MIS_Backend_Data!AG150)</f>
        <v>NA</v>
      </c>
      <c r="L151" s="20" t="str">
        <f>IF(MIS_Backend_Data!AI150="", "", MIS_Backend_Data!AI150)</f>
        <v>NA</v>
      </c>
      <c r="M151" t="str">
        <f>IF(MIS_Backend_Data!AK150="", "", MIS_Backend_Data!AK150)</f>
        <v>NA</v>
      </c>
      <c r="N151" t="str">
        <f>IF(MIS_Backend_Data!AM150="", "", MIS_Backend_Data!AM150)</f>
        <v>NA</v>
      </c>
      <c r="O151" t="str">
        <f>IF(MIS_Backend_Data!AO150="", "", MIS_Backend_Data!AO150)</f>
        <v>NA</v>
      </c>
      <c r="P151" t="str">
        <f>IF(MIS_Backend_Data!AS150="", "", MIS_Backend_Data!AS150)</f>
        <v>NA</v>
      </c>
      <c r="Q151" t="str">
        <f>IF(MIS_Backend_Data!AX150="", "", MIS_Backend_Data!AX150)</f>
        <v>NA</v>
      </c>
      <c r="R151" t="str">
        <f>IF(MIS_Backend_Data!BB150="", "", MIS_Backend_Data!BB150)</f>
        <v>Completed</v>
      </c>
      <c r="S151" t="str">
        <f>IF(MIS_Backend_Data!AW150="", "", MIS_Backend_Data!AW150)</f>
        <v>NA</v>
      </c>
      <c r="T151" s="42" t="str">
        <f>IF(MIS_Backend_Data!N150="Dispatch","Completed","NA")</f>
        <v>Completed</v>
      </c>
      <c r="U151" t="str">
        <f t="shared" si="6"/>
        <v/>
      </c>
      <c r="V151" t="str">
        <f t="shared" si="7"/>
        <v/>
      </c>
      <c r="W151" s="20" t="str">
        <f t="shared" si="8"/>
        <v/>
      </c>
    </row>
    <row r="152" spans="2:23" ht="14.5">
      <c r="B152" s="205" t="str">
        <f ca="1"/>
        <v>1033504</v>
      </c>
      <c r="C152" s="17" t="str">
        <f ca="1"/>
        <v>SBI General Insurance Company Ltd</v>
      </c>
      <c r="D152" s="17" t="str">
        <f ca="1"/>
        <v>S002-1150-SS-2025</v>
      </c>
      <c r="E152" s="19">
        <f ca="1"/>
        <v>7</v>
      </c>
      <c r="F152" s="19" t="str">
        <f>IF(MIS_Backend_Data!O151="", "", MIS_Backend_Data!O151)</f>
        <v>Completed</v>
      </c>
      <c r="G152" t="str">
        <f>IF(MIS_Backend_Data!T151="", "", MIS_Backend_Data!T151)</f>
        <v>NA</v>
      </c>
      <c r="H152" t="str">
        <f>IF(MIS_Backend_Data!X151="", "", MIS_Backend_Data!X151)</f>
        <v>NA</v>
      </c>
      <c r="I152" t="str">
        <f>IF(MIS_Backend_Data!AC151="", "", MIS_Backend_Data!AC151)</f>
        <v>NA</v>
      </c>
      <c r="J152" t="str">
        <f>IF(MIS_Backend_Data!AB151="", "", MIS_Backend_Data!AB151)</f>
        <v>NA</v>
      </c>
      <c r="K152" t="str">
        <f>IF(MIS_Backend_Data!AG151="", "", MIS_Backend_Data!AG151)</f>
        <v>NA</v>
      </c>
      <c r="L152" s="20" t="str">
        <f>IF(MIS_Backend_Data!AI151="", "", MIS_Backend_Data!AI151)</f>
        <v>NA</v>
      </c>
      <c r="M152" t="str">
        <f>IF(MIS_Backend_Data!AK151="", "", MIS_Backend_Data!AK151)</f>
        <v>NA</v>
      </c>
      <c r="N152" t="str">
        <f>IF(MIS_Backend_Data!AM151="", "", MIS_Backend_Data!AM151)</f>
        <v>NA</v>
      </c>
      <c r="O152" t="str">
        <f>IF(MIS_Backend_Data!AO151="", "", MIS_Backend_Data!AO151)</f>
        <v>NA</v>
      </c>
      <c r="P152" t="str">
        <f>IF(MIS_Backend_Data!AS151="", "", MIS_Backend_Data!AS151)</f>
        <v>NA</v>
      </c>
      <c r="Q152" t="str">
        <f>IF(MIS_Backend_Data!AX151="", "", MIS_Backend_Data!AX151)</f>
        <v>Completed</v>
      </c>
      <c r="R152" t="str">
        <f>IF(MIS_Backend_Data!BB151="", "", MIS_Backend_Data!BB151)</f>
        <v>Completed</v>
      </c>
      <c r="S152" t="str">
        <f>IF(MIS_Backend_Data!AW151="", "", MIS_Backend_Data!AW151)</f>
        <v>NA</v>
      </c>
      <c r="T152" s="42" t="str">
        <f>IF(MIS_Backend_Data!N151="Dispatch","Completed","NA")</f>
        <v>Completed</v>
      </c>
      <c r="U152" t="str">
        <f t="shared" si="6"/>
        <v/>
      </c>
      <c r="V152" t="str">
        <f t="shared" si="7"/>
        <v/>
      </c>
      <c r="W152" s="20" t="str">
        <f t="shared" si="8"/>
        <v/>
      </c>
    </row>
    <row r="153" spans="2:23" ht="14.5">
      <c r="B153" s="205" t="str">
        <f ca="1"/>
        <v>2025213437</v>
      </c>
      <c r="C153" s="17" t="str">
        <f ca="1"/>
        <v>Indusind General Insurance Co Ltd</v>
      </c>
      <c r="D153" s="17" t="str">
        <f ca="1"/>
        <v>R001-1151-SS-2025</v>
      </c>
      <c r="E153" s="19">
        <f ca="1"/>
        <v>30</v>
      </c>
      <c r="F153" s="19" t="str">
        <f>IF(MIS_Backend_Data!O152="", "", MIS_Backend_Data!O152)</f>
        <v>WIP</v>
      </c>
      <c r="G153" t="str">
        <f>IF(MIS_Backend_Data!T152="", "", MIS_Backend_Data!T152)</f>
        <v>NI</v>
      </c>
      <c r="H153" t="str">
        <f>IF(MIS_Backend_Data!X152="", "", MIS_Backend_Data!X152)</f>
        <v>NA</v>
      </c>
      <c r="I153" t="str">
        <f>IF(MIS_Backend_Data!AC152="", "", MIS_Backend_Data!AC152)</f>
        <v>NA</v>
      </c>
      <c r="J153" t="str">
        <f>IF(MIS_Backend_Data!AB152="", "", MIS_Backend_Data!AB152)</f>
        <v>NA</v>
      </c>
      <c r="K153" t="str">
        <f>IF(MIS_Backend_Data!AG152="", "", MIS_Backend_Data!AG152)</f>
        <v>NA</v>
      </c>
      <c r="L153" s="20" t="str">
        <f>IF(MIS_Backend_Data!AI152="", "", MIS_Backend_Data!AI152)</f>
        <v>NA</v>
      </c>
      <c r="M153" t="str">
        <f>IF(MIS_Backend_Data!AK152="", "", MIS_Backend_Data!AK152)</f>
        <v>NA</v>
      </c>
      <c r="N153" t="str">
        <f>IF(MIS_Backend_Data!AM152="", "", MIS_Backend_Data!AM152)</f>
        <v>NA</v>
      </c>
      <c r="O153" t="str">
        <f>IF(MIS_Backend_Data!AO152="", "", MIS_Backend_Data!AO152)</f>
        <v>NA</v>
      </c>
      <c r="P153" t="str">
        <f>IF(MIS_Backend_Data!AS152="", "", MIS_Backend_Data!AS152)</f>
        <v>NA</v>
      </c>
      <c r="Q153" t="str">
        <f>IF(MIS_Backend_Data!AX152="", "", MIS_Backend_Data!AX152)</f>
        <v>NA</v>
      </c>
      <c r="R153" t="str">
        <f>IF(MIS_Backend_Data!BB152="", "", MIS_Backend_Data!BB152)</f>
        <v>NA</v>
      </c>
      <c r="S153" t="str">
        <f>IF(MIS_Backend_Data!AW152="", "", MIS_Backend_Data!AW152)</f>
        <v>NA</v>
      </c>
      <c r="T153" s="42" t="str">
        <f>IF(MIS_Backend_Data!N152="Dispatch","Completed","NA")</f>
        <v>NA</v>
      </c>
      <c r="U153" t="str">
        <f t="shared" si="6"/>
        <v/>
      </c>
      <c r="V153" t="str">
        <f t="shared" si="7"/>
        <v/>
      </c>
      <c r="W153" s="20" t="str">
        <f t="shared" si="8"/>
        <v/>
      </c>
    </row>
    <row r="154" spans="2:23" ht="14.5">
      <c r="B154" s="205" t="str">
        <f ca="1"/>
        <v>2025206275</v>
      </c>
      <c r="C154" s="17" t="str">
        <f ca="1"/>
        <v>Indusind General Insurance Co Ltd</v>
      </c>
      <c r="D154" s="17" t="str">
        <f ca="1"/>
        <v>R001-1152-SS-2025</v>
      </c>
      <c r="E154" s="19">
        <f ca="1"/>
        <v>30</v>
      </c>
      <c r="F154" s="19" t="str">
        <f>IF(MIS_Backend_Data!O153="", "", MIS_Backend_Data!O153)</f>
        <v>WIP</v>
      </c>
      <c r="G154" t="str">
        <f>IF(MIS_Backend_Data!T153="", "", MIS_Backend_Data!T153)</f>
        <v>NA</v>
      </c>
      <c r="H154" t="str">
        <f>IF(MIS_Backend_Data!X153="", "", MIS_Backend_Data!X153)</f>
        <v xml:space="preserve">NA </v>
      </c>
      <c r="I154" t="str">
        <f>IF(MIS_Backend_Data!AC153="", "", MIS_Backend_Data!AC153)</f>
        <v xml:space="preserve">NA </v>
      </c>
      <c r="J154" t="str">
        <f>IF(MIS_Backend_Data!AB153="", "", MIS_Backend_Data!AB153)</f>
        <v xml:space="preserve">NA </v>
      </c>
      <c r="K154" t="str">
        <f>IF(MIS_Backend_Data!AG153="", "", MIS_Backend_Data!AG153)</f>
        <v xml:space="preserve">NA </v>
      </c>
      <c r="L154" s="20" t="str">
        <f>IF(MIS_Backend_Data!AI153="", "", MIS_Backend_Data!AI153)</f>
        <v xml:space="preserve">NA </v>
      </c>
      <c r="M154" t="str">
        <f>IF(MIS_Backend_Data!AK153="", "", MIS_Backend_Data!AK153)</f>
        <v xml:space="preserve">NA </v>
      </c>
      <c r="N154" t="str">
        <f>IF(MIS_Backend_Data!AM153="", "", MIS_Backend_Data!AM153)</f>
        <v xml:space="preserve">NA </v>
      </c>
      <c r="O154" t="str">
        <f>IF(MIS_Backend_Data!AO153="", "", MIS_Backend_Data!AO153)</f>
        <v xml:space="preserve">NA </v>
      </c>
      <c r="P154" t="str">
        <f>IF(MIS_Backend_Data!AS153="", "", MIS_Backend_Data!AS153)</f>
        <v xml:space="preserve">NA </v>
      </c>
      <c r="Q154" t="str">
        <f>IF(MIS_Backend_Data!AX153="", "", MIS_Backend_Data!AX153)</f>
        <v>WIP</v>
      </c>
      <c r="R154" t="str">
        <f>IF(MIS_Backend_Data!BB153="", "", MIS_Backend_Data!BB153)</f>
        <v xml:space="preserve">NA </v>
      </c>
      <c r="S154" t="str">
        <f>IF(MIS_Backend_Data!AW153="", "", MIS_Backend_Data!AW153)</f>
        <v xml:space="preserve">NA </v>
      </c>
      <c r="T154" s="42" t="str">
        <f>IF(MIS_Backend_Data!N153="Dispatch","Completed","NA")</f>
        <v>NA</v>
      </c>
      <c r="U154" t="str">
        <f t="shared" si="6"/>
        <v/>
      </c>
      <c r="V154">
        <f t="shared" si="7"/>
        <v>1</v>
      </c>
      <c r="W154" s="20" t="str">
        <f t="shared" si="8"/>
        <v/>
      </c>
    </row>
    <row r="155" spans="2:23" ht="14.5">
      <c r="B155" s="205" t="str">
        <f ca="1"/>
        <v>2025204393</v>
      </c>
      <c r="C155" s="17" t="str">
        <f ca="1"/>
        <v>Indusind General Insurance Co Ltd</v>
      </c>
      <c r="D155" s="17" t="str">
        <f ca="1"/>
        <v>R001-1153-SS-2025</v>
      </c>
      <c r="E155" s="19">
        <f ca="1"/>
        <v>30</v>
      </c>
      <c r="F155" s="19" t="str">
        <f>IF(MIS_Backend_Data!O154="", "", MIS_Backend_Data!O154)</f>
        <v>Completed</v>
      </c>
      <c r="G155" t="str">
        <f>IF(MIS_Backend_Data!T154="", "", MIS_Backend_Data!T154)</f>
        <v xml:space="preserve">NA </v>
      </c>
      <c r="H155" t="str">
        <f>IF(MIS_Backend_Data!X154="", "", MIS_Backend_Data!X154)</f>
        <v xml:space="preserve">NA </v>
      </c>
      <c r="I155" t="str">
        <f>IF(MIS_Backend_Data!AC154="", "", MIS_Backend_Data!AC154)</f>
        <v>Completed</v>
      </c>
      <c r="J155" t="str">
        <f>IF(MIS_Backend_Data!AB154="", "", MIS_Backend_Data!AB154)</f>
        <v xml:space="preserve">NA </v>
      </c>
      <c r="K155" t="str">
        <f>IF(MIS_Backend_Data!AG154="", "", MIS_Backend_Data!AG154)</f>
        <v>WIP</v>
      </c>
      <c r="L155" s="20" t="str">
        <f>IF(MIS_Backend_Data!AI154="", "", MIS_Backend_Data!AI154)</f>
        <v xml:space="preserve">NA </v>
      </c>
      <c r="M155" t="str">
        <f>IF(MIS_Backend_Data!AK154="", "", MIS_Backend_Data!AK154)</f>
        <v xml:space="preserve">NA </v>
      </c>
      <c r="N155" t="str">
        <f>IF(MIS_Backend_Data!AM154="", "", MIS_Backend_Data!AM154)</f>
        <v xml:space="preserve">NA </v>
      </c>
      <c r="O155" t="str">
        <f>IF(MIS_Backend_Data!AO154="", "", MIS_Backend_Data!AO154)</f>
        <v xml:space="preserve">NA </v>
      </c>
      <c r="P155" t="str">
        <f>IF(MIS_Backend_Data!AS154="", "", MIS_Backend_Data!AS154)</f>
        <v>NA</v>
      </c>
      <c r="Q155" t="str">
        <f>IF(MIS_Backend_Data!AX154="", "", MIS_Backend_Data!AX154)</f>
        <v>NA</v>
      </c>
      <c r="R155" t="str">
        <f>IF(MIS_Backend_Data!BB154="", "", MIS_Backend_Data!BB154)</f>
        <v xml:space="preserve">NA </v>
      </c>
      <c r="S155" t="str">
        <f>IF(MIS_Backend_Data!AW154="", "", MIS_Backend_Data!AW154)</f>
        <v xml:space="preserve">NA </v>
      </c>
      <c r="T155" s="42" t="str">
        <f>IF(MIS_Backend_Data!N154="Dispatch","Completed","NA")</f>
        <v>Completed</v>
      </c>
      <c r="U155" t="str">
        <f t="shared" si="6"/>
        <v/>
      </c>
      <c r="V155" t="str">
        <f t="shared" si="7"/>
        <v/>
      </c>
      <c r="W155" s="20" t="str">
        <f t="shared" si="8"/>
        <v/>
      </c>
    </row>
    <row r="156" spans="2:23" ht="14.5">
      <c r="B156" s="205" t="str">
        <f ca="1"/>
        <v>2025213611</v>
      </c>
      <c r="C156" s="17" t="str">
        <f ca="1"/>
        <v>Indusind General Insurance Co Ltd</v>
      </c>
      <c r="D156" s="17" t="str">
        <f ca="1"/>
        <v>R001-1154-SS-2025</v>
      </c>
      <c r="E156" s="19">
        <f ca="1"/>
        <v>30</v>
      </c>
      <c r="F156" s="19" t="str">
        <f>IF(MIS_Backend_Data!O155="", "", MIS_Backend_Data!O155)</f>
        <v>NI</v>
      </c>
      <c r="G156" t="str">
        <f>IF(MIS_Backend_Data!T155="", "", MIS_Backend_Data!T155)</f>
        <v>WIP</v>
      </c>
      <c r="H156" t="str">
        <f>IF(MIS_Backend_Data!X155="", "", MIS_Backend_Data!X155)</f>
        <v>NA</v>
      </c>
      <c r="I156" t="str">
        <f>IF(MIS_Backend_Data!AC155="", "", MIS_Backend_Data!AC155)</f>
        <v>NI</v>
      </c>
      <c r="J156" t="str">
        <f>IF(MIS_Backend_Data!AB155="", "", MIS_Backend_Data!AB155)</f>
        <v>NA</v>
      </c>
      <c r="K156" t="str">
        <f>IF(MIS_Backend_Data!AG155="", "", MIS_Backend_Data!AG155)</f>
        <v>NI</v>
      </c>
      <c r="L156" s="20" t="str">
        <f>IF(MIS_Backend_Data!AI155="", "", MIS_Backend_Data!AI155)</f>
        <v>NA</v>
      </c>
      <c r="M156" t="str">
        <f>IF(MIS_Backend_Data!AK155="", "", MIS_Backend_Data!AK155)</f>
        <v>NA</v>
      </c>
      <c r="N156" t="str">
        <f>IF(MIS_Backend_Data!AM155="", "", MIS_Backend_Data!AM155)</f>
        <v>NA</v>
      </c>
      <c r="O156" t="str">
        <f>IF(MIS_Backend_Data!AO155="", "", MIS_Backend_Data!AO155)</f>
        <v>NA</v>
      </c>
      <c r="P156" t="str">
        <f>IF(MIS_Backend_Data!AS155="", "", MIS_Backend_Data!AS155)</f>
        <v>NI</v>
      </c>
      <c r="Q156" t="str">
        <f>IF(MIS_Backend_Data!AX155="", "", MIS_Backend_Data!AX155)</f>
        <v>NI</v>
      </c>
      <c r="R156" t="str">
        <f>IF(MIS_Backend_Data!BB155="", "", MIS_Backend_Data!BB155)</f>
        <v>NA</v>
      </c>
      <c r="S156" t="str">
        <f>IF(MIS_Backend_Data!AW155="", "", MIS_Backend_Data!AW155)</f>
        <v>NA</v>
      </c>
      <c r="T156" s="42" t="str">
        <f>IF(MIS_Backend_Data!N155="Dispatch","Completed","NA")</f>
        <v>NA</v>
      </c>
      <c r="U156" t="str">
        <f t="shared" si="6"/>
        <v/>
      </c>
      <c r="V156" t="str">
        <f t="shared" si="7"/>
        <v/>
      </c>
      <c r="W156" s="20" t="str">
        <f t="shared" si="8"/>
        <v/>
      </c>
    </row>
    <row r="157" spans="2:23" ht="14.5">
      <c r="B157" s="205" t="str">
        <f ca="1"/>
        <v>2719063</v>
      </c>
      <c r="C157" s="17" t="str">
        <f ca="1"/>
        <v>SBI General Insurance Company Ltd</v>
      </c>
      <c r="D157" s="17" t="str">
        <f ca="1"/>
        <v>S002-1155-SS-2025</v>
      </c>
      <c r="E157" s="19">
        <f ca="1"/>
        <v>21</v>
      </c>
      <c r="F157" s="19" t="str">
        <f>IF(MIS_Backend_Data!O156="", "", MIS_Backend_Data!O156)</f>
        <v>Completed</v>
      </c>
      <c r="G157" t="str">
        <f>IF(MIS_Backend_Data!T156="", "", MIS_Backend_Data!T156)</f>
        <v xml:space="preserve">NA </v>
      </c>
      <c r="H157" t="str">
        <f>IF(MIS_Backend_Data!X156="", "", MIS_Backend_Data!X156)</f>
        <v xml:space="preserve">NA </v>
      </c>
      <c r="I157" t="str">
        <f>IF(MIS_Backend_Data!AC156="", "", MIS_Backend_Data!AC156)</f>
        <v xml:space="preserve">NA </v>
      </c>
      <c r="J157" t="str">
        <f>IF(MIS_Backend_Data!AB156="", "", MIS_Backend_Data!AB156)</f>
        <v xml:space="preserve">NA </v>
      </c>
      <c r="K157" t="str">
        <f>IF(MIS_Backend_Data!AG156="", "", MIS_Backend_Data!AG156)</f>
        <v>NA</v>
      </c>
      <c r="L157" s="20" t="str">
        <f>IF(MIS_Backend_Data!AI156="", "", MIS_Backend_Data!AI156)</f>
        <v>NA</v>
      </c>
      <c r="M157" t="str">
        <f>IF(MIS_Backend_Data!AK156="", "", MIS_Backend_Data!AK156)</f>
        <v>NA</v>
      </c>
      <c r="N157" t="str">
        <f>IF(MIS_Backend_Data!AM156="", "", MIS_Backend_Data!AM156)</f>
        <v>NA</v>
      </c>
      <c r="O157" t="str">
        <f>IF(MIS_Backend_Data!AO156="", "", MIS_Backend_Data!AO156)</f>
        <v>NA</v>
      </c>
      <c r="P157" t="str">
        <f>IF(MIS_Backend_Data!AS156="", "", MIS_Backend_Data!AS156)</f>
        <v xml:space="preserve">NA </v>
      </c>
      <c r="Q157" t="str">
        <f>IF(MIS_Backend_Data!AX156="", "", MIS_Backend_Data!AX156)</f>
        <v>NA</v>
      </c>
      <c r="R157" t="str">
        <f>IF(MIS_Backend_Data!BB156="", "", MIS_Backend_Data!BB156)</f>
        <v>Completed</v>
      </c>
      <c r="S157" t="str">
        <f>IF(MIS_Backend_Data!AW156="", "", MIS_Backend_Data!AW156)</f>
        <v xml:space="preserve">NA </v>
      </c>
      <c r="T157" s="42" t="str">
        <f>IF(MIS_Backend_Data!N156="Dispatch","Completed","NA")</f>
        <v>Completed</v>
      </c>
      <c r="U157" t="str">
        <f t="shared" si="6"/>
        <v/>
      </c>
      <c r="V157" t="str">
        <f t="shared" si="7"/>
        <v/>
      </c>
      <c r="W157" s="20" t="str">
        <f t="shared" si="8"/>
        <v/>
      </c>
    </row>
    <row r="158" spans="2:23" ht="14.5">
      <c r="B158" s="205" t="str">
        <f ca="1"/>
        <v>2719062</v>
      </c>
      <c r="C158" s="17" t="str">
        <f ca="1"/>
        <v>SBI General Insurance Company Ltd</v>
      </c>
      <c r="D158" s="17" t="str">
        <f ca="1"/>
        <v>S002-1156-SS-2025</v>
      </c>
      <c r="E158" s="19">
        <f ca="1"/>
        <v>21</v>
      </c>
      <c r="F158" s="19" t="str">
        <f>IF(MIS_Backend_Data!O157="", "", MIS_Backend_Data!O157)</f>
        <v>Completed</v>
      </c>
      <c r="G158" t="str">
        <f>IF(MIS_Backend_Data!T157="", "", MIS_Backend_Data!T157)</f>
        <v xml:space="preserve">NA </v>
      </c>
      <c r="H158" t="str">
        <f>IF(MIS_Backend_Data!X157="", "", MIS_Backend_Data!X157)</f>
        <v xml:space="preserve">NA </v>
      </c>
      <c r="I158" t="str">
        <f>IF(MIS_Backend_Data!AC157="", "", MIS_Backend_Data!AC157)</f>
        <v xml:space="preserve">NA </v>
      </c>
      <c r="J158" t="str">
        <f>IF(MIS_Backend_Data!AB157="", "", MIS_Backend_Data!AB157)</f>
        <v xml:space="preserve">NA </v>
      </c>
      <c r="K158" t="str">
        <f>IF(MIS_Backend_Data!AG157="", "", MIS_Backend_Data!AG157)</f>
        <v>NA</v>
      </c>
      <c r="L158" s="20" t="str">
        <f>IF(MIS_Backend_Data!AI157="", "", MIS_Backend_Data!AI157)</f>
        <v>NA</v>
      </c>
      <c r="M158" t="str">
        <f>IF(MIS_Backend_Data!AK157="", "", MIS_Backend_Data!AK157)</f>
        <v>NA</v>
      </c>
      <c r="N158" t="str">
        <f>IF(MIS_Backend_Data!AM157="", "", MIS_Backend_Data!AM157)</f>
        <v>NA</v>
      </c>
      <c r="O158" t="str">
        <f>IF(MIS_Backend_Data!AO157="", "", MIS_Backend_Data!AO157)</f>
        <v>NA</v>
      </c>
      <c r="P158" t="str">
        <f>IF(MIS_Backend_Data!AS157="", "", MIS_Backend_Data!AS157)</f>
        <v xml:space="preserve">NA </v>
      </c>
      <c r="Q158" t="str">
        <f>IF(MIS_Backend_Data!AX157="", "", MIS_Backend_Data!AX157)</f>
        <v>NA</v>
      </c>
      <c r="R158" t="str">
        <f>IF(MIS_Backend_Data!BB157="", "", MIS_Backend_Data!BB157)</f>
        <v>Completed</v>
      </c>
      <c r="S158" t="str">
        <f>IF(MIS_Backend_Data!AW157="", "", MIS_Backend_Data!AW157)</f>
        <v xml:space="preserve">NA </v>
      </c>
      <c r="T158" s="42" t="str">
        <f>IF(MIS_Backend_Data!N157="Dispatch","Completed","NA")</f>
        <v>Completed</v>
      </c>
      <c r="U158" t="str">
        <f t="shared" si="6"/>
        <v/>
      </c>
      <c r="V158" t="str">
        <f t="shared" si="7"/>
        <v/>
      </c>
      <c r="W158" s="20" t="str">
        <f t="shared" si="8"/>
        <v/>
      </c>
    </row>
    <row r="159" spans="2:23" ht="14.5">
      <c r="B159" s="205" t="str">
        <f ca="1"/>
        <v>2687368</v>
      </c>
      <c r="C159" s="17" t="str">
        <f ca="1"/>
        <v>SBI General Insurance Company Ltd</v>
      </c>
      <c r="D159" s="17" t="str">
        <f ca="1"/>
        <v>S002-1157-SS-2025</v>
      </c>
      <c r="E159" s="19">
        <f ca="1"/>
        <v>7</v>
      </c>
      <c r="F159" s="19" t="str">
        <f>IF(MIS_Backend_Data!O158="", "", MIS_Backend_Data!O158)</f>
        <v>Completed</v>
      </c>
      <c r="G159" t="str">
        <f>IF(MIS_Backend_Data!T158="", "", MIS_Backend_Data!T158)</f>
        <v xml:space="preserve">NA </v>
      </c>
      <c r="H159" t="str">
        <f>IF(MIS_Backend_Data!X158="", "", MIS_Backend_Data!X158)</f>
        <v xml:space="preserve">NA </v>
      </c>
      <c r="I159" t="str">
        <f>IF(MIS_Backend_Data!AC158="", "", MIS_Backend_Data!AC158)</f>
        <v xml:space="preserve">NA </v>
      </c>
      <c r="J159" t="str">
        <f>IF(MIS_Backend_Data!AB158="", "", MIS_Backend_Data!AB158)</f>
        <v xml:space="preserve">NA </v>
      </c>
      <c r="K159" t="str">
        <f>IF(MIS_Backend_Data!AG158="", "", MIS_Backend_Data!AG158)</f>
        <v>NA</v>
      </c>
      <c r="L159" s="20" t="str">
        <f>IF(MIS_Backend_Data!AI158="", "", MIS_Backend_Data!AI158)</f>
        <v>NA</v>
      </c>
      <c r="M159" t="str">
        <f>IF(MIS_Backend_Data!AK158="", "", MIS_Backend_Data!AK158)</f>
        <v>NA</v>
      </c>
      <c r="N159" t="str">
        <f>IF(MIS_Backend_Data!AM158="", "", MIS_Backend_Data!AM158)</f>
        <v>NA</v>
      </c>
      <c r="O159" t="str">
        <f>IF(MIS_Backend_Data!AO158="", "", MIS_Backend_Data!AO158)</f>
        <v>NA</v>
      </c>
      <c r="P159" t="str">
        <f>IF(MIS_Backend_Data!AS158="", "", MIS_Backend_Data!AS158)</f>
        <v xml:space="preserve">NA </v>
      </c>
      <c r="Q159" t="str">
        <f>IF(MIS_Backend_Data!AX158="", "", MIS_Backend_Data!AX158)</f>
        <v>NA</v>
      </c>
      <c r="R159" t="str">
        <f>IF(MIS_Backend_Data!BB158="", "", MIS_Backend_Data!BB158)</f>
        <v>WIP</v>
      </c>
      <c r="S159" t="str">
        <f>IF(MIS_Backend_Data!AW158="", "", MIS_Backend_Data!AW158)</f>
        <v xml:space="preserve">NA </v>
      </c>
      <c r="T159" s="42" t="str">
        <f>IF(MIS_Backend_Data!N158="Dispatch","Completed","NA")</f>
        <v>NA</v>
      </c>
      <c r="U159" t="str">
        <f t="shared" si="6"/>
        <v/>
      </c>
      <c r="V159" t="str">
        <f t="shared" si="7"/>
        <v/>
      </c>
      <c r="W159" s="20" t="str">
        <f t="shared" si="8"/>
        <v/>
      </c>
    </row>
    <row r="160" spans="2:23" ht="14.5">
      <c r="B160" s="205" t="str">
        <f ca="1"/>
        <v>2675206</v>
      </c>
      <c r="C160" s="17" t="str">
        <f ca="1"/>
        <v>SBI General Insurance Company Ltd</v>
      </c>
      <c r="D160" s="17" t="str">
        <f ca="1"/>
        <v>S002-1158-SS-2025</v>
      </c>
      <c r="E160" s="19">
        <f ca="1"/>
        <v>7</v>
      </c>
      <c r="F160" s="19" t="str">
        <f>IF(MIS_Backend_Data!O159="", "", MIS_Backend_Data!O159)</f>
        <v>Completed</v>
      </c>
      <c r="G160" t="str">
        <f>IF(MIS_Backend_Data!T159="", "", MIS_Backend_Data!T159)</f>
        <v xml:space="preserve">NA </v>
      </c>
      <c r="H160" t="str">
        <f>IF(MIS_Backend_Data!X159="", "", MIS_Backend_Data!X159)</f>
        <v xml:space="preserve">NA </v>
      </c>
      <c r="I160" t="str">
        <f>IF(MIS_Backend_Data!AC159="", "", MIS_Backend_Data!AC159)</f>
        <v xml:space="preserve">NA </v>
      </c>
      <c r="J160" t="str">
        <f>IF(MIS_Backend_Data!AB159="", "", MIS_Backend_Data!AB159)</f>
        <v xml:space="preserve">NA </v>
      </c>
      <c r="K160" t="str">
        <f>IF(MIS_Backend_Data!AG159="", "", MIS_Backend_Data!AG159)</f>
        <v>NA</v>
      </c>
      <c r="L160" s="20" t="str">
        <f>IF(MIS_Backend_Data!AI159="", "", MIS_Backend_Data!AI159)</f>
        <v>NA</v>
      </c>
      <c r="M160" t="str">
        <f>IF(MIS_Backend_Data!AK159="", "", MIS_Backend_Data!AK159)</f>
        <v>NA</v>
      </c>
      <c r="N160" t="str">
        <f>IF(MIS_Backend_Data!AM159="", "", MIS_Backend_Data!AM159)</f>
        <v>NA</v>
      </c>
      <c r="O160" t="str">
        <f>IF(MIS_Backend_Data!AO159="", "", MIS_Backend_Data!AO159)</f>
        <v>NA</v>
      </c>
      <c r="P160" t="str">
        <f>IF(MIS_Backend_Data!AS159="", "", MIS_Backend_Data!AS159)</f>
        <v xml:space="preserve">NA </v>
      </c>
      <c r="Q160" t="str">
        <f>IF(MIS_Backend_Data!AX159="", "", MIS_Backend_Data!AX159)</f>
        <v>NA</v>
      </c>
      <c r="R160" t="str">
        <f>IF(MIS_Backend_Data!BB159="", "", MIS_Backend_Data!BB159)</f>
        <v>Completed</v>
      </c>
      <c r="S160" t="str">
        <f>IF(MIS_Backend_Data!AW159="", "", MIS_Backend_Data!AW159)</f>
        <v xml:space="preserve">NA </v>
      </c>
      <c r="T160" s="42" t="str">
        <f>IF(MIS_Backend_Data!N159="Dispatch","Completed","NA")</f>
        <v>NA</v>
      </c>
      <c r="U160" t="str">
        <f t="shared" si="6"/>
        <v/>
      </c>
      <c r="V160" t="str">
        <f t="shared" si="7"/>
        <v/>
      </c>
      <c r="W160" s="20" t="str">
        <f t="shared" si="8"/>
        <v/>
      </c>
    </row>
    <row r="161" spans="2:23" ht="14.5">
      <c r="B161" s="205" t="str">
        <f ca="1"/>
        <v>2688502</v>
      </c>
      <c r="C161" s="17" t="str">
        <f ca="1"/>
        <v>SBI General Insurance Company Ltd</v>
      </c>
      <c r="D161" s="17" t="str">
        <f ca="1"/>
        <v>S002-1159-SS-2025</v>
      </c>
      <c r="E161" s="19">
        <f ca="1"/>
        <v>4</v>
      </c>
      <c r="F161" s="19" t="str">
        <f>IF(MIS_Backend_Data!O160="", "", MIS_Backend_Data!O160)</f>
        <v>Completed</v>
      </c>
      <c r="G161" t="str">
        <f>IF(MIS_Backend_Data!T160="", "", MIS_Backend_Data!T160)</f>
        <v xml:space="preserve">NA </v>
      </c>
      <c r="H161" t="str">
        <f>IF(MIS_Backend_Data!X160="", "", MIS_Backend_Data!X160)</f>
        <v xml:space="preserve">NA </v>
      </c>
      <c r="I161" t="str">
        <f>IF(MIS_Backend_Data!AC160="", "", MIS_Backend_Data!AC160)</f>
        <v xml:space="preserve">NA </v>
      </c>
      <c r="J161" t="str">
        <f>IF(MIS_Backend_Data!AB160="", "", MIS_Backend_Data!AB160)</f>
        <v xml:space="preserve">NA </v>
      </c>
      <c r="K161" t="str">
        <f>IF(MIS_Backend_Data!AG160="", "", MIS_Backend_Data!AG160)</f>
        <v>NA</v>
      </c>
      <c r="L161" s="20" t="str">
        <f>IF(MIS_Backend_Data!AI160="", "", MIS_Backend_Data!AI160)</f>
        <v>NA</v>
      </c>
      <c r="M161" t="str">
        <f>IF(MIS_Backend_Data!AK160="", "", MIS_Backend_Data!AK160)</f>
        <v>NA</v>
      </c>
      <c r="N161" t="str">
        <f>IF(MIS_Backend_Data!AM160="", "", MIS_Backend_Data!AM160)</f>
        <v>NA</v>
      </c>
      <c r="O161" t="str">
        <f>IF(MIS_Backend_Data!AO160="", "", MIS_Backend_Data!AO160)</f>
        <v>NA</v>
      </c>
      <c r="P161" t="str">
        <f>IF(MIS_Backend_Data!AS160="", "", MIS_Backend_Data!AS160)</f>
        <v xml:space="preserve">NA </v>
      </c>
      <c r="Q161" t="str">
        <f>IF(MIS_Backend_Data!AX160="", "", MIS_Backend_Data!AX160)</f>
        <v>NA</v>
      </c>
      <c r="R161" t="str">
        <f>IF(MIS_Backend_Data!BB160="", "", MIS_Backend_Data!BB160)</f>
        <v>Completed</v>
      </c>
      <c r="S161" t="str">
        <f>IF(MIS_Backend_Data!AW160="", "", MIS_Backend_Data!AW160)</f>
        <v xml:space="preserve">NA </v>
      </c>
      <c r="T161" s="42" t="str">
        <f>IF(MIS_Backend_Data!N160="Dispatch","Completed","NA")</f>
        <v>Completed</v>
      </c>
      <c r="U161" t="str">
        <f t="shared" si="6"/>
        <v/>
      </c>
      <c r="V161" t="str">
        <f t="shared" si="7"/>
        <v/>
      </c>
      <c r="W161" s="20" t="str">
        <f t="shared" si="8"/>
        <v/>
      </c>
    </row>
    <row r="162" spans="2:23" ht="14.5">
      <c r="B162" s="205" t="str">
        <f ca="1"/>
        <v>2688503</v>
      </c>
      <c r="C162" s="17" t="str">
        <f ca="1"/>
        <v>SBI General Insurance Company Ltd</v>
      </c>
      <c r="D162" s="17" t="str">
        <f ca="1"/>
        <v>S002-1160-SS-2025</v>
      </c>
      <c r="E162" s="19">
        <f ca="1"/>
        <v>4</v>
      </c>
      <c r="F162" s="19" t="str">
        <f>IF(MIS_Backend_Data!O161="", "", MIS_Backend_Data!O161)</f>
        <v>Completed</v>
      </c>
      <c r="G162" t="str">
        <f>IF(MIS_Backend_Data!T161="", "", MIS_Backend_Data!T161)</f>
        <v xml:space="preserve">NA </v>
      </c>
      <c r="H162" t="str">
        <f>IF(MIS_Backend_Data!X161="", "", MIS_Backend_Data!X161)</f>
        <v xml:space="preserve">NA </v>
      </c>
      <c r="I162" t="str">
        <f>IF(MIS_Backend_Data!AC161="", "", MIS_Backend_Data!AC161)</f>
        <v xml:space="preserve">NA </v>
      </c>
      <c r="J162" t="str">
        <f>IF(MIS_Backend_Data!AB161="", "", MIS_Backend_Data!AB161)</f>
        <v xml:space="preserve">NA </v>
      </c>
      <c r="K162" t="str">
        <f>IF(MIS_Backend_Data!AG161="", "", MIS_Backend_Data!AG161)</f>
        <v>NA</v>
      </c>
      <c r="L162" s="20" t="str">
        <f>IF(MIS_Backend_Data!AI161="", "", MIS_Backend_Data!AI161)</f>
        <v>NA</v>
      </c>
      <c r="M162" t="str">
        <f>IF(MIS_Backend_Data!AK161="", "", MIS_Backend_Data!AK161)</f>
        <v>NA</v>
      </c>
      <c r="N162" t="str">
        <f>IF(MIS_Backend_Data!AM161="", "", MIS_Backend_Data!AM161)</f>
        <v>NA</v>
      </c>
      <c r="O162" t="str">
        <f>IF(MIS_Backend_Data!AO161="", "", MIS_Backend_Data!AO161)</f>
        <v>NA</v>
      </c>
      <c r="P162" t="str">
        <f>IF(MIS_Backend_Data!AS161="", "", MIS_Backend_Data!AS161)</f>
        <v xml:space="preserve">NA </v>
      </c>
      <c r="Q162" t="str">
        <f>IF(MIS_Backend_Data!AX161="", "", MIS_Backend_Data!AX161)</f>
        <v>NA</v>
      </c>
      <c r="R162" t="str">
        <f>IF(MIS_Backend_Data!BB161="", "", MIS_Backend_Data!BB161)</f>
        <v>Completed</v>
      </c>
      <c r="S162" t="str">
        <f>IF(MIS_Backend_Data!AW161="", "", MIS_Backend_Data!AW161)</f>
        <v xml:space="preserve">NA </v>
      </c>
      <c r="T162" s="42" t="str">
        <f>IF(MIS_Backend_Data!N161="Dispatch","Completed","NA")</f>
        <v>Completed</v>
      </c>
      <c r="U162" t="str">
        <f t="shared" si="6"/>
        <v/>
      </c>
      <c r="V162" t="str">
        <f t="shared" si="7"/>
        <v/>
      </c>
      <c r="W162" s="20" t="str">
        <f t="shared" si="8"/>
        <v/>
      </c>
    </row>
    <row r="163" spans="2:23" ht="14.5">
      <c r="B163" s="205" t="str">
        <f ca="1"/>
        <v>2531991</v>
      </c>
      <c r="C163" s="17" t="str">
        <f ca="1"/>
        <v>SBI General Insurance Company Ltd</v>
      </c>
      <c r="D163" s="17" t="str">
        <f ca="1"/>
        <v>S002-1161-SS-2025</v>
      </c>
      <c r="E163" s="19">
        <f ca="1"/>
        <v>14</v>
      </c>
      <c r="F163" s="19" t="str">
        <f>IF(MIS_Backend_Data!O162="", "", MIS_Backend_Data!O162)</f>
        <v>Completed</v>
      </c>
      <c r="G163" t="str">
        <f>IF(MIS_Backend_Data!T162="", "", MIS_Backend_Data!T162)</f>
        <v xml:space="preserve">NA </v>
      </c>
      <c r="H163" t="str">
        <f>IF(MIS_Backend_Data!X162="", "", MIS_Backend_Data!X162)</f>
        <v xml:space="preserve">NA </v>
      </c>
      <c r="I163" t="str">
        <f>IF(MIS_Backend_Data!AC162="", "", MIS_Backend_Data!AC162)</f>
        <v xml:space="preserve">NA </v>
      </c>
      <c r="J163" t="str">
        <f>IF(MIS_Backend_Data!AB162="", "", MIS_Backend_Data!AB162)</f>
        <v xml:space="preserve">NA </v>
      </c>
      <c r="K163" t="str">
        <f>IF(MIS_Backend_Data!AG162="", "", MIS_Backend_Data!AG162)</f>
        <v>NA</v>
      </c>
      <c r="L163" s="20" t="str">
        <f>IF(MIS_Backend_Data!AI162="", "", MIS_Backend_Data!AI162)</f>
        <v>NA</v>
      </c>
      <c r="M163" t="str">
        <f>IF(MIS_Backend_Data!AK162="", "", MIS_Backend_Data!AK162)</f>
        <v>NA</v>
      </c>
      <c r="N163" t="str">
        <f>IF(MIS_Backend_Data!AM162="", "", MIS_Backend_Data!AM162)</f>
        <v>NA</v>
      </c>
      <c r="O163" t="str">
        <f>IF(MIS_Backend_Data!AO162="", "", MIS_Backend_Data!AO162)</f>
        <v>NA</v>
      </c>
      <c r="P163" t="str">
        <f>IF(MIS_Backend_Data!AS162="", "", MIS_Backend_Data!AS162)</f>
        <v xml:space="preserve">NA </v>
      </c>
      <c r="Q163" t="str">
        <f>IF(MIS_Backend_Data!AX162="", "", MIS_Backend_Data!AX162)</f>
        <v>NA</v>
      </c>
      <c r="R163" t="str">
        <f>IF(MIS_Backend_Data!BB162="", "", MIS_Backend_Data!BB162)</f>
        <v>Completed</v>
      </c>
      <c r="S163" t="str">
        <f>IF(MIS_Backend_Data!AW162="", "", MIS_Backend_Data!AW162)</f>
        <v xml:space="preserve">NA </v>
      </c>
      <c r="T163" s="42" t="str">
        <f>IF(MIS_Backend_Data!N162="Dispatch","Completed","NA")</f>
        <v>Completed</v>
      </c>
      <c r="U163" t="str">
        <f t="shared" si="6"/>
        <v/>
      </c>
      <c r="V163" t="str">
        <f t="shared" si="7"/>
        <v/>
      </c>
      <c r="W163" s="20" t="str">
        <f t="shared" si="8"/>
        <v/>
      </c>
    </row>
    <row r="164" spans="2:23" ht="14.5">
      <c r="B164" s="205" t="str">
        <f ca="1"/>
        <v>2675217</v>
      </c>
      <c r="C164" s="17" t="str">
        <f ca="1"/>
        <v>SBI General Insurance Company Ltd</v>
      </c>
      <c r="D164" s="17" t="str">
        <f ca="1"/>
        <v>S002-1162-SS-2025</v>
      </c>
      <c r="E164" s="19">
        <f ca="1"/>
        <v>16</v>
      </c>
      <c r="F164" s="19" t="str">
        <f>IF(MIS_Backend_Data!O163="", "", MIS_Backend_Data!O163)</f>
        <v>Completed</v>
      </c>
      <c r="G164" t="str">
        <f>IF(MIS_Backend_Data!T163="", "", MIS_Backend_Data!T163)</f>
        <v xml:space="preserve">NA </v>
      </c>
      <c r="H164" t="str">
        <f>IF(MIS_Backend_Data!X163="", "", MIS_Backend_Data!X163)</f>
        <v xml:space="preserve">NA </v>
      </c>
      <c r="I164" t="str">
        <f>IF(MIS_Backend_Data!AC163="", "", MIS_Backend_Data!AC163)</f>
        <v xml:space="preserve">NA </v>
      </c>
      <c r="J164" t="str">
        <f>IF(MIS_Backend_Data!AB163="", "", MIS_Backend_Data!AB163)</f>
        <v xml:space="preserve">NA </v>
      </c>
      <c r="K164" t="str">
        <f>IF(MIS_Backend_Data!AG163="", "", MIS_Backend_Data!AG163)</f>
        <v>NA</v>
      </c>
      <c r="L164" s="20" t="str">
        <f>IF(MIS_Backend_Data!AI163="", "", MIS_Backend_Data!AI163)</f>
        <v>NA</v>
      </c>
      <c r="M164" t="str">
        <f>IF(MIS_Backend_Data!AK163="", "", MIS_Backend_Data!AK163)</f>
        <v>NA</v>
      </c>
      <c r="N164" t="str">
        <f>IF(MIS_Backend_Data!AM163="", "", MIS_Backend_Data!AM163)</f>
        <v>NA</v>
      </c>
      <c r="O164" t="str">
        <f>IF(MIS_Backend_Data!AO163="", "", MIS_Backend_Data!AO163)</f>
        <v>NA</v>
      </c>
      <c r="P164" t="str">
        <f>IF(MIS_Backend_Data!AS163="", "", MIS_Backend_Data!AS163)</f>
        <v xml:space="preserve">NA </v>
      </c>
      <c r="Q164" t="str">
        <f>IF(MIS_Backend_Data!AX163="", "", MIS_Backend_Data!AX163)</f>
        <v>NA</v>
      </c>
      <c r="R164" t="str">
        <f>IF(MIS_Backend_Data!BB163="", "", MIS_Backend_Data!BB163)</f>
        <v>Completed</v>
      </c>
      <c r="S164" t="str">
        <f>IF(MIS_Backend_Data!AW163="", "", MIS_Backend_Data!AW163)</f>
        <v xml:space="preserve">NA </v>
      </c>
      <c r="T164" s="42" t="str">
        <f>IF(MIS_Backend_Data!N163="Dispatch","Completed","NA")</f>
        <v>Completed</v>
      </c>
      <c r="U164" t="str">
        <f t="shared" si="6"/>
        <v/>
      </c>
      <c r="V164" t="str">
        <f t="shared" si="7"/>
        <v/>
      </c>
      <c r="W164" s="20" t="str">
        <f t="shared" si="8"/>
        <v/>
      </c>
    </row>
    <row r="165" spans="2:23" ht="14.5">
      <c r="B165" s="205" t="str">
        <f ca="1"/>
        <v>2025201616</v>
      </c>
      <c r="C165" s="17" t="str">
        <f ca="1"/>
        <v>Indusind General Insurance Co Ltd</v>
      </c>
      <c r="D165" s="17" t="str">
        <f ca="1"/>
        <v>R001-1163-SS-2025</v>
      </c>
      <c r="E165" s="19">
        <f ca="1"/>
        <v>260</v>
      </c>
      <c r="F165" s="19" t="str">
        <f>IF(MIS_Backend_Data!O164="", "", MIS_Backend_Data!O164)</f>
        <v>Pending CS</v>
      </c>
      <c r="G165" t="str">
        <f>IF(MIS_Backend_Data!T164="", "", MIS_Backend_Data!T164)</f>
        <v>NA</v>
      </c>
      <c r="H165" t="str">
        <f>IF(MIS_Backend_Data!X164="", "", MIS_Backend_Data!X164)</f>
        <v>NA</v>
      </c>
      <c r="I165" t="str">
        <f>IF(MIS_Backend_Data!AC164="", "", MIS_Backend_Data!AC164)</f>
        <v>NA</v>
      </c>
      <c r="J165" t="str">
        <f>IF(MIS_Backend_Data!AB164="", "", MIS_Backend_Data!AB164)</f>
        <v>NA</v>
      </c>
      <c r="K165" t="str">
        <f>IF(MIS_Backend_Data!AG164="", "", MIS_Backend_Data!AG164)</f>
        <v>NA</v>
      </c>
      <c r="L165" s="20" t="str">
        <f>IF(MIS_Backend_Data!AI164="", "", MIS_Backend_Data!AI164)</f>
        <v>NA</v>
      </c>
      <c r="M165" t="str">
        <f>IF(MIS_Backend_Data!AK164="", "", MIS_Backend_Data!AK164)</f>
        <v>NA</v>
      </c>
      <c r="N165" t="str">
        <f>IF(MIS_Backend_Data!AM164="", "", MIS_Backend_Data!AM164)</f>
        <v>NA</v>
      </c>
      <c r="O165" t="str">
        <f>IF(MIS_Backend_Data!AO164="", "", MIS_Backend_Data!AO164)</f>
        <v>NA</v>
      </c>
      <c r="P165" t="str">
        <f>IF(MIS_Backend_Data!AS164="", "", MIS_Backend_Data!AS164)</f>
        <v>NA</v>
      </c>
      <c r="Q165" t="str">
        <f>IF(MIS_Backend_Data!AX164="", "", MIS_Backend_Data!AX164)</f>
        <v>WIP</v>
      </c>
      <c r="R165" t="str">
        <f>IF(MIS_Backend_Data!BB164="", "", MIS_Backend_Data!BB164)</f>
        <v>NA</v>
      </c>
      <c r="S165" t="str">
        <f>IF(MIS_Backend_Data!AW164="", "", MIS_Backend_Data!AW164)</f>
        <v>NA</v>
      </c>
      <c r="T165" s="42" t="str">
        <f>IF(MIS_Backend_Data!N164="Dispatch","Completed","NA")</f>
        <v>NA</v>
      </c>
      <c r="U165" t="str">
        <f t="shared" si="6"/>
        <v/>
      </c>
      <c r="V165" t="str">
        <f t="shared" si="7"/>
        <v/>
      </c>
      <c r="W165" s="20" t="str">
        <f t="shared" si="8"/>
        <v/>
      </c>
    </row>
    <row r="166" spans="2:23" ht="14.5">
      <c r="B166" s="205" t="str">
        <f ca="1"/>
        <v>2025202958</v>
      </c>
      <c r="C166" s="17" t="str">
        <f ca="1"/>
        <v>Indusind General Insurance Co Ltd</v>
      </c>
      <c r="D166" s="17" t="str">
        <f ca="1"/>
        <v>R001-1164-SS-2025</v>
      </c>
      <c r="E166" s="19">
        <f ca="1"/>
        <v>293</v>
      </c>
      <c r="F166" s="19" t="str">
        <f>IF(MIS_Backend_Data!O165="", "", MIS_Backend_Data!O165)</f>
        <v>Connected Pending</v>
      </c>
      <c r="G166" t="str">
        <f>IF(MIS_Backend_Data!T165="", "", MIS_Backend_Data!T165)</f>
        <v>Completed</v>
      </c>
      <c r="H166" t="str">
        <f>IF(MIS_Backend_Data!X165="", "", MIS_Backend_Data!X165)</f>
        <v>NA</v>
      </c>
      <c r="I166" t="str">
        <f>IF(MIS_Backend_Data!AC165="", "", MIS_Backend_Data!AC165)</f>
        <v>NA</v>
      </c>
      <c r="J166" t="str">
        <f>IF(MIS_Backend_Data!AB165="", "", MIS_Backend_Data!AB165)</f>
        <v>NA</v>
      </c>
      <c r="K166" t="str">
        <f>IF(MIS_Backend_Data!AG165="", "", MIS_Backend_Data!AG165)</f>
        <v>NA</v>
      </c>
      <c r="L166" s="20" t="str">
        <f>IF(MIS_Backend_Data!AI165="", "", MIS_Backend_Data!AI165)</f>
        <v>NA</v>
      </c>
      <c r="M166" t="str">
        <f>IF(MIS_Backend_Data!AK165="", "", MIS_Backend_Data!AK165)</f>
        <v>NA</v>
      </c>
      <c r="N166" t="str">
        <f>IF(MIS_Backend_Data!AM165="", "", MIS_Backend_Data!AM165)</f>
        <v>NA</v>
      </c>
      <c r="O166" t="str">
        <f>IF(MIS_Backend_Data!AO165="", "", MIS_Backend_Data!AO165)</f>
        <v>NA</v>
      </c>
      <c r="P166" t="str">
        <f>IF(MIS_Backend_Data!AS165="", "", MIS_Backend_Data!AS165)</f>
        <v>NA</v>
      </c>
      <c r="Q166" t="str">
        <f>IF(MIS_Backend_Data!AX165="", "", MIS_Backend_Data!AX165)</f>
        <v>NA</v>
      </c>
      <c r="R166" t="str">
        <f>IF(MIS_Backend_Data!BB165="", "", MIS_Backend_Data!BB165)</f>
        <v>NA</v>
      </c>
      <c r="S166" t="str">
        <f>IF(MIS_Backend_Data!AW165="", "", MIS_Backend_Data!AW165)</f>
        <v>NA</v>
      </c>
      <c r="T166" s="42" t="str">
        <f>IF(MIS_Backend_Data!N165="Dispatch","Completed","NA")</f>
        <v>NA</v>
      </c>
      <c r="U166" t="str">
        <f t="shared" si="6"/>
        <v/>
      </c>
      <c r="V166" t="str">
        <f t="shared" si="7"/>
        <v/>
      </c>
      <c r="W166" s="20" t="str">
        <f t="shared" si="8"/>
        <v/>
      </c>
    </row>
    <row r="167" spans="2:23" ht="14.5">
      <c r="B167" s="205" t="str">
        <f ca="1"/>
        <v>2025202883</v>
      </c>
      <c r="C167" s="17" t="str">
        <f ca="1"/>
        <v>Indusind General Insurance Co Ltd</v>
      </c>
      <c r="D167" s="17" t="str">
        <f ca="1"/>
        <v>R001-1165-SS-2025</v>
      </c>
      <c r="E167" s="19">
        <f ca="1"/>
        <v>293</v>
      </c>
      <c r="F167" s="19" t="str">
        <f>IF(MIS_Backend_Data!O166="", "", MIS_Backend_Data!O166)</f>
        <v>Pending CS</v>
      </c>
      <c r="G167" t="str">
        <f>IF(MIS_Backend_Data!T166="", "", MIS_Backend_Data!T166)</f>
        <v>Completed</v>
      </c>
      <c r="H167" t="str">
        <f>IF(MIS_Backend_Data!X166="", "", MIS_Backend_Data!X166)</f>
        <v>NA</v>
      </c>
      <c r="I167" t="str">
        <f>IF(MIS_Backend_Data!AC166="", "", MIS_Backend_Data!AC166)</f>
        <v>Completed</v>
      </c>
      <c r="J167" t="str">
        <f>IF(MIS_Backend_Data!AB166="", "", MIS_Backend_Data!AB166)</f>
        <v>NA</v>
      </c>
      <c r="K167" t="str">
        <f>IF(MIS_Backend_Data!AG166="", "", MIS_Backend_Data!AG166)</f>
        <v>NA</v>
      </c>
      <c r="L167" s="20" t="str">
        <f>IF(MIS_Backend_Data!AI166="", "", MIS_Backend_Data!AI166)</f>
        <v>NA</v>
      </c>
      <c r="M167" t="str">
        <f>IF(MIS_Backend_Data!AK166="", "", MIS_Backend_Data!AK166)</f>
        <v>NA</v>
      </c>
      <c r="N167" t="str">
        <f>IF(MIS_Backend_Data!AM166="", "", MIS_Backend_Data!AM166)</f>
        <v>NA</v>
      </c>
      <c r="O167" t="str">
        <f>IF(MIS_Backend_Data!AO166="", "", MIS_Backend_Data!AO166)</f>
        <v>NA</v>
      </c>
      <c r="P167" t="str">
        <f>IF(MIS_Backend_Data!AS166="", "", MIS_Backend_Data!AS166)</f>
        <v>Completed</v>
      </c>
      <c r="Q167" t="str">
        <f>IF(MIS_Backend_Data!AX166="", "", MIS_Backend_Data!AX166)</f>
        <v>WIP</v>
      </c>
      <c r="R167" t="str">
        <f>IF(MIS_Backend_Data!BB166="", "", MIS_Backend_Data!BB166)</f>
        <v>NA</v>
      </c>
      <c r="S167" t="str">
        <f>IF(MIS_Backend_Data!AW166="", "", MIS_Backend_Data!AW166)</f>
        <v>NA</v>
      </c>
      <c r="T167" s="42" t="str">
        <f>IF(MIS_Backend_Data!N166="Dispatch","Completed","NA")</f>
        <v>NA</v>
      </c>
      <c r="U167" t="str">
        <f t="shared" si="6"/>
        <v/>
      </c>
      <c r="V167" t="str">
        <f t="shared" si="7"/>
        <v/>
      </c>
      <c r="W167" s="20" t="str">
        <f t="shared" si="8"/>
        <v/>
      </c>
    </row>
    <row r="168" spans="2:23" ht="14.5">
      <c r="B168" s="205" t="str">
        <f ca="1"/>
        <v>2024209819</v>
      </c>
      <c r="C168" s="17" t="str">
        <f ca="1"/>
        <v>Indusind General Insurance Co Ltd</v>
      </c>
      <c r="D168" s="17" t="str">
        <f ca="1"/>
        <v>R001-1166-SS-2025</v>
      </c>
      <c r="E168" s="19">
        <f ca="1"/>
        <v>462</v>
      </c>
      <c r="F168" s="19" t="str">
        <f>IF(MIS_Backend_Data!O167="", "", MIS_Backend_Data!O167)</f>
        <v>Completed</v>
      </c>
      <c r="G168" t="str">
        <f>IF(MIS_Backend_Data!T167="", "", MIS_Backend_Data!T167)</f>
        <v>Completed</v>
      </c>
      <c r="H168" t="str">
        <f>IF(MIS_Backend_Data!X167="", "", MIS_Backend_Data!X167)</f>
        <v>NA</v>
      </c>
      <c r="I168" t="str">
        <f>IF(MIS_Backend_Data!AC167="", "", MIS_Backend_Data!AC167)</f>
        <v>NA</v>
      </c>
      <c r="J168" t="str">
        <f>IF(MIS_Backend_Data!AB167="", "", MIS_Backend_Data!AB167)</f>
        <v>NA</v>
      </c>
      <c r="K168" t="str">
        <f>IF(MIS_Backend_Data!AG167="", "", MIS_Backend_Data!AG167)</f>
        <v>NA</v>
      </c>
      <c r="L168" s="20" t="str">
        <f>IF(MIS_Backend_Data!AI167="", "", MIS_Backend_Data!AI167)</f>
        <v>NA</v>
      </c>
      <c r="M168" t="str">
        <f>IF(MIS_Backend_Data!AK167="", "", MIS_Backend_Data!AK167)</f>
        <v>NA</v>
      </c>
      <c r="N168" t="str">
        <f>IF(MIS_Backend_Data!AM167="", "", MIS_Backend_Data!AM167)</f>
        <v>NA</v>
      </c>
      <c r="O168" t="str">
        <f>IF(MIS_Backend_Data!AO167="", "", MIS_Backend_Data!AO167)</f>
        <v>NA</v>
      </c>
      <c r="P168" t="str">
        <f>IF(MIS_Backend_Data!AS167="", "", MIS_Backend_Data!AS167)</f>
        <v>NA</v>
      </c>
      <c r="Q168" t="str">
        <f>IF(MIS_Backend_Data!AX167="", "", MIS_Backend_Data!AX167)</f>
        <v>Completed</v>
      </c>
      <c r="R168" t="str">
        <f>IF(MIS_Backend_Data!BB167="", "", MIS_Backend_Data!BB167)</f>
        <v>NA</v>
      </c>
      <c r="S168" t="str">
        <f>IF(MIS_Backend_Data!AW167="", "", MIS_Backend_Data!AW167)</f>
        <v>NA</v>
      </c>
      <c r="T168" s="42" t="str">
        <f>IF(MIS_Backend_Data!N167="Dispatch","Completed","NA")</f>
        <v>Completed</v>
      </c>
      <c r="U168" t="str">
        <f t="shared" si="6"/>
        <v/>
      </c>
      <c r="V168" t="str">
        <f t="shared" si="7"/>
        <v/>
      </c>
      <c r="W168" s="20" t="str">
        <f t="shared" si="8"/>
        <v/>
      </c>
    </row>
    <row r="169" spans="2:23" ht="14.5">
      <c r="B169" s="205" t="str">
        <f ca="1"/>
        <v>2025202179</v>
      </c>
      <c r="C169" s="17" t="str">
        <f ca="1"/>
        <v>Indusind General Insurance Co Ltd</v>
      </c>
      <c r="D169" s="17" t="str">
        <f ca="1"/>
        <v>R001-1167-SS-2025</v>
      </c>
      <c r="E169" s="19">
        <f ca="1"/>
        <v>308</v>
      </c>
      <c r="F169" s="19" t="str">
        <f>IF(MIS_Backend_Data!O168="", "", MIS_Backend_Data!O168)</f>
        <v>Pending CS</v>
      </c>
      <c r="G169" t="str">
        <f>IF(MIS_Backend_Data!T168="", "", MIS_Backend_Data!T168)</f>
        <v>Completed</v>
      </c>
      <c r="H169" t="str">
        <f>IF(MIS_Backend_Data!X168="", "", MIS_Backend_Data!X168)</f>
        <v>NA</v>
      </c>
      <c r="I169" t="str">
        <f>IF(MIS_Backend_Data!AC168="", "", MIS_Backend_Data!AC168)</f>
        <v>Completed</v>
      </c>
      <c r="J169" t="str">
        <f>IF(MIS_Backend_Data!AB168="", "", MIS_Backend_Data!AB168)</f>
        <v>NA</v>
      </c>
      <c r="K169" t="str">
        <f>IF(MIS_Backend_Data!AG168="", "", MIS_Backend_Data!AG168)</f>
        <v>NA</v>
      </c>
      <c r="L169" s="20" t="str">
        <f>IF(MIS_Backend_Data!AI168="", "", MIS_Backend_Data!AI168)</f>
        <v>NA</v>
      </c>
      <c r="M169" t="str">
        <f>IF(MIS_Backend_Data!AK168="", "", MIS_Backend_Data!AK168)</f>
        <v>NA</v>
      </c>
      <c r="N169" t="str">
        <f>IF(MIS_Backend_Data!AM168="", "", MIS_Backend_Data!AM168)</f>
        <v>NA</v>
      </c>
      <c r="O169" t="str">
        <f>IF(MIS_Backend_Data!AO168="", "", MIS_Backend_Data!AO168)</f>
        <v>NA</v>
      </c>
      <c r="P169" t="str">
        <f>IF(MIS_Backend_Data!AS168="", "", MIS_Backend_Data!AS168)</f>
        <v>Completed</v>
      </c>
      <c r="Q169" t="str">
        <f>IF(MIS_Backend_Data!AX168="", "", MIS_Backend_Data!AX168)</f>
        <v>WIP</v>
      </c>
      <c r="R169" t="str">
        <f>IF(MIS_Backend_Data!BB168="", "", MIS_Backend_Data!BB168)</f>
        <v>NA</v>
      </c>
      <c r="S169" t="str">
        <f>IF(MIS_Backend_Data!AW168="", "", MIS_Backend_Data!AW168)</f>
        <v>NA</v>
      </c>
      <c r="T169" s="42" t="str">
        <f>IF(MIS_Backend_Data!N168="Dispatch","Completed","NA")</f>
        <v>NA</v>
      </c>
      <c r="U169" t="str">
        <f t="shared" si="6"/>
        <v/>
      </c>
      <c r="V169" t="str">
        <f t="shared" si="7"/>
        <v/>
      </c>
      <c r="W169" s="20" t="str">
        <f t="shared" si="8"/>
        <v/>
      </c>
    </row>
    <row r="170" spans="2:23" ht="14.5">
      <c r="B170" s="205" t="str">
        <f ca="1"/>
        <v>2025200082</v>
      </c>
      <c r="C170" s="17" t="str">
        <f ca="1"/>
        <v>Indusind General Insurance Co Ltd</v>
      </c>
      <c r="D170" s="17" t="str">
        <f ca="1"/>
        <v>R001-1168-SS-2025</v>
      </c>
      <c r="E170" s="19">
        <f ca="1"/>
        <v>339</v>
      </c>
      <c r="F170" s="19" t="str">
        <f>IF(MIS_Backend_Data!O169="", "", MIS_Backend_Data!O169)</f>
        <v>Pending CS</v>
      </c>
      <c r="G170" t="str">
        <f>IF(MIS_Backend_Data!T169="", "", MIS_Backend_Data!T169)</f>
        <v>Completed</v>
      </c>
      <c r="H170" t="str">
        <f>IF(MIS_Backend_Data!X169="", "", MIS_Backend_Data!X169)</f>
        <v>NA</v>
      </c>
      <c r="I170" t="str">
        <f>IF(MIS_Backend_Data!AC169="", "", MIS_Backend_Data!AC169)</f>
        <v>Completed</v>
      </c>
      <c r="J170" t="str">
        <f>IF(MIS_Backend_Data!AB169="", "", MIS_Backend_Data!AB169)</f>
        <v>NA</v>
      </c>
      <c r="K170" t="str">
        <f>IF(MIS_Backend_Data!AG169="", "", MIS_Backend_Data!AG169)</f>
        <v>NA</v>
      </c>
      <c r="L170" s="20" t="str">
        <f>IF(MIS_Backend_Data!AI169="", "", MIS_Backend_Data!AI169)</f>
        <v>NA</v>
      </c>
      <c r="M170" t="str">
        <f>IF(MIS_Backend_Data!AK169="", "", MIS_Backend_Data!AK169)</f>
        <v>NA</v>
      </c>
      <c r="N170" t="str">
        <f>IF(MIS_Backend_Data!AM169="", "", MIS_Backend_Data!AM169)</f>
        <v>NA</v>
      </c>
      <c r="O170" t="str">
        <f>IF(MIS_Backend_Data!AO169="", "", MIS_Backend_Data!AO169)</f>
        <v>NA</v>
      </c>
      <c r="P170" t="str">
        <f>IF(MIS_Backend_Data!AS169="", "", MIS_Backend_Data!AS169)</f>
        <v>Completed</v>
      </c>
      <c r="Q170" t="str">
        <f>IF(MIS_Backend_Data!AX169="", "", MIS_Backend_Data!AX169)</f>
        <v>WIP</v>
      </c>
      <c r="R170" t="str">
        <f>IF(MIS_Backend_Data!BB169="", "", MIS_Backend_Data!BB169)</f>
        <v>NA</v>
      </c>
      <c r="S170" t="str">
        <f>IF(MIS_Backend_Data!AW169="", "", MIS_Backend_Data!AW169)</f>
        <v>NA</v>
      </c>
      <c r="T170" s="42" t="str">
        <f>IF(MIS_Backend_Data!N169="Dispatch","Completed","NA")</f>
        <v>NA</v>
      </c>
      <c r="U170" t="str">
        <f t="shared" si="6"/>
        <v/>
      </c>
      <c r="V170" t="str">
        <f t="shared" si="7"/>
        <v/>
      </c>
      <c r="W170" s="20" t="str">
        <f t="shared" si="8"/>
        <v/>
      </c>
    </row>
    <row r="171" spans="2:23" ht="14.5">
      <c r="B171" s="205" t="str">
        <f ca="1"/>
        <v>2025200765</v>
      </c>
      <c r="C171" s="17" t="str">
        <f ca="1"/>
        <v>Indusind General Insurance Co Ltd</v>
      </c>
      <c r="D171" s="17" t="str">
        <f ca="1"/>
        <v>R001-1169-SS-2025</v>
      </c>
      <c r="E171" s="19">
        <f ca="1"/>
        <v>346</v>
      </c>
      <c r="F171" s="19" t="str">
        <f>IF(MIS_Backend_Data!O170="", "", MIS_Backend_Data!O170)</f>
        <v>Pending CS</v>
      </c>
      <c r="G171" t="str">
        <f>IF(MIS_Backend_Data!T170="", "", MIS_Backend_Data!T170)</f>
        <v>Completed</v>
      </c>
      <c r="H171" t="str">
        <f>IF(MIS_Backend_Data!X170="", "", MIS_Backend_Data!X170)</f>
        <v>NA</v>
      </c>
      <c r="I171" t="str">
        <f>IF(MIS_Backend_Data!AC170="", "", MIS_Backend_Data!AC170)</f>
        <v>Completed</v>
      </c>
      <c r="J171" t="str">
        <f>IF(MIS_Backend_Data!AB170="", "", MIS_Backend_Data!AB170)</f>
        <v>NA</v>
      </c>
      <c r="K171" t="str">
        <f>IF(MIS_Backend_Data!AG170="", "", MIS_Backend_Data!AG170)</f>
        <v>Completed</v>
      </c>
      <c r="L171" s="20" t="str">
        <f>IF(MIS_Backend_Data!AI170="", "", MIS_Backend_Data!AI170)</f>
        <v>NA</v>
      </c>
      <c r="M171" t="str">
        <f>IF(MIS_Backend_Data!AK170="", "", MIS_Backend_Data!AK170)</f>
        <v>NA</v>
      </c>
      <c r="N171" t="str">
        <f>IF(MIS_Backend_Data!AM170="", "", MIS_Backend_Data!AM170)</f>
        <v>NA</v>
      </c>
      <c r="O171" t="str">
        <f>IF(MIS_Backend_Data!AO170="", "", MIS_Backend_Data!AO170)</f>
        <v>NA</v>
      </c>
      <c r="P171" t="str">
        <f>IF(MIS_Backend_Data!AS170="", "", MIS_Backend_Data!AS170)</f>
        <v>Completed</v>
      </c>
      <c r="Q171" t="str">
        <f>IF(MIS_Backend_Data!AX170="", "", MIS_Backend_Data!AX170)</f>
        <v>WIP</v>
      </c>
      <c r="R171" t="str">
        <f>IF(MIS_Backend_Data!BB170="", "", MIS_Backend_Data!BB170)</f>
        <v>NA</v>
      </c>
      <c r="S171" t="str">
        <f>IF(MIS_Backend_Data!AW170="", "", MIS_Backend_Data!AW170)</f>
        <v>NA</v>
      </c>
      <c r="T171" s="42" t="str">
        <f>IF(MIS_Backend_Data!N170="Dispatch","Completed","NA")</f>
        <v>NA</v>
      </c>
      <c r="U171" t="str">
        <f t="shared" si="6"/>
        <v/>
      </c>
      <c r="V171" t="str">
        <f t="shared" si="7"/>
        <v/>
      </c>
      <c r="W171" s="20" t="str">
        <f t="shared" si="8"/>
        <v/>
      </c>
    </row>
    <row r="172" spans="2:23" ht="14.5">
      <c r="B172" s="205" t="str">
        <f ca="1"/>
        <v>2024215431</v>
      </c>
      <c r="C172" s="17" t="str">
        <f ca="1"/>
        <v>Indusind General Insurance Co Ltd</v>
      </c>
      <c r="D172" s="17" t="str">
        <f ca="1"/>
        <v>R001-1170-SS-2025</v>
      </c>
      <c r="E172" s="19">
        <f ca="1"/>
        <v>345</v>
      </c>
      <c r="F172" s="19" t="str">
        <f>IF(MIS_Backend_Data!O171="", "", MIS_Backend_Data!O171)</f>
        <v>Completed</v>
      </c>
      <c r="G172" t="str">
        <f>IF(MIS_Backend_Data!T171="", "", MIS_Backend_Data!T171)</f>
        <v>Completed</v>
      </c>
      <c r="H172" t="str">
        <f>IF(MIS_Backend_Data!X171="", "", MIS_Backend_Data!X171)</f>
        <v>NA</v>
      </c>
      <c r="I172" t="str">
        <f>IF(MIS_Backend_Data!AC171="", "", MIS_Backend_Data!AC171)</f>
        <v>Completed</v>
      </c>
      <c r="J172" t="str">
        <f>IF(MIS_Backend_Data!AB171="", "", MIS_Backend_Data!AB171)</f>
        <v>NA</v>
      </c>
      <c r="K172" t="str">
        <f>IF(MIS_Backend_Data!AG171="", "", MIS_Backend_Data!AG171)</f>
        <v>NA</v>
      </c>
      <c r="L172" s="20" t="str">
        <f>IF(MIS_Backend_Data!AI171="", "", MIS_Backend_Data!AI171)</f>
        <v>NA</v>
      </c>
      <c r="M172" t="str">
        <f>IF(MIS_Backend_Data!AK171="", "", MIS_Backend_Data!AK171)</f>
        <v>NA</v>
      </c>
      <c r="N172" t="str">
        <f>IF(MIS_Backend_Data!AM171="", "", MIS_Backend_Data!AM171)</f>
        <v>NA</v>
      </c>
      <c r="O172" t="str">
        <f>IF(MIS_Backend_Data!AO171="", "", MIS_Backend_Data!AO171)</f>
        <v>NA</v>
      </c>
      <c r="P172" t="str">
        <f>IF(MIS_Backend_Data!AS171="", "", MIS_Backend_Data!AS171)</f>
        <v>Completed</v>
      </c>
      <c r="Q172" t="str">
        <f>IF(MIS_Backend_Data!AX171="", "", MIS_Backend_Data!AX171)</f>
        <v>Completed</v>
      </c>
      <c r="R172" t="str">
        <f>IF(MIS_Backend_Data!BB171="", "", MIS_Backend_Data!BB171)</f>
        <v>NA</v>
      </c>
      <c r="S172" t="str">
        <f>IF(MIS_Backend_Data!AW171="", "", MIS_Backend_Data!AW171)</f>
        <v>NA</v>
      </c>
      <c r="T172" s="42" t="str">
        <f>IF(MIS_Backend_Data!N171="Dispatch","Completed","NA")</f>
        <v>NA</v>
      </c>
      <c r="U172" t="str">
        <f t="shared" si="6"/>
        <v/>
      </c>
      <c r="V172" t="str">
        <f t="shared" si="7"/>
        <v/>
      </c>
      <c r="W172" s="20" t="str">
        <f t="shared" si="8"/>
        <v/>
      </c>
    </row>
    <row r="173" spans="2:23" ht="14.5">
      <c r="B173" s="205" t="str">
        <f ca="1"/>
        <v>2532036</v>
      </c>
      <c r="C173" s="17" t="str">
        <f ca="1"/>
        <v>SBI General Insurance Company Ltd</v>
      </c>
      <c r="D173" s="17" t="str">
        <f ca="1"/>
        <v>S002-1171-SS-2025</v>
      </c>
      <c r="E173" s="19">
        <f ca="1"/>
        <v>6</v>
      </c>
      <c r="F173" s="19" t="str">
        <f>IF(MIS_Backend_Data!O172="", "", MIS_Backend_Data!O172)</f>
        <v>Completed</v>
      </c>
      <c r="G173" t="str">
        <f>IF(MIS_Backend_Data!T172="", "", MIS_Backend_Data!T172)</f>
        <v xml:space="preserve">NA </v>
      </c>
      <c r="H173" t="str">
        <f>IF(MIS_Backend_Data!X172="", "", MIS_Backend_Data!X172)</f>
        <v xml:space="preserve">NA </v>
      </c>
      <c r="I173" t="str">
        <f>IF(MIS_Backend_Data!AC172="", "", MIS_Backend_Data!AC172)</f>
        <v xml:space="preserve">NA </v>
      </c>
      <c r="J173" t="str">
        <f>IF(MIS_Backend_Data!AB172="", "", MIS_Backend_Data!AB172)</f>
        <v xml:space="preserve">NA </v>
      </c>
      <c r="K173" t="str">
        <f>IF(MIS_Backend_Data!AG172="", "", MIS_Backend_Data!AG172)</f>
        <v>NA</v>
      </c>
      <c r="L173" s="20" t="str">
        <f>IF(MIS_Backend_Data!AI172="", "", MIS_Backend_Data!AI172)</f>
        <v>NA</v>
      </c>
      <c r="M173" t="str">
        <f>IF(MIS_Backend_Data!AK172="", "", MIS_Backend_Data!AK172)</f>
        <v>NA</v>
      </c>
      <c r="N173" t="str">
        <f>IF(MIS_Backend_Data!AM172="", "", MIS_Backend_Data!AM172)</f>
        <v>NA</v>
      </c>
      <c r="O173" t="str">
        <f>IF(MIS_Backend_Data!AO172="", "", MIS_Backend_Data!AO172)</f>
        <v>NA</v>
      </c>
      <c r="P173" t="str">
        <f>IF(MIS_Backend_Data!AS172="", "", MIS_Backend_Data!AS172)</f>
        <v xml:space="preserve">NA </v>
      </c>
      <c r="Q173" t="str">
        <f>IF(MIS_Backend_Data!AX172="", "", MIS_Backend_Data!AX172)</f>
        <v>NA</v>
      </c>
      <c r="R173" t="str">
        <f>IF(MIS_Backend_Data!BB172="", "", MIS_Backend_Data!BB172)</f>
        <v>Completed</v>
      </c>
      <c r="S173" t="str">
        <f>IF(MIS_Backend_Data!AW172="", "", MIS_Backend_Data!AW172)</f>
        <v xml:space="preserve">NA </v>
      </c>
      <c r="T173" s="42" t="str">
        <f>IF(MIS_Backend_Data!N172="Dispatch","Completed","NA")</f>
        <v>NA</v>
      </c>
      <c r="U173" t="str">
        <f t="shared" si="6"/>
        <v/>
      </c>
      <c r="V173" t="str">
        <f t="shared" si="7"/>
        <v/>
      </c>
      <c r="W173" s="20" t="str">
        <f t="shared" si="8"/>
        <v/>
      </c>
    </row>
    <row r="174" spans="2:23" ht="14.5">
      <c r="B174" s="205" t="str">
        <f ca="1"/>
        <v>2024215780</v>
      </c>
      <c r="C174" s="17" t="str">
        <f ca="1"/>
        <v>Indusind General Insurance Co Ltd</v>
      </c>
      <c r="D174" s="17" t="str">
        <f ca="1"/>
        <v>R001-1172-SS-2025</v>
      </c>
      <c r="E174" s="19">
        <f ca="1"/>
        <v>0</v>
      </c>
      <c r="F174" s="19" t="str">
        <f>IF(MIS_Backend_Data!O173="", "", MIS_Backend_Data!O173)</f>
        <v>Completed</v>
      </c>
      <c r="G174" t="str">
        <f>IF(MIS_Backend_Data!T173="", "", MIS_Backend_Data!T173)</f>
        <v>Completed</v>
      </c>
      <c r="H174" t="str">
        <f>IF(MIS_Backend_Data!X173="", "", MIS_Backend_Data!X173)</f>
        <v>NA</v>
      </c>
      <c r="I174" t="str">
        <f>IF(MIS_Backend_Data!AC173="", "", MIS_Backend_Data!AC173)</f>
        <v>NA</v>
      </c>
      <c r="J174" t="str">
        <f>IF(MIS_Backend_Data!AB173="", "", MIS_Backend_Data!AB173)</f>
        <v>NA</v>
      </c>
      <c r="K174" t="str">
        <f>IF(MIS_Backend_Data!AG173="", "", MIS_Backend_Data!AG173)</f>
        <v>NA</v>
      </c>
      <c r="L174" s="20" t="str">
        <f>IF(MIS_Backend_Data!AI173="", "", MIS_Backend_Data!AI173)</f>
        <v>NA</v>
      </c>
      <c r="M174" t="str">
        <f>IF(MIS_Backend_Data!AK173="", "", MIS_Backend_Data!AK173)</f>
        <v>NA</v>
      </c>
      <c r="N174" t="str">
        <f>IF(MIS_Backend_Data!AM173="", "", MIS_Backend_Data!AM173)</f>
        <v>NA</v>
      </c>
      <c r="O174" t="str">
        <f>IF(MIS_Backend_Data!AO173="", "", MIS_Backend_Data!AO173)</f>
        <v>NA</v>
      </c>
      <c r="P174" t="str">
        <f>IF(MIS_Backend_Data!AS173="", "", MIS_Backend_Data!AS173)</f>
        <v>NA</v>
      </c>
      <c r="Q174" t="str">
        <f>IF(MIS_Backend_Data!AX173="", "", MIS_Backend_Data!AX173)</f>
        <v>NA</v>
      </c>
      <c r="R174" t="str">
        <f>IF(MIS_Backend_Data!BB173="", "", MIS_Backend_Data!BB173)</f>
        <v>NA</v>
      </c>
      <c r="S174" t="str">
        <f>IF(MIS_Backend_Data!AW173="", "", MIS_Backend_Data!AW173)</f>
        <v>NA</v>
      </c>
      <c r="T174" s="42" t="str">
        <f>IF(MIS_Backend_Data!N173="Dispatch","Completed","NA")</f>
        <v>NA</v>
      </c>
      <c r="U174" t="str">
        <f t="shared" si="6"/>
        <v/>
      </c>
      <c r="V174" t="str">
        <f t="shared" si="7"/>
        <v/>
      </c>
      <c r="W174" s="20" t="str">
        <f t="shared" si="8"/>
        <v/>
      </c>
    </row>
    <row r="175" spans="2:23" ht="14.5">
      <c r="B175" s="205" t="str">
        <f ca="1"/>
        <v>2024215795</v>
      </c>
      <c r="C175" s="17" t="str">
        <f ca="1"/>
        <v>Indusind General Insurance Co Ltd</v>
      </c>
      <c r="D175" s="17" t="str">
        <f ca="1"/>
        <v>R001-1173-SS-2025</v>
      </c>
      <c r="E175" s="19">
        <f ca="1"/>
        <v>165</v>
      </c>
      <c r="F175" s="19" t="str">
        <f>IF(MIS_Backend_Data!O174="", "", MIS_Backend_Data!O174)</f>
        <v>Completed</v>
      </c>
      <c r="G175" t="str">
        <f>IF(MIS_Backend_Data!T174="", "", MIS_Backend_Data!T174)</f>
        <v>Completed</v>
      </c>
      <c r="H175" t="str">
        <f>IF(MIS_Backend_Data!X174="", "", MIS_Backend_Data!X174)</f>
        <v>NA</v>
      </c>
      <c r="I175" t="str">
        <f>IF(MIS_Backend_Data!AC174="", "", MIS_Backend_Data!AC174)</f>
        <v>Completed</v>
      </c>
      <c r="J175" t="str">
        <f>IF(MIS_Backend_Data!AB174="", "", MIS_Backend_Data!AB174)</f>
        <v>NA</v>
      </c>
      <c r="K175" t="str">
        <f>IF(MIS_Backend_Data!AG174="", "", MIS_Backend_Data!AG174)</f>
        <v>NA</v>
      </c>
      <c r="L175" s="20" t="str">
        <f>IF(MIS_Backend_Data!AI174="", "", MIS_Backend_Data!AI174)</f>
        <v>NA</v>
      </c>
      <c r="M175" t="str">
        <f>IF(MIS_Backend_Data!AK174="", "", MIS_Backend_Data!AK174)</f>
        <v>NA</v>
      </c>
      <c r="N175" t="str">
        <f>IF(MIS_Backend_Data!AM174="", "", MIS_Backend_Data!AM174)</f>
        <v>NA</v>
      </c>
      <c r="O175" t="str">
        <f>IF(MIS_Backend_Data!AO174="", "", MIS_Backend_Data!AO174)</f>
        <v>NA</v>
      </c>
      <c r="P175" t="str">
        <f>IF(MIS_Backend_Data!AS174="", "", MIS_Backend_Data!AS174)</f>
        <v>Completed</v>
      </c>
      <c r="Q175" t="str">
        <f>IF(MIS_Backend_Data!AX174="", "", MIS_Backend_Data!AX174)</f>
        <v>NI</v>
      </c>
      <c r="R175" t="str">
        <f>IF(MIS_Backend_Data!BB174="", "", MIS_Backend_Data!BB174)</f>
        <v>NA</v>
      </c>
      <c r="S175" t="str">
        <f>IF(MIS_Backend_Data!AW174="", "", MIS_Backend_Data!AW174)</f>
        <v>NA</v>
      </c>
      <c r="T175" s="42" t="str">
        <f>IF(MIS_Backend_Data!N174="Dispatch","Completed","NA")</f>
        <v>NA</v>
      </c>
      <c r="U175" t="str">
        <f t="shared" si="6"/>
        <v/>
      </c>
      <c r="V175" t="str">
        <f t="shared" si="7"/>
        <v/>
      </c>
      <c r="W175" s="20" t="str">
        <f t="shared" si="8"/>
        <v/>
      </c>
    </row>
    <row r="176" spans="2:23" ht="14.5">
      <c r="B176" s="205" t="str">
        <f ca="1"/>
        <v>2024216019</v>
      </c>
      <c r="C176" s="17" t="str">
        <f ca="1"/>
        <v>Indusind General Insurance Co Ltd</v>
      </c>
      <c r="D176" s="17" t="str">
        <f ca="1"/>
        <v>R001-1174-SS-2025</v>
      </c>
      <c r="E176" s="19">
        <f ca="1"/>
        <v>0</v>
      </c>
      <c r="F176" s="19" t="str">
        <f>IF(MIS_Backend_Data!O175="", "", MIS_Backend_Data!O175)</f>
        <v>Completed</v>
      </c>
      <c r="G176" t="str">
        <f>IF(MIS_Backend_Data!T175="", "", MIS_Backend_Data!T175)</f>
        <v>Completed</v>
      </c>
      <c r="H176" t="str">
        <f>IF(MIS_Backend_Data!X175="", "", MIS_Backend_Data!X175)</f>
        <v>NA</v>
      </c>
      <c r="I176" t="str">
        <f>IF(MIS_Backend_Data!AC175="", "", MIS_Backend_Data!AC175)</f>
        <v>Completed</v>
      </c>
      <c r="J176" t="str">
        <f>IF(MIS_Backend_Data!AB175="", "", MIS_Backend_Data!AB175)</f>
        <v>NA</v>
      </c>
      <c r="K176" t="str">
        <f>IF(MIS_Backend_Data!AG175="", "", MIS_Backend_Data!AG175)</f>
        <v>Completed</v>
      </c>
      <c r="L176" s="20" t="str">
        <f>IF(MIS_Backend_Data!AI175="", "", MIS_Backend_Data!AI175)</f>
        <v>NA</v>
      </c>
      <c r="M176" t="str">
        <f>IF(MIS_Backend_Data!AK175="", "", MIS_Backend_Data!AK175)</f>
        <v>NA</v>
      </c>
      <c r="N176" t="str">
        <f>IF(MIS_Backend_Data!AM175="", "", MIS_Backend_Data!AM175)</f>
        <v>NA</v>
      </c>
      <c r="O176" t="str">
        <f>IF(MIS_Backend_Data!AO175="", "", MIS_Backend_Data!AO175)</f>
        <v>NA</v>
      </c>
      <c r="P176" t="str">
        <f>IF(MIS_Backend_Data!AS175="", "", MIS_Backend_Data!AS175)</f>
        <v>Completed</v>
      </c>
      <c r="Q176" t="str">
        <f>IF(MIS_Backend_Data!AX175="", "", MIS_Backend_Data!AX175)</f>
        <v>Completed</v>
      </c>
      <c r="R176" t="str">
        <f>IF(MIS_Backend_Data!BB175="", "", MIS_Backend_Data!BB175)</f>
        <v>NA</v>
      </c>
      <c r="S176" t="str">
        <f>IF(MIS_Backend_Data!AW175="", "", MIS_Backend_Data!AW175)</f>
        <v>NA</v>
      </c>
      <c r="T176" s="42" t="str">
        <f>IF(MIS_Backend_Data!N175="Dispatch","Completed","NA")</f>
        <v>NA</v>
      </c>
      <c r="U176" t="str">
        <f t="shared" si="6"/>
        <v/>
      </c>
      <c r="V176" t="str">
        <f t="shared" si="7"/>
        <v/>
      </c>
      <c r="W176" s="20" t="str">
        <f t="shared" si="8"/>
        <v/>
      </c>
    </row>
    <row r="177" spans="2:23" ht="14.5">
      <c r="B177" s="205" t="str">
        <f ca="1"/>
        <v>MTP-N-2526-005139</v>
      </c>
      <c r="C177" s="17" t="str">
        <f ca="1"/>
        <v>Generali Central Insurance Company Limited</v>
      </c>
      <c r="D177" s="17" t="str">
        <f ca="1"/>
        <v>F001-1175-SS-2025</v>
      </c>
      <c r="E177" s="19">
        <f ca="1"/>
        <v>21</v>
      </c>
      <c r="F177" s="19" t="str">
        <f>IF(MIS_Backend_Data!O176="", "", MIS_Backend_Data!O176)</f>
        <v>WIP</v>
      </c>
      <c r="G177" t="str">
        <f>IF(MIS_Backend_Data!T176="", "", MIS_Backend_Data!T176)</f>
        <v>NI</v>
      </c>
      <c r="H177" t="str">
        <f>IF(MIS_Backend_Data!X176="", "", MIS_Backend_Data!X176)</f>
        <v>NI</v>
      </c>
      <c r="I177" t="str">
        <f>IF(MIS_Backend_Data!AC176="", "", MIS_Backend_Data!AC176)</f>
        <v>NI</v>
      </c>
      <c r="J177" t="str">
        <f>IF(MIS_Backend_Data!AB176="", "", MIS_Backend_Data!AB176)</f>
        <v>NA</v>
      </c>
      <c r="K177" t="str">
        <f>IF(MIS_Backend_Data!AG176="", "", MIS_Backend_Data!AG176)</f>
        <v>NI</v>
      </c>
      <c r="L177" s="20" t="str">
        <f>IF(MIS_Backend_Data!AI176="", "", MIS_Backend_Data!AI176)</f>
        <v>NI</v>
      </c>
      <c r="M177" t="str">
        <f>IF(MIS_Backend_Data!AK176="", "", MIS_Backend_Data!AK176)</f>
        <v>NI</v>
      </c>
      <c r="N177" t="str">
        <f>IF(MIS_Backend_Data!AM176="", "", MIS_Backend_Data!AM176)</f>
        <v>NA</v>
      </c>
      <c r="O177" t="str">
        <f>IF(MIS_Backend_Data!AO176="", "", MIS_Backend_Data!AO176)</f>
        <v>NA</v>
      </c>
      <c r="P177" t="str">
        <f>IF(MIS_Backend_Data!AS176="", "", MIS_Backend_Data!AS176)</f>
        <v>NI</v>
      </c>
      <c r="Q177" t="str">
        <f>IF(MIS_Backend_Data!AX176="", "", MIS_Backend_Data!AX176)</f>
        <v>NI</v>
      </c>
      <c r="R177" t="str">
        <f>IF(MIS_Backend_Data!BB176="", "", MIS_Backend_Data!BB176)</f>
        <v>NI</v>
      </c>
      <c r="S177" t="str">
        <f>IF(MIS_Backend_Data!AW176="", "", MIS_Backend_Data!AW176)</f>
        <v>NA</v>
      </c>
      <c r="T177" s="42" t="str">
        <f>IF(MIS_Backend_Data!N176="Dispatch","Completed","NA")</f>
        <v>NA</v>
      </c>
      <c r="U177" t="str">
        <f t="shared" si="6"/>
        <v/>
      </c>
      <c r="V177" t="str">
        <f t="shared" si="7"/>
        <v/>
      </c>
      <c r="W177" s="20" t="str">
        <f t="shared" si="8"/>
        <v/>
      </c>
    </row>
    <row r="178" spans="2:23" ht="14.5">
      <c r="B178" s="205" t="str">
        <f ca="1"/>
        <v>2025213982</v>
      </c>
      <c r="C178" s="17" t="str">
        <f ca="1"/>
        <v>Indusind General Insurance Co Ltd</v>
      </c>
      <c r="D178" s="17" t="str">
        <f ca="1"/>
        <v>R001-1176-SS-2025</v>
      </c>
      <c r="E178" s="19">
        <f ca="1"/>
        <v>20</v>
      </c>
      <c r="F178" s="19" t="str">
        <f>IF(MIS_Backend_Data!O177="", "", MIS_Backend_Data!O177)</f>
        <v>WIP</v>
      </c>
      <c r="G178" t="str">
        <f>IF(MIS_Backend_Data!T177="", "", MIS_Backend_Data!T177)</f>
        <v>WIP</v>
      </c>
      <c r="H178" t="str">
        <f>IF(MIS_Backend_Data!X177="", "", MIS_Backend_Data!X177)</f>
        <v>NA</v>
      </c>
      <c r="I178" t="str">
        <f>IF(MIS_Backend_Data!AC177="", "", MIS_Backend_Data!AC177)</f>
        <v>WIP</v>
      </c>
      <c r="J178" t="str">
        <f>IF(MIS_Backend_Data!AB177="", "", MIS_Backend_Data!AB177)</f>
        <v>NA</v>
      </c>
      <c r="K178" t="str">
        <f>IF(MIS_Backend_Data!AG177="", "", MIS_Backend_Data!AG177)</f>
        <v>Completed</v>
      </c>
      <c r="L178" s="20" t="str">
        <f>IF(MIS_Backend_Data!AI177="", "", MIS_Backend_Data!AI177)</f>
        <v>NA</v>
      </c>
      <c r="M178" t="str">
        <f>IF(MIS_Backend_Data!AK177="", "", MIS_Backend_Data!AK177)</f>
        <v>NA</v>
      </c>
      <c r="N178" t="str">
        <f>IF(MIS_Backend_Data!AM177="", "", MIS_Backend_Data!AM177)</f>
        <v>NA</v>
      </c>
      <c r="O178" t="str">
        <f>IF(MIS_Backend_Data!AO177="", "", MIS_Backend_Data!AO177)</f>
        <v>NA</v>
      </c>
      <c r="P178" t="str">
        <f>IF(MIS_Backend_Data!AS177="", "", MIS_Backend_Data!AS177)</f>
        <v>WIP</v>
      </c>
      <c r="Q178" t="str">
        <f>IF(MIS_Backend_Data!AX177="", "", MIS_Backend_Data!AX177)</f>
        <v>WIP</v>
      </c>
      <c r="R178" t="str">
        <f>IF(MIS_Backend_Data!BB177="", "", MIS_Backend_Data!BB177)</f>
        <v>NA</v>
      </c>
      <c r="S178" t="str">
        <f>IF(MIS_Backend_Data!AW177="", "", MIS_Backend_Data!AW177)</f>
        <v>NA</v>
      </c>
      <c r="T178" s="42" t="str">
        <f>IF(MIS_Backend_Data!N177="Dispatch","Completed","NA")</f>
        <v>NA</v>
      </c>
      <c r="U178" t="str">
        <f t="shared" si="6"/>
        <v/>
      </c>
      <c r="V178" t="str">
        <f t="shared" si="7"/>
        <v/>
      </c>
      <c r="W178" s="20" t="str">
        <f t="shared" si="8"/>
        <v/>
      </c>
    </row>
    <row r="179" spans="2:23" ht="14.5">
      <c r="B179" s="205" t="str">
        <f ca="1"/>
        <v>2025213945</v>
      </c>
      <c r="C179" s="17" t="str">
        <f ca="1"/>
        <v>Indusind General Insurance Co Ltd</v>
      </c>
      <c r="D179" s="17" t="str">
        <f ca="1"/>
        <v>R001-1177-SS-2025</v>
      </c>
      <c r="E179" s="19">
        <f ca="1"/>
        <v>20</v>
      </c>
      <c r="F179" s="19" t="str">
        <f>IF(MIS_Backend_Data!O178="", "", MIS_Backend_Data!O178)</f>
        <v>WIP</v>
      </c>
      <c r="G179" t="str">
        <f>IF(MIS_Backend_Data!T178="", "", MIS_Backend_Data!T178)</f>
        <v>Completed</v>
      </c>
      <c r="H179" t="str">
        <f>IF(MIS_Backend_Data!X178="", "", MIS_Backend_Data!X178)</f>
        <v>NA</v>
      </c>
      <c r="I179" t="str">
        <f>IF(MIS_Backend_Data!AC178="", "", MIS_Backend_Data!AC178)</f>
        <v>WIP</v>
      </c>
      <c r="J179" t="str">
        <f>IF(MIS_Backend_Data!AB178="", "", MIS_Backend_Data!AB178)</f>
        <v>NA</v>
      </c>
      <c r="K179" t="str">
        <f>IF(MIS_Backend_Data!AG178="", "", MIS_Backend_Data!AG178)</f>
        <v>WIP</v>
      </c>
      <c r="L179" s="20" t="str">
        <f>IF(MIS_Backend_Data!AI178="", "", MIS_Backend_Data!AI178)</f>
        <v>NA</v>
      </c>
      <c r="M179" t="str">
        <f>IF(MIS_Backend_Data!AK178="", "", MIS_Backend_Data!AK178)</f>
        <v>NA</v>
      </c>
      <c r="N179" t="str">
        <f>IF(MIS_Backend_Data!AM178="", "", MIS_Backend_Data!AM178)</f>
        <v>NA</v>
      </c>
      <c r="O179" t="str">
        <f>IF(MIS_Backend_Data!AO178="", "", MIS_Backend_Data!AO178)</f>
        <v>NA</v>
      </c>
      <c r="P179" t="str">
        <f>IF(MIS_Backend_Data!AS178="", "", MIS_Backend_Data!AS178)</f>
        <v>Completed</v>
      </c>
      <c r="Q179" t="str">
        <f>IF(MIS_Backend_Data!AX178="", "", MIS_Backend_Data!AX178)</f>
        <v>WIP</v>
      </c>
      <c r="R179" t="str">
        <f>IF(MIS_Backend_Data!BB178="", "", MIS_Backend_Data!BB178)</f>
        <v>NA</v>
      </c>
      <c r="S179" t="str">
        <f>IF(MIS_Backend_Data!AW178="", "", MIS_Backend_Data!AW178)</f>
        <v>NA</v>
      </c>
      <c r="T179" s="42" t="str">
        <f>IF(MIS_Backend_Data!N178="Dispatch","Completed","NA")</f>
        <v>NA</v>
      </c>
      <c r="U179" t="str">
        <f t="shared" si="6"/>
        <v/>
      </c>
      <c r="V179" t="str">
        <f t="shared" si="7"/>
        <v/>
      </c>
      <c r="W179" s="20" t="str">
        <f t="shared" si="8"/>
        <v/>
      </c>
    </row>
    <row r="180" spans="2:23" ht="14.5">
      <c r="B180" s="205" t="str">
        <f ca="1"/>
        <v>2025213947</v>
      </c>
      <c r="C180" s="17" t="str">
        <f ca="1"/>
        <v>Indusind General Insurance Co Ltd</v>
      </c>
      <c r="D180" s="17" t="str">
        <f ca="1"/>
        <v>R001-1178-SS-2025</v>
      </c>
      <c r="E180" s="19">
        <f ca="1"/>
        <v>20</v>
      </c>
      <c r="F180" s="19" t="str">
        <f>IF(MIS_Backend_Data!O179="", "", MIS_Backend_Data!O179)</f>
        <v>WIP</v>
      </c>
      <c r="G180" t="str">
        <f>IF(MIS_Backend_Data!T179="", "", MIS_Backend_Data!T179)</f>
        <v>NI</v>
      </c>
      <c r="H180" t="str">
        <f>IF(MIS_Backend_Data!X179="", "", MIS_Backend_Data!X179)</f>
        <v>NA</v>
      </c>
      <c r="I180" t="str">
        <f>IF(MIS_Backend_Data!AC179="", "", MIS_Backend_Data!AC179)</f>
        <v>NI</v>
      </c>
      <c r="J180" t="str">
        <f>IF(MIS_Backend_Data!AB179="", "", MIS_Backend_Data!AB179)</f>
        <v>NA</v>
      </c>
      <c r="K180" t="str">
        <f>IF(MIS_Backend_Data!AG179="", "", MIS_Backend_Data!AG179)</f>
        <v>NI</v>
      </c>
      <c r="L180" s="20" t="str">
        <f>IF(MIS_Backend_Data!AI179="", "", MIS_Backend_Data!AI179)</f>
        <v>NA</v>
      </c>
      <c r="M180" t="str">
        <f>IF(MIS_Backend_Data!AK179="", "", MIS_Backend_Data!AK179)</f>
        <v>NA</v>
      </c>
      <c r="N180" t="str">
        <f>IF(MIS_Backend_Data!AM179="", "", MIS_Backend_Data!AM179)</f>
        <v>NA</v>
      </c>
      <c r="O180" t="str">
        <f>IF(MIS_Backend_Data!AO179="", "", MIS_Backend_Data!AO179)</f>
        <v>NA</v>
      </c>
      <c r="P180" t="str">
        <f>IF(MIS_Backend_Data!AS179="", "", MIS_Backend_Data!AS179)</f>
        <v>NI</v>
      </c>
      <c r="Q180" t="str">
        <f>IF(MIS_Backend_Data!AX179="", "", MIS_Backend_Data!AX179)</f>
        <v>NI</v>
      </c>
      <c r="R180" t="str">
        <f>IF(MIS_Backend_Data!BB179="", "", MIS_Backend_Data!BB179)</f>
        <v>NA</v>
      </c>
      <c r="S180" t="str">
        <f>IF(MIS_Backend_Data!AW179="", "", MIS_Backend_Data!AW179)</f>
        <v>NA</v>
      </c>
      <c r="T180" s="42" t="str">
        <f>IF(MIS_Backend_Data!N179="Dispatch","Completed","NA")</f>
        <v>NA</v>
      </c>
      <c r="U180" t="str">
        <f t="shared" si="6"/>
        <v/>
      </c>
      <c r="V180" t="str">
        <f t="shared" si="7"/>
        <v/>
      </c>
      <c r="W180" s="20" t="str">
        <f t="shared" si="8"/>
        <v/>
      </c>
    </row>
    <row r="181" spans="2:23" ht="14.5">
      <c r="B181" s="205" t="str">
        <f ca="1"/>
        <v>2025213937</v>
      </c>
      <c r="C181" s="17" t="str">
        <f ca="1"/>
        <v>Indusind General Insurance Co Ltd</v>
      </c>
      <c r="D181" s="17" t="str">
        <f ca="1"/>
        <v>R001-1179-SS-2025</v>
      </c>
      <c r="E181" s="19">
        <f ca="1"/>
        <v>20</v>
      </c>
      <c r="F181" s="19" t="str">
        <f>IF(MIS_Backend_Data!O180="", "", MIS_Backend_Data!O180)</f>
        <v>WIP</v>
      </c>
      <c r="G181" t="str">
        <f>IF(MIS_Backend_Data!T180="", "", MIS_Backend_Data!T180)</f>
        <v>WIP</v>
      </c>
      <c r="H181" t="str">
        <f>IF(MIS_Backend_Data!X180="", "", MIS_Backend_Data!X180)</f>
        <v>NA</v>
      </c>
      <c r="I181" t="str">
        <f>IF(MIS_Backend_Data!AC180="", "", MIS_Backend_Data!AC180)</f>
        <v>WIP</v>
      </c>
      <c r="J181" t="str">
        <f>IF(MIS_Backend_Data!AB180="", "", MIS_Backend_Data!AB180)</f>
        <v>NA</v>
      </c>
      <c r="K181" t="str">
        <f>IF(MIS_Backend_Data!AG180="", "", MIS_Backend_Data!AG180)</f>
        <v>NI</v>
      </c>
      <c r="L181" s="20" t="str">
        <f>IF(MIS_Backend_Data!AI180="", "", MIS_Backend_Data!AI180)</f>
        <v>NA</v>
      </c>
      <c r="M181" t="str">
        <f>IF(MIS_Backend_Data!AK180="", "", MIS_Backend_Data!AK180)</f>
        <v>NA</v>
      </c>
      <c r="N181" t="str">
        <f>IF(MIS_Backend_Data!AM180="", "", MIS_Backend_Data!AM180)</f>
        <v>NA</v>
      </c>
      <c r="O181" t="str">
        <f>IF(MIS_Backend_Data!AO180="", "", MIS_Backend_Data!AO180)</f>
        <v>NA</v>
      </c>
      <c r="P181" t="str">
        <f>IF(MIS_Backend_Data!AS180="", "", MIS_Backend_Data!AS180)</f>
        <v>Completed</v>
      </c>
      <c r="Q181" t="str">
        <f>IF(MIS_Backend_Data!AX180="", "", MIS_Backend_Data!AX180)</f>
        <v>WIP</v>
      </c>
      <c r="R181" t="str">
        <f>IF(MIS_Backend_Data!BB180="", "", MIS_Backend_Data!BB180)</f>
        <v>NA</v>
      </c>
      <c r="S181" t="str">
        <f>IF(MIS_Backend_Data!AW180="", "", MIS_Backend_Data!AW180)</f>
        <v>NA</v>
      </c>
      <c r="T181" s="42" t="str">
        <f>IF(MIS_Backend_Data!N180="Dispatch","Completed","NA")</f>
        <v>NA</v>
      </c>
      <c r="U181" t="str">
        <f t="shared" si="6"/>
        <v/>
      </c>
      <c r="V181" t="str">
        <f t="shared" si="7"/>
        <v/>
      </c>
      <c r="W181" s="20" t="str">
        <f t="shared" si="8"/>
        <v/>
      </c>
    </row>
    <row r="182" spans="2:23" ht="14.5">
      <c r="B182" s="205" t="str">
        <f ca="1"/>
        <v>2025213914</v>
      </c>
      <c r="C182" s="17" t="str">
        <f ca="1"/>
        <v>Indusind General Insurance Co Ltd</v>
      </c>
      <c r="D182" s="17" t="str">
        <f ca="1"/>
        <v>R001-1180-SS-2025</v>
      </c>
      <c r="E182" s="19">
        <f ca="1"/>
        <v>20</v>
      </c>
      <c r="F182" s="19" t="str">
        <f>IF(MIS_Backend_Data!O181="", "", MIS_Backend_Data!O181)</f>
        <v>WIP</v>
      </c>
      <c r="G182" t="str">
        <f>IF(MIS_Backend_Data!T181="", "", MIS_Backend_Data!T181)</f>
        <v>WIP</v>
      </c>
      <c r="H182" t="str">
        <f>IF(MIS_Backend_Data!X181="", "", MIS_Backend_Data!X181)</f>
        <v>NA</v>
      </c>
      <c r="I182" t="str">
        <f>IF(MIS_Backend_Data!AC181="", "", MIS_Backend_Data!AC181)</f>
        <v>WIP</v>
      </c>
      <c r="J182" t="str">
        <f>IF(MIS_Backend_Data!AB181="", "", MIS_Backend_Data!AB181)</f>
        <v>NA</v>
      </c>
      <c r="K182" t="str">
        <f>IF(MIS_Backend_Data!AG181="", "", MIS_Backend_Data!AG181)</f>
        <v>NA</v>
      </c>
      <c r="L182" s="20" t="str">
        <f>IF(MIS_Backend_Data!AI181="", "", MIS_Backend_Data!AI181)</f>
        <v>NA</v>
      </c>
      <c r="M182" t="str">
        <f>IF(MIS_Backend_Data!AK181="", "", MIS_Backend_Data!AK181)</f>
        <v>NA</v>
      </c>
      <c r="N182" t="str">
        <f>IF(MIS_Backend_Data!AM181="", "", MIS_Backend_Data!AM181)</f>
        <v>NA</v>
      </c>
      <c r="O182" t="str">
        <f>IF(MIS_Backend_Data!AO181="", "", MIS_Backend_Data!AO181)</f>
        <v>NA</v>
      </c>
      <c r="P182" t="str">
        <f>IF(MIS_Backend_Data!AS181="", "", MIS_Backend_Data!AS181)</f>
        <v>WIP</v>
      </c>
      <c r="Q182" t="str">
        <f>IF(MIS_Backend_Data!AX181="", "", MIS_Backend_Data!AX181)</f>
        <v>WIP</v>
      </c>
      <c r="R182" t="str">
        <f>IF(MIS_Backend_Data!BB181="", "", MIS_Backend_Data!BB181)</f>
        <v>NA</v>
      </c>
      <c r="S182" t="str">
        <f>IF(MIS_Backend_Data!AW181="", "", MIS_Backend_Data!AW181)</f>
        <v>NA</v>
      </c>
      <c r="T182" s="42" t="str">
        <f>IF(MIS_Backend_Data!N181="Dispatch","Completed","NA")</f>
        <v>NA</v>
      </c>
      <c r="U182" t="str">
        <f t="shared" si="6"/>
        <v/>
      </c>
      <c r="V182" t="str">
        <f t="shared" si="7"/>
        <v/>
      </c>
      <c r="W182" s="20" t="str">
        <f t="shared" si="8"/>
        <v/>
      </c>
    </row>
    <row r="183" spans="2:23" ht="14.5">
      <c r="B183" s="205" t="str">
        <f ca="1"/>
        <v>2025213905</v>
      </c>
      <c r="C183" s="17" t="str">
        <f ca="1"/>
        <v>Indusind General Insurance Co Ltd</v>
      </c>
      <c r="D183" s="17" t="str">
        <f ca="1"/>
        <v>R001-1181-SS-2025</v>
      </c>
      <c r="E183" s="19">
        <f ca="1"/>
        <v>20</v>
      </c>
      <c r="F183" s="19" t="str">
        <f>IF(MIS_Backend_Data!O182="", "", MIS_Backend_Data!O182)</f>
        <v>WIP</v>
      </c>
      <c r="G183" t="str">
        <f>IF(MIS_Backend_Data!T182="", "", MIS_Backend_Data!T182)</f>
        <v>WIP</v>
      </c>
      <c r="H183" t="str">
        <f>IF(MIS_Backend_Data!X182="", "", MIS_Backend_Data!X182)</f>
        <v>NA</v>
      </c>
      <c r="I183" t="str">
        <f>IF(MIS_Backend_Data!AC182="", "", MIS_Backend_Data!AC182)</f>
        <v>Completed</v>
      </c>
      <c r="J183" t="str">
        <f>IF(MIS_Backend_Data!AB182="", "", MIS_Backend_Data!AB182)</f>
        <v>NA</v>
      </c>
      <c r="K183" t="str">
        <f>IF(MIS_Backend_Data!AG182="", "", MIS_Backend_Data!AG182)</f>
        <v>WIP</v>
      </c>
      <c r="L183" s="20" t="str">
        <f>IF(MIS_Backend_Data!AI182="", "", MIS_Backend_Data!AI182)</f>
        <v>NA</v>
      </c>
      <c r="M183" t="str">
        <f>IF(MIS_Backend_Data!AK182="", "", MIS_Backend_Data!AK182)</f>
        <v>NA</v>
      </c>
      <c r="N183" t="str">
        <f>IF(MIS_Backend_Data!AM182="", "", MIS_Backend_Data!AM182)</f>
        <v>NA</v>
      </c>
      <c r="O183" t="str">
        <f>IF(MIS_Backend_Data!AO182="", "", MIS_Backend_Data!AO182)</f>
        <v>NA</v>
      </c>
      <c r="P183" t="str">
        <f>IF(MIS_Backend_Data!AS182="", "", MIS_Backend_Data!AS182)</f>
        <v>Completed</v>
      </c>
      <c r="Q183" t="str">
        <f>IF(MIS_Backend_Data!AX182="", "", MIS_Backend_Data!AX182)</f>
        <v>WIP</v>
      </c>
      <c r="R183" t="str">
        <f>IF(MIS_Backend_Data!BB182="", "", MIS_Backend_Data!BB182)</f>
        <v>NA</v>
      </c>
      <c r="S183" t="str">
        <f>IF(MIS_Backend_Data!AW182="", "", MIS_Backend_Data!AW182)</f>
        <v>NA</v>
      </c>
      <c r="T183" s="42" t="str">
        <f>IF(MIS_Backend_Data!N182="Dispatch","Completed","NA")</f>
        <v>NA</v>
      </c>
      <c r="U183" t="str">
        <f t="shared" si="6"/>
        <v/>
      </c>
      <c r="V183" t="str">
        <f t="shared" si="7"/>
        <v/>
      </c>
      <c r="W183" s="20" t="str">
        <f t="shared" si="8"/>
        <v/>
      </c>
    </row>
    <row r="184" spans="2:23" ht="14.5">
      <c r="B184" s="205" t="str">
        <f ca="1"/>
        <v>2025213901</v>
      </c>
      <c r="C184" s="17" t="str">
        <f ca="1"/>
        <v>Indusind General Insurance Co Ltd</v>
      </c>
      <c r="D184" s="17" t="str">
        <f ca="1"/>
        <v>R001-1182-SS-2025</v>
      </c>
      <c r="E184" s="19">
        <f ca="1"/>
        <v>20</v>
      </c>
      <c r="F184" s="19" t="str">
        <f>IF(MIS_Backend_Data!O183="", "", MIS_Backend_Data!O183)</f>
        <v>WIP</v>
      </c>
      <c r="G184" t="str">
        <f>IF(MIS_Backend_Data!T183="", "", MIS_Backend_Data!T183)</f>
        <v>WIP</v>
      </c>
      <c r="H184" t="str">
        <f>IF(MIS_Backend_Data!X183="", "", MIS_Backend_Data!X183)</f>
        <v>NA</v>
      </c>
      <c r="I184" t="str">
        <f>IF(MIS_Backend_Data!AC183="", "", MIS_Backend_Data!AC183)</f>
        <v>WIP</v>
      </c>
      <c r="J184" t="str">
        <f>IF(MIS_Backend_Data!AB183="", "", MIS_Backend_Data!AB183)</f>
        <v>NA</v>
      </c>
      <c r="K184" t="str">
        <f>IF(MIS_Backend_Data!AG183="", "", MIS_Backend_Data!AG183)</f>
        <v>NA</v>
      </c>
      <c r="L184" s="20" t="str">
        <f>IF(MIS_Backend_Data!AI183="", "", MIS_Backend_Data!AI183)</f>
        <v>NA</v>
      </c>
      <c r="M184" t="str">
        <f>IF(MIS_Backend_Data!AK183="", "", MIS_Backend_Data!AK183)</f>
        <v>NA</v>
      </c>
      <c r="N184" t="str">
        <f>IF(MIS_Backend_Data!AM183="", "", MIS_Backend_Data!AM183)</f>
        <v>NA</v>
      </c>
      <c r="O184" t="str">
        <f>IF(MIS_Backend_Data!AO183="", "", MIS_Backend_Data!AO183)</f>
        <v>NA</v>
      </c>
      <c r="P184" t="str">
        <f>IF(MIS_Backend_Data!AS183="", "", MIS_Backend_Data!AS183)</f>
        <v>WIP</v>
      </c>
      <c r="Q184" t="str">
        <f>IF(MIS_Backend_Data!AX183="", "", MIS_Backend_Data!AX183)</f>
        <v>WIP</v>
      </c>
      <c r="R184" t="str">
        <f>IF(MIS_Backend_Data!BB183="", "", MIS_Backend_Data!BB183)</f>
        <v>NA</v>
      </c>
      <c r="S184" t="str">
        <f>IF(MIS_Backend_Data!AW183="", "", MIS_Backend_Data!AW183)</f>
        <v>NA</v>
      </c>
      <c r="T184" s="42" t="str">
        <f>IF(MIS_Backend_Data!N183="Dispatch","Completed","NA")</f>
        <v>NA</v>
      </c>
      <c r="U184" t="str">
        <f t="shared" si="6"/>
        <v/>
      </c>
      <c r="V184" t="str">
        <f t="shared" si="7"/>
        <v/>
      </c>
      <c r="W184" s="20" t="str">
        <f t="shared" si="8"/>
        <v/>
      </c>
    </row>
    <row r="185" spans="2:23" ht="14.5">
      <c r="B185" s="205" t="str">
        <f ca="1"/>
        <v>2025213898</v>
      </c>
      <c r="C185" s="17" t="str">
        <f ca="1"/>
        <v>Indusind General Insurance Co Ltd</v>
      </c>
      <c r="D185" s="17" t="str">
        <f ca="1"/>
        <v>R001-1183-SS-2025</v>
      </c>
      <c r="E185" s="19">
        <f ca="1"/>
        <v>20</v>
      </c>
      <c r="F185" s="19" t="str">
        <f>IF(MIS_Backend_Data!O184="", "", MIS_Backend_Data!O184)</f>
        <v>WIP</v>
      </c>
      <c r="G185" t="str">
        <f>IF(MIS_Backend_Data!T184="", "", MIS_Backend_Data!T184)</f>
        <v>WIP</v>
      </c>
      <c r="H185" t="str">
        <f>IF(MIS_Backend_Data!X184="", "", MIS_Backend_Data!X184)</f>
        <v>NA</v>
      </c>
      <c r="I185" t="str">
        <f>IF(MIS_Backend_Data!AC184="", "", MIS_Backend_Data!AC184)</f>
        <v>WIP</v>
      </c>
      <c r="J185" t="str">
        <f>IF(MIS_Backend_Data!AB184="", "", MIS_Backend_Data!AB184)</f>
        <v>NA</v>
      </c>
      <c r="K185" t="str">
        <f>IF(MIS_Backend_Data!AG184="", "", MIS_Backend_Data!AG184)</f>
        <v>NA</v>
      </c>
      <c r="L185" s="20" t="str">
        <f>IF(MIS_Backend_Data!AI184="", "", MIS_Backend_Data!AI184)</f>
        <v>NA</v>
      </c>
      <c r="M185" t="str">
        <f>IF(MIS_Backend_Data!AK184="", "", MIS_Backend_Data!AK184)</f>
        <v>NA</v>
      </c>
      <c r="N185" t="str">
        <f>IF(MIS_Backend_Data!AM184="", "", MIS_Backend_Data!AM184)</f>
        <v>NA</v>
      </c>
      <c r="O185" t="str">
        <f>IF(MIS_Backend_Data!AO184="", "", MIS_Backend_Data!AO184)</f>
        <v>NA</v>
      </c>
      <c r="P185" t="str">
        <f>IF(MIS_Backend_Data!AS184="", "", MIS_Backend_Data!AS184)</f>
        <v>WIP</v>
      </c>
      <c r="Q185" t="str">
        <f>IF(MIS_Backend_Data!AX184="", "", MIS_Backend_Data!AX184)</f>
        <v>WIP</v>
      </c>
      <c r="R185" t="str">
        <f>IF(MIS_Backend_Data!BB184="", "", MIS_Backend_Data!BB184)</f>
        <v>NA</v>
      </c>
      <c r="S185" t="str">
        <f>IF(MIS_Backend_Data!AW184="", "", MIS_Backend_Data!AW184)</f>
        <v>NA</v>
      </c>
      <c r="T185" s="42" t="str">
        <f>IF(MIS_Backend_Data!N184="Dispatch","Completed","NA")</f>
        <v>NA</v>
      </c>
      <c r="U185" t="str">
        <f t="shared" si="6"/>
        <v/>
      </c>
      <c r="V185" t="str">
        <f t="shared" si="7"/>
        <v/>
      </c>
      <c r="W185" s="20" t="str">
        <f t="shared" si="8"/>
        <v/>
      </c>
    </row>
    <row r="186" spans="2:23" ht="14.5">
      <c r="B186" s="205" t="str">
        <f ca="1"/>
        <v>2025213881</v>
      </c>
      <c r="C186" s="17" t="str">
        <f ca="1"/>
        <v>Indusind General Insurance Co Ltd</v>
      </c>
      <c r="D186" s="17" t="str">
        <f ca="1"/>
        <v>R001-1184-SS-2025</v>
      </c>
      <c r="E186" s="19">
        <f ca="1"/>
        <v>20</v>
      </c>
      <c r="F186" s="19" t="str">
        <f>IF(MIS_Backend_Data!O185="", "", MIS_Backend_Data!O185)</f>
        <v>WIP</v>
      </c>
      <c r="G186" t="str">
        <f>IF(MIS_Backend_Data!T185="", "", MIS_Backend_Data!T185)</f>
        <v>WIP</v>
      </c>
      <c r="H186" t="str">
        <f>IF(MIS_Backend_Data!X185="", "", MIS_Backend_Data!X185)</f>
        <v>NA</v>
      </c>
      <c r="I186" t="str">
        <f>IF(MIS_Backend_Data!AC185="", "", MIS_Backend_Data!AC185)</f>
        <v>WIP</v>
      </c>
      <c r="J186" t="str">
        <f>IF(MIS_Backend_Data!AB185="", "", MIS_Backend_Data!AB185)</f>
        <v>NA</v>
      </c>
      <c r="K186" t="str">
        <f>IF(MIS_Backend_Data!AG185="", "", MIS_Backend_Data!AG185)</f>
        <v>NA</v>
      </c>
      <c r="L186" s="20" t="str">
        <f>IF(MIS_Backend_Data!AI185="", "", MIS_Backend_Data!AI185)</f>
        <v>NA</v>
      </c>
      <c r="M186" t="str">
        <f>IF(MIS_Backend_Data!AK185="", "", MIS_Backend_Data!AK185)</f>
        <v>NA</v>
      </c>
      <c r="N186" t="str">
        <f>IF(MIS_Backend_Data!AM185="", "", MIS_Backend_Data!AM185)</f>
        <v>NA</v>
      </c>
      <c r="O186" t="str">
        <f>IF(MIS_Backend_Data!AO185="", "", MIS_Backend_Data!AO185)</f>
        <v>NA</v>
      </c>
      <c r="P186" t="str">
        <f>IF(MIS_Backend_Data!AS185="", "", MIS_Backend_Data!AS185)</f>
        <v>WIP</v>
      </c>
      <c r="Q186" t="str">
        <f>IF(MIS_Backend_Data!AX185="", "", MIS_Backend_Data!AX185)</f>
        <v>WIP</v>
      </c>
      <c r="R186" t="str">
        <f>IF(MIS_Backend_Data!BB185="", "", MIS_Backend_Data!BB185)</f>
        <v>NA</v>
      </c>
      <c r="S186" t="str">
        <f>IF(MIS_Backend_Data!AW185="", "", MIS_Backend_Data!AW185)</f>
        <v>NA</v>
      </c>
      <c r="T186" s="42" t="str">
        <f>IF(MIS_Backend_Data!N185="Dispatch","Completed","NA")</f>
        <v>NA</v>
      </c>
      <c r="U186" t="str">
        <f t="shared" si="6"/>
        <v/>
      </c>
      <c r="V186" t="str">
        <f t="shared" si="7"/>
        <v/>
      </c>
      <c r="W186" s="20" t="str">
        <f t="shared" si="8"/>
        <v/>
      </c>
    </row>
    <row r="187" spans="2:23" ht="14.5">
      <c r="B187" s="205" t="str">
        <f ca="1"/>
        <v>2025213869</v>
      </c>
      <c r="C187" s="17" t="str">
        <f ca="1"/>
        <v>Indusind General Insurance Co Ltd</v>
      </c>
      <c r="D187" s="17" t="str">
        <f ca="1"/>
        <v>R001-1185-SS-2025</v>
      </c>
      <c r="E187" s="19">
        <f ca="1"/>
        <v>20</v>
      </c>
      <c r="F187" s="19" t="str">
        <f>IF(MIS_Backend_Data!O186="", "", MIS_Backend_Data!O186)</f>
        <v>WIP</v>
      </c>
      <c r="G187" t="str">
        <f>IF(MIS_Backend_Data!T186="", "", MIS_Backend_Data!T186)</f>
        <v>WIP</v>
      </c>
      <c r="H187" t="str">
        <f>IF(MIS_Backend_Data!X186="", "", MIS_Backend_Data!X186)</f>
        <v>NA</v>
      </c>
      <c r="I187" t="str">
        <f>IF(MIS_Backend_Data!AC186="", "", MIS_Backend_Data!AC186)</f>
        <v>WIP</v>
      </c>
      <c r="J187" t="str">
        <f>IF(MIS_Backend_Data!AB186="", "", MIS_Backend_Data!AB186)</f>
        <v>NA</v>
      </c>
      <c r="K187" t="str">
        <f>IF(MIS_Backend_Data!AG186="", "", MIS_Backend_Data!AG186)</f>
        <v>NA</v>
      </c>
      <c r="L187" s="20" t="str">
        <f>IF(MIS_Backend_Data!AI186="", "", MIS_Backend_Data!AI186)</f>
        <v>NA</v>
      </c>
      <c r="M187" t="str">
        <f>IF(MIS_Backend_Data!AK186="", "", MIS_Backend_Data!AK186)</f>
        <v>NA</v>
      </c>
      <c r="N187" t="str">
        <f>IF(MIS_Backend_Data!AM186="", "", MIS_Backend_Data!AM186)</f>
        <v>NA</v>
      </c>
      <c r="O187" t="str">
        <f>IF(MIS_Backend_Data!AO186="", "", MIS_Backend_Data!AO186)</f>
        <v>NA</v>
      </c>
      <c r="P187" t="str">
        <f>IF(MIS_Backend_Data!AS186="", "", MIS_Backend_Data!AS186)</f>
        <v>WIP</v>
      </c>
      <c r="Q187" t="str">
        <f>IF(MIS_Backend_Data!AX186="", "", MIS_Backend_Data!AX186)</f>
        <v>WIP</v>
      </c>
      <c r="R187" t="str">
        <f>IF(MIS_Backend_Data!BB186="", "", MIS_Backend_Data!BB186)</f>
        <v>NA</v>
      </c>
      <c r="S187" t="str">
        <f>IF(MIS_Backend_Data!AW186="", "", MIS_Backend_Data!AW186)</f>
        <v>NA</v>
      </c>
      <c r="T187" s="42" t="str">
        <f>IF(MIS_Backend_Data!N186="Dispatch","Completed","NA")</f>
        <v>NA</v>
      </c>
      <c r="U187" t="str">
        <f t="shared" si="6"/>
        <v/>
      </c>
      <c r="V187" t="str">
        <f t="shared" si="7"/>
        <v/>
      </c>
      <c r="W187" s="20" t="str">
        <f t="shared" si="8"/>
        <v/>
      </c>
    </row>
    <row r="188" spans="2:23" ht="14.5">
      <c r="B188" s="205" t="str">
        <f ca="1"/>
        <v>2025213864</v>
      </c>
      <c r="C188" s="17" t="str">
        <f ca="1"/>
        <v>Indusind General Insurance Co Ltd</v>
      </c>
      <c r="D188" s="17" t="str">
        <f ca="1"/>
        <v>R001-1186-SS-2025</v>
      </c>
      <c r="E188" s="19">
        <f ca="1"/>
        <v>20</v>
      </c>
      <c r="F188" s="19" t="str">
        <f>IF(MIS_Backend_Data!O187="", "", MIS_Backend_Data!O187)</f>
        <v>WIP</v>
      </c>
      <c r="G188" t="str">
        <f>IF(MIS_Backend_Data!T187="", "", MIS_Backend_Data!T187)</f>
        <v>WIP</v>
      </c>
      <c r="H188" t="str">
        <f>IF(MIS_Backend_Data!X187="", "", MIS_Backend_Data!X187)</f>
        <v>NA</v>
      </c>
      <c r="I188" t="str">
        <f>IF(MIS_Backend_Data!AC187="", "", MIS_Backend_Data!AC187)</f>
        <v>WIP</v>
      </c>
      <c r="J188" t="str">
        <f>IF(MIS_Backend_Data!AB187="", "", MIS_Backend_Data!AB187)</f>
        <v>NA</v>
      </c>
      <c r="K188" t="str">
        <f>IF(MIS_Backend_Data!AG187="", "", MIS_Backend_Data!AG187)</f>
        <v>NA</v>
      </c>
      <c r="L188" s="20" t="str">
        <f>IF(MIS_Backend_Data!AI187="", "", MIS_Backend_Data!AI187)</f>
        <v>NA</v>
      </c>
      <c r="M188" t="str">
        <f>IF(MIS_Backend_Data!AK187="", "", MIS_Backend_Data!AK187)</f>
        <v>NA</v>
      </c>
      <c r="N188" t="str">
        <f>IF(MIS_Backend_Data!AM187="", "", MIS_Backend_Data!AM187)</f>
        <v>NA</v>
      </c>
      <c r="O188" t="str">
        <f>IF(MIS_Backend_Data!AO187="", "", MIS_Backend_Data!AO187)</f>
        <v>NA</v>
      </c>
      <c r="P188" t="str">
        <f>IF(MIS_Backend_Data!AS187="", "", MIS_Backend_Data!AS187)</f>
        <v>WIP</v>
      </c>
      <c r="Q188" t="str">
        <f>IF(MIS_Backend_Data!AX187="", "", MIS_Backend_Data!AX187)</f>
        <v>WIP</v>
      </c>
      <c r="R188" t="str">
        <f>IF(MIS_Backend_Data!BB187="", "", MIS_Backend_Data!BB187)</f>
        <v>NA</v>
      </c>
      <c r="S188" t="str">
        <f>IF(MIS_Backend_Data!AW187="", "", MIS_Backend_Data!AW187)</f>
        <v>NA</v>
      </c>
      <c r="T188" s="42" t="str">
        <f>IF(MIS_Backend_Data!N187="Dispatch","Completed","NA")</f>
        <v>NA</v>
      </c>
      <c r="U188" t="str">
        <f t="shared" si="6"/>
        <v/>
      </c>
      <c r="V188" t="str">
        <f t="shared" si="7"/>
        <v/>
      </c>
      <c r="W188" s="20" t="str">
        <f t="shared" si="8"/>
        <v/>
      </c>
    </row>
    <row r="189" spans="2:23" ht="14.5">
      <c r="B189" s="205" t="str">
        <f ca="1"/>
        <v>2025213860</v>
      </c>
      <c r="C189" s="17" t="str">
        <f ca="1"/>
        <v>Indusind General Insurance Co Ltd</v>
      </c>
      <c r="D189" s="17" t="str">
        <f ca="1"/>
        <v>R001-1187-SS-2025</v>
      </c>
      <c r="E189" s="19">
        <f ca="1"/>
        <v>20</v>
      </c>
      <c r="F189" s="19" t="str">
        <f>IF(MIS_Backend_Data!O188="", "", MIS_Backend_Data!O188)</f>
        <v>WIP</v>
      </c>
      <c r="G189" t="str">
        <f>IF(MIS_Backend_Data!T188="", "", MIS_Backend_Data!T188)</f>
        <v>WIP</v>
      </c>
      <c r="H189" t="str">
        <f>IF(MIS_Backend_Data!X188="", "", MIS_Backend_Data!X188)</f>
        <v>NA</v>
      </c>
      <c r="I189" t="str">
        <f>IF(MIS_Backend_Data!AC188="", "", MIS_Backend_Data!AC188)</f>
        <v>WIP</v>
      </c>
      <c r="J189" t="str">
        <f>IF(MIS_Backend_Data!AB188="", "", MIS_Backend_Data!AB188)</f>
        <v>NA</v>
      </c>
      <c r="K189" t="str">
        <f>IF(MIS_Backend_Data!AG188="", "", MIS_Backend_Data!AG188)</f>
        <v>NA</v>
      </c>
      <c r="L189" s="20" t="str">
        <f>IF(MIS_Backend_Data!AI188="", "", MIS_Backend_Data!AI188)</f>
        <v>NA</v>
      </c>
      <c r="M189" t="str">
        <f>IF(MIS_Backend_Data!AK188="", "", MIS_Backend_Data!AK188)</f>
        <v>NA</v>
      </c>
      <c r="N189" t="str">
        <f>IF(MIS_Backend_Data!AM188="", "", MIS_Backend_Data!AM188)</f>
        <v>NA</v>
      </c>
      <c r="O189" t="str">
        <f>IF(MIS_Backend_Data!AO188="", "", MIS_Backend_Data!AO188)</f>
        <v>NA</v>
      </c>
      <c r="P189" t="str">
        <f>IF(MIS_Backend_Data!AS188="", "", MIS_Backend_Data!AS188)</f>
        <v>WIP</v>
      </c>
      <c r="Q189" t="str">
        <f>IF(MIS_Backend_Data!AX188="", "", MIS_Backend_Data!AX188)</f>
        <v>WIP</v>
      </c>
      <c r="R189" t="str">
        <f>IF(MIS_Backend_Data!BB188="", "", MIS_Backend_Data!BB188)</f>
        <v>NA</v>
      </c>
      <c r="S189" t="str">
        <f>IF(MIS_Backend_Data!AW188="", "", MIS_Backend_Data!AW188)</f>
        <v>NA</v>
      </c>
      <c r="T189" s="42" t="str">
        <f>IF(MIS_Backend_Data!N188="Dispatch","Completed","NA")</f>
        <v>NA</v>
      </c>
      <c r="U189" t="str">
        <f t="shared" si="6"/>
        <v/>
      </c>
      <c r="V189" t="str">
        <f t="shared" si="7"/>
        <v/>
      </c>
      <c r="W189" s="20" t="str">
        <f t="shared" si="8"/>
        <v/>
      </c>
    </row>
    <row r="190" spans="2:23" ht="14.5">
      <c r="B190" s="205" t="str">
        <f ca="1"/>
        <v>2025213854</v>
      </c>
      <c r="C190" s="17" t="str">
        <f ca="1"/>
        <v>Indusind General Insurance Co Ltd</v>
      </c>
      <c r="D190" s="17" t="str">
        <f ca="1"/>
        <v>R001-1188-SS-2025</v>
      </c>
      <c r="E190" s="19">
        <f ca="1"/>
        <v>20</v>
      </c>
      <c r="F190" s="19" t="str">
        <f>IF(MIS_Backend_Data!O189="", "", MIS_Backend_Data!O189)</f>
        <v>WIP</v>
      </c>
      <c r="G190" t="str">
        <f>IF(MIS_Backend_Data!T189="", "", MIS_Backend_Data!T189)</f>
        <v>WIP</v>
      </c>
      <c r="H190" t="str">
        <f>IF(MIS_Backend_Data!X189="", "", MIS_Backend_Data!X189)</f>
        <v>NA</v>
      </c>
      <c r="I190" t="str">
        <f>IF(MIS_Backend_Data!AC189="", "", MIS_Backend_Data!AC189)</f>
        <v>WIP</v>
      </c>
      <c r="J190" t="str">
        <f>IF(MIS_Backend_Data!AB189="", "", MIS_Backend_Data!AB189)</f>
        <v>NA</v>
      </c>
      <c r="K190" t="str">
        <f>IF(MIS_Backend_Data!AG189="", "", MIS_Backend_Data!AG189)</f>
        <v>NA</v>
      </c>
      <c r="L190" s="20" t="str">
        <f>IF(MIS_Backend_Data!AI189="", "", MIS_Backend_Data!AI189)</f>
        <v>NA</v>
      </c>
      <c r="M190" t="str">
        <f>IF(MIS_Backend_Data!AK189="", "", MIS_Backend_Data!AK189)</f>
        <v>NA</v>
      </c>
      <c r="N190" t="str">
        <f>IF(MIS_Backend_Data!AM189="", "", MIS_Backend_Data!AM189)</f>
        <v>NA</v>
      </c>
      <c r="O190" t="str">
        <f>IF(MIS_Backend_Data!AO189="", "", MIS_Backend_Data!AO189)</f>
        <v>NA</v>
      </c>
      <c r="P190" t="str">
        <f>IF(MIS_Backend_Data!AS189="", "", MIS_Backend_Data!AS189)</f>
        <v>WIP</v>
      </c>
      <c r="Q190" t="str">
        <f>IF(MIS_Backend_Data!AX189="", "", MIS_Backend_Data!AX189)</f>
        <v>WIP</v>
      </c>
      <c r="R190" t="str">
        <f>IF(MIS_Backend_Data!BB189="", "", MIS_Backend_Data!BB189)</f>
        <v>NA</v>
      </c>
      <c r="S190" t="str">
        <f>IF(MIS_Backend_Data!AW189="", "", MIS_Backend_Data!AW189)</f>
        <v>NA</v>
      </c>
      <c r="T190" s="42" t="str">
        <f>IF(MIS_Backend_Data!N189="Dispatch","Completed","NA")</f>
        <v>NA</v>
      </c>
      <c r="U190" t="str">
        <f t="shared" si="6"/>
        <v/>
      </c>
      <c r="V190" t="str">
        <f t="shared" si="7"/>
        <v/>
      </c>
      <c r="W190" s="20" t="str">
        <f t="shared" si="8"/>
        <v/>
      </c>
    </row>
    <row r="191" spans="2:23" ht="14.5">
      <c r="B191" s="205" t="str">
        <f ca="1"/>
        <v>2025213836</v>
      </c>
      <c r="C191" s="17" t="str">
        <f ca="1"/>
        <v>Indusind General Insurance Co Ltd</v>
      </c>
      <c r="D191" s="17" t="str">
        <f ca="1"/>
        <v>R001-1189-SS-2025</v>
      </c>
      <c r="E191" s="19">
        <f ca="1"/>
        <v>20</v>
      </c>
      <c r="F191" s="19" t="str">
        <f>IF(MIS_Backend_Data!O190="", "", MIS_Backend_Data!O190)</f>
        <v>WIP</v>
      </c>
      <c r="G191" t="str">
        <f>IF(MIS_Backend_Data!T190="", "", MIS_Backend_Data!T190)</f>
        <v>WIP</v>
      </c>
      <c r="H191" t="str">
        <f>IF(MIS_Backend_Data!X190="", "", MIS_Backend_Data!X190)</f>
        <v>NA</v>
      </c>
      <c r="I191" t="str">
        <f>IF(MIS_Backend_Data!AC190="", "", MIS_Backend_Data!AC190)</f>
        <v>WIP</v>
      </c>
      <c r="J191" t="str">
        <f>IF(MIS_Backend_Data!AB190="", "", MIS_Backend_Data!AB190)</f>
        <v>NA</v>
      </c>
      <c r="K191" t="str">
        <f>IF(MIS_Backend_Data!AG190="", "", MIS_Backend_Data!AG190)</f>
        <v>NA</v>
      </c>
      <c r="L191" s="20" t="str">
        <f>IF(MIS_Backend_Data!AI190="", "", MIS_Backend_Data!AI190)</f>
        <v>NA</v>
      </c>
      <c r="M191" t="str">
        <f>IF(MIS_Backend_Data!AK190="", "", MIS_Backend_Data!AK190)</f>
        <v>NA</v>
      </c>
      <c r="N191" t="str">
        <f>IF(MIS_Backend_Data!AM190="", "", MIS_Backend_Data!AM190)</f>
        <v>NA</v>
      </c>
      <c r="O191" t="str">
        <f>IF(MIS_Backend_Data!AO190="", "", MIS_Backend_Data!AO190)</f>
        <v>NA</v>
      </c>
      <c r="P191" t="str">
        <f>IF(MIS_Backend_Data!AS190="", "", MIS_Backend_Data!AS190)</f>
        <v>WIP</v>
      </c>
      <c r="Q191" t="str">
        <f>IF(MIS_Backend_Data!AX190="", "", MIS_Backend_Data!AX190)</f>
        <v>WIP</v>
      </c>
      <c r="R191" t="str">
        <f>IF(MIS_Backend_Data!BB190="", "", MIS_Backend_Data!BB190)</f>
        <v>NA</v>
      </c>
      <c r="S191" t="str">
        <f>IF(MIS_Backend_Data!AW190="", "", MIS_Backend_Data!AW190)</f>
        <v>NA</v>
      </c>
      <c r="T191" s="42" t="str">
        <f>IF(MIS_Backend_Data!N190="Dispatch","Completed","NA")</f>
        <v>NA</v>
      </c>
      <c r="U191" t="str">
        <f t="shared" si="6"/>
        <v/>
      </c>
      <c r="V191" t="str">
        <f t="shared" si="7"/>
        <v/>
      </c>
      <c r="W191" s="20" t="str">
        <f t="shared" si="8"/>
        <v/>
      </c>
    </row>
    <row r="192" spans="2:23" ht="14.5">
      <c r="B192" s="205" t="str">
        <f ca="1"/>
        <v>2025213495</v>
      </c>
      <c r="C192" s="17" t="str">
        <f ca="1"/>
        <v>Indusind General Insurance Co Ltd</v>
      </c>
      <c r="D192" s="17" t="str">
        <f ca="1"/>
        <v>R001-1190-SS-2025</v>
      </c>
      <c r="E192" s="19">
        <f ca="1"/>
        <v>19</v>
      </c>
      <c r="F192" s="19" t="str">
        <f>IF(MIS_Backend_Data!O191="", "", MIS_Backend_Data!O191)</f>
        <v>WIP</v>
      </c>
      <c r="G192" t="str">
        <f>IF(MIS_Backend_Data!T191="", "", MIS_Backend_Data!T191)</f>
        <v>NI</v>
      </c>
      <c r="H192" t="str">
        <f>IF(MIS_Backend_Data!X191="", "", MIS_Backend_Data!X191)</f>
        <v>NA</v>
      </c>
      <c r="I192" t="str">
        <f>IF(MIS_Backend_Data!AC191="", "", MIS_Backend_Data!AC191)</f>
        <v>Completed</v>
      </c>
      <c r="J192" t="str">
        <f>IF(MIS_Backend_Data!AB191="", "", MIS_Backend_Data!AB191)</f>
        <v>NA</v>
      </c>
      <c r="K192" t="str">
        <f>IF(MIS_Backend_Data!AG191="", "", MIS_Backend_Data!AG191)</f>
        <v>Completed</v>
      </c>
      <c r="L192" s="20" t="str">
        <f>IF(MIS_Backend_Data!AI191="", "", MIS_Backend_Data!AI191)</f>
        <v>NA</v>
      </c>
      <c r="M192" t="str">
        <f>IF(MIS_Backend_Data!AK191="", "", MIS_Backend_Data!AK191)</f>
        <v>NA</v>
      </c>
      <c r="N192" t="str">
        <f>IF(MIS_Backend_Data!AM191="", "", MIS_Backend_Data!AM191)</f>
        <v>NA</v>
      </c>
      <c r="O192" t="str">
        <f>IF(MIS_Backend_Data!AO191="", "", MIS_Backend_Data!AO191)</f>
        <v>NA</v>
      </c>
      <c r="P192" t="str">
        <f>IF(MIS_Backend_Data!AS191="", "", MIS_Backend_Data!AS191)</f>
        <v>NI</v>
      </c>
      <c r="Q192" t="str">
        <f>IF(MIS_Backend_Data!AX191="", "", MIS_Backend_Data!AX191)</f>
        <v>NI</v>
      </c>
      <c r="R192" t="str">
        <f>IF(MIS_Backend_Data!BB191="", "", MIS_Backend_Data!BB191)</f>
        <v>NA</v>
      </c>
      <c r="S192" t="str">
        <f>IF(MIS_Backend_Data!AW191="", "", MIS_Backend_Data!AW191)</f>
        <v>NA</v>
      </c>
      <c r="T192" s="42" t="str">
        <f>IF(MIS_Backend_Data!N191="Dispatch","Completed","NA")</f>
        <v>NA</v>
      </c>
      <c r="U192" t="str">
        <f t="shared" si="6"/>
        <v/>
      </c>
      <c r="V192" t="str">
        <f t="shared" si="7"/>
        <v/>
      </c>
      <c r="W192" s="20" t="str">
        <f t="shared" si="8"/>
        <v/>
      </c>
    </row>
    <row r="193" spans="2:23" ht="14.5">
      <c r="B193" s="205" t="str">
        <f ca="1"/>
        <v>2025213494</v>
      </c>
      <c r="C193" s="17" t="str">
        <f ca="1"/>
        <v>Indusind General Insurance Co Ltd</v>
      </c>
      <c r="D193" s="17" t="str">
        <f ca="1"/>
        <v>R001-1191-SS-2025</v>
      </c>
      <c r="E193" s="19">
        <f ca="1"/>
        <v>19</v>
      </c>
      <c r="F193" s="19" t="str">
        <f>IF(MIS_Backend_Data!O192="", "", MIS_Backend_Data!O192)</f>
        <v>NI</v>
      </c>
      <c r="G193" t="str">
        <f>IF(MIS_Backend_Data!T192="", "", MIS_Backend_Data!T192)</f>
        <v>NI</v>
      </c>
      <c r="H193" t="str">
        <f>IF(MIS_Backend_Data!X192="", "", MIS_Backend_Data!X192)</f>
        <v>NA</v>
      </c>
      <c r="I193" t="str">
        <f>IF(MIS_Backend_Data!AC192="", "", MIS_Backend_Data!AC192)</f>
        <v xml:space="preserve">NA </v>
      </c>
      <c r="J193" t="str">
        <f>IF(MIS_Backend_Data!AB192="", "", MIS_Backend_Data!AB192)</f>
        <v xml:space="preserve">NA </v>
      </c>
      <c r="K193" t="str">
        <f>IF(MIS_Backend_Data!AG192="", "", MIS_Backend_Data!AG192)</f>
        <v xml:space="preserve">NA </v>
      </c>
      <c r="L193" s="20" t="str">
        <f>IF(MIS_Backend_Data!AI192="", "", MIS_Backend_Data!AI192)</f>
        <v>NA</v>
      </c>
      <c r="M193" t="str">
        <f>IF(MIS_Backend_Data!AK192="", "", MIS_Backend_Data!AK192)</f>
        <v>NA</v>
      </c>
      <c r="N193" t="str">
        <f>IF(MIS_Backend_Data!AM192="", "", MIS_Backend_Data!AM192)</f>
        <v>NA</v>
      </c>
      <c r="O193" t="str">
        <f>IF(MIS_Backend_Data!AO192="", "", MIS_Backend_Data!AO192)</f>
        <v>NA</v>
      </c>
      <c r="P193" t="str">
        <f>IF(MIS_Backend_Data!AS192="", "", MIS_Backend_Data!AS192)</f>
        <v>NA</v>
      </c>
      <c r="Q193" t="str">
        <f>IF(MIS_Backend_Data!AX192="", "", MIS_Backend_Data!AX192)</f>
        <v>NA</v>
      </c>
      <c r="R193" t="str">
        <f>IF(MIS_Backend_Data!BB192="", "", MIS_Backend_Data!BB192)</f>
        <v>NA</v>
      </c>
      <c r="S193" t="str">
        <f>IF(MIS_Backend_Data!AW192="", "", MIS_Backend_Data!AW192)</f>
        <v>NA</v>
      </c>
      <c r="T193" s="42" t="str">
        <f>IF(MIS_Backend_Data!N192="Dispatch","Completed","NA")</f>
        <v>NA</v>
      </c>
      <c r="U193" t="str">
        <f t="shared" si="6"/>
        <v/>
      </c>
      <c r="V193" t="str">
        <f t="shared" si="7"/>
        <v/>
      </c>
      <c r="W193" s="20" t="str">
        <f t="shared" si="8"/>
        <v/>
      </c>
    </row>
    <row r="194" spans="2:23" ht="14.5">
      <c r="B194" s="205" t="str">
        <f ca="1"/>
        <v>2025213493</v>
      </c>
      <c r="C194" s="17" t="str">
        <f ca="1"/>
        <v>Indusind General Insurance Co Ltd</v>
      </c>
      <c r="D194" s="17" t="str">
        <f ca="1"/>
        <v>R001-1192-SS-2025</v>
      </c>
      <c r="E194" s="19">
        <f ca="1"/>
        <v>19</v>
      </c>
      <c r="F194" s="19" t="str">
        <f>IF(MIS_Backend_Data!O193="", "", MIS_Backend_Data!O193)</f>
        <v>NI</v>
      </c>
      <c r="G194" t="str">
        <f>IF(MIS_Backend_Data!T193="", "", MIS_Backend_Data!T193)</f>
        <v>NI</v>
      </c>
      <c r="H194" t="str">
        <f>IF(MIS_Backend_Data!X193="", "", MIS_Backend_Data!X193)</f>
        <v>NA</v>
      </c>
      <c r="I194" t="str">
        <f>IF(MIS_Backend_Data!AC193="", "", MIS_Backend_Data!AC193)</f>
        <v xml:space="preserve">NA </v>
      </c>
      <c r="J194" t="str">
        <f>IF(MIS_Backend_Data!AB193="", "", MIS_Backend_Data!AB193)</f>
        <v xml:space="preserve">NA </v>
      </c>
      <c r="K194" t="str">
        <f>IF(MIS_Backend_Data!AG193="", "", MIS_Backend_Data!AG193)</f>
        <v xml:space="preserve">NA </v>
      </c>
      <c r="L194" s="20" t="str">
        <f>IF(MIS_Backend_Data!AI193="", "", MIS_Backend_Data!AI193)</f>
        <v>NA</v>
      </c>
      <c r="M194" t="str">
        <f>IF(MIS_Backend_Data!AK193="", "", MIS_Backend_Data!AK193)</f>
        <v>NA</v>
      </c>
      <c r="N194" t="str">
        <f>IF(MIS_Backend_Data!AM193="", "", MIS_Backend_Data!AM193)</f>
        <v>NA</v>
      </c>
      <c r="O194" t="str">
        <f>IF(MIS_Backend_Data!AO193="", "", MIS_Backend_Data!AO193)</f>
        <v>NA</v>
      </c>
      <c r="P194" t="str">
        <f>IF(MIS_Backend_Data!AS193="", "", MIS_Backend_Data!AS193)</f>
        <v>NA</v>
      </c>
      <c r="Q194" t="str">
        <f>IF(MIS_Backend_Data!AX193="", "", MIS_Backend_Data!AX193)</f>
        <v>NA</v>
      </c>
      <c r="R194" t="str">
        <f>IF(MIS_Backend_Data!BB193="", "", MIS_Backend_Data!BB193)</f>
        <v>NA</v>
      </c>
      <c r="S194" t="str">
        <f>IF(MIS_Backend_Data!AW193="", "", MIS_Backend_Data!AW193)</f>
        <v>NA</v>
      </c>
      <c r="T194" s="42" t="str">
        <f>IF(MIS_Backend_Data!N193="Dispatch","Completed","NA")</f>
        <v>NA</v>
      </c>
      <c r="U194" t="str">
        <f t="shared" si="6"/>
        <v/>
      </c>
      <c r="V194" t="str">
        <f t="shared" si="7"/>
        <v/>
      </c>
      <c r="W194" s="20" t="str">
        <f t="shared" si="8"/>
        <v/>
      </c>
    </row>
    <row r="195" spans="2:23" ht="14.5">
      <c r="B195" s="205" t="str">
        <f ca="1"/>
        <v>2025213492</v>
      </c>
      <c r="C195" s="17" t="str">
        <f ca="1"/>
        <v>Indusind General Insurance Co Ltd</v>
      </c>
      <c r="D195" s="17" t="str">
        <f ca="1"/>
        <v>R001-1193-SS-2025</v>
      </c>
      <c r="E195" s="19">
        <f ca="1"/>
        <v>19</v>
      </c>
      <c r="F195" s="19" t="str">
        <f>IF(MIS_Backend_Data!O194="", "", MIS_Backend_Data!O194)</f>
        <v>WIP</v>
      </c>
      <c r="G195" t="str">
        <f>IF(MIS_Backend_Data!T194="", "", MIS_Backend_Data!T194)</f>
        <v>WIP</v>
      </c>
      <c r="H195" t="str">
        <f>IF(MIS_Backend_Data!X194="", "", MIS_Backend_Data!X194)</f>
        <v>NA</v>
      </c>
      <c r="I195" t="str">
        <f>IF(MIS_Backend_Data!AC194="", "", MIS_Backend_Data!AC194)</f>
        <v>WIP</v>
      </c>
      <c r="J195" t="str">
        <f>IF(MIS_Backend_Data!AB194="", "", MIS_Backend_Data!AB194)</f>
        <v xml:space="preserve">NA </v>
      </c>
      <c r="K195" t="str">
        <f>IF(MIS_Backend_Data!AG194="", "", MIS_Backend_Data!AG194)</f>
        <v>NA</v>
      </c>
      <c r="L195" s="20" t="str">
        <f>IF(MIS_Backend_Data!AI194="", "", MIS_Backend_Data!AI194)</f>
        <v>NA</v>
      </c>
      <c r="M195" t="str">
        <f>IF(MIS_Backend_Data!AK194="", "", MIS_Backend_Data!AK194)</f>
        <v>NA</v>
      </c>
      <c r="N195" t="str">
        <f>IF(MIS_Backend_Data!AM194="", "", MIS_Backend_Data!AM194)</f>
        <v>NA</v>
      </c>
      <c r="O195" t="str">
        <f>IF(MIS_Backend_Data!AO194="", "", MIS_Backend_Data!AO194)</f>
        <v>NA</v>
      </c>
      <c r="P195" t="str">
        <f>IF(MIS_Backend_Data!AS194="", "", MIS_Backend_Data!AS194)</f>
        <v>WIP</v>
      </c>
      <c r="Q195" t="str">
        <f>IF(MIS_Backend_Data!AX194="", "", MIS_Backend_Data!AX194)</f>
        <v>NI</v>
      </c>
      <c r="R195" t="str">
        <f>IF(MIS_Backend_Data!BB194="", "", MIS_Backend_Data!BB194)</f>
        <v>NA</v>
      </c>
      <c r="S195" t="str">
        <f>IF(MIS_Backend_Data!AW194="", "", MIS_Backend_Data!AW194)</f>
        <v>NA</v>
      </c>
      <c r="T195" s="42" t="str">
        <f>IF(MIS_Backend_Data!N194="Dispatch","Completed","NA")</f>
        <v>NA</v>
      </c>
      <c r="U195" t="str">
        <f t="shared" si="6"/>
        <v/>
      </c>
      <c r="V195" t="str">
        <f t="shared" si="7"/>
        <v/>
      </c>
      <c r="W195" s="20" t="str">
        <f t="shared" si="8"/>
        <v/>
      </c>
    </row>
    <row r="196" spans="2:23" ht="14.5">
      <c r="B196" s="205" t="str">
        <f ca="1"/>
        <v>2024208871</v>
      </c>
      <c r="C196" s="17" t="str">
        <f ca="1"/>
        <v>Indusind General Insurance Co Ltd</v>
      </c>
      <c r="D196" s="17" t="str">
        <f ca="1"/>
        <v>R001-1194-SS-2025</v>
      </c>
      <c r="E196" s="19">
        <f ca="1"/>
        <v>126</v>
      </c>
      <c r="F196" s="19" t="str">
        <f>IF(MIS_Backend_Data!O195="", "", MIS_Backend_Data!O195)</f>
        <v>Pending CS</v>
      </c>
      <c r="G196" t="str">
        <f>IF(MIS_Backend_Data!T195="", "", MIS_Backend_Data!T195)</f>
        <v>Completed</v>
      </c>
      <c r="H196" t="str">
        <f>IF(MIS_Backend_Data!X195="", "", MIS_Backend_Data!X195)</f>
        <v>NA</v>
      </c>
      <c r="I196" t="str">
        <f>IF(MIS_Backend_Data!AC195="", "", MIS_Backend_Data!AC195)</f>
        <v>Completed</v>
      </c>
      <c r="J196" t="str">
        <f>IF(MIS_Backend_Data!AB195="", "", MIS_Backend_Data!AB195)</f>
        <v>NA</v>
      </c>
      <c r="K196" t="str">
        <f>IF(MIS_Backend_Data!AG195="", "", MIS_Backend_Data!AG195)</f>
        <v xml:space="preserve">NA </v>
      </c>
      <c r="L196" s="20" t="str">
        <f>IF(MIS_Backend_Data!AI195="", "", MIS_Backend_Data!AI195)</f>
        <v>NA</v>
      </c>
      <c r="M196" t="str">
        <f>IF(MIS_Backend_Data!AK195="", "", MIS_Backend_Data!AK195)</f>
        <v>NA</v>
      </c>
      <c r="N196" t="str">
        <f>IF(MIS_Backend_Data!AM195="", "", MIS_Backend_Data!AM195)</f>
        <v>NA</v>
      </c>
      <c r="O196" t="str">
        <f>IF(MIS_Backend_Data!AO195="", "", MIS_Backend_Data!AO195)</f>
        <v>NA</v>
      </c>
      <c r="P196" t="str">
        <f>IF(MIS_Backend_Data!AS195="", "", MIS_Backend_Data!AS195)</f>
        <v>Completed</v>
      </c>
      <c r="Q196" t="str">
        <f>IF(MIS_Backend_Data!AX195="", "", MIS_Backend_Data!AX195)</f>
        <v>WIP</v>
      </c>
      <c r="R196" t="str">
        <f>IF(MIS_Backend_Data!BB195="", "", MIS_Backend_Data!BB195)</f>
        <v>NA</v>
      </c>
      <c r="S196" t="str">
        <f>IF(MIS_Backend_Data!AW195="", "", MIS_Backend_Data!AW195)</f>
        <v>NA</v>
      </c>
      <c r="T196" s="42" t="str">
        <f>IF(MIS_Backend_Data!N195="Dispatch","Completed","NA")</f>
        <v>Completed</v>
      </c>
      <c r="U196" t="str">
        <f t="shared" ref="U196:U259" si="9">IF(F196="WIP", IF(COUNTIF(G196:R196, "WIP")=2, 2, ""), "")</f>
        <v/>
      </c>
      <c r="V196" t="str">
        <f t="shared" ref="V196:V259" si="10">IF(F196="WIP", IF(COUNTIF(G196:R196, "WIP")=1, 1, ""), "")</f>
        <v/>
      </c>
      <c r="W196" s="20" t="str">
        <f t="shared" ref="W196:W259" si="11">IF(OR(F196="WIP",F196="Pending for CS"),
    IF(COUNTIFS(G196:R196,"&lt;&gt;Completed",G196:R196,"&lt;&gt;NA")=0,"GTG",""),
"")</f>
        <v/>
      </c>
    </row>
    <row r="197" spans="2:23" ht="14.5">
      <c r="B197" s="205" t="str">
        <f ca="1"/>
        <v>2024210062</v>
      </c>
      <c r="C197" s="17" t="str">
        <f ca="1"/>
        <v>Indusind General Insurance Co Ltd</v>
      </c>
      <c r="D197" s="17" t="str">
        <f ca="1"/>
        <v>R001-1195-SS-2025</v>
      </c>
      <c r="E197" s="19">
        <f ca="1"/>
        <v>58</v>
      </c>
      <c r="F197" s="19" t="str">
        <f>IF(MIS_Backend_Data!O196="", "", MIS_Backend_Data!O196)</f>
        <v>Pending CS</v>
      </c>
      <c r="G197" t="str">
        <f>IF(MIS_Backend_Data!T196="", "", MIS_Backend_Data!T196)</f>
        <v>Completed</v>
      </c>
      <c r="H197" t="str">
        <f>IF(MIS_Backend_Data!X196="", "", MIS_Backend_Data!X196)</f>
        <v>NA</v>
      </c>
      <c r="I197" t="str">
        <f>IF(MIS_Backend_Data!AC196="", "", MIS_Backend_Data!AC196)</f>
        <v>Completed</v>
      </c>
      <c r="J197" t="str">
        <f>IF(MIS_Backend_Data!AB196="", "", MIS_Backend_Data!AB196)</f>
        <v>NA</v>
      </c>
      <c r="K197" t="str">
        <f>IF(MIS_Backend_Data!AG196="", "", MIS_Backend_Data!AG196)</f>
        <v>Completed</v>
      </c>
      <c r="L197" s="20" t="str">
        <f>IF(MIS_Backend_Data!AI196="", "", MIS_Backend_Data!AI196)</f>
        <v>NA</v>
      </c>
      <c r="M197" t="str">
        <f>IF(MIS_Backend_Data!AK196="", "", MIS_Backend_Data!AK196)</f>
        <v>NA</v>
      </c>
      <c r="N197" t="str">
        <f>IF(MIS_Backend_Data!AM196="", "", MIS_Backend_Data!AM196)</f>
        <v>NA</v>
      </c>
      <c r="O197" t="str">
        <f>IF(MIS_Backend_Data!AO196="", "", MIS_Backend_Data!AO196)</f>
        <v>NA</v>
      </c>
      <c r="P197" t="str">
        <f>IF(MIS_Backend_Data!AS196="", "", MIS_Backend_Data!AS196)</f>
        <v>Completed</v>
      </c>
      <c r="Q197" t="str">
        <f>IF(MIS_Backend_Data!AX196="", "", MIS_Backend_Data!AX196)</f>
        <v>WIP</v>
      </c>
      <c r="R197" t="str">
        <f>IF(MIS_Backend_Data!BB196="", "", MIS_Backend_Data!BB196)</f>
        <v>NA</v>
      </c>
      <c r="S197" t="str">
        <f>IF(MIS_Backend_Data!AW196="", "", MIS_Backend_Data!AW196)</f>
        <v>NA</v>
      </c>
      <c r="T197" s="42" t="str">
        <f>IF(MIS_Backend_Data!N196="Dispatch","Completed","NA")</f>
        <v>Completed</v>
      </c>
      <c r="U197" t="str">
        <f t="shared" si="9"/>
        <v/>
      </c>
      <c r="V197" t="str">
        <f t="shared" si="10"/>
        <v/>
      </c>
      <c r="W197" s="20" t="str">
        <f t="shared" si="11"/>
        <v/>
      </c>
    </row>
    <row r="198" spans="2:23" ht="14.5">
      <c r="B198" s="205" t="str">
        <f ca="1"/>
        <v>2025200164</v>
      </c>
      <c r="C198" s="17" t="str">
        <f ca="1"/>
        <v>Indusind General Insurance Co Ltd</v>
      </c>
      <c r="D198" s="17" t="str">
        <f ca="1"/>
        <v>R001-1196-SS-2025</v>
      </c>
      <c r="E198" s="19">
        <f ca="1"/>
        <v>17</v>
      </c>
      <c r="F198" s="19" t="str">
        <f>IF(MIS_Backend_Data!O197="", "", MIS_Backend_Data!O197)</f>
        <v>Completed</v>
      </c>
      <c r="G198" t="str">
        <f>IF(MIS_Backend_Data!T197="", "", MIS_Backend_Data!T197)</f>
        <v>Completed</v>
      </c>
      <c r="H198" t="str">
        <f>IF(MIS_Backend_Data!X197="", "", MIS_Backend_Data!X197)</f>
        <v>NA</v>
      </c>
      <c r="I198" t="str">
        <f>IF(MIS_Backend_Data!AC197="", "", MIS_Backend_Data!AC197)</f>
        <v>Completed</v>
      </c>
      <c r="J198" t="str">
        <f>IF(MIS_Backend_Data!AB197="", "", MIS_Backend_Data!AB197)</f>
        <v>NA</v>
      </c>
      <c r="K198" t="str">
        <f>IF(MIS_Backend_Data!AG197="", "", MIS_Backend_Data!AG197)</f>
        <v>Completed</v>
      </c>
      <c r="L198" s="20" t="str">
        <f>IF(MIS_Backend_Data!AI197="", "", MIS_Backend_Data!AI197)</f>
        <v>NA</v>
      </c>
      <c r="M198" t="str">
        <f>IF(MIS_Backend_Data!AK197="", "", MIS_Backend_Data!AK197)</f>
        <v>NA</v>
      </c>
      <c r="N198" t="str">
        <f>IF(MIS_Backend_Data!AM197="", "", MIS_Backend_Data!AM197)</f>
        <v>NA</v>
      </c>
      <c r="O198" t="str">
        <f>IF(MIS_Backend_Data!AO197="", "", MIS_Backend_Data!AO197)</f>
        <v>NA</v>
      </c>
      <c r="P198" t="str">
        <f>IF(MIS_Backend_Data!AS197="", "", MIS_Backend_Data!AS197)</f>
        <v>Completed</v>
      </c>
      <c r="Q198" t="str">
        <f>IF(MIS_Backend_Data!AX197="", "", MIS_Backend_Data!AX197)</f>
        <v>Not Initiated</v>
      </c>
      <c r="R198" t="str">
        <f>IF(MIS_Backend_Data!BB197="", "", MIS_Backend_Data!BB197)</f>
        <v>NA</v>
      </c>
      <c r="S198" t="str">
        <f>IF(MIS_Backend_Data!AW197="", "", MIS_Backend_Data!AW197)</f>
        <v>NA</v>
      </c>
      <c r="T198" s="42" t="str">
        <f>IF(MIS_Backend_Data!N197="Dispatch","Completed","NA")</f>
        <v>NA</v>
      </c>
      <c r="U198" t="str">
        <f t="shared" si="9"/>
        <v/>
      </c>
      <c r="V198" t="str">
        <f t="shared" si="10"/>
        <v/>
      </c>
      <c r="W198" s="20" t="str">
        <f t="shared" si="11"/>
        <v/>
      </c>
    </row>
    <row r="199" spans="2:23" ht="14.5">
      <c r="B199" s="205" t="str">
        <f ca="1"/>
        <v>2024216007</v>
      </c>
      <c r="C199" s="17" t="str">
        <f ca="1"/>
        <v>Indusind General Insurance Co Ltd</v>
      </c>
      <c r="D199" s="17" t="str">
        <f ca="1"/>
        <v>R001-1197-SS-2025</v>
      </c>
      <c r="E199" s="19">
        <f ca="1"/>
        <v>210</v>
      </c>
      <c r="F199" s="19" t="str">
        <f>IF(MIS_Backend_Data!O198="", "", MIS_Backend_Data!O198)</f>
        <v>Completed</v>
      </c>
      <c r="G199" t="str">
        <f>IF(MIS_Backend_Data!T198="", "", MIS_Backend_Data!T198)</f>
        <v>Completed</v>
      </c>
      <c r="H199" t="str">
        <f>IF(MIS_Backend_Data!X198="", "", MIS_Backend_Data!X198)</f>
        <v>NA</v>
      </c>
      <c r="I199" t="str">
        <f>IF(MIS_Backend_Data!AC198="", "", MIS_Backend_Data!AC198)</f>
        <v>Completed</v>
      </c>
      <c r="J199" t="str">
        <f>IF(MIS_Backend_Data!AB198="", "", MIS_Backend_Data!AB198)</f>
        <v>NA</v>
      </c>
      <c r="K199" t="str">
        <f>IF(MIS_Backend_Data!AG198="", "", MIS_Backend_Data!AG198)</f>
        <v>Completed</v>
      </c>
      <c r="L199" s="20" t="str">
        <f>IF(MIS_Backend_Data!AI198="", "", MIS_Backend_Data!AI198)</f>
        <v>NA</v>
      </c>
      <c r="M199" t="str">
        <f>IF(MIS_Backend_Data!AK198="", "", MIS_Backend_Data!AK198)</f>
        <v>NA</v>
      </c>
      <c r="N199" t="str">
        <f>IF(MIS_Backend_Data!AM198="", "", MIS_Backend_Data!AM198)</f>
        <v>NA</v>
      </c>
      <c r="O199" t="str">
        <f>IF(MIS_Backend_Data!AO198="", "", MIS_Backend_Data!AO198)</f>
        <v>NA</v>
      </c>
      <c r="P199" t="str">
        <f>IF(MIS_Backend_Data!AS198="", "", MIS_Backend_Data!AS198)</f>
        <v>WIP</v>
      </c>
      <c r="Q199" t="str">
        <f>IF(MIS_Backend_Data!AX198="", "", MIS_Backend_Data!AX198)</f>
        <v>WIP</v>
      </c>
      <c r="R199" t="str">
        <f>IF(MIS_Backend_Data!BB198="", "", MIS_Backend_Data!BB198)</f>
        <v>NA</v>
      </c>
      <c r="S199" t="str">
        <f>IF(MIS_Backend_Data!AW198="", "", MIS_Backend_Data!AW198)</f>
        <v>NA</v>
      </c>
      <c r="T199" s="42" t="str">
        <f>IF(MIS_Backend_Data!N198="Dispatch","Completed","NA")</f>
        <v>NA</v>
      </c>
      <c r="U199" t="str">
        <f t="shared" si="9"/>
        <v/>
      </c>
      <c r="V199" t="str">
        <f t="shared" si="10"/>
        <v/>
      </c>
      <c r="W199" s="20" t="str">
        <f t="shared" si="11"/>
        <v/>
      </c>
    </row>
    <row r="200" spans="2:23" ht="14.5">
      <c r="B200" s="205" t="str">
        <f ca="1"/>
        <v>2018212712</v>
      </c>
      <c r="C200" s="17" t="str">
        <f ca="1"/>
        <v>Indusind General Insurance Co Ltd</v>
      </c>
      <c r="D200" s="17" t="str">
        <f ca="1"/>
        <v>R001-1198-SS-2025</v>
      </c>
      <c r="E200" s="19">
        <f ca="1"/>
        <v>91</v>
      </c>
      <c r="F200" s="19" t="str">
        <f>IF(MIS_Backend_Data!O199="", "", MIS_Backend_Data!O199)</f>
        <v>Completed</v>
      </c>
      <c r="G200" t="str">
        <f>IF(MIS_Backend_Data!T199="", "", MIS_Backend_Data!T199)</f>
        <v>NA</v>
      </c>
      <c r="H200" t="str">
        <f>IF(MIS_Backend_Data!X199="", "", MIS_Backend_Data!X199)</f>
        <v>NA</v>
      </c>
      <c r="I200" t="str">
        <f>IF(MIS_Backend_Data!AC199="", "", MIS_Backend_Data!AC199)</f>
        <v>NA</v>
      </c>
      <c r="J200" t="str">
        <f>IF(MIS_Backend_Data!AB199="", "", MIS_Backend_Data!AB199)</f>
        <v>NA</v>
      </c>
      <c r="K200" t="str">
        <f>IF(MIS_Backend_Data!AG199="", "", MIS_Backend_Data!AG199)</f>
        <v>NA</v>
      </c>
      <c r="L200" s="20" t="str">
        <f>IF(MIS_Backend_Data!AI199="", "", MIS_Backend_Data!AI199)</f>
        <v>NA</v>
      </c>
      <c r="M200" t="str">
        <f>IF(MIS_Backend_Data!AK199="", "", MIS_Backend_Data!AK199)</f>
        <v>NA</v>
      </c>
      <c r="N200" t="str">
        <f>IF(MIS_Backend_Data!AM199="", "", MIS_Backend_Data!AM199)</f>
        <v>NA</v>
      </c>
      <c r="O200" t="str">
        <f>IF(MIS_Backend_Data!AO199="", "", MIS_Backend_Data!AO199)</f>
        <v>NA</v>
      </c>
      <c r="P200" t="str">
        <f>IF(MIS_Backend_Data!AS199="", "", MIS_Backend_Data!AS199)</f>
        <v>NA</v>
      </c>
      <c r="Q200" t="str">
        <f>IF(MIS_Backend_Data!AX199="", "", MIS_Backend_Data!AX199)</f>
        <v>Completed</v>
      </c>
      <c r="R200" t="str">
        <f>IF(MIS_Backend_Data!BB199="", "", MIS_Backend_Data!BB199)</f>
        <v>NA</v>
      </c>
      <c r="S200" t="str">
        <f>IF(MIS_Backend_Data!AW199="", "", MIS_Backend_Data!AW199)</f>
        <v>NA</v>
      </c>
      <c r="T200" s="42" t="str">
        <f>IF(MIS_Backend_Data!N199="Dispatch","Completed","NA")</f>
        <v>NA</v>
      </c>
      <c r="U200" t="str">
        <f t="shared" si="9"/>
        <v/>
      </c>
      <c r="V200" t="str">
        <f t="shared" si="10"/>
        <v/>
      </c>
      <c r="W200" s="20" t="str">
        <f t="shared" si="11"/>
        <v/>
      </c>
    </row>
    <row r="201" spans="2:23" ht="14.5">
      <c r="B201" s="205" t="str">
        <f ca="1"/>
        <v>MTP-N-2526-005257</v>
      </c>
      <c r="C201" s="17" t="str">
        <f ca="1"/>
        <v>Generali Central Insurance Company Limited</v>
      </c>
      <c r="D201" s="17" t="str">
        <f ca="1"/>
        <v>F001-1199-SS-2025</v>
      </c>
      <c r="E201" s="19">
        <f ca="1"/>
        <v>17</v>
      </c>
      <c r="F201" s="19" t="str">
        <f>IF(MIS_Backend_Data!O200="", "", MIS_Backend_Data!O200)</f>
        <v>WIP</v>
      </c>
      <c r="G201" t="str">
        <f>IF(MIS_Backend_Data!T200="", "", MIS_Backend_Data!T200)</f>
        <v>NI</v>
      </c>
      <c r="H201" t="str">
        <f>IF(MIS_Backend_Data!X200="", "", MIS_Backend_Data!X200)</f>
        <v>NI</v>
      </c>
      <c r="I201" t="str">
        <f>IF(MIS_Backend_Data!AC200="", "", MIS_Backend_Data!AC200)</f>
        <v>NI</v>
      </c>
      <c r="J201" t="str">
        <f>IF(MIS_Backend_Data!AB200="", "", MIS_Backend_Data!AB200)</f>
        <v>NA</v>
      </c>
      <c r="K201" t="str">
        <f>IF(MIS_Backend_Data!AG200="", "", MIS_Backend_Data!AG200)</f>
        <v>NA</v>
      </c>
      <c r="L201" s="20" t="str">
        <f>IF(MIS_Backend_Data!AI200="", "", MIS_Backend_Data!AI200)</f>
        <v>NI</v>
      </c>
      <c r="M201" t="str">
        <f>IF(MIS_Backend_Data!AK200="", "", MIS_Backend_Data!AK200)</f>
        <v>NI</v>
      </c>
      <c r="N201" t="str">
        <f>IF(MIS_Backend_Data!AM200="", "", MIS_Backend_Data!AM200)</f>
        <v>NA</v>
      </c>
      <c r="O201" t="str">
        <f>IF(MIS_Backend_Data!AO200="", "", MIS_Backend_Data!AO200)</f>
        <v>NA</v>
      </c>
      <c r="P201" t="str">
        <f>IF(MIS_Backend_Data!AS200="", "", MIS_Backend_Data!AS200)</f>
        <v>NI</v>
      </c>
      <c r="Q201" t="str">
        <f>IF(MIS_Backend_Data!AX200="", "", MIS_Backend_Data!AX200)</f>
        <v>NI</v>
      </c>
      <c r="R201" t="str">
        <f>IF(MIS_Backend_Data!BB200="", "", MIS_Backend_Data!BB200)</f>
        <v>NI</v>
      </c>
      <c r="S201" t="str">
        <f>IF(MIS_Backend_Data!AW200="", "", MIS_Backend_Data!AW200)</f>
        <v>NA</v>
      </c>
      <c r="T201" s="42" t="str">
        <f>IF(MIS_Backend_Data!N200="Dispatch","Completed","NA")</f>
        <v>NA</v>
      </c>
      <c r="U201" t="str">
        <f t="shared" si="9"/>
        <v/>
      </c>
      <c r="V201" t="str">
        <f t="shared" si="10"/>
        <v/>
      </c>
      <c r="W201" s="20" t="str">
        <f t="shared" si="11"/>
        <v/>
      </c>
    </row>
    <row r="202" spans="2:23" ht="14.5">
      <c r="B202" s="205" t="str">
        <f ca="1"/>
        <v>2025214146</v>
      </c>
      <c r="C202" s="17" t="str">
        <f ca="1"/>
        <v>Indusind General Insurance Co Ltd</v>
      </c>
      <c r="D202" s="17" t="str">
        <f ca="1"/>
        <v>R001-1200-SS-2025</v>
      </c>
      <c r="E202" s="19">
        <f ca="1"/>
        <v>17</v>
      </c>
      <c r="F202" s="19" t="str">
        <f>IF(MIS_Backend_Data!O201="", "", MIS_Backend_Data!O201)</f>
        <v>NI</v>
      </c>
      <c r="G202" t="str">
        <f>IF(MIS_Backend_Data!T201="", "", MIS_Backend_Data!T201)</f>
        <v>NA</v>
      </c>
      <c r="H202" t="str">
        <f>IF(MIS_Backend_Data!X201="", "", MIS_Backend_Data!X201)</f>
        <v>NA</v>
      </c>
      <c r="I202" t="str">
        <f>IF(MIS_Backend_Data!AC201="", "", MIS_Backend_Data!AC201)</f>
        <v>NA</v>
      </c>
      <c r="J202" t="str">
        <f>IF(MIS_Backend_Data!AB201="", "", MIS_Backend_Data!AB201)</f>
        <v>NA</v>
      </c>
      <c r="K202" t="str">
        <f>IF(MIS_Backend_Data!AG201="", "", MIS_Backend_Data!AG201)</f>
        <v>NA</v>
      </c>
      <c r="L202" s="20" t="str">
        <f>IF(MIS_Backend_Data!AI201="", "", MIS_Backend_Data!AI201)</f>
        <v>NA</v>
      </c>
      <c r="M202" t="str">
        <f>IF(MIS_Backend_Data!AK201="", "", MIS_Backend_Data!AK201)</f>
        <v>NA</v>
      </c>
      <c r="N202" t="str">
        <f>IF(MIS_Backend_Data!AM201="", "", MIS_Backend_Data!AM201)</f>
        <v>NA</v>
      </c>
      <c r="O202" t="str">
        <f>IF(MIS_Backend_Data!AO201="", "", MIS_Backend_Data!AO201)</f>
        <v>NA</v>
      </c>
      <c r="P202" t="str">
        <f>IF(MIS_Backend_Data!AS201="", "", MIS_Backend_Data!AS201)</f>
        <v>NA</v>
      </c>
      <c r="Q202" t="str">
        <f>IF(MIS_Backend_Data!AX201="", "", MIS_Backend_Data!AX201)</f>
        <v>NA</v>
      </c>
      <c r="R202" t="str">
        <f>IF(MIS_Backend_Data!BB201="", "", MIS_Backend_Data!BB201)</f>
        <v>NA</v>
      </c>
      <c r="S202" t="str">
        <f>IF(MIS_Backend_Data!AW201="", "", MIS_Backend_Data!AW201)</f>
        <v>NA</v>
      </c>
      <c r="T202" s="42" t="str">
        <f>IF(MIS_Backend_Data!N201="Dispatch","Completed","NA")</f>
        <v>NA</v>
      </c>
      <c r="U202" t="str">
        <f t="shared" si="9"/>
        <v/>
      </c>
      <c r="V202" t="str">
        <f t="shared" si="10"/>
        <v/>
      </c>
      <c r="W202" s="20" t="str">
        <f t="shared" si="11"/>
        <v/>
      </c>
    </row>
    <row r="203" spans="2:23" ht="14.5">
      <c r="B203" s="205" t="str">
        <f ca="1"/>
        <v>MTP-N-2526-005022</v>
      </c>
      <c r="C203" s="17" t="str">
        <f ca="1"/>
        <v>Generali Central Insurance Company Limited</v>
      </c>
      <c r="D203" s="17" t="str">
        <f ca="1"/>
        <v>F001-1201-SS-2025</v>
      </c>
      <c r="E203" s="19">
        <f ca="1"/>
        <v>14</v>
      </c>
      <c r="F203" s="19" t="str">
        <f>IF(MIS_Backend_Data!O202="", "", MIS_Backend_Data!O202)</f>
        <v>WIP</v>
      </c>
      <c r="G203" t="str">
        <f>IF(MIS_Backend_Data!T202="", "", MIS_Backend_Data!T202)</f>
        <v>NA</v>
      </c>
      <c r="H203" t="str">
        <f>IF(MIS_Backend_Data!X202="", "", MIS_Backend_Data!X202)</f>
        <v>NA</v>
      </c>
      <c r="I203" t="str">
        <f>IF(MIS_Backend_Data!AC202="", "", MIS_Backend_Data!AC202)</f>
        <v>NI</v>
      </c>
      <c r="J203" t="str">
        <f>IF(MIS_Backend_Data!AB202="", "", MIS_Backend_Data!AB202)</f>
        <v>NA</v>
      </c>
      <c r="K203" t="str">
        <f>IF(MIS_Backend_Data!AG202="", "", MIS_Backend_Data!AG202)</f>
        <v>NI</v>
      </c>
      <c r="L203" s="20" t="str">
        <f>IF(MIS_Backend_Data!AI202="", "", MIS_Backend_Data!AI202)</f>
        <v>NA</v>
      </c>
      <c r="M203" t="str">
        <f>IF(MIS_Backend_Data!AK202="", "", MIS_Backend_Data!AK202)</f>
        <v>NA</v>
      </c>
      <c r="N203" t="str">
        <f>IF(MIS_Backend_Data!AM202="", "", MIS_Backend_Data!AM202)</f>
        <v>NA</v>
      </c>
      <c r="O203" t="str">
        <f>IF(MIS_Backend_Data!AO202="", "", MIS_Backend_Data!AO202)</f>
        <v>NA</v>
      </c>
      <c r="P203" t="str">
        <f>IF(MIS_Backend_Data!AS202="", "", MIS_Backend_Data!AS202)</f>
        <v>NI</v>
      </c>
      <c r="Q203" t="str">
        <f>IF(MIS_Backend_Data!AX202="", "", MIS_Backend_Data!AX202)</f>
        <v>NA</v>
      </c>
      <c r="R203" t="str">
        <f>IF(MIS_Backend_Data!BB202="", "", MIS_Backend_Data!BB202)</f>
        <v>NA</v>
      </c>
      <c r="S203" t="str">
        <f>IF(MIS_Backend_Data!AW202="", "", MIS_Backend_Data!AW202)</f>
        <v>NA</v>
      </c>
      <c r="T203" s="42" t="str">
        <f>IF(MIS_Backend_Data!N202="Dispatch","Completed","NA")</f>
        <v>NA</v>
      </c>
      <c r="U203" t="str">
        <f t="shared" si="9"/>
        <v/>
      </c>
      <c r="V203" t="str">
        <f t="shared" si="10"/>
        <v/>
      </c>
      <c r="W203" s="20" t="str">
        <f t="shared" si="11"/>
        <v/>
      </c>
    </row>
    <row r="204" spans="2:23" ht="14.5">
      <c r="B204" s="205" t="str">
        <f ca="1"/>
        <v>2757549</v>
      </c>
      <c r="C204" s="17" t="str">
        <f ca="1"/>
        <v>SBI General Insurance Company Ltd</v>
      </c>
      <c r="D204" s="17" t="str">
        <f ca="1"/>
        <v>S002-1202-SS-2025</v>
      </c>
      <c r="E204" s="19">
        <f ca="1"/>
        <v>14</v>
      </c>
      <c r="F204" s="19" t="str">
        <f>IF(MIS_Backend_Data!O203="", "", MIS_Backend_Data!O203)</f>
        <v>WIP</v>
      </c>
      <c r="G204" t="str">
        <f>IF(MIS_Backend_Data!T203="", "", MIS_Backend_Data!T203)</f>
        <v>Completed</v>
      </c>
      <c r="H204" t="str">
        <f>IF(MIS_Backend_Data!X203="", "", MIS_Backend_Data!X203)</f>
        <v>NA</v>
      </c>
      <c r="I204" t="str">
        <f>IF(MIS_Backend_Data!AC203="", "", MIS_Backend_Data!AC203)</f>
        <v>NI</v>
      </c>
      <c r="J204" t="str">
        <f>IF(MIS_Backend_Data!AB203="", "", MIS_Backend_Data!AB203)</f>
        <v>NA</v>
      </c>
      <c r="K204" t="str">
        <f>IF(MIS_Backend_Data!AG203="", "", MIS_Backend_Data!AG203)</f>
        <v>NI</v>
      </c>
      <c r="L204" s="20" t="str">
        <f>IF(MIS_Backend_Data!AI203="", "", MIS_Backend_Data!AI203)</f>
        <v>NA</v>
      </c>
      <c r="M204" t="str">
        <f>IF(MIS_Backend_Data!AK203="", "", MIS_Backend_Data!AK203)</f>
        <v>NA</v>
      </c>
      <c r="N204" t="str">
        <f>IF(MIS_Backend_Data!AM203="", "", MIS_Backend_Data!AM203)</f>
        <v>NA</v>
      </c>
      <c r="O204" t="str">
        <f>IF(MIS_Backend_Data!AO203="", "", MIS_Backend_Data!AO203)</f>
        <v>NA</v>
      </c>
      <c r="P204" t="str">
        <f>IF(MIS_Backend_Data!AS203="", "", MIS_Backend_Data!AS203)</f>
        <v>Completed</v>
      </c>
      <c r="Q204" t="str">
        <f>IF(MIS_Backend_Data!AX203="", "", MIS_Backend_Data!AX203)</f>
        <v>NI</v>
      </c>
      <c r="R204" t="str">
        <f>IF(MIS_Backend_Data!BB203="", "", MIS_Backend_Data!BB203)</f>
        <v>NA</v>
      </c>
      <c r="S204" t="str">
        <f>IF(MIS_Backend_Data!AW203="", "", MIS_Backend_Data!AW203)</f>
        <v>NA</v>
      </c>
      <c r="T204" s="42" t="str">
        <f>IF(MIS_Backend_Data!N203="Dispatch","Completed","NA")</f>
        <v>NA</v>
      </c>
      <c r="U204" t="str">
        <f t="shared" si="9"/>
        <v/>
      </c>
      <c r="V204" t="str">
        <f t="shared" si="10"/>
        <v/>
      </c>
      <c r="W204" s="20" t="str">
        <f t="shared" si="11"/>
        <v/>
      </c>
    </row>
    <row r="205" spans="2:23" ht="14.5">
      <c r="B205" s="205" t="str">
        <f ca="1"/>
        <v>2025214269</v>
      </c>
      <c r="C205" s="17" t="str">
        <f ca="1"/>
        <v>Indusind General Insurance Co Ltd</v>
      </c>
      <c r="D205" s="17" t="str">
        <f ca="1"/>
        <v>R001-1203-SS-2025</v>
      </c>
      <c r="E205" s="19">
        <f ca="1"/>
        <v>14</v>
      </c>
      <c r="F205" s="19" t="str">
        <f>IF(MIS_Backend_Data!O204="", "", MIS_Backend_Data!O204)</f>
        <v>WIP</v>
      </c>
      <c r="G205" t="str">
        <f>IF(MIS_Backend_Data!T204="", "", MIS_Backend_Data!T204)</f>
        <v>NI</v>
      </c>
      <c r="H205" t="str">
        <f>IF(MIS_Backend_Data!X204="", "", MIS_Backend_Data!X204)</f>
        <v>NA</v>
      </c>
      <c r="I205" t="str">
        <f>IF(MIS_Backend_Data!AC204="", "", MIS_Backend_Data!AC204)</f>
        <v>NI</v>
      </c>
      <c r="J205" t="str">
        <f>IF(MIS_Backend_Data!AB204="", "", MIS_Backend_Data!AB204)</f>
        <v>NA</v>
      </c>
      <c r="K205" t="str">
        <f>IF(MIS_Backend_Data!AG204="", "", MIS_Backend_Data!AG204)</f>
        <v>NA</v>
      </c>
      <c r="L205" s="20" t="str">
        <f>IF(MIS_Backend_Data!AI204="", "", MIS_Backend_Data!AI204)</f>
        <v>NA</v>
      </c>
      <c r="M205" t="str">
        <f>IF(MIS_Backend_Data!AK204="", "", MIS_Backend_Data!AK204)</f>
        <v>NA</v>
      </c>
      <c r="N205" t="str">
        <f>IF(MIS_Backend_Data!AM204="", "", MIS_Backend_Data!AM204)</f>
        <v>NA</v>
      </c>
      <c r="O205" t="str">
        <f>IF(MIS_Backend_Data!AO204="", "", MIS_Backend_Data!AO204)</f>
        <v>NA</v>
      </c>
      <c r="P205" t="str">
        <f>IF(MIS_Backend_Data!AS204="", "", MIS_Backend_Data!AS204)</f>
        <v>NI</v>
      </c>
      <c r="Q205" t="str">
        <f>IF(MIS_Backend_Data!AX204="", "", MIS_Backend_Data!AX204)</f>
        <v>NA</v>
      </c>
      <c r="R205" t="str">
        <f>IF(MIS_Backend_Data!BB204="", "", MIS_Backend_Data!BB204)</f>
        <v>NA</v>
      </c>
      <c r="S205" t="str">
        <f>IF(MIS_Backend_Data!AW204="", "", MIS_Backend_Data!AW204)</f>
        <v>NA</v>
      </c>
      <c r="T205" s="42" t="str">
        <f>IF(MIS_Backend_Data!N204="Dispatch","Completed","NA")</f>
        <v>NA</v>
      </c>
      <c r="U205" t="str">
        <f t="shared" si="9"/>
        <v/>
      </c>
      <c r="V205" t="str">
        <f t="shared" si="10"/>
        <v/>
      </c>
      <c r="W205" s="20" t="str">
        <f t="shared" si="11"/>
        <v/>
      </c>
    </row>
    <row r="206" spans="2:23" ht="14.5">
      <c r="B206" s="205" t="str">
        <f ca="1"/>
        <v>2025214177</v>
      </c>
      <c r="C206" s="17" t="str">
        <f ca="1"/>
        <v>Indusind General Insurance Co Ltd</v>
      </c>
      <c r="D206" s="17" t="str">
        <f ca="1"/>
        <v>R001-1204-SS-2025</v>
      </c>
      <c r="E206" s="19">
        <f ca="1"/>
        <v>14</v>
      </c>
      <c r="F206" s="19" t="str">
        <f>IF(MIS_Backend_Data!O205="", "", MIS_Backend_Data!O205)</f>
        <v>WIP</v>
      </c>
      <c r="G206" t="str">
        <f>IF(MIS_Backend_Data!T205="", "", MIS_Backend_Data!T205)</f>
        <v>NI</v>
      </c>
      <c r="H206" t="str">
        <f>IF(MIS_Backend_Data!X205="", "", MIS_Backend_Data!X205)</f>
        <v>NA</v>
      </c>
      <c r="I206" t="str">
        <f>IF(MIS_Backend_Data!AC205="", "", MIS_Backend_Data!AC205)</f>
        <v>NI</v>
      </c>
      <c r="J206" t="str">
        <f>IF(MIS_Backend_Data!AB205="", "", MIS_Backend_Data!AB205)</f>
        <v>NA</v>
      </c>
      <c r="K206" t="str">
        <f>IF(MIS_Backend_Data!AG205="", "", MIS_Backend_Data!AG205)</f>
        <v>NA</v>
      </c>
      <c r="L206" s="20" t="str">
        <f>IF(MIS_Backend_Data!AI205="", "", MIS_Backend_Data!AI205)</f>
        <v>NA</v>
      </c>
      <c r="M206" t="str">
        <f>IF(MIS_Backend_Data!AK205="", "", MIS_Backend_Data!AK205)</f>
        <v>NA</v>
      </c>
      <c r="N206" t="str">
        <f>IF(MIS_Backend_Data!AM205="", "", MIS_Backend_Data!AM205)</f>
        <v>NA</v>
      </c>
      <c r="O206" t="str">
        <f>IF(MIS_Backend_Data!AO205="", "", MIS_Backend_Data!AO205)</f>
        <v>NA</v>
      </c>
      <c r="P206" t="str">
        <f>IF(MIS_Backend_Data!AS205="", "", MIS_Backend_Data!AS205)</f>
        <v>NI</v>
      </c>
      <c r="Q206" t="str">
        <f>IF(MIS_Backend_Data!AX205="", "", MIS_Backend_Data!AX205)</f>
        <v>NA</v>
      </c>
      <c r="R206" t="str">
        <f>IF(MIS_Backend_Data!BB205="", "", MIS_Backend_Data!BB205)</f>
        <v>NA</v>
      </c>
      <c r="S206" t="str">
        <f>IF(MIS_Backend_Data!AW205="", "", MIS_Backend_Data!AW205)</f>
        <v>NA</v>
      </c>
      <c r="T206" s="42" t="str">
        <f>IF(MIS_Backend_Data!N205="Dispatch","Completed","NA")</f>
        <v>NA</v>
      </c>
      <c r="U206" t="str">
        <f t="shared" si="9"/>
        <v/>
      </c>
      <c r="V206" t="str">
        <f t="shared" si="10"/>
        <v/>
      </c>
      <c r="W206" s="20" t="str">
        <f t="shared" si="11"/>
        <v/>
      </c>
    </row>
    <row r="207" spans="2:23" ht="14.5">
      <c r="B207" s="205" t="str">
        <f ca="1"/>
        <v>2025214105</v>
      </c>
      <c r="C207" s="17" t="str">
        <f ca="1"/>
        <v>Indusind General Insurance Co Ltd</v>
      </c>
      <c r="D207" s="17" t="str">
        <f ca="1"/>
        <v>R001-1205-SS-2025</v>
      </c>
      <c r="E207" s="19">
        <f ca="1"/>
        <v>14</v>
      </c>
      <c r="F207" s="19" t="str">
        <f>IF(MIS_Backend_Data!O206="", "", MIS_Backend_Data!O206)</f>
        <v>WIP</v>
      </c>
      <c r="G207" t="str">
        <f>IF(MIS_Backend_Data!T206="", "", MIS_Backend_Data!T206)</f>
        <v>NI</v>
      </c>
      <c r="H207" t="str">
        <f>IF(MIS_Backend_Data!X206="", "", MIS_Backend_Data!X206)</f>
        <v>NA</v>
      </c>
      <c r="I207" t="str">
        <f>IF(MIS_Backend_Data!AC206="", "", MIS_Backend_Data!AC206)</f>
        <v>NI</v>
      </c>
      <c r="J207" t="str">
        <f>IF(MIS_Backend_Data!AB206="", "", MIS_Backend_Data!AB206)</f>
        <v>NA</v>
      </c>
      <c r="K207" t="str">
        <f>IF(MIS_Backend_Data!AG206="", "", MIS_Backend_Data!AG206)</f>
        <v>NA</v>
      </c>
      <c r="L207" s="20" t="str">
        <f>IF(MIS_Backend_Data!AI206="", "", MIS_Backend_Data!AI206)</f>
        <v>NA</v>
      </c>
      <c r="M207" t="str">
        <f>IF(MIS_Backend_Data!AK206="", "", MIS_Backend_Data!AK206)</f>
        <v>NA</v>
      </c>
      <c r="N207" t="str">
        <f>IF(MIS_Backend_Data!AM206="", "", MIS_Backend_Data!AM206)</f>
        <v>NA</v>
      </c>
      <c r="O207" t="str">
        <f>IF(MIS_Backend_Data!AO206="", "", MIS_Backend_Data!AO206)</f>
        <v>NA</v>
      </c>
      <c r="P207" t="str">
        <f>IF(MIS_Backend_Data!AS206="", "", MIS_Backend_Data!AS206)</f>
        <v>NI</v>
      </c>
      <c r="Q207" t="str">
        <f>IF(MIS_Backend_Data!AX206="", "", MIS_Backend_Data!AX206)</f>
        <v>NA</v>
      </c>
      <c r="R207" t="str">
        <f>IF(MIS_Backend_Data!BB206="", "", MIS_Backend_Data!BB206)</f>
        <v>NA</v>
      </c>
      <c r="S207" t="str">
        <f>IF(MIS_Backend_Data!AW206="", "", MIS_Backend_Data!AW206)</f>
        <v>NA</v>
      </c>
      <c r="T207" s="42" t="str">
        <f>IF(MIS_Backend_Data!N206="Dispatch","Completed","NA")</f>
        <v>NA</v>
      </c>
      <c r="U207" t="str">
        <f t="shared" si="9"/>
        <v/>
      </c>
      <c r="V207" t="str">
        <f t="shared" si="10"/>
        <v/>
      </c>
      <c r="W207" s="20" t="str">
        <f t="shared" si="11"/>
        <v/>
      </c>
    </row>
    <row r="208" spans="2:23" ht="14.5">
      <c r="B208" s="205" t="str">
        <f ca="1"/>
        <v>2025213441</v>
      </c>
      <c r="C208" s="17" t="str">
        <f ca="1"/>
        <v>Indusind General Insurance Co Ltd</v>
      </c>
      <c r="D208" s="17" t="str">
        <f ca="1"/>
        <v>R001-1206-SS-2025</v>
      </c>
      <c r="E208" s="19">
        <f ca="1"/>
        <v>14</v>
      </c>
      <c r="F208" s="19" t="str">
        <f>IF(MIS_Backend_Data!O207="", "", MIS_Backend_Data!O207)</f>
        <v>WIP</v>
      </c>
      <c r="G208" t="str">
        <f>IF(MIS_Backend_Data!T207="", "", MIS_Backend_Data!T207)</f>
        <v>NI</v>
      </c>
      <c r="H208" t="str">
        <f>IF(MIS_Backend_Data!X207="", "", MIS_Backend_Data!X207)</f>
        <v>NA</v>
      </c>
      <c r="I208" t="str">
        <f>IF(MIS_Backend_Data!AC207="", "", MIS_Backend_Data!AC207)</f>
        <v>NI</v>
      </c>
      <c r="J208" t="str">
        <f>IF(MIS_Backend_Data!AB207="", "", MIS_Backend_Data!AB207)</f>
        <v>NA</v>
      </c>
      <c r="K208" t="str">
        <f>IF(MIS_Backend_Data!AG207="", "", MIS_Backend_Data!AG207)</f>
        <v>NA</v>
      </c>
      <c r="L208" s="20" t="str">
        <f>IF(MIS_Backend_Data!AI207="", "", MIS_Backend_Data!AI207)</f>
        <v>NA</v>
      </c>
      <c r="M208" t="str">
        <f>IF(MIS_Backend_Data!AK207="", "", MIS_Backend_Data!AK207)</f>
        <v>NA</v>
      </c>
      <c r="N208" t="str">
        <f>IF(MIS_Backend_Data!AM207="", "", MIS_Backend_Data!AM207)</f>
        <v>NA</v>
      </c>
      <c r="O208" t="str">
        <f>IF(MIS_Backend_Data!AO207="", "", MIS_Backend_Data!AO207)</f>
        <v>NA</v>
      </c>
      <c r="P208" t="str">
        <f>IF(MIS_Backend_Data!AS207="", "", MIS_Backend_Data!AS207)</f>
        <v>NI</v>
      </c>
      <c r="Q208" t="str">
        <f>IF(MIS_Backend_Data!AX207="", "", MIS_Backend_Data!AX207)</f>
        <v>NA</v>
      </c>
      <c r="R208" t="str">
        <f>IF(MIS_Backend_Data!BB207="", "", MIS_Backend_Data!BB207)</f>
        <v>NA</v>
      </c>
      <c r="S208" t="str">
        <f>IF(MIS_Backend_Data!AW207="", "", MIS_Backend_Data!AW207)</f>
        <v>NA</v>
      </c>
      <c r="T208" s="42" t="str">
        <f>IF(MIS_Backend_Data!N207="Dispatch","Completed","NA")</f>
        <v>NA</v>
      </c>
      <c r="U208" t="str">
        <f t="shared" si="9"/>
        <v/>
      </c>
      <c r="V208" t="str">
        <f t="shared" si="10"/>
        <v/>
      </c>
      <c r="W208" s="20" t="str">
        <f t="shared" si="11"/>
        <v/>
      </c>
    </row>
    <row r="209" spans="2:23" ht="14.5">
      <c r="B209" s="205" t="str">
        <f ca="1"/>
        <v>2025214020</v>
      </c>
      <c r="C209" s="17" t="str">
        <f ca="1"/>
        <v>Indusind General Insurance Co Ltd</v>
      </c>
      <c r="D209" s="17" t="str">
        <f ca="1"/>
        <v>R001-1207-SS-2025</v>
      </c>
      <c r="E209" s="19">
        <f ca="1"/>
        <v>14</v>
      </c>
      <c r="F209" s="19" t="str">
        <f>IF(MIS_Backend_Data!O208="", "", MIS_Backend_Data!O208)</f>
        <v>WIP</v>
      </c>
      <c r="G209" t="str">
        <f>IF(MIS_Backend_Data!T208="", "", MIS_Backend_Data!T208)</f>
        <v>NI</v>
      </c>
      <c r="H209" t="str">
        <f>IF(MIS_Backend_Data!X208="", "", MIS_Backend_Data!X208)</f>
        <v>NA</v>
      </c>
      <c r="I209" t="str">
        <f>IF(MIS_Backend_Data!AC208="", "", MIS_Backend_Data!AC208)</f>
        <v>NI</v>
      </c>
      <c r="J209" t="str">
        <f>IF(MIS_Backend_Data!AB208="", "", MIS_Backend_Data!AB208)</f>
        <v>NA</v>
      </c>
      <c r="K209" t="str">
        <f>IF(MIS_Backend_Data!AG208="", "", MIS_Backend_Data!AG208)</f>
        <v>NA</v>
      </c>
      <c r="L209" s="20" t="str">
        <f>IF(MIS_Backend_Data!AI208="", "", MIS_Backend_Data!AI208)</f>
        <v>NA</v>
      </c>
      <c r="M209" t="str">
        <f>IF(MIS_Backend_Data!AK208="", "", MIS_Backend_Data!AK208)</f>
        <v>NA</v>
      </c>
      <c r="N209" t="str">
        <f>IF(MIS_Backend_Data!AM208="", "", MIS_Backend_Data!AM208)</f>
        <v>NA</v>
      </c>
      <c r="O209" t="str">
        <f>IF(MIS_Backend_Data!AO208="", "", MIS_Backend_Data!AO208)</f>
        <v>NA</v>
      </c>
      <c r="P209" t="str">
        <f>IF(MIS_Backend_Data!AS208="", "", MIS_Backend_Data!AS208)</f>
        <v>NI</v>
      </c>
      <c r="Q209" t="str">
        <f>IF(MIS_Backend_Data!AX208="", "", MIS_Backend_Data!AX208)</f>
        <v>NA</v>
      </c>
      <c r="R209" t="str">
        <f>IF(MIS_Backend_Data!BB208="", "", MIS_Backend_Data!BB208)</f>
        <v>NA</v>
      </c>
      <c r="S209" t="str">
        <f>IF(MIS_Backend_Data!AW208="", "", MIS_Backend_Data!AW208)</f>
        <v>NA</v>
      </c>
      <c r="T209" s="42" t="str">
        <f>IF(MIS_Backend_Data!N208="Dispatch","Completed","NA")</f>
        <v>NA</v>
      </c>
      <c r="U209" t="str">
        <f t="shared" si="9"/>
        <v/>
      </c>
      <c r="V209" t="str">
        <f t="shared" si="10"/>
        <v/>
      </c>
      <c r="W209" s="20" t="str">
        <f t="shared" si="11"/>
        <v/>
      </c>
    </row>
    <row r="210" spans="2:23" ht="14.5">
      <c r="B210" s="205" t="str">
        <f ca="1"/>
        <v>2024213331</v>
      </c>
      <c r="C210" s="17" t="str">
        <f ca="1"/>
        <v>Indusind General Insurance Co Ltd</v>
      </c>
      <c r="D210" s="17" t="str">
        <f ca="1"/>
        <v>R001-1208-SS-2025</v>
      </c>
      <c r="E210" s="19">
        <f ca="1"/>
        <v>49</v>
      </c>
      <c r="F210" s="19" t="str">
        <f>IF(MIS_Backend_Data!O209="", "", MIS_Backend_Data!O209)</f>
        <v>Completed</v>
      </c>
      <c r="G210" t="str">
        <f>IF(MIS_Backend_Data!T209="", "", MIS_Backend_Data!T209)</f>
        <v>Completed</v>
      </c>
      <c r="H210" t="str">
        <f>IF(MIS_Backend_Data!X209="", "", MIS_Backend_Data!X209)</f>
        <v>NA</v>
      </c>
      <c r="I210" t="str">
        <f>IF(MIS_Backend_Data!AC209="", "", MIS_Backend_Data!AC209)</f>
        <v>NA</v>
      </c>
      <c r="J210" t="str">
        <f>IF(MIS_Backend_Data!AB209="", "", MIS_Backend_Data!AB209)</f>
        <v/>
      </c>
      <c r="K210" t="str">
        <f>IF(MIS_Backend_Data!AG209="", "", MIS_Backend_Data!AG209)</f>
        <v>NA</v>
      </c>
      <c r="L210" s="20" t="str">
        <f>IF(MIS_Backend_Data!AI209="", "", MIS_Backend_Data!AI209)</f>
        <v/>
      </c>
      <c r="M210" t="str">
        <f>IF(MIS_Backend_Data!AK209="", "", MIS_Backend_Data!AK209)</f>
        <v/>
      </c>
      <c r="N210" t="str">
        <f>IF(MIS_Backend_Data!AM209="", "", MIS_Backend_Data!AM209)</f>
        <v/>
      </c>
      <c r="O210" t="str">
        <f>IF(MIS_Backend_Data!AO209="", "", MIS_Backend_Data!AO209)</f>
        <v/>
      </c>
      <c r="P210" t="str">
        <f>IF(MIS_Backend_Data!AS209="", "", MIS_Backend_Data!AS209)</f>
        <v>NA</v>
      </c>
      <c r="Q210" t="str">
        <f>IF(MIS_Backend_Data!AX209="", "", MIS_Backend_Data!AX209)</f>
        <v>NA</v>
      </c>
      <c r="R210" t="str">
        <f>IF(MIS_Backend_Data!BB209="", "", MIS_Backend_Data!BB209)</f>
        <v>NA</v>
      </c>
      <c r="S210" t="str">
        <f>IF(MIS_Backend_Data!AW209="", "", MIS_Backend_Data!AW209)</f>
        <v/>
      </c>
      <c r="T210" s="42" t="str">
        <f>IF(MIS_Backend_Data!N209="Dispatch","Completed","NA")</f>
        <v>Completed</v>
      </c>
      <c r="U210" t="str">
        <f t="shared" si="9"/>
        <v/>
      </c>
      <c r="V210" t="str">
        <f t="shared" si="10"/>
        <v/>
      </c>
      <c r="W210" s="20" t="str">
        <f t="shared" si="11"/>
        <v/>
      </c>
    </row>
    <row r="211" spans="2:23" ht="14.5">
      <c r="B211" s="205">
        <f ca="1"/>
        <v>2024210698</v>
      </c>
      <c r="C211" s="17" t="str">
        <f ca="1"/>
        <v>Indusind General Insurance Co Ltd</v>
      </c>
      <c r="D211" s="17" t="str">
        <f ca="1"/>
        <v>R001-1209-SS-2025</v>
      </c>
      <c r="E211" s="19">
        <f ca="1"/>
        <v>466</v>
      </c>
      <c r="F211" s="19" t="str">
        <f>IF(MIS_Backend_Data!O210="", "", MIS_Backend_Data!O210)</f>
        <v>Completed</v>
      </c>
      <c r="G211" t="str">
        <f>IF(MIS_Backend_Data!T210="", "", MIS_Backend_Data!T210)</f>
        <v>Completed</v>
      </c>
      <c r="H211" t="str">
        <f>IF(MIS_Backend_Data!X210="", "", MIS_Backend_Data!X210)</f>
        <v>NA</v>
      </c>
      <c r="I211" t="str">
        <f>IF(MIS_Backend_Data!AC210="", "", MIS_Backend_Data!AC210)</f>
        <v>Completed</v>
      </c>
      <c r="J211" t="str">
        <f>IF(MIS_Backend_Data!AB210="", "", MIS_Backend_Data!AB210)</f>
        <v>NA</v>
      </c>
      <c r="K211" t="str">
        <f>IF(MIS_Backend_Data!AG210="", "", MIS_Backend_Data!AG210)</f>
        <v>NA</v>
      </c>
      <c r="L211" s="20" t="str">
        <f>IF(MIS_Backend_Data!AI210="", "", MIS_Backend_Data!AI210)</f>
        <v>NA</v>
      </c>
      <c r="M211" t="str">
        <f>IF(MIS_Backend_Data!AK210="", "", MIS_Backend_Data!AK210)</f>
        <v>NA</v>
      </c>
      <c r="N211" t="str">
        <f>IF(MIS_Backend_Data!AM210="", "", MIS_Backend_Data!AM210)</f>
        <v>NA</v>
      </c>
      <c r="O211" t="str">
        <f>IF(MIS_Backend_Data!AO210="", "", MIS_Backend_Data!AO210)</f>
        <v>NA</v>
      </c>
      <c r="P211" t="str">
        <f>IF(MIS_Backend_Data!AS210="", "", MIS_Backend_Data!AS210)</f>
        <v>Completed</v>
      </c>
      <c r="Q211" t="str">
        <f>IF(MIS_Backend_Data!AX210="", "", MIS_Backend_Data!AX210)</f>
        <v>STOP</v>
      </c>
      <c r="R211" t="str">
        <f>IF(MIS_Backend_Data!BB210="", "", MIS_Backend_Data!BB210)</f>
        <v>NA</v>
      </c>
      <c r="S211" t="str">
        <f>IF(MIS_Backend_Data!AW210="", "", MIS_Backend_Data!AW210)</f>
        <v>NA</v>
      </c>
      <c r="T211" s="42" t="str">
        <f>IF(MIS_Backend_Data!N210="Dispatch","Completed","NA")</f>
        <v>Completed</v>
      </c>
      <c r="U211" t="str">
        <f t="shared" si="9"/>
        <v/>
      </c>
      <c r="V211" t="str">
        <f t="shared" si="10"/>
        <v/>
      </c>
      <c r="W211" s="20" t="str">
        <f t="shared" si="11"/>
        <v/>
      </c>
    </row>
    <row r="212" spans="2:23" ht="14.5">
      <c r="B212" s="205">
        <f ca="1"/>
        <v>2759892</v>
      </c>
      <c r="C212" s="17" t="str">
        <f ca="1"/>
        <v>SBI General Insurance Company Ltd</v>
      </c>
      <c r="D212" s="17" t="str">
        <f ca="1"/>
        <v>S002-1210-SS-2025</v>
      </c>
      <c r="E212" s="19">
        <f ca="1"/>
        <v>10</v>
      </c>
      <c r="F212" s="19" t="str">
        <f>IF(MIS_Backend_Data!O211="", "", MIS_Backend_Data!O211)</f>
        <v>WIP</v>
      </c>
      <c r="G212" t="str">
        <f>IF(MIS_Backend_Data!T211="", "", MIS_Backend_Data!T211)</f>
        <v>NI</v>
      </c>
      <c r="H212" t="str">
        <f>IF(MIS_Backend_Data!X211="", "", MIS_Backend_Data!X211)</f>
        <v>NA</v>
      </c>
      <c r="I212" t="str">
        <f>IF(MIS_Backend_Data!AC211="", "", MIS_Backend_Data!AC211)</f>
        <v>NI</v>
      </c>
      <c r="J212" t="str">
        <f>IF(MIS_Backend_Data!AB211="", "", MIS_Backend_Data!AB211)</f>
        <v>NA</v>
      </c>
      <c r="K212" t="str">
        <f>IF(MIS_Backend_Data!AG211="", "", MIS_Backend_Data!AG211)</f>
        <v>NI</v>
      </c>
      <c r="L212" s="20" t="str">
        <f>IF(MIS_Backend_Data!AI211="", "", MIS_Backend_Data!AI211)</f>
        <v>NA</v>
      </c>
      <c r="M212" t="str">
        <f>IF(MIS_Backend_Data!AK211="", "", MIS_Backend_Data!AK211)</f>
        <v>NA</v>
      </c>
      <c r="N212" t="str">
        <f>IF(MIS_Backend_Data!AM211="", "", MIS_Backend_Data!AM211)</f>
        <v>NA</v>
      </c>
      <c r="O212" t="str">
        <f>IF(MIS_Backend_Data!AO211="", "", MIS_Backend_Data!AO211)</f>
        <v>NA</v>
      </c>
      <c r="P212" t="str">
        <f>IF(MIS_Backend_Data!AS211="", "", MIS_Backend_Data!AS211)</f>
        <v>NI</v>
      </c>
      <c r="Q212" t="str">
        <f>IF(MIS_Backend_Data!AX211="", "", MIS_Backend_Data!AX211)</f>
        <v>NI</v>
      </c>
      <c r="R212" t="str">
        <f>IF(MIS_Backend_Data!BB211="", "", MIS_Backend_Data!BB211)</f>
        <v>NA</v>
      </c>
      <c r="S212" t="str">
        <f>IF(MIS_Backend_Data!AW211="", "", MIS_Backend_Data!AW211)</f>
        <v>NA</v>
      </c>
      <c r="T212" s="42" t="str">
        <f>IF(MIS_Backend_Data!N211="Dispatch","Completed","NA")</f>
        <v>NA</v>
      </c>
      <c r="U212" t="str">
        <f t="shared" si="9"/>
        <v/>
      </c>
      <c r="V212" t="str">
        <f t="shared" si="10"/>
        <v/>
      </c>
      <c r="W212" s="20" t="str">
        <f t="shared" si="11"/>
        <v/>
      </c>
    </row>
    <row r="213" spans="2:23" ht="14.5">
      <c r="B213" s="205">
        <f ca="1"/>
        <v>2759893</v>
      </c>
      <c r="C213" s="17" t="str">
        <f ca="1"/>
        <v>SBI General Insurance Company Ltd</v>
      </c>
      <c r="D213" s="17" t="str">
        <f ca="1"/>
        <v>S002-1211-SS-2025</v>
      </c>
      <c r="E213" s="19">
        <f ca="1"/>
        <v>10</v>
      </c>
      <c r="F213" s="19" t="str">
        <f>IF(MIS_Backend_Data!O212="", "", MIS_Backend_Data!O212)</f>
        <v>WIP</v>
      </c>
      <c r="G213" t="str">
        <f>IF(MIS_Backend_Data!T212="", "", MIS_Backend_Data!T212)</f>
        <v>NI</v>
      </c>
      <c r="H213" t="str">
        <f>IF(MIS_Backend_Data!X212="", "", MIS_Backend_Data!X212)</f>
        <v>NA</v>
      </c>
      <c r="I213" t="str">
        <f>IF(MIS_Backend_Data!AC212="", "", MIS_Backend_Data!AC212)</f>
        <v>NA</v>
      </c>
      <c r="J213" t="str">
        <f>IF(MIS_Backend_Data!AB212="", "", MIS_Backend_Data!AB212)</f>
        <v>NA</v>
      </c>
      <c r="K213" t="str">
        <f>IF(MIS_Backend_Data!AG212="", "", MIS_Backend_Data!AG212)</f>
        <v>NA</v>
      </c>
      <c r="L213" s="20" t="str">
        <f>IF(MIS_Backend_Data!AI212="", "", MIS_Backend_Data!AI212)</f>
        <v>NA</v>
      </c>
      <c r="M213" t="str">
        <f>IF(MIS_Backend_Data!AK212="", "", MIS_Backend_Data!AK212)</f>
        <v>NA</v>
      </c>
      <c r="N213" t="str">
        <f>IF(MIS_Backend_Data!AM212="", "", MIS_Backend_Data!AM212)</f>
        <v>NA</v>
      </c>
      <c r="O213" t="str">
        <f>IF(MIS_Backend_Data!AO212="", "", MIS_Backend_Data!AO212)</f>
        <v>NA</v>
      </c>
      <c r="P213" t="str">
        <f>IF(MIS_Backend_Data!AS212="", "", MIS_Backend_Data!AS212)</f>
        <v>NA</v>
      </c>
      <c r="Q213" t="str">
        <f>IF(MIS_Backend_Data!AX212="", "", MIS_Backend_Data!AX212)</f>
        <v>NA</v>
      </c>
      <c r="R213" t="str">
        <f>IF(MIS_Backend_Data!BB212="", "", MIS_Backend_Data!BB212)</f>
        <v>NA</v>
      </c>
      <c r="S213" t="str">
        <f>IF(MIS_Backend_Data!AW212="", "", MIS_Backend_Data!AW212)</f>
        <v>NA</v>
      </c>
      <c r="T213" s="42" t="str">
        <f>IF(MIS_Backend_Data!N212="Dispatch","Completed","NA")</f>
        <v>NA</v>
      </c>
      <c r="U213" t="str">
        <f t="shared" si="9"/>
        <v/>
      </c>
      <c r="V213" t="str">
        <f t="shared" si="10"/>
        <v/>
      </c>
      <c r="W213" s="20" t="str">
        <f t="shared" si="11"/>
        <v/>
      </c>
    </row>
    <row r="214" spans="2:23" ht="14.5">
      <c r="B214" s="205">
        <f ca="1"/>
        <v>2024213740</v>
      </c>
      <c r="C214" s="17" t="str">
        <f ca="1"/>
        <v>Indusind General Insurance Co Ltd</v>
      </c>
      <c r="D214" s="17" t="str">
        <f ca="1"/>
        <v>R001-1212-SS-2025</v>
      </c>
      <c r="E214" s="19">
        <f ca="1"/>
        <v>9</v>
      </c>
      <c r="F214" s="19" t="str">
        <f>IF(MIS_Backend_Data!O213="", "", MIS_Backend_Data!O213)</f>
        <v>NI</v>
      </c>
      <c r="G214" t="str">
        <f>IF(MIS_Backend_Data!T213="", "", MIS_Backend_Data!T213)</f>
        <v>NA</v>
      </c>
      <c r="H214" t="str">
        <f>IF(MIS_Backend_Data!X213="", "", MIS_Backend_Data!X213)</f>
        <v>NA</v>
      </c>
      <c r="I214" t="str">
        <f>IF(MIS_Backend_Data!AC213="", "", MIS_Backend_Data!AC213)</f>
        <v>NA</v>
      </c>
      <c r="J214" t="str">
        <f>IF(MIS_Backend_Data!AB213="", "", MIS_Backend_Data!AB213)</f>
        <v>NA</v>
      </c>
      <c r="K214" t="str">
        <f>IF(MIS_Backend_Data!AG213="", "", MIS_Backend_Data!AG213)</f>
        <v>NA</v>
      </c>
      <c r="L214" s="20" t="str">
        <f>IF(MIS_Backend_Data!AI213="", "", MIS_Backend_Data!AI213)</f>
        <v>NA</v>
      </c>
      <c r="M214" t="str">
        <f>IF(MIS_Backend_Data!AK213="", "", MIS_Backend_Data!AK213)</f>
        <v>NA</v>
      </c>
      <c r="N214" t="str">
        <f>IF(MIS_Backend_Data!AM213="", "", MIS_Backend_Data!AM213)</f>
        <v>NA</v>
      </c>
      <c r="O214" t="str">
        <f>IF(MIS_Backend_Data!AO213="", "", MIS_Backend_Data!AO213)</f>
        <v>NA</v>
      </c>
      <c r="P214" t="str">
        <f>IF(MIS_Backend_Data!AS213="", "", MIS_Backend_Data!AS213)</f>
        <v>NA</v>
      </c>
      <c r="Q214" t="str">
        <f>IF(MIS_Backend_Data!AX213="", "", MIS_Backend_Data!AX213)</f>
        <v>NI</v>
      </c>
      <c r="R214" t="str">
        <f>IF(MIS_Backend_Data!BB213="", "", MIS_Backend_Data!BB213)</f>
        <v>NA</v>
      </c>
      <c r="S214" t="str">
        <f>IF(MIS_Backend_Data!AW213="", "", MIS_Backend_Data!AW213)</f>
        <v>NA</v>
      </c>
      <c r="T214" s="42" t="str">
        <f>IF(MIS_Backend_Data!N213="Dispatch","Completed","NA")</f>
        <v>NA</v>
      </c>
      <c r="U214" t="str">
        <f t="shared" si="9"/>
        <v/>
      </c>
      <c r="V214" t="str">
        <f t="shared" si="10"/>
        <v/>
      </c>
      <c r="W214" s="20" t="str">
        <f t="shared" si="11"/>
        <v/>
      </c>
    </row>
    <row r="215" spans="2:23" ht="14.5">
      <c r="B215" s="205">
        <f ca="1"/>
        <v>2024205707</v>
      </c>
      <c r="C215" s="17" t="str">
        <f ca="1"/>
        <v>Indusind General Insurance Co Ltd</v>
      </c>
      <c r="D215" s="17" t="str">
        <f ca="1"/>
        <v>R001-1213-SS-2025</v>
      </c>
      <c r="E215" s="19">
        <f ca="1"/>
        <v>6</v>
      </c>
      <c r="F215" s="19" t="str">
        <f>IF(MIS_Backend_Data!O214="", "", MIS_Backend_Data!O214)</f>
        <v>NI</v>
      </c>
      <c r="G215" t="str">
        <f>IF(MIS_Backend_Data!T214="", "", MIS_Backend_Data!T214)</f>
        <v>NI</v>
      </c>
      <c r="H215" t="str">
        <f>IF(MIS_Backend_Data!X214="", "", MIS_Backend_Data!X214)</f>
        <v>NA</v>
      </c>
      <c r="I215" t="str">
        <f>IF(MIS_Backend_Data!AC214="", "", MIS_Backend_Data!AC214)</f>
        <v>NA</v>
      </c>
      <c r="J215" t="str">
        <f>IF(MIS_Backend_Data!AB214="", "", MIS_Backend_Data!AB214)</f>
        <v>NA</v>
      </c>
      <c r="K215" t="str">
        <f>IF(MIS_Backend_Data!AG214="", "", MIS_Backend_Data!AG214)</f>
        <v>NA</v>
      </c>
      <c r="L215" s="20" t="str">
        <f>IF(MIS_Backend_Data!AI214="", "", MIS_Backend_Data!AI214)</f>
        <v>NA</v>
      </c>
      <c r="M215" t="str">
        <f>IF(MIS_Backend_Data!AK214="", "", MIS_Backend_Data!AK214)</f>
        <v>NA</v>
      </c>
      <c r="N215" t="str">
        <f>IF(MIS_Backend_Data!AM214="", "", MIS_Backend_Data!AM214)</f>
        <v>NA</v>
      </c>
      <c r="O215" t="str">
        <f>IF(MIS_Backend_Data!AO214="", "", MIS_Backend_Data!AO214)</f>
        <v>NA</v>
      </c>
      <c r="P215" t="str">
        <f>IF(MIS_Backend_Data!AS214="", "", MIS_Backend_Data!AS214)</f>
        <v>NA</v>
      </c>
      <c r="Q215" t="str">
        <f>IF(MIS_Backend_Data!AX214="", "", MIS_Backend_Data!AX214)</f>
        <v>NA</v>
      </c>
      <c r="R215" t="str">
        <f>IF(MIS_Backend_Data!BB214="", "", MIS_Backend_Data!BB214)</f>
        <v>NA</v>
      </c>
      <c r="S215" t="str">
        <f>IF(MIS_Backend_Data!AW214="", "", MIS_Backend_Data!AW214)</f>
        <v>NA</v>
      </c>
      <c r="T215" s="42" t="str">
        <f>IF(MIS_Backend_Data!N214="Dispatch","Completed","NA")</f>
        <v>NA</v>
      </c>
      <c r="U215" t="str">
        <f t="shared" si="9"/>
        <v/>
      </c>
      <c r="V215" t="str">
        <f t="shared" si="10"/>
        <v/>
      </c>
      <c r="W215" s="20" t="str">
        <f t="shared" si="11"/>
        <v/>
      </c>
    </row>
    <row r="216" spans="2:23" ht="14.5">
      <c r="B216" s="205">
        <f ca="1"/>
        <v>2025214537</v>
      </c>
      <c r="C216" s="17" t="str">
        <f ca="1"/>
        <v>Indusind General Insurance Co Ltd</v>
      </c>
      <c r="D216" s="17" t="str">
        <f ca="1"/>
        <v>R001-1214-SS-2025</v>
      </c>
      <c r="E216" s="19">
        <f ca="1"/>
        <v>6</v>
      </c>
      <c r="F216" s="19" t="str">
        <f>IF(MIS_Backend_Data!O215="", "", MIS_Backend_Data!O215)</f>
        <v>NI</v>
      </c>
      <c r="G216" t="str">
        <f>IF(MIS_Backend_Data!T215="", "", MIS_Backend_Data!T215)</f>
        <v>NI</v>
      </c>
      <c r="H216" t="str">
        <f>IF(MIS_Backend_Data!X215="", "", MIS_Backend_Data!X215)</f>
        <v>NA</v>
      </c>
      <c r="I216" t="str">
        <f>IF(MIS_Backend_Data!AC215="", "", MIS_Backend_Data!AC215)</f>
        <v>NI</v>
      </c>
      <c r="J216" t="str">
        <f>IF(MIS_Backend_Data!AB215="", "", MIS_Backend_Data!AB215)</f>
        <v>NA</v>
      </c>
      <c r="K216" t="str">
        <f>IF(MIS_Backend_Data!AG215="", "", MIS_Backend_Data!AG215)</f>
        <v>NI</v>
      </c>
      <c r="L216" s="20" t="str">
        <f>IF(MIS_Backend_Data!AI215="", "", MIS_Backend_Data!AI215)</f>
        <v>NA</v>
      </c>
      <c r="M216" t="str">
        <f>IF(MIS_Backend_Data!AK215="", "", MIS_Backend_Data!AK215)</f>
        <v>NA</v>
      </c>
      <c r="N216" t="str">
        <f>IF(MIS_Backend_Data!AM215="", "", MIS_Backend_Data!AM215)</f>
        <v>NA</v>
      </c>
      <c r="O216" t="str">
        <f>IF(MIS_Backend_Data!AO215="", "", MIS_Backend_Data!AO215)</f>
        <v>NA</v>
      </c>
      <c r="P216" t="str">
        <f>IF(MIS_Backend_Data!AS215="", "", MIS_Backend_Data!AS215)</f>
        <v>NI</v>
      </c>
      <c r="Q216" t="str">
        <f>IF(MIS_Backend_Data!AX215="", "", MIS_Backend_Data!AX215)</f>
        <v>NI</v>
      </c>
      <c r="R216" t="str">
        <f>IF(MIS_Backend_Data!BB215="", "", MIS_Backend_Data!BB215)</f>
        <v>NA</v>
      </c>
      <c r="S216" t="str">
        <f>IF(MIS_Backend_Data!AW215="", "", MIS_Backend_Data!AW215)</f>
        <v>NA</v>
      </c>
      <c r="T216" s="42" t="str">
        <f>IF(MIS_Backend_Data!N215="Dispatch","Completed","NA")</f>
        <v>NA</v>
      </c>
      <c r="U216" t="str">
        <f t="shared" si="9"/>
        <v/>
      </c>
      <c r="V216" t="str">
        <f t="shared" si="10"/>
        <v/>
      </c>
      <c r="W216" s="20" t="str">
        <f t="shared" si="11"/>
        <v/>
      </c>
    </row>
    <row r="217" spans="2:23" ht="14.5">
      <c r="B217" s="205">
        <f ca="1"/>
        <v>2762824</v>
      </c>
      <c r="C217" s="17" t="str">
        <f ca="1"/>
        <v>SBI General Insurance Company Ltd</v>
      </c>
      <c r="D217" s="17" t="str">
        <f ca="1"/>
        <v>S002-1215-SS-2025</v>
      </c>
      <c r="E217" s="19">
        <f ca="1"/>
        <v>5</v>
      </c>
      <c r="F217" s="19" t="str">
        <f>IF(MIS_Backend_Data!O216="", "", MIS_Backend_Data!O216)</f>
        <v>NI</v>
      </c>
      <c r="G217" t="str">
        <f>IF(MIS_Backend_Data!T216="", "", MIS_Backend_Data!T216)</f>
        <v>NI</v>
      </c>
      <c r="H217" t="str">
        <f>IF(MIS_Backend_Data!X216="", "", MIS_Backend_Data!X216)</f>
        <v>NA</v>
      </c>
      <c r="I217" t="str">
        <f>IF(MIS_Backend_Data!AC216="", "", MIS_Backend_Data!AC216)</f>
        <v>NI</v>
      </c>
      <c r="J217" t="str">
        <f>IF(MIS_Backend_Data!AB216="", "", MIS_Backend_Data!AB216)</f>
        <v>NA</v>
      </c>
      <c r="K217" t="str">
        <f>IF(MIS_Backend_Data!AG216="", "", MIS_Backend_Data!AG216)</f>
        <v>NI</v>
      </c>
      <c r="L217" s="20" t="str">
        <f>IF(MIS_Backend_Data!AI216="", "", MIS_Backend_Data!AI216)</f>
        <v>NA</v>
      </c>
      <c r="M217" t="str">
        <f>IF(MIS_Backend_Data!AK216="", "", MIS_Backend_Data!AK216)</f>
        <v>NA</v>
      </c>
      <c r="N217" t="str">
        <f>IF(MIS_Backend_Data!AM216="", "", MIS_Backend_Data!AM216)</f>
        <v>NA</v>
      </c>
      <c r="O217" t="str">
        <f>IF(MIS_Backend_Data!AO216="", "", MIS_Backend_Data!AO216)</f>
        <v>NA</v>
      </c>
      <c r="P217" t="str">
        <f>IF(MIS_Backend_Data!AS216="", "", MIS_Backend_Data!AS216)</f>
        <v>NI</v>
      </c>
      <c r="Q217" t="str">
        <f>IF(MIS_Backend_Data!AX216="", "", MIS_Backend_Data!AX216)</f>
        <v>NI</v>
      </c>
      <c r="R217" t="str">
        <f>IF(MIS_Backend_Data!BB216="", "", MIS_Backend_Data!BB216)</f>
        <v>NA</v>
      </c>
      <c r="S217" t="str">
        <f>IF(MIS_Backend_Data!AW216="", "", MIS_Backend_Data!AW216)</f>
        <v>NA</v>
      </c>
      <c r="T217" s="42" t="str">
        <f>IF(MIS_Backend_Data!N216="Dispatch","Completed","NA")</f>
        <v>NA</v>
      </c>
      <c r="U217" t="str">
        <f t="shared" si="9"/>
        <v/>
      </c>
      <c r="V217" t="str">
        <f t="shared" si="10"/>
        <v/>
      </c>
      <c r="W217" s="20" t="str">
        <f t="shared" si="11"/>
        <v/>
      </c>
    </row>
    <row r="218" spans="2:23" ht="14.5">
      <c r="B218" s="205">
        <f ca="1"/>
        <v>2761243</v>
      </c>
      <c r="C218" s="17" t="str">
        <f ca="1"/>
        <v>SBI General Insurance Company Ltd</v>
      </c>
      <c r="D218" s="17" t="str">
        <f ca="1"/>
        <v>S002-1216-SS-2025</v>
      </c>
      <c r="E218" s="19">
        <f ca="1"/>
        <v>5</v>
      </c>
      <c r="F218" s="19" t="str">
        <f>IF(MIS_Backend_Data!O217="", "", MIS_Backend_Data!O217)</f>
        <v>NI</v>
      </c>
      <c r="G218" t="str">
        <f>IF(MIS_Backend_Data!T217="", "", MIS_Backend_Data!T217)</f>
        <v>NI</v>
      </c>
      <c r="H218" t="str">
        <f>IF(MIS_Backend_Data!X217="", "", MIS_Backend_Data!X217)</f>
        <v>NA</v>
      </c>
      <c r="I218" t="str">
        <f>IF(MIS_Backend_Data!AC217="", "", MIS_Backend_Data!AC217)</f>
        <v>NI</v>
      </c>
      <c r="J218" t="str">
        <f>IF(MIS_Backend_Data!AB217="", "", MIS_Backend_Data!AB217)</f>
        <v>NA</v>
      </c>
      <c r="K218" t="str">
        <f>IF(MIS_Backend_Data!AG217="", "", MIS_Backend_Data!AG217)</f>
        <v>NI</v>
      </c>
      <c r="L218" s="20" t="str">
        <f>IF(MIS_Backend_Data!AI217="", "", MIS_Backend_Data!AI217)</f>
        <v>NA</v>
      </c>
      <c r="M218" t="str">
        <f>IF(MIS_Backend_Data!AK217="", "", MIS_Backend_Data!AK217)</f>
        <v>NA</v>
      </c>
      <c r="N218" t="str">
        <f>IF(MIS_Backend_Data!AM217="", "", MIS_Backend_Data!AM217)</f>
        <v>NA</v>
      </c>
      <c r="O218" t="str">
        <f>IF(MIS_Backend_Data!AO217="", "", MIS_Backend_Data!AO217)</f>
        <v>NA</v>
      </c>
      <c r="P218" t="str">
        <f>IF(MIS_Backend_Data!AS217="", "", MIS_Backend_Data!AS217)</f>
        <v>NI</v>
      </c>
      <c r="Q218" t="str">
        <f>IF(MIS_Backend_Data!AX217="", "", MIS_Backend_Data!AX217)</f>
        <v>NA</v>
      </c>
      <c r="R218" t="str">
        <f>IF(MIS_Backend_Data!BB217="", "", MIS_Backend_Data!BB217)</f>
        <v>NA</v>
      </c>
      <c r="S218" t="str">
        <f>IF(MIS_Backend_Data!AW217="", "", MIS_Backend_Data!AW217)</f>
        <v>NA</v>
      </c>
      <c r="T218" s="42" t="str">
        <f>IF(MIS_Backend_Data!N217="Dispatch","Completed","NA")</f>
        <v>NA</v>
      </c>
      <c r="U218" t="str">
        <f t="shared" si="9"/>
        <v/>
      </c>
      <c r="V218" t="str">
        <f t="shared" si="10"/>
        <v/>
      </c>
      <c r="W218" s="20" t="str">
        <f t="shared" si="11"/>
        <v/>
      </c>
    </row>
    <row r="219" spans="2:23" ht="14.5">
      <c r="B219" s="205">
        <f ca="1"/>
        <v>2002673</v>
      </c>
      <c r="C219" s="17" t="str">
        <f ca="1"/>
        <v>SBI General Insurance Company Ltd</v>
      </c>
      <c r="D219" s="17" t="str">
        <f ca="1"/>
        <v>S002-1217-SS-2025</v>
      </c>
      <c r="E219" s="19">
        <f ca="1"/>
        <v>5</v>
      </c>
      <c r="F219" s="19" t="str">
        <f>IF(MIS_Backend_Data!O218="", "", MIS_Backend_Data!O218)</f>
        <v>NI</v>
      </c>
      <c r="G219" t="str">
        <f>IF(MIS_Backend_Data!T218="", "", MIS_Backend_Data!T218)</f>
        <v>NI</v>
      </c>
      <c r="H219" t="str">
        <f>IF(MIS_Backend_Data!X218="", "", MIS_Backend_Data!X218)</f>
        <v>NA</v>
      </c>
      <c r="I219" t="str">
        <f>IF(MIS_Backend_Data!AC218="", "", MIS_Backend_Data!AC218)</f>
        <v>NI</v>
      </c>
      <c r="J219" t="str">
        <f>IF(MIS_Backend_Data!AB218="", "", MIS_Backend_Data!AB218)</f>
        <v>NA</v>
      </c>
      <c r="K219" t="str">
        <f>IF(MIS_Backend_Data!AG218="", "", MIS_Backend_Data!AG218)</f>
        <v>NI</v>
      </c>
      <c r="L219" s="20" t="str">
        <f>IF(MIS_Backend_Data!AI218="", "", MIS_Backend_Data!AI218)</f>
        <v>NA</v>
      </c>
      <c r="M219" t="str">
        <f>IF(MIS_Backend_Data!AK218="", "", MIS_Backend_Data!AK218)</f>
        <v>NA</v>
      </c>
      <c r="N219" t="str">
        <f>IF(MIS_Backend_Data!AM218="", "", MIS_Backend_Data!AM218)</f>
        <v>NA</v>
      </c>
      <c r="O219" t="str">
        <f>IF(MIS_Backend_Data!AO218="", "", MIS_Backend_Data!AO218)</f>
        <v>NA</v>
      </c>
      <c r="P219" t="str">
        <f>IF(MIS_Backend_Data!AS218="", "", MIS_Backend_Data!AS218)</f>
        <v>NI</v>
      </c>
      <c r="Q219" t="str">
        <f>IF(MIS_Backend_Data!AX218="", "", MIS_Backend_Data!AX218)</f>
        <v>NA</v>
      </c>
      <c r="R219" t="str">
        <f>IF(MIS_Backend_Data!BB218="", "", MIS_Backend_Data!BB218)</f>
        <v>NA</v>
      </c>
      <c r="S219" t="str">
        <f>IF(MIS_Backend_Data!AW218="", "", MIS_Backend_Data!AW218)</f>
        <v>NA</v>
      </c>
      <c r="T219" s="42" t="str">
        <f>IF(MIS_Backend_Data!N218="Dispatch","Completed","NA")</f>
        <v>NA</v>
      </c>
      <c r="U219" t="str">
        <f t="shared" si="9"/>
        <v/>
      </c>
      <c r="V219" t="str">
        <f t="shared" si="10"/>
        <v/>
      </c>
      <c r="W219" s="20" t="str">
        <f t="shared" si="11"/>
        <v/>
      </c>
    </row>
    <row r="220" spans="2:23" ht="14.5">
      <c r="B220" s="205">
        <f ca="1"/>
        <v>2002769</v>
      </c>
      <c r="C220" s="17" t="str">
        <f ca="1"/>
        <v>SBI General Insurance Company Ltd</v>
      </c>
      <c r="D220" s="17" t="str">
        <f ca="1"/>
        <v>S002-1217-SS-2025</v>
      </c>
      <c r="E220" s="19">
        <f ca="1"/>
        <v>4</v>
      </c>
      <c r="F220" s="19" t="str">
        <f>IF(MIS_Backend_Data!O219="", "", MIS_Backend_Data!O219)</f>
        <v>NI</v>
      </c>
      <c r="G220" t="str">
        <f>IF(MIS_Backend_Data!T219="", "", MIS_Backend_Data!T219)</f>
        <v>NI</v>
      </c>
      <c r="H220" t="str">
        <f>IF(MIS_Backend_Data!X219="", "", MIS_Backend_Data!X219)</f>
        <v>NA</v>
      </c>
      <c r="I220" t="str">
        <f>IF(MIS_Backend_Data!AC219="", "", MIS_Backend_Data!AC219)</f>
        <v>NI</v>
      </c>
      <c r="J220" t="str">
        <f>IF(MIS_Backend_Data!AB219="", "", MIS_Backend_Data!AB219)</f>
        <v>NA</v>
      </c>
      <c r="K220" t="str">
        <f>IF(MIS_Backend_Data!AG219="", "", MIS_Backend_Data!AG219)</f>
        <v>NI</v>
      </c>
      <c r="L220" s="20" t="str">
        <f>IF(MIS_Backend_Data!AI219="", "", MIS_Backend_Data!AI219)</f>
        <v>NA</v>
      </c>
      <c r="M220" t="str">
        <f>IF(MIS_Backend_Data!AK219="", "", MIS_Backend_Data!AK219)</f>
        <v>NA</v>
      </c>
      <c r="N220" t="str">
        <f>IF(MIS_Backend_Data!AM219="", "", MIS_Backend_Data!AM219)</f>
        <v>NA</v>
      </c>
      <c r="O220" t="str">
        <f>IF(MIS_Backend_Data!AO219="", "", MIS_Backend_Data!AO219)</f>
        <v>NA</v>
      </c>
      <c r="P220" t="str">
        <f>IF(MIS_Backend_Data!AS219="", "", MIS_Backend_Data!AS219)</f>
        <v>NI</v>
      </c>
      <c r="Q220" t="str">
        <f>IF(MIS_Backend_Data!AX219="", "", MIS_Backend_Data!AX219)</f>
        <v>NI</v>
      </c>
      <c r="R220" t="str">
        <f>IF(MIS_Backend_Data!BB219="", "", MIS_Backend_Data!BB219)</f>
        <v>NA</v>
      </c>
      <c r="S220" t="str">
        <f>IF(MIS_Backend_Data!AW219="", "", MIS_Backend_Data!AW219)</f>
        <v>NA</v>
      </c>
      <c r="T220" s="42" t="str">
        <f>IF(MIS_Backend_Data!N219="Dispatch","Completed","NA")</f>
        <v>NA</v>
      </c>
      <c r="U220" t="str">
        <f t="shared" si="9"/>
        <v/>
      </c>
      <c r="V220" t="str">
        <f t="shared" si="10"/>
        <v/>
      </c>
      <c r="W220" s="20" t="str">
        <f t="shared" si="11"/>
        <v/>
      </c>
    </row>
    <row r="221" spans="2:23" ht="14.5">
      <c r="B221" s="205">
        <f ca="1"/>
        <v>2755247</v>
      </c>
      <c r="C221" s="17" t="str">
        <f ca="1"/>
        <v>SBI General Insurance Company Ltd</v>
      </c>
      <c r="D221" s="17" t="str">
        <f ca="1"/>
        <v>S002-1217-SS-2025</v>
      </c>
      <c r="E221" s="19">
        <f ca="1"/>
        <v>4</v>
      </c>
      <c r="F221" s="19" t="str">
        <f>IF(MIS_Backend_Data!O220="", "", MIS_Backend_Data!O220)</f>
        <v>NI</v>
      </c>
      <c r="G221" t="str">
        <f>IF(MIS_Backend_Data!T220="", "", MIS_Backend_Data!T220)</f>
        <v>NI</v>
      </c>
      <c r="H221" t="str">
        <f>IF(MIS_Backend_Data!X220="", "", MIS_Backend_Data!X220)</f>
        <v>NA</v>
      </c>
      <c r="I221" t="str">
        <f>IF(MIS_Backend_Data!AC220="", "", MIS_Backend_Data!AC220)</f>
        <v>NI</v>
      </c>
      <c r="J221" t="str">
        <f>IF(MIS_Backend_Data!AB220="", "", MIS_Backend_Data!AB220)</f>
        <v>NA</v>
      </c>
      <c r="K221" t="str">
        <f>IF(MIS_Backend_Data!AG220="", "", MIS_Backend_Data!AG220)</f>
        <v>NA</v>
      </c>
      <c r="L221" s="20" t="str">
        <f>IF(MIS_Backend_Data!AI220="", "", MIS_Backend_Data!AI220)</f>
        <v>NA</v>
      </c>
      <c r="M221" t="str">
        <f>IF(MIS_Backend_Data!AK220="", "", MIS_Backend_Data!AK220)</f>
        <v>NA</v>
      </c>
      <c r="N221" t="str">
        <f>IF(MIS_Backend_Data!AM220="", "", MIS_Backend_Data!AM220)</f>
        <v>NA</v>
      </c>
      <c r="O221" t="str">
        <f>IF(MIS_Backend_Data!AO220="", "", MIS_Backend_Data!AO220)</f>
        <v>NA</v>
      </c>
      <c r="P221" t="str">
        <f>IF(MIS_Backend_Data!AS220="", "", MIS_Backend_Data!AS220)</f>
        <v>NI</v>
      </c>
      <c r="Q221" t="str">
        <f>IF(MIS_Backend_Data!AX220="", "", MIS_Backend_Data!AX220)</f>
        <v>NI</v>
      </c>
      <c r="R221" t="str">
        <f>IF(MIS_Backend_Data!BB220="", "", MIS_Backend_Data!BB220)</f>
        <v>NA</v>
      </c>
      <c r="S221" t="str">
        <f>IF(MIS_Backend_Data!AW220="", "", MIS_Backend_Data!AW220)</f>
        <v>NA</v>
      </c>
      <c r="T221" s="42" t="str">
        <f>IF(MIS_Backend_Data!N220="Dispatch","Completed","NA")</f>
        <v>NA</v>
      </c>
      <c r="U221" t="str">
        <f t="shared" si="9"/>
        <v/>
      </c>
      <c r="V221" t="str">
        <f t="shared" si="10"/>
        <v/>
      </c>
      <c r="W221" s="20" t="str">
        <f t="shared" si="11"/>
        <v/>
      </c>
    </row>
    <row r="222" spans="2:23" ht="14.5">
      <c r="B222" s="205">
        <f ca="1"/>
        <v>2769290</v>
      </c>
      <c r="C222" s="17" t="str">
        <f ca="1"/>
        <v>SBI General Insurance Company Ltd</v>
      </c>
      <c r="D222" s="17" t="str">
        <f ca="1"/>
        <v>S002-1217-SS-2025</v>
      </c>
      <c r="E222" s="19">
        <f ca="1"/>
        <v>4</v>
      </c>
      <c r="F222" s="19" t="str">
        <f>IF(MIS_Backend_Data!O221="", "", MIS_Backend_Data!O221)</f>
        <v>NI</v>
      </c>
      <c r="G222" t="str">
        <f>IF(MIS_Backend_Data!T221="", "", MIS_Backend_Data!T221)</f>
        <v>NI</v>
      </c>
      <c r="H222" t="str">
        <f>IF(MIS_Backend_Data!X221="", "", MIS_Backend_Data!X221)</f>
        <v>NA</v>
      </c>
      <c r="I222" t="str">
        <f>IF(MIS_Backend_Data!AC221="", "", MIS_Backend_Data!AC221)</f>
        <v>NI</v>
      </c>
      <c r="J222" t="str">
        <f>IF(MIS_Backend_Data!AB221="", "", MIS_Backend_Data!AB221)</f>
        <v>NA</v>
      </c>
      <c r="K222" t="str">
        <f>IF(MIS_Backend_Data!AG221="", "", MIS_Backend_Data!AG221)</f>
        <v>NI</v>
      </c>
      <c r="L222" s="20" t="str">
        <f>IF(MIS_Backend_Data!AI221="", "", MIS_Backend_Data!AI221)</f>
        <v>NA</v>
      </c>
      <c r="M222" t="str">
        <f>IF(MIS_Backend_Data!AK221="", "", MIS_Backend_Data!AK221)</f>
        <v>NA</v>
      </c>
      <c r="N222" t="str">
        <f>IF(MIS_Backend_Data!AM221="", "", MIS_Backend_Data!AM221)</f>
        <v>NA</v>
      </c>
      <c r="O222" t="str">
        <f>IF(MIS_Backend_Data!AO221="", "", MIS_Backend_Data!AO221)</f>
        <v>NA</v>
      </c>
      <c r="P222" t="str">
        <f>IF(MIS_Backend_Data!AS221="", "", MIS_Backend_Data!AS221)</f>
        <v>NI</v>
      </c>
      <c r="Q222" t="str">
        <f>IF(MIS_Backend_Data!AX221="", "", MIS_Backend_Data!AX221)</f>
        <v>NI</v>
      </c>
      <c r="R222" t="str">
        <f>IF(MIS_Backend_Data!BB221="", "", MIS_Backend_Data!BB221)</f>
        <v>NA</v>
      </c>
      <c r="S222" t="str">
        <f>IF(MIS_Backend_Data!AW221="", "", MIS_Backend_Data!AW221)</f>
        <v>NA</v>
      </c>
      <c r="T222" s="42" t="str">
        <f>IF(MIS_Backend_Data!N221="Dispatch","Completed","NA")</f>
        <v>NA</v>
      </c>
      <c r="U222" t="str">
        <f t="shared" si="9"/>
        <v/>
      </c>
      <c r="V222" t="str">
        <f t="shared" si="10"/>
        <v/>
      </c>
      <c r="W222" s="20" t="str">
        <f t="shared" si="11"/>
        <v/>
      </c>
    </row>
    <row r="223" spans="2:23" ht="14.5">
      <c r="B223" s="205">
        <f ca="1"/>
        <v>2025212401</v>
      </c>
      <c r="C223" s="17" t="str">
        <f ca="1"/>
        <v>Indusind General Insurance Co Ltd</v>
      </c>
      <c r="D223" s="17" t="str">
        <f ca="1"/>
        <v>R001-1221-SS-2026</v>
      </c>
      <c r="E223" s="19">
        <f ca="1"/>
        <v>57</v>
      </c>
      <c r="F223" s="19" t="str">
        <f>IF(MIS_Backend_Data!O222="", "", MIS_Backend_Data!O222)</f>
        <v>Pending CS</v>
      </c>
      <c r="G223" t="str">
        <f>IF(MIS_Backend_Data!T222="", "", MIS_Backend_Data!T222)</f>
        <v>NA</v>
      </c>
      <c r="H223" t="str">
        <f>IF(MIS_Backend_Data!X222="", "", MIS_Backend_Data!X222)</f>
        <v>NA</v>
      </c>
      <c r="I223" t="str">
        <f>IF(MIS_Backend_Data!AC222="", "", MIS_Backend_Data!AC222)</f>
        <v>NA</v>
      </c>
      <c r="J223" t="str">
        <f>IF(MIS_Backend_Data!AB222="", "", MIS_Backend_Data!AB222)</f>
        <v>NA</v>
      </c>
      <c r="K223" t="str">
        <f>IF(MIS_Backend_Data!AG222="", "", MIS_Backend_Data!AG222)</f>
        <v>NA</v>
      </c>
      <c r="L223" s="20" t="str">
        <f>IF(MIS_Backend_Data!AI222="", "", MIS_Backend_Data!AI222)</f>
        <v>NA</v>
      </c>
      <c r="M223" t="str">
        <f>IF(MIS_Backend_Data!AK222="", "", MIS_Backend_Data!AK222)</f>
        <v>NA</v>
      </c>
      <c r="N223" t="str">
        <f>IF(MIS_Backend_Data!AM222="", "", MIS_Backend_Data!AM222)</f>
        <v>NA</v>
      </c>
      <c r="O223" t="str">
        <f>IF(MIS_Backend_Data!AO222="", "", MIS_Backend_Data!AO222)</f>
        <v>NA</v>
      </c>
      <c r="P223" t="str">
        <f>IF(MIS_Backend_Data!AS222="", "", MIS_Backend_Data!AS222)</f>
        <v>NA</v>
      </c>
      <c r="Q223" t="str">
        <f>IF(MIS_Backend_Data!AX222="", "", MIS_Backend_Data!AX222)</f>
        <v>NI</v>
      </c>
      <c r="R223" t="str">
        <f>IF(MIS_Backend_Data!BB222="", "", MIS_Backend_Data!BB222)</f>
        <v>NA</v>
      </c>
      <c r="S223" t="str">
        <f>IF(MIS_Backend_Data!AW222="", "", MIS_Backend_Data!AW222)</f>
        <v>NA</v>
      </c>
      <c r="T223" s="42" t="str">
        <f>IF(MIS_Backend_Data!N222="Dispatch","Completed","NA")</f>
        <v>NA</v>
      </c>
      <c r="U223" t="str">
        <f t="shared" si="9"/>
        <v/>
      </c>
      <c r="V223" t="str">
        <f t="shared" si="10"/>
        <v/>
      </c>
      <c r="W223" s="20" t="str">
        <f t="shared" si="11"/>
        <v/>
      </c>
    </row>
    <row r="224" spans="2:23" ht="14.5">
      <c r="B224" s="205">
        <f ca="1"/>
        <v>2025212250</v>
      </c>
      <c r="C224" s="17" t="str">
        <f ca="1"/>
        <v>Indusind General Insurance Co Ltd</v>
      </c>
      <c r="D224" s="17" t="str">
        <f ca="1"/>
        <v>R001-1222-SS-2026</v>
      </c>
      <c r="E224" s="19">
        <f ca="1"/>
        <v>57</v>
      </c>
      <c r="F224" s="19" t="str">
        <f>IF(MIS_Backend_Data!O223="", "", MIS_Backend_Data!O223)</f>
        <v>Pending CS</v>
      </c>
      <c r="G224" t="str">
        <f>IF(MIS_Backend_Data!T223="", "", MIS_Backend_Data!T223)</f>
        <v>NA</v>
      </c>
      <c r="H224" t="str">
        <f>IF(MIS_Backend_Data!X223="", "", MIS_Backend_Data!X223)</f>
        <v>NA</v>
      </c>
      <c r="I224" t="str">
        <f>IF(MIS_Backend_Data!AC223="", "", MIS_Backend_Data!AC223)</f>
        <v>NA</v>
      </c>
      <c r="J224" t="str">
        <f>IF(MIS_Backend_Data!AB223="", "", MIS_Backend_Data!AB223)</f>
        <v>NA</v>
      </c>
      <c r="K224" t="str">
        <f>IF(MIS_Backend_Data!AG223="", "", MIS_Backend_Data!AG223)</f>
        <v>NA</v>
      </c>
      <c r="L224" s="20" t="str">
        <f>IF(MIS_Backend_Data!AI223="", "", MIS_Backend_Data!AI223)</f>
        <v>NA</v>
      </c>
      <c r="M224" t="str">
        <f>IF(MIS_Backend_Data!AK223="", "", MIS_Backend_Data!AK223)</f>
        <v>NA</v>
      </c>
      <c r="N224" t="str">
        <f>IF(MIS_Backend_Data!AM223="", "", MIS_Backend_Data!AM223)</f>
        <v>NA</v>
      </c>
      <c r="O224" t="str">
        <f>IF(MIS_Backend_Data!AO223="", "", MIS_Backend_Data!AO223)</f>
        <v>NA</v>
      </c>
      <c r="P224" t="str">
        <f>IF(MIS_Backend_Data!AS223="", "", MIS_Backend_Data!AS223)</f>
        <v>NA</v>
      </c>
      <c r="Q224" t="str">
        <f>IF(MIS_Backend_Data!AX223="", "", MIS_Backend_Data!AX223)</f>
        <v>NI</v>
      </c>
      <c r="R224" t="str">
        <f>IF(MIS_Backend_Data!BB223="", "", MIS_Backend_Data!BB223)</f>
        <v>NA</v>
      </c>
      <c r="S224" t="str">
        <f>IF(MIS_Backend_Data!AW223="", "", MIS_Backend_Data!AW223)</f>
        <v>NA</v>
      </c>
      <c r="T224" s="42" t="str">
        <f>IF(MIS_Backend_Data!N223="Dispatch","Completed","NA")</f>
        <v>NA</v>
      </c>
      <c r="U224" t="str">
        <f t="shared" si="9"/>
        <v/>
      </c>
      <c r="V224" t="str">
        <f t="shared" si="10"/>
        <v/>
      </c>
      <c r="W224" s="20" t="str">
        <f t="shared" si="11"/>
        <v/>
      </c>
    </row>
    <row r="225" spans="2:23" ht="14.5">
      <c r="B225" s="205">
        <f ca="1"/>
        <v>2025213389</v>
      </c>
      <c r="C225" s="17" t="str">
        <f ca="1"/>
        <v>Indusind General Insurance Co Ltd</v>
      </c>
      <c r="D225" s="17" t="str">
        <f ca="1"/>
        <v>R001-1223-SS-2026</v>
      </c>
      <c r="E225" s="19">
        <f ca="1"/>
        <v>0</v>
      </c>
      <c r="F225" s="19" t="str">
        <f>IF(MIS_Backend_Data!O224="", "", MIS_Backend_Data!O224)</f>
        <v>NI</v>
      </c>
      <c r="G225" t="str">
        <f>IF(MIS_Backend_Data!T224="", "", MIS_Backend_Data!T224)</f>
        <v>NI</v>
      </c>
      <c r="H225" t="str">
        <f>IF(MIS_Backend_Data!X224="", "", MIS_Backend_Data!X224)</f>
        <v>NA</v>
      </c>
      <c r="I225" t="str">
        <f>IF(MIS_Backend_Data!AC224="", "", MIS_Backend_Data!AC224)</f>
        <v>NI</v>
      </c>
      <c r="J225" t="str">
        <f>IF(MIS_Backend_Data!AB224="", "", MIS_Backend_Data!AB224)</f>
        <v>NA</v>
      </c>
      <c r="K225" t="str">
        <f>IF(MIS_Backend_Data!AG224="", "", MIS_Backend_Data!AG224)</f>
        <v>NI</v>
      </c>
      <c r="L225" s="20" t="str">
        <f>IF(MIS_Backend_Data!AI224="", "", MIS_Backend_Data!AI224)</f>
        <v>NA</v>
      </c>
      <c r="M225" t="str">
        <f>IF(MIS_Backend_Data!AK224="", "", MIS_Backend_Data!AK224)</f>
        <v>NA</v>
      </c>
      <c r="N225" t="str">
        <f>IF(MIS_Backend_Data!AM224="", "", MIS_Backend_Data!AM224)</f>
        <v>NA</v>
      </c>
      <c r="O225" t="str">
        <f>IF(MIS_Backend_Data!AO224="", "", MIS_Backend_Data!AO224)</f>
        <v>NA</v>
      </c>
      <c r="P225" t="str">
        <f>IF(MIS_Backend_Data!AS224="", "", MIS_Backend_Data!AS224)</f>
        <v>NI</v>
      </c>
      <c r="Q225" t="str">
        <f>IF(MIS_Backend_Data!AX224="", "", MIS_Backend_Data!AX224)</f>
        <v>NI</v>
      </c>
      <c r="R225" t="str">
        <f>IF(MIS_Backend_Data!BB224="", "", MIS_Backend_Data!BB224)</f>
        <v>NA</v>
      </c>
      <c r="S225" t="str">
        <f>IF(MIS_Backend_Data!AW224="", "", MIS_Backend_Data!AW224)</f>
        <v>NA</v>
      </c>
      <c r="T225" s="42" t="str">
        <f>IF(MIS_Backend_Data!N224="Dispatch","Completed","NA")</f>
        <v>NA</v>
      </c>
      <c r="U225" t="str">
        <f t="shared" si="9"/>
        <v/>
      </c>
      <c r="V225" t="str">
        <f t="shared" si="10"/>
        <v/>
      </c>
      <c r="W225" s="20" t="str">
        <f t="shared" si="11"/>
        <v/>
      </c>
    </row>
    <row r="226" spans="2:23" ht="14.5">
      <c r="B226" s="205">
        <f ca="1"/>
        <v>20242114887</v>
      </c>
      <c r="C226" s="17" t="str">
        <f ca="1"/>
        <v>Indusind General Insurance Co Ltd</v>
      </c>
      <c r="D226" s="17" t="str">
        <f ca="1"/>
        <v>R001-1224-SS-2026</v>
      </c>
      <c r="E226" s="19">
        <f ca="1"/>
        <v>0</v>
      </c>
      <c r="F226" s="19" t="str">
        <f>IF(MIS_Backend_Data!O225="", "", MIS_Backend_Data!O225)</f>
        <v>NI</v>
      </c>
      <c r="G226" t="str">
        <f>IF(MIS_Backend_Data!T225="", "", MIS_Backend_Data!T225)</f>
        <v>NI</v>
      </c>
      <c r="H226" t="str">
        <f>IF(MIS_Backend_Data!X225="", "", MIS_Backend_Data!X225)</f>
        <v>NA</v>
      </c>
      <c r="I226" t="str">
        <f>IF(MIS_Backend_Data!AC225="", "", MIS_Backend_Data!AC225)</f>
        <v>NA</v>
      </c>
      <c r="J226" t="str">
        <f>IF(MIS_Backend_Data!AB225="", "", MIS_Backend_Data!AB225)</f>
        <v>NA</v>
      </c>
      <c r="K226" t="str">
        <f>IF(MIS_Backend_Data!AG225="", "", MIS_Backend_Data!AG225)</f>
        <v>NA</v>
      </c>
      <c r="L226" s="20" t="str">
        <f>IF(MIS_Backend_Data!AI225="", "", MIS_Backend_Data!AI225)</f>
        <v>NA</v>
      </c>
      <c r="M226" t="str">
        <f>IF(MIS_Backend_Data!AK225="", "", MIS_Backend_Data!AK225)</f>
        <v>NA</v>
      </c>
      <c r="N226" t="str">
        <f>IF(MIS_Backend_Data!AM225="", "", MIS_Backend_Data!AM225)</f>
        <v>NA</v>
      </c>
      <c r="O226" t="str">
        <f>IF(MIS_Backend_Data!AO225="", "", MIS_Backend_Data!AO225)</f>
        <v>NA</v>
      </c>
      <c r="P226" t="str">
        <f>IF(MIS_Backend_Data!AS225="", "", MIS_Backend_Data!AS225)</f>
        <v>NA</v>
      </c>
      <c r="Q226" t="str">
        <f>IF(MIS_Backend_Data!AX225="", "", MIS_Backend_Data!AX225)</f>
        <v>NA</v>
      </c>
      <c r="R226" t="str">
        <f>IF(MIS_Backend_Data!BB225="", "", MIS_Backend_Data!BB225)</f>
        <v>NA</v>
      </c>
      <c r="S226" t="str">
        <f>IF(MIS_Backend_Data!AW225="", "", MIS_Backend_Data!AW225)</f>
        <v>NA</v>
      </c>
      <c r="T226" s="42" t="str">
        <f>IF(MIS_Backend_Data!N225="Dispatch","Completed","NA")</f>
        <v>NA</v>
      </c>
      <c r="U226" t="str">
        <f t="shared" si="9"/>
        <v/>
      </c>
      <c r="V226" t="str">
        <f t="shared" si="10"/>
        <v/>
      </c>
      <c r="W226" s="20" t="str">
        <f t="shared" si="11"/>
        <v/>
      </c>
    </row>
    <row r="227" spans="2:23" ht="14.5">
      <c r="B227" s="205">
        <f ca="1"/>
        <v>2025214761</v>
      </c>
      <c r="C227" s="17" t="str">
        <f ca="1"/>
        <v>Indusind General Insurance Co Ltd</v>
      </c>
      <c r="D227" s="17" t="str">
        <f ca="1"/>
        <v>R001-1225-SS-2026</v>
      </c>
      <c r="E227" s="19">
        <f ca="1"/>
        <v>0</v>
      </c>
      <c r="F227" s="19" t="str">
        <f>IF(MIS_Backend_Data!O226="", "", MIS_Backend_Data!O226)</f>
        <v>NI</v>
      </c>
      <c r="G227" t="str">
        <f>IF(MIS_Backend_Data!T226="", "", MIS_Backend_Data!T226)</f>
        <v>NI</v>
      </c>
      <c r="H227" t="str">
        <f>IF(MIS_Backend_Data!X226="", "", MIS_Backend_Data!X226)</f>
        <v>NA</v>
      </c>
      <c r="I227" t="str">
        <f>IF(MIS_Backend_Data!AC226="", "", MIS_Backend_Data!AC226)</f>
        <v>NI</v>
      </c>
      <c r="J227" t="str">
        <f>IF(MIS_Backend_Data!AB226="", "", MIS_Backend_Data!AB226)</f>
        <v>NA</v>
      </c>
      <c r="K227" t="str">
        <f>IF(MIS_Backend_Data!AG226="", "", MIS_Backend_Data!AG226)</f>
        <v>NI</v>
      </c>
      <c r="L227" s="20" t="str">
        <f>IF(MIS_Backend_Data!AI226="", "", MIS_Backend_Data!AI226)</f>
        <v>NA</v>
      </c>
      <c r="M227" t="str">
        <f>IF(MIS_Backend_Data!AK226="", "", MIS_Backend_Data!AK226)</f>
        <v>NA</v>
      </c>
      <c r="N227" t="str">
        <f>IF(MIS_Backend_Data!AM226="", "", MIS_Backend_Data!AM226)</f>
        <v>NA</v>
      </c>
      <c r="O227" t="str">
        <f>IF(MIS_Backend_Data!AO226="", "", MIS_Backend_Data!AO226)</f>
        <v>NA</v>
      </c>
      <c r="P227" t="str">
        <f>IF(MIS_Backend_Data!AS226="", "", MIS_Backend_Data!AS226)</f>
        <v>NI</v>
      </c>
      <c r="Q227" t="str">
        <f>IF(MIS_Backend_Data!AX226="", "", MIS_Backend_Data!AX226)</f>
        <v>NI</v>
      </c>
      <c r="R227" t="str">
        <f>IF(MIS_Backend_Data!BB226="", "", MIS_Backend_Data!BB226)</f>
        <v>NA</v>
      </c>
      <c r="S227" t="str">
        <f>IF(MIS_Backend_Data!AW226="", "", MIS_Backend_Data!AW226)</f>
        <v>NA</v>
      </c>
      <c r="T227" s="42" t="str">
        <f>IF(MIS_Backend_Data!N226="Dispatch","Completed","NA")</f>
        <v>NA</v>
      </c>
      <c r="U227" t="str">
        <f t="shared" si="9"/>
        <v/>
      </c>
      <c r="V227" t="str">
        <f t="shared" si="10"/>
        <v/>
      </c>
      <c r="W227" s="20" t="str">
        <f t="shared" si="11"/>
        <v/>
      </c>
    </row>
    <row r="228" spans="2:23" ht="14.5">
      <c r="B228" s="205"/>
      <c r="C228" s="17"/>
      <c r="D228" s="17"/>
      <c r="E228" s="19"/>
      <c r="F228" s="19" t="str">
        <f>IF(MIS_Backend_Data!O227="", "", MIS_Backend_Data!O227)</f>
        <v/>
      </c>
      <c r="G228" t="str">
        <f>IF(MIS_Backend_Data!T227="", "", MIS_Backend_Data!T227)</f>
        <v/>
      </c>
      <c r="H228" t="str">
        <f>IF(MIS_Backend_Data!X227="", "", MIS_Backend_Data!X227)</f>
        <v/>
      </c>
      <c r="I228" t="str">
        <f>IF(MIS_Backend_Data!AC227="", "", MIS_Backend_Data!AC227)</f>
        <v/>
      </c>
      <c r="J228" t="str">
        <f>IF(MIS_Backend_Data!AB227="", "", MIS_Backend_Data!AB227)</f>
        <v/>
      </c>
      <c r="K228" t="str">
        <f>IF(MIS_Backend_Data!AG227="", "", MIS_Backend_Data!AG227)</f>
        <v/>
      </c>
      <c r="L228" s="20" t="str">
        <f>IF(MIS_Backend_Data!AI227="", "", MIS_Backend_Data!AI227)</f>
        <v/>
      </c>
      <c r="M228" t="str">
        <f>IF(MIS_Backend_Data!AK227="", "", MIS_Backend_Data!AK227)</f>
        <v/>
      </c>
      <c r="N228" t="str">
        <f>IF(MIS_Backend_Data!AM227="", "", MIS_Backend_Data!AM227)</f>
        <v/>
      </c>
      <c r="O228" t="str">
        <f>IF(MIS_Backend_Data!AO227="", "", MIS_Backend_Data!AO227)</f>
        <v/>
      </c>
      <c r="P228" t="str">
        <f>IF(MIS_Backend_Data!AS227="", "", MIS_Backend_Data!AS227)</f>
        <v/>
      </c>
      <c r="Q228" t="str">
        <f>IF(MIS_Backend_Data!AX227="", "", MIS_Backend_Data!AX227)</f>
        <v/>
      </c>
      <c r="R228" t="str">
        <f>IF(MIS_Backend_Data!BB227="", "", MIS_Backend_Data!BB227)</f>
        <v/>
      </c>
      <c r="S228" t="str">
        <f>IF(MIS_Backend_Data!AW227="", "", MIS_Backend_Data!AW227)</f>
        <v/>
      </c>
      <c r="T228" s="42" t="str">
        <f>IF(MIS_Backend_Data!N227="Dispatch","Completed","NA")</f>
        <v>NA</v>
      </c>
      <c r="U228" t="str">
        <f t="shared" si="9"/>
        <v/>
      </c>
      <c r="V228" t="str">
        <f t="shared" si="10"/>
        <v/>
      </c>
      <c r="W228" s="20" t="str">
        <f t="shared" si="11"/>
        <v/>
      </c>
    </row>
    <row r="229" spans="2:23" ht="14.5">
      <c r="B229" s="205"/>
      <c r="C229" s="17"/>
      <c r="D229" s="17"/>
      <c r="E229" s="19"/>
      <c r="F229" s="19" t="str">
        <f>IF(MIS_Backend_Data!O228="", "", MIS_Backend_Data!O228)</f>
        <v/>
      </c>
      <c r="G229" t="str">
        <f>IF(MIS_Backend_Data!T228="", "", MIS_Backend_Data!T228)</f>
        <v/>
      </c>
      <c r="H229" t="str">
        <f>IF(MIS_Backend_Data!X228="", "", MIS_Backend_Data!X228)</f>
        <v/>
      </c>
      <c r="I229" t="str">
        <f>IF(MIS_Backend_Data!AC228="", "", MIS_Backend_Data!AC228)</f>
        <v/>
      </c>
      <c r="J229" t="str">
        <f>IF(MIS_Backend_Data!AB228="", "", MIS_Backend_Data!AB228)</f>
        <v/>
      </c>
      <c r="K229" t="str">
        <f>IF(MIS_Backend_Data!AG228="", "", MIS_Backend_Data!AG228)</f>
        <v/>
      </c>
      <c r="L229" s="20" t="str">
        <f>IF(MIS_Backend_Data!AI228="", "", MIS_Backend_Data!AI228)</f>
        <v/>
      </c>
      <c r="M229" t="str">
        <f>IF(MIS_Backend_Data!AK228="", "", MIS_Backend_Data!AK228)</f>
        <v/>
      </c>
      <c r="N229" t="str">
        <f>IF(MIS_Backend_Data!AM228="", "", MIS_Backend_Data!AM228)</f>
        <v/>
      </c>
      <c r="O229" t="str">
        <f>IF(MIS_Backend_Data!AO228="", "", MIS_Backend_Data!AO228)</f>
        <v/>
      </c>
      <c r="P229" t="str">
        <f>IF(MIS_Backend_Data!AS228="", "", MIS_Backend_Data!AS228)</f>
        <v/>
      </c>
      <c r="Q229" t="str">
        <f>IF(MIS_Backend_Data!AX228="", "", MIS_Backend_Data!AX228)</f>
        <v/>
      </c>
      <c r="R229" t="str">
        <f>IF(MIS_Backend_Data!BB228="", "", MIS_Backend_Data!BB228)</f>
        <v/>
      </c>
      <c r="S229" t="str">
        <f>IF(MIS_Backend_Data!AW228="", "", MIS_Backend_Data!AW228)</f>
        <v/>
      </c>
      <c r="T229" s="42" t="str">
        <f>IF(MIS_Backend_Data!N228="Dispatch","Completed","NA")</f>
        <v>NA</v>
      </c>
      <c r="U229" t="str">
        <f t="shared" si="9"/>
        <v/>
      </c>
      <c r="V229" t="str">
        <f t="shared" si="10"/>
        <v/>
      </c>
      <c r="W229" s="20" t="str">
        <f t="shared" si="11"/>
        <v/>
      </c>
    </row>
    <row r="230" spans="2:23" ht="14.5">
      <c r="B230" s="205"/>
      <c r="C230" s="17"/>
      <c r="D230" s="17"/>
      <c r="E230" s="19"/>
      <c r="F230" s="19" t="str">
        <f>IF(MIS_Backend_Data!O229="", "", MIS_Backend_Data!O229)</f>
        <v/>
      </c>
      <c r="G230" t="str">
        <f>IF(MIS_Backend_Data!T229="", "", MIS_Backend_Data!T229)</f>
        <v/>
      </c>
      <c r="H230" t="str">
        <f>IF(MIS_Backend_Data!X229="", "", MIS_Backend_Data!X229)</f>
        <v/>
      </c>
      <c r="I230" t="str">
        <f>IF(MIS_Backend_Data!AC229="", "", MIS_Backend_Data!AC229)</f>
        <v/>
      </c>
      <c r="J230" t="str">
        <f>IF(MIS_Backend_Data!AB229="", "", MIS_Backend_Data!AB229)</f>
        <v/>
      </c>
      <c r="K230" t="str">
        <f>IF(MIS_Backend_Data!AG229="", "", MIS_Backend_Data!AG229)</f>
        <v/>
      </c>
      <c r="L230" s="20" t="str">
        <f>IF(MIS_Backend_Data!AI229="", "", MIS_Backend_Data!AI229)</f>
        <v/>
      </c>
      <c r="M230" t="str">
        <f>IF(MIS_Backend_Data!AK229="", "", MIS_Backend_Data!AK229)</f>
        <v/>
      </c>
      <c r="N230" t="str">
        <f>IF(MIS_Backend_Data!AM229="", "", MIS_Backend_Data!AM229)</f>
        <v/>
      </c>
      <c r="O230" t="str">
        <f>IF(MIS_Backend_Data!AO229="", "", MIS_Backend_Data!AO229)</f>
        <v/>
      </c>
      <c r="P230" t="str">
        <f>IF(MIS_Backend_Data!AS229="", "", MIS_Backend_Data!AS229)</f>
        <v/>
      </c>
      <c r="Q230" t="str">
        <f>IF(MIS_Backend_Data!AX229="", "", MIS_Backend_Data!AX229)</f>
        <v/>
      </c>
      <c r="R230" t="str">
        <f>IF(MIS_Backend_Data!BB229="", "", MIS_Backend_Data!BB229)</f>
        <v/>
      </c>
      <c r="S230" t="str">
        <f>IF(MIS_Backend_Data!AW229="", "", MIS_Backend_Data!AW229)</f>
        <v/>
      </c>
      <c r="T230" s="42" t="str">
        <f>IF(MIS_Backend_Data!N229="Dispatch","Completed","NA")</f>
        <v>NA</v>
      </c>
      <c r="U230" t="str">
        <f t="shared" si="9"/>
        <v/>
      </c>
      <c r="V230" t="str">
        <f t="shared" si="10"/>
        <v/>
      </c>
      <c r="W230" s="20" t="str">
        <f t="shared" si="11"/>
        <v/>
      </c>
    </row>
    <row r="231" spans="2:23" ht="14.5">
      <c r="B231" s="205"/>
      <c r="C231" s="17"/>
      <c r="D231" s="17"/>
      <c r="E231" s="19"/>
      <c r="F231" s="19" t="str">
        <f>IF(MIS_Backend_Data!O230="", "", MIS_Backend_Data!O230)</f>
        <v/>
      </c>
      <c r="G231" t="str">
        <f>IF(MIS_Backend_Data!T230="", "", MIS_Backend_Data!T230)</f>
        <v/>
      </c>
      <c r="H231" t="str">
        <f>IF(MIS_Backend_Data!X230="", "", MIS_Backend_Data!X230)</f>
        <v/>
      </c>
      <c r="I231" t="str">
        <f>IF(MIS_Backend_Data!AC230="", "", MIS_Backend_Data!AC230)</f>
        <v/>
      </c>
      <c r="J231" t="str">
        <f>IF(MIS_Backend_Data!AB230="", "", MIS_Backend_Data!AB230)</f>
        <v/>
      </c>
      <c r="K231" t="str">
        <f>IF(MIS_Backend_Data!AG230="", "", MIS_Backend_Data!AG230)</f>
        <v/>
      </c>
      <c r="L231" s="20" t="str">
        <f>IF(MIS_Backend_Data!AI230="", "", MIS_Backend_Data!AI230)</f>
        <v/>
      </c>
      <c r="M231" t="str">
        <f>IF(MIS_Backend_Data!AK230="", "", MIS_Backend_Data!AK230)</f>
        <v/>
      </c>
      <c r="N231" t="str">
        <f>IF(MIS_Backend_Data!AM230="", "", MIS_Backend_Data!AM230)</f>
        <v/>
      </c>
      <c r="O231" t="str">
        <f>IF(MIS_Backend_Data!AO230="", "", MIS_Backend_Data!AO230)</f>
        <v/>
      </c>
      <c r="P231" t="str">
        <f>IF(MIS_Backend_Data!AS230="", "", MIS_Backend_Data!AS230)</f>
        <v/>
      </c>
      <c r="Q231" t="str">
        <f>IF(MIS_Backend_Data!AX230="", "", MIS_Backend_Data!AX230)</f>
        <v/>
      </c>
      <c r="R231" t="str">
        <f>IF(MIS_Backend_Data!BB230="", "", MIS_Backend_Data!BB230)</f>
        <v/>
      </c>
      <c r="S231" t="str">
        <f>IF(MIS_Backend_Data!AW230="", "", MIS_Backend_Data!AW230)</f>
        <v/>
      </c>
      <c r="T231" s="42" t="str">
        <f>IF(MIS_Backend_Data!N230="Dispatch","Completed","NA")</f>
        <v>NA</v>
      </c>
      <c r="U231" t="str">
        <f t="shared" si="9"/>
        <v/>
      </c>
      <c r="V231" t="str">
        <f t="shared" si="10"/>
        <v/>
      </c>
      <c r="W231" s="20" t="str">
        <f t="shared" si="11"/>
        <v/>
      </c>
    </row>
    <row r="232" spans="2:23" ht="14.5">
      <c r="B232" s="205"/>
      <c r="C232" s="17"/>
      <c r="D232" s="17"/>
      <c r="E232" s="19"/>
      <c r="F232" s="19" t="str">
        <f>IF(MIS_Backend_Data!O231="", "", MIS_Backend_Data!O231)</f>
        <v/>
      </c>
      <c r="G232" t="str">
        <f>IF(MIS_Backend_Data!T231="", "", MIS_Backend_Data!T231)</f>
        <v/>
      </c>
      <c r="H232" t="str">
        <f>IF(MIS_Backend_Data!X231="", "", MIS_Backend_Data!X231)</f>
        <v/>
      </c>
      <c r="I232" t="str">
        <f>IF(MIS_Backend_Data!AC231="", "", MIS_Backend_Data!AC231)</f>
        <v/>
      </c>
      <c r="J232" t="str">
        <f>IF(MIS_Backend_Data!AB231="", "", MIS_Backend_Data!AB231)</f>
        <v/>
      </c>
      <c r="K232" t="str">
        <f>IF(MIS_Backend_Data!AG231="", "", MIS_Backend_Data!AG231)</f>
        <v/>
      </c>
      <c r="L232" s="20" t="str">
        <f>IF(MIS_Backend_Data!AI231="", "", MIS_Backend_Data!AI231)</f>
        <v/>
      </c>
      <c r="M232" t="str">
        <f>IF(MIS_Backend_Data!AK231="", "", MIS_Backend_Data!AK231)</f>
        <v/>
      </c>
      <c r="N232" t="str">
        <f>IF(MIS_Backend_Data!AM231="", "", MIS_Backend_Data!AM231)</f>
        <v/>
      </c>
      <c r="O232" t="str">
        <f>IF(MIS_Backend_Data!AO231="", "", MIS_Backend_Data!AO231)</f>
        <v/>
      </c>
      <c r="P232" t="str">
        <f>IF(MIS_Backend_Data!AS231="", "", MIS_Backend_Data!AS231)</f>
        <v/>
      </c>
      <c r="Q232" t="str">
        <f>IF(MIS_Backend_Data!AX231="", "", MIS_Backend_Data!AX231)</f>
        <v/>
      </c>
      <c r="R232" t="str">
        <f>IF(MIS_Backend_Data!BB231="", "", MIS_Backend_Data!BB231)</f>
        <v/>
      </c>
      <c r="S232" t="str">
        <f>IF(MIS_Backend_Data!AW231="", "", MIS_Backend_Data!AW231)</f>
        <v/>
      </c>
      <c r="T232" s="42" t="str">
        <f>IF(MIS_Backend_Data!N231="Dispatch","Completed","NA")</f>
        <v>NA</v>
      </c>
      <c r="U232" t="str">
        <f t="shared" si="9"/>
        <v/>
      </c>
      <c r="V232" t="str">
        <f t="shared" si="10"/>
        <v/>
      </c>
      <c r="W232" s="20" t="str">
        <f t="shared" si="11"/>
        <v/>
      </c>
    </row>
    <row r="233" spans="2:23" ht="14.5">
      <c r="B233" s="205"/>
      <c r="C233" s="17"/>
      <c r="D233" s="17"/>
      <c r="E233" s="19"/>
      <c r="F233" s="19" t="str">
        <f>IF(MIS_Backend_Data!O232="", "", MIS_Backend_Data!O232)</f>
        <v/>
      </c>
      <c r="G233" t="str">
        <f>IF(MIS_Backend_Data!T232="", "", MIS_Backend_Data!T232)</f>
        <v/>
      </c>
      <c r="H233" t="str">
        <f>IF(MIS_Backend_Data!X232="", "", MIS_Backend_Data!X232)</f>
        <v/>
      </c>
      <c r="I233" t="str">
        <f>IF(MIS_Backend_Data!AC232="", "", MIS_Backend_Data!AC232)</f>
        <v/>
      </c>
      <c r="J233" t="str">
        <f>IF(MIS_Backend_Data!AB232="", "", MIS_Backend_Data!AB232)</f>
        <v/>
      </c>
      <c r="K233" t="str">
        <f>IF(MIS_Backend_Data!AG232="", "", MIS_Backend_Data!AG232)</f>
        <v/>
      </c>
      <c r="L233" s="20" t="str">
        <f>IF(MIS_Backend_Data!AI232="", "", MIS_Backend_Data!AI232)</f>
        <v/>
      </c>
      <c r="M233" t="str">
        <f>IF(MIS_Backend_Data!AK232="", "", MIS_Backend_Data!AK232)</f>
        <v/>
      </c>
      <c r="N233" t="str">
        <f>IF(MIS_Backend_Data!AM232="", "", MIS_Backend_Data!AM232)</f>
        <v/>
      </c>
      <c r="O233" t="str">
        <f>IF(MIS_Backend_Data!AO232="", "", MIS_Backend_Data!AO232)</f>
        <v/>
      </c>
      <c r="P233" t="str">
        <f>IF(MIS_Backend_Data!AS232="", "", MIS_Backend_Data!AS232)</f>
        <v/>
      </c>
      <c r="Q233" t="str">
        <f>IF(MIS_Backend_Data!AX232="", "", MIS_Backend_Data!AX232)</f>
        <v/>
      </c>
      <c r="R233" t="str">
        <f>IF(MIS_Backend_Data!BB232="", "", MIS_Backend_Data!BB232)</f>
        <v/>
      </c>
      <c r="S233" t="str">
        <f>IF(MIS_Backend_Data!AW232="", "", MIS_Backend_Data!AW232)</f>
        <v/>
      </c>
      <c r="T233" s="42" t="str">
        <f>IF(MIS_Backend_Data!N232="Dispatch","Completed","NA")</f>
        <v>NA</v>
      </c>
      <c r="U233" t="str">
        <f t="shared" si="9"/>
        <v/>
      </c>
      <c r="V233" t="str">
        <f t="shared" si="10"/>
        <v/>
      </c>
      <c r="W233" s="20" t="str">
        <f t="shared" si="11"/>
        <v/>
      </c>
    </row>
    <row r="234" spans="2:23" ht="14.5">
      <c r="B234" s="205"/>
      <c r="C234" s="17"/>
      <c r="D234" s="17"/>
      <c r="E234" s="19"/>
      <c r="F234" s="19" t="str">
        <f>IF(MIS_Backend_Data!O233="", "", MIS_Backend_Data!O233)</f>
        <v/>
      </c>
      <c r="G234" t="str">
        <f>IF(MIS_Backend_Data!T233="", "", MIS_Backend_Data!T233)</f>
        <v/>
      </c>
      <c r="H234" t="str">
        <f>IF(MIS_Backend_Data!X233="", "", MIS_Backend_Data!X233)</f>
        <v/>
      </c>
      <c r="I234" t="str">
        <f>IF(MIS_Backend_Data!AC233="", "", MIS_Backend_Data!AC233)</f>
        <v/>
      </c>
      <c r="J234" t="str">
        <f>IF(MIS_Backend_Data!AB233="", "", MIS_Backend_Data!AB233)</f>
        <v/>
      </c>
      <c r="K234" t="str">
        <f>IF(MIS_Backend_Data!AG233="", "", MIS_Backend_Data!AG233)</f>
        <v/>
      </c>
      <c r="L234" s="20" t="str">
        <f>IF(MIS_Backend_Data!AI233="", "", MIS_Backend_Data!AI233)</f>
        <v/>
      </c>
      <c r="M234" t="str">
        <f>IF(MIS_Backend_Data!AK233="", "", MIS_Backend_Data!AK233)</f>
        <v/>
      </c>
      <c r="N234" t="str">
        <f>IF(MIS_Backend_Data!AM233="", "", MIS_Backend_Data!AM233)</f>
        <v/>
      </c>
      <c r="O234" t="str">
        <f>IF(MIS_Backend_Data!AO233="", "", MIS_Backend_Data!AO233)</f>
        <v/>
      </c>
      <c r="P234" t="str">
        <f>IF(MIS_Backend_Data!AS233="", "", MIS_Backend_Data!AS233)</f>
        <v/>
      </c>
      <c r="Q234" t="str">
        <f>IF(MIS_Backend_Data!AX233="", "", MIS_Backend_Data!AX233)</f>
        <v/>
      </c>
      <c r="R234" t="str">
        <f>IF(MIS_Backend_Data!BB233="", "", MIS_Backend_Data!BB233)</f>
        <v/>
      </c>
      <c r="S234" t="str">
        <f>IF(MIS_Backend_Data!AW233="", "", MIS_Backend_Data!AW233)</f>
        <v/>
      </c>
      <c r="T234" s="42" t="str">
        <f>IF(MIS_Backend_Data!N233="Dispatch","Completed","NA")</f>
        <v>NA</v>
      </c>
      <c r="U234" t="str">
        <f t="shared" si="9"/>
        <v/>
      </c>
      <c r="V234" t="str">
        <f t="shared" si="10"/>
        <v/>
      </c>
      <c r="W234" s="20" t="str">
        <f t="shared" si="11"/>
        <v/>
      </c>
    </row>
    <row r="235" spans="2:23" ht="14.5">
      <c r="B235" s="205"/>
      <c r="C235" s="17"/>
      <c r="D235" s="17"/>
      <c r="E235" s="19"/>
      <c r="F235" s="19" t="str">
        <f>IF(MIS_Backend_Data!O234="", "", MIS_Backend_Data!O234)</f>
        <v/>
      </c>
      <c r="G235" t="str">
        <f>IF(MIS_Backend_Data!T234="", "", MIS_Backend_Data!T234)</f>
        <v/>
      </c>
      <c r="H235" t="str">
        <f>IF(MIS_Backend_Data!X234="", "", MIS_Backend_Data!X234)</f>
        <v/>
      </c>
      <c r="I235" t="str">
        <f>IF(MIS_Backend_Data!AC234="", "", MIS_Backend_Data!AC234)</f>
        <v/>
      </c>
      <c r="J235" t="str">
        <f>IF(MIS_Backend_Data!AB234="", "", MIS_Backend_Data!AB234)</f>
        <v/>
      </c>
      <c r="K235" t="str">
        <f>IF(MIS_Backend_Data!AG234="", "", MIS_Backend_Data!AG234)</f>
        <v/>
      </c>
      <c r="L235" s="20" t="str">
        <f>IF(MIS_Backend_Data!AI234="", "", MIS_Backend_Data!AI234)</f>
        <v/>
      </c>
      <c r="M235" t="str">
        <f>IF(MIS_Backend_Data!AK234="", "", MIS_Backend_Data!AK234)</f>
        <v/>
      </c>
      <c r="N235" t="str">
        <f>IF(MIS_Backend_Data!AM234="", "", MIS_Backend_Data!AM234)</f>
        <v/>
      </c>
      <c r="O235" t="str">
        <f>IF(MIS_Backend_Data!AO234="", "", MIS_Backend_Data!AO234)</f>
        <v/>
      </c>
      <c r="P235" t="str">
        <f>IF(MIS_Backend_Data!AS234="", "", MIS_Backend_Data!AS234)</f>
        <v/>
      </c>
      <c r="Q235" t="str">
        <f>IF(MIS_Backend_Data!AX234="", "", MIS_Backend_Data!AX234)</f>
        <v/>
      </c>
      <c r="R235" t="str">
        <f>IF(MIS_Backend_Data!BB234="", "", MIS_Backend_Data!BB234)</f>
        <v/>
      </c>
      <c r="S235" t="str">
        <f>IF(MIS_Backend_Data!AW234="", "", MIS_Backend_Data!AW234)</f>
        <v/>
      </c>
      <c r="T235" s="42" t="str">
        <f>IF(MIS_Backend_Data!N234="Dispatch","Completed","NA")</f>
        <v>NA</v>
      </c>
      <c r="U235" t="str">
        <f t="shared" si="9"/>
        <v/>
      </c>
      <c r="V235" t="str">
        <f t="shared" si="10"/>
        <v/>
      </c>
      <c r="W235" s="20" t="str">
        <f t="shared" si="11"/>
        <v/>
      </c>
    </row>
    <row r="236" spans="2:23" ht="14.5">
      <c r="B236" s="205"/>
      <c r="C236" s="17"/>
      <c r="D236" s="17"/>
      <c r="E236" s="19"/>
      <c r="F236" s="19" t="str">
        <f>IF(MIS_Backend_Data!O235="", "", MIS_Backend_Data!O235)</f>
        <v/>
      </c>
      <c r="G236" t="str">
        <f>IF(MIS_Backend_Data!T235="", "", MIS_Backend_Data!T235)</f>
        <v/>
      </c>
      <c r="H236" t="str">
        <f>IF(MIS_Backend_Data!X235="", "", MIS_Backend_Data!X235)</f>
        <v/>
      </c>
      <c r="I236" t="str">
        <f>IF(MIS_Backend_Data!AC235="", "", MIS_Backend_Data!AC235)</f>
        <v/>
      </c>
      <c r="J236" t="str">
        <f>IF(MIS_Backend_Data!AB235="", "", MIS_Backend_Data!AB235)</f>
        <v/>
      </c>
      <c r="K236" t="str">
        <f>IF(MIS_Backend_Data!AG235="", "", MIS_Backend_Data!AG235)</f>
        <v/>
      </c>
      <c r="L236" s="20" t="str">
        <f>IF(MIS_Backend_Data!AI235="", "", MIS_Backend_Data!AI235)</f>
        <v/>
      </c>
      <c r="M236" t="str">
        <f>IF(MIS_Backend_Data!AK235="", "", MIS_Backend_Data!AK235)</f>
        <v/>
      </c>
      <c r="N236" t="str">
        <f>IF(MIS_Backend_Data!AM235="", "", MIS_Backend_Data!AM235)</f>
        <v/>
      </c>
      <c r="O236" t="str">
        <f>IF(MIS_Backend_Data!AO235="", "", MIS_Backend_Data!AO235)</f>
        <v/>
      </c>
      <c r="P236" t="str">
        <f>IF(MIS_Backend_Data!AS235="", "", MIS_Backend_Data!AS235)</f>
        <v/>
      </c>
      <c r="Q236" t="str">
        <f>IF(MIS_Backend_Data!AX235="", "", MIS_Backend_Data!AX235)</f>
        <v/>
      </c>
      <c r="R236" t="str">
        <f>IF(MIS_Backend_Data!BB235="", "", MIS_Backend_Data!BB235)</f>
        <v/>
      </c>
      <c r="S236" t="str">
        <f>IF(MIS_Backend_Data!AW235="", "", MIS_Backend_Data!AW235)</f>
        <v/>
      </c>
      <c r="T236" s="42" t="str">
        <f>IF(MIS_Backend_Data!N235="Dispatch","Completed","NA")</f>
        <v>NA</v>
      </c>
      <c r="U236" t="str">
        <f t="shared" si="9"/>
        <v/>
      </c>
      <c r="V236" t="str">
        <f t="shared" si="10"/>
        <v/>
      </c>
      <c r="W236" s="20" t="str">
        <f t="shared" si="11"/>
        <v/>
      </c>
    </row>
    <row r="237" spans="2:23" ht="14.5">
      <c r="B237" s="205"/>
      <c r="C237" s="17"/>
      <c r="D237" s="17"/>
      <c r="E237" s="19"/>
      <c r="F237" s="19" t="str">
        <f>IF(MIS_Backend_Data!O236="", "", MIS_Backend_Data!O236)</f>
        <v/>
      </c>
      <c r="G237" t="str">
        <f>IF(MIS_Backend_Data!T236="", "", MIS_Backend_Data!T236)</f>
        <v/>
      </c>
      <c r="H237" t="str">
        <f>IF(MIS_Backend_Data!X236="", "", MIS_Backend_Data!X236)</f>
        <v/>
      </c>
      <c r="I237" t="str">
        <f>IF(MIS_Backend_Data!AC236="", "", MIS_Backend_Data!AC236)</f>
        <v/>
      </c>
      <c r="J237" t="str">
        <f>IF(MIS_Backend_Data!AB236="", "", MIS_Backend_Data!AB236)</f>
        <v/>
      </c>
      <c r="K237" t="str">
        <f>IF(MIS_Backend_Data!AG236="", "", MIS_Backend_Data!AG236)</f>
        <v/>
      </c>
      <c r="L237" s="20" t="str">
        <f>IF(MIS_Backend_Data!AI236="", "", MIS_Backend_Data!AI236)</f>
        <v/>
      </c>
      <c r="M237" t="str">
        <f>IF(MIS_Backend_Data!AK236="", "", MIS_Backend_Data!AK236)</f>
        <v/>
      </c>
      <c r="N237" t="str">
        <f>IF(MIS_Backend_Data!AM236="", "", MIS_Backend_Data!AM236)</f>
        <v/>
      </c>
      <c r="O237" t="str">
        <f>IF(MIS_Backend_Data!AO236="", "", MIS_Backend_Data!AO236)</f>
        <v/>
      </c>
      <c r="P237" t="str">
        <f>IF(MIS_Backend_Data!AS236="", "", MIS_Backend_Data!AS236)</f>
        <v/>
      </c>
      <c r="Q237" t="str">
        <f>IF(MIS_Backend_Data!AX236="", "", MIS_Backend_Data!AX236)</f>
        <v/>
      </c>
      <c r="R237" t="str">
        <f>IF(MIS_Backend_Data!BB236="", "", MIS_Backend_Data!BB236)</f>
        <v/>
      </c>
      <c r="S237" t="str">
        <f>IF(MIS_Backend_Data!AW236="", "", MIS_Backend_Data!AW236)</f>
        <v/>
      </c>
      <c r="T237" s="42" t="str">
        <f>IF(MIS_Backend_Data!N236="Dispatch","Completed","NA")</f>
        <v>NA</v>
      </c>
      <c r="U237" t="str">
        <f t="shared" si="9"/>
        <v/>
      </c>
      <c r="V237" t="str">
        <f t="shared" si="10"/>
        <v/>
      </c>
      <c r="W237" s="20" t="str">
        <f t="shared" si="11"/>
        <v/>
      </c>
    </row>
    <row r="238" spans="2:23" ht="14.5">
      <c r="B238" s="205"/>
      <c r="C238" s="17"/>
      <c r="D238" s="17"/>
      <c r="E238" s="19"/>
      <c r="F238" s="19" t="str">
        <f>IF(MIS_Backend_Data!O237="", "", MIS_Backend_Data!O237)</f>
        <v/>
      </c>
      <c r="G238" t="str">
        <f>IF(MIS_Backend_Data!T237="", "", MIS_Backend_Data!T237)</f>
        <v/>
      </c>
      <c r="H238" t="str">
        <f>IF(MIS_Backend_Data!X237="", "", MIS_Backend_Data!X237)</f>
        <v/>
      </c>
      <c r="I238" t="str">
        <f>IF(MIS_Backend_Data!AC237="", "", MIS_Backend_Data!AC237)</f>
        <v/>
      </c>
      <c r="J238" t="str">
        <f>IF(MIS_Backend_Data!AB237="", "", MIS_Backend_Data!AB237)</f>
        <v/>
      </c>
      <c r="K238" t="str">
        <f>IF(MIS_Backend_Data!AG237="", "", MIS_Backend_Data!AG237)</f>
        <v/>
      </c>
      <c r="L238" s="20" t="str">
        <f>IF(MIS_Backend_Data!AI237="", "", MIS_Backend_Data!AI237)</f>
        <v/>
      </c>
      <c r="M238" t="str">
        <f>IF(MIS_Backend_Data!AK237="", "", MIS_Backend_Data!AK237)</f>
        <v/>
      </c>
      <c r="N238" t="str">
        <f>IF(MIS_Backend_Data!AM237="", "", MIS_Backend_Data!AM237)</f>
        <v/>
      </c>
      <c r="O238" t="str">
        <f>IF(MIS_Backend_Data!AO237="", "", MIS_Backend_Data!AO237)</f>
        <v/>
      </c>
      <c r="P238" t="str">
        <f>IF(MIS_Backend_Data!AS237="", "", MIS_Backend_Data!AS237)</f>
        <v/>
      </c>
      <c r="Q238" t="str">
        <f>IF(MIS_Backend_Data!AX237="", "", MIS_Backend_Data!AX237)</f>
        <v/>
      </c>
      <c r="R238" t="str">
        <f>IF(MIS_Backend_Data!BB237="", "", MIS_Backend_Data!BB237)</f>
        <v/>
      </c>
      <c r="S238" t="str">
        <f>IF(MIS_Backend_Data!AW237="", "", MIS_Backend_Data!AW237)</f>
        <v/>
      </c>
      <c r="T238" s="42" t="str">
        <f>IF(MIS_Backend_Data!N237="Dispatch","Completed","NA")</f>
        <v>NA</v>
      </c>
      <c r="U238" t="str">
        <f t="shared" si="9"/>
        <v/>
      </c>
      <c r="V238" t="str">
        <f t="shared" si="10"/>
        <v/>
      </c>
      <c r="W238" s="20" t="str">
        <f t="shared" si="11"/>
        <v/>
      </c>
    </row>
    <row r="239" spans="2:23" ht="14.5">
      <c r="B239" s="205"/>
      <c r="C239" s="17"/>
      <c r="D239" s="17"/>
      <c r="E239" s="19"/>
      <c r="F239" s="19" t="str">
        <f>IF(MIS_Backend_Data!O238="", "", MIS_Backend_Data!O238)</f>
        <v/>
      </c>
      <c r="G239" t="str">
        <f>IF(MIS_Backend_Data!T238="", "", MIS_Backend_Data!T238)</f>
        <v/>
      </c>
      <c r="H239" t="str">
        <f>IF(MIS_Backend_Data!X238="", "", MIS_Backend_Data!X238)</f>
        <v/>
      </c>
      <c r="I239" t="str">
        <f>IF(MIS_Backend_Data!AC238="", "", MIS_Backend_Data!AC238)</f>
        <v/>
      </c>
      <c r="J239" t="str">
        <f>IF(MIS_Backend_Data!AB238="", "", MIS_Backend_Data!AB238)</f>
        <v/>
      </c>
      <c r="K239" t="str">
        <f>IF(MIS_Backend_Data!AG238="", "", MIS_Backend_Data!AG238)</f>
        <v/>
      </c>
      <c r="L239" s="20" t="str">
        <f>IF(MIS_Backend_Data!AI238="", "", MIS_Backend_Data!AI238)</f>
        <v/>
      </c>
      <c r="M239" t="str">
        <f>IF(MIS_Backend_Data!AK238="", "", MIS_Backend_Data!AK238)</f>
        <v/>
      </c>
      <c r="N239" t="str">
        <f>IF(MIS_Backend_Data!AM238="", "", MIS_Backend_Data!AM238)</f>
        <v/>
      </c>
      <c r="O239" t="str">
        <f>IF(MIS_Backend_Data!AO238="", "", MIS_Backend_Data!AO238)</f>
        <v/>
      </c>
      <c r="P239" t="str">
        <f>IF(MIS_Backend_Data!AS238="", "", MIS_Backend_Data!AS238)</f>
        <v/>
      </c>
      <c r="Q239" t="str">
        <f>IF(MIS_Backend_Data!AX238="", "", MIS_Backend_Data!AX238)</f>
        <v/>
      </c>
      <c r="R239" t="str">
        <f>IF(MIS_Backend_Data!BB238="", "", MIS_Backend_Data!BB238)</f>
        <v/>
      </c>
      <c r="S239" t="str">
        <f>IF(MIS_Backend_Data!AW238="", "", MIS_Backend_Data!AW238)</f>
        <v/>
      </c>
      <c r="T239" s="42" t="str">
        <f>IF(MIS_Backend_Data!N238="Dispatch","Completed","NA")</f>
        <v>NA</v>
      </c>
      <c r="U239" t="str">
        <f t="shared" si="9"/>
        <v/>
      </c>
      <c r="V239" t="str">
        <f t="shared" si="10"/>
        <v/>
      </c>
      <c r="W239" s="20" t="str">
        <f t="shared" si="11"/>
        <v/>
      </c>
    </row>
    <row r="240" spans="2:23" ht="14.5">
      <c r="B240" s="205"/>
      <c r="C240" s="17"/>
      <c r="D240" s="17"/>
      <c r="E240" s="19"/>
      <c r="F240" s="19" t="str">
        <f>IF(MIS_Backend_Data!O239="", "", MIS_Backend_Data!O239)</f>
        <v/>
      </c>
      <c r="G240" t="str">
        <f>IF(MIS_Backend_Data!T239="", "", MIS_Backend_Data!T239)</f>
        <v/>
      </c>
      <c r="H240" t="str">
        <f>IF(MIS_Backend_Data!X239="", "", MIS_Backend_Data!X239)</f>
        <v/>
      </c>
      <c r="I240" t="str">
        <f>IF(MIS_Backend_Data!AC239="", "", MIS_Backend_Data!AC239)</f>
        <v/>
      </c>
      <c r="J240" t="str">
        <f>IF(MIS_Backend_Data!AB239="", "", MIS_Backend_Data!AB239)</f>
        <v/>
      </c>
      <c r="K240" t="str">
        <f>IF(MIS_Backend_Data!AG239="", "", MIS_Backend_Data!AG239)</f>
        <v/>
      </c>
      <c r="L240" s="20" t="str">
        <f>IF(MIS_Backend_Data!AI239="", "", MIS_Backend_Data!AI239)</f>
        <v/>
      </c>
      <c r="M240" t="str">
        <f>IF(MIS_Backend_Data!AK239="", "", MIS_Backend_Data!AK239)</f>
        <v/>
      </c>
      <c r="N240" t="str">
        <f>IF(MIS_Backend_Data!AM239="", "", MIS_Backend_Data!AM239)</f>
        <v/>
      </c>
      <c r="O240" t="str">
        <f>IF(MIS_Backend_Data!AO239="", "", MIS_Backend_Data!AO239)</f>
        <v/>
      </c>
      <c r="P240" t="str">
        <f>IF(MIS_Backend_Data!AS239="", "", MIS_Backend_Data!AS239)</f>
        <v/>
      </c>
      <c r="Q240" t="str">
        <f>IF(MIS_Backend_Data!AX239="", "", MIS_Backend_Data!AX239)</f>
        <v/>
      </c>
      <c r="R240" t="str">
        <f>IF(MIS_Backend_Data!BB239="", "", MIS_Backend_Data!BB239)</f>
        <v/>
      </c>
      <c r="S240" t="str">
        <f>IF(MIS_Backend_Data!AW239="", "", MIS_Backend_Data!AW239)</f>
        <v/>
      </c>
      <c r="T240" s="42" t="str">
        <f>IF(MIS_Backend_Data!N239="Dispatch","Completed","NA")</f>
        <v>NA</v>
      </c>
      <c r="U240" t="str">
        <f t="shared" si="9"/>
        <v/>
      </c>
      <c r="V240" t="str">
        <f t="shared" si="10"/>
        <v/>
      </c>
      <c r="W240" s="20" t="str">
        <f t="shared" si="11"/>
        <v/>
      </c>
    </row>
    <row r="241" spans="2:23" ht="14.5">
      <c r="B241" s="205"/>
      <c r="C241" s="17"/>
      <c r="D241" s="17"/>
      <c r="E241" s="19"/>
      <c r="F241" s="19" t="str">
        <f>IF(MIS_Backend_Data!O240="", "", MIS_Backend_Data!O240)</f>
        <v/>
      </c>
      <c r="G241" t="str">
        <f>IF(MIS_Backend_Data!T240="", "", MIS_Backend_Data!T240)</f>
        <v/>
      </c>
      <c r="H241" t="str">
        <f>IF(MIS_Backend_Data!X240="", "", MIS_Backend_Data!X240)</f>
        <v/>
      </c>
      <c r="I241" t="str">
        <f>IF(MIS_Backend_Data!AC240="", "", MIS_Backend_Data!AC240)</f>
        <v/>
      </c>
      <c r="J241" t="str">
        <f>IF(MIS_Backend_Data!AB240="", "", MIS_Backend_Data!AB240)</f>
        <v/>
      </c>
      <c r="K241" t="str">
        <f>IF(MIS_Backend_Data!AG240="", "", MIS_Backend_Data!AG240)</f>
        <v/>
      </c>
      <c r="L241" s="20" t="str">
        <f>IF(MIS_Backend_Data!AI240="", "", MIS_Backend_Data!AI240)</f>
        <v/>
      </c>
      <c r="M241" t="str">
        <f>IF(MIS_Backend_Data!AK240="", "", MIS_Backend_Data!AK240)</f>
        <v/>
      </c>
      <c r="N241" t="str">
        <f>IF(MIS_Backend_Data!AM240="", "", MIS_Backend_Data!AM240)</f>
        <v/>
      </c>
      <c r="O241" t="str">
        <f>IF(MIS_Backend_Data!AO240="", "", MIS_Backend_Data!AO240)</f>
        <v/>
      </c>
      <c r="P241" t="str">
        <f>IF(MIS_Backend_Data!AS240="", "", MIS_Backend_Data!AS240)</f>
        <v/>
      </c>
      <c r="Q241" t="str">
        <f>IF(MIS_Backend_Data!AX240="", "", MIS_Backend_Data!AX240)</f>
        <v/>
      </c>
      <c r="R241" t="str">
        <f>IF(MIS_Backend_Data!BB240="", "", MIS_Backend_Data!BB240)</f>
        <v/>
      </c>
      <c r="S241" t="str">
        <f>IF(MIS_Backend_Data!AW240="", "", MIS_Backend_Data!AW240)</f>
        <v/>
      </c>
      <c r="T241" s="42" t="str">
        <f>IF(MIS_Backend_Data!N240="Dispatch","Completed","NA")</f>
        <v>NA</v>
      </c>
      <c r="U241" t="str">
        <f t="shared" si="9"/>
        <v/>
      </c>
      <c r="V241" t="str">
        <f t="shared" si="10"/>
        <v/>
      </c>
      <c r="W241" s="20" t="str">
        <f t="shared" si="11"/>
        <v/>
      </c>
    </row>
    <row r="242" spans="2:23" ht="14.5">
      <c r="B242" s="205"/>
      <c r="C242" s="17"/>
      <c r="D242" s="17"/>
      <c r="E242" s="19"/>
      <c r="F242" s="19" t="str">
        <f>IF(MIS_Backend_Data!O241="", "", MIS_Backend_Data!O241)</f>
        <v/>
      </c>
      <c r="G242" t="str">
        <f>IF(MIS_Backend_Data!T241="", "", MIS_Backend_Data!T241)</f>
        <v/>
      </c>
      <c r="H242" t="str">
        <f>IF(MIS_Backend_Data!X241="", "", MIS_Backend_Data!X241)</f>
        <v/>
      </c>
      <c r="I242" t="str">
        <f>IF(MIS_Backend_Data!AC241="", "", MIS_Backend_Data!AC241)</f>
        <v/>
      </c>
      <c r="J242" t="str">
        <f>IF(MIS_Backend_Data!AB241="", "", MIS_Backend_Data!AB241)</f>
        <v/>
      </c>
      <c r="K242" t="str">
        <f>IF(MIS_Backend_Data!AG241="", "", MIS_Backend_Data!AG241)</f>
        <v/>
      </c>
      <c r="L242" s="20" t="str">
        <f>IF(MIS_Backend_Data!AI241="", "", MIS_Backend_Data!AI241)</f>
        <v/>
      </c>
      <c r="M242" t="str">
        <f>IF(MIS_Backend_Data!AK241="", "", MIS_Backend_Data!AK241)</f>
        <v/>
      </c>
      <c r="N242" t="str">
        <f>IF(MIS_Backend_Data!AM241="", "", MIS_Backend_Data!AM241)</f>
        <v/>
      </c>
      <c r="O242" t="str">
        <f>IF(MIS_Backend_Data!AO241="", "", MIS_Backend_Data!AO241)</f>
        <v/>
      </c>
      <c r="P242" t="str">
        <f>IF(MIS_Backend_Data!AS241="", "", MIS_Backend_Data!AS241)</f>
        <v/>
      </c>
      <c r="Q242" t="str">
        <f>IF(MIS_Backend_Data!AX241="", "", MIS_Backend_Data!AX241)</f>
        <v/>
      </c>
      <c r="R242" t="str">
        <f>IF(MIS_Backend_Data!BB241="", "", MIS_Backend_Data!BB241)</f>
        <v/>
      </c>
      <c r="S242" t="str">
        <f>IF(MIS_Backend_Data!AW241="", "", MIS_Backend_Data!AW241)</f>
        <v/>
      </c>
      <c r="T242" s="42" t="str">
        <f>IF(MIS_Backend_Data!N241="Dispatch","Completed","NA")</f>
        <v>NA</v>
      </c>
      <c r="U242" t="str">
        <f t="shared" si="9"/>
        <v/>
      </c>
      <c r="V242" t="str">
        <f t="shared" si="10"/>
        <v/>
      </c>
      <c r="W242" s="20" t="str">
        <f t="shared" si="11"/>
        <v/>
      </c>
    </row>
    <row r="243" spans="2:23" ht="14.5">
      <c r="B243" s="205"/>
      <c r="C243" s="17"/>
      <c r="D243" s="17"/>
      <c r="E243" s="19"/>
      <c r="F243" s="19" t="str">
        <f>IF(MIS_Backend_Data!O242="", "", MIS_Backend_Data!O242)</f>
        <v/>
      </c>
      <c r="G243" t="str">
        <f>IF(MIS_Backend_Data!T242="", "", MIS_Backend_Data!T242)</f>
        <v/>
      </c>
      <c r="H243" t="str">
        <f>IF(MIS_Backend_Data!X242="", "", MIS_Backend_Data!X242)</f>
        <v/>
      </c>
      <c r="I243" t="str">
        <f>IF(MIS_Backend_Data!AC242="", "", MIS_Backend_Data!AC242)</f>
        <v/>
      </c>
      <c r="J243" t="str">
        <f>IF(MIS_Backend_Data!AB242="", "", MIS_Backend_Data!AB242)</f>
        <v/>
      </c>
      <c r="K243" t="str">
        <f>IF(MIS_Backend_Data!AG242="", "", MIS_Backend_Data!AG242)</f>
        <v/>
      </c>
      <c r="L243" s="20" t="str">
        <f>IF(MIS_Backend_Data!AI242="", "", MIS_Backend_Data!AI242)</f>
        <v/>
      </c>
      <c r="M243" t="str">
        <f>IF(MIS_Backend_Data!AK242="", "", MIS_Backend_Data!AK242)</f>
        <v/>
      </c>
      <c r="N243" t="str">
        <f>IF(MIS_Backend_Data!AM242="", "", MIS_Backend_Data!AM242)</f>
        <v/>
      </c>
      <c r="O243" t="str">
        <f>IF(MIS_Backend_Data!AO242="", "", MIS_Backend_Data!AO242)</f>
        <v/>
      </c>
      <c r="P243" t="str">
        <f>IF(MIS_Backend_Data!AS242="", "", MIS_Backend_Data!AS242)</f>
        <v/>
      </c>
      <c r="Q243" t="str">
        <f>IF(MIS_Backend_Data!AX242="", "", MIS_Backend_Data!AX242)</f>
        <v/>
      </c>
      <c r="R243" t="str">
        <f>IF(MIS_Backend_Data!BB242="", "", MIS_Backend_Data!BB242)</f>
        <v/>
      </c>
      <c r="S243" t="str">
        <f>IF(MIS_Backend_Data!AW242="", "", MIS_Backend_Data!AW242)</f>
        <v/>
      </c>
      <c r="T243" s="42" t="str">
        <f>IF(MIS_Backend_Data!N242="Dispatch","Completed","NA")</f>
        <v>NA</v>
      </c>
      <c r="U243" t="str">
        <f t="shared" si="9"/>
        <v/>
      </c>
      <c r="V243" t="str">
        <f t="shared" si="10"/>
        <v/>
      </c>
      <c r="W243" s="20" t="str">
        <f t="shared" si="11"/>
        <v/>
      </c>
    </row>
    <row r="244" spans="2:23" ht="14.5">
      <c r="B244" s="205"/>
      <c r="C244" s="17"/>
      <c r="D244" s="17"/>
      <c r="E244" s="19"/>
      <c r="F244" s="19" t="str">
        <f>IF(MIS_Backend_Data!O243="", "", MIS_Backend_Data!O243)</f>
        <v/>
      </c>
      <c r="G244" t="str">
        <f>IF(MIS_Backend_Data!T243="", "", MIS_Backend_Data!T243)</f>
        <v/>
      </c>
      <c r="H244" t="str">
        <f>IF(MIS_Backend_Data!X243="", "", MIS_Backend_Data!X243)</f>
        <v/>
      </c>
      <c r="I244" t="str">
        <f>IF(MIS_Backend_Data!AC243="", "", MIS_Backend_Data!AC243)</f>
        <v/>
      </c>
      <c r="J244" t="str">
        <f>IF(MIS_Backend_Data!AB243="", "", MIS_Backend_Data!AB243)</f>
        <v/>
      </c>
      <c r="K244" t="str">
        <f>IF(MIS_Backend_Data!AG243="", "", MIS_Backend_Data!AG243)</f>
        <v/>
      </c>
      <c r="L244" s="20" t="str">
        <f>IF(MIS_Backend_Data!AI243="", "", MIS_Backend_Data!AI243)</f>
        <v/>
      </c>
      <c r="M244" t="str">
        <f>IF(MIS_Backend_Data!AK243="", "", MIS_Backend_Data!AK243)</f>
        <v/>
      </c>
      <c r="N244" t="str">
        <f>IF(MIS_Backend_Data!AM243="", "", MIS_Backend_Data!AM243)</f>
        <v/>
      </c>
      <c r="O244" t="str">
        <f>IF(MIS_Backend_Data!AO243="", "", MIS_Backend_Data!AO243)</f>
        <v/>
      </c>
      <c r="P244" t="str">
        <f>IF(MIS_Backend_Data!AS243="", "", MIS_Backend_Data!AS243)</f>
        <v/>
      </c>
      <c r="Q244" t="str">
        <f>IF(MIS_Backend_Data!AX243="", "", MIS_Backend_Data!AX243)</f>
        <v/>
      </c>
      <c r="R244" t="str">
        <f>IF(MIS_Backend_Data!BB243="", "", MIS_Backend_Data!BB243)</f>
        <v/>
      </c>
      <c r="S244" t="str">
        <f>IF(MIS_Backend_Data!AW243="", "", MIS_Backend_Data!AW243)</f>
        <v/>
      </c>
      <c r="T244" s="42" t="str">
        <f>IF(MIS_Backend_Data!N243="Dispatch","Completed","NA")</f>
        <v>NA</v>
      </c>
      <c r="U244" t="str">
        <f t="shared" si="9"/>
        <v/>
      </c>
      <c r="V244" t="str">
        <f t="shared" si="10"/>
        <v/>
      </c>
      <c r="W244" s="20" t="str">
        <f t="shared" si="11"/>
        <v/>
      </c>
    </row>
    <row r="245" spans="2:23" ht="14.5">
      <c r="B245" s="205"/>
      <c r="C245" s="17"/>
      <c r="D245" s="17"/>
      <c r="E245" s="19"/>
      <c r="F245" s="19" t="str">
        <f>IF(MIS_Backend_Data!O244="", "", MIS_Backend_Data!O244)</f>
        <v/>
      </c>
      <c r="G245" t="str">
        <f>IF(MIS_Backend_Data!T244="", "", MIS_Backend_Data!T244)</f>
        <v/>
      </c>
      <c r="H245" t="str">
        <f>IF(MIS_Backend_Data!X244="", "", MIS_Backend_Data!X244)</f>
        <v/>
      </c>
      <c r="I245" t="str">
        <f>IF(MIS_Backend_Data!AC244="", "", MIS_Backend_Data!AC244)</f>
        <v/>
      </c>
      <c r="J245" t="str">
        <f>IF(MIS_Backend_Data!AB244="", "", MIS_Backend_Data!AB244)</f>
        <v/>
      </c>
      <c r="K245" t="str">
        <f>IF(MIS_Backend_Data!AG244="", "", MIS_Backend_Data!AG244)</f>
        <v/>
      </c>
      <c r="L245" s="20" t="str">
        <f>IF(MIS_Backend_Data!AI244="", "", MIS_Backend_Data!AI244)</f>
        <v/>
      </c>
      <c r="M245" t="str">
        <f>IF(MIS_Backend_Data!AK244="", "", MIS_Backend_Data!AK244)</f>
        <v/>
      </c>
      <c r="N245" t="str">
        <f>IF(MIS_Backend_Data!AM244="", "", MIS_Backend_Data!AM244)</f>
        <v/>
      </c>
      <c r="O245" t="str">
        <f>IF(MIS_Backend_Data!AO244="", "", MIS_Backend_Data!AO244)</f>
        <v/>
      </c>
      <c r="P245" t="str">
        <f>IF(MIS_Backend_Data!AS244="", "", MIS_Backend_Data!AS244)</f>
        <v/>
      </c>
      <c r="Q245" t="str">
        <f>IF(MIS_Backend_Data!AX244="", "", MIS_Backend_Data!AX244)</f>
        <v/>
      </c>
      <c r="R245" t="str">
        <f>IF(MIS_Backend_Data!BB244="", "", MIS_Backend_Data!BB244)</f>
        <v/>
      </c>
      <c r="S245" t="str">
        <f>IF(MIS_Backend_Data!AW244="", "", MIS_Backend_Data!AW244)</f>
        <v/>
      </c>
      <c r="T245" s="42" t="str">
        <f>IF(MIS_Backend_Data!N244="Dispatch","Completed","NA")</f>
        <v>NA</v>
      </c>
      <c r="U245" t="str">
        <f t="shared" si="9"/>
        <v/>
      </c>
      <c r="V245" t="str">
        <f t="shared" si="10"/>
        <v/>
      </c>
      <c r="W245" s="20" t="str">
        <f t="shared" si="11"/>
        <v/>
      </c>
    </row>
    <row r="246" spans="2:23" ht="14.5">
      <c r="B246" s="205"/>
      <c r="C246" s="17"/>
      <c r="D246" s="17"/>
      <c r="E246" s="19"/>
      <c r="F246" s="19" t="str">
        <f>IF(MIS_Backend_Data!O245="", "", MIS_Backend_Data!O245)</f>
        <v/>
      </c>
      <c r="G246" t="str">
        <f>IF(MIS_Backend_Data!T245="", "", MIS_Backend_Data!T245)</f>
        <v/>
      </c>
      <c r="H246" t="str">
        <f>IF(MIS_Backend_Data!X245="", "", MIS_Backend_Data!X245)</f>
        <v/>
      </c>
      <c r="I246" t="str">
        <f>IF(MIS_Backend_Data!AC245="", "", MIS_Backend_Data!AC245)</f>
        <v/>
      </c>
      <c r="J246" t="str">
        <f>IF(MIS_Backend_Data!AB245="", "", MIS_Backend_Data!AB245)</f>
        <v/>
      </c>
      <c r="K246" t="str">
        <f>IF(MIS_Backend_Data!AG245="", "", MIS_Backend_Data!AG245)</f>
        <v/>
      </c>
      <c r="L246" s="20" t="str">
        <f>IF(MIS_Backend_Data!AI245="", "", MIS_Backend_Data!AI245)</f>
        <v/>
      </c>
      <c r="M246" t="str">
        <f>IF(MIS_Backend_Data!AK245="", "", MIS_Backend_Data!AK245)</f>
        <v/>
      </c>
      <c r="N246" t="str">
        <f>IF(MIS_Backend_Data!AM245="", "", MIS_Backend_Data!AM245)</f>
        <v/>
      </c>
      <c r="O246" t="str">
        <f>IF(MIS_Backend_Data!AO245="", "", MIS_Backend_Data!AO245)</f>
        <v/>
      </c>
      <c r="P246" t="str">
        <f>IF(MIS_Backend_Data!AS245="", "", MIS_Backend_Data!AS245)</f>
        <v/>
      </c>
      <c r="Q246" t="str">
        <f>IF(MIS_Backend_Data!AX245="", "", MIS_Backend_Data!AX245)</f>
        <v/>
      </c>
      <c r="R246" t="str">
        <f>IF(MIS_Backend_Data!BB245="", "", MIS_Backend_Data!BB245)</f>
        <v/>
      </c>
      <c r="S246" t="str">
        <f>IF(MIS_Backend_Data!AW245="", "", MIS_Backend_Data!AW245)</f>
        <v/>
      </c>
      <c r="T246" s="42" t="str">
        <f>IF(MIS_Backend_Data!N245="Dispatch","Completed","NA")</f>
        <v>NA</v>
      </c>
      <c r="U246" t="str">
        <f t="shared" si="9"/>
        <v/>
      </c>
      <c r="V246" t="str">
        <f t="shared" si="10"/>
        <v/>
      </c>
      <c r="W246" s="20" t="str">
        <f t="shared" si="11"/>
        <v/>
      </c>
    </row>
    <row r="247" spans="2:23" ht="14.5">
      <c r="B247" s="205"/>
      <c r="C247" s="17"/>
      <c r="D247" s="17"/>
      <c r="E247" s="19"/>
      <c r="F247" s="19" t="str">
        <f>IF(MIS_Backend_Data!O246="", "", MIS_Backend_Data!O246)</f>
        <v/>
      </c>
      <c r="G247" t="str">
        <f>IF(MIS_Backend_Data!T246="", "", MIS_Backend_Data!T246)</f>
        <v/>
      </c>
      <c r="H247" t="str">
        <f>IF(MIS_Backend_Data!X246="", "", MIS_Backend_Data!X246)</f>
        <v/>
      </c>
      <c r="I247" t="str">
        <f>IF(MIS_Backend_Data!AC246="", "", MIS_Backend_Data!AC246)</f>
        <v/>
      </c>
      <c r="J247" t="str">
        <f>IF(MIS_Backend_Data!AB246="", "", MIS_Backend_Data!AB246)</f>
        <v/>
      </c>
      <c r="K247" t="str">
        <f>IF(MIS_Backend_Data!AG246="", "", MIS_Backend_Data!AG246)</f>
        <v/>
      </c>
      <c r="L247" s="20" t="str">
        <f>IF(MIS_Backend_Data!AI246="", "", MIS_Backend_Data!AI246)</f>
        <v/>
      </c>
      <c r="M247" t="str">
        <f>IF(MIS_Backend_Data!AK246="", "", MIS_Backend_Data!AK246)</f>
        <v/>
      </c>
      <c r="N247" t="str">
        <f>IF(MIS_Backend_Data!AM246="", "", MIS_Backend_Data!AM246)</f>
        <v/>
      </c>
      <c r="O247" t="str">
        <f>IF(MIS_Backend_Data!AO246="", "", MIS_Backend_Data!AO246)</f>
        <v/>
      </c>
      <c r="P247" t="str">
        <f>IF(MIS_Backend_Data!AS246="", "", MIS_Backend_Data!AS246)</f>
        <v/>
      </c>
      <c r="Q247" t="str">
        <f>IF(MIS_Backend_Data!AX246="", "", MIS_Backend_Data!AX246)</f>
        <v/>
      </c>
      <c r="R247" t="str">
        <f>IF(MIS_Backend_Data!BB246="", "", MIS_Backend_Data!BB246)</f>
        <v/>
      </c>
      <c r="S247" t="str">
        <f>IF(MIS_Backend_Data!AW246="", "", MIS_Backend_Data!AW246)</f>
        <v/>
      </c>
      <c r="T247" s="42" t="str">
        <f>IF(MIS_Backend_Data!N246="Dispatch","Completed","NA")</f>
        <v>NA</v>
      </c>
      <c r="U247" t="str">
        <f t="shared" si="9"/>
        <v/>
      </c>
      <c r="V247" t="str">
        <f t="shared" si="10"/>
        <v/>
      </c>
      <c r="W247" s="20" t="str">
        <f t="shared" si="11"/>
        <v/>
      </c>
    </row>
    <row r="248" spans="2:23" ht="14.5">
      <c r="B248" s="205"/>
      <c r="C248" s="17"/>
      <c r="D248" s="17"/>
      <c r="E248" s="19"/>
      <c r="F248" s="19" t="str">
        <f>IF(MIS_Backend_Data!O247="", "", MIS_Backend_Data!O247)</f>
        <v/>
      </c>
      <c r="G248" t="str">
        <f>IF(MIS_Backend_Data!T247="", "", MIS_Backend_Data!T247)</f>
        <v/>
      </c>
      <c r="H248" t="str">
        <f>IF(MIS_Backend_Data!X247="", "", MIS_Backend_Data!X247)</f>
        <v/>
      </c>
      <c r="I248" t="str">
        <f>IF(MIS_Backend_Data!AC247="", "", MIS_Backend_Data!AC247)</f>
        <v/>
      </c>
      <c r="J248" t="str">
        <f>IF(MIS_Backend_Data!AB247="", "", MIS_Backend_Data!AB247)</f>
        <v/>
      </c>
      <c r="K248" t="str">
        <f>IF(MIS_Backend_Data!AG247="", "", MIS_Backend_Data!AG247)</f>
        <v/>
      </c>
      <c r="L248" s="20" t="str">
        <f>IF(MIS_Backend_Data!AI247="", "", MIS_Backend_Data!AI247)</f>
        <v/>
      </c>
      <c r="M248" t="str">
        <f>IF(MIS_Backend_Data!AK247="", "", MIS_Backend_Data!AK247)</f>
        <v/>
      </c>
      <c r="N248" t="str">
        <f>IF(MIS_Backend_Data!AM247="", "", MIS_Backend_Data!AM247)</f>
        <v/>
      </c>
      <c r="O248" t="str">
        <f>IF(MIS_Backend_Data!AO247="", "", MIS_Backend_Data!AO247)</f>
        <v/>
      </c>
      <c r="P248" t="str">
        <f>IF(MIS_Backend_Data!AS247="", "", MIS_Backend_Data!AS247)</f>
        <v/>
      </c>
      <c r="Q248" t="str">
        <f>IF(MIS_Backend_Data!AX247="", "", MIS_Backend_Data!AX247)</f>
        <v/>
      </c>
      <c r="R248" t="str">
        <f>IF(MIS_Backend_Data!BB247="", "", MIS_Backend_Data!BB247)</f>
        <v/>
      </c>
      <c r="S248" t="str">
        <f>IF(MIS_Backend_Data!AW247="", "", MIS_Backend_Data!AW247)</f>
        <v/>
      </c>
      <c r="T248" s="42" t="str">
        <f>IF(MIS_Backend_Data!N247="Dispatch","Completed","NA")</f>
        <v>NA</v>
      </c>
      <c r="U248" t="str">
        <f t="shared" si="9"/>
        <v/>
      </c>
      <c r="V248" t="str">
        <f t="shared" si="10"/>
        <v/>
      </c>
      <c r="W248" s="20" t="str">
        <f t="shared" si="11"/>
        <v/>
      </c>
    </row>
    <row r="249" spans="2:23" ht="14.5">
      <c r="B249" s="205"/>
      <c r="C249" s="17"/>
      <c r="D249" s="17"/>
      <c r="E249" s="19"/>
      <c r="F249" s="19" t="str">
        <f>IF(MIS_Backend_Data!O248="", "", MIS_Backend_Data!O248)</f>
        <v/>
      </c>
      <c r="G249" t="str">
        <f>IF(MIS_Backend_Data!T248="", "", MIS_Backend_Data!T248)</f>
        <v/>
      </c>
      <c r="H249" t="str">
        <f>IF(MIS_Backend_Data!X248="", "", MIS_Backend_Data!X248)</f>
        <v/>
      </c>
      <c r="I249" t="str">
        <f>IF(MIS_Backend_Data!AC248="", "", MIS_Backend_Data!AC248)</f>
        <v/>
      </c>
      <c r="J249" t="str">
        <f>IF(MIS_Backend_Data!AB248="", "", MIS_Backend_Data!AB248)</f>
        <v/>
      </c>
      <c r="K249" t="str">
        <f>IF(MIS_Backend_Data!AG248="", "", MIS_Backend_Data!AG248)</f>
        <v/>
      </c>
      <c r="L249" s="20" t="str">
        <f>IF(MIS_Backend_Data!AI248="", "", MIS_Backend_Data!AI248)</f>
        <v/>
      </c>
      <c r="M249" t="str">
        <f>IF(MIS_Backend_Data!AK248="", "", MIS_Backend_Data!AK248)</f>
        <v/>
      </c>
      <c r="N249" t="str">
        <f>IF(MIS_Backend_Data!AM248="", "", MIS_Backend_Data!AM248)</f>
        <v/>
      </c>
      <c r="O249" t="str">
        <f>IF(MIS_Backend_Data!AO248="", "", MIS_Backend_Data!AO248)</f>
        <v/>
      </c>
      <c r="P249" t="str">
        <f>IF(MIS_Backend_Data!AS248="", "", MIS_Backend_Data!AS248)</f>
        <v/>
      </c>
      <c r="Q249" t="str">
        <f>IF(MIS_Backend_Data!AX248="", "", MIS_Backend_Data!AX248)</f>
        <v/>
      </c>
      <c r="R249" t="str">
        <f>IF(MIS_Backend_Data!BB248="", "", MIS_Backend_Data!BB248)</f>
        <v/>
      </c>
      <c r="S249" t="str">
        <f>IF(MIS_Backend_Data!AW248="", "", MIS_Backend_Data!AW248)</f>
        <v/>
      </c>
      <c r="T249" s="42" t="str">
        <f>IF(MIS_Backend_Data!N248="Dispatch","Completed","NA")</f>
        <v>NA</v>
      </c>
      <c r="U249" t="str">
        <f t="shared" si="9"/>
        <v/>
      </c>
      <c r="V249" t="str">
        <f t="shared" si="10"/>
        <v/>
      </c>
      <c r="W249" s="20" t="str">
        <f t="shared" si="11"/>
        <v/>
      </c>
    </row>
    <row r="250" spans="2:23" ht="14.5">
      <c r="B250" s="205"/>
      <c r="C250" s="17"/>
      <c r="D250" s="17"/>
      <c r="E250" s="19"/>
      <c r="F250" s="19" t="str">
        <f>IF(MIS_Backend_Data!O249="", "", MIS_Backend_Data!O249)</f>
        <v/>
      </c>
      <c r="G250" t="str">
        <f>IF(MIS_Backend_Data!T249="", "", MIS_Backend_Data!T249)</f>
        <v/>
      </c>
      <c r="H250" t="str">
        <f>IF(MIS_Backend_Data!X249="", "", MIS_Backend_Data!X249)</f>
        <v/>
      </c>
      <c r="I250" t="str">
        <f>IF(MIS_Backend_Data!AC249="", "", MIS_Backend_Data!AC249)</f>
        <v/>
      </c>
      <c r="J250" t="str">
        <f>IF(MIS_Backend_Data!AB249="", "", MIS_Backend_Data!AB249)</f>
        <v/>
      </c>
      <c r="K250" t="str">
        <f>IF(MIS_Backend_Data!AG249="", "", MIS_Backend_Data!AG249)</f>
        <v/>
      </c>
      <c r="L250" s="20" t="str">
        <f>IF(MIS_Backend_Data!AI249="", "", MIS_Backend_Data!AI249)</f>
        <v/>
      </c>
      <c r="M250" t="str">
        <f>IF(MIS_Backend_Data!AK249="", "", MIS_Backend_Data!AK249)</f>
        <v/>
      </c>
      <c r="N250" t="str">
        <f>IF(MIS_Backend_Data!AM249="", "", MIS_Backend_Data!AM249)</f>
        <v/>
      </c>
      <c r="O250" t="str">
        <f>IF(MIS_Backend_Data!AO249="", "", MIS_Backend_Data!AO249)</f>
        <v/>
      </c>
      <c r="P250" t="str">
        <f>IF(MIS_Backend_Data!AS249="", "", MIS_Backend_Data!AS249)</f>
        <v/>
      </c>
      <c r="Q250" t="str">
        <f>IF(MIS_Backend_Data!AX249="", "", MIS_Backend_Data!AX249)</f>
        <v/>
      </c>
      <c r="R250" t="str">
        <f>IF(MIS_Backend_Data!BB249="", "", MIS_Backend_Data!BB249)</f>
        <v/>
      </c>
      <c r="S250" t="str">
        <f>IF(MIS_Backend_Data!AW249="", "", MIS_Backend_Data!AW249)</f>
        <v/>
      </c>
      <c r="T250" s="42" t="str">
        <f>IF(MIS_Backend_Data!N249="Dispatch","Completed","NA")</f>
        <v>NA</v>
      </c>
      <c r="U250" t="str">
        <f t="shared" si="9"/>
        <v/>
      </c>
      <c r="V250" t="str">
        <f t="shared" si="10"/>
        <v/>
      </c>
      <c r="W250" s="20" t="str">
        <f t="shared" si="11"/>
        <v/>
      </c>
    </row>
    <row r="251" spans="2:23" ht="14.5">
      <c r="B251" s="205"/>
      <c r="C251" s="17"/>
      <c r="D251" s="17"/>
      <c r="E251" s="19"/>
      <c r="F251" s="19" t="str">
        <f>IF(MIS_Backend_Data!O250="", "", MIS_Backend_Data!O250)</f>
        <v/>
      </c>
      <c r="G251" t="str">
        <f>IF(MIS_Backend_Data!T250="", "", MIS_Backend_Data!T250)</f>
        <v/>
      </c>
      <c r="H251" t="str">
        <f>IF(MIS_Backend_Data!X250="", "", MIS_Backend_Data!X250)</f>
        <v/>
      </c>
      <c r="I251" t="str">
        <f>IF(MIS_Backend_Data!AC250="", "", MIS_Backend_Data!AC250)</f>
        <v/>
      </c>
      <c r="J251" t="str">
        <f>IF(MIS_Backend_Data!AB250="", "", MIS_Backend_Data!AB250)</f>
        <v/>
      </c>
      <c r="K251" t="str">
        <f>IF(MIS_Backend_Data!AG250="", "", MIS_Backend_Data!AG250)</f>
        <v/>
      </c>
      <c r="L251" s="20" t="str">
        <f>IF(MIS_Backend_Data!AI250="", "", MIS_Backend_Data!AI250)</f>
        <v/>
      </c>
      <c r="M251" t="str">
        <f>IF(MIS_Backend_Data!AK250="", "", MIS_Backend_Data!AK250)</f>
        <v/>
      </c>
      <c r="N251" t="str">
        <f>IF(MIS_Backend_Data!AM250="", "", MIS_Backend_Data!AM250)</f>
        <v/>
      </c>
      <c r="O251" t="str">
        <f>IF(MIS_Backend_Data!AO250="", "", MIS_Backend_Data!AO250)</f>
        <v/>
      </c>
      <c r="P251" t="str">
        <f>IF(MIS_Backend_Data!AS250="", "", MIS_Backend_Data!AS250)</f>
        <v/>
      </c>
      <c r="Q251" t="str">
        <f>IF(MIS_Backend_Data!AX250="", "", MIS_Backend_Data!AX250)</f>
        <v/>
      </c>
      <c r="R251" t="str">
        <f>IF(MIS_Backend_Data!BB250="", "", MIS_Backend_Data!BB250)</f>
        <v/>
      </c>
      <c r="S251" t="str">
        <f>IF(MIS_Backend_Data!AW250="", "", MIS_Backend_Data!AW250)</f>
        <v/>
      </c>
      <c r="T251" s="42" t="str">
        <f>IF(MIS_Backend_Data!N250="Dispatch","Completed","NA")</f>
        <v>NA</v>
      </c>
      <c r="U251" t="str">
        <f t="shared" si="9"/>
        <v/>
      </c>
      <c r="V251" t="str">
        <f t="shared" si="10"/>
        <v/>
      </c>
      <c r="W251" s="20" t="str">
        <f t="shared" si="11"/>
        <v/>
      </c>
    </row>
    <row r="252" spans="2:23" ht="14.5">
      <c r="B252" s="205"/>
      <c r="C252" s="17"/>
      <c r="D252" s="17"/>
      <c r="E252" s="19"/>
      <c r="F252" s="19" t="str">
        <f>IF(MIS_Backend_Data!O251="", "", MIS_Backend_Data!O251)</f>
        <v/>
      </c>
      <c r="G252" t="str">
        <f>IF(MIS_Backend_Data!T251="", "", MIS_Backend_Data!T251)</f>
        <v/>
      </c>
      <c r="H252" t="str">
        <f>IF(MIS_Backend_Data!X251="", "", MIS_Backend_Data!X251)</f>
        <v/>
      </c>
      <c r="I252" t="str">
        <f>IF(MIS_Backend_Data!AC251="", "", MIS_Backend_Data!AC251)</f>
        <v/>
      </c>
      <c r="J252" t="str">
        <f>IF(MIS_Backend_Data!AB251="", "", MIS_Backend_Data!AB251)</f>
        <v/>
      </c>
      <c r="K252" t="str">
        <f>IF(MIS_Backend_Data!AG251="", "", MIS_Backend_Data!AG251)</f>
        <v/>
      </c>
      <c r="L252" s="20" t="str">
        <f>IF(MIS_Backend_Data!AI251="", "", MIS_Backend_Data!AI251)</f>
        <v/>
      </c>
      <c r="M252" t="str">
        <f>IF(MIS_Backend_Data!AK251="", "", MIS_Backend_Data!AK251)</f>
        <v/>
      </c>
      <c r="N252" t="str">
        <f>IF(MIS_Backend_Data!AM251="", "", MIS_Backend_Data!AM251)</f>
        <v/>
      </c>
      <c r="O252" t="str">
        <f>IF(MIS_Backend_Data!AO251="", "", MIS_Backend_Data!AO251)</f>
        <v/>
      </c>
      <c r="P252" t="str">
        <f>IF(MIS_Backend_Data!AS251="", "", MIS_Backend_Data!AS251)</f>
        <v/>
      </c>
      <c r="Q252" t="str">
        <f>IF(MIS_Backend_Data!AX251="", "", MIS_Backend_Data!AX251)</f>
        <v/>
      </c>
      <c r="R252" t="str">
        <f>IF(MIS_Backend_Data!BB251="", "", MIS_Backend_Data!BB251)</f>
        <v/>
      </c>
      <c r="S252" t="str">
        <f>IF(MIS_Backend_Data!AW251="", "", MIS_Backend_Data!AW251)</f>
        <v/>
      </c>
      <c r="T252" s="42" t="str">
        <f>IF(MIS_Backend_Data!N251="Dispatch","Completed","NA")</f>
        <v>NA</v>
      </c>
      <c r="U252" t="str">
        <f t="shared" si="9"/>
        <v/>
      </c>
      <c r="V252" t="str">
        <f t="shared" si="10"/>
        <v/>
      </c>
      <c r="W252" s="20" t="str">
        <f t="shared" si="11"/>
        <v/>
      </c>
    </row>
    <row r="253" spans="2:23" ht="14.5">
      <c r="B253" s="205"/>
      <c r="C253" s="17"/>
      <c r="D253" s="17"/>
      <c r="E253" s="19"/>
      <c r="F253" s="19" t="str">
        <f>IF(MIS_Backend_Data!O252="", "", MIS_Backend_Data!O252)</f>
        <v/>
      </c>
      <c r="G253" t="str">
        <f>IF(MIS_Backend_Data!T252="", "", MIS_Backend_Data!T252)</f>
        <v/>
      </c>
      <c r="H253" t="str">
        <f>IF(MIS_Backend_Data!X252="", "", MIS_Backend_Data!X252)</f>
        <v/>
      </c>
      <c r="I253" t="str">
        <f>IF(MIS_Backend_Data!AC252="", "", MIS_Backend_Data!AC252)</f>
        <v/>
      </c>
      <c r="J253" t="str">
        <f>IF(MIS_Backend_Data!AB252="", "", MIS_Backend_Data!AB252)</f>
        <v/>
      </c>
      <c r="K253" t="str">
        <f>IF(MIS_Backend_Data!AG252="", "", MIS_Backend_Data!AG252)</f>
        <v/>
      </c>
      <c r="L253" s="20" t="str">
        <f>IF(MIS_Backend_Data!AI252="", "", MIS_Backend_Data!AI252)</f>
        <v/>
      </c>
      <c r="M253" t="str">
        <f>IF(MIS_Backend_Data!AK252="", "", MIS_Backend_Data!AK252)</f>
        <v/>
      </c>
      <c r="N253" t="str">
        <f>IF(MIS_Backend_Data!AM252="", "", MIS_Backend_Data!AM252)</f>
        <v/>
      </c>
      <c r="O253" t="str">
        <f>IF(MIS_Backend_Data!AO252="", "", MIS_Backend_Data!AO252)</f>
        <v/>
      </c>
      <c r="P253" t="str">
        <f>IF(MIS_Backend_Data!AS252="", "", MIS_Backend_Data!AS252)</f>
        <v/>
      </c>
      <c r="Q253" t="str">
        <f>IF(MIS_Backend_Data!AX252="", "", MIS_Backend_Data!AX252)</f>
        <v/>
      </c>
      <c r="R253" t="str">
        <f>IF(MIS_Backend_Data!BB252="", "", MIS_Backend_Data!BB252)</f>
        <v/>
      </c>
      <c r="S253" t="str">
        <f>IF(MIS_Backend_Data!AW252="", "", MIS_Backend_Data!AW252)</f>
        <v/>
      </c>
      <c r="T253" s="42" t="str">
        <f>IF(MIS_Backend_Data!N252="Dispatch","Completed","NA")</f>
        <v>NA</v>
      </c>
      <c r="U253" t="str">
        <f t="shared" si="9"/>
        <v/>
      </c>
      <c r="V253" t="str">
        <f t="shared" si="10"/>
        <v/>
      </c>
      <c r="W253" s="20" t="str">
        <f t="shared" si="11"/>
        <v/>
      </c>
    </row>
    <row r="254" spans="2:23" ht="14.5">
      <c r="B254" s="205"/>
      <c r="C254" s="17"/>
      <c r="D254" s="17"/>
      <c r="E254" s="19"/>
      <c r="F254" s="19" t="str">
        <f>IF(MIS_Backend_Data!O253="", "", MIS_Backend_Data!O253)</f>
        <v/>
      </c>
      <c r="G254" t="str">
        <f>IF(MIS_Backend_Data!T253="", "", MIS_Backend_Data!T253)</f>
        <v/>
      </c>
      <c r="H254" t="str">
        <f>IF(MIS_Backend_Data!X253="", "", MIS_Backend_Data!X253)</f>
        <v/>
      </c>
      <c r="I254" t="str">
        <f>IF(MIS_Backend_Data!AC253="", "", MIS_Backend_Data!AC253)</f>
        <v/>
      </c>
      <c r="J254" t="str">
        <f>IF(MIS_Backend_Data!AB253="", "", MIS_Backend_Data!AB253)</f>
        <v/>
      </c>
      <c r="K254" t="str">
        <f>IF(MIS_Backend_Data!AG253="", "", MIS_Backend_Data!AG253)</f>
        <v/>
      </c>
      <c r="L254" s="20" t="str">
        <f>IF(MIS_Backend_Data!AI253="", "", MIS_Backend_Data!AI253)</f>
        <v/>
      </c>
      <c r="M254" t="str">
        <f>IF(MIS_Backend_Data!AK253="", "", MIS_Backend_Data!AK253)</f>
        <v/>
      </c>
      <c r="N254" t="str">
        <f>IF(MIS_Backend_Data!AM253="", "", MIS_Backend_Data!AM253)</f>
        <v/>
      </c>
      <c r="O254" t="str">
        <f>IF(MIS_Backend_Data!AO253="", "", MIS_Backend_Data!AO253)</f>
        <v/>
      </c>
      <c r="P254" t="str">
        <f>IF(MIS_Backend_Data!AS253="", "", MIS_Backend_Data!AS253)</f>
        <v/>
      </c>
      <c r="Q254" t="str">
        <f>IF(MIS_Backend_Data!AX253="", "", MIS_Backend_Data!AX253)</f>
        <v/>
      </c>
      <c r="R254" t="str">
        <f>IF(MIS_Backend_Data!BB253="", "", MIS_Backend_Data!BB253)</f>
        <v/>
      </c>
      <c r="S254" t="str">
        <f>IF(MIS_Backend_Data!AW253="", "", MIS_Backend_Data!AW253)</f>
        <v/>
      </c>
      <c r="T254" s="42" t="str">
        <f>IF(MIS_Backend_Data!N253="Dispatch","Completed","NA")</f>
        <v>NA</v>
      </c>
      <c r="U254" t="str">
        <f t="shared" si="9"/>
        <v/>
      </c>
      <c r="V254" t="str">
        <f t="shared" si="10"/>
        <v/>
      </c>
      <c r="W254" s="20" t="str">
        <f t="shared" si="11"/>
        <v/>
      </c>
    </row>
    <row r="255" spans="2:23" ht="14.5">
      <c r="B255" s="205"/>
      <c r="C255" s="17"/>
      <c r="D255" s="17"/>
      <c r="E255" s="19"/>
      <c r="F255" s="19" t="str">
        <f>IF(MIS_Backend_Data!O254="", "", MIS_Backend_Data!O254)</f>
        <v/>
      </c>
      <c r="G255" t="str">
        <f>IF(MIS_Backend_Data!T254="", "", MIS_Backend_Data!T254)</f>
        <v/>
      </c>
      <c r="H255" t="str">
        <f>IF(MIS_Backend_Data!X254="", "", MIS_Backend_Data!X254)</f>
        <v/>
      </c>
      <c r="I255" t="str">
        <f>IF(MIS_Backend_Data!AC254="", "", MIS_Backend_Data!AC254)</f>
        <v/>
      </c>
      <c r="J255" t="str">
        <f>IF(MIS_Backend_Data!AB254="", "", MIS_Backend_Data!AB254)</f>
        <v/>
      </c>
      <c r="K255" t="str">
        <f>IF(MIS_Backend_Data!AG254="", "", MIS_Backend_Data!AG254)</f>
        <v/>
      </c>
      <c r="L255" s="20" t="str">
        <f>IF(MIS_Backend_Data!AI254="", "", MIS_Backend_Data!AI254)</f>
        <v/>
      </c>
      <c r="M255" t="str">
        <f>IF(MIS_Backend_Data!AK254="", "", MIS_Backend_Data!AK254)</f>
        <v/>
      </c>
      <c r="N255" t="str">
        <f>IF(MIS_Backend_Data!AM254="", "", MIS_Backend_Data!AM254)</f>
        <v/>
      </c>
      <c r="O255" t="str">
        <f>IF(MIS_Backend_Data!AO254="", "", MIS_Backend_Data!AO254)</f>
        <v/>
      </c>
      <c r="P255" t="str">
        <f>IF(MIS_Backend_Data!AS254="", "", MIS_Backend_Data!AS254)</f>
        <v/>
      </c>
      <c r="Q255" t="str">
        <f>IF(MIS_Backend_Data!AX254="", "", MIS_Backend_Data!AX254)</f>
        <v/>
      </c>
      <c r="R255" t="str">
        <f>IF(MIS_Backend_Data!BB254="", "", MIS_Backend_Data!BB254)</f>
        <v/>
      </c>
      <c r="S255" t="str">
        <f>IF(MIS_Backend_Data!AW254="", "", MIS_Backend_Data!AW254)</f>
        <v/>
      </c>
      <c r="T255" s="42" t="str">
        <f>IF(MIS_Backend_Data!N254="Dispatch","Completed","NA")</f>
        <v>NA</v>
      </c>
      <c r="U255" t="str">
        <f t="shared" si="9"/>
        <v/>
      </c>
      <c r="V255" t="str">
        <f t="shared" si="10"/>
        <v/>
      </c>
      <c r="W255" s="20" t="str">
        <f t="shared" si="11"/>
        <v/>
      </c>
    </row>
    <row r="256" spans="2:23" ht="14.5">
      <c r="B256" s="205"/>
      <c r="C256" s="17"/>
      <c r="D256" s="17"/>
      <c r="E256" s="19"/>
      <c r="F256" s="19" t="str">
        <f>IF(MIS_Backend_Data!O255="", "", MIS_Backend_Data!O255)</f>
        <v/>
      </c>
      <c r="G256" t="str">
        <f>IF(MIS_Backend_Data!T255="", "", MIS_Backend_Data!T255)</f>
        <v/>
      </c>
      <c r="H256" t="str">
        <f>IF(MIS_Backend_Data!X255="", "", MIS_Backend_Data!X255)</f>
        <v/>
      </c>
      <c r="I256" t="str">
        <f>IF(MIS_Backend_Data!AC255="", "", MIS_Backend_Data!AC255)</f>
        <v/>
      </c>
      <c r="J256" t="str">
        <f>IF(MIS_Backend_Data!AB255="", "", MIS_Backend_Data!AB255)</f>
        <v/>
      </c>
      <c r="K256" t="str">
        <f>IF(MIS_Backend_Data!AG255="", "", MIS_Backend_Data!AG255)</f>
        <v/>
      </c>
      <c r="L256" s="20" t="str">
        <f>IF(MIS_Backend_Data!AI255="", "", MIS_Backend_Data!AI255)</f>
        <v/>
      </c>
      <c r="M256" t="str">
        <f>IF(MIS_Backend_Data!AK255="", "", MIS_Backend_Data!AK255)</f>
        <v/>
      </c>
      <c r="N256" t="str">
        <f>IF(MIS_Backend_Data!AM255="", "", MIS_Backend_Data!AM255)</f>
        <v/>
      </c>
      <c r="O256" t="str">
        <f>IF(MIS_Backend_Data!AO255="", "", MIS_Backend_Data!AO255)</f>
        <v/>
      </c>
      <c r="P256" t="str">
        <f>IF(MIS_Backend_Data!AS255="", "", MIS_Backend_Data!AS255)</f>
        <v/>
      </c>
      <c r="Q256" t="str">
        <f>IF(MIS_Backend_Data!AX255="", "", MIS_Backend_Data!AX255)</f>
        <v/>
      </c>
      <c r="R256" t="str">
        <f>IF(MIS_Backend_Data!BB255="", "", MIS_Backend_Data!BB255)</f>
        <v/>
      </c>
      <c r="S256" t="str">
        <f>IF(MIS_Backend_Data!AW255="", "", MIS_Backend_Data!AW255)</f>
        <v/>
      </c>
      <c r="T256" s="42" t="str">
        <f>IF(MIS_Backend_Data!N255="Dispatch","Completed","NA")</f>
        <v>NA</v>
      </c>
      <c r="U256" t="str">
        <f t="shared" si="9"/>
        <v/>
      </c>
      <c r="V256" t="str">
        <f t="shared" si="10"/>
        <v/>
      </c>
      <c r="W256" s="20" t="str">
        <f t="shared" si="11"/>
        <v/>
      </c>
    </row>
    <row r="257" spans="2:23" ht="14.5">
      <c r="B257" s="205"/>
      <c r="C257" s="17"/>
      <c r="D257" s="17"/>
      <c r="E257" s="19"/>
      <c r="F257" s="19" t="str">
        <f>IF(MIS_Backend_Data!O256="", "", MIS_Backend_Data!O256)</f>
        <v/>
      </c>
      <c r="G257" t="str">
        <f>IF(MIS_Backend_Data!T256="", "", MIS_Backend_Data!T256)</f>
        <v/>
      </c>
      <c r="H257" t="str">
        <f>IF(MIS_Backend_Data!X256="", "", MIS_Backend_Data!X256)</f>
        <v/>
      </c>
      <c r="I257" t="str">
        <f>IF(MIS_Backend_Data!AC256="", "", MIS_Backend_Data!AC256)</f>
        <v/>
      </c>
      <c r="J257" t="str">
        <f>IF(MIS_Backend_Data!AB256="", "", MIS_Backend_Data!AB256)</f>
        <v/>
      </c>
      <c r="K257" t="str">
        <f>IF(MIS_Backend_Data!AG256="", "", MIS_Backend_Data!AG256)</f>
        <v/>
      </c>
      <c r="L257" s="20" t="str">
        <f>IF(MIS_Backend_Data!AI256="", "", MIS_Backend_Data!AI256)</f>
        <v/>
      </c>
      <c r="M257" t="str">
        <f>IF(MIS_Backend_Data!AK256="", "", MIS_Backend_Data!AK256)</f>
        <v/>
      </c>
      <c r="N257" t="str">
        <f>IF(MIS_Backend_Data!AM256="", "", MIS_Backend_Data!AM256)</f>
        <v/>
      </c>
      <c r="O257" t="str">
        <f>IF(MIS_Backend_Data!AO256="", "", MIS_Backend_Data!AO256)</f>
        <v/>
      </c>
      <c r="P257" t="str">
        <f>IF(MIS_Backend_Data!AS256="", "", MIS_Backend_Data!AS256)</f>
        <v/>
      </c>
      <c r="Q257" t="str">
        <f>IF(MIS_Backend_Data!AX256="", "", MIS_Backend_Data!AX256)</f>
        <v/>
      </c>
      <c r="R257" t="str">
        <f>IF(MIS_Backend_Data!BB256="", "", MIS_Backend_Data!BB256)</f>
        <v/>
      </c>
      <c r="S257" t="str">
        <f>IF(MIS_Backend_Data!AW256="", "", MIS_Backend_Data!AW256)</f>
        <v/>
      </c>
      <c r="T257" s="42" t="str">
        <f>IF(MIS_Backend_Data!N256="Dispatch","Completed","NA")</f>
        <v>NA</v>
      </c>
      <c r="U257" t="str">
        <f t="shared" si="9"/>
        <v/>
      </c>
      <c r="V257" t="str">
        <f t="shared" si="10"/>
        <v/>
      </c>
      <c r="W257" s="20" t="str">
        <f t="shared" si="11"/>
        <v/>
      </c>
    </row>
    <row r="258" spans="2:23" ht="14.5">
      <c r="B258" s="205"/>
      <c r="C258" s="17"/>
      <c r="D258" s="17"/>
      <c r="E258" s="19"/>
      <c r="F258" s="19" t="str">
        <f>IF(MIS_Backend_Data!O257="", "", MIS_Backend_Data!O257)</f>
        <v/>
      </c>
      <c r="G258" t="str">
        <f>IF(MIS_Backend_Data!T257="", "", MIS_Backend_Data!T257)</f>
        <v/>
      </c>
      <c r="H258" t="str">
        <f>IF(MIS_Backend_Data!X257="", "", MIS_Backend_Data!X257)</f>
        <v/>
      </c>
      <c r="I258" t="str">
        <f>IF(MIS_Backend_Data!AC257="", "", MIS_Backend_Data!AC257)</f>
        <v/>
      </c>
      <c r="J258" t="str">
        <f>IF(MIS_Backend_Data!AB257="", "", MIS_Backend_Data!AB257)</f>
        <v/>
      </c>
      <c r="K258" t="str">
        <f>IF(MIS_Backend_Data!AG257="", "", MIS_Backend_Data!AG257)</f>
        <v/>
      </c>
      <c r="L258" s="20" t="str">
        <f>IF(MIS_Backend_Data!AI257="", "", MIS_Backend_Data!AI257)</f>
        <v/>
      </c>
      <c r="M258" t="str">
        <f>IF(MIS_Backend_Data!AK257="", "", MIS_Backend_Data!AK257)</f>
        <v/>
      </c>
      <c r="N258" t="str">
        <f>IF(MIS_Backend_Data!AM257="", "", MIS_Backend_Data!AM257)</f>
        <v/>
      </c>
      <c r="O258" t="str">
        <f>IF(MIS_Backend_Data!AO257="", "", MIS_Backend_Data!AO257)</f>
        <v/>
      </c>
      <c r="P258" t="str">
        <f>IF(MIS_Backend_Data!AS257="", "", MIS_Backend_Data!AS257)</f>
        <v/>
      </c>
      <c r="Q258" t="str">
        <f>IF(MIS_Backend_Data!AX257="", "", MIS_Backend_Data!AX257)</f>
        <v/>
      </c>
      <c r="R258" t="str">
        <f>IF(MIS_Backend_Data!BB257="", "", MIS_Backend_Data!BB257)</f>
        <v/>
      </c>
      <c r="S258" t="str">
        <f>IF(MIS_Backend_Data!AW257="", "", MIS_Backend_Data!AW257)</f>
        <v/>
      </c>
      <c r="T258" s="42" t="str">
        <f>IF(MIS_Backend_Data!N257="Dispatch","Completed","NA")</f>
        <v>NA</v>
      </c>
      <c r="U258" t="str">
        <f t="shared" si="9"/>
        <v/>
      </c>
      <c r="V258" t="str">
        <f t="shared" si="10"/>
        <v/>
      </c>
      <c r="W258" s="20" t="str">
        <f t="shared" si="11"/>
        <v/>
      </c>
    </row>
    <row r="259" spans="2:23" ht="14.5">
      <c r="B259" s="205"/>
      <c r="C259" s="17"/>
      <c r="D259" s="17"/>
      <c r="E259" s="19"/>
      <c r="F259" s="19" t="str">
        <f>IF(MIS_Backend_Data!O258="", "", MIS_Backend_Data!O258)</f>
        <v/>
      </c>
      <c r="G259" t="str">
        <f>IF(MIS_Backend_Data!T258="", "", MIS_Backend_Data!T258)</f>
        <v/>
      </c>
      <c r="H259" t="str">
        <f>IF(MIS_Backend_Data!X258="", "", MIS_Backend_Data!X258)</f>
        <v/>
      </c>
      <c r="I259" t="str">
        <f>IF(MIS_Backend_Data!AC258="", "", MIS_Backend_Data!AC258)</f>
        <v/>
      </c>
      <c r="J259" t="str">
        <f>IF(MIS_Backend_Data!AB258="", "", MIS_Backend_Data!AB258)</f>
        <v/>
      </c>
      <c r="K259" t="str">
        <f>IF(MIS_Backend_Data!AG258="", "", MIS_Backend_Data!AG258)</f>
        <v/>
      </c>
      <c r="L259" s="20" t="str">
        <f>IF(MIS_Backend_Data!AI258="", "", MIS_Backend_Data!AI258)</f>
        <v/>
      </c>
      <c r="M259" t="str">
        <f>IF(MIS_Backend_Data!AK258="", "", MIS_Backend_Data!AK258)</f>
        <v/>
      </c>
      <c r="N259" t="str">
        <f>IF(MIS_Backend_Data!AM258="", "", MIS_Backend_Data!AM258)</f>
        <v/>
      </c>
      <c r="O259" t="str">
        <f>IF(MIS_Backend_Data!AO258="", "", MIS_Backend_Data!AO258)</f>
        <v/>
      </c>
      <c r="P259" t="str">
        <f>IF(MIS_Backend_Data!AS258="", "", MIS_Backend_Data!AS258)</f>
        <v/>
      </c>
      <c r="Q259" t="str">
        <f>IF(MIS_Backend_Data!AX258="", "", MIS_Backend_Data!AX258)</f>
        <v/>
      </c>
      <c r="R259" t="str">
        <f>IF(MIS_Backend_Data!BB258="", "", MIS_Backend_Data!BB258)</f>
        <v/>
      </c>
      <c r="S259" t="str">
        <f>IF(MIS_Backend_Data!AW258="", "", MIS_Backend_Data!AW258)</f>
        <v/>
      </c>
      <c r="T259" s="42" t="str">
        <f>IF(MIS_Backend_Data!N258="Dispatch","Completed","NA")</f>
        <v>NA</v>
      </c>
      <c r="U259" t="str">
        <f t="shared" si="9"/>
        <v/>
      </c>
      <c r="V259" t="str">
        <f t="shared" si="10"/>
        <v/>
      </c>
      <c r="W259" s="20" t="str">
        <f t="shared" si="11"/>
        <v/>
      </c>
    </row>
    <row r="260" spans="2:23" ht="14.5">
      <c r="B260" s="205"/>
      <c r="C260" s="17"/>
      <c r="D260" s="17"/>
      <c r="E260" s="19"/>
      <c r="F260" s="19" t="str">
        <f>IF(MIS_Backend_Data!O259="", "", MIS_Backend_Data!O259)</f>
        <v/>
      </c>
      <c r="G260" t="str">
        <f>IF(MIS_Backend_Data!T259="", "", MIS_Backend_Data!T259)</f>
        <v/>
      </c>
      <c r="H260" t="str">
        <f>IF(MIS_Backend_Data!X259="", "", MIS_Backend_Data!X259)</f>
        <v/>
      </c>
      <c r="I260" t="str">
        <f>IF(MIS_Backend_Data!AC259="", "", MIS_Backend_Data!AC259)</f>
        <v/>
      </c>
      <c r="J260" t="str">
        <f>IF(MIS_Backend_Data!AB259="", "", MIS_Backend_Data!AB259)</f>
        <v/>
      </c>
      <c r="K260" t="str">
        <f>IF(MIS_Backend_Data!AG259="", "", MIS_Backend_Data!AG259)</f>
        <v/>
      </c>
      <c r="L260" s="20" t="str">
        <f>IF(MIS_Backend_Data!AI259="", "", MIS_Backend_Data!AI259)</f>
        <v/>
      </c>
      <c r="M260" t="str">
        <f>IF(MIS_Backend_Data!AK259="", "", MIS_Backend_Data!AK259)</f>
        <v/>
      </c>
      <c r="N260" t="str">
        <f>IF(MIS_Backend_Data!AM259="", "", MIS_Backend_Data!AM259)</f>
        <v/>
      </c>
      <c r="O260" t="str">
        <f>IF(MIS_Backend_Data!AO259="", "", MIS_Backend_Data!AO259)</f>
        <v/>
      </c>
      <c r="P260" t="str">
        <f>IF(MIS_Backend_Data!AS259="", "", MIS_Backend_Data!AS259)</f>
        <v/>
      </c>
      <c r="Q260" t="str">
        <f>IF(MIS_Backend_Data!AX259="", "", MIS_Backend_Data!AX259)</f>
        <v/>
      </c>
      <c r="R260" t="str">
        <f>IF(MIS_Backend_Data!BB259="", "", MIS_Backend_Data!BB259)</f>
        <v/>
      </c>
      <c r="S260" t="str">
        <f>IF(MIS_Backend_Data!AW259="", "", MIS_Backend_Data!AW259)</f>
        <v/>
      </c>
      <c r="T260" s="42" t="str">
        <f>IF(MIS_Backend_Data!N259="Dispatch","Completed","NA")</f>
        <v>NA</v>
      </c>
      <c r="U260" t="str">
        <f t="shared" ref="U260:U323" si="12">IF(F260="WIP", IF(COUNTIF(G260:R260, "WIP")=2, 2, ""), "")</f>
        <v/>
      </c>
      <c r="V260" t="str">
        <f t="shared" ref="V260:V323" si="13">IF(F260="WIP", IF(COUNTIF(G260:R260, "WIP")=1, 1, ""), "")</f>
        <v/>
      </c>
      <c r="W260" s="20" t="str">
        <f t="shared" ref="W260:W323" si="14">IF(OR(F260="WIP",F260="Pending for CS"),
    IF(COUNTIFS(G260:R260,"&lt;&gt;Completed",G260:R260,"&lt;&gt;NA")=0,"GTG",""),
"")</f>
        <v/>
      </c>
    </row>
    <row r="261" spans="2:23" ht="14.5">
      <c r="B261" s="205"/>
      <c r="C261" s="17"/>
      <c r="D261" s="17"/>
      <c r="E261" s="19"/>
      <c r="F261" s="19" t="str">
        <f>IF(MIS_Backend_Data!O260="", "", MIS_Backend_Data!O260)</f>
        <v/>
      </c>
      <c r="G261" t="str">
        <f>IF(MIS_Backend_Data!T260="", "", MIS_Backend_Data!T260)</f>
        <v/>
      </c>
      <c r="H261" t="str">
        <f>IF(MIS_Backend_Data!X260="", "", MIS_Backend_Data!X260)</f>
        <v/>
      </c>
      <c r="I261" t="str">
        <f>IF(MIS_Backend_Data!AC260="", "", MIS_Backend_Data!AC260)</f>
        <v/>
      </c>
      <c r="J261" t="str">
        <f>IF(MIS_Backend_Data!AB260="", "", MIS_Backend_Data!AB260)</f>
        <v/>
      </c>
      <c r="K261" t="str">
        <f>IF(MIS_Backend_Data!AG260="", "", MIS_Backend_Data!AG260)</f>
        <v/>
      </c>
      <c r="L261" s="20" t="str">
        <f>IF(MIS_Backend_Data!AI260="", "", MIS_Backend_Data!AI260)</f>
        <v/>
      </c>
      <c r="M261" t="str">
        <f>IF(MIS_Backend_Data!AK260="", "", MIS_Backend_Data!AK260)</f>
        <v/>
      </c>
      <c r="N261" t="str">
        <f>IF(MIS_Backend_Data!AM260="", "", MIS_Backend_Data!AM260)</f>
        <v/>
      </c>
      <c r="O261" t="str">
        <f>IF(MIS_Backend_Data!AO260="", "", MIS_Backend_Data!AO260)</f>
        <v/>
      </c>
      <c r="P261" t="str">
        <f>IF(MIS_Backend_Data!AS260="", "", MIS_Backend_Data!AS260)</f>
        <v/>
      </c>
      <c r="Q261" t="str">
        <f>IF(MIS_Backend_Data!AX260="", "", MIS_Backend_Data!AX260)</f>
        <v/>
      </c>
      <c r="R261" t="str">
        <f>IF(MIS_Backend_Data!BB260="", "", MIS_Backend_Data!BB260)</f>
        <v/>
      </c>
      <c r="S261" t="str">
        <f>IF(MIS_Backend_Data!AW260="", "", MIS_Backend_Data!AW260)</f>
        <v/>
      </c>
      <c r="T261" s="42" t="str">
        <f>IF(MIS_Backend_Data!N260="Dispatch","Completed","NA")</f>
        <v>NA</v>
      </c>
      <c r="U261" t="str">
        <f t="shared" si="12"/>
        <v/>
      </c>
      <c r="V261" t="str">
        <f t="shared" si="13"/>
        <v/>
      </c>
      <c r="W261" s="20" t="str">
        <f t="shared" si="14"/>
        <v/>
      </c>
    </row>
    <row r="262" spans="2:23" ht="14.5">
      <c r="B262" s="205"/>
      <c r="C262" s="17"/>
      <c r="D262" s="17"/>
      <c r="E262" s="19"/>
      <c r="F262" s="19" t="str">
        <f>IF(MIS_Backend_Data!O261="", "", MIS_Backend_Data!O261)</f>
        <v/>
      </c>
      <c r="G262" t="str">
        <f>IF(MIS_Backend_Data!T261="", "", MIS_Backend_Data!T261)</f>
        <v/>
      </c>
      <c r="H262" t="str">
        <f>IF(MIS_Backend_Data!X261="", "", MIS_Backend_Data!X261)</f>
        <v/>
      </c>
      <c r="I262" t="str">
        <f>IF(MIS_Backend_Data!AC261="", "", MIS_Backend_Data!AC261)</f>
        <v/>
      </c>
      <c r="J262" t="str">
        <f>IF(MIS_Backend_Data!AB261="", "", MIS_Backend_Data!AB261)</f>
        <v/>
      </c>
      <c r="K262" t="str">
        <f>IF(MIS_Backend_Data!AG261="", "", MIS_Backend_Data!AG261)</f>
        <v/>
      </c>
      <c r="L262" s="20" t="str">
        <f>IF(MIS_Backend_Data!AI261="", "", MIS_Backend_Data!AI261)</f>
        <v/>
      </c>
      <c r="M262" t="str">
        <f>IF(MIS_Backend_Data!AK261="", "", MIS_Backend_Data!AK261)</f>
        <v/>
      </c>
      <c r="N262" t="str">
        <f>IF(MIS_Backend_Data!AM261="", "", MIS_Backend_Data!AM261)</f>
        <v/>
      </c>
      <c r="O262" t="str">
        <f>IF(MIS_Backend_Data!AO261="", "", MIS_Backend_Data!AO261)</f>
        <v/>
      </c>
      <c r="P262" t="str">
        <f>IF(MIS_Backend_Data!AS261="", "", MIS_Backend_Data!AS261)</f>
        <v/>
      </c>
      <c r="Q262" t="str">
        <f>IF(MIS_Backend_Data!AX261="", "", MIS_Backend_Data!AX261)</f>
        <v/>
      </c>
      <c r="R262" t="str">
        <f>IF(MIS_Backend_Data!BB261="", "", MIS_Backend_Data!BB261)</f>
        <v/>
      </c>
      <c r="S262" t="str">
        <f>IF(MIS_Backend_Data!AW261="", "", MIS_Backend_Data!AW261)</f>
        <v/>
      </c>
      <c r="T262" s="42" t="str">
        <f>IF(MIS_Backend_Data!N261="Dispatch","Completed","NA")</f>
        <v>NA</v>
      </c>
      <c r="U262" t="str">
        <f t="shared" si="12"/>
        <v/>
      </c>
      <c r="V262" t="str">
        <f t="shared" si="13"/>
        <v/>
      </c>
      <c r="W262" s="20" t="str">
        <f t="shared" si="14"/>
        <v/>
      </c>
    </row>
    <row r="263" spans="2:23" ht="14.5">
      <c r="B263" s="205"/>
      <c r="C263" s="17"/>
      <c r="D263" s="17"/>
      <c r="E263" s="19"/>
      <c r="F263" s="19" t="str">
        <f>IF(MIS_Backend_Data!O262="", "", MIS_Backend_Data!O262)</f>
        <v/>
      </c>
      <c r="G263" t="str">
        <f>IF(MIS_Backend_Data!T262="", "", MIS_Backend_Data!T262)</f>
        <v/>
      </c>
      <c r="H263" t="str">
        <f>IF(MIS_Backend_Data!X262="", "", MIS_Backend_Data!X262)</f>
        <v/>
      </c>
      <c r="I263" t="str">
        <f>IF(MIS_Backend_Data!AC262="", "", MIS_Backend_Data!AC262)</f>
        <v/>
      </c>
      <c r="J263" t="str">
        <f>IF(MIS_Backend_Data!AB262="", "", MIS_Backend_Data!AB262)</f>
        <v/>
      </c>
      <c r="K263" t="str">
        <f>IF(MIS_Backend_Data!AG262="", "", MIS_Backend_Data!AG262)</f>
        <v/>
      </c>
      <c r="L263" s="20" t="str">
        <f>IF(MIS_Backend_Data!AI262="", "", MIS_Backend_Data!AI262)</f>
        <v/>
      </c>
      <c r="M263" t="str">
        <f>IF(MIS_Backend_Data!AK262="", "", MIS_Backend_Data!AK262)</f>
        <v/>
      </c>
      <c r="N263" t="str">
        <f>IF(MIS_Backend_Data!AM262="", "", MIS_Backend_Data!AM262)</f>
        <v/>
      </c>
      <c r="O263" t="str">
        <f>IF(MIS_Backend_Data!AO262="", "", MIS_Backend_Data!AO262)</f>
        <v/>
      </c>
      <c r="P263" t="str">
        <f>IF(MIS_Backend_Data!AS262="", "", MIS_Backend_Data!AS262)</f>
        <v/>
      </c>
      <c r="Q263" t="str">
        <f>IF(MIS_Backend_Data!AX262="", "", MIS_Backend_Data!AX262)</f>
        <v/>
      </c>
      <c r="R263" t="str">
        <f>IF(MIS_Backend_Data!BB262="", "", MIS_Backend_Data!BB262)</f>
        <v/>
      </c>
      <c r="S263" t="str">
        <f>IF(MIS_Backend_Data!AW262="", "", MIS_Backend_Data!AW262)</f>
        <v/>
      </c>
      <c r="T263" s="42" t="str">
        <f>IF(MIS_Backend_Data!N262="Dispatch","Completed","NA")</f>
        <v>NA</v>
      </c>
      <c r="U263" t="str">
        <f t="shared" si="12"/>
        <v/>
      </c>
      <c r="V263" t="str">
        <f t="shared" si="13"/>
        <v/>
      </c>
      <c r="W263" s="20" t="str">
        <f t="shared" si="14"/>
        <v/>
      </c>
    </row>
    <row r="264" spans="2:23" ht="14.5">
      <c r="B264" s="205"/>
      <c r="C264" s="17"/>
      <c r="D264" s="17"/>
      <c r="E264" s="19"/>
      <c r="F264" s="19" t="str">
        <f>IF(MIS_Backend_Data!O263="", "", MIS_Backend_Data!O263)</f>
        <v/>
      </c>
      <c r="G264" t="str">
        <f>IF(MIS_Backend_Data!T263="", "", MIS_Backend_Data!T263)</f>
        <v/>
      </c>
      <c r="H264" t="str">
        <f>IF(MIS_Backend_Data!X263="", "", MIS_Backend_Data!X263)</f>
        <v/>
      </c>
      <c r="I264" t="str">
        <f>IF(MIS_Backend_Data!AC263="", "", MIS_Backend_Data!AC263)</f>
        <v/>
      </c>
      <c r="J264" t="str">
        <f>IF(MIS_Backend_Data!AB263="", "", MIS_Backend_Data!AB263)</f>
        <v/>
      </c>
      <c r="K264" t="str">
        <f>IF(MIS_Backend_Data!AG263="", "", MIS_Backend_Data!AG263)</f>
        <v/>
      </c>
      <c r="L264" s="20" t="str">
        <f>IF(MIS_Backend_Data!AI263="", "", MIS_Backend_Data!AI263)</f>
        <v/>
      </c>
      <c r="M264" t="str">
        <f>IF(MIS_Backend_Data!AK263="", "", MIS_Backend_Data!AK263)</f>
        <v/>
      </c>
      <c r="N264" t="str">
        <f>IF(MIS_Backend_Data!AM263="", "", MIS_Backend_Data!AM263)</f>
        <v/>
      </c>
      <c r="O264" t="str">
        <f>IF(MIS_Backend_Data!AO263="", "", MIS_Backend_Data!AO263)</f>
        <v/>
      </c>
      <c r="P264" t="str">
        <f>IF(MIS_Backend_Data!AS263="", "", MIS_Backend_Data!AS263)</f>
        <v/>
      </c>
      <c r="Q264" t="str">
        <f>IF(MIS_Backend_Data!AX263="", "", MIS_Backend_Data!AX263)</f>
        <v/>
      </c>
      <c r="R264" t="str">
        <f>IF(MIS_Backend_Data!BB263="", "", MIS_Backend_Data!BB263)</f>
        <v/>
      </c>
      <c r="S264" t="str">
        <f>IF(MIS_Backend_Data!AW263="", "", MIS_Backend_Data!AW263)</f>
        <v/>
      </c>
      <c r="T264" s="42" t="str">
        <f>IF(MIS_Backend_Data!N263="Dispatch","Completed","NA")</f>
        <v>NA</v>
      </c>
      <c r="U264" t="str">
        <f t="shared" si="12"/>
        <v/>
      </c>
      <c r="V264" t="str">
        <f t="shared" si="13"/>
        <v/>
      </c>
      <c r="W264" s="20" t="str">
        <f t="shared" si="14"/>
        <v/>
      </c>
    </row>
    <row r="265" spans="2:23" ht="14.5">
      <c r="B265" s="205"/>
      <c r="C265" s="17"/>
      <c r="D265" s="17"/>
      <c r="E265" s="19"/>
      <c r="F265" s="19" t="str">
        <f>IF(MIS_Backend_Data!O264="", "", MIS_Backend_Data!O264)</f>
        <v/>
      </c>
      <c r="G265" t="str">
        <f>IF(MIS_Backend_Data!T264="", "", MIS_Backend_Data!T264)</f>
        <v/>
      </c>
      <c r="H265" t="str">
        <f>IF(MIS_Backend_Data!X264="", "", MIS_Backend_Data!X264)</f>
        <v/>
      </c>
      <c r="I265" t="str">
        <f>IF(MIS_Backend_Data!AC264="", "", MIS_Backend_Data!AC264)</f>
        <v/>
      </c>
      <c r="J265" t="str">
        <f>IF(MIS_Backend_Data!AB264="", "", MIS_Backend_Data!AB264)</f>
        <v/>
      </c>
      <c r="K265" t="str">
        <f>IF(MIS_Backend_Data!AG264="", "", MIS_Backend_Data!AG264)</f>
        <v/>
      </c>
      <c r="L265" s="20" t="str">
        <f>IF(MIS_Backend_Data!AI264="", "", MIS_Backend_Data!AI264)</f>
        <v/>
      </c>
      <c r="M265" t="str">
        <f>IF(MIS_Backend_Data!AK264="", "", MIS_Backend_Data!AK264)</f>
        <v/>
      </c>
      <c r="N265" t="str">
        <f>IF(MIS_Backend_Data!AM264="", "", MIS_Backend_Data!AM264)</f>
        <v/>
      </c>
      <c r="O265" t="str">
        <f>IF(MIS_Backend_Data!AO264="", "", MIS_Backend_Data!AO264)</f>
        <v/>
      </c>
      <c r="P265" t="str">
        <f>IF(MIS_Backend_Data!AS264="", "", MIS_Backend_Data!AS264)</f>
        <v/>
      </c>
      <c r="Q265" t="str">
        <f>IF(MIS_Backend_Data!AX264="", "", MIS_Backend_Data!AX264)</f>
        <v/>
      </c>
      <c r="R265" t="str">
        <f>IF(MIS_Backend_Data!BB264="", "", MIS_Backend_Data!BB264)</f>
        <v/>
      </c>
      <c r="S265" t="str">
        <f>IF(MIS_Backend_Data!AW264="", "", MIS_Backend_Data!AW264)</f>
        <v/>
      </c>
      <c r="T265" s="42" t="str">
        <f>IF(MIS_Backend_Data!N264="Dispatch","Completed","NA")</f>
        <v>NA</v>
      </c>
      <c r="U265" t="str">
        <f t="shared" si="12"/>
        <v/>
      </c>
      <c r="V265" t="str">
        <f t="shared" si="13"/>
        <v/>
      </c>
      <c r="W265" s="20" t="str">
        <f t="shared" si="14"/>
        <v/>
      </c>
    </row>
    <row r="266" spans="2:23" ht="14.5">
      <c r="B266" s="205"/>
      <c r="C266" s="17"/>
      <c r="D266" s="17"/>
      <c r="E266" s="19"/>
      <c r="F266" s="19" t="str">
        <f>IF(MIS_Backend_Data!O265="", "", MIS_Backend_Data!O265)</f>
        <v/>
      </c>
      <c r="G266" t="str">
        <f>IF(MIS_Backend_Data!T265="", "", MIS_Backend_Data!T265)</f>
        <v/>
      </c>
      <c r="H266" t="str">
        <f>IF(MIS_Backend_Data!X265="", "", MIS_Backend_Data!X265)</f>
        <v/>
      </c>
      <c r="I266" t="str">
        <f>IF(MIS_Backend_Data!AC265="", "", MIS_Backend_Data!AC265)</f>
        <v/>
      </c>
      <c r="J266" t="str">
        <f>IF(MIS_Backend_Data!AB265="", "", MIS_Backend_Data!AB265)</f>
        <v/>
      </c>
      <c r="K266" t="str">
        <f>IF(MIS_Backend_Data!AG265="", "", MIS_Backend_Data!AG265)</f>
        <v/>
      </c>
      <c r="L266" s="20" t="str">
        <f>IF(MIS_Backend_Data!AI265="", "", MIS_Backend_Data!AI265)</f>
        <v/>
      </c>
      <c r="M266" t="str">
        <f>IF(MIS_Backend_Data!AK265="", "", MIS_Backend_Data!AK265)</f>
        <v/>
      </c>
      <c r="N266" t="str">
        <f>IF(MIS_Backend_Data!AM265="", "", MIS_Backend_Data!AM265)</f>
        <v/>
      </c>
      <c r="O266" t="str">
        <f>IF(MIS_Backend_Data!AO265="", "", MIS_Backend_Data!AO265)</f>
        <v/>
      </c>
      <c r="P266" t="str">
        <f>IF(MIS_Backend_Data!AS265="", "", MIS_Backend_Data!AS265)</f>
        <v/>
      </c>
      <c r="Q266" t="str">
        <f>IF(MIS_Backend_Data!AX265="", "", MIS_Backend_Data!AX265)</f>
        <v/>
      </c>
      <c r="R266" t="str">
        <f>IF(MIS_Backend_Data!BB265="", "", MIS_Backend_Data!BB265)</f>
        <v/>
      </c>
      <c r="S266" t="str">
        <f>IF(MIS_Backend_Data!AW265="", "", MIS_Backend_Data!AW265)</f>
        <v/>
      </c>
      <c r="T266" s="42" t="str">
        <f>IF(MIS_Backend_Data!N265="Dispatch","Completed","NA")</f>
        <v>NA</v>
      </c>
      <c r="U266" t="str">
        <f t="shared" si="12"/>
        <v/>
      </c>
      <c r="V266" t="str">
        <f t="shared" si="13"/>
        <v/>
      </c>
      <c r="W266" s="20" t="str">
        <f t="shared" si="14"/>
        <v/>
      </c>
    </row>
    <row r="267" spans="2:23" ht="14.5">
      <c r="B267" s="205"/>
      <c r="C267" s="17"/>
      <c r="D267" s="17"/>
      <c r="E267" s="19"/>
      <c r="F267" s="19" t="str">
        <f>IF(MIS_Backend_Data!O266="", "", MIS_Backend_Data!O266)</f>
        <v/>
      </c>
      <c r="G267" t="str">
        <f>IF(MIS_Backend_Data!T266="", "", MIS_Backend_Data!T266)</f>
        <v/>
      </c>
      <c r="H267" t="str">
        <f>IF(MIS_Backend_Data!X266="", "", MIS_Backend_Data!X266)</f>
        <v/>
      </c>
      <c r="I267" t="str">
        <f>IF(MIS_Backend_Data!AC266="", "", MIS_Backend_Data!AC266)</f>
        <v/>
      </c>
      <c r="J267" t="str">
        <f>IF(MIS_Backend_Data!AB266="", "", MIS_Backend_Data!AB266)</f>
        <v/>
      </c>
      <c r="K267" t="str">
        <f>IF(MIS_Backend_Data!AG266="", "", MIS_Backend_Data!AG266)</f>
        <v/>
      </c>
      <c r="L267" s="20" t="str">
        <f>IF(MIS_Backend_Data!AI266="", "", MIS_Backend_Data!AI266)</f>
        <v/>
      </c>
      <c r="M267" t="str">
        <f>IF(MIS_Backend_Data!AK266="", "", MIS_Backend_Data!AK266)</f>
        <v/>
      </c>
      <c r="N267" t="str">
        <f>IF(MIS_Backend_Data!AM266="", "", MIS_Backend_Data!AM266)</f>
        <v/>
      </c>
      <c r="O267" t="str">
        <f>IF(MIS_Backend_Data!AO266="", "", MIS_Backend_Data!AO266)</f>
        <v/>
      </c>
      <c r="P267" t="str">
        <f>IF(MIS_Backend_Data!AS266="", "", MIS_Backend_Data!AS266)</f>
        <v/>
      </c>
      <c r="Q267" t="str">
        <f>IF(MIS_Backend_Data!AX266="", "", MIS_Backend_Data!AX266)</f>
        <v/>
      </c>
      <c r="R267" t="str">
        <f>IF(MIS_Backend_Data!BB266="", "", MIS_Backend_Data!BB266)</f>
        <v/>
      </c>
      <c r="S267" t="str">
        <f>IF(MIS_Backend_Data!AW266="", "", MIS_Backend_Data!AW266)</f>
        <v/>
      </c>
      <c r="T267" s="42" t="str">
        <f>IF(MIS_Backend_Data!N266="Dispatch","Completed","NA")</f>
        <v>NA</v>
      </c>
      <c r="U267" t="str">
        <f t="shared" si="12"/>
        <v/>
      </c>
      <c r="V267" t="str">
        <f t="shared" si="13"/>
        <v/>
      </c>
      <c r="W267" s="20" t="str">
        <f t="shared" si="14"/>
        <v/>
      </c>
    </row>
    <row r="268" spans="2:23" ht="14.5">
      <c r="B268" s="205"/>
      <c r="C268" s="17"/>
      <c r="D268" s="17"/>
      <c r="E268" s="19"/>
      <c r="F268" s="19" t="str">
        <f>IF(MIS_Backend_Data!O267="", "", MIS_Backend_Data!O267)</f>
        <v/>
      </c>
      <c r="G268" t="str">
        <f>IF(MIS_Backend_Data!T267="", "", MIS_Backend_Data!T267)</f>
        <v/>
      </c>
      <c r="H268" t="str">
        <f>IF(MIS_Backend_Data!X267="", "", MIS_Backend_Data!X267)</f>
        <v/>
      </c>
      <c r="I268" t="str">
        <f>IF(MIS_Backend_Data!AC267="", "", MIS_Backend_Data!AC267)</f>
        <v/>
      </c>
      <c r="J268" t="str">
        <f>IF(MIS_Backend_Data!AB267="", "", MIS_Backend_Data!AB267)</f>
        <v/>
      </c>
      <c r="K268" t="str">
        <f>IF(MIS_Backend_Data!AG267="", "", MIS_Backend_Data!AG267)</f>
        <v/>
      </c>
      <c r="L268" s="20" t="str">
        <f>IF(MIS_Backend_Data!AI267="", "", MIS_Backend_Data!AI267)</f>
        <v/>
      </c>
      <c r="M268" t="str">
        <f>IF(MIS_Backend_Data!AK267="", "", MIS_Backend_Data!AK267)</f>
        <v/>
      </c>
      <c r="N268" t="str">
        <f>IF(MIS_Backend_Data!AM267="", "", MIS_Backend_Data!AM267)</f>
        <v/>
      </c>
      <c r="O268" t="str">
        <f>IF(MIS_Backend_Data!AO267="", "", MIS_Backend_Data!AO267)</f>
        <v/>
      </c>
      <c r="P268" t="str">
        <f>IF(MIS_Backend_Data!AS267="", "", MIS_Backend_Data!AS267)</f>
        <v/>
      </c>
      <c r="Q268" t="str">
        <f>IF(MIS_Backend_Data!AX267="", "", MIS_Backend_Data!AX267)</f>
        <v/>
      </c>
      <c r="R268" t="str">
        <f>IF(MIS_Backend_Data!BB267="", "", MIS_Backend_Data!BB267)</f>
        <v/>
      </c>
      <c r="S268" t="str">
        <f>IF(MIS_Backend_Data!AW267="", "", MIS_Backend_Data!AW267)</f>
        <v/>
      </c>
      <c r="T268" s="42" t="str">
        <f>IF(MIS_Backend_Data!N267="Dispatch","Completed","NA")</f>
        <v>NA</v>
      </c>
      <c r="U268" t="str">
        <f t="shared" si="12"/>
        <v/>
      </c>
      <c r="V268" t="str">
        <f t="shared" si="13"/>
        <v/>
      </c>
      <c r="W268" s="20" t="str">
        <f t="shared" si="14"/>
        <v/>
      </c>
    </row>
    <row r="269" spans="2:23" ht="14.5">
      <c r="B269" s="205"/>
      <c r="C269" s="17"/>
      <c r="D269" s="17"/>
      <c r="E269" s="19"/>
      <c r="F269" s="19" t="str">
        <f>IF(MIS_Backend_Data!O268="", "", MIS_Backend_Data!O268)</f>
        <v/>
      </c>
      <c r="G269" t="str">
        <f>IF(MIS_Backend_Data!T268="", "", MIS_Backend_Data!T268)</f>
        <v/>
      </c>
      <c r="H269" t="str">
        <f>IF(MIS_Backend_Data!X268="", "", MIS_Backend_Data!X268)</f>
        <v/>
      </c>
      <c r="I269" t="str">
        <f>IF(MIS_Backend_Data!AC268="", "", MIS_Backend_Data!AC268)</f>
        <v/>
      </c>
      <c r="J269" t="str">
        <f>IF(MIS_Backend_Data!AB268="", "", MIS_Backend_Data!AB268)</f>
        <v/>
      </c>
      <c r="K269" t="str">
        <f>IF(MIS_Backend_Data!AG268="", "", MIS_Backend_Data!AG268)</f>
        <v/>
      </c>
      <c r="L269" s="20" t="str">
        <f>IF(MIS_Backend_Data!AI268="", "", MIS_Backend_Data!AI268)</f>
        <v/>
      </c>
      <c r="M269" t="str">
        <f>IF(MIS_Backend_Data!AK268="", "", MIS_Backend_Data!AK268)</f>
        <v/>
      </c>
      <c r="N269" t="str">
        <f>IF(MIS_Backend_Data!AM268="", "", MIS_Backend_Data!AM268)</f>
        <v/>
      </c>
      <c r="O269" t="str">
        <f>IF(MIS_Backend_Data!AO268="", "", MIS_Backend_Data!AO268)</f>
        <v/>
      </c>
      <c r="P269" t="str">
        <f>IF(MIS_Backend_Data!AS268="", "", MIS_Backend_Data!AS268)</f>
        <v/>
      </c>
      <c r="Q269" t="str">
        <f>IF(MIS_Backend_Data!AX268="", "", MIS_Backend_Data!AX268)</f>
        <v/>
      </c>
      <c r="R269" t="str">
        <f>IF(MIS_Backend_Data!BB268="", "", MIS_Backend_Data!BB268)</f>
        <v/>
      </c>
      <c r="S269" t="str">
        <f>IF(MIS_Backend_Data!AW268="", "", MIS_Backend_Data!AW268)</f>
        <v/>
      </c>
      <c r="T269" s="42" t="str">
        <f>IF(MIS_Backend_Data!N268="Dispatch","Completed","NA")</f>
        <v>NA</v>
      </c>
      <c r="U269" t="str">
        <f t="shared" si="12"/>
        <v/>
      </c>
      <c r="V269" t="str">
        <f t="shared" si="13"/>
        <v/>
      </c>
      <c r="W269" s="20" t="str">
        <f t="shared" si="14"/>
        <v/>
      </c>
    </row>
    <row r="270" spans="2:23" ht="14.5">
      <c r="B270" s="205"/>
      <c r="C270" s="17"/>
      <c r="D270" s="17"/>
      <c r="E270" s="19"/>
      <c r="F270" s="19" t="str">
        <f>IF(MIS_Backend_Data!O269="", "", MIS_Backend_Data!O269)</f>
        <v/>
      </c>
      <c r="G270" t="str">
        <f>IF(MIS_Backend_Data!T269="", "", MIS_Backend_Data!T269)</f>
        <v/>
      </c>
      <c r="H270" t="str">
        <f>IF(MIS_Backend_Data!X269="", "", MIS_Backend_Data!X269)</f>
        <v/>
      </c>
      <c r="I270" t="str">
        <f>IF(MIS_Backend_Data!AC269="", "", MIS_Backend_Data!AC269)</f>
        <v/>
      </c>
      <c r="J270" t="str">
        <f>IF(MIS_Backend_Data!AB269="", "", MIS_Backend_Data!AB269)</f>
        <v/>
      </c>
      <c r="K270" t="str">
        <f>IF(MIS_Backend_Data!AG269="", "", MIS_Backend_Data!AG269)</f>
        <v/>
      </c>
      <c r="L270" s="20" t="str">
        <f>IF(MIS_Backend_Data!AI269="", "", MIS_Backend_Data!AI269)</f>
        <v/>
      </c>
      <c r="M270" t="str">
        <f>IF(MIS_Backend_Data!AK269="", "", MIS_Backend_Data!AK269)</f>
        <v/>
      </c>
      <c r="N270" t="str">
        <f>IF(MIS_Backend_Data!AM269="", "", MIS_Backend_Data!AM269)</f>
        <v/>
      </c>
      <c r="O270" t="str">
        <f>IF(MIS_Backend_Data!AO269="", "", MIS_Backend_Data!AO269)</f>
        <v/>
      </c>
      <c r="P270" t="str">
        <f>IF(MIS_Backend_Data!AS269="", "", MIS_Backend_Data!AS269)</f>
        <v/>
      </c>
      <c r="Q270" t="str">
        <f>IF(MIS_Backend_Data!AX269="", "", MIS_Backend_Data!AX269)</f>
        <v/>
      </c>
      <c r="R270" t="str">
        <f>IF(MIS_Backend_Data!BB269="", "", MIS_Backend_Data!BB269)</f>
        <v/>
      </c>
      <c r="S270" t="str">
        <f>IF(MIS_Backend_Data!AW269="", "", MIS_Backend_Data!AW269)</f>
        <v/>
      </c>
      <c r="T270" s="42" t="str">
        <f>IF(MIS_Backend_Data!N269="Dispatch","Completed","NA")</f>
        <v>NA</v>
      </c>
      <c r="U270" t="str">
        <f t="shared" si="12"/>
        <v/>
      </c>
      <c r="V270" t="str">
        <f t="shared" si="13"/>
        <v/>
      </c>
      <c r="W270" s="20" t="str">
        <f t="shared" si="14"/>
        <v/>
      </c>
    </row>
    <row r="271" spans="2:23" ht="14.5">
      <c r="B271" s="205"/>
      <c r="C271" s="17"/>
      <c r="D271" s="17"/>
      <c r="E271" s="19"/>
      <c r="F271" s="19" t="str">
        <f>IF(MIS_Backend_Data!O270="", "", MIS_Backend_Data!O270)</f>
        <v/>
      </c>
      <c r="G271" t="str">
        <f>IF(MIS_Backend_Data!T270="", "", MIS_Backend_Data!T270)</f>
        <v/>
      </c>
      <c r="H271" t="str">
        <f>IF(MIS_Backend_Data!X270="", "", MIS_Backend_Data!X270)</f>
        <v/>
      </c>
      <c r="I271" t="str">
        <f>IF(MIS_Backend_Data!AC270="", "", MIS_Backend_Data!AC270)</f>
        <v/>
      </c>
      <c r="J271" t="str">
        <f>IF(MIS_Backend_Data!AB270="", "", MIS_Backend_Data!AB270)</f>
        <v/>
      </c>
      <c r="K271" t="str">
        <f>IF(MIS_Backend_Data!AG270="", "", MIS_Backend_Data!AG270)</f>
        <v/>
      </c>
      <c r="L271" s="20" t="str">
        <f>IF(MIS_Backend_Data!AI270="", "", MIS_Backend_Data!AI270)</f>
        <v/>
      </c>
      <c r="M271" t="str">
        <f>IF(MIS_Backend_Data!AK270="", "", MIS_Backend_Data!AK270)</f>
        <v/>
      </c>
      <c r="N271" t="str">
        <f>IF(MIS_Backend_Data!AM270="", "", MIS_Backend_Data!AM270)</f>
        <v/>
      </c>
      <c r="O271" t="str">
        <f>IF(MIS_Backend_Data!AO270="", "", MIS_Backend_Data!AO270)</f>
        <v/>
      </c>
      <c r="P271" t="str">
        <f>IF(MIS_Backend_Data!AS270="", "", MIS_Backend_Data!AS270)</f>
        <v/>
      </c>
      <c r="Q271" t="str">
        <f>IF(MIS_Backend_Data!AX270="", "", MIS_Backend_Data!AX270)</f>
        <v/>
      </c>
      <c r="R271" t="str">
        <f>IF(MIS_Backend_Data!BB270="", "", MIS_Backend_Data!BB270)</f>
        <v/>
      </c>
      <c r="S271" t="str">
        <f>IF(MIS_Backend_Data!AW270="", "", MIS_Backend_Data!AW270)</f>
        <v/>
      </c>
      <c r="T271" s="42" t="str">
        <f>IF(MIS_Backend_Data!N270="Dispatch","Completed","NA")</f>
        <v>NA</v>
      </c>
      <c r="U271" t="str">
        <f t="shared" si="12"/>
        <v/>
      </c>
      <c r="V271" t="str">
        <f t="shared" si="13"/>
        <v/>
      </c>
      <c r="W271" s="20" t="str">
        <f t="shared" si="14"/>
        <v/>
      </c>
    </row>
    <row r="272" spans="2:23" ht="14.5">
      <c r="B272" s="205"/>
      <c r="C272" s="17"/>
      <c r="D272" s="17"/>
      <c r="E272" s="19"/>
      <c r="F272" s="19" t="str">
        <f>IF(MIS_Backend_Data!O271="", "", MIS_Backend_Data!O271)</f>
        <v/>
      </c>
      <c r="G272" t="str">
        <f>IF(MIS_Backend_Data!T271="", "", MIS_Backend_Data!T271)</f>
        <v/>
      </c>
      <c r="H272" t="str">
        <f>IF(MIS_Backend_Data!X271="", "", MIS_Backend_Data!X271)</f>
        <v/>
      </c>
      <c r="I272" t="str">
        <f>IF(MIS_Backend_Data!AC271="", "", MIS_Backend_Data!AC271)</f>
        <v/>
      </c>
      <c r="J272" t="str">
        <f>IF(MIS_Backend_Data!AB271="", "", MIS_Backend_Data!AB271)</f>
        <v/>
      </c>
      <c r="K272" t="str">
        <f>IF(MIS_Backend_Data!AG271="", "", MIS_Backend_Data!AG271)</f>
        <v/>
      </c>
      <c r="L272" s="20" t="str">
        <f>IF(MIS_Backend_Data!AI271="", "", MIS_Backend_Data!AI271)</f>
        <v/>
      </c>
      <c r="M272" t="str">
        <f>IF(MIS_Backend_Data!AK271="", "", MIS_Backend_Data!AK271)</f>
        <v/>
      </c>
      <c r="N272" t="str">
        <f>IF(MIS_Backend_Data!AM271="", "", MIS_Backend_Data!AM271)</f>
        <v/>
      </c>
      <c r="O272" t="str">
        <f>IF(MIS_Backend_Data!AO271="", "", MIS_Backend_Data!AO271)</f>
        <v/>
      </c>
      <c r="P272" t="str">
        <f>IF(MIS_Backend_Data!AS271="", "", MIS_Backend_Data!AS271)</f>
        <v/>
      </c>
      <c r="Q272" t="str">
        <f>IF(MIS_Backend_Data!AX271="", "", MIS_Backend_Data!AX271)</f>
        <v/>
      </c>
      <c r="R272" t="str">
        <f>IF(MIS_Backend_Data!BB271="", "", MIS_Backend_Data!BB271)</f>
        <v/>
      </c>
      <c r="S272" t="str">
        <f>IF(MIS_Backend_Data!AW271="", "", MIS_Backend_Data!AW271)</f>
        <v/>
      </c>
      <c r="T272" s="42" t="str">
        <f>IF(MIS_Backend_Data!N271="Dispatch","Completed","NA")</f>
        <v>NA</v>
      </c>
      <c r="U272" t="str">
        <f t="shared" si="12"/>
        <v/>
      </c>
      <c r="V272" t="str">
        <f t="shared" si="13"/>
        <v/>
      </c>
      <c r="W272" s="20" t="str">
        <f t="shared" si="14"/>
        <v/>
      </c>
    </row>
    <row r="273" spans="2:23" ht="14.5">
      <c r="B273" s="205"/>
      <c r="C273" s="17"/>
      <c r="D273" s="17"/>
      <c r="E273" s="19"/>
      <c r="F273" s="19" t="str">
        <f>IF(MIS_Backend_Data!O272="", "", MIS_Backend_Data!O272)</f>
        <v/>
      </c>
      <c r="G273" t="str">
        <f>IF(MIS_Backend_Data!T272="", "", MIS_Backend_Data!T272)</f>
        <v/>
      </c>
      <c r="H273" t="str">
        <f>IF(MIS_Backend_Data!X272="", "", MIS_Backend_Data!X272)</f>
        <v/>
      </c>
      <c r="I273" t="str">
        <f>IF(MIS_Backend_Data!AC272="", "", MIS_Backend_Data!AC272)</f>
        <v/>
      </c>
      <c r="J273" t="str">
        <f>IF(MIS_Backend_Data!AB272="", "", MIS_Backend_Data!AB272)</f>
        <v/>
      </c>
      <c r="K273" t="str">
        <f>IF(MIS_Backend_Data!AG272="", "", MIS_Backend_Data!AG272)</f>
        <v/>
      </c>
      <c r="L273" s="20" t="str">
        <f>IF(MIS_Backend_Data!AI272="", "", MIS_Backend_Data!AI272)</f>
        <v/>
      </c>
      <c r="M273" t="str">
        <f>IF(MIS_Backend_Data!AK272="", "", MIS_Backend_Data!AK272)</f>
        <v/>
      </c>
      <c r="N273" t="str">
        <f>IF(MIS_Backend_Data!AM272="", "", MIS_Backend_Data!AM272)</f>
        <v/>
      </c>
      <c r="O273" t="str">
        <f>IF(MIS_Backend_Data!AO272="", "", MIS_Backend_Data!AO272)</f>
        <v/>
      </c>
      <c r="P273" t="str">
        <f>IF(MIS_Backend_Data!AS272="", "", MIS_Backend_Data!AS272)</f>
        <v/>
      </c>
      <c r="Q273" t="str">
        <f>IF(MIS_Backend_Data!AX272="", "", MIS_Backend_Data!AX272)</f>
        <v/>
      </c>
      <c r="R273" t="str">
        <f>IF(MIS_Backend_Data!BB272="", "", MIS_Backend_Data!BB272)</f>
        <v/>
      </c>
      <c r="S273" t="str">
        <f>IF(MIS_Backend_Data!AW272="", "", MIS_Backend_Data!AW272)</f>
        <v/>
      </c>
      <c r="T273" s="42" t="str">
        <f>IF(MIS_Backend_Data!N272="Dispatch","Completed","NA")</f>
        <v>NA</v>
      </c>
      <c r="U273" t="str">
        <f t="shared" si="12"/>
        <v/>
      </c>
      <c r="V273" t="str">
        <f t="shared" si="13"/>
        <v/>
      </c>
      <c r="W273" s="20" t="str">
        <f t="shared" si="14"/>
        <v/>
      </c>
    </row>
    <row r="274" spans="2:23" ht="14.5">
      <c r="B274" s="205"/>
      <c r="C274" s="17"/>
      <c r="D274" s="17"/>
      <c r="E274" s="19"/>
      <c r="F274" s="19" t="str">
        <f>IF(MIS_Backend_Data!O273="", "", MIS_Backend_Data!O273)</f>
        <v/>
      </c>
      <c r="G274" t="str">
        <f>IF(MIS_Backend_Data!T273="", "", MIS_Backend_Data!T273)</f>
        <v/>
      </c>
      <c r="H274" t="str">
        <f>IF(MIS_Backend_Data!X273="", "", MIS_Backend_Data!X273)</f>
        <v/>
      </c>
      <c r="I274" t="str">
        <f>IF(MIS_Backend_Data!AC273="", "", MIS_Backend_Data!AC273)</f>
        <v/>
      </c>
      <c r="J274" t="str">
        <f>IF(MIS_Backend_Data!AB273="", "", MIS_Backend_Data!AB273)</f>
        <v/>
      </c>
      <c r="K274" t="str">
        <f>IF(MIS_Backend_Data!AG273="", "", MIS_Backend_Data!AG273)</f>
        <v/>
      </c>
      <c r="L274" s="20" t="str">
        <f>IF(MIS_Backend_Data!AI273="", "", MIS_Backend_Data!AI273)</f>
        <v/>
      </c>
      <c r="M274" t="str">
        <f>IF(MIS_Backend_Data!AK273="", "", MIS_Backend_Data!AK273)</f>
        <v/>
      </c>
      <c r="N274" t="str">
        <f>IF(MIS_Backend_Data!AM273="", "", MIS_Backend_Data!AM273)</f>
        <v/>
      </c>
      <c r="O274" t="str">
        <f>IF(MIS_Backend_Data!AO273="", "", MIS_Backend_Data!AO273)</f>
        <v/>
      </c>
      <c r="P274" t="str">
        <f>IF(MIS_Backend_Data!AS273="", "", MIS_Backend_Data!AS273)</f>
        <v/>
      </c>
      <c r="Q274" t="str">
        <f>IF(MIS_Backend_Data!AX273="", "", MIS_Backend_Data!AX273)</f>
        <v/>
      </c>
      <c r="R274" t="str">
        <f>IF(MIS_Backend_Data!BB273="", "", MIS_Backend_Data!BB273)</f>
        <v/>
      </c>
      <c r="S274" t="str">
        <f>IF(MIS_Backend_Data!AW273="", "", MIS_Backend_Data!AW273)</f>
        <v/>
      </c>
      <c r="T274" s="42" t="str">
        <f>IF(MIS_Backend_Data!N273="Dispatch","Completed","NA")</f>
        <v>NA</v>
      </c>
      <c r="U274" t="str">
        <f t="shared" si="12"/>
        <v/>
      </c>
      <c r="V274" t="str">
        <f t="shared" si="13"/>
        <v/>
      </c>
      <c r="W274" s="20" t="str">
        <f t="shared" si="14"/>
        <v/>
      </c>
    </row>
    <row r="275" spans="2:23" ht="14.5">
      <c r="B275" s="205"/>
      <c r="C275" s="17"/>
      <c r="D275" s="17"/>
      <c r="E275" s="19"/>
      <c r="F275" s="19" t="str">
        <f>IF(MIS_Backend_Data!O274="", "", MIS_Backend_Data!O274)</f>
        <v/>
      </c>
      <c r="G275" t="str">
        <f>IF(MIS_Backend_Data!T274="", "", MIS_Backend_Data!T274)</f>
        <v/>
      </c>
      <c r="H275" t="str">
        <f>IF(MIS_Backend_Data!X274="", "", MIS_Backend_Data!X274)</f>
        <v/>
      </c>
      <c r="I275" t="str">
        <f>IF(MIS_Backend_Data!AC274="", "", MIS_Backend_Data!AC274)</f>
        <v/>
      </c>
      <c r="J275" t="str">
        <f>IF(MIS_Backend_Data!AB274="", "", MIS_Backend_Data!AB274)</f>
        <v/>
      </c>
      <c r="K275" t="str">
        <f>IF(MIS_Backend_Data!AG274="", "", MIS_Backend_Data!AG274)</f>
        <v/>
      </c>
      <c r="L275" s="20" t="str">
        <f>IF(MIS_Backend_Data!AI274="", "", MIS_Backend_Data!AI274)</f>
        <v/>
      </c>
      <c r="M275" t="str">
        <f>IF(MIS_Backend_Data!AK274="", "", MIS_Backend_Data!AK274)</f>
        <v/>
      </c>
      <c r="N275" t="str">
        <f>IF(MIS_Backend_Data!AM274="", "", MIS_Backend_Data!AM274)</f>
        <v/>
      </c>
      <c r="O275" t="str">
        <f>IF(MIS_Backend_Data!AO274="", "", MIS_Backend_Data!AO274)</f>
        <v/>
      </c>
      <c r="P275" t="str">
        <f>IF(MIS_Backend_Data!AS274="", "", MIS_Backend_Data!AS274)</f>
        <v/>
      </c>
      <c r="Q275" t="str">
        <f>IF(MIS_Backend_Data!AX274="", "", MIS_Backend_Data!AX274)</f>
        <v/>
      </c>
      <c r="R275" t="str">
        <f>IF(MIS_Backend_Data!BB274="", "", MIS_Backend_Data!BB274)</f>
        <v/>
      </c>
      <c r="S275" t="str">
        <f>IF(MIS_Backend_Data!AW274="", "", MIS_Backend_Data!AW274)</f>
        <v/>
      </c>
      <c r="T275" s="42" t="str">
        <f>IF(MIS_Backend_Data!N274="Dispatch","Completed","NA")</f>
        <v>NA</v>
      </c>
      <c r="U275" t="str">
        <f t="shared" si="12"/>
        <v/>
      </c>
      <c r="V275" t="str">
        <f t="shared" si="13"/>
        <v/>
      </c>
      <c r="W275" s="20" t="str">
        <f t="shared" si="14"/>
        <v/>
      </c>
    </row>
    <row r="276" spans="2:23" ht="14.5">
      <c r="B276" s="205"/>
      <c r="C276" s="17"/>
      <c r="D276" s="17"/>
      <c r="E276" s="19"/>
      <c r="F276" s="19" t="str">
        <f>IF(MIS_Backend_Data!O275="", "", MIS_Backend_Data!O275)</f>
        <v/>
      </c>
      <c r="G276" t="str">
        <f>IF(MIS_Backend_Data!T275="", "", MIS_Backend_Data!T275)</f>
        <v/>
      </c>
      <c r="H276" t="str">
        <f>IF(MIS_Backend_Data!X275="", "", MIS_Backend_Data!X275)</f>
        <v/>
      </c>
      <c r="I276" t="str">
        <f>IF(MIS_Backend_Data!AC275="", "", MIS_Backend_Data!AC275)</f>
        <v/>
      </c>
      <c r="J276" t="str">
        <f>IF(MIS_Backend_Data!AB275="", "", MIS_Backend_Data!AB275)</f>
        <v/>
      </c>
      <c r="K276" t="str">
        <f>IF(MIS_Backend_Data!AG275="", "", MIS_Backend_Data!AG275)</f>
        <v/>
      </c>
      <c r="L276" s="20" t="str">
        <f>IF(MIS_Backend_Data!AI275="", "", MIS_Backend_Data!AI275)</f>
        <v/>
      </c>
      <c r="M276" t="str">
        <f>IF(MIS_Backend_Data!AK275="", "", MIS_Backend_Data!AK275)</f>
        <v/>
      </c>
      <c r="N276" t="str">
        <f>IF(MIS_Backend_Data!AM275="", "", MIS_Backend_Data!AM275)</f>
        <v/>
      </c>
      <c r="O276" t="str">
        <f>IF(MIS_Backend_Data!AO275="", "", MIS_Backend_Data!AO275)</f>
        <v/>
      </c>
      <c r="P276" t="str">
        <f>IF(MIS_Backend_Data!AS275="", "", MIS_Backend_Data!AS275)</f>
        <v/>
      </c>
      <c r="Q276" t="str">
        <f>IF(MIS_Backend_Data!AX275="", "", MIS_Backend_Data!AX275)</f>
        <v/>
      </c>
      <c r="R276" t="str">
        <f>IF(MIS_Backend_Data!BB275="", "", MIS_Backend_Data!BB275)</f>
        <v/>
      </c>
      <c r="S276" t="str">
        <f>IF(MIS_Backend_Data!AW275="", "", MIS_Backend_Data!AW275)</f>
        <v/>
      </c>
      <c r="T276" s="42" t="str">
        <f>IF(MIS_Backend_Data!N275="Dispatch","Completed","NA")</f>
        <v>NA</v>
      </c>
      <c r="U276" t="str">
        <f t="shared" si="12"/>
        <v/>
      </c>
      <c r="V276" t="str">
        <f t="shared" si="13"/>
        <v/>
      </c>
      <c r="W276" s="20" t="str">
        <f t="shared" si="14"/>
        <v/>
      </c>
    </row>
    <row r="277" spans="2:23" ht="14.5">
      <c r="B277" s="205"/>
      <c r="C277" s="17"/>
      <c r="D277" s="17"/>
      <c r="E277" s="19"/>
      <c r="F277" s="19" t="str">
        <f>IF(MIS_Backend_Data!O276="", "", MIS_Backend_Data!O276)</f>
        <v/>
      </c>
      <c r="G277" t="str">
        <f>IF(MIS_Backend_Data!T276="", "", MIS_Backend_Data!T276)</f>
        <v/>
      </c>
      <c r="H277" t="str">
        <f>IF(MIS_Backend_Data!X276="", "", MIS_Backend_Data!X276)</f>
        <v/>
      </c>
      <c r="I277" t="str">
        <f>IF(MIS_Backend_Data!AC276="", "", MIS_Backend_Data!AC276)</f>
        <v/>
      </c>
      <c r="J277" t="str">
        <f>IF(MIS_Backend_Data!AB276="", "", MIS_Backend_Data!AB276)</f>
        <v/>
      </c>
      <c r="K277" t="str">
        <f>IF(MIS_Backend_Data!AG276="", "", MIS_Backend_Data!AG276)</f>
        <v/>
      </c>
      <c r="L277" s="20" t="str">
        <f>IF(MIS_Backend_Data!AI276="", "", MIS_Backend_Data!AI276)</f>
        <v/>
      </c>
      <c r="M277" t="str">
        <f>IF(MIS_Backend_Data!AK276="", "", MIS_Backend_Data!AK276)</f>
        <v/>
      </c>
      <c r="N277" t="str">
        <f>IF(MIS_Backend_Data!AM276="", "", MIS_Backend_Data!AM276)</f>
        <v/>
      </c>
      <c r="O277" t="str">
        <f>IF(MIS_Backend_Data!AO276="", "", MIS_Backend_Data!AO276)</f>
        <v/>
      </c>
      <c r="P277" t="str">
        <f>IF(MIS_Backend_Data!AS276="", "", MIS_Backend_Data!AS276)</f>
        <v/>
      </c>
      <c r="Q277" t="str">
        <f>IF(MIS_Backend_Data!AX276="", "", MIS_Backend_Data!AX276)</f>
        <v/>
      </c>
      <c r="R277" t="str">
        <f>IF(MIS_Backend_Data!BB276="", "", MIS_Backend_Data!BB276)</f>
        <v/>
      </c>
      <c r="S277" t="str">
        <f>IF(MIS_Backend_Data!AW276="", "", MIS_Backend_Data!AW276)</f>
        <v/>
      </c>
      <c r="T277" s="42" t="str">
        <f>IF(MIS_Backend_Data!N276="Dispatch","Completed","NA")</f>
        <v>NA</v>
      </c>
      <c r="U277" t="str">
        <f t="shared" si="12"/>
        <v/>
      </c>
      <c r="V277" t="str">
        <f t="shared" si="13"/>
        <v/>
      </c>
      <c r="W277" s="20" t="str">
        <f t="shared" si="14"/>
        <v/>
      </c>
    </row>
    <row r="278" spans="2:23" ht="14.5">
      <c r="B278" s="205"/>
      <c r="C278" s="17"/>
      <c r="D278" s="17"/>
      <c r="E278" s="19"/>
      <c r="F278" s="19" t="str">
        <f>IF(MIS_Backend_Data!O277="", "", MIS_Backend_Data!O277)</f>
        <v/>
      </c>
      <c r="G278" t="str">
        <f>IF(MIS_Backend_Data!T277="", "", MIS_Backend_Data!T277)</f>
        <v/>
      </c>
      <c r="H278" t="str">
        <f>IF(MIS_Backend_Data!X277="", "", MIS_Backend_Data!X277)</f>
        <v/>
      </c>
      <c r="I278" t="str">
        <f>IF(MIS_Backend_Data!AC277="", "", MIS_Backend_Data!AC277)</f>
        <v/>
      </c>
      <c r="J278" t="str">
        <f>IF(MIS_Backend_Data!AB277="", "", MIS_Backend_Data!AB277)</f>
        <v/>
      </c>
      <c r="K278" t="str">
        <f>IF(MIS_Backend_Data!AG277="", "", MIS_Backend_Data!AG277)</f>
        <v/>
      </c>
      <c r="L278" s="20" t="str">
        <f>IF(MIS_Backend_Data!AI277="", "", MIS_Backend_Data!AI277)</f>
        <v/>
      </c>
      <c r="M278" t="str">
        <f>IF(MIS_Backend_Data!AK277="", "", MIS_Backend_Data!AK277)</f>
        <v/>
      </c>
      <c r="N278" t="str">
        <f>IF(MIS_Backend_Data!AM277="", "", MIS_Backend_Data!AM277)</f>
        <v/>
      </c>
      <c r="O278" t="str">
        <f>IF(MIS_Backend_Data!AO277="", "", MIS_Backend_Data!AO277)</f>
        <v/>
      </c>
      <c r="P278" t="str">
        <f>IF(MIS_Backend_Data!AS277="", "", MIS_Backend_Data!AS277)</f>
        <v/>
      </c>
      <c r="Q278" t="str">
        <f>IF(MIS_Backend_Data!AX277="", "", MIS_Backend_Data!AX277)</f>
        <v/>
      </c>
      <c r="R278" t="str">
        <f>IF(MIS_Backend_Data!BB277="", "", MIS_Backend_Data!BB277)</f>
        <v/>
      </c>
      <c r="S278" t="str">
        <f>IF(MIS_Backend_Data!AW277="", "", MIS_Backend_Data!AW277)</f>
        <v/>
      </c>
      <c r="T278" s="42" t="str">
        <f>IF(MIS_Backend_Data!N277="Dispatch","Completed","NA")</f>
        <v>NA</v>
      </c>
      <c r="U278" t="str">
        <f t="shared" si="12"/>
        <v/>
      </c>
      <c r="V278" t="str">
        <f t="shared" si="13"/>
        <v/>
      </c>
      <c r="W278" s="20" t="str">
        <f t="shared" si="14"/>
        <v/>
      </c>
    </row>
    <row r="279" spans="2:23" ht="14.5">
      <c r="B279" s="205"/>
      <c r="C279" s="17"/>
      <c r="D279" s="17"/>
      <c r="E279" s="19"/>
      <c r="F279" s="19" t="str">
        <f>IF(MIS_Backend_Data!O278="", "", MIS_Backend_Data!O278)</f>
        <v/>
      </c>
      <c r="G279" t="str">
        <f>IF(MIS_Backend_Data!T278="", "", MIS_Backend_Data!T278)</f>
        <v/>
      </c>
      <c r="H279" t="str">
        <f>IF(MIS_Backend_Data!X278="", "", MIS_Backend_Data!X278)</f>
        <v/>
      </c>
      <c r="I279" t="str">
        <f>IF(MIS_Backend_Data!AC278="", "", MIS_Backend_Data!AC278)</f>
        <v/>
      </c>
      <c r="J279" t="str">
        <f>IF(MIS_Backend_Data!AB278="", "", MIS_Backend_Data!AB278)</f>
        <v/>
      </c>
      <c r="K279" t="str">
        <f>IF(MIS_Backend_Data!AG278="", "", MIS_Backend_Data!AG278)</f>
        <v/>
      </c>
      <c r="L279" s="20" t="str">
        <f>IF(MIS_Backend_Data!AI278="", "", MIS_Backend_Data!AI278)</f>
        <v/>
      </c>
      <c r="M279" t="str">
        <f>IF(MIS_Backend_Data!AK278="", "", MIS_Backend_Data!AK278)</f>
        <v/>
      </c>
      <c r="N279" t="str">
        <f>IF(MIS_Backend_Data!AM278="", "", MIS_Backend_Data!AM278)</f>
        <v/>
      </c>
      <c r="O279" t="str">
        <f>IF(MIS_Backend_Data!AO278="", "", MIS_Backend_Data!AO278)</f>
        <v/>
      </c>
      <c r="P279" t="str">
        <f>IF(MIS_Backend_Data!AS278="", "", MIS_Backend_Data!AS278)</f>
        <v/>
      </c>
      <c r="Q279" t="str">
        <f>IF(MIS_Backend_Data!AX278="", "", MIS_Backend_Data!AX278)</f>
        <v/>
      </c>
      <c r="R279" t="str">
        <f>IF(MIS_Backend_Data!BB278="", "", MIS_Backend_Data!BB278)</f>
        <v/>
      </c>
      <c r="S279" t="str">
        <f>IF(MIS_Backend_Data!AW278="", "", MIS_Backend_Data!AW278)</f>
        <v/>
      </c>
      <c r="T279" s="42" t="str">
        <f>IF(MIS_Backend_Data!N278="Dispatch","Completed","NA")</f>
        <v>NA</v>
      </c>
      <c r="U279" t="str">
        <f t="shared" si="12"/>
        <v/>
      </c>
      <c r="V279" t="str">
        <f t="shared" si="13"/>
        <v/>
      </c>
      <c r="W279" s="20" t="str">
        <f t="shared" si="14"/>
        <v/>
      </c>
    </row>
    <row r="280" spans="2:23" ht="14.5">
      <c r="B280" s="205"/>
      <c r="C280" s="17"/>
      <c r="D280" s="17"/>
      <c r="E280" s="19"/>
      <c r="F280" s="19" t="str">
        <f>IF(MIS_Backend_Data!O279="", "", MIS_Backend_Data!O279)</f>
        <v/>
      </c>
      <c r="G280" t="str">
        <f>IF(MIS_Backend_Data!T279="", "", MIS_Backend_Data!T279)</f>
        <v/>
      </c>
      <c r="H280" t="str">
        <f>IF(MIS_Backend_Data!X279="", "", MIS_Backend_Data!X279)</f>
        <v/>
      </c>
      <c r="I280" t="str">
        <f>IF(MIS_Backend_Data!AC279="", "", MIS_Backend_Data!AC279)</f>
        <v/>
      </c>
      <c r="J280" t="str">
        <f>IF(MIS_Backend_Data!AB279="", "", MIS_Backend_Data!AB279)</f>
        <v/>
      </c>
      <c r="K280" t="str">
        <f>IF(MIS_Backend_Data!AG279="", "", MIS_Backend_Data!AG279)</f>
        <v/>
      </c>
      <c r="L280" s="20" t="str">
        <f>IF(MIS_Backend_Data!AI279="", "", MIS_Backend_Data!AI279)</f>
        <v/>
      </c>
      <c r="M280" t="str">
        <f>IF(MIS_Backend_Data!AK279="", "", MIS_Backend_Data!AK279)</f>
        <v/>
      </c>
      <c r="N280" t="str">
        <f>IF(MIS_Backend_Data!AM279="", "", MIS_Backend_Data!AM279)</f>
        <v/>
      </c>
      <c r="O280" t="str">
        <f>IF(MIS_Backend_Data!AO279="", "", MIS_Backend_Data!AO279)</f>
        <v/>
      </c>
      <c r="P280" t="str">
        <f>IF(MIS_Backend_Data!AS279="", "", MIS_Backend_Data!AS279)</f>
        <v/>
      </c>
      <c r="Q280" t="str">
        <f>IF(MIS_Backend_Data!AX279="", "", MIS_Backend_Data!AX279)</f>
        <v/>
      </c>
      <c r="R280" t="str">
        <f>IF(MIS_Backend_Data!BB279="", "", MIS_Backend_Data!BB279)</f>
        <v/>
      </c>
      <c r="S280" t="str">
        <f>IF(MIS_Backend_Data!AW279="", "", MIS_Backend_Data!AW279)</f>
        <v/>
      </c>
      <c r="T280" s="42" t="str">
        <f>IF(MIS_Backend_Data!N279="Dispatch","Completed","NA")</f>
        <v>NA</v>
      </c>
      <c r="U280" t="str">
        <f t="shared" si="12"/>
        <v/>
      </c>
      <c r="V280" t="str">
        <f t="shared" si="13"/>
        <v/>
      </c>
      <c r="W280" s="20" t="str">
        <f t="shared" si="14"/>
        <v/>
      </c>
    </row>
    <row r="281" spans="2:23" ht="14.5">
      <c r="B281" s="205"/>
      <c r="C281" s="17"/>
      <c r="D281" s="17"/>
      <c r="E281" s="19"/>
      <c r="F281" s="19" t="str">
        <f>IF(MIS_Backend_Data!O280="", "", MIS_Backend_Data!O280)</f>
        <v/>
      </c>
      <c r="G281" t="str">
        <f>IF(MIS_Backend_Data!T280="", "", MIS_Backend_Data!T280)</f>
        <v/>
      </c>
      <c r="H281" t="str">
        <f>IF(MIS_Backend_Data!X280="", "", MIS_Backend_Data!X280)</f>
        <v/>
      </c>
      <c r="I281" t="str">
        <f>IF(MIS_Backend_Data!AC280="", "", MIS_Backend_Data!AC280)</f>
        <v/>
      </c>
      <c r="J281" t="str">
        <f>IF(MIS_Backend_Data!AB280="", "", MIS_Backend_Data!AB280)</f>
        <v/>
      </c>
      <c r="K281" t="str">
        <f>IF(MIS_Backend_Data!AG280="", "", MIS_Backend_Data!AG280)</f>
        <v/>
      </c>
      <c r="L281" s="20" t="str">
        <f>IF(MIS_Backend_Data!AI280="", "", MIS_Backend_Data!AI280)</f>
        <v/>
      </c>
      <c r="M281" t="str">
        <f>IF(MIS_Backend_Data!AK280="", "", MIS_Backend_Data!AK280)</f>
        <v/>
      </c>
      <c r="N281" t="str">
        <f>IF(MIS_Backend_Data!AM280="", "", MIS_Backend_Data!AM280)</f>
        <v/>
      </c>
      <c r="O281" t="str">
        <f>IF(MIS_Backend_Data!AO280="", "", MIS_Backend_Data!AO280)</f>
        <v/>
      </c>
      <c r="P281" t="str">
        <f>IF(MIS_Backend_Data!AS280="", "", MIS_Backend_Data!AS280)</f>
        <v/>
      </c>
      <c r="Q281" t="str">
        <f>IF(MIS_Backend_Data!AX280="", "", MIS_Backend_Data!AX280)</f>
        <v/>
      </c>
      <c r="R281" t="str">
        <f>IF(MIS_Backend_Data!BB280="", "", MIS_Backend_Data!BB280)</f>
        <v/>
      </c>
      <c r="S281" t="str">
        <f>IF(MIS_Backend_Data!AW280="", "", MIS_Backend_Data!AW280)</f>
        <v/>
      </c>
      <c r="T281" s="42" t="str">
        <f>IF(MIS_Backend_Data!N280="Dispatch","Completed","NA")</f>
        <v>NA</v>
      </c>
      <c r="U281" t="str">
        <f t="shared" si="12"/>
        <v/>
      </c>
      <c r="V281" t="str">
        <f t="shared" si="13"/>
        <v/>
      </c>
      <c r="W281" s="20" t="str">
        <f t="shared" si="14"/>
        <v/>
      </c>
    </row>
    <row r="282" spans="2:23" ht="14.5">
      <c r="B282" s="205"/>
      <c r="C282" s="17"/>
      <c r="D282" s="17"/>
      <c r="E282" s="19"/>
      <c r="F282" s="19" t="str">
        <f>IF(MIS_Backend_Data!O281="", "", MIS_Backend_Data!O281)</f>
        <v/>
      </c>
      <c r="G282" t="str">
        <f>IF(MIS_Backend_Data!T281="", "", MIS_Backend_Data!T281)</f>
        <v/>
      </c>
      <c r="H282" t="str">
        <f>IF(MIS_Backend_Data!X281="", "", MIS_Backend_Data!X281)</f>
        <v/>
      </c>
      <c r="I282" t="str">
        <f>IF(MIS_Backend_Data!AC281="", "", MIS_Backend_Data!AC281)</f>
        <v/>
      </c>
      <c r="J282" t="str">
        <f>IF(MIS_Backend_Data!AB281="", "", MIS_Backend_Data!AB281)</f>
        <v/>
      </c>
      <c r="K282" t="str">
        <f>IF(MIS_Backend_Data!AG281="", "", MIS_Backend_Data!AG281)</f>
        <v/>
      </c>
      <c r="L282" s="20" t="str">
        <f>IF(MIS_Backend_Data!AI281="", "", MIS_Backend_Data!AI281)</f>
        <v/>
      </c>
      <c r="M282" t="str">
        <f>IF(MIS_Backend_Data!AK281="", "", MIS_Backend_Data!AK281)</f>
        <v/>
      </c>
      <c r="N282" t="str">
        <f>IF(MIS_Backend_Data!AM281="", "", MIS_Backend_Data!AM281)</f>
        <v/>
      </c>
      <c r="O282" t="str">
        <f>IF(MIS_Backend_Data!AO281="", "", MIS_Backend_Data!AO281)</f>
        <v/>
      </c>
      <c r="P282" t="str">
        <f>IF(MIS_Backend_Data!AS281="", "", MIS_Backend_Data!AS281)</f>
        <v/>
      </c>
      <c r="Q282" t="str">
        <f>IF(MIS_Backend_Data!AX281="", "", MIS_Backend_Data!AX281)</f>
        <v/>
      </c>
      <c r="R282" t="str">
        <f>IF(MIS_Backend_Data!BB281="", "", MIS_Backend_Data!BB281)</f>
        <v/>
      </c>
      <c r="S282" t="str">
        <f>IF(MIS_Backend_Data!AW281="", "", MIS_Backend_Data!AW281)</f>
        <v/>
      </c>
      <c r="T282" s="42" t="str">
        <f>IF(MIS_Backend_Data!N281="Dispatch","Completed","NA")</f>
        <v>NA</v>
      </c>
      <c r="U282" t="str">
        <f t="shared" si="12"/>
        <v/>
      </c>
      <c r="V282" t="str">
        <f t="shared" si="13"/>
        <v/>
      </c>
      <c r="W282" s="20" t="str">
        <f t="shared" si="14"/>
        <v/>
      </c>
    </row>
    <row r="283" spans="2:23" ht="14.5">
      <c r="B283" s="205"/>
      <c r="C283" s="17"/>
      <c r="D283" s="17"/>
      <c r="E283" s="19"/>
      <c r="F283" s="19" t="str">
        <f>IF(MIS_Backend_Data!O282="", "", MIS_Backend_Data!O282)</f>
        <v/>
      </c>
      <c r="G283" t="str">
        <f>IF(MIS_Backend_Data!T282="", "", MIS_Backend_Data!T282)</f>
        <v/>
      </c>
      <c r="H283" t="str">
        <f>IF(MIS_Backend_Data!X282="", "", MIS_Backend_Data!X282)</f>
        <v/>
      </c>
      <c r="I283" t="str">
        <f>IF(MIS_Backend_Data!AC282="", "", MIS_Backend_Data!AC282)</f>
        <v/>
      </c>
      <c r="J283" t="str">
        <f>IF(MIS_Backend_Data!AB282="", "", MIS_Backend_Data!AB282)</f>
        <v/>
      </c>
      <c r="K283" t="str">
        <f>IF(MIS_Backend_Data!AG282="", "", MIS_Backend_Data!AG282)</f>
        <v/>
      </c>
      <c r="L283" s="20" t="str">
        <f>IF(MIS_Backend_Data!AI282="", "", MIS_Backend_Data!AI282)</f>
        <v/>
      </c>
      <c r="M283" t="str">
        <f>IF(MIS_Backend_Data!AK282="", "", MIS_Backend_Data!AK282)</f>
        <v/>
      </c>
      <c r="N283" t="str">
        <f>IF(MIS_Backend_Data!AM282="", "", MIS_Backend_Data!AM282)</f>
        <v/>
      </c>
      <c r="O283" t="str">
        <f>IF(MIS_Backend_Data!AO282="", "", MIS_Backend_Data!AO282)</f>
        <v/>
      </c>
      <c r="P283" t="str">
        <f>IF(MIS_Backend_Data!AS282="", "", MIS_Backend_Data!AS282)</f>
        <v/>
      </c>
      <c r="Q283" t="str">
        <f>IF(MIS_Backend_Data!AX282="", "", MIS_Backend_Data!AX282)</f>
        <v/>
      </c>
      <c r="R283" t="str">
        <f>IF(MIS_Backend_Data!BB282="", "", MIS_Backend_Data!BB282)</f>
        <v/>
      </c>
      <c r="S283" t="str">
        <f>IF(MIS_Backend_Data!AW282="", "", MIS_Backend_Data!AW282)</f>
        <v/>
      </c>
      <c r="T283" s="42" t="str">
        <f>IF(MIS_Backend_Data!N282="Dispatch","Completed","NA")</f>
        <v>NA</v>
      </c>
      <c r="U283" t="str">
        <f t="shared" si="12"/>
        <v/>
      </c>
      <c r="V283" t="str">
        <f t="shared" si="13"/>
        <v/>
      </c>
      <c r="W283" s="20" t="str">
        <f t="shared" si="14"/>
        <v/>
      </c>
    </row>
    <row r="284" spans="2:23" ht="14.5">
      <c r="B284" s="205"/>
      <c r="C284" s="17"/>
      <c r="D284" s="17"/>
      <c r="E284" s="19"/>
      <c r="F284" s="19" t="str">
        <f>IF(MIS_Backend_Data!O283="", "", MIS_Backend_Data!O283)</f>
        <v/>
      </c>
      <c r="G284" t="str">
        <f>IF(MIS_Backend_Data!T283="", "", MIS_Backend_Data!T283)</f>
        <v/>
      </c>
      <c r="H284" t="str">
        <f>IF(MIS_Backend_Data!X283="", "", MIS_Backend_Data!X283)</f>
        <v/>
      </c>
      <c r="I284" t="str">
        <f>IF(MIS_Backend_Data!AC283="", "", MIS_Backend_Data!AC283)</f>
        <v/>
      </c>
      <c r="J284" t="str">
        <f>IF(MIS_Backend_Data!AB283="", "", MIS_Backend_Data!AB283)</f>
        <v/>
      </c>
      <c r="K284" t="str">
        <f>IF(MIS_Backend_Data!AG283="", "", MIS_Backend_Data!AG283)</f>
        <v/>
      </c>
      <c r="L284" s="20" t="str">
        <f>IF(MIS_Backend_Data!AI283="", "", MIS_Backend_Data!AI283)</f>
        <v/>
      </c>
      <c r="M284" t="str">
        <f>IF(MIS_Backend_Data!AK283="", "", MIS_Backend_Data!AK283)</f>
        <v/>
      </c>
      <c r="N284" t="str">
        <f>IF(MIS_Backend_Data!AM283="", "", MIS_Backend_Data!AM283)</f>
        <v/>
      </c>
      <c r="O284" t="str">
        <f>IF(MIS_Backend_Data!AO283="", "", MIS_Backend_Data!AO283)</f>
        <v/>
      </c>
      <c r="P284" t="str">
        <f>IF(MIS_Backend_Data!AS283="", "", MIS_Backend_Data!AS283)</f>
        <v/>
      </c>
      <c r="Q284" t="str">
        <f>IF(MIS_Backend_Data!AX283="", "", MIS_Backend_Data!AX283)</f>
        <v/>
      </c>
      <c r="R284" t="str">
        <f>IF(MIS_Backend_Data!BB283="", "", MIS_Backend_Data!BB283)</f>
        <v/>
      </c>
      <c r="S284" t="str">
        <f>IF(MIS_Backend_Data!AW283="", "", MIS_Backend_Data!AW283)</f>
        <v/>
      </c>
      <c r="T284" s="42" t="str">
        <f>IF(MIS_Backend_Data!N283="Dispatch","Completed","NA")</f>
        <v>NA</v>
      </c>
      <c r="U284" t="str">
        <f t="shared" si="12"/>
        <v/>
      </c>
      <c r="V284" t="str">
        <f t="shared" si="13"/>
        <v/>
      </c>
      <c r="W284" s="20" t="str">
        <f t="shared" si="14"/>
        <v/>
      </c>
    </row>
    <row r="285" spans="2:23" ht="14.5">
      <c r="B285" s="205"/>
      <c r="C285" s="17"/>
      <c r="D285" s="17"/>
      <c r="E285" s="19"/>
      <c r="F285" s="19" t="str">
        <f>IF(MIS_Backend_Data!O284="", "", MIS_Backend_Data!O284)</f>
        <v/>
      </c>
      <c r="G285" t="str">
        <f>IF(MIS_Backend_Data!T284="", "", MIS_Backend_Data!T284)</f>
        <v/>
      </c>
      <c r="H285" t="str">
        <f>IF(MIS_Backend_Data!X284="", "", MIS_Backend_Data!X284)</f>
        <v/>
      </c>
      <c r="I285" t="str">
        <f>IF(MIS_Backend_Data!AC284="", "", MIS_Backend_Data!AC284)</f>
        <v/>
      </c>
      <c r="J285" t="str">
        <f>IF(MIS_Backend_Data!AB284="", "", MIS_Backend_Data!AB284)</f>
        <v/>
      </c>
      <c r="K285" t="str">
        <f>IF(MIS_Backend_Data!AG284="", "", MIS_Backend_Data!AG284)</f>
        <v/>
      </c>
      <c r="L285" s="20" t="str">
        <f>IF(MIS_Backend_Data!AI284="", "", MIS_Backend_Data!AI284)</f>
        <v/>
      </c>
      <c r="M285" t="str">
        <f>IF(MIS_Backend_Data!AK284="", "", MIS_Backend_Data!AK284)</f>
        <v/>
      </c>
      <c r="N285" t="str">
        <f>IF(MIS_Backend_Data!AM284="", "", MIS_Backend_Data!AM284)</f>
        <v/>
      </c>
      <c r="O285" t="str">
        <f>IF(MIS_Backend_Data!AO284="", "", MIS_Backend_Data!AO284)</f>
        <v/>
      </c>
      <c r="P285" t="str">
        <f>IF(MIS_Backend_Data!AS284="", "", MIS_Backend_Data!AS284)</f>
        <v/>
      </c>
      <c r="Q285" t="str">
        <f>IF(MIS_Backend_Data!AX284="", "", MIS_Backend_Data!AX284)</f>
        <v/>
      </c>
      <c r="R285" t="str">
        <f>IF(MIS_Backend_Data!BB284="", "", MIS_Backend_Data!BB284)</f>
        <v/>
      </c>
      <c r="S285" t="str">
        <f>IF(MIS_Backend_Data!AW284="", "", MIS_Backend_Data!AW284)</f>
        <v/>
      </c>
      <c r="T285" s="42" t="str">
        <f>IF(MIS_Backend_Data!N284="Dispatch","Completed","NA")</f>
        <v>NA</v>
      </c>
      <c r="U285" t="str">
        <f t="shared" si="12"/>
        <v/>
      </c>
      <c r="V285" t="str">
        <f t="shared" si="13"/>
        <v/>
      </c>
      <c r="W285" s="20" t="str">
        <f t="shared" si="14"/>
        <v/>
      </c>
    </row>
    <row r="286" spans="2:23" ht="14.5">
      <c r="B286" s="205"/>
      <c r="C286" s="17"/>
      <c r="D286" s="17"/>
      <c r="E286" s="19"/>
      <c r="F286" s="19" t="str">
        <f>IF(MIS_Backend_Data!O285="", "", MIS_Backend_Data!O285)</f>
        <v/>
      </c>
      <c r="G286" t="str">
        <f>IF(MIS_Backend_Data!T285="", "", MIS_Backend_Data!T285)</f>
        <v/>
      </c>
      <c r="H286" t="str">
        <f>IF(MIS_Backend_Data!X285="", "", MIS_Backend_Data!X285)</f>
        <v/>
      </c>
      <c r="I286" t="str">
        <f>IF(MIS_Backend_Data!AC285="", "", MIS_Backend_Data!AC285)</f>
        <v/>
      </c>
      <c r="J286" t="str">
        <f>IF(MIS_Backend_Data!AB285="", "", MIS_Backend_Data!AB285)</f>
        <v/>
      </c>
      <c r="K286" t="str">
        <f>IF(MIS_Backend_Data!AG285="", "", MIS_Backend_Data!AG285)</f>
        <v/>
      </c>
      <c r="L286" s="20" t="str">
        <f>IF(MIS_Backend_Data!AI285="", "", MIS_Backend_Data!AI285)</f>
        <v/>
      </c>
      <c r="M286" t="str">
        <f>IF(MIS_Backend_Data!AK285="", "", MIS_Backend_Data!AK285)</f>
        <v/>
      </c>
      <c r="N286" t="str">
        <f>IF(MIS_Backend_Data!AM285="", "", MIS_Backend_Data!AM285)</f>
        <v/>
      </c>
      <c r="O286" t="str">
        <f>IF(MIS_Backend_Data!AO285="", "", MIS_Backend_Data!AO285)</f>
        <v/>
      </c>
      <c r="P286" t="str">
        <f>IF(MIS_Backend_Data!AS285="", "", MIS_Backend_Data!AS285)</f>
        <v/>
      </c>
      <c r="Q286" t="str">
        <f>IF(MIS_Backend_Data!AX285="", "", MIS_Backend_Data!AX285)</f>
        <v/>
      </c>
      <c r="R286" t="str">
        <f>IF(MIS_Backend_Data!BB285="", "", MIS_Backend_Data!BB285)</f>
        <v/>
      </c>
      <c r="S286" t="str">
        <f>IF(MIS_Backend_Data!AW285="", "", MIS_Backend_Data!AW285)</f>
        <v/>
      </c>
      <c r="T286" s="42" t="str">
        <f>IF(MIS_Backend_Data!N285="Dispatch","Completed","NA")</f>
        <v>NA</v>
      </c>
      <c r="U286" t="str">
        <f t="shared" si="12"/>
        <v/>
      </c>
      <c r="V286" t="str">
        <f t="shared" si="13"/>
        <v/>
      </c>
      <c r="W286" s="20" t="str">
        <f t="shared" si="14"/>
        <v/>
      </c>
    </row>
    <row r="287" spans="2:23" ht="14.5">
      <c r="B287" s="205"/>
      <c r="C287" s="17"/>
      <c r="D287" s="17"/>
      <c r="E287" s="19"/>
      <c r="F287" s="19" t="str">
        <f>IF(MIS_Backend_Data!O286="", "", MIS_Backend_Data!O286)</f>
        <v/>
      </c>
      <c r="G287" t="str">
        <f>IF(MIS_Backend_Data!T286="", "", MIS_Backend_Data!T286)</f>
        <v/>
      </c>
      <c r="H287" t="str">
        <f>IF(MIS_Backend_Data!X286="", "", MIS_Backend_Data!X286)</f>
        <v/>
      </c>
      <c r="I287" t="str">
        <f>IF(MIS_Backend_Data!AC286="", "", MIS_Backend_Data!AC286)</f>
        <v/>
      </c>
      <c r="J287" t="str">
        <f>IF(MIS_Backend_Data!AB286="", "", MIS_Backend_Data!AB286)</f>
        <v/>
      </c>
      <c r="K287" t="str">
        <f>IF(MIS_Backend_Data!AG286="", "", MIS_Backend_Data!AG286)</f>
        <v/>
      </c>
      <c r="L287" s="20" t="str">
        <f>IF(MIS_Backend_Data!AI286="", "", MIS_Backend_Data!AI286)</f>
        <v/>
      </c>
      <c r="M287" t="str">
        <f>IF(MIS_Backend_Data!AK286="", "", MIS_Backend_Data!AK286)</f>
        <v/>
      </c>
      <c r="N287" t="str">
        <f>IF(MIS_Backend_Data!AM286="", "", MIS_Backend_Data!AM286)</f>
        <v/>
      </c>
      <c r="O287" t="str">
        <f>IF(MIS_Backend_Data!AO286="", "", MIS_Backend_Data!AO286)</f>
        <v/>
      </c>
      <c r="P287" t="str">
        <f>IF(MIS_Backend_Data!AS286="", "", MIS_Backend_Data!AS286)</f>
        <v/>
      </c>
      <c r="Q287" t="str">
        <f>IF(MIS_Backend_Data!AX286="", "", MIS_Backend_Data!AX286)</f>
        <v/>
      </c>
      <c r="R287" t="str">
        <f>IF(MIS_Backend_Data!BB286="", "", MIS_Backend_Data!BB286)</f>
        <v/>
      </c>
      <c r="S287" t="str">
        <f>IF(MIS_Backend_Data!AW286="", "", MIS_Backend_Data!AW286)</f>
        <v/>
      </c>
      <c r="T287" s="42" t="str">
        <f>IF(MIS_Backend_Data!N286="Dispatch","Completed","NA")</f>
        <v>NA</v>
      </c>
      <c r="U287" t="str">
        <f t="shared" si="12"/>
        <v/>
      </c>
      <c r="V287" t="str">
        <f t="shared" si="13"/>
        <v/>
      </c>
      <c r="W287" s="20" t="str">
        <f t="shared" si="14"/>
        <v/>
      </c>
    </row>
    <row r="288" spans="2:23" ht="14.5">
      <c r="B288" s="205"/>
      <c r="C288" s="17"/>
      <c r="D288" s="17"/>
      <c r="E288" s="19"/>
      <c r="F288" s="19" t="str">
        <f>IF(MIS_Backend_Data!O287="", "", MIS_Backend_Data!O287)</f>
        <v/>
      </c>
      <c r="G288" t="str">
        <f>IF(MIS_Backend_Data!T287="", "", MIS_Backend_Data!T287)</f>
        <v/>
      </c>
      <c r="H288" t="str">
        <f>IF(MIS_Backend_Data!X287="", "", MIS_Backend_Data!X287)</f>
        <v/>
      </c>
      <c r="I288" t="str">
        <f>IF(MIS_Backend_Data!AC287="", "", MIS_Backend_Data!AC287)</f>
        <v/>
      </c>
      <c r="J288" t="str">
        <f>IF(MIS_Backend_Data!AB287="", "", MIS_Backend_Data!AB287)</f>
        <v/>
      </c>
      <c r="K288" t="str">
        <f>IF(MIS_Backend_Data!AG287="", "", MIS_Backend_Data!AG287)</f>
        <v/>
      </c>
      <c r="L288" s="20" t="str">
        <f>IF(MIS_Backend_Data!AI287="", "", MIS_Backend_Data!AI287)</f>
        <v/>
      </c>
      <c r="M288" t="str">
        <f>IF(MIS_Backend_Data!AK287="", "", MIS_Backend_Data!AK287)</f>
        <v/>
      </c>
      <c r="N288" t="str">
        <f>IF(MIS_Backend_Data!AM287="", "", MIS_Backend_Data!AM287)</f>
        <v/>
      </c>
      <c r="O288" t="str">
        <f>IF(MIS_Backend_Data!AO287="", "", MIS_Backend_Data!AO287)</f>
        <v/>
      </c>
      <c r="P288" t="str">
        <f>IF(MIS_Backend_Data!AS287="", "", MIS_Backend_Data!AS287)</f>
        <v/>
      </c>
      <c r="Q288" t="str">
        <f>IF(MIS_Backend_Data!AX287="", "", MIS_Backend_Data!AX287)</f>
        <v/>
      </c>
      <c r="R288" t="str">
        <f>IF(MIS_Backend_Data!BB287="", "", MIS_Backend_Data!BB287)</f>
        <v/>
      </c>
      <c r="S288" t="str">
        <f>IF(MIS_Backend_Data!AW287="", "", MIS_Backend_Data!AW287)</f>
        <v/>
      </c>
      <c r="T288" s="42" t="str">
        <f>IF(MIS_Backend_Data!N287="Dispatch","Completed","NA")</f>
        <v>NA</v>
      </c>
      <c r="U288" t="str">
        <f t="shared" si="12"/>
        <v/>
      </c>
      <c r="V288" t="str">
        <f t="shared" si="13"/>
        <v/>
      </c>
      <c r="W288" s="20" t="str">
        <f t="shared" si="14"/>
        <v/>
      </c>
    </row>
    <row r="289" spans="2:23" ht="14.5">
      <c r="B289" s="205"/>
      <c r="C289" s="17"/>
      <c r="D289" s="17"/>
      <c r="E289" s="19"/>
      <c r="F289" s="19" t="str">
        <f>IF(MIS_Backend_Data!O288="", "", MIS_Backend_Data!O288)</f>
        <v/>
      </c>
      <c r="G289" t="str">
        <f>IF(MIS_Backend_Data!T288="", "", MIS_Backend_Data!T288)</f>
        <v/>
      </c>
      <c r="H289" t="str">
        <f>IF(MIS_Backend_Data!X288="", "", MIS_Backend_Data!X288)</f>
        <v/>
      </c>
      <c r="I289" t="str">
        <f>IF(MIS_Backend_Data!AC288="", "", MIS_Backend_Data!AC288)</f>
        <v/>
      </c>
      <c r="J289" t="str">
        <f>IF(MIS_Backend_Data!AB288="", "", MIS_Backend_Data!AB288)</f>
        <v/>
      </c>
      <c r="K289" t="str">
        <f>IF(MIS_Backend_Data!AG288="", "", MIS_Backend_Data!AG288)</f>
        <v/>
      </c>
      <c r="L289" s="20" t="str">
        <f>IF(MIS_Backend_Data!AI288="", "", MIS_Backend_Data!AI288)</f>
        <v/>
      </c>
      <c r="M289" t="str">
        <f>IF(MIS_Backend_Data!AK288="", "", MIS_Backend_Data!AK288)</f>
        <v/>
      </c>
      <c r="N289" t="str">
        <f>IF(MIS_Backend_Data!AM288="", "", MIS_Backend_Data!AM288)</f>
        <v/>
      </c>
      <c r="O289" t="str">
        <f>IF(MIS_Backend_Data!AO288="", "", MIS_Backend_Data!AO288)</f>
        <v/>
      </c>
      <c r="P289" t="str">
        <f>IF(MIS_Backend_Data!AS288="", "", MIS_Backend_Data!AS288)</f>
        <v/>
      </c>
      <c r="Q289" t="str">
        <f>IF(MIS_Backend_Data!AX288="", "", MIS_Backend_Data!AX288)</f>
        <v/>
      </c>
      <c r="R289" t="str">
        <f>IF(MIS_Backend_Data!BB288="", "", MIS_Backend_Data!BB288)</f>
        <v/>
      </c>
      <c r="S289" t="str">
        <f>IF(MIS_Backend_Data!AW288="", "", MIS_Backend_Data!AW288)</f>
        <v/>
      </c>
      <c r="T289" s="42" t="str">
        <f>IF(MIS_Backend_Data!N288="Dispatch","Completed","NA")</f>
        <v>NA</v>
      </c>
      <c r="U289" t="str">
        <f t="shared" si="12"/>
        <v/>
      </c>
      <c r="V289" t="str">
        <f t="shared" si="13"/>
        <v/>
      </c>
      <c r="W289" s="20" t="str">
        <f t="shared" si="14"/>
        <v/>
      </c>
    </row>
    <row r="290" spans="2:23" ht="14.5">
      <c r="B290" s="205"/>
      <c r="C290" s="17"/>
      <c r="D290" s="17"/>
      <c r="E290" s="19"/>
      <c r="F290" s="19" t="str">
        <f>IF(MIS_Backend_Data!O289="", "", MIS_Backend_Data!O289)</f>
        <v/>
      </c>
      <c r="G290" t="str">
        <f>IF(MIS_Backend_Data!T289="", "", MIS_Backend_Data!T289)</f>
        <v/>
      </c>
      <c r="H290" t="str">
        <f>IF(MIS_Backend_Data!X289="", "", MIS_Backend_Data!X289)</f>
        <v/>
      </c>
      <c r="I290" t="str">
        <f>IF(MIS_Backend_Data!AC289="", "", MIS_Backend_Data!AC289)</f>
        <v/>
      </c>
      <c r="J290" t="str">
        <f>IF(MIS_Backend_Data!AB289="", "", MIS_Backend_Data!AB289)</f>
        <v/>
      </c>
      <c r="K290" t="str">
        <f>IF(MIS_Backend_Data!AG289="", "", MIS_Backend_Data!AG289)</f>
        <v/>
      </c>
      <c r="L290" s="20" t="str">
        <f>IF(MIS_Backend_Data!AI289="", "", MIS_Backend_Data!AI289)</f>
        <v/>
      </c>
      <c r="M290" t="str">
        <f>IF(MIS_Backend_Data!AK289="", "", MIS_Backend_Data!AK289)</f>
        <v/>
      </c>
      <c r="N290" t="str">
        <f>IF(MIS_Backend_Data!AM289="", "", MIS_Backend_Data!AM289)</f>
        <v/>
      </c>
      <c r="O290" t="str">
        <f>IF(MIS_Backend_Data!AO289="", "", MIS_Backend_Data!AO289)</f>
        <v/>
      </c>
      <c r="P290" t="str">
        <f>IF(MIS_Backend_Data!AS289="", "", MIS_Backend_Data!AS289)</f>
        <v/>
      </c>
      <c r="Q290" t="str">
        <f>IF(MIS_Backend_Data!AX289="", "", MIS_Backend_Data!AX289)</f>
        <v/>
      </c>
      <c r="R290" t="str">
        <f>IF(MIS_Backend_Data!BB289="", "", MIS_Backend_Data!BB289)</f>
        <v/>
      </c>
      <c r="S290" t="str">
        <f>IF(MIS_Backend_Data!AW289="", "", MIS_Backend_Data!AW289)</f>
        <v/>
      </c>
      <c r="T290" s="42" t="str">
        <f>IF(MIS_Backend_Data!N289="Dispatch","Completed","NA")</f>
        <v>NA</v>
      </c>
      <c r="U290" t="str">
        <f t="shared" si="12"/>
        <v/>
      </c>
      <c r="V290" t="str">
        <f t="shared" si="13"/>
        <v/>
      </c>
      <c r="W290" s="20" t="str">
        <f t="shared" si="14"/>
        <v/>
      </c>
    </row>
    <row r="291" spans="2:23" ht="14.5">
      <c r="B291" s="205"/>
      <c r="C291" s="17"/>
      <c r="D291" s="17"/>
      <c r="E291" s="19"/>
      <c r="F291" s="19" t="str">
        <f>IF(MIS_Backend_Data!O290="", "", MIS_Backend_Data!O290)</f>
        <v/>
      </c>
      <c r="G291" t="str">
        <f>IF(MIS_Backend_Data!T290="", "", MIS_Backend_Data!T290)</f>
        <v/>
      </c>
      <c r="H291" t="str">
        <f>IF(MIS_Backend_Data!X290="", "", MIS_Backend_Data!X290)</f>
        <v/>
      </c>
      <c r="I291" t="str">
        <f>IF(MIS_Backend_Data!AC290="", "", MIS_Backend_Data!AC290)</f>
        <v/>
      </c>
      <c r="J291" t="str">
        <f>IF(MIS_Backend_Data!AB290="", "", MIS_Backend_Data!AB290)</f>
        <v/>
      </c>
      <c r="K291" t="str">
        <f>IF(MIS_Backend_Data!AG290="", "", MIS_Backend_Data!AG290)</f>
        <v/>
      </c>
      <c r="L291" s="20" t="str">
        <f>IF(MIS_Backend_Data!AI290="", "", MIS_Backend_Data!AI290)</f>
        <v/>
      </c>
      <c r="M291" t="str">
        <f>IF(MIS_Backend_Data!AK290="", "", MIS_Backend_Data!AK290)</f>
        <v/>
      </c>
      <c r="N291" t="str">
        <f>IF(MIS_Backend_Data!AM290="", "", MIS_Backend_Data!AM290)</f>
        <v/>
      </c>
      <c r="O291" t="str">
        <f>IF(MIS_Backend_Data!AO290="", "", MIS_Backend_Data!AO290)</f>
        <v/>
      </c>
      <c r="P291" t="str">
        <f>IF(MIS_Backend_Data!AS290="", "", MIS_Backend_Data!AS290)</f>
        <v/>
      </c>
      <c r="Q291" t="str">
        <f>IF(MIS_Backend_Data!AX290="", "", MIS_Backend_Data!AX290)</f>
        <v/>
      </c>
      <c r="R291" t="str">
        <f>IF(MIS_Backend_Data!BB290="", "", MIS_Backend_Data!BB290)</f>
        <v/>
      </c>
      <c r="S291" t="str">
        <f>IF(MIS_Backend_Data!AW290="", "", MIS_Backend_Data!AW290)</f>
        <v/>
      </c>
      <c r="T291" s="42" t="str">
        <f>IF(MIS_Backend_Data!N290="Dispatch","Completed","NA")</f>
        <v>NA</v>
      </c>
      <c r="U291" t="str">
        <f t="shared" si="12"/>
        <v/>
      </c>
      <c r="V291" t="str">
        <f t="shared" si="13"/>
        <v/>
      </c>
      <c r="W291" s="20" t="str">
        <f t="shared" si="14"/>
        <v/>
      </c>
    </row>
    <row r="292" spans="2:23" ht="14.5">
      <c r="B292" s="205"/>
      <c r="C292" s="17"/>
      <c r="D292" s="17"/>
      <c r="E292" s="19"/>
      <c r="F292" s="19" t="str">
        <f>IF(MIS_Backend_Data!O291="", "", MIS_Backend_Data!O291)</f>
        <v/>
      </c>
      <c r="G292" t="str">
        <f>IF(MIS_Backend_Data!T291="", "", MIS_Backend_Data!T291)</f>
        <v/>
      </c>
      <c r="H292" t="str">
        <f>IF(MIS_Backend_Data!X291="", "", MIS_Backend_Data!X291)</f>
        <v/>
      </c>
      <c r="I292" t="str">
        <f>IF(MIS_Backend_Data!AC291="", "", MIS_Backend_Data!AC291)</f>
        <v/>
      </c>
      <c r="J292" t="str">
        <f>IF(MIS_Backend_Data!AB291="", "", MIS_Backend_Data!AB291)</f>
        <v/>
      </c>
      <c r="K292" t="str">
        <f>IF(MIS_Backend_Data!AG291="", "", MIS_Backend_Data!AG291)</f>
        <v/>
      </c>
      <c r="L292" s="20" t="str">
        <f>IF(MIS_Backend_Data!AI291="", "", MIS_Backend_Data!AI291)</f>
        <v/>
      </c>
      <c r="M292" t="str">
        <f>IF(MIS_Backend_Data!AK291="", "", MIS_Backend_Data!AK291)</f>
        <v/>
      </c>
      <c r="N292" t="str">
        <f>IF(MIS_Backend_Data!AM291="", "", MIS_Backend_Data!AM291)</f>
        <v/>
      </c>
      <c r="O292" t="str">
        <f>IF(MIS_Backend_Data!AO291="", "", MIS_Backend_Data!AO291)</f>
        <v/>
      </c>
      <c r="P292" t="str">
        <f>IF(MIS_Backend_Data!AS291="", "", MIS_Backend_Data!AS291)</f>
        <v/>
      </c>
      <c r="Q292" t="str">
        <f>IF(MIS_Backend_Data!AX291="", "", MIS_Backend_Data!AX291)</f>
        <v/>
      </c>
      <c r="R292" t="str">
        <f>IF(MIS_Backend_Data!BB291="", "", MIS_Backend_Data!BB291)</f>
        <v/>
      </c>
      <c r="S292" t="str">
        <f>IF(MIS_Backend_Data!AW291="", "", MIS_Backend_Data!AW291)</f>
        <v/>
      </c>
      <c r="T292" s="42" t="str">
        <f>IF(MIS_Backend_Data!N291="Dispatch","Completed","NA")</f>
        <v>NA</v>
      </c>
      <c r="U292" t="str">
        <f t="shared" si="12"/>
        <v/>
      </c>
      <c r="V292" t="str">
        <f t="shared" si="13"/>
        <v/>
      </c>
      <c r="W292" s="20" t="str">
        <f t="shared" si="14"/>
        <v/>
      </c>
    </row>
    <row r="293" spans="2:23" ht="14.5">
      <c r="B293" s="205"/>
      <c r="C293" s="17"/>
      <c r="D293" s="17"/>
      <c r="E293" s="19"/>
      <c r="F293" s="19" t="str">
        <f>IF(MIS_Backend_Data!O292="", "", MIS_Backend_Data!O292)</f>
        <v/>
      </c>
      <c r="G293" t="str">
        <f>IF(MIS_Backend_Data!T292="", "", MIS_Backend_Data!T292)</f>
        <v/>
      </c>
      <c r="H293" t="str">
        <f>IF(MIS_Backend_Data!X292="", "", MIS_Backend_Data!X292)</f>
        <v/>
      </c>
      <c r="I293" t="str">
        <f>IF(MIS_Backend_Data!AC292="", "", MIS_Backend_Data!AC292)</f>
        <v/>
      </c>
      <c r="J293" t="str">
        <f>IF(MIS_Backend_Data!AB292="", "", MIS_Backend_Data!AB292)</f>
        <v/>
      </c>
      <c r="K293" t="str">
        <f>IF(MIS_Backend_Data!AG292="", "", MIS_Backend_Data!AG292)</f>
        <v/>
      </c>
      <c r="L293" s="20" t="str">
        <f>IF(MIS_Backend_Data!AI292="", "", MIS_Backend_Data!AI292)</f>
        <v/>
      </c>
      <c r="M293" t="str">
        <f>IF(MIS_Backend_Data!AK292="", "", MIS_Backend_Data!AK292)</f>
        <v/>
      </c>
      <c r="N293" t="str">
        <f>IF(MIS_Backend_Data!AM292="", "", MIS_Backend_Data!AM292)</f>
        <v/>
      </c>
      <c r="O293" t="str">
        <f>IF(MIS_Backend_Data!AO292="", "", MIS_Backend_Data!AO292)</f>
        <v/>
      </c>
      <c r="P293" t="str">
        <f>IF(MIS_Backend_Data!AS292="", "", MIS_Backend_Data!AS292)</f>
        <v/>
      </c>
      <c r="Q293" t="str">
        <f>IF(MIS_Backend_Data!AX292="", "", MIS_Backend_Data!AX292)</f>
        <v/>
      </c>
      <c r="R293" t="str">
        <f>IF(MIS_Backend_Data!BB292="", "", MIS_Backend_Data!BB292)</f>
        <v/>
      </c>
      <c r="S293" t="str">
        <f>IF(MIS_Backend_Data!AW292="", "", MIS_Backend_Data!AW292)</f>
        <v/>
      </c>
      <c r="T293" s="42" t="str">
        <f>IF(MIS_Backend_Data!N292="Dispatch","Completed","NA")</f>
        <v>NA</v>
      </c>
      <c r="U293" t="str">
        <f t="shared" si="12"/>
        <v/>
      </c>
      <c r="V293" t="str">
        <f t="shared" si="13"/>
        <v/>
      </c>
      <c r="W293" s="20" t="str">
        <f t="shared" si="14"/>
        <v/>
      </c>
    </row>
    <row r="294" spans="2:23" ht="14.5">
      <c r="B294" s="205"/>
      <c r="C294" s="17"/>
      <c r="D294" s="17"/>
      <c r="E294" s="19"/>
      <c r="F294" s="19" t="str">
        <f>IF(MIS_Backend_Data!O293="", "", MIS_Backend_Data!O293)</f>
        <v/>
      </c>
      <c r="G294" t="str">
        <f>IF(MIS_Backend_Data!T293="", "", MIS_Backend_Data!T293)</f>
        <v/>
      </c>
      <c r="H294" t="str">
        <f>IF(MIS_Backend_Data!X293="", "", MIS_Backend_Data!X293)</f>
        <v/>
      </c>
      <c r="I294" t="str">
        <f>IF(MIS_Backend_Data!AC293="", "", MIS_Backend_Data!AC293)</f>
        <v/>
      </c>
      <c r="J294" t="str">
        <f>IF(MIS_Backend_Data!AB293="", "", MIS_Backend_Data!AB293)</f>
        <v/>
      </c>
      <c r="K294" t="str">
        <f>IF(MIS_Backend_Data!AG293="", "", MIS_Backend_Data!AG293)</f>
        <v/>
      </c>
      <c r="L294" s="20" t="str">
        <f>IF(MIS_Backend_Data!AI293="", "", MIS_Backend_Data!AI293)</f>
        <v/>
      </c>
      <c r="M294" t="str">
        <f>IF(MIS_Backend_Data!AK293="", "", MIS_Backend_Data!AK293)</f>
        <v/>
      </c>
      <c r="N294" t="str">
        <f>IF(MIS_Backend_Data!AM293="", "", MIS_Backend_Data!AM293)</f>
        <v/>
      </c>
      <c r="O294" t="str">
        <f>IF(MIS_Backend_Data!AO293="", "", MIS_Backend_Data!AO293)</f>
        <v/>
      </c>
      <c r="P294" t="str">
        <f>IF(MIS_Backend_Data!AS293="", "", MIS_Backend_Data!AS293)</f>
        <v/>
      </c>
      <c r="Q294" t="str">
        <f>IF(MIS_Backend_Data!AX293="", "", MIS_Backend_Data!AX293)</f>
        <v/>
      </c>
      <c r="R294" t="str">
        <f>IF(MIS_Backend_Data!BB293="", "", MIS_Backend_Data!BB293)</f>
        <v/>
      </c>
      <c r="S294" t="str">
        <f>IF(MIS_Backend_Data!AW293="", "", MIS_Backend_Data!AW293)</f>
        <v/>
      </c>
      <c r="T294" s="42" t="str">
        <f>IF(MIS_Backend_Data!N293="Dispatch","Completed","NA")</f>
        <v>NA</v>
      </c>
      <c r="U294" t="str">
        <f t="shared" si="12"/>
        <v/>
      </c>
      <c r="V294" t="str">
        <f t="shared" si="13"/>
        <v/>
      </c>
      <c r="W294" s="20" t="str">
        <f t="shared" si="14"/>
        <v/>
      </c>
    </row>
    <row r="295" spans="2:23" ht="14.5">
      <c r="B295" s="205"/>
      <c r="C295" s="17"/>
      <c r="D295" s="17"/>
      <c r="E295" s="19"/>
      <c r="F295" s="19" t="str">
        <f>IF(MIS_Backend_Data!O294="", "", MIS_Backend_Data!O294)</f>
        <v/>
      </c>
      <c r="G295" t="str">
        <f>IF(MIS_Backend_Data!T294="", "", MIS_Backend_Data!T294)</f>
        <v/>
      </c>
      <c r="H295" t="str">
        <f>IF(MIS_Backend_Data!X294="", "", MIS_Backend_Data!X294)</f>
        <v/>
      </c>
      <c r="I295" t="str">
        <f>IF(MIS_Backend_Data!AC294="", "", MIS_Backend_Data!AC294)</f>
        <v/>
      </c>
      <c r="J295" t="str">
        <f>IF(MIS_Backend_Data!AB294="", "", MIS_Backend_Data!AB294)</f>
        <v/>
      </c>
      <c r="K295" t="str">
        <f>IF(MIS_Backend_Data!AG294="", "", MIS_Backend_Data!AG294)</f>
        <v/>
      </c>
      <c r="L295" s="20" t="str">
        <f>IF(MIS_Backend_Data!AI294="", "", MIS_Backend_Data!AI294)</f>
        <v/>
      </c>
      <c r="M295" t="str">
        <f>IF(MIS_Backend_Data!AK294="", "", MIS_Backend_Data!AK294)</f>
        <v/>
      </c>
      <c r="N295" t="str">
        <f>IF(MIS_Backend_Data!AM294="", "", MIS_Backend_Data!AM294)</f>
        <v/>
      </c>
      <c r="O295" t="str">
        <f>IF(MIS_Backend_Data!AO294="", "", MIS_Backend_Data!AO294)</f>
        <v/>
      </c>
      <c r="P295" t="str">
        <f>IF(MIS_Backend_Data!AS294="", "", MIS_Backend_Data!AS294)</f>
        <v/>
      </c>
      <c r="Q295" t="str">
        <f>IF(MIS_Backend_Data!AX294="", "", MIS_Backend_Data!AX294)</f>
        <v/>
      </c>
      <c r="R295" t="str">
        <f>IF(MIS_Backend_Data!BB294="", "", MIS_Backend_Data!BB294)</f>
        <v/>
      </c>
      <c r="S295" t="str">
        <f>IF(MIS_Backend_Data!AW294="", "", MIS_Backend_Data!AW294)</f>
        <v/>
      </c>
      <c r="T295" s="42" t="str">
        <f>IF(MIS_Backend_Data!N294="Dispatch","Completed","NA")</f>
        <v>NA</v>
      </c>
      <c r="U295" t="str">
        <f t="shared" si="12"/>
        <v/>
      </c>
      <c r="V295" t="str">
        <f t="shared" si="13"/>
        <v/>
      </c>
      <c r="W295" s="20" t="str">
        <f t="shared" si="14"/>
        <v/>
      </c>
    </row>
    <row r="296" spans="2:23" ht="14.5">
      <c r="B296" s="205"/>
      <c r="C296" s="17"/>
      <c r="D296" s="17"/>
      <c r="E296" s="19"/>
      <c r="F296" s="19" t="str">
        <f>IF(MIS_Backend_Data!O295="", "", MIS_Backend_Data!O295)</f>
        <v/>
      </c>
      <c r="G296" t="str">
        <f>IF(MIS_Backend_Data!T295="", "", MIS_Backend_Data!T295)</f>
        <v/>
      </c>
      <c r="H296" t="str">
        <f>IF(MIS_Backend_Data!X295="", "", MIS_Backend_Data!X295)</f>
        <v/>
      </c>
      <c r="I296" t="str">
        <f>IF(MIS_Backend_Data!AC295="", "", MIS_Backend_Data!AC295)</f>
        <v/>
      </c>
      <c r="J296" t="str">
        <f>IF(MIS_Backend_Data!AB295="", "", MIS_Backend_Data!AB295)</f>
        <v/>
      </c>
      <c r="K296" t="str">
        <f>IF(MIS_Backend_Data!AG295="", "", MIS_Backend_Data!AG295)</f>
        <v/>
      </c>
      <c r="L296" s="20" t="str">
        <f>IF(MIS_Backend_Data!AI295="", "", MIS_Backend_Data!AI295)</f>
        <v/>
      </c>
      <c r="M296" t="str">
        <f>IF(MIS_Backend_Data!AK295="", "", MIS_Backend_Data!AK295)</f>
        <v/>
      </c>
      <c r="N296" t="str">
        <f>IF(MIS_Backend_Data!AM295="", "", MIS_Backend_Data!AM295)</f>
        <v/>
      </c>
      <c r="O296" t="str">
        <f>IF(MIS_Backend_Data!AO295="", "", MIS_Backend_Data!AO295)</f>
        <v/>
      </c>
      <c r="P296" t="str">
        <f>IF(MIS_Backend_Data!AS295="", "", MIS_Backend_Data!AS295)</f>
        <v/>
      </c>
      <c r="Q296" t="str">
        <f>IF(MIS_Backend_Data!AX295="", "", MIS_Backend_Data!AX295)</f>
        <v/>
      </c>
      <c r="R296" t="str">
        <f>IF(MIS_Backend_Data!BB295="", "", MIS_Backend_Data!BB295)</f>
        <v/>
      </c>
      <c r="S296" t="str">
        <f>IF(MIS_Backend_Data!AW295="", "", MIS_Backend_Data!AW295)</f>
        <v/>
      </c>
      <c r="T296" s="42" t="str">
        <f>IF(MIS_Backend_Data!N295="Dispatch","Completed","NA")</f>
        <v>NA</v>
      </c>
      <c r="U296" t="str">
        <f t="shared" si="12"/>
        <v/>
      </c>
      <c r="V296" t="str">
        <f t="shared" si="13"/>
        <v/>
      </c>
      <c r="W296" s="20" t="str">
        <f t="shared" si="14"/>
        <v/>
      </c>
    </row>
    <row r="297" spans="2:23" ht="14.5">
      <c r="B297" s="205"/>
      <c r="C297" s="17"/>
      <c r="D297" s="17"/>
      <c r="E297" s="19"/>
      <c r="F297" s="19" t="str">
        <f>IF(MIS_Backend_Data!O296="", "", MIS_Backend_Data!O296)</f>
        <v/>
      </c>
      <c r="G297" t="str">
        <f>IF(MIS_Backend_Data!T296="", "", MIS_Backend_Data!T296)</f>
        <v/>
      </c>
      <c r="H297" t="str">
        <f>IF(MIS_Backend_Data!X296="", "", MIS_Backend_Data!X296)</f>
        <v/>
      </c>
      <c r="I297" t="str">
        <f>IF(MIS_Backend_Data!AC296="", "", MIS_Backend_Data!AC296)</f>
        <v/>
      </c>
      <c r="J297" t="str">
        <f>IF(MIS_Backend_Data!AB296="", "", MIS_Backend_Data!AB296)</f>
        <v/>
      </c>
      <c r="K297" t="str">
        <f>IF(MIS_Backend_Data!AG296="", "", MIS_Backend_Data!AG296)</f>
        <v/>
      </c>
      <c r="L297" s="20" t="str">
        <f>IF(MIS_Backend_Data!AI296="", "", MIS_Backend_Data!AI296)</f>
        <v/>
      </c>
      <c r="M297" t="str">
        <f>IF(MIS_Backend_Data!AK296="", "", MIS_Backend_Data!AK296)</f>
        <v/>
      </c>
      <c r="N297" t="str">
        <f>IF(MIS_Backend_Data!AM296="", "", MIS_Backend_Data!AM296)</f>
        <v/>
      </c>
      <c r="O297" t="str">
        <f>IF(MIS_Backend_Data!AO296="", "", MIS_Backend_Data!AO296)</f>
        <v/>
      </c>
      <c r="P297" t="str">
        <f>IF(MIS_Backend_Data!AS296="", "", MIS_Backend_Data!AS296)</f>
        <v/>
      </c>
      <c r="Q297" t="str">
        <f>IF(MIS_Backend_Data!AX296="", "", MIS_Backend_Data!AX296)</f>
        <v/>
      </c>
      <c r="R297" t="str">
        <f>IF(MIS_Backend_Data!BB296="", "", MIS_Backend_Data!BB296)</f>
        <v/>
      </c>
      <c r="S297" t="str">
        <f>IF(MIS_Backend_Data!AW296="", "", MIS_Backend_Data!AW296)</f>
        <v/>
      </c>
      <c r="T297" s="42" t="str">
        <f>IF(MIS_Backend_Data!N296="Dispatch","Completed","NA")</f>
        <v>NA</v>
      </c>
      <c r="U297" t="str">
        <f t="shared" si="12"/>
        <v/>
      </c>
      <c r="V297" t="str">
        <f t="shared" si="13"/>
        <v/>
      </c>
      <c r="W297" s="20" t="str">
        <f t="shared" si="14"/>
        <v/>
      </c>
    </row>
    <row r="298" spans="2:23" ht="14.5">
      <c r="B298" s="205"/>
      <c r="C298" s="17"/>
      <c r="D298" s="17"/>
      <c r="E298" s="19"/>
      <c r="F298" s="19" t="str">
        <f>IF(MIS_Backend_Data!O297="", "", MIS_Backend_Data!O297)</f>
        <v/>
      </c>
      <c r="G298" t="str">
        <f>IF(MIS_Backend_Data!T297="", "", MIS_Backend_Data!T297)</f>
        <v/>
      </c>
      <c r="H298" t="str">
        <f>IF(MIS_Backend_Data!X297="", "", MIS_Backend_Data!X297)</f>
        <v/>
      </c>
      <c r="I298" t="str">
        <f>IF(MIS_Backend_Data!AC297="", "", MIS_Backend_Data!AC297)</f>
        <v/>
      </c>
      <c r="J298" t="str">
        <f>IF(MIS_Backend_Data!AB297="", "", MIS_Backend_Data!AB297)</f>
        <v/>
      </c>
      <c r="K298" t="str">
        <f>IF(MIS_Backend_Data!AG297="", "", MIS_Backend_Data!AG297)</f>
        <v/>
      </c>
      <c r="L298" s="20" t="str">
        <f>IF(MIS_Backend_Data!AI297="", "", MIS_Backend_Data!AI297)</f>
        <v/>
      </c>
      <c r="M298" t="str">
        <f>IF(MIS_Backend_Data!AK297="", "", MIS_Backend_Data!AK297)</f>
        <v/>
      </c>
      <c r="N298" t="str">
        <f>IF(MIS_Backend_Data!AM297="", "", MIS_Backend_Data!AM297)</f>
        <v/>
      </c>
      <c r="O298" t="str">
        <f>IF(MIS_Backend_Data!AO297="", "", MIS_Backend_Data!AO297)</f>
        <v/>
      </c>
      <c r="P298" t="str">
        <f>IF(MIS_Backend_Data!AS297="", "", MIS_Backend_Data!AS297)</f>
        <v/>
      </c>
      <c r="Q298" t="str">
        <f>IF(MIS_Backend_Data!AX297="", "", MIS_Backend_Data!AX297)</f>
        <v/>
      </c>
      <c r="R298" t="str">
        <f>IF(MIS_Backend_Data!BB297="", "", MIS_Backend_Data!BB297)</f>
        <v/>
      </c>
      <c r="S298" t="str">
        <f>IF(MIS_Backend_Data!AW297="", "", MIS_Backend_Data!AW297)</f>
        <v/>
      </c>
      <c r="T298" s="42" t="str">
        <f>IF(MIS_Backend_Data!N297="Dispatch","Completed","NA")</f>
        <v>NA</v>
      </c>
      <c r="U298" t="str">
        <f t="shared" si="12"/>
        <v/>
      </c>
      <c r="V298" t="str">
        <f t="shared" si="13"/>
        <v/>
      </c>
      <c r="W298" s="20" t="str">
        <f t="shared" si="14"/>
        <v/>
      </c>
    </row>
    <row r="299" spans="2:23" ht="14.5">
      <c r="B299" s="205"/>
      <c r="C299" s="17"/>
      <c r="D299" s="17"/>
      <c r="E299" s="19"/>
      <c r="F299" s="19" t="str">
        <f>IF(MIS_Backend_Data!O298="", "", MIS_Backend_Data!O298)</f>
        <v/>
      </c>
      <c r="G299" t="str">
        <f>IF(MIS_Backend_Data!T298="", "", MIS_Backend_Data!T298)</f>
        <v/>
      </c>
      <c r="H299" t="str">
        <f>IF(MIS_Backend_Data!X298="", "", MIS_Backend_Data!X298)</f>
        <v/>
      </c>
      <c r="I299" t="str">
        <f>IF(MIS_Backend_Data!AC298="", "", MIS_Backend_Data!AC298)</f>
        <v/>
      </c>
      <c r="J299" t="str">
        <f>IF(MIS_Backend_Data!AB298="", "", MIS_Backend_Data!AB298)</f>
        <v/>
      </c>
      <c r="K299" t="str">
        <f>IF(MIS_Backend_Data!AG298="", "", MIS_Backend_Data!AG298)</f>
        <v/>
      </c>
      <c r="L299" s="20" t="str">
        <f>IF(MIS_Backend_Data!AI298="", "", MIS_Backend_Data!AI298)</f>
        <v/>
      </c>
      <c r="M299" t="str">
        <f>IF(MIS_Backend_Data!AK298="", "", MIS_Backend_Data!AK298)</f>
        <v/>
      </c>
      <c r="N299" t="str">
        <f>IF(MIS_Backend_Data!AM298="", "", MIS_Backend_Data!AM298)</f>
        <v/>
      </c>
      <c r="O299" t="str">
        <f>IF(MIS_Backend_Data!AO298="", "", MIS_Backend_Data!AO298)</f>
        <v/>
      </c>
      <c r="P299" t="str">
        <f>IF(MIS_Backend_Data!AS298="", "", MIS_Backend_Data!AS298)</f>
        <v/>
      </c>
      <c r="Q299" t="str">
        <f>IF(MIS_Backend_Data!AX298="", "", MIS_Backend_Data!AX298)</f>
        <v/>
      </c>
      <c r="R299" t="str">
        <f>IF(MIS_Backend_Data!BB298="", "", MIS_Backend_Data!BB298)</f>
        <v/>
      </c>
      <c r="S299" t="str">
        <f>IF(MIS_Backend_Data!AW298="", "", MIS_Backend_Data!AW298)</f>
        <v/>
      </c>
      <c r="T299" s="42" t="str">
        <f>IF(MIS_Backend_Data!N298="Dispatch","Completed","NA")</f>
        <v>NA</v>
      </c>
      <c r="U299" t="str">
        <f t="shared" si="12"/>
        <v/>
      </c>
      <c r="V299" t="str">
        <f t="shared" si="13"/>
        <v/>
      </c>
      <c r="W299" s="20" t="str">
        <f t="shared" si="14"/>
        <v/>
      </c>
    </row>
    <row r="300" spans="2:23" ht="14.5">
      <c r="B300" s="205"/>
      <c r="C300" s="17"/>
      <c r="D300" s="17"/>
      <c r="E300" s="19"/>
      <c r="F300" s="19" t="str">
        <f>IF(MIS_Backend_Data!O299="", "", MIS_Backend_Data!O299)</f>
        <v/>
      </c>
      <c r="G300" t="str">
        <f>IF(MIS_Backend_Data!T299="", "", MIS_Backend_Data!T299)</f>
        <v/>
      </c>
      <c r="H300" t="str">
        <f>IF(MIS_Backend_Data!X299="", "", MIS_Backend_Data!X299)</f>
        <v/>
      </c>
      <c r="I300" t="str">
        <f>IF(MIS_Backend_Data!AC299="", "", MIS_Backend_Data!AC299)</f>
        <v/>
      </c>
      <c r="J300" t="str">
        <f>IF(MIS_Backend_Data!AB299="", "", MIS_Backend_Data!AB299)</f>
        <v/>
      </c>
      <c r="K300" t="str">
        <f>IF(MIS_Backend_Data!AG299="", "", MIS_Backend_Data!AG299)</f>
        <v/>
      </c>
      <c r="L300" s="20" t="str">
        <f>IF(MIS_Backend_Data!AI299="", "", MIS_Backend_Data!AI299)</f>
        <v/>
      </c>
      <c r="M300" t="str">
        <f>IF(MIS_Backend_Data!AK299="", "", MIS_Backend_Data!AK299)</f>
        <v/>
      </c>
      <c r="N300" t="str">
        <f>IF(MIS_Backend_Data!AM299="", "", MIS_Backend_Data!AM299)</f>
        <v/>
      </c>
      <c r="O300" t="str">
        <f>IF(MIS_Backend_Data!AO299="", "", MIS_Backend_Data!AO299)</f>
        <v/>
      </c>
      <c r="P300" t="str">
        <f>IF(MIS_Backend_Data!AS299="", "", MIS_Backend_Data!AS299)</f>
        <v/>
      </c>
      <c r="Q300" t="str">
        <f>IF(MIS_Backend_Data!AX299="", "", MIS_Backend_Data!AX299)</f>
        <v/>
      </c>
      <c r="R300" t="str">
        <f>IF(MIS_Backend_Data!BB299="", "", MIS_Backend_Data!BB299)</f>
        <v/>
      </c>
      <c r="S300" t="str">
        <f>IF(MIS_Backend_Data!AW299="", "", MIS_Backend_Data!AW299)</f>
        <v/>
      </c>
      <c r="T300" s="42" t="str">
        <f>IF(MIS_Backend_Data!N299="Dispatch","Completed","NA")</f>
        <v>NA</v>
      </c>
      <c r="U300" t="str">
        <f t="shared" si="12"/>
        <v/>
      </c>
      <c r="V300" t="str">
        <f t="shared" si="13"/>
        <v/>
      </c>
      <c r="W300" s="20" t="str">
        <f t="shared" si="14"/>
        <v/>
      </c>
    </row>
    <row r="301" spans="2:23" ht="14.5">
      <c r="B301" s="205"/>
      <c r="C301" s="17"/>
      <c r="D301" s="17"/>
      <c r="E301" s="19"/>
      <c r="F301" s="19" t="str">
        <f>IF(MIS_Backend_Data!O300="", "", MIS_Backend_Data!O300)</f>
        <v/>
      </c>
      <c r="G301" t="str">
        <f>IF(MIS_Backend_Data!T300="", "", MIS_Backend_Data!T300)</f>
        <v/>
      </c>
      <c r="H301" t="str">
        <f>IF(MIS_Backend_Data!X300="", "", MIS_Backend_Data!X300)</f>
        <v/>
      </c>
      <c r="I301" t="str">
        <f>IF(MIS_Backend_Data!AC300="", "", MIS_Backend_Data!AC300)</f>
        <v/>
      </c>
      <c r="J301" t="str">
        <f>IF(MIS_Backend_Data!AB300="", "", MIS_Backend_Data!AB300)</f>
        <v/>
      </c>
      <c r="K301" t="str">
        <f>IF(MIS_Backend_Data!AG300="", "", MIS_Backend_Data!AG300)</f>
        <v/>
      </c>
      <c r="L301" s="20" t="str">
        <f>IF(MIS_Backend_Data!AI300="", "", MIS_Backend_Data!AI300)</f>
        <v/>
      </c>
      <c r="M301" t="str">
        <f>IF(MIS_Backend_Data!AK300="", "", MIS_Backend_Data!AK300)</f>
        <v/>
      </c>
      <c r="N301" t="str">
        <f>IF(MIS_Backend_Data!AM300="", "", MIS_Backend_Data!AM300)</f>
        <v/>
      </c>
      <c r="O301" t="str">
        <f>IF(MIS_Backend_Data!AO300="", "", MIS_Backend_Data!AO300)</f>
        <v/>
      </c>
      <c r="P301" t="str">
        <f>IF(MIS_Backend_Data!AS300="", "", MIS_Backend_Data!AS300)</f>
        <v/>
      </c>
      <c r="Q301" t="str">
        <f>IF(MIS_Backend_Data!AX300="", "", MIS_Backend_Data!AX300)</f>
        <v/>
      </c>
      <c r="R301" t="str">
        <f>IF(MIS_Backend_Data!BB300="", "", MIS_Backend_Data!BB300)</f>
        <v/>
      </c>
      <c r="S301" t="str">
        <f>IF(MIS_Backend_Data!AW300="", "", MIS_Backend_Data!AW300)</f>
        <v/>
      </c>
      <c r="T301" s="42" t="str">
        <f>IF(MIS_Backend_Data!N300="Dispatch","Completed","NA")</f>
        <v>NA</v>
      </c>
      <c r="U301" t="str">
        <f t="shared" si="12"/>
        <v/>
      </c>
      <c r="V301" t="str">
        <f t="shared" si="13"/>
        <v/>
      </c>
      <c r="W301" s="20" t="str">
        <f t="shared" si="14"/>
        <v/>
      </c>
    </row>
    <row r="302" spans="2:23" ht="14.5">
      <c r="B302" s="205"/>
      <c r="C302" s="17"/>
      <c r="D302" s="17"/>
      <c r="E302" s="19"/>
      <c r="F302" s="19" t="str">
        <f>IF(MIS_Backend_Data!O301="", "", MIS_Backend_Data!O301)</f>
        <v/>
      </c>
      <c r="G302" t="str">
        <f>IF(MIS_Backend_Data!T301="", "", MIS_Backend_Data!T301)</f>
        <v/>
      </c>
      <c r="H302" t="str">
        <f>IF(MIS_Backend_Data!X301="", "", MIS_Backend_Data!X301)</f>
        <v/>
      </c>
      <c r="I302" t="str">
        <f>IF(MIS_Backend_Data!AC301="", "", MIS_Backend_Data!AC301)</f>
        <v/>
      </c>
      <c r="J302" t="str">
        <f>IF(MIS_Backend_Data!AB301="", "", MIS_Backend_Data!AB301)</f>
        <v/>
      </c>
      <c r="K302" t="str">
        <f>IF(MIS_Backend_Data!AG301="", "", MIS_Backend_Data!AG301)</f>
        <v/>
      </c>
      <c r="L302" s="20" t="str">
        <f>IF(MIS_Backend_Data!AI301="", "", MIS_Backend_Data!AI301)</f>
        <v/>
      </c>
      <c r="M302" t="str">
        <f>IF(MIS_Backend_Data!AK301="", "", MIS_Backend_Data!AK301)</f>
        <v/>
      </c>
      <c r="N302" t="str">
        <f>IF(MIS_Backend_Data!AM301="", "", MIS_Backend_Data!AM301)</f>
        <v/>
      </c>
      <c r="O302" t="str">
        <f>IF(MIS_Backend_Data!AO301="", "", MIS_Backend_Data!AO301)</f>
        <v/>
      </c>
      <c r="P302" t="str">
        <f>IF(MIS_Backend_Data!AS301="", "", MIS_Backend_Data!AS301)</f>
        <v/>
      </c>
      <c r="Q302" t="str">
        <f>IF(MIS_Backend_Data!AX301="", "", MIS_Backend_Data!AX301)</f>
        <v/>
      </c>
      <c r="R302" t="str">
        <f>IF(MIS_Backend_Data!BB301="", "", MIS_Backend_Data!BB301)</f>
        <v/>
      </c>
      <c r="S302" t="str">
        <f>IF(MIS_Backend_Data!AW301="", "", MIS_Backend_Data!AW301)</f>
        <v/>
      </c>
      <c r="T302" s="42" t="str">
        <f>IF(MIS_Backend_Data!N301="Dispatch","Completed","NA")</f>
        <v>NA</v>
      </c>
      <c r="U302" t="str">
        <f t="shared" si="12"/>
        <v/>
      </c>
      <c r="V302" t="str">
        <f t="shared" si="13"/>
        <v/>
      </c>
      <c r="W302" s="20" t="str">
        <f t="shared" si="14"/>
        <v/>
      </c>
    </row>
    <row r="303" spans="2:23" ht="14.5">
      <c r="B303" s="205"/>
      <c r="C303" s="17"/>
      <c r="D303" s="17"/>
      <c r="E303" s="19"/>
      <c r="F303" s="19" t="str">
        <f>IF(MIS_Backend_Data!O302="", "", MIS_Backend_Data!O302)</f>
        <v/>
      </c>
      <c r="G303" t="str">
        <f>IF(MIS_Backend_Data!T302="", "", MIS_Backend_Data!T302)</f>
        <v/>
      </c>
      <c r="H303" t="str">
        <f>IF(MIS_Backend_Data!X302="", "", MIS_Backend_Data!X302)</f>
        <v/>
      </c>
      <c r="I303" t="str">
        <f>IF(MIS_Backend_Data!AC302="", "", MIS_Backend_Data!AC302)</f>
        <v/>
      </c>
      <c r="J303" t="str">
        <f>IF(MIS_Backend_Data!AB302="", "", MIS_Backend_Data!AB302)</f>
        <v/>
      </c>
      <c r="K303" t="str">
        <f>IF(MIS_Backend_Data!AG302="", "", MIS_Backend_Data!AG302)</f>
        <v/>
      </c>
      <c r="L303" s="20" t="str">
        <f>IF(MIS_Backend_Data!AI302="", "", MIS_Backend_Data!AI302)</f>
        <v/>
      </c>
      <c r="M303" t="str">
        <f>IF(MIS_Backend_Data!AK302="", "", MIS_Backend_Data!AK302)</f>
        <v/>
      </c>
      <c r="N303" t="str">
        <f>IF(MIS_Backend_Data!AM302="", "", MIS_Backend_Data!AM302)</f>
        <v/>
      </c>
      <c r="O303" t="str">
        <f>IF(MIS_Backend_Data!AO302="", "", MIS_Backend_Data!AO302)</f>
        <v/>
      </c>
      <c r="P303" t="str">
        <f>IF(MIS_Backend_Data!AS302="", "", MIS_Backend_Data!AS302)</f>
        <v/>
      </c>
      <c r="Q303" t="str">
        <f>IF(MIS_Backend_Data!AX302="", "", MIS_Backend_Data!AX302)</f>
        <v/>
      </c>
      <c r="R303" t="str">
        <f>IF(MIS_Backend_Data!BB302="", "", MIS_Backend_Data!BB302)</f>
        <v/>
      </c>
      <c r="S303" t="str">
        <f>IF(MIS_Backend_Data!AW302="", "", MIS_Backend_Data!AW302)</f>
        <v/>
      </c>
      <c r="T303" s="42" t="str">
        <f>IF(MIS_Backend_Data!N302="Dispatch","Completed","NA")</f>
        <v>NA</v>
      </c>
      <c r="U303" t="str">
        <f t="shared" si="12"/>
        <v/>
      </c>
      <c r="V303" t="str">
        <f t="shared" si="13"/>
        <v/>
      </c>
      <c r="W303" s="20" t="str">
        <f t="shared" si="14"/>
        <v/>
      </c>
    </row>
    <row r="304" spans="2:23" ht="14.5">
      <c r="B304" s="205"/>
      <c r="C304" s="17"/>
      <c r="D304" s="17"/>
      <c r="E304" s="19"/>
      <c r="F304" s="19" t="str">
        <f>IF(MIS_Backend_Data!O303="", "", MIS_Backend_Data!O303)</f>
        <v/>
      </c>
      <c r="G304" t="str">
        <f>IF(MIS_Backend_Data!T303="", "", MIS_Backend_Data!T303)</f>
        <v/>
      </c>
      <c r="H304" t="str">
        <f>IF(MIS_Backend_Data!X303="", "", MIS_Backend_Data!X303)</f>
        <v/>
      </c>
      <c r="I304" t="str">
        <f>IF(MIS_Backend_Data!AC303="", "", MIS_Backend_Data!AC303)</f>
        <v/>
      </c>
      <c r="J304" t="str">
        <f>IF(MIS_Backend_Data!AB303="", "", MIS_Backend_Data!AB303)</f>
        <v/>
      </c>
      <c r="K304" t="str">
        <f>IF(MIS_Backend_Data!AG303="", "", MIS_Backend_Data!AG303)</f>
        <v/>
      </c>
      <c r="L304" s="20" t="str">
        <f>IF(MIS_Backend_Data!AI303="", "", MIS_Backend_Data!AI303)</f>
        <v/>
      </c>
      <c r="M304" t="str">
        <f>IF(MIS_Backend_Data!AK303="", "", MIS_Backend_Data!AK303)</f>
        <v/>
      </c>
      <c r="N304" t="str">
        <f>IF(MIS_Backend_Data!AM303="", "", MIS_Backend_Data!AM303)</f>
        <v/>
      </c>
      <c r="O304" t="str">
        <f>IF(MIS_Backend_Data!AO303="", "", MIS_Backend_Data!AO303)</f>
        <v/>
      </c>
      <c r="P304" t="str">
        <f>IF(MIS_Backend_Data!AS303="", "", MIS_Backend_Data!AS303)</f>
        <v/>
      </c>
      <c r="Q304" t="str">
        <f>IF(MIS_Backend_Data!AX303="", "", MIS_Backend_Data!AX303)</f>
        <v/>
      </c>
      <c r="R304" t="str">
        <f>IF(MIS_Backend_Data!BB303="", "", MIS_Backend_Data!BB303)</f>
        <v/>
      </c>
      <c r="S304" t="str">
        <f>IF(MIS_Backend_Data!AW303="", "", MIS_Backend_Data!AW303)</f>
        <v/>
      </c>
      <c r="T304" s="42" t="str">
        <f>IF(MIS_Backend_Data!N303="Dispatch","Completed","NA")</f>
        <v>NA</v>
      </c>
      <c r="U304" t="str">
        <f t="shared" si="12"/>
        <v/>
      </c>
      <c r="V304" t="str">
        <f t="shared" si="13"/>
        <v/>
      </c>
      <c r="W304" s="20" t="str">
        <f t="shared" si="14"/>
        <v/>
      </c>
    </row>
    <row r="305" spans="2:23" ht="14.5">
      <c r="B305" s="205"/>
      <c r="C305" s="17"/>
      <c r="D305" s="17"/>
      <c r="E305" s="19"/>
      <c r="F305" s="19" t="str">
        <f>IF(MIS_Backend_Data!O304="", "", MIS_Backend_Data!O304)</f>
        <v/>
      </c>
      <c r="G305" t="str">
        <f>IF(MIS_Backend_Data!T304="", "", MIS_Backend_Data!T304)</f>
        <v/>
      </c>
      <c r="H305" t="str">
        <f>IF(MIS_Backend_Data!X304="", "", MIS_Backend_Data!X304)</f>
        <v/>
      </c>
      <c r="I305" t="str">
        <f>IF(MIS_Backend_Data!AC304="", "", MIS_Backend_Data!AC304)</f>
        <v/>
      </c>
      <c r="J305" t="str">
        <f>IF(MIS_Backend_Data!AB304="", "", MIS_Backend_Data!AB304)</f>
        <v/>
      </c>
      <c r="K305" t="str">
        <f>IF(MIS_Backend_Data!AG304="", "", MIS_Backend_Data!AG304)</f>
        <v/>
      </c>
      <c r="L305" s="20" t="str">
        <f>IF(MIS_Backend_Data!AI304="", "", MIS_Backend_Data!AI304)</f>
        <v/>
      </c>
      <c r="M305" t="str">
        <f>IF(MIS_Backend_Data!AK304="", "", MIS_Backend_Data!AK304)</f>
        <v/>
      </c>
      <c r="N305" t="str">
        <f>IF(MIS_Backend_Data!AM304="", "", MIS_Backend_Data!AM304)</f>
        <v/>
      </c>
      <c r="O305" t="str">
        <f>IF(MIS_Backend_Data!AO304="", "", MIS_Backend_Data!AO304)</f>
        <v/>
      </c>
      <c r="P305" t="str">
        <f>IF(MIS_Backend_Data!AS304="", "", MIS_Backend_Data!AS304)</f>
        <v/>
      </c>
      <c r="Q305" t="str">
        <f>IF(MIS_Backend_Data!AX304="", "", MIS_Backend_Data!AX304)</f>
        <v/>
      </c>
      <c r="R305" t="str">
        <f>IF(MIS_Backend_Data!BB304="", "", MIS_Backend_Data!BB304)</f>
        <v/>
      </c>
      <c r="S305" t="str">
        <f>IF(MIS_Backend_Data!AW304="", "", MIS_Backend_Data!AW304)</f>
        <v/>
      </c>
      <c r="T305" s="42" t="str">
        <f>IF(MIS_Backend_Data!N304="Dispatch","Completed","NA")</f>
        <v>NA</v>
      </c>
      <c r="U305" t="str">
        <f t="shared" si="12"/>
        <v/>
      </c>
      <c r="V305" t="str">
        <f t="shared" si="13"/>
        <v/>
      </c>
      <c r="W305" s="20" t="str">
        <f t="shared" si="14"/>
        <v/>
      </c>
    </row>
    <row r="306" spans="2:23" ht="14.5">
      <c r="B306" s="205"/>
      <c r="C306" s="17"/>
      <c r="D306" s="17"/>
      <c r="E306" s="19"/>
      <c r="F306" s="19" t="str">
        <f>IF(MIS_Backend_Data!O305="", "", MIS_Backend_Data!O305)</f>
        <v/>
      </c>
      <c r="G306" t="str">
        <f>IF(MIS_Backend_Data!T305="", "", MIS_Backend_Data!T305)</f>
        <v/>
      </c>
      <c r="H306" t="str">
        <f>IF(MIS_Backend_Data!X305="", "", MIS_Backend_Data!X305)</f>
        <v/>
      </c>
      <c r="I306" t="str">
        <f>IF(MIS_Backend_Data!AC305="", "", MIS_Backend_Data!AC305)</f>
        <v/>
      </c>
      <c r="J306" t="str">
        <f>IF(MIS_Backend_Data!AB305="", "", MIS_Backend_Data!AB305)</f>
        <v/>
      </c>
      <c r="K306" t="str">
        <f>IF(MIS_Backend_Data!AG305="", "", MIS_Backend_Data!AG305)</f>
        <v/>
      </c>
      <c r="L306" s="20" t="str">
        <f>IF(MIS_Backend_Data!AI305="", "", MIS_Backend_Data!AI305)</f>
        <v/>
      </c>
      <c r="M306" t="str">
        <f>IF(MIS_Backend_Data!AK305="", "", MIS_Backend_Data!AK305)</f>
        <v/>
      </c>
      <c r="N306" t="str">
        <f>IF(MIS_Backend_Data!AM305="", "", MIS_Backend_Data!AM305)</f>
        <v/>
      </c>
      <c r="O306" t="str">
        <f>IF(MIS_Backend_Data!AO305="", "", MIS_Backend_Data!AO305)</f>
        <v/>
      </c>
      <c r="P306" t="str">
        <f>IF(MIS_Backend_Data!AS305="", "", MIS_Backend_Data!AS305)</f>
        <v/>
      </c>
      <c r="Q306" t="str">
        <f>IF(MIS_Backend_Data!AX305="", "", MIS_Backend_Data!AX305)</f>
        <v/>
      </c>
      <c r="R306" t="str">
        <f>IF(MIS_Backend_Data!BB305="", "", MIS_Backend_Data!BB305)</f>
        <v/>
      </c>
      <c r="S306" t="str">
        <f>IF(MIS_Backend_Data!AW305="", "", MIS_Backend_Data!AW305)</f>
        <v/>
      </c>
      <c r="T306" s="42" t="str">
        <f>IF(MIS_Backend_Data!N305="Dispatch","Completed","NA")</f>
        <v>NA</v>
      </c>
      <c r="U306" t="str">
        <f t="shared" si="12"/>
        <v/>
      </c>
      <c r="V306" t="str">
        <f t="shared" si="13"/>
        <v/>
      </c>
      <c r="W306" s="20" t="str">
        <f t="shared" si="14"/>
        <v/>
      </c>
    </row>
    <row r="307" spans="2:23" ht="14.5">
      <c r="B307" s="205"/>
      <c r="C307" s="17"/>
      <c r="D307" s="17"/>
      <c r="E307" s="19"/>
      <c r="F307" s="19" t="str">
        <f>IF(MIS_Backend_Data!O306="", "", MIS_Backend_Data!O306)</f>
        <v/>
      </c>
      <c r="G307" t="str">
        <f>IF(MIS_Backend_Data!T306="", "", MIS_Backend_Data!T306)</f>
        <v/>
      </c>
      <c r="H307" t="str">
        <f>IF(MIS_Backend_Data!X306="", "", MIS_Backend_Data!X306)</f>
        <v/>
      </c>
      <c r="I307" t="str">
        <f>IF(MIS_Backend_Data!AC306="", "", MIS_Backend_Data!AC306)</f>
        <v/>
      </c>
      <c r="J307" t="str">
        <f>IF(MIS_Backend_Data!AB306="", "", MIS_Backend_Data!AB306)</f>
        <v/>
      </c>
      <c r="K307" t="str">
        <f>IF(MIS_Backend_Data!AG306="", "", MIS_Backend_Data!AG306)</f>
        <v/>
      </c>
      <c r="L307" s="20" t="str">
        <f>IF(MIS_Backend_Data!AI306="", "", MIS_Backend_Data!AI306)</f>
        <v/>
      </c>
      <c r="M307" t="str">
        <f>IF(MIS_Backend_Data!AK306="", "", MIS_Backend_Data!AK306)</f>
        <v/>
      </c>
      <c r="N307" t="str">
        <f>IF(MIS_Backend_Data!AM306="", "", MIS_Backend_Data!AM306)</f>
        <v/>
      </c>
      <c r="O307" t="str">
        <f>IF(MIS_Backend_Data!AO306="", "", MIS_Backend_Data!AO306)</f>
        <v/>
      </c>
      <c r="P307" t="str">
        <f>IF(MIS_Backend_Data!AS306="", "", MIS_Backend_Data!AS306)</f>
        <v/>
      </c>
      <c r="Q307" t="str">
        <f>IF(MIS_Backend_Data!AX306="", "", MIS_Backend_Data!AX306)</f>
        <v/>
      </c>
      <c r="R307" t="str">
        <f>IF(MIS_Backend_Data!BB306="", "", MIS_Backend_Data!BB306)</f>
        <v/>
      </c>
      <c r="S307" t="str">
        <f>IF(MIS_Backend_Data!AW306="", "", MIS_Backend_Data!AW306)</f>
        <v/>
      </c>
      <c r="T307" s="42" t="str">
        <f>IF(MIS_Backend_Data!N306="Dispatch","Completed","NA")</f>
        <v>NA</v>
      </c>
      <c r="U307" t="str">
        <f t="shared" si="12"/>
        <v/>
      </c>
      <c r="V307" t="str">
        <f t="shared" si="13"/>
        <v/>
      </c>
      <c r="W307" s="20" t="str">
        <f t="shared" si="14"/>
        <v/>
      </c>
    </row>
    <row r="308" spans="2:23" ht="14.5">
      <c r="B308" s="205"/>
      <c r="C308" s="17"/>
      <c r="D308" s="17"/>
      <c r="E308" s="19"/>
      <c r="F308" s="19" t="str">
        <f>IF(MIS_Backend_Data!O307="", "", MIS_Backend_Data!O307)</f>
        <v/>
      </c>
      <c r="G308" t="str">
        <f>IF(MIS_Backend_Data!T307="", "", MIS_Backend_Data!T307)</f>
        <v/>
      </c>
      <c r="H308" t="str">
        <f>IF(MIS_Backend_Data!X307="", "", MIS_Backend_Data!X307)</f>
        <v/>
      </c>
      <c r="I308" t="str">
        <f>IF(MIS_Backend_Data!AC307="", "", MIS_Backend_Data!AC307)</f>
        <v/>
      </c>
      <c r="J308" t="str">
        <f>IF(MIS_Backend_Data!AB307="", "", MIS_Backend_Data!AB307)</f>
        <v/>
      </c>
      <c r="K308" t="str">
        <f>IF(MIS_Backend_Data!AG307="", "", MIS_Backend_Data!AG307)</f>
        <v/>
      </c>
      <c r="L308" s="20" t="str">
        <f>IF(MIS_Backend_Data!AI307="", "", MIS_Backend_Data!AI307)</f>
        <v/>
      </c>
      <c r="M308" t="str">
        <f>IF(MIS_Backend_Data!AK307="", "", MIS_Backend_Data!AK307)</f>
        <v/>
      </c>
      <c r="N308" t="str">
        <f>IF(MIS_Backend_Data!AM307="", "", MIS_Backend_Data!AM307)</f>
        <v/>
      </c>
      <c r="O308" t="str">
        <f>IF(MIS_Backend_Data!AO307="", "", MIS_Backend_Data!AO307)</f>
        <v/>
      </c>
      <c r="P308" t="str">
        <f>IF(MIS_Backend_Data!AS307="", "", MIS_Backend_Data!AS307)</f>
        <v/>
      </c>
      <c r="Q308" t="str">
        <f>IF(MIS_Backend_Data!AX307="", "", MIS_Backend_Data!AX307)</f>
        <v/>
      </c>
      <c r="R308" t="str">
        <f>IF(MIS_Backend_Data!BB307="", "", MIS_Backend_Data!BB307)</f>
        <v/>
      </c>
      <c r="S308" t="str">
        <f>IF(MIS_Backend_Data!AW307="", "", MIS_Backend_Data!AW307)</f>
        <v/>
      </c>
      <c r="T308" s="42" t="str">
        <f>IF(MIS_Backend_Data!N307="Dispatch","Completed","NA")</f>
        <v>NA</v>
      </c>
      <c r="U308" t="str">
        <f t="shared" si="12"/>
        <v/>
      </c>
      <c r="V308" t="str">
        <f t="shared" si="13"/>
        <v/>
      </c>
      <c r="W308" s="20" t="str">
        <f t="shared" si="14"/>
        <v/>
      </c>
    </row>
    <row r="309" spans="2:23" ht="14.5">
      <c r="B309" s="205"/>
      <c r="C309" s="17"/>
      <c r="D309" s="17"/>
      <c r="E309" s="19"/>
      <c r="F309" s="19" t="str">
        <f>IF(MIS_Backend_Data!O308="", "", MIS_Backend_Data!O308)</f>
        <v/>
      </c>
      <c r="G309" t="str">
        <f>IF(MIS_Backend_Data!T308="", "", MIS_Backend_Data!T308)</f>
        <v/>
      </c>
      <c r="H309" t="str">
        <f>IF(MIS_Backend_Data!X308="", "", MIS_Backend_Data!X308)</f>
        <v/>
      </c>
      <c r="I309" t="str">
        <f>IF(MIS_Backend_Data!AC308="", "", MIS_Backend_Data!AC308)</f>
        <v/>
      </c>
      <c r="J309" t="str">
        <f>IF(MIS_Backend_Data!AB308="", "", MIS_Backend_Data!AB308)</f>
        <v/>
      </c>
      <c r="K309" t="str">
        <f>IF(MIS_Backend_Data!AG308="", "", MIS_Backend_Data!AG308)</f>
        <v/>
      </c>
      <c r="L309" s="20" t="str">
        <f>IF(MIS_Backend_Data!AI308="", "", MIS_Backend_Data!AI308)</f>
        <v/>
      </c>
      <c r="M309" t="str">
        <f>IF(MIS_Backend_Data!AK308="", "", MIS_Backend_Data!AK308)</f>
        <v/>
      </c>
      <c r="N309" t="str">
        <f>IF(MIS_Backend_Data!AM308="", "", MIS_Backend_Data!AM308)</f>
        <v/>
      </c>
      <c r="O309" t="str">
        <f>IF(MIS_Backend_Data!AO308="", "", MIS_Backend_Data!AO308)</f>
        <v/>
      </c>
      <c r="P309" t="str">
        <f>IF(MIS_Backend_Data!AS308="", "", MIS_Backend_Data!AS308)</f>
        <v/>
      </c>
      <c r="Q309" t="str">
        <f>IF(MIS_Backend_Data!AX308="", "", MIS_Backend_Data!AX308)</f>
        <v/>
      </c>
      <c r="R309" t="str">
        <f>IF(MIS_Backend_Data!BB308="", "", MIS_Backend_Data!BB308)</f>
        <v/>
      </c>
      <c r="S309" t="str">
        <f>IF(MIS_Backend_Data!AW308="", "", MIS_Backend_Data!AW308)</f>
        <v/>
      </c>
      <c r="T309" s="42" t="str">
        <f>IF(MIS_Backend_Data!N308="Dispatch","Completed","NA")</f>
        <v>NA</v>
      </c>
      <c r="U309" t="str">
        <f t="shared" si="12"/>
        <v/>
      </c>
      <c r="V309" t="str">
        <f t="shared" si="13"/>
        <v/>
      </c>
      <c r="W309" s="20" t="str">
        <f t="shared" si="14"/>
        <v/>
      </c>
    </row>
    <row r="310" spans="2:23" ht="14.5">
      <c r="B310" s="205"/>
      <c r="C310" s="17"/>
      <c r="D310" s="17"/>
      <c r="E310" s="19"/>
      <c r="F310" s="19" t="str">
        <f>IF(MIS_Backend_Data!O309="", "", MIS_Backend_Data!O309)</f>
        <v/>
      </c>
      <c r="G310" t="str">
        <f>IF(MIS_Backend_Data!T309="", "", MIS_Backend_Data!T309)</f>
        <v/>
      </c>
      <c r="H310" t="str">
        <f>IF(MIS_Backend_Data!X309="", "", MIS_Backend_Data!X309)</f>
        <v/>
      </c>
      <c r="I310" t="str">
        <f>IF(MIS_Backend_Data!AC309="", "", MIS_Backend_Data!AC309)</f>
        <v/>
      </c>
      <c r="J310" t="str">
        <f>IF(MIS_Backend_Data!AB309="", "", MIS_Backend_Data!AB309)</f>
        <v/>
      </c>
      <c r="K310" t="str">
        <f>IF(MIS_Backend_Data!AG309="", "", MIS_Backend_Data!AG309)</f>
        <v/>
      </c>
      <c r="L310" s="20" t="str">
        <f>IF(MIS_Backend_Data!AI309="", "", MIS_Backend_Data!AI309)</f>
        <v/>
      </c>
      <c r="M310" t="str">
        <f>IF(MIS_Backend_Data!AK309="", "", MIS_Backend_Data!AK309)</f>
        <v/>
      </c>
      <c r="N310" t="str">
        <f>IF(MIS_Backend_Data!AM309="", "", MIS_Backend_Data!AM309)</f>
        <v/>
      </c>
      <c r="O310" t="str">
        <f>IF(MIS_Backend_Data!AO309="", "", MIS_Backend_Data!AO309)</f>
        <v/>
      </c>
      <c r="P310" t="str">
        <f>IF(MIS_Backend_Data!AS309="", "", MIS_Backend_Data!AS309)</f>
        <v/>
      </c>
      <c r="Q310" t="str">
        <f>IF(MIS_Backend_Data!AX309="", "", MIS_Backend_Data!AX309)</f>
        <v/>
      </c>
      <c r="R310" t="str">
        <f>IF(MIS_Backend_Data!BB309="", "", MIS_Backend_Data!BB309)</f>
        <v/>
      </c>
      <c r="S310" t="str">
        <f>IF(MIS_Backend_Data!AW309="", "", MIS_Backend_Data!AW309)</f>
        <v/>
      </c>
      <c r="T310" s="42" t="str">
        <f>IF(MIS_Backend_Data!N309="Dispatch","Completed","NA")</f>
        <v>NA</v>
      </c>
      <c r="U310" t="str">
        <f t="shared" si="12"/>
        <v/>
      </c>
      <c r="V310" t="str">
        <f t="shared" si="13"/>
        <v/>
      </c>
      <c r="W310" s="20" t="str">
        <f t="shared" si="14"/>
        <v/>
      </c>
    </row>
    <row r="311" spans="2:23" ht="14.5">
      <c r="B311" s="205"/>
      <c r="C311" s="17"/>
      <c r="D311" s="17"/>
      <c r="E311" s="19"/>
      <c r="F311" s="19" t="str">
        <f>IF(MIS_Backend_Data!O310="", "", MIS_Backend_Data!O310)</f>
        <v/>
      </c>
      <c r="G311" t="str">
        <f>IF(MIS_Backend_Data!T310="", "", MIS_Backend_Data!T310)</f>
        <v/>
      </c>
      <c r="H311" t="str">
        <f>IF(MIS_Backend_Data!X310="", "", MIS_Backend_Data!X310)</f>
        <v/>
      </c>
      <c r="I311" t="str">
        <f>IF(MIS_Backend_Data!AC310="", "", MIS_Backend_Data!AC310)</f>
        <v/>
      </c>
      <c r="J311" t="str">
        <f>IF(MIS_Backend_Data!AB310="", "", MIS_Backend_Data!AB310)</f>
        <v/>
      </c>
      <c r="K311" t="str">
        <f>IF(MIS_Backend_Data!AG310="", "", MIS_Backend_Data!AG310)</f>
        <v/>
      </c>
      <c r="L311" s="20" t="str">
        <f>IF(MIS_Backend_Data!AI310="", "", MIS_Backend_Data!AI310)</f>
        <v/>
      </c>
      <c r="M311" t="str">
        <f>IF(MIS_Backend_Data!AK310="", "", MIS_Backend_Data!AK310)</f>
        <v/>
      </c>
      <c r="N311" t="str">
        <f>IF(MIS_Backend_Data!AM310="", "", MIS_Backend_Data!AM310)</f>
        <v/>
      </c>
      <c r="O311" t="str">
        <f>IF(MIS_Backend_Data!AO310="", "", MIS_Backend_Data!AO310)</f>
        <v/>
      </c>
      <c r="P311" t="str">
        <f>IF(MIS_Backend_Data!AS310="", "", MIS_Backend_Data!AS310)</f>
        <v/>
      </c>
      <c r="Q311" t="str">
        <f>IF(MIS_Backend_Data!AX310="", "", MIS_Backend_Data!AX310)</f>
        <v/>
      </c>
      <c r="R311" t="str">
        <f>IF(MIS_Backend_Data!BB310="", "", MIS_Backend_Data!BB310)</f>
        <v/>
      </c>
      <c r="S311" t="str">
        <f>IF(MIS_Backend_Data!AW310="", "", MIS_Backend_Data!AW310)</f>
        <v/>
      </c>
      <c r="T311" s="42" t="str">
        <f>IF(MIS_Backend_Data!N310="Dispatch","Completed","NA")</f>
        <v>NA</v>
      </c>
      <c r="U311" t="str">
        <f t="shared" si="12"/>
        <v/>
      </c>
      <c r="V311" t="str">
        <f t="shared" si="13"/>
        <v/>
      </c>
      <c r="W311" s="20" t="str">
        <f t="shared" si="14"/>
        <v/>
      </c>
    </row>
    <row r="312" spans="2:23" ht="14.5">
      <c r="B312" s="205"/>
      <c r="C312" s="17"/>
      <c r="D312" s="17"/>
      <c r="E312" s="19"/>
      <c r="F312" s="19" t="str">
        <f>IF(MIS_Backend_Data!O311="", "", MIS_Backend_Data!O311)</f>
        <v/>
      </c>
      <c r="G312" t="str">
        <f>IF(MIS_Backend_Data!T311="", "", MIS_Backend_Data!T311)</f>
        <v/>
      </c>
      <c r="H312" t="str">
        <f>IF(MIS_Backend_Data!X311="", "", MIS_Backend_Data!X311)</f>
        <v/>
      </c>
      <c r="I312" t="str">
        <f>IF(MIS_Backend_Data!AC311="", "", MIS_Backend_Data!AC311)</f>
        <v/>
      </c>
      <c r="J312" t="str">
        <f>IF(MIS_Backend_Data!AB311="", "", MIS_Backend_Data!AB311)</f>
        <v/>
      </c>
      <c r="K312" t="str">
        <f>IF(MIS_Backend_Data!AG311="", "", MIS_Backend_Data!AG311)</f>
        <v/>
      </c>
      <c r="L312" s="20" t="str">
        <f>IF(MIS_Backend_Data!AI311="", "", MIS_Backend_Data!AI311)</f>
        <v/>
      </c>
      <c r="M312" t="str">
        <f>IF(MIS_Backend_Data!AK311="", "", MIS_Backend_Data!AK311)</f>
        <v/>
      </c>
      <c r="N312" t="str">
        <f>IF(MIS_Backend_Data!AM311="", "", MIS_Backend_Data!AM311)</f>
        <v/>
      </c>
      <c r="O312" t="str">
        <f>IF(MIS_Backend_Data!AO311="", "", MIS_Backend_Data!AO311)</f>
        <v/>
      </c>
      <c r="P312" t="str">
        <f>IF(MIS_Backend_Data!AS311="", "", MIS_Backend_Data!AS311)</f>
        <v/>
      </c>
      <c r="Q312" t="str">
        <f>IF(MIS_Backend_Data!AX311="", "", MIS_Backend_Data!AX311)</f>
        <v/>
      </c>
      <c r="R312" t="str">
        <f>IF(MIS_Backend_Data!BB311="", "", MIS_Backend_Data!BB311)</f>
        <v/>
      </c>
      <c r="S312" t="str">
        <f>IF(MIS_Backend_Data!AW311="", "", MIS_Backend_Data!AW311)</f>
        <v/>
      </c>
      <c r="T312" s="42" t="str">
        <f>IF(MIS_Backend_Data!N311="Dispatch","Completed","NA")</f>
        <v>NA</v>
      </c>
      <c r="U312" t="str">
        <f t="shared" si="12"/>
        <v/>
      </c>
      <c r="V312" t="str">
        <f t="shared" si="13"/>
        <v/>
      </c>
      <c r="W312" s="20" t="str">
        <f t="shared" si="14"/>
        <v/>
      </c>
    </row>
    <row r="313" spans="2:23" ht="14.5">
      <c r="B313" s="205"/>
      <c r="C313" s="17"/>
      <c r="D313" s="17"/>
      <c r="E313" s="19"/>
      <c r="F313" s="19" t="str">
        <f>IF(MIS_Backend_Data!O312="", "", MIS_Backend_Data!O312)</f>
        <v/>
      </c>
      <c r="G313" t="str">
        <f>IF(MIS_Backend_Data!T312="", "", MIS_Backend_Data!T312)</f>
        <v/>
      </c>
      <c r="H313" t="str">
        <f>IF(MIS_Backend_Data!X312="", "", MIS_Backend_Data!X312)</f>
        <v/>
      </c>
      <c r="I313" t="str">
        <f>IF(MIS_Backend_Data!AC312="", "", MIS_Backend_Data!AC312)</f>
        <v/>
      </c>
      <c r="J313" t="str">
        <f>IF(MIS_Backend_Data!AB312="", "", MIS_Backend_Data!AB312)</f>
        <v/>
      </c>
      <c r="K313" t="str">
        <f>IF(MIS_Backend_Data!AG312="", "", MIS_Backend_Data!AG312)</f>
        <v/>
      </c>
      <c r="L313" s="20" t="str">
        <f>IF(MIS_Backend_Data!AI312="", "", MIS_Backend_Data!AI312)</f>
        <v/>
      </c>
      <c r="M313" t="str">
        <f>IF(MIS_Backend_Data!AK312="", "", MIS_Backend_Data!AK312)</f>
        <v/>
      </c>
      <c r="N313" t="str">
        <f>IF(MIS_Backend_Data!AM312="", "", MIS_Backend_Data!AM312)</f>
        <v/>
      </c>
      <c r="O313" t="str">
        <f>IF(MIS_Backend_Data!AO312="", "", MIS_Backend_Data!AO312)</f>
        <v/>
      </c>
      <c r="P313" t="str">
        <f>IF(MIS_Backend_Data!AS312="", "", MIS_Backend_Data!AS312)</f>
        <v/>
      </c>
      <c r="Q313" t="str">
        <f>IF(MIS_Backend_Data!AX312="", "", MIS_Backend_Data!AX312)</f>
        <v/>
      </c>
      <c r="R313" t="str">
        <f>IF(MIS_Backend_Data!BB312="", "", MIS_Backend_Data!BB312)</f>
        <v/>
      </c>
      <c r="S313" t="str">
        <f>IF(MIS_Backend_Data!AW312="", "", MIS_Backend_Data!AW312)</f>
        <v/>
      </c>
      <c r="T313" s="42" t="str">
        <f>IF(MIS_Backend_Data!N312="Dispatch","Completed","NA")</f>
        <v>NA</v>
      </c>
      <c r="U313" t="str">
        <f t="shared" si="12"/>
        <v/>
      </c>
      <c r="V313" t="str">
        <f t="shared" si="13"/>
        <v/>
      </c>
      <c r="W313" s="20" t="str">
        <f t="shared" si="14"/>
        <v/>
      </c>
    </row>
    <row r="314" spans="2:23" ht="14.5">
      <c r="B314" s="205"/>
      <c r="C314" s="17"/>
      <c r="D314" s="17"/>
      <c r="E314" s="19"/>
      <c r="F314" s="19" t="str">
        <f>IF(MIS_Backend_Data!O313="", "", MIS_Backend_Data!O313)</f>
        <v/>
      </c>
      <c r="G314" t="str">
        <f>IF(MIS_Backend_Data!T313="", "", MIS_Backend_Data!T313)</f>
        <v/>
      </c>
      <c r="H314" t="str">
        <f>IF(MIS_Backend_Data!X313="", "", MIS_Backend_Data!X313)</f>
        <v/>
      </c>
      <c r="I314" t="str">
        <f>IF(MIS_Backend_Data!AC313="", "", MIS_Backend_Data!AC313)</f>
        <v/>
      </c>
      <c r="J314" t="str">
        <f>IF(MIS_Backend_Data!AB313="", "", MIS_Backend_Data!AB313)</f>
        <v/>
      </c>
      <c r="K314" t="str">
        <f>IF(MIS_Backend_Data!AG313="", "", MIS_Backend_Data!AG313)</f>
        <v/>
      </c>
      <c r="L314" s="20" t="str">
        <f>IF(MIS_Backend_Data!AI313="", "", MIS_Backend_Data!AI313)</f>
        <v/>
      </c>
      <c r="M314" t="str">
        <f>IF(MIS_Backend_Data!AK313="", "", MIS_Backend_Data!AK313)</f>
        <v/>
      </c>
      <c r="N314" t="str">
        <f>IF(MIS_Backend_Data!AM313="", "", MIS_Backend_Data!AM313)</f>
        <v/>
      </c>
      <c r="O314" t="str">
        <f>IF(MIS_Backend_Data!AO313="", "", MIS_Backend_Data!AO313)</f>
        <v/>
      </c>
      <c r="P314" t="str">
        <f>IF(MIS_Backend_Data!AS313="", "", MIS_Backend_Data!AS313)</f>
        <v/>
      </c>
      <c r="Q314" t="str">
        <f>IF(MIS_Backend_Data!AX313="", "", MIS_Backend_Data!AX313)</f>
        <v/>
      </c>
      <c r="R314" t="str">
        <f>IF(MIS_Backend_Data!BB313="", "", MIS_Backend_Data!BB313)</f>
        <v/>
      </c>
      <c r="S314" t="str">
        <f>IF(MIS_Backend_Data!AW313="", "", MIS_Backend_Data!AW313)</f>
        <v/>
      </c>
      <c r="T314" s="42" t="str">
        <f>IF(MIS_Backend_Data!N313="Dispatch","Completed","NA")</f>
        <v>NA</v>
      </c>
      <c r="U314" t="str">
        <f t="shared" si="12"/>
        <v/>
      </c>
      <c r="V314" t="str">
        <f t="shared" si="13"/>
        <v/>
      </c>
      <c r="W314" s="20" t="str">
        <f t="shared" si="14"/>
        <v/>
      </c>
    </row>
    <row r="315" spans="2:23" ht="14.5">
      <c r="B315" s="205"/>
      <c r="C315" s="17"/>
      <c r="D315" s="17"/>
      <c r="E315" s="19"/>
      <c r="F315" s="19" t="str">
        <f>IF(MIS_Backend_Data!O314="", "", MIS_Backend_Data!O314)</f>
        <v/>
      </c>
      <c r="G315" t="str">
        <f>IF(MIS_Backend_Data!T314="", "", MIS_Backend_Data!T314)</f>
        <v/>
      </c>
      <c r="H315" t="str">
        <f>IF(MIS_Backend_Data!X314="", "", MIS_Backend_Data!X314)</f>
        <v/>
      </c>
      <c r="I315" t="str">
        <f>IF(MIS_Backend_Data!AC314="", "", MIS_Backend_Data!AC314)</f>
        <v/>
      </c>
      <c r="J315" t="str">
        <f>IF(MIS_Backend_Data!AB314="", "", MIS_Backend_Data!AB314)</f>
        <v/>
      </c>
      <c r="K315" t="str">
        <f>IF(MIS_Backend_Data!AG314="", "", MIS_Backend_Data!AG314)</f>
        <v/>
      </c>
      <c r="L315" s="20" t="str">
        <f>IF(MIS_Backend_Data!AI314="", "", MIS_Backend_Data!AI314)</f>
        <v/>
      </c>
      <c r="M315" t="str">
        <f>IF(MIS_Backend_Data!AK314="", "", MIS_Backend_Data!AK314)</f>
        <v/>
      </c>
      <c r="N315" t="str">
        <f>IF(MIS_Backend_Data!AM314="", "", MIS_Backend_Data!AM314)</f>
        <v/>
      </c>
      <c r="O315" t="str">
        <f>IF(MIS_Backend_Data!AO314="", "", MIS_Backend_Data!AO314)</f>
        <v/>
      </c>
      <c r="P315" t="str">
        <f>IF(MIS_Backend_Data!AS314="", "", MIS_Backend_Data!AS314)</f>
        <v/>
      </c>
      <c r="Q315" t="str">
        <f>IF(MIS_Backend_Data!AX314="", "", MIS_Backend_Data!AX314)</f>
        <v/>
      </c>
      <c r="R315" t="str">
        <f>IF(MIS_Backend_Data!BB314="", "", MIS_Backend_Data!BB314)</f>
        <v/>
      </c>
      <c r="S315" t="str">
        <f>IF(MIS_Backend_Data!AW314="", "", MIS_Backend_Data!AW314)</f>
        <v/>
      </c>
      <c r="T315" s="42" t="str">
        <f>IF(MIS_Backend_Data!N314="Dispatch","Completed","NA")</f>
        <v>NA</v>
      </c>
      <c r="U315" t="str">
        <f t="shared" si="12"/>
        <v/>
      </c>
      <c r="V315" t="str">
        <f t="shared" si="13"/>
        <v/>
      </c>
      <c r="W315" s="20" t="str">
        <f t="shared" si="14"/>
        <v/>
      </c>
    </row>
    <row r="316" spans="2:23" ht="14.5">
      <c r="B316" s="205"/>
      <c r="C316" s="17"/>
      <c r="D316" s="17"/>
      <c r="E316" s="19"/>
      <c r="F316" s="19" t="str">
        <f>IF(MIS_Backend_Data!O315="", "", MIS_Backend_Data!O315)</f>
        <v/>
      </c>
      <c r="G316" t="str">
        <f>IF(MIS_Backend_Data!T315="", "", MIS_Backend_Data!T315)</f>
        <v/>
      </c>
      <c r="H316" t="str">
        <f>IF(MIS_Backend_Data!X315="", "", MIS_Backend_Data!X315)</f>
        <v/>
      </c>
      <c r="I316" t="str">
        <f>IF(MIS_Backend_Data!AC315="", "", MIS_Backend_Data!AC315)</f>
        <v/>
      </c>
      <c r="J316" t="str">
        <f>IF(MIS_Backend_Data!AB315="", "", MIS_Backend_Data!AB315)</f>
        <v/>
      </c>
      <c r="K316" t="str">
        <f>IF(MIS_Backend_Data!AG315="", "", MIS_Backend_Data!AG315)</f>
        <v/>
      </c>
      <c r="L316" s="20" t="str">
        <f>IF(MIS_Backend_Data!AI315="", "", MIS_Backend_Data!AI315)</f>
        <v/>
      </c>
      <c r="M316" t="str">
        <f>IF(MIS_Backend_Data!AK315="", "", MIS_Backend_Data!AK315)</f>
        <v/>
      </c>
      <c r="N316" t="str">
        <f>IF(MIS_Backend_Data!AM315="", "", MIS_Backend_Data!AM315)</f>
        <v/>
      </c>
      <c r="O316" t="str">
        <f>IF(MIS_Backend_Data!AO315="", "", MIS_Backend_Data!AO315)</f>
        <v/>
      </c>
      <c r="P316" t="str">
        <f>IF(MIS_Backend_Data!AS315="", "", MIS_Backend_Data!AS315)</f>
        <v/>
      </c>
      <c r="Q316" t="str">
        <f>IF(MIS_Backend_Data!AX315="", "", MIS_Backend_Data!AX315)</f>
        <v/>
      </c>
      <c r="R316" t="str">
        <f>IF(MIS_Backend_Data!BB315="", "", MIS_Backend_Data!BB315)</f>
        <v/>
      </c>
      <c r="S316" t="str">
        <f>IF(MIS_Backend_Data!AW315="", "", MIS_Backend_Data!AW315)</f>
        <v/>
      </c>
      <c r="T316" s="42" t="str">
        <f>IF(MIS_Backend_Data!N315="Dispatch","Completed","NA")</f>
        <v>NA</v>
      </c>
      <c r="U316" t="str">
        <f t="shared" si="12"/>
        <v/>
      </c>
      <c r="V316" t="str">
        <f t="shared" si="13"/>
        <v/>
      </c>
      <c r="W316" s="20" t="str">
        <f t="shared" si="14"/>
        <v/>
      </c>
    </row>
    <row r="317" spans="2:23" ht="14.5">
      <c r="B317" s="205"/>
      <c r="C317" s="17"/>
      <c r="D317" s="17"/>
      <c r="E317" s="19"/>
      <c r="F317" s="19" t="str">
        <f>IF(MIS_Backend_Data!O316="", "", MIS_Backend_Data!O316)</f>
        <v/>
      </c>
      <c r="G317" t="str">
        <f>IF(MIS_Backend_Data!T316="", "", MIS_Backend_Data!T316)</f>
        <v/>
      </c>
      <c r="H317" t="str">
        <f>IF(MIS_Backend_Data!X316="", "", MIS_Backend_Data!X316)</f>
        <v/>
      </c>
      <c r="I317" t="str">
        <f>IF(MIS_Backend_Data!AC316="", "", MIS_Backend_Data!AC316)</f>
        <v/>
      </c>
      <c r="J317" t="str">
        <f>IF(MIS_Backend_Data!AB316="", "", MIS_Backend_Data!AB316)</f>
        <v/>
      </c>
      <c r="K317" t="str">
        <f>IF(MIS_Backend_Data!AG316="", "", MIS_Backend_Data!AG316)</f>
        <v/>
      </c>
      <c r="L317" s="20" t="str">
        <f>IF(MIS_Backend_Data!AI316="", "", MIS_Backend_Data!AI316)</f>
        <v/>
      </c>
      <c r="M317" t="str">
        <f>IF(MIS_Backend_Data!AK316="", "", MIS_Backend_Data!AK316)</f>
        <v/>
      </c>
      <c r="N317" t="str">
        <f>IF(MIS_Backend_Data!AM316="", "", MIS_Backend_Data!AM316)</f>
        <v/>
      </c>
      <c r="O317" t="str">
        <f>IF(MIS_Backend_Data!AO316="", "", MIS_Backend_Data!AO316)</f>
        <v/>
      </c>
      <c r="P317" t="str">
        <f>IF(MIS_Backend_Data!AS316="", "", MIS_Backend_Data!AS316)</f>
        <v/>
      </c>
      <c r="Q317" t="str">
        <f>IF(MIS_Backend_Data!AX316="", "", MIS_Backend_Data!AX316)</f>
        <v/>
      </c>
      <c r="R317" t="str">
        <f>IF(MIS_Backend_Data!BB316="", "", MIS_Backend_Data!BB316)</f>
        <v/>
      </c>
      <c r="S317" t="str">
        <f>IF(MIS_Backend_Data!AW316="", "", MIS_Backend_Data!AW316)</f>
        <v/>
      </c>
      <c r="T317" s="42" t="str">
        <f>IF(MIS_Backend_Data!N316="Dispatch","Completed","NA")</f>
        <v>NA</v>
      </c>
      <c r="U317" t="str">
        <f t="shared" si="12"/>
        <v/>
      </c>
      <c r="V317" t="str">
        <f t="shared" si="13"/>
        <v/>
      </c>
      <c r="W317" s="20" t="str">
        <f t="shared" si="14"/>
        <v/>
      </c>
    </row>
    <row r="318" spans="2:23" ht="14.5">
      <c r="B318" s="205"/>
      <c r="C318" s="17"/>
      <c r="D318" s="17"/>
      <c r="E318" s="19"/>
      <c r="F318" s="19" t="str">
        <f>IF(MIS_Backend_Data!O317="", "", MIS_Backend_Data!O317)</f>
        <v/>
      </c>
      <c r="G318" t="str">
        <f>IF(MIS_Backend_Data!T317="", "", MIS_Backend_Data!T317)</f>
        <v/>
      </c>
      <c r="H318" t="str">
        <f>IF(MIS_Backend_Data!X317="", "", MIS_Backend_Data!X317)</f>
        <v/>
      </c>
      <c r="I318" t="str">
        <f>IF(MIS_Backend_Data!AC317="", "", MIS_Backend_Data!AC317)</f>
        <v/>
      </c>
      <c r="J318" t="str">
        <f>IF(MIS_Backend_Data!AB317="", "", MIS_Backend_Data!AB317)</f>
        <v/>
      </c>
      <c r="K318" t="str">
        <f>IF(MIS_Backend_Data!AG317="", "", MIS_Backend_Data!AG317)</f>
        <v/>
      </c>
      <c r="L318" s="20" t="str">
        <f>IF(MIS_Backend_Data!AI317="", "", MIS_Backend_Data!AI317)</f>
        <v/>
      </c>
      <c r="M318" t="str">
        <f>IF(MIS_Backend_Data!AK317="", "", MIS_Backend_Data!AK317)</f>
        <v/>
      </c>
      <c r="N318" t="str">
        <f>IF(MIS_Backend_Data!AM317="", "", MIS_Backend_Data!AM317)</f>
        <v/>
      </c>
      <c r="O318" t="str">
        <f>IF(MIS_Backend_Data!AO317="", "", MIS_Backend_Data!AO317)</f>
        <v/>
      </c>
      <c r="P318" t="str">
        <f>IF(MIS_Backend_Data!AS317="", "", MIS_Backend_Data!AS317)</f>
        <v/>
      </c>
      <c r="Q318" t="str">
        <f>IF(MIS_Backend_Data!AX317="", "", MIS_Backend_Data!AX317)</f>
        <v/>
      </c>
      <c r="R318" t="str">
        <f>IF(MIS_Backend_Data!BB317="", "", MIS_Backend_Data!BB317)</f>
        <v/>
      </c>
      <c r="S318" t="str">
        <f>IF(MIS_Backend_Data!AW317="", "", MIS_Backend_Data!AW317)</f>
        <v/>
      </c>
      <c r="T318" s="42" t="str">
        <f>IF(MIS_Backend_Data!N317="Dispatch","Completed","NA")</f>
        <v>NA</v>
      </c>
      <c r="U318" t="str">
        <f t="shared" si="12"/>
        <v/>
      </c>
      <c r="V318" t="str">
        <f t="shared" si="13"/>
        <v/>
      </c>
      <c r="W318" s="20" t="str">
        <f t="shared" si="14"/>
        <v/>
      </c>
    </row>
    <row r="319" spans="2:23" ht="14.5">
      <c r="B319" s="205"/>
      <c r="C319" s="17"/>
      <c r="D319" s="17"/>
      <c r="E319" s="19"/>
      <c r="F319" s="19" t="str">
        <f>IF(MIS_Backend_Data!O318="", "", MIS_Backend_Data!O318)</f>
        <v/>
      </c>
      <c r="G319" t="str">
        <f>IF(MIS_Backend_Data!T318="", "", MIS_Backend_Data!T318)</f>
        <v/>
      </c>
      <c r="H319" t="str">
        <f>IF(MIS_Backend_Data!X318="", "", MIS_Backend_Data!X318)</f>
        <v/>
      </c>
      <c r="I319" t="str">
        <f>IF(MIS_Backend_Data!AC318="", "", MIS_Backend_Data!AC318)</f>
        <v/>
      </c>
      <c r="J319" t="str">
        <f>IF(MIS_Backend_Data!AB318="", "", MIS_Backend_Data!AB318)</f>
        <v/>
      </c>
      <c r="K319" t="str">
        <f>IF(MIS_Backend_Data!AG318="", "", MIS_Backend_Data!AG318)</f>
        <v/>
      </c>
      <c r="L319" s="20" t="str">
        <f>IF(MIS_Backend_Data!AI318="", "", MIS_Backend_Data!AI318)</f>
        <v/>
      </c>
      <c r="M319" t="str">
        <f>IF(MIS_Backend_Data!AK318="", "", MIS_Backend_Data!AK318)</f>
        <v/>
      </c>
      <c r="N319" t="str">
        <f>IF(MIS_Backend_Data!AM318="", "", MIS_Backend_Data!AM318)</f>
        <v/>
      </c>
      <c r="O319" t="str">
        <f>IF(MIS_Backend_Data!AO318="", "", MIS_Backend_Data!AO318)</f>
        <v/>
      </c>
      <c r="P319" t="str">
        <f>IF(MIS_Backend_Data!AS318="", "", MIS_Backend_Data!AS318)</f>
        <v/>
      </c>
      <c r="Q319" t="str">
        <f>IF(MIS_Backend_Data!AX318="", "", MIS_Backend_Data!AX318)</f>
        <v/>
      </c>
      <c r="R319" t="str">
        <f>IF(MIS_Backend_Data!BB318="", "", MIS_Backend_Data!BB318)</f>
        <v/>
      </c>
      <c r="S319" t="str">
        <f>IF(MIS_Backend_Data!AW318="", "", MIS_Backend_Data!AW318)</f>
        <v/>
      </c>
      <c r="T319" s="42" t="str">
        <f>IF(MIS_Backend_Data!N318="Dispatch","Completed","NA")</f>
        <v>NA</v>
      </c>
      <c r="U319" t="str">
        <f t="shared" si="12"/>
        <v/>
      </c>
      <c r="V319" t="str">
        <f t="shared" si="13"/>
        <v/>
      </c>
      <c r="W319" s="20" t="str">
        <f t="shared" si="14"/>
        <v/>
      </c>
    </row>
    <row r="320" spans="2:23" ht="14.5">
      <c r="B320" s="205"/>
      <c r="C320" s="17"/>
      <c r="D320" s="17"/>
      <c r="E320" s="19"/>
      <c r="F320" s="19" t="str">
        <f>IF(MIS_Backend_Data!O319="", "", MIS_Backend_Data!O319)</f>
        <v/>
      </c>
      <c r="G320" t="str">
        <f>IF(MIS_Backend_Data!T319="", "", MIS_Backend_Data!T319)</f>
        <v/>
      </c>
      <c r="H320" t="str">
        <f>IF(MIS_Backend_Data!X319="", "", MIS_Backend_Data!X319)</f>
        <v/>
      </c>
      <c r="I320" t="str">
        <f>IF(MIS_Backend_Data!AC319="", "", MIS_Backend_Data!AC319)</f>
        <v/>
      </c>
      <c r="J320" t="str">
        <f>IF(MIS_Backend_Data!AB319="", "", MIS_Backend_Data!AB319)</f>
        <v/>
      </c>
      <c r="K320" t="str">
        <f>IF(MIS_Backend_Data!AG319="", "", MIS_Backend_Data!AG319)</f>
        <v/>
      </c>
      <c r="L320" s="20" t="str">
        <f>IF(MIS_Backend_Data!AI319="", "", MIS_Backend_Data!AI319)</f>
        <v/>
      </c>
      <c r="M320" t="str">
        <f>IF(MIS_Backend_Data!AK319="", "", MIS_Backend_Data!AK319)</f>
        <v/>
      </c>
      <c r="N320" t="str">
        <f>IF(MIS_Backend_Data!AM319="", "", MIS_Backend_Data!AM319)</f>
        <v/>
      </c>
      <c r="O320" t="str">
        <f>IF(MIS_Backend_Data!AO319="", "", MIS_Backend_Data!AO319)</f>
        <v/>
      </c>
      <c r="P320" t="str">
        <f>IF(MIS_Backend_Data!AS319="", "", MIS_Backend_Data!AS319)</f>
        <v/>
      </c>
      <c r="Q320" t="str">
        <f>IF(MIS_Backend_Data!AX319="", "", MIS_Backend_Data!AX319)</f>
        <v/>
      </c>
      <c r="R320" t="str">
        <f>IF(MIS_Backend_Data!BB319="", "", MIS_Backend_Data!BB319)</f>
        <v/>
      </c>
      <c r="S320" t="str">
        <f>IF(MIS_Backend_Data!AW319="", "", MIS_Backend_Data!AW319)</f>
        <v/>
      </c>
      <c r="T320" s="42" t="str">
        <f>IF(MIS_Backend_Data!N319="Dispatch","Completed","NA")</f>
        <v>NA</v>
      </c>
      <c r="U320" t="str">
        <f t="shared" si="12"/>
        <v/>
      </c>
      <c r="V320" t="str">
        <f t="shared" si="13"/>
        <v/>
      </c>
      <c r="W320" s="20" t="str">
        <f t="shared" si="14"/>
        <v/>
      </c>
    </row>
    <row r="321" spans="2:23" ht="14.5">
      <c r="B321" s="205"/>
      <c r="C321" s="17"/>
      <c r="D321" s="17"/>
      <c r="E321" s="19"/>
      <c r="F321" s="19" t="str">
        <f>IF(MIS_Backend_Data!O320="", "", MIS_Backend_Data!O320)</f>
        <v/>
      </c>
      <c r="G321" t="str">
        <f>IF(MIS_Backend_Data!T320="", "", MIS_Backend_Data!T320)</f>
        <v/>
      </c>
      <c r="H321" t="str">
        <f>IF(MIS_Backend_Data!X320="", "", MIS_Backend_Data!X320)</f>
        <v/>
      </c>
      <c r="I321" t="str">
        <f>IF(MIS_Backend_Data!AC320="", "", MIS_Backend_Data!AC320)</f>
        <v/>
      </c>
      <c r="J321" t="str">
        <f>IF(MIS_Backend_Data!AB320="", "", MIS_Backend_Data!AB320)</f>
        <v/>
      </c>
      <c r="K321" t="str">
        <f>IF(MIS_Backend_Data!AG320="", "", MIS_Backend_Data!AG320)</f>
        <v/>
      </c>
      <c r="L321" s="20" t="str">
        <f>IF(MIS_Backend_Data!AI320="", "", MIS_Backend_Data!AI320)</f>
        <v/>
      </c>
      <c r="M321" t="str">
        <f>IF(MIS_Backend_Data!AK320="", "", MIS_Backend_Data!AK320)</f>
        <v/>
      </c>
      <c r="N321" t="str">
        <f>IF(MIS_Backend_Data!AM320="", "", MIS_Backend_Data!AM320)</f>
        <v/>
      </c>
      <c r="O321" t="str">
        <f>IF(MIS_Backend_Data!AO320="", "", MIS_Backend_Data!AO320)</f>
        <v/>
      </c>
      <c r="P321" t="str">
        <f>IF(MIS_Backend_Data!AS320="", "", MIS_Backend_Data!AS320)</f>
        <v/>
      </c>
      <c r="Q321" t="str">
        <f>IF(MIS_Backend_Data!AX320="", "", MIS_Backend_Data!AX320)</f>
        <v/>
      </c>
      <c r="R321" t="str">
        <f>IF(MIS_Backend_Data!BB320="", "", MIS_Backend_Data!BB320)</f>
        <v/>
      </c>
      <c r="S321" t="str">
        <f>IF(MIS_Backend_Data!AW320="", "", MIS_Backend_Data!AW320)</f>
        <v/>
      </c>
      <c r="T321" s="42" t="str">
        <f>IF(MIS_Backend_Data!N320="Dispatch","Completed","NA")</f>
        <v>NA</v>
      </c>
      <c r="U321" t="str">
        <f t="shared" si="12"/>
        <v/>
      </c>
      <c r="V321" t="str">
        <f t="shared" si="13"/>
        <v/>
      </c>
      <c r="W321" s="20" t="str">
        <f t="shared" si="14"/>
        <v/>
      </c>
    </row>
    <row r="322" spans="2:23" ht="14.5">
      <c r="B322" s="205"/>
      <c r="C322" s="17"/>
      <c r="D322" s="17"/>
      <c r="E322" s="19"/>
      <c r="F322" s="19" t="str">
        <f>IF(MIS_Backend_Data!O321="", "", MIS_Backend_Data!O321)</f>
        <v/>
      </c>
      <c r="G322" t="str">
        <f>IF(MIS_Backend_Data!T321="", "", MIS_Backend_Data!T321)</f>
        <v/>
      </c>
      <c r="H322" t="str">
        <f>IF(MIS_Backend_Data!X321="", "", MIS_Backend_Data!X321)</f>
        <v/>
      </c>
      <c r="I322" t="str">
        <f>IF(MIS_Backend_Data!AC321="", "", MIS_Backend_Data!AC321)</f>
        <v/>
      </c>
      <c r="J322" t="str">
        <f>IF(MIS_Backend_Data!AB321="", "", MIS_Backend_Data!AB321)</f>
        <v/>
      </c>
      <c r="K322" t="str">
        <f>IF(MIS_Backend_Data!AG321="", "", MIS_Backend_Data!AG321)</f>
        <v/>
      </c>
      <c r="L322" s="20" t="str">
        <f>IF(MIS_Backend_Data!AI321="", "", MIS_Backend_Data!AI321)</f>
        <v/>
      </c>
      <c r="M322" t="str">
        <f>IF(MIS_Backend_Data!AK321="", "", MIS_Backend_Data!AK321)</f>
        <v/>
      </c>
      <c r="N322" t="str">
        <f>IF(MIS_Backend_Data!AM321="", "", MIS_Backend_Data!AM321)</f>
        <v/>
      </c>
      <c r="O322" t="str">
        <f>IF(MIS_Backend_Data!AO321="", "", MIS_Backend_Data!AO321)</f>
        <v/>
      </c>
      <c r="P322" t="str">
        <f>IF(MIS_Backend_Data!AS321="", "", MIS_Backend_Data!AS321)</f>
        <v/>
      </c>
      <c r="Q322" t="str">
        <f>IF(MIS_Backend_Data!AX321="", "", MIS_Backend_Data!AX321)</f>
        <v/>
      </c>
      <c r="R322" t="str">
        <f>IF(MIS_Backend_Data!BB321="", "", MIS_Backend_Data!BB321)</f>
        <v/>
      </c>
      <c r="S322" t="str">
        <f>IF(MIS_Backend_Data!AW321="", "", MIS_Backend_Data!AW321)</f>
        <v/>
      </c>
      <c r="T322" s="42" t="str">
        <f>IF(MIS_Backend_Data!N321="Dispatch","Completed","NA")</f>
        <v>NA</v>
      </c>
      <c r="U322" t="str">
        <f t="shared" si="12"/>
        <v/>
      </c>
      <c r="V322" t="str">
        <f t="shared" si="13"/>
        <v/>
      </c>
      <c r="W322" s="20" t="str">
        <f t="shared" si="14"/>
        <v/>
      </c>
    </row>
    <row r="323" spans="2:23" ht="14.5">
      <c r="B323" s="205"/>
      <c r="C323" s="17"/>
      <c r="D323" s="17"/>
      <c r="E323" s="19"/>
      <c r="F323" s="19" t="str">
        <f>IF(MIS_Backend_Data!O322="", "", MIS_Backend_Data!O322)</f>
        <v/>
      </c>
      <c r="G323" t="str">
        <f>IF(MIS_Backend_Data!T322="", "", MIS_Backend_Data!T322)</f>
        <v/>
      </c>
      <c r="H323" t="str">
        <f>IF(MIS_Backend_Data!X322="", "", MIS_Backend_Data!X322)</f>
        <v/>
      </c>
      <c r="I323" t="str">
        <f>IF(MIS_Backend_Data!AC322="", "", MIS_Backend_Data!AC322)</f>
        <v/>
      </c>
      <c r="J323" t="str">
        <f>IF(MIS_Backend_Data!AB322="", "", MIS_Backend_Data!AB322)</f>
        <v/>
      </c>
      <c r="K323" t="str">
        <f>IF(MIS_Backend_Data!AG322="", "", MIS_Backend_Data!AG322)</f>
        <v/>
      </c>
      <c r="L323" s="20" t="str">
        <f>IF(MIS_Backend_Data!AI322="", "", MIS_Backend_Data!AI322)</f>
        <v/>
      </c>
      <c r="M323" t="str">
        <f>IF(MIS_Backend_Data!AK322="", "", MIS_Backend_Data!AK322)</f>
        <v/>
      </c>
      <c r="N323" t="str">
        <f>IF(MIS_Backend_Data!AM322="", "", MIS_Backend_Data!AM322)</f>
        <v/>
      </c>
      <c r="O323" t="str">
        <f>IF(MIS_Backend_Data!AO322="", "", MIS_Backend_Data!AO322)</f>
        <v/>
      </c>
      <c r="P323" t="str">
        <f>IF(MIS_Backend_Data!AS322="", "", MIS_Backend_Data!AS322)</f>
        <v/>
      </c>
      <c r="Q323" t="str">
        <f>IF(MIS_Backend_Data!AX322="", "", MIS_Backend_Data!AX322)</f>
        <v/>
      </c>
      <c r="R323" t="str">
        <f>IF(MIS_Backend_Data!BB322="", "", MIS_Backend_Data!BB322)</f>
        <v/>
      </c>
      <c r="S323" t="str">
        <f>IF(MIS_Backend_Data!AW322="", "", MIS_Backend_Data!AW322)</f>
        <v/>
      </c>
      <c r="T323" s="42" t="str">
        <f>IF(MIS_Backend_Data!N322="Dispatch","Completed","NA")</f>
        <v>NA</v>
      </c>
      <c r="U323" t="str">
        <f t="shared" si="12"/>
        <v/>
      </c>
      <c r="V323" t="str">
        <f t="shared" si="13"/>
        <v/>
      </c>
      <c r="W323" s="20" t="str">
        <f t="shared" si="14"/>
        <v/>
      </c>
    </row>
    <row r="324" spans="2:23" ht="14.5">
      <c r="B324" s="205"/>
      <c r="C324" s="17"/>
      <c r="D324" s="17"/>
      <c r="E324" s="19"/>
      <c r="F324" s="19" t="str">
        <f>IF(MIS_Backend_Data!O323="", "", MIS_Backend_Data!O323)</f>
        <v/>
      </c>
      <c r="G324" t="str">
        <f>IF(MIS_Backend_Data!T323="", "", MIS_Backend_Data!T323)</f>
        <v/>
      </c>
      <c r="H324" t="str">
        <f>IF(MIS_Backend_Data!X323="", "", MIS_Backend_Data!X323)</f>
        <v/>
      </c>
      <c r="I324" t="str">
        <f>IF(MIS_Backend_Data!AC323="", "", MIS_Backend_Data!AC323)</f>
        <v/>
      </c>
      <c r="J324" t="str">
        <f>IF(MIS_Backend_Data!AB323="", "", MIS_Backend_Data!AB323)</f>
        <v/>
      </c>
      <c r="K324" t="str">
        <f>IF(MIS_Backend_Data!AG323="", "", MIS_Backend_Data!AG323)</f>
        <v/>
      </c>
      <c r="L324" s="20" t="str">
        <f>IF(MIS_Backend_Data!AI323="", "", MIS_Backend_Data!AI323)</f>
        <v/>
      </c>
      <c r="M324" t="str">
        <f>IF(MIS_Backend_Data!AK323="", "", MIS_Backend_Data!AK323)</f>
        <v/>
      </c>
      <c r="N324" t="str">
        <f>IF(MIS_Backend_Data!AM323="", "", MIS_Backend_Data!AM323)</f>
        <v/>
      </c>
      <c r="O324" t="str">
        <f>IF(MIS_Backend_Data!AO323="", "", MIS_Backend_Data!AO323)</f>
        <v/>
      </c>
      <c r="P324" t="str">
        <f>IF(MIS_Backend_Data!AS323="", "", MIS_Backend_Data!AS323)</f>
        <v/>
      </c>
      <c r="Q324" t="str">
        <f>IF(MIS_Backend_Data!AX323="", "", MIS_Backend_Data!AX323)</f>
        <v/>
      </c>
      <c r="R324" t="str">
        <f>IF(MIS_Backend_Data!BB323="", "", MIS_Backend_Data!BB323)</f>
        <v/>
      </c>
      <c r="S324" t="str">
        <f>IF(MIS_Backend_Data!AW323="", "", MIS_Backend_Data!AW323)</f>
        <v/>
      </c>
      <c r="T324" s="42" t="str">
        <f>IF(MIS_Backend_Data!N323="Dispatch","Completed","NA")</f>
        <v>NA</v>
      </c>
      <c r="U324" t="str">
        <f t="shared" ref="U324:U387" si="15">IF(F324="WIP", IF(COUNTIF(G324:R324, "WIP")=2, 2, ""), "")</f>
        <v/>
      </c>
      <c r="V324" t="str">
        <f t="shared" ref="V324:V387" si="16">IF(F324="WIP", IF(COUNTIF(G324:R324, "WIP")=1, 1, ""), "")</f>
        <v/>
      </c>
      <c r="W324" s="20" t="str">
        <f t="shared" ref="W324:W387" si="17">IF(OR(F324="WIP",F324="Pending for CS"),
    IF(COUNTIFS(G324:R324,"&lt;&gt;Completed",G324:R324,"&lt;&gt;NA")=0,"GTG",""),
"")</f>
        <v/>
      </c>
    </row>
    <row r="325" spans="2:23" ht="14.5">
      <c r="B325" s="205"/>
      <c r="C325" s="17"/>
      <c r="D325" s="17"/>
      <c r="E325" s="19"/>
      <c r="F325" s="19" t="str">
        <f>IF(MIS_Backend_Data!O324="", "", MIS_Backend_Data!O324)</f>
        <v/>
      </c>
      <c r="G325" t="str">
        <f>IF(MIS_Backend_Data!T324="", "", MIS_Backend_Data!T324)</f>
        <v/>
      </c>
      <c r="H325" t="str">
        <f>IF(MIS_Backend_Data!X324="", "", MIS_Backend_Data!X324)</f>
        <v/>
      </c>
      <c r="I325" t="str">
        <f>IF(MIS_Backend_Data!AC324="", "", MIS_Backend_Data!AC324)</f>
        <v/>
      </c>
      <c r="J325" t="str">
        <f>IF(MIS_Backend_Data!AB324="", "", MIS_Backend_Data!AB324)</f>
        <v/>
      </c>
      <c r="K325" t="str">
        <f>IF(MIS_Backend_Data!AG324="", "", MIS_Backend_Data!AG324)</f>
        <v/>
      </c>
      <c r="L325" s="20" t="str">
        <f>IF(MIS_Backend_Data!AI324="", "", MIS_Backend_Data!AI324)</f>
        <v/>
      </c>
      <c r="M325" t="str">
        <f>IF(MIS_Backend_Data!AK324="", "", MIS_Backend_Data!AK324)</f>
        <v/>
      </c>
      <c r="N325" t="str">
        <f>IF(MIS_Backend_Data!AM324="", "", MIS_Backend_Data!AM324)</f>
        <v/>
      </c>
      <c r="O325" t="str">
        <f>IF(MIS_Backend_Data!AO324="", "", MIS_Backend_Data!AO324)</f>
        <v/>
      </c>
      <c r="P325" t="str">
        <f>IF(MIS_Backend_Data!AS324="", "", MIS_Backend_Data!AS324)</f>
        <v/>
      </c>
      <c r="Q325" t="str">
        <f>IF(MIS_Backend_Data!AX324="", "", MIS_Backend_Data!AX324)</f>
        <v/>
      </c>
      <c r="R325" t="str">
        <f>IF(MIS_Backend_Data!BB324="", "", MIS_Backend_Data!BB324)</f>
        <v/>
      </c>
      <c r="S325" t="str">
        <f>IF(MIS_Backend_Data!AW324="", "", MIS_Backend_Data!AW324)</f>
        <v/>
      </c>
      <c r="T325" s="42" t="str">
        <f>IF(MIS_Backend_Data!N324="Dispatch","Completed","NA")</f>
        <v>NA</v>
      </c>
      <c r="U325" t="str">
        <f t="shared" si="15"/>
        <v/>
      </c>
      <c r="V325" t="str">
        <f t="shared" si="16"/>
        <v/>
      </c>
      <c r="W325" s="20" t="str">
        <f t="shared" si="17"/>
        <v/>
      </c>
    </row>
    <row r="326" spans="2:23" ht="14.5">
      <c r="B326" s="205"/>
      <c r="C326" s="17"/>
      <c r="D326" s="17"/>
      <c r="E326" s="19"/>
      <c r="F326" s="19" t="str">
        <f>IF(MIS_Backend_Data!O325="", "", MIS_Backend_Data!O325)</f>
        <v/>
      </c>
      <c r="G326" t="str">
        <f>IF(MIS_Backend_Data!T325="", "", MIS_Backend_Data!T325)</f>
        <v/>
      </c>
      <c r="H326" t="str">
        <f>IF(MIS_Backend_Data!X325="", "", MIS_Backend_Data!X325)</f>
        <v/>
      </c>
      <c r="I326" t="str">
        <f>IF(MIS_Backend_Data!AC325="", "", MIS_Backend_Data!AC325)</f>
        <v/>
      </c>
      <c r="J326" t="str">
        <f>IF(MIS_Backend_Data!AB325="", "", MIS_Backend_Data!AB325)</f>
        <v/>
      </c>
      <c r="K326" t="str">
        <f>IF(MIS_Backend_Data!AG325="", "", MIS_Backend_Data!AG325)</f>
        <v/>
      </c>
      <c r="L326" s="20" t="str">
        <f>IF(MIS_Backend_Data!AI325="", "", MIS_Backend_Data!AI325)</f>
        <v/>
      </c>
      <c r="M326" t="str">
        <f>IF(MIS_Backend_Data!AK325="", "", MIS_Backend_Data!AK325)</f>
        <v/>
      </c>
      <c r="N326" t="str">
        <f>IF(MIS_Backend_Data!AM325="", "", MIS_Backend_Data!AM325)</f>
        <v/>
      </c>
      <c r="O326" t="str">
        <f>IF(MIS_Backend_Data!AO325="", "", MIS_Backend_Data!AO325)</f>
        <v/>
      </c>
      <c r="P326" t="str">
        <f>IF(MIS_Backend_Data!AS325="", "", MIS_Backend_Data!AS325)</f>
        <v/>
      </c>
      <c r="Q326" t="str">
        <f>IF(MIS_Backend_Data!AX325="", "", MIS_Backend_Data!AX325)</f>
        <v/>
      </c>
      <c r="R326" t="str">
        <f>IF(MIS_Backend_Data!BB325="", "", MIS_Backend_Data!BB325)</f>
        <v/>
      </c>
      <c r="S326" t="str">
        <f>IF(MIS_Backend_Data!AW325="", "", MIS_Backend_Data!AW325)</f>
        <v/>
      </c>
      <c r="T326" s="42" t="str">
        <f>IF(MIS_Backend_Data!N325="Dispatch","Completed","NA")</f>
        <v>NA</v>
      </c>
      <c r="U326" t="str">
        <f t="shared" si="15"/>
        <v/>
      </c>
      <c r="V326" t="str">
        <f t="shared" si="16"/>
        <v/>
      </c>
      <c r="W326" s="20" t="str">
        <f t="shared" si="17"/>
        <v/>
      </c>
    </row>
    <row r="327" spans="2:23" ht="14.5">
      <c r="B327" s="205"/>
      <c r="C327" s="17"/>
      <c r="D327" s="17"/>
      <c r="E327" s="19"/>
      <c r="F327" s="19" t="str">
        <f>IF(MIS_Backend_Data!O326="", "", MIS_Backend_Data!O326)</f>
        <v/>
      </c>
      <c r="G327" t="str">
        <f>IF(MIS_Backend_Data!T326="", "", MIS_Backend_Data!T326)</f>
        <v/>
      </c>
      <c r="H327" t="str">
        <f>IF(MIS_Backend_Data!X326="", "", MIS_Backend_Data!X326)</f>
        <v/>
      </c>
      <c r="I327" t="str">
        <f>IF(MIS_Backend_Data!AC326="", "", MIS_Backend_Data!AC326)</f>
        <v/>
      </c>
      <c r="J327" t="str">
        <f>IF(MIS_Backend_Data!AB326="", "", MIS_Backend_Data!AB326)</f>
        <v/>
      </c>
      <c r="K327" t="str">
        <f>IF(MIS_Backend_Data!AG326="", "", MIS_Backend_Data!AG326)</f>
        <v/>
      </c>
      <c r="L327" s="20" t="str">
        <f>IF(MIS_Backend_Data!AI326="", "", MIS_Backend_Data!AI326)</f>
        <v/>
      </c>
      <c r="M327" t="str">
        <f>IF(MIS_Backend_Data!AK326="", "", MIS_Backend_Data!AK326)</f>
        <v/>
      </c>
      <c r="N327" t="str">
        <f>IF(MIS_Backend_Data!AM326="", "", MIS_Backend_Data!AM326)</f>
        <v/>
      </c>
      <c r="O327" t="str">
        <f>IF(MIS_Backend_Data!AO326="", "", MIS_Backend_Data!AO326)</f>
        <v/>
      </c>
      <c r="P327" t="str">
        <f>IF(MIS_Backend_Data!AS326="", "", MIS_Backend_Data!AS326)</f>
        <v/>
      </c>
      <c r="Q327" t="str">
        <f>IF(MIS_Backend_Data!AX326="", "", MIS_Backend_Data!AX326)</f>
        <v/>
      </c>
      <c r="R327" t="str">
        <f>IF(MIS_Backend_Data!BB326="", "", MIS_Backend_Data!BB326)</f>
        <v/>
      </c>
      <c r="S327" t="str">
        <f>IF(MIS_Backend_Data!AW326="", "", MIS_Backend_Data!AW326)</f>
        <v/>
      </c>
      <c r="T327" s="42" t="str">
        <f>IF(MIS_Backend_Data!N326="Dispatch","Completed","NA")</f>
        <v>NA</v>
      </c>
      <c r="U327" t="str">
        <f t="shared" si="15"/>
        <v/>
      </c>
      <c r="V327" t="str">
        <f t="shared" si="16"/>
        <v/>
      </c>
      <c r="W327" s="20" t="str">
        <f t="shared" si="17"/>
        <v/>
      </c>
    </row>
    <row r="328" spans="2:23" ht="14.5">
      <c r="B328" s="205"/>
      <c r="C328" s="17"/>
      <c r="D328" s="17"/>
      <c r="E328" s="19"/>
      <c r="F328" s="19" t="str">
        <f>IF(MIS_Backend_Data!O327="", "", MIS_Backend_Data!O327)</f>
        <v/>
      </c>
      <c r="G328" t="str">
        <f>IF(MIS_Backend_Data!T327="", "", MIS_Backend_Data!T327)</f>
        <v/>
      </c>
      <c r="H328" t="str">
        <f>IF(MIS_Backend_Data!X327="", "", MIS_Backend_Data!X327)</f>
        <v/>
      </c>
      <c r="I328" t="str">
        <f>IF(MIS_Backend_Data!AC327="", "", MIS_Backend_Data!AC327)</f>
        <v/>
      </c>
      <c r="J328" t="str">
        <f>IF(MIS_Backend_Data!AB327="", "", MIS_Backend_Data!AB327)</f>
        <v/>
      </c>
      <c r="K328" t="str">
        <f>IF(MIS_Backend_Data!AG327="", "", MIS_Backend_Data!AG327)</f>
        <v/>
      </c>
      <c r="L328" s="20" t="str">
        <f>IF(MIS_Backend_Data!AI327="", "", MIS_Backend_Data!AI327)</f>
        <v/>
      </c>
      <c r="M328" t="str">
        <f>IF(MIS_Backend_Data!AK327="", "", MIS_Backend_Data!AK327)</f>
        <v/>
      </c>
      <c r="N328" t="str">
        <f>IF(MIS_Backend_Data!AM327="", "", MIS_Backend_Data!AM327)</f>
        <v/>
      </c>
      <c r="O328" t="str">
        <f>IF(MIS_Backend_Data!AO327="", "", MIS_Backend_Data!AO327)</f>
        <v/>
      </c>
      <c r="P328" t="str">
        <f>IF(MIS_Backend_Data!AS327="", "", MIS_Backend_Data!AS327)</f>
        <v/>
      </c>
      <c r="Q328" t="str">
        <f>IF(MIS_Backend_Data!AX327="", "", MIS_Backend_Data!AX327)</f>
        <v/>
      </c>
      <c r="R328" t="str">
        <f>IF(MIS_Backend_Data!BB327="", "", MIS_Backend_Data!BB327)</f>
        <v/>
      </c>
      <c r="S328" t="str">
        <f>IF(MIS_Backend_Data!AW327="", "", MIS_Backend_Data!AW327)</f>
        <v/>
      </c>
      <c r="T328" s="42" t="str">
        <f>IF(MIS_Backend_Data!N327="Dispatch","Completed","NA")</f>
        <v>NA</v>
      </c>
      <c r="U328" t="str">
        <f t="shared" si="15"/>
        <v/>
      </c>
      <c r="V328" t="str">
        <f t="shared" si="16"/>
        <v/>
      </c>
      <c r="W328" s="20" t="str">
        <f t="shared" si="17"/>
        <v/>
      </c>
    </row>
    <row r="329" spans="2:23" ht="14.5">
      <c r="B329" s="205"/>
      <c r="C329" s="17"/>
      <c r="D329" s="17"/>
      <c r="E329" s="19"/>
      <c r="F329" s="19" t="str">
        <f>IF(MIS_Backend_Data!O328="", "", MIS_Backend_Data!O328)</f>
        <v/>
      </c>
      <c r="G329" t="str">
        <f>IF(MIS_Backend_Data!T328="", "", MIS_Backend_Data!T328)</f>
        <v/>
      </c>
      <c r="H329" t="str">
        <f>IF(MIS_Backend_Data!X328="", "", MIS_Backend_Data!X328)</f>
        <v/>
      </c>
      <c r="I329" t="str">
        <f>IF(MIS_Backend_Data!AC328="", "", MIS_Backend_Data!AC328)</f>
        <v/>
      </c>
      <c r="J329" t="str">
        <f>IF(MIS_Backend_Data!AB328="", "", MIS_Backend_Data!AB328)</f>
        <v/>
      </c>
      <c r="K329" t="str">
        <f>IF(MIS_Backend_Data!AG328="", "", MIS_Backend_Data!AG328)</f>
        <v/>
      </c>
      <c r="L329" s="20" t="str">
        <f>IF(MIS_Backend_Data!AI328="", "", MIS_Backend_Data!AI328)</f>
        <v/>
      </c>
      <c r="M329" t="str">
        <f>IF(MIS_Backend_Data!AK328="", "", MIS_Backend_Data!AK328)</f>
        <v/>
      </c>
      <c r="N329" t="str">
        <f>IF(MIS_Backend_Data!AM328="", "", MIS_Backend_Data!AM328)</f>
        <v/>
      </c>
      <c r="O329" t="str">
        <f>IF(MIS_Backend_Data!AO328="", "", MIS_Backend_Data!AO328)</f>
        <v/>
      </c>
      <c r="P329" t="str">
        <f>IF(MIS_Backend_Data!AS328="", "", MIS_Backend_Data!AS328)</f>
        <v/>
      </c>
      <c r="Q329" t="str">
        <f>IF(MIS_Backend_Data!AX328="", "", MIS_Backend_Data!AX328)</f>
        <v/>
      </c>
      <c r="R329" t="str">
        <f>IF(MIS_Backend_Data!BB328="", "", MIS_Backend_Data!BB328)</f>
        <v/>
      </c>
      <c r="S329" t="str">
        <f>IF(MIS_Backend_Data!AW328="", "", MIS_Backend_Data!AW328)</f>
        <v/>
      </c>
      <c r="T329" s="42" t="str">
        <f>IF(MIS_Backend_Data!N328="Dispatch","Completed","NA")</f>
        <v>NA</v>
      </c>
      <c r="U329" t="str">
        <f t="shared" si="15"/>
        <v/>
      </c>
      <c r="V329" t="str">
        <f t="shared" si="16"/>
        <v/>
      </c>
      <c r="W329" s="20" t="str">
        <f t="shared" si="17"/>
        <v/>
      </c>
    </row>
    <row r="330" spans="2:23" ht="14.5">
      <c r="B330" s="205"/>
      <c r="C330" s="17"/>
      <c r="D330" s="17"/>
      <c r="E330" s="19"/>
      <c r="F330" s="19" t="str">
        <f>IF(MIS_Backend_Data!O329="", "", MIS_Backend_Data!O329)</f>
        <v/>
      </c>
      <c r="G330" t="str">
        <f>IF(MIS_Backend_Data!T329="", "", MIS_Backend_Data!T329)</f>
        <v/>
      </c>
      <c r="H330" t="str">
        <f>IF(MIS_Backend_Data!X329="", "", MIS_Backend_Data!X329)</f>
        <v/>
      </c>
      <c r="I330" t="str">
        <f>IF(MIS_Backend_Data!AC329="", "", MIS_Backend_Data!AC329)</f>
        <v/>
      </c>
      <c r="J330" t="str">
        <f>IF(MIS_Backend_Data!AB329="", "", MIS_Backend_Data!AB329)</f>
        <v/>
      </c>
      <c r="K330" t="str">
        <f>IF(MIS_Backend_Data!AG329="", "", MIS_Backend_Data!AG329)</f>
        <v/>
      </c>
      <c r="L330" s="20" t="str">
        <f>IF(MIS_Backend_Data!AI329="", "", MIS_Backend_Data!AI329)</f>
        <v/>
      </c>
      <c r="M330" t="str">
        <f>IF(MIS_Backend_Data!AK329="", "", MIS_Backend_Data!AK329)</f>
        <v/>
      </c>
      <c r="N330" t="str">
        <f>IF(MIS_Backend_Data!AM329="", "", MIS_Backend_Data!AM329)</f>
        <v/>
      </c>
      <c r="O330" t="str">
        <f>IF(MIS_Backend_Data!AO329="", "", MIS_Backend_Data!AO329)</f>
        <v/>
      </c>
      <c r="P330" t="str">
        <f>IF(MIS_Backend_Data!AS329="", "", MIS_Backend_Data!AS329)</f>
        <v/>
      </c>
      <c r="Q330" t="str">
        <f>IF(MIS_Backend_Data!AX329="", "", MIS_Backend_Data!AX329)</f>
        <v/>
      </c>
      <c r="R330" t="str">
        <f>IF(MIS_Backend_Data!BB329="", "", MIS_Backend_Data!BB329)</f>
        <v/>
      </c>
      <c r="S330" t="str">
        <f>IF(MIS_Backend_Data!AW329="", "", MIS_Backend_Data!AW329)</f>
        <v/>
      </c>
      <c r="T330" s="42" t="str">
        <f>IF(MIS_Backend_Data!N329="Dispatch","Completed","NA")</f>
        <v>NA</v>
      </c>
      <c r="U330" t="str">
        <f t="shared" si="15"/>
        <v/>
      </c>
      <c r="V330" t="str">
        <f t="shared" si="16"/>
        <v/>
      </c>
      <c r="W330" s="20" t="str">
        <f t="shared" si="17"/>
        <v/>
      </c>
    </row>
    <row r="331" spans="2:23" ht="14.5">
      <c r="B331" s="205"/>
      <c r="C331" s="17"/>
      <c r="D331" s="17"/>
      <c r="E331" s="19"/>
      <c r="F331" s="19" t="str">
        <f>IF(MIS_Backend_Data!O330="", "", MIS_Backend_Data!O330)</f>
        <v/>
      </c>
      <c r="G331" t="str">
        <f>IF(MIS_Backend_Data!T330="", "", MIS_Backend_Data!T330)</f>
        <v/>
      </c>
      <c r="H331" t="str">
        <f>IF(MIS_Backend_Data!X330="", "", MIS_Backend_Data!X330)</f>
        <v/>
      </c>
      <c r="I331" t="str">
        <f>IF(MIS_Backend_Data!AC330="", "", MIS_Backend_Data!AC330)</f>
        <v/>
      </c>
      <c r="J331" t="str">
        <f>IF(MIS_Backend_Data!AB330="", "", MIS_Backend_Data!AB330)</f>
        <v/>
      </c>
      <c r="K331" t="str">
        <f>IF(MIS_Backend_Data!AG330="", "", MIS_Backend_Data!AG330)</f>
        <v/>
      </c>
      <c r="L331" s="20" t="str">
        <f>IF(MIS_Backend_Data!AI330="", "", MIS_Backend_Data!AI330)</f>
        <v/>
      </c>
      <c r="M331" t="str">
        <f>IF(MIS_Backend_Data!AK330="", "", MIS_Backend_Data!AK330)</f>
        <v/>
      </c>
      <c r="N331" t="str">
        <f>IF(MIS_Backend_Data!AM330="", "", MIS_Backend_Data!AM330)</f>
        <v/>
      </c>
      <c r="O331" t="str">
        <f>IF(MIS_Backend_Data!AO330="", "", MIS_Backend_Data!AO330)</f>
        <v/>
      </c>
      <c r="P331" t="str">
        <f>IF(MIS_Backend_Data!AS330="", "", MIS_Backend_Data!AS330)</f>
        <v/>
      </c>
      <c r="Q331" t="str">
        <f>IF(MIS_Backend_Data!AX330="", "", MIS_Backend_Data!AX330)</f>
        <v/>
      </c>
      <c r="R331" t="str">
        <f>IF(MIS_Backend_Data!BB330="", "", MIS_Backend_Data!BB330)</f>
        <v/>
      </c>
      <c r="S331" t="str">
        <f>IF(MIS_Backend_Data!AW330="", "", MIS_Backend_Data!AW330)</f>
        <v/>
      </c>
      <c r="T331" s="42" t="str">
        <f>IF(MIS_Backend_Data!N330="Dispatch","Completed","NA")</f>
        <v>NA</v>
      </c>
      <c r="U331" t="str">
        <f t="shared" si="15"/>
        <v/>
      </c>
      <c r="V331" t="str">
        <f t="shared" si="16"/>
        <v/>
      </c>
      <c r="W331" s="20" t="str">
        <f t="shared" si="17"/>
        <v/>
      </c>
    </row>
    <row r="332" spans="2:23" ht="14.5">
      <c r="B332" s="205"/>
      <c r="C332" s="17"/>
      <c r="D332" s="17"/>
      <c r="E332" s="19"/>
      <c r="F332" s="19" t="str">
        <f>IF(MIS_Backend_Data!O331="", "", MIS_Backend_Data!O331)</f>
        <v/>
      </c>
      <c r="G332" t="str">
        <f>IF(MIS_Backend_Data!T331="", "", MIS_Backend_Data!T331)</f>
        <v/>
      </c>
      <c r="H332" t="str">
        <f>IF(MIS_Backend_Data!X331="", "", MIS_Backend_Data!X331)</f>
        <v/>
      </c>
      <c r="I332" t="str">
        <f>IF(MIS_Backend_Data!AC331="", "", MIS_Backend_Data!AC331)</f>
        <v/>
      </c>
      <c r="J332" t="str">
        <f>IF(MIS_Backend_Data!AB331="", "", MIS_Backend_Data!AB331)</f>
        <v/>
      </c>
      <c r="K332" t="str">
        <f>IF(MIS_Backend_Data!AG331="", "", MIS_Backend_Data!AG331)</f>
        <v/>
      </c>
      <c r="L332" s="20" t="str">
        <f>IF(MIS_Backend_Data!AI331="", "", MIS_Backend_Data!AI331)</f>
        <v/>
      </c>
      <c r="M332" t="str">
        <f>IF(MIS_Backend_Data!AK331="", "", MIS_Backend_Data!AK331)</f>
        <v/>
      </c>
      <c r="N332" t="str">
        <f>IF(MIS_Backend_Data!AM331="", "", MIS_Backend_Data!AM331)</f>
        <v/>
      </c>
      <c r="O332" t="str">
        <f>IF(MIS_Backend_Data!AO331="", "", MIS_Backend_Data!AO331)</f>
        <v/>
      </c>
      <c r="P332" t="str">
        <f>IF(MIS_Backend_Data!AS331="", "", MIS_Backend_Data!AS331)</f>
        <v/>
      </c>
      <c r="Q332" t="str">
        <f>IF(MIS_Backend_Data!AX331="", "", MIS_Backend_Data!AX331)</f>
        <v/>
      </c>
      <c r="R332" t="str">
        <f>IF(MIS_Backend_Data!BB331="", "", MIS_Backend_Data!BB331)</f>
        <v/>
      </c>
      <c r="S332" t="str">
        <f>IF(MIS_Backend_Data!AW331="", "", MIS_Backend_Data!AW331)</f>
        <v/>
      </c>
      <c r="T332" s="42" t="str">
        <f>IF(MIS_Backend_Data!N331="Dispatch","Completed","NA")</f>
        <v>NA</v>
      </c>
      <c r="U332" t="str">
        <f t="shared" si="15"/>
        <v/>
      </c>
      <c r="V332" t="str">
        <f t="shared" si="16"/>
        <v/>
      </c>
      <c r="W332" s="20" t="str">
        <f t="shared" si="17"/>
        <v/>
      </c>
    </row>
    <row r="333" spans="2:23" ht="14.5">
      <c r="B333" s="205"/>
      <c r="C333" s="17"/>
      <c r="D333" s="17"/>
      <c r="E333" s="19"/>
      <c r="F333" s="19" t="str">
        <f>IF(MIS_Backend_Data!O332="", "", MIS_Backend_Data!O332)</f>
        <v/>
      </c>
      <c r="G333" t="str">
        <f>IF(MIS_Backend_Data!T332="", "", MIS_Backend_Data!T332)</f>
        <v/>
      </c>
      <c r="H333" t="str">
        <f>IF(MIS_Backend_Data!X332="", "", MIS_Backend_Data!X332)</f>
        <v/>
      </c>
      <c r="I333" t="str">
        <f>IF(MIS_Backend_Data!AC332="", "", MIS_Backend_Data!AC332)</f>
        <v/>
      </c>
      <c r="J333" t="str">
        <f>IF(MIS_Backend_Data!AB332="", "", MIS_Backend_Data!AB332)</f>
        <v/>
      </c>
      <c r="K333" t="str">
        <f>IF(MIS_Backend_Data!AG332="", "", MIS_Backend_Data!AG332)</f>
        <v/>
      </c>
      <c r="L333" s="20" t="str">
        <f>IF(MIS_Backend_Data!AI332="", "", MIS_Backend_Data!AI332)</f>
        <v/>
      </c>
      <c r="M333" t="str">
        <f>IF(MIS_Backend_Data!AK332="", "", MIS_Backend_Data!AK332)</f>
        <v/>
      </c>
      <c r="N333" t="str">
        <f>IF(MIS_Backend_Data!AM332="", "", MIS_Backend_Data!AM332)</f>
        <v/>
      </c>
      <c r="O333" t="str">
        <f>IF(MIS_Backend_Data!AO332="", "", MIS_Backend_Data!AO332)</f>
        <v/>
      </c>
      <c r="P333" t="str">
        <f>IF(MIS_Backend_Data!AS332="", "", MIS_Backend_Data!AS332)</f>
        <v/>
      </c>
      <c r="Q333" t="str">
        <f>IF(MIS_Backend_Data!AX332="", "", MIS_Backend_Data!AX332)</f>
        <v/>
      </c>
      <c r="R333" t="str">
        <f>IF(MIS_Backend_Data!BB332="", "", MIS_Backend_Data!BB332)</f>
        <v/>
      </c>
      <c r="S333" t="str">
        <f>IF(MIS_Backend_Data!AW332="", "", MIS_Backend_Data!AW332)</f>
        <v/>
      </c>
      <c r="T333" s="42" t="str">
        <f>IF(MIS_Backend_Data!N332="Dispatch","Completed","NA")</f>
        <v>NA</v>
      </c>
      <c r="U333" t="str">
        <f t="shared" si="15"/>
        <v/>
      </c>
      <c r="V333" t="str">
        <f t="shared" si="16"/>
        <v/>
      </c>
      <c r="W333" s="20" t="str">
        <f t="shared" si="17"/>
        <v/>
      </c>
    </row>
    <row r="334" spans="2:23" ht="14.5">
      <c r="B334" s="205"/>
      <c r="C334" s="17"/>
      <c r="D334" s="17"/>
      <c r="E334" s="19"/>
      <c r="F334" s="19" t="str">
        <f>IF(MIS_Backend_Data!O333="", "", MIS_Backend_Data!O333)</f>
        <v/>
      </c>
      <c r="G334" t="str">
        <f>IF(MIS_Backend_Data!T333="", "", MIS_Backend_Data!T333)</f>
        <v/>
      </c>
      <c r="H334" t="str">
        <f>IF(MIS_Backend_Data!X333="", "", MIS_Backend_Data!X333)</f>
        <v/>
      </c>
      <c r="I334" t="str">
        <f>IF(MIS_Backend_Data!AC333="", "", MIS_Backend_Data!AC333)</f>
        <v/>
      </c>
      <c r="J334" t="str">
        <f>IF(MIS_Backend_Data!AB333="", "", MIS_Backend_Data!AB333)</f>
        <v/>
      </c>
      <c r="K334" t="str">
        <f>IF(MIS_Backend_Data!AG333="", "", MIS_Backend_Data!AG333)</f>
        <v/>
      </c>
      <c r="L334" s="20" t="str">
        <f>IF(MIS_Backend_Data!AI333="", "", MIS_Backend_Data!AI333)</f>
        <v/>
      </c>
      <c r="M334" t="str">
        <f>IF(MIS_Backend_Data!AK333="", "", MIS_Backend_Data!AK333)</f>
        <v/>
      </c>
      <c r="N334" t="str">
        <f>IF(MIS_Backend_Data!AM333="", "", MIS_Backend_Data!AM333)</f>
        <v/>
      </c>
      <c r="O334" t="str">
        <f>IF(MIS_Backend_Data!AO333="", "", MIS_Backend_Data!AO333)</f>
        <v/>
      </c>
      <c r="P334" t="str">
        <f>IF(MIS_Backend_Data!AS333="", "", MIS_Backend_Data!AS333)</f>
        <v/>
      </c>
      <c r="Q334" t="str">
        <f>IF(MIS_Backend_Data!AX333="", "", MIS_Backend_Data!AX333)</f>
        <v/>
      </c>
      <c r="R334" t="str">
        <f>IF(MIS_Backend_Data!BB333="", "", MIS_Backend_Data!BB333)</f>
        <v/>
      </c>
      <c r="S334" t="str">
        <f>IF(MIS_Backend_Data!AW333="", "", MIS_Backend_Data!AW333)</f>
        <v/>
      </c>
      <c r="T334" s="42" t="str">
        <f>IF(MIS_Backend_Data!N333="Dispatch","Completed","NA")</f>
        <v>NA</v>
      </c>
      <c r="U334" t="str">
        <f t="shared" si="15"/>
        <v/>
      </c>
      <c r="V334" t="str">
        <f t="shared" si="16"/>
        <v/>
      </c>
      <c r="W334" s="20" t="str">
        <f t="shared" si="17"/>
        <v/>
      </c>
    </row>
    <row r="335" spans="2:23" ht="14.5">
      <c r="B335" s="205"/>
      <c r="C335" s="17"/>
      <c r="D335" s="17"/>
      <c r="E335" s="19"/>
      <c r="F335" s="19" t="str">
        <f>IF(MIS_Backend_Data!O334="", "", MIS_Backend_Data!O334)</f>
        <v/>
      </c>
      <c r="G335" t="str">
        <f>IF(MIS_Backend_Data!T334="", "", MIS_Backend_Data!T334)</f>
        <v/>
      </c>
      <c r="H335" t="str">
        <f>IF(MIS_Backend_Data!X334="", "", MIS_Backend_Data!X334)</f>
        <v/>
      </c>
      <c r="I335" t="str">
        <f>IF(MIS_Backend_Data!AC334="", "", MIS_Backend_Data!AC334)</f>
        <v/>
      </c>
      <c r="J335" t="str">
        <f>IF(MIS_Backend_Data!AB334="", "", MIS_Backend_Data!AB334)</f>
        <v/>
      </c>
      <c r="K335" t="str">
        <f>IF(MIS_Backend_Data!AG334="", "", MIS_Backend_Data!AG334)</f>
        <v/>
      </c>
      <c r="L335" s="20" t="str">
        <f>IF(MIS_Backend_Data!AI334="", "", MIS_Backend_Data!AI334)</f>
        <v/>
      </c>
      <c r="M335" t="str">
        <f>IF(MIS_Backend_Data!AK334="", "", MIS_Backend_Data!AK334)</f>
        <v/>
      </c>
      <c r="N335" t="str">
        <f>IF(MIS_Backend_Data!AM334="", "", MIS_Backend_Data!AM334)</f>
        <v/>
      </c>
      <c r="O335" t="str">
        <f>IF(MIS_Backend_Data!AO334="", "", MIS_Backend_Data!AO334)</f>
        <v/>
      </c>
      <c r="P335" t="str">
        <f>IF(MIS_Backend_Data!AS334="", "", MIS_Backend_Data!AS334)</f>
        <v/>
      </c>
      <c r="Q335" t="str">
        <f>IF(MIS_Backend_Data!AX334="", "", MIS_Backend_Data!AX334)</f>
        <v/>
      </c>
      <c r="R335" t="str">
        <f>IF(MIS_Backend_Data!BB334="", "", MIS_Backend_Data!BB334)</f>
        <v/>
      </c>
      <c r="S335" t="str">
        <f>IF(MIS_Backend_Data!AW334="", "", MIS_Backend_Data!AW334)</f>
        <v/>
      </c>
      <c r="T335" s="42" t="str">
        <f>IF(MIS_Backend_Data!N334="Dispatch","Completed","NA")</f>
        <v>NA</v>
      </c>
      <c r="U335" t="str">
        <f t="shared" si="15"/>
        <v/>
      </c>
      <c r="V335" t="str">
        <f t="shared" si="16"/>
        <v/>
      </c>
      <c r="W335" s="20" t="str">
        <f t="shared" si="17"/>
        <v/>
      </c>
    </row>
    <row r="336" spans="2:23" ht="14.5">
      <c r="B336" s="205"/>
      <c r="C336" s="17"/>
      <c r="D336" s="17"/>
      <c r="E336" s="19"/>
      <c r="F336" s="19" t="str">
        <f>IF(MIS_Backend_Data!O335="", "", MIS_Backend_Data!O335)</f>
        <v/>
      </c>
      <c r="G336" t="str">
        <f>IF(MIS_Backend_Data!T335="", "", MIS_Backend_Data!T335)</f>
        <v/>
      </c>
      <c r="H336" t="str">
        <f>IF(MIS_Backend_Data!X335="", "", MIS_Backend_Data!X335)</f>
        <v/>
      </c>
      <c r="I336" t="str">
        <f>IF(MIS_Backend_Data!AC335="", "", MIS_Backend_Data!AC335)</f>
        <v/>
      </c>
      <c r="J336" t="str">
        <f>IF(MIS_Backend_Data!AB335="", "", MIS_Backend_Data!AB335)</f>
        <v/>
      </c>
      <c r="K336" t="str">
        <f>IF(MIS_Backend_Data!AG335="", "", MIS_Backend_Data!AG335)</f>
        <v/>
      </c>
      <c r="L336" s="20" t="str">
        <f>IF(MIS_Backend_Data!AI335="", "", MIS_Backend_Data!AI335)</f>
        <v/>
      </c>
      <c r="M336" t="str">
        <f>IF(MIS_Backend_Data!AK335="", "", MIS_Backend_Data!AK335)</f>
        <v/>
      </c>
      <c r="N336" t="str">
        <f>IF(MIS_Backend_Data!AM335="", "", MIS_Backend_Data!AM335)</f>
        <v/>
      </c>
      <c r="O336" t="str">
        <f>IF(MIS_Backend_Data!AO335="", "", MIS_Backend_Data!AO335)</f>
        <v/>
      </c>
      <c r="P336" t="str">
        <f>IF(MIS_Backend_Data!AS335="", "", MIS_Backend_Data!AS335)</f>
        <v/>
      </c>
      <c r="Q336" t="str">
        <f>IF(MIS_Backend_Data!AX335="", "", MIS_Backend_Data!AX335)</f>
        <v/>
      </c>
      <c r="R336" t="str">
        <f>IF(MIS_Backend_Data!BB335="", "", MIS_Backend_Data!BB335)</f>
        <v/>
      </c>
      <c r="S336" t="str">
        <f>IF(MIS_Backend_Data!AW335="", "", MIS_Backend_Data!AW335)</f>
        <v/>
      </c>
      <c r="T336" s="42" t="str">
        <f>IF(MIS_Backend_Data!N335="Dispatch","Completed","NA")</f>
        <v>NA</v>
      </c>
      <c r="U336" t="str">
        <f t="shared" si="15"/>
        <v/>
      </c>
      <c r="V336" t="str">
        <f t="shared" si="16"/>
        <v/>
      </c>
      <c r="W336" s="20" t="str">
        <f t="shared" si="17"/>
        <v/>
      </c>
    </row>
    <row r="337" spans="2:23" ht="14.5">
      <c r="B337" s="205"/>
      <c r="C337" s="17"/>
      <c r="D337" s="17"/>
      <c r="E337" s="19"/>
      <c r="F337" s="19" t="str">
        <f>IF(MIS_Backend_Data!O336="", "", MIS_Backend_Data!O336)</f>
        <v/>
      </c>
      <c r="G337" t="str">
        <f>IF(MIS_Backend_Data!T336="", "", MIS_Backend_Data!T336)</f>
        <v/>
      </c>
      <c r="H337" t="str">
        <f>IF(MIS_Backend_Data!X336="", "", MIS_Backend_Data!X336)</f>
        <v/>
      </c>
      <c r="I337" t="str">
        <f>IF(MIS_Backend_Data!AC336="", "", MIS_Backend_Data!AC336)</f>
        <v/>
      </c>
      <c r="J337" t="str">
        <f>IF(MIS_Backend_Data!AB336="", "", MIS_Backend_Data!AB336)</f>
        <v/>
      </c>
      <c r="K337" t="str">
        <f>IF(MIS_Backend_Data!AG336="", "", MIS_Backend_Data!AG336)</f>
        <v/>
      </c>
      <c r="L337" s="20" t="str">
        <f>IF(MIS_Backend_Data!AI336="", "", MIS_Backend_Data!AI336)</f>
        <v/>
      </c>
      <c r="M337" t="str">
        <f>IF(MIS_Backend_Data!AK336="", "", MIS_Backend_Data!AK336)</f>
        <v/>
      </c>
      <c r="N337" t="str">
        <f>IF(MIS_Backend_Data!AM336="", "", MIS_Backend_Data!AM336)</f>
        <v/>
      </c>
      <c r="O337" t="str">
        <f>IF(MIS_Backend_Data!AO336="", "", MIS_Backend_Data!AO336)</f>
        <v/>
      </c>
      <c r="P337" t="str">
        <f>IF(MIS_Backend_Data!AS336="", "", MIS_Backend_Data!AS336)</f>
        <v/>
      </c>
      <c r="Q337" t="str">
        <f>IF(MIS_Backend_Data!AX336="", "", MIS_Backend_Data!AX336)</f>
        <v/>
      </c>
      <c r="R337" t="str">
        <f>IF(MIS_Backend_Data!BB336="", "", MIS_Backend_Data!BB336)</f>
        <v/>
      </c>
      <c r="S337" t="str">
        <f>IF(MIS_Backend_Data!AW336="", "", MIS_Backend_Data!AW336)</f>
        <v/>
      </c>
      <c r="T337" s="42" t="str">
        <f>IF(MIS_Backend_Data!N336="Dispatch","Completed","NA")</f>
        <v>NA</v>
      </c>
      <c r="U337" t="str">
        <f t="shared" si="15"/>
        <v/>
      </c>
      <c r="V337" t="str">
        <f t="shared" si="16"/>
        <v/>
      </c>
      <c r="W337" s="20" t="str">
        <f t="shared" si="17"/>
        <v/>
      </c>
    </row>
    <row r="338" spans="2:23" ht="14.5">
      <c r="B338" s="205"/>
      <c r="C338" s="17"/>
      <c r="D338" s="17"/>
      <c r="E338" s="19"/>
      <c r="F338" s="19" t="str">
        <f>IF(MIS_Backend_Data!O337="", "", MIS_Backend_Data!O337)</f>
        <v/>
      </c>
      <c r="G338" t="str">
        <f>IF(MIS_Backend_Data!T337="", "", MIS_Backend_Data!T337)</f>
        <v/>
      </c>
      <c r="H338" t="str">
        <f>IF(MIS_Backend_Data!X337="", "", MIS_Backend_Data!X337)</f>
        <v/>
      </c>
      <c r="I338" t="str">
        <f>IF(MIS_Backend_Data!AC337="", "", MIS_Backend_Data!AC337)</f>
        <v/>
      </c>
      <c r="J338" t="str">
        <f>IF(MIS_Backend_Data!AB337="", "", MIS_Backend_Data!AB337)</f>
        <v/>
      </c>
      <c r="K338" t="str">
        <f>IF(MIS_Backend_Data!AG337="", "", MIS_Backend_Data!AG337)</f>
        <v/>
      </c>
      <c r="L338" s="20" t="str">
        <f>IF(MIS_Backend_Data!AI337="", "", MIS_Backend_Data!AI337)</f>
        <v/>
      </c>
      <c r="M338" t="str">
        <f>IF(MIS_Backend_Data!AK337="", "", MIS_Backend_Data!AK337)</f>
        <v/>
      </c>
      <c r="N338" t="str">
        <f>IF(MIS_Backend_Data!AM337="", "", MIS_Backend_Data!AM337)</f>
        <v/>
      </c>
      <c r="O338" t="str">
        <f>IF(MIS_Backend_Data!AO337="", "", MIS_Backend_Data!AO337)</f>
        <v/>
      </c>
      <c r="P338" t="str">
        <f>IF(MIS_Backend_Data!AS337="", "", MIS_Backend_Data!AS337)</f>
        <v/>
      </c>
      <c r="Q338" t="str">
        <f>IF(MIS_Backend_Data!AX337="", "", MIS_Backend_Data!AX337)</f>
        <v/>
      </c>
      <c r="R338" t="str">
        <f>IF(MIS_Backend_Data!BB337="", "", MIS_Backend_Data!BB337)</f>
        <v/>
      </c>
      <c r="S338" t="str">
        <f>IF(MIS_Backend_Data!AW337="", "", MIS_Backend_Data!AW337)</f>
        <v/>
      </c>
      <c r="T338" s="42" t="str">
        <f>IF(MIS_Backend_Data!N337="Dispatch","Completed","NA")</f>
        <v>NA</v>
      </c>
      <c r="U338" t="str">
        <f t="shared" si="15"/>
        <v/>
      </c>
      <c r="V338" t="str">
        <f t="shared" si="16"/>
        <v/>
      </c>
      <c r="W338" s="20" t="str">
        <f t="shared" si="17"/>
        <v/>
      </c>
    </row>
    <row r="339" spans="2:23" ht="14.5">
      <c r="B339" s="205"/>
      <c r="C339" s="17"/>
      <c r="D339" s="17"/>
      <c r="E339" s="19"/>
      <c r="F339" s="19" t="str">
        <f>IF(MIS_Backend_Data!O338="", "", MIS_Backend_Data!O338)</f>
        <v/>
      </c>
      <c r="G339" t="str">
        <f>IF(MIS_Backend_Data!T338="", "", MIS_Backend_Data!T338)</f>
        <v/>
      </c>
      <c r="H339" t="str">
        <f>IF(MIS_Backend_Data!X338="", "", MIS_Backend_Data!X338)</f>
        <v/>
      </c>
      <c r="I339" t="str">
        <f>IF(MIS_Backend_Data!AC338="", "", MIS_Backend_Data!AC338)</f>
        <v/>
      </c>
      <c r="J339" t="str">
        <f>IF(MIS_Backend_Data!AB338="", "", MIS_Backend_Data!AB338)</f>
        <v/>
      </c>
      <c r="K339" t="str">
        <f>IF(MIS_Backend_Data!AG338="", "", MIS_Backend_Data!AG338)</f>
        <v/>
      </c>
      <c r="L339" s="20" t="str">
        <f>IF(MIS_Backend_Data!AI338="", "", MIS_Backend_Data!AI338)</f>
        <v/>
      </c>
      <c r="M339" t="str">
        <f>IF(MIS_Backend_Data!AK338="", "", MIS_Backend_Data!AK338)</f>
        <v/>
      </c>
      <c r="N339" t="str">
        <f>IF(MIS_Backend_Data!AM338="", "", MIS_Backend_Data!AM338)</f>
        <v/>
      </c>
      <c r="O339" t="str">
        <f>IF(MIS_Backend_Data!AO338="", "", MIS_Backend_Data!AO338)</f>
        <v/>
      </c>
      <c r="P339" t="str">
        <f>IF(MIS_Backend_Data!AS338="", "", MIS_Backend_Data!AS338)</f>
        <v/>
      </c>
      <c r="Q339" t="str">
        <f>IF(MIS_Backend_Data!AX338="", "", MIS_Backend_Data!AX338)</f>
        <v/>
      </c>
      <c r="R339" t="str">
        <f>IF(MIS_Backend_Data!BB338="", "", MIS_Backend_Data!BB338)</f>
        <v/>
      </c>
      <c r="S339" t="str">
        <f>IF(MIS_Backend_Data!AW338="", "", MIS_Backend_Data!AW338)</f>
        <v/>
      </c>
      <c r="T339" s="42" t="str">
        <f>IF(MIS_Backend_Data!N338="Dispatch","Completed","NA")</f>
        <v>NA</v>
      </c>
      <c r="U339" t="str">
        <f t="shared" si="15"/>
        <v/>
      </c>
      <c r="V339" t="str">
        <f t="shared" si="16"/>
        <v/>
      </c>
      <c r="W339" s="20" t="str">
        <f t="shared" si="17"/>
        <v/>
      </c>
    </row>
    <row r="340" spans="2:23" ht="14.5">
      <c r="B340" s="205"/>
      <c r="C340" s="17"/>
      <c r="D340" s="17"/>
      <c r="E340" s="19"/>
      <c r="F340" s="19" t="str">
        <f>IF(MIS_Backend_Data!O339="", "", MIS_Backend_Data!O339)</f>
        <v/>
      </c>
      <c r="G340" t="str">
        <f>IF(MIS_Backend_Data!T339="", "", MIS_Backend_Data!T339)</f>
        <v/>
      </c>
      <c r="H340" t="str">
        <f>IF(MIS_Backend_Data!X339="", "", MIS_Backend_Data!X339)</f>
        <v/>
      </c>
      <c r="I340" t="str">
        <f>IF(MIS_Backend_Data!AC339="", "", MIS_Backend_Data!AC339)</f>
        <v/>
      </c>
      <c r="J340" t="str">
        <f>IF(MIS_Backend_Data!AB339="", "", MIS_Backend_Data!AB339)</f>
        <v/>
      </c>
      <c r="K340" t="str">
        <f>IF(MIS_Backend_Data!AG339="", "", MIS_Backend_Data!AG339)</f>
        <v/>
      </c>
      <c r="L340" s="20" t="str">
        <f>IF(MIS_Backend_Data!AI339="", "", MIS_Backend_Data!AI339)</f>
        <v/>
      </c>
      <c r="M340" t="str">
        <f>IF(MIS_Backend_Data!AK339="", "", MIS_Backend_Data!AK339)</f>
        <v/>
      </c>
      <c r="N340" t="str">
        <f>IF(MIS_Backend_Data!AM339="", "", MIS_Backend_Data!AM339)</f>
        <v/>
      </c>
      <c r="O340" t="str">
        <f>IF(MIS_Backend_Data!AO339="", "", MIS_Backend_Data!AO339)</f>
        <v/>
      </c>
      <c r="P340" t="str">
        <f>IF(MIS_Backend_Data!AS339="", "", MIS_Backend_Data!AS339)</f>
        <v/>
      </c>
      <c r="Q340" t="str">
        <f>IF(MIS_Backend_Data!AX339="", "", MIS_Backend_Data!AX339)</f>
        <v/>
      </c>
      <c r="R340" t="str">
        <f>IF(MIS_Backend_Data!BB339="", "", MIS_Backend_Data!BB339)</f>
        <v/>
      </c>
      <c r="S340" t="str">
        <f>IF(MIS_Backend_Data!AW339="", "", MIS_Backend_Data!AW339)</f>
        <v/>
      </c>
      <c r="T340" s="42" t="str">
        <f>IF(MIS_Backend_Data!N339="Dispatch","Completed","NA")</f>
        <v>NA</v>
      </c>
      <c r="U340" t="str">
        <f t="shared" si="15"/>
        <v/>
      </c>
      <c r="V340" t="str">
        <f t="shared" si="16"/>
        <v/>
      </c>
      <c r="W340" s="20" t="str">
        <f t="shared" si="17"/>
        <v/>
      </c>
    </row>
    <row r="341" spans="2:23" ht="14.5">
      <c r="B341" s="205"/>
      <c r="C341" s="17"/>
      <c r="D341" s="17"/>
      <c r="E341" s="19"/>
      <c r="F341" s="19" t="str">
        <f>IF(MIS_Backend_Data!O340="", "", MIS_Backend_Data!O340)</f>
        <v/>
      </c>
      <c r="G341" t="str">
        <f>IF(MIS_Backend_Data!T340="", "", MIS_Backend_Data!T340)</f>
        <v/>
      </c>
      <c r="H341" t="str">
        <f>IF(MIS_Backend_Data!X340="", "", MIS_Backend_Data!X340)</f>
        <v/>
      </c>
      <c r="I341" t="str">
        <f>IF(MIS_Backend_Data!AC340="", "", MIS_Backend_Data!AC340)</f>
        <v/>
      </c>
      <c r="J341" t="str">
        <f>IF(MIS_Backend_Data!AB340="", "", MIS_Backend_Data!AB340)</f>
        <v/>
      </c>
      <c r="K341" t="str">
        <f>IF(MIS_Backend_Data!AG340="", "", MIS_Backend_Data!AG340)</f>
        <v/>
      </c>
      <c r="L341" s="20" t="str">
        <f>IF(MIS_Backend_Data!AI340="", "", MIS_Backend_Data!AI340)</f>
        <v/>
      </c>
      <c r="M341" t="str">
        <f>IF(MIS_Backend_Data!AK340="", "", MIS_Backend_Data!AK340)</f>
        <v/>
      </c>
      <c r="N341" t="str">
        <f>IF(MIS_Backend_Data!AM340="", "", MIS_Backend_Data!AM340)</f>
        <v/>
      </c>
      <c r="O341" t="str">
        <f>IF(MIS_Backend_Data!AO340="", "", MIS_Backend_Data!AO340)</f>
        <v/>
      </c>
      <c r="P341" t="str">
        <f>IF(MIS_Backend_Data!AS340="", "", MIS_Backend_Data!AS340)</f>
        <v/>
      </c>
      <c r="Q341" t="str">
        <f>IF(MIS_Backend_Data!AX340="", "", MIS_Backend_Data!AX340)</f>
        <v/>
      </c>
      <c r="R341" t="str">
        <f>IF(MIS_Backend_Data!BB340="", "", MIS_Backend_Data!BB340)</f>
        <v/>
      </c>
      <c r="S341" t="str">
        <f>IF(MIS_Backend_Data!AW340="", "", MIS_Backend_Data!AW340)</f>
        <v/>
      </c>
      <c r="T341" s="42" t="str">
        <f>IF(MIS_Backend_Data!N340="Dispatch","Completed","NA")</f>
        <v>NA</v>
      </c>
      <c r="U341" t="str">
        <f t="shared" si="15"/>
        <v/>
      </c>
      <c r="V341" t="str">
        <f t="shared" si="16"/>
        <v/>
      </c>
      <c r="W341" s="20" t="str">
        <f t="shared" si="17"/>
        <v/>
      </c>
    </row>
    <row r="342" spans="2:23" ht="14.5">
      <c r="B342" s="205"/>
      <c r="C342" s="17"/>
      <c r="D342" s="17"/>
      <c r="E342" s="19"/>
      <c r="F342" s="19" t="str">
        <f>IF(MIS_Backend_Data!O341="", "", MIS_Backend_Data!O341)</f>
        <v/>
      </c>
      <c r="G342" t="str">
        <f>IF(MIS_Backend_Data!T341="", "", MIS_Backend_Data!T341)</f>
        <v/>
      </c>
      <c r="H342" t="str">
        <f>IF(MIS_Backend_Data!X341="", "", MIS_Backend_Data!X341)</f>
        <v/>
      </c>
      <c r="I342" t="str">
        <f>IF(MIS_Backend_Data!AC341="", "", MIS_Backend_Data!AC341)</f>
        <v/>
      </c>
      <c r="J342" t="str">
        <f>IF(MIS_Backend_Data!AB341="", "", MIS_Backend_Data!AB341)</f>
        <v/>
      </c>
      <c r="K342" t="str">
        <f>IF(MIS_Backend_Data!AG341="", "", MIS_Backend_Data!AG341)</f>
        <v/>
      </c>
      <c r="L342" s="20" t="str">
        <f>IF(MIS_Backend_Data!AI341="", "", MIS_Backend_Data!AI341)</f>
        <v/>
      </c>
      <c r="M342" t="str">
        <f>IF(MIS_Backend_Data!AK341="", "", MIS_Backend_Data!AK341)</f>
        <v/>
      </c>
      <c r="N342" t="str">
        <f>IF(MIS_Backend_Data!AM341="", "", MIS_Backend_Data!AM341)</f>
        <v/>
      </c>
      <c r="O342" t="str">
        <f>IF(MIS_Backend_Data!AO341="", "", MIS_Backend_Data!AO341)</f>
        <v/>
      </c>
      <c r="P342" t="str">
        <f>IF(MIS_Backend_Data!AS341="", "", MIS_Backend_Data!AS341)</f>
        <v/>
      </c>
      <c r="Q342" t="str">
        <f>IF(MIS_Backend_Data!AX341="", "", MIS_Backend_Data!AX341)</f>
        <v/>
      </c>
      <c r="R342" t="str">
        <f>IF(MIS_Backend_Data!BB341="", "", MIS_Backend_Data!BB341)</f>
        <v/>
      </c>
      <c r="S342" t="str">
        <f>IF(MIS_Backend_Data!AW341="", "", MIS_Backend_Data!AW341)</f>
        <v/>
      </c>
      <c r="T342" s="42" t="str">
        <f>IF(MIS_Backend_Data!N341="Dispatch","Completed","NA")</f>
        <v>NA</v>
      </c>
      <c r="U342" t="str">
        <f t="shared" si="15"/>
        <v/>
      </c>
      <c r="V342" t="str">
        <f t="shared" si="16"/>
        <v/>
      </c>
      <c r="W342" s="20" t="str">
        <f t="shared" si="17"/>
        <v/>
      </c>
    </row>
    <row r="343" spans="2:23" ht="14.5">
      <c r="B343" s="205"/>
      <c r="C343" s="17"/>
      <c r="D343" s="17"/>
      <c r="E343" s="19"/>
      <c r="F343" s="19" t="str">
        <f>IF(MIS_Backend_Data!O342="", "", MIS_Backend_Data!O342)</f>
        <v/>
      </c>
      <c r="G343" t="str">
        <f>IF(MIS_Backend_Data!T342="", "", MIS_Backend_Data!T342)</f>
        <v/>
      </c>
      <c r="H343" t="str">
        <f>IF(MIS_Backend_Data!X342="", "", MIS_Backend_Data!X342)</f>
        <v/>
      </c>
      <c r="I343" t="str">
        <f>IF(MIS_Backend_Data!AC342="", "", MIS_Backend_Data!AC342)</f>
        <v/>
      </c>
      <c r="J343" t="str">
        <f>IF(MIS_Backend_Data!AB342="", "", MIS_Backend_Data!AB342)</f>
        <v/>
      </c>
      <c r="K343" t="str">
        <f>IF(MIS_Backend_Data!AG342="", "", MIS_Backend_Data!AG342)</f>
        <v/>
      </c>
      <c r="L343" s="20" t="str">
        <f>IF(MIS_Backend_Data!AI342="", "", MIS_Backend_Data!AI342)</f>
        <v/>
      </c>
      <c r="M343" t="str">
        <f>IF(MIS_Backend_Data!AK342="", "", MIS_Backend_Data!AK342)</f>
        <v/>
      </c>
      <c r="N343" t="str">
        <f>IF(MIS_Backend_Data!AM342="", "", MIS_Backend_Data!AM342)</f>
        <v/>
      </c>
      <c r="O343" t="str">
        <f>IF(MIS_Backend_Data!AO342="", "", MIS_Backend_Data!AO342)</f>
        <v/>
      </c>
      <c r="P343" t="str">
        <f>IF(MIS_Backend_Data!AS342="", "", MIS_Backend_Data!AS342)</f>
        <v/>
      </c>
      <c r="Q343" t="str">
        <f>IF(MIS_Backend_Data!AX342="", "", MIS_Backend_Data!AX342)</f>
        <v/>
      </c>
      <c r="R343" t="str">
        <f>IF(MIS_Backend_Data!BB342="", "", MIS_Backend_Data!BB342)</f>
        <v/>
      </c>
      <c r="S343" t="str">
        <f>IF(MIS_Backend_Data!AW342="", "", MIS_Backend_Data!AW342)</f>
        <v/>
      </c>
      <c r="T343" s="42" t="str">
        <f>IF(MIS_Backend_Data!N342="Dispatch","Completed","NA")</f>
        <v>NA</v>
      </c>
      <c r="U343" t="str">
        <f t="shared" si="15"/>
        <v/>
      </c>
      <c r="V343" t="str">
        <f t="shared" si="16"/>
        <v/>
      </c>
      <c r="W343" s="20" t="str">
        <f t="shared" si="17"/>
        <v/>
      </c>
    </row>
    <row r="344" spans="2:23" ht="14.5">
      <c r="B344" s="205"/>
      <c r="C344" s="17"/>
      <c r="D344" s="17"/>
      <c r="E344" s="19"/>
      <c r="F344" s="19" t="str">
        <f>IF(MIS_Backend_Data!O343="", "", MIS_Backend_Data!O343)</f>
        <v/>
      </c>
      <c r="G344" t="str">
        <f>IF(MIS_Backend_Data!T343="", "", MIS_Backend_Data!T343)</f>
        <v/>
      </c>
      <c r="H344" t="str">
        <f>IF(MIS_Backend_Data!X343="", "", MIS_Backend_Data!X343)</f>
        <v/>
      </c>
      <c r="I344" t="str">
        <f>IF(MIS_Backend_Data!AC343="", "", MIS_Backend_Data!AC343)</f>
        <v/>
      </c>
      <c r="J344" t="str">
        <f>IF(MIS_Backend_Data!AB343="", "", MIS_Backend_Data!AB343)</f>
        <v/>
      </c>
      <c r="K344" t="str">
        <f>IF(MIS_Backend_Data!AG343="", "", MIS_Backend_Data!AG343)</f>
        <v/>
      </c>
      <c r="L344" s="20" t="str">
        <f>IF(MIS_Backend_Data!AI343="", "", MIS_Backend_Data!AI343)</f>
        <v/>
      </c>
      <c r="M344" t="str">
        <f>IF(MIS_Backend_Data!AK343="", "", MIS_Backend_Data!AK343)</f>
        <v/>
      </c>
      <c r="N344" t="str">
        <f>IF(MIS_Backend_Data!AM343="", "", MIS_Backend_Data!AM343)</f>
        <v/>
      </c>
      <c r="O344" t="str">
        <f>IF(MIS_Backend_Data!AO343="", "", MIS_Backend_Data!AO343)</f>
        <v/>
      </c>
      <c r="P344" t="str">
        <f>IF(MIS_Backend_Data!AS343="", "", MIS_Backend_Data!AS343)</f>
        <v/>
      </c>
      <c r="Q344" t="str">
        <f>IF(MIS_Backend_Data!AX343="", "", MIS_Backend_Data!AX343)</f>
        <v/>
      </c>
      <c r="R344" t="str">
        <f>IF(MIS_Backend_Data!BB343="", "", MIS_Backend_Data!BB343)</f>
        <v/>
      </c>
      <c r="S344" t="str">
        <f>IF(MIS_Backend_Data!AW343="", "", MIS_Backend_Data!AW343)</f>
        <v/>
      </c>
      <c r="T344" s="42" t="str">
        <f>IF(MIS_Backend_Data!N343="Dispatch","Completed","NA")</f>
        <v>NA</v>
      </c>
      <c r="U344" t="str">
        <f t="shared" si="15"/>
        <v/>
      </c>
      <c r="V344" t="str">
        <f t="shared" si="16"/>
        <v/>
      </c>
      <c r="W344" s="20" t="str">
        <f t="shared" si="17"/>
        <v/>
      </c>
    </row>
    <row r="345" spans="2:23" ht="14.5">
      <c r="B345" s="205"/>
      <c r="C345" s="17"/>
      <c r="D345" s="17"/>
      <c r="E345" s="19"/>
      <c r="F345" s="19" t="str">
        <f>IF(MIS_Backend_Data!O344="", "", MIS_Backend_Data!O344)</f>
        <v/>
      </c>
      <c r="G345" t="str">
        <f>IF(MIS_Backend_Data!T344="", "", MIS_Backend_Data!T344)</f>
        <v/>
      </c>
      <c r="H345" t="str">
        <f>IF(MIS_Backend_Data!X344="", "", MIS_Backend_Data!X344)</f>
        <v/>
      </c>
      <c r="I345" t="str">
        <f>IF(MIS_Backend_Data!AC344="", "", MIS_Backend_Data!AC344)</f>
        <v/>
      </c>
      <c r="J345" t="str">
        <f>IF(MIS_Backend_Data!AB344="", "", MIS_Backend_Data!AB344)</f>
        <v/>
      </c>
      <c r="K345" t="str">
        <f>IF(MIS_Backend_Data!AG344="", "", MIS_Backend_Data!AG344)</f>
        <v/>
      </c>
      <c r="L345" s="20" t="str">
        <f>IF(MIS_Backend_Data!AI344="", "", MIS_Backend_Data!AI344)</f>
        <v/>
      </c>
      <c r="M345" t="str">
        <f>IF(MIS_Backend_Data!AK344="", "", MIS_Backend_Data!AK344)</f>
        <v/>
      </c>
      <c r="N345" t="str">
        <f>IF(MIS_Backend_Data!AM344="", "", MIS_Backend_Data!AM344)</f>
        <v/>
      </c>
      <c r="O345" t="str">
        <f>IF(MIS_Backend_Data!AO344="", "", MIS_Backend_Data!AO344)</f>
        <v/>
      </c>
      <c r="P345" t="str">
        <f>IF(MIS_Backend_Data!AS344="", "", MIS_Backend_Data!AS344)</f>
        <v/>
      </c>
      <c r="Q345" t="str">
        <f>IF(MIS_Backend_Data!AX344="", "", MIS_Backend_Data!AX344)</f>
        <v/>
      </c>
      <c r="R345" t="str">
        <f>IF(MIS_Backend_Data!BB344="", "", MIS_Backend_Data!BB344)</f>
        <v/>
      </c>
      <c r="S345" t="str">
        <f>IF(MIS_Backend_Data!AW344="", "", MIS_Backend_Data!AW344)</f>
        <v/>
      </c>
      <c r="T345" s="42" t="str">
        <f>IF(MIS_Backend_Data!N344="Dispatch","Completed","NA")</f>
        <v>NA</v>
      </c>
      <c r="U345" t="str">
        <f t="shared" si="15"/>
        <v/>
      </c>
      <c r="V345" t="str">
        <f t="shared" si="16"/>
        <v/>
      </c>
      <c r="W345" s="20" t="str">
        <f t="shared" si="17"/>
        <v/>
      </c>
    </row>
    <row r="346" spans="2:23" ht="14.5">
      <c r="B346" s="205"/>
      <c r="C346" s="17"/>
      <c r="D346" s="17"/>
      <c r="E346" s="19"/>
      <c r="F346" s="19" t="str">
        <f>IF(MIS_Backend_Data!O345="", "", MIS_Backend_Data!O345)</f>
        <v/>
      </c>
      <c r="G346" t="str">
        <f>IF(MIS_Backend_Data!T345="", "", MIS_Backend_Data!T345)</f>
        <v/>
      </c>
      <c r="H346" t="str">
        <f>IF(MIS_Backend_Data!X345="", "", MIS_Backend_Data!X345)</f>
        <v/>
      </c>
      <c r="I346" t="str">
        <f>IF(MIS_Backend_Data!AC345="", "", MIS_Backend_Data!AC345)</f>
        <v/>
      </c>
      <c r="J346" t="str">
        <f>IF(MIS_Backend_Data!AB345="", "", MIS_Backend_Data!AB345)</f>
        <v/>
      </c>
      <c r="K346" t="str">
        <f>IF(MIS_Backend_Data!AG345="", "", MIS_Backend_Data!AG345)</f>
        <v/>
      </c>
      <c r="L346" s="20" t="str">
        <f>IF(MIS_Backend_Data!AI345="", "", MIS_Backend_Data!AI345)</f>
        <v/>
      </c>
      <c r="M346" t="str">
        <f>IF(MIS_Backend_Data!AK345="", "", MIS_Backend_Data!AK345)</f>
        <v/>
      </c>
      <c r="N346" t="str">
        <f>IF(MIS_Backend_Data!AM345="", "", MIS_Backend_Data!AM345)</f>
        <v/>
      </c>
      <c r="O346" t="str">
        <f>IF(MIS_Backend_Data!AO345="", "", MIS_Backend_Data!AO345)</f>
        <v/>
      </c>
      <c r="P346" t="str">
        <f>IF(MIS_Backend_Data!AS345="", "", MIS_Backend_Data!AS345)</f>
        <v/>
      </c>
      <c r="Q346" t="str">
        <f>IF(MIS_Backend_Data!AX345="", "", MIS_Backend_Data!AX345)</f>
        <v/>
      </c>
      <c r="R346" t="str">
        <f>IF(MIS_Backend_Data!BB345="", "", MIS_Backend_Data!BB345)</f>
        <v/>
      </c>
      <c r="S346" t="str">
        <f>IF(MIS_Backend_Data!AW345="", "", MIS_Backend_Data!AW345)</f>
        <v/>
      </c>
      <c r="T346" s="42" t="str">
        <f>IF(MIS_Backend_Data!N345="Dispatch","Completed","NA")</f>
        <v>NA</v>
      </c>
      <c r="U346" t="str">
        <f t="shared" si="15"/>
        <v/>
      </c>
      <c r="V346" t="str">
        <f t="shared" si="16"/>
        <v/>
      </c>
      <c r="W346" s="20" t="str">
        <f t="shared" si="17"/>
        <v/>
      </c>
    </row>
    <row r="347" spans="2:23" ht="14.5">
      <c r="B347" s="205"/>
      <c r="C347" s="17"/>
      <c r="D347" s="17"/>
      <c r="E347" s="19"/>
      <c r="F347" s="19" t="str">
        <f>IF(MIS_Backend_Data!O346="", "", MIS_Backend_Data!O346)</f>
        <v/>
      </c>
      <c r="G347" t="str">
        <f>IF(MIS_Backend_Data!T346="", "", MIS_Backend_Data!T346)</f>
        <v/>
      </c>
      <c r="H347" t="str">
        <f>IF(MIS_Backend_Data!X346="", "", MIS_Backend_Data!X346)</f>
        <v/>
      </c>
      <c r="I347" t="str">
        <f>IF(MIS_Backend_Data!AC346="", "", MIS_Backend_Data!AC346)</f>
        <v/>
      </c>
      <c r="J347" t="str">
        <f>IF(MIS_Backend_Data!AB346="", "", MIS_Backend_Data!AB346)</f>
        <v/>
      </c>
      <c r="K347" t="str">
        <f>IF(MIS_Backend_Data!AG346="", "", MIS_Backend_Data!AG346)</f>
        <v/>
      </c>
      <c r="L347" s="20" t="str">
        <f>IF(MIS_Backend_Data!AI346="", "", MIS_Backend_Data!AI346)</f>
        <v/>
      </c>
      <c r="M347" t="str">
        <f>IF(MIS_Backend_Data!AK346="", "", MIS_Backend_Data!AK346)</f>
        <v/>
      </c>
      <c r="N347" t="str">
        <f>IF(MIS_Backend_Data!AM346="", "", MIS_Backend_Data!AM346)</f>
        <v/>
      </c>
      <c r="O347" t="str">
        <f>IF(MIS_Backend_Data!AO346="", "", MIS_Backend_Data!AO346)</f>
        <v/>
      </c>
      <c r="P347" t="str">
        <f>IF(MIS_Backend_Data!AS346="", "", MIS_Backend_Data!AS346)</f>
        <v/>
      </c>
      <c r="Q347" t="str">
        <f>IF(MIS_Backend_Data!AX346="", "", MIS_Backend_Data!AX346)</f>
        <v/>
      </c>
      <c r="R347" t="str">
        <f>IF(MIS_Backend_Data!BB346="", "", MIS_Backend_Data!BB346)</f>
        <v/>
      </c>
      <c r="S347" t="str">
        <f>IF(MIS_Backend_Data!AW346="", "", MIS_Backend_Data!AW346)</f>
        <v/>
      </c>
      <c r="T347" s="42" t="str">
        <f>IF(MIS_Backend_Data!N346="Dispatch","Completed","NA")</f>
        <v>NA</v>
      </c>
      <c r="U347" t="str">
        <f t="shared" si="15"/>
        <v/>
      </c>
      <c r="V347" t="str">
        <f t="shared" si="16"/>
        <v/>
      </c>
      <c r="W347" s="20" t="str">
        <f t="shared" si="17"/>
        <v/>
      </c>
    </row>
    <row r="348" spans="2:23" ht="14.5">
      <c r="B348" s="205"/>
      <c r="C348" s="17"/>
      <c r="D348" s="17"/>
      <c r="E348" s="19"/>
      <c r="F348" s="19" t="str">
        <f>IF(MIS_Backend_Data!O347="", "", MIS_Backend_Data!O347)</f>
        <v/>
      </c>
      <c r="G348" t="str">
        <f>IF(MIS_Backend_Data!T347="", "", MIS_Backend_Data!T347)</f>
        <v/>
      </c>
      <c r="H348" t="str">
        <f>IF(MIS_Backend_Data!X347="", "", MIS_Backend_Data!X347)</f>
        <v/>
      </c>
      <c r="I348" t="str">
        <f>IF(MIS_Backend_Data!AC347="", "", MIS_Backend_Data!AC347)</f>
        <v/>
      </c>
      <c r="J348" t="str">
        <f>IF(MIS_Backend_Data!AB347="", "", MIS_Backend_Data!AB347)</f>
        <v/>
      </c>
      <c r="K348" t="str">
        <f>IF(MIS_Backend_Data!AG347="", "", MIS_Backend_Data!AG347)</f>
        <v/>
      </c>
      <c r="L348" s="20" t="str">
        <f>IF(MIS_Backend_Data!AI347="", "", MIS_Backend_Data!AI347)</f>
        <v/>
      </c>
      <c r="M348" t="str">
        <f>IF(MIS_Backend_Data!AK347="", "", MIS_Backend_Data!AK347)</f>
        <v/>
      </c>
      <c r="N348" t="str">
        <f>IF(MIS_Backend_Data!AM347="", "", MIS_Backend_Data!AM347)</f>
        <v/>
      </c>
      <c r="O348" t="str">
        <f>IF(MIS_Backend_Data!AO347="", "", MIS_Backend_Data!AO347)</f>
        <v/>
      </c>
      <c r="P348" t="str">
        <f>IF(MIS_Backend_Data!AS347="", "", MIS_Backend_Data!AS347)</f>
        <v/>
      </c>
      <c r="Q348" t="str">
        <f>IF(MIS_Backend_Data!AX347="", "", MIS_Backend_Data!AX347)</f>
        <v/>
      </c>
      <c r="R348" t="str">
        <f>IF(MIS_Backend_Data!BB347="", "", MIS_Backend_Data!BB347)</f>
        <v/>
      </c>
      <c r="S348" t="str">
        <f>IF(MIS_Backend_Data!AW347="", "", MIS_Backend_Data!AW347)</f>
        <v/>
      </c>
      <c r="T348" s="42" t="str">
        <f>IF(MIS_Backend_Data!N347="Dispatch","Completed","NA")</f>
        <v>NA</v>
      </c>
      <c r="U348" t="str">
        <f t="shared" si="15"/>
        <v/>
      </c>
      <c r="V348" t="str">
        <f t="shared" si="16"/>
        <v/>
      </c>
      <c r="W348" s="20" t="str">
        <f t="shared" si="17"/>
        <v/>
      </c>
    </row>
    <row r="349" spans="2:23" ht="14.5">
      <c r="B349" s="205"/>
      <c r="C349" s="17"/>
      <c r="D349" s="17"/>
      <c r="E349" s="19"/>
      <c r="F349" s="19" t="str">
        <f>IF(MIS_Backend_Data!O348="", "", MIS_Backend_Data!O348)</f>
        <v/>
      </c>
      <c r="G349" t="str">
        <f>IF(MIS_Backend_Data!T348="", "", MIS_Backend_Data!T348)</f>
        <v/>
      </c>
      <c r="H349" t="str">
        <f>IF(MIS_Backend_Data!X348="", "", MIS_Backend_Data!X348)</f>
        <v/>
      </c>
      <c r="I349" t="str">
        <f>IF(MIS_Backend_Data!AC348="", "", MIS_Backend_Data!AC348)</f>
        <v/>
      </c>
      <c r="J349" t="str">
        <f>IF(MIS_Backend_Data!AB348="", "", MIS_Backend_Data!AB348)</f>
        <v/>
      </c>
      <c r="K349" t="str">
        <f>IF(MIS_Backend_Data!AG348="", "", MIS_Backend_Data!AG348)</f>
        <v/>
      </c>
      <c r="L349" s="20" t="str">
        <f>IF(MIS_Backend_Data!AI348="", "", MIS_Backend_Data!AI348)</f>
        <v/>
      </c>
      <c r="M349" t="str">
        <f>IF(MIS_Backend_Data!AK348="", "", MIS_Backend_Data!AK348)</f>
        <v/>
      </c>
      <c r="N349" t="str">
        <f>IF(MIS_Backend_Data!AM348="", "", MIS_Backend_Data!AM348)</f>
        <v/>
      </c>
      <c r="O349" t="str">
        <f>IF(MIS_Backend_Data!AO348="", "", MIS_Backend_Data!AO348)</f>
        <v/>
      </c>
      <c r="P349" t="str">
        <f>IF(MIS_Backend_Data!AS348="", "", MIS_Backend_Data!AS348)</f>
        <v/>
      </c>
      <c r="Q349" t="str">
        <f>IF(MIS_Backend_Data!AX348="", "", MIS_Backend_Data!AX348)</f>
        <v/>
      </c>
      <c r="R349" t="str">
        <f>IF(MIS_Backend_Data!BB348="", "", MIS_Backend_Data!BB348)</f>
        <v/>
      </c>
      <c r="S349" t="str">
        <f>IF(MIS_Backend_Data!AW348="", "", MIS_Backend_Data!AW348)</f>
        <v/>
      </c>
      <c r="T349" s="42" t="str">
        <f>IF(MIS_Backend_Data!N348="Dispatch","Completed","NA")</f>
        <v>NA</v>
      </c>
      <c r="U349" t="str">
        <f t="shared" si="15"/>
        <v/>
      </c>
      <c r="V349" t="str">
        <f t="shared" si="16"/>
        <v/>
      </c>
      <c r="W349" s="20" t="str">
        <f t="shared" si="17"/>
        <v/>
      </c>
    </row>
    <row r="350" spans="2:23" ht="14.5">
      <c r="B350" s="205"/>
      <c r="C350" s="17"/>
      <c r="D350" s="17"/>
      <c r="E350" s="19"/>
      <c r="F350" s="19" t="str">
        <f>IF(MIS_Backend_Data!O349="", "", MIS_Backend_Data!O349)</f>
        <v/>
      </c>
      <c r="G350" t="str">
        <f>IF(MIS_Backend_Data!T349="", "", MIS_Backend_Data!T349)</f>
        <v/>
      </c>
      <c r="H350" t="str">
        <f>IF(MIS_Backend_Data!X349="", "", MIS_Backend_Data!X349)</f>
        <v/>
      </c>
      <c r="I350" t="str">
        <f>IF(MIS_Backend_Data!AC349="", "", MIS_Backend_Data!AC349)</f>
        <v/>
      </c>
      <c r="J350" t="str">
        <f>IF(MIS_Backend_Data!AB349="", "", MIS_Backend_Data!AB349)</f>
        <v/>
      </c>
      <c r="K350" t="str">
        <f>IF(MIS_Backend_Data!AG349="", "", MIS_Backend_Data!AG349)</f>
        <v/>
      </c>
      <c r="L350" s="20" t="str">
        <f>IF(MIS_Backend_Data!AI349="", "", MIS_Backend_Data!AI349)</f>
        <v/>
      </c>
      <c r="M350" t="str">
        <f>IF(MIS_Backend_Data!AK349="", "", MIS_Backend_Data!AK349)</f>
        <v/>
      </c>
      <c r="N350" t="str">
        <f>IF(MIS_Backend_Data!AM349="", "", MIS_Backend_Data!AM349)</f>
        <v/>
      </c>
      <c r="O350" t="str">
        <f>IF(MIS_Backend_Data!AO349="", "", MIS_Backend_Data!AO349)</f>
        <v/>
      </c>
      <c r="P350" t="str">
        <f>IF(MIS_Backend_Data!AS349="", "", MIS_Backend_Data!AS349)</f>
        <v/>
      </c>
      <c r="Q350" t="str">
        <f>IF(MIS_Backend_Data!AX349="", "", MIS_Backend_Data!AX349)</f>
        <v/>
      </c>
      <c r="R350" t="str">
        <f>IF(MIS_Backend_Data!BB349="", "", MIS_Backend_Data!BB349)</f>
        <v/>
      </c>
      <c r="S350" t="str">
        <f>IF(MIS_Backend_Data!AW349="", "", MIS_Backend_Data!AW349)</f>
        <v/>
      </c>
      <c r="T350" s="42" t="str">
        <f>IF(MIS_Backend_Data!N349="Dispatch","Completed","NA")</f>
        <v>NA</v>
      </c>
      <c r="U350" t="str">
        <f t="shared" si="15"/>
        <v/>
      </c>
      <c r="V350" t="str">
        <f t="shared" si="16"/>
        <v/>
      </c>
      <c r="W350" s="20" t="str">
        <f t="shared" si="17"/>
        <v/>
      </c>
    </row>
    <row r="351" spans="2:23" ht="14.5">
      <c r="B351" s="205"/>
      <c r="C351" s="17"/>
      <c r="D351" s="17"/>
      <c r="E351" s="19"/>
      <c r="F351" s="19" t="str">
        <f>IF(MIS_Backend_Data!O350="", "", MIS_Backend_Data!O350)</f>
        <v/>
      </c>
      <c r="G351" t="str">
        <f>IF(MIS_Backend_Data!T350="", "", MIS_Backend_Data!T350)</f>
        <v/>
      </c>
      <c r="H351" t="str">
        <f>IF(MIS_Backend_Data!X350="", "", MIS_Backend_Data!X350)</f>
        <v/>
      </c>
      <c r="I351" t="str">
        <f>IF(MIS_Backend_Data!AC350="", "", MIS_Backend_Data!AC350)</f>
        <v/>
      </c>
      <c r="J351" t="str">
        <f>IF(MIS_Backend_Data!AB350="", "", MIS_Backend_Data!AB350)</f>
        <v/>
      </c>
      <c r="K351" t="str">
        <f>IF(MIS_Backend_Data!AG350="", "", MIS_Backend_Data!AG350)</f>
        <v/>
      </c>
      <c r="L351" s="20" t="str">
        <f>IF(MIS_Backend_Data!AI350="", "", MIS_Backend_Data!AI350)</f>
        <v/>
      </c>
      <c r="M351" t="str">
        <f>IF(MIS_Backend_Data!AK350="", "", MIS_Backend_Data!AK350)</f>
        <v/>
      </c>
      <c r="N351" t="str">
        <f>IF(MIS_Backend_Data!AM350="", "", MIS_Backend_Data!AM350)</f>
        <v/>
      </c>
      <c r="O351" t="str">
        <f>IF(MIS_Backend_Data!AO350="", "", MIS_Backend_Data!AO350)</f>
        <v/>
      </c>
      <c r="P351" t="str">
        <f>IF(MIS_Backend_Data!AS350="", "", MIS_Backend_Data!AS350)</f>
        <v/>
      </c>
      <c r="Q351" t="str">
        <f>IF(MIS_Backend_Data!AX350="", "", MIS_Backend_Data!AX350)</f>
        <v/>
      </c>
      <c r="R351" t="str">
        <f>IF(MIS_Backend_Data!BB350="", "", MIS_Backend_Data!BB350)</f>
        <v/>
      </c>
      <c r="S351" t="str">
        <f>IF(MIS_Backend_Data!AW350="", "", MIS_Backend_Data!AW350)</f>
        <v/>
      </c>
      <c r="T351" s="42" t="str">
        <f>IF(MIS_Backend_Data!N350="Dispatch","Completed","NA")</f>
        <v>NA</v>
      </c>
      <c r="U351" t="str">
        <f t="shared" si="15"/>
        <v/>
      </c>
      <c r="V351" t="str">
        <f t="shared" si="16"/>
        <v/>
      </c>
      <c r="W351" s="20" t="str">
        <f t="shared" si="17"/>
        <v/>
      </c>
    </row>
    <row r="352" spans="2:23" ht="14.5">
      <c r="B352" s="205"/>
      <c r="C352" s="17"/>
      <c r="D352" s="17"/>
      <c r="E352" s="19"/>
      <c r="F352" s="19" t="str">
        <f>IF(MIS_Backend_Data!O351="", "", MIS_Backend_Data!O351)</f>
        <v/>
      </c>
      <c r="G352" t="str">
        <f>IF(MIS_Backend_Data!T351="", "", MIS_Backend_Data!T351)</f>
        <v/>
      </c>
      <c r="H352" t="str">
        <f>IF(MIS_Backend_Data!X351="", "", MIS_Backend_Data!X351)</f>
        <v/>
      </c>
      <c r="I352" t="str">
        <f>IF(MIS_Backend_Data!AC351="", "", MIS_Backend_Data!AC351)</f>
        <v/>
      </c>
      <c r="J352" t="str">
        <f>IF(MIS_Backend_Data!AB351="", "", MIS_Backend_Data!AB351)</f>
        <v/>
      </c>
      <c r="K352" t="str">
        <f>IF(MIS_Backend_Data!AG351="", "", MIS_Backend_Data!AG351)</f>
        <v/>
      </c>
      <c r="L352" s="20" t="str">
        <f>IF(MIS_Backend_Data!AI351="", "", MIS_Backend_Data!AI351)</f>
        <v/>
      </c>
      <c r="M352" t="str">
        <f>IF(MIS_Backend_Data!AK351="", "", MIS_Backend_Data!AK351)</f>
        <v/>
      </c>
      <c r="N352" t="str">
        <f>IF(MIS_Backend_Data!AM351="", "", MIS_Backend_Data!AM351)</f>
        <v/>
      </c>
      <c r="O352" t="str">
        <f>IF(MIS_Backend_Data!AO351="", "", MIS_Backend_Data!AO351)</f>
        <v/>
      </c>
      <c r="P352" t="str">
        <f>IF(MIS_Backend_Data!AS351="", "", MIS_Backend_Data!AS351)</f>
        <v/>
      </c>
      <c r="Q352" t="str">
        <f>IF(MIS_Backend_Data!AX351="", "", MIS_Backend_Data!AX351)</f>
        <v/>
      </c>
      <c r="R352" t="str">
        <f>IF(MIS_Backend_Data!BB351="", "", MIS_Backend_Data!BB351)</f>
        <v/>
      </c>
      <c r="S352" t="str">
        <f>IF(MIS_Backend_Data!AW351="", "", MIS_Backend_Data!AW351)</f>
        <v/>
      </c>
      <c r="T352" s="42" t="str">
        <f>IF(MIS_Backend_Data!N351="Dispatch","Completed","NA")</f>
        <v>NA</v>
      </c>
      <c r="U352" t="str">
        <f t="shared" si="15"/>
        <v/>
      </c>
      <c r="V352" t="str">
        <f t="shared" si="16"/>
        <v/>
      </c>
      <c r="W352" s="20" t="str">
        <f t="shared" si="17"/>
        <v/>
      </c>
    </row>
    <row r="353" spans="2:23" ht="14.5">
      <c r="B353" s="205"/>
      <c r="C353" s="17"/>
      <c r="D353" s="17"/>
      <c r="E353" s="19"/>
      <c r="F353" s="19" t="str">
        <f>IF(MIS_Backend_Data!O352="", "", MIS_Backend_Data!O352)</f>
        <v/>
      </c>
      <c r="G353" t="str">
        <f>IF(MIS_Backend_Data!T352="", "", MIS_Backend_Data!T352)</f>
        <v/>
      </c>
      <c r="H353" t="str">
        <f>IF(MIS_Backend_Data!X352="", "", MIS_Backend_Data!X352)</f>
        <v/>
      </c>
      <c r="I353" t="str">
        <f>IF(MIS_Backend_Data!AC352="", "", MIS_Backend_Data!AC352)</f>
        <v/>
      </c>
      <c r="J353" t="str">
        <f>IF(MIS_Backend_Data!AB352="", "", MIS_Backend_Data!AB352)</f>
        <v/>
      </c>
      <c r="K353" t="str">
        <f>IF(MIS_Backend_Data!AG352="", "", MIS_Backend_Data!AG352)</f>
        <v/>
      </c>
      <c r="L353" s="20" t="str">
        <f>IF(MIS_Backend_Data!AI352="", "", MIS_Backend_Data!AI352)</f>
        <v/>
      </c>
      <c r="M353" t="str">
        <f>IF(MIS_Backend_Data!AK352="", "", MIS_Backend_Data!AK352)</f>
        <v/>
      </c>
      <c r="N353" t="str">
        <f>IF(MIS_Backend_Data!AM352="", "", MIS_Backend_Data!AM352)</f>
        <v/>
      </c>
      <c r="O353" t="str">
        <f>IF(MIS_Backend_Data!AO352="", "", MIS_Backend_Data!AO352)</f>
        <v/>
      </c>
      <c r="P353" t="str">
        <f>IF(MIS_Backend_Data!AS352="", "", MIS_Backend_Data!AS352)</f>
        <v/>
      </c>
      <c r="Q353" t="str">
        <f>IF(MIS_Backend_Data!AX352="", "", MIS_Backend_Data!AX352)</f>
        <v/>
      </c>
      <c r="R353" t="str">
        <f>IF(MIS_Backend_Data!BB352="", "", MIS_Backend_Data!BB352)</f>
        <v/>
      </c>
      <c r="S353" t="str">
        <f>IF(MIS_Backend_Data!AW352="", "", MIS_Backend_Data!AW352)</f>
        <v/>
      </c>
      <c r="T353" s="42" t="str">
        <f>IF(MIS_Backend_Data!N352="Dispatch","Completed","NA")</f>
        <v>NA</v>
      </c>
      <c r="U353" t="str">
        <f t="shared" si="15"/>
        <v/>
      </c>
      <c r="V353" t="str">
        <f t="shared" si="16"/>
        <v/>
      </c>
      <c r="W353" s="20" t="str">
        <f t="shared" si="17"/>
        <v/>
      </c>
    </row>
    <row r="354" spans="2:23" ht="14.5">
      <c r="B354" s="205"/>
      <c r="C354" s="17"/>
      <c r="D354" s="17"/>
      <c r="E354" s="19"/>
      <c r="F354" s="19" t="str">
        <f>IF(MIS_Backend_Data!O353="", "", MIS_Backend_Data!O353)</f>
        <v/>
      </c>
      <c r="G354" t="str">
        <f>IF(MIS_Backend_Data!T353="", "", MIS_Backend_Data!T353)</f>
        <v/>
      </c>
      <c r="H354" t="str">
        <f>IF(MIS_Backend_Data!X353="", "", MIS_Backend_Data!X353)</f>
        <v/>
      </c>
      <c r="I354" t="str">
        <f>IF(MIS_Backend_Data!AC353="", "", MIS_Backend_Data!AC353)</f>
        <v/>
      </c>
      <c r="J354" t="str">
        <f>IF(MIS_Backend_Data!AB353="", "", MIS_Backend_Data!AB353)</f>
        <v/>
      </c>
      <c r="K354" t="str">
        <f>IF(MIS_Backend_Data!AG353="", "", MIS_Backend_Data!AG353)</f>
        <v/>
      </c>
      <c r="L354" s="20" t="str">
        <f>IF(MIS_Backend_Data!AI353="", "", MIS_Backend_Data!AI353)</f>
        <v/>
      </c>
      <c r="M354" t="str">
        <f>IF(MIS_Backend_Data!AK353="", "", MIS_Backend_Data!AK353)</f>
        <v/>
      </c>
      <c r="N354" t="str">
        <f>IF(MIS_Backend_Data!AM353="", "", MIS_Backend_Data!AM353)</f>
        <v/>
      </c>
      <c r="O354" t="str">
        <f>IF(MIS_Backend_Data!AO353="", "", MIS_Backend_Data!AO353)</f>
        <v/>
      </c>
      <c r="P354" t="str">
        <f>IF(MIS_Backend_Data!AS353="", "", MIS_Backend_Data!AS353)</f>
        <v/>
      </c>
      <c r="Q354" t="str">
        <f>IF(MIS_Backend_Data!AX353="", "", MIS_Backend_Data!AX353)</f>
        <v/>
      </c>
      <c r="R354" t="str">
        <f>IF(MIS_Backend_Data!BB353="", "", MIS_Backend_Data!BB353)</f>
        <v/>
      </c>
      <c r="S354" t="str">
        <f>IF(MIS_Backend_Data!AW353="", "", MIS_Backend_Data!AW353)</f>
        <v/>
      </c>
      <c r="T354" s="42" t="str">
        <f>IF(MIS_Backend_Data!N353="Dispatch","Completed","NA")</f>
        <v>NA</v>
      </c>
      <c r="U354" t="str">
        <f t="shared" si="15"/>
        <v/>
      </c>
      <c r="V354" t="str">
        <f t="shared" si="16"/>
        <v/>
      </c>
      <c r="W354" s="20" t="str">
        <f t="shared" si="17"/>
        <v/>
      </c>
    </row>
    <row r="355" spans="2:23" ht="14.5">
      <c r="B355" s="205"/>
      <c r="C355" s="17"/>
      <c r="D355" s="17"/>
      <c r="E355" s="19"/>
      <c r="F355" s="19" t="str">
        <f>IF(MIS_Backend_Data!O354="", "", MIS_Backend_Data!O354)</f>
        <v/>
      </c>
      <c r="G355" t="str">
        <f>IF(MIS_Backend_Data!T354="", "", MIS_Backend_Data!T354)</f>
        <v/>
      </c>
      <c r="H355" t="str">
        <f>IF(MIS_Backend_Data!X354="", "", MIS_Backend_Data!X354)</f>
        <v/>
      </c>
      <c r="I355" t="str">
        <f>IF(MIS_Backend_Data!AC354="", "", MIS_Backend_Data!AC354)</f>
        <v/>
      </c>
      <c r="J355" t="str">
        <f>IF(MIS_Backend_Data!AB354="", "", MIS_Backend_Data!AB354)</f>
        <v/>
      </c>
      <c r="K355" t="str">
        <f>IF(MIS_Backend_Data!AG354="", "", MIS_Backend_Data!AG354)</f>
        <v/>
      </c>
      <c r="L355" s="20" t="str">
        <f>IF(MIS_Backend_Data!AI354="", "", MIS_Backend_Data!AI354)</f>
        <v/>
      </c>
      <c r="M355" t="str">
        <f>IF(MIS_Backend_Data!AK354="", "", MIS_Backend_Data!AK354)</f>
        <v/>
      </c>
      <c r="N355" t="str">
        <f>IF(MIS_Backend_Data!AM354="", "", MIS_Backend_Data!AM354)</f>
        <v/>
      </c>
      <c r="O355" t="str">
        <f>IF(MIS_Backend_Data!AO354="", "", MIS_Backend_Data!AO354)</f>
        <v/>
      </c>
      <c r="P355" t="str">
        <f>IF(MIS_Backend_Data!AS354="", "", MIS_Backend_Data!AS354)</f>
        <v/>
      </c>
      <c r="Q355" t="str">
        <f>IF(MIS_Backend_Data!AX354="", "", MIS_Backend_Data!AX354)</f>
        <v/>
      </c>
      <c r="R355" t="str">
        <f>IF(MIS_Backend_Data!BB354="", "", MIS_Backend_Data!BB354)</f>
        <v/>
      </c>
      <c r="S355" t="str">
        <f>IF(MIS_Backend_Data!AW354="", "", MIS_Backend_Data!AW354)</f>
        <v/>
      </c>
      <c r="T355" s="42" t="str">
        <f>IF(MIS_Backend_Data!N354="Dispatch","Completed","NA")</f>
        <v>NA</v>
      </c>
      <c r="U355" t="str">
        <f t="shared" si="15"/>
        <v/>
      </c>
      <c r="V355" t="str">
        <f t="shared" si="16"/>
        <v/>
      </c>
      <c r="W355" s="20" t="str">
        <f t="shared" si="17"/>
        <v/>
      </c>
    </row>
    <row r="356" spans="2:23" ht="14.5">
      <c r="B356" s="205"/>
      <c r="C356" s="17"/>
      <c r="D356" s="17"/>
      <c r="E356" s="19"/>
      <c r="F356" s="19" t="str">
        <f>IF(MIS_Backend_Data!O355="", "", MIS_Backend_Data!O355)</f>
        <v/>
      </c>
      <c r="G356" t="str">
        <f>IF(MIS_Backend_Data!T355="", "", MIS_Backend_Data!T355)</f>
        <v/>
      </c>
      <c r="H356" t="str">
        <f>IF(MIS_Backend_Data!X355="", "", MIS_Backend_Data!X355)</f>
        <v/>
      </c>
      <c r="I356" t="str">
        <f>IF(MIS_Backend_Data!AC355="", "", MIS_Backend_Data!AC355)</f>
        <v/>
      </c>
      <c r="J356" t="str">
        <f>IF(MIS_Backend_Data!AB355="", "", MIS_Backend_Data!AB355)</f>
        <v/>
      </c>
      <c r="K356" t="str">
        <f>IF(MIS_Backend_Data!AG355="", "", MIS_Backend_Data!AG355)</f>
        <v/>
      </c>
      <c r="L356" s="20" t="str">
        <f>IF(MIS_Backend_Data!AI355="", "", MIS_Backend_Data!AI355)</f>
        <v/>
      </c>
      <c r="M356" t="str">
        <f>IF(MIS_Backend_Data!AK355="", "", MIS_Backend_Data!AK355)</f>
        <v/>
      </c>
      <c r="N356" t="str">
        <f>IF(MIS_Backend_Data!AM355="", "", MIS_Backend_Data!AM355)</f>
        <v/>
      </c>
      <c r="O356" t="str">
        <f>IF(MIS_Backend_Data!AO355="", "", MIS_Backend_Data!AO355)</f>
        <v/>
      </c>
      <c r="P356" t="str">
        <f>IF(MIS_Backend_Data!AS355="", "", MIS_Backend_Data!AS355)</f>
        <v/>
      </c>
      <c r="Q356" t="str">
        <f>IF(MIS_Backend_Data!AX355="", "", MIS_Backend_Data!AX355)</f>
        <v/>
      </c>
      <c r="R356" t="str">
        <f>IF(MIS_Backend_Data!BB355="", "", MIS_Backend_Data!BB355)</f>
        <v/>
      </c>
      <c r="S356" t="str">
        <f>IF(MIS_Backend_Data!AW355="", "", MIS_Backend_Data!AW355)</f>
        <v/>
      </c>
      <c r="T356" s="42" t="str">
        <f>IF(MIS_Backend_Data!N355="Dispatch","Completed","NA")</f>
        <v>NA</v>
      </c>
      <c r="U356" t="str">
        <f t="shared" si="15"/>
        <v/>
      </c>
      <c r="V356" t="str">
        <f t="shared" si="16"/>
        <v/>
      </c>
      <c r="W356" s="20" t="str">
        <f t="shared" si="17"/>
        <v/>
      </c>
    </row>
    <row r="357" spans="2:23" ht="14.5">
      <c r="B357" s="205"/>
      <c r="C357" s="17"/>
      <c r="D357" s="17"/>
      <c r="E357" s="19"/>
      <c r="F357" s="19" t="str">
        <f>IF(MIS_Backend_Data!O356="", "", MIS_Backend_Data!O356)</f>
        <v/>
      </c>
      <c r="G357" t="str">
        <f>IF(MIS_Backend_Data!T356="", "", MIS_Backend_Data!T356)</f>
        <v/>
      </c>
      <c r="H357" t="str">
        <f>IF(MIS_Backend_Data!X356="", "", MIS_Backend_Data!X356)</f>
        <v/>
      </c>
      <c r="I357" t="str">
        <f>IF(MIS_Backend_Data!AC356="", "", MIS_Backend_Data!AC356)</f>
        <v/>
      </c>
      <c r="J357" t="str">
        <f>IF(MIS_Backend_Data!AB356="", "", MIS_Backend_Data!AB356)</f>
        <v/>
      </c>
      <c r="K357" t="str">
        <f>IF(MIS_Backend_Data!AG356="", "", MIS_Backend_Data!AG356)</f>
        <v/>
      </c>
      <c r="L357" s="20" t="str">
        <f>IF(MIS_Backend_Data!AI356="", "", MIS_Backend_Data!AI356)</f>
        <v/>
      </c>
      <c r="M357" t="str">
        <f>IF(MIS_Backend_Data!AK356="", "", MIS_Backend_Data!AK356)</f>
        <v/>
      </c>
      <c r="N357" t="str">
        <f>IF(MIS_Backend_Data!AM356="", "", MIS_Backend_Data!AM356)</f>
        <v/>
      </c>
      <c r="O357" t="str">
        <f>IF(MIS_Backend_Data!AO356="", "", MIS_Backend_Data!AO356)</f>
        <v/>
      </c>
      <c r="P357" t="str">
        <f>IF(MIS_Backend_Data!AS356="", "", MIS_Backend_Data!AS356)</f>
        <v/>
      </c>
      <c r="Q357" t="str">
        <f>IF(MIS_Backend_Data!AX356="", "", MIS_Backend_Data!AX356)</f>
        <v/>
      </c>
      <c r="R357" t="str">
        <f>IF(MIS_Backend_Data!BB356="", "", MIS_Backend_Data!BB356)</f>
        <v/>
      </c>
      <c r="S357" t="str">
        <f>IF(MIS_Backend_Data!AW356="", "", MIS_Backend_Data!AW356)</f>
        <v/>
      </c>
      <c r="T357" s="42" t="str">
        <f>IF(MIS_Backend_Data!N356="Dispatch","Completed","NA")</f>
        <v>NA</v>
      </c>
      <c r="U357" t="str">
        <f t="shared" si="15"/>
        <v/>
      </c>
      <c r="V357" t="str">
        <f t="shared" si="16"/>
        <v/>
      </c>
      <c r="W357" s="20" t="str">
        <f t="shared" si="17"/>
        <v/>
      </c>
    </row>
    <row r="358" spans="2:23" ht="14.5">
      <c r="B358" s="205"/>
      <c r="C358" s="17"/>
      <c r="D358" s="17"/>
      <c r="E358" s="19"/>
      <c r="F358" s="19" t="str">
        <f>IF(MIS_Backend_Data!O357="", "", MIS_Backend_Data!O357)</f>
        <v/>
      </c>
      <c r="G358" t="str">
        <f>IF(MIS_Backend_Data!T357="", "", MIS_Backend_Data!T357)</f>
        <v/>
      </c>
      <c r="H358" t="str">
        <f>IF(MIS_Backend_Data!X357="", "", MIS_Backend_Data!X357)</f>
        <v/>
      </c>
      <c r="I358" t="str">
        <f>IF(MIS_Backend_Data!AC357="", "", MIS_Backend_Data!AC357)</f>
        <v/>
      </c>
      <c r="J358" t="str">
        <f>IF(MIS_Backend_Data!AB357="", "", MIS_Backend_Data!AB357)</f>
        <v/>
      </c>
      <c r="K358" t="str">
        <f>IF(MIS_Backend_Data!AG357="", "", MIS_Backend_Data!AG357)</f>
        <v/>
      </c>
      <c r="L358" s="20" t="str">
        <f>IF(MIS_Backend_Data!AI357="", "", MIS_Backend_Data!AI357)</f>
        <v/>
      </c>
      <c r="M358" t="str">
        <f>IF(MIS_Backend_Data!AK357="", "", MIS_Backend_Data!AK357)</f>
        <v/>
      </c>
      <c r="N358" t="str">
        <f>IF(MIS_Backend_Data!AM357="", "", MIS_Backend_Data!AM357)</f>
        <v/>
      </c>
      <c r="O358" t="str">
        <f>IF(MIS_Backend_Data!AO357="", "", MIS_Backend_Data!AO357)</f>
        <v/>
      </c>
      <c r="P358" t="str">
        <f>IF(MIS_Backend_Data!AS357="", "", MIS_Backend_Data!AS357)</f>
        <v/>
      </c>
      <c r="Q358" t="str">
        <f>IF(MIS_Backend_Data!AX357="", "", MIS_Backend_Data!AX357)</f>
        <v/>
      </c>
      <c r="R358" t="str">
        <f>IF(MIS_Backend_Data!BB357="", "", MIS_Backend_Data!BB357)</f>
        <v/>
      </c>
      <c r="S358" t="str">
        <f>IF(MIS_Backend_Data!AW357="", "", MIS_Backend_Data!AW357)</f>
        <v/>
      </c>
      <c r="T358" s="42" t="str">
        <f>IF(MIS_Backend_Data!N357="Dispatch","Completed","NA")</f>
        <v>NA</v>
      </c>
      <c r="U358" t="str">
        <f t="shared" si="15"/>
        <v/>
      </c>
      <c r="V358" t="str">
        <f t="shared" si="16"/>
        <v/>
      </c>
      <c r="W358" s="20" t="str">
        <f t="shared" si="17"/>
        <v/>
      </c>
    </row>
    <row r="359" spans="2:23" ht="14.5">
      <c r="B359" s="205"/>
      <c r="C359" s="17"/>
      <c r="D359" s="17"/>
      <c r="E359" s="19"/>
      <c r="F359" s="19" t="str">
        <f>IF(MIS_Backend_Data!O358="", "", MIS_Backend_Data!O358)</f>
        <v/>
      </c>
      <c r="G359" t="str">
        <f>IF(MIS_Backend_Data!T358="", "", MIS_Backend_Data!T358)</f>
        <v/>
      </c>
      <c r="H359" t="str">
        <f>IF(MIS_Backend_Data!X358="", "", MIS_Backend_Data!X358)</f>
        <v/>
      </c>
      <c r="I359" t="str">
        <f>IF(MIS_Backend_Data!AC358="", "", MIS_Backend_Data!AC358)</f>
        <v/>
      </c>
      <c r="J359" t="str">
        <f>IF(MIS_Backend_Data!AB358="", "", MIS_Backend_Data!AB358)</f>
        <v/>
      </c>
      <c r="K359" t="str">
        <f>IF(MIS_Backend_Data!AG358="", "", MIS_Backend_Data!AG358)</f>
        <v/>
      </c>
      <c r="L359" s="20" t="str">
        <f>IF(MIS_Backend_Data!AI358="", "", MIS_Backend_Data!AI358)</f>
        <v/>
      </c>
      <c r="M359" t="str">
        <f>IF(MIS_Backend_Data!AK358="", "", MIS_Backend_Data!AK358)</f>
        <v/>
      </c>
      <c r="N359" t="str">
        <f>IF(MIS_Backend_Data!AM358="", "", MIS_Backend_Data!AM358)</f>
        <v/>
      </c>
      <c r="O359" t="str">
        <f>IF(MIS_Backend_Data!AO358="", "", MIS_Backend_Data!AO358)</f>
        <v/>
      </c>
      <c r="P359" t="str">
        <f>IF(MIS_Backend_Data!AS358="", "", MIS_Backend_Data!AS358)</f>
        <v/>
      </c>
      <c r="Q359" t="str">
        <f>IF(MIS_Backend_Data!AX358="", "", MIS_Backend_Data!AX358)</f>
        <v/>
      </c>
      <c r="R359" t="str">
        <f>IF(MIS_Backend_Data!BB358="", "", MIS_Backend_Data!BB358)</f>
        <v/>
      </c>
      <c r="S359" t="str">
        <f>IF(MIS_Backend_Data!AW358="", "", MIS_Backend_Data!AW358)</f>
        <v/>
      </c>
      <c r="T359" s="42" t="str">
        <f>IF(MIS_Backend_Data!N358="Dispatch","Completed","NA")</f>
        <v>NA</v>
      </c>
      <c r="U359" t="str">
        <f t="shared" si="15"/>
        <v/>
      </c>
      <c r="V359" t="str">
        <f t="shared" si="16"/>
        <v/>
      </c>
      <c r="W359" s="20" t="str">
        <f t="shared" si="17"/>
        <v/>
      </c>
    </row>
    <row r="360" spans="2:23" ht="14.5">
      <c r="B360" s="205"/>
      <c r="C360" s="17"/>
      <c r="D360" s="17"/>
      <c r="E360" s="19"/>
      <c r="F360" s="19" t="str">
        <f>IF(MIS_Backend_Data!O359="", "", MIS_Backend_Data!O359)</f>
        <v/>
      </c>
      <c r="G360" t="str">
        <f>IF(MIS_Backend_Data!T359="", "", MIS_Backend_Data!T359)</f>
        <v/>
      </c>
      <c r="H360" t="str">
        <f>IF(MIS_Backend_Data!X359="", "", MIS_Backend_Data!X359)</f>
        <v/>
      </c>
      <c r="I360" t="str">
        <f>IF(MIS_Backend_Data!AC359="", "", MIS_Backend_Data!AC359)</f>
        <v/>
      </c>
      <c r="J360" t="str">
        <f>IF(MIS_Backend_Data!AB359="", "", MIS_Backend_Data!AB359)</f>
        <v/>
      </c>
      <c r="K360" t="str">
        <f>IF(MIS_Backend_Data!AG359="", "", MIS_Backend_Data!AG359)</f>
        <v/>
      </c>
      <c r="L360" s="20" t="str">
        <f>IF(MIS_Backend_Data!AI359="", "", MIS_Backend_Data!AI359)</f>
        <v/>
      </c>
      <c r="M360" t="str">
        <f>IF(MIS_Backend_Data!AK359="", "", MIS_Backend_Data!AK359)</f>
        <v/>
      </c>
      <c r="N360" t="str">
        <f>IF(MIS_Backend_Data!AM359="", "", MIS_Backend_Data!AM359)</f>
        <v/>
      </c>
      <c r="O360" t="str">
        <f>IF(MIS_Backend_Data!AO359="", "", MIS_Backend_Data!AO359)</f>
        <v/>
      </c>
      <c r="P360" t="str">
        <f>IF(MIS_Backend_Data!AS359="", "", MIS_Backend_Data!AS359)</f>
        <v/>
      </c>
      <c r="Q360" t="str">
        <f>IF(MIS_Backend_Data!AX359="", "", MIS_Backend_Data!AX359)</f>
        <v/>
      </c>
      <c r="R360" t="str">
        <f>IF(MIS_Backend_Data!BB359="", "", MIS_Backend_Data!BB359)</f>
        <v/>
      </c>
      <c r="S360" t="str">
        <f>IF(MIS_Backend_Data!AW359="", "", MIS_Backend_Data!AW359)</f>
        <v/>
      </c>
      <c r="T360" s="42" t="str">
        <f>IF(MIS_Backend_Data!N359="Dispatch","Completed","NA")</f>
        <v>NA</v>
      </c>
      <c r="U360" t="str">
        <f t="shared" si="15"/>
        <v/>
      </c>
      <c r="V360" t="str">
        <f t="shared" si="16"/>
        <v/>
      </c>
      <c r="W360" s="20" t="str">
        <f t="shared" si="17"/>
        <v/>
      </c>
    </row>
    <row r="361" spans="2:23" ht="14.5">
      <c r="B361" s="205"/>
      <c r="C361" s="17"/>
      <c r="D361" s="17"/>
      <c r="E361" s="19"/>
      <c r="F361" s="19" t="str">
        <f>IF(MIS_Backend_Data!O360="", "", MIS_Backend_Data!O360)</f>
        <v/>
      </c>
      <c r="G361" t="str">
        <f>IF(MIS_Backend_Data!T360="", "", MIS_Backend_Data!T360)</f>
        <v/>
      </c>
      <c r="H361" t="str">
        <f>IF(MIS_Backend_Data!X360="", "", MIS_Backend_Data!X360)</f>
        <v/>
      </c>
      <c r="I361" t="str">
        <f>IF(MIS_Backend_Data!AC360="", "", MIS_Backend_Data!AC360)</f>
        <v/>
      </c>
      <c r="J361" t="str">
        <f>IF(MIS_Backend_Data!AB360="", "", MIS_Backend_Data!AB360)</f>
        <v/>
      </c>
      <c r="K361" t="str">
        <f>IF(MIS_Backend_Data!AG360="", "", MIS_Backend_Data!AG360)</f>
        <v/>
      </c>
      <c r="L361" s="20" t="str">
        <f>IF(MIS_Backend_Data!AI360="", "", MIS_Backend_Data!AI360)</f>
        <v/>
      </c>
      <c r="M361" t="str">
        <f>IF(MIS_Backend_Data!AK360="", "", MIS_Backend_Data!AK360)</f>
        <v/>
      </c>
      <c r="N361" t="str">
        <f>IF(MIS_Backend_Data!AM360="", "", MIS_Backend_Data!AM360)</f>
        <v/>
      </c>
      <c r="O361" t="str">
        <f>IF(MIS_Backend_Data!AO360="", "", MIS_Backend_Data!AO360)</f>
        <v/>
      </c>
      <c r="P361" t="str">
        <f>IF(MIS_Backend_Data!AS360="", "", MIS_Backend_Data!AS360)</f>
        <v/>
      </c>
      <c r="Q361" t="str">
        <f>IF(MIS_Backend_Data!AX360="", "", MIS_Backend_Data!AX360)</f>
        <v/>
      </c>
      <c r="R361" t="str">
        <f>IF(MIS_Backend_Data!BB360="", "", MIS_Backend_Data!BB360)</f>
        <v/>
      </c>
      <c r="S361" t="str">
        <f>IF(MIS_Backend_Data!AW360="", "", MIS_Backend_Data!AW360)</f>
        <v/>
      </c>
      <c r="T361" s="42" t="str">
        <f>IF(MIS_Backend_Data!N360="Dispatch","Completed","NA")</f>
        <v>NA</v>
      </c>
      <c r="U361" t="str">
        <f t="shared" si="15"/>
        <v/>
      </c>
      <c r="V361" t="str">
        <f t="shared" si="16"/>
        <v/>
      </c>
      <c r="W361" s="20" t="str">
        <f t="shared" si="17"/>
        <v/>
      </c>
    </row>
    <row r="362" spans="2:23" ht="14.5">
      <c r="B362" s="205"/>
      <c r="C362" s="17"/>
      <c r="D362" s="17"/>
      <c r="E362" s="19"/>
      <c r="F362" s="19" t="str">
        <f>IF(MIS_Backend_Data!O361="", "", MIS_Backend_Data!O361)</f>
        <v/>
      </c>
      <c r="G362" t="str">
        <f>IF(MIS_Backend_Data!T361="", "", MIS_Backend_Data!T361)</f>
        <v/>
      </c>
      <c r="H362" t="str">
        <f>IF(MIS_Backend_Data!X361="", "", MIS_Backend_Data!X361)</f>
        <v/>
      </c>
      <c r="I362" t="str">
        <f>IF(MIS_Backend_Data!AC361="", "", MIS_Backend_Data!AC361)</f>
        <v/>
      </c>
      <c r="J362" t="str">
        <f>IF(MIS_Backend_Data!AB361="", "", MIS_Backend_Data!AB361)</f>
        <v/>
      </c>
      <c r="K362" t="str">
        <f>IF(MIS_Backend_Data!AG361="", "", MIS_Backend_Data!AG361)</f>
        <v/>
      </c>
      <c r="L362" s="20" t="str">
        <f>IF(MIS_Backend_Data!AI361="", "", MIS_Backend_Data!AI361)</f>
        <v/>
      </c>
      <c r="M362" t="str">
        <f>IF(MIS_Backend_Data!AK361="", "", MIS_Backend_Data!AK361)</f>
        <v/>
      </c>
      <c r="N362" t="str">
        <f>IF(MIS_Backend_Data!AM361="", "", MIS_Backend_Data!AM361)</f>
        <v/>
      </c>
      <c r="O362" t="str">
        <f>IF(MIS_Backend_Data!AO361="", "", MIS_Backend_Data!AO361)</f>
        <v/>
      </c>
      <c r="P362" t="str">
        <f>IF(MIS_Backend_Data!AS361="", "", MIS_Backend_Data!AS361)</f>
        <v/>
      </c>
      <c r="Q362" t="str">
        <f>IF(MIS_Backend_Data!AX361="", "", MIS_Backend_Data!AX361)</f>
        <v/>
      </c>
      <c r="R362" t="str">
        <f>IF(MIS_Backend_Data!BB361="", "", MIS_Backend_Data!BB361)</f>
        <v/>
      </c>
      <c r="S362" t="str">
        <f>IF(MIS_Backend_Data!AW361="", "", MIS_Backend_Data!AW361)</f>
        <v/>
      </c>
      <c r="T362" s="42" t="str">
        <f>IF(MIS_Backend_Data!N361="Dispatch","Completed","NA")</f>
        <v>NA</v>
      </c>
      <c r="U362" t="str">
        <f t="shared" si="15"/>
        <v/>
      </c>
      <c r="V362" t="str">
        <f t="shared" si="16"/>
        <v/>
      </c>
      <c r="W362" s="20" t="str">
        <f t="shared" si="17"/>
        <v/>
      </c>
    </row>
    <row r="363" spans="2:23" ht="14.5">
      <c r="B363" s="205"/>
      <c r="C363" s="17"/>
      <c r="D363" s="17"/>
      <c r="E363" s="19"/>
      <c r="F363" s="19" t="str">
        <f>IF(MIS_Backend_Data!O362="", "", MIS_Backend_Data!O362)</f>
        <v/>
      </c>
      <c r="G363" t="str">
        <f>IF(MIS_Backend_Data!T362="", "", MIS_Backend_Data!T362)</f>
        <v/>
      </c>
      <c r="H363" t="str">
        <f>IF(MIS_Backend_Data!X362="", "", MIS_Backend_Data!X362)</f>
        <v/>
      </c>
      <c r="I363" t="str">
        <f>IF(MIS_Backend_Data!AC362="", "", MIS_Backend_Data!AC362)</f>
        <v/>
      </c>
      <c r="J363" t="str">
        <f>IF(MIS_Backend_Data!AB362="", "", MIS_Backend_Data!AB362)</f>
        <v/>
      </c>
      <c r="K363" t="str">
        <f>IF(MIS_Backend_Data!AG362="", "", MIS_Backend_Data!AG362)</f>
        <v/>
      </c>
      <c r="L363" s="20" t="str">
        <f>IF(MIS_Backend_Data!AI362="", "", MIS_Backend_Data!AI362)</f>
        <v/>
      </c>
      <c r="M363" t="str">
        <f>IF(MIS_Backend_Data!AK362="", "", MIS_Backend_Data!AK362)</f>
        <v/>
      </c>
      <c r="N363" t="str">
        <f>IF(MIS_Backend_Data!AM362="", "", MIS_Backend_Data!AM362)</f>
        <v/>
      </c>
      <c r="O363" t="str">
        <f>IF(MIS_Backend_Data!AO362="", "", MIS_Backend_Data!AO362)</f>
        <v/>
      </c>
      <c r="P363" t="str">
        <f>IF(MIS_Backend_Data!AS362="", "", MIS_Backend_Data!AS362)</f>
        <v/>
      </c>
      <c r="Q363" t="str">
        <f>IF(MIS_Backend_Data!AX362="", "", MIS_Backend_Data!AX362)</f>
        <v/>
      </c>
      <c r="R363" t="str">
        <f>IF(MIS_Backend_Data!BB362="", "", MIS_Backend_Data!BB362)</f>
        <v/>
      </c>
      <c r="S363" t="str">
        <f>IF(MIS_Backend_Data!AW362="", "", MIS_Backend_Data!AW362)</f>
        <v/>
      </c>
      <c r="T363" s="42" t="str">
        <f>IF(MIS_Backend_Data!N362="Dispatch","Completed","NA")</f>
        <v>NA</v>
      </c>
      <c r="U363" t="str">
        <f t="shared" si="15"/>
        <v/>
      </c>
      <c r="V363" t="str">
        <f t="shared" si="16"/>
        <v/>
      </c>
      <c r="W363" s="20" t="str">
        <f t="shared" si="17"/>
        <v/>
      </c>
    </row>
    <row r="364" spans="2:23" ht="14.5">
      <c r="B364" s="205"/>
      <c r="C364" s="17"/>
      <c r="D364" s="17"/>
      <c r="E364" s="19"/>
      <c r="F364" s="19" t="str">
        <f>IF(MIS_Backend_Data!O363="", "", MIS_Backend_Data!O363)</f>
        <v/>
      </c>
      <c r="G364" t="str">
        <f>IF(MIS_Backend_Data!T363="", "", MIS_Backend_Data!T363)</f>
        <v/>
      </c>
      <c r="H364" t="str">
        <f>IF(MIS_Backend_Data!X363="", "", MIS_Backend_Data!X363)</f>
        <v/>
      </c>
      <c r="I364" t="str">
        <f>IF(MIS_Backend_Data!AC363="", "", MIS_Backend_Data!AC363)</f>
        <v/>
      </c>
      <c r="J364" t="str">
        <f>IF(MIS_Backend_Data!AB363="", "", MIS_Backend_Data!AB363)</f>
        <v/>
      </c>
      <c r="K364" t="str">
        <f>IF(MIS_Backend_Data!AG363="", "", MIS_Backend_Data!AG363)</f>
        <v/>
      </c>
      <c r="L364" s="20" t="str">
        <f>IF(MIS_Backend_Data!AI363="", "", MIS_Backend_Data!AI363)</f>
        <v/>
      </c>
      <c r="M364" t="str">
        <f>IF(MIS_Backend_Data!AK363="", "", MIS_Backend_Data!AK363)</f>
        <v/>
      </c>
      <c r="N364" t="str">
        <f>IF(MIS_Backend_Data!AM363="", "", MIS_Backend_Data!AM363)</f>
        <v/>
      </c>
      <c r="O364" t="str">
        <f>IF(MIS_Backend_Data!AO363="", "", MIS_Backend_Data!AO363)</f>
        <v/>
      </c>
      <c r="P364" t="str">
        <f>IF(MIS_Backend_Data!AS363="", "", MIS_Backend_Data!AS363)</f>
        <v/>
      </c>
      <c r="Q364" t="str">
        <f>IF(MIS_Backend_Data!AX363="", "", MIS_Backend_Data!AX363)</f>
        <v/>
      </c>
      <c r="R364" t="str">
        <f>IF(MIS_Backend_Data!BB363="", "", MIS_Backend_Data!BB363)</f>
        <v/>
      </c>
      <c r="S364" t="str">
        <f>IF(MIS_Backend_Data!AW363="", "", MIS_Backend_Data!AW363)</f>
        <v/>
      </c>
      <c r="T364" s="42" t="str">
        <f>IF(MIS_Backend_Data!N363="Dispatch","Completed","NA")</f>
        <v>NA</v>
      </c>
      <c r="U364" t="str">
        <f t="shared" si="15"/>
        <v/>
      </c>
      <c r="V364" t="str">
        <f t="shared" si="16"/>
        <v/>
      </c>
      <c r="W364" s="20" t="str">
        <f t="shared" si="17"/>
        <v/>
      </c>
    </row>
    <row r="365" spans="2:23" ht="14.5">
      <c r="B365" s="205"/>
      <c r="C365" s="17"/>
      <c r="D365" s="17"/>
      <c r="E365" s="19"/>
      <c r="F365" s="19" t="str">
        <f>IF(MIS_Backend_Data!O364="", "", MIS_Backend_Data!O364)</f>
        <v/>
      </c>
      <c r="G365" t="str">
        <f>IF(MIS_Backend_Data!T364="", "", MIS_Backend_Data!T364)</f>
        <v/>
      </c>
      <c r="H365" t="str">
        <f>IF(MIS_Backend_Data!X364="", "", MIS_Backend_Data!X364)</f>
        <v/>
      </c>
      <c r="I365" t="str">
        <f>IF(MIS_Backend_Data!AC364="", "", MIS_Backend_Data!AC364)</f>
        <v/>
      </c>
      <c r="J365" t="str">
        <f>IF(MIS_Backend_Data!AB364="", "", MIS_Backend_Data!AB364)</f>
        <v/>
      </c>
      <c r="K365" t="str">
        <f>IF(MIS_Backend_Data!AG364="", "", MIS_Backend_Data!AG364)</f>
        <v/>
      </c>
      <c r="L365" s="20" t="str">
        <f>IF(MIS_Backend_Data!AI364="", "", MIS_Backend_Data!AI364)</f>
        <v/>
      </c>
      <c r="M365" t="str">
        <f>IF(MIS_Backend_Data!AK364="", "", MIS_Backend_Data!AK364)</f>
        <v/>
      </c>
      <c r="N365" t="str">
        <f>IF(MIS_Backend_Data!AM364="", "", MIS_Backend_Data!AM364)</f>
        <v/>
      </c>
      <c r="O365" t="str">
        <f>IF(MIS_Backend_Data!AO364="", "", MIS_Backend_Data!AO364)</f>
        <v/>
      </c>
      <c r="P365" t="str">
        <f>IF(MIS_Backend_Data!AS364="", "", MIS_Backend_Data!AS364)</f>
        <v/>
      </c>
      <c r="Q365" t="str">
        <f>IF(MIS_Backend_Data!AX364="", "", MIS_Backend_Data!AX364)</f>
        <v/>
      </c>
      <c r="R365" t="str">
        <f>IF(MIS_Backend_Data!BB364="", "", MIS_Backend_Data!BB364)</f>
        <v/>
      </c>
      <c r="S365" t="str">
        <f>IF(MIS_Backend_Data!AW364="", "", MIS_Backend_Data!AW364)</f>
        <v/>
      </c>
      <c r="T365" s="42" t="str">
        <f>IF(MIS_Backend_Data!N364="Dispatch","Completed","NA")</f>
        <v>NA</v>
      </c>
      <c r="U365" t="str">
        <f t="shared" si="15"/>
        <v/>
      </c>
      <c r="V365" t="str">
        <f t="shared" si="16"/>
        <v/>
      </c>
      <c r="W365" s="20" t="str">
        <f t="shared" si="17"/>
        <v/>
      </c>
    </row>
    <row r="366" spans="2:23" ht="14.5">
      <c r="B366" s="205"/>
      <c r="C366" s="17"/>
      <c r="D366" s="17"/>
      <c r="E366" s="19"/>
      <c r="F366" s="19" t="str">
        <f>IF(MIS_Backend_Data!O365="", "", MIS_Backend_Data!O365)</f>
        <v/>
      </c>
      <c r="G366" t="str">
        <f>IF(MIS_Backend_Data!T365="", "", MIS_Backend_Data!T365)</f>
        <v/>
      </c>
      <c r="H366" t="str">
        <f>IF(MIS_Backend_Data!X365="", "", MIS_Backend_Data!X365)</f>
        <v/>
      </c>
      <c r="I366" t="str">
        <f>IF(MIS_Backend_Data!AC365="", "", MIS_Backend_Data!AC365)</f>
        <v/>
      </c>
      <c r="J366" t="str">
        <f>IF(MIS_Backend_Data!AB365="", "", MIS_Backend_Data!AB365)</f>
        <v/>
      </c>
      <c r="K366" t="str">
        <f>IF(MIS_Backend_Data!AG365="", "", MIS_Backend_Data!AG365)</f>
        <v/>
      </c>
      <c r="L366" s="20" t="str">
        <f>IF(MIS_Backend_Data!AI365="", "", MIS_Backend_Data!AI365)</f>
        <v/>
      </c>
      <c r="M366" t="str">
        <f>IF(MIS_Backend_Data!AK365="", "", MIS_Backend_Data!AK365)</f>
        <v/>
      </c>
      <c r="N366" t="str">
        <f>IF(MIS_Backend_Data!AM365="", "", MIS_Backend_Data!AM365)</f>
        <v/>
      </c>
      <c r="O366" t="str">
        <f>IF(MIS_Backend_Data!AO365="", "", MIS_Backend_Data!AO365)</f>
        <v/>
      </c>
      <c r="P366" t="str">
        <f>IF(MIS_Backend_Data!AS365="", "", MIS_Backend_Data!AS365)</f>
        <v/>
      </c>
      <c r="Q366" t="str">
        <f>IF(MIS_Backend_Data!AX365="", "", MIS_Backend_Data!AX365)</f>
        <v/>
      </c>
      <c r="R366" t="str">
        <f>IF(MIS_Backend_Data!BB365="", "", MIS_Backend_Data!BB365)</f>
        <v/>
      </c>
      <c r="S366" t="str">
        <f>IF(MIS_Backend_Data!AW365="", "", MIS_Backend_Data!AW365)</f>
        <v/>
      </c>
      <c r="T366" s="42" t="str">
        <f>IF(MIS_Backend_Data!N365="Dispatch","Completed","NA")</f>
        <v>NA</v>
      </c>
      <c r="U366" t="str">
        <f t="shared" si="15"/>
        <v/>
      </c>
      <c r="V366" t="str">
        <f t="shared" si="16"/>
        <v/>
      </c>
      <c r="W366" s="20" t="str">
        <f t="shared" si="17"/>
        <v/>
      </c>
    </row>
    <row r="367" spans="2:23" ht="14.5">
      <c r="B367" s="205"/>
      <c r="C367" s="17"/>
      <c r="D367" s="17"/>
      <c r="E367" s="19"/>
      <c r="F367" s="19" t="str">
        <f>IF(MIS_Backend_Data!O366="", "", MIS_Backend_Data!O366)</f>
        <v/>
      </c>
      <c r="G367" t="str">
        <f>IF(MIS_Backend_Data!T366="", "", MIS_Backend_Data!T366)</f>
        <v/>
      </c>
      <c r="H367" t="str">
        <f>IF(MIS_Backend_Data!X366="", "", MIS_Backend_Data!X366)</f>
        <v/>
      </c>
      <c r="I367" t="str">
        <f>IF(MIS_Backend_Data!AC366="", "", MIS_Backend_Data!AC366)</f>
        <v/>
      </c>
      <c r="J367" t="str">
        <f>IF(MIS_Backend_Data!AB366="", "", MIS_Backend_Data!AB366)</f>
        <v/>
      </c>
      <c r="K367" t="str">
        <f>IF(MIS_Backend_Data!AG366="", "", MIS_Backend_Data!AG366)</f>
        <v/>
      </c>
      <c r="L367" s="20" t="str">
        <f>IF(MIS_Backend_Data!AI366="", "", MIS_Backend_Data!AI366)</f>
        <v/>
      </c>
      <c r="M367" t="str">
        <f>IF(MIS_Backend_Data!AK366="", "", MIS_Backend_Data!AK366)</f>
        <v/>
      </c>
      <c r="N367" t="str">
        <f>IF(MIS_Backend_Data!AM366="", "", MIS_Backend_Data!AM366)</f>
        <v/>
      </c>
      <c r="O367" t="str">
        <f>IF(MIS_Backend_Data!AO366="", "", MIS_Backend_Data!AO366)</f>
        <v/>
      </c>
      <c r="P367" t="str">
        <f>IF(MIS_Backend_Data!AS366="", "", MIS_Backend_Data!AS366)</f>
        <v/>
      </c>
      <c r="Q367" t="str">
        <f>IF(MIS_Backend_Data!AX366="", "", MIS_Backend_Data!AX366)</f>
        <v/>
      </c>
      <c r="R367" t="str">
        <f>IF(MIS_Backend_Data!BB366="", "", MIS_Backend_Data!BB366)</f>
        <v/>
      </c>
      <c r="S367" t="str">
        <f>IF(MIS_Backend_Data!AW366="", "", MIS_Backend_Data!AW366)</f>
        <v/>
      </c>
      <c r="T367" s="42" t="str">
        <f>IF(MIS_Backend_Data!N366="Dispatch","Completed","NA")</f>
        <v>NA</v>
      </c>
      <c r="U367" t="str">
        <f t="shared" si="15"/>
        <v/>
      </c>
      <c r="V367" t="str">
        <f t="shared" si="16"/>
        <v/>
      </c>
      <c r="W367" s="20" t="str">
        <f t="shared" si="17"/>
        <v/>
      </c>
    </row>
    <row r="368" spans="2:23" ht="14.5">
      <c r="B368" s="205"/>
      <c r="C368" s="17"/>
      <c r="D368" s="17"/>
      <c r="E368" s="19"/>
      <c r="F368" s="19" t="str">
        <f>IF(MIS_Backend_Data!O367="", "", MIS_Backend_Data!O367)</f>
        <v/>
      </c>
      <c r="G368" t="str">
        <f>IF(MIS_Backend_Data!T367="", "", MIS_Backend_Data!T367)</f>
        <v/>
      </c>
      <c r="H368" t="str">
        <f>IF(MIS_Backend_Data!X367="", "", MIS_Backend_Data!X367)</f>
        <v/>
      </c>
      <c r="I368" t="str">
        <f>IF(MIS_Backend_Data!AC367="", "", MIS_Backend_Data!AC367)</f>
        <v/>
      </c>
      <c r="J368" t="str">
        <f>IF(MIS_Backend_Data!AB367="", "", MIS_Backend_Data!AB367)</f>
        <v/>
      </c>
      <c r="K368" t="str">
        <f>IF(MIS_Backend_Data!AG367="", "", MIS_Backend_Data!AG367)</f>
        <v/>
      </c>
      <c r="L368" s="20" t="str">
        <f>IF(MIS_Backend_Data!AI367="", "", MIS_Backend_Data!AI367)</f>
        <v/>
      </c>
      <c r="M368" t="str">
        <f>IF(MIS_Backend_Data!AK367="", "", MIS_Backend_Data!AK367)</f>
        <v/>
      </c>
      <c r="N368" t="str">
        <f>IF(MIS_Backend_Data!AM367="", "", MIS_Backend_Data!AM367)</f>
        <v/>
      </c>
      <c r="O368" t="str">
        <f>IF(MIS_Backend_Data!AO367="", "", MIS_Backend_Data!AO367)</f>
        <v/>
      </c>
      <c r="P368" t="str">
        <f>IF(MIS_Backend_Data!AS367="", "", MIS_Backend_Data!AS367)</f>
        <v/>
      </c>
      <c r="Q368" t="str">
        <f>IF(MIS_Backend_Data!AX367="", "", MIS_Backend_Data!AX367)</f>
        <v/>
      </c>
      <c r="R368" t="str">
        <f>IF(MIS_Backend_Data!BB367="", "", MIS_Backend_Data!BB367)</f>
        <v/>
      </c>
      <c r="S368" t="str">
        <f>IF(MIS_Backend_Data!AW367="", "", MIS_Backend_Data!AW367)</f>
        <v/>
      </c>
      <c r="T368" s="42" t="str">
        <f>IF(MIS_Backend_Data!N367="Dispatch","Completed","NA")</f>
        <v>NA</v>
      </c>
      <c r="U368" t="str">
        <f t="shared" si="15"/>
        <v/>
      </c>
      <c r="V368" t="str">
        <f t="shared" si="16"/>
        <v/>
      </c>
      <c r="W368" s="20" t="str">
        <f t="shared" si="17"/>
        <v/>
      </c>
    </row>
    <row r="369" spans="2:23" ht="14.5">
      <c r="B369" s="205"/>
      <c r="C369" s="17"/>
      <c r="D369" s="17"/>
      <c r="E369" s="19"/>
      <c r="F369" s="19" t="str">
        <f>IF(MIS_Backend_Data!O368="", "", MIS_Backend_Data!O368)</f>
        <v/>
      </c>
      <c r="G369" t="str">
        <f>IF(MIS_Backend_Data!T368="", "", MIS_Backend_Data!T368)</f>
        <v/>
      </c>
      <c r="H369" t="str">
        <f>IF(MIS_Backend_Data!X368="", "", MIS_Backend_Data!X368)</f>
        <v/>
      </c>
      <c r="I369" t="str">
        <f>IF(MIS_Backend_Data!AC368="", "", MIS_Backend_Data!AC368)</f>
        <v/>
      </c>
      <c r="J369" t="str">
        <f>IF(MIS_Backend_Data!AB368="", "", MIS_Backend_Data!AB368)</f>
        <v/>
      </c>
      <c r="K369" t="str">
        <f>IF(MIS_Backend_Data!AG368="", "", MIS_Backend_Data!AG368)</f>
        <v/>
      </c>
      <c r="L369" s="20" t="str">
        <f>IF(MIS_Backend_Data!AI368="", "", MIS_Backend_Data!AI368)</f>
        <v/>
      </c>
      <c r="M369" t="str">
        <f>IF(MIS_Backend_Data!AK368="", "", MIS_Backend_Data!AK368)</f>
        <v/>
      </c>
      <c r="N369" t="str">
        <f>IF(MIS_Backend_Data!AM368="", "", MIS_Backend_Data!AM368)</f>
        <v/>
      </c>
      <c r="O369" t="str">
        <f>IF(MIS_Backend_Data!AO368="", "", MIS_Backend_Data!AO368)</f>
        <v/>
      </c>
      <c r="P369" t="str">
        <f>IF(MIS_Backend_Data!AS368="", "", MIS_Backend_Data!AS368)</f>
        <v/>
      </c>
      <c r="Q369" t="str">
        <f>IF(MIS_Backend_Data!AX368="", "", MIS_Backend_Data!AX368)</f>
        <v/>
      </c>
      <c r="R369" t="str">
        <f>IF(MIS_Backend_Data!BB368="", "", MIS_Backend_Data!BB368)</f>
        <v/>
      </c>
      <c r="S369" t="str">
        <f>IF(MIS_Backend_Data!AW368="", "", MIS_Backend_Data!AW368)</f>
        <v/>
      </c>
      <c r="T369" s="42" t="str">
        <f>IF(MIS_Backend_Data!N368="Dispatch","Completed","NA")</f>
        <v>NA</v>
      </c>
      <c r="U369" t="str">
        <f t="shared" si="15"/>
        <v/>
      </c>
      <c r="V369" t="str">
        <f t="shared" si="16"/>
        <v/>
      </c>
      <c r="W369" s="20" t="str">
        <f t="shared" si="17"/>
        <v/>
      </c>
    </row>
    <row r="370" spans="2:23" ht="14.5">
      <c r="B370" s="205"/>
      <c r="C370" s="17"/>
      <c r="D370" s="17"/>
      <c r="E370" s="19"/>
      <c r="F370" s="19" t="str">
        <f>IF(MIS_Backend_Data!O369="", "", MIS_Backend_Data!O369)</f>
        <v/>
      </c>
      <c r="G370" t="str">
        <f>IF(MIS_Backend_Data!T369="", "", MIS_Backend_Data!T369)</f>
        <v/>
      </c>
      <c r="H370" t="str">
        <f>IF(MIS_Backend_Data!X369="", "", MIS_Backend_Data!X369)</f>
        <v/>
      </c>
      <c r="I370" t="str">
        <f>IF(MIS_Backend_Data!AC369="", "", MIS_Backend_Data!AC369)</f>
        <v/>
      </c>
      <c r="J370" t="str">
        <f>IF(MIS_Backend_Data!AB369="", "", MIS_Backend_Data!AB369)</f>
        <v/>
      </c>
      <c r="K370" t="str">
        <f>IF(MIS_Backend_Data!AG369="", "", MIS_Backend_Data!AG369)</f>
        <v/>
      </c>
      <c r="L370" s="20" t="str">
        <f>IF(MIS_Backend_Data!AI369="", "", MIS_Backend_Data!AI369)</f>
        <v/>
      </c>
      <c r="M370" t="str">
        <f>IF(MIS_Backend_Data!AK369="", "", MIS_Backend_Data!AK369)</f>
        <v/>
      </c>
      <c r="N370" t="str">
        <f>IF(MIS_Backend_Data!AM369="", "", MIS_Backend_Data!AM369)</f>
        <v/>
      </c>
      <c r="O370" t="str">
        <f>IF(MIS_Backend_Data!AO369="", "", MIS_Backend_Data!AO369)</f>
        <v/>
      </c>
      <c r="P370" t="str">
        <f>IF(MIS_Backend_Data!AS369="", "", MIS_Backend_Data!AS369)</f>
        <v/>
      </c>
      <c r="Q370" t="str">
        <f>IF(MIS_Backend_Data!AX369="", "", MIS_Backend_Data!AX369)</f>
        <v/>
      </c>
      <c r="R370" t="str">
        <f>IF(MIS_Backend_Data!BB369="", "", MIS_Backend_Data!BB369)</f>
        <v/>
      </c>
      <c r="S370" t="str">
        <f>IF(MIS_Backend_Data!AW369="", "", MIS_Backend_Data!AW369)</f>
        <v/>
      </c>
      <c r="T370" s="42" t="str">
        <f>IF(MIS_Backend_Data!N369="Dispatch","Completed","NA")</f>
        <v>NA</v>
      </c>
      <c r="U370" t="str">
        <f t="shared" si="15"/>
        <v/>
      </c>
      <c r="V370" t="str">
        <f t="shared" si="16"/>
        <v/>
      </c>
      <c r="W370" s="20" t="str">
        <f t="shared" si="17"/>
        <v/>
      </c>
    </row>
    <row r="371" spans="2:23" ht="14.5">
      <c r="B371" s="205"/>
      <c r="C371" s="17"/>
      <c r="D371" s="17"/>
      <c r="E371" s="19"/>
      <c r="F371" s="19" t="str">
        <f>IF(MIS_Backend_Data!O370="", "", MIS_Backend_Data!O370)</f>
        <v/>
      </c>
      <c r="G371" t="str">
        <f>IF(MIS_Backend_Data!T370="", "", MIS_Backend_Data!T370)</f>
        <v/>
      </c>
      <c r="H371" t="str">
        <f>IF(MIS_Backend_Data!X370="", "", MIS_Backend_Data!X370)</f>
        <v/>
      </c>
      <c r="I371" t="str">
        <f>IF(MIS_Backend_Data!AC370="", "", MIS_Backend_Data!AC370)</f>
        <v/>
      </c>
      <c r="J371" t="str">
        <f>IF(MIS_Backend_Data!AB370="", "", MIS_Backend_Data!AB370)</f>
        <v/>
      </c>
      <c r="K371" t="str">
        <f>IF(MIS_Backend_Data!AG370="", "", MIS_Backend_Data!AG370)</f>
        <v/>
      </c>
      <c r="L371" s="20" t="str">
        <f>IF(MIS_Backend_Data!AI370="", "", MIS_Backend_Data!AI370)</f>
        <v/>
      </c>
      <c r="M371" t="str">
        <f>IF(MIS_Backend_Data!AK370="", "", MIS_Backend_Data!AK370)</f>
        <v/>
      </c>
      <c r="N371" t="str">
        <f>IF(MIS_Backend_Data!AM370="", "", MIS_Backend_Data!AM370)</f>
        <v/>
      </c>
      <c r="O371" t="str">
        <f>IF(MIS_Backend_Data!AO370="", "", MIS_Backend_Data!AO370)</f>
        <v/>
      </c>
      <c r="P371" t="str">
        <f>IF(MIS_Backend_Data!AS370="", "", MIS_Backend_Data!AS370)</f>
        <v/>
      </c>
      <c r="Q371" t="str">
        <f>IF(MIS_Backend_Data!AX370="", "", MIS_Backend_Data!AX370)</f>
        <v/>
      </c>
      <c r="R371" t="str">
        <f>IF(MIS_Backend_Data!BB370="", "", MIS_Backend_Data!BB370)</f>
        <v/>
      </c>
      <c r="S371" t="str">
        <f>IF(MIS_Backend_Data!AW370="", "", MIS_Backend_Data!AW370)</f>
        <v/>
      </c>
      <c r="T371" s="42" t="str">
        <f>IF(MIS_Backend_Data!N370="Dispatch","Completed","NA")</f>
        <v>NA</v>
      </c>
      <c r="U371" t="str">
        <f t="shared" si="15"/>
        <v/>
      </c>
      <c r="V371" t="str">
        <f t="shared" si="16"/>
        <v/>
      </c>
      <c r="W371" s="20" t="str">
        <f t="shared" si="17"/>
        <v/>
      </c>
    </row>
    <row r="372" spans="2:23" ht="14.5">
      <c r="B372" s="205"/>
      <c r="C372" s="17"/>
      <c r="D372" s="17"/>
      <c r="E372" s="19"/>
      <c r="F372" s="19" t="str">
        <f>IF(MIS_Backend_Data!O371="", "", MIS_Backend_Data!O371)</f>
        <v/>
      </c>
      <c r="G372" t="str">
        <f>IF(MIS_Backend_Data!T371="", "", MIS_Backend_Data!T371)</f>
        <v/>
      </c>
      <c r="H372" t="str">
        <f>IF(MIS_Backend_Data!X371="", "", MIS_Backend_Data!X371)</f>
        <v/>
      </c>
      <c r="I372" t="str">
        <f>IF(MIS_Backend_Data!AC371="", "", MIS_Backend_Data!AC371)</f>
        <v/>
      </c>
      <c r="J372" t="str">
        <f>IF(MIS_Backend_Data!AB371="", "", MIS_Backend_Data!AB371)</f>
        <v/>
      </c>
      <c r="K372" t="str">
        <f>IF(MIS_Backend_Data!AG371="", "", MIS_Backend_Data!AG371)</f>
        <v/>
      </c>
      <c r="L372" s="20" t="str">
        <f>IF(MIS_Backend_Data!AI371="", "", MIS_Backend_Data!AI371)</f>
        <v/>
      </c>
      <c r="M372" t="str">
        <f>IF(MIS_Backend_Data!AK371="", "", MIS_Backend_Data!AK371)</f>
        <v/>
      </c>
      <c r="N372" t="str">
        <f>IF(MIS_Backend_Data!AM371="", "", MIS_Backend_Data!AM371)</f>
        <v/>
      </c>
      <c r="O372" t="str">
        <f>IF(MIS_Backend_Data!AO371="", "", MIS_Backend_Data!AO371)</f>
        <v/>
      </c>
      <c r="P372" t="str">
        <f>IF(MIS_Backend_Data!AS371="", "", MIS_Backend_Data!AS371)</f>
        <v/>
      </c>
      <c r="Q372" t="str">
        <f>IF(MIS_Backend_Data!AX371="", "", MIS_Backend_Data!AX371)</f>
        <v/>
      </c>
      <c r="R372" t="str">
        <f>IF(MIS_Backend_Data!BB371="", "", MIS_Backend_Data!BB371)</f>
        <v/>
      </c>
      <c r="S372" t="str">
        <f>IF(MIS_Backend_Data!AW371="", "", MIS_Backend_Data!AW371)</f>
        <v/>
      </c>
      <c r="T372" s="42" t="str">
        <f>IF(MIS_Backend_Data!N371="Dispatch","Completed","NA")</f>
        <v>NA</v>
      </c>
      <c r="U372" t="str">
        <f t="shared" si="15"/>
        <v/>
      </c>
      <c r="V372" t="str">
        <f t="shared" si="16"/>
        <v/>
      </c>
      <c r="W372" s="20" t="str">
        <f t="shared" si="17"/>
        <v/>
      </c>
    </row>
    <row r="373" spans="2:23" ht="14.5">
      <c r="B373" s="205"/>
      <c r="C373" s="17"/>
      <c r="D373" s="17"/>
      <c r="E373" s="19"/>
      <c r="F373" s="19" t="str">
        <f>IF(MIS_Backend_Data!O372="", "", MIS_Backend_Data!O372)</f>
        <v/>
      </c>
      <c r="G373" t="str">
        <f>IF(MIS_Backend_Data!T372="", "", MIS_Backend_Data!T372)</f>
        <v/>
      </c>
      <c r="H373" t="str">
        <f>IF(MIS_Backend_Data!X372="", "", MIS_Backend_Data!X372)</f>
        <v/>
      </c>
      <c r="I373" t="str">
        <f>IF(MIS_Backend_Data!AC372="", "", MIS_Backend_Data!AC372)</f>
        <v/>
      </c>
      <c r="J373" t="str">
        <f>IF(MIS_Backend_Data!AB372="", "", MIS_Backend_Data!AB372)</f>
        <v/>
      </c>
      <c r="K373" t="str">
        <f>IF(MIS_Backend_Data!AG372="", "", MIS_Backend_Data!AG372)</f>
        <v/>
      </c>
      <c r="L373" s="20" t="str">
        <f>IF(MIS_Backend_Data!AI372="", "", MIS_Backend_Data!AI372)</f>
        <v/>
      </c>
      <c r="M373" t="str">
        <f>IF(MIS_Backend_Data!AK372="", "", MIS_Backend_Data!AK372)</f>
        <v/>
      </c>
      <c r="N373" t="str">
        <f>IF(MIS_Backend_Data!AM372="", "", MIS_Backend_Data!AM372)</f>
        <v/>
      </c>
      <c r="O373" t="str">
        <f>IF(MIS_Backend_Data!AO372="", "", MIS_Backend_Data!AO372)</f>
        <v/>
      </c>
      <c r="P373" t="str">
        <f>IF(MIS_Backend_Data!AS372="", "", MIS_Backend_Data!AS372)</f>
        <v/>
      </c>
      <c r="Q373" t="str">
        <f>IF(MIS_Backend_Data!AX372="", "", MIS_Backend_Data!AX372)</f>
        <v/>
      </c>
      <c r="R373" t="str">
        <f>IF(MIS_Backend_Data!BB372="", "", MIS_Backend_Data!BB372)</f>
        <v/>
      </c>
      <c r="S373" t="str">
        <f>IF(MIS_Backend_Data!AW372="", "", MIS_Backend_Data!AW372)</f>
        <v/>
      </c>
      <c r="T373" s="42" t="str">
        <f>IF(MIS_Backend_Data!N372="Dispatch","Completed","NA")</f>
        <v>NA</v>
      </c>
      <c r="U373" t="str">
        <f t="shared" si="15"/>
        <v/>
      </c>
      <c r="V373" t="str">
        <f t="shared" si="16"/>
        <v/>
      </c>
      <c r="W373" s="20" t="str">
        <f t="shared" si="17"/>
        <v/>
      </c>
    </row>
    <row r="374" spans="2:23" ht="14.5">
      <c r="B374" s="205"/>
      <c r="C374" s="17"/>
      <c r="D374" s="17"/>
      <c r="E374" s="19"/>
      <c r="F374" s="19" t="str">
        <f>IF(MIS_Backend_Data!O373="", "", MIS_Backend_Data!O373)</f>
        <v/>
      </c>
      <c r="G374" t="str">
        <f>IF(MIS_Backend_Data!T373="", "", MIS_Backend_Data!T373)</f>
        <v/>
      </c>
      <c r="H374" t="str">
        <f>IF(MIS_Backend_Data!X373="", "", MIS_Backend_Data!X373)</f>
        <v/>
      </c>
      <c r="I374" t="str">
        <f>IF(MIS_Backend_Data!AC373="", "", MIS_Backend_Data!AC373)</f>
        <v/>
      </c>
      <c r="J374" t="str">
        <f>IF(MIS_Backend_Data!AB373="", "", MIS_Backend_Data!AB373)</f>
        <v/>
      </c>
      <c r="K374" t="str">
        <f>IF(MIS_Backend_Data!AG373="", "", MIS_Backend_Data!AG373)</f>
        <v/>
      </c>
      <c r="L374" s="20" t="str">
        <f>IF(MIS_Backend_Data!AI373="", "", MIS_Backend_Data!AI373)</f>
        <v/>
      </c>
      <c r="M374" t="str">
        <f>IF(MIS_Backend_Data!AK373="", "", MIS_Backend_Data!AK373)</f>
        <v/>
      </c>
      <c r="N374" t="str">
        <f>IF(MIS_Backend_Data!AM373="", "", MIS_Backend_Data!AM373)</f>
        <v/>
      </c>
      <c r="O374" t="str">
        <f>IF(MIS_Backend_Data!AO373="", "", MIS_Backend_Data!AO373)</f>
        <v/>
      </c>
      <c r="P374" t="str">
        <f>IF(MIS_Backend_Data!AS373="", "", MIS_Backend_Data!AS373)</f>
        <v/>
      </c>
      <c r="Q374" t="str">
        <f>IF(MIS_Backend_Data!AX373="", "", MIS_Backend_Data!AX373)</f>
        <v/>
      </c>
      <c r="R374" t="str">
        <f>IF(MIS_Backend_Data!BB373="", "", MIS_Backend_Data!BB373)</f>
        <v/>
      </c>
      <c r="S374" t="str">
        <f>IF(MIS_Backend_Data!AW373="", "", MIS_Backend_Data!AW373)</f>
        <v/>
      </c>
      <c r="T374" s="42" t="str">
        <f>IF(MIS_Backend_Data!N373="Dispatch","Completed","NA")</f>
        <v>NA</v>
      </c>
      <c r="U374" t="str">
        <f t="shared" si="15"/>
        <v/>
      </c>
      <c r="V374" t="str">
        <f t="shared" si="16"/>
        <v/>
      </c>
      <c r="W374" s="20" t="str">
        <f t="shared" si="17"/>
        <v/>
      </c>
    </row>
    <row r="375" spans="2:23" ht="14.5">
      <c r="B375" s="205"/>
      <c r="C375" s="17"/>
      <c r="D375" s="17"/>
      <c r="E375" s="19"/>
      <c r="F375" s="19" t="str">
        <f>IF(MIS_Backend_Data!O374="", "", MIS_Backend_Data!O374)</f>
        <v/>
      </c>
      <c r="G375" t="str">
        <f>IF(MIS_Backend_Data!T374="", "", MIS_Backend_Data!T374)</f>
        <v/>
      </c>
      <c r="H375" t="str">
        <f>IF(MIS_Backend_Data!X374="", "", MIS_Backend_Data!X374)</f>
        <v/>
      </c>
      <c r="I375" t="str">
        <f>IF(MIS_Backend_Data!AC374="", "", MIS_Backend_Data!AC374)</f>
        <v/>
      </c>
      <c r="J375" t="str">
        <f>IF(MIS_Backend_Data!AB374="", "", MIS_Backend_Data!AB374)</f>
        <v/>
      </c>
      <c r="K375" t="str">
        <f>IF(MIS_Backend_Data!AG374="", "", MIS_Backend_Data!AG374)</f>
        <v/>
      </c>
      <c r="L375" s="20" t="str">
        <f>IF(MIS_Backend_Data!AI374="", "", MIS_Backend_Data!AI374)</f>
        <v/>
      </c>
      <c r="M375" t="str">
        <f>IF(MIS_Backend_Data!AK374="", "", MIS_Backend_Data!AK374)</f>
        <v/>
      </c>
      <c r="N375" t="str">
        <f>IF(MIS_Backend_Data!AM374="", "", MIS_Backend_Data!AM374)</f>
        <v/>
      </c>
      <c r="O375" t="str">
        <f>IF(MIS_Backend_Data!AO374="", "", MIS_Backend_Data!AO374)</f>
        <v/>
      </c>
      <c r="P375" t="str">
        <f>IF(MIS_Backend_Data!AS374="", "", MIS_Backend_Data!AS374)</f>
        <v/>
      </c>
      <c r="Q375" t="str">
        <f>IF(MIS_Backend_Data!AX374="", "", MIS_Backend_Data!AX374)</f>
        <v/>
      </c>
      <c r="R375" t="str">
        <f>IF(MIS_Backend_Data!BB374="", "", MIS_Backend_Data!BB374)</f>
        <v/>
      </c>
      <c r="S375" t="str">
        <f>IF(MIS_Backend_Data!AW374="", "", MIS_Backend_Data!AW374)</f>
        <v/>
      </c>
      <c r="T375" s="42" t="str">
        <f>IF(MIS_Backend_Data!N374="Dispatch","Completed","NA")</f>
        <v>NA</v>
      </c>
      <c r="U375" t="str">
        <f t="shared" si="15"/>
        <v/>
      </c>
      <c r="V375" t="str">
        <f t="shared" si="16"/>
        <v/>
      </c>
      <c r="W375" s="20" t="str">
        <f t="shared" si="17"/>
        <v/>
      </c>
    </row>
    <row r="376" spans="2:23" ht="14.5">
      <c r="B376" s="205"/>
      <c r="C376" s="17"/>
      <c r="D376" s="17"/>
      <c r="E376" s="19"/>
      <c r="F376" s="19" t="str">
        <f>IF(MIS_Backend_Data!O375="", "", MIS_Backend_Data!O375)</f>
        <v/>
      </c>
      <c r="G376" t="str">
        <f>IF(MIS_Backend_Data!T375="", "", MIS_Backend_Data!T375)</f>
        <v/>
      </c>
      <c r="H376" t="str">
        <f>IF(MIS_Backend_Data!X375="", "", MIS_Backend_Data!X375)</f>
        <v/>
      </c>
      <c r="I376" t="str">
        <f>IF(MIS_Backend_Data!AC375="", "", MIS_Backend_Data!AC375)</f>
        <v/>
      </c>
      <c r="J376" t="str">
        <f>IF(MIS_Backend_Data!AB375="", "", MIS_Backend_Data!AB375)</f>
        <v/>
      </c>
      <c r="K376" t="str">
        <f>IF(MIS_Backend_Data!AG375="", "", MIS_Backend_Data!AG375)</f>
        <v/>
      </c>
      <c r="L376" s="20" t="str">
        <f>IF(MIS_Backend_Data!AI375="", "", MIS_Backend_Data!AI375)</f>
        <v/>
      </c>
      <c r="M376" t="str">
        <f>IF(MIS_Backend_Data!AK375="", "", MIS_Backend_Data!AK375)</f>
        <v/>
      </c>
      <c r="N376" t="str">
        <f>IF(MIS_Backend_Data!AM375="", "", MIS_Backend_Data!AM375)</f>
        <v/>
      </c>
      <c r="O376" t="str">
        <f>IF(MIS_Backend_Data!AO375="", "", MIS_Backend_Data!AO375)</f>
        <v/>
      </c>
      <c r="P376" t="str">
        <f>IF(MIS_Backend_Data!AS375="", "", MIS_Backend_Data!AS375)</f>
        <v/>
      </c>
      <c r="Q376" t="str">
        <f>IF(MIS_Backend_Data!AX375="", "", MIS_Backend_Data!AX375)</f>
        <v/>
      </c>
      <c r="R376" t="str">
        <f>IF(MIS_Backend_Data!BB375="", "", MIS_Backend_Data!BB375)</f>
        <v/>
      </c>
      <c r="S376" t="str">
        <f>IF(MIS_Backend_Data!AW375="", "", MIS_Backend_Data!AW375)</f>
        <v/>
      </c>
      <c r="T376" s="42" t="str">
        <f>IF(MIS_Backend_Data!N375="Dispatch","Completed","NA")</f>
        <v>NA</v>
      </c>
      <c r="U376" t="str">
        <f t="shared" si="15"/>
        <v/>
      </c>
      <c r="V376" t="str">
        <f t="shared" si="16"/>
        <v/>
      </c>
      <c r="W376" s="20" t="str">
        <f t="shared" si="17"/>
        <v/>
      </c>
    </row>
    <row r="377" spans="2:23" ht="14.5">
      <c r="B377" s="205"/>
      <c r="C377" s="17"/>
      <c r="D377" s="17"/>
      <c r="E377" s="19"/>
      <c r="F377" s="19" t="str">
        <f>IF(MIS_Backend_Data!O376="", "", MIS_Backend_Data!O376)</f>
        <v/>
      </c>
      <c r="G377" t="str">
        <f>IF(MIS_Backend_Data!T376="", "", MIS_Backend_Data!T376)</f>
        <v/>
      </c>
      <c r="H377" t="str">
        <f>IF(MIS_Backend_Data!X376="", "", MIS_Backend_Data!X376)</f>
        <v/>
      </c>
      <c r="I377" t="str">
        <f>IF(MIS_Backend_Data!AC376="", "", MIS_Backend_Data!AC376)</f>
        <v/>
      </c>
      <c r="J377" t="str">
        <f>IF(MIS_Backend_Data!AB376="", "", MIS_Backend_Data!AB376)</f>
        <v/>
      </c>
      <c r="K377" t="str">
        <f>IF(MIS_Backend_Data!AG376="", "", MIS_Backend_Data!AG376)</f>
        <v/>
      </c>
      <c r="L377" s="20" t="str">
        <f>IF(MIS_Backend_Data!AI376="", "", MIS_Backend_Data!AI376)</f>
        <v/>
      </c>
      <c r="M377" t="str">
        <f>IF(MIS_Backend_Data!AK376="", "", MIS_Backend_Data!AK376)</f>
        <v/>
      </c>
      <c r="N377" t="str">
        <f>IF(MIS_Backend_Data!AM376="", "", MIS_Backend_Data!AM376)</f>
        <v/>
      </c>
      <c r="O377" t="str">
        <f>IF(MIS_Backend_Data!AO376="", "", MIS_Backend_Data!AO376)</f>
        <v/>
      </c>
      <c r="P377" t="str">
        <f>IF(MIS_Backend_Data!AS376="", "", MIS_Backend_Data!AS376)</f>
        <v/>
      </c>
      <c r="Q377" t="str">
        <f>IF(MIS_Backend_Data!AX376="", "", MIS_Backend_Data!AX376)</f>
        <v/>
      </c>
      <c r="R377" t="str">
        <f>IF(MIS_Backend_Data!BB376="", "", MIS_Backend_Data!BB376)</f>
        <v/>
      </c>
      <c r="S377" t="str">
        <f>IF(MIS_Backend_Data!AW376="", "", MIS_Backend_Data!AW376)</f>
        <v/>
      </c>
      <c r="T377" s="42" t="str">
        <f>IF(MIS_Backend_Data!N376="Dispatch","Completed","NA")</f>
        <v>NA</v>
      </c>
      <c r="U377" t="str">
        <f t="shared" si="15"/>
        <v/>
      </c>
      <c r="V377" t="str">
        <f t="shared" si="16"/>
        <v/>
      </c>
      <c r="W377" s="20" t="str">
        <f t="shared" si="17"/>
        <v/>
      </c>
    </row>
    <row r="378" spans="2:23" ht="14.5">
      <c r="B378" s="205"/>
      <c r="C378" s="17"/>
      <c r="D378" s="17"/>
      <c r="E378" s="19"/>
      <c r="F378" s="19" t="str">
        <f>IF(MIS_Backend_Data!O377="", "", MIS_Backend_Data!O377)</f>
        <v/>
      </c>
      <c r="G378" t="str">
        <f>IF(MIS_Backend_Data!T377="", "", MIS_Backend_Data!T377)</f>
        <v/>
      </c>
      <c r="H378" t="str">
        <f>IF(MIS_Backend_Data!X377="", "", MIS_Backend_Data!X377)</f>
        <v/>
      </c>
      <c r="I378" t="str">
        <f>IF(MIS_Backend_Data!AC377="", "", MIS_Backend_Data!AC377)</f>
        <v/>
      </c>
      <c r="J378" t="str">
        <f>IF(MIS_Backend_Data!AB377="", "", MIS_Backend_Data!AB377)</f>
        <v/>
      </c>
      <c r="K378" t="str">
        <f>IF(MIS_Backend_Data!AG377="", "", MIS_Backend_Data!AG377)</f>
        <v/>
      </c>
      <c r="L378" s="20" t="str">
        <f>IF(MIS_Backend_Data!AI377="", "", MIS_Backend_Data!AI377)</f>
        <v/>
      </c>
      <c r="M378" t="str">
        <f>IF(MIS_Backend_Data!AK377="", "", MIS_Backend_Data!AK377)</f>
        <v/>
      </c>
      <c r="N378" t="str">
        <f>IF(MIS_Backend_Data!AM377="", "", MIS_Backend_Data!AM377)</f>
        <v/>
      </c>
      <c r="O378" t="str">
        <f>IF(MIS_Backend_Data!AO377="", "", MIS_Backend_Data!AO377)</f>
        <v/>
      </c>
      <c r="P378" t="str">
        <f>IF(MIS_Backend_Data!AS377="", "", MIS_Backend_Data!AS377)</f>
        <v/>
      </c>
      <c r="Q378" t="str">
        <f>IF(MIS_Backend_Data!AX377="", "", MIS_Backend_Data!AX377)</f>
        <v/>
      </c>
      <c r="R378" t="str">
        <f>IF(MIS_Backend_Data!BB377="", "", MIS_Backend_Data!BB377)</f>
        <v/>
      </c>
      <c r="S378" t="str">
        <f>IF(MIS_Backend_Data!AW377="", "", MIS_Backend_Data!AW377)</f>
        <v/>
      </c>
      <c r="T378" s="42" t="str">
        <f>IF(MIS_Backend_Data!N377="Dispatch","Completed","NA")</f>
        <v>NA</v>
      </c>
      <c r="U378" t="str">
        <f t="shared" si="15"/>
        <v/>
      </c>
      <c r="V378" t="str">
        <f t="shared" si="16"/>
        <v/>
      </c>
      <c r="W378" s="20" t="str">
        <f t="shared" si="17"/>
        <v/>
      </c>
    </row>
    <row r="379" spans="2:23" ht="14.5">
      <c r="B379" s="205"/>
      <c r="C379" s="17"/>
      <c r="D379" s="17"/>
      <c r="E379" s="19"/>
      <c r="F379" s="19" t="str">
        <f>IF(MIS_Backend_Data!O378="", "", MIS_Backend_Data!O378)</f>
        <v/>
      </c>
      <c r="G379" t="str">
        <f>IF(MIS_Backend_Data!T378="", "", MIS_Backend_Data!T378)</f>
        <v/>
      </c>
      <c r="H379" t="str">
        <f>IF(MIS_Backend_Data!X378="", "", MIS_Backend_Data!X378)</f>
        <v/>
      </c>
      <c r="I379" t="str">
        <f>IF(MIS_Backend_Data!AC378="", "", MIS_Backend_Data!AC378)</f>
        <v/>
      </c>
      <c r="J379" t="str">
        <f>IF(MIS_Backend_Data!AB378="", "", MIS_Backend_Data!AB378)</f>
        <v/>
      </c>
      <c r="K379" t="str">
        <f>IF(MIS_Backend_Data!AG378="", "", MIS_Backend_Data!AG378)</f>
        <v/>
      </c>
      <c r="L379" s="20" t="str">
        <f>IF(MIS_Backend_Data!AI378="", "", MIS_Backend_Data!AI378)</f>
        <v/>
      </c>
      <c r="M379" t="str">
        <f>IF(MIS_Backend_Data!AK378="", "", MIS_Backend_Data!AK378)</f>
        <v/>
      </c>
      <c r="N379" t="str">
        <f>IF(MIS_Backend_Data!AM378="", "", MIS_Backend_Data!AM378)</f>
        <v/>
      </c>
      <c r="O379" t="str">
        <f>IF(MIS_Backend_Data!AO378="", "", MIS_Backend_Data!AO378)</f>
        <v/>
      </c>
      <c r="P379" t="str">
        <f>IF(MIS_Backend_Data!AS378="", "", MIS_Backend_Data!AS378)</f>
        <v/>
      </c>
      <c r="Q379" t="str">
        <f>IF(MIS_Backend_Data!AX378="", "", MIS_Backend_Data!AX378)</f>
        <v/>
      </c>
      <c r="R379" t="str">
        <f>IF(MIS_Backend_Data!BB378="", "", MIS_Backend_Data!BB378)</f>
        <v/>
      </c>
      <c r="S379" t="str">
        <f>IF(MIS_Backend_Data!AW378="", "", MIS_Backend_Data!AW378)</f>
        <v/>
      </c>
      <c r="T379" s="42" t="str">
        <f>IF(MIS_Backend_Data!N378="Dispatch","Completed","NA")</f>
        <v>NA</v>
      </c>
      <c r="U379" t="str">
        <f t="shared" si="15"/>
        <v/>
      </c>
      <c r="V379" t="str">
        <f t="shared" si="16"/>
        <v/>
      </c>
      <c r="W379" s="20" t="str">
        <f t="shared" si="17"/>
        <v/>
      </c>
    </row>
    <row r="380" spans="2:23" ht="14.5">
      <c r="B380" s="205"/>
      <c r="C380" s="17"/>
      <c r="D380" s="17"/>
      <c r="E380" s="19"/>
      <c r="F380" s="19" t="str">
        <f>IF(MIS_Backend_Data!O379="", "", MIS_Backend_Data!O379)</f>
        <v/>
      </c>
      <c r="G380" t="str">
        <f>IF(MIS_Backend_Data!T379="", "", MIS_Backend_Data!T379)</f>
        <v/>
      </c>
      <c r="H380" t="str">
        <f>IF(MIS_Backend_Data!X379="", "", MIS_Backend_Data!X379)</f>
        <v/>
      </c>
      <c r="I380" t="str">
        <f>IF(MIS_Backend_Data!AC379="", "", MIS_Backend_Data!AC379)</f>
        <v/>
      </c>
      <c r="J380" t="str">
        <f>IF(MIS_Backend_Data!AB379="", "", MIS_Backend_Data!AB379)</f>
        <v/>
      </c>
      <c r="K380" t="str">
        <f>IF(MIS_Backend_Data!AG379="", "", MIS_Backend_Data!AG379)</f>
        <v/>
      </c>
      <c r="L380" s="20" t="str">
        <f>IF(MIS_Backend_Data!AI379="", "", MIS_Backend_Data!AI379)</f>
        <v/>
      </c>
      <c r="M380" t="str">
        <f>IF(MIS_Backend_Data!AK379="", "", MIS_Backend_Data!AK379)</f>
        <v/>
      </c>
      <c r="N380" t="str">
        <f>IF(MIS_Backend_Data!AM379="", "", MIS_Backend_Data!AM379)</f>
        <v/>
      </c>
      <c r="O380" t="str">
        <f>IF(MIS_Backend_Data!AO379="", "", MIS_Backend_Data!AO379)</f>
        <v/>
      </c>
      <c r="P380" t="str">
        <f>IF(MIS_Backend_Data!AS379="", "", MIS_Backend_Data!AS379)</f>
        <v/>
      </c>
      <c r="Q380" t="str">
        <f>IF(MIS_Backend_Data!AX379="", "", MIS_Backend_Data!AX379)</f>
        <v/>
      </c>
      <c r="R380" t="str">
        <f>IF(MIS_Backend_Data!BB379="", "", MIS_Backend_Data!BB379)</f>
        <v/>
      </c>
      <c r="S380" t="str">
        <f>IF(MIS_Backend_Data!AW379="", "", MIS_Backend_Data!AW379)</f>
        <v/>
      </c>
      <c r="T380" s="42" t="str">
        <f>IF(MIS_Backend_Data!N379="Dispatch","Completed","NA")</f>
        <v>NA</v>
      </c>
      <c r="U380" t="str">
        <f t="shared" si="15"/>
        <v/>
      </c>
      <c r="V380" t="str">
        <f t="shared" si="16"/>
        <v/>
      </c>
      <c r="W380" s="20" t="str">
        <f t="shared" si="17"/>
        <v/>
      </c>
    </row>
    <row r="381" spans="2:23" ht="14.5">
      <c r="B381" s="205"/>
      <c r="C381" s="17"/>
      <c r="D381" s="17"/>
      <c r="E381" s="19"/>
      <c r="F381" s="19" t="str">
        <f>IF(MIS_Backend_Data!O380="", "", MIS_Backend_Data!O380)</f>
        <v/>
      </c>
      <c r="G381" t="str">
        <f>IF(MIS_Backend_Data!T380="", "", MIS_Backend_Data!T380)</f>
        <v/>
      </c>
      <c r="H381" t="str">
        <f>IF(MIS_Backend_Data!X380="", "", MIS_Backend_Data!X380)</f>
        <v/>
      </c>
      <c r="I381" t="str">
        <f>IF(MIS_Backend_Data!AC380="", "", MIS_Backend_Data!AC380)</f>
        <v/>
      </c>
      <c r="J381" t="str">
        <f>IF(MIS_Backend_Data!AB380="", "", MIS_Backend_Data!AB380)</f>
        <v/>
      </c>
      <c r="K381" t="str">
        <f>IF(MIS_Backend_Data!AG380="", "", MIS_Backend_Data!AG380)</f>
        <v/>
      </c>
      <c r="L381" s="20" t="str">
        <f>IF(MIS_Backend_Data!AI380="", "", MIS_Backend_Data!AI380)</f>
        <v/>
      </c>
      <c r="M381" t="str">
        <f>IF(MIS_Backend_Data!AK380="", "", MIS_Backend_Data!AK380)</f>
        <v/>
      </c>
      <c r="N381" t="str">
        <f>IF(MIS_Backend_Data!AM380="", "", MIS_Backend_Data!AM380)</f>
        <v/>
      </c>
      <c r="O381" t="str">
        <f>IF(MIS_Backend_Data!AO380="", "", MIS_Backend_Data!AO380)</f>
        <v/>
      </c>
      <c r="P381" t="str">
        <f>IF(MIS_Backend_Data!AS380="", "", MIS_Backend_Data!AS380)</f>
        <v/>
      </c>
      <c r="Q381" t="str">
        <f>IF(MIS_Backend_Data!AX380="", "", MIS_Backend_Data!AX380)</f>
        <v/>
      </c>
      <c r="R381" t="str">
        <f>IF(MIS_Backend_Data!BB380="", "", MIS_Backend_Data!BB380)</f>
        <v/>
      </c>
      <c r="S381" t="str">
        <f>IF(MIS_Backend_Data!AW380="", "", MIS_Backend_Data!AW380)</f>
        <v/>
      </c>
      <c r="T381" s="42" t="str">
        <f>IF(MIS_Backend_Data!N380="Dispatch","Completed","NA")</f>
        <v>NA</v>
      </c>
      <c r="U381" t="str">
        <f t="shared" si="15"/>
        <v/>
      </c>
      <c r="V381" t="str">
        <f t="shared" si="16"/>
        <v/>
      </c>
      <c r="W381" s="20" t="str">
        <f t="shared" si="17"/>
        <v/>
      </c>
    </row>
    <row r="382" spans="2:23" ht="14.5">
      <c r="B382" s="205"/>
      <c r="C382" s="17"/>
      <c r="D382" s="17"/>
      <c r="E382" s="19"/>
      <c r="F382" s="19" t="str">
        <f>IF(MIS_Backend_Data!O381="", "", MIS_Backend_Data!O381)</f>
        <v/>
      </c>
      <c r="G382" t="str">
        <f>IF(MIS_Backend_Data!T381="", "", MIS_Backend_Data!T381)</f>
        <v/>
      </c>
      <c r="H382" t="str">
        <f>IF(MIS_Backend_Data!X381="", "", MIS_Backend_Data!X381)</f>
        <v/>
      </c>
      <c r="I382" t="str">
        <f>IF(MIS_Backend_Data!AC381="", "", MIS_Backend_Data!AC381)</f>
        <v/>
      </c>
      <c r="J382" t="str">
        <f>IF(MIS_Backend_Data!AB381="", "", MIS_Backend_Data!AB381)</f>
        <v/>
      </c>
      <c r="K382" t="str">
        <f>IF(MIS_Backend_Data!AG381="", "", MIS_Backend_Data!AG381)</f>
        <v/>
      </c>
      <c r="L382" s="20" t="str">
        <f>IF(MIS_Backend_Data!AI381="", "", MIS_Backend_Data!AI381)</f>
        <v/>
      </c>
      <c r="M382" t="str">
        <f>IF(MIS_Backend_Data!AK381="", "", MIS_Backend_Data!AK381)</f>
        <v/>
      </c>
      <c r="N382" t="str">
        <f>IF(MIS_Backend_Data!AM381="", "", MIS_Backend_Data!AM381)</f>
        <v/>
      </c>
      <c r="O382" t="str">
        <f>IF(MIS_Backend_Data!AO381="", "", MIS_Backend_Data!AO381)</f>
        <v/>
      </c>
      <c r="P382" t="str">
        <f>IF(MIS_Backend_Data!AS381="", "", MIS_Backend_Data!AS381)</f>
        <v/>
      </c>
      <c r="Q382" t="str">
        <f>IF(MIS_Backend_Data!AX381="", "", MIS_Backend_Data!AX381)</f>
        <v/>
      </c>
      <c r="R382" t="str">
        <f>IF(MIS_Backend_Data!BB381="", "", MIS_Backend_Data!BB381)</f>
        <v/>
      </c>
      <c r="S382" t="str">
        <f>IF(MIS_Backend_Data!AW381="", "", MIS_Backend_Data!AW381)</f>
        <v/>
      </c>
      <c r="T382" s="42" t="str">
        <f>IF(MIS_Backend_Data!N381="Dispatch","Completed","NA")</f>
        <v>NA</v>
      </c>
      <c r="U382" t="str">
        <f t="shared" si="15"/>
        <v/>
      </c>
      <c r="V382" t="str">
        <f t="shared" si="16"/>
        <v/>
      </c>
      <c r="W382" s="20" t="str">
        <f t="shared" si="17"/>
        <v/>
      </c>
    </row>
    <row r="383" spans="2:23" ht="14.5">
      <c r="B383" s="205"/>
      <c r="C383" s="17"/>
      <c r="D383" s="17"/>
      <c r="E383" s="19"/>
      <c r="F383" s="19" t="str">
        <f>IF(MIS_Backend_Data!O382="", "", MIS_Backend_Data!O382)</f>
        <v/>
      </c>
      <c r="G383" t="str">
        <f>IF(MIS_Backend_Data!T382="", "", MIS_Backend_Data!T382)</f>
        <v/>
      </c>
      <c r="H383" t="str">
        <f>IF(MIS_Backend_Data!X382="", "", MIS_Backend_Data!X382)</f>
        <v/>
      </c>
      <c r="I383" t="str">
        <f>IF(MIS_Backend_Data!AC382="", "", MIS_Backend_Data!AC382)</f>
        <v/>
      </c>
      <c r="J383" t="str">
        <f>IF(MIS_Backend_Data!AB382="", "", MIS_Backend_Data!AB382)</f>
        <v/>
      </c>
      <c r="K383" t="str">
        <f>IF(MIS_Backend_Data!AG382="", "", MIS_Backend_Data!AG382)</f>
        <v/>
      </c>
      <c r="L383" s="20" t="str">
        <f>IF(MIS_Backend_Data!AI382="", "", MIS_Backend_Data!AI382)</f>
        <v/>
      </c>
      <c r="M383" t="str">
        <f>IF(MIS_Backend_Data!AK382="", "", MIS_Backend_Data!AK382)</f>
        <v/>
      </c>
      <c r="N383" t="str">
        <f>IF(MIS_Backend_Data!AM382="", "", MIS_Backend_Data!AM382)</f>
        <v/>
      </c>
      <c r="O383" t="str">
        <f>IF(MIS_Backend_Data!AO382="", "", MIS_Backend_Data!AO382)</f>
        <v/>
      </c>
      <c r="P383" t="str">
        <f>IF(MIS_Backend_Data!AS382="", "", MIS_Backend_Data!AS382)</f>
        <v/>
      </c>
      <c r="Q383" t="str">
        <f>IF(MIS_Backend_Data!AX382="", "", MIS_Backend_Data!AX382)</f>
        <v/>
      </c>
      <c r="R383" t="str">
        <f>IF(MIS_Backend_Data!BB382="", "", MIS_Backend_Data!BB382)</f>
        <v/>
      </c>
      <c r="S383" t="str">
        <f>IF(MIS_Backend_Data!AW382="", "", MIS_Backend_Data!AW382)</f>
        <v/>
      </c>
      <c r="T383" s="42" t="str">
        <f>IF(MIS_Backend_Data!N382="Dispatch","Completed","NA")</f>
        <v>NA</v>
      </c>
      <c r="U383" t="str">
        <f t="shared" si="15"/>
        <v/>
      </c>
      <c r="V383" t="str">
        <f t="shared" si="16"/>
        <v/>
      </c>
      <c r="W383" s="20" t="str">
        <f t="shared" si="17"/>
        <v/>
      </c>
    </row>
    <row r="384" spans="2:23" ht="14.5">
      <c r="B384" s="205"/>
      <c r="C384" s="17"/>
      <c r="D384" s="17"/>
      <c r="E384" s="19"/>
      <c r="F384" s="19" t="str">
        <f>IF(MIS_Backend_Data!O383="", "", MIS_Backend_Data!O383)</f>
        <v/>
      </c>
      <c r="G384" t="str">
        <f>IF(MIS_Backend_Data!T383="", "", MIS_Backend_Data!T383)</f>
        <v/>
      </c>
      <c r="H384" t="str">
        <f>IF(MIS_Backend_Data!X383="", "", MIS_Backend_Data!X383)</f>
        <v/>
      </c>
      <c r="I384" t="str">
        <f>IF(MIS_Backend_Data!AC383="", "", MIS_Backend_Data!AC383)</f>
        <v/>
      </c>
      <c r="J384" t="str">
        <f>IF(MIS_Backend_Data!AB383="", "", MIS_Backend_Data!AB383)</f>
        <v/>
      </c>
      <c r="K384" t="str">
        <f>IF(MIS_Backend_Data!AG383="", "", MIS_Backend_Data!AG383)</f>
        <v/>
      </c>
      <c r="L384" s="20" t="str">
        <f>IF(MIS_Backend_Data!AI383="", "", MIS_Backend_Data!AI383)</f>
        <v/>
      </c>
      <c r="M384" t="str">
        <f>IF(MIS_Backend_Data!AK383="", "", MIS_Backend_Data!AK383)</f>
        <v/>
      </c>
      <c r="N384" t="str">
        <f>IF(MIS_Backend_Data!AM383="", "", MIS_Backend_Data!AM383)</f>
        <v/>
      </c>
      <c r="O384" t="str">
        <f>IF(MIS_Backend_Data!AO383="", "", MIS_Backend_Data!AO383)</f>
        <v/>
      </c>
      <c r="P384" t="str">
        <f>IF(MIS_Backend_Data!AS383="", "", MIS_Backend_Data!AS383)</f>
        <v/>
      </c>
      <c r="Q384" t="str">
        <f>IF(MIS_Backend_Data!AX383="", "", MIS_Backend_Data!AX383)</f>
        <v/>
      </c>
      <c r="R384" t="str">
        <f>IF(MIS_Backend_Data!BB383="", "", MIS_Backend_Data!BB383)</f>
        <v/>
      </c>
      <c r="S384" t="str">
        <f>IF(MIS_Backend_Data!AW383="", "", MIS_Backend_Data!AW383)</f>
        <v/>
      </c>
      <c r="T384" s="42" t="str">
        <f>IF(MIS_Backend_Data!N383="Dispatch","Completed","NA")</f>
        <v>NA</v>
      </c>
      <c r="U384" t="str">
        <f t="shared" si="15"/>
        <v/>
      </c>
      <c r="V384" t="str">
        <f t="shared" si="16"/>
        <v/>
      </c>
      <c r="W384" s="20" t="str">
        <f t="shared" si="17"/>
        <v/>
      </c>
    </row>
    <row r="385" spans="2:23" ht="14.5">
      <c r="B385" s="205"/>
      <c r="C385" s="17"/>
      <c r="D385" s="17"/>
      <c r="E385" s="19"/>
      <c r="F385" s="19" t="str">
        <f>IF(MIS_Backend_Data!O384="", "", MIS_Backend_Data!O384)</f>
        <v/>
      </c>
      <c r="G385" t="str">
        <f>IF(MIS_Backend_Data!T384="", "", MIS_Backend_Data!T384)</f>
        <v/>
      </c>
      <c r="H385" t="str">
        <f>IF(MIS_Backend_Data!X384="", "", MIS_Backend_Data!X384)</f>
        <v/>
      </c>
      <c r="I385" t="str">
        <f>IF(MIS_Backend_Data!AC384="", "", MIS_Backend_Data!AC384)</f>
        <v/>
      </c>
      <c r="J385" t="str">
        <f>IF(MIS_Backend_Data!AB384="", "", MIS_Backend_Data!AB384)</f>
        <v/>
      </c>
      <c r="K385" t="str">
        <f>IF(MIS_Backend_Data!AG384="", "", MIS_Backend_Data!AG384)</f>
        <v/>
      </c>
      <c r="L385" s="20" t="str">
        <f>IF(MIS_Backend_Data!AI384="", "", MIS_Backend_Data!AI384)</f>
        <v/>
      </c>
      <c r="M385" t="str">
        <f>IF(MIS_Backend_Data!AK384="", "", MIS_Backend_Data!AK384)</f>
        <v/>
      </c>
      <c r="N385" t="str">
        <f>IF(MIS_Backend_Data!AM384="", "", MIS_Backend_Data!AM384)</f>
        <v/>
      </c>
      <c r="O385" t="str">
        <f>IF(MIS_Backend_Data!AO384="", "", MIS_Backend_Data!AO384)</f>
        <v/>
      </c>
      <c r="P385" t="str">
        <f>IF(MIS_Backend_Data!AS384="", "", MIS_Backend_Data!AS384)</f>
        <v/>
      </c>
      <c r="Q385" t="str">
        <f>IF(MIS_Backend_Data!AX384="", "", MIS_Backend_Data!AX384)</f>
        <v/>
      </c>
      <c r="R385" t="str">
        <f>IF(MIS_Backend_Data!BB384="", "", MIS_Backend_Data!BB384)</f>
        <v/>
      </c>
      <c r="S385" t="str">
        <f>IF(MIS_Backend_Data!AW384="", "", MIS_Backend_Data!AW384)</f>
        <v/>
      </c>
      <c r="T385" s="42" t="str">
        <f>IF(MIS_Backend_Data!N384="Dispatch","Completed","NA")</f>
        <v>NA</v>
      </c>
      <c r="U385" t="str">
        <f t="shared" si="15"/>
        <v/>
      </c>
      <c r="V385" t="str">
        <f t="shared" si="16"/>
        <v/>
      </c>
      <c r="W385" s="20" t="str">
        <f t="shared" si="17"/>
        <v/>
      </c>
    </row>
    <row r="386" spans="2:23" ht="14.5">
      <c r="B386" s="205"/>
      <c r="C386" s="17"/>
      <c r="D386" s="17"/>
      <c r="E386" s="19"/>
      <c r="F386" s="19" t="str">
        <f>IF(MIS_Backend_Data!O385="", "", MIS_Backend_Data!O385)</f>
        <v/>
      </c>
      <c r="G386" t="str">
        <f>IF(MIS_Backend_Data!T385="", "", MIS_Backend_Data!T385)</f>
        <v/>
      </c>
      <c r="H386" t="str">
        <f>IF(MIS_Backend_Data!X385="", "", MIS_Backend_Data!X385)</f>
        <v/>
      </c>
      <c r="I386" t="str">
        <f>IF(MIS_Backend_Data!AC385="", "", MIS_Backend_Data!AC385)</f>
        <v/>
      </c>
      <c r="J386" t="str">
        <f>IF(MIS_Backend_Data!AB385="", "", MIS_Backend_Data!AB385)</f>
        <v/>
      </c>
      <c r="K386" t="str">
        <f>IF(MIS_Backend_Data!AG385="", "", MIS_Backend_Data!AG385)</f>
        <v/>
      </c>
      <c r="L386" s="20" t="str">
        <f>IF(MIS_Backend_Data!AI385="", "", MIS_Backend_Data!AI385)</f>
        <v/>
      </c>
      <c r="M386" t="str">
        <f>IF(MIS_Backend_Data!AK385="", "", MIS_Backend_Data!AK385)</f>
        <v/>
      </c>
      <c r="N386" t="str">
        <f>IF(MIS_Backend_Data!AM385="", "", MIS_Backend_Data!AM385)</f>
        <v/>
      </c>
      <c r="O386" t="str">
        <f>IF(MIS_Backend_Data!AO385="", "", MIS_Backend_Data!AO385)</f>
        <v/>
      </c>
      <c r="P386" t="str">
        <f>IF(MIS_Backend_Data!AS385="", "", MIS_Backend_Data!AS385)</f>
        <v/>
      </c>
      <c r="Q386" t="str">
        <f>IF(MIS_Backend_Data!AX385="", "", MIS_Backend_Data!AX385)</f>
        <v/>
      </c>
      <c r="R386" t="str">
        <f>IF(MIS_Backend_Data!BB385="", "", MIS_Backend_Data!BB385)</f>
        <v/>
      </c>
      <c r="S386" t="str">
        <f>IF(MIS_Backend_Data!AW385="", "", MIS_Backend_Data!AW385)</f>
        <v/>
      </c>
      <c r="T386" s="42" t="str">
        <f>IF(MIS_Backend_Data!N385="Dispatch","Completed","NA")</f>
        <v>NA</v>
      </c>
      <c r="U386" t="str">
        <f t="shared" si="15"/>
        <v/>
      </c>
      <c r="V386" t="str">
        <f t="shared" si="16"/>
        <v/>
      </c>
      <c r="W386" s="20" t="str">
        <f t="shared" si="17"/>
        <v/>
      </c>
    </row>
    <row r="387" spans="2:23" ht="14.5">
      <c r="B387" s="205"/>
      <c r="C387" s="17"/>
      <c r="D387" s="17"/>
      <c r="E387" s="19"/>
      <c r="F387" s="19" t="str">
        <f>IF(MIS_Backend_Data!O386="", "", MIS_Backend_Data!O386)</f>
        <v/>
      </c>
      <c r="G387" t="str">
        <f>IF(MIS_Backend_Data!T386="", "", MIS_Backend_Data!T386)</f>
        <v/>
      </c>
      <c r="H387" t="str">
        <f>IF(MIS_Backend_Data!X386="", "", MIS_Backend_Data!X386)</f>
        <v/>
      </c>
      <c r="I387" t="str">
        <f>IF(MIS_Backend_Data!AC386="", "", MIS_Backend_Data!AC386)</f>
        <v/>
      </c>
      <c r="J387" t="str">
        <f>IF(MIS_Backend_Data!AB386="", "", MIS_Backend_Data!AB386)</f>
        <v/>
      </c>
      <c r="K387" t="str">
        <f>IF(MIS_Backend_Data!AG386="", "", MIS_Backend_Data!AG386)</f>
        <v/>
      </c>
      <c r="L387" s="20" t="str">
        <f>IF(MIS_Backend_Data!AI386="", "", MIS_Backend_Data!AI386)</f>
        <v/>
      </c>
      <c r="M387" t="str">
        <f>IF(MIS_Backend_Data!AK386="", "", MIS_Backend_Data!AK386)</f>
        <v/>
      </c>
      <c r="N387" t="str">
        <f>IF(MIS_Backend_Data!AM386="", "", MIS_Backend_Data!AM386)</f>
        <v/>
      </c>
      <c r="O387" t="str">
        <f>IF(MIS_Backend_Data!AO386="", "", MIS_Backend_Data!AO386)</f>
        <v/>
      </c>
      <c r="P387" t="str">
        <f>IF(MIS_Backend_Data!AS386="", "", MIS_Backend_Data!AS386)</f>
        <v/>
      </c>
      <c r="Q387" t="str">
        <f>IF(MIS_Backend_Data!AX386="", "", MIS_Backend_Data!AX386)</f>
        <v/>
      </c>
      <c r="R387" t="str">
        <f>IF(MIS_Backend_Data!BB386="", "", MIS_Backend_Data!BB386)</f>
        <v/>
      </c>
      <c r="S387" t="str">
        <f>IF(MIS_Backend_Data!AW386="", "", MIS_Backend_Data!AW386)</f>
        <v/>
      </c>
      <c r="T387" s="42" t="str">
        <f>IF(MIS_Backend_Data!N386="Dispatch","Completed","NA")</f>
        <v>NA</v>
      </c>
      <c r="U387" t="str">
        <f t="shared" si="15"/>
        <v/>
      </c>
      <c r="V387" t="str">
        <f t="shared" si="16"/>
        <v/>
      </c>
      <c r="W387" s="20" t="str">
        <f t="shared" si="17"/>
        <v/>
      </c>
    </row>
    <row r="388" spans="2:23" ht="14.5">
      <c r="B388" s="205"/>
      <c r="C388" s="17"/>
      <c r="D388" s="17"/>
      <c r="E388" s="19"/>
      <c r="F388" s="19" t="str">
        <f>IF(MIS_Backend_Data!O387="", "", MIS_Backend_Data!O387)</f>
        <v/>
      </c>
      <c r="G388" t="str">
        <f>IF(MIS_Backend_Data!T387="", "", MIS_Backend_Data!T387)</f>
        <v/>
      </c>
      <c r="H388" t="str">
        <f>IF(MIS_Backend_Data!X387="", "", MIS_Backend_Data!X387)</f>
        <v/>
      </c>
      <c r="I388" t="str">
        <f>IF(MIS_Backend_Data!AC387="", "", MIS_Backend_Data!AC387)</f>
        <v/>
      </c>
      <c r="J388" t="str">
        <f>IF(MIS_Backend_Data!AB387="", "", MIS_Backend_Data!AB387)</f>
        <v/>
      </c>
      <c r="K388" t="str">
        <f>IF(MIS_Backend_Data!AG387="", "", MIS_Backend_Data!AG387)</f>
        <v/>
      </c>
      <c r="L388" s="20" t="str">
        <f>IF(MIS_Backend_Data!AI387="", "", MIS_Backend_Data!AI387)</f>
        <v/>
      </c>
      <c r="M388" t="str">
        <f>IF(MIS_Backend_Data!AK387="", "", MIS_Backend_Data!AK387)</f>
        <v/>
      </c>
      <c r="N388" t="str">
        <f>IF(MIS_Backend_Data!AM387="", "", MIS_Backend_Data!AM387)</f>
        <v/>
      </c>
      <c r="O388" t="str">
        <f>IF(MIS_Backend_Data!AO387="", "", MIS_Backend_Data!AO387)</f>
        <v/>
      </c>
      <c r="P388" t="str">
        <f>IF(MIS_Backend_Data!AS387="", "", MIS_Backend_Data!AS387)</f>
        <v/>
      </c>
      <c r="Q388" t="str">
        <f>IF(MIS_Backend_Data!AX387="", "", MIS_Backend_Data!AX387)</f>
        <v/>
      </c>
      <c r="R388" t="str">
        <f>IF(MIS_Backend_Data!BB387="", "", MIS_Backend_Data!BB387)</f>
        <v/>
      </c>
      <c r="S388" t="str">
        <f>IF(MIS_Backend_Data!AW387="", "", MIS_Backend_Data!AW387)</f>
        <v/>
      </c>
      <c r="T388" s="42" t="str">
        <f>IF(MIS_Backend_Data!N387="Dispatch","Completed","NA")</f>
        <v>NA</v>
      </c>
      <c r="U388" t="str">
        <f t="shared" ref="U388:U451" si="18">IF(F388="WIP", IF(COUNTIF(G388:R388, "WIP")=2, 2, ""), "")</f>
        <v/>
      </c>
      <c r="V388" t="str">
        <f t="shared" ref="V388:V451" si="19">IF(F388="WIP", IF(COUNTIF(G388:R388, "WIP")=1, 1, ""), "")</f>
        <v/>
      </c>
      <c r="W388" s="20" t="str">
        <f t="shared" ref="W388:W451" si="20">IF(OR(F388="WIP",F388="Pending for CS"),
    IF(COUNTIFS(G388:R388,"&lt;&gt;Completed",G388:R388,"&lt;&gt;NA")=0,"GTG",""),
"")</f>
        <v/>
      </c>
    </row>
    <row r="389" spans="2:23" ht="14.5">
      <c r="B389" s="205"/>
      <c r="C389" s="17"/>
      <c r="D389" s="17"/>
      <c r="E389" s="19"/>
      <c r="F389" s="19" t="str">
        <f>IF(MIS_Backend_Data!O388="", "", MIS_Backend_Data!O388)</f>
        <v/>
      </c>
      <c r="G389" t="str">
        <f>IF(MIS_Backend_Data!T388="", "", MIS_Backend_Data!T388)</f>
        <v/>
      </c>
      <c r="H389" t="str">
        <f>IF(MIS_Backend_Data!X388="", "", MIS_Backend_Data!X388)</f>
        <v/>
      </c>
      <c r="I389" t="str">
        <f>IF(MIS_Backend_Data!AC388="", "", MIS_Backend_Data!AC388)</f>
        <v/>
      </c>
      <c r="J389" t="str">
        <f>IF(MIS_Backend_Data!AB388="", "", MIS_Backend_Data!AB388)</f>
        <v/>
      </c>
      <c r="K389" t="str">
        <f>IF(MIS_Backend_Data!AG388="", "", MIS_Backend_Data!AG388)</f>
        <v/>
      </c>
      <c r="L389" s="20" t="str">
        <f>IF(MIS_Backend_Data!AI388="", "", MIS_Backend_Data!AI388)</f>
        <v/>
      </c>
      <c r="M389" t="str">
        <f>IF(MIS_Backend_Data!AK388="", "", MIS_Backend_Data!AK388)</f>
        <v/>
      </c>
      <c r="N389" t="str">
        <f>IF(MIS_Backend_Data!AM388="", "", MIS_Backend_Data!AM388)</f>
        <v/>
      </c>
      <c r="O389" t="str">
        <f>IF(MIS_Backend_Data!AO388="", "", MIS_Backend_Data!AO388)</f>
        <v/>
      </c>
      <c r="P389" t="str">
        <f>IF(MIS_Backend_Data!AS388="", "", MIS_Backend_Data!AS388)</f>
        <v/>
      </c>
      <c r="Q389" t="str">
        <f>IF(MIS_Backend_Data!AX388="", "", MIS_Backend_Data!AX388)</f>
        <v/>
      </c>
      <c r="R389" t="str">
        <f>IF(MIS_Backend_Data!BB388="", "", MIS_Backend_Data!BB388)</f>
        <v/>
      </c>
      <c r="S389" t="str">
        <f>IF(MIS_Backend_Data!AW388="", "", MIS_Backend_Data!AW388)</f>
        <v/>
      </c>
      <c r="T389" s="42" t="str">
        <f>IF(MIS_Backend_Data!N388="Dispatch","Completed","NA")</f>
        <v>NA</v>
      </c>
      <c r="U389" t="str">
        <f t="shared" si="18"/>
        <v/>
      </c>
      <c r="V389" t="str">
        <f t="shared" si="19"/>
        <v/>
      </c>
      <c r="W389" s="20" t="str">
        <f t="shared" si="20"/>
        <v/>
      </c>
    </row>
    <row r="390" spans="2:23" ht="14.5">
      <c r="B390" s="205"/>
      <c r="C390" s="17"/>
      <c r="D390" s="17"/>
      <c r="E390" s="19"/>
      <c r="F390" s="19" t="str">
        <f>IF(MIS_Backend_Data!O389="", "", MIS_Backend_Data!O389)</f>
        <v/>
      </c>
      <c r="G390" t="str">
        <f>IF(MIS_Backend_Data!T389="", "", MIS_Backend_Data!T389)</f>
        <v/>
      </c>
      <c r="H390" t="str">
        <f>IF(MIS_Backend_Data!X389="", "", MIS_Backend_Data!X389)</f>
        <v/>
      </c>
      <c r="I390" t="str">
        <f>IF(MIS_Backend_Data!AC389="", "", MIS_Backend_Data!AC389)</f>
        <v/>
      </c>
      <c r="J390" t="str">
        <f>IF(MIS_Backend_Data!AB389="", "", MIS_Backend_Data!AB389)</f>
        <v/>
      </c>
      <c r="K390" t="str">
        <f>IF(MIS_Backend_Data!AG389="", "", MIS_Backend_Data!AG389)</f>
        <v/>
      </c>
      <c r="L390" s="20" t="str">
        <f>IF(MIS_Backend_Data!AI389="", "", MIS_Backend_Data!AI389)</f>
        <v/>
      </c>
      <c r="M390" t="str">
        <f>IF(MIS_Backend_Data!AK389="", "", MIS_Backend_Data!AK389)</f>
        <v/>
      </c>
      <c r="N390" t="str">
        <f>IF(MIS_Backend_Data!AM389="", "", MIS_Backend_Data!AM389)</f>
        <v/>
      </c>
      <c r="O390" t="str">
        <f>IF(MIS_Backend_Data!AO389="", "", MIS_Backend_Data!AO389)</f>
        <v/>
      </c>
      <c r="P390" t="str">
        <f>IF(MIS_Backend_Data!AS389="", "", MIS_Backend_Data!AS389)</f>
        <v/>
      </c>
      <c r="Q390" t="str">
        <f>IF(MIS_Backend_Data!AX389="", "", MIS_Backend_Data!AX389)</f>
        <v/>
      </c>
      <c r="R390" t="str">
        <f>IF(MIS_Backend_Data!BB389="", "", MIS_Backend_Data!BB389)</f>
        <v/>
      </c>
      <c r="S390" t="str">
        <f>IF(MIS_Backend_Data!AW389="", "", MIS_Backend_Data!AW389)</f>
        <v/>
      </c>
      <c r="T390" s="42" t="str">
        <f>IF(MIS_Backend_Data!N389="Dispatch","Completed","NA")</f>
        <v>NA</v>
      </c>
      <c r="U390" t="str">
        <f t="shared" si="18"/>
        <v/>
      </c>
      <c r="V390" t="str">
        <f t="shared" si="19"/>
        <v/>
      </c>
      <c r="W390" s="20" t="str">
        <f t="shared" si="20"/>
        <v/>
      </c>
    </row>
    <row r="391" spans="2:23" ht="14.5">
      <c r="B391" s="205"/>
      <c r="C391" s="17"/>
      <c r="D391" s="17"/>
      <c r="E391" s="19"/>
      <c r="F391" s="19" t="str">
        <f>IF(MIS_Backend_Data!O390="", "", MIS_Backend_Data!O390)</f>
        <v/>
      </c>
      <c r="G391" t="str">
        <f>IF(MIS_Backend_Data!T390="", "", MIS_Backend_Data!T390)</f>
        <v/>
      </c>
      <c r="H391" t="str">
        <f>IF(MIS_Backend_Data!X390="", "", MIS_Backend_Data!X390)</f>
        <v/>
      </c>
      <c r="I391" t="str">
        <f>IF(MIS_Backend_Data!AC390="", "", MIS_Backend_Data!AC390)</f>
        <v/>
      </c>
      <c r="J391" t="str">
        <f>IF(MIS_Backend_Data!AB390="", "", MIS_Backend_Data!AB390)</f>
        <v/>
      </c>
      <c r="K391" t="str">
        <f>IF(MIS_Backend_Data!AG390="", "", MIS_Backend_Data!AG390)</f>
        <v/>
      </c>
      <c r="L391" s="20" t="str">
        <f>IF(MIS_Backend_Data!AI390="", "", MIS_Backend_Data!AI390)</f>
        <v/>
      </c>
      <c r="M391" t="str">
        <f>IF(MIS_Backend_Data!AK390="", "", MIS_Backend_Data!AK390)</f>
        <v/>
      </c>
      <c r="N391" t="str">
        <f>IF(MIS_Backend_Data!AM390="", "", MIS_Backend_Data!AM390)</f>
        <v/>
      </c>
      <c r="O391" t="str">
        <f>IF(MIS_Backend_Data!AO390="", "", MIS_Backend_Data!AO390)</f>
        <v/>
      </c>
      <c r="P391" t="str">
        <f>IF(MIS_Backend_Data!AS390="", "", MIS_Backend_Data!AS390)</f>
        <v/>
      </c>
      <c r="Q391" t="str">
        <f>IF(MIS_Backend_Data!AX390="", "", MIS_Backend_Data!AX390)</f>
        <v/>
      </c>
      <c r="R391" t="str">
        <f>IF(MIS_Backend_Data!BB390="", "", MIS_Backend_Data!BB390)</f>
        <v/>
      </c>
      <c r="S391" t="str">
        <f>IF(MIS_Backend_Data!AW390="", "", MIS_Backend_Data!AW390)</f>
        <v/>
      </c>
      <c r="T391" s="42" t="str">
        <f>IF(MIS_Backend_Data!N390="Dispatch","Completed","NA")</f>
        <v>NA</v>
      </c>
      <c r="U391" t="str">
        <f t="shared" si="18"/>
        <v/>
      </c>
      <c r="V391" t="str">
        <f t="shared" si="19"/>
        <v/>
      </c>
      <c r="W391" s="20" t="str">
        <f t="shared" si="20"/>
        <v/>
      </c>
    </row>
    <row r="392" spans="2:23" ht="14.5">
      <c r="B392" s="205"/>
      <c r="C392" s="17"/>
      <c r="D392" s="17"/>
      <c r="E392" s="19"/>
      <c r="F392" s="19" t="str">
        <f>IF(MIS_Backend_Data!O391="", "", MIS_Backend_Data!O391)</f>
        <v/>
      </c>
      <c r="G392" t="str">
        <f>IF(MIS_Backend_Data!T391="", "", MIS_Backend_Data!T391)</f>
        <v/>
      </c>
      <c r="H392" t="str">
        <f>IF(MIS_Backend_Data!X391="", "", MIS_Backend_Data!X391)</f>
        <v/>
      </c>
      <c r="I392" t="str">
        <f>IF(MIS_Backend_Data!AC391="", "", MIS_Backend_Data!AC391)</f>
        <v/>
      </c>
      <c r="J392" t="str">
        <f>IF(MIS_Backend_Data!AB391="", "", MIS_Backend_Data!AB391)</f>
        <v/>
      </c>
      <c r="K392" t="str">
        <f>IF(MIS_Backend_Data!AG391="", "", MIS_Backend_Data!AG391)</f>
        <v/>
      </c>
      <c r="L392" s="20" t="str">
        <f>IF(MIS_Backend_Data!AI391="", "", MIS_Backend_Data!AI391)</f>
        <v/>
      </c>
      <c r="M392" t="str">
        <f>IF(MIS_Backend_Data!AK391="", "", MIS_Backend_Data!AK391)</f>
        <v/>
      </c>
      <c r="N392" t="str">
        <f>IF(MIS_Backend_Data!AM391="", "", MIS_Backend_Data!AM391)</f>
        <v/>
      </c>
      <c r="O392" t="str">
        <f>IF(MIS_Backend_Data!AO391="", "", MIS_Backend_Data!AO391)</f>
        <v/>
      </c>
      <c r="P392" t="str">
        <f>IF(MIS_Backend_Data!AS391="", "", MIS_Backend_Data!AS391)</f>
        <v/>
      </c>
      <c r="Q392" t="str">
        <f>IF(MIS_Backend_Data!AX391="", "", MIS_Backend_Data!AX391)</f>
        <v/>
      </c>
      <c r="R392" t="str">
        <f>IF(MIS_Backend_Data!BB391="", "", MIS_Backend_Data!BB391)</f>
        <v/>
      </c>
      <c r="S392" t="str">
        <f>IF(MIS_Backend_Data!AW391="", "", MIS_Backend_Data!AW391)</f>
        <v/>
      </c>
      <c r="T392" s="42" t="str">
        <f>IF(MIS_Backend_Data!N391="Dispatch","Completed","NA")</f>
        <v>NA</v>
      </c>
      <c r="U392" t="str">
        <f t="shared" si="18"/>
        <v/>
      </c>
      <c r="V392" t="str">
        <f t="shared" si="19"/>
        <v/>
      </c>
      <c r="W392" s="20" t="str">
        <f t="shared" si="20"/>
        <v/>
      </c>
    </row>
    <row r="393" spans="2:23" ht="14.5">
      <c r="B393" s="205"/>
      <c r="C393" s="17"/>
      <c r="D393" s="17"/>
      <c r="E393" s="19"/>
      <c r="F393" s="19" t="str">
        <f>IF(MIS_Backend_Data!O392="", "", MIS_Backend_Data!O392)</f>
        <v/>
      </c>
      <c r="G393" t="str">
        <f>IF(MIS_Backend_Data!T392="", "", MIS_Backend_Data!T392)</f>
        <v/>
      </c>
      <c r="H393" t="str">
        <f>IF(MIS_Backend_Data!X392="", "", MIS_Backend_Data!X392)</f>
        <v/>
      </c>
      <c r="I393" t="str">
        <f>IF(MIS_Backend_Data!AC392="", "", MIS_Backend_Data!AC392)</f>
        <v/>
      </c>
      <c r="J393" t="str">
        <f>IF(MIS_Backend_Data!AB392="", "", MIS_Backend_Data!AB392)</f>
        <v/>
      </c>
      <c r="K393" t="str">
        <f>IF(MIS_Backend_Data!AG392="", "", MIS_Backend_Data!AG392)</f>
        <v/>
      </c>
      <c r="L393" s="20" t="str">
        <f>IF(MIS_Backend_Data!AI392="", "", MIS_Backend_Data!AI392)</f>
        <v/>
      </c>
      <c r="M393" t="str">
        <f>IF(MIS_Backend_Data!AK392="", "", MIS_Backend_Data!AK392)</f>
        <v/>
      </c>
      <c r="N393" t="str">
        <f>IF(MIS_Backend_Data!AM392="", "", MIS_Backend_Data!AM392)</f>
        <v/>
      </c>
      <c r="O393" t="str">
        <f>IF(MIS_Backend_Data!AO392="", "", MIS_Backend_Data!AO392)</f>
        <v/>
      </c>
      <c r="P393" t="str">
        <f>IF(MIS_Backend_Data!AS392="", "", MIS_Backend_Data!AS392)</f>
        <v/>
      </c>
      <c r="Q393" t="str">
        <f>IF(MIS_Backend_Data!AX392="", "", MIS_Backend_Data!AX392)</f>
        <v/>
      </c>
      <c r="R393" t="str">
        <f>IF(MIS_Backend_Data!BB392="", "", MIS_Backend_Data!BB392)</f>
        <v/>
      </c>
      <c r="S393" t="str">
        <f>IF(MIS_Backend_Data!AW392="", "", MIS_Backend_Data!AW392)</f>
        <v/>
      </c>
      <c r="T393" s="42" t="str">
        <f>IF(MIS_Backend_Data!N392="Dispatch","Completed","NA")</f>
        <v>NA</v>
      </c>
      <c r="U393" t="str">
        <f t="shared" si="18"/>
        <v/>
      </c>
      <c r="V393" t="str">
        <f t="shared" si="19"/>
        <v/>
      </c>
      <c r="W393" s="20" t="str">
        <f t="shared" si="20"/>
        <v/>
      </c>
    </row>
    <row r="394" spans="2:23" ht="14.5">
      <c r="B394" s="205"/>
      <c r="C394" s="17"/>
      <c r="D394" s="17"/>
      <c r="E394" s="19"/>
      <c r="F394" s="19" t="str">
        <f>IF(MIS_Backend_Data!O393="", "", MIS_Backend_Data!O393)</f>
        <v/>
      </c>
      <c r="G394" t="str">
        <f>IF(MIS_Backend_Data!T393="", "", MIS_Backend_Data!T393)</f>
        <v/>
      </c>
      <c r="H394" t="str">
        <f>IF(MIS_Backend_Data!X393="", "", MIS_Backend_Data!X393)</f>
        <v/>
      </c>
      <c r="I394" t="str">
        <f>IF(MIS_Backend_Data!AC393="", "", MIS_Backend_Data!AC393)</f>
        <v/>
      </c>
      <c r="J394" t="str">
        <f>IF(MIS_Backend_Data!AB393="", "", MIS_Backend_Data!AB393)</f>
        <v/>
      </c>
      <c r="K394" t="str">
        <f>IF(MIS_Backend_Data!AG393="", "", MIS_Backend_Data!AG393)</f>
        <v/>
      </c>
      <c r="L394" s="20" t="str">
        <f>IF(MIS_Backend_Data!AI393="", "", MIS_Backend_Data!AI393)</f>
        <v/>
      </c>
      <c r="M394" t="str">
        <f>IF(MIS_Backend_Data!AK393="", "", MIS_Backend_Data!AK393)</f>
        <v/>
      </c>
      <c r="N394" t="str">
        <f>IF(MIS_Backend_Data!AM393="", "", MIS_Backend_Data!AM393)</f>
        <v/>
      </c>
      <c r="O394" t="str">
        <f>IF(MIS_Backend_Data!AO393="", "", MIS_Backend_Data!AO393)</f>
        <v/>
      </c>
      <c r="P394" t="str">
        <f>IF(MIS_Backend_Data!AS393="", "", MIS_Backend_Data!AS393)</f>
        <v/>
      </c>
      <c r="Q394" t="str">
        <f>IF(MIS_Backend_Data!AX393="", "", MIS_Backend_Data!AX393)</f>
        <v/>
      </c>
      <c r="R394" t="str">
        <f>IF(MIS_Backend_Data!BB393="", "", MIS_Backend_Data!BB393)</f>
        <v/>
      </c>
      <c r="S394" t="str">
        <f>IF(MIS_Backend_Data!AW393="", "", MIS_Backend_Data!AW393)</f>
        <v/>
      </c>
      <c r="T394" s="42" t="str">
        <f>IF(MIS_Backend_Data!N393="Dispatch","Completed","NA")</f>
        <v>NA</v>
      </c>
      <c r="U394" t="str">
        <f t="shared" si="18"/>
        <v/>
      </c>
      <c r="V394" t="str">
        <f t="shared" si="19"/>
        <v/>
      </c>
      <c r="W394" s="20" t="str">
        <f t="shared" si="20"/>
        <v/>
      </c>
    </row>
    <row r="395" spans="2:23" ht="14.5">
      <c r="B395" s="205"/>
      <c r="C395" s="17"/>
      <c r="D395" s="17"/>
      <c r="E395" s="19"/>
      <c r="F395" s="19" t="str">
        <f>IF(MIS_Backend_Data!O394="", "", MIS_Backend_Data!O394)</f>
        <v/>
      </c>
      <c r="G395" t="str">
        <f>IF(MIS_Backend_Data!T394="", "", MIS_Backend_Data!T394)</f>
        <v/>
      </c>
      <c r="H395" t="str">
        <f>IF(MIS_Backend_Data!X394="", "", MIS_Backend_Data!X394)</f>
        <v/>
      </c>
      <c r="I395" t="str">
        <f>IF(MIS_Backend_Data!AC394="", "", MIS_Backend_Data!AC394)</f>
        <v/>
      </c>
      <c r="J395" t="str">
        <f>IF(MIS_Backend_Data!AB394="", "", MIS_Backend_Data!AB394)</f>
        <v/>
      </c>
      <c r="K395" t="str">
        <f>IF(MIS_Backend_Data!AG394="", "", MIS_Backend_Data!AG394)</f>
        <v/>
      </c>
      <c r="L395" s="20" t="str">
        <f>IF(MIS_Backend_Data!AI394="", "", MIS_Backend_Data!AI394)</f>
        <v/>
      </c>
      <c r="M395" t="str">
        <f>IF(MIS_Backend_Data!AK394="", "", MIS_Backend_Data!AK394)</f>
        <v/>
      </c>
      <c r="N395" t="str">
        <f>IF(MIS_Backend_Data!AM394="", "", MIS_Backend_Data!AM394)</f>
        <v/>
      </c>
      <c r="O395" t="str">
        <f>IF(MIS_Backend_Data!AO394="", "", MIS_Backend_Data!AO394)</f>
        <v/>
      </c>
      <c r="P395" t="str">
        <f>IF(MIS_Backend_Data!AS394="", "", MIS_Backend_Data!AS394)</f>
        <v/>
      </c>
      <c r="Q395" t="str">
        <f>IF(MIS_Backend_Data!AX394="", "", MIS_Backend_Data!AX394)</f>
        <v/>
      </c>
      <c r="R395" t="str">
        <f>IF(MIS_Backend_Data!BB394="", "", MIS_Backend_Data!BB394)</f>
        <v/>
      </c>
      <c r="S395" t="str">
        <f>IF(MIS_Backend_Data!AW394="", "", MIS_Backend_Data!AW394)</f>
        <v/>
      </c>
      <c r="T395" s="42" t="str">
        <f>IF(MIS_Backend_Data!N394="Dispatch","Completed","NA")</f>
        <v>NA</v>
      </c>
      <c r="U395" t="str">
        <f t="shared" si="18"/>
        <v/>
      </c>
      <c r="V395" t="str">
        <f t="shared" si="19"/>
        <v/>
      </c>
      <c r="W395" s="20" t="str">
        <f t="shared" si="20"/>
        <v/>
      </c>
    </row>
    <row r="396" spans="2:23" ht="14.5">
      <c r="B396" s="205"/>
      <c r="C396" s="17"/>
      <c r="D396" s="17"/>
      <c r="E396" s="19"/>
      <c r="F396" s="19" t="str">
        <f>IF(MIS_Backend_Data!O395="", "", MIS_Backend_Data!O395)</f>
        <v/>
      </c>
      <c r="G396" t="str">
        <f>IF(MIS_Backend_Data!T395="", "", MIS_Backend_Data!T395)</f>
        <v/>
      </c>
      <c r="H396" t="str">
        <f>IF(MIS_Backend_Data!X395="", "", MIS_Backend_Data!X395)</f>
        <v/>
      </c>
      <c r="I396" t="str">
        <f>IF(MIS_Backend_Data!AC395="", "", MIS_Backend_Data!AC395)</f>
        <v/>
      </c>
      <c r="J396" t="str">
        <f>IF(MIS_Backend_Data!AB395="", "", MIS_Backend_Data!AB395)</f>
        <v/>
      </c>
      <c r="K396" t="str">
        <f>IF(MIS_Backend_Data!AG395="", "", MIS_Backend_Data!AG395)</f>
        <v/>
      </c>
      <c r="L396" s="20" t="str">
        <f>IF(MIS_Backend_Data!AI395="", "", MIS_Backend_Data!AI395)</f>
        <v/>
      </c>
      <c r="M396" t="str">
        <f>IF(MIS_Backend_Data!AK395="", "", MIS_Backend_Data!AK395)</f>
        <v/>
      </c>
      <c r="N396" t="str">
        <f>IF(MIS_Backend_Data!AM395="", "", MIS_Backend_Data!AM395)</f>
        <v/>
      </c>
      <c r="O396" t="str">
        <f>IF(MIS_Backend_Data!AO395="", "", MIS_Backend_Data!AO395)</f>
        <v/>
      </c>
      <c r="P396" t="str">
        <f>IF(MIS_Backend_Data!AS395="", "", MIS_Backend_Data!AS395)</f>
        <v/>
      </c>
      <c r="Q396" t="str">
        <f>IF(MIS_Backend_Data!AX395="", "", MIS_Backend_Data!AX395)</f>
        <v/>
      </c>
      <c r="R396" t="str">
        <f>IF(MIS_Backend_Data!BB395="", "", MIS_Backend_Data!BB395)</f>
        <v/>
      </c>
      <c r="S396" t="str">
        <f>IF(MIS_Backend_Data!AW395="", "", MIS_Backend_Data!AW395)</f>
        <v/>
      </c>
      <c r="T396" s="42" t="str">
        <f>IF(MIS_Backend_Data!N395="Dispatch","Completed","NA")</f>
        <v>NA</v>
      </c>
      <c r="U396" t="str">
        <f t="shared" si="18"/>
        <v/>
      </c>
      <c r="V396" t="str">
        <f t="shared" si="19"/>
        <v/>
      </c>
      <c r="W396" s="20" t="str">
        <f t="shared" si="20"/>
        <v/>
      </c>
    </row>
    <row r="397" spans="2:23" ht="14.5">
      <c r="B397" s="205"/>
      <c r="C397" s="17"/>
      <c r="D397" s="17"/>
      <c r="E397" s="19"/>
      <c r="F397" s="19" t="str">
        <f>IF(MIS_Backend_Data!O396="", "", MIS_Backend_Data!O396)</f>
        <v/>
      </c>
      <c r="G397" t="str">
        <f>IF(MIS_Backend_Data!T396="", "", MIS_Backend_Data!T396)</f>
        <v/>
      </c>
      <c r="H397" t="str">
        <f>IF(MIS_Backend_Data!X396="", "", MIS_Backend_Data!X396)</f>
        <v/>
      </c>
      <c r="I397" t="str">
        <f>IF(MIS_Backend_Data!AC396="", "", MIS_Backend_Data!AC396)</f>
        <v/>
      </c>
      <c r="J397" t="str">
        <f>IF(MIS_Backend_Data!AB396="", "", MIS_Backend_Data!AB396)</f>
        <v/>
      </c>
      <c r="K397" t="str">
        <f>IF(MIS_Backend_Data!AG396="", "", MIS_Backend_Data!AG396)</f>
        <v/>
      </c>
      <c r="L397" s="20" t="str">
        <f>IF(MIS_Backend_Data!AI396="", "", MIS_Backend_Data!AI396)</f>
        <v/>
      </c>
      <c r="M397" t="str">
        <f>IF(MIS_Backend_Data!AK396="", "", MIS_Backend_Data!AK396)</f>
        <v/>
      </c>
      <c r="N397" t="str">
        <f>IF(MIS_Backend_Data!AM396="", "", MIS_Backend_Data!AM396)</f>
        <v/>
      </c>
      <c r="O397" t="str">
        <f>IF(MIS_Backend_Data!AO396="", "", MIS_Backend_Data!AO396)</f>
        <v/>
      </c>
      <c r="P397" t="str">
        <f>IF(MIS_Backend_Data!AS396="", "", MIS_Backend_Data!AS396)</f>
        <v/>
      </c>
      <c r="Q397" t="str">
        <f>IF(MIS_Backend_Data!AX396="", "", MIS_Backend_Data!AX396)</f>
        <v/>
      </c>
      <c r="R397" t="str">
        <f>IF(MIS_Backend_Data!BB396="", "", MIS_Backend_Data!BB396)</f>
        <v/>
      </c>
      <c r="S397" t="str">
        <f>IF(MIS_Backend_Data!AW396="", "", MIS_Backend_Data!AW396)</f>
        <v/>
      </c>
      <c r="T397" s="42" t="str">
        <f>IF(MIS_Backend_Data!N396="Dispatch","Completed","NA")</f>
        <v>NA</v>
      </c>
      <c r="U397" t="str">
        <f t="shared" si="18"/>
        <v/>
      </c>
      <c r="V397" t="str">
        <f t="shared" si="19"/>
        <v/>
      </c>
      <c r="W397" s="20" t="str">
        <f t="shared" si="20"/>
        <v/>
      </c>
    </row>
    <row r="398" spans="2:23" ht="14.5">
      <c r="B398" s="205"/>
      <c r="C398" s="17"/>
      <c r="D398" s="17"/>
      <c r="E398" s="19"/>
      <c r="F398" s="19" t="str">
        <f>IF(MIS_Backend_Data!O397="", "", MIS_Backend_Data!O397)</f>
        <v/>
      </c>
      <c r="G398" t="str">
        <f>IF(MIS_Backend_Data!T397="", "", MIS_Backend_Data!T397)</f>
        <v/>
      </c>
      <c r="H398" t="str">
        <f>IF(MIS_Backend_Data!X397="", "", MIS_Backend_Data!X397)</f>
        <v/>
      </c>
      <c r="I398" t="str">
        <f>IF(MIS_Backend_Data!AC397="", "", MIS_Backend_Data!AC397)</f>
        <v/>
      </c>
      <c r="J398" t="str">
        <f>IF(MIS_Backend_Data!AB397="", "", MIS_Backend_Data!AB397)</f>
        <v/>
      </c>
      <c r="K398" t="str">
        <f>IF(MIS_Backend_Data!AG397="", "", MIS_Backend_Data!AG397)</f>
        <v/>
      </c>
      <c r="L398" s="20" t="str">
        <f>IF(MIS_Backend_Data!AI397="", "", MIS_Backend_Data!AI397)</f>
        <v/>
      </c>
      <c r="M398" t="str">
        <f>IF(MIS_Backend_Data!AK397="", "", MIS_Backend_Data!AK397)</f>
        <v/>
      </c>
      <c r="N398" t="str">
        <f>IF(MIS_Backend_Data!AM397="", "", MIS_Backend_Data!AM397)</f>
        <v/>
      </c>
      <c r="O398" t="str">
        <f>IF(MIS_Backend_Data!AO397="", "", MIS_Backend_Data!AO397)</f>
        <v/>
      </c>
      <c r="P398" t="str">
        <f>IF(MIS_Backend_Data!AS397="", "", MIS_Backend_Data!AS397)</f>
        <v/>
      </c>
      <c r="Q398" t="str">
        <f>IF(MIS_Backend_Data!AX397="", "", MIS_Backend_Data!AX397)</f>
        <v/>
      </c>
      <c r="R398" t="str">
        <f>IF(MIS_Backend_Data!BB397="", "", MIS_Backend_Data!BB397)</f>
        <v/>
      </c>
      <c r="S398" t="str">
        <f>IF(MIS_Backend_Data!AW397="", "", MIS_Backend_Data!AW397)</f>
        <v/>
      </c>
      <c r="T398" s="42" t="str">
        <f>IF(MIS_Backend_Data!N397="Dispatch","Completed","NA")</f>
        <v>NA</v>
      </c>
      <c r="U398" t="str">
        <f t="shared" si="18"/>
        <v/>
      </c>
      <c r="V398" t="str">
        <f t="shared" si="19"/>
        <v/>
      </c>
      <c r="W398" s="20" t="str">
        <f t="shared" si="20"/>
        <v/>
      </c>
    </row>
    <row r="399" spans="2:23" ht="14.5">
      <c r="B399" s="205"/>
      <c r="C399" s="17"/>
      <c r="D399" s="17"/>
      <c r="E399" s="19"/>
      <c r="F399" s="19" t="str">
        <f>IF(MIS_Backend_Data!O398="", "", MIS_Backend_Data!O398)</f>
        <v/>
      </c>
      <c r="G399" t="str">
        <f>IF(MIS_Backend_Data!T398="", "", MIS_Backend_Data!T398)</f>
        <v/>
      </c>
      <c r="H399" t="str">
        <f>IF(MIS_Backend_Data!X398="", "", MIS_Backend_Data!X398)</f>
        <v/>
      </c>
      <c r="I399" t="str">
        <f>IF(MIS_Backend_Data!AC398="", "", MIS_Backend_Data!AC398)</f>
        <v/>
      </c>
      <c r="J399" t="str">
        <f>IF(MIS_Backend_Data!AB398="", "", MIS_Backend_Data!AB398)</f>
        <v/>
      </c>
      <c r="K399" t="str">
        <f>IF(MIS_Backend_Data!AG398="", "", MIS_Backend_Data!AG398)</f>
        <v/>
      </c>
      <c r="L399" s="20" t="str">
        <f>IF(MIS_Backend_Data!AI398="", "", MIS_Backend_Data!AI398)</f>
        <v/>
      </c>
      <c r="M399" t="str">
        <f>IF(MIS_Backend_Data!AK398="", "", MIS_Backend_Data!AK398)</f>
        <v/>
      </c>
      <c r="N399" t="str">
        <f>IF(MIS_Backend_Data!AM398="", "", MIS_Backend_Data!AM398)</f>
        <v/>
      </c>
      <c r="O399" t="str">
        <f>IF(MIS_Backend_Data!AO398="", "", MIS_Backend_Data!AO398)</f>
        <v/>
      </c>
      <c r="P399" t="str">
        <f>IF(MIS_Backend_Data!AS398="", "", MIS_Backend_Data!AS398)</f>
        <v/>
      </c>
      <c r="Q399" t="str">
        <f>IF(MIS_Backend_Data!AX398="", "", MIS_Backend_Data!AX398)</f>
        <v/>
      </c>
      <c r="R399" t="str">
        <f>IF(MIS_Backend_Data!BB398="", "", MIS_Backend_Data!BB398)</f>
        <v/>
      </c>
      <c r="S399" t="str">
        <f>IF(MIS_Backend_Data!AW398="", "", MIS_Backend_Data!AW398)</f>
        <v/>
      </c>
      <c r="T399" s="42" t="str">
        <f>IF(MIS_Backend_Data!N398="Dispatch","Completed","NA")</f>
        <v>NA</v>
      </c>
      <c r="U399" t="str">
        <f t="shared" si="18"/>
        <v/>
      </c>
      <c r="V399" t="str">
        <f t="shared" si="19"/>
        <v/>
      </c>
      <c r="W399" s="20" t="str">
        <f t="shared" si="20"/>
        <v/>
      </c>
    </row>
    <row r="400" spans="2:23" ht="14.5">
      <c r="B400" s="205"/>
      <c r="C400" s="17"/>
      <c r="D400" s="17"/>
      <c r="E400" s="19"/>
      <c r="F400" s="19" t="str">
        <f>IF(MIS_Backend_Data!O399="", "", MIS_Backend_Data!O399)</f>
        <v/>
      </c>
      <c r="G400" t="str">
        <f>IF(MIS_Backend_Data!T399="", "", MIS_Backend_Data!T399)</f>
        <v/>
      </c>
      <c r="H400" t="str">
        <f>IF(MIS_Backend_Data!X399="", "", MIS_Backend_Data!X399)</f>
        <v/>
      </c>
      <c r="I400" t="str">
        <f>IF(MIS_Backend_Data!AC399="", "", MIS_Backend_Data!AC399)</f>
        <v/>
      </c>
      <c r="J400" t="str">
        <f>IF(MIS_Backend_Data!AB399="", "", MIS_Backend_Data!AB399)</f>
        <v/>
      </c>
      <c r="K400" t="str">
        <f>IF(MIS_Backend_Data!AG399="", "", MIS_Backend_Data!AG399)</f>
        <v/>
      </c>
      <c r="L400" s="20" t="str">
        <f>IF(MIS_Backend_Data!AI399="", "", MIS_Backend_Data!AI399)</f>
        <v/>
      </c>
      <c r="M400" t="str">
        <f>IF(MIS_Backend_Data!AK399="", "", MIS_Backend_Data!AK399)</f>
        <v/>
      </c>
      <c r="N400" t="str">
        <f>IF(MIS_Backend_Data!AM399="", "", MIS_Backend_Data!AM399)</f>
        <v/>
      </c>
      <c r="O400" t="str">
        <f>IF(MIS_Backend_Data!AO399="", "", MIS_Backend_Data!AO399)</f>
        <v/>
      </c>
      <c r="P400" t="str">
        <f>IF(MIS_Backend_Data!AS399="", "", MIS_Backend_Data!AS399)</f>
        <v/>
      </c>
      <c r="Q400" t="str">
        <f>IF(MIS_Backend_Data!AX399="", "", MIS_Backend_Data!AX399)</f>
        <v/>
      </c>
      <c r="R400" t="str">
        <f>IF(MIS_Backend_Data!BB399="", "", MIS_Backend_Data!BB399)</f>
        <v/>
      </c>
      <c r="S400" t="str">
        <f>IF(MIS_Backend_Data!AW399="", "", MIS_Backend_Data!AW399)</f>
        <v/>
      </c>
      <c r="T400" s="42" t="str">
        <f>IF(MIS_Backend_Data!N399="Dispatch","Completed","NA")</f>
        <v>NA</v>
      </c>
      <c r="U400" t="str">
        <f t="shared" si="18"/>
        <v/>
      </c>
      <c r="V400" t="str">
        <f t="shared" si="19"/>
        <v/>
      </c>
      <c r="W400" s="20" t="str">
        <f t="shared" si="20"/>
        <v/>
      </c>
    </row>
    <row r="401" spans="2:23" ht="14.5">
      <c r="B401" s="205"/>
      <c r="C401" s="17"/>
      <c r="D401" s="17"/>
      <c r="E401" s="19"/>
      <c r="F401" s="19" t="str">
        <f>IF(MIS_Backend_Data!O400="", "", MIS_Backend_Data!O400)</f>
        <v/>
      </c>
      <c r="G401" t="str">
        <f>IF(MIS_Backend_Data!T400="", "", MIS_Backend_Data!T400)</f>
        <v/>
      </c>
      <c r="H401" t="str">
        <f>IF(MIS_Backend_Data!X400="", "", MIS_Backend_Data!X400)</f>
        <v/>
      </c>
      <c r="I401" t="str">
        <f>IF(MIS_Backend_Data!AC400="", "", MIS_Backend_Data!AC400)</f>
        <v/>
      </c>
      <c r="J401" t="str">
        <f>IF(MIS_Backend_Data!AB400="", "", MIS_Backend_Data!AB400)</f>
        <v/>
      </c>
      <c r="K401" t="str">
        <f>IF(MIS_Backend_Data!AG400="", "", MIS_Backend_Data!AG400)</f>
        <v/>
      </c>
      <c r="L401" s="20" t="str">
        <f>IF(MIS_Backend_Data!AI400="", "", MIS_Backend_Data!AI400)</f>
        <v/>
      </c>
      <c r="M401" t="str">
        <f>IF(MIS_Backend_Data!AK400="", "", MIS_Backend_Data!AK400)</f>
        <v/>
      </c>
      <c r="N401" t="str">
        <f>IF(MIS_Backend_Data!AM400="", "", MIS_Backend_Data!AM400)</f>
        <v/>
      </c>
      <c r="O401" t="str">
        <f>IF(MIS_Backend_Data!AO400="", "", MIS_Backend_Data!AO400)</f>
        <v/>
      </c>
      <c r="P401" t="str">
        <f>IF(MIS_Backend_Data!AS400="", "", MIS_Backend_Data!AS400)</f>
        <v/>
      </c>
      <c r="Q401" t="str">
        <f>IF(MIS_Backend_Data!AX400="", "", MIS_Backend_Data!AX400)</f>
        <v/>
      </c>
      <c r="R401" t="str">
        <f>IF(MIS_Backend_Data!BB400="", "", MIS_Backend_Data!BB400)</f>
        <v/>
      </c>
      <c r="S401" t="str">
        <f>IF(MIS_Backend_Data!AW400="", "", MIS_Backend_Data!AW400)</f>
        <v/>
      </c>
      <c r="T401" s="42" t="str">
        <f>IF(MIS_Backend_Data!N400="Dispatch","Completed","NA")</f>
        <v>NA</v>
      </c>
      <c r="U401" t="str">
        <f t="shared" si="18"/>
        <v/>
      </c>
      <c r="V401" t="str">
        <f t="shared" si="19"/>
        <v/>
      </c>
      <c r="W401" s="20" t="str">
        <f t="shared" si="20"/>
        <v/>
      </c>
    </row>
    <row r="402" spans="2:23" ht="14.5">
      <c r="B402" s="205"/>
      <c r="C402" s="17"/>
      <c r="D402" s="17"/>
      <c r="E402" s="19"/>
      <c r="F402" s="19" t="str">
        <f>IF(MIS_Backend_Data!O401="", "", MIS_Backend_Data!O401)</f>
        <v/>
      </c>
      <c r="G402" t="str">
        <f>IF(MIS_Backend_Data!T401="", "", MIS_Backend_Data!T401)</f>
        <v/>
      </c>
      <c r="H402" t="str">
        <f>IF(MIS_Backend_Data!X401="", "", MIS_Backend_Data!X401)</f>
        <v/>
      </c>
      <c r="I402" t="str">
        <f>IF(MIS_Backend_Data!AC401="", "", MIS_Backend_Data!AC401)</f>
        <v/>
      </c>
      <c r="J402" t="str">
        <f>IF(MIS_Backend_Data!AB401="", "", MIS_Backend_Data!AB401)</f>
        <v/>
      </c>
      <c r="K402" t="str">
        <f>IF(MIS_Backend_Data!AG401="", "", MIS_Backend_Data!AG401)</f>
        <v/>
      </c>
      <c r="L402" s="20" t="str">
        <f>IF(MIS_Backend_Data!AI401="", "", MIS_Backend_Data!AI401)</f>
        <v/>
      </c>
      <c r="M402" t="str">
        <f>IF(MIS_Backend_Data!AK401="", "", MIS_Backend_Data!AK401)</f>
        <v/>
      </c>
      <c r="N402" t="str">
        <f>IF(MIS_Backend_Data!AM401="", "", MIS_Backend_Data!AM401)</f>
        <v/>
      </c>
      <c r="O402" t="str">
        <f>IF(MIS_Backend_Data!AO401="", "", MIS_Backend_Data!AO401)</f>
        <v/>
      </c>
      <c r="P402" t="str">
        <f>IF(MIS_Backend_Data!AS401="", "", MIS_Backend_Data!AS401)</f>
        <v/>
      </c>
      <c r="Q402" t="str">
        <f>IF(MIS_Backend_Data!AX401="", "", MIS_Backend_Data!AX401)</f>
        <v/>
      </c>
      <c r="R402" t="str">
        <f>IF(MIS_Backend_Data!BB401="", "", MIS_Backend_Data!BB401)</f>
        <v/>
      </c>
      <c r="S402" t="str">
        <f>IF(MIS_Backend_Data!AW401="", "", MIS_Backend_Data!AW401)</f>
        <v/>
      </c>
      <c r="T402" s="42" t="str">
        <f>IF(MIS_Backend_Data!N401="Dispatch","Completed","NA")</f>
        <v>NA</v>
      </c>
      <c r="U402" t="str">
        <f t="shared" si="18"/>
        <v/>
      </c>
      <c r="V402" t="str">
        <f t="shared" si="19"/>
        <v/>
      </c>
      <c r="W402" s="20" t="str">
        <f t="shared" si="20"/>
        <v/>
      </c>
    </row>
    <row r="403" spans="2:23" ht="14.5">
      <c r="B403" s="205"/>
      <c r="C403" s="17"/>
      <c r="D403" s="17"/>
      <c r="E403" s="19"/>
      <c r="F403" s="19" t="str">
        <f>IF(MIS_Backend_Data!O402="", "", MIS_Backend_Data!O402)</f>
        <v/>
      </c>
      <c r="G403" t="str">
        <f>IF(MIS_Backend_Data!T402="", "", MIS_Backend_Data!T402)</f>
        <v/>
      </c>
      <c r="H403" t="str">
        <f>IF(MIS_Backend_Data!X402="", "", MIS_Backend_Data!X402)</f>
        <v/>
      </c>
      <c r="I403" t="str">
        <f>IF(MIS_Backend_Data!AC402="", "", MIS_Backend_Data!AC402)</f>
        <v/>
      </c>
      <c r="J403" t="str">
        <f>IF(MIS_Backend_Data!AB402="", "", MIS_Backend_Data!AB402)</f>
        <v/>
      </c>
      <c r="K403" t="str">
        <f>IF(MIS_Backend_Data!AG402="", "", MIS_Backend_Data!AG402)</f>
        <v/>
      </c>
      <c r="L403" s="20" t="str">
        <f>IF(MIS_Backend_Data!AI402="", "", MIS_Backend_Data!AI402)</f>
        <v/>
      </c>
      <c r="M403" t="str">
        <f>IF(MIS_Backend_Data!AK402="", "", MIS_Backend_Data!AK402)</f>
        <v/>
      </c>
      <c r="N403" t="str">
        <f>IF(MIS_Backend_Data!AM402="", "", MIS_Backend_Data!AM402)</f>
        <v/>
      </c>
      <c r="O403" t="str">
        <f>IF(MIS_Backend_Data!AO402="", "", MIS_Backend_Data!AO402)</f>
        <v/>
      </c>
      <c r="P403" t="str">
        <f>IF(MIS_Backend_Data!AS402="", "", MIS_Backend_Data!AS402)</f>
        <v/>
      </c>
      <c r="Q403" t="str">
        <f>IF(MIS_Backend_Data!AX402="", "", MIS_Backend_Data!AX402)</f>
        <v/>
      </c>
      <c r="R403" t="str">
        <f>IF(MIS_Backend_Data!BB402="", "", MIS_Backend_Data!BB402)</f>
        <v/>
      </c>
      <c r="S403" t="str">
        <f>IF(MIS_Backend_Data!AW402="", "", MIS_Backend_Data!AW402)</f>
        <v/>
      </c>
      <c r="T403" s="42" t="str">
        <f>IF(MIS_Backend_Data!N402="Dispatch","Completed","NA")</f>
        <v>NA</v>
      </c>
      <c r="U403" t="str">
        <f t="shared" si="18"/>
        <v/>
      </c>
      <c r="V403" t="str">
        <f t="shared" si="19"/>
        <v/>
      </c>
      <c r="W403" s="20" t="str">
        <f t="shared" si="20"/>
        <v/>
      </c>
    </row>
    <row r="404" spans="2:23" ht="14.5">
      <c r="B404" s="205"/>
      <c r="C404" s="17"/>
      <c r="D404" s="17"/>
      <c r="E404" s="19"/>
      <c r="F404" s="19" t="str">
        <f>IF(MIS_Backend_Data!O403="", "", MIS_Backend_Data!O403)</f>
        <v/>
      </c>
      <c r="G404" t="str">
        <f>IF(MIS_Backend_Data!T403="", "", MIS_Backend_Data!T403)</f>
        <v/>
      </c>
      <c r="H404" t="str">
        <f>IF(MIS_Backend_Data!X403="", "", MIS_Backend_Data!X403)</f>
        <v/>
      </c>
      <c r="I404" t="str">
        <f>IF(MIS_Backend_Data!AC403="", "", MIS_Backend_Data!AC403)</f>
        <v/>
      </c>
      <c r="J404" t="str">
        <f>IF(MIS_Backend_Data!AB403="", "", MIS_Backend_Data!AB403)</f>
        <v/>
      </c>
      <c r="K404" t="str">
        <f>IF(MIS_Backend_Data!AG403="", "", MIS_Backend_Data!AG403)</f>
        <v/>
      </c>
      <c r="L404" s="20" t="str">
        <f>IF(MIS_Backend_Data!AI403="", "", MIS_Backend_Data!AI403)</f>
        <v/>
      </c>
      <c r="M404" t="str">
        <f>IF(MIS_Backend_Data!AK403="", "", MIS_Backend_Data!AK403)</f>
        <v/>
      </c>
      <c r="N404" t="str">
        <f>IF(MIS_Backend_Data!AM403="", "", MIS_Backend_Data!AM403)</f>
        <v/>
      </c>
      <c r="O404" t="str">
        <f>IF(MIS_Backend_Data!AO403="", "", MIS_Backend_Data!AO403)</f>
        <v/>
      </c>
      <c r="P404" t="str">
        <f>IF(MIS_Backend_Data!AS403="", "", MIS_Backend_Data!AS403)</f>
        <v/>
      </c>
      <c r="Q404" t="str">
        <f>IF(MIS_Backend_Data!AX403="", "", MIS_Backend_Data!AX403)</f>
        <v/>
      </c>
      <c r="R404" t="str">
        <f>IF(MIS_Backend_Data!BB403="", "", MIS_Backend_Data!BB403)</f>
        <v/>
      </c>
      <c r="S404" t="str">
        <f>IF(MIS_Backend_Data!AW403="", "", MIS_Backend_Data!AW403)</f>
        <v/>
      </c>
      <c r="T404" s="42" t="str">
        <f>IF(MIS_Backend_Data!N403="Dispatch","Completed","NA")</f>
        <v>NA</v>
      </c>
      <c r="U404" t="str">
        <f t="shared" si="18"/>
        <v/>
      </c>
      <c r="V404" t="str">
        <f t="shared" si="19"/>
        <v/>
      </c>
      <c r="W404" s="20" t="str">
        <f t="shared" si="20"/>
        <v/>
      </c>
    </row>
    <row r="405" spans="2:23" ht="14.5">
      <c r="B405" s="205"/>
      <c r="C405" s="17"/>
      <c r="D405" s="17"/>
      <c r="E405" s="19"/>
      <c r="F405" s="19" t="str">
        <f>IF(MIS_Backend_Data!O404="", "", MIS_Backend_Data!O404)</f>
        <v/>
      </c>
      <c r="G405" t="str">
        <f>IF(MIS_Backend_Data!T404="", "", MIS_Backend_Data!T404)</f>
        <v/>
      </c>
      <c r="H405" t="str">
        <f>IF(MIS_Backend_Data!X404="", "", MIS_Backend_Data!X404)</f>
        <v/>
      </c>
      <c r="I405" t="str">
        <f>IF(MIS_Backend_Data!AC404="", "", MIS_Backend_Data!AC404)</f>
        <v/>
      </c>
      <c r="J405" t="str">
        <f>IF(MIS_Backend_Data!AB404="", "", MIS_Backend_Data!AB404)</f>
        <v/>
      </c>
      <c r="K405" t="str">
        <f>IF(MIS_Backend_Data!AG404="", "", MIS_Backend_Data!AG404)</f>
        <v/>
      </c>
      <c r="L405" s="20" t="str">
        <f>IF(MIS_Backend_Data!AI404="", "", MIS_Backend_Data!AI404)</f>
        <v/>
      </c>
      <c r="M405" t="str">
        <f>IF(MIS_Backend_Data!AK404="", "", MIS_Backend_Data!AK404)</f>
        <v/>
      </c>
      <c r="N405" t="str">
        <f>IF(MIS_Backend_Data!AM404="", "", MIS_Backend_Data!AM404)</f>
        <v/>
      </c>
      <c r="O405" t="str">
        <f>IF(MIS_Backend_Data!AO404="", "", MIS_Backend_Data!AO404)</f>
        <v/>
      </c>
      <c r="P405" t="str">
        <f>IF(MIS_Backend_Data!AS404="", "", MIS_Backend_Data!AS404)</f>
        <v/>
      </c>
      <c r="Q405" t="str">
        <f>IF(MIS_Backend_Data!AX404="", "", MIS_Backend_Data!AX404)</f>
        <v/>
      </c>
      <c r="R405" t="str">
        <f>IF(MIS_Backend_Data!BB404="", "", MIS_Backend_Data!BB404)</f>
        <v/>
      </c>
      <c r="S405" t="str">
        <f>IF(MIS_Backend_Data!AW404="", "", MIS_Backend_Data!AW404)</f>
        <v/>
      </c>
      <c r="T405" s="42" t="str">
        <f>IF(MIS_Backend_Data!N404="Dispatch","Completed","NA")</f>
        <v>NA</v>
      </c>
      <c r="U405" t="str">
        <f t="shared" si="18"/>
        <v/>
      </c>
      <c r="V405" t="str">
        <f t="shared" si="19"/>
        <v/>
      </c>
      <c r="W405" s="20" t="str">
        <f t="shared" si="20"/>
        <v/>
      </c>
    </row>
    <row r="406" spans="2:23" ht="14.5">
      <c r="B406" s="205"/>
      <c r="C406" s="17"/>
      <c r="D406" s="17"/>
      <c r="E406" s="19"/>
      <c r="F406" s="19" t="str">
        <f>IF(MIS_Backend_Data!O405="", "", MIS_Backend_Data!O405)</f>
        <v/>
      </c>
      <c r="G406" t="str">
        <f>IF(MIS_Backend_Data!T405="", "", MIS_Backend_Data!T405)</f>
        <v/>
      </c>
      <c r="H406" t="str">
        <f>IF(MIS_Backend_Data!X405="", "", MIS_Backend_Data!X405)</f>
        <v/>
      </c>
      <c r="I406" t="str">
        <f>IF(MIS_Backend_Data!AC405="", "", MIS_Backend_Data!AC405)</f>
        <v/>
      </c>
      <c r="J406" t="str">
        <f>IF(MIS_Backend_Data!AB405="", "", MIS_Backend_Data!AB405)</f>
        <v/>
      </c>
      <c r="K406" t="str">
        <f>IF(MIS_Backend_Data!AG405="", "", MIS_Backend_Data!AG405)</f>
        <v/>
      </c>
      <c r="L406" s="20" t="str">
        <f>IF(MIS_Backend_Data!AI405="", "", MIS_Backend_Data!AI405)</f>
        <v/>
      </c>
      <c r="M406" t="str">
        <f>IF(MIS_Backend_Data!AK405="", "", MIS_Backend_Data!AK405)</f>
        <v/>
      </c>
      <c r="N406" t="str">
        <f>IF(MIS_Backend_Data!AM405="", "", MIS_Backend_Data!AM405)</f>
        <v/>
      </c>
      <c r="O406" t="str">
        <f>IF(MIS_Backend_Data!AO405="", "", MIS_Backend_Data!AO405)</f>
        <v/>
      </c>
      <c r="P406" t="str">
        <f>IF(MIS_Backend_Data!AS405="", "", MIS_Backend_Data!AS405)</f>
        <v/>
      </c>
      <c r="Q406" t="str">
        <f>IF(MIS_Backend_Data!AX405="", "", MIS_Backend_Data!AX405)</f>
        <v/>
      </c>
      <c r="R406" t="str">
        <f>IF(MIS_Backend_Data!BB405="", "", MIS_Backend_Data!BB405)</f>
        <v/>
      </c>
      <c r="S406" t="str">
        <f>IF(MIS_Backend_Data!AW405="", "", MIS_Backend_Data!AW405)</f>
        <v/>
      </c>
      <c r="T406" s="42" t="str">
        <f>IF(MIS_Backend_Data!N405="Dispatch","Completed","NA")</f>
        <v>NA</v>
      </c>
      <c r="U406" t="str">
        <f t="shared" si="18"/>
        <v/>
      </c>
      <c r="V406" t="str">
        <f t="shared" si="19"/>
        <v/>
      </c>
      <c r="W406" s="20" t="str">
        <f t="shared" si="20"/>
        <v/>
      </c>
    </row>
    <row r="407" spans="2:23" ht="14.5">
      <c r="B407" s="205"/>
      <c r="C407" s="17"/>
      <c r="D407" s="17"/>
      <c r="E407" s="19"/>
      <c r="F407" s="19" t="str">
        <f>IF(MIS_Backend_Data!O406="", "", MIS_Backend_Data!O406)</f>
        <v/>
      </c>
      <c r="G407" t="str">
        <f>IF(MIS_Backend_Data!T406="", "", MIS_Backend_Data!T406)</f>
        <v/>
      </c>
      <c r="H407" t="str">
        <f>IF(MIS_Backend_Data!X406="", "", MIS_Backend_Data!X406)</f>
        <v/>
      </c>
      <c r="I407" t="str">
        <f>IF(MIS_Backend_Data!AC406="", "", MIS_Backend_Data!AC406)</f>
        <v/>
      </c>
      <c r="J407" t="str">
        <f>IF(MIS_Backend_Data!AB406="", "", MIS_Backend_Data!AB406)</f>
        <v/>
      </c>
      <c r="K407" t="str">
        <f>IF(MIS_Backend_Data!AG406="", "", MIS_Backend_Data!AG406)</f>
        <v/>
      </c>
      <c r="L407" s="20" t="str">
        <f>IF(MIS_Backend_Data!AI406="", "", MIS_Backend_Data!AI406)</f>
        <v/>
      </c>
      <c r="M407" t="str">
        <f>IF(MIS_Backend_Data!AK406="", "", MIS_Backend_Data!AK406)</f>
        <v/>
      </c>
      <c r="N407" t="str">
        <f>IF(MIS_Backend_Data!AM406="", "", MIS_Backend_Data!AM406)</f>
        <v/>
      </c>
      <c r="O407" t="str">
        <f>IF(MIS_Backend_Data!AO406="", "", MIS_Backend_Data!AO406)</f>
        <v/>
      </c>
      <c r="P407" t="str">
        <f>IF(MIS_Backend_Data!AS406="", "", MIS_Backend_Data!AS406)</f>
        <v/>
      </c>
      <c r="Q407" t="str">
        <f>IF(MIS_Backend_Data!AX406="", "", MIS_Backend_Data!AX406)</f>
        <v/>
      </c>
      <c r="R407" t="str">
        <f>IF(MIS_Backend_Data!BB406="", "", MIS_Backend_Data!BB406)</f>
        <v/>
      </c>
      <c r="S407" t="str">
        <f>IF(MIS_Backend_Data!AW406="", "", MIS_Backend_Data!AW406)</f>
        <v/>
      </c>
      <c r="T407" s="42" t="str">
        <f>IF(MIS_Backend_Data!N406="Dispatch","Completed","NA")</f>
        <v>NA</v>
      </c>
      <c r="U407" t="str">
        <f t="shared" si="18"/>
        <v/>
      </c>
      <c r="V407" t="str">
        <f t="shared" si="19"/>
        <v/>
      </c>
      <c r="W407" s="20" t="str">
        <f t="shared" si="20"/>
        <v/>
      </c>
    </row>
    <row r="408" spans="2:23" ht="14.5">
      <c r="B408" s="205"/>
      <c r="C408" s="17"/>
      <c r="D408" s="17"/>
      <c r="E408" s="19"/>
      <c r="F408" s="19" t="str">
        <f>IF(MIS_Backend_Data!O407="", "", MIS_Backend_Data!O407)</f>
        <v/>
      </c>
      <c r="G408" t="str">
        <f>IF(MIS_Backend_Data!T407="", "", MIS_Backend_Data!T407)</f>
        <v/>
      </c>
      <c r="H408" t="str">
        <f>IF(MIS_Backend_Data!X407="", "", MIS_Backend_Data!X407)</f>
        <v/>
      </c>
      <c r="I408" t="str">
        <f>IF(MIS_Backend_Data!AC407="", "", MIS_Backend_Data!AC407)</f>
        <v/>
      </c>
      <c r="J408" t="str">
        <f>IF(MIS_Backend_Data!AB407="", "", MIS_Backend_Data!AB407)</f>
        <v/>
      </c>
      <c r="K408" t="str">
        <f>IF(MIS_Backend_Data!AG407="", "", MIS_Backend_Data!AG407)</f>
        <v/>
      </c>
      <c r="L408" s="20" t="str">
        <f>IF(MIS_Backend_Data!AI407="", "", MIS_Backend_Data!AI407)</f>
        <v/>
      </c>
      <c r="M408" t="str">
        <f>IF(MIS_Backend_Data!AK407="", "", MIS_Backend_Data!AK407)</f>
        <v/>
      </c>
      <c r="N408" t="str">
        <f>IF(MIS_Backend_Data!AM407="", "", MIS_Backend_Data!AM407)</f>
        <v/>
      </c>
      <c r="O408" t="str">
        <f>IF(MIS_Backend_Data!AO407="", "", MIS_Backend_Data!AO407)</f>
        <v/>
      </c>
      <c r="P408" t="str">
        <f>IF(MIS_Backend_Data!AS407="", "", MIS_Backend_Data!AS407)</f>
        <v/>
      </c>
      <c r="Q408" t="str">
        <f>IF(MIS_Backend_Data!AX407="", "", MIS_Backend_Data!AX407)</f>
        <v/>
      </c>
      <c r="R408" t="str">
        <f>IF(MIS_Backend_Data!BB407="", "", MIS_Backend_Data!BB407)</f>
        <v/>
      </c>
      <c r="S408" t="str">
        <f>IF(MIS_Backend_Data!AW407="", "", MIS_Backend_Data!AW407)</f>
        <v/>
      </c>
      <c r="T408" s="42" t="str">
        <f>IF(MIS_Backend_Data!N407="Dispatch","Completed","NA")</f>
        <v>NA</v>
      </c>
      <c r="U408" t="str">
        <f t="shared" si="18"/>
        <v/>
      </c>
      <c r="V408" t="str">
        <f t="shared" si="19"/>
        <v/>
      </c>
      <c r="W408" s="20" t="str">
        <f t="shared" si="20"/>
        <v/>
      </c>
    </row>
    <row r="409" spans="2:23" ht="14.5">
      <c r="B409" s="205"/>
      <c r="C409" s="17"/>
      <c r="D409" s="17"/>
      <c r="E409" s="19"/>
      <c r="F409" s="19" t="str">
        <f>IF(MIS_Backend_Data!O408="", "", MIS_Backend_Data!O408)</f>
        <v/>
      </c>
      <c r="G409" t="str">
        <f>IF(MIS_Backend_Data!T408="", "", MIS_Backend_Data!T408)</f>
        <v/>
      </c>
      <c r="H409" t="str">
        <f>IF(MIS_Backend_Data!X408="", "", MIS_Backend_Data!X408)</f>
        <v/>
      </c>
      <c r="I409" t="str">
        <f>IF(MIS_Backend_Data!AC408="", "", MIS_Backend_Data!AC408)</f>
        <v/>
      </c>
      <c r="J409" t="str">
        <f>IF(MIS_Backend_Data!AB408="", "", MIS_Backend_Data!AB408)</f>
        <v/>
      </c>
      <c r="K409" t="str">
        <f>IF(MIS_Backend_Data!AG408="", "", MIS_Backend_Data!AG408)</f>
        <v/>
      </c>
      <c r="L409" s="20" t="str">
        <f>IF(MIS_Backend_Data!AI408="", "", MIS_Backend_Data!AI408)</f>
        <v/>
      </c>
      <c r="M409" t="str">
        <f>IF(MIS_Backend_Data!AK408="", "", MIS_Backend_Data!AK408)</f>
        <v/>
      </c>
      <c r="N409" t="str">
        <f>IF(MIS_Backend_Data!AM408="", "", MIS_Backend_Data!AM408)</f>
        <v/>
      </c>
      <c r="O409" t="str">
        <f>IF(MIS_Backend_Data!AO408="", "", MIS_Backend_Data!AO408)</f>
        <v/>
      </c>
      <c r="P409" t="str">
        <f>IF(MIS_Backend_Data!AS408="", "", MIS_Backend_Data!AS408)</f>
        <v/>
      </c>
      <c r="Q409" t="str">
        <f>IF(MIS_Backend_Data!AX408="", "", MIS_Backend_Data!AX408)</f>
        <v/>
      </c>
      <c r="R409" t="str">
        <f>IF(MIS_Backend_Data!BB408="", "", MIS_Backend_Data!BB408)</f>
        <v/>
      </c>
      <c r="S409" t="str">
        <f>IF(MIS_Backend_Data!AW408="", "", MIS_Backend_Data!AW408)</f>
        <v/>
      </c>
      <c r="T409" s="42" t="str">
        <f>IF(MIS_Backend_Data!N408="Dispatch","Completed","NA")</f>
        <v>NA</v>
      </c>
      <c r="U409" t="str">
        <f t="shared" si="18"/>
        <v/>
      </c>
      <c r="V409" t="str">
        <f t="shared" si="19"/>
        <v/>
      </c>
      <c r="W409" s="20" t="str">
        <f t="shared" si="20"/>
        <v/>
      </c>
    </row>
    <row r="410" spans="2:23" ht="14.5">
      <c r="B410" s="205"/>
      <c r="C410" s="17"/>
      <c r="D410" s="17"/>
      <c r="E410" s="19"/>
      <c r="F410" s="19" t="str">
        <f>IF(MIS_Backend_Data!O409="", "", MIS_Backend_Data!O409)</f>
        <v/>
      </c>
      <c r="G410" t="str">
        <f>IF(MIS_Backend_Data!T409="", "", MIS_Backend_Data!T409)</f>
        <v/>
      </c>
      <c r="H410" t="str">
        <f>IF(MIS_Backend_Data!X409="", "", MIS_Backend_Data!X409)</f>
        <v/>
      </c>
      <c r="I410" t="str">
        <f>IF(MIS_Backend_Data!AC409="", "", MIS_Backend_Data!AC409)</f>
        <v/>
      </c>
      <c r="J410" t="str">
        <f>IF(MIS_Backend_Data!AB409="", "", MIS_Backend_Data!AB409)</f>
        <v/>
      </c>
      <c r="K410" t="str">
        <f>IF(MIS_Backend_Data!AG409="", "", MIS_Backend_Data!AG409)</f>
        <v/>
      </c>
      <c r="L410" s="20" t="str">
        <f>IF(MIS_Backend_Data!AI409="", "", MIS_Backend_Data!AI409)</f>
        <v/>
      </c>
      <c r="M410" t="str">
        <f>IF(MIS_Backend_Data!AK409="", "", MIS_Backend_Data!AK409)</f>
        <v/>
      </c>
      <c r="N410" t="str">
        <f>IF(MIS_Backend_Data!AM409="", "", MIS_Backend_Data!AM409)</f>
        <v/>
      </c>
      <c r="O410" t="str">
        <f>IF(MIS_Backend_Data!AO409="", "", MIS_Backend_Data!AO409)</f>
        <v/>
      </c>
      <c r="P410" t="str">
        <f>IF(MIS_Backend_Data!AS409="", "", MIS_Backend_Data!AS409)</f>
        <v/>
      </c>
      <c r="Q410" t="str">
        <f>IF(MIS_Backend_Data!AX409="", "", MIS_Backend_Data!AX409)</f>
        <v/>
      </c>
      <c r="R410" t="str">
        <f>IF(MIS_Backend_Data!BB409="", "", MIS_Backend_Data!BB409)</f>
        <v/>
      </c>
      <c r="S410" t="str">
        <f>IF(MIS_Backend_Data!AW409="", "", MIS_Backend_Data!AW409)</f>
        <v/>
      </c>
      <c r="T410" s="42" t="str">
        <f>IF(MIS_Backend_Data!N409="Dispatch","Completed","NA")</f>
        <v>NA</v>
      </c>
      <c r="U410" t="str">
        <f t="shared" si="18"/>
        <v/>
      </c>
      <c r="V410" t="str">
        <f t="shared" si="19"/>
        <v/>
      </c>
      <c r="W410" s="20" t="str">
        <f t="shared" si="20"/>
        <v/>
      </c>
    </row>
    <row r="411" spans="2:23" ht="14.5">
      <c r="B411" s="205"/>
      <c r="C411" s="17"/>
      <c r="D411" s="17"/>
      <c r="E411" s="19"/>
      <c r="F411" s="19" t="str">
        <f>IF(MIS_Backend_Data!O410="", "", MIS_Backend_Data!O410)</f>
        <v/>
      </c>
      <c r="G411" t="str">
        <f>IF(MIS_Backend_Data!T410="", "", MIS_Backend_Data!T410)</f>
        <v/>
      </c>
      <c r="H411" t="str">
        <f>IF(MIS_Backend_Data!X410="", "", MIS_Backend_Data!X410)</f>
        <v/>
      </c>
      <c r="I411" t="str">
        <f>IF(MIS_Backend_Data!AC410="", "", MIS_Backend_Data!AC410)</f>
        <v/>
      </c>
      <c r="J411" t="str">
        <f>IF(MIS_Backend_Data!AB410="", "", MIS_Backend_Data!AB410)</f>
        <v/>
      </c>
      <c r="K411" t="str">
        <f>IF(MIS_Backend_Data!AG410="", "", MIS_Backend_Data!AG410)</f>
        <v/>
      </c>
      <c r="L411" s="20" t="str">
        <f>IF(MIS_Backend_Data!AI410="", "", MIS_Backend_Data!AI410)</f>
        <v/>
      </c>
      <c r="M411" t="str">
        <f>IF(MIS_Backend_Data!AK410="", "", MIS_Backend_Data!AK410)</f>
        <v/>
      </c>
      <c r="N411" t="str">
        <f>IF(MIS_Backend_Data!AM410="", "", MIS_Backend_Data!AM410)</f>
        <v/>
      </c>
      <c r="O411" t="str">
        <f>IF(MIS_Backend_Data!AO410="", "", MIS_Backend_Data!AO410)</f>
        <v/>
      </c>
      <c r="P411" t="str">
        <f>IF(MIS_Backend_Data!AS410="", "", MIS_Backend_Data!AS410)</f>
        <v/>
      </c>
      <c r="Q411" t="str">
        <f>IF(MIS_Backend_Data!AX410="", "", MIS_Backend_Data!AX410)</f>
        <v/>
      </c>
      <c r="R411" t="str">
        <f>IF(MIS_Backend_Data!BB410="", "", MIS_Backend_Data!BB410)</f>
        <v/>
      </c>
      <c r="S411" t="str">
        <f>IF(MIS_Backend_Data!AW410="", "", MIS_Backend_Data!AW410)</f>
        <v/>
      </c>
      <c r="T411" s="42" t="str">
        <f>IF(MIS_Backend_Data!N410="Dispatch","Completed","NA")</f>
        <v>NA</v>
      </c>
      <c r="U411" t="str">
        <f t="shared" si="18"/>
        <v/>
      </c>
      <c r="V411" t="str">
        <f t="shared" si="19"/>
        <v/>
      </c>
      <c r="W411" s="20" t="str">
        <f t="shared" si="20"/>
        <v/>
      </c>
    </row>
    <row r="412" spans="2:23" ht="14.5">
      <c r="B412" s="205"/>
      <c r="C412" s="17"/>
      <c r="D412" s="17"/>
      <c r="E412" s="19"/>
      <c r="F412" s="19" t="str">
        <f>IF(MIS_Backend_Data!O411="", "", MIS_Backend_Data!O411)</f>
        <v/>
      </c>
      <c r="G412" t="str">
        <f>IF(MIS_Backend_Data!T411="", "", MIS_Backend_Data!T411)</f>
        <v/>
      </c>
      <c r="H412" t="str">
        <f>IF(MIS_Backend_Data!X411="", "", MIS_Backend_Data!X411)</f>
        <v/>
      </c>
      <c r="I412" t="str">
        <f>IF(MIS_Backend_Data!AC411="", "", MIS_Backend_Data!AC411)</f>
        <v/>
      </c>
      <c r="J412" t="str">
        <f>IF(MIS_Backend_Data!AB411="", "", MIS_Backend_Data!AB411)</f>
        <v/>
      </c>
      <c r="K412" t="str">
        <f>IF(MIS_Backend_Data!AG411="", "", MIS_Backend_Data!AG411)</f>
        <v/>
      </c>
      <c r="L412" s="20" t="str">
        <f>IF(MIS_Backend_Data!AI411="", "", MIS_Backend_Data!AI411)</f>
        <v/>
      </c>
      <c r="M412" t="str">
        <f>IF(MIS_Backend_Data!AK411="", "", MIS_Backend_Data!AK411)</f>
        <v/>
      </c>
      <c r="N412" t="str">
        <f>IF(MIS_Backend_Data!AM411="", "", MIS_Backend_Data!AM411)</f>
        <v/>
      </c>
      <c r="O412" t="str">
        <f>IF(MIS_Backend_Data!AO411="", "", MIS_Backend_Data!AO411)</f>
        <v/>
      </c>
      <c r="P412" t="str">
        <f>IF(MIS_Backend_Data!AS411="", "", MIS_Backend_Data!AS411)</f>
        <v/>
      </c>
      <c r="Q412" t="str">
        <f>IF(MIS_Backend_Data!AX411="", "", MIS_Backend_Data!AX411)</f>
        <v/>
      </c>
      <c r="R412" t="str">
        <f>IF(MIS_Backend_Data!BB411="", "", MIS_Backend_Data!BB411)</f>
        <v/>
      </c>
      <c r="S412" t="str">
        <f>IF(MIS_Backend_Data!AW411="", "", MIS_Backend_Data!AW411)</f>
        <v/>
      </c>
      <c r="T412" s="42" t="str">
        <f>IF(MIS_Backend_Data!N411="Dispatch","Completed","NA")</f>
        <v>NA</v>
      </c>
      <c r="U412" t="str">
        <f t="shared" si="18"/>
        <v/>
      </c>
      <c r="V412" t="str">
        <f t="shared" si="19"/>
        <v/>
      </c>
      <c r="W412" s="20" t="str">
        <f t="shared" si="20"/>
        <v/>
      </c>
    </row>
    <row r="413" spans="2:23" ht="14.5">
      <c r="B413" s="205"/>
      <c r="C413" s="17"/>
      <c r="D413" s="17"/>
      <c r="E413" s="19"/>
      <c r="F413" s="19" t="str">
        <f>IF(MIS_Backend_Data!O412="", "", MIS_Backend_Data!O412)</f>
        <v/>
      </c>
      <c r="G413" t="str">
        <f>IF(MIS_Backend_Data!T412="", "", MIS_Backend_Data!T412)</f>
        <v/>
      </c>
      <c r="H413" t="str">
        <f>IF(MIS_Backend_Data!X412="", "", MIS_Backend_Data!X412)</f>
        <v/>
      </c>
      <c r="I413" t="str">
        <f>IF(MIS_Backend_Data!AC412="", "", MIS_Backend_Data!AC412)</f>
        <v/>
      </c>
      <c r="J413" t="str">
        <f>IF(MIS_Backend_Data!AB412="", "", MIS_Backend_Data!AB412)</f>
        <v/>
      </c>
      <c r="K413" t="str">
        <f>IF(MIS_Backend_Data!AG412="", "", MIS_Backend_Data!AG412)</f>
        <v/>
      </c>
      <c r="L413" s="20" t="str">
        <f>IF(MIS_Backend_Data!AI412="", "", MIS_Backend_Data!AI412)</f>
        <v/>
      </c>
      <c r="M413" t="str">
        <f>IF(MIS_Backend_Data!AK412="", "", MIS_Backend_Data!AK412)</f>
        <v/>
      </c>
      <c r="N413" t="str">
        <f>IF(MIS_Backend_Data!AM412="", "", MIS_Backend_Data!AM412)</f>
        <v/>
      </c>
      <c r="O413" t="str">
        <f>IF(MIS_Backend_Data!AO412="", "", MIS_Backend_Data!AO412)</f>
        <v/>
      </c>
      <c r="P413" t="str">
        <f>IF(MIS_Backend_Data!AS412="", "", MIS_Backend_Data!AS412)</f>
        <v/>
      </c>
      <c r="Q413" t="str">
        <f>IF(MIS_Backend_Data!AX412="", "", MIS_Backend_Data!AX412)</f>
        <v/>
      </c>
      <c r="R413" t="str">
        <f>IF(MIS_Backend_Data!BB412="", "", MIS_Backend_Data!BB412)</f>
        <v/>
      </c>
      <c r="S413" t="str">
        <f>IF(MIS_Backend_Data!AW412="", "", MIS_Backend_Data!AW412)</f>
        <v/>
      </c>
      <c r="T413" s="42" t="str">
        <f>IF(MIS_Backend_Data!N412="Dispatch","Completed","NA")</f>
        <v>NA</v>
      </c>
      <c r="U413" t="str">
        <f t="shared" si="18"/>
        <v/>
      </c>
      <c r="V413" t="str">
        <f t="shared" si="19"/>
        <v/>
      </c>
      <c r="W413" s="20" t="str">
        <f t="shared" si="20"/>
        <v/>
      </c>
    </row>
    <row r="414" spans="2:23" ht="14.5">
      <c r="B414" s="205"/>
      <c r="C414" s="17"/>
      <c r="D414" s="17"/>
      <c r="E414" s="19"/>
      <c r="F414" s="19" t="str">
        <f>IF(MIS_Backend_Data!O413="", "", MIS_Backend_Data!O413)</f>
        <v/>
      </c>
      <c r="G414" t="str">
        <f>IF(MIS_Backend_Data!T413="", "", MIS_Backend_Data!T413)</f>
        <v/>
      </c>
      <c r="H414" t="str">
        <f>IF(MIS_Backend_Data!X413="", "", MIS_Backend_Data!X413)</f>
        <v/>
      </c>
      <c r="I414" t="str">
        <f>IF(MIS_Backend_Data!AC413="", "", MIS_Backend_Data!AC413)</f>
        <v/>
      </c>
      <c r="J414" t="str">
        <f>IF(MIS_Backend_Data!AB413="", "", MIS_Backend_Data!AB413)</f>
        <v/>
      </c>
      <c r="K414" t="str">
        <f>IF(MIS_Backend_Data!AG413="", "", MIS_Backend_Data!AG413)</f>
        <v/>
      </c>
      <c r="L414" s="20" t="str">
        <f>IF(MIS_Backend_Data!AI413="", "", MIS_Backend_Data!AI413)</f>
        <v/>
      </c>
      <c r="M414" t="str">
        <f>IF(MIS_Backend_Data!AK413="", "", MIS_Backend_Data!AK413)</f>
        <v/>
      </c>
      <c r="N414" t="str">
        <f>IF(MIS_Backend_Data!AM413="", "", MIS_Backend_Data!AM413)</f>
        <v/>
      </c>
      <c r="O414" t="str">
        <f>IF(MIS_Backend_Data!AO413="", "", MIS_Backend_Data!AO413)</f>
        <v/>
      </c>
      <c r="P414" t="str">
        <f>IF(MIS_Backend_Data!AS413="", "", MIS_Backend_Data!AS413)</f>
        <v/>
      </c>
      <c r="Q414" t="str">
        <f>IF(MIS_Backend_Data!AX413="", "", MIS_Backend_Data!AX413)</f>
        <v/>
      </c>
      <c r="R414" t="str">
        <f>IF(MIS_Backend_Data!BB413="", "", MIS_Backend_Data!BB413)</f>
        <v/>
      </c>
      <c r="S414" t="str">
        <f>IF(MIS_Backend_Data!AW413="", "", MIS_Backend_Data!AW413)</f>
        <v/>
      </c>
      <c r="T414" s="42" t="str">
        <f>IF(MIS_Backend_Data!N413="Dispatch","Completed","NA")</f>
        <v>NA</v>
      </c>
      <c r="U414" t="str">
        <f t="shared" si="18"/>
        <v/>
      </c>
      <c r="V414" t="str">
        <f t="shared" si="19"/>
        <v/>
      </c>
      <c r="W414" s="20" t="str">
        <f t="shared" si="20"/>
        <v/>
      </c>
    </row>
    <row r="415" spans="2:23" ht="14.5">
      <c r="B415" s="205"/>
      <c r="C415" s="17"/>
      <c r="D415" s="17"/>
      <c r="E415" s="19"/>
      <c r="F415" s="19" t="str">
        <f>IF(MIS_Backend_Data!O414="", "", MIS_Backend_Data!O414)</f>
        <v/>
      </c>
      <c r="G415" t="str">
        <f>IF(MIS_Backend_Data!T414="", "", MIS_Backend_Data!T414)</f>
        <v/>
      </c>
      <c r="H415" t="str">
        <f>IF(MIS_Backend_Data!X414="", "", MIS_Backend_Data!X414)</f>
        <v/>
      </c>
      <c r="I415" t="str">
        <f>IF(MIS_Backend_Data!AC414="", "", MIS_Backend_Data!AC414)</f>
        <v/>
      </c>
      <c r="J415" t="str">
        <f>IF(MIS_Backend_Data!AB414="", "", MIS_Backend_Data!AB414)</f>
        <v/>
      </c>
      <c r="K415" t="str">
        <f>IF(MIS_Backend_Data!AG414="", "", MIS_Backend_Data!AG414)</f>
        <v/>
      </c>
      <c r="L415" s="20" t="str">
        <f>IF(MIS_Backend_Data!AI414="", "", MIS_Backend_Data!AI414)</f>
        <v/>
      </c>
      <c r="M415" t="str">
        <f>IF(MIS_Backend_Data!AK414="", "", MIS_Backend_Data!AK414)</f>
        <v/>
      </c>
      <c r="N415" t="str">
        <f>IF(MIS_Backend_Data!AM414="", "", MIS_Backend_Data!AM414)</f>
        <v/>
      </c>
      <c r="O415" t="str">
        <f>IF(MIS_Backend_Data!AO414="", "", MIS_Backend_Data!AO414)</f>
        <v/>
      </c>
      <c r="P415" t="str">
        <f>IF(MIS_Backend_Data!AS414="", "", MIS_Backend_Data!AS414)</f>
        <v/>
      </c>
      <c r="Q415" t="str">
        <f>IF(MIS_Backend_Data!AX414="", "", MIS_Backend_Data!AX414)</f>
        <v/>
      </c>
      <c r="R415" t="str">
        <f>IF(MIS_Backend_Data!BB414="", "", MIS_Backend_Data!BB414)</f>
        <v/>
      </c>
      <c r="S415" t="str">
        <f>IF(MIS_Backend_Data!AW414="", "", MIS_Backend_Data!AW414)</f>
        <v/>
      </c>
      <c r="T415" s="42" t="str">
        <f>IF(MIS_Backend_Data!N414="Dispatch","Completed","NA")</f>
        <v>NA</v>
      </c>
      <c r="U415" t="str">
        <f t="shared" si="18"/>
        <v/>
      </c>
      <c r="V415" t="str">
        <f t="shared" si="19"/>
        <v/>
      </c>
      <c r="W415" s="20" t="str">
        <f t="shared" si="20"/>
        <v/>
      </c>
    </row>
    <row r="416" spans="2:23" ht="14.5">
      <c r="B416" s="205"/>
      <c r="C416" s="17"/>
      <c r="D416" s="17"/>
      <c r="E416" s="19"/>
      <c r="F416" s="19" t="str">
        <f>IF(MIS_Backend_Data!O415="", "", MIS_Backend_Data!O415)</f>
        <v/>
      </c>
      <c r="G416" t="str">
        <f>IF(MIS_Backend_Data!T415="", "", MIS_Backend_Data!T415)</f>
        <v/>
      </c>
      <c r="H416" t="str">
        <f>IF(MIS_Backend_Data!X415="", "", MIS_Backend_Data!X415)</f>
        <v/>
      </c>
      <c r="I416" t="str">
        <f>IF(MIS_Backend_Data!AC415="", "", MIS_Backend_Data!AC415)</f>
        <v/>
      </c>
      <c r="J416" t="str">
        <f>IF(MIS_Backend_Data!AB415="", "", MIS_Backend_Data!AB415)</f>
        <v/>
      </c>
      <c r="K416" t="str">
        <f>IF(MIS_Backend_Data!AG415="", "", MIS_Backend_Data!AG415)</f>
        <v/>
      </c>
      <c r="L416" s="20" t="str">
        <f>IF(MIS_Backend_Data!AI415="", "", MIS_Backend_Data!AI415)</f>
        <v/>
      </c>
      <c r="M416" t="str">
        <f>IF(MIS_Backend_Data!AK415="", "", MIS_Backend_Data!AK415)</f>
        <v/>
      </c>
      <c r="N416" t="str">
        <f>IF(MIS_Backend_Data!AM415="", "", MIS_Backend_Data!AM415)</f>
        <v/>
      </c>
      <c r="O416" t="str">
        <f>IF(MIS_Backend_Data!AO415="", "", MIS_Backend_Data!AO415)</f>
        <v/>
      </c>
      <c r="P416" t="str">
        <f>IF(MIS_Backend_Data!AS415="", "", MIS_Backend_Data!AS415)</f>
        <v/>
      </c>
      <c r="Q416" t="str">
        <f>IF(MIS_Backend_Data!AX415="", "", MIS_Backend_Data!AX415)</f>
        <v/>
      </c>
      <c r="R416" t="str">
        <f>IF(MIS_Backend_Data!BB415="", "", MIS_Backend_Data!BB415)</f>
        <v/>
      </c>
      <c r="S416" t="str">
        <f>IF(MIS_Backend_Data!AW415="", "", MIS_Backend_Data!AW415)</f>
        <v/>
      </c>
      <c r="T416" s="42" t="str">
        <f>IF(MIS_Backend_Data!N415="Dispatch","Completed","NA")</f>
        <v>NA</v>
      </c>
      <c r="U416" t="str">
        <f t="shared" si="18"/>
        <v/>
      </c>
      <c r="V416" t="str">
        <f t="shared" si="19"/>
        <v/>
      </c>
      <c r="W416" s="20" t="str">
        <f t="shared" si="20"/>
        <v/>
      </c>
    </row>
    <row r="417" spans="2:23" ht="14.5">
      <c r="B417" s="205"/>
      <c r="C417" s="17"/>
      <c r="D417" s="17"/>
      <c r="E417" s="19"/>
      <c r="F417" s="19" t="str">
        <f>IF(MIS_Backend_Data!O416="", "", MIS_Backend_Data!O416)</f>
        <v/>
      </c>
      <c r="G417" t="str">
        <f>IF(MIS_Backend_Data!T416="", "", MIS_Backend_Data!T416)</f>
        <v/>
      </c>
      <c r="H417" t="str">
        <f>IF(MIS_Backend_Data!X416="", "", MIS_Backend_Data!X416)</f>
        <v/>
      </c>
      <c r="I417" t="str">
        <f>IF(MIS_Backend_Data!AC416="", "", MIS_Backend_Data!AC416)</f>
        <v/>
      </c>
      <c r="J417" t="str">
        <f>IF(MIS_Backend_Data!AB416="", "", MIS_Backend_Data!AB416)</f>
        <v/>
      </c>
      <c r="K417" t="str">
        <f>IF(MIS_Backend_Data!AG416="", "", MIS_Backend_Data!AG416)</f>
        <v/>
      </c>
      <c r="L417" s="20" t="str">
        <f>IF(MIS_Backend_Data!AI416="", "", MIS_Backend_Data!AI416)</f>
        <v/>
      </c>
      <c r="M417" t="str">
        <f>IF(MIS_Backend_Data!AK416="", "", MIS_Backend_Data!AK416)</f>
        <v/>
      </c>
      <c r="N417" t="str">
        <f>IF(MIS_Backend_Data!AM416="", "", MIS_Backend_Data!AM416)</f>
        <v/>
      </c>
      <c r="O417" t="str">
        <f>IF(MIS_Backend_Data!AO416="", "", MIS_Backend_Data!AO416)</f>
        <v/>
      </c>
      <c r="P417" t="str">
        <f>IF(MIS_Backend_Data!AS416="", "", MIS_Backend_Data!AS416)</f>
        <v/>
      </c>
      <c r="Q417" t="str">
        <f>IF(MIS_Backend_Data!AX416="", "", MIS_Backend_Data!AX416)</f>
        <v/>
      </c>
      <c r="R417" t="str">
        <f>IF(MIS_Backend_Data!BB416="", "", MIS_Backend_Data!BB416)</f>
        <v/>
      </c>
      <c r="S417" t="str">
        <f>IF(MIS_Backend_Data!AW416="", "", MIS_Backend_Data!AW416)</f>
        <v/>
      </c>
      <c r="T417" s="42" t="str">
        <f>IF(MIS_Backend_Data!N416="Dispatch","Completed","NA")</f>
        <v>NA</v>
      </c>
      <c r="U417" t="str">
        <f t="shared" si="18"/>
        <v/>
      </c>
      <c r="V417" t="str">
        <f t="shared" si="19"/>
        <v/>
      </c>
      <c r="W417" s="20" t="str">
        <f t="shared" si="20"/>
        <v/>
      </c>
    </row>
    <row r="418" spans="2:23" ht="14.5">
      <c r="B418" s="205"/>
      <c r="C418" s="17"/>
      <c r="D418" s="17"/>
      <c r="E418" s="19"/>
      <c r="F418" s="19" t="str">
        <f>IF(MIS_Backend_Data!O417="", "", MIS_Backend_Data!O417)</f>
        <v/>
      </c>
      <c r="G418" t="str">
        <f>IF(MIS_Backend_Data!T417="", "", MIS_Backend_Data!T417)</f>
        <v/>
      </c>
      <c r="H418" t="str">
        <f>IF(MIS_Backend_Data!X417="", "", MIS_Backend_Data!X417)</f>
        <v/>
      </c>
      <c r="I418" t="str">
        <f>IF(MIS_Backend_Data!AC417="", "", MIS_Backend_Data!AC417)</f>
        <v/>
      </c>
      <c r="J418" t="str">
        <f>IF(MIS_Backend_Data!AB417="", "", MIS_Backend_Data!AB417)</f>
        <v/>
      </c>
      <c r="K418" t="str">
        <f>IF(MIS_Backend_Data!AG417="", "", MIS_Backend_Data!AG417)</f>
        <v/>
      </c>
      <c r="L418" s="20" t="str">
        <f>IF(MIS_Backend_Data!AI417="", "", MIS_Backend_Data!AI417)</f>
        <v/>
      </c>
      <c r="M418" t="str">
        <f>IF(MIS_Backend_Data!AK417="", "", MIS_Backend_Data!AK417)</f>
        <v/>
      </c>
      <c r="N418" t="str">
        <f>IF(MIS_Backend_Data!AM417="", "", MIS_Backend_Data!AM417)</f>
        <v/>
      </c>
      <c r="O418" t="str">
        <f>IF(MIS_Backend_Data!AO417="", "", MIS_Backend_Data!AO417)</f>
        <v/>
      </c>
      <c r="P418" t="str">
        <f>IF(MIS_Backend_Data!AS417="", "", MIS_Backend_Data!AS417)</f>
        <v/>
      </c>
      <c r="Q418" t="str">
        <f>IF(MIS_Backend_Data!AX417="", "", MIS_Backend_Data!AX417)</f>
        <v/>
      </c>
      <c r="R418" t="str">
        <f>IF(MIS_Backend_Data!BB417="", "", MIS_Backend_Data!BB417)</f>
        <v/>
      </c>
      <c r="S418" t="str">
        <f>IF(MIS_Backend_Data!AW417="", "", MIS_Backend_Data!AW417)</f>
        <v/>
      </c>
      <c r="T418" s="42" t="str">
        <f>IF(MIS_Backend_Data!N417="Dispatch","Completed","NA")</f>
        <v>NA</v>
      </c>
      <c r="U418" t="str">
        <f t="shared" si="18"/>
        <v/>
      </c>
      <c r="V418" t="str">
        <f t="shared" si="19"/>
        <v/>
      </c>
      <c r="W418" s="20" t="str">
        <f t="shared" si="20"/>
        <v/>
      </c>
    </row>
    <row r="419" spans="2:23" ht="14.5">
      <c r="B419" s="205"/>
      <c r="C419" s="17"/>
      <c r="D419" s="17"/>
      <c r="E419" s="19"/>
      <c r="F419" s="19" t="str">
        <f>IF(MIS_Backend_Data!O418="", "", MIS_Backend_Data!O418)</f>
        <v/>
      </c>
      <c r="G419" t="str">
        <f>IF(MIS_Backend_Data!T418="", "", MIS_Backend_Data!T418)</f>
        <v/>
      </c>
      <c r="H419" t="str">
        <f>IF(MIS_Backend_Data!X418="", "", MIS_Backend_Data!X418)</f>
        <v/>
      </c>
      <c r="I419" t="str">
        <f>IF(MIS_Backend_Data!AC418="", "", MIS_Backend_Data!AC418)</f>
        <v/>
      </c>
      <c r="J419" t="str">
        <f>IF(MIS_Backend_Data!AB418="", "", MIS_Backend_Data!AB418)</f>
        <v/>
      </c>
      <c r="K419" t="str">
        <f>IF(MIS_Backend_Data!AG418="", "", MIS_Backend_Data!AG418)</f>
        <v/>
      </c>
      <c r="L419" s="20" t="str">
        <f>IF(MIS_Backend_Data!AI418="", "", MIS_Backend_Data!AI418)</f>
        <v/>
      </c>
      <c r="M419" t="str">
        <f>IF(MIS_Backend_Data!AK418="", "", MIS_Backend_Data!AK418)</f>
        <v/>
      </c>
      <c r="N419" t="str">
        <f>IF(MIS_Backend_Data!AM418="", "", MIS_Backend_Data!AM418)</f>
        <v/>
      </c>
      <c r="O419" t="str">
        <f>IF(MIS_Backend_Data!AO418="", "", MIS_Backend_Data!AO418)</f>
        <v/>
      </c>
      <c r="P419" t="str">
        <f>IF(MIS_Backend_Data!AS418="", "", MIS_Backend_Data!AS418)</f>
        <v/>
      </c>
      <c r="Q419" t="str">
        <f>IF(MIS_Backend_Data!AX418="", "", MIS_Backend_Data!AX418)</f>
        <v/>
      </c>
      <c r="R419" t="str">
        <f>IF(MIS_Backend_Data!BB418="", "", MIS_Backend_Data!BB418)</f>
        <v/>
      </c>
      <c r="S419" t="str">
        <f>IF(MIS_Backend_Data!AW418="", "", MIS_Backend_Data!AW418)</f>
        <v/>
      </c>
      <c r="T419" s="42" t="str">
        <f>IF(MIS_Backend_Data!N418="Dispatch","Completed","NA")</f>
        <v>NA</v>
      </c>
      <c r="U419" t="str">
        <f t="shared" si="18"/>
        <v/>
      </c>
      <c r="V419" t="str">
        <f t="shared" si="19"/>
        <v/>
      </c>
      <c r="W419" s="20" t="str">
        <f t="shared" si="20"/>
        <v/>
      </c>
    </row>
    <row r="420" spans="2:23" ht="14.5">
      <c r="B420" s="205"/>
      <c r="C420" s="17"/>
      <c r="D420" s="17"/>
      <c r="E420" s="19"/>
      <c r="F420" s="19" t="str">
        <f>IF(MIS_Backend_Data!O419="", "", MIS_Backend_Data!O419)</f>
        <v/>
      </c>
      <c r="G420" t="str">
        <f>IF(MIS_Backend_Data!T419="", "", MIS_Backend_Data!T419)</f>
        <v/>
      </c>
      <c r="H420" t="str">
        <f>IF(MIS_Backend_Data!X419="", "", MIS_Backend_Data!X419)</f>
        <v/>
      </c>
      <c r="I420" t="str">
        <f>IF(MIS_Backend_Data!AC419="", "", MIS_Backend_Data!AC419)</f>
        <v/>
      </c>
      <c r="J420" t="str">
        <f>IF(MIS_Backend_Data!AB419="", "", MIS_Backend_Data!AB419)</f>
        <v/>
      </c>
      <c r="K420" t="str">
        <f>IF(MIS_Backend_Data!AG419="", "", MIS_Backend_Data!AG419)</f>
        <v/>
      </c>
      <c r="L420" s="20" t="str">
        <f>IF(MIS_Backend_Data!AI419="", "", MIS_Backend_Data!AI419)</f>
        <v/>
      </c>
      <c r="M420" t="str">
        <f>IF(MIS_Backend_Data!AK419="", "", MIS_Backend_Data!AK419)</f>
        <v/>
      </c>
      <c r="N420" t="str">
        <f>IF(MIS_Backend_Data!AM419="", "", MIS_Backend_Data!AM419)</f>
        <v/>
      </c>
      <c r="O420" t="str">
        <f>IF(MIS_Backend_Data!AO419="", "", MIS_Backend_Data!AO419)</f>
        <v/>
      </c>
      <c r="P420" t="str">
        <f>IF(MIS_Backend_Data!AS419="", "", MIS_Backend_Data!AS419)</f>
        <v/>
      </c>
      <c r="Q420" t="str">
        <f>IF(MIS_Backend_Data!AX419="", "", MIS_Backend_Data!AX419)</f>
        <v/>
      </c>
      <c r="R420" t="str">
        <f>IF(MIS_Backend_Data!BB419="", "", MIS_Backend_Data!BB419)</f>
        <v/>
      </c>
      <c r="S420" t="str">
        <f>IF(MIS_Backend_Data!AW419="", "", MIS_Backend_Data!AW419)</f>
        <v/>
      </c>
      <c r="T420" s="42" t="str">
        <f>IF(MIS_Backend_Data!N419="Dispatch","Completed","NA")</f>
        <v>NA</v>
      </c>
      <c r="U420" t="str">
        <f t="shared" si="18"/>
        <v/>
      </c>
      <c r="V420" t="str">
        <f t="shared" si="19"/>
        <v/>
      </c>
      <c r="W420" s="20" t="str">
        <f t="shared" si="20"/>
        <v/>
      </c>
    </row>
    <row r="421" spans="2:23" ht="14.5">
      <c r="B421" s="205"/>
      <c r="C421" s="17"/>
      <c r="D421" s="17"/>
      <c r="E421" s="19"/>
      <c r="F421" s="19" t="str">
        <f>IF(MIS_Backend_Data!O420="", "", MIS_Backend_Data!O420)</f>
        <v/>
      </c>
      <c r="G421" t="str">
        <f>IF(MIS_Backend_Data!T420="", "", MIS_Backend_Data!T420)</f>
        <v/>
      </c>
      <c r="H421" t="str">
        <f>IF(MIS_Backend_Data!X420="", "", MIS_Backend_Data!X420)</f>
        <v/>
      </c>
      <c r="I421" t="str">
        <f>IF(MIS_Backend_Data!AC420="", "", MIS_Backend_Data!AC420)</f>
        <v/>
      </c>
      <c r="J421" t="str">
        <f>IF(MIS_Backend_Data!AB420="", "", MIS_Backend_Data!AB420)</f>
        <v/>
      </c>
      <c r="K421" t="str">
        <f>IF(MIS_Backend_Data!AG420="", "", MIS_Backend_Data!AG420)</f>
        <v/>
      </c>
      <c r="L421" s="20" t="str">
        <f>IF(MIS_Backend_Data!AI420="", "", MIS_Backend_Data!AI420)</f>
        <v/>
      </c>
      <c r="M421" t="str">
        <f>IF(MIS_Backend_Data!AK420="", "", MIS_Backend_Data!AK420)</f>
        <v/>
      </c>
      <c r="N421" t="str">
        <f>IF(MIS_Backend_Data!AM420="", "", MIS_Backend_Data!AM420)</f>
        <v/>
      </c>
      <c r="O421" t="str">
        <f>IF(MIS_Backend_Data!AO420="", "", MIS_Backend_Data!AO420)</f>
        <v/>
      </c>
      <c r="P421" t="str">
        <f>IF(MIS_Backend_Data!AS420="", "", MIS_Backend_Data!AS420)</f>
        <v/>
      </c>
      <c r="Q421" t="str">
        <f>IF(MIS_Backend_Data!AX420="", "", MIS_Backend_Data!AX420)</f>
        <v/>
      </c>
      <c r="R421" t="str">
        <f>IF(MIS_Backend_Data!BB420="", "", MIS_Backend_Data!BB420)</f>
        <v/>
      </c>
      <c r="S421" t="str">
        <f>IF(MIS_Backend_Data!AW420="", "", MIS_Backend_Data!AW420)</f>
        <v/>
      </c>
      <c r="T421" s="42" t="str">
        <f>IF(MIS_Backend_Data!N420="Dispatch","Completed","NA")</f>
        <v>NA</v>
      </c>
      <c r="U421" t="str">
        <f t="shared" si="18"/>
        <v/>
      </c>
      <c r="V421" t="str">
        <f t="shared" si="19"/>
        <v/>
      </c>
      <c r="W421" s="20" t="str">
        <f t="shared" si="20"/>
        <v/>
      </c>
    </row>
    <row r="422" spans="2:23" ht="14.5">
      <c r="B422" s="205"/>
      <c r="C422" s="17"/>
      <c r="D422" s="17"/>
      <c r="E422" s="19"/>
      <c r="F422" s="19" t="str">
        <f>IF(MIS_Backend_Data!O421="", "", MIS_Backend_Data!O421)</f>
        <v/>
      </c>
      <c r="G422" t="str">
        <f>IF(MIS_Backend_Data!T421="", "", MIS_Backend_Data!T421)</f>
        <v/>
      </c>
      <c r="H422" t="str">
        <f>IF(MIS_Backend_Data!X421="", "", MIS_Backend_Data!X421)</f>
        <v/>
      </c>
      <c r="I422" t="str">
        <f>IF(MIS_Backend_Data!AC421="", "", MIS_Backend_Data!AC421)</f>
        <v/>
      </c>
      <c r="J422" t="str">
        <f>IF(MIS_Backend_Data!AB421="", "", MIS_Backend_Data!AB421)</f>
        <v/>
      </c>
      <c r="K422" t="str">
        <f>IF(MIS_Backend_Data!AG421="", "", MIS_Backend_Data!AG421)</f>
        <v/>
      </c>
      <c r="L422" s="20" t="str">
        <f>IF(MIS_Backend_Data!AI421="", "", MIS_Backend_Data!AI421)</f>
        <v/>
      </c>
      <c r="M422" t="str">
        <f>IF(MIS_Backend_Data!AK421="", "", MIS_Backend_Data!AK421)</f>
        <v/>
      </c>
      <c r="N422" t="str">
        <f>IF(MIS_Backend_Data!AM421="", "", MIS_Backend_Data!AM421)</f>
        <v/>
      </c>
      <c r="O422" t="str">
        <f>IF(MIS_Backend_Data!AO421="", "", MIS_Backend_Data!AO421)</f>
        <v/>
      </c>
      <c r="P422" t="str">
        <f>IF(MIS_Backend_Data!AS421="", "", MIS_Backend_Data!AS421)</f>
        <v/>
      </c>
      <c r="Q422" t="str">
        <f>IF(MIS_Backend_Data!AX421="", "", MIS_Backend_Data!AX421)</f>
        <v/>
      </c>
      <c r="R422" t="str">
        <f>IF(MIS_Backend_Data!BB421="", "", MIS_Backend_Data!BB421)</f>
        <v/>
      </c>
      <c r="S422" t="str">
        <f>IF(MIS_Backend_Data!AW421="", "", MIS_Backend_Data!AW421)</f>
        <v/>
      </c>
      <c r="T422" s="42" t="str">
        <f>IF(MIS_Backend_Data!N421="Dispatch","Completed","NA")</f>
        <v>NA</v>
      </c>
      <c r="U422" t="str">
        <f t="shared" si="18"/>
        <v/>
      </c>
      <c r="V422" t="str">
        <f t="shared" si="19"/>
        <v/>
      </c>
      <c r="W422" s="20" t="str">
        <f t="shared" si="20"/>
        <v/>
      </c>
    </row>
    <row r="423" spans="2:23" ht="14.5">
      <c r="B423" s="205"/>
      <c r="C423" s="17"/>
      <c r="D423" s="17"/>
      <c r="E423" s="19"/>
      <c r="F423" s="19" t="str">
        <f>IF(MIS_Backend_Data!O422="", "", MIS_Backend_Data!O422)</f>
        <v/>
      </c>
      <c r="G423" t="str">
        <f>IF(MIS_Backend_Data!T422="", "", MIS_Backend_Data!T422)</f>
        <v/>
      </c>
      <c r="H423" t="str">
        <f>IF(MIS_Backend_Data!X422="", "", MIS_Backend_Data!X422)</f>
        <v/>
      </c>
      <c r="I423" t="str">
        <f>IF(MIS_Backend_Data!AC422="", "", MIS_Backend_Data!AC422)</f>
        <v/>
      </c>
      <c r="J423" t="str">
        <f>IF(MIS_Backend_Data!AB422="", "", MIS_Backend_Data!AB422)</f>
        <v/>
      </c>
      <c r="K423" t="str">
        <f>IF(MIS_Backend_Data!AG422="", "", MIS_Backend_Data!AG422)</f>
        <v/>
      </c>
      <c r="L423" s="20" t="str">
        <f>IF(MIS_Backend_Data!AI422="", "", MIS_Backend_Data!AI422)</f>
        <v/>
      </c>
      <c r="M423" t="str">
        <f>IF(MIS_Backend_Data!AK422="", "", MIS_Backend_Data!AK422)</f>
        <v/>
      </c>
      <c r="N423" t="str">
        <f>IF(MIS_Backend_Data!AM422="", "", MIS_Backend_Data!AM422)</f>
        <v/>
      </c>
      <c r="O423" t="str">
        <f>IF(MIS_Backend_Data!AO422="", "", MIS_Backend_Data!AO422)</f>
        <v/>
      </c>
      <c r="P423" t="str">
        <f>IF(MIS_Backend_Data!AS422="", "", MIS_Backend_Data!AS422)</f>
        <v/>
      </c>
      <c r="Q423" t="str">
        <f>IF(MIS_Backend_Data!AX422="", "", MIS_Backend_Data!AX422)</f>
        <v/>
      </c>
      <c r="R423" t="str">
        <f>IF(MIS_Backend_Data!BB422="", "", MIS_Backend_Data!BB422)</f>
        <v/>
      </c>
      <c r="S423" t="str">
        <f>IF(MIS_Backend_Data!AW422="", "", MIS_Backend_Data!AW422)</f>
        <v/>
      </c>
      <c r="T423" s="42" t="str">
        <f>IF(MIS_Backend_Data!N422="Dispatch","Completed","NA")</f>
        <v>NA</v>
      </c>
      <c r="U423" t="str">
        <f t="shared" si="18"/>
        <v/>
      </c>
      <c r="V423" t="str">
        <f t="shared" si="19"/>
        <v/>
      </c>
      <c r="W423" s="20" t="str">
        <f t="shared" si="20"/>
        <v/>
      </c>
    </row>
    <row r="424" spans="2:23" ht="14.5">
      <c r="B424" s="205"/>
      <c r="C424" s="17"/>
      <c r="D424" s="17"/>
      <c r="E424" s="19"/>
      <c r="F424" s="19" t="str">
        <f>IF(MIS_Backend_Data!O423="", "", MIS_Backend_Data!O423)</f>
        <v/>
      </c>
      <c r="G424" t="str">
        <f>IF(MIS_Backend_Data!T423="", "", MIS_Backend_Data!T423)</f>
        <v/>
      </c>
      <c r="H424" t="str">
        <f>IF(MIS_Backend_Data!X423="", "", MIS_Backend_Data!X423)</f>
        <v/>
      </c>
      <c r="I424" t="str">
        <f>IF(MIS_Backend_Data!AC423="", "", MIS_Backend_Data!AC423)</f>
        <v/>
      </c>
      <c r="J424" t="str">
        <f>IF(MIS_Backend_Data!AB423="", "", MIS_Backend_Data!AB423)</f>
        <v/>
      </c>
      <c r="K424" t="str">
        <f>IF(MIS_Backend_Data!AG423="", "", MIS_Backend_Data!AG423)</f>
        <v/>
      </c>
      <c r="L424" s="20" t="str">
        <f>IF(MIS_Backend_Data!AI423="", "", MIS_Backend_Data!AI423)</f>
        <v/>
      </c>
      <c r="M424" t="str">
        <f>IF(MIS_Backend_Data!AK423="", "", MIS_Backend_Data!AK423)</f>
        <v/>
      </c>
      <c r="N424" t="str">
        <f>IF(MIS_Backend_Data!AM423="", "", MIS_Backend_Data!AM423)</f>
        <v/>
      </c>
      <c r="O424" t="str">
        <f>IF(MIS_Backend_Data!AO423="", "", MIS_Backend_Data!AO423)</f>
        <v/>
      </c>
      <c r="P424" t="str">
        <f>IF(MIS_Backend_Data!AS423="", "", MIS_Backend_Data!AS423)</f>
        <v/>
      </c>
      <c r="Q424" t="str">
        <f>IF(MIS_Backend_Data!AX423="", "", MIS_Backend_Data!AX423)</f>
        <v/>
      </c>
      <c r="R424" t="str">
        <f>IF(MIS_Backend_Data!BB423="", "", MIS_Backend_Data!BB423)</f>
        <v/>
      </c>
      <c r="S424" t="str">
        <f>IF(MIS_Backend_Data!AW423="", "", MIS_Backend_Data!AW423)</f>
        <v/>
      </c>
      <c r="T424" s="42" t="str">
        <f>IF(MIS_Backend_Data!N423="Dispatch","Completed","NA")</f>
        <v>NA</v>
      </c>
      <c r="U424" t="str">
        <f t="shared" si="18"/>
        <v/>
      </c>
      <c r="V424" t="str">
        <f t="shared" si="19"/>
        <v/>
      </c>
      <c r="W424" s="20" t="str">
        <f t="shared" si="20"/>
        <v/>
      </c>
    </row>
    <row r="425" spans="2:23" ht="14.5">
      <c r="B425" s="205"/>
      <c r="C425" s="17"/>
      <c r="D425" s="17"/>
      <c r="E425" s="19"/>
      <c r="F425" s="19" t="str">
        <f>IF(MIS_Backend_Data!O424="", "", MIS_Backend_Data!O424)</f>
        <v/>
      </c>
      <c r="G425" t="str">
        <f>IF(MIS_Backend_Data!T424="", "", MIS_Backend_Data!T424)</f>
        <v/>
      </c>
      <c r="H425" t="str">
        <f>IF(MIS_Backend_Data!X424="", "", MIS_Backend_Data!X424)</f>
        <v/>
      </c>
      <c r="I425" t="str">
        <f>IF(MIS_Backend_Data!AC424="", "", MIS_Backend_Data!AC424)</f>
        <v/>
      </c>
      <c r="J425" t="str">
        <f>IF(MIS_Backend_Data!AB424="", "", MIS_Backend_Data!AB424)</f>
        <v/>
      </c>
      <c r="K425" t="str">
        <f>IF(MIS_Backend_Data!AG424="", "", MIS_Backend_Data!AG424)</f>
        <v/>
      </c>
      <c r="L425" s="20" t="str">
        <f>IF(MIS_Backend_Data!AI424="", "", MIS_Backend_Data!AI424)</f>
        <v/>
      </c>
      <c r="M425" t="str">
        <f>IF(MIS_Backend_Data!AK424="", "", MIS_Backend_Data!AK424)</f>
        <v/>
      </c>
      <c r="N425" t="str">
        <f>IF(MIS_Backend_Data!AM424="", "", MIS_Backend_Data!AM424)</f>
        <v/>
      </c>
      <c r="O425" t="str">
        <f>IF(MIS_Backend_Data!AO424="", "", MIS_Backend_Data!AO424)</f>
        <v/>
      </c>
      <c r="P425" t="str">
        <f>IF(MIS_Backend_Data!AS424="", "", MIS_Backend_Data!AS424)</f>
        <v/>
      </c>
      <c r="Q425" t="str">
        <f>IF(MIS_Backend_Data!AX424="", "", MIS_Backend_Data!AX424)</f>
        <v/>
      </c>
      <c r="R425" t="str">
        <f>IF(MIS_Backend_Data!BB424="", "", MIS_Backend_Data!BB424)</f>
        <v/>
      </c>
      <c r="S425" t="str">
        <f>IF(MIS_Backend_Data!AW424="", "", MIS_Backend_Data!AW424)</f>
        <v/>
      </c>
      <c r="T425" s="42" t="str">
        <f>IF(MIS_Backend_Data!N424="Dispatch","Completed","NA")</f>
        <v>NA</v>
      </c>
      <c r="U425" t="str">
        <f t="shared" si="18"/>
        <v/>
      </c>
      <c r="V425" t="str">
        <f t="shared" si="19"/>
        <v/>
      </c>
      <c r="W425" s="20" t="str">
        <f t="shared" si="20"/>
        <v/>
      </c>
    </row>
    <row r="426" spans="2:23" ht="14.5">
      <c r="B426" s="205"/>
      <c r="C426" s="17"/>
      <c r="D426" s="17"/>
      <c r="E426" s="19"/>
      <c r="F426" s="19" t="str">
        <f>IF(MIS_Backend_Data!O425="", "", MIS_Backend_Data!O425)</f>
        <v/>
      </c>
      <c r="G426" t="str">
        <f>IF(MIS_Backend_Data!T425="", "", MIS_Backend_Data!T425)</f>
        <v/>
      </c>
      <c r="H426" t="str">
        <f>IF(MIS_Backend_Data!X425="", "", MIS_Backend_Data!X425)</f>
        <v/>
      </c>
      <c r="I426" t="str">
        <f>IF(MIS_Backend_Data!AC425="", "", MIS_Backend_Data!AC425)</f>
        <v/>
      </c>
      <c r="J426" t="str">
        <f>IF(MIS_Backend_Data!AB425="", "", MIS_Backend_Data!AB425)</f>
        <v/>
      </c>
      <c r="K426" t="str">
        <f>IF(MIS_Backend_Data!AG425="", "", MIS_Backend_Data!AG425)</f>
        <v/>
      </c>
      <c r="L426" s="20" t="str">
        <f>IF(MIS_Backend_Data!AI425="", "", MIS_Backend_Data!AI425)</f>
        <v/>
      </c>
      <c r="M426" t="str">
        <f>IF(MIS_Backend_Data!AK425="", "", MIS_Backend_Data!AK425)</f>
        <v/>
      </c>
      <c r="N426" t="str">
        <f>IF(MIS_Backend_Data!AM425="", "", MIS_Backend_Data!AM425)</f>
        <v/>
      </c>
      <c r="O426" t="str">
        <f>IF(MIS_Backend_Data!AO425="", "", MIS_Backend_Data!AO425)</f>
        <v/>
      </c>
      <c r="P426" t="str">
        <f>IF(MIS_Backend_Data!AS425="", "", MIS_Backend_Data!AS425)</f>
        <v/>
      </c>
      <c r="Q426" t="str">
        <f>IF(MIS_Backend_Data!AX425="", "", MIS_Backend_Data!AX425)</f>
        <v/>
      </c>
      <c r="R426" t="str">
        <f>IF(MIS_Backend_Data!BB425="", "", MIS_Backend_Data!BB425)</f>
        <v/>
      </c>
      <c r="S426" t="str">
        <f>IF(MIS_Backend_Data!AW425="", "", MIS_Backend_Data!AW425)</f>
        <v/>
      </c>
      <c r="T426" s="42" t="str">
        <f>IF(MIS_Backend_Data!N425="Dispatch","Completed","NA")</f>
        <v>NA</v>
      </c>
      <c r="U426" t="str">
        <f t="shared" si="18"/>
        <v/>
      </c>
      <c r="V426" t="str">
        <f t="shared" si="19"/>
        <v/>
      </c>
      <c r="W426" s="20" t="str">
        <f t="shared" si="20"/>
        <v/>
      </c>
    </row>
    <row r="427" spans="2:23" ht="14.5">
      <c r="B427" s="205"/>
      <c r="C427" s="17"/>
      <c r="D427" s="17"/>
      <c r="E427" s="19"/>
      <c r="F427" s="19" t="str">
        <f>IF(MIS_Backend_Data!O426="", "", MIS_Backend_Data!O426)</f>
        <v/>
      </c>
      <c r="G427" t="str">
        <f>IF(MIS_Backend_Data!T426="", "", MIS_Backend_Data!T426)</f>
        <v/>
      </c>
      <c r="H427" t="str">
        <f>IF(MIS_Backend_Data!X426="", "", MIS_Backend_Data!X426)</f>
        <v/>
      </c>
      <c r="I427" t="str">
        <f>IF(MIS_Backend_Data!AC426="", "", MIS_Backend_Data!AC426)</f>
        <v/>
      </c>
      <c r="J427" t="str">
        <f>IF(MIS_Backend_Data!AB426="", "", MIS_Backend_Data!AB426)</f>
        <v/>
      </c>
      <c r="K427" t="str">
        <f>IF(MIS_Backend_Data!AG426="", "", MIS_Backend_Data!AG426)</f>
        <v/>
      </c>
      <c r="L427" s="20" t="str">
        <f>IF(MIS_Backend_Data!AI426="", "", MIS_Backend_Data!AI426)</f>
        <v/>
      </c>
      <c r="M427" t="str">
        <f>IF(MIS_Backend_Data!AK426="", "", MIS_Backend_Data!AK426)</f>
        <v/>
      </c>
      <c r="N427" t="str">
        <f>IF(MIS_Backend_Data!AM426="", "", MIS_Backend_Data!AM426)</f>
        <v/>
      </c>
      <c r="O427" t="str">
        <f>IF(MIS_Backend_Data!AO426="", "", MIS_Backend_Data!AO426)</f>
        <v/>
      </c>
      <c r="P427" t="str">
        <f>IF(MIS_Backend_Data!AS426="", "", MIS_Backend_Data!AS426)</f>
        <v/>
      </c>
      <c r="Q427" t="str">
        <f>IF(MIS_Backend_Data!AX426="", "", MIS_Backend_Data!AX426)</f>
        <v/>
      </c>
      <c r="R427" t="str">
        <f>IF(MIS_Backend_Data!BB426="", "", MIS_Backend_Data!BB426)</f>
        <v/>
      </c>
      <c r="S427" t="str">
        <f>IF(MIS_Backend_Data!AW426="", "", MIS_Backend_Data!AW426)</f>
        <v/>
      </c>
      <c r="T427" s="42" t="str">
        <f>IF(MIS_Backend_Data!N426="Dispatch","Completed","NA")</f>
        <v>NA</v>
      </c>
      <c r="U427" t="str">
        <f t="shared" si="18"/>
        <v/>
      </c>
      <c r="V427" t="str">
        <f t="shared" si="19"/>
        <v/>
      </c>
      <c r="W427" s="20" t="str">
        <f t="shared" si="20"/>
        <v/>
      </c>
    </row>
    <row r="428" spans="2:23" ht="14.5">
      <c r="B428" s="205"/>
      <c r="C428" s="17"/>
      <c r="D428" s="17"/>
      <c r="E428" s="19"/>
      <c r="F428" s="19" t="str">
        <f>IF(MIS_Backend_Data!O427="", "", MIS_Backend_Data!O427)</f>
        <v/>
      </c>
      <c r="G428" t="str">
        <f>IF(MIS_Backend_Data!T427="", "", MIS_Backend_Data!T427)</f>
        <v/>
      </c>
      <c r="H428" t="str">
        <f>IF(MIS_Backend_Data!X427="", "", MIS_Backend_Data!X427)</f>
        <v/>
      </c>
      <c r="I428" t="str">
        <f>IF(MIS_Backend_Data!AC427="", "", MIS_Backend_Data!AC427)</f>
        <v/>
      </c>
      <c r="J428" t="str">
        <f>IF(MIS_Backend_Data!AB427="", "", MIS_Backend_Data!AB427)</f>
        <v/>
      </c>
      <c r="K428" t="str">
        <f>IF(MIS_Backend_Data!AG427="", "", MIS_Backend_Data!AG427)</f>
        <v/>
      </c>
      <c r="L428" s="20" t="str">
        <f>IF(MIS_Backend_Data!AI427="", "", MIS_Backend_Data!AI427)</f>
        <v/>
      </c>
      <c r="M428" t="str">
        <f>IF(MIS_Backend_Data!AK427="", "", MIS_Backend_Data!AK427)</f>
        <v/>
      </c>
      <c r="N428" t="str">
        <f>IF(MIS_Backend_Data!AM427="", "", MIS_Backend_Data!AM427)</f>
        <v/>
      </c>
      <c r="O428" t="str">
        <f>IF(MIS_Backend_Data!AO427="", "", MIS_Backend_Data!AO427)</f>
        <v/>
      </c>
      <c r="P428" t="str">
        <f>IF(MIS_Backend_Data!AS427="", "", MIS_Backend_Data!AS427)</f>
        <v/>
      </c>
      <c r="Q428" t="str">
        <f>IF(MIS_Backend_Data!AX427="", "", MIS_Backend_Data!AX427)</f>
        <v/>
      </c>
      <c r="R428" t="str">
        <f>IF(MIS_Backend_Data!BB427="", "", MIS_Backend_Data!BB427)</f>
        <v/>
      </c>
      <c r="S428" t="str">
        <f>IF(MIS_Backend_Data!AW427="", "", MIS_Backend_Data!AW427)</f>
        <v/>
      </c>
      <c r="T428" s="42" t="str">
        <f>IF(MIS_Backend_Data!N427="Dispatch","Completed","NA")</f>
        <v>NA</v>
      </c>
      <c r="U428" t="str">
        <f t="shared" si="18"/>
        <v/>
      </c>
      <c r="V428" t="str">
        <f t="shared" si="19"/>
        <v/>
      </c>
      <c r="W428" s="20" t="str">
        <f t="shared" si="20"/>
        <v/>
      </c>
    </row>
    <row r="429" spans="2:23" ht="14.5">
      <c r="B429" s="205"/>
      <c r="C429" s="17"/>
      <c r="D429" s="17"/>
      <c r="E429" s="19"/>
      <c r="F429" s="19" t="str">
        <f>IF(MIS_Backend_Data!O428="", "", MIS_Backend_Data!O428)</f>
        <v/>
      </c>
      <c r="G429" t="str">
        <f>IF(MIS_Backend_Data!T428="", "", MIS_Backend_Data!T428)</f>
        <v/>
      </c>
      <c r="H429" t="str">
        <f>IF(MIS_Backend_Data!X428="", "", MIS_Backend_Data!X428)</f>
        <v/>
      </c>
      <c r="I429" t="str">
        <f>IF(MIS_Backend_Data!AC428="", "", MIS_Backend_Data!AC428)</f>
        <v/>
      </c>
      <c r="J429" t="str">
        <f>IF(MIS_Backend_Data!AB428="", "", MIS_Backend_Data!AB428)</f>
        <v/>
      </c>
      <c r="K429" t="str">
        <f>IF(MIS_Backend_Data!AG428="", "", MIS_Backend_Data!AG428)</f>
        <v/>
      </c>
      <c r="L429" s="20" t="str">
        <f>IF(MIS_Backend_Data!AI428="", "", MIS_Backend_Data!AI428)</f>
        <v/>
      </c>
      <c r="M429" t="str">
        <f>IF(MIS_Backend_Data!AK428="", "", MIS_Backend_Data!AK428)</f>
        <v/>
      </c>
      <c r="N429" t="str">
        <f>IF(MIS_Backend_Data!AM428="", "", MIS_Backend_Data!AM428)</f>
        <v/>
      </c>
      <c r="O429" t="str">
        <f>IF(MIS_Backend_Data!AO428="", "", MIS_Backend_Data!AO428)</f>
        <v/>
      </c>
      <c r="P429" t="str">
        <f>IF(MIS_Backend_Data!AS428="", "", MIS_Backend_Data!AS428)</f>
        <v/>
      </c>
      <c r="Q429" t="str">
        <f>IF(MIS_Backend_Data!AX428="", "", MIS_Backend_Data!AX428)</f>
        <v/>
      </c>
      <c r="R429" t="str">
        <f>IF(MIS_Backend_Data!BB428="", "", MIS_Backend_Data!BB428)</f>
        <v/>
      </c>
      <c r="S429" t="str">
        <f>IF(MIS_Backend_Data!AW428="", "", MIS_Backend_Data!AW428)</f>
        <v/>
      </c>
      <c r="T429" s="42" t="str">
        <f>IF(MIS_Backend_Data!N428="Dispatch","Completed","NA")</f>
        <v>NA</v>
      </c>
      <c r="U429" t="str">
        <f t="shared" si="18"/>
        <v/>
      </c>
      <c r="V429" t="str">
        <f t="shared" si="19"/>
        <v/>
      </c>
      <c r="W429" s="20" t="str">
        <f t="shared" si="20"/>
        <v/>
      </c>
    </row>
    <row r="430" spans="2:23" ht="14.5">
      <c r="B430" s="205"/>
      <c r="C430" s="17"/>
      <c r="D430" s="17"/>
      <c r="E430" s="19"/>
      <c r="F430" s="19" t="str">
        <f>IF(MIS_Backend_Data!O429="", "", MIS_Backend_Data!O429)</f>
        <v/>
      </c>
      <c r="G430" t="str">
        <f>IF(MIS_Backend_Data!T429="", "", MIS_Backend_Data!T429)</f>
        <v/>
      </c>
      <c r="H430" t="str">
        <f>IF(MIS_Backend_Data!X429="", "", MIS_Backend_Data!X429)</f>
        <v/>
      </c>
      <c r="I430" t="str">
        <f>IF(MIS_Backend_Data!AC429="", "", MIS_Backend_Data!AC429)</f>
        <v/>
      </c>
      <c r="J430" t="str">
        <f>IF(MIS_Backend_Data!AB429="", "", MIS_Backend_Data!AB429)</f>
        <v/>
      </c>
      <c r="K430" t="str">
        <f>IF(MIS_Backend_Data!AG429="", "", MIS_Backend_Data!AG429)</f>
        <v/>
      </c>
      <c r="L430" s="20" t="str">
        <f>IF(MIS_Backend_Data!AI429="", "", MIS_Backend_Data!AI429)</f>
        <v/>
      </c>
      <c r="M430" t="str">
        <f>IF(MIS_Backend_Data!AK429="", "", MIS_Backend_Data!AK429)</f>
        <v/>
      </c>
      <c r="N430" t="str">
        <f>IF(MIS_Backend_Data!AM429="", "", MIS_Backend_Data!AM429)</f>
        <v/>
      </c>
      <c r="O430" t="str">
        <f>IF(MIS_Backend_Data!AO429="", "", MIS_Backend_Data!AO429)</f>
        <v/>
      </c>
      <c r="P430" t="str">
        <f>IF(MIS_Backend_Data!AS429="", "", MIS_Backend_Data!AS429)</f>
        <v/>
      </c>
      <c r="Q430" t="str">
        <f>IF(MIS_Backend_Data!AX429="", "", MIS_Backend_Data!AX429)</f>
        <v/>
      </c>
      <c r="R430" t="str">
        <f>IF(MIS_Backend_Data!BB429="", "", MIS_Backend_Data!BB429)</f>
        <v/>
      </c>
      <c r="S430" t="str">
        <f>IF(MIS_Backend_Data!AW429="", "", MIS_Backend_Data!AW429)</f>
        <v/>
      </c>
      <c r="T430" s="42" t="str">
        <f>IF(MIS_Backend_Data!N429="Dispatch","Completed","NA")</f>
        <v>NA</v>
      </c>
      <c r="U430" t="str">
        <f t="shared" si="18"/>
        <v/>
      </c>
      <c r="V430" t="str">
        <f t="shared" si="19"/>
        <v/>
      </c>
      <c r="W430" s="20" t="str">
        <f t="shared" si="20"/>
        <v/>
      </c>
    </row>
    <row r="431" spans="2:23" ht="14.5">
      <c r="B431" s="205"/>
      <c r="C431" s="17"/>
      <c r="D431" s="17"/>
      <c r="E431" s="19"/>
      <c r="F431" s="19" t="str">
        <f>IF(MIS_Backend_Data!O430="", "", MIS_Backend_Data!O430)</f>
        <v/>
      </c>
      <c r="G431" t="str">
        <f>IF(MIS_Backend_Data!T430="", "", MIS_Backend_Data!T430)</f>
        <v/>
      </c>
      <c r="H431" t="str">
        <f>IF(MIS_Backend_Data!X430="", "", MIS_Backend_Data!X430)</f>
        <v/>
      </c>
      <c r="I431" t="str">
        <f>IF(MIS_Backend_Data!AC430="", "", MIS_Backend_Data!AC430)</f>
        <v/>
      </c>
      <c r="J431" t="str">
        <f>IF(MIS_Backend_Data!AB430="", "", MIS_Backend_Data!AB430)</f>
        <v/>
      </c>
      <c r="K431" t="str">
        <f>IF(MIS_Backend_Data!AG430="", "", MIS_Backend_Data!AG430)</f>
        <v/>
      </c>
      <c r="L431" s="20" t="str">
        <f>IF(MIS_Backend_Data!AI430="", "", MIS_Backend_Data!AI430)</f>
        <v/>
      </c>
      <c r="M431" t="str">
        <f>IF(MIS_Backend_Data!AK430="", "", MIS_Backend_Data!AK430)</f>
        <v/>
      </c>
      <c r="N431" t="str">
        <f>IF(MIS_Backend_Data!AM430="", "", MIS_Backend_Data!AM430)</f>
        <v/>
      </c>
      <c r="O431" t="str">
        <f>IF(MIS_Backend_Data!AO430="", "", MIS_Backend_Data!AO430)</f>
        <v/>
      </c>
      <c r="P431" t="str">
        <f>IF(MIS_Backend_Data!AS430="", "", MIS_Backend_Data!AS430)</f>
        <v/>
      </c>
      <c r="Q431" t="str">
        <f>IF(MIS_Backend_Data!AX430="", "", MIS_Backend_Data!AX430)</f>
        <v/>
      </c>
      <c r="R431" t="str">
        <f>IF(MIS_Backend_Data!BB430="", "", MIS_Backend_Data!BB430)</f>
        <v/>
      </c>
      <c r="S431" t="str">
        <f>IF(MIS_Backend_Data!AW430="", "", MIS_Backend_Data!AW430)</f>
        <v/>
      </c>
      <c r="T431" s="42" t="str">
        <f>IF(MIS_Backend_Data!N430="Dispatch","Completed","NA")</f>
        <v>NA</v>
      </c>
      <c r="U431" t="str">
        <f t="shared" si="18"/>
        <v/>
      </c>
      <c r="V431" t="str">
        <f t="shared" si="19"/>
        <v/>
      </c>
      <c r="W431" s="20" t="str">
        <f t="shared" si="20"/>
        <v/>
      </c>
    </row>
    <row r="432" spans="2:23" ht="14.5">
      <c r="B432" s="205"/>
      <c r="C432" s="17"/>
      <c r="D432" s="17"/>
      <c r="E432" s="19"/>
      <c r="F432" s="19" t="str">
        <f>IF(MIS_Backend_Data!O431="", "", MIS_Backend_Data!O431)</f>
        <v/>
      </c>
      <c r="G432" t="str">
        <f>IF(MIS_Backend_Data!T431="", "", MIS_Backend_Data!T431)</f>
        <v/>
      </c>
      <c r="H432" t="str">
        <f>IF(MIS_Backend_Data!X431="", "", MIS_Backend_Data!X431)</f>
        <v/>
      </c>
      <c r="I432" t="str">
        <f>IF(MIS_Backend_Data!AC431="", "", MIS_Backend_Data!AC431)</f>
        <v/>
      </c>
      <c r="J432" t="str">
        <f>IF(MIS_Backend_Data!AB431="", "", MIS_Backend_Data!AB431)</f>
        <v/>
      </c>
      <c r="K432" t="str">
        <f>IF(MIS_Backend_Data!AG431="", "", MIS_Backend_Data!AG431)</f>
        <v/>
      </c>
      <c r="L432" s="20" t="str">
        <f>IF(MIS_Backend_Data!AI431="", "", MIS_Backend_Data!AI431)</f>
        <v/>
      </c>
      <c r="M432" t="str">
        <f>IF(MIS_Backend_Data!AK431="", "", MIS_Backend_Data!AK431)</f>
        <v/>
      </c>
      <c r="N432" t="str">
        <f>IF(MIS_Backend_Data!AM431="", "", MIS_Backend_Data!AM431)</f>
        <v/>
      </c>
      <c r="O432" t="str">
        <f>IF(MIS_Backend_Data!AO431="", "", MIS_Backend_Data!AO431)</f>
        <v/>
      </c>
      <c r="P432" t="str">
        <f>IF(MIS_Backend_Data!AS431="", "", MIS_Backend_Data!AS431)</f>
        <v/>
      </c>
      <c r="Q432" t="str">
        <f>IF(MIS_Backend_Data!AX431="", "", MIS_Backend_Data!AX431)</f>
        <v/>
      </c>
      <c r="R432" t="str">
        <f>IF(MIS_Backend_Data!BB431="", "", MIS_Backend_Data!BB431)</f>
        <v/>
      </c>
      <c r="S432" t="str">
        <f>IF(MIS_Backend_Data!AW431="", "", MIS_Backend_Data!AW431)</f>
        <v/>
      </c>
      <c r="T432" s="42" t="str">
        <f>IF(MIS_Backend_Data!N431="Dispatch","Completed","NA")</f>
        <v>NA</v>
      </c>
      <c r="U432" t="str">
        <f t="shared" si="18"/>
        <v/>
      </c>
      <c r="V432" t="str">
        <f t="shared" si="19"/>
        <v/>
      </c>
      <c r="W432" s="20" t="str">
        <f t="shared" si="20"/>
        <v/>
      </c>
    </row>
    <row r="433" spans="2:23" ht="14.5">
      <c r="B433" s="205"/>
      <c r="C433" s="17"/>
      <c r="D433" s="17"/>
      <c r="E433" s="19"/>
      <c r="F433" s="19" t="str">
        <f>IF(MIS_Backend_Data!O432="", "", MIS_Backend_Data!O432)</f>
        <v/>
      </c>
      <c r="G433" t="str">
        <f>IF(MIS_Backend_Data!T432="", "", MIS_Backend_Data!T432)</f>
        <v/>
      </c>
      <c r="H433" t="str">
        <f>IF(MIS_Backend_Data!X432="", "", MIS_Backend_Data!X432)</f>
        <v/>
      </c>
      <c r="I433" t="str">
        <f>IF(MIS_Backend_Data!AC432="", "", MIS_Backend_Data!AC432)</f>
        <v/>
      </c>
      <c r="J433" t="str">
        <f>IF(MIS_Backend_Data!AB432="", "", MIS_Backend_Data!AB432)</f>
        <v/>
      </c>
      <c r="K433" t="str">
        <f>IF(MIS_Backend_Data!AG432="", "", MIS_Backend_Data!AG432)</f>
        <v/>
      </c>
      <c r="L433" s="20" t="str">
        <f>IF(MIS_Backend_Data!AI432="", "", MIS_Backend_Data!AI432)</f>
        <v/>
      </c>
      <c r="M433" t="str">
        <f>IF(MIS_Backend_Data!AK432="", "", MIS_Backend_Data!AK432)</f>
        <v/>
      </c>
      <c r="N433" t="str">
        <f>IF(MIS_Backend_Data!AM432="", "", MIS_Backend_Data!AM432)</f>
        <v/>
      </c>
      <c r="O433" t="str">
        <f>IF(MIS_Backend_Data!AO432="", "", MIS_Backend_Data!AO432)</f>
        <v/>
      </c>
      <c r="P433" t="str">
        <f>IF(MIS_Backend_Data!AS432="", "", MIS_Backend_Data!AS432)</f>
        <v/>
      </c>
      <c r="Q433" t="str">
        <f>IF(MIS_Backend_Data!AX432="", "", MIS_Backend_Data!AX432)</f>
        <v/>
      </c>
      <c r="R433" t="str">
        <f>IF(MIS_Backend_Data!BB432="", "", MIS_Backend_Data!BB432)</f>
        <v/>
      </c>
      <c r="S433" t="str">
        <f>IF(MIS_Backend_Data!AW432="", "", MIS_Backend_Data!AW432)</f>
        <v/>
      </c>
      <c r="T433" s="42" t="str">
        <f>IF(MIS_Backend_Data!N432="Dispatch","Completed","NA")</f>
        <v>NA</v>
      </c>
      <c r="U433" t="str">
        <f t="shared" si="18"/>
        <v/>
      </c>
      <c r="V433" t="str">
        <f t="shared" si="19"/>
        <v/>
      </c>
      <c r="W433" s="20" t="str">
        <f t="shared" si="20"/>
        <v/>
      </c>
    </row>
    <row r="434" spans="2:23" ht="14.5">
      <c r="B434" s="205"/>
      <c r="C434" s="17"/>
      <c r="D434" s="17"/>
      <c r="E434" s="19"/>
      <c r="F434" s="19" t="str">
        <f>IF(MIS_Backend_Data!O433="", "", MIS_Backend_Data!O433)</f>
        <v/>
      </c>
      <c r="G434" t="str">
        <f>IF(MIS_Backend_Data!T433="", "", MIS_Backend_Data!T433)</f>
        <v/>
      </c>
      <c r="H434" t="str">
        <f>IF(MIS_Backend_Data!X433="", "", MIS_Backend_Data!X433)</f>
        <v/>
      </c>
      <c r="I434" t="str">
        <f>IF(MIS_Backend_Data!AC433="", "", MIS_Backend_Data!AC433)</f>
        <v/>
      </c>
      <c r="J434" t="str">
        <f>IF(MIS_Backend_Data!AB433="", "", MIS_Backend_Data!AB433)</f>
        <v/>
      </c>
      <c r="K434" t="str">
        <f>IF(MIS_Backend_Data!AG433="", "", MIS_Backend_Data!AG433)</f>
        <v/>
      </c>
      <c r="L434" s="20" t="str">
        <f>IF(MIS_Backend_Data!AI433="", "", MIS_Backend_Data!AI433)</f>
        <v/>
      </c>
      <c r="M434" t="str">
        <f>IF(MIS_Backend_Data!AK433="", "", MIS_Backend_Data!AK433)</f>
        <v/>
      </c>
      <c r="N434" t="str">
        <f>IF(MIS_Backend_Data!AM433="", "", MIS_Backend_Data!AM433)</f>
        <v/>
      </c>
      <c r="O434" t="str">
        <f>IF(MIS_Backend_Data!AO433="", "", MIS_Backend_Data!AO433)</f>
        <v/>
      </c>
      <c r="P434" t="str">
        <f>IF(MIS_Backend_Data!AS433="", "", MIS_Backend_Data!AS433)</f>
        <v/>
      </c>
      <c r="Q434" t="str">
        <f>IF(MIS_Backend_Data!AX433="", "", MIS_Backend_Data!AX433)</f>
        <v/>
      </c>
      <c r="R434" t="str">
        <f>IF(MIS_Backend_Data!BB433="", "", MIS_Backend_Data!BB433)</f>
        <v/>
      </c>
      <c r="S434" t="str">
        <f>IF(MIS_Backend_Data!AW433="", "", MIS_Backend_Data!AW433)</f>
        <v/>
      </c>
      <c r="T434" s="42" t="str">
        <f>IF(MIS_Backend_Data!N433="Dispatch","Completed","NA")</f>
        <v>NA</v>
      </c>
      <c r="U434" t="str">
        <f t="shared" si="18"/>
        <v/>
      </c>
      <c r="V434" t="str">
        <f t="shared" si="19"/>
        <v/>
      </c>
      <c r="W434" s="20" t="str">
        <f t="shared" si="20"/>
        <v/>
      </c>
    </row>
    <row r="435" spans="2:23" ht="14.5">
      <c r="B435" s="205"/>
      <c r="C435" s="17"/>
      <c r="D435" s="17"/>
      <c r="E435" s="19"/>
      <c r="F435" s="19" t="str">
        <f>IF(MIS_Backend_Data!O434="", "", MIS_Backend_Data!O434)</f>
        <v/>
      </c>
      <c r="G435" t="str">
        <f>IF(MIS_Backend_Data!T434="", "", MIS_Backend_Data!T434)</f>
        <v/>
      </c>
      <c r="H435" t="str">
        <f>IF(MIS_Backend_Data!X434="", "", MIS_Backend_Data!X434)</f>
        <v/>
      </c>
      <c r="I435" t="str">
        <f>IF(MIS_Backend_Data!AC434="", "", MIS_Backend_Data!AC434)</f>
        <v/>
      </c>
      <c r="J435" t="str">
        <f>IF(MIS_Backend_Data!AB434="", "", MIS_Backend_Data!AB434)</f>
        <v/>
      </c>
      <c r="K435" t="str">
        <f>IF(MIS_Backend_Data!AG434="", "", MIS_Backend_Data!AG434)</f>
        <v/>
      </c>
      <c r="L435" s="20" t="str">
        <f>IF(MIS_Backend_Data!AI434="", "", MIS_Backend_Data!AI434)</f>
        <v/>
      </c>
      <c r="M435" t="str">
        <f>IF(MIS_Backend_Data!AK434="", "", MIS_Backend_Data!AK434)</f>
        <v/>
      </c>
      <c r="N435" t="str">
        <f>IF(MIS_Backend_Data!AM434="", "", MIS_Backend_Data!AM434)</f>
        <v/>
      </c>
      <c r="O435" t="str">
        <f>IF(MIS_Backend_Data!AO434="", "", MIS_Backend_Data!AO434)</f>
        <v/>
      </c>
      <c r="P435" t="str">
        <f>IF(MIS_Backend_Data!AS434="", "", MIS_Backend_Data!AS434)</f>
        <v/>
      </c>
      <c r="Q435" t="str">
        <f>IF(MIS_Backend_Data!AX434="", "", MIS_Backend_Data!AX434)</f>
        <v/>
      </c>
      <c r="R435" t="str">
        <f>IF(MIS_Backend_Data!BB434="", "", MIS_Backend_Data!BB434)</f>
        <v/>
      </c>
      <c r="S435" t="str">
        <f>IF(MIS_Backend_Data!AW434="", "", MIS_Backend_Data!AW434)</f>
        <v/>
      </c>
      <c r="T435" s="42" t="str">
        <f>IF(MIS_Backend_Data!N434="Dispatch","Completed","NA")</f>
        <v>NA</v>
      </c>
      <c r="U435" t="str">
        <f t="shared" si="18"/>
        <v/>
      </c>
      <c r="V435" t="str">
        <f t="shared" si="19"/>
        <v/>
      </c>
      <c r="W435" s="20" t="str">
        <f t="shared" si="20"/>
        <v/>
      </c>
    </row>
    <row r="436" spans="2:23" ht="14.5">
      <c r="B436" s="205"/>
      <c r="C436" s="17"/>
      <c r="D436" s="17"/>
      <c r="E436" s="19"/>
      <c r="F436" s="19" t="str">
        <f>IF(MIS_Backend_Data!O435="", "", MIS_Backend_Data!O435)</f>
        <v/>
      </c>
      <c r="G436" t="str">
        <f>IF(MIS_Backend_Data!T435="", "", MIS_Backend_Data!T435)</f>
        <v/>
      </c>
      <c r="H436" t="str">
        <f>IF(MIS_Backend_Data!X435="", "", MIS_Backend_Data!X435)</f>
        <v/>
      </c>
      <c r="I436" t="str">
        <f>IF(MIS_Backend_Data!AC435="", "", MIS_Backend_Data!AC435)</f>
        <v/>
      </c>
      <c r="J436" t="str">
        <f>IF(MIS_Backend_Data!AB435="", "", MIS_Backend_Data!AB435)</f>
        <v/>
      </c>
      <c r="K436" t="str">
        <f>IF(MIS_Backend_Data!AG435="", "", MIS_Backend_Data!AG435)</f>
        <v/>
      </c>
      <c r="L436" s="20" t="str">
        <f>IF(MIS_Backend_Data!AI435="", "", MIS_Backend_Data!AI435)</f>
        <v/>
      </c>
      <c r="M436" t="str">
        <f>IF(MIS_Backend_Data!AK435="", "", MIS_Backend_Data!AK435)</f>
        <v/>
      </c>
      <c r="N436" t="str">
        <f>IF(MIS_Backend_Data!AM435="", "", MIS_Backend_Data!AM435)</f>
        <v/>
      </c>
      <c r="O436" t="str">
        <f>IF(MIS_Backend_Data!AO435="", "", MIS_Backend_Data!AO435)</f>
        <v/>
      </c>
      <c r="P436" t="str">
        <f>IF(MIS_Backend_Data!AS435="", "", MIS_Backend_Data!AS435)</f>
        <v/>
      </c>
      <c r="Q436" t="str">
        <f>IF(MIS_Backend_Data!AX435="", "", MIS_Backend_Data!AX435)</f>
        <v/>
      </c>
      <c r="R436" t="str">
        <f>IF(MIS_Backend_Data!BB435="", "", MIS_Backend_Data!BB435)</f>
        <v/>
      </c>
      <c r="S436" t="str">
        <f>IF(MIS_Backend_Data!AW435="", "", MIS_Backend_Data!AW435)</f>
        <v/>
      </c>
      <c r="T436" s="42" t="str">
        <f>IF(MIS_Backend_Data!N435="Dispatch","Completed","NA")</f>
        <v>NA</v>
      </c>
      <c r="U436" t="str">
        <f t="shared" si="18"/>
        <v/>
      </c>
      <c r="V436" t="str">
        <f t="shared" si="19"/>
        <v/>
      </c>
      <c r="W436" s="20" t="str">
        <f t="shared" si="20"/>
        <v/>
      </c>
    </row>
    <row r="437" spans="2:23" ht="14.5">
      <c r="B437" s="205"/>
      <c r="C437" s="17"/>
      <c r="D437" s="17"/>
      <c r="E437" s="19"/>
      <c r="F437" s="19" t="str">
        <f>IF(MIS_Backend_Data!O436="", "", MIS_Backend_Data!O436)</f>
        <v/>
      </c>
      <c r="G437" t="str">
        <f>IF(MIS_Backend_Data!T436="", "", MIS_Backend_Data!T436)</f>
        <v/>
      </c>
      <c r="H437" t="str">
        <f>IF(MIS_Backend_Data!X436="", "", MIS_Backend_Data!X436)</f>
        <v/>
      </c>
      <c r="I437" t="str">
        <f>IF(MIS_Backend_Data!AC436="", "", MIS_Backend_Data!AC436)</f>
        <v/>
      </c>
      <c r="J437" t="str">
        <f>IF(MIS_Backend_Data!AB436="", "", MIS_Backend_Data!AB436)</f>
        <v/>
      </c>
      <c r="K437" t="str">
        <f>IF(MIS_Backend_Data!AG436="", "", MIS_Backend_Data!AG436)</f>
        <v/>
      </c>
      <c r="L437" s="20" t="str">
        <f>IF(MIS_Backend_Data!AI436="", "", MIS_Backend_Data!AI436)</f>
        <v/>
      </c>
      <c r="M437" t="str">
        <f>IF(MIS_Backend_Data!AK436="", "", MIS_Backend_Data!AK436)</f>
        <v/>
      </c>
      <c r="N437" t="str">
        <f>IF(MIS_Backend_Data!AM436="", "", MIS_Backend_Data!AM436)</f>
        <v/>
      </c>
      <c r="O437" t="str">
        <f>IF(MIS_Backend_Data!AO436="", "", MIS_Backend_Data!AO436)</f>
        <v/>
      </c>
      <c r="P437" t="str">
        <f>IF(MIS_Backend_Data!AS436="", "", MIS_Backend_Data!AS436)</f>
        <v/>
      </c>
      <c r="Q437" t="str">
        <f>IF(MIS_Backend_Data!AX436="", "", MIS_Backend_Data!AX436)</f>
        <v/>
      </c>
      <c r="R437" t="str">
        <f>IF(MIS_Backend_Data!BB436="", "", MIS_Backend_Data!BB436)</f>
        <v/>
      </c>
      <c r="S437" t="str">
        <f>IF(MIS_Backend_Data!AW436="", "", MIS_Backend_Data!AW436)</f>
        <v/>
      </c>
      <c r="T437" s="42" t="str">
        <f>IF(MIS_Backend_Data!N436="Dispatch","Completed","NA")</f>
        <v>NA</v>
      </c>
      <c r="U437" t="str">
        <f t="shared" si="18"/>
        <v/>
      </c>
      <c r="V437" t="str">
        <f t="shared" si="19"/>
        <v/>
      </c>
      <c r="W437" s="20" t="str">
        <f t="shared" si="20"/>
        <v/>
      </c>
    </row>
    <row r="438" spans="2:23" ht="14.5">
      <c r="B438" s="205"/>
      <c r="C438" s="17"/>
      <c r="D438" s="17"/>
      <c r="E438" s="19"/>
      <c r="F438" s="19" t="str">
        <f>IF(MIS_Backend_Data!O437="", "", MIS_Backend_Data!O437)</f>
        <v/>
      </c>
      <c r="G438" t="str">
        <f>IF(MIS_Backend_Data!T437="", "", MIS_Backend_Data!T437)</f>
        <v/>
      </c>
      <c r="H438" t="str">
        <f>IF(MIS_Backend_Data!X437="", "", MIS_Backend_Data!X437)</f>
        <v/>
      </c>
      <c r="I438" t="str">
        <f>IF(MIS_Backend_Data!AC437="", "", MIS_Backend_Data!AC437)</f>
        <v/>
      </c>
      <c r="J438" t="str">
        <f>IF(MIS_Backend_Data!AB437="", "", MIS_Backend_Data!AB437)</f>
        <v/>
      </c>
      <c r="K438" t="str">
        <f>IF(MIS_Backend_Data!AG437="", "", MIS_Backend_Data!AG437)</f>
        <v/>
      </c>
      <c r="L438" s="20" t="str">
        <f>IF(MIS_Backend_Data!AI437="", "", MIS_Backend_Data!AI437)</f>
        <v/>
      </c>
      <c r="M438" t="str">
        <f>IF(MIS_Backend_Data!AK437="", "", MIS_Backend_Data!AK437)</f>
        <v/>
      </c>
      <c r="N438" t="str">
        <f>IF(MIS_Backend_Data!AM437="", "", MIS_Backend_Data!AM437)</f>
        <v/>
      </c>
      <c r="O438" t="str">
        <f>IF(MIS_Backend_Data!AO437="", "", MIS_Backend_Data!AO437)</f>
        <v/>
      </c>
      <c r="P438" t="str">
        <f>IF(MIS_Backend_Data!AS437="", "", MIS_Backend_Data!AS437)</f>
        <v/>
      </c>
      <c r="Q438" t="str">
        <f>IF(MIS_Backend_Data!AX437="", "", MIS_Backend_Data!AX437)</f>
        <v/>
      </c>
      <c r="R438" t="str">
        <f>IF(MIS_Backend_Data!BB437="", "", MIS_Backend_Data!BB437)</f>
        <v/>
      </c>
      <c r="S438" t="str">
        <f>IF(MIS_Backend_Data!AW437="", "", MIS_Backend_Data!AW437)</f>
        <v/>
      </c>
      <c r="T438" s="42" t="str">
        <f>IF(MIS_Backend_Data!N437="Dispatch","Completed","NA")</f>
        <v>NA</v>
      </c>
      <c r="U438" t="str">
        <f t="shared" si="18"/>
        <v/>
      </c>
      <c r="V438" t="str">
        <f t="shared" si="19"/>
        <v/>
      </c>
      <c r="W438" s="20" t="str">
        <f t="shared" si="20"/>
        <v/>
      </c>
    </row>
    <row r="439" spans="2:23" ht="14.5">
      <c r="B439" s="205"/>
      <c r="C439" s="17"/>
      <c r="D439" s="17"/>
      <c r="E439" s="19"/>
      <c r="F439" s="19" t="str">
        <f>IF(MIS_Backend_Data!O438="", "", MIS_Backend_Data!O438)</f>
        <v/>
      </c>
      <c r="G439" t="str">
        <f>IF(MIS_Backend_Data!T438="", "", MIS_Backend_Data!T438)</f>
        <v/>
      </c>
      <c r="H439" t="str">
        <f>IF(MIS_Backend_Data!X438="", "", MIS_Backend_Data!X438)</f>
        <v/>
      </c>
      <c r="I439" t="str">
        <f>IF(MIS_Backend_Data!AC438="", "", MIS_Backend_Data!AC438)</f>
        <v/>
      </c>
      <c r="J439" t="str">
        <f>IF(MIS_Backend_Data!AB438="", "", MIS_Backend_Data!AB438)</f>
        <v/>
      </c>
      <c r="K439" t="str">
        <f>IF(MIS_Backend_Data!AG438="", "", MIS_Backend_Data!AG438)</f>
        <v/>
      </c>
      <c r="L439" s="20" t="str">
        <f>IF(MIS_Backend_Data!AI438="", "", MIS_Backend_Data!AI438)</f>
        <v/>
      </c>
      <c r="M439" t="str">
        <f>IF(MIS_Backend_Data!AK438="", "", MIS_Backend_Data!AK438)</f>
        <v/>
      </c>
      <c r="N439" t="str">
        <f>IF(MIS_Backend_Data!AM438="", "", MIS_Backend_Data!AM438)</f>
        <v/>
      </c>
      <c r="O439" t="str">
        <f>IF(MIS_Backend_Data!AO438="", "", MIS_Backend_Data!AO438)</f>
        <v/>
      </c>
      <c r="P439" t="str">
        <f>IF(MIS_Backend_Data!AS438="", "", MIS_Backend_Data!AS438)</f>
        <v/>
      </c>
      <c r="Q439" t="str">
        <f>IF(MIS_Backend_Data!AX438="", "", MIS_Backend_Data!AX438)</f>
        <v/>
      </c>
      <c r="R439" t="str">
        <f>IF(MIS_Backend_Data!BB438="", "", MIS_Backend_Data!BB438)</f>
        <v/>
      </c>
      <c r="S439" t="str">
        <f>IF(MIS_Backend_Data!AW438="", "", MIS_Backend_Data!AW438)</f>
        <v/>
      </c>
      <c r="T439" s="42" t="str">
        <f>IF(MIS_Backend_Data!N438="Dispatch","Completed","NA")</f>
        <v>NA</v>
      </c>
      <c r="U439" t="str">
        <f t="shared" si="18"/>
        <v/>
      </c>
      <c r="V439" t="str">
        <f t="shared" si="19"/>
        <v/>
      </c>
      <c r="W439" s="20" t="str">
        <f t="shared" si="20"/>
        <v/>
      </c>
    </row>
    <row r="440" spans="2:23" ht="14.5">
      <c r="B440" s="205"/>
      <c r="C440" s="17"/>
      <c r="D440" s="17"/>
      <c r="E440" s="19"/>
      <c r="F440" s="19" t="str">
        <f>IF(MIS_Backend_Data!O439="", "", MIS_Backend_Data!O439)</f>
        <v/>
      </c>
      <c r="G440" t="str">
        <f>IF(MIS_Backend_Data!T439="", "", MIS_Backend_Data!T439)</f>
        <v/>
      </c>
      <c r="H440" t="str">
        <f>IF(MIS_Backend_Data!X439="", "", MIS_Backend_Data!X439)</f>
        <v/>
      </c>
      <c r="I440" t="str">
        <f>IF(MIS_Backend_Data!AC439="", "", MIS_Backend_Data!AC439)</f>
        <v/>
      </c>
      <c r="J440" t="str">
        <f>IF(MIS_Backend_Data!AB439="", "", MIS_Backend_Data!AB439)</f>
        <v/>
      </c>
      <c r="K440" t="str">
        <f>IF(MIS_Backend_Data!AG439="", "", MIS_Backend_Data!AG439)</f>
        <v/>
      </c>
      <c r="L440" s="20" t="str">
        <f>IF(MIS_Backend_Data!AI439="", "", MIS_Backend_Data!AI439)</f>
        <v/>
      </c>
      <c r="M440" t="str">
        <f>IF(MIS_Backend_Data!AK439="", "", MIS_Backend_Data!AK439)</f>
        <v/>
      </c>
      <c r="N440" t="str">
        <f>IF(MIS_Backend_Data!AM439="", "", MIS_Backend_Data!AM439)</f>
        <v/>
      </c>
      <c r="O440" t="str">
        <f>IF(MIS_Backend_Data!AO439="", "", MIS_Backend_Data!AO439)</f>
        <v/>
      </c>
      <c r="P440" t="str">
        <f>IF(MIS_Backend_Data!AS439="", "", MIS_Backend_Data!AS439)</f>
        <v/>
      </c>
      <c r="Q440" t="str">
        <f>IF(MIS_Backend_Data!AX439="", "", MIS_Backend_Data!AX439)</f>
        <v/>
      </c>
      <c r="R440" t="str">
        <f>IF(MIS_Backend_Data!BB439="", "", MIS_Backend_Data!BB439)</f>
        <v/>
      </c>
      <c r="S440" t="str">
        <f>IF(MIS_Backend_Data!AW439="", "", MIS_Backend_Data!AW439)</f>
        <v/>
      </c>
      <c r="T440" s="42" t="str">
        <f>IF(MIS_Backend_Data!N439="Dispatch","Completed","NA")</f>
        <v>NA</v>
      </c>
      <c r="U440" t="str">
        <f t="shared" si="18"/>
        <v/>
      </c>
      <c r="V440" t="str">
        <f t="shared" si="19"/>
        <v/>
      </c>
      <c r="W440" s="20" t="str">
        <f t="shared" si="20"/>
        <v/>
      </c>
    </row>
    <row r="441" spans="2:23" ht="14.5">
      <c r="B441" s="205"/>
      <c r="C441" s="17"/>
      <c r="D441" s="17"/>
      <c r="E441" s="19"/>
      <c r="F441" s="19" t="str">
        <f>IF(MIS_Backend_Data!O440="", "", MIS_Backend_Data!O440)</f>
        <v/>
      </c>
      <c r="G441" t="str">
        <f>IF(MIS_Backend_Data!T440="", "", MIS_Backend_Data!T440)</f>
        <v/>
      </c>
      <c r="H441" t="str">
        <f>IF(MIS_Backend_Data!X440="", "", MIS_Backend_Data!X440)</f>
        <v/>
      </c>
      <c r="I441" t="str">
        <f>IF(MIS_Backend_Data!AC440="", "", MIS_Backend_Data!AC440)</f>
        <v/>
      </c>
      <c r="J441" t="str">
        <f>IF(MIS_Backend_Data!AB440="", "", MIS_Backend_Data!AB440)</f>
        <v/>
      </c>
      <c r="K441" t="str">
        <f>IF(MIS_Backend_Data!AG440="", "", MIS_Backend_Data!AG440)</f>
        <v/>
      </c>
      <c r="L441" s="20" t="str">
        <f>IF(MIS_Backend_Data!AI440="", "", MIS_Backend_Data!AI440)</f>
        <v/>
      </c>
      <c r="M441" t="str">
        <f>IF(MIS_Backend_Data!AK440="", "", MIS_Backend_Data!AK440)</f>
        <v/>
      </c>
      <c r="N441" t="str">
        <f>IF(MIS_Backend_Data!AM440="", "", MIS_Backend_Data!AM440)</f>
        <v/>
      </c>
      <c r="O441" t="str">
        <f>IF(MIS_Backend_Data!AO440="", "", MIS_Backend_Data!AO440)</f>
        <v/>
      </c>
      <c r="P441" t="str">
        <f>IF(MIS_Backend_Data!AS440="", "", MIS_Backend_Data!AS440)</f>
        <v/>
      </c>
      <c r="Q441" t="str">
        <f>IF(MIS_Backend_Data!AX440="", "", MIS_Backend_Data!AX440)</f>
        <v/>
      </c>
      <c r="R441" t="str">
        <f>IF(MIS_Backend_Data!BB440="", "", MIS_Backend_Data!BB440)</f>
        <v/>
      </c>
      <c r="S441" t="str">
        <f>IF(MIS_Backend_Data!AW440="", "", MIS_Backend_Data!AW440)</f>
        <v/>
      </c>
      <c r="T441" s="42" t="str">
        <f>IF(MIS_Backend_Data!N440="Dispatch","Completed","NA")</f>
        <v>NA</v>
      </c>
      <c r="U441" t="str">
        <f t="shared" si="18"/>
        <v/>
      </c>
      <c r="V441" t="str">
        <f t="shared" si="19"/>
        <v/>
      </c>
      <c r="W441" s="20" t="str">
        <f t="shared" si="20"/>
        <v/>
      </c>
    </row>
    <row r="442" spans="2:23" ht="14.5">
      <c r="B442" s="205"/>
      <c r="C442" s="17"/>
      <c r="D442" s="17"/>
      <c r="E442" s="19"/>
      <c r="F442" s="19" t="str">
        <f>IF(MIS_Backend_Data!O441="", "", MIS_Backend_Data!O441)</f>
        <v/>
      </c>
      <c r="G442" t="str">
        <f>IF(MIS_Backend_Data!T441="", "", MIS_Backend_Data!T441)</f>
        <v/>
      </c>
      <c r="H442" t="str">
        <f>IF(MIS_Backend_Data!X441="", "", MIS_Backend_Data!X441)</f>
        <v/>
      </c>
      <c r="I442" t="str">
        <f>IF(MIS_Backend_Data!AC441="", "", MIS_Backend_Data!AC441)</f>
        <v/>
      </c>
      <c r="J442" t="str">
        <f>IF(MIS_Backend_Data!AB441="", "", MIS_Backend_Data!AB441)</f>
        <v/>
      </c>
      <c r="K442" t="str">
        <f>IF(MIS_Backend_Data!AG441="", "", MIS_Backend_Data!AG441)</f>
        <v/>
      </c>
      <c r="L442" s="20" t="str">
        <f>IF(MIS_Backend_Data!AI441="", "", MIS_Backend_Data!AI441)</f>
        <v/>
      </c>
      <c r="M442" t="str">
        <f>IF(MIS_Backend_Data!AK441="", "", MIS_Backend_Data!AK441)</f>
        <v/>
      </c>
      <c r="N442" t="str">
        <f>IF(MIS_Backend_Data!AM441="", "", MIS_Backend_Data!AM441)</f>
        <v/>
      </c>
      <c r="O442" t="str">
        <f>IF(MIS_Backend_Data!AO441="", "", MIS_Backend_Data!AO441)</f>
        <v/>
      </c>
      <c r="P442" t="str">
        <f>IF(MIS_Backend_Data!AS441="", "", MIS_Backend_Data!AS441)</f>
        <v/>
      </c>
      <c r="Q442" t="str">
        <f>IF(MIS_Backend_Data!AX441="", "", MIS_Backend_Data!AX441)</f>
        <v/>
      </c>
      <c r="R442" t="str">
        <f>IF(MIS_Backend_Data!BB441="", "", MIS_Backend_Data!BB441)</f>
        <v/>
      </c>
      <c r="S442" t="str">
        <f>IF(MIS_Backend_Data!AW441="", "", MIS_Backend_Data!AW441)</f>
        <v/>
      </c>
      <c r="T442" s="42" t="str">
        <f>IF(MIS_Backend_Data!N441="Dispatch","Completed","NA")</f>
        <v>NA</v>
      </c>
      <c r="U442" t="str">
        <f t="shared" si="18"/>
        <v/>
      </c>
      <c r="V442" t="str">
        <f t="shared" si="19"/>
        <v/>
      </c>
      <c r="W442" s="20" t="str">
        <f t="shared" si="20"/>
        <v/>
      </c>
    </row>
    <row r="443" spans="2:23" ht="14.5">
      <c r="B443" s="205"/>
      <c r="C443" s="17"/>
      <c r="D443" s="17"/>
      <c r="E443" s="19"/>
      <c r="F443" s="19" t="str">
        <f>IF(MIS_Backend_Data!O442="", "", MIS_Backend_Data!O442)</f>
        <v/>
      </c>
      <c r="G443" t="str">
        <f>IF(MIS_Backend_Data!T442="", "", MIS_Backend_Data!T442)</f>
        <v/>
      </c>
      <c r="H443" t="str">
        <f>IF(MIS_Backend_Data!X442="", "", MIS_Backend_Data!X442)</f>
        <v/>
      </c>
      <c r="I443" t="str">
        <f>IF(MIS_Backend_Data!AC442="", "", MIS_Backend_Data!AC442)</f>
        <v/>
      </c>
      <c r="J443" t="str">
        <f>IF(MIS_Backend_Data!AB442="", "", MIS_Backend_Data!AB442)</f>
        <v/>
      </c>
      <c r="K443" t="str">
        <f>IF(MIS_Backend_Data!AG442="", "", MIS_Backend_Data!AG442)</f>
        <v/>
      </c>
      <c r="L443" s="20" t="str">
        <f>IF(MIS_Backend_Data!AI442="", "", MIS_Backend_Data!AI442)</f>
        <v/>
      </c>
      <c r="M443" t="str">
        <f>IF(MIS_Backend_Data!AK442="", "", MIS_Backend_Data!AK442)</f>
        <v/>
      </c>
      <c r="N443" t="str">
        <f>IF(MIS_Backend_Data!AM442="", "", MIS_Backend_Data!AM442)</f>
        <v/>
      </c>
      <c r="O443" t="str">
        <f>IF(MIS_Backend_Data!AO442="", "", MIS_Backend_Data!AO442)</f>
        <v/>
      </c>
      <c r="P443" t="str">
        <f>IF(MIS_Backend_Data!AS442="", "", MIS_Backend_Data!AS442)</f>
        <v/>
      </c>
      <c r="Q443" t="str">
        <f>IF(MIS_Backend_Data!AX442="", "", MIS_Backend_Data!AX442)</f>
        <v/>
      </c>
      <c r="R443" t="str">
        <f>IF(MIS_Backend_Data!BB442="", "", MIS_Backend_Data!BB442)</f>
        <v/>
      </c>
      <c r="S443" t="str">
        <f>IF(MIS_Backend_Data!AW442="", "", MIS_Backend_Data!AW442)</f>
        <v/>
      </c>
      <c r="T443" s="42" t="str">
        <f>IF(MIS_Backend_Data!N442="Dispatch","Completed","NA")</f>
        <v>NA</v>
      </c>
      <c r="U443" t="str">
        <f t="shared" si="18"/>
        <v/>
      </c>
      <c r="V443" t="str">
        <f t="shared" si="19"/>
        <v/>
      </c>
      <c r="W443" s="20" t="str">
        <f t="shared" si="20"/>
        <v/>
      </c>
    </row>
    <row r="444" spans="2:23" ht="14.5">
      <c r="B444" s="205"/>
      <c r="C444" s="17"/>
      <c r="D444" s="17"/>
      <c r="E444" s="19"/>
      <c r="F444" s="19" t="str">
        <f>IF(MIS_Backend_Data!O443="", "", MIS_Backend_Data!O443)</f>
        <v/>
      </c>
      <c r="G444" t="str">
        <f>IF(MIS_Backend_Data!T443="", "", MIS_Backend_Data!T443)</f>
        <v/>
      </c>
      <c r="H444" t="str">
        <f>IF(MIS_Backend_Data!X443="", "", MIS_Backend_Data!X443)</f>
        <v/>
      </c>
      <c r="I444" t="str">
        <f>IF(MIS_Backend_Data!AC443="", "", MIS_Backend_Data!AC443)</f>
        <v/>
      </c>
      <c r="J444" t="str">
        <f>IF(MIS_Backend_Data!AB443="", "", MIS_Backend_Data!AB443)</f>
        <v/>
      </c>
      <c r="K444" t="str">
        <f>IF(MIS_Backend_Data!AG443="", "", MIS_Backend_Data!AG443)</f>
        <v/>
      </c>
      <c r="L444" s="20" t="str">
        <f>IF(MIS_Backend_Data!AI443="", "", MIS_Backend_Data!AI443)</f>
        <v/>
      </c>
      <c r="M444" t="str">
        <f>IF(MIS_Backend_Data!AK443="", "", MIS_Backend_Data!AK443)</f>
        <v/>
      </c>
      <c r="N444" t="str">
        <f>IF(MIS_Backend_Data!AM443="", "", MIS_Backend_Data!AM443)</f>
        <v/>
      </c>
      <c r="O444" t="str">
        <f>IF(MIS_Backend_Data!AO443="", "", MIS_Backend_Data!AO443)</f>
        <v/>
      </c>
      <c r="P444" t="str">
        <f>IF(MIS_Backend_Data!AS443="", "", MIS_Backend_Data!AS443)</f>
        <v/>
      </c>
      <c r="Q444" t="str">
        <f>IF(MIS_Backend_Data!AX443="", "", MIS_Backend_Data!AX443)</f>
        <v/>
      </c>
      <c r="R444" t="str">
        <f>IF(MIS_Backend_Data!BB443="", "", MIS_Backend_Data!BB443)</f>
        <v/>
      </c>
      <c r="S444" t="str">
        <f>IF(MIS_Backend_Data!AW443="", "", MIS_Backend_Data!AW443)</f>
        <v/>
      </c>
      <c r="T444" s="42" t="str">
        <f>IF(MIS_Backend_Data!N443="Dispatch","Completed","NA")</f>
        <v>NA</v>
      </c>
      <c r="U444" t="str">
        <f t="shared" si="18"/>
        <v/>
      </c>
      <c r="V444" t="str">
        <f t="shared" si="19"/>
        <v/>
      </c>
      <c r="W444" s="20" t="str">
        <f t="shared" si="20"/>
        <v/>
      </c>
    </row>
    <row r="445" spans="2:23" ht="14.5">
      <c r="B445" s="205"/>
      <c r="C445" s="17"/>
      <c r="D445" s="17"/>
      <c r="E445" s="19"/>
      <c r="F445" s="19" t="str">
        <f>IF(MIS_Backend_Data!O444="", "", MIS_Backend_Data!O444)</f>
        <v/>
      </c>
      <c r="G445" t="str">
        <f>IF(MIS_Backend_Data!T444="", "", MIS_Backend_Data!T444)</f>
        <v/>
      </c>
      <c r="H445" t="str">
        <f>IF(MIS_Backend_Data!X444="", "", MIS_Backend_Data!X444)</f>
        <v/>
      </c>
      <c r="I445" t="str">
        <f>IF(MIS_Backend_Data!AC444="", "", MIS_Backend_Data!AC444)</f>
        <v/>
      </c>
      <c r="J445" t="str">
        <f>IF(MIS_Backend_Data!AB444="", "", MIS_Backend_Data!AB444)</f>
        <v/>
      </c>
      <c r="K445" t="str">
        <f>IF(MIS_Backend_Data!AG444="", "", MIS_Backend_Data!AG444)</f>
        <v/>
      </c>
      <c r="L445" s="20" t="str">
        <f>IF(MIS_Backend_Data!AI444="", "", MIS_Backend_Data!AI444)</f>
        <v/>
      </c>
      <c r="M445" t="str">
        <f>IF(MIS_Backend_Data!AK444="", "", MIS_Backend_Data!AK444)</f>
        <v/>
      </c>
      <c r="N445" t="str">
        <f>IF(MIS_Backend_Data!AM444="", "", MIS_Backend_Data!AM444)</f>
        <v/>
      </c>
      <c r="O445" t="str">
        <f>IF(MIS_Backend_Data!AO444="", "", MIS_Backend_Data!AO444)</f>
        <v/>
      </c>
      <c r="P445" t="str">
        <f>IF(MIS_Backend_Data!AS444="", "", MIS_Backend_Data!AS444)</f>
        <v/>
      </c>
      <c r="Q445" t="str">
        <f>IF(MIS_Backend_Data!AX444="", "", MIS_Backend_Data!AX444)</f>
        <v/>
      </c>
      <c r="R445" t="str">
        <f>IF(MIS_Backend_Data!BB444="", "", MIS_Backend_Data!BB444)</f>
        <v/>
      </c>
      <c r="S445" t="str">
        <f>IF(MIS_Backend_Data!AW444="", "", MIS_Backend_Data!AW444)</f>
        <v/>
      </c>
      <c r="T445" s="42" t="str">
        <f>IF(MIS_Backend_Data!N444="Dispatch","Completed","NA")</f>
        <v>NA</v>
      </c>
      <c r="U445" t="str">
        <f t="shared" si="18"/>
        <v/>
      </c>
      <c r="V445" t="str">
        <f t="shared" si="19"/>
        <v/>
      </c>
      <c r="W445" s="20" t="str">
        <f t="shared" si="20"/>
        <v/>
      </c>
    </row>
    <row r="446" spans="2:23" ht="14.5">
      <c r="B446" s="205"/>
      <c r="C446" s="17"/>
      <c r="D446" s="17"/>
      <c r="E446" s="19"/>
      <c r="F446" s="19" t="str">
        <f>IF(MIS_Backend_Data!O445="", "", MIS_Backend_Data!O445)</f>
        <v/>
      </c>
      <c r="G446" t="str">
        <f>IF(MIS_Backend_Data!T445="", "", MIS_Backend_Data!T445)</f>
        <v/>
      </c>
      <c r="H446" t="str">
        <f>IF(MIS_Backend_Data!X445="", "", MIS_Backend_Data!X445)</f>
        <v/>
      </c>
      <c r="I446" t="str">
        <f>IF(MIS_Backend_Data!AC445="", "", MIS_Backend_Data!AC445)</f>
        <v/>
      </c>
      <c r="J446" t="str">
        <f>IF(MIS_Backend_Data!AB445="", "", MIS_Backend_Data!AB445)</f>
        <v/>
      </c>
      <c r="K446" t="str">
        <f>IF(MIS_Backend_Data!AG445="", "", MIS_Backend_Data!AG445)</f>
        <v/>
      </c>
      <c r="L446" s="20" t="str">
        <f>IF(MIS_Backend_Data!AI445="", "", MIS_Backend_Data!AI445)</f>
        <v/>
      </c>
      <c r="M446" t="str">
        <f>IF(MIS_Backend_Data!AK445="", "", MIS_Backend_Data!AK445)</f>
        <v/>
      </c>
      <c r="N446" t="str">
        <f>IF(MIS_Backend_Data!AM445="", "", MIS_Backend_Data!AM445)</f>
        <v/>
      </c>
      <c r="O446" t="str">
        <f>IF(MIS_Backend_Data!AO445="", "", MIS_Backend_Data!AO445)</f>
        <v/>
      </c>
      <c r="P446" t="str">
        <f>IF(MIS_Backend_Data!AS445="", "", MIS_Backend_Data!AS445)</f>
        <v/>
      </c>
      <c r="Q446" t="str">
        <f>IF(MIS_Backend_Data!AX445="", "", MIS_Backend_Data!AX445)</f>
        <v/>
      </c>
      <c r="R446" t="str">
        <f>IF(MIS_Backend_Data!BB445="", "", MIS_Backend_Data!BB445)</f>
        <v/>
      </c>
      <c r="S446" t="str">
        <f>IF(MIS_Backend_Data!AW445="", "", MIS_Backend_Data!AW445)</f>
        <v/>
      </c>
      <c r="T446" s="42" t="str">
        <f>IF(MIS_Backend_Data!N445="Dispatch","Completed","NA")</f>
        <v>NA</v>
      </c>
      <c r="U446" t="str">
        <f t="shared" si="18"/>
        <v/>
      </c>
      <c r="V446" t="str">
        <f t="shared" si="19"/>
        <v/>
      </c>
      <c r="W446" s="20" t="str">
        <f t="shared" si="20"/>
        <v/>
      </c>
    </row>
    <row r="447" spans="2:23" ht="14.5">
      <c r="B447" s="205"/>
      <c r="C447" s="17"/>
      <c r="D447" s="17"/>
      <c r="E447" s="19"/>
      <c r="F447" s="19" t="str">
        <f>IF(MIS_Backend_Data!O446="", "", MIS_Backend_Data!O446)</f>
        <v/>
      </c>
      <c r="G447" t="str">
        <f>IF(MIS_Backend_Data!T446="", "", MIS_Backend_Data!T446)</f>
        <v/>
      </c>
      <c r="H447" t="str">
        <f>IF(MIS_Backend_Data!X446="", "", MIS_Backend_Data!X446)</f>
        <v/>
      </c>
      <c r="I447" t="str">
        <f>IF(MIS_Backend_Data!AC446="", "", MIS_Backend_Data!AC446)</f>
        <v/>
      </c>
      <c r="J447" t="str">
        <f>IF(MIS_Backend_Data!AB446="", "", MIS_Backend_Data!AB446)</f>
        <v/>
      </c>
      <c r="K447" t="str">
        <f>IF(MIS_Backend_Data!AG446="", "", MIS_Backend_Data!AG446)</f>
        <v/>
      </c>
      <c r="L447" s="20" t="str">
        <f>IF(MIS_Backend_Data!AI446="", "", MIS_Backend_Data!AI446)</f>
        <v/>
      </c>
      <c r="M447" t="str">
        <f>IF(MIS_Backend_Data!AK446="", "", MIS_Backend_Data!AK446)</f>
        <v/>
      </c>
      <c r="N447" t="str">
        <f>IF(MIS_Backend_Data!AM446="", "", MIS_Backend_Data!AM446)</f>
        <v/>
      </c>
      <c r="O447" t="str">
        <f>IF(MIS_Backend_Data!AO446="", "", MIS_Backend_Data!AO446)</f>
        <v/>
      </c>
      <c r="P447" t="str">
        <f>IF(MIS_Backend_Data!AS446="", "", MIS_Backend_Data!AS446)</f>
        <v/>
      </c>
      <c r="Q447" t="str">
        <f>IF(MIS_Backend_Data!AX446="", "", MIS_Backend_Data!AX446)</f>
        <v/>
      </c>
      <c r="R447" t="str">
        <f>IF(MIS_Backend_Data!BB446="", "", MIS_Backend_Data!BB446)</f>
        <v/>
      </c>
      <c r="S447" t="str">
        <f>IF(MIS_Backend_Data!AW446="", "", MIS_Backend_Data!AW446)</f>
        <v/>
      </c>
      <c r="T447" s="42" t="str">
        <f>IF(MIS_Backend_Data!N446="Dispatch","Completed","NA")</f>
        <v>NA</v>
      </c>
      <c r="U447" t="str">
        <f t="shared" si="18"/>
        <v/>
      </c>
      <c r="V447" t="str">
        <f t="shared" si="19"/>
        <v/>
      </c>
      <c r="W447" s="20" t="str">
        <f t="shared" si="20"/>
        <v/>
      </c>
    </row>
    <row r="448" spans="2:23" ht="14.5">
      <c r="B448" s="205"/>
      <c r="C448" s="17"/>
      <c r="D448" s="17"/>
      <c r="E448" s="19"/>
      <c r="F448" s="19" t="str">
        <f>IF(MIS_Backend_Data!O447="", "", MIS_Backend_Data!O447)</f>
        <v/>
      </c>
      <c r="G448" t="str">
        <f>IF(MIS_Backend_Data!T447="", "", MIS_Backend_Data!T447)</f>
        <v/>
      </c>
      <c r="H448" t="str">
        <f>IF(MIS_Backend_Data!X447="", "", MIS_Backend_Data!X447)</f>
        <v/>
      </c>
      <c r="I448" t="str">
        <f>IF(MIS_Backend_Data!AC447="", "", MIS_Backend_Data!AC447)</f>
        <v/>
      </c>
      <c r="J448" t="str">
        <f>IF(MIS_Backend_Data!AB447="", "", MIS_Backend_Data!AB447)</f>
        <v/>
      </c>
      <c r="K448" t="str">
        <f>IF(MIS_Backend_Data!AG447="", "", MIS_Backend_Data!AG447)</f>
        <v/>
      </c>
      <c r="L448" s="20" t="str">
        <f>IF(MIS_Backend_Data!AI447="", "", MIS_Backend_Data!AI447)</f>
        <v/>
      </c>
      <c r="M448" t="str">
        <f>IF(MIS_Backend_Data!AK447="", "", MIS_Backend_Data!AK447)</f>
        <v/>
      </c>
      <c r="N448" t="str">
        <f>IF(MIS_Backend_Data!AM447="", "", MIS_Backend_Data!AM447)</f>
        <v/>
      </c>
      <c r="O448" t="str">
        <f>IF(MIS_Backend_Data!AO447="", "", MIS_Backend_Data!AO447)</f>
        <v/>
      </c>
      <c r="P448" t="str">
        <f>IF(MIS_Backend_Data!AS447="", "", MIS_Backend_Data!AS447)</f>
        <v/>
      </c>
      <c r="Q448" t="str">
        <f>IF(MIS_Backend_Data!AX447="", "", MIS_Backend_Data!AX447)</f>
        <v/>
      </c>
      <c r="R448" t="str">
        <f>IF(MIS_Backend_Data!BB447="", "", MIS_Backend_Data!BB447)</f>
        <v/>
      </c>
      <c r="S448" t="str">
        <f>IF(MIS_Backend_Data!AW447="", "", MIS_Backend_Data!AW447)</f>
        <v/>
      </c>
      <c r="T448" s="42" t="str">
        <f>IF(MIS_Backend_Data!N447="Dispatch","Completed","NA")</f>
        <v>NA</v>
      </c>
      <c r="U448" t="str">
        <f t="shared" si="18"/>
        <v/>
      </c>
      <c r="V448" t="str">
        <f t="shared" si="19"/>
        <v/>
      </c>
      <c r="W448" s="20" t="str">
        <f t="shared" si="20"/>
        <v/>
      </c>
    </row>
    <row r="449" spans="2:23" ht="14.5">
      <c r="B449" s="205"/>
      <c r="C449" s="17"/>
      <c r="D449" s="17"/>
      <c r="E449" s="19"/>
      <c r="F449" s="19" t="str">
        <f>IF(MIS_Backend_Data!O448="", "", MIS_Backend_Data!O448)</f>
        <v/>
      </c>
      <c r="G449" t="str">
        <f>IF(MIS_Backend_Data!T448="", "", MIS_Backend_Data!T448)</f>
        <v/>
      </c>
      <c r="H449" t="str">
        <f>IF(MIS_Backend_Data!X448="", "", MIS_Backend_Data!X448)</f>
        <v/>
      </c>
      <c r="I449" t="str">
        <f>IF(MIS_Backend_Data!AC448="", "", MIS_Backend_Data!AC448)</f>
        <v/>
      </c>
      <c r="J449" t="str">
        <f>IF(MIS_Backend_Data!AB448="", "", MIS_Backend_Data!AB448)</f>
        <v/>
      </c>
      <c r="K449" t="str">
        <f>IF(MIS_Backend_Data!AG448="", "", MIS_Backend_Data!AG448)</f>
        <v/>
      </c>
      <c r="L449" s="20" t="str">
        <f>IF(MIS_Backend_Data!AI448="", "", MIS_Backend_Data!AI448)</f>
        <v/>
      </c>
      <c r="M449" t="str">
        <f>IF(MIS_Backend_Data!AK448="", "", MIS_Backend_Data!AK448)</f>
        <v/>
      </c>
      <c r="N449" t="str">
        <f>IF(MIS_Backend_Data!AM448="", "", MIS_Backend_Data!AM448)</f>
        <v/>
      </c>
      <c r="O449" t="str">
        <f>IF(MIS_Backend_Data!AO448="", "", MIS_Backend_Data!AO448)</f>
        <v/>
      </c>
      <c r="P449" t="str">
        <f>IF(MIS_Backend_Data!AS448="", "", MIS_Backend_Data!AS448)</f>
        <v/>
      </c>
      <c r="Q449" t="str">
        <f>IF(MIS_Backend_Data!AX448="", "", MIS_Backend_Data!AX448)</f>
        <v/>
      </c>
      <c r="R449" t="str">
        <f>IF(MIS_Backend_Data!BB448="", "", MIS_Backend_Data!BB448)</f>
        <v/>
      </c>
      <c r="S449" t="str">
        <f>IF(MIS_Backend_Data!AW448="", "", MIS_Backend_Data!AW448)</f>
        <v/>
      </c>
      <c r="T449" s="42" t="str">
        <f>IF(MIS_Backend_Data!N448="Dispatch","Completed","NA")</f>
        <v>NA</v>
      </c>
      <c r="U449" t="str">
        <f t="shared" si="18"/>
        <v/>
      </c>
      <c r="V449" t="str">
        <f t="shared" si="19"/>
        <v/>
      </c>
      <c r="W449" s="20" t="str">
        <f t="shared" si="20"/>
        <v/>
      </c>
    </row>
    <row r="450" spans="2:23" ht="14.5">
      <c r="B450" s="205"/>
      <c r="C450" s="17"/>
      <c r="D450" s="17"/>
      <c r="E450" s="19"/>
      <c r="F450" s="19" t="str">
        <f>IF(MIS_Backend_Data!O449="", "", MIS_Backend_Data!O449)</f>
        <v/>
      </c>
      <c r="G450" t="str">
        <f>IF(MIS_Backend_Data!T449="", "", MIS_Backend_Data!T449)</f>
        <v/>
      </c>
      <c r="H450" t="str">
        <f>IF(MIS_Backend_Data!X449="", "", MIS_Backend_Data!X449)</f>
        <v/>
      </c>
      <c r="I450" t="str">
        <f>IF(MIS_Backend_Data!AC449="", "", MIS_Backend_Data!AC449)</f>
        <v/>
      </c>
      <c r="J450" t="str">
        <f>IF(MIS_Backend_Data!AB449="", "", MIS_Backend_Data!AB449)</f>
        <v/>
      </c>
      <c r="K450" t="str">
        <f>IF(MIS_Backend_Data!AG449="", "", MIS_Backend_Data!AG449)</f>
        <v/>
      </c>
      <c r="L450" s="20" t="str">
        <f>IF(MIS_Backend_Data!AI449="", "", MIS_Backend_Data!AI449)</f>
        <v/>
      </c>
      <c r="M450" t="str">
        <f>IF(MIS_Backend_Data!AK449="", "", MIS_Backend_Data!AK449)</f>
        <v/>
      </c>
      <c r="N450" t="str">
        <f>IF(MIS_Backend_Data!AM449="", "", MIS_Backend_Data!AM449)</f>
        <v/>
      </c>
      <c r="O450" t="str">
        <f>IF(MIS_Backend_Data!AO449="", "", MIS_Backend_Data!AO449)</f>
        <v/>
      </c>
      <c r="P450" t="str">
        <f>IF(MIS_Backend_Data!AS449="", "", MIS_Backend_Data!AS449)</f>
        <v/>
      </c>
      <c r="Q450" t="str">
        <f>IF(MIS_Backend_Data!AX449="", "", MIS_Backend_Data!AX449)</f>
        <v/>
      </c>
      <c r="R450" t="str">
        <f>IF(MIS_Backend_Data!BB449="", "", MIS_Backend_Data!BB449)</f>
        <v/>
      </c>
      <c r="S450" t="str">
        <f>IF(MIS_Backend_Data!AW449="", "", MIS_Backend_Data!AW449)</f>
        <v/>
      </c>
      <c r="T450" s="42" t="str">
        <f>IF(MIS_Backend_Data!N449="Dispatch","Completed","NA")</f>
        <v>NA</v>
      </c>
      <c r="U450" t="str">
        <f t="shared" si="18"/>
        <v/>
      </c>
      <c r="V450" t="str">
        <f t="shared" si="19"/>
        <v/>
      </c>
      <c r="W450" s="20" t="str">
        <f t="shared" si="20"/>
        <v/>
      </c>
    </row>
    <row r="451" spans="2:23" ht="14.5">
      <c r="B451" s="205"/>
      <c r="C451" s="17"/>
      <c r="D451" s="17"/>
      <c r="E451" s="19"/>
      <c r="F451" s="19" t="str">
        <f>IF(MIS_Backend_Data!O450="", "", MIS_Backend_Data!O450)</f>
        <v/>
      </c>
      <c r="G451" t="str">
        <f>IF(MIS_Backend_Data!T450="", "", MIS_Backend_Data!T450)</f>
        <v/>
      </c>
      <c r="H451" t="str">
        <f>IF(MIS_Backend_Data!X450="", "", MIS_Backend_Data!X450)</f>
        <v/>
      </c>
      <c r="I451" t="str">
        <f>IF(MIS_Backend_Data!AC450="", "", MIS_Backend_Data!AC450)</f>
        <v/>
      </c>
      <c r="J451" t="str">
        <f>IF(MIS_Backend_Data!AB450="", "", MIS_Backend_Data!AB450)</f>
        <v/>
      </c>
      <c r="K451" t="str">
        <f>IF(MIS_Backend_Data!AG450="", "", MIS_Backend_Data!AG450)</f>
        <v/>
      </c>
      <c r="L451" s="20" t="str">
        <f>IF(MIS_Backend_Data!AI450="", "", MIS_Backend_Data!AI450)</f>
        <v/>
      </c>
      <c r="M451" t="str">
        <f>IF(MIS_Backend_Data!AK450="", "", MIS_Backend_Data!AK450)</f>
        <v/>
      </c>
      <c r="N451" t="str">
        <f>IF(MIS_Backend_Data!AM450="", "", MIS_Backend_Data!AM450)</f>
        <v/>
      </c>
      <c r="O451" t="str">
        <f>IF(MIS_Backend_Data!AO450="", "", MIS_Backend_Data!AO450)</f>
        <v/>
      </c>
      <c r="P451" t="str">
        <f>IF(MIS_Backend_Data!AS450="", "", MIS_Backend_Data!AS450)</f>
        <v/>
      </c>
      <c r="Q451" t="str">
        <f>IF(MIS_Backend_Data!AX450="", "", MIS_Backend_Data!AX450)</f>
        <v/>
      </c>
      <c r="R451" t="str">
        <f>IF(MIS_Backend_Data!BB450="", "", MIS_Backend_Data!BB450)</f>
        <v/>
      </c>
      <c r="S451" t="str">
        <f>IF(MIS_Backend_Data!AW450="", "", MIS_Backend_Data!AW450)</f>
        <v/>
      </c>
      <c r="T451" s="42" t="str">
        <f>IF(MIS_Backend_Data!N450="Dispatch","Completed","NA")</f>
        <v>NA</v>
      </c>
      <c r="U451" t="str">
        <f t="shared" si="18"/>
        <v/>
      </c>
      <c r="V451" t="str">
        <f t="shared" si="19"/>
        <v/>
      </c>
      <c r="W451" s="20" t="str">
        <f t="shared" si="20"/>
        <v/>
      </c>
    </row>
    <row r="452" spans="2:23" ht="14.5">
      <c r="B452" s="205"/>
      <c r="C452" s="17"/>
      <c r="D452" s="17"/>
      <c r="E452" s="19"/>
      <c r="F452" s="19" t="str">
        <f>IF(MIS_Backend_Data!O451="", "", MIS_Backend_Data!O451)</f>
        <v/>
      </c>
      <c r="G452" t="str">
        <f>IF(MIS_Backend_Data!T451="", "", MIS_Backend_Data!T451)</f>
        <v/>
      </c>
      <c r="H452" t="str">
        <f>IF(MIS_Backend_Data!X451="", "", MIS_Backend_Data!X451)</f>
        <v/>
      </c>
      <c r="I452" t="str">
        <f>IF(MIS_Backend_Data!AC451="", "", MIS_Backend_Data!AC451)</f>
        <v/>
      </c>
      <c r="J452" t="str">
        <f>IF(MIS_Backend_Data!AB451="", "", MIS_Backend_Data!AB451)</f>
        <v/>
      </c>
      <c r="K452" t="str">
        <f>IF(MIS_Backend_Data!AG451="", "", MIS_Backend_Data!AG451)</f>
        <v/>
      </c>
      <c r="L452" s="20" t="str">
        <f>IF(MIS_Backend_Data!AI451="", "", MIS_Backend_Data!AI451)</f>
        <v/>
      </c>
      <c r="M452" t="str">
        <f>IF(MIS_Backend_Data!AK451="", "", MIS_Backend_Data!AK451)</f>
        <v/>
      </c>
      <c r="N452" t="str">
        <f>IF(MIS_Backend_Data!AM451="", "", MIS_Backend_Data!AM451)</f>
        <v/>
      </c>
      <c r="O452" t="str">
        <f>IF(MIS_Backend_Data!AO451="", "", MIS_Backend_Data!AO451)</f>
        <v/>
      </c>
      <c r="P452" t="str">
        <f>IF(MIS_Backend_Data!AS451="", "", MIS_Backend_Data!AS451)</f>
        <v/>
      </c>
      <c r="Q452" t="str">
        <f>IF(MIS_Backend_Data!AX451="", "", MIS_Backend_Data!AX451)</f>
        <v/>
      </c>
      <c r="R452" t="str">
        <f>IF(MIS_Backend_Data!BB451="", "", MIS_Backend_Data!BB451)</f>
        <v/>
      </c>
      <c r="S452" t="str">
        <f>IF(MIS_Backend_Data!AW451="", "", MIS_Backend_Data!AW451)</f>
        <v/>
      </c>
      <c r="T452" s="42" t="str">
        <f>IF(MIS_Backend_Data!N451="Dispatch","Completed","NA")</f>
        <v>NA</v>
      </c>
      <c r="U452" t="str">
        <f t="shared" ref="U452:U500" si="21">IF(F452="WIP", IF(COUNTIF(G452:R452, "WIP")=2, 2, ""), "")</f>
        <v/>
      </c>
      <c r="V452" t="str">
        <f t="shared" ref="V452:V500" si="22">IF(F452="WIP", IF(COUNTIF(G452:R452, "WIP")=1, 1, ""), "")</f>
        <v/>
      </c>
      <c r="W452" s="20" t="str">
        <f t="shared" ref="W452:W500" si="23">IF(OR(F452="WIP",F452="Pending for CS"),
    IF(COUNTIFS(G452:R452,"&lt;&gt;Completed",G452:R452,"&lt;&gt;NA")=0,"GTG",""),
"")</f>
        <v/>
      </c>
    </row>
    <row r="453" spans="2:23" ht="14.5">
      <c r="B453" s="205"/>
      <c r="C453" s="17"/>
      <c r="D453" s="17"/>
      <c r="E453" s="19"/>
      <c r="F453" s="19" t="str">
        <f>IF(MIS_Backend_Data!O452="", "", MIS_Backend_Data!O452)</f>
        <v/>
      </c>
      <c r="G453" t="str">
        <f>IF(MIS_Backend_Data!T452="", "", MIS_Backend_Data!T452)</f>
        <v/>
      </c>
      <c r="H453" t="str">
        <f>IF(MIS_Backend_Data!X452="", "", MIS_Backend_Data!X452)</f>
        <v/>
      </c>
      <c r="I453" t="str">
        <f>IF(MIS_Backend_Data!AC452="", "", MIS_Backend_Data!AC452)</f>
        <v/>
      </c>
      <c r="J453" t="str">
        <f>IF(MIS_Backend_Data!AB452="", "", MIS_Backend_Data!AB452)</f>
        <v/>
      </c>
      <c r="K453" t="str">
        <f>IF(MIS_Backend_Data!AG452="", "", MIS_Backend_Data!AG452)</f>
        <v/>
      </c>
      <c r="L453" s="20" t="str">
        <f>IF(MIS_Backend_Data!AI452="", "", MIS_Backend_Data!AI452)</f>
        <v/>
      </c>
      <c r="M453" t="str">
        <f>IF(MIS_Backend_Data!AK452="", "", MIS_Backend_Data!AK452)</f>
        <v/>
      </c>
      <c r="N453" t="str">
        <f>IF(MIS_Backend_Data!AM452="", "", MIS_Backend_Data!AM452)</f>
        <v/>
      </c>
      <c r="O453" t="str">
        <f>IF(MIS_Backend_Data!AO452="", "", MIS_Backend_Data!AO452)</f>
        <v/>
      </c>
      <c r="P453" t="str">
        <f>IF(MIS_Backend_Data!AS452="", "", MIS_Backend_Data!AS452)</f>
        <v/>
      </c>
      <c r="Q453" t="str">
        <f>IF(MIS_Backend_Data!AX452="", "", MIS_Backend_Data!AX452)</f>
        <v/>
      </c>
      <c r="R453" t="str">
        <f>IF(MIS_Backend_Data!BB452="", "", MIS_Backend_Data!BB452)</f>
        <v/>
      </c>
      <c r="S453" t="str">
        <f>IF(MIS_Backend_Data!AW452="", "", MIS_Backend_Data!AW452)</f>
        <v/>
      </c>
      <c r="T453" s="42" t="str">
        <f>IF(MIS_Backend_Data!N452="Dispatch","Completed","NA")</f>
        <v>NA</v>
      </c>
      <c r="U453" t="str">
        <f t="shared" si="21"/>
        <v/>
      </c>
      <c r="V453" t="str">
        <f t="shared" si="22"/>
        <v/>
      </c>
      <c r="W453" s="20" t="str">
        <f t="shared" si="23"/>
        <v/>
      </c>
    </row>
    <row r="454" spans="2:23" ht="14.5">
      <c r="B454" s="205"/>
      <c r="C454" s="17"/>
      <c r="D454" s="17"/>
      <c r="E454" s="19"/>
      <c r="F454" s="19" t="str">
        <f>IF(MIS_Backend_Data!O453="", "", MIS_Backend_Data!O453)</f>
        <v/>
      </c>
      <c r="G454" t="str">
        <f>IF(MIS_Backend_Data!T453="", "", MIS_Backend_Data!T453)</f>
        <v/>
      </c>
      <c r="H454" t="str">
        <f>IF(MIS_Backend_Data!X453="", "", MIS_Backend_Data!X453)</f>
        <v/>
      </c>
      <c r="I454" t="str">
        <f>IF(MIS_Backend_Data!AC453="", "", MIS_Backend_Data!AC453)</f>
        <v/>
      </c>
      <c r="J454" t="str">
        <f>IF(MIS_Backend_Data!AB453="", "", MIS_Backend_Data!AB453)</f>
        <v/>
      </c>
      <c r="K454" t="str">
        <f>IF(MIS_Backend_Data!AG453="", "", MIS_Backend_Data!AG453)</f>
        <v/>
      </c>
      <c r="L454" s="20" t="str">
        <f>IF(MIS_Backend_Data!AI453="", "", MIS_Backend_Data!AI453)</f>
        <v/>
      </c>
      <c r="M454" t="str">
        <f>IF(MIS_Backend_Data!AK453="", "", MIS_Backend_Data!AK453)</f>
        <v/>
      </c>
      <c r="N454" t="str">
        <f>IF(MIS_Backend_Data!AM453="", "", MIS_Backend_Data!AM453)</f>
        <v/>
      </c>
      <c r="O454" t="str">
        <f>IF(MIS_Backend_Data!AO453="", "", MIS_Backend_Data!AO453)</f>
        <v/>
      </c>
      <c r="P454" t="str">
        <f>IF(MIS_Backend_Data!AS453="", "", MIS_Backend_Data!AS453)</f>
        <v/>
      </c>
      <c r="Q454" t="str">
        <f>IF(MIS_Backend_Data!AX453="", "", MIS_Backend_Data!AX453)</f>
        <v/>
      </c>
      <c r="R454" t="str">
        <f>IF(MIS_Backend_Data!BB453="", "", MIS_Backend_Data!BB453)</f>
        <v/>
      </c>
      <c r="S454" t="str">
        <f>IF(MIS_Backend_Data!AW453="", "", MIS_Backend_Data!AW453)</f>
        <v/>
      </c>
      <c r="T454" s="42" t="str">
        <f>IF(MIS_Backend_Data!N453="Dispatch","Completed","NA")</f>
        <v>NA</v>
      </c>
      <c r="U454" t="str">
        <f t="shared" si="21"/>
        <v/>
      </c>
      <c r="V454" t="str">
        <f t="shared" si="22"/>
        <v/>
      </c>
      <c r="W454" s="20" t="str">
        <f t="shared" si="23"/>
        <v/>
      </c>
    </row>
    <row r="455" spans="2:23" ht="14.5">
      <c r="B455" s="205"/>
      <c r="C455" s="17"/>
      <c r="D455" s="17"/>
      <c r="E455" s="19"/>
      <c r="F455" s="19" t="str">
        <f>IF(MIS_Backend_Data!O454="", "", MIS_Backend_Data!O454)</f>
        <v/>
      </c>
      <c r="G455" t="str">
        <f>IF(MIS_Backend_Data!T454="", "", MIS_Backend_Data!T454)</f>
        <v/>
      </c>
      <c r="H455" t="str">
        <f>IF(MIS_Backend_Data!X454="", "", MIS_Backend_Data!X454)</f>
        <v/>
      </c>
      <c r="I455" t="str">
        <f>IF(MIS_Backend_Data!AC454="", "", MIS_Backend_Data!AC454)</f>
        <v/>
      </c>
      <c r="J455" t="str">
        <f>IF(MIS_Backend_Data!AB454="", "", MIS_Backend_Data!AB454)</f>
        <v/>
      </c>
      <c r="K455" t="str">
        <f>IF(MIS_Backend_Data!AG454="", "", MIS_Backend_Data!AG454)</f>
        <v/>
      </c>
      <c r="L455" s="20" t="str">
        <f>IF(MIS_Backend_Data!AI454="", "", MIS_Backend_Data!AI454)</f>
        <v/>
      </c>
      <c r="M455" t="str">
        <f>IF(MIS_Backend_Data!AK454="", "", MIS_Backend_Data!AK454)</f>
        <v/>
      </c>
      <c r="N455" t="str">
        <f>IF(MIS_Backend_Data!AM454="", "", MIS_Backend_Data!AM454)</f>
        <v/>
      </c>
      <c r="O455" t="str">
        <f>IF(MIS_Backend_Data!AO454="", "", MIS_Backend_Data!AO454)</f>
        <v/>
      </c>
      <c r="P455" t="str">
        <f>IF(MIS_Backend_Data!AS454="", "", MIS_Backend_Data!AS454)</f>
        <v/>
      </c>
      <c r="Q455" t="str">
        <f>IF(MIS_Backend_Data!AX454="", "", MIS_Backend_Data!AX454)</f>
        <v/>
      </c>
      <c r="R455" t="str">
        <f>IF(MIS_Backend_Data!BB454="", "", MIS_Backend_Data!BB454)</f>
        <v/>
      </c>
      <c r="S455" t="str">
        <f>IF(MIS_Backend_Data!AW454="", "", MIS_Backend_Data!AW454)</f>
        <v/>
      </c>
      <c r="T455" s="42" t="str">
        <f>IF(MIS_Backend_Data!N454="Dispatch","Completed","NA")</f>
        <v>NA</v>
      </c>
      <c r="U455" t="str">
        <f t="shared" si="21"/>
        <v/>
      </c>
      <c r="V455" t="str">
        <f t="shared" si="22"/>
        <v/>
      </c>
      <c r="W455" s="20" t="str">
        <f t="shared" si="23"/>
        <v/>
      </c>
    </row>
    <row r="456" spans="2:23" ht="14.5">
      <c r="B456" s="205"/>
      <c r="C456" s="17"/>
      <c r="D456" s="17"/>
      <c r="E456" s="19"/>
      <c r="F456" s="19" t="str">
        <f>IF(MIS_Backend_Data!O455="", "", MIS_Backend_Data!O455)</f>
        <v/>
      </c>
      <c r="G456" t="str">
        <f>IF(MIS_Backend_Data!T455="", "", MIS_Backend_Data!T455)</f>
        <v/>
      </c>
      <c r="H456" t="str">
        <f>IF(MIS_Backend_Data!X455="", "", MIS_Backend_Data!X455)</f>
        <v/>
      </c>
      <c r="I456" t="str">
        <f>IF(MIS_Backend_Data!AC455="", "", MIS_Backend_Data!AC455)</f>
        <v/>
      </c>
      <c r="J456" t="str">
        <f>IF(MIS_Backend_Data!AB455="", "", MIS_Backend_Data!AB455)</f>
        <v/>
      </c>
      <c r="K456" t="str">
        <f>IF(MIS_Backend_Data!AG455="", "", MIS_Backend_Data!AG455)</f>
        <v/>
      </c>
      <c r="L456" s="20" t="str">
        <f>IF(MIS_Backend_Data!AI455="", "", MIS_Backend_Data!AI455)</f>
        <v/>
      </c>
      <c r="M456" t="str">
        <f>IF(MIS_Backend_Data!AK455="", "", MIS_Backend_Data!AK455)</f>
        <v/>
      </c>
      <c r="N456" t="str">
        <f>IF(MIS_Backend_Data!AM455="", "", MIS_Backend_Data!AM455)</f>
        <v/>
      </c>
      <c r="O456" t="str">
        <f>IF(MIS_Backend_Data!AO455="", "", MIS_Backend_Data!AO455)</f>
        <v/>
      </c>
      <c r="P456" t="str">
        <f>IF(MIS_Backend_Data!AS455="", "", MIS_Backend_Data!AS455)</f>
        <v/>
      </c>
      <c r="Q456" t="str">
        <f>IF(MIS_Backend_Data!AX455="", "", MIS_Backend_Data!AX455)</f>
        <v/>
      </c>
      <c r="R456" t="str">
        <f>IF(MIS_Backend_Data!BB455="", "", MIS_Backend_Data!BB455)</f>
        <v/>
      </c>
      <c r="S456" t="str">
        <f>IF(MIS_Backend_Data!AW455="", "", MIS_Backend_Data!AW455)</f>
        <v/>
      </c>
      <c r="T456" s="42" t="str">
        <f>IF(MIS_Backend_Data!N455="Dispatch","Completed","NA")</f>
        <v>NA</v>
      </c>
      <c r="U456" t="str">
        <f t="shared" si="21"/>
        <v/>
      </c>
      <c r="V456" t="str">
        <f t="shared" si="22"/>
        <v/>
      </c>
      <c r="W456" s="20" t="str">
        <f t="shared" si="23"/>
        <v/>
      </c>
    </row>
    <row r="457" spans="2:23" ht="14.5">
      <c r="B457" s="205"/>
      <c r="C457" s="17"/>
      <c r="D457" s="17"/>
      <c r="E457" s="19"/>
      <c r="F457" s="19" t="str">
        <f>IF(MIS_Backend_Data!O456="", "", MIS_Backend_Data!O456)</f>
        <v/>
      </c>
      <c r="G457" t="str">
        <f>IF(MIS_Backend_Data!T456="", "", MIS_Backend_Data!T456)</f>
        <v/>
      </c>
      <c r="H457" t="str">
        <f>IF(MIS_Backend_Data!X456="", "", MIS_Backend_Data!X456)</f>
        <v/>
      </c>
      <c r="I457" t="str">
        <f>IF(MIS_Backend_Data!AC456="", "", MIS_Backend_Data!AC456)</f>
        <v/>
      </c>
      <c r="J457" t="str">
        <f>IF(MIS_Backend_Data!AB456="", "", MIS_Backend_Data!AB456)</f>
        <v/>
      </c>
      <c r="K457" t="str">
        <f>IF(MIS_Backend_Data!AG456="", "", MIS_Backend_Data!AG456)</f>
        <v/>
      </c>
      <c r="L457" s="20" t="str">
        <f>IF(MIS_Backend_Data!AI456="", "", MIS_Backend_Data!AI456)</f>
        <v/>
      </c>
      <c r="M457" t="str">
        <f>IF(MIS_Backend_Data!AK456="", "", MIS_Backend_Data!AK456)</f>
        <v/>
      </c>
      <c r="N457" t="str">
        <f>IF(MIS_Backend_Data!AM456="", "", MIS_Backend_Data!AM456)</f>
        <v/>
      </c>
      <c r="O457" t="str">
        <f>IF(MIS_Backend_Data!AO456="", "", MIS_Backend_Data!AO456)</f>
        <v/>
      </c>
      <c r="P457" t="str">
        <f>IF(MIS_Backend_Data!AS456="", "", MIS_Backend_Data!AS456)</f>
        <v/>
      </c>
      <c r="Q457" t="str">
        <f>IF(MIS_Backend_Data!AX456="", "", MIS_Backend_Data!AX456)</f>
        <v/>
      </c>
      <c r="R457" t="str">
        <f>IF(MIS_Backend_Data!BB456="", "", MIS_Backend_Data!BB456)</f>
        <v/>
      </c>
      <c r="S457" t="str">
        <f>IF(MIS_Backend_Data!AW456="", "", MIS_Backend_Data!AW456)</f>
        <v/>
      </c>
      <c r="T457" s="42" t="str">
        <f>IF(MIS_Backend_Data!N456="Dispatch","Completed","NA")</f>
        <v>NA</v>
      </c>
      <c r="U457" t="str">
        <f t="shared" si="21"/>
        <v/>
      </c>
      <c r="V457" t="str">
        <f t="shared" si="22"/>
        <v/>
      </c>
      <c r="W457" s="20" t="str">
        <f t="shared" si="23"/>
        <v/>
      </c>
    </row>
    <row r="458" spans="2:23" ht="14.5">
      <c r="B458" s="205"/>
      <c r="C458" s="17"/>
      <c r="D458" s="17"/>
      <c r="E458" s="19"/>
      <c r="F458" s="19" t="str">
        <f>IF(MIS_Backend_Data!O457="", "", MIS_Backend_Data!O457)</f>
        <v/>
      </c>
      <c r="G458" t="str">
        <f>IF(MIS_Backend_Data!T457="", "", MIS_Backend_Data!T457)</f>
        <v/>
      </c>
      <c r="H458" t="str">
        <f>IF(MIS_Backend_Data!X457="", "", MIS_Backend_Data!X457)</f>
        <v/>
      </c>
      <c r="I458" t="str">
        <f>IF(MIS_Backend_Data!AC457="", "", MIS_Backend_Data!AC457)</f>
        <v/>
      </c>
      <c r="J458" t="str">
        <f>IF(MIS_Backend_Data!AB457="", "", MIS_Backend_Data!AB457)</f>
        <v/>
      </c>
      <c r="K458" t="str">
        <f>IF(MIS_Backend_Data!AG457="", "", MIS_Backend_Data!AG457)</f>
        <v/>
      </c>
      <c r="L458" s="20" t="str">
        <f>IF(MIS_Backend_Data!AI457="", "", MIS_Backend_Data!AI457)</f>
        <v/>
      </c>
      <c r="M458" t="str">
        <f>IF(MIS_Backend_Data!AK457="", "", MIS_Backend_Data!AK457)</f>
        <v/>
      </c>
      <c r="N458" t="str">
        <f>IF(MIS_Backend_Data!AM457="", "", MIS_Backend_Data!AM457)</f>
        <v/>
      </c>
      <c r="O458" t="str">
        <f>IF(MIS_Backend_Data!AO457="", "", MIS_Backend_Data!AO457)</f>
        <v/>
      </c>
      <c r="P458" t="str">
        <f>IF(MIS_Backend_Data!AS457="", "", MIS_Backend_Data!AS457)</f>
        <v/>
      </c>
      <c r="Q458" t="str">
        <f>IF(MIS_Backend_Data!AX457="", "", MIS_Backend_Data!AX457)</f>
        <v/>
      </c>
      <c r="R458" t="str">
        <f>IF(MIS_Backend_Data!BB457="", "", MIS_Backend_Data!BB457)</f>
        <v/>
      </c>
      <c r="S458" t="str">
        <f>IF(MIS_Backend_Data!AW457="", "", MIS_Backend_Data!AW457)</f>
        <v/>
      </c>
      <c r="T458" s="42" t="str">
        <f>IF(MIS_Backend_Data!N457="Dispatch","Completed","NA")</f>
        <v>NA</v>
      </c>
      <c r="U458" t="str">
        <f t="shared" si="21"/>
        <v/>
      </c>
      <c r="V458" t="str">
        <f t="shared" si="22"/>
        <v/>
      </c>
      <c r="W458" s="20" t="str">
        <f t="shared" si="23"/>
        <v/>
      </c>
    </row>
    <row r="459" spans="2:23" ht="14.5">
      <c r="B459" s="205"/>
      <c r="C459" s="17"/>
      <c r="D459" s="17"/>
      <c r="E459" s="19"/>
      <c r="F459" s="19" t="str">
        <f>IF(MIS_Backend_Data!O458="", "", MIS_Backend_Data!O458)</f>
        <v/>
      </c>
      <c r="G459" t="str">
        <f>IF(MIS_Backend_Data!T458="", "", MIS_Backend_Data!T458)</f>
        <v/>
      </c>
      <c r="H459" t="str">
        <f>IF(MIS_Backend_Data!X458="", "", MIS_Backend_Data!X458)</f>
        <v/>
      </c>
      <c r="I459" t="str">
        <f>IF(MIS_Backend_Data!AC458="", "", MIS_Backend_Data!AC458)</f>
        <v/>
      </c>
      <c r="J459" t="str">
        <f>IF(MIS_Backend_Data!AB458="", "", MIS_Backend_Data!AB458)</f>
        <v/>
      </c>
      <c r="K459" t="str">
        <f>IF(MIS_Backend_Data!AG458="", "", MIS_Backend_Data!AG458)</f>
        <v/>
      </c>
      <c r="L459" s="20" t="str">
        <f>IF(MIS_Backend_Data!AI458="", "", MIS_Backend_Data!AI458)</f>
        <v/>
      </c>
      <c r="M459" t="str">
        <f>IF(MIS_Backend_Data!AK458="", "", MIS_Backend_Data!AK458)</f>
        <v/>
      </c>
      <c r="N459" t="str">
        <f>IF(MIS_Backend_Data!AM458="", "", MIS_Backend_Data!AM458)</f>
        <v/>
      </c>
      <c r="O459" t="str">
        <f>IF(MIS_Backend_Data!AO458="", "", MIS_Backend_Data!AO458)</f>
        <v/>
      </c>
      <c r="P459" t="str">
        <f>IF(MIS_Backend_Data!AS458="", "", MIS_Backend_Data!AS458)</f>
        <v/>
      </c>
      <c r="Q459" t="str">
        <f>IF(MIS_Backend_Data!AX458="", "", MIS_Backend_Data!AX458)</f>
        <v/>
      </c>
      <c r="R459" t="str">
        <f>IF(MIS_Backend_Data!BB458="", "", MIS_Backend_Data!BB458)</f>
        <v/>
      </c>
      <c r="S459" t="str">
        <f>IF(MIS_Backend_Data!AW458="", "", MIS_Backend_Data!AW458)</f>
        <v/>
      </c>
      <c r="T459" s="42" t="str">
        <f>IF(MIS_Backend_Data!N458="Dispatch","Completed","NA")</f>
        <v>NA</v>
      </c>
      <c r="U459" t="str">
        <f t="shared" si="21"/>
        <v/>
      </c>
      <c r="V459" t="str">
        <f t="shared" si="22"/>
        <v/>
      </c>
      <c r="W459" s="20" t="str">
        <f t="shared" si="23"/>
        <v/>
      </c>
    </row>
    <row r="460" spans="2:23" ht="14.5">
      <c r="B460" s="205"/>
      <c r="C460" s="17"/>
      <c r="D460" s="17"/>
      <c r="E460" s="19"/>
      <c r="F460" s="19" t="str">
        <f>IF(MIS_Backend_Data!O459="", "", MIS_Backend_Data!O459)</f>
        <v/>
      </c>
      <c r="G460" t="str">
        <f>IF(MIS_Backend_Data!T459="", "", MIS_Backend_Data!T459)</f>
        <v/>
      </c>
      <c r="H460" t="str">
        <f>IF(MIS_Backend_Data!X459="", "", MIS_Backend_Data!X459)</f>
        <v/>
      </c>
      <c r="I460" t="str">
        <f>IF(MIS_Backend_Data!AC459="", "", MIS_Backend_Data!AC459)</f>
        <v/>
      </c>
      <c r="J460" t="str">
        <f>IF(MIS_Backend_Data!AB459="", "", MIS_Backend_Data!AB459)</f>
        <v/>
      </c>
      <c r="K460" t="str">
        <f>IF(MIS_Backend_Data!AG459="", "", MIS_Backend_Data!AG459)</f>
        <v/>
      </c>
      <c r="L460" s="20" t="str">
        <f>IF(MIS_Backend_Data!AI459="", "", MIS_Backend_Data!AI459)</f>
        <v/>
      </c>
      <c r="M460" t="str">
        <f>IF(MIS_Backend_Data!AK459="", "", MIS_Backend_Data!AK459)</f>
        <v/>
      </c>
      <c r="N460" t="str">
        <f>IF(MIS_Backend_Data!AM459="", "", MIS_Backend_Data!AM459)</f>
        <v/>
      </c>
      <c r="O460" t="str">
        <f>IF(MIS_Backend_Data!AO459="", "", MIS_Backend_Data!AO459)</f>
        <v/>
      </c>
      <c r="P460" t="str">
        <f>IF(MIS_Backend_Data!AS459="", "", MIS_Backend_Data!AS459)</f>
        <v/>
      </c>
      <c r="Q460" t="str">
        <f>IF(MIS_Backend_Data!AX459="", "", MIS_Backend_Data!AX459)</f>
        <v/>
      </c>
      <c r="R460" t="str">
        <f>IF(MIS_Backend_Data!BB459="", "", MIS_Backend_Data!BB459)</f>
        <v/>
      </c>
      <c r="S460" t="str">
        <f>IF(MIS_Backend_Data!AW459="", "", MIS_Backend_Data!AW459)</f>
        <v/>
      </c>
      <c r="T460" s="42" t="str">
        <f>IF(MIS_Backend_Data!N459="Dispatch","Completed","NA")</f>
        <v>NA</v>
      </c>
      <c r="U460" t="str">
        <f t="shared" si="21"/>
        <v/>
      </c>
      <c r="V460" t="str">
        <f t="shared" si="22"/>
        <v/>
      </c>
      <c r="W460" s="20" t="str">
        <f t="shared" si="23"/>
        <v/>
      </c>
    </row>
    <row r="461" spans="2:23" ht="14.5">
      <c r="B461" s="205"/>
      <c r="C461" s="17"/>
      <c r="D461" s="17"/>
      <c r="E461" s="19"/>
      <c r="F461" s="19" t="str">
        <f>IF(MIS_Backend_Data!O460="", "", MIS_Backend_Data!O460)</f>
        <v/>
      </c>
      <c r="G461" t="str">
        <f>IF(MIS_Backend_Data!T460="", "", MIS_Backend_Data!T460)</f>
        <v/>
      </c>
      <c r="H461" t="str">
        <f>IF(MIS_Backend_Data!X460="", "", MIS_Backend_Data!X460)</f>
        <v/>
      </c>
      <c r="I461" t="str">
        <f>IF(MIS_Backend_Data!AC460="", "", MIS_Backend_Data!AC460)</f>
        <v/>
      </c>
      <c r="J461" t="str">
        <f>IF(MIS_Backend_Data!AB460="", "", MIS_Backend_Data!AB460)</f>
        <v/>
      </c>
      <c r="K461" t="str">
        <f>IF(MIS_Backend_Data!AG460="", "", MIS_Backend_Data!AG460)</f>
        <v/>
      </c>
      <c r="L461" s="20" t="str">
        <f>IF(MIS_Backend_Data!AI460="", "", MIS_Backend_Data!AI460)</f>
        <v/>
      </c>
      <c r="M461" t="str">
        <f>IF(MIS_Backend_Data!AK460="", "", MIS_Backend_Data!AK460)</f>
        <v/>
      </c>
      <c r="N461" t="str">
        <f>IF(MIS_Backend_Data!AM460="", "", MIS_Backend_Data!AM460)</f>
        <v/>
      </c>
      <c r="O461" t="str">
        <f>IF(MIS_Backend_Data!AO460="", "", MIS_Backend_Data!AO460)</f>
        <v/>
      </c>
      <c r="P461" t="str">
        <f>IF(MIS_Backend_Data!AS460="", "", MIS_Backend_Data!AS460)</f>
        <v/>
      </c>
      <c r="Q461" t="str">
        <f>IF(MIS_Backend_Data!AX460="", "", MIS_Backend_Data!AX460)</f>
        <v/>
      </c>
      <c r="R461" t="str">
        <f>IF(MIS_Backend_Data!BB460="", "", MIS_Backend_Data!BB460)</f>
        <v/>
      </c>
      <c r="S461" t="str">
        <f>IF(MIS_Backend_Data!AW460="", "", MIS_Backend_Data!AW460)</f>
        <v/>
      </c>
      <c r="T461" s="42" t="str">
        <f>IF(MIS_Backend_Data!N460="Dispatch","Completed","NA")</f>
        <v>NA</v>
      </c>
      <c r="U461" t="str">
        <f t="shared" si="21"/>
        <v/>
      </c>
      <c r="V461" t="str">
        <f t="shared" si="22"/>
        <v/>
      </c>
      <c r="W461" s="20" t="str">
        <f t="shared" si="23"/>
        <v/>
      </c>
    </row>
    <row r="462" spans="2:23" ht="14.5">
      <c r="B462" s="205"/>
      <c r="C462" s="17"/>
      <c r="D462" s="17"/>
      <c r="E462" s="19"/>
      <c r="F462" s="19" t="str">
        <f>IF(MIS_Backend_Data!O461="", "", MIS_Backend_Data!O461)</f>
        <v/>
      </c>
      <c r="G462" t="str">
        <f>IF(MIS_Backend_Data!T461="", "", MIS_Backend_Data!T461)</f>
        <v/>
      </c>
      <c r="H462" t="str">
        <f>IF(MIS_Backend_Data!X461="", "", MIS_Backend_Data!X461)</f>
        <v/>
      </c>
      <c r="I462" t="str">
        <f>IF(MIS_Backend_Data!AC461="", "", MIS_Backend_Data!AC461)</f>
        <v/>
      </c>
      <c r="J462" t="str">
        <f>IF(MIS_Backend_Data!AB461="", "", MIS_Backend_Data!AB461)</f>
        <v/>
      </c>
      <c r="K462" t="str">
        <f>IF(MIS_Backend_Data!AG461="", "", MIS_Backend_Data!AG461)</f>
        <v/>
      </c>
      <c r="L462" s="20" t="str">
        <f>IF(MIS_Backend_Data!AI461="", "", MIS_Backend_Data!AI461)</f>
        <v/>
      </c>
      <c r="M462" t="str">
        <f>IF(MIS_Backend_Data!AK461="", "", MIS_Backend_Data!AK461)</f>
        <v/>
      </c>
      <c r="N462" t="str">
        <f>IF(MIS_Backend_Data!AM461="", "", MIS_Backend_Data!AM461)</f>
        <v/>
      </c>
      <c r="O462" t="str">
        <f>IF(MIS_Backend_Data!AO461="", "", MIS_Backend_Data!AO461)</f>
        <v/>
      </c>
      <c r="P462" t="str">
        <f>IF(MIS_Backend_Data!AS461="", "", MIS_Backend_Data!AS461)</f>
        <v/>
      </c>
      <c r="Q462" t="str">
        <f>IF(MIS_Backend_Data!AX461="", "", MIS_Backend_Data!AX461)</f>
        <v/>
      </c>
      <c r="R462" t="str">
        <f>IF(MIS_Backend_Data!BB461="", "", MIS_Backend_Data!BB461)</f>
        <v/>
      </c>
      <c r="S462" t="str">
        <f>IF(MIS_Backend_Data!AW461="", "", MIS_Backend_Data!AW461)</f>
        <v/>
      </c>
      <c r="T462" s="42" t="str">
        <f>IF(MIS_Backend_Data!N461="Dispatch","Completed","NA")</f>
        <v>NA</v>
      </c>
      <c r="U462" t="str">
        <f t="shared" si="21"/>
        <v/>
      </c>
      <c r="V462" t="str">
        <f t="shared" si="22"/>
        <v/>
      </c>
      <c r="W462" s="20" t="str">
        <f t="shared" si="23"/>
        <v/>
      </c>
    </row>
    <row r="463" spans="2:23" ht="14.5">
      <c r="B463" s="205"/>
      <c r="C463" s="17"/>
      <c r="D463" s="17"/>
      <c r="E463" s="19"/>
      <c r="F463" s="19" t="str">
        <f>IF(MIS_Backend_Data!O462="", "", MIS_Backend_Data!O462)</f>
        <v/>
      </c>
      <c r="G463" t="str">
        <f>IF(MIS_Backend_Data!T462="", "", MIS_Backend_Data!T462)</f>
        <v/>
      </c>
      <c r="H463" t="str">
        <f>IF(MIS_Backend_Data!X462="", "", MIS_Backend_Data!X462)</f>
        <v/>
      </c>
      <c r="I463" t="str">
        <f>IF(MIS_Backend_Data!AC462="", "", MIS_Backend_Data!AC462)</f>
        <v/>
      </c>
      <c r="J463" t="str">
        <f>IF(MIS_Backend_Data!AB462="", "", MIS_Backend_Data!AB462)</f>
        <v/>
      </c>
      <c r="K463" t="str">
        <f>IF(MIS_Backend_Data!AG462="", "", MIS_Backend_Data!AG462)</f>
        <v/>
      </c>
      <c r="L463" s="20" t="str">
        <f>IF(MIS_Backend_Data!AI462="", "", MIS_Backend_Data!AI462)</f>
        <v/>
      </c>
      <c r="M463" t="str">
        <f>IF(MIS_Backend_Data!AK462="", "", MIS_Backend_Data!AK462)</f>
        <v/>
      </c>
      <c r="N463" t="str">
        <f>IF(MIS_Backend_Data!AM462="", "", MIS_Backend_Data!AM462)</f>
        <v/>
      </c>
      <c r="O463" t="str">
        <f>IF(MIS_Backend_Data!AO462="", "", MIS_Backend_Data!AO462)</f>
        <v/>
      </c>
      <c r="P463" t="str">
        <f>IF(MIS_Backend_Data!AS462="", "", MIS_Backend_Data!AS462)</f>
        <v/>
      </c>
      <c r="Q463" t="str">
        <f>IF(MIS_Backend_Data!AX462="", "", MIS_Backend_Data!AX462)</f>
        <v/>
      </c>
      <c r="R463" t="str">
        <f>IF(MIS_Backend_Data!BB462="", "", MIS_Backend_Data!BB462)</f>
        <v/>
      </c>
      <c r="S463" t="str">
        <f>IF(MIS_Backend_Data!AW462="", "", MIS_Backend_Data!AW462)</f>
        <v/>
      </c>
      <c r="T463" s="42" t="str">
        <f>IF(MIS_Backend_Data!N462="Dispatch","Completed","NA")</f>
        <v>NA</v>
      </c>
      <c r="U463" t="str">
        <f t="shared" si="21"/>
        <v/>
      </c>
      <c r="V463" t="str">
        <f t="shared" si="22"/>
        <v/>
      </c>
      <c r="W463" s="20" t="str">
        <f t="shared" si="23"/>
        <v/>
      </c>
    </row>
    <row r="464" spans="2:23" ht="14.5">
      <c r="B464" s="205"/>
      <c r="C464" s="17"/>
      <c r="D464" s="17"/>
      <c r="E464" s="19"/>
      <c r="F464" s="19" t="str">
        <f>IF(MIS_Backend_Data!O463="", "", MIS_Backend_Data!O463)</f>
        <v/>
      </c>
      <c r="G464" t="str">
        <f>IF(MIS_Backend_Data!T463="", "", MIS_Backend_Data!T463)</f>
        <v/>
      </c>
      <c r="H464" t="str">
        <f>IF(MIS_Backend_Data!X463="", "", MIS_Backend_Data!X463)</f>
        <v/>
      </c>
      <c r="I464" t="str">
        <f>IF(MIS_Backend_Data!AC463="", "", MIS_Backend_Data!AC463)</f>
        <v/>
      </c>
      <c r="J464" t="str">
        <f>IF(MIS_Backend_Data!AB463="", "", MIS_Backend_Data!AB463)</f>
        <v/>
      </c>
      <c r="K464" t="str">
        <f>IF(MIS_Backend_Data!AG463="", "", MIS_Backend_Data!AG463)</f>
        <v/>
      </c>
      <c r="L464" s="20" t="str">
        <f>IF(MIS_Backend_Data!AI463="", "", MIS_Backend_Data!AI463)</f>
        <v/>
      </c>
      <c r="M464" t="str">
        <f>IF(MIS_Backend_Data!AK463="", "", MIS_Backend_Data!AK463)</f>
        <v/>
      </c>
      <c r="N464" t="str">
        <f>IF(MIS_Backend_Data!AM463="", "", MIS_Backend_Data!AM463)</f>
        <v/>
      </c>
      <c r="O464" t="str">
        <f>IF(MIS_Backend_Data!AO463="", "", MIS_Backend_Data!AO463)</f>
        <v/>
      </c>
      <c r="P464" t="str">
        <f>IF(MIS_Backend_Data!AS463="", "", MIS_Backend_Data!AS463)</f>
        <v/>
      </c>
      <c r="Q464" t="str">
        <f>IF(MIS_Backend_Data!AX463="", "", MIS_Backend_Data!AX463)</f>
        <v/>
      </c>
      <c r="R464" t="str">
        <f>IF(MIS_Backend_Data!BB463="", "", MIS_Backend_Data!BB463)</f>
        <v/>
      </c>
      <c r="S464" t="str">
        <f>IF(MIS_Backend_Data!AW463="", "", MIS_Backend_Data!AW463)</f>
        <v/>
      </c>
      <c r="T464" s="42" t="str">
        <f>IF(MIS_Backend_Data!N463="Dispatch","Completed","NA")</f>
        <v>NA</v>
      </c>
      <c r="U464" t="str">
        <f t="shared" si="21"/>
        <v/>
      </c>
      <c r="V464" t="str">
        <f t="shared" si="22"/>
        <v/>
      </c>
      <c r="W464" s="20" t="str">
        <f t="shared" si="23"/>
        <v/>
      </c>
    </row>
    <row r="465" spans="2:23" ht="14.5">
      <c r="B465" s="205"/>
      <c r="C465" s="17"/>
      <c r="D465" s="17"/>
      <c r="E465" s="19"/>
      <c r="F465" s="19" t="str">
        <f>IF(MIS_Backend_Data!O464="", "", MIS_Backend_Data!O464)</f>
        <v/>
      </c>
      <c r="G465" t="str">
        <f>IF(MIS_Backend_Data!T464="", "", MIS_Backend_Data!T464)</f>
        <v/>
      </c>
      <c r="H465" t="str">
        <f>IF(MIS_Backend_Data!X464="", "", MIS_Backend_Data!X464)</f>
        <v/>
      </c>
      <c r="I465" t="str">
        <f>IF(MIS_Backend_Data!AC464="", "", MIS_Backend_Data!AC464)</f>
        <v/>
      </c>
      <c r="J465" t="str">
        <f>IF(MIS_Backend_Data!AB464="", "", MIS_Backend_Data!AB464)</f>
        <v/>
      </c>
      <c r="K465" t="str">
        <f>IF(MIS_Backend_Data!AG464="", "", MIS_Backend_Data!AG464)</f>
        <v/>
      </c>
      <c r="L465" s="20" t="str">
        <f>IF(MIS_Backend_Data!AI464="", "", MIS_Backend_Data!AI464)</f>
        <v/>
      </c>
      <c r="M465" t="str">
        <f>IF(MIS_Backend_Data!AK464="", "", MIS_Backend_Data!AK464)</f>
        <v/>
      </c>
      <c r="N465" t="str">
        <f>IF(MIS_Backend_Data!AM464="", "", MIS_Backend_Data!AM464)</f>
        <v/>
      </c>
      <c r="O465" t="str">
        <f>IF(MIS_Backend_Data!AO464="", "", MIS_Backend_Data!AO464)</f>
        <v/>
      </c>
      <c r="P465" t="str">
        <f>IF(MIS_Backend_Data!AS464="", "", MIS_Backend_Data!AS464)</f>
        <v/>
      </c>
      <c r="Q465" t="str">
        <f>IF(MIS_Backend_Data!AX464="", "", MIS_Backend_Data!AX464)</f>
        <v/>
      </c>
      <c r="R465" t="str">
        <f>IF(MIS_Backend_Data!BB464="", "", MIS_Backend_Data!BB464)</f>
        <v/>
      </c>
      <c r="S465" t="str">
        <f>IF(MIS_Backend_Data!AW464="", "", MIS_Backend_Data!AW464)</f>
        <v/>
      </c>
      <c r="T465" s="42" t="str">
        <f>IF(MIS_Backend_Data!N464="Dispatch","Completed","NA")</f>
        <v>NA</v>
      </c>
      <c r="U465" t="str">
        <f t="shared" si="21"/>
        <v/>
      </c>
      <c r="V465" t="str">
        <f t="shared" si="22"/>
        <v/>
      </c>
      <c r="W465" s="20" t="str">
        <f t="shared" si="23"/>
        <v/>
      </c>
    </row>
    <row r="466" spans="2:23" ht="14.5">
      <c r="B466" s="205"/>
      <c r="C466" s="17"/>
      <c r="D466" s="17"/>
      <c r="E466" s="19"/>
      <c r="F466" s="19" t="str">
        <f>IF(MIS_Backend_Data!O465="", "", MIS_Backend_Data!O465)</f>
        <v/>
      </c>
      <c r="G466" t="str">
        <f>IF(MIS_Backend_Data!T465="", "", MIS_Backend_Data!T465)</f>
        <v/>
      </c>
      <c r="H466" t="str">
        <f>IF(MIS_Backend_Data!X465="", "", MIS_Backend_Data!X465)</f>
        <v/>
      </c>
      <c r="I466" t="str">
        <f>IF(MIS_Backend_Data!AC465="", "", MIS_Backend_Data!AC465)</f>
        <v/>
      </c>
      <c r="J466" t="str">
        <f>IF(MIS_Backend_Data!AB465="", "", MIS_Backend_Data!AB465)</f>
        <v/>
      </c>
      <c r="K466" t="str">
        <f>IF(MIS_Backend_Data!AG465="", "", MIS_Backend_Data!AG465)</f>
        <v/>
      </c>
      <c r="L466" s="20" t="str">
        <f>IF(MIS_Backend_Data!AI465="", "", MIS_Backend_Data!AI465)</f>
        <v/>
      </c>
      <c r="M466" t="str">
        <f>IF(MIS_Backend_Data!AK465="", "", MIS_Backend_Data!AK465)</f>
        <v/>
      </c>
      <c r="N466" t="str">
        <f>IF(MIS_Backend_Data!AM465="", "", MIS_Backend_Data!AM465)</f>
        <v/>
      </c>
      <c r="O466" t="str">
        <f>IF(MIS_Backend_Data!AO465="", "", MIS_Backend_Data!AO465)</f>
        <v/>
      </c>
      <c r="P466" t="str">
        <f>IF(MIS_Backend_Data!AS465="", "", MIS_Backend_Data!AS465)</f>
        <v/>
      </c>
      <c r="Q466" t="str">
        <f>IF(MIS_Backend_Data!AX465="", "", MIS_Backend_Data!AX465)</f>
        <v/>
      </c>
      <c r="R466" t="str">
        <f>IF(MIS_Backend_Data!BB465="", "", MIS_Backend_Data!BB465)</f>
        <v/>
      </c>
      <c r="S466" t="str">
        <f>IF(MIS_Backend_Data!AW465="", "", MIS_Backend_Data!AW465)</f>
        <v/>
      </c>
      <c r="T466" s="42" t="str">
        <f>IF(MIS_Backend_Data!N465="Dispatch","Completed","NA")</f>
        <v>NA</v>
      </c>
      <c r="U466" t="str">
        <f t="shared" si="21"/>
        <v/>
      </c>
      <c r="V466" t="str">
        <f t="shared" si="22"/>
        <v/>
      </c>
      <c r="W466" s="20" t="str">
        <f t="shared" si="23"/>
        <v/>
      </c>
    </row>
    <row r="467" spans="2:23" ht="14.5">
      <c r="B467" s="205"/>
      <c r="C467" s="17"/>
      <c r="D467" s="17"/>
      <c r="E467" s="19"/>
      <c r="F467" s="19" t="str">
        <f>IF(MIS_Backend_Data!O466="", "", MIS_Backend_Data!O466)</f>
        <v/>
      </c>
      <c r="G467" t="str">
        <f>IF(MIS_Backend_Data!T466="", "", MIS_Backend_Data!T466)</f>
        <v/>
      </c>
      <c r="H467" t="str">
        <f>IF(MIS_Backend_Data!X466="", "", MIS_Backend_Data!X466)</f>
        <v/>
      </c>
      <c r="I467" t="str">
        <f>IF(MIS_Backend_Data!AC466="", "", MIS_Backend_Data!AC466)</f>
        <v/>
      </c>
      <c r="J467" t="str">
        <f>IF(MIS_Backend_Data!AB466="", "", MIS_Backend_Data!AB466)</f>
        <v/>
      </c>
      <c r="K467" t="str">
        <f>IF(MIS_Backend_Data!AG466="", "", MIS_Backend_Data!AG466)</f>
        <v/>
      </c>
      <c r="L467" s="20" t="str">
        <f>IF(MIS_Backend_Data!AI466="", "", MIS_Backend_Data!AI466)</f>
        <v/>
      </c>
      <c r="M467" t="str">
        <f>IF(MIS_Backend_Data!AK466="", "", MIS_Backend_Data!AK466)</f>
        <v/>
      </c>
      <c r="N467" t="str">
        <f>IF(MIS_Backend_Data!AM466="", "", MIS_Backend_Data!AM466)</f>
        <v/>
      </c>
      <c r="O467" t="str">
        <f>IF(MIS_Backend_Data!AO466="", "", MIS_Backend_Data!AO466)</f>
        <v/>
      </c>
      <c r="P467" t="str">
        <f>IF(MIS_Backend_Data!AS466="", "", MIS_Backend_Data!AS466)</f>
        <v/>
      </c>
      <c r="Q467" t="str">
        <f>IF(MIS_Backend_Data!AX466="", "", MIS_Backend_Data!AX466)</f>
        <v/>
      </c>
      <c r="R467" t="str">
        <f>IF(MIS_Backend_Data!BB466="", "", MIS_Backend_Data!BB466)</f>
        <v/>
      </c>
      <c r="S467" t="str">
        <f>IF(MIS_Backend_Data!AW466="", "", MIS_Backend_Data!AW466)</f>
        <v/>
      </c>
      <c r="T467" s="42" t="str">
        <f>IF(MIS_Backend_Data!N466="Dispatch","Completed","NA")</f>
        <v>NA</v>
      </c>
      <c r="U467" t="str">
        <f t="shared" si="21"/>
        <v/>
      </c>
      <c r="V467" t="str">
        <f t="shared" si="22"/>
        <v/>
      </c>
      <c r="W467" s="20" t="str">
        <f t="shared" si="23"/>
        <v/>
      </c>
    </row>
    <row r="468" spans="2:23" ht="14.5">
      <c r="B468" s="205"/>
      <c r="C468" s="17"/>
      <c r="D468" s="17"/>
      <c r="E468" s="19"/>
      <c r="F468" s="19" t="str">
        <f>IF(MIS_Backend_Data!O467="", "", MIS_Backend_Data!O467)</f>
        <v/>
      </c>
      <c r="G468" t="str">
        <f>IF(MIS_Backend_Data!T467="", "", MIS_Backend_Data!T467)</f>
        <v/>
      </c>
      <c r="H468" t="str">
        <f>IF(MIS_Backend_Data!X467="", "", MIS_Backend_Data!X467)</f>
        <v/>
      </c>
      <c r="I468" t="str">
        <f>IF(MIS_Backend_Data!AC467="", "", MIS_Backend_Data!AC467)</f>
        <v/>
      </c>
      <c r="J468" t="str">
        <f>IF(MIS_Backend_Data!AB467="", "", MIS_Backend_Data!AB467)</f>
        <v/>
      </c>
      <c r="K468" t="str">
        <f>IF(MIS_Backend_Data!AG467="", "", MIS_Backend_Data!AG467)</f>
        <v/>
      </c>
      <c r="L468" s="20" t="str">
        <f>IF(MIS_Backend_Data!AI467="", "", MIS_Backend_Data!AI467)</f>
        <v/>
      </c>
      <c r="M468" t="str">
        <f>IF(MIS_Backend_Data!AK467="", "", MIS_Backend_Data!AK467)</f>
        <v/>
      </c>
      <c r="N468" t="str">
        <f>IF(MIS_Backend_Data!AM467="", "", MIS_Backend_Data!AM467)</f>
        <v/>
      </c>
      <c r="O468" t="str">
        <f>IF(MIS_Backend_Data!AO467="", "", MIS_Backend_Data!AO467)</f>
        <v/>
      </c>
      <c r="P468" t="str">
        <f>IF(MIS_Backend_Data!AS467="", "", MIS_Backend_Data!AS467)</f>
        <v/>
      </c>
      <c r="Q468" t="str">
        <f>IF(MIS_Backend_Data!AX467="", "", MIS_Backend_Data!AX467)</f>
        <v/>
      </c>
      <c r="R468" t="str">
        <f>IF(MIS_Backend_Data!BB467="", "", MIS_Backend_Data!BB467)</f>
        <v/>
      </c>
      <c r="S468" t="str">
        <f>IF(MIS_Backend_Data!AW467="", "", MIS_Backend_Data!AW467)</f>
        <v/>
      </c>
      <c r="T468" s="42" t="str">
        <f>IF(MIS_Backend_Data!N467="Dispatch","Completed","NA")</f>
        <v>NA</v>
      </c>
      <c r="U468" t="str">
        <f t="shared" si="21"/>
        <v/>
      </c>
      <c r="V468" t="str">
        <f t="shared" si="22"/>
        <v/>
      </c>
      <c r="W468" s="20" t="str">
        <f t="shared" si="23"/>
        <v/>
      </c>
    </row>
    <row r="469" spans="2:23" ht="14.5">
      <c r="B469" s="205"/>
      <c r="C469" s="17"/>
      <c r="D469" s="17"/>
      <c r="E469" s="19"/>
      <c r="F469" s="19" t="str">
        <f>IF(MIS_Backend_Data!O468="", "", MIS_Backend_Data!O468)</f>
        <v/>
      </c>
      <c r="G469" t="str">
        <f>IF(MIS_Backend_Data!T468="", "", MIS_Backend_Data!T468)</f>
        <v/>
      </c>
      <c r="H469" t="str">
        <f>IF(MIS_Backend_Data!X468="", "", MIS_Backend_Data!X468)</f>
        <v/>
      </c>
      <c r="I469" t="str">
        <f>IF(MIS_Backend_Data!AC468="", "", MIS_Backend_Data!AC468)</f>
        <v/>
      </c>
      <c r="J469" t="str">
        <f>IF(MIS_Backend_Data!AB468="", "", MIS_Backend_Data!AB468)</f>
        <v/>
      </c>
      <c r="K469" t="str">
        <f>IF(MIS_Backend_Data!AG468="", "", MIS_Backend_Data!AG468)</f>
        <v/>
      </c>
      <c r="L469" s="20" t="str">
        <f>IF(MIS_Backend_Data!AI468="", "", MIS_Backend_Data!AI468)</f>
        <v/>
      </c>
      <c r="M469" t="str">
        <f>IF(MIS_Backend_Data!AK468="", "", MIS_Backend_Data!AK468)</f>
        <v/>
      </c>
      <c r="N469" t="str">
        <f>IF(MIS_Backend_Data!AM468="", "", MIS_Backend_Data!AM468)</f>
        <v/>
      </c>
      <c r="O469" t="str">
        <f>IF(MIS_Backend_Data!AO468="", "", MIS_Backend_Data!AO468)</f>
        <v/>
      </c>
      <c r="P469" t="str">
        <f>IF(MIS_Backend_Data!AS468="", "", MIS_Backend_Data!AS468)</f>
        <v/>
      </c>
      <c r="Q469" t="str">
        <f>IF(MIS_Backend_Data!AX468="", "", MIS_Backend_Data!AX468)</f>
        <v/>
      </c>
      <c r="R469" t="str">
        <f>IF(MIS_Backend_Data!BB468="", "", MIS_Backend_Data!BB468)</f>
        <v/>
      </c>
      <c r="S469" t="str">
        <f>IF(MIS_Backend_Data!AW468="", "", MIS_Backend_Data!AW468)</f>
        <v/>
      </c>
      <c r="T469" s="42" t="str">
        <f>IF(MIS_Backend_Data!N468="Dispatch","Completed","NA")</f>
        <v>NA</v>
      </c>
      <c r="U469" t="str">
        <f t="shared" si="21"/>
        <v/>
      </c>
      <c r="V469" t="str">
        <f t="shared" si="22"/>
        <v/>
      </c>
      <c r="W469" s="20" t="str">
        <f t="shared" si="23"/>
        <v/>
      </c>
    </row>
    <row r="470" spans="2:23" ht="14.5">
      <c r="B470" s="205"/>
      <c r="C470" s="17"/>
      <c r="D470" s="17"/>
      <c r="E470" s="19"/>
      <c r="F470" s="19" t="str">
        <f>IF(MIS_Backend_Data!O469="", "", MIS_Backend_Data!O469)</f>
        <v/>
      </c>
      <c r="G470" t="str">
        <f>IF(MIS_Backend_Data!T469="", "", MIS_Backend_Data!T469)</f>
        <v/>
      </c>
      <c r="H470" t="str">
        <f>IF(MIS_Backend_Data!X469="", "", MIS_Backend_Data!X469)</f>
        <v/>
      </c>
      <c r="I470" t="str">
        <f>IF(MIS_Backend_Data!AC469="", "", MIS_Backend_Data!AC469)</f>
        <v/>
      </c>
      <c r="J470" t="str">
        <f>IF(MIS_Backend_Data!AB469="", "", MIS_Backend_Data!AB469)</f>
        <v/>
      </c>
      <c r="K470" t="str">
        <f>IF(MIS_Backend_Data!AG469="", "", MIS_Backend_Data!AG469)</f>
        <v/>
      </c>
      <c r="L470" s="20" t="str">
        <f>IF(MIS_Backend_Data!AI469="", "", MIS_Backend_Data!AI469)</f>
        <v/>
      </c>
      <c r="M470" t="str">
        <f>IF(MIS_Backend_Data!AK469="", "", MIS_Backend_Data!AK469)</f>
        <v/>
      </c>
      <c r="N470" t="str">
        <f>IF(MIS_Backend_Data!AM469="", "", MIS_Backend_Data!AM469)</f>
        <v/>
      </c>
      <c r="O470" t="str">
        <f>IF(MIS_Backend_Data!AO469="", "", MIS_Backend_Data!AO469)</f>
        <v/>
      </c>
      <c r="P470" t="str">
        <f>IF(MIS_Backend_Data!AS469="", "", MIS_Backend_Data!AS469)</f>
        <v/>
      </c>
      <c r="Q470" t="str">
        <f>IF(MIS_Backend_Data!AX469="", "", MIS_Backend_Data!AX469)</f>
        <v/>
      </c>
      <c r="R470" t="str">
        <f>IF(MIS_Backend_Data!BB469="", "", MIS_Backend_Data!BB469)</f>
        <v/>
      </c>
      <c r="S470" t="str">
        <f>IF(MIS_Backend_Data!AW469="", "", MIS_Backend_Data!AW469)</f>
        <v/>
      </c>
      <c r="T470" s="42" t="str">
        <f>IF(MIS_Backend_Data!N469="Dispatch","Completed","NA")</f>
        <v>NA</v>
      </c>
      <c r="U470" t="str">
        <f t="shared" si="21"/>
        <v/>
      </c>
      <c r="V470" t="str">
        <f t="shared" si="22"/>
        <v/>
      </c>
      <c r="W470" s="20" t="str">
        <f t="shared" si="23"/>
        <v/>
      </c>
    </row>
    <row r="471" spans="2:23" ht="14.5">
      <c r="B471" s="205"/>
      <c r="C471" s="17"/>
      <c r="D471" s="17"/>
      <c r="E471" s="19"/>
      <c r="F471" s="19" t="str">
        <f>IF(MIS_Backend_Data!O470="", "", MIS_Backend_Data!O470)</f>
        <v/>
      </c>
      <c r="G471" t="str">
        <f>IF(MIS_Backend_Data!T470="", "", MIS_Backend_Data!T470)</f>
        <v/>
      </c>
      <c r="H471" t="str">
        <f>IF(MIS_Backend_Data!X470="", "", MIS_Backend_Data!X470)</f>
        <v/>
      </c>
      <c r="I471" t="str">
        <f>IF(MIS_Backend_Data!AC470="", "", MIS_Backend_Data!AC470)</f>
        <v/>
      </c>
      <c r="J471" t="str">
        <f>IF(MIS_Backend_Data!AB470="", "", MIS_Backend_Data!AB470)</f>
        <v/>
      </c>
      <c r="K471" t="str">
        <f>IF(MIS_Backend_Data!AG470="", "", MIS_Backend_Data!AG470)</f>
        <v/>
      </c>
      <c r="L471" s="20" t="str">
        <f>IF(MIS_Backend_Data!AI470="", "", MIS_Backend_Data!AI470)</f>
        <v/>
      </c>
      <c r="M471" t="str">
        <f>IF(MIS_Backend_Data!AK470="", "", MIS_Backend_Data!AK470)</f>
        <v/>
      </c>
      <c r="N471" t="str">
        <f>IF(MIS_Backend_Data!AM470="", "", MIS_Backend_Data!AM470)</f>
        <v/>
      </c>
      <c r="O471" t="str">
        <f>IF(MIS_Backend_Data!AO470="", "", MIS_Backend_Data!AO470)</f>
        <v/>
      </c>
      <c r="P471" t="str">
        <f>IF(MIS_Backend_Data!AS470="", "", MIS_Backend_Data!AS470)</f>
        <v/>
      </c>
      <c r="Q471" t="str">
        <f>IF(MIS_Backend_Data!AX470="", "", MIS_Backend_Data!AX470)</f>
        <v/>
      </c>
      <c r="R471" t="str">
        <f>IF(MIS_Backend_Data!BB470="", "", MIS_Backend_Data!BB470)</f>
        <v/>
      </c>
      <c r="S471" t="str">
        <f>IF(MIS_Backend_Data!AW470="", "", MIS_Backend_Data!AW470)</f>
        <v/>
      </c>
      <c r="T471" s="42" t="str">
        <f>IF(MIS_Backend_Data!N470="Dispatch","Completed","NA")</f>
        <v>NA</v>
      </c>
      <c r="U471" t="str">
        <f t="shared" si="21"/>
        <v/>
      </c>
      <c r="V471" t="str">
        <f t="shared" si="22"/>
        <v/>
      </c>
      <c r="W471" s="20" t="str">
        <f t="shared" si="23"/>
        <v/>
      </c>
    </row>
    <row r="472" spans="2:23" ht="14.5">
      <c r="B472" s="205"/>
      <c r="C472" s="17"/>
      <c r="D472" s="17"/>
      <c r="E472" s="19"/>
      <c r="F472" s="19" t="str">
        <f>IF(MIS_Backend_Data!O471="", "", MIS_Backend_Data!O471)</f>
        <v/>
      </c>
      <c r="G472" t="str">
        <f>IF(MIS_Backend_Data!T471="", "", MIS_Backend_Data!T471)</f>
        <v/>
      </c>
      <c r="H472" t="str">
        <f>IF(MIS_Backend_Data!X471="", "", MIS_Backend_Data!X471)</f>
        <v/>
      </c>
      <c r="I472" t="str">
        <f>IF(MIS_Backend_Data!AC471="", "", MIS_Backend_Data!AC471)</f>
        <v/>
      </c>
      <c r="J472" t="str">
        <f>IF(MIS_Backend_Data!AB471="", "", MIS_Backend_Data!AB471)</f>
        <v/>
      </c>
      <c r="K472" t="str">
        <f>IF(MIS_Backend_Data!AG471="", "", MIS_Backend_Data!AG471)</f>
        <v/>
      </c>
      <c r="L472" s="20" t="str">
        <f>IF(MIS_Backend_Data!AI471="", "", MIS_Backend_Data!AI471)</f>
        <v/>
      </c>
      <c r="M472" t="str">
        <f>IF(MIS_Backend_Data!AK471="", "", MIS_Backend_Data!AK471)</f>
        <v/>
      </c>
      <c r="N472" t="str">
        <f>IF(MIS_Backend_Data!AM471="", "", MIS_Backend_Data!AM471)</f>
        <v/>
      </c>
      <c r="O472" t="str">
        <f>IF(MIS_Backend_Data!AO471="", "", MIS_Backend_Data!AO471)</f>
        <v/>
      </c>
      <c r="P472" t="str">
        <f>IF(MIS_Backend_Data!AS471="", "", MIS_Backend_Data!AS471)</f>
        <v/>
      </c>
      <c r="Q472" t="str">
        <f>IF(MIS_Backend_Data!AX471="", "", MIS_Backend_Data!AX471)</f>
        <v/>
      </c>
      <c r="R472" t="str">
        <f>IF(MIS_Backend_Data!BB471="", "", MIS_Backend_Data!BB471)</f>
        <v/>
      </c>
      <c r="S472" t="str">
        <f>IF(MIS_Backend_Data!AW471="", "", MIS_Backend_Data!AW471)</f>
        <v/>
      </c>
      <c r="T472" s="42" t="str">
        <f>IF(MIS_Backend_Data!N471="Dispatch","Completed","NA")</f>
        <v>NA</v>
      </c>
      <c r="U472" t="str">
        <f t="shared" si="21"/>
        <v/>
      </c>
      <c r="V472" t="str">
        <f t="shared" si="22"/>
        <v/>
      </c>
      <c r="W472" s="20" t="str">
        <f t="shared" si="23"/>
        <v/>
      </c>
    </row>
    <row r="473" spans="2:23" ht="14.5">
      <c r="B473" s="205"/>
      <c r="C473" s="17"/>
      <c r="D473" s="17"/>
      <c r="E473" s="19"/>
      <c r="F473" s="19" t="str">
        <f>IF(MIS_Backend_Data!O472="", "", MIS_Backend_Data!O472)</f>
        <v/>
      </c>
      <c r="G473" t="str">
        <f>IF(MIS_Backend_Data!T472="", "", MIS_Backend_Data!T472)</f>
        <v/>
      </c>
      <c r="H473" t="str">
        <f>IF(MIS_Backend_Data!X472="", "", MIS_Backend_Data!X472)</f>
        <v/>
      </c>
      <c r="I473" t="str">
        <f>IF(MIS_Backend_Data!AC472="", "", MIS_Backend_Data!AC472)</f>
        <v/>
      </c>
      <c r="J473" t="str">
        <f>IF(MIS_Backend_Data!AB472="", "", MIS_Backend_Data!AB472)</f>
        <v/>
      </c>
      <c r="K473" t="str">
        <f>IF(MIS_Backend_Data!AG472="", "", MIS_Backend_Data!AG472)</f>
        <v/>
      </c>
      <c r="L473" s="20" t="str">
        <f>IF(MIS_Backend_Data!AI472="", "", MIS_Backend_Data!AI472)</f>
        <v/>
      </c>
      <c r="M473" t="str">
        <f>IF(MIS_Backend_Data!AK472="", "", MIS_Backend_Data!AK472)</f>
        <v/>
      </c>
      <c r="N473" t="str">
        <f>IF(MIS_Backend_Data!AM472="", "", MIS_Backend_Data!AM472)</f>
        <v/>
      </c>
      <c r="O473" t="str">
        <f>IF(MIS_Backend_Data!AO472="", "", MIS_Backend_Data!AO472)</f>
        <v/>
      </c>
      <c r="P473" t="str">
        <f>IF(MIS_Backend_Data!AS472="", "", MIS_Backend_Data!AS472)</f>
        <v/>
      </c>
      <c r="Q473" t="str">
        <f>IF(MIS_Backend_Data!AX472="", "", MIS_Backend_Data!AX472)</f>
        <v/>
      </c>
      <c r="R473" t="str">
        <f>IF(MIS_Backend_Data!BB472="", "", MIS_Backend_Data!BB472)</f>
        <v/>
      </c>
      <c r="S473" t="str">
        <f>IF(MIS_Backend_Data!AW472="", "", MIS_Backend_Data!AW472)</f>
        <v/>
      </c>
      <c r="T473" s="42" t="str">
        <f>IF(MIS_Backend_Data!N472="Dispatch","Completed","NA")</f>
        <v>NA</v>
      </c>
      <c r="U473" t="str">
        <f t="shared" si="21"/>
        <v/>
      </c>
      <c r="V473" t="str">
        <f t="shared" si="22"/>
        <v/>
      </c>
      <c r="W473" s="20" t="str">
        <f t="shared" si="23"/>
        <v/>
      </c>
    </row>
    <row r="474" spans="2:23" ht="14.5">
      <c r="B474" s="205"/>
      <c r="C474" s="17"/>
      <c r="D474" s="17"/>
      <c r="E474" s="19"/>
      <c r="F474" s="19" t="str">
        <f>IF(MIS_Backend_Data!O473="", "", MIS_Backend_Data!O473)</f>
        <v/>
      </c>
      <c r="G474" t="str">
        <f>IF(MIS_Backend_Data!T473="", "", MIS_Backend_Data!T473)</f>
        <v/>
      </c>
      <c r="H474" t="str">
        <f>IF(MIS_Backend_Data!X473="", "", MIS_Backend_Data!X473)</f>
        <v/>
      </c>
      <c r="I474" t="str">
        <f>IF(MIS_Backend_Data!AC473="", "", MIS_Backend_Data!AC473)</f>
        <v/>
      </c>
      <c r="J474" t="str">
        <f>IF(MIS_Backend_Data!AB473="", "", MIS_Backend_Data!AB473)</f>
        <v/>
      </c>
      <c r="K474" t="str">
        <f>IF(MIS_Backend_Data!AG473="", "", MIS_Backend_Data!AG473)</f>
        <v/>
      </c>
      <c r="L474" s="20" t="str">
        <f>IF(MIS_Backend_Data!AI473="", "", MIS_Backend_Data!AI473)</f>
        <v/>
      </c>
      <c r="M474" t="str">
        <f>IF(MIS_Backend_Data!AK473="", "", MIS_Backend_Data!AK473)</f>
        <v/>
      </c>
      <c r="N474" t="str">
        <f>IF(MIS_Backend_Data!AM473="", "", MIS_Backend_Data!AM473)</f>
        <v/>
      </c>
      <c r="O474" t="str">
        <f>IF(MIS_Backend_Data!AO473="", "", MIS_Backend_Data!AO473)</f>
        <v/>
      </c>
      <c r="P474" t="str">
        <f>IF(MIS_Backend_Data!AS473="", "", MIS_Backend_Data!AS473)</f>
        <v/>
      </c>
      <c r="Q474" t="str">
        <f>IF(MIS_Backend_Data!AX473="", "", MIS_Backend_Data!AX473)</f>
        <v/>
      </c>
      <c r="R474" t="str">
        <f>IF(MIS_Backend_Data!BB473="", "", MIS_Backend_Data!BB473)</f>
        <v/>
      </c>
      <c r="S474" t="str">
        <f>IF(MIS_Backend_Data!AW473="", "", MIS_Backend_Data!AW473)</f>
        <v/>
      </c>
      <c r="T474" s="42" t="str">
        <f>IF(MIS_Backend_Data!N473="Dispatch","Completed","NA")</f>
        <v>NA</v>
      </c>
      <c r="U474" t="str">
        <f t="shared" si="21"/>
        <v/>
      </c>
      <c r="V474" t="str">
        <f t="shared" si="22"/>
        <v/>
      </c>
      <c r="W474" s="20" t="str">
        <f t="shared" si="23"/>
        <v/>
      </c>
    </row>
    <row r="475" spans="2:23" ht="14.5">
      <c r="B475" s="205"/>
      <c r="C475" s="17"/>
      <c r="D475" s="17"/>
      <c r="E475" s="19"/>
      <c r="F475" s="19" t="str">
        <f>IF(MIS_Backend_Data!O474="", "", MIS_Backend_Data!O474)</f>
        <v/>
      </c>
      <c r="G475" t="str">
        <f>IF(MIS_Backend_Data!T474="", "", MIS_Backend_Data!T474)</f>
        <v/>
      </c>
      <c r="H475" t="str">
        <f>IF(MIS_Backend_Data!X474="", "", MIS_Backend_Data!X474)</f>
        <v/>
      </c>
      <c r="I475" t="str">
        <f>IF(MIS_Backend_Data!AC474="", "", MIS_Backend_Data!AC474)</f>
        <v/>
      </c>
      <c r="J475" t="str">
        <f>IF(MIS_Backend_Data!AB474="", "", MIS_Backend_Data!AB474)</f>
        <v/>
      </c>
      <c r="K475" t="str">
        <f>IF(MIS_Backend_Data!AG474="", "", MIS_Backend_Data!AG474)</f>
        <v/>
      </c>
      <c r="L475" s="20" t="str">
        <f>IF(MIS_Backend_Data!AI474="", "", MIS_Backend_Data!AI474)</f>
        <v/>
      </c>
      <c r="M475" t="str">
        <f>IF(MIS_Backend_Data!AK474="", "", MIS_Backend_Data!AK474)</f>
        <v/>
      </c>
      <c r="N475" t="str">
        <f>IF(MIS_Backend_Data!AM474="", "", MIS_Backend_Data!AM474)</f>
        <v/>
      </c>
      <c r="O475" t="str">
        <f>IF(MIS_Backend_Data!AO474="", "", MIS_Backend_Data!AO474)</f>
        <v/>
      </c>
      <c r="P475" t="str">
        <f>IF(MIS_Backend_Data!AS474="", "", MIS_Backend_Data!AS474)</f>
        <v/>
      </c>
      <c r="Q475" t="str">
        <f>IF(MIS_Backend_Data!AX474="", "", MIS_Backend_Data!AX474)</f>
        <v/>
      </c>
      <c r="R475" t="str">
        <f>IF(MIS_Backend_Data!BB474="", "", MIS_Backend_Data!BB474)</f>
        <v/>
      </c>
      <c r="S475" t="str">
        <f>IF(MIS_Backend_Data!AW474="", "", MIS_Backend_Data!AW474)</f>
        <v/>
      </c>
      <c r="T475" s="42" t="str">
        <f>IF(MIS_Backend_Data!N474="Dispatch","Completed","NA")</f>
        <v>NA</v>
      </c>
      <c r="U475" t="str">
        <f t="shared" si="21"/>
        <v/>
      </c>
      <c r="V475" t="str">
        <f t="shared" si="22"/>
        <v/>
      </c>
      <c r="W475" s="20" t="str">
        <f t="shared" si="23"/>
        <v/>
      </c>
    </row>
    <row r="476" spans="2:23" ht="14.5">
      <c r="B476" s="205"/>
      <c r="C476" s="17"/>
      <c r="D476" s="17"/>
      <c r="E476" s="19"/>
      <c r="F476" s="19" t="str">
        <f>IF(MIS_Backend_Data!O475="", "", MIS_Backend_Data!O475)</f>
        <v/>
      </c>
      <c r="G476" t="str">
        <f>IF(MIS_Backend_Data!T475="", "", MIS_Backend_Data!T475)</f>
        <v/>
      </c>
      <c r="H476" t="str">
        <f>IF(MIS_Backend_Data!X475="", "", MIS_Backend_Data!X475)</f>
        <v/>
      </c>
      <c r="I476" t="str">
        <f>IF(MIS_Backend_Data!AC475="", "", MIS_Backend_Data!AC475)</f>
        <v/>
      </c>
      <c r="J476" t="str">
        <f>IF(MIS_Backend_Data!AB475="", "", MIS_Backend_Data!AB475)</f>
        <v/>
      </c>
      <c r="K476" t="str">
        <f>IF(MIS_Backend_Data!AG475="", "", MIS_Backend_Data!AG475)</f>
        <v/>
      </c>
      <c r="L476" s="20" t="str">
        <f>IF(MIS_Backend_Data!AI475="", "", MIS_Backend_Data!AI475)</f>
        <v/>
      </c>
      <c r="M476" t="str">
        <f>IF(MIS_Backend_Data!AK475="", "", MIS_Backend_Data!AK475)</f>
        <v/>
      </c>
      <c r="N476" t="str">
        <f>IF(MIS_Backend_Data!AM475="", "", MIS_Backend_Data!AM475)</f>
        <v/>
      </c>
      <c r="O476" t="str">
        <f>IF(MIS_Backend_Data!AO475="", "", MIS_Backend_Data!AO475)</f>
        <v/>
      </c>
      <c r="P476" t="str">
        <f>IF(MIS_Backend_Data!AS475="", "", MIS_Backend_Data!AS475)</f>
        <v/>
      </c>
      <c r="Q476" t="str">
        <f>IF(MIS_Backend_Data!AX475="", "", MIS_Backend_Data!AX475)</f>
        <v/>
      </c>
      <c r="R476" t="str">
        <f>IF(MIS_Backend_Data!BB475="", "", MIS_Backend_Data!BB475)</f>
        <v/>
      </c>
      <c r="S476" t="str">
        <f>IF(MIS_Backend_Data!AW475="", "", MIS_Backend_Data!AW475)</f>
        <v/>
      </c>
      <c r="T476" s="42" t="str">
        <f>IF(MIS_Backend_Data!N475="Dispatch","Completed","NA")</f>
        <v>NA</v>
      </c>
      <c r="U476" t="str">
        <f t="shared" si="21"/>
        <v/>
      </c>
      <c r="V476" t="str">
        <f t="shared" si="22"/>
        <v/>
      </c>
      <c r="W476" s="20" t="str">
        <f t="shared" si="23"/>
        <v/>
      </c>
    </row>
    <row r="477" spans="2:23" ht="14.5">
      <c r="B477" s="205"/>
      <c r="C477" s="17"/>
      <c r="D477" s="17"/>
      <c r="E477" s="19"/>
      <c r="F477" s="19" t="str">
        <f>IF(MIS_Backend_Data!O476="", "", MIS_Backend_Data!O476)</f>
        <v/>
      </c>
      <c r="G477" t="str">
        <f>IF(MIS_Backend_Data!T476="", "", MIS_Backend_Data!T476)</f>
        <v/>
      </c>
      <c r="H477" t="str">
        <f>IF(MIS_Backend_Data!X476="", "", MIS_Backend_Data!X476)</f>
        <v/>
      </c>
      <c r="I477" t="str">
        <f>IF(MIS_Backend_Data!AC476="", "", MIS_Backend_Data!AC476)</f>
        <v/>
      </c>
      <c r="J477" t="str">
        <f>IF(MIS_Backend_Data!AB476="", "", MIS_Backend_Data!AB476)</f>
        <v/>
      </c>
      <c r="K477" t="str">
        <f>IF(MIS_Backend_Data!AG476="", "", MIS_Backend_Data!AG476)</f>
        <v/>
      </c>
      <c r="L477" s="20" t="str">
        <f>IF(MIS_Backend_Data!AI476="", "", MIS_Backend_Data!AI476)</f>
        <v/>
      </c>
      <c r="M477" t="str">
        <f>IF(MIS_Backend_Data!AK476="", "", MIS_Backend_Data!AK476)</f>
        <v/>
      </c>
      <c r="N477" t="str">
        <f>IF(MIS_Backend_Data!AM476="", "", MIS_Backend_Data!AM476)</f>
        <v/>
      </c>
      <c r="O477" t="str">
        <f>IF(MIS_Backend_Data!AO476="", "", MIS_Backend_Data!AO476)</f>
        <v/>
      </c>
      <c r="P477" t="str">
        <f>IF(MIS_Backend_Data!AS476="", "", MIS_Backend_Data!AS476)</f>
        <v/>
      </c>
      <c r="Q477" t="str">
        <f>IF(MIS_Backend_Data!AX476="", "", MIS_Backend_Data!AX476)</f>
        <v/>
      </c>
      <c r="R477" t="str">
        <f>IF(MIS_Backend_Data!BB476="", "", MIS_Backend_Data!BB476)</f>
        <v/>
      </c>
      <c r="S477" t="str">
        <f>IF(MIS_Backend_Data!AW476="", "", MIS_Backend_Data!AW476)</f>
        <v/>
      </c>
      <c r="T477" s="42" t="str">
        <f>IF(MIS_Backend_Data!N476="Dispatch","Completed","NA")</f>
        <v>NA</v>
      </c>
      <c r="U477" t="str">
        <f t="shared" si="21"/>
        <v/>
      </c>
      <c r="V477" t="str">
        <f t="shared" si="22"/>
        <v/>
      </c>
      <c r="W477" s="20" t="str">
        <f t="shared" si="23"/>
        <v/>
      </c>
    </row>
    <row r="478" spans="2:23" ht="14.5">
      <c r="B478" s="205"/>
      <c r="C478" s="17"/>
      <c r="D478" s="17"/>
      <c r="E478" s="19"/>
      <c r="F478" s="19" t="str">
        <f>IF(MIS_Backend_Data!O477="", "", MIS_Backend_Data!O477)</f>
        <v/>
      </c>
      <c r="G478" t="str">
        <f>IF(MIS_Backend_Data!T477="", "", MIS_Backend_Data!T477)</f>
        <v/>
      </c>
      <c r="H478" t="str">
        <f>IF(MIS_Backend_Data!X477="", "", MIS_Backend_Data!X477)</f>
        <v/>
      </c>
      <c r="I478" t="str">
        <f>IF(MIS_Backend_Data!AC477="", "", MIS_Backend_Data!AC477)</f>
        <v/>
      </c>
      <c r="J478" t="str">
        <f>IF(MIS_Backend_Data!AB477="", "", MIS_Backend_Data!AB477)</f>
        <v/>
      </c>
      <c r="K478" t="str">
        <f>IF(MIS_Backend_Data!AG477="", "", MIS_Backend_Data!AG477)</f>
        <v/>
      </c>
      <c r="L478" s="20" t="str">
        <f>IF(MIS_Backend_Data!AI477="", "", MIS_Backend_Data!AI477)</f>
        <v/>
      </c>
      <c r="M478" t="str">
        <f>IF(MIS_Backend_Data!AK477="", "", MIS_Backend_Data!AK477)</f>
        <v/>
      </c>
      <c r="N478" t="str">
        <f>IF(MIS_Backend_Data!AM477="", "", MIS_Backend_Data!AM477)</f>
        <v/>
      </c>
      <c r="O478" t="str">
        <f>IF(MIS_Backend_Data!AO477="", "", MIS_Backend_Data!AO477)</f>
        <v/>
      </c>
      <c r="P478" t="str">
        <f>IF(MIS_Backend_Data!AS477="", "", MIS_Backend_Data!AS477)</f>
        <v/>
      </c>
      <c r="Q478" t="str">
        <f>IF(MIS_Backend_Data!AX477="", "", MIS_Backend_Data!AX477)</f>
        <v/>
      </c>
      <c r="R478" t="str">
        <f>IF(MIS_Backend_Data!BB477="", "", MIS_Backend_Data!BB477)</f>
        <v/>
      </c>
      <c r="S478" t="str">
        <f>IF(MIS_Backend_Data!AW477="", "", MIS_Backend_Data!AW477)</f>
        <v/>
      </c>
      <c r="T478" s="42" t="str">
        <f>IF(MIS_Backend_Data!N477="Dispatch","Completed","NA")</f>
        <v>NA</v>
      </c>
      <c r="U478" t="str">
        <f t="shared" si="21"/>
        <v/>
      </c>
      <c r="V478" t="str">
        <f t="shared" si="22"/>
        <v/>
      </c>
      <c r="W478" s="20" t="str">
        <f t="shared" si="23"/>
        <v/>
      </c>
    </row>
    <row r="479" spans="2:23" ht="14.5">
      <c r="B479" s="205"/>
      <c r="C479" s="17"/>
      <c r="D479" s="17"/>
      <c r="E479" s="19"/>
      <c r="F479" s="19" t="str">
        <f>IF(MIS_Backend_Data!O478="", "", MIS_Backend_Data!O478)</f>
        <v/>
      </c>
      <c r="G479" t="str">
        <f>IF(MIS_Backend_Data!T478="", "", MIS_Backend_Data!T478)</f>
        <v/>
      </c>
      <c r="H479" t="str">
        <f>IF(MIS_Backend_Data!X478="", "", MIS_Backend_Data!X478)</f>
        <v/>
      </c>
      <c r="I479" t="str">
        <f>IF(MIS_Backend_Data!AC478="", "", MIS_Backend_Data!AC478)</f>
        <v/>
      </c>
      <c r="J479" t="str">
        <f>IF(MIS_Backend_Data!AB478="", "", MIS_Backend_Data!AB478)</f>
        <v/>
      </c>
      <c r="K479" t="str">
        <f>IF(MIS_Backend_Data!AG478="", "", MIS_Backend_Data!AG478)</f>
        <v/>
      </c>
      <c r="L479" s="20" t="str">
        <f>IF(MIS_Backend_Data!AI478="", "", MIS_Backend_Data!AI478)</f>
        <v/>
      </c>
      <c r="M479" t="str">
        <f>IF(MIS_Backend_Data!AK478="", "", MIS_Backend_Data!AK478)</f>
        <v/>
      </c>
      <c r="N479" t="str">
        <f>IF(MIS_Backend_Data!AM478="", "", MIS_Backend_Data!AM478)</f>
        <v/>
      </c>
      <c r="O479" t="str">
        <f>IF(MIS_Backend_Data!AO478="", "", MIS_Backend_Data!AO478)</f>
        <v/>
      </c>
      <c r="P479" t="str">
        <f>IF(MIS_Backend_Data!AS478="", "", MIS_Backend_Data!AS478)</f>
        <v/>
      </c>
      <c r="Q479" t="str">
        <f>IF(MIS_Backend_Data!AX478="", "", MIS_Backend_Data!AX478)</f>
        <v/>
      </c>
      <c r="R479" t="str">
        <f>IF(MIS_Backend_Data!BB478="", "", MIS_Backend_Data!BB478)</f>
        <v/>
      </c>
      <c r="S479" t="str">
        <f>IF(MIS_Backend_Data!AW478="", "", MIS_Backend_Data!AW478)</f>
        <v/>
      </c>
      <c r="T479" s="42" t="str">
        <f>IF(MIS_Backend_Data!N478="Dispatch","Completed","NA")</f>
        <v>NA</v>
      </c>
      <c r="U479" t="str">
        <f t="shared" si="21"/>
        <v/>
      </c>
      <c r="V479" t="str">
        <f t="shared" si="22"/>
        <v/>
      </c>
      <c r="W479" s="20" t="str">
        <f t="shared" si="23"/>
        <v/>
      </c>
    </row>
    <row r="480" spans="2:23" ht="14.5">
      <c r="B480" s="205"/>
      <c r="C480" s="17"/>
      <c r="D480" s="17"/>
      <c r="E480" s="19"/>
      <c r="F480" s="19" t="str">
        <f>IF(MIS_Backend_Data!O479="", "", MIS_Backend_Data!O479)</f>
        <v/>
      </c>
      <c r="G480" t="str">
        <f>IF(MIS_Backend_Data!T479="", "", MIS_Backend_Data!T479)</f>
        <v/>
      </c>
      <c r="H480" t="str">
        <f>IF(MIS_Backend_Data!X479="", "", MIS_Backend_Data!X479)</f>
        <v/>
      </c>
      <c r="I480" t="str">
        <f>IF(MIS_Backend_Data!AC479="", "", MIS_Backend_Data!AC479)</f>
        <v/>
      </c>
      <c r="J480" t="str">
        <f>IF(MIS_Backend_Data!AB479="", "", MIS_Backend_Data!AB479)</f>
        <v/>
      </c>
      <c r="K480" t="str">
        <f>IF(MIS_Backend_Data!AG479="", "", MIS_Backend_Data!AG479)</f>
        <v/>
      </c>
      <c r="L480" s="20" t="str">
        <f>IF(MIS_Backend_Data!AI479="", "", MIS_Backend_Data!AI479)</f>
        <v/>
      </c>
      <c r="M480" t="str">
        <f>IF(MIS_Backend_Data!AK479="", "", MIS_Backend_Data!AK479)</f>
        <v/>
      </c>
      <c r="N480" t="str">
        <f>IF(MIS_Backend_Data!AM479="", "", MIS_Backend_Data!AM479)</f>
        <v/>
      </c>
      <c r="O480" t="str">
        <f>IF(MIS_Backend_Data!AO479="", "", MIS_Backend_Data!AO479)</f>
        <v/>
      </c>
      <c r="P480" t="str">
        <f>IF(MIS_Backend_Data!AS479="", "", MIS_Backend_Data!AS479)</f>
        <v/>
      </c>
      <c r="Q480" t="str">
        <f>IF(MIS_Backend_Data!AX479="", "", MIS_Backend_Data!AX479)</f>
        <v/>
      </c>
      <c r="R480" t="str">
        <f>IF(MIS_Backend_Data!BB479="", "", MIS_Backend_Data!BB479)</f>
        <v/>
      </c>
      <c r="S480" t="str">
        <f>IF(MIS_Backend_Data!AW479="", "", MIS_Backend_Data!AW479)</f>
        <v/>
      </c>
      <c r="T480" s="42" t="str">
        <f>IF(MIS_Backend_Data!N479="Dispatch","Completed","NA")</f>
        <v>NA</v>
      </c>
      <c r="U480" t="str">
        <f t="shared" si="21"/>
        <v/>
      </c>
      <c r="V480" t="str">
        <f t="shared" si="22"/>
        <v/>
      </c>
      <c r="W480" s="20" t="str">
        <f t="shared" si="23"/>
        <v/>
      </c>
    </row>
    <row r="481" spans="2:23" ht="14.5">
      <c r="B481" s="205"/>
      <c r="C481" s="17"/>
      <c r="D481" s="17"/>
      <c r="E481" s="19"/>
      <c r="F481" s="19" t="str">
        <f>IF(MIS_Backend_Data!O480="", "", MIS_Backend_Data!O480)</f>
        <v/>
      </c>
      <c r="G481" t="str">
        <f>IF(MIS_Backend_Data!T480="", "", MIS_Backend_Data!T480)</f>
        <v/>
      </c>
      <c r="H481" t="str">
        <f>IF(MIS_Backend_Data!X480="", "", MIS_Backend_Data!X480)</f>
        <v/>
      </c>
      <c r="I481" t="str">
        <f>IF(MIS_Backend_Data!AC480="", "", MIS_Backend_Data!AC480)</f>
        <v/>
      </c>
      <c r="J481" t="str">
        <f>IF(MIS_Backend_Data!AB480="", "", MIS_Backend_Data!AB480)</f>
        <v/>
      </c>
      <c r="K481" t="str">
        <f>IF(MIS_Backend_Data!AG480="", "", MIS_Backend_Data!AG480)</f>
        <v/>
      </c>
      <c r="L481" s="20" t="str">
        <f>IF(MIS_Backend_Data!AI480="", "", MIS_Backend_Data!AI480)</f>
        <v/>
      </c>
      <c r="M481" t="str">
        <f>IF(MIS_Backend_Data!AK480="", "", MIS_Backend_Data!AK480)</f>
        <v/>
      </c>
      <c r="N481" t="str">
        <f>IF(MIS_Backend_Data!AM480="", "", MIS_Backend_Data!AM480)</f>
        <v/>
      </c>
      <c r="O481" t="str">
        <f>IF(MIS_Backend_Data!AO480="", "", MIS_Backend_Data!AO480)</f>
        <v/>
      </c>
      <c r="P481" t="str">
        <f>IF(MIS_Backend_Data!AS480="", "", MIS_Backend_Data!AS480)</f>
        <v/>
      </c>
      <c r="Q481" t="str">
        <f>IF(MIS_Backend_Data!AX480="", "", MIS_Backend_Data!AX480)</f>
        <v/>
      </c>
      <c r="R481" t="str">
        <f>IF(MIS_Backend_Data!BB480="", "", MIS_Backend_Data!BB480)</f>
        <v/>
      </c>
      <c r="S481" t="str">
        <f>IF(MIS_Backend_Data!AW480="", "", MIS_Backend_Data!AW480)</f>
        <v/>
      </c>
      <c r="T481" s="42" t="str">
        <f>IF(MIS_Backend_Data!N480="Dispatch","Completed","NA")</f>
        <v>NA</v>
      </c>
      <c r="U481" t="str">
        <f t="shared" si="21"/>
        <v/>
      </c>
      <c r="V481" t="str">
        <f t="shared" si="22"/>
        <v/>
      </c>
      <c r="W481" s="20" t="str">
        <f t="shared" si="23"/>
        <v/>
      </c>
    </row>
    <row r="482" spans="2:23" ht="14.5">
      <c r="B482" s="205"/>
      <c r="C482" s="17"/>
      <c r="D482" s="17"/>
      <c r="E482" s="19"/>
      <c r="F482" s="19" t="str">
        <f>IF(MIS_Backend_Data!O481="", "", MIS_Backend_Data!O481)</f>
        <v/>
      </c>
      <c r="G482" t="str">
        <f>IF(MIS_Backend_Data!T481="", "", MIS_Backend_Data!T481)</f>
        <v/>
      </c>
      <c r="H482" t="str">
        <f>IF(MIS_Backend_Data!X481="", "", MIS_Backend_Data!X481)</f>
        <v/>
      </c>
      <c r="I482" t="str">
        <f>IF(MIS_Backend_Data!AC481="", "", MIS_Backend_Data!AC481)</f>
        <v/>
      </c>
      <c r="J482" t="str">
        <f>IF(MIS_Backend_Data!AB481="", "", MIS_Backend_Data!AB481)</f>
        <v/>
      </c>
      <c r="K482" t="str">
        <f>IF(MIS_Backend_Data!AG481="", "", MIS_Backend_Data!AG481)</f>
        <v/>
      </c>
      <c r="L482" s="20" t="str">
        <f>IF(MIS_Backend_Data!AI481="", "", MIS_Backend_Data!AI481)</f>
        <v/>
      </c>
      <c r="M482" t="str">
        <f>IF(MIS_Backend_Data!AK481="", "", MIS_Backend_Data!AK481)</f>
        <v/>
      </c>
      <c r="N482" t="str">
        <f>IF(MIS_Backend_Data!AM481="", "", MIS_Backend_Data!AM481)</f>
        <v/>
      </c>
      <c r="O482" t="str">
        <f>IF(MIS_Backend_Data!AO481="", "", MIS_Backend_Data!AO481)</f>
        <v/>
      </c>
      <c r="P482" t="str">
        <f>IF(MIS_Backend_Data!AS481="", "", MIS_Backend_Data!AS481)</f>
        <v/>
      </c>
      <c r="Q482" t="str">
        <f>IF(MIS_Backend_Data!AX481="", "", MIS_Backend_Data!AX481)</f>
        <v/>
      </c>
      <c r="R482" t="str">
        <f>IF(MIS_Backend_Data!BB481="", "", MIS_Backend_Data!BB481)</f>
        <v/>
      </c>
      <c r="S482" t="str">
        <f>IF(MIS_Backend_Data!AW481="", "", MIS_Backend_Data!AW481)</f>
        <v/>
      </c>
      <c r="T482" s="42" t="str">
        <f>IF(MIS_Backend_Data!N481="Dispatch","Completed","NA")</f>
        <v>NA</v>
      </c>
      <c r="U482" t="str">
        <f t="shared" si="21"/>
        <v/>
      </c>
      <c r="V482" t="str">
        <f t="shared" si="22"/>
        <v/>
      </c>
      <c r="W482" s="20" t="str">
        <f t="shared" si="23"/>
        <v/>
      </c>
    </row>
    <row r="483" spans="2:23" ht="14.5">
      <c r="B483" s="205"/>
      <c r="C483" s="17"/>
      <c r="D483" s="17"/>
      <c r="E483" s="19"/>
      <c r="F483" s="19" t="str">
        <f>IF(MIS_Backend_Data!O482="", "", MIS_Backend_Data!O482)</f>
        <v/>
      </c>
      <c r="G483" t="str">
        <f>IF(MIS_Backend_Data!T482="", "", MIS_Backend_Data!T482)</f>
        <v/>
      </c>
      <c r="H483" t="str">
        <f>IF(MIS_Backend_Data!X482="", "", MIS_Backend_Data!X482)</f>
        <v/>
      </c>
      <c r="I483" t="str">
        <f>IF(MIS_Backend_Data!AC482="", "", MIS_Backend_Data!AC482)</f>
        <v/>
      </c>
      <c r="J483" t="str">
        <f>IF(MIS_Backend_Data!AB482="", "", MIS_Backend_Data!AB482)</f>
        <v/>
      </c>
      <c r="K483" t="str">
        <f>IF(MIS_Backend_Data!AG482="", "", MIS_Backend_Data!AG482)</f>
        <v/>
      </c>
      <c r="L483" s="20" t="str">
        <f>IF(MIS_Backend_Data!AI482="", "", MIS_Backend_Data!AI482)</f>
        <v/>
      </c>
      <c r="M483" t="str">
        <f>IF(MIS_Backend_Data!AK482="", "", MIS_Backend_Data!AK482)</f>
        <v/>
      </c>
      <c r="N483" t="str">
        <f>IF(MIS_Backend_Data!AM482="", "", MIS_Backend_Data!AM482)</f>
        <v/>
      </c>
      <c r="O483" t="str">
        <f>IF(MIS_Backend_Data!AO482="", "", MIS_Backend_Data!AO482)</f>
        <v/>
      </c>
      <c r="P483" t="str">
        <f>IF(MIS_Backend_Data!AS482="", "", MIS_Backend_Data!AS482)</f>
        <v/>
      </c>
      <c r="Q483" t="str">
        <f>IF(MIS_Backend_Data!AX482="", "", MIS_Backend_Data!AX482)</f>
        <v/>
      </c>
      <c r="R483" t="str">
        <f>IF(MIS_Backend_Data!BB482="", "", MIS_Backend_Data!BB482)</f>
        <v/>
      </c>
      <c r="S483" t="str">
        <f>IF(MIS_Backend_Data!AW482="", "", MIS_Backend_Data!AW482)</f>
        <v/>
      </c>
      <c r="T483" s="42" t="str">
        <f>IF(MIS_Backend_Data!N482="Dispatch","Completed","NA")</f>
        <v>NA</v>
      </c>
      <c r="U483" t="str">
        <f t="shared" si="21"/>
        <v/>
      </c>
      <c r="V483" t="str">
        <f t="shared" si="22"/>
        <v/>
      </c>
      <c r="W483" s="20" t="str">
        <f t="shared" si="23"/>
        <v/>
      </c>
    </row>
    <row r="484" spans="2:23" ht="14.5">
      <c r="B484" s="205"/>
      <c r="C484" s="17"/>
      <c r="D484" s="17"/>
      <c r="E484" s="19"/>
      <c r="F484" s="19" t="str">
        <f>IF(MIS_Backend_Data!O483="", "", MIS_Backend_Data!O483)</f>
        <v/>
      </c>
      <c r="G484" t="str">
        <f>IF(MIS_Backend_Data!T483="", "", MIS_Backend_Data!T483)</f>
        <v/>
      </c>
      <c r="H484" t="str">
        <f>IF(MIS_Backend_Data!X483="", "", MIS_Backend_Data!X483)</f>
        <v/>
      </c>
      <c r="I484" t="str">
        <f>IF(MIS_Backend_Data!AC483="", "", MIS_Backend_Data!AC483)</f>
        <v/>
      </c>
      <c r="J484" t="str">
        <f>IF(MIS_Backend_Data!AB483="", "", MIS_Backend_Data!AB483)</f>
        <v/>
      </c>
      <c r="K484" t="str">
        <f>IF(MIS_Backend_Data!AG483="", "", MIS_Backend_Data!AG483)</f>
        <v/>
      </c>
      <c r="L484" s="20" t="str">
        <f>IF(MIS_Backend_Data!AI483="", "", MIS_Backend_Data!AI483)</f>
        <v/>
      </c>
      <c r="M484" t="str">
        <f>IF(MIS_Backend_Data!AK483="", "", MIS_Backend_Data!AK483)</f>
        <v/>
      </c>
      <c r="N484" t="str">
        <f>IF(MIS_Backend_Data!AM483="", "", MIS_Backend_Data!AM483)</f>
        <v/>
      </c>
      <c r="O484" t="str">
        <f>IF(MIS_Backend_Data!AO483="", "", MIS_Backend_Data!AO483)</f>
        <v/>
      </c>
      <c r="P484" t="str">
        <f>IF(MIS_Backend_Data!AS483="", "", MIS_Backend_Data!AS483)</f>
        <v/>
      </c>
      <c r="Q484" t="str">
        <f>IF(MIS_Backend_Data!AX483="", "", MIS_Backend_Data!AX483)</f>
        <v/>
      </c>
      <c r="R484" t="str">
        <f>IF(MIS_Backend_Data!BB483="", "", MIS_Backend_Data!BB483)</f>
        <v/>
      </c>
      <c r="S484" t="str">
        <f>IF(MIS_Backend_Data!AW483="", "", MIS_Backend_Data!AW483)</f>
        <v/>
      </c>
      <c r="T484" s="42" t="str">
        <f>IF(MIS_Backend_Data!N483="Dispatch","Completed","NA")</f>
        <v>NA</v>
      </c>
      <c r="U484" t="str">
        <f t="shared" si="21"/>
        <v/>
      </c>
      <c r="V484" t="str">
        <f t="shared" si="22"/>
        <v/>
      </c>
      <c r="W484" s="20" t="str">
        <f t="shared" si="23"/>
        <v/>
      </c>
    </row>
    <row r="485" spans="2:23" ht="14.5">
      <c r="B485" s="205"/>
      <c r="C485" s="17"/>
      <c r="D485" s="17"/>
      <c r="E485" s="19"/>
      <c r="F485" s="19" t="str">
        <f>IF(MIS_Backend_Data!O484="", "", MIS_Backend_Data!O484)</f>
        <v/>
      </c>
      <c r="G485" t="str">
        <f>IF(MIS_Backend_Data!T484="", "", MIS_Backend_Data!T484)</f>
        <v/>
      </c>
      <c r="H485" t="str">
        <f>IF(MIS_Backend_Data!X484="", "", MIS_Backend_Data!X484)</f>
        <v/>
      </c>
      <c r="I485" t="str">
        <f>IF(MIS_Backend_Data!AC484="", "", MIS_Backend_Data!AC484)</f>
        <v/>
      </c>
      <c r="J485" t="str">
        <f>IF(MIS_Backend_Data!AB484="", "", MIS_Backend_Data!AB484)</f>
        <v/>
      </c>
      <c r="K485" t="str">
        <f>IF(MIS_Backend_Data!AG484="", "", MIS_Backend_Data!AG484)</f>
        <v/>
      </c>
      <c r="L485" s="20" t="str">
        <f>IF(MIS_Backend_Data!AI484="", "", MIS_Backend_Data!AI484)</f>
        <v/>
      </c>
      <c r="M485" t="str">
        <f>IF(MIS_Backend_Data!AK484="", "", MIS_Backend_Data!AK484)</f>
        <v/>
      </c>
      <c r="N485" t="str">
        <f>IF(MIS_Backend_Data!AM484="", "", MIS_Backend_Data!AM484)</f>
        <v/>
      </c>
      <c r="O485" t="str">
        <f>IF(MIS_Backend_Data!AO484="", "", MIS_Backend_Data!AO484)</f>
        <v/>
      </c>
      <c r="P485" t="str">
        <f>IF(MIS_Backend_Data!AS484="", "", MIS_Backend_Data!AS484)</f>
        <v/>
      </c>
      <c r="Q485" t="str">
        <f>IF(MIS_Backend_Data!AX484="", "", MIS_Backend_Data!AX484)</f>
        <v/>
      </c>
      <c r="R485" t="str">
        <f>IF(MIS_Backend_Data!BB484="", "", MIS_Backend_Data!BB484)</f>
        <v/>
      </c>
      <c r="S485" t="str">
        <f>IF(MIS_Backend_Data!AW484="", "", MIS_Backend_Data!AW484)</f>
        <v/>
      </c>
      <c r="T485" s="42" t="str">
        <f>IF(MIS_Backend_Data!N484="Dispatch","Completed","NA")</f>
        <v>NA</v>
      </c>
      <c r="U485" t="str">
        <f t="shared" si="21"/>
        <v/>
      </c>
      <c r="V485" t="str">
        <f t="shared" si="22"/>
        <v/>
      </c>
      <c r="W485" s="20" t="str">
        <f t="shared" si="23"/>
        <v/>
      </c>
    </row>
    <row r="486" spans="2:23" ht="14.5">
      <c r="B486" s="205"/>
      <c r="C486" s="17"/>
      <c r="D486" s="17"/>
      <c r="E486" s="19"/>
      <c r="F486" s="19" t="str">
        <f>IF(MIS_Backend_Data!O485="", "", MIS_Backend_Data!O485)</f>
        <v/>
      </c>
      <c r="G486" t="str">
        <f>IF(MIS_Backend_Data!T485="", "", MIS_Backend_Data!T485)</f>
        <v/>
      </c>
      <c r="H486" t="str">
        <f>IF(MIS_Backend_Data!X485="", "", MIS_Backend_Data!X485)</f>
        <v/>
      </c>
      <c r="I486" t="str">
        <f>IF(MIS_Backend_Data!AC485="", "", MIS_Backend_Data!AC485)</f>
        <v/>
      </c>
      <c r="J486" t="str">
        <f>IF(MIS_Backend_Data!AB485="", "", MIS_Backend_Data!AB485)</f>
        <v/>
      </c>
      <c r="K486" t="str">
        <f>IF(MIS_Backend_Data!AG485="", "", MIS_Backend_Data!AG485)</f>
        <v/>
      </c>
      <c r="L486" s="20" t="str">
        <f>IF(MIS_Backend_Data!AI485="", "", MIS_Backend_Data!AI485)</f>
        <v/>
      </c>
      <c r="M486" t="str">
        <f>IF(MIS_Backend_Data!AK485="", "", MIS_Backend_Data!AK485)</f>
        <v/>
      </c>
      <c r="N486" t="str">
        <f>IF(MIS_Backend_Data!AM485="", "", MIS_Backend_Data!AM485)</f>
        <v/>
      </c>
      <c r="O486" t="str">
        <f>IF(MIS_Backend_Data!AO485="", "", MIS_Backend_Data!AO485)</f>
        <v/>
      </c>
      <c r="P486" t="str">
        <f>IF(MIS_Backend_Data!AS485="", "", MIS_Backend_Data!AS485)</f>
        <v/>
      </c>
      <c r="Q486" t="str">
        <f>IF(MIS_Backend_Data!AX485="", "", MIS_Backend_Data!AX485)</f>
        <v/>
      </c>
      <c r="R486" t="str">
        <f>IF(MIS_Backend_Data!BB485="", "", MIS_Backend_Data!BB485)</f>
        <v/>
      </c>
      <c r="S486" t="str">
        <f>IF(MIS_Backend_Data!AW485="", "", MIS_Backend_Data!AW485)</f>
        <v/>
      </c>
      <c r="T486" s="42" t="str">
        <f>IF(MIS_Backend_Data!N485="Dispatch","Completed","NA")</f>
        <v>NA</v>
      </c>
      <c r="U486" t="str">
        <f t="shared" si="21"/>
        <v/>
      </c>
      <c r="V486" t="str">
        <f t="shared" si="22"/>
        <v/>
      </c>
      <c r="W486" s="20" t="str">
        <f t="shared" si="23"/>
        <v/>
      </c>
    </row>
    <row r="487" spans="2:23" ht="14.5">
      <c r="B487" s="205"/>
      <c r="C487" s="17"/>
      <c r="D487" s="17"/>
      <c r="E487" s="19"/>
      <c r="F487" s="19" t="str">
        <f>IF(MIS_Backend_Data!O486="", "", MIS_Backend_Data!O486)</f>
        <v/>
      </c>
      <c r="G487" t="str">
        <f>IF(MIS_Backend_Data!T486="", "", MIS_Backend_Data!T486)</f>
        <v/>
      </c>
      <c r="H487" t="str">
        <f>IF(MIS_Backend_Data!X486="", "", MIS_Backend_Data!X486)</f>
        <v/>
      </c>
      <c r="I487" t="str">
        <f>IF(MIS_Backend_Data!AC486="", "", MIS_Backend_Data!AC486)</f>
        <v/>
      </c>
      <c r="J487" t="str">
        <f>IF(MIS_Backend_Data!AB486="", "", MIS_Backend_Data!AB486)</f>
        <v/>
      </c>
      <c r="K487" t="str">
        <f>IF(MIS_Backend_Data!AG486="", "", MIS_Backend_Data!AG486)</f>
        <v/>
      </c>
      <c r="L487" s="20" t="str">
        <f>IF(MIS_Backend_Data!AI486="", "", MIS_Backend_Data!AI486)</f>
        <v/>
      </c>
      <c r="M487" t="str">
        <f>IF(MIS_Backend_Data!AK486="", "", MIS_Backend_Data!AK486)</f>
        <v/>
      </c>
      <c r="N487" t="str">
        <f>IF(MIS_Backend_Data!AM486="", "", MIS_Backend_Data!AM486)</f>
        <v/>
      </c>
      <c r="O487" t="str">
        <f>IF(MIS_Backend_Data!AO486="", "", MIS_Backend_Data!AO486)</f>
        <v/>
      </c>
      <c r="P487" t="str">
        <f>IF(MIS_Backend_Data!AS486="", "", MIS_Backend_Data!AS486)</f>
        <v/>
      </c>
      <c r="Q487" t="str">
        <f>IF(MIS_Backend_Data!AX486="", "", MIS_Backend_Data!AX486)</f>
        <v/>
      </c>
      <c r="R487" t="str">
        <f>IF(MIS_Backend_Data!BB486="", "", MIS_Backend_Data!BB486)</f>
        <v/>
      </c>
      <c r="S487" t="str">
        <f>IF(MIS_Backend_Data!AW486="", "", MIS_Backend_Data!AW486)</f>
        <v/>
      </c>
      <c r="T487" s="42" t="str">
        <f>IF(MIS_Backend_Data!N486="Dispatch","Completed","NA")</f>
        <v>NA</v>
      </c>
      <c r="U487" t="str">
        <f t="shared" si="21"/>
        <v/>
      </c>
      <c r="V487" t="str">
        <f t="shared" si="22"/>
        <v/>
      </c>
      <c r="W487" s="20" t="str">
        <f t="shared" si="23"/>
        <v/>
      </c>
    </row>
    <row r="488" spans="2:23" ht="14.5">
      <c r="B488" s="205"/>
      <c r="C488" s="17"/>
      <c r="D488" s="17"/>
      <c r="E488" s="19"/>
      <c r="F488" s="19" t="str">
        <f>IF(MIS_Backend_Data!O487="", "", MIS_Backend_Data!O487)</f>
        <v/>
      </c>
      <c r="G488" t="str">
        <f>IF(MIS_Backend_Data!T487="", "", MIS_Backend_Data!T487)</f>
        <v/>
      </c>
      <c r="H488" t="str">
        <f>IF(MIS_Backend_Data!X487="", "", MIS_Backend_Data!X487)</f>
        <v/>
      </c>
      <c r="I488" t="str">
        <f>IF(MIS_Backend_Data!AC487="", "", MIS_Backend_Data!AC487)</f>
        <v/>
      </c>
      <c r="J488" t="str">
        <f>IF(MIS_Backend_Data!AB487="", "", MIS_Backend_Data!AB487)</f>
        <v/>
      </c>
      <c r="K488" t="str">
        <f>IF(MIS_Backend_Data!AG487="", "", MIS_Backend_Data!AG487)</f>
        <v/>
      </c>
      <c r="L488" s="20" t="str">
        <f>IF(MIS_Backend_Data!AI487="", "", MIS_Backend_Data!AI487)</f>
        <v/>
      </c>
      <c r="M488" t="str">
        <f>IF(MIS_Backend_Data!AK487="", "", MIS_Backend_Data!AK487)</f>
        <v/>
      </c>
      <c r="N488" t="str">
        <f>IF(MIS_Backend_Data!AM487="", "", MIS_Backend_Data!AM487)</f>
        <v/>
      </c>
      <c r="O488" t="str">
        <f>IF(MIS_Backend_Data!AO487="", "", MIS_Backend_Data!AO487)</f>
        <v/>
      </c>
      <c r="P488" t="str">
        <f>IF(MIS_Backend_Data!AS487="", "", MIS_Backend_Data!AS487)</f>
        <v/>
      </c>
      <c r="Q488" t="str">
        <f>IF(MIS_Backend_Data!AX487="", "", MIS_Backend_Data!AX487)</f>
        <v/>
      </c>
      <c r="R488" t="str">
        <f>IF(MIS_Backend_Data!BB487="", "", MIS_Backend_Data!BB487)</f>
        <v/>
      </c>
      <c r="S488" t="str">
        <f>IF(MIS_Backend_Data!AW487="", "", MIS_Backend_Data!AW487)</f>
        <v/>
      </c>
      <c r="T488" s="42" t="str">
        <f>IF(MIS_Backend_Data!N487="Dispatch","Completed","NA")</f>
        <v>NA</v>
      </c>
      <c r="U488" t="str">
        <f t="shared" si="21"/>
        <v/>
      </c>
      <c r="V488" t="str">
        <f t="shared" si="22"/>
        <v/>
      </c>
      <c r="W488" s="20" t="str">
        <f t="shared" si="23"/>
        <v/>
      </c>
    </row>
    <row r="489" spans="2:23" ht="14.5">
      <c r="B489" s="205"/>
      <c r="C489" s="17"/>
      <c r="D489" s="17"/>
      <c r="E489" s="19"/>
      <c r="F489" s="19" t="str">
        <f>IF(MIS_Backend_Data!O488="", "", MIS_Backend_Data!O488)</f>
        <v/>
      </c>
      <c r="G489" t="str">
        <f>IF(MIS_Backend_Data!T488="", "", MIS_Backend_Data!T488)</f>
        <v/>
      </c>
      <c r="H489" t="str">
        <f>IF(MIS_Backend_Data!X488="", "", MIS_Backend_Data!X488)</f>
        <v/>
      </c>
      <c r="I489" t="str">
        <f>IF(MIS_Backend_Data!AC488="", "", MIS_Backend_Data!AC488)</f>
        <v/>
      </c>
      <c r="J489" t="str">
        <f>IF(MIS_Backend_Data!AB488="", "", MIS_Backend_Data!AB488)</f>
        <v/>
      </c>
      <c r="K489" t="str">
        <f>IF(MIS_Backend_Data!AG488="", "", MIS_Backend_Data!AG488)</f>
        <v/>
      </c>
      <c r="L489" s="20" t="str">
        <f>IF(MIS_Backend_Data!AI488="", "", MIS_Backend_Data!AI488)</f>
        <v/>
      </c>
      <c r="M489" t="str">
        <f>IF(MIS_Backend_Data!AK488="", "", MIS_Backend_Data!AK488)</f>
        <v/>
      </c>
      <c r="N489" t="str">
        <f>IF(MIS_Backend_Data!AM488="", "", MIS_Backend_Data!AM488)</f>
        <v/>
      </c>
      <c r="O489" t="str">
        <f>IF(MIS_Backend_Data!AO488="", "", MIS_Backend_Data!AO488)</f>
        <v/>
      </c>
      <c r="P489" t="str">
        <f>IF(MIS_Backend_Data!AS488="", "", MIS_Backend_Data!AS488)</f>
        <v/>
      </c>
      <c r="Q489" t="str">
        <f>IF(MIS_Backend_Data!AX488="", "", MIS_Backend_Data!AX488)</f>
        <v/>
      </c>
      <c r="R489" t="str">
        <f>IF(MIS_Backend_Data!BB488="", "", MIS_Backend_Data!BB488)</f>
        <v/>
      </c>
      <c r="S489" t="str">
        <f>IF(MIS_Backend_Data!AW488="", "", MIS_Backend_Data!AW488)</f>
        <v/>
      </c>
      <c r="T489" s="42" t="str">
        <f>IF(MIS_Backend_Data!N488="Dispatch","Completed","NA")</f>
        <v>NA</v>
      </c>
      <c r="U489" t="str">
        <f t="shared" si="21"/>
        <v/>
      </c>
      <c r="V489" t="str">
        <f t="shared" si="22"/>
        <v/>
      </c>
      <c r="W489" s="20" t="str">
        <f t="shared" si="23"/>
        <v/>
      </c>
    </row>
    <row r="490" spans="2:23" ht="14.5">
      <c r="B490" s="205"/>
      <c r="C490" s="17"/>
      <c r="D490" s="17"/>
      <c r="E490" s="19"/>
      <c r="F490" s="19" t="str">
        <f>IF(MIS_Backend_Data!O489="", "", MIS_Backend_Data!O489)</f>
        <v/>
      </c>
      <c r="G490" t="str">
        <f>IF(MIS_Backend_Data!T489="", "", MIS_Backend_Data!T489)</f>
        <v/>
      </c>
      <c r="H490" t="str">
        <f>IF(MIS_Backend_Data!X489="", "", MIS_Backend_Data!X489)</f>
        <v/>
      </c>
      <c r="I490" t="str">
        <f>IF(MIS_Backend_Data!AC489="", "", MIS_Backend_Data!AC489)</f>
        <v/>
      </c>
      <c r="J490" t="str">
        <f>IF(MIS_Backend_Data!AB489="", "", MIS_Backend_Data!AB489)</f>
        <v/>
      </c>
      <c r="K490" t="str">
        <f>IF(MIS_Backend_Data!AG489="", "", MIS_Backend_Data!AG489)</f>
        <v/>
      </c>
      <c r="L490" s="20" t="str">
        <f>IF(MIS_Backend_Data!AI489="", "", MIS_Backend_Data!AI489)</f>
        <v/>
      </c>
      <c r="M490" t="str">
        <f>IF(MIS_Backend_Data!AK489="", "", MIS_Backend_Data!AK489)</f>
        <v/>
      </c>
      <c r="N490" t="str">
        <f>IF(MIS_Backend_Data!AM489="", "", MIS_Backend_Data!AM489)</f>
        <v/>
      </c>
      <c r="O490" t="str">
        <f>IF(MIS_Backend_Data!AO489="", "", MIS_Backend_Data!AO489)</f>
        <v/>
      </c>
      <c r="P490" t="str">
        <f>IF(MIS_Backend_Data!AS489="", "", MIS_Backend_Data!AS489)</f>
        <v/>
      </c>
      <c r="Q490" t="str">
        <f>IF(MIS_Backend_Data!AX489="", "", MIS_Backend_Data!AX489)</f>
        <v/>
      </c>
      <c r="R490" t="str">
        <f>IF(MIS_Backend_Data!BB489="", "", MIS_Backend_Data!BB489)</f>
        <v/>
      </c>
      <c r="S490" t="str">
        <f>IF(MIS_Backend_Data!AW489="", "", MIS_Backend_Data!AW489)</f>
        <v/>
      </c>
      <c r="T490" s="42" t="str">
        <f>IF(MIS_Backend_Data!N489="Dispatch","Completed","NA")</f>
        <v>NA</v>
      </c>
      <c r="U490" t="str">
        <f t="shared" si="21"/>
        <v/>
      </c>
      <c r="V490" t="str">
        <f t="shared" si="22"/>
        <v/>
      </c>
      <c r="W490" s="20" t="str">
        <f t="shared" si="23"/>
        <v/>
      </c>
    </row>
    <row r="491" spans="2:23" ht="14.5">
      <c r="B491" s="205"/>
      <c r="C491" s="17"/>
      <c r="D491" s="17"/>
      <c r="E491" s="19"/>
      <c r="F491" s="19" t="str">
        <f>IF(MIS_Backend_Data!O490="", "", MIS_Backend_Data!O490)</f>
        <v/>
      </c>
      <c r="G491" t="str">
        <f>IF(MIS_Backend_Data!T490="", "", MIS_Backend_Data!T490)</f>
        <v/>
      </c>
      <c r="H491" t="str">
        <f>IF(MIS_Backend_Data!X490="", "", MIS_Backend_Data!X490)</f>
        <v/>
      </c>
      <c r="I491" t="str">
        <f>IF(MIS_Backend_Data!AC490="", "", MIS_Backend_Data!AC490)</f>
        <v/>
      </c>
      <c r="J491" t="str">
        <f>IF(MIS_Backend_Data!AB490="", "", MIS_Backend_Data!AB490)</f>
        <v/>
      </c>
      <c r="K491" t="str">
        <f>IF(MIS_Backend_Data!AG490="", "", MIS_Backend_Data!AG490)</f>
        <v/>
      </c>
      <c r="L491" s="20" t="str">
        <f>IF(MIS_Backend_Data!AI490="", "", MIS_Backend_Data!AI490)</f>
        <v/>
      </c>
      <c r="M491" t="str">
        <f>IF(MIS_Backend_Data!AK490="", "", MIS_Backend_Data!AK490)</f>
        <v/>
      </c>
      <c r="N491" t="str">
        <f>IF(MIS_Backend_Data!AM490="", "", MIS_Backend_Data!AM490)</f>
        <v/>
      </c>
      <c r="O491" t="str">
        <f>IF(MIS_Backend_Data!AO490="", "", MIS_Backend_Data!AO490)</f>
        <v/>
      </c>
      <c r="P491" t="str">
        <f>IF(MIS_Backend_Data!AS490="", "", MIS_Backend_Data!AS490)</f>
        <v/>
      </c>
      <c r="Q491" t="str">
        <f>IF(MIS_Backend_Data!AX490="", "", MIS_Backend_Data!AX490)</f>
        <v/>
      </c>
      <c r="R491" t="str">
        <f>IF(MIS_Backend_Data!BB490="", "", MIS_Backend_Data!BB490)</f>
        <v/>
      </c>
      <c r="S491" t="str">
        <f>IF(MIS_Backend_Data!AW490="", "", MIS_Backend_Data!AW490)</f>
        <v/>
      </c>
      <c r="T491" s="42" t="str">
        <f>IF(MIS_Backend_Data!N490="Dispatch","Completed","NA")</f>
        <v>NA</v>
      </c>
      <c r="U491" t="str">
        <f t="shared" si="21"/>
        <v/>
      </c>
      <c r="V491" t="str">
        <f t="shared" si="22"/>
        <v/>
      </c>
      <c r="W491" s="20" t="str">
        <f t="shared" si="23"/>
        <v/>
      </c>
    </row>
    <row r="492" spans="2:23" ht="14.5">
      <c r="B492" s="205"/>
      <c r="C492" s="17"/>
      <c r="D492" s="17"/>
      <c r="E492" s="19"/>
      <c r="F492" s="19" t="str">
        <f>IF(MIS_Backend_Data!O491="", "", MIS_Backend_Data!O491)</f>
        <v/>
      </c>
      <c r="G492" t="str">
        <f>IF(MIS_Backend_Data!T491="", "", MIS_Backend_Data!T491)</f>
        <v/>
      </c>
      <c r="H492" t="str">
        <f>IF(MIS_Backend_Data!X491="", "", MIS_Backend_Data!X491)</f>
        <v/>
      </c>
      <c r="I492" t="str">
        <f>IF(MIS_Backend_Data!AC491="", "", MIS_Backend_Data!AC491)</f>
        <v/>
      </c>
      <c r="J492" t="str">
        <f>IF(MIS_Backend_Data!AB491="", "", MIS_Backend_Data!AB491)</f>
        <v/>
      </c>
      <c r="K492" t="str">
        <f>IF(MIS_Backend_Data!AG491="", "", MIS_Backend_Data!AG491)</f>
        <v/>
      </c>
      <c r="L492" s="20" t="str">
        <f>IF(MIS_Backend_Data!AI491="", "", MIS_Backend_Data!AI491)</f>
        <v/>
      </c>
      <c r="M492" t="str">
        <f>IF(MIS_Backend_Data!AK491="", "", MIS_Backend_Data!AK491)</f>
        <v/>
      </c>
      <c r="N492" t="str">
        <f>IF(MIS_Backend_Data!AM491="", "", MIS_Backend_Data!AM491)</f>
        <v/>
      </c>
      <c r="O492" t="str">
        <f>IF(MIS_Backend_Data!AO491="", "", MIS_Backend_Data!AO491)</f>
        <v/>
      </c>
      <c r="P492" t="str">
        <f>IF(MIS_Backend_Data!AS491="", "", MIS_Backend_Data!AS491)</f>
        <v/>
      </c>
      <c r="Q492" t="str">
        <f>IF(MIS_Backend_Data!AX491="", "", MIS_Backend_Data!AX491)</f>
        <v/>
      </c>
      <c r="R492" t="str">
        <f>IF(MIS_Backend_Data!BB491="", "", MIS_Backend_Data!BB491)</f>
        <v/>
      </c>
      <c r="S492" t="str">
        <f>IF(MIS_Backend_Data!AW491="", "", MIS_Backend_Data!AW491)</f>
        <v/>
      </c>
      <c r="T492" s="42" t="str">
        <f>IF(MIS_Backend_Data!N491="Dispatch","Completed","NA")</f>
        <v>NA</v>
      </c>
      <c r="U492" t="str">
        <f t="shared" si="21"/>
        <v/>
      </c>
      <c r="V492" t="str">
        <f t="shared" si="22"/>
        <v/>
      </c>
      <c r="W492" s="20" t="str">
        <f t="shared" si="23"/>
        <v/>
      </c>
    </row>
    <row r="493" spans="2:23" ht="14.5">
      <c r="B493" s="205"/>
      <c r="C493" s="17"/>
      <c r="D493" s="17"/>
      <c r="E493" s="19"/>
      <c r="F493" s="19" t="str">
        <f>IF(MIS_Backend_Data!O492="", "", MIS_Backend_Data!O492)</f>
        <v/>
      </c>
      <c r="G493" t="str">
        <f>IF(MIS_Backend_Data!T492="", "", MIS_Backend_Data!T492)</f>
        <v/>
      </c>
      <c r="H493" t="str">
        <f>IF(MIS_Backend_Data!X492="", "", MIS_Backend_Data!X492)</f>
        <v/>
      </c>
      <c r="I493" t="str">
        <f>IF(MIS_Backend_Data!AC492="", "", MIS_Backend_Data!AC492)</f>
        <v/>
      </c>
      <c r="J493" t="str">
        <f>IF(MIS_Backend_Data!AB492="", "", MIS_Backend_Data!AB492)</f>
        <v/>
      </c>
      <c r="K493" t="str">
        <f>IF(MIS_Backend_Data!AG492="", "", MIS_Backend_Data!AG492)</f>
        <v/>
      </c>
      <c r="L493" s="20" t="str">
        <f>IF(MIS_Backend_Data!AI492="", "", MIS_Backend_Data!AI492)</f>
        <v/>
      </c>
      <c r="M493" t="str">
        <f>IF(MIS_Backend_Data!AK492="", "", MIS_Backend_Data!AK492)</f>
        <v/>
      </c>
      <c r="N493" t="str">
        <f>IF(MIS_Backend_Data!AM492="", "", MIS_Backend_Data!AM492)</f>
        <v/>
      </c>
      <c r="O493" t="str">
        <f>IF(MIS_Backend_Data!AO492="", "", MIS_Backend_Data!AO492)</f>
        <v/>
      </c>
      <c r="P493" t="str">
        <f>IF(MIS_Backend_Data!AS492="", "", MIS_Backend_Data!AS492)</f>
        <v/>
      </c>
      <c r="Q493" t="str">
        <f>IF(MIS_Backend_Data!AX492="", "", MIS_Backend_Data!AX492)</f>
        <v/>
      </c>
      <c r="R493" t="str">
        <f>IF(MIS_Backend_Data!BB492="", "", MIS_Backend_Data!BB492)</f>
        <v/>
      </c>
      <c r="S493" t="str">
        <f>IF(MIS_Backend_Data!AW492="", "", MIS_Backend_Data!AW492)</f>
        <v/>
      </c>
      <c r="T493" s="42" t="str">
        <f>IF(MIS_Backend_Data!N492="Dispatch","Completed","NA")</f>
        <v>NA</v>
      </c>
      <c r="U493" t="str">
        <f t="shared" si="21"/>
        <v/>
      </c>
      <c r="V493" t="str">
        <f t="shared" si="22"/>
        <v/>
      </c>
      <c r="W493" s="20" t="str">
        <f t="shared" si="23"/>
        <v/>
      </c>
    </row>
    <row r="494" spans="2:23" ht="14.5">
      <c r="B494" s="205"/>
      <c r="C494" s="17"/>
      <c r="D494" s="17"/>
      <c r="E494" s="19"/>
      <c r="F494" s="19" t="str">
        <f>IF(MIS_Backend_Data!O493="", "", MIS_Backend_Data!O493)</f>
        <v/>
      </c>
      <c r="G494" t="str">
        <f>IF(MIS_Backend_Data!T493="", "", MIS_Backend_Data!T493)</f>
        <v/>
      </c>
      <c r="H494" t="str">
        <f>IF(MIS_Backend_Data!X493="", "", MIS_Backend_Data!X493)</f>
        <v/>
      </c>
      <c r="I494" t="str">
        <f>IF(MIS_Backend_Data!AC493="", "", MIS_Backend_Data!AC493)</f>
        <v/>
      </c>
      <c r="J494" t="str">
        <f>IF(MIS_Backend_Data!AB493="", "", MIS_Backend_Data!AB493)</f>
        <v/>
      </c>
      <c r="K494" t="str">
        <f>IF(MIS_Backend_Data!AG493="", "", MIS_Backend_Data!AG493)</f>
        <v/>
      </c>
      <c r="L494" s="20" t="str">
        <f>IF(MIS_Backend_Data!AI493="", "", MIS_Backend_Data!AI493)</f>
        <v/>
      </c>
      <c r="M494" t="str">
        <f>IF(MIS_Backend_Data!AK493="", "", MIS_Backend_Data!AK493)</f>
        <v/>
      </c>
      <c r="N494" t="str">
        <f>IF(MIS_Backend_Data!AM493="", "", MIS_Backend_Data!AM493)</f>
        <v/>
      </c>
      <c r="O494" t="str">
        <f>IF(MIS_Backend_Data!AO493="", "", MIS_Backend_Data!AO493)</f>
        <v/>
      </c>
      <c r="P494" t="str">
        <f>IF(MIS_Backend_Data!AS493="", "", MIS_Backend_Data!AS493)</f>
        <v/>
      </c>
      <c r="Q494" t="str">
        <f>IF(MIS_Backend_Data!AX493="", "", MIS_Backend_Data!AX493)</f>
        <v/>
      </c>
      <c r="R494" t="str">
        <f>IF(MIS_Backend_Data!BB493="", "", MIS_Backend_Data!BB493)</f>
        <v/>
      </c>
      <c r="S494" t="str">
        <f>IF(MIS_Backend_Data!AW493="", "", MIS_Backend_Data!AW493)</f>
        <v/>
      </c>
      <c r="T494" s="42" t="str">
        <f>IF(MIS_Backend_Data!N493="Dispatch","Completed","NA")</f>
        <v>NA</v>
      </c>
      <c r="U494" t="str">
        <f t="shared" si="21"/>
        <v/>
      </c>
      <c r="V494" t="str">
        <f t="shared" si="22"/>
        <v/>
      </c>
      <c r="W494" s="20" t="str">
        <f t="shared" si="23"/>
        <v/>
      </c>
    </row>
    <row r="495" spans="2:23" ht="14.5">
      <c r="B495" s="205"/>
      <c r="C495" s="17"/>
      <c r="D495" s="17"/>
      <c r="E495" s="19"/>
      <c r="F495" s="19" t="str">
        <f>IF(MIS_Backend_Data!O494="", "", MIS_Backend_Data!O494)</f>
        <v/>
      </c>
      <c r="G495" t="str">
        <f>IF(MIS_Backend_Data!T494="", "", MIS_Backend_Data!T494)</f>
        <v/>
      </c>
      <c r="H495" t="str">
        <f>IF(MIS_Backend_Data!X494="", "", MIS_Backend_Data!X494)</f>
        <v/>
      </c>
      <c r="I495" t="str">
        <f>IF(MIS_Backend_Data!AC494="", "", MIS_Backend_Data!AC494)</f>
        <v/>
      </c>
      <c r="J495" t="str">
        <f>IF(MIS_Backend_Data!AB494="", "", MIS_Backend_Data!AB494)</f>
        <v/>
      </c>
      <c r="K495" t="str">
        <f>IF(MIS_Backend_Data!AG494="", "", MIS_Backend_Data!AG494)</f>
        <v/>
      </c>
      <c r="L495" s="20" t="str">
        <f>IF(MIS_Backend_Data!AI494="", "", MIS_Backend_Data!AI494)</f>
        <v/>
      </c>
      <c r="M495" t="str">
        <f>IF(MIS_Backend_Data!AK494="", "", MIS_Backend_Data!AK494)</f>
        <v/>
      </c>
      <c r="N495" t="str">
        <f>IF(MIS_Backend_Data!AM494="", "", MIS_Backend_Data!AM494)</f>
        <v/>
      </c>
      <c r="O495" t="str">
        <f>IF(MIS_Backend_Data!AO494="", "", MIS_Backend_Data!AO494)</f>
        <v/>
      </c>
      <c r="P495" t="str">
        <f>IF(MIS_Backend_Data!AS494="", "", MIS_Backend_Data!AS494)</f>
        <v/>
      </c>
      <c r="Q495" t="str">
        <f>IF(MIS_Backend_Data!AX494="", "", MIS_Backend_Data!AX494)</f>
        <v/>
      </c>
      <c r="R495" t="str">
        <f>IF(MIS_Backend_Data!BB494="", "", MIS_Backend_Data!BB494)</f>
        <v/>
      </c>
      <c r="S495" t="str">
        <f>IF(MIS_Backend_Data!AW494="", "", MIS_Backend_Data!AW494)</f>
        <v/>
      </c>
      <c r="T495" s="42" t="str">
        <f>IF(MIS_Backend_Data!N494="Dispatch","Completed","NA")</f>
        <v>NA</v>
      </c>
      <c r="U495" t="str">
        <f t="shared" si="21"/>
        <v/>
      </c>
      <c r="V495" t="str">
        <f t="shared" si="22"/>
        <v/>
      </c>
      <c r="W495" s="20" t="str">
        <f t="shared" si="23"/>
        <v/>
      </c>
    </row>
    <row r="496" spans="2:23" ht="14.5">
      <c r="B496" s="205"/>
      <c r="C496" s="17"/>
      <c r="D496" s="17"/>
      <c r="E496" s="19"/>
      <c r="F496" s="19" t="str">
        <f>IF(MIS_Backend_Data!O495="", "", MIS_Backend_Data!O495)</f>
        <v/>
      </c>
      <c r="G496" t="str">
        <f>IF(MIS_Backend_Data!T495="", "", MIS_Backend_Data!T495)</f>
        <v/>
      </c>
      <c r="H496" t="str">
        <f>IF(MIS_Backend_Data!X495="", "", MIS_Backend_Data!X495)</f>
        <v/>
      </c>
      <c r="I496" t="str">
        <f>IF(MIS_Backend_Data!AC495="", "", MIS_Backend_Data!AC495)</f>
        <v/>
      </c>
      <c r="J496" t="str">
        <f>IF(MIS_Backend_Data!AB495="", "", MIS_Backend_Data!AB495)</f>
        <v/>
      </c>
      <c r="K496" t="str">
        <f>IF(MIS_Backend_Data!AG495="", "", MIS_Backend_Data!AG495)</f>
        <v/>
      </c>
      <c r="L496" s="20" t="str">
        <f>IF(MIS_Backend_Data!AI495="", "", MIS_Backend_Data!AI495)</f>
        <v/>
      </c>
      <c r="M496" t="str">
        <f>IF(MIS_Backend_Data!AK495="", "", MIS_Backend_Data!AK495)</f>
        <v/>
      </c>
      <c r="N496" t="str">
        <f>IF(MIS_Backend_Data!AM495="", "", MIS_Backend_Data!AM495)</f>
        <v/>
      </c>
      <c r="O496" t="str">
        <f>IF(MIS_Backend_Data!AO495="", "", MIS_Backend_Data!AO495)</f>
        <v/>
      </c>
      <c r="P496" t="str">
        <f>IF(MIS_Backend_Data!AS495="", "", MIS_Backend_Data!AS495)</f>
        <v/>
      </c>
      <c r="Q496" t="str">
        <f>IF(MIS_Backend_Data!AX495="", "", MIS_Backend_Data!AX495)</f>
        <v/>
      </c>
      <c r="R496" t="str">
        <f>IF(MIS_Backend_Data!BB495="", "", MIS_Backend_Data!BB495)</f>
        <v/>
      </c>
      <c r="S496" t="str">
        <f>IF(MIS_Backend_Data!AW495="", "", MIS_Backend_Data!AW495)</f>
        <v/>
      </c>
      <c r="T496" s="42" t="str">
        <f>IF(MIS_Backend_Data!N495="Dispatch","Completed","NA")</f>
        <v>NA</v>
      </c>
      <c r="U496" t="str">
        <f t="shared" si="21"/>
        <v/>
      </c>
      <c r="V496" t="str">
        <f t="shared" si="22"/>
        <v/>
      </c>
      <c r="W496" s="20" t="str">
        <f t="shared" si="23"/>
        <v/>
      </c>
    </row>
    <row r="497" spans="2:23" ht="14.5">
      <c r="B497" s="205"/>
      <c r="C497" s="17"/>
      <c r="D497" s="17"/>
      <c r="E497" s="19"/>
      <c r="F497" s="19" t="str">
        <f>IF(MIS_Backend_Data!O496="", "", MIS_Backend_Data!O496)</f>
        <v/>
      </c>
      <c r="G497" t="str">
        <f>IF(MIS_Backend_Data!T496="", "", MIS_Backend_Data!T496)</f>
        <v/>
      </c>
      <c r="H497" t="str">
        <f>IF(MIS_Backend_Data!X496="", "", MIS_Backend_Data!X496)</f>
        <v/>
      </c>
      <c r="I497" t="str">
        <f>IF(MIS_Backend_Data!AC496="", "", MIS_Backend_Data!AC496)</f>
        <v/>
      </c>
      <c r="J497" t="str">
        <f>IF(MIS_Backend_Data!AB496="", "", MIS_Backend_Data!AB496)</f>
        <v/>
      </c>
      <c r="K497" t="str">
        <f>IF(MIS_Backend_Data!AG496="", "", MIS_Backend_Data!AG496)</f>
        <v/>
      </c>
      <c r="L497" s="20" t="str">
        <f>IF(MIS_Backend_Data!AI496="", "", MIS_Backend_Data!AI496)</f>
        <v/>
      </c>
      <c r="M497" t="str">
        <f>IF(MIS_Backend_Data!AK496="", "", MIS_Backend_Data!AK496)</f>
        <v/>
      </c>
      <c r="N497" t="str">
        <f>IF(MIS_Backend_Data!AM496="", "", MIS_Backend_Data!AM496)</f>
        <v/>
      </c>
      <c r="O497" t="str">
        <f>IF(MIS_Backend_Data!AO496="", "", MIS_Backend_Data!AO496)</f>
        <v/>
      </c>
      <c r="P497" t="str">
        <f>IF(MIS_Backend_Data!AS496="", "", MIS_Backend_Data!AS496)</f>
        <v/>
      </c>
      <c r="Q497" t="str">
        <f>IF(MIS_Backend_Data!AX496="", "", MIS_Backend_Data!AX496)</f>
        <v/>
      </c>
      <c r="R497" t="str">
        <f>IF(MIS_Backend_Data!BB496="", "", MIS_Backend_Data!BB496)</f>
        <v/>
      </c>
      <c r="S497" t="str">
        <f>IF(MIS_Backend_Data!AW496="", "", MIS_Backend_Data!AW496)</f>
        <v/>
      </c>
      <c r="T497" s="42" t="str">
        <f>IF(MIS_Backend_Data!N496="Dispatch","Completed","NA")</f>
        <v>NA</v>
      </c>
      <c r="U497" t="str">
        <f t="shared" si="21"/>
        <v/>
      </c>
      <c r="V497" t="str">
        <f t="shared" si="22"/>
        <v/>
      </c>
      <c r="W497" s="20" t="str">
        <f t="shared" si="23"/>
        <v/>
      </c>
    </row>
    <row r="498" spans="2:23" ht="14.5">
      <c r="B498" s="205"/>
      <c r="C498" s="17"/>
      <c r="D498" s="17"/>
      <c r="E498" s="19"/>
      <c r="F498" s="19" t="str">
        <f>IF(MIS_Backend_Data!O497="", "", MIS_Backend_Data!O497)</f>
        <v/>
      </c>
      <c r="G498" t="str">
        <f>IF(MIS_Backend_Data!T497="", "", MIS_Backend_Data!T497)</f>
        <v/>
      </c>
      <c r="H498" t="str">
        <f>IF(MIS_Backend_Data!X497="", "", MIS_Backend_Data!X497)</f>
        <v/>
      </c>
      <c r="I498" t="str">
        <f>IF(MIS_Backend_Data!AC497="", "", MIS_Backend_Data!AC497)</f>
        <v/>
      </c>
      <c r="J498" t="str">
        <f>IF(MIS_Backend_Data!AB497="", "", MIS_Backend_Data!AB497)</f>
        <v/>
      </c>
      <c r="K498" t="str">
        <f>IF(MIS_Backend_Data!AG497="", "", MIS_Backend_Data!AG497)</f>
        <v/>
      </c>
      <c r="L498" s="20" t="str">
        <f>IF(MIS_Backend_Data!AI497="", "", MIS_Backend_Data!AI497)</f>
        <v/>
      </c>
      <c r="M498" t="str">
        <f>IF(MIS_Backend_Data!AK497="", "", MIS_Backend_Data!AK497)</f>
        <v/>
      </c>
      <c r="N498" t="str">
        <f>IF(MIS_Backend_Data!AM497="", "", MIS_Backend_Data!AM497)</f>
        <v/>
      </c>
      <c r="O498" t="str">
        <f>IF(MIS_Backend_Data!AO497="", "", MIS_Backend_Data!AO497)</f>
        <v/>
      </c>
      <c r="P498" t="str">
        <f>IF(MIS_Backend_Data!AS497="", "", MIS_Backend_Data!AS497)</f>
        <v/>
      </c>
      <c r="Q498" t="str">
        <f>IF(MIS_Backend_Data!AX497="", "", MIS_Backend_Data!AX497)</f>
        <v/>
      </c>
      <c r="R498" t="str">
        <f>IF(MIS_Backend_Data!BB497="", "", MIS_Backend_Data!BB497)</f>
        <v/>
      </c>
      <c r="S498" t="str">
        <f>IF(MIS_Backend_Data!AW497="", "", MIS_Backend_Data!AW497)</f>
        <v/>
      </c>
      <c r="T498" s="42" t="str">
        <f>IF(MIS_Backend_Data!N497="Dispatch","Completed","NA")</f>
        <v>NA</v>
      </c>
      <c r="U498" t="str">
        <f t="shared" si="21"/>
        <v/>
      </c>
      <c r="V498" t="str">
        <f t="shared" si="22"/>
        <v/>
      </c>
      <c r="W498" s="20" t="str">
        <f t="shared" si="23"/>
        <v/>
      </c>
    </row>
    <row r="499" spans="2:23" ht="14.5">
      <c r="B499" s="205"/>
      <c r="C499" s="17"/>
      <c r="D499" s="17"/>
      <c r="E499" s="19"/>
      <c r="F499" s="19" t="str">
        <f>IF(MIS_Backend_Data!O498="", "", MIS_Backend_Data!O498)</f>
        <v/>
      </c>
      <c r="G499" t="str">
        <f>IF(MIS_Backend_Data!T498="", "", MIS_Backend_Data!T498)</f>
        <v/>
      </c>
      <c r="H499" t="str">
        <f>IF(MIS_Backend_Data!X498="", "", MIS_Backend_Data!X498)</f>
        <v/>
      </c>
      <c r="I499" t="str">
        <f>IF(MIS_Backend_Data!AC498="", "", MIS_Backend_Data!AC498)</f>
        <v/>
      </c>
      <c r="J499" t="str">
        <f>IF(MIS_Backend_Data!AB498="", "", MIS_Backend_Data!AB498)</f>
        <v/>
      </c>
      <c r="K499" t="str">
        <f>IF(MIS_Backend_Data!AG498="", "", MIS_Backend_Data!AG498)</f>
        <v/>
      </c>
      <c r="L499" s="20" t="str">
        <f>IF(MIS_Backend_Data!AI498="", "", MIS_Backend_Data!AI498)</f>
        <v/>
      </c>
      <c r="M499" t="str">
        <f>IF(MIS_Backend_Data!AK498="", "", MIS_Backend_Data!AK498)</f>
        <v/>
      </c>
      <c r="N499" t="str">
        <f>IF(MIS_Backend_Data!AM498="", "", MIS_Backend_Data!AM498)</f>
        <v/>
      </c>
      <c r="O499" t="str">
        <f>IF(MIS_Backend_Data!AO498="", "", MIS_Backend_Data!AO498)</f>
        <v/>
      </c>
      <c r="P499" t="str">
        <f>IF(MIS_Backend_Data!AS498="", "", MIS_Backend_Data!AS498)</f>
        <v/>
      </c>
      <c r="Q499" t="str">
        <f>IF(MIS_Backend_Data!AX498="", "", MIS_Backend_Data!AX498)</f>
        <v/>
      </c>
      <c r="R499" t="str">
        <f>IF(MIS_Backend_Data!BB498="", "", MIS_Backend_Data!BB498)</f>
        <v/>
      </c>
      <c r="S499" t="str">
        <f>IF(MIS_Backend_Data!AW498="", "", MIS_Backend_Data!AW498)</f>
        <v/>
      </c>
      <c r="T499" s="42" t="str">
        <f>IF(MIS_Backend_Data!N498="Dispatch","Completed","NA")</f>
        <v>NA</v>
      </c>
      <c r="U499" t="str">
        <f t="shared" si="21"/>
        <v/>
      </c>
      <c r="V499" t="str">
        <f t="shared" si="22"/>
        <v/>
      </c>
      <c r="W499" s="20" t="str">
        <f t="shared" si="23"/>
        <v/>
      </c>
    </row>
    <row r="500" spans="2:23" ht="14.5">
      <c r="B500" s="205"/>
      <c r="C500" s="17"/>
      <c r="D500" s="17"/>
      <c r="E500" s="19"/>
      <c r="F500" s="19" t="str">
        <f>IF(MIS_Backend_Data!O499="", "", MIS_Backend_Data!O499)</f>
        <v/>
      </c>
      <c r="G500" t="str">
        <f>IF(MIS_Backend_Data!T499="", "", MIS_Backend_Data!T499)</f>
        <v/>
      </c>
      <c r="H500" t="str">
        <f>IF(MIS_Backend_Data!X499="", "", MIS_Backend_Data!X499)</f>
        <v/>
      </c>
      <c r="I500" t="str">
        <f>IF(MIS_Backend_Data!AC499="", "", MIS_Backend_Data!AC499)</f>
        <v/>
      </c>
      <c r="J500" t="str">
        <f>IF(MIS_Backend_Data!AB499="", "", MIS_Backend_Data!AB499)</f>
        <v/>
      </c>
      <c r="K500" t="str">
        <f>IF(MIS_Backend_Data!AG499="", "", MIS_Backend_Data!AG499)</f>
        <v/>
      </c>
      <c r="L500" s="20" t="str">
        <f>IF(MIS_Backend_Data!AI499="", "", MIS_Backend_Data!AI499)</f>
        <v/>
      </c>
      <c r="M500" t="str">
        <f>IF(MIS_Backend_Data!AK499="", "", MIS_Backend_Data!AK499)</f>
        <v/>
      </c>
      <c r="N500" t="str">
        <f>IF(MIS_Backend_Data!AM499="", "", MIS_Backend_Data!AM499)</f>
        <v/>
      </c>
      <c r="O500" t="str">
        <f>IF(MIS_Backend_Data!AO499="", "", MIS_Backend_Data!AO499)</f>
        <v/>
      </c>
      <c r="P500" t="str">
        <f>IF(MIS_Backend_Data!AS499="", "", MIS_Backend_Data!AS499)</f>
        <v/>
      </c>
      <c r="Q500" t="str">
        <f>IF(MIS_Backend_Data!AX499="", "", MIS_Backend_Data!AX499)</f>
        <v/>
      </c>
      <c r="R500" t="str">
        <f>IF(MIS_Backend_Data!BB499="", "", MIS_Backend_Data!BB499)</f>
        <v/>
      </c>
      <c r="S500" t="str">
        <f>IF(MIS_Backend_Data!AW499="", "", MIS_Backend_Data!AW499)</f>
        <v/>
      </c>
      <c r="T500" s="42" t="str">
        <f>IF(MIS_Backend_Data!N499="Dispatch","Completed","NA")</f>
        <v>NA</v>
      </c>
      <c r="U500" t="str">
        <f t="shared" si="21"/>
        <v/>
      </c>
      <c r="V500" t="str">
        <f t="shared" si="22"/>
        <v/>
      </c>
      <c r="W500" s="20" t="str">
        <f t="shared" si="23"/>
        <v/>
      </c>
    </row>
    <row r="501" spans="2:23" ht="14.5">
      <c r="B501" s="205"/>
      <c r="C501" s="17"/>
      <c r="D501" s="17"/>
      <c r="E501" s="19"/>
    </row>
  </sheetData>
  <sheetProtection algorithmName="SHA-512" hashValue="H9A96MwakQbeBuiWkwjUb9FrR4cL5b7rAWXT3XI0eGIBnu/k2TMc9AtDMTrXGjLH7jwrMaDYrWPR8R43ERHHgA==" saltValue="NZEK/jA8/IX6xCkeOTSQFA==" spinCount="100000" sheet="1" objects="1" scenarios="1"/>
  <conditionalFormatting sqref="E1 E3:E1048576">
    <cfRule type="cellIs" dxfId="39" priority="2" operator="greaterThan">
      <formula>40</formula>
    </cfRule>
    <cfRule type="cellIs" dxfId="38" priority="3" operator="greaterThan">
      <formula>34</formula>
    </cfRule>
    <cfRule type="cellIs" dxfId="37" priority="4" operator="greaterThan">
      <formula>20</formula>
    </cfRule>
  </conditionalFormatting>
  <conditionalFormatting sqref="G1:S500 G502:S1048576">
    <cfRule type="containsText" dxfId="36" priority="1" operator="containsText" text="WIP">
      <formula>NOT(ISERROR(SEARCH("WIP",G1)))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C42C-12AA-4AEE-AAB8-4613A182A686}">
  <sheetPr codeName="Sheet3">
    <tabColor rgb="FFFFFF00"/>
  </sheetPr>
  <dimension ref="A1:BF506"/>
  <sheetViews>
    <sheetView tabSelected="1" topLeftCell="D1" zoomScale="55" zoomScaleNormal="55" workbookViewId="0">
      <pane ySplit="1" topLeftCell="A2" activePane="bottomLeft" state="frozen"/>
      <selection pane="bottomLeft" activeCell="T2" sqref="T2"/>
    </sheetView>
  </sheetViews>
  <sheetFormatPr defaultColWidth="9.1796875" defaultRowHeight="20.25" customHeight="1" outlineLevelCol="1"/>
  <cols>
    <col min="1" max="1" width="9.1796875" style="13" customWidth="1"/>
    <col min="2" max="2" width="18.81640625" style="13" customWidth="1"/>
    <col min="3" max="3" width="39.1796875" style="326" customWidth="1" outlineLevel="1"/>
    <col min="4" max="4" width="12" style="13" customWidth="1" outlineLevel="1"/>
    <col min="5" max="5" width="22.26953125" style="13" customWidth="1" outlineLevel="1"/>
    <col min="6" max="6" width="18.7265625" style="209" customWidth="1" outlineLevel="1"/>
    <col min="7" max="7" width="19" style="13" customWidth="1" outlineLevel="1"/>
    <col min="8" max="8" width="10.453125" style="13" customWidth="1" outlineLevel="1"/>
    <col min="9" max="10" width="12.26953125" style="14" customWidth="1" outlineLevel="1"/>
    <col min="11" max="11" width="9.1796875" style="13" customWidth="1" outlineLevel="1"/>
    <col min="12" max="12" width="5.54296875" style="13" customWidth="1" outlineLevel="1"/>
    <col min="13" max="13" width="16.81640625" style="13" customWidth="1" outlineLevel="1"/>
    <col min="14" max="14" width="17.54296875" style="13" customWidth="1"/>
    <col min="15" max="15" width="11.453125" style="13" customWidth="1"/>
    <col min="16" max="16" width="24.26953125" style="13" customWidth="1"/>
    <col min="17" max="17" width="35" style="1" customWidth="1"/>
    <col min="18" max="18" width="32.7265625" style="1" customWidth="1"/>
    <col min="19" max="19" width="18.1796875" style="1" customWidth="1"/>
    <col min="20" max="20" width="9.1796875" style="13" customWidth="1"/>
    <col min="21" max="22" width="36.54296875" style="1" customWidth="1"/>
    <col min="23" max="24" width="9.1796875" style="1" customWidth="1"/>
    <col min="25" max="27" width="35.453125" style="1" customWidth="1"/>
    <col min="28" max="28" width="13.1796875" style="13" customWidth="1"/>
    <col min="29" max="29" width="9.1796875" style="13" customWidth="1"/>
    <col min="30" max="30" width="26.54296875" style="1" customWidth="1"/>
    <col min="31" max="31" width="23" style="1" customWidth="1"/>
    <col min="32" max="32" width="18.54296875" style="13" customWidth="1"/>
    <col min="33" max="33" width="9.1796875" style="13" customWidth="1"/>
    <col min="34" max="34" width="11.54296875" style="13" customWidth="1"/>
    <col min="35" max="35" width="11.1796875" style="13" customWidth="1"/>
    <col min="36" max="36" width="10.81640625" style="13" customWidth="1"/>
    <col min="37" max="37" width="12.7265625" style="13" customWidth="1"/>
    <col min="38" max="38" width="13.453125" style="13" customWidth="1"/>
    <col min="39" max="39" width="14.54296875" style="13" customWidth="1"/>
    <col min="40" max="40" width="11.81640625" style="13" customWidth="1"/>
    <col min="41" max="41" width="17" style="13" customWidth="1"/>
    <col min="42" max="42" width="9.1796875" style="13" customWidth="1"/>
    <col min="43" max="43" width="53.453125" style="1" customWidth="1"/>
    <col min="44" max="44" width="16.81640625" style="1" customWidth="1"/>
    <col min="45" max="45" width="9.1796875" style="13" customWidth="1"/>
    <col min="46" max="46" width="13.1796875" style="1" customWidth="1"/>
    <col min="47" max="47" width="16" style="13" customWidth="1"/>
    <col min="48" max="49" width="13.26953125" style="13" customWidth="1"/>
    <col min="50" max="50" width="9.1796875" style="13" customWidth="1"/>
    <col min="51" max="52" width="36.54296875" style="1" customWidth="1"/>
    <col min="53" max="53" width="17.7265625" style="1" customWidth="1"/>
    <col min="54" max="54" width="9.1796875" style="3" customWidth="1"/>
    <col min="55" max="55" width="9.1796875" style="13" customWidth="1"/>
    <col min="56" max="56" width="9.1796875" style="2" customWidth="1"/>
    <col min="57" max="59" width="9.1796875" style="1" customWidth="1"/>
    <col min="60" max="16384" width="9.1796875" style="1"/>
  </cols>
  <sheetData>
    <row r="1" spans="1:58" ht="28.5" customHeight="1">
      <c r="A1" s="305" t="s">
        <v>0</v>
      </c>
      <c r="B1" s="241" t="str" cm="1">
        <f t="array" aca="1" ref="B1:G226" ca="1">_xlfn._xlws.FILTER( _xlfn.CHOOSECOLS(CRN!B:I, 6,5,2,4,7,8), CRN!E:E &lt;&gt; "" )</f>
        <v>CLAIM NUMBER</v>
      </c>
      <c r="C1" s="241" t="str">
        <f ca="1"/>
        <v>CLIENT NAME</v>
      </c>
      <c r="D1" s="241" t="str">
        <f ca="1"/>
        <v>CATEGORY</v>
      </c>
      <c r="E1" s="241" t="str">
        <f ca="1"/>
        <v>CRN</v>
      </c>
      <c r="F1" s="242" t="str">
        <f ca="1"/>
        <v>CASE RECIPET DATE</v>
      </c>
      <c r="G1" s="311" t="str">
        <f ca="1"/>
        <v>RECIPET MONTH</v>
      </c>
      <c r="H1" s="307" t="s">
        <v>659</v>
      </c>
      <c r="I1" s="311" t="s">
        <v>660</v>
      </c>
      <c r="J1" s="311" t="s">
        <v>661</v>
      </c>
      <c r="K1" s="306" t="s">
        <v>662</v>
      </c>
      <c r="L1" s="305" t="s">
        <v>663</v>
      </c>
      <c r="M1" s="308" t="s">
        <v>664</v>
      </c>
      <c r="N1" s="304" t="s">
        <v>665</v>
      </c>
      <c r="O1" s="307" t="s">
        <v>666</v>
      </c>
      <c r="P1" s="305" t="s">
        <v>667</v>
      </c>
      <c r="Q1" s="243" t="s">
        <v>668</v>
      </c>
      <c r="R1" s="243" t="s">
        <v>669</v>
      </c>
      <c r="S1" s="243" t="s">
        <v>670</v>
      </c>
      <c r="T1" s="304" t="s">
        <v>671</v>
      </c>
      <c r="U1" s="243" t="s">
        <v>672</v>
      </c>
      <c r="V1" s="243" t="s">
        <v>673</v>
      </c>
      <c r="W1" s="243" t="s">
        <v>674</v>
      </c>
      <c r="X1" s="304" t="s">
        <v>675</v>
      </c>
      <c r="Y1" s="243" t="s">
        <v>1</v>
      </c>
      <c r="Z1" s="243" t="s">
        <v>676</v>
      </c>
      <c r="AA1" s="243" t="s">
        <v>677</v>
      </c>
      <c r="AB1" s="243" t="s">
        <v>678</v>
      </c>
      <c r="AC1" s="304" t="s">
        <v>679</v>
      </c>
      <c r="AD1" s="243" t="s">
        <v>680</v>
      </c>
      <c r="AE1" s="243" t="s">
        <v>681</v>
      </c>
      <c r="AF1" s="304" t="s">
        <v>682</v>
      </c>
      <c r="AG1" s="304" t="s">
        <v>683</v>
      </c>
      <c r="AH1" s="243" t="s">
        <v>14</v>
      </c>
      <c r="AI1" s="304" t="s">
        <v>684</v>
      </c>
      <c r="AJ1" s="243" t="s">
        <v>685</v>
      </c>
      <c r="AK1" s="243" t="s">
        <v>686</v>
      </c>
      <c r="AL1" s="243" t="s">
        <v>16</v>
      </c>
      <c r="AM1" s="243" t="s">
        <v>687</v>
      </c>
      <c r="AN1" s="243" t="s">
        <v>688</v>
      </c>
      <c r="AO1" s="243" t="s">
        <v>689</v>
      </c>
      <c r="AP1" s="243" t="s">
        <v>674</v>
      </c>
      <c r="AQ1" s="243" t="s">
        <v>690</v>
      </c>
      <c r="AR1" s="243" t="s">
        <v>691</v>
      </c>
      <c r="AS1" s="304" t="s">
        <v>692</v>
      </c>
      <c r="AT1" s="243" t="s">
        <v>693</v>
      </c>
      <c r="AU1" s="243" t="s">
        <v>694</v>
      </c>
      <c r="AV1" s="243" t="s">
        <v>695</v>
      </c>
      <c r="AW1" s="243" t="s">
        <v>20</v>
      </c>
      <c r="AX1" s="304" t="s">
        <v>696</v>
      </c>
      <c r="AY1" s="243" t="s">
        <v>697</v>
      </c>
      <c r="AZ1" s="243" t="s">
        <v>698</v>
      </c>
      <c r="BA1" s="243" t="s">
        <v>699</v>
      </c>
      <c r="BB1" s="304" t="s">
        <v>700</v>
      </c>
      <c r="BC1" s="244" t="s">
        <v>701</v>
      </c>
      <c r="BD1" s="304" t="s">
        <v>702</v>
      </c>
      <c r="BE1" s="309" t="s">
        <v>703</v>
      </c>
      <c r="BF1" s="28"/>
    </row>
    <row r="2" spans="1:58" ht="20.25" customHeight="1">
      <c r="A2" s="27">
        <v>1</v>
      </c>
      <c r="B2" s="254" t="str">
        <f ca="1"/>
        <v>C2264103101203-00</v>
      </c>
      <c r="C2" s="137" t="str">
        <f ca="1"/>
        <v>Magma HDI General Insurance Company Ltd</v>
      </c>
      <c r="D2" s="27" t="str">
        <f ca="1"/>
        <v>MACT</v>
      </c>
      <c r="E2" s="27" t="str">
        <f ca="1"/>
        <v>M002-1001-SS-2025</v>
      </c>
      <c r="F2" s="206">
        <f ca="1"/>
        <v>45873</v>
      </c>
      <c r="G2" s="27" t="str">
        <f ca="1"/>
        <v>Aug-25</v>
      </c>
      <c r="H2" s="29">
        <v>46025</v>
      </c>
      <c r="I2" s="29" t="str">
        <f>TEXT(H2,("mmm-yy"))</f>
        <v>Jan-26</v>
      </c>
      <c r="J2" s="29">
        <f ca="1">IF(F2="", "",
    IF(OR(M2="WC Claim", M2="Partial Case"),
        WORKDAY(F2, 15),
    IF(OR(M2="Medical Verification", M2="Full Case"),
        WORKDAY(F2, 30),
    "")))</f>
        <v>45915</v>
      </c>
      <c r="K2" s="27">
        <f ca="1">IF(F2="", "", IF(ISNUMBER(H2), H2 - F2, TODAY() - F2))</f>
        <v>152</v>
      </c>
      <c r="L2" s="27" t="str">
        <f ca="1">IF(K2="", "",
    IF(OR(M2="Partial Case", M2="Medical Verification", M2="WC Claim"),
        IF(K2&lt;=15, "WT", "AT"),
        IF(K2&lt;30, "WT", "AT")
    )
)</f>
        <v>AT</v>
      </c>
      <c r="M2" s="27" t="s">
        <v>704</v>
      </c>
      <c r="N2" s="27" t="s">
        <v>705</v>
      </c>
      <c r="O2" s="27" t="s">
        <v>706</v>
      </c>
      <c r="P2" s="212"/>
      <c r="Q2" s="289" t="s">
        <v>707</v>
      </c>
      <c r="R2" s="28" t="s">
        <v>708</v>
      </c>
      <c r="S2" s="290" t="s">
        <v>709</v>
      </c>
      <c r="T2" s="212" t="s">
        <v>706</v>
      </c>
      <c r="U2" s="213" t="s">
        <v>41</v>
      </c>
      <c r="V2" s="213"/>
      <c r="W2" s="213"/>
      <c r="X2" s="213" t="s">
        <v>41</v>
      </c>
      <c r="Y2" s="289" t="s">
        <v>26</v>
      </c>
      <c r="Z2" s="93" t="s">
        <v>710</v>
      </c>
      <c r="AA2" s="290" t="s">
        <v>711</v>
      </c>
      <c r="AB2" s="212" t="s">
        <v>41</v>
      </c>
      <c r="AC2" s="212" t="s">
        <v>706</v>
      </c>
      <c r="AD2" s="289" t="s">
        <v>712</v>
      </c>
      <c r="AE2" s="289"/>
      <c r="AF2" s="289" t="s">
        <v>41</v>
      </c>
      <c r="AG2" s="212" t="s">
        <v>41</v>
      </c>
      <c r="AH2" s="212" t="s">
        <v>66</v>
      </c>
      <c r="AI2" s="212" t="s">
        <v>41</v>
      </c>
      <c r="AJ2" s="212" t="s">
        <v>41</v>
      </c>
      <c r="AK2" s="212" t="s">
        <v>41</v>
      </c>
      <c r="AL2" s="212" t="s">
        <v>41</v>
      </c>
      <c r="AM2" s="212" t="s">
        <v>41</v>
      </c>
      <c r="AN2" s="212" t="s">
        <v>41</v>
      </c>
      <c r="AO2" s="212" t="s">
        <v>41</v>
      </c>
      <c r="AP2" s="212" t="s">
        <v>41</v>
      </c>
      <c r="AQ2" s="347" t="s">
        <v>713</v>
      </c>
      <c r="AR2" s="289" t="s">
        <v>714</v>
      </c>
      <c r="AS2" s="212" t="s">
        <v>706</v>
      </c>
      <c r="AT2" s="289" t="s">
        <v>709</v>
      </c>
      <c r="AU2" s="212" t="s">
        <v>41</v>
      </c>
      <c r="AV2" s="212" t="s">
        <v>41</v>
      </c>
      <c r="AW2" s="212" t="s">
        <v>41</v>
      </c>
      <c r="AX2" s="27" t="s">
        <v>706</v>
      </c>
      <c r="AY2" s="289" t="s">
        <v>715</v>
      </c>
      <c r="AZ2" s="289"/>
      <c r="BA2" s="289"/>
      <c r="BB2" s="214" t="s">
        <v>41</v>
      </c>
      <c r="BC2" s="212"/>
      <c r="BD2" s="215" t="s">
        <v>716</v>
      </c>
      <c r="BE2" s="28" t="s">
        <v>717</v>
      </c>
      <c r="BF2" s="28"/>
    </row>
    <row r="3" spans="1:58" ht="20.25" customHeight="1">
      <c r="A3" s="27">
        <v>2</v>
      </c>
      <c r="B3" s="254" t="str">
        <f ca="1"/>
        <v>C2264191100006-00</v>
      </c>
      <c r="C3" s="137" t="str">
        <f ca="1"/>
        <v>Magma HDI General Insurance Company Ltd</v>
      </c>
      <c r="D3" s="27" t="str">
        <f ca="1"/>
        <v>MACT</v>
      </c>
      <c r="E3" s="27" t="str">
        <f ca="1"/>
        <v>M002-1002-SS-2025</v>
      </c>
      <c r="F3" s="206">
        <f ca="1"/>
        <v>45873</v>
      </c>
      <c r="G3" s="27" t="str">
        <f ca="1"/>
        <v>Aug-25</v>
      </c>
      <c r="H3" s="29" t="s">
        <v>718</v>
      </c>
      <c r="I3" s="29"/>
      <c r="J3" s="29" t="str">
        <f t="shared" ref="J3:J66" ca="1" si="0">IF(F3="", "",
    IF(OR(M3="WC Claim", M3="Partial Case"),
        WORKDAY(F3, 15),
    IF(OR(M3="Medical Verification", M3="Full Case"),
        WORKDAY(F3, 30),
    "")))</f>
        <v/>
      </c>
      <c r="K3" s="27">
        <f t="shared" ref="K3:K66" ca="1" si="1">IF(F3="", "", IF(ISNUMBER(H3), H3 - F3, TODAY() - F3))</f>
        <v>154</v>
      </c>
      <c r="L3" s="27" t="str">
        <f t="shared" ref="L3:L66" ca="1" si="2">IF(K3="", "",
    IF(OR(M3="Partial Case", M3="Medical Verification", M3="WC Claim"),
        IF(K3&lt;=15, "WT", "AT"),
        IF(K3&lt;30, "WT", "AT")
    )
)</f>
        <v>AT</v>
      </c>
      <c r="M3" s="27" t="s">
        <v>719</v>
      </c>
      <c r="N3" s="27" t="s">
        <v>720</v>
      </c>
      <c r="O3" s="27" t="s">
        <v>721</v>
      </c>
      <c r="P3" s="27"/>
      <c r="Q3" s="17" t="s">
        <v>722</v>
      </c>
      <c r="R3" s="28" t="s">
        <v>723</v>
      </c>
      <c r="S3" s="290" t="s">
        <v>709</v>
      </c>
      <c r="T3" s="27" t="s">
        <v>721</v>
      </c>
      <c r="U3" s="28" t="s">
        <v>41</v>
      </c>
      <c r="V3" s="28"/>
      <c r="W3" s="28"/>
      <c r="X3" s="213" t="s">
        <v>41</v>
      </c>
      <c r="Y3" s="17" t="s">
        <v>724</v>
      </c>
      <c r="Z3" s="28" t="s">
        <v>725</v>
      </c>
      <c r="AA3" s="205" t="s">
        <v>709</v>
      </c>
      <c r="AB3" s="27" t="s">
        <v>41</v>
      </c>
      <c r="AC3" s="27" t="s">
        <v>721</v>
      </c>
      <c r="AD3" s="17" t="s">
        <v>41</v>
      </c>
      <c r="AE3" s="17"/>
      <c r="AF3" s="17" t="s">
        <v>726</v>
      </c>
      <c r="AG3" s="27" t="s">
        <v>41</v>
      </c>
      <c r="AH3" s="27" t="s">
        <v>41</v>
      </c>
      <c r="AI3" s="27" t="s">
        <v>41</v>
      </c>
      <c r="AJ3" s="27" t="s">
        <v>41</v>
      </c>
      <c r="AK3" s="27" t="s">
        <v>41</v>
      </c>
      <c r="AL3" s="27" t="s">
        <v>41</v>
      </c>
      <c r="AM3" s="27" t="s">
        <v>41</v>
      </c>
      <c r="AN3" s="27" t="s">
        <v>41</v>
      </c>
      <c r="AO3" s="27" t="s">
        <v>41</v>
      </c>
      <c r="AP3" s="27" t="s">
        <v>41</v>
      </c>
      <c r="AQ3" s="291" t="s">
        <v>727</v>
      </c>
      <c r="AR3" s="17" t="s">
        <v>728</v>
      </c>
      <c r="AS3" s="27" t="s">
        <v>721</v>
      </c>
      <c r="AT3" s="17" t="s">
        <v>709</v>
      </c>
      <c r="AU3" s="27" t="s">
        <v>41</v>
      </c>
      <c r="AV3" s="27" t="s">
        <v>41</v>
      </c>
      <c r="AW3" s="27" t="s">
        <v>41</v>
      </c>
      <c r="AX3" s="27" t="s">
        <v>706</v>
      </c>
      <c r="AY3" s="17" t="s">
        <v>715</v>
      </c>
      <c r="AZ3" s="17"/>
      <c r="BA3" s="17"/>
      <c r="BB3" s="26" t="s">
        <v>41</v>
      </c>
      <c r="BC3" s="27"/>
      <c r="BD3" s="93"/>
      <c r="BE3" s="28" t="s">
        <v>654</v>
      </c>
      <c r="BF3" s="28"/>
    </row>
    <row r="4" spans="1:58" ht="20.25" customHeight="1">
      <c r="A4" s="27">
        <v>3</v>
      </c>
      <c r="B4" s="254" t="str">
        <f ca="1"/>
        <v>C2264103101217-04</v>
      </c>
      <c r="C4" s="322" t="str">
        <f ca="1"/>
        <v>Magma HDI General Insurance Company Ltd</v>
      </c>
      <c r="D4" s="27" t="str">
        <f ca="1"/>
        <v>MACT</v>
      </c>
      <c r="E4" s="27" t="str">
        <f ca="1"/>
        <v>M002-1003-SS-2025</v>
      </c>
      <c r="F4" s="206">
        <f ca="1"/>
        <v>45876</v>
      </c>
      <c r="G4" s="27" t="str">
        <f ca="1"/>
        <v>Aug-25</v>
      </c>
      <c r="H4" s="29">
        <v>46014</v>
      </c>
      <c r="I4" s="29" t="str">
        <f t="shared" ref="I4:I65" si="3">IF(ISBLANK(H4), "", TEXT(H4, "mmm-yy"))</f>
        <v>Dec-25</v>
      </c>
      <c r="J4" s="29">
        <f t="shared" ca="1" si="0"/>
        <v>45918</v>
      </c>
      <c r="K4" s="27">
        <f t="shared" ca="1" si="1"/>
        <v>138</v>
      </c>
      <c r="L4" s="27" t="str">
        <f t="shared" ca="1" si="2"/>
        <v>AT</v>
      </c>
      <c r="M4" s="27" t="s">
        <v>704</v>
      </c>
      <c r="N4" s="27" t="s">
        <v>705</v>
      </c>
      <c r="O4" s="27" t="s">
        <v>706</v>
      </c>
      <c r="P4" s="27"/>
      <c r="Q4" s="17" t="s">
        <v>729</v>
      </c>
      <c r="R4" s="28" t="s">
        <v>730</v>
      </c>
      <c r="S4" s="290" t="s">
        <v>709</v>
      </c>
      <c r="T4" s="27" t="s">
        <v>706</v>
      </c>
      <c r="U4" s="28" t="s">
        <v>41</v>
      </c>
      <c r="V4" s="28"/>
      <c r="W4" s="28"/>
      <c r="X4" s="213" t="s">
        <v>41</v>
      </c>
      <c r="Y4" s="17" t="s">
        <v>731</v>
      </c>
      <c r="Z4" s="93" t="s">
        <v>732</v>
      </c>
      <c r="AA4" s="205" t="s">
        <v>733</v>
      </c>
      <c r="AB4" s="27" t="s">
        <v>41</v>
      </c>
      <c r="AC4" s="27" t="s">
        <v>706</v>
      </c>
      <c r="AD4" s="17" t="s">
        <v>734</v>
      </c>
      <c r="AE4" s="17"/>
      <c r="AF4" s="17" t="s">
        <v>41</v>
      </c>
      <c r="AG4" s="27" t="s">
        <v>706</v>
      </c>
      <c r="AH4" s="27" t="s">
        <v>41</v>
      </c>
      <c r="AI4" s="27" t="s">
        <v>41</v>
      </c>
      <c r="AJ4" s="27" t="s">
        <v>41</v>
      </c>
      <c r="AK4" s="27" t="s">
        <v>41</v>
      </c>
      <c r="AL4" s="27" t="s">
        <v>41</v>
      </c>
      <c r="AM4" s="27" t="s">
        <v>41</v>
      </c>
      <c r="AN4" s="27" t="s">
        <v>41</v>
      </c>
      <c r="AO4" s="27" t="s">
        <v>41</v>
      </c>
      <c r="AP4" s="27" t="s">
        <v>41</v>
      </c>
      <c r="AQ4" s="17" t="s">
        <v>735</v>
      </c>
      <c r="AR4" s="17" t="s">
        <v>736</v>
      </c>
      <c r="AS4" s="27" t="s">
        <v>706</v>
      </c>
      <c r="AT4" s="17" t="s">
        <v>709</v>
      </c>
      <c r="AU4" s="27" t="s">
        <v>41</v>
      </c>
      <c r="AV4" s="27" t="s">
        <v>41</v>
      </c>
      <c r="AW4" s="27" t="s">
        <v>41</v>
      </c>
      <c r="AX4" s="27" t="s">
        <v>706</v>
      </c>
      <c r="AY4" s="17" t="s">
        <v>737</v>
      </c>
      <c r="AZ4" s="17"/>
      <c r="BA4" s="17"/>
      <c r="BB4" s="26" t="s">
        <v>41</v>
      </c>
      <c r="BC4" s="27"/>
      <c r="BD4" s="93"/>
      <c r="BE4" s="28" t="s">
        <v>738</v>
      </c>
      <c r="BF4" s="28"/>
    </row>
    <row r="5" spans="1:58" ht="20.25" customHeight="1">
      <c r="A5" s="27">
        <v>4</v>
      </c>
      <c r="B5" s="254" t="str">
        <f ca="1"/>
        <v xml:space="preserve">MTP-N-2526-002724 </v>
      </c>
      <c r="C5" s="137" t="str">
        <f ca="1"/>
        <v>Generali Central Insurance Company Limited</v>
      </c>
      <c r="D5" s="27" t="str">
        <f ca="1"/>
        <v>MACT</v>
      </c>
      <c r="E5" s="27" t="str">
        <f ca="1"/>
        <v>F001-1004-SS-2025</v>
      </c>
      <c r="F5" s="206">
        <f ca="1"/>
        <v>45890</v>
      </c>
      <c r="G5" s="27" t="str">
        <f ca="1"/>
        <v>Aug-25</v>
      </c>
      <c r="H5" s="29">
        <v>45918</v>
      </c>
      <c r="I5" s="29" t="str">
        <f t="shared" si="3"/>
        <v>Sep-25</v>
      </c>
      <c r="J5" s="29">
        <f t="shared" ca="1" si="0"/>
        <v>45932</v>
      </c>
      <c r="K5" s="27">
        <f t="shared" ca="1" si="1"/>
        <v>28</v>
      </c>
      <c r="L5" s="27" t="str">
        <f t="shared" ca="1" si="2"/>
        <v>WT</v>
      </c>
      <c r="M5" s="27" t="s">
        <v>704</v>
      </c>
      <c r="N5" s="27" t="s">
        <v>705</v>
      </c>
      <c r="O5" s="27" t="s">
        <v>706</v>
      </c>
      <c r="P5" s="27"/>
      <c r="Q5" s="28" t="s">
        <v>739</v>
      </c>
      <c r="R5" s="28" t="s">
        <v>740</v>
      </c>
      <c r="S5" s="27" t="s">
        <v>741</v>
      </c>
      <c r="T5" s="27" t="s">
        <v>706</v>
      </c>
      <c r="U5" s="28" t="s">
        <v>742</v>
      </c>
      <c r="V5" s="28"/>
      <c r="W5" s="28"/>
      <c r="X5" s="213" t="s">
        <v>41</v>
      </c>
      <c r="Y5" s="28" t="s">
        <v>37</v>
      </c>
      <c r="Z5" s="28" t="s">
        <v>743</v>
      </c>
      <c r="AA5" s="27" t="s">
        <v>741</v>
      </c>
      <c r="AB5" s="27" t="s">
        <v>41</v>
      </c>
      <c r="AC5" s="27" t="s">
        <v>706</v>
      </c>
      <c r="AD5" s="28" t="s">
        <v>41</v>
      </c>
      <c r="AE5" s="28"/>
      <c r="AF5" s="27" t="s">
        <v>41</v>
      </c>
      <c r="AG5" s="27" t="s">
        <v>706</v>
      </c>
      <c r="AH5" s="27" t="s">
        <v>742</v>
      </c>
      <c r="AI5" s="27" t="s">
        <v>721</v>
      </c>
      <c r="AJ5" s="27" t="s">
        <v>721</v>
      </c>
      <c r="AK5" s="27" t="s">
        <v>721</v>
      </c>
      <c r="AL5" s="27" t="s">
        <v>41</v>
      </c>
      <c r="AM5" s="27" t="s">
        <v>41</v>
      </c>
      <c r="AN5" s="27" t="s">
        <v>41</v>
      </c>
      <c r="AO5" s="27" t="s">
        <v>41</v>
      </c>
      <c r="AP5" s="27" t="s">
        <v>41</v>
      </c>
      <c r="AQ5" s="28" t="s">
        <v>744</v>
      </c>
      <c r="AR5" s="28" t="s">
        <v>741</v>
      </c>
      <c r="AS5" s="27" t="s">
        <v>706</v>
      </c>
      <c r="AT5" s="28" t="s">
        <v>41</v>
      </c>
      <c r="AU5" s="27" t="s">
        <v>41</v>
      </c>
      <c r="AV5" s="27" t="s">
        <v>41</v>
      </c>
      <c r="AW5" s="27" t="s">
        <v>41</v>
      </c>
      <c r="AX5" s="27" t="s">
        <v>41</v>
      </c>
      <c r="AY5" s="28"/>
      <c r="AZ5" s="28"/>
      <c r="BA5" s="28"/>
      <c r="BB5" s="26" t="s">
        <v>706</v>
      </c>
      <c r="BC5" s="27"/>
      <c r="BD5" s="93"/>
      <c r="BE5" s="28"/>
      <c r="BF5" s="28"/>
    </row>
    <row r="6" spans="1:58" ht="20.25" customHeight="1">
      <c r="A6" s="27">
        <v>5</v>
      </c>
      <c r="B6" s="254" t="str">
        <f ca="1"/>
        <v>MTP-N-2526-002725</v>
      </c>
      <c r="C6" s="137" t="str">
        <f ca="1"/>
        <v>Generali Central Insurance Company Limited</v>
      </c>
      <c r="D6" s="27" t="str">
        <f ca="1"/>
        <v>MACT</v>
      </c>
      <c r="E6" s="27" t="str">
        <f ca="1"/>
        <v>F001-1005-SS-2025</v>
      </c>
      <c r="F6" s="206">
        <f ca="1"/>
        <v>45890</v>
      </c>
      <c r="G6" s="27" t="str">
        <f ca="1"/>
        <v>Aug-25</v>
      </c>
      <c r="H6" s="29">
        <v>45918</v>
      </c>
      <c r="I6" s="29" t="str">
        <f t="shared" si="3"/>
        <v>Sep-25</v>
      </c>
      <c r="J6" s="29">
        <f t="shared" ca="1" si="0"/>
        <v>45932</v>
      </c>
      <c r="K6" s="27">
        <f t="shared" ca="1" si="1"/>
        <v>28</v>
      </c>
      <c r="L6" s="27" t="str">
        <f t="shared" ca="1" si="2"/>
        <v>WT</v>
      </c>
      <c r="M6" s="27" t="s">
        <v>704</v>
      </c>
      <c r="N6" s="27" t="s">
        <v>705</v>
      </c>
      <c r="O6" s="27" t="s">
        <v>706</v>
      </c>
      <c r="P6" s="27"/>
      <c r="Q6" s="28" t="s">
        <v>745</v>
      </c>
      <c r="R6" s="28" t="s">
        <v>746</v>
      </c>
      <c r="S6" s="27" t="s">
        <v>741</v>
      </c>
      <c r="T6" s="27" t="s">
        <v>706</v>
      </c>
      <c r="U6" s="27" t="s">
        <v>41</v>
      </c>
      <c r="V6" s="27"/>
      <c r="W6" s="27"/>
      <c r="X6" s="213" t="s">
        <v>41</v>
      </c>
      <c r="Y6" s="28" t="s">
        <v>41</v>
      </c>
      <c r="Z6" s="28" t="s">
        <v>41</v>
      </c>
      <c r="AA6" s="27" t="s">
        <v>66</v>
      </c>
      <c r="AB6" s="27" t="s">
        <v>41</v>
      </c>
      <c r="AC6" s="27" t="s">
        <v>41</v>
      </c>
      <c r="AD6" s="28" t="s">
        <v>41</v>
      </c>
      <c r="AE6" s="28"/>
      <c r="AF6" s="27" t="s">
        <v>41</v>
      </c>
      <c r="AG6" s="27" t="s">
        <v>41</v>
      </c>
      <c r="AH6" s="27" t="s">
        <v>41</v>
      </c>
      <c r="AI6" s="27" t="s">
        <v>41</v>
      </c>
      <c r="AJ6" s="27" t="s">
        <v>41</v>
      </c>
      <c r="AK6" s="27" t="s">
        <v>41</v>
      </c>
      <c r="AL6" s="27" t="s">
        <v>41</v>
      </c>
      <c r="AM6" s="27" t="s">
        <v>41</v>
      </c>
      <c r="AN6" s="27" t="s">
        <v>41</v>
      </c>
      <c r="AO6" s="27" t="s">
        <v>41</v>
      </c>
      <c r="AP6" s="27" t="s">
        <v>41</v>
      </c>
      <c r="AQ6" s="28" t="s">
        <v>41</v>
      </c>
      <c r="AR6" s="28" t="s">
        <v>41</v>
      </c>
      <c r="AS6" s="27" t="s">
        <v>747</v>
      </c>
      <c r="AT6" s="28"/>
      <c r="AU6" s="27"/>
      <c r="AV6" s="27" t="s">
        <v>41</v>
      </c>
      <c r="AW6" s="27"/>
      <c r="AX6" s="27" t="s">
        <v>41</v>
      </c>
      <c r="AY6" s="28"/>
      <c r="AZ6" s="28"/>
      <c r="BA6" s="28"/>
      <c r="BB6" s="26" t="s">
        <v>41</v>
      </c>
      <c r="BC6" s="27"/>
      <c r="BD6" s="93"/>
      <c r="BE6" s="28"/>
      <c r="BF6" s="28"/>
    </row>
    <row r="7" spans="1:58" ht="20.25" customHeight="1">
      <c r="A7" s="27">
        <v>6</v>
      </c>
      <c r="B7" s="254" t="str">
        <f ca="1"/>
        <v>MTP-N-2526-002726</v>
      </c>
      <c r="C7" s="137" t="str">
        <f ca="1"/>
        <v>Generali Central Insurance Company Limited</v>
      </c>
      <c r="D7" s="27" t="str">
        <f ca="1"/>
        <v>MACT</v>
      </c>
      <c r="E7" s="27" t="str">
        <f ca="1"/>
        <v>F001-1006-SS-2025</v>
      </c>
      <c r="F7" s="206">
        <f ca="1"/>
        <v>45890</v>
      </c>
      <c r="G7" s="27" t="str">
        <f ca="1"/>
        <v>Aug-25</v>
      </c>
      <c r="H7" s="29">
        <v>45918</v>
      </c>
      <c r="I7" s="29" t="str">
        <f t="shared" si="3"/>
        <v>Sep-25</v>
      </c>
      <c r="J7" s="29">
        <f t="shared" ca="1" si="0"/>
        <v>45932</v>
      </c>
      <c r="K7" s="27">
        <f t="shared" ca="1" si="1"/>
        <v>28</v>
      </c>
      <c r="L7" s="27" t="str">
        <f t="shared" ca="1" si="2"/>
        <v>WT</v>
      </c>
      <c r="M7" s="27" t="s">
        <v>704</v>
      </c>
      <c r="N7" s="27" t="s">
        <v>705</v>
      </c>
      <c r="O7" s="27" t="s">
        <v>706</v>
      </c>
      <c r="P7" s="27" t="s">
        <v>748</v>
      </c>
      <c r="Q7" s="28" t="s">
        <v>749</v>
      </c>
      <c r="R7" s="28" t="s">
        <v>746</v>
      </c>
      <c r="S7" s="27" t="s">
        <v>741</v>
      </c>
      <c r="T7" s="27" t="s">
        <v>706</v>
      </c>
      <c r="U7" s="27" t="s">
        <v>41</v>
      </c>
      <c r="V7" s="27"/>
      <c r="W7" s="27"/>
      <c r="X7" s="213" t="s">
        <v>41</v>
      </c>
      <c r="Y7" s="28" t="s">
        <v>41</v>
      </c>
      <c r="Z7" s="28" t="s">
        <v>41</v>
      </c>
      <c r="AA7" s="27" t="s">
        <v>66</v>
      </c>
      <c r="AB7" s="27" t="s">
        <v>41</v>
      </c>
      <c r="AC7" s="27" t="s">
        <v>706</v>
      </c>
      <c r="AD7" s="28" t="s">
        <v>41</v>
      </c>
      <c r="AE7" s="28"/>
      <c r="AF7" s="27" t="s">
        <v>41</v>
      </c>
      <c r="AG7" s="27" t="s">
        <v>41</v>
      </c>
      <c r="AH7" s="27" t="s">
        <v>41</v>
      </c>
      <c r="AI7" s="27" t="s">
        <v>41</v>
      </c>
      <c r="AJ7" s="27" t="s">
        <v>41</v>
      </c>
      <c r="AK7" s="27" t="s">
        <v>41</v>
      </c>
      <c r="AL7" s="27" t="s">
        <v>41</v>
      </c>
      <c r="AM7" s="27" t="s">
        <v>41</v>
      </c>
      <c r="AN7" s="27" t="s">
        <v>41</v>
      </c>
      <c r="AO7" s="27" t="s">
        <v>41</v>
      </c>
      <c r="AP7" s="27" t="s">
        <v>41</v>
      </c>
      <c r="AQ7" s="28" t="s">
        <v>41</v>
      </c>
      <c r="AR7" s="28" t="s">
        <v>41</v>
      </c>
      <c r="AS7" s="27" t="s">
        <v>706</v>
      </c>
      <c r="AT7" s="28"/>
      <c r="AU7" s="27"/>
      <c r="AV7" s="27" t="s">
        <v>41</v>
      </c>
      <c r="AW7" s="27"/>
      <c r="AX7" s="27" t="s">
        <v>706</v>
      </c>
      <c r="AY7" s="28"/>
      <c r="AZ7" s="28"/>
      <c r="BA7" s="28"/>
      <c r="BB7" s="26" t="s">
        <v>41</v>
      </c>
      <c r="BC7" s="27"/>
      <c r="BD7" s="93"/>
      <c r="BE7" s="28"/>
      <c r="BF7" s="28"/>
    </row>
    <row r="8" spans="1:58" ht="20.25" customHeight="1">
      <c r="A8" s="27">
        <v>7</v>
      </c>
      <c r="B8" s="254" t="str">
        <f ca="1"/>
        <v>MTP-N-2526-002845</v>
      </c>
      <c r="C8" s="137" t="str">
        <f ca="1"/>
        <v>Generali Central Insurance Company Limited</v>
      </c>
      <c r="D8" s="27" t="str">
        <f ca="1"/>
        <v>MACT</v>
      </c>
      <c r="E8" s="27" t="str">
        <f ca="1"/>
        <v>F001-1007-SS-2025</v>
      </c>
      <c r="F8" s="206">
        <f ca="1"/>
        <v>45897</v>
      </c>
      <c r="G8" s="27" t="str">
        <f ca="1"/>
        <v>Aug-25</v>
      </c>
      <c r="H8" s="29">
        <v>45948</v>
      </c>
      <c r="I8" s="29" t="str">
        <f t="shared" si="3"/>
        <v>Oct-25</v>
      </c>
      <c r="J8" s="29">
        <f t="shared" ca="1" si="0"/>
        <v>45918</v>
      </c>
      <c r="K8" s="27">
        <f t="shared" ca="1" si="1"/>
        <v>51</v>
      </c>
      <c r="L8" s="27" t="str">
        <f t="shared" ca="1" si="2"/>
        <v>AT</v>
      </c>
      <c r="M8" s="27" t="s">
        <v>750</v>
      </c>
      <c r="N8" s="27" t="s">
        <v>720</v>
      </c>
      <c r="O8" s="27" t="s">
        <v>751</v>
      </c>
      <c r="P8" s="27"/>
      <c r="Q8" s="28" t="s">
        <v>41</v>
      </c>
      <c r="R8" s="28" t="s">
        <v>41</v>
      </c>
      <c r="S8" s="27" t="s">
        <v>41</v>
      </c>
      <c r="T8" s="27" t="s">
        <v>41</v>
      </c>
      <c r="U8" s="28" t="s">
        <v>41</v>
      </c>
      <c r="V8" s="28"/>
      <c r="W8" s="28"/>
      <c r="X8" s="213" t="s">
        <v>41</v>
      </c>
      <c r="Y8" s="174" t="s">
        <v>752</v>
      </c>
      <c r="Z8" s="93" t="s">
        <v>753</v>
      </c>
      <c r="AA8" s="230" t="s">
        <v>754</v>
      </c>
      <c r="AB8" s="27" t="s">
        <v>41</v>
      </c>
      <c r="AC8" s="27" t="s">
        <v>706</v>
      </c>
      <c r="AD8" s="28" t="s">
        <v>755</v>
      </c>
      <c r="AE8" s="28"/>
      <c r="AF8" s="174" t="s">
        <v>756</v>
      </c>
      <c r="AG8" s="27" t="s">
        <v>706</v>
      </c>
      <c r="AH8" s="27" t="s">
        <v>742</v>
      </c>
      <c r="AI8" s="27" t="s">
        <v>706</v>
      </c>
      <c r="AJ8" s="27" t="s">
        <v>757</v>
      </c>
      <c r="AK8" s="27" t="s">
        <v>706</v>
      </c>
      <c r="AL8" s="27" t="s">
        <v>758</v>
      </c>
      <c r="AM8" s="27" t="s">
        <v>66</v>
      </c>
      <c r="AN8" s="27" t="s">
        <v>41</v>
      </c>
      <c r="AO8" s="27" t="s">
        <v>41</v>
      </c>
      <c r="AP8" s="27" t="s">
        <v>41</v>
      </c>
      <c r="AQ8" s="175" t="s">
        <v>759</v>
      </c>
      <c r="AR8" s="175" t="s">
        <v>760</v>
      </c>
      <c r="AS8" s="27" t="s">
        <v>706</v>
      </c>
      <c r="AT8" s="17" t="s">
        <v>761</v>
      </c>
      <c r="AU8" s="359" t="s">
        <v>762</v>
      </c>
      <c r="AV8" s="27" t="s">
        <v>763</v>
      </c>
      <c r="AW8" s="27"/>
      <c r="AX8" s="27" t="s">
        <v>721</v>
      </c>
      <c r="AY8" s="28" t="s">
        <v>41</v>
      </c>
      <c r="AZ8" s="28"/>
      <c r="BA8" s="28"/>
      <c r="BB8" s="26" t="s">
        <v>66</v>
      </c>
      <c r="BC8" s="27"/>
      <c r="BD8" s="93"/>
      <c r="BE8" s="28" t="s">
        <v>764</v>
      </c>
      <c r="BF8" s="28"/>
    </row>
    <row r="9" spans="1:58" ht="20.25" customHeight="1">
      <c r="A9" s="27">
        <v>8</v>
      </c>
      <c r="B9" s="254" t="str">
        <f ca="1"/>
        <v>MTP-N-2526-003010</v>
      </c>
      <c r="C9" s="137" t="str">
        <f ca="1"/>
        <v>Generali Central Insurance Company Limited</v>
      </c>
      <c r="D9" s="27" t="str">
        <f ca="1"/>
        <v>MACT</v>
      </c>
      <c r="E9" s="27" t="str">
        <f ca="1"/>
        <v>F001-1008-SS-2025</v>
      </c>
      <c r="F9" s="206">
        <f ca="1"/>
        <v>45902</v>
      </c>
      <c r="G9" s="27" t="str">
        <f ca="1"/>
        <v>Sep-25</v>
      </c>
      <c r="H9" s="29">
        <v>45968</v>
      </c>
      <c r="I9" s="29" t="str">
        <f t="shared" si="3"/>
        <v>Nov-25</v>
      </c>
      <c r="J9" s="29">
        <f t="shared" ca="1" si="0"/>
        <v>45944</v>
      </c>
      <c r="K9" s="27">
        <f t="shared" ca="1" si="1"/>
        <v>66</v>
      </c>
      <c r="L9" s="27" t="str">
        <f t="shared" ca="1" si="2"/>
        <v>AT</v>
      </c>
      <c r="M9" s="27" t="s">
        <v>704</v>
      </c>
      <c r="N9" s="27" t="s">
        <v>705</v>
      </c>
      <c r="O9" s="27" t="s">
        <v>706</v>
      </c>
      <c r="P9" s="27"/>
      <c r="Q9" s="28" t="s">
        <v>765</v>
      </c>
      <c r="R9" s="28" t="s">
        <v>766</v>
      </c>
      <c r="S9" s="27" t="s">
        <v>733</v>
      </c>
      <c r="T9" s="27" t="s">
        <v>706</v>
      </c>
      <c r="U9" s="28" t="s">
        <v>767</v>
      </c>
      <c r="V9" s="28"/>
      <c r="W9" s="28"/>
      <c r="X9" s="213" t="s">
        <v>41</v>
      </c>
      <c r="Y9" s="28" t="s">
        <v>49</v>
      </c>
      <c r="Z9" s="28"/>
      <c r="AA9" s="27"/>
      <c r="AB9" s="27" t="s">
        <v>41</v>
      </c>
      <c r="AC9" s="27" t="s">
        <v>706</v>
      </c>
      <c r="AD9" s="174" t="s">
        <v>768</v>
      </c>
      <c r="AE9" s="174"/>
      <c r="AF9" s="27" t="s">
        <v>769</v>
      </c>
      <c r="AG9" s="27" t="s">
        <v>706</v>
      </c>
      <c r="AH9" s="27" t="s">
        <v>742</v>
      </c>
      <c r="AI9" s="27" t="s">
        <v>706</v>
      </c>
      <c r="AJ9" s="27" t="s">
        <v>721</v>
      </c>
      <c r="AK9" s="27" t="s">
        <v>706</v>
      </c>
      <c r="AL9" s="27" t="s">
        <v>758</v>
      </c>
      <c r="AM9" s="27" t="s">
        <v>706</v>
      </c>
      <c r="AN9" s="27" t="s">
        <v>41</v>
      </c>
      <c r="AO9" s="27" t="s">
        <v>41</v>
      </c>
      <c r="AP9" s="27" t="s">
        <v>66</v>
      </c>
      <c r="AQ9" s="175" t="s">
        <v>770</v>
      </c>
      <c r="AR9" s="175"/>
      <c r="AS9" s="27" t="s">
        <v>706</v>
      </c>
      <c r="AT9" s="28" t="s">
        <v>733</v>
      </c>
      <c r="AU9" s="27" t="s">
        <v>41</v>
      </c>
      <c r="AV9" s="27" t="s">
        <v>41</v>
      </c>
      <c r="AW9" s="27" t="s">
        <v>66</v>
      </c>
      <c r="AX9" s="27" t="s">
        <v>706</v>
      </c>
      <c r="AY9" s="28" t="s">
        <v>41</v>
      </c>
      <c r="AZ9" s="28"/>
      <c r="BA9" s="28"/>
      <c r="BB9" s="26" t="s">
        <v>66</v>
      </c>
      <c r="BC9" s="27" t="s">
        <v>66</v>
      </c>
      <c r="BD9" s="93"/>
      <c r="BE9" s="28" t="s">
        <v>771</v>
      </c>
      <c r="BF9" s="28"/>
    </row>
    <row r="10" spans="1:58" ht="20.25" customHeight="1">
      <c r="A10" s="27">
        <v>9</v>
      </c>
      <c r="B10" s="254" t="str">
        <f ca="1"/>
        <v>2025209111</v>
      </c>
      <c r="C10" s="137" t="str">
        <f ca="1"/>
        <v>Indusind General Insurance Co Ltd</v>
      </c>
      <c r="D10" s="27" t="str">
        <f ca="1"/>
        <v>MACT</v>
      </c>
      <c r="E10" s="27" t="str">
        <f ca="1"/>
        <v>R001-1009-SS-2025</v>
      </c>
      <c r="F10" s="206">
        <f ca="1"/>
        <v>45916</v>
      </c>
      <c r="G10" s="27" t="str">
        <f ca="1"/>
        <v>Sep-25</v>
      </c>
      <c r="H10" s="29">
        <v>45970</v>
      </c>
      <c r="I10" s="29" t="str">
        <f t="shared" si="3"/>
        <v>Nov-25</v>
      </c>
      <c r="J10" s="29">
        <f t="shared" ca="1" si="0"/>
        <v>45958</v>
      </c>
      <c r="K10" s="27">
        <f t="shared" ca="1" si="1"/>
        <v>54</v>
      </c>
      <c r="L10" s="27" t="str">
        <f t="shared" ca="1" si="2"/>
        <v>AT</v>
      </c>
      <c r="M10" s="27" t="s">
        <v>704</v>
      </c>
      <c r="N10" s="27" t="s">
        <v>705</v>
      </c>
      <c r="O10" s="27" t="s">
        <v>706</v>
      </c>
      <c r="P10" s="27"/>
      <c r="Q10" s="28" t="s">
        <v>772</v>
      </c>
      <c r="R10" s="28" t="s">
        <v>773</v>
      </c>
      <c r="S10" s="27" t="s">
        <v>774</v>
      </c>
      <c r="T10" s="27" t="s">
        <v>706</v>
      </c>
      <c r="U10" s="28" t="s">
        <v>66</v>
      </c>
      <c r="V10" s="28"/>
      <c r="W10" s="28"/>
      <c r="X10" s="213" t="s">
        <v>41</v>
      </c>
      <c r="Y10" s="28" t="s">
        <v>775</v>
      </c>
      <c r="Z10" s="28" t="s">
        <v>776</v>
      </c>
      <c r="AA10" s="27" t="s">
        <v>774</v>
      </c>
      <c r="AB10" s="27" t="s">
        <v>41</v>
      </c>
      <c r="AC10" s="27" t="s">
        <v>706</v>
      </c>
      <c r="AD10" s="28" t="s">
        <v>41</v>
      </c>
      <c r="AE10" s="28"/>
      <c r="AF10" s="27" t="s">
        <v>777</v>
      </c>
      <c r="AG10" s="27" t="s">
        <v>706</v>
      </c>
      <c r="AH10" s="27" t="s">
        <v>41</v>
      </c>
      <c r="AI10" s="27" t="s">
        <v>41</v>
      </c>
      <c r="AJ10" s="27" t="s">
        <v>66</v>
      </c>
      <c r="AK10" s="27" t="s">
        <v>41</v>
      </c>
      <c r="AL10" s="27" t="s">
        <v>41</v>
      </c>
      <c r="AM10" s="27" t="s">
        <v>41</v>
      </c>
      <c r="AN10" s="27" t="s">
        <v>41</v>
      </c>
      <c r="AO10" s="27" t="s">
        <v>41</v>
      </c>
      <c r="AP10" s="27" t="s">
        <v>66</v>
      </c>
      <c r="AQ10" s="28" t="s">
        <v>778</v>
      </c>
      <c r="AR10" s="28"/>
      <c r="AS10" s="27" t="s">
        <v>706</v>
      </c>
      <c r="AT10" s="28"/>
      <c r="AU10" s="27"/>
      <c r="AV10" s="27" t="s">
        <v>41</v>
      </c>
      <c r="AW10" s="27"/>
      <c r="AX10" s="27" t="s">
        <v>706</v>
      </c>
      <c r="AY10" s="28" t="s">
        <v>41</v>
      </c>
      <c r="AZ10" s="28"/>
      <c r="BA10" s="28"/>
      <c r="BB10" s="26" t="s">
        <v>41</v>
      </c>
      <c r="BC10" s="27"/>
      <c r="BD10" s="93"/>
      <c r="BE10" s="28" t="s">
        <v>779</v>
      </c>
      <c r="BF10" s="28"/>
    </row>
    <row r="11" spans="1:58" ht="20.25" customHeight="1">
      <c r="A11" s="27">
        <v>10</v>
      </c>
      <c r="B11" s="254" t="str">
        <f ca="1"/>
        <v>CN064878</v>
      </c>
      <c r="C11" s="137" t="str">
        <f ca="1"/>
        <v>Generali Central Insurance Company Limited</v>
      </c>
      <c r="D11" s="27" t="str">
        <f ca="1"/>
        <v>MACT</v>
      </c>
      <c r="E11" s="27" t="str">
        <f ca="1"/>
        <v>F001-1010-SS-2025</v>
      </c>
      <c r="F11" s="206">
        <f ca="1"/>
        <v>45916</v>
      </c>
      <c r="G11" s="27" t="str">
        <f ca="1"/>
        <v>Sep-25</v>
      </c>
      <c r="H11" s="29">
        <v>45970</v>
      </c>
      <c r="I11" s="29" t="str">
        <f t="shared" si="3"/>
        <v>Nov-25</v>
      </c>
      <c r="J11" s="29">
        <f t="shared" ca="1" si="0"/>
        <v>45958</v>
      </c>
      <c r="K11" s="27">
        <f t="shared" ca="1" si="1"/>
        <v>54</v>
      </c>
      <c r="L11" s="27" t="str">
        <f t="shared" ca="1" si="2"/>
        <v>AT</v>
      </c>
      <c r="M11" s="27" t="s">
        <v>704</v>
      </c>
      <c r="N11" s="27" t="s">
        <v>705</v>
      </c>
      <c r="O11" s="27" t="s">
        <v>706</v>
      </c>
      <c r="P11" s="27"/>
      <c r="Q11" s="28" t="s">
        <v>780</v>
      </c>
      <c r="R11" s="93" t="s">
        <v>781</v>
      </c>
      <c r="S11" s="27" t="s">
        <v>709</v>
      </c>
      <c r="T11" s="27" t="s">
        <v>706</v>
      </c>
      <c r="U11" s="28" t="s">
        <v>742</v>
      </c>
      <c r="V11" s="28"/>
      <c r="W11" s="28"/>
      <c r="X11" s="28" t="s">
        <v>706</v>
      </c>
      <c r="Y11" s="28" t="s">
        <v>782</v>
      </c>
      <c r="Z11" s="28" t="s">
        <v>783</v>
      </c>
      <c r="AA11" s="27" t="s">
        <v>714</v>
      </c>
      <c r="AB11" s="27" t="s">
        <v>41</v>
      </c>
      <c r="AC11" s="27" t="s">
        <v>706</v>
      </c>
      <c r="AD11" s="28" t="s">
        <v>784</v>
      </c>
      <c r="AE11" s="28"/>
      <c r="AF11" s="27" t="s">
        <v>785</v>
      </c>
      <c r="AG11" s="27" t="s">
        <v>706</v>
      </c>
      <c r="AH11" s="27" t="s">
        <v>41</v>
      </c>
      <c r="AI11" s="27" t="s">
        <v>706</v>
      </c>
      <c r="AJ11" s="27" t="s">
        <v>41</v>
      </c>
      <c r="AK11" s="27" t="s">
        <v>721</v>
      </c>
      <c r="AL11" s="27" t="s">
        <v>66</v>
      </c>
      <c r="AM11" s="27" t="s">
        <v>66</v>
      </c>
      <c r="AN11" s="27" t="s">
        <v>66</v>
      </c>
      <c r="AO11" s="27" t="s">
        <v>41</v>
      </c>
      <c r="AP11" s="27" t="s">
        <v>785</v>
      </c>
      <c r="AQ11" s="28" t="s">
        <v>786</v>
      </c>
      <c r="AR11" s="28" t="s">
        <v>709</v>
      </c>
      <c r="AS11" s="27" t="s">
        <v>706</v>
      </c>
      <c r="AT11" s="28"/>
      <c r="AU11" s="27"/>
      <c r="AV11" s="27" t="s">
        <v>41</v>
      </c>
      <c r="AW11" s="27"/>
      <c r="AX11" s="27" t="s">
        <v>706</v>
      </c>
      <c r="AY11" s="28"/>
      <c r="AZ11" s="28"/>
      <c r="BA11" s="28"/>
      <c r="BB11" s="26" t="s">
        <v>706</v>
      </c>
      <c r="BC11" s="29">
        <v>45993</v>
      </c>
      <c r="BD11" s="93" t="s">
        <v>787</v>
      </c>
      <c r="BE11" s="28" t="s">
        <v>788</v>
      </c>
      <c r="BF11" s="28"/>
    </row>
    <row r="12" spans="1:58" ht="20.25" customHeight="1">
      <c r="A12" s="27">
        <v>11</v>
      </c>
      <c r="B12" s="254" t="str">
        <f ca="1"/>
        <v>2025201119</v>
      </c>
      <c r="C12" s="137" t="str">
        <f ca="1"/>
        <v>Indusind General Insurance Co Ltd</v>
      </c>
      <c r="D12" s="27" t="str">
        <f ca="1"/>
        <v>MACT</v>
      </c>
      <c r="E12" s="27" t="str">
        <f ca="1"/>
        <v>R001-1011-SS-2025</v>
      </c>
      <c r="F12" s="206">
        <f ca="1"/>
        <v>45916</v>
      </c>
      <c r="G12" s="27" t="str">
        <f ca="1"/>
        <v>Sep-25</v>
      </c>
      <c r="H12" s="29" t="s">
        <v>718</v>
      </c>
      <c r="I12" s="29"/>
      <c r="J12" s="29">
        <f t="shared" ca="1" si="0"/>
        <v>45937</v>
      </c>
      <c r="K12" s="27">
        <f t="shared" ca="1" si="1"/>
        <v>111</v>
      </c>
      <c r="L12" s="27" t="str">
        <f t="shared" ca="1" si="2"/>
        <v>AT</v>
      </c>
      <c r="M12" s="27" t="s">
        <v>750</v>
      </c>
      <c r="N12" s="27" t="s">
        <v>720</v>
      </c>
      <c r="O12" s="27" t="s">
        <v>751</v>
      </c>
      <c r="P12" s="26" t="s">
        <v>789</v>
      </c>
      <c r="Q12" s="28" t="s">
        <v>41</v>
      </c>
      <c r="R12" s="28" t="s">
        <v>41</v>
      </c>
      <c r="S12" s="27" t="s">
        <v>41</v>
      </c>
      <c r="T12" s="27" t="s">
        <v>41</v>
      </c>
      <c r="U12" s="28" t="s">
        <v>66</v>
      </c>
      <c r="V12" s="28"/>
      <c r="W12" s="28"/>
      <c r="X12" s="213" t="s">
        <v>41</v>
      </c>
      <c r="Y12" s="28" t="s">
        <v>66</v>
      </c>
      <c r="Z12" s="28" t="s">
        <v>41</v>
      </c>
      <c r="AA12" s="27" t="s">
        <v>66</v>
      </c>
      <c r="AB12" s="27" t="s">
        <v>41</v>
      </c>
      <c r="AC12" s="27" t="s">
        <v>41</v>
      </c>
      <c r="AD12" s="28" t="s">
        <v>41</v>
      </c>
      <c r="AE12" s="28"/>
      <c r="AF12" s="27" t="s">
        <v>41</v>
      </c>
      <c r="AG12" s="27" t="s">
        <v>41</v>
      </c>
      <c r="AH12" s="27" t="s">
        <v>41</v>
      </c>
      <c r="AI12" s="27" t="s">
        <v>41</v>
      </c>
      <c r="AJ12" s="27" t="s">
        <v>41</v>
      </c>
      <c r="AK12" s="27" t="s">
        <v>41</v>
      </c>
      <c r="AL12" s="27" t="s">
        <v>41</v>
      </c>
      <c r="AM12" s="27" t="s">
        <v>41</v>
      </c>
      <c r="AN12" s="27" t="s">
        <v>41</v>
      </c>
      <c r="AO12" s="27" t="s">
        <v>41</v>
      </c>
      <c r="AP12" s="27" t="s">
        <v>66</v>
      </c>
      <c r="AQ12" s="28" t="s">
        <v>790</v>
      </c>
      <c r="AR12" s="28" t="s">
        <v>791</v>
      </c>
      <c r="AS12" s="27" t="s">
        <v>41</v>
      </c>
      <c r="AT12" s="28" t="s">
        <v>792</v>
      </c>
      <c r="AU12" s="26" t="s">
        <v>793</v>
      </c>
      <c r="AV12" s="27" t="s">
        <v>41</v>
      </c>
      <c r="AW12" s="27"/>
      <c r="AX12" s="27" t="s">
        <v>721</v>
      </c>
      <c r="AY12" s="28" t="s">
        <v>41</v>
      </c>
      <c r="AZ12" s="28"/>
      <c r="BA12" s="28"/>
      <c r="BB12" s="26" t="s">
        <v>794</v>
      </c>
      <c r="BC12" s="27" t="s">
        <v>66</v>
      </c>
      <c r="BD12" s="93"/>
      <c r="BE12" s="28" t="s">
        <v>795</v>
      </c>
      <c r="BF12" s="28"/>
    </row>
    <row r="13" spans="1:58" ht="20.25" customHeight="1">
      <c r="A13" s="27">
        <v>12</v>
      </c>
      <c r="B13" s="254" t="str">
        <f ca="1"/>
        <v>2025210107</v>
      </c>
      <c r="C13" s="137" t="str">
        <f ca="1"/>
        <v>Indusind General Insurance Co Ltd</v>
      </c>
      <c r="D13" s="27" t="str">
        <f ca="1"/>
        <v>MACT</v>
      </c>
      <c r="E13" s="27" t="str">
        <f ca="1"/>
        <v>R001-1012-SS-2025</v>
      </c>
      <c r="F13" s="206">
        <f ca="1"/>
        <v>45917</v>
      </c>
      <c r="G13" s="27" t="str">
        <f ca="1"/>
        <v>Sep-25</v>
      </c>
      <c r="H13" s="29">
        <v>45976</v>
      </c>
      <c r="I13" s="29" t="str">
        <f t="shared" si="3"/>
        <v>Nov-25</v>
      </c>
      <c r="J13" s="29">
        <f t="shared" ca="1" si="0"/>
        <v>45959</v>
      </c>
      <c r="K13" s="27">
        <f t="shared" ca="1" si="1"/>
        <v>59</v>
      </c>
      <c r="L13" s="27" t="str">
        <f t="shared" ca="1" si="2"/>
        <v>AT</v>
      </c>
      <c r="M13" s="27" t="s">
        <v>704</v>
      </c>
      <c r="N13" s="27" t="s">
        <v>705</v>
      </c>
      <c r="O13" s="27" t="s">
        <v>706</v>
      </c>
      <c r="P13" s="27"/>
      <c r="Q13" s="28" t="s">
        <v>796</v>
      </c>
      <c r="R13" s="117" t="s">
        <v>797</v>
      </c>
      <c r="S13" s="27" t="s">
        <v>741</v>
      </c>
      <c r="T13" s="27" t="s">
        <v>706</v>
      </c>
      <c r="U13" s="28" t="s">
        <v>66</v>
      </c>
      <c r="V13" s="28"/>
      <c r="W13" s="28"/>
      <c r="X13" s="213" t="s">
        <v>41</v>
      </c>
      <c r="Y13" s="28" t="s">
        <v>798</v>
      </c>
      <c r="Z13" s="117" t="s">
        <v>799</v>
      </c>
      <c r="AA13" s="27" t="s">
        <v>774</v>
      </c>
      <c r="AB13" s="27" t="s">
        <v>41</v>
      </c>
      <c r="AC13" s="27" t="s">
        <v>706</v>
      </c>
      <c r="AD13" s="28" t="s">
        <v>800</v>
      </c>
      <c r="AE13" s="28"/>
      <c r="AF13" s="27" t="s">
        <v>777</v>
      </c>
      <c r="AG13" s="27" t="s">
        <v>706</v>
      </c>
      <c r="AH13" s="27" t="s">
        <v>41</v>
      </c>
      <c r="AI13" s="27" t="s">
        <v>41</v>
      </c>
      <c r="AJ13" s="27" t="s">
        <v>41</v>
      </c>
      <c r="AK13" s="27" t="s">
        <v>41</v>
      </c>
      <c r="AL13" s="27" t="s">
        <v>41</v>
      </c>
      <c r="AM13" s="27" t="s">
        <v>41</v>
      </c>
      <c r="AN13" s="27" t="s">
        <v>41</v>
      </c>
      <c r="AO13" s="27" t="s">
        <v>41</v>
      </c>
      <c r="AP13" s="27" t="s">
        <v>66</v>
      </c>
      <c r="AQ13" s="93" t="s">
        <v>801</v>
      </c>
      <c r="AR13" s="28"/>
      <c r="AS13" s="27" t="s">
        <v>706</v>
      </c>
      <c r="AT13" s="28"/>
      <c r="AU13" s="27"/>
      <c r="AV13" s="27" t="s">
        <v>41</v>
      </c>
      <c r="AW13" s="27"/>
      <c r="AX13" s="27" t="s">
        <v>706</v>
      </c>
      <c r="AY13" s="28" t="s">
        <v>41</v>
      </c>
      <c r="AZ13" s="28"/>
      <c r="BA13" s="28"/>
      <c r="BB13" s="26" t="s">
        <v>41</v>
      </c>
      <c r="BC13" s="27"/>
      <c r="BD13" s="93"/>
      <c r="BE13" s="28" t="s">
        <v>802</v>
      </c>
      <c r="BF13" s="28"/>
    </row>
    <row r="14" spans="1:58" ht="20.25" customHeight="1">
      <c r="A14" s="27">
        <v>13</v>
      </c>
      <c r="B14" s="254" t="str">
        <f ca="1"/>
        <v>2025209818</v>
      </c>
      <c r="C14" s="137" t="str">
        <f ca="1"/>
        <v>Indusind General Insurance Co Ltd</v>
      </c>
      <c r="D14" s="27" t="str">
        <f ca="1"/>
        <v>MACT</v>
      </c>
      <c r="E14" s="27" t="str">
        <f ca="1"/>
        <v>R001-1013-SS-2025</v>
      </c>
      <c r="F14" s="206">
        <f ca="1"/>
        <v>45917</v>
      </c>
      <c r="G14" s="27" t="str">
        <f ca="1"/>
        <v>Sep-25</v>
      </c>
      <c r="H14" s="29">
        <v>45982</v>
      </c>
      <c r="I14" s="29" t="str">
        <f t="shared" si="3"/>
        <v>Nov-25</v>
      </c>
      <c r="J14" s="29">
        <f t="shared" ca="1" si="0"/>
        <v>45938</v>
      </c>
      <c r="K14" s="27">
        <f t="shared" ca="1" si="1"/>
        <v>65</v>
      </c>
      <c r="L14" s="27" t="str">
        <f t="shared" ca="1" si="2"/>
        <v>AT</v>
      </c>
      <c r="M14" s="27" t="s">
        <v>750</v>
      </c>
      <c r="N14" s="27" t="s">
        <v>705</v>
      </c>
      <c r="O14" s="27" t="s">
        <v>706</v>
      </c>
      <c r="P14" s="27"/>
      <c r="Q14" s="28" t="s">
        <v>803</v>
      </c>
      <c r="R14" s="28" t="s">
        <v>797</v>
      </c>
      <c r="S14" s="27" t="s">
        <v>741</v>
      </c>
      <c r="T14" s="27" t="s">
        <v>706</v>
      </c>
      <c r="U14" s="28" t="s">
        <v>66</v>
      </c>
      <c r="V14" s="28"/>
      <c r="W14" s="28"/>
      <c r="X14" s="213" t="s">
        <v>41</v>
      </c>
      <c r="Y14" s="28" t="s">
        <v>41</v>
      </c>
      <c r="Z14" s="28" t="s">
        <v>41</v>
      </c>
      <c r="AA14" s="27" t="s">
        <v>41</v>
      </c>
      <c r="AB14" s="27" t="s">
        <v>41</v>
      </c>
      <c r="AC14" s="27" t="s">
        <v>41</v>
      </c>
      <c r="AD14" s="28" t="s">
        <v>41</v>
      </c>
      <c r="AE14" s="28"/>
      <c r="AF14" s="27" t="s">
        <v>41</v>
      </c>
      <c r="AG14" s="27" t="s">
        <v>66</v>
      </c>
      <c r="AH14" s="27" t="s">
        <v>41</v>
      </c>
      <c r="AI14" s="27" t="s">
        <v>41</v>
      </c>
      <c r="AJ14" s="27" t="s">
        <v>41</v>
      </c>
      <c r="AK14" s="27" t="s">
        <v>41</v>
      </c>
      <c r="AL14" s="27" t="s">
        <v>41</v>
      </c>
      <c r="AM14" s="27" t="s">
        <v>41</v>
      </c>
      <c r="AN14" s="27" t="s">
        <v>41</v>
      </c>
      <c r="AO14" s="27" t="s">
        <v>41</v>
      </c>
      <c r="AP14" s="27" t="s">
        <v>66</v>
      </c>
      <c r="AQ14" s="93" t="s">
        <v>801</v>
      </c>
      <c r="AR14" s="28"/>
      <c r="AS14" s="27" t="s">
        <v>41</v>
      </c>
      <c r="AT14" s="28"/>
      <c r="AU14" s="27"/>
      <c r="AV14" s="27" t="s">
        <v>41</v>
      </c>
      <c r="AW14" s="27"/>
      <c r="AX14" s="27" t="s">
        <v>41</v>
      </c>
      <c r="AY14" s="28" t="s">
        <v>41</v>
      </c>
      <c r="AZ14" s="28"/>
      <c r="BA14" s="28"/>
      <c r="BB14" s="26" t="s">
        <v>41</v>
      </c>
      <c r="BC14" s="27"/>
      <c r="BD14" s="93"/>
      <c r="BE14" s="28" t="s">
        <v>804</v>
      </c>
      <c r="BF14" s="28"/>
    </row>
    <row r="15" spans="1:58" ht="20.25" customHeight="1">
      <c r="A15" s="27">
        <v>14</v>
      </c>
      <c r="B15" s="254" t="str">
        <f ca="1"/>
        <v>2025210174</v>
      </c>
      <c r="C15" s="137" t="str">
        <f ca="1"/>
        <v>Indusind General Insurance Co Ltd</v>
      </c>
      <c r="D15" s="27" t="str">
        <f ca="1"/>
        <v>MACT</v>
      </c>
      <c r="E15" s="27" t="str">
        <f ca="1"/>
        <v>R001-1014-SS-2025</v>
      </c>
      <c r="F15" s="206">
        <f ca="1"/>
        <v>45917</v>
      </c>
      <c r="G15" s="27" t="str">
        <f ca="1"/>
        <v>Sep-25</v>
      </c>
      <c r="H15" s="29">
        <v>45976</v>
      </c>
      <c r="I15" s="29" t="str">
        <f t="shared" si="3"/>
        <v>Nov-25</v>
      </c>
      <c r="J15" s="29">
        <f t="shared" ca="1" si="0"/>
        <v>45959</v>
      </c>
      <c r="K15" s="27">
        <f t="shared" ca="1" si="1"/>
        <v>59</v>
      </c>
      <c r="L15" s="27" t="str">
        <f t="shared" ca="1" si="2"/>
        <v>AT</v>
      </c>
      <c r="M15" s="27" t="s">
        <v>704</v>
      </c>
      <c r="N15" s="27" t="s">
        <v>705</v>
      </c>
      <c r="O15" s="27" t="s">
        <v>706</v>
      </c>
      <c r="P15" s="27"/>
      <c r="Q15" s="28" t="s">
        <v>805</v>
      </c>
      <c r="R15" s="28" t="s">
        <v>806</v>
      </c>
      <c r="S15" s="27" t="s">
        <v>774</v>
      </c>
      <c r="T15" s="27" t="s">
        <v>706</v>
      </c>
      <c r="U15" s="28" t="s">
        <v>66</v>
      </c>
      <c r="V15" s="28"/>
      <c r="W15" s="28"/>
      <c r="X15" s="213" t="s">
        <v>41</v>
      </c>
      <c r="Y15" s="28" t="s">
        <v>807</v>
      </c>
      <c r="Z15" s="93" t="s">
        <v>808</v>
      </c>
      <c r="AA15" s="27" t="s">
        <v>741</v>
      </c>
      <c r="AB15" s="27" t="s">
        <v>41</v>
      </c>
      <c r="AC15" s="27" t="s">
        <v>706</v>
      </c>
      <c r="AD15" s="28" t="s">
        <v>41</v>
      </c>
      <c r="AE15" s="28"/>
      <c r="AF15" s="27" t="s">
        <v>41</v>
      </c>
      <c r="AG15" s="27" t="s">
        <v>706</v>
      </c>
      <c r="AH15" s="27" t="s">
        <v>41</v>
      </c>
      <c r="AI15" s="27" t="s">
        <v>41</v>
      </c>
      <c r="AJ15" s="27" t="s">
        <v>41</v>
      </c>
      <c r="AK15" s="27" t="s">
        <v>41</v>
      </c>
      <c r="AL15" s="27" t="s">
        <v>41</v>
      </c>
      <c r="AM15" s="27" t="s">
        <v>41</v>
      </c>
      <c r="AN15" s="27" t="s">
        <v>41</v>
      </c>
      <c r="AO15" s="27" t="s">
        <v>41</v>
      </c>
      <c r="AP15" s="27" t="s">
        <v>66</v>
      </c>
      <c r="AQ15" s="28" t="s">
        <v>809</v>
      </c>
      <c r="AR15" s="28"/>
      <c r="AS15" s="27" t="s">
        <v>706</v>
      </c>
      <c r="AT15" s="28"/>
      <c r="AU15" s="27"/>
      <c r="AV15" s="27" t="s">
        <v>41</v>
      </c>
      <c r="AW15" s="27"/>
      <c r="AX15" s="27" t="s">
        <v>706</v>
      </c>
      <c r="AY15" s="28" t="s">
        <v>41</v>
      </c>
      <c r="AZ15" s="28"/>
      <c r="BA15" s="28"/>
      <c r="BB15" s="26" t="s">
        <v>41</v>
      </c>
      <c r="BC15" s="27"/>
      <c r="BD15" s="93"/>
      <c r="BE15" s="28" t="s">
        <v>810</v>
      </c>
      <c r="BF15" s="93" t="s">
        <v>811</v>
      </c>
    </row>
    <row r="16" spans="1:58" ht="20.25" customHeight="1">
      <c r="A16" s="27">
        <v>15</v>
      </c>
      <c r="B16" s="254" t="str">
        <f ca="1"/>
        <v>2025210104</v>
      </c>
      <c r="C16" s="137" t="str">
        <f ca="1"/>
        <v>Indusind General Insurance Co Ltd</v>
      </c>
      <c r="D16" s="27" t="str">
        <f ca="1"/>
        <v>MACT</v>
      </c>
      <c r="E16" s="27" t="str">
        <f ca="1"/>
        <v>R001-1015-SS-2025</v>
      </c>
      <c r="F16" s="206">
        <f ca="1"/>
        <v>45917</v>
      </c>
      <c r="G16" s="27" t="str">
        <f ca="1"/>
        <v>Sep-25</v>
      </c>
      <c r="H16" s="29">
        <v>45973</v>
      </c>
      <c r="I16" s="29" t="str">
        <f t="shared" si="3"/>
        <v>Nov-25</v>
      </c>
      <c r="J16" s="29">
        <f t="shared" ca="1" si="0"/>
        <v>45938</v>
      </c>
      <c r="K16" s="27">
        <f t="shared" ca="1" si="1"/>
        <v>56</v>
      </c>
      <c r="L16" s="27" t="str">
        <f t="shared" ca="1" si="2"/>
        <v>AT</v>
      </c>
      <c r="M16" s="27" t="s">
        <v>750</v>
      </c>
      <c r="N16" s="27" t="s">
        <v>705</v>
      </c>
      <c r="O16" s="27" t="s">
        <v>706</v>
      </c>
      <c r="P16" s="27"/>
      <c r="Q16" s="28" t="s">
        <v>812</v>
      </c>
      <c r="R16" s="28" t="s">
        <v>813</v>
      </c>
      <c r="S16" s="27" t="s">
        <v>774</v>
      </c>
      <c r="T16" s="27" t="s">
        <v>706</v>
      </c>
      <c r="U16" s="28" t="s">
        <v>66</v>
      </c>
      <c r="V16" s="28"/>
      <c r="W16" s="28"/>
      <c r="X16" s="213" t="s">
        <v>41</v>
      </c>
      <c r="Y16" s="28" t="s">
        <v>814</v>
      </c>
      <c r="Z16" s="28" t="s">
        <v>41</v>
      </c>
      <c r="AA16" s="27" t="s">
        <v>66</v>
      </c>
      <c r="AB16" s="27" t="s">
        <v>41</v>
      </c>
      <c r="AC16" s="27" t="s">
        <v>41</v>
      </c>
      <c r="AD16" s="28" t="s">
        <v>41</v>
      </c>
      <c r="AE16" s="28"/>
      <c r="AF16" s="27" t="s">
        <v>41</v>
      </c>
      <c r="AG16" s="27" t="s">
        <v>41</v>
      </c>
      <c r="AH16" s="27" t="s">
        <v>41</v>
      </c>
      <c r="AI16" s="27" t="s">
        <v>41</v>
      </c>
      <c r="AJ16" s="27" t="s">
        <v>41</v>
      </c>
      <c r="AK16" s="27" t="s">
        <v>41</v>
      </c>
      <c r="AL16" s="27" t="s">
        <v>41</v>
      </c>
      <c r="AM16" s="27" t="s">
        <v>41</v>
      </c>
      <c r="AN16" s="27" t="s">
        <v>41</v>
      </c>
      <c r="AO16" s="27" t="s">
        <v>41</v>
      </c>
      <c r="AP16" s="27" t="s">
        <v>66</v>
      </c>
      <c r="AQ16" s="28" t="s">
        <v>815</v>
      </c>
      <c r="AR16" s="28"/>
      <c r="AS16" s="27" t="s">
        <v>41</v>
      </c>
      <c r="AT16" s="28"/>
      <c r="AU16" s="27"/>
      <c r="AV16" s="27" t="s">
        <v>41</v>
      </c>
      <c r="AW16" s="27"/>
      <c r="AX16" s="27" t="s">
        <v>706</v>
      </c>
      <c r="AY16" s="28" t="s">
        <v>41</v>
      </c>
      <c r="AZ16" s="28"/>
      <c r="BA16" s="28"/>
      <c r="BB16" s="26" t="s">
        <v>41</v>
      </c>
      <c r="BC16" s="27"/>
      <c r="BD16" s="93"/>
      <c r="BE16" s="28" t="s">
        <v>816</v>
      </c>
      <c r="BF16" s="28"/>
    </row>
    <row r="17" spans="1:58" ht="20.25" customHeight="1">
      <c r="A17" s="27">
        <v>16</v>
      </c>
      <c r="B17" s="254" t="str">
        <f ca="1"/>
        <v>2025209654</v>
      </c>
      <c r="C17" s="137" t="str">
        <f ca="1"/>
        <v>Indusind General Insurance Co Ltd</v>
      </c>
      <c r="D17" s="27" t="str">
        <f ca="1"/>
        <v>MACT</v>
      </c>
      <c r="E17" s="27" t="str">
        <f ca="1"/>
        <v>R001-1016-SS-2025</v>
      </c>
      <c r="F17" s="206">
        <f ca="1"/>
        <v>45917</v>
      </c>
      <c r="G17" s="27" t="str">
        <f ca="1"/>
        <v>Sep-25</v>
      </c>
      <c r="H17" s="29" t="s">
        <v>718</v>
      </c>
      <c r="I17" s="29"/>
      <c r="J17" s="29">
        <f t="shared" ca="1" si="0"/>
        <v>45959</v>
      </c>
      <c r="K17" s="27">
        <f t="shared" ca="1" si="1"/>
        <v>110</v>
      </c>
      <c r="L17" s="27" t="str">
        <f t="shared" ca="1" si="2"/>
        <v>AT</v>
      </c>
      <c r="M17" s="27" t="s">
        <v>704</v>
      </c>
      <c r="N17" s="27" t="s">
        <v>720</v>
      </c>
      <c r="O17" s="27" t="s">
        <v>751</v>
      </c>
      <c r="P17" s="27"/>
      <c r="Q17" s="28" t="s">
        <v>817</v>
      </c>
      <c r="R17" s="28" t="s">
        <v>818</v>
      </c>
      <c r="S17" s="27" t="s">
        <v>774</v>
      </c>
      <c r="T17" s="27" t="s">
        <v>706</v>
      </c>
      <c r="U17" s="28" t="s">
        <v>66</v>
      </c>
      <c r="V17" s="28"/>
      <c r="W17" s="28"/>
      <c r="X17" s="213" t="s">
        <v>41</v>
      </c>
      <c r="Y17" s="28" t="s">
        <v>819</v>
      </c>
      <c r="Z17" s="28" t="s">
        <v>820</v>
      </c>
      <c r="AA17" s="27" t="s">
        <v>741</v>
      </c>
      <c r="AB17" s="27" t="s">
        <v>41</v>
      </c>
      <c r="AC17" s="27" t="s">
        <v>706</v>
      </c>
      <c r="AD17" s="28" t="s">
        <v>821</v>
      </c>
      <c r="AE17" s="28"/>
      <c r="AF17" s="27" t="s">
        <v>822</v>
      </c>
      <c r="AG17" s="27" t="s">
        <v>706</v>
      </c>
      <c r="AH17" s="27" t="s">
        <v>41</v>
      </c>
      <c r="AI17" s="27" t="s">
        <v>41</v>
      </c>
      <c r="AJ17" s="27" t="s">
        <v>41</v>
      </c>
      <c r="AK17" s="27" t="s">
        <v>41</v>
      </c>
      <c r="AL17" s="27" t="s">
        <v>41</v>
      </c>
      <c r="AM17" s="27" t="s">
        <v>41</v>
      </c>
      <c r="AN17" s="27" t="s">
        <v>41</v>
      </c>
      <c r="AO17" s="27" t="s">
        <v>41</v>
      </c>
      <c r="AP17" s="27" t="s">
        <v>66</v>
      </c>
      <c r="AQ17" s="28" t="s">
        <v>823</v>
      </c>
      <c r="AR17" s="28"/>
      <c r="AS17" s="27" t="s">
        <v>706</v>
      </c>
      <c r="AT17" s="28"/>
      <c r="AU17" s="27"/>
      <c r="AV17" s="27" t="s">
        <v>41</v>
      </c>
      <c r="AW17" s="27"/>
      <c r="AX17" s="27" t="s">
        <v>721</v>
      </c>
      <c r="AY17" s="28" t="s">
        <v>41</v>
      </c>
      <c r="AZ17" s="28"/>
      <c r="BA17" s="28"/>
      <c r="BB17" s="26" t="s">
        <v>41</v>
      </c>
      <c r="BC17" s="27"/>
      <c r="BD17" s="93"/>
      <c r="BE17" s="28" t="s">
        <v>824</v>
      </c>
      <c r="BF17" s="28"/>
    </row>
    <row r="18" spans="1:58" ht="20.25" customHeight="1">
      <c r="A18" s="27">
        <v>17</v>
      </c>
      <c r="B18" s="254" t="str">
        <f ca="1"/>
        <v>2025209769</v>
      </c>
      <c r="C18" s="137" t="str">
        <f ca="1"/>
        <v>Indusind General Insurance Co Ltd</v>
      </c>
      <c r="D18" s="27" t="str">
        <f ca="1"/>
        <v>MACT</v>
      </c>
      <c r="E18" s="27" t="str">
        <f ca="1"/>
        <v>R001-1017-SS-2025</v>
      </c>
      <c r="F18" s="206">
        <f ca="1"/>
        <v>45917</v>
      </c>
      <c r="G18" s="27" t="str">
        <f ca="1"/>
        <v>Sep-25</v>
      </c>
      <c r="H18" s="29" t="s">
        <v>718</v>
      </c>
      <c r="I18" s="29"/>
      <c r="J18" s="29">
        <f t="shared" ca="1" si="0"/>
        <v>45959</v>
      </c>
      <c r="K18" s="27">
        <f t="shared" ca="1" si="1"/>
        <v>110</v>
      </c>
      <c r="L18" s="27" t="str">
        <f t="shared" ca="1" si="2"/>
        <v>AT</v>
      </c>
      <c r="M18" s="27" t="s">
        <v>704</v>
      </c>
      <c r="N18" s="27" t="s">
        <v>720</v>
      </c>
      <c r="O18" s="27" t="s">
        <v>721</v>
      </c>
      <c r="P18" s="27"/>
      <c r="Q18" s="28" t="s">
        <v>825</v>
      </c>
      <c r="R18" s="93" t="s">
        <v>826</v>
      </c>
      <c r="S18" s="27" t="s">
        <v>791</v>
      </c>
      <c r="T18" s="27" t="s">
        <v>706</v>
      </c>
      <c r="U18" s="28" t="s">
        <v>66</v>
      </c>
      <c r="V18" s="28"/>
      <c r="W18" s="28"/>
      <c r="X18" s="213" t="s">
        <v>41</v>
      </c>
      <c r="Y18" s="28" t="s">
        <v>827</v>
      </c>
      <c r="Z18" s="93" t="s">
        <v>828</v>
      </c>
      <c r="AA18" s="27" t="s">
        <v>791</v>
      </c>
      <c r="AB18" s="27" t="s">
        <v>41</v>
      </c>
      <c r="AC18" s="27" t="s">
        <v>721</v>
      </c>
      <c r="AD18" s="28" t="s">
        <v>41</v>
      </c>
      <c r="AE18" s="28"/>
      <c r="AF18" s="26" t="s">
        <v>829</v>
      </c>
      <c r="AG18" s="27" t="s">
        <v>721</v>
      </c>
      <c r="AH18" s="27" t="s">
        <v>41</v>
      </c>
      <c r="AI18" s="27" t="s">
        <v>41</v>
      </c>
      <c r="AJ18" s="27" t="s">
        <v>41</v>
      </c>
      <c r="AK18" s="27" t="s">
        <v>41</v>
      </c>
      <c r="AL18" s="27" t="s">
        <v>41</v>
      </c>
      <c r="AM18" s="27" t="s">
        <v>41</v>
      </c>
      <c r="AN18" s="27" t="s">
        <v>41</v>
      </c>
      <c r="AO18" s="27" t="s">
        <v>41</v>
      </c>
      <c r="AP18" s="27" t="s">
        <v>66</v>
      </c>
      <c r="AQ18" s="28" t="s">
        <v>830</v>
      </c>
      <c r="AR18" s="28"/>
      <c r="AS18" s="27" t="s">
        <v>706</v>
      </c>
      <c r="AT18" s="28"/>
      <c r="AU18" s="27"/>
      <c r="AV18" s="27" t="s">
        <v>41</v>
      </c>
      <c r="AW18" s="27"/>
      <c r="AX18" s="27" t="s">
        <v>721</v>
      </c>
      <c r="AY18" s="28" t="s">
        <v>41</v>
      </c>
      <c r="AZ18" s="28"/>
      <c r="BA18" s="28"/>
      <c r="BB18" s="26" t="s">
        <v>41</v>
      </c>
      <c r="BC18" s="27"/>
      <c r="BD18" s="93"/>
      <c r="BE18" s="28"/>
      <c r="BF18" s="28"/>
    </row>
    <row r="19" spans="1:58" ht="20.25" customHeight="1">
      <c r="A19" s="27">
        <v>18</v>
      </c>
      <c r="B19" s="254" t="str">
        <f ca="1"/>
        <v>CN065449</v>
      </c>
      <c r="C19" s="137" t="str">
        <f ca="1"/>
        <v>Generali Central Insurance Company Limited</v>
      </c>
      <c r="D19" s="27" t="str">
        <f ca="1"/>
        <v>MACT</v>
      </c>
      <c r="E19" s="27" t="str">
        <f ca="1"/>
        <v>F001-1018-SS-2025</v>
      </c>
      <c r="F19" s="206">
        <f ca="1"/>
        <v>45917</v>
      </c>
      <c r="G19" s="27" t="str">
        <f ca="1"/>
        <v>Sep-25</v>
      </c>
      <c r="H19" s="29">
        <v>45962</v>
      </c>
      <c r="I19" s="29" t="str">
        <f t="shared" si="3"/>
        <v>Nov-25</v>
      </c>
      <c r="J19" s="29">
        <f t="shared" ca="1" si="0"/>
        <v>45938</v>
      </c>
      <c r="K19" s="27">
        <f t="shared" ca="1" si="1"/>
        <v>45</v>
      </c>
      <c r="L19" s="27" t="str">
        <f t="shared" ca="1" si="2"/>
        <v>AT</v>
      </c>
      <c r="M19" s="27" t="s">
        <v>750</v>
      </c>
      <c r="N19" s="27" t="s">
        <v>705</v>
      </c>
      <c r="O19" s="27" t="s">
        <v>706</v>
      </c>
      <c r="P19" s="27"/>
      <c r="Q19" s="28" t="s">
        <v>831</v>
      </c>
      <c r="R19" s="28"/>
      <c r="S19" s="27"/>
      <c r="T19" s="27" t="s">
        <v>706</v>
      </c>
      <c r="U19" s="28" t="s">
        <v>66</v>
      </c>
      <c r="V19" s="28"/>
      <c r="W19" s="28"/>
      <c r="X19" s="213" t="s">
        <v>41</v>
      </c>
      <c r="Y19" s="28" t="s">
        <v>81</v>
      </c>
      <c r="Z19" s="28"/>
      <c r="AA19" s="27"/>
      <c r="AB19" s="27" t="s">
        <v>41</v>
      </c>
      <c r="AC19" s="27" t="s">
        <v>706</v>
      </c>
      <c r="AD19" s="28" t="s">
        <v>832</v>
      </c>
      <c r="AE19" s="28"/>
      <c r="AF19" s="27" t="s">
        <v>41</v>
      </c>
      <c r="AG19" s="27" t="s">
        <v>706</v>
      </c>
      <c r="AH19" s="27" t="s">
        <v>742</v>
      </c>
      <c r="AI19" s="27" t="s">
        <v>706</v>
      </c>
      <c r="AJ19" s="27" t="s">
        <v>833</v>
      </c>
      <c r="AK19" s="27" t="s">
        <v>706</v>
      </c>
      <c r="AL19" s="27" t="s">
        <v>41</v>
      </c>
      <c r="AM19" s="27" t="s">
        <v>41</v>
      </c>
      <c r="AN19" s="27" t="s">
        <v>41</v>
      </c>
      <c r="AO19" s="27" t="s">
        <v>41</v>
      </c>
      <c r="AP19" s="27" t="s">
        <v>66</v>
      </c>
      <c r="AQ19" s="28" t="s">
        <v>834</v>
      </c>
      <c r="AR19" s="28" t="s">
        <v>709</v>
      </c>
      <c r="AS19" s="27" t="s">
        <v>706</v>
      </c>
      <c r="AT19" s="28"/>
      <c r="AU19" s="27"/>
      <c r="AV19" s="27" t="s">
        <v>41</v>
      </c>
      <c r="AW19" s="27"/>
      <c r="AX19" s="27" t="s">
        <v>721</v>
      </c>
      <c r="AY19" s="28"/>
      <c r="AZ19" s="28"/>
      <c r="BA19" s="28"/>
      <c r="BB19" s="26" t="s">
        <v>706</v>
      </c>
      <c r="BC19" s="27"/>
      <c r="BD19" s="93"/>
      <c r="BE19" s="28"/>
      <c r="BF19" s="28"/>
    </row>
    <row r="20" spans="1:58" ht="20.25" customHeight="1">
      <c r="A20" s="27">
        <v>19</v>
      </c>
      <c r="B20" s="254" t="str">
        <f ca="1"/>
        <v>MTP-N-2526-003270</v>
      </c>
      <c r="C20" s="137" t="str">
        <f ca="1"/>
        <v>Generali Central Insurance Company Limited</v>
      </c>
      <c r="D20" s="27" t="str">
        <f ca="1"/>
        <v>MACT</v>
      </c>
      <c r="E20" s="27" t="str">
        <f ca="1"/>
        <v>F001-1019-SS-2025</v>
      </c>
      <c r="F20" s="206">
        <f ca="1"/>
        <v>45917</v>
      </c>
      <c r="G20" s="27" t="str">
        <f ca="1"/>
        <v>Sep-25</v>
      </c>
      <c r="H20" s="29">
        <v>46001</v>
      </c>
      <c r="I20" s="29" t="str">
        <f t="shared" si="3"/>
        <v>Dec-25</v>
      </c>
      <c r="J20" s="29">
        <f t="shared" ca="1" si="0"/>
        <v>45938</v>
      </c>
      <c r="K20" s="27">
        <f t="shared" ca="1" si="1"/>
        <v>84</v>
      </c>
      <c r="L20" s="27" t="str">
        <f t="shared" ca="1" si="2"/>
        <v>AT</v>
      </c>
      <c r="M20" s="27" t="s">
        <v>750</v>
      </c>
      <c r="N20" s="27" t="s">
        <v>705</v>
      </c>
      <c r="O20" s="27" t="s">
        <v>706</v>
      </c>
      <c r="P20" s="27"/>
      <c r="Q20" s="28" t="s">
        <v>835</v>
      </c>
      <c r="R20" s="93" t="s">
        <v>836</v>
      </c>
      <c r="S20" s="27" t="s">
        <v>837</v>
      </c>
      <c r="T20" s="27" t="s">
        <v>706</v>
      </c>
      <c r="U20" s="28" t="s">
        <v>66</v>
      </c>
      <c r="V20" s="28"/>
      <c r="W20" s="28"/>
      <c r="X20" s="213" t="s">
        <v>41</v>
      </c>
      <c r="Y20" s="28" t="s">
        <v>41</v>
      </c>
      <c r="Z20" s="28" t="s">
        <v>66</v>
      </c>
      <c r="AA20" s="27" t="s">
        <v>41</v>
      </c>
      <c r="AB20" s="27" t="s">
        <v>41</v>
      </c>
      <c r="AC20" s="27" t="s">
        <v>41</v>
      </c>
      <c r="AD20" s="28" t="s">
        <v>41</v>
      </c>
      <c r="AE20" s="28"/>
      <c r="AF20" s="27" t="s">
        <v>41</v>
      </c>
      <c r="AG20" s="27" t="s">
        <v>41</v>
      </c>
      <c r="AH20" s="27" t="s">
        <v>41</v>
      </c>
      <c r="AI20" s="27" t="s">
        <v>41</v>
      </c>
      <c r="AJ20" s="27" t="s">
        <v>41</v>
      </c>
      <c r="AK20" s="27" t="s">
        <v>41</v>
      </c>
      <c r="AL20" s="27" t="s">
        <v>41</v>
      </c>
      <c r="AM20" s="27" t="s">
        <v>41</v>
      </c>
      <c r="AN20" s="27" t="s">
        <v>41</v>
      </c>
      <c r="AO20" s="27" t="s">
        <v>41</v>
      </c>
      <c r="AP20" s="27" t="s">
        <v>66</v>
      </c>
      <c r="AQ20" s="28" t="s">
        <v>834</v>
      </c>
      <c r="AR20" s="28" t="s">
        <v>709</v>
      </c>
      <c r="AS20" s="27" t="s">
        <v>41</v>
      </c>
      <c r="AT20" s="28"/>
      <c r="AU20" s="27"/>
      <c r="AV20" s="27" t="s">
        <v>41</v>
      </c>
      <c r="AW20" s="27"/>
      <c r="AX20" s="27" t="s">
        <v>41</v>
      </c>
      <c r="AY20" s="28"/>
      <c r="AZ20" s="28"/>
      <c r="BA20" s="28"/>
      <c r="BB20" s="26" t="s">
        <v>706</v>
      </c>
      <c r="BC20" s="29">
        <v>46002</v>
      </c>
      <c r="BD20" s="93" t="s">
        <v>787</v>
      </c>
      <c r="BE20" s="28" t="s">
        <v>838</v>
      </c>
      <c r="BF20" s="28"/>
    </row>
    <row r="21" spans="1:58" ht="20.25" customHeight="1">
      <c r="A21" s="27">
        <v>20</v>
      </c>
      <c r="B21" s="254" t="str">
        <f ca="1"/>
        <v>MTP-N-2526-003272</v>
      </c>
      <c r="C21" s="137" t="str">
        <f ca="1"/>
        <v>Generali Central Insurance Company Limited</v>
      </c>
      <c r="D21" s="27" t="str">
        <f ca="1"/>
        <v>MACT</v>
      </c>
      <c r="E21" s="27" t="str">
        <f ca="1"/>
        <v>F001-1020-SS-2025</v>
      </c>
      <c r="F21" s="206">
        <f ca="1"/>
        <v>45917</v>
      </c>
      <c r="G21" s="27" t="str">
        <f ca="1"/>
        <v>Sep-25</v>
      </c>
      <c r="H21" s="29">
        <v>46001</v>
      </c>
      <c r="I21" s="29" t="str">
        <f t="shared" si="3"/>
        <v>Dec-25</v>
      </c>
      <c r="J21" s="29">
        <f t="shared" ca="1" si="0"/>
        <v>45938</v>
      </c>
      <c r="K21" s="27">
        <f t="shared" ca="1" si="1"/>
        <v>84</v>
      </c>
      <c r="L21" s="27" t="str">
        <f t="shared" ca="1" si="2"/>
        <v>AT</v>
      </c>
      <c r="M21" s="27" t="s">
        <v>750</v>
      </c>
      <c r="N21" s="27" t="s">
        <v>705</v>
      </c>
      <c r="O21" s="27" t="s">
        <v>706</v>
      </c>
      <c r="P21" s="27"/>
      <c r="Q21" s="28" t="s">
        <v>839</v>
      </c>
      <c r="R21" s="93" t="s">
        <v>836</v>
      </c>
      <c r="S21" s="27" t="s">
        <v>837</v>
      </c>
      <c r="T21" s="27" t="s">
        <v>706</v>
      </c>
      <c r="U21" s="28" t="s">
        <v>66</v>
      </c>
      <c r="V21" s="28"/>
      <c r="W21" s="28"/>
      <c r="X21" s="213" t="s">
        <v>41</v>
      </c>
      <c r="Y21" s="28" t="s">
        <v>41</v>
      </c>
      <c r="Z21" s="28" t="s">
        <v>41</v>
      </c>
      <c r="AA21" s="27" t="s">
        <v>41</v>
      </c>
      <c r="AB21" s="27" t="s">
        <v>41</v>
      </c>
      <c r="AC21" s="27" t="s">
        <v>41</v>
      </c>
      <c r="AD21" s="28" t="s">
        <v>41</v>
      </c>
      <c r="AE21" s="28"/>
      <c r="AF21" s="27" t="s">
        <v>41</v>
      </c>
      <c r="AG21" s="27" t="s">
        <v>41</v>
      </c>
      <c r="AH21" s="27" t="s">
        <v>41</v>
      </c>
      <c r="AI21" s="27" t="s">
        <v>41</v>
      </c>
      <c r="AJ21" s="27" t="s">
        <v>41</v>
      </c>
      <c r="AK21" s="27" t="s">
        <v>41</v>
      </c>
      <c r="AL21" s="27" t="s">
        <v>41</v>
      </c>
      <c r="AM21" s="27" t="s">
        <v>41</v>
      </c>
      <c r="AN21" s="27" t="s">
        <v>41</v>
      </c>
      <c r="AO21" s="27" t="s">
        <v>41</v>
      </c>
      <c r="AP21" s="27" t="s">
        <v>66</v>
      </c>
      <c r="AQ21" s="28" t="s">
        <v>834</v>
      </c>
      <c r="AR21" s="28" t="s">
        <v>709</v>
      </c>
      <c r="AS21" s="27" t="s">
        <v>41</v>
      </c>
      <c r="AT21" s="28"/>
      <c r="AU21" s="27"/>
      <c r="AV21" s="27" t="s">
        <v>41</v>
      </c>
      <c r="AW21" s="27"/>
      <c r="AX21" s="27" t="s">
        <v>41</v>
      </c>
      <c r="AY21" s="28"/>
      <c r="AZ21" s="28"/>
      <c r="BA21" s="28"/>
      <c r="BB21" s="26" t="s">
        <v>706</v>
      </c>
      <c r="BC21" s="29">
        <v>46002</v>
      </c>
      <c r="BD21" s="93" t="s">
        <v>787</v>
      </c>
      <c r="BE21" s="28" t="s">
        <v>840</v>
      </c>
      <c r="BF21" s="28"/>
    </row>
    <row r="22" spans="1:58" ht="20.25" customHeight="1">
      <c r="A22" s="27">
        <v>21</v>
      </c>
      <c r="B22" s="254" t="str">
        <f ca="1"/>
        <v>C2254103102949-00</v>
      </c>
      <c r="C22" s="137" t="str">
        <f ca="1"/>
        <v>Magma HDI General Insurance Company Ltd</v>
      </c>
      <c r="D22" s="27" t="str">
        <f ca="1"/>
        <v>MACT</v>
      </c>
      <c r="E22" s="27" t="str">
        <f ca="1"/>
        <v>M002-1021-SS-2025</v>
      </c>
      <c r="F22" s="206">
        <f ca="1"/>
        <v>45734</v>
      </c>
      <c r="G22" s="27" t="str">
        <f ca="1"/>
        <v>Mar-25</v>
      </c>
      <c r="H22" s="29">
        <v>45976</v>
      </c>
      <c r="I22" s="29" t="str">
        <f t="shared" si="3"/>
        <v>Nov-25</v>
      </c>
      <c r="J22" s="29">
        <f t="shared" ca="1" si="0"/>
        <v>45776</v>
      </c>
      <c r="K22" s="27">
        <f t="shared" ca="1" si="1"/>
        <v>242</v>
      </c>
      <c r="L22" s="27" t="str">
        <f t="shared" ca="1" si="2"/>
        <v>AT</v>
      </c>
      <c r="M22" s="27" t="s">
        <v>704</v>
      </c>
      <c r="N22" s="27" t="s">
        <v>705</v>
      </c>
      <c r="O22" s="27" t="s">
        <v>706</v>
      </c>
      <c r="P22" s="27"/>
      <c r="Q22" s="28" t="s">
        <v>41</v>
      </c>
      <c r="R22" s="28"/>
      <c r="S22" s="27"/>
      <c r="T22" s="27" t="s">
        <v>706</v>
      </c>
      <c r="U22" s="28" t="s">
        <v>767</v>
      </c>
      <c r="V22" s="28"/>
      <c r="W22" s="28"/>
      <c r="X22" s="213" t="s">
        <v>41</v>
      </c>
      <c r="Y22" s="28" t="s">
        <v>41</v>
      </c>
      <c r="Z22" s="28"/>
      <c r="AA22" s="27"/>
      <c r="AB22" s="27" t="s">
        <v>41</v>
      </c>
      <c r="AC22" s="27" t="s">
        <v>706</v>
      </c>
      <c r="AD22" s="28" t="s">
        <v>41</v>
      </c>
      <c r="AE22" s="28"/>
      <c r="AF22" s="27" t="s">
        <v>41</v>
      </c>
      <c r="AG22" s="27" t="s">
        <v>41</v>
      </c>
      <c r="AH22" s="27" t="s">
        <v>41</v>
      </c>
      <c r="AI22" s="27" t="s">
        <v>41</v>
      </c>
      <c r="AJ22" s="27" t="s">
        <v>41</v>
      </c>
      <c r="AK22" s="27" t="s">
        <v>41</v>
      </c>
      <c r="AL22" s="27" t="s">
        <v>41</v>
      </c>
      <c r="AM22" s="27" t="s">
        <v>41</v>
      </c>
      <c r="AN22" s="27" t="s">
        <v>41</v>
      </c>
      <c r="AO22" s="27" t="s">
        <v>66</v>
      </c>
      <c r="AP22" s="27" t="s">
        <v>66</v>
      </c>
      <c r="AQ22" s="28" t="s">
        <v>66</v>
      </c>
      <c r="AR22" s="28"/>
      <c r="AS22" s="27" t="s">
        <v>706</v>
      </c>
      <c r="AT22" s="28" t="s">
        <v>41</v>
      </c>
      <c r="AU22" s="27" t="s">
        <v>41</v>
      </c>
      <c r="AV22" s="27" t="s">
        <v>41</v>
      </c>
      <c r="AW22" s="27" t="s">
        <v>41</v>
      </c>
      <c r="AX22" s="27" t="s">
        <v>706</v>
      </c>
      <c r="AY22" s="28" t="s">
        <v>41</v>
      </c>
      <c r="AZ22" s="28"/>
      <c r="BA22" s="28"/>
      <c r="BB22" s="26" t="s">
        <v>41</v>
      </c>
      <c r="BC22" s="27"/>
      <c r="BD22" s="93"/>
      <c r="BE22" s="28" t="s">
        <v>841</v>
      </c>
      <c r="BF22" s="28" t="s">
        <v>842</v>
      </c>
    </row>
    <row r="23" spans="1:58" ht="20.25" customHeight="1">
      <c r="A23" s="27">
        <v>22</v>
      </c>
      <c r="B23" s="254" t="str">
        <f ca="1"/>
        <v>2024214888</v>
      </c>
      <c r="C23" s="137" t="str">
        <f ca="1"/>
        <v>Indusind General Insurance Co Ltd</v>
      </c>
      <c r="D23" s="27" t="str">
        <f ca="1"/>
        <v>MACT</v>
      </c>
      <c r="E23" s="27" t="str">
        <f ca="1"/>
        <v>R001-1022-SS-2025</v>
      </c>
      <c r="F23" s="206">
        <f ca="1"/>
        <v>45918</v>
      </c>
      <c r="G23" s="27" t="str">
        <f ca="1"/>
        <v>Sep-25</v>
      </c>
      <c r="H23" s="29">
        <v>46000</v>
      </c>
      <c r="I23" s="29" t="str">
        <f t="shared" si="3"/>
        <v>Dec-25</v>
      </c>
      <c r="J23" s="29">
        <f t="shared" ca="1" si="0"/>
        <v>45960</v>
      </c>
      <c r="K23" s="27">
        <f t="shared" ca="1" si="1"/>
        <v>82</v>
      </c>
      <c r="L23" s="27" t="str">
        <f t="shared" ca="1" si="2"/>
        <v>AT</v>
      </c>
      <c r="M23" s="27" t="s">
        <v>704</v>
      </c>
      <c r="N23" s="27" t="s">
        <v>705</v>
      </c>
      <c r="O23" s="27" t="s">
        <v>706</v>
      </c>
      <c r="P23" s="27"/>
      <c r="Q23" s="175" t="s">
        <v>843</v>
      </c>
      <c r="R23" s="93" t="s">
        <v>844</v>
      </c>
      <c r="S23" s="229" t="s">
        <v>845</v>
      </c>
      <c r="T23" s="27" t="s">
        <v>706</v>
      </c>
      <c r="U23" s="28" t="s">
        <v>767</v>
      </c>
      <c r="V23" s="28"/>
      <c r="W23" s="28"/>
      <c r="X23" s="213" t="s">
        <v>41</v>
      </c>
      <c r="Y23" s="175" t="s">
        <v>91</v>
      </c>
      <c r="Z23" s="28" t="s">
        <v>846</v>
      </c>
      <c r="AA23" s="229" t="s">
        <v>845</v>
      </c>
      <c r="AB23" s="27" t="s">
        <v>41</v>
      </c>
      <c r="AC23" s="27" t="s">
        <v>706</v>
      </c>
      <c r="AD23" s="28"/>
      <c r="AE23" s="28"/>
      <c r="AF23" s="28" t="s">
        <v>847</v>
      </c>
      <c r="AG23" s="27" t="s">
        <v>706</v>
      </c>
      <c r="AH23" s="27" t="s">
        <v>41</v>
      </c>
      <c r="AI23" s="27" t="s">
        <v>41</v>
      </c>
      <c r="AJ23" s="27" t="s">
        <v>41</v>
      </c>
      <c r="AK23" s="27" t="s">
        <v>41</v>
      </c>
      <c r="AL23" s="27" t="s">
        <v>41</v>
      </c>
      <c r="AM23" s="27" t="s">
        <v>41</v>
      </c>
      <c r="AN23" s="27" t="s">
        <v>41</v>
      </c>
      <c r="AO23" s="27" t="s">
        <v>41</v>
      </c>
      <c r="AP23" s="27" t="s">
        <v>66</v>
      </c>
      <c r="AQ23" s="175" t="s">
        <v>848</v>
      </c>
      <c r="AR23" s="175" t="s">
        <v>849</v>
      </c>
      <c r="AS23" s="27" t="s">
        <v>706</v>
      </c>
      <c r="AT23" s="28" t="s">
        <v>850</v>
      </c>
      <c r="AU23" s="28" t="s">
        <v>851</v>
      </c>
      <c r="AV23" s="28" t="s">
        <v>849</v>
      </c>
      <c r="AW23" s="27" t="s">
        <v>41</v>
      </c>
      <c r="AX23" s="27" t="s">
        <v>706</v>
      </c>
      <c r="AY23" s="28" t="s">
        <v>41</v>
      </c>
      <c r="AZ23" s="28"/>
      <c r="BA23" s="28"/>
      <c r="BB23" s="26" t="s">
        <v>41</v>
      </c>
      <c r="BC23" s="27"/>
      <c r="BD23" s="93"/>
      <c r="BE23" s="28" t="s">
        <v>852</v>
      </c>
      <c r="BF23" s="28"/>
    </row>
    <row r="24" spans="1:58" ht="20.25" customHeight="1">
      <c r="A24" s="27">
        <v>23</v>
      </c>
      <c r="B24" s="254" t="str">
        <f ca="1"/>
        <v>2024214879</v>
      </c>
      <c r="C24" s="137" t="str">
        <f ca="1"/>
        <v>Indusind General Insurance Co Ltd</v>
      </c>
      <c r="D24" s="27" t="str">
        <f ca="1"/>
        <v>MACT</v>
      </c>
      <c r="E24" s="27" t="str">
        <f ca="1"/>
        <v>R001-1023-SS-2025</v>
      </c>
      <c r="F24" s="206">
        <f ca="1"/>
        <v>45919</v>
      </c>
      <c r="G24" s="27" t="str">
        <f ca="1"/>
        <v>Sep-25</v>
      </c>
      <c r="H24" s="29">
        <v>46000</v>
      </c>
      <c r="I24" s="29" t="str">
        <f t="shared" si="3"/>
        <v>Dec-25</v>
      </c>
      <c r="J24" s="29">
        <f t="shared" ca="1" si="0"/>
        <v>45940</v>
      </c>
      <c r="K24" s="27">
        <f t="shared" ca="1" si="1"/>
        <v>81</v>
      </c>
      <c r="L24" s="27" t="str">
        <f t="shared" ca="1" si="2"/>
        <v>AT</v>
      </c>
      <c r="M24" s="27" t="s">
        <v>750</v>
      </c>
      <c r="N24" s="27" t="s">
        <v>705</v>
      </c>
      <c r="O24" s="27" t="s">
        <v>706</v>
      </c>
      <c r="P24" s="27" t="s">
        <v>853</v>
      </c>
      <c r="Q24" s="174" t="s">
        <v>854</v>
      </c>
      <c r="R24" s="28" t="s">
        <v>855</v>
      </c>
      <c r="S24" s="230" t="s">
        <v>41</v>
      </c>
      <c r="T24" s="27" t="s">
        <v>706</v>
      </c>
      <c r="U24" s="28" t="s">
        <v>767</v>
      </c>
      <c r="V24" s="28"/>
      <c r="W24" s="28"/>
      <c r="X24" s="213" t="s">
        <v>41</v>
      </c>
      <c r="Y24" s="28" t="s">
        <v>41</v>
      </c>
      <c r="Z24" s="28" t="s">
        <v>41</v>
      </c>
      <c r="AA24" s="27"/>
      <c r="AB24" s="27" t="s">
        <v>41</v>
      </c>
      <c r="AC24" s="27" t="s">
        <v>41</v>
      </c>
      <c r="AD24" s="28" t="s">
        <v>41</v>
      </c>
      <c r="AE24" s="28"/>
      <c r="AF24" s="27" t="s">
        <v>41</v>
      </c>
      <c r="AG24" s="27" t="s">
        <v>41</v>
      </c>
      <c r="AH24" s="27" t="s">
        <v>41</v>
      </c>
      <c r="AI24" s="27" t="s">
        <v>41</v>
      </c>
      <c r="AJ24" s="27" t="s">
        <v>41</v>
      </c>
      <c r="AK24" s="27" t="s">
        <v>41</v>
      </c>
      <c r="AL24" s="27" t="s">
        <v>41</v>
      </c>
      <c r="AM24" s="27" t="s">
        <v>41</v>
      </c>
      <c r="AN24" s="27" t="s">
        <v>41</v>
      </c>
      <c r="AO24" s="27" t="s">
        <v>41</v>
      </c>
      <c r="AP24" s="27" t="s">
        <v>66</v>
      </c>
      <c r="AQ24" s="28" t="s">
        <v>66</v>
      </c>
      <c r="AR24" s="28"/>
      <c r="AS24" s="27" t="s">
        <v>41</v>
      </c>
      <c r="AT24" s="28" t="s">
        <v>41</v>
      </c>
      <c r="AU24" s="27" t="s">
        <v>41</v>
      </c>
      <c r="AV24" s="27" t="s">
        <v>41</v>
      </c>
      <c r="AW24" s="27" t="s">
        <v>41</v>
      </c>
      <c r="AX24" s="27" t="s">
        <v>41</v>
      </c>
      <c r="AY24" s="28" t="s">
        <v>41</v>
      </c>
      <c r="AZ24" s="28"/>
      <c r="BA24" s="28"/>
      <c r="BB24" s="26" t="s">
        <v>41</v>
      </c>
      <c r="BC24" s="27"/>
      <c r="BD24" s="93"/>
      <c r="BE24" s="28" t="s">
        <v>856</v>
      </c>
      <c r="BF24" s="28"/>
    </row>
    <row r="25" spans="1:58" ht="20.25" customHeight="1">
      <c r="A25" s="27">
        <v>24</v>
      </c>
      <c r="B25" s="254" t="str">
        <f ca="1"/>
        <v>CM889835</v>
      </c>
      <c r="C25" s="137" t="str">
        <f ca="1"/>
        <v>Generali Central Insurance Company Limited</v>
      </c>
      <c r="D25" s="27" t="str">
        <f ca="1"/>
        <v>MACT</v>
      </c>
      <c r="E25" s="27" t="str">
        <f ca="1"/>
        <v>F001-1024-SS-2025</v>
      </c>
      <c r="F25" s="206">
        <f ca="1"/>
        <v>45929</v>
      </c>
      <c r="G25" s="27" t="str">
        <f ca="1"/>
        <v>Sep-25</v>
      </c>
      <c r="H25" s="27" t="s">
        <v>718</v>
      </c>
      <c r="I25" s="29"/>
      <c r="J25" s="29">
        <f t="shared" ca="1" si="0"/>
        <v>45971</v>
      </c>
      <c r="K25" s="27">
        <f t="shared" ca="1" si="1"/>
        <v>98</v>
      </c>
      <c r="L25" s="27" t="str">
        <f t="shared" ca="1" si="2"/>
        <v>AT</v>
      </c>
      <c r="M25" s="27" t="s">
        <v>704</v>
      </c>
      <c r="N25" s="27" t="s">
        <v>857</v>
      </c>
      <c r="O25" s="27" t="s">
        <v>721</v>
      </c>
      <c r="P25" s="26" t="s">
        <v>858</v>
      </c>
      <c r="Q25" s="174" t="s">
        <v>859</v>
      </c>
      <c r="R25" s="117" t="s">
        <v>860</v>
      </c>
      <c r="S25" s="230" t="s">
        <v>791</v>
      </c>
      <c r="T25" s="27" t="s">
        <v>706</v>
      </c>
      <c r="U25" s="28" t="s">
        <v>66</v>
      </c>
      <c r="V25" s="28"/>
      <c r="W25" s="28"/>
      <c r="X25" s="213" t="s">
        <v>41</v>
      </c>
      <c r="Y25" s="28" t="s">
        <v>96</v>
      </c>
      <c r="Z25" s="28" t="s">
        <v>861</v>
      </c>
      <c r="AA25" s="27" t="s">
        <v>709</v>
      </c>
      <c r="AB25" s="27" t="s">
        <v>41</v>
      </c>
      <c r="AC25" s="27" t="s">
        <v>706</v>
      </c>
      <c r="AD25" s="28" t="s">
        <v>41</v>
      </c>
      <c r="AE25" s="28"/>
      <c r="AF25" s="27" t="s">
        <v>41</v>
      </c>
      <c r="AG25" s="27" t="s">
        <v>41</v>
      </c>
      <c r="AH25" s="27" t="s">
        <v>41</v>
      </c>
      <c r="AI25" s="27" t="s">
        <v>41</v>
      </c>
      <c r="AJ25" s="27" t="s">
        <v>41</v>
      </c>
      <c r="AK25" s="27" t="s">
        <v>41</v>
      </c>
      <c r="AL25" s="27" t="s">
        <v>41</v>
      </c>
      <c r="AM25" s="27" t="s">
        <v>41</v>
      </c>
      <c r="AN25" s="27" t="s">
        <v>41</v>
      </c>
      <c r="AO25" s="27" t="s">
        <v>41</v>
      </c>
      <c r="AP25" s="27" t="s">
        <v>66</v>
      </c>
      <c r="AQ25" s="175" t="s">
        <v>862</v>
      </c>
      <c r="AR25" s="175"/>
      <c r="AS25" s="26" t="s">
        <v>706</v>
      </c>
      <c r="AT25" s="28" t="s">
        <v>863</v>
      </c>
      <c r="AU25" s="26" t="s">
        <v>864</v>
      </c>
      <c r="AV25" s="27" t="s">
        <v>865</v>
      </c>
      <c r="AW25" s="27" t="s">
        <v>41</v>
      </c>
      <c r="AX25" s="27" t="s">
        <v>41</v>
      </c>
      <c r="AY25" s="28" t="s">
        <v>41</v>
      </c>
      <c r="AZ25" s="28"/>
      <c r="BA25" s="28"/>
      <c r="BB25" s="26" t="s">
        <v>794</v>
      </c>
      <c r="BC25" s="27"/>
      <c r="BD25" s="93"/>
      <c r="BE25" s="28" t="s">
        <v>866</v>
      </c>
      <c r="BF25" s="28"/>
    </row>
    <row r="26" spans="1:58" ht="20.25" customHeight="1">
      <c r="A26" s="27">
        <v>25</v>
      </c>
      <c r="B26" s="254" t="str">
        <f ca="1"/>
        <v>2022201759</v>
      </c>
      <c r="C26" s="137" t="str">
        <f ca="1"/>
        <v>Indusind General Insurance Co Ltd</v>
      </c>
      <c r="D26" s="27" t="str">
        <f ca="1"/>
        <v>MACT</v>
      </c>
      <c r="E26" s="27" t="str">
        <f ca="1"/>
        <v>R001-1025-SS-2025</v>
      </c>
      <c r="F26" s="206">
        <f ca="1"/>
        <v>45938</v>
      </c>
      <c r="G26" s="27" t="str">
        <f ca="1"/>
        <v>Oct-25</v>
      </c>
      <c r="H26" s="29">
        <v>46008</v>
      </c>
      <c r="I26" s="29" t="str">
        <f t="shared" si="3"/>
        <v>Dec-25</v>
      </c>
      <c r="J26" s="29">
        <f t="shared" ca="1" si="0"/>
        <v>45959</v>
      </c>
      <c r="K26" s="27">
        <f t="shared" ca="1" si="1"/>
        <v>70</v>
      </c>
      <c r="L26" s="27" t="str">
        <f t="shared" ca="1" si="2"/>
        <v>AT</v>
      </c>
      <c r="M26" s="27" t="s">
        <v>750</v>
      </c>
      <c r="N26" s="27" t="s">
        <v>705</v>
      </c>
      <c r="O26" s="27" t="s">
        <v>706</v>
      </c>
      <c r="P26" s="68" t="s">
        <v>867</v>
      </c>
      <c r="Q26" s="28" t="s">
        <v>41</v>
      </c>
      <c r="R26" s="28" t="s">
        <v>41</v>
      </c>
      <c r="S26" s="27"/>
      <c r="T26" s="27" t="s">
        <v>41</v>
      </c>
      <c r="U26" s="28" t="s">
        <v>767</v>
      </c>
      <c r="V26" s="28"/>
      <c r="W26" s="28"/>
      <c r="X26" s="213" t="s">
        <v>41</v>
      </c>
      <c r="Y26" s="28" t="s">
        <v>41</v>
      </c>
      <c r="Z26" s="28"/>
      <c r="AA26" s="27" t="s">
        <v>66</v>
      </c>
      <c r="AB26" s="27" t="s">
        <v>41</v>
      </c>
      <c r="AC26" s="27" t="s">
        <v>41</v>
      </c>
      <c r="AD26" s="28" t="s">
        <v>41</v>
      </c>
      <c r="AE26" s="28"/>
      <c r="AF26" s="27" t="s">
        <v>41</v>
      </c>
      <c r="AG26" s="27" t="s">
        <v>41</v>
      </c>
      <c r="AH26" s="27" t="s">
        <v>41</v>
      </c>
      <c r="AI26" s="27" t="s">
        <v>41</v>
      </c>
      <c r="AJ26" s="27" t="s">
        <v>41</v>
      </c>
      <c r="AK26" s="27" t="s">
        <v>41</v>
      </c>
      <c r="AL26" s="27" t="s">
        <v>833</v>
      </c>
      <c r="AM26" s="27" t="s">
        <v>721</v>
      </c>
      <c r="AN26" s="27" t="s">
        <v>41</v>
      </c>
      <c r="AO26" s="27" t="s">
        <v>41</v>
      </c>
      <c r="AP26" s="27" t="s">
        <v>66</v>
      </c>
      <c r="AQ26" s="28" t="s">
        <v>66</v>
      </c>
      <c r="AR26" s="28"/>
      <c r="AS26" s="27" t="s">
        <v>41</v>
      </c>
      <c r="AT26" s="28" t="s">
        <v>41</v>
      </c>
      <c r="AU26" s="27" t="s">
        <v>41</v>
      </c>
      <c r="AV26" s="27" t="s">
        <v>41</v>
      </c>
      <c r="AW26" s="27" t="s">
        <v>41</v>
      </c>
      <c r="AX26" s="27" t="s">
        <v>41</v>
      </c>
      <c r="AY26" s="28" t="s">
        <v>41</v>
      </c>
      <c r="AZ26" s="28"/>
      <c r="BA26" s="28"/>
      <c r="BB26" s="26" t="s">
        <v>41</v>
      </c>
      <c r="BC26" s="27"/>
      <c r="BD26" s="93"/>
      <c r="BE26" s="165" t="s">
        <v>868</v>
      </c>
      <c r="BF26" s="28"/>
    </row>
    <row r="27" spans="1:58" ht="20.25" customHeight="1">
      <c r="A27" s="27">
        <v>26</v>
      </c>
      <c r="B27" s="254" t="str">
        <f ca="1"/>
        <v>2025202327</v>
      </c>
      <c r="C27" s="137" t="str">
        <f ca="1"/>
        <v>Indusind General Insurance Co Ltd</v>
      </c>
      <c r="D27" s="27" t="str">
        <f ca="1"/>
        <v>MACT</v>
      </c>
      <c r="E27" s="27" t="str">
        <f ca="1"/>
        <v>R001-1026-SS-2025</v>
      </c>
      <c r="F27" s="206">
        <f ca="1"/>
        <v>45938</v>
      </c>
      <c r="G27" s="27" t="str">
        <f ca="1"/>
        <v>Oct-25</v>
      </c>
      <c r="H27" s="27" t="s">
        <v>718</v>
      </c>
      <c r="I27" s="29"/>
      <c r="J27" s="29">
        <f t="shared" ca="1" si="0"/>
        <v>45980</v>
      </c>
      <c r="K27" s="27">
        <f t="shared" ca="1" si="1"/>
        <v>89</v>
      </c>
      <c r="L27" s="27" t="str">
        <f t="shared" ca="1" si="2"/>
        <v>AT</v>
      </c>
      <c r="M27" s="27" t="s">
        <v>704</v>
      </c>
      <c r="N27" s="27" t="s">
        <v>857</v>
      </c>
      <c r="O27" s="27" t="s">
        <v>857</v>
      </c>
      <c r="P27" s="27"/>
      <c r="Q27" s="28" t="s">
        <v>869</v>
      </c>
      <c r="R27" s="93" t="s">
        <v>870</v>
      </c>
      <c r="S27" s="27" t="s">
        <v>871</v>
      </c>
      <c r="T27" s="27" t="s">
        <v>706</v>
      </c>
      <c r="U27" s="28" t="s">
        <v>767</v>
      </c>
      <c r="V27" s="28"/>
      <c r="W27" s="28"/>
      <c r="X27" s="213" t="s">
        <v>41</v>
      </c>
      <c r="Y27" s="174" t="s">
        <v>101</v>
      </c>
      <c r="Z27" s="93" t="s">
        <v>872</v>
      </c>
      <c r="AA27" s="230" t="s">
        <v>873</v>
      </c>
      <c r="AB27" s="27" t="s">
        <v>41</v>
      </c>
      <c r="AC27" s="27" t="s">
        <v>706</v>
      </c>
      <c r="AD27" s="28" t="s">
        <v>41</v>
      </c>
      <c r="AE27" s="28"/>
      <c r="AF27" s="27" t="s">
        <v>41</v>
      </c>
      <c r="AG27" s="27" t="s">
        <v>706</v>
      </c>
      <c r="AH27" s="27" t="s">
        <v>41</v>
      </c>
      <c r="AI27" s="27" t="s">
        <v>41</v>
      </c>
      <c r="AJ27" s="27" t="s">
        <v>41</v>
      </c>
      <c r="AK27" s="27" t="s">
        <v>41</v>
      </c>
      <c r="AL27" s="27" t="s">
        <v>41</v>
      </c>
      <c r="AM27" s="27" t="s">
        <v>41</v>
      </c>
      <c r="AN27" s="27" t="s">
        <v>41</v>
      </c>
      <c r="AO27" s="27" t="s">
        <v>41</v>
      </c>
      <c r="AP27" s="27" t="s">
        <v>66</v>
      </c>
      <c r="AQ27" s="93" t="s">
        <v>874</v>
      </c>
      <c r="AR27" s="93"/>
      <c r="AS27" s="27" t="s">
        <v>706</v>
      </c>
      <c r="AT27" s="17" t="s">
        <v>875</v>
      </c>
      <c r="AU27" s="291" t="s">
        <v>876</v>
      </c>
      <c r="AV27" s="17" t="s">
        <v>763</v>
      </c>
      <c r="AW27" s="27" t="s">
        <v>41</v>
      </c>
      <c r="AX27" s="27" t="s">
        <v>706</v>
      </c>
      <c r="AY27" s="28" t="s">
        <v>41</v>
      </c>
      <c r="AZ27" s="28"/>
      <c r="BA27" s="28"/>
      <c r="BB27" s="26" t="s">
        <v>41</v>
      </c>
      <c r="BC27" s="27"/>
      <c r="BD27" s="93"/>
      <c r="BE27" s="28" t="s">
        <v>877</v>
      </c>
      <c r="BF27" s="28"/>
    </row>
    <row r="28" spans="1:58" ht="20.25" customHeight="1">
      <c r="A28" s="27">
        <v>27</v>
      </c>
      <c r="B28" s="254" t="str">
        <f ca="1"/>
        <v>2025200573</v>
      </c>
      <c r="C28" s="137" t="str">
        <f ca="1"/>
        <v>Indusind General Insurance Co Ltd</v>
      </c>
      <c r="D28" s="27" t="str">
        <f ca="1"/>
        <v>MACT</v>
      </c>
      <c r="E28" s="27" t="str">
        <f ca="1"/>
        <v>R001-1027-SS-2025</v>
      </c>
      <c r="F28" s="206">
        <f ca="1"/>
        <v>45938</v>
      </c>
      <c r="G28" s="27" t="str">
        <f ca="1"/>
        <v>Oct-25</v>
      </c>
      <c r="H28" s="27" t="s">
        <v>718</v>
      </c>
      <c r="I28" s="29"/>
      <c r="J28" s="29">
        <f t="shared" ca="1" si="0"/>
        <v>45980</v>
      </c>
      <c r="K28" s="27">
        <f t="shared" ca="1" si="1"/>
        <v>89</v>
      </c>
      <c r="L28" s="27" t="str">
        <f t="shared" ca="1" si="2"/>
        <v>AT</v>
      </c>
      <c r="M28" s="27" t="s">
        <v>704</v>
      </c>
      <c r="N28" s="27" t="s">
        <v>720</v>
      </c>
      <c r="O28" s="27" t="s">
        <v>721</v>
      </c>
      <c r="P28" s="27"/>
      <c r="Q28" s="28" t="s">
        <v>878</v>
      </c>
      <c r="R28" s="93" t="s">
        <v>879</v>
      </c>
      <c r="S28" s="27" t="s">
        <v>845</v>
      </c>
      <c r="T28" s="27" t="s">
        <v>706</v>
      </c>
      <c r="U28" s="28" t="s">
        <v>767</v>
      </c>
      <c r="V28" s="28"/>
      <c r="W28" s="28"/>
      <c r="X28" s="213" t="s">
        <v>41</v>
      </c>
      <c r="Y28" s="174" t="s">
        <v>104</v>
      </c>
      <c r="Z28" s="28" t="s">
        <v>41</v>
      </c>
      <c r="AA28" s="230" t="s">
        <v>66</v>
      </c>
      <c r="AB28" s="27" t="s">
        <v>41</v>
      </c>
      <c r="AC28" s="27" t="s">
        <v>721</v>
      </c>
      <c r="AD28" s="28" t="s">
        <v>41</v>
      </c>
      <c r="AE28" s="28"/>
      <c r="AF28" s="27" t="s">
        <v>41</v>
      </c>
      <c r="AG28" s="27" t="s">
        <v>721</v>
      </c>
      <c r="AH28" s="27" t="s">
        <v>41</v>
      </c>
      <c r="AI28" s="27" t="s">
        <v>41</v>
      </c>
      <c r="AJ28" s="27" t="s">
        <v>41</v>
      </c>
      <c r="AK28" s="27" t="s">
        <v>41</v>
      </c>
      <c r="AL28" s="27" t="s">
        <v>41</v>
      </c>
      <c r="AM28" s="27" t="s">
        <v>41</v>
      </c>
      <c r="AN28" s="27" t="s">
        <v>41</v>
      </c>
      <c r="AO28" s="27" t="s">
        <v>41</v>
      </c>
      <c r="AP28" s="27" t="s">
        <v>66</v>
      </c>
      <c r="AQ28" s="175" t="s">
        <v>880</v>
      </c>
      <c r="AR28" s="175"/>
      <c r="AS28" s="27" t="s">
        <v>721</v>
      </c>
      <c r="AT28" s="17" t="s">
        <v>881</v>
      </c>
      <c r="AU28" s="291" t="s">
        <v>882</v>
      </c>
      <c r="AV28" s="17" t="s">
        <v>849</v>
      </c>
      <c r="AW28" s="27" t="s">
        <v>41</v>
      </c>
      <c r="AX28" s="27" t="s">
        <v>721</v>
      </c>
      <c r="AY28" s="28" t="s">
        <v>41</v>
      </c>
      <c r="AZ28" s="28"/>
      <c r="BA28" s="28"/>
      <c r="BB28" s="26" t="s">
        <v>41</v>
      </c>
      <c r="BC28" s="27"/>
      <c r="BD28" s="93"/>
      <c r="BE28" s="28"/>
      <c r="BF28" s="28"/>
    </row>
    <row r="29" spans="1:58" ht="20.25" customHeight="1">
      <c r="A29" s="27">
        <v>28</v>
      </c>
      <c r="B29" s="254" t="str">
        <f ca="1"/>
        <v>2025206296</v>
      </c>
      <c r="C29" s="137" t="str">
        <f ca="1"/>
        <v>Indusind General Insurance Co Ltd</v>
      </c>
      <c r="D29" s="27" t="str">
        <f ca="1"/>
        <v>MACT</v>
      </c>
      <c r="E29" s="27" t="str">
        <f ca="1"/>
        <v>R001-1028-SS-2025</v>
      </c>
      <c r="F29" s="206">
        <f ca="1"/>
        <v>45938</v>
      </c>
      <c r="G29" s="27" t="str">
        <f ca="1"/>
        <v>Oct-25</v>
      </c>
      <c r="H29" s="27" t="s">
        <v>718</v>
      </c>
      <c r="I29" s="29"/>
      <c r="J29" s="29">
        <f t="shared" ca="1" si="0"/>
        <v>45980</v>
      </c>
      <c r="K29" s="27">
        <f t="shared" ca="1" si="1"/>
        <v>89</v>
      </c>
      <c r="L29" s="27" t="str">
        <f t="shared" ca="1" si="2"/>
        <v>AT</v>
      </c>
      <c r="M29" s="27" t="s">
        <v>704</v>
      </c>
      <c r="N29" s="27" t="s">
        <v>720</v>
      </c>
      <c r="O29" s="27" t="s">
        <v>751</v>
      </c>
      <c r="P29" s="27"/>
      <c r="Q29" s="174" t="s">
        <v>883</v>
      </c>
      <c r="R29" s="93" t="s">
        <v>884</v>
      </c>
      <c r="S29" s="230" t="s">
        <v>763</v>
      </c>
      <c r="T29" s="27" t="s">
        <v>706</v>
      </c>
      <c r="U29" s="28" t="s">
        <v>767</v>
      </c>
      <c r="V29" s="28"/>
      <c r="W29" s="28"/>
      <c r="X29" s="213" t="s">
        <v>41</v>
      </c>
      <c r="Y29" s="174" t="s">
        <v>107</v>
      </c>
      <c r="Z29" s="28" t="s">
        <v>885</v>
      </c>
      <c r="AA29" s="230" t="s">
        <v>763</v>
      </c>
      <c r="AB29" s="27" t="s">
        <v>41</v>
      </c>
      <c r="AC29" s="27" t="s">
        <v>706</v>
      </c>
      <c r="AD29" s="28" t="s">
        <v>41</v>
      </c>
      <c r="AE29" s="28"/>
      <c r="AF29" s="27" t="s">
        <v>41</v>
      </c>
      <c r="AG29" s="27" t="s">
        <v>706</v>
      </c>
      <c r="AH29" s="27" t="s">
        <v>41</v>
      </c>
      <c r="AI29" s="27" t="s">
        <v>41</v>
      </c>
      <c r="AJ29" s="27" t="s">
        <v>41</v>
      </c>
      <c r="AK29" s="27" t="s">
        <v>41</v>
      </c>
      <c r="AL29" s="27" t="s">
        <v>41</v>
      </c>
      <c r="AM29" s="27" t="s">
        <v>41</v>
      </c>
      <c r="AN29" s="27" t="s">
        <v>41</v>
      </c>
      <c r="AO29" s="27" t="s">
        <v>41</v>
      </c>
      <c r="AP29" s="27" t="s">
        <v>66</v>
      </c>
      <c r="AQ29" s="93" t="s">
        <v>886</v>
      </c>
      <c r="AR29" s="93" t="s">
        <v>763</v>
      </c>
      <c r="AS29" s="27" t="s">
        <v>706</v>
      </c>
      <c r="AT29" s="17" t="s">
        <v>887</v>
      </c>
      <c r="AU29" s="291" t="s">
        <v>888</v>
      </c>
      <c r="AV29" s="17" t="s">
        <v>763</v>
      </c>
      <c r="AW29" s="27" t="s">
        <v>41</v>
      </c>
      <c r="AX29" s="27" t="s">
        <v>721</v>
      </c>
      <c r="AY29" s="28" t="s">
        <v>41</v>
      </c>
      <c r="AZ29" s="28"/>
      <c r="BA29" s="28"/>
      <c r="BB29" s="26" t="s">
        <v>41</v>
      </c>
      <c r="BC29" s="27"/>
      <c r="BD29" s="93"/>
      <c r="BE29" s="28" t="s">
        <v>889</v>
      </c>
      <c r="BF29" s="28"/>
    </row>
    <row r="30" spans="1:58" ht="20.25" customHeight="1">
      <c r="A30" s="27">
        <v>29</v>
      </c>
      <c r="B30" s="254" t="str">
        <f ca="1"/>
        <v>2025202596</v>
      </c>
      <c r="C30" s="137" t="str">
        <f ca="1"/>
        <v>Indusind General Insurance Co Ltd</v>
      </c>
      <c r="D30" s="27" t="str">
        <f ca="1"/>
        <v>MACT</v>
      </c>
      <c r="E30" s="27" t="str">
        <f ca="1"/>
        <v>R001-1029-SS-2025</v>
      </c>
      <c r="F30" s="206">
        <f ca="1"/>
        <v>45938</v>
      </c>
      <c r="G30" s="27" t="str">
        <f ca="1"/>
        <v>Oct-25</v>
      </c>
      <c r="H30" s="29">
        <v>45995</v>
      </c>
      <c r="I30" s="29" t="str">
        <f t="shared" si="3"/>
        <v>Dec-25</v>
      </c>
      <c r="J30" s="29">
        <f t="shared" ca="1" si="0"/>
        <v>45980</v>
      </c>
      <c r="K30" s="27">
        <f t="shared" ca="1" si="1"/>
        <v>57</v>
      </c>
      <c r="L30" s="27" t="str">
        <f t="shared" ca="1" si="2"/>
        <v>AT</v>
      </c>
      <c r="M30" s="27" t="s">
        <v>704</v>
      </c>
      <c r="N30" s="27" t="s">
        <v>705</v>
      </c>
      <c r="O30" s="27" t="s">
        <v>706</v>
      </c>
      <c r="P30" s="27"/>
      <c r="Q30" s="174" t="s">
        <v>890</v>
      </c>
      <c r="R30" s="175" t="s">
        <v>891</v>
      </c>
      <c r="S30" s="230" t="s">
        <v>763</v>
      </c>
      <c r="T30" s="27" t="s">
        <v>706</v>
      </c>
      <c r="U30" s="28" t="s">
        <v>767</v>
      </c>
      <c r="V30" s="28"/>
      <c r="W30" s="28"/>
      <c r="X30" s="213" t="s">
        <v>41</v>
      </c>
      <c r="Y30" s="174" t="s">
        <v>892</v>
      </c>
      <c r="Z30" s="28" t="s">
        <v>893</v>
      </c>
      <c r="AA30" s="230" t="s">
        <v>763</v>
      </c>
      <c r="AB30" s="27" t="s">
        <v>41</v>
      </c>
      <c r="AC30" s="27" t="s">
        <v>706</v>
      </c>
      <c r="AD30" s="28" t="s">
        <v>41</v>
      </c>
      <c r="AE30" s="28"/>
      <c r="AF30" s="27" t="s">
        <v>41</v>
      </c>
      <c r="AG30" s="27" t="s">
        <v>706</v>
      </c>
      <c r="AH30" s="27" t="s">
        <v>41</v>
      </c>
      <c r="AI30" s="27" t="s">
        <v>41</v>
      </c>
      <c r="AJ30" s="27" t="s">
        <v>41</v>
      </c>
      <c r="AK30" s="27" t="s">
        <v>41</v>
      </c>
      <c r="AL30" s="27" t="s">
        <v>41</v>
      </c>
      <c r="AM30" s="27" t="s">
        <v>41</v>
      </c>
      <c r="AN30" s="27" t="s">
        <v>41</v>
      </c>
      <c r="AO30" s="27" t="s">
        <v>41</v>
      </c>
      <c r="AP30" s="27" t="s">
        <v>66</v>
      </c>
      <c r="AQ30" s="175" t="s">
        <v>894</v>
      </c>
      <c r="AR30" s="175"/>
      <c r="AS30" s="27" t="s">
        <v>706</v>
      </c>
      <c r="AT30" s="28"/>
      <c r="AU30" s="291" t="s">
        <v>895</v>
      </c>
      <c r="AV30" s="17" t="s">
        <v>763</v>
      </c>
      <c r="AW30" s="27" t="s">
        <v>41</v>
      </c>
      <c r="AX30" s="27" t="s">
        <v>41</v>
      </c>
      <c r="AY30" s="28" t="s">
        <v>41</v>
      </c>
      <c r="AZ30" s="28"/>
      <c r="BA30" s="28"/>
      <c r="BB30" s="26" t="s">
        <v>41</v>
      </c>
      <c r="BC30" s="27"/>
      <c r="BD30" s="93"/>
      <c r="BE30" s="28" t="s">
        <v>896</v>
      </c>
      <c r="BF30" s="93"/>
    </row>
    <row r="31" spans="1:58" ht="20.25" customHeight="1">
      <c r="A31" s="27">
        <v>30</v>
      </c>
      <c r="B31" s="254" t="str">
        <f ca="1"/>
        <v>2025211210</v>
      </c>
      <c r="C31" s="137" t="str">
        <f ca="1"/>
        <v>Indusind General Insurance Co Ltd</v>
      </c>
      <c r="D31" s="27" t="str">
        <f ca="1"/>
        <v>MACT</v>
      </c>
      <c r="E31" s="27" t="str">
        <f ca="1"/>
        <v>R001-1030-SS-2025</v>
      </c>
      <c r="F31" s="206">
        <f ca="1"/>
        <v>45938</v>
      </c>
      <c r="G31" s="27" t="str">
        <f ca="1"/>
        <v>Oct-25</v>
      </c>
      <c r="H31" s="29">
        <v>46009</v>
      </c>
      <c r="I31" s="29" t="str">
        <f t="shared" si="3"/>
        <v>Dec-25</v>
      </c>
      <c r="J31" s="29">
        <f t="shared" ca="1" si="0"/>
        <v>45980</v>
      </c>
      <c r="K31" s="27">
        <f t="shared" ca="1" si="1"/>
        <v>71</v>
      </c>
      <c r="L31" s="27" t="str">
        <f t="shared" ca="1" si="2"/>
        <v>AT</v>
      </c>
      <c r="M31" s="27" t="s">
        <v>704</v>
      </c>
      <c r="N31" s="27" t="s">
        <v>705</v>
      </c>
      <c r="O31" s="27" t="s">
        <v>706</v>
      </c>
      <c r="P31" s="27"/>
      <c r="Q31" s="28" t="s">
        <v>897</v>
      </c>
      <c r="R31" s="93" t="s">
        <v>898</v>
      </c>
      <c r="S31" s="27" t="s">
        <v>736</v>
      </c>
      <c r="T31" s="27" t="s">
        <v>706</v>
      </c>
      <c r="U31" s="28" t="s">
        <v>767</v>
      </c>
      <c r="V31" s="28"/>
      <c r="W31" s="28"/>
      <c r="X31" s="213" t="s">
        <v>41</v>
      </c>
      <c r="Y31" s="174" t="s">
        <v>113</v>
      </c>
      <c r="Z31" s="93" t="s">
        <v>898</v>
      </c>
      <c r="AA31" s="230" t="s">
        <v>736</v>
      </c>
      <c r="AB31" s="27" t="s">
        <v>41</v>
      </c>
      <c r="AC31" s="27" t="s">
        <v>706</v>
      </c>
      <c r="AD31" s="28" t="s">
        <v>41</v>
      </c>
      <c r="AE31" s="28"/>
      <c r="AF31" s="27" t="s">
        <v>41</v>
      </c>
      <c r="AG31" s="27" t="s">
        <v>706</v>
      </c>
      <c r="AH31" s="27" t="s">
        <v>41</v>
      </c>
      <c r="AI31" s="27" t="s">
        <v>41</v>
      </c>
      <c r="AJ31" s="27" t="s">
        <v>41</v>
      </c>
      <c r="AK31" s="27" t="s">
        <v>41</v>
      </c>
      <c r="AL31" s="27" t="s">
        <v>41</v>
      </c>
      <c r="AM31" s="27" t="s">
        <v>41</v>
      </c>
      <c r="AN31" s="27" t="s">
        <v>41</v>
      </c>
      <c r="AO31" s="27" t="s">
        <v>41</v>
      </c>
      <c r="AP31" s="27" t="s">
        <v>66</v>
      </c>
      <c r="AQ31" s="28" t="s">
        <v>899</v>
      </c>
      <c r="AR31" s="28" t="s">
        <v>736</v>
      </c>
      <c r="AS31" s="27" t="s">
        <v>706</v>
      </c>
      <c r="AT31" s="17" t="s">
        <v>900</v>
      </c>
      <c r="AU31" s="291" t="s">
        <v>901</v>
      </c>
      <c r="AV31" s="17" t="s">
        <v>763</v>
      </c>
      <c r="AW31" s="27" t="s">
        <v>41</v>
      </c>
      <c r="AX31" s="27" t="s">
        <v>706</v>
      </c>
      <c r="AY31" s="28" t="s">
        <v>41</v>
      </c>
      <c r="AZ31" s="28"/>
      <c r="BA31" s="28"/>
      <c r="BB31" s="26" t="s">
        <v>41</v>
      </c>
      <c r="BC31" s="27"/>
      <c r="BD31" s="93"/>
      <c r="BE31" s="28" t="s">
        <v>902</v>
      </c>
    </row>
    <row r="32" spans="1:58" ht="20.25" customHeight="1">
      <c r="A32" s="27">
        <v>31</v>
      </c>
      <c r="B32" s="254" t="str">
        <f ca="1"/>
        <v>2025211101</v>
      </c>
      <c r="C32" s="137" t="str">
        <f ca="1"/>
        <v>Indusind General Insurance Co Ltd</v>
      </c>
      <c r="D32" s="27" t="str">
        <f ca="1"/>
        <v>MACT</v>
      </c>
      <c r="E32" s="27" t="str">
        <f ca="1"/>
        <v>R001-1031-SS-2025</v>
      </c>
      <c r="F32" s="206">
        <f ca="1"/>
        <v>45938</v>
      </c>
      <c r="G32" s="27" t="str">
        <f ca="1"/>
        <v>Oct-25</v>
      </c>
      <c r="H32" s="27" t="s">
        <v>718</v>
      </c>
      <c r="I32" s="29"/>
      <c r="J32" s="29">
        <f t="shared" ca="1" si="0"/>
        <v>45980</v>
      </c>
      <c r="K32" s="27">
        <f t="shared" ca="1" si="1"/>
        <v>89</v>
      </c>
      <c r="L32" s="27" t="str">
        <f t="shared" ca="1" si="2"/>
        <v>AT</v>
      </c>
      <c r="M32" s="27" t="s">
        <v>704</v>
      </c>
      <c r="N32" s="27" t="s">
        <v>720</v>
      </c>
      <c r="O32" s="27" t="s">
        <v>751</v>
      </c>
      <c r="P32" s="27"/>
      <c r="Q32" s="174" t="s">
        <v>903</v>
      </c>
      <c r="R32" s="28" t="s">
        <v>904</v>
      </c>
      <c r="S32" s="230" t="s">
        <v>763</v>
      </c>
      <c r="T32" s="27" t="s">
        <v>706</v>
      </c>
      <c r="U32" s="28" t="s">
        <v>767</v>
      </c>
      <c r="V32" s="28"/>
      <c r="W32" s="28"/>
      <c r="X32" s="213" t="s">
        <v>41</v>
      </c>
      <c r="Y32" s="174" t="s">
        <v>116</v>
      </c>
      <c r="Z32" s="28" t="s">
        <v>905</v>
      </c>
      <c r="AA32" s="230" t="s">
        <v>763</v>
      </c>
      <c r="AB32" s="27" t="s">
        <v>41</v>
      </c>
      <c r="AC32" s="27" t="s">
        <v>706</v>
      </c>
      <c r="AD32" s="28" t="s">
        <v>41</v>
      </c>
      <c r="AE32" s="28"/>
      <c r="AF32" s="27" t="s">
        <v>41</v>
      </c>
      <c r="AG32" s="27" t="s">
        <v>706</v>
      </c>
      <c r="AH32" s="27" t="s">
        <v>41</v>
      </c>
      <c r="AI32" s="27" t="s">
        <v>41</v>
      </c>
      <c r="AJ32" s="27" t="s">
        <v>41</v>
      </c>
      <c r="AK32" s="27" t="s">
        <v>41</v>
      </c>
      <c r="AL32" s="27" t="s">
        <v>41</v>
      </c>
      <c r="AM32" s="27" t="s">
        <v>41</v>
      </c>
      <c r="AN32" s="27" t="s">
        <v>41</v>
      </c>
      <c r="AO32" s="27" t="s">
        <v>41</v>
      </c>
      <c r="AP32" s="27" t="s">
        <v>66</v>
      </c>
      <c r="AQ32" s="93" t="s">
        <v>906</v>
      </c>
      <c r="AR32" s="93" t="s">
        <v>763</v>
      </c>
      <c r="AS32" s="27" t="s">
        <v>706</v>
      </c>
      <c r="AT32" s="17" t="s">
        <v>907</v>
      </c>
      <c r="AU32" s="291" t="s">
        <v>908</v>
      </c>
      <c r="AV32" s="17" t="s">
        <v>763</v>
      </c>
      <c r="AW32" s="27" t="s">
        <v>41</v>
      </c>
      <c r="AX32" s="27" t="s">
        <v>721</v>
      </c>
      <c r="AY32" s="28" t="s">
        <v>41</v>
      </c>
      <c r="AZ32" s="28"/>
      <c r="BA32" s="28"/>
      <c r="BB32" s="26" t="s">
        <v>41</v>
      </c>
      <c r="BC32" s="27"/>
      <c r="BD32" s="93"/>
      <c r="BE32" s="28" t="s">
        <v>909</v>
      </c>
      <c r="BF32" s="93" t="s">
        <v>910</v>
      </c>
    </row>
    <row r="33" spans="1:58" ht="20.25" customHeight="1">
      <c r="A33" s="27">
        <v>32</v>
      </c>
      <c r="B33" s="254" t="str">
        <f ca="1"/>
        <v>CN069407</v>
      </c>
      <c r="C33" s="137" t="str">
        <f ca="1"/>
        <v>Generali Central Insurance Company Limited</v>
      </c>
      <c r="D33" s="27" t="str">
        <f ca="1"/>
        <v>MACT</v>
      </c>
      <c r="E33" s="27" t="str">
        <f ca="1"/>
        <v>F001-1032-SS-2025</v>
      </c>
      <c r="F33" s="206">
        <f ca="1"/>
        <v>45938</v>
      </c>
      <c r="G33" s="27" t="str">
        <f ca="1"/>
        <v>Oct-25</v>
      </c>
      <c r="H33" s="29">
        <v>45986</v>
      </c>
      <c r="I33" s="29" t="str">
        <f t="shared" si="3"/>
        <v>Nov-25</v>
      </c>
      <c r="J33" s="29">
        <f t="shared" ca="1" si="0"/>
        <v>45980</v>
      </c>
      <c r="K33" s="27">
        <f t="shared" ca="1" si="1"/>
        <v>48</v>
      </c>
      <c r="L33" s="27" t="str">
        <f t="shared" ca="1" si="2"/>
        <v>AT</v>
      </c>
      <c r="M33" s="27" t="s">
        <v>704</v>
      </c>
      <c r="N33" s="27" t="s">
        <v>705</v>
      </c>
      <c r="O33" s="27" t="s">
        <v>706</v>
      </c>
      <c r="P33" s="27"/>
      <c r="Q33" s="175" t="s">
        <v>911</v>
      </c>
      <c r="R33" s="120" t="s">
        <v>912</v>
      </c>
      <c r="S33" s="229" t="s">
        <v>913</v>
      </c>
      <c r="T33" s="27" t="s">
        <v>706</v>
      </c>
      <c r="U33" s="28" t="s">
        <v>767</v>
      </c>
      <c r="V33" s="28"/>
      <c r="W33" s="28"/>
      <c r="X33" s="213" t="s">
        <v>41</v>
      </c>
      <c r="Y33" s="28" t="s">
        <v>119</v>
      </c>
      <c r="Z33" s="104" t="s">
        <v>914</v>
      </c>
      <c r="AA33" s="27" t="s">
        <v>915</v>
      </c>
      <c r="AB33" s="27" t="s">
        <v>41</v>
      </c>
      <c r="AC33" s="27" t="s">
        <v>706</v>
      </c>
      <c r="AD33" s="28" t="s">
        <v>41</v>
      </c>
      <c r="AE33" s="28"/>
      <c r="AF33" s="27" t="s">
        <v>41</v>
      </c>
      <c r="AG33" s="27" t="s">
        <v>706</v>
      </c>
      <c r="AH33" s="27" t="s">
        <v>742</v>
      </c>
      <c r="AI33" s="27" t="s">
        <v>706</v>
      </c>
      <c r="AJ33" s="27" t="s">
        <v>742</v>
      </c>
      <c r="AK33" s="27" t="s">
        <v>706</v>
      </c>
      <c r="AL33" s="27" t="s">
        <v>41</v>
      </c>
      <c r="AM33" s="27" t="s">
        <v>41</v>
      </c>
      <c r="AN33" s="27" t="s">
        <v>41</v>
      </c>
      <c r="AO33" s="27" t="s">
        <v>41</v>
      </c>
      <c r="AP33" s="26" t="s">
        <v>66</v>
      </c>
      <c r="AQ33" s="93" t="s">
        <v>916</v>
      </c>
      <c r="AR33" s="93" t="s">
        <v>837</v>
      </c>
      <c r="AS33" s="27" t="s">
        <v>706</v>
      </c>
      <c r="AT33" s="17" t="s">
        <v>917</v>
      </c>
      <c r="AU33" s="17" t="s">
        <v>918</v>
      </c>
      <c r="AV33" s="28" t="s">
        <v>913</v>
      </c>
      <c r="AW33" s="27" t="s">
        <v>41</v>
      </c>
      <c r="AX33" s="27" t="s">
        <v>706</v>
      </c>
      <c r="AY33" s="28" t="s">
        <v>41</v>
      </c>
      <c r="AZ33" s="28"/>
      <c r="BA33" s="28"/>
      <c r="BB33" s="26" t="s">
        <v>706</v>
      </c>
      <c r="BC33" s="29">
        <v>45993</v>
      </c>
      <c r="BD33" s="93" t="s">
        <v>787</v>
      </c>
      <c r="BE33" s="28" t="s">
        <v>919</v>
      </c>
      <c r="BF33" s="28"/>
    </row>
    <row r="34" spans="1:58" ht="20.25" customHeight="1">
      <c r="A34" s="27">
        <v>33</v>
      </c>
      <c r="B34" s="254" t="str">
        <f ca="1"/>
        <v>2025211134</v>
      </c>
      <c r="C34" s="137" t="str">
        <f ca="1"/>
        <v>Indusind General Insurance Co Ltd</v>
      </c>
      <c r="D34" s="27" t="str">
        <f ca="1"/>
        <v>MACT</v>
      </c>
      <c r="E34" s="27" t="str">
        <f ca="1"/>
        <v>R001-1033-SS-2025</v>
      </c>
      <c r="F34" s="206">
        <f ca="1"/>
        <v>45940</v>
      </c>
      <c r="G34" s="27" t="str">
        <f ca="1"/>
        <v>Oct-25</v>
      </c>
      <c r="H34" s="27" t="s">
        <v>718</v>
      </c>
      <c r="I34" s="29"/>
      <c r="J34" s="29">
        <f t="shared" ca="1" si="0"/>
        <v>45982</v>
      </c>
      <c r="K34" s="27">
        <f t="shared" ca="1" si="1"/>
        <v>87</v>
      </c>
      <c r="L34" s="27" t="str">
        <f t="shared" ca="1" si="2"/>
        <v>AT</v>
      </c>
      <c r="M34" s="27" t="s">
        <v>704</v>
      </c>
      <c r="N34" s="27" t="s">
        <v>720</v>
      </c>
      <c r="O34" s="27" t="s">
        <v>721</v>
      </c>
      <c r="P34" s="27"/>
      <c r="Q34" s="175" t="s">
        <v>920</v>
      </c>
      <c r="R34" s="93" t="s">
        <v>921</v>
      </c>
      <c r="S34" s="229" t="s">
        <v>922</v>
      </c>
      <c r="T34" s="27" t="s">
        <v>706</v>
      </c>
      <c r="U34" s="28" t="s">
        <v>767</v>
      </c>
      <c r="V34" s="28"/>
      <c r="W34" s="28"/>
      <c r="X34" s="213" t="s">
        <v>41</v>
      </c>
      <c r="Y34" s="174" t="s">
        <v>122</v>
      </c>
      <c r="Z34" s="28" t="s">
        <v>923</v>
      </c>
      <c r="AA34" s="230" t="s">
        <v>924</v>
      </c>
      <c r="AB34" s="27" t="s">
        <v>41</v>
      </c>
      <c r="AC34" s="27" t="s">
        <v>706</v>
      </c>
      <c r="AD34" s="28" t="s">
        <v>41</v>
      </c>
      <c r="AE34" s="28"/>
      <c r="AF34" s="27" t="s">
        <v>41</v>
      </c>
      <c r="AG34" s="27" t="s">
        <v>721</v>
      </c>
      <c r="AH34" s="27" t="s">
        <v>41</v>
      </c>
      <c r="AI34" s="27" t="s">
        <v>41</v>
      </c>
      <c r="AJ34" s="27" t="s">
        <v>41</v>
      </c>
      <c r="AK34" s="27" t="s">
        <v>41</v>
      </c>
      <c r="AL34" s="27" t="s">
        <v>41</v>
      </c>
      <c r="AM34" s="27" t="s">
        <v>41</v>
      </c>
      <c r="AN34" s="27" t="s">
        <v>41</v>
      </c>
      <c r="AO34" s="27" t="s">
        <v>41</v>
      </c>
      <c r="AP34" s="27" t="s">
        <v>66</v>
      </c>
      <c r="AQ34" s="93" t="s">
        <v>925</v>
      </c>
      <c r="AR34" s="93" t="s">
        <v>926</v>
      </c>
      <c r="AS34" s="27" t="s">
        <v>706</v>
      </c>
      <c r="AT34" s="292" t="s">
        <v>927</v>
      </c>
      <c r="AU34" s="291" t="s">
        <v>928</v>
      </c>
      <c r="AV34" s="17" t="s">
        <v>926</v>
      </c>
      <c r="AW34" s="27" t="s">
        <v>41</v>
      </c>
      <c r="AX34" s="27" t="s">
        <v>706</v>
      </c>
      <c r="AY34" s="28" t="s">
        <v>41</v>
      </c>
      <c r="AZ34" s="28"/>
      <c r="BA34" s="28"/>
      <c r="BB34" s="26" t="s">
        <v>41</v>
      </c>
      <c r="BC34" s="27"/>
      <c r="BD34" s="93"/>
      <c r="BE34" s="28" t="s">
        <v>929</v>
      </c>
      <c r="BF34" s="28"/>
    </row>
    <row r="35" spans="1:58" ht="20.25" customHeight="1">
      <c r="A35" s="27">
        <v>34</v>
      </c>
      <c r="B35" s="254" t="str">
        <f ca="1"/>
        <v>2025207292</v>
      </c>
      <c r="C35" s="137" t="str">
        <f ca="1"/>
        <v>Indusind General Insurance Co Ltd</v>
      </c>
      <c r="D35" s="27" t="str">
        <f ca="1"/>
        <v>MACT</v>
      </c>
      <c r="E35" s="27" t="str">
        <f ca="1"/>
        <v>R001-1034-SS-2025</v>
      </c>
      <c r="F35" s="206">
        <f ca="1"/>
        <v>45940</v>
      </c>
      <c r="G35" s="27" t="str">
        <f ca="1"/>
        <v>Oct-25</v>
      </c>
      <c r="H35" s="27" t="s">
        <v>718</v>
      </c>
      <c r="I35" s="29"/>
      <c r="J35" s="29">
        <f t="shared" ca="1" si="0"/>
        <v>45961</v>
      </c>
      <c r="K35" s="27">
        <f t="shared" ca="1" si="1"/>
        <v>87</v>
      </c>
      <c r="L35" s="27" t="str">
        <f t="shared" ca="1" si="2"/>
        <v>AT</v>
      </c>
      <c r="M35" s="27" t="s">
        <v>750</v>
      </c>
      <c r="N35" s="27" t="s">
        <v>720</v>
      </c>
      <c r="O35" s="27" t="s">
        <v>751</v>
      </c>
      <c r="P35" s="360" t="s">
        <v>930</v>
      </c>
      <c r="Q35" s="174" t="s">
        <v>931</v>
      </c>
      <c r="R35" s="174" t="s">
        <v>41</v>
      </c>
      <c r="S35" s="230" t="s">
        <v>41</v>
      </c>
      <c r="T35" s="27" t="s">
        <v>41</v>
      </c>
      <c r="U35" s="28" t="s">
        <v>767</v>
      </c>
      <c r="V35" s="28"/>
      <c r="W35" s="28"/>
      <c r="X35" s="213" t="s">
        <v>41</v>
      </c>
      <c r="Y35" s="28" t="s">
        <v>41</v>
      </c>
      <c r="Z35" s="28" t="s">
        <v>41</v>
      </c>
      <c r="AA35" s="27" t="s">
        <v>41</v>
      </c>
      <c r="AB35" s="27" t="s">
        <v>41</v>
      </c>
      <c r="AC35" s="27" t="s">
        <v>41</v>
      </c>
      <c r="AD35" s="28" t="s">
        <v>41</v>
      </c>
      <c r="AE35" s="28"/>
      <c r="AF35" s="27" t="s">
        <v>41</v>
      </c>
      <c r="AG35" s="27" t="s">
        <v>41</v>
      </c>
      <c r="AH35" s="27" t="s">
        <v>41</v>
      </c>
      <c r="AI35" s="27" t="s">
        <v>41</v>
      </c>
      <c r="AJ35" s="27" t="s">
        <v>41</v>
      </c>
      <c r="AK35" s="27" t="s">
        <v>41</v>
      </c>
      <c r="AL35" s="27" t="s">
        <v>41</v>
      </c>
      <c r="AM35" s="27" t="s">
        <v>41</v>
      </c>
      <c r="AN35" s="27" t="s">
        <v>41</v>
      </c>
      <c r="AO35" s="27" t="s">
        <v>41</v>
      </c>
      <c r="AP35" s="27" t="s">
        <v>66</v>
      </c>
      <c r="AQ35" s="175" t="s">
        <v>932</v>
      </c>
      <c r="AR35" s="175" t="s">
        <v>763</v>
      </c>
      <c r="AS35" s="27" t="s">
        <v>41</v>
      </c>
      <c r="AT35" s="17" t="s">
        <v>933</v>
      </c>
      <c r="AU35" s="291" t="s">
        <v>934</v>
      </c>
      <c r="AV35" s="28" t="s">
        <v>763</v>
      </c>
      <c r="AW35" s="27" t="s">
        <v>41</v>
      </c>
      <c r="AX35" s="27" t="s">
        <v>721</v>
      </c>
      <c r="AY35" s="28" t="s">
        <v>41</v>
      </c>
      <c r="AZ35" s="28"/>
      <c r="BA35" s="28"/>
      <c r="BB35" s="26" t="s">
        <v>41</v>
      </c>
      <c r="BC35" s="27"/>
      <c r="BD35" s="93"/>
      <c r="BE35" s="28" t="s">
        <v>935</v>
      </c>
      <c r="BF35" s="28"/>
    </row>
    <row r="36" spans="1:58" ht="20.25" customHeight="1">
      <c r="A36" s="27">
        <v>35</v>
      </c>
      <c r="B36" s="254" t="str">
        <f ca="1"/>
        <v>2025211462</v>
      </c>
      <c r="C36" s="137" t="str">
        <f ca="1"/>
        <v>Indusind General Insurance Co Ltd</v>
      </c>
      <c r="D36" s="27" t="str">
        <f ca="1"/>
        <v>MACT</v>
      </c>
      <c r="E36" s="27" t="str">
        <f ca="1"/>
        <v>R001-1035-SS-2025</v>
      </c>
      <c r="F36" s="206">
        <f ca="1"/>
        <v>45944</v>
      </c>
      <c r="G36" s="27" t="str">
        <f ca="1"/>
        <v>Oct-25</v>
      </c>
      <c r="H36" s="27" t="s">
        <v>718</v>
      </c>
      <c r="I36" s="29"/>
      <c r="J36" s="29">
        <f t="shared" ca="1" si="0"/>
        <v>45986</v>
      </c>
      <c r="K36" s="27">
        <f t="shared" ca="1" si="1"/>
        <v>83</v>
      </c>
      <c r="L36" s="27" t="str">
        <f t="shared" ca="1" si="2"/>
        <v>AT</v>
      </c>
      <c r="M36" s="27" t="s">
        <v>704</v>
      </c>
      <c r="N36" s="27" t="s">
        <v>857</v>
      </c>
      <c r="O36" s="27" t="s">
        <v>857</v>
      </c>
      <c r="P36" s="27"/>
      <c r="Q36" s="17" t="s">
        <v>936</v>
      </c>
      <c r="R36" s="93" t="s">
        <v>937</v>
      </c>
      <c r="S36" s="205" t="s">
        <v>845</v>
      </c>
      <c r="T36" s="27" t="s">
        <v>706</v>
      </c>
      <c r="U36" s="28" t="s">
        <v>767</v>
      </c>
      <c r="V36" s="28"/>
      <c r="W36" s="28"/>
      <c r="X36" s="213" t="s">
        <v>41</v>
      </c>
      <c r="Y36" s="17" t="s">
        <v>127</v>
      </c>
      <c r="Z36" s="104" t="s">
        <v>938</v>
      </c>
      <c r="AA36" s="205" t="s">
        <v>939</v>
      </c>
      <c r="AB36" s="27" t="s">
        <v>41</v>
      </c>
      <c r="AC36" s="27" t="s">
        <v>706</v>
      </c>
      <c r="AD36" s="291" t="s">
        <v>940</v>
      </c>
      <c r="AE36" s="291"/>
      <c r="AF36" s="17" t="s">
        <v>847</v>
      </c>
      <c r="AG36" s="27" t="s">
        <v>41</v>
      </c>
      <c r="AH36" s="27" t="s">
        <v>41</v>
      </c>
      <c r="AI36" s="27" t="s">
        <v>41</v>
      </c>
      <c r="AJ36" s="27" t="s">
        <v>41</v>
      </c>
      <c r="AK36" s="27" t="s">
        <v>41</v>
      </c>
      <c r="AL36" s="27" t="s">
        <v>41</v>
      </c>
      <c r="AM36" s="27" t="s">
        <v>41</v>
      </c>
      <c r="AN36" s="27" t="s">
        <v>41</v>
      </c>
      <c r="AO36" s="27" t="s">
        <v>41</v>
      </c>
      <c r="AP36" s="27" t="s">
        <v>66</v>
      </c>
      <c r="AQ36" s="291" t="s">
        <v>941</v>
      </c>
      <c r="AR36" s="291" t="s">
        <v>849</v>
      </c>
      <c r="AS36" s="27" t="s">
        <v>706</v>
      </c>
      <c r="AT36" s="17" t="s">
        <v>942</v>
      </c>
      <c r="AU36" s="291" t="s">
        <v>943</v>
      </c>
      <c r="AV36" s="17" t="s">
        <v>849</v>
      </c>
      <c r="AW36" s="27" t="s">
        <v>41</v>
      </c>
      <c r="AX36" s="27" t="s">
        <v>721</v>
      </c>
      <c r="AY36" s="28" t="s">
        <v>41</v>
      </c>
      <c r="AZ36" s="28"/>
      <c r="BA36" s="28"/>
      <c r="BB36" s="26" t="s">
        <v>41</v>
      </c>
      <c r="BC36" s="27"/>
      <c r="BD36" s="93"/>
      <c r="BE36" s="28" t="s">
        <v>944</v>
      </c>
      <c r="BF36" s="28"/>
    </row>
    <row r="37" spans="1:58" ht="20.25" customHeight="1">
      <c r="A37" s="27">
        <v>36</v>
      </c>
      <c r="B37" s="254" t="str">
        <f ca="1"/>
        <v>2025211458</v>
      </c>
      <c r="C37" s="137" t="str">
        <f ca="1"/>
        <v>Indusind General Insurance Co Ltd</v>
      </c>
      <c r="D37" s="27" t="str">
        <f ca="1"/>
        <v>MACT</v>
      </c>
      <c r="E37" s="27" t="str">
        <f ca="1"/>
        <v>R001-1036-SS-2025</v>
      </c>
      <c r="F37" s="206">
        <f ca="1"/>
        <v>45944</v>
      </c>
      <c r="G37" s="103" t="str">
        <f ca="1"/>
        <v>Oct-25</v>
      </c>
      <c r="H37" s="27" t="s">
        <v>718</v>
      </c>
      <c r="I37" s="29"/>
      <c r="J37" s="29">
        <f t="shared" ca="1" si="0"/>
        <v>45986</v>
      </c>
      <c r="K37" s="27">
        <f t="shared" ca="1" si="1"/>
        <v>83</v>
      </c>
      <c r="L37" s="27" t="str">
        <f t="shared" ca="1" si="2"/>
        <v>AT</v>
      </c>
      <c r="M37" s="27" t="s">
        <v>704</v>
      </c>
      <c r="N37" s="27" t="s">
        <v>720</v>
      </c>
      <c r="O37" s="27" t="s">
        <v>751</v>
      </c>
      <c r="P37" s="27"/>
      <c r="Q37" s="17" t="s">
        <v>945</v>
      </c>
      <c r="R37" s="28" t="s">
        <v>946</v>
      </c>
      <c r="S37" s="205" t="s">
        <v>845</v>
      </c>
      <c r="T37" s="27" t="s">
        <v>706</v>
      </c>
      <c r="U37" s="28" t="s">
        <v>767</v>
      </c>
      <c r="V37" s="28"/>
      <c r="W37" s="28"/>
      <c r="X37" s="213" t="s">
        <v>41</v>
      </c>
      <c r="Y37" s="17" t="s">
        <v>130</v>
      </c>
      <c r="Z37" s="28" t="s">
        <v>947</v>
      </c>
      <c r="AA37" s="205" t="s">
        <v>873</v>
      </c>
      <c r="AB37" s="27" t="s">
        <v>41</v>
      </c>
      <c r="AC37" s="27" t="s">
        <v>706</v>
      </c>
      <c r="AD37" s="291" t="s">
        <v>41</v>
      </c>
      <c r="AE37" s="291"/>
      <c r="AF37" s="17" t="s">
        <v>948</v>
      </c>
      <c r="AG37" s="27" t="s">
        <v>706</v>
      </c>
      <c r="AH37" s="27" t="s">
        <v>41</v>
      </c>
      <c r="AI37" s="27" t="s">
        <v>41</v>
      </c>
      <c r="AJ37" s="27" t="s">
        <v>41</v>
      </c>
      <c r="AK37" s="27" t="s">
        <v>41</v>
      </c>
      <c r="AL37" s="27" t="s">
        <v>41</v>
      </c>
      <c r="AM37" s="27" t="s">
        <v>41</v>
      </c>
      <c r="AN37" s="27" t="s">
        <v>41</v>
      </c>
      <c r="AO37" s="27" t="s">
        <v>41</v>
      </c>
      <c r="AP37" s="27" t="s">
        <v>66</v>
      </c>
      <c r="AQ37" s="291" t="s">
        <v>949</v>
      </c>
      <c r="AR37" s="291" t="s">
        <v>849</v>
      </c>
      <c r="AS37" s="27" t="s">
        <v>706</v>
      </c>
      <c r="AT37" s="17" t="s">
        <v>950</v>
      </c>
      <c r="AU37" s="291" t="s">
        <v>951</v>
      </c>
      <c r="AV37" s="17" t="s">
        <v>849</v>
      </c>
      <c r="AW37" s="27" t="s">
        <v>41</v>
      </c>
      <c r="AX37" s="27" t="s">
        <v>721</v>
      </c>
      <c r="AY37" s="28" t="s">
        <v>41</v>
      </c>
      <c r="AZ37" s="28"/>
      <c r="BA37" s="28"/>
      <c r="BB37" s="26" t="s">
        <v>41</v>
      </c>
      <c r="BC37" s="27"/>
      <c r="BD37" s="93"/>
      <c r="BE37" s="28" t="s">
        <v>952</v>
      </c>
      <c r="BF37" s="28"/>
    </row>
    <row r="38" spans="1:58" ht="20.25" customHeight="1">
      <c r="A38" s="27">
        <v>37</v>
      </c>
      <c r="B38" s="254" t="str">
        <f ca="1"/>
        <v>2025211454</v>
      </c>
      <c r="C38" s="137" t="str">
        <f ca="1"/>
        <v>Indusind General Insurance Co Ltd</v>
      </c>
      <c r="D38" s="27" t="str">
        <f ca="1"/>
        <v>MACT</v>
      </c>
      <c r="E38" s="27" t="str">
        <f ca="1"/>
        <v>R001-1037-SS-2025</v>
      </c>
      <c r="F38" s="206">
        <f ca="1"/>
        <v>45944</v>
      </c>
      <c r="G38" s="103" t="str">
        <f ca="1"/>
        <v>Oct-25</v>
      </c>
      <c r="H38" s="27" t="s">
        <v>718</v>
      </c>
      <c r="I38" s="29"/>
      <c r="J38" s="29">
        <f t="shared" ca="1" si="0"/>
        <v>45986</v>
      </c>
      <c r="K38" s="27">
        <f t="shared" ca="1" si="1"/>
        <v>83</v>
      </c>
      <c r="L38" s="27" t="str">
        <f t="shared" ca="1" si="2"/>
        <v>AT</v>
      </c>
      <c r="M38" s="27" t="s">
        <v>704</v>
      </c>
      <c r="N38" s="27" t="s">
        <v>720</v>
      </c>
      <c r="O38" s="27" t="s">
        <v>721</v>
      </c>
      <c r="P38" s="27"/>
      <c r="Q38" s="17" t="s">
        <v>953</v>
      </c>
      <c r="R38" s="28" t="s">
        <v>954</v>
      </c>
      <c r="S38" s="205" t="s">
        <v>845</v>
      </c>
      <c r="T38" s="27" t="s">
        <v>706</v>
      </c>
      <c r="U38" s="28" t="s">
        <v>767</v>
      </c>
      <c r="V38" s="28"/>
      <c r="W38" s="28"/>
      <c r="X38" s="213" t="s">
        <v>41</v>
      </c>
      <c r="Y38" s="17" t="s">
        <v>133</v>
      </c>
      <c r="Z38" s="28" t="s">
        <v>955</v>
      </c>
      <c r="AA38" s="205" t="s">
        <v>845</v>
      </c>
      <c r="AB38" s="27" t="s">
        <v>41</v>
      </c>
      <c r="AC38" s="26" t="s">
        <v>706</v>
      </c>
      <c r="AD38" s="291" t="s">
        <v>956</v>
      </c>
      <c r="AE38" s="291"/>
      <c r="AF38" s="17" t="s">
        <v>847</v>
      </c>
      <c r="AG38" s="27" t="s">
        <v>721</v>
      </c>
      <c r="AH38" s="27" t="s">
        <v>41</v>
      </c>
      <c r="AI38" s="27" t="s">
        <v>41</v>
      </c>
      <c r="AJ38" s="27" t="s">
        <v>41</v>
      </c>
      <c r="AK38" s="27" t="s">
        <v>41</v>
      </c>
      <c r="AL38" s="27" t="s">
        <v>41</v>
      </c>
      <c r="AM38" s="27" t="s">
        <v>41</v>
      </c>
      <c r="AN38" s="27" t="s">
        <v>41</v>
      </c>
      <c r="AO38" s="27" t="s">
        <v>41</v>
      </c>
      <c r="AP38" s="27" t="s">
        <v>66</v>
      </c>
      <c r="AQ38" s="291" t="s">
        <v>957</v>
      </c>
      <c r="AR38" s="291" t="s">
        <v>849</v>
      </c>
      <c r="AS38" s="27" t="s">
        <v>706</v>
      </c>
      <c r="AT38" s="17" t="s">
        <v>958</v>
      </c>
      <c r="AU38" s="291" t="s">
        <v>959</v>
      </c>
      <c r="AV38" s="17" t="s">
        <v>849</v>
      </c>
      <c r="AW38" s="27" t="s">
        <v>41</v>
      </c>
      <c r="AX38" s="27" t="s">
        <v>721</v>
      </c>
      <c r="AY38" s="28" t="s">
        <v>41</v>
      </c>
      <c r="AZ38" s="28"/>
      <c r="BA38" s="28"/>
      <c r="BB38" s="26" t="s">
        <v>41</v>
      </c>
      <c r="BC38" s="27"/>
      <c r="BD38" s="93"/>
      <c r="BE38" s="28" t="s">
        <v>944</v>
      </c>
      <c r="BF38" s="28"/>
    </row>
    <row r="39" spans="1:58" s="121" customFormat="1" ht="20.25" customHeight="1">
      <c r="A39" s="27">
        <v>38</v>
      </c>
      <c r="B39" s="254" t="str">
        <f ca="1"/>
        <v>2025211475</v>
      </c>
      <c r="C39" s="323" t="str">
        <f ca="1"/>
        <v>Indusind General Insurance Co Ltd</v>
      </c>
      <c r="D39" s="116" t="str">
        <f ca="1"/>
        <v>MACT</v>
      </c>
      <c r="E39" s="116" t="str">
        <f ca="1"/>
        <v>R001-1038-SS-2025</v>
      </c>
      <c r="F39" s="207">
        <f ca="1"/>
        <v>45946</v>
      </c>
      <c r="G39" s="116" t="str">
        <f ca="1"/>
        <v>Oct-25</v>
      </c>
      <c r="H39" s="27" t="s">
        <v>718</v>
      </c>
      <c r="I39" s="29"/>
      <c r="J39" s="29">
        <f t="shared" ca="1" si="0"/>
        <v>45988</v>
      </c>
      <c r="K39" s="27">
        <f t="shared" ca="1" si="1"/>
        <v>81</v>
      </c>
      <c r="L39" s="27" t="str">
        <f t="shared" ca="1" si="2"/>
        <v>AT</v>
      </c>
      <c r="M39" s="116" t="s">
        <v>704</v>
      </c>
      <c r="N39" s="27" t="s">
        <v>720</v>
      </c>
      <c r="O39" s="116" t="s">
        <v>721</v>
      </c>
      <c r="P39" s="116"/>
      <c r="Q39" s="117" t="s">
        <v>960</v>
      </c>
      <c r="R39" s="28" t="s">
        <v>961</v>
      </c>
      <c r="S39" s="116" t="s">
        <v>791</v>
      </c>
      <c r="T39" s="116" t="s">
        <v>706</v>
      </c>
      <c r="U39" s="117" t="s">
        <v>767</v>
      </c>
      <c r="V39" s="117"/>
      <c r="W39" s="117"/>
      <c r="X39" s="213" t="s">
        <v>41</v>
      </c>
      <c r="Y39" s="117" t="s">
        <v>137</v>
      </c>
      <c r="Z39" s="104" t="s">
        <v>962</v>
      </c>
      <c r="AA39" s="116" t="s">
        <v>963</v>
      </c>
      <c r="AB39" s="116" t="s">
        <v>41</v>
      </c>
      <c r="AC39" s="116" t="s">
        <v>706</v>
      </c>
      <c r="AD39" s="117" t="s">
        <v>66</v>
      </c>
      <c r="AE39" s="117"/>
      <c r="AF39" s="116" t="s">
        <v>41</v>
      </c>
      <c r="AG39" s="116" t="s">
        <v>721</v>
      </c>
      <c r="AH39" s="116" t="s">
        <v>41</v>
      </c>
      <c r="AI39" s="116" t="s">
        <v>41</v>
      </c>
      <c r="AJ39" s="116" t="s">
        <v>41</v>
      </c>
      <c r="AK39" s="116" t="s">
        <v>41</v>
      </c>
      <c r="AL39" s="116" t="s">
        <v>41</v>
      </c>
      <c r="AM39" s="116" t="s">
        <v>41</v>
      </c>
      <c r="AN39" s="116" t="s">
        <v>41</v>
      </c>
      <c r="AO39" s="116" t="s">
        <v>41</v>
      </c>
      <c r="AP39" s="116" t="s">
        <v>66</v>
      </c>
      <c r="AQ39" s="117" t="s">
        <v>964</v>
      </c>
      <c r="AR39" s="117" t="s">
        <v>791</v>
      </c>
      <c r="AS39" s="116" t="s">
        <v>721</v>
      </c>
      <c r="AT39" s="176" t="s">
        <v>965</v>
      </c>
      <c r="AU39" s="117" t="s">
        <v>966</v>
      </c>
      <c r="AV39" s="117" t="s">
        <v>791</v>
      </c>
      <c r="AW39" s="116" t="s">
        <v>41</v>
      </c>
      <c r="AX39" s="116" t="s">
        <v>721</v>
      </c>
      <c r="AY39" s="117" t="s">
        <v>41</v>
      </c>
      <c r="AZ39" s="117"/>
      <c r="BA39" s="117"/>
      <c r="BB39" s="203" t="s">
        <v>41</v>
      </c>
      <c r="BC39" s="116"/>
      <c r="BD39" s="120"/>
      <c r="BE39" s="117" t="s">
        <v>967</v>
      </c>
      <c r="BF39" s="117"/>
    </row>
    <row r="40" spans="1:58" ht="20.25" customHeight="1">
      <c r="A40" s="27">
        <v>39</v>
      </c>
      <c r="B40" s="254" t="str">
        <f ca="1"/>
        <v>2025211478</v>
      </c>
      <c r="C40" s="137" t="str">
        <f ca="1"/>
        <v>Indusind General Insurance Co Ltd</v>
      </c>
      <c r="D40" s="27" t="str">
        <f ca="1"/>
        <v>MACT</v>
      </c>
      <c r="E40" s="27" t="str">
        <f ca="1"/>
        <v>R001-1039-SS-2025</v>
      </c>
      <c r="F40" s="206">
        <f ca="1"/>
        <v>45946</v>
      </c>
      <c r="G40" s="27" t="str">
        <f ca="1"/>
        <v>Oct-25</v>
      </c>
      <c r="H40" s="27" t="s">
        <v>718</v>
      </c>
      <c r="I40" s="29"/>
      <c r="J40" s="29">
        <f t="shared" ca="1" si="0"/>
        <v>45988</v>
      </c>
      <c r="K40" s="27">
        <f t="shared" ca="1" si="1"/>
        <v>81</v>
      </c>
      <c r="L40" s="27" t="str">
        <f t="shared" ca="1" si="2"/>
        <v>AT</v>
      </c>
      <c r="M40" s="27" t="s">
        <v>704</v>
      </c>
      <c r="N40" s="27"/>
      <c r="O40" s="27" t="s">
        <v>751</v>
      </c>
      <c r="P40" s="27"/>
      <c r="Q40" s="28" t="s">
        <v>968</v>
      </c>
      <c r="R40" s="93" t="s">
        <v>969</v>
      </c>
      <c r="S40" s="27" t="s">
        <v>763</v>
      </c>
      <c r="T40" s="27" t="s">
        <v>706</v>
      </c>
      <c r="U40" s="28" t="s">
        <v>767</v>
      </c>
      <c r="V40" s="28"/>
      <c r="W40" s="28"/>
      <c r="X40" s="213" t="s">
        <v>41</v>
      </c>
      <c r="Y40" s="28" t="s">
        <v>140</v>
      </c>
      <c r="Z40" s="93" t="s">
        <v>970</v>
      </c>
      <c r="AA40" s="27" t="s">
        <v>763</v>
      </c>
      <c r="AB40" s="27" t="s">
        <v>41</v>
      </c>
      <c r="AC40" s="27" t="s">
        <v>706</v>
      </c>
      <c r="AD40" s="28" t="s">
        <v>66</v>
      </c>
      <c r="AE40" s="28"/>
      <c r="AF40" s="27" t="s">
        <v>41</v>
      </c>
      <c r="AG40" s="27" t="s">
        <v>706</v>
      </c>
      <c r="AH40" s="27" t="s">
        <v>41</v>
      </c>
      <c r="AI40" s="27" t="s">
        <v>41</v>
      </c>
      <c r="AJ40" s="27" t="s">
        <v>41</v>
      </c>
      <c r="AK40" s="27" t="s">
        <v>41</v>
      </c>
      <c r="AL40" s="27" t="s">
        <v>41</v>
      </c>
      <c r="AM40" s="27" t="s">
        <v>41</v>
      </c>
      <c r="AN40" s="27" t="s">
        <v>41</v>
      </c>
      <c r="AO40" s="27" t="s">
        <v>41</v>
      </c>
      <c r="AP40" s="27" t="s">
        <v>66</v>
      </c>
      <c r="AQ40" s="28" t="s">
        <v>971</v>
      </c>
      <c r="AR40" s="28" t="s">
        <v>763</v>
      </c>
      <c r="AS40" s="27" t="s">
        <v>706</v>
      </c>
      <c r="AT40" s="177" t="s">
        <v>972</v>
      </c>
      <c r="AU40" s="28" t="s">
        <v>973</v>
      </c>
      <c r="AV40" s="28" t="s">
        <v>763</v>
      </c>
      <c r="AW40" s="27" t="s">
        <v>41</v>
      </c>
      <c r="AX40" s="27" t="s">
        <v>721</v>
      </c>
      <c r="AY40" s="28" t="s">
        <v>41</v>
      </c>
      <c r="AZ40" s="28"/>
      <c r="BA40" s="28"/>
      <c r="BB40" s="26" t="s">
        <v>41</v>
      </c>
      <c r="BC40" s="27"/>
      <c r="BD40" s="93"/>
      <c r="BE40" s="28" t="s">
        <v>974</v>
      </c>
      <c r="BF40" s="93" t="s">
        <v>910</v>
      </c>
    </row>
    <row r="41" spans="1:58" ht="20.25" customHeight="1">
      <c r="A41" s="27">
        <v>40</v>
      </c>
      <c r="B41" s="254" t="str">
        <f ca="1"/>
        <v>2025210709</v>
      </c>
      <c r="C41" s="137" t="str">
        <f ca="1"/>
        <v>Indusind General Insurance Co Ltd</v>
      </c>
      <c r="D41" s="27" t="str">
        <f ca="1"/>
        <v>MACT</v>
      </c>
      <c r="E41" s="27" t="str">
        <f ca="1"/>
        <v>R001-1040-SS-2025</v>
      </c>
      <c r="F41" s="206">
        <f ca="1"/>
        <v>45946</v>
      </c>
      <c r="G41" s="27" t="str">
        <f ca="1"/>
        <v>Oct-25</v>
      </c>
      <c r="H41" s="29">
        <v>46011</v>
      </c>
      <c r="I41" s="29" t="str">
        <f t="shared" si="3"/>
        <v>Dec-25</v>
      </c>
      <c r="J41" s="29">
        <f t="shared" ca="1" si="0"/>
        <v>45988</v>
      </c>
      <c r="K41" s="27">
        <f t="shared" ca="1" si="1"/>
        <v>65</v>
      </c>
      <c r="L41" s="27" t="str">
        <f t="shared" ca="1" si="2"/>
        <v>AT</v>
      </c>
      <c r="M41" s="27" t="s">
        <v>704</v>
      </c>
      <c r="N41" s="27" t="s">
        <v>705</v>
      </c>
      <c r="O41" s="27" t="s">
        <v>706</v>
      </c>
      <c r="P41" s="27"/>
      <c r="Q41" s="28" t="s">
        <v>975</v>
      </c>
      <c r="R41" s="28" t="s">
        <v>976</v>
      </c>
      <c r="S41" s="27" t="s">
        <v>845</v>
      </c>
      <c r="T41" s="27" t="s">
        <v>706</v>
      </c>
      <c r="U41" s="28" t="s">
        <v>767</v>
      </c>
      <c r="V41" s="28"/>
      <c r="W41" s="28"/>
      <c r="X41" s="213" t="s">
        <v>41</v>
      </c>
      <c r="Y41" s="28" t="s">
        <v>143</v>
      </c>
      <c r="Z41" s="28" t="s">
        <v>977</v>
      </c>
      <c r="AA41" s="27" t="s">
        <v>845</v>
      </c>
      <c r="AB41" s="27" t="s">
        <v>41</v>
      </c>
      <c r="AC41" s="27" t="s">
        <v>706</v>
      </c>
      <c r="AD41" s="28" t="s">
        <v>66</v>
      </c>
      <c r="AE41" s="28"/>
      <c r="AF41" s="27" t="s">
        <v>41</v>
      </c>
      <c r="AG41" s="27" t="s">
        <v>721</v>
      </c>
      <c r="AH41" s="27" t="s">
        <v>41</v>
      </c>
      <c r="AI41" s="27" t="s">
        <v>41</v>
      </c>
      <c r="AJ41" s="27" t="s">
        <v>41</v>
      </c>
      <c r="AK41" s="27" t="s">
        <v>41</v>
      </c>
      <c r="AL41" s="27" t="s">
        <v>41</v>
      </c>
      <c r="AM41" s="27" t="s">
        <v>41</v>
      </c>
      <c r="AN41" s="27" t="s">
        <v>41</v>
      </c>
      <c r="AO41" s="27" t="s">
        <v>41</v>
      </c>
      <c r="AP41" s="27" t="s">
        <v>66</v>
      </c>
      <c r="AQ41" s="93" t="s">
        <v>978</v>
      </c>
      <c r="AR41" s="28" t="s">
        <v>849</v>
      </c>
      <c r="AS41" s="27" t="s">
        <v>706</v>
      </c>
      <c r="AT41" s="177" t="s">
        <v>979</v>
      </c>
      <c r="AU41" s="28" t="s">
        <v>980</v>
      </c>
      <c r="AV41" s="28" t="s">
        <v>849</v>
      </c>
      <c r="AW41" s="27" t="s">
        <v>41</v>
      </c>
      <c r="AX41" s="27" t="s">
        <v>721</v>
      </c>
      <c r="AY41" s="28" t="s">
        <v>41</v>
      </c>
      <c r="AZ41" s="28"/>
      <c r="BA41" s="28"/>
      <c r="BB41" s="26" t="s">
        <v>41</v>
      </c>
      <c r="BC41" s="27"/>
      <c r="BD41" s="93"/>
      <c r="BE41" s="28" t="s">
        <v>981</v>
      </c>
      <c r="BF41" s="28"/>
    </row>
    <row r="42" spans="1:58" ht="20.25" customHeight="1">
      <c r="A42" s="27">
        <v>41</v>
      </c>
      <c r="B42" s="254" t="str">
        <f ca="1"/>
        <v>CN066141</v>
      </c>
      <c r="C42" s="137" t="str">
        <f ca="1"/>
        <v>Generali Central Insurance Company Limited</v>
      </c>
      <c r="D42" s="27" t="str">
        <f ca="1"/>
        <v>MACT</v>
      </c>
      <c r="E42" s="27" t="str">
        <f ca="1"/>
        <v>F001-1041-SS-2025</v>
      </c>
      <c r="F42" s="206">
        <f ca="1"/>
        <v>45957</v>
      </c>
      <c r="G42" s="27" t="str">
        <f ca="1"/>
        <v>Oct-25</v>
      </c>
      <c r="H42" s="29">
        <v>46007</v>
      </c>
      <c r="I42" s="29" t="str">
        <f t="shared" si="3"/>
        <v>Dec-25</v>
      </c>
      <c r="J42" s="29">
        <f t="shared" ca="1" si="0"/>
        <v>45978</v>
      </c>
      <c r="K42" s="27">
        <f t="shared" ca="1" si="1"/>
        <v>50</v>
      </c>
      <c r="L42" s="27" t="str">
        <f t="shared" ca="1" si="2"/>
        <v>AT</v>
      </c>
      <c r="M42" s="27" t="s">
        <v>750</v>
      </c>
      <c r="N42" s="27" t="s">
        <v>705</v>
      </c>
      <c r="O42" s="27" t="s">
        <v>706</v>
      </c>
      <c r="P42" s="26" t="s">
        <v>982</v>
      </c>
      <c r="Q42" s="28" t="s">
        <v>983</v>
      </c>
      <c r="R42" s="28" t="s">
        <v>66</v>
      </c>
      <c r="S42" s="27" t="s">
        <v>41</v>
      </c>
      <c r="T42" s="27" t="s">
        <v>41</v>
      </c>
      <c r="U42" s="28" t="s">
        <v>66</v>
      </c>
      <c r="V42" s="28"/>
      <c r="W42" s="28"/>
      <c r="X42" s="213" t="s">
        <v>41</v>
      </c>
      <c r="Y42" s="174" t="s">
        <v>41</v>
      </c>
      <c r="Z42" s="28" t="s">
        <v>66</v>
      </c>
      <c r="AA42" s="230" t="s">
        <v>41</v>
      </c>
      <c r="AB42" s="27" t="s">
        <v>41</v>
      </c>
      <c r="AC42" s="27" t="s">
        <v>41</v>
      </c>
      <c r="AD42" s="28" t="s">
        <v>66</v>
      </c>
      <c r="AE42" s="28"/>
      <c r="AF42" s="27" t="s">
        <v>66</v>
      </c>
      <c r="AG42" s="27" t="s">
        <v>41</v>
      </c>
      <c r="AH42" s="27" t="s">
        <v>66</v>
      </c>
      <c r="AI42" s="27" t="s">
        <v>41</v>
      </c>
      <c r="AJ42" s="27" t="s">
        <v>66</v>
      </c>
      <c r="AK42" s="27" t="s">
        <v>41</v>
      </c>
      <c r="AL42" s="27" t="s">
        <v>66</v>
      </c>
      <c r="AM42" s="27" t="s">
        <v>66</v>
      </c>
      <c r="AN42" s="27" t="s">
        <v>66</v>
      </c>
      <c r="AO42" s="27" t="s">
        <v>41</v>
      </c>
      <c r="AP42" s="27" t="s">
        <v>66</v>
      </c>
      <c r="AQ42" s="175" t="s">
        <v>984</v>
      </c>
      <c r="AR42" s="175"/>
      <c r="AS42" s="27" t="s">
        <v>41</v>
      </c>
      <c r="AT42" s="177" t="s">
        <v>41</v>
      </c>
      <c r="AU42" s="28" t="s">
        <v>66</v>
      </c>
      <c r="AV42" s="28" t="s">
        <v>66</v>
      </c>
      <c r="AW42" s="27" t="s">
        <v>41</v>
      </c>
      <c r="AX42" s="27" t="s">
        <v>41</v>
      </c>
      <c r="AY42" s="28" t="s">
        <v>985</v>
      </c>
      <c r="AZ42" s="28" t="s">
        <v>986</v>
      </c>
      <c r="BA42" s="28" t="s">
        <v>986</v>
      </c>
      <c r="BB42" s="26" t="s">
        <v>721</v>
      </c>
      <c r="BC42" s="27"/>
      <c r="BD42" s="93"/>
      <c r="BE42" s="28" t="s">
        <v>987</v>
      </c>
      <c r="BF42" s="28" t="s">
        <v>988</v>
      </c>
    </row>
    <row r="43" spans="1:58" ht="20.25" customHeight="1">
      <c r="A43" s="27">
        <v>42</v>
      </c>
      <c r="B43" s="254" t="str">
        <f ca="1"/>
        <v>MTP-N-2526-004127</v>
      </c>
      <c r="C43" s="137" t="str">
        <f ca="1"/>
        <v>Generali Central Insurance Company Limited</v>
      </c>
      <c r="D43" s="27" t="str">
        <f ca="1"/>
        <v>MACT</v>
      </c>
      <c r="E43" s="27" t="str">
        <f ca="1"/>
        <v>F001-1042-SS-2025</v>
      </c>
      <c r="F43" s="206">
        <f ca="1"/>
        <v>45960</v>
      </c>
      <c r="G43" s="27" t="str">
        <f ca="1"/>
        <v>Oct-25</v>
      </c>
      <c r="H43" s="27" t="s">
        <v>718</v>
      </c>
      <c r="I43" s="29"/>
      <c r="J43" s="29">
        <f t="shared" ca="1" si="0"/>
        <v>46002</v>
      </c>
      <c r="K43" s="27">
        <f t="shared" ca="1" si="1"/>
        <v>67</v>
      </c>
      <c r="L43" s="27" t="str">
        <f t="shared" ca="1" si="2"/>
        <v>AT</v>
      </c>
      <c r="M43" s="27" t="s">
        <v>704</v>
      </c>
      <c r="N43" s="27" t="s">
        <v>720</v>
      </c>
      <c r="O43" s="27" t="s">
        <v>721</v>
      </c>
      <c r="P43" s="27"/>
      <c r="Q43" s="174" t="s">
        <v>989</v>
      </c>
      <c r="R43" s="117" t="s">
        <v>990</v>
      </c>
      <c r="S43" s="230" t="s">
        <v>991</v>
      </c>
      <c r="T43" s="27" t="s">
        <v>706</v>
      </c>
      <c r="U43" s="28" t="s">
        <v>767</v>
      </c>
      <c r="V43" s="28"/>
      <c r="W43" s="28"/>
      <c r="X43" s="213" t="s">
        <v>41</v>
      </c>
      <c r="Y43" s="174" t="s">
        <v>149</v>
      </c>
      <c r="Z43" s="105" t="s">
        <v>992</v>
      </c>
      <c r="AA43" s="230" t="s">
        <v>939</v>
      </c>
      <c r="AB43" s="27" t="s">
        <v>41</v>
      </c>
      <c r="AC43" s="27" t="s">
        <v>721</v>
      </c>
      <c r="AD43" s="28" t="s">
        <v>66</v>
      </c>
      <c r="AE43" s="28"/>
      <c r="AF43" s="27" t="s">
        <v>66</v>
      </c>
      <c r="AG43" s="27" t="s">
        <v>721</v>
      </c>
      <c r="AH43" s="27" t="s">
        <v>41</v>
      </c>
      <c r="AI43" s="27" t="s">
        <v>721</v>
      </c>
      <c r="AJ43" s="27" t="s">
        <v>66</v>
      </c>
      <c r="AK43" s="27" t="s">
        <v>721</v>
      </c>
      <c r="AL43" s="27" t="s">
        <v>41</v>
      </c>
      <c r="AM43" s="27" t="s">
        <v>41</v>
      </c>
      <c r="AN43" s="27" t="s">
        <v>66</v>
      </c>
      <c r="AO43" s="27" t="s">
        <v>41</v>
      </c>
      <c r="AP43" s="27" t="s">
        <v>66</v>
      </c>
      <c r="AQ43" s="175" t="s">
        <v>993</v>
      </c>
      <c r="AR43" s="175" t="s">
        <v>709</v>
      </c>
      <c r="AS43" s="27" t="s">
        <v>721</v>
      </c>
      <c r="AT43" s="177">
        <v>234</v>
      </c>
      <c r="AU43" s="28" t="s">
        <v>994</v>
      </c>
      <c r="AV43" s="28" t="s">
        <v>709</v>
      </c>
      <c r="AW43" s="27" t="s">
        <v>41</v>
      </c>
      <c r="AX43" s="27" t="s">
        <v>721</v>
      </c>
      <c r="AY43" s="28" t="s">
        <v>995</v>
      </c>
      <c r="AZ43" s="28"/>
      <c r="BA43" s="28" t="s">
        <v>41</v>
      </c>
      <c r="BB43" s="26" t="s">
        <v>41</v>
      </c>
      <c r="BC43" s="27"/>
      <c r="BD43" s="93"/>
      <c r="BE43" s="28"/>
      <c r="BF43" s="28"/>
    </row>
    <row r="44" spans="1:58" ht="20.25" customHeight="1">
      <c r="A44" s="27">
        <v>43</v>
      </c>
      <c r="B44" s="255" t="str">
        <f ca="1"/>
        <v>2025212071</v>
      </c>
      <c r="C44" s="137" t="str">
        <f ca="1"/>
        <v>Indusind General Insurance Co Ltd</v>
      </c>
      <c r="D44" s="27" t="str">
        <f ca="1"/>
        <v>MACT</v>
      </c>
      <c r="E44" s="27" t="str">
        <f ca="1"/>
        <v>R001-1043-SS-2025</v>
      </c>
      <c r="F44" s="206">
        <f ca="1"/>
        <v>45961</v>
      </c>
      <c r="G44" s="27" t="str">
        <f ca="1"/>
        <v>Oct-25</v>
      </c>
      <c r="H44" s="29">
        <v>46017</v>
      </c>
      <c r="I44" s="29" t="str">
        <f>TEXT(H44,"mmm-yy")</f>
        <v>Dec-25</v>
      </c>
      <c r="J44" s="29" t="str">
        <f t="shared" ca="1" si="0"/>
        <v/>
      </c>
      <c r="K44" s="27">
        <f t="shared" ca="1" si="1"/>
        <v>56</v>
      </c>
      <c r="L44" s="27" t="str">
        <f t="shared" ca="1" si="2"/>
        <v>AT</v>
      </c>
      <c r="M44" s="27" t="s">
        <v>719</v>
      </c>
      <c r="N44" s="27" t="s">
        <v>705</v>
      </c>
      <c r="O44" s="27" t="s">
        <v>706</v>
      </c>
      <c r="P44" s="68" t="s">
        <v>996</v>
      </c>
      <c r="Q44" s="28" t="s">
        <v>997</v>
      </c>
      <c r="R44" s="28" t="s">
        <v>998</v>
      </c>
      <c r="S44" s="27" t="s">
        <v>845</v>
      </c>
      <c r="T44" s="27" t="s">
        <v>706</v>
      </c>
      <c r="U44" s="28" t="s">
        <v>66</v>
      </c>
      <c r="V44" s="28"/>
      <c r="W44" s="28"/>
      <c r="X44" s="213" t="s">
        <v>41</v>
      </c>
      <c r="Y44" s="28" t="s">
        <v>999</v>
      </c>
      <c r="Z44" s="28" t="s">
        <v>1000</v>
      </c>
      <c r="AA44" s="27" t="s">
        <v>845</v>
      </c>
      <c r="AB44" s="27" t="s">
        <v>41</v>
      </c>
      <c r="AC44" s="27" t="s">
        <v>41</v>
      </c>
      <c r="AD44" s="28" t="s">
        <v>66</v>
      </c>
      <c r="AE44" s="28"/>
      <c r="AF44" s="27" t="s">
        <v>66</v>
      </c>
      <c r="AG44" s="27" t="s">
        <v>41</v>
      </c>
      <c r="AH44" s="27" t="s">
        <v>66</v>
      </c>
      <c r="AI44" s="27" t="s">
        <v>41</v>
      </c>
      <c r="AJ44" s="27" t="s">
        <v>66</v>
      </c>
      <c r="AK44" s="27" t="s">
        <v>41</v>
      </c>
      <c r="AL44" s="27" t="s">
        <v>66</v>
      </c>
      <c r="AM44" s="27" t="s">
        <v>66</v>
      </c>
      <c r="AN44" s="27" t="s">
        <v>66</v>
      </c>
      <c r="AO44" s="27" t="s">
        <v>41</v>
      </c>
      <c r="AP44" s="27" t="s">
        <v>66</v>
      </c>
      <c r="AQ44" s="93" t="s">
        <v>1001</v>
      </c>
      <c r="AR44" s="93" t="s">
        <v>849</v>
      </c>
      <c r="AS44" s="27" t="s">
        <v>41</v>
      </c>
      <c r="AT44" s="177" t="s">
        <v>1002</v>
      </c>
      <c r="AU44" s="28" t="s">
        <v>1003</v>
      </c>
      <c r="AV44" s="28" t="s">
        <v>1004</v>
      </c>
      <c r="AW44" s="27" t="s">
        <v>41</v>
      </c>
      <c r="AX44" s="27" t="s">
        <v>41</v>
      </c>
      <c r="AY44" s="28" t="s">
        <v>66</v>
      </c>
      <c r="AZ44" s="28"/>
      <c r="BA44" s="28"/>
      <c r="BB44" s="26" t="s">
        <v>41</v>
      </c>
      <c r="BC44" s="27"/>
      <c r="BD44" s="93"/>
      <c r="BE44" s="28" t="s">
        <v>1005</v>
      </c>
      <c r="BF44" s="28"/>
    </row>
    <row r="45" spans="1:58" ht="20.25" customHeight="1">
      <c r="A45" s="27">
        <v>44</v>
      </c>
      <c r="B45" s="254" t="str">
        <f ca="1"/>
        <v>2025212068</v>
      </c>
      <c r="C45" s="137" t="str">
        <f ca="1"/>
        <v>Indusind General Insurance Co Ltd</v>
      </c>
      <c r="D45" s="27" t="str">
        <f ca="1"/>
        <v>MACT</v>
      </c>
      <c r="E45" s="27" t="str">
        <f ca="1"/>
        <v>R001-1044-SS-2025</v>
      </c>
      <c r="F45" s="206">
        <f ca="1"/>
        <v>45961</v>
      </c>
      <c r="G45" s="27" t="str">
        <f ca="1"/>
        <v>Oct-25</v>
      </c>
      <c r="H45" s="29">
        <v>46009</v>
      </c>
      <c r="I45" s="29" t="str">
        <f t="shared" si="3"/>
        <v>Dec-25</v>
      </c>
      <c r="J45" s="29">
        <f t="shared" ca="1" si="0"/>
        <v>46003</v>
      </c>
      <c r="K45" s="27">
        <f t="shared" ca="1" si="1"/>
        <v>48</v>
      </c>
      <c r="L45" s="27" t="str">
        <f t="shared" ca="1" si="2"/>
        <v>AT</v>
      </c>
      <c r="M45" s="27" t="s">
        <v>704</v>
      </c>
      <c r="N45" s="27" t="s">
        <v>705</v>
      </c>
      <c r="O45" s="27" t="s">
        <v>706</v>
      </c>
      <c r="P45" s="27"/>
      <c r="Q45" s="28" t="s">
        <v>1006</v>
      </c>
      <c r="R45" s="28" t="s">
        <v>1007</v>
      </c>
      <c r="S45" s="27" t="s">
        <v>845</v>
      </c>
      <c r="T45" s="27" t="s">
        <v>706</v>
      </c>
      <c r="U45" s="28" t="s">
        <v>767</v>
      </c>
      <c r="V45" s="28"/>
      <c r="W45" s="28"/>
      <c r="X45" s="213" t="s">
        <v>41</v>
      </c>
      <c r="Y45" s="28" t="s">
        <v>154</v>
      </c>
      <c r="Z45" s="28" t="s">
        <v>1008</v>
      </c>
      <c r="AA45" s="27" t="s">
        <v>845</v>
      </c>
      <c r="AB45" s="27" t="s">
        <v>706</v>
      </c>
      <c r="AC45" s="27" t="s">
        <v>706</v>
      </c>
      <c r="AD45" s="28" t="s">
        <v>154</v>
      </c>
      <c r="AE45" s="28"/>
      <c r="AF45" s="28" t="s">
        <v>847</v>
      </c>
      <c r="AG45" s="27" t="s">
        <v>706</v>
      </c>
      <c r="AH45" s="27" t="s">
        <v>66</v>
      </c>
      <c r="AI45" s="27" t="s">
        <v>41</v>
      </c>
      <c r="AJ45" s="27" t="s">
        <v>66</v>
      </c>
      <c r="AK45" s="27" t="s">
        <v>41</v>
      </c>
      <c r="AL45" s="27" t="s">
        <v>66</v>
      </c>
      <c r="AM45" s="27" t="s">
        <v>66</v>
      </c>
      <c r="AN45" s="27" t="s">
        <v>66</v>
      </c>
      <c r="AO45" s="27" t="s">
        <v>41</v>
      </c>
      <c r="AP45" s="27" t="s">
        <v>66</v>
      </c>
      <c r="AQ45" s="178" t="s">
        <v>1009</v>
      </c>
      <c r="AR45" s="178"/>
      <c r="AS45" s="27" t="s">
        <v>706</v>
      </c>
      <c r="AT45" s="177" t="s">
        <v>1010</v>
      </c>
      <c r="AU45" s="28" t="s">
        <v>1011</v>
      </c>
      <c r="AV45" s="28" t="s">
        <v>1004</v>
      </c>
      <c r="AW45" s="27" t="s">
        <v>41</v>
      </c>
      <c r="AX45" s="27" t="s">
        <v>706</v>
      </c>
      <c r="AY45" s="28" t="s">
        <v>66</v>
      </c>
      <c r="AZ45" s="28"/>
      <c r="BA45" s="28"/>
      <c r="BB45" s="26" t="s">
        <v>41</v>
      </c>
      <c r="BC45" s="27"/>
      <c r="BD45" s="93"/>
      <c r="BE45" s="28" t="s">
        <v>1012</v>
      </c>
      <c r="BF45" s="28"/>
    </row>
    <row r="46" spans="1:58" ht="20.25" customHeight="1">
      <c r="A46" s="27">
        <v>45</v>
      </c>
      <c r="B46" s="254" t="str">
        <f ca="1"/>
        <v>2025212058</v>
      </c>
      <c r="C46" s="137" t="str">
        <f ca="1"/>
        <v>Indusind General Insurance Co Ltd</v>
      </c>
      <c r="D46" s="27" t="str">
        <f ca="1"/>
        <v>MACT</v>
      </c>
      <c r="E46" s="27" t="str">
        <f ca="1"/>
        <v>R001-1045-SS-2025</v>
      </c>
      <c r="F46" s="206">
        <f ca="1"/>
        <v>45961</v>
      </c>
      <c r="G46" s="27" t="str">
        <f ca="1"/>
        <v>Oct-25</v>
      </c>
      <c r="H46" s="29">
        <v>45971</v>
      </c>
      <c r="I46" s="29" t="str">
        <f t="shared" si="3"/>
        <v>Nov-25</v>
      </c>
      <c r="J46" s="29">
        <f t="shared" ca="1" si="0"/>
        <v>46003</v>
      </c>
      <c r="K46" s="27">
        <f t="shared" ca="1" si="1"/>
        <v>10</v>
      </c>
      <c r="L46" s="27" t="str">
        <f t="shared" ca="1" si="2"/>
        <v>WT</v>
      </c>
      <c r="M46" s="27" t="s">
        <v>704</v>
      </c>
      <c r="N46" s="27" t="s">
        <v>720</v>
      </c>
      <c r="O46" s="27" t="s">
        <v>721</v>
      </c>
      <c r="P46" s="27"/>
      <c r="Q46" s="28" t="s">
        <v>1013</v>
      </c>
      <c r="R46" s="93" t="s">
        <v>1014</v>
      </c>
      <c r="S46" s="27" t="s">
        <v>845</v>
      </c>
      <c r="T46" s="27" t="s">
        <v>706</v>
      </c>
      <c r="U46" s="28" t="s">
        <v>767</v>
      </c>
      <c r="V46" s="28"/>
      <c r="W46" s="28"/>
      <c r="X46" s="213" t="s">
        <v>41</v>
      </c>
      <c r="Y46" s="28" t="s">
        <v>157</v>
      </c>
      <c r="Z46" s="93" t="s">
        <v>1015</v>
      </c>
      <c r="AA46" s="27" t="s">
        <v>845</v>
      </c>
      <c r="AB46" s="27" t="s">
        <v>41</v>
      </c>
      <c r="AC46" s="27" t="s">
        <v>706</v>
      </c>
      <c r="AD46" s="28" t="s">
        <v>66</v>
      </c>
      <c r="AE46" s="28"/>
      <c r="AF46" s="26" t="s">
        <v>847</v>
      </c>
      <c r="AG46" s="27" t="s">
        <v>721</v>
      </c>
      <c r="AH46" s="27" t="s">
        <v>66</v>
      </c>
      <c r="AI46" s="27" t="s">
        <v>41</v>
      </c>
      <c r="AJ46" s="27" t="s">
        <v>66</v>
      </c>
      <c r="AK46" s="27" t="s">
        <v>41</v>
      </c>
      <c r="AL46" s="27" t="s">
        <v>66</v>
      </c>
      <c r="AM46" s="27" t="s">
        <v>66</v>
      </c>
      <c r="AN46" s="27" t="s">
        <v>66</v>
      </c>
      <c r="AO46" s="27" t="s">
        <v>41</v>
      </c>
      <c r="AP46" s="27" t="s">
        <v>66</v>
      </c>
      <c r="AQ46" s="178" t="s">
        <v>1016</v>
      </c>
      <c r="AR46" s="178" t="s">
        <v>849</v>
      </c>
      <c r="AS46" s="27" t="s">
        <v>706</v>
      </c>
      <c r="AT46" s="177" t="s">
        <v>1017</v>
      </c>
      <c r="AU46" s="93" t="s">
        <v>1018</v>
      </c>
      <c r="AV46" s="28" t="s">
        <v>1004</v>
      </c>
      <c r="AW46" s="27" t="s">
        <v>41</v>
      </c>
      <c r="AX46" s="27" t="s">
        <v>721</v>
      </c>
      <c r="AY46" s="28" t="s">
        <v>66</v>
      </c>
      <c r="AZ46" s="28"/>
      <c r="BA46" s="28"/>
      <c r="BB46" s="26" t="s">
        <v>41</v>
      </c>
      <c r="BC46" s="27"/>
      <c r="BD46" s="93"/>
      <c r="BE46" s="28" t="s">
        <v>1019</v>
      </c>
      <c r="BF46" s="28"/>
    </row>
    <row r="47" spans="1:58" ht="20.25" customHeight="1">
      <c r="A47" s="27">
        <v>46</v>
      </c>
      <c r="B47" s="254" t="str">
        <f ca="1"/>
        <v>2025212055</v>
      </c>
      <c r="C47" s="137" t="str">
        <f ca="1"/>
        <v>Indusind General Insurance Co Ltd</v>
      </c>
      <c r="D47" s="27" t="str">
        <f ca="1"/>
        <v>MACT</v>
      </c>
      <c r="E47" s="27" t="str">
        <f ca="1"/>
        <v>R001-1046-SS-2025</v>
      </c>
      <c r="F47" s="206">
        <f ca="1"/>
        <v>45961</v>
      </c>
      <c r="G47" s="27" t="str">
        <f ca="1"/>
        <v>Oct-25</v>
      </c>
      <c r="H47" s="27" t="s">
        <v>718</v>
      </c>
      <c r="I47" s="29"/>
      <c r="J47" s="29" t="str">
        <f t="shared" ca="1" si="0"/>
        <v/>
      </c>
      <c r="K47" s="27">
        <f t="shared" ca="1" si="1"/>
        <v>66</v>
      </c>
      <c r="L47" s="27" t="str">
        <f t="shared" ca="1" si="2"/>
        <v>AT</v>
      </c>
      <c r="M47" s="27" t="s">
        <v>719</v>
      </c>
      <c r="N47" s="27" t="s">
        <v>720</v>
      </c>
      <c r="O47" s="27" t="s">
        <v>721</v>
      </c>
      <c r="P47" s="68" t="s">
        <v>1020</v>
      </c>
      <c r="Q47" s="28" t="s">
        <v>1021</v>
      </c>
      <c r="R47" s="28" t="s">
        <v>1022</v>
      </c>
      <c r="S47" s="27" t="s">
        <v>845</v>
      </c>
      <c r="T47" s="27" t="s">
        <v>706</v>
      </c>
      <c r="U47" s="28" t="s">
        <v>767</v>
      </c>
      <c r="V47" s="28"/>
      <c r="W47" s="28"/>
      <c r="X47" s="213" t="s">
        <v>41</v>
      </c>
      <c r="Y47" s="93" t="s">
        <v>1023</v>
      </c>
      <c r="Z47" s="28" t="s">
        <v>1024</v>
      </c>
      <c r="AA47" s="26" t="s">
        <v>845</v>
      </c>
      <c r="AB47" s="27" t="s">
        <v>41</v>
      </c>
      <c r="AC47" s="27" t="s">
        <v>41</v>
      </c>
      <c r="AD47" s="28" t="s">
        <v>66</v>
      </c>
      <c r="AE47" s="28"/>
      <c r="AF47" s="27" t="s">
        <v>66</v>
      </c>
      <c r="AG47" s="27" t="s">
        <v>41</v>
      </c>
      <c r="AH47" s="27" t="s">
        <v>66</v>
      </c>
      <c r="AI47" s="27" t="s">
        <v>41</v>
      </c>
      <c r="AJ47" s="27" t="s">
        <v>66</v>
      </c>
      <c r="AK47" s="27" t="s">
        <v>41</v>
      </c>
      <c r="AL47" s="27" t="s">
        <v>66</v>
      </c>
      <c r="AM47" s="27" t="s">
        <v>66</v>
      </c>
      <c r="AN47" s="27" t="s">
        <v>66</v>
      </c>
      <c r="AO47" s="27" t="s">
        <v>41</v>
      </c>
      <c r="AP47" s="27" t="s">
        <v>66</v>
      </c>
      <c r="AQ47" s="93" t="s">
        <v>1025</v>
      </c>
      <c r="AR47" s="93"/>
      <c r="AS47" s="27" t="s">
        <v>41</v>
      </c>
      <c r="AT47" s="177" t="s">
        <v>41</v>
      </c>
      <c r="AU47" s="93" t="s">
        <v>41</v>
      </c>
      <c r="AV47" s="28" t="s">
        <v>41</v>
      </c>
      <c r="AW47" s="27" t="s">
        <v>41</v>
      </c>
      <c r="AX47" s="27" t="s">
        <v>41</v>
      </c>
      <c r="AY47" s="28" t="s">
        <v>66</v>
      </c>
      <c r="AZ47" s="28"/>
      <c r="BA47" s="28"/>
      <c r="BB47" s="26" t="s">
        <v>41</v>
      </c>
      <c r="BC47" s="27"/>
      <c r="BD47" s="93"/>
      <c r="BE47" s="28"/>
      <c r="BF47" s="28" t="s">
        <v>1026</v>
      </c>
    </row>
    <row r="48" spans="1:58" ht="20.25" customHeight="1">
      <c r="A48" s="27">
        <v>47</v>
      </c>
      <c r="B48" s="254" t="str">
        <f ca="1"/>
        <v>2025212053</v>
      </c>
      <c r="C48" s="137" t="str">
        <f ca="1"/>
        <v>Indusind General Insurance Co Ltd</v>
      </c>
      <c r="D48" s="27" t="str">
        <f ca="1"/>
        <v>MACT</v>
      </c>
      <c r="E48" s="27" t="str">
        <f ca="1"/>
        <v>R001-1047-SS-2025</v>
      </c>
      <c r="F48" s="206">
        <f ca="1"/>
        <v>45961</v>
      </c>
      <c r="G48" s="27" t="str">
        <f ca="1"/>
        <v>Oct-25</v>
      </c>
      <c r="H48" s="27" t="s">
        <v>718</v>
      </c>
      <c r="I48" s="29"/>
      <c r="J48" s="29">
        <f t="shared" ca="1" si="0"/>
        <v>46003</v>
      </c>
      <c r="K48" s="27">
        <f t="shared" ca="1" si="1"/>
        <v>66</v>
      </c>
      <c r="L48" s="27" t="str">
        <f t="shared" ca="1" si="2"/>
        <v>AT</v>
      </c>
      <c r="M48" s="27" t="s">
        <v>704</v>
      </c>
      <c r="N48" s="27" t="s">
        <v>720</v>
      </c>
      <c r="O48" s="27" t="s">
        <v>721</v>
      </c>
      <c r="P48" s="27"/>
      <c r="Q48" s="28" t="s">
        <v>1027</v>
      </c>
      <c r="R48" s="93" t="s">
        <v>1028</v>
      </c>
      <c r="S48" s="27" t="s">
        <v>845</v>
      </c>
      <c r="T48" s="27" t="s">
        <v>706</v>
      </c>
      <c r="U48" s="28" t="s">
        <v>767</v>
      </c>
      <c r="V48" s="28"/>
      <c r="W48" s="28"/>
      <c r="X48" s="213" t="s">
        <v>41</v>
      </c>
      <c r="Y48" s="28" t="s">
        <v>1029</v>
      </c>
      <c r="Z48" s="28" t="s">
        <v>1030</v>
      </c>
      <c r="AA48" s="27" t="s">
        <v>845</v>
      </c>
      <c r="AB48" s="27" t="s">
        <v>41</v>
      </c>
      <c r="AC48" s="27" t="s">
        <v>721</v>
      </c>
      <c r="AD48" s="28" t="s">
        <v>162</v>
      </c>
      <c r="AE48" s="28"/>
      <c r="AF48" s="28" t="s">
        <v>1031</v>
      </c>
      <c r="AG48" s="26" t="s">
        <v>706</v>
      </c>
      <c r="AH48" s="27" t="s">
        <v>66</v>
      </c>
      <c r="AI48" s="27" t="s">
        <v>41</v>
      </c>
      <c r="AJ48" s="27" t="s">
        <v>66</v>
      </c>
      <c r="AK48" s="27" t="s">
        <v>41</v>
      </c>
      <c r="AL48" s="27" t="s">
        <v>66</v>
      </c>
      <c r="AM48" s="27" t="s">
        <v>66</v>
      </c>
      <c r="AN48" s="27" t="s">
        <v>66</v>
      </c>
      <c r="AO48" s="27" t="s">
        <v>41</v>
      </c>
      <c r="AP48" s="27" t="s">
        <v>66</v>
      </c>
      <c r="AQ48" s="93" t="s">
        <v>1032</v>
      </c>
      <c r="AR48" s="93"/>
      <c r="AS48" s="27" t="s">
        <v>721</v>
      </c>
      <c r="AT48" s="177" t="s">
        <v>1033</v>
      </c>
      <c r="AU48" s="93" t="s">
        <v>1034</v>
      </c>
      <c r="AV48" s="28" t="s">
        <v>1004</v>
      </c>
      <c r="AW48" s="27" t="s">
        <v>41</v>
      </c>
      <c r="AX48" s="27" t="s">
        <v>721</v>
      </c>
      <c r="AY48" s="28" t="s">
        <v>66</v>
      </c>
      <c r="AZ48" s="28"/>
      <c r="BA48" s="28"/>
      <c r="BB48" s="26" t="s">
        <v>41</v>
      </c>
      <c r="BC48" s="27"/>
      <c r="BD48" s="93"/>
      <c r="BE48" s="28"/>
      <c r="BF48" s="28"/>
    </row>
    <row r="49" spans="1:58" ht="20.25" customHeight="1">
      <c r="A49" s="27">
        <v>48</v>
      </c>
      <c r="B49" s="254">
        <f ca="1"/>
        <v>2025212050</v>
      </c>
      <c r="C49" s="137" t="str">
        <f ca="1"/>
        <v>Indusind General Insurance Co Ltd</v>
      </c>
      <c r="D49" s="27" t="str">
        <f ca="1"/>
        <v>MACT</v>
      </c>
      <c r="E49" s="27" t="str">
        <f ca="1"/>
        <v>R001-1048-SS-2025</v>
      </c>
      <c r="F49" s="206">
        <f ca="1"/>
        <v>45961</v>
      </c>
      <c r="G49" s="27" t="str">
        <f ca="1"/>
        <v>Oct-25</v>
      </c>
      <c r="H49" s="27" t="s">
        <v>718</v>
      </c>
      <c r="I49" s="29"/>
      <c r="J49" s="29">
        <f t="shared" ca="1" si="0"/>
        <v>46003</v>
      </c>
      <c r="K49" s="27">
        <f t="shared" ca="1" si="1"/>
        <v>66</v>
      </c>
      <c r="L49" s="27" t="str">
        <f t="shared" ca="1" si="2"/>
        <v>AT</v>
      </c>
      <c r="M49" s="27" t="s">
        <v>704</v>
      </c>
      <c r="N49" s="27" t="s">
        <v>720</v>
      </c>
      <c r="O49" s="27" t="s">
        <v>721</v>
      </c>
      <c r="P49" s="27"/>
      <c r="Q49" s="28" t="s">
        <v>1035</v>
      </c>
      <c r="R49" s="28" t="s">
        <v>1036</v>
      </c>
      <c r="S49" s="27" t="s">
        <v>845</v>
      </c>
      <c r="T49" s="27" t="s">
        <v>706</v>
      </c>
      <c r="U49" s="28" t="s">
        <v>767</v>
      </c>
      <c r="V49" s="28"/>
      <c r="W49" s="28"/>
      <c r="X49" s="213" t="s">
        <v>41</v>
      </c>
      <c r="Y49" s="28" t="s">
        <v>165</v>
      </c>
      <c r="Z49" s="28" t="s">
        <v>1037</v>
      </c>
      <c r="AA49" s="27" t="s">
        <v>924</v>
      </c>
      <c r="AB49" s="27" t="s">
        <v>41</v>
      </c>
      <c r="AC49" s="27" t="s">
        <v>706</v>
      </c>
      <c r="AD49" s="28" t="s">
        <v>1038</v>
      </c>
      <c r="AE49" s="28"/>
      <c r="AF49" s="27"/>
      <c r="AG49" s="27" t="s">
        <v>706</v>
      </c>
      <c r="AH49" s="27" t="s">
        <v>41</v>
      </c>
      <c r="AI49" s="27" t="s">
        <v>41</v>
      </c>
      <c r="AJ49" s="27" t="s">
        <v>41</v>
      </c>
      <c r="AK49" s="27" t="s">
        <v>41</v>
      </c>
      <c r="AL49" s="27" t="s">
        <v>41</v>
      </c>
      <c r="AM49" s="27" t="s">
        <v>41</v>
      </c>
      <c r="AN49" s="27" t="s">
        <v>41</v>
      </c>
      <c r="AO49" s="27" t="s">
        <v>41</v>
      </c>
      <c r="AP49" s="27" t="s">
        <v>66</v>
      </c>
      <c r="AQ49" s="93" t="s">
        <v>1039</v>
      </c>
      <c r="AR49" s="93"/>
      <c r="AS49" s="27" t="s">
        <v>706</v>
      </c>
      <c r="AT49" s="177" t="s">
        <v>1040</v>
      </c>
      <c r="AU49" s="93" t="s">
        <v>1041</v>
      </c>
      <c r="AV49" s="28" t="s">
        <v>1004</v>
      </c>
      <c r="AW49" s="27" t="s">
        <v>41</v>
      </c>
      <c r="AX49" s="27" t="s">
        <v>706</v>
      </c>
      <c r="AY49" s="28" t="s">
        <v>66</v>
      </c>
      <c r="AZ49" s="28"/>
      <c r="BA49" s="28"/>
      <c r="BB49" s="26" t="s">
        <v>41</v>
      </c>
      <c r="BC49" s="27"/>
      <c r="BD49" s="93"/>
      <c r="BE49" s="28" t="s">
        <v>1042</v>
      </c>
      <c r="BF49" s="28"/>
    </row>
    <row r="50" spans="1:58" ht="20.25" customHeight="1">
      <c r="A50" s="27">
        <v>49</v>
      </c>
      <c r="B50" s="254" t="str">
        <f ca="1"/>
        <v>2025212047</v>
      </c>
      <c r="C50" s="137" t="str">
        <f ca="1"/>
        <v>Indusind General Insurance Co Ltd</v>
      </c>
      <c r="D50" s="27" t="str">
        <f ca="1"/>
        <v>MACT</v>
      </c>
      <c r="E50" s="27" t="str">
        <f ca="1"/>
        <v>R001-1049-SS-2025</v>
      </c>
      <c r="F50" s="206">
        <f ca="1"/>
        <v>45961</v>
      </c>
      <c r="G50" s="27" t="str">
        <f ca="1"/>
        <v>Oct-25</v>
      </c>
      <c r="H50" s="27" t="s">
        <v>718</v>
      </c>
      <c r="I50" s="29"/>
      <c r="J50" s="29">
        <f t="shared" ca="1" si="0"/>
        <v>46003</v>
      </c>
      <c r="K50" s="27">
        <f t="shared" ca="1" si="1"/>
        <v>66</v>
      </c>
      <c r="L50" s="27" t="str">
        <f t="shared" ca="1" si="2"/>
        <v>AT</v>
      </c>
      <c r="M50" s="27" t="s">
        <v>704</v>
      </c>
      <c r="N50" s="27" t="s">
        <v>857</v>
      </c>
      <c r="O50" s="27" t="s">
        <v>751</v>
      </c>
      <c r="P50" s="27"/>
      <c r="Q50" s="28" t="s">
        <v>1043</v>
      </c>
      <c r="R50" s="93" t="s">
        <v>1044</v>
      </c>
      <c r="S50" s="27" t="s">
        <v>845</v>
      </c>
      <c r="T50" s="27" t="s">
        <v>706</v>
      </c>
      <c r="U50" s="28" t="s">
        <v>767</v>
      </c>
      <c r="V50" s="28"/>
      <c r="W50" s="28"/>
      <c r="X50" s="213" t="s">
        <v>41</v>
      </c>
      <c r="Y50" s="28" t="s">
        <v>1045</v>
      </c>
      <c r="Z50" s="28" t="s">
        <v>1046</v>
      </c>
      <c r="AA50" s="27" t="s">
        <v>845</v>
      </c>
      <c r="AB50" s="27" t="s">
        <v>41</v>
      </c>
      <c r="AC50" s="27" t="s">
        <v>706</v>
      </c>
      <c r="AD50" s="28" t="s">
        <v>1047</v>
      </c>
      <c r="AE50" s="28"/>
      <c r="AF50" s="28" t="s">
        <v>1031</v>
      </c>
      <c r="AG50" s="27" t="s">
        <v>706</v>
      </c>
      <c r="AH50" s="27" t="s">
        <v>41</v>
      </c>
      <c r="AI50" s="27" t="s">
        <v>41</v>
      </c>
      <c r="AJ50" s="27" t="s">
        <v>41</v>
      </c>
      <c r="AK50" s="27" t="s">
        <v>41</v>
      </c>
      <c r="AL50" s="27" t="s">
        <v>41</v>
      </c>
      <c r="AM50" s="27" t="s">
        <v>41</v>
      </c>
      <c r="AN50" s="27" t="s">
        <v>41</v>
      </c>
      <c r="AO50" s="27" t="s">
        <v>41</v>
      </c>
      <c r="AP50" s="27" t="s">
        <v>66</v>
      </c>
      <c r="AQ50" s="93" t="s">
        <v>1048</v>
      </c>
      <c r="AR50" s="93"/>
      <c r="AS50" s="26" t="s">
        <v>706</v>
      </c>
      <c r="AT50" s="177" t="s">
        <v>1049</v>
      </c>
      <c r="AU50" s="93" t="s">
        <v>1050</v>
      </c>
      <c r="AV50" s="28" t="s">
        <v>1004</v>
      </c>
      <c r="AW50" s="27" t="s">
        <v>41</v>
      </c>
      <c r="AX50" s="27" t="s">
        <v>794</v>
      </c>
      <c r="AY50" s="28" t="s">
        <v>66</v>
      </c>
      <c r="AZ50" s="28"/>
      <c r="BA50" s="28"/>
      <c r="BB50" s="26" t="s">
        <v>41</v>
      </c>
      <c r="BC50" s="27"/>
      <c r="BD50" s="93"/>
      <c r="BE50" s="28"/>
      <c r="BF50" s="28"/>
    </row>
    <row r="51" spans="1:58" ht="20.25" customHeight="1">
      <c r="A51" s="27">
        <v>50</v>
      </c>
      <c r="B51" s="254" t="str">
        <f ca="1"/>
        <v>MTP-N-2526-004166</v>
      </c>
      <c r="C51" s="137" t="str">
        <f ca="1"/>
        <v>Generali Central Insurance Company Limited</v>
      </c>
      <c r="D51" s="27" t="str">
        <f ca="1"/>
        <v>MACT</v>
      </c>
      <c r="E51" s="27" t="str">
        <f ca="1"/>
        <v>F001-1050-SS-2025</v>
      </c>
      <c r="F51" s="206">
        <f ca="1"/>
        <v>45962</v>
      </c>
      <c r="G51" s="27" t="str">
        <f ca="1"/>
        <v>Nov-25</v>
      </c>
      <c r="H51" s="29">
        <v>46008</v>
      </c>
      <c r="I51" s="29" t="str">
        <f t="shared" si="3"/>
        <v>Dec-25</v>
      </c>
      <c r="J51" s="29">
        <f t="shared" ca="1" si="0"/>
        <v>46003</v>
      </c>
      <c r="K51" s="27">
        <f t="shared" ca="1" si="1"/>
        <v>46</v>
      </c>
      <c r="L51" s="27" t="str">
        <f t="shared" ca="1" si="2"/>
        <v>AT</v>
      </c>
      <c r="M51" s="27" t="s">
        <v>704</v>
      </c>
      <c r="N51" s="27" t="s">
        <v>1051</v>
      </c>
      <c r="O51" s="27" t="s">
        <v>706</v>
      </c>
      <c r="P51" s="27"/>
      <c r="Q51" s="28" t="s">
        <v>1052</v>
      </c>
      <c r="R51" s="93" t="s">
        <v>1053</v>
      </c>
      <c r="S51" s="27" t="s">
        <v>1054</v>
      </c>
      <c r="T51" s="27" t="s">
        <v>706</v>
      </c>
      <c r="U51" s="28" t="s">
        <v>767</v>
      </c>
      <c r="V51" s="28"/>
      <c r="W51" s="28"/>
      <c r="X51" s="213" t="s">
        <v>721</v>
      </c>
      <c r="Y51" s="93" t="s">
        <v>1055</v>
      </c>
      <c r="Z51" s="93" t="s">
        <v>1056</v>
      </c>
      <c r="AA51" s="26" t="s">
        <v>41</v>
      </c>
      <c r="AB51" s="27" t="s">
        <v>41</v>
      </c>
      <c r="AC51" s="27" t="s">
        <v>41</v>
      </c>
      <c r="AD51" s="28" t="s">
        <v>1057</v>
      </c>
      <c r="AE51" s="28"/>
      <c r="AF51" s="27" t="s">
        <v>41</v>
      </c>
      <c r="AG51" s="13" t="s">
        <v>41</v>
      </c>
      <c r="AH51" s="27" t="s">
        <v>41</v>
      </c>
      <c r="AI51" s="27" t="s">
        <v>41</v>
      </c>
      <c r="AJ51" s="27" t="s">
        <v>41</v>
      </c>
      <c r="AK51" s="27" t="s">
        <v>41</v>
      </c>
      <c r="AL51" s="27" t="s">
        <v>41</v>
      </c>
      <c r="AM51" s="27" t="s">
        <v>41</v>
      </c>
      <c r="AN51" s="27" t="s">
        <v>41</v>
      </c>
      <c r="AO51" s="27" t="s">
        <v>41</v>
      </c>
      <c r="AP51" s="27" t="s">
        <v>66</v>
      </c>
      <c r="AQ51" s="93" t="s">
        <v>1058</v>
      </c>
      <c r="AR51" s="93"/>
      <c r="AS51" s="27" t="s">
        <v>41</v>
      </c>
      <c r="AT51" s="177" t="s">
        <v>1059</v>
      </c>
      <c r="AU51" s="93" t="s">
        <v>1060</v>
      </c>
      <c r="AV51" s="28" t="s">
        <v>733</v>
      </c>
      <c r="AW51" s="27" t="s">
        <v>41</v>
      </c>
      <c r="AX51" s="27" t="s">
        <v>41</v>
      </c>
      <c r="AY51" s="28" t="s">
        <v>1061</v>
      </c>
      <c r="AZ51" s="28"/>
      <c r="BA51" s="28"/>
      <c r="BB51" s="26" t="s">
        <v>721</v>
      </c>
      <c r="BC51" s="27"/>
      <c r="BD51" s="93"/>
      <c r="BE51" s="28"/>
      <c r="BF51" s="28"/>
    </row>
    <row r="52" spans="1:58" ht="20.25" customHeight="1">
      <c r="A52" s="27">
        <v>51</v>
      </c>
      <c r="B52" s="254" t="str">
        <f ca="1"/>
        <v>2025212181</v>
      </c>
      <c r="C52" s="137" t="str">
        <f ca="1"/>
        <v>Indusind General Insurance Co Ltd</v>
      </c>
      <c r="D52" s="27" t="str">
        <f ca="1"/>
        <v>MACT</v>
      </c>
      <c r="E52" s="27" t="str">
        <f ca="1"/>
        <v>R001-1051-SS-2025</v>
      </c>
      <c r="F52" s="206">
        <f ca="1"/>
        <v>45964</v>
      </c>
      <c r="G52" s="27" t="str">
        <f ca="1"/>
        <v>Nov-25</v>
      </c>
      <c r="H52" s="27" t="s">
        <v>718</v>
      </c>
      <c r="I52" s="29"/>
      <c r="J52" s="29">
        <f t="shared" ca="1" si="0"/>
        <v>46006</v>
      </c>
      <c r="K52" s="27">
        <f t="shared" ca="1" si="1"/>
        <v>63</v>
      </c>
      <c r="L52" s="27" t="str">
        <f t="shared" ca="1" si="2"/>
        <v>AT</v>
      </c>
      <c r="M52" s="27" t="s">
        <v>704</v>
      </c>
      <c r="N52" s="27" t="s">
        <v>720</v>
      </c>
      <c r="O52" s="27" t="s">
        <v>751</v>
      </c>
      <c r="P52" s="27"/>
      <c r="Q52" s="28" t="s">
        <v>1062</v>
      </c>
      <c r="R52" s="93" t="s">
        <v>1063</v>
      </c>
      <c r="S52" s="27" t="s">
        <v>709</v>
      </c>
      <c r="T52" s="27" t="s">
        <v>706</v>
      </c>
      <c r="U52" s="28" t="s">
        <v>767</v>
      </c>
      <c r="V52" s="28"/>
      <c r="W52" s="28"/>
      <c r="X52" s="213" t="s">
        <v>41</v>
      </c>
      <c r="Y52" s="28" t="s">
        <v>173</v>
      </c>
      <c r="Z52" s="93" t="s">
        <v>1064</v>
      </c>
      <c r="AA52" s="27" t="s">
        <v>709</v>
      </c>
      <c r="AB52" s="27" t="s">
        <v>41</v>
      </c>
      <c r="AC52" s="26" t="s">
        <v>706</v>
      </c>
      <c r="AD52" s="28" t="s">
        <v>66</v>
      </c>
      <c r="AE52" s="28"/>
      <c r="AF52" s="27" t="s">
        <v>66</v>
      </c>
      <c r="AG52" s="26" t="s">
        <v>706</v>
      </c>
      <c r="AH52" s="27" t="s">
        <v>41</v>
      </c>
      <c r="AI52" s="27" t="s">
        <v>41</v>
      </c>
      <c r="AJ52" s="27" t="s">
        <v>41</v>
      </c>
      <c r="AK52" s="27" t="s">
        <v>41</v>
      </c>
      <c r="AL52" s="27" t="s">
        <v>41</v>
      </c>
      <c r="AM52" s="27" t="s">
        <v>41</v>
      </c>
      <c r="AN52" s="27" t="s">
        <v>41</v>
      </c>
      <c r="AO52" s="27" t="s">
        <v>41</v>
      </c>
      <c r="AP52" s="27" t="s">
        <v>66</v>
      </c>
      <c r="AQ52" s="93" t="s">
        <v>1065</v>
      </c>
      <c r="AR52" s="93"/>
      <c r="AS52" s="27" t="s">
        <v>706</v>
      </c>
      <c r="AT52" s="177" t="s">
        <v>933</v>
      </c>
      <c r="AU52" s="93" t="s">
        <v>1066</v>
      </c>
      <c r="AV52" s="28" t="s">
        <v>709</v>
      </c>
      <c r="AW52" s="27" t="s">
        <v>41</v>
      </c>
      <c r="AX52" s="27" t="s">
        <v>794</v>
      </c>
      <c r="AY52" s="28" t="s">
        <v>66</v>
      </c>
      <c r="AZ52" s="28"/>
      <c r="BA52" s="28"/>
      <c r="BB52" s="26" t="s">
        <v>41</v>
      </c>
      <c r="BC52" s="27"/>
      <c r="BD52" s="93"/>
      <c r="BE52" s="28" t="s">
        <v>1067</v>
      </c>
      <c r="BF52" s="28"/>
    </row>
    <row r="53" spans="1:58" ht="20.25" customHeight="1">
      <c r="A53" s="27">
        <v>52</v>
      </c>
      <c r="B53" s="254" t="str">
        <f ca="1"/>
        <v>2025212170</v>
      </c>
      <c r="C53" s="137" t="str">
        <f ca="1"/>
        <v>Indusind General Insurance Co Ltd</v>
      </c>
      <c r="D53" s="27" t="str">
        <f ca="1"/>
        <v>MACT</v>
      </c>
      <c r="E53" s="27" t="str">
        <f ca="1"/>
        <v>R001-1052-SS-2025</v>
      </c>
      <c r="F53" s="206">
        <f ca="1"/>
        <v>45964</v>
      </c>
      <c r="G53" s="27" t="str">
        <f ca="1"/>
        <v>Nov-25</v>
      </c>
      <c r="H53" s="29">
        <v>46022</v>
      </c>
      <c r="I53" s="29" t="str">
        <f>TEXT(H53,"mmm-yy")</f>
        <v>Dec-25</v>
      </c>
      <c r="J53" s="29">
        <f t="shared" ca="1" si="0"/>
        <v>46006</v>
      </c>
      <c r="K53" s="27">
        <f t="shared" ca="1" si="1"/>
        <v>58</v>
      </c>
      <c r="L53" s="27" t="str">
        <f t="shared" ca="1" si="2"/>
        <v>AT</v>
      </c>
      <c r="M53" s="27" t="s">
        <v>704</v>
      </c>
      <c r="N53" s="27" t="s">
        <v>720</v>
      </c>
      <c r="O53" s="27" t="s">
        <v>706</v>
      </c>
      <c r="P53" s="27"/>
      <c r="Q53" s="28" t="s">
        <v>1068</v>
      </c>
      <c r="R53" s="93" t="s">
        <v>1069</v>
      </c>
      <c r="S53" s="27" t="s">
        <v>709</v>
      </c>
      <c r="T53" s="27" t="s">
        <v>706</v>
      </c>
      <c r="U53" s="28" t="s">
        <v>767</v>
      </c>
      <c r="V53" s="28"/>
      <c r="W53" s="28"/>
      <c r="X53" s="213" t="s">
        <v>41</v>
      </c>
      <c r="Y53" s="28" t="s">
        <v>176</v>
      </c>
      <c r="Z53" s="93" t="s">
        <v>1070</v>
      </c>
      <c r="AA53" s="27" t="s">
        <v>1071</v>
      </c>
      <c r="AB53" s="27" t="s">
        <v>41</v>
      </c>
      <c r="AC53" s="27" t="s">
        <v>706</v>
      </c>
      <c r="AD53" s="28" t="s">
        <v>66</v>
      </c>
      <c r="AE53" s="28"/>
      <c r="AF53" s="27" t="s">
        <v>1072</v>
      </c>
      <c r="AG53" s="27" t="s">
        <v>706</v>
      </c>
      <c r="AH53" s="27" t="s">
        <v>41</v>
      </c>
      <c r="AI53" s="27" t="s">
        <v>41</v>
      </c>
      <c r="AJ53" s="27" t="s">
        <v>41</v>
      </c>
      <c r="AK53" s="27" t="s">
        <v>41</v>
      </c>
      <c r="AL53" s="27" t="s">
        <v>41</v>
      </c>
      <c r="AM53" s="27" t="s">
        <v>41</v>
      </c>
      <c r="AN53" s="27" t="s">
        <v>41</v>
      </c>
      <c r="AO53" s="27" t="s">
        <v>41</v>
      </c>
      <c r="AP53" s="27" t="s">
        <v>66</v>
      </c>
      <c r="AQ53" s="93" t="s">
        <v>1073</v>
      </c>
      <c r="AR53" s="93"/>
      <c r="AS53" s="27" t="s">
        <v>706</v>
      </c>
      <c r="AT53" s="177" t="s">
        <v>1074</v>
      </c>
      <c r="AU53" s="93" t="s">
        <v>1075</v>
      </c>
      <c r="AV53" s="28" t="s">
        <v>709</v>
      </c>
      <c r="AW53" s="27" t="s">
        <v>41</v>
      </c>
      <c r="AX53" s="27" t="s">
        <v>706</v>
      </c>
      <c r="AY53" s="28" t="s">
        <v>66</v>
      </c>
      <c r="AZ53" s="28"/>
      <c r="BA53" s="28"/>
      <c r="BB53" s="26" t="s">
        <v>41</v>
      </c>
      <c r="BC53" s="27"/>
      <c r="BD53" s="93"/>
      <c r="BE53" s="28" t="s">
        <v>1076</v>
      </c>
      <c r="BF53" s="28"/>
    </row>
    <row r="54" spans="1:58" ht="20.25" customHeight="1">
      <c r="A54" s="27">
        <v>53</v>
      </c>
      <c r="B54" s="254" t="str">
        <f ca="1"/>
        <v>2025212168</v>
      </c>
      <c r="C54" s="137" t="str">
        <f ca="1"/>
        <v>Indusind General Insurance Co Ltd</v>
      </c>
      <c r="D54" s="27" t="str">
        <f ca="1"/>
        <v>MACT</v>
      </c>
      <c r="E54" s="27" t="str">
        <f ca="1"/>
        <v>R001-1053-SS-2025</v>
      </c>
      <c r="F54" s="206">
        <f ca="1"/>
        <v>45964</v>
      </c>
      <c r="G54" s="27" t="str">
        <f ca="1"/>
        <v>Nov-25</v>
      </c>
      <c r="H54" s="27" t="s">
        <v>718</v>
      </c>
      <c r="I54" s="29"/>
      <c r="J54" s="29">
        <f t="shared" ca="1" si="0"/>
        <v>46006</v>
      </c>
      <c r="K54" s="27">
        <f t="shared" ca="1" si="1"/>
        <v>63</v>
      </c>
      <c r="L54" s="27" t="str">
        <f t="shared" ca="1" si="2"/>
        <v>AT</v>
      </c>
      <c r="M54" s="27" t="s">
        <v>704</v>
      </c>
      <c r="N54" s="27" t="s">
        <v>720</v>
      </c>
      <c r="O54" s="27" t="s">
        <v>751</v>
      </c>
      <c r="P54" s="27"/>
      <c r="Q54" s="28" t="s">
        <v>1077</v>
      </c>
      <c r="R54" s="28" t="s">
        <v>1078</v>
      </c>
      <c r="S54" s="27" t="s">
        <v>709</v>
      </c>
      <c r="T54" s="27" t="s">
        <v>706</v>
      </c>
      <c r="U54" s="28" t="s">
        <v>767</v>
      </c>
      <c r="V54" s="28"/>
      <c r="W54" s="28"/>
      <c r="X54" s="213" t="s">
        <v>41</v>
      </c>
      <c r="Y54" s="28" t="s">
        <v>179</v>
      </c>
      <c r="Z54" s="28" t="s">
        <v>1079</v>
      </c>
      <c r="AA54" s="27" t="s">
        <v>709</v>
      </c>
      <c r="AB54" s="27" t="s">
        <v>41</v>
      </c>
      <c r="AC54" s="27" t="s">
        <v>706</v>
      </c>
      <c r="AD54" s="28" t="s">
        <v>66</v>
      </c>
      <c r="AE54" s="28"/>
      <c r="AF54" s="27" t="s">
        <v>1072</v>
      </c>
      <c r="AG54" s="27" t="s">
        <v>706</v>
      </c>
      <c r="AH54" s="27" t="s">
        <v>41</v>
      </c>
      <c r="AI54" s="27" t="s">
        <v>41</v>
      </c>
      <c r="AJ54" s="27" t="s">
        <v>41</v>
      </c>
      <c r="AK54" s="27" t="s">
        <v>41</v>
      </c>
      <c r="AL54" s="27" t="s">
        <v>41</v>
      </c>
      <c r="AM54" s="27" t="s">
        <v>41</v>
      </c>
      <c r="AN54" s="27" t="s">
        <v>41</v>
      </c>
      <c r="AO54" s="27" t="s">
        <v>41</v>
      </c>
      <c r="AP54" s="27" t="s">
        <v>66</v>
      </c>
      <c r="AQ54" s="93" t="s">
        <v>1080</v>
      </c>
      <c r="AR54" s="93"/>
      <c r="AS54" s="27" t="s">
        <v>706</v>
      </c>
      <c r="AT54" s="177" t="s">
        <v>1081</v>
      </c>
      <c r="AU54" s="93" t="s">
        <v>1082</v>
      </c>
      <c r="AV54" s="28" t="s">
        <v>709</v>
      </c>
      <c r="AW54" s="27" t="s">
        <v>41</v>
      </c>
      <c r="AX54" s="27" t="s">
        <v>721</v>
      </c>
      <c r="AY54" s="28" t="s">
        <v>66</v>
      </c>
      <c r="AZ54" s="28"/>
      <c r="BA54" s="28"/>
      <c r="BB54" s="26" t="s">
        <v>41</v>
      </c>
      <c r="BC54" s="27"/>
      <c r="BD54" s="93"/>
      <c r="BE54" s="28"/>
      <c r="BF54" s="28"/>
    </row>
    <row r="55" spans="1:58" ht="20.25" customHeight="1">
      <c r="A55" s="27">
        <v>54</v>
      </c>
      <c r="B55" s="254" t="str">
        <f ca="1"/>
        <v>2025212148</v>
      </c>
      <c r="C55" s="137" t="str">
        <f ca="1"/>
        <v>Indusind General Insurance Co Ltd</v>
      </c>
      <c r="D55" s="27" t="str">
        <f ca="1"/>
        <v>MACT</v>
      </c>
      <c r="E55" s="27" t="str">
        <f ca="1"/>
        <v>R001-1054-SS-2025</v>
      </c>
      <c r="F55" s="206">
        <f ca="1"/>
        <v>45964</v>
      </c>
      <c r="G55" s="27" t="str">
        <f ca="1"/>
        <v>Nov-25</v>
      </c>
      <c r="H55" s="27" t="s">
        <v>718</v>
      </c>
      <c r="I55" s="29"/>
      <c r="J55" s="29">
        <f t="shared" ca="1" si="0"/>
        <v>46006</v>
      </c>
      <c r="K55" s="27">
        <f t="shared" ca="1" si="1"/>
        <v>63</v>
      </c>
      <c r="L55" s="27" t="str">
        <f t="shared" ca="1" si="2"/>
        <v>AT</v>
      </c>
      <c r="M55" s="27" t="s">
        <v>704</v>
      </c>
      <c r="N55" s="27" t="s">
        <v>720</v>
      </c>
      <c r="O55" s="27" t="s">
        <v>751</v>
      </c>
      <c r="P55" s="27"/>
      <c r="Q55" s="28" t="s">
        <v>1083</v>
      </c>
      <c r="R55" s="93" t="s">
        <v>1084</v>
      </c>
      <c r="S55" s="27" t="s">
        <v>845</v>
      </c>
      <c r="T55" s="27" t="s">
        <v>706</v>
      </c>
      <c r="U55" s="28" t="s">
        <v>767</v>
      </c>
      <c r="V55" s="28"/>
      <c r="W55" s="28"/>
      <c r="X55" s="213" t="s">
        <v>41</v>
      </c>
      <c r="Y55" s="28" t="s">
        <v>182</v>
      </c>
      <c r="Z55" s="93" t="s">
        <v>1085</v>
      </c>
      <c r="AA55" s="27" t="s">
        <v>845</v>
      </c>
      <c r="AB55" s="27" t="s">
        <v>41</v>
      </c>
      <c r="AC55" s="27" t="s">
        <v>706</v>
      </c>
      <c r="AD55" s="28" t="s">
        <v>66</v>
      </c>
      <c r="AE55" s="28"/>
      <c r="AF55" s="27" t="s">
        <v>1031</v>
      </c>
      <c r="AG55" s="27" t="s">
        <v>706</v>
      </c>
      <c r="AH55" s="27" t="s">
        <v>41</v>
      </c>
      <c r="AI55" s="27" t="s">
        <v>41</v>
      </c>
      <c r="AJ55" s="27" t="s">
        <v>41</v>
      </c>
      <c r="AK55" s="27" t="s">
        <v>41</v>
      </c>
      <c r="AL55" s="27" t="s">
        <v>41</v>
      </c>
      <c r="AM55" s="27" t="s">
        <v>41</v>
      </c>
      <c r="AN55" s="27" t="s">
        <v>41</v>
      </c>
      <c r="AO55" s="27" t="s">
        <v>41</v>
      </c>
      <c r="AP55" s="27" t="s">
        <v>66</v>
      </c>
      <c r="AQ55" s="93" t="s">
        <v>1086</v>
      </c>
      <c r="AR55" s="93"/>
      <c r="AS55" s="27" t="s">
        <v>706</v>
      </c>
      <c r="AT55" s="177" t="s">
        <v>1087</v>
      </c>
      <c r="AU55" s="93" t="s">
        <v>1088</v>
      </c>
      <c r="AV55" s="28" t="s">
        <v>849</v>
      </c>
      <c r="AW55" s="27" t="s">
        <v>41</v>
      </c>
      <c r="AX55" s="27" t="s">
        <v>721</v>
      </c>
      <c r="AY55" s="28" t="s">
        <v>66</v>
      </c>
      <c r="AZ55" s="28"/>
      <c r="BA55" s="28"/>
      <c r="BB55" s="26" t="s">
        <v>41</v>
      </c>
      <c r="BC55" s="27"/>
      <c r="BD55" s="93"/>
      <c r="BE55" s="28" t="s">
        <v>1089</v>
      </c>
      <c r="BF55" s="28"/>
    </row>
    <row r="56" spans="1:58" ht="20.25" customHeight="1">
      <c r="A56" s="27">
        <v>55</v>
      </c>
      <c r="B56" s="254" t="str">
        <f ca="1"/>
        <v>2025212191</v>
      </c>
      <c r="C56" s="137" t="str">
        <f ca="1"/>
        <v>Indusind General Insurance Co Ltd</v>
      </c>
      <c r="D56" s="27" t="str">
        <f ca="1"/>
        <v>MACT</v>
      </c>
      <c r="E56" s="27" t="str">
        <f ca="1"/>
        <v>R001-1055-SS-2025</v>
      </c>
      <c r="F56" s="206">
        <f ca="1"/>
        <v>45964</v>
      </c>
      <c r="G56" s="27" t="str">
        <f ca="1"/>
        <v>Nov-25</v>
      </c>
      <c r="H56" s="27" t="s">
        <v>718</v>
      </c>
      <c r="I56" s="29"/>
      <c r="J56" s="29">
        <f t="shared" ca="1" si="0"/>
        <v>46006</v>
      </c>
      <c r="K56" s="27">
        <f t="shared" ca="1" si="1"/>
        <v>63</v>
      </c>
      <c r="L56" s="27" t="str">
        <f t="shared" ca="1" si="2"/>
        <v>AT</v>
      </c>
      <c r="M56" s="27" t="s">
        <v>704</v>
      </c>
      <c r="N56" s="27" t="s">
        <v>720</v>
      </c>
      <c r="O56" s="27" t="s">
        <v>721</v>
      </c>
      <c r="P56" s="27"/>
      <c r="Q56" s="28" t="s">
        <v>1090</v>
      </c>
      <c r="R56" s="93" t="s">
        <v>1091</v>
      </c>
      <c r="S56" s="245" t="s">
        <v>774</v>
      </c>
      <c r="T56" s="27" t="s">
        <v>721</v>
      </c>
      <c r="U56" s="28" t="s">
        <v>767</v>
      </c>
      <c r="V56" s="28"/>
      <c r="W56" s="28"/>
      <c r="X56" s="213" t="s">
        <v>41</v>
      </c>
      <c r="Y56" s="28" t="s">
        <v>185</v>
      </c>
      <c r="Z56" s="28" t="s">
        <v>1092</v>
      </c>
      <c r="AA56" s="27" t="s">
        <v>774</v>
      </c>
      <c r="AB56" s="27" t="s">
        <v>41</v>
      </c>
      <c r="AC56" s="27" t="s">
        <v>721</v>
      </c>
      <c r="AD56" s="28" t="s">
        <v>1093</v>
      </c>
      <c r="AE56" s="28"/>
      <c r="AF56" s="27" t="s">
        <v>1094</v>
      </c>
      <c r="AG56" s="27" t="s">
        <v>721</v>
      </c>
      <c r="AH56" s="27" t="s">
        <v>41</v>
      </c>
      <c r="AI56" s="27" t="s">
        <v>41</v>
      </c>
      <c r="AJ56" s="27" t="s">
        <v>41</v>
      </c>
      <c r="AK56" s="27" t="s">
        <v>41</v>
      </c>
      <c r="AL56" s="27" t="s">
        <v>41</v>
      </c>
      <c r="AM56" s="27" t="s">
        <v>41</v>
      </c>
      <c r="AN56" s="27" t="s">
        <v>41</v>
      </c>
      <c r="AO56" s="27" t="s">
        <v>41</v>
      </c>
      <c r="AP56" s="27" t="s">
        <v>66</v>
      </c>
      <c r="AQ56" s="93" t="s">
        <v>1095</v>
      </c>
      <c r="AR56" s="93"/>
      <c r="AS56" s="27" t="s">
        <v>721</v>
      </c>
      <c r="AT56" s="177" t="s">
        <v>1096</v>
      </c>
      <c r="AU56" s="93" t="s">
        <v>1097</v>
      </c>
      <c r="AV56" s="28" t="s">
        <v>1098</v>
      </c>
      <c r="AW56" s="27" t="s">
        <v>41</v>
      </c>
      <c r="AX56" s="27" t="s">
        <v>41</v>
      </c>
      <c r="AY56" s="28" t="s">
        <v>66</v>
      </c>
      <c r="AZ56" s="28"/>
      <c r="BA56" s="28"/>
      <c r="BB56" s="26" t="s">
        <v>41</v>
      </c>
      <c r="BC56" s="27"/>
      <c r="BD56" s="93"/>
      <c r="BE56" s="28"/>
      <c r="BF56" s="28"/>
    </row>
    <row r="57" spans="1:58" ht="20.25" customHeight="1">
      <c r="A57" s="27">
        <v>56</v>
      </c>
      <c r="B57" s="254" t="str">
        <f ca="1"/>
        <v>2025212189</v>
      </c>
      <c r="C57" s="137" t="str">
        <f ca="1"/>
        <v>Indusind General Insurance Co Ltd</v>
      </c>
      <c r="D57" s="27" t="str">
        <f ca="1"/>
        <v>MACT</v>
      </c>
      <c r="E57" s="27" t="str">
        <f ca="1"/>
        <v>R001-1056-SS-2025</v>
      </c>
      <c r="F57" s="206">
        <f ca="1"/>
        <v>45964</v>
      </c>
      <c r="G57" s="27" t="str">
        <f ca="1"/>
        <v>Nov-25</v>
      </c>
      <c r="H57" s="27" t="s">
        <v>718</v>
      </c>
      <c r="I57" s="29"/>
      <c r="J57" s="29">
        <f t="shared" ca="1" si="0"/>
        <v>46006</v>
      </c>
      <c r="K57" s="27">
        <f t="shared" ca="1" si="1"/>
        <v>63</v>
      </c>
      <c r="L57" s="27" t="str">
        <f t="shared" ca="1" si="2"/>
        <v>AT</v>
      </c>
      <c r="M57" s="27" t="s">
        <v>704</v>
      </c>
      <c r="N57" s="27" t="s">
        <v>720</v>
      </c>
      <c r="O57" s="27" t="s">
        <v>721</v>
      </c>
      <c r="P57" s="27"/>
      <c r="Q57" s="28" t="s">
        <v>1099</v>
      </c>
      <c r="R57" s="93" t="s">
        <v>1100</v>
      </c>
      <c r="S57" s="245" t="s">
        <v>774</v>
      </c>
      <c r="T57" s="27" t="s">
        <v>721</v>
      </c>
      <c r="U57" s="28" t="s">
        <v>767</v>
      </c>
      <c r="V57" s="28"/>
      <c r="W57" s="28"/>
      <c r="X57" s="213" t="s">
        <v>41</v>
      </c>
      <c r="Y57" s="28" t="s">
        <v>188</v>
      </c>
      <c r="Z57" s="93" t="s">
        <v>1101</v>
      </c>
      <c r="AA57" s="27" t="s">
        <v>736</v>
      </c>
      <c r="AB57" s="27" t="s">
        <v>41</v>
      </c>
      <c r="AC57" s="27" t="s">
        <v>721</v>
      </c>
      <c r="AD57" s="28" t="s">
        <v>1102</v>
      </c>
      <c r="AE57" s="28"/>
      <c r="AF57" s="27" t="s">
        <v>1094</v>
      </c>
      <c r="AG57" s="27" t="s">
        <v>721</v>
      </c>
      <c r="AH57" s="27" t="s">
        <v>41</v>
      </c>
      <c r="AI57" s="27" t="s">
        <v>41</v>
      </c>
      <c r="AJ57" s="27" t="s">
        <v>41</v>
      </c>
      <c r="AK57" s="27" t="s">
        <v>41</v>
      </c>
      <c r="AL57" s="27" t="s">
        <v>41</v>
      </c>
      <c r="AM57" s="27" t="s">
        <v>41</v>
      </c>
      <c r="AN57" s="27" t="s">
        <v>41</v>
      </c>
      <c r="AO57" s="27" t="s">
        <v>41</v>
      </c>
      <c r="AP57" s="27" t="s">
        <v>66</v>
      </c>
      <c r="AQ57" s="93" t="s">
        <v>1103</v>
      </c>
      <c r="AR57" s="93"/>
      <c r="AS57" s="27" t="s">
        <v>706</v>
      </c>
      <c r="AT57" s="177" t="s">
        <v>1104</v>
      </c>
      <c r="AU57" s="179" t="s">
        <v>1105</v>
      </c>
      <c r="AV57" s="28" t="s">
        <v>774</v>
      </c>
      <c r="AW57" s="27" t="s">
        <v>41</v>
      </c>
      <c r="AX57" s="27" t="s">
        <v>747</v>
      </c>
      <c r="AY57" s="28" t="s">
        <v>66</v>
      </c>
      <c r="AZ57" s="28"/>
      <c r="BA57" s="28"/>
      <c r="BB57" s="26" t="s">
        <v>41</v>
      </c>
      <c r="BC57" s="27"/>
      <c r="BD57" s="93"/>
      <c r="BE57" s="28"/>
      <c r="BF57" s="28"/>
    </row>
    <row r="58" spans="1:58" ht="20.25" customHeight="1">
      <c r="A58" s="27">
        <v>57</v>
      </c>
      <c r="B58" s="254" t="str">
        <f ca="1"/>
        <v>2025212179</v>
      </c>
      <c r="C58" s="137" t="str">
        <f ca="1"/>
        <v>Indusind General Insurance Co Ltd</v>
      </c>
      <c r="D58" s="27" t="str">
        <f ca="1"/>
        <v>MACT</v>
      </c>
      <c r="E58" s="27" t="str">
        <f ca="1"/>
        <v>R001-1057-SS-2025</v>
      </c>
      <c r="F58" s="206">
        <f ca="1"/>
        <v>45964</v>
      </c>
      <c r="G58" s="27" t="str">
        <f ca="1"/>
        <v>Nov-25</v>
      </c>
      <c r="H58" s="27" t="s">
        <v>718</v>
      </c>
      <c r="I58" s="29"/>
      <c r="J58" s="29">
        <f t="shared" ca="1" si="0"/>
        <v>46006</v>
      </c>
      <c r="K58" s="27">
        <f t="shared" ca="1" si="1"/>
        <v>63</v>
      </c>
      <c r="L58" s="27" t="str">
        <f t="shared" ca="1" si="2"/>
        <v>AT</v>
      </c>
      <c r="M58" s="27" t="s">
        <v>704</v>
      </c>
      <c r="N58" s="27" t="s">
        <v>720</v>
      </c>
      <c r="O58" s="27" t="s">
        <v>1106</v>
      </c>
      <c r="P58" s="27"/>
      <c r="Q58" s="28" t="s">
        <v>1107</v>
      </c>
      <c r="R58" s="93" t="s">
        <v>1108</v>
      </c>
      <c r="S58" s="27" t="s">
        <v>774</v>
      </c>
      <c r="T58" s="27" t="s">
        <v>706</v>
      </c>
      <c r="U58" s="28" t="s">
        <v>767</v>
      </c>
      <c r="V58" s="28"/>
      <c r="W58" s="28"/>
      <c r="X58" s="213" t="s">
        <v>41</v>
      </c>
      <c r="Y58" s="28" t="s">
        <v>191</v>
      </c>
      <c r="Z58" s="28" t="s">
        <v>1109</v>
      </c>
      <c r="AA58" s="27" t="s">
        <v>736</v>
      </c>
      <c r="AB58" s="27" t="s">
        <v>41</v>
      </c>
      <c r="AC58" s="26" t="s">
        <v>706</v>
      </c>
      <c r="AD58" s="28" t="s">
        <v>1110</v>
      </c>
      <c r="AE58" s="28"/>
      <c r="AF58" s="27" t="s">
        <v>41</v>
      </c>
      <c r="AG58" s="26" t="s">
        <v>706</v>
      </c>
      <c r="AH58" s="27" t="s">
        <v>41</v>
      </c>
      <c r="AI58" s="27" t="s">
        <v>41</v>
      </c>
      <c r="AJ58" s="27" t="s">
        <v>41</v>
      </c>
      <c r="AK58" s="27" t="s">
        <v>41</v>
      </c>
      <c r="AL58" s="27" t="s">
        <v>41</v>
      </c>
      <c r="AM58" s="27" t="s">
        <v>41</v>
      </c>
      <c r="AN58" s="27" t="s">
        <v>41</v>
      </c>
      <c r="AO58" s="27" t="s">
        <v>41</v>
      </c>
      <c r="AP58" s="27" t="s">
        <v>66</v>
      </c>
      <c r="AQ58" s="93" t="s">
        <v>1111</v>
      </c>
      <c r="AR58" s="93"/>
      <c r="AS58" s="27" t="s">
        <v>706</v>
      </c>
      <c r="AT58" s="177" t="s">
        <v>1112</v>
      </c>
      <c r="AU58" s="93" t="s">
        <v>1113</v>
      </c>
      <c r="AV58" s="28" t="s">
        <v>774</v>
      </c>
      <c r="AW58" s="27" t="s">
        <v>41</v>
      </c>
      <c r="AX58" s="27" t="s">
        <v>1114</v>
      </c>
      <c r="AY58" s="28" t="s">
        <v>66</v>
      </c>
      <c r="AZ58" s="28"/>
      <c r="BA58" s="28"/>
      <c r="BB58" s="26" t="s">
        <v>41</v>
      </c>
      <c r="BC58" s="27"/>
      <c r="BD58" s="93"/>
      <c r="BE58" s="28"/>
      <c r="BF58" s="28"/>
    </row>
    <row r="59" spans="1:58" ht="20.25" customHeight="1">
      <c r="A59" s="27">
        <v>58</v>
      </c>
      <c r="B59" s="254" t="str">
        <f ca="1"/>
        <v>2025212145</v>
      </c>
      <c r="C59" s="137" t="str">
        <f ca="1"/>
        <v>Indusind General Insurance Co Ltd</v>
      </c>
      <c r="D59" s="27" t="str">
        <f ca="1"/>
        <v>MACT</v>
      </c>
      <c r="E59" s="27" t="str">
        <f ca="1"/>
        <v>R001-1058-SS-2025</v>
      </c>
      <c r="F59" s="206">
        <f ca="1"/>
        <v>45964</v>
      </c>
      <c r="G59" s="27" t="str">
        <f ca="1"/>
        <v>Nov-25</v>
      </c>
      <c r="H59" s="27" t="s">
        <v>718</v>
      </c>
      <c r="I59" s="29"/>
      <c r="J59" s="29">
        <f t="shared" ca="1" si="0"/>
        <v>46006</v>
      </c>
      <c r="K59" s="27">
        <f t="shared" ca="1" si="1"/>
        <v>63</v>
      </c>
      <c r="L59" s="27" t="str">
        <f t="shared" ca="1" si="2"/>
        <v>AT</v>
      </c>
      <c r="M59" s="27" t="s">
        <v>704</v>
      </c>
      <c r="N59" s="27" t="s">
        <v>720</v>
      </c>
      <c r="O59" s="27" t="s">
        <v>751</v>
      </c>
      <c r="P59" s="27"/>
      <c r="Q59" s="28" t="s">
        <v>1115</v>
      </c>
      <c r="R59" s="28" t="s">
        <v>1116</v>
      </c>
      <c r="S59" s="27" t="s">
        <v>774</v>
      </c>
      <c r="T59" s="27" t="s">
        <v>706</v>
      </c>
      <c r="U59" s="28" t="s">
        <v>767</v>
      </c>
      <c r="V59" s="28"/>
      <c r="W59" s="28"/>
      <c r="X59" s="213" t="s">
        <v>41</v>
      </c>
      <c r="Y59" s="28" t="s">
        <v>194</v>
      </c>
      <c r="Z59" s="28" t="s">
        <v>1117</v>
      </c>
      <c r="AA59" s="27" t="s">
        <v>774</v>
      </c>
      <c r="AB59" s="27" t="s">
        <v>41</v>
      </c>
      <c r="AC59" s="27" t="s">
        <v>706</v>
      </c>
      <c r="AD59" s="28" t="s">
        <v>1118</v>
      </c>
      <c r="AE59" s="28"/>
      <c r="AF59" s="27" t="str">
        <f>IF(MIS_Backend_Data!AT59="", "", MIS_Backend_Data!AT59)</f>
        <v>0152/2025</v>
      </c>
      <c r="AG59" s="27" t="s">
        <v>706</v>
      </c>
      <c r="AH59" s="27" t="s">
        <v>41</v>
      </c>
      <c r="AI59" s="27" t="s">
        <v>41</v>
      </c>
      <c r="AJ59" s="27" t="s">
        <v>41</v>
      </c>
      <c r="AK59" s="27" t="s">
        <v>41</v>
      </c>
      <c r="AL59" s="27" t="s">
        <v>41</v>
      </c>
      <c r="AM59" s="27" t="s">
        <v>41</v>
      </c>
      <c r="AN59" s="27" t="s">
        <v>41</v>
      </c>
      <c r="AO59" s="27" t="s">
        <v>41</v>
      </c>
      <c r="AP59" s="27" t="s">
        <v>66</v>
      </c>
      <c r="AQ59" s="93" t="s">
        <v>1119</v>
      </c>
      <c r="AR59" s="93"/>
      <c r="AS59" s="27" t="s">
        <v>706</v>
      </c>
      <c r="AT59" s="177" t="s">
        <v>1120</v>
      </c>
      <c r="AU59" s="93" t="s">
        <v>1121</v>
      </c>
      <c r="AV59" s="28" t="s">
        <v>774</v>
      </c>
      <c r="AW59" s="27" t="s">
        <v>41</v>
      </c>
      <c r="AX59" s="27" t="s">
        <v>41</v>
      </c>
      <c r="AY59" s="28" t="s">
        <v>66</v>
      </c>
      <c r="AZ59" s="28"/>
      <c r="BA59" s="28"/>
      <c r="BB59" s="26" t="s">
        <v>41</v>
      </c>
      <c r="BC59" s="27"/>
      <c r="BD59" s="93"/>
      <c r="BE59" s="28"/>
      <c r="BF59" s="28"/>
    </row>
    <row r="60" spans="1:58" ht="20.25" customHeight="1">
      <c r="A60" s="27">
        <v>59</v>
      </c>
      <c r="B60" s="254" t="str">
        <f ca="1"/>
        <v>2025212140</v>
      </c>
      <c r="C60" s="137" t="str">
        <f ca="1"/>
        <v>Indusind General Insurance Co Ltd</v>
      </c>
      <c r="D60" s="27" t="str">
        <f ca="1"/>
        <v>MACT</v>
      </c>
      <c r="E60" s="27" t="str">
        <f ca="1"/>
        <v>R001-1059-SS-2025</v>
      </c>
      <c r="F60" s="206">
        <f ca="1"/>
        <v>45964</v>
      </c>
      <c r="G60" s="27" t="str">
        <f ca="1"/>
        <v>Nov-25</v>
      </c>
      <c r="H60" s="29">
        <v>46021</v>
      </c>
      <c r="I60" s="29" t="str">
        <f>TEXT(H60,"mmm-yy")</f>
        <v>Dec-25</v>
      </c>
      <c r="J60" s="29">
        <f t="shared" ca="1" si="0"/>
        <v>46006</v>
      </c>
      <c r="K60" s="27">
        <f t="shared" ca="1" si="1"/>
        <v>57</v>
      </c>
      <c r="L60" s="27" t="str">
        <f t="shared" ca="1" si="2"/>
        <v>AT</v>
      </c>
      <c r="M60" s="27" t="s">
        <v>704</v>
      </c>
      <c r="N60" s="27" t="s">
        <v>857</v>
      </c>
      <c r="O60" s="27" t="s">
        <v>706</v>
      </c>
      <c r="P60" s="27"/>
      <c r="Q60" s="28" t="s">
        <v>1122</v>
      </c>
      <c r="R60" s="28" t="s">
        <v>1123</v>
      </c>
      <c r="S60" s="27" t="s">
        <v>774</v>
      </c>
      <c r="T60" s="27" t="s">
        <v>706</v>
      </c>
      <c r="U60" s="28" t="s">
        <v>767</v>
      </c>
      <c r="V60" s="28"/>
      <c r="W60" s="28"/>
      <c r="X60" s="213" t="s">
        <v>41</v>
      </c>
      <c r="Y60" s="28" t="s">
        <v>197</v>
      </c>
      <c r="Z60" s="28" t="s">
        <v>1124</v>
      </c>
      <c r="AA60" s="27" t="s">
        <v>774</v>
      </c>
      <c r="AB60" s="27" t="s">
        <v>41</v>
      </c>
      <c r="AC60" s="27" t="s">
        <v>706</v>
      </c>
      <c r="AD60" s="28" t="s">
        <v>197</v>
      </c>
      <c r="AE60" s="331"/>
      <c r="AF60" s="27" t="s">
        <v>777</v>
      </c>
      <c r="AG60" s="27" t="s">
        <v>41</v>
      </c>
      <c r="AH60" s="27" t="s">
        <v>41</v>
      </c>
      <c r="AI60" s="27" t="s">
        <v>41</v>
      </c>
      <c r="AJ60" s="27" t="s">
        <v>41</v>
      </c>
      <c r="AK60" s="27" t="s">
        <v>41</v>
      </c>
      <c r="AL60" s="27" t="s">
        <v>41</v>
      </c>
      <c r="AM60" s="27" t="s">
        <v>41</v>
      </c>
      <c r="AN60" s="27" t="s">
        <v>41</v>
      </c>
      <c r="AO60" s="27" t="s">
        <v>41</v>
      </c>
      <c r="AP60" s="27" t="s">
        <v>66</v>
      </c>
      <c r="AQ60" s="93" t="s">
        <v>1125</v>
      </c>
      <c r="AR60" s="93"/>
      <c r="AS60" s="27" t="s">
        <v>706</v>
      </c>
      <c r="AT60" s="177" t="s">
        <v>1126</v>
      </c>
      <c r="AU60" s="93" t="s">
        <v>1127</v>
      </c>
      <c r="AV60" s="28" t="s">
        <v>1128</v>
      </c>
      <c r="AW60" s="27" t="s">
        <v>41</v>
      </c>
      <c r="AX60" s="27" t="s">
        <v>706</v>
      </c>
      <c r="AY60" s="28" t="s">
        <v>66</v>
      </c>
      <c r="AZ60" s="28"/>
      <c r="BA60" s="28"/>
      <c r="BB60" s="26" t="s">
        <v>41</v>
      </c>
      <c r="BC60" s="27"/>
      <c r="BD60" s="93"/>
      <c r="BE60" s="28"/>
      <c r="BF60" s="28"/>
    </row>
    <row r="61" spans="1:58" ht="20.25" customHeight="1">
      <c r="A61" s="27">
        <v>60</v>
      </c>
      <c r="B61" s="254" t="str">
        <f ca="1"/>
        <v>2025212028</v>
      </c>
      <c r="C61" s="137" t="str">
        <f ca="1"/>
        <v>Indusind General Insurance Co Ltd</v>
      </c>
      <c r="D61" s="27" t="str">
        <f ca="1"/>
        <v>MACT</v>
      </c>
      <c r="E61" s="27" t="str">
        <f ca="1"/>
        <v>R001-1060-SS-2025</v>
      </c>
      <c r="F61" s="206">
        <f ca="1"/>
        <v>45964</v>
      </c>
      <c r="G61" s="27" t="str">
        <f ca="1"/>
        <v>Nov-25</v>
      </c>
      <c r="H61" s="29">
        <v>46015</v>
      </c>
      <c r="I61" s="29" t="str">
        <f t="shared" si="3"/>
        <v>Dec-25</v>
      </c>
      <c r="J61" s="29">
        <f t="shared" ca="1" si="0"/>
        <v>45985</v>
      </c>
      <c r="K61" s="27">
        <f t="shared" ca="1" si="1"/>
        <v>51</v>
      </c>
      <c r="L61" s="27" t="str">
        <f t="shared" ca="1" si="2"/>
        <v>AT</v>
      </c>
      <c r="M61" s="27" t="s">
        <v>750</v>
      </c>
      <c r="N61" s="27" t="s">
        <v>705</v>
      </c>
      <c r="O61" s="27" t="s">
        <v>706</v>
      </c>
      <c r="P61" s="165" t="s">
        <v>1129</v>
      </c>
      <c r="Q61" s="28" t="str">
        <f>IF(MIS_Backend_Data!AF61="", "", MIS_Backend_Data!AF61)</f>
        <v>NA</v>
      </c>
      <c r="R61" s="28"/>
      <c r="S61" s="27"/>
      <c r="T61" s="27" t="s">
        <v>41</v>
      </c>
      <c r="U61" s="28" t="s">
        <v>767</v>
      </c>
      <c r="V61" s="28"/>
      <c r="W61" s="28"/>
      <c r="X61" s="213" t="s">
        <v>41</v>
      </c>
      <c r="Y61" s="28" t="s">
        <v>200</v>
      </c>
      <c r="Z61" s="93" t="s">
        <v>1130</v>
      </c>
      <c r="AA61" s="27" t="s">
        <v>774</v>
      </c>
      <c r="AB61" s="27" t="s">
        <v>41</v>
      </c>
      <c r="AC61" s="27" t="s">
        <v>706</v>
      </c>
      <c r="AD61" s="28" t="s">
        <v>41</v>
      </c>
      <c r="AE61" s="28"/>
      <c r="AF61" s="27" t="s">
        <v>41</v>
      </c>
      <c r="AG61" s="27" t="s">
        <v>41</v>
      </c>
      <c r="AH61" s="27" t="s">
        <v>41</v>
      </c>
      <c r="AI61" s="27" t="s">
        <v>41</v>
      </c>
      <c r="AJ61" s="27" t="s">
        <v>41</v>
      </c>
      <c r="AK61" s="27" t="s">
        <v>41</v>
      </c>
      <c r="AL61" s="27" t="s">
        <v>41</v>
      </c>
      <c r="AM61" s="27" t="s">
        <v>41</v>
      </c>
      <c r="AN61" s="27" t="s">
        <v>41</v>
      </c>
      <c r="AO61" s="27" t="s">
        <v>41</v>
      </c>
      <c r="AP61" s="27" t="s">
        <v>66</v>
      </c>
      <c r="AQ61" s="28" t="s">
        <v>1131</v>
      </c>
      <c r="AR61" s="28"/>
      <c r="AS61" s="27" t="s">
        <v>41</v>
      </c>
      <c r="AT61" s="177"/>
      <c r="AU61" s="28"/>
      <c r="AV61" s="28"/>
      <c r="AW61" s="27" t="s">
        <v>41</v>
      </c>
      <c r="AX61" s="27" t="s">
        <v>41</v>
      </c>
      <c r="AY61" s="28" t="s">
        <v>66</v>
      </c>
      <c r="AZ61" s="28"/>
      <c r="BA61" s="28"/>
      <c r="BB61" s="26" t="s">
        <v>41</v>
      </c>
      <c r="BC61" s="27"/>
      <c r="BD61" s="93"/>
      <c r="BE61" s="165"/>
      <c r="BF61" s="28"/>
    </row>
    <row r="62" spans="1:58" ht="20.25" customHeight="1">
      <c r="A62" s="27">
        <v>61</v>
      </c>
      <c r="B62" s="254" t="str">
        <f ca="1"/>
        <v>2025212222</v>
      </c>
      <c r="C62" s="137" t="str">
        <f ca="1"/>
        <v>Indusind General Insurance Co Ltd</v>
      </c>
      <c r="D62" s="27" t="str">
        <f ca="1"/>
        <v>MACT</v>
      </c>
      <c r="E62" s="27" t="str">
        <f ca="1"/>
        <v>R001-1061-SS-2025</v>
      </c>
      <c r="F62" s="206">
        <f ca="1"/>
        <v>45964</v>
      </c>
      <c r="G62" s="27" t="str">
        <f ca="1"/>
        <v>Nov-25</v>
      </c>
      <c r="H62" s="27" t="s">
        <v>718</v>
      </c>
      <c r="I62" s="29"/>
      <c r="J62" s="29">
        <f t="shared" ca="1" si="0"/>
        <v>45985</v>
      </c>
      <c r="K62" s="27">
        <f t="shared" ca="1" si="1"/>
        <v>63</v>
      </c>
      <c r="L62" s="27" t="str">
        <f t="shared" ca="1" si="2"/>
        <v>AT</v>
      </c>
      <c r="M62" s="27" t="s">
        <v>750</v>
      </c>
      <c r="N62" s="27" t="s">
        <v>720</v>
      </c>
      <c r="O62" s="27" t="s">
        <v>721</v>
      </c>
      <c r="P62" s="68" t="s">
        <v>1132</v>
      </c>
      <c r="Q62" s="28" t="s">
        <v>1133</v>
      </c>
      <c r="R62" s="28" t="s">
        <v>1134</v>
      </c>
      <c r="S62" s="27" t="s">
        <v>774</v>
      </c>
      <c r="T62" s="27" t="s">
        <v>706</v>
      </c>
      <c r="U62" s="28" t="s">
        <v>767</v>
      </c>
      <c r="V62" s="28"/>
      <c r="W62" s="28"/>
      <c r="X62" s="213" t="s">
        <v>41</v>
      </c>
      <c r="Y62" s="28" t="str">
        <f>IF(MIS_Backend_Data!AO62="", "", MIS_Backend_Data!AO62)</f>
        <v>NA</v>
      </c>
      <c r="Z62" s="28" t="s">
        <v>41</v>
      </c>
      <c r="AA62" s="27" t="s">
        <v>66</v>
      </c>
      <c r="AB62" s="27" t="s">
        <v>41</v>
      </c>
      <c r="AC62" s="27" t="s">
        <v>41</v>
      </c>
      <c r="AD62" s="28" t="s">
        <v>41</v>
      </c>
      <c r="AE62" s="28"/>
      <c r="AF62" s="27" t="s">
        <v>41</v>
      </c>
      <c r="AG62" s="27" t="s">
        <v>41</v>
      </c>
      <c r="AH62" s="27" t="s">
        <v>41</v>
      </c>
      <c r="AI62" s="27" t="s">
        <v>41</v>
      </c>
      <c r="AJ62" s="27" t="s">
        <v>41</v>
      </c>
      <c r="AK62" s="27" t="s">
        <v>41</v>
      </c>
      <c r="AL62" s="27" t="s">
        <v>41</v>
      </c>
      <c r="AM62" s="27" t="s">
        <v>41</v>
      </c>
      <c r="AN62" s="27" t="s">
        <v>41</v>
      </c>
      <c r="AO62" s="27" t="s">
        <v>41</v>
      </c>
      <c r="AP62" s="27" t="s">
        <v>66</v>
      </c>
      <c r="AQ62" s="93" t="s">
        <v>1135</v>
      </c>
      <c r="AR62" s="93"/>
      <c r="AS62" s="27" t="s">
        <v>41</v>
      </c>
      <c r="AT62" s="177" t="s">
        <v>1136</v>
      </c>
      <c r="AU62" s="93" t="s">
        <v>1137</v>
      </c>
      <c r="AV62" s="28" t="s">
        <v>741</v>
      </c>
      <c r="AW62" s="27" t="s">
        <v>41</v>
      </c>
      <c r="AX62" s="27" t="s">
        <v>721</v>
      </c>
      <c r="AY62" s="28" t="s">
        <v>66</v>
      </c>
      <c r="AZ62" s="28"/>
      <c r="BA62" s="28"/>
      <c r="BB62" s="26" t="s">
        <v>41</v>
      </c>
      <c r="BC62" s="27"/>
      <c r="BD62" s="93"/>
      <c r="BE62" s="28"/>
      <c r="BF62" s="28"/>
    </row>
    <row r="63" spans="1:58" ht="20.25" customHeight="1">
      <c r="A63" s="27">
        <v>62</v>
      </c>
      <c r="B63" s="254" t="str">
        <f ca="1"/>
        <v>2025212162</v>
      </c>
      <c r="C63" s="137" t="str">
        <f ca="1"/>
        <v>Indusind General Insurance Co Ltd</v>
      </c>
      <c r="D63" s="27" t="str">
        <f ca="1"/>
        <v>MACT</v>
      </c>
      <c r="E63" s="27" t="str">
        <f ca="1"/>
        <v>R001-1062-SS-2025</v>
      </c>
      <c r="F63" s="206">
        <f ca="1"/>
        <v>45964</v>
      </c>
      <c r="G63" s="27" t="str">
        <f ca="1"/>
        <v>Nov-25</v>
      </c>
      <c r="H63" s="27" t="s">
        <v>718</v>
      </c>
      <c r="I63" s="29"/>
      <c r="J63" s="29" t="str">
        <f t="shared" ca="1" si="0"/>
        <v/>
      </c>
      <c r="K63" s="27">
        <f t="shared" ca="1" si="1"/>
        <v>63</v>
      </c>
      <c r="L63" s="27" t="str">
        <f t="shared" ca="1" si="2"/>
        <v>AT</v>
      </c>
      <c r="M63" s="27" t="s">
        <v>719</v>
      </c>
      <c r="N63" s="27" t="s">
        <v>720</v>
      </c>
      <c r="O63" s="27" t="s">
        <v>721</v>
      </c>
      <c r="P63" s="26" t="s">
        <v>1138</v>
      </c>
      <c r="Q63" s="28" t="s">
        <v>1139</v>
      </c>
      <c r="R63" s="28" t="s">
        <v>1140</v>
      </c>
      <c r="S63" s="27" t="s">
        <v>774</v>
      </c>
      <c r="T63" s="27" t="s">
        <v>706</v>
      </c>
      <c r="U63" s="28" t="s">
        <v>767</v>
      </c>
      <c r="V63" s="28"/>
      <c r="W63" s="28"/>
      <c r="X63" s="213" t="s">
        <v>41</v>
      </c>
      <c r="Y63" s="28" t="s">
        <v>41</v>
      </c>
      <c r="Z63" s="28" t="s">
        <v>41</v>
      </c>
      <c r="AA63" s="27" t="s">
        <v>66</v>
      </c>
      <c r="AB63" s="27" t="s">
        <v>41</v>
      </c>
      <c r="AC63" s="27" t="s">
        <v>41</v>
      </c>
      <c r="AD63" s="174" t="s">
        <v>1141</v>
      </c>
      <c r="AE63" s="174"/>
      <c r="AF63" s="27" t="s">
        <v>66</v>
      </c>
      <c r="AG63" s="27" t="s">
        <v>41</v>
      </c>
      <c r="AH63" s="27" t="s">
        <v>41</v>
      </c>
      <c r="AI63" s="27" t="s">
        <v>41</v>
      </c>
      <c r="AJ63" s="27" t="s">
        <v>41</v>
      </c>
      <c r="AK63" s="27" t="s">
        <v>41</v>
      </c>
      <c r="AL63" s="27" t="s">
        <v>41</v>
      </c>
      <c r="AM63" s="27" t="s">
        <v>41</v>
      </c>
      <c r="AN63" s="27" t="s">
        <v>41</v>
      </c>
      <c r="AO63" s="27" t="s">
        <v>41</v>
      </c>
      <c r="AP63" s="27" t="s">
        <v>66</v>
      </c>
      <c r="AQ63" s="28" t="s">
        <v>41</v>
      </c>
      <c r="AR63" s="28"/>
      <c r="AS63" s="27" t="s">
        <v>41</v>
      </c>
      <c r="AT63" s="177" t="s">
        <v>41</v>
      </c>
      <c r="AU63" s="93" t="s">
        <v>41</v>
      </c>
      <c r="AV63" s="28" t="s">
        <v>41</v>
      </c>
      <c r="AW63" s="27" t="s">
        <v>41</v>
      </c>
      <c r="AX63" s="27" t="s">
        <v>721</v>
      </c>
      <c r="AY63" s="28" t="s">
        <v>66</v>
      </c>
      <c r="AZ63" s="28"/>
      <c r="BA63" s="28"/>
      <c r="BB63" s="26" t="s">
        <v>41</v>
      </c>
      <c r="BC63" s="27"/>
      <c r="BD63" s="93"/>
      <c r="BE63" s="28" t="s">
        <v>1142</v>
      </c>
      <c r="BF63" s="28"/>
    </row>
    <row r="64" spans="1:58" ht="20.25" customHeight="1">
      <c r="A64" s="27">
        <v>63</v>
      </c>
      <c r="B64" s="254" t="str">
        <f ca="1"/>
        <v xml:space="preserve">CN074856 </v>
      </c>
      <c r="C64" s="137" t="str">
        <f ca="1"/>
        <v>Generali Central Insurance Company Limited</v>
      </c>
      <c r="D64" s="27" t="str">
        <f ca="1"/>
        <v>MACT</v>
      </c>
      <c r="E64" s="27" t="str">
        <f ca="1"/>
        <v>F001-1063-SS-2025</v>
      </c>
      <c r="F64" s="206">
        <f ca="1"/>
        <v>45968</v>
      </c>
      <c r="G64" s="27" t="str">
        <f ca="1"/>
        <v>Nov-25</v>
      </c>
      <c r="H64" s="29">
        <v>45987</v>
      </c>
      <c r="I64" s="29" t="str">
        <f t="shared" si="3"/>
        <v>Nov-25</v>
      </c>
      <c r="J64" s="29">
        <f t="shared" ca="1" si="0"/>
        <v>45989</v>
      </c>
      <c r="K64" s="27">
        <f t="shared" ca="1" si="1"/>
        <v>19</v>
      </c>
      <c r="L64" s="27" t="str">
        <f t="shared" ca="1" si="2"/>
        <v>AT</v>
      </c>
      <c r="M64" s="27" t="s">
        <v>750</v>
      </c>
      <c r="N64" s="27" t="s">
        <v>705</v>
      </c>
      <c r="O64" s="27" t="s">
        <v>706</v>
      </c>
      <c r="P64" s="358" t="s">
        <v>207</v>
      </c>
      <c r="Q64" s="104" t="s">
        <v>41</v>
      </c>
      <c r="R64" s="104" t="s">
        <v>66</v>
      </c>
      <c r="S64" s="164"/>
      <c r="T64" s="164" t="s">
        <v>41</v>
      </c>
      <c r="U64" s="104" t="s">
        <v>767</v>
      </c>
      <c r="V64" s="104"/>
      <c r="W64" s="104"/>
      <c r="X64" s="213" t="s">
        <v>41</v>
      </c>
      <c r="Y64" s="357" t="s">
        <v>207</v>
      </c>
      <c r="Z64" s="93" t="s">
        <v>1143</v>
      </c>
      <c r="AA64" s="164" t="s">
        <v>837</v>
      </c>
      <c r="AB64" s="164" t="s">
        <v>41</v>
      </c>
      <c r="AC64" s="164" t="s">
        <v>706</v>
      </c>
      <c r="AD64" s="104" t="s">
        <v>66</v>
      </c>
      <c r="AE64" s="358" t="s">
        <v>1141</v>
      </c>
      <c r="AF64" s="358" t="s">
        <v>1144</v>
      </c>
      <c r="AG64" s="164" t="s">
        <v>706</v>
      </c>
      <c r="AH64" s="164" t="s">
        <v>41</v>
      </c>
      <c r="AI64" s="164" t="s">
        <v>41</v>
      </c>
      <c r="AJ64" s="164" t="s">
        <v>66</v>
      </c>
      <c r="AK64" s="164" t="s">
        <v>41</v>
      </c>
      <c r="AL64" s="164" t="s">
        <v>41</v>
      </c>
      <c r="AM64" s="164" t="s">
        <v>41</v>
      </c>
      <c r="AN64" s="164" t="s">
        <v>66</v>
      </c>
      <c r="AO64" s="164" t="s">
        <v>41</v>
      </c>
      <c r="AP64" s="164" t="s">
        <v>66</v>
      </c>
      <c r="AQ64" s="105" t="s">
        <v>41</v>
      </c>
      <c r="AR64" s="105"/>
      <c r="AS64" s="164" t="s">
        <v>41</v>
      </c>
      <c r="AT64" s="104" t="s">
        <v>66</v>
      </c>
      <c r="AU64" s="164" t="s">
        <v>66</v>
      </c>
      <c r="AV64" s="164"/>
      <c r="AW64" s="164"/>
      <c r="AX64" s="164"/>
      <c r="AY64" s="28" t="s">
        <v>66</v>
      </c>
      <c r="AZ64" s="28"/>
      <c r="BA64" s="28"/>
      <c r="BB64" s="26" t="s">
        <v>41</v>
      </c>
      <c r="BC64" s="164"/>
      <c r="BD64" s="105"/>
      <c r="BE64" s="104" t="s">
        <v>1145</v>
      </c>
      <c r="BF64" s="28"/>
    </row>
    <row r="65" spans="1:58" s="57" customFormat="1" ht="20.25" customHeight="1">
      <c r="A65" s="27">
        <v>64</v>
      </c>
      <c r="B65" s="254" t="str">
        <f ca="1"/>
        <v xml:space="preserve">CM596085 </v>
      </c>
      <c r="C65" s="324" t="str">
        <f ca="1"/>
        <v>Generali Central Insurance Company Limited</v>
      </c>
      <c r="D65" s="164" t="str">
        <f ca="1"/>
        <v>MACT</v>
      </c>
      <c r="E65" s="164" t="str">
        <f ca="1"/>
        <v>F001-1064-SS-2025</v>
      </c>
      <c r="F65" s="208">
        <f ca="1"/>
        <v>45968</v>
      </c>
      <c r="G65" s="164" t="str">
        <f ca="1"/>
        <v>Nov-25</v>
      </c>
      <c r="H65" s="29">
        <v>45986</v>
      </c>
      <c r="I65" s="29" t="str">
        <f t="shared" si="3"/>
        <v>Nov-25</v>
      </c>
      <c r="J65" s="29">
        <f t="shared" ca="1" si="0"/>
        <v>45989</v>
      </c>
      <c r="K65" s="27">
        <f t="shared" ca="1" si="1"/>
        <v>18</v>
      </c>
      <c r="L65" s="27" t="str">
        <f t="shared" ca="1" si="2"/>
        <v>AT</v>
      </c>
      <c r="M65" s="164" t="s">
        <v>750</v>
      </c>
      <c r="N65" s="27" t="s">
        <v>705</v>
      </c>
      <c r="O65" s="164" t="s">
        <v>706</v>
      </c>
      <c r="P65" s="193" t="s">
        <v>1146</v>
      </c>
      <c r="Q65" s="28" t="s">
        <v>41</v>
      </c>
      <c r="R65" s="28" t="s">
        <v>66</v>
      </c>
      <c r="S65" s="27"/>
      <c r="T65" s="27" t="s">
        <v>41</v>
      </c>
      <c r="U65" s="28" t="s">
        <v>767</v>
      </c>
      <c r="V65" s="28"/>
      <c r="W65" s="28"/>
      <c r="X65" s="213" t="s">
        <v>41</v>
      </c>
      <c r="Y65" s="28" t="str">
        <f>IF(MIS_Backend_Data!AO65="", "", MIS_Backend_Data!AO65)</f>
        <v>NA</v>
      </c>
      <c r="Z65" s="28" t="s">
        <v>41</v>
      </c>
      <c r="AA65" s="27" t="s">
        <v>41</v>
      </c>
      <c r="AB65" s="27" t="s">
        <v>41</v>
      </c>
      <c r="AC65" s="27" t="s">
        <v>41</v>
      </c>
      <c r="AD65" s="28" t="s">
        <v>66</v>
      </c>
      <c r="AE65" s="28"/>
      <c r="AF65" s="27" t="s">
        <v>41</v>
      </c>
      <c r="AG65" s="27" t="s">
        <v>41</v>
      </c>
      <c r="AH65" s="27" t="s">
        <v>41</v>
      </c>
      <c r="AI65" s="27" t="s">
        <v>41</v>
      </c>
      <c r="AJ65" s="27" t="s">
        <v>41</v>
      </c>
      <c r="AK65" s="27" t="s">
        <v>41</v>
      </c>
      <c r="AL65" s="27" t="s">
        <v>41</v>
      </c>
      <c r="AM65" s="27" t="s">
        <v>41</v>
      </c>
      <c r="AN65" s="27" t="s">
        <v>41</v>
      </c>
      <c r="AO65" s="27" t="s">
        <v>41</v>
      </c>
      <c r="AP65" s="27" t="s">
        <v>66</v>
      </c>
      <c r="AQ65" s="93" t="s">
        <v>1147</v>
      </c>
      <c r="AR65" s="93"/>
      <c r="AS65" s="27" t="s">
        <v>41</v>
      </c>
      <c r="AT65" s="177" t="s">
        <v>1148</v>
      </c>
      <c r="AU65" s="93" t="s">
        <v>1149</v>
      </c>
      <c r="AV65" s="93" t="s">
        <v>849</v>
      </c>
      <c r="AW65" s="27" t="s">
        <v>41</v>
      </c>
      <c r="AX65" s="27" t="s">
        <v>41</v>
      </c>
      <c r="AY65" s="28" t="s">
        <v>66</v>
      </c>
      <c r="AZ65" s="28"/>
      <c r="BA65" s="28"/>
      <c r="BB65" s="26" t="s">
        <v>41</v>
      </c>
      <c r="BC65" s="27"/>
      <c r="BD65" s="93" t="s">
        <v>787</v>
      </c>
      <c r="BE65" s="28"/>
      <c r="BF65" s="104"/>
    </row>
    <row r="66" spans="1:58" ht="20.25" customHeight="1">
      <c r="A66" s="27">
        <v>65</v>
      </c>
      <c r="B66" s="254" t="str">
        <f ca="1"/>
        <v>2025212410</v>
      </c>
      <c r="C66" s="137" t="str">
        <f ca="1"/>
        <v>Indusind General Insurance Co Ltd</v>
      </c>
      <c r="D66" s="27" t="str">
        <f ca="1"/>
        <v>MACT</v>
      </c>
      <c r="E66" s="27" t="str">
        <f ca="1"/>
        <v>R001-1065-SS-2025</v>
      </c>
      <c r="F66" s="206">
        <f ca="1"/>
        <v>45970</v>
      </c>
      <c r="G66" s="27" t="str">
        <f ca="1"/>
        <v>Nov-25</v>
      </c>
      <c r="H66" s="27" t="s">
        <v>718</v>
      </c>
      <c r="I66" s="29"/>
      <c r="J66" s="29">
        <f t="shared" ca="1" si="0"/>
        <v>46010</v>
      </c>
      <c r="K66" s="27">
        <f t="shared" ca="1" si="1"/>
        <v>57</v>
      </c>
      <c r="L66" s="27" t="str">
        <f t="shared" ca="1" si="2"/>
        <v>AT</v>
      </c>
      <c r="M66" s="27" t="s">
        <v>704</v>
      </c>
      <c r="N66" s="27" t="s">
        <v>720</v>
      </c>
      <c r="O66" s="27" t="s">
        <v>721</v>
      </c>
      <c r="P66" s="27"/>
      <c r="Q66" s="28" t="s">
        <v>1150</v>
      </c>
      <c r="R66" s="28" t="s">
        <v>1151</v>
      </c>
      <c r="S66" s="27" t="s">
        <v>871</v>
      </c>
      <c r="T66" s="27" t="s">
        <v>721</v>
      </c>
      <c r="U66" s="27" t="s">
        <v>66</v>
      </c>
      <c r="V66" s="27"/>
      <c r="W66" s="27"/>
      <c r="X66" s="213" t="s">
        <v>41</v>
      </c>
      <c r="Y66" s="28" t="s">
        <v>213</v>
      </c>
      <c r="Z66" s="28" t="s">
        <v>1152</v>
      </c>
      <c r="AA66" s="27" t="s">
        <v>871</v>
      </c>
      <c r="AB66" s="27" t="s">
        <v>41</v>
      </c>
      <c r="AC66" s="27" t="s">
        <v>721</v>
      </c>
      <c r="AD66" s="28" t="s">
        <v>66</v>
      </c>
      <c r="AE66" s="28"/>
      <c r="AF66" s="28" t="s">
        <v>721</v>
      </c>
      <c r="AG66" s="27" t="s">
        <v>721</v>
      </c>
      <c r="AH66" s="27" t="s">
        <v>41</v>
      </c>
      <c r="AI66" s="27" t="s">
        <v>41</v>
      </c>
      <c r="AJ66" s="27" t="s">
        <v>41</v>
      </c>
      <c r="AK66" s="27" t="s">
        <v>41</v>
      </c>
      <c r="AL66" s="27" t="s">
        <v>41</v>
      </c>
      <c r="AM66" s="27" t="s">
        <v>41</v>
      </c>
      <c r="AN66" s="27" t="s">
        <v>41</v>
      </c>
      <c r="AO66" s="27" t="s">
        <v>41</v>
      </c>
      <c r="AP66" s="27" t="s">
        <v>66</v>
      </c>
      <c r="AQ66" s="28" t="s">
        <v>1153</v>
      </c>
      <c r="AR66" s="28"/>
      <c r="AS66" s="27" t="s">
        <v>706</v>
      </c>
      <c r="AT66" s="177" t="s">
        <v>1154</v>
      </c>
      <c r="AU66" s="93" t="s">
        <v>1155</v>
      </c>
      <c r="AV66" s="174" t="s">
        <v>1156</v>
      </c>
      <c r="AW66" s="27" t="s">
        <v>41</v>
      </c>
      <c r="AX66" s="27" t="s">
        <v>706</v>
      </c>
      <c r="AY66" s="28" t="s">
        <v>66</v>
      </c>
      <c r="AZ66" s="28"/>
      <c r="BA66" s="28"/>
      <c r="BB66" s="26" t="s">
        <v>41</v>
      </c>
      <c r="BC66" s="27"/>
      <c r="BD66" s="93"/>
      <c r="BE66" s="28"/>
      <c r="BF66" s="28"/>
    </row>
    <row r="67" spans="1:58" ht="20.25" customHeight="1">
      <c r="A67" s="27">
        <v>66</v>
      </c>
      <c r="B67" s="254" t="str">
        <f ca="1"/>
        <v>2025212250</v>
      </c>
      <c r="C67" s="137" t="str">
        <f ca="1"/>
        <v>Indusind General Insurance Co Ltd</v>
      </c>
      <c r="D67" s="27" t="str">
        <f ca="1"/>
        <v>MACT</v>
      </c>
      <c r="E67" s="27" t="str">
        <f ca="1"/>
        <v>R001-1066-SS-2025</v>
      </c>
      <c r="F67" s="206">
        <f ca="1"/>
        <v>45970</v>
      </c>
      <c r="G67" s="27" t="str">
        <f ca="1"/>
        <v>Nov-25</v>
      </c>
      <c r="H67" s="29">
        <v>46025</v>
      </c>
      <c r="I67" s="29" t="str">
        <f>TEXT(H67,("mmm-yy"))</f>
        <v>Jan-26</v>
      </c>
      <c r="J67" s="29">
        <f t="shared" ref="J67:J130" ca="1" si="4">IF(F67="", "",
    IF(OR(M67="WC Claim", M67="Partial Case"),
        WORKDAY(F67, 15),
    IF(OR(M67="Medical Verification", M67="Full Case"),
        WORKDAY(F67, 30),
    "")))</f>
        <v>46010</v>
      </c>
      <c r="K67" s="27">
        <f t="shared" ref="K67:K130" ca="1" si="5">IF(F67="", "", IF(ISNUMBER(H67), H67 - F67, TODAY() - F67))</f>
        <v>55</v>
      </c>
      <c r="L67" s="27" t="str">
        <f t="shared" ref="L67:L130" ca="1" si="6">IF(K67="", "",
    IF(OR(M67="Partial Case", M67="Medical Verification", M67="WC Claim"),
        IF(K67&lt;=15, "WT", "AT"),
        IF(K67&lt;30, "WT", "AT")
    )
)</f>
        <v>AT</v>
      </c>
      <c r="M67" s="27" t="s">
        <v>704</v>
      </c>
      <c r="N67" s="27" t="s">
        <v>705</v>
      </c>
      <c r="O67" s="27" t="s">
        <v>706</v>
      </c>
      <c r="P67" s="27"/>
      <c r="Q67" s="28" t="s">
        <v>1157</v>
      </c>
      <c r="R67" s="28" t="s">
        <v>1158</v>
      </c>
      <c r="S67" s="27" t="s">
        <v>754</v>
      </c>
      <c r="T67" s="27" t="s">
        <v>706</v>
      </c>
      <c r="U67" s="27" t="s">
        <v>66</v>
      </c>
      <c r="V67" s="27"/>
      <c r="W67" s="27"/>
      <c r="X67" s="213" t="s">
        <v>41</v>
      </c>
      <c r="Y67" s="28" t="s">
        <v>216</v>
      </c>
      <c r="Z67" s="28" t="s">
        <v>1159</v>
      </c>
      <c r="AA67" s="27" t="s">
        <v>754</v>
      </c>
      <c r="AB67" s="27" t="s">
        <v>41</v>
      </c>
      <c r="AC67" s="26" t="s">
        <v>706</v>
      </c>
      <c r="AD67" s="28" t="s">
        <v>66</v>
      </c>
      <c r="AE67" s="28"/>
      <c r="AF67" s="28" t="s">
        <v>66</v>
      </c>
      <c r="AG67" s="26" t="s">
        <v>706</v>
      </c>
      <c r="AH67" s="27" t="s">
        <v>41</v>
      </c>
      <c r="AI67" s="27" t="s">
        <v>41</v>
      </c>
      <c r="AJ67" s="27" t="s">
        <v>41</v>
      </c>
      <c r="AK67" s="27" t="s">
        <v>41</v>
      </c>
      <c r="AL67" s="27" t="s">
        <v>41</v>
      </c>
      <c r="AM67" s="27" t="s">
        <v>41</v>
      </c>
      <c r="AN67" s="27" t="s">
        <v>41</v>
      </c>
      <c r="AO67" s="27" t="s">
        <v>41</v>
      </c>
      <c r="AP67" s="27" t="s">
        <v>66</v>
      </c>
      <c r="AQ67" s="28" t="s">
        <v>1160</v>
      </c>
      <c r="AR67" s="28"/>
      <c r="AS67" s="27" t="s">
        <v>706</v>
      </c>
      <c r="AT67" s="177" t="s">
        <v>1161</v>
      </c>
      <c r="AU67" s="28" t="s">
        <v>1162</v>
      </c>
      <c r="AV67" s="28" t="s">
        <v>1163</v>
      </c>
      <c r="AW67" s="27" t="s">
        <v>41</v>
      </c>
      <c r="AX67" s="27" t="s">
        <v>41</v>
      </c>
      <c r="AY67" s="28" t="s">
        <v>66</v>
      </c>
      <c r="AZ67" s="28"/>
      <c r="BA67" s="28"/>
      <c r="BB67" s="26" t="s">
        <v>41</v>
      </c>
      <c r="BC67" s="27"/>
      <c r="BD67" s="93"/>
      <c r="BE67" s="28"/>
      <c r="BF67" s="28"/>
    </row>
    <row r="68" spans="1:58" ht="20.25" customHeight="1">
      <c r="A68" s="27">
        <v>67</v>
      </c>
      <c r="B68" s="254" t="str">
        <f ca="1"/>
        <v>2025212219</v>
      </c>
      <c r="C68" s="137" t="str">
        <f ca="1"/>
        <v>Indusind General Insurance Co Ltd</v>
      </c>
      <c r="D68" s="27" t="str">
        <f ca="1"/>
        <v>MACT</v>
      </c>
      <c r="E68" s="27" t="str">
        <f ca="1"/>
        <v>R001-1067-SS-2025</v>
      </c>
      <c r="F68" s="206">
        <f ca="1"/>
        <v>45970</v>
      </c>
      <c r="G68" s="27" t="str">
        <f ca="1"/>
        <v>Nov-25</v>
      </c>
      <c r="H68" s="27" t="s">
        <v>718</v>
      </c>
      <c r="I68" s="29"/>
      <c r="J68" s="29">
        <f t="shared" ca="1" si="4"/>
        <v>46010</v>
      </c>
      <c r="K68" s="27">
        <f t="shared" ca="1" si="5"/>
        <v>57</v>
      </c>
      <c r="L68" s="27" t="str">
        <f t="shared" ca="1" si="6"/>
        <v>AT</v>
      </c>
      <c r="M68" s="27" t="s">
        <v>704</v>
      </c>
      <c r="N68" s="27" t="s">
        <v>857</v>
      </c>
      <c r="O68" s="27" t="s">
        <v>857</v>
      </c>
      <c r="P68" s="27"/>
      <c r="Q68" s="28" t="s">
        <v>1164</v>
      </c>
      <c r="R68" s="28" t="s">
        <v>1165</v>
      </c>
      <c r="S68" s="27" t="s">
        <v>924</v>
      </c>
      <c r="T68" s="27" t="s">
        <v>706</v>
      </c>
      <c r="U68" s="27" t="s">
        <v>66</v>
      </c>
      <c r="V68" s="27"/>
      <c r="W68" s="27"/>
      <c r="X68" s="213" t="s">
        <v>41</v>
      </c>
      <c r="Y68" s="28" t="s">
        <v>219</v>
      </c>
      <c r="Z68" s="28" t="s">
        <v>1165</v>
      </c>
      <c r="AA68" s="27" t="s">
        <v>924</v>
      </c>
      <c r="AB68" s="27" t="s">
        <v>41</v>
      </c>
      <c r="AC68" s="26" t="s">
        <v>706</v>
      </c>
      <c r="AD68" s="28" t="s">
        <v>219</v>
      </c>
      <c r="AE68" s="28"/>
      <c r="AF68" s="28" t="s">
        <v>1166</v>
      </c>
      <c r="AG68" s="26" t="s">
        <v>706</v>
      </c>
      <c r="AH68" s="27" t="s">
        <v>41</v>
      </c>
      <c r="AI68" s="27" t="s">
        <v>41</v>
      </c>
      <c r="AJ68" s="27" t="s">
        <v>41</v>
      </c>
      <c r="AK68" s="27" t="s">
        <v>41</v>
      </c>
      <c r="AL68" s="27" t="s">
        <v>41</v>
      </c>
      <c r="AM68" s="27" t="s">
        <v>41</v>
      </c>
      <c r="AN68" s="27" t="s">
        <v>41</v>
      </c>
      <c r="AO68" s="27" t="s">
        <v>41</v>
      </c>
      <c r="AP68" s="27" t="s">
        <v>66</v>
      </c>
      <c r="AQ68" s="28" t="s">
        <v>1167</v>
      </c>
      <c r="AR68" s="28"/>
      <c r="AS68" s="27" t="s">
        <v>706</v>
      </c>
      <c r="AT68" s="177" t="s">
        <v>1168</v>
      </c>
      <c r="AU68" s="28" t="s">
        <v>1169</v>
      </c>
      <c r="AV68" s="28" t="s">
        <v>1170</v>
      </c>
      <c r="AW68" s="27" t="s">
        <v>41</v>
      </c>
      <c r="AX68" s="27" t="s">
        <v>706</v>
      </c>
      <c r="AY68" s="28" t="s">
        <v>66</v>
      </c>
      <c r="AZ68" s="28"/>
      <c r="BA68" s="28"/>
      <c r="BB68" s="26" t="s">
        <v>41</v>
      </c>
      <c r="BC68" s="27"/>
      <c r="BD68" s="93"/>
      <c r="BE68" s="28"/>
      <c r="BF68" s="28"/>
    </row>
    <row r="69" spans="1:58" ht="20.25" customHeight="1">
      <c r="A69" s="27">
        <v>68</v>
      </c>
      <c r="B69" s="254" t="str">
        <f ca="1"/>
        <v>2025212215</v>
      </c>
      <c r="C69" s="137" t="str">
        <f ca="1"/>
        <v>Indusind General Insurance Co Ltd</v>
      </c>
      <c r="D69" s="27" t="str">
        <f ca="1"/>
        <v>MACT</v>
      </c>
      <c r="E69" s="27" t="str">
        <f ca="1"/>
        <v>R001-1068-SS-2025</v>
      </c>
      <c r="F69" s="206">
        <f ca="1"/>
        <v>45970</v>
      </c>
      <c r="G69" s="27" t="str">
        <f ca="1"/>
        <v>Nov-25</v>
      </c>
      <c r="H69" s="27" t="s">
        <v>718</v>
      </c>
      <c r="I69" s="29"/>
      <c r="J69" s="29">
        <f t="shared" ca="1" si="4"/>
        <v>46010</v>
      </c>
      <c r="K69" s="27">
        <f t="shared" ca="1" si="5"/>
        <v>57</v>
      </c>
      <c r="L69" s="27" t="str">
        <f t="shared" ca="1" si="6"/>
        <v>AT</v>
      </c>
      <c r="M69" s="27" t="s">
        <v>704</v>
      </c>
      <c r="N69" s="27" t="s">
        <v>720</v>
      </c>
      <c r="O69" s="27" t="s">
        <v>721</v>
      </c>
      <c r="P69" s="27"/>
      <c r="Q69" s="28" t="s">
        <v>1171</v>
      </c>
      <c r="R69" s="104" t="s">
        <v>1172</v>
      </c>
      <c r="S69" s="27" t="s">
        <v>791</v>
      </c>
      <c r="T69" s="27" t="s">
        <v>706</v>
      </c>
      <c r="U69" s="27" t="s">
        <v>66</v>
      </c>
      <c r="V69" s="27"/>
      <c r="W69" s="27"/>
      <c r="X69" s="213" t="s">
        <v>41</v>
      </c>
      <c r="Y69" s="28" t="s">
        <v>222</v>
      </c>
      <c r="Z69" s="28" t="s">
        <v>1173</v>
      </c>
      <c r="AA69" s="27" t="s">
        <v>741</v>
      </c>
      <c r="AB69" s="27" t="s">
        <v>41</v>
      </c>
      <c r="AC69" s="27" t="s">
        <v>721</v>
      </c>
      <c r="AD69" s="28" t="s">
        <v>1174</v>
      </c>
      <c r="AE69" s="28"/>
      <c r="AF69" s="28" t="s">
        <v>1175</v>
      </c>
      <c r="AG69" s="27" t="s">
        <v>721</v>
      </c>
      <c r="AH69" s="27" t="s">
        <v>41</v>
      </c>
      <c r="AI69" s="27" t="s">
        <v>41</v>
      </c>
      <c r="AJ69" s="27" t="s">
        <v>41</v>
      </c>
      <c r="AK69" s="27" t="s">
        <v>41</v>
      </c>
      <c r="AL69" s="27" t="s">
        <v>41</v>
      </c>
      <c r="AM69" s="27" t="s">
        <v>41</v>
      </c>
      <c r="AN69" s="27" t="s">
        <v>41</v>
      </c>
      <c r="AO69" s="27" t="s">
        <v>41</v>
      </c>
      <c r="AP69" s="27" t="s">
        <v>66</v>
      </c>
      <c r="AQ69" s="28" t="s">
        <v>1176</v>
      </c>
      <c r="AR69" s="28"/>
      <c r="AS69" s="27" t="s">
        <v>721</v>
      </c>
      <c r="AT69" s="177" t="s">
        <v>1177</v>
      </c>
      <c r="AU69" s="28" t="s">
        <v>1178</v>
      </c>
      <c r="AV69" s="28" t="s">
        <v>1179</v>
      </c>
      <c r="AW69" s="27" t="s">
        <v>41</v>
      </c>
      <c r="AX69" s="27" t="s">
        <v>721</v>
      </c>
      <c r="AY69" s="28" t="s">
        <v>66</v>
      </c>
      <c r="AZ69" s="28"/>
      <c r="BA69" s="28"/>
      <c r="BB69" s="26" t="s">
        <v>41</v>
      </c>
      <c r="BC69" s="27"/>
      <c r="BD69" s="93"/>
      <c r="BE69" s="28"/>
      <c r="BF69" s="28"/>
    </row>
    <row r="70" spans="1:58" ht="20.25" customHeight="1">
      <c r="A70" s="27">
        <v>69</v>
      </c>
      <c r="B70" s="254" t="str">
        <f ca="1"/>
        <v>2025212407</v>
      </c>
      <c r="C70" s="137" t="str">
        <f ca="1"/>
        <v>Indusind General Insurance Co Ltd</v>
      </c>
      <c r="D70" s="27" t="str">
        <f ca="1"/>
        <v>MACT</v>
      </c>
      <c r="E70" s="27" t="str">
        <f ca="1"/>
        <v>R001-1069-SS-2025</v>
      </c>
      <c r="F70" s="206">
        <f ca="1"/>
        <v>45970</v>
      </c>
      <c r="G70" s="27" t="str">
        <f ca="1"/>
        <v>Nov-25</v>
      </c>
      <c r="H70" s="27" t="s">
        <v>718</v>
      </c>
      <c r="I70" s="29"/>
      <c r="J70" s="29">
        <f t="shared" ca="1" si="4"/>
        <v>45989</v>
      </c>
      <c r="K70" s="27">
        <f t="shared" ca="1" si="5"/>
        <v>57</v>
      </c>
      <c r="L70" s="27" t="str">
        <f t="shared" ca="1" si="6"/>
        <v>AT</v>
      </c>
      <c r="M70" s="27" t="s">
        <v>750</v>
      </c>
      <c r="N70" s="27" t="s">
        <v>720</v>
      </c>
      <c r="O70" s="27" t="s">
        <v>721</v>
      </c>
      <c r="P70" s="68" t="s">
        <v>1180</v>
      </c>
      <c r="Q70" s="28" t="s">
        <v>1181</v>
      </c>
      <c r="R70" s="28" t="s">
        <v>1182</v>
      </c>
      <c r="S70" s="27" t="s">
        <v>845</v>
      </c>
      <c r="T70" s="27" t="s">
        <v>721</v>
      </c>
      <c r="U70" s="27" t="s">
        <v>66</v>
      </c>
      <c r="V70" s="27"/>
      <c r="W70" s="27"/>
      <c r="X70" s="213" t="s">
        <v>41</v>
      </c>
      <c r="Y70" s="28" t="s">
        <v>41</v>
      </c>
      <c r="Z70" s="28" t="s">
        <v>41</v>
      </c>
      <c r="AA70" s="27" t="s">
        <v>41</v>
      </c>
      <c r="AB70" s="27" t="s">
        <v>41</v>
      </c>
      <c r="AC70" s="27" t="s">
        <v>41</v>
      </c>
      <c r="AD70" s="28" t="s">
        <v>66</v>
      </c>
      <c r="AE70" s="28"/>
      <c r="AF70" s="93" t="s">
        <v>41</v>
      </c>
      <c r="AG70" s="27" t="s">
        <v>41</v>
      </c>
      <c r="AH70" s="27" t="s">
        <v>41</v>
      </c>
      <c r="AI70" s="27" t="s">
        <v>41</v>
      </c>
      <c r="AJ70" s="27" t="s">
        <v>41</v>
      </c>
      <c r="AK70" s="27" t="s">
        <v>41</v>
      </c>
      <c r="AL70" s="27" t="s">
        <v>41</v>
      </c>
      <c r="AM70" s="27" t="s">
        <v>41</v>
      </c>
      <c r="AN70" s="27" t="s">
        <v>41</v>
      </c>
      <c r="AO70" s="27" t="s">
        <v>41</v>
      </c>
      <c r="AP70" s="27" t="s">
        <v>66</v>
      </c>
      <c r="AQ70" s="28" t="s">
        <v>1183</v>
      </c>
      <c r="AR70" s="28"/>
      <c r="AS70" s="27" t="s">
        <v>41</v>
      </c>
      <c r="AT70" s="177" t="s">
        <v>41</v>
      </c>
      <c r="AU70" s="28" t="s">
        <v>41</v>
      </c>
      <c r="AV70" s="28" t="s">
        <v>41</v>
      </c>
      <c r="AW70" s="27" t="s">
        <v>41</v>
      </c>
      <c r="AX70" s="27" t="s">
        <v>66</v>
      </c>
      <c r="AY70" s="28" t="s">
        <v>66</v>
      </c>
      <c r="AZ70" s="28"/>
      <c r="BA70" s="28"/>
      <c r="BB70" s="26" t="s">
        <v>41</v>
      </c>
      <c r="BC70" s="27"/>
      <c r="BD70" s="93"/>
      <c r="BE70" s="165" t="s">
        <v>1184</v>
      </c>
      <c r="BF70" s="28"/>
    </row>
    <row r="71" spans="1:58" ht="20.25" customHeight="1">
      <c r="A71" s="27">
        <v>70</v>
      </c>
      <c r="B71" s="254" t="str">
        <f ca="1"/>
        <v>2025212443</v>
      </c>
      <c r="C71" s="137" t="str">
        <f ca="1"/>
        <v>Indusind General Insurance Co Ltd</v>
      </c>
      <c r="D71" s="27" t="str">
        <f ca="1"/>
        <v>MACT</v>
      </c>
      <c r="E71" s="27" t="str">
        <f ca="1"/>
        <v>R001-1070-SS-2025</v>
      </c>
      <c r="F71" s="206">
        <f ca="1"/>
        <v>45970</v>
      </c>
      <c r="G71" s="27" t="str">
        <f ca="1"/>
        <v>Nov-25</v>
      </c>
      <c r="H71" s="27" t="s">
        <v>718</v>
      </c>
      <c r="I71" s="29"/>
      <c r="J71" s="29">
        <f t="shared" ca="1" si="4"/>
        <v>46010</v>
      </c>
      <c r="K71" s="27">
        <f t="shared" ca="1" si="5"/>
        <v>57</v>
      </c>
      <c r="L71" s="27" t="str">
        <f t="shared" ca="1" si="6"/>
        <v>AT</v>
      </c>
      <c r="M71" s="27" t="s">
        <v>704</v>
      </c>
      <c r="N71" s="27" t="s">
        <v>720</v>
      </c>
      <c r="O71" s="27" t="s">
        <v>721</v>
      </c>
      <c r="P71" s="27"/>
      <c r="Q71" s="28" t="s">
        <v>1185</v>
      </c>
      <c r="R71" s="104" t="s">
        <v>1186</v>
      </c>
      <c r="S71" s="27" t="s">
        <v>791</v>
      </c>
      <c r="T71" s="27" t="s">
        <v>721</v>
      </c>
      <c r="U71" s="27" t="s">
        <v>66</v>
      </c>
      <c r="V71" s="27"/>
      <c r="W71" s="27"/>
      <c r="X71" s="213" t="s">
        <v>41</v>
      </c>
      <c r="Y71" s="28" t="s">
        <v>228</v>
      </c>
      <c r="Z71" s="28" t="s">
        <v>1187</v>
      </c>
      <c r="AA71" s="27" t="s">
        <v>791</v>
      </c>
      <c r="AB71" s="27" t="s">
        <v>41</v>
      </c>
      <c r="AC71" s="27" t="s">
        <v>721</v>
      </c>
      <c r="AD71" s="28" t="s">
        <v>66</v>
      </c>
      <c r="AE71" s="28"/>
      <c r="AF71" s="28" t="s">
        <v>721</v>
      </c>
      <c r="AG71" s="27" t="s">
        <v>721</v>
      </c>
      <c r="AH71" s="27" t="s">
        <v>41</v>
      </c>
      <c r="AI71" s="27" t="s">
        <v>41</v>
      </c>
      <c r="AJ71" s="27" t="s">
        <v>41</v>
      </c>
      <c r="AK71" s="27" t="s">
        <v>41</v>
      </c>
      <c r="AL71" s="27" t="s">
        <v>41</v>
      </c>
      <c r="AM71" s="27" t="s">
        <v>41</v>
      </c>
      <c r="AN71" s="27" t="s">
        <v>41</v>
      </c>
      <c r="AO71" s="27" t="s">
        <v>41</v>
      </c>
      <c r="AP71" s="27" t="s">
        <v>66</v>
      </c>
      <c r="AQ71" s="28" t="s">
        <v>1188</v>
      </c>
      <c r="AR71" s="28"/>
      <c r="AS71" s="27" t="s">
        <v>721</v>
      </c>
      <c r="AT71" s="177" t="s">
        <v>1189</v>
      </c>
      <c r="AU71" s="28" t="s">
        <v>1190</v>
      </c>
      <c r="AV71" s="28" t="s">
        <v>1191</v>
      </c>
      <c r="AW71" s="27" t="s">
        <v>41</v>
      </c>
      <c r="AX71" s="27" t="s">
        <v>706</v>
      </c>
      <c r="AY71" s="28" t="s">
        <v>66</v>
      </c>
      <c r="AZ71" s="28"/>
      <c r="BA71" s="28"/>
      <c r="BB71" s="26" t="s">
        <v>41</v>
      </c>
      <c r="BC71" s="27"/>
      <c r="BD71" s="93"/>
      <c r="BE71" s="28"/>
      <c r="BF71" s="28"/>
    </row>
    <row r="72" spans="1:58" ht="20.25" customHeight="1">
      <c r="A72" s="27">
        <v>71</v>
      </c>
      <c r="B72" s="254" t="str">
        <f ca="1"/>
        <v>2025212467</v>
      </c>
      <c r="C72" s="137" t="str">
        <f ca="1"/>
        <v>Indusind General Insurance Co Ltd</v>
      </c>
      <c r="D72" s="27" t="str">
        <f ca="1"/>
        <v>MACT</v>
      </c>
      <c r="E72" s="27" t="str">
        <f ca="1"/>
        <v>R001-1071-SS-2025</v>
      </c>
      <c r="F72" s="206">
        <f ca="1"/>
        <v>45970</v>
      </c>
      <c r="G72" s="27" t="str">
        <f ca="1"/>
        <v>Nov-25</v>
      </c>
      <c r="H72" s="27" t="s">
        <v>718</v>
      </c>
      <c r="I72" s="29"/>
      <c r="J72" s="29">
        <f t="shared" ca="1" si="4"/>
        <v>46010</v>
      </c>
      <c r="K72" s="27">
        <f t="shared" ca="1" si="5"/>
        <v>57</v>
      </c>
      <c r="L72" s="27" t="str">
        <f t="shared" ca="1" si="6"/>
        <v>AT</v>
      </c>
      <c r="M72" s="27" t="s">
        <v>704</v>
      </c>
      <c r="N72" s="27" t="s">
        <v>720</v>
      </c>
      <c r="O72" s="27" t="s">
        <v>721</v>
      </c>
      <c r="P72" s="27"/>
      <c r="Q72" s="28" t="s">
        <v>1192</v>
      </c>
      <c r="R72" s="28" t="s">
        <v>1193</v>
      </c>
      <c r="S72" s="27" t="s">
        <v>736</v>
      </c>
      <c r="T72" s="27" t="s">
        <v>721</v>
      </c>
      <c r="U72" s="27" t="s">
        <v>66</v>
      </c>
      <c r="V72" s="27"/>
      <c r="W72" s="27"/>
      <c r="X72" s="213" t="s">
        <v>41</v>
      </c>
      <c r="Y72" s="28" t="s">
        <v>231</v>
      </c>
      <c r="Z72" s="28" t="s">
        <v>1194</v>
      </c>
      <c r="AA72" s="27" t="s">
        <v>845</v>
      </c>
      <c r="AB72" s="27" t="s">
        <v>41</v>
      </c>
      <c r="AC72" s="27" t="s">
        <v>721</v>
      </c>
      <c r="AD72" s="28" t="s">
        <v>66</v>
      </c>
      <c r="AE72" s="28"/>
      <c r="AF72" s="28" t="s">
        <v>721</v>
      </c>
      <c r="AG72" s="27" t="s">
        <v>721</v>
      </c>
      <c r="AH72" s="27" t="s">
        <v>41</v>
      </c>
      <c r="AI72" s="27" t="s">
        <v>41</v>
      </c>
      <c r="AJ72" s="27" t="s">
        <v>41</v>
      </c>
      <c r="AK72" s="27" t="s">
        <v>41</v>
      </c>
      <c r="AL72" s="27" t="s">
        <v>41</v>
      </c>
      <c r="AM72" s="27" t="s">
        <v>41</v>
      </c>
      <c r="AN72" s="27" t="s">
        <v>41</v>
      </c>
      <c r="AO72" s="27" t="s">
        <v>41</v>
      </c>
      <c r="AP72" s="27" t="s">
        <v>66</v>
      </c>
      <c r="AQ72" s="28" t="s">
        <v>1195</v>
      </c>
      <c r="AR72" s="28"/>
      <c r="AS72" s="27" t="s">
        <v>721</v>
      </c>
      <c r="AT72" s="177" t="s">
        <v>1196</v>
      </c>
      <c r="AU72" s="28" t="s">
        <v>1197</v>
      </c>
      <c r="AV72" s="28" t="s">
        <v>736</v>
      </c>
      <c r="AW72" s="27" t="s">
        <v>41</v>
      </c>
      <c r="AX72" s="27" t="s">
        <v>721</v>
      </c>
      <c r="AY72" s="28" t="s">
        <v>66</v>
      </c>
      <c r="AZ72" s="28"/>
      <c r="BA72" s="28"/>
      <c r="BB72" s="26" t="s">
        <v>41</v>
      </c>
      <c r="BC72" s="27"/>
      <c r="BD72" s="93"/>
      <c r="BE72" s="28"/>
      <c r="BF72" s="28"/>
    </row>
    <row r="73" spans="1:58" ht="20.25" customHeight="1">
      <c r="A73" s="27">
        <v>72</v>
      </c>
      <c r="B73" s="254" t="str">
        <f ca="1"/>
        <v>2025212380</v>
      </c>
      <c r="C73" s="137" t="str">
        <f ca="1"/>
        <v>Indusind General Insurance Co Ltd</v>
      </c>
      <c r="D73" s="27" t="str">
        <f ca="1"/>
        <v>MACT</v>
      </c>
      <c r="E73" s="27" t="str">
        <f ca="1"/>
        <v>R001-1072-SS-2025</v>
      </c>
      <c r="F73" s="206">
        <f ca="1"/>
        <v>45970</v>
      </c>
      <c r="G73" s="27" t="str">
        <f ca="1"/>
        <v>Nov-25</v>
      </c>
      <c r="H73" s="27" t="s">
        <v>718</v>
      </c>
      <c r="I73" s="29"/>
      <c r="J73" s="29">
        <f t="shared" ca="1" si="4"/>
        <v>46010</v>
      </c>
      <c r="K73" s="27">
        <f t="shared" ca="1" si="5"/>
        <v>57</v>
      </c>
      <c r="L73" s="27" t="str">
        <f t="shared" ca="1" si="6"/>
        <v>AT</v>
      </c>
      <c r="M73" s="27" t="s">
        <v>704</v>
      </c>
      <c r="N73" s="27" t="s">
        <v>720</v>
      </c>
      <c r="O73" s="27" t="s">
        <v>751</v>
      </c>
      <c r="P73" s="27"/>
      <c r="Q73" s="28" t="s">
        <v>1198</v>
      </c>
      <c r="R73" s="93" t="s">
        <v>1199</v>
      </c>
      <c r="S73" s="27" t="s">
        <v>774</v>
      </c>
      <c r="T73" s="27" t="s">
        <v>706</v>
      </c>
      <c r="U73" s="27" t="s">
        <v>66</v>
      </c>
      <c r="V73" s="27"/>
      <c r="W73" s="27"/>
      <c r="X73" s="213" t="s">
        <v>41</v>
      </c>
      <c r="Y73" s="28" t="s">
        <v>234</v>
      </c>
      <c r="Z73" s="93" t="s">
        <v>1200</v>
      </c>
      <c r="AA73" s="27" t="s">
        <v>1071</v>
      </c>
      <c r="AB73" s="27" t="s">
        <v>41</v>
      </c>
      <c r="AC73" s="27" t="s">
        <v>706</v>
      </c>
      <c r="AD73" s="28" t="s">
        <v>66</v>
      </c>
      <c r="AE73" s="28"/>
      <c r="AF73" s="27" t="s">
        <v>41</v>
      </c>
      <c r="AG73" s="26" t="s">
        <v>706</v>
      </c>
      <c r="AH73" s="27" t="s">
        <v>41</v>
      </c>
      <c r="AI73" s="27" t="s">
        <v>41</v>
      </c>
      <c r="AJ73" s="27" t="s">
        <v>41</v>
      </c>
      <c r="AK73" s="27" t="s">
        <v>41</v>
      </c>
      <c r="AL73" s="27" t="s">
        <v>41</v>
      </c>
      <c r="AM73" s="27" t="s">
        <v>41</v>
      </c>
      <c r="AN73" s="27" t="s">
        <v>41</v>
      </c>
      <c r="AO73" s="27" t="s">
        <v>41</v>
      </c>
      <c r="AP73" s="27" t="s">
        <v>66</v>
      </c>
      <c r="AQ73" s="28" t="s">
        <v>1201</v>
      </c>
      <c r="AR73" s="28"/>
      <c r="AS73" s="27" t="s">
        <v>706</v>
      </c>
      <c r="AT73" s="177" t="s">
        <v>1202</v>
      </c>
      <c r="AU73" s="28" t="s">
        <v>1203</v>
      </c>
      <c r="AV73" s="28" t="s">
        <v>1128</v>
      </c>
      <c r="AW73" s="27" t="s">
        <v>41</v>
      </c>
      <c r="AX73" s="27" t="s">
        <v>721</v>
      </c>
      <c r="AY73" s="28" t="s">
        <v>66</v>
      </c>
      <c r="AZ73" s="28"/>
      <c r="BA73" s="28"/>
      <c r="BB73" s="26" t="s">
        <v>41</v>
      </c>
      <c r="BC73" s="27"/>
      <c r="BD73" s="93"/>
      <c r="BE73" s="28"/>
      <c r="BF73" s="28"/>
    </row>
    <row r="74" spans="1:58" ht="20.25" customHeight="1">
      <c r="A74" s="27">
        <v>73</v>
      </c>
      <c r="B74" s="254" t="str">
        <f ca="1"/>
        <v>2025212399</v>
      </c>
      <c r="C74" s="137" t="str">
        <f ca="1"/>
        <v>Indusind General Insurance Co Ltd</v>
      </c>
      <c r="D74" s="27" t="str">
        <f ca="1"/>
        <v>MACT</v>
      </c>
      <c r="E74" s="27" t="str">
        <f ca="1"/>
        <v>R001-1073-SS-2025</v>
      </c>
      <c r="F74" s="206">
        <f ca="1"/>
        <v>45970</v>
      </c>
      <c r="G74" s="27" t="str">
        <f ca="1"/>
        <v>Nov-25</v>
      </c>
      <c r="H74" s="29">
        <v>46022</v>
      </c>
      <c r="I74" s="29" t="str">
        <f>TEXT(H74,"mmm-yy")</f>
        <v>Dec-25</v>
      </c>
      <c r="J74" s="29">
        <f t="shared" ca="1" si="4"/>
        <v>46010</v>
      </c>
      <c r="K74" s="27">
        <f t="shared" ca="1" si="5"/>
        <v>52</v>
      </c>
      <c r="L74" s="27" t="str">
        <f t="shared" ca="1" si="6"/>
        <v>AT</v>
      </c>
      <c r="M74" s="27" t="s">
        <v>704</v>
      </c>
      <c r="N74" s="27" t="s">
        <v>857</v>
      </c>
      <c r="O74" s="27" t="s">
        <v>706</v>
      </c>
      <c r="P74" s="27"/>
      <c r="Q74" s="28" t="s">
        <v>1204</v>
      </c>
      <c r="R74" s="28" t="s">
        <v>1205</v>
      </c>
      <c r="S74" s="27" t="s">
        <v>774</v>
      </c>
      <c r="T74" s="27" t="s">
        <v>706</v>
      </c>
      <c r="U74" s="27" t="s">
        <v>66</v>
      </c>
      <c r="V74" s="27"/>
      <c r="W74" s="27"/>
      <c r="X74" s="213" t="s">
        <v>41</v>
      </c>
      <c r="Y74" s="28" t="s">
        <v>237</v>
      </c>
      <c r="Z74" s="28" t="s">
        <v>1206</v>
      </c>
      <c r="AA74" s="27" t="s">
        <v>774</v>
      </c>
      <c r="AB74" s="27" t="s">
        <v>41</v>
      </c>
      <c r="AC74" s="26" t="s">
        <v>706</v>
      </c>
      <c r="AD74" s="28" t="s">
        <v>66</v>
      </c>
      <c r="AE74" s="28"/>
      <c r="AF74" s="93" t="s">
        <v>1207</v>
      </c>
      <c r="AG74" s="26" t="s">
        <v>706</v>
      </c>
      <c r="AH74" s="27" t="s">
        <v>41</v>
      </c>
      <c r="AI74" s="27" t="s">
        <v>41</v>
      </c>
      <c r="AJ74" s="27" t="s">
        <v>41</v>
      </c>
      <c r="AK74" s="27" t="s">
        <v>41</v>
      </c>
      <c r="AL74" s="27" t="s">
        <v>41</v>
      </c>
      <c r="AM74" s="27" t="s">
        <v>41</v>
      </c>
      <c r="AN74" s="27" t="s">
        <v>41</v>
      </c>
      <c r="AO74" s="27" t="s">
        <v>41</v>
      </c>
      <c r="AP74" s="27" t="s">
        <v>66</v>
      </c>
      <c r="AQ74" s="28" t="s">
        <v>1208</v>
      </c>
      <c r="AR74" s="28"/>
      <c r="AS74" s="26" t="s">
        <v>706</v>
      </c>
      <c r="AT74" s="177" t="s">
        <v>1209</v>
      </c>
      <c r="AU74" s="28" t="s">
        <v>1210</v>
      </c>
      <c r="AV74" s="28" t="s">
        <v>1211</v>
      </c>
      <c r="AW74" s="27" t="s">
        <v>41</v>
      </c>
      <c r="AX74" s="27" t="s">
        <v>706</v>
      </c>
      <c r="AY74" s="28" t="s">
        <v>66</v>
      </c>
      <c r="AZ74" s="28"/>
      <c r="BA74" s="28"/>
      <c r="BB74" s="26" t="s">
        <v>41</v>
      </c>
      <c r="BC74" s="27"/>
      <c r="BD74" s="93"/>
      <c r="BE74" s="28"/>
      <c r="BF74" s="28"/>
    </row>
    <row r="75" spans="1:58" ht="20.25" customHeight="1">
      <c r="A75" s="27">
        <v>74</v>
      </c>
      <c r="B75" s="254" t="str">
        <f ca="1"/>
        <v>2025212401</v>
      </c>
      <c r="C75" s="137" t="str">
        <f ca="1"/>
        <v>Indusind General Insurance Co Ltd</v>
      </c>
      <c r="D75" s="27" t="str">
        <f ca="1"/>
        <v>MACT</v>
      </c>
      <c r="E75" s="27" t="str">
        <f ca="1"/>
        <v>R001-1074-SS-2025</v>
      </c>
      <c r="F75" s="206">
        <f ca="1"/>
        <v>45970</v>
      </c>
      <c r="G75" s="27" t="str">
        <f ca="1"/>
        <v>Nov-25</v>
      </c>
      <c r="H75" s="29">
        <v>46024</v>
      </c>
      <c r="I75" s="29" t="str">
        <f>TEXT(H75,"mmm-yy")</f>
        <v>Jan-26</v>
      </c>
      <c r="J75" s="29">
        <f t="shared" ca="1" si="4"/>
        <v>46010</v>
      </c>
      <c r="K75" s="27">
        <f t="shared" ca="1" si="5"/>
        <v>54</v>
      </c>
      <c r="L75" s="27" t="str">
        <f t="shared" ca="1" si="6"/>
        <v>AT</v>
      </c>
      <c r="M75" s="27" t="s">
        <v>704</v>
      </c>
      <c r="N75" s="27" t="s">
        <v>705</v>
      </c>
      <c r="O75" s="27" t="s">
        <v>706</v>
      </c>
      <c r="P75" s="27"/>
      <c r="Q75" s="28" t="s">
        <v>1212</v>
      </c>
      <c r="R75" s="117" t="s">
        <v>1213</v>
      </c>
      <c r="S75" s="27" t="s">
        <v>709</v>
      </c>
      <c r="T75" s="27" t="s">
        <v>706</v>
      </c>
      <c r="U75" s="27" t="s">
        <v>66</v>
      </c>
      <c r="V75" s="27"/>
      <c r="W75" s="27"/>
      <c r="X75" s="213" t="s">
        <v>41</v>
      </c>
      <c r="Y75" s="28" t="s">
        <v>240</v>
      </c>
      <c r="Z75" s="117" t="s">
        <v>1214</v>
      </c>
      <c r="AA75" s="27" t="s">
        <v>709</v>
      </c>
      <c r="AB75" s="27" t="s">
        <v>41</v>
      </c>
      <c r="AC75" s="27" t="s">
        <v>706</v>
      </c>
      <c r="AD75" s="28" t="s">
        <v>66</v>
      </c>
      <c r="AE75" s="28"/>
      <c r="AF75" s="27" t="s">
        <v>794</v>
      </c>
      <c r="AG75" s="27" t="s">
        <v>706</v>
      </c>
      <c r="AH75" s="27" t="s">
        <v>41</v>
      </c>
      <c r="AI75" s="27" t="s">
        <v>41</v>
      </c>
      <c r="AJ75" s="27" t="s">
        <v>41</v>
      </c>
      <c r="AK75" s="27" t="s">
        <v>41</v>
      </c>
      <c r="AL75" s="27" t="s">
        <v>41</v>
      </c>
      <c r="AM75" s="27" t="s">
        <v>41</v>
      </c>
      <c r="AN75" s="27" t="s">
        <v>41</v>
      </c>
      <c r="AO75" s="27" t="s">
        <v>41</v>
      </c>
      <c r="AP75" s="27" t="s">
        <v>66</v>
      </c>
      <c r="AQ75" s="28" t="s">
        <v>1215</v>
      </c>
      <c r="AR75" s="28"/>
      <c r="AS75" s="27" t="s">
        <v>706</v>
      </c>
      <c r="AT75" s="28" t="s">
        <v>1216</v>
      </c>
      <c r="AU75" s="28" t="s">
        <v>1217</v>
      </c>
      <c r="AV75" s="28" t="s">
        <v>709</v>
      </c>
      <c r="AW75" s="27" t="s">
        <v>41</v>
      </c>
      <c r="AX75" s="27" t="s">
        <v>41</v>
      </c>
      <c r="AY75" s="28" t="s">
        <v>66</v>
      </c>
      <c r="AZ75" s="28"/>
      <c r="BA75" s="28"/>
      <c r="BB75" s="26" t="s">
        <v>41</v>
      </c>
      <c r="BC75" s="27"/>
      <c r="BD75" s="93"/>
      <c r="BE75" s="28"/>
      <c r="BF75" s="28"/>
    </row>
    <row r="76" spans="1:58" ht="20.25" customHeight="1">
      <c r="A76" s="27">
        <v>75</v>
      </c>
      <c r="B76" s="254" t="str">
        <f ca="1"/>
        <v>2025212349</v>
      </c>
      <c r="C76" s="137" t="str">
        <f ca="1"/>
        <v>Indusind General Insurance Co Ltd</v>
      </c>
      <c r="D76" s="27" t="str">
        <f ca="1"/>
        <v>MACT</v>
      </c>
      <c r="E76" s="27" t="str">
        <f ca="1"/>
        <v>R001-1075-SS-2025</v>
      </c>
      <c r="F76" s="206">
        <f ca="1"/>
        <v>45970</v>
      </c>
      <c r="G76" s="27" t="str">
        <f ca="1"/>
        <v>Nov-25</v>
      </c>
      <c r="H76" s="27" t="s">
        <v>718</v>
      </c>
      <c r="I76" s="29"/>
      <c r="J76" s="29">
        <f t="shared" ca="1" si="4"/>
        <v>46010</v>
      </c>
      <c r="K76" s="27">
        <f t="shared" ca="1" si="5"/>
        <v>57</v>
      </c>
      <c r="L76" s="27" t="str">
        <f t="shared" ca="1" si="6"/>
        <v>AT</v>
      </c>
      <c r="M76" s="27" t="s">
        <v>704</v>
      </c>
      <c r="N76" s="27" t="s">
        <v>720</v>
      </c>
      <c r="O76" s="27" t="s">
        <v>751</v>
      </c>
      <c r="P76" s="27"/>
      <c r="Q76" s="28" t="s">
        <v>1218</v>
      </c>
      <c r="R76" s="28" t="s">
        <v>1219</v>
      </c>
      <c r="S76" s="27" t="s">
        <v>915</v>
      </c>
      <c r="T76" s="27" t="s">
        <v>706</v>
      </c>
      <c r="U76" s="28" t="s">
        <v>721</v>
      </c>
      <c r="V76" s="28"/>
      <c r="W76" s="28"/>
      <c r="X76" s="28" t="s">
        <v>721</v>
      </c>
      <c r="Y76" s="28" t="s">
        <v>243</v>
      </c>
      <c r="Z76" s="28" t="s">
        <v>1220</v>
      </c>
      <c r="AA76" s="27" t="s">
        <v>915</v>
      </c>
      <c r="AB76" s="27" t="s">
        <v>41</v>
      </c>
      <c r="AC76" s="26" t="s">
        <v>706</v>
      </c>
      <c r="AD76" s="28" t="s">
        <v>66</v>
      </c>
      <c r="AE76" s="28"/>
      <c r="AF76" s="28" t="s">
        <v>66</v>
      </c>
      <c r="AG76" s="27" t="s">
        <v>706</v>
      </c>
      <c r="AH76" s="27" t="s">
        <v>41</v>
      </c>
      <c r="AI76" s="27" t="s">
        <v>41</v>
      </c>
      <c r="AJ76" s="27" t="s">
        <v>41</v>
      </c>
      <c r="AK76" s="27" t="s">
        <v>41</v>
      </c>
      <c r="AL76" s="27" t="s">
        <v>41</v>
      </c>
      <c r="AM76" s="27" t="s">
        <v>41</v>
      </c>
      <c r="AN76" s="27" t="s">
        <v>41</v>
      </c>
      <c r="AO76" s="27" t="s">
        <v>41</v>
      </c>
      <c r="AP76" s="27" t="s">
        <v>66</v>
      </c>
      <c r="AQ76" s="28" t="s">
        <v>1221</v>
      </c>
      <c r="AR76" s="28"/>
      <c r="AS76" s="26" t="s">
        <v>706</v>
      </c>
      <c r="AT76" s="28" t="s">
        <v>1222</v>
      </c>
      <c r="AU76" s="28" t="s">
        <v>1223</v>
      </c>
      <c r="AV76" s="28" t="s">
        <v>1224</v>
      </c>
      <c r="AW76" s="27" t="s">
        <v>41</v>
      </c>
      <c r="AX76" s="27" t="s">
        <v>721</v>
      </c>
      <c r="AY76" s="28" t="s">
        <v>66</v>
      </c>
      <c r="AZ76" s="28"/>
      <c r="BA76" s="28"/>
      <c r="BB76" s="26" t="s">
        <v>41</v>
      </c>
      <c r="BC76" s="27"/>
      <c r="BD76" s="93"/>
      <c r="BE76" s="28"/>
      <c r="BF76" s="28"/>
    </row>
    <row r="77" spans="1:58" ht="20.25" customHeight="1">
      <c r="A77" s="27">
        <v>76</v>
      </c>
      <c r="B77" s="254" t="str">
        <f ca="1"/>
        <v>2025212447</v>
      </c>
      <c r="C77" s="137" t="str">
        <f ca="1"/>
        <v>Indusind General Insurance Co Ltd</v>
      </c>
      <c r="D77" s="27" t="str">
        <f ca="1"/>
        <v>MACT</v>
      </c>
      <c r="E77" s="27" t="str">
        <f ca="1"/>
        <v>R001-1076-SS-2025</v>
      </c>
      <c r="F77" s="206">
        <f ca="1"/>
        <v>45973</v>
      </c>
      <c r="G77" s="27" t="str">
        <f ca="1"/>
        <v>Nov-25</v>
      </c>
      <c r="H77" s="27" t="s">
        <v>718</v>
      </c>
      <c r="I77" s="29"/>
      <c r="J77" s="29">
        <f t="shared" ca="1" si="4"/>
        <v>46015</v>
      </c>
      <c r="K77" s="27">
        <f t="shared" ca="1" si="5"/>
        <v>54</v>
      </c>
      <c r="L77" s="27" t="str">
        <f t="shared" ca="1" si="6"/>
        <v>AT</v>
      </c>
      <c r="M77" s="27" t="s">
        <v>704</v>
      </c>
      <c r="N77" s="27" t="s">
        <v>720</v>
      </c>
      <c r="O77" s="27" t="s">
        <v>751</v>
      </c>
      <c r="P77" s="27"/>
      <c r="Q77" s="28" t="s">
        <v>1225</v>
      </c>
      <c r="R77" s="93" t="s">
        <v>1226</v>
      </c>
      <c r="S77" s="27" t="s">
        <v>774</v>
      </c>
      <c r="T77" s="27" t="s">
        <v>706</v>
      </c>
      <c r="U77" s="28" t="s">
        <v>948</v>
      </c>
      <c r="V77" s="28"/>
      <c r="W77" s="28"/>
      <c r="X77" s="28" t="s">
        <v>948</v>
      </c>
      <c r="Y77" s="28" t="s">
        <v>246</v>
      </c>
      <c r="Z77" s="28" t="s">
        <v>1227</v>
      </c>
      <c r="AA77" s="27" t="s">
        <v>871</v>
      </c>
      <c r="AB77" s="27" t="s">
        <v>41</v>
      </c>
      <c r="AC77" s="27" t="s">
        <v>706</v>
      </c>
      <c r="AD77" s="28" t="s">
        <v>66</v>
      </c>
      <c r="AE77" s="28"/>
      <c r="AF77" s="27" t="s">
        <v>41</v>
      </c>
      <c r="AG77" s="26" t="s">
        <v>706</v>
      </c>
      <c r="AH77" s="27" t="s">
        <v>41</v>
      </c>
      <c r="AI77" s="27" t="s">
        <v>41</v>
      </c>
      <c r="AJ77" s="27" t="s">
        <v>41</v>
      </c>
      <c r="AK77" s="27" t="s">
        <v>41</v>
      </c>
      <c r="AL77" s="27" t="s">
        <v>41</v>
      </c>
      <c r="AM77" s="27" t="s">
        <v>41</v>
      </c>
      <c r="AN77" s="27" t="s">
        <v>41</v>
      </c>
      <c r="AO77" s="27" t="s">
        <v>41</v>
      </c>
      <c r="AP77" s="27" t="s">
        <v>66</v>
      </c>
      <c r="AQ77" s="28" t="s">
        <v>1228</v>
      </c>
      <c r="AR77" s="28"/>
      <c r="AS77" s="27" t="s">
        <v>706</v>
      </c>
      <c r="AT77" s="177" t="s">
        <v>1229</v>
      </c>
      <c r="AU77" s="28" t="s">
        <v>1230</v>
      </c>
      <c r="AV77" s="28" t="s">
        <v>1128</v>
      </c>
      <c r="AW77" s="27" t="s">
        <v>41</v>
      </c>
      <c r="AX77" s="374" t="s">
        <v>721</v>
      </c>
      <c r="AY77" s="28" t="s">
        <v>66</v>
      </c>
      <c r="AZ77" s="28"/>
      <c r="BA77" s="28"/>
      <c r="BB77" s="26" t="s">
        <v>706</v>
      </c>
      <c r="BC77" s="27"/>
      <c r="BD77" s="93"/>
      <c r="BE77" s="28" t="s">
        <v>1231</v>
      </c>
      <c r="BF77" s="28"/>
    </row>
    <row r="78" spans="1:58" ht="20.25" customHeight="1">
      <c r="A78" s="27">
        <v>77</v>
      </c>
      <c r="B78" s="254" t="str">
        <f ca="1"/>
        <v>MTP-N-2526-004298</v>
      </c>
      <c r="C78" s="137" t="str">
        <f ca="1"/>
        <v>Generali Central Insurance Company Limited</v>
      </c>
      <c r="D78" s="27" t="str">
        <f ca="1"/>
        <v>MACT</v>
      </c>
      <c r="E78" s="27" t="str">
        <f ca="1"/>
        <v>F001-1077-SS-2025</v>
      </c>
      <c r="F78" s="206">
        <f ca="1"/>
        <v>45973</v>
      </c>
      <c r="G78" s="27" t="str">
        <f ca="1"/>
        <v>Nov-25</v>
      </c>
      <c r="H78" s="29">
        <v>46017</v>
      </c>
      <c r="I78" s="29" t="str">
        <f>TEXT(H78,"mmm-yy")</f>
        <v>Dec-25</v>
      </c>
      <c r="J78" s="29">
        <f t="shared" ca="1" si="4"/>
        <v>46015</v>
      </c>
      <c r="K78" s="27">
        <f t="shared" ca="1" si="5"/>
        <v>44</v>
      </c>
      <c r="L78" s="27" t="str">
        <f t="shared" ca="1" si="6"/>
        <v>AT</v>
      </c>
      <c r="M78" s="27" t="s">
        <v>704</v>
      </c>
      <c r="N78" s="27" t="s">
        <v>705</v>
      </c>
      <c r="O78" s="27" t="s">
        <v>706</v>
      </c>
      <c r="P78" s="27"/>
      <c r="Q78" s="28" t="s">
        <v>1232</v>
      </c>
      <c r="R78" s="93" t="s">
        <v>1233</v>
      </c>
      <c r="S78" s="27" t="s">
        <v>837</v>
      </c>
      <c r="T78" s="27" t="s">
        <v>706</v>
      </c>
      <c r="U78" s="28" t="s">
        <v>41</v>
      </c>
      <c r="V78" s="28"/>
      <c r="W78" s="28"/>
      <c r="X78" s="213" t="s">
        <v>41</v>
      </c>
      <c r="Y78" s="28" t="s">
        <v>249</v>
      </c>
      <c r="Z78" s="93" t="s">
        <v>1234</v>
      </c>
      <c r="AA78" s="27" t="s">
        <v>741</v>
      </c>
      <c r="AB78" s="27" t="s">
        <v>41</v>
      </c>
      <c r="AC78" s="27" t="s">
        <v>706</v>
      </c>
      <c r="AD78" s="28" t="s">
        <v>1235</v>
      </c>
      <c r="AE78" s="28"/>
      <c r="AF78" s="28" t="s">
        <v>1236</v>
      </c>
      <c r="AG78" s="27" t="s">
        <v>706</v>
      </c>
      <c r="AH78" s="27" t="s">
        <v>41</v>
      </c>
      <c r="AI78" s="27" t="s">
        <v>41</v>
      </c>
      <c r="AJ78" s="27" t="s">
        <v>41</v>
      </c>
      <c r="AK78" s="27" t="s">
        <v>41</v>
      </c>
      <c r="AL78" s="27" t="s">
        <v>41</v>
      </c>
      <c r="AM78" s="27" t="s">
        <v>41</v>
      </c>
      <c r="AN78" s="27" t="s">
        <v>41</v>
      </c>
      <c r="AO78" s="27" t="s">
        <v>41</v>
      </c>
      <c r="AP78" s="27" t="s">
        <v>66</v>
      </c>
      <c r="AQ78" s="28" t="s">
        <v>1237</v>
      </c>
      <c r="AR78" s="28"/>
      <c r="AS78" s="27" t="s">
        <v>706</v>
      </c>
      <c r="AT78" s="28" t="s">
        <v>1238</v>
      </c>
      <c r="AU78" s="28" t="s">
        <v>1239</v>
      </c>
      <c r="AV78" s="28" t="s">
        <v>1240</v>
      </c>
      <c r="AW78" s="27" t="s">
        <v>41</v>
      </c>
      <c r="AX78" s="28" t="s">
        <v>41</v>
      </c>
      <c r="AY78" s="28" t="s">
        <v>66</v>
      </c>
      <c r="AZ78" s="28"/>
      <c r="BA78" s="28"/>
      <c r="BB78" s="26" t="s">
        <v>706</v>
      </c>
      <c r="BC78" s="27"/>
      <c r="BD78" s="93"/>
      <c r="BE78" s="28" t="s">
        <v>1241</v>
      </c>
      <c r="BF78" s="28"/>
    </row>
    <row r="79" spans="1:58" ht="20.25" customHeight="1">
      <c r="A79" s="27">
        <v>78</v>
      </c>
      <c r="B79" s="254" t="str">
        <f ca="1"/>
        <v>2024213743</v>
      </c>
      <c r="C79" s="137" t="str">
        <f ca="1"/>
        <v>Indusind General Insurance Co Ltd</v>
      </c>
      <c r="D79" s="27" t="str">
        <f ca="1"/>
        <v>MACT</v>
      </c>
      <c r="E79" s="27" t="str">
        <f ca="1"/>
        <v>R001-1078-SS-2025</v>
      </c>
      <c r="F79" s="206">
        <f ca="1"/>
        <v>45974</v>
      </c>
      <c r="G79" s="27" t="str">
        <f ca="1"/>
        <v>Nov-25</v>
      </c>
      <c r="H79" s="27" t="s">
        <v>718</v>
      </c>
      <c r="I79" s="29"/>
      <c r="J79" s="29">
        <f t="shared" ca="1" si="4"/>
        <v>45995</v>
      </c>
      <c r="K79" s="27">
        <f t="shared" ca="1" si="5"/>
        <v>53</v>
      </c>
      <c r="L79" s="27" t="str">
        <f t="shared" ca="1" si="6"/>
        <v>AT</v>
      </c>
      <c r="M79" s="27" t="s">
        <v>750</v>
      </c>
      <c r="N79" s="27" t="s">
        <v>720</v>
      </c>
      <c r="O79" s="27" t="s">
        <v>721</v>
      </c>
      <c r="P79" s="360" t="s">
        <v>1242</v>
      </c>
      <c r="Q79" s="28" t="s">
        <v>41</v>
      </c>
      <c r="R79" s="28" t="s">
        <v>66</v>
      </c>
      <c r="S79" s="27" t="s">
        <v>41</v>
      </c>
      <c r="T79" s="27" t="s">
        <v>41</v>
      </c>
      <c r="U79" s="27" t="s">
        <v>66</v>
      </c>
      <c r="V79" s="27"/>
      <c r="W79" s="27"/>
      <c r="X79" s="213" t="s">
        <v>41</v>
      </c>
      <c r="Y79" s="28" t="s">
        <v>41</v>
      </c>
      <c r="Z79" s="93" t="s">
        <v>66</v>
      </c>
      <c r="AA79" s="27" t="s">
        <v>41</v>
      </c>
      <c r="AB79" s="27" t="s">
        <v>41</v>
      </c>
      <c r="AC79" s="27" t="s">
        <v>41</v>
      </c>
      <c r="AD79" s="28" t="s">
        <v>41</v>
      </c>
      <c r="AE79" s="28"/>
      <c r="AF79" s="28" t="s">
        <v>41</v>
      </c>
      <c r="AG79" s="27" t="s">
        <v>41</v>
      </c>
      <c r="AH79" s="27" t="s">
        <v>41</v>
      </c>
      <c r="AI79" s="27" t="s">
        <v>41</v>
      </c>
      <c r="AJ79" s="27" t="s">
        <v>41</v>
      </c>
      <c r="AK79" s="27" t="s">
        <v>41</v>
      </c>
      <c r="AL79" s="27" t="s">
        <v>41</v>
      </c>
      <c r="AM79" s="27" t="s">
        <v>41</v>
      </c>
      <c r="AN79" s="27" t="s">
        <v>41</v>
      </c>
      <c r="AO79" s="27" t="s">
        <v>41</v>
      </c>
      <c r="AP79" s="27" t="s">
        <v>66</v>
      </c>
      <c r="AQ79" s="93" t="s">
        <v>41</v>
      </c>
      <c r="AR79" s="93"/>
      <c r="AS79" s="27" t="s">
        <v>41</v>
      </c>
      <c r="AT79" s="177" t="s">
        <v>1243</v>
      </c>
      <c r="AU79" s="93" t="s">
        <v>1244</v>
      </c>
      <c r="AV79" s="28" t="s">
        <v>849</v>
      </c>
      <c r="AW79" s="27" t="s">
        <v>41</v>
      </c>
      <c r="AX79" s="27" t="s">
        <v>794</v>
      </c>
      <c r="AY79" s="28" t="s">
        <v>66</v>
      </c>
      <c r="AZ79" s="28"/>
      <c r="BA79" s="28"/>
      <c r="BB79" s="26" t="s">
        <v>41</v>
      </c>
      <c r="BC79" s="27"/>
      <c r="BD79" s="93"/>
      <c r="BE79" s="28"/>
      <c r="BF79" s="28"/>
    </row>
    <row r="80" spans="1:58" ht="20.25" customHeight="1">
      <c r="A80" s="27">
        <v>79</v>
      </c>
      <c r="B80" s="254" t="str">
        <f ca="1"/>
        <v>2025212533</v>
      </c>
      <c r="C80" s="137" t="str">
        <f ca="1"/>
        <v>Indusind General Insurance Co Ltd</v>
      </c>
      <c r="D80" s="27" t="str">
        <f ca="1"/>
        <v>MACT</v>
      </c>
      <c r="E80" s="27" t="str">
        <f ca="1"/>
        <v>R001-1079-SS-2025</v>
      </c>
      <c r="F80" s="206">
        <f ca="1"/>
        <v>45975</v>
      </c>
      <c r="G80" s="27" t="str">
        <f ca="1"/>
        <v>Nov-25</v>
      </c>
      <c r="H80" s="27" t="s">
        <v>718</v>
      </c>
      <c r="I80" s="29"/>
      <c r="J80" s="29">
        <f t="shared" ca="1" si="4"/>
        <v>46017</v>
      </c>
      <c r="K80" s="27">
        <f t="shared" ca="1" si="5"/>
        <v>52</v>
      </c>
      <c r="L80" s="27" t="str">
        <f t="shared" ca="1" si="6"/>
        <v>AT</v>
      </c>
      <c r="M80" s="27" t="s">
        <v>704</v>
      </c>
      <c r="N80" s="27" t="s">
        <v>720</v>
      </c>
      <c r="O80" s="27" t="s">
        <v>721</v>
      </c>
      <c r="P80" s="27"/>
      <c r="Q80" s="28" t="s">
        <v>1245</v>
      </c>
      <c r="R80" s="28" t="s">
        <v>1246</v>
      </c>
      <c r="S80" s="27" t="s">
        <v>791</v>
      </c>
      <c r="T80" s="27" t="s">
        <v>706</v>
      </c>
      <c r="U80" s="27" t="s">
        <v>66</v>
      </c>
      <c r="V80" s="27"/>
      <c r="W80" s="27"/>
      <c r="X80" s="213" t="s">
        <v>41</v>
      </c>
      <c r="Y80" s="28" t="s">
        <v>254</v>
      </c>
      <c r="Z80" s="93" t="s">
        <v>1247</v>
      </c>
      <c r="AA80" s="27" t="s">
        <v>741</v>
      </c>
      <c r="AB80" s="27" t="s">
        <v>794</v>
      </c>
      <c r="AC80" s="26" t="s">
        <v>706</v>
      </c>
      <c r="AD80" s="28" t="s">
        <v>41</v>
      </c>
      <c r="AE80" s="28"/>
      <c r="AF80" s="28" t="s">
        <v>41</v>
      </c>
      <c r="AG80" s="27" t="s">
        <v>794</v>
      </c>
      <c r="AH80" s="27" t="s">
        <v>41</v>
      </c>
      <c r="AI80" s="27" t="s">
        <v>41</v>
      </c>
      <c r="AJ80" s="27" t="s">
        <v>41</v>
      </c>
      <c r="AK80" s="27" t="s">
        <v>41</v>
      </c>
      <c r="AL80" s="27" t="s">
        <v>41</v>
      </c>
      <c r="AM80" s="27" t="s">
        <v>41</v>
      </c>
      <c r="AN80" s="27" t="s">
        <v>41</v>
      </c>
      <c r="AO80" s="27" t="s">
        <v>41</v>
      </c>
      <c r="AP80" s="27" t="s">
        <v>66</v>
      </c>
      <c r="AQ80" s="28" t="s">
        <v>1248</v>
      </c>
      <c r="AR80" s="28"/>
      <c r="AS80" s="27" t="s">
        <v>794</v>
      </c>
      <c r="AT80" s="28" t="s">
        <v>1249</v>
      </c>
      <c r="AU80" s="28" t="s">
        <v>1250</v>
      </c>
      <c r="AV80" s="28" t="s">
        <v>1251</v>
      </c>
      <c r="AW80" s="27" t="s">
        <v>41</v>
      </c>
      <c r="AX80" s="28" t="s">
        <v>706</v>
      </c>
      <c r="AY80" s="28" t="s">
        <v>66</v>
      </c>
      <c r="AZ80" s="28"/>
      <c r="BA80" s="28"/>
      <c r="BB80" s="26" t="s">
        <v>41</v>
      </c>
      <c r="BC80" s="27"/>
      <c r="BD80" s="93"/>
      <c r="BE80" s="28"/>
      <c r="BF80" s="28"/>
    </row>
    <row r="81" spans="1:58" ht="20.25" customHeight="1">
      <c r="A81" s="27">
        <v>80</v>
      </c>
      <c r="B81" s="254" t="str">
        <f ca="1"/>
        <v>2023205098</v>
      </c>
      <c r="C81" s="137" t="str">
        <f ca="1"/>
        <v>Indusind General Insurance Co Ltd</v>
      </c>
      <c r="D81" s="27" t="str">
        <f ca="1"/>
        <v>MACT</v>
      </c>
      <c r="E81" s="27" t="str">
        <f ca="1"/>
        <v>R001-1080-SS-2025</v>
      </c>
      <c r="F81" s="206">
        <f ca="1"/>
        <v>45975</v>
      </c>
      <c r="G81" s="27" t="str">
        <f ca="1"/>
        <v>Nov-25</v>
      </c>
      <c r="H81" s="29">
        <v>46013</v>
      </c>
      <c r="I81" s="29" t="str">
        <f t="shared" ref="I81:I116" si="7">IF(ISBLANK(H81), "", TEXT(H81, "mmm-yy"))</f>
        <v>Dec-25</v>
      </c>
      <c r="J81" s="29" t="str">
        <f t="shared" ca="1" si="4"/>
        <v/>
      </c>
      <c r="K81" s="27">
        <f t="shared" ca="1" si="5"/>
        <v>38</v>
      </c>
      <c r="L81" s="27" t="str">
        <f t="shared" ca="1" si="6"/>
        <v>AT</v>
      </c>
      <c r="M81" s="27" t="s">
        <v>1252</v>
      </c>
      <c r="N81" s="27" t="s">
        <v>705</v>
      </c>
      <c r="O81" s="27" t="s">
        <v>706</v>
      </c>
      <c r="P81" s="27"/>
      <c r="Q81" s="28" t="s">
        <v>1253</v>
      </c>
      <c r="R81" s="105" t="s">
        <v>1254</v>
      </c>
      <c r="S81" s="27" t="s">
        <v>924</v>
      </c>
      <c r="T81" s="27" t="s">
        <v>706</v>
      </c>
      <c r="U81" s="27" t="s">
        <v>66</v>
      </c>
      <c r="V81" s="27"/>
      <c r="W81" s="27"/>
      <c r="X81" s="213" t="s">
        <v>41</v>
      </c>
      <c r="Y81" s="28" t="s">
        <v>257</v>
      </c>
      <c r="Z81" s="93" t="s">
        <v>1255</v>
      </c>
      <c r="AA81" s="27" t="s">
        <v>837</v>
      </c>
      <c r="AB81" s="27" t="s">
        <v>41</v>
      </c>
      <c r="AC81" s="27" t="s">
        <v>41</v>
      </c>
      <c r="AD81" s="28" t="s">
        <v>41</v>
      </c>
      <c r="AE81" s="28"/>
      <c r="AF81" s="28" t="s">
        <v>41</v>
      </c>
      <c r="AG81" s="27" t="s">
        <v>41</v>
      </c>
      <c r="AH81" s="27" t="s">
        <v>41</v>
      </c>
      <c r="AI81" s="27" t="s">
        <v>41</v>
      </c>
      <c r="AJ81" s="27" t="s">
        <v>41</v>
      </c>
      <c r="AK81" s="27" t="s">
        <v>41</v>
      </c>
      <c r="AL81" s="27" t="s">
        <v>41</v>
      </c>
      <c r="AM81" s="27" t="s">
        <v>41</v>
      </c>
      <c r="AN81" s="27" t="s">
        <v>41</v>
      </c>
      <c r="AO81" s="27" t="s">
        <v>41</v>
      </c>
      <c r="AP81" s="27" t="s">
        <v>66</v>
      </c>
      <c r="AQ81" s="28" t="s">
        <v>41</v>
      </c>
      <c r="AR81" s="28"/>
      <c r="AS81" s="27" t="s">
        <v>41</v>
      </c>
      <c r="AT81" s="28" t="s">
        <v>41</v>
      </c>
      <c r="AU81" s="28" t="s">
        <v>41</v>
      </c>
      <c r="AV81" s="28" t="s">
        <v>41</v>
      </c>
      <c r="AW81" s="27" t="s">
        <v>41</v>
      </c>
      <c r="AX81" s="28" t="s">
        <v>41</v>
      </c>
      <c r="AY81" s="28" t="s">
        <v>66</v>
      </c>
      <c r="AZ81" s="28"/>
      <c r="BA81" s="28"/>
      <c r="BB81" s="26" t="s">
        <v>41</v>
      </c>
      <c r="BC81" s="27"/>
      <c r="BD81" s="93"/>
      <c r="BE81" s="28"/>
      <c r="BF81" s="28"/>
    </row>
    <row r="82" spans="1:58" ht="20.25" customHeight="1">
      <c r="A82" s="27">
        <v>81</v>
      </c>
      <c r="B82" s="254" t="str">
        <f ca="1"/>
        <v>2021205783</v>
      </c>
      <c r="C82" s="137" t="str">
        <f ca="1"/>
        <v>Indusind General Insurance Co Ltd</v>
      </c>
      <c r="D82" s="27" t="str">
        <f ca="1"/>
        <v>MACT</v>
      </c>
      <c r="E82" s="27" t="str">
        <f ca="1"/>
        <v>R001-1081-SS-2025</v>
      </c>
      <c r="F82" s="206">
        <f ca="1"/>
        <v>45975</v>
      </c>
      <c r="G82" s="27" t="str">
        <f ca="1"/>
        <v>Nov-25</v>
      </c>
      <c r="H82" s="27" t="s">
        <v>718</v>
      </c>
      <c r="I82" s="29"/>
      <c r="J82" s="29" t="str">
        <f t="shared" ca="1" si="4"/>
        <v/>
      </c>
      <c r="K82" s="27">
        <f t="shared" ca="1" si="5"/>
        <v>52</v>
      </c>
      <c r="L82" s="27" t="str">
        <f t="shared" ca="1" si="6"/>
        <v>AT</v>
      </c>
      <c r="M82" s="27" t="s">
        <v>1252</v>
      </c>
      <c r="N82" s="27" t="s">
        <v>857</v>
      </c>
      <c r="O82" s="27" t="s">
        <v>857</v>
      </c>
      <c r="P82" s="27" t="s">
        <v>634</v>
      </c>
      <c r="Q82" s="28" t="s">
        <v>1256</v>
      </c>
      <c r="R82" s="246" t="s">
        <v>1257</v>
      </c>
      <c r="S82" s="27" t="s">
        <v>915</v>
      </c>
      <c r="T82" s="27" t="s">
        <v>706</v>
      </c>
      <c r="U82" s="27" t="s">
        <v>66</v>
      </c>
      <c r="V82" s="27"/>
      <c r="W82" s="27"/>
      <c r="X82" s="213" t="s">
        <v>41</v>
      </c>
      <c r="Y82" s="28" t="s">
        <v>261</v>
      </c>
      <c r="Z82" s="247" t="s">
        <v>1258</v>
      </c>
      <c r="AA82" s="27" t="s">
        <v>1259</v>
      </c>
      <c r="AB82" s="27" t="s">
        <v>41</v>
      </c>
      <c r="AC82" s="27" t="s">
        <v>41</v>
      </c>
      <c r="AD82" s="28" t="s">
        <v>41</v>
      </c>
      <c r="AE82" s="28"/>
      <c r="AF82" s="28" t="s">
        <v>41</v>
      </c>
      <c r="AG82" s="27" t="s">
        <v>41</v>
      </c>
      <c r="AH82" s="27" t="s">
        <v>41</v>
      </c>
      <c r="AI82" s="27" t="s">
        <v>41</v>
      </c>
      <c r="AJ82" s="27" t="s">
        <v>41</v>
      </c>
      <c r="AK82" s="27" t="s">
        <v>41</v>
      </c>
      <c r="AL82" s="27" t="s">
        <v>41</v>
      </c>
      <c r="AM82" s="27" t="s">
        <v>41</v>
      </c>
      <c r="AN82" s="27" t="s">
        <v>41</v>
      </c>
      <c r="AO82" s="27" t="s">
        <v>41</v>
      </c>
      <c r="AP82" s="27" t="s">
        <v>66</v>
      </c>
      <c r="AQ82" s="28" t="s">
        <v>41</v>
      </c>
      <c r="AR82" s="28"/>
      <c r="AS82" s="27" t="s">
        <v>41</v>
      </c>
      <c r="AT82" s="28" t="s">
        <v>41</v>
      </c>
      <c r="AU82" s="28" t="s">
        <v>41</v>
      </c>
      <c r="AV82" s="28" t="s">
        <v>41</v>
      </c>
      <c r="AW82" s="27" t="s">
        <v>41</v>
      </c>
      <c r="AX82" s="28" t="s">
        <v>41</v>
      </c>
      <c r="AY82" s="28" t="s">
        <v>66</v>
      </c>
      <c r="AZ82" s="28"/>
      <c r="BA82" s="28"/>
      <c r="BB82" s="26" t="s">
        <v>41</v>
      </c>
      <c r="BC82" s="27"/>
      <c r="BD82" s="93"/>
      <c r="BE82" s="28" t="s">
        <v>1260</v>
      </c>
      <c r="BF82" s="28"/>
    </row>
    <row r="83" spans="1:58" ht="20.25" customHeight="1">
      <c r="A83" s="27">
        <v>82</v>
      </c>
      <c r="B83" s="254" t="str">
        <f ca="1"/>
        <v>2020208122</v>
      </c>
      <c r="C83" s="137" t="str">
        <f ca="1"/>
        <v>Indusind General Insurance Co Ltd</v>
      </c>
      <c r="D83" s="27" t="str">
        <f ca="1"/>
        <v>MACT</v>
      </c>
      <c r="E83" s="27" t="str">
        <f ca="1"/>
        <v>R001-1082-SS-2025</v>
      </c>
      <c r="F83" s="206">
        <f ca="1"/>
        <v>45975</v>
      </c>
      <c r="G83" s="27" t="str">
        <f ca="1"/>
        <v>Nov-25</v>
      </c>
      <c r="H83" s="29">
        <v>45997</v>
      </c>
      <c r="I83" s="29" t="str">
        <f t="shared" si="7"/>
        <v>Dec-25</v>
      </c>
      <c r="J83" s="29" t="str">
        <f t="shared" ca="1" si="4"/>
        <v/>
      </c>
      <c r="K83" s="27">
        <f t="shared" ca="1" si="5"/>
        <v>22</v>
      </c>
      <c r="L83" s="27" t="str">
        <f t="shared" ca="1" si="6"/>
        <v>WT</v>
      </c>
      <c r="M83" s="27" t="s">
        <v>1252</v>
      </c>
      <c r="N83" s="27" t="s">
        <v>705</v>
      </c>
      <c r="O83" s="27" t="s">
        <v>706</v>
      </c>
      <c r="P83" s="27"/>
      <c r="Q83" s="28" t="s">
        <v>1261</v>
      </c>
      <c r="R83" s="28" t="s">
        <v>1262</v>
      </c>
      <c r="S83" s="27" t="s">
        <v>915</v>
      </c>
      <c r="T83" s="27" t="s">
        <v>706</v>
      </c>
      <c r="U83" s="27" t="s">
        <v>66</v>
      </c>
      <c r="V83" s="27"/>
      <c r="W83" s="27"/>
      <c r="X83" s="213" t="s">
        <v>41</v>
      </c>
      <c r="Y83" s="28" t="s">
        <v>264</v>
      </c>
      <c r="Z83" s="93" t="s">
        <v>1263</v>
      </c>
      <c r="AA83" s="27" t="s">
        <v>915</v>
      </c>
      <c r="AB83" s="27" t="s">
        <v>41</v>
      </c>
      <c r="AC83" s="27" t="s">
        <v>41</v>
      </c>
      <c r="AD83" s="28" t="s">
        <v>41</v>
      </c>
      <c r="AE83" s="28"/>
      <c r="AF83" s="28" t="s">
        <v>41</v>
      </c>
      <c r="AG83" s="27" t="s">
        <v>41</v>
      </c>
      <c r="AH83" s="27" t="s">
        <v>41</v>
      </c>
      <c r="AI83" s="27" t="s">
        <v>41</v>
      </c>
      <c r="AJ83" s="27" t="s">
        <v>41</v>
      </c>
      <c r="AK83" s="27" t="s">
        <v>41</v>
      </c>
      <c r="AL83" s="27" t="s">
        <v>41</v>
      </c>
      <c r="AM83" s="27" t="s">
        <v>41</v>
      </c>
      <c r="AN83" s="27" t="s">
        <v>41</v>
      </c>
      <c r="AO83" s="27" t="s">
        <v>41</v>
      </c>
      <c r="AP83" s="27" t="s">
        <v>66</v>
      </c>
      <c r="AQ83" s="28" t="s">
        <v>41</v>
      </c>
      <c r="AR83" s="28"/>
      <c r="AS83" s="27" t="s">
        <v>41</v>
      </c>
      <c r="AT83" s="28" t="s">
        <v>41</v>
      </c>
      <c r="AU83" s="28" t="s">
        <v>41</v>
      </c>
      <c r="AV83" s="28" t="s">
        <v>41</v>
      </c>
      <c r="AW83" s="27" t="s">
        <v>41</v>
      </c>
      <c r="AX83" s="28" t="s">
        <v>41</v>
      </c>
      <c r="AY83" s="28" t="s">
        <v>66</v>
      </c>
      <c r="AZ83" s="28"/>
      <c r="BA83" s="28"/>
      <c r="BB83" s="26" t="s">
        <v>41</v>
      </c>
      <c r="BC83" s="27"/>
      <c r="BD83" s="93"/>
      <c r="BE83" s="28"/>
      <c r="BF83" s="28"/>
    </row>
    <row r="84" spans="1:58" ht="20.25" customHeight="1">
      <c r="A84" s="27">
        <v>83</v>
      </c>
      <c r="B84" s="254" t="str">
        <f ca="1"/>
        <v>2019201744</v>
      </c>
      <c r="C84" s="137" t="str">
        <f ca="1"/>
        <v>Indusind General Insurance Co Ltd</v>
      </c>
      <c r="D84" s="27" t="str">
        <f ca="1"/>
        <v>MACT</v>
      </c>
      <c r="E84" s="27" t="str">
        <f ca="1"/>
        <v>R001-1083-SS-2025</v>
      </c>
      <c r="F84" s="206">
        <f ca="1"/>
        <v>45975</v>
      </c>
      <c r="G84" s="27" t="str">
        <f ca="1"/>
        <v>Nov-25</v>
      </c>
      <c r="H84" s="29">
        <v>46011</v>
      </c>
      <c r="I84" s="29" t="str">
        <f t="shared" si="7"/>
        <v>Dec-25</v>
      </c>
      <c r="J84" s="29" t="str">
        <f t="shared" ca="1" si="4"/>
        <v/>
      </c>
      <c r="K84" s="27">
        <f t="shared" ca="1" si="5"/>
        <v>36</v>
      </c>
      <c r="L84" s="27" t="str">
        <f t="shared" ca="1" si="6"/>
        <v>AT</v>
      </c>
      <c r="M84" s="27" t="s">
        <v>1252</v>
      </c>
      <c r="N84" s="27" t="s">
        <v>705</v>
      </c>
      <c r="O84" s="27" t="s">
        <v>706</v>
      </c>
      <c r="P84" s="27"/>
      <c r="Q84" s="28" t="s">
        <v>1264</v>
      </c>
      <c r="R84" s="28" t="s">
        <v>1265</v>
      </c>
      <c r="S84" s="27" t="s">
        <v>871</v>
      </c>
      <c r="T84" s="27" t="s">
        <v>706</v>
      </c>
      <c r="U84" s="27" t="s">
        <v>66</v>
      </c>
      <c r="V84" s="27"/>
      <c r="W84" s="27"/>
      <c r="X84" s="213" t="s">
        <v>41</v>
      </c>
      <c r="Y84" s="28" t="s">
        <v>267</v>
      </c>
      <c r="Z84" s="93" t="s">
        <v>1266</v>
      </c>
      <c r="AA84" s="27" t="s">
        <v>41</v>
      </c>
      <c r="AB84" s="27" t="s">
        <v>41</v>
      </c>
      <c r="AC84" s="27" t="s">
        <v>41</v>
      </c>
      <c r="AD84" s="28" t="s">
        <v>41</v>
      </c>
      <c r="AE84" s="28"/>
      <c r="AF84" s="28" t="s">
        <v>41</v>
      </c>
      <c r="AG84" s="27" t="s">
        <v>41</v>
      </c>
      <c r="AH84" s="27" t="s">
        <v>41</v>
      </c>
      <c r="AI84" s="27" t="s">
        <v>41</v>
      </c>
      <c r="AJ84" s="27" t="s">
        <v>41</v>
      </c>
      <c r="AK84" s="27" t="s">
        <v>41</v>
      </c>
      <c r="AL84" s="27" t="s">
        <v>41</v>
      </c>
      <c r="AM84" s="27" t="s">
        <v>41</v>
      </c>
      <c r="AN84" s="27" t="s">
        <v>41</v>
      </c>
      <c r="AO84" s="27" t="s">
        <v>41</v>
      </c>
      <c r="AP84" s="27" t="s">
        <v>66</v>
      </c>
      <c r="AQ84" s="28" t="s">
        <v>41</v>
      </c>
      <c r="AR84" s="28"/>
      <c r="AS84" s="27" t="s">
        <v>41</v>
      </c>
      <c r="AT84" s="28" t="s">
        <v>41</v>
      </c>
      <c r="AU84" s="28" t="s">
        <v>41</v>
      </c>
      <c r="AV84" s="28" t="s">
        <v>41</v>
      </c>
      <c r="AW84" s="27" t="s">
        <v>41</v>
      </c>
      <c r="AX84" s="28" t="s">
        <v>41</v>
      </c>
      <c r="AY84" s="28" t="s">
        <v>66</v>
      </c>
      <c r="AZ84" s="28"/>
      <c r="BA84" s="28"/>
      <c r="BB84" s="26" t="s">
        <v>41</v>
      </c>
      <c r="BC84" s="27"/>
      <c r="BD84" s="93"/>
      <c r="BE84" s="28"/>
      <c r="BF84" s="28"/>
    </row>
    <row r="85" spans="1:58" ht="20.25" customHeight="1">
      <c r="A85" s="27">
        <v>84</v>
      </c>
      <c r="B85" s="254" t="str">
        <f ca="1"/>
        <v>2022209063</v>
      </c>
      <c r="C85" s="137" t="str">
        <f ca="1"/>
        <v>Indusind General Insurance Co Ltd</v>
      </c>
      <c r="D85" s="27" t="str">
        <f ca="1"/>
        <v>MACT</v>
      </c>
      <c r="E85" s="27" t="str">
        <f ca="1"/>
        <v>R001-1084-SS-2025</v>
      </c>
      <c r="F85" s="206">
        <f ca="1"/>
        <v>45975</v>
      </c>
      <c r="G85" s="27" t="str">
        <f ca="1"/>
        <v>Nov-25</v>
      </c>
      <c r="H85" s="29">
        <v>46011</v>
      </c>
      <c r="I85" s="29" t="str">
        <f t="shared" si="7"/>
        <v>Dec-25</v>
      </c>
      <c r="J85" s="29" t="str">
        <f t="shared" ca="1" si="4"/>
        <v/>
      </c>
      <c r="K85" s="27">
        <f t="shared" ca="1" si="5"/>
        <v>36</v>
      </c>
      <c r="L85" s="27" t="str">
        <f t="shared" ca="1" si="6"/>
        <v>AT</v>
      </c>
      <c r="M85" s="27" t="s">
        <v>1252</v>
      </c>
      <c r="N85" s="27" t="s">
        <v>705</v>
      </c>
      <c r="O85" s="27" t="s">
        <v>706</v>
      </c>
      <c r="P85" s="27"/>
      <c r="Q85" s="28" t="s">
        <v>1267</v>
      </c>
      <c r="R85" s="28" t="s">
        <v>1268</v>
      </c>
      <c r="S85" s="27" t="s">
        <v>963</v>
      </c>
      <c r="T85" s="27" t="s">
        <v>706</v>
      </c>
      <c r="U85" s="27" t="s">
        <v>66</v>
      </c>
      <c r="V85" s="27"/>
      <c r="W85" s="27"/>
      <c r="X85" s="213" t="s">
        <v>41</v>
      </c>
      <c r="Y85" s="93" t="s">
        <v>270</v>
      </c>
      <c r="Z85" s="28" t="s">
        <v>1269</v>
      </c>
      <c r="AA85" s="26" t="s">
        <v>963</v>
      </c>
      <c r="AB85" s="27" t="s">
        <v>41</v>
      </c>
      <c r="AC85" s="27" t="s">
        <v>41</v>
      </c>
      <c r="AD85" s="28" t="s">
        <v>41</v>
      </c>
      <c r="AE85" s="28"/>
      <c r="AF85" s="28" t="s">
        <v>41</v>
      </c>
      <c r="AG85" s="27" t="s">
        <v>41</v>
      </c>
      <c r="AH85" s="27" t="s">
        <v>41</v>
      </c>
      <c r="AI85" s="27" t="s">
        <v>41</v>
      </c>
      <c r="AJ85" s="27" t="s">
        <v>41</v>
      </c>
      <c r="AK85" s="27" t="s">
        <v>41</v>
      </c>
      <c r="AL85" s="27" t="s">
        <v>742</v>
      </c>
      <c r="AM85" s="27" t="s">
        <v>1270</v>
      </c>
      <c r="AN85" s="27" t="s">
        <v>41</v>
      </c>
      <c r="AO85" s="27" t="s">
        <v>41</v>
      </c>
      <c r="AP85" s="27" t="s">
        <v>66</v>
      </c>
      <c r="AQ85" s="28" t="s">
        <v>1271</v>
      </c>
      <c r="AR85" s="28"/>
      <c r="AS85" s="27" t="s">
        <v>41</v>
      </c>
      <c r="AT85" s="177" t="s">
        <v>1272</v>
      </c>
      <c r="AU85" s="93" t="s">
        <v>1273</v>
      </c>
      <c r="AV85" s="28" t="s">
        <v>41</v>
      </c>
      <c r="AW85" s="27" t="s">
        <v>41</v>
      </c>
      <c r="AX85" s="28" t="s">
        <v>41</v>
      </c>
      <c r="AY85" s="28" t="s">
        <v>66</v>
      </c>
      <c r="AZ85" s="28"/>
      <c r="BA85" s="28"/>
      <c r="BB85" s="26" t="s">
        <v>41</v>
      </c>
      <c r="BC85" s="27"/>
      <c r="BD85" s="93"/>
      <c r="BE85" s="28"/>
      <c r="BF85" s="28"/>
    </row>
    <row r="86" spans="1:58" ht="20.25" customHeight="1">
      <c r="A86" s="27">
        <v>85</v>
      </c>
      <c r="B86" s="254" t="str">
        <f ca="1"/>
        <v>2017212612</v>
      </c>
      <c r="C86" s="137" t="str">
        <f ca="1"/>
        <v>Indusind General Insurance Co Ltd</v>
      </c>
      <c r="D86" s="27" t="str">
        <f ca="1"/>
        <v>MACT</v>
      </c>
      <c r="E86" s="27" t="str">
        <f ca="1"/>
        <v>R001-1085-SS-2025</v>
      </c>
      <c r="F86" s="206">
        <f ca="1"/>
        <v>45975</v>
      </c>
      <c r="G86" s="27" t="str">
        <f ca="1"/>
        <v>Nov-25</v>
      </c>
      <c r="H86" s="27" t="s">
        <v>718</v>
      </c>
      <c r="I86" s="29"/>
      <c r="J86" s="29" t="str">
        <f t="shared" ca="1" si="4"/>
        <v/>
      </c>
      <c r="K86" s="27">
        <f t="shared" ca="1" si="5"/>
        <v>52</v>
      </c>
      <c r="L86" s="27" t="str">
        <f t="shared" ca="1" si="6"/>
        <v>AT</v>
      </c>
      <c r="M86" s="27" t="s">
        <v>1252</v>
      </c>
      <c r="N86" s="27" t="s">
        <v>720</v>
      </c>
      <c r="O86" s="27" t="s">
        <v>721</v>
      </c>
      <c r="P86" s="27"/>
      <c r="Q86" s="28" t="s">
        <v>1274</v>
      </c>
      <c r="R86" s="248" t="s">
        <v>1275</v>
      </c>
      <c r="S86" s="27" t="s">
        <v>963</v>
      </c>
      <c r="T86" s="27" t="s">
        <v>721</v>
      </c>
      <c r="U86" s="27" t="s">
        <v>66</v>
      </c>
      <c r="V86" s="27"/>
      <c r="W86" s="27"/>
      <c r="X86" s="213" t="s">
        <v>41</v>
      </c>
      <c r="Y86" s="93" t="s">
        <v>273</v>
      </c>
      <c r="Z86" s="247" t="s">
        <v>1276</v>
      </c>
      <c r="AA86" s="26" t="s">
        <v>963</v>
      </c>
      <c r="AB86" s="27" t="s">
        <v>41</v>
      </c>
      <c r="AC86" s="27" t="s">
        <v>41</v>
      </c>
      <c r="AD86" s="28" t="s">
        <v>41</v>
      </c>
      <c r="AE86" s="28"/>
      <c r="AF86" s="28" t="s">
        <v>41</v>
      </c>
      <c r="AG86" s="27" t="s">
        <v>41</v>
      </c>
      <c r="AH86" s="27" t="s">
        <v>41</v>
      </c>
      <c r="AI86" s="27" t="s">
        <v>41</v>
      </c>
      <c r="AJ86" s="27" t="s">
        <v>41</v>
      </c>
      <c r="AK86" s="27" t="s">
        <v>41</v>
      </c>
      <c r="AL86" s="27" t="s">
        <v>41</v>
      </c>
      <c r="AM86" s="27" t="s">
        <v>41</v>
      </c>
      <c r="AN86" s="27" t="s">
        <v>41</v>
      </c>
      <c r="AO86" s="27" t="s">
        <v>41</v>
      </c>
      <c r="AP86" s="27" t="s">
        <v>66</v>
      </c>
      <c r="AQ86" s="93" t="s">
        <v>1277</v>
      </c>
      <c r="AR86" s="93"/>
      <c r="AS86" s="27" t="s">
        <v>41</v>
      </c>
      <c r="AT86" s="177" t="s">
        <v>1278</v>
      </c>
      <c r="AU86" s="93" t="s">
        <v>1279</v>
      </c>
      <c r="AV86" s="28" t="s">
        <v>41</v>
      </c>
      <c r="AW86" s="27" t="s">
        <v>41</v>
      </c>
      <c r="AX86" s="28" t="s">
        <v>41</v>
      </c>
      <c r="AY86" s="28" t="s">
        <v>66</v>
      </c>
      <c r="AZ86" s="28"/>
      <c r="BA86" s="28"/>
      <c r="BB86" s="26" t="s">
        <v>41</v>
      </c>
      <c r="BC86" s="27"/>
      <c r="BD86" s="93"/>
      <c r="BE86" s="28"/>
      <c r="BF86" s="28"/>
    </row>
    <row r="87" spans="1:58" ht="20.25" customHeight="1">
      <c r="A87" s="27">
        <v>86</v>
      </c>
      <c r="B87" s="254" t="str">
        <f ca="1"/>
        <v>MISC-2025-001662</v>
      </c>
      <c r="C87" s="137" t="str">
        <f ca="1"/>
        <v>Generali Central Insurance Company Limited</v>
      </c>
      <c r="D87" s="27" t="str">
        <f ca="1"/>
        <v>MACT</v>
      </c>
      <c r="E87" s="27" t="str">
        <f ca="1"/>
        <v>F001-1086-SS-2025</v>
      </c>
      <c r="F87" s="206">
        <f ca="1"/>
        <v>45976</v>
      </c>
      <c r="G87" s="27" t="str">
        <f ca="1"/>
        <v>Nov-25</v>
      </c>
      <c r="H87" s="29">
        <v>45997</v>
      </c>
      <c r="I87" s="29" t="str">
        <f t="shared" si="7"/>
        <v>Dec-25</v>
      </c>
      <c r="J87" s="29" t="str">
        <f t="shared" ca="1" si="4"/>
        <v/>
      </c>
      <c r="K87" s="27">
        <f t="shared" ca="1" si="5"/>
        <v>21</v>
      </c>
      <c r="L87" s="27" t="str">
        <f t="shared" ca="1" si="6"/>
        <v>WT</v>
      </c>
      <c r="M87" s="27" t="s">
        <v>1252</v>
      </c>
      <c r="N87" s="27" t="s">
        <v>705</v>
      </c>
      <c r="O87" s="27" t="s">
        <v>706</v>
      </c>
      <c r="P87" s="27" t="s">
        <v>634</v>
      </c>
      <c r="Q87" s="28" t="s">
        <v>41</v>
      </c>
      <c r="R87" s="28" t="s">
        <v>41</v>
      </c>
      <c r="S87" s="27" t="s">
        <v>66</v>
      </c>
      <c r="T87" s="27" t="s">
        <v>706</v>
      </c>
      <c r="U87" s="27" t="s">
        <v>66</v>
      </c>
      <c r="V87" s="27"/>
      <c r="W87" s="27"/>
      <c r="X87" s="213" t="s">
        <v>41</v>
      </c>
      <c r="Y87" s="180" t="s">
        <v>276</v>
      </c>
      <c r="Z87" s="2" t="s">
        <v>1280</v>
      </c>
      <c r="AA87" s="236" t="s">
        <v>733</v>
      </c>
      <c r="AB87" s="27" t="s">
        <v>41</v>
      </c>
      <c r="AC87" s="27" t="s">
        <v>706</v>
      </c>
      <c r="AD87" s="28" t="s">
        <v>41</v>
      </c>
      <c r="AE87" s="28"/>
      <c r="AF87" s="28" t="s">
        <v>41</v>
      </c>
      <c r="AG87" s="27" t="s">
        <v>41</v>
      </c>
      <c r="AH87" s="27" t="s">
        <v>41</v>
      </c>
      <c r="AI87" s="27" t="s">
        <v>41</v>
      </c>
      <c r="AJ87" s="27" t="s">
        <v>41</v>
      </c>
      <c r="AK87" s="27" t="s">
        <v>41</v>
      </c>
      <c r="AL87" s="27" t="s">
        <v>41</v>
      </c>
      <c r="AM87" s="27" t="s">
        <v>41</v>
      </c>
      <c r="AN87" s="27" t="s">
        <v>41</v>
      </c>
      <c r="AO87" s="27" t="s">
        <v>41</v>
      </c>
      <c r="AP87" s="27" t="s">
        <v>66</v>
      </c>
      <c r="AQ87" s="28" t="str">
        <f>IF(MIS_Backend_Data!BG89="", "", MIS_Backend_Data!BG89)</f>
        <v/>
      </c>
      <c r="AR87" s="28"/>
      <c r="AS87" s="27" t="s">
        <v>41</v>
      </c>
      <c r="AT87" s="28" t="s">
        <v>41</v>
      </c>
      <c r="AU87" s="28" t="s">
        <v>41</v>
      </c>
      <c r="AV87" s="28" t="s">
        <v>41</v>
      </c>
      <c r="AW87" s="27" t="s">
        <v>41</v>
      </c>
      <c r="AX87" s="28" t="s">
        <v>41</v>
      </c>
      <c r="AY87" s="28" t="s">
        <v>66</v>
      </c>
      <c r="AZ87" s="28"/>
      <c r="BA87" s="28"/>
      <c r="BB87" s="26" t="s">
        <v>706</v>
      </c>
      <c r="BC87" s="27"/>
      <c r="BD87" s="93"/>
      <c r="BE87" s="28" t="s">
        <v>1231</v>
      </c>
      <c r="BF87" s="28"/>
    </row>
    <row r="88" spans="1:58" ht="20.25" customHeight="1">
      <c r="A88" s="27">
        <v>87</v>
      </c>
      <c r="B88" s="254" t="str">
        <f ca="1"/>
        <v>2025212670</v>
      </c>
      <c r="C88" s="137" t="str">
        <f ca="1"/>
        <v>Indusind General Insurance Co Ltd</v>
      </c>
      <c r="D88" s="27" t="str">
        <f ca="1"/>
        <v>MACT</v>
      </c>
      <c r="E88" s="27" t="str">
        <f ca="1"/>
        <v>R001-1087-SS-2025</v>
      </c>
      <c r="F88" s="206">
        <f ca="1"/>
        <v>45979</v>
      </c>
      <c r="G88" s="27" t="str">
        <f ca="1"/>
        <v>Nov-25</v>
      </c>
      <c r="H88" s="29">
        <v>46000</v>
      </c>
      <c r="I88" s="29" t="str">
        <f t="shared" si="7"/>
        <v>Dec-25</v>
      </c>
      <c r="J88" s="29" t="str">
        <f t="shared" ca="1" si="4"/>
        <v/>
      </c>
      <c r="K88" s="27">
        <f t="shared" ca="1" si="5"/>
        <v>21</v>
      </c>
      <c r="L88" s="27" t="str">
        <f t="shared" ca="1" si="6"/>
        <v>WT</v>
      </c>
      <c r="M88" s="27" t="s">
        <v>719</v>
      </c>
      <c r="N88" s="27" t="s">
        <v>705</v>
      </c>
      <c r="O88" s="27" t="s">
        <v>706</v>
      </c>
      <c r="P88" s="27" t="s">
        <v>1281</v>
      </c>
      <c r="Q88" s="181" t="s">
        <v>1282</v>
      </c>
      <c r="R88" s="28" t="s">
        <v>1283</v>
      </c>
      <c r="S88" s="202" t="s">
        <v>845</v>
      </c>
      <c r="T88" s="27" t="s">
        <v>706</v>
      </c>
      <c r="U88" s="27" t="s">
        <v>66</v>
      </c>
      <c r="V88" s="27"/>
      <c r="W88" s="27"/>
      <c r="X88" s="213" t="s">
        <v>41</v>
      </c>
      <c r="Y88" s="93" t="s">
        <v>280</v>
      </c>
      <c r="Z88" s="28" t="s">
        <v>1284</v>
      </c>
      <c r="AA88" s="26" t="s">
        <v>741</v>
      </c>
      <c r="AB88" s="27" t="s">
        <v>41</v>
      </c>
      <c r="AC88" s="27" t="s">
        <v>41</v>
      </c>
      <c r="AD88" s="28" t="s">
        <v>41</v>
      </c>
      <c r="AE88" s="28"/>
      <c r="AF88" s="28" t="s">
        <v>41</v>
      </c>
      <c r="AG88" s="27" t="s">
        <v>41</v>
      </c>
      <c r="AH88" s="27" t="s">
        <v>41</v>
      </c>
      <c r="AI88" s="27" t="s">
        <v>41</v>
      </c>
      <c r="AJ88" s="27" t="s">
        <v>41</v>
      </c>
      <c r="AK88" s="27" t="s">
        <v>41</v>
      </c>
      <c r="AL88" s="27" t="s">
        <v>41</v>
      </c>
      <c r="AM88" s="27" t="s">
        <v>41</v>
      </c>
      <c r="AN88" s="27" t="s">
        <v>41</v>
      </c>
      <c r="AO88" s="27" t="s">
        <v>41</v>
      </c>
      <c r="AP88" s="27" t="s">
        <v>66</v>
      </c>
      <c r="AQ88" s="93" t="s">
        <v>1285</v>
      </c>
      <c r="AR88" s="93"/>
      <c r="AS88" s="27" t="s">
        <v>41</v>
      </c>
      <c r="AT88" s="137" t="s">
        <v>41</v>
      </c>
      <c r="AU88" s="93" t="s">
        <v>41</v>
      </c>
      <c r="AV88" s="28" t="s">
        <v>41</v>
      </c>
      <c r="AW88" s="27" t="s">
        <v>41</v>
      </c>
      <c r="AX88" s="28" t="s">
        <v>41</v>
      </c>
      <c r="AY88" s="28" t="s">
        <v>66</v>
      </c>
      <c r="AZ88" s="28"/>
      <c r="BA88" s="28"/>
      <c r="BB88" s="26" t="s">
        <v>41</v>
      </c>
      <c r="BC88" s="29">
        <v>46002</v>
      </c>
      <c r="BD88" s="93" t="s">
        <v>787</v>
      </c>
      <c r="BE88" s="28" t="s">
        <v>1286</v>
      </c>
      <c r="BF88" s="28"/>
    </row>
    <row r="89" spans="1:58" ht="20.25" customHeight="1">
      <c r="A89" s="27">
        <v>88</v>
      </c>
      <c r="B89" s="254" t="str">
        <f ca="1"/>
        <v>2025212671</v>
      </c>
      <c r="C89" s="137" t="str">
        <f ca="1"/>
        <v>Indusind General Insurance Co Ltd</v>
      </c>
      <c r="D89" s="27" t="str">
        <f ca="1"/>
        <v>MACT</v>
      </c>
      <c r="E89" s="27" t="str">
        <f ca="1"/>
        <v>R001-1088-SS-2025</v>
      </c>
      <c r="F89" s="206">
        <f ca="1"/>
        <v>45979</v>
      </c>
      <c r="G89" s="27" t="str">
        <f ca="1"/>
        <v>Nov-25</v>
      </c>
      <c r="H89" s="29">
        <v>46000</v>
      </c>
      <c r="I89" s="29" t="str">
        <f t="shared" si="7"/>
        <v>Dec-25</v>
      </c>
      <c r="J89" s="29">
        <f t="shared" ca="1" si="4"/>
        <v>46000</v>
      </c>
      <c r="K89" s="27">
        <f t="shared" ca="1" si="5"/>
        <v>21</v>
      </c>
      <c r="L89" s="27" t="str">
        <f t="shared" ca="1" si="6"/>
        <v>AT</v>
      </c>
      <c r="M89" s="27" t="s">
        <v>750</v>
      </c>
      <c r="N89" s="27" t="s">
        <v>705</v>
      </c>
      <c r="O89" s="27" t="s">
        <v>706</v>
      </c>
      <c r="P89" s="27"/>
      <c r="Q89" s="28" t="s">
        <v>1287</v>
      </c>
      <c r="R89" s="28" t="s">
        <v>1283</v>
      </c>
      <c r="S89" s="27" t="s">
        <v>845</v>
      </c>
      <c r="T89" s="27" t="s">
        <v>706</v>
      </c>
      <c r="U89" s="27" t="s">
        <v>66</v>
      </c>
      <c r="V89" s="27"/>
      <c r="W89" s="27"/>
      <c r="X89" s="213" t="s">
        <v>41</v>
      </c>
      <c r="Y89" s="93" t="s">
        <v>280</v>
      </c>
      <c r="Z89" s="28" t="s">
        <v>1284</v>
      </c>
      <c r="AA89" s="26" t="s">
        <v>741</v>
      </c>
      <c r="AB89" s="27" t="s">
        <v>41</v>
      </c>
      <c r="AC89" s="27" t="s">
        <v>41</v>
      </c>
      <c r="AD89" s="28" t="s">
        <v>41</v>
      </c>
      <c r="AE89" s="28"/>
      <c r="AF89" s="28" t="s">
        <v>41</v>
      </c>
      <c r="AG89" s="27" t="s">
        <v>41</v>
      </c>
      <c r="AH89" s="27" t="s">
        <v>41</v>
      </c>
      <c r="AI89" s="27" t="s">
        <v>41</v>
      </c>
      <c r="AJ89" s="27" t="s">
        <v>41</v>
      </c>
      <c r="AK89" s="27" t="s">
        <v>41</v>
      </c>
      <c r="AL89" s="27" t="s">
        <v>41</v>
      </c>
      <c r="AM89" s="27" t="s">
        <v>41</v>
      </c>
      <c r="AN89" s="27" t="s">
        <v>41</v>
      </c>
      <c r="AO89" s="27" t="s">
        <v>41</v>
      </c>
      <c r="AP89" s="27" t="s">
        <v>66</v>
      </c>
      <c r="AQ89" s="93" t="s">
        <v>1285</v>
      </c>
      <c r="AR89" s="93"/>
      <c r="AS89" s="27" t="s">
        <v>41</v>
      </c>
      <c r="AT89" s="137" t="s">
        <v>41</v>
      </c>
      <c r="AU89" s="93" t="s">
        <v>41</v>
      </c>
      <c r="AV89" s="28" t="s">
        <v>41</v>
      </c>
      <c r="AW89" s="27" t="s">
        <v>41</v>
      </c>
      <c r="AX89" s="28" t="s">
        <v>41</v>
      </c>
      <c r="AY89" s="28" t="s">
        <v>66</v>
      </c>
      <c r="AZ89" s="28"/>
      <c r="BA89" s="28"/>
      <c r="BB89" s="26" t="s">
        <v>41</v>
      </c>
      <c r="BC89" s="29">
        <v>46002</v>
      </c>
      <c r="BD89" s="93" t="s">
        <v>787</v>
      </c>
      <c r="BE89" s="28" t="s">
        <v>1288</v>
      </c>
      <c r="BF89" s="28"/>
    </row>
    <row r="90" spans="1:58" ht="20.25" customHeight="1">
      <c r="A90" s="27">
        <v>89</v>
      </c>
      <c r="B90" s="254" t="str">
        <f ca="1"/>
        <v>2025212673</v>
      </c>
      <c r="C90" s="137" t="str">
        <f ca="1"/>
        <v>Indusind General Insurance Co Ltd</v>
      </c>
      <c r="D90" s="27" t="str">
        <f ca="1"/>
        <v>MACT</v>
      </c>
      <c r="E90" s="27" t="str">
        <f ca="1"/>
        <v>R001-1089-SS-2025</v>
      </c>
      <c r="F90" s="206">
        <f ca="1"/>
        <v>45979</v>
      </c>
      <c r="G90" s="27" t="str">
        <f ca="1"/>
        <v>Nov-25</v>
      </c>
      <c r="H90" s="29">
        <v>46000</v>
      </c>
      <c r="I90" s="29" t="str">
        <f t="shared" si="7"/>
        <v>Dec-25</v>
      </c>
      <c r="J90" s="29">
        <f t="shared" ca="1" si="4"/>
        <v>46021</v>
      </c>
      <c r="K90" s="27">
        <f t="shared" ca="1" si="5"/>
        <v>21</v>
      </c>
      <c r="L90" s="27" t="str">
        <f t="shared" ca="1" si="6"/>
        <v>WT</v>
      </c>
      <c r="M90" s="27" t="s">
        <v>704</v>
      </c>
      <c r="N90" s="27" t="s">
        <v>705</v>
      </c>
      <c r="O90" s="27" t="s">
        <v>706</v>
      </c>
      <c r="P90" s="27"/>
      <c r="Q90" s="182" t="s">
        <v>1289</v>
      </c>
      <c r="R90" s="28" t="s">
        <v>1283</v>
      </c>
      <c r="S90" s="231" t="s">
        <v>845</v>
      </c>
      <c r="T90" s="27" t="s">
        <v>706</v>
      </c>
      <c r="U90" s="27" t="s">
        <v>66</v>
      </c>
      <c r="V90" s="27"/>
      <c r="W90" s="27"/>
      <c r="X90" s="213" t="s">
        <v>41</v>
      </c>
      <c r="Y90" s="93" t="s">
        <v>280</v>
      </c>
      <c r="Z90" s="28" t="s">
        <v>1284</v>
      </c>
      <c r="AA90" s="26" t="s">
        <v>741</v>
      </c>
      <c r="AB90" s="27" t="s">
        <v>41</v>
      </c>
      <c r="AC90" s="27" t="s">
        <v>706</v>
      </c>
      <c r="AD90" s="28" t="s">
        <v>41</v>
      </c>
      <c r="AE90" s="28"/>
      <c r="AF90" s="28" t="s">
        <v>41</v>
      </c>
      <c r="AG90" s="26" t="s">
        <v>706</v>
      </c>
      <c r="AH90" s="27" t="s">
        <v>41</v>
      </c>
      <c r="AI90" s="27" t="s">
        <v>41</v>
      </c>
      <c r="AJ90" s="27" t="s">
        <v>41</v>
      </c>
      <c r="AK90" s="27" t="s">
        <v>41</v>
      </c>
      <c r="AL90" s="27" t="s">
        <v>41</v>
      </c>
      <c r="AM90" s="27" t="s">
        <v>41</v>
      </c>
      <c r="AN90" s="27" t="s">
        <v>41</v>
      </c>
      <c r="AO90" s="27" t="s">
        <v>41</v>
      </c>
      <c r="AP90" s="27" t="s">
        <v>66</v>
      </c>
      <c r="AQ90" s="93" t="s">
        <v>1285</v>
      </c>
      <c r="AR90" s="93"/>
      <c r="AS90" s="26" t="s">
        <v>706</v>
      </c>
      <c r="AT90" s="177" t="s">
        <v>1290</v>
      </c>
      <c r="AU90" s="93" t="s">
        <v>1291</v>
      </c>
      <c r="AV90" s="28" t="s">
        <v>774</v>
      </c>
      <c r="AW90" s="27" t="s">
        <v>41</v>
      </c>
      <c r="AX90" s="28" t="s">
        <v>706</v>
      </c>
      <c r="AY90" s="28" t="s">
        <v>66</v>
      </c>
      <c r="AZ90" s="28"/>
      <c r="BA90" s="28"/>
      <c r="BB90" s="26" t="s">
        <v>41</v>
      </c>
      <c r="BC90" s="29">
        <v>46002</v>
      </c>
      <c r="BD90" s="93" t="s">
        <v>787</v>
      </c>
      <c r="BE90" s="28" t="s">
        <v>1292</v>
      </c>
      <c r="BF90" s="28"/>
    </row>
    <row r="91" spans="1:58" ht="20.25" customHeight="1">
      <c r="A91" s="27">
        <v>90</v>
      </c>
      <c r="B91" s="254" t="str">
        <f ca="1"/>
        <v>2025212540</v>
      </c>
      <c r="C91" s="137" t="str">
        <f ca="1"/>
        <v>Indusind General Insurance Co Ltd</v>
      </c>
      <c r="D91" s="27" t="str">
        <f ca="1"/>
        <v>MACT</v>
      </c>
      <c r="E91" s="27" t="str">
        <f ca="1"/>
        <v>R001-1090-SS-2025</v>
      </c>
      <c r="F91" s="206">
        <f ca="1"/>
        <v>45979</v>
      </c>
      <c r="G91" s="27" t="str">
        <f ca="1"/>
        <v>Nov-25</v>
      </c>
      <c r="H91" s="27" t="s">
        <v>718</v>
      </c>
      <c r="I91" s="29"/>
      <c r="J91" s="29">
        <f t="shared" ca="1" si="4"/>
        <v>46021</v>
      </c>
      <c r="K91" s="27">
        <f t="shared" ca="1" si="5"/>
        <v>48</v>
      </c>
      <c r="L91" s="27" t="str">
        <f t="shared" ca="1" si="6"/>
        <v>AT</v>
      </c>
      <c r="M91" s="27" t="s">
        <v>704</v>
      </c>
      <c r="N91" s="27" t="s">
        <v>720</v>
      </c>
      <c r="O91" s="27" t="s">
        <v>721</v>
      </c>
      <c r="P91" s="27"/>
      <c r="Q91" s="28" t="s">
        <v>1293</v>
      </c>
      <c r="R91" s="249" t="s">
        <v>1294</v>
      </c>
      <c r="S91" s="27" t="s">
        <v>845</v>
      </c>
      <c r="T91" s="27" t="s">
        <v>706</v>
      </c>
      <c r="U91" s="27" t="s">
        <v>66</v>
      </c>
      <c r="V91" s="27"/>
      <c r="W91" s="27"/>
      <c r="X91" s="213" t="s">
        <v>41</v>
      </c>
      <c r="Y91" s="28" t="s">
        <v>287</v>
      </c>
      <c r="Z91" s="250" t="s">
        <v>1295</v>
      </c>
      <c r="AA91" s="27" t="s">
        <v>736</v>
      </c>
      <c r="AB91" s="27" t="s">
        <v>41</v>
      </c>
      <c r="AC91" s="27" t="s">
        <v>706</v>
      </c>
      <c r="AD91" s="28" t="s">
        <v>41</v>
      </c>
      <c r="AE91" s="28"/>
      <c r="AF91" s="93" t="s">
        <v>1296</v>
      </c>
      <c r="AG91" s="27" t="s">
        <v>41</v>
      </c>
      <c r="AH91" s="27" t="s">
        <v>41</v>
      </c>
      <c r="AI91" s="27" t="s">
        <v>41</v>
      </c>
      <c r="AJ91" s="27" t="s">
        <v>41</v>
      </c>
      <c r="AK91" s="27" t="s">
        <v>41</v>
      </c>
      <c r="AL91" s="27" t="s">
        <v>41</v>
      </c>
      <c r="AM91" s="27" t="s">
        <v>41</v>
      </c>
      <c r="AN91" s="27" t="s">
        <v>41</v>
      </c>
      <c r="AO91" s="27" t="s">
        <v>41</v>
      </c>
      <c r="AP91" s="27" t="s">
        <v>66</v>
      </c>
      <c r="AQ91" s="93" t="s">
        <v>1297</v>
      </c>
      <c r="AR91" s="93"/>
      <c r="AS91" s="27" t="s">
        <v>721</v>
      </c>
      <c r="AT91" s="177" t="s">
        <v>1298</v>
      </c>
      <c r="AU91" s="93" t="s">
        <v>1299</v>
      </c>
      <c r="AV91" s="28" t="s">
        <v>1300</v>
      </c>
      <c r="AW91" s="27" t="s">
        <v>41</v>
      </c>
      <c r="AX91" s="27" t="s">
        <v>721</v>
      </c>
      <c r="AY91" s="28" t="s">
        <v>66</v>
      </c>
      <c r="AZ91" s="28"/>
      <c r="BA91" s="28"/>
      <c r="BB91" s="26" t="s">
        <v>41</v>
      </c>
      <c r="BC91" s="27"/>
      <c r="BD91" s="93"/>
      <c r="BE91" s="28" t="s">
        <v>1301</v>
      </c>
      <c r="BF91" s="28"/>
    </row>
    <row r="92" spans="1:58" ht="20.25" customHeight="1">
      <c r="A92" s="27">
        <v>91</v>
      </c>
      <c r="B92" s="254" t="str">
        <f ca="1"/>
        <v>2025212595</v>
      </c>
      <c r="C92" s="137" t="str">
        <f ca="1"/>
        <v>Indusind General Insurance Co Ltd</v>
      </c>
      <c r="D92" s="27" t="str">
        <f ca="1"/>
        <v>MACT</v>
      </c>
      <c r="E92" s="27" t="str">
        <f ca="1"/>
        <v>R001-1091-SS-2025</v>
      </c>
      <c r="F92" s="206">
        <f ca="1"/>
        <v>45979</v>
      </c>
      <c r="G92" s="27" t="str">
        <f ca="1"/>
        <v>Nov-25</v>
      </c>
      <c r="H92" s="27" t="s">
        <v>718</v>
      </c>
      <c r="I92" s="29"/>
      <c r="J92" s="29">
        <f t="shared" ca="1" si="4"/>
        <v>46021</v>
      </c>
      <c r="K92" s="27">
        <f t="shared" ca="1" si="5"/>
        <v>48</v>
      </c>
      <c r="L92" s="27" t="str">
        <f t="shared" ca="1" si="6"/>
        <v>AT</v>
      </c>
      <c r="M92" s="27" t="s">
        <v>704</v>
      </c>
      <c r="N92" s="27" t="s">
        <v>857</v>
      </c>
      <c r="O92" s="27" t="s">
        <v>857</v>
      </c>
      <c r="P92" s="27"/>
      <c r="Q92" s="28" t="s">
        <v>1302</v>
      </c>
      <c r="R92" s="105" t="s">
        <v>1303</v>
      </c>
      <c r="S92" s="27" t="s">
        <v>986</v>
      </c>
      <c r="T92" s="27" t="s">
        <v>706</v>
      </c>
      <c r="U92" s="27" t="s">
        <v>66</v>
      </c>
      <c r="V92" s="27"/>
      <c r="W92" s="27"/>
      <c r="X92" s="213" t="s">
        <v>41</v>
      </c>
      <c r="Y92" s="28" t="s">
        <v>290</v>
      </c>
      <c r="Z92" s="105" t="s">
        <v>1304</v>
      </c>
      <c r="AA92" s="27" t="s">
        <v>986</v>
      </c>
      <c r="AB92" s="27" t="s">
        <v>41</v>
      </c>
      <c r="AC92" s="27" t="s">
        <v>706</v>
      </c>
      <c r="AD92" s="28" t="s">
        <v>41</v>
      </c>
      <c r="AE92" s="28"/>
      <c r="AF92" s="28" t="s">
        <v>41</v>
      </c>
      <c r="AG92" s="27" t="s">
        <v>41</v>
      </c>
      <c r="AH92" s="27" t="s">
        <v>41</v>
      </c>
      <c r="AI92" s="27" t="s">
        <v>41</v>
      </c>
      <c r="AJ92" s="27" t="s">
        <v>41</v>
      </c>
      <c r="AK92" s="27" t="s">
        <v>41</v>
      </c>
      <c r="AL92" s="27" t="s">
        <v>41</v>
      </c>
      <c r="AM92" s="27" t="s">
        <v>41</v>
      </c>
      <c r="AN92" s="27" t="s">
        <v>41</v>
      </c>
      <c r="AO92" s="27" t="s">
        <v>41</v>
      </c>
      <c r="AP92" s="27" t="s">
        <v>66</v>
      </c>
      <c r="AQ92" s="28" t="s">
        <v>1305</v>
      </c>
      <c r="AR92" s="28"/>
      <c r="AS92" s="27" t="s">
        <v>706</v>
      </c>
      <c r="AT92" s="177" t="s">
        <v>1306</v>
      </c>
      <c r="AU92" s="93" t="s">
        <v>1307</v>
      </c>
      <c r="AV92" s="28" t="s">
        <v>1308</v>
      </c>
      <c r="AW92" s="27" t="s">
        <v>41</v>
      </c>
      <c r="AX92" s="27" t="s">
        <v>721</v>
      </c>
      <c r="AY92" s="28" t="s">
        <v>66</v>
      </c>
      <c r="AZ92" s="28"/>
      <c r="BA92" s="28"/>
      <c r="BB92" s="26" t="s">
        <v>41</v>
      </c>
      <c r="BC92" s="27"/>
      <c r="BD92" s="93"/>
      <c r="BE92" s="28" t="s">
        <v>1309</v>
      </c>
      <c r="BF92" s="28"/>
    </row>
    <row r="93" spans="1:58" ht="20.25" customHeight="1">
      <c r="A93" s="27">
        <v>92</v>
      </c>
      <c r="B93" s="254" t="str">
        <f ca="1"/>
        <v>2025212716</v>
      </c>
      <c r="C93" s="137" t="str">
        <f ca="1"/>
        <v>Indusind General Insurance Co Ltd</v>
      </c>
      <c r="D93" s="27" t="str">
        <f ca="1"/>
        <v>MACT</v>
      </c>
      <c r="E93" s="27" t="str">
        <f ca="1"/>
        <v>R001-1092-SS-2025</v>
      </c>
      <c r="F93" s="206">
        <f ca="1"/>
        <v>45979</v>
      </c>
      <c r="G93" s="27" t="str">
        <f ca="1"/>
        <v>Nov-25</v>
      </c>
      <c r="H93" s="27" t="s">
        <v>718</v>
      </c>
      <c r="I93" s="29"/>
      <c r="J93" s="29">
        <f t="shared" ca="1" si="4"/>
        <v>46021</v>
      </c>
      <c r="K93" s="27">
        <f t="shared" ca="1" si="5"/>
        <v>48</v>
      </c>
      <c r="L93" s="27" t="str">
        <f t="shared" ca="1" si="6"/>
        <v>AT</v>
      </c>
      <c r="M93" s="27" t="s">
        <v>704</v>
      </c>
      <c r="N93" s="27" t="s">
        <v>720</v>
      </c>
      <c r="O93" s="27" t="s">
        <v>721</v>
      </c>
      <c r="P93" s="27"/>
      <c r="Q93" s="28" t="s">
        <v>1310</v>
      </c>
      <c r="R93" s="251" t="s">
        <v>1311</v>
      </c>
      <c r="S93" s="27" t="s">
        <v>791</v>
      </c>
      <c r="T93" s="27" t="s">
        <v>706</v>
      </c>
      <c r="U93" s="27" t="s">
        <v>66</v>
      </c>
      <c r="V93" s="27"/>
      <c r="W93" s="27"/>
      <c r="X93" s="213" t="s">
        <v>41</v>
      </c>
      <c r="Y93" s="28" t="s">
        <v>1312</v>
      </c>
      <c r="Z93" s="251" t="s">
        <v>1313</v>
      </c>
      <c r="AA93" s="27" t="s">
        <v>791</v>
      </c>
      <c r="AB93" s="27" t="s">
        <v>41</v>
      </c>
      <c r="AC93" s="27" t="s">
        <v>721</v>
      </c>
      <c r="AD93" s="28" t="s">
        <v>41</v>
      </c>
      <c r="AE93" s="28"/>
      <c r="AF93" s="28" t="s">
        <v>41</v>
      </c>
      <c r="AG93" s="27" t="s">
        <v>794</v>
      </c>
      <c r="AH93" s="27" t="s">
        <v>41</v>
      </c>
      <c r="AI93" s="27" t="s">
        <v>41</v>
      </c>
      <c r="AJ93" s="27" t="s">
        <v>41</v>
      </c>
      <c r="AK93" s="27" t="s">
        <v>41</v>
      </c>
      <c r="AL93" s="27" t="s">
        <v>41</v>
      </c>
      <c r="AM93" s="27" t="s">
        <v>41</v>
      </c>
      <c r="AN93" s="27" t="s">
        <v>41</v>
      </c>
      <c r="AO93" s="27" t="s">
        <v>41</v>
      </c>
      <c r="AP93" s="27" t="s">
        <v>66</v>
      </c>
      <c r="AQ93" s="93" t="s">
        <v>1314</v>
      </c>
      <c r="AR93" s="93"/>
      <c r="AS93" s="27" t="s">
        <v>721</v>
      </c>
      <c r="AT93" s="177" t="s">
        <v>1315</v>
      </c>
      <c r="AU93" s="93" t="s">
        <v>1316</v>
      </c>
      <c r="AV93" s="28" t="s">
        <v>1317</v>
      </c>
      <c r="AW93" s="27" t="s">
        <v>41</v>
      </c>
      <c r="AX93" s="27" t="s">
        <v>721</v>
      </c>
      <c r="AY93" s="28" t="s">
        <v>66</v>
      </c>
      <c r="AZ93" s="28"/>
      <c r="BA93" s="28"/>
      <c r="BB93" s="26" t="s">
        <v>41</v>
      </c>
      <c r="BC93" s="27"/>
      <c r="BD93" s="93"/>
      <c r="BE93" s="28"/>
      <c r="BF93" s="28"/>
    </row>
    <row r="94" spans="1:58" ht="20.25" customHeight="1">
      <c r="A94" s="27">
        <v>93</v>
      </c>
      <c r="B94" s="254" t="str">
        <f ca="1"/>
        <v>2025208486</v>
      </c>
      <c r="C94" s="137" t="str">
        <f ca="1"/>
        <v>Indusind General Insurance Co Ltd</v>
      </c>
      <c r="D94" s="27" t="str">
        <f ca="1"/>
        <v>MACT</v>
      </c>
      <c r="E94" s="27" t="str">
        <f ca="1"/>
        <v>R001-1093-SS-2025</v>
      </c>
      <c r="F94" s="206">
        <f ca="1"/>
        <v>45980</v>
      </c>
      <c r="G94" s="27" t="str">
        <f ca="1"/>
        <v>Nov-25</v>
      </c>
      <c r="H94" s="27" t="s">
        <v>718</v>
      </c>
      <c r="I94" s="29"/>
      <c r="J94" s="29">
        <f t="shared" ca="1" si="4"/>
        <v>46022</v>
      </c>
      <c r="K94" s="27">
        <f t="shared" ca="1" si="5"/>
        <v>47</v>
      </c>
      <c r="L94" s="27" t="str">
        <f t="shared" ca="1" si="6"/>
        <v>AT</v>
      </c>
      <c r="M94" s="27" t="s">
        <v>704</v>
      </c>
      <c r="N94" s="27" t="s">
        <v>720</v>
      </c>
      <c r="O94" s="27" t="s">
        <v>721</v>
      </c>
      <c r="P94" s="27"/>
      <c r="Q94" s="28" t="s">
        <v>1318</v>
      </c>
      <c r="R94" s="93" t="s">
        <v>1319</v>
      </c>
      <c r="S94" s="27" t="s">
        <v>763</v>
      </c>
      <c r="T94" s="27" t="s">
        <v>721</v>
      </c>
      <c r="U94" s="27" t="s">
        <v>66</v>
      </c>
      <c r="V94" s="27"/>
      <c r="W94" s="27"/>
      <c r="X94" s="213" t="s">
        <v>41</v>
      </c>
      <c r="Y94" s="183" t="s">
        <v>296</v>
      </c>
      <c r="Z94" s="28" t="s">
        <v>1320</v>
      </c>
      <c r="AA94" s="233" t="s">
        <v>763</v>
      </c>
      <c r="AB94" s="27" t="s">
        <v>41</v>
      </c>
      <c r="AC94" s="27" t="s">
        <v>721</v>
      </c>
      <c r="AD94" s="28" t="s">
        <v>41</v>
      </c>
      <c r="AE94" s="28"/>
      <c r="AF94" s="28" t="s">
        <v>41</v>
      </c>
      <c r="AG94" s="27" t="s">
        <v>721</v>
      </c>
      <c r="AH94" s="27" t="s">
        <v>41</v>
      </c>
      <c r="AI94" s="27" t="s">
        <v>41</v>
      </c>
      <c r="AJ94" s="27" t="s">
        <v>41</v>
      </c>
      <c r="AK94" s="27" t="s">
        <v>41</v>
      </c>
      <c r="AL94" s="27" t="s">
        <v>41</v>
      </c>
      <c r="AM94" s="27" t="s">
        <v>41</v>
      </c>
      <c r="AN94" s="27" t="s">
        <v>41</v>
      </c>
      <c r="AO94" s="27" t="s">
        <v>41</v>
      </c>
      <c r="AP94" s="27" t="s">
        <v>66</v>
      </c>
      <c r="AQ94" s="93" t="s">
        <v>1321</v>
      </c>
      <c r="AR94" s="93"/>
      <c r="AS94" s="27" t="s">
        <v>721</v>
      </c>
      <c r="AT94" s="177" t="s">
        <v>1322</v>
      </c>
      <c r="AU94" s="93" t="s">
        <v>1323</v>
      </c>
      <c r="AV94" s="28" t="s">
        <v>763</v>
      </c>
      <c r="AW94" s="27" t="s">
        <v>41</v>
      </c>
      <c r="AX94" s="28" t="s">
        <v>706</v>
      </c>
      <c r="AY94" s="28" t="s">
        <v>66</v>
      </c>
      <c r="AZ94" s="28"/>
      <c r="BA94" s="28"/>
      <c r="BB94" s="26" t="s">
        <v>41</v>
      </c>
      <c r="BC94" s="27"/>
      <c r="BD94" s="93"/>
      <c r="BE94" s="28"/>
      <c r="BF94" s="28"/>
    </row>
    <row r="95" spans="1:58" ht="20.25" customHeight="1">
      <c r="A95" s="27">
        <v>94</v>
      </c>
      <c r="B95" s="254" t="str">
        <f ca="1"/>
        <v>2025209152</v>
      </c>
      <c r="C95" s="137" t="str">
        <f ca="1"/>
        <v>Indusind General Insurance Co Ltd</v>
      </c>
      <c r="D95" s="27" t="str">
        <f ca="1"/>
        <v>MACT</v>
      </c>
      <c r="E95" s="27" t="str">
        <f ca="1"/>
        <v>R001-1094-SS-2025</v>
      </c>
      <c r="F95" s="206">
        <f ca="1"/>
        <v>45980</v>
      </c>
      <c r="G95" s="27" t="str">
        <f ca="1"/>
        <v>Nov-25</v>
      </c>
      <c r="H95" s="27" t="s">
        <v>718</v>
      </c>
      <c r="I95" s="29"/>
      <c r="J95" s="29">
        <f t="shared" ca="1" si="4"/>
        <v>46022</v>
      </c>
      <c r="K95" s="27">
        <f t="shared" ca="1" si="5"/>
        <v>47</v>
      </c>
      <c r="L95" s="27" t="str">
        <f t="shared" ca="1" si="6"/>
        <v>AT</v>
      </c>
      <c r="M95" s="27" t="s">
        <v>704</v>
      </c>
      <c r="N95" s="27" t="s">
        <v>720</v>
      </c>
      <c r="O95" s="27" t="s">
        <v>721</v>
      </c>
      <c r="P95" s="27"/>
      <c r="Q95" s="28" t="s">
        <v>1324</v>
      </c>
      <c r="R95" s="198" t="s">
        <v>1325</v>
      </c>
      <c r="S95" s="27" t="s">
        <v>1326</v>
      </c>
      <c r="T95" s="27" t="s">
        <v>706</v>
      </c>
      <c r="U95" s="27" t="s">
        <v>66</v>
      </c>
      <c r="V95" s="27"/>
      <c r="W95" s="27"/>
      <c r="X95" s="213" t="s">
        <v>41</v>
      </c>
      <c r="Y95" s="184" t="s">
        <v>299</v>
      </c>
      <c r="Z95" s="197" t="s">
        <v>1327</v>
      </c>
      <c r="AA95" s="232" t="s">
        <v>871</v>
      </c>
      <c r="AB95" s="27" t="s">
        <v>41</v>
      </c>
      <c r="AC95" s="26" t="s">
        <v>706</v>
      </c>
      <c r="AD95" s="184"/>
      <c r="AE95" s="184"/>
      <c r="AF95" s="28"/>
      <c r="AG95" s="27" t="s">
        <v>721</v>
      </c>
      <c r="AH95" s="27" t="s">
        <v>41</v>
      </c>
      <c r="AI95" s="27" t="s">
        <v>41</v>
      </c>
      <c r="AJ95" s="27" t="s">
        <v>41</v>
      </c>
      <c r="AK95" s="27" t="s">
        <v>41</v>
      </c>
      <c r="AL95" s="27" t="s">
        <v>41</v>
      </c>
      <c r="AM95" s="27" t="s">
        <v>41</v>
      </c>
      <c r="AN95" s="27" t="s">
        <v>41</v>
      </c>
      <c r="AO95" s="27" t="s">
        <v>41</v>
      </c>
      <c r="AP95" s="27" t="s">
        <v>66</v>
      </c>
      <c r="AQ95" s="28" t="s">
        <v>1328</v>
      </c>
      <c r="AR95" s="28"/>
      <c r="AS95" s="27" t="s">
        <v>706</v>
      </c>
      <c r="AT95" s="177" t="s">
        <v>1329</v>
      </c>
      <c r="AU95" s="93" t="s">
        <v>1330</v>
      </c>
      <c r="AV95" s="28" t="s">
        <v>1326</v>
      </c>
      <c r="AW95" s="27" t="s">
        <v>41</v>
      </c>
      <c r="AX95" s="27" t="s">
        <v>721</v>
      </c>
      <c r="AY95" s="28" t="s">
        <v>66</v>
      </c>
      <c r="AZ95" s="28"/>
      <c r="BA95" s="28"/>
      <c r="BB95" s="26" t="s">
        <v>41</v>
      </c>
      <c r="BC95" s="27"/>
      <c r="BD95" s="93"/>
      <c r="BE95" s="28" t="s">
        <v>810</v>
      </c>
      <c r="BF95" s="28"/>
    </row>
    <row r="96" spans="1:58" ht="20.25" customHeight="1">
      <c r="A96" s="27">
        <v>95</v>
      </c>
      <c r="B96" s="254" t="str">
        <f ca="1"/>
        <v>2025212593</v>
      </c>
      <c r="C96" s="137" t="str">
        <f ca="1"/>
        <v>Indusind General Insurance Co Ltd</v>
      </c>
      <c r="D96" s="27" t="str">
        <f ca="1"/>
        <v>MACT</v>
      </c>
      <c r="E96" s="27" t="str">
        <f ca="1"/>
        <v>R001-1095-SS-2025</v>
      </c>
      <c r="F96" s="206">
        <f ca="1"/>
        <v>45980</v>
      </c>
      <c r="G96" s="27" t="str">
        <f ca="1"/>
        <v>Nov-25</v>
      </c>
      <c r="H96" s="27" t="s">
        <v>718</v>
      </c>
      <c r="I96" s="29"/>
      <c r="J96" s="29" t="str">
        <f t="shared" ca="1" si="4"/>
        <v/>
      </c>
      <c r="K96" s="27">
        <f t="shared" ca="1" si="5"/>
        <v>47</v>
      </c>
      <c r="L96" s="27" t="str">
        <f t="shared" ca="1" si="6"/>
        <v>AT</v>
      </c>
      <c r="M96" s="27" t="s">
        <v>719</v>
      </c>
      <c r="N96" s="27" t="s">
        <v>720</v>
      </c>
      <c r="O96" s="26" t="s">
        <v>1331</v>
      </c>
      <c r="P96" s="68" t="s">
        <v>1332</v>
      </c>
      <c r="Q96" s="120" t="s">
        <v>1333</v>
      </c>
      <c r="R96" s="93" t="s">
        <v>1334</v>
      </c>
      <c r="S96" s="203" t="s">
        <v>774</v>
      </c>
      <c r="T96" s="116" t="s">
        <v>706</v>
      </c>
      <c r="U96" s="116" t="s">
        <v>66</v>
      </c>
      <c r="V96" s="116"/>
      <c r="W96" s="116"/>
      <c r="X96" s="213" t="s">
        <v>41</v>
      </c>
      <c r="Y96" s="185" t="s">
        <v>66</v>
      </c>
      <c r="Z96" s="93" t="s">
        <v>66</v>
      </c>
      <c r="AA96" s="237" t="s">
        <v>41</v>
      </c>
      <c r="AB96" s="116" t="s">
        <v>41</v>
      </c>
      <c r="AC96" s="116" t="s">
        <v>41</v>
      </c>
      <c r="AD96" s="117" t="s">
        <v>66</v>
      </c>
      <c r="AE96" s="117"/>
      <c r="AF96" s="120" t="s">
        <v>66</v>
      </c>
      <c r="AG96" s="116" t="s">
        <v>41</v>
      </c>
      <c r="AH96" s="116" t="s">
        <v>41</v>
      </c>
      <c r="AI96" s="116" t="s">
        <v>41</v>
      </c>
      <c r="AJ96" s="116" t="s">
        <v>41</v>
      </c>
      <c r="AK96" s="116" t="s">
        <v>41</v>
      </c>
      <c r="AL96" s="116" t="s">
        <v>41</v>
      </c>
      <c r="AM96" s="116" t="s">
        <v>41</v>
      </c>
      <c r="AN96" s="116" t="s">
        <v>41</v>
      </c>
      <c r="AO96" s="116" t="s">
        <v>41</v>
      </c>
      <c r="AP96" s="116" t="s">
        <v>66</v>
      </c>
      <c r="AQ96" s="120" t="s">
        <v>41</v>
      </c>
      <c r="AR96" s="120"/>
      <c r="AS96" s="116" t="s">
        <v>41</v>
      </c>
      <c r="AT96" s="176" t="s">
        <v>1335</v>
      </c>
      <c r="AU96" s="120" t="s">
        <v>1336</v>
      </c>
      <c r="AV96" s="117" t="s">
        <v>774</v>
      </c>
      <c r="AW96" s="116" t="s">
        <v>41</v>
      </c>
      <c r="AX96" s="117" t="s">
        <v>41</v>
      </c>
      <c r="AY96" s="117" t="s">
        <v>66</v>
      </c>
      <c r="AZ96" s="117"/>
      <c r="BA96" s="117"/>
      <c r="BB96" s="203" t="s">
        <v>41</v>
      </c>
      <c r="BC96" s="116"/>
      <c r="BD96" s="120"/>
      <c r="BE96" s="117" t="s">
        <v>1286</v>
      </c>
      <c r="BF96" s="28"/>
    </row>
    <row r="97" spans="1:58" ht="20.25" customHeight="1">
      <c r="A97" s="27">
        <v>96</v>
      </c>
      <c r="B97" s="254" t="str">
        <f ca="1"/>
        <v>2025212721</v>
      </c>
      <c r="C97" s="137" t="str">
        <f ca="1"/>
        <v>Indusind General Insurance Co Ltd</v>
      </c>
      <c r="D97" s="27" t="str">
        <f ca="1"/>
        <v>MACT</v>
      </c>
      <c r="E97" s="27" t="str">
        <f ca="1"/>
        <v>R001-1096-SS-2025</v>
      </c>
      <c r="F97" s="206">
        <f ca="1"/>
        <v>45980</v>
      </c>
      <c r="G97" s="27" t="str">
        <f ca="1"/>
        <v>Nov-25</v>
      </c>
      <c r="H97" s="27" t="s">
        <v>718</v>
      </c>
      <c r="I97" s="29"/>
      <c r="J97" s="29">
        <f t="shared" ca="1" si="4"/>
        <v>46022</v>
      </c>
      <c r="K97" s="27">
        <f t="shared" ca="1" si="5"/>
        <v>47</v>
      </c>
      <c r="L97" s="27" t="str">
        <f t="shared" ca="1" si="6"/>
        <v>AT</v>
      </c>
      <c r="M97" s="116" t="s">
        <v>704</v>
      </c>
      <c r="N97" s="27" t="s">
        <v>720</v>
      </c>
      <c r="O97" s="116" t="s">
        <v>721</v>
      </c>
      <c r="P97" s="116"/>
      <c r="Q97" s="28" t="s">
        <v>1337</v>
      </c>
      <c r="R97" s="105" t="s">
        <v>1338</v>
      </c>
      <c r="S97" s="27" t="s">
        <v>774</v>
      </c>
      <c r="T97" s="27" t="s">
        <v>706</v>
      </c>
      <c r="U97" s="27" t="s">
        <v>66</v>
      </c>
      <c r="V97" s="27"/>
      <c r="W97" s="27"/>
      <c r="X97" s="213" t="s">
        <v>41</v>
      </c>
      <c r="Y97" s="183" t="s">
        <v>302</v>
      </c>
      <c r="Z97" s="105" t="s">
        <v>1339</v>
      </c>
      <c r="AA97" s="233" t="s">
        <v>845</v>
      </c>
      <c r="AB97" s="27" t="s">
        <v>41</v>
      </c>
      <c r="AC97" s="27" t="s">
        <v>721</v>
      </c>
      <c r="AD97" s="28" t="s">
        <v>1340</v>
      </c>
      <c r="AE97" s="28"/>
      <c r="AF97" s="93" t="s">
        <v>1341</v>
      </c>
      <c r="AG97" s="27" t="s">
        <v>721</v>
      </c>
      <c r="AH97" s="27" t="s">
        <v>41</v>
      </c>
      <c r="AI97" s="27" t="s">
        <v>41</v>
      </c>
      <c r="AJ97" s="27" t="s">
        <v>41</v>
      </c>
      <c r="AK97" s="27" t="s">
        <v>41</v>
      </c>
      <c r="AL97" s="27" t="s">
        <v>41</v>
      </c>
      <c r="AM97" s="27" t="s">
        <v>41</v>
      </c>
      <c r="AN97" s="27" t="s">
        <v>41</v>
      </c>
      <c r="AO97" s="27" t="s">
        <v>41</v>
      </c>
      <c r="AP97" s="27" t="s">
        <v>66</v>
      </c>
      <c r="AQ97" s="93" t="s">
        <v>1342</v>
      </c>
      <c r="AR97" s="93"/>
      <c r="AS97" s="27" t="s">
        <v>706</v>
      </c>
      <c r="AT97" s="177" t="s">
        <v>1335</v>
      </c>
      <c r="AU97" s="93" t="s">
        <v>1336</v>
      </c>
      <c r="AV97" s="28" t="s">
        <v>774</v>
      </c>
      <c r="AW97" s="27" t="s">
        <v>41</v>
      </c>
      <c r="AX97" s="27" t="s">
        <v>721</v>
      </c>
      <c r="AY97" s="28" t="s">
        <v>66</v>
      </c>
      <c r="AZ97" s="28"/>
      <c r="BA97" s="28"/>
      <c r="BB97" s="26" t="s">
        <v>41</v>
      </c>
      <c r="BC97" s="27"/>
      <c r="BD97" s="93"/>
      <c r="BE97" s="28"/>
      <c r="BF97" s="28"/>
    </row>
    <row r="98" spans="1:58" s="121" customFormat="1" ht="20.25" customHeight="1">
      <c r="A98" s="27">
        <v>97</v>
      </c>
      <c r="B98" s="254" t="str">
        <f ca="1"/>
        <v>2025209441</v>
      </c>
      <c r="C98" s="323" t="str">
        <f ca="1"/>
        <v>Indusind General Insurance Co Ltd</v>
      </c>
      <c r="D98" s="116" t="str">
        <f ca="1"/>
        <v>MACT</v>
      </c>
      <c r="E98" s="116" t="str">
        <f ca="1"/>
        <v>R001-1097-SS-2025</v>
      </c>
      <c r="F98" s="207">
        <f ca="1"/>
        <v>45980</v>
      </c>
      <c r="G98" s="116" t="str">
        <f ca="1"/>
        <v>Nov-25</v>
      </c>
      <c r="H98" s="27" t="s">
        <v>718</v>
      </c>
      <c r="I98" s="29"/>
      <c r="J98" s="29">
        <f t="shared" ca="1" si="4"/>
        <v>46022</v>
      </c>
      <c r="K98" s="27">
        <f t="shared" ca="1" si="5"/>
        <v>47</v>
      </c>
      <c r="L98" s="27" t="str">
        <f t="shared" ca="1" si="6"/>
        <v>AT</v>
      </c>
      <c r="M98" s="27" t="s">
        <v>704</v>
      </c>
      <c r="N98" s="27" t="s">
        <v>720</v>
      </c>
      <c r="O98" s="116" t="s">
        <v>721</v>
      </c>
      <c r="P98" s="27"/>
      <c r="Q98" s="28" t="s">
        <v>1343</v>
      </c>
      <c r="R98" s="252" t="s">
        <v>1344</v>
      </c>
      <c r="S98" s="27" t="s">
        <v>763</v>
      </c>
      <c r="T98" s="27" t="s">
        <v>706</v>
      </c>
      <c r="U98" s="27" t="s">
        <v>66</v>
      </c>
      <c r="V98" s="27"/>
      <c r="W98" s="27"/>
      <c r="X98" s="213" t="s">
        <v>41</v>
      </c>
      <c r="Y98" s="28" t="s">
        <v>307</v>
      </c>
      <c r="Z98" s="253" t="s">
        <v>1345</v>
      </c>
      <c r="AA98" s="27" t="s">
        <v>763</v>
      </c>
      <c r="AB98" s="27" t="s">
        <v>41</v>
      </c>
      <c r="AC98" s="27" t="s">
        <v>721</v>
      </c>
      <c r="AD98" s="28" t="s">
        <v>41</v>
      </c>
      <c r="AE98" s="28"/>
      <c r="AF98" s="28" t="s">
        <v>41</v>
      </c>
      <c r="AG98" s="27" t="s">
        <v>794</v>
      </c>
      <c r="AH98" s="27" t="s">
        <v>41</v>
      </c>
      <c r="AI98" s="27" t="s">
        <v>41</v>
      </c>
      <c r="AJ98" s="27" t="s">
        <v>41</v>
      </c>
      <c r="AK98" s="27" t="s">
        <v>41</v>
      </c>
      <c r="AL98" s="27" t="s">
        <v>41</v>
      </c>
      <c r="AM98" s="27" t="s">
        <v>41</v>
      </c>
      <c r="AN98" s="27" t="s">
        <v>41</v>
      </c>
      <c r="AO98" s="27" t="s">
        <v>41</v>
      </c>
      <c r="AP98" s="27" t="s">
        <v>66</v>
      </c>
      <c r="AQ98" s="28" t="s">
        <v>1346</v>
      </c>
      <c r="AR98" s="28"/>
      <c r="AS98" s="27" t="s">
        <v>706</v>
      </c>
      <c r="AT98" s="177" t="s">
        <v>1347</v>
      </c>
      <c r="AU98" s="93" t="s">
        <v>1348</v>
      </c>
      <c r="AV98" s="28" t="s">
        <v>763</v>
      </c>
      <c r="AW98" s="27" t="s">
        <v>41</v>
      </c>
      <c r="AX98" s="27" t="s">
        <v>794</v>
      </c>
      <c r="AY98" s="28" t="s">
        <v>66</v>
      </c>
      <c r="AZ98" s="28"/>
      <c r="BA98" s="28"/>
      <c r="BB98" s="26" t="s">
        <v>41</v>
      </c>
      <c r="BC98" s="27"/>
      <c r="BD98" s="93"/>
      <c r="BE98" s="28"/>
      <c r="BF98" s="117"/>
    </row>
    <row r="99" spans="1:58" ht="20.25" customHeight="1">
      <c r="A99" s="27">
        <v>98</v>
      </c>
      <c r="B99" s="254" t="str">
        <f ca="1"/>
        <v>2025209731</v>
      </c>
      <c r="C99" s="137" t="str">
        <f ca="1"/>
        <v>Indusind General Insurance Co Ltd</v>
      </c>
      <c r="D99" s="27" t="str">
        <f ca="1"/>
        <v>MACT</v>
      </c>
      <c r="E99" s="27" t="str">
        <f ca="1"/>
        <v>R001-1098-SS-2025</v>
      </c>
      <c r="F99" s="206">
        <f ca="1"/>
        <v>45980</v>
      </c>
      <c r="G99" s="27" t="str">
        <f ca="1"/>
        <v>Nov-25</v>
      </c>
      <c r="H99" s="27" t="s">
        <v>718</v>
      </c>
      <c r="I99" s="29"/>
      <c r="J99" s="29">
        <f t="shared" ca="1" si="4"/>
        <v>46022</v>
      </c>
      <c r="K99" s="27">
        <f t="shared" ca="1" si="5"/>
        <v>47</v>
      </c>
      <c r="L99" s="27" t="str">
        <f t="shared" ca="1" si="6"/>
        <v>AT</v>
      </c>
      <c r="M99" s="27" t="s">
        <v>704</v>
      </c>
      <c r="N99" s="27" t="s">
        <v>720</v>
      </c>
      <c r="O99" s="27" t="s">
        <v>721</v>
      </c>
      <c r="P99" s="27"/>
      <c r="Q99" s="184" t="s">
        <v>1349</v>
      </c>
      <c r="R99" s="28" t="s">
        <v>1350</v>
      </c>
      <c r="S99" s="232" t="s">
        <v>763</v>
      </c>
      <c r="T99" s="27" t="s">
        <v>721</v>
      </c>
      <c r="U99" s="27" t="s">
        <v>66</v>
      </c>
      <c r="V99" s="27"/>
      <c r="W99" s="27"/>
      <c r="X99" s="213" t="s">
        <v>41</v>
      </c>
      <c r="Y99" s="184" t="s">
        <v>310</v>
      </c>
      <c r="Z99" s="93" t="s">
        <v>1351</v>
      </c>
      <c r="AA99" s="232" t="s">
        <v>763</v>
      </c>
      <c r="AB99" s="27" t="s">
        <v>41</v>
      </c>
      <c r="AC99" s="27" t="s">
        <v>721</v>
      </c>
      <c r="AD99" s="28" t="s">
        <v>41</v>
      </c>
      <c r="AE99" s="28"/>
      <c r="AF99" s="28" t="s">
        <v>41</v>
      </c>
      <c r="AG99" s="27" t="s">
        <v>721</v>
      </c>
      <c r="AH99" s="27" t="s">
        <v>41</v>
      </c>
      <c r="AI99" s="27" t="s">
        <v>41</v>
      </c>
      <c r="AJ99" s="27" t="s">
        <v>41</v>
      </c>
      <c r="AK99" s="27" t="s">
        <v>41</v>
      </c>
      <c r="AL99" s="27" t="s">
        <v>41</v>
      </c>
      <c r="AM99" s="27" t="s">
        <v>41</v>
      </c>
      <c r="AN99" s="27" t="s">
        <v>41</v>
      </c>
      <c r="AO99" s="27" t="s">
        <v>41</v>
      </c>
      <c r="AP99" s="27" t="s">
        <v>66</v>
      </c>
      <c r="AQ99" s="93" t="s">
        <v>1352</v>
      </c>
      <c r="AR99" s="93"/>
      <c r="AS99" s="27" t="s">
        <v>721</v>
      </c>
      <c r="AT99" s="177" t="s">
        <v>1353</v>
      </c>
      <c r="AU99" s="93" t="s">
        <v>1354</v>
      </c>
      <c r="AV99" s="28" t="s">
        <v>763</v>
      </c>
      <c r="AW99" s="27" t="s">
        <v>41</v>
      </c>
      <c r="AX99" s="27" t="s">
        <v>794</v>
      </c>
      <c r="AY99" s="28" t="s">
        <v>66</v>
      </c>
      <c r="AZ99" s="28"/>
      <c r="BA99" s="28"/>
      <c r="BB99" s="26" t="s">
        <v>41</v>
      </c>
      <c r="BC99" s="27"/>
      <c r="BD99" s="93"/>
      <c r="BE99" s="28"/>
      <c r="BF99" s="28"/>
    </row>
    <row r="100" spans="1:58" ht="20.25" customHeight="1">
      <c r="A100" s="27">
        <v>99</v>
      </c>
      <c r="B100" s="254" t="str">
        <f ca="1"/>
        <v>2025210423</v>
      </c>
      <c r="C100" s="137" t="str">
        <f ca="1"/>
        <v>Indusind General Insurance Co Ltd</v>
      </c>
      <c r="D100" s="27" t="str">
        <f ca="1"/>
        <v>MACT</v>
      </c>
      <c r="E100" s="27" t="str">
        <f ca="1"/>
        <v>R001-1099-SS-2025</v>
      </c>
      <c r="F100" s="206">
        <f ca="1"/>
        <v>45980</v>
      </c>
      <c r="G100" s="27" t="str">
        <f ca="1"/>
        <v>Nov-25</v>
      </c>
      <c r="H100" s="27" t="s">
        <v>718</v>
      </c>
      <c r="I100" s="29"/>
      <c r="J100" s="29">
        <f t="shared" ca="1" si="4"/>
        <v>46022</v>
      </c>
      <c r="K100" s="27">
        <f t="shared" ca="1" si="5"/>
        <v>47</v>
      </c>
      <c r="L100" s="27" t="str">
        <f t="shared" ca="1" si="6"/>
        <v>AT</v>
      </c>
      <c r="M100" s="27" t="s">
        <v>704</v>
      </c>
      <c r="N100" s="27" t="s">
        <v>720</v>
      </c>
      <c r="O100" s="27" t="s">
        <v>721</v>
      </c>
      <c r="P100" s="27"/>
      <c r="Q100" s="183" t="s">
        <v>1355</v>
      </c>
      <c r="R100" s="93" t="s">
        <v>1356</v>
      </c>
      <c r="S100" s="233" t="s">
        <v>763</v>
      </c>
      <c r="T100" s="27" t="s">
        <v>706</v>
      </c>
      <c r="U100" s="27" t="s">
        <v>66</v>
      </c>
      <c r="V100" s="27"/>
      <c r="W100" s="27"/>
      <c r="X100" s="213" t="s">
        <v>41</v>
      </c>
      <c r="Y100" s="183" t="s">
        <v>313</v>
      </c>
      <c r="Z100" s="28" t="s">
        <v>1357</v>
      </c>
      <c r="AA100" s="233" t="s">
        <v>754</v>
      </c>
      <c r="AB100" s="27" t="s">
        <v>41</v>
      </c>
      <c r="AC100" s="27" t="s">
        <v>721</v>
      </c>
      <c r="AD100" s="28" t="s">
        <v>41</v>
      </c>
      <c r="AE100" s="28"/>
      <c r="AF100" s="28" t="s">
        <v>41</v>
      </c>
      <c r="AG100" s="27" t="s">
        <v>721</v>
      </c>
      <c r="AH100" s="27" t="s">
        <v>41</v>
      </c>
      <c r="AI100" s="27" t="s">
        <v>41</v>
      </c>
      <c r="AJ100" s="27" t="s">
        <v>41</v>
      </c>
      <c r="AK100" s="27" t="s">
        <v>41</v>
      </c>
      <c r="AL100" s="27" t="s">
        <v>41</v>
      </c>
      <c r="AM100" s="27" t="s">
        <v>41</v>
      </c>
      <c r="AN100" s="27" t="s">
        <v>41</v>
      </c>
      <c r="AO100" s="27" t="s">
        <v>41</v>
      </c>
      <c r="AP100" s="27" t="s">
        <v>66</v>
      </c>
      <c r="AQ100" s="93" t="s">
        <v>1358</v>
      </c>
      <c r="AR100" s="93"/>
      <c r="AS100" s="26" t="s">
        <v>706</v>
      </c>
      <c r="AT100" s="177" t="s">
        <v>1359</v>
      </c>
      <c r="AU100" s="93" t="s">
        <v>1360</v>
      </c>
      <c r="AV100" s="28" t="s">
        <v>763</v>
      </c>
      <c r="AW100" s="27" t="s">
        <v>41</v>
      </c>
      <c r="AX100" s="27" t="s">
        <v>721</v>
      </c>
      <c r="AY100" s="28" t="s">
        <v>66</v>
      </c>
      <c r="AZ100" s="28"/>
      <c r="BA100" s="28"/>
      <c r="BB100" s="26" t="s">
        <v>41</v>
      </c>
      <c r="BC100" s="27"/>
      <c r="BD100" s="93"/>
      <c r="BE100" s="28"/>
      <c r="BF100" s="28"/>
    </row>
    <row r="101" spans="1:58" ht="20.25" customHeight="1">
      <c r="A101" s="27">
        <v>100</v>
      </c>
      <c r="B101" s="254" t="str">
        <f ca="1"/>
        <v>2025210175</v>
      </c>
      <c r="C101" s="137" t="str">
        <f ca="1"/>
        <v>Indusind General Insurance Co Ltd</v>
      </c>
      <c r="D101" s="27" t="str">
        <f ca="1"/>
        <v>MACT</v>
      </c>
      <c r="E101" s="27" t="str">
        <f ca="1"/>
        <v>R001-1100-SS-2025</v>
      </c>
      <c r="F101" s="206">
        <f ca="1"/>
        <v>45980</v>
      </c>
      <c r="G101" s="27" t="str">
        <f ca="1"/>
        <v>Nov-25</v>
      </c>
      <c r="H101" s="27" t="s">
        <v>718</v>
      </c>
      <c r="I101" s="29"/>
      <c r="J101" s="29">
        <f t="shared" ca="1" si="4"/>
        <v>46022</v>
      </c>
      <c r="K101" s="27">
        <f t="shared" ca="1" si="5"/>
        <v>47</v>
      </c>
      <c r="L101" s="27" t="str">
        <f t="shared" ca="1" si="6"/>
        <v>AT</v>
      </c>
      <c r="M101" s="27" t="s">
        <v>704</v>
      </c>
      <c r="N101" s="27" t="s">
        <v>720</v>
      </c>
      <c r="O101" s="27" t="s">
        <v>721</v>
      </c>
      <c r="P101" s="27"/>
      <c r="Q101" s="186" t="s">
        <v>1361</v>
      </c>
      <c r="R101" s="28" t="s">
        <v>1362</v>
      </c>
      <c r="S101" s="234" t="s">
        <v>763</v>
      </c>
      <c r="T101" s="27" t="s">
        <v>721</v>
      </c>
      <c r="U101" s="27" t="s">
        <v>66</v>
      </c>
      <c r="V101" s="27"/>
      <c r="W101" s="27"/>
      <c r="X101" s="213" t="s">
        <v>41</v>
      </c>
      <c r="Y101" s="184" t="s">
        <v>316</v>
      </c>
      <c r="Z101" s="104" t="s">
        <v>1363</v>
      </c>
      <c r="AA101" s="232" t="s">
        <v>763</v>
      </c>
      <c r="AB101" s="27" t="s">
        <v>41</v>
      </c>
      <c r="AC101" s="27" t="s">
        <v>721</v>
      </c>
      <c r="AD101" s="28" t="s">
        <v>41</v>
      </c>
      <c r="AE101" s="28"/>
      <c r="AF101" s="93" t="s">
        <v>1364</v>
      </c>
      <c r="AG101" s="27" t="s">
        <v>721</v>
      </c>
      <c r="AH101" s="27" t="s">
        <v>41</v>
      </c>
      <c r="AI101" s="27" t="s">
        <v>41</v>
      </c>
      <c r="AJ101" s="27" t="s">
        <v>41</v>
      </c>
      <c r="AK101" s="27" t="s">
        <v>41</v>
      </c>
      <c r="AL101" s="27" t="s">
        <v>41</v>
      </c>
      <c r="AM101" s="27" t="s">
        <v>41</v>
      </c>
      <c r="AN101" s="27" t="s">
        <v>41</v>
      </c>
      <c r="AO101" s="27" t="s">
        <v>41</v>
      </c>
      <c r="AP101" s="27" t="s">
        <v>66</v>
      </c>
      <c r="AQ101" s="93" t="s">
        <v>1365</v>
      </c>
      <c r="AR101" s="93"/>
      <c r="AS101" s="27" t="s">
        <v>721</v>
      </c>
      <c r="AT101" s="177"/>
      <c r="AU101" s="93" t="s">
        <v>1366</v>
      </c>
      <c r="AV101" s="28" t="s">
        <v>763</v>
      </c>
      <c r="AW101" s="27" t="s">
        <v>41</v>
      </c>
      <c r="AX101" s="27" t="s">
        <v>721</v>
      </c>
      <c r="AY101" s="28" t="s">
        <v>66</v>
      </c>
      <c r="AZ101" s="28"/>
      <c r="BA101" s="28"/>
      <c r="BB101" s="26" t="s">
        <v>41</v>
      </c>
      <c r="BC101" s="27"/>
      <c r="BD101" s="93"/>
      <c r="BE101" s="28"/>
      <c r="BF101" s="28"/>
    </row>
    <row r="102" spans="1:58" ht="20.25" customHeight="1">
      <c r="A102" s="27">
        <v>101</v>
      </c>
      <c r="B102" s="254" t="str">
        <f ca="1"/>
        <v>2025210211</v>
      </c>
      <c r="C102" s="137" t="str">
        <f ca="1"/>
        <v>Indusind General Insurance Co Ltd</v>
      </c>
      <c r="D102" s="27" t="str">
        <f ca="1"/>
        <v>MACT</v>
      </c>
      <c r="E102" s="27" t="str">
        <f ca="1"/>
        <v>R001-1101-SS-2025</v>
      </c>
      <c r="F102" s="206">
        <f ca="1"/>
        <v>45980</v>
      </c>
      <c r="G102" s="27" t="str">
        <f ca="1"/>
        <v>Nov-25</v>
      </c>
      <c r="H102" s="27" t="s">
        <v>718</v>
      </c>
      <c r="I102" s="29"/>
      <c r="J102" s="29">
        <f t="shared" ca="1" si="4"/>
        <v>46022</v>
      </c>
      <c r="K102" s="27">
        <f t="shared" ca="1" si="5"/>
        <v>47</v>
      </c>
      <c r="L102" s="27" t="str">
        <f t="shared" ca="1" si="6"/>
        <v>AT</v>
      </c>
      <c r="M102" s="27" t="s">
        <v>704</v>
      </c>
      <c r="N102" s="27" t="s">
        <v>720</v>
      </c>
      <c r="O102" s="27" t="s">
        <v>721</v>
      </c>
      <c r="P102" s="27"/>
      <c r="Q102" s="28" t="s">
        <v>1367</v>
      </c>
      <c r="R102" s="93" t="s">
        <v>1368</v>
      </c>
      <c r="S102" s="27" t="s">
        <v>763</v>
      </c>
      <c r="T102" s="27" t="s">
        <v>706</v>
      </c>
      <c r="U102" s="27" t="s">
        <v>66</v>
      </c>
      <c r="V102" s="27"/>
      <c r="W102" s="27"/>
      <c r="X102" s="213" t="s">
        <v>41</v>
      </c>
      <c r="Y102" s="184" t="s">
        <v>319</v>
      </c>
      <c r="Z102" s="28" t="s">
        <v>1369</v>
      </c>
      <c r="AA102" s="232" t="s">
        <v>763</v>
      </c>
      <c r="AB102" s="27" t="s">
        <v>41</v>
      </c>
      <c r="AC102" s="26" t="s">
        <v>706</v>
      </c>
      <c r="AD102" s="28" t="s">
        <v>41</v>
      </c>
      <c r="AE102" s="28"/>
      <c r="AF102" s="28" t="s">
        <v>41</v>
      </c>
      <c r="AG102" s="26" t="s">
        <v>706</v>
      </c>
      <c r="AH102" s="27" t="s">
        <v>41</v>
      </c>
      <c r="AI102" s="27" t="s">
        <v>41</v>
      </c>
      <c r="AJ102" s="27" t="s">
        <v>41</v>
      </c>
      <c r="AK102" s="27" t="s">
        <v>41</v>
      </c>
      <c r="AL102" s="27" t="s">
        <v>41</v>
      </c>
      <c r="AM102" s="27" t="s">
        <v>41</v>
      </c>
      <c r="AN102" s="27" t="s">
        <v>41</v>
      </c>
      <c r="AO102" s="27" t="s">
        <v>41</v>
      </c>
      <c r="AP102" s="27" t="s">
        <v>66</v>
      </c>
      <c r="AQ102" s="93" t="s">
        <v>1370</v>
      </c>
      <c r="AR102" s="93"/>
      <c r="AS102" s="26" t="s">
        <v>706</v>
      </c>
      <c r="AT102" s="177" t="s">
        <v>1371</v>
      </c>
      <c r="AU102" s="93" t="s">
        <v>1348</v>
      </c>
      <c r="AV102" s="28" t="s">
        <v>763</v>
      </c>
      <c r="AW102" s="27" t="s">
        <v>41</v>
      </c>
      <c r="AX102" s="27" t="s">
        <v>721</v>
      </c>
      <c r="AY102" s="28" t="s">
        <v>66</v>
      </c>
      <c r="AZ102" s="28"/>
      <c r="BA102" s="28"/>
      <c r="BB102" s="26" t="s">
        <v>41</v>
      </c>
      <c r="BC102" s="27"/>
      <c r="BD102" s="93"/>
      <c r="BE102" s="28"/>
      <c r="BF102" s="28"/>
    </row>
    <row r="103" spans="1:58" ht="20.25" customHeight="1">
      <c r="A103" s="27">
        <v>102</v>
      </c>
      <c r="B103" s="254" t="str">
        <f ca="1"/>
        <v>2025209709</v>
      </c>
      <c r="C103" s="137" t="str">
        <f ca="1"/>
        <v>Indusind General Insurance Co Ltd</v>
      </c>
      <c r="D103" s="27" t="str">
        <f ca="1"/>
        <v>MACT</v>
      </c>
      <c r="E103" s="27" t="str">
        <f ca="1"/>
        <v>R001-1102-SS-2025</v>
      </c>
      <c r="F103" s="206">
        <f ca="1"/>
        <v>45980</v>
      </c>
      <c r="G103" s="27" t="str">
        <f ca="1"/>
        <v>Nov-25</v>
      </c>
      <c r="H103" s="27" t="s">
        <v>718</v>
      </c>
      <c r="I103" s="29"/>
      <c r="J103" s="29">
        <f t="shared" ca="1" si="4"/>
        <v>46022</v>
      </c>
      <c r="K103" s="27">
        <f t="shared" ca="1" si="5"/>
        <v>47</v>
      </c>
      <c r="L103" s="27" t="str">
        <f t="shared" ca="1" si="6"/>
        <v>AT</v>
      </c>
      <c r="M103" s="27" t="s">
        <v>704</v>
      </c>
      <c r="N103" s="27" t="s">
        <v>720</v>
      </c>
      <c r="O103" s="27" t="s">
        <v>721</v>
      </c>
      <c r="P103" s="27"/>
      <c r="Q103" s="28" t="s">
        <v>1372</v>
      </c>
      <c r="R103" s="93" t="s">
        <v>1373</v>
      </c>
      <c r="S103" s="27" t="s">
        <v>763</v>
      </c>
      <c r="T103" s="27" t="s">
        <v>706</v>
      </c>
      <c r="U103" s="27" t="s">
        <v>66</v>
      </c>
      <c r="V103" s="27"/>
      <c r="W103" s="27"/>
      <c r="X103" s="213" t="s">
        <v>41</v>
      </c>
      <c r="Y103" s="183" t="s">
        <v>322</v>
      </c>
      <c r="Z103" s="104" t="s">
        <v>1374</v>
      </c>
      <c r="AA103" s="233" t="s">
        <v>871</v>
      </c>
      <c r="AB103" s="27" t="s">
        <v>41</v>
      </c>
      <c r="AC103" s="27" t="s">
        <v>721</v>
      </c>
      <c r="AD103" s="28" t="s">
        <v>41</v>
      </c>
      <c r="AE103" s="28"/>
      <c r="AF103" s="28" t="s">
        <v>41</v>
      </c>
      <c r="AG103" s="27" t="s">
        <v>721</v>
      </c>
      <c r="AH103" s="27" t="s">
        <v>41</v>
      </c>
      <c r="AI103" s="27" t="s">
        <v>41</v>
      </c>
      <c r="AJ103" s="27" t="s">
        <v>41</v>
      </c>
      <c r="AK103" s="27" t="s">
        <v>41</v>
      </c>
      <c r="AL103" s="27" t="s">
        <v>41</v>
      </c>
      <c r="AM103" s="27" t="s">
        <v>41</v>
      </c>
      <c r="AN103" s="27" t="s">
        <v>41</v>
      </c>
      <c r="AO103" s="27" t="s">
        <v>41</v>
      </c>
      <c r="AP103" s="27" t="s">
        <v>66</v>
      </c>
      <c r="AQ103" s="93" t="s">
        <v>1375</v>
      </c>
      <c r="AR103" s="93"/>
      <c r="AS103" s="26" t="s">
        <v>706</v>
      </c>
      <c r="AT103" s="177" t="s">
        <v>1376</v>
      </c>
      <c r="AU103" s="93" t="s">
        <v>1377</v>
      </c>
      <c r="AV103" s="28" t="s">
        <v>763</v>
      </c>
      <c r="AW103" s="27" t="s">
        <v>41</v>
      </c>
      <c r="AX103" s="27" t="s">
        <v>721</v>
      </c>
      <c r="AY103" s="28" t="s">
        <v>66</v>
      </c>
      <c r="AZ103" s="28"/>
      <c r="BA103" s="28"/>
      <c r="BB103" s="26" t="s">
        <v>41</v>
      </c>
      <c r="BC103" s="27"/>
      <c r="BD103" s="93"/>
      <c r="BE103" s="28"/>
      <c r="BF103" s="28"/>
    </row>
    <row r="104" spans="1:58" ht="20.25" customHeight="1">
      <c r="A104" s="27">
        <v>103</v>
      </c>
      <c r="B104" s="254" t="str">
        <f ca="1"/>
        <v>2025210102</v>
      </c>
      <c r="C104" s="137" t="str">
        <f ca="1"/>
        <v>Indusind General Insurance Co Ltd</v>
      </c>
      <c r="D104" s="27" t="str">
        <f ca="1"/>
        <v>MACT</v>
      </c>
      <c r="E104" s="27" t="str">
        <f ca="1"/>
        <v>R001-1103-SS-2025</v>
      </c>
      <c r="F104" s="206">
        <f ca="1"/>
        <v>45981</v>
      </c>
      <c r="G104" s="27" t="str">
        <f ca="1"/>
        <v>Nov-25</v>
      </c>
      <c r="H104" s="27" t="s">
        <v>718</v>
      </c>
      <c r="I104" s="29"/>
      <c r="J104" s="29">
        <f t="shared" ca="1" si="4"/>
        <v>46023</v>
      </c>
      <c r="K104" s="27">
        <f t="shared" ca="1" si="5"/>
        <v>46</v>
      </c>
      <c r="L104" s="27" t="str">
        <f t="shared" ca="1" si="6"/>
        <v>AT</v>
      </c>
      <c r="M104" s="27" t="s">
        <v>704</v>
      </c>
      <c r="N104" s="27" t="s">
        <v>720</v>
      </c>
      <c r="O104" s="27" t="s">
        <v>751</v>
      </c>
      <c r="P104" s="27"/>
      <c r="Q104" s="104" t="s">
        <v>1378</v>
      </c>
      <c r="R104" s="105" t="s">
        <v>1379</v>
      </c>
      <c r="S104" s="164" t="s">
        <v>763</v>
      </c>
      <c r="T104" s="27" t="s">
        <v>706</v>
      </c>
      <c r="U104" s="27" t="s">
        <v>66</v>
      </c>
      <c r="V104" s="27"/>
      <c r="W104" s="27"/>
      <c r="X104" s="213" t="s">
        <v>41</v>
      </c>
      <c r="Y104" s="187" t="s">
        <v>325</v>
      </c>
      <c r="Z104" s="104" t="s">
        <v>1380</v>
      </c>
      <c r="AA104" s="238" t="s">
        <v>763</v>
      </c>
      <c r="AB104" s="27" t="s">
        <v>41</v>
      </c>
      <c r="AC104" s="27" t="s">
        <v>706</v>
      </c>
      <c r="AD104" s="104" t="s">
        <v>41</v>
      </c>
      <c r="AE104" s="104"/>
      <c r="AF104" s="104" t="s">
        <v>41</v>
      </c>
      <c r="AG104" s="27" t="s">
        <v>706</v>
      </c>
      <c r="AH104" s="27" t="s">
        <v>41</v>
      </c>
      <c r="AI104" s="27" t="s">
        <v>41</v>
      </c>
      <c r="AJ104" s="27" t="s">
        <v>41</v>
      </c>
      <c r="AK104" s="27" t="s">
        <v>41</v>
      </c>
      <c r="AL104" s="27" t="s">
        <v>41</v>
      </c>
      <c r="AM104" s="27" t="s">
        <v>41</v>
      </c>
      <c r="AN104" s="27" t="s">
        <v>41</v>
      </c>
      <c r="AO104" s="27" t="s">
        <v>41</v>
      </c>
      <c r="AP104" s="27" t="s">
        <v>66</v>
      </c>
      <c r="AQ104" s="105" t="s">
        <v>1381</v>
      </c>
      <c r="AR104" s="105"/>
      <c r="AS104" s="26" t="s">
        <v>706</v>
      </c>
      <c r="AT104" s="188" t="s">
        <v>1382</v>
      </c>
      <c r="AU104" s="105" t="s">
        <v>1323</v>
      </c>
      <c r="AV104" s="104" t="s">
        <v>763</v>
      </c>
      <c r="AW104" s="27" t="s">
        <v>41</v>
      </c>
      <c r="AX104" s="27" t="s">
        <v>721</v>
      </c>
      <c r="AY104" s="28" t="s">
        <v>66</v>
      </c>
      <c r="AZ104" s="28"/>
      <c r="BA104" s="28"/>
      <c r="BB104" s="26" t="s">
        <v>41</v>
      </c>
      <c r="BC104" s="27"/>
      <c r="BD104" s="93"/>
      <c r="BE104" s="28"/>
      <c r="BF104" s="28"/>
    </row>
    <row r="105" spans="1:58" ht="20.25" customHeight="1">
      <c r="A105" s="27">
        <v>104</v>
      </c>
      <c r="B105" s="254" t="str">
        <f ca="1"/>
        <v>2025212758</v>
      </c>
      <c r="C105" s="137" t="str">
        <f ca="1"/>
        <v>Indusind General Insurance Co Ltd</v>
      </c>
      <c r="D105" s="27" t="str">
        <f ca="1"/>
        <v>MACT</v>
      </c>
      <c r="E105" s="27" t="str">
        <f ca="1"/>
        <v>R001-1104-SS-2025</v>
      </c>
      <c r="F105" s="206">
        <f ca="1"/>
        <v>45981</v>
      </c>
      <c r="G105" s="27" t="str">
        <f ca="1"/>
        <v>Nov-25</v>
      </c>
      <c r="H105" s="27" t="s">
        <v>718</v>
      </c>
      <c r="I105" s="29"/>
      <c r="J105" s="29">
        <f t="shared" ca="1" si="4"/>
        <v>46023</v>
      </c>
      <c r="K105" s="27">
        <f t="shared" ca="1" si="5"/>
        <v>46</v>
      </c>
      <c r="L105" s="27" t="str">
        <f t="shared" ca="1" si="6"/>
        <v>AT</v>
      </c>
      <c r="M105" s="27" t="s">
        <v>704</v>
      </c>
      <c r="N105" s="27" t="s">
        <v>720</v>
      </c>
      <c r="O105" s="27" t="s">
        <v>721</v>
      </c>
      <c r="P105" s="27"/>
      <c r="Q105" s="28" t="s">
        <v>1383</v>
      </c>
      <c r="R105" s="28" t="s">
        <v>41</v>
      </c>
      <c r="S105" s="27"/>
      <c r="T105" s="27" t="s">
        <v>706</v>
      </c>
      <c r="U105" s="27" t="s">
        <v>66</v>
      </c>
      <c r="V105" s="27"/>
      <c r="W105" s="27"/>
      <c r="X105" s="213" t="s">
        <v>41</v>
      </c>
      <c r="Y105" s="183" t="s">
        <v>328</v>
      </c>
      <c r="Z105" s="93" t="s">
        <v>1384</v>
      </c>
      <c r="AA105" s="233" t="s">
        <v>763</v>
      </c>
      <c r="AB105" s="27" t="s">
        <v>41</v>
      </c>
      <c r="AC105" s="27" t="s">
        <v>706</v>
      </c>
      <c r="AD105" s="28" t="s">
        <v>41</v>
      </c>
      <c r="AE105" s="28"/>
      <c r="AF105" s="28" t="s">
        <v>41</v>
      </c>
      <c r="AG105" s="27" t="s">
        <v>721</v>
      </c>
      <c r="AH105" s="27" t="s">
        <v>41</v>
      </c>
      <c r="AI105" s="27" t="s">
        <v>41</v>
      </c>
      <c r="AJ105" s="27" t="s">
        <v>41</v>
      </c>
      <c r="AK105" s="27" t="s">
        <v>41</v>
      </c>
      <c r="AL105" s="27" t="s">
        <v>41</v>
      </c>
      <c r="AM105" s="27" t="s">
        <v>41</v>
      </c>
      <c r="AN105" s="27" t="s">
        <v>41</v>
      </c>
      <c r="AO105" s="27" t="s">
        <v>41</v>
      </c>
      <c r="AP105" s="27" t="s">
        <v>66</v>
      </c>
      <c r="AQ105" s="93" t="s">
        <v>1385</v>
      </c>
      <c r="AR105" s="93"/>
      <c r="AS105" s="26" t="s">
        <v>706</v>
      </c>
      <c r="AT105" s="177" t="s">
        <v>1386</v>
      </c>
      <c r="AU105" s="93" t="s">
        <v>1387</v>
      </c>
      <c r="AV105" s="28" t="s">
        <v>754</v>
      </c>
      <c r="AW105" s="27" t="s">
        <v>41</v>
      </c>
      <c r="AX105" s="27" t="s">
        <v>721</v>
      </c>
      <c r="AY105" s="28" t="s">
        <v>66</v>
      </c>
      <c r="AZ105" s="28"/>
      <c r="BA105" s="28"/>
      <c r="BB105" s="26" t="s">
        <v>41</v>
      </c>
      <c r="BC105" s="27"/>
      <c r="BD105" s="93"/>
      <c r="BE105" s="28"/>
      <c r="BF105" s="28"/>
    </row>
    <row r="106" spans="1:58" ht="20.25" customHeight="1">
      <c r="A106" s="27">
        <v>105</v>
      </c>
      <c r="B106" s="254" t="str">
        <f ca="1"/>
        <v>2025209132</v>
      </c>
      <c r="C106" s="137" t="str">
        <f ca="1"/>
        <v>Indusind General Insurance Co Ltd</v>
      </c>
      <c r="D106" s="27" t="str">
        <f ca="1"/>
        <v>MACT</v>
      </c>
      <c r="E106" s="27" t="str">
        <f ca="1"/>
        <v>R001-1105-SS-2025</v>
      </c>
      <c r="F106" s="206">
        <f ca="1"/>
        <v>45981</v>
      </c>
      <c r="G106" s="27" t="str">
        <f ca="1"/>
        <v>Nov-25</v>
      </c>
      <c r="H106" s="29">
        <v>46010</v>
      </c>
      <c r="I106" s="29" t="str">
        <f t="shared" si="7"/>
        <v>Dec-25</v>
      </c>
      <c r="J106" s="29" t="str">
        <f t="shared" ca="1" si="4"/>
        <v/>
      </c>
      <c r="K106" s="27">
        <f t="shared" ca="1" si="5"/>
        <v>29</v>
      </c>
      <c r="L106" s="27" t="str">
        <f t="shared" ca="1" si="6"/>
        <v>WT</v>
      </c>
      <c r="M106" s="27" t="s">
        <v>719</v>
      </c>
      <c r="N106" s="27" t="s">
        <v>705</v>
      </c>
      <c r="O106" s="27" t="s">
        <v>706</v>
      </c>
      <c r="P106" s="26" t="s">
        <v>1388</v>
      </c>
      <c r="Q106" s="186" t="s">
        <v>1389</v>
      </c>
      <c r="R106" s="28" t="s">
        <v>1390</v>
      </c>
      <c r="S106" s="234" t="s">
        <v>871</v>
      </c>
      <c r="T106" s="27" t="s">
        <v>706</v>
      </c>
      <c r="U106" s="27" t="s">
        <v>66</v>
      </c>
      <c r="V106" s="27"/>
      <c r="W106" s="27"/>
      <c r="X106" s="213" t="s">
        <v>41</v>
      </c>
      <c r="Y106" s="184" t="s">
        <v>331</v>
      </c>
      <c r="Z106" s="28"/>
      <c r="AA106" s="232" t="s">
        <v>66</v>
      </c>
      <c r="AB106" s="27" t="s">
        <v>41</v>
      </c>
      <c r="AC106" s="27" t="s">
        <v>41</v>
      </c>
      <c r="AD106" s="28" t="s">
        <v>41</v>
      </c>
      <c r="AE106" s="28"/>
      <c r="AF106" s="28" t="s">
        <v>41</v>
      </c>
      <c r="AG106" s="27" t="s">
        <v>41</v>
      </c>
      <c r="AH106" s="27" t="s">
        <v>41</v>
      </c>
      <c r="AI106" s="27" t="s">
        <v>41</v>
      </c>
      <c r="AJ106" s="27" t="s">
        <v>41</v>
      </c>
      <c r="AK106" s="27" t="s">
        <v>41</v>
      </c>
      <c r="AL106" s="27" t="s">
        <v>41</v>
      </c>
      <c r="AM106" s="27" t="s">
        <v>41</v>
      </c>
      <c r="AN106" s="27" t="s">
        <v>41</v>
      </c>
      <c r="AO106" s="27" t="s">
        <v>41</v>
      </c>
      <c r="AP106" s="27" t="s">
        <v>66</v>
      </c>
      <c r="AQ106" s="93" t="s">
        <v>1391</v>
      </c>
      <c r="AR106" s="93"/>
      <c r="AS106" s="27" t="s">
        <v>41</v>
      </c>
      <c r="AT106" s="177" t="s">
        <v>1392</v>
      </c>
      <c r="AU106" s="93" t="s">
        <v>1393</v>
      </c>
      <c r="AV106" s="28" t="s">
        <v>871</v>
      </c>
      <c r="AW106" s="27" t="s">
        <v>41</v>
      </c>
      <c r="AX106" s="28" t="s">
        <v>41</v>
      </c>
      <c r="AY106" s="28" t="s">
        <v>66</v>
      </c>
      <c r="AZ106" s="28"/>
      <c r="BA106" s="28"/>
      <c r="BB106" s="26" t="s">
        <v>41</v>
      </c>
      <c r="BC106" s="27"/>
      <c r="BD106" s="93"/>
      <c r="BE106" s="28" t="s">
        <v>1286</v>
      </c>
      <c r="BF106" s="28"/>
    </row>
    <row r="107" spans="1:58" ht="20.25" customHeight="1">
      <c r="A107" s="27">
        <v>106</v>
      </c>
      <c r="B107" s="254" t="str">
        <f ca="1"/>
        <v>2025209145</v>
      </c>
      <c r="C107" s="137" t="str">
        <f ca="1"/>
        <v>Indusind General Insurance Co Ltd</v>
      </c>
      <c r="D107" s="27" t="str">
        <f ca="1"/>
        <v>MACT</v>
      </c>
      <c r="E107" s="27" t="str">
        <f ca="1"/>
        <v>R001-1106-SS-2025</v>
      </c>
      <c r="F107" s="206">
        <f ca="1"/>
        <v>45981</v>
      </c>
      <c r="G107" s="27" t="str">
        <f ca="1"/>
        <v>Nov-25</v>
      </c>
      <c r="H107" s="29">
        <v>46010</v>
      </c>
      <c r="I107" s="29" t="str">
        <f t="shared" si="7"/>
        <v>Dec-25</v>
      </c>
      <c r="J107" s="29" t="str">
        <f t="shared" ca="1" si="4"/>
        <v/>
      </c>
      <c r="K107" s="27">
        <f t="shared" ca="1" si="5"/>
        <v>29</v>
      </c>
      <c r="L107" s="27" t="str">
        <f t="shared" ca="1" si="6"/>
        <v>WT</v>
      </c>
      <c r="M107" s="27" t="s">
        <v>719</v>
      </c>
      <c r="N107" s="27" t="s">
        <v>705</v>
      </c>
      <c r="O107" s="27" t="s">
        <v>706</v>
      </c>
      <c r="P107" s="27" t="s">
        <v>1388</v>
      </c>
      <c r="Q107" s="28" t="s">
        <v>1394</v>
      </c>
      <c r="R107" s="28" t="s">
        <v>1390</v>
      </c>
      <c r="S107" s="27" t="s">
        <v>1326</v>
      </c>
      <c r="T107" s="27" t="s">
        <v>706</v>
      </c>
      <c r="U107" s="27" t="s">
        <v>66</v>
      </c>
      <c r="V107" s="27"/>
      <c r="W107" s="27"/>
      <c r="X107" s="213" t="s">
        <v>41</v>
      </c>
      <c r="Y107" s="184" t="s">
        <v>331</v>
      </c>
      <c r="Z107" s="28"/>
      <c r="AA107" s="232" t="s">
        <v>66</v>
      </c>
      <c r="AB107" s="27" t="s">
        <v>41</v>
      </c>
      <c r="AC107" s="26" t="s">
        <v>41</v>
      </c>
      <c r="AD107" s="28" t="s">
        <v>41</v>
      </c>
      <c r="AE107" s="28"/>
      <c r="AF107" s="28" t="s">
        <v>41</v>
      </c>
      <c r="AG107" s="26" t="s">
        <v>41</v>
      </c>
      <c r="AH107" s="27" t="s">
        <v>41</v>
      </c>
      <c r="AI107" s="27" t="s">
        <v>41</v>
      </c>
      <c r="AJ107" s="27" t="s">
        <v>41</v>
      </c>
      <c r="AK107" s="27" t="s">
        <v>41</v>
      </c>
      <c r="AL107" s="27" t="s">
        <v>41</v>
      </c>
      <c r="AM107" s="27" t="s">
        <v>41</v>
      </c>
      <c r="AN107" s="27" t="s">
        <v>41</v>
      </c>
      <c r="AO107" s="27" t="s">
        <v>41</v>
      </c>
      <c r="AP107" s="27" t="s">
        <v>66</v>
      </c>
      <c r="AQ107" s="93" t="s">
        <v>1391</v>
      </c>
      <c r="AR107" s="93"/>
      <c r="AS107" s="26" t="s">
        <v>41</v>
      </c>
      <c r="AT107" s="177" t="s">
        <v>1392</v>
      </c>
      <c r="AU107" s="93" t="s">
        <v>1393</v>
      </c>
      <c r="AV107" s="28" t="s">
        <v>871</v>
      </c>
      <c r="AW107" s="27" t="s">
        <v>41</v>
      </c>
      <c r="AX107" s="28" t="s">
        <v>41</v>
      </c>
      <c r="AY107" s="28" t="s">
        <v>66</v>
      </c>
      <c r="AZ107" s="28"/>
      <c r="BA107" s="28"/>
      <c r="BB107" s="26" t="s">
        <v>41</v>
      </c>
      <c r="BC107" s="27"/>
      <c r="BD107" s="93"/>
      <c r="BE107" s="28" t="s">
        <v>1286</v>
      </c>
      <c r="BF107" s="28"/>
    </row>
    <row r="108" spans="1:58" ht="20.25" customHeight="1">
      <c r="A108" s="27">
        <v>107</v>
      </c>
      <c r="B108" s="254" t="str">
        <f ca="1"/>
        <v>2025206806</v>
      </c>
      <c r="C108" s="137" t="str">
        <f ca="1"/>
        <v>Indusind General Insurance Co Ltd</v>
      </c>
      <c r="D108" s="27" t="str">
        <f ca="1"/>
        <v>MACT</v>
      </c>
      <c r="E108" s="27" t="str">
        <f ca="1"/>
        <v>R001-1107-SS-2025</v>
      </c>
      <c r="F108" s="206">
        <f ca="1"/>
        <v>45981</v>
      </c>
      <c r="G108" s="27" t="str">
        <f ca="1"/>
        <v>Nov-25</v>
      </c>
      <c r="H108" s="29">
        <v>46010</v>
      </c>
      <c r="I108" s="29" t="str">
        <f t="shared" si="7"/>
        <v>Dec-25</v>
      </c>
      <c r="J108" s="29">
        <f t="shared" ca="1" si="4"/>
        <v>46023</v>
      </c>
      <c r="K108" s="27">
        <f t="shared" ca="1" si="5"/>
        <v>29</v>
      </c>
      <c r="L108" s="27" t="str">
        <f t="shared" ca="1" si="6"/>
        <v>WT</v>
      </c>
      <c r="M108" s="27" t="s">
        <v>704</v>
      </c>
      <c r="N108" s="27" t="s">
        <v>705</v>
      </c>
      <c r="O108" s="27" t="s">
        <v>706</v>
      </c>
      <c r="P108" s="27"/>
      <c r="Q108" s="28" t="s">
        <v>1395</v>
      </c>
      <c r="R108" s="28" t="s">
        <v>1396</v>
      </c>
      <c r="S108" s="27" t="s">
        <v>871</v>
      </c>
      <c r="T108" s="27" t="s">
        <v>706</v>
      </c>
      <c r="U108" s="27" t="s">
        <v>66</v>
      </c>
      <c r="V108" s="27" t="s">
        <v>66</v>
      </c>
      <c r="W108" s="27" t="s">
        <v>41</v>
      </c>
      <c r="X108" s="213" t="s">
        <v>41</v>
      </c>
      <c r="Y108" s="184" t="s">
        <v>331</v>
      </c>
      <c r="Z108" s="93" t="s">
        <v>1397</v>
      </c>
      <c r="AA108" s="232" t="s">
        <v>871</v>
      </c>
      <c r="AB108" s="27" t="s">
        <v>41</v>
      </c>
      <c r="AC108" s="27" t="s">
        <v>706</v>
      </c>
      <c r="AD108" s="28" t="s">
        <v>41</v>
      </c>
      <c r="AE108" s="28" t="s">
        <v>41</v>
      </c>
      <c r="AF108" s="28" t="s">
        <v>41</v>
      </c>
      <c r="AG108" s="27" t="s">
        <v>706</v>
      </c>
      <c r="AH108" s="27" t="s">
        <v>41</v>
      </c>
      <c r="AI108" s="27" t="s">
        <v>41</v>
      </c>
      <c r="AJ108" s="27" t="s">
        <v>41</v>
      </c>
      <c r="AK108" s="27" t="s">
        <v>41</v>
      </c>
      <c r="AL108" s="27" t="s">
        <v>41</v>
      </c>
      <c r="AM108" s="27" t="s">
        <v>41</v>
      </c>
      <c r="AN108" s="27" t="s">
        <v>41</v>
      </c>
      <c r="AO108" s="27" t="s">
        <v>41</v>
      </c>
      <c r="AP108" s="27" t="s">
        <v>66</v>
      </c>
      <c r="AQ108" s="93" t="s">
        <v>1391</v>
      </c>
      <c r="AR108" s="93" t="s">
        <v>41</v>
      </c>
      <c r="AS108" s="27" t="s">
        <v>706</v>
      </c>
      <c r="AT108" s="177" t="s">
        <v>1392</v>
      </c>
      <c r="AU108" s="93" t="s">
        <v>1393</v>
      </c>
      <c r="AV108" s="28" t="s">
        <v>871</v>
      </c>
      <c r="AW108" s="27" t="s">
        <v>41</v>
      </c>
      <c r="AX108" s="27" t="s">
        <v>721</v>
      </c>
      <c r="AY108" s="28" t="s">
        <v>66</v>
      </c>
      <c r="AZ108" s="28"/>
      <c r="BA108" s="28"/>
      <c r="BB108" s="26" t="s">
        <v>41</v>
      </c>
      <c r="BC108" s="27"/>
      <c r="BD108" s="93"/>
      <c r="BE108" s="28" t="s">
        <v>1398</v>
      </c>
      <c r="BF108" s="28"/>
    </row>
    <row r="109" spans="1:58" ht="20.25" customHeight="1">
      <c r="A109" s="27">
        <v>108</v>
      </c>
      <c r="B109" s="254" t="str">
        <f ca="1"/>
        <v>2025210434</v>
      </c>
      <c r="C109" s="137" t="str">
        <f ca="1"/>
        <v>Indusind General Insurance Co Ltd</v>
      </c>
      <c r="D109" s="27" t="str">
        <f ca="1"/>
        <v>MACT</v>
      </c>
      <c r="E109" s="27" t="str">
        <f ca="1"/>
        <v>R001-1108-SS-2025</v>
      </c>
      <c r="F109" s="206">
        <f ca="1"/>
        <v>45981</v>
      </c>
      <c r="G109" s="27" t="str">
        <f ca="1"/>
        <v>Nov-25</v>
      </c>
      <c r="H109" s="29">
        <v>46013</v>
      </c>
      <c r="I109" s="29" t="str">
        <f t="shared" si="7"/>
        <v>Dec-25</v>
      </c>
      <c r="J109" s="29" t="str">
        <f t="shared" ca="1" si="4"/>
        <v/>
      </c>
      <c r="K109" s="27">
        <f t="shared" ca="1" si="5"/>
        <v>32</v>
      </c>
      <c r="L109" s="27" t="str">
        <f t="shared" ca="1" si="6"/>
        <v>AT</v>
      </c>
      <c r="M109" s="27" t="s">
        <v>719</v>
      </c>
      <c r="N109" s="27" t="s">
        <v>705</v>
      </c>
      <c r="O109" s="27" t="s">
        <v>706</v>
      </c>
      <c r="P109" s="27" t="s">
        <v>1399</v>
      </c>
      <c r="Q109" s="28" t="s">
        <v>1400</v>
      </c>
      <c r="R109" s="28" t="s">
        <v>1401</v>
      </c>
      <c r="S109" s="27" t="s">
        <v>763</v>
      </c>
      <c r="T109" s="27" t="s">
        <v>706</v>
      </c>
      <c r="U109" s="27" t="s">
        <v>66</v>
      </c>
      <c r="V109" s="27"/>
      <c r="W109" s="27"/>
      <c r="X109" s="213" t="s">
        <v>41</v>
      </c>
      <c r="Y109" s="183" t="s">
        <v>66</v>
      </c>
      <c r="Z109" s="28"/>
      <c r="AA109" s="233" t="s">
        <v>41</v>
      </c>
      <c r="AB109" s="27" t="s">
        <v>41</v>
      </c>
      <c r="AC109" s="27" t="s">
        <v>706</v>
      </c>
      <c r="AD109" s="28" t="s">
        <v>41</v>
      </c>
      <c r="AE109" s="28"/>
      <c r="AF109" s="28" t="s">
        <v>41</v>
      </c>
      <c r="AG109" s="27" t="s">
        <v>41</v>
      </c>
      <c r="AH109" s="27" t="s">
        <v>41</v>
      </c>
      <c r="AI109" s="27" t="s">
        <v>41</v>
      </c>
      <c r="AJ109" s="27" t="s">
        <v>41</v>
      </c>
      <c r="AK109" s="27" t="s">
        <v>41</v>
      </c>
      <c r="AL109" s="27" t="s">
        <v>41</v>
      </c>
      <c r="AM109" s="27" t="s">
        <v>41</v>
      </c>
      <c r="AN109" s="27" t="s">
        <v>41</v>
      </c>
      <c r="AO109" s="27" t="s">
        <v>41</v>
      </c>
      <c r="AP109" s="27" t="s">
        <v>66</v>
      </c>
      <c r="AQ109" s="93" t="s">
        <v>1402</v>
      </c>
      <c r="AR109" s="93"/>
      <c r="AS109" s="27" t="s">
        <v>41</v>
      </c>
      <c r="AT109" s="177" t="s">
        <v>1403</v>
      </c>
      <c r="AU109" s="93" t="s">
        <v>1323</v>
      </c>
      <c r="AV109" s="28" t="s">
        <v>763</v>
      </c>
      <c r="AW109" s="27" t="s">
        <v>41</v>
      </c>
      <c r="AX109" s="28" t="s">
        <v>41</v>
      </c>
      <c r="AY109" s="28" t="s">
        <v>66</v>
      </c>
      <c r="AZ109" s="28"/>
      <c r="BA109" s="28"/>
      <c r="BB109" s="26" t="s">
        <v>41</v>
      </c>
      <c r="BC109" s="27"/>
      <c r="BD109" s="93"/>
      <c r="BE109" s="28"/>
      <c r="BF109" s="28"/>
    </row>
    <row r="110" spans="1:58" ht="20.25" customHeight="1">
      <c r="A110" s="27">
        <v>109</v>
      </c>
      <c r="B110" s="254" t="str">
        <f ca="1"/>
        <v>2025209745</v>
      </c>
      <c r="C110" s="137" t="str">
        <f ca="1"/>
        <v>Indusind General Insurance Co Ltd</v>
      </c>
      <c r="D110" s="27" t="str">
        <f ca="1"/>
        <v>MACT</v>
      </c>
      <c r="E110" s="27" t="str">
        <f ca="1"/>
        <v>R001-1109-SS-2025</v>
      </c>
      <c r="F110" s="206">
        <f ca="1"/>
        <v>45981</v>
      </c>
      <c r="G110" s="27" t="str">
        <f ca="1"/>
        <v>Nov-25</v>
      </c>
      <c r="H110" s="27" t="s">
        <v>718</v>
      </c>
      <c r="I110" s="29"/>
      <c r="J110" s="29">
        <f t="shared" ca="1" si="4"/>
        <v>46023</v>
      </c>
      <c r="K110" s="27">
        <f t="shared" ca="1" si="5"/>
        <v>46</v>
      </c>
      <c r="L110" s="27" t="str">
        <f t="shared" ca="1" si="6"/>
        <v>AT</v>
      </c>
      <c r="M110" s="27" t="s">
        <v>704</v>
      </c>
      <c r="N110" s="27" t="s">
        <v>720</v>
      </c>
      <c r="O110" s="27" t="s">
        <v>1106</v>
      </c>
      <c r="P110" s="27"/>
      <c r="Q110" s="28" t="s">
        <v>1404</v>
      </c>
      <c r="R110" s="28" t="s">
        <v>1405</v>
      </c>
      <c r="S110" s="27" t="s">
        <v>763</v>
      </c>
      <c r="T110" s="27" t="s">
        <v>706</v>
      </c>
      <c r="U110" s="27" t="s">
        <v>66</v>
      </c>
      <c r="V110" s="27"/>
      <c r="W110" s="27"/>
      <c r="X110" s="213" t="s">
        <v>41</v>
      </c>
      <c r="Y110" s="184" t="s">
        <v>341</v>
      </c>
      <c r="Z110" s="93" t="s">
        <v>1406</v>
      </c>
      <c r="AA110" s="232" t="s">
        <v>915</v>
      </c>
      <c r="AB110" s="27" t="s">
        <v>41</v>
      </c>
      <c r="AC110" s="27" t="s">
        <v>41</v>
      </c>
      <c r="AD110" s="28" t="s">
        <v>41</v>
      </c>
      <c r="AE110" s="28"/>
      <c r="AF110" s="28" t="s">
        <v>41</v>
      </c>
      <c r="AG110" s="27" t="s">
        <v>41</v>
      </c>
      <c r="AH110" s="27" t="s">
        <v>41</v>
      </c>
      <c r="AI110" s="27" t="s">
        <v>41</v>
      </c>
      <c r="AJ110" s="27" t="s">
        <v>41</v>
      </c>
      <c r="AK110" s="27" t="s">
        <v>41</v>
      </c>
      <c r="AL110" s="27" t="s">
        <v>41</v>
      </c>
      <c r="AM110" s="27" t="s">
        <v>41</v>
      </c>
      <c r="AN110" s="27" t="s">
        <v>41</v>
      </c>
      <c r="AO110" s="27" t="s">
        <v>41</v>
      </c>
      <c r="AP110" s="27" t="s">
        <v>66</v>
      </c>
      <c r="AQ110" s="28" t="s">
        <v>1407</v>
      </c>
      <c r="AR110" s="28"/>
      <c r="AS110" s="27" t="s">
        <v>706</v>
      </c>
      <c r="AT110" s="177" t="s">
        <v>1408</v>
      </c>
      <c r="AU110" s="93" t="s">
        <v>1409</v>
      </c>
      <c r="AV110" s="28" t="s">
        <v>1410</v>
      </c>
      <c r="AW110" s="27" t="s">
        <v>41</v>
      </c>
      <c r="AX110" s="27" t="s">
        <v>41</v>
      </c>
      <c r="AY110" s="28" t="s">
        <v>66</v>
      </c>
      <c r="AZ110" s="28"/>
      <c r="BA110" s="28"/>
      <c r="BB110" s="26" t="s">
        <v>41</v>
      </c>
      <c r="BC110" s="27"/>
      <c r="BD110" s="93"/>
      <c r="BE110" s="28"/>
      <c r="BF110" s="28"/>
    </row>
    <row r="111" spans="1:58" ht="20.25" customHeight="1">
      <c r="A111" s="27">
        <v>110</v>
      </c>
      <c r="B111" s="254" t="str">
        <f ca="1"/>
        <v>2023210048</v>
      </c>
      <c r="C111" s="137" t="str">
        <f ca="1"/>
        <v>Indusind General Insurance Co Ltd</v>
      </c>
      <c r="D111" s="27" t="str">
        <f ca="1"/>
        <v>MACT</v>
      </c>
      <c r="E111" s="27" t="str">
        <f ca="1"/>
        <v>R001-1110-SS-2025</v>
      </c>
      <c r="F111" s="206">
        <f ca="1"/>
        <v>45981</v>
      </c>
      <c r="G111" s="27" t="str">
        <f ca="1"/>
        <v>Nov-25</v>
      </c>
      <c r="H111" s="27" t="s">
        <v>718</v>
      </c>
      <c r="I111" s="29"/>
      <c r="J111" s="29">
        <f t="shared" ca="1" si="4"/>
        <v>46002</v>
      </c>
      <c r="K111" s="27">
        <f t="shared" ca="1" si="5"/>
        <v>46</v>
      </c>
      <c r="L111" s="27" t="str">
        <f t="shared" ca="1" si="6"/>
        <v>AT</v>
      </c>
      <c r="M111" s="27" t="s">
        <v>750</v>
      </c>
      <c r="N111" s="27" t="s">
        <v>720</v>
      </c>
      <c r="O111" s="27" t="s">
        <v>721</v>
      </c>
      <c r="P111" s="165" t="s">
        <v>1411</v>
      </c>
      <c r="Q111" s="28" t="s">
        <v>41</v>
      </c>
      <c r="R111" s="213" t="s">
        <v>41</v>
      </c>
      <c r="S111" s="27" t="s">
        <v>66</v>
      </c>
      <c r="T111" s="27" t="s">
        <v>41</v>
      </c>
      <c r="U111" s="27" t="s">
        <v>66</v>
      </c>
      <c r="V111" s="27"/>
      <c r="W111" s="27"/>
      <c r="X111" s="213" t="s">
        <v>41</v>
      </c>
      <c r="Y111" s="184" t="s">
        <v>41</v>
      </c>
      <c r="Z111" s="213" t="s">
        <v>41</v>
      </c>
      <c r="AA111" s="232" t="s">
        <v>66</v>
      </c>
      <c r="AB111" s="27" t="s">
        <v>41</v>
      </c>
      <c r="AC111" s="27" t="s">
        <v>41</v>
      </c>
      <c r="AD111" s="28" t="s">
        <v>1412</v>
      </c>
      <c r="AE111" s="28"/>
      <c r="AF111" s="28" t="s">
        <v>1413</v>
      </c>
      <c r="AG111" s="27" t="s">
        <v>721</v>
      </c>
      <c r="AH111" s="27" t="s">
        <v>41</v>
      </c>
      <c r="AI111" s="27" t="s">
        <v>41</v>
      </c>
      <c r="AJ111" s="27" t="s">
        <v>41</v>
      </c>
      <c r="AK111" s="27" t="s">
        <v>41</v>
      </c>
      <c r="AL111" s="27" t="s">
        <v>41</v>
      </c>
      <c r="AM111" s="27" t="s">
        <v>41</v>
      </c>
      <c r="AN111" s="27" t="s">
        <v>41</v>
      </c>
      <c r="AO111" s="27" t="s">
        <v>41</v>
      </c>
      <c r="AP111" s="27" t="s">
        <v>66</v>
      </c>
      <c r="AQ111" s="28" t="s">
        <v>66</v>
      </c>
      <c r="AR111" s="28"/>
      <c r="AS111" s="27" t="s">
        <v>41</v>
      </c>
      <c r="AT111" s="177" t="s">
        <v>41</v>
      </c>
      <c r="AU111" s="28" t="s">
        <v>41</v>
      </c>
      <c r="AV111" s="28" t="s">
        <v>41</v>
      </c>
      <c r="AW111" s="27" t="s">
        <v>41</v>
      </c>
      <c r="AX111" s="28" t="s">
        <v>41</v>
      </c>
      <c r="AY111" s="28" t="s">
        <v>66</v>
      </c>
      <c r="AZ111" s="28"/>
      <c r="BA111" s="28"/>
      <c r="BB111" s="26" t="s">
        <v>41</v>
      </c>
      <c r="BC111" s="27"/>
      <c r="BD111" s="93"/>
      <c r="BE111" s="28"/>
      <c r="BF111" s="28"/>
    </row>
    <row r="112" spans="1:58" ht="20.25" customHeight="1">
      <c r="A112" s="27">
        <v>111</v>
      </c>
      <c r="B112" s="254" t="str">
        <f ca="1"/>
        <v>2023202836</v>
      </c>
      <c r="C112" s="137" t="str">
        <f ca="1"/>
        <v>Indusind General Insurance Co Ltd</v>
      </c>
      <c r="D112" s="27" t="str">
        <f ca="1"/>
        <v>MACT</v>
      </c>
      <c r="E112" s="27" t="str">
        <f ca="1"/>
        <v>R001-1111-SS-2025</v>
      </c>
      <c r="F112" s="206">
        <f ca="1"/>
        <v>45981</v>
      </c>
      <c r="G112" s="27" t="str">
        <f ca="1"/>
        <v>Nov-25</v>
      </c>
      <c r="H112" s="29">
        <v>46025</v>
      </c>
      <c r="I112" s="29" t="str">
        <f>TEXT(H112,("mmm-yy"))</f>
        <v>Jan-26</v>
      </c>
      <c r="J112" s="29">
        <f t="shared" ca="1" si="4"/>
        <v>46002</v>
      </c>
      <c r="K112" s="27">
        <f t="shared" ca="1" si="5"/>
        <v>44</v>
      </c>
      <c r="L112" s="27" t="str">
        <f t="shared" ca="1" si="6"/>
        <v>AT</v>
      </c>
      <c r="M112" s="27" t="s">
        <v>750</v>
      </c>
      <c r="N112" s="27" t="s">
        <v>747</v>
      </c>
      <c r="O112" s="27" t="s">
        <v>706</v>
      </c>
      <c r="P112" s="27"/>
      <c r="Q112" s="28" t="s">
        <v>1414</v>
      </c>
      <c r="R112" s="93" t="s">
        <v>1415</v>
      </c>
      <c r="S112" s="27" t="s">
        <v>763</v>
      </c>
      <c r="T112" s="27" t="s">
        <v>706</v>
      </c>
      <c r="U112" s="27" t="s">
        <v>66</v>
      </c>
      <c r="V112" s="27"/>
      <c r="W112" s="27"/>
      <c r="X112" s="213" t="s">
        <v>41</v>
      </c>
      <c r="Y112" s="183" t="s">
        <v>347</v>
      </c>
      <c r="Z112" s="28" t="s">
        <v>41</v>
      </c>
      <c r="AA112" s="233" t="s">
        <v>41</v>
      </c>
      <c r="AB112" s="27" t="s">
        <v>41</v>
      </c>
      <c r="AC112" s="27" t="s">
        <v>41</v>
      </c>
      <c r="AD112" s="28" t="s">
        <v>41</v>
      </c>
      <c r="AE112" s="28"/>
      <c r="AF112" s="28" t="s">
        <v>41</v>
      </c>
      <c r="AG112" s="27" t="s">
        <v>41</v>
      </c>
      <c r="AH112" s="27" t="s">
        <v>41</v>
      </c>
      <c r="AI112" s="27" t="s">
        <v>41</v>
      </c>
      <c r="AJ112" s="27" t="s">
        <v>41</v>
      </c>
      <c r="AK112" s="27" t="s">
        <v>41</v>
      </c>
      <c r="AL112" s="27" t="s">
        <v>41</v>
      </c>
      <c r="AM112" s="27" t="s">
        <v>41</v>
      </c>
      <c r="AN112" s="27" t="s">
        <v>41</v>
      </c>
      <c r="AO112" s="27" t="s">
        <v>41</v>
      </c>
      <c r="AP112" s="27" t="s">
        <v>66</v>
      </c>
      <c r="AQ112" s="93" t="s">
        <v>1416</v>
      </c>
      <c r="AR112" s="93"/>
      <c r="AS112" s="27" t="s">
        <v>41</v>
      </c>
      <c r="AT112" s="177" t="s">
        <v>1417</v>
      </c>
      <c r="AU112" s="93" t="s">
        <v>1418</v>
      </c>
      <c r="AV112" s="28" t="s">
        <v>41</v>
      </c>
      <c r="AW112" s="27" t="s">
        <v>41</v>
      </c>
      <c r="AX112" s="28" t="s">
        <v>41</v>
      </c>
      <c r="AY112" s="28" t="s">
        <v>66</v>
      </c>
      <c r="AZ112" s="28"/>
      <c r="BA112" s="28"/>
      <c r="BB112" s="26" t="s">
        <v>41</v>
      </c>
      <c r="BC112" s="27"/>
      <c r="BD112" s="93"/>
      <c r="BE112" s="28"/>
      <c r="BF112" s="28"/>
    </row>
    <row r="113" spans="1:58" ht="20.25" customHeight="1">
      <c r="A113" s="27">
        <v>112</v>
      </c>
      <c r="B113" s="254" t="str">
        <f ca="1"/>
        <v>MTP-N-2526-004387</v>
      </c>
      <c r="C113" s="137" t="str">
        <f ca="1"/>
        <v>Generali Central Insurance Company Limited</v>
      </c>
      <c r="D113" s="27" t="str">
        <f ca="1"/>
        <v>MACT</v>
      </c>
      <c r="E113" s="27" t="str">
        <f ca="1"/>
        <v>F001-1112-SS-2025</v>
      </c>
      <c r="F113" s="206">
        <f ca="1"/>
        <v>45981</v>
      </c>
      <c r="G113" s="27" t="str">
        <f ca="1"/>
        <v>Nov-25</v>
      </c>
      <c r="H113" s="27" t="s">
        <v>718</v>
      </c>
      <c r="I113" s="29"/>
      <c r="J113" s="29">
        <f t="shared" ca="1" si="4"/>
        <v>46023</v>
      </c>
      <c r="K113" s="27">
        <f t="shared" ca="1" si="5"/>
        <v>46</v>
      </c>
      <c r="L113" s="27" t="str">
        <f t="shared" ca="1" si="6"/>
        <v>AT</v>
      </c>
      <c r="M113" s="27" t="s">
        <v>704</v>
      </c>
      <c r="N113" s="27" t="s">
        <v>720</v>
      </c>
      <c r="O113" s="27" t="s">
        <v>721</v>
      </c>
      <c r="P113" s="27"/>
      <c r="Q113" s="28" t="s">
        <v>1419</v>
      </c>
      <c r="R113" s="105" t="s">
        <v>1420</v>
      </c>
      <c r="S113" s="27" t="s">
        <v>774</v>
      </c>
      <c r="T113" s="27" t="s">
        <v>706</v>
      </c>
      <c r="U113" s="27" t="s">
        <v>66</v>
      </c>
      <c r="V113" s="27"/>
      <c r="W113" s="27"/>
      <c r="X113" s="213" t="s">
        <v>41</v>
      </c>
      <c r="Y113" s="28" t="s">
        <v>350</v>
      </c>
      <c r="Z113" s="104" t="s">
        <v>1421</v>
      </c>
      <c r="AA113" s="27" t="s">
        <v>741</v>
      </c>
      <c r="AB113" s="27" t="s">
        <v>41</v>
      </c>
      <c r="AC113" s="26" t="s">
        <v>706</v>
      </c>
      <c r="AD113" s="28" t="s">
        <v>41</v>
      </c>
      <c r="AE113" s="28"/>
      <c r="AF113" s="28" t="s">
        <v>41</v>
      </c>
      <c r="AG113" s="27" t="s">
        <v>721</v>
      </c>
      <c r="AH113" s="27" t="s">
        <v>742</v>
      </c>
      <c r="AI113" s="27" t="s">
        <v>721</v>
      </c>
      <c r="AJ113" s="27" t="s">
        <v>833</v>
      </c>
      <c r="AK113" s="27" t="s">
        <v>41</v>
      </c>
      <c r="AL113" s="27" t="s">
        <v>41</v>
      </c>
      <c r="AM113" s="27" t="s">
        <v>41</v>
      </c>
      <c r="AN113" s="27" t="s">
        <v>41</v>
      </c>
      <c r="AO113" s="27" t="s">
        <v>41</v>
      </c>
      <c r="AP113" s="27" t="s">
        <v>66</v>
      </c>
      <c r="AQ113" s="93" t="s">
        <v>1422</v>
      </c>
      <c r="AR113" s="93"/>
      <c r="AS113" s="27" t="s">
        <v>721</v>
      </c>
      <c r="AT113" s="177" t="s">
        <v>1423</v>
      </c>
      <c r="AU113" s="93" t="s">
        <v>1424</v>
      </c>
      <c r="AV113" s="28" t="s">
        <v>1425</v>
      </c>
      <c r="AW113" s="27" t="s">
        <v>41</v>
      </c>
      <c r="AX113" s="27" t="s">
        <v>721</v>
      </c>
      <c r="AY113" s="28" t="s">
        <v>66</v>
      </c>
      <c r="AZ113" s="28"/>
      <c r="BA113" s="28"/>
      <c r="BB113" s="26" t="s">
        <v>41</v>
      </c>
      <c r="BC113" s="27"/>
      <c r="BD113" s="93"/>
      <c r="BE113" s="28"/>
      <c r="BF113" s="28"/>
    </row>
    <row r="114" spans="1:58" ht="20.25" customHeight="1">
      <c r="A114" s="27">
        <v>113</v>
      </c>
      <c r="B114" s="254" t="str">
        <f ca="1"/>
        <v>MTP-N-2526-004507</v>
      </c>
      <c r="C114" s="137" t="str">
        <f ca="1"/>
        <v>Generali Central Insurance Company Limited</v>
      </c>
      <c r="D114" s="27" t="str">
        <f ca="1"/>
        <v>MACT</v>
      </c>
      <c r="E114" s="27" t="str">
        <f ca="1"/>
        <v>F001-1113-SS-2025</v>
      </c>
      <c r="F114" s="206">
        <f ca="1"/>
        <v>45981</v>
      </c>
      <c r="G114" s="27" t="str">
        <f ca="1"/>
        <v>Nov-25</v>
      </c>
      <c r="H114" s="27" t="s">
        <v>718</v>
      </c>
      <c r="I114" s="29"/>
      <c r="J114" s="29">
        <f t="shared" ca="1" si="4"/>
        <v>46023</v>
      </c>
      <c r="K114" s="27">
        <f t="shared" ca="1" si="5"/>
        <v>46</v>
      </c>
      <c r="L114" s="27" t="str">
        <f t="shared" ca="1" si="6"/>
        <v>AT</v>
      </c>
      <c r="M114" s="27" t="s">
        <v>704</v>
      </c>
      <c r="N114" s="27" t="s">
        <v>720</v>
      </c>
      <c r="O114" s="27" t="s">
        <v>721</v>
      </c>
      <c r="P114" s="27"/>
      <c r="Q114" s="28" t="s">
        <v>1426</v>
      </c>
      <c r="R114" s="28" t="s">
        <v>1427</v>
      </c>
      <c r="S114" s="27" t="s">
        <v>871</v>
      </c>
      <c r="T114" s="27" t="s">
        <v>721</v>
      </c>
      <c r="U114" s="27" t="s">
        <v>66</v>
      </c>
      <c r="V114" s="27"/>
      <c r="W114" s="27"/>
      <c r="X114" s="213" t="s">
        <v>41</v>
      </c>
      <c r="Y114" s="28" t="s">
        <v>353</v>
      </c>
      <c r="Z114" s="28" t="s">
        <v>1428</v>
      </c>
      <c r="AA114" s="27" t="s">
        <v>871</v>
      </c>
      <c r="AB114" s="27" t="s">
        <v>41</v>
      </c>
      <c r="AC114" s="27" t="s">
        <v>721</v>
      </c>
      <c r="AD114" s="28" t="s">
        <v>41</v>
      </c>
      <c r="AE114" s="28"/>
      <c r="AF114" s="28" t="s">
        <v>41</v>
      </c>
      <c r="AG114" s="27" t="s">
        <v>721</v>
      </c>
      <c r="AH114" s="27" t="s">
        <v>742</v>
      </c>
      <c r="AI114" s="27" t="s">
        <v>721</v>
      </c>
      <c r="AJ114" s="27" t="s">
        <v>833</v>
      </c>
      <c r="AK114" s="27" t="s">
        <v>41</v>
      </c>
      <c r="AL114" s="27" t="s">
        <v>41</v>
      </c>
      <c r="AM114" s="27" t="s">
        <v>41</v>
      </c>
      <c r="AN114" s="27" t="s">
        <v>41</v>
      </c>
      <c r="AO114" s="27" t="s">
        <v>41</v>
      </c>
      <c r="AP114" s="27" t="s">
        <v>66</v>
      </c>
      <c r="AQ114" s="93" t="s">
        <v>1429</v>
      </c>
      <c r="AR114" s="93"/>
      <c r="AS114" s="27" t="s">
        <v>721</v>
      </c>
      <c r="AT114" s="177" t="s">
        <v>1430</v>
      </c>
      <c r="AU114" s="93" t="s">
        <v>1431</v>
      </c>
      <c r="AV114" s="28" t="s">
        <v>963</v>
      </c>
      <c r="AW114" s="27" t="s">
        <v>41</v>
      </c>
      <c r="AX114" s="27" t="s">
        <v>721</v>
      </c>
      <c r="AY114" s="28" t="s">
        <v>66</v>
      </c>
      <c r="AZ114" s="28"/>
      <c r="BA114" s="28"/>
      <c r="BB114" s="26" t="s">
        <v>41</v>
      </c>
      <c r="BC114" s="27"/>
      <c r="BD114" s="93"/>
      <c r="BE114" s="28"/>
      <c r="BF114" s="28"/>
    </row>
    <row r="115" spans="1:58" ht="20.25" customHeight="1">
      <c r="A115" s="27">
        <v>114</v>
      </c>
      <c r="B115" s="254" t="str">
        <f ca="1"/>
        <v>MTP-N-2526-004327</v>
      </c>
      <c r="C115" s="137" t="str">
        <f ca="1"/>
        <v>Generali Central Insurance Company Limited</v>
      </c>
      <c r="D115" s="27" t="str">
        <f ca="1"/>
        <v>MACT</v>
      </c>
      <c r="E115" s="27" t="str">
        <f ca="1"/>
        <v>F001-1114-SS-2025</v>
      </c>
      <c r="F115" s="206">
        <f ca="1"/>
        <v>45980</v>
      </c>
      <c r="G115" s="27" t="str">
        <f ca="1"/>
        <v>Nov-25</v>
      </c>
      <c r="H115" s="27" t="s">
        <v>718</v>
      </c>
      <c r="I115" s="29"/>
      <c r="J115" s="29">
        <f t="shared" ca="1" si="4"/>
        <v>46022</v>
      </c>
      <c r="K115" s="27">
        <f t="shared" ca="1" si="5"/>
        <v>47</v>
      </c>
      <c r="L115" s="27" t="str">
        <f t="shared" ca="1" si="6"/>
        <v>AT</v>
      </c>
      <c r="M115" s="27" t="s">
        <v>704</v>
      </c>
      <c r="N115" s="27" t="s">
        <v>720</v>
      </c>
      <c r="O115" s="27" t="s">
        <v>721</v>
      </c>
      <c r="P115" s="27"/>
      <c r="Q115" s="28" t="s">
        <v>1432</v>
      </c>
      <c r="R115" s="105" t="s">
        <v>1433</v>
      </c>
      <c r="S115" s="27" t="s">
        <v>913</v>
      </c>
      <c r="T115" s="27" t="s">
        <v>706</v>
      </c>
      <c r="U115" s="27" t="s">
        <v>66</v>
      </c>
      <c r="V115" s="27"/>
      <c r="W115" s="27"/>
      <c r="X115" s="213" t="s">
        <v>41</v>
      </c>
      <c r="Y115" s="28" t="s">
        <v>356</v>
      </c>
      <c r="Z115" s="104" t="s">
        <v>1434</v>
      </c>
      <c r="AA115" s="27" t="s">
        <v>1435</v>
      </c>
      <c r="AB115" s="27" t="s">
        <v>41</v>
      </c>
      <c r="AC115" s="27" t="s">
        <v>706</v>
      </c>
      <c r="AD115" s="28" t="s">
        <v>41</v>
      </c>
      <c r="AE115" s="28"/>
      <c r="AF115" s="93" t="s">
        <v>1436</v>
      </c>
      <c r="AG115" s="27" t="s">
        <v>706</v>
      </c>
      <c r="AH115" s="27" t="s">
        <v>742</v>
      </c>
      <c r="AI115" s="27" t="s">
        <v>41</v>
      </c>
      <c r="AJ115" s="27" t="s">
        <v>833</v>
      </c>
      <c r="AK115" s="27" t="s">
        <v>41</v>
      </c>
      <c r="AL115" s="27" t="s">
        <v>41</v>
      </c>
      <c r="AM115" s="27" t="s">
        <v>41</v>
      </c>
      <c r="AN115" s="27" t="s">
        <v>41</v>
      </c>
      <c r="AO115" s="27" t="s">
        <v>41</v>
      </c>
      <c r="AP115" s="27" t="s">
        <v>66</v>
      </c>
      <c r="AQ115" s="28" t="s">
        <v>1437</v>
      </c>
      <c r="AR115" s="28"/>
      <c r="AS115" s="27" t="s">
        <v>721</v>
      </c>
      <c r="AT115" s="177" t="s">
        <v>1438</v>
      </c>
      <c r="AU115" s="93" t="s">
        <v>1439</v>
      </c>
      <c r="AV115" s="28" t="s">
        <v>1440</v>
      </c>
      <c r="AW115" s="27" t="s">
        <v>41</v>
      </c>
      <c r="AX115" s="27" t="s">
        <v>747</v>
      </c>
      <c r="AY115" s="28" t="s">
        <v>66</v>
      </c>
      <c r="AZ115" s="28"/>
      <c r="BA115" s="28"/>
      <c r="BB115" s="26" t="s">
        <v>41</v>
      </c>
      <c r="BC115" s="27"/>
      <c r="BD115" s="93"/>
      <c r="BE115" s="28" t="s">
        <v>1441</v>
      </c>
      <c r="BF115" s="28"/>
    </row>
    <row r="116" spans="1:58" ht="20.25" customHeight="1">
      <c r="A116" s="27">
        <v>115</v>
      </c>
      <c r="B116" s="254" t="str">
        <f ca="1"/>
        <v>CM961508</v>
      </c>
      <c r="C116" s="137" t="str">
        <f ca="1"/>
        <v>Generali Central Insurance Company Limited</v>
      </c>
      <c r="D116" s="27" t="str">
        <f ca="1"/>
        <v>MACT</v>
      </c>
      <c r="E116" s="27" t="str">
        <f ca="1"/>
        <v>F001-1115-SS-2025</v>
      </c>
      <c r="F116" s="206">
        <f ca="1"/>
        <v>45981</v>
      </c>
      <c r="G116" s="27" t="str">
        <f ca="1"/>
        <v>Nov-25</v>
      </c>
      <c r="H116" s="29">
        <v>45990</v>
      </c>
      <c r="I116" s="29" t="str">
        <f t="shared" si="7"/>
        <v>Nov-25</v>
      </c>
      <c r="J116" s="29">
        <f t="shared" ca="1" si="4"/>
        <v>46002</v>
      </c>
      <c r="K116" s="27">
        <f t="shared" ca="1" si="5"/>
        <v>9</v>
      </c>
      <c r="L116" s="27" t="str">
        <f t="shared" ca="1" si="6"/>
        <v>WT</v>
      </c>
      <c r="M116" s="27" t="s">
        <v>750</v>
      </c>
      <c r="N116" s="27" t="s">
        <v>705</v>
      </c>
      <c r="O116" s="27" t="s">
        <v>706</v>
      </c>
      <c r="P116" s="27"/>
      <c r="Q116" s="28" t="s">
        <v>1442</v>
      </c>
      <c r="R116" s="105" t="s">
        <v>1443</v>
      </c>
      <c r="S116" s="27" t="s">
        <v>1444</v>
      </c>
      <c r="T116" s="27" t="s">
        <v>41</v>
      </c>
      <c r="U116" s="189" t="s">
        <v>1445</v>
      </c>
      <c r="V116" s="189"/>
      <c r="W116" s="189"/>
      <c r="X116" s="28" t="s">
        <v>706</v>
      </c>
      <c r="Y116" s="28" t="s">
        <v>359</v>
      </c>
      <c r="Z116" s="105" t="s">
        <v>1446</v>
      </c>
      <c r="AA116" s="27" t="s">
        <v>1447</v>
      </c>
      <c r="AB116" s="27" t="s">
        <v>41</v>
      </c>
      <c r="AC116" s="27" t="s">
        <v>41</v>
      </c>
      <c r="AD116" s="28" t="s">
        <v>41</v>
      </c>
      <c r="AE116" s="28"/>
      <c r="AF116" s="28" t="s">
        <v>41</v>
      </c>
      <c r="AG116" s="27" t="s">
        <v>794</v>
      </c>
      <c r="AH116" s="27" t="s">
        <v>41</v>
      </c>
      <c r="AI116" s="27" t="s">
        <v>41</v>
      </c>
      <c r="AJ116" s="27" t="s">
        <v>41</v>
      </c>
      <c r="AK116" s="27" t="s">
        <v>41</v>
      </c>
      <c r="AL116" s="27" t="s">
        <v>41</v>
      </c>
      <c r="AM116" s="27" t="s">
        <v>41</v>
      </c>
      <c r="AN116" s="27" t="s">
        <v>41</v>
      </c>
      <c r="AO116" s="27" t="s">
        <v>41</v>
      </c>
      <c r="AP116" s="27" t="s">
        <v>66</v>
      </c>
      <c r="AQ116" s="93" t="s">
        <v>1448</v>
      </c>
      <c r="AR116" s="93"/>
      <c r="AS116" s="27" t="s">
        <v>41</v>
      </c>
      <c r="AT116" s="177" t="s">
        <v>1449</v>
      </c>
      <c r="AU116" s="93" t="s">
        <v>1450</v>
      </c>
      <c r="AV116" s="28" t="s">
        <v>1451</v>
      </c>
      <c r="AW116" s="27" t="s">
        <v>41</v>
      </c>
      <c r="AX116" s="28" t="s">
        <v>41</v>
      </c>
      <c r="AY116" s="28" t="s">
        <v>66</v>
      </c>
      <c r="AZ116" s="28"/>
      <c r="BA116" s="28"/>
      <c r="BB116" s="26" t="s">
        <v>41</v>
      </c>
      <c r="BC116" s="27"/>
      <c r="BD116" s="93"/>
      <c r="BE116" s="28"/>
      <c r="BF116" s="28"/>
    </row>
    <row r="117" spans="1:58" ht="20.25" customHeight="1">
      <c r="A117" s="27">
        <v>116</v>
      </c>
      <c r="B117" s="254" t="str">
        <f ca="1"/>
        <v>L0016122</v>
      </c>
      <c r="C117" s="137" t="str">
        <f ca="1"/>
        <v>Generali Central Insurance Company Limited</v>
      </c>
      <c r="D117" s="27" t="str">
        <f ca="1"/>
        <v>MACT</v>
      </c>
      <c r="E117" s="27" t="str">
        <f ca="1"/>
        <v>F001-1116-SS-2025</v>
      </c>
      <c r="F117" s="206">
        <f ca="1"/>
        <v>45981</v>
      </c>
      <c r="G117" s="27" t="str">
        <f ca="1"/>
        <v>Nov-25</v>
      </c>
      <c r="H117" s="29">
        <v>46017</v>
      </c>
      <c r="I117" s="29" t="str">
        <f>TEXT(H117,"MMM-YY")</f>
        <v>Dec-25</v>
      </c>
      <c r="J117" s="29">
        <f t="shared" ca="1" si="4"/>
        <v>46002</v>
      </c>
      <c r="K117" s="27">
        <f t="shared" ca="1" si="5"/>
        <v>36</v>
      </c>
      <c r="L117" s="27" t="str">
        <f t="shared" ca="1" si="6"/>
        <v>AT</v>
      </c>
      <c r="M117" s="27" t="s">
        <v>1452</v>
      </c>
      <c r="N117" s="27" t="s">
        <v>705</v>
      </c>
      <c r="O117" s="27" t="s">
        <v>706</v>
      </c>
      <c r="P117" s="27" t="s">
        <v>1453</v>
      </c>
      <c r="Q117" s="28" t="s">
        <v>41</v>
      </c>
      <c r="R117" s="104" t="s">
        <v>41</v>
      </c>
      <c r="S117" s="27" t="s">
        <v>66</v>
      </c>
      <c r="T117" s="27" t="s">
        <v>721</v>
      </c>
      <c r="U117" s="27" t="s">
        <v>66</v>
      </c>
      <c r="V117" s="27"/>
      <c r="W117" s="27"/>
      <c r="X117" s="213" t="s">
        <v>41</v>
      </c>
      <c r="Y117" s="28" t="s">
        <v>362</v>
      </c>
      <c r="Z117" s="104" t="s">
        <v>1454</v>
      </c>
      <c r="AA117" s="27" t="s">
        <v>741</v>
      </c>
      <c r="AB117" s="27" t="s">
        <v>41</v>
      </c>
      <c r="AC117" s="27" t="s">
        <v>706</v>
      </c>
      <c r="AD117" s="28" t="s">
        <v>41</v>
      </c>
      <c r="AE117" s="28"/>
      <c r="AF117" s="28" t="s">
        <v>41</v>
      </c>
      <c r="AG117" s="27" t="s">
        <v>706</v>
      </c>
      <c r="AH117" s="27" t="s">
        <v>41</v>
      </c>
      <c r="AI117" s="27" t="s">
        <v>41</v>
      </c>
      <c r="AJ117" s="27" t="s">
        <v>41</v>
      </c>
      <c r="AK117" s="27" t="s">
        <v>41</v>
      </c>
      <c r="AL117" s="27" t="s">
        <v>41</v>
      </c>
      <c r="AM117" s="27" t="s">
        <v>41</v>
      </c>
      <c r="AN117" s="27" t="s">
        <v>41</v>
      </c>
      <c r="AO117" s="27" t="s">
        <v>41</v>
      </c>
      <c r="AP117" s="27" t="s">
        <v>66</v>
      </c>
      <c r="AQ117" s="28" t="s">
        <v>41</v>
      </c>
      <c r="AR117" s="28"/>
      <c r="AS117" s="27" t="s">
        <v>706</v>
      </c>
      <c r="AT117" s="28" t="s">
        <v>41</v>
      </c>
      <c r="AU117" s="28" t="s">
        <v>41</v>
      </c>
      <c r="AV117" s="28" t="s">
        <v>41</v>
      </c>
      <c r="AW117" s="27" t="s">
        <v>41</v>
      </c>
      <c r="AX117" s="27" t="s">
        <v>706</v>
      </c>
      <c r="AY117" s="28" t="s">
        <v>66</v>
      </c>
      <c r="AZ117" s="28"/>
      <c r="BA117" s="28"/>
      <c r="BB117" s="26" t="s">
        <v>41</v>
      </c>
      <c r="BC117" s="27"/>
      <c r="BD117" s="93"/>
      <c r="BE117" s="28"/>
      <c r="BF117" s="28"/>
    </row>
    <row r="118" spans="1:58" ht="20.25" customHeight="1">
      <c r="A118" s="27">
        <v>117</v>
      </c>
      <c r="B118" s="254" t="str">
        <f ca="1"/>
        <v>2002429</v>
      </c>
      <c r="C118" s="137" t="str">
        <f ca="1"/>
        <v>SBI General Insurance Company Ltd</v>
      </c>
      <c r="D118" s="27" t="str">
        <f ca="1"/>
        <v>MACT</v>
      </c>
      <c r="E118" s="27" t="str">
        <f ca="1"/>
        <v>S002-1117-SS-2025</v>
      </c>
      <c r="F118" s="206">
        <f ca="1"/>
        <v>45981</v>
      </c>
      <c r="G118" s="27" t="str">
        <f ca="1"/>
        <v>Nov-25</v>
      </c>
      <c r="H118" s="27" t="s">
        <v>718</v>
      </c>
      <c r="I118" s="29"/>
      <c r="J118" s="29">
        <f t="shared" ca="1" si="4"/>
        <v>46023</v>
      </c>
      <c r="K118" s="27">
        <f t="shared" ca="1" si="5"/>
        <v>46</v>
      </c>
      <c r="L118" s="27" t="str">
        <f t="shared" ca="1" si="6"/>
        <v>AT</v>
      </c>
      <c r="M118" s="27" t="s">
        <v>704</v>
      </c>
      <c r="N118" s="27" t="s">
        <v>720</v>
      </c>
      <c r="O118" s="27" t="s">
        <v>721</v>
      </c>
      <c r="P118" s="27"/>
      <c r="Q118" s="28" t="s">
        <v>1455</v>
      </c>
      <c r="R118" s="93" t="s">
        <v>1456</v>
      </c>
      <c r="S118" s="27" t="s">
        <v>1435</v>
      </c>
      <c r="T118" s="27" t="s">
        <v>706</v>
      </c>
      <c r="U118" s="27" t="s">
        <v>66</v>
      </c>
      <c r="V118" s="27"/>
      <c r="W118" s="27"/>
      <c r="X118" s="213" t="s">
        <v>41</v>
      </c>
      <c r="Y118" s="28" t="s">
        <v>365</v>
      </c>
      <c r="Z118" s="93" t="s">
        <v>1457</v>
      </c>
      <c r="AA118" s="27" t="s">
        <v>1435</v>
      </c>
      <c r="AB118" s="27" t="s">
        <v>41</v>
      </c>
      <c r="AC118" s="27" t="s">
        <v>706</v>
      </c>
      <c r="AD118" s="28" t="s">
        <v>41</v>
      </c>
      <c r="AE118" s="28"/>
      <c r="AF118" s="28" t="s">
        <v>41</v>
      </c>
      <c r="AG118" s="27" t="s">
        <v>41</v>
      </c>
      <c r="AH118" s="27" t="s">
        <v>41</v>
      </c>
      <c r="AI118" s="27" t="s">
        <v>41</v>
      </c>
      <c r="AJ118" s="27" t="s">
        <v>41</v>
      </c>
      <c r="AK118" s="27" t="s">
        <v>41</v>
      </c>
      <c r="AL118" s="27" t="s">
        <v>41</v>
      </c>
      <c r="AM118" s="27" t="s">
        <v>41</v>
      </c>
      <c r="AN118" s="27" t="s">
        <v>41</v>
      </c>
      <c r="AO118" s="27" t="s">
        <v>41</v>
      </c>
      <c r="AP118" s="27" t="s">
        <v>66</v>
      </c>
      <c r="AQ118" s="28" t="s">
        <v>1458</v>
      </c>
      <c r="AR118" s="28"/>
      <c r="AS118" s="26" t="s">
        <v>706</v>
      </c>
      <c r="AT118" s="28" t="s">
        <v>1459</v>
      </c>
      <c r="AU118" s="93" t="s">
        <v>1460</v>
      </c>
      <c r="AV118" s="28" t="s">
        <v>1461</v>
      </c>
      <c r="AW118" s="27" t="s">
        <v>41</v>
      </c>
      <c r="AX118" s="27" t="s">
        <v>794</v>
      </c>
      <c r="AY118" s="28" t="s">
        <v>66</v>
      </c>
      <c r="AZ118" s="28"/>
      <c r="BA118" s="28"/>
      <c r="BB118" s="26" t="s">
        <v>41</v>
      </c>
      <c r="BC118" s="27"/>
      <c r="BD118" s="93"/>
      <c r="BE118" s="28" t="s">
        <v>1462</v>
      </c>
      <c r="BF118" s="28"/>
    </row>
    <row r="119" spans="1:58" ht="20.25" customHeight="1">
      <c r="A119" s="27">
        <v>118</v>
      </c>
      <c r="B119" s="254" t="str">
        <f ca="1"/>
        <v>2745855</v>
      </c>
      <c r="C119" s="137" t="str">
        <f ca="1"/>
        <v>SBI General Insurance Company Ltd</v>
      </c>
      <c r="D119" s="27" t="str">
        <f ca="1"/>
        <v>MACT</v>
      </c>
      <c r="E119" s="27" t="str">
        <f ca="1"/>
        <v>S002-1118-SS-2025</v>
      </c>
      <c r="F119" s="206">
        <f ca="1"/>
        <v>45981</v>
      </c>
      <c r="G119" s="27" t="str">
        <f ca="1"/>
        <v>Nov-25</v>
      </c>
      <c r="H119" s="27" t="s">
        <v>718</v>
      </c>
      <c r="I119" s="29"/>
      <c r="J119" s="29">
        <f t="shared" ca="1" si="4"/>
        <v>46023</v>
      </c>
      <c r="K119" s="27">
        <f t="shared" ca="1" si="5"/>
        <v>46</v>
      </c>
      <c r="L119" s="27" t="str">
        <f t="shared" ca="1" si="6"/>
        <v>AT</v>
      </c>
      <c r="M119" s="27" t="s">
        <v>704</v>
      </c>
      <c r="N119" s="27" t="s">
        <v>720</v>
      </c>
      <c r="O119" s="27" t="s">
        <v>751</v>
      </c>
      <c r="P119" s="27"/>
      <c r="Q119" s="28" t="s">
        <v>1463</v>
      </c>
      <c r="R119" s="93" t="s">
        <v>1464</v>
      </c>
      <c r="S119" s="27" t="s">
        <v>1435</v>
      </c>
      <c r="T119" s="27" t="s">
        <v>706</v>
      </c>
      <c r="U119" s="27" t="s">
        <v>66</v>
      </c>
      <c r="V119" s="27"/>
      <c r="W119" s="27"/>
      <c r="X119" s="213" t="s">
        <v>41</v>
      </c>
      <c r="Y119" s="27" t="s">
        <v>369</v>
      </c>
      <c r="Z119" s="93" t="s">
        <v>1465</v>
      </c>
      <c r="AA119" s="27" t="s">
        <v>1435</v>
      </c>
      <c r="AB119" s="27" t="s">
        <v>41</v>
      </c>
      <c r="AC119" s="27" t="s">
        <v>706</v>
      </c>
      <c r="AD119" s="28" t="s">
        <v>41</v>
      </c>
      <c r="AE119" s="28"/>
      <c r="AF119" s="28" t="s">
        <v>41</v>
      </c>
      <c r="AG119" s="27" t="s">
        <v>41</v>
      </c>
      <c r="AH119" s="27" t="s">
        <v>41</v>
      </c>
      <c r="AI119" s="27" t="s">
        <v>41</v>
      </c>
      <c r="AJ119" s="27" t="s">
        <v>41</v>
      </c>
      <c r="AK119" s="27" t="s">
        <v>41</v>
      </c>
      <c r="AL119" s="27" t="s">
        <v>41</v>
      </c>
      <c r="AM119" s="27" t="s">
        <v>41</v>
      </c>
      <c r="AN119" s="27" t="s">
        <v>41</v>
      </c>
      <c r="AO119" s="27" t="s">
        <v>41</v>
      </c>
      <c r="AP119" s="27" t="s">
        <v>66</v>
      </c>
      <c r="AQ119" s="93" t="s">
        <v>1466</v>
      </c>
      <c r="AR119" s="93"/>
      <c r="AS119" s="26" t="s">
        <v>706</v>
      </c>
      <c r="AT119" s="177" t="s">
        <v>1467</v>
      </c>
      <c r="AU119" s="93" t="s">
        <v>1468</v>
      </c>
      <c r="AV119" s="28" t="s">
        <v>1461</v>
      </c>
      <c r="AW119" s="27" t="s">
        <v>41</v>
      </c>
      <c r="AX119" s="27" t="s">
        <v>794</v>
      </c>
      <c r="AY119" s="28" t="s">
        <v>66</v>
      </c>
      <c r="AZ119" s="28"/>
      <c r="BA119" s="28"/>
      <c r="BB119" s="26" t="s">
        <v>41</v>
      </c>
      <c r="BC119" s="27"/>
      <c r="BD119" s="93"/>
      <c r="BE119" s="28"/>
      <c r="BF119" s="28"/>
    </row>
    <row r="120" spans="1:58" ht="20.25" customHeight="1">
      <c r="A120" s="27">
        <v>119</v>
      </c>
      <c r="B120" s="254" t="str">
        <f ca="1"/>
        <v>2748309</v>
      </c>
      <c r="C120" s="137" t="str">
        <f ca="1"/>
        <v>SBI General Insurance Company Ltd</v>
      </c>
      <c r="D120" s="27" t="str">
        <f ca="1"/>
        <v>MACT</v>
      </c>
      <c r="E120" s="27" t="str">
        <f ca="1"/>
        <v>S002-1119-SS-2025</v>
      </c>
      <c r="F120" s="206">
        <f ca="1"/>
        <v>45981</v>
      </c>
      <c r="G120" s="27" t="str">
        <f ca="1"/>
        <v>Nov-25</v>
      </c>
      <c r="H120" s="27" t="s">
        <v>718</v>
      </c>
      <c r="I120" s="29"/>
      <c r="J120" s="29" t="str">
        <f t="shared" ca="1" si="4"/>
        <v/>
      </c>
      <c r="K120" s="27">
        <f t="shared" ca="1" si="5"/>
        <v>46</v>
      </c>
      <c r="L120" s="27" t="str">
        <f t="shared" ca="1" si="6"/>
        <v>AT</v>
      </c>
      <c r="M120" s="27" t="s">
        <v>719</v>
      </c>
      <c r="N120" s="27" t="s">
        <v>720</v>
      </c>
      <c r="O120" s="27" t="s">
        <v>1331</v>
      </c>
      <c r="P120" s="27" t="s">
        <v>1469</v>
      </c>
      <c r="Q120" s="28" t="s">
        <v>1470</v>
      </c>
      <c r="R120" s="93" t="s">
        <v>1471</v>
      </c>
      <c r="S120" s="27" t="s">
        <v>837</v>
      </c>
      <c r="T120" s="27" t="s">
        <v>706</v>
      </c>
      <c r="U120" s="27" t="s">
        <v>66</v>
      </c>
      <c r="V120" s="27"/>
      <c r="W120" s="27"/>
      <c r="X120" s="213" t="s">
        <v>41</v>
      </c>
      <c r="Y120" s="27" t="s">
        <v>372</v>
      </c>
      <c r="Z120" s="93" t="s">
        <v>1472</v>
      </c>
      <c r="AA120" s="27" t="s">
        <v>41</v>
      </c>
      <c r="AB120" s="27" t="s">
        <v>41</v>
      </c>
      <c r="AC120" s="27" t="s">
        <v>41</v>
      </c>
      <c r="AD120" s="28" t="s">
        <v>41</v>
      </c>
      <c r="AE120" s="28"/>
      <c r="AF120" s="28" t="s">
        <v>41</v>
      </c>
      <c r="AG120" s="27" t="s">
        <v>41</v>
      </c>
      <c r="AH120" s="27" t="s">
        <v>41</v>
      </c>
      <c r="AI120" s="27" t="s">
        <v>41</v>
      </c>
      <c r="AJ120" s="27" t="s">
        <v>41</v>
      </c>
      <c r="AK120" s="27" t="s">
        <v>41</v>
      </c>
      <c r="AL120" s="27" t="s">
        <v>41</v>
      </c>
      <c r="AM120" s="27" t="s">
        <v>41</v>
      </c>
      <c r="AN120" s="27" t="s">
        <v>41</v>
      </c>
      <c r="AO120" s="27" t="s">
        <v>41</v>
      </c>
      <c r="AP120" s="27" t="s">
        <v>66</v>
      </c>
      <c r="AQ120" s="93" t="s">
        <v>1473</v>
      </c>
      <c r="AR120" s="93"/>
      <c r="AS120" s="27" t="s">
        <v>41</v>
      </c>
      <c r="AT120" s="177" t="s">
        <v>1474</v>
      </c>
      <c r="AU120" s="93" t="s">
        <v>1475</v>
      </c>
      <c r="AV120" s="190" t="s">
        <v>837</v>
      </c>
      <c r="AW120" s="27" t="s">
        <v>41</v>
      </c>
      <c r="AX120" s="28" t="s">
        <v>41</v>
      </c>
      <c r="AY120" s="28" t="s">
        <v>66</v>
      </c>
      <c r="AZ120" s="28"/>
      <c r="BA120" s="28"/>
      <c r="BB120" s="26" t="s">
        <v>41</v>
      </c>
      <c r="BC120" s="27"/>
      <c r="BD120" s="93"/>
      <c r="BE120" s="28" t="s">
        <v>1476</v>
      </c>
      <c r="BF120" s="28"/>
    </row>
    <row r="121" spans="1:58" ht="20.25" customHeight="1">
      <c r="A121" s="27">
        <v>120</v>
      </c>
      <c r="B121" s="254" t="str">
        <f ca="1"/>
        <v>2748311</v>
      </c>
      <c r="C121" s="137" t="str">
        <f ca="1"/>
        <v>SBI General Insurance Company Ltd</v>
      </c>
      <c r="D121" s="27" t="str">
        <f ca="1"/>
        <v>MACT</v>
      </c>
      <c r="E121" s="27" t="str">
        <f ca="1"/>
        <v>S002-1120-SS-2025</v>
      </c>
      <c r="F121" s="206">
        <f ca="1"/>
        <v>45981</v>
      </c>
      <c r="G121" s="27" t="str">
        <f ca="1"/>
        <v>Nov-25</v>
      </c>
      <c r="H121" s="27" t="s">
        <v>718</v>
      </c>
      <c r="I121" s="29"/>
      <c r="J121" s="29">
        <f t="shared" ca="1" si="4"/>
        <v>46023</v>
      </c>
      <c r="K121" s="27">
        <f t="shared" ca="1" si="5"/>
        <v>46</v>
      </c>
      <c r="L121" s="27" t="str">
        <f t="shared" ca="1" si="6"/>
        <v>AT</v>
      </c>
      <c r="M121" s="27" t="s">
        <v>704</v>
      </c>
      <c r="N121" s="27" t="s">
        <v>720</v>
      </c>
      <c r="O121" s="27" t="s">
        <v>721</v>
      </c>
      <c r="P121" s="27"/>
      <c r="Q121" s="28" t="s">
        <v>1477</v>
      </c>
      <c r="R121" s="198" t="s">
        <v>1471</v>
      </c>
      <c r="S121" s="27" t="s">
        <v>837</v>
      </c>
      <c r="T121" s="27" t="s">
        <v>706</v>
      </c>
      <c r="U121" s="27" t="s">
        <v>66</v>
      </c>
      <c r="V121" s="27"/>
      <c r="W121" s="27"/>
      <c r="X121" s="213" t="s">
        <v>41</v>
      </c>
      <c r="Y121" s="27" t="s">
        <v>372</v>
      </c>
      <c r="Z121" s="198" t="s">
        <v>1472</v>
      </c>
      <c r="AA121" s="27" t="s">
        <v>41</v>
      </c>
      <c r="AB121" s="27" t="s">
        <v>41</v>
      </c>
      <c r="AC121" s="27" t="s">
        <v>794</v>
      </c>
      <c r="AD121" s="28" t="s">
        <v>41</v>
      </c>
      <c r="AE121" s="28"/>
      <c r="AF121" s="28" t="s">
        <v>41</v>
      </c>
      <c r="AG121" s="27" t="s">
        <v>794</v>
      </c>
      <c r="AH121" s="27" t="s">
        <v>41</v>
      </c>
      <c r="AI121" s="27" t="s">
        <v>41</v>
      </c>
      <c r="AJ121" s="27" t="s">
        <v>41</v>
      </c>
      <c r="AK121" s="27" t="s">
        <v>41</v>
      </c>
      <c r="AL121" s="27" t="s">
        <v>41</v>
      </c>
      <c r="AM121" s="27" t="s">
        <v>41</v>
      </c>
      <c r="AN121" s="27" t="s">
        <v>41</v>
      </c>
      <c r="AO121" s="27" t="s">
        <v>41</v>
      </c>
      <c r="AP121" s="27" t="s">
        <v>66</v>
      </c>
      <c r="AQ121" s="93" t="s">
        <v>1473</v>
      </c>
      <c r="AR121" s="93"/>
      <c r="AS121" s="27" t="s">
        <v>794</v>
      </c>
      <c r="AT121" s="177" t="s">
        <v>1474</v>
      </c>
      <c r="AU121" s="93" t="s">
        <v>1475</v>
      </c>
      <c r="AV121" s="190" t="s">
        <v>837</v>
      </c>
      <c r="AW121" s="27" t="s">
        <v>41</v>
      </c>
      <c r="AX121" s="27" t="s">
        <v>794</v>
      </c>
      <c r="AY121" s="28" t="s">
        <v>66</v>
      </c>
      <c r="AZ121" s="28"/>
      <c r="BA121" s="28"/>
      <c r="BB121" s="26" t="s">
        <v>41</v>
      </c>
      <c r="BC121" s="27"/>
      <c r="BD121" s="93"/>
      <c r="BE121" s="28" t="s">
        <v>1286</v>
      </c>
      <c r="BF121" s="28"/>
    </row>
    <row r="122" spans="1:58" ht="20.25" customHeight="1">
      <c r="A122" s="27">
        <v>121</v>
      </c>
      <c r="B122" s="254" t="str">
        <f ca="1"/>
        <v>2748142</v>
      </c>
      <c r="C122" s="137" t="str">
        <f ca="1"/>
        <v>SBI General Insurance Company Ltd</v>
      </c>
      <c r="D122" s="27" t="str">
        <f ca="1"/>
        <v>MACT</v>
      </c>
      <c r="E122" s="27" t="str">
        <f ca="1"/>
        <v>S002-1121-SS-2025</v>
      </c>
      <c r="F122" s="206">
        <f ca="1"/>
        <v>45981</v>
      </c>
      <c r="G122" s="27" t="str">
        <f ca="1"/>
        <v>Nov-25</v>
      </c>
      <c r="H122" s="27" t="s">
        <v>718</v>
      </c>
      <c r="I122" s="29"/>
      <c r="J122" s="29">
        <f t="shared" ca="1" si="4"/>
        <v>46023</v>
      </c>
      <c r="K122" s="27">
        <f t="shared" ca="1" si="5"/>
        <v>46</v>
      </c>
      <c r="L122" s="27" t="str">
        <f t="shared" ca="1" si="6"/>
        <v>AT</v>
      </c>
      <c r="M122" s="27" t="s">
        <v>704</v>
      </c>
      <c r="N122" s="27" t="s">
        <v>720</v>
      </c>
      <c r="O122" s="27" t="s">
        <v>721</v>
      </c>
      <c r="P122" s="27"/>
      <c r="Q122" s="28" t="s">
        <v>1478</v>
      </c>
      <c r="R122" s="93" t="s">
        <v>1479</v>
      </c>
      <c r="S122" s="27" t="s">
        <v>837</v>
      </c>
      <c r="T122" s="27" t="s">
        <v>706</v>
      </c>
      <c r="U122" s="28" t="s">
        <v>66</v>
      </c>
      <c r="V122" s="28"/>
      <c r="W122" s="28"/>
      <c r="X122" s="213" t="s">
        <v>41</v>
      </c>
      <c r="Y122" s="191" t="s">
        <v>377</v>
      </c>
      <c r="Z122" s="93" t="s">
        <v>1480</v>
      </c>
      <c r="AA122" s="239" t="s">
        <v>837</v>
      </c>
      <c r="AB122" s="27" t="s">
        <v>41</v>
      </c>
      <c r="AC122" s="27" t="s">
        <v>706</v>
      </c>
      <c r="AD122" s="28" t="s">
        <v>41</v>
      </c>
      <c r="AE122" s="28"/>
      <c r="AF122" s="28" t="s">
        <v>41</v>
      </c>
      <c r="AG122" s="27" t="s">
        <v>721</v>
      </c>
      <c r="AH122" s="27" t="s">
        <v>41</v>
      </c>
      <c r="AI122" s="27" t="s">
        <v>41</v>
      </c>
      <c r="AJ122" s="27" t="s">
        <v>41</v>
      </c>
      <c r="AK122" s="27" t="s">
        <v>41</v>
      </c>
      <c r="AL122" s="27" t="s">
        <v>41</v>
      </c>
      <c r="AM122" s="27" t="s">
        <v>41</v>
      </c>
      <c r="AN122" s="27" t="s">
        <v>41</v>
      </c>
      <c r="AO122" s="27" t="s">
        <v>41</v>
      </c>
      <c r="AP122" s="27" t="s">
        <v>66</v>
      </c>
      <c r="AQ122" s="93" t="s">
        <v>1481</v>
      </c>
      <c r="AR122" s="93"/>
      <c r="AS122" s="27" t="s">
        <v>706</v>
      </c>
      <c r="AT122" s="177" t="s">
        <v>1482</v>
      </c>
      <c r="AU122" s="93" t="s">
        <v>1483</v>
      </c>
      <c r="AV122" s="190" t="s">
        <v>837</v>
      </c>
      <c r="AW122" s="27" t="s">
        <v>41</v>
      </c>
      <c r="AX122" s="27" t="s">
        <v>721</v>
      </c>
      <c r="AY122" s="28" t="s">
        <v>66</v>
      </c>
      <c r="AZ122" s="28"/>
      <c r="BA122" s="28"/>
      <c r="BB122" s="26" t="s">
        <v>41</v>
      </c>
      <c r="BC122" s="27"/>
      <c r="BD122" s="93"/>
      <c r="BE122" s="28" t="s">
        <v>1484</v>
      </c>
      <c r="BF122" s="28"/>
    </row>
    <row r="123" spans="1:58" ht="20.25" customHeight="1">
      <c r="A123" s="27">
        <v>122</v>
      </c>
      <c r="B123" s="254" t="str">
        <f ca="1"/>
        <v>2025212933</v>
      </c>
      <c r="C123" s="137" t="str">
        <f ca="1"/>
        <v>Indusind General Insurance Co Ltd</v>
      </c>
      <c r="D123" s="27" t="str">
        <f ca="1"/>
        <v>MACT</v>
      </c>
      <c r="E123" s="27" t="str">
        <f ca="1"/>
        <v>R001-1122-SS-2025</v>
      </c>
      <c r="F123" s="206">
        <f ca="1"/>
        <v>45984</v>
      </c>
      <c r="G123" s="27" t="str">
        <f ca="1"/>
        <v>Nov-25</v>
      </c>
      <c r="H123" s="27" t="s">
        <v>718</v>
      </c>
      <c r="I123" s="29"/>
      <c r="J123" s="29">
        <f t="shared" ca="1" si="4"/>
        <v>46024</v>
      </c>
      <c r="K123" s="27">
        <f t="shared" ca="1" si="5"/>
        <v>43</v>
      </c>
      <c r="L123" s="27" t="str">
        <f t="shared" ca="1" si="6"/>
        <v>AT</v>
      </c>
      <c r="M123" s="27" t="s">
        <v>704</v>
      </c>
      <c r="N123" s="27" t="s">
        <v>720</v>
      </c>
      <c r="O123" s="27" t="s">
        <v>721</v>
      </c>
      <c r="P123" s="27"/>
      <c r="Q123" s="28" t="s">
        <v>1485</v>
      </c>
      <c r="R123" s="233" t="s">
        <v>1486</v>
      </c>
      <c r="S123" s="27" t="s">
        <v>963</v>
      </c>
      <c r="T123" s="27" t="s">
        <v>721</v>
      </c>
      <c r="U123" s="28" t="s">
        <v>66</v>
      </c>
      <c r="V123" s="28"/>
      <c r="W123" s="28"/>
      <c r="X123" s="213" t="s">
        <v>41</v>
      </c>
      <c r="Y123" s="28" t="s">
        <v>380</v>
      </c>
      <c r="Z123" s="164" t="s">
        <v>1487</v>
      </c>
      <c r="AA123" s="27" t="s">
        <v>871</v>
      </c>
      <c r="AB123" s="27" t="s">
        <v>41</v>
      </c>
      <c r="AC123" s="26" t="s">
        <v>721</v>
      </c>
      <c r="AD123" s="28" t="s">
        <v>41</v>
      </c>
      <c r="AE123" s="28"/>
      <c r="AF123" s="27" t="s">
        <v>41</v>
      </c>
      <c r="AG123" s="27" t="s">
        <v>721</v>
      </c>
      <c r="AH123" s="27" t="s">
        <v>41</v>
      </c>
      <c r="AI123" s="27" t="s">
        <v>41</v>
      </c>
      <c r="AJ123" s="27" t="s">
        <v>41</v>
      </c>
      <c r="AK123" s="27" t="s">
        <v>41</v>
      </c>
      <c r="AL123" s="27" t="s">
        <v>41</v>
      </c>
      <c r="AM123" s="27" t="s">
        <v>41</v>
      </c>
      <c r="AN123" s="27" t="s">
        <v>41</v>
      </c>
      <c r="AO123" s="27" t="s">
        <v>41</v>
      </c>
      <c r="AP123" s="27" t="s">
        <v>66</v>
      </c>
      <c r="AQ123" s="28" t="s">
        <v>1488</v>
      </c>
      <c r="AR123" s="28"/>
      <c r="AS123" s="26" t="s">
        <v>721</v>
      </c>
      <c r="AT123" s="28" t="s">
        <v>1489</v>
      </c>
      <c r="AU123" s="27" t="s">
        <v>1490</v>
      </c>
      <c r="AV123" s="27" t="s">
        <v>963</v>
      </c>
      <c r="AW123" s="27" t="s">
        <v>41</v>
      </c>
      <c r="AX123" s="28" t="s">
        <v>706</v>
      </c>
      <c r="AY123" s="28" t="s">
        <v>66</v>
      </c>
      <c r="AZ123" s="28"/>
      <c r="BA123" s="28"/>
      <c r="BB123" s="26" t="s">
        <v>41</v>
      </c>
      <c r="BC123" s="27"/>
      <c r="BD123" s="93"/>
      <c r="BE123" s="28"/>
      <c r="BF123" s="28"/>
    </row>
    <row r="124" spans="1:58" ht="20.25" customHeight="1">
      <c r="A124" s="27">
        <v>123</v>
      </c>
      <c r="B124" s="254" t="str">
        <f ca="1"/>
        <v>2025210107</v>
      </c>
      <c r="C124" s="137" t="str">
        <f ca="1"/>
        <v>Indusind General Insurance Co Ltd</v>
      </c>
      <c r="D124" s="27" t="str">
        <f ca="1"/>
        <v>MACT</v>
      </c>
      <c r="E124" s="27" t="str">
        <f ca="1"/>
        <v>R001-1123-SS-2025</v>
      </c>
      <c r="F124" s="206">
        <f ca="1"/>
        <v>45984</v>
      </c>
      <c r="G124" s="27" t="str">
        <f ca="1"/>
        <v>Nov-25</v>
      </c>
      <c r="H124" s="27" t="s">
        <v>718</v>
      </c>
      <c r="I124" s="29"/>
      <c r="J124" s="29">
        <f t="shared" ca="1" si="4"/>
        <v>46003</v>
      </c>
      <c r="K124" s="27">
        <f t="shared" ca="1" si="5"/>
        <v>43</v>
      </c>
      <c r="L124" s="27" t="str">
        <f t="shared" ca="1" si="6"/>
        <v>AT</v>
      </c>
      <c r="M124" s="27" t="s">
        <v>750</v>
      </c>
      <c r="N124" s="27" t="s">
        <v>720</v>
      </c>
      <c r="O124" s="27" t="s">
        <v>721</v>
      </c>
      <c r="P124" s="68" t="s">
        <v>1491</v>
      </c>
      <c r="Q124" s="28" t="s">
        <v>41</v>
      </c>
      <c r="R124" s="26" t="s">
        <v>41</v>
      </c>
      <c r="S124" s="27" t="s">
        <v>41</v>
      </c>
      <c r="T124" s="27" t="s">
        <v>41</v>
      </c>
      <c r="U124" s="28" t="s">
        <v>66</v>
      </c>
      <c r="V124" s="28"/>
      <c r="W124" s="28"/>
      <c r="X124" s="213" t="s">
        <v>41</v>
      </c>
      <c r="Y124" s="28" t="s">
        <v>41</v>
      </c>
      <c r="Z124" s="26" t="s">
        <v>41</v>
      </c>
      <c r="AA124" s="27" t="s">
        <v>41</v>
      </c>
      <c r="AB124" s="27" t="s">
        <v>41</v>
      </c>
      <c r="AC124" s="27" t="s">
        <v>41</v>
      </c>
      <c r="AD124" s="28" t="s">
        <v>41</v>
      </c>
      <c r="AE124" s="28"/>
      <c r="AF124" s="27" t="s">
        <v>41</v>
      </c>
      <c r="AG124" s="27" t="s">
        <v>41</v>
      </c>
      <c r="AH124" s="27" t="s">
        <v>41</v>
      </c>
      <c r="AI124" s="27" t="s">
        <v>41</v>
      </c>
      <c r="AJ124" s="27" t="s">
        <v>41</v>
      </c>
      <c r="AK124" s="27" t="s">
        <v>41</v>
      </c>
      <c r="AL124" s="27" t="s">
        <v>833</v>
      </c>
      <c r="AM124" s="27" t="s">
        <v>721</v>
      </c>
      <c r="AN124" s="27" t="s">
        <v>41</v>
      </c>
      <c r="AO124" s="27" t="s">
        <v>41</v>
      </c>
      <c r="AP124" s="27" t="s">
        <v>66</v>
      </c>
      <c r="AQ124" s="28" t="s">
        <v>1488</v>
      </c>
      <c r="AR124" s="28"/>
      <c r="AS124" s="27" t="s">
        <v>41</v>
      </c>
      <c r="AT124" s="28" t="s">
        <v>1489</v>
      </c>
      <c r="AU124" s="27" t="s">
        <v>1490</v>
      </c>
      <c r="AV124" s="27" t="s">
        <v>963</v>
      </c>
      <c r="AW124" s="27" t="s">
        <v>41</v>
      </c>
      <c r="AX124" s="28" t="s">
        <v>41</v>
      </c>
      <c r="AY124" s="28" t="s">
        <v>66</v>
      </c>
      <c r="AZ124" s="28"/>
      <c r="BA124" s="28"/>
      <c r="BB124" s="26" t="s">
        <v>41</v>
      </c>
      <c r="BC124" s="27"/>
      <c r="BD124" s="93"/>
      <c r="BE124" s="28"/>
      <c r="BF124" s="28"/>
    </row>
    <row r="125" spans="1:58" ht="20.25" customHeight="1">
      <c r="A125" s="27">
        <v>124</v>
      </c>
      <c r="B125" s="254" t="str">
        <f ca="1"/>
        <v>2022213651</v>
      </c>
      <c r="C125" s="137" t="str">
        <f ca="1"/>
        <v>Indusind General Insurance Co Ltd</v>
      </c>
      <c r="D125" s="27" t="str">
        <f ca="1"/>
        <v>MACT</v>
      </c>
      <c r="E125" s="27" t="str">
        <f ca="1"/>
        <v>R001-1124-SS-2025</v>
      </c>
      <c r="F125" s="206">
        <f ca="1"/>
        <v>45985</v>
      </c>
      <c r="G125" s="27" t="str">
        <f ca="1"/>
        <v>Nov-25</v>
      </c>
      <c r="H125" s="27" t="s">
        <v>718</v>
      </c>
      <c r="I125" s="29"/>
      <c r="J125" s="29">
        <f t="shared" ca="1" si="4"/>
        <v>46006</v>
      </c>
      <c r="K125" s="27">
        <f t="shared" ca="1" si="5"/>
        <v>42</v>
      </c>
      <c r="L125" s="27" t="str">
        <f t="shared" ca="1" si="6"/>
        <v>AT</v>
      </c>
      <c r="M125" s="27" t="s">
        <v>750</v>
      </c>
      <c r="N125" s="27" t="s">
        <v>720</v>
      </c>
      <c r="O125" s="27" t="s">
        <v>751</v>
      </c>
      <c r="P125" s="68" t="s">
        <v>1492</v>
      </c>
      <c r="Q125" s="26" t="s">
        <v>41</v>
      </c>
      <c r="R125" s="26" t="s">
        <v>41</v>
      </c>
      <c r="S125" s="26" t="s">
        <v>41</v>
      </c>
      <c r="T125" s="27" t="s">
        <v>41</v>
      </c>
      <c r="U125" s="28" t="s">
        <v>66</v>
      </c>
      <c r="V125" s="28"/>
      <c r="W125" s="28"/>
      <c r="X125" s="213" t="s">
        <v>41</v>
      </c>
      <c r="Y125" s="26" t="s">
        <v>41</v>
      </c>
      <c r="Z125" s="26" t="s">
        <v>41</v>
      </c>
      <c r="AA125" s="26" t="s">
        <v>66</v>
      </c>
      <c r="AB125" s="27" t="s">
        <v>41</v>
      </c>
      <c r="AC125" s="27" t="s">
        <v>41</v>
      </c>
      <c r="AD125" s="26" t="s">
        <v>41</v>
      </c>
      <c r="AE125" s="26"/>
      <c r="AF125" s="26" t="s">
        <v>41</v>
      </c>
      <c r="AG125" s="27" t="s">
        <v>41</v>
      </c>
      <c r="AH125" s="27" t="s">
        <v>41</v>
      </c>
      <c r="AI125" s="27" t="s">
        <v>41</v>
      </c>
      <c r="AJ125" s="27" t="s">
        <v>41</v>
      </c>
      <c r="AK125" s="27" t="s">
        <v>41</v>
      </c>
      <c r="AL125" s="27" t="s">
        <v>41</v>
      </c>
      <c r="AM125" s="27" t="s">
        <v>41</v>
      </c>
      <c r="AN125" s="27" t="s">
        <v>41</v>
      </c>
      <c r="AO125" s="27" t="s">
        <v>41</v>
      </c>
      <c r="AP125" s="27" t="s">
        <v>66</v>
      </c>
      <c r="AQ125" s="138" t="s">
        <v>41</v>
      </c>
      <c r="AR125" s="138"/>
      <c r="AS125" s="27" t="s">
        <v>41</v>
      </c>
      <c r="AT125" s="27" t="s">
        <v>1493</v>
      </c>
      <c r="AU125" s="27" t="s">
        <v>934</v>
      </c>
      <c r="AV125" s="27" t="s">
        <v>763</v>
      </c>
      <c r="AW125" s="27" t="s">
        <v>41</v>
      </c>
      <c r="AX125" s="27" t="s">
        <v>721</v>
      </c>
      <c r="AY125" s="28" t="s">
        <v>66</v>
      </c>
      <c r="AZ125" s="28" t="s">
        <v>112</v>
      </c>
      <c r="BA125" s="28"/>
      <c r="BB125" s="26" t="s">
        <v>41</v>
      </c>
      <c r="BC125" s="27"/>
      <c r="BD125" s="93"/>
      <c r="BE125" s="28"/>
      <c r="BF125" s="28"/>
    </row>
    <row r="126" spans="1:58" ht="20.25" customHeight="1">
      <c r="A126" s="27">
        <v>125</v>
      </c>
      <c r="B126" s="254" t="str">
        <f ca="1"/>
        <v>2025212966</v>
      </c>
      <c r="C126" s="137" t="str">
        <f ca="1"/>
        <v>Indusind General Insurance Co Ltd</v>
      </c>
      <c r="D126" s="27" t="str">
        <f ca="1"/>
        <v>MACT</v>
      </c>
      <c r="E126" s="27" t="str">
        <f ca="1"/>
        <v>R001-1125-SS-2025</v>
      </c>
      <c r="F126" s="206">
        <f ca="1"/>
        <v>45986</v>
      </c>
      <c r="G126" s="27" t="str">
        <f ca="1"/>
        <v>Nov-25</v>
      </c>
      <c r="H126" s="29">
        <v>46025</v>
      </c>
      <c r="I126" s="29" t="str">
        <f>TEXT(H126,("mmm-yy"))</f>
        <v>Jan-26</v>
      </c>
      <c r="J126" s="29">
        <f t="shared" ca="1" si="4"/>
        <v>46028</v>
      </c>
      <c r="K126" s="27">
        <f t="shared" ca="1" si="5"/>
        <v>39</v>
      </c>
      <c r="L126" s="27" t="str">
        <f t="shared" ca="1" si="6"/>
        <v>AT</v>
      </c>
      <c r="M126" s="27" t="s">
        <v>704</v>
      </c>
      <c r="N126" s="27" t="s">
        <v>720</v>
      </c>
      <c r="O126" s="27" t="s">
        <v>706</v>
      </c>
      <c r="P126" s="27"/>
      <c r="Q126" s="164" t="s">
        <v>1494</v>
      </c>
      <c r="R126" s="26" t="s">
        <v>1495</v>
      </c>
      <c r="S126" s="164" t="s">
        <v>791</v>
      </c>
      <c r="T126" s="27" t="s">
        <v>706</v>
      </c>
      <c r="U126" s="28" t="s">
        <v>66</v>
      </c>
      <c r="V126" s="28"/>
      <c r="W126" s="28"/>
      <c r="X126" s="213" t="s">
        <v>41</v>
      </c>
      <c r="Y126" s="164" t="s">
        <v>386</v>
      </c>
      <c r="Z126" s="27" t="s">
        <v>1496</v>
      </c>
      <c r="AA126" s="164" t="s">
        <v>791</v>
      </c>
      <c r="AB126" s="27" t="s">
        <v>41</v>
      </c>
      <c r="AC126" s="26" t="s">
        <v>706</v>
      </c>
      <c r="AD126" s="164" t="s">
        <v>41</v>
      </c>
      <c r="AE126" s="164"/>
      <c r="AF126" s="193" t="s">
        <v>829</v>
      </c>
      <c r="AG126" s="26" t="s">
        <v>706</v>
      </c>
      <c r="AH126" s="27" t="s">
        <v>41</v>
      </c>
      <c r="AI126" s="27" t="s">
        <v>41</v>
      </c>
      <c r="AJ126" s="27" t="s">
        <v>41</v>
      </c>
      <c r="AK126" s="27" t="s">
        <v>41</v>
      </c>
      <c r="AL126" s="27" t="s">
        <v>41</v>
      </c>
      <c r="AM126" s="27" t="s">
        <v>41</v>
      </c>
      <c r="AN126" s="27" t="s">
        <v>41</v>
      </c>
      <c r="AO126" s="27" t="s">
        <v>41</v>
      </c>
      <c r="AP126" s="27" t="s">
        <v>66</v>
      </c>
      <c r="AQ126" s="194" t="s">
        <v>1497</v>
      </c>
      <c r="AR126" s="194"/>
      <c r="AS126" s="27" t="s">
        <v>706</v>
      </c>
      <c r="AT126" s="164" t="s">
        <v>1498</v>
      </c>
      <c r="AU126" s="193" t="s">
        <v>1499</v>
      </c>
      <c r="AV126" s="195" t="s">
        <v>1500</v>
      </c>
      <c r="AW126" s="27" t="s">
        <v>41</v>
      </c>
      <c r="AX126" s="28" t="s">
        <v>706</v>
      </c>
      <c r="AY126" s="28" t="s">
        <v>66</v>
      </c>
      <c r="AZ126" s="28"/>
      <c r="BA126" s="28"/>
      <c r="BB126" s="26" t="s">
        <v>41</v>
      </c>
      <c r="BC126" s="27"/>
      <c r="BD126" s="93"/>
      <c r="BE126" s="28"/>
      <c r="BF126" s="28"/>
    </row>
    <row r="127" spans="1:58" ht="20.25" customHeight="1">
      <c r="A127" s="27">
        <v>126</v>
      </c>
      <c r="B127" s="254" t="str">
        <f ca="1"/>
        <v>2025212965</v>
      </c>
      <c r="C127" s="137" t="str">
        <f ca="1"/>
        <v>Indusind General Insurance Co Ltd</v>
      </c>
      <c r="D127" s="27" t="str">
        <f ca="1"/>
        <v>MACT</v>
      </c>
      <c r="E127" s="27" t="str">
        <f ca="1"/>
        <v>R001-1126-SS-2025</v>
      </c>
      <c r="F127" s="206">
        <f ca="1"/>
        <v>45986</v>
      </c>
      <c r="G127" s="27" t="str">
        <f ca="1"/>
        <v>Nov-25</v>
      </c>
      <c r="H127" s="27" t="s">
        <v>718</v>
      </c>
      <c r="I127" s="29"/>
      <c r="J127" s="29">
        <f t="shared" ca="1" si="4"/>
        <v>46028</v>
      </c>
      <c r="K127" s="27">
        <f t="shared" ca="1" si="5"/>
        <v>41</v>
      </c>
      <c r="L127" s="27" t="str">
        <f t="shared" ca="1" si="6"/>
        <v>AT</v>
      </c>
      <c r="M127" s="27" t="s">
        <v>704</v>
      </c>
      <c r="N127" s="27" t="s">
        <v>720</v>
      </c>
      <c r="O127" s="27" t="s">
        <v>721</v>
      </c>
      <c r="P127" s="27"/>
      <c r="Q127" s="164" t="s">
        <v>1501</v>
      </c>
      <c r="R127" s="27" t="s">
        <v>1502</v>
      </c>
      <c r="S127" s="164" t="s">
        <v>754</v>
      </c>
      <c r="T127" s="27" t="s">
        <v>706</v>
      </c>
      <c r="U127" s="28" t="s">
        <v>66</v>
      </c>
      <c r="V127" s="28"/>
      <c r="W127" s="28"/>
      <c r="X127" s="213" t="s">
        <v>41</v>
      </c>
      <c r="Y127" s="164" t="s">
        <v>389</v>
      </c>
      <c r="Z127" s="27" t="s">
        <v>1503</v>
      </c>
      <c r="AA127" s="164" t="s">
        <v>754</v>
      </c>
      <c r="AB127" s="27" t="s">
        <v>41</v>
      </c>
      <c r="AC127" s="26" t="s">
        <v>706</v>
      </c>
      <c r="AD127" s="164" t="s">
        <v>41</v>
      </c>
      <c r="AE127" s="164"/>
      <c r="AF127" s="164" t="s">
        <v>41</v>
      </c>
      <c r="AG127" s="26" t="s">
        <v>706</v>
      </c>
      <c r="AH127" s="27" t="s">
        <v>41</v>
      </c>
      <c r="AI127" s="27" t="s">
        <v>41</v>
      </c>
      <c r="AJ127" s="27" t="s">
        <v>41</v>
      </c>
      <c r="AK127" s="27" t="s">
        <v>41</v>
      </c>
      <c r="AL127" s="27" t="s">
        <v>41</v>
      </c>
      <c r="AM127" s="27" t="s">
        <v>41</v>
      </c>
      <c r="AN127" s="27" t="s">
        <v>41</v>
      </c>
      <c r="AO127" s="27" t="s">
        <v>41</v>
      </c>
      <c r="AP127" s="27" t="s">
        <v>66</v>
      </c>
      <c r="AQ127" s="194"/>
      <c r="AR127" s="194"/>
      <c r="AS127" s="26" t="s">
        <v>706</v>
      </c>
      <c r="AT127" s="164" t="s">
        <v>1504</v>
      </c>
      <c r="AU127" s="193" t="s">
        <v>1505</v>
      </c>
      <c r="AV127" s="195" t="s">
        <v>754</v>
      </c>
      <c r="AW127" s="27" t="s">
        <v>41</v>
      </c>
      <c r="AX127" s="27" t="s">
        <v>721</v>
      </c>
      <c r="AY127" s="28" t="s">
        <v>66</v>
      </c>
      <c r="AZ127" s="28"/>
      <c r="BA127" s="28"/>
      <c r="BB127" s="26" t="s">
        <v>41</v>
      </c>
      <c r="BC127" s="27"/>
      <c r="BD127" s="93"/>
      <c r="BE127" s="28"/>
      <c r="BF127" s="28"/>
    </row>
    <row r="128" spans="1:58" ht="20.25" customHeight="1">
      <c r="A128" s="27">
        <v>127</v>
      </c>
      <c r="B128" s="254" t="str">
        <f ca="1"/>
        <v>2025212927</v>
      </c>
      <c r="C128" s="137" t="str">
        <f ca="1"/>
        <v>Indusind General Insurance Co Ltd</v>
      </c>
      <c r="D128" s="27" t="str">
        <f ca="1"/>
        <v>MACT</v>
      </c>
      <c r="E128" s="27" t="str">
        <f ca="1"/>
        <v>R001-1127-SS-2025</v>
      </c>
      <c r="F128" s="206">
        <f ca="1"/>
        <v>45986</v>
      </c>
      <c r="G128" s="27" t="str">
        <f ca="1"/>
        <v>Nov-25</v>
      </c>
      <c r="H128" s="29">
        <v>46022</v>
      </c>
      <c r="I128" s="29" t="str">
        <f>TEXT(H128,"mmm-yy")</f>
        <v>Dec-25</v>
      </c>
      <c r="J128" s="29">
        <f t="shared" ca="1" si="4"/>
        <v>46028</v>
      </c>
      <c r="K128" s="27">
        <f t="shared" ca="1" si="5"/>
        <v>36</v>
      </c>
      <c r="L128" s="27" t="str">
        <f t="shared" ca="1" si="6"/>
        <v>AT</v>
      </c>
      <c r="M128" s="27" t="s">
        <v>704</v>
      </c>
      <c r="N128" s="27" t="s">
        <v>705</v>
      </c>
      <c r="O128" s="27" t="s">
        <v>706</v>
      </c>
      <c r="P128" s="27"/>
      <c r="Q128" s="105" t="s">
        <v>1506</v>
      </c>
      <c r="R128" s="28" t="s">
        <v>1507</v>
      </c>
      <c r="S128" s="193" t="s">
        <v>763</v>
      </c>
      <c r="T128" s="27" t="s">
        <v>706</v>
      </c>
      <c r="U128" s="28" t="s">
        <v>66</v>
      </c>
      <c r="V128" s="28"/>
      <c r="W128" s="28"/>
      <c r="X128" s="213" t="s">
        <v>41</v>
      </c>
      <c r="Y128" s="164" t="s">
        <v>392</v>
      </c>
      <c r="Z128" s="26" t="s">
        <v>1508</v>
      </c>
      <c r="AA128" s="164" t="s">
        <v>763</v>
      </c>
      <c r="AB128" s="27" t="s">
        <v>41</v>
      </c>
      <c r="AC128" s="27" t="s">
        <v>706</v>
      </c>
      <c r="AD128" s="164" t="s">
        <v>41</v>
      </c>
      <c r="AE128" s="164"/>
      <c r="AF128" s="164" t="s">
        <v>41</v>
      </c>
      <c r="AG128" s="27" t="s">
        <v>41</v>
      </c>
      <c r="AH128" s="27" t="s">
        <v>41</v>
      </c>
      <c r="AI128" s="27" t="s">
        <v>41</v>
      </c>
      <c r="AJ128" s="27" t="s">
        <v>41</v>
      </c>
      <c r="AK128" s="27" t="s">
        <v>41</v>
      </c>
      <c r="AL128" s="27" t="s">
        <v>41</v>
      </c>
      <c r="AM128" s="27" t="s">
        <v>41</v>
      </c>
      <c r="AN128" s="27" t="s">
        <v>41</v>
      </c>
      <c r="AO128" s="27" t="s">
        <v>41</v>
      </c>
      <c r="AP128" s="27" t="s">
        <v>66</v>
      </c>
      <c r="AQ128" s="194" t="s">
        <v>1509</v>
      </c>
      <c r="AR128" s="194"/>
      <c r="AS128" s="26" t="s">
        <v>706</v>
      </c>
      <c r="AT128" s="188" t="s">
        <v>1510</v>
      </c>
      <c r="AU128" s="105" t="s">
        <v>1511</v>
      </c>
      <c r="AV128" s="195" t="s">
        <v>763</v>
      </c>
      <c r="AW128" s="27" t="s">
        <v>41</v>
      </c>
      <c r="AX128" s="28" t="s">
        <v>706</v>
      </c>
      <c r="AY128" s="28" t="s">
        <v>66</v>
      </c>
      <c r="AZ128" s="28"/>
      <c r="BA128" s="28"/>
      <c r="BB128" s="26" t="s">
        <v>41</v>
      </c>
      <c r="BC128" s="27"/>
      <c r="BD128" s="93"/>
      <c r="BE128" s="28"/>
      <c r="BF128" s="28"/>
    </row>
    <row r="129" spans="1:58" ht="20.25" customHeight="1">
      <c r="A129" s="27">
        <v>128</v>
      </c>
      <c r="B129" s="254" t="str">
        <f ca="1"/>
        <v>2025212925</v>
      </c>
      <c r="C129" s="137" t="str">
        <f ca="1"/>
        <v>Indusind General Insurance Co Ltd</v>
      </c>
      <c r="D129" s="27" t="str">
        <f ca="1"/>
        <v>MACT</v>
      </c>
      <c r="E129" s="27" t="str">
        <f ca="1"/>
        <v>R001-1128-SS-2025</v>
      </c>
      <c r="F129" s="206">
        <f ca="1"/>
        <v>45986</v>
      </c>
      <c r="G129" s="27" t="str">
        <f ca="1"/>
        <v>Nov-25</v>
      </c>
      <c r="H129" s="27" t="s">
        <v>718</v>
      </c>
      <c r="I129" s="29"/>
      <c r="J129" s="29">
        <f t="shared" ca="1" si="4"/>
        <v>46028</v>
      </c>
      <c r="K129" s="27">
        <f t="shared" ca="1" si="5"/>
        <v>41</v>
      </c>
      <c r="L129" s="27" t="str">
        <f t="shared" ca="1" si="6"/>
        <v>AT</v>
      </c>
      <c r="M129" s="27" t="s">
        <v>704</v>
      </c>
      <c r="N129" s="27" t="s">
        <v>720</v>
      </c>
      <c r="O129" s="27" t="s">
        <v>721</v>
      </c>
      <c r="P129" s="27"/>
      <c r="Q129" s="164" t="s">
        <v>1512</v>
      </c>
      <c r="R129" s="27" t="s">
        <v>1513</v>
      </c>
      <c r="S129" s="164" t="s">
        <v>763</v>
      </c>
      <c r="T129" s="27" t="s">
        <v>706</v>
      </c>
      <c r="U129" s="28" t="s">
        <v>66</v>
      </c>
      <c r="V129" s="28"/>
      <c r="W129" s="28"/>
      <c r="X129" s="213" t="s">
        <v>41</v>
      </c>
      <c r="Y129" s="164" t="s">
        <v>395</v>
      </c>
      <c r="Z129" s="26" t="s">
        <v>1514</v>
      </c>
      <c r="AA129" s="164" t="s">
        <v>763</v>
      </c>
      <c r="AB129" s="27" t="s">
        <v>41</v>
      </c>
      <c r="AC129" s="27" t="s">
        <v>706</v>
      </c>
      <c r="AD129" s="164" t="s">
        <v>41</v>
      </c>
      <c r="AE129" s="164"/>
      <c r="AF129" s="164" t="s">
        <v>41</v>
      </c>
      <c r="AG129" s="27" t="s">
        <v>706</v>
      </c>
      <c r="AH129" s="27" t="s">
        <v>41</v>
      </c>
      <c r="AI129" s="27" t="s">
        <v>41</v>
      </c>
      <c r="AJ129" s="27" t="s">
        <v>41</v>
      </c>
      <c r="AK129" s="27" t="s">
        <v>41</v>
      </c>
      <c r="AL129" s="27" t="s">
        <v>41</v>
      </c>
      <c r="AM129" s="27" t="s">
        <v>41</v>
      </c>
      <c r="AN129" s="27" t="s">
        <v>41</v>
      </c>
      <c r="AO129" s="27" t="s">
        <v>41</v>
      </c>
      <c r="AP129" s="27" t="s">
        <v>66</v>
      </c>
      <c r="AQ129" s="194" t="s">
        <v>1515</v>
      </c>
      <c r="AR129" s="194"/>
      <c r="AS129" s="27" t="s">
        <v>706</v>
      </c>
      <c r="AT129" s="164" t="s">
        <v>1516</v>
      </c>
      <c r="AU129" s="193" t="s">
        <v>1517</v>
      </c>
      <c r="AV129" s="195" t="s">
        <v>763</v>
      </c>
      <c r="AW129" s="27" t="s">
        <v>41</v>
      </c>
      <c r="AX129" s="27" t="s">
        <v>794</v>
      </c>
      <c r="AY129" s="28" t="s">
        <v>66</v>
      </c>
      <c r="AZ129" s="28"/>
      <c r="BA129" s="28"/>
      <c r="BB129" s="26" t="s">
        <v>41</v>
      </c>
      <c r="BC129" s="27"/>
      <c r="BD129" s="93"/>
      <c r="BE129" s="28"/>
      <c r="BF129" s="28"/>
    </row>
    <row r="130" spans="1:58" ht="20.25" customHeight="1">
      <c r="A130" s="27">
        <v>129</v>
      </c>
      <c r="B130" s="254" t="str">
        <f ca="1"/>
        <v>2752072</v>
      </c>
      <c r="C130" s="137" t="str">
        <f ca="1"/>
        <v>SBI General Insurance Company Ltd</v>
      </c>
      <c r="D130" s="27" t="str">
        <f ca="1"/>
        <v>MACT</v>
      </c>
      <c r="E130" s="27" t="str">
        <f ca="1"/>
        <v>S002-1129-SS-2025</v>
      </c>
      <c r="F130" s="206">
        <f ca="1"/>
        <v>45987</v>
      </c>
      <c r="G130" s="27" t="str">
        <f ca="1"/>
        <v>Nov-25</v>
      </c>
      <c r="H130" s="27" t="s">
        <v>718</v>
      </c>
      <c r="I130" s="29"/>
      <c r="J130" s="29">
        <f t="shared" ca="1" si="4"/>
        <v>46029</v>
      </c>
      <c r="K130" s="27">
        <f t="shared" ca="1" si="5"/>
        <v>40</v>
      </c>
      <c r="L130" s="27" t="str">
        <f t="shared" ca="1" si="6"/>
        <v>AT</v>
      </c>
      <c r="M130" s="27" t="s">
        <v>704</v>
      </c>
      <c r="N130" s="27" t="s">
        <v>720</v>
      </c>
      <c r="O130" s="27" t="s">
        <v>721</v>
      </c>
      <c r="P130" s="27"/>
      <c r="Q130" s="27" t="s">
        <v>1518</v>
      </c>
      <c r="R130" s="27" t="s">
        <v>1519</v>
      </c>
      <c r="S130" s="27" t="s">
        <v>924</v>
      </c>
      <c r="T130" s="27" t="s">
        <v>721</v>
      </c>
      <c r="U130" s="28" t="s">
        <v>66</v>
      </c>
      <c r="V130" s="28"/>
      <c r="W130" s="28"/>
      <c r="X130" s="213" t="s">
        <v>41</v>
      </c>
      <c r="Y130" s="27" t="s">
        <v>398</v>
      </c>
      <c r="Z130" s="164" t="s">
        <v>1520</v>
      </c>
      <c r="AA130" s="27" t="s">
        <v>924</v>
      </c>
      <c r="AB130" s="27" t="s">
        <v>41</v>
      </c>
      <c r="AC130" s="27" t="s">
        <v>721</v>
      </c>
      <c r="AD130" s="27" t="s">
        <v>398</v>
      </c>
      <c r="AE130" s="27"/>
      <c r="AF130" s="27" t="s">
        <v>41</v>
      </c>
      <c r="AG130" s="27" t="s">
        <v>721</v>
      </c>
      <c r="AH130" s="27" t="s">
        <v>41</v>
      </c>
      <c r="AI130" s="27" t="s">
        <v>41</v>
      </c>
      <c r="AJ130" s="27" t="s">
        <v>41</v>
      </c>
      <c r="AK130" s="27" t="s">
        <v>41</v>
      </c>
      <c r="AL130" s="27" t="s">
        <v>41</v>
      </c>
      <c r="AM130" s="27" t="s">
        <v>41</v>
      </c>
      <c r="AN130" s="27" t="s">
        <v>41</v>
      </c>
      <c r="AO130" s="27" t="s">
        <v>41</v>
      </c>
      <c r="AP130" s="27" t="s">
        <v>66</v>
      </c>
      <c r="AQ130" s="138" t="s">
        <v>1521</v>
      </c>
      <c r="AR130" s="138"/>
      <c r="AS130" s="27" t="s">
        <v>721</v>
      </c>
      <c r="AT130" s="27" t="s">
        <v>1522</v>
      </c>
      <c r="AU130" s="26" t="s">
        <v>1523</v>
      </c>
      <c r="AV130" s="192" t="s">
        <v>924</v>
      </c>
      <c r="AW130" s="27" t="s">
        <v>41</v>
      </c>
      <c r="AX130" s="27" t="s">
        <v>721</v>
      </c>
      <c r="AY130" s="28" t="s">
        <v>66</v>
      </c>
      <c r="AZ130" s="28"/>
      <c r="BA130" s="28"/>
      <c r="BB130" s="26" t="s">
        <v>41</v>
      </c>
      <c r="BC130" s="27"/>
      <c r="BD130" s="93"/>
      <c r="BE130" s="28"/>
      <c r="BF130" s="28"/>
    </row>
    <row r="131" spans="1:58" ht="20.25" customHeight="1">
      <c r="A131" s="27">
        <v>130</v>
      </c>
      <c r="B131" s="254" t="str">
        <f ca="1"/>
        <v>2312792</v>
      </c>
      <c r="C131" s="137" t="str">
        <f ca="1"/>
        <v>SBI General Insurance Company Ltd</v>
      </c>
      <c r="D131" s="27" t="str">
        <f ca="1"/>
        <v>MACT</v>
      </c>
      <c r="E131" s="27" t="str">
        <f ca="1"/>
        <v>S002-1130-SS-2025</v>
      </c>
      <c r="F131" s="206">
        <f ca="1"/>
        <v>45987</v>
      </c>
      <c r="G131" s="27" t="str">
        <f ca="1"/>
        <v>Nov-25</v>
      </c>
      <c r="H131" s="29">
        <v>46007</v>
      </c>
      <c r="I131" s="29" t="str">
        <f t="shared" ref="I131:I175" si="8">IF(ISBLANK(H131), "", TEXT(H131, "mmm-yy"))</f>
        <v>Dec-25</v>
      </c>
      <c r="J131" s="29">
        <f t="shared" ref="J131:J172" ca="1" si="9">IF(F131="", "",
    IF(OR(M131="WC Claim", M131="Partial Case"),
        WORKDAY(F131, 15),
    IF(OR(M131="Medical Verification", M131="Full Case"),
        WORKDAY(F131, 30),
    "")))</f>
        <v>46029</v>
      </c>
      <c r="K131" s="27">
        <f t="shared" ref="K131:K172" ca="1" si="10">IF(F131="", "", IF(ISNUMBER(H131), H131 - F131, TODAY() - F131))</f>
        <v>20</v>
      </c>
      <c r="L131" s="27" t="str">
        <f t="shared" ref="L131:L194" ca="1" si="11">IF(K131="", "",
    IF(OR(M131="Partial Case", M131="Medical Verification", M131="WC Claim"),
        IF(K131&lt;=15, "WT", "AT"),
        IF(K131&lt;30, "WT", "AT")
    )
)</f>
        <v>AT</v>
      </c>
      <c r="M131" s="27" t="s">
        <v>1524</v>
      </c>
      <c r="N131" s="27" t="s">
        <v>705</v>
      </c>
      <c r="O131" s="27" t="s">
        <v>706</v>
      </c>
      <c r="P131" s="27"/>
      <c r="Q131" s="196" t="s">
        <v>1525</v>
      </c>
      <c r="R131" s="199" t="s">
        <v>41</v>
      </c>
      <c r="S131" s="235" t="s">
        <v>41</v>
      </c>
      <c r="T131" s="27" t="s">
        <v>41</v>
      </c>
      <c r="U131" s="28" t="s">
        <v>66</v>
      </c>
      <c r="V131" s="28"/>
      <c r="W131" s="28"/>
      <c r="X131" s="213" t="s">
        <v>41</v>
      </c>
      <c r="Y131" s="28" t="s">
        <v>41</v>
      </c>
      <c r="Z131" s="199" t="s">
        <v>41</v>
      </c>
      <c r="AA131" s="27" t="s">
        <v>41</v>
      </c>
      <c r="AB131" s="27" t="s">
        <v>41</v>
      </c>
      <c r="AC131" s="27" t="s">
        <v>41</v>
      </c>
      <c r="AD131" s="28" t="s">
        <v>41</v>
      </c>
      <c r="AE131" s="28"/>
      <c r="AF131" s="27" t="s">
        <v>41</v>
      </c>
      <c r="AG131" s="27" t="s">
        <v>41</v>
      </c>
      <c r="AH131" s="27" t="s">
        <v>41</v>
      </c>
      <c r="AI131" s="27" t="s">
        <v>41</v>
      </c>
      <c r="AJ131" s="27" t="s">
        <v>41</v>
      </c>
      <c r="AK131" s="27" t="s">
        <v>41</v>
      </c>
      <c r="AL131" s="27" t="s">
        <v>41</v>
      </c>
      <c r="AM131" s="27" t="s">
        <v>41</v>
      </c>
      <c r="AN131" s="27" t="s">
        <v>41</v>
      </c>
      <c r="AO131" s="27" t="s">
        <v>41</v>
      </c>
      <c r="AP131" s="27" t="s">
        <v>41</v>
      </c>
      <c r="AQ131" s="28" t="s">
        <v>41</v>
      </c>
      <c r="AR131" s="28"/>
      <c r="AS131" s="27" t="s">
        <v>41</v>
      </c>
      <c r="AT131" s="28" t="s">
        <v>41</v>
      </c>
      <c r="AU131" s="27" t="s">
        <v>41</v>
      </c>
      <c r="AV131" s="27" t="s">
        <v>41</v>
      </c>
      <c r="AW131" s="27" t="s">
        <v>41</v>
      </c>
      <c r="AX131" s="27" t="s">
        <v>41</v>
      </c>
      <c r="AY131" s="93" t="s">
        <v>1526</v>
      </c>
      <c r="AZ131" s="93"/>
      <c r="BA131" s="93"/>
      <c r="BB131" s="26" t="s">
        <v>706</v>
      </c>
      <c r="BC131" s="27"/>
      <c r="BD131" s="93"/>
      <c r="BE131" s="28"/>
      <c r="BF131" s="28"/>
    </row>
    <row r="132" spans="1:58" ht="20.25" customHeight="1">
      <c r="A132" s="27">
        <v>131</v>
      </c>
      <c r="B132" s="254" t="str">
        <f ca="1"/>
        <v>MTP-N-2526-004746</v>
      </c>
      <c r="C132" s="137" t="str">
        <f ca="1"/>
        <v>Generali Central Insurance Company Limited</v>
      </c>
      <c r="D132" s="27" t="str">
        <f ca="1"/>
        <v>MACT</v>
      </c>
      <c r="E132" s="27" t="str">
        <f ca="1"/>
        <v>F001-1131-SS-2025</v>
      </c>
      <c r="F132" s="206">
        <f ca="1"/>
        <v>45987</v>
      </c>
      <c r="G132" s="27" t="str">
        <f ca="1"/>
        <v>Nov-25</v>
      </c>
      <c r="H132" s="27" t="s">
        <v>718</v>
      </c>
      <c r="I132" s="29"/>
      <c r="J132" s="29">
        <f t="shared" ca="1" si="9"/>
        <v>46029</v>
      </c>
      <c r="K132" s="27">
        <f t="shared" ca="1" si="10"/>
        <v>40</v>
      </c>
      <c r="L132" s="27" t="str">
        <f t="shared" ca="1" si="11"/>
        <v>AT</v>
      </c>
      <c r="M132" s="27" t="s">
        <v>704</v>
      </c>
      <c r="N132" s="27" t="s">
        <v>720</v>
      </c>
      <c r="O132" s="27" t="s">
        <v>721</v>
      </c>
      <c r="Q132" s="93" t="s">
        <v>1527</v>
      </c>
      <c r="R132" s="28" t="s">
        <v>1528</v>
      </c>
      <c r="S132" s="26" t="s">
        <v>763</v>
      </c>
      <c r="T132" s="27" t="s">
        <v>706</v>
      </c>
      <c r="U132" s="28" t="s">
        <v>66</v>
      </c>
      <c r="V132" s="28"/>
      <c r="W132" s="28"/>
      <c r="X132" s="213" t="s">
        <v>41</v>
      </c>
      <c r="Y132" s="28" t="s">
        <v>403</v>
      </c>
      <c r="Z132" s="93" t="s">
        <v>1529</v>
      </c>
      <c r="AA132" s="27" t="s">
        <v>741</v>
      </c>
      <c r="AB132" s="27" t="s">
        <v>41</v>
      </c>
      <c r="AC132" s="27" t="s">
        <v>706</v>
      </c>
      <c r="AD132" s="28" t="s">
        <v>41</v>
      </c>
      <c r="AE132" s="28"/>
      <c r="AF132" s="27" t="s">
        <v>41</v>
      </c>
      <c r="AG132" s="27" t="s">
        <v>706</v>
      </c>
      <c r="AH132" s="27" t="s">
        <v>1530</v>
      </c>
      <c r="AI132" s="27" t="s">
        <v>41</v>
      </c>
      <c r="AJ132" s="27" t="s">
        <v>742</v>
      </c>
      <c r="AK132" s="27" t="s">
        <v>41</v>
      </c>
      <c r="AL132" s="27" t="s">
        <v>41</v>
      </c>
      <c r="AM132" s="27" t="s">
        <v>41</v>
      </c>
      <c r="AN132" s="27" t="s">
        <v>41</v>
      </c>
      <c r="AO132" s="27" t="s">
        <v>41</v>
      </c>
      <c r="AP132" s="27" t="s">
        <v>41</v>
      </c>
      <c r="AQ132" s="93" t="s">
        <v>1531</v>
      </c>
      <c r="AR132" s="93"/>
      <c r="AS132" s="27" t="s">
        <v>706</v>
      </c>
      <c r="AT132" s="28" t="s">
        <v>1532</v>
      </c>
      <c r="AU132" s="93" t="s">
        <v>1323</v>
      </c>
      <c r="AV132" s="28" t="s">
        <v>763</v>
      </c>
      <c r="AW132" s="27" t="s">
        <v>41</v>
      </c>
      <c r="AX132" s="27" t="s">
        <v>794</v>
      </c>
      <c r="AY132" s="28" t="s">
        <v>66</v>
      </c>
      <c r="AZ132" s="28"/>
      <c r="BA132" s="28"/>
      <c r="BB132" s="26" t="s">
        <v>41</v>
      </c>
      <c r="BC132" s="27"/>
      <c r="BD132" s="93"/>
      <c r="BE132" s="28"/>
      <c r="BF132" s="28"/>
    </row>
    <row r="133" spans="1:58" ht="20.25" customHeight="1">
      <c r="A133" s="27">
        <v>132</v>
      </c>
      <c r="B133" s="254" t="str">
        <f ca="1"/>
        <v>CM570910</v>
      </c>
      <c r="C133" s="137" t="str">
        <f ca="1"/>
        <v>Generali Central Insurance Company Limited</v>
      </c>
      <c r="D133" s="27" t="str">
        <f ca="1"/>
        <v>MACT</v>
      </c>
      <c r="E133" s="27" t="str">
        <f ca="1"/>
        <v>F001-1132-SS-2025</v>
      </c>
      <c r="F133" s="206">
        <f ca="1"/>
        <v>45987</v>
      </c>
      <c r="G133" s="27" t="str">
        <f ca="1"/>
        <v>Nov-25</v>
      </c>
      <c r="H133" s="27" t="s">
        <v>718</v>
      </c>
      <c r="I133" s="29"/>
      <c r="J133" s="29">
        <f t="shared" ca="1" si="9"/>
        <v>46029</v>
      </c>
      <c r="K133" s="27">
        <f t="shared" ca="1" si="10"/>
        <v>40</v>
      </c>
      <c r="L133" s="27" t="str">
        <f t="shared" ca="1" si="11"/>
        <v>AT</v>
      </c>
      <c r="M133" s="27" t="s">
        <v>704</v>
      </c>
      <c r="N133" s="27" t="s">
        <v>720</v>
      </c>
      <c r="O133" s="27" t="s">
        <v>751</v>
      </c>
      <c r="P133" s="27"/>
      <c r="Q133" s="27" t="s">
        <v>41</v>
      </c>
      <c r="R133" s="197" t="s">
        <v>41</v>
      </c>
      <c r="S133" s="27" t="s">
        <v>66</v>
      </c>
      <c r="T133" s="27" t="s">
        <v>41</v>
      </c>
      <c r="U133" s="28" t="s">
        <v>66</v>
      </c>
      <c r="V133" s="28"/>
      <c r="W133" s="28"/>
      <c r="X133" s="213" t="s">
        <v>41</v>
      </c>
      <c r="Y133" s="28" t="s">
        <v>41</v>
      </c>
      <c r="Z133" s="197" t="s">
        <v>41</v>
      </c>
      <c r="AA133" s="27" t="s">
        <v>41</v>
      </c>
      <c r="AB133" s="27" t="s">
        <v>41</v>
      </c>
      <c r="AC133" s="27" t="s">
        <v>41</v>
      </c>
      <c r="AD133" s="28" t="s">
        <v>41</v>
      </c>
      <c r="AE133" s="28"/>
      <c r="AF133" s="27" t="s">
        <v>41</v>
      </c>
      <c r="AG133" s="27" t="s">
        <v>41</v>
      </c>
      <c r="AH133" s="27" t="s">
        <v>41</v>
      </c>
      <c r="AI133" s="27" t="s">
        <v>41</v>
      </c>
      <c r="AJ133" s="27" t="s">
        <v>41</v>
      </c>
      <c r="AK133" s="27" t="s">
        <v>41</v>
      </c>
      <c r="AL133" s="27" t="s">
        <v>41</v>
      </c>
      <c r="AM133" s="27" t="s">
        <v>41</v>
      </c>
      <c r="AN133" s="27" t="s">
        <v>41</v>
      </c>
      <c r="AO133" s="27" t="s">
        <v>41</v>
      </c>
      <c r="AP133" s="27" t="s">
        <v>41</v>
      </c>
      <c r="AQ133" s="137" t="s">
        <v>41</v>
      </c>
      <c r="AR133" s="137"/>
      <c r="AS133" s="27" t="s">
        <v>41</v>
      </c>
      <c r="AT133" s="197" t="s">
        <v>1533</v>
      </c>
      <c r="AU133" s="198" t="s">
        <v>1534</v>
      </c>
      <c r="AV133" s="197" t="s">
        <v>741</v>
      </c>
      <c r="AW133" s="27" t="s">
        <v>41</v>
      </c>
      <c r="AX133" s="27" t="s">
        <v>721</v>
      </c>
      <c r="AY133" s="28" t="s">
        <v>66</v>
      </c>
      <c r="AZ133" s="28"/>
      <c r="BA133" s="28"/>
      <c r="BB133" s="26" t="s">
        <v>41</v>
      </c>
      <c r="BC133" s="27"/>
      <c r="BD133" s="93"/>
      <c r="BE133" s="28"/>
      <c r="BF133" s="28"/>
    </row>
    <row r="134" spans="1:58" ht="20.25" customHeight="1">
      <c r="A134" s="27">
        <v>133</v>
      </c>
      <c r="B134" s="254" t="str">
        <f ca="1"/>
        <v>2023209914</v>
      </c>
      <c r="C134" s="137" t="str">
        <f ca="1"/>
        <v>Indusind General Insurance Co Ltd</v>
      </c>
      <c r="D134" s="27" t="str">
        <f ca="1"/>
        <v>MACT</v>
      </c>
      <c r="E134" s="27" t="str">
        <f ca="1"/>
        <v>R001-1133-SS-2025</v>
      </c>
      <c r="F134" s="206">
        <f ca="1"/>
        <v>45989</v>
      </c>
      <c r="G134" s="27" t="str">
        <f ca="1"/>
        <v>Nov-25</v>
      </c>
      <c r="H134" s="27" t="s">
        <v>718</v>
      </c>
      <c r="I134" s="29"/>
      <c r="J134" s="29">
        <f t="shared" ca="1" si="9"/>
        <v>46010</v>
      </c>
      <c r="K134" s="27">
        <f t="shared" ca="1" si="10"/>
        <v>38</v>
      </c>
      <c r="L134" s="27" t="str">
        <f t="shared" ca="1" si="11"/>
        <v>AT</v>
      </c>
      <c r="M134" s="27" t="s">
        <v>750</v>
      </c>
      <c r="N134" s="27" t="s">
        <v>720</v>
      </c>
      <c r="O134" s="27" t="s">
        <v>751</v>
      </c>
      <c r="P134" s="27"/>
      <c r="Q134" s="27" t="s">
        <v>41</v>
      </c>
      <c r="R134" s="27" t="s">
        <v>41</v>
      </c>
      <c r="S134" s="27" t="s">
        <v>66</v>
      </c>
      <c r="T134" s="27" t="s">
        <v>41</v>
      </c>
      <c r="U134" s="28" t="s">
        <v>66</v>
      </c>
      <c r="V134" s="28"/>
      <c r="W134" s="28"/>
      <c r="X134" s="213" t="s">
        <v>41</v>
      </c>
      <c r="Y134" s="27" t="s">
        <v>41</v>
      </c>
      <c r="Z134" s="27" t="s">
        <v>41</v>
      </c>
      <c r="AA134" s="27" t="s">
        <v>41</v>
      </c>
      <c r="AB134" s="27" t="s">
        <v>41</v>
      </c>
      <c r="AC134" s="27" t="s">
        <v>41</v>
      </c>
      <c r="AD134" s="28" t="s">
        <v>41</v>
      </c>
      <c r="AE134" s="28"/>
      <c r="AF134" s="27" t="s">
        <v>41</v>
      </c>
      <c r="AG134" s="27" t="s">
        <v>41</v>
      </c>
      <c r="AH134" s="27" t="s">
        <v>41</v>
      </c>
      <c r="AI134" s="27" t="s">
        <v>41</v>
      </c>
      <c r="AJ134" s="27" t="s">
        <v>41</v>
      </c>
      <c r="AK134" s="27" t="s">
        <v>41</v>
      </c>
      <c r="AL134" s="27" t="s">
        <v>41</v>
      </c>
      <c r="AM134" s="27" t="s">
        <v>41</v>
      </c>
      <c r="AN134" s="27" t="s">
        <v>41</v>
      </c>
      <c r="AO134" s="27" t="s">
        <v>41</v>
      </c>
      <c r="AP134" s="27" t="s">
        <v>41</v>
      </c>
      <c r="AQ134" s="137" t="s">
        <v>41</v>
      </c>
      <c r="AR134" s="137"/>
      <c r="AS134" s="27" t="s">
        <v>41</v>
      </c>
      <c r="AT134" s="27" t="s">
        <v>1535</v>
      </c>
      <c r="AU134" s="26" t="s">
        <v>1536</v>
      </c>
      <c r="AV134" s="27" t="s">
        <v>763</v>
      </c>
      <c r="AW134" s="27" t="s">
        <v>41</v>
      </c>
      <c r="AX134" s="27" t="s">
        <v>721</v>
      </c>
      <c r="AY134" s="28" t="s">
        <v>66</v>
      </c>
      <c r="AZ134" s="28"/>
      <c r="BA134" s="28"/>
      <c r="BB134" s="26" t="s">
        <v>41</v>
      </c>
      <c r="BC134" s="27"/>
      <c r="BD134" s="93"/>
      <c r="BE134" s="28"/>
      <c r="BF134" s="28"/>
    </row>
    <row r="135" spans="1:58" ht="20.25" customHeight="1">
      <c r="A135" s="27">
        <v>134</v>
      </c>
      <c r="B135" s="254" t="str">
        <f ca="1"/>
        <v>2025200081</v>
      </c>
      <c r="C135" s="137" t="str">
        <f ca="1"/>
        <v>Indusind General Insurance Co Ltd</v>
      </c>
      <c r="D135" s="27" t="str">
        <f ca="1"/>
        <v>MACT</v>
      </c>
      <c r="E135" s="27" t="str">
        <f ca="1"/>
        <v>R001-1134-SS-2025</v>
      </c>
      <c r="F135" s="206">
        <f ca="1"/>
        <v>45989</v>
      </c>
      <c r="G135" s="27" t="str">
        <f ca="1"/>
        <v>Nov-25</v>
      </c>
      <c r="H135" s="27" t="s">
        <v>718</v>
      </c>
      <c r="I135" s="29"/>
      <c r="J135" s="29">
        <f t="shared" ca="1" si="9"/>
        <v>46010</v>
      </c>
      <c r="K135" s="27">
        <f t="shared" ca="1" si="10"/>
        <v>38</v>
      </c>
      <c r="L135" s="27" t="str">
        <f t="shared" ca="1" si="11"/>
        <v>AT</v>
      </c>
      <c r="M135" s="27" t="s">
        <v>750</v>
      </c>
      <c r="N135" s="27" t="s">
        <v>720</v>
      </c>
      <c r="O135" s="27" t="s">
        <v>751</v>
      </c>
      <c r="P135" s="68" t="s">
        <v>1537</v>
      </c>
      <c r="Q135" s="199" t="s">
        <v>41</v>
      </c>
      <c r="R135" s="199" t="s">
        <v>41</v>
      </c>
      <c r="S135" s="199" t="s">
        <v>66</v>
      </c>
      <c r="T135" s="27" t="s">
        <v>41</v>
      </c>
      <c r="U135" s="28" t="s">
        <v>66</v>
      </c>
      <c r="V135" s="28"/>
      <c r="W135" s="28"/>
      <c r="X135" s="213" t="s">
        <v>41</v>
      </c>
      <c r="Y135" s="199" t="s">
        <v>41</v>
      </c>
      <c r="Z135" s="199" t="s">
        <v>41</v>
      </c>
      <c r="AA135" s="199" t="s">
        <v>41</v>
      </c>
      <c r="AB135" s="27" t="s">
        <v>41</v>
      </c>
      <c r="AC135" s="27" t="s">
        <v>41</v>
      </c>
      <c r="AD135" s="28" t="s">
        <v>41</v>
      </c>
      <c r="AE135" s="28"/>
      <c r="AF135" s="27" t="s">
        <v>41</v>
      </c>
      <c r="AG135" s="27" t="s">
        <v>41</v>
      </c>
      <c r="AH135" s="27" t="s">
        <v>41</v>
      </c>
      <c r="AI135" s="27" t="s">
        <v>41</v>
      </c>
      <c r="AJ135" s="27" t="s">
        <v>41</v>
      </c>
      <c r="AK135" s="27" t="s">
        <v>41</v>
      </c>
      <c r="AL135" s="27" t="s">
        <v>41</v>
      </c>
      <c r="AM135" s="27" t="s">
        <v>41</v>
      </c>
      <c r="AN135" s="27" t="s">
        <v>41</v>
      </c>
      <c r="AO135" s="27" t="s">
        <v>41</v>
      </c>
      <c r="AP135" s="27" t="s">
        <v>41</v>
      </c>
      <c r="AQ135" s="200" t="s">
        <v>41</v>
      </c>
      <c r="AR135" s="200"/>
      <c r="AS135" s="27" t="s">
        <v>41</v>
      </c>
      <c r="AT135" s="199" t="s">
        <v>1538</v>
      </c>
      <c r="AU135" s="201" t="s">
        <v>1539</v>
      </c>
      <c r="AV135" s="199" t="s">
        <v>41</v>
      </c>
      <c r="AW135" s="27" t="s">
        <v>41</v>
      </c>
      <c r="AX135" s="27" t="s">
        <v>721</v>
      </c>
      <c r="AY135" s="28" t="s">
        <v>66</v>
      </c>
      <c r="AZ135" s="28"/>
      <c r="BA135" s="28"/>
      <c r="BB135" s="26" t="s">
        <v>41</v>
      </c>
      <c r="BC135" s="27"/>
      <c r="BD135" s="93"/>
      <c r="BE135" s="28"/>
      <c r="BF135" s="28"/>
    </row>
    <row r="136" spans="1:58" ht="20.25" customHeight="1">
      <c r="A136" s="27">
        <v>135</v>
      </c>
      <c r="B136" s="254" t="str">
        <f ca="1"/>
        <v>2024200689</v>
      </c>
      <c r="C136" s="137" t="str">
        <f ca="1"/>
        <v>Indusind General Insurance Co Ltd</v>
      </c>
      <c r="D136" s="27" t="str">
        <f ca="1"/>
        <v>MACT</v>
      </c>
      <c r="E136" s="27" t="str">
        <f ca="1"/>
        <v>R001-1135-SS-2025</v>
      </c>
      <c r="F136" s="206">
        <f ca="1"/>
        <v>45989</v>
      </c>
      <c r="G136" s="27" t="str">
        <f ca="1"/>
        <v>Nov-25</v>
      </c>
      <c r="H136" s="27" t="s">
        <v>718</v>
      </c>
      <c r="I136" s="29"/>
      <c r="J136" s="29">
        <f t="shared" ca="1" si="9"/>
        <v>46010</v>
      </c>
      <c r="K136" s="27">
        <f t="shared" ca="1" si="10"/>
        <v>38</v>
      </c>
      <c r="L136" s="27" t="str">
        <f t="shared" ca="1" si="11"/>
        <v>AT</v>
      </c>
      <c r="M136" s="27" t="s">
        <v>750</v>
      </c>
      <c r="N136" s="27" t="s">
        <v>720</v>
      </c>
      <c r="O136" s="27" t="s">
        <v>721</v>
      </c>
      <c r="P136" s="68" t="s">
        <v>1540</v>
      </c>
      <c r="Q136" s="201" t="s">
        <v>1541</v>
      </c>
      <c r="R136" s="199" t="s">
        <v>41</v>
      </c>
      <c r="S136" s="201" t="s">
        <v>66</v>
      </c>
      <c r="T136" s="27" t="s">
        <v>41</v>
      </c>
      <c r="U136" s="28" t="s">
        <v>66</v>
      </c>
      <c r="V136" s="28"/>
      <c r="W136" s="28"/>
      <c r="X136" s="213" t="s">
        <v>41</v>
      </c>
      <c r="Y136" s="199" t="s">
        <v>41</v>
      </c>
      <c r="Z136" s="199" t="s">
        <v>41</v>
      </c>
      <c r="AA136" s="199" t="s">
        <v>41</v>
      </c>
      <c r="AB136" s="27" t="s">
        <v>41</v>
      </c>
      <c r="AC136" s="27" t="s">
        <v>41</v>
      </c>
      <c r="AD136" s="28" t="s">
        <v>41</v>
      </c>
      <c r="AE136" s="28"/>
      <c r="AF136" s="27" t="s">
        <v>41</v>
      </c>
      <c r="AG136" s="27" t="s">
        <v>41</v>
      </c>
      <c r="AH136" s="27" t="s">
        <v>41</v>
      </c>
      <c r="AI136" s="27" t="s">
        <v>41</v>
      </c>
      <c r="AJ136" s="27" t="s">
        <v>41</v>
      </c>
      <c r="AK136" s="27" t="s">
        <v>41</v>
      </c>
      <c r="AL136" s="27" t="s">
        <v>41</v>
      </c>
      <c r="AM136" s="27" t="s">
        <v>41</v>
      </c>
      <c r="AN136" s="27" t="s">
        <v>41</v>
      </c>
      <c r="AO136" s="27" t="s">
        <v>41</v>
      </c>
      <c r="AP136" s="27" t="s">
        <v>41</v>
      </c>
      <c r="AQ136" s="200" t="s">
        <v>41</v>
      </c>
      <c r="AR136" s="200"/>
      <c r="AS136" s="27" t="s">
        <v>41</v>
      </c>
      <c r="AT136" s="199" t="s">
        <v>1542</v>
      </c>
      <c r="AU136" s="201" t="s">
        <v>1543</v>
      </c>
      <c r="AV136" s="199" t="s">
        <v>41</v>
      </c>
      <c r="AW136" s="27" t="s">
        <v>41</v>
      </c>
      <c r="AX136" s="27" t="s">
        <v>721</v>
      </c>
      <c r="AY136" s="196" t="s">
        <v>1544</v>
      </c>
      <c r="AZ136" s="196"/>
      <c r="BA136" s="196"/>
      <c r="BB136" s="26" t="s">
        <v>721</v>
      </c>
      <c r="BC136" s="27"/>
      <c r="BD136" s="93"/>
      <c r="BE136" s="28"/>
      <c r="BF136" s="28"/>
    </row>
    <row r="137" spans="1:58" ht="20.25" customHeight="1">
      <c r="A137" s="27">
        <v>136</v>
      </c>
      <c r="B137" s="254" t="str">
        <f ca="1"/>
        <v>2024216011</v>
      </c>
      <c r="C137" s="137" t="str">
        <f ca="1"/>
        <v>Indusind General Insurance Co Ltd</v>
      </c>
      <c r="D137" s="27" t="str">
        <f ca="1"/>
        <v>MACT</v>
      </c>
      <c r="E137" s="27" t="str">
        <f ca="1"/>
        <v>R001-1136-SS-2025</v>
      </c>
      <c r="F137" s="206">
        <f ca="1"/>
        <v>45989</v>
      </c>
      <c r="G137" s="27" t="str">
        <f ca="1"/>
        <v>Nov-25</v>
      </c>
      <c r="H137" s="27" t="s">
        <v>718</v>
      </c>
      <c r="I137" s="29"/>
      <c r="J137" s="29">
        <f t="shared" ca="1" si="9"/>
        <v>46031</v>
      </c>
      <c r="K137" s="27">
        <f t="shared" ca="1" si="10"/>
        <v>38</v>
      </c>
      <c r="L137" s="27" t="str">
        <f t="shared" ca="1" si="11"/>
        <v>AT</v>
      </c>
      <c r="M137" s="27" t="s">
        <v>704</v>
      </c>
      <c r="N137" s="27" t="s">
        <v>720</v>
      </c>
      <c r="O137" s="27" t="s">
        <v>721</v>
      </c>
      <c r="P137" s="199" t="s">
        <v>1545</v>
      </c>
      <c r="Q137" s="27" t="s">
        <v>1546</v>
      </c>
      <c r="R137" s="27" t="s">
        <v>1547</v>
      </c>
      <c r="S137" s="27" t="s">
        <v>733</v>
      </c>
      <c r="T137" s="27" t="s">
        <v>721</v>
      </c>
      <c r="U137" s="28" t="s">
        <v>66</v>
      </c>
      <c r="V137" s="28"/>
      <c r="W137" s="28"/>
      <c r="X137" s="213" t="s">
        <v>41</v>
      </c>
      <c r="Y137" s="27" t="s">
        <v>1548</v>
      </c>
      <c r="Z137" s="164" t="s">
        <v>1549</v>
      </c>
      <c r="AA137" s="27" t="s">
        <v>1550</v>
      </c>
      <c r="AB137" s="27" t="s">
        <v>41</v>
      </c>
      <c r="AC137" s="27" t="s">
        <v>721</v>
      </c>
      <c r="AD137" s="26" t="s">
        <v>1551</v>
      </c>
      <c r="AE137" s="26"/>
      <c r="AF137" s="26" t="s">
        <v>1552</v>
      </c>
      <c r="AG137" s="27" t="s">
        <v>721</v>
      </c>
      <c r="AH137" s="27" t="s">
        <v>41</v>
      </c>
      <c r="AI137" s="27" t="s">
        <v>41</v>
      </c>
      <c r="AJ137" s="27" t="s">
        <v>41</v>
      </c>
      <c r="AK137" s="27" t="s">
        <v>41</v>
      </c>
      <c r="AL137" s="27" t="s">
        <v>41</v>
      </c>
      <c r="AM137" s="27" t="s">
        <v>41</v>
      </c>
      <c r="AN137" s="27" t="s">
        <v>41</v>
      </c>
      <c r="AO137" s="27" t="s">
        <v>41</v>
      </c>
      <c r="AP137" s="27" t="s">
        <v>41</v>
      </c>
      <c r="AQ137" s="26" t="s">
        <v>1553</v>
      </c>
      <c r="AR137" s="26"/>
      <c r="AS137" s="27" t="s">
        <v>721</v>
      </c>
      <c r="AT137" s="27" t="s">
        <v>1554</v>
      </c>
      <c r="AU137" s="26" t="s">
        <v>1555</v>
      </c>
      <c r="AV137" s="27" t="s">
        <v>1556</v>
      </c>
      <c r="AW137" s="27" t="s">
        <v>41</v>
      </c>
      <c r="AX137" s="27" t="s">
        <v>721</v>
      </c>
      <c r="AY137" s="28" t="s">
        <v>66</v>
      </c>
      <c r="AZ137" s="28"/>
      <c r="BA137" s="28"/>
      <c r="BB137" s="26" t="s">
        <v>41</v>
      </c>
      <c r="BC137" s="27"/>
      <c r="BD137" s="93"/>
      <c r="BE137" s="28"/>
      <c r="BF137" s="28"/>
    </row>
    <row r="138" spans="1:58" ht="20.25" customHeight="1">
      <c r="A138" s="27">
        <v>137</v>
      </c>
      <c r="B138" s="254" t="str">
        <f ca="1"/>
        <v>2025202308</v>
      </c>
      <c r="C138" s="137" t="str">
        <f ca="1"/>
        <v>Indusind General Insurance Co Ltd</v>
      </c>
      <c r="D138" s="27" t="str">
        <f ca="1"/>
        <v>MACT</v>
      </c>
      <c r="E138" s="27" t="str">
        <f ca="1"/>
        <v>R001-1137-SS-2025</v>
      </c>
      <c r="F138" s="206">
        <f ca="1"/>
        <v>45989</v>
      </c>
      <c r="G138" s="27" t="str">
        <f ca="1"/>
        <v>Nov-25</v>
      </c>
      <c r="H138" s="27" t="s">
        <v>718</v>
      </c>
      <c r="I138" s="29"/>
      <c r="J138" s="29">
        <f t="shared" ca="1" si="9"/>
        <v>46031</v>
      </c>
      <c r="K138" s="27">
        <f t="shared" ca="1" si="10"/>
        <v>38</v>
      </c>
      <c r="L138" s="27" t="str">
        <f t="shared" ca="1" si="11"/>
        <v>AT</v>
      </c>
      <c r="M138" s="27" t="s">
        <v>704</v>
      </c>
      <c r="N138" s="27" t="s">
        <v>747</v>
      </c>
      <c r="O138" s="27" t="s">
        <v>1557</v>
      </c>
      <c r="P138" s="27"/>
      <c r="Q138" s="27" t="s">
        <v>41</v>
      </c>
      <c r="R138" s="199" t="s">
        <v>41</v>
      </c>
      <c r="S138" s="27" t="s">
        <v>66</v>
      </c>
      <c r="T138" s="27" t="s">
        <v>41</v>
      </c>
      <c r="U138" s="28" t="s">
        <v>41</v>
      </c>
      <c r="V138" s="28"/>
      <c r="W138" s="28"/>
      <c r="X138" s="213" t="s">
        <v>41</v>
      </c>
      <c r="Y138" s="27" t="s">
        <v>41</v>
      </c>
      <c r="Z138" s="199" t="s">
        <v>41</v>
      </c>
      <c r="AA138" s="27" t="s">
        <v>41</v>
      </c>
      <c r="AB138" s="27" t="s">
        <v>41</v>
      </c>
      <c r="AC138" s="27" t="s">
        <v>41</v>
      </c>
      <c r="AD138" s="28" t="s">
        <v>41</v>
      </c>
      <c r="AE138" s="28"/>
      <c r="AF138" s="27" t="s">
        <v>41</v>
      </c>
      <c r="AG138" s="27" t="s">
        <v>41</v>
      </c>
      <c r="AH138" s="27" t="s">
        <v>41</v>
      </c>
      <c r="AI138" s="27" t="s">
        <v>41</v>
      </c>
      <c r="AJ138" s="27" t="s">
        <v>41</v>
      </c>
      <c r="AK138" s="27" t="s">
        <v>41</v>
      </c>
      <c r="AL138" s="27" t="s">
        <v>41</v>
      </c>
      <c r="AM138" s="27" t="s">
        <v>41</v>
      </c>
      <c r="AN138" s="27" t="s">
        <v>41</v>
      </c>
      <c r="AO138" s="27" t="s">
        <v>41</v>
      </c>
      <c r="AP138" s="27" t="s">
        <v>41</v>
      </c>
      <c r="AQ138" s="137" t="s">
        <v>41</v>
      </c>
      <c r="AR138" s="137"/>
      <c r="AS138" s="27" t="s">
        <v>41</v>
      </c>
      <c r="AT138" s="27" t="s">
        <v>1558</v>
      </c>
      <c r="AU138" s="26" t="s">
        <v>1559</v>
      </c>
      <c r="AV138" s="27" t="s">
        <v>763</v>
      </c>
      <c r="AW138" s="27" t="s">
        <v>41</v>
      </c>
      <c r="AX138" s="27" t="s">
        <v>41</v>
      </c>
      <c r="AY138" s="28" t="s">
        <v>1560</v>
      </c>
      <c r="AZ138" s="28"/>
      <c r="BA138" s="28"/>
      <c r="BB138" s="26" t="s">
        <v>41</v>
      </c>
      <c r="BC138" s="27"/>
      <c r="BD138" s="93"/>
      <c r="BE138" s="28"/>
      <c r="BF138" s="28"/>
    </row>
    <row r="139" spans="1:58" ht="20.25" customHeight="1">
      <c r="A139" s="27">
        <v>138</v>
      </c>
      <c r="B139" s="254" t="str">
        <f ca="1"/>
        <v>2585893</v>
      </c>
      <c r="C139" s="137" t="str">
        <f ca="1"/>
        <v>SBI General Insurance Company Ltd</v>
      </c>
      <c r="D139" s="27" t="str">
        <f ca="1"/>
        <v>MACT</v>
      </c>
      <c r="E139" s="27" t="str">
        <f ca="1"/>
        <v>S002-1138-SS-2025</v>
      </c>
      <c r="F139" s="206">
        <f ca="1"/>
        <v>45989</v>
      </c>
      <c r="G139" s="27" t="str">
        <f ca="1"/>
        <v>Nov-25</v>
      </c>
      <c r="H139" s="27" t="s">
        <v>718</v>
      </c>
      <c r="I139" s="29"/>
      <c r="J139" s="29">
        <f t="shared" ca="1" si="9"/>
        <v>46010</v>
      </c>
      <c r="K139" s="27">
        <f t="shared" ca="1" si="10"/>
        <v>38</v>
      </c>
      <c r="L139" s="27" t="str">
        <f t="shared" ca="1" si="11"/>
        <v>AT</v>
      </c>
      <c r="M139" s="27" t="s">
        <v>750</v>
      </c>
      <c r="N139" s="27" t="s">
        <v>747</v>
      </c>
      <c r="O139" s="27" t="s">
        <v>1557</v>
      </c>
      <c r="P139" s="27" t="s">
        <v>1561</v>
      </c>
      <c r="Q139" s="28" t="s">
        <v>41</v>
      </c>
      <c r="R139" s="201" t="s">
        <v>41</v>
      </c>
      <c r="S139" s="27" t="s">
        <v>66</v>
      </c>
      <c r="T139" s="27" t="s">
        <v>41</v>
      </c>
      <c r="U139" s="28" t="s">
        <v>41</v>
      </c>
      <c r="V139" s="28"/>
      <c r="W139" s="28"/>
      <c r="X139" s="213" t="s">
        <v>41</v>
      </c>
      <c r="Y139" s="27" t="s">
        <v>418</v>
      </c>
      <c r="Z139" s="201" t="s">
        <v>1562</v>
      </c>
      <c r="AA139" s="27" t="s">
        <v>736</v>
      </c>
      <c r="AB139" s="27" t="s">
        <v>41</v>
      </c>
      <c r="AC139" s="27" t="s">
        <v>706</v>
      </c>
      <c r="AD139" s="28" t="s">
        <v>41</v>
      </c>
      <c r="AE139" s="28"/>
      <c r="AF139" s="27" t="s">
        <v>41</v>
      </c>
      <c r="AG139" s="27" t="s">
        <v>706</v>
      </c>
      <c r="AH139" s="27" t="s">
        <v>41</v>
      </c>
      <c r="AI139" s="27" t="s">
        <v>41</v>
      </c>
      <c r="AJ139" s="27" t="s">
        <v>41</v>
      </c>
      <c r="AK139" s="27" t="s">
        <v>41</v>
      </c>
      <c r="AL139" s="27" t="s">
        <v>66</v>
      </c>
      <c r="AM139" s="27" t="s">
        <v>66</v>
      </c>
      <c r="AN139" s="27" t="s">
        <v>66</v>
      </c>
      <c r="AO139" s="27" t="s">
        <v>41</v>
      </c>
      <c r="AP139" s="27" t="s">
        <v>66</v>
      </c>
      <c r="AQ139" s="28" t="s">
        <v>66</v>
      </c>
      <c r="AR139" s="28"/>
      <c r="AS139" s="27" t="s">
        <v>41</v>
      </c>
      <c r="AT139" s="27" t="s">
        <v>1563</v>
      </c>
      <c r="AU139" s="26" t="s">
        <v>1564</v>
      </c>
      <c r="AV139" s="202" t="s">
        <v>1565</v>
      </c>
      <c r="AW139" s="27" t="s">
        <v>41</v>
      </c>
      <c r="AX139" s="27" t="s">
        <v>41</v>
      </c>
      <c r="AY139" s="28" t="s">
        <v>66</v>
      </c>
      <c r="AZ139" s="28"/>
      <c r="BA139" s="28"/>
      <c r="BB139" s="26" t="s">
        <v>66</v>
      </c>
      <c r="BC139" s="27"/>
      <c r="BD139" s="93"/>
      <c r="BE139" s="28"/>
      <c r="BF139" s="28"/>
    </row>
    <row r="140" spans="1:58" ht="20.25" customHeight="1">
      <c r="A140" s="27">
        <v>139</v>
      </c>
      <c r="B140" s="348" t="str">
        <f ca="1"/>
        <v>2025213092</v>
      </c>
      <c r="C140" s="200" t="str">
        <f ca="1"/>
        <v>Indusind General Insurance Co Ltd</v>
      </c>
      <c r="D140" s="199" t="str">
        <f ca="1"/>
        <v>MACT</v>
      </c>
      <c r="E140" s="199" t="str">
        <f ca="1"/>
        <v>R001-1139-SS-2025</v>
      </c>
      <c r="F140" s="302">
        <f ca="1"/>
        <v>45990</v>
      </c>
      <c r="G140" s="199" t="str">
        <f ca="1"/>
        <v>Nov-25</v>
      </c>
      <c r="H140" s="27" t="s">
        <v>718</v>
      </c>
      <c r="I140" s="29"/>
      <c r="J140" s="349">
        <f t="shared" ca="1" si="9"/>
        <v>46010</v>
      </c>
      <c r="K140" s="199">
        <f t="shared" ca="1" si="10"/>
        <v>37</v>
      </c>
      <c r="L140" s="27" t="str">
        <f t="shared" ca="1" si="11"/>
        <v>AT</v>
      </c>
      <c r="M140" s="199" t="s">
        <v>750</v>
      </c>
      <c r="N140" s="199" t="s">
        <v>720</v>
      </c>
      <c r="O140" s="199" t="s">
        <v>721</v>
      </c>
      <c r="P140" s="68" t="s">
        <v>1566</v>
      </c>
      <c r="Q140" s="197" t="s">
        <v>41</v>
      </c>
      <c r="R140" s="197" t="s">
        <v>41</v>
      </c>
      <c r="S140" s="199" t="s">
        <v>66</v>
      </c>
      <c r="T140" s="199" t="s">
        <v>66</v>
      </c>
      <c r="U140" s="197" t="s">
        <v>41</v>
      </c>
      <c r="V140" s="197"/>
      <c r="W140" s="197"/>
      <c r="X140" s="373" t="s">
        <v>41</v>
      </c>
      <c r="Y140" s="197" t="s">
        <v>421</v>
      </c>
      <c r="Z140" s="198" t="s">
        <v>1567</v>
      </c>
      <c r="AA140" s="199" t="s">
        <v>763</v>
      </c>
      <c r="AB140" s="199" t="s">
        <v>41</v>
      </c>
      <c r="AC140" s="199" t="s">
        <v>721</v>
      </c>
      <c r="AD140" s="197" t="s">
        <v>421</v>
      </c>
      <c r="AE140" s="198" t="s">
        <v>1567</v>
      </c>
      <c r="AF140" s="199" t="s">
        <v>763</v>
      </c>
      <c r="AG140" s="199" t="s">
        <v>721</v>
      </c>
      <c r="AH140" s="199" t="s">
        <v>41</v>
      </c>
      <c r="AI140" s="199" t="s">
        <v>41</v>
      </c>
      <c r="AJ140" s="199" t="s">
        <v>41</v>
      </c>
      <c r="AK140" s="199" t="s">
        <v>41</v>
      </c>
      <c r="AL140" s="199" t="s">
        <v>66</v>
      </c>
      <c r="AM140" s="199" t="s">
        <v>66</v>
      </c>
      <c r="AN140" s="199" t="s">
        <v>66</v>
      </c>
      <c r="AO140" s="199" t="s">
        <v>41</v>
      </c>
      <c r="AP140" s="199" t="s">
        <v>66</v>
      </c>
      <c r="AQ140" s="198" t="s">
        <v>1567</v>
      </c>
      <c r="AR140" s="198"/>
      <c r="AS140" s="199" t="s">
        <v>41</v>
      </c>
      <c r="AT140" s="350" t="s">
        <v>1568</v>
      </c>
      <c r="AU140" s="351" t="s">
        <v>1569</v>
      </c>
      <c r="AV140" s="197" t="s">
        <v>1570</v>
      </c>
      <c r="AW140" s="199" t="s">
        <v>41</v>
      </c>
      <c r="AX140" s="199" t="s">
        <v>721</v>
      </c>
      <c r="AY140" s="197" t="s">
        <v>66</v>
      </c>
      <c r="AZ140" s="197"/>
      <c r="BA140" s="197"/>
      <c r="BB140" s="201" t="s">
        <v>66</v>
      </c>
      <c r="BC140" s="199"/>
      <c r="BD140" s="198"/>
      <c r="BE140" s="197"/>
      <c r="BF140" s="28"/>
    </row>
    <row r="141" spans="1:58" ht="20.25" customHeight="1">
      <c r="A141" s="27">
        <v>140</v>
      </c>
      <c r="B141" s="254" t="str">
        <f ca="1"/>
        <v>2025204832</v>
      </c>
      <c r="C141" s="137" t="str">
        <f ca="1"/>
        <v>Indusind General Insurance Co Ltd</v>
      </c>
      <c r="D141" s="27" t="str">
        <f ca="1"/>
        <v>MACT</v>
      </c>
      <c r="E141" s="27" t="str">
        <f ca="1"/>
        <v>R001-1140-SS-2025</v>
      </c>
      <c r="F141" s="206">
        <f ca="1"/>
        <v>45990</v>
      </c>
      <c r="G141" s="27" t="str">
        <f ca="1"/>
        <v>Nov-25</v>
      </c>
      <c r="H141" s="27" t="s">
        <v>718</v>
      </c>
      <c r="I141" s="29"/>
      <c r="J141" s="29">
        <f t="shared" ca="1" si="9"/>
        <v>46010</v>
      </c>
      <c r="K141" s="27">
        <f t="shared" ca="1" si="10"/>
        <v>37</v>
      </c>
      <c r="L141" s="27" t="str">
        <f t="shared" ca="1" si="11"/>
        <v>AT</v>
      </c>
      <c r="M141" s="27" t="s">
        <v>750</v>
      </c>
      <c r="N141" s="27" t="s">
        <v>720</v>
      </c>
      <c r="O141" s="27" t="s">
        <v>721</v>
      </c>
      <c r="P141" s="68" t="s">
        <v>1571</v>
      </c>
      <c r="Q141" s="28" t="s">
        <v>1572</v>
      </c>
      <c r="R141" s="93" t="s">
        <v>1573</v>
      </c>
      <c r="S141" s="27" t="s">
        <v>1574</v>
      </c>
      <c r="T141" s="27" t="s">
        <v>721</v>
      </c>
      <c r="U141" s="28" t="s">
        <v>41</v>
      </c>
      <c r="V141" s="28"/>
      <c r="W141" s="28"/>
      <c r="X141" s="28" t="s">
        <v>41</v>
      </c>
      <c r="Y141" s="28" t="s">
        <v>41</v>
      </c>
      <c r="Z141" s="28" t="s">
        <v>41</v>
      </c>
      <c r="AA141" s="27" t="s">
        <v>41</v>
      </c>
      <c r="AB141" s="27" t="s">
        <v>66</v>
      </c>
      <c r="AC141" s="27" t="s">
        <v>66</v>
      </c>
      <c r="AD141" s="28" t="s">
        <v>41</v>
      </c>
      <c r="AE141" s="28"/>
      <c r="AF141" s="27" t="s">
        <v>41</v>
      </c>
      <c r="AG141" s="27" t="s">
        <v>41</v>
      </c>
      <c r="AH141" s="27" t="s">
        <v>41</v>
      </c>
      <c r="AI141" s="27" t="s">
        <v>41</v>
      </c>
      <c r="AJ141" s="27" t="s">
        <v>41</v>
      </c>
      <c r="AK141" s="27" t="s">
        <v>41</v>
      </c>
      <c r="AL141" s="27" t="s">
        <v>66</v>
      </c>
      <c r="AM141" s="27" t="s">
        <v>66</v>
      </c>
      <c r="AN141" s="27" t="s">
        <v>66</v>
      </c>
      <c r="AO141" s="27" t="s">
        <v>41</v>
      </c>
      <c r="AP141" s="27" t="s">
        <v>66</v>
      </c>
      <c r="AQ141" s="28" t="s">
        <v>41</v>
      </c>
      <c r="AR141" s="28"/>
      <c r="AS141" s="27" t="s">
        <v>41</v>
      </c>
      <c r="AT141" s="177" t="s">
        <v>1575</v>
      </c>
      <c r="AU141" s="93" t="s">
        <v>1576</v>
      </c>
      <c r="AV141" s="28" t="s">
        <v>1577</v>
      </c>
      <c r="AW141" s="27" t="s">
        <v>41</v>
      </c>
      <c r="AX141" s="27" t="s">
        <v>721</v>
      </c>
      <c r="AY141" s="28" t="s">
        <v>66</v>
      </c>
      <c r="AZ141" s="28"/>
      <c r="BA141" s="28"/>
      <c r="BB141" s="26" t="s">
        <v>66</v>
      </c>
      <c r="BC141" s="27"/>
      <c r="BD141" s="93"/>
      <c r="BE141" s="28"/>
      <c r="BF141" s="301"/>
    </row>
    <row r="142" spans="1:58" ht="20.25" customHeight="1">
      <c r="A142" s="27">
        <v>141</v>
      </c>
      <c r="B142" s="352" t="str">
        <f ca="1"/>
        <v>2025213146</v>
      </c>
      <c r="C142" s="325" t="str">
        <f ca="1"/>
        <v>Indusind General Insurance Co Ltd</v>
      </c>
      <c r="D142" s="212" t="str">
        <f ca="1"/>
        <v>MACT</v>
      </c>
      <c r="E142" s="212" t="str">
        <f ca="1"/>
        <v>R001-1141-SS-2025</v>
      </c>
      <c r="F142" s="303">
        <f ca="1"/>
        <v>45990</v>
      </c>
      <c r="G142" s="212" t="str">
        <f ca="1"/>
        <v>Nov-25</v>
      </c>
      <c r="H142" s="27" t="s">
        <v>718</v>
      </c>
      <c r="I142" s="29"/>
      <c r="J142" s="353">
        <f t="shared" ca="1" si="9"/>
        <v>46031</v>
      </c>
      <c r="K142" s="212">
        <f t="shared" ca="1" si="10"/>
        <v>37</v>
      </c>
      <c r="L142" s="27" t="str">
        <f t="shared" ca="1" si="11"/>
        <v>AT</v>
      </c>
      <c r="M142" s="212" t="s">
        <v>704</v>
      </c>
      <c r="N142" s="212" t="s">
        <v>720</v>
      </c>
      <c r="O142" s="212" t="s">
        <v>721</v>
      </c>
      <c r="P142" s="212"/>
      <c r="Q142" s="213" t="s">
        <v>1578</v>
      </c>
      <c r="R142" s="213" t="s">
        <v>1579</v>
      </c>
      <c r="S142" s="212" t="s">
        <v>791</v>
      </c>
      <c r="T142" s="212" t="s">
        <v>721</v>
      </c>
      <c r="U142" s="213" t="s">
        <v>41</v>
      </c>
      <c r="V142" s="213" t="s">
        <v>66</v>
      </c>
      <c r="W142" s="213"/>
      <c r="X142" s="213" t="s">
        <v>41</v>
      </c>
      <c r="Y142" s="213" t="s">
        <v>426</v>
      </c>
      <c r="Z142" s="215" t="s">
        <v>1580</v>
      </c>
      <c r="AA142" s="212" t="s">
        <v>837</v>
      </c>
      <c r="AB142" s="212" t="s">
        <v>66</v>
      </c>
      <c r="AC142" s="212" t="s">
        <v>758</v>
      </c>
      <c r="AD142" s="196" t="s">
        <v>1581</v>
      </c>
      <c r="AE142" s="196"/>
      <c r="AF142" s="212" t="s">
        <v>1582</v>
      </c>
      <c r="AG142" s="212" t="s">
        <v>721</v>
      </c>
      <c r="AH142" s="212" t="s">
        <v>41</v>
      </c>
      <c r="AI142" s="212" t="s">
        <v>41</v>
      </c>
      <c r="AJ142" s="212" t="s">
        <v>41</v>
      </c>
      <c r="AK142" s="212" t="s">
        <v>66</v>
      </c>
      <c r="AL142" s="212" t="s">
        <v>41</v>
      </c>
      <c r="AM142" s="212" t="s">
        <v>41</v>
      </c>
      <c r="AN142" s="212" t="s">
        <v>66</v>
      </c>
      <c r="AO142" s="212" t="s">
        <v>41</v>
      </c>
      <c r="AP142" s="212" t="s">
        <v>41</v>
      </c>
      <c r="AQ142" s="213" t="s">
        <v>1583</v>
      </c>
      <c r="AR142" s="213"/>
      <c r="AS142" s="212" t="s">
        <v>758</v>
      </c>
      <c r="AT142" s="354" t="s">
        <v>1584</v>
      </c>
      <c r="AU142" s="355" t="s">
        <v>1585</v>
      </c>
      <c r="AV142" s="213" t="s">
        <v>741</v>
      </c>
      <c r="AW142" s="212" t="s">
        <v>66</v>
      </c>
      <c r="AX142" s="212" t="s">
        <v>721</v>
      </c>
      <c r="AY142" s="213" t="s">
        <v>66</v>
      </c>
      <c r="AZ142" s="213"/>
      <c r="BA142" s="213"/>
      <c r="BB142" s="214" t="s">
        <v>66</v>
      </c>
      <c r="BC142" s="212"/>
      <c r="BD142" s="215"/>
      <c r="BE142" s="213"/>
      <c r="BF142" s="28"/>
    </row>
    <row r="143" spans="1:58" ht="20.25" customHeight="1">
      <c r="A143" s="27">
        <v>142</v>
      </c>
      <c r="B143" s="254" t="str">
        <f ca="1"/>
        <v>2025213359</v>
      </c>
      <c r="C143" s="137" t="str">
        <f ca="1"/>
        <v>Indusind General Insurance Co Ltd</v>
      </c>
      <c r="D143" s="27" t="str">
        <f ca="1"/>
        <v>MACT</v>
      </c>
      <c r="E143" s="27" t="str">
        <f ca="1"/>
        <v>R001-1142-SS-2025</v>
      </c>
      <c r="F143" s="206">
        <f ca="1"/>
        <v>45992</v>
      </c>
      <c r="G143" s="27" t="str">
        <f ca="1"/>
        <v>Dec-25</v>
      </c>
      <c r="H143" s="27" t="s">
        <v>718</v>
      </c>
      <c r="I143" s="29"/>
      <c r="J143" s="29">
        <f t="shared" ca="1" si="9"/>
        <v>46034</v>
      </c>
      <c r="K143" s="27">
        <f t="shared" ca="1" si="10"/>
        <v>35</v>
      </c>
      <c r="L143" s="27" t="str">
        <f t="shared" ca="1" si="11"/>
        <v>AT</v>
      </c>
      <c r="M143" s="27" t="s">
        <v>704</v>
      </c>
      <c r="N143" s="27" t="s">
        <v>720</v>
      </c>
      <c r="O143" s="27" t="s">
        <v>721</v>
      </c>
      <c r="P143" s="27"/>
      <c r="Q143" s="28" t="s">
        <v>1586</v>
      </c>
      <c r="R143" s="93" t="s">
        <v>1587</v>
      </c>
      <c r="S143" s="27" t="s">
        <v>1565</v>
      </c>
      <c r="T143" s="27" t="s">
        <v>721</v>
      </c>
      <c r="U143" s="28" t="s">
        <v>66</v>
      </c>
      <c r="V143" s="28" t="s">
        <v>66</v>
      </c>
      <c r="W143" s="28" t="s">
        <v>41</v>
      </c>
      <c r="X143" s="28" t="s">
        <v>41</v>
      </c>
      <c r="Y143" s="1" t="s">
        <v>429</v>
      </c>
      <c r="Z143" s="2" t="s">
        <v>1588</v>
      </c>
      <c r="AA143" s="27" t="s">
        <v>837</v>
      </c>
      <c r="AB143" s="27" t="s">
        <v>41</v>
      </c>
      <c r="AC143" s="27" t="s">
        <v>721</v>
      </c>
      <c r="AD143" s="28" t="s">
        <v>1589</v>
      </c>
      <c r="AE143" s="93" t="s">
        <v>1590</v>
      </c>
      <c r="AF143" s="27" t="s">
        <v>1591</v>
      </c>
      <c r="AG143" s="26" t="s">
        <v>706</v>
      </c>
      <c r="AH143" s="27" t="s">
        <v>41</v>
      </c>
      <c r="AI143" s="27" t="s">
        <v>41</v>
      </c>
      <c r="AJ143" s="27" t="s">
        <v>41</v>
      </c>
      <c r="AK143" s="27" t="s">
        <v>41</v>
      </c>
      <c r="AL143" s="27" t="s">
        <v>41</v>
      </c>
      <c r="AM143" s="27" t="s">
        <v>41</v>
      </c>
      <c r="AN143" s="27" t="s">
        <v>41</v>
      </c>
      <c r="AO143" s="27" t="s">
        <v>41</v>
      </c>
      <c r="AP143" s="27" t="s">
        <v>66</v>
      </c>
      <c r="AQ143" s="28" t="s">
        <v>1592</v>
      </c>
      <c r="AR143" s="28" t="s">
        <v>845</v>
      </c>
      <c r="AS143" s="27" t="s">
        <v>706</v>
      </c>
      <c r="AT143" s="28" t="s">
        <v>1593</v>
      </c>
      <c r="AU143" s="26" t="s">
        <v>1594</v>
      </c>
      <c r="AV143" s="26" t="s">
        <v>845</v>
      </c>
      <c r="AW143" s="27" t="s">
        <v>41</v>
      </c>
      <c r="AX143" s="27" t="s">
        <v>794</v>
      </c>
      <c r="AY143" s="28" t="s">
        <v>66</v>
      </c>
      <c r="AZ143" s="28" t="s">
        <v>41</v>
      </c>
      <c r="BA143" s="28" t="s">
        <v>41</v>
      </c>
      <c r="BB143" s="26" t="s">
        <v>41</v>
      </c>
      <c r="BC143" s="27" t="s">
        <v>41</v>
      </c>
      <c r="BD143" s="93"/>
      <c r="BE143" s="28"/>
      <c r="BF143" s="28"/>
    </row>
    <row r="144" spans="1:58" ht="20.25" customHeight="1">
      <c r="A144" s="27">
        <v>143</v>
      </c>
      <c r="B144" s="254" t="str">
        <f ca="1"/>
        <v>2752851</v>
      </c>
      <c r="C144" s="137" t="str">
        <f ca="1"/>
        <v>SBI General Insurance Company Ltd</v>
      </c>
      <c r="D144" s="27" t="str">
        <f ca="1"/>
        <v>MACT</v>
      </c>
      <c r="E144" s="27" t="str">
        <f ca="1"/>
        <v>S002-1143-SS-2025</v>
      </c>
      <c r="F144" s="206">
        <f ca="1"/>
        <v>45992</v>
      </c>
      <c r="G144" s="27" t="str">
        <f ca="1"/>
        <v>Dec-25</v>
      </c>
      <c r="H144" s="27" t="s">
        <v>718</v>
      </c>
      <c r="I144" s="29"/>
      <c r="J144" s="29">
        <f t="shared" ca="1" si="9"/>
        <v>46034</v>
      </c>
      <c r="K144" s="27">
        <f t="shared" ca="1" si="10"/>
        <v>35</v>
      </c>
      <c r="L144" s="27" t="str">
        <f t="shared" ca="1" si="11"/>
        <v>AT</v>
      </c>
      <c r="M144" s="27" t="s">
        <v>704</v>
      </c>
      <c r="N144" s="27" t="s">
        <v>720</v>
      </c>
      <c r="O144" s="27" t="s">
        <v>721</v>
      </c>
      <c r="P144" s="27"/>
      <c r="Q144" s="28" t="s">
        <v>1595</v>
      </c>
      <c r="R144" s="93" t="s">
        <v>1596</v>
      </c>
      <c r="S144" s="27" t="s">
        <v>754</v>
      </c>
      <c r="T144" s="27" t="s">
        <v>721</v>
      </c>
      <c r="U144" s="28" t="s">
        <v>41</v>
      </c>
      <c r="V144" s="28" t="s">
        <v>66</v>
      </c>
      <c r="W144" s="28" t="s">
        <v>41</v>
      </c>
      <c r="X144" s="28" t="s">
        <v>794</v>
      </c>
      <c r="Y144" s="28" t="s">
        <v>432</v>
      </c>
      <c r="Z144" s="93" t="s">
        <v>1597</v>
      </c>
      <c r="AA144" s="27" t="s">
        <v>763</v>
      </c>
      <c r="AB144" s="27" t="s">
        <v>41</v>
      </c>
      <c r="AC144" s="27" t="s">
        <v>721</v>
      </c>
      <c r="AD144" s="28" t="s">
        <v>41</v>
      </c>
      <c r="AE144" s="28" t="s">
        <v>41</v>
      </c>
      <c r="AF144" s="27" t="s">
        <v>41</v>
      </c>
      <c r="AG144" s="27" t="s">
        <v>794</v>
      </c>
      <c r="AH144" s="27" t="s">
        <v>41</v>
      </c>
      <c r="AI144" s="27" t="s">
        <v>41</v>
      </c>
      <c r="AJ144" s="27" t="s">
        <v>41</v>
      </c>
      <c r="AK144" s="27" t="s">
        <v>41</v>
      </c>
      <c r="AL144" s="27" t="s">
        <v>41</v>
      </c>
      <c r="AM144" s="27" t="s">
        <v>41</v>
      </c>
      <c r="AN144" s="27" t="s">
        <v>41</v>
      </c>
      <c r="AO144" s="27" t="s">
        <v>41</v>
      </c>
      <c r="AP144" s="27" t="s">
        <v>66</v>
      </c>
      <c r="AQ144" s="28" t="s">
        <v>1598</v>
      </c>
      <c r="AR144" s="28" t="s">
        <v>763</v>
      </c>
      <c r="AS144" s="27" t="s">
        <v>721</v>
      </c>
      <c r="AT144" s="28" t="s">
        <v>1599</v>
      </c>
      <c r="AU144" s="26" t="s">
        <v>1600</v>
      </c>
      <c r="AV144" s="27" t="s">
        <v>763</v>
      </c>
      <c r="AW144" s="27" t="s">
        <v>41</v>
      </c>
      <c r="AX144" s="27" t="s">
        <v>721</v>
      </c>
      <c r="AY144" s="28" t="s">
        <v>66</v>
      </c>
      <c r="AZ144" s="28" t="s">
        <v>41</v>
      </c>
      <c r="BA144" s="28" t="s">
        <v>41</v>
      </c>
      <c r="BB144" s="26" t="s">
        <v>794</v>
      </c>
      <c r="BC144" s="27" t="s">
        <v>41</v>
      </c>
      <c r="BD144" s="93"/>
      <c r="BE144" s="28"/>
      <c r="BF144" s="28"/>
    </row>
    <row r="145" spans="1:58" ht="20.25" customHeight="1">
      <c r="A145" s="27">
        <v>144</v>
      </c>
      <c r="B145" s="254" t="str">
        <f ca="1"/>
        <v>2752855</v>
      </c>
      <c r="C145" s="137" t="str">
        <f ca="1"/>
        <v>SBI General Insurance Company Ltd</v>
      </c>
      <c r="D145" s="27" t="str">
        <f ca="1"/>
        <v>MACT</v>
      </c>
      <c r="E145" s="27" t="str">
        <f ca="1"/>
        <v>S002-1144-SS-2025</v>
      </c>
      <c r="F145" s="206">
        <f ca="1"/>
        <v>45992</v>
      </c>
      <c r="G145" s="27" t="str">
        <f ca="1"/>
        <v>Dec-25</v>
      </c>
      <c r="H145" s="27" t="s">
        <v>718</v>
      </c>
      <c r="I145" s="29"/>
      <c r="J145" s="29">
        <f t="shared" ca="1" si="9"/>
        <v>46034</v>
      </c>
      <c r="K145" s="27">
        <f t="shared" ca="1" si="10"/>
        <v>35</v>
      </c>
      <c r="L145" s="27" t="str">
        <f t="shared" ca="1" si="11"/>
        <v>AT</v>
      </c>
      <c r="M145" s="27" t="s">
        <v>704</v>
      </c>
      <c r="N145" s="27" t="s">
        <v>720</v>
      </c>
      <c r="O145" s="27" t="s">
        <v>721</v>
      </c>
      <c r="P145" s="27"/>
      <c r="Q145" s="28" t="s">
        <v>1601</v>
      </c>
      <c r="R145" s="93" t="s">
        <v>1602</v>
      </c>
      <c r="S145" s="27" t="s">
        <v>791</v>
      </c>
      <c r="T145" s="27" t="s">
        <v>721</v>
      </c>
      <c r="U145" s="28" t="s">
        <v>66</v>
      </c>
      <c r="V145" s="28" t="s">
        <v>66</v>
      </c>
      <c r="W145" s="28" t="s">
        <v>41</v>
      </c>
      <c r="X145" s="28" t="s">
        <v>794</v>
      </c>
      <c r="Y145" s="28" t="s">
        <v>435</v>
      </c>
      <c r="Z145" s="28" t="s">
        <v>1603</v>
      </c>
      <c r="AA145" s="27" t="s">
        <v>791</v>
      </c>
      <c r="AB145" s="27" t="s">
        <v>41</v>
      </c>
      <c r="AC145" s="27" t="s">
        <v>721</v>
      </c>
      <c r="AD145" s="28" t="s">
        <v>41</v>
      </c>
      <c r="AE145" s="28" t="s">
        <v>41</v>
      </c>
      <c r="AF145" s="27" t="s">
        <v>41</v>
      </c>
      <c r="AG145" s="27" t="s">
        <v>41</v>
      </c>
      <c r="AH145" s="27" t="s">
        <v>41</v>
      </c>
      <c r="AI145" s="27" t="s">
        <v>41</v>
      </c>
      <c r="AJ145" s="27" t="s">
        <v>41</v>
      </c>
      <c r="AK145" s="27" t="s">
        <v>41</v>
      </c>
      <c r="AL145" s="27" t="s">
        <v>41</v>
      </c>
      <c r="AM145" s="27" t="s">
        <v>41</v>
      </c>
      <c r="AN145" s="27" t="s">
        <v>41</v>
      </c>
      <c r="AO145" s="27" t="s">
        <v>41</v>
      </c>
      <c r="AP145" s="27" t="s">
        <v>66</v>
      </c>
      <c r="AQ145" s="93" t="s">
        <v>1604</v>
      </c>
      <c r="AR145" s="28" t="s">
        <v>733</v>
      </c>
      <c r="AS145" s="27" t="s">
        <v>721</v>
      </c>
      <c r="AT145" s="28" t="s">
        <v>1605</v>
      </c>
      <c r="AU145" s="26" t="s">
        <v>1606</v>
      </c>
      <c r="AV145" s="27" t="s">
        <v>733</v>
      </c>
      <c r="AW145" s="27" t="s">
        <v>41</v>
      </c>
      <c r="AX145" s="27" t="s">
        <v>721</v>
      </c>
      <c r="AY145" s="28" t="s">
        <v>66</v>
      </c>
      <c r="AZ145" s="28" t="s">
        <v>41</v>
      </c>
      <c r="BA145" s="28" t="s">
        <v>41</v>
      </c>
      <c r="BB145" s="26" t="s">
        <v>794</v>
      </c>
      <c r="BC145" s="27" t="s">
        <v>41</v>
      </c>
      <c r="BD145" s="93"/>
      <c r="BE145" s="28"/>
      <c r="BF145" s="28"/>
    </row>
    <row r="146" spans="1:58" ht="29.25" customHeight="1">
      <c r="A146" s="555">
        <v>2025202958</v>
      </c>
      <c r="B146" s="254" t="str">
        <f ca="1"/>
        <v>2750504</v>
      </c>
      <c r="C146" s="137" t="str">
        <f ca="1"/>
        <v>SBI General Insurance Company Ltd</v>
      </c>
      <c r="D146" s="27" t="str">
        <f ca="1"/>
        <v>MACT</v>
      </c>
      <c r="E146" s="27" t="str">
        <f ca="1"/>
        <v>S002-1145-SS-2025</v>
      </c>
      <c r="F146" s="206">
        <f ca="1"/>
        <v>45993</v>
      </c>
      <c r="G146" s="27" t="str">
        <f ca="1"/>
        <v>Dec-25</v>
      </c>
      <c r="H146" s="27" t="s">
        <v>718</v>
      </c>
      <c r="I146" s="29"/>
      <c r="J146" s="29">
        <f t="shared" ca="1" si="9"/>
        <v>46035</v>
      </c>
      <c r="K146" s="27">
        <f t="shared" ca="1" si="10"/>
        <v>34</v>
      </c>
      <c r="L146" s="27" t="str">
        <f t="shared" ca="1" si="11"/>
        <v>AT</v>
      </c>
      <c r="M146" s="27" t="s">
        <v>704</v>
      </c>
      <c r="N146" s="27" t="s">
        <v>720</v>
      </c>
      <c r="O146" s="27" t="s">
        <v>721</v>
      </c>
      <c r="P146" s="27"/>
      <c r="Q146" s="28" t="s">
        <v>1607</v>
      </c>
      <c r="R146" s="28" t="s">
        <v>1608</v>
      </c>
      <c r="S146" s="28" t="s">
        <v>1609</v>
      </c>
      <c r="T146" s="27" t="s">
        <v>706</v>
      </c>
      <c r="U146" s="28" t="s">
        <v>66</v>
      </c>
      <c r="V146" s="28" t="s">
        <v>66</v>
      </c>
      <c r="W146" s="28" t="s">
        <v>41</v>
      </c>
      <c r="X146" s="213" t="s">
        <v>41</v>
      </c>
      <c r="Y146" s="28" t="s">
        <v>438</v>
      </c>
      <c r="Z146" s="28" t="s">
        <v>1610</v>
      </c>
      <c r="AA146" s="27" t="s">
        <v>1004</v>
      </c>
      <c r="AB146" s="27" t="s">
        <v>41</v>
      </c>
      <c r="AC146" s="27" t="s">
        <v>794</v>
      </c>
      <c r="AD146" s="28" t="s">
        <v>1611</v>
      </c>
      <c r="AE146" s="93" t="s">
        <v>1612</v>
      </c>
      <c r="AF146" s="27" t="s">
        <v>1004</v>
      </c>
      <c r="AG146" s="27" t="s">
        <v>794</v>
      </c>
      <c r="AH146" s="27" t="s">
        <v>41</v>
      </c>
      <c r="AI146" s="27" t="s">
        <v>41</v>
      </c>
      <c r="AJ146" s="27" t="s">
        <v>41</v>
      </c>
      <c r="AK146" s="27" t="s">
        <v>41</v>
      </c>
      <c r="AL146" s="27" t="s">
        <v>41</v>
      </c>
      <c r="AM146" s="27" t="s">
        <v>41</v>
      </c>
      <c r="AN146" s="27" t="s">
        <v>41</v>
      </c>
      <c r="AO146" s="27" t="s">
        <v>41</v>
      </c>
      <c r="AP146" s="27" t="s">
        <v>66</v>
      </c>
      <c r="AQ146" s="28" t="s">
        <v>1613</v>
      </c>
      <c r="AR146" s="28" t="s">
        <v>1614</v>
      </c>
      <c r="AS146" s="27" t="s">
        <v>706</v>
      </c>
      <c r="AT146" s="28" t="s">
        <v>1615</v>
      </c>
      <c r="AU146" s="26" t="s">
        <v>1616</v>
      </c>
      <c r="AV146" s="27" t="s">
        <v>1609</v>
      </c>
      <c r="AW146" s="27" t="s">
        <v>41</v>
      </c>
      <c r="AX146" s="27" t="s">
        <v>794</v>
      </c>
      <c r="AY146" s="28" t="s">
        <v>66</v>
      </c>
      <c r="AZ146" s="28" t="s">
        <v>41</v>
      </c>
      <c r="BA146" s="28" t="s">
        <v>41</v>
      </c>
      <c r="BB146" s="26" t="s">
        <v>794</v>
      </c>
      <c r="BC146" s="27" t="s">
        <v>41</v>
      </c>
      <c r="BD146" s="93"/>
      <c r="BE146" s="28"/>
      <c r="BF146" s="28"/>
    </row>
    <row r="147" spans="1:58" ht="20.25" customHeight="1">
      <c r="A147" s="27">
        <v>146</v>
      </c>
      <c r="B147" s="254" t="str">
        <f ca="1"/>
        <v>2517801</v>
      </c>
      <c r="C147" s="137" t="str">
        <f ca="1"/>
        <v>SBI General Insurance Company Ltd</v>
      </c>
      <c r="D147" s="27" t="str">
        <f ca="1"/>
        <v>MACT</v>
      </c>
      <c r="E147" s="27" t="str">
        <f ca="1"/>
        <v>S002-1146-SS-2025</v>
      </c>
      <c r="F147" s="206">
        <f ca="1"/>
        <v>45995</v>
      </c>
      <c r="G147" s="27" t="str">
        <f ca="1"/>
        <v>Dec-25</v>
      </c>
      <c r="H147" s="29">
        <v>46003</v>
      </c>
      <c r="I147" s="29" t="str">
        <f t="shared" si="8"/>
        <v>Dec-25</v>
      </c>
      <c r="J147" s="29">
        <f t="shared" ca="1" si="9"/>
        <v>46037</v>
      </c>
      <c r="K147" s="27">
        <f t="shared" ca="1" si="10"/>
        <v>8</v>
      </c>
      <c r="L147" s="27" t="str">
        <f t="shared" ca="1" si="11"/>
        <v>WT</v>
      </c>
      <c r="M147" s="27" t="s">
        <v>1524</v>
      </c>
      <c r="N147" s="27" t="s">
        <v>705</v>
      </c>
      <c r="O147" s="27" t="s">
        <v>706</v>
      </c>
      <c r="P147" s="27"/>
      <c r="Q147" s="28" t="s">
        <v>41</v>
      </c>
      <c r="R147" s="28" t="s">
        <v>41</v>
      </c>
      <c r="S147" s="28" t="s">
        <v>41</v>
      </c>
      <c r="T147" s="27" t="s">
        <v>41</v>
      </c>
      <c r="U147" s="28" t="s">
        <v>66</v>
      </c>
      <c r="V147" s="28" t="s">
        <v>66</v>
      </c>
      <c r="W147" s="28" t="s">
        <v>41</v>
      </c>
      <c r="X147" s="28" t="s">
        <v>41</v>
      </c>
      <c r="Y147" s="28" t="s">
        <v>41</v>
      </c>
      <c r="Z147" s="28" t="s">
        <v>41</v>
      </c>
      <c r="AA147" s="28" t="s">
        <v>41</v>
      </c>
      <c r="AB147" s="27" t="s">
        <v>41</v>
      </c>
      <c r="AC147" s="27" t="s">
        <v>41</v>
      </c>
      <c r="AD147" s="28" t="s">
        <v>41</v>
      </c>
      <c r="AE147" s="28" t="s">
        <v>41</v>
      </c>
      <c r="AF147" s="27" t="s">
        <v>41</v>
      </c>
      <c r="AG147" s="27" t="s">
        <v>41</v>
      </c>
      <c r="AH147" s="27" t="s">
        <v>41</v>
      </c>
      <c r="AI147" s="27" t="s">
        <v>41</v>
      </c>
      <c r="AJ147" s="27" t="s">
        <v>41</v>
      </c>
      <c r="AK147" s="27" t="s">
        <v>41</v>
      </c>
      <c r="AL147" s="27" t="s">
        <v>41</v>
      </c>
      <c r="AM147" s="27" t="s">
        <v>41</v>
      </c>
      <c r="AN147" s="27" t="s">
        <v>41</v>
      </c>
      <c r="AO147" s="27" t="s">
        <v>41</v>
      </c>
      <c r="AP147" s="27" t="s">
        <v>66</v>
      </c>
      <c r="AQ147" s="28" t="s">
        <v>41</v>
      </c>
      <c r="AR147" s="28" t="s">
        <v>66</v>
      </c>
      <c r="AS147" s="27" t="s">
        <v>41</v>
      </c>
      <c r="AT147" s="28" t="s">
        <v>41</v>
      </c>
      <c r="AU147" s="27" t="s">
        <v>41</v>
      </c>
      <c r="AV147" s="27" t="s">
        <v>41</v>
      </c>
      <c r="AW147" s="27" t="s">
        <v>41</v>
      </c>
      <c r="AX147" s="27" t="s">
        <v>706</v>
      </c>
      <c r="AY147" s="28" t="s">
        <v>1617</v>
      </c>
      <c r="AZ147" s="28" t="s">
        <v>1618</v>
      </c>
      <c r="BA147" s="28" t="s">
        <v>845</v>
      </c>
      <c r="BB147" s="26" t="s">
        <v>706</v>
      </c>
      <c r="BC147" s="27" t="s">
        <v>41</v>
      </c>
      <c r="BD147" s="93" t="s">
        <v>716</v>
      </c>
      <c r="BE147" s="28"/>
      <c r="BF147" s="28"/>
    </row>
    <row r="148" spans="1:58" ht="20.25" customHeight="1">
      <c r="A148" s="27">
        <v>147</v>
      </c>
      <c r="B148" s="254" t="str">
        <f ca="1"/>
        <v>Hold-228494</v>
      </c>
      <c r="C148" s="137" t="str">
        <f ca="1"/>
        <v>Bajaj Allianz General Insurance Company Ltd</v>
      </c>
      <c r="D148" s="27" t="str">
        <f ca="1"/>
        <v>MACT</v>
      </c>
      <c r="E148" s="27" t="str">
        <f ca="1"/>
        <v>B001-1147-SS-2025</v>
      </c>
      <c r="F148" s="206">
        <f ca="1"/>
        <v>45995</v>
      </c>
      <c r="G148" s="27" t="str">
        <f ca="1"/>
        <v>Dec-25</v>
      </c>
      <c r="H148" s="29">
        <v>46009</v>
      </c>
      <c r="I148" s="29" t="str">
        <f t="shared" si="8"/>
        <v>Dec-25</v>
      </c>
      <c r="J148" s="29">
        <f t="shared" ca="1" si="9"/>
        <v>46037</v>
      </c>
      <c r="K148" s="27">
        <f t="shared" ca="1" si="10"/>
        <v>14</v>
      </c>
      <c r="L148" s="27" t="str">
        <f t="shared" ca="1" si="11"/>
        <v>WT</v>
      </c>
      <c r="M148" s="26" t="s">
        <v>1524</v>
      </c>
      <c r="N148" s="27" t="s">
        <v>705</v>
      </c>
      <c r="O148" s="27" t="s">
        <v>706</v>
      </c>
      <c r="P148" s="27"/>
      <c r="Q148" s="28" t="s">
        <v>66</v>
      </c>
      <c r="R148" s="28" t="s">
        <v>41</v>
      </c>
      <c r="S148" s="28" t="s">
        <v>41</v>
      </c>
      <c r="T148" s="27" t="s">
        <v>41</v>
      </c>
      <c r="U148" s="28" t="s">
        <v>66</v>
      </c>
      <c r="V148" s="28" t="s">
        <v>66</v>
      </c>
      <c r="W148" s="28" t="s">
        <v>41</v>
      </c>
      <c r="X148" s="28" t="s">
        <v>41</v>
      </c>
      <c r="Y148" s="28" t="s">
        <v>41</v>
      </c>
      <c r="Z148" s="28" t="s">
        <v>41</v>
      </c>
      <c r="AA148" s="28" t="s">
        <v>41</v>
      </c>
      <c r="AB148" s="27" t="s">
        <v>41</v>
      </c>
      <c r="AC148" s="27" t="s">
        <v>41</v>
      </c>
      <c r="AD148" s="28" t="s">
        <v>41</v>
      </c>
      <c r="AE148" s="28" t="s">
        <v>41</v>
      </c>
      <c r="AF148" s="27" t="s">
        <v>41</v>
      </c>
      <c r="AG148" s="27" t="s">
        <v>41</v>
      </c>
      <c r="AH148" s="27" t="s">
        <v>41</v>
      </c>
      <c r="AI148" s="27" t="s">
        <v>41</v>
      </c>
      <c r="AJ148" s="27" t="s">
        <v>41</v>
      </c>
      <c r="AK148" s="27" t="s">
        <v>41</v>
      </c>
      <c r="AL148" s="27" t="s">
        <v>41</v>
      </c>
      <c r="AM148" s="27" t="s">
        <v>41</v>
      </c>
      <c r="AN148" s="27" t="s">
        <v>41</v>
      </c>
      <c r="AO148" s="27" t="s">
        <v>41</v>
      </c>
      <c r="AP148" s="27" t="s">
        <v>66</v>
      </c>
      <c r="AQ148" s="28" t="s">
        <v>41</v>
      </c>
      <c r="AR148" s="28" t="s">
        <v>41</v>
      </c>
      <c r="AS148" s="27" t="s">
        <v>41</v>
      </c>
      <c r="AT148" s="28" t="s">
        <v>41</v>
      </c>
      <c r="AU148" s="27" t="s">
        <v>41</v>
      </c>
      <c r="AV148" s="27" t="s">
        <v>41</v>
      </c>
      <c r="AW148" s="27" t="s">
        <v>41</v>
      </c>
      <c r="AX148" s="27" t="s">
        <v>41</v>
      </c>
      <c r="AY148" s="28" t="s">
        <v>1619</v>
      </c>
      <c r="AZ148" s="28" t="s">
        <v>1620</v>
      </c>
      <c r="BA148" s="28" t="s">
        <v>733</v>
      </c>
      <c r="BB148" s="26" t="s">
        <v>706</v>
      </c>
      <c r="BC148" s="27" t="s">
        <v>41</v>
      </c>
      <c r="BD148" s="93" t="s">
        <v>716</v>
      </c>
      <c r="BE148" s="28" t="s">
        <v>1621</v>
      </c>
      <c r="BF148" s="28"/>
    </row>
    <row r="149" spans="1:58" ht="20.25" customHeight="1">
      <c r="A149" s="27">
        <v>148</v>
      </c>
      <c r="B149" s="254" t="str">
        <f ca="1"/>
        <v>CN079727</v>
      </c>
      <c r="C149" s="137" t="str">
        <f ca="1"/>
        <v>Generali Central Insurance Company Limited</v>
      </c>
      <c r="D149" s="27" t="str">
        <f ca="1"/>
        <v>MACT</v>
      </c>
      <c r="E149" s="27" t="str">
        <f ca="1"/>
        <v>F001-1148-SS-2025</v>
      </c>
      <c r="F149" s="206">
        <f ca="1"/>
        <v>45995</v>
      </c>
      <c r="G149" s="27" t="str">
        <f ca="1"/>
        <v>Dec-25</v>
      </c>
      <c r="H149" s="29">
        <v>46015</v>
      </c>
      <c r="I149" s="29" t="str">
        <f t="shared" si="8"/>
        <v>Dec-25</v>
      </c>
      <c r="J149" s="29">
        <f t="shared" ca="1" si="9"/>
        <v>46037</v>
      </c>
      <c r="K149" s="27">
        <f t="shared" ca="1" si="10"/>
        <v>20</v>
      </c>
      <c r="L149" s="27" t="str">
        <f t="shared" ca="1" si="11"/>
        <v>WT</v>
      </c>
      <c r="M149" s="27" t="s">
        <v>704</v>
      </c>
      <c r="N149" s="27" t="s">
        <v>705</v>
      </c>
      <c r="O149" s="27" t="s">
        <v>721</v>
      </c>
      <c r="P149" s="27" t="s">
        <v>1622</v>
      </c>
      <c r="Q149" s="28" t="s">
        <v>1623</v>
      </c>
      <c r="R149" s="93" t="s">
        <v>1624</v>
      </c>
      <c r="S149" s="28" t="s">
        <v>939</v>
      </c>
      <c r="T149" s="27" t="s">
        <v>706</v>
      </c>
      <c r="U149" s="28" t="s">
        <v>66</v>
      </c>
      <c r="V149" s="28" t="s">
        <v>66</v>
      </c>
      <c r="W149" s="28" t="s">
        <v>41</v>
      </c>
      <c r="X149" s="28" t="s">
        <v>41</v>
      </c>
      <c r="Y149" s="28" t="s">
        <v>149</v>
      </c>
      <c r="Z149" s="93" t="s">
        <v>1625</v>
      </c>
      <c r="AA149" s="28" t="s">
        <v>939</v>
      </c>
      <c r="AB149" s="27" t="s">
        <v>41</v>
      </c>
      <c r="AC149" s="27" t="s">
        <v>706</v>
      </c>
      <c r="AD149" s="28" t="s">
        <v>41</v>
      </c>
      <c r="AE149" s="28" t="s">
        <v>41</v>
      </c>
      <c r="AF149" s="27" t="s">
        <v>41</v>
      </c>
      <c r="AG149" s="27" t="s">
        <v>41</v>
      </c>
      <c r="AH149" s="27" t="s">
        <v>41</v>
      </c>
      <c r="AI149" s="27" t="s">
        <v>41</v>
      </c>
      <c r="AJ149" s="27" t="s">
        <v>41</v>
      </c>
      <c r="AK149" s="27" t="s">
        <v>41</v>
      </c>
      <c r="AL149" s="27" t="s">
        <v>41</v>
      </c>
      <c r="AM149" s="27" t="s">
        <v>41</v>
      </c>
      <c r="AN149" s="27" t="s">
        <v>41</v>
      </c>
      <c r="AO149" s="27" t="s">
        <v>41</v>
      </c>
      <c r="AP149" s="27" t="s">
        <v>66</v>
      </c>
      <c r="AQ149" s="93" t="s">
        <v>1626</v>
      </c>
      <c r="AR149" s="28" t="s">
        <v>709</v>
      </c>
      <c r="AS149" s="27" t="s">
        <v>794</v>
      </c>
      <c r="AT149" s="28" t="s">
        <v>1593</v>
      </c>
      <c r="AU149" s="26" t="s">
        <v>1627</v>
      </c>
      <c r="AV149" s="27" t="s">
        <v>709</v>
      </c>
      <c r="AW149" s="27" t="s">
        <v>41</v>
      </c>
      <c r="AX149" s="27" t="s">
        <v>794</v>
      </c>
      <c r="AY149" s="28" t="s">
        <v>66</v>
      </c>
      <c r="AZ149" s="28" t="s">
        <v>41</v>
      </c>
      <c r="BA149" s="28" t="s">
        <v>41</v>
      </c>
      <c r="BB149" s="26" t="s">
        <v>41</v>
      </c>
      <c r="BC149" s="27" t="s">
        <v>41</v>
      </c>
      <c r="BD149" s="93" t="s">
        <v>716</v>
      </c>
      <c r="BE149" s="28"/>
      <c r="BF149" s="28"/>
    </row>
    <row r="150" spans="1:58" ht="20.25" customHeight="1">
      <c r="A150" s="27">
        <v>149</v>
      </c>
      <c r="B150" s="254" t="str">
        <f ca="1"/>
        <v>CM839422</v>
      </c>
      <c r="C150" s="137" t="str">
        <f ca="1"/>
        <v>Generali Central Insurance Company Limited</v>
      </c>
      <c r="D150" s="27" t="str">
        <f ca="1"/>
        <v>MACT</v>
      </c>
      <c r="E150" s="27" t="str">
        <f ca="1"/>
        <v>F001-1149-SS-2025</v>
      </c>
      <c r="F150" s="206">
        <f ca="1"/>
        <v>45996</v>
      </c>
      <c r="G150" s="27" t="str">
        <f ca="1"/>
        <v>Dec-25</v>
      </c>
      <c r="H150" s="29">
        <v>46002</v>
      </c>
      <c r="I150" s="29" t="str">
        <f t="shared" si="8"/>
        <v>Dec-25</v>
      </c>
      <c r="J150" s="29">
        <f t="shared" ca="1" si="9"/>
        <v>46038</v>
      </c>
      <c r="K150" s="27">
        <f t="shared" ca="1" si="10"/>
        <v>6</v>
      </c>
      <c r="L150" s="27" t="str">
        <f t="shared" ca="1" si="11"/>
        <v>WT</v>
      </c>
      <c r="M150" s="27" t="s">
        <v>1524</v>
      </c>
      <c r="N150" s="27" t="s">
        <v>705</v>
      </c>
      <c r="O150" s="27" t="s">
        <v>706</v>
      </c>
      <c r="P150" s="27"/>
      <c r="Q150" s="28" t="s">
        <v>41</v>
      </c>
      <c r="R150" s="28" t="s">
        <v>41</v>
      </c>
      <c r="S150" s="28" t="s">
        <v>41</v>
      </c>
      <c r="T150" s="27" t="s">
        <v>41</v>
      </c>
      <c r="U150" s="28" t="s">
        <v>66</v>
      </c>
      <c r="V150" s="28" t="s">
        <v>66</v>
      </c>
      <c r="W150" s="28" t="s">
        <v>41</v>
      </c>
      <c r="X150" s="28" t="s">
        <v>41</v>
      </c>
      <c r="Y150" s="28" t="s">
        <v>41</v>
      </c>
      <c r="Z150" s="28" t="s">
        <v>41</v>
      </c>
      <c r="AA150" s="28" t="s">
        <v>41</v>
      </c>
      <c r="AB150" s="27" t="s">
        <v>41</v>
      </c>
      <c r="AC150" s="27" t="s">
        <v>41</v>
      </c>
      <c r="AD150" s="28" t="s">
        <v>41</v>
      </c>
      <c r="AE150" s="28" t="s">
        <v>41</v>
      </c>
      <c r="AF150" s="27" t="s">
        <v>41</v>
      </c>
      <c r="AG150" s="27" t="s">
        <v>41</v>
      </c>
      <c r="AH150" s="27" t="s">
        <v>41</v>
      </c>
      <c r="AI150" s="27" t="s">
        <v>41</v>
      </c>
      <c r="AJ150" s="27" t="s">
        <v>41</v>
      </c>
      <c r="AK150" s="27" t="s">
        <v>41</v>
      </c>
      <c r="AL150" s="27" t="s">
        <v>41</v>
      </c>
      <c r="AM150" s="27" t="s">
        <v>41</v>
      </c>
      <c r="AN150" s="27" t="s">
        <v>41</v>
      </c>
      <c r="AO150" s="27" t="s">
        <v>41</v>
      </c>
      <c r="AP150" s="27" t="s">
        <v>66</v>
      </c>
      <c r="AQ150" s="28" t="s">
        <v>41</v>
      </c>
      <c r="AR150" s="28" t="s">
        <v>41</v>
      </c>
      <c r="AS150" s="27" t="s">
        <v>41</v>
      </c>
      <c r="AT150" s="28" t="s">
        <v>41</v>
      </c>
      <c r="AU150" s="27" t="s">
        <v>41</v>
      </c>
      <c r="AV150" s="27" t="s">
        <v>41</v>
      </c>
      <c r="AW150" s="27" t="s">
        <v>41</v>
      </c>
      <c r="AX150" s="27" t="s">
        <v>41</v>
      </c>
      <c r="AY150" s="28" t="s">
        <v>1628</v>
      </c>
      <c r="AZ150" s="28" t="s">
        <v>1629</v>
      </c>
      <c r="BA150" s="28" t="s">
        <v>845</v>
      </c>
      <c r="BB150" s="26" t="s">
        <v>706</v>
      </c>
      <c r="BC150" s="29">
        <v>46002</v>
      </c>
      <c r="BD150" s="93" t="s">
        <v>787</v>
      </c>
      <c r="BE150" s="28"/>
      <c r="BF150" s="28"/>
    </row>
    <row r="151" spans="1:58" ht="20.25" customHeight="1">
      <c r="A151" s="27">
        <v>150</v>
      </c>
      <c r="B151" s="27" t="str">
        <f ca="1"/>
        <v>1033504</v>
      </c>
      <c r="C151" s="137" t="str">
        <f ca="1"/>
        <v>SBI General Insurance Company Ltd</v>
      </c>
      <c r="D151" s="27" t="str">
        <f ca="1"/>
        <v>MACT</v>
      </c>
      <c r="E151" s="27" t="str">
        <f ca="1"/>
        <v>S002-1150-SS-2025</v>
      </c>
      <c r="F151" s="206">
        <f ca="1"/>
        <v>45996</v>
      </c>
      <c r="G151" s="27" t="str">
        <f ca="1"/>
        <v>Dec-25</v>
      </c>
      <c r="H151" s="29">
        <v>46003</v>
      </c>
      <c r="I151" s="29" t="str">
        <f t="shared" si="8"/>
        <v>Dec-25</v>
      </c>
      <c r="J151" s="29">
        <f t="shared" ca="1" si="9"/>
        <v>46038</v>
      </c>
      <c r="K151" s="27">
        <f t="shared" ca="1" si="10"/>
        <v>7</v>
      </c>
      <c r="L151" s="27" t="str">
        <f t="shared" ca="1" si="11"/>
        <v>WT</v>
      </c>
      <c r="M151" s="27" t="s">
        <v>1524</v>
      </c>
      <c r="N151" s="27" t="s">
        <v>705</v>
      </c>
      <c r="O151" s="27" t="s">
        <v>706</v>
      </c>
      <c r="P151" s="27"/>
      <c r="Q151" s="28" t="s">
        <v>41</v>
      </c>
      <c r="R151" s="28" t="s">
        <v>41</v>
      </c>
      <c r="S151" s="28" t="s">
        <v>41</v>
      </c>
      <c r="T151" s="27" t="s">
        <v>41</v>
      </c>
      <c r="U151" s="28" t="s">
        <v>66</v>
      </c>
      <c r="V151" s="28" t="s">
        <v>66</v>
      </c>
      <c r="W151" s="28" t="s">
        <v>41</v>
      </c>
      <c r="X151" s="28" t="s">
        <v>41</v>
      </c>
      <c r="Y151" s="28" t="s">
        <v>41</v>
      </c>
      <c r="Z151" s="28" t="s">
        <v>41</v>
      </c>
      <c r="AA151" s="28" t="s">
        <v>41</v>
      </c>
      <c r="AB151" s="27" t="s">
        <v>41</v>
      </c>
      <c r="AC151" s="27" t="s">
        <v>41</v>
      </c>
      <c r="AD151" s="28" t="s">
        <v>41</v>
      </c>
      <c r="AE151" s="28" t="s">
        <v>41</v>
      </c>
      <c r="AF151" s="27" t="s">
        <v>41</v>
      </c>
      <c r="AG151" s="27" t="s">
        <v>41</v>
      </c>
      <c r="AH151" s="27" t="s">
        <v>41</v>
      </c>
      <c r="AI151" s="27" t="s">
        <v>41</v>
      </c>
      <c r="AJ151" s="27" t="s">
        <v>41</v>
      </c>
      <c r="AK151" s="27" t="s">
        <v>41</v>
      </c>
      <c r="AL151" s="27" t="s">
        <v>41</v>
      </c>
      <c r="AM151" s="27" t="s">
        <v>41</v>
      </c>
      <c r="AN151" s="27" t="s">
        <v>41</v>
      </c>
      <c r="AO151" s="27" t="s">
        <v>41</v>
      </c>
      <c r="AP151" s="27" t="s">
        <v>66</v>
      </c>
      <c r="AQ151" s="28" t="s">
        <v>41</v>
      </c>
      <c r="AR151" s="28" t="s">
        <v>41</v>
      </c>
      <c r="AS151" s="27" t="s">
        <v>41</v>
      </c>
      <c r="AT151" s="28" t="s">
        <v>41</v>
      </c>
      <c r="AU151" s="27" t="s">
        <v>41</v>
      </c>
      <c r="AV151" s="27" t="s">
        <v>41</v>
      </c>
      <c r="AW151" s="27" t="s">
        <v>41</v>
      </c>
      <c r="AX151" s="27" t="s">
        <v>706</v>
      </c>
      <c r="AY151" s="28" t="s">
        <v>1630</v>
      </c>
      <c r="AZ151" s="28" t="s">
        <v>1631</v>
      </c>
      <c r="BA151" s="28" t="s">
        <v>845</v>
      </c>
      <c r="BB151" s="26" t="s">
        <v>706</v>
      </c>
      <c r="BC151" s="27" t="s">
        <v>41</v>
      </c>
      <c r="BD151" s="93" t="s">
        <v>716</v>
      </c>
      <c r="BE151" s="28"/>
      <c r="BF151" s="28"/>
    </row>
    <row r="152" spans="1:58" ht="20.25" customHeight="1">
      <c r="A152" s="27">
        <v>151</v>
      </c>
      <c r="B152" s="199" t="str">
        <f ca="1"/>
        <v>2025213437</v>
      </c>
      <c r="C152" s="200" t="str">
        <f ca="1"/>
        <v>Indusind General Insurance Co Ltd</v>
      </c>
      <c r="D152" s="199" t="str">
        <f ca="1"/>
        <v>MACT</v>
      </c>
      <c r="E152" s="199" t="str">
        <f ca="1"/>
        <v>R001-1151-SS-2025</v>
      </c>
      <c r="F152" s="302">
        <f ca="1"/>
        <v>45997</v>
      </c>
      <c r="G152" s="199" t="str">
        <f ca="1"/>
        <v>Dec-25</v>
      </c>
      <c r="H152" s="27" t="s">
        <v>718</v>
      </c>
      <c r="I152" s="29"/>
      <c r="J152" s="349" t="str">
        <f t="shared" ca="1" si="9"/>
        <v/>
      </c>
      <c r="K152" s="199">
        <f t="shared" ca="1" si="10"/>
        <v>30</v>
      </c>
      <c r="L152" s="27" t="str">
        <f t="shared" ca="1" si="11"/>
        <v>AT</v>
      </c>
      <c r="M152" s="199" t="s">
        <v>719</v>
      </c>
      <c r="N152" s="1" t="s">
        <v>720</v>
      </c>
      <c r="O152" s="199" t="s">
        <v>721</v>
      </c>
      <c r="P152" s="38" t="s">
        <v>1632</v>
      </c>
      <c r="Q152" s="1" t="s">
        <v>452</v>
      </c>
      <c r="R152" s="1" t="s">
        <v>1633</v>
      </c>
      <c r="S152" s="1" t="s">
        <v>1565</v>
      </c>
      <c r="T152" s="13" t="s">
        <v>794</v>
      </c>
      <c r="U152" s="1" t="s">
        <v>66</v>
      </c>
      <c r="V152" s="1" t="s">
        <v>66</v>
      </c>
      <c r="W152" s="1" t="s">
        <v>41</v>
      </c>
      <c r="X152" s="1" t="s">
        <v>41</v>
      </c>
      <c r="Y152" s="1" t="s">
        <v>41</v>
      </c>
      <c r="Z152" s="1" t="s">
        <v>41</v>
      </c>
      <c r="AA152" s="1" t="s">
        <v>41</v>
      </c>
      <c r="AB152" s="1" t="s">
        <v>41</v>
      </c>
      <c r="AC152" s="1" t="s">
        <v>41</v>
      </c>
      <c r="AD152" s="197" t="s">
        <v>41</v>
      </c>
      <c r="AE152" s="1" t="s">
        <v>41</v>
      </c>
      <c r="AF152" s="1" t="s">
        <v>41</v>
      </c>
      <c r="AG152" s="1" t="s">
        <v>41</v>
      </c>
      <c r="AH152" s="1" t="s">
        <v>41</v>
      </c>
      <c r="AI152" s="1" t="s">
        <v>41</v>
      </c>
      <c r="AJ152" s="1" t="s">
        <v>41</v>
      </c>
      <c r="AK152" s="1" t="s">
        <v>41</v>
      </c>
      <c r="AL152" s="1" t="s">
        <v>41</v>
      </c>
      <c r="AM152" s="1" t="s">
        <v>41</v>
      </c>
      <c r="AN152" s="1" t="s">
        <v>41</v>
      </c>
      <c r="AO152" s="1" t="s">
        <v>41</v>
      </c>
      <c r="AP152" s="1" t="s">
        <v>41</v>
      </c>
      <c r="AQ152" s="1" t="s">
        <v>41</v>
      </c>
      <c r="AR152" s="1" t="s">
        <v>41</v>
      </c>
      <c r="AS152" s="1" t="s">
        <v>41</v>
      </c>
      <c r="AT152" s="1" t="s">
        <v>41</v>
      </c>
      <c r="AU152" s="1" t="s">
        <v>41</v>
      </c>
      <c r="AV152" s="1" t="s">
        <v>41</v>
      </c>
      <c r="AW152" s="1" t="s">
        <v>41</v>
      </c>
      <c r="AX152" s="1" t="s">
        <v>41</v>
      </c>
      <c r="AY152" s="1" t="s">
        <v>41</v>
      </c>
      <c r="AZ152" s="1" t="s">
        <v>41</v>
      </c>
      <c r="BA152" s="1" t="s">
        <v>41</v>
      </c>
      <c r="BB152" s="1" t="s">
        <v>41</v>
      </c>
      <c r="BC152" s="1" t="s">
        <v>41</v>
      </c>
      <c r="BD152" s="1" t="s">
        <v>41</v>
      </c>
      <c r="BE152" s="1" t="s">
        <v>41</v>
      </c>
      <c r="BF152" s="28"/>
    </row>
    <row r="153" spans="1:58" ht="20.25" customHeight="1">
      <c r="A153" s="27">
        <v>152</v>
      </c>
      <c r="B153" s="27" t="str">
        <f ca="1"/>
        <v>2025206275</v>
      </c>
      <c r="C153" s="137" t="str">
        <f ca="1"/>
        <v>Indusind General Insurance Co Ltd</v>
      </c>
      <c r="D153" s="27" t="str">
        <f ca="1"/>
        <v>MACT</v>
      </c>
      <c r="E153" s="27" t="str">
        <f ca="1"/>
        <v>R001-1152-SS-2025</v>
      </c>
      <c r="F153" s="206">
        <f ca="1"/>
        <v>45997</v>
      </c>
      <c r="G153" s="27" t="str">
        <f ca="1"/>
        <v>Dec-25</v>
      </c>
      <c r="H153" s="27" t="s">
        <v>718</v>
      </c>
      <c r="I153" s="29"/>
      <c r="J153" s="29">
        <f t="shared" ca="1" si="9"/>
        <v>46017</v>
      </c>
      <c r="K153" s="27">
        <f t="shared" ca="1" si="10"/>
        <v>30</v>
      </c>
      <c r="L153" s="27" t="str">
        <f t="shared" ca="1" si="11"/>
        <v>AT</v>
      </c>
      <c r="M153" s="27" t="s">
        <v>750</v>
      </c>
      <c r="N153" s="27" t="s">
        <v>720</v>
      </c>
      <c r="O153" s="27" t="s">
        <v>721</v>
      </c>
      <c r="P153" s="68" t="s">
        <v>1634</v>
      </c>
      <c r="Q153" s="28" t="s">
        <v>41</v>
      </c>
      <c r="R153" s="28" t="s">
        <v>41</v>
      </c>
      <c r="S153" s="28" t="s">
        <v>41</v>
      </c>
      <c r="T153" s="27" t="s">
        <v>41</v>
      </c>
      <c r="U153" s="28" t="s">
        <v>66</v>
      </c>
      <c r="V153" s="28" t="s">
        <v>66</v>
      </c>
      <c r="W153" s="28" t="s">
        <v>66</v>
      </c>
      <c r="X153" s="28" t="s">
        <v>66</v>
      </c>
      <c r="Y153" s="28" t="s">
        <v>66</v>
      </c>
      <c r="Z153" s="28" t="s">
        <v>66</v>
      </c>
      <c r="AA153" s="28" t="s">
        <v>66</v>
      </c>
      <c r="AB153" s="27" t="s">
        <v>66</v>
      </c>
      <c r="AC153" s="27" t="s">
        <v>66</v>
      </c>
      <c r="AD153" s="28" t="s">
        <v>66</v>
      </c>
      <c r="AE153" s="28" t="s">
        <v>66</v>
      </c>
      <c r="AF153" s="27" t="s">
        <v>66</v>
      </c>
      <c r="AG153" s="27" t="s">
        <v>66</v>
      </c>
      <c r="AH153" s="27" t="s">
        <v>66</v>
      </c>
      <c r="AI153" s="27" t="s">
        <v>66</v>
      </c>
      <c r="AJ153" s="27" t="s">
        <v>66</v>
      </c>
      <c r="AK153" s="27" t="s">
        <v>66</v>
      </c>
      <c r="AL153" s="27" t="s">
        <v>66</v>
      </c>
      <c r="AM153" s="27" t="s">
        <v>66</v>
      </c>
      <c r="AN153" s="27" t="s">
        <v>66</v>
      </c>
      <c r="AO153" s="27" t="s">
        <v>66</v>
      </c>
      <c r="AP153" s="27" t="s">
        <v>66</v>
      </c>
      <c r="AQ153" s="28" t="s">
        <v>66</v>
      </c>
      <c r="AR153" s="28" t="s">
        <v>66</v>
      </c>
      <c r="AS153" s="27" t="s">
        <v>66</v>
      </c>
      <c r="AT153" s="299" t="s">
        <v>1635</v>
      </c>
      <c r="AU153" s="27" t="s">
        <v>1636</v>
      </c>
      <c r="AV153" s="27" t="s">
        <v>1637</v>
      </c>
      <c r="AW153" s="27" t="s">
        <v>66</v>
      </c>
      <c r="AX153" s="27" t="s">
        <v>721</v>
      </c>
      <c r="AY153" s="28" t="s">
        <v>66</v>
      </c>
      <c r="AZ153" s="28" t="s">
        <v>66</v>
      </c>
      <c r="BA153" s="28" t="s">
        <v>66</v>
      </c>
      <c r="BB153" s="26" t="s">
        <v>66</v>
      </c>
      <c r="BC153" s="27" t="s">
        <v>66</v>
      </c>
      <c r="BD153" s="93" t="s">
        <v>66</v>
      </c>
      <c r="BE153" s="166"/>
      <c r="BF153" s="301"/>
    </row>
    <row r="154" spans="1:58" ht="20.25" customHeight="1">
      <c r="A154" s="27">
        <v>153</v>
      </c>
      <c r="B154" s="27" t="str">
        <f ca="1"/>
        <v>2025204393</v>
      </c>
      <c r="C154" s="137" t="str">
        <f ca="1"/>
        <v>Indusind General Insurance Co Ltd</v>
      </c>
      <c r="D154" s="27" t="str">
        <f ca="1"/>
        <v>MACT</v>
      </c>
      <c r="E154" s="27" t="str">
        <f ca="1"/>
        <v>R001-1153-SS-2025</v>
      </c>
      <c r="F154" s="206">
        <f ca="1"/>
        <v>45997</v>
      </c>
      <c r="G154" s="27" t="str">
        <f ca="1"/>
        <v>Dec-25</v>
      </c>
      <c r="H154" s="29">
        <v>46027</v>
      </c>
      <c r="I154" s="29"/>
      <c r="J154" s="29">
        <f t="shared" ca="1" si="9"/>
        <v>46017</v>
      </c>
      <c r="K154" s="27">
        <f t="shared" ca="1" si="10"/>
        <v>30</v>
      </c>
      <c r="L154" s="27" t="str">
        <f t="shared" ca="1" si="11"/>
        <v>AT</v>
      </c>
      <c r="M154" s="27" t="s">
        <v>750</v>
      </c>
      <c r="N154" s="27" t="s">
        <v>705</v>
      </c>
      <c r="O154" s="27" t="s">
        <v>706</v>
      </c>
      <c r="P154" s="166" t="s">
        <v>1638</v>
      </c>
      <c r="Q154" s="28" t="s">
        <v>41</v>
      </c>
      <c r="R154" s="28" t="s">
        <v>41</v>
      </c>
      <c r="S154" s="28" t="s">
        <v>41</v>
      </c>
      <c r="T154" s="27" t="s">
        <v>66</v>
      </c>
      <c r="U154" s="28" t="s">
        <v>66</v>
      </c>
      <c r="V154" s="28" t="s">
        <v>66</v>
      </c>
      <c r="W154" s="28" t="s">
        <v>66</v>
      </c>
      <c r="X154" s="28" t="s">
        <v>66</v>
      </c>
      <c r="Y154" s="28" t="s">
        <v>458</v>
      </c>
      <c r="Z154" s="93" t="s">
        <v>1639</v>
      </c>
      <c r="AA154" s="28" t="s">
        <v>774</v>
      </c>
      <c r="AB154" s="27" t="s">
        <v>66</v>
      </c>
      <c r="AC154" s="26" t="s">
        <v>706</v>
      </c>
      <c r="AD154" s="28" t="s">
        <v>66</v>
      </c>
      <c r="AE154" s="28" t="s">
        <v>66</v>
      </c>
      <c r="AF154" s="27" t="s">
        <v>66</v>
      </c>
      <c r="AG154" s="27" t="s">
        <v>721</v>
      </c>
      <c r="AH154" s="27" t="s">
        <v>66</v>
      </c>
      <c r="AI154" s="27" t="s">
        <v>66</v>
      </c>
      <c r="AJ154" s="27" t="s">
        <v>66</v>
      </c>
      <c r="AK154" s="27" t="s">
        <v>66</v>
      </c>
      <c r="AL154" s="27" t="s">
        <v>66</v>
      </c>
      <c r="AM154" s="27" t="s">
        <v>66</v>
      </c>
      <c r="AN154" s="27" t="s">
        <v>66</v>
      </c>
      <c r="AO154" s="27" t="s">
        <v>66</v>
      </c>
      <c r="AP154" s="27" t="s">
        <v>66</v>
      </c>
      <c r="AQ154" s="28" t="s">
        <v>41</v>
      </c>
      <c r="AR154" s="28" t="s">
        <v>41</v>
      </c>
      <c r="AS154" s="27" t="s">
        <v>41</v>
      </c>
      <c r="AT154" s="28" t="s">
        <v>41</v>
      </c>
      <c r="AU154" s="27" t="s">
        <v>41</v>
      </c>
      <c r="AV154" s="27" t="s">
        <v>41</v>
      </c>
      <c r="AW154" s="27" t="s">
        <v>66</v>
      </c>
      <c r="AX154" s="27" t="s">
        <v>41</v>
      </c>
      <c r="AY154" s="28" t="s">
        <v>66</v>
      </c>
      <c r="AZ154" s="28" t="s">
        <v>66</v>
      </c>
      <c r="BA154" s="28" t="s">
        <v>66</v>
      </c>
      <c r="BB154" s="26" t="s">
        <v>66</v>
      </c>
      <c r="BC154" s="27" t="s">
        <v>66</v>
      </c>
      <c r="BD154" s="93" t="s">
        <v>66</v>
      </c>
      <c r="BE154" s="28"/>
      <c r="BF154" s="301"/>
    </row>
    <row r="155" spans="1:58" ht="20.25" customHeight="1">
      <c r="A155" s="27">
        <v>154</v>
      </c>
      <c r="B155" s="212" t="str">
        <f ca="1"/>
        <v>2025213611</v>
      </c>
      <c r="C155" s="325" t="str">
        <f ca="1"/>
        <v>Indusind General Insurance Co Ltd</v>
      </c>
      <c r="D155" s="212" t="str">
        <f ca="1"/>
        <v>MACT</v>
      </c>
      <c r="E155" s="212" t="str">
        <f ca="1"/>
        <v>R001-1154-SS-2025</v>
      </c>
      <c r="F155" s="303">
        <f ca="1"/>
        <v>45997</v>
      </c>
      <c r="G155" s="212" t="str">
        <f ca="1"/>
        <v>Dec-25</v>
      </c>
      <c r="H155" s="27" t="s">
        <v>718</v>
      </c>
      <c r="I155" s="29"/>
      <c r="J155" s="353">
        <f t="shared" ca="1" si="9"/>
        <v>46038</v>
      </c>
      <c r="K155" s="212">
        <f t="shared" ca="1" si="10"/>
        <v>30</v>
      </c>
      <c r="L155" s="27" t="str">
        <f t="shared" ca="1" si="11"/>
        <v>AT</v>
      </c>
      <c r="M155" s="212" t="s">
        <v>704</v>
      </c>
      <c r="N155" s="212" t="s">
        <v>720</v>
      </c>
      <c r="O155" s="212" t="s">
        <v>794</v>
      </c>
      <c r="P155" s="214" t="s">
        <v>1640</v>
      </c>
      <c r="Q155" s="213" t="s">
        <v>1641</v>
      </c>
      <c r="R155" s="215" t="s">
        <v>1642</v>
      </c>
      <c r="S155" s="213" t="s">
        <v>741</v>
      </c>
      <c r="T155" s="212" t="s">
        <v>721</v>
      </c>
      <c r="U155" s="213" t="s">
        <v>66</v>
      </c>
      <c r="V155" s="213" t="s">
        <v>66</v>
      </c>
      <c r="W155" s="213" t="s">
        <v>66</v>
      </c>
      <c r="X155" s="213" t="s">
        <v>41</v>
      </c>
      <c r="Y155" s="213" t="s">
        <v>1643</v>
      </c>
      <c r="Z155" s="215" t="s">
        <v>1644</v>
      </c>
      <c r="AA155" s="213" t="s">
        <v>913</v>
      </c>
      <c r="AB155" s="212" t="s">
        <v>41</v>
      </c>
      <c r="AC155" s="212" t="s">
        <v>794</v>
      </c>
      <c r="AD155" s="213" t="s">
        <v>66</v>
      </c>
      <c r="AE155" s="213" t="s">
        <v>66</v>
      </c>
      <c r="AF155" s="212" t="s">
        <v>66</v>
      </c>
      <c r="AG155" s="212" t="s">
        <v>794</v>
      </c>
      <c r="AH155" s="212" t="s">
        <v>41</v>
      </c>
      <c r="AI155" s="212" t="s">
        <v>41</v>
      </c>
      <c r="AJ155" s="212" t="s">
        <v>41</v>
      </c>
      <c r="AK155" s="212" t="s">
        <v>41</v>
      </c>
      <c r="AL155" s="212" t="s">
        <v>41</v>
      </c>
      <c r="AM155" s="212" t="s">
        <v>41</v>
      </c>
      <c r="AN155" s="212" t="s">
        <v>41</v>
      </c>
      <c r="AO155" s="212" t="s">
        <v>41</v>
      </c>
      <c r="AP155" s="212" t="s">
        <v>66</v>
      </c>
      <c r="AQ155" s="215" t="s">
        <v>1645</v>
      </c>
      <c r="AR155" s="213" t="s">
        <v>926</v>
      </c>
      <c r="AS155" s="212" t="s">
        <v>794</v>
      </c>
      <c r="AT155" s="213" t="s">
        <v>1646</v>
      </c>
      <c r="AU155" s="214" t="s">
        <v>1647</v>
      </c>
      <c r="AV155" s="212" t="s">
        <v>926</v>
      </c>
      <c r="AW155" s="212" t="s">
        <v>41</v>
      </c>
      <c r="AX155" s="212" t="s">
        <v>794</v>
      </c>
      <c r="AY155" s="213" t="s">
        <v>66</v>
      </c>
      <c r="AZ155" s="213" t="s">
        <v>66</v>
      </c>
      <c r="BA155" s="213" t="s">
        <v>66</v>
      </c>
      <c r="BB155" s="214" t="s">
        <v>41</v>
      </c>
      <c r="BC155" s="212" t="s">
        <v>66</v>
      </c>
      <c r="BD155" s="215" t="s">
        <v>716</v>
      </c>
      <c r="BE155" s="356"/>
      <c r="BF155" s="28"/>
    </row>
    <row r="156" spans="1:58" ht="20.25" customHeight="1">
      <c r="A156" s="27">
        <v>155</v>
      </c>
      <c r="B156" s="27" t="str">
        <f ca="1"/>
        <v>2719063</v>
      </c>
      <c r="C156" s="137" t="str">
        <f ca="1"/>
        <v>SBI General Insurance Company Ltd</v>
      </c>
      <c r="D156" s="27" t="str">
        <f ca="1"/>
        <v>MACT</v>
      </c>
      <c r="E156" s="27" t="str">
        <f ca="1"/>
        <v>S002-1155-SS-2025</v>
      </c>
      <c r="F156" s="206">
        <f ca="1"/>
        <v>45999</v>
      </c>
      <c r="G156" s="27" t="str">
        <f ca="1"/>
        <v>Dec-25</v>
      </c>
      <c r="H156" s="29">
        <v>46020</v>
      </c>
      <c r="I156" s="29" t="str">
        <f>TEXT(H156,"mmm-yy")</f>
        <v>Dec-25</v>
      </c>
      <c r="J156" s="29">
        <f t="shared" ca="1" si="9"/>
        <v>46041</v>
      </c>
      <c r="K156" s="27">
        <f t="shared" ca="1" si="10"/>
        <v>21</v>
      </c>
      <c r="L156" s="27" t="str">
        <f t="shared" ca="1" si="11"/>
        <v>AT</v>
      </c>
      <c r="M156" s="27" t="s">
        <v>1524</v>
      </c>
      <c r="N156" s="27" t="s">
        <v>705</v>
      </c>
      <c r="O156" s="27" t="s">
        <v>706</v>
      </c>
      <c r="P156" s="27" t="s">
        <v>1648</v>
      </c>
      <c r="Q156" s="28" t="s">
        <v>1649</v>
      </c>
      <c r="R156" s="28" t="s">
        <v>41</v>
      </c>
      <c r="S156" s="28" t="s">
        <v>41</v>
      </c>
      <c r="T156" s="27" t="s">
        <v>66</v>
      </c>
      <c r="U156" s="28" t="s">
        <v>66</v>
      </c>
      <c r="V156" s="28" t="s">
        <v>66</v>
      </c>
      <c r="W156" s="28" t="s">
        <v>66</v>
      </c>
      <c r="X156" s="28" t="s">
        <v>66</v>
      </c>
      <c r="Y156" s="28" t="s">
        <v>66</v>
      </c>
      <c r="Z156" s="28" t="s">
        <v>66</v>
      </c>
      <c r="AA156" s="28" t="s">
        <v>41</v>
      </c>
      <c r="AB156" s="27" t="s">
        <v>66</v>
      </c>
      <c r="AC156" s="27" t="s">
        <v>66</v>
      </c>
      <c r="AD156" s="28" t="s">
        <v>66</v>
      </c>
      <c r="AE156" s="28" t="s">
        <v>66</v>
      </c>
      <c r="AF156" s="27" t="s">
        <v>66</v>
      </c>
      <c r="AG156" s="27" t="s">
        <v>41</v>
      </c>
      <c r="AH156" s="27" t="s">
        <v>41</v>
      </c>
      <c r="AI156" s="27" t="s">
        <v>41</v>
      </c>
      <c r="AJ156" s="27" t="s">
        <v>41</v>
      </c>
      <c r="AK156" s="27" t="s">
        <v>41</v>
      </c>
      <c r="AL156" s="27" t="s">
        <v>41</v>
      </c>
      <c r="AM156" s="27" t="s">
        <v>41</v>
      </c>
      <c r="AN156" s="27" t="s">
        <v>41</v>
      </c>
      <c r="AO156" s="27" t="s">
        <v>41</v>
      </c>
      <c r="AP156" s="27" t="s">
        <v>66</v>
      </c>
      <c r="AQ156" s="28" t="s">
        <v>66</v>
      </c>
      <c r="AR156" s="28" t="s">
        <v>41</v>
      </c>
      <c r="AS156" s="27" t="s">
        <v>66</v>
      </c>
      <c r="AT156" s="28" t="s">
        <v>41</v>
      </c>
      <c r="AU156" s="27" t="s">
        <v>41</v>
      </c>
      <c r="AV156" s="27" t="s">
        <v>41</v>
      </c>
      <c r="AW156" s="27" t="s">
        <v>66</v>
      </c>
      <c r="AX156" s="27" t="s">
        <v>41</v>
      </c>
      <c r="AY156" s="28" t="s">
        <v>1650</v>
      </c>
      <c r="AZ156" s="93" t="s">
        <v>1651</v>
      </c>
      <c r="BA156" s="28" t="s">
        <v>1550</v>
      </c>
      <c r="BB156" s="26" t="s">
        <v>706</v>
      </c>
      <c r="BC156" s="27" t="s">
        <v>66</v>
      </c>
      <c r="BD156" s="93" t="s">
        <v>716</v>
      </c>
      <c r="BF156" s="28"/>
    </row>
    <row r="157" spans="1:58" ht="20.25" customHeight="1">
      <c r="A157" s="27">
        <v>156</v>
      </c>
      <c r="B157" s="27" t="str">
        <f ca="1"/>
        <v>2719062</v>
      </c>
      <c r="C157" s="137" t="str">
        <f ca="1"/>
        <v>SBI General Insurance Company Ltd</v>
      </c>
      <c r="D157" s="27" t="str">
        <f ca="1"/>
        <v>MACT</v>
      </c>
      <c r="E157" s="27" t="str">
        <f ca="1"/>
        <v>S002-1156-SS-2025</v>
      </c>
      <c r="F157" s="206">
        <f ca="1"/>
        <v>45999</v>
      </c>
      <c r="G157" s="27" t="str">
        <f ca="1"/>
        <v>Dec-25</v>
      </c>
      <c r="H157" s="29">
        <v>46020</v>
      </c>
      <c r="I157" s="29" t="str">
        <f>TEXT(H157,"mmm-yy")</f>
        <v>Dec-25</v>
      </c>
      <c r="J157" s="29">
        <f t="shared" ca="1" si="9"/>
        <v>46041</v>
      </c>
      <c r="K157" s="27">
        <f t="shared" ca="1" si="10"/>
        <v>21</v>
      </c>
      <c r="L157" s="27" t="str">
        <f t="shared" ca="1" si="11"/>
        <v>AT</v>
      </c>
      <c r="M157" s="27" t="s">
        <v>1524</v>
      </c>
      <c r="N157" s="27" t="s">
        <v>705</v>
      </c>
      <c r="O157" s="27" t="s">
        <v>706</v>
      </c>
      <c r="P157" s="27"/>
      <c r="Q157" s="28" t="s">
        <v>1652</v>
      </c>
      <c r="R157" s="28" t="s">
        <v>41</v>
      </c>
      <c r="S157" s="28" t="s">
        <v>41</v>
      </c>
      <c r="T157" s="27" t="s">
        <v>66</v>
      </c>
      <c r="U157" s="28" t="s">
        <v>66</v>
      </c>
      <c r="V157" s="28" t="s">
        <v>66</v>
      </c>
      <c r="W157" s="28" t="s">
        <v>66</v>
      </c>
      <c r="X157" s="28" t="s">
        <v>66</v>
      </c>
      <c r="Y157" s="28" t="s">
        <v>66</v>
      </c>
      <c r="Z157" s="28" t="s">
        <v>66</v>
      </c>
      <c r="AA157" s="28" t="s">
        <v>41</v>
      </c>
      <c r="AB157" s="27" t="s">
        <v>66</v>
      </c>
      <c r="AC157" s="27" t="s">
        <v>66</v>
      </c>
      <c r="AD157" s="28" t="s">
        <v>66</v>
      </c>
      <c r="AE157" s="28" t="s">
        <v>66</v>
      </c>
      <c r="AF157" s="27" t="s">
        <v>66</v>
      </c>
      <c r="AG157" s="27" t="s">
        <v>41</v>
      </c>
      <c r="AH157" s="27" t="s">
        <v>41</v>
      </c>
      <c r="AI157" s="27" t="s">
        <v>41</v>
      </c>
      <c r="AJ157" s="27" t="s">
        <v>41</v>
      </c>
      <c r="AK157" s="27" t="s">
        <v>41</v>
      </c>
      <c r="AL157" s="27" t="s">
        <v>41</v>
      </c>
      <c r="AM157" s="27" t="s">
        <v>41</v>
      </c>
      <c r="AN157" s="27" t="s">
        <v>41</v>
      </c>
      <c r="AO157" s="27" t="s">
        <v>41</v>
      </c>
      <c r="AP157" s="27" t="s">
        <v>66</v>
      </c>
      <c r="AQ157" s="28" t="s">
        <v>66</v>
      </c>
      <c r="AR157" s="28" t="s">
        <v>41</v>
      </c>
      <c r="AS157" s="27" t="s">
        <v>66</v>
      </c>
      <c r="AT157" s="28" t="s">
        <v>41</v>
      </c>
      <c r="AU157" s="27" t="s">
        <v>41</v>
      </c>
      <c r="AV157" s="27" t="s">
        <v>41</v>
      </c>
      <c r="AW157" s="27" t="s">
        <v>66</v>
      </c>
      <c r="AX157" s="27" t="s">
        <v>41</v>
      </c>
      <c r="AY157" s="28" t="s">
        <v>1650</v>
      </c>
      <c r="AZ157" s="93" t="s">
        <v>1651</v>
      </c>
      <c r="BA157" s="28" t="s">
        <v>1550</v>
      </c>
      <c r="BB157" s="26" t="s">
        <v>706</v>
      </c>
      <c r="BC157" s="27" t="s">
        <v>66</v>
      </c>
      <c r="BD157" s="93" t="s">
        <v>716</v>
      </c>
      <c r="BE157" s="301"/>
      <c r="BF157" s="28"/>
    </row>
    <row r="158" spans="1:58" ht="20.25" customHeight="1">
      <c r="A158" s="27">
        <v>157</v>
      </c>
      <c r="B158" s="27" t="str">
        <f ca="1"/>
        <v>2687368</v>
      </c>
      <c r="C158" s="137" t="str">
        <f ca="1"/>
        <v>SBI General Insurance Company Ltd</v>
      </c>
      <c r="D158" s="27" t="str">
        <f ca="1"/>
        <v>MACT</v>
      </c>
      <c r="E158" s="27" t="str">
        <f ca="1"/>
        <v>S002-1157-SS-2025</v>
      </c>
      <c r="F158" s="206">
        <f ca="1"/>
        <v>45999</v>
      </c>
      <c r="G158" s="27" t="str">
        <f ca="1"/>
        <v>Dec-25</v>
      </c>
      <c r="H158" s="29">
        <v>46006</v>
      </c>
      <c r="I158" s="29" t="str">
        <f t="shared" si="8"/>
        <v>Dec-25</v>
      </c>
      <c r="J158" s="29">
        <f t="shared" ca="1" si="9"/>
        <v>46041</v>
      </c>
      <c r="K158" s="27">
        <f t="shared" ca="1" si="10"/>
        <v>7</v>
      </c>
      <c r="L158" s="27" t="str">
        <f t="shared" ca="1" si="11"/>
        <v>WT</v>
      </c>
      <c r="M158" s="27" t="s">
        <v>1524</v>
      </c>
      <c r="N158" s="27" t="s">
        <v>1051</v>
      </c>
      <c r="O158" s="27" t="s">
        <v>706</v>
      </c>
      <c r="P158" s="27"/>
      <c r="Q158" s="28" t="s">
        <v>1653</v>
      </c>
      <c r="R158" s="28" t="s">
        <v>41</v>
      </c>
      <c r="S158" s="28" t="s">
        <v>41</v>
      </c>
      <c r="T158" s="27" t="s">
        <v>66</v>
      </c>
      <c r="U158" s="28" t="s">
        <v>66</v>
      </c>
      <c r="V158" s="28" t="s">
        <v>66</v>
      </c>
      <c r="W158" s="28" t="s">
        <v>66</v>
      </c>
      <c r="X158" s="28" t="s">
        <v>66</v>
      </c>
      <c r="Y158" s="28" t="s">
        <v>66</v>
      </c>
      <c r="Z158" s="28" t="s">
        <v>66</v>
      </c>
      <c r="AA158" s="28" t="s">
        <v>41</v>
      </c>
      <c r="AB158" s="27" t="s">
        <v>66</v>
      </c>
      <c r="AC158" s="27" t="s">
        <v>66</v>
      </c>
      <c r="AD158" s="28" t="s">
        <v>66</v>
      </c>
      <c r="AE158" s="28" t="s">
        <v>66</v>
      </c>
      <c r="AF158" s="27" t="s">
        <v>66</v>
      </c>
      <c r="AG158" s="27" t="s">
        <v>41</v>
      </c>
      <c r="AH158" s="27" t="s">
        <v>41</v>
      </c>
      <c r="AI158" s="27" t="s">
        <v>41</v>
      </c>
      <c r="AJ158" s="27" t="s">
        <v>41</v>
      </c>
      <c r="AK158" s="27" t="s">
        <v>41</v>
      </c>
      <c r="AL158" s="27" t="s">
        <v>41</v>
      </c>
      <c r="AM158" s="27" t="s">
        <v>41</v>
      </c>
      <c r="AN158" s="27" t="s">
        <v>41</v>
      </c>
      <c r="AO158" s="27" t="s">
        <v>41</v>
      </c>
      <c r="AP158" s="27" t="s">
        <v>66</v>
      </c>
      <c r="AQ158" s="28" t="s">
        <v>66</v>
      </c>
      <c r="AR158" s="28" t="s">
        <v>41</v>
      </c>
      <c r="AS158" s="27" t="s">
        <v>66</v>
      </c>
      <c r="AT158" s="28" t="s">
        <v>41</v>
      </c>
      <c r="AU158" s="27" t="s">
        <v>41</v>
      </c>
      <c r="AV158" s="27" t="s">
        <v>41</v>
      </c>
      <c r="AW158" s="27" t="s">
        <v>66</v>
      </c>
      <c r="AX158" s="27" t="s">
        <v>41</v>
      </c>
      <c r="AY158" s="93" t="s">
        <v>1654</v>
      </c>
      <c r="AZ158" s="93" t="s">
        <v>1655</v>
      </c>
      <c r="BA158" s="28" t="s">
        <v>709</v>
      </c>
      <c r="BB158" s="26" t="s">
        <v>721</v>
      </c>
      <c r="BC158" s="27" t="s">
        <v>66</v>
      </c>
      <c r="BD158" s="93" t="s">
        <v>716</v>
      </c>
      <c r="BE158" s="301"/>
      <c r="BF158" s="28"/>
    </row>
    <row r="159" spans="1:58" ht="20.25" customHeight="1">
      <c r="A159" s="27">
        <v>158</v>
      </c>
      <c r="B159" s="212" t="str">
        <f ca="1"/>
        <v>2675206</v>
      </c>
      <c r="C159" s="325" t="str">
        <f ca="1"/>
        <v>SBI General Insurance Company Ltd</v>
      </c>
      <c r="D159" s="212" t="str">
        <f ca="1"/>
        <v>MACT</v>
      </c>
      <c r="E159" s="212" t="str">
        <f ca="1"/>
        <v>S002-1158-SS-2025</v>
      </c>
      <c r="F159" s="303">
        <f ca="1"/>
        <v>45999</v>
      </c>
      <c r="G159" s="212" t="str">
        <f ca="1"/>
        <v>Dec-25</v>
      </c>
      <c r="H159" s="29">
        <v>46006</v>
      </c>
      <c r="I159" s="29" t="str">
        <f t="shared" si="8"/>
        <v>Dec-25</v>
      </c>
      <c r="J159" s="29">
        <f t="shared" ca="1" si="9"/>
        <v>46041</v>
      </c>
      <c r="K159" s="27">
        <f t="shared" ca="1" si="10"/>
        <v>7</v>
      </c>
      <c r="L159" s="27" t="str">
        <f t="shared" ca="1" si="11"/>
        <v>WT</v>
      </c>
      <c r="M159" s="27" t="s">
        <v>1524</v>
      </c>
      <c r="N159" s="27" t="s">
        <v>1051</v>
      </c>
      <c r="O159" s="27" t="s">
        <v>706</v>
      </c>
      <c r="P159" s="27"/>
      <c r="Q159" s="28" t="s">
        <v>1656</v>
      </c>
      <c r="R159" s="28" t="s">
        <v>41</v>
      </c>
      <c r="S159" s="28" t="s">
        <v>41</v>
      </c>
      <c r="T159" s="27" t="s">
        <v>66</v>
      </c>
      <c r="U159" s="28" t="s">
        <v>66</v>
      </c>
      <c r="V159" s="28" t="s">
        <v>66</v>
      </c>
      <c r="W159" s="28" t="s">
        <v>66</v>
      </c>
      <c r="X159" s="28" t="s">
        <v>66</v>
      </c>
      <c r="Y159" s="28" t="s">
        <v>66</v>
      </c>
      <c r="Z159" s="28" t="s">
        <v>66</v>
      </c>
      <c r="AA159" s="28" t="s">
        <v>41</v>
      </c>
      <c r="AB159" s="27" t="s">
        <v>66</v>
      </c>
      <c r="AC159" s="27" t="s">
        <v>66</v>
      </c>
      <c r="AD159" s="28" t="s">
        <v>66</v>
      </c>
      <c r="AE159" s="28" t="s">
        <v>66</v>
      </c>
      <c r="AF159" s="27" t="s">
        <v>66</v>
      </c>
      <c r="AG159" s="27" t="s">
        <v>41</v>
      </c>
      <c r="AH159" s="27" t="s">
        <v>41</v>
      </c>
      <c r="AI159" s="27" t="s">
        <v>41</v>
      </c>
      <c r="AJ159" s="27" t="s">
        <v>41</v>
      </c>
      <c r="AK159" s="27" t="s">
        <v>41</v>
      </c>
      <c r="AL159" s="27" t="s">
        <v>41</v>
      </c>
      <c r="AM159" s="27" t="s">
        <v>41</v>
      </c>
      <c r="AN159" s="27" t="s">
        <v>41</v>
      </c>
      <c r="AO159" s="27" t="s">
        <v>41</v>
      </c>
      <c r="AP159" s="27" t="s">
        <v>66</v>
      </c>
      <c r="AQ159" s="28" t="s">
        <v>66</v>
      </c>
      <c r="AR159" s="28" t="s">
        <v>41</v>
      </c>
      <c r="AS159" s="27" t="s">
        <v>66</v>
      </c>
      <c r="AT159" s="28" t="s">
        <v>41</v>
      </c>
      <c r="AU159" s="27" t="s">
        <v>41</v>
      </c>
      <c r="AV159" s="27" t="s">
        <v>41</v>
      </c>
      <c r="AW159" s="27" t="s">
        <v>66</v>
      </c>
      <c r="AX159" s="27" t="s">
        <v>41</v>
      </c>
      <c r="AY159" s="215" t="s">
        <v>1657</v>
      </c>
      <c r="AZ159" s="213" t="s">
        <v>1658</v>
      </c>
      <c r="BA159" s="28" t="s">
        <v>709</v>
      </c>
      <c r="BB159" s="26" t="s">
        <v>706</v>
      </c>
      <c r="BC159" s="27" t="s">
        <v>66</v>
      </c>
      <c r="BD159" s="93" t="s">
        <v>716</v>
      </c>
      <c r="BE159" s="28"/>
      <c r="BF159" s="28"/>
    </row>
    <row r="160" spans="1:58" ht="20.25" customHeight="1">
      <c r="A160" s="27">
        <v>159</v>
      </c>
      <c r="B160" s="27" t="str">
        <f ca="1"/>
        <v>2688502</v>
      </c>
      <c r="C160" s="137" t="str">
        <f ca="1"/>
        <v>SBI General Insurance Company Ltd</v>
      </c>
      <c r="D160" s="27" t="str">
        <f ca="1"/>
        <v>MACT</v>
      </c>
      <c r="E160" s="27" t="str">
        <f ca="1"/>
        <v>S002-1159-SS-2025</v>
      </c>
      <c r="F160" s="206">
        <f ca="1"/>
        <v>45999</v>
      </c>
      <c r="G160" s="27" t="str">
        <f ca="1"/>
        <v>Dec-25</v>
      </c>
      <c r="H160" s="29">
        <v>46003</v>
      </c>
      <c r="I160" s="29" t="str">
        <f t="shared" si="8"/>
        <v>Dec-25</v>
      </c>
      <c r="J160" s="29">
        <f t="shared" ca="1" si="9"/>
        <v>46041</v>
      </c>
      <c r="K160" s="27">
        <f t="shared" ca="1" si="10"/>
        <v>4</v>
      </c>
      <c r="L160" s="27" t="str">
        <f t="shared" ca="1" si="11"/>
        <v>WT</v>
      </c>
      <c r="M160" s="27" t="s">
        <v>1524</v>
      </c>
      <c r="N160" s="27" t="s">
        <v>705</v>
      </c>
      <c r="O160" s="27" t="s">
        <v>706</v>
      </c>
      <c r="P160" s="27"/>
      <c r="Q160" s="28" t="s">
        <v>1659</v>
      </c>
      <c r="R160" s="28" t="s">
        <v>41</v>
      </c>
      <c r="S160" s="28" t="s">
        <v>41</v>
      </c>
      <c r="T160" s="27" t="s">
        <v>66</v>
      </c>
      <c r="U160" s="28" t="s">
        <v>66</v>
      </c>
      <c r="V160" s="28" t="s">
        <v>66</v>
      </c>
      <c r="W160" s="28" t="s">
        <v>66</v>
      </c>
      <c r="X160" s="28" t="s">
        <v>66</v>
      </c>
      <c r="Y160" s="28" t="s">
        <v>66</v>
      </c>
      <c r="Z160" s="28" t="s">
        <v>66</v>
      </c>
      <c r="AA160" s="28" t="s">
        <v>41</v>
      </c>
      <c r="AB160" s="27" t="s">
        <v>66</v>
      </c>
      <c r="AC160" s="27" t="s">
        <v>66</v>
      </c>
      <c r="AD160" s="28" t="s">
        <v>66</v>
      </c>
      <c r="AE160" s="28" t="s">
        <v>66</v>
      </c>
      <c r="AF160" s="27" t="s">
        <v>66</v>
      </c>
      <c r="AG160" s="27" t="s">
        <v>41</v>
      </c>
      <c r="AH160" s="27" t="s">
        <v>41</v>
      </c>
      <c r="AI160" s="27" t="s">
        <v>41</v>
      </c>
      <c r="AJ160" s="27" t="s">
        <v>41</v>
      </c>
      <c r="AK160" s="27" t="s">
        <v>41</v>
      </c>
      <c r="AL160" s="27" t="s">
        <v>41</v>
      </c>
      <c r="AM160" s="27" t="s">
        <v>41</v>
      </c>
      <c r="AN160" s="27" t="s">
        <v>41</v>
      </c>
      <c r="AO160" s="27" t="s">
        <v>41</v>
      </c>
      <c r="AP160" s="27" t="s">
        <v>66</v>
      </c>
      <c r="AQ160" s="28" t="s">
        <v>66</v>
      </c>
      <c r="AR160" s="28" t="s">
        <v>41</v>
      </c>
      <c r="AS160" s="27" t="s">
        <v>66</v>
      </c>
      <c r="AT160" s="28" t="s">
        <v>41</v>
      </c>
      <c r="AU160" s="27" t="s">
        <v>41</v>
      </c>
      <c r="AV160" s="27" t="s">
        <v>41</v>
      </c>
      <c r="AW160" s="27" t="s">
        <v>66</v>
      </c>
      <c r="AX160" s="27" t="s">
        <v>41</v>
      </c>
      <c r="AY160" s="215" t="s">
        <v>1660</v>
      </c>
      <c r="AZ160" s="215" t="s">
        <v>1661</v>
      </c>
      <c r="BA160" s="28" t="s">
        <v>1662</v>
      </c>
      <c r="BB160" s="26" t="s">
        <v>706</v>
      </c>
      <c r="BC160" s="27" t="s">
        <v>66</v>
      </c>
      <c r="BD160" s="93" t="s">
        <v>716</v>
      </c>
      <c r="BE160" s="28"/>
      <c r="BF160" s="28"/>
    </row>
    <row r="161" spans="1:58" ht="20.25" customHeight="1">
      <c r="A161" s="27">
        <v>160</v>
      </c>
      <c r="B161" s="27" t="str">
        <f ca="1"/>
        <v>2688503</v>
      </c>
      <c r="C161" s="137" t="str">
        <f ca="1"/>
        <v>SBI General Insurance Company Ltd</v>
      </c>
      <c r="D161" s="27" t="str">
        <f ca="1"/>
        <v>MACT</v>
      </c>
      <c r="E161" s="27" t="str">
        <f ca="1"/>
        <v>S002-1160-SS-2025</v>
      </c>
      <c r="F161" s="206">
        <f ca="1"/>
        <v>45999</v>
      </c>
      <c r="G161" s="27" t="str">
        <f ca="1"/>
        <v>Dec-25</v>
      </c>
      <c r="H161" s="29">
        <v>46003</v>
      </c>
      <c r="I161" s="29" t="str">
        <f t="shared" si="8"/>
        <v>Dec-25</v>
      </c>
      <c r="J161" s="29">
        <f t="shared" ca="1" si="9"/>
        <v>46041</v>
      </c>
      <c r="K161" s="27">
        <f t="shared" ca="1" si="10"/>
        <v>4</v>
      </c>
      <c r="L161" s="27" t="str">
        <f t="shared" ca="1" si="11"/>
        <v>WT</v>
      </c>
      <c r="M161" s="27" t="s">
        <v>1524</v>
      </c>
      <c r="N161" s="27" t="s">
        <v>705</v>
      </c>
      <c r="O161" s="27" t="s">
        <v>706</v>
      </c>
      <c r="P161" s="27"/>
      <c r="Q161" s="28" t="s">
        <v>1663</v>
      </c>
      <c r="R161" s="28" t="s">
        <v>41</v>
      </c>
      <c r="S161" s="28" t="s">
        <v>41</v>
      </c>
      <c r="T161" s="27" t="s">
        <v>66</v>
      </c>
      <c r="U161" s="28" t="s">
        <v>66</v>
      </c>
      <c r="V161" s="28" t="s">
        <v>66</v>
      </c>
      <c r="W161" s="28" t="s">
        <v>66</v>
      </c>
      <c r="X161" s="28" t="s">
        <v>66</v>
      </c>
      <c r="Y161" s="28" t="s">
        <v>66</v>
      </c>
      <c r="Z161" s="28" t="s">
        <v>66</v>
      </c>
      <c r="AA161" s="28" t="s">
        <v>41</v>
      </c>
      <c r="AB161" s="27" t="s">
        <v>66</v>
      </c>
      <c r="AC161" s="27" t="s">
        <v>66</v>
      </c>
      <c r="AD161" s="28" t="s">
        <v>66</v>
      </c>
      <c r="AE161" s="28" t="s">
        <v>66</v>
      </c>
      <c r="AF161" s="27" t="s">
        <v>66</v>
      </c>
      <c r="AG161" s="27" t="s">
        <v>41</v>
      </c>
      <c r="AH161" s="27" t="s">
        <v>41</v>
      </c>
      <c r="AI161" s="27" t="s">
        <v>41</v>
      </c>
      <c r="AJ161" s="27" t="s">
        <v>41</v>
      </c>
      <c r="AK161" s="27" t="s">
        <v>41</v>
      </c>
      <c r="AL161" s="27" t="s">
        <v>41</v>
      </c>
      <c r="AM161" s="27" t="s">
        <v>41</v>
      </c>
      <c r="AN161" s="27" t="s">
        <v>41</v>
      </c>
      <c r="AO161" s="27" t="s">
        <v>41</v>
      </c>
      <c r="AP161" s="27" t="s">
        <v>66</v>
      </c>
      <c r="AQ161" s="28" t="s">
        <v>66</v>
      </c>
      <c r="AR161" s="28" t="s">
        <v>41</v>
      </c>
      <c r="AS161" s="27" t="s">
        <v>66</v>
      </c>
      <c r="AT161" s="28" t="s">
        <v>41</v>
      </c>
      <c r="AU161" s="27" t="s">
        <v>41</v>
      </c>
      <c r="AV161" s="27" t="s">
        <v>41</v>
      </c>
      <c r="AW161" s="27" t="s">
        <v>66</v>
      </c>
      <c r="AX161" s="27" t="s">
        <v>41</v>
      </c>
      <c r="AY161" s="215" t="s">
        <v>1664</v>
      </c>
      <c r="AZ161" s="215" t="s">
        <v>1665</v>
      </c>
      <c r="BA161" s="28" t="s">
        <v>709</v>
      </c>
      <c r="BB161" s="26" t="s">
        <v>706</v>
      </c>
      <c r="BC161" s="27" t="s">
        <v>66</v>
      </c>
      <c r="BD161" s="93" t="s">
        <v>716</v>
      </c>
      <c r="BE161" s="28"/>
      <c r="BF161" s="28"/>
    </row>
    <row r="162" spans="1:58" ht="20.25" customHeight="1">
      <c r="A162" s="27">
        <v>161</v>
      </c>
      <c r="B162" s="27" t="str">
        <f ca="1"/>
        <v>2531991</v>
      </c>
      <c r="C162" s="137" t="str">
        <f ca="1"/>
        <v>SBI General Insurance Company Ltd</v>
      </c>
      <c r="D162" s="27" t="str">
        <f ca="1"/>
        <v>MACT</v>
      </c>
      <c r="E162" s="27" t="str">
        <f ca="1"/>
        <v>S002-1161-SS-2025</v>
      </c>
      <c r="F162" s="206">
        <f ca="1"/>
        <v>45999</v>
      </c>
      <c r="G162" s="27" t="str">
        <f ca="1"/>
        <v>Dec-25</v>
      </c>
      <c r="H162" s="29">
        <v>46013</v>
      </c>
      <c r="I162" s="29" t="str">
        <f t="shared" si="8"/>
        <v>Dec-25</v>
      </c>
      <c r="J162" s="29">
        <f t="shared" ca="1" si="9"/>
        <v>46041</v>
      </c>
      <c r="K162" s="27">
        <f t="shared" ca="1" si="10"/>
        <v>14</v>
      </c>
      <c r="L162" s="27" t="str">
        <f t="shared" ca="1" si="11"/>
        <v>WT</v>
      </c>
      <c r="M162" s="27" t="s">
        <v>1524</v>
      </c>
      <c r="N162" s="27" t="s">
        <v>705</v>
      </c>
      <c r="O162" s="27" t="s">
        <v>706</v>
      </c>
      <c r="P162" s="27"/>
      <c r="Q162" s="28" t="s">
        <v>1666</v>
      </c>
      <c r="R162" s="28" t="s">
        <v>41</v>
      </c>
      <c r="S162" s="28" t="s">
        <v>41</v>
      </c>
      <c r="T162" s="27" t="s">
        <v>66</v>
      </c>
      <c r="U162" s="28" t="s">
        <v>66</v>
      </c>
      <c r="V162" s="28" t="s">
        <v>66</v>
      </c>
      <c r="W162" s="28" t="s">
        <v>66</v>
      </c>
      <c r="X162" s="28" t="s">
        <v>66</v>
      </c>
      <c r="Y162" s="28" t="s">
        <v>66</v>
      </c>
      <c r="Z162" s="28" t="s">
        <v>66</v>
      </c>
      <c r="AA162" s="28" t="s">
        <v>41</v>
      </c>
      <c r="AB162" s="27" t="s">
        <v>66</v>
      </c>
      <c r="AC162" s="27" t="s">
        <v>66</v>
      </c>
      <c r="AD162" s="28" t="s">
        <v>66</v>
      </c>
      <c r="AE162" s="28" t="s">
        <v>66</v>
      </c>
      <c r="AF162" s="27" t="s">
        <v>66</v>
      </c>
      <c r="AG162" s="27" t="s">
        <v>41</v>
      </c>
      <c r="AH162" s="27" t="s">
        <v>41</v>
      </c>
      <c r="AI162" s="27" t="s">
        <v>41</v>
      </c>
      <c r="AJ162" s="27" t="s">
        <v>41</v>
      </c>
      <c r="AK162" s="27" t="s">
        <v>41</v>
      </c>
      <c r="AL162" s="27" t="s">
        <v>41</v>
      </c>
      <c r="AM162" s="27" t="s">
        <v>41</v>
      </c>
      <c r="AN162" s="27" t="s">
        <v>41</v>
      </c>
      <c r="AO162" s="27" t="s">
        <v>41</v>
      </c>
      <c r="AP162" s="27" t="s">
        <v>66</v>
      </c>
      <c r="AQ162" s="28" t="s">
        <v>66</v>
      </c>
      <c r="AR162" s="28" t="s">
        <v>41</v>
      </c>
      <c r="AS162" s="27" t="s">
        <v>66</v>
      </c>
      <c r="AT162" s="28" t="s">
        <v>41</v>
      </c>
      <c r="AU162" s="27" t="s">
        <v>41</v>
      </c>
      <c r="AV162" s="27" t="s">
        <v>41</v>
      </c>
      <c r="AW162" s="27" t="s">
        <v>66</v>
      </c>
      <c r="AX162" s="27" t="s">
        <v>41</v>
      </c>
      <c r="AY162" s="215" t="s">
        <v>1667</v>
      </c>
      <c r="AZ162" s="215" t="s">
        <v>1668</v>
      </c>
      <c r="BA162" s="28" t="s">
        <v>760</v>
      </c>
      <c r="BB162" s="26" t="s">
        <v>706</v>
      </c>
      <c r="BC162" s="27" t="s">
        <v>66</v>
      </c>
      <c r="BD162" s="93" t="s">
        <v>716</v>
      </c>
      <c r="BE162" s="28"/>
      <c r="BF162" s="28"/>
    </row>
    <row r="163" spans="1:58" ht="20.25" customHeight="1">
      <c r="A163" s="27">
        <v>162</v>
      </c>
      <c r="B163" s="27" t="str">
        <f ca="1"/>
        <v>2675217</v>
      </c>
      <c r="C163" s="137" t="str">
        <f ca="1"/>
        <v>SBI General Insurance Company Ltd</v>
      </c>
      <c r="D163" s="27" t="str">
        <f ca="1"/>
        <v>MACT</v>
      </c>
      <c r="E163" s="27" t="str">
        <f ca="1"/>
        <v>S002-1162-SS-2025</v>
      </c>
      <c r="F163" s="206">
        <f ca="1"/>
        <v>45999</v>
      </c>
      <c r="G163" s="27" t="str">
        <f ca="1"/>
        <v>Dec-25</v>
      </c>
      <c r="H163" s="29">
        <v>46015</v>
      </c>
      <c r="I163" s="29" t="str">
        <f t="shared" si="8"/>
        <v>Dec-25</v>
      </c>
      <c r="J163" s="29">
        <f t="shared" ca="1" si="9"/>
        <v>46041</v>
      </c>
      <c r="K163" s="27">
        <f t="shared" ca="1" si="10"/>
        <v>16</v>
      </c>
      <c r="L163" s="27" t="str">
        <f t="shared" ca="1" si="11"/>
        <v>AT</v>
      </c>
      <c r="M163" s="27" t="s">
        <v>1524</v>
      </c>
      <c r="N163" s="27" t="s">
        <v>705</v>
      </c>
      <c r="O163" s="27" t="s">
        <v>706</v>
      </c>
      <c r="P163" s="27"/>
      <c r="Q163" s="28" t="s">
        <v>1669</v>
      </c>
      <c r="R163" s="28" t="s">
        <v>41</v>
      </c>
      <c r="S163" s="28" t="s">
        <v>41</v>
      </c>
      <c r="T163" s="27" t="s">
        <v>66</v>
      </c>
      <c r="U163" s="28" t="s">
        <v>66</v>
      </c>
      <c r="V163" s="28" t="s">
        <v>66</v>
      </c>
      <c r="W163" s="28" t="s">
        <v>66</v>
      </c>
      <c r="X163" s="28" t="s">
        <v>66</v>
      </c>
      <c r="Y163" s="28" t="s">
        <v>66</v>
      </c>
      <c r="Z163" s="28" t="s">
        <v>66</v>
      </c>
      <c r="AA163" s="28" t="s">
        <v>41</v>
      </c>
      <c r="AB163" s="27" t="s">
        <v>66</v>
      </c>
      <c r="AC163" s="27" t="s">
        <v>66</v>
      </c>
      <c r="AD163" s="28" t="s">
        <v>66</v>
      </c>
      <c r="AE163" s="28" t="s">
        <v>66</v>
      </c>
      <c r="AF163" s="27" t="s">
        <v>66</v>
      </c>
      <c r="AG163" s="27" t="s">
        <v>41</v>
      </c>
      <c r="AH163" s="27" t="s">
        <v>41</v>
      </c>
      <c r="AI163" s="27" t="s">
        <v>41</v>
      </c>
      <c r="AJ163" s="27" t="s">
        <v>41</v>
      </c>
      <c r="AK163" s="27" t="s">
        <v>41</v>
      </c>
      <c r="AL163" s="27" t="s">
        <v>41</v>
      </c>
      <c r="AM163" s="27" t="s">
        <v>41</v>
      </c>
      <c r="AN163" s="27" t="s">
        <v>41</v>
      </c>
      <c r="AO163" s="27" t="s">
        <v>41</v>
      </c>
      <c r="AP163" s="27" t="s">
        <v>66</v>
      </c>
      <c r="AQ163" s="28" t="s">
        <v>66</v>
      </c>
      <c r="AR163" s="28" t="s">
        <v>41</v>
      </c>
      <c r="AS163" s="27" t="s">
        <v>66</v>
      </c>
      <c r="AT163" s="28" t="s">
        <v>41</v>
      </c>
      <c r="AU163" s="27" t="s">
        <v>41</v>
      </c>
      <c r="AV163" s="27" t="s">
        <v>41</v>
      </c>
      <c r="AW163" s="27" t="s">
        <v>66</v>
      </c>
      <c r="AX163" s="27" t="s">
        <v>41</v>
      </c>
      <c r="AY163" s="215" t="s">
        <v>1670</v>
      </c>
      <c r="AZ163" s="215" t="s">
        <v>1671</v>
      </c>
      <c r="BA163" s="28" t="s">
        <v>709</v>
      </c>
      <c r="BB163" s="26" t="s">
        <v>706</v>
      </c>
      <c r="BC163" s="27" t="s">
        <v>66</v>
      </c>
      <c r="BD163" s="93" t="s">
        <v>716</v>
      </c>
      <c r="BE163" s="28"/>
      <c r="BF163" s="28"/>
    </row>
    <row r="164" spans="1:58" ht="20.25" customHeight="1">
      <c r="A164" s="27">
        <v>163</v>
      </c>
      <c r="B164" s="27" t="str">
        <f ca="1"/>
        <v>2025201616</v>
      </c>
      <c r="C164" s="137" t="str">
        <f ca="1"/>
        <v>Indusind General Insurance Co Ltd</v>
      </c>
      <c r="D164" s="27" t="str">
        <f ca="1"/>
        <v>MACT</v>
      </c>
      <c r="E164" s="27" t="str">
        <f ca="1"/>
        <v>R001-1163-SS-2025</v>
      </c>
      <c r="F164" s="206">
        <f ca="1"/>
        <v>45767</v>
      </c>
      <c r="G164" s="27" t="str">
        <f ca="1"/>
        <v>Apr-25</v>
      </c>
      <c r="H164" s="27" t="s">
        <v>718</v>
      </c>
      <c r="I164" s="29"/>
      <c r="J164" s="29">
        <f t="shared" ca="1" si="9"/>
        <v>45786</v>
      </c>
      <c r="K164" s="27">
        <f t="shared" ca="1" si="10"/>
        <v>260</v>
      </c>
      <c r="L164" s="27" t="str">
        <f t="shared" ca="1" si="11"/>
        <v>AT</v>
      </c>
      <c r="M164" s="27" t="s">
        <v>750</v>
      </c>
      <c r="N164" s="27" t="s">
        <v>720</v>
      </c>
      <c r="O164" s="27" t="s">
        <v>751</v>
      </c>
      <c r="P164" s="165" t="s">
        <v>1672</v>
      </c>
      <c r="Q164" s="28" t="s">
        <v>41</v>
      </c>
      <c r="R164" s="28" t="s">
        <v>41</v>
      </c>
      <c r="S164" s="28" t="s">
        <v>41</v>
      </c>
      <c r="T164" s="27" t="s">
        <v>41</v>
      </c>
      <c r="U164" s="28" t="s">
        <v>41</v>
      </c>
      <c r="V164" s="28" t="s">
        <v>41</v>
      </c>
      <c r="W164" s="28" t="s">
        <v>41</v>
      </c>
      <c r="X164" s="28" t="s">
        <v>41</v>
      </c>
      <c r="Y164" s="28" t="s">
        <v>41</v>
      </c>
      <c r="Z164" s="28" t="s">
        <v>41</v>
      </c>
      <c r="AA164" s="28" t="s">
        <v>41</v>
      </c>
      <c r="AB164" s="27" t="s">
        <v>41</v>
      </c>
      <c r="AC164" s="27" t="s">
        <v>41</v>
      </c>
      <c r="AD164" s="28" t="s">
        <v>41</v>
      </c>
      <c r="AE164" s="28" t="s">
        <v>41</v>
      </c>
      <c r="AF164" s="27" t="s">
        <v>41</v>
      </c>
      <c r="AG164" s="27" t="s">
        <v>41</v>
      </c>
      <c r="AH164" s="27" t="s">
        <v>41</v>
      </c>
      <c r="AI164" s="27" t="s">
        <v>41</v>
      </c>
      <c r="AJ164" s="27" t="s">
        <v>41</v>
      </c>
      <c r="AK164" s="27" t="s">
        <v>41</v>
      </c>
      <c r="AL164" s="27" t="s">
        <v>41</v>
      </c>
      <c r="AM164" s="27" t="s">
        <v>41</v>
      </c>
      <c r="AN164" s="27" t="s">
        <v>41</v>
      </c>
      <c r="AO164" s="27" t="s">
        <v>41</v>
      </c>
      <c r="AP164" s="27" t="s">
        <v>41</v>
      </c>
      <c r="AQ164" s="28" t="s">
        <v>41</v>
      </c>
      <c r="AR164" s="28" t="s">
        <v>41</v>
      </c>
      <c r="AS164" s="27" t="s">
        <v>41</v>
      </c>
      <c r="AT164" s="28" t="s">
        <v>1673</v>
      </c>
      <c r="AU164" s="26" t="s">
        <v>1674</v>
      </c>
      <c r="AV164" s="27" t="s">
        <v>791</v>
      </c>
      <c r="AW164" s="27" t="s">
        <v>41</v>
      </c>
      <c r="AX164" s="27" t="s">
        <v>721</v>
      </c>
      <c r="AY164" s="28" t="s">
        <v>41</v>
      </c>
      <c r="AZ164" s="28" t="s">
        <v>41</v>
      </c>
      <c r="BA164" s="28" t="s">
        <v>41</v>
      </c>
      <c r="BB164" s="26" t="s">
        <v>41</v>
      </c>
      <c r="BC164" s="27" t="s">
        <v>41</v>
      </c>
      <c r="BD164" s="93" t="s">
        <v>716</v>
      </c>
      <c r="BE164" s="28"/>
      <c r="BF164" s="28"/>
    </row>
    <row r="165" spans="1:58" ht="20.25" customHeight="1">
      <c r="A165" s="27">
        <v>164</v>
      </c>
      <c r="B165" s="27" t="str">
        <f ca="1"/>
        <v>2025202958</v>
      </c>
      <c r="C165" s="137" t="str">
        <f ca="1"/>
        <v>Indusind General Insurance Co Ltd</v>
      </c>
      <c r="D165" s="27" t="str">
        <f ca="1"/>
        <v>MACT</v>
      </c>
      <c r="E165" s="27" t="str">
        <f ca="1"/>
        <v>R001-1164-SS-2025</v>
      </c>
      <c r="F165" s="206">
        <f ca="1"/>
        <v>45734</v>
      </c>
      <c r="G165" s="27" t="str">
        <f ca="1"/>
        <v>Mar-25</v>
      </c>
      <c r="H165" s="27" t="s">
        <v>718</v>
      </c>
      <c r="I165" s="29"/>
      <c r="J165" s="29" t="str">
        <f t="shared" ca="1" si="9"/>
        <v/>
      </c>
      <c r="K165" s="27">
        <f t="shared" ca="1" si="10"/>
        <v>293</v>
      </c>
      <c r="L165" s="27" t="str">
        <f t="shared" ca="1" si="11"/>
        <v>AT</v>
      </c>
      <c r="M165" s="27" t="s">
        <v>719</v>
      </c>
      <c r="N165" s="27" t="s">
        <v>720</v>
      </c>
      <c r="O165" s="26" t="s">
        <v>1331</v>
      </c>
      <c r="P165" s="316" t="s">
        <v>1675</v>
      </c>
      <c r="Q165" s="329" t="s">
        <v>1676</v>
      </c>
      <c r="R165" s="329" t="s">
        <v>1677</v>
      </c>
      <c r="S165" s="28" t="s">
        <v>774</v>
      </c>
      <c r="T165" s="27" t="s">
        <v>706</v>
      </c>
      <c r="U165" s="28" t="s">
        <v>41</v>
      </c>
      <c r="V165" s="28" t="s">
        <v>41</v>
      </c>
      <c r="W165" s="28" t="s">
        <v>41</v>
      </c>
      <c r="X165" s="28" t="s">
        <v>41</v>
      </c>
      <c r="Y165" s="28" t="s">
        <v>41</v>
      </c>
      <c r="Z165" s="28" t="s">
        <v>41</v>
      </c>
      <c r="AA165" s="28" t="s">
        <v>41</v>
      </c>
      <c r="AB165" s="27" t="s">
        <v>41</v>
      </c>
      <c r="AC165" s="27" t="s">
        <v>41</v>
      </c>
      <c r="AD165" s="28" t="s">
        <v>41</v>
      </c>
      <c r="AE165" s="28" t="s">
        <v>41</v>
      </c>
      <c r="AF165" s="27" t="s">
        <v>41</v>
      </c>
      <c r="AG165" s="27" t="s">
        <v>41</v>
      </c>
      <c r="AH165" s="28" t="s">
        <v>41</v>
      </c>
      <c r="AI165" s="28" t="s">
        <v>41</v>
      </c>
      <c r="AJ165" s="27" t="s">
        <v>41</v>
      </c>
      <c r="AK165" s="27" t="s">
        <v>41</v>
      </c>
      <c r="AL165" s="28" t="s">
        <v>41</v>
      </c>
      <c r="AM165" s="28" t="s">
        <v>41</v>
      </c>
      <c r="AN165" s="27" t="s">
        <v>41</v>
      </c>
      <c r="AO165" s="27" t="s">
        <v>41</v>
      </c>
      <c r="AP165" s="27" t="s">
        <v>41</v>
      </c>
      <c r="AQ165" s="28" t="s">
        <v>41</v>
      </c>
      <c r="AR165" s="28" t="s">
        <v>41</v>
      </c>
      <c r="AS165" s="27" t="s">
        <v>41</v>
      </c>
      <c r="AT165" s="28" t="s">
        <v>41</v>
      </c>
      <c r="AU165" s="27" t="s">
        <v>41</v>
      </c>
      <c r="AV165" s="27" t="s">
        <v>41</v>
      </c>
      <c r="AW165" s="27" t="s">
        <v>41</v>
      </c>
      <c r="AX165" s="27" t="s">
        <v>41</v>
      </c>
      <c r="AY165" s="28" t="s">
        <v>41</v>
      </c>
      <c r="AZ165" s="28" t="s">
        <v>41</v>
      </c>
      <c r="BA165" s="28" t="s">
        <v>41</v>
      </c>
      <c r="BB165" s="26" t="s">
        <v>41</v>
      </c>
      <c r="BC165" s="27" t="s">
        <v>41</v>
      </c>
      <c r="BD165" s="93" t="s">
        <v>716</v>
      </c>
      <c r="BE165" s="28"/>
      <c r="BF165" s="28"/>
    </row>
    <row r="166" spans="1:58" ht="20.25" customHeight="1">
      <c r="A166" s="27">
        <v>165</v>
      </c>
      <c r="B166" s="27" t="str">
        <f ca="1"/>
        <v>2025202883</v>
      </c>
      <c r="C166" s="137" t="str">
        <f ca="1"/>
        <v>Indusind General Insurance Co Ltd</v>
      </c>
      <c r="D166" s="27" t="str">
        <f ca="1"/>
        <v>MACT</v>
      </c>
      <c r="E166" s="27" t="str">
        <f ca="1"/>
        <v>R001-1165-SS-2025</v>
      </c>
      <c r="F166" s="206">
        <f ca="1"/>
        <v>45734</v>
      </c>
      <c r="G166" s="27" t="str">
        <f ca="1"/>
        <v>Mar-25</v>
      </c>
      <c r="H166" s="27" t="s">
        <v>718</v>
      </c>
      <c r="I166" s="29"/>
      <c r="J166" s="29">
        <f t="shared" ca="1" si="9"/>
        <v>45776</v>
      </c>
      <c r="K166" s="27">
        <f t="shared" ca="1" si="10"/>
        <v>293</v>
      </c>
      <c r="L166" s="27" t="str">
        <f t="shared" ca="1" si="11"/>
        <v>AT</v>
      </c>
      <c r="M166" s="27" t="s">
        <v>704</v>
      </c>
      <c r="N166" s="27" t="s">
        <v>720</v>
      </c>
      <c r="O166" s="27" t="s">
        <v>751</v>
      </c>
      <c r="P166" s="27"/>
      <c r="Q166" s="329" t="s">
        <v>1678</v>
      </c>
      <c r="R166" s="329" t="s">
        <v>1677</v>
      </c>
      <c r="S166" s="28" t="s">
        <v>774</v>
      </c>
      <c r="T166" s="27" t="s">
        <v>706</v>
      </c>
      <c r="U166" s="28" t="s">
        <v>41</v>
      </c>
      <c r="V166" s="28" t="s">
        <v>41</v>
      </c>
      <c r="W166" s="28" t="s">
        <v>41</v>
      </c>
      <c r="X166" s="28" t="s">
        <v>41</v>
      </c>
      <c r="Y166" s="329" t="s">
        <v>483</v>
      </c>
      <c r="Z166" s="332" t="s">
        <v>1679</v>
      </c>
      <c r="AA166" s="28" t="s">
        <v>741</v>
      </c>
      <c r="AB166" s="27" t="s">
        <v>41</v>
      </c>
      <c r="AC166" s="27" t="s">
        <v>706</v>
      </c>
      <c r="AD166" s="28" t="s">
        <v>41</v>
      </c>
      <c r="AE166" s="28" t="s">
        <v>41</v>
      </c>
      <c r="AF166" s="27" t="s">
        <v>41</v>
      </c>
      <c r="AG166" s="27" t="s">
        <v>41</v>
      </c>
      <c r="AH166" s="28" t="s">
        <v>41</v>
      </c>
      <c r="AI166" s="28" t="s">
        <v>41</v>
      </c>
      <c r="AJ166" s="27" t="s">
        <v>41</v>
      </c>
      <c r="AK166" s="27" t="s">
        <v>41</v>
      </c>
      <c r="AL166" s="28" t="s">
        <v>41</v>
      </c>
      <c r="AM166" s="28" t="s">
        <v>41</v>
      </c>
      <c r="AN166" s="27" t="s">
        <v>41</v>
      </c>
      <c r="AO166" s="27" t="s">
        <v>41</v>
      </c>
      <c r="AP166" s="27" t="s">
        <v>41</v>
      </c>
      <c r="AQ166" s="333" t="s">
        <v>1680</v>
      </c>
      <c r="AR166" s="28" t="s">
        <v>709</v>
      </c>
      <c r="AS166" s="27" t="s">
        <v>706</v>
      </c>
      <c r="AT166" s="329" t="s">
        <v>1681</v>
      </c>
      <c r="AU166" s="329" t="s">
        <v>1682</v>
      </c>
      <c r="AV166" s="27" t="s">
        <v>709</v>
      </c>
      <c r="AW166" s="27" t="s">
        <v>41</v>
      </c>
      <c r="AX166" s="27" t="s">
        <v>721</v>
      </c>
      <c r="AY166" s="28" t="s">
        <v>41</v>
      </c>
      <c r="AZ166" s="28" t="s">
        <v>41</v>
      </c>
      <c r="BA166" s="28" t="s">
        <v>41</v>
      </c>
      <c r="BB166" s="26" t="s">
        <v>41</v>
      </c>
      <c r="BC166" s="27" t="s">
        <v>41</v>
      </c>
      <c r="BD166" s="93" t="s">
        <v>716</v>
      </c>
      <c r="BE166" s="28"/>
      <c r="BF166" s="28"/>
    </row>
    <row r="167" spans="1:58" ht="20.25" customHeight="1">
      <c r="A167" s="27">
        <v>166</v>
      </c>
      <c r="B167" s="27" t="str">
        <f ca="1"/>
        <v>2024209819</v>
      </c>
      <c r="C167" s="137" t="str">
        <f ca="1"/>
        <v>Indusind General Insurance Co Ltd</v>
      </c>
      <c r="D167" s="27" t="str">
        <f ca="1"/>
        <v>MACT</v>
      </c>
      <c r="E167" s="27" t="str">
        <f ca="1"/>
        <v>R001-1166-SS-2025</v>
      </c>
      <c r="F167" s="206">
        <f ca="1"/>
        <v>45551</v>
      </c>
      <c r="G167" s="27" t="str">
        <f ca="1"/>
        <v>Sep-24</v>
      </c>
      <c r="H167" s="29">
        <v>46013</v>
      </c>
      <c r="I167" s="29" t="str">
        <f t="shared" si="8"/>
        <v>Dec-25</v>
      </c>
      <c r="J167" s="29">
        <f t="shared" ca="1" si="9"/>
        <v>45572</v>
      </c>
      <c r="K167" s="27">
        <f t="shared" ca="1" si="10"/>
        <v>462</v>
      </c>
      <c r="L167" s="27" t="str">
        <f t="shared" ca="1" si="11"/>
        <v>AT</v>
      </c>
      <c r="M167" s="27" t="s">
        <v>750</v>
      </c>
      <c r="N167" s="27" t="s">
        <v>705</v>
      </c>
      <c r="O167" s="27" t="s">
        <v>706</v>
      </c>
      <c r="P167" s="26" t="s">
        <v>1683</v>
      </c>
      <c r="Q167" s="317" t="s">
        <v>1684</v>
      </c>
      <c r="R167" s="318" t="s">
        <v>1685</v>
      </c>
      <c r="S167" s="28" t="s">
        <v>741</v>
      </c>
      <c r="T167" s="27" t="s">
        <v>706</v>
      </c>
      <c r="U167" s="28" t="s">
        <v>41</v>
      </c>
      <c r="V167" s="28" t="s">
        <v>41</v>
      </c>
      <c r="W167" s="28" t="s">
        <v>41</v>
      </c>
      <c r="X167" s="28" t="s">
        <v>41</v>
      </c>
      <c r="Y167" s="317" t="s">
        <v>1686</v>
      </c>
      <c r="Z167" s="28" t="s">
        <v>41</v>
      </c>
      <c r="AA167" s="28" t="s">
        <v>41</v>
      </c>
      <c r="AB167" s="27" t="s">
        <v>41</v>
      </c>
      <c r="AC167" s="27" t="s">
        <v>41</v>
      </c>
      <c r="AD167" s="28" t="s">
        <v>41</v>
      </c>
      <c r="AE167" s="28" t="s">
        <v>41</v>
      </c>
      <c r="AF167" s="27" t="s">
        <v>41</v>
      </c>
      <c r="AG167" s="27" t="s">
        <v>41</v>
      </c>
      <c r="AH167" s="28" t="s">
        <v>41</v>
      </c>
      <c r="AI167" s="28" t="s">
        <v>41</v>
      </c>
      <c r="AJ167" s="27" t="s">
        <v>41</v>
      </c>
      <c r="AK167" s="27" t="s">
        <v>41</v>
      </c>
      <c r="AL167" s="28" t="s">
        <v>41</v>
      </c>
      <c r="AM167" s="28" t="s">
        <v>41</v>
      </c>
      <c r="AN167" s="27" t="s">
        <v>41</v>
      </c>
      <c r="AO167" s="27" t="s">
        <v>41</v>
      </c>
      <c r="AP167" s="27" t="s">
        <v>41</v>
      </c>
      <c r="AQ167" s="28" t="s">
        <v>41</v>
      </c>
      <c r="AR167" s="28" t="s">
        <v>41</v>
      </c>
      <c r="AS167" s="27" t="s">
        <v>41</v>
      </c>
      <c r="AT167" s="317" t="s">
        <v>1687</v>
      </c>
      <c r="AU167" s="319" t="s">
        <v>1688</v>
      </c>
      <c r="AV167" s="317" t="s">
        <v>741</v>
      </c>
      <c r="AW167" s="27" t="s">
        <v>41</v>
      </c>
      <c r="AX167" s="27" t="s">
        <v>706</v>
      </c>
      <c r="AY167" s="28" t="s">
        <v>41</v>
      </c>
      <c r="AZ167" s="28" t="s">
        <v>41</v>
      </c>
      <c r="BA167" s="28" t="s">
        <v>41</v>
      </c>
      <c r="BB167" s="26" t="s">
        <v>41</v>
      </c>
      <c r="BC167" s="27" t="s">
        <v>41</v>
      </c>
      <c r="BD167" s="93" t="s">
        <v>716</v>
      </c>
      <c r="BE167" s="28" t="s">
        <v>1689</v>
      </c>
      <c r="BF167" s="28"/>
    </row>
    <row r="168" spans="1:58" ht="20.25" customHeight="1">
      <c r="A168" s="27">
        <v>167</v>
      </c>
      <c r="B168" s="27" t="str">
        <f ca="1"/>
        <v>2025202179</v>
      </c>
      <c r="C168" s="137" t="str">
        <f ca="1"/>
        <v>Indusind General Insurance Co Ltd</v>
      </c>
      <c r="D168" s="27" t="str">
        <f ca="1"/>
        <v>MACT</v>
      </c>
      <c r="E168" s="27" t="str">
        <f ca="1"/>
        <v>R001-1167-SS-2025</v>
      </c>
      <c r="F168" s="206">
        <f ca="1"/>
        <v>45719</v>
      </c>
      <c r="G168" s="27" t="str">
        <f ca="1"/>
        <v>Mar-25</v>
      </c>
      <c r="H168" s="27" t="s">
        <v>718</v>
      </c>
      <c r="I168" s="29"/>
      <c r="J168" s="29">
        <f t="shared" ca="1" si="9"/>
        <v>45761</v>
      </c>
      <c r="K168" s="27">
        <f t="shared" ca="1" si="10"/>
        <v>308</v>
      </c>
      <c r="L168" s="27" t="str">
        <f t="shared" ca="1" si="11"/>
        <v>AT</v>
      </c>
      <c r="M168" s="27" t="s">
        <v>704</v>
      </c>
      <c r="N168" s="27" t="s">
        <v>720</v>
      </c>
      <c r="O168" s="27" t="s">
        <v>751</v>
      </c>
      <c r="P168" s="27"/>
      <c r="Q168" s="320" t="s">
        <v>1690</v>
      </c>
      <c r="R168" s="330" t="s">
        <v>1691</v>
      </c>
      <c r="S168" s="28" t="s">
        <v>741</v>
      </c>
      <c r="T168" s="27" t="s">
        <v>706</v>
      </c>
      <c r="U168" s="28" t="s">
        <v>41</v>
      </c>
      <c r="V168" s="28" t="s">
        <v>41</v>
      </c>
      <c r="W168" s="28" t="s">
        <v>41</v>
      </c>
      <c r="X168" s="28" t="s">
        <v>41</v>
      </c>
      <c r="Y168" s="330" t="s">
        <v>490</v>
      </c>
      <c r="Z168" s="328" t="s">
        <v>1692</v>
      </c>
      <c r="AA168" s="28" t="s">
        <v>913</v>
      </c>
      <c r="AB168" s="27" t="s">
        <v>41</v>
      </c>
      <c r="AC168" s="27" t="s">
        <v>706</v>
      </c>
      <c r="AD168" s="28" t="s">
        <v>41</v>
      </c>
      <c r="AE168" s="28" t="s">
        <v>41</v>
      </c>
      <c r="AF168" s="27" t="s">
        <v>41</v>
      </c>
      <c r="AG168" s="27" t="s">
        <v>41</v>
      </c>
      <c r="AH168" s="27" t="s">
        <v>41</v>
      </c>
      <c r="AI168" s="27" t="s">
        <v>41</v>
      </c>
      <c r="AJ168" s="27" t="s">
        <v>41</v>
      </c>
      <c r="AK168" s="27" t="s">
        <v>41</v>
      </c>
      <c r="AL168" s="27" t="s">
        <v>41</v>
      </c>
      <c r="AM168" s="27" t="s">
        <v>41</v>
      </c>
      <c r="AN168" s="27" t="s">
        <v>41</v>
      </c>
      <c r="AO168" s="27" t="s">
        <v>41</v>
      </c>
      <c r="AP168" s="27" t="s">
        <v>41</v>
      </c>
      <c r="AQ168" s="330" t="s">
        <v>1693</v>
      </c>
      <c r="AR168" s="28" t="s">
        <v>741</v>
      </c>
      <c r="AS168" s="27" t="s">
        <v>706</v>
      </c>
      <c r="AT168" s="330" t="s">
        <v>1694</v>
      </c>
      <c r="AU168" s="330" t="s">
        <v>1695</v>
      </c>
      <c r="AV168" s="27" t="s">
        <v>741</v>
      </c>
      <c r="AW168" s="27" t="s">
        <v>41</v>
      </c>
      <c r="AX168" s="27" t="s">
        <v>721</v>
      </c>
      <c r="AY168" s="28" t="s">
        <v>41</v>
      </c>
      <c r="AZ168" s="28" t="s">
        <v>41</v>
      </c>
      <c r="BA168" s="28" t="s">
        <v>41</v>
      </c>
      <c r="BB168" s="26" t="s">
        <v>41</v>
      </c>
      <c r="BC168" s="27" t="s">
        <v>41</v>
      </c>
      <c r="BD168" s="93" t="s">
        <v>716</v>
      </c>
      <c r="BE168" s="28"/>
      <c r="BF168" s="28"/>
    </row>
    <row r="169" spans="1:58" ht="20.25" customHeight="1">
      <c r="A169" s="27">
        <v>168</v>
      </c>
      <c r="B169" s="27" t="str">
        <f ca="1"/>
        <v>2025200082</v>
      </c>
      <c r="C169" s="137" t="str">
        <f ca="1"/>
        <v>Indusind General Insurance Co Ltd</v>
      </c>
      <c r="D169" s="27" t="str">
        <f ca="1"/>
        <v>MACT</v>
      </c>
      <c r="E169" s="27" t="str">
        <f ca="1"/>
        <v>R001-1168-SS-2025</v>
      </c>
      <c r="F169" s="206">
        <f ca="1"/>
        <v>45688</v>
      </c>
      <c r="G169" s="27" t="str">
        <f ca="1"/>
        <v>Jan-25</v>
      </c>
      <c r="H169" s="27" t="s">
        <v>718</v>
      </c>
      <c r="I169" s="29"/>
      <c r="J169" s="29">
        <f t="shared" ca="1" si="9"/>
        <v>45730</v>
      </c>
      <c r="K169" s="27">
        <f t="shared" ca="1" si="10"/>
        <v>339</v>
      </c>
      <c r="L169" s="27" t="str">
        <f t="shared" ca="1" si="11"/>
        <v>AT</v>
      </c>
      <c r="M169" s="27" t="s">
        <v>704</v>
      </c>
      <c r="N169" s="27" t="s">
        <v>720</v>
      </c>
      <c r="O169" s="27" t="s">
        <v>751</v>
      </c>
      <c r="P169" s="27"/>
      <c r="Q169" s="329" t="s">
        <v>1696</v>
      </c>
      <c r="R169" s="329" t="s">
        <v>1697</v>
      </c>
      <c r="S169" s="28" t="s">
        <v>791</v>
      </c>
      <c r="T169" s="27" t="s">
        <v>706</v>
      </c>
      <c r="U169" s="28" t="s">
        <v>41</v>
      </c>
      <c r="V169" s="28" t="s">
        <v>41</v>
      </c>
      <c r="W169" s="28" t="s">
        <v>41</v>
      </c>
      <c r="X169" s="28" t="s">
        <v>41</v>
      </c>
      <c r="Y169" s="329" t="s">
        <v>493</v>
      </c>
      <c r="Z169" s="332" t="s">
        <v>1698</v>
      </c>
      <c r="AA169" s="28" t="s">
        <v>791</v>
      </c>
      <c r="AB169" s="27" t="s">
        <v>41</v>
      </c>
      <c r="AC169" s="27" t="s">
        <v>706</v>
      </c>
      <c r="AD169" s="28" t="s">
        <v>41</v>
      </c>
      <c r="AE169" s="28" t="s">
        <v>41</v>
      </c>
      <c r="AF169" s="27" t="s">
        <v>41</v>
      </c>
      <c r="AG169" s="27" t="s">
        <v>41</v>
      </c>
      <c r="AH169" s="27" t="s">
        <v>41</v>
      </c>
      <c r="AI169" s="27" t="s">
        <v>41</v>
      </c>
      <c r="AJ169" s="27" t="s">
        <v>41</v>
      </c>
      <c r="AK169" s="27" t="s">
        <v>41</v>
      </c>
      <c r="AL169" s="27" t="s">
        <v>41</v>
      </c>
      <c r="AM169" s="27" t="s">
        <v>41</v>
      </c>
      <c r="AN169" s="27" t="s">
        <v>41</v>
      </c>
      <c r="AO169" s="27" t="s">
        <v>41</v>
      </c>
      <c r="AP169" s="27" t="s">
        <v>41</v>
      </c>
      <c r="AQ169" s="329" t="s">
        <v>1699</v>
      </c>
      <c r="AR169" s="28" t="s">
        <v>791</v>
      </c>
      <c r="AS169" s="27" t="s">
        <v>706</v>
      </c>
      <c r="AT169" s="329" t="s">
        <v>1700</v>
      </c>
      <c r="AU169" s="329" t="s">
        <v>1701</v>
      </c>
      <c r="AV169" s="27" t="s">
        <v>791</v>
      </c>
      <c r="AW169" s="27" t="s">
        <v>41</v>
      </c>
      <c r="AX169" s="27" t="s">
        <v>721</v>
      </c>
      <c r="AY169" s="28" t="s">
        <v>41</v>
      </c>
      <c r="AZ169" s="28" t="s">
        <v>41</v>
      </c>
      <c r="BA169" s="28" t="s">
        <v>41</v>
      </c>
      <c r="BB169" s="26" t="s">
        <v>41</v>
      </c>
      <c r="BC169" s="27" t="s">
        <v>41</v>
      </c>
      <c r="BD169" s="93" t="s">
        <v>716</v>
      </c>
      <c r="BE169" s="28" t="s">
        <v>1702</v>
      </c>
      <c r="BF169" s="28"/>
    </row>
    <row r="170" spans="1:58" ht="20.25" customHeight="1">
      <c r="A170" s="27">
        <v>169</v>
      </c>
      <c r="B170" s="27" t="str">
        <f ca="1"/>
        <v>2025200765</v>
      </c>
      <c r="C170" s="137" t="str">
        <f ca="1"/>
        <v>Indusind General Insurance Co Ltd</v>
      </c>
      <c r="D170" s="27" t="str">
        <f ca="1"/>
        <v>MACT</v>
      </c>
      <c r="E170" s="27" t="str">
        <f ca="1"/>
        <v>R001-1169-SS-2025</v>
      </c>
      <c r="F170" s="206">
        <f ca="1"/>
        <v>45681</v>
      </c>
      <c r="G170" s="27" t="str">
        <f ca="1"/>
        <v>Jan-25</v>
      </c>
      <c r="H170" s="27" t="s">
        <v>718</v>
      </c>
      <c r="I170" s="29"/>
      <c r="J170" s="29">
        <f t="shared" ca="1" si="9"/>
        <v>45723</v>
      </c>
      <c r="K170" s="27">
        <f t="shared" ca="1" si="10"/>
        <v>346</v>
      </c>
      <c r="L170" s="27" t="str">
        <f t="shared" ca="1" si="11"/>
        <v>AT</v>
      </c>
      <c r="M170" s="27" t="s">
        <v>704</v>
      </c>
      <c r="N170" s="27" t="s">
        <v>720</v>
      </c>
      <c r="O170" s="27" t="s">
        <v>751</v>
      </c>
      <c r="P170" s="27"/>
      <c r="Q170" s="329" t="s">
        <v>1703</v>
      </c>
      <c r="R170" s="329" t="s">
        <v>1704</v>
      </c>
      <c r="S170" s="28" t="s">
        <v>763</v>
      </c>
      <c r="T170" s="27" t="s">
        <v>706</v>
      </c>
      <c r="U170" s="28" t="s">
        <v>41</v>
      </c>
      <c r="V170" s="28" t="s">
        <v>41</v>
      </c>
      <c r="W170" s="28" t="s">
        <v>41</v>
      </c>
      <c r="X170" s="28" t="s">
        <v>41</v>
      </c>
      <c r="Y170" s="329" t="s">
        <v>496</v>
      </c>
      <c r="Z170" s="334" t="s">
        <v>1705</v>
      </c>
      <c r="AA170" s="28" t="s">
        <v>871</v>
      </c>
      <c r="AB170" s="27" t="s">
        <v>41</v>
      </c>
      <c r="AC170" s="27" t="s">
        <v>706</v>
      </c>
      <c r="AD170" s="329" t="s">
        <v>1706</v>
      </c>
      <c r="AE170" s="329" t="s">
        <v>1707</v>
      </c>
      <c r="AF170" s="27" t="s">
        <v>963</v>
      </c>
      <c r="AG170" s="27" t="s">
        <v>706</v>
      </c>
      <c r="AH170" s="27" t="s">
        <v>41</v>
      </c>
      <c r="AI170" s="27" t="s">
        <v>41</v>
      </c>
      <c r="AJ170" s="27" t="s">
        <v>41</v>
      </c>
      <c r="AK170" s="27" t="s">
        <v>41</v>
      </c>
      <c r="AL170" s="27" t="s">
        <v>41</v>
      </c>
      <c r="AM170" s="27" t="s">
        <v>41</v>
      </c>
      <c r="AN170" s="27" t="s">
        <v>41</v>
      </c>
      <c r="AO170" s="27" t="s">
        <v>41</v>
      </c>
      <c r="AP170" s="27" t="s">
        <v>41</v>
      </c>
      <c r="AQ170" s="329" t="s">
        <v>1708</v>
      </c>
      <c r="AR170" s="28" t="s">
        <v>963</v>
      </c>
      <c r="AS170" s="27" t="s">
        <v>706</v>
      </c>
      <c r="AT170" s="329" t="s">
        <v>1709</v>
      </c>
      <c r="AU170" s="329" t="s">
        <v>1710</v>
      </c>
      <c r="AV170" s="329" t="s">
        <v>763</v>
      </c>
      <c r="AW170" s="27" t="s">
        <v>41</v>
      </c>
      <c r="AX170" s="27" t="s">
        <v>721</v>
      </c>
      <c r="AY170" s="28" t="s">
        <v>41</v>
      </c>
      <c r="AZ170" s="28" t="s">
        <v>41</v>
      </c>
      <c r="BA170" s="28" t="s">
        <v>41</v>
      </c>
      <c r="BB170" s="26" t="s">
        <v>41</v>
      </c>
      <c r="BC170" s="27" t="s">
        <v>41</v>
      </c>
      <c r="BD170" s="93" t="s">
        <v>716</v>
      </c>
      <c r="BE170" s="28"/>
      <c r="BF170" s="28"/>
    </row>
    <row r="171" spans="1:58" ht="20.25" customHeight="1">
      <c r="A171" s="27">
        <v>170</v>
      </c>
      <c r="B171" s="27" t="str">
        <f ca="1"/>
        <v>2024215431</v>
      </c>
      <c r="C171" s="137" t="str">
        <f ca="1"/>
        <v>Indusind General Insurance Co Ltd</v>
      </c>
      <c r="D171" s="27" t="str">
        <f ca="1"/>
        <v>MACT</v>
      </c>
      <c r="E171" s="27" t="str">
        <f ca="1"/>
        <v>R001-1170-SS-2025</v>
      </c>
      <c r="F171" s="206">
        <f ca="1"/>
        <v>45680</v>
      </c>
      <c r="G171" s="27" t="str">
        <f ca="1"/>
        <v>Jan-25</v>
      </c>
      <c r="H171" s="29">
        <v>46025</v>
      </c>
      <c r="I171" s="29" t="str">
        <f>TEXT(H171,"mmm-yy")</f>
        <v>Jan-26</v>
      </c>
      <c r="J171" s="29">
        <f t="shared" ca="1" si="9"/>
        <v>45722</v>
      </c>
      <c r="K171" s="27">
        <f t="shared" ca="1" si="10"/>
        <v>345</v>
      </c>
      <c r="L171" s="27" t="str">
        <f t="shared" ca="1" si="11"/>
        <v>AT</v>
      </c>
      <c r="M171" s="27" t="s">
        <v>704</v>
      </c>
      <c r="N171" s="27" t="s">
        <v>720</v>
      </c>
      <c r="O171" s="27" t="s">
        <v>706</v>
      </c>
      <c r="P171" s="27"/>
      <c r="Q171" s="329" t="s">
        <v>1711</v>
      </c>
      <c r="R171" s="335" t="s">
        <v>1712</v>
      </c>
      <c r="S171" s="28" t="s">
        <v>709</v>
      </c>
      <c r="T171" s="27" t="s">
        <v>706</v>
      </c>
      <c r="U171" s="28" t="s">
        <v>41</v>
      </c>
      <c r="V171" s="28" t="s">
        <v>41</v>
      </c>
      <c r="W171" s="28" t="s">
        <v>41</v>
      </c>
      <c r="X171" s="28" t="s">
        <v>41</v>
      </c>
      <c r="Y171" s="329" t="s">
        <v>499</v>
      </c>
      <c r="Z171" s="334" t="s">
        <v>1713</v>
      </c>
      <c r="AA171" s="28" t="s">
        <v>837</v>
      </c>
      <c r="AB171" s="27" t="s">
        <v>41</v>
      </c>
      <c r="AC171" s="27" t="s">
        <v>706</v>
      </c>
      <c r="AD171" s="28" t="s">
        <v>41</v>
      </c>
      <c r="AE171" s="28" t="s">
        <v>41</v>
      </c>
      <c r="AF171" s="27" t="s">
        <v>41</v>
      </c>
      <c r="AG171" s="27" t="s">
        <v>41</v>
      </c>
      <c r="AH171" s="27" t="s">
        <v>41</v>
      </c>
      <c r="AI171" s="27" t="s">
        <v>41</v>
      </c>
      <c r="AJ171" s="27" t="s">
        <v>41</v>
      </c>
      <c r="AK171" s="27" t="s">
        <v>41</v>
      </c>
      <c r="AL171" s="27" t="s">
        <v>41</v>
      </c>
      <c r="AM171" s="27" t="s">
        <v>41</v>
      </c>
      <c r="AN171" s="27" t="s">
        <v>41</v>
      </c>
      <c r="AO171" s="27" t="s">
        <v>41</v>
      </c>
      <c r="AP171" s="27" t="s">
        <v>41</v>
      </c>
      <c r="AQ171" s="329" t="s">
        <v>1714</v>
      </c>
      <c r="AR171" s="28" t="s">
        <v>741</v>
      </c>
      <c r="AS171" s="27" t="s">
        <v>706</v>
      </c>
      <c r="AT171" s="329" t="s">
        <v>1715</v>
      </c>
      <c r="AU171" s="329" t="s">
        <v>1716</v>
      </c>
      <c r="AV171" s="27" t="s">
        <v>741</v>
      </c>
      <c r="AW171" s="27" t="s">
        <v>41</v>
      </c>
      <c r="AX171" s="27" t="s">
        <v>706</v>
      </c>
      <c r="AY171" s="28" t="s">
        <v>41</v>
      </c>
      <c r="AZ171" s="28" t="s">
        <v>41</v>
      </c>
      <c r="BA171" s="28" t="s">
        <v>41</v>
      </c>
      <c r="BB171" s="26" t="s">
        <v>41</v>
      </c>
      <c r="BC171" s="27" t="s">
        <v>41</v>
      </c>
      <c r="BD171" s="93" t="s">
        <v>716</v>
      </c>
      <c r="BE171" s="28"/>
      <c r="BF171" s="28"/>
    </row>
    <row r="172" spans="1:58" ht="20.25" customHeight="1">
      <c r="A172" s="27">
        <v>171</v>
      </c>
      <c r="B172" s="27" t="str">
        <f ca="1"/>
        <v>2532036</v>
      </c>
      <c r="C172" s="137" t="str">
        <f ca="1"/>
        <v>SBI General Insurance Company Ltd</v>
      </c>
      <c r="D172" s="27" t="str">
        <f ca="1"/>
        <v>MACT</v>
      </c>
      <c r="E172" s="27" t="str">
        <f ca="1"/>
        <v>S002-1171-SS-2025</v>
      </c>
      <c r="F172" s="206">
        <f ca="1"/>
        <v>46000</v>
      </c>
      <c r="G172" s="27" t="str">
        <f ca="1"/>
        <v>Dec-25</v>
      </c>
      <c r="H172" s="29">
        <v>46006</v>
      </c>
      <c r="I172" s="29" t="str">
        <f t="shared" si="8"/>
        <v>Dec-25</v>
      </c>
      <c r="J172" s="29">
        <f t="shared" ca="1" si="9"/>
        <v>46042</v>
      </c>
      <c r="K172" s="27">
        <f t="shared" ca="1" si="10"/>
        <v>6</v>
      </c>
      <c r="L172" s="27" t="str">
        <f t="shared" ca="1" si="11"/>
        <v>WT</v>
      </c>
      <c r="M172" s="27" t="s">
        <v>1524</v>
      </c>
      <c r="N172" s="27" t="s">
        <v>1051</v>
      </c>
      <c r="O172" s="27" t="s">
        <v>706</v>
      </c>
      <c r="P172" s="27"/>
      <c r="Q172" s="28" t="s">
        <v>1717</v>
      </c>
      <c r="R172" s="28" t="s">
        <v>41</v>
      </c>
      <c r="S172" s="28" t="s">
        <v>41</v>
      </c>
      <c r="T172" s="27" t="s">
        <v>66</v>
      </c>
      <c r="U172" s="28" t="s">
        <v>66</v>
      </c>
      <c r="V172" s="28" t="s">
        <v>66</v>
      </c>
      <c r="W172" s="28" t="s">
        <v>66</v>
      </c>
      <c r="X172" s="28" t="s">
        <v>66</v>
      </c>
      <c r="Y172" s="28" t="s">
        <v>66</v>
      </c>
      <c r="Z172" s="28" t="s">
        <v>66</v>
      </c>
      <c r="AA172" s="28" t="s">
        <v>41</v>
      </c>
      <c r="AB172" s="27" t="s">
        <v>66</v>
      </c>
      <c r="AC172" s="27" t="s">
        <v>66</v>
      </c>
      <c r="AD172" s="28" t="s">
        <v>66</v>
      </c>
      <c r="AE172" s="28" t="s">
        <v>66</v>
      </c>
      <c r="AF172" s="27" t="s">
        <v>66</v>
      </c>
      <c r="AG172" s="27" t="s">
        <v>41</v>
      </c>
      <c r="AH172" s="27" t="s">
        <v>41</v>
      </c>
      <c r="AI172" s="27" t="s">
        <v>41</v>
      </c>
      <c r="AJ172" s="27" t="s">
        <v>41</v>
      </c>
      <c r="AK172" s="27" t="s">
        <v>41</v>
      </c>
      <c r="AL172" s="27" t="s">
        <v>41</v>
      </c>
      <c r="AM172" s="27" t="s">
        <v>41</v>
      </c>
      <c r="AN172" s="27" t="s">
        <v>41</v>
      </c>
      <c r="AO172" s="27" t="s">
        <v>41</v>
      </c>
      <c r="AP172" s="27" t="s">
        <v>66</v>
      </c>
      <c r="AQ172" s="28" t="s">
        <v>66</v>
      </c>
      <c r="AR172" s="28" t="s">
        <v>41</v>
      </c>
      <c r="AS172" s="27" t="s">
        <v>66</v>
      </c>
      <c r="AT172" s="28" t="s">
        <v>41</v>
      </c>
      <c r="AU172" s="27" t="s">
        <v>41</v>
      </c>
      <c r="AV172" s="27" t="s">
        <v>41</v>
      </c>
      <c r="AW172" s="27" t="s">
        <v>66</v>
      </c>
      <c r="AX172" s="27" t="s">
        <v>41</v>
      </c>
      <c r="AY172" s="215" t="s">
        <v>1718</v>
      </c>
      <c r="AZ172" s="215" t="s">
        <v>1719</v>
      </c>
      <c r="BA172" s="28" t="s">
        <v>1720</v>
      </c>
      <c r="BB172" s="26" t="s">
        <v>706</v>
      </c>
      <c r="BC172" s="27" t="s">
        <v>66</v>
      </c>
      <c r="BD172" s="93" t="s">
        <v>716</v>
      </c>
      <c r="BE172" s="28"/>
      <c r="BF172" s="28"/>
    </row>
    <row r="173" spans="1:58" ht="20.25" customHeight="1">
      <c r="A173" s="27">
        <v>172</v>
      </c>
      <c r="B173" s="27" t="str">
        <f ca="1"/>
        <v>2024215780</v>
      </c>
      <c r="C173" s="137" t="str">
        <f ca="1"/>
        <v>Indusind General Insurance Co Ltd</v>
      </c>
      <c r="D173" s="27" t="str">
        <f ca="1"/>
        <v>MACT</v>
      </c>
      <c r="E173" s="27" t="str">
        <f ca="1"/>
        <v>R001-1172-SS-2025</v>
      </c>
      <c r="F173" s="206">
        <f ca="1"/>
        <v>45680</v>
      </c>
      <c r="G173" s="27" t="str">
        <f ca="1"/>
        <v>Jan-25</v>
      </c>
      <c r="H173" s="344">
        <v>45845</v>
      </c>
      <c r="I173" s="29" t="str">
        <f t="shared" si="8"/>
        <v>Jul-25</v>
      </c>
      <c r="J173" s="29"/>
      <c r="K173" s="27"/>
      <c r="L173" s="27" t="str">
        <f t="shared" si="11"/>
        <v/>
      </c>
      <c r="M173" s="27" t="s">
        <v>750</v>
      </c>
      <c r="N173" s="27" t="s">
        <v>720</v>
      </c>
      <c r="O173" s="27" t="s">
        <v>706</v>
      </c>
      <c r="P173" s="343" t="s">
        <v>1721</v>
      </c>
      <c r="Q173" s="329" t="s">
        <v>1722</v>
      </c>
      <c r="R173" s="329" t="s">
        <v>1723</v>
      </c>
      <c r="S173" s="28" t="s">
        <v>709</v>
      </c>
      <c r="T173" s="27" t="s">
        <v>706</v>
      </c>
      <c r="U173" s="28" t="s">
        <v>41</v>
      </c>
      <c r="V173" s="28" t="s">
        <v>41</v>
      </c>
      <c r="W173" s="28" t="s">
        <v>41</v>
      </c>
      <c r="X173" s="28" t="s">
        <v>41</v>
      </c>
      <c r="Y173" s="28" t="s">
        <v>41</v>
      </c>
      <c r="Z173" s="28" t="s">
        <v>41</v>
      </c>
      <c r="AA173" s="28" t="s">
        <v>41</v>
      </c>
      <c r="AB173" s="27" t="s">
        <v>41</v>
      </c>
      <c r="AC173" s="27" t="s">
        <v>41</v>
      </c>
      <c r="AD173" s="28" t="s">
        <v>41</v>
      </c>
      <c r="AE173" s="28" t="s">
        <v>41</v>
      </c>
      <c r="AF173" s="27" t="s">
        <v>41</v>
      </c>
      <c r="AG173" s="27" t="s">
        <v>41</v>
      </c>
      <c r="AH173" s="27" t="s">
        <v>41</v>
      </c>
      <c r="AI173" s="27" t="s">
        <v>41</v>
      </c>
      <c r="AJ173" s="27" t="s">
        <v>41</v>
      </c>
      <c r="AK173" s="27" t="s">
        <v>41</v>
      </c>
      <c r="AL173" s="27" t="s">
        <v>41</v>
      </c>
      <c r="AM173" s="27" t="s">
        <v>41</v>
      </c>
      <c r="AN173" s="27" t="s">
        <v>41</v>
      </c>
      <c r="AO173" s="27" t="s">
        <v>41</v>
      </c>
      <c r="AP173" s="27" t="s">
        <v>41</v>
      </c>
      <c r="AQ173" s="28" t="s">
        <v>41</v>
      </c>
      <c r="AR173" s="28" t="s">
        <v>41</v>
      </c>
      <c r="AS173" s="27" t="s">
        <v>41</v>
      </c>
      <c r="AT173" s="28" t="s">
        <v>41</v>
      </c>
      <c r="AU173" s="27" t="s">
        <v>41</v>
      </c>
      <c r="AV173" s="27" t="s">
        <v>41</v>
      </c>
      <c r="AW173" s="27" t="s">
        <v>41</v>
      </c>
      <c r="AX173" s="27" t="s">
        <v>41</v>
      </c>
      <c r="AY173" s="28" t="s">
        <v>41</v>
      </c>
      <c r="AZ173" s="28" t="s">
        <v>41</v>
      </c>
      <c r="BA173" s="28" t="s">
        <v>41</v>
      </c>
      <c r="BB173" s="26" t="s">
        <v>41</v>
      </c>
      <c r="BC173" s="27" t="s">
        <v>41</v>
      </c>
      <c r="BD173" s="93" t="s">
        <v>716</v>
      </c>
      <c r="BE173" s="28"/>
      <c r="BF173" s="28"/>
    </row>
    <row r="174" spans="1:58" ht="20.25" customHeight="1">
      <c r="A174" s="27">
        <v>173</v>
      </c>
      <c r="B174" s="27" t="str">
        <f ca="1"/>
        <v>2024215795</v>
      </c>
      <c r="C174" s="137" t="str">
        <f ca="1"/>
        <v>Indusind General Insurance Co Ltd</v>
      </c>
      <c r="D174" s="27" t="str">
        <f ca="1"/>
        <v>MACT</v>
      </c>
      <c r="E174" s="27" t="str">
        <f ca="1"/>
        <v>R001-1173-SS-2025</v>
      </c>
      <c r="F174" s="206">
        <f ca="1"/>
        <v>45680</v>
      </c>
      <c r="G174" s="27" t="str">
        <f ca="1"/>
        <v>Jan-25</v>
      </c>
      <c r="H174" s="344">
        <v>45845</v>
      </c>
      <c r="I174" s="29" t="str">
        <f t="shared" si="8"/>
        <v>Jul-25</v>
      </c>
      <c r="J174" s="29"/>
      <c r="K174" s="27">
        <f ca="1">IF(F174="", "", IF(ISNUMBER(H174), H174 - F174, TODAY() - F174))</f>
        <v>165</v>
      </c>
      <c r="L174" s="27" t="str">
        <f t="shared" ca="1" si="11"/>
        <v>AT</v>
      </c>
      <c r="M174" s="27" t="s">
        <v>704</v>
      </c>
      <c r="N174" s="27" t="s">
        <v>720</v>
      </c>
      <c r="O174" s="27" t="s">
        <v>706</v>
      </c>
      <c r="P174" s="27"/>
      <c r="Q174" s="329" t="s">
        <v>1724</v>
      </c>
      <c r="R174" s="329" t="s">
        <v>1725</v>
      </c>
      <c r="S174" s="28" t="s">
        <v>774</v>
      </c>
      <c r="T174" s="27" t="s">
        <v>706</v>
      </c>
      <c r="U174" s="28" t="s">
        <v>41</v>
      </c>
      <c r="V174" s="28" t="s">
        <v>41</v>
      </c>
      <c r="W174" s="28" t="s">
        <v>41</v>
      </c>
      <c r="X174" s="28" t="s">
        <v>41</v>
      </c>
      <c r="Y174" s="329" t="s">
        <v>506</v>
      </c>
      <c r="Z174" s="332" t="s">
        <v>1726</v>
      </c>
      <c r="AA174" s="28" t="s">
        <v>837</v>
      </c>
      <c r="AB174" s="27" t="s">
        <v>41</v>
      </c>
      <c r="AC174" s="26" t="s">
        <v>706</v>
      </c>
      <c r="AD174" s="28" t="s">
        <v>41</v>
      </c>
      <c r="AE174" s="28" t="s">
        <v>41</v>
      </c>
      <c r="AF174" s="27" t="s">
        <v>41</v>
      </c>
      <c r="AG174" s="27" t="s">
        <v>41</v>
      </c>
      <c r="AH174" s="27" t="s">
        <v>41</v>
      </c>
      <c r="AI174" s="27" t="s">
        <v>41</v>
      </c>
      <c r="AJ174" s="27" t="s">
        <v>41</v>
      </c>
      <c r="AK174" s="27" t="s">
        <v>41</v>
      </c>
      <c r="AL174" s="27" t="s">
        <v>41</v>
      </c>
      <c r="AM174" s="27" t="s">
        <v>41</v>
      </c>
      <c r="AN174" s="27" t="s">
        <v>41</v>
      </c>
      <c r="AO174" s="27" t="s">
        <v>41</v>
      </c>
      <c r="AP174" s="27" t="s">
        <v>41</v>
      </c>
      <c r="AQ174" s="345" t="s">
        <v>1727</v>
      </c>
      <c r="AR174" s="28" t="s">
        <v>709</v>
      </c>
      <c r="AS174" s="26" t="s">
        <v>706</v>
      </c>
      <c r="AT174" s="329" t="s">
        <v>1728</v>
      </c>
      <c r="AU174" s="329" t="s">
        <v>1729</v>
      </c>
      <c r="AV174" s="329" t="s">
        <v>1730</v>
      </c>
      <c r="AW174" s="27" t="s">
        <v>41</v>
      </c>
      <c r="AX174" s="27" t="s">
        <v>794</v>
      </c>
      <c r="AY174" s="28" t="s">
        <v>41</v>
      </c>
      <c r="AZ174" s="28" t="s">
        <v>41</v>
      </c>
      <c r="BA174" s="28" t="s">
        <v>41</v>
      </c>
      <c r="BB174" s="26" t="s">
        <v>41</v>
      </c>
      <c r="BC174" s="27" t="s">
        <v>41</v>
      </c>
      <c r="BD174" s="93" t="s">
        <v>716</v>
      </c>
      <c r="BE174" s="28"/>
      <c r="BF174" s="28"/>
    </row>
    <row r="175" spans="1:58" ht="20.25" customHeight="1">
      <c r="A175" s="27">
        <v>174</v>
      </c>
      <c r="B175" s="27" t="str">
        <f ca="1"/>
        <v>2024216019</v>
      </c>
      <c r="C175" s="137" t="str">
        <f ca="1"/>
        <v>Indusind General Insurance Co Ltd</v>
      </c>
      <c r="D175" s="27" t="str">
        <f ca="1"/>
        <v>MACT</v>
      </c>
      <c r="E175" s="27" t="str">
        <f ca="1"/>
        <v>R001-1174-SS-2025</v>
      </c>
      <c r="F175" s="206">
        <f ca="1"/>
        <v>45664</v>
      </c>
      <c r="G175" s="27" t="str">
        <f ca="1"/>
        <v>Jan-25</v>
      </c>
      <c r="H175" s="364">
        <v>45922</v>
      </c>
      <c r="I175" s="29" t="str">
        <f t="shared" si="8"/>
        <v>Sep-25</v>
      </c>
      <c r="J175" s="29"/>
      <c r="K175" s="27"/>
      <c r="L175" s="27" t="str">
        <f t="shared" si="11"/>
        <v/>
      </c>
      <c r="M175" s="27" t="s">
        <v>704</v>
      </c>
      <c r="N175" s="27" t="s">
        <v>720</v>
      </c>
      <c r="O175" s="27" t="s">
        <v>706</v>
      </c>
      <c r="P175" s="27"/>
      <c r="Q175" s="343" t="s">
        <v>1731</v>
      </c>
      <c r="R175" s="343" t="s">
        <v>1732</v>
      </c>
      <c r="S175" s="28" t="s">
        <v>709</v>
      </c>
      <c r="T175" s="27" t="s">
        <v>706</v>
      </c>
      <c r="U175" s="28" t="s">
        <v>41</v>
      </c>
      <c r="V175" s="28" t="s">
        <v>41</v>
      </c>
      <c r="W175" s="28" t="s">
        <v>41</v>
      </c>
      <c r="X175" s="28" t="s">
        <v>41</v>
      </c>
      <c r="Y175" s="343" t="s">
        <v>509</v>
      </c>
      <c r="Z175" s="332" t="s">
        <v>1733</v>
      </c>
      <c r="AA175" s="28" t="s">
        <v>1734</v>
      </c>
      <c r="AB175" s="27" t="s">
        <v>41</v>
      </c>
      <c r="AC175" s="26" t="s">
        <v>706</v>
      </c>
      <c r="AD175" s="332" t="s">
        <v>1735</v>
      </c>
      <c r="AE175" s="346" t="s">
        <v>1736</v>
      </c>
      <c r="AF175" s="27" t="s">
        <v>849</v>
      </c>
      <c r="AG175" s="26" t="s">
        <v>706</v>
      </c>
      <c r="AH175" s="27" t="s">
        <v>41</v>
      </c>
      <c r="AI175" s="27" t="s">
        <v>41</v>
      </c>
      <c r="AJ175" s="27" t="s">
        <v>41</v>
      </c>
      <c r="AK175" s="27" t="s">
        <v>41</v>
      </c>
      <c r="AL175" s="27" t="s">
        <v>41</v>
      </c>
      <c r="AM175" s="27" t="s">
        <v>41</v>
      </c>
      <c r="AN175" s="27" t="s">
        <v>41</v>
      </c>
      <c r="AO175" s="27" t="s">
        <v>41</v>
      </c>
      <c r="AP175" s="27" t="s">
        <v>41</v>
      </c>
      <c r="AQ175" s="343" t="s">
        <v>1737</v>
      </c>
      <c r="AR175" s="28" t="s">
        <v>709</v>
      </c>
      <c r="AS175" s="26" t="s">
        <v>706</v>
      </c>
      <c r="AT175" s="329" t="s">
        <v>1738</v>
      </c>
      <c r="AU175" s="343" t="s">
        <v>1739</v>
      </c>
      <c r="AV175" s="343" t="s">
        <v>760</v>
      </c>
      <c r="AW175" s="27" t="s">
        <v>41</v>
      </c>
      <c r="AX175" s="28" t="s">
        <v>706</v>
      </c>
      <c r="AY175" s="28" t="s">
        <v>41</v>
      </c>
      <c r="AZ175" s="28" t="s">
        <v>41</v>
      </c>
      <c r="BA175" s="28" t="s">
        <v>41</v>
      </c>
      <c r="BB175" s="26" t="s">
        <v>41</v>
      </c>
      <c r="BC175" s="27" t="s">
        <v>41</v>
      </c>
      <c r="BD175" s="93" t="s">
        <v>747</v>
      </c>
      <c r="BE175" s="28"/>
      <c r="BF175" s="28"/>
    </row>
    <row r="176" spans="1:58" ht="20.25" customHeight="1">
      <c r="A176" s="27">
        <v>175</v>
      </c>
      <c r="B176" s="27" t="str">
        <f ca="1"/>
        <v>MTP-N-2526-005139</v>
      </c>
      <c r="C176" s="137" t="str">
        <f ca="1"/>
        <v>Generali Central Insurance Company Limited</v>
      </c>
      <c r="D176" s="27" t="str">
        <f ca="1"/>
        <v>MACT</v>
      </c>
      <c r="E176" s="27" t="str">
        <f ca="1"/>
        <v>F001-1175-SS-2025</v>
      </c>
      <c r="F176" s="206">
        <f ca="1"/>
        <v>46006</v>
      </c>
      <c r="G176" s="27" t="str">
        <f ca="1"/>
        <v>Dec-25</v>
      </c>
      <c r="H176" s="27" t="s">
        <v>718</v>
      </c>
      <c r="I176" s="29"/>
      <c r="J176" s="353">
        <f t="shared" ref="J176" ca="1" si="12">IF(F176="", "",
    IF(OR(M176="WC Claim", M176="Partial Case"),
        WORKDAY(F176, 15),
    IF(OR(M176="Medical Verification", M176="Full Case"),
        WORKDAY(F176, 30),
    "")))</f>
        <v>46048</v>
      </c>
      <c r="K176" s="212">
        <f t="shared" ref="K176" ca="1" si="13">IF(F176="", "", IF(ISNUMBER(H176), H176 - F176, TODAY() - F176))</f>
        <v>21</v>
      </c>
      <c r="L176" s="27" t="str">
        <f t="shared" ca="1" si="11"/>
        <v>WT</v>
      </c>
      <c r="M176" s="27" t="s">
        <v>704</v>
      </c>
      <c r="N176" s="27" t="s">
        <v>720</v>
      </c>
      <c r="O176" s="27" t="s">
        <v>721</v>
      </c>
      <c r="P176" s="27"/>
      <c r="Q176" s="28" t="s">
        <v>1740</v>
      </c>
      <c r="R176" s="93" t="s">
        <v>1741</v>
      </c>
      <c r="S176" s="28" t="s">
        <v>741</v>
      </c>
      <c r="T176" s="27" t="s">
        <v>794</v>
      </c>
      <c r="U176" s="28" t="s">
        <v>66</v>
      </c>
      <c r="V176" s="28" t="s">
        <v>66</v>
      </c>
      <c r="W176" s="28" t="s">
        <v>66</v>
      </c>
      <c r="X176" s="28" t="s">
        <v>794</v>
      </c>
      <c r="Y176" s="28" t="s">
        <v>512</v>
      </c>
      <c r="Z176" s="93" t="s">
        <v>1742</v>
      </c>
      <c r="AA176" s="28" t="s">
        <v>926</v>
      </c>
      <c r="AB176" s="27" t="s">
        <v>41</v>
      </c>
      <c r="AC176" s="27" t="s">
        <v>794</v>
      </c>
      <c r="AD176" s="28" t="s">
        <v>66</v>
      </c>
      <c r="AE176" s="28" t="s">
        <v>66</v>
      </c>
      <c r="AF176" s="27" t="s">
        <v>41</v>
      </c>
      <c r="AG176" s="27" t="s">
        <v>794</v>
      </c>
      <c r="AH176" s="27" t="s">
        <v>742</v>
      </c>
      <c r="AI176" s="27" t="s">
        <v>794</v>
      </c>
      <c r="AJ176" s="27" t="s">
        <v>742</v>
      </c>
      <c r="AK176" s="27" t="s">
        <v>794</v>
      </c>
      <c r="AL176" s="27" t="s">
        <v>41</v>
      </c>
      <c r="AM176" s="27" t="s">
        <v>41</v>
      </c>
      <c r="AN176" s="27" t="s">
        <v>41</v>
      </c>
      <c r="AO176" s="27" t="s">
        <v>41</v>
      </c>
      <c r="AP176" s="27" t="s">
        <v>66</v>
      </c>
      <c r="AQ176" s="93" t="s">
        <v>1743</v>
      </c>
      <c r="AR176" s="28" t="s">
        <v>741</v>
      </c>
      <c r="AS176" s="27" t="s">
        <v>794</v>
      </c>
      <c r="AT176" s="28" t="s">
        <v>1744</v>
      </c>
      <c r="AU176" s="26" t="s">
        <v>1745</v>
      </c>
      <c r="AV176" s="27" t="s">
        <v>1746</v>
      </c>
      <c r="AW176" s="27" t="s">
        <v>41</v>
      </c>
      <c r="AX176" s="27" t="s">
        <v>794</v>
      </c>
      <c r="AY176" s="93" t="s">
        <v>1747</v>
      </c>
      <c r="AZ176" s="28" t="s">
        <v>66</v>
      </c>
      <c r="BA176" s="28" t="s">
        <v>41</v>
      </c>
      <c r="BB176" s="26" t="s">
        <v>794</v>
      </c>
      <c r="BC176" s="27" t="s">
        <v>66</v>
      </c>
      <c r="BD176" s="93" t="s">
        <v>716</v>
      </c>
      <c r="BE176" s="28"/>
      <c r="BF176" s="28"/>
    </row>
    <row r="177" spans="1:58" ht="20.25" customHeight="1">
      <c r="A177" s="27">
        <v>176</v>
      </c>
      <c r="B177" s="27" t="str">
        <f ca="1"/>
        <v>2025213982</v>
      </c>
      <c r="C177" s="137" t="str">
        <f ca="1"/>
        <v>Indusind General Insurance Co Ltd</v>
      </c>
      <c r="D177" s="27" t="str">
        <f ca="1"/>
        <v>MACT</v>
      </c>
      <c r="E177" s="27" t="str">
        <f ca="1"/>
        <v>R001-1176-SS-2025</v>
      </c>
      <c r="F177" s="206">
        <f ca="1"/>
        <v>46007</v>
      </c>
      <c r="G177" s="27" t="str">
        <f ca="1"/>
        <v>Dec-25</v>
      </c>
      <c r="H177" s="27" t="s">
        <v>718</v>
      </c>
      <c r="I177" s="29"/>
      <c r="J177" s="29">
        <f t="shared" ref="J177:J184" ca="1" si="14">IF(F177="", "",
    IF(OR(M177="WC Claim", M177="Partial Case"),
        WORKDAY(F177, 15),
    IF(OR(M177="Medical Verification", M177="Full Case"),
        WORKDAY(F177, 30),
    "")))</f>
        <v>46049</v>
      </c>
      <c r="K177" s="27">
        <f t="shared" ref="K177:K184" ca="1" si="15">IF(F177="", "", IF(ISNUMBER(H177), H177 - F177, TODAY() - F177))</f>
        <v>20</v>
      </c>
      <c r="L177" s="27" t="str">
        <f t="shared" ca="1" si="11"/>
        <v>WT</v>
      </c>
      <c r="M177" s="27" t="s">
        <v>704</v>
      </c>
      <c r="N177" s="27" t="s">
        <v>720</v>
      </c>
      <c r="O177" s="27" t="s">
        <v>721</v>
      </c>
      <c r="P177" s="27"/>
      <c r="Q177" s="93" t="s">
        <v>1748</v>
      </c>
      <c r="R177" s="93" t="s">
        <v>1749</v>
      </c>
      <c r="S177" s="28" t="s">
        <v>763</v>
      </c>
      <c r="T177" s="27" t="s">
        <v>721</v>
      </c>
      <c r="U177" s="28" t="s">
        <v>66</v>
      </c>
      <c r="V177" s="28" t="s">
        <v>41</v>
      </c>
      <c r="W177" s="28" t="s">
        <v>66</v>
      </c>
      <c r="X177" s="28" t="s">
        <v>41</v>
      </c>
      <c r="Y177" s="28" t="s">
        <v>1750</v>
      </c>
      <c r="Z177" s="93" t="s">
        <v>1751</v>
      </c>
      <c r="AA177" s="28" t="s">
        <v>763</v>
      </c>
      <c r="AB177" s="27" t="s">
        <v>41</v>
      </c>
      <c r="AC177" s="27" t="s">
        <v>721</v>
      </c>
      <c r="AD177" s="28" t="s">
        <v>66</v>
      </c>
      <c r="AE177" s="28" t="s">
        <v>66</v>
      </c>
      <c r="AF177" s="27" t="s">
        <v>66</v>
      </c>
      <c r="AG177" s="26" t="s">
        <v>706</v>
      </c>
      <c r="AH177" s="27" t="s">
        <v>41</v>
      </c>
      <c r="AI177" s="27" t="s">
        <v>41</v>
      </c>
      <c r="AJ177" s="27" t="s">
        <v>41</v>
      </c>
      <c r="AK177" s="27" t="s">
        <v>41</v>
      </c>
      <c r="AL177" s="27" t="s">
        <v>41</v>
      </c>
      <c r="AM177" s="27" t="s">
        <v>41</v>
      </c>
      <c r="AN177" s="27" t="s">
        <v>41</v>
      </c>
      <c r="AO177" s="27" t="s">
        <v>41</v>
      </c>
      <c r="AP177" s="27" t="s">
        <v>66</v>
      </c>
      <c r="AQ177" s="28" t="s">
        <v>1752</v>
      </c>
      <c r="AR177" s="28" t="s">
        <v>41</v>
      </c>
      <c r="AS177" s="27" t="s">
        <v>721</v>
      </c>
      <c r="AT177" s="28" t="s">
        <v>1753</v>
      </c>
      <c r="AU177" s="26" t="s">
        <v>1754</v>
      </c>
      <c r="AV177" s="27" t="s">
        <v>763</v>
      </c>
      <c r="AW177" s="27" t="s">
        <v>41</v>
      </c>
      <c r="AX177" s="27" t="s">
        <v>721</v>
      </c>
      <c r="AY177" s="28" t="s">
        <v>66</v>
      </c>
      <c r="AZ177" s="28" t="s">
        <v>66</v>
      </c>
      <c r="BA177" s="28" t="s">
        <v>41</v>
      </c>
      <c r="BB177" s="26" t="s">
        <v>41</v>
      </c>
      <c r="BC177" s="27" t="s">
        <v>66</v>
      </c>
      <c r="BD177" s="93" t="s">
        <v>716</v>
      </c>
      <c r="BE177" s="28"/>
      <c r="BF177" s="28"/>
    </row>
    <row r="178" spans="1:58" ht="20.25" customHeight="1">
      <c r="A178" s="27">
        <v>177</v>
      </c>
      <c r="B178" s="27" t="str">
        <f ca="1"/>
        <v>2025213945</v>
      </c>
      <c r="C178" s="137" t="str">
        <f ca="1"/>
        <v>Indusind General Insurance Co Ltd</v>
      </c>
      <c r="D178" s="27" t="str">
        <f ca="1"/>
        <v>MACT</v>
      </c>
      <c r="E178" s="27" t="str">
        <f ca="1"/>
        <v>R001-1177-SS-2025</v>
      </c>
      <c r="F178" s="206">
        <f ca="1"/>
        <v>46007</v>
      </c>
      <c r="G178" s="27" t="str">
        <f ca="1"/>
        <v>Dec-25</v>
      </c>
      <c r="H178" s="27" t="s">
        <v>718</v>
      </c>
      <c r="I178" s="29"/>
      <c r="J178" s="29">
        <f t="shared" ca="1" si="14"/>
        <v>46049</v>
      </c>
      <c r="K178" s="27">
        <f t="shared" ca="1" si="15"/>
        <v>20</v>
      </c>
      <c r="L178" s="27" t="str">
        <f t="shared" ca="1" si="11"/>
        <v>WT</v>
      </c>
      <c r="M178" s="27" t="s">
        <v>704</v>
      </c>
      <c r="N178" s="27" t="s">
        <v>720</v>
      </c>
      <c r="O178" s="27" t="s">
        <v>721</v>
      </c>
      <c r="P178" s="27"/>
      <c r="Q178" s="28" t="s">
        <v>1755</v>
      </c>
      <c r="R178" s="93" t="s">
        <v>1756</v>
      </c>
      <c r="S178" s="28" t="s">
        <v>845</v>
      </c>
      <c r="T178" s="27" t="s">
        <v>706</v>
      </c>
      <c r="U178" s="28" t="s">
        <v>66</v>
      </c>
      <c r="V178" s="28" t="s">
        <v>41</v>
      </c>
      <c r="W178" s="28" t="s">
        <v>66</v>
      </c>
      <c r="X178" s="28" t="s">
        <v>41</v>
      </c>
      <c r="Y178" s="28" t="s">
        <v>1757</v>
      </c>
      <c r="Z178" s="93" t="s">
        <v>1758</v>
      </c>
      <c r="AA178" s="28" t="s">
        <v>741</v>
      </c>
      <c r="AB178" s="27" t="s">
        <v>41</v>
      </c>
      <c r="AC178" s="27" t="s">
        <v>721</v>
      </c>
      <c r="AD178" s="93" t="s">
        <v>1759</v>
      </c>
      <c r="AE178" s="93" t="s">
        <v>1760</v>
      </c>
      <c r="AF178" s="27" t="s">
        <v>709</v>
      </c>
      <c r="AG178" s="27" t="s">
        <v>721</v>
      </c>
      <c r="AH178" s="27" t="s">
        <v>41</v>
      </c>
      <c r="AI178" s="27" t="s">
        <v>41</v>
      </c>
      <c r="AJ178" s="27" t="s">
        <v>41</v>
      </c>
      <c r="AK178" s="27" t="s">
        <v>41</v>
      </c>
      <c r="AL178" s="27" t="s">
        <v>41</v>
      </c>
      <c r="AM178" s="27" t="s">
        <v>41</v>
      </c>
      <c r="AN178" s="27" t="s">
        <v>41</v>
      </c>
      <c r="AO178" s="27" t="s">
        <v>41</v>
      </c>
      <c r="AP178" s="27" t="s">
        <v>66</v>
      </c>
      <c r="AQ178" s="28" t="s">
        <v>1761</v>
      </c>
      <c r="AR178" s="28" t="s">
        <v>845</v>
      </c>
      <c r="AS178" s="27" t="s">
        <v>706</v>
      </c>
      <c r="AT178" s="28" t="s">
        <v>1762</v>
      </c>
      <c r="AU178" s="26" t="s">
        <v>1763</v>
      </c>
      <c r="AV178" s="26" t="s">
        <v>845</v>
      </c>
      <c r="AW178" s="27" t="s">
        <v>41</v>
      </c>
      <c r="AX178" s="27" t="s">
        <v>721</v>
      </c>
      <c r="AY178" s="28" t="s">
        <v>66</v>
      </c>
      <c r="AZ178" s="28" t="s">
        <v>66</v>
      </c>
      <c r="BA178" s="28" t="s">
        <v>41</v>
      </c>
      <c r="BB178" s="26" t="s">
        <v>41</v>
      </c>
      <c r="BC178" s="27" t="s">
        <v>66</v>
      </c>
      <c r="BD178" s="93" t="s">
        <v>716</v>
      </c>
      <c r="BE178" s="28"/>
      <c r="BF178" s="28"/>
    </row>
    <row r="179" spans="1:58" ht="20.25" customHeight="1">
      <c r="A179" s="27">
        <v>178</v>
      </c>
      <c r="B179" s="27" t="str">
        <f ca="1"/>
        <v>2025213947</v>
      </c>
      <c r="C179" s="137" t="str">
        <f ca="1"/>
        <v>Indusind General Insurance Co Ltd</v>
      </c>
      <c r="D179" s="27" t="str">
        <f ca="1"/>
        <v>MACT</v>
      </c>
      <c r="E179" s="27" t="str">
        <f ca="1"/>
        <v>R001-1178-SS-2025</v>
      </c>
      <c r="F179" s="206">
        <f ca="1"/>
        <v>46007</v>
      </c>
      <c r="G179" s="27" t="str">
        <f ca="1"/>
        <v>Dec-25</v>
      </c>
      <c r="H179" s="27" t="s">
        <v>718</v>
      </c>
      <c r="I179" s="29"/>
      <c r="J179" s="29">
        <f t="shared" ca="1" si="14"/>
        <v>46049</v>
      </c>
      <c r="K179" s="27">
        <f t="shared" ca="1" si="15"/>
        <v>20</v>
      </c>
      <c r="L179" s="27" t="str">
        <f t="shared" ca="1" si="11"/>
        <v>WT</v>
      </c>
      <c r="M179" s="27" t="s">
        <v>704</v>
      </c>
      <c r="N179" s="27" t="s">
        <v>720</v>
      </c>
      <c r="O179" s="27" t="s">
        <v>721</v>
      </c>
      <c r="P179" s="27"/>
      <c r="Q179" s="28" t="s">
        <v>1764</v>
      </c>
      <c r="R179" s="28" t="s">
        <v>1765</v>
      </c>
      <c r="S179" s="28" t="s">
        <v>791</v>
      </c>
      <c r="T179" s="27" t="s">
        <v>794</v>
      </c>
      <c r="U179" s="28" t="s">
        <v>66</v>
      </c>
      <c r="V179" s="28" t="s">
        <v>66</v>
      </c>
      <c r="W179" s="28" t="s">
        <v>66</v>
      </c>
      <c r="X179" s="28" t="s">
        <v>41</v>
      </c>
      <c r="Y179" s="28" t="s">
        <v>1766</v>
      </c>
      <c r="Z179" s="28" t="s">
        <v>1767</v>
      </c>
      <c r="AA179" s="28" t="s">
        <v>963</v>
      </c>
      <c r="AB179" s="27" t="s">
        <v>41</v>
      </c>
      <c r="AC179" s="27" t="s">
        <v>794</v>
      </c>
      <c r="AD179" s="28" t="s">
        <v>1768</v>
      </c>
      <c r="AE179" s="93" t="s">
        <v>1769</v>
      </c>
      <c r="AF179" s="27" t="s">
        <v>791</v>
      </c>
      <c r="AG179" s="27" t="s">
        <v>794</v>
      </c>
      <c r="AH179" s="27" t="s">
        <v>41</v>
      </c>
      <c r="AI179" s="27" t="s">
        <v>41</v>
      </c>
      <c r="AJ179" s="27" t="s">
        <v>41</v>
      </c>
      <c r="AK179" s="27" t="s">
        <v>41</v>
      </c>
      <c r="AL179" s="27" t="s">
        <v>41</v>
      </c>
      <c r="AM179" s="27" t="s">
        <v>41</v>
      </c>
      <c r="AN179" s="27" t="s">
        <v>41</v>
      </c>
      <c r="AO179" s="27" t="s">
        <v>41</v>
      </c>
      <c r="AP179" s="27" t="s">
        <v>66</v>
      </c>
      <c r="AQ179" s="93" t="s">
        <v>1770</v>
      </c>
      <c r="AR179" s="28" t="s">
        <v>963</v>
      </c>
      <c r="AS179" s="27" t="s">
        <v>794</v>
      </c>
      <c r="AT179" s="28" t="s">
        <v>1771</v>
      </c>
      <c r="AU179" s="26" t="s">
        <v>1772</v>
      </c>
      <c r="AV179" s="27" t="s">
        <v>963</v>
      </c>
      <c r="AW179" s="27" t="s">
        <v>41</v>
      </c>
      <c r="AX179" s="27" t="s">
        <v>794</v>
      </c>
      <c r="AY179" s="28" t="s">
        <v>66</v>
      </c>
      <c r="AZ179" s="28" t="s">
        <v>66</v>
      </c>
      <c r="BA179" s="28" t="s">
        <v>41</v>
      </c>
      <c r="BB179" s="26" t="s">
        <v>41</v>
      </c>
      <c r="BC179" s="27" t="s">
        <v>66</v>
      </c>
      <c r="BD179" s="93" t="s">
        <v>716</v>
      </c>
      <c r="BE179" s="28"/>
      <c r="BF179" s="28"/>
    </row>
    <row r="180" spans="1:58" ht="20.25" customHeight="1">
      <c r="A180" s="27">
        <v>179</v>
      </c>
      <c r="B180" s="27" t="str">
        <f ca="1"/>
        <v>2025213937</v>
      </c>
      <c r="C180" s="137" t="str">
        <f ca="1"/>
        <v>Indusind General Insurance Co Ltd</v>
      </c>
      <c r="D180" s="27" t="str">
        <f ca="1"/>
        <v>MACT</v>
      </c>
      <c r="E180" s="27" t="str">
        <f ca="1"/>
        <v>R001-1179-SS-2025</v>
      </c>
      <c r="F180" s="206">
        <f ca="1"/>
        <v>46007</v>
      </c>
      <c r="G180" s="27" t="str">
        <f ca="1"/>
        <v>Dec-25</v>
      </c>
      <c r="H180" s="27" t="s">
        <v>718</v>
      </c>
      <c r="I180" s="29"/>
      <c r="J180" s="29">
        <f t="shared" ca="1" si="14"/>
        <v>46049</v>
      </c>
      <c r="K180" s="27">
        <f t="shared" ca="1" si="15"/>
        <v>20</v>
      </c>
      <c r="L180" s="27" t="str">
        <f t="shared" ca="1" si="11"/>
        <v>WT</v>
      </c>
      <c r="M180" s="27" t="s">
        <v>704</v>
      </c>
      <c r="N180" s="27" t="s">
        <v>720</v>
      </c>
      <c r="O180" s="27" t="s">
        <v>721</v>
      </c>
      <c r="P180" s="27"/>
      <c r="Q180" s="28" t="s">
        <v>1773</v>
      </c>
      <c r="R180" s="93" t="s">
        <v>1774</v>
      </c>
      <c r="S180" s="66" t="s">
        <v>1775</v>
      </c>
      <c r="T180" s="27" t="s">
        <v>721</v>
      </c>
      <c r="U180" s="28" t="s">
        <v>66</v>
      </c>
      <c r="V180" s="28" t="s">
        <v>66</v>
      </c>
      <c r="W180" s="28" t="s">
        <v>66</v>
      </c>
      <c r="X180" s="28" t="s">
        <v>41</v>
      </c>
      <c r="Y180" s="28" t="s">
        <v>1776</v>
      </c>
      <c r="Z180" s="93" t="s">
        <v>1777</v>
      </c>
      <c r="AA180" s="28" t="s">
        <v>763</v>
      </c>
      <c r="AB180" s="27" t="s">
        <v>41</v>
      </c>
      <c r="AC180" s="27" t="s">
        <v>721</v>
      </c>
      <c r="AD180" s="28" t="s">
        <v>66</v>
      </c>
      <c r="AE180" s="28" t="s">
        <v>66</v>
      </c>
      <c r="AF180" s="27" t="s">
        <v>41</v>
      </c>
      <c r="AG180" s="27" t="s">
        <v>794</v>
      </c>
      <c r="AH180" s="27" t="s">
        <v>41</v>
      </c>
      <c r="AI180" s="27" t="s">
        <v>41</v>
      </c>
      <c r="AJ180" s="27" t="s">
        <v>41</v>
      </c>
      <c r="AK180" s="27" t="s">
        <v>41</v>
      </c>
      <c r="AL180" s="27" t="s">
        <v>41</v>
      </c>
      <c r="AM180" s="27" t="s">
        <v>41</v>
      </c>
      <c r="AN180" s="27" t="s">
        <v>41</v>
      </c>
      <c r="AO180" s="27" t="s">
        <v>41</v>
      </c>
      <c r="AP180" s="27" t="s">
        <v>66</v>
      </c>
      <c r="AQ180" s="28" t="s">
        <v>1778</v>
      </c>
      <c r="AR180" s="28" t="s">
        <v>1779</v>
      </c>
      <c r="AS180" s="27" t="s">
        <v>706</v>
      </c>
      <c r="AT180" s="28" t="s">
        <v>1780</v>
      </c>
      <c r="AU180" s="93" t="s">
        <v>1781</v>
      </c>
      <c r="AV180" s="27" t="s">
        <v>1779</v>
      </c>
      <c r="AW180" s="27" t="s">
        <v>41</v>
      </c>
      <c r="AX180" s="27" t="s">
        <v>721</v>
      </c>
      <c r="AY180" s="28" t="s">
        <v>66</v>
      </c>
      <c r="AZ180" s="28" t="s">
        <v>66</v>
      </c>
      <c r="BA180" s="28" t="s">
        <v>41</v>
      </c>
      <c r="BB180" s="26" t="s">
        <v>41</v>
      </c>
      <c r="BC180" s="27" t="s">
        <v>66</v>
      </c>
      <c r="BD180" s="93" t="s">
        <v>716</v>
      </c>
      <c r="BE180" s="28"/>
      <c r="BF180" s="28"/>
    </row>
    <row r="181" spans="1:58" ht="20.25" customHeight="1">
      <c r="A181" s="27">
        <v>180</v>
      </c>
      <c r="B181" s="27" t="str">
        <f ca="1"/>
        <v>2025213914</v>
      </c>
      <c r="C181" s="137" t="str">
        <f ca="1"/>
        <v>Indusind General Insurance Co Ltd</v>
      </c>
      <c r="D181" s="27" t="str">
        <f ca="1"/>
        <v>MACT</v>
      </c>
      <c r="E181" s="27" t="str">
        <f ca="1"/>
        <v>R001-1180-SS-2025</v>
      </c>
      <c r="F181" s="206">
        <f ca="1"/>
        <v>46007</v>
      </c>
      <c r="G181" s="27" t="str">
        <f ca="1"/>
        <v>Dec-25</v>
      </c>
      <c r="H181" s="27" t="s">
        <v>718</v>
      </c>
      <c r="I181" s="29"/>
      <c r="J181" s="29">
        <f t="shared" ca="1" si="14"/>
        <v>46049</v>
      </c>
      <c r="K181" s="27">
        <f t="shared" ca="1" si="15"/>
        <v>20</v>
      </c>
      <c r="L181" s="27" t="str">
        <f t="shared" ca="1" si="11"/>
        <v>WT</v>
      </c>
      <c r="M181" s="27" t="s">
        <v>704</v>
      </c>
      <c r="N181" s="27" t="s">
        <v>720</v>
      </c>
      <c r="O181" s="27" t="s">
        <v>721</v>
      </c>
      <c r="P181" s="27"/>
      <c r="Q181" s="28" t="s">
        <v>1782</v>
      </c>
      <c r="R181" s="93" t="s">
        <v>1783</v>
      </c>
      <c r="S181" s="28" t="s">
        <v>754</v>
      </c>
      <c r="T181" s="27" t="s">
        <v>721</v>
      </c>
      <c r="U181" s="28" t="s">
        <v>66</v>
      </c>
      <c r="V181" s="28" t="s">
        <v>66</v>
      </c>
      <c r="W181" s="28" t="s">
        <v>66</v>
      </c>
      <c r="X181" s="28" t="s">
        <v>41</v>
      </c>
      <c r="Y181" s="28" t="s">
        <v>527</v>
      </c>
      <c r="Z181" s="93" t="s">
        <v>1784</v>
      </c>
      <c r="AA181" s="28" t="s">
        <v>754</v>
      </c>
      <c r="AB181" s="27" t="s">
        <v>41</v>
      </c>
      <c r="AC181" s="27" t="s">
        <v>721</v>
      </c>
      <c r="AD181" s="28" t="s">
        <v>66</v>
      </c>
      <c r="AE181" s="28" t="s">
        <v>66</v>
      </c>
      <c r="AF181" s="27" t="s">
        <v>41</v>
      </c>
      <c r="AG181" s="27" t="s">
        <v>41</v>
      </c>
      <c r="AH181" s="27" t="s">
        <v>41</v>
      </c>
      <c r="AI181" s="27" t="s">
        <v>41</v>
      </c>
      <c r="AJ181" s="27" t="s">
        <v>41</v>
      </c>
      <c r="AK181" s="27" t="s">
        <v>41</v>
      </c>
      <c r="AL181" s="27" t="s">
        <v>41</v>
      </c>
      <c r="AM181" s="27" t="s">
        <v>41</v>
      </c>
      <c r="AN181" s="27" t="s">
        <v>41</v>
      </c>
      <c r="AO181" s="27" t="s">
        <v>41</v>
      </c>
      <c r="AP181" s="27" t="s">
        <v>66</v>
      </c>
      <c r="AQ181" s="28" t="s">
        <v>1785</v>
      </c>
      <c r="AR181" s="28" t="s">
        <v>41</v>
      </c>
      <c r="AS181" s="27" t="s">
        <v>721</v>
      </c>
      <c r="AT181" s="28" t="s">
        <v>1786</v>
      </c>
      <c r="AU181" s="26" t="s">
        <v>1787</v>
      </c>
      <c r="AV181" s="27" t="s">
        <v>754</v>
      </c>
      <c r="AW181" s="27" t="s">
        <v>41</v>
      </c>
      <c r="AX181" s="27" t="s">
        <v>721</v>
      </c>
      <c r="AY181" s="28" t="s">
        <v>66</v>
      </c>
      <c r="AZ181" s="28" t="s">
        <v>66</v>
      </c>
      <c r="BA181" s="28" t="s">
        <v>41</v>
      </c>
      <c r="BB181" s="26" t="s">
        <v>41</v>
      </c>
      <c r="BC181" s="27" t="s">
        <v>66</v>
      </c>
      <c r="BD181" s="93" t="s">
        <v>716</v>
      </c>
      <c r="BE181" s="28"/>
      <c r="BF181" s="28"/>
    </row>
    <row r="182" spans="1:58" ht="20.25" customHeight="1">
      <c r="A182" s="27">
        <v>181</v>
      </c>
      <c r="B182" s="27" t="str">
        <f ca="1"/>
        <v>2025213905</v>
      </c>
      <c r="C182" s="137" t="str">
        <f ca="1"/>
        <v>Indusind General Insurance Co Ltd</v>
      </c>
      <c r="D182" s="27" t="str">
        <f ca="1"/>
        <v>MACT</v>
      </c>
      <c r="E182" s="27" t="str">
        <f ca="1"/>
        <v>R001-1181-SS-2025</v>
      </c>
      <c r="F182" s="206">
        <f ca="1"/>
        <v>46007</v>
      </c>
      <c r="G182" s="27" t="str">
        <f ca="1"/>
        <v>Dec-25</v>
      </c>
      <c r="H182" s="27" t="s">
        <v>718</v>
      </c>
      <c r="I182" s="29"/>
      <c r="J182" s="29">
        <f t="shared" ca="1" si="14"/>
        <v>46049</v>
      </c>
      <c r="K182" s="27">
        <f t="shared" ca="1" si="15"/>
        <v>20</v>
      </c>
      <c r="L182" s="27" t="str">
        <f t="shared" ca="1" si="11"/>
        <v>WT</v>
      </c>
      <c r="M182" s="27" t="s">
        <v>704</v>
      </c>
      <c r="N182" s="27" t="s">
        <v>720</v>
      </c>
      <c r="O182" s="27" t="s">
        <v>721</v>
      </c>
      <c r="P182" s="27"/>
      <c r="Q182" s="28" t="s">
        <v>1788</v>
      </c>
      <c r="R182" s="93" t="s">
        <v>1789</v>
      </c>
      <c r="S182" s="28" t="s">
        <v>871</v>
      </c>
      <c r="T182" s="27" t="s">
        <v>721</v>
      </c>
      <c r="U182" s="28" t="s">
        <v>66</v>
      </c>
      <c r="V182" s="28" t="s">
        <v>66</v>
      </c>
      <c r="W182" s="28" t="s">
        <v>66</v>
      </c>
      <c r="X182" s="28" t="s">
        <v>41</v>
      </c>
      <c r="Y182" s="28" t="s">
        <v>1790</v>
      </c>
      <c r="Z182" s="93" t="s">
        <v>1791</v>
      </c>
      <c r="AA182" s="28" t="s">
        <v>763</v>
      </c>
      <c r="AB182" s="27" t="s">
        <v>41</v>
      </c>
      <c r="AC182" s="26" t="s">
        <v>706</v>
      </c>
      <c r="AD182" s="28" t="s">
        <v>66</v>
      </c>
      <c r="AE182" s="28" t="s">
        <v>66</v>
      </c>
      <c r="AF182" s="27" t="s">
        <v>41</v>
      </c>
      <c r="AG182" s="27" t="s">
        <v>721</v>
      </c>
      <c r="AH182" s="27" t="s">
        <v>41</v>
      </c>
      <c r="AI182" s="27" t="s">
        <v>41</v>
      </c>
      <c r="AJ182" s="27" t="s">
        <v>41</v>
      </c>
      <c r="AK182" s="27" t="s">
        <v>41</v>
      </c>
      <c r="AL182" s="27" t="s">
        <v>41</v>
      </c>
      <c r="AM182" s="27" t="s">
        <v>41</v>
      </c>
      <c r="AN182" s="27" t="s">
        <v>41</v>
      </c>
      <c r="AO182" s="27" t="s">
        <v>41</v>
      </c>
      <c r="AP182" s="27" t="s">
        <v>66</v>
      </c>
      <c r="AQ182" s="28" t="s">
        <v>1792</v>
      </c>
      <c r="AR182" s="28" t="s">
        <v>871</v>
      </c>
      <c r="AS182" s="27" t="s">
        <v>706</v>
      </c>
      <c r="AT182" s="28" t="s">
        <v>1793</v>
      </c>
      <c r="AU182" s="26" t="s">
        <v>1794</v>
      </c>
      <c r="AV182" s="27" t="s">
        <v>871</v>
      </c>
      <c r="AW182" s="27" t="s">
        <v>41</v>
      </c>
      <c r="AX182" s="27" t="s">
        <v>721</v>
      </c>
      <c r="AY182" s="28" t="s">
        <v>66</v>
      </c>
      <c r="AZ182" s="28" t="s">
        <v>66</v>
      </c>
      <c r="BA182" s="28" t="s">
        <v>41</v>
      </c>
      <c r="BB182" s="26" t="s">
        <v>41</v>
      </c>
      <c r="BC182" s="27" t="s">
        <v>66</v>
      </c>
      <c r="BD182" s="93" t="s">
        <v>716</v>
      </c>
      <c r="BE182" s="28"/>
      <c r="BF182" s="28"/>
    </row>
    <row r="183" spans="1:58" ht="20.25" customHeight="1">
      <c r="A183" s="27">
        <v>182</v>
      </c>
      <c r="B183" s="27" t="str">
        <f ca="1"/>
        <v>2025213901</v>
      </c>
      <c r="C183" s="137" t="str">
        <f ca="1"/>
        <v>Indusind General Insurance Co Ltd</v>
      </c>
      <c r="D183" s="27" t="str">
        <f ca="1"/>
        <v>MACT</v>
      </c>
      <c r="E183" s="27" t="str">
        <f ca="1"/>
        <v>R001-1182-SS-2025</v>
      </c>
      <c r="F183" s="206">
        <f ca="1"/>
        <v>46007</v>
      </c>
      <c r="G183" s="27" t="str">
        <f ca="1"/>
        <v>Dec-25</v>
      </c>
      <c r="H183" s="27" t="s">
        <v>718</v>
      </c>
      <c r="I183" s="29"/>
      <c r="J183" s="29">
        <f t="shared" ca="1" si="14"/>
        <v>46049</v>
      </c>
      <c r="K183" s="27">
        <f t="shared" ca="1" si="15"/>
        <v>20</v>
      </c>
      <c r="L183" s="27" t="str">
        <f t="shared" ca="1" si="11"/>
        <v>WT</v>
      </c>
      <c r="M183" s="27" t="s">
        <v>704</v>
      </c>
      <c r="N183" s="27" t="s">
        <v>720</v>
      </c>
      <c r="O183" s="27" t="s">
        <v>721</v>
      </c>
      <c r="P183" s="27"/>
      <c r="Q183" s="93" t="s">
        <v>1795</v>
      </c>
      <c r="R183" s="28" t="s">
        <v>1796</v>
      </c>
      <c r="S183" s="28" t="s">
        <v>754</v>
      </c>
      <c r="T183" s="27" t="s">
        <v>721</v>
      </c>
      <c r="U183" s="28" t="s">
        <v>66</v>
      </c>
      <c r="V183" s="28" t="s">
        <v>66</v>
      </c>
      <c r="W183" s="28" t="s">
        <v>66</v>
      </c>
      <c r="X183" s="28" t="s">
        <v>41</v>
      </c>
      <c r="Y183" s="28" t="s">
        <v>1797</v>
      </c>
      <c r="Z183" s="28" t="s">
        <v>1798</v>
      </c>
      <c r="AA183" s="28" t="s">
        <v>754</v>
      </c>
      <c r="AB183" s="27" t="s">
        <v>41</v>
      </c>
      <c r="AC183" s="27" t="s">
        <v>721</v>
      </c>
      <c r="AD183" s="28" t="s">
        <v>66</v>
      </c>
      <c r="AE183" s="28" t="s">
        <v>66</v>
      </c>
      <c r="AF183" s="27" t="s">
        <v>41</v>
      </c>
      <c r="AG183" s="27" t="s">
        <v>41</v>
      </c>
      <c r="AH183" s="27" t="s">
        <v>41</v>
      </c>
      <c r="AI183" s="27" t="s">
        <v>41</v>
      </c>
      <c r="AJ183" s="27" t="s">
        <v>41</v>
      </c>
      <c r="AK183" s="27" t="s">
        <v>41</v>
      </c>
      <c r="AL183" s="27" t="s">
        <v>41</v>
      </c>
      <c r="AM183" s="27" t="s">
        <v>41</v>
      </c>
      <c r="AN183" s="27" t="s">
        <v>41</v>
      </c>
      <c r="AO183" s="27" t="s">
        <v>41</v>
      </c>
      <c r="AP183" s="27" t="s">
        <v>66</v>
      </c>
      <c r="AQ183" s="93" t="s">
        <v>1799</v>
      </c>
      <c r="AR183" s="28" t="s">
        <v>754</v>
      </c>
      <c r="AS183" s="27" t="s">
        <v>721</v>
      </c>
      <c r="AT183" s="28" t="s">
        <v>1800</v>
      </c>
      <c r="AU183" s="361" t="s">
        <v>1801</v>
      </c>
      <c r="AV183" s="27" t="s">
        <v>754</v>
      </c>
      <c r="AW183" s="27" t="s">
        <v>41</v>
      </c>
      <c r="AX183" s="27" t="s">
        <v>721</v>
      </c>
      <c r="AY183" s="28" t="s">
        <v>66</v>
      </c>
      <c r="AZ183" s="28" t="s">
        <v>66</v>
      </c>
      <c r="BA183" s="28" t="s">
        <v>41</v>
      </c>
      <c r="BB183" s="26" t="s">
        <v>41</v>
      </c>
      <c r="BC183" s="27" t="s">
        <v>66</v>
      </c>
      <c r="BD183" s="93" t="s">
        <v>716</v>
      </c>
      <c r="BE183" s="28"/>
      <c r="BF183" s="28"/>
    </row>
    <row r="184" spans="1:58" ht="20.25" customHeight="1">
      <c r="A184" s="27">
        <v>183</v>
      </c>
      <c r="B184" s="27" t="str">
        <f ca="1"/>
        <v>2025213898</v>
      </c>
      <c r="C184" s="137" t="str">
        <f ca="1"/>
        <v>Indusind General Insurance Co Ltd</v>
      </c>
      <c r="D184" s="27" t="str">
        <f ca="1"/>
        <v>MACT</v>
      </c>
      <c r="E184" s="27" t="str">
        <f ca="1"/>
        <v>R001-1183-SS-2025</v>
      </c>
      <c r="F184" s="206">
        <f ca="1"/>
        <v>46007</v>
      </c>
      <c r="G184" s="27" t="str">
        <f ca="1"/>
        <v>Dec-25</v>
      </c>
      <c r="H184" s="27" t="s">
        <v>718</v>
      </c>
      <c r="I184" s="29"/>
      <c r="J184" s="29">
        <f t="shared" ca="1" si="14"/>
        <v>46049</v>
      </c>
      <c r="K184" s="27">
        <f t="shared" ca="1" si="15"/>
        <v>20</v>
      </c>
      <c r="L184" s="27" t="str">
        <f t="shared" ca="1" si="11"/>
        <v>WT</v>
      </c>
      <c r="M184" s="27" t="s">
        <v>704</v>
      </c>
      <c r="N184" s="27" t="s">
        <v>720</v>
      </c>
      <c r="O184" s="27" t="s">
        <v>721</v>
      </c>
      <c r="P184" s="27"/>
      <c r="Q184" s="28" t="s">
        <v>1802</v>
      </c>
      <c r="R184" s="93" t="s">
        <v>1803</v>
      </c>
      <c r="S184" s="28" t="s">
        <v>754</v>
      </c>
      <c r="T184" s="27" t="s">
        <v>721</v>
      </c>
      <c r="U184" s="28" t="s">
        <v>66</v>
      </c>
      <c r="V184" s="28" t="s">
        <v>66</v>
      </c>
      <c r="W184" s="28" t="s">
        <v>66</v>
      </c>
      <c r="X184" s="28" t="s">
        <v>41</v>
      </c>
      <c r="Y184" s="28" t="s">
        <v>1804</v>
      </c>
      <c r="Z184" s="93" t="s">
        <v>1805</v>
      </c>
      <c r="AA184" s="28" t="s">
        <v>754</v>
      </c>
      <c r="AB184" s="27" t="s">
        <v>41</v>
      </c>
      <c r="AC184" s="27" t="s">
        <v>721</v>
      </c>
      <c r="AD184" s="28" t="s">
        <v>66</v>
      </c>
      <c r="AE184" s="28" t="s">
        <v>66</v>
      </c>
      <c r="AF184" s="27" t="s">
        <v>41</v>
      </c>
      <c r="AG184" s="27" t="s">
        <v>41</v>
      </c>
      <c r="AH184" s="27" t="s">
        <v>41</v>
      </c>
      <c r="AI184" s="27" t="s">
        <v>41</v>
      </c>
      <c r="AJ184" s="27" t="s">
        <v>41</v>
      </c>
      <c r="AK184" s="27" t="s">
        <v>41</v>
      </c>
      <c r="AL184" s="27" t="s">
        <v>41</v>
      </c>
      <c r="AM184" s="27" t="s">
        <v>41</v>
      </c>
      <c r="AN184" s="27" t="s">
        <v>41</v>
      </c>
      <c r="AO184" s="27" t="s">
        <v>41</v>
      </c>
      <c r="AP184" s="27" t="s">
        <v>66</v>
      </c>
      <c r="AQ184" s="93" t="s">
        <v>1806</v>
      </c>
      <c r="AR184" s="28" t="s">
        <v>754</v>
      </c>
      <c r="AS184" s="27" t="s">
        <v>721</v>
      </c>
      <c r="AT184" s="28" t="s">
        <v>1807</v>
      </c>
      <c r="AU184" s="361" t="s">
        <v>1801</v>
      </c>
      <c r="AV184" s="27" t="s">
        <v>754</v>
      </c>
      <c r="AW184" s="27" t="s">
        <v>41</v>
      </c>
      <c r="AX184" s="27" t="s">
        <v>721</v>
      </c>
      <c r="AY184" s="28" t="s">
        <v>66</v>
      </c>
      <c r="AZ184" s="28" t="s">
        <v>66</v>
      </c>
      <c r="BA184" s="28" t="s">
        <v>41</v>
      </c>
      <c r="BB184" s="26" t="s">
        <v>41</v>
      </c>
      <c r="BC184" s="27" t="s">
        <v>66</v>
      </c>
      <c r="BD184" s="93" t="s">
        <v>716</v>
      </c>
      <c r="BE184" s="28"/>
      <c r="BF184" s="28"/>
    </row>
    <row r="185" spans="1:58" ht="20.25" customHeight="1">
      <c r="A185" s="27">
        <v>184</v>
      </c>
      <c r="B185" s="27" t="str">
        <f ca="1"/>
        <v>2025213881</v>
      </c>
      <c r="C185" s="137" t="str">
        <f ca="1"/>
        <v>Indusind General Insurance Co Ltd</v>
      </c>
      <c r="D185" s="27" t="str">
        <f ca="1"/>
        <v>MACT</v>
      </c>
      <c r="E185" s="27" t="str">
        <f ca="1"/>
        <v>R001-1184-SS-2025</v>
      </c>
      <c r="F185" s="206">
        <f ca="1"/>
        <v>46007</v>
      </c>
      <c r="G185" s="27" t="str">
        <f ca="1"/>
        <v>Dec-25</v>
      </c>
      <c r="H185" s="27" t="s">
        <v>718</v>
      </c>
      <c r="I185" s="29"/>
      <c r="J185" s="29">
        <f t="shared" ref="J185" ca="1" si="16">IF(F185="", "",
    IF(OR(M185="WC Claim", M185="Partial Case"),
        WORKDAY(F185, 15),
    IF(OR(M185="Medical Verification", M185="Full Case"),
        WORKDAY(F185, 30),
    "")))</f>
        <v>46049</v>
      </c>
      <c r="K185" s="27">
        <f t="shared" ref="K185" ca="1" si="17">IF(F185="", "", IF(ISNUMBER(H185), H185 - F185, TODAY() - F185))</f>
        <v>20</v>
      </c>
      <c r="L185" s="27" t="str">
        <f t="shared" ca="1" si="11"/>
        <v>WT</v>
      </c>
      <c r="M185" s="27" t="s">
        <v>704</v>
      </c>
      <c r="N185" s="27" t="s">
        <v>720</v>
      </c>
      <c r="O185" s="27" t="s">
        <v>721</v>
      </c>
      <c r="P185" s="27"/>
      <c r="Q185" s="93" t="s">
        <v>1808</v>
      </c>
      <c r="R185" s="93" t="s">
        <v>1809</v>
      </c>
      <c r="S185" s="28" t="s">
        <v>754</v>
      </c>
      <c r="T185" s="27" t="s">
        <v>721</v>
      </c>
      <c r="U185" s="28" t="s">
        <v>66</v>
      </c>
      <c r="V185" s="28" t="s">
        <v>66</v>
      </c>
      <c r="W185" s="28" t="s">
        <v>66</v>
      </c>
      <c r="X185" s="28" t="s">
        <v>41</v>
      </c>
      <c r="Y185" s="28" t="s">
        <v>1810</v>
      </c>
      <c r="Z185" s="93" t="s">
        <v>1811</v>
      </c>
      <c r="AA185" s="28" t="s">
        <v>754</v>
      </c>
      <c r="AB185" s="27" t="s">
        <v>41</v>
      </c>
      <c r="AC185" s="27" t="s">
        <v>721</v>
      </c>
      <c r="AD185" s="28" t="s">
        <v>66</v>
      </c>
      <c r="AE185" s="28" t="s">
        <v>66</v>
      </c>
      <c r="AF185" s="27" t="s">
        <v>41</v>
      </c>
      <c r="AG185" s="27" t="s">
        <v>41</v>
      </c>
      <c r="AH185" s="27" t="s">
        <v>41</v>
      </c>
      <c r="AI185" s="27" t="s">
        <v>41</v>
      </c>
      <c r="AJ185" s="27" t="s">
        <v>41</v>
      </c>
      <c r="AK185" s="27" t="s">
        <v>41</v>
      </c>
      <c r="AL185" s="27" t="s">
        <v>41</v>
      </c>
      <c r="AM185" s="27" t="s">
        <v>41</v>
      </c>
      <c r="AN185" s="27" t="s">
        <v>41</v>
      </c>
      <c r="AO185" s="27" t="s">
        <v>41</v>
      </c>
      <c r="AP185" s="27" t="s">
        <v>66</v>
      </c>
      <c r="AQ185" s="28" t="s">
        <v>1812</v>
      </c>
      <c r="AR185" s="28" t="s">
        <v>41</v>
      </c>
      <c r="AS185" s="27" t="s">
        <v>721</v>
      </c>
      <c r="AT185" s="28" t="s">
        <v>1813</v>
      </c>
      <c r="AU185" s="26" t="s">
        <v>1814</v>
      </c>
      <c r="AV185" s="27" t="s">
        <v>754</v>
      </c>
      <c r="AW185" s="27" t="s">
        <v>41</v>
      </c>
      <c r="AX185" s="27" t="s">
        <v>721</v>
      </c>
      <c r="AY185" s="28" t="s">
        <v>66</v>
      </c>
      <c r="AZ185" s="28" t="s">
        <v>66</v>
      </c>
      <c r="BA185" s="28" t="s">
        <v>41</v>
      </c>
      <c r="BB185" s="26" t="s">
        <v>41</v>
      </c>
      <c r="BC185" s="27" t="s">
        <v>66</v>
      </c>
      <c r="BD185" s="93" t="s">
        <v>716</v>
      </c>
      <c r="BE185" s="28"/>
      <c r="BF185" s="28"/>
    </row>
    <row r="186" spans="1:58" ht="20.25" customHeight="1">
      <c r="A186" s="27">
        <v>185</v>
      </c>
      <c r="B186" s="27" t="str">
        <f ca="1"/>
        <v>2025213869</v>
      </c>
      <c r="C186" s="137" t="str">
        <f ca="1"/>
        <v>Indusind General Insurance Co Ltd</v>
      </c>
      <c r="D186" s="27" t="str">
        <f ca="1"/>
        <v>MACT</v>
      </c>
      <c r="E186" s="27" t="str">
        <f ca="1"/>
        <v>R001-1185-SS-2025</v>
      </c>
      <c r="F186" s="206">
        <f ca="1"/>
        <v>46007</v>
      </c>
      <c r="G186" s="27" t="str">
        <f ca="1"/>
        <v>Dec-25</v>
      </c>
      <c r="H186" s="27" t="s">
        <v>718</v>
      </c>
      <c r="I186" s="29"/>
      <c r="J186" s="29">
        <f t="shared" ref="J186" ca="1" si="18">IF(F186="", "",
    IF(OR(M186="WC Claim", M186="Partial Case"),
        WORKDAY(F186, 15),
    IF(OR(M186="Medical Verification", M186="Full Case"),
        WORKDAY(F186, 30),
    "")))</f>
        <v>46049</v>
      </c>
      <c r="K186" s="27">
        <f t="shared" ref="K186" ca="1" si="19">IF(F186="", "", IF(ISNUMBER(H186), H186 - F186, TODAY() - F186))</f>
        <v>20</v>
      </c>
      <c r="L186" s="27" t="str">
        <f t="shared" ca="1" si="11"/>
        <v>WT</v>
      </c>
      <c r="M186" s="27" t="s">
        <v>704</v>
      </c>
      <c r="N186" s="27" t="s">
        <v>720</v>
      </c>
      <c r="O186" s="27" t="s">
        <v>721</v>
      </c>
      <c r="P186" s="27"/>
      <c r="Q186" s="28" t="s">
        <v>1815</v>
      </c>
      <c r="R186" s="93" t="s">
        <v>1816</v>
      </c>
      <c r="S186" s="28" t="s">
        <v>754</v>
      </c>
      <c r="T186" s="27" t="s">
        <v>721</v>
      </c>
      <c r="U186" s="28" t="s">
        <v>66</v>
      </c>
      <c r="V186" s="28" t="s">
        <v>41</v>
      </c>
      <c r="W186" s="28" t="s">
        <v>66</v>
      </c>
      <c r="X186" s="28" t="s">
        <v>41</v>
      </c>
      <c r="Y186" s="28" t="s">
        <v>1817</v>
      </c>
      <c r="Z186" s="93" t="s">
        <v>1818</v>
      </c>
      <c r="AA186" s="28" t="s">
        <v>754</v>
      </c>
      <c r="AB186" s="27" t="s">
        <v>41</v>
      </c>
      <c r="AC186" s="27" t="s">
        <v>721</v>
      </c>
      <c r="AD186" s="28" t="s">
        <v>66</v>
      </c>
      <c r="AE186" s="28" t="s">
        <v>66</v>
      </c>
      <c r="AF186" s="27" t="s">
        <v>41</v>
      </c>
      <c r="AG186" s="27" t="s">
        <v>41</v>
      </c>
      <c r="AH186" s="27" t="s">
        <v>41</v>
      </c>
      <c r="AI186" s="27" t="s">
        <v>41</v>
      </c>
      <c r="AJ186" s="27" t="s">
        <v>41</v>
      </c>
      <c r="AK186" s="27" t="s">
        <v>41</v>
      </c>
      <c r="AL186" s="27" t="s">
        <v>41</v>
      </c>
      <c r="AM186" s="27" t="s">
        <v>41</v>
      </c>
      <c r="AN186" s="27" t="s">
        <v>41</v>
      </c>
      <c r="AO186" s="27" t="s">
        <v>41</v>
      </c>
      <c r="AP186" s="27" t="s">
        <v>66</v>
      </c>
      <c r="AQ186" s="28" t="s">
        <v>1819</v>
      </c>
      <c r="AR186" s="28" t="s">
        <v>754</v>
      </c>
      <c r="AS186" s="27" t="s">
        <v>721</v>
      </c>
      <c r="AT186" s="299" t="s">
        <v>1820</v>
      </c>
      <c r="AU186" s="26" t="s">
        <v>1821</v>
      </c>
      <c r="AV186" s="27" t="s">
        <v>41</v>
      </c>
      <c r="AW186" s="27" t="s">
        <v>41</v>
      </c>
      <c r="AX186" s="27" t="s">
        <v>721</v>
      </c>
      <c r="AY186" s="28" t="s">
        <v>66</v>
      </c>
      <c r="AZ186" s="28" t="s">
        <v>66</v>
      </c>
      <c r="BA186" s="28" t="s">
        <v>41</v>
      </c>
      <c r="BB186" s="26" t="s">
        <v>41</v>
      </c>
      <c r="BC186" s="27" t="s">
        <v>66</v>
      </c>
      <c r="BD186" s="93" t="s">
        <v>716</v>
      </c>
      <c r="BE186" s="28"/>
      <c r="BF186" s="28"/>
    </row>
    <row r="187" spans="1:58" ht="20.25" customHeight="1">
      <c r="A187" s="27">
        <v>186</v>
      </c>
      <c r="B187" s="27" t="str">
        <f ca="1"/>
        <v>2025213864</v>
      </c>
      <c r="C187" s="137" t="str">
        <f ca="1"/>
        <v>Indusind General Insurance Co Ltd</v>
      </c>
      <c r="D187" s="27" t="str">
        <f ca="1"/>
        <v>MACT</v>
      </c>
      <c r="E187" s="27" t="str">
        <f ca="1"/>
        <v>R001-1186-SS-2025</v>
      </c>
      <c r="F187" s="206">
        <f ca="1"/>
        <v>46007</v>
      </c>
      <c r="G187" s="27" t="str">
        <f ca="1"/>
        <v>Dec-25</v>
      </c>
      <c r="H187" s="27" t="s">
        <v>718</v>
      </c>
      <c r="I187" s="29"/>
      <c r="J187" s="29">
        <f t="shared" ref="J187" ca="1" si="20">IF(F187="", "",
    IF(OR(M187="WC Claim", M187="Partial Case"),
        WORKDAY(F187, 15),
    IF(OR(M187="Medical Verification", M187="Full Case"),
        WORKDAY(F187, 30),
    "")))</f>
        <v>46049</v>
      </c>
      <c r="K187" s="27">
        <f t="shared" ref="K187" ca="1" si="21">IF(F187="", "", IF(ISNUMBER(H187), H187 - F187, TODAY() - F187))</f>
        <v>20</v>
      </c>
      <c r="L187" s="27" t="str">
        <f t="shared" ca="1" si="11"/>
        <v>WT</v>
      </c>
      <c r="M187" s="27" t="s">
        <v>704</v>
      </c>
      <c r="N187" s="27" t="s">
        <v>720</v>
      </c>
      <c r="O187" s="27" t="s">
        <v>721</v>
      </c>
      <c r="P187" s="27"/>
      <c r="Q187" s="28" t="s">
        <v>1822</v>
      </c>
      <c r="R187" s="93" t="s">
        <v>1823</v>
      </c>
      <c r="S187" s="28" t="s">
        <v>754</v>
      </c>
      <c r="T187" s="27" t="s">
        <v>721</v>
      </c>
      <c r="U187" s="28" t="s">
        <v>66</v>
      </c>
      <c r="V187" s="28" t="s">
        <v>41</v>
      </c>
      <c r="W187" s="28" t="s">
        <v>66</v>
      </c>
      <c r="X187" s="28" t="s">
        <v>41</v>
      </c>
      <c r="Y187" s="28" t="s">
        <v>545</v>
      </c>
      <c r="Z187" s="93" t="s">
        <v>1824</v>
      </c>
      <c r="AA187" s="28" t="s">
        <v>754</v>
      </c>
      <c r="AB187" s="27" t="s">
        <v>41</v>
      </c>
      <c r="AC187" s="27" t="s">
        <v>721</v>
      </c>
      <c r="AD187" s="28" t="s">
        <v>66</v>
      </c>
      <c r="AE187" s="28" t="s">
        <v>66</v>
      </c>
      <c r="AF187" s="27" t="s">
        <v>41</v>
      </c>
      <c r="AG187" s="27" t="s">
        <v>41</v>
      </c>
      <c r="AH187" s="27" t="s">
        <v>41</v>
      </c>
      <c r="AI187" s="27" t="s">
        <v>41</v>
      </c>
      <c r="AJ187" s="27" t="s">
        <v>41</v>
      </c>
      <c r="AK187" s="27" t="s">
        <v>41</v>
      </c>
      <c r="AL187" s="27" t="s">
        <v>41</v>
      </c>
      <c r="AM187" s="27" t="s">
        <v>41</v>
      </c>
      <c r="AN187" s="27" t="s">
        <v>41</v>
      </c>
      <c r="AO187" s="27" t="s">
        <v>41</v>
      </c>
      <c r="AP187" s="27" t="s">
        <v>66</v>
      </c>
      <c r="AQ187" s="28" t="s">
        <v>1825</v>
      </c>
      <c r="AR187" s="28" t="s">
        <v>66</v>
      </c>
      <c r="AS187" s="27" t="s">
        <v>721</v>
      </c>
      <c r="AT187" s="28" t="s">
        <v>1826</v>
      </c>
      <c r="AU187" s="26" t="s">
        <v>1827</v>
      </c>
      <c r="AV187" s="27" t="s">
        <v>41</v>
      </c>
      <c r="AW187" s="27" t="s">
        <v>41</v>
      </c>
      <c r="AX187" s="27" t="s">
        <v>721</v>
      </c>
      <c r="AY187" s="28" t="s">
        <v>66</v>
      </c>
      <c r="AZ187" s="28" t="s">
        <v>66</v>
      </c>
      <c r="BA187" s="28" t="s">
        <v>41</v>
      </c>
      <c r="BB187" s="26" t="s">
        <v>41</v>
      </c>
      <c r="BC187" s="27" t="s">
        <v>66</v>
      </c>
      <c r="BD187" s="93" t="s">
        <v>716</v>
      </c>
      <c r="BE187" s="28"/>
      <c r="BF187" s="28"/>
    </row>
    <row r="188" spans="1:58" ht="20.25" customHeight="1">
      <c r="A188" s="27">
        <v>187</v>
      </c>
      <c r="B188" s="27" t="str">
        <f ca="1"/>
        <v>2025213860</v>
      </c>
      <c r="C188" s="137" t="str">
        <f ca="1"/>
        <v>Indusind General Insurance Co Ltd</v>
      </c>
      <c r="D188" s="27" t="str">
        <f ca="1"/>
        <v>MACT</v>
      </c>
      <c r="E188" s="27" t="str">
        <f ca="1"/>
        <v>R001-1187-SS-2025</v>
      </c>
      <c r="F188" s="206">
        <f ca="1"/>
        <v>46007</v>
      </c>
      <c r="G188" s="27" t="str">
        <f ca="1"/>
        <v>Dec-25</v>
      </c>
      <c r="H188" s="27" t="s">
        <v>718</v>
      </c>
      <c r="I188" s="29"/>
      <c r="J188" s="29">
        <f t="shared" ref="J188" ca="1" si="22">IF(F188="", "",
    IF(OR(M188="WC Claim", M188="Partial Case"),
        WORKDAY(F188, 15),
    IF(OR(M188="Medical Verification", M188="Full Case"),
        WORKDAY(F188, 30),
    "")))</f>
        <v>46049</v>
      </c>
      <c r="K188" s="27">
        <f t="shared" ref="K188" ca="1" si="23">IF(F188="", "", IF(ISNUMBER(H188), H188 - F188, TODAY() - F188))</f>
        <v>20</v>
      </c>
      <c r="L188" s="27" t="str">
        <f t="shared" ca="1" si="11"/>
        <v>WT</v>
      </c>
      <c r="M188" s="27" t="s">
        <v>704</v>
      </c>
      <c r="N188" s="27" t="s">
        <v>720</v>
      </c>
      <c r="O188" s="27" t="s">
        <v>721</v>
      </c>
      <c r="P188" s="27"/>
      <c r="Q188" s="28" t="s">
        <v>1828</v>
      </c>
      <c r="R188" s="93" t="s">
        <v>1829</v>
      </c>
      <c r="S188" s="28" t="s">
        <v>754</v>
      </c>
      <c r="T188" s="27" t="s">
        <v>721</v>
      </c>
      <c r="U188" s="28" t="s">
        <v>66</v>
      </c>
      <c r="V188" s="28" t="s">
        <v>41</v>
      </c>
      <c r="W188" s="28" t="s">
        <v>66</v>
      </c>
      <c r="X188" s="28" t="s">
        <v>41</v>
      </c>
      <c r="Y188" s="28" t="s">
        <v>1830</v>
      </c>
      <c r="Z188" s="93" t="s">
        <v>1831</v>
      </c>
      <c r="AA188" s="28" t="s">
        <v>754</v>
      </c>
      <c r="AB188" s="27" t="s">
        <v>41</v>
      </c>
      <c r="AC188" s="27" t="s">
        <v>721</v>
      </c>
      <c r="AD188" s="28" t="s">
        <v>66</v>
      </c>
      <c r="AE188" s="28" t="s">
        <v>66</v>
      </c>
      <c r="AF188" s="27" t="s">
        <v>41</v>
      </c>
      <c r="AG188" s="27" t="s">
        <v>41</v>
      </c>
      <c r="AH188" s="27" t="s">
        <v>41</v>
      </c>
      <c r="AI188" s="27" t="s">
        <v>41</v>
      </c>
      <c r="AJ188" s="27" t="s">
        <v>41</v>
      </c>
      <c r="AK188" s="27" t="s">
        <v>41</v>
      </c>
      <c r="AL188" s="27" t="s">
        <v>41</v>
      </c>
      <c r="AM188" s="27" t="s">
        <v>41</v>
      </c>
      <c r="AN188" s="27" t="s">
        <v>41</v>
      </c>
      <c r="AO188" s="27" t="s">
        <v>41</v>
      </c>
      <c r="AP188" s="27" t="s">
        <v>66</v>
      </c>
      <c r="AQ188" s="93" t="s">
        <v>1832</v>
      </c>
      <c r="AR188" s="28" t="s">
        <v>41</v>
      </c>
      <c r="AS188" s="27" t="s">
        <v>721</v>
      </c>
      <c r="AT188" s="28" t="s">
        <v>1833</v>
      </c>
      <c r="AU188" s="26" t="s">
        <v>1834</v>
      </c>
      <c r="AV188" s="27" t="s">
        <v>754</v>
      </c>
      <c r="AW188" s="27" t="s">
        <v>41</v>
      </c>
      <c r="AX188" s="27" t="s">
        <v>721</v>
      </c>
      <c r="AY188" s="28" t="s">
        <v>66</v>
      </c>
      <c r="AZ188" s="28" t="s">
        <v>66</v>
      </c>
      <c r="BA188" s="28" t="s">
        <v>41</v>
      </c>
      <c r="BB188" s="26" t="s">
        <v>41</v>
      </c>
      <c r="BC188" s="27" t="s">
        <v>66</v>
      </c>
      <c r="BD188" s="93" t="s">
        <v>716</v>
      </c>
      <c r="BE188" s="28"/>
      <c r="BF188" s="28"/>
    </row>
    <row r="189" spans="1:58" ht="20.25" customHeight="1">
      <c r="A189" s="27">
        <v>188</v>
      </c>
      <c r="B189" s="27" t="str">
        <f ca="1"/>
        <v>2025213854</v>
      </c>
      <c r="C189" s="137" t="str">
        <f ca="1"/>
        <v>Indusind General Insurance Co Ltd</v>
      </c>
      <c r="D189" s="27" t="str">
        <f ca="1"/>
        <v>MACT</v>
      </c>
      <c r="E189" s="27" t="str">
        <f ca="1"/>
        <v>R001-1188-SS-2025</v>
      </c>
      <c r="F189" s="206">
        <f ca="1"/>
        <v>46007</v>
      </c>
      <c r="G189" s="27" t="str">
        <f ca="1"/>
        <v>Dec-25</v>
      </c>
      <c r="H189" s="27" t="s">
        <v>718</v>
      </c>
      <c r="I189" s="29"/>
      <c r="J189" s="29">
        <f t="shared" ref="J189" ca="1" si="24">IF(F189="", "",
    IF(OR(M189="WC Claim", M189="Partial Case"),
        WORKDAY(F189, 15),
    IF(OR(M189="Medical Verification", M189="Full Case"),
        WORKDAY(F189, 30),
    "")))</f>
        <v>46049</v>
      </c>
      <c r="K189" s="27">
        <f t="shared" ref="K189" ca="1" si="25">IF(F189="", "", IF(ISNUMBER(H189), H189 - F189, TODAY() - F189))</f>
        <v>20</v>
      </c>
      <c r="L189" s="27" t="str">
        <f t="shared" ca="1" si="11"/>
        <v>WT</v>
      </c>
      <c r="M189" s="27" t="s">
        <v>704</v>
      </c>
      <c r="N189" s="27" t="s">
        <v>720</v>
      </c>
      <c r="O189" s="27" t="s">
        <v>721</v>
      </c>
      <c r="P189" s="27"/>
      <c r="Q189" s="93" t="s">
        <v>1835</v>
      </c>
      <c r="R189" s="93" t="s">
        <v>1836</v>
      </c>
      <c r="S189" s="28" t="s">
        <v>754</v>
      </c>
      <c r="T189" s="27" t="s">
        <v>721</v>
      </c>
      <c r="U189" s="28" t="s">
        <v>66</v>
      </c>
      <c r="V189" s="28" t="s">
        <v>41</v>
      </c>
      <c r="W189" s="28" t="s">
        <v>66</v>
      </c>
      <c r="X189" s="28" t="s">
        <v>41</v>
      </c>
      <c r="Y189" s="28" t="s">
        <v>551</v>
      </c>
      <c r="Z189" s="28" t="s">
        <v>1837</v>
      </c>
      <c r="AA189" s="28" t="s">
        <v>754</v>
      </c>
      <c r="AB189" s="27" t="s">
        <v>41</v>
      </c>
      <c r="AC189" s="27" t="s">
        <v>721</v>
      </c>
      <c r="AD189" s="28" t="s">
        <v>66</v>
      </c>
      <c r="AE189" s="28" t="s">
        <v>66</v>
      </c>
      <c r="AF189" s="27" t="s">
        <v>41</v>
      </c>
      <c r="AG189" s="27" t="s">
        <v>41</v>
      </c>
      <c r="AH189" s="27" t="s">
        <v>41</v>
      </c>
      <c r="AI189" s="27" t="s">
        <v>41</v>
      </c>
      <c r="AJ189" s="27" t="s">
        <v>41</v>
      </c>
      <c r="AK189" s="27" t="s">
        <v>41</v>
      </c>
      <c r="AL189" s="27" t="s">
        <v>41</v>
      </c>
      <c r="AM189" s="27" t="s">
        <v>41</v>
      </c>
      <c r="AN189" s="27" t="s">
        <v>41</v>
      </c>
      <c r="AO189" s="27" t="s">
        <v>41</v>
      </c>
      <c r="AP189" s="27" t="s">
        <v>66</v>
      </c>
      <c r="AQ189" s="28" t="s">
        <v>1838</v>
      </c>
      <c r="AR189" s="28" t="s">
        <v>754</v>
      </c>
      <c r="AS189" s="27" t="s">
        <v>721</v>
      </c>
      <c r="AT189" s="28" t="s">
        <v>1839</v>
      </c>
      <c r="AU189" s="26" t="s">
        <v>1840</v>
      </c>
      <c r="AV189" s="27" t="s">
        <v>754</v>
      </c>
      <c r="AW189" s="27" t="s">
        <v>41</v>
      </c>
      <c r="AX189" s="27" t="s">
        <v>721</v>
      </c>
      <c r="AY189" s="28" t="s">
        <v>66</v>
      </c>
      <c r="AZ189" s="28" t="s">
        <v>66</v>
      </c>
      <c r="BA189" s="28" t="s">
        <v>41</v>
      </c>
      <c r="BB189" s="26" t="s">
        <v>41</v>
      </c>
      <c r="BC189" s="27" t="s">
        <v>66</v>
      </c>
      <c r="BD189" s="93" t="s">
        <v>716</v>
      </c>
      <c r="BE189" s="28"/>
      <c r="BF189" s="28"/>
    </row>
    <row r="190" spans="1:58" ht="20.25" customHeight="1">
      <c r="A190" s="27">
        <v>189</v>
      </c>
      <c r="B190" s="27" t="str">
        <f ca="1"/>
        <v>2025213836</v>
      </c>
      <c r="C190" s="137" t="str">
        <f ca="1"/>
        <v>Indusind General Insurance Co Ltd</v>
      </c>
      <c r="D190" s="27" t="str">
        <f ca="1"/>
        <v>MACT</v>
      </c>
      <c r="E190" s="27" t="str">
        <f ca="1"/>
        <v>R001-1189-SS-2025</v>
      </c>
      <c r="F190" s="206">
        <f ca="1"/>
        <v>46007</v>
      </c>
      <c r="G190" s="27" t="str">
        <f ca="1"/>
        <v>Dec-25</v>
      </c>
      <c r="H190" s="27" t="s">
        <v>718</v>
      </c>
      <c r="I190" s="29"/>
      <c r="J190" s="29">
        <f t="shared" ref="J190:J196" ca="1" si="26">IF(F190="", "",
    IF(OR(M190="WC Claim", M190="Partial Case"),
        WORKDAY(F190, 15),
    IF(OR(M190="Medical Verification", M190="Full Case"),
        WORKDAY(F190, 30),
    "")))</f>
        <v>46049</v>
      </c>
      <c r="K190" s="27">
        <f t="shared" ref="K190:K196" ca="1" si="27">IF(F190="", "", IF(ISNUMBER(H190), H190 - F190, TODAY() - F190))</f>
        <v>20</v>
      </c>
      <c r="L190" s="27" t="str">
        <f t="shared" ca="1" si="11"/>
        <v>WT</v>
      </c>
      <c r="M190" s="27" t="s">
        <v>704</v>
      </c>
      <c r="N190" s="27" t="s">
        <v>720</v>
      </c>
      <c r="O190" s="27" t="s">
        <v>721</v>
      </c>
      <c r="P190" s="27"/>
      <c r="Q190" s="93" t="s">
        <v>1841</v>
      </c>
      <c r="R190" s="93" t="s">
        <v>1842</v>
      </c>
      <c r="S190" s="28" t="s">
        <v>754</v>
      </c>
      <c r="T190" s="27" t="s">
        <v>721</v>
      </c>
      <c r="U190" s="28" t="s">
        <v>66</v>
      </c>
      <c r="V190" s="28" t="s">
        <v>41</v>
      </c>
      <c r="W190" s="28" t="s">
        <v>66</v>
      </c>
      <c r="X190" s="28" t="s">
        <v>41</v>
      </c>
      <c r="Y190" s="28" t="s">
        <v>1843</v>
      </c>
      <c r="Z190" s="93" t="s">
        <v>1844</v>
      </c>
      <c r="AA190" s="28" t="s">
        <v>754</v>
      </c>
      <c r="AB190" s="27" t="s">
        <v>41</v>
      </c>
      <c r="AC190" s="27" t="s">
        <v>721</v>
      </c>
      <c r="AD190" s="28" t="s">
        <v>66</v>
      </c>
      <c r="AE190" s="28" t="s">
        <v>66</v>
      </c>
      <c r="AF190" s="27" t="s">
        <v>41</v>
      </c>
      <c r="AG190" s="27" t="s">
        <v>41</v>
      </c>
      <c r="AH190" s="27" t="s">
        <v>41</v>
      </c>
      <c r="AI190" s="27" t="s">
        <v>41</v>
      </c>
      <c r="AJ190" s="27" t="s">
        <v>41</v>
      </c>
      <c r="AK190" s="27" t="s">
        <v>41</v>
      </c>
      <c r="AL190" s="27" t="s">
        <v>41</v>
      </c>
      <c r="AM190" s="27" t="s">
        <v>41</v>
      </c>
      <c r="AN190" s="27" t="s">
        <v>41</v>
      </c>
      <c r="AO190" s="27" t="s">
        <v>41</v>
      </c>
      <c r="AP190" s="27" t="s">
        <v>66</v>
      </c>
      <c r="AQ190" s="93" t="s">
        <v>1845</v>
      </c>
      <c r="AR190" s="28" t="s">
        <v>41</v>
      </c>
      <c r="AS190" s="27" t="s">
        <v>721</v>
      </c>
      <c r="AT190" s="28" t="s">
        <v>1846</v>
      </c>
      <c r="AU190" s="26" t="s">
        <v>1847</v>
      </c>
      <c r="AV190" s="27" t="s">
        <v>754</v>
      </c>
      <c r="AW190" s="27" t="s">
        <v>41</v>
      </c>
      <c r="AX190" s="27" t="s">
        <v>721</v>
      </c>
      <c r="AY190" s="28" t="s">
        <v>66</v>
      </c>
      <c r="AZ190" s="28" t="s">
        <v>66</v>
      </c>
      <c r="BA190" s="28" t="s">
        <v>41</v>
      </c>
      <c r="BB190" s="26" t="s">
        <v>41</v>
      </c>
      <c r="BC190" s="27" t="s">
        <v>66</v>
      </c>
      <c r="BD190" s="93" t="s">
        <v>716</v>
      </c>
      <c r="BE190" s="28"/>
      <c r="BF190" s="28"/>
    </row>
    <row r="191" spans="1:58" ht="20.25" customHeight="1">
      <c r="A191" s="27">
        <v>190</v>
      </c>
      <c r="B191" s="27" t="str">
        <f ca="1"/>
        <v>2025213495</v>
      </c>
      <c r="C191" s="137" t="str">
        <f ca="1"/>
        <v>Indusind General Insurance Co Ltd</v>
      </c>
      <c r="D191" s="27" t="str">
        <f ca="1"/>
        <v>MACT</v>
      </c>
      <c r="E191" s="27" t="str">
        <f ca="1"/>
        <v>R001-1190-SS-2025</v>
      </c>
      <c r="F191" s="206">
        <f ca="1"/>
        <v>46008</v>
      </c>
      <c r="G191" s="27" t="str">
        <f ca="1"/>
        <v>Dec-25</v>
      </c>
      <c r="H191" s="27" t="s">
        <v>718</v>
      </c>
      <c r="I191" s="29"/>
      <c r="J191" s="29">
        <f t="shared" ca="1" si="26"/>
        <v>46050</v>
      </c>
      <c r="K191" s="27">
        <f t="shared" ca="1" si="27"/>
        <v>19</v>
      </c>
      <c r="L191" s="27" t="str">
        <f t="shared" ca="1" si="11"/>
        <v>WT</v>
      </c>
      <c r="M191" s="27" t="s">
        <v>704</v>
      </c>
      <c r="N191" s="27" t="s">
        <v>720</v>
      </c>
      <c r="O191" s="27" t="s">
        <v>721</v>
      </c>
      <c r="P191" s="27"/>
      <c r="Q191" s="28" t="s">
        <v>1848</v>
      </c>
      <c r="R191" s="93" t="s">
        <v>1849</v>
      </c>
      <c r="S191" s="66" t="s">
        <v>1850</v>
      </c>
      <c r="T191" s="27" t="s">
        <v>794</v>
      </c>
      <c r="U191" s="28" t="s">
        <v>66</v>
      </c>
      <c r="V191" s="28" t="s">
        <v>41</v>
      </c>
      <c r="W191" s="28" t="s">
        <v>66</v>
      </c>
      <c r="X191" s="28" t="s">
        <v>41</v>
      </c>
      <c r="Y191" s="28" t="s">
        <v>557</v>
      </c>
      <c r="Z191" s="93" t="s">
        <v>1851</v>
      </c>
      <c r="AA191" s="28" t="s">
        <v>837</v>
      </c>
      <c r="AB191" s="27" t="s">
        <v>41</v>
      </c>
      <c r="AC191" s="26" t="s">
        <v>706</v>
      </c>
      <c r="AD191" s="28" t="s">
        <v>1852</v>
      </c>
      <c r="AE191" s="93" t="s">
        <v>1853</v>
      </c>
      <c r="AF191" s="27" t="s">
        <v>1854</v>
      </c>
      <c r="AG191" s="26" t="s">
        <v>706</v>
      </c>
      <c r="AH191" s="27" t="s">
        <v>41</v>
      </c>
      <c r="AI191" s="27" t="s">
        <v>41</v>
      </c>
      <c r="AJ191" s="27" t="s">
        <v>41</v>
      </c>
      <c r="AK191" s="27" t="s">
        <v>41</v>
      </c>
      <c r="AL191" s="27" t="s">
        <v>41</v>
      </c>
      <c r="AM191" s="27" t="s">
        <v>41</v>
      </c>
      <c r="AN191" s="27" t="s">
        <v>41</v>
      </c>
      <c r="AO191" s="27" t="s">
        <v>41</v>
      </c>
      <c r="AP191" s="27" t="s">
        <v>66</v>
      </c>
      <c r="AQ191" s="28" t="s">
        <v>1855</v>
      </c>
      <c r="AR191" s="28" t="s">
        <v>741</v>
      </c>
      <c r="AS191" s="27" t="s">
        <v>794</v>
      </c>
      <c r="AT191" s="28" t="s">
        <v>1856</v>
      </c>
      <c r="AU191" s="26" t="s">
        <v>1857</v>
      </c>
      <c r="AV191" s="27" t="s">
        <v>741</v>
      </c>
      <c r="AW191" s="27" t="s">
        <v>41</v>
      </c>
      <c r="AX191" s="27" t="s">
        <v>794</v>
      </c>
      <c r="AY191" s="28" t="s">
        <v>66</v>
      </c>
      <c r="AZ191" s="28" t="s">
        <v>66</v>
      </c>
      <c r="BA191" s="28" t="s">
        <v>41</v>
      </c>
      <c r="BB191" s="26" t="s">
        <v>41</v>
      </c>
      <c r="BC191" s="27" t="s">
        <v>66</v>
      </c>
      <c r="BD191" s="93" t="s">
        <v>716</v>
      </c>
      <c r="BE191" s="28"/>
      <c r="BF191" s="28"/>
    </row>
    <row r="192" spans="1:58" ht="20.25" customHeight="1">
      <c r="A192" s="27">
        <v>191</v>
      </c>
      <c r="B192" s="27" t="str">
        <f ca="1"/>
        <v>2025213494</v>
      </c>
      <c r="C192" s="137" t="str">
        <f ca="1"/>
        <v>Indusind General Insurance Co Ltd</v>
      </c>
      <c r="D192" s="27" t="str">
        <f ca="1"/>
        <v>MACT</v>
      </c>
      <c r="E192" s="27" t="str">
        <f ca="1"/>
        <v>R001-1191-SS-2025</v>
      </c>
      <c r="F192" s="206">
        <f ca="1"/>
        <v>46008</v>
      </c>
      <c r="G192" s="27" t="str">
        <f ca="1"/>
        <v>Dec-25</v>
      </c>
      <c r="H192" s="27" t="s">
        <v>718</v>
      </c>
      <c r="I192" s="29"/>
      <c r="J192" s="29" t="str">
        <f t="shared" ca="1" si="26"/>
        <v/>
      </c>
      <c r="K192" s="27">
        <f t="shared" ca="1" si="27"/>
        <v>19</v>
      </c>
      <c r="L192" s="27" t="str">
        <f t="shared" ca="1" si="11"/>
        <v>WT</v>
      </c>
      <c r="M192" s="27" t="s">
        <v>719</v>
      </c>
      <c r="N192" s="27" t="s">
        <v>720</v>
      </c>
      <c r="O192" s="27" t="s">
        <v>794</v>
      </c>
      <c r="P192" s="68" t="s">
        <v>1858</v>
      </c>
      <c r="Q192" s="28" t="s">
        <v>1859</v>
      </c>
      <c r="R192" s="93" t="s">
        <v>1860</v>
      </c>
      <c r="S192" s="66" t="s">
        <v>1850</v>
      </c>
      <c r="T192" s="27" t="s">
        <v>794</v>
      </c>
      <c r="U192" s="28" t="s">
        <v>66</v>
      </c>
      <c r="V192" s="28" t="s">
        <v>41</v>
      </c>
      <c r="W192" s="28" t="s">
        <v>66</v>
      </c>
      <c r="X192" s="28" t="s">
        <v>41</v>
      </c>
      <c r="Y192" s="28" t="s">
        <v>66</v>
      </c>
      <c r="Z192" s="28" t="s">
        <v>66</v>
      </c>
      <c r="AA192" s="28" t="s">
        <v>66</v>
      </c>
      <c r="AB192" s="28" t="s">
        <v>66</v>
      </c>
      <c r="AC192" s="28" t="s">
        <v>66</v>
      </c>
      <c r="AD192" s="28" t="s">
        <v>66</v>
      </c>
      <c r="AE192" s="28" t="s">
        <v>66</v>
      </c>
      <c r="AF192" s="28" t="s">
        <v>66</v>
      </c>
      <c r="AG192" s="28" t="s">
        <v>66</v>
      </c>
      <c r="AH192" s="27" t="s">
        <v>41</v>
      </c>
      <c r="AI192" s="27" t="s">
        <v>41</v>
      </c>
      <c r="AJ192" s="27" t="s">
        <v>41</v>
      </c>
      <c r="AK192" s="27" t="s">
        <v>41</v>
      </c>
      <c r="AL192" s="27" t="s">
        <v>41</v>
      </c>
      <c r="AM192" s="27" t="s">
        <v>41</v>
      </c>
      <c r="AN192" s="27" t="s">
        <v>41</v>
      </c>
      <c r="AO192" s="27" t="s">
        <v>41</v>
      </c>
      <c r="AP192" s="27" t="s">
        <v>41</v>
      </c>
      <c r="AQ192" s="27" t="s">
        <v>41</v>
      </c>
      <c r="AR192" s="27" t="s">
        <v>41</v>
      </c>
      <c r="AS192" s="27" t="s">
        <v>41</v>
      </c>
      <c r="AT192" s="27" t="s">
        <v>41</v>
      </c>
      <c r="AU192" s="27" t="s">
        <v>41</v>
      </c>
      <c r="AV192" s="27" t="s">
        <v>41</v>
      </c>
      <c r="AW192" s="27" t="s">
        <v>41</v>
      </c>
      <c r="AX192" s="27" t="s">
        <v>41</v>
      </c>
      <c r="AY192" s="28" t="s">
        <v>66</v>
      </c>
      <c r="AZ192" s="28" t="s">
        <v>66</v>
      </c>
      <c r="BA192" s="28" t="s">
        <v>41</v>
      </c>
      <c r="BB192" s="26" t="s">
        <v>41</v>
      </c>
      <c r="BC192" s="27" t="s">
        <v>66</v>
      </c>
      <c r="BD192" s="93" t="s">
        <v>716</v>
      </c>
      <c r="BE192" s="28"/>
      <c r="BF192" s="28"/>
    </row>
    <row r="193" spans="1:58" ht="20.25" customHeight="1">
      <c r="A193" s="27">
        <v>192</v>
      </c>
      <c r="B193" s="27" t="str">
        <f ca="1"/>
        <v>2025213493</v>
      </c>
      <c r="C193" s="137" t="str">
        <f ca="1"/>
        <v>Indusind General Insurance Co Ltd</v>
      </c>
      <c r="D193" s="27" t="str">
        <f ca="1"/>
        <v>MACT</v>
      </c>
      <c r="E193" s="27" t="str">
        <f ca="1"/>
        <v>R001-1192-SS-2025</v>
      </c>
      <c r="F193" s="206">
        <f ca="1"/>
        <v>46008</v>
      </c>
      <c r="G193" s="27" t="str">
        <f ca="1"/>
        <v>Dec-25</v>
      </c>
      <c r="H193" s="27" t="s">
        <v>718</v>
      </c>
      <c r="I193" s="29"/>
      <c r="J193" s="29" t="str">
        <f t="shared" ca="1" si="26"/>
        <v/>
      </c>
      <c r="K193" s="27">
        <f t="shared" ca="1" si="27"/>
        <v>19</v>
      </c>
      <c r="L193" s="27" t="str">
        <f t="shared" ca="1" si="11"/>
        <v>WT</v>
      </c>
      <c r="M193" s="27" t="s">
        <v>719</v>
      </c>
      <c r="N193" s="27" t="s">
        <v>720</v>
      </c>
      <c r="O193" s="27" t="s">
        <v>794</v>
      </c>
      <c r="P193" s="68" t="s">
        <v>1858</v>
      </c>
      <c r="Q193" s="28" t="s">
        <v>1861</v>
      </c>
      <c r="R193" s="93" t="s">
        <v>1862</v>
      </c>
      <c r="S193" s="66" t="s">
        <v>1850</v>
      </c>
      <c r="T193" s="27" t="s">
        <v>794</v>
      </c>
      <c r="U193" s="28" t="s">
        <v>66</v>
      </c>
      <c r="V193" s="28" t="s">
        <v>41</v>
      </c>
      <c r="W193" s="28" t="s">
        <v>66</v>
      </c>
      <c r="X193" s="28" t="s">
        <v>41</v>
      </c>
      <c r="Y193" s="28" t="s">
        <v>66</v>
      </c>
      <c r="Z193" s="28" t="s">
        <v>66</v>
      </c>
      <c r="AA193" s="28" t="s">
        <v>66</v>
      </c>
      <c r="AB193" s="28" t="s">
        <v>66</v>
      </c>
      <c r="AC193" s="28" t="s">
        <v>66</v>
      </c>
      <c r="AD193" s="28" t="s">
        <v>66</v>
      </c>
      <c r="AE193" s="28" t="s">
        <v>66</v>
      </c>
      <c r="AF193" s="28" t="s">
        <v>66</v>
      </c>
      <c r="AG193" s="28" t="s">
        <v>66</v>
      </c>
      <c r="AH193" s="27" t="s">
        <v>41</v>
      </c>
      <c r="AI193" s="27" t="s">
        <v>41</v>
      </c>
      <c r="AJ193" s="27" t="s">
        <v>41</v>
      </c>
      <c r="AK193" s="27" t="s">
        <v>41</v>
      </c>
      <c r="AL193" s="27" t="s">
        <v>41</v>
      </c>
      <c r="AM193" s="27" t="s">
        <v>41</v>
      </c>
      <c r="AN193" s="27" t="s">
        <v>41</v>
      </c>
      <c r="AO193" s="27" t="s">
        <v>41</v>
      </c>
      <c r="AP193" s="27" t="s">
        <v>41</v>
      </c>
      <c r="AQ193" s="27" t="s">
        <v>41</v>
      </c>
      <c r="AR193" s="27" t="s">
        <v>41</v>
      </c>
      <c r="AS193" s="27" t="s">
        <v>41</v>
      </c>
      <c r="AT193" s="27" t="s">
        <v>41</v>
      </c>
      <c r="AU193" s="27" t="s">
        <v>41</v>
      </c>
      <c r="AV193" s="27" t="s">
        <v>41</v>
      </c>
      <c r="AW193" s="27" t="s">
        <v>41</v>
      </c>
      <c r="AX193" s="27" t="s">
        <v>41</v>
      </c>
      <c r="AY193" s="28" t="s">
        <v>66</v>
      </c>
      <c r="AZ193" s="28" t="s">
        <v>66</v>
      </c>
      <c r="BA193" s="28" t="s">
        <v>41</v>
      </c>
      <c r="BB193" s="26" t="s">
        <v>41</v>
      </c>
      <c r="BC193" s="27" t="s">
        <v>66</v>
      </c>
      <c r="BD193" s="93" t="s">
        <v>716</v>
      </c>
      <c r="BE193" s="28"/>
      <c r="BF193" s="28"/>
    </row>
    <row r="194" spans="1:58" ht="20.25" customHeight="1">
      <c r="A194" s="27">
        <v>193</v>
      </c>
      <c r="B194" s="27" t="str">
        <f ca="1"/>
        <v>2025213492</v>
      </c>
      <c r="C194" s="137" t="str">
        <f ca="1"/>
        <v>Indusind General Insurance Co Ltd</v>
      </c>
      <c r="D194" s="27" t="str">
        <f ca="1"/>
        <v>MACT</v>
      </c>
      <c r="E194" s="27" t="str">
        <f ca="1"/>
        <v>R001-1193-SS-2025</v>
      </c>
      <c r="F194" s="206">
        <f ca="1"/>
        <v>46008</v>
      </c>
      <c r="G194" s="27" t="str">
        <f ca="1"/>
        <v>Dec-25</v>
      </c>
      <c r="H194" s="27" t="s">
        <v>718</v>
      </c>
      <c r="I194" s="29"/>
      <c r="J194" s="29" t="str">
        <f t="shared" ca="1" si="26"/>
        <v/>
      </c>
      <c r="K194" s="27">
        <f t="shared" ca="1" si="27"/>
        <v>19</v>
      </c>
      <c r="L194" s="27" t="str">
        <f t="shared" ca="1" si="11"/>
        <v>WT</v>
      </c>
      <c r="M194" s="27" t="s">
        <v>719</v>
      </c>
      <c r="N194" s="27" t="s">
        <v>720</v>
      </c>
      <c r="O194" s="27" t="s">
        <v>721</v>
      </c>
      <c r="P194" s="68" t="s">
        <v>1858</v>
      </c>
      <c r="Q194" s="28" t="s">
        <v>1863</v>
      </c>
      <c r="R194" s="93" t="s">
        <v>1864</v>
      </c>
      <c r="S194" s="66" t="s">
        <v>1850</v>
      </c>
      <c r="T194" s="27" t="s">
        <v>721</v>
      </c>
      <c r="U194" s="28" t="s">
        <v>66</v>
      </c>
      <c r="V194" s="28" t="s">
        <v>41</v>
      </c>
      <c r="W194" s="28" t="s">
        <v>66</v>
      </c>
      <c r="X194" s="28" t="s">
        <v>41</v>
      </c>
      <c r="Y194" s="28" t="s">
        <v>66</v>
      </c>
      <c r="Z194" s="28" t="s">
        <v>66</v>
      </c>
      <c r="AA194" s="28" t="s">
        <v>66</v>
      </c>
      <c r="AB194" s="28" t="s">
        <v>66</v>
      </c>
      <c r="AC194" s="28" t="s">
        <v>721</v>
      </c>
      <c r="AD194" s="28" t="s">
        <v>66</v>
      </c>
      <c r="AE194" s="28" t="s">
        <v>66</v>
      </c>
      <c r="AF194" s="28" t="s">
        <v>66</v>
      </c>
      <c r="AG194" s="28" t="s">
        <v>41</v>
      </c>
      <c r="AH194" s="27" t="s">
        <v>41</v>
      </c>
      <c r="AI194" s="27" t="s">
        <v>41</v>
      </c>
      <c r="AJ194" s="27" t="s">
        <v>41</v>
      </c>
      <c r="AK194" s="27" t="s">
        <v>41</v>
      </c>
      <c r="AL194" s="27" t="s">
        <v>41</v>
      </c>
      <c r="AM194" s="27" t="s">
        <v>41</v>
      </c>
      <c r="AN194" s="27" t="s">
        <v>41</v>
      </c>
      <c r="AO194" s="27" t="s">
        <v>41</v>
      </c>
      <c r="AP194" s="27" t="s">
        <v>41</v>
      </c>
      <c r="AQ194" s="27" t="s">
        <v>41</v>
      </c>
      <c r="AR194" s="27" t="s">
        <v>41</v>
      </c>
      <c r="AS194" s="27" t="s">
        <v>721</v>
      </c>
      <c r="AT194" s="27" t="s">
        <v>41</v>
      </c>
      <c r="AU194" s="27" t="s">
        <v>41</v>
      </c>
      <c r="AV194" s="27" t="s">
        <v>41</v>
      </c>
      <c r="AW194" s="27" t="s">
        <v>41</v>
      </c>
      <c r="AX194" s="27" t="s">
        <v>794</v>
      </c>
      <c r="AY194" s="28" t="s">
        <v>66</v>
      </c>
      <c r="AZ194" s="28" t="s">
        <v>66</v>
      </c>
      <c r="BA194" s="28" t="s">
        <v>41</v>
      </c>
      <c r="BB194" s="26" t="s">
        <v>41</v>
      </c>
      <c r="BC194" s="27" t="s">
        <v>66</v>
      </c>
      <c r="BD194" s="93" t="s">
        <v>716</v>
      </c>
      <c r="BE194" s="28"/>
      <c r="BF194" s="28"/>
    </row>
    <row r="195" spans="1:58" ht="20.25" customHeight="1">
      <c r="A195" s="27">
        <v>194</v>
      </c>
      <c r="B195" s="27" t="str">
        <f ca="1"/>
        <v>2024208871</v>
      </c>
      <c r="C195" s="137" t="str">
        <f ca="1"/>
        <v>Indusind General Insurance Co Ltd</v>
      </c>
      <c r="D195" s="27" t="str">
        <f ca="1"/>
        <v>MACT</v>
      </c>
      <c r="E195" s="27" t="str">
        <f ca="1"/>
        <v>R001-1194-SS-2025</v>
      </c>
      <c r="F195" s="206">
        <f ca="1"/>
        <v>45517</v>
      </c>
      <c r="G195" s="27" t="str">
        <f ca="1"/>
        <v>Aug-24</v>
      </c>
      <c r="H195" s="364">
        <v>45643</v>
      </c>
      <c r="I195" s="29" t="str">
        <f t="shared" ref="I195:I257" si="28">IF(ISBLANK(H195), "", TEXT(H195, "mmm-yy"))</f>
        <v>Dec-24</v>
      </c>
      <c r="J195" s="29">
        <f t="shared" ca="1" si="26"/>
        <v>45559</v>
      </c>
      <c r="K195" s="27">
        <f t="shared" ca="1" si="27"/>
        <v>126</v>
      </c>
      <c r="L195" s="27" t="str">
        <f t="shared" ref="L195:L221" ca="1" si="29">IF(K195="", "",
    IF(OR(M195="Partial Case", M195="Medical Verification", M195="WC Claim"),
        IF(K195&lt;=15, "WT", "AT"),
        IF(K195&lt;30, "WT", "AT")
    )
)</f>
        <v>AT</v>
      </c>
      <c r="M195" s="27" t="s">
        <v>704</v>
      </c>
      <c r="N195" s="27" t="s">
        <v>705</v>
      </c>
      <c r="O195" s="27" t="s">
        <v>751</v>
      </c>
      <c r="P195" s="27"/>
      <c r="Q195" s="317" t="s">
        <v>1865</v>
      </c>
      <c r="R195" s="318" t="s">
        <v>1866</v>
      </c>
      <c r="S195" s="28" t="s">
        <v>733</v>
      </c>
      <c r="T195" s="27" t="s">
        <v>706</v>
      </c>
      <c r="U195" s="28" t="s">
        <v>66</v>
      </c>
      <c r="V195" s="28" t="s">
        <v>41</v>
      </c>
      <c r="W195" s="28" t="s">
        <v>66</v>
      </c>
      <c r="X195" s="28" t="s">
        <v>41</v>
      </c>
      <c r="Y195" s="317" t="s">
        <v>566</v>
      </c>
      <c r="Z195" s="317" t="s">
        <v>1867</v>
      </c>
      <c r="AA195" s="28" t="s">
        <v>733</v>
      </c>
      <c r="AB195" s="27" t="s">
        <v>41</v>
      </c>
      <c r="AC195" s="27" t="s">
        <v>706</v>
      </c>
      <c r="AD195" s="28" t="s">
        <v>66</v>
      </c>
      <c r="AE195" s="28" t="s">
        <v>66</v>
      </c>
      <c r="AF195" s="28" t="s">
        <v>66</v>
      </c>
      <c r="AG195" s="28" t="s">
        <v>66</v>
      </c>
      <c r="AH195" s="27" t="s">
        <v>41</v>
      </c>
      <c r="AI195" s="27" t="s">
        <v>41</v>
      </c>
      <c r="AJ195" s="27" t="s">
        <v>41</v>
      </c>
      <c r="AK195" s="27" t="s">
        <v>41</v>
      </c>
      <c r="AL195" s="27" t="s">
        <v>41</v>
      </c>
      <c r="AM195" s="27" t="s">
        <v>41</v>
      </c>
      <c r="AN195" s="27" t="s">
        <v>41</v>
      </c>
      <c r="AO195" s="27" t="s">
        <v>41</v>
      </c>
      <c r="AP195" s="27" t="s">
        <v>41</v>
      </c>
      <c r="AQ195" s="319" t="s">
        <v>1868</v>
      </c>
      <c r="AR195" s="28" t="s">
        <v>733</v>
      </c>
      <c r="AS195" s="27" t="s">
        <v>706</v>
      </c>
      <c r="AT195" s="317" t="s">
        <v>1869</v>
      </c>
      <c r="AU195" s="319" t="s">
        <v>1870</v>
      </c>
      <c r="AV195" s="317" t="s">
        <v>733</v>
      </c>
      <c r="AW195" s="27" t="s">
        <v>41</v>
      </c>
      <c r="AX195" s="27" t="s">
        <v>721</v>
      </c>
      <c r="AY195" s="28" t="s">
        <v>66</v>
      </c>
      <c r="AZ195" s="28" t="s">
        <v>66</v>
      </c>
      <c r="BA195" s="28" t="s">
        <v>41</v>
      </c>
      <c r="BB195" s="26" t="s">
        <v>41</v>
      </c>
      <c r="BC195" s="27" t="s">
        <v>66</v>
      </c>
      <c r="BD195" s="93" t="s">
        <v>716</v>
      </c>
      <c r="BE195" s="28"/>
      <c r="BF195" s="28"/>
    </row>
    <row r="196" spans="1:58" ht="20.25" customHeight="1">
      <c r="A196" s="27">
        <v>195</v>
      </c>
      <c r="B196" s="27" t="str">
        <f ca="1"/>
        <v>2024210062</v>
      </c>
      <c r="C196" s="137" t="str">
        <f ca="1"/>
        <v>Indusind General Insurance Co Ltd</v>
      </c>
      <c r="D196" s="27" t="str">
        <f ca="1"/>
        <v>MACT</v>
      </c>
      <c r="E196" s="27" t="str">
        <f ca="1"/>
        <v>R001-1195-SS-2025</v>
      </c>
      <c r="F196" s="206">
        <f ca="1"/>
        <v>45581</v>
      </c>
      <c r="G196" s="27" t="str">
        <f ca="1"/>
        <v>Oct-24</v>
      </c>
      <c r="H196" s="364">
        <v>45639</v>
      </c>
      <c r="I196" s="29" t="str">
        <f t="shared" si="28"/>
        <v>Dec-24</v>
      </c>
      <c r="J196" s="29">
        <f t="shared" ca="1" si="26"/>
        <v>45623</v>
      </c>
      <c r="K196" s="27">
        <f t="shared" ca="1" si="27"/>
        <v>58</v>
      </c>
      <c r="L196" s="27" t="str">
        <f t="shared" ca="1" si="29"/>
        <v>AT</v>
      </c>
      <c r="M196" s="27" t="s">
        <v>704</v>
      </c>
      <c r="N196" s="27" t="s">
        <v>705</v>
      </c>
      <c r="O196" s="27" t="s">
        <v>751</v>
      </c>
      <c r="P196" s="27"/>
      <c r="Q196" s="317" t="s">
        <v>1871</v>
      </c>
      <c r="R196" s="318" t="s">
        <v>1872</v>
      </c>
      <c r="S196" s="28" t="s">
        <v>1873</v>
      </c>
      <c r="T196" s="27" t="s">
        <v>706</v>
      </c>
      <c r="U196" s="28" t="s">
        <v>66</v>
      </c>
      <c r="V196" s="28" t="s">
        <v>41</v>
      </c>
      <c r="W196" s="28" t="s">
        <v>66</v>
      </c>
      <c r="X196" s="28" t="s">
        <v>41</v>
      </c>
      <c r="Y196" s="317" t="s">
        <v>569</v>
      </c>
      <c r="Z196" s="317" t="s">
        <v>1874</v>
      </c>
      <c r="AA196" s="28" t="s">
        <v>741</v>
      </c>
      <c r="AB196" s="27" t="s">
        <v>41</v>
      </c>
      <c r="AC196" s="27" t="s">
        <v>706</v>
      </c>
      <c r="AD196" s="317" t="s">
        <v>1875</v>
      </c>
      <c r="AE196" s="318" t="s">
        <v>1876</v>
      </c>
      <c r="AF196" s="27" t="s">
        <v>741</v>
      </c>
      <c r="AG196" s="27" t="s">
        <v>706</v>
      </c>
      <c r="AH196" s="27" t="s">
        <v>41</v>
      </c>
      <c r="AI196" s="27" t="s">
        <v>41</v>
      </c>
      <c r="AJ196" s="27" t="s">
        <v>41</v>
      </c>
      <c r="AK196" s="27" t="s">
        <v>41</v>
      </c>
      <c r="AL196" s="27" t="s">
        <v>41</v>
      </c>
      <c r="AM196" s="27" t="s">
        <v>41</v>
      </c>
      <c r="AN196" s="27" t="s">
        <v>41</v>
      </c>
      <c r="AO196" s="27" t="s">
        <v>41</v>
      </c>
      <c r="AP196" s="27" t="s">
        <v>41</v>
      </c>
      <c r="AQ196" s="319" t="s">
        <v>1877</v>
      </c>
      <c r="AR196" s="28" t="s">
        <v>741</v>
      </c>
      <c r="AS196" s="27" t="s">
        <v>706</v>
      </c>
      <c r="AT196" s="317" t="s">
        <v>1878</v>
      </c>
      <c r="AU196" s="319" t="s">
        <v>1879</v>
      </c>
      <c r="AV196" s="27" t="s">
        <v>1880</v>
      </c>
      <c r="AW196" s="27" t="s">
        <v>41</v>
      </c>
      <c r="AX196" s="27" t="s">
        <v>721</v>
      </c>
      <c r="AY196" s="28" t="s">
        <v>66</v>
      </c>
      <c r="AZ196" s="28" t="s">
        <v>66</v>
      </c>
      <c r="BA196" s="28" t="s">
        <v>41</v>
      </c>
      <c r="BB196" s="26" t="s">
        <v>41</v>
      </c>
      <c r="BC196" s="27" t="s">
        <v>66</v>
      </c>
      <c r="BD196" s="93" t="s">
        <v>716</v>
      </c>
      <c r="BE196" s="28"/>
      <c r="BF196" s="28"/>
    </row>
    <row r="197" spans="1:58" ht="20.25" customHeight="1">
      <c r="A197" s="27">
        <v>196</v>
      </c>
      <c r="B197" s="27" t="str">
        <f ca="1"/>
        <v>2025200164</v>
      </c>
      <c r="C197" s="137" t="str">
        <f ca="1"/>
        <v>Indusind General Insurance Co Ltd</v>
      </c>
      <c r="D197" s="27" t="str">
        <f ca="1"/>
        <v>MACT</v>
      </c>
      <c r="E197" s="27" t="str">
        <f ca="1"/>
        <v>R001-1196-SS-2025</v>
      </c>
      <c r="F197" s="206">
        <f ca="1"/>
        <v>45664</v>
      </c>
      <c r="G197" s="27" t="str">
        <f ca="1"/>
        <v>Jan-25</v>
      </c>
      <c r="H197" s="364">
        <v>45681</v>
      </c>
      <c r="I197" s="29" t="str">
        <f t="shared" si="28"/>
        <v>Jan-25</v>
      </c>
      <c r="J197" s="29">
        <f t="shared" ref="J197" ca="1" si="30">IF(F197="", "",
    IF(OR(M197="WC Claim", M197="Partial Case"),
        WORKDAY(F197, 15),
    IF(OR(M197="Medical Verification", M197="Full Case"),
        WORKDAY(F197, 30),
    "")))</f>
        <v>45706</v>
      </c>
      <c r="K197" s="27">
        <f t="shared" ref="K197" ca="1" si="31">IF(F197="", "", IF(ISNUMBER(H197), H197 - F197, TODAY() - F197))</f>
        <v>17</v>
      </c>
      <c r="L197" s="27" t="str">
        <f t="shared" ca="1" si="29"/>
        <v>WT</v>
      </c>
      <c r="M197" s="27" t="s">
        <v>704</v>
      </c>
      <c r="N197" s="27" t="s">
        <v>720</v>
      </c>
      <c r="O197" s="27" t="s">
        <v>706</v>
      </c>
      <c r="P197" s="27"/>
      <c r="Q197" s="332" t="s">
        <v>1881</v>
      </c>
      <c r="R197" s="332" t="s">
        <v>1882</v>
      </c>
      <c r="S197" s="28" t="s">
        <v>845</v>
      </c>
      <c r="T197" s="27" t="s">
        <v>706</v>
      </c>
      <c r="U197" s="28" t="s">
        <v>66</v>
      </c>
      <c r="V197" s="28" t="s">
        <v>41</v>
      </c>
      <c r="W197" s="28" t="s">
        <v>66</v>
      </c>
      <c r="X197" s="28" t="s">
        <v>41</v>
      </c>
      <c r="Y197" s="332" t="s">
        <v>572</v>
      </c>
      <c r="Z197" s="332" t="s">
        <v>1883</v>
      </c>
      <c r="AA197" s="28" t="s">
        <v>845</v>
      </c>
      <c r="AB197" s="27" t="s">
        <v>41</v>
      </c>
      <c r="AC197" s="27" t="s">
        <v>706</v>
      </c>
      <c r="AD197" s="332" t="s">
        <v>1884</v>
      </c>
      <c r="AE197" s="329" t="s">
        <v>1885</v>
      </c>
      <c r="AF197" s="28" t="s">
        <v>845</v>
      </c>
      <c r="AG197" s="27" t="s">
        <v>706</v>
      </c>
      <c r="AH197" s="27" t="s">
        <v>41</v>
      </c>
      <c r="AI197" s="27" t="s">
        <v>41</v>
      </c>
      <c r="AJ197" s="27" t="s">
        <v>41</v>
      </c>
      <c r="AK197" s="27" t="s">
        <v>41</v>
      </c>
      <c r="AL197" s="27" t="s">
        <v>41</v>
      </c>
      <c r="AM197" s="27" t="s">
        <v>41</v>
      </c>
      <c r="AN197" s="27" t="s">
        <v>41</v>
      </c>
      <c r="AO197" s="27" t="s">
        <v>41</v>
      </c>
      <c r="AP197" s="27" t="s">
        <v>41</v>
      </c>
      <c r="AQ197" s="329" t="s">
        <v>1886</v>
      </c>
      <c r="AR197" s="28" t="s">
        <v>845</v>
      </c>
      <c r="AS197" s="27" t="s">
        <v>706</v>
      </c>
      <c r="AT197" s="329" t="s">
        <v>1887</v>
      </c>
      <c r="AU197" s="329" t="s">
        <v>851</v>
      </c>
      <c r="AV197" s="329" t="s">
        <v>849</v>
      </c>
      <c r="AW197" s="27" t="s">
        <v>41</v>
      </c>
      <c r="AX197" s="343" t="s">
        <v>1888</v>
      </c>
      <c r="AY197" s="28" t="s">
        <v>66</v>
      </c>
      <c r="AZ197" s="28" t="s">
        <v>66</v>
      </c>
      <c r="BA197" s="28" t="s">
        <v>41</v>
      </c>
      <c r="BB197" s="26" t="s">
        <v>41</v>
      </c>
      <c r="BC197" s="27" t="s">
        <v>66</v>
      </c>
      <c r="BD197" s="93" t="s">
        <v>716</v>
      </c>
      <c r="BE197" s="28"/>
      <c r="BF197" s="28"/>
    </row>
    <row r="198" spans="1:58" ht="20.25" customHeight="1">
      <c r="A198" s="27">
        <v>197</v>
      </c>
      <c r="B198" s="27" t="str">
        <f ca="1"/>
        <v>2024216007</v>
      </c>
      <c r="C198" s="137" t="str">
        <f ca="1"/>
        <v>Indusind General Insurance Co Ltd</v>
      </c>
      <c r="D198" s="27" t="str">
        <f ca="1"/>
        <v>MACT</v>
      </c>
      <c r="E198" s="27" t="str">
        <f ca="1"/>
        <v>R001-1197-SS-2025</v>
      </c>
      <c r="F198" s="206">
        <f ca="1"/>
        <v>45688</v>
      </c>
      <c r="G198" s="29" t="str">
        <f ca="1"/>
        <v>Jan-25</v>
      </c>
      <c r="H198" s="364">
        <v>45898</v>
      </c>
      <c r="I198" s="29" t="str">
        <f t="shared" si="28"/>
        <v>Aug-25</v>
      </c>
      <c r="J198" s="29">
        <f ca="1">IF(F198="", "",
    IF(OR(M198="WC Claim", M198="Partial Case"),
        WORKDAY(F198, 15),
    IF(OR(M198="Medical Verification", M198="Full Case"),
        WORKDAY(F198, 30),
    "")))</f>
        <v>45730</v>
      </c>
      <c r="K198" s="27">
        <f ca="1">IF(F198="", "", IF(ISNUMBER(H198), H198 - F198, TODAY() - F198))</f>
        <v>210</v>
      </c>
      <c r="L198" s="27" t="str">
        <f t="shared" ca="1" si="29"/>
        <v>AT</v>
      </c>
      <c r="M198" s="27" t="s">
        <v>704</v>
      </c>
      <c r="N198" s="27" t="s">
        <v>720</v>
      </c>
      <c r="O198" s="27" t="s">
        <v>706</v>
      </c>
      <c r="P198" s="27"/>
      <c r="Q198" s="365" t="s">
        <v>1889</v>
      </c>
      <c r="R198" s="365" t="s">
        <v>1890</v>
      </c>
      <c r="S198" s="28" t="s">
        <v>1854</v>
      </c>
      <c r="T198" s="27" t="s">
        <v>706</v>
      </c>
      <c r="U198" s="28" t="s">
        <v>66</v>
      </c>
      <c r="V198" s="28" t="s">
        <v>41</v>
      </c>
      <c r="W198" s="28" t="s">
        <v>66</v>
      </c>
      <c r="X198" s="28" t="s">
        <v>41</v>
      </c>
      <c r="Y198" s="365" t="s">
        <v>575</v>
      </c>
      <c r="Z198" s="365" t="s">
        <v>1891</v>
      </c>
      <c r="AA198" s="28" t="s">
        <v>741</v>
      </c>
      <c r="AB198" s="27" t="s">
        <v>41</v>
      </c>
      <c r="AC198" s="27" t="s">
        <v>706</v>
      </c>
      <c r="AD198" s="365" t="s">
        <v>575</v>
      </c>
      <c r="AE198" s="365" t="s">
        <v>1891</v>
      </c>
      <c r="AF198" s="28" t="s">
        <v>741</v>
      </c>
      <c r="AG198" s="27" t="s">
        <v>706</v>
      </c>
      <c r="AH198" s="27" t="s">
        <v>41</v>
      </c>
      <c r="AI198" s="27" t="s">
        <v>41</v>
      </c>
      <c r="AJ198" s="27" t="s">
        <v>41</v>
      </c>
      <c r="AK198" s="27" t="s">
        <v>41</v>
      </c>
      <c r="AL198" s="27" t="s">
        <v>41</v>
      </c>
      <c r="AM198" s="27" t="s">
        <v>41</v>
      </c>
      <c r="AN198" s="27" t="s">
        <v>41</v>
      </c>
      <c r="AO198" s="27" t="s">
        <v>41</v>
      </c>
      <c r="AP198" s="27" t="s">
        <v>41</v>
      </c>
      <c r="AQ198" s="365" t="s">
        <v>1892</v>
      </c>
      <c r="AR198" s="28"/>
      <c r="AS198" s="27" t="s">
        <v>721</v>
      </c>
      <c r="AT198" s="365" t="s">
        <v>1893</v>
      </c>
      <c r="AU198" s="365" t="s">
        <v>1894</v>
      </c>
      <c r="AV198" s="27" t="s">
        <v>1854</v>
      </c>
      <c r="AW198" s="27" t="s">
        <v>41</v>
      </c>
      <c r="AX198" s="27" t="s">
        <v>721</v>
      </c>
      <c r="AY198" s="28" t="s">
        <v>66</v>
      </c>
      <c r="AZ198" s="28" t="s">
        <v>66</v>
      </c>
      <c r="BA198" s="28" t="s">
        <v>41</v>
      </c>
      <c r="BB198" s="26" t="s">
        <v>41</v>
      </c>
      <c r="BC198" s="27" t="s">
        <v>66</v>
      </c>
      <c r="BD198" s="93" t="s">
        <v>716</v>
      </c>
      <c r="BE198" s="28"/>
      <c r="BF198" s="28"/>
    </row>
    <row r="199" spans="1:58" ht="20.25" customHeight="1">
      <c r="A199" s="27">
        <v>198</v>
      </c>
      <c r="B199" s="27" t="str">
        <f ca="1"/>
        <v>2018212712</v>
      </c>
      <c r="C199" s="137" t="str">
        <f ca="1"/>
        <v>Indusind General Insurance Co Ltd</v>
      </c>
      <c r="D199" s="27" t="str">
        <f ca="1"/>
        <v>MACT</v>
      </c>
      <c r="E199" s="27" t="str">
        <f ca="1"/>
        <v>R001-1198-SS-2025</v>
      </c>
      <c r="F199" s="206">
        <f ca="1"/>
        <v>45733</v>
      </c>
      <c r="G199" s="27">
        <f ca="1"/>
        <v>0</v>
      </c>
      <c r="H199" s="29">
        <v>45824</v>
      </c>
      <c r="I199" s="29" t="str">
        <f t="shared" si="28"/>
        <v>Jun-25</v>
      </c>
      <c r="J199" s="29"/>
      <c r="K199" s="27">
        <f ca="1">IF(F199="", "", IF(ISNUMBER(H199), H199 - F199, TODAY() - F199))</f>
        <v>91</v>
      </c>
      <c r="L199" s="27" t="str">
        <f t="shared" ca="1" si="29"/>
        <v>AT</v>
      </c>
      <c r="M199" s="27" t="s">
        <v>750</v>
      </c>
      <c r="N199" s="27" t="s">
        <v>747</v>
      </c>
      <c r="O199" s="27" t="s">
        <v>706</v>
      </c>
      <c r="P199" s="27"/>
      <c r="Q199" s="28" t="s">
        <v>66</v>
      </c>
      <c r="R199" s="28" t="s">
        <v>41</v>
      </c>
      <c r="S199" s="28" t="s">
        <v>41</v>
      </c>
      <c r="T199" s="27" t="s">
        <v>41</v>
      </c>
      <c r="U199" s="28" t="s">
        <v>66</v>
      </c>
      <c r="V199" s="28" t="s">
        <v>66</v>
      </c>
      <c r="W199" s="28" t="s">
        <v>66</v>
      </c>
      <c r="X199" s="28" t="s">
        <v>41</v>
      </c>
      <c r="Y199" s="28" t="s">
        <v>66</v>
      </c>
      <c r="Z199" s="28" t="s">
        <v>41</v>
      </c>
      <c r="AA199" s="28" t="s">
        <v>41</v>
      </c>
      <c r="AB199" s="27" t="s">
        <v>41</v>
      </c>
      <c r="AC199" s="27" t="s">
        <v>41</v>
      </c>
      <c r="AD199" s="28" t="s">
        <v>41</v>
      </c>
      <c r="AE199" s="28" t="s">
        <v>66</v>
      </c>
      <c r="AF199" s="27" t="s">
        <v>41</v>
      </c>
      <c r="AG199" s="27" t="s">
        <v>41</v>
      </c>
      <c r="AH199" s="27" t="s">
        <v>41</v>
      </c>
      <c r="AI199" s="27" t="s">
        <v>41</v>
      </c>
      <c r="AJ199" s="27" t="s">
        <v>41</v>
      </c>
      <c r="AK199" s="27" t="s">
        <v>41</v>
      </c>
      <c r="AL199" s="27" t="s">
        <v>41</v>
      </c>
      <c r="AM199" s="27" t="s">
        <v>41</v>
      </c>
      <c r="AN199" s="27" t="s">
        <v>41</v>
      </c>
      <c r="AO199" s="27" t="s">
        <v>41</v>
      </c>
      <c r="AP199" s="27" t="s">
        <v>41</v>
      </c>
      <c r="AQ199" s="28" t="s">
        <v>66</v>
      </c>
      <c r="AR199" s="28" t="s">
        <v>41</v>
      </c>
      <c r="AS199" s="27" t="s">
        <v>41</v>
      </c>
      <c r="AT199" s="28" t="s">
        <v>1895</v>
      </c>
      <c r="AU199" s="27" t="s">
        <v>1896</v>
      </c>
      <c r="AV199" s="27" t="s">
        <v>845</v>
      </c>
      <c r="AW199" s="27" t="s">
        <v>41</v>
      </c>
      <c r="AX199" s="28" t="s">
        <v>706</v>
      </c>
      <c r="AY199" s="28" t="s">
        <v>66</v>
      </c>
      <c r="AZ199" s="28" t="s">
        <v>66</v>
      </c>
      <c r="BA199" s="28" t="s">
        <v>41</v>
      </c>
      <c r="BB199" s="26" t="s">
        <v>41</v>
      </c>
      <c r="BC199" s="27" t="s">
        <v>66</v>
      </c>
      <c r="BD199" s="93" t="s">
        <v>716</v>
      </c>
      <c r="BE199" s="28"/>
      <c r="BF199" s="28"/>
    </row>
    <row r="200" spans="1:58" ht="20.25" customHeight="1">
      <c r="A200" s="27">
        <v>199</v>
      </c>
      <c r="B200" s="27" t="str">
        <f ca="1"/>
        <v>MTP-N-2526-005257</v>
      </c>
      <c r="C200" s="137" t="str">
        <f ca="1"/>
        <v>Generali Central Insurance Company Limited</v>
      </c>
      <c r="D200" s="27" t="str">
        <f ca="1"/>
        <v>MACT</v>
      </c>
      <c r="E200" s="27" t="str">
        <f ca="1"/>
        <v>F001-1199-SS-2025</v>
      </c>
      <c r="F200" s="206">
        <f ca="1"/>
        <v>46010</v>
      </c>
      <c r="G200" s="27" t="str">
        <f ca="1"/>
        <v>Dec-25</v>
      </c>
      <c r="H200" s="27" t="s">
        <v>718</v>
      </c>
      <c r="I200" s="29"/>
      <c r="J200" s="29">
        <f t="shared" ref="J200" ca="1" si="32">IF(F200="", "",
    IF(OR(M200="WC Claim", M200="Partial Case"),
        WORKDAY(F200, 15),
    IF(OR(M200="Medical Verification", M200="Full Case"),
        WORKDAY(F200, 30),
    "")))</f>
        <v>46052</v>
      </c>
      <c r="K200" s="27">
        <f t="shared" ref="K200" ca="1" si="33">IF(F200="", "", IF(ISNUMBER(H200), H200 - F200, TODAY() - F200))</f>
        <v>17</v>
      </c>
      <c r="L200" s="27" t="str">
        <f t="shared" ca="1" si="29"/>
        <v>WT</v>
      </c>
      <c r="M200" s="27" t="s">
        <v>704</v>
      </c>
      <c r="N200" s="27" t="s">
        <v>720</v>
      </c>
      <c r="O200" s="27" t="s">
        <v>721</v>
      </c>
      <c r="P200" s="27"/>
      <c r="Q200" s="28" t="s">
        <v>1897</v>
      </c>
      <c r="R200" s="93" t="s">
        <v>1898</v>
      </c>
      <c r="S200" s="66" t="s">
        <v>1899</v>
      </c>
      <c r="T200" s="27" t="s">
        <v>794</v>
      </c>
      <c r="U200" s="28" t="s">
        <v>66</v>
      </c>
      <c r="V200" s="28" t="s">
        <v>66</v>
      </c>
      <c r="W200" s="28" t="s">
        <v>66</v>
      </c>
      <c r="X200" s="28" t="s">
        <v>794</v>
      </c>
      <c r="Y200" s="28" t="s">
        <v>580</v>
      </c>
      <c r="Z200" s="93" t="s">
        <v>1900</v>
      </c>
      <c r="AA200" s="28" t="s">
        <v>733</v>
      </c>
      <c r="AB200" s="27" t="s">
        <v>41</v>
      </c>
      <c r="AC200" s="27" t="s">
        <v>794</v>
      </c>
      <c r="AD200" s="28" t="s">
        <v>41</v>
      </c>
      <c r="AE200" s="28" t="s">
        <v>66</v>
      </c>
      <c r="AF200" s="27" t="s">
        <v>41</v>
      </c>
      <c r="AG200" s="27" t="s">
        <v>41</v>
      </c>
      <c r="AH200" s="27" t="s">
        <v>742</v>
      </c>
      <c r="AI200" s="27" t="s">
        <v>794</v>
      </c>
      <c r="AJ200" s="27" t="s">
        <v>742</v>
      </c>
      <c r="AK200" s="27" t="s">
        <v>794</v>
      </c>
      <c r="AL200" s="27" t="s">
        <v>41</v>
      </c>
      <c r="AM200" s="27" t="s">
        <v>41</v>
      </c>
      <c r="AN200" s="27" t="s">
        <v>41</v>
      </c>
      <c r="AO200" s="27" t="s">
        <v>41</v>
      </c>
      <c r="AP200" s="27" t="s">
        <v>41</v>
      </c>
      <c r="AQ200" s="93" t="s">
        <v>1901</v>
      </c>
      <c r="AR200" s="28" t="s">
        <v>733</v>
      </c>
      <c r="AS200" s="27" t="s">
        <v>794</v>
      </c>
      <c r="AT200" s="28" t="s">
        <v>1902</v>
      </c>
      <c r="AU200" s="26" t="s">
        <v>1903</v>
      </c>
      <c r="AV200" s="27" t="s">
        <v>733</v>
      </c>
      <c r="AW200" s="27" t="s">
        <v>41</v>
      </c>
      <c r="AX200" s="27" t="s">
        <v>794</v>
      </c>
      <c r="AY200" s="28" t="s">
        <v>1904</v>
      </c>
      <c r="AZ200" s="28" t="s">
        <v>66</v>
      </c>
      <c r="BA200" s="28" t="s">
        <v>733</v>
      </c>
      <c r="BB200" s="26" t="s">
        <v>794</v>
      </c>
      <c r="BC200" s="27" t="s">
        <v>66</v>
      </c>
      <c r="BD200" s="93" t="s">
        <v>716</v>
      </c>
      <c r="BE200" s="28"/>
      <c r="BF200" s="28"/>
    </row>
    <row r="201" spans="1:58" ht="20.25" customHeight="1">
      <c r="A201" s="27">
        <v>200</v>
      </c>
      <c r="B201" s="27" t="str">
        <f ca="1"/>
        <v>2025214146</v>
      </c>
      <c r="C201" s="137" t="str">
        <f ca="1"/>
        <v>Indusind General Insurance Co Ltd</v>
      </c>
      <c r="D201" s="27" t="str">
        <f ca="1"/>
        <v>MACT</v>
      </c>
      <c r="E201" s="27" t="str">
        <f ca="1"/>
        <v>R001-1200-SS-2025</v>
      </c>
      <c r="F201" s="206">
        <f ca="1"/>
        <v>46010</v>
      </c>
      <c r="G201" s="27" t="str">
        <f ca="1"/>
        <v>Dec-25</v>
      </c>
      <c r="H201" s="27" t="s">
        <v>718</v>
      </c>
      <c r="I201" s="29"/>
      <c r="J201" s="29">
        <f ca="1">IF(F201="", "",
    IF(OR(M201="WC Claim", M201="Partial Case"),
        WORKDAY(F201, 15),
    IF(OR(M201="Medical Verification", M201="Full Case"),
        WORKDAY(F201, 30),
    "")))</f>
        <v>46052</v>
      </c>
      <c r="K201" s="27">
        <f t="shared" ref="K201:K223" ca="1" si="34">IF(F201="", "", IF(ISNUMBER(H201), H201 - F201, TODAY() - F201))</f>
        <v>17</v>
      </c>
      <c r="L201" s="27" t="str">
        <f t="shared" ca="1" si="29"/>
        <v>AT</v>
      </c>
      <c r="M201" s="27" t="s">
        <v>1524</v>
      </c>
      <c r="N201" s="27" t="s">
        <v>720</v>
      </c>
      <c r="O201" s="27" t="s">
        <v>794</v>
      </c>
      <c r="P201" s="214" t="s">
        <v>1905</v>
      </c>
      <c r="Q201" s="28" t="s">
        <v>1906</v>
      </c>
      <c r="R201" s="28" t="s">
        <v>41</v>
      </c>
      <c r="S201" s="28" t="s">
        <v>41</v>
      </c>
      <c r="T201" s="27" t="s">
        <v>41</v>
      </c>
      <c r="U201" s="28" t="s">
        <v>66</v>
      </c>
      <c r="V201" s="28" t="s">
        <v>66</v>
      </c>
      <c r="W201" s="28" t="s">
        <v>66</v>
      </c>
      <c r="X201" s="28" t="s">
        <v>41</v>
      </c>
      <c r="Y201" s="28" t="s">
        <v>66</v>
      </c>
      <c r="Z201" s="28" t="s">
        <v>41</v>
      </c>
      <c r="AA201" s="28" t="s">
        <v>41</v>
      </c>
      <c r="AB201" s="27" t="s">
        <v>41</v>
      </c>
      <c r="AC201" s="27" t="s">
        <v>41</v>
      </c>
      <c r="AD201" s="28" t="s">
        <v>41</v>
      </c>
      <c r="AE201" s="28" t="s">
        <v>66</v>
      </c>
      <c r="AF201" s="27" t="s">
        <v>41</v>
      </c>
      <c r="AG201" s="27" t="s">
        <v>41</v>
      </c>
      <c r="AH201" s="27" t="s">
        <v>41</v>
      </c>
      <c r="AI201" s="27" t="s">
        <v>41</v>
      </c>
      <c r="AJ201" s="27" t="s">
        <v>41</v>
      </c>
      <c r="AK201" s="27" t="s">
        <v>41</v>
      </c>
      <c r="AL201" s="27" t="s">
        <v>41</v>
      </c>
      <c r="AM201" s="27" t="s">
        <v>41</v>
      </c>
      <c r="AN201" s="27" t="s">
        <v>41</v>
      </c>
      <c r="AO201" s="27" t="s">
        <v>41</v>
      </c>
      <c r="AP201" s="27" t="s">
        <v>66</v>
      </c>
      <c r="AQ201" s="28" t="s">
        <v>66</v>
      </c>
      <c r="AR201" s="28" t="s">
        <v>41</v>
      </c>
      <c r="AS201" s="27" t="s">
        <v>41</v>
      </c>
      <c r="AT201" s="28" t="s">
        <v>41</v>
      </c>
      <c r="AU201" s="27" t="s">
        <v>41</v>
      </c>
      <c r="AV201" s="27" t="s">
        <v>41</v>
      </c>
      <c r="AW201" s="27" t="s">
        <v>41</v>
      </c>
      <c r="AX201" s="27" t="s">
        <v>41</v>
      </c>
      <c r="AY201" s="93" t="s">
        <v>1907</v>
      </c>
      <c r="AZ201" s="93" t="s">
        <v>1908</v>
      </c>
      <c r="BA201" s="28" t="s">
        <v>41</v>
      </c>
      <c r="BB201" s="26" t="s">
        <v>41</v>
      </c>
      <c r="BC201" s="27" t="s">
        <v>66</v>
      </c>
      <c r="BD201" s="93" t="s">
        <v>716</v>
      </c>
      <c r="BE201" s="28"/>
      <c r="BF201" s="28"/>
    </row>
    <row r="202" spans="1:58" ht="20.25" customHeight="1">
      <c r="A202" s="27">
        <v>201</v>
      </c>
      <c r="B202" s="27" t="str">
        <f ca="1"/>
        <v>MTP-N-2526-005022</v>
      </c>
      <c r="C202" s="137" t="str">
        <f ca="1"/>
        <v>Generali Central Insurance Company Limited</v>
      </c>
      <c r="D202" s="27" t="str">
        <f ca="1"/>
        <v>MACT</v>
      </c>
      <c r="E202" s="27" t="str">
        <f ca="1"/>
        <v>F001-1201-SS-2025</v>
      </c>
      <c r="F202" s="206">
        <f ca="1"/>
        <v>46013</v>
      </c>
      <c r="G202" s="27" t="str">
        <f ca="1"/>
        <v>Dec-25</v>
      </c>
      <c r="H202" s="27" t="s">
        <v>718</v>
      </c>
      <c r="I202" s="29"/>
      <c r="J202" s="29">
        <f ca="1">IF(F202="", "",
    IF(OR(M202="WC Claim", M202="Partial Case"),
        WORKDAY(F202, 15),
    IF(OR(M202="Medical Verification", M202="Full Case"),
        WORKDAY(F202, 30),
    "")))</f>
        <v>46034</v>
      </c>
      <c r="K202" s="27">
        <f t="shared" ca="1" si="34"/>
        <v>14</v>
      </c>
      <c r="L202" s="27" t="str">
        <f t="shared" ca="1" si="29"/>
        <v>WT</v>
      </c>
      <c r="M202" s="27" t="s">
        <v>750</v>
      </c>
      <c r="N202" s="27" t="s">
        <v>720</v>
      </c>
      <c r="O202" s="27" t="s">
        <v>721</v>
      </c>
      <c r="P202" s="27" t="s">
        <v>1909</v>
      </c>
      <c r="Q202" s="28" t="s">
        <v>41</v>
      </c>
      <c r="R202" s="28" t="s">
        <v>41</v>
      </c>
      <c r="S202" s="28" t="s">
        <v>41</v>
      </c>
      <c r="T202" s="27" t="s">
        <v>41</v>
      </c>
      <c r="U202" s="28" t="s">
        <v>41</v>
      </c>
      <c r="V202" s="28" t="s">
        <v>41</v>
      </c>
      <c r="W202" s="28" t="s">
        <v>41</v>
      </c>
      <c r="X202" s="28" t="s">
        <v>41</v>
      </c>
      <c r="Y202" s="28" t="s">
        <v>1910</v>
      </c>
      <c r="Z202" s="28" t="s">
        <v>1911</v>
      </c>
      <c r="AA202" s="28" t="s">
        <v>741</v>
      </c>
      <c r="AB202" s="27" t="s">
        <v>41</v>
      </c>
      <c r="AC202" s="27" t="s">
        <v>794</v>
      </c>
      <c r="AD202" s="28" t="s">
        <v>1912</v>
      </c>
      <c r="AE202" s="28" t="s">
        <v>1913</v>
      </c>
      <c r="AF202" s="27" t="s">
        <v>741</v>
      </c>
      <c r="AG202" s="27" t="s">
        <v>794</v>
      </c>
      <c r="AH202" s="27" t="s">
        <v>41</v>
      </c>
      <c r="AI202" s="27" t="s">
        <v>41</v>
      </c>
      <c r="AJ202" s="27" t="s">
        <v>41</v>
      </c>
      <c r="AK202" s="27" t="s">
        <v>41</v>
      </c>
      <c r="AL202" s="27" t="s">
        <v>41</v>
      </c>
      <c r="AM202" s="27" t="s">
        <v>41</v>
      </c>
      <c r="AN202" s="27" t="s">
        <v>41</v>
      </c>
      <c r="AO202" s="27" t="s">
        <v>41</v>
      </c>
      <c r="AP202" s="27" t="s">
        <v>41</v>
      </c>
      <c r="AQ202" s="28" t="s">
        <v>1914</v>
      </c>
      <c r="AR202" s="28" t="s">
        <v>1915</v>
      </c>
      <c r="AS202" s="27" t="s">
        <v>794</v>
      </c>
      <c r="AT202" s="28" t="s">
        <v>1916</v>
      </c>
      <c r="AU202" s="27" t="s">
        <v>1917</v>
      </c>
      <c r="AV202" s="27" t="s">
        <v>1915</v>
      </c>
      <c r="AW202" s="27" t="s">
        <v>41</v>
      </c>
      <c r="AX202" s="27" t="s">
        <v>41</v>
      </c>
      <c r="AY202" s="28" t="s">
        <v>41</v>
      </c>
      <c r="AZ202" s="28" t="s">
        <v>41</v>
      </c>
      <c r="BA202" s="28" t="s">
        <v>41</v>
      </c>
      <c r="BB202" s="26" t="s">
        <v>41</v>
      </c>
      <c r="BC202" s="27" t="s">
        <v>41</v>
      </c>
      <c r="BD202" s="93" t="s">
        <v>41</v>
      </c>
      <c r="BE202" s="28"/>
      <c r="BF202" s="28"/>
    </row>
    <row r="203" spans="1:58" ht="20.25" customHeight="1">
      <c r="A203" s="27">
        <v>202</v>
      </c>
      <c r="B203" s="27" t="str">
        <f ca="1"/>
        <v>2757549</v>
      </c>
      <c r="C203" s="137" t="str">
        <f ca="1"/>
        <v>SBI General Insurance Company Ltd</v>
      </c>
      <c r="D203" s="27" t="str">
        <f ca="1"/>
        <v>MACT</v>
      </c>
      <c r="E203" s="27" t="str">
        <f ca="1"/>
        <v>S002-1202-SS-2025</v>
      </c>
      <c r="F203" s="206">
        <f ca="1"/>
        <v>46013</v>
      </c>
      <c r="G203" s="27" t="str">
        <f ca="1"/>
        <v>Dec-25</v>
      </c>
      <c r="H203" s="27" t="s">
        <v>718</v>
      </c>
      <c r="I203" s="29"/>
      <c r="J203" s="29">
        <f ca="1">IF(F203="", "",
    IF(OR(M203="WC Claim", M203="Partial Case"),
        WORKDAY(F203, 15),
    IF(OR(M203="Medical Verification", M203="Full Case"),
        WORKDAY(F203, 30),
    "")))</f>
        <v>46055</v>
      </c>
      <c r="K203" s="27">
        <f t="shared" ca="1" si="34"/>
        <v>14</v>
      </c>
      <c r="L203" s="27" t="str">
        <f t="shared" ca="1" si="29"/>
        <v>WT</v>
      </c>
      <c r="M203" s="27" t="s">
        <v>704</v>
      </c>
      <c r="N203" s="27" t="s">
        <v>720</v>
      </c>
      <c r="O203" s="27" t="s">
        <v>721</v>
      </c>
      <c r="P203" s="27" t="s">
        <v>1918</v>
      </c>
      <c r="Q203" s="28" t="s">
        <v>1919</v>
      </c>
      <c r="R203" s="28" t="s">
        <v>1920</v>
      </c>
      <c r="S203" s="28" t="s">
        <v>871</v>
      </c>
      <c r="T203" s="27" t="s">
        <v>706</v>
      </c>
      <c r="U203" s="28" t="s">
        <v>41</v>
      </c>
      <c r="V203" s="28" t="s">
        <v>41</v>
      </c>
      <c r="W203" s="28" t="s">
        <v>41</v>
      </c>
      <c r="X203" s="28" t="s">
        <v>41</v>
      </c>
      <c r="Y203" s="28" t="s">
        <v>588</v>
      </c>
      <c r="Z203" s="28" t="s">
        <v>1921</v>
      </c>
      <c r="AA203" s="28" t="s">
        <v>924</v>
      </c>
      <c r="AB203" s="27" t="s">
        <v>41</v>
      </c>
      <c r="AC203" s="27" t="s">
        <v>794</v>
      </c>
      <c r="AD203" s="28" t="s">
        <v>1922</v>
      </c>
      <c r="AE203" s="28" t="s">
        <v>1923</v>
      </c>
      <c r="AF203" s="27" t="s">
        <v>924</v>
      </c>
      <c r="AG203" s="27" t="s">
        <v>794</v>
      </c>
      <c r="AH203" s="27" t="s">
        <v>41</v>
      </c>
      <c r="AI203" s="27" t="s">
        <v>41</v>
      </c>
      <c r="AJ203" s="27" t="s">
        <v>41</v>
      </c>
      <c r="AK203" s="27" t="s">
        <v>41</v>
      </c>
      <c r="AL203" s="27" t="s">
        <v>41</v>
      </c>
      <c r="AM203" s="27" t="s">
        <v>41</v>
      </c>
      <c r="AN203" s="27" t="s">
        <v>41</v>
      </c>
      <c r="AO203" s="27" t="s">
        <v>41</v>
      </c>
      <c r="AP203" s="27" t="s">
        <v>41</v>
      </c>
      <c r="AQ203" s="28" t="s">
        <v>1924</v>
      </c>
      <c r="AR203" s="28" t="s">
        <v>924</v>
      </c>
      <c r="AS203" s="27" t="s">
        <v>706</v>
      </c>
      <c r="AT203" s="28" t="s">
        <v>1925</v>
      </c>
      <c r="AU203" s="27" t="s">
        <v>1926</v>
      </c>
      <c r="AV203" s="27" t="s">
        <v>924</v>
      </c>
      <c r="AW203" s="27" t="s">
        <v>41</v>
      </c>
      <c r="AX203" s="27" t="s">
        <v>794</v>
      </c>
      <c r="AY203" s="28" t="s">
        <v>41</v>
      </c>
      <c r="AZ203" s="28" t="s">
        <v>41</v>
      </c>
      <c r="BA203" s="28" t="s">
        <v>41</v>
      </c>
      <c r="BB203" s="26" t="s">
        <v>41</v>
      </c>
      <c r="BC203" s="27" t="s">
        <v>41</v>
      </c>
      <c r="BD203" s="93" t="s">
        <v>41</v>
      </c>
      <c r="BE203" s="28"/>
      <c r="BF203" s="28"/>
    </row>
    <row r="204" spans="1:58" ht="20.25" customHeight="1">
      <c r="A204" s="27">
        <v>203</v>
      </c>
      <c r="B204" s="27" t="str">
        <f ca="1"/>
        <v>2025214269</v>
      </c>
      <c r="C204" s="137" t="str">
        <f ca="1"/>
        <v>Indusind General Insurance Co Ltd</v>
      </c>
      <c r="D204" s="27" t="str">
        <f ca="1"/>
        <v>MACT</v>
      </c>
      <c r="E204" s="27" t="str">
        <f ca="1"/>
        <v>R001-1203-SS-2025</v>
      </c>
      <c r="F204" s="206">
        <f ca="1"/>
        <v>46013</v>
      </c>
      <c r="G204" s="27" t="str">
        <f ca="1"/>
        <v>Dec-25</v>
      </c>
      <c r="H204" s="27" t="s">
        <v>718</v>
      </c>
      <c r="I204" s="29"/>
      <c r="J204" s="29">
        <f ca="1">IF(F204="", "",
    IF(OR(M204="WC Claim", M204="Partial Case"),
        WORKDAY(F204, 15),
    IF(OR(M204="Medical Verification", M204="Full Case"),
        WORKDAY(F204, 30),
    "")))</f>
        <v>46055</v>
      </c>
      <c r="K204" s="27">
        <f t="shared" ca="1" si="34"/>
        <v>14</v>
      </c>
      <c r="L204" s="27" t="str">
        <f t="shared" ca="1" si="29"/>
        <v>WT</v>
      </c>
      <c r="M204" s="27" t="s">
        <v>704</v>
      </c>
      <c r="N204" s="27" t="s">
        <v>720</v>
      </c>
      <c r="O204" s="27" t="s">
        <v>721</v>
      </c>
      <c r="P204" s="27" t="s">
        <v>1927</v>
      </c>
      <c r="Q204" s="28" t="s">
        <v>1928</v>
      </c>
      <c r="R204" s="28" t="s">
        <v>1929</v>
      </c>
      <c r="S204" s="28" t="s">
        <v>763</v>
      </c>
      <c r="T204" s="27" t="s">
        <v>794</v>
      </c>
      <c r="U204" s="28" t="s">
        <v>41</v>
      </c>
      <c r="V204" s="28" t="s">
        <v>41</v>
      </c>
      <c r="W204" s="28" t="s">
        <v>41</v>
      </c>
      <c r="X204" s="28" t="s">
        <v>41</v>
      </c>
      <c r="Y204" s="28" t="s">
        <v>591</v>
      </c>
      <c r="Z204" s="28" t="s">
        <v>1930</v>
      </c>
      <c r="AA204" s="28" t="s">
        <v>754</v>
      </c>
      <c r="AB204" s="27" t="s">
        <v>41</v>
      </c>
      <c r="AC204" s="27" t="s">
        <v>794</v>
      </c>
      <c r="AD204" s="28" t="s">
        <v>41</v>
      </c>
      <c r="AE204" s="28" t="s">
        <v>41</v>
      </c>
      <c r="AF204" s="27" t="s">
        <v>41</v>
      </c>
      <c r="AG204" s="27" t="s">
        <v>41</v>
      </c>
      <c r="AH204" s="27" t="s">
        <v>41</v>
      </c>
      <c r="AI204" s="27" t="s">
        <v>41</v>
      </c>
      <c r="AJ204" s="27" t="s">
        <v>41</v>
      </c>
      <c r="AK204" s="27" t="s">
        <v>41</v>
      </c>
      <c r="AL204" s="27" t="s">
        <v>41</v>
      </c>
      <c r="AM204" s="27" t="s">
        <v>41</v>
      </c>
      <c r="AN204" s="27" t="s">
        <v>41</v>
      </c>
      <c r="AO204" s="27" t="s">
        <v>41</v>
      </c>
      <c r="AP204" s="27" t="s">
        <v>41</v>
      </c>
      <c r="AQ204" s="28" t="s">
        <v>1931</v>
      </c>
      <c r="AR204" s="28" t="s">
        <v>763</v>
      </c>
      <c r="AS204" s="27" t="s">
        <v>794</v>
      </c>
      <c r="AT204" s="28" t="s">
        <v>1932</v>
      </c>
      <c r="AU204" s="27" t="s">
        <v>1933</v>
      </c>
      <c r="AV204" s="27" t="s">
        <v>763</v>
      </c>
      <c r="AW204" s="27" t="s">
        <v>41</v>
      </c>
      <c r="AX204" s="27" t="s">
        <v>41</v>
      </c>
      <c r="AY204" s="137" t="s">
        <v>41</v>
      </c>
      <c r="AZ204" s="137" t="s">
        <v>41</v>
      </c>
      <c r="BA204" s="137" t="s">
        <v>41</v>
      </c>
      <c r="BB204" s="138" t="s">
        <v>41</v>
      </c>
      <c r="BC204" s="137" t="s">
        <v>41</v>
      </c>
      <c r="BD204" s="93" t="s">
        <v>41</v>
      </c>
      <c r="BE204" s="28"/>
      <c r="BF204" s="28"/>
    </row>
    <row r="205" spans="1:58" ht="20.25" customHeight="1">
      <c r="A205" s="27">
        <v>204</v>
      </c>
      <c r="B205" s="27" t="str">
        <f ca="1"/>
        <v>2025214177</v>
      </c>
      <c r="C205" s="137" t="str">
        <f ca="1"/>
        <v>Indusind General Insurance Co Ltd</v>
      </c>
      <c r="D205" s="27" t="str">
        <f ca="1"/>
        <v>MACT</v>
      </c>
      <c r="E205" s="27" t="str">
        <f ca="1"/>
        <v>R001-1204-SS-2025</v>
      </c>
      <c r="F205" s="206">
        <f ca="1"/>
        <v>46013</v>
      </c>
      <c r="G205" s="27" t="str">
        <f ca="1"/>
        <v>Dec-25</v>
      </c>
      <c r="H205" s="27" t="s">
        <v>718</v>
      </c>
      <c r="I205" s="29"/>
      <c r="J205" s="29">
        <f t="shared" ref="J205:J206" ca="1" si="35">IF(F205="", "",
    IF(OR(M205="WC Claim", M205="Partial Case"),
        WORKDAY(F205, 15),
    IF(OR(M205="Medical Verification", M205="Full Case"),
        WORKDAY(F205, 30),
    "")))</f>
        <v>46055</v>
      </c>
      <c r="K205" s="27">
        <f t="shared" ca="1" si="34"/>
        <v>14</v>
      </c>
      <c r="L205" s="27" t="str">
        <f t="shared" ca="1" si="29"/>
        <v>WT</v>
      </c>
      <c r="M205" s="27" t="s">
        <v>704</v>
      </c>
      <c r="N205" s="27" t="s">
        <v>720</v>
      </c>
      <c r="O205" s="27" t="s">
        <v>721</v>
      </c>
      <c r="P205" s="27" t="s">
        <v>1918</v>
      </c>
      <c r="Q205" s="28" t="s">
        <v>1934</v>
      </c>
      <c r="R205" s="93" t="s">
        <v>1935</v>
      </c>
      <c r="S205" s="28" t="s">
        <v>1915</v>
      </c>
      <c r="T205" s="27" t="s">
        <v>794</v>
      </c>
      <c r="U205" s="28" t="s">
        <v>41</v>
      </c>
      <c r="V205" s="28" t="s">
        <v>41</v>
      </c>
      <c r="W205" s="28" t="s">
        <v>41</v>
      </c>
      <c r="X205" s="28" t="s">
        <v>41</v>
      </c>
      <c r="Y205" s="28" t="s">
        <v>594</v>
      </c>
      <c r="Z205" s="20" t="s">
        <v>1936</v>
      </c>
      <c r="AA205" s="28" t="s">
        <v>1937</v>
      </c>
      <c r="AB205" s="27" t="s">
        <v>41</v>
      </c>
      <c r="AC205" s="27" t="s">
        <v>794</v>
      </c>
      <c r="AD205" t="s">
        <v>1938</v>
      </c>
      <c r="AE205" s="20" t="s">
        <v>1936</v>
      </c>
      <c r="AF205" s="28" t="s">
        <v>1937</v>
      </c>
      <c r="AG205" s="27" t="s">
        <v>41</v>
      </c>
      <c r="AH205" s="27" t="s">
        <v>41</v>
      </c>
      <c r="AI205" s="27" t="s">
        <v>41</v>
      </c>
      <c r="AJ205" s="27" t="s">
        <v>41</v>
      </c>
      <c r="AK205" s="27" t="s">
        <v>41</v>
      </c>
      <c r="AL205" s="27" t="s">
        <v>41</v>
      </c>
      <c r="AM205" s="27" t="s">
        <v>41</v>
      </c>
      <c r="AN205" s="27" t="s">
        <v>41</v>
      </c>
      <c r="AO205" s="27" t="s">
        <v>41</v>
      </c>
      <c r="AP205" s="27" t="s">
        <v>41</v>
      </c>
      <c r="AQ205" t="s">
        <v>1939</v>
      </c>
      <c r="AR205" t="s">
        <v>1915</v>
      </c>
      <c r="AS205" s="27" t="s">
        <v>794</v>
      </c>
      <c r="AT205" t="s">
        <v>1940</v>
      </c>
      <c r="AU205" s="20" t="s">
        <v>1941</v>
      </c>
      <c r="AV205" t="s">
        <v>1915</v>
      </c>
      <c r="AW205" s="27" t="s">
        <v>41</v>
      </c>
      <c r="AX205" s="27" t="s">
        <v>41</v>
      </c>
      <c r="AY205" s="137" t="s">
        <v>41</v>
      </c>
      <c r="AZ205" s="137" t="s">
        <v>41</v>
      </c>
      <c r="BA205" s="137" t="s">
        <v>41</v>
      </c>
      <c r="BB205" s="137" t="s">
        <v>41</v>
      </c>
      <c r="BC205" s="137" t="s">
        <v>41</v>
      </c>
      <c r="BD205" s="93" t="s">
        <v>716</v>
      </c>
      <c r="BE205" s="28"/>
      <c r="BF205" s="28"/>
    </row>
    <row r="206" spans="1:58" ht="20.25" customHeight="1">
      <c r="A206" s="27">
        <v>205</v>
      </c>
      <c r="B206" s="27" t="str">
        <f ca="1"/>
        <v>2025214105</v>
      </c>
      <c r="C206" s="137" t="str">
        <f ca="1"/>
        <v>Indusind General Insurance Co Ltd</v>
      </c>
      <c r="D206" s="27" t="str">
        <f ca="1"/>
        <v>MACT</v>
      </c>
      <c r="E206" s="27" t="str">
        <f ca="1"/>
        <v>R001-1205-SS-2025</v>
      </c>
      <c r="F206" s="206">
        <f ca="1"/>
        <v>46013</v>
      </c>
      <c r="G206" s="27" t="str">
        <f ca="1"/>
        <v>Dec-25</v>
      </c>
      <c r="H206" s="27" t="s">
        <v>718</v>
      </c>
      <c r="I206" s="29"/>
      <c r="J206" s="29">
        <f t="shared" ca="1" si="35"/>
        <v>46055</v>
      </c>
      <c r="K206" s="27">
        <f t="shared" ca="1" si="34"/>
        <v>14</v>
      </c>
      <c r="L206" s="27" t="str">
        <f t="shared" ca="1" si="29"/>
        <v>WT</v>
      </c>
      <c r="M206" s="27" t="s">
        <v>704</v>
      </c>
      <c r="N206" s="27" t="s">
        <v>720</v>
      </c>
      <c r="O206" s="27" t="s">
        <v>721</v>
      </c>
      <c r="P206" s="27" t="s">
        <v>1927</v>
      </c>
      <c r="Q206" s="28" t="s">
        <v>1942</v>
      </c>
      <c r="R206" s="93" t="s">
        <v>1943</v>
      </c>
      <c r="S206" s="28" t="s">
        <v>754</v>
      </c>
      <c r="T206" s="27" t="s">
        <v>794</v>
      </c>
      <c r="U206" s="28" t="s">
        <v>41</v>
      </c>
      <c r="V206" s="28" t="s">
        <v>41</v>
      </c>
      <c r="W206" s="28" t="s">
        <v>41</v>
      </c>
      <c r="X206" s="28" t="s">
        <v>41</v>
      </c>
      <c r="Y206" s="28" t="s">
        <v>597</v>
      </c>
      <c r="Z206" s="93" t="s">
        <v>1944</v>
      </c>
      <c r="AA206" s="28" t="s">
        <v>754</v>
      </c>
      <c r="AB206" s="27" t="s">
        <v>41</v>
      </c>
      <c r="AC206" s="27" t="s">
        <v>794</v>
      </c>
      <c r="AD206" s="28" t="s">
        <v>41</v>
      </c>
      <c r="AE206" s="28" t="s">
        <v>41</v>
      </c>
      <c r="AF206" s="28" t="s">
        <v>41</v>
      </c>
      <c r="AG206" s="28" t="s">
        <v>41</v>
      </c>
      <c r="AH206" s="28" t="s">
        <v>41</v>
      </c>
      <c r="AI206" s="28" t="s">
        <v>41</v>
      </c>
      <c r="AJ206" s="28" t="s">
        <v>41</v>
      </c>
      <c r="AK206" s="28" t="s">
        <v>41</v>
      </c>
      <c r="AL206" s="28" t="s">
        <v>41</v>
      </c>
      <c r="AM206" s="28" t="s">
        <v>41</v>
      </c>
      <c r="AN206" s="28" t="s">
        <v>41</v>
      </c>
      <c r="AO206" s="28" t="s">
        <v>41</v>
      </c>
      <c r="AP206" s="28" t="s">
        <v>41</v>
      </c>
      <c r="AQ206" s="93" t="s">
        <v>1945</v>
      </c>
      <c r="AR206" t="s">
        <v>754</v>
      </c>
      <c r="AS206" s="27" t="s">
        <v>794</v>
      </c>
      <c r="AT206" s="28" t="s">
        <v>41</v>
      </c>
      <c r="AU206" s="26" t="s">
        <v>1946</v>
      </c>
      <c r="AV206" s="27" t="s">
        <v>754</v>
      </c>
      <c r="AW206" s="27" t="s">
        <v>41</v>
      </c>
      <c r="AX206" s="27" t="s">
        <v>41</v>
      </c>
      <c r="AY206" s="137" t="s">
        <v>41</v>
      </c>
      <c r="AZ206" s="137" t="s">
        <v>41</v>
      </c>
      <c r="BA206" s="137" t="s">
        <v>41</v>
      </c>
      <c r="BB206" s="137" t="s">
        <v>41</v>
      </c>
      <c r="BC206" s="137" t="s">
        <v>41</v>
      </c>
      <c r="BD206" s="93"/>
      <c r="BE206" s="28"/>
      <c r="BF206" s="28"/>
    </row>
    <row r="207" spans="1:58" ht="20.25" customHeight="1">
      <c r="A207" s="27">
        <v>206</v>
      </c>
      <c r="B207" s="27" t="str">
        <f ca="1"/>
        <v>2025213441</v>
      </c>
      <c r="C207" s="137" t="str">
        <f ca="1"/>
        <v>Indusind General Insurance Co Ltd</v>
      </c>
      <c r="D207" s="27" t="str">
        <f ca="1"/>
        <v>MACT</v>
      </c>
      <c r="E207" s="27" t="str">
        <f ca="1"/>
        <v>R001-1206-SS-2025</v>
      </c>
      <c r="F207" s="206">
        <f ca="1"/>
        <v>46013</v>
      </c>
      <c r="G207" s="27" t="str">
        <f ca="1"/>
        <v>Dec-25</v>
      </c>
      <c r="H207" s="27" t="s">
        <v>718</v>
      </c>
      <c r="I207" s="29"/>
      <c r="J207" s="29">
        <f t="shared" ref="J207" ca="1" si="36">IF(F207="", "",
    IF(OR(M207="WC Claim", M207="Partial Case"),
        WORKDAY(F207, 15),
    IF(OR(M207="Medical Verification", M207="Full Case"),
        WORKDAY(F207, 30),
    "")))</f>
        <v>46055</v>
      </c>
      <c r="K207" s="27">
        <f t="shared" ca="1" si="34"/>
        <v>14</v>
      </c>
      <c r="L207" s="27" t="str">
        <f t="shared" ca="1" si="29"/>
        <v>WT</v>
      </c>
      <c r="M207" s="27" t="s">
        <v>704</v>
      </c>
      <c r="N207" s="27" t="s">
        <v>720</v>
      </c>
      <c r="O207" s="27" t="s">
        <v>721</v>
      </c>
      <c r="P207" s="27" t="s">
        <v>1927</v>
      </c>
      <c r="Q207" s="28" t="s">
        <v>1947</v>
      </c>
      <c r="R207" s="93" t="s">
        <v>1948</v>
      </c>
      <c r="S207" s="28" t="s">
        <v>1949</v>
      </c>
      <c r="T207" s="27" t="s">
        <v>794</v>
      </c>
      <c r="U207" s="28" t="s">
        <v>41</v>
      </c>
      <c r="V207" s="28" t="s">
        <v>41</v>
      </c>
      <c r="W207" s="28" t="s">
        <v>41</v>
      </c>
      <c r="X207" s="28" t="s">
        <v>41</v>
      </c>
      <c r="Y207" s="28" t="s">
        <v>1950</v>
      </c>
      <c r="Z207" s="93" t="s">
        <v>1951</v>
      </c>
      <c r="AA207" s="28" t="s">
        <v>754</v>
      </c>
      <c r="AB207" s="27" t="s">
        <v>41</v>
      </c>
      <c r="AC207" s="27" t="s">
        <v>794</v>
      </c>
      <c r="AD207" s="28" t="s">
        <v>41</v>
      </c>
      <c r="AE207" s="28" t="s">
        <v>41</v>
      </c>
      <c r="AF207" s="28" t="s">
        <v>41</v>
      </c>
      <c r="AG207" s="28" t="s">
        <v>41</v>
      </c>
      <c r="AH207" s="28" t="s">
        <v>41</v>
      </c>
      <c r="AI207" s="28" t="s">
        <v>41</v>
      </c>
      <c r="AJ207" s="28" t="s">
        <v>41</v>
      </c>
      <c r="AK207" s="28" t="s">
        <v>41</v>
      </c>
      <c r="AL207" s="28" t="s">
        <v>41</v>
      </c>
      <c r="AM207" s="28" t="s">
        <v>41</v>
      </c>
      <c r="AN207" s="28" t="s">
        <v>41</v>
      </c>
      <c r="AO207" s="28" t="s">
        <v>41</v>
      </c>
      <c r="AP207" s="28" t="s">
        <v>41</v>
      </c>
      <c r="AQ207" s="28" t="s">
        <v>1952</v>
      </c>
      <c r="AR207" s="28" t="s">
        <v>754</v>
      </c>
      <c r="AS207" s="27" t="s">
        <v>794</v>
      </c>
      <c r="AT207" s="28" t="s">
        <v>41</v>
      </c>
      <c r="AU207" s="27" t="s">
        <v>1953</v>
      </c>
      <c r="AV207" s="27" t="s">
        <v>754</v>
      </c>
      <c r="AW207" s="27" t="s">
        <v>41</v>
      </c>
      <c r="AX207" s="27" t="s">
        <v>41</v>
      </c>
      <c r="AY207" s="137" t="s">
        <v>41</v>
      </c>
      <c r="AZ207" s="137" t="s">
        <v>41</v>
      </c>
      <c r="BA207" s="137" t="s">
        <v>41</v>
      </c>
      <c r="BB207" s="137" t="s">
        <v>41</v>
      </c>
      <c r="BC207" s="137" t="s">
        <v>41</v>
      </c>
      <c r="BD207" s="93"/>
      <c r="BE207" s="28"/>
      <c r="BF207" s="28"/>
    </row>
    <row r="208" spans="1:58" ht="20.25" customHeight="1">
      <c r="A208" s="27">
        <v>207</v>
      </c>
      <c r="B208" s="27" t="str">
        <f ca="1"/>
        <v>2025214020</v>
      </c>
      <c r="C208" s="137" t="str">
        <f ca="1"/>
        <v>Indusind General Insurance Co Ltd</v>
      </c>
      <c r="D208" s="27" t="str">
        <f ca="1"/>
        <v>MACT</v>
      </c>
      <c r="E208" s="27" t="str">
        <f ca="1"/>
        <v>R001-1207-SS-2025</v>
      </c>
      <c r="F208" s="206">
        <f ca="1"/>
        <v>46013</v>
      </c>
      <c r="G208" s="27" t="str">
        <f ca="1"/>
        <v>Dec-25</v>
      </c>
      <c r="H208" s="27" t="s">
        <v>718</v>
      </c>
      <c r="I208" s="29"/>
      <c r="J208" s="29">
        <f t="shared" ref="J208" ca="1" si="37">IF(F208="", "",
    IF(OR(M208="WC Claim", M208="Partial Case"),
        WORKDAY(F208, 15),
    IF(OR(M208="Medical Verification", M208="Full Case"),
        WORKDAY(F208, 30),
    "")))</f>
        <v>46055</v>
      </c>
      <c r="K208" s="27">
        <f t="shared" ca="1" si="34"/>
        <v>14</v>
      </c>
      <c r="L208" s="27" t="str">
        <f t="shared" ca="1" si="29"/>
        <v>WT</v>
      </c>
      <c r="M208" s="27" t="s">
        <v>704</v>
      </c>
      <c r="N208" s="27" t="s">
        <v>720</v>
      </c>
      <c r="O208" s="27" t="s">
        <v>721</v>
      </c>
      <c r="P208" s="27" t="s">
        <v>1927</v>
      </c>
      <c r="Q208" s="28" t="s">
        <v>1954</v>
      </c>
      <c r="R208" s="28" t="s">
        <v>1955</v>
      </c>
      <c r="S208" s="28" t="s">
        <v>754</v>
      </c>
      <c r="T208" s="27" t="s">
        <v>794</v>
      </c>
      <c r="U208" s="28" t="s">
        <v>41</v>
      </c>
      <c r="V208" s="28" t="s">
        <v>41</v>
      </c>
      <c r="W208" s="28" t="s">
        <v>41</v>
      </c>
      <c r="X208" s="28" t="s">
        <v>41</v>
      </c>
      <c r="Y208" s="28" t="s">
        <v>603</v>
      </c>
      <c r="Z208" s="93" t="s">
        <v>1956</v>
      </c>
      <c r="AA208" s="28" t="s">
        <v>754</v>
      </c>
      <c r="AB208" s="27" t="s">
        <v>41</v>
      </c>
      <c r="AC208" s="27" t="s">
        <v>794</v>
      </c>
      <c r="AD208" s="28" t="s">
        <v>41</v>
      </c>
      <c r="AE208" s="28" t="s">
        <v>41</v>
      </c>
      <c r="AF208" s="28" t="s">
        <v>41</v>
      </c>
      <c r="AG208" s="28" t="s">
        <v>41</v>
      </c>
      <c r="AH208" s="28" t="s">
        <v>41</v>
      </c>
      <c r="AI208" s="28" t="s">
        <v>41</v>
      </c>
      <c r="AJ208" s="28" t="s">
        <v>41</v>
      </c>
      <c r="AK208" s="28" t="s">
        <v>41</v>
      </c>
      <c r="AL208" s="28" t="s">
        <v>41</v>
      </c>
      <c r="AM208" s="28" t="s">
        <v>41</v>
      </c>
      <c r="AN208" s="28" t="s">
        <v>41</v>
      </c>
      <c r="AO208" s="28" t="s">
        <v>41</v>
      </c>
      <c r="AP208" s="28" t="s">
        <v>41</v>
      </c>
      <c r="AQ208" s="28" t="s">
        <v>1957</v>
      </c>
      <c r="AR208" s="28" t="s">
        <v>728</v>
      </c>
      <c r="AS208" s="27" t="s">
        <v>794</v>
      </c>
      <c r="AT208" s="28" t="s">
        <v>1958</v>
      </c>
      <c r="AU208" s="26" t="s">
        <v>1959</v>
      </c>
      <c r="AV208" s="27" t="s">
        <v>754</v>
      </c>
      <c r="AW208" s="27" t="s">
        <v>41</v>
      </c>
      <c r="AX208" s="27" t="s">
        <v>41</v>
      </c>
      <c r="AY208" s="28" t="s">
        <v>41</v>
      </c>
      <c r="AZ208" s="28" t="s">
        <v>41</v>
      </c>
      <c r="BA208" s="28" t="s">
        <v>41</v>
      </c>
      <c r="BB208" s="28" t="s">
        <v>41</v>
      </c>
      <c r="BC208" s="28" t="s">
        <v>41</v>
      </c>
      <c r="BD208" s="93"/>
      <c r="BE208" s="28"/>
      <c r="BF208" s="28"/>
    </row>
    <row r="209" spans="1:58" ht="20.25" customHeight="1">
      <c r="A209" s="27">
        <v>208</v>
      </c>
      <c r="B209" s="27" t="str">
        <f ca="1"/>
        <v>2024213331</v>
      </c>
      <c r="C209" s="137" t="str">
        <f ca="1"/>
        <v>Indusind General Insurance Co Ltd</v>
      </c>
      <c r="D209" s="27" t="str">
        <f ca="1"/>
        <v>MACT</v>
      </c>
      <c r="E209" s="27" t="str">
        <f ca="1"/>
        <v>R001-1208-SS-2025</v>
      </c>
      <c r="F209" s="206">
        <f ca="1"/>
        <v>45966</v>
      </c>
      <c r="G209" s="27" t="str">
        <f ca="1"/>
        <v>Nov-25</v>
      </c>
      <c r="H209" s="29">
        <v>46015</v>
      </c>
      <c r="I209" s="29" t="str">
        <f t="shared" ref="I209" si="38">IF(ISBLANK(H209), "", TEXT(H209, "mmm-yy"))</f>
        <v>Dec-25</v>
      </c>
      <c r="J209" s="29">
        <f ca="1">IF(F209="", "",
    IF(OR(M209="WC Claim", M209="Partial Case"),
        WORKDAY(F209, 15),
    IF(OR(M209="Medical Verification", M209="Full Case"),
        WORKDAY(F209, 30),
    "")))</f>
        <v>45987</v>
      </c>
      <c r="K209" s="27">
        <f t="shared" ca="1" si="34"/>
        <v>49</v>
      </c>
      <c r="L209" s="27" t="str">
        <f t="shared" ca="1" si="29"/>
        <v>AT</v>
      </c>
      <c r="M209" s="27" t="s">
        <v>750</v>
      </c>
      <c r="N209" s="27" t="s">
        <v>705</v>
      </c>
      <c r="O209" s="27" t="s">
        <v>706</v>
      </c>
      <c r="P209" s="27"/>
      <c r="Q209" s="28"/>
      <c r="R209" s="28"/>
      <c r="S209" s="28"/>
      <c r="T209" s="27" t="s">
        <v>706</v>
      </c>
      <c r="U209" s="28"/>
      <c r="V209" s="28"/>
      <c r="W209" s="28"/>
      <c r="X209" s="28" t="s">
        <v>41</v>
      </c>
      <c r="Y209" s="28"/>
      <c r="Z209" s="28"/>
      <c r="AA209" s="28"/>
      <c r="AB209" s="27"/>
      <c r="AC209" s="27" t="s">
        <v>41</v>
      </c>
      <c r="AD209" s="28"/>
      <c r="AE209" s="28"/>
      <c r="AF209" s="27"/>
      <c r="AG209" s="27" t="s">
        <v>41</v>
      </c>
      <c r="AH209" s="27"/>
      <c r="AI209" s="27"/>
      <c r="AJ209" s="27"/>
      <c r="AK209" s="27"/>
      <c r="AL209" s="27"/>
      <c r="AM209" s="27"/>
      <c r="AN209" s="27"/>
      <c r="AO209" s="27"/>
      <c r="AP209" s="27"/>
      <c r="AQ209" s="28"/>
      <c r="AR209" s="28"/>
      <c r="AS209" s="27" t="s">
        <v>41</v>
      </c>
      <c r="AT209" s="28"/>
      <c r="AU209" s="27"/>
      <c r="AV209" s="27"/>
      <c r="AW209" s="27"/>
      <c r="AX209" s="27" t="s">
        <v>41</v>
      </c>
      <c r="AY209" s="28"/>
      <c r="AZ209" s="28"/>
      <c r="BA209" s="28"/>
      <c r="BB209" s="26" t="s">
        <v>41</v>
      </c>
      <c r="BC209" s="27"/>
      <c r="BD209" s="93"/>
      <c r="BE209" s="28"/>
      <c r="BF209" s="28"/>
    </row>
    <row r="210" spans="1:58" ht="20.25" customHeight="1">
      <c r="A210" s="27">
        <v>209</v>
      </c>
      <c r="B210" s="27">
        <f ca="1"/>
        <v>2024210698</v>
      </c>
      <c r="C210" s="137" t="str">
        <f ca="1"/>
        <v>Indusind General Insurance Co Ltd</v>
      </c>
      <c r="D210" s="27" t="str">
        <f ca="1"/>
        <v>MACT</v>
      </c>
      <c r="E210" s="27" t="str">
        <f ca="1"/>
        <v>R001-1209-SS-2025</v>
      </c>
      <c r="F210" s="206">
        <f ca="1"/>
        <v>45551</v>
      </c>
      <c r="G210" s="27" t="str">
        <f ca="1"/>
        <v>Sep-24</v>
      </c>
      <c r="H210" s="29">
        <v>46017</v>
      </c>
      <c r="I210" s="29" t="str">
        <f t="shared" si="28"/>
        <v>Dec-25</v>
      </c>
      <c r="J210" s="29">
        <f ca="1">IF(F210="", "",
    IF(OR(M210="WC Claim", M210="Partial Case"),
        WORKDAY(F210, 15),
    IF(OR(M210="Medical Verification", M210="Full Case"),
        WORKDAY(F210, 30),
    "")))</f>
        <v>45593</v>
      </c>
      <c r="K210" s="27">
        <f t="shared" ca="1" si="34"/>
        <v>466</v>
      </c>
      <c r="L210" s="27" t="str">
        <f t="shared" ca="1" si="29"/>
        <v>AT</v>
      </c>
      <c r="M210" s="27" t="s">
        <v>704</v>
      </c>
      <c r="N210" s="27" t="s">
        <v>705</v>
      </c>
      <c r="O210" s="27" t="s">
        <v>706</v>
      </c>
      <c r="P210" s="386"/>
      <c r="Q210" s="386" t="s">
        <v>1960</v>
      </c>
      <c r="R210" s="387" t="s">
        <v>1961</v>
      </c>
      <c r="S210" s="28" t="s">
        <v>741</v>
      </c>
      <c r="T210" s="27" t="s">
        <v>706</v>
      </c>
      <c r="U210" s="28" t="s">
        <v>41</v>
      </c>
      <c r="V210" s="28" t="s">
        <v>41</v>
      </c>
      <c r="W210" s="28" t="s">
        <v>41</v>
      </c>
      <c r="X210" s="28" t="s">
        <v>41</v>
      </c>
      <c r="Y210" s="386" t="s">
        <v>1962</v>
      </c>
      <c r="Z210" s="386" t="s">
        <v>1963</v>
      </c>
      <c r="AA210" s="28" t="s">
        <v>837</v>
      </c>
      <c r="AB210" s="27" t="s">
        <v>41</v>
      </c>
      <c r="AC210" s="26" t="s">
        <v>706</v>
      </c>
      <c r="AD210" s="28" t="s">
        <v>41</v>
      </c>
      <c r="AE210" s="28" t="s">
        <v>41</v>
      </c>
      <c r="AF210" s="28" t="s">
        <v>41</v>
      </c>
      <c r="AG210" s="28" t="s">
        <v>41</v>
      </c>
      <c r="AH210" s="28" t="s">
        <v>41</v>
      </c>
      <c r="AI210" s="28" t="s">
        <v>41</v>
      </c>
      <c r="AJ210" s="28" t="s">
        <v>41</v>
      </c>
      <c r="AK210" s="28" t="s">
        <v>41</v>
      </c>
      <c r="AL210" s="28" t="s">
        <v>41</v>
      </c>
      <c r="AM210" s="28" t="s">
        <v>41</v>
      </c>
      <c r="AN210" s="28" t="s">
        <v>41</v>
      </c>
      <c r="AO210" s="28" t="s">
        <v>41</v>
      </c>
      <c r="AP210" s="28" t="s">
        <v>41</v>
      </c>
      <c r="AQ210" s="388" t="s">
        <v>1964</v>
      </c>
      <c r="AR210" s="28" t="s">
        <v>741</v>
      </c>
      <c r="AS210" s="27" t="s">
        <v>706</v>
      </c>
      <c r="AT210" s="386" t="s">
        <v>1965</v>
      </c>
      <c r="AU210" s="388" t="s">
        <v>1966</v>
      </c>
      <c r="AV210" s="27" t="s">
        <v>741</v>
      </c>
      <c r="AW210" s="27" t="s">
        <v>41</v>
      </c>
      <c r="AX210" s="27" t="s">
        <v>747</v>
      </c>
      <c r="AY210" s="28" t="s">
        <v>41</v>
      </c>
      <c r="AZ210" s="28" t="s">
        <v>41</v>
      </c>
      <c r="BA210" s="28" t="s">
        <v>41</v>
      </c>
      <c r="BB210" s="28" t="s">
        <v>41</v>
      </c>
      <c r="BC210" s="28" t="s">
        <v>41</v>
      </c>
      <c r="BD210" s="93" t="s">
        <v>1967</v>
      </c>
      <c r="BE210" s="28"/>
      <c r="BF210" s="28"/>
    </row>
    <row r="211" spans="1:58" ht="20.25" customHeight="1">
      <c r="A211" s="27">
        <v>210</v>
      </c>
      <c r="B211" s="27">
        <f ca="1"/>
        <v>2759892</v>
      </c>
      <c r="C211" s="137" t="str">
        <f ca="1"/>
        <v>SBI General Insurance Company Ltd</v>
      </c>
      <c r="D211" s="27" t="str">
        <f ca="1"/>
        <v>MACT</v>
      </c>
      <c r="E211" s="27" t="str">
        <f ca="1"/>
        <v>S002-1210-SS-2025</v>
      </c>
      <c r="F211" s="206">
        <f ca="1"/>
        <v>46017</v>
      </c>
      <c r="G211" s="27" t="str">
        <f ca="1"/>
        <v>Dec-25</v>
      </c>
      <c r="H211" s="27"/>
      <c r="I211" s="29" t="str">
        <f t="shared" si="28"/>
        <v/>
      </c>
      <c r="J211" s="29">
        <f ca="1">IF(F211="", "",
    IF(OR(M211="WC Claim", M211="Partial Case"),
        WORKDAY(F211, 15),
    IF(OR(M211="Medical Verification", M211="Full Case"),
        WORKDAY(F211, 30),
    "")))</f>
        <v>46059</v>
      </c>
      <c r="K211" s="27">
        <f t="shared" ca="1" si="34"/>
        <v>10</v>
      </c>
      <c r="L211" s="27" t="str">
        <f t="shared" ca="1" si="29"/>
        <v>WT</v>
      </c>
      <c r="M211" s="27" t="s">
        <v>704</v>
      </c>
      <c r="N211" s="27" t="s">
        <v>720</v>
      </c>
      <c r="O211" s="27" t="s">
        <v>721</v>
      </c>
      <c r="P211" s="27"/>
      <c r="Q211" t="s">
        <v>1968</v>
      </c>
      <c r="R211" s="20" t="s">
        <v>1969</v>
      </c>
      <c r="S211" s="28" t="s">
        <v>741</v>
      </c>
      <c r="T211" s="27" t="s">
        <v>794</v>
      </c>
      <c r="U211" s="28" t="s">
        <v>41</v>
      </c>
      <c r="V211" s="28" t="s">
        <v>41</v>
      </c>
      <c r="W211" s="28" t="s">
        <v>41</v>
      </c>
      <c r="X211" s="28" t="s">
        <v>41</v>
      </c>
      <c r="Y211" t="s">
        <v>611</v>
      </c>
      <c r="Z211" t="s">
        <v>1970</v>
      </c>
      <c r="AA211" s="28" t="s">
        <v>741</v>
      </c>
      <c r="AB211" s="27" t="s">
        <v>41</v>
      </c>
      <c r="AC211" s="27" t="s">
        <v>794</v>
      </c>
      <c r="AD211" s="28" t="s">
        <v>41</v>
      </c>
      <c r="AE211" s="28" t="s">
        <v>41</v>
      </c>
      <c r="AF211" s="28" t="s">
        <v>41</v>
      </c>
      <c r="AG211" s="28" t="s">
        <v>794</v>
      </c>
      <c r="AH211" s="28" t="s">
        <v>41</v>
      </c>
      <c r="AI211" s="28" t="s">
        <v>41</v>
      </c>
      <c r="AJ211" s="28" t="s">
        <v>41</v>
      </c>
      <c r="AK211" s="28" t="s">
        <v>41</v>
      </c>
      <c r="AL211" s="28" t="s">
        <v>41</v>
      </c>
      <c r="AM211" s="28" t="s">
        <v>41</v>
      </c>
      <c r="AN211" s="28" t="s">
        <v>41</v>
      </c>
      <c r="AO211" s="28" t="s">
        <v>41</v>
      </c>
      <c r="AP211" s="28" t="s">
        <v>41</v>
      </c>
      <c r="AQ211" t="s">
        <v>1971</v>
      </c>
      <c r="AR211" s="28" t="s">
        <v>1854</v>
      </c>
      <c r="AS211" s="27" t="s">
        <v>794</v>
      </c>
      <c r="AT211" t="s">
        <v>1972</v>
      </c>
      <c r="AU211" s="20" t="s">
        <v>1973</v>
      </c>
      <c r="AV211" s="27" t="s">
        <v>1854</v>
      </c>
      <c r="AW211" s="27" t="s">
        <v>41</v>
      </c>
      <c r="AX211" s="27" t="s">
        <v>794</v>
      </c>
      <c r="AY211" s="137" t="s">
        <v>41</v>
      </c>
      <c r="AZ211" s="137" t="s">
        <v>41</v>
      </c>
      <c r="BA211" s="137" t="s">
        <v>41</v>
      </c>
      <c r="BB211" s="137" t="s">
        <v>41</v>
      </c>
      <c r="BC211" s="137" t="s">
        <v>41</v>
      </c>
      <c r="BD211" s="93" t="s">
        <v>716</v>
      </c>
      <c r="BE211" s="28"/>
      <c r="BF211" s="28"/>
    </row>
    <row r="212" spans="1:58" ht="20.25" customHeight="1">
      <c r="A212" s="27">
        <v>211</v>
      </c>
      <c r="B212" s="27">
        <f ca="1"/>
        <v>2759893</v>
      </c>
      <c r="C212" s="137" t="str">
        <f ca="1"/>
        <v>SBI General Insurance Company Ltd</v>
      </c>
      <c r="D212" s="27" t="str">
        <f ca="1"/>
        <v>MACT</v>
      </c>
      <c r="E212" s="27" t="str">
        <f ca="1"/>
        <v>S002-1211-SS-2025</v>
      </c>
      <c r="F212" s="206">
        <f ca="1"/>
        <v>46017</v>
      </c>
      <c r="G212" s="27" t="str">
        <f ca="1"/>
        <v>Dec-25</v>
      </c>
      <c r="H212" s="27"/>
      <c r="I212" s="29" t="str">
        <f t="shared" si="28"/>
        <v/>
      </c>
      <c r="J212" s="29" t="str">
        <f ca="1">IF(F212="", "",
    IF(OR(M212="WC Claim", M212="Partial Case"),
        WORKDAY(F212, 15),
    IF(OR(M212="Medical Verification", M212="Full Case"),
        WORKDAY(F212, 30),
    "")))</f>
        <v/>
      </c>
      <c r="K212" s="27">
        <f t="shared" ca="1" si="34"/>
        <v>10</v>
      </c>
      <c r="L212" s="27" t="str">
        <f t="shared" ca="1" si="29"/>
        <v>WT</v>
      </c>
      <c r="M212" s="27" t="s">
        <v>719</v>
      </c>
      <c r="N212" s="27" t="s">
        <v>720</v>
      </c>
      <c r="O212" s="27" t="s">
        <v>721</v>
      </c>
      <c r="P212" s="389" t="s">
        <v>1974</v>
      </c>
      <c r="Q212" t="s">
        <v>1975</v>
      </c>
      <c r="R212" s="20" t="s">
        <v>1976</v>
      </c>
      <c r="S212" s="28" t="s">
        <v>741</v>
      </c>
      <c r="T212" s="27" t="s">
        <v>794</v>
      </c>
      <c r="U212" s="28" t="s">
        <v>41</v>
      </c>
      <c r="V212" s="28" t="s">
        <v>41</v>
      </c>
      <c r="W212" s="28" t="s">
        <v>41</v>
      </c>
      <c r="X212" s="28" t="s">
        <v>41</v>
      </c>
      <c r="Y212" s="28" t="s">
        <v>41</v>
      </c>
      <c r="Z212" s="28" t="s">
        <v>41</v>
      </c>
      <c r="AA212" s="28" t="s">
        <v>41</v>
      </c>
      <c r="AB212" s="28" t="s">
        <v>41</v>
      </c>
      <c r="AC212" s="28" t="s">
        <v>41</v>
      </c>
      <c r="AD212" s="28" t="s">
        <v>41</v>
      </c>
      <c r="AE212" s="28" t="s">
        <v>41</v>
      </c>
      <c r="AF212" s="28" t="s">
        <v>41</v>
      </c>
      <c r="AG212" s="28" t="s">
        <v>41</v>
      </c>
      <c r="AH212" s="28" t="s">
        <v>41</v>
      </c>
      <c r="AI212" s="28" t="s">
        <v>41</v>
      </c>
      <c r="AJ212" s="28" t="s">
        <v>41</v>
      </c>
      <c r="AK212" s="28" t="s">
        <v>41</v>
      </c>
      <c r="AL212" s="28" t="s">
        <v>41</v>
      </c>
      <c r="AM212" s="28" t="s">
        <v>41</v>
      </c>
      <c r="AN212" s="28" t="s">
        <v>794</v>
      </c>
      <c r="AO212" s="28" t="s">
        <v>41</v>
      </c>
      <c r="AP212" s="28" t="s">
        <v>41</v>
      </c>
      <c r="AQ212" s="28" t="s">
        <v>41</v>
      </c>
      <c r="AR212" s="28" t="s">
        <v>41</v>
      </c>
      <c r="AS212" s="28" t="s">
        <v>41</v>
      </c>
      <c r="AT212" s="28" t="s">
        <v>41</v>
      </c>
      <c r="AU212" s="28" t="s">
        <v>41</v>
      </c>
      <c r="AV212" s="28" t="s">
        <v>41</v>
      </c>
      <c r="AW212" s="28" t="s">
        <v>41</v>
      </c>
      <c r="AX212" s="28" t="s">
        <v>41</v>
      </c>
      <c r="AY212" s="28" t="s">
        <v>41</v>
      </c>
      <c r="AZ212" s="28" t="s">
        <v>41</v>
      </c>
      <c r="BA212" s="28" t="s">
        <v>794</v>
      </c>
      <c r="BB212" s="28" t="s">
        <v>41</v>
      </c>
      <c r="BC212" s="28" t="s">
        <v>41</v>
      </c>
      <c r="BD212" s="93" t="s">
        <v>716</v>
      </c>
      <c r="BE212" s="28"/>
      <c r="BF212" s="28"/>
    </row>
    <row r="213" spans="1:58" ht="20.25" customHeight="1">
      <c r="A213" s="27">
        <v>212</v>
      </c>
      <c r="B213" s="27">
        <f ca="1"/>
        <v>2024213740</v>
      </c>
      <c r="C213" s="137" t="str">
        <f ca="1"/>
        <v>Indusind General Insurance Co Ltd</v>
      </c>
      <c r="D213" s="27" t="str">
        <f ca="1"/>
        <v>MACT</v>
      </c>
      <c r="E213" s="27" t="str">
        <f ca="1"/>
        <v>R001-1212-SS-2025</v>
      </c>
      <c r="F213" s="206">
        <f ca="1"/>
        <v>46018</v>
      </c>
      <c r="G213" s="27" t="str">
        <f ca="1"/>
        <v>Dec-25</v>
      </c>
      <c r="H213" s="27"/>
      <c r="I213" s="29" t="str">
        <f t="shared" si="28"/>
        <v/>
      </c>
      <c r="J213" s="29">
        <f ca="1">IF(F213="", "",
    IF(OR(M213="WC Claim", M213="Partial Case"),
        WORKDAY(F213, 15),
    IF(OR(M213="Medical Verification", M213="Full Case"),
        WORKDAY(F213, 30),
    "")))</f>
        <v>46038</v>
      </c>
      <c r="K213" s="27">
        <f t="shared" ca="1" si="34"/>
        <v>9</v>
      </c>
      <c r="L213" s="27" t="str">
        <f t="shared" ca="1" si="29"/>
        <v>WT</v>
      </c>
      <c r="M213" s="27" t="s">
        <v>750</v>
      </c>
      <c r="N213" s="27" t="s">
        <v>720</v>
      </c>
      <c r="O213" s="27" t="s">
        <v>794</v>
      </c>
      <c r="P213" s="390" t="s">
        <v>1977</v>
      </c>
      <c r="Q213" s="28" t="s">
        <v>66</v>
      </c>
      <c r="R213" s="28" t="s">
        <v>41</v>
      </c>
      <c r="S213" s="28" t="s">
        <v>41</v>
      </c>
      <c r="T213" s="27" t="s">
        <v>41</v>
      </c>
      <c r="U213" s="28" t="s">
        <v>66</v>
      </c>
      <c r="V213" s="28" t="s">
        <v>41</v>
      </c>
      <c r="W213" s="28" t="s">
        <v>66</v>
      </c>
      <c r="X213" s="28" t="s">
        <v>41</v>
      </c>
      <c r="Y213" s="28" t="s">
        <v>66</v>
      </c>
      <c r="Z213" s="28" t="s">
        <v>41</v>
      </c>
      <c r="AA213" s="28" t="s">
        <v>41</v>
      </c>
      <c r="AB213" s="27" t="s">
        <v>41</v>
      </c>
      <c r="AC213" s="27" t="s">
        <v>41</v>
      </c>
      <c r="AD213" s="28" t="s">
        <v>66</v>
      </c>
      <c r="AE213" s="28" t="s">
        <v>66</v>
      </c>
      <c r="AF213" s="28" t="s">
        <v>41</v>
      </c>
      <c r="AG213" s="28" t="s">
        <v>41</v>
      </c>
      <c r="AH213" s="28" t="s">
        <v>41</v>
      </c>
      <c r="AI213" s="28" t="s">
        <v>41</v>
      </c>
      <c r="AJ213" s="28" t="s">
        <v>41</v>
      </c>
      <c r="AK213" s="28" t="s">
        <v>41</v>
      </c>
      <c r="AL213" s="28" t="s">
        <v>41</v>
      </c>
      <c r="AM213" s="28" t="s">
        <v>41</v>
      </c>
      <c r="AN213" s="28" t="s">
        <v>794</v>
      </c>
      <c r="AO213" s="28" t="s">
        <v>41</v>
      </c>
      <c r="AP213" s="28" t="s">
        <v>41</v>
      </c>
      <c r="AQ213" s="28" t="s">
        <v>66</v>
      </c>
      <c r="AR213" s="28" t="s">
        <v>66</v>
      </c>
      <c r="AS213" s="27" t="s">
        <v>41</v>
      </c>
      <c r="AT213" s="28" t="s">
        <v>1978</v>
      </c>
      <c r="AU213" s="26" t="s">
        <v>1979</v>
      </c>
      <c r="AV213" s="27" t="s">
        <v>709</v>
      </c>
      <c r="AW213" s="27" t="s">
        <v>41</v>
      </c>
      <c r="AX213" s="27" t="s">
        <v>794</v>
      </c>
      <c r="AY213" s="28" t="s">
        <v>41</v>
      </c>
      <c r="AZ213" s="28" t="s">
        <v>41</v>
      </c>
      <c r="BA213" s="28" t="s">
        <v>794</v>
      </c>
      <c r="BB213" s="28" t="s">
        <v>41</v>
      </c>
      <c r="BC213" s="28" t="s">
        <v>41</v>
      </c>
      <c r="BD213" s="93" t="s">
        <v>716</v>
      </c>
      <c r="BE213" s="28"/>
      <c r="BF213" s="28"/>
    </row>
    <row r="214" spans="1:58" ht="20.25" customHeight="1">
      <c r="A214" s="27">
        <v>213</v>
      </c>
      <c r="B214" s="27">
        <f ca="1"/>
        <v>2024205707</v>
      </c>
      <c r="C214" s="137" t="str">
        <f ca="1"/>
        <v>Indusind General Insurance Co Ltd</v>
      </c>
      <c r="D214" s="27" t="str">
        <f ca="1"/>
        <v>MACT</v>
      </c>
      <c r="E214" s="27" t="str">
        <f ca="1"/>
        <v>R001-1213-SS-2025</v>
      </c>
      <c r="F214" s="206">
        <f ca="1"/>
        <v>46021</v>
      </c>
      <c r="G214" s="27" t="str">
        <f ca="1"/>
        <v>Dec-25</v>
      </c>
      <c r="H214" s="27"/>
      <c r="I214" s="29" t="str">
        <f t="shared" si="28"/>
        <v/>
      </c>
      <c r="J214" s="29"/>
      <c r="K214" s="27">
        <f t="shared" ca="1" si="34"/>
        <v>6</v>
      </c>
      <c r="L214" s="27" t="str">
        <f t="shared" ca="1" si="29"/>
        <v>WT</v>
      </c>
      <c r="M214" s="27" t="s">
        <v>719</v>
      </c>
      <c r="N214" s="27" t="s">
        <v>720</v>
      </c>
      <c r="O214" s="27" t="s">
        <v>794</v>
      </c>
      <c r="P214" s="392" t="s">
        <v>1980</v>
      </c>
      <c r="Q214" t="s">
        <v>1981</v>
      </c>
      <c r="R214" s="20" t="s">
        <v>1982</v>
      </c>
      <c r="S214" s="28" t="s">
        <v>845</v>
      </c>
      <c r="T214" s="27" t="s">
        <v>794</v>
      </c>
      <c r="U214" s="28" t="s">
        <v>66</v>
      </c>
      <c r="V214" s="28" t="s">
        <v>66</v>
      </c>
      <c r="W214" s="28" t="s">
        <v>66</v>
      </c>
      <c r="X214" s="28" t="s">
        <v>41</v>
      </c>
      <c r="Y214" s="28" t="s">
        <v>66</v>
      </c>
      <c r="Z214" s="28" t="s">
        <v>41</v>
      </c>
      <c r="AA214" s="28" t="s">
        <v>41</v>
      </c>
      <c r="AB214" s="27" t="s">
        <v>41</v>
      </c>
      <c r="AC214" s="27" t="s">
        <v>41</v>
      </c>
      <c r="AD214" s="28" t="s">
        <v>41</v>
      </c>
      <c r="AE214" s="28" t="s">
        <v>66</v>
      </c>
      <c r="AF214" s="28" t="s">
        <v>41</v>
      </c>
      <c r="AG214" s="28" t="s">
        <v>41</v>
      </c>
      <c r="AH214" s="28" t="s">
        <v>41</v>
      </c>
      <c r="AI214" s="28" t="s">
        <v>41</v>
      </c>
      <c r="AJ214" s="28" t="s">
        <v>41</v>
      </c>
      <c r="AK214" s="28" t="s">
        <v>41</v>
      </c>
      <c r="AL214" s="28" t="s">
        <v>41</v>
      </c>
      <c r="AM214" s="28" t="s">
        <v>41</v>
      </c>
      <c r="AN214" s="28" t="s">
        <v>41</v>
      </c>
      <c r="AO214" s="28" t="s">
        <v>41</v>
      </c>
      <c r="AP214" s="28" t="s">
        <v>41</v>
      </c>
      <c r="AQ214" s="28" t="s">
        <v>66</v>
      </c>
      <c r="AR214" s="27" t="s">
        <v>41</v>
      </c>
      <c r="AS214" s="27" t="s">
        <v>41</v>
      </c>
      <c r="AT214" s="28" t="s">
        <v>41</v>
      </c>
      <c r="AU214" s="28" t="s">
        <v>66</v>
      </c>
      <c r="AV214" s="28" t="s">
        <v>41</v>
      </c>
      <c r="AW214" s="28" t="s">
        <v>41</v>
      </c>
      <c r="AX214" s="28" t="s">
        <v>41</v>
      </c>
      <c r="AY214" s="28" t="s">
        <v>41</v>
      </c>
      <c r="AZ214" s="28" t="s">
        <v>41</v>
      </c>
      <c r="BA214" s="28" t="s">
        <v>41</v>
      </c>
      <c r="BB214" s="28" t="s">
        <v>41</v>
      </c>
      <c r="BC214" s="28" t="s">
        <v>41</v>
      </c>
      <c r="BD214" s="93" t="s">
        <v>716</v>
      </c>
      <c r="BE214" s="28"/>
      <c r="BF214" s="28"/>
    </row>
    <row r="215" spans="1:58" ht="20.25" customHeight="1">
      <c r="A215" s="27">
        <v>214</v>
      </c>
      <c r="B215" s="27">
        <f ca="1"/>
        <v>2025214537</v>
      </c>
      <c r="C215" s="137" t="str">
        <f ca="1"/>
        <v>Indusind General Insurance Co Ltd</v>
      </c>
      <c r="D215" s="27" t="str">
        <f ca="1"/>
        <v>MACT</v>
      </c>
      <c r="E215" s="27" t="str">
        <f ca="1"/>
        <v>R001-1214-SS-2025</v>
      </c>
      <c r="F215" s="206">
        <f ca="1"/>
        <v>46021</v>
      </c>
      <c r="G215" s="27" t="str">
        <f ca="1"/>
        <v>Dec-25</v>
      </c>
      <c r="H215" s="27"/>
      <c r="I215" s="29" t="str">
        <f t="shared" si="28"/>
        <v/>
      </c>
      <c r="J215" s="29">
        <f t="shared" ref="J215:J221" ca="1" si="39">IF(F215="", "",
    IF(OR(M215="WC Claim", M215="Partial Case"),
        WORKDAY(F215, 15),
    IF(OR(M215="Medical Verification", M215="Full Case"),
        WORKDAY(F215, 30),
    "")))</f>
        <v>46063</v>
      </c>
      <c r="K215" s="27">
        <f t="shared" ca="1" si="34"/>
        <v>6</v>
      </c>
      <c r="L215" s="27" t="str">
        <f t="shared" ca="1" si="29"/>
        <v>WT</v>
      </c>
      <c r="M215" s="27" t="s">
        <v>704</v>
      </c>
      <c r="N215" s="27" t="s">
        <v>720</v>
      </c>
      <c r="O215" s="27" t="s">
        <v>794</v>
      </c>
      <c r="P215" s="27"/>
      <c r="Q215" s="28" t="s">
        <v>1983</v>
      </c>
      <c r="R215" s="93" t="s">
        <v>1984</v>
      </c>
      <c r="S215" s="28" t="s">
        <v>709</v>
      </c>
      <c r="T215" s="27" t="s">
        <v>794</v>
      </c>
      <c r="U215" s="28" t="s">
        <v>66</v>
      </c>
      <c r="V215" s="28" t="s">
        <v>66</v>
      </c>
      <c r="W215" s="28" t="s">
        <v>66</v>
      </c>
      <c r="X215" s="28" t="s">
        <v>41</v>
      </c>
      <c r="Y215" s="28" t="s">
        <v>1985</v>
      </c>
      <c r="Z215" s="93" t="s">
        <v>1986</v>
      </c>
      <c r="AA215" s="28" t="s">
        <v>1987</v>
      </c>
      <c r="AB215" s="27" t="s">
        <v>41</v>
      </c>
      <c r="AC215" s="27" t="s">
        <v>794</v>
      </c>
      <c r="AD215" s="28" t="s">
        <v>41</v>
      </c>
      <c r="AE215" s="28" t="s">
        <v>41</v>
      </c>
      <c r="AF215" s="28" t="s">
        <v>41</v>
      </c>
      <c r="AG215" s="28" t="s">
        <v>794</v>
      </c>
      <c r="AH215" s="28" t="s">
        <v>41</v>
      </c>
      <c r="AI215" s="28" t="s">
        <v>41</v>
      </c>
      <c r="AJ215" s="28" t="s">
        <v>41</v>
      </c>
      <c r="AK215" s="28" t="s">
        <v>41</v>
      </c>
      <c r="AL215" s="28" t="s">
        <v>41</v>
      </c>
      <c r="AM215" s="28" t="s">
        <v>41</v>
      </c>
      <c r="AN215" s="28" t="s">
        <v>41</v>
      </c>
      <c r="AO215" s="28" t="s">
        <v>41</v>
      </c>
      <c r="AP215" s="28" t="s">
        <v>41</v>
      </c>
      <c r="AQ215" s="93" t="s">
        <v>1988</v>
      </c>
      <c r="AR215" s="28" t="s">
        <v>1987</v>
      </c>
      <c r="AS215" s="27" t="s">
        <v>794</v>
      </c>
      <c r="AT215" s="28" t="s">
        <v>1989</v>
      </c>
      <c r="AU215" s="26" t="s">
        <v>1336</v>
      </c>
      <c r="AV215" s="27" t="s">
        <v>1987</v>
      </c>
      <c r="AW215" s="27" t="s">
        <v>41</v>
      </c>
      <c r="AX215" s="27" t="s">
        <v>794</v>
      </c>
      <c r="AY215" s="28" t="s">
        <v>41</v>
      </c>
      <c r="AZ215" s="28" t="s">
        <v>41</v>
      </c>
      <c r="BA215" s="28" t="s">
        <v>41</v>
      </c>
      <c r="BB215" s="28" t="s">
        <v>41</v>
      </c>
      <c r="BC215" s="28" t="s">
        <v>41</v>
      </c>
      <c r="BD215" s="93" t="s">
        <v>716</v>
      </c>
      <c r="BE215" s="28"/>
      <c r="BF215" s="28"/>
    </row>
    <row r="216" spans="1:58" ht="20.25" customHeight="1">
      <c r="A216" s="27">
        <v>215</v>
      </c>
      <c r="B216" s="27">
        <f ca="1"/>
        <v>2762824</v>
      </c>
      <c r="C216" s="137" t="str">
        <f ca="1"/>
        <v>SBI General Insurance Company Ltd</v>
      </c>
      <c r="D216" s="27" t="str">
        <f ca="1"/>
        <v>MACT</v>
      </c>
      <c r="E216" s="27" t="str">
        <f ca="1"/>
        <v>S002-1215-SS-2025</v>
      </c>
      <c r="F216" s="206">
        <f ca="1"/>
        <v>46022</v>
      </c>
      <c r="G216" s="27" t="str">
        <f ca="1"/>
        <v>Dec-25</v>
      </c>
      <c r="H216" s="27"/>
      <c r="I216" s="29" t="str">
        <f t="shared" si="28"/>
        <v/>
      </c>
      <c r="J216" s="29">
        <f t="shared" ca="1" si="39"/>
        <v>46064</v>
      </c>
      <c r="K216" s="27">
        <f t="shared" ca="1" si="34"/>
        <v>5</v>
      </c>
      <c r="L216" s="27" t="str">
        <f t="shared" ca="1" si="29"/>
        <v>WT</v>
      </c>
      <c r="M216" s="27" t="s">
        <v>704</v>
      </c>
      <c r="N216" s="27" t="s">
        <v>720</v>
      </c>
      <c r="O216" s="27" t="s">
        <v>794</v>
      </c>
      <c r="P216" s="27"/>
      <c r="Q216" s="28" t="s">
        <v>1990</v>
      </c>
      <c r="R216" s="93" t="s">
        <v>1991</v>
      </c>
      <c r="S216" s="28" t="s">
        <v>791</v>
      </c>
      <c r="T216" s="27" t="s">
        <v>794</v>
      </c>
      <c r="U216" s="28" t="s">
        <v>66</v>
      </c>
      <c r="V216" s="28" t="s">
        <v>66</v>
      </c>
      <c r="W216" s="28" t="s">
        <v>66</v>
      </c>
      <c r="X216" s="28" t="s">
        <v>41</v>
      </c>
      <c r="Y216" s="28" t="s">
        <v>1992</v>
      </c>
      <c r="Z216" s="28" t="s">
        <v>1993</v>
      </c>
      <c r="AA216" s="28" t="s">
        <v>733</v>
      </c>
      <c r="AB216" s="27" t="s">
        <v>41</v>
      </c>
      <c r="AC216" s="27" t="s">
        <v>794</v>
      </c>
      <c r="AD216" s="28" t="s">
        <v>41</v>
      </c>
      <c r="AE216" s="28" t="s">
        <v>41</v>
      </c>
      <c r="AF216" s="28" t="s">
        <v>41</v>
      </c>
      <c r="AG216" s="28" t="s">
        <v>794</v>
      </c>
      <c r="AH216" s="28" t="s">
        <v>41</v>
      </c>
      <c r="AI216" s="28" t="s">
        <v>41</v>
      </c>
      <c r="AJ216" s="28" t="s">
        <v>41</v>
      </c>
      <c r="AK216" s="28" t="s">
        <v>41</v>
      </c>
      <c r="AL216" s="28" t="s">
        <v>41</v>
      </c>
      <c r="AM216" s="28" t="s">
        <v>41</v>
      </c>
      <c r="AN216" s="28" t="s">
        <v>41</v>
      </c>
      <c r="AO216" s="28" t="s">
        <v>41</v>
      </c>
      <c r="AP216" s="28" t="s">
        <v>41</v>
      </c>
      <c r="AQ216" s="93" t="s">
        <v>1994</v>
      </c>
      <c r="AR216" s="28" t="s">
        <v>733</v>
      </c>
      <c r="AS216" s="27" t="s">
        <v>794</v>
      </c>
      <c r="AT216" s="28" t="s">
        <v>1995</v>
      </c>
      <c r="AU216" s="26" t="s">
        <v>1996</v>
      </c>
      <c r="AV216" s="27" t="s">
        <v>733</v>
      </c>
      <c r="AW216" s="27" t="s">
        <v>41</v>
      </c>
      <c r="AX216" s="27" t="s">
        <v>794</v>
      </c>
      <c r="AY216" s="28" t="s">
        <v>41</v>
      </c>
      <c r="AZ216" s="28" t="s">
        <v>41</v>
      </c>
      <c r="BA216" s="28" t="s">
        <v>41</v>
      </c>
      <c r="BB216" s="28" t="s">
        <v>41</v>
      </c>
      <c r="BC216" s="28" t="s">
        <v>41</v>
      </c>
      <c r="BD216" s="93" t="s">
        <v>716</v>
      </c>
      <c r="BE216" s="28"/>
      <c r="BF216" s="28"/>
    </row>
    <row r="217" spans="1:58" ht="20.25" customHeight="1">
      <c r="A217" s="27">
        <v>216</v>
      </c>
      <c r="B217" s="27">
        <f ca="1"/>
        <v>2761243</v>
      </c>
      <c r="C217" s="137" t="str">
        <f ca="1"/>
        <v>SBI General Insurance Company Ltd</v>
      </c>
      <c r="D217" s="27" t="str">
        <f ca="1"/>
        <v>MACT</v>
      </c>
      <c r="E217" s="27" t="str">
        <f ca="1"/>
        <v>S002-1216-SS-2025</v>
      </c>
      <c r="F217" s="206">
        <f ca="1"/>
        <v>46022</v>
      </c>
      <c r="G217" s="27" t="str">
        <f ca="1"/>
        <v>Dec-25</v>
      </c>
      <c r="H217" s="27"/>
      <c r="I217" s="29" t="str">
        <f t="shared" si="28"/>
        <v/>
      </c>
      <c r="J217" s="29">
        <f t="shared" ca="1" si="39"/>
        <v>46064</v>
      </c>
      <c r="K217" s="27">
        <f t="shared" ca="1" si="34"/>
        <v>5</v>
      </c>
      <c r="L217" s="27" t="str">
        <f t="shared" ca="1" si="29"/>
        <v>WT</v>
      </c>
      <c r="M217" s="27" t="s">
        <v>704</v>
      </c>
      <c r="N217" s="27" t="s">
        <v>720</v>
      </c>
      <c r="O217" s="27" t="s">
        <v>794</v>
      </c>
      <c r="P217" s="27"/>
      <c r="Q217" s="93" t="s">
        <v>1997</v>
      </c>
      <c r="R217" s="93" t="s">
        <v>1998</v>
      </c>
      <c r="S217" s="28" t="s">
        <v>763</v>
      </c>
      <c r="T217" s="27" t="s">
        <v>794</v>
      </c>
      <c r="U217" s="28" t="s">
        <v>66</v>
      </c>
      <c r="V217" s="28" t="s">
        <v>66</v>
      </c>
      <c r="W217" s="28" t="s">
        <v>66</v>
      </c>
      <c r="X217" s="28" t="s">
        <v>41</v>
      </c>
      <c r="Y217" s="28" t="s">
        <v>620</v>
      </c>
      <c r="Z217" s="93" t="s">
        <v>1999</v>
      </c>
      <c r="AA217" s="28" t="s">
        <v>763</v>
      </c>
      <c r="AB217" s="27" t="s">
        <v>41</v>
      </c>
      <c r="AC217" s="27" t="s">
        <v>794</v>
      </c>
      <c r="AD217" s="28" t="s">
        <v>41</v>
      </c>
      <c r="AE217" s="28" t="s">
        <v>41</v>
      </c>
      <c r="AF217" s="28" t="s">
        <v>41</v>
      </c>
      <c r="AG217" s="28" t="s">
        <v>794</v>
      </c>
      <c r="AH217" s="28" t="s">
        <v>41</v>
      </c>
      <c r="AI217" s="28" t="s">
        <v>41</v>
      </c>
      <c r="AJ217" s="28" t="s">
        <v>41</v>
      </c>
      <c r="AK217" s="28" t="s">
        <v>41</v>
      </c>
      <c r="AL217" s="28" t="s">
        <v>41</v>
      </c>
      <c r="AM217" s="28" t="s">
        <v>41</v>
      </c>
      <c r="AN217" s="28" t="s">
        <v>41</v>
      </c>
      <c r="AO217" s="28" t="s">
        <v>41</v>
      </c>
      <c r="AP217" s="28" t="s">
        <v>41</v>
      </c>
      <c r="AQ217" s="93" t="s">
        <v>2000</v>
      </c>
      <c r="AR217" s="28" t="s">
        <v>763</v>
      </c>
      <c r="AS217" s="27" t="s">
        <v>794</v>
      </c>
      <c r="AT217" s="28" t="s">
        <v>41</v>
      </c>
      <c r="AU217" s="26" t="s">
        <v>66</v>
      </c>
      <c r="AV217" s="27" t="s">
        <v>41</v>
      </c>
      <c r="AW217" s="27" t="s">
        <v>41</v>
      </c>
      <c r="AX217" s="27" t="s">
        <v>41</v>
      </c>
      <c r="AY217" s="28" t="s">
        <v>41</v>
      </c>
      <c r="AZ217" s="28" t="s">
        <v>41</v>
      </c>
      <c r="BA217" s="28" t="s">
        <v>41</v>
      </c>
      <c r="BB217" s="28" t="s">
        <v>41</v>
      </c>
      <c r="BC217" s="28" t="s">
        <v>41</v>
      </c>
      <c r="BD217" s="93" t="s">
        <v>716</v>
      </c>
      <c r="BE217" s="28"/>
      <c r="BF217" s="28"/>
    </row>
    <row r="218" spans="1:58" ht="20.25" customHeight="1">
      <c r="A218" s="27">
        <v>217</v>
      </c>
      <c r="B218" s="27">
        <f ca="1"/>
        <v>2002673</v>
      </c>
      <c r="C218" s="137" t="str">
        <f ca="1"/>
        <v>SBI General Insurance Company Ltd</v>
      </c>
      <c r="D218" s="27" t="str">
        <f ca="1"/>
        <v>MACT</v>
      </c>
      <c r="E218" s="27" t="str">
        <f ca="1"/>
        <v>S002-1217-SS-2025</v>
      </c>
      <c r="F218" s="206">
        <f ca="1"/>
        <v>46022</v>
      </c>
      <c r="G218" s="27" t="str">
        <f ca="1"/>
        <v>Dec-25</v>
      </c>
      <c r="H218" s="27"/>
      <c r="I218" s="29" t="str">
        <f t="shared" si="28"/>
        <v/>
      </c>
      <c r="J218" s="29">
        <f t="shared" ca="1" si="39"/>
        <v>46064</v>
      </c>
      <c r="K218" s="27">
        <f t="shared" ca="1" si="34"/>
        <v>5</v>
      </c>
      <c r="L218" s="27" t="str">
        <f t="shared" ca="1" si="29"/>
        <v>WT</v>
      </c>
      <c r="M218" s="27" t="s">
        <v>704</v>
      </c>
      <c r="N218" s="27" t="s">
        <v>720</v>
      </c>
      <c r="O218" s="27" t="s">
        <v>794</v>
      </c>
      <c r="P218" s="27"/>
      <c r="Q218" s="28" t="s">
        <v>2001</v>
      </c>
      <c r="R218" s="93" t="s">
        <v>2002</v>
      </c>
      <c r="S218" s="28" t="s">
        <v>763</v>
      </c>
      <c r="T218" s="27" t="s">
        <v>794</v>
      </c>
      <c r="U218" s="28" t="s">
        <v>66</v>
      </c>
      <c r="V218" s="28" t="s">
        <v>66</v>
      </c>
      <c r="W218" s="28" t="s">
        <v>66</v>
      </c>
      <c r="X218" s="28" t="s">
        <v>41</v>
      </c>
      <c r="Y218" s="28" t="s">
        <v>2003</v>
      </c>
      <c r="Z218" s="28" t="s">
        <v>2004</v>
      </c>
      <c r="AA218" s="28" t="s">
        <v>1570</v>
      </c>
      <c r="AB218" s="27" t="s">
        <v>41</v>
      </c>
      <c r="AC218" s="27" t="s">
        <v>794</v>
      </c>
      <c r="AD218" s="28" t="s">
        <v>41</v>
      </c>
      <c r="AE218" s="28" t="s">
        <v>41</v>
      </c>
      <c r="AF218" s="28" t="s">
        <v>41</v>
      </c>
      <c r="AG218" s="28" t="s">
        <v>794</v>
      </c>
      <c r="AH218" s="28" t="s">
        <v>41</v>
      </c>
      <c r="AI218" s="28" t="s">
        <v>41</v>
      </c>
      <c r="AJ218" s="28" t="s">
        <v>41</v>
      </c>
      <c r="AK218" s="28" t="s">
        <v>41</v>
      </c>
      <c r="AL218" s="28" t="s">
        <v>41</v>
      </c>
      <c r="AM218" s="28" t="s">
        <v>41</v>
      </c>
      <c r="AN218" s="28" t="s">
        <v>41</v>
      </c>
      <c r="AO218" s="28" t="s">
        <v>41</v>
      </c>
      <c r="AP218" s="28" t="s">
        <v>41</v>
      </c>
      <c r="AQ218" s="28" t="s">
        <v>2005</v>
      </c>
      <c r="AR218" s="28" t="s">
        <v>2006</v>
      </c>
      <c r="AS218" s="27" t="s">
        <v>794</v>
      </c>
      <c r="AT218" s="299" t="s">
        <v>2007</v>
      </c>
      <c r="AU218" s="26" t="s">
        <v>2008</v>
      </c>
      <c r="AV218" s="27" t="s">
        <v>763</v>
      </c>
      <c r="AW218" s="27" t="s">
        <v>41</v>
      </c>
      <c r="AX218" s="27" t="s">
        <v>41</v>
      </c>
      <c r="AY218" s="28" t="s">
        <v>41</v>
      </c>
      <c r="AZ218" s="28" t="s">
        <v>41</v>
      </c>
      <c r="BA218" s="28" t="s">
        <v>41</v>
      </c>
      <c r="BB218" s="28" t="s">
        <v>41</v>
      </c>
      <c r="BC218" s="28" t="s">
        <v>41</v>
      </c>
      <c r="BD218" s="93" t="s">
        <v>716</v>
      </c>
      <c r="BE218" s="28"/>
      <c r="BF218" s="28"/>
    </row>
    <row r="219" spans="1:58" ht="20.25" customHeight="1">
      <c r="A219" s="27">
        <v>218</v>
      </c>
      <c r="B219" s="27">
        <f ca="1"/>
        <v>2002769</v>
      </c>
      <c r="C219" s="137" t="str">
        <f ca="1"/>
        <v>SBI General Insurance Company Ltd</v>
      </c>
      <c r="D219" s="27" t="str">
        <f ca="1"/>
        <v>MACT</v>
      </c>
      <c r="E219" s="27" t="str">
        <f ca="1"/>
        <v>S002-1217-SS-2025</v>
      </c>
      <c r="F219" s="206">
        <f ca="1"/>
        <v>46023</v>
      </c>
      <c r="G219" s="27" t="str">
        <f ca="1"/>
        <v>Jan-26</v>
      </c>
      <c r="H219" s="27"/>
      <c r="I219" s="29" t="str">
        <f t="shared" si="28"/>
        <v/>
      </c>
      <c r="J219" s="29">
        <f t="shared" ca="1" si="39"/>
        <v>46065</v>
      </c>
      <c r="K219" s="27">
        <f t="shared" ca="1" si="34"/>
        <v>4</v>
      </c>
      <c r="L219" s="27" t="str">
        <f t="shared" ca="1" si="29"/>
        <v>WT</v>
      </c>
      <c r="M219" s="27" t="s">
        <v>704</v>
      </c>
      <c r="N219" s="27" t="s">
        <v>720</v>
      </c>
      <c r="O219" s="27" t="s">
        <v>794</v>
      </c>
      <c r="P219" s="27"/>
      <c r="Q219" s="28" t="s">
        <v>2009</v>
      </c>
      <c r="R219" s="93" t="s">
        <v>2010</v>
      </c>
      <c r="S219" s="28" t="s">
        <v>845</v>
      </c>
      <c r="T219" s="27" t="s">
        <v>794</v>
      </c>
      <c r="U219" s="28" t="s">
        <v>66</v>
      </c>
      <c r="V219" s="28" t="s">
        <v>66</v>
      </c>
      <c r="W219" s="28" t="s">
        <v>66</v>
      </c>
      <c r="X219" s="28" t="s">
        <v>41</v>
      </c>
      <c r="Y219" s="28" t="s">
        <v>624</v>
      </c>
      <c r="Z219" s="93" t="s">
        <v>2011</v>
      </c>
      <c r="AA219" s="28" t="s">
        <v>939</v>
      </c>
      <c r="AB219" s="27" t="s">
        <v>41</v>
      </c>
      <c r="AC219" s="27" t="s">
        <v>794</v>
      </c>
      <c r="AD219" s="28" t="s">
        <v>2012</v>
      </c>
      <c r="AE219" s="93" t="s">
        <v>2013</v>
      </c>
      <c r="AF219" s="27" t="s">
        <v>939</v>
      </c>
      <c r="AG219" s="27" t="s">
        <v>794</v>
      </c>
      <c r="AH219" s="28" t="s">
        <v>41</v>
      </c>
      <c r="AI219" s="28" t="s">
        <v>41</v>
      </c>
      <c r="AJ219" s="28" t="s">
        <v>41</v>
      </c>
      <c r="AK219" s="28" t="s">
        <v>41</v>
      </c>
      <c r="AL219" s="28" t="s">
        <v>41</v>
      </c>
      <c r="AM219" s="28" t="s">
        <v>41</v>
      </c>
      <c r="AN219" s="28" t="s">
        <v>41</v>
      </c>
      <c r="AO219" s="28" t="s">
        <v>41</v>
      </c>
      <c r="AP219" s="28" t="s">
        <v>41</v>
      </c>
      <c r="AQ219" s="93" t="s">
        <v>2014</v>
      </c>
      <c r="AR219" s="28" t="s">
        <v>845</v>
      </c>
      <c r="AS219" s="27" t="s">
        <v>794</v>
      </c>
      <c r="AT219" s="28" t="s">
        <v>2015</v>
      </c>
      <c r="AU219" s="26" t="s">
        <v>2016</v>
      </c>
      <c r="AV219" s="26" t="s">
        <v>845</v>
      </c>
      <c r="AW219" s="27" t="s">
        <v>41</v>
      </c>
      <c r="AX219" s="27" t="s">
        <v>794</v>
      </c>
      <c r="AY219" s="28" t="s">
        <v>41</v>
      </c>
      <c r="AZ219" s="28" t="s">
        <v>41</v>
      </c>
      <c r="BA219" s="28" t="s">
        <v>41</v>
      </c>
      <c r="BB219" s="28" t="s">
        <v>41</v>
      </c>
      <c r="BC219" s="28" t="s">
        <v>41</v>
      </c>
      <c r="BD219" s="93" t="s">
        <v>716</v>
      </c>
      <c r="BE219" s="28"/>
      <c r="BF219" s="28"/>
    </row>
    <row r="220" spans="1:58" ht="20.25" customHeight="1">
      <c r="A220" s="27">
        <v>219</v>
      </c>
      <c r="B220" s="27">
        <f ca="1"/>
        <v>2755247</v>
      </c>
      <c r="C220" s="137" t="str">
        <f ca="1"/>
        <v>SBI General Insurance Company Ltd</v>
      </c>
      <c r="D220" s="27" t="str">
        <f ca="1"/>
        <v>MACT</v>
      </c>
      <c r="E220" s="27" t="str">
        <f ca="1"/>
        <v>S002-1217-SS-2025</v>
      </c>
      <c r="F220" s="206">
        <f ca="1"/>
        <v>46023</v>
      </c>
      <c r="G220" s="27" t="str">
        <f ca="1"/>
        <v>Jan-26</v>
      </c>
      <c r="H220" s="27"/>
      <c r="I220" s="29" t="str">
        <f t="shared" si="28"/>
        <v/>
      </c>
      <c r="J220" s="29">
        <f t="shared" ca="1" si="39"/>
        <v>46065</v>
      </c>
      <c r="K220" s="27">
        <f t="shared" ca="1" si="34"/>
        <v>4</v>
      </c>
      <c r="L220" s="27" t="str">
        <f t="shared" ca="1" si="29"/>
        <v>WT</v>
      </c>
      <c r="M220" s="27" t="s">
        <v>704</v>
      </c>
      <c r="N220" s="27" t="s">
        <v>720</v>
      </c>
      <c r="O220" s="27" t="s">
        <v>794</v>
      </c>
      <c r="P220" s="27" t="s">
        <v>2017</v>
      </c>
      <c r="Q220" s="28" t="s">
        <v>2018</v>
      </c>
      <c r="R220" s="28" t="s">
        <v>2019</v>
      </c>
      <c r="S220" s="28" t="s">
        <v>774</v>
      </c>
      <c r="T220" s="27" t="s">
        <v>794</v>
      </c>
      <c r="U220" s="28" t="s">
        <v>66</v>
      </c>
      <c r="V220" s="28" t="s">
        <v>66</v>
      </c>
      <c r="W220" s="28" t="s">
        <v>66</v>
      </c>
      <c r="X220" s="28" t="s">
        <v>41</v>
      </c>
      <c r="Y220" s="28" t="s">
        <v>625</v>
      </c>
      <c r="Z220" s="93" t="s">
        <v>2020</v>
      </c>
      <c r="AA220" s="28" t="s">
        <v>741</v>
      </c>
      <c r="AB220" s="27" t="s">
        <v>41</v>
      </c>
      <c r="AC220" s="27" t="s">
        <v>794</v>
      </c>
      <c r="AD220" s="28" t="s">
        <v>41</v>
      </c>
      <c r="AE220" s="28" t="s">
        <v>41</v>
      </c>
      <c r="AF220" s="27" t="s">
        <v>41</v>
      </c>
      <c r="AG220" s="27" t="s">
        <v>41</v>
      </c>
      <c r="AH220" s="28" t="s">
        <v>41</v>
      </c>
      <c r="AI220" s="28" t="s">
        <v>41</v>
      </c>
      <c r="AJ220" s="28" t="s">
        <v>41</v>
      </c>
      <c r="AK220" s="28" t="s">
        <v>41</v>
      </c>
      <c r="AL220" s="28" t="s">
        <v>41</v>
      </c>
      <c r="AM220" s="28" t="s">
        <v>41</v>
      </c>
      <c r="AN220" s="28" t="s">
        <v>41</v>
      </c>
      <c r="AO220" s="28" t="s">
        <v>41</v>
      </c>
      <c r="AP220" s="28" t="s">
        <v>41</v>
      </c>
      <c r="AQ220" s="28" t="s">
        <v>2021</v>
      </c>
      <c r="AR220" s="28" t="s">
        <v>774</v>
      </c>
      <c r="AS220" s="27" t="s">
        <v>794</v>
      </c>
      <c r="AT220" s="28" t="s">
        <v>2022</v>
      </c>
      <c r="AU220" s="26" t="s">
        <v>2023</v>
      </c>
      <c r="AV220" s="27" t="s">
        <v>774</v>
      </c>
      <c r="AW220" s="27" t="s">
        <v>41</v>
      </c>
      <c r="AX220" s="27" t="s">
        <v>794</v>
      </c>
      <c r="AY220" s="28" t="s">
        <v>41</v>
      </c>
      <c r="AZ220" s="28" t="s">
        <v>41</v>
      </c>
      <c r="BA220" s="28" t="s">
        <v>41</v>
      </c>
      <c r="BB220" s="28" t="s">
        <v>41</v>
      </c>
      <c r="BC220" s="28" t="s">
        <v>41</v>
      </c>
      <c r="BD220" s="93" t="s">
        <v>716</v>
      </c>
      <c r="BE220" s="28"/>
      <c r="BF220" s="28"/>
    </row>
    <row r="221" spans="1:58" ht="20.25" customHeight="1">
      <c r="A221" s="27">
        <v>220</v>
      </c>
      <c r="B221" s="27">
        <f ca="1"/>
        <v>2769290</v>
      </c>
      <c r="C221" s="137" t="str">
        <f ca="1"/>
        <v>SBI General Insurance Company Ltd</v>
      </c>
      <c r="D221" s="27" t="str">
        <f ca="1"/>
        <v>MACT</v>
      </c>
      <c r="E221" s="27" t="str">
        <f ca="1"/>
        <v>S002-1217-SS-2025</v>
      </c>
      <c r="F221" s="206">
        <f ca="1"/>
        <v>46023</v>
      </c>
      <c r="G221" s="27" t="str">
        <f ca="1"/>
        <v>Jan-26</v>
      </c>
      <c r="H221" s="27"/>
      <c r="I221" s="29" t="str">
        <f t="shared" si="28"/>
        <v/>
      </c>
      <c r="J221" s="29">
        <f t="shared" ca="1" si="39"/>
        <v>46065</v>
      </c>
      <c r="K221" s="27">
        <f t="shared" ca="1" si="34"/>
        <v>4</v>
      </c>
      <c r="L221" s="27" t="str">
        <f t="shared" ca="1" si="29"/>
        <v>WT</v>
      </c>
      <c r="M221" s="27" t="s">
        <v>704</v>
      </c>
      <c r="N221" s="27" t="s">
        <v>720</v>
      </c>
      <c r="O221" s="27" t="s">
        <v>794</v>
      </c>
      <c r="P221" s="27"/>
      <c r="Q221" s="28" t="s">
        <v>2024</v>
      </c>
      <c r="R221" s="93" t="s">
        <v>2025</v>
      </c>
      <c r="S221" s="28" t="s">
        <v>939</v>
      </c>
      <c r="T221" s="27" t="s">
        <v>794</v>
      </c>
      <c r="U221" s="28" t="s">
        <v>66</v>
      </c>
      <c r="V221" s="28" t="s">
        <v>66</v>
      </c>
      <c r="W221" s="28" t="s">
        <v>66</v>
      </c>
      <c r="X221" s="28" t="s">
        <v>41</v>
      </c>
      <c r="Y221" s="28" t="s">
        <v>626</v>
      </c>
      <c r="Z221" s="93" t="s">
        <v>2026</v>
      </c>
      <c r="AA221" s="28" t="s">
        <v>986</v>
      </c>
      <c r="AB221" s="27" t="s">
        <v>41</v>
      </c>
      <c r="AC221" s="27" t="s">
        <v>794</v>
      </c>
      <c r="AD221" s="28" t="s">
        <v>41</v>
      </c>
      <c r="AE221" s="28" t="s">
        <v>41</v>
      </c>
      <c r="AF221" s="28" t="s">
        <v>41</v>
      </c>
      <c r="AG221" s="28" t="s">
        <v>794</v>
      </c>
      <c r="AH221" s="28" t="s">
        <v>41</v>
      </c>
      <c r="AI221" s="28" t="s">
        <v>41</v>
      </c>
      <c r="AJ221" s="28" t="s">
        <v>41</v>
      </c>
      <c r="AK221" s="28" t="s">
        <v>41</v>
      </c>
      <c r="AL221" s="28" t="s">
        <v>41</v>
      </c>
      <c r="AM221" s="28" t="s">
        <v>41</v>
      </c>
      <c r="AN221" s="28" t="s">
        <v>41</v>
      </c>
      <c r="AO221" s="28" t="s">
        <v>41</v>
      </c>
      <c r="AP221" s="28" t="s">
        <v>41</v>
      </c>
      <c r="AQ221" s="93" t="s">
        <v>2027</v>
      </c>
      <c r="AR221" s="28" t="s">
        <v>736</v>
      </c>
      <c r="AS221" s="27" t="s">
        <v>794</v>
      </c>
      <c r="AT221" s="28" t="s">
        <v>2028</v>
      </c>
      <c r="AU221" s="26" t="s">
        <v>2029</v>
      </c>
      <c r="AV221" s="27" t="s">
        <v>736</v>
      </c>
      <c r="AW221" s="27" t="s">
        <v>41</v>
      </c>
      <c r="AX221" s="27" t="s">
        <v>794</v>
      </c>
      <c r="AY221" s="28" t="s">
        <v>41</v>
      </c>
      <c r="AZ221" s="28" t="s">
        <v>41</v>
      </c>
      <c r="BA221" s="28" t="s">
        <v>41</v>
      </c>
      <c r="BB221" s="28" t="s">
        <v>41</v>
      </c>
      <c r="BC221" s="28" t="s">
        <v>41</v>
      </c>
      <c r="BD221" s="93" t="s">
        <v>716</v>
      </c>
      <c r="BE221" s="28"/>
      <c r="BF221" s="28"/>
    </row>
    <row r="222" spans="1:58" ht="20.25" customHeight="1">
      <c r="A222" s="27">
        <v>221</v>
      </c>
      <c r="B222" s="27">
        <f ca="1"/>
        <v>2025212401</v>
      </c>
      <c r="C222" s="137" t="str">
        <f ca="1"/>
        <v>Indusind General Insurance Co Ltd</v>
      </c>
      <c r="D222" s="27" t="str">
        <f ca="1"/>
        <v>MACT</v>
      </c>
      <c r="E222" s="27" t="str">
        <f ca="1"/>
        <v>R001-1221-SS-2026</v>
      </c>
      <c r="F222" s="206">
        <f ca="1"/>
        <v>45970</v>
      </c>
      <c r="G222" s="27" t="str">
        <f ca="1"/>
        <v>Nov-25</v>
      </c>
      <c r="H222" s="29"/>
      <c r="I222" s="29" t="str">
        <f t="shared" si="28"/>
        <v/>
      </c>
      <c r="J222" s="29">
        <f ca="1">IF(F222="", "",
    IF(OR(M222="WC Claim", M222="Partial Case"),
        WORKDAY(F222, 15),
    IF(OR(M222="Medical Verification", M222="Full Case"),
        WORKDAY(F222, 30),
    "")))</f>
        <v>45989</v>
      </c>
      <c r="K222" s="27">
        <f t="shared" ca="1" si="34"/>
        <v>57</v>
      </c>
      <c r="L222" s="27" t="str">
        <f ca="1">IF(K222="", "",
    IF(OR(M222="Partial Case", M222="Medical Verification", M222="WC Claim"),
        IF(K222&lt;=15, "WT", "AT"),
        IF(K222&lt;30, "WT", "AT")
    )
)</f>
        <v>AT</v>
      </c>
      <c r="M222" s="27" t="s">
        <v>750</v>
      </c>
      <c r="N222" s="27" t="s">
        <v>720</v>
      </c>
      <c r="O222" s="27" t="s">
        <v>751</v>
      </c>
      <c r="P222" s="27"/>
      <c r="Q222" s="28" t="s">
        <v>41</v>
      </c>
      <c r="R222" s="28" t="s">
        <v>41</v>
      </c>
      <c r="S222" s="28" t="s">
        <v>41</v>
      </c>
      <c r="T222" s="27" t="s">
        <v>41</v>
      </c>
      <c r="U222" s="28" t="s">
        <v>41</v>
      </c>
      <c r="V222" s="28" t="s">
        <v>41</v>
      </c>
      <c r="W222" s="28" t="s">
        <v>41</v>
      </c>
      <c r="X222" s="28" t="s">
        <v>41</v>
      </c>
      <c r="Y222" s="28" t="s">
        <v>41</v>
      </c>
      <c r="Z222" s="28" t="s">
        <v>41</v>
      </c>
      <c r="AA222" s="28" t="s">
        <v>41</v>
      </c>
      <c r="AB222" s="27" t="s">
        <v>41</v>
      </c>
      <c r="AC222" s="27" t="s">
        <v>41</v>
      </c>
      <c r="AD222" s="28" t="s">
        <v>41</v>
      </c>
      <c r="AE222" s="28" t="s">
        <v>41</v>
      </c>
      <c r="AF222" s="27" t="s">
        <v>41</v>
      </c>
      <c r="AG222" s="27" t="s">
        <v>41</v>
      </c>
      <c r="AH222" s="27" t="s">
        <v>41</v>
      </c>
      <c r="AI222" s="27" t="s">
        <v>41</v>
      </c>
      <c r="AJ222" s="27" t="s">
        <v>41</v>
      </c>
      <c r="AK222" s="27" t="s">
        <v>41</v>
      </c>
      <c r="AL222" s="27" t="s">
        <v>41</v>
      </c>
      <c r="AM222" s="27" t="s">
        <v>41</v>
      </c>
      <c r="AN222" s="27" t="s">
        <v>41</v>
      </c>
      <c r="AO222" s="27" t="s">
        <v>41</v>
      </c>
      <c r="AP222" s="27" t="s">
        <v>41</v>
      </c>
      <c r="AQ222" s="28" t="s">
        <v>41</v>
      </c>
      <c r="AR222" s="28" t="s">
        <v>41</v>
      </c>
      <c r="AS222" s="27" t="s">
        <v>41</v>
      </c>
      <c r="AT222" s="28" t="s">
        <v>1216</v>
      </c>
      <c r="AU222" s="28" t="s">
        <v>1217</v>
      </c>
      <c r="AV222" s="28" t="s">
        <v>709</v>
      </c>
      <c r="AW222" s="27" t="s">
        <v>41</v>
      </c>
      <c r="AX222" s="27" t="s">
        <v>794</v>
      </c>
      <c r="AY222" s="28" t="s">
        <v>41</v>
      </c>
      <c r="AZ222" s="28" t="s">
        <v>41</v>
      </c>
      <c r="BA222" s="28" t="s">
        <v>41</v>
      </c>
      <c r="BB222" s="26" t="s">
        <v>41</v>
      </c>
      <c r="BC222" s="27" t="s">
        <v>41</v>
      </c>
      <c r="BD222" s="93" t="s">
        <v>716</v>
      </c>
      <c r="BE222" s="28"/>
      <c r="BF222" s="28"/>
    </row>
    <row r="223" spans="1:58" ht="20.25" customHeight="1">
      <c r="A223" s="27">
        <v>222</v>
      </c>
      <c r="B223" s="27">
        <f ca="1"/>
        <v>2025212250</v>
      </c>
      <c r="C223" s="137" t="str">
        <f ca="1"/>
        <v>Indusind General Insurance Co Ltd</v>
      </c>
      <c r="D223" s="27" t="str">
        <f ca="1"/>
        <v>MACT</v>
      </c>
      <c r="E223" s="27" t="str">
        <f ca="1"/>
        <v>R001-1222-SS-2026</v>
      </c>
      <c r="F223" s="206">
        <f ca="1"/>
        <v>45970</v>
      </c>
      <c r="G223" s="27" t="str">
        <f ca="1"/>
        <v>Nov-25</v>
      </c>
      <c r="H223" s="29"/>
      <c r="I223" s="29"/>
      <c r="J223" s="29">
        <f ca="1">IF(F223="", "",
    IF(OR(M223="WC Claim", M223="Partial Case"),
        WORKDAY(F223, 15),
    IF(OR(M223="Medical Verification", M223="Full Case"),
        WORKDAY(F223, 30),
    "")))</f>
        <v>45989</v>
      </c>
      <c r="K223" s="27">
        <f t="shared" ca="1" si="34"/>
        <v>57</v>
      </c>
      <c r="L223" s="27" t="str">
        <f ca="1">IF(K223="", "",
    IF(OR(M223="Partial Case", M223="Medical Verification", M223="WC Claim"),
        IF(K223&lt;=15, "WT", "AT"),
        IF(K223&lt;30, "WT", "AT")
    )
)</f>
        <v>AT</v>
      </c>
      <c r="M223" s="27" t="s">
        <v>750</v>
      </c>
      <c r="N223" s="27" t="s">
        <v>720</v>
      </c>
      <c r="O223" s="27" t="s">
        <v>751</v>
      </c>
      <c r="P223" s="27"/>
      <c r="Q223" s="28" t="s">
        <v>41</v>
      </c>
      <c r="R223" s="28" t="s">
        <v>41</v>
      </c>
      <c r="S223" s="28" t="s">
        <v>41</v>
      </c>
      <c r="T223" s="27" t="s">
        <v>41</v>
      </c>
      <c r="U223" s="28" t="s">
        <v>41</v>
      </c>
      <c r="V223" s="28" t="s">
        <v>41</v>
      </c>
      <c r="W223" s="28" t="s">
        <v>41</v>
      </c>
      <c r="X223" s="28" t="s">
        <v>41</v>
      </c>
      <c r="Y223" s="28" t="s">
        <v>41</v>
      </c>
      <c r="Z223" s="28" t="s">
        <v>41</v>
      </c>
      <c r="AA223" s="28" t="s">
        <v>41</v>
      </c>
      <c r="AB223" s="27" t="s">
        <v>41</v>
      </c>
      <c r="AC223" s="27" t="s">
        <v>41</v>
      </c>
      <c r="AD223" s="28" t="s">
        <v>41</v>
      </c>
      <c r="AE223" s="28" t="s">
        <v>41</v>
      </c>
      <c r="AF223" s="27" t="s">
        <v>41</v>
      </c>
      <c r="AG223" s="27" t="s">
        <v>41</v>
      </c>
      <c r="AH223" s="27" t="s">
        <v>41</v>
      </c>
      <c r="AI223" s="27" t="s">
        <v>41</v>
      </c>
      <c r="AJ223" s="27" t="s">
        <v>41</v>
      </c>
      <c r="AK223" s="27" t="s">
        <v>41</v>
      </c>
      <c r="AL223" s="27" t="s">
        <v>41</v>
      </c>
      <c r="AM223" s="27" t="s">
        <v>41</v>
      </c>
      <c r="AN223" s="27" t="s">
        <v>41</v>
      </c>
      <c r="AO223" s="27" t="s">
        <v>41</v>
      </c>
      <c r="AP223" s="27" t="s">
        <v>41</v>
      </c>
      <c r="AQ223" s="28" t="s">
        <v>41</v>
      </c>
      <c r="AR223" s="28" t="s">
        <v>41</v>
      </c>
      <c r="AS223" s="27" t="s">
        <v>41</v>
      </c>
      <c r="AT223" s="177" t="s">
        <v>1161</v>
      </c>
      <c r="AU223" s="28" t="s">
        <v>1162</v>
      </c>
      <c r="AV223" s="28" t="s">
        <v>1163</v>
      </c>
      <c r="AW223" s="27" t="s">
        <v>41</v>
      </c>
      <c r="AX223" s="27" t="s">
        <v>794</v>
      </c>
      <c r="AY223" s="28" t="s">
        <v>41</v>
      </c>
      <c r="AZ223" s="28" t="s">
        <v>41</v>
      </c>
      <c r="BA223" s="28" t="s">
        <v>41</v>
      </c>
      <c r="BB223" s="26" t="s">
        <v>41</v>
      </c>
      <c r="BC223" s="27" t="s">
        <v>41</v>
      </c>
      <c r="BD223" s="93" t="s">
        <v>716</v>
      </c>
      <c r="BE223" s="28"/>
      <c r="BF223" s="28"/>
    </row>
    <row r="224" spans="1:58" ht="20.25" customHeight="1">
      <c r="A224" s="27">
        <v>223</v>
      </c>
      <c r="B224" s="27">
        <f ca="1"/>
        <v>2025213389</v>
      </c>
      <c r="C224" s="137" t="str">
        <f ca="1"/>
        <v>Indusind General Insurance Co Ltd</v>
      </c>
      <c r="D224" s="27" t="str">
        <f ca="1"/>
        <v>MACT</v>
      </c>
      <c r="E224" s="27" t="str">
        <f ca="1"/>
        <v>R001-1223-SS-2026</v>
      </c>
      <c r="F224" s="206">
        <f ca="1"/>
        <v>46027</v>
      </c>
      <c r="G224" s="27" t="str">
        <f ca="1"/>
        <v>Jan-26</v>
      </c>
      <c r="H224" s="27"/>
      <c r="I224" s="29" t="str">
        <f t="shared" si="28"/>
        <v/>
      </c>
      <c r="J224" s="29">
        <f t="shared" ref="J224" ca="1" si="40">IF(F224="", "",
    IF(OR(M224="WC Claim", M224="Partial Case"),
        WORKDAY(F224, 15),
    IF(OR(M224="Medical Verification", M224="Full Case"),
        WORKDAY(F224, 30),
    "")))</f>
        <v>46069</v>
      </c>
      <c r="K224" s="27">
        <f t="shared" ref="K224" ca="1" si="41">IF(F224="", "", IF(ISNUMBER(H224), H224 - F224, TODAY() - F224))</f>
        <v>0</v>
      </c>
      <c r="L224" s="27" t="str">
        <f t="shared" ref="L224" ca="1" si="42">IF(K224="", "",
    IF(OR(M224="Partial Case", M224="Medical Verification", M224="WC Claim"),
        IF(K224&lt;=15, "WT", "AT"),
        IF(K224&lt;30, "WT", "AT")
    )
)</f>
        <v>WT</v>
      </c>
      <c r="M224" s="27" t="s">
        <v>704</v>
      </c>
      <c r="N224" s="27" t="s">
        <v>720</v>
      </c>
      <c r="O224" s="27" t="s">
        <v>794</v>
      </c>
      <c r="P224" s="27"/>
      <c r="Q224" s="28" t="s">
        <v>2030</v>
      </c>
      <c r="R224" s="93" t="s">
        <v>2031</v>
      </c>
      <c r="S224" s="28" t="s">
        <v>774</v>
      </c>
      <c r="T224" s="27" t="s">
        <v>794</v>
      </c>
      <c r="U224" s="28" t="s">
        <v>41</v>
      </c>
      <c r="V224" s="28" t="s">
        <v>41</v>
      </c>
      <c r="W224" s="28" t="s">
        <v>41</v>
      </c>
      <c r="X224" s="28" t="s">
        <v>41</v>
      </c>
      <c r="Y224" s="93" t="s">
        <v>627</v>
      </c>
      <c r="Z224" s="93" t="s">
        <v>2032</v>
      </c>
      <c r="AA224" s="28" t="s">
        <v>774</v>
      </c>
      <c r="AB224" s="27" t="s">
        <v>41</v>
      </c>
      <c r="AC224" s="27" t="s">
        <v>794</v>
      </c>
      <c r="AD224" s="28" t="s">
        <v>41</v>
      </c>
      <c r="AE224" s="28" t="s">
        <v>41</v>
      </c>
      <c r="AF224" s="28" t="s">
        <v>41</v>
      </c>
      <c r="AG224" s="28" t="s">
        <v>794</v>
      </c>
      <c r="AH224" s="27" t="s">
        <v>41</v>
      </c>
      <c r="AI224" s="27" t="s">
        <v>41</v>
      </c>
      <c r="AJ224" s="27" t="s">
        <v>41</v>
      </c>
      <c r="AK224" s="27" t="s">
        <v>41</v>
      </c>
      <c r="AL224" s="27" t="s">
        <v>41</v>
      </c>
      <c r="AM224" s="27" t="s">
        <v>41</v>
      </c>
      <c r="AN224" s="27" t="s">
        <v>41</v>
      </c>
      <c r="AO224" s="27" t="s">
        <v>41</v>
      </c>
      <c r="AP224" s="27" t="s">
        <v>41</v>
      </c>
      <c r="AQ224" s="93" t="s">
        <v>2033</v>
      </c>
      <c r="AR224" s="28" t="s">
        <v>2034</v>
      </c>
      <c r="AS224" s="27" t="s">
        <v>794</v>
      </c>
      <c r="AT224" s="28" t="s">
        <v>2035</v>
      </c>
      <c r="AU224" s="26" t="s">
        <v>2036</v>
      </c>
      <c r="AV224" s="27" t="s">
        <v>774</v>
      </c>
      <c r="AW224" s="27" t="s">
        <v>41</v>
      </c>
      <c r="AX224" s="27" t="s">
        <v>794</v>
      </c>
      <c r="AY224" s="28" t="s">
        <v>41</v>
      </c>
      <c r="AZ224" s="28" t="s">
        <v>41</v>
      </c>
      <c r="BA224" s="28" t="s">
        <v>41</v>
      </c>
      <c r="BB224" s="26" t="s">
        <v>41</v>
      </c>
      <c r="BC224" s="27" t="s">
        <v>41</v>
      </c>
      <c r="BD224" s="93" t="s">
        <v>716</v>
      </c>
      <c r="BE224" s="28"/>
      <c r="BF224" s="28"/>
    </row>
    <row r="225" spans="1:58" ht="20.25" customHeight="1">
      <c r="A225" s="27">
        <v>224</v>
      </c>
      <c r="B225" s="27">
        <f ca="1"/>
        <v>20242114887</v>
      </c>
      <c r="C225" s="137" t="str">
        <f ca="1"/>
        <v>Indusind General Insurance Co Ltd</v>
      </c>
      <c r="D225" s="27" t="str">
        <f ca="1"/>
        <v>MACT</v>
      </c>
      <c r="E225" s="27" t="str">
        <f ca="1"/>
        <v>R001-1224-SS-2026</v>
      </c>
      <c r="F225" s="206">
        <f ca="1"/>
        <v>46027</v>
      </c>
      <c r="G225" s="27" t="str">
        <f ca="1"/>
        <v>Jan-26</v>
      </c>
      <c r="H225" s="27"/>
      <c r="I225" s="29" t="str">
        <f t="shared" si="28"/>
        <v/>
      </c>
      <c r="J225" s="29">
        <f ca="1">IF(F225="", "",
    IF(OR(M225="WC Claim", M225="Partial Case"),
        WORKDAY(F225, 15),
    IF(OR(M225="Medical Verification", M225="Full Case"),
        WORKDAY(F225, 30),
    "")))</f>
        <v>46048</v>
      </c>
      <c r="K225" s="27">
        <f ca="1">IF(F225="", "", IF(ISNUMBER(H225), H225 - F225, TODAY() - F225))</f>
        <v>0</v>
      </c>
      <c r="L225" s="27" t="str">
        <f ca="1">IF(K225="", "",
    IF(OR(M225="Partial Case", M225="Medical Verification", M225="WC Claim"),
        IF(K225&lt;=15, "WT", "AT"),
        IF(K225&lt;30, "WT", "AT")
    )
)</f>
        <v>WT</v>
      </c>
      <c r="M225" s="27" t="s">
        <v>750</v>
      </c>
      <c r="N225" s="27" t="s">
        <v>720</v>
      </c>
      <c r="O225" s="27" t="s">
        <v>794</v>
      </c>
      <c r="P225" s="27"/>
      <c r="Q225" s="28" t="s">
        <v>3004</v>
      </c>
      <c r="R225" s="28" t="s">
        <v>3005</v>
      </c>
      <c r="S225" s="28" t="s">
        <v>774</v>
      </c>
      <c r="T225" s="27" t="s">
        <v>794</v>
      </c>
      <c r="U225" s="28" t="s">
        <v>41</v>
      </c>
      <c r="V225" s="28" t="s">
        <v>41</v>
      </c>
      <c r="W225" s="28" t="s">
        <v>41</v>
      </c>
      <c r="X225" s="28" t="s">
        <v>41</v>
      </c>
      <c r="Y225" s="28" t="s">
        <v>41</v>
      </c>
      <c r="Z225" s="28" t="s">
        <v>41</v>
      </c>
      <c r="AA225" s="28" t="s">
        <v>41</v>
      </c>
      <c r="AB225" s="28" t="s">
        <v>41</v>
      </c>
      <c r="AC225" s="28" t="s">
        <v>41</v>
      </c>
      <c r="AD225" s="28" t="s">
        <v>41</v>
      </c>
      <c r="AE225" s="28" t="s">
        <v>41</v>
      </c>
      <c r="AF225" s="28" t="s">
        <v>41</v>
      </c>
      <c r="AG225" s="28" t="s">
        <v>41</v>
      </c>
      <c r="AH225" s="28" t="s">
        <v>41</v>
      </c>
      <c r="AI225" s="28" t="s">
        <v>41</v>
      </c>
      <c r="AJ225" s="28" t="s">
        <v>41</v>
      </c>
      <c r="AK225" s="28" t="s">
        <v>41</v>
      </c>
      <c r="AL225" s="28" t="s">
        <v>41</v>
      </c>
      <c r="AM225" s="28" t="s">
        <v>41</v>
      </c>
      <c r="AN225" s="28" t="s">
        <v>41</v>
      </c>
      <c r="AO225" s="28" t="s">
        <v>41</v>
      </c>
      <c r="AP225" s="28" t="s">
        <v>41</v>
      </c>
      <c r="AQ225" s="28" t="s">
        <v>41</v>
      </c>
      <c r="AR225" s="28" t="s">
        <v>41</v>
      </c>
      <c r="AS225" s="28" t="s">
        <v>41</v>
      </c>
      <c r="AT225" s="28" t="s">
        <v>41</v>
      </c>
      <c r="AU225" s="28" t="s">
        <v>41</v>
      </c>
      <c r="AV225" s="28" t="s">
        <v>41</v>
      </c>
      <c r="AW225" s="28" t="s">
        <v>41</v>
      </c>
      <c r="AX225" s="28" t="s">
        <v>41</v>
      </c>
      <c r="AY225" s="28" t="s">
        <v>41</v>
      </c>
      <c r="AZ225" s="28" t="s">
        <v>41</v>
      </c>
      <c r="BA225" s="28" t="s">
        <v>41</v>
      </c>
      <c r="BB225" s="28" t="s">
        <v>41</v>
      </c>
      <c r="BC225" s="28" t="s">
        <v>41</v>
      </c>
      <c r="BD225" s="93" t="s">
        <v>716</v>
      </c>
      <c r="BE225" s="28"/>
      <c r="BF225" s="28"/>
    </row>
    <row r="226" spans="1:58" ht="20.25" customHeight="1">
      <c r="A226" s="27">
        <v>225</v>
      </c>
      <c r="B226" s="27">
        <f ca="1"/>
        <v>2025214761</v>
      </c>
      <c r="C226" s="137" t="str">
        <f ca="1"/>
        <v>Indusind General Insurance Co Ltd</v>
      </c>
      <c r="D226" s="27" t="str">
        <f ca="1"/>
        <v>MACT</v>
      </c>
      <c r="E226" s="27" t="str">
        <f ca="1"/>
        <v>R001-1225-SS-2026</v>
      </c>
      <c r="F226" s="206">
        <f ca="1"/>
        <v>46027</v>
      </c>
      <c r="G226" s="27" t="str">
        <f ca="1"/>
        <v>Jan-26</v>
      </c>
      <c r="H226" s="27"/>
      <c r="I226" s="29" t="str">
        <f t="shared" si="28"/>
        <v/>
      </c>
      <c r="J226" s="29">
        <f ca="1">IF(F226="", "",
    IF(OR(M226="WC Claim", M226="Partial Case"),
        WORKDAY(F226, 15),
    IF(OR(M226="Medical Verification", M226="Full Case"),
        WORKDAY(F226, 30),
    "")))</f>
        <v>46069</v>
      </c>
      <c r="K226" s="27">
        <f ca="1">IF(F226="", "", IF(ISNUMBER(H226), H226 - F226, TODAY() - F226))</f>
        <v>0</v>
      </c>
      <c r="L226" s="27" t="str">
        <f ca="1">IF(K226="", "",
    IF(OR(M226="Partial Case", M226="Medical Verification", M226="WC Claim"),
        IF(K226&lt;=15, "WT", "AT"),
        IF(K226&lt;30, "WT", "AT")
    )
)</f>
        <v>WT</v>
      </c>
      <c r="M226" s="27" t="s">
        <v>704</v>
      </c>
      <c r="N226" s="27" t="s">
        <v>720</v>
      </c>
      <c r="O226" s="27" t="s">
        <v>794</v>
      </c>
      <c r="P226" s="27"/>
      <c r="Q226" s="28" t="s">
        <v>3008</v>
      </c>
      <c r="R226" s="93" t="s">
        <v>3009</v>
      </c>
      <c r="S226" s="28" t="s">
        <v>754</v>
      </c>
      <c r="T226" s="27" t="s">
        <v>794</v>
      </c>
      <c r="U226" s="28" t="s">
        <v>41</v>
      </c>
      <c r="V226" s="28" t="s">
        <v>41</v>
      </c>
      <c r="W226" s="28" t="s">
        <v>41</v>
      </c>
      <c r="X226" s="28" t="s">
        <v>41</v>
      </c>
      <c r="Y226" s="28" t="s">
        <v>3010</v>
      </c>
      <c r="Z226" s="28" t="s">
        <v>3011</v>
      </c>
      <c r="AA226" s="28" t="s">
        <v>754</v>
      </c>
      <c r="AB226" s="27" t="s">
        <v>41</v>
      </c>
      <c r="AC226" s="27" t="s">
        <v>794</v>
      </c>
      <c r="AD226" s="28" t="s">
        <v>41</v>
      </c>
      <c r="AE226" s="28" t="s">
        <v>41</v>
      </c>
      <c r="AF226" s="28" t="s">
        <v>41</v>
      </c>
      <c r="AG226" s="28" t="s">
        <v>794</v>
      </c>
      <c r="AH226" s="27" t="s">
        <v>41</v>
      </c>
      <c r="AI226" s="27" t="s">
        <v>41</v>
      </c>
      <c r="AJ226" s="27" t="s">
        <v>41</v>
      </c>
      <c r="AK226" s="27" t="s">
        <v>41</v>
      </c>
      <c r="AL226" s="27" t="s">
        <v>41</v>
      </c>
      <c r="AM226" s="27" t="s">
        <v>41</v>
      </c>
      <c r="AN226" s="27" t="s">
        <v>41</v>
      </c>
      <c r="AO226" s="27" t="s">
        <v>41</v>
      </c>
      <c r="AP226" s="27" t="s">
        <v>41</v>
      </c>
      <c r="AQ226" s="28" t="s">
        <v>3012</v>
      </c>
      <c r="AR226" s="28" t="s">
        <v>754</v>
      </c>
      <c r="AS226" s="27" t="s">
        <v>794</v>
      </c>
      <c r="AT226" s="28" t="s">
        <v>3013</v>
      </c>
      <c r="AU226" s="26" t="s">
        <v>1387</v>
      </c>
      <c r="AV226" s="27" t="s">
        <v>754</v>
      </c>
      <c r="AW226" s="27" t="s">
        <v>41</v>
      </c>
      <c r="AX226" s="27" t="s">
        <v>794</v>
      </c>
      <c r="AY226" s="28" t="s">
        <v>41</v>
      </c>
      <c r="AZ226" s="28" t="s">
        <v>41</v>
      </c>
      <c r="BA226" s="28" t="s">
        <v>41</v>
      </c>
      <c r="BB226" s="28" t="s">
        <v>41</v>
      </c>
      <c r="BC226" s="28" t="s">
        <v>41</v>
      </c>
      <c r="BD226" s="93" t="s">
        <v>716</v>
      </c>
      <c r="BE226" s="28"/>
      <c r="BF226" s="28"/>
    </row>
    <row r="227" spans="1:58" ht="20.25" customHeight="1">
      <c r="A227" s="27"/>
      <c r="B227" s="27"/>
      <c r="C227" s="137"/>
      <c r="D227" s="27"/>
      <c r="E227" s="27"/>
      <c r="F227" s="206"/>
      <c r="G227" s="27"/>
      <c r="H227" s="27"/>
      <c r="I227" s="29" t="str">
        <f t="shared" si="28"/>
        <v/>
      </c>
      <c r="J227" s="29"/>
      <c r="K227" s="27"/>
      <c r="L227" s="27"/>
      <c r="M227" s="27"/>
      <c r="N227" s="27"/>
      <c r="O227" s="27"/>
      <c r="P227" s="27"/>
      <c r="Q227" s="28"/>
      <c r="R227" s="28"/>
      <c r="S227" s="28"/>
      <c r="T227" s="27"/>
      <c r="U227" s="28"/>
      <c r="V227" s="28"/>
      <c r="W227" s="28"/>
      <c r="X227" s="28"/>
      <c r="Y227" s="28"/>
      <c r="Z227" s="28"/>
      <c r="AA227" s="28"/>
      <c r="AB227" s="27"/>
      <c r="AC227" s="27"/>
      <c r="AD227" s="28"/>
      <c r="AE227" s="28"/>
      <c r="AF227" s="27"/>
      <c r="AG227" s="27"/>
      <c r="AH227" s="27"/>
      <c r="AI227" s="27"/>
      <c r="AJ227" s="27"/>
      <c r="AK227" s="27"/>
      <c r="AL227" s="27"/>
      <c r="AM227" s="27"/>
      <c r="AN227" s="27"/>
      <c r="AO227" s="27"/>
      <c r="AP227" s="27"/>
      <c r="AQ227" s="28"/>
      <c r="AR227" s="28"/>
      <c r="AS227" s="27"/>
      <c r="AT227" s="28"/>
      <c r="AU227" s="27"/>
      <c r="AV227" s="27"/>
      <c r="AW227" s="27"/>
      <c r="AX227" s="27"/>
      <c r="AY227" s="28"/>
      <c r="AZ227" s="28"/>
      <c r="BA227" s="28"/>
      <c r="BB227" s="26"/>
      <c r="BC227" s="27"/>
      <c r="BD227" s="93"/>
      <c r="BE227" s="28"/>
      <c r="BF227" s="28"/>
    </row>
    <row r="228" spans="1:58" ht="20.25" customHeight="1">
      <c r="A228" s="27"/>
      <c r="B228" s="27"/>
      <c r="C228" s="137"/>
      <c r="D228" s="27"/>
      <c r="E228" s="27"/>
      <c r="F228" s="206"/>
      <c r="G228" s="27"/>
      <c r="H228" s="27"/>
      <c r="I228" s="29" t="str">
        <f t="shared" si="28"/>
        <v/>
      </c>
      <c r="J228" s="29"/>
      <c r="K228" s="27"/>
      <c r="L228" s="27"/>
      <c r="M228" s="27"/>
      <c r="N228" s="27"/>
      <c r="O228" s="27"/>
      <c r="P228" s="27"/>
      <c r="Q228" s="28"/>
      <c r="R228" s="28"/>
      <c r="S228" s="28"/>
      <c r="T228" s="27"/>
      <c r="U228" s="28"/>
      <c r="V228" s="28"/>
      <c r="W228" s="28"/>
      <c r="X228" s="28"/>
      <c r="Y228" s="28"/>
      <c r="Z228" s="28"/>
      <c r="AA228" s="28"/>
      <c r="AB228" s="27"/>
      <c r="AC228" s="27"/>
      <c r="AD228" s="28"/>
      <c r="AE228" s="28"/>
      <c r="AF228" s="27"/>
      <c r="AG228" s="27"/>
      <c r="AH228" s="27"/>
      <c r="AI228" s="27"/>
      <c r="AJ228" s="27"/>
      <c r="AK228" s="27"/>
      <c r="AL228" s="27"/>
      <c r="AM228" s="27"/>
      <c r="AN228" s="27"/>
      <c r="AO228" s="27"/>
      <c r="AP228" s="27"/>
      <c r="AQ228" s="28"/>
      <c r="AR228" s="28"/>
      <c r="AS228" s="27"/>
      <c r="AT228" s="28"/>
      <c r="AU228" s="27"/>
      <c r="AV228" s="27"/>
      <c r="AW228" s="27"/>
      <c r="AX228" s="27"/>
      <c r="AY228" s="28"/>
      <c r="AZ228" s="28"/>
      <c r="BA228" s="28"/>
      <c r="BB228" s="26"/>
      <c r="BC228" s="27"/>
      <c r="BD228" s="93"/>
      <c r="BE228" s="28"/>
      <c r="BF228" s="28"/>
    </row>
    <row r="229" spans="1:58" ht="20.25" customHeight="1">
      <c r="A229" s="27"/>
      <c r="B229" s="27"/>
      <c r="C229" s="137"/>
      <c r="D229" s="27"/>
      <c r="E229" s="27"/>
      <c r="F229" s="206"/>
      <c r="G229" s="27"/>
      <c r="H229" s="27"/>
      <c r="I229" s="29" t="str">
        <f t="shared" si="28"/>
        <v/>
      </c>
      <c r="J229" s="29"/>
      <c r="K229" s="27"/>
      <c r="L229" s="27"/>
      <c r="M229" s="27"/>
      <c r="N229" s="27"/>
      <c r="O229" s="27"/>
      <c r="P229" s="27"/>
      <c r="Q229" s="28"/>
      <c r="R229" s="28"/>
      <c r="S229" s="28"/>
      <c r="T229" s="27"/>
      <c r="U229" s="28"/>
      <c r="V229" s="28"/>
      <c r="W229" s="28"/>
      <c r="X229" s="28"/>
      <c r="Y229" s="28"/>
      <c r="Z229" s="28"/>
      <c r="AA229" s="28"/>
      <c r="AB229" s="27"/>
      <c r="AC229" s="27"/>
      <c r="AD229" s="28"/>
      <c r="AE229" s="28"/>
      <c r="AF229" s="27"/>
      <c r="AG229" s="27"/>
      <c r="AH229" s="27"/>
      <c r="AI229" s="27"/>
      <c r="AJ229" s="27"/>
      <c r="AK229" s="27"/>
      <c r="AL229" s="27"/>
      <c r="AM229" s="27"/>
      <c r="AN229" s="27"/>
      <c r="AO229" s="27"/>
      <c r="AP229" s="27"/>
      <c r="AQ229" s="28"/>
      <c r="AR229" s="28"/>
      <c r="AS229" s="27"/>
      <c r="AT229" s="28"/>
      <c r="AU229" s="27"/>
      <c r="AV229" s="27"/>
      <c r="AW229" s="27"/>
      <c r="AX229" s="27"/>
      <c r="AY229" s="28"/>
      <c r="AZ229" s="28"/>
      <c r="BA229" s="28"/>
      <c r="BB229" s="26"/>
      <c r="BC229" s="27"/>
      <c r="BD229" s="93"/>
      <c r="BE229" s="28"/>
      <c r="BF229" s="28"/>
    </row>
    <row r="230" spans="1:58" ht="20.25" customHeight="1">
      <c r="A230" s="27"/>
      <c r="B230" s="27"/>
      <c r="C230" s="137"/>
      <c r="D230" s="27"/>
      <c r="E230" s="27"/>
      <c r="F230" s="206"/>
      <c r="G230" s="27"/>
      <c r="H230" s="27"/>
      <c r="I230" s="29" t="str">
        <f t="shared" si="28"/>
        <v/>
      </c>
      <c r="J230" s="29"/>
      <c r="K230" s="27"/>
      <c r="L230" s="27"/>
      <c r="M230" s="27"/>
      <c r="N230" s="27"/>
      <c r="O230" s="27"/>
      <c r="P230" s="27"/>
      <c r="Q230" s="28"/>
      <c r="R230" s="28"/>
      <c r="S230" s="28"/>
      <c r="T230" s="27"/>
      <c r="U230" s="28"/>
      <c r="V230" s="28"/>
      <c r="W230" s="28"/>
      <c r="X230" s="28"/>
      <c r="Y230" s="28"/>
      <c r="Z230" s="28"/>
      <c r="AA230" s="28"/>
      <c r="AB230" s="27"/>
      <c r="AC230" s="27"/>
      <c r="AD230" s="28"/>
      <c r="AE230" s="28"/>
      <c r="AF230" s="27"/>
      <c r="AG230" s="27"/>
      <c r="AH230" s="27"/>
      <c r="AI230" s="27"/>
      <c r="AJ230" s="27"/>
      <c r="AK230" s="27"/>
      <c r="AL230" s="27"/>
      <c r="AM230" s="27"/>
      <c r="AN230" s="27"/>
      <c r="AO230" s="27"/>
      <c r="AP230" s="27"/>
      <c r="AQ230" s="28"/>
      <c r="AR230" s="28"/>
      <c r="AS230" s="27"/>
      <c r="AT230" s="28"/>
      <c r="AU230" s="27"/>
      <c r="AV230" s="27"/>
      <c r="AW230" s="27"/>
      <c r="AX230" s="27"/>
      <c r="AY230" s="28"/>
      <c r="AZ230" s="28"/>
      <c r="BA230" s="28"/>
      <c r="BB230" s="26"/>
      <c r="BC230" s="27"/>
      <c r="BD230" s="93"/>
      <c r="BE230" s="28"/>
      <c r="BF230" s="28"/>
    </row>
    <row r="231" spans="1:58" ht="20.25" customHeight="1">
      <c r="A231" s="27"/>
      <c r="B231" s="27"/>
      <c r="C231" s="137"/>
      <c r="D231" s="27"/>
      <c r="E231" s="27"/>
      <c r="F231" s="206"/>
      <c r="G231" s="27"/>
      <c r="H231" s="27"/>
      <c r="I231" s="29" t="str">
        <f t="shared" si="28"/>
        <v/>
      </c>
      <c r="J231" s="29"/>
      <c r="K231" s="27"/>
      <c r="L231" s="27"/>
      <c r="M231" s="27"/>
      <c r="N231" s="27"/>
      <c r="O231" s="27"/>
      <c r="P231" s="27"/>
      <c r="Q231" s="28"/>
      <c r="R231" s="28"/>
      <c r="S231" s="28"/>
      <c r="T231" s="27"/>
      <c r="U231" s="28"/>
      <c r="V231" s="28"/>
      <c r="W231" s="28"/>
      <c r="X231" s="28"/>
      <c r="Y231" s="28"/>
      <c r="Z231" s="28"/>
      <c r="AA231" s="28"/>
      <c r="AB231" s="27"/>
      <c r="AC231" s="27"/>
      <c r="AD231" s="28"/>
      <c r="AE231" s="28"/>
      <c r="AF231" s="27"/>
      <c r="AG231" s="27"/>
      <c r="AH231" s="27"/>
      <c r="AI231" s="27"/>
      <c r="AJ231" s="27"/>
      <c r="AK231" s="27"/>
      <c r="AL231" s="27"/>
      <c r="AM231" s="27"/>
      <c r="AN231" s="27"/>
      <c r="AO231" s="27"/>
      <c r="AP231" s="27"/>
      <c r="AQ231" s="28"/>
      <c r="AR231" s="28"/>
      <c r="AS231" s="27"/>
      <c r="AT231" s="28"/>
      <c r="AU231" s="27"/>
      <c r="AV231" s="27"/>
      <c r="AW231" s="27"/>
      <c r="AX231" s="27"/>
      <c r="AY231" s="28"/>
      <c r="AZ231" s="28"/>
      <c r="BA231" s="28"/>
      <c r="BB231" s="26"/>
      <c r="BC231" s="27"/>
      <c r="BD231" s="93"/>
      <c r="BE231" s="28"/>
      <c r="BF231" s="28"/>
    </row>
    <row r="232" spans="1:58" ht="20.25" customHeight="1">
      <c r="A232" s="27"/>
      <c r="B232" s="27"/>
      <c r="C232" s="137"/>
      <c r="D232" s="27"/>
      <c r="E232" s="27"/>
      <c r="F232" s="206"/>
      <c r="G232" s="27"/>
      <c r="H232" s="27"/>
      <c r="I232" s="29" t="str">
        <f t="shared" si="28"/>
        <v/>
      </c>
      <c r="J232" s="29"/>
      <c r="K232" s="27"/>
      <c r="L232" s="27"/>
      <c r="M232" s="27"/>
      <c r="N232" s="27"/>
      <c r="O232" s="27"/>
      <c r="P232" s="27"/>
      <c r="Q232" s="28"/>
      <c r="R232" s="28"/>
      <c r="S232" s="28"/>
      <c r="T232" s="27"/>
      <c r="U232" s="28"/>
      <c r="V232" s="28"/>
      <c r="W232" s="28"/>
      <c r="X232" s="28"/>
      <c r="Y232" s="28"/>
      <c r="Z232" s="28"/>
      <c r="AA232" s="28"/>
      <c r="AB232" s="27"/>
      <c r="AC232" s="27"/>
      <c r="AD232" s="28"/>
      <c r="AE232" s="28"/>
      <c r="AF232" s="27"/>
      <c r="AG232" s="27"/>
      <c r="AH232" s="27"/>
      <c r="AI232" s="27"/>
      <c r="AJ232" s="27"/>
      <c r="AK232" s="27"/>
      <c r="AL232" s="27"/>
      <c r="AM232" s="27"/>
      <c r="AN232" s="27"/>
      <c r="AO232" s="27"/>
      <c r="AP232" s="27"/>
      <c r="AQ232" s="28"/>
      <c r="AR232" s="28"/>
      <c r="AS232" s="27"/>
      <c r="AT232" s="28"/>
      <c r="AU232" s="27"/>
      <c r="AV232" s="27"/>
      <c r="AW232" s="27"/>
      <c r="AX232" s="27"/>
      <c r="AY232" s="28"/>
      <c r="AZ232" s="28"/>
      <c r="BA232" s="28"/>
      <c r="BB232" s="26"/>
      <c r="BC232" s="27"/>
      <c r="BD232" s="93"/>
      <c r="BE232" s="28"/>
      <c r="BF232" s="28"/>
    </row>
    <row r="233" spans="1:58" ht="20.25" customHeight="1">
      <c r="A233" s="27"/>
      <c r="B233" s="27"/>
      <c r="C233" s="137"/>
      <c r="D233" s="27"/>
      <c r="E233" s="27"/>
      <c r="F233" s="206"/>
      <c r="G233" s="27"/>
      <c r="H233" s="27"/>
      <c r="I233" s="29" t="str">
        <f t="shared" si="28"/>
        <v/>
      </c>
      <c r="J233" s="29"/>
      <c r="K233" s="27"/>
      <c r="L233" s="27"/>
      <c r="M233" s="27"/>
      <c r="N233" s="27"/>
      <c r="O233" s="27"/>
      <c r="P233" s="27"/>
      <c r="Q233" s="28"/>
      <c r="R233" s="28"/>
      <c r="S233" s="28"/>
      <c r="T233" s="27"/>
      <c r="U233" s="28"/>
      <c r="V233" s="28"/>
      <c r="W233" s="28"/>
      <c r="X233" s="28"/>
      <c r="Y233" s="28"/>
      <c r="Z233" s="28"/>
      <c r="AA233" s="28"/>
      <c r="AB233" s="27"/>
      <c r="AC233" s="27"/>
      <c r="AD233" s="28"/>
      <c r="AE233" s="28"/>
      <c r="AF233" s="27"/>
      <c r="AG233" s="27"/>
      <c r="AH233" s="27"/>
      <c r="AI233" s="27"/>
      <c r="AJ233" s="27"/>
      <c r="AK233" s="27"/>
      <c r="AL233" s="27"/>
      <c r="AM233" s="27"/>
      <c r="AN233" s="27"/>
      <c r="AO233" s="27"/>
      <c r="AP233" s="27"/>
      <c r="AQ233" s="28"/>
      <c r="AR233" s="28"/>
      <c r="AS233" s="27"/>
      <c r="AT233" s="28"/>
      <c r="AU233" s="27"/>
      <c r="AV233" s="27"/>
      <c r="AW233" s="27"/>
      <c r="AX233" s="27"/>
      <c r="AY233" s="28"/>
      <c r="AZ233" s="28"/>
      <c r="BA233" s="28"/>
      <c r="BB233" s="26"/>
      <c r="BC233" s="27"/>
      <c r="BD233" s="93"/>
      <c r="BE233" s="28"/>
      <c r="BF233" s="28"/>
    </row>
    <row r="234" spans="1:58" ht="20.25" customHeight="1">
      <c r="A234" s="27"/>
      <c r="B234" s="27"/>
      <c r="C234" s="137"/>
      <c r="D234" s="27"/>
      <c r="E234" s="27"/>
      <c r="F234" s="206"/>
      <c r="G234" s="27"/>
      <c r="H234" s="27"/>
      <c r="I234" s="29" t="str">
        <f t="shared" si="28"/>
        <v/>
      </c>
      <c r="J234" s="29"/>
      <c r="K234" s="27"/>
      <c r="L234" s="27"/>
      <c r="M234" s="27"/>
      <c r="N234" s="27"/>
      <c r="O234" s="27"/>
      <c r="P234" s="27"/>
      <c r="Q234" s="28"/>
      <c r="R234" s="28"/>
      <c r="S234" s="28"/>
      <c r="T234" s="27"/>
      <c r="U234" s="28"/>
      <c r="V234" s="28"/>
      <c r="W234" s="28"/>
      <c r="X234" s="28"/>
      <c r="Y234" s="28"/>
      <c r="Z234" s="28"/>
      <c r="AA234" s="28"/>
      <c r="AB234" s="27"/>
      <c r="AC234" s="27"/>
      <c r="AD234" s="28"/>
      <c r="AE234" s="28"/>
      <c r="AF234" s="27"/>
      <c r="AG234" s="27"/>
      <c r="AH234" s="27"/>
      <c r="AI234" s="27"/>
      <c r="AJ234" s="27"/>
      <c r="AK234" s="27"/>
      <c r="AL234" s="27"/>
      <c r="AM234" s="27"/>
      <c r="AN234" s="27"/>
      <c r="AO234" s="27"/>
      <c r="AP234" s="27"/>
      <c r="AQ234" s="28"/>
      <c r="AR234" s="28"/>
      <c r="AS234" s="27"/>
      <c r="AT234" s="28"/>
      <c r="AU234" s="27"/>
      <c r="AV234" s="27"/>
      <c r="AW234" s="27"/>
      <c r="AX234" s="27"/>
      <c r="AY234" s="28"/>
      <c r="AZ234" s="28"/>
      <c r="BA234" s="28"/>
      <c r="BB234" s="26"/>
      <c r="BC234" s="27"/>
      <c r="BD234" s="93"/>
      <c r="BE234" s="28"/>
      <c r="BF234" s="28"/>
    </row>
    <row r="235" spans="1:58" ht="20.25" customHeight="1">
      <c r="A235" s="27"/>
      <c r="B235" s="27"/>
      <c r="C235" s="137"/>
      <c r="D235" s="27"/>
      <c r="E235" s="27"/>
      <c r="F235" s="206"/>
      <c r="G235" s="27"/>
      <c r="H235" s="27"/>
      <c r="I235" s="29" t="str">
        <f t="shared" si="28"/>
        <v/>
      </c>
      <c r="J235" s="29"/>
      <c r="K235" s="27"/>
      <c r="L235" s="27"/>
      <c r="M235" s="27"/>
      <c r="N235" s="27"/>
      <c r="O235" s="27"/>
      <c r="P235" s="27"/>
      <c r="Q235" s="28"/>
      <c r="R235" s="28"/>
      <c r="S235" s="28"/>
      <c r="T235" s="27"/>
      <c r="U235" s="28"/>
      <c r="V235" s="28"/>
      <c r="W235" s="28"/>
      <c r="X235" s="28"/>
      <c r="Y235" s="28"/>
      <c r="Z235" s="28"/>
      <c r="AA235" s="28"/>
      <c r="AB235" s="27"/>
      <c r="AC235" s="27"/>
      <c r="AD235" s="28"/>
      <c r="AE235" s="28"/>
      <c r="AF235" s="27"/>
      <c r="AG235" s="27"/>
      <c r="AH235" s="27"/>
      <c r="AI235" s="27"/>
      <c r="AJ235" s="27"/>
      <c r="AK235" s="27"/>
      <c r="AL235" s="27"/>
      <c r="AM235" s="27"/>
      <c r="AN235" s="27"/>
      <c r="AO235" s="27"/>
      <c r="AP235" s="27"/>
      <c r="AQ235" s="28"/>
      <c r="AR235" s="28"/>
      <c r="AS235" s="27"/>
      <c r="AT235" s="28"/>
      <c r="AU235" s="27"/>
      <c r="AV235" s="27"/>
      <c r="AW235" s="27"/>
      <c r="AX235" s="27"/>
      <c r="AY235" s="28"/>
      <c r="AZ235" s="28"/>
      <c r="BA235" s="28"/>
      <c r="BB235" s="26"/>
      <c r="BC235" s="27"/>
      <c r="BD235" s="93"/>
      <c r="BE235" s="28"/>
      <c r="BF235" s="28"/>
    </row>
    <row r="236" spans="1:58" ht="20.25" customHeight="1">
      <c r="A236" s="27"/>
      <c r="B236" s="27"/>
      <c r="C236" s="137"/>
      <c r="D236" s="27"/>
      <c r="E236" s="27"/>
      <c r="F236" s="206"/>
      <c r="G236" s="27"/>
      <c r="H236" s="27"/>
      <c r="I236" s="29" t="str">
        <f t="shared" si="28"/>
        <v/>
      </c>
      <c r="J236" s="29"/>
      <c r="K236" s="27"/>
      <c r="L236" s="27"/>
      <c r="M236" s="27"/>
      <c r="N236" s="27"/>
      <c r="O236" s="27"/>
      <c r="P236" s="27"/>
      <c r="Q236" s="28"/>
      <c r="R236" s="28"/>
      <c r="S236" s="28"/>
      <c r="T236" s="27"/>
      <c r="U236" s="28"/>
      <c r="V236" s="28"/>
      <c r="W236" s="28"/>
      <c r="X236" s="28"/>
      <c r="Y236" s="28"/>
      <c r="Z236" s="28"/>
      <c r="AA236" s="28"/>
      <c r="AB236" s="27"/>
      <c r="AC236" s="27"/>
      <c r="AD236" s="28"/>
      <c r="AE236" s="28"/>
      <c r="AF236" s="27"/>
      <c r="AG236" s="27"/>
      <c r="AH236" s="27"/>
      <c r="AI236" s="27"/>
      <c r="AJ236" s="27"/>
      <c r="AK236" s="27"/>
      <c r="AL236" s="27"/>
      <c r="AM236" s="27"/>
      <c r="AN236" s="27"/>
      <c r="AO236" s="27"/>
      <c r="AP236" s="27"/>
      <c r="AQ236" s="28"/>
      <c r="AR236" s="28"/>
      <c r="AS236" s="27"/>
      <c r="AT236" s="28"/>
      <c r="AU236" s="27"/>
      <c r="AV236" s="27"/>
      <c r="AW236" s="27"/>
      <c r="AX236" s="27"/>
      <c r="AY236" s="28"/>
      <c r="AZ236" s="28"/>
      <c r="BA236" s="28"/>
      <c r="BB236" s="26"/>
      <c r="BC236" s="27"/>
      <c r="BD236" s="93"/>
      <c r="BE236" s="28"/>
      <c r="BF236" s="28"/>
    </row>
    <row r="237" spans="1:58" ht="20.25" customHeight="1">
      <c r="A237" s="27"/>
      <c r="B237" s="27"/>
      <c r="C237" s="137"/>
      <c r="D237" s="27"/>
      <c r="E237" s="27"/>
      <c r="F237" s="206"/>
      <c r="G237" s="27"/>
      <c r="H237" s="27"/>
      <c r="I237" s="29" t="str">
        <f t="shared" si="28"/>
        <v/>
      </c>
      <c r="J237" s="29"/>
      <c r="K237" s="27"/>
      <c r="L237" s="27"/>
      <c r="M237" s="27"/>
      <c r="N237" s="27"/>
      <c r="O237" s="27"/>
      <c r="P237" s="27"/>
      <c r="Q237" s="28"/>
      <c r="R237" s="28"/>
      <c r="S237" s="28"/>
      <c r="T237" s="27"/>
      <c r="U237" s="28"/>
      <c r="V237" s="28"/>
      <c r="W237" s="28"/>
      <c r="X237" s="28"/>
      <c r="Y237" s="28"/>
      <c r="Z237" s="28"/>
      <c r="AA237" s="28"/>
      <c r="AB237" s="27"/>
      <c r="AC237" s="27"/>
      <c r="AD237" s="28"/>
      <c r="AE237" s="28"/>
      <c r="AF237" s="27"/>
      <c r="AG237" s="27"/>
      <c r="AH237" s="27"/>
      <c r="AI237" s="27"/>
      <c r="AJ237" s="27"/>
      <c r="AK237" s="27"/>
      <c r="AL237" s="27"/>
      <c r="AM237" s="27"/>
      <c r="AN237" s="27"/>
      <c r="AO237" s="27"/>
      <c r="AP237" s="27"/>
      <c r="AQ237" s="28"/>
      <c r="AR237" s="28"/>
      <c r="AS237" s="27"/>
      <c r="AT237" s="28"/>
      <c r="AU237" s="27"/>
      <c r="AV237" s="27"/>
      <c r="AW237" s="27"/>
      <c r="AX237" s="27"/>
      <c r="AY237" s="28"/>
      <c r="AZ237" s="28"/>
      <c r="BA237" s="28"/>
      <c r="BB237" s="26"/>
      <c r="BC237" s="27"/>
      <c r="BD237" s="93"/>
      <c r="BE237" s="28"/>
      <c r="BF237" s="28"/>
    </row>
    <row r="238" spans="1:58" ht="20.25" customHeight="1">
      <c r="A238" s="27"/>
      <c r="B238" s="27"/>
      <c r="C238" s="137"/>
      <c r="D238" s="27"/>
      <c r="E238" s="27"/>
      <c r="F238" s="206"/>
      <c r="G238" s="27"/>
      <c r="H238" s="27"/>
      <c r="I238" s="29" t="str">
        <f t="shared" si="28"/>
        <v/>
      </c>
      <c r="J238" s="29"/>
      <c r="K238" s="27"/>
      <c r="L238" s="27"/>
      <c r="M238" s="27"/>
      <c r="N238" s="27"/>
      <c r="O238" s="27"/>
      <c r="P238" s="27"/>
      <c r="Q238" s="28"/>
      <c r="R238" s="28"/>
      <c r="S238" s="28"/>
      <c r="T238" s="27"/>
      <c r="U238" s="28"/>
      <c r="V238" s="28"/>
      <c r="W238" s="28"/>
      <c r="X238" s="28"/>
      <c r="Y238" s="28"/>
      <c r="Z238" s="28"/>
      <c r="AA238" s="28"/>
      <c r="AB238" s="27"/>
      <c r="AC238" s="27"/>
      <c r="AD238" s="28"/>
      <c r="AE238" s="28"/>
      <c r="AF238" s="27"/>
      <c r="AG238" s="27"/>
      <c r="AH238" s="27"/>
      <c r="AI238" s="27"/>
      <c r="AJ238" s="27"/>
      <c r="AK238" s="27"/>
      <c r="AL238" s="27"/>
      <c r="AM238" s="27"/>
      <c r="AN238" s="27"/>
      <c r="AO238" s="27"/>
      <c r="AP238" s="27"/>
      <c r="AQ238" s="28"/>
      <c r="AR238" s="28"/>
      <c r="AS238" s="27"/>
      <c r="AT238" s="28"/>
      <c r="AU238" s="27"/>
      <c r="AV238" s="27"/>
      <c r="AW238" s="27"/>
      <c r="AX238" s="27"/>
      <c r="AY238" s="28"/>
      <c r="AZ238" s="28"/>
      <c r="BA238" s="28"/>
      <c r="BB238" s="26"/>
      <c r="BC238" s="27"/>
      <c r="BD238" s="93"/>
      <c r="BE238" s="28"/>
      <c r="BF238" s="28"/>
    </row>
    <row r="239" spans="1:58" ht="20.25" customHeight="1">
      <c r="A239" s="27"/>
      <c r="B239" s="27"/>
      <c r="C239" s="137"/>
      <c r="D239" s="27"/>
      <c r="E239" s="27"/>
      <c r="F239" s="206"/>
      <c r="G239" s="27"/>
      <c r="H239" s="27"/>
      <c r="I239" s="29" t="str">
        <f t="shared" si="28"/>
        <v/>
      </c>
      <c r="J239" s="29"/>
      <c r="K239" s="27"/>
      <c r="L239" s="27"/>
      <c r="M239" s="27"/>
      <c r="N239" s="27"/>
      <c r="O239" s="27"/>
      <c r="P239" s="27"/>
      <c r="Q239" s="28"/>
      <c r="R239" s="28"/>
      <c r="S239" s="28"/>
      <c r="T239" s="27"/>
      <c r="U239" s="28"/>
      <c r="V239" s="28"/>
      <c r="W239" s="28"/>
      <c r="X239" s="28"/>
      <c r="Y239" s="28"/>
      <c r="Z239" s="28"/>
      <c r="AA239" s="28"/>
      <c r="AB239" s="27"/>
      <c r="AC239" s="27"/>
      <c r="AD239" s="28"/>
      <c r="AE239" s="28"/>
      <c r="AF239" s="27"/>
      <c r="AG239" s="27"/>
      <c r="AH239" s="27"/>
      <c r="AI239" s="27"/>
      <c r="AJ239" s="27"/>
      <c r="AK239" s="27"/>
      <c r="AL239" s="27"/>
      <c r="AM239" s="27"/>
      <c r="AN239" s="27"/>
      <c r="AO239" s="27"/>
      <c r="AP239" s="27"/>
      <c r="AQ239" s="28"/>
      <c r="AR239" s="28"/>
      <c r="AS239" s="27"/>
      <c r="AT239" s="28"/>
      <c r="AU239" s="27"/>
      <c r="AV239" s="27"/>
      <c r="AW239" s="27"/>
      <c r="AX239" s="27"/>
      <c r="AY239" s="28"/>
      <c r="AZ239" s="28"/>
      <c r="BA239" s="28"/>
      <c r="BB239" s="26"/>
      <c r="BC239" s="27"/>
      <c r="BD239" s="93"/>
      <c r="BE239" s="28"/>
      <c r="BF239" s="28"/>
    </row>
    <row r="240" spans="1:58" ht="20.25" customHeight="1">
      <c r="A240" s="27"/>
      <c r="B240" s="27"/>
      <c r="C240" s="137"/>
      <c r="D240" s="27"/>
      <c r="E240" s="27"/>
      <c r="F240" s="206"/>
      <c r="G240" s="27"/>
      <c r="H240" s="27"/>
      <c r="I240" s="29" t="str">
        <f t="shared" si="28"/>
        <v/>
      </c>
      <c r="J240" s="29"/>
      <c r="K240" s="27"/>
      <c r="L240" s="27"/>
      <c r="M240" s="27"/>
      <c r="N240" s="27"/>
      <c r="O240" s="27"/>
      <c r="P240" s="27"/>
      <c r="Q240" s="28"/>
      <c r="R240" s="28"/>
      <c r="S240" s="28"/>
      <c r="T240" s="27"/>
      <c r="U240" s="28"/>
      <c r="V240" s="28"/>
      <c r="W240" s="28"/>
      <c r="X240" s="28"/>
      <c r="Y240" s="28"/>
      <c r="Z240" s="28"/>
      <c r="AA240" s="28"/>
      <c r="AB240" s="27"/>
      <c r="AC240" s="27"/>
      <c r="AD240" s="28"/>
      <c r="AE240" s="28"/>
      <c r="AF240" s="27"/>
      <c r="AG240" s="27"/>
      <c r="AH240" s="27"/>
      <c r="AI240" s="27"/>
      <c r="AJ240" s="27"/>
      <c r="AK240" s="27"/>
      <c r="AL240" s="27"/>
      <c r="AM240" s="27"/>
      <c r="AN240" s="27"/>
      <c r="AO240" s="27"/>
      <c r="AP240" s="27"/>
      <c r="AQ240" s="28"/>
      <c r="AR240" s="28"/>
      <c r="AS240" s="27"/>
      <c r="AT240" s="28"/>
      <c r="AU240" s="27"/>
      <c r="AV240" s="27"/>
      <c r="AW240" s="27"/>
      <c r="AX240" s="27"/>
      <c r="AY240" s="28"/>
      <c r="AZ240" s="28"/>
      <c r="BA240" s="28"/>
      <c r="BB240" s="26"/>
      <c r="BC240" s="27"/>
      <c r="BD240" s="93"/>
      <c r="BE240" s="28"/>
      <c r="BF240" s="28"/>
    </row>
    <row r="241" spans="1:58" ht="20.25" customHeight="1">
      <c r="A241" s="27"/>
      <c r="B241" s="27"/>
      <c r="C241" s="137"/>
      <c r="D241" s="27"/>
      <c r="E241" s="27"/>
      <c r="F241" s="206"/>
      <c r="G241" s="27"/>
      <c r="H241" s="27"/>
      <c r="I241" s="29" t="str">
        <f t="shared" si="28"/>
        <v/>
      </c>
      <c r="J241" s="29"/>
      <c r="K241" s="27"/>
      <c r="L241" s="27"/>
      <c r="M241" s="27"/>
      <c r="N241" s="27"/>
      <c r="O241" s="27"/>
      <c r="P241" s="27"/>
      <c r="Q241" s="28"/>
      <c r="R241" s="28"/>
      <c r="S241" s="28"/>
      <c r="T241" s="27"/>
      <c r="U241" s="28"/>
      <c r="V241" s="28"/>
      <c r="W241" s="28"/>
      <c r="X241" s="28"/>
      <c r="Y241" s="28"/>
      <c r="Z241" s="28"/>
      <c r="AA241" s="28"/>
      <c r="AB241" s="27"/>
      <c r="AC241" s="27"/>
      <c r="AD241" s="28"/>
      <c r="AE241" s="28"/>
      <c r="AF241" s="27"/>
      <c r="AG241" s="27"/>
      <c r="AH241" s="27"/>
      <c r="AI241" s="27"/>
      <c r="AJ241" s="27"/>
      <c r="AK241" s="27"/>
      <c r="AL241" s="27"/>
      <c r="AM241" s="27"/>
      <c r="AN241" s="27"/>
      <c r="AO241" s="27"/>
      <c r="AP241" s="27"/>
      <c r="AQ241" s="28"/>
      <c r="AR241" s="28"/>
      <c r="AS241" s="27"/>
      <c r="AT241" s="28"/>
      <c r="AU241" s="27"/>
      <c r="AV241" s="27"/>
      <c r="AW241" s="27"/>
      <c r="AX241" s="27"/>
      <c r="AY241" s="28"/>
      <c r="AZ241" s="28"/>
      <c r="BA241" s="28"/>
      <c r="BB241" s="26"/>
      <c r="BC241" s="27"/>
      <c r="BD241" s="93"/>
      <c r="BE241" s="28"/>
      <c r="BF241" s="28"/>
    </row>
    <row r="242" spans="1:58" ht="20.25" customHeight="1">
      <c r="A242" s="27"/>
      <c r="B242" s="27"/>
      <c r="C242" s="137"/>
      <c r="D242" s="27"/>
      <c r="E242" s="27"/>
      <c r="F242" s="206"/>
      <c r="G242" s="27"/>
      <c r="H242" s="27"/>
      <c r="I242" s="29" t="str">
        <f t="shared" si="28"/>
        <v/>
      </c>
      <c r="J242" s="29"/>
      <c r="K242" s="27"/>
      <c r="L242" s="27"/>
      <c r="M242" s="27"/>
      <c r="N242" s="27"/>
      <c r="O242" s="27"/>
      <c r="P242" s="27"/>
      <c r="Q242" s="28"/>
      <c r="R242" s="28"/>
      <c r="S242" s="28"/>
      <c r="T242" s="27"/>
      <c r="U242" s="28"/>
      <c r="V242" s="28"/>
      <c r="W242" s="28"/>
      <c r="X242" s="28"/>
      <c r="Y242" s="28"/>
      <c r="Z242" s="28"/>
      <c r="AA242" s="28"/>
      <c r="AB242" s="27"/>
      <c r="AC242" s="27"/>
      <c r="AD242" s="28"/>
      <c r="AE242" s="28"/>
      <c r="AF242" s="27"/>
      <c r="AG242" s="27"/>
      <c r="AH242" s="27"/>
      <c r="AI242" s="27"/>
      <c r="AJ242" s="27"/>
      <c r="AK242" s="27"/>
      <c r="AL242" s="27"/>
      <c r="AM242" s="27"/>
      <c r="AN242" s="27"/>
      <c r="AO242" s="27"/>
      <c r="AP242" s="27"/>
      <c r="AQ242" s="28"/>
      <c r="AR242" s="28"/>
      <c r="AS242" s="27"/>
      <c r="AT242" s="28"/>
      <c r="AU242" s="27"/>
      <c r="AV242" s="27"/>
      <c r="AW242" s="27"/>
      <c r="AX242" s="27"/>
      <c r="AY242" s="28"/>
      <c r="AZ242" s="28"/>
      <c r="BA242" s="28"/>
      <c r="BB242" s="26"/>
      <c r="BC242" s="27"/>
      <c r="BD242" s="93"/>
      <c r="BE242" s="28"/>
      <c r="BF242" s="28"/>
    </row>
    <row r="243" spans="1:58" ht="20.25" customHeight="1">
      <c r="A243" s="27"/>
      <c r="B243" s="27"/>
      <c r="C243" s="137"/>
      <c r="D243" s="27"/>
      <c r="E243" s="27"/>
      <c r="F243" s="206"/>
      <c r="G243" s="27"/>
      <c r="H243" s="27"/>
      <c r="I243" s="29" t="str">
        <f t="shared" si="28"/>
        <v/>
      </c>
      <c r="J243" s="29"/>
      <c r="K243" s="27"/>
      <c r="L243" s="27"/>
      <c r="M243" s="27"/>
      <c r="N243" s="27"/>
      <c r="O243" s="27"/>
      <c r="P243" s="27"/>
      <c r="Q243" s="28"/>
      <c r="R243" s="28"/>
      <c r="S243" s="28"/>
      <c r="T243" s="27"/>
      <c r="U243" s="28"/>
      <c r="V243" s="28"/>
      <c r="W243" s="28"/>
      <c r="X243" s="28"/>
      <c r="Y243" s="28"/>
      <c r="Z243" s="28"/>
      <c r="AA243" s="28"/>
      <c r="AB243" s="27"/>
      <c r="AC243" s="27"/>
      <c r="AD243" s="28"/>
      <c r="AE243" s="28"/>
      <c r="AF243" s="27"/>
      <c r="AG243" s="27"/>
      <c r="AH243" s="27"/>
      <c r="AI243" s="27"/>
      <c r="AJ243" s="27"/>
      <c r="AK243" s="27"/>
      <c r="AL243" s="27"/>
      <c r="AM243" s="27"/>
      <c r="AN243" s="27"/>
      <c r="AO243" s="27"/>
      <c r="AP243" s="27"/>
      <c r="AQ243" s="28"/>
      <c r="AR243" s="28"/>
      <c r="AS243" s="27"/>
      <c r="AT243" s="28"/>
      <c r="AU243" s="27"/>
      <c r="AV243" s="27"/>
      <c r="AW243" s="27"/>
      <c r="AX243" s="27"/>
      <c r="AY243" s="28"/>
      <c r="AZ243" s="28"/>
      <c r="BA243" s="28"/>
      <c r="BB243" s="26"/>
      <c r="BC243" s="27"/>
      <c r="BD243" s="93"/>
      <c r="BE243" s="28"/>
      <c r="BF243" s="28"/>
    </row>
    <row r="244" spans="1:58" ht="20.25" customHeight="1">
      <c r="A244" s="27"/>
      <c r="B244" s="27"/>
      <c r="C244" s="137"/>
      <c r="D244" s="27"/>
      <c r="E244" s="27"/>
      <c r="F244" s="206"/>
      <c r="G244" s="27"/>
      <c r="H244" s="27"/>
      <c r="I244" s="29" t="str">
        <f t="shared" si="28"/>
        <v/>
      </c>
      <c r="J244" s="29"/>
      <c r="K244" s="27"/>
      <c r="L244" s="27"/>
      <c r="M244" s="27"/>
      <c r="N244" s="27"/>
      <c r="O244" s="27"/>
      <c r="P244" s="27"/>
      <c r="Q244" s="28"/>
      <c r="R244" s="28"/>
      <c r="S244" s="28"/>
      <c r="T244" s="27"/>
      <c r="U244" s="28"/>
      <c r="V244" s="28"/>
      <c r="W244" s="28"/>
      <c r="X244" s="28"/>
      <c r="Y244" s="28"/>
      <c r="Z244" s="28"/>
      <c r="AA244" s="28"/>
      <c r="AB244" s="27"/>
      <c r="AC244" s="27"/>
      <c r="AD244" s="28"/>
      <c r="AE244" s="28"/>
      <c r="AF244" s="27"/>
      <c r="AG244" s="27"/>
      <c r="AH244" s="27"/>
      <c r="AI244" s="27"/>
      <c r="AJ244" s="27"/>
      <c r="AK244" s="27"/>
      <c r="AL244" s="27"/>
      <c r="AM244" s="27"/>
      <c r="AN244" s="27"/>
      <c r="AO244" s="27"/>
      <c r="AP244" s="27"/>
      <c r="AQ244" s="28"/>
      <c r="AR244" s="28"/>
      <c r="AS244" s="27"/>
      <c r="AT244" s="28"/>
      <c r="AU244" s="27"/>
      <c r="AV244" s="27"/>
      <c r="AW244" s="27"/>
      <c r="AX244" s="27"/>
      <c r="AY244" s="28"/>
      <c r="AZ244" s="28"/>
      <c r="BA244" s="28"/>
      <c r="BB244" s="26"/>
      <c r="BC244" s="27"/>
      <c r="BD244" s="93"/>
      <c r="BE244" s="28"/>
      <c r="BF244" s="28"/>
    </row>
    <row r="245" spans="1:58" ht="20.25" customHeight="1">
      <c r="A245" s="27"/>
      <c r="B245" s="27"/>
      <c r="C245" s="137"/>
      <c r="D245" s="27"/>
      <c r="E245" s="27"/>
      <c r="F245" s="206"/>
      <c r="G245" s="27"/>
      <c r="H245" s="27"/>
      <c r="I245" s="29" t="str">
        <f t="shared" si="28"/>
        <v/>
      </c>
      <c r="J245" s="29"/>
      <c r="K245" s="27"/>
      <c r="L245" s="27"/>
      <c r="M245" s="27"/>
      <c r="N245" s="27"/>
      <c r="O245" s="27"/>
      <c r="P245" s="27"/>
      <c r="Q245" s="28"/>
      <c r="R245" s="28"/>
      <c r="S245" s="28"/>
      <c r="T245" s="27"/>
      <c r="U245" s="28"/>
      <c r="V245" s="28"/>
      <c r="W245" s="28"/>
      <c r="X245" s="28"/>
      <c r="Y245" s="28"/>
      <c r="Z245" s="28"/>
      <c r="AA245" s="28"/>
      <c r="AB245" s="27"/>
      <c r="AC245" s="27"/>
      <c r="AD245" s="28"/>
      <c r="AE245" s="28"/>
      <c r="AF245" s="27"/>
      <c r="AG245" s="27"/>
      <c r="AH245" s="27"/>
      <c r="AI245" s="27"/>
      <c r="AJ245" s="27"/>
      <c r="AK245" s="27"/>
      <c r="AL245" s="27"/>
      <c r="AM245" s="27"/>
      <c r="AN245" s="27"/>
      <c r="AO245" s="27"/>
      <c r="AP245" s="27"/>
      <c r="AQ245" s="28"/>
      <c r="AR245" s="28"/>
      <c r="AS245" s="27"/>
      <c r="AT245" s="28"/>
      <c r="AU245" s="27"/>
      <c r="AV245" s="27"/>
      <c r="AW245" s="27"/>
      <c r="AX245" s="27"/>
      <c r="AY245" s="28"/>
      <c r="AZ245" s="28"/>
      <c r="BA245" s="28"/>
      <c r="BB245" s="26"/>
      <c r="BC245" s="27"/>
      <c r="BD245" s="93"/>
      <c r="BE245" s="28"/>
      <c r="BF245" s="28"/>
    </row>
    <row r="246" spans="1:58" ht="20.25" customHeight="1">
      <c r="A246" s="27"/>
      <c r="B246" s="27"/>
      <c r="C246" s="137"/>
      <c r="D246" s="27"/>
      <c r="E246" s="27"/>
      <c r="F246" s="206"/>
      <c r="G246" s="27"/>
      <c r="H246" s="27"/>
      <c r="I246" s="29" t="str">
        <f t="shared" si="28"/>
        <v/>
      </c>
      <c r="J246" s="29"/>
      <c r="K246" s="27"/>
      <c r="L246" s="27"/>
      <c r="M246" s="27"/>
      <c r="N246" s="27"/>
      <c r="O246" s="27"/>
      <c r="P246" s="27"/>
      <c r="Q246" s="28"/>
      <c r="R246" s="28"/>
      <c r="S246" s="28"/>
      <c r="T246" s="27"/>
      <c r="U246" s="28"/>
      <c r="V246" s="28"/>
      <c r="W246" s="28"/>
      <c r="X246" s="28"/>
      <c r="Y246" s="28"/>
      <c r="Z246" s="28"/>
      <c r="AA246" s="28"/>
      <c r="AB246" s="27"/>
      <c r="AC246" s="27"/>
      <c r="AD246" s="28"/>
      <c r="AE246" s="28"/>
      <c r="AF246" s="27"/>
      <c r="AG246" s="27"/>
      <c r="AH246" s="27"/>
      <c r="AI246" s="27"/>
      <c r="AJ246" s="27"/>
      <c r="AK246" s="27"/>
      <c r="AL246" s="27"/>
      <c r="AM246" s="27"/>
      <c r="AN246" s="27"/>
      <c r="AO246" s="27"/>
      <c r="AP246" s="27"/>
      <c r="AQ246" s="28"/>
      <c r="AR246" s="28"/>
      <c r="AS246" s="27"/>
      <c r="AT246" s="28"/>
      <c r="AU246" s="27"/>
      <c r="AV246" s="27"/>
      <c r="AW246" s="27"/>
      <c r="AX246" s="27"/>
      <c r="AY246" s="28"/>
      <c r="AZ246" s="28"/>
      <c r="BA246" s="28"/>
      <c r="BB246" s="26"/>
      <c r="BC246" s="27"/>
      <c r="BD246" s="93"/>
      <c r="BE246" s="28"/>
      <c r="BF246" s="28"/>
    </row>
    <row r="247" spans="1:58" ht="20.25" customHeight="1">
      <c r="A247" s="27"/>
      <c r="B247" s="27"/>
      <c r="C247" s="137"/>
      <c r="D247" s="27"/>
      <c r="E247" s="27"/>
      <c r="F247" s="206"/>
      <c r="G247" s="27"/>
      <c r="H247" s="27"/>
      <c r="I247" s="29" t="str">
        <f t="shared" si="28"/>
        <v/>
      </c>
      <c r="J247" s="29"/>
      <c r="K247" s="27"/>
      <c r="L247" s="27"/>
      <c r="M247" s="27"/>
      <c r="N247" s="27"/>
      <c r="O247" s="27"/>
      <c r="P247" s="27"/>
      <c r="Q247" s="28"/>
      <c r="R247" s="28"/>
      <c r="S247" s="28"/>
      <c r="T247" s="27"/>
      <c r="U247" s="28"/>
      <c r="V247" s="28"/>
      <c r="W247" s="28"/>
      <c r="X247" s="28"/>
      <c r="Y247" s="28"/>
      <c r="Z247" s="28"/>
      <c r="AA247" s="28"/>
      <c r="AB247" s="27"/>
      <c r="AC247" s="27"/>
      <c r="AD247" s="28"/>
      <c r="AE247" s="28"/>
      <c r="AF247" s="27"/>
      <c r="AG247" s="27"/>
      <c r="AH247" s="27"/>
      <c r="AI247" s="27"/>
      <c r="AJ247" s="27"/>
      <c r="AK247" s="27"/>
      <c r="AL247" s="27"/>
      <c r="AM247" s="27"/>
      <c r="AN247" s="27"/>
      <c r="AO247" s="27"/>
      <c r="AP247" s="27"/>
      <c r="AQ247" s="28"/>
      <c r="AR247" s="28"/>
      <c r="AS247" s="27"/>
      <c r="AT247" s="28"/>
      <c r="AU247" s="27"/>
      <c r="AV247" s="27"/>
      <c r="AW247" s="27"/>
      <c r="AX247" s="27"/>
      <c r="AY247" s="28"/>
      <c r="AZ247" s="28"/>
      <c r="BA247" s="28"/>
      <c r="BB247" s="26"/>
      <c r="BC247" s="27"/>
      <c r="BD247" s="93"/>
      <c r="BE247" s="28"/>
      <c r="BF247" s="28"/>
    </row>
    <row r="248" spans="1:58" ht="20.25" customHeight="1">
      <c r="A248" s="27"/>
      <c r="B248" s="27"/>
      <c r="C248" s="137"/>
      <c r="D248" s="27"/>
      <c r="E248" s="27"/>
      <c r="F248" s="206"/>
      <c r="G248" s="27"/>
      <c r="H248" s="27"/>
      <c r="I248" s="29" t="str">
        <f t="shared" si="28"/>
        <v/>
      </c>
      <c r="J248" s="29"/>
      <c r="K248" s="27"/>
      <c r="L248" s="27"/>
      <c r="M248" s="27"/>
      <c r="N248" s="27"/>
      <c r="O248" s="27"/>
      <c r="P248" s="27"/>
      <c r="Q248" s="28"/>
      <c r="R248" s="28"/>
      <c r="S248" s="28"/>
      <c r="T248" s="27"/>
      <c r="U248" s="28"/>
      <c r="V248" s="28"/>
      <c r="W248" s="28"/>
      <c r="X248" s="28"/>
      <c r="Y248" s="28"/>
      <c r="Z248" s="28"/>
      <c r="AA248" s="28"/>
      <c r="AB248" s="27"/>
      <c r="AC248" s="27"/>
      <c r="AD248" s="28"/>
      <c r="AE248" s="28"/>
      <c r="AF248" s="27"/>
      <c r="AG248" s="27"/>
      <c r="AH248" s="27"/>
      <c r="AI248" s="27"/>
      <c r="AJ248" s="27"/>
      <c r="AK248" s="27"/>
      <c r="AL248" s="27"/>
      <c r="AM248" s="27"/>
      <c r="AN248" s="27"/>
      <c r="AO248" s="27"/>
      <c r="AP248" s="27"/>
      <c r="AQ248" s="28"/>
      <c r="AR248" s="28"/>
      <c r="AS248" s="27"/>
      <c r="AT248" s="28"/>
      <c r="AU248" s="27"/>
      <c r="AV248" s="27"/>
      <c r="AW248" s="27"/>
      <c r="AX248" s="27"/>
      <c r="AY248" s="28"/>
      <c r="AZ248" s="28"/>
      <c r="BA248" s="28"/>
      <c r="BB248" s="26"/>
      <c r="BC248" s="27"/>
      <c r="BD248" s="93"/>
      <c r="BE248" s="28"/>
      <c r="BF248" s="28"/>
    </row>
    <row r="249" spans="1:58" ht="20.25" customHeight="1">
      <c r="A249" s="27"/>
      <c r="B249" s="27"/>
      <c r="C249" s="137"/>
      <c r="D249" s="27"/>
      <c r="E249" s="27"/>
      <c r="F249" s="206"/>
      <c r="G249" s="27"/>
      <c r="H249" s="27"/>
      <c r="I249" s="29" t="str">
        <f t="shared" si="28"/>
        <v/>
      </c>
      <c r="J249" s="29"/>
      <c r="K249" s="27"/>
      <c r="L249" s="27"/>
      <c r="M249" s="27"/>
      <c r="N249" s="27"/>
      <c r="O249" s="27"/>
      <c r="P249" s="27"/>
      <c r="Q249" s="28"/>
      <c r="R249" s="28"/>
      <c r="S249" s="28"/>
      <c r="T249" s="27"/>
      <c r="U249" s="28"/>
      <c r="V249" s="28"/>
      <c r="W249" s="28"/>
      <c r="X249" s="28"/>
      <c r="Y249" s="28"/>
      <c r="Z249" s="28"/>
      <c r="AA249" s="28"/>
      <c r="AB249" s="27"/>
      <c r="AC249" s="27"/>
      <c r="AD249" s="28"/>
      <c r="AE249" s="28"/>
      <c r="AF249" s="27"/>
      <c r="AG249" s="27"/>
      <c r="AH249" s="27"/>
      <c r="AI249" s="27"/>
      <c r="AJ249" s="27"/>
      <c r="AK249" s="27"/>
      <c r="AL249" s="27"/>
      <c r="AM249" s="27"/>
      <c r="AN249" s="27"/>
      <c r="AO249" s="27"/>
      <c r="AP249" s="27"/>
      <c r="AQ249" s="28"/>
      <c r="AR249" s="28"/>
      <c r="AS249" s="27"/>
      <c r="AT249" s="28"/>
      <c r="AU249" s="27"/>
      <c r="AV249" s="27"/>
      <c r="AW249" s="27"/>
      <c r="AX249" s="27"/>
      <c r="AY249" s="28"/>
      <c r="AZ249" s="28"/>
      <c r="BA249" s="28"/>
      <c r="BB249" s="26"/>
      <c r="BC249" s="27"/>
      <c r="BD249" s="93"/>
      <c r="BE249" s="28"/>
      <c r="BF249" s="28"/>
    </row>
    <row r="250" spans="1:58" ht="20.25" customHeight="1">
      <c r="A250" s="27"/>
      <c r="B250" s="27"/>
      <c r="C250" s="137"/>
      <c r="D250" s="27"/>
      <c r="E250" s="27"/>
      <c r="F250" s="206"/>
      <c r="G250" s="27"/>
      <c r="H250" s="27"/>
      <c r="I250" s="29" t="str">
        <f t="shared" si="28"/>
        <v/>
      </c>
      <c r="J250" s="29"/>
      <c r="K250" s="27"/>
      <c r="L250" s="27"/>
      <c r="M250" s="27"/>
      <c r="N250" s="27"/>
      <c r="O250" s="27"/>
      <c r="P250" s="27"/>
      <c r="Q250" s="28"/>
      <c r="R250" s="28"/>
      <c r="S250" s="28"/>
      <c r="T250" s="27"/>
      <c r="U250" s="28"/>
      <c r="V250" s="28"/>
      <c r="W250" s="28"/>
      <c r="X250" s="28"/>
      <c r="Y250" s="28"/>
      <c r="Z250" s="28"/>
      <c r="AA250" s="28"/>
      <c r="AB250" s="27"/>
      <c r="AC250" s="27"/>
      <c r="AD250" s="28"/>
      <c r="AE250" s="28"/>
      <c r="AF250" s="27"/>
      <c r="AG250" s="27"/>
      <c r="AH250" s="27"/>
      <c r="AI250" s="27"/>
      <c r="AJ250" s="27"/>
      <c r="AK250" s="27"/>
      <c r="AL250" s="27"/>
      <c r="AM250" s="27"/>
      <c r="AN250" s="27"/>
      <c r="AO250" s="27"/>
      <c r="AP250" s="27"/>
      <c r="AQ250" s="28"/>
      <c r="AR250" s="28"/>
      <c r="AS250" s="27"/>
      <c r="AT250" s="28"/>
      <c r="AU250" s="27"/>
      <c r="AV250" s="27"/>
      <c r="AW250" s="27"/>
      <c r="AX250" s="27"/>
      <c r="AY250" s="28"/>
      <c r="AZ250" s="28"/>
      <c r="BA250" s="28"/>
      <c r="BB250" s="26"/>
      <c r="BC250" s="27"/>
      <c r="BD250" s="93"/>
      <c r="BE250" s="28"/>
      <c r="BF250" s="28"/>
    </row>
    <row r="251" spans="1:58" ht="20.25" customHeight="1">
      <c r="A251" s="27"/>
      <c r="B251" s="27"/>
      <c r="C251" s="137"/>
      <c r="D251" s="27"/>
      <c r="E251" s="27"/>
      <c r="F251" s="206"/>
      <c r="G251" s="27"/>
      <c r="H251" s="27"/>
      <c r="I251" s="29" t="str">
        <f t="shared" si="28"/>
        <v/>
      </c>
      <c r="J251" s="29"/>
      <c r="K251" s="27"/>
      <c r="L251" s="27"/>
      <c r="M251" s="27"/>
      <c r="N251" s="27"/>
      <c r="O251" s="27"/>
      <c r="P251" s="27"/>
      <c r="Q251" s="28"/>
      <c r="R251" s="28"/>
      <c r="S251" s="28"/>
      <c r="T251" s="27"/>
      <c r="U251" s="28"/>
      <c r="V251" s="28"/>
      <c r="W251" s="28"/>
      <c r="X251" s="28"/>
      <c r="Y251" s="28"/>
      <c r="Z251" s="28"/>
      <c r="AA251" s="28"/>
      <c r="AB251" s="27"/>
      <c r="AC251" s="27"/>
      <c r="AD251" s="28"/>
      <c r="AE251" s="28"/>
      <c r="AF251" s="27"/>
      <c r="AG251" s="27"/>
      <c r="AH251" s="27"/>
      <c r="AI251" s="27"/>
      <c r="AJ251" s="27"/>
      <c r="AK251" s="27"/>
      <c r="AL251" s="27"/>
      <c r="AM251" s="27"/>
      <c r="AN251" s="27"/>
      <c r="AO251" s="27"/>
      <c r="AP251" s="27"/>
      <c r="AQ251" s="28"/>
      <c r="AR251" s="28"/>
      <c r="AS251" s="27"/>
      <c r="AT251" s="28"/>
      <c r="AU251" s="27"/>
      <c r="AV251" s="27"/>
      <c r="AW251" s="27"/>
      <c r="AX251" s="27"/>
      <c r="AY251" s="28"/>
      <c r="AZ251" s="28"/>
      <c r="BA251" s="28"/>
      <c r="BB251" s="26"/>
      <c r="BC251" s="27"/>
      <c r="BD251" s="93"/>
      <c r="BE251" s="28"/>
      <c r="BF251" s="28"/>
    </row>
    <row r="252" spans="1:58" ht="20.25" customHeight="1">
      <c r="A252" s="27"/>
      <c r="B252" s="27"/>
      <c r="C252" s="137"/>
      <c r="D252" s="27"/>
      <c r="E252" s="27"/>
      <c r="F252" s="206"/>
      <c r="G252" s="27"/>
      <c r="H252" s="27"/>
      <c r="I252" s="29" t="str">
        <f t="shared" si="28"/>
        <v/>
      </c>
      <c r="J252" s="29"/>
      <c r="K252" s="27"/>
      <c r="L252" s="27"/>
      <c r="M252" s="27"/>
      <c r="N252" s="27"/>
      <c r="O252" s="27"/>
      <c r="P252" s="27"/>
      <c r="Q252" s="28"/>
      <c r="R252" s="28"/>
      <c r="S252" s="28"/>
      <c r="T252" s="27"/>
      <c r="U252" s="28"/>
      <c r="V252" s="28"/>
      <c r="W252" s="28"/>
      <c r="X252" s="28"/>
      <c r="Y252" s="28"/>
      <c r="Z252" s="28"/>
      <c r="AA252" s="28"/>
      <c r="AB252" s="27"/>
      <c r="AC252" s="27"/>
      <c r="AD252" s="28"/>
      <c r="AE252" s="28"/>
      <c r="AF252" s="27"/>
      <c r="AG252" s="27"/>
      <c r="AH252" s="27"/>
      <c r="AI252" s="27"/>
      <c r="AJ252" s="27"/>
      <c r="AK252" s="27"/>
      <c r="AL252" s="27"/>
      <c r="AM252" s="27"/>
      <c r="AN252" s="27"/>
      <c r="AO252" s="27"/>
      <c r="AP252" s="27"/>
      <c r="AQ252" s="28"/>
      <c r="AR252" s="28"/>
      <c r="AS252" s="27"/>
      <c r="AT252" s="28"/>
      <c r="AU252" s="27"/>
      <c r="AV252" s="27"/>
      <c r="AW252" s="27"/>
      <c r="AX252" s="27"/>
      <c r="AY252" s="28"/>
      <c r="AZ252" s="28"/>
      <c r="BA252" s="28"/>
      <c r="BB252" s="26"/>
      <c r="BC252" s="27"/>
      <c r="BD252" s="93"/>
      <c r="BE252" s="28"/>
      <c r="BF252" s="28"/>
    </row>
    <row r="253" spans="1:58" ht="20.25" customHeight="1">
      <c r="A253" s="27"/>
      <c r="B253" s="27"/>
      <c r="C253" s="137"/>
      <c r="D253" s="27"/>
      <c r="E253" s="27"/>
      <c r="F253" s="206"/>
      <c r="G253" s="27"/>
      <c r="H253" s="27"/>
      <c r="I253" s="29" t="str">
        <f t="shared" si="28"/>
        <v/>
      </c>
      <c r="J253" s="29"/>
      <c r="K253" s="27"/>
      <c r="L253" s="27"/>
      <c r="M253" s="27"/>
      <c r="N253" s="27"/>
      <c r="O253" s="27"/>
      <c r="P253" s="27"/>
      <c r="Q253" s="28"/>
      <c r="R253" s="28"/>
      <c r="S253" s="28"/>
      <c r="T253" s="27"/>
      <c r="U253" s="28"/>
      <c r="V253" s="28"/>
      <c r="W253" s="28"/>
      <c r="X253" s="28"/>
      <c r="Y253" s="28"/>
      <c r="Z253" s="28"/>
      <c r="AA253" s="28"/>
      <c r="AB253" s="27"/>
      <c r="AC253" s="27"/>
      <c r="AD253" s="28"/>
      <c r="AE253" s="28"/>
      <c r="AF253" s="27"/>
      <c r="AG253" s="27"/>
      <c r="AH253" s="27"/>
      <c r="AI253" s="27"/>
      <c r="AJ253" s="27"/>
      <c r="AK253" s="27"/>
      <c r="AL253" s="27"/>
      <c r="AM253" s="27"/>
      <c r="AN253" s="27"/>
      <c r="AO253" s="27"/>
      <c r="AP253" s="27"/>
      <c r="AQ253" s="28"/>
      <c r="AR253" s="28"/>
      <c r="AS253" s="27"/>
      <c r="AT253" s="28"/>
      <c r="AU253" s="27"/>
      <c r="AV253" s="27"/>
      <c r="AW253" s="27"/>
      <c r="AX253" s="27"/>
      <c r="AY253" s="28"/>
      <c r="AZ253" s="28"/>
      <c r="BA253" s="28"/>
      <c r="BB253" s="26"/>
      <c r="BC253" s="27"/>
      <c r="BD253" s="93"/>
      <c r="BE253" s="28"/>
      <c r="BF253" s="28"/>
    </row>
    <row r="254" spans="1:58" ht="20.25" customHeight="1">
      <c r="A254" s="27"/>
      <c r="B254" s="27"/>
      <c r="C254" s="137"/>
      <c r="D254" s="27"/>
      <c r="E254" s="27"/>
      <c r="F254" s="206"/>
      <c r="G254" s="27"/>
      <c r="H254" s="27"/>
      <c r="I254" s="29" t="str">
        <f t="shared" si="28"/>
        <v/>
      </c>
      <c r="J254" s="29"/>
      <c r="K254" s="27"/>
      <c r="L254" s="27"/>
      <c r="M254" s="27"/>
      <c r="N254" s="27"/>
      <c r="O254" s="27"/>
      <c r="P254" s="27"/>
      <c r="Q254" s="28"/>
      <c r="R254" s="28"/>
      <c r="S254" s="28"/>
      <c r="T254" s="27"/>
      <c r="U254" s="28"/>
      <c r="V254" s="28"/>
      <c r="W254" s="28"/>
      <c r="X254" s="28"/>
      <c r="Y254" s="28"/>
      <c r="Z254" s="28"/>
      <c r="AA254" s="28"/>
      <c r="AB254" s="27"/>
      <c r="AC254" s="27"/>
      <c r="AD254" s="28"/>
      <c r="AE254" s="28"/>
      <c r="AF254" s="27"/>
      <c r="AG254" s="27"/>
      <c r="AH254" s="27"/>
      <c r="AI254" s="27"/>
      <c r="AJ254" s="27"/>
      <c r="AK254" s="27"/>
      <c r="AL254" s="27"/>
      <c r="AM254" s="27"/>
      <c r="AN254" s="27"/>
      <c r="AO254" s="27"/>
      <c r="AP254" s="27"/>
      <c r="AQ254" s="28"/>
      <c r="AR254" s="28"/>
      <c r="AS254" s="27"/>
      <c r="AT254" s="28"/>
      <c r="AU254" s="27"/>
      <c r="AV254" s="27"/>
      <c r="AW254" s="27"/>
      <c r="AX254" s="27"/>
      <c r="AY254" s="28"/>
      <c r="AZ254" s="28"/>
      <c r="BA254" s="28"/>
      <c r="BB254" s="26"/>
      <c r="BC254" s="27"/>
      <c r="BD254" s="93"/>
      <c r="BE254" s="28"/>
      <c r="BF254" s="28"/>
    </row>
    <row r="255" spans="1:58" ht="20.25" customHeight="1">
      <c r="A255" s="27"/>
      <c r="B255" s="27"/>
      <c r="C255" s="137"/>
      <c r="D255" s="27"/>
      <c r="E255" s="27"/>
      <c r="F255" s="206"/>
      <c r="G255" s="27"/>
      <c r="H255" s="27"/>
      <c r="I255" s="29" t="str">
        <f t="shared" si="28"/>
        <v/>
      </c>
      <c r="J255" s="29"/>
      <c r="K255" s="27"/>
      <c r="L255" s="27"/>
      <c r="M255" s="27"/>
      <c r="N255" s="27"/>
      <c r="O255" s="27"/>
      <c r="P255" s="27"/>
      <c r="Q255" s="28"/>
      <c r="R255" s="28"/>
      <c r="S255" s="28"/>
      <c r="T255" s="27"/>
      <c r="U255" s="28"/>
      <c r="V255" s="28"/>
      <c r="W255" s="28"/>
      <c r="X255" s="28"/>
      <c r="Y255" s="28"/>
      <c r="Z255" s="28"/>
      <c r="AA255" s="28"/>
      <c r="AB255" s="27"/>
      <c r="AC255" s="27"/>
      <c r="AD255" s="28"/>
      <c r="AE255" s="28"/>
      <c r="AF255" s="27"/>
      <c r="AG255" s="27"/>
      <c r="AH255" s="27"/>
      <c r="AI255" s="27"/>
      <c r="AJ255" s="27"/>
      <c r="AK255" s="27"/>
      <c r="AL255" s="27"/>
      <c r="AM255" s="27"/>
      <c r="AN255" s="27"/>
      <c r="AO255" s="27"/>
      <c r="AP255" s="27"/>
      <c r="AQ255" s="28"/>
      <c r="AR255" s="28"/>
      <c r="AS255" s="27"/>
      <c r="AT255" s="28"/>
      <c r="AU255" s="27"/>
      <c r="AV255" s="27"/>
      <c r="AW255" s="27"/>
      <c r="AX255" s="27"/>
      <c r="AY255" s="28"/>
      <c r="AZ255" s="28"/>
      <c r="BA255" s="28"/>
      <c r="BB255" s="26"/>
      <c r="BC255" s="27"/>
      <c r="BD255" s="93"/>
      <c r="BE255" s="28"/>
      <c r="BF255" s="28"/>
    </row>
    <row r="256" spans="1:58" ht="20.25" customHeight="1">
      <c r="A256" s="27"/>
      <c r="B256" s="27"/>
      <c r="C256" s="137"/>
      <c r="D256" s="27"/>
      <c r="E256" s="27"/>
      <c r="F256" s="206"/>
      <c r="G256" s="27"/>
      <c r="H256" s="27"/>
      <c r="I256" s="29" t="str">
        <f t="shared" si="28"/>
        <v/>
      </c>
      <c r="J256" s="29"/>
      <c r="K256" s="27"/>
      <c r="L256" s="27"/>
      <c r="M256" s="27"/>
      <c r="N256" s="27"/>
      <c r="O256" s="27"/>
      <c r="P256" s="27"/>
      <c r="Q256" s="28"/>
      <c r="R256" s="28"/>
      <c r="S256" s="28"/>
      <c r="T256" s="27"/>
      <c r="U256" s="28"/>
      <c r="V256" s="28"/>
      <c r="W256" s="28"/>
      <c r="X256" s="28"/>
      <c r="Y256" s="28"/>
      <c r="Z256" s="28"/>
      <c r="AA256" s="28"/>
      <c r="AB256" s="27"/>
      <c r="AC256" s="27"/>
      <c r="AD256" s="28"/>
      <c r="AE256" s="28"/>
      <c r="AF256" s="27"/>
      <c r="AG256" s="27"/>
      <c r="AH256" s="27"/>
      <c r="AI256" s="27"/>
      <c r="AJ256" s="27"/>
      <c r="AK256" s="27"/>
      <c r="AL256" s="27"/>
      <c r="AM256" s="27"/>
      <c r="AN256" s="27"/>
      <c r="AO256" s="27"/>
      <c r="AP256" s="27"/>
      <c r="AQ256" s="28"/>
      <c r="AR256" s="28"/>
      <c r="AS256" s="27"/>
      <c r="AT256" s="28"/>
      <c r="AU256" s="27"/>
      <c r="AV256" s="27"/>
      <c r="AW256" s="27"/>
      <c r="AX256" s="27"/>
      <c r="AY256" s="28"/>
      <c r="AZ256" s="28"/>
      <c r="BA256" s="28"/>
      <c r="BB256" s="26"/>
      <c r="BC256" s="27"/>
      <c r="BD256" s="93"/>
      <c r="BE256" s="28"/>
      <c r="BF256" s="28"/>
    </row>
    <row r="257" spans="1:58" ht="20.25" customHeight="1">
      <c r="A257" s="27"/>
      <c r="B257" s="27"/>
      <c r="C257" s="137"/>
      <c r="D257" s="27"/>
      <c r="E257" s="27"/>
      <c r="F257" s="206"/>
      <c r="G257" s="27"/>
      <c r="H257" s="27"/>
      <c r="I257" s="29" t="str">
        <f t="shared" si="28"/>
        <v/>
      </c>
      <c r="J257" s="29"/>
      <c r="K257" s="27"/>
      <c r="L257" s="27"/>
      <c r="M257" s="27"/>
      <c r="N257" s="27"/>
      <c r="O257" s="27"/>
      <c r="P257" s="27"/>
      <c r="Q257" s="28"/>
      <c r="R257" s="28"/>
      <c r="S257" s="28"/>
      <c r="T257" s="27"/>
      <c r="U257" s="28"/>
      <c r="V257" s="28"/>
      <c r="W257" s="28"/>
      <c r="X257" s="28"/>
      <c r="Y257" s="28"/>
      <c r="Z257" s="28"/>
      <c r="AA257" s="28"/>
      <c r="AB257" s="27"/>
      <c r="AC257" s="27"/>
      <c r="AD257" s="28"/>
      <c r="AE257" s="28"/>
      <c r="AF257" s="27"/>
      <c r="AG257" s="27"/>
      <c r="AH257" s="27"/>
      <c r="AI257" s="27"/>
      <c r="AJ257" s="27"/>
      <c r="AK257" s="27"/>
      <c r="AL257" s="27"/>
      <c r="AM257" s="27"/>
      <c r="AN257" s="27"/>
      <c r="AO257" s="27"/>
      <c r="AP257" s="27"/>
      <c r="AQ257" s="28"/>
      <c r="AR257" s="28"/>
      <c r="AS257" s="27"/>
      <c r="AT257" s="28"/>
      <c r="AU257" s="27"/>
      <c r="AV257" s="27"/>
      <c r="AW257" s="27"/>
      <c r="AX257" s="27"/>
      <c r="AY257" s="28"/>
      <c r="AZ257" s="28"/>
      <c r="BA257" s="28"/>
      <c r="BB257" s="26"/>
      <c r="BC257" s="27"/>
      <c r="BD257" s="93"/>
      <c r="BE257" s="28"/>
      <c r="BF257" s="28"/>
    </row>
    <row r="258" spans="1:58" ht="20.25" customHeight="1">
      <c r="A258" s="27"/>
      <c r="B258" s="27"/>
      <c r="C258" s="137"/>
      <c r="D258" s="27"/>
      <c r="E258" s="27"/>
      <c r="F258" s="206"/>
      <c r="G258" s="27"/>
      <c r="H258" s="27"/>
      <c r="I258" s="29" t="str">
        <f t="shared" ref="I258:I321" si="43">IF(ISBLANK(H258), "", TEXT(H258, "mmm-yy"))</f>
        <v/>
      </c>
      <c r="J258" s="29"/>
      <c r="K258" s="27"/>
      <c r="L258" s="27"/>
      <c r="M258" s="27"/>
      <c r="N258" s="27"/>
      <c r="O258" s="27"/>
      <c r="P258" s="27"/>
      <c r="Q258" s="28"/>
      <c r="R258" s="28"/>
      <c r="S258" s="28"/>
      <c r="T258" s="27"/>
      <c r="U258" s="28"/>
      <c r="V258" s="28"/>
      <c r="W258" s="28"/>
      <c r="X258" s="28"/>
      <c r="Y258" s="28"/>
      <c r="Z258" s="28"/>
      <c r="AA258" s="28"/>
      <c r="AB258" s="27"/>
      <c r="AC258" s="27"/>
      <c r="AD258" s="28"/>
      <c r="AE258" s="28"/>
      <c r="AF258" s="27"/>
      <c r="AG258" s="27"/>
      <c r="AH258" s="27"/>
      <c r="AI258" s="27"/>
      <c r="AJ258" s="27"/>
      <c r="AK258" s="27"/>
      <c r="AL258" s="27"/>
      <c r="AM258" s="27"/>
      <c r="AN258" s="27"/>
      <c r="AO258" s="27"/>
      <c r="AP258" s="27"/>
      <c r="AQ258" s="28"/>
      <c r="AR258" s="28"/>
      <c r="AS258" s="27"/>
      <c r="AT258" s="28"/>
      <c r="AU258" s="27"/>
      <c r="AV258" s="27"/>
      <c r="AW258" s="27"/>
      <c r="AX258" s="27"/>
      <c r="AY258" s="28"/>
      <c r="AZ258" s="28"/>
      <c r="BA258" s="28"/>
      <c r="BB258" s="26"/>
      <c r="BC258" s="27"/>
      <c r="BD258" s="93"/>
      <c r="BE258" s="28"/>
      <c r="BF258" s="28"/>
    </row>
    <row r="259" spans="1:58" ht="20.25" customHeight="1">
      <c r="A259" s="27"/>
      <c r="B259" s="27"/>
      <c r="C259" s="137"/>
      <c r="D259" s="27"/>
      <c r="E259" s="27"/>
      <c r="F259" s="206"/>
      <c r="G259" s="27"/>
      <c r="H259" s="27"/>
      <c r="I259" s="29" t="str">
        <f t="shared" si="43"/>
        <v/>
      </c>
      <c r="J259" s="29"/>
      <c r="K259" s="27"/>
      <c r="L259" s="27"/>
      <c r="M259" s="27"/>
      <c r="N259" s="27"/>
      <c r="O259" s="27"/>
      <c r="P259" s="27"/>
      <c r="Q259" s="28"/>
      <c r="R259" s="28"/>
      <c r="S259" s="28"/>
      <c r="T259" s="27"/>
      <c r="U259" s="28"/>
      <c r="V259" s="28"/>
      <c r="W259" s="28"/>
      <c r="X259" s="28"/>
      <c r="Y259" s="28"/>
      <c r="Z259" s="28"/>
      <c r="AA259" s="28"/>
      <c r="AB259" s="27"/>
      <c r="AC259" s="27"/>
      <c r="AD259" s="28"/>
      <c r="AE259" s="28"/>
      <c r="AF259" s="27"/>
      <c r="AG259" s="27"/>
      <c r="AH259" s="27"/>
      <c r="AI259" s="27"/>
      <c r="AJ259" s="27"/>
      <c r="AK259" s="27"/>
      <c r="AL259" s="27"/>
      <c r="AM259" s="27"/>
      <c r="AN259" s="27"/>
      <c r="AO259" s="27"/>
      <c r="AP259" s="27"/>
      <c r="AQ259" s="28"/>
      <c r="AR259" s="28"/>
      <c r="AS259" s="27"/>
      <c r="AT259" s="28"/>
      <c r="AU259" s="27"/>
      <c r="AV259" s="27"/>
      <c r="AW259" s="27"/>
      <c r="AX259" s="27"/>
      <c r="AY259" s="28"/>
      <c r="AZ259" s="28"/>
      <c r="BA259" s="28"/>
      <c r="BB259" s="26"/>
      <c r="BC259" s="27"/>
      <c r="BD259" s="93"/>
      <c r="BE259" s="28"/>
      <c r="BF259" s="28"/>
    </row>
    <row r="260" spans="1:58" ht="20.25" customHeight="1">
      <c r="A260" s="27"/>
      <c r="B260" s="27"/>
      <c r="C260" s="137"/>
      <c r="D260" s="27"/>
      <c r="E260" s="27"/>
      <c r="F260" s="206"/>
      <c r="G260" s="27"/>
      <c r="H260" s="27"/>
      <c r="I260" s="29" t="str">
        <f t="shared" si="43"/>
        <v/>
      </c>
      <c r="J260" s="29"/>
      <c r="K260" s="27"/>
      <c r="L260" s="27"/>
      <c r="M260" s="27"/>
      <c r="N260" s="27"/>
      <c r="O260" s="27"/>
      <c r="P260" s="27"/>
      <c r="Q260" s="28"/>
      <c r="R260" s="28"/>
      <c r="S260" s="28"/>
      <c r="T260" s="27"/>
      <c r="U260" s="28"/>
      <c r="V260" s="28"/>
      <c r="W260" s="28"/>
      <c r="X260" s="28"/>
      <c r="Y260" s="28"/>
      <c r="Z260" s="28"/>
      <c r="AA260" s="28"/>
      <c r="AB260" s="27"/>
      <c r="AC260" s="27"/>
      <c r="AD260" s="28"/>
      <c r="AE260" s="28"/>
      <c r="AF260" s="27"/>
      <c r="AG260" s="27"/>
      <c r="AH260" s="27"/>
      <c r="AI260" s="27"/>
      <c r="AJ260" s="27"/>
      <c r="AK260" s="27"/>
      <c r="AL260" s="27"/>
      <c r="AM260" s="27"/>
      <c r="AN260" s="27"/>
      <c r="AO260" s="27"/>
      <c r="AP260" s="27"/>
      <c r="AQ260" s="28"/>
      <c r="AR260" s="28"/>
      <c r="AS260" s="27"/>
      <c r="AT260" s="28"/>
      <c r="AU260" s="27"/>
      <c r="AV260" s="27"/>
      <c r="AW260" s="27"/>
      <c r="AX260" s="27"/>
      <c r="AY260" s="28"/>
      <c r="AZ260" s="28"/>
      <c r="BA260" s="28"/>
      <c r="BB260" s="26"/>
      <c r="BC260" s="27"/>
      <c r="BD260" s="93"/>
      <c r="BE260" s="28"/>
      <c r="BF260" s="28"/>
    </row>
    <row r="261" spans="1:58" ht="20.25" customHeight="1">
      <c r="A261" s="27"/>
      <c r="B261" s="27"/>
      <c r="C261" s="137"/>
      <c r="D261" s="27"/>
      <c r="E261" s="27"/>
      <c r="F261" s="206"/>
      <c r="G261" s="27"/>
      <c r="H261" s="27"/>
      <c r="I261" s="29" t="str">
        <f t="shared" si="43"/>
        <v/>
      </c>
      <c r="J261" s="29"/>
      <c r="K261" s="27"/>
      <c r="L261" s="27"/>
      <c r="M261" s="27"/>
      <c r="N261" s="27"/>
      <c r="O261" s="27"/>
      <c r="P261" s="27"/>
      <c r="Q261" s="28"/>
      <c r="R261" s="28"/>
      <c r="S261" s="28"/>
      <c r="T261" s="27"/>
      <c r="U261" s="28"/>
      <c r="V261" s="28"/>
      <c r="W261" s="28"/>
      <c r="X261" s="28"/>
      <c r="Y261" s="28"/>
      <c r="Z261" s="28"/>
      <c r="AA261" s="28"/>
      <c r="AB261" s="27"/>
      <c r="AC261" s="27"/>
      <c r="AD261" s="28"/>
      <c r="AE261" s="28"/>
      <c r="AF261" s="27"/>
      <c r="AG261" s="27"/>
      <c r="AH261" s="27"/>
      <c r="AI261" s="27"/>
      <c r="AJ261" s="27"/>
      <c r="AK261" s="27"/>
      <c r="AL261" s="27"/>
      <c r="AM261" s="27"/>
      <c r="AN261" s="27"/>
      <c r="AO261" s="27"/>
      <c r="AP261" s="27"/>
      <c r="AQ261" s="28"/>
      <c r="AR261" s="28"/>
      <c r="AS261" s="27"/>
      <c r="AT261" s="28"/>
      <c r="AU261" s="27"/>
      <c r="AV261" s="27"/>
      <c r="AW261" s="27"/>
      <c r="AX261" s="27"/>
      <c r="AY261" s="28"/>
      <c r="AZ261" s="28"/>
      <c r="BA261" s="28"/>
      <c r="BB261" s="26"/>
      <c r="BC261" s="27"/>
      <c r="BD261" s="93"/>
      <c r="BE261" s="28"/>
      <c r="BF261" s="28"/>
    </row>
    <row r="262" spans="1:58" ht="20.25" customHeight="1">
      <c r="A262" s="27"/>
      <c r="B262" s="27"/>
      <c r="C262" s="137"/>
      <c r="D262" s="27"/>
      <c r="E262" s="27"/>
      <c r="F262" s="206"/>
      <c r="G262" s="27"/>
      <c r="H262" s="27"/>
      <c r="I262" s="29" t="str">
        <f t="shared" si="43"/>
        <v/>
      </c>
      <c r="J262" s="29"/>
      <c r="K262" s="27"/>
      <c r="L262" s="27"/>
      <c r="M262" s="27"/>
      <c r="N262" s="27"/>
      <c r="O262" s="27"/>
      <c r="P262" s="27"/>
      <c r="Q262" s="28"/>
      <c r="R262" s="28"/>
      <c r="S262" s="28"/>
      <c r="T262" s="27"/>
      <c r="U262" s="28"/>
      <c r="V262" s="28"/>
      <c r="W262" s="28"/>
      <c r="X262" s="28"/>
      <c r="Y262" s="28"/>
      <c r="Z262" s="28"/>
      <c r="AA262" s="28"/>
      <c r="AB262" s="27"/>
      <c r="AC262" s="27"/>
      <c r="AD262" s="28"/>
      <c r="AE262" s="28"/>
      <c r="AF262" s="27"/>
      <c r="AG262" s="27"/>
      <c r="AH262" s="27"/>
      <c r="AI262" s="27"/>
      <c r="AJ262" s="27"/>
      <c r="AK262" s="27"/>
      <c r="AL262" s="27"/>
      <c r="AM262" s="27"/>
      <c r="AN262" s="27"/>
      <c r="AO262" s="27"/>
      <c r="AP262" s="27"/>
      <c r="AQ262" s="28"/>
      <c r="AR262" s="28"/>
      <c r="AS262" s="27"/>
      <c r="AT262" s="28"/>
      <c r="AU262" s="27"/>
      <c r="AV262" s="27"/>
      <c r="AW262" s="27"/>
      <c r="AX262" s="27"/>
      <c r="AY262" s="28"/>
      <c r="AZ262" s="28"/>
      <c r="BA262" s="28"/>
      <c r="BB262" s="26"/>
      <c r="BC262" s="27"/>
      <c r="BD262" s="93"/>
      <c r="BE262" s="28"/>
      <c r="BF262" s="28"/>
    </row>
    <row r="263" spans="1:58" ht="20.25" customHeight="1">
      <c r="A263" s="27"/>
      <c r="B263" s="27"/>
      <c r="C263" s="137"/>
      <c r="D263" s="27"/>
      <c r="E263" s="27"/>
      <c r="F263" s="206"/>
      <c r="G263" s="27"/>
      <c r="H263" s="27"/>
      <c r="I263" s="29" t="str">
        <f t="shared" si="43"/>
        <v/>
      </c>
      <c r="J263" s="29"/>
      <c r="K263" s="27"/>
      <c r="L263" s="27"/>
      <c r="M263" s="27"/>
      <c r="N263" s="27"/>
      <c r="O263" s="27"/>
      <c r="P263" s="27"/>
      <c r="Q263" s="28"/>
      <c r="R263" s="28"/>
      <c r="S263" s="28"/>
      <c r="T263" s="27"/>
      <c r="U263" s="28"/>
      <c r="V263" s="28"/>
      <c r="W263" s="28"/>
      <c r="X263" s="28"/>
      <c r="Y263" s="28"/>
      <c r="Z263" s="28"/>
      <c r="AA263" s="28"/>
      <c r="AB263" s="27"/>
      <c r="AC263" s="27"/>
      <c r="AD263" s="28"/>
      <c r="AE263" s="28"/>
      <c r="AF263" s="27"/>
      <c r="AG263" s="27"/>
      <c r="AH263" s="27"/>
      <c r="AI263" s="27"/>
      <c r="AJ263" s="27"/>
      <c r="AK263" s="27"/>
      <c r="AL263" s="27"/>
      <c r="AM263" s="27"/>
      <c r="AN263" s="27"/>
      <c r="AO263" s="27"/>
      <c r="AP263" s="27"/>
      <c r="AQ263" s="28"/>
      <c r="AR263" s="28"/>
      <c r="AS263" s="27"/>
      <c r="AT263" s="28"/>
      <c r="AU263" s="27"/>
      <c r="AV263" s="27"/>
      <c r="AW263" s="27"/>
      <c r="AX263" s="27"/>
      <c r="AY263" s="28"/>
      <c r="AZ263" s="28"/>
      <c r="BA263" s="28"/>
      <c r="BB263" s="26"/>
      <c r="BC263" s="27"/>
      <c r="BD263" s="93"/>
      <c r="BE263" s="28"/>
      <c r="BF263" s="28"/>
    </row>
    <row r="264" spans="1:58" ht="20.25" customHeight="1">
      <c r="A264" s="27"/>
      <c r="B264" s="27"/>
      <c r="C264" s="137"/>
      <c r="D264" s="27"/>
      <c r="E264" s="27"/>
      <c r="F264" s="206"/>
      <c r="G264" s="27"/>
      <c r="H264" s="27"/>
      <c r="I264" s="29" t="str">
        <f t="shared" si="43"/>
        <v/>
      </c>
      <c r="J264" s="29"/>
      <c r="K264" s="27"/>
      <c r="L264" s="27"/>
      <c r="M264" s="27"/>
      <c r="N264" s="27"/>
      <c r="O264" s="27"/>
      <c r="P264" s="27"/>
      <c r="Q264" s="28"/>
      <c r="R264" s="28"/>
      <c r="S264" s="28"/>
      <c r="T264" s="27"/>
      <c r="U264" s="28"/>
      <c r="V264" s="28"/>
      <c r="W264" s="28"/>
      <c r="X264" s="28"/>
      <c r="Y264" s="28"/>
      <c r="Z264" s="28"/>
      <c r="AA264" s="28"/>
      <c r="AB264" s="27"/>
      <c r="AC264" s="27"/>
      <c r="AD264" s="28"/>
      <c r="AE264" s="28"/>
      <c r="AF264" s="27"/>
      <c r="AG264" s="27"/>
      <c r="AH264" s="27"/>
      <c r="AI264" s="27"/>
      <c r="AJ264" s="27"/>
      <c r="AK264" s="27"/>
      <c r="AL264" s="27"/>
      <c r="AM264" s="27"/>
      <c r="AN264" s="27"/>
      <c r="AO264" s="27"/>
      <c r="AP264" s="27"/>
      <c r="AQ264" s="28"/>
      <c r="AR264" s="28"/>
      <c r="AS264" s="27"/>
      <c r="AT264" s="28"/>
      <c r="AU264" s="27"/>
      <c r="AV264" s="27"/>
      <c r="AW264" s="27"/>
      <c r="AX264" s="27"/>
      <c r="AY264" s="28"/>
      <c r="AZ264" s="28"/>
      <c r="BA264" s="28"/>
      <c r="BB264" s="26"/>
      <c r="BC264" s="27"/>
      <c r="BD264" s="93"/>
      <c r="BE264" s="28"/>
      <c r="BF264" s="28"/>
    </row>
    <row r="265" spans="1:58" ht="20.25" customHeight="1">
      <c r="A265" s="27"/>
      <c r="B265" s="27"/>
      <c r="C265" s="137"/>
      <c r="D265" s="27"/>
      <c r="E265" s="27"/>
      <c r="F265" s="206"/>
      <c r="G265" s="27"/>
      <c r="H265" s="27"/>
      <c r="I265" s="29" t="str">
        <f t="shared" si="43"/>
        <v/>
      </c>
      <c r="J265" s="29"/>
      <c r="K265" s="27"/>
      <c r="L265" s="27"/>
      <c r="M265" s="27"/>
      <c r="N265" s="27"/>
      <c r="O265" s="27"/>
      <c r="P265" s="27"/>
      <c r="Q265" s="28"/>
      <c r="R265" s="28"/>
      <c r="S265" s="28"/>
      <c r="T265" s="27"/>
      <c r="U265" s="28"/>
      <c r="V265" s="28"/>
      <c r="W265" s="28"/>
      <c r="X265" s="28"/>
      <c r="Y265" s="28"/>
      <c r="Z265" s="28"/>
      <c r="AA265" s="28"/>
      <c r="AB265" s="27"/>
      <c r="AC265" s="27"/>
      <c r="AD265" s="28"/>
      <c r="AE265" s="28"/>
      <c r="AF265" s="27"/>
      <c r="AG265" s="27"/>
      <c r="AH265" s="27"/>
      <c r="AI265" s="27"/>
      <c r="AJ265" s="27"/>
      <c r="AK265" s="27"/>
      <c r="AL265" s="27"/>
      <c r="AM265" s="27"/>
      <c r="AN265" s="27"/>
      <c r="AO265" s="27"/>
      <c r="AP265" s="27"/>
      <c r="AQ265" s="28"/>
      <c r="AR265" s="28"/>
      <c r="AS265" s="27"/>
      <c r="AT265" s="28"/>
      <c r="AU265" s="27"/>
      <c r="AV265" s="27"/>
      <c r="AW265" s="27"/>
      <c r="AX265" s="27"/>
      <c r="AY265" s="28"/>
      <c r="AZ265" s="28"/>
      <c r="BA265" s="28"/>
      <c r="BB265" s="26"/>
      <c r="BC265" s="27"/>
      <c r="BD265" s="93"/>
      <c r="BE265" s="28"/>
      <c r="BF265" s="28"/>
    </row>
    <row r="266" spans="1:58" ht="20.25" customHeight="1">
      <c r="A266" s="27"/>
      <c r="B266" s="27"/>
      <c r="C266" s="137"/>
      <c r="D266" s="27"/>
      <c r="E266" s="27"/>
      <c r="F266" s="206"/>
      <c r="G266" s="27"/>
      <c r="H266" s="27"/>
      <c r="I266" s="29" t="str">
        <f t="shared" si="43"/>
        <v/>
      </c>
      <c r="J266" s="29"/>
      <c r="K266" s="27"/>
      <c r="L266" s="27"/>
      <c r="M266" s="27"/>
      <c r="N266" s="27"/>
      <c r="O266" s="27"/>
      <c r="P266" s="27"/>
      <c r="Q266" s="28"/>
      <c r="R266" s="28"/>
      <c r="S266" s="28"/>
      <c r="T266" s="27"/>
      <c r="U266" s="28"/>
      <c r="V266" s="28"/>
      <c r="W266" s="28"/>
      <c r="X266" s="28"/>
      <c r="Y266" s="28"/>
      <c r="Z266" s="28"/>
      <c r="AA266" s="28"/>
      <c r="AB266" s="27"/>
      <c r="AC266" s="27"/>
      <c r="AD266" s="28"/>
      <c r="AE266" s="28"/>
      <c r="AF266" s="27"/>
      <c r="AG266" s="27"/>
      <c r="AH266" s="27"/>
      <c r="AI266" s="27"/>
      <c r="AJ266" s="27"/>
      <c r="AK266" s="27"/>
      <c r="AL266" s="27"/>
      <c r="AM266" s="27"/>
      <c r="AN266" s="27"/>
      <c r="AO266" s="27"/>
      <c r="AP266" s="27"/>
      <c r="AQ266" s="28"/>
      <c r="AR266" s="28"/>
      <c r="AS266" s="27"/>
      <c r="AT266" s="28"/>
      <c r="AU266" s="27"/>
      <c r="AV266" s="27"/>
      <c r="AW266" s="27"/>
      <c r="AX266" s="27"/>
      <c r="AY266" s="28"/>
      <c r="AZ266" s="28"/>
      <c r="BA266" s="28"/>
      <c r="BB266" s="26"/>
      <c r="BC266" s="27"/>
      <c r="BD266" s="93"/>
      <c r="BE266" s="28"/>
      <c r="BF266" s="28"/>
    </row>
    <row r="267" spans="1:58" ht="20.25" customHeight="1">
      <c r="A267" s="27"/>
      <c r="B267" s="27"/>
      <c r="C267" s="137"/>
      <c r="D267" s="27"/>
      <c r="E267" s="27"/>
      <c r="F267" s="206"/>
      <c r="G267" s="27"/>
      <c r="H267" s="27"/>
      <c r="I267" s="29" t="str">
        <f t="shared" si="43"/>
        <v/>
      </c>
      <c r="J267" s="29"/>
      <c r="K267" s="27"/>
      <c r="L267" s="27"/>
      <c r="M267" s="27"/>
      <c r="N267" s="27"/>
      <c r="O267" s="27"/>
      <c r="P267" s="27"/>
      <c r="Q267" s="28"/>
      <c r="R267" s="28"/>
      <c r="S267" s="28"/>
      <c r="T267" s="27"/>
      <c r="U267" s="28"/>
      <c r="V267" s="28"/>
      <c r="W267" s="28"/>
      <c r="X267" s="28"/>
      <c r="Y267" s="28"/>
      <c r="Z267" s="28"/>
      <c r="AA267" s="28"/>
      <c r="AB267" s="27"/>
      <c r="AC267" s="27"/>
      <c r="AD267" s="28"/>
      <c r="AE267" s="28"/>
      <c r="AF267" s="27"/>
      <c r="AG267" s="27"/>
      <c r="AH267" s="27"/>
      <c r="AI267" s="27"/>
      <c r="AJ267" s="27"/>
      <c r="AK267" s="27"/>
      <c r="AL267" s="27"/>
      <c r="AM267" s="27"/>
      <c r="AN267" s="27"/>
      <c r="AO267" s="27"/>
      <c r="AP267" s="27"/>
      <c r="AQ267" s="28"/>
      <c r="AR267" s="28"/>
      <c r="AS267" s="27"/>
      <c r="AT267" s="28"/>
      <c r="AU267" s="27"/>
      <c r="AV267" s="27"/>
      <c r="AW267" s="27"/>
      <c r="AX267" s="27"/>
      <c r="AY267" s="28"/>
      <c r="AZ267" s="28"/>
      <c r="BA267" s="28"/>
      <c r="BB267" s="26"/>
      <c r="BC267" s="27"/>
      <c r="BD267" s="93"/>
      <c r="BE267" s="28"/>
      <c r="BF267" s="28"/>
    </row>
    <row r="268" spans="1:58" ht="20.25" customHeight="1">
      <c r="A268" s="27"/>
      <c r="B268" s="27"/>
      <c r="C268" s="137"/>
      <c r="D268" s="27"/>
      <c r="E268" s="27"/>
      <c r="F268" s="206"/>
      <c r="G268" s="27"/>
      <c r="H268" s="27"/>
      <c r="I268" s="29" t="str">
        <f t="shared" si="43"/>
        <v/>
      </c>
      <c r="J268" s="29"/>
      <c r="K268" s="27"/>
      <c r="L268" s="27"/>
      <c r="M268" s="27"/>
      <c r="N268" s="27"/>
      <c r="O268" s="27"/>
      <c r="P268" s="27"/>
      <c r="Q268" s="28"/>
      <c r="R268" s="28"/>
      <c r="S268" s="28"/>
      <c r="T268" s="27"/>
      <c r="U268" s="28"/>
      <c r="V268" s="28"/>
      <c r="W268" s="28"/>
      <c r="X268" s="28"/>
      <c r="Y268" s="28"/>
      <c r="Z268" s="28"/>
      <c r="AA268" s="28"/>
      <c r="AB268" s="27"/>
      <c r="AC268" s="27"/>
      <c r="AD268" s="28"/>
      <c r="AE268" s="28"/>
      <c r="AF268" s="27"/>
      <c r="AG268" s="27"/>
      <c r="AH268" s="27"/>
      <c r="AI268" s="27"/>
      <c r="AJ268" s="27"/>
      <c r="AK268" s="27"/>
      <c r="AL268" s="27"/>
      <c r="AM268" s="27"/>
      <c r="AN268" s="27"/>
      <c r="AO268" s="27"/>
      <c r="AP268" s="27"/>
      <c r="AQ268" s="28"/>
      <c r="AR268" s="28"/>
      <c r="AS268" s="27"/>
      <c r="AT268" s="28"/>
      <c r="AU268" s="27"/>
      <c r="AV268" s="27"/>
      <c r="AW268" s="27"/>
      <c r="AX268" s="27"/>
      <c r="AY268" s="28"/>
      <c r="AZ268" s="28"/>
      <c r="BA268" s="28"/>
      <c r="BB268" s="26"/>
      <c r="BC268" s="27"/>
      <c r="BD268" s="93"/>
      <c r="BE268" s="28"/>
      <c r="BF268" s="28"/>
    </row>
    <row r="269" spans="1:58" ht="20.25" customHeight="1">
      <c r="A269" s="27"/>
      <c r="B269" s="27"/>
      <c r="C269" s="137"/>
      <c r="D269" s="27"/>
      <c r="E269" s="27"/>
      <c r="F269" s="206"/>
      <c r="G269" s="27"/>
      <c r="H269" s="27"/>
      <c r="I269" s="29" t="str">
        <f t="shared" si="43"/>
        <v/>
      </c>
      <c r="J269" s="29"/>
      <c r="K269" s="27"/>
      <c r="L269" s="27"/>
      <c r="M269" s="27"/>
      <c r="N269" s="27"/>
      <c r="O269" s="27"/>
      <c r="P269" s="27"/>
      <c r="Q269" s="28"/>
      <c r="R269" s="28"/>
      <c r="S269" s="28"/>
      <c r="T269" s="27"/>
      <c r="U269" s="28"/>
      <c r="V269" s="28"/>
      <c r="W269" s="28"/>
      <c r="X269" s="28"/>
      <c r="Y269" s="28"/>
      <c r="Z269" s="28"/>
      <c r="AA269" s="28"/>
      <c r="AB269" s="27"/>
      <c r="AC269" s="27"/>
      <c r="AD269" s="28"/>
      <c r="AE269" s="28"/>
      <c r="AF269" s="27"/>
      <c r="AG269" s="27"/>
      <c r="AH269" s="27"/>
      <c r="AI269" s="27"/>
      <c r="AJ269" s="27"/>
      <c r="AK269" s="27"/>
      <c r="AL269" s="27"/>
      <c r="AM269" s="27"/>
      <c r="AN269" s="27"/>
      <c r="AO269" s="27"/>
      <c r="AP269" s="27"/>
      <c r="AQ269" s="28"/>
      <c r="AR269" s="28"/>
      <c r="AS269" s="27"/>
      <c r="AT269" s="28"/>
      <c r="AU269" s="27"/>
      <c r="AV269" s="27"/>
      <c r="AW269" s="27"/>
      <c r="AX269" s="27"/>
      <c r="AY269" s="28"/>
      <c r="AZ269" s="28"/>
      <c r="BA269" s="28"/>
      <c r="BB269" s="26"/>
      <c r="BC269" s="27"/>
      <c r="BD269" s="93"/>
      <c r="BE269" s="28"/>
      <c r="BF269" s="28"/>
    </row>
    <row r="270" spans="1:58" ht="20.25" customHeight="1">
      <c r="A270" s="27"/>
      <c r="B270" s="27"/>
      <c r="C270" s="137"/>
      <c r="D270" s="27"/>
      <c r="E270" s="27"/>
      <c r="F270" s="206"/>
      <c r="G270" s="27"/>
      <c r="H270" s="27"/>
      <c r="I270" s="29" t="str">
        <f t="shared" si="43"/>
        <v/>
      </c>
      <c r="J270" s="29"/>
      <c r="K270" s="27"/>
      <c r="L270" s="27"/>
      <c r="M270" s="27"/>
      <c r="N270" s="27"/>
      <c r="O270" s="27"/>
      <c r="P270" s="27"/>
      <c r="Q270" s="28"/>
      <c r="R270" s="28"/>
      <c r="S270" s="28"/>
      <c r="T270" s="27"/>
      <c r="U270" s="28"/>
      <c r="V270" s="28"/>
      <c r="W270" s="28"/>
      <c r="X270" s="28"/>
      <c r="Y270" s="28"/>
      <c r="Z270" s="28"/>
      <c r="AA270" s="28"/>
      <c r="AB270" s="27"/>
      <c r="AC270" s="27"/>
      <c r="AD270" s="28"/>
      <c r="AE270" s="28"/>
      <c r="AF270" s="27"/>
      <c r="AG270" s="27"/>
      <c r="AH270" s="27"/>
      <c r="AI270" s="27"/>
      <c r="AJ270" s="27"/>
      <c r="AK270" s="27"/>
      <c r="AL270" s="27"/>
      <c r="AM270" s="27"/>
      <c r="AN270" s="27"/>
      <c r="AO270" s="27"/>
      <c r="AP270" s="27"/>
      <c r="AQ270" s="28"/>
      <c r="AR270" s="28"/>
      <c r="AS270" s="27"/>
      <c r="AT270" s="28"/>
      <c r="AU270" s="27"/>
      <c r="AV270" s="27"/>
      <c r="AW270" s="27"/>
      <c r="AX270" s="27"/>
      <c r="AY270" s="28"/>
      <c r="AZ270" s="28"/>
      <c r="BA270" s="28"/>
      <c r="BB270" s="26"/>
      <c r="BC270" s="27"/>
      <c r="BD270" s="93"/>
      <c r="BE270" s="28"/>
      <c r="BF270" s="28"/>
    </row>
    <row r="271" spans="1:58" ht="20.25" customHeight="1">
      <c r="A271" s="27"/>
      <c r="B271" s="27"/>
      <c r="C271" s="137"/>
      <c r="D271" s="27"/>
      <c r="E271" s="27"/>
      <c r="F271" s="206"/>
      <c r="G271" s="27"/>
      <c r="H271" s="27"/>
      <c r="I271" s="29" t="str">
        <f t="shared" si="43"/>
        <v/>
      </c>
      <c r="J271" s="29"/>
      <c r="K271" s="27"/>
      <c r="L271" s="27"/>
      <c r="M271" s="27"/>
      <c r="N271" s="27"/>
      <c r="O271" s="27"/>
      <c r="P271" s="27"/>
      <c r="Q271" s="28"/>
      <c r="R271" s="28"/>
      <c r="S271" s="28"/>
      <c r="T271" s="27"/>
      <c r="U271" s="28"/>
      <c r="V271" s="28"/>
      <c r="W271" s="28"/>
      <c r="X271" s="28"/>
      <c r="Y271" s="28"/>
      <c r="Z271" s="28"/>
      <c r="AA271" s="28"/>
      <c r="AB271" s="27"/>
      <c r="AC271" s="27"/>
      <c r="AD271" s="28"/>
      <c r="AE271" s="28"/>
      <c r="AF271" s="27"/>
      <c r="AG271" s="27"/>
      <c r="AH271" s="27"/>
      <c r="AI271" s="27"/>
      <c r="AJ271" s="27"/>
      <c r="AK271" s="27"/>
      <c r="AL271" s="27"/>
      <c r="AM271" s="27"/>
      <c r="AN271" s="27"/>
      <c r="AO271" s="27"/>
      <c r="AP271" s="27"/>
      <c r="AQ271" s="28"/>
      <c r="AR271" s="28"/>
      <c r="AS271" s="27"/>
      <c r="AT271" s="28"/>
      <c r="AU271" s="27"/>
      <c r="AV271" s="27"/>
      <c r="AW271" s="27"/>
      <c r="AX271" s="27"/>
      <c r="AY271" s="28"/>
      <c r="AZ271" s="28"/>
      <c r="BA271" s="28"/>
      <c r="BB271" s="26"/>
      <c r="BC271" s="27"/>
      <c r="BD271" s="93"/>
      <c r="BE271" s="28"/>
      <c r="BF271" s="28"/>
    </row>
    <row r="272" spans="1:58" ht="20.25" customHeight="1">
      <c r="A272" s="27"/>
      <c r="B272" s="27"/>
      <c r="C272" s="137"/>
      <c r="D272" s="27"/>
      <c r="E272" s="27"/>
      <c r="F272" s="206"/>
      <c r="G272" s="27"/>
      <c r="H272" s="27"/>
      <c r="I272" s="29" t="str">
        <f t="shared" si="43"/>
        <v/>
      </c>
      <c r="J272" s="29"/>
      <c r="K272" s="27"/>
      <c r="L272" s="27"/>
      <c r="M272" s="27"/>
      <c r="N272" s="27"/>
      <c r="O272" s="27"/>
      <c r="P272" s="27"/>
      <c r="Q272" s="28"/>
      <c r="R272" s="28"/>
      <c r="S272" s="28"/>
      <c r="T272" s="27"/>
      <c r="U272" s="28"/>
      <c r="V272" s="28"/>
      <c r="W272" s="28"/>
      <c r="X272" s="28"/>
      <c r="Y272" s="28"/>
      <c r="Z272" s="28"/>
      <c r="AA272" s="28"/>
      <c r="AB272" s="27"/>
      <c r="AC272" s="27"/>
      <c r="AD272" s="28"/>
      <c r="AE272" s="28"/>
      <c r="AF272" s="27"/>
      <c r="AG272" s="27"/>
      <c r="AH272" s="27"/>
      <c r="AI272" s="27"/>
      <c r="AJ272" s="27"/>
      <c r="AK272" s="27"/>
      <c r="AL272" s="27"/>
      <c r="AM272" s="27"/>
      <c r="AN272" s="27"/>
      <c r="AO272" s="27"/>
      <c r="AP272" s="27"/>
      <c r="AQ272" s="28"/>
      <c r="AR272" s="28"/>
      <c r="AS272" s="27"/>
      <c r="AT272" s="28"/>
      <c r="AU272" s="27"/>
      <c r="AV272" s="27"/>
      <c r="AW272" s="27"/>
      <c r="AX272" s="27"/>
      <c r="AY272" s="28"/>
      <c r="AZ272" s="28"/>
      <c r="BA272" s="28"/>
      <c r="BB272" s="26"/>
      <c r="BC272" s="27"/>
      <c r="BD272" s="93"/>
      <c r="BE272" s="28"/>
      <c r="BF272" s="28"/>
    </row>
    <row r="273" spans="1:58" ht="20.25" customHeight="1">
      <c r="A273" s="27"/>
      <c r="B273" s="27"/>
      <c r="C273" s="137"/>
      <c r="D273" s="27"/>
      <c r="E273" s="27"/>
      <c r="F273" s="206"/>
      <c r="G273" s="27"/>
      <c r="H273" s="27"/>
      <c r="I273" s="29" t="str">
        <f t="shared" si="43"/>
        <v/>
      </c>
      <c r="J273" s="29"/>
      <c r="K273" s="27"/>
      <c r="L273" s="27"/>
      <c r="M273" s="27"/>
      <c r="N273" s="27"/>
      <c r="O273" s="27"/>
      <c r="P273" s="27"/>
      <c r="Q273" s="28"/>
      <c r="R273" s="28"/>
      <c r="S273" s="28"/>
      <c r="T273" s="27"/>
      <c r="U273" s="28"/>
      <c r="V273" s="28"/>
      <c r="W273" s="28"/>
      <c r="X273" s="28"/>
      <c r="Y273" s="28"/>
      <c r="Z273" s="28"/>
      <c r="AA273" s="28"/>
      <c r="AB273" s="27"/>
      <c r="AC273" s="27"/>
      <c r="AD273" s="28"/>
      <c r="AE273" s="28"/>
      <c r="AF273" s="27"/>
      <c r="AG273" s="27"/>
      <c r="AH273" s="27"/>
      <c r="AI273" s="27"/>
      <c r="AJ273" s="27"/>
      <c r="AK273" s="27"/>
      <c r="AL273" s="27"/>
      <c r="AM273" s="27"/>
      <c r="AN273" s="27"/>
      <c r="AO273" s="27"/>
      <c r="AP273" s="27"/>
      <c r="AQ273" s="28"/>
      <c r="AR273" s="28"/>
      <c r="AS273" s="27"/>
      <c r="AT273" s="28"/>
      <c r="AU273" s="27"/>
      <c r="AV273" s="27"/>
      <c r="AW273" s="27"/>
      <c r="AX273" s="27"/>
      <c r="AY273" s="28"/>
      <c r="AZ273" s="28"/>
      <c r="BA273" s="28"/>
      <c r="BB273" s="26"/>
      <c r="BC273" s="27"/>
      <c r="BD273" s="93"/>
      <c r="BE273" s="28"/>
      <c r="BF273" s="28"/>
    </row>
    <row r="274" spans="1:58" ht="20.25" customHeight="1">
      <c r="A274" s="27"/>
      <c r="B274" s="27"/>
      <c r="C274" s="137"/>
      <c r="D274" s="27"/>
      <c r="E274" s="27"/>
      <c r="F274" s="206"/>
      <c r="G274" s="27"/>
      <c r="H274" s="27"/>
      <c r="I274" s="29" t="str">
        <f t="shared" si="43"/>
        <v/>
      </c>
      <c r="J274" s="29"/>
      <c r="K274" s="27"/>
      <c r="L274" s="27"/>
      <c r="M274" s="27"/>
      <c r="N274" s="27"/>
      <c r="O274" s="27"/>
      <c r="P274" s="27"/>
      <c r="Q274" s="28"/>
      <c r="R274" s="28"/>
      <c r="S274" s="28"/>
      <c r="T274" s="27"/>
      <c r="U274" s="28"/>
      <c r="V274" s="28"/>
      <c r="W274" s="28"/>
      <c r="X274" s="28"/>
      <c r="Y274" s="28"/>
      <c r="Z274" s="28"/>
      <c r="AA274" s="28"/>
      <c r="AB274" s="27"/>
      <c r="AC274" s="27"/>
      <c r="AD274" s="28"/>
      <c r="AE274" s="28"/>
      <c r="AF274" s="27"/>
      <c r="AG274" s="27"/>
      <c r="AH274" s="27"/>
      <c r="AI274" s="27"/>
      <c r="AJ274" s="27"/>
      <c r="AK274" s="27"/>
      <c r="AL274" s="27"/>
      <c r="AM274" s="27"/>
      <c r="AN274" s="27"/>
      <c r="AO274" s="27"/>
      <c r="AP274" s="27"/>
      <c r="AQ274" s="28"/>
      <c r="AR274" s="28"/>
      <c r="AS274" s="27"/>
      <c r="AT274" s="28"/>
      <c r="AU274" s="27"/>
      <c r="AV274" s="27"/>
      <c r="AW274" s="27"/>
      <c r="AX274" s="27"/>
      <c r="AY274" s="28"/>
      <c r="AZ274" s="28"/>
      <c r="BA274" s="28"/>
      <c r="BB274" s="26"/>
      <c r="BC274" s="27"/>
      <c r="BD274" s="93"/>
      <c r="BE274" s="28"/>
      <c r="BF274" s="28"/>
    </row>
    <row r="275" spans="1:58" ht="20.25" customHeight="1">
      <c r="A275" s="27"/>
      <c r="B275" s="27"/>
      <c r="C275" s="137"/>
      <c r="D275" s="27"/>
      <c r="E275" s="27"/>
      <c r="F275" s="206"/>
      <c r="G275" s="27"/>
      <c r="H275" s="27"/>
      <c r="I275" s="29" t="str">
        <f t="shared" si="43"/>
        <v/>
      </c>
      <c r="J275" s="29"/>
      <c r="K275" s="27"/>
      <c r="L275" s="27"/>
      <c r="M275" s="27"/>
      <c r="N275" s="27"/>
      <c r="O275" s="27"/>
      <c r="P275" s="27"/>
      <c r="Q275" s="28"/>
      <c r="R275" s="28"/>
      <c r="S275" s="28"/>
      <c r="T275" s="27"/>
      <c r="U275" s="28"/>
      <c r="V275" s="28"/>
      <c r="W275" s="28"/>
      <c r="X275" s="28"/>
      <c r="Y275" s="28"/>
      <c r="Z275" s="28"/>
      <c r="AA275" s="28"/>
      <c r="AB275" s="27"/>
      <c r="AC275" s="27"/>
      <c r="AD275" s="28"/>
      <c r="AE275" s="28"/>
      <c r="AF275" s="27"/>
      <c r="AG275" s="27"/>
      <c r="AH275" s="27"/>
      <c r="AI275" s="27"/>
      <c r="AJ275" s="27"/>
      <c r="AK275" s="27"/>
      <c r="AL275" s="27"/>
      <c r="AM275" s="27"/>
      <c r="AN275" s="27"/>
      <c r="AO275" s="27"/>
      <c r="AP275" s="27"/>
      <c r="AQ275" s="28"/>
      <c r="AR275" s="28"/>
      <c r="AS275" s="27"/>
      <c r="AT275" s="28"/>
      <c r="AU275" s="27"/>
      <c r="AV275" s="27"/>
      <c r="AW275" s="27"/>
      <c r="AX275" s="27"/>
      <c r="AY275" s="28"/>
      <c r="AZ275" s="28"/>
      <c r="BA275" s="28"/>
      <c r="BB275" s="26"/>
      <c r="BC275" s="27"/>
      <c r="BD275" s="93"/>
      <c r="BE275" s="28"/>
      <c r="BF275" s="28"/>
    </row>
    <row r="276" spans="1:58" ht="20.25" customHeight="1">
      <c r="A276" s="27"/>
      <c r="B276" s="27"/>
      <c r="C276" s="137"/>
      <c r="D276" s="27"/>
      <c r="E276" s="27"/>
      <c r="F276" s="206"/>
      <c r="G276" s="27"/>
      <c r="H276" s="27"/>
      <c r="I276" s="29" t="str">
        <f t="shared" si="43"/>
        <v/>
      </c>
      <c r="J276" s="29"/>
      <c r="K276" s="27"/>
      <c r="L276" s="27"/>
      <c r="M276" s="27"/>
      <c r="N276" s="27"/>
      <c r="O276" s="27"/>
      <c r="P276" s="27"/>
      <c r="Q276" s="28"/>
      <c r="R276" s="28"/>
      <c r="S276" s="28"/>
      <c r="T276" s="27"/>
      <c r="U276" s="28"/>
      <c r="V276" s="28"/>
      <c r="W276" s="28"/>
      <c r="X276" s="28"/>
      <c r="Y276" s="28"/>
      <c r="Z276" s="28"/>
      <c r="AA276" s="28"/>
      <c r="AB276" s="27"/>
      <c r="AC276" s="27"/>
      <c r="AD276" s="28"/>
      <c r="AE276" s="28"/>
      <c r="AF276" s="27"/>
      <c r="AG276" s="27"/>
      <c r="AH276" s="27"/>
      <c r="AI276" s="27"/>
      <c r="AJ276" s="27"/>
      <c r="AK276" s="27"/>
      <c r="AL276" s="27"/>
      <c r="AM276" s="27"/>
      <c r="AN276" s="27"/>
      <c r="AO276" s="27"/>
      <c r="AP276" s="27"/>
      <c r="AQ276" s="28"/>
      <c r="AR276" s="28"/>
      <c r="AS276" s="27"/>
      <c r="AT276" s="28"/>
      <c r="AU276" s="27"/>
      <c r="AV276" s="27"/>
      <c r="AW276" s="27"/>
      <c r="AX276" s="27"/>
      <c r="AY276" s="28"/>
      <c r="AZ276" s="28"/>
      <c r="BA276" s="28"/>
      <c r="BB276" s="26"/>
      <c r="BC276" s="27"/>
      <c r="BD276" s="93"/>
      <c r="BE276" s="28"/>
      <c r="BF276" s="28"/>
    </row>
    <row r="277" spans="1:58" ht="20.25" customHeight="1">
      <c r="A277" s="27"/>
      <c r="B277" s="27"/>
      <c r="C277" s="137"/>
      <c r="D277" s="27"/>
      <c r="E277" s="27"/>
      <c r="F277" s="206"/>
      <c r="G277" s="27"/>
      <c r="H277" s="27"/>
      <c r="I277" s="29" t="str">
        <f t="shared" si="43"/>
        <v/>
      </c>
      <c r="J277" s="29"/>
      <c r="K277" s="27"/>
      <c r="L277" s="27"/>
      <c r="M277" s="27"/>
      <c r="N277" s="27"/>
      <c r="O277" s="27"/>
      <c r="P277" s="27"/>
      <c r="Q277" s="28"/>
      <c r="R277" s="28"/>
      <c r="S277" s="28"/>
      <c r="T277" s="27"/>
      <c r="U277" s="28"/>
      <c r="V277" s="28"/>
      <c r="W277" s="28"/>
      <c r="X277" s="28"/>
      <c r="Y277" s="28"/>
      <c r="Z277" s="28"/>
      <c r="AA277" s="28"/>
      <c r="AB277" s="27"/>
      <c r="AC277" s="27"/>
      <c r="AD277" s="28"/>
      <c r="AE277" s="28"/>
      <c r="AF277" s="27"/>
      <c r="AG277" s="27"/>
      <c r="AH277" s="27"/>
      <c r="AI277" s="27"/>
      <c r="AJ277" s="27"/>
      <c r="AK277" s="27"/>
      <c r="AL277" s="27"/>
      <c r="AM277" s="27"/>
      <c r="AN277" s="27"/>
      <c r="AO277" s="27"/>
      <c r="AP277" s="27"/>
      <c r="AQ277" s="28"/>
      <c r="AR277" s="28"/>
      <c r="AS277" s="27"/>
      <c r="AT277" s="28"/>
      <c r="AU277" s="27"/>
      <c r="AV277" s="27"/>
      <c r="AW277" s="27"/>
      <c r="AX277" s="27"/>
      <c r="AY277" s="28"/>
      <c r="AZ277" s="28"/>
      <c r="BA277" s="28"/>
      <c r="BB277" s="26"/>
      <c r="BC277" s="27"/>
      <c r="BD277" s="93"/>
      <c r="BE277" s="28"/>
      <c r="BF277" s="28"/>
    </row>
    <row r="278" spans="1:58" ht="20.25" customHeight="1">
      <c r="A278" s="27"/>
      <c r="B278" s="27"/>
      <c r="C278" s="137"/>
      <c r="D278" s="27"/>
      <c r="E278" s="27"/>
      <c r="F278" s="206"/>
      <c r="G278" s="27"/>
      <c r="H278" s="27"/>
      <c r="I278" s="29" t="str">
        <f t="shared" si="43"/>
        <v/>
      </c>
      <c r="J278" s="29"/>
      <c r="K278" s="27"/>
      <c r="L278" s="27"/>
      <c r="M278" s="27"/>
      <c r="N278" s="27"/>
      <c r="O278" s="27"/>
      <c r="P278" s="27"/>
      <c r="Q278" s="28"/>
      <c r="R278" s="28"/>
      <c r="S278" s="28"/>
      <c r="T278" s="27"/>
      <c r="U278" s="28"/>
      <c r="V278" s="28"/>
      <c r="W278" s="28"/>
      <c r="X278" s="28"/>
      <c r="Y278" s="28"/>
      <c r="Z278" s="28"/>
      <c r="AA278" s="28"/>
      <c r="AB278" s="27"/>
      <c r="AC278" s="27"/>
      <c r="AD278" s="28"/>
      <c r="AE278" s="28"/>
      <c r="AF278" s="27"/>
      <c r="AG278" s="27"/>
      <c r="AH278" s="27"/>
      <c r="AI278" s="27"/>
      <c r="AJ278" s="27"/>
      <c r="AK278" s="27"/>
      <c r="AL278" s="27"/>
      <c r="AM278" s="27"/>
      <c r="AN278" s="27"/>
      <c r="AO278" s="27"/>
      <c r="AP278" s="27"/>
      <c r="AQ278" s="28"/>
      <c r="AR278" s="28"/>
      <c r="AS278" s="27"/>
      <c r="AT278" s="28"/>
      <c r="AU278" s="27"/>
      <c r="AV278" s="27"/>
      <c r="AW278" s="27"/>
      <c r="AX278" s="27"/>
      <c r="AY278" s="28"/>
      <c r="AZ278" s="28"/>
      <c r="BA278" s="28"/>
      <c r="BB278" s="26"/>
      <c r="BC278" s="27"/>
      <c r="BD278" s="93"/>
      <c r="BE278" s="28"/>
      <c r="BF278" s="28"/>
    </row>
    <row r="279" spans="1:58" ht="20.25" customHeight="1">
      <c r="A279" s="27"/>
      <c r="B279" s="27"/>
      <c r="C279" s="137"/>
      <c r="D279" s="27"/>
      <c r="E279" s="27"/>
      <c r="F279" s="206"/>
      <c r="G279" s="27"/>
      <c r="H279" s="27"/>
      <c r="I279" s="29" t="str">
        <f t="shared" si="43"/>
        <v/>
      </c>
      <c r="J279" s="29"/>
      <c r="K279" s="27"/>
      <c r="L279" s="27"/>
      <c r="M279" s="27"/>
      <c r="N279" s="27"/>
      <c r="O279" s="27"/>
      <c r="P279" s="27"/>
      <c r="Q279" s="28"/>
      <c r="R279" s="28"/>
      <c r="S279" s="28"/>
      <c r="T279" s="27"/>
      <c r="U279" s="28"/>
      <c r="V279" s="28"/>
      <c r="W279" s="28"/>
      <c r="X279" s="28"/>
      <c r="Y279" s="28"/>
      <c r="Z279" s="28"/>
      <c r="AA279" s="28"/>
      <c r="AB279" s="27"/>
      <c r="AC279" s="27"/>
      <c r="AD279" s="28"/>
      <c r="AE279" s="28"/>
      <c r="AF279" s="27"/>
      <c r="AG279" s="27"/>
      <c r="AH279" s="27"/>
      <c r="AI279" s="27"/>
      <c r="AJ279" s="27"/>
      <c r="AK279" s="27"/>
      <c r="AL279" s="27"/>
      <c r="AM279" s="27"/>
      <c r="AN279" s="27"/>
      <c r="AO279" s="27"/>
      <c r="AP279" s="27"/>
      <c r="AQ279" s="28"/>
      <c r="AR279" s="28"/>
      <c r="AS279" s="27"/>
      <c r="AT279" s="28"/>
      <c r="AU279" s="27"/>
      <c r="AV279" s="27"/>
      <c r="AW279" s="27"/>
      <c r="AX279" s="27"/>
      <c r="AY279" s="28"/>
      <c r="AZ279" s="28"/>
      <c r="BA279" s="28"/>
      <c r="BB279" s="26"/>
      <c r="BC279" s="27"/>
      <c r="BD279" s="93"/>
      <c r="BE279" s="28"/>
      <c r="BF279" s="28"/>
    </row>
    <row r="280" spans="1:58" ht="20.25" customHeight="1">
      <c r="A280" s="27"/>
      <c r="B280" s="27"/>
      <c r="C280" s="137"/>
      <c r="D280" s="27"/>
      <c r="E280" s="27"/>
      <c r="F280" s="206"/>
      <c r="G280" s="27"/>
      <c r="H280" s="27"/>
      <c r="I280" s="29" t="str">
        <f t="shared" si="43"/>
        <v/>
      </c>
      <c r="J280" s="29"/>
      <c r="K280" s="27"/>
      <c r="L280" s="27"/>
      <c r="M280" s="27"/>
      <c r="N280" s="27"/>
      <c r="O280" s="27"/>
      <c r="P280" s="27"/>
      <c r="Q280" s="28"/>
      <c r="R280" s="28"/>
      <c r="S280" s="28"/>
      <c r="T280" s="27"/>
      <c r="U280" s="28"/>
      <c r="V280" s="28"/>
      <c r="W280" s="28"/>
      <c r="X280" s="28"/>
      <c r="Y280" s="28"/>
      <c r="Z280" s="28"/>
      <c r="AA280" s="28"/>
      <c r="AB280" s="27"/>
      <c r="AC280" s="27"/>
      <c r="AD280" s="28"/>
      <c r="AE280" s="28"/>
      <c r="AF280" s="27"/>
      <c r="AG280" s="27"/>
      <c r="AH280" s="27"/>
      <c r="AI280" s="27"/>
      <c r="AJ280" s="27"/>
      <c r="AK280" s="27"/>
      <c r="AL280" s="27"/>
      <c r="AM280" s="27"/>
      <c r="AN280" s="27"/>
      <c r="AO280" s="27"/>
      <c r="AP280" s="27"/>
      <c r="AQ280" s="28"/>
      <c r="AR280" s="28"/>
      <c r="AS280" s="27"/>
      <c r="AT280" s="28"/>
      <c r="AU280" s="27"/>
      <c r="AV280" s="27"/>
      <c r="AW280" s="27"/>
      <c r="AX280" s="27"/>
      <c r="AY280" s="28"/>
      <c r="AZ280" s="28"/>
      <c r="BA280" s="28"/>
      <c r="BB280" s="26"/>
      <c r="BC280" s="27"/>
      <c r="BD280" s="93"/>
      <c r="BE280" s="28"/>
      <c r="BF280" s="28"/>
    </row>
    <row r="281" spans="1:58" ht="20.25" customHeight="1">
      <c r="A281" s="27"/>
      <c r="B281" s="27"/>
      <c r="C281" s="137"/>
      <c r="D281" s="27"/>
      <c r="E281" s="27"/>
      <c r="F281" s="206"/>
      <c r="G281" s="27"/>
      <c r="H281" s="27"/>
      <c r="I281" s="29" t="str">
        <f t="shared" si="43"/>
        <v/>
      </c>
      <c r="J281" s="29"/>
      <c r="K281" s="27"/>
      <c r="L281" s="27"/>
      <c r="M281" s="27"/>
      <c r="N281" s="27"/>
      <c r="O281" s="27"/>
      <c r="P281" s="27"/>
      <c r="Q281" s="28"/>
      <c r="R281" s="28"/>
      <c r="S281" s="28"/>
      <c r="T281" s="27"/>
      <c r="U281" s="28"/>
      <c r="V281" s="28"/>
      <c r="W281" s="28"/>
      <c r="X281" s="28"/>
      <c r="Y281" s="28"/>
      <c r="Z281" s="28"/>
      <c r="AA281" s="28"/>
      <c r="AB281" s="27"/>
      <c r="AC281" s="27"/>
      <c r="AD281" s="28"/>
      <c r="AE281" s="28"/>
      <c r="AF281" s="27"/>
      <c r="AG281" s="27"/>
      <c r="AH281" s="27"/>
      <c r="AI281" s="27"/>
      <c r="AJ281" s="27"/>
      <c r="AK281" s="27"/>
      <c r="AL281" s="27"/>
      <c r="AM281" s="27"/>
      <c r="AN281" s="27"/>
      <c r="AO281" s="27"/>
      <c r="AP281" s="27"/>
      <c r="AQ281" s="28"/>
      <c r="AR281" s="28"/>
      <c r="AS281" s="27"/>
      <c r="AT281" s="28"/>
      <c r="AU281" s="27"/>
      <c r="AV281" s="27"/>
      <c r="AW281" s="27"/>
      <c r="AX281" s="27"/>
      <c r="AY281" s="28"/>
      <c r="AZ281" s="28"/>
      <c r="BA281" s="28"/>
      <c r="BB281" s="26"/>
      <c r="BC281" s="27"/>
      <c r="BD281" s="93"/>
      <c r="BE281" s="28"/>
      <c r="BF281" s="28"/>
    </row>
    <row r="282" spans="1:58" ht="20.25" customHeight="1">
      <c r="A282" s="27"/>
      <c r="B282" s="27"/>
      <c r="C282" s="137"/>
      <c r="D282" s="27"/>
      <c r="E282" s="27"/>
      <c r="F282" s="206"/>
      <c r="G282" s="27"/>
      <c r="H282" s="27"/>
      <c r="I282" s="29" t="str">
        <f t="shared" si="43"/>
        <v/>
      </c>
      <c r="J282" s="29"/>
      <c r="K282" s="27"/>
      <c r="L282" s="27"/>
      <c r="M282" s="27"/>
      <c r="N282" s="27"/>
      <c r="O282" s="27"/>
      <c r="P282" s="27"/>
      <c r="Q282" s="28"/>
      <c r="R282" s="28"/>
      <c r="S282" s="28"/>
      <c r="T282" s="27"/>
      <c r="U282" s="28"/>
      <c r="V282" s="28"/>
      <c r="W282" s="28"/>
      <c r="X282" s="28"/>
      <c r="Y282" s="28"/>
      <c r="Z282" s="28"/>
      <c r="AA282" s="28"/>
      <c r="AB282" s="27"/>
      <c r="AC282" s="27"/>
      <c r="AD282" s="28"/>
      <c r="AE282" s="28"/>
      <c r="AF282" s="27"/>
      <c r="AG282" s="27"/>
      <c r="AH282" s="27"/>
      <c r="AI282" s="27"/>
      <c r="AJ282" s="27"/>
      <c r="AK282" s="27"/>
      <c r="AL282" s="27"/>
      <c r="AM282" s="27"/>
      <c r="AN282" s="27"/>
      <c r="AO282" s="27"/>
      <c r="AP282" s="27"/>
      <c r="AQ282" s="28"/>
      <c r="AR282" s="28"/>
      <c r="AS282" s="27"/>
      <c r="AT282" s="28"/>
      <c r="AU282" s="27"/>
      <c r="AV282" s="27"/>
      <c r="AW282" s="27"/>
      <c r="AX282" s="27"/>
      <c r="AY282" s="28"/>
      <c r="AZ282" s="28"/>
      <c r="BA282" s="28"/>
      <c r="BB282" s="26"/>
      <c r="BC282" s="27"/>
      <c r="BD282" s="93"/>
      <c r="BE282" s="28"/>
      <c r="BF282" s="28"/>
    </row>
    <row r="283" spans="1:58" ht="20.25" customHeight="1">
      <c r="A283" s="27"/>
      <c r="B283" s="27"/>
      <c r="C283" s="137"/>
      <c r="D283" s="27"/>
      <c r="E283" s="27"/>
      <c r="F283" s="206"/>
      <c r="G283" s="27"/>
      <c r="H283" s="27"/>
      <c r="I283" s="29" t="str">
        <f t="shared" si="43"/>
        <v/>
      </c>
      <c r="J283" s="29"/>
      <c r="K283" s="27"/>
      <c r="L283" s="27"/>
      <c r="M283" s="27"/>
      <c r="N283" s="27"/>
      <c r="O283" s="27"/>
      <c r="P283" s="27"/>
      <c r="Q283" s="28"/>
      <c r="R283" s="28"/>
      <c r="S283" s="28"/>
      <c r="T283" s="27"/>
      <c r="U283" s="28"/>
      <c r="V283" s="28"/>
      <c r="W283" s="28"/>
      <c r="X283" s="28"/>
      <c r="Y283" s="28"/>
      <c r="Z283" s="28"/>
      <c r="AA283" s="28"/>
      <c r="AB283" s="27"/>
      <c r="AC283" s="27"/>
      <c r="AD283" s="28"/>
      <c r="AE283" s="28"/>
      <c r="AF283" s="27"/>
      <c r="AG283" s="27"/>
      <c r="AH283" s="27"/>
      <c r="AI283" s="27"/>
      <c r="AJ283" s="27"/>
      <c r="AK283" s="27"/>
      <c r="AL283" s="27"/>
      <c r="AM283" s="27"/>
      <c r="AN283" s="27"/>
      <c r="AO283" s="27"/>
      <c r="AP283" s="27"/>
      <c r="AQ283" s="28"/>
      <c r="AR283" s="28"/>
      <c r="AS283" s="27"/>
      <c r="AT283" s="28"/>
      <c r="AU283" s="27"/>
      <c r="AV283" s="27"/>
      <c r="AW283" s="27"/>
      <c r="AX283" s="27"/>
      <c r="AY283" s="28"/>
      <c r="AZ283" s="28"/>
      <c r="BA283" s="28"/>
      <c r="BB283" s="26"/>
      <c r="BC283" s="27"/>
      <c r="BD283" s="93"/>
      <c r="BE283" s="28"/>
      <c r="BF283" s="28"/>
    </row>
    <row r="284" spans="1:58" ht="20.25" customHeight="1">
      <c r="A284" s="27"/>
      <c r="B284" s="27"/>
      <c r="C284" s="137"/>
      <c r="D284" s="27"/>
      <c r="E284" s="27"/>
      <c r="F284" s="206"/>
      <c r="G284" s="27"/>
      <c r="H284" s="27"/>
      <c r="I284" s="29" t="str">
        <f t="shared" si="43"/>
        <v/>
      </c>
      <c r="J284" s="29"/>
      <c r="K284" s="27"/>
      <c r="L284" s="27"/>
      <c r="M284" s="27"/>
      <c r="N284" s="27"/>
      <c r="O284" s="27"/>
      <c r="P284" s="27"/>
      <c r="Q284" s="28"/>
      <c r="R284" s="28"/>
      <c r="S284" s="28"/>
      <c r="T284" s="27"/>
      <c r="U284" s="28"/>
      <c r="V284" s="28"/>
      <c r="W284" s="28"/>
      <c r="X284" s="28"/>
      <c r="Y284" s="28"/>
      <c r="Z284" s="28"/>
      <c r="AA284" s="28"/>
      <c r="AB284" s="27"/>
      <c r="AC284" s="27"/>
      <c r="AD284" s="28"/>
      <c r="AE284" s="28"/>
      <c r="AF284" s="27"/>
      <c r="AG284" s="27"/>
      <c r="AH284" s="27"/>
      <c r="AI284" s="27"/>
      <c r="AJ284" s="27"/>
      <c r="AK284" s="27"/>
      <c r="AL284" s="27"/>
      <c r="AM284" s="27"/>
      <c r="AN284" s="27"/>
      <c r="AO284" s="27"/>
      <c r="AP284" s="27"/>
      <c r="AQ284" s="28"/>
      <c r="AR284" s="28"/>
      <c r="AS284" s="27"/>
      <c r="AT284" s="28"/>
      <c r="AU284" s="27"/>
      <c r="AV284" s="27"/>
      <c r="AW284" s="27"/>
      <c r="AX284" s="27"/>
      <c r="AY284" s="28"/>
      <c r="AZ284" s="28"/>
      <c r="BA284" s="28"/>
      <c r="BB284" s="26"/>
      <c r="BC284" s="27"/>
      <c r="BD284" s="93"/>
      <c r="BE284" s="28"/>
      <c r="BF284" s="28"/>
    </row>
    <row r="285" spans="1:58" ht="20.25" customHeight="1">
      <c r="A285" s="27"/>
      <c r="B285" s="27"/>
      <c r="C285" s="137"/>
      <c r="D285" s="27"/>
      <c r="E285" s="27"/>
      <c r="F285" s="206"/>
      <c r="G285" s="27"/>
      <c r="H285" s="27"/>
      <c r="I285" s="29" t="str">
        <f t="shared" si="43"/>
        <v/>
      </c>
      <c r="J285" s="29"/>
      <c r="K285" s="27"/>
      <c r="L285" s="27"/>
      <c r="M285" s="27"/>
      <c r="N285" s="27"/>
      <c r="O285" s="27"/>
      <c r="P285" s="27"/>
      <c r="Q285" s="28"/>
      <c r="R285" s="28"/>
      <c r="S285" s="28"/>
      <c r="T285" s="27"/>
      <c r="U285" s="28"/>
      <c r="V285" s="28"/>
      <c r="W285" s="28"/>
      <c r="X285" s="28"/>
      <c r="Y285" s="28"/>
      <c r="Z285" s="28"/>
      <c r="AA285" s="28"/>
      <c r="AB285" s="27"/>
      <c r="AC285" s="27"/>
      <c r="AD285" s="28"/>
      <c r="AE285" s="28"/>
      <c r="AF285" s="27"/>
      <c r="AG285" s="27"/>
      <c r="AH285" s="27"/>
      <c r="AI285" s="27"/>
      <c r="AJ285" s="27"/>
      <c r="AK285" s="27"/>
      <c r="AL285" s="27"/>
      <c r="AM285" s="27"/>
      <c r="AN285" s="27"/>
      <c r="AO285" s="27"/>
      <c r="AP285" s="27"/>
      <c r="AQ285" s="28"/>
      <c r="AR285" s="28"/>
      <c r="AS285" s="27"/>
      <c r="AT285" s="28"/>
      <c r="AU285" s="27"/>
      <c r="AV285" s="27"/>
      <c r="AW285" s="27"/>
      <c r="AX285" s="27"/>
      <c r="AY285" s="28"/>
      <c r="AZ285" s="28"/>
      <c r="BA285" s="28"/>
      <c r="BB285" s="26"/>
      <c r="BC285" s="27"/>
      <c r="BD285" s="93"/>
      <c r="BE285" s="28"/>
      <c r="BF285" s="28"/>
    </row>
    <row r="286" spans="1:58" ht="20.25" customHeight="1">
      <c r="A286" s="27"/>
      <c r="B286" s="27"/>
      <c r="C286" s="137"/>
      <c r="D286" s="27"/>
      <c r="E286" s="27"/>
      <c r="F286" s="206"/>
      <c r="G286" s="27"/>
      <c r="H286" s="27"/>
      <c r="I286" s="29" t="str">
        <f t="shared" si="43"/>
        <v/>
      </c>
      <c r="J286" s="29"/>
      <c r="K286" s="27"/>
      <c r="L286" s="27"/>
      <c r="M286" s="27"/>
      <c r="N286" s="27"/>
      <c r="O286" s="27"/>
      <c r="P286" s="27"/>
      <c r="Q286" s="28"/>
      <c r="R286" s="28"/>
      <c r="S286" s="28"/>
      <c r="T286" s="27"/>
      <c r="U286" s="28"/>
      <c r="V286" s="28"/>
      <c r="W286" s="28"/>
      <c r="X286" s="28"/>
      <c r="Y286" s="28"/>
      <c r="Z286" s="28"/>
      <c r="AA286" s="28"/>
      <c r="AB286" s="27"/>
      <c r="AC286" s="27"/>
      <c r="AD286" s="28"/>
      <c r="AE286" s="28"/>
      <c r="AF286" s="27"/>
      <c r="AG286" s="27"/>
      <c r="AH286" s="27"/>
      <c r="AI286" s="27"/>
      <c r="AJ286" s="27"/>
      <c r="AK286" s="27"/>
      <c r="AL286" s="27"/>
      <c r="AM286" s="27"/>
      <c r="AN286" s="27"/>
      <c r="AO286" s="27"/>
      <c r="AP286" s="27"/>
      <c r="AQ286" s="28"/>
      <c r="AR286" s="28"/>
      <c r="AS286" s="27"/>
      <c r="AT286" s="28"/>
      <c r="AU286" s="27"/>
      <c r="AV286" s="27"/>
      <c r="AW286" s="27"/>
      <c r="AX286" s="27"/>
      <c r="AY286" s="28"/>
      <c r="AZ286" s="28"/>
      <c r="BA286" s="28"/>
      <c r="BB286" s="26"/>
      <c r="BC286" s="27"/>
      <c r="BD286" s="93"/>
      <c r="BE286" s="28"/>
      <c r="BF286" s="28"/>
    </row>
    <row r="287" spans="1:58" ht="20.25" customHeight="1">
      <c r="A287" s="27"/>
      <c r="B287" s="27"/>
      <c r="C287" s="137"/>
      <c r="D287" s="27"/>
      <c r="E287" s="27"/>
      <c r="F287" s="206"/>
      <c r="G287" s="27"/>
      <c r="H287" s="27"/>
      <c r="I287" s="29" t="str">
        <f t="shared" si="43"/>
        <v/>
      </c>
      <c r="J287" s="29"/>
      <c r="K287" s="27"/>
      <c r="L287" s="27"/>
      <c r="M287" s="27"/>
      <c r="N287" s="27"/>
      <c r="O287" s="27"/>
      <c r="P287" s="27"/>
      <c r="Q287" s="28"/>
      <c r="R287" s="28"/>
      <c r="S287" s="28"/>
      <c r="T287" s="27"/>
      <c r="U287" s="28"/>
      <c r="V287" s="28"/>
      <c r="W287" s="28"/>
      <c r="X287" s="28"/>
      <c r="Y287" s="28"/>
      <c r="Z287" s="28"/>
      <c r="AA287" s="28"/>
      <c r="AB287" s="27"/>
      <c r="AC287" s="27"/>
      <c r="AD287" s="28"/>
      <c r="AE287" s="28"/>
      <c r="AF287" s="27"/>
      <c r="AG287" s="27"/>
      <c r="AH287" s="27"/>
      <c r="AI287" s="27"/>
      <c r="AJ287" s="27"/>
      <c r="AK287" s="27"/>
      <c r="AL287" s="27"/>
      <c r="AM287" s="27"/>
      <c r="AN287" s="27"/>
      <c r="AO287" s="27"/>
      <c r="AP287" s="27"/>
      <c r="AQ287" s="28"/>
      <c r="AR287" s="28"/>
      <c r="AS287" s="27"/>
      <c r="AT287" s="28"/>
      <c r="AU287" s="27"/>
      <c r="AV287" s="27"/>
      <c r="AW287" s="27"/>
      <c r="AX287" s="27"/>
      <c r="AY287" s="28"/>
      <c r="AZ287" s="28"/>
      <c r="BA287" s="28"/>
      <c r="BB287" s="26"/>
      <c r="BC287" s="27"/>
      <c r="BD287" s="93"/>
      <c r="BE287" s="28"/>
      <c r="BF287" s="28"/>
    </row>
    <row r="288" spans="1:58" ht="20.25" customHeight="1">
      <c r="A288" s="27"/>
      <c r="B288" s="27"/>
      <c r="C288" s="137"/>
      <c r="D288" s="27"/>
      <c r="E288" s="27"/>
      <c r="F288" s="206"/>
      <c r="G288" s="27"/>
      <c r="H288" s="27"/>
      <c r="I288" s="29" t="str">
        <f t="shared" si="43"/>
        <v/>
      </c>
      <c r="J288" s="29"/>
      <c r="K288" s="27"/>
      <c r="L288" s="27"/>
      <c r="M288" s="27"/>
      <c r="N288" s="27"/>
      <c r="O288" s="27"/>
      <c r="P288" s="27"/>
      <c r="Q288" s="28"/>
      <c r="R288" s="28"/>
      <c r="S288" s="28"/>
      <c r="T288" s="27"/>
      <c r="U288" s="28"/>
      <c r="V288" s="28"/>
      <c r="W288" s="28"/>
      <c r="X288" s="28"/>
      <c r="Y288" s="28"/>
      <c r="Z288" s="28"/>
      <c r="AA288" s="28"/>
      <c r="AB288" s="27"/>
      <c r="AC288" s="27"/>
      <c r="AD288" s="28"/>
      <c r="AE288" s="28"/>
      <c r="AF288" s="27"/>
      <c r="AG288" s="27"/>
      <c r="AH288" s="27"/>
      <c r="AI288" s="27"/>
      <c r="AJ288" s="27"/>
      <c r="AK288" s="27"/>
      <c r="AL288" s="27"/>
      <c r="AM288" s="27"/>
      <c r="AN288" s="27"/>
      <c r="AO288" s="27"/>
      <c r="AP288" s="27"/>
      <c r="AQ288" s="28"/>
      <c r="AR288" s="28"/>
      <c r="AS288" s="27"/>
      <c r="AT288" s="28"/>
      <c r="AU288" s="27"/>
      <c r="AV288" s="27"/>
      <c r="AW288" s="27"/>
      <c r="AX288" s="27"/>
      <c r="AY288" s="28"/>
      <c r="AZ288" s="28"/>
      <c r="BA288" s="28"/>
      <c r="BB288" s="26"/>
      <c r="BC288" s="27"/>
      <c r="BD288" s="93"/>
      <c r="BE288" s="28"/>
      <c r="BF288" s="28"/>
    </row>
    <row r="289" spans="1:58" ht="20.25" customHeight="1">
      <c r="A289" s="27"/>
      <c r="B289" s="27"/>
      <c r="C289" s="137"/>
      <c r="D289" s="27"/>
      <c r="E289" s="27"/>
      <c r="F289" s="206"/>
      <c r="G289" s="27"/>
      <c r="H289" s="27"/>
      <c r="I289" s="29" t="str">
        <f t="shared" si="43"/>
        <v/>
      </c>
      <c r="J289" s="29"/>
      <c r="K289" s="27"/>
      <c r="L289" s="27"/>
      <c r="M289" s="27"/>
      <c r="N289" s="27"/>
      <c r="O289" s="27"/>
      <c r="P289" s="27"/>
      <c r="Q289" s="28"/>
      <c r="R289" s="28"/>
      <c r="S289" s="28"/>
      <c r="T289" s="27"/>
      <c r="U289" s="28"/>
      <c r="V289" s="28"/>
      <c r="W289" s="28"/>
      <c r="X289" s="28"/>
      <c r="Y289" s="28"/>
      <c r="Z289" s="28"/>
      <c r="AA289" s="28"/>
      <c r="AB289" s="27"/>
      <c r="AC289" s="27"/>
      <c r="AD289" s="28"/>
      <c r="AE289" s="28"/>
      <c r="AF289" s="27"/>
      <c r="AG289" s="27"/>
      <c r="AH289" s="27"/>
      <c r="AI289" s="27"/>
      <c r="AJ289" s="27"/>
      <c r="AK289" s="27"/>
      <c r="AL289" s="27"/>
      <c r="AM289" s="27"/>
      <c r="AN289" s="27"/>
      <c r="AO289" s="27"/>
      <c r="AP289" s="27"/>
      <c r="AQ289" s="28"/>
      <c r="AR289" s="28"/>
      <c r="AS289" s="27"/>
      <c r="AT289" s="28"/>
      <c r="AU289" s="27"/>
      <c r="AV289" s="27"/>
      <c r="AW289" s="27"/>
      <c r="AX289" s="27"/>
      <c r="AY289" s="28"/>
      <c r="AZ289" s="28"/>
      <c r="BA289" s="28"/>
      <c r="BB289" s="26"/>
      <c r="BC289" s="27"/>
      <c r="BD289" s="93"/>
      <c r="BE289" s="28"/>
      <c r="BF289" s="28"/>
    </row>
    <row r="290" spans="1:58" ht="20.25" customHeight="1">
      <c r="A290" s="27"/>
      <c r="B290" s="27"/>
      <c r="C290" s="137"/>
      <c r="D290" s="27"/>
      <c r="E290" s="27"/>
      <c r="F290" s="206"/>
      <c r="G290" s="27"/>
      <c r="H290" s="27"/>
      <c r="I290" s="29" t="str">
        <f t="shared" si="43"/>
        <v/>
      </c>
      <c r="J290" s="29"/>
      <c r="K290" s="27"/>
      <c r="L290" s="27"/>
      <c r="M290" s="27"/>
      <c r="N290" s="27"/>
      <c r="O290" s="27"/>
      <c r="P290" s="27"/>
      <c r="Q290" s="28"/>
      <c r="R290" s="28"/>
      <c r="S290" s="28"/>
      <c r="T290" s="27"/>
      <c r="U290" s="28"/>
      <c r="V290" s="28"/>
      <c r="W290" s="28"/>
      <c r="X290" s="28"/>
      <c r="Y290" s="28"/>
      <c r="Z290" s="28"/>
      <c r="AA290" s="28"/>
      <c r="AB290" s="27"/>
      <c r="AC290" s="27"/>
      <c r="AD290" s="28"/>
      <c r="AE290" s="28"/>
      <c r="AF290" s="27"/>
      <c r="AG290" s="27"/>
      <c r="AH290" s="27"/>
      <c r="AI290" s="27"/>
      <c r="AJ290" s="27"/>
      <c r="AK290" s="27"/>
      <c r="AL290" s="27"/>
      <c r="AM290" s="27"/>
      <c r="AN290" s="27"/>
      <c r="AO290" s="27"/>
      <c r="AP290" s="27"/>
      <c r="AQ290" s="28"/>
      <c r="AR290" s="28"/>
      <c r="AS290" s="27"/>
      <c r="AT290" s="28"/>
      <c r="AU290" s="27"/>
      <c r="AV290" s="27"/>
      <c r="AW290" s="27"/>
      <c r="AX290" s="27"/>
      <c r="AY290" s="28"/>
      <c r="AZ290" s="28"/>
      <c r="BA290" s="28"/>
      <c r="BB290" s="26"/>
      <c r="BC290" s="27"/>
      <c r="BD290" s="93"/>
      <c r="BE290" s="28"/>
      <c r="BF290" s="28"/>
    </row>
    <row r="291" spans="1:58" ht="20.25" customHeight="1">
      <c r="A291" s="27"/>
      <c r="B291" s="27"/>
      <c r="C291" s="137"/>
      <c r="D291" s="27"/>
      <c r="E291" s="27"/>
      <c r="F291" s="206"/>
      <c r="G291" s="27"/>
      <c r="H291" s="27"/>
      <c r="I291" s="29" t="str">
        <f t="shared" si="43"/>
        <v/>
      </c>
      <c r="J291" s="29"/>
      <c r="K291" s="27"/>
      <c r="L291" s="27"/>
      <c r="M291" s="27"/>
      <c r="N291" s="27"/>
      <c r="O291" s="27"/>
      <c r="P291" s="27"/>
      <c r="Q291" s="28"/>
      <c r="R291" s="28"/>
      <c r="S291" s="28"/>
      <c r="T291" s="27"/>
      <c r="U291" s="28"/>
      <c r="V291" s="28"/>
      <c r="W291" s="28"/>
      <c r="X291" s="28"/>
      <c r="Y291" s="28"/>
      <c r="Z291" s="28"/>
      <c r="AA291" s="28"/>
      <c r="AB291" s="27"/>
      <c r="AC291" s="27"/>
      <c r="AD291" s="28"/>
      <c r="AE291" s="28"/>
      <c r="AF291" s="27"/>
      <c r="AG291" s="27"/>
      <c r="AH291" s="27"/>
      <c r="AI291" s="27"/>
      <c r="AJ291" s="27"/>
      <c r="AK291" s="27"/>
      <c r="AL291" s="27"/>
      <c r="AM291" s="27"/>
      <c r="AN291" s="27"/>
      <c r="AO291" s="27"/>
      <c r="AP291" s="27"/>
      <c r="AQ291" s="28"/>
      <c r="AR291" s="28"/>
      <c r="AS291" s="27"/>
      <c r="AT291" s="28"/>
      <c r="AU291" s="27"/>
      <c r="AV291" s="27"/>
      <c r="AW291" s="27"/>
      <c r="AX291" s="27"/>
      <c r="AY291" s="28"/>
      <c r="AZ291" s="28"/>
      <c r="BA291" s="28"/>
      <c r="BB291" s="26"/>
      <c r="BC291" s="27"/>
      <c r="BD291" s="93"/>
      <c r="BE291" s="28"/>
      <c r="BF291" s="28"/>
    </row>
    <row r="292" spans="1:58" ht="20.25" customHeight="1">
      <c r="A292" s="27"/>
      <c r="B292" s="27"/>
      <c r="C292" s="137"/>
      <c r="D292" s="27"/>
      <c r="E292" s="27"/>
      <c r="F292" s="206"/>
      <c r="G292" s="27"/>
      <c r="H292" s="27"/>
      <c r="I292" s="29" t="str">
        <f t="shared" si="43"/>
        <v/>
      </c>
      <c r="J292" s="29"/>
      <c r="K292" s="27"/>
      <c r="L292" s="27"/>
      <c r="M292" s="27"/>
      <c r="N292" s="27"/>
      <c r="O292" s="27"/>
      <c r="P292" s="27"/>
      <c r="Q292" s="28"/>
      <c r="R292" s="28"/>
      <c r="S292" s="28"/>
      <c r="T292" s="27"/>
      <c r="U292" s="28"/>
      <c r="V292" s="28"/>
      <c r="W292" s="28"/>
      <c r="X292" s="28"/>
      <c r="Y292" s="28"/>
      <c r="Z292" s="28"/>
      <c r="AA292" s="28"/>
      <c r="AB292" s="27"/>
      <c r="AC292" s="27"/>
      <c r="AD292" s="28"/>
      <c r="AE292" s="28"/>
      <c r="AF292" s="27"/>
      <c r="AG292" s="27"/>
      <c r="AH292" s="27"/>
      <c r="AI292" s="27"/>
      <c r="AJ292" s="27"/>
      <c r="AK292" s="27"/>
      <c r="AL292" s="27"/>
      <c r="AM292" s="27"/>
      <c r="AN292" s="27"/>
      <c r="AO292" s="27"/>
      <c r="AP292" s="27"/>
      <c r="AQ292" s="28"/>
      <c r="AR292" s="28"/>
      <c r="AS292" s="27"/>
      <c r="AT292" s="28"/>
      <c r="AU292" s="27"/>
      <c r="AV292" s="27"/>
      <c r="AW292" s="27"/>
      <c r="AX292" s="27"/>
      <c r="AY292" s="28"/>
      <c r="AZ292" s="28"/>
      <c r="BA292" s="28"/>
      <c r="BB292" s="26"/>
      <c r="BC292" s="27"/>
      <c r="BD292" s="93"/>
      <c r="BE292" s="28"/>
      <c r="BF292" s="28"/>
    </row>
    <row r="293" spans="1:58" ht="20.25" customHeight="1">
      <c r="A293" s="27"/>
      <c r="B293" s="27"/>
      <c r="C293" s="137"/>
      <c r="D293" s="27"/>
      <c r="E293" s="27"/>
      <c r="F293" s="206"/>
      <c r="G293" s="27"/>
      <c r="H293" s="27"/>
      <c r="I293" s="29" t="str">
        <f t="shared" si="43"/>
        <v/>
      </c>
      <c r="J293" s="29"/>
      <c r="K293" s="27"/>
      <c r="L293" s="27"/>
      <c r="M293" s="27"/>
      <c r="N293" s="27"/>
      <c r="O293" s="27"/>
      <c r="P293" s="27"/>
      <c r="Q293" s="28"/>
      <c r="R293" s="28"/>
      <c r="S293" s="28"/>
      <c r="T293" s="27"/>
      <c r="U293" s="28"/>
      <c r="V293" s="28"/>
      <c r="W293" s="28"/>
      <c r="X293" s="28"/>
      <c r="Y293" s="28"/>
      <c r="Z293" s="28"/>
      <c r="AA293" s="28"/>
      <c r="AB293" s="27"/>
      <c r="AC293" s="27"/>
      <c r="AD293" s="28"/>
      <c r="AE293" s="28"/>
      <c r="AF293" s="27"/>
      <c r="AG293" s="27"/>
      <c r="AH293" s="27"/>
      <c r="AI293" s="27"/>
      <c r="AJ293" s="27"/>
      <c r="AK293" s="27"/>
      <c r="AL293" s="27"/>
      <c r="AM293" s="27"/>
      <c r="AN293" s="27"/>
      <c r="AO293" s="27"/>
      <c r="AP293" s="27"/>
      <c r="AQ293" s="28"/>
      <c r="AR293" s="28"/>
      <c r="AS293" s="27"/>
      <c r="AT293" s="28"/>
      <c r="AU293" s="27"/>
      <c r="AV293" s="27"/>
      <c r="AW293" s="27"/>
      <c r="AX293" s="27"/>
      <c r="AY293" s="28"/>
      <c r="AZ293" s="28"/>
      <c r="BA293" s="28"/>
      <c r="BB293" s="26"/>
      <c r="BC293" s="27"/>
      <c r="BD293" s="93"/>
      <c r="BE293" s="28"/>
      <c r="BF293" s="28"/>
    </row>
    <row r="294" spans="1:58" ht="20.25" customHeight="1">
      <c r="A294" s="27"/>
      <c r="B294" s="27"/>
      <c r="C294" s="137"/>
      <c r="D294" s="27"/>
      <c r="E294" s="27"/>
      <c r="F294" s="206"/>
      <c r="G294" s="27"/>
      <c r="H294" s="27"/>
      <c r="I294" s="29" t="str">
        <f t="shared" si="43"/>
        <v/>
      </c>
      <c r="J294" s="29"/>
      <c r="K294" s="27"/>
      <c r="L294" s="27"/>
      <c r="M294" s="27"/>
      <c r="N294" s="27"/>
      <c r="O294" s="27"/>
      <c r="P294" s="27"/>
      <c r="Q294" s="28"/>
      <c r="R294" s="28"/>
      <c r="S294" s="28"/>
      <c r="T294" s="27"/>
      <c r="U294" s="28"/>
      <c r="V294" s="28"/>
      <c r="W294" s="28"/>
      <c r="X294" s="28"/>
      <c r="Y294" s="28"/>
      <c r="Z294" s="28"/>
      <c r="AA294" s="28"/>
      <c r="AB294" s="27"/>
      <c r="AC294" s="27"/>
      <c r="AD294" s="28"/>
      <c r="AE294" s="28"/>
      <c r="AF294" s="27"/>
      <c r="AG294" s="27"/>
      <c r="AH294" s="27"/>
      <c r="AI294" s="27"/>
      <c r="AJ294" s="27"/>
      <c r="AK294" s="27"/>
      <c r="AL294" s="27"/>
      <c r="AM294" s="27"/>
      <c r="AN294" s="27"/>
      <c r="AO294" s="27"/>
      <c r="AP294" s="27"/>
      <c r="AQ294" s="28"/>
      <c r="AR294" s="28"/>
      <c r="AS294" s="27"/>
      <c r="AT294" s="28"/>
      <c r="AU294" s="27"/>
      <c r="AV294" s="27"/>
      <c r="AW294" s="27"/>
      <c r="AX294" s="27"/>
      <c r="AY294" s="28"/>
      <c r="AZ294" s="28"/>
      <c r="BA294" s="28"/>
      <c r="BB294" s="26"/>
      <c r="BC294" s="27"/>
      <c r="BD294" s="93"/>
      <c r="BE294" s="28"/>
      <c r="BF294" s="28"/>
    </row>
    <row r="295" spans="1:58" ht="20.25" customHeight="1">
      <c r="A295" s="27"/>
      <c r="B295" s="27"/>
      <c r="C295" s="137"/>
      <c r="D295" s="27"/>
      <c r="E295" s="27"/>
      <c r="F295" s="206"/>
      <c r="G295" s="27"/>
      <c r="H295" s="27"/>
      <c r="I295" s="29" t="str">
        <f t="shared" si="43"/>
        <v/>
      </c>
      <c r="J295" s="29"/>
      <c r="K295" s="27"/>
      <c r="L295" s="27"/>
      <c r="M295" s="27"/>
      <c r="N295" s="27"/>
      <c r="O295" s="27"/>
      <c r="P295" s="27"/>
      <c r="Q295" s="28"/>
      <c r="R295" s="28"/>
      <c r="S295" s="28"/>
      <c r="T295" s="27"/>
      <c r="U295" s="28"/>
      <c r="V295" s="28"/>
      <c r="W295" s="28"/>
      <c r="X295" s="28"/>
      <c r="Y295" s="28"/>
      <c r="Z295" s="28"/>
      <c r="AA295" s="28"/>
      <c r="AB295" s="27"/>
      <c r="AC295" s="27"/>
      <c r="AD295" s="28"/>
      <c r="AE295" s="28"/>
      <c r="AF295" s="27"/>
      <c r="AG295" s="27"/>
      <c r="AH295" s="27"/>
      <c r="AI295" s="27"/>
      <c r="AJ295" s="27"/>
      <c r="AK295" s="27"/>
      <c r="AL295" s="27"/>
      <c r="AM295" s="27"/>
      <c r="AN295" s="27"/>
      <c r="AO295" s="27"/>
      <c r="AP295" s="27"/>
      <c r="AQ295" s="28"/>
      <c r="AR295" s="28"/>
      <c r="AS295" s="27"/>
      <c r="AT295" s="28"/>
      <c r="AU295" s="27"/>
      <c r="AV295" s="27"/>
      <c r="AW295" s="27"/>
      <c r="AX295" s="27"/>
      <c r="AY295" s="28"/>
      <c r="AZ295" s="28"/>
      <c r="BA295" s="28"/>
      <c r="BB295" s="26"/>
      <c r="BC295" s="27"/>
      <c r="BD295" s="93"/>
      <c r="BE295" s="28"/>
      <c r="BF295" s="28"/>
    </row>
    <row r="296" spans="1:58" ht="20.25" customHeight="1">
      <c r="A296" s="27"/>
      <c r="B296" s="27"/>
      <c r="C296" s="137"/>
      <c r="D296" s="27"/>
      <c r="E296" s="27"/>
      <c r="F296" s="206"/>
      <c r="G296" s="27"/>
      <c r="H296" s="27"/>
      <c r="I296" s="29" t="str">
        <f t="shared" si="43"/>
        <v/>
      </c>
      <c r="J296" s="29"/>
      <c r="K296" s="27"/>
      <c r="L296" s="27"/>
      <c r="M296" s="27"/>
      <c r="N296" s="27"/>
      <c r="O296" s="27"/>
      <c r="P296" s="27"/>
      <c r="Q296" s="28"/>
      <c r="R296" s="28"/>
      <c r="S296" s="28"/>
      <c r="T296" s="27"/>
      <c r="U296" s="28"/>
      <c r="V296" s="28"/>
      <c r="W296" s="28"/>
      <c r="X296" s="28"/>
      <c r="Y296" s="28"/>
      <c r="Z296" s="28"/>
      <c r="AA296" s="28"/>
      <c r="AB296" s="27"/>
      <c r="AC296" s="27"/>
      <c r="AD296" s="28"/>
      <c r="AE296" s="28"/>
      <c r="AF296" s="27"/>
      <c r="AG296" s="27"/>
      <c r="AH296" s="27"/>
      <c r="AI296" s="27"/>
      <c r="AJ296" s="27"/>
      <c r="AK296" s="27"/>
      <c r="AL296" s="27"/>
      <c r="AM296" s="27"/>
      <c r="AN296" s="27"/>
      <c r="AO296" s="27"/>
      <c r="AP296" s="27"/>
      <c r="AQ296" s="28"/>
      <c r="AR296" s="28"/>
      <c r="AS296" s="27"/>
      <c r="AT296" s="28"/>
      <c r="AU296" s="27"/>
      <c r="AV296" s="27"/>
      <c r="AW296" s="27"/>
      <c r="AX296" s="27"/>
      <c r="AY296" s="28"/>
      <c r="AZ296" s="28"/>
      <c r="BA296" s="28"/>
      <c r="BB296" s="26"/>
      <c r="BC296" s="27"/>
      <c r="BD296" s="93"/>
      <c r="BE296" s="28"/>
      <c r="BF296" s="28"/>
    </row>
    <row r="297" spans="1:58" ht="20.25" customHeight="1">
      <c r="A297" s="27"/>
      <c r="B297" s="27"/>
      <c r="C297" s="137"/>
      <c r="D297" s="27"/>
      <c r="E297" s="27"/>
      <c r="F297" s="206"/>
      <c r="G297" s="27"/>
      <c r="H297" s="27"/>
      <c r="I297" s="29" t="str">
        <f t="shared" si="43"/>
        <v/>
      </c>
      <c r="J297" s="29"/>
      <c r="K297" s="27"/>
      <c r="L297" s="27"/>
      <c r="M297" s="27"/>
      <c r="N297" s="27"/>
      <c r="O297" s="27"/>
      <c r="P297" s="27"/>
      <c r="Q297" s="28"/>
      <c r="R297" s="28"/>
      <c r="S297" s="28"/>
      <c r="T297" s="27"/>
      <c r="U297" s="28"/>
      <c r="V297" s="28"/>
      <c r="W297" s="28"/>
      <c r="X297" s="28"/>
      <c r="Y297" s="28"/>
      <c r="Z297" s="28"/>
      <c r="AA297" s="28"/>
      <c r="AB297" s="27"/>
      <c r="AC297" s="27"/>
      <c r="AD297" s="28"/>
      <c r="AE297" s="28"/>
      <c r="AF297" s="27"/>
      <c r="AG297" s="27"/>
      <c r="AH297" s="27"/>
      <c r="AI297" s="27"/>
      <c r="AJ297" s="27"/>
      <c r="AK297" s="27"/>
      <c r="AL297" s="27"/>
      <c r="AM297" s="27"/>
      <c r="AN297" s="27"/>
      <c r="AO297" s="27"/>
      <c r="AP297" s="27"/>
      <c r="AQ297" s="28"/>
      <c r="AR297" s="28"/>
      <c r="AS297" s="27"/>
      <c r="AT297" s="28"/>
      <c r="AU297" s="27"/>
      <c r="AV297" s="27"/>
      <c r="AW297" s="27"/>
      <c r="AX297" s="27"/>
      <c r="AY297" s="28"/>
      <c r="AZ297" s="28"/>
      <c r="BA297" s="28"/>
      <c r="BB297" s="26"/>
      <c r="BC297" s="27"/>
      <c r="BD297" s="93"/>
      <c r="BE297" s="28"/>
      <c r="BF297" s="28"/>
    </row>
    <row r="298" spans="1:58" ht="20.25" customHeight="1">
      <c r="A298" s="27"/>
      <c r="B298" s="27"/>
      <c r="C298" s="137"/>
      <c r="D298" s="27"/>
      <c r="E298" s="27"/>
      <c r="F298" s="206"/>
      <c r="G298" s="27"/>
      <c r="H298" s="27"/>
      <c r="I298" s="29" t="str">
        <f t="shared" si="43"/>
        <v/>
      </c>
      <c r="J298" s="29"/>
      <c r="K298" s="27"/>
      <c r="L298" s="27"/>
      <c r="M298" s="27"/>
      <c r="N298" s="27"/>
      <c r="O298" s="27"/>
      <c r="P298" s="27"/>
      <c r="Q298" s="28"/>
      <c r="R298" s="28"/>
      <c r="S298" s="28"/>
      <c r="T298" s="27"/>
      <c r="U298" s="28"/>
      <c r="V298" s="28"/>
      <c r="W298" s="28"/>
      <c r="X298" s="28"/>
      <c r="Y298" s="28"/>
      <c r="Z298" s="28"/>
      <c r="AA298" s="28"/>
      <c r="AB298" s="27"/>
      <c r="AC298" s="27"/>
      <c r="AD298" s="28"/>
      <c r="AE298" s="28"/>
      <c r="AF298" s="27"/>
      <c r="AG298" s="27"/>
      <c r="AH298" s="27"/>
      <c r="AI298" s="27"/>
      <c r="AJ298" s="27"/>
      <c r="AK298" s="27"/>
      <c r="AL298" s="27"/>
      <c r="AM298" s="27"/>
      <c r="AN298" s="27"/>
      <c r="AO298" s="27"/>
      <c r="AP298" s="27"/>
      <c r="AQ298" s="28"/>
      <c r="AR298" s="28"/>
      <c r="AS298" s="27"/>
      <c r="AT298" s="28"/>
      <c r="AU298" s="27"/>
      <c r="AV298" s="27"/>
      <c r="AW298" s="27"/>
      <c r="AX298" s="27"/>
      <c r="AY298" s="28"/>
      <c r="AZ298" s="28"/>
      <c r="BA298" s="28"/>
      <c r="BB298" s="26"/>
      <c r="BC298" s="27"/>
      <c r="BD298" s="93"/>
      <c r="BE298" s="28"/>
      <c r="BF298" s="28"/>
    </row>
    <row r="299" spans="1:58" ht="20.25" customHeight="1">
      <c r="A299" s="27"/>
      <c r="B299" s="27"/>
      <c r="C299" s="137"/>
      <c r="D299" s="27"/>
      <c r="E299" s="27"/>
      <c r="F299" s="206"/>
      <c r="G299" s="27"/>
      <c r="H299" s="27"/>
      <c r="I299" s="29" t="str">
        <f t="shared" si="43"/>
        <v/>
      </c>
      <c r="J299" s="29"/>
      <c r="K299" s="27"/>
      <c r="L299" s="27"/>
      <c r="M299" s="27"/>
      <c r="N299" s="27"/>
      <c r="O299" s="27"/>
      <c r="P299" s="27"/>
      <c r="Q299" s="28"/>
      <c r="R299" s="28"/>
      <c r="S299" s="28"/>
      <c r="T299" s="27"/>
      <c r="U299" s="28"/>
      <c r="V299" s="28"/>
      <c r="W299" s="28"/>
      <c r="X299" s="28"/>
      <c r="Y299" s="28"/>
      <c r="Z299" s="28"/>
      <c r="AA299" s="28"/>
      <c r="AB299" s="27"/>
      <c r="AC299" s="27"/>
      <c r="AD299" s="28"/>
      <c r="AE299" s="28"/>
      <c r="AF299" s="27"/>
      <c r="AG299" s="27"/>
      <c r="AH299" s="27"/>
      <c r="AI299" s="27"/>
      <c r="AJ299" s="27"/>
      <c r="AK299" s="27"/>
      <c r="AL299" s="27"/>
      <c r="AM299" s="27"/>
      <c r="AN299" s="27"/>
      <c r="AO299" s="27"/>
      <c r="AP299" s="27"/>
      <c r="AQ299" s="28"/>
      <c r="AR299" s="28"/>
      <c r="AS299" s="27"/>
      <c r="AT299" s="28"/>
      <c r="AU299" s="27"/>
      <c r="AV299" s="27"/>
      <c r="AW299" s="27"/>
      <c r="AX299" s="27"/>
      <c r="AY299" s="28"/>
      <c r="AZ299" s="28"/>
      <c r="BA299" s="28"/>
      <c r="BB299" s="26"/>
      <c r="BC299" s="27"/>
      <c r="BD299" s="93"/>
      <c r="BE299" s="28"/>
      <c r="BF299" s="28"/>
    </row>
    <row r="300" spans="1:58" ht="20.25" customHeight="1">
      <c r="A300" s="27"/>
      <c r="B300" s="27"/>
      <c r="C300" s="137"/>
      <c r="D300" s="27"/>
      <c r="E300" s="27"/>
      <c r="F300" s="206"/>
      <c r="G300" s="27"/>
      <c r="H300" s="27"/>
      <c r="I300" s="29" t="str">
        <f t="shared" si="43"/>
        <v/>
      </c>
      <c r="J300" s="29"/>
      <c r="K300" s="27"/>
      <c r="L300" s="27"/>
      <c r="M300" s="27"/>
      <c r="N300" s="27"/>
      <c r="O300" s="27"/>
      <c r="P300" s="27"/>
      <c r="Q300" s="28"/>
      <c r="R300" s="28"/>
      <c r="S300" s="28"/>
      <c r="T300" s="27"/>
      <c r="U300" s="28"/>
      <c r="V300" s="28"/>
      <c r="W300" s="28"/>
      <c r="X300" s="28"/>
      <c r="Y300" s="28"/>
      <c r="Z300" s="28"/>
      <c r="AA300" s="28"/>
      <c r="AB300" s="27"/>
      <c r="AC300" s="27"/>
      <c r="AD300" s="28"/>
      <c r="AE300" s="28"/>
      <c r="AF300" s="27"/>
      <c r="AG300" s="27"/>
      <c r="AH300" s="27"/>
      <c r="AI300" s="27"/>
      <c r="AJ300" s="27"/>
      <c r="AK300" s="27"/>
      <c r="AL300" s="27"/>
      <c r="AM300" s="27"/>
      <c r="AN300" s="27"/>
      <c r="AO300" s="27"/>
      <c r="AP300" s="27"/>
      <c r="AQ300" s="28"/>
      <c r="AR300" s="28"/>
      <c r="AS300" s="27"/>
      <c r="AT300" s="28"/>
      <c r="AU300" s="27"/>
      <c r="AV300" s="27"/>
      <c r="AW300" s="27"/>
      <c r="AX300" s="27"/>
      <c r="AY300" s="28"/>
      <c r="AZ300" s="28"/>
      <c r="BA300" s="28"/>
      <c r="BB300" s="26"/>
      <c r="BC300" s="27"/>
      <c r="BD300" s="93"/>
      <c r="BE300" s="28"/>
      <c r="BF300" s="28"/>
    </row>
    <row r="301" spans="1:58" ht="20.25" customHeight="1">
      <c r="A301" s="27"/>
      <c r="B301" s="27"/>
      <c r="C301" s="137"/>
      <c r="D301" s="27"/>
      <c r="E301" s="27"/>
      <c r="F301" s="206"/>
      <c r="G301" s="27"/>
      <c r="H301" s="27"/>
      <c r="I301" s="29" t="str">
        <f t="shared" si="43"/>
        <v/>
      </c>
      <c r="J301" s="29"/>
      <c r="K301" s="27"/>
      <c r="L301" s="27"/>
      <c r="M301" s="27"/>
      <c r="N301" s="27"/>
      <c r="O301" s="27"/>
      <c r="P301" s="27"/>
      <c r="Q301" s="28"/>
      <c r="R301" s="28"/>
      <c r="S301" s="28"/>
      <c r="T301" s="27"/>
      <c r="U301" s="28"/>
      <c r="V301" s="28"/>
      <c r="W301" s="28"/>
      <c r="X301" s="28"/>
      <c r="Y301" s="28"/>
      <c r="Z301" s="28"/>
      <c r="AA301" s="28"/>
      <c r="AB301" s="27"/>
      <c r="AC301" s="27"/>
      <c r="AD301" s="28"/>
      <c r="AE301" s="28"/>
      <c r="AF301" s="27"/>
      <c r="AG301" s="27"/>
      <c r="AH301" s="27"/>
      <c r="AI301" s="27"/>
      <c r="AJ301" s="27"/>
      <c r="AK301" s="27"/>
      <c r="AL301" s="27"/>
      <c r="AM301" s="27"/>
      <c r="AN301" s="27"/>
      <c r="AO301" s="27"/>
      <c r="AP301" s="27"/>
      <c r="AQ301" s="28"/>
      <c r="AR301" s="28"/>
      <c r="AS301" s="27"/>
      <c r="AT301" s="28"/>
      <c r="AU301" s="27"/>
      <c r="AV301" s="27"/>
      <c r="AW301" s="27"/>
      <c r="AX301" s="27"/>
      <c r="AY301" s="28"/>
      <c r="AZ301" s="28"/>
      <c r="BA301" s="28"/>
      <c r="BB301" s="26"/>
      <c r="BC301" s="27"/>
      <c r="BD301" s="93"/>
      <c r="BE301" s="28"/>
      <c r="BF301" s="28"/>
    </row>
    <row r="302" spans="1:58" ht="20.25" customHeight="1">
      <c r="A302" s="27"/>
      <c r="B302" s="27"/>
      <c r="C302" s="137"/>
      <c r="D302" s="27"/>
      <c r="E302" s="27"/>
      <c r="F302" s="206"/>
      <c r="G302" s="27"/>
      <c r="H302" s="27"/>
      <c r="I302" s="29" t="str">
        <f t="shared" si="43"/>
        <v/>
      </c>
      <c r="J302" s="29"/>
      <c r="K302" s="27"/>
      <c r="L302" s="27"/>
      <c r="M302" s="27"/>
      <c r="N302" s="27"/>
      <c r="O302" s="27"/>
      <c r="P302" s="27"/>
      <c r="Q302" s="28"/>
      <c r="R302" s="28"/>
      <c r="S302" s="28"/>
      <c r="T302" s="27"/>
      <c r="U302" s="28"/>
      <c r="V302" s="28"/>
      <c r="W302" s="28"/>
      <c r="X302" s="28"/>
      <c r="Y302" s="28"/>
      <c r="Z302" s="28"/>
      <c r="AA302" s="28"/>
      <c r="AB302" s="27"/>
      <c r="AC302" s="27"/>
      <c r="AD302" s="28"/>
      <c r="AE302" s="28"/>
      <c r="AF302" s="27"/>
      <c r="AG302" s="27"/>
      <c r="AH302" s="27"/>
      <c r="AI302" s="27"/>
      <c r="AJ302" s="27"/>
      <c r="AK302" s="27"/>
      <c r="AL302" s="27"/>
      <c r="AM302" s="27"/>
      <c r="AN302" s="27"/>
      <c r="AO302" s="27"/>
      <c r="AP302" s="27"/>
      <c r="AQ302" s="28"/>
      <c r="AR302" s="28"/>
      <c r="AS302" s="27"/>
      <c r="AT302" s="28"/>
      <c r="AU302" s="27"/>
      <c r="AV302" s="27"/>
      <c r="AW302" s="27"/>
      <c r="AX302" s="27"/>
      <c r="AY302" s="28"/>
      <c r="AZ302" s="28"/>
      <c r="BA302" s="28"/>
      <c r="BB302" s="26"/>
      <c r="BC302" s="27"/>
      <c r="BD302" s="93"/>
      <c r="BE302" s="28"/>
      <c r="BF302" s="28"/>
    </row>
    <row r="303" spans="1:58" ht="20.25" customHeight="1">
      <c r="A303" s="27"/>
      <c r="B303" s="27"/>
      <c r="C303" s="137"/>
      <c r="D303" s="27"/>
      <c r="E303" s="27"/>
      <c r="F303" s="206"/>
      <c r="G303" s="27"/>
      <c r="H303" s="27"/>
      <c r="I303" s="29" t="str">
        <f t="shared" si="43"/>
        <v/>
      </c>
      <c r="J303" s="29"/>
      <c r="K303" s="27"/>
      <c r="L303" s="27"/>
      <c r="M303" s="27"/>
      <c r="N303" s="27"/>
      <c r="O303" s="27"/>
      <c r="P303" s="27"/>
      <c r="Q303" s="28"/>
      <c r="R303" s="28"/>
      <c r="S303" s="28"/>
      <c r="T303" s="27"/>
      <c r="U303" s="28"/>
      <c r="V303" s="28"/>
      <c r="W303" s="28"/>
      <c r="X303" s="28"/>
      <c r="Y303" s="28"/>
      <c r="Z303" s="28"/>
      <c r="AA303" s="28"/>
      <c r="AB303" s="27"/>
      <c r="AC303" s="27"/>
      <c r="AD303" s="28"/>
      <c r="AE303" s="28"/>
      <c r="AF303" s="27"/>
      <c r="AG303" s="27"/>
      <c r="AH303" s="27"/>
      <c r="AI303" s="27"/>
      <c r="AJ303" s="27"/>
      <c r="AK303" s="27"/>
      <c r="AL303" s="27"/>
      <c r="AM303" s="27"/>
      <c r="AN303" s="27"/>
      <c r="AO303" s="27"/>
      <c r="AP303" s="27"/>
      <c r="AQ303" s="28"/>
      <c r="AR303" s="28"/>
      <c r="AS303" s="27"/>
      <c r="AT303" s="28"/>
      <c r="AU303" s="27"/>
      <c r="AV303" s="27"/>
      <c r="AW303" s="27"/>
      <c r="AX303" s="27"/>
      <c r="AY303" s="28"/>
      <c r="AZ303" s="28"/>
      <c r="BA303" s="28"/>
      <c r="BB303" s="26"/>
      <c r="BC303" s="27"/>
      <c r="BD303" s="93"/>
      <c r="BE303" s="28"/>
      <c r="BF303" s="28"/>
    </row>
    <row r="304" spans="1:58" ht="20.25" customHeight="1">
      <c r="A304" s="27"/>
      <c r="B304" s="27"/>
      <c r="C304" s="137"/>
      <c r="D304" s="27"/>
      <c r="E304" s="27"/>
      <c r="F304" s="206"/>
      <c r="G304" s="27"/>
      <c r="H304" s="27"/>
      <c r="I304" s="29" t="str">
        <f t="shared" si="43"/>
        <v/>
      </c>
      <c r="J304" s="29"/>
      <c r="K304" s="27"/>
      <c r="L304" s="27"/>
      <c r="M304" s="27"/>
      <c r="N304" s="27"/>
      <c r="O304" s="27"/>
      <c r="P304" s="27"/>
      <c r="Q304" s="28"/>
      <c r="R304" s="28"/>
      <c r="S304" s="28"/>
      <c r="T304" s="27"/>
      <c r="U304" s="28"/>
      <c r="V304" s="28"/>
      <c r="W304" s="28"/>
      <c r="X304" s="28"/>
      <c r="Y304" s="28"/>
      <c r="Z304" s="28"/>
      <c r="AA304" s="28"/>
      <c r="AB304" s="27"/>
      <c r="AC304" s="27"/>
      <c r="AD304" s="28"/>
      <c r="AE304" s="28"/>
      <c r="AF304" s="27"/>
      <c r="AG304" s="27"/>
      <c r="AH304" s="27"/>
      <c r="AI304" s="27"/>
      <c r="AJ304" s="27"/>
      <c r="AK304" s="27"/>
      <c r="AL304" s="27"/>
      <c r="AM304" s="27"/>
      <c r="AN304" s="27"/>
      <c r="AO304" s="27"/>
      <c r="AP304" s="27"/>
      <c r="AQ304" s="28"/>
      <c r="AR304" s="28"/>
      <c r="AS304" s="27"/>
      <c r="AT304" s="28"/>
      <c r="AU304" s="27"/>
      <c r="AV304" s="27"/>
      <c r="AW304" s="27"/>
      <c r="AX304" s="27"/>
      <c r="AY304" s="28"/>
      <c r="AZ304" s="28"/>
      <c r="BA304" s="28"/>
      <c r="BB304" s="26"/>
      <c r="BC304" s="27"/>
      <c r="BD304" s="93"/>
      <c r="BE304" s="28"/>
      <c r="BF304" s="28"/>
    </row>
    <row r="305" spans="1:58" ht="20.25" customHeight="1">
      <c r="A305" s="27"/>
      <c r="B305" s="27"/>
      <c r="C305" s="137"/>
      <c r="D305" s="27"/>
      <c r="E305" s="27"/>
      <c r="F305" s="206"/>
      <c r="G305" s="27"/>
      <c r="H305" s="27"/>
      <c r="I305" s="29" t="str">
        <f t="shared" si="43"/>
        <v/>
      </c>
      <c r="J305" s="29"/>
      <c r="K305" s="27"/>
      <c r="L305" s="27"/>
      <c r="M305" s="27"/>
      <c r="N305" s="27"/>
      <c r="O305" s="27"/>
      <c r="P305" s="27"/>
      <c r="Q305" s="28"/>
      <c r="R305" s="28"/>
      <c r="S305" s="28"/>
      <c r="T305" s="27"/>
      <c r="U305" s="28"/>
      <c r="V305" s="28"/>
      <c r="W305" s="28"/>
      <c r="X305" s="28"/>
      <c r="Y305" s="28"/>
      <c r="Z305" s="28"/>
      <c r="AA305" s="28"/>
      <c r="AB305" s="27"/>
      <c r="AC305" s="27"/>
      <c r="AD305" s="28"/>
      <c r="AE305" s="28"/>
      <c r="AF305" s="27"/>
      <c r="AG305" s="27"/>
      <c r="AH305" s="27"/>
      <c r="AI305" s="27"/>
      <c r="AJ305" s="27"/>
      <c r="AK305" s="27"/>
      <c r="AL305" s="27"/>
      <c r="AM305" s="27"/>
      <c r="AN305" s="27"/>
      <c r="AO305" s="27"/>
      <c r="AP305" s="27"/>
      <c r="AQ305" s="28"/>
      <c r="AR305" s="28"/>
      <c r="AS305" s="27"/>
      <c r="AT305" s="28"/>
      <c r="AU305" s="27"/>
      <c r="AV305" s="27"/>
      <c r="AW305" s="27"/>
      <c r="AX305" s="27"/>
      <c r="AY305" s="28"/>
      <c r="AZ305" s="28"/>
      <c r="BA305" s="28"/>
      <c r="BB305" s="26"/>
      <c r="BC305" s="27"/>
      <c r="BD305" s="93"/>
      <c r="BE305" s="28"/>
      <c r="BF305" s="28"/>
    </row>
    <row r="306" spans="1:58" ht="20.25" customHeight="1">
      <c r="A306" s="27"/>
      <c r="B306" s="27"/>
      <c r="C306" s="137"/>
      <c r="D306" s="27"/>
      <c r="E306" s="27"/>
      <c r="F306" s="206"/>
      <c r="G306" s="27"/>
      <c r="H306" s="27"/>
      <c r="I306" s="29" t="str">
        <f t="shared" si="43"/>
        <v/>
      </c>
      <c r="J306" s="29"/>
      <c r="K306" s="27"/>
      <c r="L306" s="27"/>
      <c r="M306" s="27"/>
      <c r="N306" s="27"/>
      <c r="O306" s="27"/>
      <c r="P306" s="27"/>
      <c r="Q306" s="28"/>
      <c r="R306" s="28"/>
      <c r="S306" s="28"/>
      <c r="T306" s="27"/>
      <c r="U306" s="28"/>
      <c r="V306" s="28"/>
      <c r="W306" s="28"/>
      <c r="X306" s="28"/>
      <c r="Y306" s="28"/>
      <c r="Z306" s="28"/>
      <c r="AA306" s="28"/>
      <c r="AB306" s="27"/>
      <c r="AC306" s="27"/>
      <c r="AD306" s="28"/>
      <c r="AE306" s="28"/>
      <c r="AF306" s="27"/>
      <c r="AG306" s="27"/>
      <c r="AH306" s="27"/>
      <c r="AI306" s="27"/>
      <c r="AJ306" s="27"/>
      <c r="AK306" s="27"/>
      <c r="AL306" s="27"/>
      <c r="AM306" s="27"/>
      <c r="AN306" s="27"/>
      <c r="AO306" s="27"/>
      <c r="AP306" s="27"/>
      <c r="AQ306" s="28"/>
      <c r="AR306" s="28"/>
      <c r="AS306" s="27"/>
      <c r="AT306" s="28"/>
      <c r="AU306" s="27"/>
      <c r="AV306" s="27"/>
      <c r="AW306" s="27"/>
      <c r="AX306" s="27"/>
      <c r="AY306" s="28"/>
      <c r="AZ306" s="28"/>
      <c r="BA306" s="28"/>
      <c r="BB306" s="26"/>
      <c r="BC306" s="27"/>
      <c r="BD306" s="93"/>
      <c r="BE306" s="28"/>
      <c r="BF306" s="28"/>
    </row>
    <row r="307" spans="1:58" ht="20.25" customHeight="1">
      <c r="A307" s="27"/>
      <c r="B307" s="27"/>
      <c r="C307" s="137"/>
      <c r="D307" s="27"/>
      <c r="E307" s="27"/>
      <c r="F307" s="206"/>
      <c r="G307" s="27"/>
      <c r="H307" s="27"/>
      <c r="I307" s="29" t="str">
        <f t="shared" si="43"/>
        <v/>
      </c>
      <c r="J307" s="29"/>
      <c r="K307" s="27"/>
      <c r="L307" s="27"/>
      <c r="M307" s="27"/>
      <c r="N307" s="27"/>
      <c r="O307" s="27"/>
      <c r="P307" s="27"/>
      <c r="Q307" s="28"/>
      <c r="R307" s="28"/>
      <c r="S307" s="28"/>
      <c r="T307" s="27"/>
      <c r="U307" s="28"/>
      <c r="V307" s="28"/>
      <c r="W307" s="28"/>
      <c r="X307" s="28"/>
      <c r="Y307" s="28"/>
      <c r="Z307" s="28"/>
      <c r="AA307" s="28"/>
      <c r="AB307" s="27"/>
      <c r="AC307" s="27"/>
      <c r="AD307" s="28"/>
      <c r="AE307" s="28"/>
      <c r="AF307" s="27"/>
      <c r="AG307" s="27"/>
      <c r="AH307" s="27"/>
      <c r="AI307" s="27"/>
      <c r="AJ307" s="27"/>
      <c r="AK307" s="27"/>
      <c r="AL307" s="27"/>
      <c r="AM307" s="27"/>
      <c r="AN307" s="27"/>
      <c r="AO307" s="27"/>
      <c r="AP307" s="27"/>
      <c r="AQ307" s="28"/>
      <c r="AR307" s="28"/>
      <c r="AS307" s="27"/>
      <c r="AT307" s="28"/>
      <c r="AU307" s="27"/>
      <c r="AV307" s="27"/>
      <c r="AW307" s="27"/>
      <c r="AX307" s="27"/>
      <c r="AY307" s="28"/>
      <c r="AZ307" s="28"/>
      <c r="BA307" s="28"/>
      <c r="BB307" s="26"/>
      <c r="BC307" s="27"/>
      <c r="BD307" s="93"/>
      <c r="BE307" s="28"/>
      <c r="BF307" s="28"/>
    </row>
    <row r="308" spans="1:58" ht="20.25" customHeight="1">
      <c r="A308" s="27"/>
      <c r="B308" s="27"/>
      <c r="C308" s="137"/>
      <c r="D308" s="27"/>
      <c r="E308" s="27"/>
      <c r="F308" s="206"/>
      <c r="G308" s="27"/>
      <c r="H308" s="27"/>
      <c r="I308" s="29" t="str">
        <f t="shared" si="43"/>
        <v/>
      </c>
      <c r="J308" s="29"/>
      <c r="K308" s="27"/>
      <c r="L308" s="27"/>
      <c r="M308" s="27"/>
      <c r="N308" s="27"/>
      <c r="O308" s="27"/>
      <c r="P308" s="27"/>
      <c r="Q308" s="28"/>
      <c r="R308" s="28"/>
      <c r="S308" s="28"/>
      <c r="T308" s="27"/>
      <c r="U308" s="28"/>
      <c r="V308" s="28"/>
      <c r="W308" s="28"/>
      <c r="X308" s="28"/>
      <c r="Y308" s="28"/>
      <c r="Z308" s="28"/>
      <c r="AA308" s="28"/>
      <c r="AB308" s="27"/>
      <c r="AC308" s="27"/>
      <c r="AD308" s="28"/>
      <c r="AE308" s="28"/>
      <c r="AF308" s="27"/>
      <c r="AG308" s="27"/>
      <c r="AH308" s="27"/>
      <c r="AI308" s="27"/>
      <c r="AJ308" s="27"/>
      <c r="AK308" s="27"/>
      <c r="AL308" s="27"/>
      <c r="AM308" s="27"/>
      <c r="AN308" s="27"/>
      <c r="AO308" s="27"/>
      <c r="AP308" s="27"/>
      <c r="AQ308" s="28"/>
      <c r="AR308" s="28"/>
      <c r="AS308" s="27"/>
      <c r="AT308" s="28"/>
      <c r="AU308" s="27"/>
      <c r="AV308" s="27"/>
      <c r="AW308" s="27"/>
      <c r="AX308" s="27"/>
      <c r="AY308" s="28"/>
      <c r="AZ308" s="28"/>
      <c r="BA308" s="28"/>
      <c r="BB308" s="26"/>
      <c r="BC308" s="27"/>
      <c r="BD308" s="93"/>
      <c r="BE308" s="28"/>
      <c r="BF308" s="28"/>
    </row>
    <row r="309" spans="1:58" ht="20.25" customHeight="1">
      <c r="A309" s="27"/>
      <c r="B309" s="27"/>
      <c r="C309" s="137"/>
      <c r="D309" s="27"/>
      <c r="E309" s="27"/>
      <c r="F309" s="206"/>
      <c r="G309" s="27"/>
      <c r="H309" s="27"/>
      <c r="I309" s="29" t="str">
        <f t="shared" si="43"/>
        <v/>
      </c>
      <c r="J309" s="29"/>
      <c r="K309" s="27"/>
      <c r="L309" s="27"/>
      <c r="M309" s="27"/>
      <c r="N309" s="27"/>
      <c r="O309" s="27"/>
      <c r="P309" s="27"/>
      <c r="Q309" s="28"/>
      <c r="R309" s="28"/>
      <c r="S309" s="28"/>
      <c r="T309" s="27"/>
      <c r="U309" s="28"/>
      <c r="V309" s="28"/>
      <c r="W309" s="28"/>
      <c r="X309" s="28"/>
      <c r="Y309" s="28"/>
      <c r="Z309" s="28"/>
      <c r="AA309" s="28"/>
      <c r="AB309" s="27"/>
      <c r="AC309" s="27"/>
      <c r="AD309" s="28"/>
      <c r="AE309" s="28"/>
      <c r="AF309" s="27"/>
      <c r="AG309" s="27"/>
      <c r="AH309" s="27"/>
      <c r="AI309" s="27"/>
      <c r="AJ309" s="27"/>
      <c r="AK309" s="27"/>
      <c r="AL309" s="27"/>
      <c r="AM309" s="27"/>
      <c r="AN309" s="27"/>
      <c r="AO309" s="27"/>
      <c r="AP309" s="27"/>
      <c r="AQ309" s="28"/>
      <c r="AR309" s="28"/>
      <c r="AS309" s="27"/>
      <c r="AT309" s="28"/>
      <c r="AU309" s="27"/>
      <c r="AV309" s="27"/>
      <c r="AW309" s="27"/>
      <c r="AX309" s="27"/>
      <c r="AY309" s="28"/>
      <c r="AZ309" s="28"/>
      <c r="BA309" s="28"/>
      <c r="BB309" s="26"/>
      <c r="BC309" s="27"/>
      <c r="BD309" s="93"/>
      <c r="BE309" s="28"/>
      <c r="BF309" s="28"/>
    </row>
    <row r="310" spans="1:58" ht="20.25" customHeight="1">
      <c r="A310" s="27"/>
      <c r="B310" s="27"/>
      <c r="C310" s="137"/>
      <c r="D310" s="27"/>
      <c r="E310" s="27"/>
      <c r="F310" s="206"/>
      <c r="G310" s="27"/>
      <c r="H310" s="27"/>
      <c r="I310" s="29" t="str">
        <f t="shared" si="43"/>
        <v/>
      </c>
      <c r="J310" s="29"/>
      <c r="K310" s="27"/>
      <c r="L310" s="27"/>
      <c r="M310" s="27"/>
      <c r="N310" s="27"/>
      <c r="O310" s="27"/>
      <c r="P310" s="27"/>
      <c r="Q310" s="28"/>
      <c r="R310" s="28"/>
      <c r="S310" s="28"/>
      <c r="T310" s="27"/>
      <c r="U310" s="28"/>
      <c r="V310" s="28"/>
      <c r="W310" s="28"/>
      <c r="X310" s="28"/>
      <c r="Y310" s="28"/>
      <c r="Z310" s="28"/>
      <c r="AA310" s="28"/>
      <c r="AB310" s="27"/>
      <c r="AC310" s="27"/>
      <c r="AD310" s="28"/>
      <c r="AE310" s="28"/>
      <c r="AF310" s="27"/>
      <c r="AG310" s="27"/>
      <c r="AH310" s="27"/>
      <c r="AI310" s="27"/>
      <c r="AJ310" s="27"/>
      <c r="AK310" s="27"/>
      <c r="AL310" s="27"/>
      <c r="AM310" s="27"/>
      <c r="AN310" s="27"/>
      <c r="AO310" s="27"/>
      <c r="AP310" s="27"/>
      <c r="AQ310" s="28"/>
      <c r="AR310" s="28"/>
      <c r="AS310" s="27"/>
      <c r="AT310" s="28"/>
      <c r="AU310" s="27"/>
      <c r="AV310" s="27"/>
      <c r="AW310" s="27"/>
      <c r="AX310" s="27"/>
      <c r="AY310" s="28"/>
      <c r="AZ310" s="28"/>
      <c r="BA310" s="28"/>
      <c r="BB310" s="26"/>
      <c r="BC310" s="27"/>
      <c r="BD310" s="93"/>
      <c r="BE310" s="28"/>
      <c r="BF310" s="28"/>
    </row>
    <row r="311" spans="1:58" ht="20.25" customHeight="1">
      <c r="A311" s="27"/>
      <c r="B311" s="27"/>
      <c r="C311" s="137"/>
      <c r="D311" s="27"/>
      <c r="E311" s="27"/>
      <c r="F311" s="206"/>
      <c r="G311" s="27"/>
      <c r="H311" s="27"/>
      <c r="I311" s="29" t="str">
        <f t="shared" si="43"/>
        <v/>
      </c>
      <c r="J311" s="29"/>
      <c r="K311" s="27"/>
      <c r="L311" s="27"/>
      <c r="M311" s="27"/>
      <c r="N311" s="27"/>
      <c r="O311" s="27"/>
      <c r="P311" s="27"/>
      <c r="Q311" s="28"/>
      <c r="R311" s="28"/>
      <c r="S311" s="28"/>
      <c r="T311" s="27"/>
      <c r="U311" s="28"/>
      <c r="V311" s="28"/>
      <c r="W311" s="28"/>
      <c r="X311" s="28"/>
      <c r="Y311" s="28"/>
      <c r="Z311" s="28"/>
      <c r="AA311" s="28"/>
      <c r="AB311" s="27"/>
      <c r="AC311" s="27"/>
      <c r="AD311" s="28"/>
      <c r="AE311" s="28"/>
      <c r="AF311" s="27"/>
      <c r="AG311" s="27"/>
      <c r="AH311" s="27"/>
      <c r="AI311" s="27"/>
      <c r="AJ311" s="27"/>
      <c r="AK311" s="27"/>
      <c r="AL311" s="27"/>
      <c r="AM311" s="27"/>
      <c r="AN311" s="27"/>
      <c r="AO311" s="27"/>
      <c r="AP311" s="27"/>
      <c r="AQ311" s="28"/>
      <c r="AR311" s="28"/>
      <c r="AS311" s="27"/>
      <c r="AT311" s="28"/>
      <c r="AU311" s="27"/>
      <c r="AV311" s="27"/>
      <c r="AW311" s="27"/>
      <c r="AX311" s="27"/>
      <c r="AY311" s="28"/>
      <c r="AZ311" s="28"/>
      <c r="BA311" s="28"/>
      <c r="BB311" s="26"/>
      <c r="BC311" s="27"/>
      <c r="BD311" s="93"/>
      <c r="BE311" s="28"/>
      <c r="BF311" s="28"/>
    </row>
    <row r="312" spans="1:58" ht="20.25" customHeight="1">
      <c r="A312" s="27"/>
      <c r="B312" s="27"/>
      <c r="C312" s="137"/>
      <c r="D312" s="27"/>
      <c r="E312" s="27"/>
      <c r="F312" s="206"/>
      <c r="G312" s="27"/>
      <c r="H312" s="27"/>
      <c r="I312" s="29" t="str">
        <f t="shared" si="43"/>
        <v/>
      </c>
      <c r="J312" s="29"/>
      <c r="K312" s="27"/>
      <c r="L312" s="27"/>
      <c r="M312" s="27"/>
      <c r="N312" s="27"/>
      <c r="O312" s="27"/>
      <c r="P312" s="27"/>
      <c r="Q312" s="28"/>
      <c r="R312" s="28"/>
      <c r="S312" s="28"/>
      <c r="T312" s="27"/>
      <c r="U312" s="28"/>
      <c r="V312" s="28"/>
      <c r="W312" s="28"/>
      <c r="X312" s="28"/>
      <c r="Y312" s="28"/>
      <c r="Z312" s="28"/>
      <c r="AA312" s="28"/>
      <c r="AB312" s="27"/>
      <c r="AC312" s="27"/>
      <c r="AD312" s="28"/>
      <c r="AE312" s="28"/>
      <c r="AF312" s="27"/>
      <c r="AG312" s="27"/>
      <c r="AH312" s="27"/>
      <c r="AI312" s="27"/>
      <c r="AJ312" s="27"/>
      <c r="AK312" s="27"/>
      <c r="AL312" s="27"/>
      <c r="AM312" s="27"/>
      <c r="AN312" s="27"/>
      <c r="AO312" s="27"/>
      <c r="AP312" s="27"/>
      <c r="AQ312" s="28"/>
      <c r="AR312" s="28"/>
      <c r="AS312" s="27"/>
      <c r="AT312" s="28"/>
      <c r="AU312" s="27"/>
      <c r="AV312" s="27"/>
      <c r="AW312" s="27"/>
      <c r="AX312" s="27"/>
      <c r="AY312" s="28"/>
      <c r="AZ312" s="28"/>
      <c r="BA312" s="28"/>
      <c r="BB312" s="26"/>
      <c r="BC312" s="27"/>
      <c r="BD312" s="93"/>
      <c r="BE312" s="28"/>
      <c r="BF312" s="28"/>
    </row>
    <row r="313" spans="1:58" ht="20.25" customHeight="1">
      <c r="A313" s="27"/>
      <c r="B313" s="27"/>
      <c r="C313" s="137"/>
      <c r="D313" s="27"/>
      <c r="E313" s="27"/>
      <c r="F313" s="206"/>
      <c r="G313" s="27"/>
      <c r="H313" s="27"/>
      <c r="I313" s="29" t="str">
        <f t="shared" si="43"/>
        <v/>
      </c>
      <c r="J313" s="29"/>
      <c r="K313" s="27"/>
      <c r="L313" s="27"/>
      <c r="M313" s="27"/>
      <c r="N313" s="27"/>
      <c r="O313" s="27"/>
      <c r="P313" s="27"/>
      <c r="Q313" s="28"/>
      <c r="R313" s="28"/>
      <c r="S313" s="28"/>
      <c r="T313" s="27"/>
      <c r="U313" s="28"/>
      <c r="V313" s="28"/>
      <c r="W313" s="28"/>
      <c r="X313" s="28"/>
      <c r="Y313" s="28"/>
      <c r="Z313" s="28"/>
      <c r="AA313" s="28"/>
      <c r="AB313" s="27"/>
      <c r="AC313" s="27"/>
      <c r="AD313" s="28"/>
      <c r="AE313" s="28"/>
      <c r="AF313" s="27"/>
      <c r="AG313" s="27"/>
      <c r="AH313" s="27"/>
      <c r="AI313" s="27"/>
      <c r="AJ313" s="27"/>
      <c r="AK313" s="27"/>
      <c r="AL313" s="27"/>
      <c r="AM313" s="27"/>
      <c r="AN313" s="27"/>
      <c r="AO313" s="27"/>
      <c r="AP313" s="27"/>
      <c r="AQ313" s="28"/>
      <c r="AR313" s="28"/>
      <c r="AS313" s="27"/>
      <c r="AT313" s="28"/>
      <c r="AU313" s="27"/>
      <c r="AV313" s="27"/>
      <c r="AW313" s="27"/>
      <c r="AX313" s="27"/>
      <c r="AY313" s="28"/>
      <c r="AZ313" s="28"/>
      <c r="BA313" s="28"/>
      <c r="BB313" s="26"/>
      <c r="BC313" s="27"/>
      <c r="BD313" s="93"/>
      <c r="BE313" s="28"/>
      <c r="BF313" s="28"/>
    </row>
    <row r="314" spans="1:58" ht="20.25" customHeight="1">
      <c r="A314" s="27"/>
      <c r="B314" s="27"/>
      <c r="C314" s="137"/>
      <c r="D314" s="27"/>
      <c r="E314" s="27"/>
      <c r="F314" s="206"/>
      <c r="G314" s="27"/>
      <c r="H314" s="27"/>
      <c r="I314" s="29" t="str">
        <f t="shared" si="43"/>
        <v/>
      </c>
      <c r="J314" s="29"/>
      <c r="K314" s="27"/>
      <c r="L314" s="27"/>
      <c r="M314" s="27"/>
      <c r="N314" s="27"/>
      <c r="O314" s="27"/>
      <c r="P314" s="27"/>
      <c r="Q314" s="28"/>
      <c r="R314" s="28"/>
      <c r="S314" s="28"/>
      <c r="T314" s="27"/>
      <c r="U314" s="28"/>
      <c r="V314" s="28"/>
      <c r="W314" s="28"/>
      <c r="X314" s="28"/>
      <c r="Y314" s="28"/>
      <c r="Z314" s="28"/>
      <c r="AA314" s="28"/>
      <c r="AB314" s="27"/>
      <c r="AC314" s="27"/>
      <c r="AD314" s="28"/>
      <c r="AE314" s="28"/>
      <c r="AF314" s="27"/>
      <c r="AG314" s="27"/>
      <c r="AH314" s="27"/>
      <c r="AI314" s="27"/>
      <c r="AJ314" s="27"/>
      <c r="AK314" s="27"/>
      <c r="AL314" s="27"/>
      <c r="AM314" s="27"/>
      <c r="AN314" s="27"/>
      <c r="AO314" s="27"/>
      <c r="AP314" s="27"/>
      <c r="AQ314" s="28"/>
      <c r="AR314" s="28"/>
      <c r="AS314" s="27"/>
      <c r="AT314" s="28"/>
      <c r="AU314" s="27"/>
      <c r="AV314" s="27"/>
      <c r="AW314" s="27"/>
      <c r="AX314" s="27"/>
      <c r="AY314" s="28"/>
      <c r="AZ314" s="28"/>
      <c r="BA314" s="28"/>
      <c r="BB314" s="26"/>
      <c r="BC314" s="27"/>
      <c r="BD314" s="93"/>
      <c r="BE314" s="28"/>
      <c r="BF314" s="28"/>
    </row>
    <row r="315" spans="1:58" ht="20.25" customHeight="1">
      <c r="A315" s="27"/>
      <c r="B315" s="27"/>
      <c r="C315" s="137"/>
      <c r="D315" s="27"/>
      <c r="E315" s="27"/>
      <c r="F315" s="206"/>
      <c r="G315" s="27"/>
      <c r="H315" s="27"/>
      <c r="I315" s="29" t="str">
        <f t="shared" si="43"/>
        <v/>
      </c>
      <c r="J315" s="29"/>
      <c r="K315" s="27"/>
      <c r="L315" s="27"/>
      <c r="M315" s="27"/>
      <c r="N315" s="27"/>
      <c r="O315" s="27"/>
      <c r="P315" s="27"/>
      <c r="Q315" s="28"/>
      <c r="R315" s="28"/>
      <c r="S315" s="28"/>
      <c r="T315" s="27"/>
      <c r="U315" s="28"/>
      <c r="V315" s="28"/>
      <c r="W315" s="28"/>
      <c r="X315" s="28"/>
      <c r="Y315" s="28"/>
      <c r="Z315" s="28"/>
      <c r="AA315" s="28"/>
      <c r="AB315" s="27"/>
      <c r="AC315" s="27"/>
      <c r="AD315" s="28"/>
      <c r="AE315" s="28"/>
      <c r="AF315" s="27"/>
      <c r="AG315" s="27"/>
      <c r="AH315" s="27"/>
      <c r="AI315" s="27"/>
      <c r="AJ315" s="27"/>
      <c r="AK315" s="27"/>
      <c r="AL315" s="27"/>
      <c r="AM315" s="27"/>
      <c r="AN315" s="27"/>
      <c r="AO315" s="27"/>
      <c r="AP315" s="27"/>
      <c r="AQ315" s="28"/>
      <c r="AR315" s="28"/>
      <c r="AS315" s="27"/>
      <c r="AT315" s="28"/>
      <c r="AU315" s="27"/>
      <c r="AV315" s="27"/>
      <c r="AW315" s="27"/>
      <c r="AX315" s="27"/>
      <c r="AY315" s="28"/>
      <c r="AZ315" s="28"/>
      <c r="BA315" s="28"/>
      <c r="BB315" s="26"/>
      <c r="BC315" s="27"/>
      <c r="BD315" s="93"/>
      <c r="BE315" s="28"/>
      <c r="BF315" s="28"/>
    </row>
    <row r="316" spans="1:58" ht="20.25" customHeight="1">
      <c r="A316" s="27"/>
      <c r="B316" s="27"/>
      <c r="C316" s="137"/>
      <c r="D316" s="27"/>
      <c r="E316" s="27"/>
      <c r="F316" s="206"/>
      <c r="G316" s="27"/>
      <c r="H316" s="27"/>
      <c r="I316" s="29" t="str">
        <f t="shared" si="43"/>
        <v/>
      </c>
      <c r="J316" s="29"/>
      <c r="K316" s="27"/>
      <c r="L316" s="27"/>
      <c r="M316" s="27"/>
      <c r="N316" s="27"/>
      <c r="O316" s="27"/>
      <c r="P316" s="27"/>
      <c r="Q316" s="28"/>
      <c r="R316" s="28"/>
      <c r="S316" s="28"/>
      <c r="T316" s="27"/>
      <c r="U316" s="28"/>
      <c r="V316" s="28"/>
      <c r="W316" s="28"/>
      <c r="X316" s="28"/>
      <c r="Y316" s="28"/>
      <c r="Z316" s="28"/>
      <c r="AA316" s="28"/>
      <c r="AB316" s="27"/>
      <c r="AC316" s="27"/>
      <c r="AD316" s="28"/>
      <c r="AE316" s="28"/>
      <c r="AF316" s="27"/>
      <c r="AG316" s="27"/>
      <c r="AH316" s="27"/>
      <c r="AI316" s="27"/>
      <c r="AJ316" s="27"/>
      <c r="AK316" s="27"/>
      <c r="AL316" s="27"/>
      <c r="AM316" s="27"/>
      <c r="AN316" s="27"/>
      <c r="AO316" s="27"/>
      <c r="AP316" s="27"/>
      <c r="AQ316" s="28"/>
      <c r="AR316" s="28"/>
      <c r="AS316" s="27"/>
      <c r="AT316" s="28"/>
      <c r="AU316" s="27"/>
      <c r="AV316" s="27"/>
      <c r="AW316" s="27"/>
      <c r="AX316" s="27"/>
      <c r="AY316" s="28"/>
      <c r="AZ316" s="28"/>
      <c r="BA316" s="28"/>
      <c r="BB316" s="26"/>
      <c r="BC316" s="27"/>
      <c r="BD316" s="93"/>
      <c r="BE316" s="28"/>
      <c r="BF316" s="28"/>
    </row>
    <row r="317" spans="1:58" ht="20.25" customHeight="1">
      <c r="A317" s="27"/>
      <c r="B317" s="27"/>
      <c r="C317" s="137"/>
      <c r="D317" s="27"/>
      <c r="E317" s="27"/>
      <c r="F317" s="206"/>
      <c r="G317" s="27"/>
      <c r="H317" s="27"/>
      <c r="I317" s="29" t="str">
        <f t="shared" si="43"/>
        <v/>
      </c>
      <c r="J317" s="29"/>
      <c r="K317" s="27"/>
      <c r="L317" s="27"/>
      <c r="M317" s="27"/>
      <c r="N317" s="27"/>
      <c r="O317" s="27"/>
      <c r="P317" s="27"/>
      <c r="Q317" s="28"/>
      <c r="R317" s="28"/>
      <c r="S317" s="28"/>
      <c r="T317" s="27"/>
      <c r="U317" s="28"/>
      <c r="V317" s="28"/>
      <c r="W317" s="28"/>
      <c r="X317" s="28"/>
      <c r="Y317" s="28"/>
      <c r="Z317" s="28"/>
      <c r="AA317" s="28"/>
      <c r="AB317" s="27"/>
      <c r="AC317" s="27"/>
      <c r="AD317" s="28"/>
      <c r="AE317" s="28"/>
      <c r="AF317" s="27"/>
      <c r="AG317" s="27"/>
      <c r="AH317" s="27"/>
      <c r="AI317" s="27"/>
      <c r="AJ317" s="27"/>
      <c r="AK317" s="27"/>
      <c r="AL317" s="27"/>
      <c r="AM317" s="27"/>
      <c r="AN317" s="27"/>
      <c r="AO317" s="27"/>
      <c r="AP317" s="27"/>
      <c r="AQ317" s="28"/>
      <c r="AR317" s="28"/>
      <c r="AS317" s="27"/>
      <c r="AT317" s="28"/>
      <c r="AU317" s="27"/>
      <c r="AV317" s="27"/>
      <c r="AW317" s="27"/>
      <c r="AX317" s="27"/>
      <c r="AY317" s="28"/>
      <c r="AZ317" s="28"/>
      <c r="BA317" s="28"/>
      <c r="BB317" s="26"/>
      <c r="BC317" s="27"/>
      <c r="BD317" s="93"/>
      <c r="BE317" s="28"/>
      <c r="BF317" s="28"/>
    </row>
    <row r="318" spans="1:58" ht="20.25" customHeight="1">
      <c r="A318" s="27"/>
      <c r="B318" s="27"/>
      <c r="C318" s="137"/>
      <c r="D318" s="27"/>
      <c r="E318" s="27"/>
      <c r="F318" s="206"/>
      <c r="G318" s="27"/>
      <c r="H318" s="27"/>
      <c r="I318" s="29" t="str">
        <f t="shared" si="43"/>
        <v/>
      </c>
      <c r="J318" s="29"/>
      <c r="K318" s="27"/>
      <c r="L318" s="27"/>
      <c r="M318" s="27"/>
      <c r="N318" s="27"/>
      <c r="O318" s="27"/>
      <c r="P318" s="27"/>
      <c r="Q318" s="28"/>
      <c r="R318" s="28"/>
      <c r="S318" s="28"/>
      <c r="T318" s="27"/>
      <c r="U318" s="28"/>
      <c r="V318" s="28"/>
      <c r="W318" s="28"/>
      <c r="X318" s="28"/>
      <c r="Y318" s="28"/>
      <c r="Z318" s="28"/>
      <c r="AA318" s="28"/>
      <c r="AB318" s="27"/>
      <c r="AC318" s="27"/>
      <c r="AD318" s="28"/>
      <c r="AE318" s="28"/>
      <c r="AF318" s="27"/>
      <c r="AG318" s="27"/>
      <c r="AH318" s="27"/>
      <c r="AI318" s="27"/>
      <c r="AJ318" s="27"/>
      <c r="AK318" s="27"/>
      <c r="AL318" s="27"/>
      <c r="AM318" s="27"/>
      <c r="AN318" s="27"/>
      <c r="AO318" s="27"/>
      <c r="AP318" s="27"/>
      <c r="AQ318" s="28"/>
      <c r="AR318" s="28"/>
      <c r="AS318" s="27"/>
      <c r="AT318" s="28"/>
      <c r="AU318" s="27"/>
      <c r="AV318" s="27"/>
      <c r="AW318" s="27"/>
      <c r="AX318" s="27"/>
      <c r="AY318" s="28"/>
      <c r="AZ318" s="28"/>
      <c r="BA318" s="28"/>
      <c r="BB318" s="26"/>
      <c r="BC318" s="27"/>
      <c r="BD318" s="93"/>
      <c r="BE318" s="28"/>
      <c r="BF318" s="28"/>
    </row>
    <row r="319" spans="1:58" ht="20.25" customHeight="1">
      <c r="A319" s="27"/>
      <c r="B319" s="27"/>
      <c r="C319" s="137"/>
      <c r="D319" s="27"/>
      <c r="E319" s="27"/>
      <c r="F319" s="206"/>
      <c r="G319" s="27"/>
      <c r="H319" s="27"/>
      <c r="I319" s="29" t="str">
        <f t="shared" si="43"/>
        <v/>
      </c>
      <c r="J319" s="29"/>
      <c r="K319" s="27"/>
      <c r="L319" s="27"/>
      <c r="M319" s="27"/>
      <c r="N319" s="27"/>
      <c r="O319" s="27"/>
      <c r="P319" s="27"/>
      <c r="Q319" s="28"/>
      <c r="R319" s="28"/>
      <c r="S319" s="28"/>
      <c r="T319" s="27"/>
      <c r="U319" s="28"/>
      <c r="V319" s="28"/>
      <c r="W319" s="28"/>
      <c r="X319" s="28"/>
      <c r="Y319" s="28"/>
      <c r="Z319" s="28"/>
      <c r="AA319" s="28"/>
      <c r="AB319" s="27"/>
      <c r="AC319" s="27"/>
      <c r="AD319" s="28"/>
      <c r="AE319" s="28"/>
      <c r="AF319" s="27"/>
      <c r="AG319" s="27"/>
      <c r="AH319" s="27"/>
      <c r="AI319" s="27"/>
      <c r="AJ319" s="27"/>
      <c r="AK319" s="27"/>
      <c r="AL319" s="27"/>
      <c r="AM319" s="27"/>
      <c r="AN319" s="27"/>
      <c r="AO319" s="27"/>
      <c r="AP319" s="27"/>
      <c r="AQ319" s="28"/>
      <c r="AR319" s="28"/>
      <c r="AS319" s="27"/>
      <c r="AT319" s="28"/>
      <c r="AU319" s="27"/>
      <c r="AV319" s="27"/>
      <c r="AW319" s="27"/>
      <c r="AX319" s="27"/>
      <c r="AY319" s="28"/>
      <c r="AZ319" s="28"/>
      <c r="BA319" s="28"/>
      <c r="BB319" s="26"/>
      <c r="BC319" s="27"/>
      <c r="BD319" s="93"/>
      <c r="BE319" s="28"/>
      <c r="BF319" s="28"/>
    </row>
    <row r="320" spans="1:58" ht="20.25" customHeight="1">
      <c r="A320" s="27"/>
      <c r="B320" s="27"/>
      <c r="C320" s="137"/>
      <c r="D320" s="27"/>
      <c r="E320" s="27"/>
      <c r="F320" s="206"/>
      <c r="G320" s="27"/>
      <c r="H320" s="27"/>
      <c r="I320" s="29" t="str">
        <f t="shared" si="43"/>
        <v/>
      </c>
      <c r="J320" s="29"/>
      <c r="K320" s="27"/>
      <c r="L320" s="27"/>
      <c r="M320" s="27"/>
      <c r="N320" s="27"/>
      <c r="O320" s="27"/>
      <c r="P320" s="27"/>
      <c r="Q320" s="28"/>
      <c r="R320" s="28"/>
      <c r="S320" s="28"/>
      <c r="T320" s="27"/>
      <c r="U320" s="28"/>
      <c r="V320" s="28"/>
      <c r="W320" s="28"/>
      <c r="X320" s="28"/>
      <c r="Y320" s="28"/>
      <c r="Z320" s="28"/>
      <c r="AA320" s="28"/>
      <c r="AB320" s="27"/>
      <c r="AC320" s="27"/>
      <c r="AD320" s="28"/>
      <c r="AE320" s="28"/>
      <c r="AF320" s="27"/>
      <c r="AG320" s="27"/>
      <c r="AH320" s="27"/>
      <c r="AI320" s="27"/>
      <c r="AJ320" s="27"/>
      <c r="AK320" s="27"/>
      <c r="AL320" s="27"/>
      <c r="AM320" s="27"/>
      <c r="AN320" s="27"/>
      <c r="AO320" s="27"/>
      <c r="AP320" s="27"/>
      <c r="AQ320" s="28"/>
      <c r="AR320" s="28"/>
      <c r="AS320" s="27"/>
      <c r="AT320" s="28"/>
      <c r="AU320" s="27"/>
      <c r="AV320" s="27"/>
      <c r="AW320" s="27"/>
      <c r="AX320" s="27"/>
      <c r="AY320" s="28"/>
      <c r="AZ320" s="28"/>
      <c r="BA320" s="28"/>
      <c r="BB320" s="26"/>
      <c r="BC320" s="27"/>
      <c r="BD320" s="93"/>
      <c r="BE320" s="28"/>
      <c r="BF320" s="28"/>
    </row>
    <row r="321" spans="1:58" ht="20.25" customHeight="1">
      <c r="A321" s="27"/>
      <c r="B321" s="27"/>
      <c r="C321" s="137"/>
      <c r="D321" s="27"/>
      <c r="E321" s="27"/>
      <c r="F321" s="206"/>
      <c r="G321" s="27"/>
      <c r="H321" s="27"/>
      <c r="I321" s="29" t="str">
        <f t="shared" si="43"/>
        <v/>
      </c>
      <c r="J321" s="29"/>
      <c r="K321" s="27"/>
      <c r="L321" s="27"/>
      <c r="M321" s="27"/>
      <c r="N321" s="27"/>
      <c r="O321" s="27"/>
      <c r="P321" s="27"/>
      <c r="Q321" s="28"/>
      <c r="R321" s="28"/>
      <c r="S321" s="28"/>
      <c r="T321" s="27"/>
      <c r="U321" s="28"/>
      <c r="V321" s="28"/>
      <c r="W321" s="28"/>
      <c r="X321" s="28"/>
      <c r="Y321" s="28"/>
      <c r="Z321" s="28"/>
      <c r="AA321" s="28"/>
      <c r="AB321" s="27"/>
      <c r="AC321" s="27"/>
      <c r="AD321" s="28"/>
      <c r="AE321" s="28"/>
      <c r="AF321" s="27"/>
      <c r="AG321" s="27"/>
      <c r="AH321" s="27"/>
      <c r="AI321" s="27"/>
      <c r="AJ321" s="27"/>
      <c r="AK321" s="27"/>
      <c r="AL321" s="27"/>
      <c r="AM321" s="27"/>
      <c r="AN321" s="27"/>
      <c r="AO321" s="27"/>
      <c r="AP321" s="27"/>
      <c r="AQ321" s="28"/>
      <c r="AR321" s="28"/>
      <c r="AS321" s="27"/>
      <c r="AT321" s="28"/>
      <c r="AU321" s="27"/>
      <c r="AV321" s="27"/>
      <c r="AW321" s="27"/>
      <c r="AX321" s="27"/>
      <c r="AY321" s="28"/>
      <c r="AZ321" s="28"/>
      <c r="BA321" s="28"/>
      <c r="BB321" s="26"/>
      <c r="BC321" s="27"/>
      <c r="BD321" s="93"/>
      <c r="BE321" s="28"/>
      <c r="BF321" s="28"/>
    </row>
    <row r="322" spans="1:58" ht="20.25" customHeight="1">
      <c r="A322" s="27"/>
      <c r="B322" s="27"/>
      <c r="C322" s="137"/>
      <c r="D322" s="27"/>
      <c r="E322" s="27"/>
      <c r="F322" s="206"/>
      <c r="G322" s="27"/>
      <c r="H322" s="27"/>
      <c r="I322" s="29" t="str">
        <f t="shared" ref="I322:I323" si="44">IF(ISBLANK(H322), "", TEXT(H322, "mmm-yy"))</f>
        <v/>
      </c>
      <c r="J322" s="29"/>
      <c r="K322" s="27"/>
      <c r="L322" s="27"/>
      <c r="M322" s="27"/>
      <c r="N322" s="27"/>
      <c r="O322" s="27"/>
      <c r="P322" s="27"/>
      <c r="Q322" s="28"/>
      <c r="R322" s="28"/>
      <c r="S322" s="28"/>
      <c r="T322" s="27"/>
      <c r="U322" s="28"/>
      <c r="V322" s="28"/>
      <c r="W322" s="28"/>
      <c r="X322" s="28"/>
      <c r="Y322" s="28"/>
      <c r="Z322" s="28"/>
      <c r="AA322" s="28"/>
      <c r="AB322" s="27"/>
      <c r="AC322" s="27"/>
      <c r="AD322" s="28"/>
      <c r="AE322" s="28"/>
      <c r="AF322" s="27"/>
      <c r="AG322" s="27"/>
      <c r="AH322" s="27"/>
      <c r="AI322" s="27"/>
      <c r="AJ322" s="27"/>
      <c r="AK322" s="27"/>
      <c r="AL322" s="27"/>
      <c r="AM322" s="27"/>
      <c r="AN322" s="27"/>
      <c r="AO322" s="27"/>
      <c r="AP322" s="27"/>
      <c r="AQ322" s="28"/>
      <c r="AR322" s="28"/>
      <c r="AS322" s="27"/>
      <c r="AT322" s="28"/>
      <c r="AU322" s="27"/>
      <c r="AV322" s="27"/>
      <c r="AW322" s="27"/>
      <c r="AX322" s="27"/>
      <c r="AY322" s="28"/>
      <c r="AZ322" s="28"/>
      <c r="BA322" s="28"/>
      <c r="BB322" s="26"/>
      <c r="BC322" s="27"/>
      <c r="BD322" s="93"/>
      <c r="BE322" s="28"/>
      <c r="BF322" s="28"/>
    </row>
    <row r="323" spans="1:58" ht="20.25" customHeight="1">
      <c r="A323" s="27"/>
      <c r="B323" s="27"/>
      <c r="C323" s="137"/>
      <c r="D323" s="27"/>
      <c r="E323" s="27"/>
      <c r="F323" s="206"/>
      <c r="G323" s="27"/>
      <c r="H323" s="27"/>
      <c r="I323" s="29" t="str">
        <f t="shared" si="44"/>
        <v/>
      </c>
      <c r="J323" s="29"/>
      <c r="K323" s="27"/>
      <c r="L323" s="27"/>
      <c r="M323" s="27"/>
      <c r="N323" s="27"/>
      <c r="O323" s="27"/>
      <c r="P323" s="27"/>
      <c r="Q323" s="28"/>
      <c r="R323" s="28"/>
      <c r="S323" s="28"/>
      <c r="T323" s="27"/>
      <c r="U323" s="28"/>
      <c r="V323" s="28"/>
      <c r="W323" s="28"/>
      <c r="X323" s="28"/>
      <c r="Y323" s="28"/>
      <c r="Z323" s="28"/>
      <c r="AA323" s="28"/>
      <c r="AB323" s="27"/>
      <c r="AC323" s="27"/>
      <c r="AD323" s="28"/>
      <c r="AE323" s="28"/>
      <c r="AF323" s="27"/>
      <c r="AG323" s="27"/>
      <c r="AH323" s="27"/>
      <c r="AI323" s="27"/>
      <c r="AJ323" s="27"/>
      <c r="AK323" s="27"/>
      <c r="AL323" s="27"/>
      <c r="AM323" s="27"/>
      <c r="AN323" s="27"/>
      <c r="AO323" s="27"/>
      <c r="AP323" s="27"/>
      <c r="AQ323" s="28"/>
      <c r="AR323" s="28"/>
      <c r="AS323" s="27"/>
      <c r="AT323" s="28"/>
      <c r="AU323" s="27"/>
      <c r="AV323" s="27"/>
      <c r="AW323" s="27"/>
      <c r="AX323" s="27"/>
      <c r="AY323" s="28"/>
      <c r="AZ323" s="28"/>
      <c r="BA323" s="28"/>
      <c r="BB323" s="26"/>
      <c r="BC323" s="27"/>
      <c r="BD323" s="93"/>
      <c r="BE323" s="28"/>
      <c r="BF323" s="28"/>
    </row>
    <row r="324" spans="1:58" ht="20.25" customHeight="1">
      <c r="A324" s="27"/>
      <c r="B324" s="27"/>
      <c r="C324" s="137"/>
      <c r="D324" s="27"/>
      <c r="E324" s="27"/>
      <c r="F324" s="206"/>
      <c r="G324" s="27"/>
      <c r="H324" s="27"/>
      <c r="I324" s="29"/>
      <c r="J324" s="29"/>
      <c r="K324" s="27"/>
      <c r="L324" s="27"/>
      <c r="M324" s="27"/>
      <c r="N324" s="27"/>
      <c r="O324" s="27"/>
      <c r="P324" s="27"/>
      <c r="Q324" s="28"/>
      <c r="R324" s="28"/>
      <c r="S324" s="28"/>
      <c r="T324" s="27"/>
      <c r="U324" s="28"/>
      <c r="V324" s="28"/>
      <c r="W324" s="28"/>
      <c r="X324" s="28"/>
      <c r="Y324" s="28"/>
      <c r="Z324" s="28"/>
      <c r="AA324" s="28"/>
      <c r="AB324" s="27"/>
      <c r="AC324" s="27"/>
      <c r="AD324" s="28"/>
      <c r="AE324" s="28"/>
      <c r="AF324" s="27"/>
      <c r="AG324" s="27"/>
      <c r="AH324" s="27"/>
      <c r="AI324" s="27"/>
      <c r="AJ324" s="27"/>
      <c r="AK324" s="27"/>
      <c r="AL324" s="27"/>
      <c r="AM324" s="27"/>
      <c r="AN324" s="27"/>
      <c r="AO324" s="27"/>
      <c r="AP324" s="27"/>
      <c r="AQ324" s="28"/>
      <c r="AR324" s="28"/>
      <c r="AS324" s="27"/>
      <c r="AT324" s="28"/>
      <c r="AU324" s="27"/>
      <c r="AV324" s="27"/>
      <c r="AW324" s="27"/>
      <c r="AX324" s="27"/>
      <c r="AY324" s="28"/>
      <c r="AZ324" s="28"/>
      <c r="BA324" s="28"/>
      <c r="BB324" s="26"/>
      <c r="BC324" s="27"/>
      <c r="BD324" s="93"/>
      <c r="BE324" s="28"/>
      <c r="BF324" s="28"/>
    </row>
    <row r="325" spans="1:58" ht="20.25" customHeight="1">
      <c r="A325" s="27"/>
      <c r="B325" s="27"/>
      <c r="C325" s="137"/>
      <c r="D325" s="27"/>
      <c r="E325" s="27"/>
      <c r="F325" s="206"/>
      <c r="G325" s="27"/>
      <c r="H325" s="27"/>
      <c r="I325" s="29"/>
      <c r="J325" s="29"/>
      <c r="K325" s="27"/>
      <c r="L325" s="27"/>
      <c r="M325" s="27"/>
      <c r="N325" s="27"/>
      <c r="O325" s="27"/>
      <c r="P325" s="27"/>
      <c r="Q325" s="28"/>
      <c r="R325" s="28"/>
      <c r="S325" s="28"/>
      <c r="T325" s="27"/>
      <c r="U325" s="28"/>
      <c r="V325" s="28"/>
      <c r="W325" s="28"/>
      <c r="X325" s="28"/>
      <c r="Y325" s="28"/>
      <c r="Z325" s="28"/>
      <c r="AA325" s="28"/>
      <c r="AB325" s="27"/>
      <c r="AC325" s="27"/>
      <c r="AD325" s="28"/>
      <c r="AE325" s="28"/>
      <c r="AF325" s="27"/>
      <c r="AG325" s="27"/>
      <c r="AH325" s="27"/>
      <c r="AI325" s="27"/>
      <c r="AJ325" s="27"/>
      <c r="AK325" s="27"/>
      <c r="AL325" s="27"/>
      <c r="AM325" s="27"/>
      <c r="AN325" s="27"/>
      <c r="AO325" s="27"/>
      <c r="AP325" s="27"/>
      <c r="AQ325" s="28"/>
      <c r="AR325" s="28"/>
      <c r="AS325" s="27"/>
      <c r="AT325" s="28"/>
      <c r="AU325" s="27"/>
      <c r="AV325" s="27"/>
      <c r="AW325" s="27"/>
      <c r="AX325" s="27"/>
      <c r="AY325" s="28"/>
      <c r="AZ325" s="28"/>
      <c r="BA325" s="28"/>
      <c r="BB325" s="26"/>
      <c r="BC325" s="27"/>
      <c r="BD325" s="93"/>
      <c r="BE325" s="28"/>
      <c r="BF325" s="28"/>
    </row>
    <row r="326" spans="1:58" ht="20.25" customHeight="1">
      <c r="A326" s="27"/>
      <c r="B326" s="27"/>
      <c r="C326" s="137"/>
      <c r="D326" s="27"/>
      <c r="E326" s="27"/>
      <c r="F326" s="206"/>
      <c r="G326" s="27"/>
      <c r="H326" s="27"/>
      <c r="I326" s="29"/>
      <c r="J326" s="29"/>
      <c r="K326" s="27"/>
      <c r="L326" s="27"/>
      <c r="M326" s="27"/>
      <c r="N326" s="27"/>
      <c r="O326" s="27"/>
      <c r="P326" s="27"/>
      <c r="Q326" s="28"/>
      <c r="R326" s="28"/>
      <c r="S326" s="28"/>
      <c r="T326" s="27"/>
      <c r="U326" s="28"/>
      <c r="V326" s="28"/>
      <c r="W326" s="28"/>
      <c r="X326" s="28"/>
      <c r="Y326" s="28"/>
      <c r="Z326" s="28"/>
      <c r="AA326" s="28"/>
      <c r="AB326" s="27"/>
      <c r="AC326" s="27"/>
      <c r="AD326" s="28"/>
      <c r="AE326" s="28"/>
      <c r="AF326" s="27"/>
      <c r="AG326" s="27"/>
      <c r="AH326" s="27"/>
      <c r="AI326" s="27"/>
      <c r="AJ326" s="27"/>
      <c r="AK326" s="27"/>
      <c r="AL326" s="27"/>
      <c r="AM326" s="27"/>
      <c r="AN326" s="27"/>
      <c r="AO326" s="27"/>
      <c r="AP326" s="27"/>
      <c r="AQ326" s="28"/>
      <c r="AR326" s="28"/>
      <c r="AS326" s="27"/>
      <c r="AT326" s="28"/>
      <c r="AU326" s="27"/>
      <c r="AV326" s="27"/>
      <c r="AW326" s="27"/>
      <c r="AX326" s="27"/>
      <c r="AY326" s="28"/>
      <c r="AZ326" s="28"/>
      <c r="BA326" s="28"/>
      <c r="BB326" s="26"/>
      <c r="BC326" s="27"/>
      <c r="BD326" s="93"/>
      <c r="BE326" s="28"/>
      <c r="BF326" s="28"/>
    </row>
    <row r="327" spans="1:58" ht="20.25" customHeight="1">
      <c r="A327" s="27"/>
      <c r="B327" s="27"/>
      <c r="C327" s="137"/>
      <c r="D327" s="27"/>
      <c r="E327" s="27"/>
      <c r="F327" s="206"/>
      <c r="G327" s="27"/>
      <c r="H327" s="27"/>
      <c r="I327" s="29"/>
      <c r="J327" s="29"/>
      <c r="K327" s="27"/>
      <c r="L327" s="27"/>
      <c r="M327" s="27"/>
      <c r="N327" s="27"/>
      <c r="O327" s="27"/>
      <c r="P327" s="27"/>
      <c r="Q327" s="28"/>
      <c r="R327" s="28"/>
      <c r="S327" s="28"/>
      <c r="T327" s="27"/>
      <c r="U327" s="28"/>
      <c r="V327" s="28"/>
      <c r="W327" s="28"/>
      <c r="X327" s="28"/>
      <c r="Y327" s="28"/>
      <c r="Z327" s="28"/>
      <c r="AA327" s="28"/>
      <c r="AB327" s="27"/>
      <c r="AC327" s="27"/>
      <c r="AD327" s="28"/>
      <c r="AE327" s="28"/>
      <c r="AF327" s="27"/>
      <c r="AG327" s="27"/>
      <c r="AH327" s="27"/>
      <c r="AI327" s="27"/>
      <c r="AJ327" s="27"/>
      <c r="AK327" s="27"/>
      <c r="AL327" s="27"/>
      <c r="AM327" s="27"/>
      <c r="AN327" s="27"/>
      <c r="AO327" s="27"/>
      <c r="AP327" s="27"/>
      <c r="AQ327" s="28"/>
      <c r="AR327" s="28"/>
      <c r="AS327" s="27"/>
      <c r="AT327" s="28"/>
      <c r="AU327" s="27"/>
      <c r="AV327" s="27"/>
      <c r="AW327" s="27"/>
      <c r="AX327" s="27"/>
      <c r="AY327" s="28"/>
      <c r="AZ327" s="28"/>
      <c r="BA327" s="28"/>
      <c r="BB327" s="26"/>
      <c r="BC327" s="27"/>
      <c r="BD327" s="93"/>
      <c r="BE327" s="28"/>
      <c r="BF327" s="28"/>
    </row>
    <row r="328" spans="1:58" ht="20.25" customHeight="1">
      <c r="A328" s="27"/>
      <c r="B328" s="27"/>
      <c r="C328" s="137"/>
      <c r="D328" s="27"/>
      <c r="E328" s="27"/>
      <c r="F328" s="206"/>
      <c r="G328" s="27"/>
      <c r="H328" s="27"/>
      <c r="I328" s="29"/>
      <c r="J328" s="29"/>
      <c r="K328" s="27"/>
      <c r="L328" s="27"/>
      <c r="M328" s="27"/>
      <c r="N328" s="27"/>
      <c r="O328" s="27"/>
      <c r="P328" s="27"/>
      <c r="Q328" s="28"/>
      <c r="R328" s="28"/>
      <c r="S328" s="28"/>
      <c r="T328" s="27"/>
      <c r="U328" s="28"/>
      <c r="V328" s="28"/>
      <c r="W328" s="28"/>
      <c r="X328" s="28"/>
      <c r="Y328" s="28"/>
      <c r="Z328" s="28"/>
      <c r="AA328" s="28"/>
      <c r="AB328" s="27"/>
      <c r="AC328" s="27"/>
      <c r="AD328" s="28"/>
      <c r="AE328" s="28"/>
      <c r="AF328" s="27"/>
      <c r="AG328" s="27"/>
      <c r="AH328" s="27"/>
      <c r="AI328" s="27"/>
      <c r="AJ328" s="27"/>
      <c r="AK328" s="27"/>
      <c r="AL328" s="27"/>
      <c r="AM328" s="27"/>
      <c r="AN328" s="27"/>
      <c r="AO328" s="27"/>
      <c r="AP328" s="27"/>
      <c r="AQ328" s="28"/>
      <c r="AR328" s="28"/>
      <c r="AS328" s="27"/>
      <c r="AT328" s="28"/>
      <c r="AU328" s="27"/>
      <c r="AV328" s="27"/>
      <c r="AW328" s="27"/>
      <c r="AX328" s="27"/>
      <c r="AY328" s="28"/>
      <c r="AZ328" s="28"/>
      <c r="BA328" s="28"/>
      <c r="BB328" s="26"/>
      <c r="BC328" s="27"/>
      <c r="BD328" s="93"/>
      <c r="BE328" s="28"/>
      <c r="BF328" s="28"/>
    </row>
    <row r="329" spans="1:58" ht="20.25" customHeight="1">
      <c r="A329" s="27"/>
      <c r="B329" s="27"/>
      <c r="C329" s="137"/>
      <c r="D329" s="27"/>
      <c r="E329" s="27"/>
      <c r="F329" s="206"/>
      <c r="G329" s="27"/>
      <c r="H329" s="27"/>
      <c r="I329" s="29"/>
      <c r="J329" s="29"/>
      <c r="K329" s="27"/>
      <c r="L329" s="27"/>
      <c r="M329" s="27"/>
      <c r="N329" s="27"/>
      <c r="O329" s="27"/>
      <c r="P329" s="27"/>
      <c r="Q329" s="28"/>
      <c r="R329" s="28"/>
      <c r="S329" s="28"/>
      <c r="T329" s="27"/>
      <c r="U329" s="28"/>
      <c r="V329" s="28"/>
      <c r="W329" s="28"/>
      <c r="X329" s="28"/>
      <c r="Y329" s="28"/>
      <c r="Z329" s="28"/>
      <c r="AA329" s="28"/>
      <c r="AB329" s="27"/>
      <c r="AC329" s="27"/>
      <c r="AD329" s="28"/>
      <c r="AE329" s="28"/>
      <c r="AF329" s="27"/>
      <c r="AG329" s="27"/>
      <c r="AH329" s="27"/>
      <c r="AI329" s="27"/>
      <c r="AJ329" s="27"/>
      <c r="AK329" s="27"/>
      <c r="AL329" s="27"/>
      <c r="AM329" s="27"/>
      <c r="AN329" s="27"/>
      <c r="AO329" s="27"/>
      <c r="AP329" s="27"/>
      <c r="AQ329" s="28"/>
      <c r="AR329" s="28"/>
      <c r="AS329" s="27"/>
      <c r="AT329" s="28"/>
      <c r="AU329" s="27"/>
      <c r="AV329" s="27"/>
      <c r="AW329" s="27"/>
      <c r="AX329" s="27"/>
      <c r="AY329" s="28"/>
      <c r="AZ329" s="28"/>
      <c r="BA329" s="28"/>
      <c r="BB329" s="26"/>
      <c r="BC329" s="27"/>
      <c r="BD329" s="93"/>
      <c r="BE329" s="28"/>
      <c r="BF329" s="28"/>
    </row>
    <row r="330" spans="1:58" ht="20.25" customHeight="1">
      <c r="A330" s="27"/>
      <c r="B330" s="27"/>
      <c r="C330" s="137"/>
      <c r="D330" s="27"/>
      <c r="E330" s="27"/>
      <c r="F330" s="206"/>
      <c r="G330" s="27"/>
      <c r="H330" s="27"/>
      <c r="I330" s="29"/>
      <c r="J330" s="29"/>
      <c r="K330" s="27"/>
      <c r="L330" s="27"/>
      <c r="M330" s="27"/>
      <c r="N330" s="27"/>
      <c r="O330" s="27"/>
      <c r="P330" s="27"/>
      <c r="Q330" s="28"/>
      <c r="R330" s="28"/>
      <c r="S330" s="28"/>
      <c r="T330" s="27"/>
      <c r="U330" s="28"/>
      <c r="V330" s="28"/>
      <c r="W330" s="28"/>
      <c r="X330" s="28"/>
      <c r="Y330" s="28"/>
      <c r="Z330" s="28"/>
      <c r="AA330" s="28"/>
      <c r="AB330" s="27"/>
      <c r="AC330" s="27"/>
      <c r="AD330" s="28"/>
      <c r="AE330" s="28"/>
      <c r="AF330" s="27"/>
      <c r="AG330" s="27"/>
      <c r="AH330" s="27"/>
      <c r="AI330" s="27"/>
      <c r="AJ330" s="27"/>
      <c r="AK330" s="27"/>
      <c r="AL330" s="27"/>
      <c r="AM330" s="27"/>
      <c r="AN330" s="27"/>
      <c r="AO330" s="27"/>
      <c r="AP330" s="27"/>
      <c r="AQ330" s="28"/>
      <c r="AR330" s="28"/>
      <c r="AS330" s="27"/>
      <c r="AT330" s="28"/>
      <c r="AU330" s="27"/>
      <c r="AV330" s="27"/>
      <c r="AW330" s="27"/>
      <c r="AX330" s="27"/>
      <c r="AY330" s="28"/>
      <c r="AZ330" s="28"/>
      <c r="BA330" s="28"/>
      <c r="BB330" s="26"/>
      <c r="BC330" s="27"/>
      <c r="BD330" s="93"/>
      <c r="BE330" s="28"/>
      <c r="BF330" s="28"/>
    </row>
    <row r="331" spans="1:58" ht="20.25" customHeight="1">
      <c r="A331" s="27"/>
      <c r="B331" s="27"/>
      <c r="C331" s="137"/>
      <c r="D331" s="27"/>
      <c r="E331" s="27"/>
      <c r="F331" s="206"/>
      <c r="G331" s="27"/>
      <c r="H331" s="27"/>
      <c r="I331" s="29"/>
      <c r="J331" s="29"/>
      <c r="K331" s="27"/>
      <c r="L331" s="27"/>
      <c r="M331" s="27"/>
      <c r="N331" s="27"/>
      <c r="O331" s="27"/>
      <c r="P331" s="27"/>
      <c r="Q331" s="28"/>
      <c r="R331" s="28"/>
      <c r="S331" s="28"/>
      <c r="T331" s="27"/>
      <c r="U331" s="28"/>
      <c r="V331" s="28"/>
      <c r="W331" s="28"/>
      <c r="X331" s="28"/>
      <c r="Y331" s="28"/>
      <c r="Z331" s="28"/>
      <c r="AA331" s="28"/>
      <c r="AB331" s="27"/>
      <c r="AC331" s="27"/>
      <c r="AD331" s="28"/>
      <c r="AE331" s="28"/>
      <c r="AF331" s="27"/>
      <c r="AG331" s="27"/>
      <c r="AH331" s="27"/>
      <c r="AI331" s="27"/>
      <c r="AJ331" s="27"/>
      <c r="AK331" s="27"/>
      <c r="AL331" s="27"/>
      <c r="AM331" s="27"/>
      <c r="AN331" s="27"/>
      <c r="AO331" s="27"/>
      <c r="AP331" s="27"/>
      <c r="AQ331" s="28"/>
      <c r="AR331" s="28"/>
      <c r="AS331" s="27"/>
      <c r="AT331" s="28"/>
      <c r="AU331" s="27"/>
      <c r="AV331" s="27"/>
      <c r="AW331" s="27"/>
      <c r="AX331" s="27"/>
      <c r="AY331" s="28"/>
      <c r="AZ331" s="28"/>
      <c r="BA331" s="28"/>
      <c r="BB331" s="26"/>
      <c r="BC331" s="27"/>
      <c r="BD331" s="93"/>
      <c r="BE331" s="28"/>
      <c r="BF331" s="28"/>
    </row>
    <row r="332" spans="1:58" ht="20.25" customHeight="1">
      <c r="A332" s="27"/>
      <c r="B332" s="27"/>
      <c r="C332" s="137"/>
      <c r="D332" s="27"/>
      <c r="E332" s="27"/>
      <c r="F332" s="206"/>
      <c r="G332" s="27"/>
      <c r="H332" s="27"/>
      <c r="I332" s="29"/>
      <c r="J332" s="29"/>
      <c r="K332" s="27"/>
      <c r="L332" s="27"/>
      <c r="M332" s="27"/>
      <c r="N332" s="27"/>
      <c r="O332" s="27"/>
      <c r="P332" s="27"/>
      <c r="Q332" s="28"/>
      <c r="R332" s="28"/>
      <c r="S332" s="28"/>
      <c r="T332" s="27"/>
      <c r="U332" s="28"/>
      <c r="V332" s="28"/>
      <c r="W332" s="28"/>
      <c r="X332" s="28"/>
      <c r="Y332" s="28"/>
      <c r="Z332" s="28"/>
      <c r="AA332" s="28"/>
      <c r="AB332" s="27"/>
      <c r="AC332" s="27"/>
      <c r="AD332" s="28"/>
      <c r="AE332" s="28"/>
      <c r="AF332" s="27"/>
      <c r="AG332" s="27"/>
      <c r="AH332" s="27"/>
      <c r="AI332" s="27"/>
      <c r="AJ332" s="27"/>
      <c r="AK332" s="27"/>
      <c r="AL332" s="27"/>
      <c r="AM332" s="27"/>
      <c r="AN332" s="27"/>
      <c r="AO332" s="27"/>
      <c r="AP332" s="27"/>
      <c r="AQ332" s="28"/>
      <c r="AR332" s="28"/>
      <c r="AS332" s="27"/>
      <c r="AT332" s="28"/>
      <c r="AU332" s="27"/>
      <c r="AV332" s="27"/>
      <c r="AW332" s="27"/>
      <c r="AX332" s="27"/>
      <c r="AY332" s="28"/>
      <c r="AZ332" s="28"/>
      <c r="BA332" s="28"/>
      <c r="BB332" s="26"/>
      <c r="BC332" s="27"/>
      <c r="BD332" s="93"/>
      <c r="BE332" s="28"/>
      <c r="BF332" s="28"/>
    </row>
    <row r="333" spans="1:58" ht="20.25" customHeight="1">
      <c r="A333" s="27"/>
      <c r="B333" s="27"/>
      <c r="C333" s="137"/>
      <c r="D333" s="27"/>
      <c r="E333" s="27"/>
      <c r="F333" s="206"/>
      <c r="G333" s="27"/>
      <c r="H333" s="27"/>
      <c r="I333" s="29"/>
      <c r="J333" s="29"/>
      <c r="K333" s="27"/>
      <c r="L333" s="27"/>
      <c r="M333" s="27"/>
      <c r="N333" s="27"/>
      <c r="O333" s="27"/>
      <c r="P333" s="27"/>
      <c r="Q333" s="28"/>
      <c r="R333" s="28"/>
      <c r="S333" s="28"/>
      <c r="T333" s="27"/>
      <c r="U333" s="28"/>
      <c r="V333" s="28"/>
      <c r="W333" s="28"/>
      <c r="X333" s="28"/>
      <c r="Y333" s="28"/>
      <c r="Z333" s="28"/>
      <c r="AA333" s="28"/>
      <c r="AB333" s="27"/>
      <c r="AC333" s="27"/>
      <c r="AD333" s="28"/>
      <c r="AE333" s="28"/>
      <c r="AF333" s="27"/>
      <c r="AG333" s="27"/>
      <c r="AH333" s="27"/>
      <c r="AI333" s="27"/>
      <c r="AJ333" s="27"/>
      <c r="AK333" s="27"/>
      <c r="AL333" s="27"/>
      <c r="AM333" s="27"/>
      <c r="AN333" s="27"/>
      <c r="AO333" s="27"/>
      <c r="AP333" s="27"/>
      <c r="AQ333" s="28"/>
      <c r="AR333" s="28"/>
      <c r="AS333" s="27"/>
      <c r="AT333" s="28"/>
      <c r="AU333" s="27"/>
      <c r="AV333" s="27"/>
      <c r="AW333" s="27"/>
      <c r="AX333" s="27"/>
      <c r="AY333" s="28"/>
      <c r="AZ333" s="28"/>
      <c r="BA333" s="28"/>
      <c r="BB333" s="26"/>
      <c r="BC333" s="27"/>
      <c r="BD333" s="93"/>
      <c r="BE333" s="28"/>
      <c r="BF333" s="28"/>
    </row>
    <row r="334" spans="1:58" ht="20.25" customHeight="1">
      <c r="A334" s="27"/>
      <c r="B334" s="27"/>
      <c r="C334" s="137"/>
      <c r="D334" s="27"/>
      <c r="E334" s="27"/>
      <c r="F334" s="206"/>
      <c r="G334" s="27"/>
      <c r="H334" s="27"/>
      <c r="I334" s="29"/>
      <c r="J334" s="29"/>
      <c r="K334" s="27"/>
      <c r="L334" s="27"/>
      <c r="M334" s="27"/>
      <c r="N334" s="27"/>
      <c r="O334" s="27"/>
      <c r="P334" s="27"/>
      <c r="Q334" s="28"/>
      <c r="R334" s="28"/>
      <c r="S334" s="28"/>
      <c r="T334" s="27"/>
      <c r="U334" s="28"/>
      <c r="V334" s="28"/>
      <c r="W334" s="28"/>
      <c r="X334" s="28"/>
      <c r="Y334" s="28"/>
      <c r="Z334" s="28"/>
      <c r="AA334" s="28"/>
      <c r="AB334" s="27"/>
      <c r="AC334" s="27"/>
      <c r="AD334" s="28"/>
      <c r="AE334" s="28"/>
      <c r="AF334" s="27"/>
      <c r="AG334" s="27"/>
      <c r="AH334" s="27"/>
      <c r="AI334" s="27"/>
      <c r="AJ334" s="27"/>
      <c r="AK334" s="27"/>
      <c r="AL334" s="27"/>
      <c r="AM334" s="27"/>
      <c r="AN334" s="27"/>
      <c r="AO334" s="27"/>
      <c r="AP334" s="27"/>
      <c r="AQ334" s="28"/>
      <c r="AR334" s="28"/>
      <c r="AS334" s="27"/>
      <c r="AT334" s="28"/>
      <c r="AU334" s="27"/>
      <c r="AV334" s="27"/>
      <c r="AW334" s="27"/>
      <c r="AX334" s="27"/>
      <c r="AY334" s="28"/>
      <c r="AZ334" s="28"/>
      <c r="BA334" s="28"/>
      <c r="BB334" s="26"/>
      <c r="BC334" s="27"/>
      <c r="BD334" s="93"/>
      <c r="BE334" s="28"/>
      <c r="BF334" s="28"/>
    </row>
    <row r="335" spans="1:58" ht="20.25" customHeight="1">
      <c r="A335" s="27"/>
      <c r="B335" s="27"/>
      <c r="C335" s="137"/>
      <c r="D335" s="27"/>
      <c r="E335" s="27"/>
      <c r="F335" s="206"/>
      <c r="G335" s="27"/>
      <c r="H335" s="27"/>
      <c r="I335" s="29"/>
      <c r="J335" s="29"/>
      <c r="K335" s="27"/>
      <c r="L335" s="27"/>
      <c r="M335" s="27"/>
      <c r="N335" s="27"/>
      <c r="O335" s="27"/>
      <c r="P335" s="27"/>
      <c r="Q335" s="28"/>
      <c r="R335" s="28"/>
      <c r="S335" s="28"/>
      <c r="T335" s="27"/>
      <c r="U335" s="28"/>
      <c r="V335" s="28"/>
      <c r="W335" s="28"/>
      <c r="X335" s="28"/>
      <c r="Y335" s="28"/>
      <c r="Z335" s="28"/>
      <c r="AA335" s="28"/>
      <c r="AB335" s="27"/>
      <c r="AC335" s="27"/>
      <c r="AD335" s="28"/>
      <c r="AE335" s="28"/>
      <c r="AF335" s="27"/>
      <c r="AG335" s="27"/>
      <c r="AH335" s="27"/>
      <c r="AI335" s="27"/>
      <c r="AJ335" s="27"/>
      <c r="AK335" s="27"/>
      <c r="AL335" s="27"/>
      <c r="AM335" s="27"/>
      <c r="AN335" s="27"/>
      <c r="AO335" s="27"/>
      <c r="AP335" s="27"/>
      <c r="AQ335" s="28"/>
      <c r="AR335" s="28"/>
      <c r="AS335" s="27"/>
      <c r="AT335" s="28"/>
      <c r="AU335" s="27"/>
      <c r="AV335" s="27"/>
      <c r="AW335" s="27"/>
      <c r="AX335" s="27"/>
      <c r="AY335" s="28"/>
      <c r="AZ335" s="28"/>
      <c r="BA335" s="28"/>
      <c r="BB335" s="26"/>
      <c r="BC335" s="27"/>
      <c r="BD335" s="93"/>
      <c r="BE335" s="28"/>
      <c r="BF335" s="28"/>
    </row>
    <row r="336" spans="1:58" ht="20.25" customHeight="1">
      <c r="A336" s="27"/>
      <c r="B336" s="27"/>
      <c r="C336" s="137"/>
      <c r="D336" s="27"/>
      <c r="E336" s="27"/>
      <c r="F336" s="206"/>
      <c r="G336" s="27"/>
      <c r="H336" s="27"/>
      <c r="I336" s="29"/>
      <c r="J336" s="29"/>
      <c r="K336" s="27"/>
      <c r="L336" s="27"/>
      <c r="M336" s="27"/>
      <c r="N336" s="27"/>
      <c r="O336" s="27"/>
      <c r="P336" s="27"/>
      <c r="Q336" s="28"/>
      <c r="R336" s="28"/>
      <c r="S336" s="28"/>
      <c r="T336" s="27"/>
      <c r="U336" s="28"/>
      <c r="V336" s="28"/>
      <c r="W336" s="28"/>
      <c r="X336" s="28"/>
      <c r="Y336" s="28"/>
      <c r="Z336" s="28"/>
      <c r="AA336" s="28"/>
      <c r="AB336" s="27"/>
      <c r="AC336" s="27"/>
      <c r="AD336" s="28"/>
      <c r="AE336" s="28"/>
      <c r="AF336" s="27"/>
      <c r="AG336" s="27"/>
      <c r="AH336" s="27"/>
      <c r="AI336" s="27"/>
      <c r="AJ336" s="27"/>
      <c r="AK336" s="27"/>
      <c r="AL336" s="27"/>
      <c r="AM336" s="27"/>
      <c r="AN336" s="27"/>
      <c r="AO336" s="27"/>
      <c r="AP336" s="27"/>
      <c r="AQ336" s="28"/>
      <c r="AR336" s="28"/>
      <c r="AS336" s="27"/>
      <c r="AT336" s="28"/>
      <c r="AU336" s="27"/>
      <c r="AV336" s="27"/>
      <c r="AW336" s="27"/>
      <c r="AX336" s="27"/>
      <c r="AY336" s="28"/>
      <c r="AZ336" s="28"/>
      <c r="BA336" s="28"/>
      <c r="BB336" s="26"/>
      <c r="BC336" s="27"/>
      <c r="BD336" s="93"/>
      <c r="BE336" s="28"/>
      <c r="BF336" s="28"/>
    </row>
    <row r="337" spans="1:58" ht="20.25" customHeight="1">
      <c r="A337" s="27"/>
      <c r="B337" s="27"/>
      <c r="C337" s="137"/>
      <c r="D337" s="27"/>
      <c r="E337" s="27"/>
      <c r="F337" s="206"/>
      <c r="G337" s="27"/>
      <c r="H337" s="27"/>
      <c r="I337" s="29"/>
      <c r="J337" s="29"/>
      <c r="K337" s="27"/>
      <c r="L337" s="27"/>
      <c r="M337" s="27"/>
      <c r="N337" s="27"/>
      <c r="O337" s="27"/>
      <c r="P337" s="27"/>
      <c r="Q337" s="28"/>
      <c r="R337" s="28"/>
      <c r="S337" s="28"/>
      <c r="T337" s="27"/>
      <c r="U337" s="28"/>
      <c r="V337" s="28"/>
      <c r="W337" s="28"/>
      <c r="X337" s="28"/>
      <c r="Y337" s="28"/>
      <c r="Z337" s="28"/>
      <c r="AA337" s="28"/>
      <c r="AB337" s="27"/>
      <c r="AC337" s="27"/>
      <c r="AD337" s="28"/>
      <c r="AE337" s="28"/>
      <c r="AF337" s="27"/>
      <c r="AG337" s="27"/>
      <c r="AH337" s="27"/>
      <c r="AI337" s="27"/>
      <c r="AJ337" s="27"/>
      <c r="AK337" s="27"/>
      <c r="AL337" s="27"/>
      <c r="AM337" s="27"/>
      <c r="AN337" s="27"/>
      <c r="AO337" s="27"/>
      <c r="AP337" s="27"/>
      <c r="AQ337" s="28"/>
      <c r="AR337" s="28"/>
      <c r="AS337" s="27"/>
      <c r="AT337" s="28"/>
      <c r="AU337" s="27"/>
      <c r="AV337" s="27"/>
      <c r="AW337" s="27"/>
      <c r="AX337" s="27"/>
      <c r="AY337" s="28"/>
      <c r="AZ337" s="28"/>
      <c r="BA337" s="28"/>
      <c r="BB337" s="26"/>
      <c r="BC337" s="27"/>
      <c r="BD337" s="93"/>
      <c r="BE337" s="28"/>
      <c r="BF337" s="28"/>
    </row>
    <row r="338" spans="1:58" ht="20.25" customHeight="1">
      <c r="A338" s="27"/>
      <c r="B338" s="27"/>
      <c r="C338" s="137"/>
      <c r="D338" s="27"/>
      <c r="E338" s="27"/>
      <c r="F338" s="206"/>
      <c r="G338" s="27"/>
      <c r="H338" s="27"/>
      <c r="I338" s="29"/>
      <c r="J338" s="29"/>
      <c r="K338" s="27"/>
      <c r="L338" s="27"/>
      <c r="M338" s="27"/>
      <c r="N338" s="27"/>
      <c r="O338" s="27"/>
      <c r="P338" s="27"/>
      <c r="Q338" s="28"/>
      <c r="R338" s="28"/>
      <c r="S338" s="28"/>
      <c r="T338" s="27"/>
      <c r="U338" s="28"/>
      <c r="V338" s="28"/>
      <c r="W338" s="28"/>
      <c r="X338" s="28"/>
      <c r="Y338" s="28"/>
      <c r="Z338" s="28"/>
      <c r="AA338" s="28"/>
      <c r="AB338" s="27"/>
      <c r="AC338" s="27"/>
      <c r="AD338" s="28"/>
      <c r="AE338" s="28"/>
      <c r="AF338" s="27"/>
      <c r="AG338" s="27"/>
      <c r="AH338" s="27"/>
      <c r="AI338" s="27"/>
      <c r="AJ338" s="27"/>
      <c r="AK338" s="27"/>
      <c r="AL338" s="27"/>
      <c r="AM338" s="27"/>
      <c r="AN338" s="27"/>
      <c r="AO338" s="27"/>
      <c r="AP338" s="27"/>
      <c r="AQ338" s="28"/>
      <c r="AR338" s="28"/>
      <c r="AS338" s="27"/>
      <c r="AT338" s="28"/>
      <c r="AU338" s="27"/>
      <c r="AV338" s="27"/>
      <c r="AW338" s="27"/>
      <c r="AX338" s="27"/>
      <c r="AY338" s="28"/>
      <c r="AZ338" s="28"/>
      <c r="BA338" s="28"/>
      <c r="BB338" s="26"/>
      <c r="BC338" s="27"/>
      <c r="BD338" s="93"/>
      <c r="BE338" s="28"/>
      <c r="BF338" s="28"/>
    </row>
    <row r="339" spans="1:58" ht="20.25" customHeight="1">
      <c r="A339" s="27"/>
      <c r="B339" s="27"/>
      <c r="C339" s="137"/>
      <c r="D339" s="27"/>
      <c r="E339" s="27"/>
      <c r="F339" s="206"/>
      <c r="G339" s="27"/>
      <c r="H339" s="27"/>
      <c r="I339" s="29"/>
      <c r="J339" s="29"/>
      <c r="K339" s="27"/>
      <c r="L339" s="27"/>
      <c r="M339" s="27"/>
      <c r="N339" s="27"/>
      <c r="O339" s="27"/>
      <c r="P339" s="27"/>
      <c r="Q339" s="28"/>
      <c r="R339" s="28"/>
      <c r="S339" s="28"/>
      <c r="T339" s="27"/>
      <c r="U339" s="28"/>
      <c r="V339" s="28"/>
      <c r="W339" s="28"/>
      <c r="X339" s="28"/>
      <c r="Y339" s="28"/>
      <c r="Z339" s="28"/>
      <c r="AA339" s="28"/>
      <c r="AB339" s="27"/>
      <c r="AC339" s="27"/>
      <c r="AD339" s="28"/>
      <c r="AE339" s="28"/>
      <c r="AF339" s="27"/>
      <c r="AG339" s="27"/>
      <c r="AH339" s="27"/>
      <c r="AI339" s="27"/>
      <c r="AJ339" s="27"/>
      <c r="AK339" s="27"/>
      <c r="AL339" s="27"/>
      <c r="AM339" s="27"/>
      <c r="AN339" s="27"/>
      <c r="AO339" s="27"/>
      <c r="AP339" s="27"/>
      <c r="AQ339" s="28"/>
      <c r="AR339" s="28"/>
      <c r="AS339" s="27"/>
      <c r="AT339" s="28"/>
      <c r="AU339" s="27"/>
      <c r="AV339" s="27"/>
      <c r="AW339" s="27"/>
      <c r="AX339" s="27"/>
      <c r="AY339" s="28"/>
      <c r="AZ339" s="28"/>
      <c r="BA339" s="28"/>
      <c r="BB339" s="26"/>
      <c r="BC339" s="27"/>
      <c r="BD339" s="93"/>
      <c r="BE339" s="28"/>
      <c r="BF339" s="28"/>
    </row>
    <row r="340" spans="1:58" ht="20.25" customHeight="1">
      <c r="A340" s="27"/>
      <c r="B340" s="27"/>
      <c r="C340" s="137"/>
      <c r="D340" s="27"/>
      <c r="E340" s="27"/>
      <c r="F340" s="206"/>
      <c r="G340" s="27"/>
      <c r="H340" s="27"/>
      <c r="I340" s="29"/>
      <c r="J340" s="29"/>
      <c r="K340" s="27"/>
      <c r="L340" s="27"/>
      <c r="M340" s="27"/>
      <c r="N340" s="27"/>
      <c r="O340" s="27"/>
      <c r="P340" s="27"/>
      <c r="Q340" s="28"/>
      <c r="R340" s="28"/>
      <c r="S340" s="28"/>
      <c r="T340" s="27"/>
      <c r="U340" s="28"/>
      <c r="V340" s="28"/>
      <c r="W340" s="28"/>
      <c r="X340" s="28"/>
      <c r="Y340" s="28"/>
      <c r="Z340" s="28"/>
      <c r="AA340" s="28"/>
      <c r="AB340" s="27"/>
      <c r="AC340" s="27"/>
      <c r="AD340" s="28"/>
      <c r="AE340" s="28"/>
      <c r="AF340" s="27"/>
      <c r="AG340" s="27"/>
      <c r="AH340" s="27"/>
      <c r="AI340" s="27"/>
      <c r="AJ340" s="27"/>
      <c r="AK340" s="27"/>
      <c r="AL340" s="27"/>
      <c r="AM340" s="27"/>
      <c r="AN340" s="27"/>
      <c r="AO340" s="27"/>
      <c r="AP340" s="27"/>
      <c r="AQ340" s="28"/>
      <c r="AR340" s="28"/>
      <c r="AS340" s="27"/>
      <c r="AT340" s="28"/>
      <c r="AU340" s="27"/>
      <c r="AV340" s="27"/>
      <c r="AW340" s="27"/>
      <c r="AX340" s="27"/>
      <c r="AY340" s="28"/>
      <c r="AZ340" s="28"/>
      <c r="BA340" s="28"/>
      <c r="BB340" s="26"/>
      <c r="BC340" s="27"/>
      <c r="BD340" s="93"/>
      <c r="BE340" s="28"/>
      <c r="BF340" s="28"/>
    </row>
    <row r="341" spans="1:58" ht="20.25" customHeight="1">
      <c r="A341" s="27"/>
      <c r="B341" s="27"/>
      <c r="C341" s="137"/>
      <c r="D341" s="27"/>
      <c r="E341" s="27"/>
      <c r="F341" s="206"/>
      <c r="G341" s="27"/>
      <c r="H341" s="27"/>
      <c r="I341" s="29"/>
      <c r="J341" s="29"/>
      <c r="K341" s="27"/>
      <c r="L341" s="27"/>
      <c r="M341" s="27"/>
      <c r="N341" s="27"/>
      <c r="O341" s="27"/>
      <c r="P341" s="27"/>
      <c r="Q341" s="28"/>
      <c r="R341" s="28"/>
      <c r="S341" s="28"/>
      <c r="T341" s="27"/>
      <c r="U341" s="28"/>
      <c r="V341" s="28"/>
      <c r="W341" s="28"/>
      <c r="X341" s="28"/>
      <c r="Y341" s="28"/>
      <c r="Z341" s="28"/>
      <c r="AA341" s="28"/>
      <c r="AB341" s="27"/>
      <c r="AC341" s="27"/>
      <c r="AD341" s="28"/>
      <c r="AE341" s="28"/>
      <c r="AF341" s="27"/>
      <c r="AG341" s="27"/>
      <c r="AH341" s="27"/>
      <c r="AI341" s="27"/>
      <c r="AJ341" s="27"/>
      <c r="AK341" s="27"/>
      <c r="AL341" s="27"/>
      <c r="AM341" s="27"/>
      <c r="AN341" s="27"/>
      <c r="AO341" s="27"/>
      <c r="AP341" s="27"/>
      <c r="AQ341" s="28"/>
      <c r="AR341" s="28"/>
      <c r="AS341" s="27"/>
      <c r="AT341" s="28"/>
      <c r="AU341" s="27"/>
      <c r="AV341" s="27"/>
      <c r="AW341" s="27"/>
      <c r="AX341" s="27"/>
      <c r="AY341" s="28"/>
      <c r="AZ341" s="28"/>
      <c r="BA341" s="28"/>
      <c r="BB341" s="26"/>
      <c r="BC341" s="27"/>
      <c r="BD341" s="93"/>
      <c r="BE341" s="28"/>
      <c r="BF341" s="28"/>
    </row>
    <row r="342" spans="1:58" ht="20.25" customHeight="1">
      <c r="A342" s="27"/>
      <c r="B342" s="27"/>
      <c r="C342" s="137"/>
      <c r="D342" s="27"/>
      <c r="E342" s="27"/>
      <c r="F342" s="206"/>
      <c r="G342" s="27"/>
      <c r="H342" s="27"/>
      <c r="I342" s="29"/>
      <c r="J342" s="29"/>
      <c r="K342" s="27"/>
      <c r="L342" s="27"/>
      <c r="M342" s="27"/>
      <c r="N342" s="27"/>
      <c r="O342" s="27"/>
      <c r="P342" s="27"/>
      <c r="Q342" s="28"/>
      <c r="R342" s="28"/>
      <c r="S342" s="28"/>
      <c r="T342" s="27"/>
      <c r="U342" s="28"/>
      <c r="V342" s="28"/>
      <c r="W342" s="28"/>
      <c r="X342" s="28"/>
      <c r="Y342" s="28"/>
      <c r="Z342" s="28"/>
      <c r="AA342" s="28"/>
      <c r="AB342" s="27"/>
      <c r="AC342" s="27"/>
      <c r="AD342" s="28"/>
      <c r="AE342" s="28"/>
      <c r="AF342" s="27"/>
      <c r="AG342" s="27"/>
      <c r="AH342" s="27"/>
      <c r="AI342" s="27"/>
      <c r="AJ342" s="27"/>
      <c r="AK342" s="27"/>
      <c r="AL342" s="27"/>
      <c r="AM342" s="27"/>
      <c r="AN342" s="27"/>
      <c r="AO342" s="27"/>
      <c r="AP342" s="27"/>
      <c r="AQ342" s="28"/>
      <c r="AR342" s="28"/>
      <c r="AS342" s="27"/>
      <c r="AT342" s="28"/>
      <c r="AU342" s="27"/>
      <c r="AV342" s="27"/>
      <c r="AW342" s="27"/>
      <c r="AX342" s="27"/>
      <c r="AY342" s="28"/>
      <c r="AZ342" s="28"/>
      <c r="BA342" s="28"/>
      <c r="BB342" s="26"/>
      <c r="BC342" s="27"/>
      <c r="BD342" s="93"/>
      <c r="BE342" s="28"/>
      <c r="BF342" s="28"/>
    </row>
    <row r="343" spans="1:58" ht="20.25" customHeight="1">
      <c r="A343" s="27"/>
      <c r="B343" s="27"/>
      <c r="C343" s="137"/>
      <c r="D343" s="27"/>
      <c r="E343" s="27"/>
      <c r="F343" s="206"/>
      <c r="G343" s="27"/>
      <c r="H343" s="27"/>
      <c r="I343" s="29"/>
      <c r="J343" s="29"/>
      <c r="K343" s="27"/>
      <c r="L343" s="27"/>
      <c r="M343" s="27"/>
      <c r="N343" s="27"/>
      <c r="O343" s="27"/>
      <c r="P343" s="27"/>
      <c r="Q343" s="28"/>
      <c r="R343" s="28"/>
      <c r="S343" s="28"/>
      <c r="T343" s="27"/>
      <c r="U343" s="28"/>
      <c r="V343" s="28"/>
      <c r="W343" s="28"/>
      <c r="X343" s="28"/>
      <c r="Y343" s="28"/>
      <c r="Z343" s="28"/>
      <c r="AA343" s="28"/>
      <c r="AB343" s="27"/>
      <c r="AC343" s="27"/>
      <c r="AD343" s="28"/>
      <c r="AE343" s="28"/>
      <c r="AF343" s="27"/>
      <c r="AG343" s="27"/>
      <c r="AH343" s="27"/>
      <c r="AI343" s="27"/>
      <c r="AJ343" s="27"/>
      <c r="AK343" s="27"/>
      <c r="AL343" s="27"/>
      <c r="AM343" s="27"/>
      <c r="AN343" s="27"/>
      <c r="AO343" s="27"/>
      <c r="AP343" s="27"/>
      <c r="AQ343" s="28"/>
      <c r="AR343" s="28"/>
      <c r="AS343" s="27"/>
      <c r="AT343" s="28"/>
      <c r="AU343" s="27"/>
      <c r="AV343" s="27"/>
      <c r="AW343" s="27"/>
      <c r="AX343" s="27"/>
      <c r="AY343" s="28"/>
      <c r="AZ343" s="28"/>
      <c r="BA343" s="28"/>
      <c r="BB343" s="26"/>
      <c r="BC343" s="27"/>
      <c r="BD343" s="93"/>
      <c r="BE343" s="28"/>
      <c r="BF343" s="28"/>
    </row>
    <row r="344" spans="1:58" ht="20.25" customHeight="1">
      <c r="A344" s="27"/>
      <c r="B344" s="27"/>
      <c r="C344" s="137"/>
      <c r="D344" s="27"/>
      <c r="E344" s="27"/>
      <c r="F344" s="206"/>
      <c r="G344" s="27"/>
      <c r="H344" s="27"/>
      <c r="I344" s="29"/>
      <c r="J344" s="29"/>
      <c r="K344" s="27"/>
      <c r="L344" s="27"/>
      <c r="M344" s="27"/>
      <c r="N344" s="27"/>
      <c r="O344" s="27"/>
      <c r="P344" s="27"/>
      <c r="Q344" s="28"/>
      <c r="R344" s="28"/>
      <c r="S344" s="28"/>
      <c r="T344" s="27"/>
      <c r="U344" s="28"/>
      <c r="V344" s="28"/>
      <c r="W344" s="28"/>
      <c r="X344" s="28"/>
      <c r="Y344" s="28"/>
      <c r="Z344" s="28"/>
      <c r="AA344" s="28"/>
      <c r="AB344" s="27"/>
      <c r="AC344" s="27"/>
      <c r="AD344" s="28"/>
      <c r="AE344" s="28"/>
      <c r="AF344" s="27"/>
      <c r="AG344" s="27"/>
      <c r="AH344" s="27"/>
      <c r="AI344" s="27"/>
      <c r="AJ344" s="27"/>
      <c r="AK344" s="27"/>
      <c r="AL344" s="27"/>
      <c r="AM344" s="27"/>
      <c r="AN344" s="27"/>
      <c r="AO344" s="27"/>
      <c r="AP344" s="27"/>
      <c r="AQ344" s="28"/>
      <c r="AR344" s="28"/>
      <c r="AS344" s="27"/>
      <c r="AT344" s="28"/>
      <c r="AU344" s="27"/>
      <c r="AV344" s="27"/>
      <c r="AW344" s="27"/>
      <c r="AX344" s="27"/>
      <c r="AY344" s="28"/>
      <c r="AZ344" s="28"/>
      <c r="BA344" s="28"/>
      <c r="BB344" s="26"/>
      <c r="BC344" s="27"/>
      <c r="BD344" s="93"/>
      <c r="BE344" s="28"/>
      <c r="BF344" s="28"/>
    </row>
    <row r="345" spans="1:58" ht="20.25" customHeight="1">
      <c r="A345" s="27"/>
      <c r="B345" s="27"/>
      <c r="C345" s="137"/>
      <c r="D345" s="27"/>
      <c r="E345" s="27"/>
      <c r="F345" s="206"/>
      <c r="G345" s="27"/>
      <c r="H345" s="27"/>
      <c r="I345" s="29"/>
      <c r="J345" s="29"/>
      <c r="K345" s="27"/>
      <c r="L345" s="27"/>
      <c r="M345" s="27"/>
      <c r="N345" s="27"/>
      <c r="O345" s="27"/>
      <c r="P345" s="27"/>
      <c r="Q345" s="28"/>
      <c r="R345" s="28"/>
      <c r="S345" s="28"/>
      <c r="T345" s="27"/>
      <c r="U345" s="28"/>
      <c r="V345" s="28"/>
      <c r="W345" s="28"/>
      <c r="X345" s="28"/>
      <c r="Y345" s="28"/>
      <c r="Z345" s="28"/>
      <c r="AA345" s="28"/>
      <c r="AB345" s="27"/>
      <c r="AC345" s="27"/>
      <c r="AD345" s="28"/>
      <c r="AE345" s="28"/>
      <c r="AF345" s="27"/>
      <c r="AG345" s="27"/>
      <c r="AH345" s="27"/>
      <c r="AI345" s="27"/>
      <c r="AJ345" s="27"/>
      <c r="AK345" s="27"/>
      <c r="AL345" s="27"/>
      <c r="AM345" s="27"/>
      <c r="AN345" s="27"/>
      <c r="AO345" s="27"/>
      <c r="AP345" s="27"/>
      <c r="AQ345" s="28"/>
      <c r="AR345" s="28"/>
      <c r="AS345" s="27"/>
      <c r="AT345" s="28"/>
      <c r="AU345" s="27"/>
      <c r="AV345" s="27"/>
      <c r="AW345" s="27"/>
      <c r="AX345" s="27"/>
      <c r="AY345" s="28"/>
      <c r="AZ345" s="28"/>
      <c r="BA345" s="28"/>
      <c r="BB345" s="26"/>
      <c r="BC345" s="27"/>
      <c r="BD345" s="93"/>
      <c r="BE345" s="28"/>
      <c r="BF345" s="28"/>
    </row>
    <row r="346" spans="1:58" ht="20.25" customHeight="1">
      <c r="A346" s="27"/>
      <c r="B346" s="27"/>
      <c r="C346" s="137"/>
      <c r="D346" s="27"/>
      <c r="E346" s="27"/>
      <c r="F346" s="206"/>
      <c r="G346" s="27"/>
      <c r="H346" s="27"/>
      <c r="I346" s="29"/>
      <c r="J346" s="29"/>
      <c r="K346" s="27"/>
      <c r="L346" s="27"/>
      <c r="M346" s="27"/>
      <c r="N346" s="27"/>
      <c r="O346" s="27"/>
      <c r="P346" s="27"/>
      <c r="Q346" s="28"/>
      <c r="R346" s="28"/>
      <c r="S346" s="28"/>
      <c r="T346" s="27"/>
      <c r="U346" s="28"/>
      <c r="V346" s="28"/>
      <c r="W346" s="28"/>
      <c r="X346" s="28"/>
      <c r="Y346" s="28"/>
      <c r="Z346" s="28"/>
      <c r="AA346" s="28"/>
      <c r="AB346" s="27"/>
      <c r="AC346" s="27"/>
      <c r="AD346" s="28"/>
      <c r="AE346" s="28"/>
      <c r="AF346" s="27"/>
      <c r="AG346" s="27"/>
      <c r="AH346" s="27"/>
      <c r="AI346" s="27"/>
      <c r="AJ346" s="27"/>
      <c r="AK346" s="27"/>
      <c r="AL346" s="27"/>
      <c r="AM346" s="27"/>
      <c r="AN346" s="27"/>
      <c r="AO346" s="27"/>
      <c r="AP346" s="27"/>
      <c r="AQ346" s="28"/>
      <c r="AR346" s="28"/>
      <c r="AS346" s="27"/>
      <c r="AT346" s="28"/>
      <c r="AU346" s="27"/>
      <c r="AV346" s="27"/>
      <c r="AW346" s="27"/>
      <c r="AX346" s="27"/>
      <c r="AY346" s="28"/>
      <c r="AZ346" s="28"/>
      <c r="BA346" s="28"/>
      <c r="BB346" s="26"/>
      <c r="BC346" s="27"/>
      <c r="BD346" s="93"/>
      <c r="BE346" s="28"/>
      <c r="BF346" s="28"/>
    </row>
    <row r="347" spans="1:58" ht="20.25" customHeight="1">
      <c r="A347" s="27"/>
      <c r="B347" s="27"/>
      <c r="C347" s="137"/>
      <c r="D347" s="27"/>
      <c r="E347" s="27"/>
      <c r="F347" s="206"/>
      <c r="G347" s="27"/>
      <c r="H347" s="27"/>
      <c r="I347" s="29"/>
      <c r="J347" s="29"/>
      <c r="K347" s="27"/>
      <c r="L347" s="27"/>
      <c r="M347" s="27"/>
      <c r="N347" s="27"/>
      <c r="O347" s="27"/>
      <c r="P347" s="27"/>
      <c r="Q347" s="28"/>
      <c r="R347" s="28"/>
      <c r="S347" s="28"/>
      <c r="T347" s="27"/>
      <c r="U347" s="28"/>
      <c r="V347" s="28"/>
      <c r="W347" s="28"/>
      <c r="X347" s="28"/>
      <c r="Y347" s="28"/>
      <c r="Z347" s="28"/>
      <c r="AA347" s="28"/>
      <c r="AB347" s="27"/>
      <c r="AC347" s="27"/>
      <c r="AD347" s="28"/>
      <c r="AE347" s="28"/>
      <c r="AF347" s="27"/>
      <c r="AG347" s="27"/>
      <c r="AH347" s="27"/>
      <c r="AI347" s="27"/>
      <c r="AJ347" s="27"/>
      <c r="AK347" s="27"/>
      <c r="AL347" s="27"/>
      <c r="AM347" s="27"/>
      <c r="AN347" s="27"/>
      <c r="AO347" s="27"/>
      <c r="AP347" s="27"/>
      <c r="AQ347" s="28"/>
      <c r="AR347" s="28"/>
      <c r="AS347" s="27"/>
      <c r="AT347" s="28"/>
      <c r="AU347" s="27"/>
      <c r="AV347" s="27"/>
      <c r="AW347" s="27"/>
      <c r="AX347" s="27"/>
      <c r="AY347" s="28"/>
      <c r="AZ347" s="28"/>
      <c r="BA347" s="28"/>
      <c r="BB347" s="26"/>
      <c r="BC347" s="27"/>
      <c r="BD347" s="93"/>
      <c r="BE347" s="28"/>
      <c r="BF347" s="28"/>
    </row>
    <row r="348" spans="1:58" ht="20.25" customHeight="1">
      <c r="A348" s="27"/>
      <c r="B348" s="27"/>
      <c r="C348" s="137"/>
      <c r="D348" s="27"/>
      <c r="E348" s="27"/>
      <c r="F348" s="206"/>
      <c r="G348" s="27"/>
      <c r="H348" s="27"/>
      <c r="I348" s="29"/>
      <c r="J348" s="29"/>
      <c r="K348" s="27"/>
      <c r="L348" s="27"/>
      <c r="M348" s="27"/>
      <c r="N348" s="27"/>
      <c r="O348" s="27"/>
      <c r="P348" s="27"/>
      <c r="Q348" s="28"/>
      <c r="R348" s="28"/>
      <c r="S348" s="28"/>
      <c r="T348" s="27"/>
      <c r="U348" s="28"/>
      <c r="V348" s="28"/>
      <c r="W348" s="28"/>
      <c r="X348" s="28"/>
      <c r="Y348" s="28"/>
      <c r="Z348" s="28"/>
      <c r="AA348" s="28"/>
      <c r="AB348" s="27"/>
      <c r="AC348" s="27"/>
      <c r="AD348" s="28"/>
      <c r="AE348" s="28"/>
      <c r="AF348" s="27"/>
      <c r="AG348" s="27"/>
      <c r="AH348" s="27"/>
      <c r="AI348" s="27"/>
      <c r="AJ348" s="27"/>
      <c r="AK348" s="27"/>
      <c r="AL348" s="27"/>
      <c r="AM348" s="27"/>
      <c r="AN348" s="27"/>
      <c r="AO348" s="27"/>
      <c r="AP348" s="27"/>
      <c r="AQ348" s="28"/>
      <c r="AR348" s="28"/>
      <c r="AS348" s="27"/>
      <c r="AT348" s="28"/>
      <c r="AU348" s="27"/>
      <c r="AV348" s="27"/>
      <c r="AW348" s="27"/>
      <c r="AX348" s="27"/>
      <c r="AY348" s="28"/>
      <c r="AZ348" s="28"/>
      <c r="BA348" s="28"/>
      <c r="BB348" s="26"/>
      <c r="BC348" s="27"/>
      <c r="BD348" s="93"/>
      <c r="BE348" s="28"/>
      <c r="BF348" s="28"/>
    </row>
    <row r="349" spans="1:58" ht="20.25" customHeight="1">
      <c r="A349" s="27"/>
      <c r="B349" s="27"/>
      <c r="C349" s="137"/>
      <c r="D349" s="27"/>
      <c r="E349" s="27"/>
      <c r="F349" s="206"/>
      <c r="G349" s="27"/>
      <c r="H349" s="27"/>
      <c r="I349" s="29"/>
      <c r="J349" s="29"/>
      <c r="K349" s="27"/>
      <c r="L349" s="27"/>
      <c r="M349" s="27"/>
      <c r="N349" s="27"/>
      <c r="O349" s="27"/>
      <c r="P349" s="27"/>
      <c r="Q349" s="28"/>
      <c r="R349" s="28"/>
      <c r="S349" s="28"/>
      <c r="T349" s="27"/>
      <c r="U349" s="28"/>
      <c r="V349" s="28"/>
      <c r="W349" s="28"/>
      <c r="X349" s="28"/>
      <c r="Y349" s="28"/>
      <c r="Z349" s="28"/>
      <c r="AA349" s="28"/>
      <c r="AB349" s="27"/>
      <c r="AC349" s="27"/>
      <c r="AD349" s="28"/>
      <c r="AE349" s="28"/>
      <c r="AF349" s="27"/>
      <c r="AG349" s="27"/>
      <c r="AH349" s="27"/>
      <c r="AI349" s="27"/>
      <c r="AJ349" s="27"/>
      <c r="AK349" s="27"/>
      <c r="AL349" s="27"/>
      <c r="AM349" s="27"/>
      <c r="AN349" s="27"/>
      <c r="AO349" s="27"/>
      <c r="AP349" s="27"/>
      <c r="AQ349" s="28"/>
      <c r="AR349" s="28"/>
      <c r="AS349" s="27"/>
      <c r="AT349" s="28"/>
      <c r="AU349" s="27"/>
      <c r="AV349" s="27"/>
      <c r="AW349" s="27"/>
      <c r="AX349" s="27"/>
      <c r="AY349" s="28"/>
      <c r="AZ349" s="28"/>
      <c r="BA349" s="28"/>
      <c r="BB349" s="26"/>
      <c r="BC349" s="27"/>
      <c r="BD349" s="93"/>
      <c r="BE349" s="28"/>
      <c r="BF349" s="28"/>
    </row>
    <row r="350" spans="1:58" ht="20.25" customHeight="1">
      <c r="A350" s="27"/>
      <c r="B350" s="27"/>
      <c r="C350" s="137"/>
      <c r="D350" s="27"/>
      <c r="E350" s="27"/>
      <c r="F350" s="206"/>
      <c r="G350" s="27"/>
      <c r="H350" s="27"/>
      <c r="I350" s="29"/>
      <c r="J350" s="29"/>
      <c r="K350" s="27"/>
      <c r="L350" s="27"/>
      <c r="M350" s="27"/>
      <c r="N350" s="27"/>
      <c r="O350" s="27"/>
      <c r="P350" s="27"/>
      <c r="Q350" s="28"/>
      <c r="R350" s="28"/>
      <c r="S350" s="28"/>
      <c r="T350" s="27"/>
      <c r="U350" s="28"/>
      <c r="V350" s="28"/>
      <c r="W350" s="28"/>
      <c r="X350" s="28"/>
      <c r="Y350" s="28"/>
      <c r="Z350" s="28"/>
      <c r="AA350" s="28"/>
      <c r="AB350" s="27"/>
      <c r="AC350" s="27"/>
      <c r="AD350" s="28"/>
      <c r="AE350" s="28"/>
      <c r="AF350" s="27"/>
      <c r="AG350" s="27"/>
      <c r="AH350" s="27"/>
      <c r="AI350" s="27"/>
      <c r="AJ350" s="27"/>
      <c r="AK350" s="27"/>
      <c r="AL350" s="27"/>
      <c r="AM350" s="27"/>
      <c r="AN350" s="27"/>
      <c r="AO350" s="27"/>
      <c r="AP350" s="27"/>
      <c r="AQ350" s="28"/>
      <c r="AR350" s="28"/>
      <c r="AS350" s="27"/>
      <c r="AT350" s="28"/>
      <c r="AU350" s="27"/>
      <c r="AV350" s="27"/>
      <c r="AW350" s="27"/>
      <c r="AX350" s="27"/>
      <c r="AY350" s="28"/>
      <c r="AZ350" s="28"/>
      <c r="BA350" s="28"/>
      <c r="BB350" s="26"/>
      <c r="BC350" s="27"/>
      <c r="BD350" s="93"/>
      <c r="BE350" s="28"/>
      <c r="BF350" s="28"/>
    </row>
    <row r="351" spans="1:58" ht="20.25" customHeight="1">
      <c r="A351" s="27"/>
      <c r="B351" s="27"/>
      <c r="C351" s="137"/>
      <c r="D351" s="27"/>
      <c r="E351" s="27"/>
      <c r="F351" s="206"/>
      <c r="G351" s="27"/>
      <c r="H351" s="27"/>
      <c r="I351" s="29"/>
      <c r="J351" s="29"/>
      <c r="K351" s="27"/>
      <c r="L351" s="27"/>
      <c r="M351" s="27"/>
      <c r="N351" s="27"/>
      <c r="O351" s="27"/>
      <c r="P351" s="27"/>
      <c r="Q351" s="28"/>
      <c r="R351" s="28"/>
      <c r="S351" s="28"/>
      <c r="T351" s="27"/>
      <c r="U351" s="28"/>
      <c r="V351" s="28"/>
      <c r="W351" s="28"/>
      <c r="X351" s="28"/>
      <c r="Y351" s="28"/>
      <c r="Z351" s="28"/>
      <c r="AA351" s="28"/>
      <c r="AB351" s="27"/>
      <c r="AC351" s="27"/>
      <c r="AD351" s="28"/>
      <c r="AE351" s="28"/>
      <c r="AF351" s="27"/>
      <c r="AG351" s="27"/>
      <c r="AH351" s="27"/>
      <c r="AI351" s="27"/>
      <c r="AJ351" s="27"/>
      <c r="AK351" s="27"/>
      <c r="AL351" s="27"/>
      <c r="AM351" s="27"/>
      <c r="AN351" s="27"/>
      <c r="AO351" s="27"/>
      <c r="AP351" s="27"/>
      <c r="AQ351" s="28"/>
      <c r="AR351" s="28"/>
      <c r="AS351" s="27"/>
      <c r="AT351" s="28"/>
      <c r="AU351" s="27"/>
      <c r="AV351" s="27"/>
      <c r="AW351" s="27"/>
      <c r="AX351" s="27"/>
      <c r="AY351" s="28"/>
      <c r="AZ351" s="28"/>
      <c r="BA351" s="28"/>
      <c r="BB351" s="26"/>
      <c r="BC351" s="27"/>
      <c r="BD351" s="93"/>
      <c r="BE351" s="28"/>
      <c r="BF351" s="28"/>
    </row>
    <row r="352" spans="1:58" ht="20.25" customHeight="1">
      <c r="A352" s="27"/>
      <c r="B352" s="27"/>
      <c r="C352" s="137"/>
      <c r="D352" s="27"/>
      <c r="E352" s="27"/>
      <c r="F352" s="206"/>
      <c r="G352" s="27"/>
      <c r="H352" s="27"/>
      <c r="I352" s="29"/>
      <c r="J352" s="29"/>
      <c r="K352" s="27"/>
      <c r="L352" s="27"/>
      <c r="M352" s="27"/>
      <c r="N352" s="27"/>
      <c r="O352" s="27"/>
      <c r="P352" s="27"/>
      <c r="Q352" s="28"/>
      <c r="R352" s="28"/>
      <c r="S352" s="28"/>
      <c r="T352" s="27"/>
      <c r="U352" s="28"/>
      <c r="V352" s="28"/>
      <c r="W352" s="28"/>
      <c r="X352" s="28"/>
      <c r="Y352" s="28"/>
      <c r="Z352" s="28"/>
      <c r="AA352" s="28"/>
      <c r="AB352" s="27"/>
      <c r="AC352" s="27"/>
      <c r="AD352" s="28"/>
      <c r="AE352" s="28"/>
      <c r="AF352" s="27"/>
      <c r="AG352" s="27"/>
      <c r="AH352" s="27"/>
      <c r="AI352" s="27"/>
      <c r="AJ352" s="27"/>
      <c r="AK352" s="27"/>
      <c r="AL352" s="27"/>
      <c r="AM352" s="27"/>
      <c r="AN352" s="27"/>
      <c r="AO352" s="27"/>
      <c r="AP352" s="27"/>
      <c r="AQ352" s="28"/>
      <c r="AR352" s="28"/>
      <c r="AS352" s="27"/>
      <c r="AT352" s="28"/>
      <c r="AU352" s="27"/>
      <c r="AV352" s="27"/>
      <c r="AW352" s="27"/>
      <c r="AX352" s="27"/>
      <c r="AY352" s="28"/>
      <c r="AZ352" s="28"/>
      <c r="BA352" s="28"/>
      <c r="BB352" s="26"/>
      <c r="BC352" s="27"/>
      <c r="BD352" s="93"/>
      <c r="BE352" s="28"/>
      <c r="BF352" s="28"/>
    </row>
    <row r="353" spans="1:58" ht="20.25" customHeight="1">
      <c r="A353" s="27"/>
      <c r="B353" s="27"/>
      <c r="C353" s="137"/>
      <c r="D353" s="27"/>
      <c r="E353" s="27"/>
      <c r="F353" s="206"/>
      <c r="G353" s="27"/>
      <c r="H353" s="27"/>
      <c r="I353" s="29"/>
      <c r="J353" s="29"/>
      <c r="K353" s="27"/>
      <c r="L353" s="27"/>
      <c r="M353" s="27"/>
      <c r="N353" s="27"/>
      <c r="O353" s="27"/>
      <c r="P353" s="27"/>
      <c r="Q353" s="28"/>
      <c r="R353" s="28"/>
      <c r="S353" s="28"/>
      <c r="T353" s="27"/>
      <c r="U353" s="28"/>
      <c r="V353" s="28"/>
      <c r="W353" s="28"/>
      <c r="X353" s="28"/>
      <c r="Y353" s="28"/>
      <c r="Z353" s="28"/>
      <c r="AA353" s="28"/>
      <c r="AB353" s="27"/>
      <c r="AC353" s="27"/>
      <c r="AD353" s="28"/>
      <c r="AE353" s="28"/>
      <c r="AF353" s="27"/>
      <c r="AG353" s="27"/>
      <c r="AH353" s="27"/>
      <c r="AI353" s="27"/>
      <c r="AJ353" s="27"/>
      <c r="AK353" s="27"/>
      <c r="AL353" s="27"/>
      <c r="AM353" s="27"/>
      <c r="AN353" s="27"/>
      <c r="AO353" s="27"/>
      <c r="AP353" s="27"/>
      <c r="AQ353" s="28"/>
      <c r="AR353" s="28"/>
      <c r="AS353" s="27"/>
      <c r="AT353" s="28"/>
      <c r="AU353" s="27"/>
      <c r="AV353" s="27"/>
      <c r="AW353" s="27"/>
      <c r="AX353" s="27"/>
      <c r="AY353" s="28"/>
      <c r="AZ353" s="28"/>
      <c r="BA353" s="28"/>
      <c r="BB353" s="26"/>
      <c r="BC353" s="27"/>
      <c r="BD353" s="93"/>
      <c r="BE353" s="28"/>
      <c r="BF353" s="28"/>
    </row>
    <row r="354" spans="1:58" ht="20.25" customHeight="1">
      <c r="A354" s="27"/>
      <c r="B354" s="27"/>
      <c r="C354" s="137"/>
      <c r="D354" s="27"/>
      <c r="E354" s="27"/>
      <c r="F354" s="206"/>
      <c r="G354" s="27"/>
      <c r="H354" s="27"/>
      <c r="I354" s="29"/>
      <c r="J354" s="29"/>
      <c r="K354" s="27"/>
      <c r="L354" s="27"/>
      <c r="M354" s="27"/>
      <c r="N354" s="27"/>
      <c r="O354" s="27"/>
      <c r="P354" s="27"/>
      <c r="Q354" s="28"/>
      <c r="R354" s="28"/>
      <c r="S354" s="28"/>
      <c r="T354" s="27"/>
      <c r="U354" s="28"/>
      <c r="V354" s="28"/>
      <c r="W354" s="28"/>
      <c r="X354" s="28"/>
      <c r="Y354" s="28"/>
      <c r="Z354" s="28"/>
      <c r="AA354" s="28"/>
      <c r="AB354" s="27"/>
      <c r="AC354" s="27"/>
      <c r="AD354" s="28"/>
      <c r="AE354" s="28"/>
      <c r="AF354" s="27"/>
      <c r="AG354" s="27"/>
      <c r="AH354" s="27"/>
      <c r="AI354" s="27"/>
      <c r="AJ354" s="27"/>
      <c r="AK354" s="27"/>
      <c r="AL354" s="27"/>
      <c r="AM354" s="27"/>
      <c r="AN354" s="27"/>
      <c r="AO354" s="27"/>
      <c r="AP354" s="27"/>
      <c r="AQ354" s="28"/>
      <c r="AR354" s="28"/>
      <c r="AS354" s="27"/>
      <c r="AT354" s="28"/>
      <c r="AU354" s="27"/>
      <c r="AV354" s="27"/>
      <c r="AW354" s="27"/>
      <c r="AX354" s="27"/>
      <c r="AY354" s="28"/>
      <c r="AZ354" s="28"/>
      <c r="BA354" s="28"/>
      <c r="BB354" s="26"/>
      <c r="BC354" s="27"/>
      <c r="BD354" s="93"/>
      <c r="BE354" s="28"/>
      <c r="BF354" s="28"/>
    </row>
    <row r="355" spans="1:58" ht="20.25" customHeight="1">
      <c r="A355" s="27"/>
      <c r="B355" s="27"/>
      <c r="C355" s="137"/>
      <c r="D355" s="27"/>
      <c r="E355" s="27"/>
      <c r="F355" s="206"/>
      <c r="G355" s="27"/>
      <c r="H355" s="27"/>
      <c r="I355" s="29"/>
      <c r="J355" s="29"/>
      <c r="K355" s="27"/>
      <c r="L355" s="27"/>
      <c r="M355" s="27"/>
      <c r="N355" s="27"/>
      <c r="O355" s="27"/>
      <c r="P355" s="27"/>
      <c r="Q355" s="28"/>
      <c r="R355" s="28"/>
      <c r="S355" s="28"/>
      <c r="T355" s="27"/>
      <c r="U355" s="28"/>
      <c r="V355" s="28"/>
      <c r="W355" s="28"/>
      <c r="X355" s="28"/>
      <c r="Y355" s="28"/>
      <c r="Z355" s="28"/>
      <c r="AA355" s="28"/>
      <c r="AB355" s="27"/>
      <c r="AC355" s="27"/>
      <c r="AD355" s="28"/>
      <c r="AE355" s="28"/>
      <c r="AF355" s="27"/>
      <c r="AG355" s="27"/>
      <c r="AH355" s="27"/>
      <c r="AI355" s="27"/>
      <c r="AJ355" s="27"/>
      <c r="AK355" s="27"/>
      <c r="AL355" s="27"/>
      <c r="AM355" s="27"/>
      <c r="AN355" s="27"/>
      <c r="AO355" s="27"/>
      <c r="AP355" s="27"/>
      <c r="AQ355" s="28"/>
      <c r="AR355" s="28"/>
      <c r="AS355" s="27"/>
      <c r="AT355" s="28"/>
      <c r="AU355" s="27"/>
      <c r="AV355" s="27"/>
      <c r="AW355" s="27"/>
      <c r="AX355" s="27"/>
      <c r="AY355" s="28"/>
      <c r="AZ355" s="28"/>
      <c r="BA355" s="28"/>
      <c r="BB355" s="26"/>
      <c r="BC355" s="27"/>
      <c r="BD355" s="93"/>
      <c r="BE355" s="28"/>
      <c r="BF355" s="28"/>
    </row>
    <row r="356" spans="1:58" ht="20.25" customHeight="1">
      <c r="A356" s="27"/>
      <c r="B356" s="27"/>
      <c r="C356" s="137"/>
      <c r="D356" s="27"/>
      <c r="E356" s="27"/>
      <c r="F356" s="206"/>
      <c r="G356" s="27"/>
      <c r="H356" s="27"/>
      <c r="I356" s="29"/>
      <c r="J356" s="29"/>
      <c r="K356" s="27"/>
      <c r="L356" s="27"/>
      <c r="M356" s="27"/>
      <c r="N356" s="27"/>
      <c r="O356" s="27"/>
      <c r="P356" s="27"/>
      <c r="Q356" s="28"/>
      <c r="R356" s="28"/>
      <c r="S356" s="28"/>
      <c r="T356" s="27"/>
      <c r="U356" s="28"/>
      <c r="V356" s="28"/>
      <c r="W356" s="28"/>
      <c r="X356" s="28"/>
      <c r="Y356" s="28"/>
      <c r="Z356" s="28"/>
      <c r="AA356" s="28"/>
      <c r="AB356" s="27"/>
      <c r="AC356" s="27"/>
      <c r="AD356" s="28"/>
      <c r="AE356" s="28"/>
      <c r="AF356" s="27"/>
      <c r="AG356" s="27"/>
      <c r="AH356" s="27"/>
      <c r="AI356" s="27"/>
      <c r="AJ356" s="27"/>
      <c r="AK356" s="27"/>
      <c r="AL356" s="27"/>
      <c r="AM356" s="27"/>
      <c r="AN356" s="27"/>
      <c r="AO356" s="27"/>
      <c r="AP356" s="27"/>
      <c r="AQ356" s="28"/>
      <c r="AR356" s="28"/>
      <c r="AS356" s="27"/>
      <c r="AT356" s="28"/>
      <c r="AU356" s="27"/>
      <c r="AV356" s="27"/>
      <c r="AW356" s="27"/>
      <c r="AX356" s="27"/>
      <c r="AY356" s="28"/>
      <c r="AZ356" s="28"/>
      <c r="BA356" s="28"/>
      <c r="BB356" s="26"/>
      <c r="BC356" s="27"/>
      <c r="BD356" s="93"/>
      <c r="BE356" s="28"/>
      <c r="BF356" s="28"/>
    </row>
    <row r="357" spans="1:58" ht="20.25" customHeight="1">
      <c r="A357" s="27"/>
      <c r="B357" s="27"/>
      <c r="C357" s="137"/>
      <c r="D357" s="27"/>
      <c r="E357" s="27"/>
      <c r="F357" s="206"/>
      <c r="G357" s="27"/>
      <c r="H357" s="27"/>
      <c r="I357" s="29"/>
      <c r="J357" s="29"/>
      <c r="K357" s="27"/>
      <c r="L357" s="27"/>
      <c r="M357" s="27"/>
      <c r="N357" s="27"/>
      <c r="O357" s="27"/>
      <c r="P357" s="27"/>
      <c r="Q357" s="28"/>
      <c r="R357" s="28"/>
      <c r="S357" s="28"/>
      <c r="T357" s="27"/>
      <c r="U357" s="28"/>
      <c r="V357" s="28"/>
      <c r="W357" s="28"/>
      <c r="X357" s="28"/>
      <c r="Y357" s="28"/>
      <c r="Z357" s="28"/>
      <c r="AA357" s="28"/>
      <c r="AB357" s="27"/>
      <c r="AC357" s="27"/>
      <c r="AD357" s="28"/>
      <c r="AE357" s="28"/>
      <c r="AF357" s="27"/>
      <c r="AG357" s="27"/>
      <c r="AH357" s="27"/>
      <c r="AI357" s="27"/>
      <c r="AJ357" s="27"/>
      <c r="AK357" s="27"/>
      <c r="AL357" s="27"/>
      <c r="AM357" s="27"/>
      <c r="AN357" s="27"/>
      <c r="AO357" s="27"/>
      <c r="AP357" s="27"/>
      <c r="AQ357" s="28"/>
      <c r="AR357" s="28"/>
      <c r="AS357" s="27"/>
      <c r="AT357" s="28"/>
      <c r="AU357" s="27"/>
      <c r="AV357" s="27"/>
      <c r="AW357" s="27"/>
      <c r="AX357" s="27"/>
      <c r="AY357" s="28"/>
      <c r="AZ357" s="28"/>
      <c r="BA357" s="28"/>
      <c r="BB357" s="26"/>
      <c r="BC357" s="27"/>
      <c r="BD357" s="93"/>
      <c r="BE357" s="28"/>
      <c r="BF357" s="28"/>
    </row>
    <row r="358" spans="1:58" ht="20.25" customHeight="1">
      <c r="A358" s="27"/>
      <c r="B358" s="27"/>
      <c r="C358" s="137"/>
      <c r="D358" s="27"/>
      <c r="E358" s="27"/>
      <c r="F358" s="206"/>
      <c r="G358" s="27"/>
      <c r="H358" s="27"/>
      <c r="I358" s="29"/>
      <c r="J358" s="29"/>
      <c r="K358" s="27"/>
      <c r="L358" s="27"/>
      <c r="M358" s="27"/>
      <c r="N358" s="27"/>
      <c r="O358" s="27"/>
      <c r="P358" s="27"/>
      <c r="Q358" s="28"/>
      <c r="R358" s="28"/>
      <c r="S358" s="28"/>
      <c r="T358" s="27"/>
      <c r="U358" s="28"/>
      <c r="V358" s="28"/>
      <c r="W358" s="28"/>
      <c r="X358" s="28"/>
      <c r="Y358" s="28"/>
      <c r="Z358" s="28"/>
      <c r="AA358" s="28"/>
      <c r="AB358" s="27"/>
      <c r="AC358" s="27"/>
      <c r="AD358" s="28"/>
      <c r="AE358" s="28"/>
      <c r="AF358" s="27"/>
      <c r="AG358" s="27"/>
      <c r="AH358" s="27"/>
      <c r="AI358" s="27"/>
      <c r="AJ358" s="27"/>
      <c r="AK358" s="27"/>
      <c r="AL358" s="27"/>
      <c r="AM358" s="27"/>
      <c r="AN358" s="27"/>
      <c r="AO358" s="27"/>
      <c r="AP358" s="27"/>
      <c r="AQ358" s="28"/>
      <c r="AR358" s="28"/>
      <c r="AS358" s="27"/>
      <c r="AT358" s="28"/>
      <c r="AU358" s="27"/>
      <c r="AV358" s="27"/>
      <c r="AW358" s="27"/>
      <c r="AX358" s="27"/>
      <c r="AY358" s="28"/>
      <c r="AZ358" s="28"/>
      <c r="BA358" s="28"/>
      <c r="BB358" s="26"/>
      <c r="BC358" s="27"/>
      <c r="BD358" s="93"/>
      <c r="BE358" s="28"/>
      <c r="BF358" s="28"/>
    </row>
    <row r="359" spans="1:58" ht="20.25" customHeight="1">
      <c r="A359" s="27"/>
      <c r="B359" s="27"/>
      <c r="C359" s="137"/>
      <c r="D359" s="27"/>
      <c r="E359" s="27"/>
      <c r="F359" s="206"/>
      <c r="G359" s="27"/>
      <c r="H359" s="27"/>
      <c r="I359" s="29"/>
      <c r="J359" s="29"/>
      <c r="K359" s="27"/>
      <c r="L359" s="27"/>
      <c r="M359" s="27"/>
      <c r="N359" s="27"/>
      <c r="O359" s="27"/>
      <c r="P359" s="27"/>
      <c r="Q359" s="28"/>
      <c r="R359" s="28"/>
      <c r="S359" s="28"/>
      <c r="T359" s="27"/>
      <c r="U359" s="28"/>
      <c r="V359" s="28"/>
      <c r="W359" s="28"/>
      <c r="X359" s="28"/>
      <c r="Y359" s="28"/>
      <c r="Z359" s="28"/>
      <c r="AA359" s="28"/>
      <c r="AB359" s="27"/>
      <c r="AC359" s="27"/>
      <c r="AD359" s="28"/>
      <c r="AE359" s="28"/>
      <c r="AF359" s="27"/>
      <c r="AG359" s="27"/>
      <c r="AH359" s="27"/>
      <c r="AI359" s="27"/>
      <c r="AJ359" s="27"/>
      <c r="AK359" s="27"/>
      <c r="AL359" s="27"/>
      <c r="AM359" s="27"/>
      <c r="AN359" s="27"/>
      <c r="AO359" s="27"/>
      <c r="AP359" s="27"/>
      <c r="AQ359" s="28"/>
      <c r="AR359" s="28"/>
      <c r="AS359" s="27"/>
      <c r="AT359" s="28"/>
      <c r="AU359" s="27"/>
      <c r="AV359" s="27"/>
      <c r="AW359" s="27"/>
      <c r="AX359" s="27"/>
      <c r="AY359" s="28"/>
      <c r="AZ359" s="28"/>
      <c r="BA359" s="28"/>
      <c r="BB359" s="26"/>
      <c r="BC359" s="27"/>
      <c r="BD359" s="93"/>
      <c r="BE359" s="28"/>
      <c r="BF359" s="28"/>
    </row>
    <row r="360" spans="1:58" ht="20.25" customHeight="1">
      <c r="A360" s="27"/>
      <c r="B360" s="27"/>
      <c r="C360" s="137"/>
      <c r="D360" s="27"/>
      <c r="E360" s="27"/>
      <c r="F360" s="206"/>
      <c r="G360" s="27"/>
      <c r="H360" s="27"/>
      <c r="I360" s="29"/>
      <c r="J360" s="29"/>
      <c r="K360" s="27"/>
      <c r="L360" s="27"/>
      <c r="M360" s="27"/>
      <c r="N360" s="27"/>
      <c r="O360" s="27"/>
      <c r="P360" s="27"/>
      <c r="Q360" s="28"/>
      <c r="R360" s="28"/>
      <c r="S360" s="28"/>
      <c r="T360" s="27"/>
      <c r="U360" s="28"/>
      <c r="V360" s="28"/>
      <c r="W360" s="28"/>
      <c r="X360" s="28"/>
      <c r="Y360" s="28"/>
      <c r="Z360" s="28"/>
      <c r="AA360" s="28"/>
      <c r="AB360" s="27"/>
      <c r="AC360" s="27"/>
      <c r="AD360" s="28"/>
      <c r="AE360" s="28"/>
      <c r="AF360" s="27"/>
      <c r="AG360" s="27"/>
      <c r="AH360" s="27"/>
      <c r="AI360" s="27"/>
      <c r="AJ360" s="27"/>
      <c r="AK360" s="27"/>
      <c r="AL360" s="27"/>
      <c r="AM360" s="27"/>
      <c r="AN360" s="27"/>
      <c r="AO360" s="27"/>
      <c r="AP360" s="27"/>
      <c r="AQ360" s="28"/>
      <c r="AR360" s="28"/>
      <c r="AS360" s="27"/>
      <c r="AT360" s="28"/>
      <c r="AU360" s="27"/>
      <c r="AV360" s="27"/>
      <c r="AW360" s="27"/>
      <c r="AX360" s="27"/>
      <c r="AY360" s="28"/>
      <c r="AZ360" s="28"/>
      <c r="BA360" s="28"/>
      <c r="BB360" s="26"/>
      <c r="BC360" s="27"/>
      <c r="BD360" s="93"/>
      <c r="BE360" s="28"/>
      <c r="BF360" s="28"/>
    </row>
    <row r="361" spans="1:58" ht="20.25" customHeight="1">
      <c r="A361" s="27"/>
      <c r="B361" s="27"/>
      <c r="C361" s="137"/>
      <c r="D361" s="27"/>
      <c r="E361" s="27"/>
      <c r="F361" s="206"/>
      <c r="G361" s="27"/>
      <c r="H361" s="27"/>
      <c r="I361" s="29"/>
      <c r="J361" s="29"/>
      <c r="K361" s="27"/>
      <c r="L361" s="27"/>
      <c r="M361" s="27"/>
      <c r="N361" s="27"/>
      <c r="O361" s="27"/>
      <c r="P361" s="27"/>
      <c r="Q361" s="28"/>
      <c r="R361" s="28"/>
      <c r="S361" s="28"/>
      <c r="T361" s="27"/>
      <c r="U361" s="28"/>
      <c r="V361" s="28"/>
      <c r="W361" s="28"/>
      <c r="X361" s="28"/>
      <c r="Y361" s="28"/>
      <c r="Z361" s="28"/>
      <c r="AA361" s="28"/>
      <c r="AB361" s="27"/>
      <c r="AC361" s="27"/>
      <c r="AD361" s="28"/>
      <c r="AE361" s="28"/>
      <c r="AF361" s="27"/>
      <c r="AG361" s="27"/>
      <c r="AH361" s="27"/>
      <c r="AI361" s="27"/>
      <c r="AJ361" s="27"/>
      <c r="AK361" s="27"/>
      <c r="AL361" s="27"/>
      <c r="AM361" s="27"/>
      <c r="AN361" s="27"/>
      <c r="AO361" s="27"/>
      <c r="AP361" s="27"/>
      <c r="AQ361" s="28"/>
      <c r="AR361" s="28"/>
      <c r="AS361" s="27"/>
      <c r="AT361" s="28"/>
      <c r="AU361" s="27"/>
      <c r="AV361" s="27"/>
      <c r="AW361" s="27"/>
      <c r="AX361" s="27"/>
      <c r="AY361" s="28"/>
      <c r="AZ361" s="28"/>
      <c r="BA361" s="28"/>
      <c r="BB361" s="26"/>
      <c r="BC361" s="27"/>
      <c r="BD361" s="93"/>
      <c r="BE361" s="28"/>
      <c r="BF361" s="28"/>
    </row>
    <row r="362" spans="1:58" ht="20.25" customHeight="1">
      <c r="A362" s="27"/>
      <c r="B362" s="27"/>
      <c r="C362" s="137"/>
      <c r="D362" s="27"/>
      <c r="E362" s="27"/>
      <c r="F362" s="206"/>
      <c r="G362" s="27"/>
      <c r="H362" s="27"/>
      <c r="I362" s="29"/>
      <c r="J362" s="29"/>
      <c r="K362" s="27"/>
      <c r="L362" s="27"/>
      <c r="M362" s="27"/>
      <c r="N362" s="27"/>
      <c r="O362" s="27"/>
      <c r="P362" s="27"/>
      <c r="Q362" s="28"/>
      <c r="R362" s="28"/>
      <c r="S362" s="28"/>
      <c r="T362" s="27"/>
      <c r="U362" s="28"/>
      <c r="V362" s="28"/>
      <c r="W362" s="28"/>
      <c r="X362" s="28"/>
      <c r="Y362" s="28"/>
      <c r="Z362" s="28"/>
      <c r="AA362" s="28"/>
      <c r="AB362" s="27"/>
      <c r="AC362" s="27"/>
      <c r="AD362" s="28"/>
      <c r="AE362" s="28"/>
      <c r="AF362" s="27"/>
      <c r="AG362" s="27"/>
      <c r="AH362" s="27"/>
      <c r="AI362" s="27"/>
      <c r="AJ362" s="27"/>
      <c r="AK362" s="27"/>
      <c r="AL362" s="27"/>
      <c r="AM362" s="27"/>
      <c r="AN362" s="27"/>
      <c r="AO362" s="27"/>
      <c r="AP362" s="27"/>
      <c r="AQ362" s="28"/>
      <c r="AR362" s="28"/>
      <c r="AS362" s="27"/>
      <c r="AT362" s="28"/>
      <c r="AU362" s="27"/>
      <c r="AV362" s="27"/>
      <c r="AW362" s="27"/>
      <c r="AX362" s="27"/>
      <c r="AY362" s="28"/>
      <c r="AZ362" s="28"/>
      <c r="BA362" s="28"/>
      <c r="BB362" s="26"/>
      <c r="BC362" s="27"/>
      <c r="BD362" s="93"/>
      <c r="BE362" s="28"/>
      <c r="BF362" s="28"/>
    </row>
    <row r="363" spans="1:58" ht="20.25" customHeight="1">
      <c r="A363" s="27"/>
      <c r="B363" s="27"/>
      <c r="C363" s="137"/>
      <c r="D363" s="27"/>
      <c r="E363" s="27"/>
      <c r="F363" s="206"/>
      <c r="G363" s="27"/>
      <c r="H363" s="27"/>
      <c r="I363" s="29"/>
      <c r="J363" s="29"/>
      <c r="K363" s="27"/>
      <c r="L363" s="27"/>
      <c r="M363" s="27"/>
      <c r="N363" s="27"/>
      <c r="O363" s="27"/>
      <c r="P363" s="27"/>
      <c r="Q363" s="28"/>
      <c r="R363" s="28"/>
      <c r="S363" s="28"/>
      <c r="T363" s="27"/>
      <c r="U363" s="28"/>
      <c r="V363" s="28"/>
      <c r="W363" s="28"/>
      <c r="X363" s="28"/>
      <c r="Y363" s="28"/>
      <c r="Z363" s="28"/>
      <c r="AA363" s="28"/>
      <c r="AB363" s="27"/>
      <c r="AC363" s="27"/>
      <c r="AD363" s="28"/>
      <c r="AE363" s="28"/>
      <c r="AF363" s="27"/>
      <c r="AG363" s="27"/>
      <c r="AH363" s="27"/>
      <c r="AI363" s="27"/>
      <c r="AJ363" s="27"/>
      <c r="AK363" s="27"/>
      <c r="AL363" s="27"/>
      <c r="AM363" s="27"/>
      <c r="AN363" s="27"/>
      <c r="AO363" s="27"/>
      <c r="AP363" s="27"/>
      <c r="AQ363" s="28"/>
      <c r="AR363" s="28"/>
      <c r="AS363" s="27"/>
      <c r="AT363" s="28"/>
      <c r="AU363" s="27"/>
      <c r="AV363" s="27"/>
      <c r="AW363" s="27"/>
      <c r="AX363" s="27"/>
      <c r="AY363" s="28"/>
      <c r="AZ363" s="28"/>
      <c r="BA363" s="28"/>
      <c r="BB363" s="26"/>
      <c r="BC363" s="27"/>
      <c r="BD363" s="93"/>
      <c r="BE363" s="28"/>
      <c r="BF363" s="28"/>
    </row>
    <row r="364" spans="1:58" ht="20.25" customHeight="1">
      <c r="A364" s="27"/>
      <c r="B364" s="27"/>
      <c r="C364" s="137"/>
      <c r="D364" s="27"/>
      <c r="E364" s="27"/>
      <c r="F364" s="206"/>
      <c r="G364" s="27"/>
      <c r="H364" s="27"/>
      <c r="I364" s="29"/>
      <c r="J364" s="29"/>
      <c r="K364" s="27"/>
      <c r="L364" s="27"/>
      <c r="M364" s="27"/>
      <c r="N364" s="27"/>
      <c r="O364" s="27"/>
      <c r="P364" s="27"/>
      <c r="Q364" s="28"/>
      <c r="R364" s="28"/>
      <c r="S364" s="28"/>
      <c r="T364" s="27"/>
      <c r="U364" s="28"/>
      <c r="V364" s="28"/>
      <c r="W364" s="28"/>
      <c r="X364" s="28"/>
      <c r="Y364" s="28"/>
      <c r="Z364" s="28"/>
      <c r="AA364" s="28"/>
      <c r="AB364" s="27"/>
      <c r="AC364" s="27"/>
      <c r="AD364" s="28"/>
      <c r="AE364" s="28"/>
      <c r="AF364" s="27"/>
      <c r="AG364" s="27"/>
      <c r="AH364" s="27"/>
      <c r="AI364" s="27"/>
      <c r="AJ364" s="27"/>
      <c r="AK364" s="27"/>
      <c r="AL364" s="27"/>
      <c r="AM364" s="27"/>
      <c r="AN364" s="27"/>
      <c r="AO364" s="27"/>
      <c r="AP364" s="27"/>
      <c r="AQ364" s="28"/>
      <c r="AR364" s="28"/>
      <c r="AS364" s="27"/>
      <c r="AT364" s="28"/>
      <c r="AU364" s="27"/>
      <c r="AV364" s="27"/>
      <c r="AW364" s="27"/>
      <c r="AX364" s="27"/>
      <c r="AY364" s="28"/>
      <c r="AZ364" s="28"/>
      <c r="BA364" s="28"/>
      <c r="BB364" s="26"/>
      <c r="BC364" s="27"/>
      <c r="BD364" s="93"/>
      <c r="BE364" s="28"/>
      <c r="BF364" s="28"/>
    </row>
    <row r="365" spans="1:58" ht="20.25" customHeight="1">
      <c r="A365" s="27"/>
      <c r="B365" s="27"/>
      <c r="C365" s="137"/>
      <c r="D365" s="27"/>
      <c r="E365" s="27"/>
      <c r="F365" s="206"/>
      <c r="G365" s="27"/>
      <c r="H365" s="27"/>
      <c r="I365" s="29"/>
      <c r="J365" s="29"/>
      <c r="K365" s="27"/>
      <c r="L365" s="27"/>
      <c r="M365" s="27"/>
      <c r="N365" s="27"/>
      <c r="O365" s="27"/>
      <c r="P365" s="27"/>
      <c r="Q365" s="28"/>
      <c r="R365" s="28"/>
      <c r="S365" s="28"/>
      <c r="T365" s="27"/>
      <c r="U365" s="28"/>
      <c r="V365" s="28"/>
      <c r="W365" s="28"/>
      <c r="X365" s="28"/>
      <c r="Y365" s="28"/>
      <c r="Z365" s="28"/>
      <c r="AA365" s="28"/>
      <c r="AB365" s="27"/>
      <c r="AC365" s="27"/>
      <c r="AD365" s="28"/>
      <c r="AE365" s="28"/>
      <c r="AF365" s="27"/>
      <c r="AG365" s="27"/>
      <c r="AH365" s="27"/>
      <c r="AI365" s="27"/>
      <c r="AJ365" s="27"/>
      <c r="AK365" s="27"/>
      <c r="AL365" s="27"/>
      <c r="AM365" s="27"/>
      <c r="AN365" s="27"/>
      <c r="AO365" s="27"/>
      <c r="AP365" s="27"/>
      <c r="AQ365" s="28"/>
      <c r="AR365" s="28"/>
      <c r="AS365" s="27"/>
      <c r="AT365" s="28"/>
      <c r="AU365" s="27"/>
      <c r="AV365" s="27"/>
      <c r="AW365" s="27"/>
      <c r="AX365" s="27"/>
      <c r="AY365" s="28"/>
      <c r="AZ365" s="28"/>
      <c r="BA365" s="28"/>
      <c r="BB365" s="26"/>
      <c r="BC365" s="27"/>
      <c r="BD365" s="93"/>
      <c r="BE365" s="28"/>
      <c r="BF365" s="28"/>
    </row>
    <row r="366" spans="1:58" ht="20.25" customHeight="1">
      <c r="A366" s="27"/>
      <c r="B366" s="27"/>
      <c r="C366" s="137"/>
      <c r="D366" s="27"/>
      <c r="E366" s="27"/>
      <c r="F366" s="206"/>
      <c r="G366" s="27"/>
      <c r="H366" s="27"/>
      <c r="I366" s="29"/>
      <c r="J366" s="29"/>
      <c r="K366" s="27"/>
      <c r="L366" s="27"/>
      <c r="M366" s="27"/>
      <c r="N366" s="27"/>
      <c r="O366" s="27"/>
      <c r="P366" s="27"/>
      <c r="Q366" s="28"/>
      <c r="R366" s="28"/>
      <c r="S366" s="28"/>
      <c r="T366" s="27"/>
      <c r="U366" s="28"/>
      <c r="V366" s="28"/>
      <c r="W366" s="28"/>
      <c r="X366" s="28"/>
      <c r="Y366" s="28"/>
      <c r="Z366" s="28"/>
      <c r="AA366" s="28"/>
      <c r="AB366" s="27"/>
      <c r="AC366" s="27"/>
      <c r="AD366" s="28"/>
      <c r="AE366" s="28"/>
      <c r="AF366" s="27"/>
      <c r="AG366" s="27"/>
      <c r="AH366" s="27"/>
      <c r="AI366" s="27"/>
      <c r="AJ366" s="27"/>
      <c r="AK366" s="27"/>
      <c r="AL366" s="27"/>
      <c r="AM366" s="27"/>
      <c r="AN366" s="27"/>
      <c r="AO366" s="27"/>
      <c r="AP366" s="27"/>
      <c r="AQ366" s="28"/>
      <c r="AR366" s="28"/>
      <c r="AS366" s="27"/>
      <c r="AT366" s="28"/>
      <c r="AU366" s="27"/>
      <c r="AV366" s="27"/>
      <c r="AW366" s="27"/>
      <c r="AX366" s="27"/>
      <c r="AY366" s="28"/>
      <c r="AZ366" s="28"/>
      <c r="BA366" s="28"/>
      <c r="BB366" s="26"/>
      <c r="BC366" s="27"/>
      <c r="BD366" s="93"/>
      <c r="BE366" s="28"/>
      <c r="BF366" s="28"/>
    </row>
    <row r="367" spans="1:58" ht="20.25" customHeight="1">
      <c r="A367" s="27"/>
      <c r="B367" s="27"/>
      <c r="C367" s="137"/>
      <c r="D367" s="27"/>
      <c r="E367" s="27"/>
      <c r="F367" s="206"/>
      <c r="G367" s="27"/>
      <c r="H367" s="27"/>
      <c r="I367" s="29"/>
      <c r="J367" s="29"/>
      <c r="K367" s="27"/>
      <c r="L367" s="27"/>
      <c r="M367" s="27"/>
      <c r="N367" s="27"/>
      <c r="O367" s="27"/>
      <c r="P367" s="27"/>
      <c r="Q367" s="28"/>
      <c r="R367" s="28"/>
      <c r="S367" s="28"/>
      <c r="T367" s="27"/>
      <c r="U367" s="28"/>
      <c r="V367" s="28"/>
      <c r="W367" s="28"/>
      <c r="X367" s="28"/>
      <c r="Y367" s="28"/>
      <c r="Z367" s="28"/>
      <c r="AA367" s="28"/>
      <c r="AB367" s="27"/>
      <c r="AC367" s="27"/>
      <c r="AD367" s="28"/>
      <c r="AE367" s="28"/>
      <c r="AF367" s="27"/>
      <c r="AG367" s="27"/>
      <c r="AH367" s="27"/>
      <c r="AI367" s="27"/>
      <c r="AJ367" s="27"/>
      <c r="AK367" s="27"/>
      <c r="AL367" s="27"/>
      <c r="AM367" s="27"/>
      <c r="AN367" s="27"/>
      <c r="AO367" s="27"/>
      <c r="AP367" s="27"/>
      <c r="AQ367" s="28"/>
      <c r="AR367" s="28"/>
      <c r="AS367" s="27"/>
      <c r="AT367" s="28"/>
      <c r="AU367" s="27"/>
      <c r="AV367" s="27"/>
      <c r="AW367" s="27"/>
      <c r="AX367" s="27"/>
      <c r="AY367" s="28"/>
      <c r="AZ367" s="28"/>
      <c r="BA367" s="28"/>
      <c r="BB367" s="26"/>
      <c r="BC367" s="27"/>
      <c r="BD367" s="93"/>
      <c r="BE367" s="28"/>
      <c r="BF367" s="28"/>
    </row>
    <row r="368" spans="1:58" ht="20.25" customHeight="1">
      <c r="A368" s="27"/>
      <c r="B368" s="27"/>
      <c r="C368" s="137"/>
      <c r="D368" s="27"/>
      <c r="E368" s="27"/>
      <c r="F368" s="206"/>
      <c r="G368" s="27"/>
      <c r="H368" s="27"/>
      <c r="I368" s="29"/>
      <c r="J368" s="29"/>
      <c r="K368" s="27"/>
      <c r="L368" s="27"/>
      <c r="M368" s="27"/>
      <c r="N368" s="27"/>
      <c r="O368" s="27"/>
      <c r="P368" s="27"/>
      <c r="Q368" s="28"/>
      <c r="R368" s="28"/>
      <c r="S368" s="28"/>
      <c r="T368" s="27"/>
      <c r="U368" s="28"/>
      <c r="V368" s="28"/>
      <c r="W368" s="28"/>
      <c r="X368" s="28"/>
      <c r="Y368" s="28"/>
      <c r="Z368" s="28"/>
      <c r="AA368" s="28"/>
      <c r="AB368" s="27"/>
      <c r="AC368" s="27"/>
      <c r="AD368" s="28"/>
      <c r="AE368" s="28"/>
      <c r="AF368" s="27"/>
      <c r="AG368" s="27"/>
      <c r="AH368" s="27"/>
      <c r="AI368" s="27"/>
      <c r="AJ368" s="27"/>
      <c r="AK368" s="27"/>
      <c r="AL368" s="27"/>
      <c r="AM368" s="27"/>
      <c r="AN368" s="27"/>
      <c r="AO368" s="27"/>
      <c r="AP368" s="27"/>
      <c r="AQ368" s="28"/>
      <c r="AR368" s="28"/>
      <c r="AS368" s="27"/>
      <c r="AT368" s="28"/>
      <c r="AU368" s="27"/>
      <c r="AV368" s="27"/>
      <c r="AW368" s="27"/>
      <c r="AX368" s="27"/>
      <c r="AY368" s="28"/>
      <c r="AZ368" s="28"/>
      <c r="BA368" s="28"/>
      <c r="BB368" s="26"/>
      <c r="BC368" s="27"/>
      <c r="BD368" s="93"/>
      <c r="BE368" s="28"/>
      <c r="BF368" s="28"/>
    </row>
    <row r="369" spans="1:58" ht="20.25" customHeight="1">
      <c r="A369" s="27"/>
      <c r="B369" s="27"/>
      <c r="C369" s="137"/>
      <c r="D369" s="27"/>
      <c r="E369" s="27"/>
      <c r="F369" s="206"/>
      <c r="G369" s="27"/>
      <c r="H369" s="27"/>
      <c r="I369" s="29"/>
      <c r="J369" s="29"/>
      <c r="K369" s="27"/>
      <c r="L369" s="27"/>
      <c r="M369" s="27"/>
      <c r="N369" s="27"/>
      <c r="O369" s="27"/>
      <c r="P369" s="27"/>
      <c r="Q369" s="28"/>
      <c r="R369" s="28"/>
      <c r="S369" s="28"/>
      <c r="T369" s="27"/>
      <c r="U369" s="28"/>
      <c r="V369" s="28"/>
      <c r="W369" s="28"/>
      <c r="X369" s="28"/>
      <c r="Y369" s="28"/>
      <c r="Z369" s="28"/>
      <c r="AA369" s="28"/>
      <c r="AB369" s="27"/>
      <c r="AC369" s="27"/>
      <c r="AD369" s="28"/>
      <c r="AE369" s="28"/>
      <c r="AF369" s="27"/>
      <c r="AG369" s="27"/>
      <c r="AH369" s="27"/>
      <c r="AI369" s="27"/>
      <c r="AJ369" s="27"/>
      <c r="AK369" s="27"/>
      <c r="AL369" s="27"/>
      <c r="AM369" s="27"/>
      <c r="AN369" s="27"/>
      <c r="AO369" s="27"/>
      <c r="AP369" s="27"/>
      <c r="AQ369" s="28"/>
      <c r="AR369" s="28"/>
      <c r="AS369" s="27"/>
      <c r="AT369" s="28"/>
      <c r="AU369" s="27"/>
      <c r="AV369" s="27"/>
      <c r="AW369" s="27"/>
      <c r="AX369" s="27"/>
      <c r="AY369" s="28"/>
      <c r="AZ369" s="28"/>
      <c r="BA369" s="28"/>
      <c r="BB369" s="26"/>
      <c r="BC369" s="27"/>
      <c r="BD369" s="93"/>
      <c r="BE369" s="28"/>
      <c r="BF369" s="28"/>
    </row>
    <row r="370" spans="1:58" ht="20.25" customHeight="1">
      <c r="A370" s="27"/>
      <c r="B370" s="27"/>
      <c r="C370" s="137"/>
      <c r="D370" s="27"/>
      <c r="E370" s="27"/>
      <c r="F370" s="206"/>
      <c r="G370" s="27"/>
      <c r="H370" s="27"/>
      <c r="I370" s="29"/>
      <c r="J370" s="29"/>
      <c r="K370" s="27"/>
      <c r="L370" s="27"/>
      <c r="M370" s="27"/>
      <c r="N370" s="27"/>
      <c r="O370" s="27"/>
      <c r="P370" s="27"/>
      <c r="Q370" s="28"/>
      <c r="R370" s="28"/>
      <c r="S370" s="28"/>
      <c r="T370" s="27"/>
      <c r="U370" s="28"/>
      <c r="V370" s="28"/>
      <c r="W370" s="28"/>
      <c r="X370" s="28"/>
      <c r="Y370" s="28"/>
      <c r="Z370" s="28"/>
      <c r="AA370" s="28"/>
      <c r="AB370" s="27"/>
      <c r="AC370" s="27"/>
      <c r="AD370" s="28"/>
      <c r="AE370" s="28"/>
      <c r="AF370" s="27"/>
      <c r="AG370" s="27"/>
      <c r="AH370" s="27"/>
      <c r="AI370" s="27"/>
      <c r="AJ370" s="27"/>
      <c r="AK370" s="27"/>
      <c r="AL370" s="27"/>
      <c r="AM370" s="27"/>
      <c r="AN370" s="27"/>
      <c r="AO370" s="27"/>
      <c r="AP370" s="27"/>
      <c r="AQ370" s="28"/>
      <c r="AR370" s="28"/>
      <c r="AS370" s="27"/>
      <c r="AT370" s="28"/>
      <c r="AU370" s="27"/>
      <c r="AV370" s="27"/>
      <c r="AW370" s="27"/>
      <c r="AX370" s="27"/>
      <c r="AY370" s="28"/>
      <c r="AZ370" s="28"/>
      <c r="BA370" s="28"/>
      <c r="BB370" s="26"/>
      <c r="BC370" s="27"/>
      <c r="BD370" s="93"/>
      <c r="BE370" s="28"/>
      <c r="BF370" s="28"/>
    </row>
    <row r="371" spans="1:58" ht="20.25" customHeight="1">
      <c r="A371" s="27"/>
      <c r="B371" s="27"/>
      <c r="C371" s="137"/>
      <c r="D371" s="27"/>
      <c r="E371" s="27"/>
      <c r="F371" s="206"/>
      <c r="G371" s="27"/>
      <c r="H371" s="27"/>
      <c r="I371" s="29"/>
      <c r="J371" s="29"/>
      <c r="K371" s="27"/>
      <c r="L371" s="27"/>
      <c r="M371" s="27"/>
      <c r="N371" s="27"/>
      <c r="O371" s="27"/>
      <c r="P371" s="27"/>
      <c r="Q371" s="28"/>
      <c r="R371" s="28"/>
      <c r="S371" s="28"/>
      <c r="T371" s="27"/>
      <c r="U371" s="28"/>
      <c r="V371" s="28"/>
      <c r="W371" s="28"/>
      <c r="X371" s="28"/>
      <c r="Y371" s="28"/>
      <c r="Z371" s="28"/>
      <c r="AA371" s="28"/>
      <c r="AB371" s="27"/>
      <c r="AC371" s="27"/>
      <c r="AD371" s="28"/>
      <c r="AE371" s="28"/>
      <c r="AF371" s="27"/>
      <c r="AG371" s="27"/>
      <c r="AH371" s="27"/>
      <c r="AI371" s="27"/>
      <c r="AJ371" s="27"/>
      <c r="AK371" s="27"/>
      <c r="AL371" s="27"/>
      <c r="AM371" s="27"/>
      <c r="AN371" s="27"/>
      <c r="AO371" s="27"/>
      <c r="AP371" s="27"/>
      <c r="AQ371" s="28"/>
      <c r="AR371" s="28"/>
      <c r="AS371" s="27"/>
      <c r="AT371" s="28"/>
      <c r="AU371" s="27"/>
      <c r="AV371" s="27"/>
      <c r="AW371" s="27"/>
      <c r="AX371" s="27"/>
      <c r="AY371" s="28"/>
      <c r="AZ371" s="28"/>
      <c r="BA371" s="28"/>
      <c r="BB371" s="26"/>
      <c r="BC371" s="27"/>
      <c r="BD371" s="93"/>
      <c r="BE371" s="28"/>
      <c r="BF371" s="28"/>
    </row>
    <row r="372" spans="1:58" ht="20.25" customHeight="1">
      <c r="A372" s="27"/>
      <c r="B372" s="27"/>
      <c r="C372" s="137"/>
      <c r="D372" s="27"/>
      <c r="E372" s="27"/>
      <c r="F372" s="206"/>
      <c r="G372" s="27"/>
      <c r="H372" s="27"/>
      <c r="I372" s="29"/>
      <c r="J372" s="29"/>
      <c r="K372" s="27"/>
      <c r="L372" s="27"/>
      <c r="M372" s="27"/>
      <c r="N372" s="27"/>
      <c r="O372" s="27"/>
      <c r="P372" s="27"/>
      <c r="Q372" s="28"/>
      <c r="R372" s="28"/>
      <c r="S372" s="28"/>
      <c r="T372" s="27"/>
      <c r="U372" s="28"/>
      <c r="V372" s="28"/>
      <c r="W372" s="28"/>
      <c r="X372" s="28"/>
      <c r="Y372" s="28"/>
      <c r="Z372" s="28"/>
      <c r="AA372" s="28"/>
      <c r="AB372" s="27"/>
      <c r="AC372" s="27"/>
      <c r="AD372" s="28"/>
      <c r="AE372" s="28"/>
      <c r="AF372" s="27"/>
      <c r="AG372" s="27"/>
      <c r="AH372" s="27"/>
      <c r="AI372" s="27"/>
      <c r="AJ372" s="27"/>
      <c r="AK372" s="27"/>
      <c r="AL372" s="27"/>
      <c r="AM372" s="27"/>
      <c r="AN372" s="27"/>
      <c r="AO372" s="27"/>
      <c r="AP372" s="27"/>
      <c r="AQ372" s="28"/>
      <c r="AR372" s="28"/>
      <c r="AS372" s="27"/>
      <c r="AT372" s="28"/>
      <c r="AU372" s="27"/>
      <c r="AV372" s="27"/>
      <c r="AW372" s="27"/>
      <c r="AX372" s="27"/>
      <c r="AY372" s="28"/>
      <c r="AZ372" s="28"/>
      <c r="BA372" s="28"/>
      <c r="BB372" s="26"/>
      <c r="BC372" s="27"/>
      <c r="BD372" s="93"/>
      <c r="BE372" s="28"/>
      <c r="BF372" s="28"/>
    </row>
    <row r="373" spans="1:58" ht="20.25" customHeight="1">
      <c r="A373" s="27"/>
      <c r="B373" s="27"/>
      <c r="C373" s="137"/>
      <c r="D373" s="27"/>
      <c r="E373" s="27"/>
      <c r="F373" s="206"/>
      <c r="G373" s="27"/>
      <c r="H373" s="27"/>
      <c r="I373" s="29"/>
      <c r="J373" s="29"/>
      <c r="K373" s="27"/>
      <c r="L373" s="27"/>
      <c r="M373" s="27"/>
      <c r="N373" s="27"/>
      <c r="O373" s="27"/>
      <c r="P373" s="27"/>
      <c r="Q373" s="28"/>
      <c r="R373" s="28"/>
      <c r="S373" s="28"/>
      <c r="T373" s="27"/>
      <c r="U373" s="28"/>
      <c r="V373" s="28"/>
      <c r="W373" s="28"/>
      <c r="X373" s="28"/>
      <c r="Y373" s="28"/>
      <c r="Z373" s="28"/>
      <c r="AA373" s="28"/>
      <c r="AB373" s="27"/>
      <c r="AC373" s="27"/>
      <c r="AD373" s="28"/>
      <c r="AE373" s="28"/>
      <c r="AF373" s="27"/>
      <c r="AG373" s="27"/>
      <c r="AH373" s="27"/>
      <c r="AI373" s="27"/>
      <c r="AJ373" s="27"/>
      <c r="AK373" s="27"/>
      <c r="AL373" s="27"/>
      <c r="AM373" s="27"/>
      <c r="AN373" s="27"/>
      <c r="AO373" s="27"/>
      <c r="AP373" s="27"/>
      <c r="AQ373" s="28"/>
      <c r="AR373" s="28"/>
      <c r="AS373" s="27"/>
      <c r="AT373" s="28"/>
      <c r="AU373" s="27"/>
      <c r="AV373" s="27"/>
      <c r="AW373" s="27"/>
      <c r="AX373" s="27"/>
      <c r="AY373" s="28"/>
      <c r="AZ373" s="28"/>
      <c r="BA373" s="28"/>
      <c r="BB373" s="26"/>
      <c r="BC373" s="27"/>
      <c r="BD373" s="93"/>
      <c r="BE373" s="28"/>
      <c r="BF373" s="28"/>
    </row>
    <row r="374" spans="1:58" ht="20.25" customHeight="1">
      <c r="A374" s="27"/>
      <c r="B374" s="27"/>
      <c r="C374" s="137"/>
      <c r="D374" s="27"/>
      <c r="E374" s="27"/>
      <c r="F374" s="206"/>
      <c r="G374" s="27"/>
      <c r="H374" s="27"/>
      <c r="I374" s="29"/>
      <c r="J374" s="29"/>
      <c r="K374" s="27"/>
      <c r="L374" s="27"/>
      <c r="M374" s="27"/>
      <c r="N374" s="27"/>
      <c r="O374" s="27"/>
      <c r="P374" s="27"/>
      <c r="Q374" s="28"/>
      <c r="R374" s="28"/>
      <c r="S374" s="28"/>
      <c r="T374" s="27"/>
      <c r="U374" s="28"/>
      <c r="V374" s="28"/>
      <c r="W374" s="28"/>
      <c r="X374" s="28"/>
      <c r="Y374" s="28"/>
      <c r="Z374" s="28"/>
      <c r="AA374" s="28"/>
      <c r="AB374" s="27"/>
      <c r="AC374" s="27"/>
      <c r="AD374" s="28"/>
      <c r="AE374" s="28"/>
      <c r="AF374" s="27"/>
      <c r="AG374" s="27"/>
      <c r="AH374" s="27"/>
      <c r="AI374" s="27"/>
      <c r="AJ374" s="27"/>
      <c r="AK374" s="27"/>
      <c r="AL374" s="27"/>
      <c r="AM374" s="27"/>
      <c r="AN374" s="27"/>
      <c r="AO374" s="27"/>
      <c r="AP374" s="27"/>
      <c r="AQ374" s="28"/>
      <c r="AR374" s="28"/>
      <c r="AS374" s="27"/>
      <c r="AT374" s="28"/>
      <c r="AU374" s="27"/>
      <c r="AV374" s="27"/>
      <c r="AW374" s="27"/>
      <c r="AX374" s="27"/>
      <c r="AY374" s="28"/>
      <c r="AZ374" s="28"/>
      <c r="BA374" s="28"/>
      <c r="BB374" s="26"/>
      <c r="BC374" s="27"/>
      <c r="BD374" s="93"/>
      <c r="BE374" s="28"/>
      <c r="BF374" s="28"/>
    </row>
    <row r="375" spans="1:58" ht="20.25" customHeight="1">
      <c r="A375" s="27"/>
      <c r="B375" s="27"/>
      <c r="C375" s="137"/>
      <c r="D375" s="27"/>
      <c r="E375" s="27"/>
      <c r="F375" s="206"/>
      <c r="G375" s="27"/>
      <c r="H375" s="27"/>
      <c r="I375" s="29"/>
      <c r="J375" s="29"/>
      <c r="K375" s="27"/>
      <c r="L375" s="27"/>
      <c r="M375" s="27"/>
      <c r="N375" s="27"/>
      <c r="O375" s="27"/>
      <c r="P375" s="27"/>
      <c r="Q375" s="28"/>
      <c r="R375" s="28"/>
      <c r="S375" s="28"/>
      <c r="T375" s="27"/>
      <c r="U375" s="28"/>
      <c r="V375" s="28"/>
      <c r="W375" s="28"/>
      <c r="X375" s="28"/>
      <c r="Y375" s="28"/>
      <c r="Z375" s="28"/>
      <c r="AA375" s="28"/>
      <c r="AB375" s="27"/>
      <c r="AC375" s="27"/>
      <c r="AD375" s="28"/>
      <c r="AE375" s="28"/>
      <c r="AF375" s="27"/>
      <c r="AG375" s="27"/>
      <c r="AH375" s="27"/>
      <c r="AI375" s="27"/>
      <c r="AJ375" s="27"/>
      <c r="AK375" s="27"/>
      <c r="AL375" s="27"/>
      <c r="AM375" s="27"/>
      <c r="AN375" s="27"/>
      <c r="AO375" s="27"/>
      <c r="AP375" s="27"/>
      <c r="AQ375" s="28"/>
      <c r="AR375" s="28"/>
      <c r="AS375" s="27"/>
      <c r="AT375" s="28"/>
      <c r="AU375" s="27"/>
      <c r="AV375" s="27"/>
      <c r="AW375" s="27"/>
      <c r="AX375" s="27"/>
      <c r="AY375" s="28"/>
      <c r="AZ375" s="28"/>
      <c r="BA375" s="28"/>
      <c r="BB375" s="26"/>
      <c r="BC375" s="27"/>
      <c r="BD375" s="93"/>
      <c r="BE375" s="28"/>
      <c r="BF375" s="28"/>
    </row>
    <row r="376" spans="1:58" ht="20.25" customHeight="1">
      <c r="A376" s="27"/>
      <c r="B376" s="27"/>
      <c r="C376" s="137"/>
      <c r="D376" s="27"/>
      <c r="E376" s="27"/>
      <c r="F376" s="206"/>
      <c r="G376" s="27"/>
      <c r="H376" s="27"/>
      <c r="I376" s="29"/>
      <c r="J376" s="29"/>
      <c r="K376" s="27"/>
      <c r="L376" s="27"/>
      <c r="M376" s="27"/>
      <c r="N376" s="27"/>
      <c r="O376" s="27"/>
      <c r="P376" s="27"/>
      <c r="Q376" s="28"/>
      <c r="R376" s="28"/>
      <c r="S376" s="28"/>
      <c r="T376" s="27"/>
      <c r="U376" s="28"/>
      <c r="V376" s="28"/>
      <c r="W376" s="28"/>
      <c r="X376" s="28"/>
      <c r="Y376" s="28"/>
      <c r="Z376" s="28"/>
      <c r="AA376" s="28"/>
      <c r="AB376" s="27"/>
      <c r="AC376" s="27"/>
      <c r="AD376" s="28"/>
      <c r="AE376" s="28"/>
      <c r="AF376" s="27"/>
      <c r="AG376" s="27"/>
      <c r="AH376" s="27"/>
      <c r="AI376" s="27"/>
      <c r="AJ376" s="27"/>
      <c r="AK376" s="27"/>
      <c r="AL376" s="27"/>
      <c r="AM376" s="27"/>
      <c r="AN376" s="27"/>
      <c r="AO376" s="27"/>
      <c r="AP376" s="27"/>
      <c r="AQ376" s="28"/>
      <c r="AR376" s="28"/>
      <c r="AS376" s="27"/>
      <c r="AT376" s="28"/>
      <c r="AU376" s="27"/>
      <c r="AV376" s="27"/>
      <c r="AW376" s="27"/>
      <c r="AX376" s="27"/>
      <c r="AY376" s="28"/>
      <c r="AZ376" s="28"/>
      <c r="BA376" s="28"/>
      <c r="BB376" s="26"/>
      <c r="BC376" s="27"/>
      <c r="BD376" s="93"/>
      <c r="BE376" s="28"/>
      <c r="BF376" s="28"/>
    </row>
    <row r="377" spans="1:58" ht="20.25" customHeight="1">
      <c r="A377" s="27"/>
      <c r="B377" s="27"/>
      <c r="C377" s="137"/>
      <c r="D377" s="27"/>
      <c r="E377" s="27"/>
      <c r="F377" s="206"/>
      <c r="G377" s="27"/>
      <c r="H377" s="27"/>
      <c r="I377" s="29"/>
      <c r="J377" s="29"/>
      <c r="K377" s="27"/>
      <c r="L377" s="27"/>
      <c r="M377" s="27"/>
      <c r="N377" s="27"/>
      <c r="O377" s="27"/>
      <c r="P377" s="27"/>
      <c r="Q377" s="28"/>
      <c r="R377" s="28"/>
      <c r="S377" s="28"/>
      <c r="T377" s="27"/>
      <c r="U377" s="28"/>
      <c r="V377" s="28"/>
      <c r="W377" s="28"/>
      <c r="X377" s="28"/>
      <c r="Y377" s="28"/>
      <c r="Z377" s="28"/>
      <c r="AA377" s="28"/>
      <c r="AB377" s="27"/>
      <c r="AC377" s="27"/>
      <c r="AD377" s="28"/>
      <c r="AE377" s="28"/>
      <c r="AF377" s="27"/>
      <c r="AG377" s="27"/>
      <c r="AH377" s="27"/>
      <c r="AI377" s="27"/>
      <c r="AJ377" s="27"/>
      <c r="AK377" s="27"/>
      <c r="AL377" s="27"/>
      <c r="AM377" s="27"/>
      <c r="AN377" s="27"/>
      <c r="AO377" s="27"/>
      <c r="AP377" s="27"/>
      <c r="AQ377" s="28"/>
      <c r="AR377" s="28"/>
      <c r="AS377" s="27"/>
      <c r="AT377" s="28"/>
      <c r="AU377" s="27"/>
      <c r="AV377" s="27"/>
      <c r="AW377" s="27"/>
      <c r="AX377" s="27"/>
      <c r="AY377" s="28"/>
      <c r="AZ377" s="28"/>
      <c r="BA377" s="28"/>
      <c r="BB377" s="26"/>
      <c r="BC377" s="27"/>
      <c r="BD377" s="93"/>
      <c r="BE377" s="28"/>
      <c r="BF377" s="28"/>
    </row>
    <row r="378" spans="1:58" ht="20.25" customHeight="1">
      <c r="A378" s="27"/>
      <c r="B378" s="27"/>
      <c r="C378" s="137"/>
      <c r="D378" s="27"/>
      <c r="E378" s="27"/>
      <c r="F378" s="206"/>
      <c r="G378" s="27"/>
      <c r="H378" s="27"/>
      <c r="I378" s="29"/>
      <c r="J378" s="29"/>
      <c r="K378" s="27"/>
      <c r="L378" s="27"/>
      <c r="M378" s="27"/>
      <c r="N378" s="27"/>
      <c r="O378" s="27"/>
      <c r="P378" s="27"/>
      <c r="Q378" s="28"/>
      <c r="R378" s="28"/>
      <c r="S378" s="28"/>
      <c r="T378" s="27"/>
      <c r="U378" s="28"/>
      <c r="V378" s="28"/>
      <c r="W378" s="28"/>
      <c r="X378" s="28"/>
      <c r="Y378" s="28"/>
      <c r="Z378" s="28"/>
      <c r="AA378" s="28"/>
      <c r="AB378" s="27"/>
      <c r="AC378" s="27"/>
      <c r="AD378" s="28"/>
      <c r="AE378" s="28"/>
      <c r="AF378" s="27"/>
      <c r="AG378" s="27"/>
      <c r="AH378" s="27"/>
      <c r="AI378" s="27"/>
      <c r="AJ378" s="27"/>
      <c r="AK378" s="27"/>
      <c r="AL378" s="27"/>
      <c r="AM378" s="27"/>
      <c r="AN378" s="27"/>
      <c r="AO378" s="27"/>
      <c r="AP378" s="27"/>
      <c r="AQ378" s="28"/>
      <c r="AR378" s="28"/>
      <c r="AS378" s="27"/>
      <c r="AT378" s="28"/>
      <c r="AU378" s="27"/>
      <c r="AV378" s="27"/>
      <c r="AW378" s="27"/>
      <c r="AX378" s="27"/>
      <c r="AY378" s="28"/>
      <c r="AZ378" s="28"/>
      <c r="BA378" s="28"/>
      <c r="BB378" s="26"/>
      <c r="BC378" s="27"/>
      <c r="BD378" s="93"/>
      <c r="BE378" s="28"/>
      <c r="BF378" s="28"/>
    </row>
    <row r="379" spans="1:58" ht="20.25" customHeight="1">
      <c r="A379" s="27"/>
      <c r="B379" s="27"/>
      <c r="C379" s="137"/>
      <c r="D379" s="27"/>
      <c r="E379" s="27"/>
      <c r="F379" s="206"/>
      <c r="G379" s="27"/>
      <c r="H379" s="27"/>
      <c r="I379" s="29"/>
      <c r="J379" s="29"/>
      <c r="K379" s="27"/>
      <c r="L379" s="27"/>
      <c r="M379" s="27"/>
      <c r="N379" s="27"/>
      <c r="O379" s="27"/>
      <c r="P379" s="27"/>
      <c r="Q379" s="28"/>
      <c r="R379" s="28"/>
      <c r="S379" s="28"/>
      <c r="T379" s="27"/>
      <c r="U379" s="28"/>
      <c r="V379" s="28"/>
      <c r="W379" s="28"/>
      <c r="X379" s="28"/>
      <c r="Y379" s="28"/>
      <c r="Z379" s="28"/>
      <c r="AA379" s="28"/>
      <c r="AB379" s="27"/>
      <c r="AC379" s="27"/>
      <c r="AD379" s="28"/>
      <c r="AE379" s="28"/>
      <c r="AF379" s="27"/>
      <c r="AG379" s="27"/>
      <c r="AH379" s="27"/>
      <c r="AI379" s="27"/>
      <c r="AJ379" s="27"/>
      <c r="AK379" s="27"/>
      <c r="AL379" s="27"/>
      <c r="AM379" s="27"/>
      <c r="AN379" s="27"/>
      <c r="AO379" s="27"/>
      <c r="AP379" s="27"/>
      <c r="AQ379" s="28"/>
      <c r="AR379" s="28"/>
      <c r="AS379" s="27"/>
      <c r="AT379" s="28"/>
      <c r="AU379" s="27"/>
      <c r="AV379" s="27"/>
      <c r="AW379" s="27"/>
      <c r="AX379" s="27"/>
      <c r="AY379" s="28"/>
      <c r="AZ379" s="28"/>
      <c r="BA379" s="28"/>
      <c r="BB379" s="26"/>
      <c r="BC379" s="27"/>
      <c r="BD379" s="93"/>
      <c r="BE379" s="28"/>
      <c r="BF379" s="28"/>
    </row>
    <row r="380" spans="1:58" ht="20.25" customHeight="1">
      <c r="A380" s="27"/>
      <c r="B380" s="27"/>
      <c r="C380" s="137"/>
      <c r="D380" s="27"/>
      <c r="E380" s="27"/>
      <c r="F380" s="206"/>
      <c r="G380" s="27"/>
      <c r="H380" s="27"/>
      <c r="I380" s="29"/>
      <c r="J380" s="29"/>
      <c r="K380" s="27"/>
      <c r="L380" s="27"/>
      <c r="M380" s="27"/>
      <c r="N380" s="27"/>
      <c r="O380" s="27"/>
      <c r="P380" s="27"/>
      <c r="Q380" s="28"/>
      <c r="R380" s="28"/>
      <c r="S380" s="28"/>
      <c r="T380" s="27"/>
      <c r="U380" s="28"/>
      <c r="V380" s="28"/>
      <c r="W380" s="28"/>
      <c r="X380" s="28"/>
      <c r="Y380" s="28"/>
      <c r="Z380" s="28"/>
      <c r="AA380" s="28"/>
      <c r="AB380" s="27"/>
      <c r="AC380" s="27"/>
      <c r="AD380" s="28"/>
      <c r="AE380" s="28"/>
      <c r="AF380" s="27"/>
      <c r="AG380" s="27"/>
      <c r="AH380" s="27"/>
      <c r="AI380" s="27"/>
      <c r="AJ380" s="27"/>
      <c r="AK380" s="27"/>
      <c r="AL380" s="27"/>
      <c r="AM380" s="27"/>
      <c r="AN380" s="27"/>
      <c r="AO380" s="27"/>
      <c r="AP380" s="27"/>
      <c r="AQ380" s="28"/>
      <c r="AR380" s="28"/>
      <c r="AS380" s="27"/>
      <c r="AT380" s="28"/>
      <c r="AU380" s="27"/>
      <c r="AV380" s="27"/>
      <c r="AW380" s="27"/>
      <c r="AX380" s="27"/>
      <c r="AY380" s="28"/>
      <c r="AZ380" s="28"/>
      <c r="BA380" s="28"/>
      <c r="BB380" s="26"/>
      <c r="BC380" s="27"/>
      <c r="BD380" s="93"/>
      <c r="BE380" s="28"/>
      <c r="BF380" s="28"/>
    </row>
    <row r="381" spans="1:58" ht="20.25" customHeight="1">
      <c r="A381" s="27"/>
      <c r="B381" s="27"/>
      <c r="C381" s="137"/>
      <c r="D381" s="27"/>
      <c r="E381" s="27"/>
      <c r="F381" s="206"/>
      <c r="G381" s="27"/>
      <c r="H381" s="27"/>
      <c r="I381" s="29"/>
      <c r="J381" s="29"/>
      <c r="K381" s="27"/>
      <c r="L381" s="27"/>
      <c r="M381" s="27"/>
      <c r="N381" s="27"/>
      <c r="O381" s="27"/>
      <c r="P381" s="27"/>
      <c r="Q381" s="28"/>
      <c r="R381" s="28"/>
      <c r="S381" s="28"/>
      <c r="T381" s="27"/>
      <c r="U381" s="28"/>
      <c r="V381" s="28"/>
      <c r="W381" s="28"/>
      <c r="X381" s="28"/>
      <c r="Y381" s="28"/>
      <c r="Z381" s="28"/>
      <c r="AA381" s="28"/>
      <c r="AB381" s="27"/>
      <c r="AC381" s="27"/>
      <c r="AD381" s="28"/>
      <c r="AE381" s="28"/>
      <c r="AF381" s="27"/>
      <c r="AG381" s="27"/>
      <c r="AH381" s="27"/>
      <c r="AI381" s="27"/>
      <c r="AJ381" s="27"/>
      <c r="AK381" s="27"/>
      <c r="AL381" s="27"/>
      <c r="AM381" s="27"/>
      <c r="AN381" s="27"/>
      <c r="AO381" s="27"/>
      <c r="AP381" s="27"/>
      <c r="AQ381" s="28"/>
      <c r="AR381" s="28"/>
      <c r="AS381" s="27"/>
      <c r="AT381" s="28"/>
      <c r="AU381" s="27"/>
      <c r="AV381" s="27"/>
      <c r="AW381" s="27"/>
      <c r="AX381" s="27"/>
      <c r="AY381" s="28"/>
      <c r="AZ381" s="28"/>
      <c r="BA381" s="28"/>
      <c r="BB381" s="26"/>
      <c r="BC381" s="27"/>
      <c r="BD381" s="93"/>
      <c r="BE381" s="28"/>
      <c r="BF381" s="28"/>
    </row>
    <row r="382" spans="1:58" ht="20.25" customHeight="1">
      <c r="A382" s="27"/>
      <c r="B382" s="27"/>
      <c r="C382" s="137"/>
      <c r="D382" s="27"/>
      <c r="E382" s="27"/>
      <c r="F382" s="206"/>
      <c r="G382" s="27"/>
      <c r="H382" s="27"/>
      <c r="I382" s="29"/>
      <c r="J382" s="29"/>
      <c r="K382" s="27"/>
      <c r="L382" s="27"/>
      <c r="M382" s="27"/>
      <c r="N382" s="27"/>
      <c r="O382" s="27"/>
      <c r="P382" s="27"/>
      <c r="Q382" s="28"/>
      <c r="R382" s="28"/>
      <c r="S382" s="28"/>
      <c r="T382" s="27"/>
      <c r="U382" s="28"/>
      <c r="V382" s="28"/>
      <c r="W382" s="28"/>
      <c r="X382" s="28"/>
      <c r="Y382" s="28"/>
      <c r="Z382" s="28"/>
      <c r="AA382" s="28"/>
      <c r="AB382" s="27"/>
      <c r="AC382" s="27"/>
      <c r="AD382" s="28"/>
      <c r="AE382" s="28"/>
      <c r="AF382" s="27"/>
      <c r="AG382" s="27"/>
      <c r="AH382" s="27"/>
      <c r="AI382" s="27"/>
      <c r="AJ382" s="27"/>
      <c r="AK382" s="27"/>
      <c r="AL382" s="27"/>
      <c r="AM382" s="27"/>
      <c r="AN382" s="27"/>
      <c r="AO382" s="27"/>
      <c r="AP382" s="27"/>
      <c r="AQ382" s="28"/>
      <c r="AR382" s="28"/>
      <c r="AS382" s="27"/>
      <c r="AT382" s="28"/>
      <c r="AU382" s="27"/>
      <c r="AV382" s="27"/>
      <c r="AW382" s="27"/>
      <c r="AX382" s="27"/>
      <c r="AY382" s="28"/>
      <c r="AZ382" s="28"/>
      <c r="BA382" s="28"/>
      <c r="BB382" s="26"/>
      <c r="BC382" s="27"/>
      <c r="BD382" s="93"/>
      <c r="BE382" s="28"/>
      <c r="BF382" s="28"/>
    </row>
    <row r="383" spans="1:58" ht="20.25" customHeight="1">
      <c r="A383" s="27"/>
      <c r="B383" s="27"/>
      <c r="C383" s="137"/>
      <c r="D383" s="27"/>
      <c r="E383" s="27"/>
      <c r="F383" s="206"/>
      <c r="G383" s="27"/>
      <c r="H383" s="27"/>
      <c r="I383" s="29"/>
      <c r="J383" s="29"/>
      <c r="K383" s="27"/>
      <c r="L383" s="27"/>
      <c r="M383" s="27"/>
      <c r="N383" s="27"/>
      <c r="O383" s="27"/>
      <c r="P383" s="27"/>
      <c r="Q383" s="28"/>
      <c r="R383" s="28"/>
      <c r="S383" s="28"/>
      <c r="T383" s="27"/>
      <c r="U383" s="28"/>
      <c r="V383" s="28"/>
      <c r="W383" s="28"/>
      <c r="X383" s="28"/>
      <c r="Y383" s="28"/>
      <c r="Z383" s="28"/>
      <c r="AA383" s="28"/>
      <c r="AB383" s="27"/>
      <c r="AC383" s="27"/>
      <c r="AD383" s="28"/>
      <c r="AE383" s="28"/>
      <c r="AF383" s="27"/>
      <c r="AG383" s="27"/>
      <c r="AH383" s="27"/>
      <c r="AI383" s="27"/>
      <c r="AJ383" s="27"/>
      <c r="AK383" s="27"/>
      <c r="AL383" s="27"/>
      <c r="AM383" s="27"/>
      <c r="AN383" s="27"/>
      <c r="AO383" s="27"/>
      <c r="AP383" s="27"/>
      <c r="AQ383" s="28"/>
      <c r="AR383" s="28"/>
      <c r="AS383" s="27"/>
      <c r="AT383" s="28"/>
      <c r="AU383" s="27"/>
      <c r="AV383" s="27"/>
      <c r="AW383" s="27"/>
      <c r="AX383" s="27"/>
      <c r="AY383" s="28"/>
      <c r="AZ383" s="28"/>
      <c r="BA383" s="28"/>
      <c r="BB383" s="26"/>
      <c r="BC383" s="27"/>
      <c r="BD383" s="93"/>
      <c r="BE383" s="28"/>
      <c r="BF383" s="28"/>
    </row>
    <row r="384" spans="1:58" ht="20.25" customHeight="1">
      <c r="A384" s="27"/>
      <c r="B384" s="27"/>
      <c r="C384" s="137"/>
      <c r="D384" s="27"/>
      <c r="E384" s="27"/>
      <c r="F384" s="206"/>
      <c r="G384" s="27"/>
      <c r="H384" s="27"/>
      <c r="I384" s="29"/>
      <c r="J384" s="29"/>
      <c r="K384" s="27"/>
      <c r="L384" s="27"/>
      <c r="M384" s="27"/>
      <c r="N384" s="27"/>
      <c r="O384" s="27"/>
      <c r="P384" s="27"/>
      <c r="Q384" s="28"/>
      <c r="R384" s="28"/>
      <c r="S384" s="28"/>
      <c r="T384" s="27"/>
      <c r="U384" s="28"/>
      <c r="V384" s="28"/>
      <c r="W384" s="28"/>
      <c r="X384" s="28"/>
      <c r="Y384" s="28"/>
      <c r="Z384" s="28"/>
      <c r="AA384" s="28"/>
      <c r="AB384" s="27"/>
      <c r="AC384" s="27"/>
      <c r="AD384" s="28"/>
      <c r="AE384" s="28"/>
      <c r="AF384" s="27"/>
      <c r="AG384" s="27"/>
      <c r="AH384" s="27"/>
      <c r="AI384" s="27"/>
      <c r="AJ384" s="27"/>
      <c r="AK384" s="27"/>
      <c r="AL384" s="27"/>
      <c r="AM384" s="27"/>
      <c r="AN384" s="27"/>
      <c r="AO384" s="27"/>
      <c r="AP384" s="27"/>
      <c r="AQ384" s="28"/>
      <c r="AR384" s="28"/>
      <c r="AS384" s="27"/>
      <c r="AT384" s="28"/>
      <c r="AU384" s="27"/>
      <c r="AV384" s="27"/>
      <c r="AW384" s="27"/>
      <c r="AX384" s="27"/>
      <c r="AY384" s="28"/>
      <c r="AZ384" s="28"/>
      <c r="BA384" s="28"/>
      <c r="BB384" s="26"/>
      <c r="BC384" s="27"/>
      <c r="BD384" s="93"/>
      <c r="BE384" s="28"/>
      <c r="BF384" s="28"/>
    </row>
    <row r="385" spans="1:58" ht="20.25" customHeight="1">
      <c r="A385" s="27"/>
      <c r="B385" s="27"/>
      <c r="C385" s="137"/>
      <c r="D385" s="27"/>
      <c r="E385" s="27"/>
      <c r="F385" s="206"/>
      <c r="G385" s="27"/>
      <c r="H385" s="27"/>
      <c r="I385" s="29"/>
      <c r="J385" s="29"/>
      <c r="K385" s="27"/>
      <c r="L385" s="27"/>
      <c r="M385" s="27"/>
      <c r="N385" s="27"/>
      <c r="O385" s="27"/>
      <c r="P385" s="27"/>
      <c r="Q385" s="28"/>
      <c r="R385" s="28"/>
      <c r="S385" s="28"/>
      <c r="T385" s="27"/>
      <c r="U385" s="28"/>
      <c r="V385" s="28"/>
      <c r="W385" s="28"/>
      <c r="X385" s="28"/>
      <c r="Y385" s="28"/>
      <c r="Z385" s="28"/>
      <c r="AA385" s="28"/>
      <c r="AB385" s="27"/>
      <c r="AC385" s="27"/>
      <c r="AD385" s="28"/>
      <c r="AE385" s="28"/>
      <c r="AF385" s="27"/>
      <c r="AG385" s="27"/>
      <c r="AH385" s="27"/>
      <c r="AI385" s="27"/>
      <c r="AJ385" s="27"/>
      <c r="AK385" s="27"/>
      <c r="AL385" s="27"/>
      <c r="AM385" s="27"/>
      <c r="AN385" s="27"/>
      <c r="AO385" s="27"/>
      <c r="AP385" s="27"/>
      <c r="AQ385" s="28"/>
      <c r="AR385" s="28"/>
      <c r="AS385" s="27"/>
      <c r="AT385" s="28"/>
      <c r="AU385" s="27"/>
      <c r="AV385" s="27"/>
      <c r="AW385" s="27"/>
      <c r="AX385" s="27"/>
      <c r="AY385" s="28"/>
      <c r="AZ385" s="28"/>
      <c r="BA385" s="28"/>
      <c r="BB385" s="26"/>
      <c r="BC385" s="27"/>
      <c r="BD385" s="93"/>
      <c r="BE385" s="28"/>
      <c r="BF385" s="28"/>
    </row>
    <row r="386" spans="1:58" ht="20.25" customHeight="1">
      <c r="A386" s="27"/>
      <c r="B386" s="27"/>
      <c r="C386" s="137"/>
      <c r="D386" s="27"/>
      <c r="E386" s="27"/>
      <c r="F386" s="206"/>
      <c r="G386" s="27"/>
      <c r="H386" s="27"/>
      <c r="I386" s="29"/>
      <c r="J386" s="29"/>
      <c r="K386" s="27"/>
      <c r="L386" s="27"/>
      <c r="M386" s="27"/>
      <c r="N386" s="27"/>
      <c r="O386" s="27"/>
      <c r="P386" s="27"/>
      <c r="Q386" s="28"/>
      <c r="R386" s="28"/>
      <c r="S386" s="28"/>
      <c r="T386" s="27"/>
      <c r="U386" s="28"/>
      <c r="V386" s="28"/>
      <c r="W386" s="28"/>
      <c r="X386" s="28"/>
      <c r="Y386" s="28"/>
      <c r="Z386" s="28"/>
      <c r="AA386" s="28"/>
      <c r="AB386" s="27"/>
      <c r="AC386" s="27"/>
      <c r="AD386" s="28"/>
      <c r="AE386" s="28"/>
      <c r="AF386" s="27"/>
      <c r="AG386" s="27"/>
      <c r="AH386" s="27"/>
      <c r="AI386" s="27"/>
      <c r="AJ386" s="27"/>
      <c r="AK386" s="27"/>
      <c r="AL386" s="27"/>
      <c r="AM386" s="27"/>
      <c r="AN386" s="27"/>
      <c r="AO386" s="27"/>
      <c r="AP386" s="27"/>
      <c r="AQ386" s="28"/>
      <c r="AR386" s="28"/>
      <c r="AS386" s="27"/>
      <c r="AT386" s="28"/>
      <c r="AU386" s="27"/>
      <c r="AV386" s="27"/>
      <c r="AW386" s="27"/>
      <c r="AX386" s="27"/>
      <c r="AY386" s="28"/>
      <c r="AZ386" s="28"/>
      <c r="BA386" s="28"/>
      <c r="BB386" s="26"/>
      <c r="BC386" s="27"/>
      <c r="BD386" s="93"/>
      <c r="BE386" s="28"/>
      <c r="BF386" s="28"/>
    </row>
    <row r="387" spans="1:58" ht="20.25" customHeight="1">
      <c r="A387" s="27"/>
      <c r="B387" s="27"/>
      <c r="C387" s="137"/>
      <c r="D387" s="27"/>
      <c r="E387" s="27"/>
      <c r="F387" s="206"/>
      <c r="G387" s="27"/>
      <c r="H387" s="27"/>
      <c r="I387" s="29"/>
      <c r="J387" s="29"/>
      <c r="K387" s="27"/>
      <c r="L387" s="27"/>
      <c r="M387" s="27"/>
      <c r="N387" s="27"/>
      <c r="O387" s="27"/>
      <c r="P387" s="27"/>
      <c r="Q387" s="28"/>
      <c r="R387" s="28"/>
      <c r="S387" s="28"/>
      <c r="T387" s="27"/>
      <c r="U387" s="28"/>
      <c r="V387" s="28"/>
      <c r="W387" s="28"/>
      <c r="X387" s="28"/>
      <c r="Y387" s="28"/>
      <c r="Z387" s="28"/>
      <c r="AA387" s="28"/>
      <c r="AB387" s="27"/>
      <c r="AC387" s="27"/>
      <c r="AD387" s="28"/>
      <c r="AE387" s="28"/>
      <c r="AF387" s="27"/>
      <c r="AG387" s="27"/>
      <c r="AH387" s="27"/>
      <c r="AI387" s="27"/>
      <c r="AJ387" s="27"/>
      <c r="AK387" s="27"/>
      <c r="AL387" s="27"/>
      <c r="AM387" s="27"/>
      <c r="AN387" s="27"/>
      <c r="AO387" s="27"/>
      <c r="AP387" s="27"/>
      <c r="AQ387" s="28"/>
      <c r="AR387" s="28"/>
      <c r="AS387" s="27"/>
      <c r="AT387" s="28"/>
      <c r="AU387" s="27"/>
      <c r="AV387" s="27"/>
      <c r="AW387" s="27"/>
      <c r="AX387" s="27"/>
      <c r="AY387" s="28"/>
      <c r="AZ387" s="28"/>
      <c r="BA387" s="28"/>
      <c r="BB387" s="26"/>
      <c r="BC387" s="27"/>
      <c r="BD387" s="93"/>
      <c r="BE387" s="28"/>
      <c r="BF387" s="28"/>
    </row>
    <row r="388" spans="1:58" ht="20.25" customHeight="1">
      <c r="A388" s="27"/>
      <c r="B388" s="27"/>
      <c r="C388" s="137"/>
      <c r="D388" s="27"/>
      <c r="E388" s="27"/>
      <c r="F388" s="206"/>
      <c r="G388" s="27"/>
      <c r="H388" s="27"/>
      <c r="I388" s="29"/>
      <c r="J388" s="29"/>
      <c r="K388" s="27"/>
      <c r="L388" s="27"/>
      <c r="M388" s="27"/>
      <c r="N388" s="27"/>
      <c r="O388" s="27"/>
      <c r="P388" s="27"/>
      <c r="Q388" s="28"/>
      <c r="R388" s="28"/>
      <c r="S388" s="28"/>
      <c r="T388" s="27"/>
      <c r="U388" s="28"/>
      <c r="V388" s="28"/>
      <c r="W388" s="28"/>
      <c r="X388" s="28"/>
      <c r="Y388" s="28"/>
      <c r="Z388" s="28"/>
      <c r="AA388" s="28"/>
      <c r="AB388" s="27"/>
      <c r="AC388" s="27"/>
      <c r="AD388" s="28"/>
      <c r="AE388" s="28"/>
      <c r="AF388" s="27"/>
      <c r="AG388" s="27"/>
      <c r="AH388" s="27"/>
      <c r="AI388" s="27"/>
      <c r="AJ388" s="27"/>
      <c r="AK388" s="27"/>
      <c r="AL388" s="27"/>
      <c r="AM388" s="27"/>
      <c r="AN388" s="27"/>
      <c r="AO388" s="27"/>
      <c r="AP388" s="27"/>
      <c r="AQ388" s="28"/>
      <c r="AR388" s="28"/>
      <c r="AS388" s="27"/>
      <c r="AT388" s="28"/>
      <c r="AU388" s="27"/>
      <c r="AV388" s="27"/>
      <c r="AW388" s="27"/>
      <c r="AX388" s="27"/>
      <c r="AY388" s="28"/>
      <c r="AZ388" s="28"/>
      <c r="BA388" s="28"/>
      <c r="BB388" s="26"/>
      <c r="BC388" s="27"/>
      <c r="BD388" s="93"/>
      <c r="BE388" s="28"/>
      <c r="BF388" s="28"/>
    </row>
    <row r="389" spans="1:58" ht="20.25" customHeight="1">
      <c r="A389" s="27"/>
      <c r="B389" s="27"/>
      <c r="C389" s="137"/>
      <c r="D389" s="27"/>
      <c r="E389" s="27"/>
      <c r="F389" s="206"/>
      <c r="G389" s="27"/>
      <c r="H389" s="27"/>
      <c r="I389" s="29"/>
      <c r="J389" s="29"/>
      <c r="K389" s="27"/>
      <c r="L389" s="27"/>
      <c r="M389" s="27"/>
      <c r="N389" s="27"/>
      <c r="O389" s="27"/>
      <c r="P389" s="27"/>
      <c r="Q389" s="28"/>
      <c r="R389" s="28"/>
      <c r="S389" s="28"/>
      <c r="T389" s="27"/>
      <c r="U389" s="28"/>
      <c r="V389" s="28"/>
      <c r="W389" s="28"/>
      <c r="X389" s="28"/>
      <c r="Y389" s="28"/>
      <c r="Z389" s="28"/>
      <c r="AA389" s="28"/>
      <c r="AB389" s="27"/>
      <c r="AC389" s="27"/>
      <c r="AD389" s="28"/>
      <c r="AE389" s="28"/>
      <c r="AF389" s="27"/>
      <c r="AG389" s="27"/>
      <c r="AH389" s="27"/>
      <c r="AI389" s="27"/>
      <c r="AJ389" s="27"/>
      <c r="AK389" s="27"/>
      <c r="AL389" s="27"/>
      <c r="AM389" s="27"/>
      <c r="AN389" s="27"/>
      <c r="AO389" s="27"/>
      <c r="AP389" s="27"/>
      <c r="AQ389" s="28"/>
      <c r="AR389" s="28"/>
      <c r="AS389" s="27"/>
      <c r="AT389" s="28"/>
      <c r="AU389" s="27"/>
      <c r="AV389" s="27"/>
      <c r="AW389" s="27"/>
      <c r="AX389" s="27"/>
      <c r="AY389" s="28"/>
      <c r="AZ389" s="28"/>
      <c r="BA389" s="28"/>
      <c r="BB389" s="26"/>
      <c r="BC389" s="27"/>
      <c r="BD389" s="93"/>
      <c r="BE389" s="28"/>
      <c r="BF389" s="28"/>
    </row>
    <row r="390" spans="1:58" ht="20.25" customHeight="1">
      <c r="A390" s="27"/>
      <c r="B390" s="27"/>
      <c r="C390" s="137"/>
      <c r="D390" s="27"/>
      <c r="E390" s="27"/>
      <c r="F390" s="206"/>
      <c r="G390" s="27"/>
      <c r="H390" s="27"/>
      <c r="I390" s="29"/>
      <c r="J390" s="29"/>
      <c r="K390" s="27"/>
      <c r="L390" s="27"/>
      <c r="M390" s="27"/>
      <c r="N390" s="27"/>
      <c r="O390" s="27"/>
      <c r="P390" s="27"/>
      <c r="Q390" s="28"/>
      <c r="R390" s="28"/>
      <c r="S390" s="28"/>
      <c r="T390" s="27"/>
      <c r="U390" s="28"/>
      <c r="V390" s="28"/>
      <c r="W390" s="28"/>
      <c r="X390" s="28"/>
      <c r="Y390" s="28"/>
      <c r="Z390" s="28"/>
      <c r="AA390" s="28"/>
      <c r="AB390" s="27"/>
      <c r="AC390" s="27"/>
      <c r="AD390" s="28"/>
      <c r="AE390" s="28"/>
      <c r="AF390" s="27"/>
      <c r="AG390" s="27"/>
      <c r="AH390" s="27"/>
      <c r="AI390" s="27"/>
      <c r="AJ390" s="27"/>
      <c r="AK390" s="27"/>
      <c r="AL390" s="27"/>
      <c r="AM390" s="27"/>
      <c r="AN390" s="27"/>
      <c r="AO390" s="27"/>
      <c r="AP390" s="27"/>
      <c r="AQ390" s="28"/>
      <c r="AR390" s="28"/>
      <c r="AS390" s="27"/>
      <c r="AT390" s="28"/>
      <c r="AU390" s="27"/>
      <c r="AV390" s="27"/>
      <c r="AW390" s="27"/>
      <c r="AX390" s="27"/>
      <c r="AY390" s="28"/>
      <c r="AZ390" s="28"/>
      <c r="BA390" s="28"/>
      <c r="BB390" s="26"/>
      <c r="BC390" s="27"/>
      <c r="BD390" s="93"/>
      <c r="BE390" s="28"/>
      <c r="BF390" s="28"/>
    </row>
    <row r="391" spans="1:58" ht="20.25" customHeight="1">
      <c r="A391" s="27"/>
      <c r="B391" s="27"/>
      <c r="C391" s="137"/>
      <c r="D391" s="27"/>
      <c r="E391" s="27"/>
      <c r="F391" s="206"/>
      <c r="G391" s="27"/>
      <c r="H391" s="27"/>
      <c r="I391" s="29"/>
      <c r="J391" s="29"/>
      <c r="K391" s="27"/>
      <c r="L391" s="27"/>
      <c r="M391" s="27"/>
      <c r="N391" s="27"/>
      <c r="O391" s="27"/>
      <c r="P391" s="27"/>
      <c r="Q391" s="28"/>
      <c r="R391" s="28"/>
      <c r="S391" s="28"/>
      <c r="T391" s="27"/>
      <c r="U391" s="28"/>
      <c r="V391" s="28"/>
      <c r="W391" s="28"/>
      <c r="X391" s="28"/>
      <c r="Y391" s="28"/>
      <c r="Z391" s="28"/>
      <c r="AA391" s="28"/>
      <c r="AB391" s="27"/>
      <c r="AC391" s="27"/>
      <c r="AD391" s="28"/>
      <c r="AE391" s="28"/>
      <c r="AF391" s="27"/>
      <c r="AG391" s="27"/>
      <c r="AH391" s="27"/>
      <c r="AI391" s="27"/>
      <c r="AJ391" s="27"/>
      <c r="AK391" s="27"/>
      <c r="AL391" s="27"/>
      <c r="AM391" s="27"/>
      <c r="AN391" s="27"/>
      <c r="AO391" s="27"/>
      <c r="AP391" s="27"/>
      <c r="AQ391" s="28"/>
      <c r="AR391" s="28"/>
      <c r="AS391" s="27"/>
      <c r="AT391" s="28"/>
      <c r="AU391" s="27"/>
      <c r="AV391" s="27"/>
      <c r="AW391" s="27"/>
      <c r="AX391" s="27"/>
      <c r="AY391" s="28"/>
      <c r="AZ391" s="28"/>
      <c r="BA391" s="28"/>
      <c r="BB391" s="26"/>
      <c r="BC391" s="27"/>
      <c r="BD391" s="93"/>
      <c r="BE391" s="28"/>
      <c r="BF391" s="28"/>
    </row>
    <row r="392" spans="1:58" ht="20.25" customHeight="1">
      <c r="A392" s="27"/>
      <c r="B392" s="27"/>
      <c r="C392" s="137"/>
      <c r="D392" s="27"/>
      <c r="E392" s="27"/>
      <c r="F392" s="206"/>
      <c r="G392" s="27"/>
      <c r="H392" s="27"/>
      <c r="I392" s="29"/>
      <c r="J392" s="29"/>
      <c r="K392" s="27"/>
      <c r="L392" s="27"/>
      <c r="M392" s="27"/>
      <c r="N392" s="27"/>
      <c r="O392" s="27"/>
      <c r="P392" s="27"/>
      <c r="Q392" s="28"/>
      <c r="R392" s="28"/>
      <c r="S392" s="28"/>
      <c r="T392" s="27"/>
      <c r="U392" s="28"/>
      <c r="V392" s="28"/>
      <c r="W392" s="28"/>
      <c r="X392" s="28"/>
      <c r="Y392" s="28"/>
      <c r="Z392" s="28"/>
      <c r="AA392" s="28"/>
      <c r="AB392" s="27"/>
      <c r="AC392" s="27"/>
      <c r="AD392" s="28"/>
      <c r="AE392" s="28"/>
      <c r="AF392" s="27"/>
      <c r="AG392" s="27"/>
      <c r="AH392" s="27"/>
      <c r="AI392" s="27"/>
      <c r="AJ392" s="27"/>
      <c r="AK392" s="27"/>
      <c r="AL392" s="27"/>
      <c r="AM392" s="27"/>
      <c r="AN392" s="27"/>
      <c r="AO392" s="27"/>
      <c r="AP392" s="27"/>
      <c r="AQ392" s="28"/>
      <c r="AR392" s="28"/>
      <c r="AS392" s="27"/>
      <c r="AT392" s="28"/>
      <c r="AU392" s="27"/>
      <c r="AV392" s="27"/>
      <c r="AW392" s="27"/>
      <c r="AX392" s="27"/>
      <c r="AY392" s="28"/>
      <c r="AZ392" s="28"/>
      <c r="BA392" s="28"/>
      <c r="BB392" s="26"/>
      <c r="BC392" s="27"/>
      <c r="BD392" s="93"/>
      <c r="BE392" s="28"/>
      <c r="BF392" s="28"/>
    </row>
    <row r="393" spans="1:58" ht="20.25" customHeight="1">
      <c r="A393" s="27"/>
      <c r="B393" s="27"/>
      <c r="C393" s="137"/>
      <c r="D393" s="27"/>
      <c r="E393" s="27"/>
      <c r="F393" s="206"/>
      <c r="G393" s="27"/>
      <c r="H393" s="27"/>
      <c r="I393" s="29"/>
      <c r="J393" s="29"/>
      <c r="K393" s="27"/>
      <c r="L393" s="27"/>
      <c r="M393" s="27"/>
      <c r="N393" s="27"/>
      <c r="O393" s="27"/>
      <c r="P393" s="27"/>
      <c r="Q393" s="28"/>
      <c r="R393" s="28"/>
      <c r="S393" s="28"/>
      <c r="T393" s="27"/>
      <c r="U393" s="28"/>
      <c r="V393" s="28"/>
      <c r="W393" s="28"/>
      <c r="X393" s="28"/>
      <c r="Y393" s="28"/>
      <c r="Z393" s="28"/>
      <c r="AA393" s="28"/>
      <c r="AB393" s="27"/>
      <c r="AC393" s="27"/>
      <c r="AD393" s="28"/>
      <c r="AE393" s="28"/>
      <c r="AF393" s="27"/>
      <c r="AG393" s="27"/>
      <c r="AH393" s="27"/>
      <c r="AI393" s="27"/>
      <c r="AJ393" s="27"/>
      <c r="AK393" s="27"/>
      <c r="AL393" s="27"/>
      <c r="AM393" s="27"/>
      <c r="AN393" s="27"/>
      <c r="AO393" s="27"/>
      <c r="AP393" s="27"/>
      <c r="AQ393" s="28"/>
      <c r="AR393" s="28"/>
      <c r="AS393" s="27"/>
      <c r="AT393" s="28"/>
      <c r="AU393" s="27"/>
      <c r="AV393" s="27"/>
      <c r="AW393" s="27"/>
      <c r="AX393" s="27"/>
      <c r="AY393" s="28"/>
      <c r="AZ393" s="28"/>
      <c r="BA393" s="28"/>
      <c r="BB393" s="26"/>
      <c r="BC393" s="27"/>
      <c r="BD393" s="93"/>
      <c r="BE393" s="28"/>
      <c r="BF393" s="28"/>
    </row>
    <row r="394" spans="1:58" ht="20.25" customHeight="1">
      <c r="A394" s="27"/>
      <c r="B394" s="27"/>
      <c r="C394" s="137"/>
      <c r="D394" s="27"/>
      <c r="E394" s="27"/>
      <c r="F394" s="206"/>
      <c r="G394" s="27"/>
      <c r="H394" s="27"/>
      <c r="I394" s="29"/>
      <c r="J394" s="29"/>
      <c r="K394" s="27"/>
      <c r="L394" s="27"/>
      <c r="M394" s="27"/>
      <c r="N394" s="27"/>
      <c r="O394" s="27"/>
      <c r="P394" s="27"/>
      <c r="Q394" s="28"/>
      <c r="R394" s="28"/>
      <c r="S394" s="28"/>
      <c r="T394" s="27"/>
      <c r="U394" s="28"/>
      <c r="V394" s="28"/>
      <c r="W394" s="28"/>
      <c r="X394" s="28"/>
      <c r="Y394" s="28"/>
      <c r="Z394" s="28"/>
      <c r="AA394" s="28"/>
      <c r="AB394" s="27"/>
      <c r="AC394" s="27"/>
      <c r="AD394" s="28"/>
      <c r="AE394" s="28"/>
      <c r="AF394" s="27"/>
      <c r="AG394" s="27"/>
      <c r="AH394" s="27"/>
      <c r="AI394" s="27"/>
      <c r="AJ394" s="27"/>
      <c r="AK394" s="27"/>
      <c r="AL394" s="27"/>
      <c r="AM394" s="27"/>
      <c r="AN394" s="27"/>
      <c r="AO394" s="27"/>
      <c r="AP394" s="27"/>
      <c r="AQ394" s="28"/>
      <c r="AR394" s="28"/>
      <c r="AS394" s="27"/>
      <c r="AT394" s="28"/>
      <c r="AU394" s="27"/>
      <c r="AV394" s="27"/>
      <c r="AW394" s="27"/>
      <c r="AX394" s="27"/>
      <c r="AY394" s="28"/>
      <c r="AZ394" s="28"/>
      <c r="BA394" s="28"/>
      <c r="BB394" s="26"/>
      <c r="BC394" s="27"/>
      <c r="BD394" s="93"/>
      <c r="BE394" s="28"/>
      <c r="BF394" s="28"/>
    </row>
    <row r="395" spans="1:58" ht="20.25" customHeight="1">
      <c r="A395" s="27"/>
      <c r="B395" s="27"/>
      <c r="C395" s="137"/>
      <c r="D395" s="27"/>
      <c r="E395" s="27"/>
      <c r="F395" s="206"/>
      <c r="G395" s="27"/>
      <c r="H395" s="27"/>
      <c r="I395" s="29"/>
      <c r="J395" s="29"/>
      <c r="K395" s="27"/>
      <c r="L395" s="27"/>
      <c r="M395" s="27"/>
      <c r="N395" s="27"/>
      <c r="O395" s="27"/>
      <c r="P395" s="27"/>
      <c r="Q395" s="28"/>
      <c r="R395" s="28"/>
      <c r="S395" s="28"/>
      <c r="T395" s="27"/>
      <c r="U395" s="28"/>
      <c r="V395" s="28"/>
      <c r="W395" s="28"/>
      <c r="X395" s="28"/>
      <c r="Y395" s="28"/>
      <c r="Z395" s="28"/>
      <c r="AA395" s="28"/>
      <c r="AB395" s="27"/>
      <c r="AC395" s="27"/>
      <c r="AD395" s="28"/>
      <c r="AE395" s="28"/>
      <c r="AF395" s="27"/>
      <c r="AG395" s="27"/>
      <c r="AH395" s="27"/>
      <c r="AI395" s="27"/>
      <c r="AJ395" s="27"/>
      <c r="AK395" s="27"/>
      <c r="AL395" s="27"/>
      <c r="AM395" s="27"/>
      <c r="AN395" s="27"/>
      <c r="AO395" s="27"/>
      <c r="AP395" s="27"/>
      <c r="AQ395" s="28"/>
      <c r="AR395" s="28"/>
      <c r="AS395" s="27"/>
      <c r="AT395" s="28"/>
      <c r="AU395" s="27"/>
      <c r="AV395" s="27"/>
      <c r="AW395" s="27"/>
      <c r="AX395" s="27"/>
      <c r="AY395" s="28"/>
      <c r="AZ395" s="28"/>
      <c r="BA395" s="28"/>
      <c r="BB395" s="26"/>
      <c r="BC395" s="27"/>
      <c r="BD395" s="93"/>
      <c r="BE395" s="28"/>
      <c r="BF395" s="28"/>
    </row>
    <row r="396" spans="1:58" ht="20.25" customHeight="1">
      <c r="A396" s="27"/>
      <c r="B396" s="27"/>
      <c r="C396" s="137"/>
      <c r="D396" s="27"/>
      <c r="E396" s="27"/>
      <c r="F396" s="206"/>
      <c r="G396" s="27"/>
      <c r="H396" s="27"/>
      <c r="I396" s="29"/>
      <c r="J396" s="29"/>
      <c r="K396" s="27"/>
      <c r="L396" s="27"/>
      <c r="M396" s="27"/>
      <c r="N396" s="27"/>
      <c r="O396" s="27"/>
      <c r="P396" s="27"/>
      <c r="Q396" s="28"/>
      <c r="R396" s="28"/>
      <c r="S396" s="28"/>
      <c r="T396" s="27"/>
      <c r="U396" s="28"/>
      <c r="V396" s="28"/>
      <c r="W396" s="28"/>
      <c r="X396" s="28"/>
      <c r="Y396" s="28"/>
      <c r="Z396" s="28"/>
      <c r="AA396" s="28"/>
      <c r="AB396" s="27"/>
      <c r="AC396" s="27"/>
      <c r="AD396" s="28"/>
      <c r="AE396" s="28"/>
      <c r="AF396" s="27"/>
      <c r="AG396" s="27"/>
      <c r="AH396" s="27"/>
      <c r="AI396" s="27"/>
      <c r="AJ396" s="27"/>
      <c r="AK396" s="27"/>
      <c r="AL396" s="27"/>
      <c r="AM396" s="27"/>
      <c r="AN396" s="27"/>
      <c r="AO396" s="27"/>
      <c r="AP396" s="27"/>
      <c r="AQ396" s="28"/>
      <c r="AR396" s="28"/>
      <c r="AS396" s="27"/>
      <c r="AT396" s="28"/>
      <c r="AU396" s="27"/>
      <c r="AV396" s="27"/>
      <c r="AW396" s="27"/>
      <c r="AX396" s="27"/>
      <c r="AY396" s="28"/>
      <c r="AZ396" s="28"/>
      <c r="BA396" s="28"/>
      <c r="BB396" s="26"/>
      <c r="BC396" s="27"/>
      <c r="BD396" s="93"/>
      <c r="BE396" s="28"/>
      <c r="BF396" s="28"/>
    </row>
    <row r="397" spans="1:58" ht="20.25" customHeight="1">
      <c r="A397" s="27"/>
      <c r="B397" s="27"/>
      <c r="C397" s="137"/>
      <c r="D397" s="27"/>
      <c r="E397" s="27"/>
      <c r="F397" s="206"/>
      <c r="G397" s="27"/>
      <c r="H397" s="27"/>
      <c r="I397" s="29"/>
      <c r="J397" s="29"/>
      <c r="K397" s="27"/>
      <c r="L397" s="27"/>
      <c r="M397" s="27"/>
      <c r="N397" s="27"/>
      <c r="O397" s="27"/>
      <c r="P397" s="27"/>
      <c r="Q397" s="28"/>
      <c r="R397" s="28"/>
      <c r="S397" s="28"/>
      <c r="T397" s="27"/>
      <c r="U397" s="28"/>
      <c r="V397" s="28"/>
      <c r="W397" s="28"/>
      <c r="X397" s="28"/>
      <c r="Y397" s="28"/>
      <c r="Z397" s="28"/>
      <c r="AA397" s="28"/>
      <c r="AB397" s="27"/>
      <c r="AC397" s="27"/>
      <c r="AD397" s="28"/>
      <c r="AE397" s="28"/>
      <c r="AF397" s="27"/>
      <c r="AG397" s="27"/>
      <c r="AH397" s="27"/>
      <c r="AI397" s="27"/>
      <c r="AJ397" s="27"/>
      <c r="AK397" s="27"/>
      <c r="AL397" s="27"/>
      <c r="AM397" s="27"/>
      <c r="AN397" s="27"/>
      <c r="AO397" s="27"/>
      <c r="AP397" s="27"/>
      <c r="AQ397" s="28"/>
      <c r="AR397" s="28"/>
      <c r="AS397" s="27"/>
      <c r="AT397" s="28"/>
      <c r="AU397" s="27"/>
      <c r="AV397" s="27"/>
      <c r="AW397" s="27"/>
      <c r="AX397" s="27"/>
      <c r="AY397" s="28"/>
      <c r="AZ397" s="28"/>
      <c r="BA397" s="28"/>
      <c r="BB397" s="26"/>
      <c r="BC397" s="27"/>
      <c r="BD397" s="93"/>
      <c r="BE397" s="28"/>
      <c r="BF397" s="28"/>
    </row>
    <row r="398" spans="1:58" ht="20.25" customHeight="1">
      <c r="A398" s="27"/>
      <c r="B398" s="27"/>
      <c r="C398" s="137"/>
      <c r="D398" s="27"/>
      <c r="E398" s="27"/>
      <c r="F398" s="206"/>
      <c r="G398" s="27"/>
      <c r="H398" s="27"/>
      <c r="I398" s="29"/>
      <c r="J398" s="29"/>
      <c r="K398" s="27"/>
      <c r="L398" s="27"/>
      <c r="M398" s="27"/>
      <c r="N398" s="27"/>
      <c r="O398" s="27"/>
      <c r="P398" s="27"/>
      <c r="Q398" s="28"/>
      <c r="R398" s="28"/>
      <c r="S398" s="28"/>
      <c r="T398" s="27"/>
      <c r="U398" s="28"/>
      <c r="V398" s="28"/>
      <c r="W398" s="28"/>
      <c r="X398" s="28"/>
      <c r="Y398" s="28"/>
      <c r="Z398" s="28"/>
      <c r="AA398" s="28"/>
      <c r="AB398" s="27"/>
      <c r="AC398" s="27"/>
      <c r="AD398" s="28"/>
      <c r="AE398" s="28"/>
      <c r="AF398" s="27"/>
      <c r="AG398" s="27"/>
      <c r="AH398" s="27"/>
      <c r="AI398" s="27"/>
      <c r="AJ398" s="27"/>
      <c r="AK398" s="27"/>
      <c r="AL398" s="27"/>
      <c r="AM398" s="27"/>
      <c r="AN398" s="27"/>
      <c r="AO398" s="27"/>
      <c r="AP398" s="27"/>
      <c r="AQ398" s="28"/>
      <c r="AR398" s="28"/>
      <c r="AS398" s="27"/>
      <c r="AT398" s="28"/>
      <c r="AU398" s="27"/>
      <c r="AV398" s="27"/>
      <c r="AW398" s="27"/>
      <c r="AX398" s="27"/>
      <c r="AY398" s="28"/>
      <c r="AZ398" s="28"/>
      <c r="BA398" s="28"/>
      <c r="BB398" s="26"/>
      <c r="BC398" s="27"/>
      <c r="BD398" s="93"/>
      <c r="BE398" s="28"/>
      <c r="BF398" s="28"/>
    </row>
    <row r="399" spans="1:58" ht="20.25" customHeight="1">
      <c r="A399" s="27"/>
      <c r="B399" s="27"/>
      <c r="C399" s="137"/>
      <c r="D399" s="27"/>
      <c r="E399" s="27"/>
      <c r="F399" s="206"/>
      <c r="G399" s="27"/>
      <c r="H399" s="27"/>
      <c r="I399" s="29"/>
      <c r="J399" s="29"/>
      <c r="K399" s="27"/>
      <c r="L399" s="27"/>
      <c r="M399" s="27"/>
      <c r="N399" s="27"/>
      <c r="O399" s="27"/>
      <c r="P399" s="27"/>
      <c r="Q399" s="28"/>
      <c r="R399" s="28"/>
      <c r="S399" s="28"/>
      <c r="T399" s="27"/>
      <c r="U399" s="28"/>
      <c r="V399" s="28"/>
      <c r="W399" s="28"/>
      <c r="X399" s="28"/>
      <c r="Y399" s="28"/>
      <c r="Z399" s="28"/>
      <c r="AA399" s="28"/>
      <c r="AB399" s="27"/>
      <c r="AC399" s="27"/>
      <c r="AD399" s="28"/>
      <c r="AE399" s="28"/>
      <c r="AF399" s="27"/>
      <c r="AG399" s="27"/>
      <c r="AH399" s="27"/>
      <c r="AI399" s="27"/>
      <c r="AJ399" s="27"/>
      <c r="AK399" s="27"/>
      <c r="AL399" s="27"/>
      <c r="AM399" s="27"/>
      <c r="AN399" s="27"/>
      <c r="AO399" s="27"/>
      <c r="AP399" s="27"/>
      <c r="AQ399" s="28"/>
      <c r="AR399" s="28"/>
      <c r="AS399" s="27"/>
      <c r="AT399" s="28"/>
      <c r="AU399" s="27"/>
      <c r="AV399" s="27"/>
      <c r="AW399" s="27"/>
      <c r="AX399" s="27"/>
      <c r="AY399" s="28"/>
      <c r="AZ399" s="28"/>
      <c r="BA399" s="28"/>
      <c r="BB399" s="26"/>
      <c r="BC399" s="27"/>
      <c r="BD399" s="93"/>
      <c r="BE399" s="28"/>
      <c r="BF399" s="28"/>
    </row>
    <row r="400" spans="1:58" ht="20.25" customHeight="1">
      <c r="A400" s="27"/>
      <c r="B400" s="27"/>
      <c r="C400" s="137"/>
      <c r="D400" s="27"/>
      <c r="E400" s="27"/>
      <c r="F400" s="206"/>
      <c r="G400" s="27"/>
      <c r="H400" s="27"/>
      <c r="I400" s="29"/>
      <c r="J400" s="29"/>
      <c r="K400" s="27"/>
      <c r="L400" s="27"/>
      <c r="M400" s="27"/>
      <c r="N400" s="27"/>
      <c r="O400" s="27"/>
      <c r="P400" s="27"/>
      <c r="Q400" s="28"/>
      <c r="R400" s="28"/>
      <c r="S400" s="28"/>
      <c r="T400" s="27"/>
      <c r="U400" s="28"/>
      <c r="V400" s="28"/>
      <c r="W400" s="28"/>
      <c r="X400" s="28"/>
      <c r="Y400" s="28"/>
      <c r="Z400" s="28"/>
      <c r="AA400" s="28"/>
      <c r="AB400" s="27"/>
      <c r="AC400" s="27"/>
      <c r="AD400" s="28"/>
      <c r="AE400" s="28"/>
      <c r="AF400" s="27"/>
      <c r="AG400" s="27"/>
      <c r="AH400" s="27"/>
      <c r="AI400" s="27"/>
      <c r="AJ400" s="27"/>
      <c r="AK400" s="27"/>
      <c r="AL400" s="27"/>
      <c r="AM400" s="27"/>
      <c r="AN400" s="27"/>
      <c r="AO400" s="27"/>
      <c r="AP400" s="27"/>
      <c r="AQ400" s="28"/>
      <c r="AR400" s="28"/>
      <c r="AS400" s="27"/>
      <c r="AT400" s="28"/>
      <c r="AU400" s="27"/>
      <c r="AV400" s="27"/>
      <c r="AW400" s="27"/>
      <c r="AX400" s="27"/>
      <c r="AY400" s="28"/>
      <c r="AZ400" s="28"/>
      <c r="BA400" s="28"/>
      <c r="BB400" s="26"/>
      <c r="BC400" s="27"/>
      <c r="BD400" s="93"/>
      <c r="BE400" s="28"/>
      <c r="BF400" s="28"/>
    </row>
    <row r="401" spans="1:58" ht="20.25" customHeight="1">
      <c r="A401" s="27"/>
      <c r="B401" s="27"/>
      <c r="C401" s="137"/>
      <c r="D401" s="27"/>
      <c r="E401" s="27"/>
      <c r="F401" s="206"/>
      <c r="G401" s="27"/>
      <c r="H401" s="27"/>
      <c r="I401" s="29"/>
      <c r="J401" s="29"/>
      <c r="K401" s="27"/>
      <c r="L401" s="27"/>
      <c r="M401" s="27"/>
      <c r="N401" s="27"/>
      <c r="O401" s="27"/>
      <c r="P401" s="27"/>
      <c r="Q401" s="28"/>
      <c r="R401" s="28"/>
      <c r="S401" s="28"/>
      <c r="T401" s="27"/>
      <c r="U401" s="28"/>
      <c r="V401" s="28"/>
      <c r="W401" s="28"/>
      <c r="X401" s="28"/>
      <c r="Y401" s="28"/>
      <c r="Z401" s="28"/>
      <c r="AA401" s="28"/>
      <c r="AB401" s="27"/>
      <c r="AC401" s="27"/>
      <c r="AD401" s="28"/>
      <c r="AE401" s="28"/>
      <c r="AF401" s="27"/>
      <c r="AG401" s="27"/>
      <c r="AH401" s="27"/>
      <c r="AI401" s="27"/>
      <c r="AJ401" s="27"/>
      <c r="AK401" s="27"/>
      <c r="AL401" s="27"/>
      <c r="AM401" s="27"/>
      <c r="AN401" s="27"/>
      <c r="AO401" s="27"/>
      <c r="AP401" s="27"/>
      <c r="AQ401" s="28"/>
      <c r="AR401" s="28"/>
      <c r="AS401" s="27"/>
      <c r="AT401" s="28"/>
      <c r="AU401" s="27"/>
      <c r="AV401" s="27"/>
      <c r="AW401" s="27"/>
      <c r="AX401" s="27"/>
      <c r="AY401" s="28"/>
      <c r="AZ401" s="28"/>
      <c r="BA401" s="28"/>
      <c r="BB401" s="26"/>
      <c r="BC401" s="27"/>
      <c r="BD401" s="93"/>
      <c r="BE401" s="28"/>
      <c r="BF401" s="28"/>
    </row>
    <row r="402" spans="1:58" ht="20.25" customHeight="1">
      <c r="A402" s="27"/>
      <c r="B402" s="27"/>
      <c r="C402" s="137"/>
      <c r="D402" s="27"/>
      <c r="E402" s="27"/>
      <c r="F402" s="206"/>
      <c r="G402" s="27"/>
      <c r="H402" s="27"/>
      <c r="I402" s="29"/>
      <c r="J402" s="29"/>
      <c r="K402" s="27"/>
      <c r="L402" s="27"/>
      <c r="M402" s="27"/>
      <c r="N402" s="27"/>
      <c r="O402" s="27"/>
      <c r="P402" s="27"/>
      <c r="Q402" s="28"/>
      <c r="R402" s="28"/>
      <c r="S402" s="28"/>
      <c r="T402" s="27"/>
      <c r="U402" s="28"/>
      <c r="V402" s="28"/>
      <c r="W402" s="28"/>
      <c r="X402" s="28"/>
      <c r="Y402" s="28"/>
      <c r="Z402" s="28"/>
      <c r="AA402" s="28"/>
      <c r="AB402" s="27"/>
      <c r="AC402" s="27"/>
      <c r="AD402" s="28"/>
      <c r="AE402" s="28"/>
      <c r="AF402" s="27"/>
      <c r="AG402" s="27"/>
      <c r="AH402" s="27"/>
      <c r="AI402" s="27"/>
      <c r="AJ402" s="27"/>
      <c r="AK402" s="27"/>
      <c r="AL402" s="27"/>
      <c r="AM402" s="27"/>
      <c r="AN402" s="27"/>
      <c r="AO402" s="27"/>
      <c r="AP402" s="27"/>
      <c r="AQ402" s="28"/>
      <c r="AR402" s="28"/>
      <c r="AS402" s="27"/>
      <c r="AT402" s="28"/>
      <c r="AU402" s="27"/>
      <c r="AV402" s="27"/>
      <c r="AW402" s="27"/>
      <c r="AX402" s="27"/>
      <c r="AY402" s="28"/>
      <c r="AZ402" s="28"/>
      <c r="BA402" s="28"/>
      <c r="BB402" s="26"/>
      <c r="BC402" s="27"/>
      <c r="BD402" s="93"/>
      <c r="BE402" s="28"/>
      <c r="BF402" s="28"/>
    </row>
    <row r="403" spans="1:58" ht="20.25" customHeight="1">
      <c r="A403" s="27"/>
      <c r="B403" s="27"/>
      <c r="C403" s="137"/>
      <c r="D403" s="27"/>
      <c r="E403" s="27"/>
      <c r="F403" s="206"/>
      <c r="G403" s="27"/>
      <c r="H403" s="27"/>
      <c r="I403" s="29"/>
      <c r="J403" s="29"/>
      <c r="K403" s="27"/>
      <c r="L403" s="27"/>
      <c r="M403" s="27"/>
      <c r="N403" s="27"/>
      <c r="O403" s="27"/>
      <c r="P403" s="27"/>
      <c r="Q403" s="28"/>
      <c r="R403" s="28"/>
      <c r="S403" s="28"/>
      <c r="T403" s="27"/>
      <c r="U403" s="28"/>
      <c r="V403" s="28"/>
      <c r="W403" s="28"/>
      <c r="X403" s="28"/>
      <c r="Y403" s="28"/>
      <c r="Z403" s="28"/>
      <c r="AA403" s="28"/>
      <c r="AB403" s="27"/>
      <c r="AC403" s="27"/>
      <c r="AD403" s="28"/>
      <c r="AE403" s="28"/>
      <c r="AF403" s="27"/>
      <c r="AG403" s="27"/>
      <c r="AH403" s="27"/>
      <c r="AI403" s="27"/>
      <c r="AJ403" s="27"/>
      <c r="AK403" s="27"/>
      <c r="AL403" s="27"/>
      <c r="AM403" s="27"/>
      <c r="AN403" s="27"/>
      <c r="AO403" s="27"/>
      <c r="AP403" s="27"/>
      <c r="AQ403" s="28"/>
      <c r="AR403" s="28"/>
      <c r="AS403" s="27"/>
      <c r="AT403" s="28"/>
      <c r="AU403" s="27"/>
      <c r="AV403" s="27"/>
      <c r="AW403" s="27"/>
      <c r="AX403" s="27"/>
      <c r="AY403" s="28"/>
      <c r="AZ403" s="28"/>
      <c r="BA403" s="28"/>
      <c r="BB403" s="26"/>
      <c r="BC403" s="27"/>
      <c r="BD403" s="93"/>
      <c r="BE403" s="28"/>
      <c r="BF403" s="28"/>
    </row>
    <row r="404" spans="1:58" ht="20.25" customHeight="1">
      <c r="A404" s="27"/>
      <c r="B404" s="27"/>
      <c r="C404" s="137"/>
      <c r="D404" s="27"/>
      <c r="E404" s="27"/>
      <c r="F404" s="206"/>
      <c r="G404" s="27"/>
      <c r="H404" s="27"/>
      <c r="I404" s="29"/>
      <c r="J404" s="29"/>
      <c r="K404" s="27"/>
      <c r="L404" s="27"/>
      <c r="M404" s="27"/>
      <c r="N404" s="27"/>
      <c r="O404" s="27"/>
      <c r="P404" s="27"/>
      <c r="Q404" s="28"/>
      <c r="R404" s="28"/>
      <c r="S404" s="28"/>
      <c r="T404" s="27"/>
      <c r="U404" s="28"/>
      <c r="V404" s="28"/>
      <c r="W404" s="28"/>
      <c r="X404" s="28"/>
      <c r="Y404" s="28"/>
      <c r="Z404" s="28"/>
      <c r="AA404" s="28"/>
      <c r="AB404" s="27"/>
      <c r="AC404" s="27"/>
      <c r="AD404" s="28"/>
      <c r="AE404" s="28"/>
      <c r="AF404" s="27"/>
      <c r="AG404" s="27"/>
      <c r="AH404" s="27"/>
      <c r="AI404" s="27"/>
      <c r="AJ404" s="27"/>
      <c r="AK404" s="27"/>
      <c r="AL404" s="27"/>
      <c r="AM404" s="27"/>
      <c r="AN404" s="27"/>
      <c r="AO404" s="27"/>
      <c r="AP404" s="27"/>
      <c r="AQ404" s="28"/>
      <c r="AR404" s="28"/>
      <c r="AS404" s="27"/>
      <c r="AT404" s="28"/>
      <c r="AU404" s="27"/>
      <c r="AV404" s="27"/>
      <c r="AW404" s="27"/>
      <c r="AX404" s="27"/>
      <c r="AY404" s="28"/>
      <c r="AZ404" s="28"/>
      <c r="BA404" s="28"/>
      <c r="BB404" s="26"/>
      <c r="BC404" s="27"/>
      <c r="BD404" s="93"/>
      <c r="BE404" s="28"/>
      <c r="BF404" s="28"/>
    </row>
    <row r="405" spans="1:58" ht="20.25" customHeight="1">
      <c r="A405" s="27"/>
      <c r="B405" s="27"/>
      <c r="C405" s="137"/>
      <c r="D405" s="27"/>
      <c r="E405" s="27"/>
      <c r="F405" s="206"/>
      <c r="G405" s="27"/>
      <c r="H405" s="27"/>
      <c r="I405" s="29"/>
      <c r="J405" s="29"/>
      <c r="K405" s="27"/>
      <c r="L405" s="27"/>
      <c r="M405" s="27"/>
      <c r="N405" s="27"/>
      <c r="O405" s="27"/>
      <c r="P405" s="27"/>
      <c r="Q405" s="28"/>
      <c r="R405" s="28"/>
      <c r="S405" s="28"/>
      <c r="T405" s="27"/>
      <c r="U405" s="28"/>
      <c r="V405" s="28"/>
      <c r="W405" s="28"/>
      <c r="X405" s="28"/>
      <c r="Y405" s="28"/>
      <c r="Z405" s="28"/>
      <c r="AA405" s="28"/>
      <c r="AB405" s="27"/>
      <c r="AC405" s="27"/>
      <c r="AD405" s="28"/>
      <c r="AE405" s="28"/>
      <c r="AF405" s="27"/>
      <c r="AG405" s="27"/>
      <c r="AH405" s="27"/>
      <c r="AI405" s="27"/>
      <c r="AJ405" s="27"/>
      <c r="AK405" s="27"/>
      <c r="AL405" s="27"/>
      <c r="AM405" s="27"/>
      <c r="AN405" s="27"/>
      <c r="AO405" s="27"/>
      <c r="AP405" s="27"/>
      <c r="AQ405" s="28"/>
      <c r="AR405" s="28"/>
      <c r="AS405" s="27"/>
      <c r="AT405" s="28"/>
      <c r="AU405" s="27"/>
      <c r="AV405" s="27"/>
      <c r="AW405" s="27"/>
      <c r="AX405" s="27"/>
      <c r="AY405" s="28"/>
      <c r="AZ405" s="28"/>
      <c r="BA405" s="28"/>
      <c r="BB405" s="26"/>
      <c r="BC405" s="27"/>
      <c r="BD405" s="93"/>
      <c r="BE405" s="28"/>
      <c r="BF405" s="28"/>
    </row>
    <row r="406" spans="1:58" ht="20.25" customHeight="1">
      <c r="A406" s="27"/>
      <c r="B406" s="27"/>
      <c r="C406" s="137"/>
      <c r="D406" s="27"/>
      <c r="E406" s="27"/>
      <c r="F406" s="206"/>
      <c r="G406" s="27"/>
      <c r="H406" s="27"/>
      <c r="I406" s="29"/>
      <c r="J406" s="29"/>
      <c r="K406" s="27"/>
      <c r="L406" s="27"/>
      <c r="M406" s="27"/>
      <c r="N406" s="27"/>
      <c r="O406" s="27"/>
      <c r="P406" s="27"/>
      <c r="Q406" s="28"/>
      <c r="R406" s="28"/>
      <c r="S406" s="28"/>
      <c r="T406" s="27"/>
      <c r="U406" s="28"/>
      <c r="V406" s="28"/>
      <c r="W406" s="28"/>
      <c r="X406" s="28"/>
      <c r="Y406" s="28"/>
      <c r="Z406" s="28"/>
      <c r="AA406" s="28"/>
      <c r="AB406" s="27"/>
      <c r="AC406" s="27"/>
      <c r="AD406" s="28"/>
      <c r="AE406" s="28"/>
      <c r="AF406" s="27"/>
      <c r="AG406" s="27"/>
      <c r="AH406" s="27"/>
      <c r="AI406" s="27"/>
      <c r="AJ406" s="27"/>
      <c r="AK406" s="27"/>
      <c r="AL406" s="27"/>
      <c r="AM406" s="27"/>
      <c r="AN406" s="27"/>
      <c r="AO406" s="27"/>
      <c r="AP406" s="27"/>
      <c r="AQ406" s="28"/>
      <c r="AR406" s="28"/>
      <c r="AS406" s="27"/>
      <c r="AT406" s="28"/>
      <c r="AU406" s="27"/>
      <c r="AV406" s="27"/>
      <c r="AW406" s="27"/>
      <c r="AX406" s="27"/>
      <c r="AY406" s="28"/>
      <c r="AZ406" s="28"/>
      <c r="BA406" s="28"/>
      <c r="BB406" s="26"/>
      <c r="BC406" s="27"/>
      <c r="BD406" s="93"/>
      <c r="BE406" s="28"/>
      <c r="BF406" s="28"/>
    </row>
    <row r="407" spans="1:58" ht="20.25" customHeight="1">
      <c r="A407" s="27"/>
      <c r="B407" s="27"/>
      <c r="C407" s="137"/>
      <c r="D407" s="27"/>
      <c r="E407" s="27"/>
      <c r="F407" s="206"/>
      <c r="G407" s="27"/>
      <c r="H407" s="27"/>
      <c r="I407" s="29"/>
      <c r="J407" s="29"/>
      <c r="K407" s="27"/>
      <c r="L407" s="27"/>
      <c r="M407" s="27"/>
      <c r="N407" s="27"/>
      <c r="O407" s="27"/>
      <c r="P407" s="27"/>
      <c r="Q407" s="28"/>
      <c r="R407" s="28"/>
      <c r="S407" s="28"/>
      <c r="T407" s="27"/>
      <c r="U407" s="28"/>
      <c r="V407" s="28"/>
      <c r="W407" s="28"/>
      <c r="X407" s="28"/>
      <c r="Y407" s="28"/>
      <c r="Z407" s="28"/>
      <c r="AA407" s="28"/>
      <c r="AB407" s="27"/>
      <c r="AC407" s="27"/>
      <c r="AD407" s="28"/>
      <c r="AE407" s="28"/>
      <c r="AF407" s="27"/>
      <c r="AG407" s="27"/>
      <c r="AH407" s="27"/>
      <c r="AI407" s="27"/>
      <c r="AJ407" s="27"/>
      <c r="AK407" s="27"/>
      <c r="AL407" s="27"/>
      <c r="AM407" s="27"/>
      <c r="AN407" s="27"/>
      <c r="AO407" s="27"/>
      <c r="AP407" s="27"/>
      <c r="AQ407" s="28"/>
      <c r="AR407" s="28"/>
      <c r="AS407" s="27"/>
      <c r="AT407" s="28"/>
      <c r="AU407" s="27"/>
      <c r="AV407" s="27"/>
      <c r="AW407" s="27"/>
      <c r="AX407" s="27"/>
      <c r="AY407" s="28"/>
      <c r="AZ407" s="28"/>
      <c r="BA407" s="28"/>
      <c r="BB407" s="26"/>
      <c r="BC407" s="27"/>
      <c r="BD407" s="93"/>
      <c r="BE407" s="28"/>
      <c r="BF407" s="28"/>
    </row>
    <row r="408" spans="1:58" ht="20.25" customHeight="1">
      <c r="A408" s="27"/>
      <c r="B408" s="27"/>
      <c r="C408" s="137"/>
      <c r="D408" s="27"/>
      <c r="E408" s="27"/>
      <c r="F408" s="206"/>
      <c r="G408" s="27"/>
      <c r="H408" s="27"/>
      <c r="I408" s="29"/>
      <c r="J408" s="29"/>
      <c r="K408" s="27"/>
      <c r="L408" s="27"/>
      <c r="M408" s="27"/>
      <c r="N408" s="27"/>
      <c r="O408" s="27"/>
      <c r="P408" s="27"/>
      <c r="Q408" s="28"/>
      <c r="R408" s="28"/>
      <c r="S408" s="28"/>
      <c r="T408" s="27"/>
      <c r="U408" s="28"/>
      <c r="V408" s="28"/>
      <c r="W408" s="28"/>
      <c r="X408" s="28"/>
      <c r="Y408" s="28"/>
      <c r="Z408" s="28"/>
      <c r="AA408" s="28"/>
      <c r="AB408" s="27"/>
      <c r="AC408" s="27"/>
      <c r="AD408" s="28"/>
      <c r="AE408" s="28"/>
      <c r="AF408" s="27"/>
      <c r="AG408" s="27"/>
      <c r="AH408" s="27"/>
      <c r="AI408" s="27"/>
      <c r="AJ408" s="27"/>
      <c r="AK408" s="27"/>
      <c r="AL408" s="27"/>
      <c r="AM408" s="27"/>
      <c r="AN408" s="27"/>
      <c r="AO408" s="27"/>
      <c r="AP408" s="27"/>
      <c r="AQ408" s="28"/>
      <c r="AR408" s="28"/>
      <c r="AS408" s="27"/>
      <c r="AT408" s="28"/>
      <c r="AU408" s="27"/>
      <c r="AV408" s="27"/>
      <c r="AW408" s="27"/>
      <c r="AX408" s="27"/>
      <c r="AY408" s="28"/>
      <c r="AZ408" s="28"/>
      <c r="BA408" s="28"/>
      <c r="BB408" s="26"/>
      <c r="BC408" s="27"/>
      <c r="BD408" s="93"/>
      <c r="BE408" s="28"/>
      <c r="BF408" s="28"/>
    </row>
    <row r="409" spans="1:58" ht="20.25" customHeight="1">
      <c r="A409" s="27"/>
      <c r="B409" s="27"/>
      <c r="C409" s="137"/>
      <c r="D409" s="27"/>
      <c r="E409" s="27"/>
      <c r="F409" s="206"/>
      <c r="G409" s="27"/>
      <c r="H409" s="27"/>
      <c r="I409" s="29"/>
      <c r="J409" s="29"/>
      <c r="K409" s="27"/>
      <c r="L409" s="27"/>
      <c r="M409" s="27"/>
      <c r="N409" s="27"/>
      <c r="O409" s="27"/>
      <c r="P409" s="27"/>
      <c r="Q409" s="28"/>
      <c r="R409" s="28"/>
      <c r="S409" s="28"/>
      <c r="T409" s="27"/>
      <c r="U409" s="28"/>
      <c r="V409" s="28"/>
      <c r="W409" s="28"/>
      <c r="X409" s="28"/>
      <c r="Y409" s="28"/>
      <c r="Z409" s="28"/>
      <c r="AA409" s="28"/>
      <c r="AB409" s="27"/>
      <c r="AC409" s="27"/>
      <c r="AD409" s="28"/>
      <c r="AE409" s="28"/>
      <c r="AF409" s="27"/>
      <c r="AG409" s="27"/>
      <c r="AH409" s="27"/>
      <c r="AI409" s="27"/>
      <c r="AJ409" s="27"/>
      <c r="AK409" s="27"/>
      <c r="AL409" s="27"/>
      <c r="AM409" s="27"/>
      <c r="AN409" s="27"/>
      <c r="AO409" s="27"/>
      <c r="AP409" s="27"/>
      <c r="AQ409" s="28"/>
      <c r="AR409" s="28"/>
      <c r="AS409" s="27"/>
      <c r="AT409" s="28"/>
      <c r="AU409" s="27"/>
      <c r="AV409" s="27"/>
      <c r="AW409" s="27"/>
      <c r="AX409" s="27"/>
      <c r="AY409" s="28"/>
      <c r="AZ409" s="28"/>
      <c r="BA409" s="28"/>
      <c r="BB409" s="26"/>
      <c r="BC409" s="27"/>
      <c r="BD409" s="93"/>
      <c r="BE409" s="28"/>
      <c r="BF409" s="28"/>
    </row>
    <row r="410" spans="1:58" ht="20.25" customHeight="1">
      <c r="A410" s="27"/>
      <c r="B410" s="27"/>
      <c r="C410" s="137"/>
      <c r="D410" s="27"/>
      <c r="E410" s="27"/>
      <c r="F410" s="206"/>
      <c r="G410" s="27"/>
      <c r="H410" s="27"/>
      <c r="I410" s="29"/>
      <c r="J410" s="29"/>
      <c r="K410" s="27"/>
      <c r="L410" s="27"/>
      <c r="M410" s="27"/>
      <c r="N410" s="27"/>
      <c r="O410" s="27"/>
      <c r="P410" s="27"/>
      <c r="Q410" s="28"/>
      <c r="R410" s="28"/>
      <c r="S410" s="28"/>
      <c r="T410" s="27"/>
      <c r="U410" s="28"/>
      <c r="V410" s="28"/>
      <c r="W410" s="28"/>
      <c r="X410" s="28"/>
      <c r="Y410" s="28"/>
      <c r="Z410" s="28"/>
      <c r="AA410" s="28"/>
      <c r="AB410" s="27"/>
      <c r="AC410" s="27"/>
      <c r="AD410" s="28"/>
      <c r="AE410" s="28"/>
      <c r="AF410" s="27"/>
      <c r="AG410" s="27"/>
      <c r="AH410" s="27"/>
      <c r="AI410" s="27"/>
      <c r="AJ410" s="27"/>
      <c r="AK410" s="27"/>
      <c r="AL410" s="27"/>
      <c r="AM410" s="27"/>
      <c r="AN410" s="27"/>
      <c r="AO410" s="27"/>
      <c r="AP410" s="27"/>
      <c r="AQ410" s="28"/>
      <c r="AR410" s="28"/>
      <c r="AS410" s="27"/>
      <c r="AT410" s="28"/>
      <c r="AU410" s="27"/>
      <c r="AV410" s="27"/>
      <c r="AW410" s="27"/>
      <c r="AX410" s="27"/>
      <c r="AY410" s="28"/>
      <c r="AZ410" s="28"/>
      <c r="BA410" s="28"/>
      <c r="BB410" s="26"/>
      <c r="BC410" s="27"/>
      <c r="BD410" s="93"/>
      <c r="BE410" s="28"/>
      <c r="BF410" s="28"/>
    </row>
    <row r="411" spans="1:58" ht="20.25" customHeight="1">
      <c r="A411" s="27"/>
      <c r="B411" s="27"/>
      <c r="C411" s="137"/>
      <c r="D411" s="27"/>
      <c r="E411" s="27"/>
      <c r="F411" s="206"/>
      <c r="G411" s="27"/>
      <c r="H411" s="27"/>
      <c r="I411" s="29"/>
      <c r="J411" s="29"/>
      <c r="K411" s="27"/>
      <c r="L411" s="27"/>
      <c r="M411" s="27"/>
      <c r="N411" s="27"/>
      <c r="O411" s="27"/>
      <c r="P411" s="27"/>
      <c r="Q411" s="28"/>
      <c r="R411" s="28"/>
      <c r="S411" s="28"/>
      <c r="T411" s="27"/>
      <c r="U411" s="28"/>
      <c r="V411" s="28"/>
      <c r="W411" s="28"/>
      <c r="X411" s="28"/>
      <c r="Y411" s="28"/>
      <c r="Z411" s="28"/>
      <c r="AA411" s="28"/>
      <c r="AB411" s="27"/>
      <c r="AC411" s="27"/>
      <c r="AD411" s="28"/>
      <c r="AE411" s="28"/>
      <c r="AF411" s="27"/>
      <c r="AG411" s="27"/>
      <c r="AH411" s="27"/>
      <c r="AI411" s="27"/>
      <c r="AJ411" s="27"/>
      <c r="AK411" s="27"/>
      <c r="AL411" s="27"/>
      <c r="AM411" s="27"/>
      <c r="AN411" s="27"/>
      <c r="AO411" s="27"/>
      <c r="AP411" s="27"/>
      <c r="AQ411" s="28"/>
      <c r="AR411" s="28"/>
      <c r="AS411" s="27"/>
      <c r="AT411" s="28"/>
      <c r="AU411" s="27"/>
      <c r="AV411" s="27"/>
      <c r="AW411" s="27"/>
      <c r="AX411" s="27"/>
      <c r="AY411" s="28"/>
      <c r="AZ411" s="28"/>
      <c r="BA411" s="28"/>
      <c r="BB411" s="26"/>
      <c r="BC411" s="27"/>
      <c r="BD411" s="93"/>
      <c r="BE411" s="28"/>
      <c r="BF411" s="28"/>
    </row>
    <row r="412" spans="1:58" ht="20.25" customHeight="1">
      <c r="A412" s="27"/>
      <c r="B412" s="27"/>
      <c r="C412" s="137"/>
      <c r="D412" s="27"/>
      <c r="E412" s="27"/>
      <c r="F412" s="206"/>
      <c r="G412" s="27"/>
      <c r="H412" s="27"/>
      <c r="I412" s="29"/>
      <c r="J412" s="29"/>
      <c r="K412" s="27"/>
      <c r="L412" s="27"/>
      <c r="M412" s="27"/>
      <c r="N412" s="27"/>
      <c r="O412" s="27"/>
      <c r="P412" s="27"/>
      <c r="Q412" s="28"/>
      <c r="R412" s="28"/>
      <c r="S412" s="28"/>
      <c r="T412" s="27"/>
      <c r="U412" s="28"/>
      <c r="V412" s="28"/>
      <c r="W412" s="28"/>
      <c r="X412" s="28"/>
      <c r="Y412" s="28"/>
      <c r="Z412" s="28"/>
      <c r="AA412" s="28"/>
      <c r="AB412" s="27"/>
      <c r="AC412" s="27"/>
      <c r="AD412" s="28"/>
      <c r="AE412" s="28"/>
      <c r="AF412" s="27"/>
      <c r="AG412" s="27"/>
      <c r="AH412" s="27"/>
      <c r="AI412" s="27"/>
      <c r="AJ412" s="27"/>
      <c r="AK412" s="27"/>
      <c r="AL412" s="27"/>
      <c r="AM412" s="27"/>
      <c r="AN412" s="27"/>
      <c r="AO412" s="27"/>
      <c r="AP412" s="27"/>
      <c r="AQ412" s="28"/>
      <c r="AR412" s="28"/>
      <c r="AS412" s="27"/>
      <c r="AT412" s="28"/>
      <c r="AU412" s="27"/>
      <c r="AV412" s="27"/>
      <c r="AW412" s="27"/>
      <c r="AX412" s="27"/>
      <c r="AY412" s="28"/>
      <c r="AZ412" s="28"/>
      <c r="BA412" s="28"/>
      <c r="BB412" s="26"/>
      <c r="BC412" s="27"/>
      <c r="BD412" s="93"/>
      <c r="BE412" s="28"/>
      <c r="BF412" s="28"/>
    </row>
    <row r="413" spans="1:58" ht="20.25" customHeight="1">
      <c r="A413" s="27"/>
      <c r="B413" s="27"/>
      <c r="C413" s="137"/>
      <c r="D413" s="27"/>
      <c r="E413" s="27"/>
      <c r="F413" s="206"/>
      <c r="G413" s="27"/>
      <c r="H413" s="27"/>
      <c r="I413" s="29"/>
      <c r="J413" s="29"/>
      <c r="K413" s="27"/>
      <c r="L413" s="27"/>
      <c r="M413" s="27"/>
      <c r="N413" s="27"/>
      <c r="O413" s="27"/>
      <c r="P413" s="27"/>
      <c r="Q413" s="28"/>
      <c r="R413" s="28"/>
      <c r="S413" s="28"/>
      <c r="T413" s="27"/>
      <c r="U413" s="28"/>
      <c r="V413" s="28"/>
      <c r="W413" s="28"/>
      <c r="X413" s="28"/>
      <c r="Y413" s="28"/>
      <c r="Z413" s="28"/>
      <c r="AA413" s="28"/>
      <c r="AB413" s="27"/>
      <c r="AC413" s="27"/>
      <c r="AD413" s="28"/>
      <c r="AE413" s="28"/>
      <c r="AF413" s="27"/>
      <c r="AG413" s="27"/>
      <c r="AH413" s="27"/>
      <c r="AI413" s="27"/>
      <c r="AJ413" s="27"/>
      <c r="AK413" s="27"/>
      <c r="AL413" s="27"/>
      <c r="AM413" s="27"/>
      <c r="AN413" s="27"/>
      <c r="AO413" s="27"/>
      <c r="AP413" s="27"/>
      <c r="AQ413" s="28"/>
      <c r="AR413" s="28"/>
      <c r="AS413" s="27"/>
      <c r="AT413" s="28"/>
      <c r="AU413" s="27"/>
      <c r="AV413" s="27"/>
      <c r="AW413" s="27"/>
      <c r="AX413" s="27"/>
      <c r="AY413" s="28"/>
      <c r="AZ413" s="28"/>
      <c r="BA413" s="28"/>
      <c r="BB413" s="26"/>
      <c r="BC413" s="27"/>
      <c r="BD413" s="93"/>
      <c r="BE413" s="28"/>
      <c r="BF413" s="28"/>
    </row>
    <row r="414" spans="1:58" ht="20.25" customHeight="1">
      <c r="A414" s="27"/>
      <c r="B414" s="27"/>
      <c r="C414" s="137"/>
      <c r="D414" s="27"/>
      <c r="E414" s="27"/>
      <c r="F414" s="206"/>
      <c r="G414" s="27"/>
      <c r="H414" s="27"/>
      <c r="I414" s="29"/>
      <c r="J414" s="29"/>
      <c r="K414" s="27"/>
      <c r="L414" s="27"/>
      <c r="M414" s="27"/>
      <c r="N414" s="27"/>
      <c r="O414" s="27"/>
      <c r="P414" s="27"/>
      <c r="Q414" s="28"/>
      <c r="R414" s="28"/>
      <c r="S414" s="28"/>
      <c r="T414" s="27"/>
      <c r="U414" s="28"/>
      <c r="V414" s="28"/>
      <c r="W414" s="28"/>
      <c r="X414" s="28"/>
      <c r="Y414" s="28"/>
      <c r="Z414" s="28"/>
      <c r="AA414" s="28"/>
      <c r="AB414" s="27"/>
      <c r="AC414" s="27"/>
      <c r="AD414" s="28"/>
      <c r="AE414" s="28"/>
      <c r="AF414" s="27"/>
      <c r="AG414" s="27"/>
      <c r="AH414" s="27"/>
      <c r="AI414" s="27"/>
      <c r="AJ414" s="27"/>
      <c r="AK414" s="27"/>
      <c r="AL414" s="27"/>
      <c r="AM414" s="27"/>
      <c r="AN414" s="27"/>
      <c r="AO414" s="27"/>
      <c r="AP414" s="27"/>
      <c r="AQ414" s="28"/>
      <c r="AR414" s="28"/>
      <c r="AS414" s="27"/>
      <c r="AT414" s="28"/>
      <c r="AU414" s="27"/>
      <c r="AV414" s="27"/>
      <c r="AW414" s="27"/>
      <c r="AX414" s="27"/>
      <c r="AY414" s="28"/>
      <c r="AZ414" s="28"/>
      <c r="BA414" s="28"/>
      <c r="BB414" s="26"/>
      <c r="BC414" s="27"/>
      <c r="BD414" s="93"/>
      <c r="BE414" s="28"/>
      <c r="BF414" s="28"/>
    </row>
    <row r="415" spans="1:58" ht="20.25" customHeight="1">
      <c r="A415" s="27"/>
      <c r="B415" s="27"/>
      <c r="C415" s="137"/>
      <c r="D415" s="27"/>
      <c r="E415" s="27"/>
      <c r="F415" s="206"/>
      <c r="G415" s="27"/>
      <c r="H415" s="27"/>
      <c r="I415" s="29"/>
      <c r="J415" s="29"/>
      <c r="K415" s="27"/>
      <c r="L415" s="27"/>
      <c r="M415" s="27"/>
      <c r="N415" s="27"/>
      <c r="O415" s="27"/>
      <c r="P415" s="27"/>
      <c r="Q415" s="28"/>
      <c r="R415" s="28"/>
      <c r="S415" s="28"/>
      <c r="T415" s="27"/>
      <c r="U415" s="28"/>
      <c r="V415" s="28"/>
      <c r="W415" s="28"/>
      <c r="X415" s="28"/>
      <c r="Y415" s="28"/>
      <c r="Z415" s="28"/>
      <c r="AA415" s="28"/>
      <c r="AB415" s="27"/>
      <c r="AC415" s="27"/>
      <c r="AD415" s="28"/>
      <c r="AE415" s="28"/>
      <c r="AF415" s="27"/>
      <c r="AG415" s="27"/>
      <c r="AH415" s="27"/>
      <c r="AI415" s="27"/>
      <c r="AJ415" s="27"/>
      <c r="AK415" s="27"/>
      <c r="AL415" s="27"/>
      <c r="AM415" s="27"/>
      <c r="AN415" s="27"/>
      <c r="AO415" s="27"/>
      <c r="AP415" s="27"/>
      <c r="AQ415" s="28"/>
      <c r="AR415" s="28"/>
      <c r="AS415" s="27"/>
      <c r="AT415" s="28"/>
      <c r="AU415" s="27"/>
      <c r="AV415" s="27"/>
      <c r="AW415" s="27"/>
      <c r="AX415" s="27"/>
      <c r="AY415" s="28"/>
      <c r="AZ415" s="28"/>
      <c r="BA415" s="28"/>
      <c r="BB415" s="26"/>
      <c r="BC415" s="27"/>
      <c r="BD415" s="93"/>
      <c r="BE415" s="28"/>
      <c r="BF415" s="28"/>
    </row>
    <row r="416" spans="1:58" ht="20.25" customHeight="1">
      <c r="A416" s="27"/>
      <c r="B416" s="27"/>
      <c r="C416" s="137"/>
      <c r="D416" s="27"/>
      <c r="E416" s="27"/>
      <c r="F416" s="206"/>
      <c r="G416" s="27"/>
      <c r="H416" s="27"/>
      <c r="I416" s="29"/>
      <c r="J416" s="29"/>
      <c r="K416" s="27"/>
      <c r="L416" s="27"/>
      <c r="M416" s="27"/>
      <c r="N416" s="27"/>
      <c r="O416" s="27"/>
      <c r="P416" s="27"/>
      <c r="Q416" s="28"/>
      <c r="R416" s="28"/>
      <c r="S416" s="28"/>
      <c r="T416" s="27"/>
      <c r="U416" s="28"/>
      <c r="V416" s="28"/>
      <c r="W416" s="28"/>
      <c r="X416" s="28"/>
      <c r="Y416" s="28"/>
      <c r="Z416" s="28"/>
      <c r="AA416" s="28"/>
      <c r="AB416" s="27"/>
      <c r="AC416" s="27"/>
      <c r="AD416" s="28"/>
      <c r="AE416" s="28"/>
      <c r="AF416" s="27"/>
      <c r="AG416" s="27"/>
      <c r="AH416" s="27"/>
      <c r="AI416" s="27"/>
      <c r="AJ416" s="27"/>
      <c r="AK416" s="27"/>
      <c r="AL416" s="27"/>
      <c r="AM416" s="27"/>
      <c r="AN416" s="27"/>
      <c r="AO416" s="27"/>
      <c r="AP416" s="27"/>
      <c r="AQ416" s="28"/>
      <c r="AR416" s="28"/>
      <c r="AS416" s="27"/>
      <c r="AT416" s="28"/>
      <c r="AU416" s="27"/>
      <c r="AV416" s="27"/>
      <c r="AW416" s="27"/>
      <c r="AX416" s="27"/>
      <c r="AY416" s="28"/>
      <c r="AZ416" s="28"/>
      <c r="BA416" s="28"/>
      <c r="BB416" s="26"/>
      <c r="BC416" s="27"/>
      <c r="BD416" s="93"/>
      <c r="BE416" s="28"/>
      <c r="BF416" s="28"/>
    </row>
    <row r="417" spans="1:58" ht="20.25" customHeight="1">
      <c r="A417" s="27"/>
      <c r="B417" s="27"/>
      <c r="C417" s="137"/>
      <c r="D417" s="27"/>
      <c r="E417" s="27"/>
      <c r="F417" s="206"/>
      <c r="G417" s="27"/>
      <c r="H417" s="27"/>
      <c r="I417" s="29"/>
      <c r="J417" s="29"/>
      <c r="K417" s="27"/>
      <c r="L417" s="27"/>
      <c r="M417" s="27"/>
      <c r="N417" s="27"/>
      <c r="O417" s="27"/>
      <c r="P417" s="27"/>
      <c r="Q417" s="28"/>
      <c r="R417" s="28"/>
      <c r="S417" s="28"/>
      <c r="T417" s="27"/>
      <c r="U417" s="28"/>
      <c r="V417" s="28"/>
      <c r="W417" s="28"/>
      <c r="X417" s="28"/>
      <c r="Y417" s="28"/>
      <c r="Z417" s="28"/>
      <c r="AA417" s="28"/>
      <c r="AB417" s="27"/>
      <c r="AC417" s="27"/>
      <c r="AD417" s="28"/>
      <c r="AE417" s="28"/>
      <c r="AF417" s="27"/>
      <c r="AG417" s="27"/>
      <c r="AH417" s="27"/>
      <c r="AI417" s="27"/>
      <c r="AJ417" s="27"/>
      <c r="AK417" s="27"/>
      <c r="AL417" s="27"/>
      <c r="AM417" s="27"/>
      <c r="AN417" s="27"/>
      <c r="AO417" s="27"/>
      <c r="AP417" s="27"/>
      <c r="AQ417" s="28"/>
      <c r="AR417" s="28"/>
      <c r="AS417" s="27"/>
      <c r="AT417" s="28"/>
      <c r="AU417" s="27"/>
      <c r="AV417" s="27"/>
      <c r="AW417" s="27"/>
      <c r="AX417" s="27"/>
      <c r="AY417" s="28"/>
      <c r="AZ417" s="28"/>
      <c r="BA417" s="28"/>
      <c r="BB417" s="26"/>
      <c r="BC417" s="27"/>
      <c r="BD417" s="93"/>
      <c r="BE417" s="28"/>
      <c r="BF417" s="28"/>
    </row>
    <row r="418" spans="1:58" ht="20.25" customHeight="1">
      <c r="A418" s="27"/>
      <c r="B418" s="27"/>
      <c r="C418" s="137"/>
      <c r="D418" s="27"/>
      <c r="E418" s="27"/>
      <c r="F418" s="206"/>
      <c r="G418" s="27"/>
      <c r="H418" s="27"/>
      <c r="I418" s="29"/>
      <c r="J418" s="29"/>
      <c r="K418" s="27"/>
      <c r="L418" s="27"/>
      <c r="M418" s="27"/>
      <c r="N418" s="27"/>
      <c r="O418" s="27"/>
      <c r="P418" s="27"/>
      <c r="Q418" s="28"/>
      <c r="R418" s="28"/>
      <c r="S418" s="28"/>
      <c r="T418" s="27"/>
      <c r="U418" s="28"/>
      <c r="V418" s="28"/>
      <c r="W418" s="28"/>
      <c r="X418" s="28"/>
      <c r="Y418" s="28"/>
      <c r="Z418" s="28"/>
      <c r="AA418" s="28"/>
      <c r="AB418" s="27"/>
      <c r="AC418" s="27"/>
      <c r="AD418" s="28"/>
      <c r="AE418" s="28"/>
      <c r="AF418" s="27"/>
      <c r="AG418" s="27"/>
      <c r="AH418" s="27"/>
      <c r="AI418" s="27"/>
      <c r="AJ418" s="27"/>
      <c r="AK418" s="27"/>
      <c r="AL418" s="27"/>
      <c r="AM418" s="27"/>
      <c r="AN418" s="27"/>
      <c r="AO418" s="27"/>
      <c r="AP418" s="27"/>
      <c r="AQ418" s="28"/>
      <c r="AR418" s="28"/>
      <c r="AS418" s="27"/>
      <c r="AT418" s="28"/>
      <c r="AU418" s="27"/>
      <c r="AV418" s="27"/>
      <c r="AW418" s="27"/>
      <c r="AX418" s="27"/>
      <c r="AY418" s="28"/>
      <c r="AZ418" s="28"/>
      <c r="BA418" s="28"/>
      <c r="BB418" s="26"/>
      <c r="BC418" s="27"/>
      <c r="BD418" s="93"/>
      <c r="BE418" s="28"/>
      <c r="BF418" s="28"/>
    </row>
    <row r="419" spans="1:58" ht="20.25" customHeight="1">
      <c r="A419" s="27"/>
      <c r="B419" s="27"/>
      <c r="C419" s="137"/>
      <c r="D419" s="27"/>
      <c r="E419" s="27"/>
      <c r="F419" s="206"/>
      <c r="G419" s="27"/>
      <c r="H419" s="27"/>
      <c r="I419" s="29"/>
      <c r="J419" s="29"/>
      <c r="K419" s="27"/>
      <c r="L419" s="27"/>
      <c r="M419" s="27"/>
      <c r="N419" s="27"/>
      <c r="O419" s="27"/>
      <c r="P419" s="27"/>
      <c r="Q419" s="28"/>
      <c r="R419" s="28"/>
      <c r="S419" s="28"/>
      <c r="T419" s="27"/>
      <c r="U419" s="28"/>
      <c r="V419" s="28"/>
      <c r="W419" s="28"/>
      <c r="X419" s="28"/>
      <c r="Y419" s="28"/>
      <c r="Z419" s="28"/>
      <c r="AA419" s="28"/>
      <c r="AB419" s="27"/>
      <c r="AC419" s="27"/>
      <c r="AD419" s="28"/>
      <c r="AE419" s="28"/>
      <c r="AF419" s="27"/>
      <c r="AG419" s="27"/>
      <c r="AH419" s="27"/>
      <c r="AI419" s="27"/>
      <c r="AJ419" s="27"/>
      <c r="AK419" s="27"/>
      <c r="AL419" s="27"/>
      <c r="AM419" s="27"/>
      <c r="AN419" s="27"/>
      <c r="AO419" s="27"/>
      <c r="AP419" s="27"/>
      <c r="AQ419" s="28"/>
      <c r="AR419" s="28"/>
      <c r="AS419" s="27"/>
      <c r="AT419" s="28"/>
      <c r="AU419" s="27"/>
      <c r="AV419" s="27"/>
      <c r="AW419" s="27"/>
      <c r="AX419" s="27"/>
      <c r="AY419" s="28"/>
      <c r="AZ419" s="28"/>
      <c r="BA419" s="28"/>
      <c r="BB419" s="26"/>
      <c r="BC419" s="27"/>
      <c r="BD419" s="93"/>
      <c r="BE419" s="28"/>
      <c r="BF419" s="28"/>
    </row>
    <row r="420" spans="1:58" ht="20.25" customHeight="1">
      <c r="A420" s="27"/>
      <c r="B420" s="27"/>
      <c r="C420" s="137"/>
      <c r="D420" s="27"/>
      <c r="E420" s="27"/>
      <c r="F420" s="206"/>
      <c r="G420" s="27"/>
      <c r="H420" s="27"/>
      <c r="I420" s="29"/>
      <c r="J420" s="29"/>
      <c r="K420" s="27"/>
      <c r="L420" s="27"/>
      <c r="M420" s="27"/>
      <c r="N420" s="27"/>
      <c r="O420" s="27"/>
      <c r="P420" s="27"/>
      <c r="Q420" s="28"/>
      <c r="R420" s="28"/>
      <c r="S420" s="28"/>
      <c r="T420" s="27"/>
      <c r="U420" s="28"/>
      <c r="V420" s="28"/>
      <c r="W420" s="28"/>
      <c r="X420" s="28"/>
      <c r="Y420" s="28"/>
      <c r="Z420" s="28"/>
      <c r="AA420" s="28"/>
      <c r="AB420" s="27"/>
      <c r="AC420" s="27"/>
      <c r="AD420" s="28"/>
      <c r="AE420" s="28"/>
      <c r="AF420" s="27"/>
      <c r="AG420" s="27"/>
      <c r="AH420" s="27"/>
      <c r="AI420" s="27"/>
      <c r="AJ420" s="27"/>
      <c r="AK420" s="27"/>
      <c r="AL420" s="27"/>
      <c r="AM420" s="27"/>
      <c r="AN420" s="27"/>
      <c r="AO420" s="27"/>
      <c r="AP420" s="27"/>
      <c r="AQ420" s="28"/>
      <c r="AR420" s="28"/>
      <c r="AS420" s="27"/>
      <c r="AT420" s="28"/>
      <c r="AU420" s="27"/>
      <c r="AV420" s="27"/>
      <c r="AW420" s="27"/>
      <c r="AX420" s="27"/>
      <c r="AY420" s="28"/>
      <c r="AZ420" s="28"/>
      <c r="BA420" s="28"/>
      <c r="BB420" s="26"/>
      <c r="BC420" s="27"/>
      <c r="BD420" s="93"/>
      <c r="BE420" s="28"/>
      <c r="BF420" s="28"/>
    </row>
    <row r="421" spans="1:58" ht="20.25" customHeight="1">
      <c r="A421" s="27"/>
      <c r="B421" s="27"/>
      <c r="C421" s="137"/>
      <c r="D421" s="27"/>
      <c r="E421" s="27"/>
      <c r="F421" s="206"/>
      <c r="G421" s="27"/>
      <c r="H421" s="27"/>
      <c r="I421" s="29"/>
      <c r="J421" s="29"/>
      <c r="K421" s="27"/>
      <c r="L421" s="27"/>
      <c r="M421" s="27"/>
      <c r="N421" s="27"/>
      <c r="O421" s="27"/>
      <c r="P421" s="27"/>
      <c r="Q421" s="28"/>
      <c r="R421" s="28"/>
      <c r="S421" s="28"/>
      <c r="T421" s="27"/>
      <c r="U421" s="28"/>
      <c r="V421" s="28"/>
      <c r="W421" s="28"/>
      <c r="X421" s="28"/>
      <c r="Y421" s="28"/>
      <c r="Z421" s="28"/>
      <c r="AA421" s="28"/>
      <c r="AB421" s="27"/>
      <c r="AC421" s="27"/>
      <c r="AD421" s="28"/>
      <c r="AE421" s="28"/>
      <c r="AF421" s="27"/>
      <c r="AG421" s="27"/>
      <c r="AH421" s="27"/>
      <c r="AI421" s="27"/>
      <c r="AJ421" s="27"/>
      <c r="AK421" s="27"/>
      <c r="AL421" s="27"/>
      <c r="AM421" s="27"/>
      <c r="AN421" s="27"/>
      <c r="AO421" s="27"/>
      <c r="AP421" s="27"/>
      <c r="AQ421" s="28"/>
      <c r="AR421" s="28"/>
      <c r="AS421" s="27"/>
      <c r="AT421" s="28"/>
      <c r="AU421" s="27"/>
      <c r="AV421" s="27"/>
      <c r="AW421" s="27"/>
      <c r="AX421" s="27"/>
      <c r="AY421" s="28"/>
      <c r="AZ421" s="28"/>
      <c r="BA421" s="28"/>
      <c r="BB421" s="26"/>
      <c r="BC421" s="27"/>
      <c r="BD421" s="93"/>
      <c r="BE421" s="28"/>
      <c r="BF421" s="28"/>
    </row>
    <row r="422" spans="1:58" ht="20.25" customHeight="1">
      <c r="A422" s="27"/>
      <c r="B422" s="27"/>
      <c r="C422" s="137"/>
      <c r="D422" s="27"/>
      <c r="E422" s="27"/>
      <c r="F422" s="206"/>
      <c r="G422" s="27"/>
      <c r="H422" s="27"/>
      <c r="I422" s="29"/>
      <c r="J422" s="29"/>
      <c r="K422" s="27"/>
      <c r="L422" s="27"/>
      <c r="M422" s="27"/>
      <c r="N422" s="27"/>
      <c r="O422" s="27"/>
      <c r="P422" s="27"/>
      <c r="Q422" s="28"/>
      <c r="R422" s="28"/>
      <c r="S422" s="28"/>
      <c r="T422" s="27"/>
      <c r="U422" s="28"/>
      <c r="V422" s="28"/>
      <c r="W422" s="28"/>
      <c r="X422" s="28"/>
      <c r="Y422" s="28"/>
      <c r="Z422" s="28"/>
      <c r="AA422" s="28"/>
      <c r="AB422" s="27"/>
      <c r="AC422" s="27"/>
      <c r="AD422" s="28"/>
      <c r="AE422" s="28"/>
      <c r="AF422" s="27"/>
      <c r="AG422" s="27"/>
      <c r="AH422" s="27"/>
      <c r="AI422" s="27"/>
      <c r="AJ422" s="27"/>
      <c r="AK422" s="27"/>
      <c r="AL422" s="27"/>
      <c r="AM422" s="27"/>
      <c r="AN422" s="27"/>
      <c r="AO422" s="27"/>
      <c r="AP422" s="27"/>
      <c r="AQ422" s="28"/>
      <c r="AR422" s="28"/>
      <c r="AS422" s="27"/>
      <c r="AT422" s="28"/>
      <c r="AU422" s="27"/>
      <c r="AV422" s="27"/>
      <c r="AW422" s="27"/>
      <c r="AX422" s="27"/>
      <c r="AY422" s="28"/>
      <c r="AZ422" s="28"/>
      <c r="BA422" s="28"/>
      <c r="BB422" s="26"/>
      <c r="BC422" s="27"/>
      <c r="BD422" s="93"/>
      <c r="BE422" s="28"/>
      <c r="BF422" s="28"/>
    </row>
    <row r="423" spans="1:58" ht="20.25" customHeight="1">
      <c r="A423" s="27"/>
      <c r="B423" s="27"/>
      <c r="C423" s="137"/>
      <c r="D423" s="27"/>
      <c r="E423" s="27"/>
      <c r="F423" s="206"/>
      <c r="G423" s="27"/>
      <c r="H423" s="27"/>
      <c r="I423" s="29"/>
      <c r="J423" s="29"/>
      <c r="K423" s="27"/>
      <c r="L423" s="27"/>
      <c r="M423" s="27"/>
      <c r="N423" s="27"/>
      <c r="O423" s="27"/>
      <c r="P423" s="27"/>
      <c r="Q423" s="28"/>
      <c r="R423" s="28"/>
      <c r="S423" s="28"/>
      <c r="T423" s="27"/>
      <c r="U423" s="28"/>
      <c r="V423" s="28"/>
      <c r="W423" s="28"/>
      <c r="X423" s="28"/>
      <c r="Y423" s="28"/>
      <c r="Z423" s="28"/>
      <c r="AA423" s="28"/>
      <c r="AB423" s="27"/>
      <c r="AC423" s="27"/>
      <c r="AD423" s="28"/>
      <c r="AE423" s="28"/>
      <c r="AF423" s="27"/>
      <c r="AG423" s="27"/>
      <c r="AH423" s="27"/>
      <c r="AI423" s="27"/>
      <c r="AJ423" s="27"/>
      <c r="AK423" s="27"/>
      <c r="AL423" s="27"/>
      <c r="AM423" s="27"/>
      <c r="AN423" s="27"/>
      <c r="AO423" s="27"/>
      <c r="AP423" s="27"/>
      <c r="AQ423" s="28"/>
      <c r="AR423" s="28"/>
      <c r="AS423" s="27"/>
      <c r="AT423" s="28"/>
      <c r="AU423" s="27"/>
      <c r="AV423" s="27"/>
      <c r="AW423" s="27"/>
      <c r="AX423" s="27"/>
      <c r="AY423" s="28"/>
      <c r="AZ423" s="28"/>
      <c r="BA423" s="28"/>
      <c r="BB423" s="26"/>
      <c r="BC423" s="27"/>
      <c r="BD423" s="93"/>
      <c r="BE423" s="28"/>
      <c r="BF423" s="28"/>
    </row>
    <row r="424" spans="1:58" ht="20.25" customHeight="1">
      <c r="A424" s="27"/>
      <c r="B424" s="27"/>
      <c r="C424" s="137"/>
      <c r="D424" s="27"/>
      <c r="E424" s="27"/>
      <c r="F424" s="206"/>
      <c r="G424" s="27"/>
      <c r="H424" s="27"/>
      <c r="I424" s="29"/>
      <c r="J424" s="29"/>
      <c r="K424" s="27"/>
      <c r="L424" s="27"/>
      <c r="M424" s="27"/>
      <c r="N424" s="27"/>
      <c r="O424" s="27"/>
      <c r="P424" s="27"/>
      <c r="Q424" s="28"/>
      <c r="R424" s="28"/>
      <c r="S424" s="28"/>
      <c r="T424" s="27"/>
      <c r="U424" s="28"/>
      <c r="V424" s="28"/>
      <c r="W424" s="28"/>
      <c r="X424" s="28"/>
      <c r="Y424" s="28"/>
      <c r="Z424" s="28"/>
      <c r="AA424" s="28"/>
      <c r="AB424" s="27"/>
      <c r="AC424" s="27"/>
      <c r="AD424" s="28"/>
      <c r="AE424" s="28"/>
      <c r="AF424" s="27"/>
      <c r="AG424" s="27"/>
      <c r="AH424" s="27"/>
      <c r="AI424" s="27"/>
      <c r="AJ424" s="27"/>
      <c r="AK424" s="27"/>
      <c r="AL424" s="27"/>
      <c r="AM424" s="27"/>
      <c r="AN424" s="27"/>
      <c r="AO424" s="27"/>
      <c r="AP424" s="27"/>
      <c r="AQ424" s="28"/>
      <c r="AR424" s="28"/>
      <c r="AS424" s="27"/>
      <c r="AT424" s="28"/>
      <c r="AU424" s="27"/>
      <c r="AV424" s="27"/>
      <c r="AW424" s="27"/>
      <c r="AX424" s="27"/>
      <c r="AY424" s="28"/>
      <c r="AZ424" s="28"/>
      <c r="BA424" s="28"/>
      <c r="BB424" s="26"/>
      <c r="BC424" s="27"/>
      <c r="BD424" s="93"/>
      <c r="BE424" s="28"/>
      <c r="BF424" s="28"/>
    </row>
    <row r="425" spans="1:58" ht="20.25" customHeight="1">
      <c r="A425" s="27"/>
      <c r="B425" s="27"/>
      <c r="C425" s="137"/>
      <c r="D425" s="27"/>
      <c r="E425" s="27"/>
      <c r="F425" s="206"/>
      <c r="G425" s="27"/>
      <c r="H425" s="27"/>
      <c r="I425" s="29"/>
      <c r="J425" s="29"/>
      <c r="K425" s="27"/>
      <c r="L425" s="27"/>
      <c r="M425" s="27"/>
      <c r="N425" s="27"/>
      <c r="O425" s="27"/>
      <c r="P425" s="27"/>
      <c r="Q425" s="28"/>
      <c r="R425" s="28"/>
      <c r="S425" s="28"/>
      <c r="T425" s="27"/>
      <c r="U425" s="28"/>
      <c r="V425" s="28"/>
      <c r="W425" s="28"/>
      <c r="X425" s="28"/>
      <c r="Y425" s="28"/>
      <c r="Z425" s="28"/>
      <c r="AA425" s="28"/>
      <c r="AB425" s="27"/>
      <c r="AC425" s="27"/>
      <c r="AD425" s="28"/>
      <c r="AE425" s="28"/>
      <c r="AF425" s="27"/>
      <c r="AG425" s="27"/>
      <c r="AH425" s="27"/>
      <c r="AI425" s="27"/>
      <c r="AJ425" s="27"/>
      <c r="AK425" s="27"/>
      <c r="AL425" s="27"/>
      <c r="AM425" s="27"/>
      <c r="AN425" s="27"/>
      <c r="AO425" s="27"/>
      <c r="AP425" s="27"/>
      <c r="AQ425" s="28"/>
      <c r="AR425" s="28"/>
      <c r="AS425" s="27"/>
      <c r="AT425" s="28"/>
      <c r="AU425" s="27"/>
      <c r="AV425" s="27"/>
      <c r="AW425" s="27"/>
      <c r="AX425" s="27"/>
      <c r="AY425" s="28"/>
      <c r="AZ425" s="28"/>
      <c r="BA425" s="28"/>
      <c r="BB425" s="26"/>
      <c r="BC425" s="27"/>
      <c r="BD425" s="93"/>
      <c r="BE425" s="28"/>
      <c r="BF425" s="28"/>
    </row>
    <row r="426" spans="1:58" ht="20.25" customHeight="1">
      <c r="A426" s="27"/>
      <c r="B426" s="27"/>
      <c r="C426" s="137"/>
      <c r="D426" s="27"/>
      <c r="E426" s="27"/>
      <c r="F426" s="206"/>
      <c r="G426" s="27"/>
      <c r="H426" s="27"/>
      <c r="I426" s="29"/>
      <c r="J426" s="29"/>
      <c r="K426" s="27"/>
      <c r="L426" s="27"/>
      <c r="M426" s="27"/>
      <c r="N426" s="27"/>
      <c r="O426" s="27"/>
      <c r="P426" s="27"/>
      <c r="Q426" s="28"/>
      <c r="R426" s="28"/>
      <c r="S426" s="28"/>
      <c r="T426" s="27"/>
      <c r="U426" s="28"/>
      <c r="V426" s="28"/>
      <c r="W426" s="28"/>
      <c r="X426" s="28"/>
      <c r="Y426" s="28"/>
      <c r="Z426" s="28"/>
      <c r="AA426" s="28"/>
      <c r="AB426" s="27"/>
      <c r="AC426" s="27"/>
      <c r="AD426" s="28"/>
      <c r="AE426" s="28"/>
      <c r="AF426" s="27"/>
      <c r="AG426" s="27"/>
      <c r="AH426" s="27"/>
      <c r="AI426" s="27"/>
      <c r="AJ426" s="27"/>
      <c r="AK426" s="27"/>
      <c r="AL426" s="27"/>
      <c r="AM426" s="27"/>
      <c r="AN426" s="27"/>
      <c r="AO426" s="27"/>
      <c r="AP426" s="27"/>
      <c r="AQ426" s="28"/>
      <c r="AR426" s="28"/>
      <c r="AS426" s="27"/>
      <c r="AT426" s="28"/>
      <c r="AU426" s="27"/>
      <c r="AV426" s="27"/>
      <c r="AW426" s="27"/>
      <c r="AX426" s="27"/>
      <c r="AY426" s="28"/>
      <c r="AZ426" s="28"/>
      <c r="BA426" s="28"/>
      <c r="BB426" s="26"/>
      <c r="BC426" s="27"/>
      <c r="BD426" s="93"/>
      <c r="BE426" s="28"/>
      <c r="BF426" s="28"/>
    </row>
    <row r="427" spans="1:58" ht="20.25" customHeight="1">
      <c r="A427" s="27"/>
      <c r="B427" s="27"/>
      <c r="C427" s="137"/>
      <c r="D427" s="27"/>
      <c r="E427" s="27"/>
      <c r="F427" s="206"/>
      <c r="G427" s="27"/>
      <c r="H427" s="27"/>
      <c r="I427" s="29"/>
      <c r="J427" s="29"/>
      <c r="K427" s="27"/>
      <c r="L427" s="27"/>
      <c r="M427" s="27"/>
      <c r="N427" s="27"/>
      <c r="O427" s="27"/>
      <c r="P427" s="27"/>
      <c r="Q427" s="28"/>
      <c r="R427" s="28"/>
      <c r="S427" s="28"/>
      <c r="T427" s="27"/>
      <c r="U427" s="28"/>
      <c r="V427" s="28"/>
      <c r="W427" s="28"/>
      <c r="X427" s="28"/>
      <c r="Y427" s="28"/>
      <c r="Z427" s="28"/>
      <c r="AA427" s="28"/>
      <c r="AB427" s="27"/>
      <c r="AC427" s="27"/>
      <c r="AD427" s="28"/>
      <c r="AE427" s="28"/>
      <c r="AF427" s="27"/>
      <c r="AG427" s="27"/>
      <c r="AH427" s="27"/>
      <c r="AI427" s="27"/>
      <c r="AJ427" s="27"/>
      <c r="AK427" s="27"/>
      <c r="AL427" s="27"/>
      <c r="AM427" s="27"/>
      <c r="AN427" s="27"/>
      <c r="AO427" s="27"/>
      <c r="AP427" s="27"/>
      <c r="AQ427" s="28"/>
      <c r="AR427" s="28"/>
      <c r="AS427" s="27"/>
      <c r="AT427" s="28"/>
      <c r="AU427" s="27"/>
      <c r="AV427" s="27"/>
      <c r="AW427" s="27"/>
      <c r="AX427" s="27"/>
      <c r="AY427" s="28"/>
      <c r="AZ427" s="28"/>
      <c r="BA427" s="28"/>
      <c r="BB427" s="26"/>
      <c r="BC427" s="27"/>
      <c r="BD427" s="93"/>
      <c r="BE427" s="28"/>
      <c r="BF427" s="28"/>
    </row>
    <row r="428" spans="1:58" ht="20.25" customHeight="1">
      <c r="A428" s="27"/>
      <c r="B428" s="27"/>
      <c r="C428" s="137"/>
      <c r="D428" s="27"/>
      <c r="E428" s="27"/>
      <c r="F428" s="206"/>
      <c r="G428" s="27"/>
      <c r="H428" s="27"/>
      <c r="I428" s="29"/>
      <c r="J428" s="29"/>
      <c r="K428" s="27"/>
      <c r="L428" s="27"/>
      <c r="M428" s="27"/>
      <c r="N428" s="27"/>
      <c r="O428" s="27"/>
      <c r="P428" s="27"/>
      <c r="Q428" s="28"/>
      <c r="R428" s="28"/>
      <c r="S428" s="28"/>
      <c r="T428" s="27"/>
      <c r="U428" s="28"/>
      <c r="V428" s="28"/>
      <c r="W428" s="28"/>
      <c r="X428" s="28"/>
      <c r="Y428" s="28"/>
      <c r="Z428" s="28"/>
      <c r="AA428" s="28"/>
      <c r="AB428" s="27"/>
      <c r="AC428" s="27"/>
      <c r="AD428" s="28"/>
      <c r="AE428" s="28"/>
      <c r="AF428" s="27"/>
      <c r="AG428" s="27"/>
      <c r="AH428" s="27"/>
      <c r="AI428" s="27"/>
      <c r="AJ428" s="27"/>
      <c r="AK428" s="27"/>
      <c r="AL428" s="27"/>
      <c r="AM428" s="27"/>
      <c r="AN428" s="27"/>
      <c r="AO428" s="27"/>
      <c r="AP428" s="27"/>
      <c r="AQ428" s="28"/>
      <c r="AR428" s="28"/>
      <c r="AS428" s="27"/>
      <c r="AT428" s="28"/>
      <c r="AU428" s="27"/>
      <c r="AV428" s="27"/>
      <c r="AW428" s="27"/>
      <c r="AX428" s="27"/>
      <c r="AY428" s="28"/>
      <c r="AZ428" s="28"/>
      <c r="BA428" s="28"/>
      <c r="BB428" s="26"/>
      <c r="BC428" s="27"/>
      <c r="BD428" s="93"/>
      <c r="BE428" s="28"/>
      <c r="BF428" s="28"/>
    </row>
    <row r="429" spans="1:58" ht="20.25" customHeight="1">
      <c r="A429" s="27"/>
      <c r="B429" s="27"/>
      <c r="C429" s="137"/>
      <c r="D429" s="27"/>
      <c r="E429" s="27"/>
      <c r="F429" s="206"/>
      <c r="G429" s="27"/>
      <c r="H429" s="27"/>
      <c r="I429" s="29"/>
      <c r="J429" s="29"/>
      <c r="K429" s="27"/>
      <c r="L429" s="27"/>
      <c r="M429" s="27"/>
      <c r="N429" s="27"/>
      <c r="O429" s="27"/>
      <c r="P429" s="27"/>
      <c r="Q429" s="28"/>
      <c r="R429" s="28"/>
      <c r="S429" s="28"/>
      <c r="T429" s="27"/>
      <c r="U429" s="28"/>
      <c r="V429" s="28"/>
      <c r="W429" s="28"/>
      <c r="X429" s="28"/>
      <c r="Y429" s="28"/>
      <c r="Z429" s="28"/>
      <c r="AA429" s="28"/>
      <c r="AB429" s="27"/>
      <c r="AC429" s="27"/>
      <c r="AD429" s="28"/>
      <c r="AE429" s="28"/>
      <c r="AF429" s="27"/>
      <c r="AG429" s="27"/>
      <c r="AH429" s="27"/>
      <c r="AI429" s="27"/>
      <c r="AJ429" s="27"/>
      <c r="AK429" s="27"/>
      <c r="AL429" s="27"/>
      <c r="AM429" s="27"/>
      <c r="AN429" s="27"/>
      <c r="AO429" s="27"/>
      <c r="AP429" s="27"/>
      <c r="AQ429" s="28"/>
      <c r="AR429" s="28"/>
      <c r="AS429" s="27"/>
      <c r="AT429" s="28"/>
      <c r="AU429" s="27"/>
      <c r="AV429" s="27"/>
      <c r="AW429" s="27"/>
      <c r="AX429" s="27"/>
      <c r="AY429" s="28"/>
      <c r="AZ429" s="28"/>
      <c r="BA429" s="28"/>
      <c r="BB429" s="26"/>
      <c r="BC429" s="27"/>
      <c r="BD429" s="93"/>
      <c r="BE429" s="28"/>
      <c r="BF429" s="28"/>
    </row>
    <row r="430" spans="1:58" ht="20.25" customHeight="1">
      <c r="A430" s="27"/>
      <c r="B430" s="27"/>
      <c r="C430" s="137"/>
      <c r="D430" s="27"/>
      <c r="E430" s="27"/>
      <c r="F430" s="206"/>
      <c r="G430" s="27"/>
      <c r="H430" s="27"/>
      <c r="I430" s="29"/>
      <c r="J430" s="29"/>
      <c r="K430" s="27"/>
      <c r="L430" s="27"/>
      <c r="M430" s="27"/>
      <c r="N430" s="27"/>
      <c r="O430" s="27"/>
      <c r="P430" s="27"/>
      <c r="Q430" s="28"/>
      <c r="R430" s="28"/>
      <c r="S430" s="28"/>
      <c r="T430" s="27"/>
      <c r="U430" s="28"/>
      <c r="V430" s="28"/>
      <c r="W430" s="28"/>
      <c r="X430" s="28"/>
      <c r="Y430" s="28"/>
      <c r="Z430" s="28"/>
      <c r="AA430" s="28"/>
      <c r="AB430" s="27"/>
      <c r="AC430" s="27"/>
      <c r="AD430" s="28"/>
      <c r="AE430" s="28"/>
      <c r="AF430" s="27"/>
      <c r="AG430" s="27"/>
      <c r="AH430" s="27"/>
      <c r="AI430" s="27"/>
      <c r="AJ430" s="27"/>
      <c r="AK430" s="27"/>
      <c r="AL430" s="27"/>
      <c r="AM430" s="27"/>
      <c r="AN430" s="27"/>
      <c r="AO430" s="27"/>
      <c r="AP430" s="27"/>
      <c r="AQ430" s="28"/>
      <c r="AR430" s="28"/>
      <c r="AS430" s="27"/>
      <c r="AT430" s="28"/>
      <c r="AU430" s="27"/>
      <c r="AV430" s="27"/>
      <c r="AW430" s="27"/>
      <c r="AX430" s="27"/>
      <c r="AY430" s="28"/>
      <c r="AZ430" s="28"/>
      <c r="BA430" s="28"/>
      <c r="BB430" s="26"/>
      <c r="BC430" s="27"/>
      <c r="BD430" s="93"/>
      <c r="BE430" s="28"/>
      <c r="BF430" s="28"/>
    </row>
    <row r="431" spans="1:58" ht="20.25" customHeight="1">
      <c r="A431" s="27"/>
      <c r="B431" s="27"/>
      <c r="C431" s="137"/>
      <c r="D431" s="27"/>
      <c r="E431" s="27"/>
      <c r="F431" s="206"/>
      <c r="G431" s="27"/>
      <c r="H431" s="27"/>
      <c r="I431" s="29"/>
      <c r="J431" s="29"/>
      <c r="K431" s="27"/>
      <c r="L431" s="27"/>
      <c r="M431" s="27"/>
      <c r="N431" s="27"/>
      <c r="O431" s="27"/>
      <c r="P431" s="27"/>
      <c r="Q431" s="28"/>
      <c r="R431" s="28"/>
      <c r="S431" s="28"/>
      <c r="T431" s="27"/>
      <c r="U431" s="28"/>
      <c r="V431" s="28"/>
      <c r="W431" s="28"/>
      <c r="X431" s="28"/>
      <c r="Y431" s="28"/>
      <c r="Z431" s="28"/>
      <c r="AA431" s="28"/>
      <c r="AB431" s="27"/>
      <c r="AC431" s="27"/>
      <c r="AD431" s="28"/>
      <c r="AE431" s="28"/>
      <c r="AF431" s="27"/>
      <c r="AG431" s="27"/>
      <c r="AH431" s="27"/>
      <c r="AI431" s="27"/>
      <c r="AJ431" s="27"/>
      <c r="AK431" s="27"/>
      <c r="AL431" s="27"/>
      <c r="AM431" s="27"/>
      <c r="AN431" s="27"/>
      <c r="AO431" s="27"/>
      <c r="AP431" s="27"/>
      <c r="AQ431" s="28"/>
      <c r="AR431" s="28"/>
      <c r="AS431" s="27"/>
      <c r="AT431" s="28"/>
      <c r="AU431" s="27"/>
      <c r="AV431" s="27"/>
      <c r="AW431" s="27"/>
      <c r="AX431" s="27"/>
      <c r="AY431" s="28"/>
      <c r="AZ431" s="28"/>
      <c r="BA431" s="28"/>
      <c r="BB431" s="26"/>
      <c r="BC431" s="27"/>
      <c r="BD431" s="93"/>
      <c r="BE431" s="28"/>
      <c r="BF431" s="28"/>
    </row>
    <row r="432" spans="1:58" ht="20.25" customHeight="1">
      <c r="A432" s="27"/>
      <c r="B432" s="27"/>
      <c r="C432" s="137"/>
      <c r="D432" s="27"/>
      <c r="E432" s="27"/>
      <c r="F432" s="206"/>
      <c r="G432" s="27"/>
      <c r="H432" s="27"/>
      <c r="I432" s="29"/>
      <c r="J432" s="29"/>
      <c r="K432" s="27"/>
      <c r="L432" s="27"/>
      <c r="M432" s="27"/>
      <c r="N432" s="27"/>
      <c r="O432" s="27"/>
      <c r="P432" s="27"/>
      <c r="Q432" s="28"/>
      <c r="R432" s="28"/>
      <c r="S432" s="28"/>
      <c r="T432" s="27"/>
      <c r="U432" s="28"/>
      <c r="V432" s="28"/>
      <c r="W432" s="28"/>
      <c r="X432" s="28"/>
      <c r="Y432" s="28"/>
      <c r="Z432" s="28"/>
      <c r="AA432" s="28"/>
      <c r="AB432" s="27"/>
      <c r="AC432" s="27"/>
      <c r="AD432" s="28"/>
      <c r="AE432" s="28"/>
      <c r="AF432" s="27"/>
      <c r="AG432" s="27"/>
      <c r="AH432" s="27"/>
      <c r="AI432" s="27"/>
      <c r="AJ432" s="27"/>
      <c r="AK432" s="27"/>
      <c r="AL432" s="27"/>
      <c r="AM432" s="27"/>
      <c r="AN432" s="27"/>
      <c r="AO432" s="27"/>
      <c r="AP432" s="27"/>
      <c r="AQ432" s="28"/>
      <c r="AR432" s="28"/>
      <c r="AS432" s="27"/>
      <c r="AT432" s="28"/>
      <c r="AU432" s="27"/>
      <c r="AV432" s="27"/>
      <c r="AW432" s="27"/>
      <c r="AX432" s="27"/>
      <c r="AY432" s="28"/>
      <c r="AZ432" s="28"/>
      <c r="BA432" s="28"/>
      <c r="BB432" s="26"/>
      <c r="BC432" s="27"/>
      <c r="BD432" s="93"/>
      <c r="BE432" s="28"/>
      <c r="BF432" s="28"/>
    </row>
    <row r="433" spans="1:58" ht="20.25" customHeight="1">
      <c r="A433" s="27"/>
      <c r="B433" s="27"/>
      <c r="C433" s="137"/>
      <c r="D433" s="27"/>
      <c r="E433" s="27"/>
      <c r="F433" s="206"/>
      <c r="G433" s="27"/>
      <c r="H433" s="27"/>
      <c r="I433" s="29"/>
      <c r="J433" s="29"/>
      <c r="K433" s="27"/>
      <c r="L433" s="27"/>
      <c r="M433" s="27"/>
      <c r="N433" s="27"/>
      <c r="O433" s="27"/>
      <c r="P433" s="27"/>
      <c r="Q433" s="28"/>
      <c r="R433" s="28"/>
      <c r="S433" s="28"/>
      <c r="T433" s="27"/>
      <c r="U433" s="28"/>
      <c r="V433" s="28"/>
      <c r="W433" s="28"/>
      <c r="X433" s="28"/>
      <c r="Y433" s="28"/>
      <c r="Z433" s="28"/>
      <c r="AA433" s="28"/>
      <c r="AB433" s="27"/>
      <c r="AC433" s="27"/>
      <c r="AD433" s="28"/>
      <c r="AE433" s="28"/>
      <c r="AF433" s="27"/>
      <c r="AG433" s="27"/>
      <c r="AH433" s="27"/>
      <c r="AI433" s="27"/>
      <c r="AJ433" s="27"/>
      <c r="AK433" s="27"/>
      <c r="AL433" s="27"/>
      <c r="AM433" s="27"/>
      <c r="AN433" s="27"/>
      <c r="AO433" s="27"/>
      <c r="AP433" s="27"/>
      <c r="AQ433" s="28"/>
      <c r="AR433" s="28"/>
      <c r="AS433" s="27"/>
      <c r="AT433" s="28"/>
      <c r="AU433" s="27"/>
      <c r="AV433" s="27"/>
      <c r="AW433" s="27"/>
      <c r="AX433" s="27"/>
      <c r="AY433" s="28"/>
      <c r="AZ433" s="28"/>
      <c r="BA433" s="28"/>
      <c r="BB433" s="26"/>
      <c r="BC433" s="27"/>
      <c r="BD433" s="93"/>
      <c r="BE433" s="28"/>
      <c r="BF433" s="28"/>
    </row>
    <row r="434" spans="1:58" ht="20.25" customHeight="1">
      <c r="A434" s="27"/>
      <c r="B434" s="27"/>
      <c r="C434" s="137"/>
      <c r="D434" s="27"/>
      <c r="E434" s="27"/>
      <c r="F434" s="206"/>
      <c r="G434" s="27"/>
      <c r="H434" s="27"/>
      <c r="I434" s="29"/>
      <c r="J434" s="29"/>
      <c r="K434" s="27"/>
      <c r="L434" s="27"/>
      <c r="M434" s="27"/>
      <c r="N434" s="27"/>
      <c r="O434" s="27"/>
      <c r="P434" s="27"/>
      <c r="Q434" s="28"/>
      <c r="R434" s="28"/>
      <c r="S434" s="28"/>
      <c r="T434" s="27"/>
      <c r="U434" s="28"/>
      <c r="V434" s="28"/>
      <c r="W434" s="28"/>
      <c r="X434" s="28"/>
      <c r="Y434" s="28"/>
      <c r="Z434" s="28"/>
      <c r="AA434" s="28"/>
      <c r="AB434" s="27"/>
      <c r="AC434" s="27"/>
      <c r="AD434" s="28"/>
      <c r="AE434" s="28"/>
      <c r="AF434" s="27"/>
      <c r="AG434" s="27"/>
      <c r="AH434" s="27"/>
      <c r="AI434" s="27"/>
      <c r="AJ434" s="27"/>
      <c r="AK434" s="27"/>
      <c r="AL434" s="27"/>
      <c r="AM434" s="27"/>
      <c r="AN434" s="27"/>
      <c r="AO434" s="27"/>
      <c r="AP434" s="27"/>
      <c r="AQ434" s="28"/>
      <c r="AR434" s="28"/>
      <c r="AS434" s="27"/>
      <c r="AT434" s="28"/>
      <c r="AU434" s="27"/>
      <c r="AV434" s="27"/>
      <c r="AW434" s="27"/>
      <c r="AX434" s="27"/>
      <c r="AY434" s="28"/>
      <c r="AZ434" s="28"/>
      <c r="BA434" s="28"/>
      <c r="BB434" s="26"/>
      <c r="BC434" s="27"/>
      <c r="BD434" s="93"/>
      <c r="BE434" s="28"/>
      <c r="BF434" s="28"/>
    </row>
    <row r="435" spans="1:58" ht="20.25" customHeight="1">
      <c r="A435" s="27"/>
      <c r="B435" s="27"/>
      <c r="C435" s="137"/>
      <c r="D435" s="27"/>
      <c r="E435" s="27"/>
      <c r="F435" s="206"/>
      <c r="G435" s="27"/>
      <c r="H435" s="27"/>
      <c r="I435" s="29"/>
      <c r="J435" s="29"/>
      <c r="K435" s="27"/>
      <c r="L435" s="27"/>
      <c r="M435" s="27"/>
      <c r="N435" s="27"/>
      <c r="O435" s="27"/>
      <c r="P435" s="27"/>
      <c r="Q435" s="28"/>
      <c r="R435" s="28"/>
      <c r="S435" s="28"/>
      <c r="T435" s="27"/>
      <c r="U435" s="28"/>
      <c r="V435" s="28"/>
      <c r="W435" s="28"/>
      <c r="X435" s="28"/>
      <c r="Y435" s="28"/>
      <c r="Z435" s="28"/>
      <c r="AA435" s="28"/>
      <c r="AB435" s="27"/>
      <c r="AC435" s="27"/>
      <c r="AD435" s="28"/>
      <c r="AE435" s="28"/>
      <c r="AF435" s="27"/>
      <c r="AG435" s="27"/>
      <c r="AH435" s="27"/>
      <c r="AI435" s="27"/>
      <c r="AJ435" s="27"/>
      <c r="AK435" s="27"/>
      <c r="AL435" s="27"/>
      <c r="AM435" s="27"/>
      <c r="AN435" s="27"/>
      <c r="AO435" s="27"/>
      <c r="AP435" s="27"/>
      <c r="AQ435" s="28"/>
      <c r="AR435" s="28"/>
      <c r="AS435" s="27"/>
      <c r="AT435" s="28"/>
      <c r="AU435" s="27"/>
      <c r="AV435" s="27"/>
      <c r="AW435" s="27"/>
      <c r="AX435" s="27"/>
      <c r="AY435" s="28"/>
      <c r="AZ435" s="28"/>
      <c r="BA435" s="28"/>
      <c r="BB435" s="26"/>
      <c r="BC435" s="27"/>
      <c r="BD435" s="93"/>
      <c r="BE435" s="28"/>
      <c r="BF435" s="28"/>
    </row>
    <row r="436" spans="1:58" ht="20.25" customHeight="1">
      <c r="A436" s="27"/>
      <c r="B436" s="27"/>
      <c r="C436" s="137"/>
      <c r="D436" s="27"/>
      <c r="E436" s="27"/>
      <c r="F436" s="206"/>
      <c r="G436" s="27"/>
      <c r="H436" s="27"/>
      <c r="I436" s="29"/>
      <c r="J436" s="29"/>
      <c r="K436" s="27"/>
      <c r="L436" s="27"/>
      <c r="M436" s="27"/>
      <c r="N436" s="27"/>
      <c r="O436" s="27"/>
      <c r="P436" s="27"/>
      <c r="Q436" s="28"/>
      <c r="R436" s="28"/>
      <c r="S436" s="28"/>
      <c r="T436" s="27"/>
      <c r="U436" s="28"/>
      <c r="V436" s="28"/>
      <c r="W436" s="28"/>
      <c r="X436" s="28"/>
      <c r="Y436" s="28"/>
      <c r="Z436" s="28"/>
      <c r="AA436" s="28"/>
      <c r="AB436" s="27"/>
      <c r="AC436" s="27"/>
      <c r="AD436" s="28"/>
      <c r="AE436" s="28"/>
      <c r="AF436" s="27"/>
      <c r="AG436" s="27"/>
      <c r="AH436" s="27"/>
      <c r="AI436" s="27"/>
      <c r="AJ436" s="27"/>
      <c r="AK436" s="27"/>
      <c r="AL436" s="27"/>
      <c r="AM436" s="27"/>
      <c r="AN436" s="27"/>
      <c r="AO436" s="27"/>
      <c r="AP436" s="27"/>
      <c r="AQ436" s="28"/>
      <c r="AR436" s="28"/>
      <c r="AS436" s="27"/>
      <c r="AT436" s="28"/>
      <c r="AU436" s="27"/>
      <c r="AV436" s="27"/>
      <c r="AW436" s="27"/>
      <c r="AX436" s="27"/>
      <c r="AY436" s="28"/>
      <c r="AZ436" s="28"/>
      <c r="BA436" s="28"/>
      <c r="BB436" s="26"/>
      <c r="BC436" s="27"/>
      <c r="BD436" s="93"/>
      <c r="BE436" s="28"/>
      <c r="BF436" s="28"/>
    </row>
    <row r="437" spans="1:58" ht="20.25" customHeight="1">
      <c r="A437" s="27"/>
      <c r="B437" s="27"/>
      <c r="C437" s="137"/>
      <c r="D437" s="27"/>
      <c r="E437" s="27"/>
      <c r="F437" s="206"/>
      <c r="G437" s="27"/>
      <c r="H437" s="27"/>
      <c r="I437" s="29"/>
      <c r="J437" s="29"/>
      <c r="K437" s="27"/>
      <c r="L437" s="27"/>
      <c r="M437" s="27"/>
      <c r="N437" s="27"/>
      <c r="O437" s="27"/>
      <c r="P437" s="27"/>
      <c r="Q437" s="28"/>
      <c r="R437" s="28"/>
      <c r="S437" s="28"/>
      <c r="T437" s="27"/>
      <c r="U437" s="28"/>
      <c r="V437" s="28"/>
      <c r="W437" s="28"/>
      <c r="X437" s="28"/>
      <c r="Y437" s="28"/>
      <c r="Z437" s="28"/>
      <c r="AA437" s="28"/>
      <c r="AB437" s="27"/>
      <c r="AC437" s="27"/>
      <c r="AD437" s="28"/>
      <c r="AE437" s="28"/>
      <c r="AF437" s="27"/>
      <c r="AG437" s="27"/>
      <c r="AH437" s="27"/>
      <c r="AI437" s="27"/>
      <c r="AJ437" s="27"/>
      <c r="AK437" s="27"/>
      <c r="AL437" s="27"/>
      <c r="AM437" s="27"/>
      <c r="AN437" s="27"/>
      <c r="AO437" s="27"/>
      <c r="AP437" s="27"/>
      <c r="AQ437" s="28"/>
      <c r="AR437" s="28"/>
      <c r="AS437" s="27"/>
      <c r="AT437" s="28"/>
      <c r="AU437" s="27"/>
      <c r="AV437" s="27"/>
      <c r="AW437" s="27"/>
      <c r="AX437" s="27"/>
      <c r="AY437" s="28"/>
      <c r="AZ437" s="28"/>
      <c r="BA437" s="28"/>
      <c r="BB437" s="26"/>
      <c r="BC437" s="27"/>
      <c r="BD437" s="93"/>
      <c r="BE437" s="28"/>
      <c r="BF437" s="28"/>
    </row>
    <row r="438" spans="1:58" ht="20.25" customHeight="1">
      <c r="A438" s="27"/>
      <c r="B438" s="27"/>
      <c r="C438" s="137"/>
      <c r="D438" s="27"/>
      <c r="E438" s="27"/>
      <c r="F438" s="206"/>
      <c r="G438" s="27"/>
      <c r="H438" s="27"/>
      <c r="I438" s="29"/>
      <c r="J438" s="29"/>
      <c r="K438" s="27"/>
      <c r="L438" s="27"/>
      <c r="M438" s="27"/>
      <c r="N438" s="27"/>
      <c r="O438" s="27"/>
      <c r="P438" s="27"/>
      <c r="Q438" s="28"/>
      <c r="R438" s="28"/>
      <c r="S438" s="28"/>
      <c r="T438" s="27"/>
      <c r="U438" s="28"/>
      <c r="V438" s="28"/>
      <c r="W438" s="28"/>
      <c r="X438" s="28"/>
      <c r="Y438" s="28"/>
      <c r="Z438" s="28"/>
      <c r="AA438" s="28"/>
      <c r="AB438" s="27"/>
      <c r="AC438" s="27"/>
      <c r="AD438" s="28"/>
      <c r="AE438" s="28"/>
      <c r="AF438" s="27"/>
      <c r="AG438" s="27"/>
      <c r="AH438" s="27"/>
      <c r="AI438" s="27"/>
      <c r="AJ438" s="27"/>
      <c r="AK438" s="27"/>
      <c r="AL438" s="27"/>
      <c r="AM438" s="27"/>
      <c r="AN438" s="27"/>
      <c r="AO438" s="27"/>
      <c r="AP438" s="27"/>
      <c r="AQ438" s="28"/>
      <c r="AR438" s="28"/>
      <c r="AS438" s="27"/>
      <c r="AT438" s="28"/>
      <c r="AU438" s="27"/>
      <c r="AV438" s="27"/>
      <c r="AW438" s="27"/>
      <c r="AX438" s="27"/>
      <c r="AY438" s="28"/>
      <c r="AZ438" s="28"/>
      <c r="BA438" s="28"/>
      <c r="BB438" s="26"/>
      <c r="BC438" s="27"/>
      <c r="BD438" s="93"/>
      <c r="BE438" s="28"/>
      <c r="BF438" s="28"/>
    </row>
    <row r="439" spans="1:58" ht="20.25" customHeight="1">
      <c r="A439" s="27"/>
      <c r="B439" s="27"/>
      <c r="C439" s="137"/>
      <c r="D439" s="27"/>
      <c r="E439" s="27"/>
      <c r="F439" s="206"/>
      <c r="G439" s="27"/>
      <c r="H439" s="27"/>
      <c r="I439" s="29"/>
      <c r="J439" s="29"/>
      <c r="K439" s="27"/>
      <c r="L439" s="27"/>
      <c r="M439" s="27"/>
      <c r="N439" s="27"/>
      <c r="O439" s="27"/>
      <c r="P439" s="27"/>
      <c r="Q439" s="28"/>
      <c r="R439" s="28"/>
      <c r="S439" s="28"/>
      <c r="T439" s="27"/>
      <c r="U439" s="28"/>
      <c r="V439" s="28"/>
      <c r="W439" s="28"/>
      <c r="X439" s="28"/>
      <c r="Y439" s="28"/>
      <c r="Z439" s="28"/>
      <c r="AA439" s="28"/>
      <c r="AB439" s="27"/>
      <c r="AC439" s="27"/>
      <c r="AD439" s="28"/>
      <c r="AE439" s="28"/>
      <c r="AF439" s="27"/>
      <c r="AG439" s="27"/>
      <c r="AH439" s="27"/>
      <c r="AI439" s="27"/>
      <c r="AJ439" s="27"/>
      <c r="AK439" s="27"/>
      <c r="AL439" s="27"/>
      <c r="AM439" s="27"/>
      <c r="AN439" s="27"/>
      <c r="AO439" s="27"/>
      <c r="AP439" s="27"/>
      <c r="AQ439" s="28"/>
      <c r="AR439" s="28"/>
      <c r="AS439" s="27"/>
      <c r="AT439" s="28"/>
      <c r="AU439" s="27"/>
      <c r="AV439" s="27"/>
      <c r="AW439" s="27"/>
      <c r="AX439" s="27"/>
      <c r="AY439" s="28"/>
      <c r="AZ439" s="28"/>
      <c r="BA439" s="28"/>
      <c r="BB439" s="26"/>
      <c r="BC439" s="27"/>
      <c r="BD439" s="93"/>
      <c r="BE439" s="28"/>
      <c r="BF439" s="28"/>
    </row>
    <row r="440" spans="1:58" ht="20.25" customHeight="1">
      <c r="A440" s="27"/>
      <c r="B440" s="27"/>
      <c r="C440" s="137"/>
      <c r="D440" s="27"/>
      <c r="E440" s="27"/>
      <c r="F440" s="206"/>
      <c r="G440" s="27"/>
      <c r="H440" s="27"/>
      <c r="I440" s="29"/>
      <c r="J440" s="29"/>
      <c r="K440" s="27"/>
      <c r="L440" s="27"/>
      <c r="M440" s="27"/>
      <c r="N440" s="27"/>
      <c r="O440" s="27"/>
      <c r="P440" s="27"/>
      <c r="Q440" s="28"/>
      <c r="R440" s="28"/>
      <c r="S440" s="28"/>
      <c r="T440" s="27"/>
      <c r="U440" s="28"/>
      <c r="V440" s="28"/>
      <c r="W440" s="28"/>
      <c r="X440" s="28"/>
      <c r="Y440" s="28"/>
      <c r="Z440" s="28"/>
      <c r="AA440" s="28"/>
      <c r="AB440" s="27"/>
      <c r="AC440" s="27"/>
      <c r="AD440" s="28"/>
      <c r="AE440" s="28"/>
      <c r="AF440" s="27"/>
      <c r="AG440" s="27"/>
      <c r="AH440" s="27"/>
      <c r="AI440" s="27"/>
      <c r="AJ440" s="27"/>
      <c r="AK440" s="27"/>
      <c r="AL440" s="27"/>
      <c r="AM440" s="27"/>
      <c r="AN440" s="27"/>
      <c r="AO440" s="27"/>
      <c r="AP440" s="27"/>
      <c r="AQ440" s="28"/>
      <c r="AR440" s="28"/>
      <c r="AS440" s="27"/>
      <c r="AT440" s="28"/>
      <c r="AU440" s="27"/>
      <c r="AV440" s="27"/>
      <c r="AW440" s="27"/>
      <c r="AX440" s="27"/>
      <c r="AY440" s="28"/>
      <c r="AZ440" s="28"/>
      <c r="BA440" s="28"/>
      <c r="BB440" s="26"/>
      <c r="BC440" s="27"/>
      <c r="BD440" s="93"/>
      <c r="BE440" s="28"/>
      <c r="BF440" s="28"/>
    </row>
    <row r="441" spans="1:58" ht="20.25" customHeight="1">
      <c r="A441" s="27"/>
      <c r="B441" s="27"/>
      <c r="C441" s="137"/>
      <c r="D441" s="27"/>
      <c r="E441" s="27"/>
      <c r="F441" s="206"/>
      <c r="G441" s="27"/>
      <c r="H441" s="27"/>
      <c r="I441" s="29"/>
      <c r="J441" s="29"/>
      <c r="K441" s="27"/>
      <c r="L441" s="27"/>
      <c r="M441" s="27"/>
      <c r="N441" s="27"/>
      <c r="O441" s="27"/>
      <c r="P441" s="27"/>
      <c r="Q441" s="28"/>
      <c r="R441" s="28"/>
      <c r="S441" s="28"/>
      <c r="T441" s="27"/>
      <c r="U441" s="28"/>
      <c r="V441" s="28"/>
      <c r="W441" s="28"/>
      <c r="X441" s="28"/>
      <c r="Y441" s="28"/>
      <c r="Z441" s="28"/>
      <c r="AA441" s="28"/>
      <c r="AB441" s="27"/>
      <c r="AC441" s="27"/>
      <c r="AD441" s="28"/>
      <c r="AE441" s="28"/>
      <c r="AF441" s="27"/>
      <c r="AG441" s="27"/>
      <c r="AH441" s="27"/>
      <c r="AI441" s="27"/>
      <c r="AJ441" s="27"/>
      <c r="AK441" s="27"/>
      <c r="AL441" s="27"/>
      <c r="AM441" s="27"/>
      <c r="AN441" s="27"/>
      <c r="AO441" s="27"/>
      <c r="AP441" s="27"/>
      <c r="AQ441" s="28"/>
      <c r="AR441" s="28"/>
      <c r="AS441" s="27"/>
      <c r="AT441" s="28"/>
      <c r="AU441" s="27"/>
      <c r="AV441" s="27"/>
      <c r="AW441" s="27"/>
      <c r="AX441" s="27"/>
      <c r="AY441" s="28"/>
      <c r="AZ441" s="28"/>
      <c r="BA441" s="28"/>
      <c r="BB441" s="26"/>
      <c r="BC441" s="27"/>
      <c r="BD441" s="93"/>
      <c r="BE441" s="28"/>
      <c r="BF441" s="28"/>
    </row>
    <row r="442" spans="1:58" ht="20.25" customHeight="1">
      <c r="A442" s="27"/>
      <c r="B442" s="27"/>
      <c r="C442" s="137"/>
      <c r="D442" s="27"/>
      <c r="E442" s="27"/>
      <c r="F442" s="206"/>
      <c r="G442" s="27"/>
      <c r="H442" s="27"/>
      <c r="I442" s="29"/>
      <c r="J442" s="29"/>
      <c r="K442" s="27"/>
      <c r="L442" s="27"/>
      <c r="M442" s="27"/>
      <c r="N442" s="27"/>
      <c r="O442" s="27"/>
      <c r="P442" s="27"/>
      <c r="Q442" s="28"/>
      <c r="R442" s="28"/>
      <c r="S442" s="28"/>
      <c r="T442" s="27"/>
      <c r="U442" s="28"/>
      <c r="V442" s="28"/>
      <c r="W442" s="28"/>
      <c r="X442" s="28"/>
      <c r="Y442" s="28"/>
      <c r="Z442" s="28"/>
      <c r="AA442" s="28"/>
      <c r="AB442" s="27"/>
      <c r="AC442" s="27"/>
      <c r="AD442" s="28"/>
      <c r="AE442" s="28"/>
      <c r="AF442" s="27"/>
      <c r="AG442" s="27"/>
      <c r="AH442" s="27"/>
      <c r="AI442" s="27"/>
      <c r="AJ442" s="27"/>
      <c r="AK442" s="27"/>
      <c r="AL442" s="27"/>
      <c r="AM442" s="27"/>
      <c r="AN442" s="27"/>
      <c r="AO442" s="27"/>
      <c r="AP442" s="27"/>
      <c r="AQ442" s="28"/>
      <c r="AR442" s="28"/>
      <c r="AS442" s="27"/>
      <c r="AT442" s="28"/>
      <c r="AU442" s="27"/>
      <c r="AV442" s="27"/>
      <c r="AW442" s="27"/>
      <c r="AX442" s="27"/>
      <c r="AY442" s="28"/>
      <c r="AZ442" s="28"/>
      <c r="BA442" s="28"/>
      <c r="BB442" s="26"/>
      <c r="BC442" s="27"/>
      <c r="BD442" s="93"/>
      <c r="BE442" s="28"/>
      <c r="BF442" s="28"/>
    </row>
    <row r="443" spans="1:58" ht="20.25" customHeight="1">
      <c r="A443" s="27"/>
      <c r="B443" s="27"/>
      <c r="C443" s="137"/>
      <c r="D443" s="27"/>
      <c r="E443" s="27"/>
      <c r="F443" s="206"/>
      <c r="G443" s="27"/>
      <c r="H443" s="27"/>
      <c r="I443" s="29"/>
      <c r="J443" s="29"/>
      <c r="K443" s="27"/>
      <c r="L443" s="27"/>
      <c r="M443" s="27"/>
      <c r="N443" s="27"/>
      <c r="O443" s="27"/>
      <c r="P443" s="27"/>
      <c r="Q443" s="28"/>
      <c r="R443" s="28"/>
      <c r="S443" s="28"/>
      <c r="T443" s="27"/>
      <c r="U443" s="28"/>
      <c r="V443" s="28"/>
      <c r="W443" s="28"/>
      <c r="X443" s="28"/>
      <c r="Y443" s="28"/>
      <c r="Z443" s="28"/>
      <c r="AA443" s="28"/>
      <c r="AB443" s="27"/>
      <c r="AC443" s="27"/>
      <c r="AD443" s="28"/>
      <c r="AE443" s="28"/>
      <c r="AF443" s="27"/>
      <c r="AG443" s="27"/>
      <c r="AH443" s="27"/>
      <c r="AI443" s="27"/>
      <c r="AJ443" s="27"/>
      <c r="AK443" s="27"/>
      <c r="AL443" s="27"/>
      <c r="AM443" s="27"/>
      <c r="AN443" s="27"/>
      <c r="AO443" s="27"/>
      <c r="AP443" s="27"/>
      <c r="AQ443" s="28"/>
      <c r="AR443" s="28"/>
      <c r="AS443" s="27"/>
      <c r="AT443" s="28"/>
      <c r="AU443" s="27"/>
      <c r="AV443" s="27"/>
      <c r="AW443" s="27"/>
      <c r="AX443" s="27"/>
      <c r="AY443" s="28"/>
      <c r="AZ443" s="28"/>
      <c r="BA443" s="28"/>
      <c r="BB443" s="26"/>
      <c r="BC443" s="27"/>
      <c r="BD443" s="93"/>
      <c r="BE443" s="28"/>
      <c r="BF443" s="28"/>
    </row>
    <row r="444" spans="1:58" ht="20.25" customHeight="1">
      <c r="A444" s="27"/>
      <c r="B444" s="27"/>
      <c r="C444" s="137"/>
      <c r="D444" s="27"/>
      <c r="E444" s="27"/>
      <c r="F444" s="206"/>
      <c r="G444" s="27"/>
      <c r="H444" s="27"/>
      <c r="I444" s="29"/>
      <c r="J444" s="29"/>
      <c r="K444" s="27"/>
      <c r="L444" s="27"/>
      <c r="M444" s="27"/>
      <c r="N444" s="27"/>
      <c r="O444" s="27"/>
      <c r="P444" s="27"/>
      <c r="Q444" s="28"/>
      <c r="R444" s="28"/>
      <c r="S444" s="28"/>
      <c r="T444" s="27"/>
      <c r="U444" s="28"/>
      <c r="V444" s="28"/>
      <c r="W444" s="28"/>
      <c r="X444" s="28"/>
      <c r="Y444" s="28"/>
      <c r="Z444" s="28"/>
      <c r="AA444" s="28"/>
      <c r="AB444" s="27"/>
      <c r="AC444" s="27"/>
      <c r="AD444" s="28"/>
      <c r="AE444" s="28"/>
      <c r="AF444" s="27"/>
      <c r="AG444" s="27"/>
      <c r="AH444" s="27"/>
      <c r="AI444" s="27"/>
      <c r="AJ444" s="27"/>
      <c r="AK444" s="27"/>
      <c r="AL444" s="27"/>
      <c r="AM444" s="27"/>
      <c r="AN444" s="27"/>
      <c r="AO444" s="27"/>
      <c r="AP444" s="27"/>
      <c r="AQ444" s="28"/>
      <c r="AR444" s="28"/>
      <c r="AS444" s="27"/>
      <c r="AT444" s="28"/>
      <c r="AU444" s="27"/>
      <c r="AV444" s="27"/>
      <c r="AW444" s="27"/>
      <c r="AX444" s="27"/>
      <c r="AY444" s="28"/>
      <c r="AZ444" s="28"/>
      <c r="BA444" s="28"/>
      <c r="BB444" s="26"/>
      <c r="BC444" s="27"/>
      <c r="BD444" s="93"/>
      <c r="BE444" s="28"/>
      <c r="BF444" s="28"/>
    </row>
    <row r="445" spans="1:58" ht="20.25" customHeight="1">
      <c r="A445" s="27"/>
      <c r="B445" s="27"/>
      <c r="C445" s="137"/>
      <c r="D445" s="27"/>
      <c r="E445" s="27"/>
      <c r="F445" s="206"/>
      <c r="G445" s="27"/>
      <c r="H445" s="27"/>
      <c r="I445" s="29"/>
      <c r="J445" s="29"/>
      <c r="K445" s="27"/>
      <c r="L445" s="27"/>
      <c r="M445" s="27"/>
      <c r="N445" s="27"/>
      <c r="O445" s="27"/>
      <c r="P445" s="27"/>
      <c r="Q445" s="28"/>
      <c r="R445" s="28"/>
      <c r="S445" s="28"/>
      <c r="T445" s="27"/>
      <c r="U445" s="28"/>
      <c r="V445" s="28"/>
      <c r="W445" s="28"/>
      <c r="X445" s="28"/>
      <c r="Y445" s="28"/>
      <c r="Z445" s="28"/>
      <c r="AA445" s="28"/>
      <c r="AB445" s="27"/>
      <c r="AC445" s="27"/>
      <c r="AD445" s="28"/>
      <c r="AE445" s="28"/>
      <c r="AF445" s="27"/>
      <c r="AG445" s="27"/>
      <c r="AH445" s="27"/>
      <c r="AI445" s="27"/>
      <c r="AJ445" s="27"/>
      <c r="AK445" s="27"/>
      <c r="AL445" s="27"/>
      <c r="AM445" s="27"/>
      <c r="AN445" s="27"/>
      <c r="AO445" s="27"/>
      <c r="AP445" s="27"/>
      <c r="AQ445" s="28"/>
      <c r="AR445" s="28"/>
      <c r="AS445" s="27"/>
      <c r="AT445" s="28"/>
      <c r="AU445" s="27"/>
      <c r="AV445" s="27"/>
      <c r="AW445" s="27"/>
      <c r="AX445" s="27"/>
      <c r="AY445" s="28"/>
      <c r="AZ445" s="28"/>
      <c r="BA445" s="28"/>
      <c r="BB445" s="26"/>
      <c r="BC445" s="27"/>
      <c r="BD445" s="93"/>
      <c r="BE445" s="28"/>
      <c r="BF445" s="28"/>
    </row>
    <row r="446" spans="1:58" ht="20.25" customHeight="1">
      <c r="A446" s="27"/>
      <c r="B446" s="27"/>
      <c r="C446" s="137"/>
      <c r="D446" s="27"/>
      <c r="E446" s="27"/>
      <c r="F446" s="206"/>
      <c r="G446" s="27"/>
      <c r="H446" s="27"/>
      <c r="I446" s="29"/>
      <c r="J446" s="29"/>
      <c r="K446" s="27"/>
      <c r="L446" s="27"/>
      <c r="M446" s="27"/>
      <c r="N446" s="27"/>
      <c r="O446" s="27"/>
      <c r="P446" s="27"/>
      <c r="Q446" s="28"/>
      <c r="R446" s="28"/>
      <c r="S446" s="28"/>
      <c r="T446" s="27"/>
      <c r="U446" s="28"/>
      <c r="V446" s="28"/>
      <c r="W446" s="28"/>
      <c r="X446" s="28"/>
      <c r="Y446" s="28"/>
      <c r="Z446" s="28"/>
      <c r="AA446" s="28"/>
      <c r="AB446" s="27"/>
      <c r="AC446" s="27"/>
      <c r="AD446" s="28"/>
      <c r="AE446" s="28"/>
      <c r="AF446" s="27"/>
      <c r="AG446" s="27"/>
      <c r="AH446" s="27"/>
      <c r="AI446" s="27"/>
      <c r="AJ446" s="27"/>
      <c r="AK446" s="27"/>
      <c r="AL446" s="27"/>
      <c r="AM446" s="27"/>
      <c r="AN446" s="27"/>
      <c r="AO446" s="27"/>
      <c r="AP446" s="27"/>
      <c r="AQ446" s="28"/>
      <c r="AR446" s="28"/>
      <c r="AS446" s="27"/>
      <c r="AT446" s="28"/>
      <c r="AU446" s="27"/>
      <c r="AV446" s="27"/>
      <c r="AW446" s="27"/>
      <c r="AX446" s="27"/>
      <c r="AY446" s="28"/>
      <c r="AZ446" s="28"/>
      <c r="BA446" s="28"/>
      <c r="BB446" s="26"/>
      <c r="BC446" s="27"/>
      <c r="BD446" s="93"/>
      <c r="BE446" s="28"/>
      <c r="BF446" s="28"/>
    </row>
    <row r="447" spans="1:58" ht="20.25" customHeight="1">
      <c r="A447" s="27"/>
      <c r="B447" s="27"/>
      <c r="C447" s="137"/>
      <c r="D447" s="27"/>
      <c r="E447" s="27"/>
      <c r="F447" s="206"/>
      <c r="G447" s="27"/>
      <c r="H447" s="27"/>
      <c r="I447" s="29"/>
      <c r="J447" s="29"/>
      <c r="K447" s="27"/>
      <c r="L447" s="27"/>
      <c r="M447" s="27"/>
      <c r="N447" s="27"/>
      <c r="O447" s="27"/>
      <c r="P447" s="27"/>
      <c r="Q447" s="28"/>
      <c r="R447" s="28"/>
      <c r="S447" s="28"/>
      <c r="T447" s="27"/>
      <c r="U447" s="28"/>
      <c r="V447" s="28"/>
      <c r="W447" s="28"/>
      <c r="X447" s="28"/>
      <c r="Y447" s="28"/>
      <c r="Z447" s="28"/>
      <c r="AA447" s="28"/>
      <c r="AB447" s="27"/>
      <c r="AC447" s="27"/>
      <c r="AD447" s="28"/>
      <c r="AE447" s="28"/>
      <c r="AF447" s="27"/>
      <c r="AG447" s="27"/>
      <c r="AH447" s="27"/>
      <c r="AI447" s="27"/>
      <c r="AJ447" s="27"/>
      <c r="AK447" s="27"/>
      <c r="AL447" s="27"/>
      <c r="AM447" s="27"/>
      <c r="AN447" s="27"/>
      <c r="AO447" s="27"/>
      <c r="AP447" s="27"/>
      <c r="AQ447" s="28"/>
      <c r="AR447" s="28"/>
      <c r="AS447" s="27"/>
      <c r="AT447" s="28"/>
      <c r="AU447" s="27"/>
      <c r="AV447" s="27"/>
      <c r="AW447" s="27"/>
      <c r="AX447" s="27"/>
      <c r="AY447" s="28"/>
      <c r="AZ447" s="28"/>
      <c r="BA447" s="28"/>
      <c r="BB447" s="26"/>
      <c r="BC447" s="27"/>
      <c r="BD447" s="93"/>
      <c r="BE447" s="28"/>
      <c r="BF447" s="28"/>
    </row>
    <row r="448" spans="1:58" ht="20.25" customHeight="1">
      <c r="A448" s="27"/>
      <c r="B448" s="27"/>
      <c r="C448" s="137"/>
      <c r="D448" s="27"/>
      <c r="E448" s="27"/>
      <c r="F448" s="206"/>
      <c r="G448" s="27"/>
      <c r="H448" s="27"/>
      <c r="I448" s="29"/>
      <c r="J448" s="29"/>
      <c r="K448" s="27"/>
      <c r="L448" s="27"/>
      <c r="M448" s="27"/>
      <c r="N448" s="27"/>
      <c r="O448" s="27"/>
      <c r="P448" s="27"/>
      <c r="Q448" s="28"/>
      <c r="R448" s="28"/>
      <c r="S448" s="28"/>
      <c r="T448" s="27"/>
      <c r="U448" s="28"/>
      <c r="V448" s="28"/>
      <c r="W448" s="28"/>
      <c r="X448" s="28"/>
      <c r="Y448" s="28"/>
      <c r="Z448" s="28"/>
      <c r="AA448" s="28"/>
      <c r="AB448" s="27"/>
      <c r="AC448" s="27"/>
      <c r="AD448" s="28"/>
      <c r="AE448" s="28"/>
      <c r="AF448" s="27"/>
      <c r="AG448" s="27"/>
      <c r="AH448" s="27"/>
      <c r="AI448" s="27"/>
      <c r="AJ448" s="27"/>
      <c r="AK448" s="27"/>
      <c r="AL448" s="27"/>
      <c r="AM448" s="27"/>
      <c r="AN448" s="27"/>
      <c r="AO448" s="27"/>
      <c r="AP448" s="27"/>
      <c r="AQ448" s="28"/>
      <c r="AR448" s="28"/>
      <c r="AS448" s="27"/>
      <c r="AT448" s="28"/>
      <c r="AU448" s="27"/>
      <c r="AV448" s="27"/>
      <c r="AW448" s="27"/>
      <c r="AX448" s="27"/>
      <c r="AY448" s="28"/>
      <c r="AZ448" s="28"/>
      <c r="BA448" s="28"/>
      <c r="BB448" s="26"/>
      <c r="BC448" s="27"/>
      <c r="BD448" s="93"/>
      <c r="BE448" s="28"/>
      <c r="BF448" s="28"/>
    </row>
    <row r="449" spans="1:58" ht="20.25" customHeight="1">
      <c r="A449" s="27"/>
      <c r="B449" s="27"/>
      <c r="C449" s="137"/>
      <c r="D449" s="27"/>
      <c r="E449" s="27"/>
      <c r="F449" s="206"/>
      <c r="G449" s="27"/>
      <c r="H449" s="27"/>
      <c r="I449" s="29"/>
      <c r="J449" s="29"/>
      <c r="K449" s="27"/>
      <c r="L449" s="27"/>
      <c r="M449" s="27"/>
      <c r="N449" s="27"/>
      <c r="O449" s="27"/>
      <c r="P449" s="27"/>
      <c r="Q449" s="28"/>
      <c r="R449" s="28"/>
      <c r="S449" s="28"/>
      <c r="T449" s="27"/>
      <c r="U449" s="28"/>
      <c r="V449" s="28"/>
      <c r="W449" s="28"/>
      <c r="X449" s="28"/>
      <c r="Y449" s="28"/>
      <c r="Z449" s="28"/>
      <c r="AA449" s="28"/>
      <c r="AB449" s="27"/>
      <c r="AC449" s="27"/>
      <c r="AD449" s="28"/>
      <c r="AE449" s="28"/>
      <c r="AF449" s="27"/>
      <c r="AG449" s="27"/>
      <c r="AH449" s="27"/>
      <c r="AI449" s="27"/>
      <c r="AJ449" s="27"/>
      <c r="AK449" s="27"/>
      <c r="AL449" s="27"/>
      <c r="AM449" s="27"/>
      <c r="AN449" s="27"/>
      <c r="AO449" s="27"/>
      <c r="AP449" s="27"/>
      <c r="AQ449" s="28"/>
      <c r="AR449" s="28"/>
      <c r="AS449" s="27"/>
      <c r="AT449" s="28"/>
      <c r="AU449" s="27"/>
      <c r="AV449" s="27"/>
      <c r="AW449" s="27"/>
      <c r="AX449" s="27"/>
      <c r="AY449" s="28"/>
      <c r="AZ449" s="28"/>
      <c r="BA449" s="28"/>
      <c r="BB449" s="26"/>
      <c r="BC449" s="27"/>
      <c r="BD449" s="93"/>
      <c r="BE449" s="28"/>
      <c r="BF449" s="28"/>
    </row>
    <row r="450" spans="1:58" ht="20.25" customHeight="1">
      <c r="A450" s="27"/>
      <c r="B450" s="27"/>
      <c r="C450" s="137"/>
      <c r="D450" s="27"/>
      <c r="E450" s="27"/>
      <c r="F450" s="206"/>
      <c r="G450" s="27"/>
      <c r="H450" s="27"/>
      <c r="I450" s="29"/>
      <c r="J450" s="29"/>
      <c r="K450" s="27"/>
      <c r="L450" s="27"/>
      <c r="M450" s="27"/>
      <c r="N450" s="27"/>
      <c r="O450" s="27"/>
      <c r="P450" s="27"/>
      <c r="Q450" s="28"/>
      <c r="R450" s="28"/>
      <c r="S450" s="28"/>
      <c r="T450" s="27"/>
      <c r="U450" s="28"/>
      <c r="V450" s="28"/>
      <c r="W450" s="28"/>
      <c r="X450" s="28"/>
      <c r="Y450" s="28"/>
      <c r="Z450" s="28"/>
      <c r="AA450" s="28"/>
      <c r="AB450" s="27"/>
      <c r="AC450" s="27"/>
      <c r="AD450" s="28"/>
      <c r="AE450" s="28"/>
      <c r="AF450" s="27"/>
      <c r="AG450" s="27"/>
      <c r="AH450" s="27"/>
      <c r="AI450" s="27"/>
      <c r="AJ450" s="27"/>
      <c r="AK450" s="27"/>
      <c r="AL450" s="27"/>
      <c r="AM450" s="27"/>
      <c r="AN450" s="27"/>
      <c r="AO450" s="27"/>
      <c r="AP450" s="27"/>
      <c r="AQ450" s="28"/>
      <c r="AR450" s="28"/>
      <c r="AS450" s="27"/>
      <c r="AT450" s="28"/>
      <c r="AU450" s="27"/>
      <c r="AV450" s="27"/>
      <c r="AW450" s="27"/>
      <c r="AX450" s="27"/>
      <c r="AY450" s="28"/>
      <c r="AZ450" s="28"/>
      <c r="BA450" s="28"/>
      <c r="BB450" s="26"/>
      <c r="BC450" s="27"/>
      <c r="BD450" s="93"/>
      <c r="BE450" s="28"/>
      <c r="BF450" s="28"/>
    </row>
    <row r="451" spans="1:58" ht="20.25" customHeight="1">
      <c r="A451" s="27"/>
      <c r="B451" s="27"/>
      <c r="C451" s="137"/>
      <c r="D451" s="27"/>
      <c r="E451" s="27"/>
      <c r="F451" s="206"/>
      <c r="G451" s="27"/>
      <c r="H451" s="27"/>
      <c r="I451" s="29"/>
      <c r="J451" s="29"/>
      <c r="K451" s="27"/>
      <c r="L451" s="27"/>
      <c r="M451" s="27"/>
      <c r="N451" s="27"/>
      <c r="O451" s="27"/>
      <c r="P451" s="27"/>
      <c r="Q451" s="28"/>
      <c r="R451" s="28"/>
      <c r="S451" s="28"/>
      <c r="T451" s="27"/>
      <c r="U451" s="28"/>
      <c r="V451" s="28"/>
      <c r="W451" s="28"/>
      <c r="X451" s="28"/>
      <c r="Y451" s="28"/>
      <c r="Z451" s="28"/>
      <c r="AA451" s="28"/>
      <c r="AB451" s="27"/>
      <c r="AC451" s="27"/>
      <c r="AD451" s="28"/>
      <c r="AE451" s="28"/>
      <c r="AF451" s="27"/>
      <c r="AG451" s="27"/>
      <c r="AH451" s="27"/>
      <c r="AI451" s="27"/>
      <c r="AJ451" s="27"/>
      <c r="AK451" s="27"/>
      <c r="AL451" s="27"/>
      <c r="AM451" s="27"/>
      <c r="AN451" s="27"/>
      <c r="AO451" s="27"/>
      <c r="AP451" s="27"/>
      <c r="AQ451" s="28"/>
      <c r="AR451" s="28"/>
      <c r="AS451" s="27"/>
      <c r="AT451" s="28"/>
      <c r="AU451" s="27"/>
      <c r="AV451" s="27"/>
      <c r="AW451" s="27"/>
      <c r="AX451" s="27"/>
      <c r="AY451" s="28"/>
      <c r="AZ451" s="28"/>
      <c r="BA451" s="28"/>
      <c r="BB451" s="26"/>
      <c r="BC451" s="27"/>
      <c r="BD451" s="93"/>
      <c r="BE451" s="28"/>
      <c r="BF451" s="28"/>
    </row>
    <row r="452" spans="1:58" ht="20.25" customHeight="1">
      <c r="A452" s="27"/>
      <c r="B452" s="27"/>
      <c r="C452" s="137"/>
      <c r="D452" s="27"/>
      <c r="E452" s="27"/>
      <c r="F452" s="206"/>
      <c r="G452" s="27"/>
      <c r="H452" s="27"/>
      <c r="I452" s="29"/>
      <c r="J452" s="29"/>
      <c r="K452" s="27"/>
      <c r="L452" s="27"/>
      <c r="M452" s="27"/>
      <c r="N452" s="27"/>
      <c r="O452" s="27"/>
      <c r="P452" s="27"/>
      <c r="Q452" s="28"/>
      <c r="R452" s="28"/>
      <c r="S452" s="28"/>
      <c r="T452" s="27"/>
      <c r="U452" s="28"/>
      <c r="V452" s="28"/>
      <c r="W452" s="28"/>
      <c r="X452" s="28"/>
      <c r="Y452" s="28"/>
      <c r="Z452" s="28"/>
      <c r="AA452" s="28"/>
      <c r="AB452" s="27"/>
      <c r="AC452" s="27"/>
      <c r="AD452" s="28"/>
      <c r="AE452" s="28"/>
      <c r="AF452" s="27"/>
      <c r="AG452" s="27"/>
      <c r="AH452" s="27"/>
      <c r="AI452" s="27"/>
      <c r="AJ452" s="27"/>
      <c r="AK452" s="27"/>
      <c r="AL452" s="27"/>
      <c r="AM452" s="27"/>
      <c r="AN452" s="27"/>
      <c r="AO452" s="27"/>
      <c r="AP452" s="27"/>
      <c r="AQ452" s="28"/>
      <c r="AR452" s="28"/>
      <c r="AS452" s="27"/>
      <c r="AT452" s="28"/>
      <c r="AU452" s="27"/>
      <c r="AV452" s="27"/>
      <c r="AW452" s="27"/>
      <c r="AX452" s="27"/>
      <c r="AY452" s="28"/>
      <c r="AZ452" s="28"/>
      <c r="BA452" s="28"/>
      <c r="BB452" s="26"/>
      <c r="BC452" s="27"/>
      <c r="BD452" s="93"/>
      <c r="BE452" s="28"/>
      <c r="BF452" s="28"/>
    </row>
    <row r="453" spans="1:58" ht="20.25" customHeight="1">
      <c r="A453" s="27"/>
      <c r="B453" s="27"/>
      <c r="C453" s="137"/>
      <c r="D453" s="27"/>
      <c r="E453" s="27"/>
      <c r="F453" s="206"/>
      <c r="G453" s="27"/>
      <c r="H453" s="27"/>
      <c r="I453" s="29"/>
      <c r="J453" s="29"/>
      <c r="K453" s="27"/>
      <c r="L453" s="27"/>
      <c r="M453" s="27"/>
      <c r="N453" s="27"/>
      <c r="O453" s="27"/>
      <c r="P453" s="27"/>
      <c r="Q453" s="28"/>
      <c r="R453" s="28"/>
      <c r="S453" s="28"/>
      <c r="T453" s="27"/>
      <c r="U453" s="28"/>
      <c r="V453" s="28"/>
      <c r="W453" s="28"/>
      <c r="X453" s="28"/>
      <c r="Y453" s="28"/>
      <c r="Z453" s="28"/>
      <c r="AA453" s="28"/>
      <c r="AB453" s="27"/>
      <c r="AC453" s="27"/>
      <c r="AD453" s="28"/>
      <c r="AE453" s="28"/>
      <c r="AF453" s="27"/>
      <c r="AG453" s="27"/>
      <c r="AH453" s="27"/>
      <c r="AI453" s="27"/>
      <c r="AJ453" s="27"/>
      <c r="AK453" s="27"/>
      <c r="AL453" s="27"/>
      <c r="AM453" s="27"/>
      <c r="AN453" s="27"/>
      <c r="AO453" s="27"/>
      <c r="AP453" s="27"/>
      <c r="AQ453" s="28"/>
      <c r="AR453" s="28"/>
      <c r="AS453" s="27"/>
      <c r="AT453" s="28"/>
      <c r="AU453" s="27"/>
      <c r="AV453" s="27"/>
      <c r="AW453" s="27"/>
      <c r="AX453" s="27"/>
      <c r="AY453" s="28"/>
      <c r="AZ453" s="28"/>
      <c r="BA453" s="28"/>
      <c r="BB453" s="26"/>
      <c r="BC453" s="27"/>
      <c r="BD453" s="93"/>
      <c r="BE453" s="28"/>
      <c r="BF453" s="28"/>
    </row>
    <row r="454" spans="1:58" ht="20.25" customHeight="1">
      <c r="A454" s="27"/>
      <c r="B454" s="27"/>
      <c r="C454" s="137"/>
      <c r="D454" s="27"/>
      <c r="E454" s="27"/>
      <c r="F454" s="206"/>
      <c r="G454" s="27"/>
      <c r="H454" s="27"/>
      <c r="I454" s="29"/>
      <c r="J454" s="29"/>
      <c r="K454" s="27"/>
      <c r="L454" s="27"/>
      <c r="M454" s="27"/>
      <c r="N454" s="27"/>
      <c r="O454" s="27"/>
      <c r="P454" s="27"/>
      <c r="Q454" s="28"/>
      <c r="R454" s="28"/>
      <c r="S454" s="28"/>
      <c r="T454" s="27"/>
      <c r="U454" s="28"/>
      <c r="V454" s="28"/>
      <c r="W454" s="28"/>
      <c r="X454" s="28"/>
      <c r="Y454" s="28"/>
      <c r="Z454" s="28"/>
      <c r="AA454" s="28"/>
      <c r="AB454" s="27"/>
      <c r="AC454" s="27"/>
      <c r="AD454" s="28"/>
      <c r="AE454" s="28"/>
      <c r="AF454" s="27"/>
      <c r="AG454" s="27"/>
      <c r="AH454" s="27"/>
      <c r="AI454" s="27"/>
      <c r="AJ454" s="27"/>
      <c r="AK454" s="27"/>
      <c r="AL454" s="27"/>
      <c r="AM454" s="27"/>
      <c r="AN454" s="27"/>
      <c r="AO454" s="27"/>
      <c r="AP454" s="27"/>
      <c r="AQ454" s="28"/>
      <c r="AR454" s="28"/>
      <c r="AS454" s="27"/>
      <c r="AT454" s="28"/>
      <c r="AU454" s="27"/>
      <c r="AV454" s="27"/>
      <c r="AW454" s="27"/>
      <c r="AX454" s="27"/>
      <c r="AY454" s="28"/>
      <c r="AZ454" s="28"/>
      <c r="BA454" s="28"/>
      <c r="BB454" s="26"/>
      <c r="BC454" s="27"/>
      <c r="BD454" s="93"/>
      <c r="BE454" s="28"/>
      <c r="BF454" s="28"/>
    </row>
    <row r="455" spans="1:58" ht="20.25" customHeight="1">
      <c r="A455" s="27"/>
      <c r="B455" s="27"/>
      <c r="C455" s="137"/>
      <c r="D455" s="27"/>
      <c r="E455" s="27"/>
      <c r="F455" s="206"/>
      <c r="G455" s="27"/>
      <c r="H455" s="27"/>
      <c r="I455" s="29"/>
      <c r="J455" s="29"/>
      <c r="K455" s="27"/>
      <c r="L455" s="27"/>
      <c r="M455" s="27"/>
      <c r="N455" s="27"/>
      <c r="O455" s="27"/>
      <c r="P455" s="27"/>
      <c r="Q455" s="28"/>
      <c r="R455" s="28"/>
      <c r="S455" s="28"/>
      <c r="T455" s="27"/>
      <c r="U455" s="28"/>
      <c r="V455" s="28"/>
      <c r="W455" s="28"/>
      <c r="X455" s="28"/>
      <c r="Y455" s="28"/>
      <c r="Z455" s="28"/>
      <c r="AA455" s="28"/>
      <c r="AB455" s="27"/>
      <c r="AC455" s="27"/>
      <c r="AD455" s="28"/>
      <c r="AE455" s="28"/>
      <c r="AF455" s="27"/>
      <c r="AG455" s="27"/>
      <c r="AH455" s="27"/>
      <c r="AI455" s="27"/>
      <c r="AJ455" s="27"/>
      <c r="AK455" s="27"/>
      <c r="AL455" s="27"/>
      <c r="AM455" s="27"/>
      <c r="AN455" s="27"/>
      <c r="AO455" s="27"/>
      <c r="AP455" s="27"/>
      <c r="AQ455" s="28"/>
      <c r="AR455" s="28"/>
      <c r="AS455" s="27"/>
      <c r="AT455" s="28"/>
      <c r="AU455" s="27"/>
      <c r="AV455" s="27"/>
      <c r="AW455" s="27"/>
      <c r="AX455" s="27"/>
      <c r="AY455" s="28"/>
      <c r="AZ455" s="28"/>
      <c r="BA455" s="28"/>
      <c r="BB455" s="26"/>
      <c r="BC455" s="27"/>
      <c r="BD455" s="93"/>
      <c r="BE455" s="28"/>
      <c r="BF455" s="28"/>
    </row>
    <row r="456" spans="1:58" ht="20.25" customHeight="1">
      <c r="A456" s="27"/>
      <c r="B456" s="27"/>
      <c r="C456" s="137"/>
      <c r="D456" s="27"/>
      <c r="E456" s="27"/>
      <c r="F456" s="206"/>
      <c r="G456" s="27"/>
      <c r="H456" s="27"/>
      <c r="I456" s="29"/>
      <c r="J456" s="29"/>
      <c r="K456" s="27"/>
      <c r="L456" s="27"/>
      <c r="M456" s="27"/>
      <c r="N456" s="27"/>
      <c r="O456" s="27"/>
      <c r="P456" s="27"/>
      <c r="Q456" s="28"/>
      <c r="R456" s="28"/>
      <c r="S456" s="28"/>
      <c r="T456" s="27"/>
      <c r="U456" s="28"/>
      <c r="V456" s="28"/>
      <c r="W456" s="28"/>
      <c r="X456" s="28"/>
      <c r="Y456" s="28"/>
      <c r="Z456" s="28"/>
      <c r="AA456" s="28"/>
      <c r="AB456" s="27"/>
      <c r="AC456" s="27"/>
      <c r="AD456" s="28"/>
      <c r="AE456" s="28"/>
      <c r="AF456" s="27"/>
      <c r="AG456" s="27"/>
      <c r="AH456" s="27"/>
      <c r="AI456" s="27"/>
      <c r="AJ456" s="27"/>
      <c r="AK456" s="27"/>
      <c r="AL456" s="27"/>
      <c r="AM456" s="27"/>
      <c r="AN456" s="27"/>
      <c r="AO456" s="27"/>
      <c r="AP456" s="27"/>
      <c r="AQ456" s="28"/>
      <c r="AR456" s="28"/>
      <c r="AS456" s="27"/>
      <c r="AT456" s="28"/>
      <c r="AU456" s="27"/>
      <c r="AV456" s="27"/>
      <c r="AW456" s="27"/>
      <c r="AX456" s="27"/>
      <c r="AY456" s="28"/>
      <c r="AZ456" s="28"/>
      <c r="BA456" s="28"/>
      <c r="BB456" s="26"/>
      <c r="BC456" s="27"/>
      <c r="BD456" s="93"/>
      <c r="BE456" s="28"/>
      <c r="BF456" s="28"/>
    </row>
    <row r="457" spans="1:58" ht="20.25" customHeight="1">
      <c r="A457" s="27"/>
      <c r="B457" s="27"/>
      <c r="C457" s="137"/>
      <c r="D457" s="27"/>
      <c r="E457" s="27"/>
      <c r="F457" s="206"/>
      <c r="G457" s="27"/>
      <c r="H457" s="27"/>
      <c r="I457" s="29"/>
      <c r="J457" s="29"/>
      <c r="K457" s="27"/>
      <c r="L457" s="27"/>
      <c r="M457" s="27"/>
      <c r="N457" s="27"/>
      <c r="O457" s="27"/>
      <c r="P457" s="27"/>
      <c r="Q457" s="28"/>
      <c r="R457" s="28"/>
      <c r="S457" s="28"/>
      <c r="T457" s="27"/>
      <c r="U457" s="28"/>
      <c r="V457" s="28"/>
      <c r="W457" s="28"/>
      <c r="X457" s="28"/>
      <c r="Y457" s="28"/>
      <c r="Z457" s="28"/>
      <c r="AA457" s="28"/>
      <c r="AB457" s="27"/>
      <c r="AC457" s="27"/>
      <c r="AD457" s="28"/>
      <c r="AE457" s="28"/>
      <c r="AF457" s="27"/>
      <c r="AG457" s="27"/>
      <c r="AH457" s="27"/>
      <c r="AI457" s="27"/>
      <c r="AJ457" s="27"/>
      <c r="AK457" s="27"/>
      <c r="AL457" s="27"/>
      <c r="AM457" s="27"/>
      <c r="AN457" s="27"/>
      <c r="AO457" s="27"/>
      <c r="AP457" s="27"/>
      <c r="AQ457" s="28"/>
      <c r="AR457" s="28"/>
      <c r="AS457" s="27"/>
      <c r="AT457" s="28"/>
      <c r="AU457" s="27"/>
      <c r="AV457" s="27"/>
      <c r="AW457" s="27"/>
      <c r="AX457" s="27"/>
      <c r="AY457" s="28"/>
      <c r="AZ457" s="28"/>
      <c r="BA457" s="28"/>
      <c r="BB457" s="26"/>
      <c r="BC457" s="27"/>
      <c r="BD457" s="93"/>
      <c r="BE457" s="28"/>
      <c r="BF457" s="28"/>
    </row>
    <row r="458" spans="1:58" ht="20.25" customHeight="1">
      <c r="A458" s="27"/>
      <c r="B458" s="27"/>
      <c r="C458" s="137"/>
      <c r="D458" s="27"/>
      <c r="E458" s="27"/>
      <c r="F458" s="206"/>
      <c r="G458" s="27"/>
      <c r="H458" s="27"/>
      <c r="I458" s="29"/>
      <c r="J458" s="29"/>
      <c r="K458" s="27"/>
      <c r="L458" s="27"/>
      <c r="M458" s="27"/>
      <c r="N458" s="27"/>
      <c r="O458" s="27"/>
      <c r="P458" s="27"/>
      <c r="Q458" s="28"/>
      <c r="R458" s="28"/>
      <c r="S458" s="28"/>
      <c r="T458" s="27"/>
      <c r="U458" s="28"/>
      <c r="V458" s="28"/>
      <c r="W458" s="28"/>
      <c r="X458" s="28"/>
      <c r="Y458" s="28"/>
      <c r="Z458" s="28"/>
      <c r="AA458" s="28"/>
      <c r="AB458" s="27"/>
      <c r="AC458" s="27"/>
      <c r="AD458" s="28"/>
      <c r="AE458" s="28"/>
      <c r="AF458" s="27"/>
      <c r="AG458" s="27"/>
      <c r="AH458" s="27"/>
      <c r="AI458" s="27"/>
      <c r="AJ458" s="27"/>
      <c r="AK458" s="27"/>
      <c r="AL458" s="27"/>
      <c r="AM458" s="27"/>
      <c r="AN458" s="27"/>
      <c r="AO458" s="27"/>
      <c r="AP458" s="27"/>
      <c r="AQ458" s="28"/>
      <c r="AR458" s="28"/>
      <c r="AS458" s="27"/>
      <c r="AT458" s="28"/>
      <c r="AU458" s="27"/>
      <c r="AV458" s="27"/>
      <c r="AW458" s="27"/>
      <c r="AX458" s="27"/>
      <c r="AY458" s="28"/>
      <c r="AZ458" s="28"/>
      <c r="BA458" s="28"/>
      <c r="BB458" s="26"/>
      <c r="BC458" s="27"/>
      <c r="BD458" s="93"/>
      <c r="BE458" s="28"/>
      <c r="BF458" s="28"/>
    </row>
    <row r="459" spans="1:58" ht="20.25" customHeight="1">
      <c r="A459" s="27"/>
      <c r="B459" s="27"/>
      <c r="C459" s="137"/>
      <c r="D459" s="27"/>
      <c r="E459" s="27"/>
      <c r="F459" s="206"/>
      <c r="G459" s="27"/>
      <c r="H459" s="27"/>
      <c r="I459" s="29"/>
      <c r="J459" s="29"/>
      <c r="K459" s="27"/>
      <c r="L459" s="27"/>
      <c r="M459" s="27"/>
      <c r="N459" s="27"/>
      <c r="O459" s="27"/>
      <c r="P459" s="27"/>
      <c r="Q459" s="28"/>
      <c r="R459" s="28"/>
      <c r="S459" s="28"/>
      <c r="T459" s="27"/>
      <c r="U459" s="28"/>
      <c r="V459" s="28"/>
      <c r="W459" s="28"/>
      <c r="X459" s="28"/>
      <c r="Y459" s="28"/>
      <c r="Z459" s="28"/>
      <c r="AA459" s="28"/>
      <c r="AB459" s="27"/>
      <c r="AC459" s="27"/>
      <c r="AD459" s="28"/>
      <c r="AE459" s="28"/>
      <c r="AF459" s="27"/>
      <c r="AG459" s="27"/>
      <c r="AH459" s="27"/>
      <c r="AI459" s="27"/>
      <c r="AJ459" s="27"/>
      <c r="AK459" s="27"/>
      <c r="AL459" s="27"/>
      <c r="AM459" s="27"/>
      <c r="AN459" s="27"/>
      <c r="AO459" s="27"/>
      <c r="AP459" s="27"/>
      <c r="AQ459" s="28"/>
      <c r="AR459" s="28"/>
      <c r="AS459" s="27"/>
      <c r="AT459" s="28"/>
      <c r="AU459" s="27"/>
      <c r="AV459" s="27"/>
      <c r="AW459" s="27"/>
      <c r="AX459" s="27"/>
      <c r="AY459" s="28"/>
      <c r="AZ459" s="28"/>
      <c r="BA459" s="28"/>
      <c r="BB459" s="26"/>
      <c r="BC459" s="27"/>
      <c r="BD459" s="93"/>
      <c r="BE459" s="28"/>
      <c r="BF459" s="28"/>
    </row>
    <row r="460" spans="1:58" ht="20.25" customHeight="1">
      <c r="A460" s="27"/>
      <c r="B460" s="27"/>
      <c r="C460" s="137"/>
      <c r="D460" s="27"/>
      <c r="E460" s="27"/>
      <c r="F460" s="206"/>
      <c r="G460" s="27"/>
      <c r="H460" s="27"/>
      <c r="I460" s="29"/>
      <c r="J460" s="29"/>
      <c r="K460" s="27"/>
      <c r="L460" s="27"/>
      <c r="M460" s="27"/>
      <c r="N460" s="27"/>
      <c r="O460" s="27"/>
      <c r="P460" s="27"/>
      <c r="Q460" s="28"/>
      <c r="R460" s="28"/>
      <c r="S460" s="28"/>
      <c r="T460" s="27"/>
      <c r="U460" s="28"/>
      <c r="V460" s="28"/>
      <c r="W460" s="28"/>
      <c r="X460" s="28"/>
      <c r="Y460" s="28"/>
      <c r="Z460" s="28"/>
      <c r="AA460" s="28"/>
      <c r="AB460" s="27"/>
      <c r="AC460" s="27"/>
      <c r="AD460" s="28"/>
      <c r="AE460" s="28"/>
      <c r="AF460" s="27"/>
      <c r="AG460" s="27"/>
      <c r="AH460" s="27"/>
      <c r="AI460" s="27"/>
      <c r="AJ460" s="27"/>
      <c r="AK460" s="27"/>
      <c r="AL460" s="27"/>
      <c r="AM460" s="27"/>
      <c r="AN460" s="27"/>
      <c r="AO460" s="27"/>
      <c r="AP460" s="27"/>
      <c r="AQ460" s="28"/>
      <c r="AR460" s="28"/>
      <c r="AS460" s="27"/>
      <c r="AT460" s="28"/>
      <c r="AU460" s="27"/>
      <c r="AV460" s="27"/>
      <c r="AW460" s="27"/>
      <c r="AX460" s="27"/>
      <c r="AY460" s="28"/>
      <c r="AZ460" s="28"/>
      <c r="BA460" s="28"/>
      <c r="BB460" s="26"/>
      <c r="BC460" s="27"/>
      <c r="BD460" s="93"/>
      <c r="BE460" s="28"/>
      <c r="BF460" s="28"/>
    </row>
    <row r="461" spans="1:58" ht="20.25" customHeight="1">
      <c r="A461" s="27"/>
      <c r="B461" s="27"/>
      <c r="C461" s="137"/>
      <c r="D461" s="27"/>
      <c r="E461" s="27"/>
      <c r="F461" s="206"/>
      <c r="G461" s="27"/>
      <c r="H461" s="27"/>
      <c r="I461" s="29"/>
      <c r="J461" s="29"/>
      <c r="K461" s="27"/>
      <c r="L461" s="27"/>
      <c r="M461" s="27"/>
      <c r="N461" s="27"/>
      <c r="O461" s="27"/>
      <c r="P461" s="27"/>
      <c r="Q461" s="28"/>
      <c r="R461" s="28"/>
      <c r="S461" s="28"/>
      <c r="T461" s="27"/>
      <c r="U461" s="28"/>
      <c r="V461" s="28"/>
      <c r="W461" s="28"/>
      <c r="X461" s="28"/>
      <c r="Y461" s="28"/>
      <c r="Z461" s="28"/>
      <c r="AA461" s="28"/>
      <c r="AB461" s="27"/>
      <c r="AC461" s="27"/>
      <c r="AD461" s="28"/>
      <c r="AE461" s="28"/>
      <c r="AF461" s="27"/>
      <c r="AG461" s="27"/>
      <c r="AH461" s="27"/>
      <c r="AI461" s="27"/>
      <c r="AJ461" s="27"/>
      <c r="AK461" s="27"/>
      <c r="AL461" s="27"/>
      <c r="AM461" s="27"/>
      <c r="AN461" s="27"/>
      <c r="AO461" s="27"/>
      <c r="AP461" s="27"/>
      <c r="AQ461" s="28"/>
      <c r="AR461" s="28"/>
      <c r="AS461" s="27"/>
      <c r="AT461" s="28"/>
      <c r="AU461" s="27"/>
      <c r="AV461" s="27"/>
      <c r="AW461" s="27"/>
      <c r="AX461" s="27"/>
      <c r="AY461" s="28"/>
      <c r="AZ461" s="28"/>
      <c r="BA461" s="28"/>
      <c r="BB461" s="26"/>
      <c r="BC461" s="27"/>
      <c r="BD461" s="93"/>
      <c r="BE461" s="28"/>
      <c r="BF461" s="28"/>
    </row>
    <row r="462" spans="1:58" ht="20.25" customHeight="1">
      <c r="A462" s="27"/>
      <c r="B462" s="27"/>
      <c r="C462" s="137"/>
      <c r="D462" s="27"/>
      <c r="E462" s="27"/>
      <c r="F462" s="206"/>
      <c r="G462" s="27"/>
      <c r="H462" s="27"/>
      <c r="I462" s="29"/>
      <c r="J462" s="29"/>
      <c r="K462" s="27"/>
      <c r="L462" s="27"/>
      <c r="M462" s="27"/>
      <c r="N462" s="27"/>
      <c r="O462" s="27"/>
      <c r="P462" s="27"/>
      <c r="Q462" s="28"/>
      <c r="R462" s="28"/>
      <c r="S462" s="28"/>
      <c r="T462" s="27"/>
      <c r="U462" s="28"/>
      <c r="V462" s="28"/>
      <c r="W462" s="28"/>
      <c r="X462" s="28"/>
      <c r="Y462" s="28"/>
      <c r="Z462" s="28"/>
      <c r="AA462" s="28"/>
      <c r="AB462" s="27"/>
      <c r="AC462" s="27"/>
      <c r="AD462" s="28"/>
      <c r="AE462" s="28"/>
      <c r="AF462" s="27"/>
      <c r="AG462" s="27"/>
      <c r="AH462" s="27"/>
      <c r="AI462" s="27"/>
      <c r="AJ462" s="27"/>
      <c r="AK462" s="27"/>
      <c r="AL462" s="27"/>
      <c r="AM462" s="27"/>
      <c r="AN462" s="27"/>
      <c r="AO462" s="27"/>
      <c r="AP462" s="27"/>
      <c r="AQ462" s="28"/>
      <c r="AR462" s="28"/>
      <c r="AS462" s="27"/>
      <c r="AT462" s="28"/>
      <c r="AU462" s="27"/>
      <c r="AV462" s="27"/>
      <c r="AW462" s="27"/>
      <c r="AX462" s="27"/>
      <c r="AY462" s="28"/>
      <c r="AZ462" s="28"/>
      <c r="BA462" s="28"/>
      <c r="BB462" s="26"/>
      <c r="BC462" s="27"/>
      <c r="BD462" s="93"/>
      <c r="BE462" s="28"/>
      <c r="BF462" s="28"/>
    </row>
    <row r="463" spans="1:58" ht="20.25" customHeight="1">
      <c r="A463" s="27"/>
      <c r="B463" s="27"/>
      <c r="C463" s="137"/>
      <c r="D463" s="27"/>
      <c r="E463" s="27"/>
      <c r="F463" s="206"/>
      <c r="G463" s="27"/>
      <c r="H463" s="27"/>
      <c r="I463" s="29"/>
      <c r="J463" s="29"/>
      <c r="K463" s="27"/>
      <c r="L463" s="27"/>
      <c r="M463" s="27"/>
      <c r="N463" s="27"/>
      <c r="O463" s="27"/>
      <c r="P463" s="27"/>
      <c r="Q463" s="28"/>
      <c r="R463" s="28"/>
      <c r="S463" s="28"/>
      <c r="T463" s="27"/>
      <c r="U463" s="28"/>
      <c r="V463" s="28"/>
      <c r="W463" s="28"/>
      <c r="X463" s="28"/>
      <c r="Y463" s="28"/>
      <c r="Z463" s="28"/>
      <c r="AA463" s="28"/>
      <c r="AB463" s="27"/>
      <c r="AC463" s="27"/>
      <c r="AD463" s="28"/>
      <c r="AE463" s="28"/>
      <c r="AF463" s="27"/>
      <c r="AG463" s="27"/>
      <c r="AH463" s="27"/>
      <c r="AI463" s="27"/>
      <c r="AJ463" s="27"/>
      <c r="AK463" s="27"/>
      <c r="AL463" s="27"/>
      <c r="AM463" s="27"/>
      <c r="AN463" s="27"/>
      <c r="AO463" s="27"/>
      <c r="AP463" s="27"/>
      <c r="AQ463" s="28"/>
      <c r="AR463" s="28"/>
      <c r="AS463" s="27"/>
      <c r="AT463" s="28"/>
      <c r="AU463" s="27"/>
      <c r="AV463" s="27"/>
      <c r="AW463" s="27"/>
      <c r="AX463" s="27"/>
      <c r="AY463" s="28"/>
      <c r="AZ463" s="28"/>
      <c r="BA463" s="28"/>
      <c r="BB463" s="26"/>
      <c r="BC463" s="27"/>
      <c r="BD463" s="93"/>
      <c r="BE463" s="28"/>
      <c r="BF463" s="28"/>
    </row>
    <row r="464" spans="1:58" ht="20.25" customHeight="1">
      <c r="A464" s="27"/>
      <c r="B464" s="27"/>
      <c r="C464" s="137"/>
      <c r="D464" s="27"/>
      <c r="E464" s="27"/>
      <c r="F464" s="206"/>
      <c r="G464" s="27"/>
      <c r="H464" s="27"/>
      <c r="I464" s="29"/>
      <c r="J464" s="29"/>
      <c r="K464" s="27"/>
      <c r="L464" s="27"/>
      <c r="M464" s="27"/>
      <c r="N464" s="27"/>
      <c r="O464" s="27"/>
      <c r="P464" s="27"/>
      <c r="Q464" s="28"/>
      <c r="R464" s="28"/>
      <c r="S464" s="28"/>
      <c r="T464" s="27"/>
      <c r="U464" s="28"/>
      <c r="V464" s="28"/>
      <c r="W464" s="28"/>
      <c r="X464" s="28"/>
      <c r="Y464" s="28"/>
      <c r="Z464" s="28"/>
      <c r="AA464" s="28"/>
      <c r="AB464" s="27"/>
      <c r="AC464" s="27"/>
      <c r="AD464" s="28"/>
      <c r="AE464" s="28"/>
      <c r="AF464" s="27"/>
      <c r="AG464" s="27"/>
      <c r="AH464" s="27"/>
      <c r="AI464" s="27"/>
      <c r="AJ464" s="27"/>
      <c r="AK464" s="27"/>
      <c r="AL464" s="27"/>
      <c r="AM464" s="27"/>
      <c r="AN464" s="27"/>
      <c r="AO464" s="27"/>
      <c r="AP464" s="27"/>
      <c r="AQ464" s="28"/>
      <c r="AR464" s="28"/>
      <c r="AS464" s="27"/>
      <c r="AT464" s="28"/>
      <c r="AU464" s="27"/>
      <c r="AV464" s="27"/>
      <c r="AW464" s="27"/>
      <c r="AX464" s="27"/>
      <c r="AY464" s="28"/>
      <c r="AZ464" s="28"/>
      <c r="BA464" s="28"/>
      <c r="BB464" s="26"/>
      <c r="BC464" s="27"/>
      <c r="BD464" s="93"/>
      <c r="BE464" s="28"/>
      <c r="BF464" s="28"/>
    </row>
    <row r="465" spans="1:58" ht="20.25" customHeight="1">
      <c r="A465" s="27"/>
      <c r="B465" s="27"/>
      <c r="C465" s="137"/>
      <c r="D465" s="27"/>
      <c r="E465" s="27"/>
      <c r="F465" s="206"/>
      <c r="G465" s="27"/>
      <c r="H465" s="27"/>
      <c r="I465" s="29"/>
      <c r="J465" s="29"/>
      <c r="K465" s="27"/>
      <c r="L465" s="27"/>
      <c r="M465" s="27"/>
      <c r="N465" s="27"/>
      <c r="O465" s="27"/>
      <c r="P465" s="27"/>
      <c r="Q465" s="28"/>
      <c r="R465" s="28"/>
      <c r="S465" s="28"/>
      <c r="T465" s="27"/>
      <c r="U465" s="28"/>
      <c r="V465" s="28"/>
      <c r="W465" s="28"/>
      <c r="X465" s="28"/>
      <c r="Y465" s="28"/>
      <c r="Z465" s="28"/>
      <c r="AA465" s="28"/>
      <c r="AB465" s="27"/>
      <c r="AC465" s="27"/>
      <c r="AD465" s="28"/>
      <c r="AE465" s="28"/>
      <c r="AF465" s="27"/>
      <c r="AG465" s="27"/>
      <c r="AH465" s="27"/>
      <c r="AI465" s="27"/>
      <c r="AJ465" s="27"/>
      <c r="AK465" s="27"/>
      <c r="AL465" s="27"/>
      <c r="AM465" s="27"/>
      <c r="AN465" s="27"/>
      <c r="AO465" s="27"/>
      <c r="AP465" s="27"/>
      <c r="AQ465" s="28"/>
      <c r="AR465" s="28"/>
      <c r="AS465" s="27"/>
      <c r="AT465" s="28"/>
      <c r="AU465" s="27"/>
      <c r="AV465" s="27"/>
      <c r="AW465" s="27"/>
      <c r="AX465" s="27"/>
      <c r="AY465" s="28"/>
      <c r="AZ465" s="28"/>
      <c r="BA465" s="28"/>
      <c r="BB465" s="26"/>
      <c r="BC465" s="27"/>
      <c r="BD465" s="93"/>
      <c r="BE465" s="28"/>
      <c r="BF465" s="28"/>
    </row>
    <row r="466" spans="1:58" ht="20.25" customHeight="1">
      <c r="A466" s="27"/>
      <c r="B466" s="27"/>
      <c r="C466" s="137"/>
      <c r="D466" s="27"/>
      <c r="E466" s="27"/>
      <c r="F466" s="206"/>
      <c r="G466" s="27"/>
      <c r="H466" s="27"/>
      <c r="I466" s="29"/>
      <c r="J466" s="29"/>
      <c r="K466" s="27"/>
      <c r="L466" s="27"/>
      <c r="M466" s="27"/>
      <c r="N466" s="27"/>
      <c r="O466" s="27"/>
      <c r="P466" s="27"/>
      <c r="Q466" s="28"/>
      <c r="R466" s="28"/>
      <c r="S466" s="28"/>
      <c r="T466" s="27"/>
      <c r="U466" s="28"/>
      <c r="V466" s="28"/>
      <c r="W466" s="28"/>
      <c r="X466" s="28"/>
      <c r="Y466" s="28"/>
      <c r="Z466" s="28"/>
      <c r="AA466" s="28"/>
      <c r="AB466" s="27"/>
      <c r="AC466" s="27"/>
      <c r="AD466" s="28"/>
      <c r="AE466" s="28"/>
      <c r="AF466" s="27"/>
      <c r="AG466" s="27"/>
      <c r="AH466" s="27"/>
      <c r="AI466" s="27"/>
      <c r="AJ466" s="27"/>
      <c r="AK466" s="27"/>
      <c r="AL466" s="27"/>
      <c r="AM466" s="27"/>
      <c r="AN466" s="27"/>
      <c r="AO466" s="27"/>
      <c r="AP466" s="27"/>
      <c r="AQ466" s="28"/>
      <c r="AR466" s="28"/>
      <c r="AS466" s="27"/>
      <c r="AT466" s="28"/>
      <c r="AU466" s="27"/>
      <c r="AV466" s="27"/>
      <c r="AW466" s="27"/>
      <c r="AX466" s="27"/>
      <c r="AY466" s="28"/>
      <c r="AZ466" s="28"/>
      <c r="BA466" s="28"/>
      <c r="BB466" s="26"/>
      <c r="BC466" s="27"/>
      <c r="BD466" s="93"/>
      <c r="BE466" s="28"/>
      <c r="BF466" s="28"/>
    </row>
    <row r="467" spans="1:58" ht="20.25" customHeight="1">
      <c r="A467" s="27"/>
      <c r="B467" s="27"/>
      <c r="C467" s="137"/>
      <c r="D467" s="27"/>
      <c r="E467" s="27"/>
      <c r="F467" s="206"/>
      <c r="G467" s="27"/>
      <c r="H467" s="27"/>
      <c r="I467" s="29"/>
      <c r="J467" s="29"/>
      <c r="K467" s="27"/>
      <c r="L467" s="27"/>
      <c r="M467" s="27"/>
      <c r="N467" s="27"/>
      <c r="O467" s="27"/>
      <c r="P467" s="27"/>
      <c r="Q467" s="28"/>
      <c r="R467" s="28"/>
      <c r="S467" s="28"/>
      <c r="T467" s="27"/>
      <c r="U467" s="28"/>
      <c r="V467" s="28"/>
      <c r="W467" s="28"/>
      <c r="X467" s="28"/>
      <c r="Y467" s="28"/>
      <c r="Z467" s="28"/>
      <c r="AA467" s="28"/>
      <c r="AB467" s="27"/>
      <c r="AC467" s="27"/>
      <c r="AD467" s="28"/>
      <c r="AE467" s="28"/>
      <c r="AF467" s="27"/>
      <c r="AG467" s="27"/>
      <c r="AH467" s="27"/>
      <c r="AI467" s="27"/>
      <c r="AJ467" s="27"/>
      <c r="AK467" s="27"/>
      <c r="AL467" s="27"/>
      <c r="AM467" s="27"/>
      <c r="AN467" s="27"/>
      <c r="AO467" s="27"/>
      <c r="AP467" s="27"/>
      <c r="AQ467" s="28"/>
      <c r="AR467" s="28"/>
      <c r="AS467" s="27"/>
      <c r="AT467" s="28"/>
      <c r="AU467" s="27"/>
      <c r="AV467" s="27"/>
      <c r="AW467" s="27"/>
      <c r="AX467" s="27"/>
      <c r="AY467" s="28"/>
      <c r="AZ467" s="28"/>
      <c r="BA467" s="28"/>
      <c r="BB467" s="26"/>
      <c r="BC467" s="27"/>
      <c r="BD467" s="93"/>
      <c r="BE467" s="28"/>
      <c r="BF467" s="28"/>
    </row>
    <row r="468" spans="1:58" ht="20.25" customHeight="1">
      <c r="A468" s="27"/>
      <c r="B468" s="27"/>
      <c r="C468" s="137"/>
      <c r="D468" s="27"/>
      <c r="E468" s="27"/>
      <c r="F468" s="206"/>
      <c r="G468" s="27"/>
      <c r="H468" s="27"/>
      <c r="I468" s="29"/>
      <c r="J468" s="29"/>
      <c r="K468" s="27"/>
      <c r="L468" s="27"/>
      <c r="M468" s="27"/>
      <c r="N468" s="27"/>
      <c r="O468" s="27"/>
      <c r="P468" s="27"/>
      <c r="Q468" s="28"/>
      <c r="R468" s="28"/>
      <c r="S468" s="28"/>
      <c r="T468" s="27"/>
      <c r="U468" s="28"/>
      <c r="V468" s="28"/>
      <c r="W468" s="28"/>
      <c r="X468" s="28"/>
      <c r="Y468" s="28"/>
      <c r="Z468" s="28"/>
      <c r="AA468" s="28"/>
      <c r="AB468" s="27"/>
      <c r="AC468" s="27"/>
      <c r="AD468" s="28"/>
      <c r="AE468" s="28"/>
      <c r="AF468" s="27"/>
      <c r="AG468" s="27"/>
      <c r="AH468" s="27"/>
      <c r="AI468" s="27"/>
      <c r="AJ468" s="27"/>
      <c r="AK468" s="27"/>
      <c r="AL468" s="27"/>
      <c r="AM468" s="27"/>
      <c r="AN468" s="27"/>
      <c r="AO468" s="27"/>
      <c r="AP468" s="27"/>
      <c r="AQ468" s="28"/>
      <c r="AR468" s="28"/>
      <c r="AS468" s="27"/>
      <c r="AT468" s="28"/>
      <c r="AU468" s="27"/>
      <c r="AV468" s="27"/>
      <c r="AW468" s="27"/>
      <c r="AX468" s="27"/>
      <c r="AY468" s="28"/>
      <c r="AZ468" s="28"/>
      <c r="BA468" s="28"/>
      <c r="BB468" s="26"/>
      <c r="BC468" s="27"/>
      <c r="BD468" s="93"/>
      <c r="BE468" s="28"/>
      <c r="BF468" s="28"/>
    </row>
    <row r="469" spans="1:58" ht="20.25" customHeight="1">
      <c r="A469" s="27"/>
      <c r="B469" s="27"/>
      <c r="C469" s="137"/>
      <c r="D469" s="27"/>
      <c r="E469" s="27"/>
      <c r="F469" s="206"/>
      <c r="G469" s="27"/>
      <c r="H469" s="27"/>
      <c r="I469" s="29"/>
      <c r="J469" s="29"/>
      <c r="K469" s="27"/>
      <c r="L469" s="27"/>
      <c r="M469" s="27"/>
      <c r="N469" s="27"/>
      <c r="O469" s="27"/>
      <c r="P469" s="27"/>
      <c r="Q469" s="28"/>
      <c r="R469" s="28"/>
      <c r="S469" s="28"/>
      <c r="T469" s="27"/>
      <c r="U469" s="28"/>
      <c r="V469" s="28"/>
      <c r="W469" s="28"/>
      <c r="X469" s="28"/>
      <c r="Y469" s="28"/>
      <c r="Z469" s="28"/>
      <c r="AA469" s="28"/>
      <c r="AB469" s="27"/>
      <c r="AC469" s="27"/>
      <c r="AD469" s="28"/>
      <c r="AE469" s="28"/>
      <c r="AF469" s="27"/>
      <c r="AG469" s="27"/>
      <c r="AH469" s="27"/>
      <c r="AI469" s="27"/>
      <c r="AJ469" s="27"/>
      <c r="AK469" s="27"/>
      <c r="AL469" s="27"/>
      <c r="AM469" s="27"/>
      <c r="AN469" s="27"/>
      <c r="AO469" s="27"/>
      <c r="AP469" s="27"/>
      <c r="AQ469" s="28"/>
      <c r="AR469" s="28"/>
      <c r="AS469" s="27"/>
      <c r="AT469" s="28"/>
      <c r="AU469" s="27"/>
      <c r="AV469" s="27"/>
      <c r="AW469" s="27"/>
      <c r="AX469" s="27"/>
      <c r="AY469" s="28"/>
      <c r="AZ469" s="28"/>
      <c r="BA469" s="28"/>
      <c r="BB469" s="26"/>
      <c r="BC469" s="27"/>
      <c r="BD469" s="93"/>
      <c r="BE469" s="28"/>
      <c r="BF469" s="28"/>
    </row>
    <row r="470" spans="1:58" ht="20.25" customHeight="1">
      <c r="A470" s="27"/>
      <c r="B470" s="27"/>
      <c r="C470" s="137"/>
      <c r="D470" s="27"/>
      <c r="E470" s="27"/>
      <c r="F470" s="206"/>
      <c r="G470" s="27"/>
      <c r="H470" s="27"/>
      <c r="I470" s="29"/>
      <c r="J470" s="29"/>
      <c r="K470" s="27"/>
      <c r="L470" s="27"/>
      <c r="M470" s="27"/>
      <c r="N470" s="27"/>
      <c r="O470" s="27"/>
      <c r="P470" s="27"/>
      <c r="Q470" s="28"/>
      <c r="R470" s="28"/>
      <c r="S470" s="28"/>
      <c r="T470" s="27"/>
      <c r="U470" s="28"/>
      <c r="V470" s="28"/>
      <c r="W470" s="28"/>
      <c r="X470" s="28"/>
      <c r="Y470" s="28"/>
      <c r="Z470" s="28"/>
      <c r="AA470" s="28"/>
      <c r="AB470" s="27"/>
      <c r="AC470" s="27"/>
      <c r="AD470" s="28"/>
      <c r="AE470" s="28"/>
      <c r="AF470" s="27"/>
      <c r="AG470" s="27"/>
      <c r="AH470" s="27"/>
      <c r="AI470" s="27"/>
      <c r="AJ470" s="27"/>
      <c r="AK470" s="27"/>
      <c r="AL470" s="27"/>
      <c r="AM470" s="27"/>
      <c r="AN470" s="27"/>
      <c r="AO470" s="27"/>
      <c r="AP470" s="27"/>
      <c r="AQ470" s="28"/>
      <c r="AR470" s="28"/>
      <c r="AS470" s="27"/>
      <c r="AT470" s="28"/>
      <c r="AU470" s="27"/>
      <c r="AV470" s="27"/>
      <c r="AW470" s="27"/>
      <c r="AX470" s="27"/>
      <c r="AY470" s="28"/>
      <c r="AZ470" s="28"/>
      <c r="BA470" s="28"/>
      <c r="BB470" s="26"/>
      <c r="BC470" s="27"/>
      <c r="BD470" s="93"/>
      <c r="BE470" s="28"/>
      <c r="BF470" s="28"/>
    </row>
    <row r="471" spans="1:58" ht="20.25" customHeight="1">
      <c r="A471" s="27"/>
      <c r="B471" s="27"/>
      <c r="C471" s="137"/>
      <c r="D471" s="27"/>
      <c r="E471" s="27"/>
      <c r="F471" s="206"/>
      <c r="G471" s="27"/>
      <c r="H471" s="27"/>
      <c r="I471" s="29"/>
      <c r="J471" s="29"/>
      <c r="K471" s="27"/>
      <c r="L471" s="27"/>
      <c r="M471" s="27"/>
      <c r="N471" s="27"/>
      <c r="O471" s="27"/>
      <c r="P471" s="27"/>
      <c r="Q471" s="28"/>
      <c r="R471" s="28"/>
      <c r="S471" s="28"/>
      <c r="T471" s="27"/>
      <c r="U471" s="28"/>
      <c r="V471" s="28"/>
      <c r="W471" s="28"/>
      <c r="X471" s="28"/>
      <c r="Y471" s="28"/>
      <c r="Z471" s="28"/>
      <c r="AA471" s="28"/>
      <c r="AB471" s="27"/>
      <c r="AC471" s="27"/>
      <c r="AD471" s="28"/>
      <c r="AE471" s="28"/>
      <c r="AF471" s="27"/>
      <c r="AG471" s="27"/>
      <c r="AH471" s="27"/>
      <c r="AI471" s="27"/>
      <c r="AJ471" s="27"/>
      <c r="AK471" s="27"/>
      <c r="AL471" s="27"/>
      <c r="AM471" s="27"/>
      <c r="AN471" s="27"/>
      <c r="AO471" s="27"/>
      <c r="AP471" s="27"/>
      <c r="AQ471" s="28"/>
      <c r="AR471" s="28"/>
      <c r="AS471" s="27"/>
      <c r="AT471" s="28"/>
      <c r="AU471" s="27"/>
      <c r="AV471" s="27"/>
      <c r="AW471" s="27"/>
      <c r="AX471" s="27"/>
      <c r="AY471" s="28"/>
      <c r="AZ471" s="28"/>
      <c r="BA471" s="28"/>
      <c r="BB471" s="26"/>
      <c r="BC471" s="27"/>
      <c r="BD471" s="93"/>
      <c r="BE471" s="28"/>
      <c r="BF471" s="28"/>
    </row>
    <row r="472" spans="1:58" ht="20.25" customHeight="1">
      <c r="A472" s="27"/>
      <c r="B472" s="27"/>
      <c r="C472" s="137"/>
      <c r="D472" s="27"/>
      <c r="E472" s="27"/>
      <c r="F472" s="206"/>
      <c r="G472" s="27"/>
      <c r="H472" s="27"/>
      <c r="I472" s="29"/>
      <c r="J472" s="29"/>
      <c r="K472" s="27"/>
      <c r="L472" s="27"/>
      <c r="M472" s="27"/>
      <c r="N472" s="27"/>
      <c r="O472" s="27"/>
      <c r="P472" s="27"/>
      <c r="Q472" s="28"/>
      <c r="R472" s="28"/>
      <c r="S472" s="28"/>
      <c r="T472" s="27"/>
      <c r="U472" s="28"/>
      <c r="V472" s="28"/>
      <c r="W472" s="28"/>
      <c r="X472" s="28"/>
      <c r="Y472" s="28"/>
      <c r="Z472" s="28"/>
      <c r="AA472" s="28"/>
      <c r="AB472" s="27"/>
      <c r="AC472" s="27"/>
      <c r="AD472" s="28"/>
      <c r="AE472" s="28"/>
      <c r="AF472" s="27"/>
      <c r="AG472" s="27"/>
      <c r="AH472" s="27"/>
      <c r="AI472" s="27"/>
      <c r="AJ472" s="27"/>
      <c r="AK472" s="27"/>
      <c r="AL472" s="27"/>
      <c r="AM472" s="27"/>
      <c r="AN472" s="27"/>
      <c r="AO472" s="27"/>
      <c r="AP472" s="27"/>
      <c r="AQ472" s="28"/>
      <c r="AR472" s="28"/>
      <c r="AS472" s="27"/>
      <c r="AT472" s="28"/>
      <c r="AU472" s="27"/>
      <c r="AV472" s="27"/>
      <c r="AW472" s="27"/>
      <c r="AX472" s="27"/>
      <c r="AY472" s="28"/>
      <c r="AZ472" s="28"/>
      <c r="BA472" s="28"/>
      <c r="BB472" s="26"/>
      <c r="BC472" s="27"/>
      <c r="BD472" s="93"/>
      <c r="BE472" s="28"/>
      <c r="BF472" s="28"/>
    </row>
    <row r="473" spans="1:58" ht="20.25" customHeight="1">
      <c r="A473" s="27"/>
      <c r="B473" s="27"/>
      <c r="C473" s="137"/>
      <c r="D473" s="27"/>
      <c r="E473" s="27"/>
      <c r="F473" s="206"/>
      <c r="G473" s="27"/>
      <c r="H473" s="27"/>
      <c r="I473" s="29"/>
      <c r="J473" s="29"/>
      <c r="K473" s="27"/>
      <c r="L473" s="27"/>
      <c r="M473" s="27"/>
      <c r="N473" s="27"/>
      <c r="O473" s="27"/>
      <c r="P473" s="27"/>
      <c r="Q473" s="28"/>
      <c r="R473" s="28"/>
      <c r="S473" s="28"/>
      <c r="T473" s="27"/>
      <c r="U473" s="28"/>
      <c r="V473" s="28"/>
      <c r="W473" s="28"/>
      <c r="X473" s="28"/>
      <c r="Y473" s="28"/>
      <c r="Z473" s="28"/>
      <c r="AA473" s="28"/>
      <c r="AB473" s="27"/>
      <c r="AC473" s="27"/>
      <c r="AD473" s="28"/>
      <c r="AE473" s="28"/>
      <c r="AF473" s="27"/>
      <c r="AG473" s="27"/>
      <c r="AH473" s="27"/>
      <c r="AI473" s="27"/>
      <c r="AJ473" s="27"/>
      <c r="AK473" s="27"/>
      <c r="AL473" s="27"/>
      <c r="AM473" s="27"/>
      <c r="AN473" s="27"/>
      <c r="AO473" s="27"/>
      <c r="AP473" s="27"/>
      <c r="AQ473" s="28"/>
      <c r="AR473" s="28"/>
      <c r="AS473" s="27"/>
      <c r="AT473" s="28"/>
      <c r="AU473" s="27"/>
      <c r="AV473" s="27"/>
      <c r="AW473" s="27"/>
      <c r="AX473" s="27"/>
      <c r="AY473" s="28"/>
      <c r="AZ473" s="28"/>
      <c r="BA473" s="28"/>
      <c r="BB473" s="26"/>
      <c r="BC473" s="27"/>
      <c r="BD473" s="93"/>
      <c r="BE473" s="28"/>
      <c r="BF473" s="28"/>
    </row>
    <row r="474" spans="1:58" ht="20.25" customHeight="1">
      <c r="A474" s="27"/>
      <c r="B474" s="27"/>
      <c r="C474" s="137"/>
      <c r="D474" s="27"/>
      <c r="E474" s="27"/>
      <c r="F474" s="206"/>
      <c r="G474" s="27"/>
      <c r="H474" s="27"/>
      <c r="I474" s="29"/>
      <c r="J474" s="29"/>
      <c r="K474" s="27"/>
      <c r="L474" s="27"/>
      <c r="M474" s="27"/>
      <c r="N474" s="27"/>
      <c r="O474" s="27"/>
      <c r="P474" s="27"/>
      <c r="Q474" s="28"/>
      <c r="R474" s="28"/>
      <c r="S474" s="28"/>
      <c r="T474" s="27"/>
      <c r="U474" s="28"/>
      <c r="V474" s="28"/>
      <c r="W474" s="28"/>
      <c r="X474" s="28"/>
      <c r="Y474" s="28"/>
      <c r="Z474" s="28"/>
      <c r="AA474" s="28"/>
      <c r="AB474" s="27"/>
      <c r="AC474" s="27"/>
      <c r="AD474" s="28"/>
      <c r="AE474" s="28"/>
      <c r="AF474" s="27"/>
      <c r="AG474" s="27"/>
      <c r="AH474" s="27"/>
      <c r="AI474" s="27"/>
      <c r="AJ474" s="27"/>
      <c r="AK474" s="27"/>
      <c r="AL474" s="27"/>
      <c r="AM474" s="27"/>
      <c r="AN474" s="27"/>
      <c r="AO474" s="27"/>
      <c r="AP474" s="27"/>
      <c r="AQ474" s="28"/>
      <c r="AR474" s="28"/>
      <c r="AS474" s="27"/>
      <c r="AT474" s="28"/>
      <c r="AU474" s="27"/>
      <c r="AV474" s="27"/>
      <c r="AW474" s="27"/>
      <c r="AX474" s="27"/>
      <c r="AY474" s="28"/>
      <c r="AZ474" s="28"/>
      <c r="BA474" s="28"/>
      <c r="BB474" s="26"/>
      <c r="BC474" s="27"/>
      <c r="BD474" s="93"/>
      <c r="BE474" s="28"/>
      <c r="BF474" s="28"/>
    </row>
    <row r="475" spans="1:58" ht="20.25" customHeight="1">
      <c r="A475" s="27"/>
      <c r="B475" s="27"/>
      <c r="C475" s="137"/>
      <c r="D475" s="27"/>
      <c r="E475" s="27"/>
      <c r="F475" s="206"/>
      <c r="G475" s="27"/>
      <c r="H475" s="27"/>
      <c r="I475" s="29"/>
      <c r="J475" s="29"/>
      <c r="K475" s="27"/>
      <c r="L475" s="27"/>
      <c r="M475" s="27"/>
      <c r="N475" s="27"/>
      <c r="O475" s="27"/>
      <c r="P475" s="27"/>
      <c r="Q475" s="28"/>
      <c r="R475" s="28"/>
      <c r="S475" s="28"/>
      <c r="T475" s="27"/>
      <c r="U475" s="28"/>
      <c r="V475" s="28"/>
      <c r="W475" s="28"/>
      <c r="X475" s="28"/>
      <c r="Y475" s="28"/>
      <c r="Z475" s="28"/>
      <c r="AA475" s="28"/>
      <c r="AB475" s="27"/>
      <c r="AC475" s="27"/>
      <c r="AD475" s="28"/>
      <c r="AE475" s="28"/>
      <c r="AF475" s="27"/>
      <c r="AG475" s="27"/>
      <c r="AH475" s="27"/>
      <c r="AI475" s="27"/>
      <c r="AJ475" s="27"/>
      <c r="AK475" s="27"/>
      <c r="AL475" s="27"/>
      <c r="AM475" s="27"/>
      <c r="AN475" s="27"/>
      <c r="AO475" s="27"/>
      <c r="AP475" s="27"/>
      <c r="AQ475" s="28"/>
      <c r="AR475" s="28"/>
      <c r="AS475" s="27"/>
      <c r="AT475" s="28"/>
      <c r="AU475" s="27"/>
      <c r="AV475" s="27"/>
      <c r="AW475" s="27"/>
      <c r="AX475" s="27"/>
      <c r="AY475" s="28"/>
      <c r="AZ475" s="28"/>
      <c r="BA475" s="28"/>
      <c r="BB475" s="26"/>
      <c r="BC475" s="27"/>
      <c r="BD475" s="93"/>
      <c r="BE475" s="28"/>
      <c r="BF475" s="28"/>
    </row>
    <row r="476" spans="1:58" ht="20.25" customHeight="1">
      <c r="A476" s="27"/>
      <c r="B476" s="27"/>
      <c r="C476" s="137"/>
      <c r="D476" s="27"/>
      <c r="E476" s="27"/>
      <c r="F476" s="206"/>
      <c r="G476" s="27"/>
      <c r="H476" s="27"/>
      <c r="I476" s="29"/>
      <c r="J476" s="29"/>
      <c r="K476" s="27"/>
      <c r="L476" s="27"/>
      <c r="M476" s="27"/>
      <c r="N476" s="27"/>
      <c r="O476" s="27"/>
      <c r="P476" s="27"/>
      <c r="Q476" s="28"/>
      <c r="R476" s="28"/>
      <c r="S476" s="28"/>
      <c r="T476" s="27"/>
      <c r="U476" s="28"/>
      <c r="V476" s="28"/>
      <c r="W476" s="28"/>
      <c r="X476" s="28"/>
      <c r="Y476" s="28"/>
      <c r="Z476" s="28"/>
      <c r="AA476" s="28"/>
      <c r="AB476" s="27"/>
      <c r="AC476" s="27"/>
      <c r="AD476" s="28"/>
      <c r="AE476" s="28"/>
      <c r="AF476" s="27"/>
      <c r="AG476" s="27"/>
      <c r="AH476" s="27"/>
      <c r="AI476" s="27"/>
      <c r="AJ476" s="27"/>
      <c r="AK476" s="27"/>
      <c r="AL476" s="27"/>
      <c r="AM476" s="27"/>
      <c r="AN476" s="27"/>
      <c r="AO476" s="27"/>
      <c r="AP476" s="27"/>
      <c r="AQ476" s="28"/>
      <c r="AR476" s="28"/>
      <c r="AS476" s="27"/>
      <c r="AT476" s="28"/>
      <c r="AU476" s="27"/>
      <c r="AV476" s="27"/>
      <c r="AW476" s="27"/>
      <c r="AX476" s="27"/>
      <c r="AY476" s="28"/>
      <c r="AZ476" s="28"/>
      <c r="BA476" s="28"/>
      <c r="BB476" s="26"/>
      <c r="BC476" s="27"/>
      <c r="BD476" s="93"/>
      <c r="BE476" s="28"/>
      <c r="BF476" s="28"/>
    </row>
    <row r="477" spans="1:58" ht="20.25" customHeight="1">
      <c r="A477" s="27"/>
      <c r="B477" s="27"/>
      <c r="C477" s="137"/>
      <c r="D477" s="27"/>
      <c r="E477" s="27"/>
      <c r="F477" s="206"/>
      <c r="G477" s="27"/>
      <c r="H477" s="27"/>
      <c r="I477" s="29"/>
      <c r="J477" s="29"/>
      <c r="K477" s="27"/>
      <c r="L477" s="27"/>
      <c r="M477" s="27"/>
      <c r="N477" s="27"/>
      <c r="O477" s="27"/>
      <c r="P477" s="27"/>
      <c r="Q477" s="28"/>
      <c r="R477" s="28"/>
      <c r="S477" s="28"/>
      <c r="T477" s="27"/>
      <c r="U477" s="28"/>
      <c r="V477" s="28"/>
      <c r="W477" s="28"/>
      <c r="X477" s="28"/>
      <c r="Y477" s="28"/>
      <c r="Z477" s="28"/>
      <c r="AA477" s="28"/>
      <c r="AB477" s="27"/>
      <c r="AC477" s="27"/>
      <c r="AD477" s="28"/>
      <c r="AE477" s="28"/>
      <c r="AF477" s="27"/>
      <c r="AG477" s="27"/>
      <c r="AH477" s="27"/>
      <c r="AI477" s="27"/>
      <c r="AJ477" s="27"/>
      <c r="AK477" s="27"/>
      <c r="AL477" s="27"/>
      <c r="AM477" s="27"/>
      <c r="AN477" s="27"/>
      <c r="AO477" s="27"/>
      <c r="AP477" s="27"/>
      <c r="AQ477" s="28"/>
      <c r="AR477" s="28"/>
      <c r="AS477" s="27"/>
      <c r="AT477" s="28"/>
      <c r="AU477" s="27"/>
      <c r="AV477" s="27"/>
      <c r="AW477" s="27"/>
      <c r="AX477" s="27"/>
      <c r="AY477" s="28"/>
      <c r="AZ477" s="28"/>
      <c r="BA477" s="28"/>
      <c r="BB477" s="26"/>
      <c r="BC477" s="27"/>
      <c r="BD477" s="93"/>
      <c r="BE477" s="28"/>
      <c r="BF477" s="28"/>
    </row>
    <row r="478" spans="1:58" ht="20.25" customHeight="1">
      <c r="A478" s="27"/>
      <c r="B478" s="27"/>
      <c r="C478" s="137"/>
      <c r="D478" s="27"/>
      <c r="E478" s="27"/>
      <c r="F478" s="206"/>
      <c r="G478" s="27"/>
      <c r="H478" s="27"/>
      <c r="I478" s="29"/>
      <c r="J478" s="29"/>
      <c r="K478" s="27"/>
      <c r="L478" s="27"/>
      <c r="M478" s="27"/>
      <c r="N478" s="27"/>
      <c r="O478" s="27"/>
      <c r="P478" s="27"/>
      <c r="Q478" s="28"/>
      <c r="R478" s="28"/>
      <c r="S478" s="28"/>
      <c r="T478" s="27"/>
      <c r="U478" s="28"/>
      <c r="V478" s="28"/>
      <c r="W478" s="28"/>
      <c r="X478" s="28"/>
      <c r="Y478" s="28"/>
      <c r="Z478" s="28"/>
      <c r="AA478" s="28"/>
      <c r="AB478" s="27"/>
      <c r="AC478" s="27"/>
      <c r="AD478" s="28"/>
      <c r="AE478" s="28"/>
      <c r="AF478" s="27"/>
      <c r="AG478" s="27"/>
      <c r="AH478" s="27"/>
      <c r="AI478" s="27"/>
      <c r="AJ478" s="27"/>
      <c r="AK478" s="27"/>
      <c r="AL478" s="27"/>
      <c r="AM478" s="27"/>
      <c r="AN478" s="27"/>
      <c r="AO478" s="27"/>
      <c r="AP478" s="27"/>
      <c r="AQ478" s="28"/>
      <c r="AR478" s="28"/>
      <c r="AS478" s="27"/>
      <c r="AT478" s="28"/>
      <c r="AU478" s="27"/>
      <c r="AV478" s="27"/>
      <c r="AW478" s="27"/>
      <c r="AX478" s="27"/>
      <c r="AY478" s="28"/>
      <c r="AZ478" s="28"/>
      <c r="BA478" s="28"/>
      <c r="BB478" s="26"/>
      <c r="BC478" s="27"/>
      <c r="BD478" s="93"/>
      <c r="BE478" s="28"/>
      <c r="BF478" s="28"/>
    </row>
    <row r="479" spans="1:58" ht="20.25" customHeight="1">
      <c r="A479" s="27"/>
      <c r="B479" s="27"/>
      <c r="C479" s="137"/>
      <c r="D479" s="27"/>
      <c r="E479" s="27"/>
      <c r="F479" s="206"/>
      <c r="G479" s="27"/>
      <c r="H479" s="27"/>
      <c r="I479" s="29"/>
      <c r="J479" s="29"/>
      <c r="K479" s="27"/>
      <c r="L479" s="27"/>
      <c r="M479" s="27"/>
      <c r="N479" s="27"/>
      <c r="O479" s="27"/>
      <c r="P479" s="27"/>
      <c r="Q479" s="28"/>
      <c r="R479" s="28"/>
      <c r="S479" s="28"/>
      <c r="T479" s="27"/>
      <c r="U479" s="28"/>
      <c r="V479" s="28"/>
      <c r="W479" s="28"/>
      <c r="X479" s="28"/>
      <c r="Y479" s="28"/>
      <c r="Z479" s="28"/>
      <c r="AA479" s="28"/>
      <c r="AB479" s="27"/>
      <c r="AC479" s="27"/>
      <c r="AD479" s="28"/>
      <c r="AE479" s="28"/>
      <c r="AF479" s="27"/>
      <c r="AG479" s="27"/>
      <c r="AH479" s="27"/>
      <c r="AI479" s="27"/>
      <c r="AJ479" s="27"/>
      <c r="AK479" s="27"/>
      <c r="AL479" s="27"/>
      <c r="AM479" s="27"/>
      <c r="AN479" s="27"/>
      <c r="AO479" s="27"/>
      <c r="AP479" s="27"/>
      <c r="AQ479" s="28"/>
      <c r="AR479" s="28"/>
      <c r="AS479" s="27"/>
      <c r="AT479" s="28"/>
      <c r="AU479" s="27"/>
      <c r="AV479" s="27"/>
      <c r="AW479" s="27"/>
      <c r="AX479" s="27"/>
      <c r="AY479" s="28"/>
      <c r="AZ479" s="28"/>
      <c r="BA479" s="28"/>
      <c r="BB479" s="26"/>
      <c r="BC479" s="27"/>
      <c r="BD479" s="93"/>
      <c r="BE479" s="28"/>
      <c r="BF479" s="28"/>
    </row>
    <row r="480" spans="1:58" ht="20.25" customHeight="1">
      <c r="A480" s="27"/>
      <c r="B480" s="27"/>
      <c r="C480" s="137"/>
      <c r="D480" s="27"/>
      <c r="E480" s="27"/>
      <c r="F480" s="206"/>
      <c r="G480" s="27"/>
      <c r="H480" s="27"/>
      <c r="I480" s="29"/>
      <c r="J480" s="29"/>
      <c r="K480" s="27"/>
      <c r="L480" s="27"/>
      <c r="M480" s="27"/>
      <c r="N480" s="27"/>
      <c r="O480" s="27"/>
      <c r="P480" s="27"/>
      <c r="Q480" s="28"/>
      <c r="R480" s="28"/>
      <c r="S480" s="28"/>
      <c r="T480" s="27"/>
      <c r="U480" s="28"/>
      <c r="V480" s="28"/>
      <c r="W480" s="28"/>
      <c r="X480" s="28"/>
      <c r="Y480" s="28"/>
      <c r="Z480" s="28"/>
      <c r="AA480" s="28"/>
      <c r="AB480" s="27"/>
      <c r="AC480" s="27"/>
      <c r="AD480" s="28"/>
      <c r="AE480" s="28"/>
      <c r="AF480" s="27"/>
      <c r="AG480" s="27"/>
      <c r="AH480" s="27"/>
      <c r="AI480" s="27"/>
      <c r="AJ480" s="27"/>
      <c r="AK480" s="27"/>
      <c r="AL480" s="27"/>
      <c r="AM480" s="27"/>
      <c r="AN480" s="27"/>
      <c r="AO480" s="27"/>
      <c r="AP480" s="27"/>
      <c r="AQ480" s="28"/>
      <c r="AR480" s="28"/>
      <c r="AS480" s="27"/>
      <c r="AT480" s="28"/>
      <c r="AU480" s="27"/>
      <c r="AV480" s="27"/>
      <c r="AW480" s="27"/>
      <c r="AX480" s="27"/>
      <c r="AY480" s="28"/>
      <c r="AZ480" s="28"/>
      <c r="BA480" s="28"/>
      <c r="BB480" s="26"/>
      <c r="BC480" s="27"/>
      <c r="BD480" s="93"/>
      <c r="BE480" s="28"/>
      <c r="BF480" s="28"/>
    </row>
    <row r="481" spans="1:58" ht="20.25" customHeight="1">
      <c r="A481" s="27"/>
      <c r="B481" s="27"/>
      <c r="C481" s="137"/>
      <c r="D481" s="27"/>
      <c r="E481" s="27"/>
      <c r="F481" s="206"/>
      <c r="G481" s="27"/>
      <c r="H481" s="27"/>
      <c r="I481" s="29"/>
      <c r="J481" s="29"/>
      <c r="K481" s="27"/>
      <c r="L481" s="27"/>
      <c r="M481" s="27"/>
      <c r="N481" s="27"/>
      <c r="O481" s="27"/>
      <c r="P481" s="27"/>
      <c r="Q481" s="28"/>
      <c r="R481" s="28"/>
      <c r="S481" s="28"/>
      <c r="T481" s="27"/>
      <c r="U481" s="28"/>
      <c r="V481" s="28"/>
      <c r="W481" s="28"/>
      <c r="X481" s="28"/>
      <c r="Y481" s="28"/>
      <c r="Z481" s="28"/>
      <c r="AA481" s="28"/>
      <c r="AB481" s="27"/>
      <c r="AC481" s="27"/>
      <c r="AD481" s="28"/>
      <c r="AE481" s="28"/>
      <c r="AF481" s="27"/>
      <c r="AG481" s="27"/>
      <c r="AH481" s="27"/>
      <c r="AI481" s="27"/>
      <c r="AJ481" s="27"/>
      <c r="AK481" s="27"/>
      <c r="AL481" s="27"/>
      <c r="AM481" s="27"/>
      <c r="AN481" s="27"/>
      <c r="AO481" s="27"/>
      <c r="AP481" s="27"/>
      <c r="AQ481" s="28"/>
      <c r="AR481" s="28"/>
      <c r="AS481" s="27"/>
      <c r="AT481" s="28"/>
      <c r="AU481" s="27"/>
      <c r="AV481" s="27"/>
      <c r="AW481" s="27"/>
      <c r="AX481" s="27"/>
      <c r="AY481" s="28"/>
      <c r="AZ481" s="28"/>
      <c r="BA481" s="28"/>
      <c r="BB481" s="26"/>
      <c r="BC481" s="27"/>
      <c r="BD481" s="93"/>
      <c r="BE481" s="28"/>
      <c r="BF481" s="28"/>
    </row>
    <row r="482" spans="1:58" ht="20.25" customHeight="1">
      <c r="A482" s="27"/>
      <c r="B482" s="27"/>
      <c r="C482" s="137"/>
      <c r="D482" s="27"/>
      <c r="E482" s="27"/>
      <c r="F482" s="206"/>
      <c r="G482" s="27"/>
      <c r="H482" s="27"/>
      <c r="I482" s="29"/>
      <c r="J482" s="29"/>
      <c r="K482" s="27"/>
      <c r="L482" s="27"/>
      <c r="M482" s="27"/>
      <c r="N482" s="27"/>
      <c r="O482" s="27"/>
      <c r="P482" s="27"/>
      <c r="Q482" s="28"/>
      <c r="R482" s="28"/>
      <c r="S482" s="28"/>
      <c r="T482" s="27"/>
      <c r="U482" s="28"/>
      <c r="V482" s="28"/>
      <c r="W482" s="28"/>
      <c r="X482" s="28"/>
      <c r="Y482" s="28"/>
      <c r="Z482" s="28"/>
      <c r="AA482" s="28"/>
      <c r="AB482" s="27"/>
      <c r="AC482" s="27"/>
      <c r="AD482" s="28"/>
      <c r="AE482" s="28"/>
      <c r="AF482" s="27"/>
      <c r="AG482" s="27"/>
      <c r="AH482" s="27"/>
      <c r="AI482" s="27"/>
      <c r="AJ482" s="27"/>
      <c r="AK482" s="27"/>
      <c r="AL482" s="27"/>
      <c r="AM482" s="27"/>
      <c r="AN482" s="27"/>
      <c r="AO482" s="27"/>
      <c r="AP482" s="27"/>
      <c r="AQ482" s="28"/>
      <c r="AR482" s="28"/>
      <c r="AS482" s="27"/>
      <c r="AT482" s="28"/>
      <c r="AU482" s="27"/>
      <c r="AV482" s="27"/>
      <c r="AW482" s="27"/>
      <c r="AX482" s="27"/>
      <c r="AY482" s="28"/>
      <c r="AZ482" s="28"/>
      <c r="BA482" s="28"/>
      <c r="BB482" s="26"/>
      <c r="BC482" s="27"/>
      <c r="BD482" s="93"/>
      <c r="BE482" s="28"/>
      <c r="BF482" s="28"/>
    </row>
    <row r="483" spans="1:58" ht="20.25" customHeight="1">
      <c r="A483" s="27"/>
      <c r="B483" s="27"/>
      <c r="C483" s="137"/>
      <c r="D483" s="27"/>
      <c r="E483" s="27"/>
      <c r="F483" s="206"/>
      <c r="G483" s="27"/>
      <c r="H483" s="27"/>
      <c r="I483" s="29"/>
      <c r="J483" s="29"/>
      <c r="K483" s="27"/>
      <c r="L483" s="27"/>
      <c r="M483" s="27"/>
      <c r="N483" s="27"/>
      <c r="O483" s="27"/>
      <c r="P483" s="27"/>
      <c r="Q483" s="28"/>
      <c r="R483" s="28"/>
      <c r="S483" s="28"/>
      <c r="T483" s="27"/>
      <c r="U483" s="28"/>
      <c r="V483" s="28"/>
      <c r="W483" s="28"/>
      <c r="X483" s="28"/>
      <c r="Y483" s="28"/>
      <c r="Z483" s="28"/>
      <c r="AA483" s="28"/>
      <c r="AB483" s="27"/>
      <c r="AC483" s="27"/>
      <c r="AD483" s="28"/>
      <c r="AE483" s="28"/>
      <c r="AF483" s="27"/>
      <c r="AG483" s="27"/>
      <c r="AH483" s="27"/>
      <c r="AI483" s="27"/>
      <c r="AJ483" s="27"/>
      <c r="AK483" s="27"/>
      <c r="AL483" s="27"/>
      <c r="AM483" s="27"/>
      <c r="AN483" s="27"/>
      <c r="AO483" s="27"/>
      <c r="AP483" s="27"/>
      <c r="AQ483" s="28"/>
      <c r="AR483" s="28"/>
      <c r="AS483" s="27"/>
      <c r="AT483" s="28"/>
      <c r="AU483" s="27"/>
      <c r="AV483" s="27"/>
      <c r="AW483" s="27"/>
      <c r="AX483" s="27"/>
      <c r="AY483" s="28"/>
      <c r="AZ483" s="28"/>
      <c r="BA483" s="28"/>
      <c r="BB483" s="26"/>
      <c r="BC483" s="27"/>
      <c r="BD483" s="93"/>
      <c r="BE483" s="28"/>
      <c r="BF483" s="28"/>
    </row>
    <row r="484" spans="1:58" ht="20.25" customHeight="1">
      <c r="A484" s="27"/>
      <c r="B484" s="27"/>
      <c r="C484" s="137"/>
      <c r="D484" s="27"/>
      <c r="E484" s="27"/>
      <c r="F484" s="206"/>
      <c r="G484" s="27"/>
      <c r="H484" s="27"/>
      <c r="I484" s="29"/>
      <c r="J484" s="29"/>
      <c r="K484" s="27"/>
      <c r="L484" s="27"/>
      <c r="M484" s="27"/>
      <c r="N484" s="27"/>
      <c r="O484" s="27"/>
      <c r="P484" s="27"/>
      <c r="Q484" s="28"/>
      <c r="R484" s="28"/>
      <c r="S484" s="28"/>
      <c r="T484" s="27"/>
      <c r="U484" s="28"/>
      <c r="V484" s="28"/>
      <c r="W484" s="28"/>
      <c r="X484" s="28"/>
      <c r="Y484" s="28"/>
      <c r="Z484" s="28"/>
      <c r="AA484" s="28"/>
      <c r="AB484" s="27"/>
      <c r="AC484" s="27"/>
      <c r="AD484" s="28"/>
      <c r="AE484" s="28"/>
      <c r="AF484" s="27"/>
      <c r="AG484" s="27"/>
      <c r="AH484" s="27"/>
      <c r="AI484" s="27"/>
      <c r="AJ484" s="27"/>
      <c r="AK484" s="27"/>
      <c r="AL484" s="27"/>
      <c r="AM484" s="27"/>
      <c r="AN484" s="27"/>
      <c r="AO484" s="27"/>
      <c r="AP484" s="27"/>
      <c r="AQ484" s="28"/>
      <c r="AR484" s="28"/>
      <c r="AS484" s="27"/>
      <c r="AT484" s="28"/>
      <c r="AU484" s="27"/>
      <c r="AV484" s="27"/>
      <c r="AW484" s="27"/>
      <c r="AX484" s="27"/>
      <c r="AY484" s="28"/>
      <c r="AZ484" s="28"/>
      <c r="BA484" s="28"/>
      <c r="BB484" s="26"/>
      <c r="BC484" s="27"/>
      <c r="BD484" s="93"/>
      <c r="BE484" s="28"/>
      <c r="BF484" s="28"/>
    </row>
    <row r="485" spans="1:58" ht="20.25" customHeight="1">
      <c r="A485" s="27"/>
      <c r="B485" s="27"/>
      <c r="C485" s="137"/>
      <c r="D485" s="27"/>
      <c r="E485" s="27"/>
      <c r="F485" s="206"/>
      <c r="G485" s="27"/>
      <c r="H485" s="27"/>
      <c r="I485" s="29"/>
      <c r="J485" s="29"/>
      <c r="K485" s="27"/>
      <c r="L485" s="27"/>
      <c r="M485" s="27"/>
      <c r="N485" s="27"/>
      <c r="O485" s="27"/>
      <c r="P485" s="27"/>
      <c r="Q485" s="28"/>
      <c r="R485" s="28"/>
      <c r="S485" s="28"/>
      <c r="T485" s="27"/>
      <c r="U485" s="28"/>
      <c r="V485" s="28"/>
      <c r="W485" s="28"/>
      <c r="X485" s="28"/>
      <c r="Y485" s="28"/>
      <c r="Z485" s="28"/>
      <c r="AA485" s="28"/>
      <c r="AB485" s="27"/>
      <c r="AC485" s="27"/>
      <c r="AD485" s="28"/>
      <c r="AE485" s="28"/>
      <c r="AF485" s="27"/>
      <c r="AG485" s="27"/>
      <c r="AH485" s="27"/>
      <c r="AI485" s="27"/>
      <c r="AJ485" s="27"/>
      <c r="AK485" s="27"/>
      <c r="AL485" s="27"/>
      <c r="AM485" s="27"/>
      <c r="AN485" s="27"/>
      <c r="AO485" s="27"/>
      <c r="AP485" s="27"/>
      <c r="AQ485" s="28"/>
      <c r="AR485" s="28"/>
      <c r="AS485" s="27"/>
      <c r="AT485" s="28"/>
      <c r="AU485" s="27"/>
      <c r="AV485" s="27"/>
      <c r="AW485" s="27"/>
      <c r="AX485" s="27"/>
      <c r="AY485" s="28"/>
      <c r="AZ485" s="28"/>
      <c r="BA485" s="28"/>
      <c r="BB485" s="26"/>
      <c r="BC485" s="27"/>
      <c r="BD485" s="93"/>
      <c r="BE485" s="28"/>
      <c r="BF485" s="28"/>
    </row>
    <row r="486" spans="1:58" ht="20.25" customHeight="1">
      <c r="A486" s="27"/>
      <c r="B486" s="27"/>
      <c r="C486" s="137"/>
      <c r="D486" s="27"/>
      <c r="E486" s="27"/>
      <c r="F486" s="206"/>
      <c r="G486" s="27"/>
      <c r="H486" s="27"/>
      <c r="I486" s="29"/>
      <c r="J486" s="29"/>
      <c r="K486" s="27"/>
      <c r="L486" s="27"/>
      <c r="M486" s="27"/>
      <c r="N486" s="27"/>
      <c r="O486" s="27"/>
      <c r="P486" s="27"/>
      <c r="Q486" s="28"/>
      <c r="R486" s="28"/>
      <c r="S486" s="28"/>
      <c r="T486" s="27"/>
      <c r="U486" s="28"/>
      <c r="V486" s="28"/>
      <c r="W486" s="28"/>
      <c r="X486" s="28"/>
      <c r="Y486" s="28"/>
      <c r="Z486" s="28"/>
      <c r="AA486" s="28"/>
      <c r="AB486" s="27"/>
      <c r="AC486" s="27"/>
      <c r="AD486" s="28"/>
      <c r="AE486" s="28"/>
      <c r="AF486" s="27"/>
      <c r="AG486" s="27"/>
      <c r="AH486" s="27"/>
      <c r="AI486" s="27"/>
      <c r="AJ486" s="27"/>
      <c r="AK486" s="27"/>
      <c r="AL486" s="27"/>
      <c r="AM486" s="27"/>
      <c r="AN486" s="27"/>
      <c r="AO486" s="27"/>
      <c r="AP486" s="27"/>
      <c r="AQ486" s="28"/>
      <c r="AR486" s="28"/>
      <c r="AS486" s="27"/>
      <c r="AT486" s="28"/>
      <c r="AU486" s="27"/>
      <c r="AV486" s="27"/>
      <c r="AW486" s="27"/>
      <c r="AX486" s="27"/>
      <c r="AY486" s="28"/>
      <c r="AZ486" s="28"/>
      <c r="BA486" s="28"/>
      <c r="BB486" s="26"/>
      <c r="BC486" s="27"/>
      <c r="BD486" s="93"/>
      <c r="BE486" s="28"/>
      <c r="BF486" s="28"/>
    </row>
    <row r="487" spans="1:58" ht="20.25" customHeight="1">
      <c r="A487" s="27"/>
      <c r="B487" s="27"/>
      <c r="C487" s="137"/>
      <c r="D487" s="27"/>
      <c r="E487" s="27"/>
      <c r="F487" s="206"/>
      <c r="G487" s="27"/>
      <c r="H487" s="27"/>
      <c r="I487" s="29"/>
      <c r="J487" s="29"/>
      <c r="K487" s="27"/>
      <c r="L487" s="27"/>
      <c r="M487" s="27"/>
      <c r="N487" s="27"/>
      <c r="O487" s="27"/>
      <c r="P487" s="27"/>
      <c r="Q487" s="28"/>
      <c r="R487" s="28"/>
      <c r="S487" s="28"/>
      <c r="T487" s="27"/>
      <c r="U487" s="28"/>
      <c r="V487" s="28"/>
      <c r="W487" s="28"/>
      <c r="X487" s="28"/>
      <c r="Y487" s="28"/>
      <c r="Z487" s="28"/>
      <c r="AA487" s="28"/>
      <c r="AB487" s="27"/>
      <c r="AC487" s="27"/>
      <c r="AD487" s="28"/>
      <c r="AE487" s="28"/>
      <c r="AF487" s="27"/>
      <c r="AG487" s="27"/>
      <c r="AH487" s="27"/>
      <c r="AI487" s="27"/>
      <c r="AJ487" s="27"/>
      <c r="AK487" s="27"/>
      <c r="AL487" s="27"/>
      <c r="AM487" s="27"/>
      <c r="AN487" s="27"/>
      <c r="AO487" s="27"/>
      <c r="AP487" s="27"/>
      <c r="AQ487" s="28"/>
      <c r="AR487" s="28"/>
      <c r="AS487" s="27"/>
      <c r="AT487" s="28"/>
      <c r="AU487" s="27"/>
      <c r="AV487" s="27"/>
      <c r="AW487" s="27"/>
      <c r="AX487" s="27"/>
      <c r="AY487" s="28"/>
      <c r="AZ487" s="28"/>
      <c r="BA487" s="28"/>
      <c r="BB487" s="26"/>
      <c r="BC487" s="27"/>
      <c r="BD487" s="93"/>
      <c r="BE487" s="28"/>
      <c r="BF487" s="28"/>
    </row>
    <row r="488" spans="1:58" ht="20.25" customHeight="1">
      <c r="A488" s="27"/>
      <c r="B488" s="27"/>
      <c r="C488" s="137"/>
      <c r="D488" s="27"/>
      <c r="E488" s="27"/>
      <c r="F488" s="206"/>
      <c r="G488" s="27"/>
      <c r="H488" s="27"/>
      <c r="I488" s="29"/>
      <c r="J488" s="29"/>
      <c r="K488" s="27"/>
      <c r="L488" s="27"/>
      <c r="M488" s="27"/>
      <c r="N488" s="27"/>
      <c r="O488" s="27"/>
      <c r="P488" s="27"/>
      <c r="Q488" s="28"/>
      <c r="R488" s="28"/>
      <c r="S488" s="28"/>
      <c r="T488" s="27"/>
      <c r="U488" s="28"/>
      <c r="V488" s="28"/>
      <c r="W488" s="28"/>
      <c r="X488" s="28"/>
      <c r="Y488" s="28"/>
      <c r="Z488" s="28"/>
      <c r="AA488" s="28"/>
      <c r="AB488" s="27"/>
      <c r="AC488" s="27"/>
      <c r="AD488" s="28"/>
      <c r="AE488" s="28"/>
      <c r="AF488" s="27"/>
      <c r="AG488" s="27"/>
      <c r="AH488" s="27"/>
      <c r="AI488" s="27"/>
      <c r="AJ488" s="27"/>
      <c r="AK488" s="27"/>
      <c r="AL488" s="27"/>
      <c r="AM488" s="27"/>
      <c r="AN488" s="27"/>
      <c r="AO488" s="27"/>
      <c r="AP488" s="27"/>
      <c r="AQ488" s="28"/>
      <c r="AR488" s="28"/>
      <c r="AS488" s="27"/>
      <c r="AT488" s="28"/>
      <c r="AU488" s="27"/>
      <c r="AV488" s="27"/>
      <c r="AW488" s="27"/>
      <c r="AX488" s="27"/>
      <c r="AY488" s="28"/>
      <c r="AZ488" s="28"/>
      <c r="BA488" s="28"/>
      <c r="BB488" s="26"/>
      <c r="BC488" s="27"/>
      <c r="BD488" s="93"/>
      <c r="BE488" s="28"/>
      <c r="BF488" s="28"/>
    </row>
    <row r="489" spans="1:58" ht="20.25" customHeight="1">
      <c r="A489" s="27"/>
      <c r="B489" s="27"/>
      <c r="C489" s="137"/>
      <c r="D489" s="27"/>
      <c r="E489" s="27"/>
      <c r="F489" s="206"/>
      <c r="G489" s="27"/>
      <c r="H489" s="27"/>
      <c r="I489" s="29"/>
      <c r="J489" s="29"/>
      <c r="K489" s="27"/>
      <c r="L489" s="27"/>
      <c r="M489" s="27"/>
      <c r="N489" s="27"/>
      <c r="O489" s="27"/>
      <c r="P489" s="27"/>
      <c r="Q489" s="28"/>
      <c r="R489" s="28"/>
      <c r="S489" s="28"/>
      <c r="T489" s="27"/>
      <c r="U489" s="28"/>
      <c r="V489" s="28"/>
      <c r="W489" s="28"/>
      <c r="X489" s="28"/>
      <c r="Y489" s="28"/>
      <c r="Z489" s="28"/>
      <c r="AA489" s="28"/>
      <c r="AB489" s="27"/>
      <c r="AC489" s="27"/>
      <c r="AD489" s="28"/>
      <c r="AE489" s="28"/>
      <c r="AF489" s="27"/>
      <c r="AG489" s="27"/>
      <c r="AH489" s="27"/>
      <c r="AI489" s="27"/>
      <c r="AJ489" s="27"/>
      <c r="AK489" s="27"/>
      <c r="AL489" s="27"/>
      <c r="AM489" s="27"/>
      <c r="AN489" s="27"/>
      <c r="AO489" s="27"/>
      <c r="AP489" s="27"/>
      <c r="AQ489" s="28"/>
      <c r="AR489" s="28"/>
      <c r="AS489" s="27"/>
      <c r="AT489" s="28"/>
      <c r="AU489" s="27"/>
      <c r="AV489" s="27"/>
      <c r="AW489" s="27"/>
      <c r="AX489" s="27"/>
      <c r="AY489" s="28"/>
      <c r="AZ489" s="28"/>
      <c r="BA489" s="28"/>
      <c r="BB489" s="26"/>
      <c r="BC489" s="27"/>
      <c r="BD489" s="93"/>
      <c r="BE489" s="28"/>
      <c r="BF489" s="28"/>
    </row>
    <row r="490" spans="1:58" ht="20.25" customHeight="1">
      <c r="A490" s="27"/>
      <c r="B490" s="27"/>
      <c r="C490" s="137"/>
      <c r="D490" s="27"/>
      <c r="E490" s="27"/>
      <c r="F490" s="206"/>
      <c r="G490" s="27"/>
      <c r="H490" s="27"/>
      <c r="I490" s="29"/>
      <c r="J490" s="29"/>
      <c r="K490" s="27"/>
      <c r="L490" s="27"/>
      <c r="M490" s="27"/>
      <c r="N490" s="27"/>
      <c r="O490" s="27"/>
      <c r="P490" s="27"/>
      <c r="Q490" s="28"/>
      <c r="R490" s="28"/>
      <c r="S490" s="28"/>
      <c r="T490" s="27"/>
      <c r="U490" s="28"/>
      <c r="V490" s="28"/>
      <c r="W490" s="28"/>
      <c r="X490" s="28"/>
      <c r="Y490" s="28"/>
      <c r="Z490" s="28"/>
      <c r="AA490" s="28"/>
      <c r="AB490" s="27"/>
      <c r="AC490" s="27"/>
      <c r="AD490" s="28"/>
      <c r="AE490" s="28"/>
      <c r="AF490" s="27"/>
      <c r="AG490" s="27"/>
      <c r="AH490" s="27"/>
      <c r="AI490" s="27"/>
      <c r="AJ490" s="27"/>
      <c r="AK490" s="27"/>
      <c r="AL490" s="27"/>
      <c r="AM490" s="27"/>
      <c r="AN490" s="27"/>
      <c r="AO490" s="27"/>
      <c r="AP490" s="27"/>
      <c r="AQ490" s="28"/>
      <c r="AR490" s="28"/>
      <c r="AS490" s="27"/>
      <c r="AT490" s="28"/>
      <c r="AU490" s="27"/>
      <c r="AV490" s="27"/>
      <c r="AW490" s="27"/>
      <c r="AX490" s="27"/>
      <c r="AY490" s="28"/>
      <c r="AZ490" s="28"/>
      <c r="BA490" s="28"/>
      <c r="BB490" s="26"/>
      <c r="BC490" s="27"/>
      <c r="BD490" s="93"/>
      <c r="BE490" s="28"/>
      <c r="BF490" s="28"/>
    </row>
    <row r="491" spans="1:58" ht="20.25" customHeight="1">
      <c r="A491" s="27"/>
      <c r="B491" s="27"/>
      <c r="C491" s="137"/>
      <c r="D491" s="27"/>
      <c r="E491" s="27"/>
      <c r="F491" s="206"/>
      <c r="G491" s="27"/>
      <c r="H491" s="27"/>
      <c r="I491" s="29"/>
      <c r="J491" s="29"/>
      <c r="K491" s="27"/>
      <c r="L491" s="27"/>
      <c r="M491" s="27"/>
      <c r="N491" s="27"/>
      <c r="O491" s="27"/>
      <c r="P491" s="27"/>
      <c r="Q491" s="28"/>
      <c r="R491" s="28"/>
      <c r="S491" s="28"/>
      <c r="T491" s="27"/>
      <c r="U491" s="28"/>
      <c r="V491" s="28"/>
      <c r="W491" s="28"/>
      <c r="X491" s="28"/>
      <c r="Y491" s="28"/>
      <c r="Z491" s="28"/>
      <c r="AA491" s="28"/>
      <c r="AB491" s="27"/>
      <c r="AC491" s="27"/>
      <c r="AD491" s="28"/>
      <c r="AE491" s="28"/>
      <c r="AF491" s="27"/>
      <c r="AG491" s="27"/>
      <c r="AH491" s="27"/>
      <c r="AI491" s="27"/>
      <c r="AJ491" s="27"/>
      <c r="AK491" s="27"/>
      <c r="AL491" s="27"/>
      <c r="AM491" s="27"/>
      <c r="AN491" s="27"/>
      <c r="AO491" s="27"/>
      <c r="AP491" s="27"/>
      <c r="AQ491" s="28"/>
      <c r="AR491" s="28"/>
      <c r="AS491" s="27"/>
      <c r="AT491" s="28"/>
      <c r="AU491" s="27"/>
      <c r="AV491" s="27"/>
      <c r="AW491" s="27"/>
      <c r="AX491" s="27"/>
      <c r="AY491" s="28"/>
      <c r="AZ491" s="28"/>
      <c r="BA491" s="28"/>
      <c r="BB491" s="26"/>
      <c r="BC491" s="27"/>
      <c r="BD491" s="93"/>
      <c r="BE491" s="28"/>
      <c r="BF491" s="28"/>
    </row>
    <row r="492" spans="1:58" ht="20.25" customHeight="1">
      <c r="A492" s="27"/>
      <c r="B492" s="27"/>
      <c r="C492" s="137"/>
      <c r="D492" s="27"/>
      <c r="E492" s="27"/>
      <c r="F492" s="206"/>
      <c r="G492" s="27"/>
      <c r="H492" s="27"/>
      <c r="I492" s="29"/>
      <c r="J492" s="29"/>
      <c r="K492" s="27"/>
      <c r="L492" s="27"/>
      <c r="M492" s="27"/>
      <c r="N492" s="27"/>
      <c r="O492" s="27"/>
      <c r="P492" s="27"/>
      <c r="Q492" s="28"/>
      <c r="R492" s="28"/>
      <c r="S492" s="28"/>
      <c r="T492" s="27"/>
      <c r="U492" s="28"/>
      <c r="V492" s="28"/>
      <c r="W492" s="28"/>
      <c r="X492" s="28"/>
      <c r="Y492" s="28"/>
      <c r="Z492" s="28"/>
      <c r="AA492" s="28"/>
      <c r="AB492" s="27"/>
      <c r="AC492" s="27"/>
      <c r="AD492" s="28"/>
      <c r="AE492" s="28"/>
      <c r="AF492" s="27"/>
      <c r="AG492" s="27"/>
      <c r="AH492" s="27"/>
      <c r="AI492" s="27"/>
      <c r="AJ492" s="27"/>
      <c r="AK492" s="27"/>
      <c r="AL492" s="27"/>
      <c r="AM492" s="27"/>
      <c r="AN492" s="27"/>
      <c r="AO492" s="27"/>
      <c r="AP492" s="27"/>
      <c r="AQ492" s="28"/>
      <c r="AR492" s="28"/>
      <c r="AS492" s="27"/>
      <c r="AT492" s="28"/>
      <c r="AU492" s="27"/>
      <c r="AV492" s="27"/>
      <c r="AW492" s="27"/>
      <c r="AX492" s="27"/>
      <c r="AY492" s="28"/>
      <c r="AZ492" s="28"/>
      <c r="BA492" s="28"/>
      <c r="BB492" s="26"/>
      <c r="BC492" s="27"/>
      <c r="BD492" s="93"/>
      <c r="BE492" s="28"/>
      <c r="BF492" s="28"/>
    </row>
    <row r="493" spans="1:58" ht="20.25" customHeight="1">
      <c r="A493" s="27"/>
      <c r="B493" s="27"/>
      <c r="C493" s="137"/>
      <c r="D493" s="27"/>
      <c r="E493" s="27"/>
      <c r="F493" s="206"/>
      <c r="G493" s="27"/>
      <c r="H493" s="27"/>
      <c r="I493" s="29"/>
      <c r="J493" s="29"/>
      <c r="K493" s="27"/>
      <c r="L493" s="27"/>
      <c r="M493" s="27"/>
      <c r="N493" s="27"/>
      <c r="O493" s="27"/>
      <c r="P493" s="27"/>
      <c r="Q493" s="28"/>
      <c r="R493" s="28"/>
      <c r="S493" s="28"/>
      <c r="T493" s="27"/>
      <c r="U493" s="28"/>
      <c r="V493" s="28"/>
      <c r="W493" s="28"/>
      <c r="X493" s="28"/>
      <c r="Y493" s="28"/>
      <c r="Z493" s="28"/>
      <c r="AA493" s="28"/>
      <c r="AB493" s="27"/>
      <c r="AC493" s="27"/>
      <c r="AD493" s="28"/>
      <c r="AE493" s="28"/>
      <c r="AF493" s="27"/>
      <c r="AG493" s="27"/>
      <c r="AH493" s="27"/>
      <c r="AI493" s="27"/>
      <c r="AJ493" s="27"/>
      <c r="AK493" s="27"/>
      <c r="AL493" s="27"/>
      <c r="AM493" s="27"/>
      <c r="AN493" s="27"/>
      <c r="AO493" s="27"/>
      <c r="AP493" s="27"/>
      <c r="AQ493" s="28"/>
      <c r="AR493" s="28"/>
      <c r="AS493" s="27"/>
      <c r="AT493" s="28"/>
      <c r="AU493" s="27"/>
      <c r="AV493" s="27"/>
      <c r="AW493" s="27"/>
      <c r="AX493" s="27"/>
      <c r="AY493" s="28"/>
      <c r="AZ493" s="28"/>
      <c r="BA493" s="28"/>
      <c r="BB493" s="26"/>
      <c r="BC493" s="27"/>
      <c r="BD493" s="93"/>
      <c r="BE493" s="28"/>
      <c r="BF493" s="28"/>
    </row>
    <row r="494" spans="1:58" ht="20.25" customHeight="1">
      <c r="A494" s="27"/>
      <c r="B494" s="27"/>
      <c r="C494" s="137"/>
      <c r="D494" s="27"/>
      <c r="E494" s="27"/>
      <c r="F494" s="206"/>
      <c r="G494" s="27"/>
      <c r="H494" s="27"/>
      <c r="I494" s="29"/>
      <c r="J494" s="29"/>
      <c r="K494" s="27"/>
      <c r="L494" s="27"/>
      <c r="M494" s="27"/>
      <c r="N494" s="27"/>
      <c r="O494" s="27"/>
      <c r="P494" s="27"/>
      <c r="Q494" s="28"/>
      <c r="R494" s="28"/>
      <c r="S494" s="28"/>
      <c r="T494" s="27"/>
      <c r="U494" s="28"/>
      <c r="V494" s="28"/>
      <c r="W494" s="28"/>
      <c r="X494" s="28"/>
      <c r="Y494" s="28"/>
      <c r="Z494" s="28"/>
      <c r="AA494" s="28"/>
      <c r="AB494" s="27"/>
      <c r="AC494" s="27"/>
      <c r="AD494" s="28"/>
      <c r="AE494" s="28"/>
      <c r="AF494" s="27"/>
      <c r="AG494" s="27"/>
      <c r="AH494" s="27"/>
      <c r="AI494" s="27"/>
      <c r="AJ494" s="27"/>
      <c r="AK494" s="27"/>
      <c r="AL494" s="27"/>
      <c r="AM494" s="27"/>
      <c r="AN494" s="27"/>
      <c r="AO494" s="27"/>
      <c r="AP494" s="27"/>
      <c r="AQ494" s="28"/>
      <c r="AR494" s="28"/>
      <c r="AS494" s="27"/>
      <c r="AT494" s="28"/>
      <c r="AU494" s="27"/>
      <c r="AV494" s="27"/>
      <c r="AW494" s="27"/>
      <c r="AX494" s="27"/>
      <c r="AY494" s="28"/>
      <c r="AZ494" s="28"/>
      <c r="BA494" s="28"/>
      <c r="BB494" s="26"/>
      <c r="BC494" s="27"/>
      <c r="BD494" s="93"/>
      <c r="BE494" s="28"/>
      <c r="BF494" s="28"/>
    </row>
    <row r="495" spans="1:58" ht="20.25" customHeight="1">
      <c r="A495" s="27"/>
      <c r="B495" s="27"/>
      <c r="C495" s="137"/>
      <c r="D495" s="27"/>
      <c r="E495" s="27"/>
      <c r="F495" s="206"/>
      <c r="G495" s="27"/>
      <c r="H495" s="27"/>
      <c r="I495" s="29"/>
      <c r="J495" s="29"/>
      <c r="K495" s="27"/>
      <c r="L495" s="27"/>
      <c r="M495" s="27"/>
      <c r="N495" s="27"/>
      <c r="O495" s="27"/>
      <c r="P495" s="27"/>
      <c r="Q495" s="28"/>
      <c r="R495" s="28"/>
      <c r="S495" s="28"/>
      <c r="T495" s="27"/>
      <c r="U495" s="28"/>
      <c r="V495" s="28"/>
      <c r="W495" s="28"/>
      <c r="X495" s="28"/>
      <c r="Y495" s="28"/>
      <c r="Z495" s="28"/>
      <c r="AA495" s="28"/>
      <c r="AB495" s="27"/>
      <c r="AC495" s="27"/>
      <c r="AD495" s="28"/>
      <c r="AE495" s="28"/>
      <c r="AF495" s="27"/>
      <c r="AG495" s="27"/>
      <c r="AH495" s="27"/>
      <c r="AI495" s="27"/>
      <c r="AJ495" s="27"/>
      <c r="AK495" s="27"/>
      <c r="AL495" s="27"/>
      <c r="AM495" s="27"/>
      <c r="AN495" s="27"/>
      <c r="AO495" s="27"/>
      <c r="AP495" s="27"/>
      <c r="AQ495" s="28"/>
      <c r="AR495" s="28"/>
      <c r="AS495" s="27"/>
      <c r="AT495" s="28"/>
      <c r="AU495" s="27"/>
      <c r="AV495" s="27"/>
      <c r="AW495" s="27"/>
      <c r="AX495" s="27"/>
      <c r="AY495" s="28"/>
      <c r="AZ495" s="28"/>
      <c r="BA495" s="28"/>
      <c r="BB495" s="26"/>
      <c r="BC495" s="27"/>
      <c r="BD495" s="93"/>
      <c r="BE495" s="28"/>
      <c r="BF495" s="28"/>
    </row>
    <row r="496" spans="1:58" ht="20.25" customHeight="1">
      <c r="A496" s="27"/>
      <c r="B496" s="27"/>
      <c r="C496" s="137"/>
      <c r="D496" s="27"/>
      <c r="E496" s="27"/>
      <c r="F496" s="206"/>
      <c r="G496" s="27"/>
      <c r="H496" s="27"/>
      <c r="I496" s="29"/>
      <c r="J496" s="29"/>
      <c r="K496" s="27"/>
      <c r="L496" s="27"/>
      <c r="M496" s="27"/>
      <c r="N496" s="27"/>
      <c r="O496" s="27"/>
      <c r="P496" s="27"/>
      <c r="Q496" s="28"/>
      <c r="R496" s="28"/>
      <c r="S496" s="28"/>
      <c r="T496" s="27"/>
      <c r="U496" s="28"/>
      <c r="V496" s="28"/>
      <c r="W496" s="28"/>
      <c r="X496" s="28"/>
      <c r="Y496" s="28"/>
      <c r="Z496" s="28"/>
      <c r="AA496" s="28"/>
      <c r="AB496" s="27"/>
      <c r="AC496" s="27"/>
      <c r="AD496" s="28"/>
      <c r="AE496" s="28"/>
      <c r="AF496" s="27"/>
      <c r="AG496" s="27"/>
      <c r="AH496" s="27"/>
      <c r="AI496" s="27"/>
      <c r="AJ496" s="27"/>
      <c r="AK496" s="27"/>
      <c r="AL496" s="27"/>
      <c r="AM496" s="27"/>
      <c r="AN496" s="27"/>
      <c r="AO496" s="27"/>
      <c r="AP496" s="27"/>
      <c r="AQ496" s="28"/>
      <c r="AR496" s="28"/>
      <c r="AS496" s="27"/>
      <c r="AT496" s="28"/>
      <c r="AU496" s="27"/>
      <c r="AV496" s="27"/>
      <c r="AW496" s="27"/>
      <c r="AX496" s="27"/>
      <c r="AY496" s="28"/>
      <c r="AZ496" s="28"/>
      <c r="BA496" s="28"/>
      <c r="BB496" s="26"/>
      <c r="BC496" s="27"/>
      <c r="BD496" s="93"/>
      <c r="BE496" s="28"/>
      <c r="BF496" s="28"/>
    </row>
    <row r="497" spans="1:58" ht="20.25" customHeight="1">
      <c r="A497" s="27"/>
      <c r="B497" s="27"/>
      <c r="C497" s="137"/>
      <c r="D497" s="27"/>
      <c r="E497" s="27"/>
      <c r="F497" s="206"/>
      <c r="G497" s="27"/>
      <c r="H497" s="27"/>
      <c r="I497" s="29"/>
      <c r="J497" s="29"/>
      <c r="K497" s="27"/>
      <c r="L497" s="27"/>
      <c r="M497" s="27"/>
      <c r="N497" s="27"/>
      <c r="O497" s="27"/>
      <c r="P497" s="27"/>
      <c r="Q497" s="28"/>
      <c r="R497" s="28"/>
      <c r="S497" s="28"/>
      <c r="T497" s="27"/>
      <c r="U497" s="28"/>
      <c r="V497" s="28"/>
      <c r="W497" s="28"/>
      <c r="X497" s="28"/>
      <c r="Y497" s="28"/>
      <c r="Z497" s="28"/>
      <c r="AA497" s="28"/>
      <c r="AB497" s="27"/>
      <c r="AC497" s="27"/>
      <c r="AD497" s="28"/>
      <c r="AE497" s="28"/>
      <c r="AF497" s="27"/>
      <c r="AG497" s="27"/>
      <c r="AH497" s="27"/>
      <c r="AI497" s="27"/>
      <c r="AJ497" s="27"/>
      <c r="AK497" s="27"/>
      <c r="AL497" s="27"/>
      <c r="AM497" s="27"/>
      <c r="AN497" s="27"/>
      <c r="AO497" s="27"/>
      <c r="AP497" s="27"/>
      <c r="AQ497" s="28"/>
      <c r="AR497" s="28"/>
      <c r="AS497" s="27"/>
      <c r="AT497" s="28"/>
      <c r="AU497" s="27"/>
      <c r="AV497" s="27"/>
      <c r="AW497" s="27"/>
      <c r="AX497" s="27"/>
      <c r="AY497" s="28"/>
      <c r="AZ497" s="28"/>
      <c r="BA497" s="28"/>
      <c r="BB497" s="26"/>
      <c r="BC497" s="27"/>
      <c r="BD497" s="93"/>
      <c r="BE497" s="28"/>
      <c r="BF497" s="28"/>
    </row>
    <row r="498" spans="1:58" ht="20.25" customHeight="1">
      <c r="A498" s="27"/>
      <c r="B498" s="27"/>
      <c r="C498" s="137"/>
      <c r="D498" s="27"/>
      <c r="E498" s="27"/>
      <c r="F498" s="206"/>
      <c r="G498" s="27"/>
      <c r="H498" s="27"/>
      <c r="I498" s="29"/>
      <c r="J498" s="29"/>
      <c r="K498" s="27"/>
      <c r="L498" s="27"/>
      <c r="M498" s="27"/>
      <c r="N498" s="27"/>
      <c r="O498" s="27"/>
      <c r="P498" s="27"/>
      <c r="Q498" s="28"/>
      <c r="R498" s="28"/>
      <c r="S498" s="28"/>
      <c r="T498" s="27"/>
      <c r="U498" s="28"/>
      <c r="V498" s="28"/>
      <c r="W498" s="28"/>
      <c r="X498" s="28"/>
      <c r="Y498" s="28"/>
      <c r="Z498" s="28"/>
      <c r="AA498" s="28"/>
      <c r="AB498" s="27"/>
      <c r="AC498" s="27"/>
      <c r="AD498" s="28"/>
      <c r="AE498" s="28"/>
      <c r="AF498" s="27"/>
      <c r="AG498" s="27"/>
      <c r="AH498" s="27"/>
      <c r="AI498" s="27"/>
      <c r="AJ498" s="27"/>
      <c r="AK498" s="27"/>
      <c r="AL498" s="27"/>
      <c r="AM498" s="27"/>
      <c r="AN498" s="27"/>
      <c r="AO498" s="27"/>
      <c r="AP498" s="27"/>
      <c r="AQ498" s="28"/>
      <c r="AR498" s="28"/>
      <c r="AS498" s="27"/>
      <c r="AT498" s="28"/>
      <c r="AU498" s="27"/>
      <c r="AV498" s="27"/>
      <c r="AW498" s="27"/>
      <c r="AX498" s="27"/>
      <c r="AY498" s="28"/>
      <c r="AZ498" s="28"/>
      <c r="BA498" s="28"/>
      <c r="BB498" s="26"/>
      <c r="BC498" s="27"/>
      <c r="BD498" s="93"/>
      <c r="BE498" s="28"/>
      <c r="BF498" s="28"/>
    </row>
    <row r="499" spans="1:58" ht="20.25" customHeight="1">
      <c r="A499" s="27"/>
      <c r="B499" s="27"/>
      <c r="C499" s="137"/>
      <c r="D499" s="27"/>
      <c r="E499" s="27"/>
      <c r="F499" s="206"/>
      <c r="G499" s="27"/>
      <c r="H499" s="27"/>
      <c r="I499" s="29"/>
      <c r="J499" s="29"/>
      <c r="K499" s="27"/>
      <c r="L499" s="27"/>
      <c r="M499" s="27"/>
      <c r="N499" s="27"/>
      <c r="O499" s="27"/>
      <c r="P499" s="27"/>
      <c r="Q499" s="28"/>
      <c r="R499" s="28"/>
      <c r="S499" s="28"/>
      <c r="T499" s="27"/>
      <c r="U499" s="28"/>
      <c r="V499" s="28"/>
      <c r="W499" s="28"/>
      <c r="X499" s="28"/>
      <c r="Y499" s="28"/>
      <c r="Z499" s="28"/>
      <c r="AA499" s="28"/>
      <c r="AB499" s="27"/>
      <c r="AC499" s="27"/>
      <c r="AD499" s="28"/>
      <c r="AE499" s="28"/>
      <c r="AF499" s="27"/>
      <c r="AG499" s="27"/>
      <c r="AH499" s="27"/>
      <c r="AI499" s="27"/>
      <c r="AJ499" s="27"/>
      <c r="AK499" s="27"/>
      <c r="AL499" s="27"/>
      <c r="AM499" s="27"/>
      <c r="AN499" s="27"/>
      <c r="AO499" s="27"/>
      <c r="AP499" s="27"/>
      <c r="AQ499" s="28"/>
      <c r="AR499" s="28"/>
      <c r="AS499" s="27"/>
      <c r="AT499" s="28"/>
      <c r="AU499" s="27"/>
      <c r="AV499" s="27"/>
      <c r="AW499" s="27"/>
      <c r="AX499" s="27"/>
      <c r="AY499" s="28"/>
      <c r="AZ499" s="28"/>
      <c r="BA499" s="28"/>
      <c r="BB499" s="26"/>
      <c r="BC499" s="27"/>
      <c r="BD499" s="93"/>
      <c r="BE499" s="28"/>
      <c r="BF499" s="28"/>
    </row>
    <row r="500" spans="1:58" ht="20.25" customHeight="1">
      <c r="A500" s="27"/>
      <c r="B500" s="27"/>
      <c r="C500" s="137"/>
      <c r="D500" s="27"/>
      <c r="E500" s="27"/>
      <c r="F500" s="206"/>
      <c r="G500" s="27"/>
      <c r="H500" s="27"/>
      <c r="I500" s="29"/>
      <c r="J500" s="29"/>
      <c r="K500" s="27"/>
      <c r="L500" s="27"/>
      <c r="M500" s="27"/>
      <c r="N500" s="27"/>
      <c r="O500" s="27"/>
      <c r="P500" s="27"/>
      <c r="Q500" s="28"/>
      <c r="R500" s="28"/>
      <c r="S500" s="28"/>
      <c r="T500" s="27"/>
      <c r="U500" s="28"/>
      <c r="V500" s="28"/>
      <c r="W500" s="28"/>
      <c r="X500" s="28"/>
      <c r="Y500" s="28"/>
      <c r="Z500" s="28"/>
      <c r="AA500" s="28"/>
      <c r="AB500" s="27"/>
      <c r="AC500" s="27"/>
      <c r="AD500" s="28"/>
      <c r="AE500" s="28"/>
      <c r="AF500" s="27"/>
      <c r="AG500" s="27"/>
      <c r="AH500" s="27"/>
      <c r="AI500" s="27"/>
      <c r="AJ500" s="27"/>
      <c r="AK500" s="27"/>
      <c r="AL500" s="27"/>
      <c r="AM500" s="27"/>
      <c r="AN500" s="27"/>
      <c r="AO500" s="27"/>
      <c r="AP500" s="27"/>
      <c r="AQ500" s="28"/>
      <c r="AR500" s="28"/>
      <c r="AS500" s="27"/>
      <c r="AT500" s="28"/>
      <c r="AU500" s="27"/>
      <c r="AV500" s="27"/>
      <c r="AW500" s="27"/>
      <c r="AX500" s="27"/>
      <c r="AY500" s="28"/>
      <c r="AZ500" s="28"/>
      <c r="BA500" s="28"/>
      <c r="BB500" s="26"/>
      <c r="BC500" s="27"/>
      <c r="BD500" s="93"/>
      <c r="BE500" s="28"/>
      <c r="BF500" s="28"/>
    </row>
    <row r="501" spans="1:58" ht="20.25" customHeight="1">
      <c r="A501" s="27"/>
      <c r="B501" s="27"/>
      <c r="C501" s="137"/>
      <c r="D501" s="27"/>
      <c r="E501" s="27"/>
      <c r="F501" s="206"/>
      <c r="G501" s="27"/>
      <c r="H501" s="27"/>
      <c r="I501" s="29"/>
      <c r="J501" s="29"/>
      <c r="K501" s="27"/>
      <c r="L501" s="27"/>
      <c r="M501" s="27"/>
      <c r="N501" s="27"/>
      <c r="O501" s="27"/>
      <c r="P501" s="27"/>
      <c r="Q501" s="28"/>
      <c r="R501" s="28"/>
      <c r="S501" s="28"/>
      <c r="T501" s="27"/>
      <c r="U501" s="28"/>
      <c r="V501" s="28"/>
      <c r="W501" s="28"/>
      <c r="X501" s="28"/>
      <c r="Y501" s="28"/>
      <c r="Z501" s="28"/>
      <c r="AA501" s="28"/>
      <c r="AB501" s="27"/>
      <c r="AC501" s="27"/>
      <c r="AD501" s="28"/>
      <c r="AE501" s="28"/>
      <c r="AF501" s="27"/>
      <c r="AG501" s="27"/>
      <c r="AH501" s="27"/>
      <c r="AI501" s="27"/>
      <c r="AJ501" s="27"/>
      <c r="AK501" s="27"/>
      <c r="AL501" s="27"/>
      <c r="AM501" s="27"/>
      <c r="AN501" s="27"/>
      <c r="AO501" s="27"/>
      <c r="AP501" s="27"/>
      <c r="AQ501" s="28"/>
      <c r="AR501" s="28"/>
      <c r="AS501" s="27"/>
      <c r="AT501" s="28"/>
      <c r="AU501" s="27"/>
      <c r="AV501" s="27"/>
      <c r="AW501" s="27"/>
      <c r="AX501" s="27"/>
      <c r="AY501" s="28"/>
      <c r="AZ501" s="28"/>
      <c r="BA501" s="28"/>
      <c r="BB501" s="26"/>
      <c r="BC501" s="27"/>
      <c r="BD501" s="93"/>
      <c r="BE501" s="28"/>
      <c r="BF501" s="28"/>
    </row>
    <row r="502" spans="1:58" ht="20.25" customHeight="1">
      <c r="A502" s="27"/>
      <c r="B502" s="27"/>
      <c r="C502" s="137"/>
      <c r="D502" s="27"/>
      <c r="E502" s="27"/>
      <c r="F502" s="206"/>
      <c r="G502" s="27"/>
      <c r="H502" s="27"/>
      <c r="I502" s="29"/>
      <c r="J502" s="29"/>
      <c r="K502" s="27"/>
      <c r="L502" s="27"/>
      <c r="M502" s="27"/>
      <c r="N502" s="27"/>
      <c r="O502" s="27"/>
      <c r="P502" s="27"/>
      <c r="Q502" s="28"/>
      <c r="R502" s="28"/>
      <c r="S502" s="28"/>
      <c r="T502" s="27"/>
      <c r="U502" s="28"/>
      <c r="V502" s="28"/>
      <c r="W502" s="28"/>
      <c r="X502" s="28"/>
      <c r="Y502" s="28"/>
      <c r="Z502" s="28"/>
      <c r="AA502" s="28"/>
      <c r="AB502" s="27"/>
      <c r="AC502" s="27"/>
      <c r="AD502" s="28"/>
      <c r="AE502" s="28"/>
      <c r="AF502" s="27"/>
      <c r="AG502" s="27"/>
      <c r="AH502" s="27"/>
      <c r="AI502" s="27"/>
      <c r="AJ502" s="27"/>
      <c r="AK502" s="27"/>
      <c r="AL502" s="27"/>
      <c r="AM502" s="27"/>
      <c r="AN502" s="27"/>
      <c r="AO502" s="27"/>
      <c r="AP502" s="27"/>
      <c r="AQ502" s="28"/>
      <c r="AR502" s="28"/>
      <c r="AS502" s="27"/>
      <c r="AT502" s="28"/>
      <c r="AU502" s="27"/>
      <c r="AV502" s="27"/>
      <c r="AW502" s="27"/>
      <c r="AX502" s="27"/>
      <c r="AY502" s="28"/>
      <c r="AZ502" s="28"/>
      <c r="BA502" s="28"/>
      <c r="BB502" s="26"/>
      <c r="BC502" s="27"/>
      <c r="BD502" s="93"/>
      <c r="BE502" s="28"/>
      <c r="BF502" s="28"/>
    </row>
    <row r="503" spans="1:58" ht="20.25" customHeight="1">
      <c r="A503" s="27"/>
      <c r="B503" s="27"/>
      <c r="C503" s="137"/>
      <c r="D503" s="27"/>
      <c r="E503" s="27"/>
      <c r="F503" s="206"/>
      <c r="G503" s="27"/>
      <c r="H503" s="27"/>
      <c r="I503" s="29"/>
      <c r="J503" s="29"/>
      <c r="K503" s="27"/>
      <c r="L503" s="27"/>
      <c r="M503" s="27"/>
      <c r="N503" s="27"/>
      <c r="O503" s="27"/>
      <c r="P503" s="27"/>
      <c r="Q503" s="28"/>
      <c r="R503" s="28"/>
      <c r="S503" s="28"/>
      <c r="T503" s="27"/>
      <c r="U503" s="28"/>
      <c r="V503" s="28"/>
      <c r="W503" s="28"/>
      <c r="X503" s="28"/>
      <c r="Y503" s="28"/>
      <c r="Z503" s="28"/>
      <c r="AA503" s="28"/>
      <c r="AB503" s="27"/>
      <c r="AC503" s="27"/>
      <c r="AD503" s="28"/>
      <c r="AE503" s="28"/>
      <c r="AF503" s="27"/>
      <c r="AG503" s="27"/>
      <c r="AH503" s="27"/>
      <c r="AI503" s="27"/>
      <c r="AJ503" s="27"/>
      <c r="AK503" s="27"/>
      <c r="AL503" s="27"/>
      <c r="AM503" s="27"/>
      <c r="AN503" s="27"/>
      <c r="AO503" s="27"/>
      <c r="AP503" s="27"/>
      <c r="AQ503" s="28"/>
      <c r="AR503" s="28"/>
      <c r="AS503" s="27"/>
      <c r="AT503" s="28"/>
      <c r="AU503" s="27"/>
      <c r="AV503" s="27"/>
      <c r="AW503" s="27"/>
      <c r="AX503" s="27"/>
      <c r="AY503" s="28"/>
      <c r="AZ503" s="28"/>
      <c r="BA503" s="28"/>
      <c r="BB503" s="26"/>
      <c r="BC503" s="27"/>
      <c r="BD503" s="93"/>
      <c r="BE503" s="28"/>
      <c r="BF503" s="28"/>
    </row>
    <row r="504" spans="1:58" ht="20.25" customHeight="1">
      <c r="A504" s="27"/>
      <c r="B504" s="27"/>
      <c r="C504" s="137"/>
      <c r="D504" s="27"/>
      <c r="E504" s="27"/>
      <c r="F504" s="206"/>
      <c r="G504" s="27"/>
      <c r="H504" s="27"/>
      <c r="I504" s="29"/>
      <c r="J504" s="29"/>
      <c r="K504" s="27"/>
      <c r="L504" s="27"/>
      <c r="M504" s="27"/>
      <c r="N504" s="27"/>
      <c r="O504" s="27"/>
      <c r="P504" s="27"/>
      <c r="Q504" s="28"/>
      <c r="R504" s="28"/>
      <c r="S504" s="28"/>
      <c r="T504" s="27"/>
      <c r="U504" s="28"/>
      <c r="V504" s="28"/>
      <c r="W504" s="28"/>
      <c r="X504" s="28"/>
      <c r="Y504" s="28"/>
      <c r="Z504" s="28"/>
      <c r="AA504" s="28"/>
      <c r="AB504" s="27"/>
      <c r="AC504" s="27"/>
      <c r="AD504" s="28"/>
      <c r="AE504" s="28"/>
      <c r="AF504" s="27"/>
      <c r="AG504" s="27"/>
      <c r="AH504" s="27"/>
      <c r="AI504" s="27"/>
      <c r="AJ504" s="27"/>
      <c r="AK504" s="27"/>
      <c r="AL504" s="27"/>
      <c r="AM504" s="27"/>
      <c r="AN504" s="27"/>
      <c r="AO504" s="27"/>
      <c r="AP504" s="27"/>
      <c r="AQ504" s="28"/>
      <c r="AR504" s="28"/>
      <c r="AS504" s="27"/>
      <c r="AT504" s="28"/>
      <c r="AU504" s="27"/>
      <c r="AV504" s="27"/>
      <c r="AW504" s="27"/>
      <c r="AX504" s="27"/>
      <c r="AY504" s="28"/>
      <c r="AZ504" s="28"/>
      <c r="BA504" s="28"/>
      <c r="BB504" s="26"/>
      <c r="BC504" s="27"/>
      <c r="BD504" s="93"/>
      <c r="BE504" s="28"/>
      <c r="BF504" s="28"/>
    </row>
    <row r="505" spans="1:58" ht="20.25" customHeight="1">
      <c r="A505" s="27"/>
      <c r="B505" s="27"/>
      <c r="C505" s="137"/>
      <c r="D505" s="27"/>
      <c r="E505" s="27"/>
      <c r="F505" s="206"/>
      <c r="G505" s="27"/>
      <c r="H505" s="27"/>
      <c r="I505" s="29"/>
      <c r="J505" s="29"/>
      <c r="K505" s="27"/>
      <c r="L505" s="27"/>
      <c r="M505" s="27"/>
      <c r="N505" s="27"/>
      <c r="O505" s="27"/>
      <c r="P505" s="27"/>
      <c r="Q505" s="28"/>
      <c r="R505" s="28"/>
      <c r="S505" s="28"/>
      <c r="T505" s="27"/>
      <c r="U505" s="28"/>
      <c r="V505" s="28"/>
      <c r="W505" s="28"/>
      <c r="X505" s="28"/>
      <c r="Y505" s="28"/>
      <c r="Z505" s="28"/>
      <c r="AA505" s="28"/>
      <c r="AB505" s="27"/>
      <c r="AC505" s="27"/>
      <c r="AD505" s="28"/>
      <c r="AE505" s="28"/>
      <c r="AF505" s="27"/>
      <c r="AG505" s="27"/>
      <c r="AH505" s="27"/>
      <c r="AI505" s="27"/>
      <c r="AJ505" s="27"/>
      <c r="AK505" s="27"/>
      <c r="AL505" s="27"/>
      <c r="AM505" s="27"/>
      <c r="AN505" s="27"/>
      <c r="AO505" s="27"/>
      <c r="AP505" s="27"/>
      <c r="AQ505" s="28"/>
      <c r="AR505" s="28"/>
      <c r="AS505" s="27"/>
      <c r="AT505" s="28"/>
      <c r="AU505" s="27"/>
      <c r="AV505" s="27"/>
      <c r="AW505" s="27"/>
      <c r="AX505" s="27"/>
      <c r="AY505" s="28"/>
      <c r="AZ505" s="28"/>
      <c r="BA505" s="28"/>
      <c r="BB505" s="26"/>
      <c r="BC505" s="27"/>
      <c r="BD505" s="93"/>
      <c r="BE505" s="28"/>
      <c r="BF505" s="28"/>
    </row>
    <row r="506" spans="1:58" ht="20.25" customHeight="1">
      <c r="A506" s="27"/>
      <c r="B506" s="27"/>
      <c r="C506" s="137"/>
      <c r="D506" s="27"/>
      <c r="E506" s="27"/>
      <c r="F506" s="206"/>
      <c r="G506" s="27"/>
      <c r="H506" s="27"/>
      <c r="I506" s="29"/>
      <c r="J506" s="29"/>
      <c r="K506" s="27"/>
      <c r="L506" s="27"/>
      <c r="M506" s="27"/>
      <c r="N506" s="27"/>
      <c r="O506" s="27"/>
      <c r="P506" s="27"/>
      <c r="Q506" s="28"/>
      <c r="R506" s="28"/>
      <c r="S506" s="28"/>
      <c r="T506" s="27"/>
      <c r="U506" s="28"/>
      <c r="V506" s="28"/>
      <c r="W506" s="28"/>
      <c r="X506" s="28"/>
      <c r="Y506" s="28"/>
      <c r="Z506" s="28"/>
      <c r="AA506" s="28"/>
      <c r="AB506" s="27"/>
      <c r="AC506" s="27"/>
      <c r="AD506" s="28"/>
      <c r="AE506" s="28"/>
      <c r="AF506" s="27"/>
      <c r="AG506" s="27"/>
      <c r="AH506" s="27"/>
      <c r="AI506" s="27"/>
      <c r="AJ506" s="27"/>
      <c r="AK506" s="27"/>
      <c r="AL506" s="27"/>
      <c r="AM506" s="27"/>
      <c r="AN506" s="27"/>
      <c r="AO506" s="27"/>
      <c r="AP506" s="27"/>
      <c r="AQ506" s="28"/>
      <c r="AR506" s="28"/>
      <c r="AS506" s="27"/>
      <c r="AT506" s="28"/>
      <c r="AU506" s="27"/>
      <c r="AV506" s="27"/>
      <c r="AW506" s="27"/>
      <c r="AX506" s="27"/>
      <c r="AY506" s="28"/>
      <c r="AZ506" s="28"/>
      <c r="BA506" s="28"/>
      <c r="BB506" s="26"/>
      <c r="BC506" s="27"/>
      <c r="BD506" s="93"/>
      <c r="BE506" s="28"/>
      <c r="BF506" s="28"/>
    </row>
  </sheetData>
  <sheetProtection autoFilter="0" pivotTables="0"/>
  <protectedRanges>
    <protectedRange sqref="BE2:BE30 AF51 AF43:AG50 P143:P153 M143:O151 AD152 O152 M152 Q153:BE153 AC154 M155:BE155 AF52:AG139 Q43:AE139 BE32:BE151 BD156 M156:M159 M160:Q163 BD157:BE163 AY159:AZ163 BB156:BB163 M1:BE1 M172:Q172 BD172:BE172 AY172:AZ172 BB172 N156:O156 N157:Q159 M141:P142 M140:O140 Q140:AG150 M79:O79 Q151:BD151 M212:BJ212 Q2:BD42 M213:BE213 M214:BG214 H1:I1048576 M2:P78 M80:P139 M164:BE171 M173:BE211 AH43:BD150 M153:O154 M215:BE1048576" name="Range1"/>
  </protectedRanges>
  <autoFilter ref="B1:G223" xr:uid="{6419C42C-12AA-4AEE-AAB8-4613A182A686}"/>
  <conditionalFormatting sqref="H195:H198">
    <cfRule type="expression" dxfId="23" priority="7">
      <formula>"DD:MM:YYYY HH:MM:SS"</formula>
    </cfRule>
    <cfRule type="expression" dxfId="22" priority="8">
      <formula>"DD/MM/YYYY"</formula>
    </cfRule>
  </conditionalFormatting>
  <conditionalFormatting sqref="K173:L173 K1:K1048576">
    <cfRule type="cellIs" dxfId="21" priority="30" operator="greaterThan">
      <formula>34</formula>
    </cfRule>
    <cfRule type="cellIs" dxfId="20" priority="31" operator="greaterThan">
      <formula>20</formula>
    </cfRule>
  </conditionalFormatting>
  <conditionalFormatting sqref="K173:L173 K1:K1048576">
    <cfRule type="cellIs" dxfId="19" priority="29" operator="greaterThan">
      <formula>40</formula>
    </cfRule>
  </conditionalFormatting>
  <conditionalFormatting sqref="L1:L1048576">
    <cfRule type="containsText" dxfId="18" priority="26" operator="containsText" text="AT">
      <formula>NOT(ISERROR(SEARCH("AT",L1)))</formula>
    </cfRule>
  </conditionalFormatting>
  <conditionalFormatting sqref="O156:O159">
    <cfRule type="containsText" dxfId="17" priority="16" operator="containsText" text="NI">
      <formula>NOT(ISERROR(SEARCH("NI",O156)))</formula>
    </cfRule>
    <cfRule type="containsText" dxfId="16" priority="17" operator="containsText" text="WIP">
      <formula>NOT(ISERROR(SEARCH("WIP",O156)))</formula>
    </cfRule>
    <cfRule type="containsText" dxfId="15" priority="18" operator="containsText" text="Completed">
      <formula>NOT(ISERROR(SEARCH("Completed",O156)))</formula>
    </cfRule>
  </conditionalFormatting>
  <conditionalFormatting sqref="O164 O165:P191 O192:O196 O215:P1048576">
    <cfRule type="containsText" dxfId="14" priority="1" operator="containsText" text="NI">
      <formula>NOT(ISERROR(SEARCH("NI",O164)))</formula>
    </cfRule>
    <cfRule type="containsText" dxfId="13" priority="2" operator="containsText" text="WIP">
      <formula>NOT(ISERROR(SEARCH("WIP",O164)))</formula>
    </cfRule>
    <cfRule type="containsText" dxfId="12" priority="3" operator="containsText" text="Completed">
      <formula>NOT(ISERROR(SEARCH("Completed",O164)))</formula>
    </cfRule>
  </conditionalFormatting>
  <conditionalFormatting sqref="O1:P25 O26 O27:P34 O35 O36:P43 O44 O45:P46 O47 O48:P60 O61:O62 O63:P63 O64 O65:P69 O70 O71:P78 O79 O80:P95 O96 O97:P110 O111 O112:P123 O124:O125 O126:P132 P133:P134 O133:O136 O137:P139 O140:O141 O142:P151 O152:O154">
    <cfRule type="containsText" dxfId="11" priority="19" operator="containsText" text="NI">
      <formula>NOT(ISERROR(SEARCH("NI",O1)))</formula>
    </cfRule>
    <cfRule type="containsText" dxfId="10" priority="20" operator="containsText" text="WIP">
      <formula>NOT(ISERROR(SEARCH("WIP",O1)))</formula>
    </cfRule>
    <cfRule type="containsText" dxfId="9" priority="21" operator="containsText" text="Completed">
      <formula>NOT(ISERROR(SEARCH("Completed",O1)))</formula>
    </cfRule>
  </conditionalFormatting>
  <conditionalFormatting sqref="O155:P155 P157:P159 O160:P163 P195:P196 O197:P211 O212:O214">
    <cfRule type="containsText" dxfId="8" priority="22" operator="containsText" text="NI">
      <formula>NOT(ISERROR(SEARCH("NI",O155)))</formula>
    </cfRule>
    <cfRule type="containsText" dxfId="7" priority="23" operator="containsText" text="WIP">
      <formula>NOT(ISERROR(SEARCH("WIP",O155)))</formula>
    </cfRule>
    <cfRule type="containsText" dxfId="6" priority="24" operator="containsText" text="Completed">
      <formula>NOT(ISERROR(SEARCH("Completed",O155)))</formula>
    </cfRule>
  </conditionalFormatting>
  <conditionalFormatting sqref="Q210">
    <cfRule type="containsText" dxfId="5" priority="4" operator="containsText" text="NI">
      <formula>NOT(ISERROR(SEARCH("NI",Q210)))</formula>
    </cfRule>
    <cfRule type="containsText" dxfId="4" priority="5" operator="containsText" text="WIP">
      <formula>NOT(ISERROR(SEARCH("WIP",Q210)))</formula>
    </cfRule>
    <cfRule type="containsText" dxfId="3" priority="6" operator="containsText" text="Completed">
      <formula>NOT(ISERROR(SEARCH("Completed",Q210)))</formula>
    </cfRule>
  </conditionalFormatting>
  <dataValidations count="12">
    <dataValidation allowBlank="1" showInputMessage="1" showErrorMessage="1" sqref="AH6:AH20 AY1:BC1 AL2:AL4 AJ2:AJ4 AH2:AH4 BE1 G1:L1 Q1:AW1 AH153 AL153 AJ153 AN153 AN155 AJ8:AJ151 AJ155 AL8:AL151 AL155 AH22:AH151 AH155 AN2:AN151 P155 P157:P163 AJ164 AH164 AL164 AN164 AL168:AL171 AJ168:AJ171 AN168:AN171 AH168:AH171 P27:P34 P48:P60 P45:P46 P112:P123 P142:P151 P137:P139 P126:P134 P97:P110 P80:P95 P71:P78 P65:P69 P63 P36:P43 P1:P25 AM192:AX194 P165:P191 AJ173:AJ191 AI192:AK199 AN173:AN191 AM195:AP200 Q210 AH173:AH204 AN201:AN204 AJ200:AJ204 AL173:AL204 AN209 AJ209 AL209 AH209 P195:P211 P215:P1048576 AJ226:AJ1048576 AH226:AH1048576 AL226:AL1048576 AH222:AH224 AJ222:AJ224 AN222:AN224 AL222:AL224 AN226:AN1048576" xr:uid="{9744968B-5BD5-4359-9031-F5877C2C9AF8}"/>
    <dataValidation type="list" allowBlank="1" showInputMessage="1" showErrorMessage="1" sqref="AH5 AG2:AG5 AK33 AK19 AI19 AF77 AF75 AH21 AF51 AF58 AF73 AI33 AI11 AG8:AG50 BB153 T153 AG153 X153 AS153 AB153:AC153 AC154 AB2:AC151 AB155:AC155 AS2:AS151 AS155 X2:X151 X155 AG52:AG151 AG155 T2:T151 T155 BB2:BB151 AO165:AO167 AK165:AK167 AS164:AS171 AB164:AC171 AG164:AG171 X164:X171 T164:T171 AB173:AC191 AG173:AG191 AS173:AS191 AH205:AP205 AR214:AS214 X173:X201 BB155:BB204 X203:X205 AG196:AG205 X209 AG209 BB209 AB195:AC211 AS195:AS211 AS213 AG219:AG220 AR225 AZ225:AZ226 T173:T1048576 AG227:AG1048576 AG222:AG223 X213:X1048576 AC213:AC224 AB226:AC1048576 AF225 AJ225 AN225 AS215:AS224 AS226:AS1048576 AV225 BB222:BB224 AB213:AB225 BB227:BB1048576" xr:uid="{74791C2B-0836-4DB4-A869-7609116078EA}">
      <formula1>"NI,WIP,Completed,NA,Out of Scope"</formula1>
    </dataValidation>
    <dataValidation type="list" allowBlank="1" showInputMessage="1" showErrorMessage="1" sqref="AL5:AL7 AJ5:AJ7 AI12:AI18 AI2:AI10 AK2:AK18 AI20:AI32 AK20:AK32 AK153 AI153 AO153 AM153 AM2:AM151 AM155 AO2:AO151 AO155 AI34:AI151 AI155 AK34:AK151 AK155 AI164 AK164 AO164 AM164 AO168:AO171 AI168:AI171 AM168:AM171 AK168:AK171 AI173:AI191 AK173:AK191 AM173:AM191 AO173:AO191 AO201:AO204 AK200:AK204 AI200:AI204 AM201:AM204 AO209 AK209 AI209 AM209 AK226:AK1048576 AI226:AI1048576 AM226:AM1048576 AI222:AI224 AK222:AK224 AO222:AO224 AM222:AM224 AO226:AO1048576" xr:uid="{7C9D5F23-EF42-43AA-AC30-A26247F71290}">
      <formula1>"NI,WIP,NA,Out of Scope,Online,Offline"</formula1>
    </dataValidation>
    <dataValidation type="list" allowBlank="1" showInputMessage="1" showErrorMessage="1" sqref="AV126:AV130 AW153 AW2:AW151 AW155 AW164:AW171 AW173:AW191 AW195:AW211 AW213 AW215:AW224 AW226:AW1048576" xr:uid="{69442CBD-2105-4A84-933C-A72492692762}">
      <formula1>"Yes,No,NA"</formula1>
    </dataValidation>
    <dataValidation type="list" allowBlank="1" showInputMessage="1" showErrorMessage="1" sqref="BD153 BD2:BD151 BD155:BD1048576" xr:uid="{EABCE312-CA15-419E-8C8B-8BA731A8162A}">
      <formula1>"Pending,Received,Disptach,STOP"</formula1>
    </dataValidation>
    <dataValidation type="list" allowBlank="1" showInputMessage="1" showErrorMessage="1" sqref="AX153 AX155 AX168:AX170 AX81:AX125 AX173:AX191 AX195:AX196 AX164:AX166 AY205:BC206 AX1:AX26 AX129:AX151 AY211:BC211 AX75:AX79 AX59:AX67 AX198:AX211 AX69:AX73 AX213 AX28:AX57 AX127 AX215:AX224 AX226:AX1048576" xr:uid="{2CE5461A-B851-42D7-8B25-D2641A91FB08}">
      <formula1>"NI,WIP,Applied,STOP,NA"</formula1>
    </dataValidation>
    <dataValidation type="list" allowBlank="1" showInputMessage="1" showErrorMessage="1" sqref="N1:N151 N153:N1048576" xr:uid="{4769F4B0-03F2-4078-9E47-63E629664C77}">
      <formula1>"Open,STOP,Writing,QC,Portal Entries,Approval,Dispatch"</formula1>
    </dataValidation>
    <dataValidation type="list" allowBlank="1" showInputMessage="1" showErrorMessage="1" sqref="M1:M1048576" xr:uid="{1B05E6C7-A0A8-4673-A651-444831D8DD94}">
      <formula1>"Full Case,Partial Case,Reassessment,WC Claim,Medical Verification,Connected Case"</formula1>
    </dataValidation>
    <dataValidation type="list" allowBlank="1" showInputMessage="1" showErrorMessage="1" sqref="AX197" xr:uid="{39912180-83D0-4CAA-AAD3-F24EF82FB65F}">
      <formula1>"WIP,Not Initiated,Withdrwa,Completed,NA"</formula1>
    </dataValidation>
    <dataValidation type="list" allowBlank="1" showInputMessage="1" showErrorMessage="1" sqref="AX167 AX68 AX80 AX126 AX27 AX74 AX171 AX128" xr:uid="{7C079573-B814-4A14-BBAA-5096579A02E6}">
      <formula1>"NI,WIP,Applied,STOP,NA,Completed"</formula1>
    </dataValidation>
    <dataValidation type="list" allowBlank="1" showInputMessage="1" showErrorMessage="1" sqref="O1:O1048576" xr:uid="{A20BBD61-40DC-4D57-BD85-945ACE834A49}">
      <formula1>"NI,WIP,IR - Wiritng, QC - 1, QC, Completed, Withdraw, Pending CS, Pending – Additional Docs,Connected Pending,RCU Pending, Portal Upload"</formula1>
    </dataValidation>
    <dataValidation type="list" allowBlank="1" showInputMessage="1" showErrorMessage="1" sqref="AX58" xr:uid="{2C778744-750E-450B-B09F-24B2E4142CC7}">
      <formula1>"NI,WIP,Applied,STOP,NA,Not Filed"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5DA4-CE3D-432A-811E-5A252E66356D}">
  <sheetPr codeName="Sheet7"/>
  <dimension ref="C2:K25"/>
  <sheetViews>
    <sheetView showGridLines="0" workbookViewId="0">
      <selection activeCell="C4" sqref="C4:C5"/>
    </sheetView>
  </sheetViews>
  <sheetFormatPr defaultRowHeight="14.5"/>
  <cols>
    <col min="3" max="3" width="23.26953125" style="132" customWidth="1"/>
    <col min="4" max="4" width="19" style="132" customWidth="1"/>
    <col min="5" max="5" width="13.1796875" style="132" customWidth="1"/>
    <col min="6" max="6" width="12.81640625" style="132" customWidth="1"/>
    <col min="7" max="7" width="13.1796875" style="132" customWidth="1"/>
    <col min="8" max="8" width="17.7265625" style="133" customWidth="1"/>
  </cols>
  <sheetData>
    <row r="2" spans="3:11" ht="18" customHeight="1">
      <c r="C2" s="134" t="s">
        <v>2037</v>
      </c>
      <c r="D2" s="135" t="s">
        <v>2038</v>
      </c>
      <c r="E2" s="135" t="s">
        <v>2039</v>
      </c>
      <c r="F2" s="135" t="s">
        <v>2040</v>
      </c>
      <c r="G2" s="135" t="s">
        <v>662</v>
      </c>
      <c r="H2" s="136" t="s">
        <v>2041</v>
      </c>
    </row>
    <row r="3" spans="3:11" ht="18" customHeight="1">
      <c r="C3" s="495">
        <v>2025209132</v>
      </c>
      <c r="D3" s="368" t="str">
        <f ca="1">_xlfn.XLOOKUP(C3,MIS_Backend_Data!B:B,MIS_Backend_Data!M:M,"NA")</f>
        <v>NA</v>
      </c>
      <c r="E3" s="162" t="str">
        <f ca="1">_xlfn.XLOOKUP(C3,MIS_Backend_Data!B:B,MIS_Backend_Data!F:F,"NA")</f>
        <v>NA</v>
      </c>
      <c r="F3" s="162" t="str">
        <f ca="1">_xlfn.XLOOKUP(C3,MIS_Backend_Data!B:B,MIS_Backend_Data!H:H,"NA")</f>
        <v>NA</v>
      </c>
      <c r="G3" s="161" t="str">
        <f ca="1">_xlfn.XLOOKUP(C3,MIS_Backend_Data!B:B,MIS_Backend_Data!K:K,"NA")</f>
        <v>NA</v>
      </c>
      <c r="H3" s="163" t="str">
        <f ca="1">_xlfn.XLOOKUP(C3,MIS_Backend_Data!B:B,MIS_Backend_Data!O:O,"NA")</f>
        <v>NA</v>
      </c>
    </row>
    <row r="4" spans="3:11" ht="18" customHeight="1">
      <c r="C4" s="572" t="s">
        <v>634</v>
      </c>
      <c r="D4" s="563" t="str">
        <f ca="1">_xlfn.XLOOKUP(C3,MIS_Backend_Data!B:B,MIS_Backend_Data!T:T,"NA")</f>
        <v>NA</v>
      </c>
      <c r="E4" s="561" t="s">
        <v>14</v>
      </c>
      <c r="F4" s="567" t="str">
        <f ca="1">_xlfn.XLOOKUP(C3,MIS_Backend_Data!B:B,MIS_Backend_Data!AI:AI,"NA")</f>
        <v>NA</v>
      </c>
      <c r="G4" s="560" t="s">
        <v>653</v>
      </c>
      <c r="H4" s="559" t="str">
        <f ca="1">_xlfn.XLOOKUP(C3,MIS_Backend_Data!B:B,MIS_Backend_Data!AS:AS,"NA")</f>
        <v>NA</v>
      </c>
    </row>
    <row r="5" spans="3:11" ht="18" customHeight="1">
      <c r="C5" s="572"/>
      <c r="D5" s="563"/>
      <c r="E5" s="566"/>
      <c r="F5" s="568"/>
      <c r="G5" s="560"/>
      <c r="H5" s="559"/>
    </row>
    <row r="6" spans="3:11" ht="18" customHeight="1">
      <c r="C6" s="572" t="s">
        <v>636</v>
      </c>
      <c r="D6" s="563" t="str">
        <f ca="1">_xlfn.XLOOKUP(C3,MIS_Backend_Data!B:B,MIS_Backend_Data!X:X,"NA")</f>
        <v>NA</v>
      </c>
      <c r="E6" s="560" t="s">
        <v>15</v>
      </c>
      <c r="F6" s="563" t="str">
        <f ca="1">_xlfn.XLOOKUP(C3,MIS_Backend_Data!B:B,MIS_Backend_Data!AK:AK,"NA")</f>
        <v>NA</v>
      </c>
      <c r="G6" s="560" t="s">
        <v>647</v>
      </c>
      <c r="H6" s="559" t="str">
        <f ca="1">_xlfn.XLOOKUP(C3,MIS_Backend_Data!B:B,MIS_Backend_Data!BB:BB,"NA")</f>
        <v>NA</v>
      </c>
    </row>
    <row r="7" spans="3:11" ht="18" customHeight="1">
      <c r="C7" s="572"/>
      <c r="D7" s="563"/>
      <c r="E7" s="560"/>
      <c r="F7" s="563"/>
      <c r="G7" s="560"/>
      <c r="H7" s="559"/>
    </row>
    <row r="8" spans="3:11" ht="18" customHeight="1">
      <c r="C8" s="572" t="s">
        <v>631</v>
      </c>
      <c r="D8" s="563" t="str">
        <f ca="1">_xlfn.XLOOKUP(C3,MIS_Backend_Data!B:B,MIS_Backend_Data!AC:AC,"NA")</f>
        <v>NA</v>
      </c>
      <c r="E8" s="560" t="s">
        <v>2042</v>
      </c>
      <c r="F8" s="563" t="str">
        <f ca="1">_xlfn.XLOOKUP(C3,MIS_Backend_Data!B:B,MIS_Backend_Data!AM:AM,"NA")</f>
        <v>NA</v>
      </c>
      <c r="G8" s="560" t="s">
        <v>654</v>
      </c>
      <c r="H8" s="559" t="str">
        <f ca="1">_xlfn.XLOOKUP(C3,MIS_Backend_Data!B:B,MIS_Backend_Data!AX:AX,"NA")</f>
        <v>NA</v>
      </c>
    </row>
    <row r="9" spans="3:11">
      <c r="C9" s="572"/>
      <c r="D9" s="567"/>
      <c r="E9" s="561"/>
      <c r="F9" s="567"/>
      <c r="G9" s="561"/>
      <c r="H9" s="562"/>
    </row>
    <row r="10" spans="3:11">
      <c r="C10" s="564" t="s">
        <v>638</v>
      </c>
      <c r="D10" s="563" t="str">
        <f ca="1">_xlfn.XLOOKUP(C3,MIS_Backend_Data!B:B,MIS_Backend_Data!AG:AG,"NA")</f>
        <v>NA</v>
      </c>
      <c r="E10" s="560" t="s">
        <v>652</v>
      </c>
      <c r="F10" s="563" t="str">
        <f ca="1">_xlfn.XLOOKUP(C3,MIS_Backend_Data!B:B,MIS_Backend_Data!AO:AO,"NA")</f>
        <v>NA</v>
      </c>
      <c r="G10" s="560" t="s">
        <v>2043</v>
      </c>
      <c r="H10" s="559" t="str">
        <f ca="1">_xlfn.XLOOKUP(C3,MIS_Backend_Data!B:B,MIS_Backend_Data!BD:BD,"NA")</f>
        <v>NA</v>
      </c>
    </row>
    <row r="11" spans="3:11">
      <c r="C11" s="565"/>
      <c r="D11" s="563"/>
      <c r="E11" s="560"/>
      <c r="F11" s="563"/>
      <c r="G11" s="560"/>
      <c r="H11" s="559"/>
    </row>
    <row r="12" spans="3:11" ht="20.25" customHeight="1">
      <c r="C12" s="210" t="s">
        <v>655</v>
      </c>
      <c r="D12" s="569" t="str">
        <f ca="1">_xlfn.XLOOKUP(C3,MIS_Backend_Data!B:B,MIS_Backend_Data!P:P,"NA")</f>
        <v>NA</v>
      </c>
      <c r="E12" s="570"/>
      <c r="F12" s="570"/>
      <c r="G12" s="570"/>
      <c r="H12" s="571"/>
      <c r="K12" t="s">
        <v>112</v>
      </c>
    </row>
    <row r="14" spans="3:11">
      <c r="E14" s="132" t="s">
        <v>112</v>
      </c>
    </row>
    <row r="15" spans="3:11">
      <c r="D15" s="132" t="s">
        <v>112</v>
      </c>
      <c r="F15" s="132" t="s">
        <v>112</v>
      </c>
    </row>
    <row r="16" spans="3:11">
      <c r="D16" s="132" t="s">
        <v>112</v>
      </c>
      <c r="E16" s="132" t="s">
        <v>112</v>
      </c>
    </row>
    <row r="17" spans="4:7">
      <c r="D17" s="132" t="s">
        <v>112</v>
      </c>
    </row>
    <row r="18" spans="4:7">
      <c r="F18" s="132" t="s">
        <v>112</v>
      </c>
    </row>
    <row r="22" spans="4:7">
      <c r="G22" s="132" t="s">
        <v>112</v>
      </c>
    </row>
    <row r="25" spans="4:7">
      <c r="F25" s="132" t="s">
        <v>112</v>
      </c>
    </row>
  </sheetData>
  <mergeCells count="25">
    <mergeCell ref="C10:C11"/>
    <mergeCell ref="E4:E5"/>
    <mergeCell ref="F4:F5"/>
    <mergeCell ref="D10:D11"/>
    <mergeCell ref="D12:H12"/>
    <mergeCell ref="C4:C5"/>
    <mergeCell ref="C6:C7"/>
    <mergeCell ref="C8:C9"/>
    <mergeCell ref="D8:D9"/>
    <mergeCell ref="D6:D7"/>
    <mergeCell ref="D4:D5"/>
    <mergeCell ref="H4:H5"/>
    <mergeCell ref="E8:E9"/>
    <mergeCell ref="E10:E11"/>
    <mergeCell ref="G4:G5"/>
    <mergeCell ref="F8:F9"/>
    <mergeCell ref="H10:H11"/>
    <mergeCell ref="E6:E7"/>
    <mergeCell ref="G8:G9"/>
    <mergeCell ref="H8:H9"/>
    <mergeCell ref="G6:G7"/>
    <mergeCell ref="H6:H7"/>
    <mergeCell ref="G10:G11"/>
    <mergeCell ref="F6:F7"/>
    <mergeCell ref="F10:F11"/>
  </mergeCells>
  <conditionalFormatting sqref="D4:D11 F4:F11 H4:H11">
    <cfRule type="containsText" dxfId="35" priority="1" operator="containsText" text="NI">
      <formula>NOT(ISERROR(SEARCH("NI",D4)))</formula>
    </cfRule>
  </conditionalFormatting>
  <conditionalFormatting sqref="G3">
    <cfRule type="cellIs" dxfId="34" priority="2" operator="greaterThan">
      <formula>35</formula>
    </cfRule>
  </conditionalFormatting>
  <conditionalFormatting sqref="H3:H11 F4 D4:D11 F6:F11">
    <cfRule type="containsText" dxfId="33" priority="3" operator="containsText" text="WIP">
      <formula>NOT(ISERROR(SEARCH("WIP",D3)))</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34C0-DDE8-4D79-96CF-AB8C924DA3CC}">
  <sheetPr codeName="Sheet5"/>
  <dimension ref="A1:BE226"/>
  <sheetViews>
    <sheetView workbookViewId="0">
      <pane xSplit="2" ySplit="1" topLeftCell="P12" activePane="bottomRight" state="frozen"/>
      <selection pane="topRight" activeCell="C1" sqref="C1"/>
      <selection pane="bottomLeft" activeCell="A2" sqref="A2"/>
      <selection pane="bottomRight" activeCell="R24" sqref="R24"/>
    </sheetView>
  </sheetViews>
  <sheetFormatPr defaultRowHeight="14.5" outlineLevelCol="1"/>
  <cols>
    <col min="1" max="1" width="8.1796875" style="42" bestFit="1" customWidth="1"/>
    <col min="2" max="2" width="22.1796875" style="42" customWidth="1"/>
    <col min="3" max="3" width="37.54296875" style="42" customWidth="1" outlineLevel="1"/>
    <col min="4" max="4" width="13.81640625" style="42" customWidth="1" outlineLevel="1"/>
    <col min="5" max="5" width="17.453125" style="42" customWidth="1" outlineLevel="1"/>
    <col min="6" max="6" width="12.26953125" style="310" customWidth="1" outlineLevel="1"/>
    <col min="7" max="7" width="8.7265625" style="42" customWidth="1" outlineLevel="1"/>
    <col min="8" max="8" width="11.81640625" style="312" customWidth="1" outlineLevel="1"/>
    <col min="9" max="9" width="11.81640625" style="42" customWidth="1" outlineLevel="1"/>
    <col min="10" max="10" width="9.453125" style="310" customWidth="1" outlineLevel="1"/>
    <col min="11" max="12" width="8.7265625" style="42" customWidth="1" outlineLevel="1"/>
    <col min="13" max="13" width="17" style="42" bestFit="1" customWidth="1"/>
    <col min="14" max="14" width="12.1796875" style="42" bestFit="1" customWidth="1"/>
    <col min="15" max="15" width="13.453125" style="42" bestFit="1" customWidth="1"/>
    <col min="16" max="16" width="50.54296875" customWidth="1"/>
    <col min="17" max="17" width="26.1796875" customWidth="1"/>
    <col min="18" max="18" width="59.7265625" customWidth="1"/>
    <col min="19" max="19" width="19.7265625" customWidth="1"/>
    <col min="20" max="20" width="14.54296875" style="314" customWidth="1"/>
    <col min="21" max="21" width="18.1796875" customWidth="1"/>
    <col min="22" max="22" width="17.453125" customWidth="1"/>
    <col min="23" max="23" width="15.54296875" customWidth="1"/>
    <col min="24" max="24" width="9.7265625" style="42" bestFit="1" customWidth="1"/>
    <col min="25" max="25" width="36" customWidth="1"/>
    <col min="26" max="26" width="48.1796875" customWidth="1"/>
    <col min="27" max="28" width="17.453125" customWidth="1"/>
    <col min="29" max="29" width="13.26953125" style="42" customWidth="1"/>
    <col min="30" max="30" width="21.81640625" customWidth="1"/>
    <col min="31" max="31" width="74.26953125" customWidth="1"/>
    <col min="32" max="32" width="14.453125" customWidth="1"/>
    <col min="33" max="33" width="12.26953125" style="42" customWidth="1"/>
    <col min="35" max="35" width="11.453125" style="42" customWidth="1"/>
    <col min="37" max="37" width="9.7265625" style="42" bestFit="1" customWidth="1"/>
    <col min="39" max="39" width="13.453125" style="42" bestFit="1" customWidth="1"/>
    <col min="41" max="41" width="8.7265625" style="42"/>
    <col min="43" max="43" width="120.81640625" bestFit="1" customWidth="1"/>
    <col min="44" max="44" width="13" customWidth="1"/>
    <col min="45" max="45" width="9.7265625" style="42" bestFit="1" customWidth="1"/>
    <col min="46" max="46" width="12.81640625" customWidth="1"/>
    <col min="47" max="47" width="21.1796875" customWidth="1"/>
    <col min="48" max="48" width="10.54296875" customWidth="1"/>
    <col min="50" max="50" width="15.453125" style="42" customWidth="1"/>
    <col min="51" max="51" width="22.26953125" customWidth="1"/>
    <col min="52" max="52" width="30.54296875" customWidth="1"/>
    <col min="53" max="53" width="18.81640625" customWidth="1"/>
    <col min="54" max="54" width="11.1796875" style="42" customWidth="1"/>
    <col min="55" max="55" width="11.7265625" customWidth="1"/>
    <col min="56" max="56" width="10.26953125" customWidth="1"/>
    <col min="57" max="57" width="54.7265625" customWidth="1"/>
    <col min="58" max="58" width="26.81640625" customWidth="1"/>
    <col min="16384" max="16384" width="9.1796875" bestFit="1" customWidth="1"/>
  </cols>
  <sheetData>
    <row r="1" spans="1:57" ht="36" customHeight="1">
      <c r="A1" s="305" t="str" cm="1">
        <f t="array" aca="1" ref="A1:BE226" ca="1">_xlfn._xlws.FILTER(MIS_Backend_Data!A:BE, MIS_Backend_Data!A:A&lt;&gt;"")</f>
        <v>S | N</v>
      </c>
      <c r="B1" s="241" t="str">
        <f ca="1"/>
        <v>CLAIM NUMBER</v>
      </c>
      <c r="C1" s="241" t="str">
        <f ca="1"/>
        <v>CLIENT NAME</v>
      </c>
      <c r="D1" s="241" t="str">
        <f ca="1"/>
        <v>CATEGORY</v>
      </c>
      <c r="E1" s="241" t="str">
        <f ca="1"/>
        <v>CRN</v>
      </c>
      <c r="F1" s="370" t="str">
        <f ca="1"/>
        <v>CASE RECIPET DATE</v>
      </c>
      <c r="G1" s="370" t="str">
        <f ca="1"/>
        <v>RECIPET MONTH</v>
      </c>
      <c r="H1" s="311" t="str">
        <f ca="1"/>
        <v>COMPLETION DATE</v>
      </c>
      <c r="I1" s="311" t="str">
        <f ca="1"/>
        <v>COMPLETION MONTH</v>
      </c>
      <c r="J1" s="311" t="str">
        <f ca="1"/>
        <v>CASE DUE DATE</v>
      </c>
      <c r="K1" s="306" t="str">
        <f ca="1"/>
        <v>TAT</v>
      </c>
      <c r="L1" s="305" t="str">
        <f ca="1"/>
        <v>SLA</v>
      </c>
      <c r="M1" s="313" t="str">
        <f ca="1"/>
        <v>CASE TYPE</v>
      </c>
      <c r="N1" s="304" t="str">
        <f ca="1"/>
        <v>INVESTIGATION REPORT</v>
      </c>
      <c r="O1" s="307" t="str">
        <f ca="1"/>
        <v>FULL CASE STATUS</v>
      </c>
      <c r="P1" s="305" t="str">
        <f ca="1"/>
        <v>SCOPE OF WORK</v>
      </c>
      <c r="Q1" s="243" t="str">
        <f ca="1"/>
        <v>CLAIMANT NAME</v>
      </c>
      <c r="R1" s="243" t="str">
        <f ca="1"/>
        <v>CLAIMANT ADDRESS</v>
      </c>
      <c r="S1" s="243" t="str">
        <f ca="1"/>
        <v>CLAIMANT DISTRICT</v>
      </c>
      <c r="T1" s="304" t="str">
        <f ca="1"/>
        <v>CLAIMANT STATUS</v>
      </c>
      <c r="U1" s="243" t="str">
        <f ca="1"/>
        <v>INCOME DETAILS</v>
      </c>
      <c r="V1" s="243" t="str">
        <f ca="1"/>
        <v>INCOME ADDRESS</v>
      </c>
      <c r="W1" s="243" t="str">
        <f ca="1"/>
        <v>DISTRICT</v>
      </c>
      <c r="X1" s="304" t="str">
        <f ca="1"/>
        <v>INCOME STATUS</v>
      </c>
      <c r="Y1" s="243" t="str">
        <f ca="1"/>
        <v>INSURED NAME</v>
      </c>
      <c r="Z1" s="243" t="str">
        <f ca="1"/>
        <v>INSURED ADDRESS</v>
      </c>
      <c r="AA1" s="243" t="str">
        <f ca="1"/>
        <v>INSURED DISTRICT</v>
      </c>
      <c r="AB1" s="243" t="str">
        <f ca="1"/>
        <v>132 NOTICE</v>
      </c>
      <c r="AC1" s="304" t="str">
        <f ca="1"/>
        <v>INSURED STATUS</v>
      </c>
      <c r="AD1" s="243" t="str">
        <f ca="1"/>
        <v>DRIVER NAME</v>
      </c>
      <c r="AE1" s="243" t="str">
        <f ca="1"/>
        <v>DRIVER ADDRESS</v>
      </c>
      <c r="AF1" s="304" t="str">
        <f ca="1"/>
        <v>DRIVER DISTRICT</v>
      </c>
      <c r="AG1" s="304" t="str">
        <f ca="1"/>
        <v>DRIVER STATUS</v>
      </c>
      <c r="AH1" s="243" t="str">
        <f ca="1"/>
        <v>DL</v>
      </c>
      <c r="AI1" s="304" t="str">
        <f ca="1"/>
        <v>DL STATUS</v>
      </c>
      <c r="AJ1" s="243" t="str">
        <f ca="1"/>
        <v xml:space="preserve">RC </v>
      </c>
      <c r="AK1" s="243" t="str">
        <f ca="1"/>
        <v>RC STATUS</v>
      </c>
      <c r="AL1" s="243" t="str">
        <f ca="1"/>
        <v>PERMIT</v>
      </c>
      <c r="AM1" s="243" t="str">
        <f ca="1"/>
        <v>PERMIT STATUS</v>
      </c>
      <c r="AN1" s="243" t="str">
        <f ca="1"/>
        <v>FITNESS</v>
      </c>
      <c r="AO1" s="304" t="str">
        <f ca="1"/>
        <v>FITNESS STATUS</v>
      </c>
      <c r="AP1" s="243" t="str">
        <f ca="1"/>
        <v>DISTRICT</v>
      </c>
      <c r="AQ1" s="243" t="str">
        <f ca="1"/>
        <v>SPOT LOCATION</v>
      </c>
      <c r="AR1" s="243" t="str">
        <f ca="1"/>
        <v>SPOT DISTRICT</v>
      </c>
      <c r="AS1" s="304" t="str">
        <f ca="1"/>
        <v>SPOT STATUS</v>
      </c>
      <c r="AT1" s="243" t="str">
        <f ca="1"/>
        <v>FIR NUMBER</v>
      </c>
      <c r="AU1" s="243" t="str">
        <f ca="1"/>
        <v>POLICE STATION</v>
      </c>
      <c r="AV1" s="243" t="str">
        <f ca="1"/>
        <v>District</v>
      </c>
      <c r="AW1" s="243" t="str">
        <f ca="1"/>
        <v>RTI</v>
      </c>
      <c r="AX1" s="304" t="str">
        <f ca="1"/>
        <v>CHARGESHEET STATUS</v>
      </c>
      <c r="AY1" s="243" t="str">
        <f ca="1"/>
        <v>HOSPITAL NAME</v>
      </c>
      <c r="AZ1" s="243" t="str">
        <f ca="1"/>
        <v>HOSPITAL ADDRESS</v>
      </c>
      <c r="BA1" s="243" t="str">
        <f ca="1"/>
        <v>HOSPITAL DISTRICT</v>
      </c>
      <c r="BB1" s="304" t="str">
        <f ca="1"/>
        <v>HOSPITAL STATUS</v>
      </c>
      <c r="BC1" s="315" t="str">
        <f ca="1"/>
        <v>DISPATCH DATE</v>
      </c>
      <c r="BD1" s="304" t="str">
        <f ca="1"/>
        <v>DISPACTH STATUS</v>
      </c>
      <c r="BE1" s="309" t="str">
        <f ca="1"/>
        <v>CASE NOTES</v>
      </c>
    </row>
    <row r="2" spans="1:57">
      <c r="A2" s="42">
        <f ca="1"/>
        <v>1</v>
      </c>
      <c r="B2" s="42" t="str">
        <f ca="1"/>
        <v>C2264103101203-00</v>
      </c>
      <c r="C2" s="42" t="str">
        <f ca="1"/>
        <v>Magma HDI General Insurance Company Ltd</v>
      </c>
      <c r="D2" s="42" t="str">
        <f ca="1"/>
        <v>MACT</v>
      </c>
      <c r="E2" s="42" t="str">
        <f ca="1"/>
        <v>M002-1001-SS-2025</v>
      </c>
      <c r="F2" s="310">
        <f ca="1"/>
        <v>45873</v>
      </c>
      <c r="G2" s="42" t="str">
        <f ca="1"/>
        <v>Aug-25</v>
      </c>
      <c r="H2" s="312">
        <f ca="1"/>
        <v>46025</v>
      </c>
      <c r="I2" s="42" t="str">
        <f ca="1"/>
        <v>Jan-26</v>
      </c>
      <c r="J2" s="310">
        <f ca="1"/>
        <v>45915</v>
      </c>
      <c r="K2" s="42">
        <f ca="1"/>
        <v>152</v>
      </c>
      <c r="L2" s="42" t="str">
        <f ca="1"/>
        <v>AT</v>
      </c>
      <c r="M2" s="42" t="str">
        <f ca="1"/>
        <v>Full Case</v>
      </c>
      <c r="N2" s="42" t="str">
        <f ca="1"/>
        <v>Dispatch</v>
      </c>
      <c r="O2" s="42" t="str">
        <f ca="1"/>
        <v>Completed</v>
      </c>
      <c r="P2">
        <f ca="1"/>
        <v>0</v>
      </c>
      <c r="Q2" t="str">
        <f ca="1"/>
        <v>Shrimati Parvatibai Balu Kamble</v>
      </c>
      <c r="R2" t="str">
        <f ca="1"/>
        <v>Pokhari, nandgaon, Nashik</v>
      </c>
      <c r="S2" t="str">
        <f ca="1"/>
        <v>Nashik</v>
      </c>
      <c r="T2" s="314" t="str">
        <f ca="1"/>
        <v>Completed</v>
      </c>
      <c r="U2" t="str">
        <f ca="1"/>
        <v>NA</v>
      </c>
      <c r="V2">
        <f ca="1"/>
        <v>0</v>
      </c>
      <c r="W2">
        <f ca="1"/>
        <v>0</v>
      </c>
      <c r="X2" s="42" t="str">
        <f ca="1"/>
        <v>NA</v>
      </c>
      <c r="Y2" t="str">
        <f ca="1"/>
        <v>Inderdeep Construction Company</v>
      </c>
      <c r="Z2" t="str">
        <f ca="1"/>
        <v>First Floor, 32/01, Cristal Pride, Hari Ghat, App. AVM Automoblie, Kalyan - 421003</v>
      </c>
      <c r="AA2" t="str">
        <f ca="1"/>
        <v>Kalyan</v>
      </c>
      <c r="AB2" t="str">
        <f ca="1"/>
        <v>NA</v>
      </c>
      <c r="AC2" s="42" t="str">
        <f ca="1"/>
        <v>Completed</v>
      </c>
      <c r="AD2" t="str">
        <f ca="1"/>
        <v>Munnala Rajaram Saroj</v>
      </c>
      <c r="AE2">
        <f ca="1"/>
        <v>0</v>
      </c>
      <c r="AF2" t="str">
        <f ca="1"/>
        <v>NA</v>
      </c>
      <c r="AG2" s="42" t="str">
        <f ca="1"/>
        <v>NA</v>
      </c>
      <c r="AH2" t="str">
        <f ca="1"/>
        <v xml:space="preserve">NA </v>
      </c>
      <c r="AI2" s="42" t="str">
        <f ca="1"/>
        <v>NA</v>
      </c>
      <c r="AJ2" t="str">
        <f ca="1"/>
        <v>NA</v>
      </c>
      <c r="AK2" s="42" t="str">
        <f ca="1"/>
        <v>NA</v>
      </c>
      <c r="AL2" t="str">
        <f ca="1"/>
        <v>NA</v>
      </c>
      <c r="AM2" s="42" t="str">
        <f ca="1"/>
        <v>NA</v>
      </c>
      <c r="AN2" t="str">
        <f ca="1"/>
        <v>NA</v>
      </c>
      <c r="AO2" s="42" t="str">
        <f ca="1"/>
        <v>NA</v>
      </c>
      <c r="AP2" t="str">
        <f ca="1"/>
        <v>NA</v>
      </c>
      <c r="AQ2" t="str">
        <f ca="1"/>
        <v>On Nandgaon to Chalisgaon road, In the vicinity of Gangadhari village, Opp D K Industries.</v>
      </c>
      <c r="AR2" t="str">
        <f ca="1"/>
        <v>Jalgaon</v>
      </c>
      <c r="AS2" s="42" t="str">
        <f ca="1"/>
        <v>Completed</v>
      </c>
      <c r="AT2" t="str">
        <f ca="1"/>
        <v>Nashik</v>
      </c>
      <c r="AU2" t="str">
        <f ca="1"/>
        <v>NA</v>
      </c>
      <c r="AV2" t="str">
        <f ca="1"/>
        <v>NA</v>
      </c>
      <c r="AW2" t="str">
        <f ca="1"/>
        <v>NA</v>
      </c>
      <c r="AX2" s="42" t="str">
        <f ca="1"/>
        <v>Completed</v>
      </c>
      <c r="AY2" t="str">
        <f ca="1"/>
        <v>Gramin Hospital</v>
      </c>
      <c r="AZ2">
        <f ca="1"/>
        <v>0</v>
      </c>
      <c r="BA2">
        <f ca="1"/>
        <v>0</v>
      </c>
      <c r="BB2" s="42" t="str">
        <f ca="1"/>
        <v>NA</v>
      </c>
      <c r="BC2">
        <f ca="1"/>
        <v>0</v>
      </c>
      <c r="BD2" t="str">
        <f ca="1"/>
        <v>Pending</v>
      </c>
      <c r="BE2" t="str">
        <f ca="1"/>
        <v>Spot/ Claimant/ Insured</v>
      </c>
    </row>
    <row r="3" spans="1:57">
      <c r="A3" s="42">
        <f ca="1"/>
        <v>2</v>
      </c>
      <c r="B3" s="42" t="str">
        <f ca="1"/>
        <v>C2264191100006-00</v>
      </c>
      <c r="C3" s="42" t="str">
        <f ca="1"/>
        <v>Magma HDI General Insurance Company Ltd</v>
      </c>
      <c r="D3" s="42" t="str">
        <f ca="1"/>
        <v>MACT</v>
      </c>
      <c r="E3" s="42" t="str">
        <f ca="1"/>
        <v>M002-1002-SS-2025</v>
      </c>
      <c r="F3" s="310">
        <f ca="1"/>
        <v>45873</v>
      </c>
      <c r="G3" s="42" t="str">
        <f ca="1"/>
        <v>Aug-25</v>
      </c>
      <c r="H3" s="312" t="str">
        <f ca="1"/>
        <v>-</v>
      </c>
      <c r="I3" s="42">
        <f ca="1"/>
        <v>0</v>
      </c>
      <c r="J3" s="310" t="str">
        <f ca="1"/>
        <v/>
      </c>
      <c r="K3" s="42">
        <f ca="1"/>
        <v>154</v>
      </c>
      <c r="L3" s="42" t="str">
        <f ca="1"/>
        <v>AT</v>
      </c>
      <c r="M3" s="42" t="str">
        <f ca="1"/>
        <v>Connected Case</v>
      </c>
      <c r="N3" s="42" t="str">
        <f ca="1"/>
        <v>Open</v>
      </c>
      <c r="O3" s="42" t="str">
        <f ca="1"/>
        <v>WIP</v>
      </c>
      <c r="P3">
        <f ca="1"/>
        <v>0</v>
      </c>
      <c r="Q3" t="str">
        <f ca="1"/>
        <v>Chandrabhaga Shivaji Pawar</v>
      </c>
      <c r="R3" t="str">
        <f ca="1"/>
        <v>Bhilcot, Malegaon, Nashik.</v>
      </c>
      <c r="S3" t="str">
        <f ca="1"/>
        <v>Nashik</v>
      </c>
      <c r="T3" s="314" t="str">
        <f ca="1"/>
        <v>WIP</v>
      </c>
      <c r="U3" t="str">
        <f ca="1"/>
        <v>NA</v>
      </c>
      <c r="V3">
        <f ca="1"/>
        <v>0</v>
      </c>
      <c r="W3">
        <f ca="1"/>
        <v>0</v>
      </c>
      <c r="X3" s="42" t="str">
        <f ca="1"/>
        <v>NA</v>
      </c>
      <c r="Y3" t="str">
        <f ca="1"/>
        <v>Momin Navid Akhtar Mohmd Shahid</v>
      </c>
      <c r="Z3" t="str">
        <f ca="1"/>
        <v>Naya Islampura, Malegaon, Nashik 423202</v>
      </c>
      <c r="AA3" t="str">
        <f ca="1"/>
        <v>Nashik</v>
      </c>
      <c r="AB3" t="str">
        <f ca="1"/>
        <v>NA</v>
      </c>
      <c r="AC3" s="42" t="str">
        <f ca="1"/>
        <v>WIP</v>
      </c>
      <c r="AD3" t="str">
        <f ca="1"/>
        <v>NA</v>
      </c>
      <c r="AE3">
        <f ca="1"/>
        <v>0</v>
      </c>
      <c r="AF3" t="str">
        <f ca="1"/>
        <v xml:space="preserve">Mukhtar Shaikh </v>
      </c>
      <c r="AG3" s="42" t="str">
        <f ca="1"/>
        <v>NA</v>
      </c>
      <c r="AH3" t="str">
        <f ca="1"/>
        <v>NA</v>
      </c>
      <c r="AI3" s="42" t="str">
        <f ca="1"/>
        <v>NA</v>
      </c>
      <c r="AJ3" t="str">
        <f ca="1"/>
        <v>NA</v>
      </c>
      <c r="AK3" s="42" t="str">
        <f ca="1"/>
        <v>NA</v>
      </c>
      <c r="AL3" t="str">
        <f ca="1"/>
        <v>NA</v>
      </c>
      <c r="AM3" s="42" t="str">
        <f ca="1"/>
        <v>NA</v>
      </c>
      <c r="AN3" t="str">
        <f ca="1"/>
        <v>NA</v>
      </c>
      <c r="AO3" s="42" t="str">
        <f ca="1"/>
        <v>NA</v>
      </c>
      <c r="AP3" t="str">
        <f ca="1"/>
        <v>NA</v>
      </c>
      <c r="AQ3" t="str">
        <f ca="1"/>
        <v>On Hatane to Tokane road, Near Pravin Thokes Veetbatti, In the visinity of Hatane village.</v>
      </c>
      <c r="AR3" t="str">
        <f ca="1"/>
        <v>Washim</v>
      </c>
      <c r="AS3" s="42" t="str">
        <f ca="1"/>
        <v>WIP</v>
      </c>
      <c r="AT3" t="str">
        <f ca="1"/>
        <v>Nashik</v>
      </c>
      <c r="AU3" t="str">
        <f ca="1"/>
        <v>NA</v>
      </c>
      <c r="AV3" t="str">
        <f ca="1"/>
        <v>NA</v>
      </c>
      <c r="AW3" t="str">
        <f ca="1"/>
        <v>NA</v>
      </c>
      <c r="AX3" s="42" t="str">
        <f ca="1"/>
        <v>Completed</v>
      </c>
      <c r="AY3" t="str">
        <f ca="1"/>
        <v>Gramin Hospital</v>
      </c>
      <c r="AZ3">
        <f ca="1"/>
        <v>0</v>
      </c>
      <c r="BA3">
        <f ca="1"/>
        <v>0</v>
      </c>
      <c r="BB3" s="42" t="str">
        <f ca="1"/>
        <v>NA</v>
      </c>
      <c r="BC3">
        <f ca="1"/>
        <v>0</v>
      </c>
      <c r="BD3">
        <f ca="1"/>
        <v>0</v>
      </c>
      <c r="BE3" t="str">
        <f ca="1"/>
        <v>Chargesheet</v>
      </c>
    </row>
    <row r="4" spans="1:57">
      <c r="A4" s="42">
        <f ca="1"/>
        <v>3</v>
      </c>
      <c r="B4" s="42" t="str">
        <f ca="1"/>
        <v>C2264103101217-04</v>
      </c>
      <c r="C4" s="42" t="str">
        <f ca="1"/>
        <v>Magma HDI General Insurance Company Ltd</v>
      </c>
      <c r="D4" s="42" t="str">
        <f ca="1"/>
        <v>MACT</v>
      </c>
      <c r="E4" s="42" t="str">
        <f ca="1"/>
        <v>M002-1003-SS-2025</v>
      </c>
      <c r="F4" s="310">
        <f ca="1"/>
        <v>45876</v>
      </c>
      <c r="G4" s="42" t="str">
        <f ca="1"/>
        <v>Aug-25</v>
      </c>
      <c r="H4" s="312">
        <f ca="1"/>
        <v>46014</v>
      </c>
      <c r="I4" s="42" t="str">
        <f ca="1"/>
        <v>Dec-25</v>
      </c>
      <c r="J4" s="310">
        <f ca="1"/>
        <v>45918</v>
      </c>
      <c r="K4" s="42">
        <f ca="1"/>
        <v>138</v>
      </c>
      <c r="L4" s="42" t="str">
        <f ca="1"/>
        <v>AT</v>
      </c>
      <c r="M4" s="42" t="str">
        <f ca="1"/>
        <v>Full Case</v>
      </c>
      <c r="N4" s="42" t="str">
        <f ca="1"/>
        <v>Dispatch</v>
      </c>
      <c r="O4" s="42" t="str">
        <f ca="1"/>
        <v>Completed</v>
      </c>
      <c r="P4">
        <f ca="1"/>
        <v>0</v>
      </c>
      <c r="Q4" t="str">
        <f ca="1"/>
        <v>Balu Motiram Wagh</v>
      </c>
      <c r="R4" t="str">
        <f ca="1"/>
        <v>Rajapur, Yevla, Nashik. (Nandgaon Depo)</v>
      </c>
      <c r="S4" t="str">
        <f ca="1"/>
        <v>Nashik</v>
      </c>
      <c r="T4" s="314" t="str">
        <f ca="1"/>
        <v>Completed</v>
      </c>
      <c r="U4" t="str">
        <f ca="1"/>
        <v>NA</v>
      </c>
      <c r="V4">
        <f ca="1"/>
        <v>0</v>
      </c>
      <c r="W4">
        <f ca="1"/>
        <v>0</v>
      </c>
      <c r="X4" s="42" t="str">
        <f ca="1"/>
        <v>NA</v>
      </c>
      <c r="Y4" t="str">
        <f ca="1"/>
        <v>Shayan Raies Sayyad</v>
      </c>
      <c r="Z4" t="str">
        <f ca="1"/>
        <v>114/1 B, Sarvade Nagar, Near Iqbal Kirana Marchant, Mulegaon Road, Uttar Solapur, 413006.</v>
      </c>
      <c r="AA4" t="str">
        <f ca="1"/>
        <v>Solapur</v>
      </c>
      <c r="AB4" t="str">
        <f ca="1"/>
        <v>NA</v>
      </c>
      <c r="AC4" s="42" t="str">
        <f ca="1"/>
        <v>Completed</v>
      </c>
      <c r="AD4" t="str">
        <f ca="1"/>
        <v>Sagar Ankush Bhosale</v>
      </c>
      <c r="AE4">
        <f ca="1"/>
        <v>0</v>
      </c>
      <c r="AF4" t="str">
        <f ca="1"/>
        <v>NA</v>
      </c>
      <c r="AG4" s="42" t="str">
        <f ca="1"/>
        <v>Completed</v>
      </c>
      <c r="AH4" t="str">
        <f ca="1"/>
        <v>NA</v>
      </c>
      <c r="AI4" s="42" t="str">
        <f ca="1"/>
        <v>NA</v>
      </c>
      <c r="AJ4" t="str">
        <f ca="1"/>
        <v>NA</v>
      </c>
      <c r="AK4" s="42" t="str">
        <f ca="1"/>
        <v>NA</v>
      </c>
      <c r="AL4" t="str">
        <f ca="1"/>
        <v>NA</v>
      </c>
      <c r="AM4" s="42" t="str">
        <f ca="1"/>
        <v>NA</v>
      </c>
      <c r="AN4" t="str">
        <f ca="1"/>
        <v>NA</v>
      </c>
      <c r="AO4" s="42" t="str">
        <f ca="1"/>
        <v>NA</v>
      </c>
      <c r="AP4" t="str">
        <f ca="1"/>
        <v>NA</v>
      </c>
      <c r="AQ4" t="str">
        <f ca="1"/>
        <v>On Sindhkhed Raja Road, Next of Vakhari Fhata, Jalna Navha Road.</v>
      </c>
      <c r="AR4" t="str">
        <f ca="1"/>
        <v>Jalna</v>
      </c>
      <c r="AS4" s="42" t="str">
        <f ca="1"/>
        <v>Completed</v>
      </c>
      <c r="AT4" t="str">
        <f ca="1"/>
        <v>Nashik</v>
      </c>
      <c r="AU4" t="str">
        <f ca="1"/>
        <v>NA</v>
      </c>
      <c r="AV4" t="str">
        <f ca="1"/>
        <v>NA</v>
      </c>
      <c r="AW4" t="str">
        <f ca="1"/>
        <v>NA</v>
      </c>
      <c r="AX4" s="42" t="str">
        <f ca="1"/>
        <v>Completed</v>
      </c>
      <c r="AY4" t="str">
        <f ca="1"/>
        <v>Vira Medicity Hosp</v>
      </c>
      <c r="AZ4">
        <f ca="1"/>
        <v>0</v>
      </c>
      <c r="BA4">
        <f ca="1"/>
        <v>0</v>
      </c>
      <c r="BB4" s="42" t="str">
        <f ca="1"/>
        <v>NA</v>
      </c>
      <c r="BC4">
        <f ca="1"/>
        <v>0</v>
      </c>
      <c r="BD4">
        <f ca="1"/>
        <v>0</v>
      </c>
      <c r="BE4" t="str">
        <f ca="1"/>
        <v>Claimant/ Spot/ Insured / Driver / Chargesheet</v>
      </c>
    </row>
    <row r="5" spans="1:57">
      <c r="A5" s="42">
        <f ca="1"/>
        <v>4</v>
      </c>
      <c r="B5" s="42" t="str">
        <f ca="1"/>
        <v xml:space="preserve">MTP-N-2526-002724 </v>
      </c>
      <c r="C5" s="42" t="str">
        <f ca="1"/>
        <v>Generali Central Insurance Company Limited</v>
      </c>
      <c r="D5" s="42" t="str">
        <f ca="1"/>
        <v>MACT</v>
      </c>
      <c r="E5" s="42" t="str">
        <f ca="1"/>
        <v>F001-1004-SS-2025</v>
      </c>
      <c r="F5" s="310">
        <f ca="1"/>
        <v>45890</v>
      </c>
      <c r="G5" s="42" t="str">
        <f ca="1"/>
        <v>Aug-25</v>
      </c>
      <c r="H5" s="312">
        <f ca="1"/>
        <v>45918</v>
      </c>
      <c r="I5" s="42" t="str">
        <f ca="1"/>
        <v>Sep-25</v>
      </c>
      <c r="J5" s="310">
        <f ca="1"/>
        <v>45932</v>
      </c>
      <c r="K5" s="42">
        <f ca="1"/>
        <v>28</v>
      </c>
      <c r="L5" s="42" t="str">
        <f ca="1"/>
        <v>WT</v>
      </c>
      <c r="M5" s="42" t="str">
        <f ca="1"/>
        <v>Full Case</v>
      </c>
      <c r="N5" s="42" t="str">
        <f ca="1"/>
        <v>Dispatch</v>
      </c>
      <c r="O5" s="42" t="str">
        <f ca="1"/>
        <v>Completed</v>
      </c>
      <c r="P5">
        <f ca="1"/>
        <v>0</v>
      </c>
      <c r="Q5" t="str">
        <f ca="1"/>
        <v>Popat Baburao Ghule</v>
      </c>
      <c r="R5" t="str">
        <f ca="1"/>
        <v>Paregaon Terfe Khed, Pune</v>
      </c>
      <c r="S5" t="str">
        <f ca="1"/>
        <v>Pune</v>
      </c>
      <c r="T5" s="314" t="str">
        <f ca="1"/>
        <v>Completed</v>
      </c>
      <c r="U5" t="str">
        <f ca="1"/>
        <v>Yes</v>
      </c>
      <c r="V5">
        <f ca="1"/>
        <v>0</v>
      </c>
      <c r="W5">
        <f ca="1"/>
        <v>0</v>
      </c>
      <c r="X5" s="42" t="str">
        <f ca="1"/>
        <v>NA</v>
      </c>
      <c r="Y5" t="str">
        <f ca="1"/>
        <v>Salim Ajgarali Sayyad</v>
      </c>
      <c r="Z5" t="str">
        <f ca="1"/>
        <v>Rajguru Nagar, Pune.</v>
      </c>
      <c r="AA5" t="str">
        <f ca="1"/>
        <v>Pune</v>
      </c>
      <c r="AB5" t="str">
        <f ca="1"/>
        <v>NA</v>
      </c>
      <c r="AC5" s="42" t="str">
        <f ca="1"/>
        <v>Completed</v>
      </c>
      <c r="AD5" t="str">
        <f ca="1"/>
        <v>NA</v>
      </c>
      <c r="AE5">
        <f ca="1"/>
        <v>0</v>
      </c>
      <c r="AF5" t="str">
        <f ca="1"/>
        <v>NA</v>
      </c>
      <c r="AG5" s="42" t="str">
        <f ca="1"/>
        <v>Completed</v>
      </c>
      <c r="AH5" t="str">
        <f ca="1"/>
        <v>Yes</v>
      </c>
      <c r="AI5" s="42" t="str">
        <f ca="1"/>
        <v>WIP</v>
      </c>
      <c r="AJ5" t="str">
        <f ca="1"/>
        <v>WIP</v>
      </c>
      <c r="AK5" s="42" t="str">
        <f ca="1"/>
        <v>WIP</v>
      </c>
      <c r="AL5" t="str">
        <f ca="1"/>
        <v>NA</v>
      </c>
      <c r="AM5" s="42" t="str">
        <f ca="1"/>
        <v>NA</v>
      </c>
      <c r="AN5" t="str">
        <f ca="1"/>
        <v>NA</v>
      </c>
      <c r="AO5" s="42" t="str">
        <f ca="1"/>
        <v>NA</v>
      </c>
      <c r="AP5" t="str">
        <f ca="1"/>
        <v>NA</v>
      </c>
      <c r="AQ5" t="str">
        <f ca="1"/>
        <v xml:space="preserve">On Pune Nashik Highway, Near Pancharatne Hotel, Jaidwadi,  Khed, Pune. </v>
      </c>
      <c r="AR5" t="str">
        <f ca="1"/>
        <v>Pune</v>
      </c>
      <c r="AS5" s="42" t="str">
        <f ca="1"/>
        <v>Completed</v>
      </c>
      <c r="AT5" t="str">
        <f ca="1"/>
        <v>NA</v>
      </c>
      <c r="AU5" t="str">
        <f ca="1"/>
        <v>NA</v>
      </c>
      <c r="AV5" t="str">
        <f ca="1"/>
        <v>NA</v>
      </c>
      <c r="AW5" t="str">
        <f ca="1"/>
        <v>NA</v>
      </c>
      <c r="AX5" s="42" t="str">
        <f ca="1"/>
        <v>NA</v>
      </c>
      <c r="AY5">
        <f ca="1"/>
        <v>0</v>
      </c>
      <c r="AZ5">
        <f ca="1"/>
        <v>0</v>
      </c>
      <c r="BA5">
        <f ca="1"/>
        <v>0</v>
      </c>
      <c r="BB5" s="42" t="str">
        <f ca="1"/>
        <v>Completed</v>
      </c>
      <c r="BC5">
        <f ca="1"/>
        <v>0</v>
      </c>
      <c r="BD5">
        <f ca="1"/>
        <v>0</v>
      </c>
      <c r="BE5">
        <f ca="1"/>
        <v>0</v>
      </c>
    </row>
    <row r="6" spans="1:57">
      <c r="A6" s="42">
        <f ca="1"/>
        <v>5</v>
      </c>
      <c r="B6" s="42" t="str">
        <f ca="1"/>
        <v>MTP-N-2526-002725</v>
      </c>
      <c r="C6" s="42" t="str">
        <f ca="1"/>
        <v>Generali Central Insurance Company Limited</v>
      </c>
      <c r="D6" s="42" t="str">
        <f ca="1"/>
        <v>MACT</v>
      </c>
      <c r="E6" s="42" t="str">
        <f ca="1"/>
        <v>F001-1005-SS-2025</v>
      </c>
      <c r="F6" s="310">
        <f ca="1"/>
        <v>45890</v>
      </c>
      <c r="G6" s="42" t="str">
        <f ca="1"/>
        <v>Aug-25</v>
      </c>
      <c r="H6" s="312">
        <f ca="1"/>
        <v>45918</v>
      </c>
      <c r="I6" s="42" t="str">
        <f ca="1"/>
        <v>Sep-25</v>
      </c>
      <c r="J6" s="310">
        <f ca="1"/>
        <v>45932</v>
      </c>
      <c r="K6" s="42">
        <f ca="1"/>
        <v>28</v>
      </c>
      <c r="L6" s="42" t="str">
        <f ca="1"/>
        <v>WT</v>
      </c>
      <c r="M6" s="42" t="str">
        <f ca="1"/>
        <v>Full Case</v>
      </c>
      <c r="N6" s="42" t="str">
        <f ca="1"/>
        <v>Dispatch</v>
      </c>
      <c r="O6" s="42" t="str">
        <f ca="1"/>
        <v>Completed</v>
      </c>
      <c r="P6">
        <f ca="1"/>
        <v>0</v>
      </c>
      <c r="Q6" t="str">
        <f ca="1"/>
        <v>Ramdas Baban Thorat</v>
      </c>
      <c r="R6" t="str">
        <f ca="1"/>
        <v>Khed-Pune</v>
      </c>
      <c r="S6" t="str">
        <f ca="1"/>
        <v>Pune</v>
      </c>
      <c r="T6" s="314" t="str">
        <f ca="1"/>
        <v>Completed</v>
      </c>
      <c r="U6" t="str">
        <f ca="1"/>
        <v>NA</v>
      </c>
      <c r="V6">
        <f ca="1"/>
        <v>0</v>
      </c>
      <c r="W6">
        <f ca="1"/>
        <v>0</v>
      </c>
      <c r="X6" s="42" t="str">
        <f ca="1"/>
        <v>NA</v>
      </c>
      <c r="Y6" t="str">
        <f ca="1"/>
        <v>NA</v>
      </c>
      <c r="Z6" t="str">
        <f ca="1"/>
        <v>NA</v>
      </c>
      <c r="AA6" t="str">
        <f ca="1"/>
        <v xml:space="preserve">NA </v>
      </c>
      <c r="AB6" t="str">
        <f ca="1"/>
        <v>NA</v>
      </c>
      <c r="AC6" s="42" t="str">
        <f ca="1"/>
        <v>NA</v>
      </c>
      <c r="AD6" t="str">
        <f ca="1"/>
        <v>NA</v>
      </c>
      <c r="AE6">
        <f ca="1"/>
        <v>0</v>
      </c>
      <c r="AF6" t="str">
        <f ca="1"/>
        <v>NA</v>
      </c>
      <c r="AG6" s="42" t="str">
        <f ca="1"/>
        <v>NA</v>
      </c>
      <c r="AH6" t="str">
        <f ca="1"/>
        <v>NA</v>
      </c>
      <c r="AI6" s="42" t="str">
        <f ca="1"/>
        <v>NA</v>
      </c>
      <c r="AJ6" t="str">
        <f ca="1"/>
        <v>NA</v>
      </c>
      <c r="AK6" s="42" t="str">
        <f ca="1"/>
        <v>NA</v>
      </c>
      <c r="AL6" t="str">
        <f ca="1"/>
        <v>NA</v>
      </c>
      <c r="AM6" s="42" t="str">
        <f ca="1"/>
        <v>NA</v>
      </c>
      <c r="AN6" t="str">
        <f ca="1"/>
        <v>NA</v>
      </c>
      <c r="AO6" s="42" t="str">
        <f ca="1"/>
        <v>NA</v>
      </c>
      <c r="AP6" t="str">
        <f ca="1"/>
        <v>NA</v>
      </c>
      <c r="AQ6" t="str">
        <f ca="1"/>
        <v>NA</v>
      </c>
      <c r="AR6" t="str">
        <f ca="1"/>
        <v>NA</v>
      </c>
      <c r="AS6" s="42" t="str">
        <f ca="1"/>
        <v>STOP</v>
      </c>
      <c r="AT6">
        <f ca="1"/>
        <v>0</v>
      </c>
      <c r="AU6">
        <f ca="1"/>
        <v>0</v>
      </c>
      <c r="AV6" t="str">
        <f ca="1"/>
        <v>NA</v>
      </c>
      <c r="AW6">
        <f ca="1"/>
        <v>0</v>
      </c>
      <c r="AX6" s="42" t="str">
        <f ca="1"/>
        <v>NA</v>
      </c>
      <c r="AY6">
        <f ca="1"/>
        <v>0</v>
      </c>
      <c r="AZ6">
        <f ca="1"/>
        <v>0</v>
      </c>
      <c r="BA6">
        <f ca="1"/>
        <v>0</v>
      </c>
      <c r="BB6" s="42" t="str">
        <f ca="1"/>
        <v>NA</v>
      </c>
      <c r="BC6">
        <f ca="1"/>
        <v>0</v>
      </c>
      <c r="BD6">
        <f ca="1"/>
        <v>0</v>
      </c>
      <c r="BE6">
        <f ca="1"/>
        <v>0</v>
      </c>
    </row>
    <row r="7" spans="1:57">
      <c r="A7" s="42">
        <f ca="1"/>
        <v>6</v>
      </c>
      <c r="B7" s="42" t="str">
        <f ca="1"/>
        <v>MTP-N-2526-002726</v>
      </c>
      <c r="C7" s="42" t="str">
        <f ca="1"/>
        <v>Generali Central Insurance Company Limited</v>
      </c>
      <c r="D7" s="42" t="str">
        <f ca="1"/>
        <v>MACT</v>
      </c>
      <c r="E7" s="42" t="str">
        <f ca="1"/>
        <v>F001-1006-SS-2025</v>
      </c>
      <c r="F7" s="310">
        <f ca="1"/>
        <v>45890</v>
      </c>
      <c r="G7" s="42" t="str">
        <f ca="1"/>
        <v>Aug-25</v>
      </c>
      <c r="H7" s="312">
        <f ca="1"/>
        <v>45918</v>
      </c>
      <c r="I7" s="42" t="str">
        <f ca="1"/>
        <v>Sep-25</v>
      </c>
      <c r="J7" s="310">
        <f ca="1"/>
        <v>45932</v>
      </c>
      <c r="K7" s="42">
        <f ca="1"/>
        <v>28</v>
      </c>
      <c r="L7" s="42" t="str">
        <f ca="1"/>
        <v>WT</v>
      </c>
      <c r="M7" s="42" t="str">
        <f ca="1"/>
        <v>Full Case</v>
      </c>
      <c r="N7" s="42" t="str">
        <f ca="1"/>
        <v>Dispatch</v>
      </c>
      <c r="O7" s="42" t="str">
        <f ca="1"/>
        <v>Completed</v>
      </c>
      <c r="P7" t="str">
        <f ca="1"/>
        <v>Claimant/Insured/</v>
      </c>
      <c r="Q7" t="str">
        <f ca="1"/>
        <v>Nanda Ramdas Thorat</v>
      </c>
      <c r="R7" t="str">
        <f ca="1"/>
        <v>Khed-Pune</v>
      </c>
      <c r="S7" t="str">
        <f ca="1"/>
        <v>Pune</v>
      </c>
      <c r="T7" s="314" t="str">
        <f ca="1"/>
        <v>Completed</v>
      </c>
      <c r="U7" t="str">
        <f ca="1"/>
        <v>NA</v>
      </c>
      <c r="V7">
        <f ca="1"/>
        <v>0</v>
      </c>
      <c r="W7">
        <f ca="1"/>
        <v>0</v>
      </c>
      <c r="X7" s="42" t="str">
        <f ca="1"/>
        <v>NA</v>
      </c>
      <c r="Y7" t="str">
        <f ca="1"/>
        <v>NA</v>
      </c>
      <c r="Z7" t="str">
        <f ca="1"/>
        <v>NA</v>
      </c>
      <c r="AA7" t="str">
        <f ca="1"/>
        <v xml:space="preserve">NA </v>
      </c>
      <c r="AB7" t="str">
        <f ca="1"/>
        <v>NA</v>
      </c>
      <c r="AC7" s="42" t="str">
        <f ca="1"/>
        <v>Completed</v>
      </c>
      <c r="AD7" t="str">
        <f ca="1"/>
        <v>NA</v>
      </c>
      <c r="AE7">
        <f ca="1"/>
        <v>0</v>
      </c>
      <c r="AF7" t="str">
        <f ca="1"/>
        <v>NA</v>
      </c>
      <c r="AG7" s="42" t="str">
        <f ca="1"/>
        <v>NA</v>
      </c>
      <c r="AH7" t="str">
        <f ca="1"/>
        <v>NA</v>
      </c>
      <c r="AI7" s="42" t="str">
        <f ca="1"/>
        <v>NA</v>
      </c>
      <c r="AJ7" t="str">
        <f ca="1"/>
        <v>NA</v>
      </c>
      <c r="AK7" s="42" t="str">
        <f ca="1"/>
        <v>NA</v>
      </c>
      <c r="AL7" t="str">
        <f ca="1"/>
        <v>NA</v>
      </c>
      <c r="AM7" s="42" t="str">
        <f ca="1"/>
        <v>NA</v>
      </c>
      <c r="AN7" t="str">
        <f ca="1"/>
        <v>NA</v>
      </c>
      <c r="AO7" s="42" t="str">
        <f ca="1"/>
        <v>NA</v>
      </c>
      <c r="AP7" t="str">
        <f ca="1"/>
        <v>NA</v>
      </c>
      <c r="AQ7" t="str">
        <f ca="1"/>
        <v>NA</v>
      </c>
      <c r="AR7" t="str">
        <f ca="1"/>
        <v>NA</v>
      </c>
      <c r="AS7" s="42" t="str">
        <f ca="1"/>
        <v>Completed</v>
      </c>
      <c r="AT7">
        <f ca="1"/>
        <v>0</v>
      </c>
      <c r="AU7">
        <f ca="1"/>
        <v>0</v>
      </c>
      <c r="AV7" t="str">
        <f ca="1"/>
        <v>NA</v>
      </c>
      <c r="AW7">
        <f ca="1"/>
        <v>0</v>
      </c>
      <c r="AX7" s="42" t="str">
        <f ca="1"/>
        <v>Completed</v>
      </c>
      <c r="AY7">
        <f ca="1"/>
        <v>0</v>
      </c>
      <c r="AZ7">
        <f ca="1"/>
        <v>0</v>
      </c>
      <c r="BA7">
        <f ca="1"/>
        <v>0</v>
      </c>
      <c r="BB7" s="42" t="str">
        <f ca="1"/>
        <v>NA</v>
      </c>
      <c r="BC7">
        <f ca="1"/>
        <v>0</v>
      </c>
      <c r="BD7">
        <f ca="1"/>
        <v>0</v>
      </c>
      <c r="BE7">
        <f ca="1"/>
        <v>0</v>
      </c>
    </row>
    <row r="8" spans="1:57">
      <c r="A8" s="42">
        <f ca="1"/>
        <v>7</v>
      </c>
      <c r="B8" s="42" t="str">
        <f ca="1"/>
        <v>MTP-N-2526-002845</v>
      </c>
      <c r="C8" s="42" t="str">
        <f ca="1"/>
        <v>Generali Central Insurance Company Limited</v>
      </c>
      <c r="D8" s="42" t="str">
        <f ca="1"/>
        <v>MACT</v>
      </c>
      <c r="E8" s="42" t="str">
        <f ca="1"/>
        <v>F001-1007-SS-2025</v>
      </c>
      <c r="F8" s="310">
        <f ca="1"/>
        <v>45897</v>
      </c>
      <c r="G8" s="42" t="str">
        <f ca="1"/>
        <v>Aug-25</v>
      </c>
      <c r="H8" s="312">
        <f ca="1"/>
        <v>45948</v>
      </c>
      <c r="I8" s="42" t="str">
        <f ca="1"/>
        <v>Oct-25</v>
      </c>
      <c r="J8" s="310">
        <f ca="1"/>
        <v>45918</v>
      </c>
      <c r="K8" s="42">
        <f ca="1"/>
        <v>51</v>
      </c>
      <c r="L8" s="42" t="str">
        <f ca="1"/>
        <v>AT</v>
      </c>
      <c r="M8" s="42" t="str">
        <f ca="1"/>
        <v>Partial Case</v>
      </c>
      <c r="N8" s="42" t="str">
        <f ca="1"/>
        <v>Open</v>
      </c>
      <c r="O8" s="42" t="str">
        <f ca="1"/>
        <v>Pending CS</v>
      </c>
      <c r="P8">
        <f ca="1"/>
        <v>0</v>
      </c>
      <c r="Q8" t="str">
        <f ca="1"/>
        <v>NA</v>
      </c>
      <c r="R8" t="str">
        <f ca="1"/>
        <v>NA</v>
      </c>
      <c r="S8" t="str">
        <f ca="1"/>
        <v>NA</v>
      </c>
      <c r="T8" s="314" t="str">
        <f ca="1"/>
        <v>NA</v>
      </c>
      <c r="U8" t="str">
        <f ca="1"/>
        <v>NA</v>
      </c>
      <c r="V8">
        <f ca="1"/>
        <v>0</v>
      </c>
      <c r="W8">
        <f ca="1"/>
        <v>0</v>
      </c>
      <c r="X8" s="42" t="str">
        <f ca="1"/>
        <v>NA</v>
      </c>
      <c r="Y8" t="str">
        <f ca="1"/>
        <v>Gajanan Wishvanath Kapuskari</v>
      </c>
      <c r="Z8" t="str">
        <f ca="1"/>
        <v>R/O C-394-1, MONDHA, 0, SHOPP, NO 2, MARKET YARD, Hingoli. 431512.</v>
      </c>
      <c r="AA8" t="str">
        <f ca="1"/>
        <v>Hingoli</v>
      </c>
      <c r="AB8" t="str">
        <f ca="1"/>
        <v>NA</v>
      </c>
      <c r="AC8" s="42" t="str">
        <f ca="1"/>
        <v>Completed</v>
      </c>
      <c r="AD8" t="str">
        <f ca="1"/>
        <v xml:space="preserve">Omkar Ramkishan Bhalerao </v>
      </c>
      <c r="AE8">
        <f ca="1"/>
        <v>0</v>
      </c>
      <c r="AF8" t="str">
        <f ca="1"/>
        <v>Gajanan Devkar</v>
      </c>
      <c r="AG8" s="42" t="str">
        <f ca="1"/>
        <v>Completed</v>
      </c>
      <c r="AH8" t="str">
        <f ca="1"/>
        <v>Yes</v>
      </c>
      <c r="AI8" s="42" t="str">
        <f ca="1"/>
        <v>Completed</v>
      </c>
      <c r="AJ8" t="str">
        <f ca="1"/>
        <v>yes</v>
      </c>
      <c r="AK8" s="42" t="str">
        <f ca="1"/>
        <v>Completed</v>
      </c>
      <c r="AL8" t="str">
        <f ca="1"/>
        <v xml:space="preserve">WIP </v>
      </c>
      <c r="AM8" s="42" t="str">
        <f ca="1"/>
        <v xml:space="preserve">NA </v>
      </c>
      <c r="AN8" t="str">
        <f ca="1"/>
        <v>NA</v>
      </c>
      <c r="AO8" s="42" t="str">
        <f ca="1"/>
        <v>NA</v>
      </c>
      <c r="AP8" t="str">
        <f ca="1"/>
        <v>NA</v>
      </c>
      <c r="AQ8" t="str">
        <f ca="1"/>
        <v>On Malegaon to Pasadgaon Road, Nr Shahapur.</v>
      </c>
      <c r="AR8" t="str">
        <f ca="1"/>
        <v>Malegaon</v>
      </c>
      <c r="AS8" s="42" t="str">
        <f ca="1"/>
        <v>Completed</v>
      </c>
      <c r="AT8" t="str">
        <f ca="1"/>
        <v>0133/2025</v>
      </c>
      <c r="AU8" t="str">
        <f ca="1"/>
        <v>Limbgaon Police Station</v>
      </c>
      <c r="AV8" t="str">
        <f ca="1"/>
        <v>Nanded</v>
      </c>
      <c r="AW8">
        <f ca="1"/>
        <v>0</v>
      </c>
      <c r="AX8" s="42" t="str">
        <f ca="1"/>
        <v>WIP</v>
      </c>
      <c r="AY8" t="str">
        <f ca="1"/>
        <v>NA</v>
      </c>
      <c r="AZ8">
        <f ca="1"/>
        <v>0</v>
      </c>
      <c r="BA8">
        <f ca="1"/>
        <v>0</v>
      </c>
      <c r="BB8" s="42" t="str">
        <f ca="1"/>
        <v xml:space="preserve">NA </v>
      </c>
      <c r="BC8">
        <f ca="1"/>
        <v>0</v>
      </c>
      <c r="BD8">
        <f ca="1"/>
        <v>0</v>
      </c>
      <c r="BE8" t="str">
        <f ca="1"/>
        <v>Insured/ Driver/ DL</v>
      </c>
    </row>
    <row r="9" spans="1:57">
      <c r="A9" s="42">
        <f ca="1"/>
        <v>8</v>
      </c>
      <c r="B9" s="42" t="str">
        <f ca="1"/>
        <v>MTP-N-2526-003010</v>
      </c>
      <c r="C9" s="42" t="str">
        <f ca="1"/>
        <v>Generali Central Insurance Company Limited</v>
      </c>
      <c r="D9" s="42" t="str">
        <f ca="1"/>
        <v>MACT</v>
      </c>
      <c r="E9" s="42" t="str">
        <f ca="1"/>
        <v>F001-1008-SS-2025</v>
      </c>
      <c r="F9" s="310">
        <f ca="1"/>
        <v>45902</v>
      </c>
      <c r="G9" s="42" t="str">
        <f ca="1"/>
        <v>Sep-25</v>
      </c>
      <c r="H9" s="312">
        <f ca="1"/>
        <v>45968</v>
      </c>
      <c r="I9" s="42" t="str">
        <f ca="1"/>
        <v>Nov-25</v>
      </c>
      <c r="J9" s="310">
        <f ca="1"/>
        <v>45944</v>
      </c>
      <c r="K9" s="42">
        <f ca="1"/>
        <v>66</v>
      </c>
      <c r="L9" s="42" t="str">
        <f ca="1"/>
        <v>AT</v>
      </c>
      <c r="M9" s="42" t="str">
        <f ca="1"/>
        <v>Full Case</v>
      </c>
      <c r="N9" s="42" t="str">
        <f ca="1"/>
        <v>Dispatch</v>
      </c>
      <c r="O9" s="42" t="str">
        <f ca="1"/>
        <v>Completed</v>
      </c>
      <c r="P9">
        <f ca="1"/>
        <v>0</v>
      </c>
      <c r="Q9" t="str">
        <f ca="1"/>
        <v>Sheetal Ganesh Dhere</v>
      </c>
      <c r="R9" t="str">
        <f ca="1"/>
        <v>Kave, Mhada, Solapur.</v>
      </c>
      <c r="S9" t="str">
        <f ca="1"/>
        <v>Solapur</v>
      </c>
      <c r="T9" s="314" t="str">
        <f ca="1"/>
        <v>Completed</v>
      </c>
      <c r="U9" t="str">
        <f ca="1"/>
        <v xml:space="preserve">Na </v>
      </c>
      <c r="V9">
        <f ca="1"/>
        <v>0</v>
      </c>
      <c r="W9">
        <f ca="1"/>
        <v>0</v>
      </c>
      <c r="X9" s="42" t="str">
        <f ca="1"/>
        <v>NA</v>
      </c>
      <c r="Y9" t="str">
        <f ca="1"/>
        <v>GorakhDamu Godage</v>
      </c>
      <c r="Z9">
        <f ca="1"/>
        <v>0</v>
      </c>
      <c r="AA9">
        <f ca="1"/>
        <v>0</v>
      </c>
      <c r="AB9" t="str">
        <f ca="1"/>
        <v>NA</v>
      </c>
      <c r="AC9" s="42" t="str">
        <f ca="1"/>
        <v>Completed</v>
      </c>
      <c r="AD9" t="str">
        <f ca="1"/>
        <v>Shailesh Babu Gorakh Godage</v>
      </c>
      <c r="AE9">
        <f ca="1"/>
        <v>0</v>
      </c>
      <c r="AF9" t="str">
        <f ca="1"/>
        <v xml:space="preserve">Chandrasen </v>
      </c>
      <c r="AG9" s="42" t="str">
        <f ca="1"/>
        <v>Completed</v>
      </c>
      <c r="AH9" t="str">
        <f ca="1"/>
        <v>Yes</v>
      </c>
      <c r="AI9" s="42" t="str">
        <f ca="1"/>
        <v>Completed</v>
      </c>
      <c r="AJ9" t="str">
        <f ca="1"/>
        <v>WIP</v>
      </c>
      <c r="AK9" s="42" t="str">
        <f ca="1"/>
        <v>Completed</v>
      </c>
      <c r="AL9" t="str">
        <f ca="1"/>
        <v xml:space="preserve">WIP </v>
      </c>
      <c r="AM9" s="42" t="str">
        <f ca="1"/>
        <v>Completed</v>
      </c>
      <c r="AN9" t="str">
        <f ca="1"/>
        <v>NA</v>
      </c>
      <c r="AO9" s="42" t="str">
        <f ca="1"/>
        <v>NA</v>
      </c>
      <c r="AP9" t="str">
        <f ca="1"/>
        <v xml:space="preserve">NA </v>
      </c>
      <c r="AQ9" t="str">
        <f ca="1"/>
        <v>On a road Kave to Ropale road, Nr Hotel Patil raj.</v>
      </c>
      <c r="AR9">
        <f ca="1"/>
        <v>0</v>
      </c>
      <c r="AS9" s="42" t="str">
        <f ca="1"/>
        <v>Completed</v>
      </c>
      <c r="AT9" t="str">
        <f ca="1"/>
        <v>Solapur</v>
      </c>
      <c r="AU9" t="str">
        <f ca="1"/>
        <v>NA</v>
      </c>
      <c r="AV9" t="str">
        <f ca="1"/>
        <v>NA</v>
      </c>
      <c r="AW9" t="str">
        <f ca="1"/>
        <v xml:space="preserve">NA </v>
      </c>
      <c r="AX9" s="42" t="str">
        <f ca="1"/>
        <v>Completed</v>
      </c>
      <c r="AY9" t="str">
        <f ca="1"/>
        <v>NA</v>
      </c>
      <c r="AZ9">
        <f ca="1"/>
        <v>0</v>
      </c>
      <c r="BA9">
        <f ca="1"/>
        <v>0</v>
      </c>
      <c r="BB9" s="42" t="str">
        <f ca="1"/>
        <v xml:space="preserve">NA </v>
      </c>
      <c r="BC9" t="str">
        <f ca="1"/>
        <v xml:space="preserve">NA </v>
      </c>
      <c r="BD9">
        <f ca="1"/>
        <v>0</v>
      </c>
      <c r="BE9" t="str">
        <f ca="1"/>
        <v>Insured/ Driver/ Spot/ Claimnat/ Pending for RC/ DL/ CS</v>
      </c>
    </row>
    <row r="10" spans="1:57">
      <c r="A10" s="42">
        <f ca="1"/>
        <v>9</v>
      </c>
      <c r="B10" s="42" t="str">
        <f ca="1"/>
        <v>2025209111</v>
      </c>
      <c r="C10" s="42" t="str">
        <f ca="1"/>
        <v>Indusind General Insurance Co Ltd</v>
      </c>
      <c r="D10" s="42" t="str">
        <f ca="1"/>
        <v>MACT</v>
      </c>
      <c r="E10" s="42" t="str">
        <f ca="1"/>
        <v>R001-1009-SS-2025</v>
      </c>
      <c r="F10" s="310">
        <f ca="1"/>
        <v>45916</v>
      </c>
      <c r="G10" s="42" t="str">
        <f ca="1"/>
        <v>Sep-25</v>
      </c>
      <c r="H10" s="312">
        <f ca="1"/>
        <v>45970</v>
      </c>
      <c r="I10" s="42" t="str">
        <f ca="1"/>
        <v>Nov-25</v>
      </c>
      <c r="J10" s="310">
        <f ca="1"/>
        <v>45958</v>
      </c>
      <c r="K10" s="42">
        <f ca="1"/>
        <v>54</v>
      </c>
      <c r="L10" s="42" t="str">
        <f ca="1"/>
        <v>AT</v>
      </c>
      <c r="M10" s="42" t="str">
        <f ca="1"/>
        <v>Full Case</v>
      </c>
      <c r="N10" s="42" t="str">
        <f ca="1"/>
        <v>Dispatch</v>
      </c>
      <c r="O10" s="42" t="str">
        <f ca="1"/>
        <v>Completed</v>
      </c>
      <c r="P10">
        <f ca="1"/>
        <v>0</v>
      </c>
      <c r="Q10" t="str">
        <f ca="1"/>
        <v>Kavita Vijay Rajule</v>
      </c>
      <c r="R10" t="str">
        <f ca="1"/>
        <v>Narsali, Shreerampur, Ahilyanagar.</v>
      </c>
      <c r="S10" t="str">
        <f ca="1"/>
        <v>Ahilyanagar</v>
      </c>
      <c r="T10" s="314" t="str">
        <f ca="1"/>
        <v>Completed</v>
      </c>
      <c r="U10" t="str">
        <f ca="1"/>
        <v xml:space="preserve">NA </v>
      </c>
      <c r="V10">
        <f ca="1"/>
        <v>0</v>
      </c>
      <c r="W10">
        <f ca="1"/>
        <v>0</v>
      </c>
      <c r="X10" s="42" t="str">
        <f ca="1"/>
        <v>NA</v>
      </c>
      <c r="Y10" t="str">
        <f ca="1"/>
        <v>Sharad Raosaheb Pathare</v>
      </c>
      <c r="Z10" t="str">
        <f ca="1"/>
        <v>Devlali Pravara, Rahuri, Ahilyanagar.</v>
      </c>
      <c r="AA10" t="str">
        <f ca="1"/>
        <v>Ahilyanagar</v>
      </c>
      <c r="AB10" t="str">
        <f ca="1"/>
        <v>NA</v>
      </c>
      <c r="AC10" s="42" t="str">
        <f ca="1"/>
        <v>Completed</v>
      </c>
      <c r="AD10" t="str">
        <f ca="1"/>
        <v>NA</v>
      </c>
      <c r="AE10">
        <f ca="1"/>
        <v>0</v>
      </c>
      <c r="AF10" t="str">
        <f ca="1"/>
        <v>Sandeep Lashkare</v>
      </c>
      <c r="AG10" s="42" t="str">
        <f ca="1"/>
        <v>Completed</v>
      </c>
      <c r="AH10" t="str">
        <f ca="1"/>
        <v>NA</v>
      </c>
      <c r="AI10" s="42" t="str">
        <f ca="1"/>
        <v>NA</v>
      </c>
      <c r="AJ10" t="str">
        <f ca="1"/>
        <v xml:space="preserve">NA </v>
      </c>
      <c r="AK10" s="42" t="str">
        <f ca="1"/>
        <v>NA</v>
      </c>
      <c r="AL10" t="str">
        <f ca="1"/>
        <v>NA</v>
      </c>
      <c r="AM10" s="42" t="str">
        <f ca="1"/>
        <v>NA</v>
      </c>
      <c r="AN10" t="str">
        <f ca="1"/>
        <v>NA</v>
      </c>
      <c r="AO10" s="42" t="str">
        <f ca="1"/>
        <v>NA</v>
      </c>
      <c r="AP10" t="str">
        <f ca="1"/>
        <v xml:space="preserve">NA </v>
      </c>
      <c r="AQ10" t="str">
        <f ca="1"/>
        <v xml:space="preserve">From Devlali Pravra to Shrirampur Road, Near Nisarg Hotel, </v>
      </c>
      <c r="AR10">
        <f ca="1"/>
        <v>0</v>
      </c>
      <c r="AS10" s="42" t="str">
        <f ca="1"/>
        <v>Completed</v>
      </c>
      <c r="AT10">
        <f ca="1"/>
        <v>0</v>
      </c>
      <c r="AU10">
        <f ca="1"/>
        <v>0</v>
      </c>
      <c r="AV10" t="str">
        <f ca="1"/>
        <v>NA</v>
      </c>
      <c r="AW10">
        <f ca="1"/>
        <v>0</v>
      </c>
      <c r="AX10" s="42" t="str">
        <f ca="1"/>
        <v>Completed</v>
      </c>
      <c r="AY10" t="str">
        <f ca="1"/>
        <v>NA</v>
      </c>
      <c r="AZ10">
        <f ca="1"/>
        <v>0</v>
      </c>
      <c r="BA10">
        <f ca="1"/>
        <v>0</v>
      </c>
      <c r="BB10" s="42" t="str">
        <f ca="1"/>
        <v>NA</v>
      </c>
      <c r="BC10">
        <f ca="1"/>
        <v>0</v>
      </c>
      <c r="BD10">
        <f ca="1"/>
        <v>0</v>
      </c>
      <c r="BE10" t="str">
        <f ca="1"/>
        <v>Claimant/ insured and Driver  / Spot Pending for  Chargesheet</v>
      </c>
    </row>
    <row r="11" spans="1:57">
      <c r="A11" s="42">
        <f ca="1"/>
        <v>10</v>
      </c>
      <c r="B11" s="42" t="str">
        <f ca="1"/>
        <v>CN064878</v>
      </c>
      <c r="C11" s="42" t="str">
        <f ca="1"/>
        <v>Generali Central Insurance Company Limited</v>
      </c>
      <c r="D11" s="42" t="str">
        <f ca="1"/>
        <v>MACT</v>
      </c>
      <c r="E11" s="42" t="str">
        <f ca="1"/>
        <v>F001-1010-SS-2025</v>
      </c>
      <c r="F11" s="310">
        <f ca="1"/>
        <v>45916</v>
      </c>
      <c r="G11" s="42" t="str">
        <f ca="1"/>
        <v>Sep-25</v>
      </c>
      <c r="H11" s="312">
        <f ca="1"/>
        <v>45970</v>
      </c>
      <c r="I11" s="42" t="str">
        <f ca="1"/>
        <v>Nov-25</v>
      </c>
      <c r="J11" s="310">
        <f ca="1"/>
        <v>45958</v>
      </c>
      <c r="K11" s="42">
        <f ca="1"/>
        <v>54</v>
      </c>
      <c r="L11" s="42" t="str">
        <f ca="1"/>
        <v>AT</v>
      </c>
      <c r="M11" s="42" t="str">
        <f ca="1"/>
        <v>Full Case</v>
      </c>
      <c r="N11" s="42" t="str">
        <f ca="1"/>
        <v>Dispatch</v>
      </c>
      <c r="O11" s="42" t="str">
        <f ca="1"/>
        <v>Completed</v>
      </c>
      <c r="P11">
        <f ca="1"/>
        <v>0</v>
      </c>
      <c r="Q11" t="str">
        <f ca="1"/>
        <v>Rajendra Ramrao Patil 9657416085</v>
      </c>
      <c r="R11" t="str">
        <f ca="1"/>
        <v>Galli No. 06, Umarkhed, Chalisgaon, Jalgaon. Current - Flat No. 12, ShreeKunj, Ambad Link road, Vrundavan Nagar, Kamathwadi, Back to  Vikhe Patil School, Nashik-Ambad.</v>
      </c>
      <c r="S11" t="str">
        <f ca="1"/>
        <v>Nashik</v>
      </c>
      <c r="T11" s="314" t="str">
        <f ca="1"/>
        <v>Completed</v>
      </c>
      <c r="U11" t="str">
        <f ca="1"/>
        <v>Yes</v>
      </c>
      <c r="V11">
        <f ca="1"/>
        <v>0</v>
      </c>
      <c r="W11">
        <f ca="1"/>
        <v>0</v>
      </c>
      <c r="X11" s="42" t="str">
        <f ca="1"/>
        <v>Completed</v>
      </c>
      <c r="Y11" t="str">
        <f ca="1"/>
        <v xml:space="preserve">Ravindra Pandurang Patil </v>
      </c>
      <c r="Z11" t="str">
        <f ca="1"/>
        <v>Gudhe, Bhadgaon, Jalgaon.</v>
      </c>
      <c r="AA11" t="str">
        <f ca="1"/>
        <v>Jalgaon</v>
      </c>
      <c r="AB11" t="str">
        <f ca="1"/>
        <v>NA</v>
      </c>
      <c r="AC11" s="42" t="str">
        <f ca="1"/>
        <v>Completed</v>
      </c>
      <c r="AD11" t="str">
        <f ca="1"/>
        <v>Rahul Lohar</v>
      </c>
      <c r="AE11">
        <f ca="1"/>
        <v>0</v>
      </c>
      <c r="AF11" t="str">
        <f ca="1"/>
        <v>Nihal Shaikh</v>
      </c>
      <c r="AG11" s="42" t="str">
        <f ca="1"/>
        <v>Completed</v>
      </c>
      <c r="AH11" t="str">
        <f ca="1"/>
        <v>NA</v>
      </c>
      <c r="AI11" s="42" t="str">
        <f ca="1"/>
        <v>Completed</v>
      </c>
      <c r="AJ11" t="str">
        <f ca="1"/>
        <v>NA</v>
      </c>
      <c r="AK11" s="42" t="str">
        <f ca="1"/>
        <v>WIP</v>
      </c>
      <c r="AL11" t="str">
        <f ca="1"/>
        <v xml:space="preserve">NA </v>
      </c>
      <c r="AM11" s="42" t="str">
        <f ca="1"/>
        <v xml:space="preserve">NA </v>
      </c>
      <c r="AN11" t="str">
        <f ca="1"/>
        <v xml:space="preserve">NA </v>
      </c>
      <c r="AO11" s="42" t="str">
        <f ca="1"/>
        <v>NA</v>
      </c>
      <c r="AP11" t="str">
        <f ca="1"/>
        <v>Nihal Shaikh</v>
      </c>
      <c r="AQ11" t="str">
        <f ca="1"/>
        <v>On Wadegude to Umberkhed road, Near Gude Shivar, Chalisgaon, Nashik.</v>
      </c>
      <c r="AR11" t="str">
        <f ca="1"/>
        <v>Nashik</v>
      </c>
      <c r="AS11" s="42" t="str">
        <f ca="1"/>
        <v>Completed</v>
      </c>
      <c r="AT11">
        <f ca="1"/>
        <v>0</v>
      </c>
      <c r="AU11">
        <f ca="1"/>
        <v>0</v>
      </c>
      <c r="AV11" t="str">
        <f ca="1"/>
        <v>NA</v>
      </c>
      <c r="AW11">
        <f ca="1"/>
        <v>0</v>
      </c>
      <c r="AX11" s="42" t="str">
        <f ca="1"/>
        <v>Completed</v>
      </c>
      <c r="AY11">
        <f ca="1"/>
        <v>0</v>
      </c>
      <c r="AZ11">
        <f ca="1"/>
        <v>0</v>
      </c>
      <c r="BA11">
        <f ca="1"/>
        <v>0</v>
      </c>
      <c r="BB11" s="42" t="str">
        <f ca="1"/>
        <v>Completed</v>
      </c>
      <c r="BC11">
        <f ca="1"/>
        <v>45993</v>
      </c>
      <c r="BD11" t="str">
        <f ca="1"/>
        <v>Disptach</v>
      </c>
      <c r="BE11" t="str">
        <f ca="1"/>
        <v xml:space="preserve">Claimant Done / Driver Done  / Insured / Spot / Pending for RC and DL extract Chargesheet </v>
      </c>
    </row>
    <row r="12" spans="1:57">
      <c r="A12" s="42">
        <f ca="1"/>
        <v>11</v>
      </c>
      <c r="B12" s="42" t="str">
        <f ca="1"/>
        <v>2025201119</v>
      </c>
      <c r="C12" s="42" t="str">
        <f ca="1"/>
        <v>Indusind General Insurance Co Ltd</v>
      </c>
      <c r="D12" s="42" t="str">
        <f ca="1"/>
        <v>MACT</v>
      </c>
      <c r="E12" s="42" t="str">
        <f ca="1"/>
        <v>R001-1011-SS-2025</v>
      </c>
      <c r="F12" s="310">
        <f ca="1"/>
        <v>45916</v>
      </c>
      <c r="G12" s="42" t="str">
        <f ca="1"/>
        <v>Sep-25</v>
      </c>
      <c r="H12" s="312" t="str">
        <f ca="1"/>
        <v>-</v>
      </c>
      <c r="I12" s="42">
        <f ca="1"/>
        <v>0</v>
      </c>
      <c r="J12" s="310">
        <f ca="1"/>
        <v>45937</v>
      </c>
      <c r="K12" s="42">
        <f ca="1"/>
        <v>111</v>
      </c>
      <c r="L12" s="42" t="str">
        <f ca="1"/>
        <v>AT</v>
      </c>
      <c r="M12" s="42" t="str">
        <f ca="1"/>
        <v>Partial Case</v>
      </c>
      <c r="N12" s="42" t="str">
        <f ca="1"/>
        <v>Open</v>
      </c>
      <c r="O12" s="42" t="str">
        <f ca="1"/>
        <v>Pending CS</v>
      </c>
      <c r="P12" t="str">
        <f ca="1"/>
        <v>For Charge Sheet	Analogous matter allocated</v>
      </c>
      <c r="Q12" t="str">
        <f ca="1"/>
        <v>NA</v>
      </c>
      <c r="R12" t="str">
        <f ca="1"/>
        <v>NA</v>
      </c>
      <c r="S12" t="str">
        <f ca="1"/>
        <v>NA</v>
      </c>
      <c r="T12" s="314" t="str">
        <f ca="1"/>
        <v>NA</v>
      </c>
      <c r="U12" t="str">
        <f ca="1"/>
        <v xml:space="preserve">NA </v>
      </c>
      <c r="V12">
        <f ca="1"/>
        <v>0</v>
      </c>
      <c r="W12">
        <f ca="1"/>
        <v>0</v>
      </c>
      <c r="X12" s="42" t="str">
        <f ca="1"/>
        <v>NA</v>
      </c>
      <c r="Y12" t="str">
        <f ca="1"/>
        <v xml:space="preserve">NA </v>
      </c>
      <c r="Z12" t="str">
        <f ca="1"/>
        <v>NA</v>
      </c>
      <c r="AA12" t="str">
        <f ca="1"/>
        <v xml:space="preserve">NA </v>
      </c>
      <c r="AB12" t="str">
        <f ca="1"/>
        <v>NA</v>
      </c>
      <c r="AC12" s="42" t="str">
        <f ca="1"/>
        <v>NA</v>
      </c>
      <c r="AD12" t="str">
        <f ca="1"/>
        <v>NA</v>
      </c>
      <c r="AE12">
        <f ca="1"/>
        <v>0</v>
      </c>
      <c r="AF12" t="str">
        <f ca="1"/>
        <v>NA</v>
      </c>
      <c r="AG12" s="42" t="str">
        <f ca="1"/>
        <v>NA</v>
      </c>
      <c r="AH12" t="str">
        <f ca="1"/>
        <v>NA</v>
      </c>
      <c r="AI12" s="42" t="str">
        <f ca="1"/>
        <v>NA</v>
      </c>
      <c r="AJ12" t="str">
        <f ca="1"/>
        <v>NA</v>
      </c>
      <c r="AK12" s="42" t="str">
        <f ca="1"/>
        <v>NA</v>
      </c>
      <c r="AL12" t="str">
        <f ca="1"/>
        <v>NA</v>
      </c>
      <c r="AM12" s="42" t="str">
        <f ca="1"/>
        <v>NA</v>
      </c>
      <c r="AN12" t="str">
        <f ca="1"/>
        <v>NA</v>
      </c>
      <c r="AO12" s="42" t="str">
        <f ca="1"/>
        <v>NA</v>
      </c>
      <c r="AP12" t="str">
        <f ca="1"/>
        <v xml:space="preserve">NA </v>
      </c>
      <c r="AQ12" t="str">
        <f ca="1"/>
        <v>Near Pushpa Ganga Hotel, Dharashiv.</v>
      </c>
      <c r="AR12" t="str">
        <f ca="1"/>
        <v>Dharashiv</v>
      </c>
      <c r="AS12" s="42" t="str">
        <f ca="1"/>
        <v>NA</v>
      </c>
      <c r="AT12" t="str">
        <f ca="1"/>
        <v>0262/2024</v>
      </c>
      <c r="AU12" t="str">
        <f ca="1"/>
        <v>Anand Police Station</v>
      </c>
      <c r="AV12" t="str">
        <f ca="1"/>
        <v>NA</v>
      </c>
      <c r="AW12">
        <f ca="1"/>
        <v>0</v>
      </c>
      <c r="AX12" s="42" t="str">
        <f ca="1"/>
        <v>WIP</v>
      </c>
      <c r="AY12" t="str">
        <f ca="1"/>
        <v>NA</v>
      </c>
      <c r="AZ12">
        <f ca="1"/>
        <v>0</v>
      </c>
      <c r="BA12">
        <f ca="1"/>
        <v>0</v>
      </c>
      <c r="BB12" s="42" t="str">
        <f ca="1"/>
        <v>NI</v>
      </c>
      <c r="BC12" t="str">
        <f ca="1"/>
        <v xml:space="preserve">NA </v>
      </c>
      <c r="BD12">
        <f ca="1"/>
        <v>0</v>
      </c>
      <c r="BE12" t="str">
        <f ca="1"/>
        <v>Pending for Chargesheet</v>
      </c>
    </row>
    <row r="13" spans="1:57">
      <c r="A13" s="42">
        <f ca="1"/>
        <v>12</v>
      </c>
      <c r="B13" s="42" t="str">
        <f ca="1"/>
        <v>2025210107</v>
      </c>
      <c r="C13" s="42" t="str">
        <f ca="1"/>
        <v>Indusind General Insurance Co Ltd</v>
      </c>
      <c r="D13" s="42" t="str">
        <f ca="1"/>
        <v>MACT</v>
      </c>
      <c r="E13" s="42" t="str">
        <f ca="1"/>
        <v>R001-1012-SS-2025</v>
      </c>
      <c r="F13" s="310">
        <f ca="1"/>
        <v>45917</v>
      </c>
      <c r="G13" s="42" t="str">
        <f ca="1"/>
        <v>Sep-25</v>
      </c>
      <c r="H13" s="312">
        <f ca="1"/>
        <v>45976</v>
      </c>
      <c r="I13" s="42" t="str">
        <f ca="1"/>
        <v>Nov-25</v>
      </c>
      <c r="J13" s="310">
        <f ca="1"/>
        <v>45959</v>
      </c>
      <c r="K13" s="42">
        <f ca="1"/>
        <v>59</v>
      </c>
      <c r="L13" s="42" t="str">
        <f ca="1"/>
        <v>AT</v>
      </c>
      <c r="M13" s="42" t="str">
        <f ca="1"/>
        <v>Full Case</v>
      </c>
      <c r="N13" s="42" t="str">
        <f ca="1"/>
        <v>Dispatch</v>
      </c>
      <c r="O13" s="42" t="str">
        <f ca="1"/>
        <v>Completed</v>
      </c>
      <c r="P13">
        <f ca="1"/>
        <v>0</v>
      </c>
      <c r="Q13" t="str">
        <f ca="1"/>
        <v>Pratap Bhausaheb Pachange 9689450555</v>
      </c>
      <c r="R13" t="str">
        <f ca="1"/>
        <v>Dhoksangvi, Shirur, Pune.</v>
      </c>
      <c r="S13" t="str">
        <f ca="1"/>
        <v>Pune</v>
      </c>
      <c r="T13" s="314" t="str">
        <f ca="1"/>
        <v>Completed</v>
      </c>
      <c r="U13" t="str">
        <f ca="1"/>
        <v xml:space="preserve">NA </v>
      </c>
      <c r="V13">
        <f ca="1"/>
        <v>0</v>
      </c>
      <c r="W13">
        <f ca="1"/>
        <v>0</v>
      </c>
      <c r="X13" s="42" t="str">
        <f ca="1"/>
        <v>NA</v>
      </c>
      <c r="Y13" t="str">
        <f ca="1"/>
        <v>Sunil Annasaheb Kulat 9923440484</v>
      </c>
      <c r="Z13" t="str">
        <f ca="1"/>
        <v>41, Gavthan, Khatgaon, Taklitral, Parner, Ahmadnagar. 414103</v>
      </c>
      <c r="AA13" t="str">
        <f ca="1"/>
        <v>Ahilyanagar</v>
      </c>
      <c r="AB13" t="str">
        <f ca="1"/>
        <v>NA</v>
      </c>
      <c r="AC13" s="42" t="str">
        <f ca="1"/>
        <v>Completed</v>
      </c>
      <c r="AD13" t="str">
        <f ca="1"/>
        <v>Somnath Bhagwan Dahifhale</v>
      </c>
      <c r="AE13">
        <f ca="1"/>
        <v>0</v>
      </c>
      <c r="AF13" t="str">
        <f ca="1"/>
        <v>Sandeep Lashkare</v>
      </c>
      <c r="AG13" s="42" t="str">
        <f ca="1"/>
        <v>Completed</v>
      </c>
      <c r="AH13" t="str">
        <f ca="1"/>
        <v>NA</v>
      </c>
      <c r="AI13" s="42" t="str">
        <f ca="1"/>
        <v>NA</v>
      </c>
      <c r="AJ13" t="str">
        <f ca="1"/>
        <v>NA</v>
      </c>
      <c r="AK13" s="42" t="str">
        <f ca="1"/>
        <v>NA</v>
      </c>
      <c r="AL13" t="str">
        <f ca="1"/>
        <v>NA</v>
      </c>
      <c r="AM13" s="42" t="str">
        <f ca="1"/>
        <v>NA</v>
      </c>
      <c r="AN13" t="str">
        <f ca="1"/>
        <v>NA</v>
      </c>
      <c r="AO13" s="42" t="str">
        <f ca="1"/>
        <v>NA</v>
      </c>
      <c r="AP13" t="str">
        <f ca="1"/>
        <v xml:space="preserve">NA </v>
      </c>
      <c r="AQ13" t="str">
        <f ca="1"/>
        <v>On Pune-Nagar road, In the vicinity of Vaghunde village, Opp. H P Petrol pump, MIDC chowk.</v>
      </c>
      <c r="AR13">
        <f ca="1"/>
        <v>0</v>
      </c>
      <c r="AS13" s="42" t="str">
        <f ca="1"/>
        <v>Completed</v>
      </c>
      <c r="AT13">
        <f ca="1"/>
        <v>0</v>
      </c>
      <c r="AU13">
        <f ca="1"/>
        <v>0</v>
      </c>
      <c r="AV13" t="str">
        <f ca="1"/>
        <v>NA</v>
      </c>
      <c r="AW13">
        <f ca="1"/>
        <v>0</v>
      </c>
      <c r="AX13" s="42" t="str">
        <f ca="1"/>
        <v>Completed</v>
      </c>
      <c r="AY13" t="str">
        <f ca="1"/>
        <v>NA</v>
      </c>
      <c r="AZ13">
        <f ca="1"/>
        <v>0</v>
      </c>
      <c r="BA13">
        <f ca="1"/>
        <v>0</v>
      </c>
      <c r="BB13" s="42" t="str">
        <f ca="1"/>
        <v>NA</v>
      </c>
      <c r="BC13">
        <f ca="1"/>
        <v>0</v>
      </c>
      <c r="BD13">
        <f ca="1"/>
        <v>0</v>
      </c>
      <c r="BE13" t="str">
        <f ca="1"/>
        <v>Spot/ Insured - recording and Visit location photos/ Claimant Part</v>
      </c>
    </row>
    <row r="14" spans="1:57">
      <c r="A14" s="42">
        <f ca="1"/>
        <v>13</v>
      </c>
      <c r="B14" s="42" t="str">
        <f ca="1"/>
        <v>2025209818</v>
      </c>
      <c r="C14" s="42" t="str">
        <f ca="1"/>
        <v>Indusind General Insurance Co Ltd</v>
      </c>
      <c r="D14" s="42" t="str">
        <f ca="1"/>
        <v>MACT</v>
      </c>
      <c r="E14" s="42" t="str">
        <f ca="1"/>
        <v>R001-1013-SS-2025</v>
      </c>
      <c r="F14" s="310">
        <f ca="1"/>
        <v>45917</v>
      </c>
      <c r="G14" s="42" t="str">
        <f ca="1"/>
        <v>Sep-25</v>
      </c>
      <c r="H14" s="312">
        <f ca="1"/>
        <v>45982</v>
      </c>
      <c r="I14" s="42" t="str">
        <f ca="1"/>
        <v>Nov-25</v>
      </c>
      <c r="J14" s="310">
        <f ca="1"/>
        <v>45938</v>
      </c>
      <c r="K14" s="42">
        <f ca="1"/>
        <v>65</v>
      </c>
      <c r="L14" s="42" t="str">
        <f ca="1"/>
        <v>AT</v>
      </c>
      <c r="M14" s="42" t="str">
        <f ca="1"/>
        <v>Partial Case</v>
      </c>
      <c r="N14" s="42" t="str">
        <f ca="1"/>
        <v>Dispatch</v>
      </c>
      <c r="O14" s="42" t="str">
        <f ca="1"/>
        <v>Completed</v>
      </c>
      <c r="P14">
        <f ca="1"/>
        <v>0</v>
      </c>
      <c r="Q14" t="str">
        <f ca="1"/>
        <v>Babasaheb Urfa Santosh Sahebrao Kolekar</v>
      </c>
      <c r="R14" t="str">
        <f ca="1"/>
        <v>Dhoksangvi, Shirur, Pune.</v>
      </c>
      <c r="S14" t="str">
        <f ca="1"/>
        <v>Pune</v>
      </c>
      <c r="T14" s="314" t="str">
        <f ca="1"/>
        <v>Completed</v>
      </c>
      <c r="U14" t="str">
        <f ca="1"/>
        <v xml:space="preserve">NA </v>
      </c>
      <c r="V14">
        <f ca="1"/>
        <v>0</v>
      </c>
      <c r="W14">
        <f ca="1"/>
        <v>0</v>
      </c>
      <c r="X14" s="42" t="str">
        <f ca="1"/>
        <v>NA</v>
      </c>
      <c r="Y14" t="str">
        <f ca="1"/>
        <v>NA</v>
      </c>
      <c r="Z14" t="str">
        <f ca="1"/>
        <v>NA</v>
      </c>
      <c r="AA14" t="str">
        <f ca="1"/>
        <v>NA</v>
      </c>
      <c r="AB14" t="str">
        <f ca="1"/>
        <v>NA</v>
      </c>
      <c r="AC14" s="42" t="str">
        <f ca="1"/>
        <v>NA</v>
      </c>
      <c r="AD14" t="str">
        <f ca="1"/>
        <v>NA</v>
      </c>
      <c r="AE14">
        <f ca="1"/>
        <v>0</v>
      </c>
      <c r="AF14" t="str">
        <f ca="1"/>
        <v>NA</v>
      </c>
      <c r="AG14" s="42" t="str">
        <f ca="1"/>
        <v xml:space="preserve">NA </v>
      </c>
      <c r="AH14" t="str">
        <f ca="1"/>
        <v>NA</v>
      </c>
      <c r="AI14" s="42" t="str">
        <f ca="1"/>
        <v>NA</v>
      </c>
      <c r="AJ14" t="str">
        <f ca="1"/>
        <v>NA</v>
      </c>
      <c r="AK14" s="42" t="str">
        <f ca="1"/>
        <v>NA</v>
      </c>
      <c r="AL14" t="str">
        <f ca="1"/>
        <v>NA</v>
      </c>
      <c r="AM14" s="42" t="str">
        <f ca="1"/>
        <v>NA</v>
      </c>
      <c r="AN14" t="str">
        <f ca="1"/>
        <v>NA</v>
      </c>
      <c r="AO14" s="42" t="str">
        <f ca="1"/>
        <v>NA</v>
      </c>
      <c r="AP14" t="str">
        <f ca="1"/>
        <v xml:space="preserve">NA </v>
      </c>
      <c r="AQ14" t="str">
        <f ca="1"/>
        <v>On Pune-Nagar road, In the vicinity of Vaghunde village, Opp. H P Petrol pump, MIDC chowk.</v>
      </c>
      <c r="AR14">
        <f ca="1"/>
        <v>0</v>
      </c>
      <c r="AS14" s="42" t="str">
        <f ca="1"/>
        <v>NA</v>
      </c>
      <c r="AT14">
        <f ca="1"/>
        <v>0</v>
      </c>
      <c r="AU14">
        <f ca="1"/>
        <v>0</v>
      </c>
      <c r="AV14" t="str">
        <f ca="1"/>
        <v>NA</v>
      </c>
      <c r="AW14">
        <f ca="1"/>
        <v>0</v>
      </c>
      <c r="AX14" s="42" t="str">
        <f ca="1"/>
        <v>NA</v>
      </c>
      <c r="AY14" t="str">
        <f ca="1"/>
        <v>NA</v>
      </c>
      <c r="AZ14">
        <f ca="1"/>
        <v>0</v>
      </c>
      <c r="BA14">
        <f ca="1"/>
        <v>0</v>
      </c>
      <c r="BB14" s="42" t="str">
        <f ca="1"/>
        <v>NA</v>
      </c>
      <c r="BC14">
        <f ca="1"/>
        <v>0</v>
      </c>
      <c r="BD14">
        <f ca="1"/>
        <v>0</v>
      </c>
      <c r="BE14" t="str">
        <f ca="1"/>
        <v xml:space="preserve">Claimant Part done claimant is out of station </v>
      </c>
    </row>
    <row r="15" spans="1:57">
      <c r="A15" s="42">
        <f ca="1"/>
        <v>14</v>
      </c>
      <c r="B15" s="42" t="str">
        <f ca="1"/>
        <v>2025210174</v>
      </c>
      <c r="C15" s="42" t="str">
        <f ca="1"/>
        <v>Indusind General Insurance Co Ltd</v>
      </c>
      <c r="D15" s="42" t="str">
        <f ca="1"/>
        <v>MACT</v>
      </c>
      <c r="E15" s="42" t="str">
        <f ca="1"/>
        <v>R001-1014-SS-2025</v>
      </c>
      <c r="F15" s="310">
        <f ca="1"/>
        <v>45917</v>
      </c>
      <c r="G15" s="42" t="str">
        <f ca="1"/>
        <v>Sep-25</v>
      </c>
      <c r="H15" s="312">
        <f ca="1"/>
        <v>45976</v>
      </c>
      <c r="I15" s="42" t="str">
        <f ca="1"/>
        <v>Nov-25</v>
      </c>
      <c r="J15" s="310">
        <f ca="1"/>
        <v>45959</v>
      </c>
      <c r="K15" s="42">
        <f ca="1"/>
        <v>59</v>
      </c>
      <c r="L15" s="42" t="str">
        <f ca="1"/>
        <v>AT</v>
      </c>
      <c r="M15" s="42" t="str">
        <f ca="1"/>
        <v>Full Case</v>
      </c>
      <c r="N15" s="42" t="str">
        <f ca="1"/>
        <v>Dispatch</v>
      </c>
      <c r="O15" s="42" t="str">
        <f ca="1"/>
        <v>Completed</v>
      </c>
      <c r="P15">
        <f ca="1"/>
        <v>0</v>
      </c>
      <c r="Q15" t="str">
        <f ca="1"/>
        <v>Vrushali Ganesh Shelke 9860666287/9922339794</v>
      </c>
      <c r="R15" t="str">
        <f ca="1"/>
        <v>Kolhar Budruk, Rahata, Ahilyanagar</v>
      </c>
      <c r="S15" t="str">
        <f ca="1"/>
        <v>Ahilyanagar</v>
      </c>
      <c r="T15" s="314" t="str">
        <f ca="1"/>
        <v>Completed</v>
      </c>
      <c r="U15" t="str">
        <f ca="1"/>
        <v xml:space="preserve">NA </v>
      </c>
      <c r="V15">
        <f ca="1"/>
        <v>0</v>
      </c>
      <c r="W15">
        <f ca="1"/>
        <v>0</v>
      </c>
      <c r="X15" s="42" t="str">
        <f ca="1"/>
        <v>NA</v>
      </c>
      <c r="Y15" t="str">
        <f ca="1"/>
        <v>Dilip Parshuram Salunke</v>
      </c>
      <c r="Z15" t="str">
        <f ca="1"/>
        <v>Ambekar mala. 556, Room no. 1-2, Theur Fhata, Kunjirwadi, Pune 412201. Patas, Daund, Pune - 412219</v>
      </c>
      <c r="AA15" t="str">
        <f ca="1"/>
        <v>Pune</v>
      </c>
      <c r="AB15" t="str">
        <f ca="1"/>
        <v>NA</v>
      </c>
      <c r="AC15" s="42" t="str">
        <f ca="1"/>
        <v>Completed</v>
      </c>
      <c r="AD15" t="str">
        <f ca="1"/>
        <v>NA</v>
      </c>
      <c r="AE15">
        <f ca="1"/>
        <v>0</v>
      </c>
      <c r="AF15" t="str">
        <f ca="1"/>
        <v>NA</v>
      </c>
      <c r="AG15" s="42" t="str">
        <f ca="1"/>
        <v>Completed</v>
      </c>
      <c r="AH15" t="str">
        <f ca="1"/>
        <v>NA</v>
      </c>
      <c r="AI15" s="42" t="str">
        <f ca="1"/>
        <v>NA</v>
      </c>
      <c r="AJ15" t="str">
        <f ca="1"/>
        <v>NA</v>
      </c>
      <c r="AK15" s="42" t="str">
        <f ca="1"/>
        <v>NA</v>
      </c>
      <c r="AL15" t="str">
        <f ca="1"/>
        <v>NA</v>
      </c>
      <c r="AM15" s="42" t="str">
        <f ca="1"/>
        <v>NA</v>
      </c>
      <c r="AN15" t="str">
        <f ca="1"/>
        <v>NA</v>
      </c>
      <c r="AO15" s="42" t="str">
        <f ca="1"/>
        <v>NA</v>
      </c>
      <c r="AP15" t="str">
        <f ca="1"/>
        <v xml:space="preserve">NA </v>
      </c>
      <c r="AQ15" t="str">
        <f ca="1"/>
        <v xml:space="preserve">On Nagar-Manmad Road, In the vicinity of Shingvenaike village, </v>
      </c>
      <c r="AR15">
        <f ca="1"/>
        <v>0</v>
      </c>
      <c r="AS15" s="42" t="str">
        <f ca="1"/>
        <v>Completed</v>
      </c>
      <c r="AT15">
        <f ca="1"/>
        <v>0</v>
      </c>
      <c r="AU15">
        <f ca="1"/>
        <v>0</v>
      </c>
      <c r="AV15" t="str">
        <f ca="1"/>
        <v>NA</v>
      </c>
      <c r="AW15">
        <f ca="1"/>
        <v>0</v>
      </c>
      <c r="AX15" s="42" t="str">
        <f ca="1"/>
        <v>Completed</v>
      </c>
      <c r="AY15" t="str">
        <f ca="1"/>
        <v>NA</v>
      </c>
      <c r="AZ15">
        <f ca="1"/>
        <v>0</v>
      </c>
      <c r="BA15">
        <f ca="1"/>
        <v>0</v>
      </c>
      <c r="BB15" s="42" t="str">
        <f ca="1"/>
        <v>NA</v>
      </c>
      <c r="BC15">
        <f ca="1"/>
        <v>0</v>
      </c>
      <c r="BD15">
        <f ca="1"/>
        <v>0</v>
      </c>
      <c r="BE15" t="str">
        <f ca="1"/>
        <v xml:space="preserve">Claimant/ Spot </v>
      </c>
    </row>
    <row r="16" spans="1:57">
      <c r="A16" s="42">
        <f ca="1"/>
        <v>15</v>
      </c>
      <c r="B16" s="42" t="str">
        <f ca="1"/>
        <v>2025210104</v>
      </c>
      <c r="C16" s="42" t="str">
        <f ca="1"/>
        <v>Indusind General Insurance Co Ltd</v>
      </c>
      <c r="D16" s="42" t="str">
        <f ca="1"/>
        <v>MACT</v>
      </c>
      <c r="E16" s="42" t="str">
        <f ca="1"/>
        <v>R001-1015-SS-2025</v>
      </c>
      <c r="F16" s="310">
        <f ca="1"/>
        <v>45917</v>
      </c>
      <c r="G16" s="42" t="str">
        <f ca="1"/>
        <v>Sep-25</v>
      </c>
      <c r="H16" s="312">
        <f ca="1"/>
        <v>45973</v>
      </c>
      <c r="I16" s="42" t="str">
        <f ca="1"/>
        <v>Nov-25</v>
      </c>
      <c r="J16" s="310">
        <f ca="1"/>
        <v>45938</v>
      </c>
      <c r="K16" s="42">
        <f ca="1"/>
        <v>56</v>
      </c>
      <c r="L16" s="42" t="str">
        <f ca="1"/>
        <v>AT</v>
      </c>
      <c r="M16" s="42" t="str">
        <f ca="1"/>
        <v>Partial Case</v>
      </c>
      <c r="N16" s="42" t="str">
        <f ca="1"/>
        <v>Dispatch</v>
      </c>
      <c r="O16" s="42" t="str">
        <f ca="1"/>
        <v>Completed</v>
      </c>
      <c r="P16">
        <f ca="1"/>
        <v>0</v>
      </c>
      <c r="Q16" t="str">
        <f ca="1"/>
        <v>Manisha Rajaram Belote 9921119809</v>
      </c>
      <c r="R16" t="str">
        <f ca="1"/>
        <v>Devibhoyre, Parner, Ahilyanagar</v>
      </c>
      <c r="S16" t="str">
        <f ca="1"/>
        <v>Ahilyanagar</v>
      </c>
      <c r="T16" s="314" t="str">
        <f ca="1"/>
        <v>Completed</v>
      </c>
      <c r="U16" t="str">
        <f ca="1"/>
        <v xml:space="preserve">NA </v>
      </c>
      <c r="V16">
        <f ca="1"/>
        <v>0</v>
      </c>
      <c r="W16">
        <f ca="1"/>
        <v>0</v>
      </c>
      <c r="X16" s="42" t="str">
        <f ca="1"/>
        <v>NA</v>
      </c>
      <c r="Y16" t="str">
        <f ca="1"/>
        <v>Jitenrda Dnyaneshwar Naik</v>
      </c>
      <c r="Z16" t="str">
        <f ca="1"/>
        <v>NA</v>
      </c>
      <c r="AA16" t="str">
        <f ca="1"/>
        <v xml:space="preserve">NA </v>
      </c>
      <c r="AB16" t="str">
        <f ca="1"/>
        <v>NA</v>
      </c>
      <c r="AC16" s="42" t="str">
        <f ca="1"/>
        <v>NA</v>
      </c>
      <c r="AD16" t="str">
        <f ca="1"/>
        <v>NA</v>
      </c>
      <c r="AE16">
        <f ca="1"/>
        <v>0</v>
      </c>
      <c r="AF16" t="str">
        <f ca="1"/>
        <v>NA</v>
      </c>
      <c r="AG16" s="42" t="str">
        <f ca="1"/>
        <v>NA</v>
      </c>
      <c r="AH16" t="str">
        <f ca="1"/>
        <v>NA</v>
      </c>
      <c r="AI16" s="42" t="str">
        <f ca="1"/>
        <v>NA</v>
      </c>
      <c r="AJ16" t="str">
        <f ca="1"/>
        <v>NA</v>
      </c>
      <c r="AK16" s="42" t="str">
        <f ca="1"/>
        <v>NA</v>
      </c>
      <c r="AL16" t="str">
        <f ca="1"/>
        <v>NA</v>
      </c>
      <c r="AM16" s="42" t="str">
        <f ca="1"/>
        <v>NA</v>
      </c>
      <c r="AN16" t="str">
        <f ca="1"/>
        <v>NA</v>
      </c>
      <c r="AO16" s="42" t="str">
        <f ca="1"/>
        <v>NA</v>
      </c>
      <c r="AP16" t="str">
        <f ca="1"/>
        <v xml:space="preserve">NA </v>
      </c>
      <c r="AQ16" t="str">
        <f ca="1"/>
        <v xml:space="preserve">On Nighij to Devibhoyre village road, In the vicinity of Vadgaon Gund village, Parner, </v>
      </c>
      <c r="AR16">
        <f ca="1"/>
        <v>0</v>
      </c>
      <c r="AS16" s="42" t="str">
        <f ca="1"/>
        <v>NA</v>
      </c>
      <c r="AT16">
        <f ca="1"/>
        <v>0</v>
      </c>
      <c r="AU16">
        <f ca="1"/>
        <v>0</v>
      </c>
      <c r="AV16" t="str">
        <f ca="1"/>
        <v>NA</v>
      </c>
      <c r="AW16">
        <f ca="1"/>
        <v>0</v>
      </c>
      <c r="AX16" s="42" t="str">
        <f ca="1"/>
        <v>Completed</v>
      </c>
      <c r="AY16" t="str">
        <f ca="1"/>
        <v>NA</v>
      </c>
      <c r="AZ16">
        <f ca="1"/>
        <v>0</v>
      </c>
      <c r="BA16">
        <f ca="1"/>
        <v>0</v>
      </c>
      <c r="BB16" s="42" t="str">
        <f ca="1"/>
        <v>NA</v>
      </c>
      <c r="BC16">
        <f ca="1"/>
        <v>0</v>
      </c>
      <c r="BD16">
        <f ca="1"/>
        <v>0</v>
      </c>
      <c r="BE16" t="str">
        <f ca="1"/>
        <v>Claimant  Pending for CS</v>
      </c>
    </row>
    <row r="17" spans="1:57">
      <c r="A17" s="42">
        <f ca="1"/>
        <v>16</v>
      </c>
      <c r="B17" s="42" t="str">
        <f ca="1"/>
        <v>2025209654</v>
      </c>
      <c r="C17" s="42" t="str">
        <f ca="1"/>
        <v>Indusind General Insurance Co Ltd</v>
      </c>
      <c r="D17" s="42" t="str">
        <f ca="1"/>
        <v>MACT</v>
      </c>
      <c r="E17" s="42" t="str">
        <f ca="1"/>
        <v>R001-1016-SS-2025</v>
      </c>
      <c r="F17" s="310">
        <f ca="1"/>
        <v>45917</v>
      </c>
      <c r="G17" s="42" t="str">
        <f ca="1"/>
        <v>Sep-25</v>
      </c>
      <c r="H17" s="312" t="str">
        <f ca="1"/>
        <v>-</v>
      </c>
      <c r="I17" s="42">
        <f ca="1"/>
        <v>0</v>
      </c>
      <c r="J17" s="310">
        <f ca="1"/>
        <v>45959</v>
      </c>
      <c r="K17" s="42">
        <f ca="1"/>
        <v>110</v>
      </c>
      <c r="L17" s="42" t="str">
        <f ca="1"/>
        <v>AT</v>
      </c>
      <c r="M17" s="42" t="str">
        <f ca="1"/>
        <v>Full Case</v>
      </c>
      <c r="N17" s="42" t="str">
        <f ca="1"/>
        <v>Open</v>
      </c>
      <c r="O17" s="42" t="str">
        <f ca="1"/>
        <v>Pending CS</v>
      </c>
      <c r="P17">
        <f ca="1"/>
        <v>0</v>
      </c>
      <c r="Q17" t="str">
        <f ca="1"/>
        <v>Dattatray Kundlik Shirke</v>
      </c>
      <c r="R17" t="str">
        <f ca="1"/>
        <v>Bbaudi, Shregonda, Ahilyanagar.</v>
      </c>
      <c r="S17" t="str">
        <f ca="1"/>
        <v>Ahilyanagar</v>
      </c>
      <c r="T17" s="314" t="str">
        <f ca="1"/>
        <v>Completed</v>
      </c>
      <c r="U17" t="str">
        <f ca="1"/>
        <v xml:space="preserve">NA </v>
      </c>
      <c r="V17">
        <f ca="1"/>
        <v>0</v>
      </c>
      <c r="W17">
        <f ca="1"/>
        <v>0</v>
      </c>
      <c r="X17" s="42" t="str">
        <f ca="1"/>
        <v>NA</v>
      </c>
      <c r="Y17" t="str">
        <f ca="1"/>
        <v>Uday Bapurao Divekar</v>
      </c>
      <c r="Z17" t="str">
        <f ca="1"/>
        <v>Railway Gate 14, Kadethanwadi, Kadetrhan, Daund, Pune -412215.</v>
      </c>
      <c r="AA17" t="str">
        <f ca="1"/>
        <v>Pune</v>
      </c>
      <c r="AB17" t="str">
        <f ca="1"/>
        <v>NA</v>
      </c>
      <c r="AC17" s="42" t="str">
        <f ca="1"/>
        <v>Completed</v>
      </c>
      <c r="AD17" t="str">
        <f ca="1"/>
        <v>Akshay Gorakh Divekar</v>
      </c>
      <c r="AE17">
        <f ca="1"/>
        <v>0</v>
      </c>
      <c r="AF17" t="str">
        <f ca="1"/>
        <v>Adv. Sudhir Wakle</v>
      </c>
      <c r="AG17" s="42" t="str">
        <f ca="1"/>
        <v>Completed</v>
      </c>
      <c r="AH17" t="str">
        <f ca="1"/>
        <v>NA</v>
      </c>
      <c r="AI17" s="42" t="str">
        <f ca="1"/>
        <v>NA</v>
      </c>
      <c r="AJ17" t="str">
        <f ca="1"/>
        <v>NA</v>
      </c>
      <c r="AK17" s="42" t="str">
        <f ca="1"/>
        <v>NA</v>
      </c>
      <c r="AL17" t="str">
        <f ca="1"/>
        <v>NA</v>
      </c>
      <c r="AM17" s="42" t="str">
        <f ca="1"/>
        <v>NA</v>
      </c>
      <c r="AN17" t="str">
        <f ca="1"/>
        <v>NA</v>
      </c>
      <c r="AO17" s="42" t="str">
        <f ca="1"/>
        <v>NA</v>
      </c>
      <c r="AP17" t="str">
        <f ca="1"/>
        <v xml:space="preserve">NA </v>
      </c>
      <c r="AQ17" t="str">
        <f ca="1"/>
        <v>On Daund Nagar road, Near Samrat Hotal.</v>
      </c>
      <c r="AR17">
        <f ca="1"/>
        <v>0</v>
      </c>
      <c r="AS17" s="42" t="str">
        <f ca="1"/>
        <v>Completed</v>
      </c>
      <c r="AT17">
        <f ca="1"/>
        <v>0</v>
      </c>
      <c r="AU17">
        <f ca="1"/>
        <v>0</v>
      </c>
      <c r="AV17" t="str">
        <f ca="1"/>
        <v>NA</v>
      </c>
      <c r="AW17">
        <f ca="1"/>
        <v>0</v>
      </c>
      <c r="AX17" s="42" t="str">
        <f ca="1"/>
        <v>WIP</v>
      </c>
      <c r="AY17" t="str">
        <f ca="1"/>
        <v>NA</v>
      </c>
      <c r="AZ17">
        <f ca="1"/>
        <v>0</v>
      </c>
      <c r="BA17">
        <f ca="1"/>
        <v>0</v>
      </c>
      <c r="BB17" s="42" t="str">
        <f ca="1"/>
        <v>NA</v>
      </c>
      <c r="BC17">
        <f ca="1"/>
        <v>0</v>
      </c>
      <c r="BD17">
        <f ca="1"/>
        <v>0</v>
      </c>
      <c r="BE17" t="str">
        <f ca="1"/>
        <v xml:space="preserve">Claimant/ Spot / Insured visit Insured out of station driver Done Pending for CS </v>
      </c>
    </row>
    <row r="18" spans="1:57">
      <c r="A18" s="42">
        <f ca="1"/>
        <v>17</v>
      </c>
      <c r="B18" s="42" t="str">
        <f ca="1"/>
        <v>2025209769</v>
      </c>
      <c r="C18" s="42" t="str">
        <f ca="1"/>
        <v>Indusind General Insurance Co Ltd</v>
      </c>
      <c r="D18" s="42" t="str">
        <f ca="1"/>
        <v>MACT</v>
      </c>
      <c r="E18" s="42" t="str">
        <f ca="1"/>
        <v>R001-1017-SS-2025</v>
      </c>
      <c r="F18" s="310">
        <f ca="1"/>
        <v>45917</v>
      </c>
      <c r="G18" s="42" t="str">
        <f ca="1"/>
        <v>Sep-25</v>
      </c>
      <c r="H18" s="312" t="str">
        <f ca="1"/>
        <v>-</v>
      </c>
      <c r="I18" s="42">
        <f ca="1"/>
        <v>0</v>
      </c>
      <c r="J18" s="310">
        <f ca="1"/>
        <v>45959</v>
      </c>
      <c r="K18" s="42">
        <f ca="1"/>
        <v>110</v>
      </c>
      <c r="L18" s="42" t="str">
        <f ca="1"/>
        <v>AT</v>
      </c>
      <c r="M18" s="42" t="str">
        <f ca="1"/>
        <v>Full Case</v>
      </c>
      <c r="N18" s="42" t="str">
        <f ca="1"/>
        <v>Open</v>
      </c>
      <c r="O18" s="42" t="str">
        <f ca="1"/>
        <v>WIP</v>
      </c>
      <c r="P18">
        <f ca="1"/>
        <v>0</v>
      </c>
      <c r="Q18" t="str">
        <f ca="1"/>
        <v>Subhadra Ganesh Yadav 9763008813</v>
      </c>
      <c r="R18" t="str">
        <f ca="1"/>
        <v>Jadid Javla, Harki, Majalgaon, Beed. Current - Vikasnagar, Dharashiv.</v>
      </c>
      <c r="S18" t="str">
        <f ca="1"/>
        <v>Dharashiv</v>
      </c>
      <c r="T18" s="314" t="str">
        <f ca="1"/>
        <v>Completed</v>
      </c>
      <c r="U18" t="str">
        <f ca="1"/>
        <v xml:space="preserve">NA </v>
      </c>
      <c r="V18">
        <f ca="1"/>
        <v>0</v>
      </c>
      <c r="W18">
        <f ca="1"/>
        <v>0</v>
      </c>
      <c r="X18" s="42" t="str">
        <f ca="1"/>
        <v>NA</v>
      </c>
      <c r="Y18" t="str">
        <f ca="1"/>
        <v>Mahadev Vyankat Panchal</v>
      </c>
      <c r="Z18" t="str">
        <f ca="1"/>
        <v>C/O, Gorakh Rambhaji Konde-SR/No-240/1B, Gorakh House, Gajanan Nagar,  Urali Devachi,  Haveli, Pune.Current - Tadgaon, Kallam, Dharashiv.</v>
      </c>
      <c r="AA18" t="str">
        <f ca="1"/>
        <v>Dharashiv</v>
      </c>
      <c r="AB18" t="str">
        <f ca="1"/>
        <v>NA</v>
      </c>
      <c r="AC18" s="42" t="str">
        <f ca="1"/>
        <v>WIP</v>
      </c>
      <c r="AD18" t="str">
        <f ca="1"/>
        <v>NA</v>
      </c>
      <c r="AE18">
        <f ca="1"/>
        <v>0</v>
      </c>
      <c r="AF18" t="str">
        <f ca="1"/>
        <v xml:space="preserve">Pankaj Kawade </v>
      </c>
      <c r="AG18" s="42" t="str">
        <f ca="1"/>
        <v>WIP</v>
      </c>
      <c r="AH18" t="str">
        <f ca="1"/>
        <v>NA</v>
      </c>
      <c r="AI18" s="42" t="str">
        <f ca="1"/>
        <v>NA</v>
      </c>
      <c r="AJ18" t="str">
        <f ca="1"/>
        <v>NA</v>
      </c>
      <c r="AK18" s="42" t="str">
        <f ca="1"/>
        <v>NA</v>
      </c>
      <c r="AL18" t="str">
        <f ca="1"/>
        <v>NA</v>
      </c>
      <c r="AM18" s="42" t="str">
        <f ca="1"/>
        <v>NA</v>
      </c>
      <c r="AN18" t="str">
        <f ca="1"/>
        <v>NA</v>
      </c>
      <c r="AO18" s="42" t="str">
        <f ca="1"/>
        <v>NA</v>
      </c>
      <c r="AP18" t="str">
        <f ca="1"/>
        <v xml:space="preserve">NA </v>
      </c>
      <c r="AQ18" t="str">
        <f ca="1"/>
        <v>On Barshi to Kusalamb road, Near Ayush Vyanshanmukti Kendra, Near field of Shridhar Govardhan Awate, In village Jamgaon, Barshi, Solapur.</v>
      </c>
      <c r="AR18">
        <f ca="1"/>
        <v>0</v>
      </c>
      <c r="AS18" s="42" t="str">
        <f ca="1"/>
        <v>Completed</v>
      </c>
      <c r="AT18">
        <f ca="1"/>
        <v>0</v>
      </c>
      <c r="AU18">
        <f ca="1"/>
        <v>0</v>
      </c>
      <c r="AV18" t="str">
        <f ca="1"/>
        <v>NA</v>
      </c>
      <c r="AW18">
        <f ca="1"/>
        <v>0</v>
      </c>
      <c r="AX18" s="42" t="str">
        <f ca="1"/>
        <v>WIP</v>
      </c>
      <c r="AY18" t="str">
        <f ca="1"/>
        <v>NA</v>
      </c>
      <c r="AZ18">
        <f ca="1"/>
        <v>0</v>
      </c>
      <c r="BA18">
        <f ca="1"/>
        <v>0</v>
      </c>
      <c r="BB18" s="42" t="str">
        <f ca="1"/>
        <v>NA</v>
      </c>
      <c r="BC18">
        <f ca="1"/>
        <v>0</v>
      </c>
      <c r="BD18">
        <f ca="1"/>
        <v>0</v>
      </c>
      <c r="BE18">
        <f ca="1"/>
        <v>0</v>
      </c>
    </row>
    <row r="19" spans="1:57">
      <c r="A19" s="42">
        <f ca="1"/>
        <v>18</v>
      </c>
      <c r="B19" s="42" t="str">
        <f ca="1"/>
        <v>CN065449</v>
      </c>
      <c r="C19" s="42" t="str">
        <f ca="1"/>
        <v>Generali Central Insurance Company Limited</v>
      </c>
      <c r="D19" s="42" t="str">
        <f ca="1"/>
        <v>MACT</v>
      </c>
      <c r="E19" s="42" t="str">
        <f ca="1"/>
        <v>F001-1018-SS-2025</v>
      </c>
      <c r="F19" s="310">
        <f ca="1"/>
        <v>45917</v>
      </c>
      <c r="G19" s="42" t="str">
        <f ca="1"/>
        <v>Sep-25</v>
      </c>
      <c r="H19" s="312">
        <f ca="1"/>
        <v>45962</v>
      </c>
      <c r="I19" s="42" t="str">
        <f ca="1"/>
        <v>Nov-25</v>
      </c>
      <c r="J19" s="310">
        <f ca="1"/>
        <v>45938</v>
      </c>
      <c r="K19" s="42">
        <f ca="1"/>
        <v>45</v>
      </c>
      <c r="L19" s="42" t="str">
        <f ca="1"/>
        <v>AT</v>
      </c>
      <c r="M19" s="42" t="str">
        <f ca="1"/>
        <v>Partial Case</v>
      </c>
      <c r="N19" s="42" t="str">
        <f ca="1"/>
        <v>Dispatch</v>
      </c>
      <c r="O19" s="42" t="str">
        <f ca="1"/>
        <v>Completed</v>
      </c>
      <c r="P19">
        <f ca="1"/>
        <v>0</v>
      </c>
      <c r="Q19" t="str">
        <f ca="1"/>
        <v>Sarfaraz Khan 9867183816</v>
      </c>
      <c r="R19">
        <f ca="1"/>
        <v>0</v>
      </c>
      <c r="S19">
        <f ca="1"/>
        <v>0</v>
      </c>
      <c r="T19" s="314" t="str">
        <f ca="1"/>
        <v>Completed</v>
      </c>
      <c r="U19" t="str">
        <f ca="1"/>
        <v xml:space="preserve">NA </v>
      </c>
      <c r="V19">
        <f ca="1"/>
        <v>0</v>
      </c>
      <c r="W19">
        <f ca="1"/>
        <v>0</v>
      </c>
      <c r="X19" s="42" t="str">
        <f ca="1"/>
        <v>NA</v>
      </c>
      <c r="Y19" t="str">
        <f ca="1"/>
        <v>Chand Babu Israr Ahmad Khan</v>
      </c>
      <c r="Z19">
        <f ca="1"/>
        <v>0</v>
      </c>
      <c r="AA19">
        <f ca="1"/>
        <v>0</v>
      </c>
      <c r="AB19" t="str">
        <f ca="1"/>
        <v>NA</v>
      </c>
      <c r="AC19" s="42" t="str">
        <f ca="1"/>
        <v>Completed</v>
      </c>
      <c r="AD19" t="str">
        <f ca="1"/>
        <v>Mustakh Muktar Ahmad</v>
      </c>
      <c r="AE19">
        <f ca="1"/>
        <v>0</v>
      </c>
      <c r="AF19" t="str">
        <f ca="1"/>
        <v>NA</v>
      </c>
      <c r="AG19" s="42" t="str">
        <f ca="1"/>
        <v>Completed</v>
      </c>
      <c r="AH19" t="str">
        <f ca="1"/>
        <v>Yes</v>
      </c>
      <c r="AI19" s="42" t="str">
        <f ca="1"/>
        <v>Completed</v>
      </c>
      <c r="AJ19" t="str">
        <f ca="1"/>
        <v xml:space="preserve">Yes </v>
      </c>
      <c r="AK19" s="42" t="str">
        <f ca="1"/>
        <v>Completed</v>
      </c>
      <c r="AL19" t="str">
        <f ca="1"/>
        <v>NA</v>
      </c>
      <c r="AM19" s="42" t="str">
        <f ca="1"/>
        <v>NA</v>
      </c>
      <c r="AN19" t="str">
        <f ca="1"/>
        <v>NA</v>
      </c>
      <c r="AO19" s="42" t="str">
        <f ca="1"/>
        <v>NA</v>
      </c>
      <c r="AP19" t="str">
        <f ca="1"/>
        <v xml:space="preserve">NA </v>
      </c>
      <c r="AQ19" t="str">
        <f ca="1"/>
        <v>Garwarw, Mumbai Agra Highway, Ambad-Nashik.</v>
      </c>
      <c r="AR19" t="str">
        <f ca="1"/>
        <v>Nashik</v>
      </c>
      <c r="AS19" s="42" t="str">
        <f ca="1"/>
        <v>Completed</v>
      </c>
      <c r="AT19">
        <f ca="1"/>
        <v>0</v>
      </c>
      <c r="AU19">
        <f ca="1"/>
        <v>0</v>
      </c>
      <c r="AV19" t="str">
        <f ca="1"/>
        <v>NA</v>
      </c>
      <c r="AW19">
        <f ca="1"/>
        <v>0</v>
      </c>
      <c r="AX19" s="42" t="str">
        <f ca="1"/>
        <v>WIP</v>
      </c>
      <c r="AY19">
        <f ca="1"/>
        <v>0</v>
      </c>
      <c r="AZ19">
        <f ca="1"/>
        <v>0</v>
      </c>
      <c r="BA19">
        <f ca="1"/>
        <v>0</v>
      </c>
      <c r="BB19" s="42" t="str">
        <f ca="1"/>
        <v>Completed</v>
      </c>
      <c r="BC19">
        <f ca="1"/>
        <v>0</v>
      </c>
      <c r="BD19">
        <f ca="1"/>
        <v>0</v>
      </c>
      <c r="BE19">
        <f ca="1"/>
        <v>0</v>
      </c>
    </row>
    <row r="20" spans="1:57">
      <c r="A20" s="42">
        <f ca="1"/>
        <v>19</v>
      </c>
      <c r="B20" s="42" t="str">
        <f ca="1"/>
        <v>MTP-N-2526-003270</v>
      </c>
      <c r="C20" s="42" t="str">
        <f ca="1"/>
        <v>Generali Central Insurance Company Limited</v>
      </c>
      <c r="D20" s="42" t="str">
        <f ca="1"/>
        <v>MACT</v>
      </c>
      <c r="E20" s="42" t="str">
        <f ca="1"/>
        <v>F001-1019-SS-2025</v>
      </c>
      <c r="F20" s="310">
        <f ca="1"/>
        <v>45917</v>
      </c>
      <c r="G20" s="42" t="str">
        <f ca="1"/>
        <v>Sep-25</v>
      </c>
      <c r="H20" s="312">
        <f ca="1"/>
        <v>46001</v>
      </c>
      <c r="I20" s="42" t="str">
        <f ca="1"/>
        <v>Dec-25</v>
      </c>
      <c r="J20" s="310">
        <f ca="1"/>
        <v>45938</v>
      </c>
      <c r="K20" s="42">
        <f ca="1"/>
        <v>84</v>
      </c>
      <c r="L20" s="42" t="str">
        <f ca="1"/>
        <v>AT</v>
      </c>
      <c r="M20" s="42" t="str">
        <f ca="1"/>
        <v>Partial Case</v>
      </c>
      <c r="N20" s="42" t="str">
        <f ca="1"/>
        <v>Dispatch</v>
      </c>
      <c r="O20" s="42" t="str">
        <f ca="1"/>
        <v>Completed</v>
      </c>
      <c r="P20">
        <f ca="1"/>
        <v>0</v>
      </c>
      <c r="Q20" t="str">
        <f ca="1"/>
        <v>Zainab Chand Babu Khan</v>
      </c>
      <c r="R20" t="str">
        <f ca="1"/>
        <v>Room No. 10, Mainuddin Chwal, Old CST road, Kalina, Santacruz-East, 400029.</v>
      </c>
      <c r="S20" t="str">
        <f ca="1"/>
        <v>Mumbai</v>
      </c>
      <c r="T20" s="314" t="str">
        <f ca="1"/>
        <v>Completed</v>
      </c>
      <c r="U20" t="str">
        <f ca="1"/>
        <v xml:space="preserve">NA </v>
      </c>
      <c r="V20">
        <f ca="1"/>
        <v>0</v>
      </c>
      <c r="W20">
        <f ca="1"/>
        <v>0</v>
      </c>
      <c r="X20" s="42" t="str">
        <f ca="1"/>
        <v>NA</v>
      </c>
      <c r="Y20" t="str">
        <f ca="1"/>
        <v>NA</v>
      </c>
      <c r="Z20" t="str">
        <f ca="1"/>
        <v xml:space="preserve">NA </v>
      </c>
      <c r="AA20" t="str">
        <f ca="1"/>
        <v>NA</v>
      </c>
      <c r="AB20" t="str">
        <f ca="1"/>
        <v>NA</v>
      </c>
      <c r="AC20" s="42" t="str">
        <f ca="1"/>
        <v>NA</v>
      </c>
      <c r="AD20" t="str">
        <f ca="1"/>
        <v>NA</v>
      </c>
      <c r="AE20">
        <f ca="1"/>
        <v>0</v>
      </c>
      <c r="AF20" t="str">
        <f ca="1"/>
        <v>NA</v>
      </c>
      <c r="AG20" s="42" t="str">
        <f ca="1"/>
        <v>NA</v>
      </c>
      <c r="AH20" t="str">
        <f ca="1"/>
        <v>NA</v>
      </c>
      <c r="AI20" s="42" t="str">
        <f ca="1"/>
        <v>NA</v>
      </c>
      <c r="AJ20" t="str">
        <f ca="1"/>
        <v>NA</v>
      </c>
      <c r="AK20" s="42" t="str">
        <f ca="1"/>
        <v>NA</v>
      </c>
      <c r="AL20" t="str">
        <f ca="1"/>
        <v>NA</v>
      </c>
      <c r="AM20" s="42" t="str">
        <f ca="1"/>
        <v>NA</v>
      </c>
      <c r="AN20" t="str">
        <f ca="1"/>
        <v>NA</v>
      </c>
      <c r="AO20" s="42" t="str">
        <f ca="1"/>
        <v>NA</v>
      </c>
      <c r="AP20" t="str">
        <f ca="1"/>
        <v xml:space="preserve">NA </v>
      </c>
      <c r="AQ20" t="str">
        <f ca="1"/>
        <v>Garwarw, Mumbai Agra Highway, Ambad-Nashik.</v>
      </c>
      <c r="AR20" t="str">
        <f ca="1"/>
        <v>Nashik</v>
      </c>
      <c r="AS20" s="42" t="str">
        <f ca="1"/>
        <v>NA</v>
      </c>
      <c r="AT20">
        <f ca="1"/>
        <v>0</v>
      </c>
      <c r="AU20">
        <f ca="1"/>
        <v>0</v>
      </c>
      <c r="AV20" t="str">
        <f ca="1"/>
        <v>NA</v>
      </c>
      <c r="AW20">
        <f ca="1"/>
        <v>0</v>
      </c>
      <c r="AX20" s="42" t="str">
        <f ca="1"/>
        <v>NA</v>
      </c>
      <c r="AY20">
        <f ca="1"/>
        <v>0</v>
      </c>
      <c r="AZ20">
        <f ca="1"/>
        <v>0</v>
      </c>
      <c r="BA20">
        <f ca="1"/>
        <v>0</v>
      </c>
      <c r="BB20" s="42" t="str">
        <f ca="1"/>
        <v>Completed</v>
      </c>
      <c r="BC20">
        <f ca="1"/>
        <v>46002</v>
      </c>
      <c r="BD20" t="str">
        <f ca="1"/>
        <v>Disptach</v>
      </c>
      <c r="BE20" t="str">
        <f ca="1"/>
        <v>DL extract</v>
      </c>
    </row>
    <row r="21" spans="1:57">
      <c r="A21" s="42">
        <f ca="1"/>
        <v>20</v>
      </c>
      <c r="B21" s="42" t="str">
        <f ca="1"/>
        <v>MTP-N-2526-003272</v>
      </c>
      <c r="C21" s="42" t="str">
        <f ca="1"/>
        <v>Generali Central Insurance Company Limited</v>
      </c>
      <c r="D21" s="42" t="str">
        <f ca="1"/>
        <v>MACT</v>
      </c>
      <c r="E21" s="42" t="str">
        <f ca="1"/>
        <v>F001-1020-SS-2025</v>
      </c>
      <c r="F21" s="310">
        <f ca="1"/>
        <v>45917</v>
      </c>
      <c r="G21" s="42" t="str">
        <f ca="1"/>
        <v>Sep-25</v>
      </c>
      <c r="H21" s="312">
        <f ca="1"/>
        <v>46001</v>
      </c>
      <c r="I21" s="42" t="str">
        <f ca="1"/>
        <v>Dec-25</v>
      </c>
      <c r="J21" s="310">
        <f ca="1"/>
        <v>45938</v>
      </c>
      <c r="K21" s="42">
        <f ca="1"/>
        <v>84</v>
      </c>
      <c r="L21" s="42" t="str">
        <f ca="1"/>
        <v>AT</v>
      </c>
      <c r="M21" s="42" t="str">
        <f ca="1"/>
        <v>Partial Case</v>
      </c>
      <c r="N21" s="42" t="str">
        <f ca="1"/>
        <v>Dispatch</v>
      </c>
      <c r="O21" s="42" t="str">
        <f ca="1"/>
        <v>Completed</v>
      </c>
      <c r="P21">
        <f ca="1"/>
        <v>0</v>
      </c>
      <c r="Q21" t="str">
        <f ca="1"/>
        <v>Shan Babu Khan</v>
      </c>
      <c r="R21" t="str">
        <f ca="1"/>
        <v>Room No. 10, Mainuddin Chwal, Old CST road, Kalina, Santacruz-East, 400029.</v>
      </c>
      <c r="S21" t="str">
        <f ca="1"/>
        <v>Mumbai</v>
      </c>
      <c r="T21" s="314" t="str">
        <f ca="1"/>
        <v>Completed</v>
      </c>
      <c r="U21" t="str">
        <f ca="1"/>
        <v xml:space="preserve">NA </v>
      </c>
      <c r="V21">
        <f ca="1"/>
        <v>0</v>
      </c>
      <c r="W21">
        <f ca="1"/>
        <v>0</v>
      </c>
      <c r="X21" s="42" t="str">
        <f ca="1"/>
        <v>NA</v>
      </c>
      <c r="Y21" t="str">
        <f ca="1"/>
        <v>NA</v>
      </c>
      <c r="Z21" t="str">
        <f ca="1"/>
        <v>NA</v>
      </c>
      <c r="AA21" t="str">
        <f ca="1"/>
        <v>NA</v>
      </c>
      <c r="AB21" t="str">
        <f ca="1"/>
        <v>NA</v>
      </c>
      <c r="AC21" s="42" t="str">
        <f ca="1"/>
        <v>NA</v>
      </c>
      <c r="AD21" t="str">
        <f ca="1"/>
        <v>NA</v>
      </c>
      <c r="AE21">
        <f ca="1"/>
        <v>0</v>
      </c>
      <c r="AF21" t="str">
        <f ca="1"/>
        <v>NA</v>
      </c>
      <c r="AG21" s="42" t="str">
        <f ca="1"/>
        <v>NA</v>
      </c>
      <c r="AH21" t="str">
        <f ca="1"/>
        <v>NA</v>
      </c>
      <c r="AI21" s="42" t="str">
        <f ca="1"/>
        <v>NA</v>
      </c>
      <c r="AJ21" t="str">
        <f ca="1"/>
        <v>NA</v>
      </c>
      <c r="AK21" s="42" t="str">
        <f ca="1"/>
        <v>NA</v>
      </c>
      <c r="AL21" t="str">
        <f ca="1"/>
        <v>NA</v>
      </c>
      <c r="AM21" s="42" t="str">
        <f ca="1"/>
        <v>NA</v>
      </c>
      <c r="AN21" t="str">
        <f ca="1"/>
        <v>NA</v>
      </c>
      <c r="AO21" s="42" t="str">
        <f ca="1"/>
        <v>NA</v>
      </c>
      <c r="AP21" t="str">
        <f ca="1"/>
        <v xml:space="preserve">NA </v>
      </c>
      <c r="AQ21" t="str">
        <f ca="1"/>
        <v>Garwarw, Mumbai Agra Highway, Ambad-Nashik.</v>
      </c>
      <c r="AR21" t="str">
        <f ca="1"/>
        <v>Nashik</v>
      </c>
      <c r="AS21" s="42" t="str">
        <f ca="1"/>
        <v>NA</v>
      </c>
      <c r="AT21">
        <f ca="1"/>
        <v>0</v>
      </c>
      <c r="AU21">
        <f ca="1"/>
        <v>0</v>
      </c>
      <c r="AV21" t="str">
        <f ca="1"/>
        <v>NA</v>
      </c>
      <c r="AW21">
        <f ca="1"/>
        <v>0</v>
      </c>
      <c r="AX21" s="42" t="str">
        <f ca="1"/>
        <v>NA</v>
      </c>
      <c r="AY21">
        <f ca="1"/>
        <v>0</v>
      </c>
      <c r="AZ21">
        <f ca="1"/>
        <v>0</v>
      </c>
      <c r="BA21">
        <f ca="1"/>
        <v>0</v>
      </c>
      <c r="BB21" s="42" t="str">
        <f ca="1"/>
        <v>Completed</v>
      </c>
      <c r="BC21">
        <f ca="1"/>
        <v>46002</v>
      </c>
      <c r="BD21" t="str">
        <f ca="1"/>
        <v>Disptach</v>
      </c>
      <c r="BE21" t="str">
        <f ca="1"/>
        <v>Hospital Visit/claimant Visit/ claimant Income</v>
      </c>
    </row>
    <row r="22" spans="1:57">
      <c r="A22" s="42">
        <f ca="1"/>
        <v>21</v>
      </c>
      <c r="B22" s="42" t="str">
        <f ca="1"/>
        <v>C2254103102949-00</v>
      </c>
      <c r="C22" s="42" t="str">
        <f ca="1"/>
        <v>Magma HDI General Insurance Company Ltd</v>
      </c>
      <c r="D22" s="42" t="str">
        <f ca="1"/>
        <v>MACT</v>
      </c>
      <c r="E22" s="42" t="str">
        <f ca="1"/>
        <v>M002-1021-SS-2025</v>
      </c>
      <c r="F22" s="310">
        <f ca="1"/>
        <v>45734</v>
      </c>
      <c r="G22" s="42" t="str">
        <f ca="1"/>
        <v>Mar-25</v>
      </c>
      <c r="H22" s="312">
        <f ca="1"/>
        <v>45976</v>
      </c>
      <c r="I22" s="42" t="str">
        <f ca="1"/>
        <v>Nov-25</v>
      </c>
      <c r="J22" s="310">
        <f ca="1"/>
        <v>45776</v>
      </c>
      <c r="K22" s="42">
        <f ca="1"/>
        <v>242</v>
      </c>
      <c r="L22" s="42" t="str">
        <f ca="1"/>
        <v>AT</v>
      </c>
      <c r="M22" s="42" t="str">
        <f ca="1"/>
        <v>Full Case</v>
      </c>
      <c r="N22" s="42" t="str">
        <f ca="1"/>
        <v>Dispatch</v>
      </c>
      <c r="O22" s="42" t="str">
        <f ca="1"/>
        <v>Completed</v>
      </c>
      <c r="P22">
        <f ca="1"/>
        <v>0</v>
      </c>
      <c r="Q22" t="str">
        <f ca="1"/>
        <v>NA</v>
      </c>
      <c r="R22">
        <f ca="1"/>
        <v>0</v>
      </c>
      <c r="S22">
        <f ca="1"/>
        <v>0</v>
      </c>
      <c r="T22" s="314" t="str">
        <f ca="1"/>
        <v>Completed</v>
      </c>
      <c r="U22" t="str">
        <f ca="1"/>
        <v xml:space="preserve">Na </v>
      </c>
      <c r="V22">
        <f ca="1"/>
        <v>0</v>
      </c>
      <c r="W22">
        <f ca="1"/>
        <v>0</v>
      </c>
      <c r="X22" s="42" t="str">
        <f ca="1"/>
        <v>NA</v>
      </c>
      <c r="Y22" t="str">
        <f ca="1"/>
        <v>NA</v>
      </c>
      <c r="Z22">
        <f ca="1"/>
        <v>0</v>
      </c>
      <c r="AA22">
        <f ca="1"/>
        <v>0</v>
      </c>
      <c r="AB22" t="str">
        <f ca="1"/>
        <v>NA</v>
      </c>
      <c r="AC22" s="42" t="str">
        <f ca="1"/>
        <v>Completed</v>
      </c>
      <c r="AD22" t="str">
        <f ca="1"/>
        <v>NA</v>
      </c>
      <c r="AE22">
        <f ca="1"/>
        <v>0</v>
      </c>
      <c r="AF22" t="str">
        <f ca="1"/>
        <v>NA</v>
      </c>
      <c r="AG22" s="42" t="str">
        <f ca="1"/>
        <v>NA</v>
      </c>
      <c r="AH22" t="str">
        <f ca="1"/>
        <v>NA</v>
      </c>
      <c r="AI22" s="42" t="str">
        <f ca="1"/>
        <v>NA</v>
      </c>
      <c r="AJ22" t="str">
        <f ca="1"/>
        <v>NA</v>
      </c>
      <c r="AK22" s="42" t="str">
        <f ca="1"/>
        <v>NA</v>
      </c>
      <c r="AL22" t="str">
        <f ca="1"/>
        <v>NA</v>
      </c>
      <c r="AM22" s="42" t="str">
        <f ca="1"/>
        <v>NA</v>
      </c>
      <c r="AN22" t="str">
        <f ca="1"/>
        <v>NA</v>
      </c>
      <c r="AO22" s="42" t="str">
        <f ca="1"/>
        <v xml:space="preserve">NA </v>
      </c>
      <c r="AP22" t="str">
        <f ca="1"/>
        <v xml:space="preserve">NA </v>
      </c>
      <c r="AQ22" t="str">
        <f ca="1"/>
        <v xml:space="preserve">NA </v>
      </c>
      <c r="AR22">
        <f ca="1"/>
        <v>0</v>
      </c>
      <c r="AS22" s="42" t="str">
        <f ca="1"/>
        <v>Completed</v>
      </c>
      <c r="AT22" t="str">
        <f ca="1"/>
        <v>NA</v>
      </c>
      <c r="AU22" t="str">
        <f ca="1"/>
        <v>NA</v>
      </c>
      <c r="AV22" t="str">
        <f ca="1"/>
        <v>NA</v>
      </c>
      <c r="AW22" t="str">
        <f ca="1"/>
        <v>NA</v>
      </c>
      <c r="AX22" s="42" t="str">
        <f ca="1"/>
        <v>Completed</v>
      </c>
      <c r="AY22" t="str">
        <f ca="1"/>
        <v>NA</v>
      </c>
      <c r="AZ22">
        <f ca="1"/>
        <v>0</v>
      </c>
      <c r="BA22">
        <f ca="1"/>
        <v>0</v>
      </c>
      <c r="BB22" s="42" t="str">
        <f ca="1"/>
        <v>NA</v>
      </c>
      <c r="BC22">
        <f ca="1"/>
        <v>0</v>
      </c>
      <c r="BD22">
        <f ca="1"/>
        <v>0</v>
      </c>
      <c r="BE22" t="str">
        <f ca="1"/>
        <v>The case was originally assigned on 18th March. However, the CRN was not created in the old sheet. Therefore, for CRN generation, we have added the claim details in the new sheet.</v>
      </c>
    </row>
    <row r="23" spans="1:57">
      <c r="A23" s="42">
        <f ca="1"/>
        <v>22</v>
      </c>
      <c r="B23" s="42" t="str">
        <f ca="1"/>
        <v>2024214888</v>
      </c>
      <c r="C23" s="42" t="str">
        <f ca="1"/>
        <v>Indusind General Insurance Co Ltd</v>
      </c>
      <c r="D23" s="42" t="str">
        <f ca="1"/>
        <v>MACT</v>
      </c>
      <c r="E23" s="42" t="str">
        <f ca="1"/>
        <v>R001-1022-SS-2025</v>
      </c>
      <c r="F23" s="310">
        <f ca="1"/>
        <v>45918</v>
      </c>
      <c r="G23" s="42" t="str">
        <f ca="1"/>
        <v>Sep-25</v>
      </c>
      <c r="H23" s="312">
        <f ca="1"/>
        <v>46000</v>
      </c>
      <c r="I23" s="42" t="str">
        <f ca="1"/>
        <v>Dec-25</v>
      </c>
      <c r="J23" s="310">
        <f ca="1"/>
        <v>45960</v>
      </c>
      <c r="K23" s="42">
        <f ca="1"/>
        <v>82</v>
      </c>
      <c r="L23" s="42" t="str">
        <f ca="1"/>
        <v>AT</v>
      </c>
      <c r="M23" s="42" t="str">
        <f ca="1"/>
        <v>Full Case</v>
      </c>
      <c r="N23" s="42" t="str">
        <f ca="1"/>
        <v>Dispatch</v>
      </c>
      <c r="O23" s="42" t="str">
        <f ca="1"/>
        <v>Completed</v>
      </c>
      <c r="P23">
        <f ca="1"/>
        <v>0</v>
      </c>
      <c r="Q23" t="str">
        <f ca="1"/>
        <v>Nurjaha Rajak Shaikh 9890985537</v>
      </c>
      <c r="R23" t="str">
        <f ca="1"/>
        <v>Gandhinagar, Kopargaon, Ahmadnagar</v>
      </c>
      <c r="S23" t="str">
        <f ca="1"/>
        <v>Sambhaji Nagar</v>
      </c>
      <c r="T23" s="314" t="str">
        <f ca="1"/>
        <v>Completed</v>
      </c>
      <c r="U23" t="str">
        <f ca="1"/>
        <v xml:space="preserve">Na </v>
      </c>
      <c r="V23">
        <f ca="1"/>
        <v>0</v>
      </c>
      <c r="W23">
        <f ca="1"/>
        <v>0</v>
      </c>
      <c r="X23" s="42" t="str">
        <f ca="1"/>
        <v>NA</v>
      </c>
      <c r="Y23" t="str">
        <f ca="1"/>
        <v>Ramchand Bhagchand Bhandare 9823327788</v>
      </c>
      <c r="Z23" t="str">
        <f ca="1"/>
        <v>Nr. Khandoba Mandir, Bhoygaon, Pendpur, Gangapur,  Sambhajinagar.</v>
      </c>
      <c r="AA23" t="str">
        <f ca="1"/>
        <v>Sambhaji Nagar</v>
      </c>
      <c r="AB23" t="str">
        <f ca="1"/>
        <v>NA</v>
      </c>
      <c r="AC23" s="42" t="str">
        <f ca="1"/>
        <v>Completed</v>
      </c>
      <c r="AD23">
        <f ca="1"/>
        <v>0</v>
      </c>
      <c r="AE23">
        <f ca="1"/>
        <v>0</v>
      </c>
      <c r="AF23" t="str">
        <f ca="1"/>
        <v>Prashant Jeurkar</v>
      </c>
      <c r="AG23" s="42" t="str">
        <f ca="1"/>
        <v>Completed</v>
      </c>
      <c r="AH23" t="str">
        <f ca="1"/>
        <v>NA</v>
      </c>
      <c r="AI23" s="42" t="str">
        <f ca="1"/>
        <v>NA</v>
      </c>
      <c r="AJ23" t="str">
        <f ca="1"/>
        <v>NA</v>
      </c>
      <c r="AK23" s="42" t="str">
        <f ca="1"/>
        <v>NA</v>
      </c>
      <c r="AL23" t="str">
        <f ca="1"/>
        <v>NA</v>
      </c>
      <c r="AM23" s="42" t="str">
        <f ca="1"/>
        <v>NA</v>
      </c>
      <c r="AN23" t="str">
        <f ca="1"/>
        <v>NA</v>
      </c>
      <c r="AO23" s="42" t="str">
        <f ca="1"/>
        <v>NA</v>
      </c>
      <c r="AP23" t="str">
        <f ca="1"/>
        <v xml:space="preserve">NA </v>
      </c>
      <c r="AQ23" t="str">
        <f ca="1"/>
        <v>On Bolegaon to Gangapur road, Before Vedant Hotel, Gangapur, Sambhajinagar.</v>
      </c>
      <c r="AR23" t="str">
        <f ca="1"/>
        <v>Sambhajinagar</v>
      </c>
      <c r="AS23" s="42" t="str">
        <f ca="1"/>
        <v>Completed</v>
      </c>
      <c r="AT23" t="str">
        <f ca="1"/>
        <v>81/2024</v>
      </c>
      <c r="AU23" t="str">
        <f ca="1"/>
        <v>Gangapur Po. St.</v>
      </c>
      <c r="AV23" t="str">
        <f ca="1"/>
        <v>Sambhajinagar</v>
      </c>
      <c r="AW23" t="str">
        <f ca="1"/>
        <v>NA</v>
      </c>
      <c r="AX23" s="42" t="str">
        <f ca="1"/>
        <v>Completed</v>
      </c>
      <c r="AY23" t="str">
        <f ca="1"/>
        <v>NA</v>
      </c>
      <c r="AZ23">
        <f ca="1"/>
        <v>0</v>
      </c>
      <c r="BA23">
        <f ca="1"/>
        <v>0</v>
      </c>
      <c r="BB23" s="42" t="str">
        <f ca="1"/>
        <v>NA</v>
      </c>
      <c r="BC23">
        <f ca="1"/>
        <v>0</v>
      </c>
      <c r="BD23">
        <f ca="1"/>
        <v>0</v>
      </c>
      <c r="BE23" t="str">
        <f ca="1"/>
        <v>Insured/ Driver/ Spot / Claimant Out of station  / CS</v>
      </c>
    </row>
    <row r="24" spans="1:57">
      <c r="A24" s="42">
        <f ca="1"/>
        <v>23</v>
      </c>
      <c r="B24" s="42" t="str">
        <f ca="1"/>
        <v>2024214879</v>
      </c>
      <c r="C24" s="42" t="str">
        <f ca="1"/>
        <v>Indusind General Insurance Co Ltd</v>
      </c>
      <c r="D24" s="42" t="str">
        <f ca="1"/>
        <v>MACT</v>
      </c>
      <c r="E24" s="42" t="str">
        <f ca="1"/>
        <v>R001-1023-SS-2025</v>
      </c>
      <c r="F24" s="310">
        <f ca="1"/>
        <v>45919</v>
      </c>
      <c r="G24" s="42" t="str">
        <f ca="1"/>
        <v>Sep-25</v>
      </c>
      <c r="H24" s="312">
        <f ca="1"/>
        <v>46000</v>
      </c>
      <c r="I24" s="42" t="str">
        <f ca="1"/>
        <v>Dec-25</v>
      </c>
      <c r="J24" s="310">
        <f ca="1"/>
        <v>45940</v>
      </c>
      <c r="K24" s="42">
        <f ca="1"/>
        <v>81</v>
      </c>
      <c r="L24" s="42" t="str">
        <f ca="1"/>
        <v>AT</v>
      </c>
      <c r="M24" s="42" t="str">
        <f ca="1"/>
        <v>Partial Case</v>
      </c>
      <c r="N24" s="42" t="str">
        <f ca="1"/>
        <v>Dispatch</v>
      </c>
      <c r="O24" s="42" t="str">
        <f ca="1"/>
        <v>Completed</v>
      </c>
      <c r="P24" t="str">
        <f ca="1"/>
        <v>Connected 2024214888</v>
      </c>
      <c r="Q24" t="str">
        <f ca="1"/>
        <v>Suraj Satish Padar</v>
      </c>
      <c r="R24" t="str">
        <f ca="1"/>
        <v xml:space="preserve">Nivara, Kopargaon, Ahmadnagar. </v>
      </c>
      <c r="S24" t="str">
        <f ca="1"/>
        <v>NA</v>
      </c>
      <c r="T24" s="314" t="str">
        <f ca="1"/>
        <v>Completed</v>
      </c>
      <c r="U24" t="str">
        <f ca="1"/>
        <v xml:space="preserve">Na </v>
      </c>
      <c r="V24">
        <f ca="1"/>
        <v>0</v>
      </c>
      <c r="W24">
        <f ca="1"/>
        <v>0</v>
      </c>
      <c r="X24" s="42" t="str">
        <f ca="1"/>
        <v>NA</v>
      </c>
      <c r="Y24" t="str">
        <f ca="1"/>
        <v>NA</v>
      </c>
      <c r="Z24" t="str">
        <f ca="1"/>
        <v>NA</v>
      </c>
      <c r="AA24">
        <f ca="1"/>
        <v>0</v>
      </c>
      <c r="AB24" t="str">
        <f ca="1"/>
        <v>NA</v>
      </c>
      <c r="AC24" s="42" t="str">
        <f ca="1"/>
        <v>NA</v>
      </c>
      <c r="AD24" t="str">
        <f ca="1"/>
        <v>NA</v>
      </c>
      <c r="AE24">
        <f ca="1"/>
        <v>0</v>
      </c>
      <c r="AF24" t="str">
        <f ca="1"/>
        <v>NA</v>
      </c>
      <c r="AG24" s="42" t="str">
        <f ca="1"/>
        <v>NA</v>
      </c>
      <c r="AH24" t="str">
        <f ca="1"/>
        <v>NA</v>
      </c>
      <c r="AI24" s="42" t="str">
        <f ca="1"/>
        <v>NA</v>
      </c>
      <c r="AJ24" t="str">
        <f ca="1"/>
        <v>NA</v>
      </c>
      <c r="AK24" s="42" t="str">
        <f ca="1"/>
        <v>NA</v>
      </c>
      <c r="AL24" t="str">
        <f ca="1"/>
        <v>NA</v>
      </c>
      <c r="AM24" s="42" t="str">
        <f ca="1"/>
        <v>NA</v>
      </c>
      <c r="AN24" t="str">
        <f ca="1"/>
        <v>NA</v>
      </c>
      <c r="AO24" s="42" t="str">
        <f ca="1"/>
        <v>NA</v>
      </c>
      <c r="AP24" t="str">
        <f ca="1"/>
        <v xml:space="preserve">NA </v>
      </c>
      <c r="AQ24" t="str">
        <f ca="1"/>
        <v xml:space="preserve">NA </v>
      </c>
      <c r="AR24">
        <f ca="1"/>
        <v>0</v>
      </c>
      <c r="AS24" s="42" t="str">
        <f ca="1"/>
        <v>NA</v>
      </c>
      <c r="AT24" t="str">
        <f ca="1"/>
        <v>NA</v>
      </c>
      <c r="AU24" t="str">
        <f ca="1"/>
        <v>NA</v>
      </c>
      <c r="AV24" t="str">
        <f ca="1"/>
        <v>NA</v>
      </c>
      <c r="AW24" t="str">
        <f ca="1"/>
        <v>NA</v>
      </c>
      <c r="AX24" s="42" t="str">
        <f ca="1"/>
        <v>NA</v>
      </c>
      <c r="AY24" t="str">
        <f ca="1"/>
        <v>NA</v>
      </c>
      <c r="AZ24">
        <f ca="1"/>
        <v>0</v>
      </c>
      <c r="BA24">
        <f ca="1"/>
        <v>0</v>
      </c>
      <c r="BB24" s="42" t="str">
        <f ca="1"/>
        <v>NA</v>
      </c>
      <c r="BC24">
        <f ca="1"/>
        <v>0</v>
      </c>
      <c r="BD24">
        <f ca="1"/>
        <v>0</v>
      </c>
      <c r="BE24" t="str">
        <f ca="1"/>
        <v xml:space="preserve">Claimant Non Tracable </v>
      </c>
    </row>
    <row r="25" spans="1:57">
      <c r="A25" s="42">
        <f ca="1"/>
        <v>24</v>
      </c>
      <c r="B25" s="42" t="str">
        <f ca="1"/>
        <v>CM889835</v>
      </c>
      <c r="C25" s="42" t="str">
        <f ca="1"/>
        <v>Generali Central Insurance Company Limited</v>
      </c>
      <c r="D25" s="42" t="str">
        <f ca="1"/>
        <v>MACT</v>
      </c>
      <c r="E25" s="42" t="str">
        <f ca="1"/>
        <v>F001-1024-SS-2025</v>
      </c>
      <c r="F25" s="310">
        <f ca="1"/>
        <v>45929</v>
      </c>
      <c r="G25" s="42" t="str">
        <f ca="1"/>
        <v>Sep-25</v>
      </c>
      <c r="H25" s="312" t="str">
        <f ca="1"/>
        <v>-</v>
      </c>
      <c r="I25" s="42">
        <f ca="1"/>
        <v>0</v>
      </c>
      <c r="J25" s="310">
        <f ca="1"/>
        <v>45971</v>
      </c>
      <c r="K25" s="42">
        <f ca="1"/>
        <v>98</v>
      </c>
      <c r="L25" s="42" t="str">
        <f ca="1"/>
        <v>AT</v>
      </c>
      <c r="M25" s="42" t="str">
        <f ca="1"/>
        <v>Full Case</v>
      </c>
      <c r="N25" s="42" t="str">
        <f ca="1"/>
        <v>QC</v>
      </c>
      <c r="O25" s="42" t="str">
        <f ca="1"/>
        <v>WIP</v>
      </c>
      <c r="P25" t="str">
        <f ca="1"/>
        <v>Claimant/Eye Witness/Spot/MLC or GD/Insured</v>
      </c>
      <c r="Q25" t="str">
        <f ca="1"/>
        <v>Sagera Rashid Tamboli</v>
      </c>
      <c r="R25" t="str">
        <f ca="1"/>
        <v>Ambehol, Dharashiv.</v>
      </c>
      <c r="S25" t="str">
        <f ca="1"/>
        <v>Dharashiv</v>
      </c>
      <c r="T25" s="314" t="str">
        <f ca="1"/>
        <v>Completed</v>
      </c>
      <c r="U25" t="str">
        <f ca="1"/>
        <v xml:space="preserve">NA </v>
      </c>
      <c r="V25">
        <f ca="1"/>
        <v>0</v>
      </c>
      <c r="W25">
        <f ca="1"/>
        <v>0</v>
      </c>
      <c r="X25" s="42" t="str">
        <f ca="1"/>
        <v>NA</v>
      </c>
      <c r="Y25" t="str">
        <f ca="1"/>
        <v>Nabilal Hajilal MUjawar 9922273444</v>
      </c>
      <c r="Z25" t="str">
        <f ca="1"/>
        <v>R/O, B8, Manikgad Apartment, Bramhagiri Colony, Jail Road, Nashik.</v>
      </c>
      <c r="AA25" t="str">
        <f ca="1"/>
        <v>Nashik</v>
      </c>
      <c r="AB25" t="str">
        <f ca="1"/>
        <v>NA</v>
      </c>
      <c r="AC25" s="42" t="str">
        <f ca="1"/>
        <v>Completed</v>
      </c>
      <c r="AD25" t="str">
        <f ca="1"/>
        <v>NA</v>
      </c>
      <c r="AE25">
        <f ca="1"/>
        <v>0</v>
      </c>
      <c r="AF25" t="str">
        <f ca="1"/>
        <v>NA</v>
      </c>
      <c r="AG25" s="42" t="str">
        <f ca="1"/>
        <v>NA</v>
      </c>
      <c r="AH25" t="str">
        <f ca="1"/>
        <v>NA</v>
      </c>
      <c r="AI25" s="42" t="str">
        <f ca="1"/>
        <v>NA</v>
      </c>
      <c r="AJ25" t="str">
        <f ca="1"/>
        <v>NA</v>
      </c>
      <c r="AK25" s="42" t="str">
        <f ca="1"/>
        <v>NA</v>
      </c>
      <c r="AL25" t="str">
        <f ca="1"/>
        <v>NA</v>
      </c>
      <c r="AM25" s="42" t="str">
        <f ca="1"/>
        <v>NA</v>
      </c>
      <c r="AN25" t="str">
        <f ca="1"/>
        <v>NA</v>
      </c>
      <c r="AO25" s="42" t="str">
        <f ca="1"/>
        <v>NA</v>
      </c>
      <c r="AP25" t="str">
        <f ca="1"/>
        <v xml:space="preserve">NA </v>
      </c>
      <c r="AQ25" t="str">
        <f ca="1"/>
        <v>On Baleshwar Naka to Kasarwado road, Nr. Oxigen Park, at Barshi city po. St.</v>
      </c>
      <c r="AR25">
        <f ca="1"/>
        <v>0</v>
      </c>
      <c r="AS25" s="42" t="str">
        <f ca="1"/>
        <v>Completed</v>
      </c>
      <c r="AT25" t="str">
        <f ca="1"/>
        <v>187/2024</v>
      </c>
      <c r="AU25" t="str">
        <f ca="1"/>
        <v>Barshi City Police Station</v>
      </c>
      <c r="AV25" t="str">
        <f ca="1"/>
        <v>Barshi</v>
      </c>
      <c r="AW25" t="str">
        <f ca="1"/>
        <v>NA</v>
      </c>
      <c r="AX25" s="42" t="str">
        <f ca="1"/>
        <v>NA</v>
      </c>
      <c r="AY25" t="str">
        <f ca="1"/>
        <v>NA</v>
      </c>
      <c r="AZ25">
        <f ca="1"/>
        <v>0</v>
      </c>
      <c r="BA25">
        <f ca="1"/>
        <v>0</v>
      </c>
      <c r="BB25" s="42" t="str">
        <f ca="1"/>
        <v>NI</v>
      </c>
      <c r="BC25">
        <f ca="1"/>
        <v>0</v>
      </c>
      <c r="BD25">
        <f ca="1"/>
        <v>0</v>
      </c>
      <c r="BE25" t="str">
        <f ca="1"/>
        <v xml:space="preserve">Insured recording / Police station recording </v>
      </c>
    </row>
    <row r="26" spans="1:57">
      <c r="A26" s="42">
        <f ca="1"/>
        <v>25</v>
      </c>
      <c r="B26" s="42" t="str">
        <f ca="1"/>
        <v>2022201759</v>
      </c>
      <c r="C26" s="42" t="str">
        <f ca="1"/>
        <v>Indusind General Insurance Co Ltd</v>
      </c>
      <c r="D26" s="42" t="str">
        <f ca="1"/>
        <v>MACT</v>
      </c>
      <c r="E26" s="42" t="str">
        <f ca="1"/>
        <v>R001-1025-SS-2025</v>
      </c>
      <c r="F26" s="310">
        <f ca="1"/>
        <v>45938</v>
      </c>
      <c r="G26" s="42" t="str">
        <f ca="1"/>
        <v>Oct-25</v>
      </c>
      <c r="H26" s="312">
        <f ca="1"/>
        <v>46008</v>
      </c>
      <c r="I26" s="42" t="str">
        <f ca="1"/>
        <v>Dec-25</v>
      </c>
      <c r="J26" s="310">
        <f ca="1"/>
        <v>45959</v>
      </c>
      <c r="K26" s="42">
        <f ca="1"/>
        <v>70</v>
      </c>
      <c r="L26" s="42" t="str">
        <f ca="1"/>
        <v>AT</v>
      </c>
      <c r="M26" s="42" t="str">
        <f ca="1"/>
        <v>Partial Case</v>
      </c>
      <c r="N26" s="42" t="str">
        <f ca="1"/>
        <v>Dispatch</v>
      </c>
      <c r="O26" s="42" t="str">
        <f ca="1"/>
        <v>Completed</v>
      </c>
      <c r="P26" t="str">
        <f ca="1"/>
        <v>Permit verification required from Nanded RTO</v>
      </c>
      <c r="Q26" t="str">
        <f ca="1"/>
        <v>NA</v>
      </c>
      <c r="R26" t="str">
        <f ca="1"/>
        <v>NA</v>
      </c>
      <c r="S26">
        <f ca="1"/>
        <v>0</v>
      </c>
      <c r="T26" s="314" t="str">
        <f ca="1"/>
        <v>NA</v>
      </c>
      <c r="U26" t="str">
        <f ca="1"/>
        <v xml:space="preserve">Na </v>
      </c>
      <c r="V26">
        <f ca="1"/>
        <v>0</v>
      </c>
      <c r="W26">
        <f ca="1"/>
        <v>0</v>
      </c>
      <c r="X26" s="42" t="str">
        <f ca="1"/>
        <v>NA</v>
      </c>
      <c r="Y26" t="str">
        <f ca="1"/>
        <v>NA</v>
      </c>
      <c r="Z26">
        <f ca="1"/>
        <v>0</v>
      </c>
      <c r="AA26" t="str">
        <f ca="1"/>
        <v xml:space="preserve">NA </v>
      </c>
      <c r="AB26" t="str">
        <f ca="1"/>
        <v>NA</v>
      </c>
      <c r="AC26" s="42" t="str">
        <f ca="1"/>
        <v>NA</v>
      </c>
      <c r="AD26" t="str">
        <f ca="1"/>
        <v>NA</v>
      </c>
      <c r="AE26">
        <f ca="1"/>
        <v>0</v>
      </c>
      <c r="AF26" t="str">
        <f ca="1"/>
        <v>NA</v>
      </c>
      <c r="AG26" s="42" t="str">
        <f ca="1"/>
        <v>NA</v>
      </c>
      <c r="AH26" t="str">
        <f ca="1"/>
        <v>NA</v>
      </c>
      <c r="AI26" s="42" t="str">
        <f ca="1"/>
        <v>NA</v>
      </c>
      <c r="AJ26" t="str">
        <f ca="1"/>
        <v>NA</v>
      </c>
      <c r="AK26" s="42" t="str">
        <f ca="1"/>
        <v>NA</v>
      </c>
      <c r="AL26" t="str">
        <f ca="1"/>
        <v xml:space="preserve">Yes </v>
      </c>
      <c r="AM26" s="42" t="str">
        <f ca="1"/>
        <v>WIP</v>
      </c>
      <c r="AN26" t="str">
        <f ca="1"/>
        <v>NA</v>
      </c>
      <c r="AO26" s="42" t="str">
        <f ca="1"/>
        <v>NA</v>
      </c>
      <c r="AP26" t="str">
        <f ca="1"/>
        <v xml:space="preserve">NA </v>
      </c>
      <c r="AQ26" t="str">
        <f ca="1"/>
        <v xml:space="preserve">NA </v>
      </c>
      <c r="AR26">
        <f ca="1"/>
        <v>0</v>
      </c>
      <c r="AS26" s="42" t="str">
        <f ca="1"/>
        <v>NA</v>
      </c>
      <c r="AT26" t="str">
        <f ca="1"/>
        <v>NA</v>
      </c>
      <c r="AU26" t="str">
        <f ca="1"/>
        <v>NA</v>
      </c>
      <c r="AV26" t="str">
        <f ca="1"/>
        <v>NA</v>
      </c>
      <c r="AW26" t="str">
        <f ca="1"/>
        <v>NA</v>
      </c>
      <c r="AX26" s="42" t="str">
        <f ca="1"/>
        <v>NA</v>
      </c>
      <c r="AY26" t="str">
        <f ca="1"/>
        <v>NA</v>
      </c>
      <c r="AZ26">
        <f ca="1"/>
        <v>0</v>
      </c>
      <c r="BA26">
        <f ca="1"/>
        <v>0</v>
      </c>
      <c r="BB26" s="42" t="str">
        <f ca="1"/>
        <v>NA</v>
      </c>
      <c r="BC26">
        <f ca="1"/>
        <v>0</v>
      </c>
      <c r="BD26">
        <f ca="1"/>
        <v>0</v>
      </c>
      <c r="BE26" t="str">
        <f ca="1"/>
        <v>Permit verification required</v>
      </c>
    </row>
    <row r="27" spans="1:57">
      <c r="A27" s="42">
        <f ca="1"/>
        <v>26</v>
      </c>
      <c r="B27" s="42" t="str">
        <f ca="1"/>
        <v>2025202327</v>
      </c>
      <c r="C27" s="42" t="str">
        <f ca="1"/>
        <v>Indusind General Insurance Co Ltd</v>
      </c>
      <c r="D27" s="42" t="str">
        <f ca="1"/>
        <v>MACT</v>
      </c>
      <c r="E27" s="42" t="str">
        <f ca="1"/>
        <v>R001-1026-SS-2025</v>
      </c>
      <c r="F27" s="310">
        <f ca="1"/>
        <v>45938</v>
      </c>
      <c r="G27" s="42" t="str">
        <f ca="1"/>
        <v>Oct-25</v>
      </c>
      <c r="H27" s="312" t="str">
        <f ca="1"/>
        <v>-</v>
      </c>
      <c r="I27" s="42">
        <f ca="1"/>
        <v>0</v>
      </c>
      <c r="J27" s="310">
        <f ca="1"/>
        <v>45980</v>
      </c>
      <c r="K27" s="42">
        <f ca="1"/>
        <v>89</v>
      </c>
      <c r="L27" s="42" t="str">
        <f ca="1"/>
        <v>AT</v>
      </c>
      <c r="M27" s="42" t="str">
        <f ca="1"/>
        <v>Full Case</v>
      </c>
      <c r="N27" s="42" t="str">
        <f ca="1"/>
        <v>QC</v>
      </c>
      <c r="O27" s="42" t="str">
        <f ca="1"/>
        <v>QC</v>
      </c>
      <c r="P27">
        <f ca="1"/>
        <v>0</v>
      </c>
      <c r="Q27" t="str">
        <f ca="1"/>
        <v xml:space="preserve">   </v>
      </c>
      <c r="R27" t="str">
        <f ca="1"/>
        <v>R/O. Kalmula, Tq-Purna, Dis-Parbhani.</v>
      </c>
      <c r="S27" t="str">
        <f ca="1"/>
        <v>Parbhani</v>
      </c>
      <c r="T27" s="314" t="str">
        <f ca="1"/>
        <v>Completed</v>
      </c>
      <c r="U27" t="str">
        <f ca="1"/>
        <v xml:space="preserve">Na </v>
      </c>
      <c r="V27">
        <f ca="1"/>
        <v>0</v>
      </c>
      <c r="W27">
        <f ca="1"/>
        <v>0</v>
      </c>
      <c r="X27" s="42" t="str">
        <f ca="1"/>
        <v>NA</v>
      </c>
      <c r="Y27" t="str">
        <f ca="1"/>
        <v>Sangita Bharat Gajre</v>
      </c>
      <c r="Z27" t="str">
        <f ca="1"/>
        <v>B-320, Steel Chember, Plot-514, Sec-KWC, Panvel. 410218.</v>
      </c>
      <c r="AA27" t="str">
        <f ca="1"/>
        <v>Navi Mumbai</v>
      </c>
      <c r="AB27" t="str">
        <f ca="1"/>
        <v>NA</v>
      </c>
      <c r="AC27" s="42" t="str">
        <f ca="1"/>
        <v>Completed</v>
      </c>
      <c r="AD27" t="str">
        <f ca="1"/>
        <v>NA</v>
      </c>
      <c r="AE27">
        <f ca="1"/>
        <v>0</v>
      </c>
      <c r="AF27" t="str">
        <f ca="1"/>
        <v>NA</v>
      </c>
      <c r="AG27" s="42" t="str">
        <f ca="1"/>
        <v>Completed</v>
      </c>
      <c r="AH27" t="str">
        <f ca="1"/>
        <v>NA</v>
      </c>
      <c r="AI27" s="42" t="str">
        <f ca="1"/>
        <v>NA</v>
      </c>
      <c r="AJ27" t="str">
        <f ca="1"/>
        <v>NA</v>
      </c>
      <c r="AK27" s="42" t="str">
        <f ca="1"/>
        <v>NA</v>
      </c>
      <c r="AL27" t="str">
        <f ca="1"/>
        <v>NA</v>
      </c>
      <c r="AM27" s="42" t="str">
        <f ca="1"/>
        <v>NA</v>
      </c>
      <c r="AN27" t="str">
        <f ca="1"/>
        <v>NA</v>
      </c>
      <c r="AO27" s="42" t="str">
        <f ca="1"/>
        <v>NA</v>
      </c>
      <c r="AP27" t="str">
        <f ca="1"/>
        <v xml:space="preserve">NA </v>
      </c>
      <c r="AQ27" t="str">
        <f ca="1"/>
        <v>At Limbgaon - Purna road, Near Opp Datta Mandir.</v>
      </c>
      <c r="AR27">
        <f ca="1"/>
        <v>0</v>
      </c>
      <c r="AS27" s="42" t="str">
        <f ca="1"/>
        <v>Completed</v>
      </c>
      <c r="AT27" t="str">
        <f ca="1"/>
        <v>55/2024</v>
      </c>
      <c r="AU27" t="str">
        <f ca="1"/>
        <v>Limbgaon Po. St.</v>
      </c>
      <c r="AV27" t="str">
        <f ca="1"/>
        <v>Nanded</v>
      </c>
      <c r="AW27" t="str">
        <f ca="1"/>
        <v>NA</v>
      </c>
      <c r="AX27" s="42" t="str">
        <f ca="1"/>
        <v>Completed</v>
      </c>
      <c r="AY27" t="str">
        <f ca="1"/>
        <v>NA</v>
      </c>
      <c r="AZ27">
        <f ca="1"/>
        <v>0</v>
      </c>
      <c r="BA27">
        <f ca="1"/>
        <v>0</v>
      </c>
      <c r="BB27" s="42" t="str">
        <f ca="1"/>
        <v>NA</v>
      </c>
      <c r="BC27">
        <f ca="1"/>
        <v>0</v>
      </c>
      <c r="BD27">
        <f ca="1"/>
        <v>0</v>
      </c>
      <c r="BE27" t="str">
        <f ca="1"/>
        <v>Spot / Driver non contactable / Claimant Part Pending Insured and CS</v>
      </c>
    </row>
    <row r="28" spans="1:57">
      <c r="A28" s="42">
        <f ca="1"/>
        <v>27</v>
      </c>
      <c r="B28" s="42" t="str">
        <f ca="1"/>
        <v>2025200573</v>
      </c>
      <c r="C28" s="42" t="str">
        <f ca="1"/>
        <v>Indusind General Insurance Co Ltd</v>
      </c>
      <c r="D28" s="42" t="str">
        <f ca="1"/>
        <v>MACT</v>
      </c>
      <c r="E28" s="42" t="str">
        <f ca="1"/>
        <v>R001-1027-SS-2025</v>
      </c>
      <c r="F28" s="310">
        <f ca="1"/>
        <v>45938</v>
      </c>
      <c r="G28" s="42" t="str">
        <f ca="1"/>
        <v>Oct-25</v>
      </c>
      <c r="H28" s="312" t="str">
        <f ca="1"/>
        <v>-</v>
      </c>
      <c r="I28" s="42">
        <f ca="1"/>
        <v>0</v>
      </c>
      <c r="J28" s="310">
        <f ca="1"/>
        <v>45980</v>
      </c>
      <c r="K28" s="42">
        <f ca="1"/>
        <v>89</v>
      </c>
      <c r="L28" s="42" t="str">
        <f ca="1"/>
        <v>AT</v>
      </c>
      <c r="M28" s="42" t="str">
        <f ca="1"/>
        <v>Full Case</v>
      </c>
      <c r="N28" s="42" t="str">
        <f ca="1"/>
        <v>Open</v>
      </c>
      <c r="O28" s="42" t="str">
        <f ca="1"/>
        <v>WIP</v>
      </c>
      <c r="P28">
        <f ca="1"/>
        <v>0</v>
      </c>
      <c r="Q28" t="str">
        <f ca="1"/>
        <v>Madhav Sheshrao Surve</v>
      </c>
      <c r="R28" t="str">
        <f ca="1"/>
        <v>Datta Nagar, Kailash Nagar, Lane No. 04, Plot No. 04,  Sambhajinagar.</v>
      </c>
      <c r="S28" t="str">
        <f ca="1"/>
        <v>Sambhaji Nagar</v>
      </c>
      <c r="T28" s="314" t="str">
        <f ca="1"/>
        <v>Completed</v>
      </c>
      <c r="U28" t="str">
        <f ca="1"/>
        <v xml:space="preserve">Na </v>
      </c>
      <c r="V28">
        <f ca="1"/>
        <v>0</v>
      </c>
      <c r="W28">
        <f ca="1"/>
        <v>0</v>
      </c>
      <c r="X28" s="42" t="str">
        <f ca="1"/>
        <v>NA</v>
      </c>
      <c r="Y28" t="str">
        <f ca="1"/>
        <v>AKASH SANJAY KAMBLE</v>
      </c>
      <c r="Z28" t="str">
        <f ca="1"/>
        <v>NA</v>
      </c>
      <c r="AA28" t="str">
        <f ca="1"/>
        <v xml:space="preserve">NA </v>
      </c>
      <c r="AB28" t="str">
        <f ca="1"/>
        <v>NA</v>
      </c>
      <c r="AC28" s="42" t="str">
        <f ca="1"/>
        <v>WIP</v>
      </c>
      <c r="AD28" t="str">
        <f ca="1"/>
        <v>NA</v>
      </c>
      <c r="AE28">
        <f ca="1"/>
        <v>0</v>
      </c>
      <c r="AF28" t="str">
        <f ca="1"/>
        <v>NA</v>
      </c>
      <c r="AG28" s="42" t="str">
        <f ca="1"/>
        <v>WIP</v>
      </c>
      <c r="AH28" t="str">
        <f ca="1"/>
        <v>NA</v>
      </c>
      <c r="AI28" s="42" t="str">
        <f ca="1"/>
        <v>NA</v>
      </c>
      <c r="AJ28" t="str">
        <f ca="1"/>
        <v>NA</v>
      </c>
      <c r="AK28" s="42" t="str">
        <f ca="1"/>
        <v>NA</v>
      </c>
      <c r="AL28" t="str">
        <f ca="1"/>
        <v>NA</v>
      </c>
      <c r="AM28" s="42" t="str">
        <f ca="1"/>
        <v>NA</v>
      </c>
      <c r="AN28" t="str">
        <f ca="1"/>
        <v>NA</v>
      </c>
      <c r="AO28" s="42" t="str">
        <f ca="1"/>
        <v>NA</v>
      </c>
      <c r="AP28" t="str">
        <f ca="1"/>
        <v xml:space="preserve">NA </v>
      </c>
      <c r="AQ28" t="str">
        <f ca="1"/>
        <v>In front of river bridgeOn Chickali Mahekar road,</v>
      </c>
      <c r="AR28">
        <f ca="1"/>
        <v>0</v>
      </c>
      <c r="AS28" s="42" t="str">
        <f ca="1"/>
        <v>WIP</v>
      </c>
      <c r="AT28" t="str">
        <f ca="1"/>
        <v>721/2023</v>
      </c>
      <c r="AU28" t="str">
        <f ca="1"/>
        <v>Mahekar po. St.</v>
      </c>
      <c r="AV28" t="str">
        <f ca="1"/>
        <v>Sambhajinagar</v>
      </c>
      <c r="AW28" t="str">
        <f ca="1"/>
        <v>NA</v>
      </c>
      <c r="AX28" s="42" t="str">
        <f ca="1"/>
        <v>WIP</v>
      </c>
      <c r="AY28" t="str">
        <f ca="1"/>
        <v>NA</v>
      </c>
      <c r="AZ28">
        <f ca="1"/>
        <v>0</v>
      </c>
      <c r="BA28">
        <f ca="1"/>
        <v>0</v>
      </c>
      <c r="BB28" s="42" t="str">
        <f ca="1"/>
        <v>NA</v>
      </c>
      <c r="BC28">
        <f ca="1"/>
        <v>0</v>
      </c>
      <c r="BD28">
        <f ca="1"/>
        <v>0</v>
      </c>
      <c r="BE28">
        <f ca="1"/>
        <v>0</v>
      </c>
    </row>
    <row r="29" spans="1:57">
      <c r="A29" s="42">
        <f ca="1"/>
        <v>28</v>
      </c>
      <c r="B29" s="42" t="str">
        <f ca="1"/>
        <v>2025206296</v>
      </c>
      <c r="C29" s="42" t="str">
        <f ca="1"/>
        <v>Indusind General Insurance Co Ltd</v>
      </c>
      <c r="D29" s="42" t="str">
        <f ca="1"/>
        <v>MACT</v>
      </c>
      <c r="E29" s="42" t="str">
        <f ca="1"/>
        <v>R001-1028-SS-2025</v>
      </c>
      <c r="F29" s="310">
        <f ca="1"/>
        <v>45938</v>
      </c>
      <c r="G29" s="42" t="str">
        <f ca="1"/>
        <v>Oct-25</v>
      </c>
      <c r="H29" s="312" t="str">
        <f ca="1"/>
        <v>-</v>
      </c>
      <c r="I29" s="42">
        <f ca="1"/>
        <v>0</v>
      </c>
      <c r="J29" s="310">
        <f ca="1"/>
        <v>45980</v>
      </c>
      <c r="K29" s="42">
        <f ca="1"/>
        <v>89</v>
      </c>
      <c r="L29" s="42" t="str">
        <f ca="1"/>
        <v>AT</v>
      </c>
      <c r="M29" s="42" t="str">
        <f ca="1"/>
        <v>Full Case</v>
      </c>
      <c r="N29" s="42" t="str">
        <f ca="1"/>
        <v>Open</v>
      </c>
      <c r="O29" s="42" t="str">
        <f ca="1"/>
        <v>Pending CS</v>
      </c>
      <c r="P29">
        <f ca="1"/>
        <v>0</v>
      </c>
      <c r="Q29" t="str">
        <f ca="1"/>
        <v>Ashok Bansilal Dayma</v>
      </c>
      <c r="R29" t="str">
        <f ca="1"/>
        <v xml:space="preserve">ND-42, P-01, 36/02, Wagala road, Back to Gajanan Tempale, Hudko, Kouta, Posi - CIDCO Nanded. </v>
      </c>
      <c r="S29" t="str">
        <f ca="1"/>
        <v>Nanded</v>
      </c>
      <c r="T29" s="314" t="str">
        <f ca="1"/>
        <v>Completed</v>
      </c>
      <c r="U29" t="str">
        <f ca="1"/>
        <v xml:space="preserve">Na </v>
      </c>
      <c r="V29">
        <f ca="1"/>
        <v>0</v>
      </c>
      <c r="W29">
        <f ca="1"/>
        <v>0</v>
      </c>
      <c r="X29" s="42" t="str">
        <f ca="1"/>
        <v>NA</v>
      </c>
      <c r="Y29" t="str">
        <f ca="1"/>
        <v>Deelip Ramsing Rathod</v>
      </c>
      <c r="Z29" t="str">
        <f ca="1"/>
        <v>Sanket, Geeta Nagar, Nr Anand Nagar, Nanded.</v>
      </c>
      <c r="AA29" t="str">
        <f ca="1"/>
        <v>Nanded</v>
      </c>
      <c r="AB29" t="str">
        <f ca="1"/>
        <v>NA</v>
      </c>
      <c r="AC29" s="42" t="str">
        <f ca="1"/>
        <v>Completed</v>
      </c>
      <c r="AD29" t="str">
        <f ca="1"/>
        <v>NA</v>
      </c>
      <c r="AE29">
        <f ca="1"/>
        <v>0</v>
      </c>
      <c r="AF29" t="str">
        <f ca="1"/>
        <v>NA</v>
      </c>
      <c r="AG29" s="42" t="str">
        <f ca="1"/>
        <v>Completed</v>
      </c>
      <c r="AH29" t="str">
        <f ca="1"/>
        <v>NA</v>
      </c>
      <c r="AI29" s="42" t="str">
        <f ca="1"/>
        <v>NA</v>
      </c>
      <c r="AJ29" t="str">
        <f ca="1"/>
        <v>NA</v>
      </c>
      <c r="AK29" s="42" t="str">
        <f ca="1"/>
        <v>NA</v>
      </c>
      <c r="AL29" t="str">
        <f ca="1"/>
        <v>NA</v>
      </c>
      <c r="AM29" s="42" t="str">
        <f ca="1"/>
        <v>NA</v>
      </c>
      <c r="AN29" t="str">
        <f ca="1"/>
        <v>NA</v>
      </c>
      <c r="AO29" s="42" t="str">
        <f ca="1"/>
        <v>NA</v>
      </c>
      <c r="AP29" t="str">
        <f ca="1"/>
        <v xml:space="preserve">NA </v>
      </c>
      <c r="AQ29" t="str">
        <f ca="1"/>
        <v>At Bus Station MSRTC, Nanded.</v>
      </c>
      <c r="AR29" t="str">
        <f ca="1"/>
        <v>Nanded</v>
      </c>
      <c r="AS29" s="42" t="str">
        <f ca="1"/>
        <v>Completed</v>
      </c>
      <c r="AT29" t="str">
        <f ca="1"/>
        <v>217/2024</v>
      </c>
      <c r="AU29" t="str">
        <f ca="1"/>
        <v>Vazirabad Po. St.</v>
      </c>
      <c r="AV29" t="str">
        <f ca="1"/>
        <v>Nanded</v>
      </c>
      <c r="AW29" t="str">
        <f ca="1"/>
        <v>NA</v>
      </c>
      <c r="AX29" s="42" t="str">
        <f ca="1"/>
        <v>WIP</v>
      </c>
      <c r="AY29" t="str">
        <f ca="1"/>
        <v>NA</v>
      </c>
      <c r="AZ29">
        <f ca="1"/>
        <v>0</v>
      </c>
      <c r="BA29">
        <f ca="1"/>
        <v>0</v>
      </c>
      <c r="BB29" s="42" t="str">
        <f ca="1"/>
        <v>NA</v>
      </c>
      <c r="BC29">
        <f ca="1"/>
        <v>0</v>
      </c>
      <c r="BD29">
        <f ca="1"/>
        <v>0</v>
      </c>
      <c r="BE29" t="str">
        <f ca="1"/>
        <v xml:space="preserve">Claimant Visit/ Driver- DL/ Insured/ Spot  Pending for CS </v>
      </c>
    </row>
    <row r="30" spans="1:57">
      <c r="A30" s="42">
        <f ca="1"/>
        <v>29</v>
      </c>
      <c r="B30" s="42" t="str">
        <f ca="1"/>
        <v>2025202596</v>
      </c>
      <c r="C30" s="42" t="str">
        <f ca="1"/>
        <v>Indusind General Insurance Co Ltd</v>
      </c>
      <c r="D30" s="42" t="str">
        <f ca="1"/>
        <v>MACT</v>
      </c>
      <c r="E30" s="42" t="str">
        <f ca="1"/>
        <v>R001-1029-SS-2025</v>
      </c>
      <c r="F30" s="310">
        <f ca="1"/>
        <v>45938</v>
      </c>
      <c r="G30" s="42" t="str">
        <f ca="1"/>
        <v>Oct-25</v>
      </c>
      <c r="H30" s="312">
        <f ca="1"/>
        <v>45995</v>
      </c>
      <c r="I30" s="42" t="str">
        <f ca="1"/>
        <v>Dec-25</v>
      </c>
      <c r="J30" s="310">
        <f ca="1"/>
        <v>45980</v>
      </c>
      <c r="K30" s="42">
        <f ca="1"/>
        <v>57</v>
      </c>
      <c r="L30" s="42" t="str">
        <f ca="1"/>
        <v>AT</v>
      </c>
      <c r="M30" s="42" t="str">
        <f ca="1"/>
        <v>Full Case</v>
      </c>
      <c r="N30" s="42" t="str">
        <f ca="1"/>
        <v>Dispatch</v>
      </c>
      <c r="O30" s="42" t="str">
        <f ca="1"/>
        <v>Completed</v>
      </c>
      <c r="P30">
        <f ca="1"/>
        <v>0</v>
      </c>
      <c r="Q30" t="str">
        <f ca="1"/>
        <v>Kusum Shravan Jadhav</v>
      </c>
      <c r="R30" t="str">
        <f ca="1"/>
        <v>R/O. Chabra Tanda, hadgaon, Nanded.</v>
      </c>
      <c r="S30" t="str">
        <f ca="1"/>
        <v>Nanded</v>
      </c>
      <c r="T30" s="314" t="str">
        <f ca="1"/>
        <v>Completed</v>
      </c>
      <c r="U30" t="str">
        <f ca="1"/>
        <v xml:space="preserve">Na </v>
      </c>
      <c r="V30">
        <f ca="1"/>
        <v>0</v>
      </c>
      <c r="W30">
        <f ca="1"/>
        <v>0</v>
      </c>
      <c r="X30" s="42" t="str">
        <f ca="1"/>
        <v>NA</v>
      </c>
      <c r="Y30" t="str">
        <f ca="1"/>
        <v>Bhagwan Amarshing Ade</v>
      </c>
      <c r="Z30" t="str">
        <f ca="1"/>
        <v>Walaki BK Tanda, Hadgaon, Nanded.</v>
      </c>
      <c r="AA30" t="str">
        <f ca="1"/>
        <v>Nanded</v>
      </c>
      <c r="AB30" t="str">
        <f ca="1"/>
        <v>NA</v>
      </c>
      <c r="AC30" s="42" t="str">
        <f ca="1"/>
        <v>Completed</v>
      </c>
      <c r="AD30" t="str">
        <f ca="1"/>
        <v>NA</v>
      </c>
      <c r="AE30">
        <f ca="1"/>
        <v>0</v>
      </c>
      <c r="AF30" t="str">
        <f ca="1"/>
        <v>NA</v>
      </c>
      <c r="AG30" s="42" t="str">
        <f ca="1"/>
        <v>Completed</v>
      </c>
      <c r="AH30" t="str">
        <f ca="1"/>
        <v>NA</v>
      </c>
      <c r="AI30" s="42" t="str">
        <f ca="1"/>
        <v>NA</v>
      </c>
      <c r="AJ30" t="str">
        <f ca="1"/>
        <v>NA</v>
      </c>
      <c r="AK30" s="42" t="str">
        <f ca="1"/>
        <v>NA</v>
      </c>
      <c r="AL30" t="str">
        <f ca="1"/>
        <v>NA</v>
      </c>
      <c r="AM30" s="42" t="str">
        <f ca="1"/>
        <v>NA</v>
      </c>
      <c r="AN30" t="str">
        <f ca="1"/>
        <v>NA</v>
      </c>
      <c r="AO30" s="42" t="str">
        <f ca="1"/>
        <v>NA</v>
      </c>
      <c r="AP30" t="str">
        <f ca="1"/>
        <v xml:space="preserve">NA </v>
      </c>
      <c r="AQ30" t="str">
        <f ca="1"/>
        <v>Nr the field of Govind Amarsing Chavhan, On Chabra Tanda to Sonala Canal road.</v>
      </c>
      <c r="AR30">
        <f ca="1"/>
        <v>0</v>
      </c>
      <c r="AS30" s="42" t="str">
        <f ca="1"/>
        <v>Completed</v>
      </c>
      <c r="AT30">
        <f ca="1"/>
        <v>0</v>
      </c>
      <c r="AU30" t="str">
        <f ca="1"/>
        <v>Ardhapur Po. St.</v>
      </c>
      <c r="AV30" t="str">
        <f ca="1"/>
        <v>Nanded</v>
      </c>
      <c r="AW30" t="str">
        <f ca="1"/>
        <v>NA</v>
      </c>
      <c r="AX30" s="42" t="str">
        <f ca="1"/>
        <v>NA</v>
      </c>
      <c r="AY30" t="str">
        <f ca="1"/>
        <v>NA</v>
      </c>
      <c r="AZ30">
        <f ca="1"/>
        <v>0</v>
      </c>
      <c r="BA30">
        <f ca="1"/>
        <v>0</v>
      </c>
      <c r="BB30" s="42" t="str">
        <f ca="1"/>
        <v>NA</v>
      </c>
      <c r="BC30">
        <f ca="1"/>
        <v>0</v>
      </c>
      <c r="BD30">
        <f ca="1"/>
        <v>0</v>
      </c>
      <c r="BE30" t="str">
        <f ca="1"/>
        <v>Claimant/ Insured/ Spot/Driver Pending for CS</v>
      </c>
    </row>
    <row r="31" spans="1:57">
      <c r="A31" s="42">
        <f ca="1"/>
        <v>30</v>
      </c>
      <c r="B31" s="42" t="str">
        <f ca="1"/>
        <v>2025211210</v>
      </c>
      <c r="C31" s="42" t="str">
        <f ca="1"/>
        <v>Indusind General Insurance Co Ltd</v>
      </c>
      <c r="D31" s="42" t="str">
        <f ca="1"/>
        <v>MACT</v>
      </c>
      <c r="E31" s="42" t="str">
        <f ca="1"/>
        <v>R001-1030-SS-2025</v>
      </c>
      <c r="F31" s="310">
        <f ca="1"/>
        <v>45938</v>
      </c>
      <c r="G31" s="42" t="str">
        <f ca="1"/>
        <v>Oct-25</v>
      </c>
      <c r="H31" s="312">
        <f ca="1"/>
        <v>46009</v>
      </c>
      <c r="I31" s="42" t="str">
        <f ca="1"/>
        <v>Dec-25</v>
      </c>
      <c r="J31" s="310">
        <f ca="1"/>
        <v>45980</v>
      </c>
      <c r="K31" s="42">
        <f ca="1"/>
        <v>71</v>
      </c>
      <c r="L31" s="42" t="str">
        <f ca="1"/>
        <v>AT</v>
      </c>
      <c r="M31" s="42" t="str">
        <f ca="1"/>
        <v>Full Case</v>
      </c>
      <c r="N31" s="42" t="str">
        <f ca="1"/>
        <v>Dispatch</v>
      </c>
      <c r="O31" s="42" t="str">
        <f ca="1"/>
        <v>Completed</v>
      </c>
      <c r="P31">
        <f ca="1"/>
        <v>0</v>
      </c>
      <c r="Q31" t="str">
        <f ca="1"/>
        <v>Hayat Khan Husen Khan</v>
      </c>
      <c r="R31" t="str">
        <f ca="1"/>
        <v>Near. Dr. Babasaheb Ambedkar Statue, Nutan Vasahat, Old Jalne.</v>
      </c>
      <c r="S31" t="str">
        <f ca="1"/>
        <v>Jalna</v>
      </c>
      <c r="T31" s="314" t="str">
        <f ca="1"/>
        <v>Completed</v>
      </c>
      <c r="U31" t="str">
        <f ca="1"/>
        <v xml:space="preserve">Na </v>
      </c>
      <c r="V31">
        <f ca="1"/>
        <v>0</v>
      </c>
      <c r="W31">
        <f ca="1"/>
        <v>0</v>
      </c>
      <c r="X31" s="42" t="str">
        <f ca="1"/>
        <v>NA</v>
      </c>
      <c r="Y31" t="str">
        <f ca="1"/>
        <v>Kailas Nana Tayde</v>
      </c>
      <c r="Z31" t="str">
        <f ca="1"/>
        <v>Near. Dr. Babasaheb Ambedkar Statue, Nutan Vasahat, Old Jalne.</v>
      </c>
      <c r="AA31" t="str">
        <f ca="1"/>
        <v>Jalna</v>
      </c>
      <c r="AB31" t="str">
        <f ca="1"/>
        <v>NA</v>
      </c>
      <c r="AC31" s="42" t="str">
        <f ca="1"/>
        <v>Completed</v>
      </c>
      <c r="AD31" t="str">
        <f ca="1"/>
        <v>NA</v>
      </c>
      <c r="AE31">
        <f ca="1"/>
        <v>0</v>
      </c>
      <c r="AF31" t="str">
        <f ca="1"/>
        <v>NA</v>
      </c>
      <c r="AG31" s="42" t="str">
        <f ca="1"/>
        <v>Completed</v>
      </c>
      <c r="AH31" t="str">
        <f ca="1"/>
        <v>NA</v>
      </c>
      <c r="AI31" s="42" t="str">
        <f ca="1"/>
        <v>NA</v>
      </c>
      <c r="AJ31" t="str">
        <f ca="1"/>
        <v>NA</v>
      </c>
      <c r="AK31" s="42" t="str">
        <f ca="1"/>
        <v>NA</v>
      </c>
      <c r="AL31" t="str">
        <f ca="1"/>
        <v>NA</v>
      </c>
      <c r="AM31" s="42" t="str">
        <f ca="1"/>
        <v>NA</v>
      </c>
      <c r="AN31" t="str">
        <f ca="1"/>
        <v>NA</v>
      </c>
      <c r="AO31" s="42" t="str">
        <f ca="1"/>
        <v>NA</v>
      </c>
      <c r="AP31" t="str">
        <f ca="1"/>
        <v xml:space="preserve">NA </v>
      </c>
      <c r="AQ31" t="str">
        <f ca="1"/>
        <v>On Jalna to Rajur road, In Dagadwadi Shivar</v>
      </c>
      <c r="AR31" t="str">
        <f ca="1"/>
        <v>Jalna</v>
      </c>
      <c r="AS31" s="42" t="str">
        <f ca="1"/>
        <v>Completed</v>
      </c>
      <c r="AT31" t="str">
        <f ca="1"/>
        <v>304/2019</v>
      </c>
      <c r="AU31" t="str">
        <f ca="1"/>
        <v>Chandanjira Po. St.</v>
      </c>
      <c r="AV31" t="str">
        <f ca="1"/>
        <v>Nanded</v>
      </c>
      <c r="AW31" t="str">
        <f ca="1"/>
        <v>NA</v>
      </c>
      <c r="AX31" s="42" t="str">
        <f ca="1"/>
        <v>Completed</v>
      </c>
      <c r="AY31" t="str">
        <f ca="1"/>
        <v>NA</v>
      </c>
      <c r="AZ31">
        <f ca="1"/>
        <v>0</v>
      </c>
      <c r="BA31">
        <f ca="1"/>
        <v>0</v>
      </c>
      <c r="BB31" s="42" t="str">
        <f ca="1"/>
        <v>NA</v>
      </c>
      <c r="BC31">
        <f ca="1"/>
        <v>0</v>
      </c>
      <c r="BD31">
        <f ca="1"/>
        <v>0</v>
      </c>
      <c r="BE31" t="str">
        <f ca="1"/>
        <v xml:space="preserve">Claimant/ Insured/ Driver/ Spot completed / Oposite party verification completed </v>
      </c>
    </row>
    <row r="32" spans="1:57">
      <c r="A32" s="42">
        <f ca="1"/>
        <v>31</v>
      </c>
      <c r="B32" s="42" t="str">
        <f ca="1"/>
        <v>2025211101</v>
      </c>
      <c r="C32" s="42" t="str">
        <f ca="1"/>
        <v>Indusind General Insurance Co Ltd</v>
      </c>
      <c r="D32" s="42" t="str">
        <f ca="1"/>
        <v>MACT</v>
      </c>
      <c r="E32" s="42" t="str">
        <f ca="1"/>
        <v>R001-1031-SS-2025</v>
      </c>
      <c r="F32" s="310">
        <f ca="1"/>
        <v>45938</v>
      </c>
      <c r="G32" s="42" t="str">
        <f ca="1"/>
        <v>Oct-25</v>
      </c>
      <c r="H32" s="312" t="str">
        <f ca="1"/>
        <v>-</v>
      </c>
      <c r="I32" s="42">
        <f ca="1"/>
        <v>0</v>
      </c>
      <c r="J32" s="310">
        <f ca="1"/>
        <v>45980</v>
      </c>
      <c r="K32" s="42">
        <f ca="1"/>
        <v>89</v>
      </c>
      <c r="L32" s="42" t="str">
        <f ca="1"/>
        <v>AT</v>
      </c>
      <c r="M32" s="42" t="str">
        <f ca="1"/>
        <v>Full Case</v>
      </c>
      <c r="N32" s="42" t="str">
        <f ca="1"/>
        <v>Open</v>
      </c>
      <c r="O32" s="42" t="str">
        <f ca="1"/>
        <v>Pending CS</v>
      </c>
      <c r="P32">
        <f ca="1"/>
        <v>0</v>
      </c>
      <c r="Q32" t="str">
        <f ca="1"/>
        <v>Shaikh Qayyum Shaikh Habib</v>
      </c>
      <c r="R32" t="str">
        <f ca="1"/>
        <v>Millat Nagar, Degloor naka, Nanded.</v>
      </c>
      <c r="S32" t="str">
        <f ca="1"/>
        <v>Nanded</v>
      </c>
      <c r="T32" s="314" t="str">
        <f ca="1"/>
        <v>Completed</v>
      </c>
      <c r="U32" t="str">
        <f ca="1"/>
        <v xml:space="preserve">Na </v>
      </c>
      <c r="V32">
        <f ca="1"/>
        <v>0</v>
      </c>
      <c r="W32">
        <f ca="1"/>
        <v>0</v>
      </c>
      <c r="X32" s="42" t="str">
        <f ca="1"/>
        <v>NA</v>
      </c>
      <c r="Y32" t="str">
        <f ca="1"/>
        <v>Anwar Khan Sattar Khan</v>
      </c>
      <c r="Z32" t="str">
        <f ca="1"/>
        <v>Devi Nagar, Degloor Naka, Nanded.</v>
      </c>
      <c r="AA32" t="str">
        <f ca="1"/>
        <v>Nanded</v>
      </c>
      <c r="AB32" t="str">
        <f ca="1"/>
        <v>NA</v>
      </c>
      <c r="AC32" s="42" t="str">
        <f ca="1"/>
        <v>Completed</v>
      </c>
      <c r="AD32" t="str">
        <f ca="1"/>
        <v>NA</v>
      </c>
      <c r="AE32">
        <f ca="1"/>
        <v>0</v>
      </c>
      <c r="AF32" t="str">
        <f ca="1"/>
        <v>NA</v>
      </c>
      <c r="AG32" s="42" t="str">
        <f ca="1"/>
        <v>Completed</v>
      </c>
      <c r="AH32" t="str">
        <f ca="1"/>
        <v>NA</v>
      </c>
      <c r="AI32" s="42" t="str">
        <f ca="1"/>
        <v>NA</v>
      </c>
      <c r="AJ32" t="str">
        <f ca="1"/>
        <v>NA</v>
      </c>
      <c r="AK32" s="42" t="str">
        <f ca="1"/>
        <v>NA</v>
      </c>
      <c r="AL32" t="str">
        <f ca="1"/>
        <v>NA</v>
      </c>
      <c r="AM32" s="42" t="str">
        <f ca="1"/>
        <v>NA</v>
      </c>
      <c r="AN32" t="str">
        <f ca="1"/>
        <v>NA</v>
      </c>
      <c r="AO32" s="42" t="str">
        <f ca="1"/>
        <v>NA</v>
      </c>
      <c r="AP32" t="str">
        <f ca="1"/>
        <v xml:space="preserve">NA </v>
      </c>
      <c r="AQ32" t="str">
        <f ca="1"/>
        <v xml:space="preserve">Near Shakti Tractor Agancy, Wajegaon bridge, nanded. </v>
      </c>
      <c r="AR32" t="str">
        <f ca="1"/>
        <v>Nanded</v>
      </c>
      <c r="AS32" s="42" t="str">
        <f ca="1"/>
        <v>Completed</v>
      </c>
      <c r="AT32" t="str">
        <f ca="1"/>
        <v>309/2016</v>
      </c>
      <c r="AU32" t="str">
        <f ca="1"/>
        <v>Nanded Rural Po. St.</v>
      </c>
      <c r="AV32" t="str">
        <f ca="1"/>
        <v>Nanded</v>
      </c>
      <c r="AW32" t="str">
        <f ca="1"/>
        <v>NA</v>
      </c>
      <c r="AX32" s="42" t="str">
        <f ca="1"/>
        <v>WIP</v>
      </c>
      <c r="AY32" t="str">
        <f ca="1"/>
        <v>NA</v>
      </c>
      <c r="AZ32">
        <f ca="1"/>
        <v>0</v>
      </c>
      <c r="BA32">
        <f ca="1"/>
        <v>0</v>
      </c>
      <c r="BB32" s="42" t="str">
        <f ca="1"/>
        <v>NA</v>
      </c>
      <c r="BC32">
        <f ca="1"/>
        <v>0</v>
      </c>
      <c r="BD32">
        <f ca="1"/>
        <v>0</v>
      </c>
      <c r="BE32" t="str">
        <f ca="1"/>
        <v>Claimant/ Insured/ Spot Pending for Driver and CS</v>
      </c>
    </row>
    <row r="33" spans="1:57">
      <c r="A33" s="42">
        <f ca="1"/>
        <v>32</v>
      </c>
      <c r="B33" s="42" t="str">
        <f ca="1"/>
        <v>CN069407</v>
      </c>
      <c r="C33" s="42" t="str">
        <f ca="1"/>
        <v>Generali Central Insurance Company Limited</v>
      </c>
      <c r="D33" s="42" t="str">
        <f ca="1"/>
        <v>MACT</v>
      </c>
      <c r="E33" s="42" t="str">
        <f ca="1"/>
        <v>F001-1032-SS-2025</v>
      </c>
      <c r="F33" s="310">
        <f ca="1"/>
        <v>45938</v>
      </c>
      <c r="G33" s="42" t="str">
        <f ca="1"/>
        <v>Oct-25</v>
      </c>
      <c r="H33" s="312">
        <f ca="1"/>
        <v>45986</v>
      </c>
      <c r="I33" s="42" t="str">
        <f ca="1"/>
        <v>Nov-25</v>
      </c>
      <c r="J33" s="310">
        <f ca="1"/>
        <v>45980</v>
      </c>
      <c r="K33" s="42">
        <f ca="1"/>
        <v>48</v>
      </c>
      <c r="L33" s="42" t="str">
        <f ca="1"/>
        <v>AT</v>
      </c>
      <c r="M33" s="42" t="str">
        <f ca="1"/>
        <v>Full Case</v>
      </c>
      <c r="N33" s="42" t="str">
        <f ca="1"/>
        <v>Dispatch</v>
      </c>
      <c r="O33" s="42" t="str">
        <f ca="1"/>
        <v>Completed</v>
      </c>
      <c r="P33">
        <f ca="1"/>
        <v>0</v>
      </c>
      <c r="Q33" t="str">
        <f ca="1"/>
        <v>Shubham Keshav Chavhan 7058119728</v>
      </c>
      <c r="R33" t="str">
        <f ca="1"/>
        <v>383, Ramnagar, Chinchwad, Pune.19. khopoli.</v>
      </c>
      <c r="S33" t="str">
        <f ca="1"/>
        <v>Raigad</v>
      </c>
      <c r="T33" s="314" t="str">
        <f ca="1"/>
        <v>Completed</v>
      </c>
      <c r="U33" t="str">
        <f ca="1"/>
        <v xml:space="preserve">Na </v>
      </c>
      <c r="V33">
        <f ca="1"/>
        <v>0</v>
      </c>
      <c r="W33">
        <f ca="1"/>
        <v>0</v>
      </c>
      <c r="X33" s="42" t="str">
        <f ca="1"/>
        <v>NA</v>
      </c>
      <c r="Y33" t="str">
        <f ca="1"/>
        <v>Bipin Ramesh Choube</v>
      </c>
      <c r="Z33" t="str">
        <f ca="1"/>
        <v>Rakamathi, Nagpur.</v>
      </c>
      <c r="AA33" t="str">
        <f ca="1"/>
        <v>Nagpur</v>
      </c>
      <c r="AB33" t="str">
        <f ca="1"/>
        <v>NA</v>
      </c>
      <c r="AC33" s="42" t="str">
        <f ca="1"/>
        <v>Completed</v>
      </c>
      <c r="AD33" t="str">
        <f ca="1"/>
        <v>NA</v>
      </c>
      <c r="AE33">
        <f ca="1"/>
        <v>0</v>
      </c>
      <c r="AF33" t="str">
        <f ca="1"/>
        <v>NA</v>
      </c>
      <c r="AG33" s="42" t="str">
        <f ca="1"/>
        <v>Completed</v>
      </c>
      <c r="AH33" t="str">
        <f ca="1"/>
        <v>Yes</v>
      </c>
      <c r="AI33" s="42" t="str">
        <f ca="1"/>
        <v>Completed</v>
      </c>
      <c r="AJ33" t="str">
        <f ca="1"/>
        <v>Yes</v>
      </c>
      <c r="AK33" s="42" t="str">
        <f ca="1"/>
        <v>Completed</v>
      </c>
      <c r="AL33" t="str">
        <f ca="1"/>
        <v>NA</v>
      </c>
      <c r="AM33" s="42" t="str">
        <f ca="1"/>
        <v>NA</v>
      </c>
      <c r="AN33" t="str">
        <f ca="1"/>
        <v>NA</v>
      </c>
      <c r="AO33" s="42" t="str">
        <f ca="1"/>
        <v>NA</v>
      </c>
      <c r="AP33" t="str">
        <f ca="1"/>
        <v xml:space="preserve">NA </v>
      </c>
      <c r="AQ33" t="str">
        <f ca="1"/>
        <v>In the shivar of Milthakurwadi village, Old Pune-Mumbai highway, Down the bridge Khalapur.</v>
      </c>
      <c r="AR33" t="str">
        <f ca="1"/>
        <v>Mumbai</v>
      </c>
      <c r="AS33" s="42" t="str">
        <f ca="1"/>
        <v>Completed</v>
      </c>
      <c r="AT33" t="str">
        <f ca="1"/>
        <v>150/2025</v>
      </c>
      <c r="AU33" t="str">
        <f ca="1"/>
        <v>Khopoli po. St.</v>
      </c>
      <c r="AV33" t="str">
        <f ca="1"/>
        <v>Raigad</v>
      </c>
      <c r="AW33" t="str">
        <f ca="1"/>
        <v>NA</v>
      </c>
      <c r="AX33" s="42" t="str">
        <f ca="1"/>
        <v>Completed</v>
      </c>
      <c r="AY33" t="str">
        <f ca="1"/>
        <v>NA</v>
      </c>
      <c r="AZ33">
        <f ca="1"/>
        <v>0</v>
      </c>
      <c r="BA33">
        <f ca="1"/>
        <v>0</v>
      </c>
      <c r="BB33" s="42" t="str">
        <f ca="1"/>
        <v>Completed</v>
      </c>
      <c r="BC33">
        <f ca="1"/>
        <v>45993</v>
      </c>
      <c r="BD33" t="str">
        <f ca="1"/>
        <v>Disptach</v>
      </c>
      <c r="BE33" t="str">
        <f ca="1"/>
        <v xml:space="preserve">Police Station vist and Spot done/ Insured Done Non cooprative / Claimant Part / CS - Pending for Claimant KYC </v>
      </c>
    </row>
    <row r="34" spans="1:57">
      <c r="A34" s="42">
        <f ca="1"/>
        <v>33</v>
      </c>
      <c r="B34" s="42" t="str">
        <f ca="1"/>
        <v>2025211134</v>
      </c>
      <c r="C34" s="42" t="str">
        <f ca="1"/>
        <v>Indusind General Insurance Co Ltd</v>
      </c>
      <c r="D34" s="42" t="str">
        <f ca="1"/>
        <v>MACT</v>
      </c>
      <c r="E34" s="42" t="str">
        <f ca="1"/>
        <v>R001-1033-SS-2025</v>
      </c>
      <c r="F34" s="310">
        <f ca="1"/>
        <v>45940</v>
      </c>
      <c r="G34" s="42" t="str">
        <f ca="1"/>
        <v>Oct-25</v>
      </c>
      <c r="H34" s="312" t="str">
        <f ca="1"/>
        <v>-</v>
      </c>
      <c r="I34" s="42">
        <f ca="1"/>
        <v>0</v>
      </c>
      <c r="J34" s="310">
        <f ca="1"/>
        <v>45982</v>
      </c>
      <c r="K34" s="42">
        <f ca="1"/>
        <v>87</v>
      </c>
      <c r="L34" s="42" t="str">
        <f ca="1"/>
        <v>AT</v>
      </c>
      <c r="M34" s="42" t="str">
        <f ca="1"/>
        <v>Full Case</v>
      </c>
      <c r="N34" s="42" t="str">
        <f ca="1"/>
        <v>Open</v>
      </c>
      <c r="O34" s="42" t="str">
        <f ca="1"/>
        <v>WIP</v>
      </c>
      <c r="P34">
        <f ca="1"/>
        <v>0</v>
      </c>
      <c r="Q34" t="str">
        <f ca="1"/>
        <v>Krishna Bhima Bhalbar 9130734143</v>
      </c>
      <c r="R34" t="str">
        <f ca="1"/>
        <v>R/O. Mungurwadi, Tal - Gadhinglaj, Dis - Kolhapur. 416503.</v>
      </c>
      <c r="S34" t="str">
        <f ca="1"/>
        <v>Kolapur</v>
      </c>
      <c r="T34" s="314" t="str">
        <f ca="1"/>
        <v>Completed</v>
      </c>
      <c r="U34" t="str">
        <f ca="1"/>
        <v xml:space="preserve">Na </v>
      </c>
      <c r="V34">
        <f ca="1"/>
        <v>0</v>
      </c>
      <c r="W34">
        <f ca="1"/>
        <v>0</v>
      </c>
      <c r="X34" s="42" t="str">
        <f ca="1"/>
        <v>NA</v>
      </c>
      <c r="Y34" t="str">
        <f ca="1"/>
        <v>Santosh Tukaram Tandale</v>
      </c>
      <c r="Z34" t="str">
        <f ca="1"/>
        <v>R/O. Koregaon, Massajog, Kaij, Beed. 431123.</v>
      </c>
      <c r="AA34" t="str">
        <f ca="1"/>
        <v>Beed</v>
      </c>
      <c r="AB34" t="str">
        <f ca="1"/>
        <v>NA</v>
      </c>
      <c r="AC34" s="42" t="str">
        <f ca="1"/>
        <v>Completed</v>
      </c>
      <c r="AD34" t="str">
        <f ca="1"/>
        <v>NA</v>
      </c>
      <c r="AE34">
        <f ca="1"/>
        <v>0</v>
      </c>
      <c r="AF34" t="str">
        <f ca="1"/>
        <v>NA</v>
      </c>
      <c r="AG34" s="42" t="str">
        <f ca="1"/>
        <v>WIP</v>
      </c>
      <c r="AH34" t="str">
        <f ca="1"/>
        <v>NA</v>
      </c>
      <c r="AI34" s="42" t="str">
        <f ca="1"/>
        <v>NA</v>
      </c>
      <c r="AJ34" t="str">
        <f ca="1"/>
        <v>NA</v>
      </c>
      <c r="AK34" s="42" t="str">
        <f ca="1"/>
        <v>NA</v>
      </c>
      <c r="AL34" t="str">
        <f ca="1"/>
        <v>NA</v>
      </c>
      <c r="AM34" s="42" t="str">
        <f ca="1"/>
        <v>NA</v>
      </c>
      <c r="AN34" t="str">
        <f ca="1"/>
        <v>NA</v>
      </c>
      <c r="AO34" s="42" t="str">
        <f ca="1"/>
        <v>NA</v>
      </c>
      <c r="AP34" t="str">
        <f ca="1"/>
        <v xml:space="preserve">NA </v>
      </c>
      <c r="AQ34" t="str">
        <f ca="1"/>
        <v>On Kadegaon Road, In frount of Warna Bank, Gadhinglaj, Kolhapur.</v>
      </c>
      <c r="AR34" t="str">
        <f ca="1"/>
        <v>Kolhapur</v>
      </c>
      <c r="AS34" s="42" t="str">
        <f ca="1"/>
        <v>Completed</v>
      </c>
      <c r="AT34" t="str">
        <f ca="1"/>
        <v>007/2024</v>
      </c>
      <c r="AU34" t="str">
        <f ca="1"/>
        <v>Gadhinglaj Po. St.</v>
      </c>
      <c r="AV34" t="str">
        <f ca="1"/>
        <v>Kolhapur</v>
      </c>
      <c r="AW34" t="str">
        <f ca="1"/>
        <v>NA</v>
      </c>
      <c r="AX34" s="42" t="str">
        <f ca="1"/>
        <v>Completed</v>
      </c>
      <c r="AY34" t="str">
        <f ca="1"/>
        <v>NA</v>
      </c>
      <c r="AZ34">
        <f ca="1"/>
        <v>0</v>
      </c>
      <c r="BA34">
        <f ca="1"/>
        <v>0</v>
      </c>
      <c r="BB34" s="42" t="str">
        <f ca="1"/>
        <v>NA</v>
      </c>
      <c r="BC34">
        <f ca="1"/>
        <v>0</v>
      </c>
      <c r="BD34">
        <f ca="1"/>
        <v>0</v>
      </c>
      <c r="BE34" t="str">
        <f ca="1"/>
        <v xml:space="preserve">CS /Insured Done Pending for Claimant Driver/ Spot </v>
      </c>
    </row>
    <row r="35" spans="1:57">
      <c r="A35" s="42">
        <f ca="1"/>
        <v>34</v>
      </c>
      <c r="B35" s="42" t="str">
        <f ca="1"/>
        <v>2025207292</v>
      </c>
      <c r="C35" s="42" t="str">
        <f ca="1"/>
        <v>Indusind General Insurance Co Ltd</v>
      </c>
      <c r="D35" s="42" t="str">
        <f ca="1"/>
        <v>MACT</v>
      </c>
      <c r="E35" s="42" t="str">
        <f ca="1"/>
        <v>R001-1034-SS-2025</v>
      </c>
      <c r="F35" s="310">
        <f ca="1"/>
        <v>45940</v>
      </c>
      <c r="G35" s="42" t="str">
        <f ca="1"/>
        <v>Oct-25</v>
      </c>
      <c r="H35" s="312" t="str">
        <f ca="1"/>
        <v>-</v>
      </c>
      <c r="I35" s="42">
        <f ca="1"/>
        <v>0</v>
      </c>
      <c r="J35" s="310">
        <f ca="1"/>
        <v>45961</v>
      </c>
      <c r="K35" s="42">
        <f ca="1"/>
        <v>87</v>
      </c>
      <c r="L35" s="42" t="str">
        <f ca="1"/>
        <v>AT</v>
      </c>
      <c r="M35" s="42" t="str">
        <f ca="1"/>
        <v>Partial Case</v>
      </c>
      <c r="N35" s="42" t="str">
        <f ca="1"/>
        <v>Open</v>
      </c>
      <c r="O35" s="42" t="str">
        <f ca="1"/>
        <v>Pending CS</v>
      </c>
      <c r="P35" t="str">
        <f ca="1"/>
        <v xml:space="preserve">
Required Complete chargesheet</v>
      </c>
      <c r="Q35" t="str">
        <f ca="1"/>
        <v>Durga Yogesh Totewad</v>
      </c>
      <c r="R35" t="str">
        <f ca="1"/>
        <v>NA</v>
      </c>
      <c r="S35" t="str">
        <f ca="1"/>
        <v>NA</v>
      </c>
      <c r="T35" s="314" t="str">
        <f ca="1"/>
        <v>NA</v>
      </c>
      <c r="U35" t="str">
        <f ca="1"/>
        <v xml:space="preserve">Na </v>
      </c>
      <c r="V35">
        <f ca="1"/>
        <v>0</v>
      </c>
      <c r="W35">
        <f ca="1"/>
        <v>0</v>
      </c>
      <c r="X35" s="42" t="str">
        <f ca="1"/>
        <v>NA</v>
      </c>
      <c r="Y35" t="str">
        <f ca="1"/>
        <v>NA</v>
      </c>
      <c r="Z35" t="str">
        <f ca="1"/>
        <v>NA</v>
      </c>
      <c r="AA35" t="str">
        <f ca="1"/>
        <v>NA</v>
      </c>
      <c r="AB35" t="str">
        <f ca="1"/>
        <v>NA</v>
      </c>
      <c r="AC35" s="42" t="str">
        <f ca="1"/>
        <v>NA</v>
      </c>
      <c r="AD35" t="str">
        <f ca="1"/>
        <v>NA</v>
      </c>
      <c r="AE35">
        <f ca="1"/>
        <v>0</v>
      </c>
      <c r="AF35" t="str">
        <f ca="1"/>
        <v>NA</v>
      </c>
      <c r="AG35" s="42" t="str">
        <f ca="1"/>
        <v>NA</v>
      </c>
      <c r="AH35" t="str">
        <f ca="1"/>
        <v>NA</v>
      </c>
      <c r="AI35" s="42" t="str">
        <f ca="1"/>
        <v>NA</v>
      </c>
      <c r="AJ35" t="str">
        <f ca="1"/>
        <v>NA</v>
      </c>
      <c r="AK35" s="42" t="str">
        <f ca="1"/>
        <v>NA</v>
      </c>
      <c r="AL35" t="str">
        <f ca="1"/>
        <v>NA</v>
      </c>
      <c r="AM35" s="42" t="str">
        <f ca="1"/>
        <v>NA</v>
      </c>
      <c r="AN35" t="str">
        <f ca="1"/>
        <v>NA</v>
      </c>
      <c r="AO35" s="42" t="str">
        <f ca="1"/>
        <v>NA</v>
      </c>
      <c r="AP35" t="str">
        <f ca="1"/>
        <v xml:space="preserve">NA </v>
      </c>
      <c r="AQ35" t="str">
        <f ca="1"/>
        <v>From Shankar Nagar towards Mukhed, Nr, Mahalali waterservicing, in Berali shivar, Mukhed, Nanded.</v>
      </c>
      <c r="AR35" t="str">
        <f ca="1"/>
        <v>Nanded</v>
      </c>
      <c r="AS35" s="42" t="str">
        <f ca="1"/>
        <v>NA</v>
      </c>
      <c r="AT35" t="str">
        <f ca="1"/>
        <v>33/2025</v>
      </c>
      <c r="AU35" t="str">
        <f ca="1"/>
        <v>MUkhed Po. ST.</v>
      </c>
      <c r="AV35" t="str">
        <f ca="1"/>
        <v>Nanded</v>
      </c>
      <c r="AW35" t="str">
        <f ca="1"/>
        <v>NA</v>
      </c>
      <c r="AX35" s="42" t="str">
        <f ca="1"/>
        <v>WIP</v>
      </c>
      <c r="AY35" t="str">
        <f ca="1"/>
        <v>NA</v>
      </c>
      <c r="AZ35">
        <f ca="1"/>
        <v>0</v>
      </c>
      <c r="BA35">
        <f ca="1"/>
        <v>0</v>
      </c>
      <c r="BB35" s="42" t="str">
        <f ca="1"/>
        <v>NA</v>
      </c>
      <c r="BC35">
        <f ca="1"/>
        <v>0</v>
      </c>
      <c r="BD35">
        <f ca="1"/>
        <v>0</v>
      </c>
      <c r="BE35" t="str">
        <f ca="1"/>
        <v xml:space="preserve">Pending for CS </v>
      </c>
    </row>
    <row r="36" spans="1:57">
      <c r="A36" s="42">
        <f ca="1"/>
        <v>35</v>
      </c>
      <c r="B36" s="42" t="str">
        <f ca="1"/>
        <v>2025211462</v>
      </c>
      <c r="C36" s="42" t="str">
        <f ca="1"/>
        <v>Indusind General Insurance Co Ltd</v>
      </c>
      <c r="D36" s="42" t="str">
        <f ca="1"/>
        <v>MACT</v>
      </c>
      <c r="E36" s="42" t="str">
        <f ca="1"/>
        <v>R001-1035-SS-2025</v>
      </c>
      <c r="F36" s="310">
        <f ca="1"/>
        <v>45944</v>
      </c>
      <c r="G36" s="42" t="str">
        <f ca="1"/>
        <v>Oct-25</v>
      </c>
      <c r="H36" s="312" t="str">
        <f ca="1"/>
        <v>-</v>
      </c>
      <c r="I36" s="42">
        <f ca="1"/>
        <v>0</v>
      </c>
      <c r="J36" s="310">
        <f ca="1"/>
        <v>45986</v>
      </c>
      <c r="K36" s="42">
        <f ca="1"/>
        <v>83</v>
      </c>
      <c r="L36" s="42" t="str">
        <f ca="1"/>
        <v>AT</v>
      </c>
      <c r="M36" s="42" t="str">
        <f ca="1"/>
        <v>Full Case</v>
      </c>
      <c r="N36" s="42" t="str">
        <f ca="1"/>
        <v>QC</v>
      </c>
      <c r="O36" s="42" t="str">
        <f ca="1"/>
        <v>QC</v>
      </c>
      <c r="P36">
        <f ca="1"/>
        <v>0</v>
      </c>
      <c r="Q36" t="str">
        <f ca="1"/>
        <v>Gajanan Bapurao Janakwade 9511894731</v>
      </c>
      <c r="R36" t="str">
        <f ca="1"/>
        <v>Vishranti Chowk, Jai-Bhavani Nagar, Mukundwadi Railway Station, Lane No. 09, Sambhajinagar.</v>
      </c>
      <c r="S36" t="str">
        <f ca="1"/>
        <v>Sambhaji Nagar</v>
      </c>
      <c r="T36" s="314" t="str">
        <f ca="1"/>
        <v>Completed</v>
      </c>
      <c r="U36" t="str">
        <f ca="1"/>
        <v xml:space="preserve">Na </v>
      </c>
      <c r="V36">
        <f ca="1"/>
        <v>0</v>
      </c>
      <c r="W36">
        <f ca="1"/>
        <v>0</v>
      </c>
      <c r="X36" s="42" t="str">
        <f ca="1"/>
        <v>NA</v>
      </c>
      <c r="Y36" t="str">
        <f ca="1"/>
        <v>Santosh Sampat Mhaske</v>
      </c>
      <c r="Z36" t="str">
        <f ca="1"/>
        <v>House No. 116, Tadhegaon, Dusrbid, Sindhkhedraja, Buldhana.</v>
      </c>
      <c r="AA36" t="str">
        <f ca="1"/>
        <v>Buldhana</v>
      </c>
      <c r="AB36" t="str">
        <f ca="1"/>
        <v>NA</v>
      </c>
      <c r="AC36" s="42" t="str">
        <f ca="1"/>
        <v>Completed</v>
      </c>
      <c r="AD36" t="str">
        <f ca="1"/>
        <v>Dharamraj Namdev Gawai</v>
      </c>
      <c r="AE36">
        <f ca="1"/>
        <v>0</v>
      </c>
      <c r="AF36" t="str">
        <f ca="1"/>
        <v>Prashant Jeurkar</v>
      </c>
      <c r="AG36" s="42" t="str">
        <f ca="1"/>
        <v>NA</v>
      </c>
      <c r="AH36" t="str">
        <f ca="1"/>
        <v>NA</v>
      </c>
      <c r="AI36" s="42" t="str">
        <f ca="1"/>
        <v>NA</v>
      </c>
      <c r="AJ36" t="str">
        <f ca="1"/>
        <v>NA</v>
      </c>
      <c r="AK36" s="42" t="str">
        <f ca="1"/>
        <v>NA</v>
      </c>
      <c r="AL36" t="str">
        <f ca="1"/>
        <v>NA</v>
      </c>
      <c r="AM36" s="42" t="str">
        <f ca="1"/>
        <v>NA</v>
      </c>
      <c r="AN36" t="str">
        <f ca="1"/>
        <v>NA</v>
      </c>
      <c r="AO36" s="42" t="str">
        <f ca="1"/>
        <v>NA</v>
      </c>
      <c r="AP36" t="str">
        <f ca="1"/>
        <v xml:space="preserve">NA </v>
      </c>
      <c r="AQ36" t="str">
        <f ca="1"/>
        <v>On Mill Corner to Baba petrol pump road, Infront of central Bus stand, Sambhajinagar.</v>
      </c>
      <c r="AR36" t="str">
        <f ca="1"/>
        <v>Sambhajinagar</v>
      </c>
      <c r="AS36" s="42" t="str">
        <f ca="1"/>
        <v>Completed</v>
      </c>
      <c r="AT36" t="str">
        <f ca="1"/>
        <v>184/2024</v>
      </c>
      <c r="AU36" t="str">
        <f ca="1"/>
        <v>Kranti Chwok Po. St.</v>
      </c>
      <c r="AV36" t="str">
        <f ca="1"/>
        <v>Sambhajinagar</v>
      </c>
      <c r="AW36" t="str">
        <f ca="1"/>
        <v>NA</v>
      </c>
      <c r="AX36" s="42" t="str">
        <f ca="1"/>
        <v>WIP</v>
      </c>
      <c r="AY36" t="str">
        <f ca="1"/>
        <v>NA</v>
      </c>
      <c r="AZ36">
        <f ca="1"/>
        <v>0</v>
      </c>
      <c r="BA36">
        <f ca="1"/>
        <v>0</v>
      </c>
      <c r="BB36" s="42" t="str">
        <f ca="1"/>
        <v>NA</v>
      </c>
      <c r="BC36">
        <f ca="1"/>
        <v>0</v>
      </c>
      <c r="BD36">
        <f ca="1"/>
        <v>0</v>
      </c>
      <c r="BE36" t="str">
        <f ca="1"/>
        <v>Claimant/ SPot Pending for Driver, Insured and CS</v>
      </c>
    </row>
    <row r="37" spans="1:57">
      <c r="A37" s="42">
        <f ca="1"/>
        <v>36</v>
      </c>
      <c r="B37" s="42" t="str">
        <f ca="1"/>
        <v>2025211458</v>
      </c>
      <c r="C37" s="42" t="str">
        <f ca="1"/>
        <v>Indusind General Insurance Co Ltd</v>
      </c>
      <c r="D37" s="42" t="str">
        <f ca="1"/>
        <v>MACT</v>
      </c>
      <c r="E37" s="42" t="str">
        <f ca="1"/>
        <v>R001-1036-SS-2025</v>
      </c>
      <c r="F37" s="310">
        <f ca="1"/>
        <v>45944</v>
      </c>
      <c r="G37" s="42" t="str">
        <f ca="1"/>
        <v>Oct-25</v>
      </c>
      <c r="H37" s="312" t="str">
        <f ca="1"/>
        <v>-</v>
      </c>
      <c r="I37" s="42">
        <f ca="1"/>
        <v>0</v>
      </c>
      <c r="J37" s="310">
        <f ca="1"/>
        <v>45986</v>
      </c>
      <c r="K37" s="42">
        <f ca="1"/>
        <v>83</v>
      </c>
      <c r="L37" s="42" t="str">
        <f ca="1"/>
        <v>AT</v>
      </c>
      <c r="M37" s="42" t="str">
        <f ca="1"/>
        <v>Full Case</v>
      </c>
      <c r="N37" s="42" t="str">
        <f ca="1"/>
        <v>Open</v>
      </c>
      <c r="O37" s="42" t="str">
        <f ca="1"/>
        <v>Pending CS</v>
      </c>
      <c r="P37">
        <f ca="1"/>
        <v>0</v>
      </c>
      <c r="Q37" t="str">
        <f ca="1"/>
        <v>Sandita Tukaram Hud 9022498025</v>
      </c>
      <c r="R37" t="str">
        <f ca="1"/>
        <v>Padali, Paithan, Sambhajinagar.</v>
      </c>
      <c r="S37" t="str">
        <f ca="1"/>
        <v>Sambhaji Nagar</v>
      </c>
      <c r="T37" s="314" t="str">
        <f ca="1"/>
        <v>Completed</v>
      </c>
      <c r="U37" t="str">
        <f ca="1"/>
        <v xml:space="preserve">Na </v>
      </c>
      <c r="V37">
        <f ca="1"/>
        <v>0</v>
      </c>
      <c r="W37">
        <f ca="1"/>
        <v>0</v>
      </c>
      <c r="X37" s="42" t="str">
        <f ca="1"/>
        <v>NA</v>
      </c>
      <c r="Y37" t="str">
        <f ca="1"/>
        <v>Shrinivas Narsing Pal 7777072902</v>
      </c>
      <c r="Z37" t="str">
        <f ca="1"/>
        <v>Near Sudhagad Highschool, Kopara, kharghar, Panvel.</v>
      </c>
      <c r="AA37" t="str">
        <f ca="1"/>
        <v>Navi Mumbai</v>
      </c>
      <c r="AB37" t="str">
        <f ca="1"/>
        <v>NA</v>
      </c>
      <c r="AC37" s="42" t="str">
        <f ca="1"/>
        <v>Completed</v>
      </c>
      <c r="AD37" t="str">
        <f ca="1"/>
        <v>NA</v>
      </c>
      <c r="AE37">
        <f ca="1"/>
        <v>0</v>
      </c>
      <c r="AF37" t="str">
        <f ca="1"/>
        <v>Amit Dalvi</v>
      </c>
      <c r="AG37" s="42" t="str">
        <f ca="1"/>
        <v>Completed</v>
      </c>
      <c r="AH37" t="str">
        <f ca="1"/>
        <v>NA</v>
      </c>
      <c r="AI37" s="42" t="str">
        <f ca="1"/>
        <v>NA</v>
      </c>
      <c r="AJ37" t="str">
        <f ca="1"/>
        <v>NA</v>
      </c>
      <c r="AK37" s="42" t="str">
        <f ca="1"/>
        <v>NA</v>
      </c>
      <c r="AL37" t="str">
        <f ca="1"/>
        <v>NA</v>
      </c>
      <c r="AM37" s="42" t="str">
        <f ca="1"/>
        <v>NA</v>
      </c>
      <c r="AN37" t="str">
        <f ca="1"/>
        <v>NA</v>
      </c>
      <c r="AO37" s="42" t="str">
        <f ca="1"/>
        <v>NA</v>
      </c>
      <c r="AP37" t="str">
        <f ca="1"/>
        <v xml:space="preserve">NA </v>
      </c>
      <c r="AQ37" t="str">
        <f ca="1"/>
        <v>Near RJ feed company, In front of Shinde vasti, Bidkin to Shekta road, Bidkin, Paithan, Sambhajinagar.</v>
      </c>
      <c r="AR37" t="str">
        <f ca="1"/>
        <v>Sambhajinagar</v>
      </c>
      <c r="AS37" s="42" t="str">
        <f ca="1"/>
        <v>Completed</v>
      </c>
      <c r="AT37" t="str">
        <f ca="1"/>
        <v>277/2024</v>
      </c>
      <c r="AU37" t="str">
        <f ca="1"/>
        <v>Bidkin Po. St.</v>
      </c>
      <c r="AV37" t="str">
        <f ca="1"/>
        <v>Sambhajinagar</v>
      </c>
      <c r="AW37" t="str">
        <f ca="1"/>
        <v>NA</v>
      </c>
      <c r="AX37" s="42" t="str">
        <f ca="1"/>
        <v>WIP</v>
      </c>
      <c r="AY37" t="str">
        <f ca="1"/>
        <v>NA</v>
      </c>
      <c r="AZ37">
        <f ca="1"/>
        <v>0</v>
      </c>
      <c r="BA37">
        <f ca="1"/>
        <v>0</v>
      </c>
      <c r="BB37" s="42" t="str">
        <f ca="1"/>
        <v>NA</v>
      </c>
      <c r="BC37">
        <f ca="1"/>
        <v>0</v>
      </c>
      <c r="BD37">
        <f ca="1"/>
        <v>0</v>
      </c>
      <c r="BE37" t="str">
        <f ca="1"/>
        <v>Spot/ Claimant/ Insured and Driver Pending for CS</v>
      </c>
    </row>
    <row r="38" spans="1:57">
      <c r="A38" s="42">
        <f ca="1"/>
        <v>37</v>
      </c>
      <c r="B38" s="42" t="str">
        <f ca="1"/>
        <v>2025211454</v>
      </c>
      <c r="C38" s="42" t="str">
        <f ca="1"/>
        <v>Indusind General Insurance Co Ltd</v>
      </c>
      <c r="D38" s="42" t="str">
        <f ca="1"/>
        <v>MACT</v>
      </c>
      <c r="E38" s="42" t="str">
        <f ca="1"/>
        <v>R001-1037-SS-2025</v>
      </c>
      <c r="F38" s="310">
        <f ca="1"/>
        <v>45944</v>
      </c>
      <c r="G38" s="42" t="str">
        <f ca="1"/>
        <v>Oct-25</v>
      </c>
      <c r="H38" s="312" t="str">
        <f ca="1"/>
        <v>-</v>
      </c>
      <c r="I38" s="42">
        <f ca="1"/>
        <v>0</v>
      </c>
      <c r="J38" s="310">
        <f ca="1"/>
        <v>45986</v>
      </c>
      <c r="K38" s="42">
        <f ca="1"/>
        <v>83</v>
      </c>
      <c r="L38" s="42" t="str">
        <f ca="1"/>
        <v>AT</v>
      </c>
      <c r="M38" s="42" t="str">
        <f ca="1"/>
        <v>Full Case</v>
      </c>
      <c r="N38" s="42" t="str">
        <f ca="1"/>
        <v>Open</v>
      </c>
      <c r="O38" s="42" t="str">
        <f ca="1"/>
        <v>WIP</v>
      </c>
      <c r="P38">
        <f ca="1"/>
        <v>0</v>
      </c>
      <c r="Q38" t="str">
        <f ca="1"/>
        <v>Balkrishna Punjaram Jadhav 77385358585</v>
      </c>
      <c r="R38" t="str">
        <f ca="1"/>
        <v>Plot No. 03, Maroti Nagar, Mayur Park, Harsul, Sambhajinagar.</v>
      </c>
      <c r="S38" t="str">
        <f ca="1"/>
        <v>Sambhaji Nagar</v>
      </c>
      <c r="T38" s="314" t="str">
        <f ca="1"/>
        <v>Completed</v>
      </c>
      <c r="U38" t="str">
        <f ca="1"/>
        <v xml:space="preserve">Na </v>
      </c>
      <c r="V38">
        <f ca="1"/>
        <v>0</v>
      </c>
      <c r="W38">
        <f ca="1"/>
        <v>0</v>
      </c>
      <c r="X38" s="42" t="str">
        <f ca="1"/>
        <v>NA</v>
      </c>
      <c r="Y38" t="str">
        <f ca="1"/>
        <v xml:space="preserve">Aksha Ramesh Pawar </v>
      </c>
      <c r="Z38" t="str">
        <f ca="1"/>
        <v>Umarkheda, Kannad, Sambhajinagar.</v>
      </c>
      <c r="AA38" t="str">
        <f ca="1"/>
        <v>Sambhaji Nagar</v>
      </c>
      <c r="AB38" t="str">
        <f ca="1"/>
        <v>NA</v>
      </c>
      <c r="AC38" s="42" t="str">
        <f ca="1"/>
        <v>Completed</v>
      </c>
      <c r="AD38" t="str">
        <f ca="1"/>
        <v>Sachin Santosh Awasarmol</v>
      </c>
      <c r="AE38">
        <f ca="1"/>
        <v>0</v>
      </c>
      <c r="AF38" t="str">
        <f ca="1"/>
        <v>Prashant Jeurkar</v>
      </c>
      <c r="AG38" s="42" t="str">
        <f ca="1"/>
        <v>WIP</v>
      </c>
      <c r="AH38" t="str">
        <f ca="1"/>
        <v>NA</v>
      </c>
      <c r="AI38" s="42" t="str">
        <f ca="1"/>
        <v>NA</v>
      </c>
      <c r="AJ38" t="str">
        <f ca="1"/>
        <v>NA</v>
      </c>
      <c r="AK38" s="42" t="str">
        <f ca="1"/>
        <v>NA</v>
      </c>
      <c r="AL38" t="str">
        <f ca="1"/>
        <v>NA</v>
      </c>
      <c r="AM38" s="42" t="str">
        <f ca="1"/>
        <v>NA</v>
      </c>
      <c r="AN38" t="str">
        <f ca="1"/>
        <v>NA</v>
      </c>
      <c r="AO38" s="42" t="str">
        <f ca="1"/>
        <v>NA</v>
      </c>
      <c r="AP38" t="str">
        <f ca="1"/>
        <v xml:space="preserve">NA </v>
      </c>
      <c r="AQ38" t="str">
        <f ca="1"/>
        <v>On Sambhajinagar to Fhulambri road, Opp Sai Engineering colledge, Chauka Village, Sambahjinagar.</v>
      </c>
      <c r="AR38" t="str">
        <f ca="1"/>
        <v>Sambhajinagar</v>
      </c>
      <c r="AS38" s="42" t="str">
        <f ca="1"/>
        <v>Completed</v>
      </c>
      <c r="AT38" t="str">
        <f ca="1"/>
        <v>52/2024</v>
      </c>
      <c r="AU38" t="str">
        <f ca="1"/>
        <v>Phulambri Po. St.</v>
      </c>
      <c r="AV38" t="str">
        <f ca="1"/>
        <v>Sambhajinagar</v>
      </c>
      <c r="AW38" t="str">
        <f ca="1"/>
        <v>NA</v>
      </c>
      <c r="AX38" s="42" t="str">
        <f ca="1"/>
        <v>WIP</v>
      </c>
      <c r="AY38" t="str">
        <f ca="1"/>
        <v>NA</v>
      </c>
      <c r="AZ38">
        <f ca="1"/>
        <v>0</v>
      </c>
      <c r="BA38">
        <f ca="1"/>
        <v>0</v>
      </c>
      <c r="BB38" s="42" t="str">
        <f ca="1"/>
        <v>NA</v>
      </c>
      <c r="BC38">
        <f ca="1"/>
        <v>0</v>
      </c>
      <c r="BD38">
        <f ca="1"/>
        <v>0</v>
      </c>
      <c r="BE38" t="str">
        <f ca="1"/>
        <v>Claimant/ SPot Pending for Driver, Insured and CS</v>
      </c>
    </row>
    <row r="39" spans="1:57">
      <c r="A39" s="42">
        <f ca="1"/>
        <v>38</v>
      </c>
      <c r="B39" s="42" t="str">
        <f ca="1"/>
        <v>2025211475</v>
      </c>
      <c r="C39" s="42" t="str">
        <f ca="1"/>
        <v>Indusind General Insurance Co Ltd</v>
      </c>
      <c r="D39" s="42" t="str">
        <f ca="1"/>
        <v>MACT</v>
      </c>
      <c r="E39" s="42" t="str">
        <f ca="1"/>
        <v>R001-1038-SS-2025</v>
      </c>
      <c r="F39" s="310">
        <f ca="1"/>
        <v>45946</v>
      </c>
      <c r="G39" s="42" t="str">
        <f ca="1"/>
        <v>Oct-25</v>
      </c>
      <c r="H39" s="312" t="str">
        <f ca="1"/>
        <v>-</v>
      </c>
      <c r="I39" s="42">
        <f ca="1"/>
        <v>0</v>
      </c>
      <c r="J39" s="310">
        <f ca="1"/>
        <v>45988</v>
      </c>
      <c r="K39" s="42">
        <f ca="1"/>
        <v>81</v>
      </c>
      <c r="L39" s="42" t="str">
        <f ca="1"/>
        <v>AT</v>
      </c>
      <c r="M39" s="42" t="str">
        <f ca="1"/>
        <v>Full Case</v>
      </c>
      <c r="N39" s="42" t="str">
        <f ca="1"/>
        <v>Open</v>
      </c>
      <c r="O39" s="42" t="str">
        <f ca="1"/>
        <v>WIP</v>
      </c>
      <c r="P39">
        <f ca="1"/>
        <v>0</v>
      </c>
      <c r="Q39" t="str">
        <f ca="1"/>
        <v>Rohit  Ramchandra Giri</v>
      </c>
      <c r="R39" t="str">
        <f ca="1"/>
        <v xml:space="preserve"> R/o. Ekondi Tq. Lohara Dist. Dharashiv</v>
      </c>
      <c r="S39" t="str">
        <f ca="1"/>
        <v>Dharashiv</v>
      </c>
      <c r="T39" s="314" t="str">
        <f ca="1"/>
        <v>Completed</v>
      </c>
      <c r="U39" t="str">
        <f ca="1"/>
        <v xml:space="preserve">Na </v>
      </c>
      <c r="V39">
        <f ca="1"/>
        <v>0</v>
      </c>
      <c r="W39">
        <f ca="1"/>
        <v>0</v>
      </c>
      <c r="X39" s="42" t="str">
        <f ca="1"/>
        <v>NA</v>
      </c>
      <c r="Y39" t="str">
        <f ca="1"/>
        <v>Lalaji Manikrao Dhonde @ Dhande</v>
      </c>
      <c r="Z39" t="str">
        <f ca="1"/>
        <v xml:space="preserve"> R/o. Shelu Tq. Ausa Dist. Latur</v>
      </c>
      <c r="AA39" t="str">
        <f ca="1"/>
        <v>Latur</v>
      </c>
      <c r="AB39" t="str">
        <f ca="1"/>
        <v>NA</v>
      </c>
      <c r="AC39" s="42" t="str">
        <f ca="1"/>
        <v>Completed</v>
      </c>
      <c r="AD39" t="str">
        <f ca="1"/>
        <v xml:space="preserve">NA </v>
      </c>
      <c r="AE39">
        <f ca="1"/>
        <v>0</v>
      </c>
      <c r="AF39" t="str">
        <f ca="1"/>
        <v>NA</v>
      </c>
      <c r="AG39" s="42" t="str">
        <f ca="1"/>
        <v>WIP</v>
      </c>
      <c r="AH39" t="str">
        <f ca="1"/>
        <v>NA</v>
      </c>
      <c r="AI39" s="42" t="str">
        <f ca="1"/>
        <v>NA</v>
      </c>
      <c r="AJ39" t="str">
        <f ca="1"/>
        <v>NA</v>
      </c>
      <c r="AK39" s="42" t="str">
        <f ca="1"/>
        <v>NA</v>
      </c>
      <c r="AL39" t="str">
        <f ca="1"/>
        <v>NA</v>
      </c>
      <c r="AM39" s="42" t="str">
        <f ca="1"/>
        <v>NA</v>
      </c>
      <c r="AN39" t="str">
        <f ca="1"/>
        <v>NA</v>
      </c>
      <c r="AO39" s="42" t="str">
        <f ca="1"/>
        <v>NA</v>
      </c>
      <c r="AP39" t="str">
        <f ca="1"/>
        <v xml:space="preserve">NA </v>
      </c>
      <c r="AQ39" t="str">
        <f ca="1"/>
        <v xml:space="preserve"> on Latur to Omerga road infront of Sandhya Bar in village Narangwadi</v>
      </c>
      <c r="AR39" t="str">
        <f ca="1"/>
        <v>Dharashiv</v>
      </c>
      <c r="AS39" s="42" t="str">
        <f ca="1"/>
        <v>WIP</v>
      </c>
      <c r="AT39" t="str">
        <f ca="1"/>
        <v>398/2025</v>
      </c>
      <c r="AU39" t="str">
        <f ca="1"/>
        <v>Omerga po.st</v>
      </c>
      <c r="AV39" t="str">
        <f ca="1"/>
        <v>Dharashiv</v>
      </c>
      <c r="AW39" t="str">
        <f ca="1"/>
        <v>NA</v>
      </c>
      <c r="AX39" s="42" t="str">
        <f ca="1"/>
        <v>WIP</v>
      </c>
      <c r="AY39" t="str">
        <f ca="1"/>
        <v>NA</v>
      </c>
      <c r="AZ39">
        <f ca="1"/>
        <v>0</v>
      </c>
      <c r="BA39">
        <f ca="1"/>
        <v>0</v>
      </c>
      <c r="BB39" s="42" t="str">
        <f ca="1"/>
        <v>NA</v>
      </c>
      <c r="BC39">
        <f ca="1"/>
        <v>0</v>
      </c>
      <c r="BD39">
        <f ca="1"/>
        <v>0</v>
      </c>
      <c r="BE39" t="str">
        <f ca="1"/>
        <v xml:space="preserve">Claimant / Insured  Pending for Driver/ Spot and CS </v>
      </c>
    </row>
    <row r="40" spans="1:57">
      <c r="A40" s="42">
        <f ca="1"/>
        <v>39</v>
      </c>
      <c r="B40" s="42" t="str">
        <f ca="1"/>
        <v>2025211478</v>
      </c>
      <c r="C40" s="42" t="str">
        <f ca="1"/>
        <v>Indusind General Insurance Co Ltd</v>
      </c>
      <c r="D40" s="42" t="str">
        <f ca="1"/>
        <v>MACT</v>
      </c>
      <c r="E40" s="42" t="str">
        <f ca="1"/>
        <v>R001-1039-SS-2025</v>
      </c>
      <c r="F40" s="310">
        <f ca="1"/>
        <v>45946</v>
      </c>
      <c r="G40" s="42" t="str">
        <f ca="1"/>
        <v>Oct-25</v>
      </c>
      <c r="H40" s="312" t="str">
        <f ca="1"/>
        <v>-</v>
      </c>
      <c r="I40" s="42">
        <f ca="1"/>
        <v>0</v>
      </c>
      <c r="J40" s="310">
        <f ca="1"/>
        <v>45988</v>
      </c>
      <c r="K40" s="42">
        <f ca="1"/>
        <v>81</v>
      </c>
      <c r="L40" s="42" t="str">
        <f ca="1"/>
        <v>AT</v>
      </c>
      <c r="M40" s="42" t="str">
        <f ca="1"/>
        <v>Full Case</v>
      </c>
      <c r="N40" s="42">
        <f ca="1"/>
        <v>0</v>
      </c>
      <c r="O40" s="42" t="str">
        <f ca="1"/>
        <v>Pending CS</v>
      </c>
      <c r="P40">
        <f ca="1"/>
        <v>0</v>
      </c>
      <c r="Q40" t="str">
        <f ca="1"/>
        <v>Ashmira Tazmeen Shaikh Khaled</v>
      </c>
      <c r="R40" t="str">
        <f ca="1"/>
        <v>Both at present - Sharda Nagar, Degloor, Tq.- Degloor, Dist.- Nanded.</v>
      </c>
      <c r="S40" t="str">
        <f ca="1"/>
        <v>Nanded</v>
      </c>
      <c r="T40" s="314" t="str">
        <f ca="1"/>
        <v>Completed</v>
      </c>
      <c r="U40" t="str">
        <f ca="1"/>
        <v xml:space="preserve">Na </v>
      </c>
      <c r="V40">
        <f ca="1"/>
        <v>0</v>
      </c>
      <c r="W40">
        <f ca="1"/>
        <v>0</v>
      </c>
      <c r="X40" s="42" t="str">
        <f ca="1"/>
        <v>NA</v>
      </c>
      <c r="Y40" t="str">
        <f ca="1"/>
        <v xml:space="preserve">Ajay Satyanarayan Totawar </v>
      </c>
      <c r="Z40" t="str">
        <f ca="1"/>
        <v>R/o:- Shivneri nager, Rampur road, Degloor, Tq.- Degloor, Dist.-Nanded.</v>
      </c>
      <c r="AA40" t="str">
        <f ca="1"/>
        <v>Nanded</v>
      </c>
      <c r="AB40" t="str">
        <f ca="1"/>
        <v>NA</v>
      </c>
      <c r="AC40" s="42" t="str">
        <f ca="1"/>
        <v>Completed</v>
      </c>
      <c r="AD40" t="str">
        <f ca="1"/>
        <v xml:space="preserve">NA </v>
      </c>
      <c r="AE40">
        <f ca="1"/>
        <v>0</v>
      </c>
      <c r="AF40" t="str">
        <f ca="1"/>
        <v>NA</v>
      </c>
      <c r="AG40" s="42" t="str">
        <f ca="1"/>
        <v>Completed</v>
      </c>
      <c r="AH40" t="str">
        <f ca="1"/>
        <v>NA</v>
      </c>
      <c r="AI40" s="42" t="str">
        <f ca="1"/>
        <v>NA</v>
      </c>
      <c r="AJ40" t="str">
        <f ca="1"/>
        <v>NA</v>
      </c>
      <c r="AK40" s="42" t="str">
        <f ca="1"/>
        <v>NA</v>
      </c>
      <c r="AL40" t="str">
        <f ca="1"/>
        <v>NA</v>
      </c>
      <c r="AM40" s="42" t="str">
        <f ca="1"/>
        <v>NA</v>
      </c>
      <c r="AN40" t="str">
        <f ca="1"/>
        <v>NA</v>
      </c>
      <c r="AO40" s="42" t="str">
        <f ca="1"/>
        <v>NA</v>
      </c>
      <c r="AP40" t="str">
        <f ca="1"/>
        <v xml:space="preserve">NA </v>
      </c>
      <c r="AQ40" t="str">
        <f ca="1"/>
        <v xml:space="preserve">On Nanded, deglur , Maharashtra </v>
      </c>
      <c r="AR40" t="str">
        <f ca="1"/>
        <v>Nanded</v>
      </c>
      <c r="AS40" s="42" t="str">
        <f ca="1"/>
        <v>Completed</v>
      </c>
      <c r="AT40" t="str">
        <f ca="1"/>
        <v>0153/2025</v>
      </c>
      <c r="AU40" t="str">
        <f ca="1"/>
        <v>Deglur PS</v>
      </c>
      <c r="AV40" t="str">
        <f ca="1"/>
        <v>Nanded</v>
      </c>
      <c r="AW40" t="str">
        <f ca="1"/>
        <v>NA</v>
      </c>
      <c r="AX40" s="42" t="str">
        <f ca="1"/>
        <v>WIP</v>
      </c>
      <c r="AY40" t="str">
        <f ca="1"/>
        <v>NA</v>
      </c>
      <c r="AZ40">
        <f ca="1"/>
        <v>0</v>
      </c>
      <c r="BA40">
        <f ca="1"/>
        <v>0</v>
      </c>
      <c r="BB40" s="42" t="str">
        <f ca="1"/>
        <v>NA</v>
      </c>
      <c r="BC40">
        <f ca="1"/>
        <v>0</v>
      </c>
      <c r="BD40">
        <f ca="1"/>
        <v>0</v>
      </c>
      <c r="BE40" t="str">
        <f ca="1"/>
        <v>Claimant / Insured/ Spot Driver Out of station Pending for CS</v>
      </c>
    </row>
    <row r="41" spans="1:57">
      <c r="A41" s="42">
        <f ca="1"/>
        <v>40</v>
      </c>
      <c r="B41" s="42" t="str">
        <f ca="1"/>
        <v>2025210709</v>
      </c>
      <c r="C41" s="42" t="str">
        <f ca="1"/>
        <v>Indusind General Insurance Co Ltd</v>
      </c>
      <c r="D41" s="42" t="str">
        <f ca="1"/>
        <v>MACT</v>
      </c>
      <c r="E41" s="42" t="str">
        <f ca="1"/>
        <v>R001-1040-SS-2025</v>
      </c>
      <c r="F41" s="310">
        <f ca="1"/>
        <v>45946</v>
      </c>
      <c r="G41" s="42" t="str">
        <f ca="1"/>
        <v>Oct-25</v>
      </c>
      <c r="H41" s="312">
        <f ca="1"/>
        <v>46011</v>
      </c>
      <c r="I41" s="42" t="str">
        <f ca="1"/>
        <v>Dec-25</v>
      </c>
      <c r="J41" s="310">
        <f ca="1"/>
        <v>45988</v>
      </c>
      <c r="K41" s="42">
        <f ca="1"/>
        <v>65</v>
      </c>
      <c r="L41" s="42" t="str">
        <f ca="1"/>
        <v>AT</v>
      </c>
      <c r="M41" s="42" t="str">
        <f ca="1"/>
        <v>Full Case</v>
      </c>
      <c r="N41" s="42" t="str">
        <f ca="1"/>
        <v>Dispatch</v>
      </c>
      <c r="O41" s="42" t="str">
        <f ca="1"/>
        <v>Completed</v>
      </c>
      <c r="P41">
        <f ca="1"/>
        <v>0</v>
      </c>
      <c r="Q41" t="str">
        <f ca="1"/>
        <v xml:space="preserve">Chagan Sudam Gawai </v>
      </c>
      <c r="R41" t="str">
        <f ca="1"/>
        <v>residence Rajnagar, Mukundwadi, Aurangabad</v>
      </c>
      <c r="S41" t="str">
        <f ca="1"/>
        <v>Sambhaji Nagar</v>
      </c>
      <c r="T41" s="314" t="str">
        <f ca="1"/>
        <v>Completed</v>
      </c>
      <c r="U41" t="str">
        <f ca="1"/>
        <v xml:space="preserve">Na </v>
      </c>
      <c r="V41">
        <f ca="1"/>
        <v>0</v>
      </c>
      <c r="W41">
        <f ca="1"/>
        <v>0</v>
      </c>
      <c r="X41" s="42" t="str">
        <f ca="1"/>
        <v>NA</v>
      </c>
      <c r="Y41" t="str">
        <f ca="1"/>
        <v>Sanjay Sudam Gadgul</v>
      </c>
      <c r="Z41" t="str">
        <f ca="1"/>
        <v>Karodi, post Ghanegaon Tal. Dist. Aurangabad Mo. 8888260678</v>
      </c>
      <c r="AA41" t="str">
        <f ca="1"/>
        <v>Sambhaji Nagar</v>
      </c>
      <c r="AB41" t="str">
        <f ca="1"/>
        <v>NA</v>
      </c>
      <c r="AC41" s="42" t="str">
        <f ca="1"/>
        <v>Completed</v>
      </c>
      <c r="AD41" t="str">
        <f ca="1"/>
        <v xml:space="preserve">NA </v>
      </c>
      <c r="AE41">
        <f ca="1"/>
        <v>0</v>
      </c>
      <c r="AF41" t="str">
        <f ca="1"/>
        <v>NA</v>
      </c>
      <c r="AG41" s="42" t="str">
        <f ca="1"/>
        <v>WIP</v>
      </c>
      <c r="AH41" t="str">
        <f ca="1"/>
        <v>NA</v>
      </c>
      <c r="AI41" s="42" t="str">
        <f ca="1"/>
        <v>NA</v>
      </c>
      <c r="AJ41" t="str">
        <f ca="1"/>
        <v>NA</v>
      </c>
      <c r="AK41" s="42" t="str">
        <f ca="1"/>
        <v>NA</v>
      </c>
      <c r="AL41" t="str">
        <f ca="1"/>
        <v>NA</v>
      </c>
      <c r="AM41" s="42" t="str">
        <f ca="1"/>
        <v>NA</v>
      </c>
      <c r="AN41" t="str">
        <f ca="1"/>
        <v>NA</v>
      </c>
      <c r="AO41" s="42" t="str">
        <f ca="1"/>
        <v>NA</v>
      </c>
      <c r="AP41" t="str">
        <f ca="1"/>
        <v xml:space="preserve">NA </v>
      </c>
      <c r="AQ41" t="str">
        <f ca="1"/>
        <v xml:space="preserve">On Dhule Solapur highway, Tisgaon Choufuli,On the Bridge west side, Tisgaon, Sambhajinagar. </v>
      </c>
      <c r="AR41" t="str">
        <f ca="1"/>
        <v>Sambhajinagar</v>
      </c>
      <c r="AS41" s="42" t="str">
        <f ca="1"/>
        <v>Completed</v>
      </c>
      <c r="AT41" t="str">
        <f ca="1"/>
        <v>0150/2025</v>
      </c>
      <c r="AU41" t="str">
        <f ca="1"/>
        <v>MIDC Valunj</v>
      </c>
      <c r="AV41" t="str">
        <f ca="1"/>
        <v>Sambhajinagar</v>
      </c>
      <c r="AW41" t="str">
        <f ca="1"/>
        <v>NA</v>
      </c>
      <c r="AX41" s="42" t="str">
        <f ca="1"/>
        <v>WIP</v>
      </c>
      <c r="AY41" t="str">
        <f ca="1"/>
        <v>NA</v>
      </c>
      <c r="AZ41">
        <f ca="1"/>
        <v>0</v>
      </c>
      <c r="BA41">
        <f ca="1"/>
        <v>0</v>
      </c>
      <c r="BB41" s="42" t="str">
        <f ca="1"/>
        <v>NA</v>
      </c>
      <c r="BC41">
        <f ca="1"/>
        <v>0</v>
      </c>
      <c r="BD41">
        <f ca="1"/>
        <v>0</v>
      </c>
      <c r="BE41" t="str">
        <f ca="1"/>
        <v>Claimant/ Insured /Spot / Pending for driver and CS</v>
      </c>
    </row>
    <row r="42" spans="1:57">
      <c r="A42" s="42">
        <f ca="1"/>
        <v>41</v>
      </c>
      <c r="B42" s="42" t="str">
        <f ca="1"/>
        <v>CN066141</v>
      </c>
      <c r="C42" s="42" t="str">
        <f ca="1"/>
        <v>Generali Central Insurance Company Limited</v>
      </c>
      <c r="D42" s="42" t="str">
        <f ca="1"/>
        <v>MACT</v>
      </c>
      <c r="E42" s="42" t="str">
        <f ca="1"/>
        <v>F001-1041-SS-2025</v>
      </c>
      <c r="F42" s="310">
        <f ca="1"/>
        <v>45957</v>
      </c>
      <c r="G42" s="42" t="str">
        <f ca="1"/>
        <v>Oct-25</v>
      </c>
      <c r="H42" s="312">
        <f ca="1"/>
        <v>46007</v>
      </c>
      <c r="I42" s="42" t="str">
        <f ca="1"/>
        <v>Dec-25</v>
      </c>
      <c r="J42" s="310">
        <f ca="1"/>
        <v>45978</v>
      </c>
      <c r="K42" s="42">
        <f ca="1"/>
        <v>50</v>
      </c>
      <c r="L42" s="42" t="str">
        <f ca="1"/>
        <v>AT</v>
      </c>
      <c r="M42" s="42" t="str">
        <f ca="1"/>
        <v>Partial Case</v>
      </c>
      <c r="N42" s="42" t="str">
        <f ca="1"/>
        <v>Dispatch</v>
      </c>
      <c r="O42" s="42" t="str">
        <f ca="1"/>
        <v>Completed</v>
      </c>
      <c r="P42" t="str">
        <f ca="1"/>
        <v>Hospital &amp; Eyewitness Verification</v>
      </c>
      <c r="Q42" t="str">
        <f ca="1"/>
        <v>Ravindra Motiram Mistry</v>
      </c>
      <c r="R42" t="str">
        <f ca="1"/>
        <v xml:space="preserve">NA </v>
      </c>
      <c r="S42" t="str">
        <f ca="1"/>
        <v>NA</v>
      </c>
      <c r="T42" s="314" t="str">
        <f ca="1"/>
        <v>NA</v>
      </c>
      <c r="U42" t="str">
        <f ca="1"/>
        <v xml:space="preserve">NA </v>
      </c>
      <c r="V42">
        <f ca="1"/>
        <v>0</v>
      </c>
      <c r="W42">
        <f ca="1"/>
        <v>0</v>
      </c>
      <c r="X42" s="42" t="str">
        <f ca="1"/>
        <v>NA</v>
      </c>
      <c r="Y42" t="str">
        <f ca="1"/>
        <v>NA</v>
      </c>
      <c r="Z42" t="str">
        <f ca="1"/>
        <v xml:space="preserve">NA </v>
      </c>
      <c r="AA42" t="str">
        <f ca="1"/>
        <v>NA</v>
      </c>
      <c r="AB42" t="str">
        <f ca="1"/>
        <v>NA</v>
      </c>
      <c r="AC42" s="42" t="str">
        <f ca="1"/>
        <v>NA</v>
      </c>
      <c r="AD42" t="str">
        <f ca="1"/>
        <v xml:space="preserve">NA </v>
      </c>
      <c r="AE42">
        <f ca="1"/>
        <v>0</v>
      </c>
      <c r="AF42" t="str">
        <f ca="1"/>
        <v xml:space="preserve">NA </v>
      </c>
      <c r="AG42" s="42" t="str">
        <f ca="1"/>
        <v>NA</v>
      </c>
      <c r="AH42" t="str">
        <f ca="1"/>
        <v xml:space="preserve">NA </v>
      </c>
      <c r="AI42" s="42" t="str">
        <f ca="1"/>
        <v>NA</v>
      </c>
      <c r="AJ42" t="str">
        <f ca="1"/>
        <v xml:space="preserve">NA </v>
      </c>
      <c r="AK42" s="42" t="str">
        <f ca="1"/>
        <v>NA</v>
      </c>
      <c r="AL42" t="str">
        <f ca="1"/>
        <v xml:space="preserve">NA </v>
      </c>
      <c r="AM42" s="42" t="str">
        <f ca="1"/>
        <v xml:space="preserve">NA </v>
      </c>
      <c r="AN42" t="str">
        <f ca="1"/>
        <v xml:space="preserve">NA </v>
      </c>
      <c r="AO42" s="42" t="str">
        <f ca="1"/>
        <v>NA</v>
      </c>
      <c r="AP42" t="str">
        <f ca="1"/>
        <v xml:space="preserve">NA </v>
      </c>
      <c r="AQ42" t="str">
        <f ca="1"/>
        <v>Public place on the road opposite Someshwar Temple, Songir Dondaicha Road</v>
      </c>
      <c r="AR42">
        <f ca="1"/>
        <v>0</v>
      </c>
      <c r="AS42" s="42" t="str">
        <f ca="1"/>
        <v>NA</v>
      </c>
      <c r="AT42" t="str">
        <f ca="1"/>
        <v>NA</v>
      </c>
      <c r="AU42" t="str">
        <f ca="1"/>
        <v xml:space="preserve">NA </v>
      </c>
      <c r="AV42" t="str">
        <f ca="1"/>
        <v xml:space="preserve">NA </v>
      </c>
      <c r="AW42" t="str">
        <f ca="1"/>
        <v>NA</v>
      </c>
      <c r="AX42" s="42" t="str">
        <f ca="1"/>
        <v>NA</v>
      </c>
      <c r="AY42" t="str">
        <f ca="1"/>
        <v xml:space="preserve">Hire medical Colleage and Hospital </v>
      </c>
      <c r="AZ42" t="str">
        <f ca="1"/>
        <v>Dhule</v>
      </c>
      <c r="BA42" t="str">
        <f ca="1"/>
        <v>Dhule</v>
      </c>
      <c r="BB42" s="42" t="str">
        <f ca="1"/>
        <v>WIP</v>
      </c>
      <c r="BC42">
        <f ca="1"/>
        <v>0</v>
      </c>
      <c r="BD42">
        <f ca="1"/>
        <v>0</v>
      </c>
      <c r="BE42" t="str">
        <f ca="1"/>
        <v>Eyewitness Dipak/chetan and Hospital visit done pending for Eyewithness Lotan and Hospital documents</v>
      </c>
    </row>
    <row r="43" spans="1:57">
      <c r="A43" s="42">
        <f ca="1"/>
        <v>42</v>
      </c>
      <c r="B43" s="42" t="str">
        <f ca="1"/>
        <v>MTP-N-2526-004127</v>
      </c>
      <c r="C43" s="42" t="str">
        <f ca="1"/>
        <v>Generali Central Insurance Company Limited</v>
      </c>
      <c r="D43" s="42" t="str">
        <f ca="1"/>
        <v>MACT</v>
      </c>
      <c r="E43" s="42" t="str">
        <f ca="1"/>
        <v>F001-1042-SS-2025</v>
      </c>
      <c r="F43" s="310">
        <f ca="1"/>
        <v>45960</v>
      </c>
      <c r="G43" s="42" t="str">
        <f ca="1"/>
        <v>Oct-25</v>
      </c>
      <c r="H43" s="312" t="str">
        <f ca="1"/>
        <v>-</v>
      </c>
      <c r="I43" s="42">
        <f ca="1"/>
        <v>0</v>
      </c>
      <c r="J43" s="310">
        <f ca="1"/>
        <v>46002</v>
      </c>
      <c r="K43" s="42">
        <f ca="1"/>
        <v>67</v>
      </c>
      <c r="L43" s="42" t="str">
        <f ca="1"/>
        <v>AT</v>
      </c>
      <c r="M43" s="42" t="str">
        <f ca="1"/>
        <v>Full Case</v>
      </c>
      <c r="N43" s="42" t="str">
        <f ca="1"/>
        <v>Open</v>
      </c>
      <c r="O43" s="42" t="str">
        <f ca="1"/>
        <v>WIP</v>
      </c>
      <c r="P43">
        <f ca="1"/>
        <v>0</v>
      </c>
      <c r="Q43" t="str">
        <f ca="1"/>
        <v>Gajanan Laxman Gadekar</v>
      </c>
      <c r="R43" t="str">
        <f ca="1"/>
        <v>Pokhari Post Sao, Taluka,Dist: Buldana443101</v>
      </c>
      <c r="S43" t="str">
        <f ca="1"/>
        <v>Buldana</v>
      </c>
      <c r="T43" s="314" t="str">
        <f ca="1"/>
        <v>Completed</v>
      </c>
      <c r="U43" t="str">
        <f ca="1"/>
        <v xml:space="preserve">Na </v>
      </c>
      <c r="V43">
        <f ca="1"/>
        <v>0</v>
      </c>
      <c r="W43">
        <f ca="1"/>
        <v>0</v>
      </c>
      <c r="X43" s="42" t="str">
        <f ca="1"/>
        <v>NA</v>
      </c>
      <c r="Y43" t="str">
        <f ca="1"/>
        <v>Ranjeet Lala Chavan</v>
      </c>
      <c r="Z43" t="str">
        <f ca="1"/>
        <v>R/O  Khadaki,Post-Rajur,Taluka-Motala,Dist:Buldana-443101</v>
      </c>
      <c r="AA43" t="str">
        <f ca="1"/>
        <v>Buldhana</v>
      </c>
      <c r="AB43" t="str">
        <f ca="1"/>
        <v>NA</v>
      </c>
      <c r="AC43" s="42" t="str">
        <f ca="1"/>
        <v>WIP</v>
      </c>
      <c r="AD43" t="str">
        <f ca="1"/>
        <v xml:space="preserve">NA </v>
      </c>
      <c r="AE43">
        <f ca="1"/>
        <v>0</v>
      </c>
      <c r="AF43" t="str">
        <f ca="1"/>
        <v xml:space="preserve">NA </v>
      </c>
      <c r="AG43" s="42" t="str">
        <f ca="1"/>
        <v>WIP</v>
      </c>
      <c r="AH43" t="str">
        <f ca="1"/>
        <v>NA</v>
      </c>
      <c r="AI43" s="42" t="str">
        <f ca="1"/>
        <v>WIP</v>
      </c>
      <c r="AJ43" t="str">
        <f ca="1"/>
        <v xml:space="preserve">NA </v>
      </c>
      <c r="AK43" s="42" t="str">
        <f ca="1"/>
        <v>WIP</v>
      </c>
      <c r="AL43" t="str">
        <f ca="1"/>
        <v>NA</v>
      </c>
      <c r="AM43" s="42" t="str">
        <f ca="1"/>
        <v>NA</v>
      </c>
      <c r="AN43" t="str">
        <f ca="1"/>
        <v xml:space="preserve">NA </v>
      </c>
      <c r="AO43" s="42" t="str">
        <f ca="1"/>
        <v>NA</v>
      </c>
      <c r="AP43" t="str">
        <f ca="1"/>
        <v xml:space="preserve">NA </v>
      </c>
      <c r="AQ43" t="str">
        <f ca="1"/>
        <v>At Samruddhi Mahamarg Chanel No 536, Pathare Shivar,Sinner,Dist Nashik 423605</v>
      </c>
      <c r="AR43" t="str">
        <f ca="1"/>
        <v>Nashik</v>
      </c>
      <c r="AS43" s="42" t="str">
        <f ca="1"/>
        <v>WIP</v>
      </c>
      <c r="AT43">
        <f ca="1"/>
        <v>234</v>
      </c>
      <c r="AU43" t="str">
        <f ca="1"/>
        <v>Vavi PS</v>
      </c>
      <c r="AV43" t="str">
        <f ca="1"/>
        <v>Nashik</v>
      </c>
      <c r="AW43" t="str">
        <f ca="1"/>
        <v>NA</v>
      </c>
      <c r="AX43" s="42" t="str">
        <f ca="1"/>
        <v>WIP</v>
      </c>
      <c r="AY43" t="str">
        <f ca="1"/>
        <v>Rural Hospital Kopergaon</v>
      </c>
      <c r="AZ43">
        <f ca="1"/>
        <v>0</v>
      </c>
      <c r="BA43" t="str">
        <f ca="1"/>
        <v>NA</v>
      </c>
      <c r="BB43" s="42" t="str">
        <f ca="1"/>
        <v>NA</v>
      </c>
      <c r="BC43">
        <f ca="1"/>
        <v>0</v>
      </c>
      <c r="BD43">
        <f ca="1"/>
        <v>0</v>
      </c>
      <c r="BE43">
        <f ca="1"/>
        <v>0</v>
      </c>
    </row>
    <row r="44" spans="1:57">
      <c r="A44" s="42">
        <f ca="1"/>
        <v>43</v>
      </c>
      <c r="B44" s="42" t="str">
        <f ca="1"/>
        <v>2025212071</v>
      </c>
      <c r="C44" s="42" t="str">
        <f ca="1"/>
        <v>Indusind General Insurance Co Ltd</v>
      </c>
      <c r="D44" s="42" t="str">
        <f ca="1"/>
        <v>MACT</v>
      </c>
      <c r="E44" s="42" t="str">
        <f ca="1"/>
        <v>R001-1043-SS-2025</v>
      </c>
      <c r="F44" s="310">
        <f ca="1"/>
        <v>45961</v>
      </c>
      <c r="G44" s="42" t="str">
        <f ca="1"/>
        <v>Oct-25</v>
      </c>
      <c r="H44" s="312">
        <f ca="1"/>
        <v>46017</v>
      </c>
      <c r="I44" s="42" t="str">
        <f ca="1"/>
        <v>Dec-25</v>
      </c>
      <c r="J44" s="310" t="str">
        <f ca="1"/>
        <v/>
      </c>
      <c r="K44" s="42">
        <f ca="1"/>
        <v>56</v>
      </c>
      <c r="L44" s="42" t="str">
        <f ca="1"/>
        <v>AT</v>
      </c>
      <c r="M44" s="42" t="str">
        <f ca="1"/>
        <v>Connected Case</v>
      </c>
      <c r="N44" s="42" t="str">
        <f ca="1"/>
        <v>Dispatch</v>
      </c>
      <c r="O44" s="42" t="str">
        <f ca="1"/>
        <v>Completed</v>
      </c>
      <c r="P44" t="str">
        <f ca="1"/>
        <v>For Claimant Part Only. (Connected)</v>
      </c>
      <c r="Q44" t="str">
        <f ca="1"/>
        <v>Shushmita  Vijay Sure</v>
      </c>
      <c r="R44" t="str">
        <f ca="1"/>
        <v>R/O   At Narsingpur, Taluka Kannad and District Aurangabad</v>
      </c>
      <c r="S44" t="str">
        <f ca="1"/>
        <v>Sambhaji Nagar</v>
      </c>
      <c r="T44" s="314" t="str">
        <f ca="1"/>
        <v>Completed</v>
      </c>
      <c r="U44" t="str">
        <f ca="1"/>
        <v xml:space="preserve">NA </v>
      </c>
      <c r="V44">
        <f ca="1"/>
        <v>0</v>
      </c>
      <c r="W44">
        <f ca="1"/>
        <v>0</v>
      </c>
      <c r="X44" s="42" t="str">
        <f ca="1"/>
        <v>NA</v>
      </c>
      <c r="Y44" t="str">
        <f ca="1"/>
        <v xml:space="preserve">Noor Mohammad Shaikh </v>
      </c>
      <c r="Z44" t="str">
        <f ca="1"/>
        <v xml:space="preserve">R/o. Near Jama Masjid , Athwadi  Bazar , Taluka Kannad, Dist. Aurangabad </v>
      </c>
      <c r="AA44" t="str">
        <f ca="1"/>
        <v>Sambhaji Nagar</v>
      </c>
      <c r="AB44" t="str">
        <f ca="1"/>
        <v>NA</v>
      </c>
      <c r="AC44" s="42" t="str">
        <f ca="1"/>
        <v>NA</v>
      </c>
      <c r="AD44" t="str">
        <f ca="1"/>
        <v xml:space="preserve">NA </v>
      </c>
      <c r="AE44">
        <f ca="1"/>
        <v>0</v>
      </c>
      <c r="AF44" t="str">
        <f ca="1"/>
        <v xml:space="preserve">NA </v>
      </c>
      <c r="AG44" s="42" t="str">
        <f ca="1"/>
        <v>NA</v>
      </c>
      <c r="AH44" t="str">
        <f ca="1"/>
        <v xml:space="preserve">NA </v>
      </c>
      <c r="AI44" s="42" t="str">
        <f ca="1"/>
        <v>NA</v>
      </c>
      <c r="AJ44" t="str">
        <f ca="1"/>
        <v xml:space="preserve">NA </v>
      </c>
      <c r="AK44" s="42" t="str">
        <f ca="1"/>
        <v>NA</v>
      </c>
      <c r="AL44" t="str">
        <f ca="1"/>
        <v xml:space="preserve">NA </v>
      </c>
      <c r="AM44" s="42" t="str">
        <f ca="1"/>
        <v xml:space="preserve">NA </v>
      </c>
      <c r="AN44" t="str">
        <f ca="1"/>
        <v xml:space="preserve">NA </v>
      </c>
      <c r="AO44" s="42" t="str">
        <f ca="1"/>
        <v>NA</v>
      </c>
      <c r="AP44" t="str">
        <f ca="1"/>
        <v xml:space="preserve">NA </v>
      </c>
      <c r="AQ44" t="str">
        <f ca="1"/>
        <v xml:space="preserve">Kannad to Aurangabad Road, Near  Reliance Petrol Pump, Taluka Kannad, sambhaji Nagar </v>
      </c>
      <c r="AR44" t="str">
        <f ca="1"/>
        <v>Sambhajinagar</v>
      </c>
      <c r="AS44" s="42" t="str">
        <f ca="1"/>
        <v>NA</v>
      </c>
      <c r="AT44" t="str">
        <f ca="1"/>
        <v>0154/2023</v>
      </c>
      <c r="AU44" t="str">
        <f ca="1"/>
        <v>Kannad PS</v>
      </c>
      <c r="AV44" t="str">
        <f ca="1"/>
        <v>Aurangabad</v>
      </c>
      <c r="AW44" t="str">
        <f ca="1"/>
        <v>NA</v>
      </c>
      <c r="AX44" s="42" t="str">
        <f ca="1"/>
        <v>NA</v>
      </c>
      <c r="AY44" t="str">
        <f ca="1"/>
        <v xml:space="preserve">NA </v>
      </c>
      <c r="AZ44">
        <f ca="1"/>
        <v>0</v>
      </c>
      <c r="BA44">
        <f ca="1"/>
        <v>0</v>
      </c>
      <c r="BB44" s="42" t="str">
        <f ca="1"/>
        <v>NA</v>
      </c>
      <c r="BC44">
        <f ca="1"/>
        <v>0</v>
      </c>
      <c r="BD44">
        <f ca="1"/>
        <v>0</v>
      </c>
      <c r="BE44" t="str">
        <f ca="1"/>
        <v xml:space="preserve">claimant Part  </v>
      </c>
    </row>
    <row r="45" spans="1:57">
      <c r="A45" s="42">
        <f ca="1"/>
        <v>44</v>
      </c>
      <c r="B45" s="42" t="str">
        <f ca="1"/>
        <v>2025212068</v>
      </c>
      <c r="C45" s="42" t="str">
        <f ca="1"/>
        <v>Indusind General Insurance Co Ltd</v>
      </c>
      <c r="D45" s="42" t="str">
        <f ca="1"/>
        <v>MACT</v>
      </c>
      <c r="E45" s="42" t="str">
        <f ca="1"/>
        <v>R001-1044-SS-2025</v>
      </c>
      <c r="F45" s="310">
        <f ca="1"/>
        <v>45961</v>
      </c>
      <c r="G45" s="42" t="str">
        <f ca="1"/>
        <v>Oct-25</v>
      </c>
      <c r="H45" s="312">
        <f ca="1"/>
        <v>46009</v>
      </c>
      <c r="I45" s="42" t="str">
        <f ca="1"/>
        <v>Dec-25</v>
      </c>
      <c r="J45" s="310">
        <f ca="1"/>
        <v>46003</v>
      </c>
      <c r="K45" s="42">
        <f ca="1"/>
        <v>48</v>
      </c>
      <c r="L45" s="42" t="str">
        <f ca="1"/>
        <v>AT</v>
      </c>
      <c r="M45" s="42" t="str">
        <f ca="1"/>
        <v>Full Case</v>
      </c>
      <c r="N45" s="42" t="str">
        <f ca="1"/>
        <v>Dispatch</v>
      </c>
      <c r="O45" s="42" t="str">
        <f ca="1"/>
        <v>Completed</v>
      </c>
      <c r="P45">
        <f ca="1"/>
        <v>0</v>
      </c>
      <c r="Q45" t="str">
        <f ca="1"/>
        <v>Kusumbai Ramesh Bobde</v>
      </c>
      <c r="R45" t="str">
        <f ca="1"/>
        <v xml:space="preserve"> Pendapur, Tal. Gangapur, District Aurangabad</v>
      </c>
      <c r="S45" t="str">
        <f ca="1"/>
        <v>Sambhaji Nagar</v>
      </c>
      <c r="T45" s="314" t="str">
        <f ca="1"/>
        <v>Completed</v>
      </c>
      <c r="U45" t="str">
        <f ca="1"/>
        <v xml:space="preserve">Na </v>
      </c>
      <c r="V45">
        <f ca="1"/>
        <v>0</v>
      </c>
      <c r="W45">
        <f ca="1"/>
        <v>0</v>
      </c>
      <c r="X45" s="42" t="str">
        <f ca="1"/>
        <v>NA</v>
      </c>
      <c r="Y45" t="str">
        <f ca="1"/>
        <v>Kakasaheb Shrirang Dhumal</v>
      </c>
      <c r="Z45" t="str">
        <f ca="1"/>
        <v>R/O   Khadgaon Taluka Gangapur Dist Aurangabad.</v>
      </c>
      <c r="AA45" t="str">
        <f ca="1"/>
        <v>Sambhaji Nagar</v>
      </c>
      <c r="AB45" t="str">
        <f ca="1"/>
        <v>Completed</v>
      </c>
      <c r="AC45" s="42" t="str">
        <f ca="1"/>
        <v>Completed</v>
      </c>
      <c r="AD45" t="str">
        <f ca="1"/>
        <v>Kakasaheb Shrirang Dhumal</v>
      </c>
      <c r="AE45">
        <f ca="1"/>
        <v>0</v>
      </c>
      <c r="AF45" t="str">
        <f ca="1"/>
        <v>Prashant Jeurkar</v>
      </c>
      <c r="AG45" s="42" t="str">
        <f ca="1"/>
        <v>Completed</v>
      </c>
      <c r="AH45" t="str">
        <f ca="1"/>
        <v xml:space="preserve">NA </v>
      </c>
      <c r="AI45" s="42" t="str">
        <f ca="1"/>
        <v>NA</v>
      </c>
      <c r="AJ45" t="str">
        <f ca="1"/>
        <v xml:space="preserve">NA </v>
      </c>
      <c r="AK45" s="42" t="str">
        <f ca="1"/>
        <v>NA</v>
      </c>
      <c r="AL45" t="str">
        <f ca="1"/>
        <v xml:space="preserve">NA </v>
      </c>
      <c r="AM45" s="42" t="str">
        <f ca="1"/>
        <v xml:space="preserve">NA </v>
      </c>
      <c r="AN45" t="str">
        <f ca="1"/>
        <v xml:space="preserve">NA </v>
      </c>
      <c r="AO45" s="42" t="str">
        <f ca="1"/>
        <v>NA</v>
      </c>
      <c r="AP45" t="str">
        <f ca="1"/>
        <v xml:space="preserve">NA </v>
      </c>
      <c r="AQ45" t="str">
        <f ca="1"/>
        <v>Pendapur to Dhoregaon road. Near Farm Group No. 8</v>
      </c>
      <c r="AR45">
        <f ca="1"/>
        <v>0</v>
      </c>
      <c r="AS45" s="42" t="str">
        <f ca="1"/>
        <v>Completed</v>
      </c>
      <c r="AT45" t="str">
        <f ca="1"/>
        <v>0484/2024</v>
      </c>
      <c r="AU45" t="str">
        <f ca="1"/>
        <v>Gangapur PS</v>
      </c>
      <c r="AV45" t="str">
        <f ca="1"/>
        <v>Aurangabad</v>
      </c>
      <c r="AW45" t="str">
        <f ca="1"/>
        <v>NA</v>
      </c>
      <c r="AX45" s="42" t="str">
        <f ca="1"/>
        <v>Completed</v>
      </c>
      <c r="AY45" t="str">
        <f ca="1"/>
        <v xml:space="preserve">NA </v>
      </c>
      <c r="AZ45">
        <f ca="1"/>
        <v>0</v>
      </c>
      <c r="BA45">
        <f ca="1"/>
        <v>0</v>
      </c>
      <c r="BB45" s="42" t="str">
        <f ca="1"/>
        <v>NA</v>
      </c>
      <c r="BC45">
        <f ca="1"/>
        <v>0</v>
      </c>
      <c r="BD45">
        <f ca="1"/>
        <v>0</v>
      </c>
      <c r="BE45" t="str">
        <f ca="1"/>
        <v>Claimant/ Insured/ Spot done/ Driver DL and KYC pending for CS - Required Completed CS to The Client</v>
      </c>
    </row>
    <row r="46" spans="1:57">
      <c r="A46" s="42">
        <f ca="1"/>
        <v>45</v>
      </c>
      <c r="B46" s="42" t="str">
        <f ca="1"/>
        <v>2025212058</v>
      </c>
      <c r="C46" s="42" t="str">
        <f ca="1"/>
        <v>Indusind General Insurance Co Ltd</v>
      </c>
      <c r="D46" s="42" t="str">
        <f ca="1"/>
        <v>MACT</v>
      </c>
      <c r="E46" s="42" t="str">
        <f ca="1"/>
        <v>R001-1045-SS-2025</v>
      </c>
      <c r="F46" s="310">
        <f ca="1"/>
        <v>45961</v>
      </c>
      <c r="G46" s="42" t="str">
        <f ca="1"/>
        <v>Oct-25</v>
      </c>
      <c r="H46" s="312">
        <f ca="1"/>
        <v>45971</v>
      </c>
      <c r="I46" s="42" t="str">
        <f ca="1"/>
        <v>Nov-25</v>
      </c>
      <c r="J46" s="310">
        <f ca="1"/>
        <v>46003</v>
      </c>
      <c r="K46" s="42">
        <f ca="1"/>
        <v>10</v>
      </c>
      <c r="L46" s="42" t="str">
        <f ca="1"/>
        <v>WT</v>
      </c>
      <c r="M46" s="42" t="str">
        <f ca="1"/>
        <v>Full Case</v>
      </c>
      <c r="N46" s="42" t="str">
        <f ca="1"/>
        <v>Open</v>
      </c>
      <c r="O46" s="42" t="str">
        <f ca="1"/>
        <v>WIP</v>
      </c>
      <c r="P46">
        <f ca="1"/>
        <v>0</v>
      </c>
      <c r="Q46" t="str">
        <f ca="1"/>
        <v>Mira Devi  Anil Kumar</v>
      </c>
      <c r="R46" t="str">
        <f ca="1"/>
        <v>Parsa Kalan, Post: Semrai, Dist. Siddharth Nagar [Utter Pradesh] At present, Mangal Murti Colony, Ranjangaon Shenpunji, Waluj MIDC Area Aurangabad</v>
      </c>
      <c r="S46" t="str">
        <f ca="1"/>
        <v>Sambhaji Nagar</v>
      </c>
      <c r="T46" s="314" t="str">
        <f ca="1"/>
        <v>Completed</v>
      </c>
      <c r="U46" t="str">
        <f ca="1"/>
        <v xml:space="preserve">Na </v>
      </c>
      <c r="V46">
        <f ca="1"/>
        <v>0</v>
      </c>
      <c r="W46">
        <f ca="1"/>
        <v>0</v>
      </c>
      <c r="X46" s="42" t="str">
        <f ca="1"/>
        <v>NA</v>
      </c>
      <c r="Y46" t="str">
        <f ca="1"/>
        <v>S. CUBE INFRASTRUCTURE</v>
      </c>
      <c r="Z46" t="str">
        <f ca="1"/>
        <v>Vedant Nagar, Shop No.11, Labh Chambers, Opp. Vishal Holidays Resort, Station Road, Aurangabad, Maharashtra</v>
      </c>
      <c r="AA46" t="str">
        <f ca="1"/>
        <v>Sambhaji Nagar</v>
      </c>
      <c r="AB46" t="str">
        <f ca="1"/>
        <v>NA</v>
      </c>
      <c r="AC46" s="42" t="str">
        <f ca="1"/>
        <v>Completed</v>
      </c>
      <c r="AD46" t="str">
        <f ca="1"/>
        <v xml:space="preserve">NA </v>
      </c>
      <c r="AE46">
        <f ca="1"/>
        <v>0</v>
      </c>
      <c r="AF46" t="str">
        <f ca="1"/>
        <v>Prashant Jeurkar</v>
      </c>
      <c r="AG46" s="42" t="str">
        <f ca="1"/>
        <v>WIP</v>
      </c>
      <c r="AH46" t="str">
        <f ca="1"/>
        <v xml:space="preserve">NA </v>
      </c>
      <c r="AI46" s="42" t="str">
        <f ca="1"/>
        <v>NA</v>
      </c>
      <c r="AJ46" t="str">
        <f ca="1"/>
        <v xml:space="preserve">NA </v>
      </c>
      <c r="AK46" s="42" t="str">
        <f ca="1"/>
        <v>NA</v>
      </c>
      <c r="AL46" t="str">
        <f ca="1"/>
        <v xml:space="preserve">NA </v>
      </c>
      <c r="AM46" s="42" t="str">
        <f ca="1"/>
        <v xml:space="preserve">NA </v>
      </c>
      <c r="AN46" t="str">
        <f ca="1"/>
        <v xml:space="preserve">NA </v>
      </c>
      <c r="AO46" s="42" t="str">
        <f ca="1"/>
        <v>NA</v>
      </c>
      <c r="AP46" t="str">
        <f ca="1"/>
        <v xml:space="preserve">NA </v>
      </c>
      <c r="AQ46" t="str">
        <f ca="1"/>
        <v xml:space="preserve">On Chikalthana to Naregaon Road at Cambridge Chowk, Aurangabad
</v>
      </c>
      <c r="AR46" t="str">
        <f ca="1"/>
        <v>Sambhajinagar</v>
      </c>
      <c r="AS46" s="42" t="str">
        <f ca="1"/>
        <v>Completed</v>
      </c>
      <c r="AT46" t="str">
        <f ca="1"/>
        <v>0660/2024</v>
      </c>
      <c r="AU46" t="str">
        <f ca="1"/>
        <v>MIDC-CIDCO PS</v>
      </c>
      <c r="AV46" t="str">
        <f ca="1"/>
        <v>Aurangabad</v>
      </c>
      <c r="AW46" t="str">
        <f ca="1"/>
        <v>NA</v>
      </c>
      <c r="AX46" s="42" t="str">
        <f ca="1"/>
        <v>WIP</v>
      </c>
      <c r="AY46" t="str">
        <f ca="1"/>
        <v xml:space="preserve">NA </v>
      </c>
      <c r="AZ46">
        <f ca="1"/>
        <v>0</v>
      </c>
      <c r="BA46">
        <f ca="1"/>
        <v>0</v>
      </c>
      <c r="BB46" s="42" t="str">
        <f ca="1"/>
        <v>NA</v>
      </c>
      <c r="BC46">
        <f ca="1"/>
        <v>0</v>
      </c>
      <c r="BD46">
        <f ca="1"/>
        <v>0</v>
      </c>
      <c r="BE46" t="str">
        <f ca="1"/>
        <v>Insured/ Spot/ Claimant Part Pending for Driver and CS</v>
      </c>
    </row>
    <row r="47" spans="1:57">
      <c r="A47" s="42">
        <f ca="1"/>
        <v>46</v>
      </c>
      <c r="B47" s="42" t="str">
        <f ca="1"/>
        <v>2025212055</v>
      </c>
      <c r="C47" s="42" t="str">
        <f ca="1"/>
        <v>Indusind General Insurance Co Ltd</v>
      </c>
      <c r="D47" s="42" t="str">
        <f ca="1"/>
        <v>MACT</v>
      </c>
      <c r="E47" s="42" t="str">
        <f ca="1"/>
        <v>R001-1046-SS-2025</v>
      </c>
      <c r="F47" s="310">
        <f ca="1"/>
        <v>45961</v>
      </c>
      <c r="G47" s="42" t="str">
        <f ca="1"/>
        <v>Oct-25</v>
      </c>
      <c r="H47" s="312" t="str">
        <f ca="1"/>
        <v>-</v>
      </c>
      <c r="I47" s="42">
        <f ca="1"/>
        <v>0</v>
      </c>
      <c r="J47" s="310" t="str">
        <f ca="1"/>
        <v/>
      </c>
      <c r="K47" s="42">
        <f ca="1"/>
        <v>66</v>
      </c>
      <c r="L47" s="42" t="str">
        <f ca="1"/>
        <v>AT</v>
      </c>
      <c r="M47" s="42" t="str">
        <f ca="1"/>
        <v>Connected Case</v>
      </c>
      <c r="N47" s="42" t="str">
        <f ca="1"/>
        <v>Open</v>
      </c>
      <c r="O47" s="42" t="str">
        <f ca="1"/>
        <v>WIP</v>
      </c>
      <c r="P47" t="str">
        <f ca="1"/>
        <v>Claimant Part Only. (Connected Case - 2024211383)</v>
      </c>
      <c r="Q47" t="str">
        <f ca="1"/>
        <v>Shivaji Dnyaneshwar Salunke</v>
      </c>
      <c r="R47" t="str">
        <f ca="1"/>
        <v>Khawdya Dongar, Tisgaon, Taluka, Dist. Aurangabad.</v>
      </c>
      <c r="S47" t="str">
        <f ca="1"/>
        <v>Sambhaji Nagar</v>
      </c>
      <c r="T47" s="314" t="str">
        <f ca="1"/>
        <v>Completed</v>
      </c>
      <c r="U47" t="str">
        <f ca="1"/>
        <v xml:space="preserve">Na </v>
      </c>
      <c r="V47">
        <f ca="1"/>
        <v>0</v>
      </c>
      <c r="W47">
        <f ca="1"/>
        <v>0</v>
      </c>
      <c r="X47" s="42" t="str">
        <f ca="1"/>
        <v>NA</v>
      </c>
      <c r="Y47" t="str">
        <f ca="1"/>
        <v>Atmaram Baburao Deshmukh  8767255980</v>
      </c>
      <c r="Z47" t="str">
        <f ca="1"/>
        <v>Raipur Dongaon Tal. Gangapur Dist. Aurangabad.</v>
      </c>
      <c r="AA47" t="str">
        <f ca="1"/>
        <v>Sambhaji Nagar</v>
      </c>
      <c r="AB47" t="str">
        <f ca="1"/>
        <v>NA</v>
      </c>
      <c r="AC47" s="42" t="str">
        <f ca="1"/>
        <v>NA</v>
      </c>
      <c r="AD47" t="str">
        <f ca="1"/>
        <v xml:space="preserve">NA </v>
      </c>
      <c r="AE47">
        <f ca="1"/>
        <v>0</v>
      </c>
      <c r="AF47" t="str">
        <f ca="1"/>
        <v xml:space="preserve">NA </v>
      </c>
      <c r="AG47" s="42" t="str">
        <f ca="1"/>
        <v>NA</v>
      </c>
      <c r="AH47" t="str">
        <f ca="1"/>
        <v xml:space="preserve">NA </v>
      </c>
      <c r="AI47" s="42" t="str">
        <f ca="1"/>
        <v>NA</v>
      </c>
      <c r="AJ47" t="str">
        <f ca="1"/>
        <v xml:space="preserve">NA </v>
      </c>
      <c r="AK47" s="42" t="str">
        <f ca="1"/>
        <v>NA</v>
      </c>
      <c r="AL47" t="str">
        <f ca="1"/>
        <v xml:space="preserve">NA </v>
      </c>
      <c r="AM47" s="42" t="str">
        <f ca="1"/>
        <v xml:space="preserve">NA </v>
      </c>
      <c r="AN47" t="str">
        <f ca="1"/>
        <v xml:space="preserve">NA </v>
      </c>
      <c r="AO47" s="42" t="str">
        <f ca="1"/>
        <v>NA</v>
      </c>
      <c r="AP47" t="str">
        <f ca="1"/>
        <v xml:space="preserve">NA </v>
      </c>
      <c r="AQ47" t="str">
        <f ca="1"/>
        <v>On the service road of the Dhule-Solapur road, near the road leading to Mhada Colony.</v>
      </c>
      <c r="AR47">
        <f ca="1"/>
        <v>0</v>
      </c>
      <c r="AS47" s="42" t="str">
        <f ca="1"/>
        <v>NA</v>
      </c>
      <c r="AT47" t="str">
        <f ca="1"/>
        <v>NA</v>
      </c>
      <c r="AU47" t="str">
        <f ca="1"/>
        <v>NA</v>
      </c>
      <c r="AV47" t="str">
        <f ca="1"/>
        <v>NA</v>
      </c>
      <c r="AW47" t="str">
        <f ca="1"/>
        <v>NA</v>
      </c>
      <c r="AX47" s="42" t="str">
        <f ca="1"/>
        <v>NA</v>
      </c>
      <c r="AY47" t="str">
        <f ca="1"/>
        <v xml:space="preserve">NA </v>
      </c>
      <c r="AZ47">
        <f ca="1"/>
        <v>0</v>
      </c>
      <c r="BA47">
        <f ca="1"/>
        <v>0</v>
      </c>
      <c r="BB47" s="42" t="str">
        <f ca="1"/>
        <v>NA</v>
      </c>
      <c r="BC47">
        <f ca="1"/>
        <v>0</v>
      </c>
      <c r="BD47">
        <f ca="1"/>
        <v>0</v>
      </c>
      <c r="BE47">
        <f ca="1"/>
        <v>0</v>
      </c>
    </row>
    <row r="48" spans="1:57">
      <c r="A48" s="42">
        <f ca="1"/>
        <v>47</v>
      </c>
      <c r="B48" s="42" t="str">
        <f ca="1"/>
        <v>2025212053</v>
      </c>
      <c r="C48" s="42" t="str">
        <f ca="1"/>
        <v>Indusind General Insurance Co Ltd</v>
      </c>
      <c r="D48" s="42" t="str">
        <f ca="1"/>
        <v>MACT</v>
      </c>
      <c r="E48" s="42" t="str">
        <f ca="1"/>
        <v>R001-1047-SS-2025</v>
      </c>
      <c r="F48" s="310">
        <f ca="1"/>
        <v>45961</v>
      </c>
      <c r="G48" s="42" t="str">
        <f ca="1"/>
        <v>Oct-25</v>
      </c>
      <c r="H48" s="312" t="str">
        <f ca="1"/>
        <v>-</v>
      </c>
      <c r="I48" s="42">
        <f ca="1"/>
        <v>0</v>
      </c>
      <c r="J48" s="310">
        <f ca="1"/>
        <v>46003</v>
      </c>
      <c r="K48" s="42">
        <f ca="1"/>
        <v>66</v>
      </c>
      <c r="L48" s="42" t="str">
        <f ca="1"/>
        <v>AT</v>
      </c>
      <c r="M48" s="42" t="str">
        <f ca="1"/>
        <v>Full Case</v>
      </c>
      <c r="N48" s="42" t="str">
        <f ca="1"/>
        <v>Open</v>
      </c>
      <c r="O48" s="42" t="str">
        <f ca="1"/>
        <v>WIP</v>
      </c>
      <c r="P48">
        <f ca="1"/>
        <v>0</v>
      </c>
      <c r="Q48" t="str">
        <f ca="1"/>
        <v xml:space="preserve"> Shashikalabai  Santu Tupe</v>
      </c>
      <c r="R48" t="str">
        <f ca="1"/>
        <v>At Shevta, Wadod Bazar, Taq- Fulambri, Dist-Chatrapati Sambhajinagar.</v>
      </c>
      <c r="S48" t="str">
        <f ca="1"/>
        <v>Sambhaji Nagar</v>
      </c>
      <c r="T48" s="314" t="str">
        <f ca="1"/>
        <v>Completed</v>
      </c>
      <c r="U48" t="str">
        <f ca="1"/>
        <v xml:space="preserve">Na </v>
      </c>
      <c r="V48">
        <f ca="1"/>
        <v>0</v>
      </c>
      <c r="W48">
        <f ca="1"/>
        <v>0</v>
      </c>
      <c r="X48" s="42" t="str">
        <f ca="1"/>
        <v>NA</v>
      </c>
      <c r="Y48" t="str">
        <f ca="1"/>
        <v>Ramdas Asaram Tathe,</v>
      </c>
      <c r="Z48" t="str">
        <f ca="1"/>
        <v>Georai, Taq- Sillod, Dist- Chhat. Sambhajinagar</v>
      </c>
      <c r="AA48" t="str">
        <f ca="1"/>
        <v>Sambhaji Nagar</v>
      </c>
      <c r="AB48" t="str">
        <f ca="1"/>
        <v>NA</v>
      </c>
      <c r="AC48" s="42" t="str">
        <f ca="1"/>
        <v>WIP</v>
      </c>
      <c r="AD48" t="str">
        <f ca="1"/>
        <v>Umesh Laxman Sathe</v>
      </c>
      <c r="AE48">
        <f ca="1"/>
        <v>0</v>
      </c>
      <c r="AF48" t="str">
        <f ca="1"/>
        <v>Shubham Waghule</v>
      </c>
      <c r="AG48" s="42" t="str">
        <f ca="1"/>
        <v>Completed</v>
      </c>
      <c r="AH48" t="str">
        <f ca="1"/>
        <v xml:space="preserve">NA </v>
      </c>
      <c r="AI48" s="42" t="str">
        <f ca="1"/>
        <v>NA</v>
      </c>
      <c r="AJ48" t="str">
        <f ca="1"/>
        <v xml:space="preserve">NA </v>
      </c>
      <c r="AK48" s="42" t="str">
        <f ca="1"/>
        <v>NA</v>
      </c>
      <c r="AL48" t="str">
        <f ca="1"/>
        <v xml:space="preserve">NA </v>
      </c>
      <c r="AM48" s="42" t="str">
        <f ca="1"/>
        <v xml:space="preserve">NA </v>
      </c>
      <c r="AN48" t="str">
        <f ca="1"/>
        <v xml:space="preserve">NA </v>
      </c>
      <c r="AO48" s="42" t="str">
        <f ca="1"/>
        <v>NA</v>
      </c>
      <c r="AP48" t="str">
        <f ca="1"/>
        <v xml:space="preserve">NA </v>
      </c>
      <c r="AQ48" t="str">
        <f ca="1"/>
        <v>On Shevta to Aland road, near farm of Vishwanath Sandu Bedke</v>
      </c>
      <c r="AR48">
        <f ca="1"/>
        <v>0</v>
      </c>
      <c r="AS48" s="42" t="str">
        <f ca="1"/>
        <v>WIP</v>
      </c>
      <c r="AT48" t="str">
        <f ca="1"/>
        <v>0143/2024</v>
      </c>
      <c r="AU48" t="str">
        <f ca="1"/>
        <v>Wadod Bazar PS</v>
      </c>
      <c r="AV48" t="str">
        <f ca="1"/>
        <v>Aurangabad</v>
      </c>
      <c r="AW48" t="str">
        <f ca="1"/>
        <v>NA</v>
      </c>
      <c r="AX48" s="42" t="str">
        <f ca="1"/>
        <v>WIP</v>
      </c>
      <c r="AY48" t="str">
        <f ca="1"/>
        <v xml:space="preserve">NA </v>
      </c>
      <c r="AZ48">
        <f ca="1"/>
        <v>0</v>
      </c>
      <c r="BA48">
        <f ca="1"/>
        <v>0</v>
      </c>
      <c r="BB48" s="42" t="str">
        <f ca="1"/>
        <v>NA</v>
      </c>
      <c r="BC48">
        <f ca="1"/>
        <v>0</v>
      </c>
      <c r="BD48">
        <f ca="1"/>
        <v>0</v>
      </c>
      <c r="BE48">
        <f ca="1"/>
        <v>0</v>
      </c>
    </row>
    <row r="49" spans="1:57">
      <c r="A49" s="42">
        <f ca="1"/>
        <v>48</v>
      </c>
      <c r="B49" s="42">
        <f ca="1"/>
        <v>2025212050</v>
      </c>
      <c r="C49" s="42" t="str">
        <f ca="1"/>
        <v>Indusind General Insurance Co Ltd</v>
      </c>
      <c r="D49" s="42" t="str">
        <f ca="1"/>
        <v>MACT</v>
      </c>
      <c r="E49" s="42" t="str">
        <f ca="1"/>
        <v>R001-1048-SS-2025</v>
      </c>
      <c r="F49" s="310">
        <f ca="1"/>
        <v>45961</v>
      </c>
      <c r="G49" s="42" t="str">
        <f ca="1"/>
        <v>Oct-25</v>
      </c>
      <c r="H49" s="312" t="str">
        <f ca="1"/>
        <v>-</v>
      </c>
      <c r="I49" s="42">
        <f ca="1"/>
        <v>0</v>
      </c>
      <c r="J49" s="310">
        <f ca="1"/>
        <v>46003</v>
      </c>
      <c r="K49" s="42">
        <f ca="1"/>
        <v>66</v>
      </c>
      <c r="L49" s="42" t="str">
        <f ca="1"/>
        <v>AT</v>
      </c>
      <c r="M49" s="42" t="str">
        <f ca="1"/>
        <v>Full Case</v>
      </c>
      <c r="N49" s="42" t="str">
        <f ca="1"/>
        <v>Open</v>
      </c>
      <c r="O49" s="42" t="str">
        <f ca="1"/>
        <v>WIP</v>
      </c>
      <c r="P49">
        <f ca="1"/>
        <v>0</v>
      </c>
      <c r="Q49" t="str">
        <f ca="1"/>
        <v>Navnath Raju Burkul</v>
      </c>
      <c r="R49" t="str">
        <f ca="1"/>
        <v>R/O Takli Mali, Taluka, Dist. Aurangabad.</v>
      </c>
      <c r="S49" t="str">
        <f ca="1"/>
        <v>Sambhaji Nagar</v>
      </c>
      <c r="T49" s="314" t="str">
        <f ca="1"/>
        <v>Completed</v>
      </c>
      <c r="U49" t="str">
        <f ca="1"/>
        <v xml:space="preserve">Na </v>
      </c>
      <c r="V49">
        <f ca="1"/>
        <v>0</v>
      </c>
      <c r="W49">
        <f ca="1"/>
        <v>0</v>
      </c>
      <c r="X49" s="42" t="str">
        <f ca="1"/>
        <v>NA</v>
      </c>
      <c r="Y49" t="str">
        <f ca="1"/>
        <v>Pravin Ashruba Andhale 9890471033</v>
      </c>
      <c r="Z49" t="str">
        <f ca="1"/>
        <v>R/O Dhutre Andhale Gali, Limbodi Tal. Ashti Dist. Beed.</v>
      </c>
      <c r="AA49" t="str">
        <f ca="1"/>
        <v>Beed</v>
      </c>
      <c r="AB49" t="str">
        <f ca="1"/>
        <v>NA</v>
      </c>
      <c r="AC49" s="42" t="str">
        <f ca="1"/>
        <v>Completed</v>
      </c>
      <c r="AD49" t="str">
        <f ca="1"/>
        <v xml:space="preserve"> Anna Vaijinath Mulekar</v>
      </c>
      <c r="AE49">
        <f ca="1"/>
        <v>0</v>
      </c>
      <c r="AF49">
        <f ca="1"/>
        <v>0</v>
      </c>
      <c r="AG49" s="42" t="str">
        <f ca="1"/>
        <v>Completed</v>
      </c>
      <c r="AH49" t="str">
        <f ca="1"/>
        <v>NA</v>
      </c>
      <c r="AI49" s="42" t="str">
        <f ca="1"/>
        <v>NA</v>
      </c>
      <c r="AJ49" t="str">
        <f ca="1"/>
        <v>NA</v>
      </c>
      <c r="AK49" s="42" t="str">
        <f ca="1"/>
        <v>NA</v>
      </c>
      <c r="AL49" t="str">
        <f ca="1"/>
        <v>NA</v>
      </c>
      <c r="AM49" s="42" t="str">
        <f ca="1"/>
        <v>NA</v>
      </c>
      <c r="AN49" t="str">
        <f ca="1"/>
        <v>NA</v>
      </c>
      <c r="AO49" s="42" t="str">
        <f ca="1"/>
        <v>NA</v>
      </c>
      <c r="AP49" t="str">
        <f ca="1"/>
        <v xml:space="preserve">NA </v>
      </c>
      <c r="AQ49" t="str">
        <f ca="1"/>
        <v>On near the farms of Karmad Shivar, Aram Korde and Vitthal Korde on the road leading to the village.</v>
      </c>
      <c r="AR49">
        <f ca="1"/>
        <v>0</v>
      </c>
      <c r="AS49" s="42" t="str">
        <f ca="1"/>
        <v>Completed</v>
      </c>
      <c r="AT49" t="str">
        <f ca="1"/>
        <v>0451/2023</v>
      </c>
      <c r="AU49" t="str">
        <f ca="1"/>
        <v>Karmad Police Station</v>
      </c>
      <c r="AV49" t="str">
        <f ca="1"/>
        <v>Aurangabad</v>
      </c>
      <c r="AW49" t="str">
        <f ca="1"/>
        <v>NA</v>
      </c>
      <c r="AX49" s="42" t="str">
        <f ca="1"/>
        <v>Completed</v>
      </c>
      <c r="AY49" t="str">
        <f ca="1"/>
        <v xml:space="preserve">NA </v>
      </c>
      <c r="AZ49">
        <f ca="1"/>
        <v>0</v>
      </c>
      <c r="BA49">
        <f ca="1"/>
        <v>0</v>
      </c>
      <c r="BB49" s="42" t="str">
        <f ca="1"/>
        <v>NA</v>
      </c>
      <c r="BC49">
        <f ca="1"/>
        <v>0</v>
      </c>
      <c r="BD49">
        <f ca="1"/>
        <v>0</v>
      </c>
      <c r="BE49" t="str">
        <f ca="1"/>
        <v xml:space="preserve">Spot and CS / Claimant Pending for Insured and driver </v>
      </c>
    </row>
    <row r="50" spans="1:57">
      <c r="A50" s="42">
        <f ca="1"/>
        <v>49</v>
      </c>
      <c r="B50" s="42" t="str">
        <f ca="1"/>
        <v>2025212047</v>
      </c>
      <c r="C50" s="42" t="str">
        <f ca="1"/>
        <v>Indusind General Insurance Co Ltd</v>
      </c>
      <c r="D50" s="42" t="str">
        <f ca="1"/>
        <v>MACT</v>
      </c>
      <c r="E50" s="42" t="str">
        <f ca="1"/>
        <v>R001-1049-SS-2025</v>
      </c>
      <c r="F50" s="310">
        <f ca="1"/>
        <v>45961</v>
      </c>
      <c r="G50" s="42" t="str">
        <f ca="1"/>
        <v>Oct-25</v>
      </c>
      <c r="H50" s="312" t="str">
        <f ca="1"/>
        <v>-</v>
      </c>
      <c r="I50" s="42">
        <f ca="1"/>
        <v>0</v>
      </c>
      <c r="J50" s="310">
        <f ca="1"/>
        <v>46003</v>
      </c>
      <c r="K50" s="42">
        <f ca="1"/>
        <v>66</v>
      </c>
      <c r="L50" s="42" t="str">
        <f ca="1"/>
        <v>AT</v>
      </c>
      <c r="M50" s="42" t="str">
        <f ca="1"/>
        <v>Full Case</v>
      </c>
      <c r="N50" s="42" t="str">
        <f ca="1"/>
        <v>QC</v>
      </c>
      <c r="O50" s="42" t="str">
        <f ca="1"/>
        <v>Pending CS</v>
      </c>
      <c r="P50">
        <f ca="1"/>
        <v>0</v>
      </c>
      <c r="Q50" t="str">
        <f ca="1"/>
        <v>Bebi  Dattatraya Kathar</v>
      </c>
      <c r="R50" t="str">
        <f ca="1"/>
        <v>R/O  4-34-154, Lane No.1, Behind Sadbhavna Ganesh Mandir, New Hanuman Nagar, Garkheda Parisar, Chhatrapati Sambhajinagar.</v>
      </c>
      <c r="S50" t="str">
        <f ca="1"/>
        <v>Sambhaji Nagar</v>
      </c>
      <c r="T50" s="314" t="str">
        <f ca="1"/>
        <v>Completed</v>
      </c>
      <c r="U50" t="str">
        <f ca="1"/>
        <v xml:space="preserve">Na </v>
      </c>
      <c r="V50">
        <f ca="1"/>
        <v>0</v>
      </c>
      <c r="W50">
        <f ca="1"/>
        <v>0</v>
      </c>
      <c r="X50" s="42" t="str">
        <f ca="1"/>
        <v>NA</v>
      </c>
      <c r="Y50" t="str">
        <f ca="1"/>
        <v>Rohit  Dadarao Shirsath</v>
      </c>
      <c r="Z50" t="str">
        <f ca="1"/>
        <v>R/O Near Ambedkar Putala, Osmanpura, Chh.Sambhajinagar.</v>
      </c>
      <c r="AA50" t="str">
        <f ca="1"/>
        <v>Sambhaji Nagar</v>
      </c>
      <c r="AB50" t="str">
        <f ca="1"/>
        <v>NA</v>
      </c>
      <c r="AC50" s="42" t="str">
        <f ca="1"/>
        <v>Completed</v>
      </c>
      <c r="AD50" t="str">
        <f ca="1"/>
        <v>Akshay  Baban Jadhav</v>
      </c>
      <c r="AE50">
        <f ca="1"/>
        <v>0</v>
      </c>
      <c r="AF50" t="str">
        <f ca="1"/>
        <v>Shubham Waghule</v>
      </c>
      <c r="AG50" s="42" t="str">
        <f ca="1"/>
        <v>Completed</v>
      </c>
      <c r="AH50" t="str">
        <f ca="1"/>
        <v>NA</v>
      </c>
      <c r="AI50" s="42" t="str">
        <f ca="1"/>
        <v>NA</v>
      </c>
      <c r="AJ50" t="str">
        <f ca="1"/>
        <v>NA</v>
      </c>
      <c r="AK50" s="42" t="str">
        <f ca="1"/>
        <v>NA</v>
      </c>
      <c r="AL50" t="str">
        <f ca="1"/>
        <v>NA</v>
      </c>
      <c r="AM50" s="42" t="str">
        <f ca="1"/>
        <v>NA</v>
      </c>
      <c r="AN50" t="str">
        <f ca="1"/>
        <v>NA</v>
      </c>
      <c r="AO50" s="42" t="str">
        <f ca="1"/>
        <v>NA</v>
      </c>
      <c r="AP50" t="str">
        <f ca="1"/>
        <v xml:space="preserve">NA </v>
      </c>
      <c r="AQ50" t="str">
        <f ca="1"/>
        <v>At Chetak Ghoda T-Point on public road.</v>
      </c>
      <c r="AR50">
        <f ca="1"/>
        <v>0</v>
      </c>
      <c r="AS50" s="42" t="str">
        <f ca="1"/>
        <v>Completed</v>
      </c>
      <c r="AT50" t="str">
        <f ca="1"/>
        <v>0307/2024</v>
      </c>
      <c r="AU50" t="str">
        <f ca="1"/>
        <v>Jawahar police station</v>
      </c>
      <c r="AV50" t="str">
        <f ca="1"/>
        <v>Aurangabad</v>
      </c>
      <c r="AW50" t="str">
        <f ca="1"/>
        <v>NA</v>
      </c>
      <c r="AX50" s="42" t="str">
        <f ca="1"/>
        <v>NI</v>
      </c>
      <c r="AY50" t="str">
        <f ca="1"/>
        <v xml:space="preserve">NA </v>
      </c>
      <c r="AZ50">
        <f ca="1"/>
        <v>0</v>
      </c>
      <c r="BA50">
        <f ca="1"/>
        <v>0</v>
      </c>
      <c r="BB50" s="42" t="str">
        <f ca="1"/>
        <v>NA</v>
      </c>
      <c r="BC50">
        <f ca="1"/>
        <v>0</v>
      </c>
      <c r="BD50">
        <f ca="1"/>
        <v>0</v>
      </c>
      <c r="BE50">
        <f ca="1"/>
        <v>0</v>
      </c>
    </row>
    <row r="51" spans="1:57">
      <c r="A51" s="42">
        <f ca="1"/>
        <v>50</v>
      </c>
      <c r="B51" s="42" t="str">
        <f ca="1"/>
        <v>MTP-N-2526-004166</v>
      </c>
      <c r="C51" s="42" t="str">
        <f ca="1"/>
        <v>Generali Central Insurance Company Limited</v>
      </c>
      <c r="D51" s="42" t="str">
        <f ca="1"/>
        <v>MACT</v>
      </c>
      <c r="E51" s="42" t="str">
        <f ca="1"/>
        <v>F001-1050-SS-2025</v>
      </c>
      <c r="F51" s="310">
        <f ca="1"/>
        <v>45962</v>
      </c>
      <c r="G51" s="42" t="str">
        <f ca="1"/>
        <v>Nov-25</v>
      </c>
      <c r="H51" s="312">
        <f ca="1"/>
        <v>46008</v>
      </c>
      <c r="I51" s="42" t="str">
        <f ca="1"/>
        <v>Dec-25</v>
      </c>
      <c r="J51" s="310">
        <f ca="1"/>
        <v>46003</v>
      </c>
      <c r="K51" s="42">
        <f ca="1"/>
        <v>46</v>
      </c>
      <c r="L51" s="42" t="str">
        <f ca="1"/>
        <v>AT</v>
      </c>
      <c r="M51" s="42" t="str">
        <f ca="1"/>
        <v>Full Case</v>
      </c>
      <c r="N51" s="42" t="str">
        <f ca="1"/>
        <v>Approval</v>
      </c>
      <c r="O51" s="42" t="str">
        <f ca="1"/>
        <v>Completed</v>
      </c>
      <c r="P51">
        <f ca="1"/>
        <v>0</v>
      </c>
      <c r="Q51" t="str">
        <f ca="1"/>
        <v>Shivalila Basavaraj Jamadi</v>
      </c>
      <c r="R51" t="str">
        <f ca="1"/>
        <v>R/o Sulerjawalage, Tq. Akkalkot, Dist. Solapur, in Limbi Chincholi, Tq. South Solapur-Valasang, Dist. Solapur.</v>
      </c>
      <c r="S51" t="str">
        <f ca="1"/>
        <v>solapur</v>
      </c>
      <c r="T51" s="314" t="str">
        <f ca="1"/>
        <v>Completed</v>
      </c>
      <c r="U51" t="str">
        <f ca="1"/>
        <v xml:space="preserve">Na </v>
      </c>
      <c r="V51">
        <f ca="1"/>
        <v>0</v>
      </c>
      <c r="W51">
        <f ca="1"/>
        <v>0</v>
      </c>
      <c r="X51" s="42" t="str">
        <f ca="1"/>
        <v>WIP</v>
      </c>
      <c r="Y51" t="str">
        <f ca="1"/>
        <v>Vishal Kumar Goutamchand  9845320803</v>
      </c>
      <c r="Z51" t="str">
        <f ca="1"/>
        <v>R/o 6-1-2877, Opp: Annadaneshwari Hospital, Adarsha Colony, Ward no. 16, Sindhanoor Road, Raichur - 584128</v>
      </c>
      <c r="AA51" t="str">
        <f ca="1"/>
        <v>NA</v>
      </c>
      <c r="AB51" t="str">
        <f ca="1"/>
        <v>NA</v>
      </c>
      <c r="AC51" s="42" t="str">
        <f ca="1"/>
        <v>NA</v>
      </c>
      <c r="AD51" t="str">
        <f ca="1"/>
        <v>Shivaraj  Prabhurao Bugge</v>
      </c>
      <c r="AE51">
        <f ca="1"/>
        <v>0</v>
      </c>
      <c r="AF51" t="str">
        <f ca="1"/>
        <v>NA</v>
      </c>
      <c r="AG51" s="42" t="str">
        <f ca="1"/>
        <v>NA</v>
      </c>
      <c r="AH51" t="str">
        <f ca="1"/>
        <v>NA</v>
      </c>
      <c r="AI51" s="42" t="str">
        <f ca="1"/>
        <v>NA</v>
      </c>
      <c r="AJ51" t="str">
        <f ca="1"/>
        <v>NA</v>
      </c>
      <c r="AK51" s="42" t="str">
        <f ca="1"/>
        <v>NA</v>
      </c>
      <c r="AL51" t="str">
        <f ca="1"/>
        <v>NA</v>
      </c>
      <c r="AM51" s="42" t="str">
        <f ca="1"/>
        <v>NA</v>
      </c>
      <c r="AN51" t="str">
        <f ca="1"/>
        <v>NA</v>
      </c>
      <c r="AO51" s="42" t="str">
        <f ca="1"/>
        <v>NA</v>
      </c>
      <c r="AP51" t="str">
        <f ca="1"/>
        <v xml:space="preserve">NA </v>
      </c>
      <c r="AQ51" t="str">
        <f ca="1"/>
        <v xml:space="preserve">near Vrundavan Hotel, Solapur- Akkalkot Road, Valsang, Tq. Solapur </v>
      </c>
      <c r="AR51">
        <f ca="1"/>
        <v>0</v>
      </c>
      <c r="AS51" s="42" t="str">
        <f ca="1"/>
        <v>NA</v>
      </c>
      <c r="AT51" t="str">
        <f ca="1"/>
        <v>364/2025</v>
      </c>
      <c r="AU51" t="str">
        <f ca="1"/>
        <v>Valsang Police Station</v>
      </c>
      <c r="AV51" t="str">
        <f ca="1"/>
        <v>Solapur</v>
      </c>
      <c r="AW51" t="str">
        <f ca="1"/>
        <v>NA</v>
      </c>
      <c r="AX51" s="42" t="str">
        <f ca="1"/>
        <v>NA</v>
      </c>
      <c r="AY51" t="str">
        <f ca="1"/>
        <v xml:space="preserve">Dr. V.M. Hospital and Medical college </v>
      </c>
      <c r="AZ51">
        <f ca="1"/>
        <v>0</v>
      </c>
      <c r="BA51">
        <f ca="1"/>
        <v>0</v>
      </c>
      <c r="BB51" s="42" t="str">
        <f ca="1"/>
        <v>WIP</v>
      </c>
      <c r="BC51">
        <f ca="1"/>
        <v>0</v>
      </c>
      <c r="BD51">
        <f ca="1"/>
        <v>0</v>
      </c>
      <c r="BE51">
        <f ca="1"/>
        <v>0</v>
      </c>
    </row>
    <row r="52" spans="1:57">
      <c r="A52" s="42">
        <f ca="1"/>
        <v>51</v>
      </c>
      <c r="B52" s="42" t="str">
        <f ca="1"/>
        <v>2025212181</v>
      </c>
      <c r="C52" s="42" t="str">
        <f ca="1"/>
        <v>Indusind General Insurance Co Ltd</v>
      </c>
      <c r="D52" s="42" t="str">
        <f ca="1"/>
        <v>MACT</v>
      </c>
      <c r="E52" s="42" t="str">
        <f ca="1"/>
        <v>R001-1051-SS-2025</v>
      </c>
      <c r="F52" s="310">
        <f ca="1"/>
        <v>45964</v>
      </c>
      <c r="G52" s="42" t="str">
        <f ca="1"/>
        <v>Nov-25</v>
      </c>
      <c r="H52" s="312" t="str">
        <f ca="1"/>
        <v>-</v>
      </c>
      <c r="I52" s="42">
        <f ca="1"/>
        <v>0</v>
      </c>
      <c r="J52" s="310">
        <f ca="1"/>
        <v>46006</v>
      </c>
      <c r="K52" s="42">
        <f ca="1"/>
        <v>63</v>
      </c>
      <c r="L52" s="42" t="str">
        <f ca="1"/>
        <v>AT</v>
      </c>
      <c r="M52" s="42" t="str">
        <f ca="1"/>
        <v>Full Case</v>
      </c>
      <c r="N52" s="42" t="str">
        <f ca="1"/>
        <v>Open</v>
      </c>
      <c r="O52" s="42" t="str">
        <f ca="1"/>
        <v>Pending CS</v>
      </c>
      <c r="P52">
        <f ca="1"/>
        <v>0</v>
      </c>
      <c r="Q52" t="str">
        <f ca="1"/>
        <v>Rupali Vinod Divate</v>
      </c>
      <c r="R52" t="str">
        <f ca="1"/>
        <v>R/O Plot No. 4, Arya Apartment Swastik Nagar, Behind Sukhada Hospital Dindori Road, Panchvati Nashik 422003</v>
      </c>
      <c r="S52" t="str">
        <f ca="1"/>
        <v>Nashik</v>
      </c>
      <c r="T52" s="314" t="str">
        <f ca="1"/>
        <v>Completed</v>
      </c>
      <c r="U52" t="str">
        <f ca="1"/>
        <v xml:space="preserve">Na </v>
      </c>
      <c r="V52">
        <f ca="1"/>
        <v>0</v>
      </c>
      <c r="W52">
        <f ca="1"/>
        <v>0</v>
      </c>
      <c r="X52" s="42" t="str">
        <f ca="1"/>
        <v>NA</v>
      </c>
      <c r="Y52" t="str">
        <f ca="1"/>
        <v xml:space="preserve">Prahlad Piraji Umbre </v>
      </c>
      <c r="Z52" t="str">
        <f ca="1"/>
        <v>R/O  Res. Bajrang Wadi, Vilholi Tal. Dist. Nashik</v>
      </c>
      <c r="AA52" t="str">
        <f ca="1"/>
        <v>Nashik</v>
      </c>
      <c r="AB52" t="str">
        <f ca="1"/>
        <v>NA</v>
      </c>
      <c r="AC52" s="42" t="str">
        <f ca="1"/>
        <v>Completed</v>
      </c>
      <c r="AD52" t="str">
        <f ca="1"/>
        <v xml:space="preserve">NA </v>
      </c>
      <c r="AE52">
        <f ca="1"/>
        <v>0</v>
      </c>
      <c r="AF52" t="str">
        <f ca="1"/>
        <v xml:space="preserve">NA </v>
      </c>
      <c r="AG52" s="42" t="str">
        <f ca="1"/>
        <v>Completed</v>
      </c>
      <c r="AH52" t="str">
        <f ca="1"/>
        <v>NA</v>
      </c>
      <c r="AI52" s="42" t="str">
        <f ca="1"/>
        <v>NA</v>
      </c>
      <c r="AJ52" t="str">
        <f ca="1"/>
        <v>NA</v>
      </c>
      <c r="AK52" s="42" t="str">
        <f ca="1"/>
        <v>NA</v>
      </c>
      <c r="AL52" t="str">
        <f ca="1"/>
        <v>NA</v>
      </c>
      <c r="AM52" s="42" t="str">
        <f ca="1"/>
        <v>NA</v>
      </c>
      <c r="AN52" t="str">
        <f ca="1"/>
        <v>NA</v>
      </c>
      <c r="AO52" s="42" t="str">
        <f ca="1"/>
        <v>NA</v>
      </c>
      <c r="AP52" t="str">
        <f ca="1"/>
        <v xml:space="preserve">NA </v>
      </c>
      <c r="AQ52" t="str">
        <f ca="1"/>
        <v>Amritdham Tarwala Nagar Road, near Siddheshwar Nagar board,</v>
      </c>
      <c r="AR52">
        <f ca="1"/>
        <v>0</v>
      </c>
      <c r="AS52" s="42" t="str">
        <f ca="1"/>
        <v>Completed</v>
      </c>
      <c r="AT52" t="str">
        <f ca="1"/>
        <v>33/2025</v>
      </c>
      <c r="AU52" t="str">
        <f ca="1"/>
        <v>Panchavati Police Station</v>
      </c>
      <c r="AV52" t="str">
        <f ca="1"/>
        <v>Nashik</v>
      </c>
      <c r="AW52" t="str">
        <f ca="1"/>
        <v>NA</v>
      </c>
      <c r="AX52" s="42" t="str">
        <f ca="1"/>
        <v>NI</v>
      </c>
      <c r="AY52" t="str">
        <f ca="1"/>
        <v xml:space="preserve">NA </v>
      </c>
      <c r="AZ52">
        <f ca="1"/>
        <v>0</v>
      </c>
      <c r="BA52">
        <f ca="1"/>
        <v>0</v>
      </c>
      <c r="BB52" s="42" t="str">
        <f ca="1"/>
        <v>NA</v>
      </c>
      <c r="BC52">
        <f ca="1"/>
        <v>0</v>
      </c>
      <c r="BD52">
        <f ca="1"/>
        <v>0</v>
      </c>
      <c r="BE52" t="str">
        <f ca="1"/>
        <v xml:space="preserve">Claimant / Spot Pending </v>
      </c>
    </row>
    <row r="53" spans="1:57">
      <c r="A53" s="42">
        <f ca="1"/>
        <v>52</v>
      </c>
      <c r="B53" s="42" t="str">
        <f ca="1"/>
        <v>2025212170</v>
      </c>
      <c r="C53" s="42" t="str">
        <f ca="1"/>
        <v>Indusind General Insurance Co Ltd</v>
      </c>
      <c r="D53" s="42" t="str">
        <f ca="1"/>
        <v>MACT</v>
      </c>
      <c r="E53" s="42" t="str">
        <f ca="1"/>
        <v>R001-1052-SS-2025</v>
      </c>
      <c r="F53" s="310">
        <f ca="1"/>
        <v>45964</v>
      </c>
      <c r="G53" s="42" t="str">
        <f ca="1"/>
        <v>Nov-25</v>
      </c>
      <c r="H53" s="312">
        <f ca="1"/>
        <v>46022</v>
      </c>
      <c r="I53" s="42" t="str">
        <f ca="1"/>
        <v>Dec-25</v>
      </c>
      <c r="J53" s="310">
        <f ca="1"/>
        <v>46006</v>
      </c>
      <c r="K53" s="42">
        <f ca="1"/>
        <v>58</v>
      </c>
      <c r="L53" s="42" t="str">
        <f ca="1"/>
        <v>AT</v>
      </c>
      <c r="M53" s="42" t="str">
        <f ca="1"/>
        <v>Full Case</v>
      </c>
      <c r="N53" s="42" t="str">
        <f ca="1"/>
        <v>Open</v>
      </c>
      <c r="O53" s="42" t="str">
        <f ca="1"/>
        <v>Completed</v>
      </c>
      <c r="P53">
        <f ca="1"/>
        <v>0</v>
      </c>
      <c r="Q53" t="str">
        <f ca="1"/>
        <v>Dipali Pradeep Sonwane</v>
      </c>
      <c r="R53" t="str">
        <f ca="1"/>
        <v>R/O Malhar Road, near Khandoba Temple, Tal. Satana, Dist. Nashik.</v>
      </c>
      <c r="S53" t="str">
        <f ca="1"/>
        <v>Nashik</v>
      </c>
      <c r="T53" s="314" t="str">
        <f ca="1"/>
        <v>Completed</v>
      </c>
      <c r="U53" t="str">
        <f ca="1"/>
        <v xml:space="preserve">Na </v>
      </c>
      <c r="V53">
        <f ca="1"/>
        <v>0</v>
      </c>
      <c r="W53">
        <f ca="1"/>
        <v>0</v>
      </c>
      <c r="X53" s="42" t="str">
        <f ca="1"/>
        <v>NA</v>
      </c>
      <c r="Y53" t="str">
        <f ca="1"/>
        <v>Bhagyashree Amol Shelke</v>
      </c>
      <c r="Z53" t="str">
        <f ca="1"/>
        <v>R/O Mahalakshmi Row-House No.06, Murari Nagar, Kamthwade, Ambad Khurd, Nashik- 422010.</v>
      </c>
      <c r="AA53" t="str">
        <f ca="1"/>
        <v>Nahik</v>
      </c>
      <c r="AB53" t="str">
        <f ca="1"/>
        <v>NA</v>
      </c>
      <c r="AC53" s="42" t="str">
        <f ca="1"/>
        <v>Completed</v>
      </c>
      <c r="AD53" t="str">
        <f ca="1"/>
        <v xml:space="preserve">NA </v>
      </c>
      <c r="AE53">
        <f ca="1"/>
        <v>0</v>
      </c>
      <c r="AF53" t="str">
        <f ca="1"/>
        <v>Swapnil Misal</v>
      </c>
      <c r="AG53" s="42" t="str">
        <f ca="1"/>
        <v>Completed</v>
      </c>
      <c r="AH53" t="str">
        <f ca="1"/>
        <v>NA</v>
      </c>
      <c r="AI53" s="42" t="str">
        <f ca="1"/>
        <v>NA</v>
      </c>
      <c r="AJ53" t="str">
        <f ca="1"/>
        <v>NA</v>
      </c>
      <c r="AK53" s="42" t="str">
        <f ca="1"/>
        <v>NA</v>
      </c>
      <c r="AL53" t="str">
        <f ca="1"/>
        <v>NA</v>
      </c>
      <c r="AM53" s="42" t="str">
        <f ca="1"/>
        <v>NA</v>
      </c>
      <c r="AN53" t="str">
        <f ca="1"/>
        <v>NA</v>
      </c>
      <c r="AO53" s="42" t="str">
        <f ca="1"/>
        <v>NA</v>
      </c>
      <c r="AP53" t="str">
        <f ca="1"/>
        <v xml:space="preserve">NA </v>
      </c>
      <c r="AQ53" t="str">
        <f ca="1"/>
        <v>On Satana to Taharabad Road, Aundane Shivarat, opposite Yashwant Nagar Bus Stop, near S. S. Motors</v>
      </c>
      <c r="AR53">
        <f ca="1"/>
        <v>0</v>
      </c>
      <c r="AS53" s="42" t="str">
        <f ca="1"/>
        <v>Completed</v>
      </c>
      <c r="AT53" t="str">
        <f ca="1"/>
        <v>0285/2025</v>
      </c>
      <c r="AU53" t="str">
        <f ca="1"/>
        <v>Satana Police Station</v>
      </c>
      <c r="AV53" t="str">
        <f ca="1"/>
        <v>Nashik</v>
      </c>
      <c r="AW53" t="str">
        <f ca="1"/>
        <v>NA</v>
      </c>
      <c r="AX53" s="42" t="str">
        <f ca="1"/>
        <v>Completed</v>
      </c>
      <c r="AY53" t="str">
        <f ca="1"/>
        <v xml:space="preserve">NA </v>
      </c>
      <c r="AZ53">
        <f ca="1"/>
        <v>0</v>
      </c>
      <c r="BA53">
        <f ca="1"/>
        <v>0</v>
      </c>
      <c r="BB53" s="42" t="str">
        <f ca="1"/>
        <v>NA</v>
      </c>
      <c r="BC53">
        <f ca="1"/>
        <v>0</v>
      </c>
      <c r="BD53">
        <f ca="1"/>
        <v>0</v>
      </c>
      <c r="BE53" t="str">
        <f ca="1"/>
        <v xml:space="preserve">Driver Part/ Insured </v>
      </c>
    </row>
    <row r="54" spans="1:57">
      <c r="A54" s="42">
        <f ca="1"/>
        <v>53</v>
      </c>
      <c r="B54" s="42" t="str">
        <f ca="1"/>
        <v>2025212168</v>
      </c>
      <c r="C54" s="42" t="str">
        <f ca="1"/>
        <v>Indusind General Insurance Co Ltd</v>
      </c>
      <c r="D54" s="42" t="str">
        <f ca="1"/>
        <v>MACT</v>
      </c>
      <c r="E54" s="42" t="str">
        <f ca="1"/>
        <v>R001-1053-SS-2025</v>
      </c>
      <c r="F54" s="310">
        <f ca="1"/>
        <v>45964</v>
      </c>
      <c r="G54" s="42" t="str">
        <f ca="1"/>
        <v>Nov-25</v>
      </c>
      <c r="H54" s="312" t="str">
        <f ca="1"/>
        <v>-</v>
      </c>
      <c r="I54" s="42">
        <f ca="1"/>
        <v>0</v>
      </c>
      <c r="J54" s="310">
        <f ca="1"/>
        <v>46006</v>
      </c>
      <c r="K54" s="42">
        <f ca="1"/>
        <v>63</v>
      </c>
      <c r="L54" s="42" t="str">
        <f ca="1"/>
        <v>AT</v>
      </c>
      <c r="M54" s="42" t="str">
        <f ca="1"/>
        <v>Full Case</v>
      </c>
      <c r="N54" s="42" t="str">
        <f ca="1"/>
        <v>Open</v>
      </c>
      <c r="O54" s="42" t="str">
        <f ca="1"/>
        <v>Pending CS</v>
      </c>
      <c r="P54">
        <f ca="1"/>
        <v>0</v>
      </c>
      <c r="Q54" t="str">
        <f ca="1"/>
        <v>Sangita Gajendra Katare</v>
      </c>
      <c r="R54" t="str">
        <f ca="1"/>
        <v>M.P.O. Manegaon, Tal. Sinnar, Dist. Nashik- 422103</v>
      </c>
      <c r="S54" t="str">
        <f ca="1"/>
        <v>Nashik</v>
      </c>
      <c r="T54" s="314" t="str">
        <f ca="1"/>
        <v>Completed</v>
      </c>
      <c r="U54" t="str">
        <f ca="1"/>
        <v xml:space="preserve">Na </v>
      </c>
      <c r="V54">
        <f ca="1"/>
        <v>0</v>
      </c>
      <c r="W54">
        <f ca="1"/>
        <v>0</v>
      </c>
      <c r="X54" s="42" t="str">
        <f ca="1"/>
        <v>NA</v>
      </c>
      <c r="Y54" t="str">
        <f ca="1"/>
        <v>Navnath Santu Gofne</v>
      </c>
      <c r="Z54" t="str">
        <f ca="1"/>
        <v>Md. Dhulwad, Po. Pimple, Ramoshiwadi, Dapur, Sinnar, Tal. Sinnar, Dist. Nashik 422606</v>
      </c>
      <c r="AA54" t="str">
        <f ca="1"/>
        <v>Nashik</v>
      </c>
      <c r="AB54" t="str">
        <f ca="1"/>
        <v>NA</v>
      </c>
      <c r="AC54" s="42" t="str">
        <f ca="1"/>
        <v>Completed</v>
      </c>
      <c r="AD54" t="str">
        <f ca="1"/>
        <v xml:space="preserve">NA </v>
      </c>
      <c r="AE54">
        <f ca="1"/>
        <v>0</v>
      </c>
      <c r="AF54" t="str">
        <f ca="1"/>
        <v>Swapnil Misal</v>
      </c>
      <c r="AG54" s="42" t="str">
        <f ca="1"/>
        <v>Completed</v>
      </c>
      <c r="AH54" t="str">
        <f ca="1"/>
        <v>NA</v>
      </c>
      <c r="AI54" s="42" t="str">
        <f ca="1"/>
        <v>NA</v>
      </c>
      <c r="AJ54" t="str">
        <f ca="1"/>
        <v>NA</v>
      </c>
      <c r="AK54" s="42" t="str">
        <f ca="1"/>
        <v>NA</v>
      </c>
      <c r="AL54" t="str">
        <f ca="1"/>
        <v>NA</v>
      </c>
      <c r="AM54" s="42" t="str">
        <f ca="1"/>
        <v>NA</v>
      </c>
      <c r="AN54" t="str">
        <f ca="1"/>
        <v>NA</v>
      </c>
      <c r="AO54" s="42" t="str">
        <f ca="1"/>
        <v>NA</v>
      </c>
      <c r="AP54" t="str">
        <f ca="1"/>
        <v xml:space="preserve">NA </v>
      </c>
      <c r="AQ54" t="str">
        <f ca="1"/>
        <v>Manegaon Shivarat, near Manegaon Bypass Bridge.</v>
      </c>
      <c r="AR54">
        <f ca="1"/>
        <v>0</v>
      </c>
      <c r="AS54" s="42" t="str">
        <f ca="1"/>
        <v>Completed</v>
      </c>
      <c r="AT54" t="str">
        <f ca="1"/>
        <v>0127/2025</v>
      </c>
      <c r="AU54" t="str">
        <f ca="1"/>
        <v>Sinnar Police Station</v>
      </c>
      <c r="AV54" t="str">
        <f ca="1"/>
        <v>Nashik</v>
      </c>
      <c r="AW54" t="str">
        <f ca="1"/>
        <v>NA</v>
      </c>
      <c r="AX54" s="42" t="str">
        <f ca="1"/>
        <v>WIP</v>
      </c>
      <c r="AY54" t="str">
        <f ca="1"/>
        <v xml:space="preserve">NA </v>
      </c>
      <c r="AZ54">
        <f ca="1"/>
        <v>0</v>
      </c>
      <c r="BA54">
        <f ca="1"/>
        <v>0</v>
      </c>
      <c r="BB54" s="42" t="str">
        <f ca="1"/>
        <v>NA</v>
      </c>
      <c r="BC54">
        <f ca="1"/>
        <v>0</v>
      </c>
      <c r="BD54">
        <f ca="1"/>
        <v>0</v>
      </c>
      <c r="BE54">
        <f ca="1"/>
        <v>0</v>
      </c>
    </row>
    <row r="55" spans="1:57">
      <c r="A55" s="42">
        <f ca="1"/>
        <v>54</v>
      </c>
      <c r="B55" s="42" t="str">
        <f ca="1"/>
        <v>2025212148</v>
      </c>
      <c r="C55" s="42" t="str">
        <f ca="1"/>
        <v>Indusind General Insurance Co Ltd</v>
      </c>
      <c r="D55" s="42" t="str">
        <f ca="1"/>
        <v>MACT</v>
      </c>
      <c r="E55" s="42" t="str">
        <f ca="1"/>
        <v>R001-1054-SS-2025</v>
      </c>
      <c r="F55" s="310">
        <f ca="1"/>
        <v>45964</v>
      </c>
      <c r="G55" s="42" t="str">
        <f ca="1"/>
        <v>Nov-25</v>
      </c>
      <c r="H55" s="312" t="str">
        <f ca="1"/>
        <v>-</v>
      </c>
      <c r="I55" s="42">
        <f ca="1"/>
        <v>0</v>
      </c>
      <c r="J55" s="310">
        <f ca="1"/>
        <v>46006</v>
      </c>
      <c r="K55" s="42">
        <f ca="1"/>
        <v>63</v>
      </c>
      <c r="L55" s="42" t="str">
        <f ca="1"/>
        <v>AT</v>
      </c>
      <c r="M55" s="42" t="str">
        <f ca="1"/>
        <v>Full Case</v>
      </c>
      <c r="N55" s="42" t="str">
        <f ca="1"/>
        <v>Open</v>
      </c>
      <c r="O55" s="42" t="str">
        <f ca="1"/>
        <v>Pending CS</v>
      </c>
      <c r="P55">
        <f ca="1"/>
        <v>0</v>
      </c>
      <c r="Q55" t="str">
        <f ca="1"/>
        <v>Manisha Bandu Bankar</v>
      </c>
      <c r="R55" t="str">
        <f ca="1"/>
        <v>R/O Anu No. 1st to 3rd. Shringarwadi, Paithan, Dist. Chhatrapati Sambhajinagar (Aurangabad)</v>
      </c>
      <c r="S55" t="str">
        <f ca="1"/>
        <v>Sambhaji Nagar</v>
      </c>
      <c r="T55" s="314" t="str">
        <f ca="1"/>
        <v>Completed</v>
      </c>
      <c r="U55" t="str">
        <f ca="1"/>
        <v xml:space="preserve">Na </v>
      </c>
      <c r="V55">
        <f ca="1"/>
        <v>0</v>
      </c>
      <c r="W55">
        <f ca="1"/>
        <v>0</v>
      </c>
      <c r="X55" s="42" t="str">
        <f ca="1"/>
        <v>NA</v>
      </c>
      <c r="Y55" t="str">
        <f ca="1"/>
        <v>Yogesh Digambar Mindad</v>
      </c>
      <c r="Z55" t="str">
        <f ca="1"/>
        <v>R/O Mu.Akhadwara, P.O. Rahatgaon
Tal. Paithan, Dist. Chhatrapati Sambhajinagar (Aurangabad) 431107</v>
      </c>
      <c r="AA55" t="str">
        <f ca="1"/>
        <v>Sambhaji Nagar</v>
      </c>
      <c r="AB55" t="str">
        <f ca="1"/>
        <v>NA</v>
      </c>
      <c r="AC55" s="42" t="str">
        <f ca="1"/>
        <v>Completed</v>
      </c>
      <c r="AD55" t="str">
        <f ca="1"/>
        <v xml:space="preserve">NA </v>
      </c>
      <c r="AE55">
        <f ca="1"/>
        <v>0</v>
      </c>
      <c r="AF55" t="str">
        <f ca="1"/>
        <v>Shubham Waghule</v>
      </c>
      <c r="AG55" s="42" t="str">
        <f ca="1"/>
        <v>Completed</v>
      </c>
      <c r="AH55" t="str">
        <f ca="1"/>
        <v>NA</v>
      </c>
      <c r="AI55" s="42" t="str">
        <f ca="1"/>
        <v>NA</v>
      </c>
      <c r="AJ55" t="str">
        <f ca="1"/>
        <v>NA</v>
      </c>
      <c r="AK55" s="42" t="str">
        <f ca="1"/>
        <v>NA</v>
      </c>
      <c r="AL55" t="str">
        <f ca="1"/>
        <v>NA</v>
      </c>
      <c r="AM55" s="42" t="str">
        <f ca="1"/>
        <v>NA</v>
      </c>
      <c r="AN55" t="str">
        <f ca="1"/>
        <v>NA</v>
      </c>
      <c r="AO55" s="42" t="str">
        <f ca="1"/>
        <v>NA</v>
      </c>
      <c r="AP55" t="str">
        <f ca="1"/>
        <v xml:space="preserve">NA </v>
      </c>
      <c r="AQ55" t="str">
        <f ca="1"/>
        <v>On the Paithan to Pachod Road, near Sarthak Hotel, on the road</v>
      </c>
      <c r="AR55">
        <f ca="1"/>
        <v>0</v>
      </c>
      <c r="AS55" s="42" t="str">
        <f ca="1"/>
        <v>Completed</v>
      </c>
      <c r="AT55" t="str">
        <f ca="1"/>
        <v>0038/2025</v>
      </c>
      <c r="AU55" t="str">
        <f ca="1"/>
        <v>PAINTHAN POLICE STATION</v>
      </c>
      <c r="AV55" t="str">
        <f ca="1"/>
        <v>Sambhajinagar</v>
      </c>
      <c r="AW55" t="str">
        <f ca="1"/>
        <v>NA</v>
      </c>
      <c r="AX55" s="42" t="str">
        <f ca="1"/>
        <v>WIP</v>
      </c>
      <c r="AY55" t="str">
        <f ca="1"/>
        <v xml:space="preserve">NA </v>
      </c>
      <c r="AZ55">
        <f ca="1"/>
        <v>0</v>
      </c>
      <c r="BA55">
        <f ca="1"/>
        <v>0</v>
      </c>
      <c r="BB55" s="42" t="str">
        <f ca="1"/>
        <v>NA</v>
      </c>
      <c r="BC55">
        <f ca="1"/>
        <v>0</v>
      </c>
      <c r="BD55">
        <f ca="1"/>
        <v>0</v>
      </c>
      <c r="BE55" t="str">
        <f ca="1"/>
        <v>Claimant/ Insured Non cooprative/ driver - No DL / Spot Pending for CS</v>
      </c>
    </row>
    <row r="56" spans="1:57">
      <c r="A56" s="42">
        <f ca="1"/>
        <v>55</v>
      </c>
      <c r="B56" s="42" t="str">
        <f ca="1"/>
        <v>2025212191</v>
      </c>
      <c r="C56" s="42" t="str">
        <f ca="1"/>
        <v>Indusind General Insurance Co Ltd</v>
      </c>
      <c r="D56" s="42" t="str">
        <f ca="1"/>
        <v>MACT</v>
      </c>
      <c r="E56" s="42" t="str">
        <f ca="1"/>
        <v>R001-1055-SS-2025</v>
      </c>
      <c r="F56" s="310">
        <f ca="1"/>
        <v>45964</v>
      </c>
      <c r="G56" s="42" t="str">
        <f ca="1"/>
        <v>Nov-25</v>
      </c>
      <c r="H56" s="312" t="str">
        <f ca="1"/>
        <v>-</v>
      </c>
      <c r="I56" s="42">
        <f ca="1"/>
        <v>0</v>
      </c>
      <c r="J56" s="310">
        <f ca="1"/>
        <v>46006</v>
      </c>
      <c r="K56" s="42">
        <f ca="1"/>
        <v>63</v>
      </c>
      <c r="L56" s="42" t="str">
        <f ca="1"/>
        <v>AT</v>
      </c>
      <c r="M56" s="42" t="str">
        <f ca="1"/>
        <v>Full Case</v>
      </c>
      <c r="N56" s="42" t="str">
        <f ca="1"/>
        <v>Open</v>
      </c>
      <c r="O56" s="42" t="str">
        <f ca="1"/>
        <v>WIP</v>
      </c>
      <c r="P56">
        <f ca="1"/>
        <v>0</v>
      </c>
      <c r="Q56" t="str">
        <f ca="1"/>
        <v>Kiran Ramdas Borude 7218753697</v>
      </c>
      <c r="R56" t="str">
        <f ca="1"/>
        <v>R/O Borudevasti, Kokangaon Taluka Karjat Dist. Ahilyanagar Pin 414401</v>
      </c>
      <c r="S56" t="str">
        <f ca="1"/>
        <v>Ahilyanagar</v>
      </c>
      <c r="T56" s="314" t="str">
        <f ca="1"/>
        <v>WIP</v>
      </c>
      <c r="U56" t="str">
        <f ca="1"/>
        <v xml:space="preserve">Na </v>
      </c>
      <c r="V56">
        <f ca="1"/>
        <v>0</v>
      </c>
      <c r="W56">
        <f ca="1"/>
        <v>0</v>
      </c>
      <c r="X56" s="42" t="str">
        <f ca="1"/>
        <v>NA</v>
      </c>
      <c r="Y56" t="str">
        <f ca="1"/>
        <v>Sagar Manohar Raska 9518771836</v>
      </c>
      <c r="Z56" t="str">
        <f ca="1"/>
        <v>R/O Konkangaon to Karjat Dist. Ahilyanagar Pin No 414401</v>
      </c>
      <c r="AA56" t="str">
        <f ca="1"/>
        <v>Ahilyanagar</v>
      </c>
      <c r="AB56" t="str">
        <f ca="1"/>
        <v>NA</v>
      </c>
      <c r="AC56" s="42" t="str">
        <f ca="1"/>
        <v>WIP</v>
      </c>
      <c r="AD56" t="str">
        <f ca="1"/>
        <v>Deepak Balasaheb Khedkar</v>
      </c>
      <c r="AE56">
        <f ca="1"/>
        <v>0</v>
      </c>
      <c r="AF56" t="str">
        <f ca="1"/>
        <v>Mohsin Shaikh</v>
      </c>
      <c r="AG56" s="42" t="str">
        <f ca="1"/>
        <v>WIP</v>
      </c>
      <c r="AH56" t="str">
        <f ca="1"/>
        <v>NA</v>
      </c>
      <c r="AI56" s="42" t="str">
        <f ca="1"/>
        <v>NA</v>
      </c>
      <c r="AJ56" t="str">
        <f ca="1"/>
        <v>NA</v>
      </c>
      <c r="AK56" s="42" t="str">
        <f ca="1"/>
        <v>NA</v>
      </c>
      <c r="AL56" t="str">
        <f ca="1"/>
        <v>NA</v>
      </c>
      <c r="AM56" s="42" t="str">
        <f ca="1"/>
        <v>NA</v>
      </c>
      <c r="AN56" t="str">
        <f ca="1"/>
        <v>NA</v>
      </c>
      <c r="AO56" s="42" t="str">
        <f ca="1"/>
        <v>NA</v>
      </c>
      <c r="AP56" t="str">
        <f ca="1"/>
        <v xml:space="preserve">NA </v>
      </c>
      <c r="AQ56" t="str">
        <f ca="1"/>
        <v>An accident took place on Nagar Solapur Road within the limits of Mirjagaon village and the said accident was registered at Mirjagaon Police Station</v>
      </c>
      <c r="AR56">
        <f ca="1"/>
        <v>0</v>
      </c>
      <c r="AS56" s="42" t="str">
        <f ca="1"/>
        <v>WIP</v>
      </c>
      <c r="AT56" t="str">
        <f ca="1"/>
        <v>0024/2025</v>
      </c>
      <c r="AU56" t="str">
        <f ca="1"/>
        <v xml:space="preserve"> Mirjagaon Police Station</v>
      </c>
      <c r="AV56" t="str">
        <f ca="1"/>
        <v>Shrigonda</v>
      </c>
      <c r="AW56" t="str">
        <f ca="1"/>
        <v>NA</v>
      </c>
      <c r="AX56" s="42" t="str">
        <f ca="1"/>
        <v>NA</v>
      </c>
      <c r="AY56" t="str">
        <f ca="1"/>
        <v xml:space="preserve">NA </v>
      </c>
      <c r="AZ56">
        <f ca="1"/>
        <v>0</v>
      </c>
      <c r="BA56">
        <f ca="1"/>
        <v>0</v>
      </c>
      <c r="BB56" s="42" t="str">
        <f ca="1"/>
        <v>NA</v>
      </c>
      <c r="BC56">
        <f ca="1"/>
        <v>0</v>
      </c>
      <c r="BD56">
        <f ca="1"/>
        <v>0</v>
      </c>
      <c r="BE56">
        <f ca="1"/>
        <v>0</v>
      </c>
    </row>
    <row r="57" spans="1:57">
      <c r="A57" s="42">
        <f ca="1"/>
        <v>56</v>
      </c>
      <c r="B57" s="42" t="str">
        <f ca="1"/>
        <v>2025212189</v>
      </c>
      <c r="C57" s="42" t="str">
        <f ca="1"/>
        <v>Indusind General Insurance Co Ltd</v>
      </c>
      <c r="D57" s="42" t="str">
        <f ca="1"/>
        <v>MACT</v>
      </c>
      <c r="E57" s="42" t="str">
        <f ca="1"/>
        <v>R001-1056-SS-2025</v>
      </c>
      <c r="F57" s="310">
        <f ca="1"/>
        <v>45964</v>
      </c>
      <c r="G57" s="42" t="str">
        <f ca="1"/>
        <v>Nov-25</v>
      </c>
      <c r="H57" s="312" t="str">
        <f ca="1"/>
        <v>-</v>
      </c>
      <c r="I57" s="42">
        <f ca="1"/>
        <v>0</v>
      </c>
      <c r="J57" s="310">
        <f ca="1"/>
        <v>46006</v>
      </c>
      <c r="K57" s="42">
        <f ca="1"/>
        <v>63</v>
      </c>
      <c r="L57" s="42" t="str">
        <f ca="1"/>
        <v>AT</v>
      </c>
      <c r="M57" s="42" t="str">
        <f ca="1"/>
        <v>Full Case</v>
      </c>
      <c r="N57" s="42" t="str">
        <f ca="1"/>
        <v>Open</v>
      </c>
      <c r="O57" s="42" t="str">
        <f ca="1"/>
        <v>WIP</v>
      </c>
      <c r="P57">
        <f ca="1"/>
        <v>0</v>
      </c>
      <c r="Q57" t="str">
        <f ca="1"/>
        <v>Ujjwala Gokuldas Datir  9370245943</v>
      </c>
      <c r="R57" t="str">
        <f ca="1"/>
        <v>R/o Pimpri Lauki Tal. Sangamner
Dist. Ahilyanagar</v>
      </c>
      <c r="S57" t="str">
        <f ca="1"/>
        <v>Ahilyanagar</v>
      </c>
      <c r="T57" s="314" t="str">
        <f ca="1"/>
        <v>WIP</v>
      </c>
      <c r="U57" t="str">
        <f ca="1"/>
        <v xml:space="preserve">Na </v>
      </c>
      <c r="V57">
        <f ca="1"/>
        <v>0</v>
      </c>
      <c r="W57">
        <f ca="1"/>
        <v>0</v>
      </c>
      <c r="X57" s="42" t="str">
        <f ca="1"/>
        <v>NA</v>
      </c>
      <c r="Y57" t="str">
        <f ca="1"/>
        <v>RAJENDRA SAHEBRAO CHAUDHARI   9096231099</v>
      </c>
      <c r="Z57" t="str">
        <f ca="1"/>
        <v xml:space="preserve"> R/O AT SHEVARI MALSHEVAGE SHEVARI CHALISGAON CHALISGAON</v>
      </c>
      <c r="AA57" t="str">
        <f ca="1"/>
        <v>Jalna</v>
      </c>
      <c r="AB57" t="str">
        <f ca="1"/>
        <v>NA</v>
      </c>
      <c r="AC57" s="42" t="str">
        <f ca="1"/>
        <v>WIP</v>
      </c>
      <c r="AD57" t="str">
        <f ca="1"/>
        <v>Sakharam Laxman Agdale</v>
      </c>
      <c r="AE57">
        <f ca="1"/>
        <v>0</v>
      </c>
      <c r="AF57" t="str">
        <f ca="1"/>
        <v>Mohsin Shaikh</v>
      </c>
      <c r="AG57" s="42" t="str">
        <f ca="1"/>
        <v>WIP</v>
      </c>
      <c r="AH57" t="str">
        <f ca="1"/>
        <v>NA</v>
      </c>
      <c r="AI57" s="42" t="str">
        <f ca="1"/>
        <v>NA</v>
      </c>
      <c r="AJ57" t="str">
        <f ca="1"/>
        <v>NA</v>
      </c>
      <c r="AK57" s="42" t="str">
        <f ca="1"/>
        <v>NA</v>
      </c>
      <c r="AL57" t="str">
        <f ca="1"/>
        <v>NA</v>
      </c>
      <c r="AM57" s="42" t="str">
        <f ca="1"/>
        <v>NA</v>
      </c>
      <c r="AN57" t="str">
        <f ca="1"/>
        <v>NA</v>
      </c>
      <c r="AO57" s="42" t="str">
        <f ca="1"/>
        <v>NA</v>
      </c>
      <c r="AP57" t="str">
        <f ca="1"/>
        <v xml:space="preserve">NA </v>
      </c>
      <c r="AQ57" t="str">
        <f ca="1"/>
        <v>while going from Rahuri to Ahilyanagar, at Rahuri Khu., within the limits of Rahuri Police Station</v>
      </c>
      <c r="AR57">
        <f ca="1"/>
        <v>0</v>
      </c>
      <c r="AS57" s="42" t="str">
        <f ca="1"/>
        <v>Completed</v>
      </c>
      <c r="AT57" t="str">
        <f ca="1"/>
        <v>0106/2025</v>
      </c>
      <c r="AU57" t="str">
        <f ca="1"/>
        <v>Rahuri Police Station</v>
      </c>
      <c r="AV57" t="str">
        <f ca="1"/>
        <v>Ahilyanagar</v>
      </c>
      <c r="AW57" t="str">
        <f ca="1"/>
        <v>NA</v>
      </c>
      <c r="AX57" s="42" t="str">
        <f ca="1"/>
        <v>STOP</v>
      </c>
      <c r="AY57" t="str">
        <f ca="1"/>
        <v xml:space="preserve">NA </v>
      </c>
      <c r="AZ57">
        <f ca="1"/>
        <v>0</v>
      </c>
      <c r="BA57">
        <f ca="1"/>
        <v>0</v>
      </c>
      <c r="BB57" s="42" t="str">
        <f ca="1"/>
        <v>NA</v>
      </c>
      <c r="BC57">
        <f ca="1"/>
        <v>0</v>
      </c>
      <c r="BD57">
        <f ca="1"/>
        <v>0</v>
      </c>
      <c r="BE57">
        <f ca="1"/>
        <v>0</v>
      </c>
    </row>
    <row r="58" spans="1:57">
      <c r="A58" s="42">
        <f ca="1"/>
        <v>57</v>
      </c>
      <c r="B58" s="42" t="str">
        <f ca="1"/>
        <v>2025212179</v>
      </c>
      <c r="C58" s="42" t="str">
        <f ca="1"/>
        <v>Indusind General Insurance Co Ltd</v>
      </c>
      <c r="D58" s="42" t="str">
        <f ca="1"/>
        <v>MACT</v>
      </c>
      <c r="E58" s="42" t="str">
        <f ca="1"/>
        <v>R001-1057-SS-2025</v>
      </c>
      <c r="F58" s="310">
        <f ca="1"/>
        <v>45964</v>
      </c>
      <c r="G58" s="42" t="str">
        <f ca="1"/>
        <v>Nov-25</v>
      </c>
      <c r="H58" s="312" t="str">
        <f ca="1"/>
        <v>-</v>
      </c>
      <c r="I58" s="42">
        <f ca="1"/>
        <v>0</v>
      </c>
      <c r="J58" s="310">
        <f ca="1"/>
        <v>46006</v>
      </c>
      <c r="K58" s="42">
        <f ca="1"/>
        <v>63</v>
      </c>
      <c r="L58" s="42" t="str">
        <f ca="1"/>
        <v>AT</v>
      </c>
      <c r="M58" s="42" t="str">
        <f ca="1"/>
        <v>Full Case</v>
      </c>
      <c r="N58" s="42" t="str">
        <f ca="1"/>
        <v>Open</v>
      </c>
      <c r="O58" s="42" t="str">
        <f ca="1"/>
        <v>IR - Wiritng</v>
      </c>
      <c r="P58">
        <f ca="1"/>
        <v>0</v>
      </c>
      <c r="Q58" t="str">
        <f ca="1"/>
        <v>PRADIP BANDU BHAVAR  7558461502</v>
      </c>
      <c r="R58" t="str">
        <f ca="1"/>
        <v>R/O Pandharipul, Khospuri Tal-Nagar, Dist-Ahmednagar Pin Code-414501.</v>
      </c>
      <c r="S58" t="str">
        <f ca="1"/>
        <v>Ahilyanagar</v>
      </c>
      <c r="T58" s="314" t="str">
        <f ca="1"/>
        <v>Completed</v>
      </c>
      <c r="U58" t="str">
        <f ca="1"/>
        <v xml:space="preserve">Na </v>
      </c>
      <c r="V58">
        <f ca="1"/>
        <v>0</v>
      </c>
      <c r="W58">
        <f ca="1"/>
        <v>0</v>
      </c>
      <c r="X58" s="42" t="str">
        <f ca="1"/>
        <v>NA</v>
      </c>
      <c r="Y58" t="str">
        <f ca="1"/>
        <v>RAMESHWAR VITTHAL BHAGYAWANT</v>
      </c>
      <c r="Z58" t="str">
        <f ca="1"/>
        <v xml:space="preserve">R/O Dawalwadi, Tal- Badnapur, Dist-Jalna, State-Maharashtra </v>
      </c>
      <c r="AA58" t="str">
        <f ca="1"/>
        <v>Jalna</v>
      </c>
      <c r="AB58" t="str">
        <f ca="1"/>
        <v>NA</v>
      </c>
      <c r="AC58" s="42" t="str">
        <f ca="1"/>
        <v>Completed</v>
      </c>
      <c r="AD58" t="str">
        <f ca="1"/>
        <v>SHUBHAM BHAGYAWANT</v>
      </c>
      <c r="AE58">
        <f ca="1"/>
        <v>0</v>
      </c>
      <c r="AF58" t="str">
        <f ca="1"/>
        <v>NA</v>
      </c>
      <c r="AG58" s="42" t="str">
        <f ca="1"/>
        <v>Completed</v>
      </c>
      <c r="AH58" t="str">
        <f ca="1"/>
        <v>NA</v>
      </c>
      <c r="AI58" s="42" t="str">
        <f ca="1"/>
        <v>NA</v>
      </c>
      <c r="AJ58" t="str">
        <f ca="1"/>
        <v>NA</v>
      </c>
      <c r="AK58" s="42" t="str">
        <f ca="1"/>
        <v>NA</v>
      </c>
      <c r="AL58" t="str">
        <f ca="1"/>
        <v>NA</v>
      </c>
      <c r="AM58" s="42" t="str">
        <f ca="1"/>
        <v>NA</v>
      </c>
      <c r="AN58" t="str">
        <f ca="1"/>
        <v>NA</v>
      </c>
      <c r="AO58" s="42" t="str">
        <f ca="1"/>
        <v>NA</v>
      </c>
      <c r="AP58" t="str">
        <f ca="1"/>
        <v xml:space="preserve">NA </v>
      </c>
      <c r="AQ58" t="str">
        <f ca="1"/>
        <v xml:space="preserve">At Pandharipul Near Hotel Radheshyam, on Nagar-Aurangabad road, </v>
      </c>
      <c r="AR58">
        <f ca="1"/>
        <v>0</v>
      </c>
      <c r="AS58" s="42" t="str">
        <f ca="1"/>
        <v>Completed</v>
      </c>
      <c r="AT58" t="str">
        <f ca="1"/>
        <v>0037/2025</v>
      </c>
      <c r="AU58" t="str">
        <f ca="1"/>
        <v>Sonai Police station</v>
      </c>
      <c r="AV58" t="str">
        <f ca="1"/>
        <v>Ahilyanagar</v>
      </c>
      <c r="AW58" t="str">
        <f ca="1"/>
        <v>NA</v>
      </c>
      <c r="AX58" s="42" t="str">
        <f ca="1"/>
        <v>Not Filed</v>
      </c>
      <c r="AY58" t="str">
        <f ca="1"/>
        <v xml:space="preserve">NA </v>
      </c>
      <c r="AZ58">
        <f ca="1"/>
        <v>0</v>
      </c>
      <c r="BA58">
        <f ca="1"/>
        <v>0</v>
      </c>
      <c r="BB58" s="42" t="str">
        <f ca="1"/>
        <v>NA</v>
      </c>
      <c r="BC58">
        <f ca="1"/>
        <v>0</v>
      </c>
      <c r="BD58">
        <f ca="1"/>
        <v>0</v>
      </c>
      <c r="BE58">
        <f ca="1"/>
        <v>0</v>
      </c>
    </row>
    <row r="59" spans="1:57">
      <c r="A59" s="42">
        <f ca="1"/>
        <v>58</v>
      </c>
      <c r="B59" s="42" t="str">
        <f ca="1"/>
        <v>2025212145</v>
      </c>
      <c r="C59" s="42" t="str">
        <f ca="1"/>
        <v>Indusind General Insurance Co Ltd</v>
      </c>
      <c r="D59" s="42" t="str">
        <f ca="1"/>
        <v>MACT</v>
      </c>
      <c r="E59" s="42" t="str">
        <f ca="1"/>
        <v>R001-1058-SS-2025</v>
      </c>
      <c r="F59" s="310">
        <f ca="1"/>
        <v>45964</v>
      </c>
      <c r="G59" s="42" t="str">
        <f ca="1"/>
        <v>Nov-25</v>
      </c>
      <c r="H59" s="312" t="str">
        <f ca="1"/>
        <v>-</v>
      </c>
      <c r="I59" s="42">
        <f ca="1"/>
        <v>0</v>
      </c>
      <c r="J59" s="310">
        <f ca="1"/>
        <v>46006</v>
      </c>
      <c r="K59" s="42">
        <f ca="1"/>
        <v>63</v>
      </c>
      <c r="L59" s="42" t="str">
        <f ca="1"/>
        <v>AT</v>
      </c>
      <c r="M59" s="42" t="str">
        <f ca="1"/>
        <v>Full Case</v>
      </c>
      <c r="N59" s="42" t="str">
        <f ca="1"/>
        <v>Open</v>
      </c>
      <c r="O59" s="42" t="str">
        <f ca="1"/>
        <v>Pending CS</v>
      </c>
      <c r="P59">
        <f ca="1"/>
        <v>0</v>
      </c>
      <c r="Q59" t="str">
        <f ca="1"/>
        <v>Pranav Prakash Pund   9579435707</v>
      </c>
      <c r="R59" t="str">
        <f ca="1"/>
        <v xml:space="preserve">R/O Pundwasti, Shingve Naik
h Nagar Distt. Ahilyanagar
</v>
      </c>
      <c r="S59" t="str">
        <f ca="1"/>
        <v>Ahilyanagar</v>
      </c>
      <c r="T59" s="314" t="str">
        <f ca="1"/>
        <v>Completed</v>
      </c>
      <c r="U59" t="str">
        <f ca="1"/>
        <v xml:space="preserve">Na </v>
      </c>
      <c r="V59">
        <f ca="1"/>
        <v>0</v>
      </c>
      <c r="W59">
        <f ca="1"/>
        <v>0</v>
      </c>
      <c r="X59" s="42" t="str">
        <f ca="1"/>
        <v>NA</v>
      </c>
      <c r="Y59" t="str">
        <f ca="1"/>
        <v>Laxman Nawaji Thorat</v>
      </c>
      <c r="Z59" t="str">
        <f ca="1"/>
        <v>R/O Ra Mu Gavthan Babhulgaon
Taluka Rahuri District Ahilyanagar</v>
      </c>
      <c r="AA59" t="str">
        <f ca="1"/>
        <v>Ahilyanagar</v>
      </c>
      <c r="AB59" t="str">
        <f ca="1"/>
        <v>NA</v>
      </c>
      <c r="AC59" s="42" t="str">
        <f ca="1"/>
        <v>Completed</v>
      </c>
      <c r="AD59" t="str">
        <f ca="1"/>
        <v>Santosh Namdev Pawar</v>
      </c>
      <c r="AE59">
        <f ca="1"/>
        <v>0</v>
      </c>
      <c r="AF59" t="str">
        <f ca="1"/>
        <v>0152/2025</v>
      </c>
      <c r="AG59" s="42" t="str">
        <f ca="1"/>
        <v>Completed</v>
      </c>
      <c r="AH59" t="str">
        <f ca="1"/>
        <v>NA</v>
      </c>
      <c r="AI59" s="42" t="str">
        <f ca="1"/>
        <v>NA</v>
      </c>
      <c r="AJ59" t="str">
        <f ca="1"/>
        <v>NA</v>
      </c>
      <c r="AK59" s="42" t="str">
        <f ca="1"/>
        <v>NA</v>
      </c>
      <c r="AL59" t="str">
        <f ca="1"/>
        <v>NA</v>
      </c>
      <c r="AM59" s="42" t="str">
        <f ca="1"/>
        <v>NA</v>
      </c>
      <c r="AN59" t="str">
        <f ca="1"/>
        <v>NA</v>
      </c>
      <c r="AO59" s="42" t="str">
        <f ca="1"/>
        <v>NA</v>
      </c>
      <c r="AP59" t="str">
        <f ca="1"/>
        <v xml:space="preserve">NA </v>
      </c>
      <c r="AQ59" t="str">
        <f ca="1"/>
        <v xml:space="preserve">On Ramwadi Shingve Road around An accident occurred near the temple </v>
      </c>
      <c r="AR59">
        <f ca="1"/>
        <v>0</v>
      </c>
      <c r="AS59" s="42" t="str">
        <f ca="1"/>
        <v>Completed</v>
      </c>
      <c r="AT59" t="str">
        <f ca="1"/>
        <v>0152/2025</v>
      </c>
      <c r="AU59" t="str">
        <f ca="1"/>
        <v>MIDC Police Station</v>
      </c>
      <c r="AV59" t="str">
        <f ca="1"/>
        <v>Ahilyanagar</v>
      </c>
      <c r="AW59" t="str">
        <f ca="1"/>
        <v>NA</v>
      </c>
      <c r="AX59" s="42" t="str">
        <f ca="1"/>
        <v>NA</v>
      </c>
      <c r="AY59" t="str">
        <f ca="1"/>
        <v xml:space="preserve">NA </v>
      </c>
      <c r="AZ59">
        <f ca="1"/>
        <v>0</v>
      </c>
      <c r="BA59">
        <f ca="1"/>
        <v>0</v>
      </c>
      <c r="BB59" s="42" t="str">
        <f ca="1"/>
        <v>NA</v>
      </c>
      <c r="BC59">
        <f ca="1"/>
        <v>0</v>
      </c>
      <c r="BD59">
        <f ca="1"/>
        <v>0</v>
      </c>
      <c r="BE59">
        <f ca="1"/>
        <v>0</v>
      </c>
    </row>
    <row r="60" spans="1:57">
      <c r="A60" s="42">
        <f ca="1"/>
        <v>59</v>
      </c>
      <c r="B60" s="42" t="str">
        <f ca="1"/>
        <v>2025212140</v>
      </c>
      <c r="C60" s="42" t="str">
        <f ca="1"/>
        <v>Indusind General Insurance Co Ltd</v>
      </c>
      <c r="D60" s="42" t="str">
        <f ca="1"/>
        <v>MACT</v>
      </c>
      <c r="E60" s="42" t="str">
        <f ca="1"/>
        <v>R001-1059-SS-2025</v>
      </c>
      <c r="F60" s="310">
        <f ca="1"/>
        <v>45964</v>
      </c>
      <c r="G60" s="42" t="str">
        <f ca="1"/>
        <v>Nov-25</v>
      </c>
      <c r="H60" s="312">
        <f ca="1"/>
        <v>46021</v>
      </c>
      <c r="I60" s="42" t="str">
        <f ca="1"/>
        <v>Dec-25</v>
      </c>
      <c r="J60" s="310">
        <f ca="1"/>
        <v>46006</v>
      </c>
      <c r="K60" s="42">
        <f ca="1"/>
        <v>57</v>
      </c>
      <c r="L60" s="42" t="str">
        <f ca="1"/>
        <v>AT</v>
      </c>
      <c r="M60" s="42" t="str">
        <f ca="1"/>
        <v>Full Case</v>
      </c>
      <c r="N60" s="42" t="str">
        <f ca="1"/>
        <v>QC</v>
      </c>
      <c r="O60" s="42" t="str">
        <f ca="1"/>
        <v>Completed</v>
      </c>
      <c r="P60">
        <f ca="1"/>
        <v>0</v>
      </c>
      <c r="Q60" t="str">
        <f ca="1"/>
        <v>Alka Parasram Navale</v>
      </c>
      <c r="R60" t="str">
        <f ca="1"/>
        <v>Bhende Khurd, Taluka Nevasa, Dist. Ahmednagar</v>
      </c>
      <c r="S60" t="str">
        <f ca="1"/>
        <v>Ahilyanagar</v>
      </c>
      <c r="T60" s="314" t="str">
        <f ca="1"/>
        <v>Completed</v>
      </c>
      <c r="U60" t="str">
        <f ca="1"/>
        <v xml:space="preserve">Na </v>
      </c>
      <c r="V60">
        <f ca="1"/>
        <v>0</v>
      </c>
      <c r="W60">
        <f ca="1"/>
        <v>0</v>
      </c>
      <c r="X60" s="42" t="str">
        <f ca="1"/>
        <v>NA</v>
      </c>
      <c r="Y60" t="str">
        <f ca="1"/>
        <v>Dnyaneshwar Bhimraj Pathak</v>
      </c>
      <c r="Z60" t="str">
        <f ca="1"/>
        <v>Near Chincholi, Tal. Nevasa, Dist. Ahmednagar</v>
      </c>
      <c r="AA60" t="str">
        <f ca="1"/>
        <v>Ahilyanagar</v>
      </c>
      <c r="AB60" t="str">
        <f ca="1"/>
        <v>NA</v>
      </c>
      <c r="AC60" s="42" t="str">
        <f ca="1"/>
        <v>Completed</v>
      </c>
      <c r="AD60" t="str">
        <f ca="1"/>
        <v>Dnyaneshwar Bhimraj Pathak</v>
      </c>
      <c r="AE60">
        <f ca="1"/>
        <v>0</v>
      </c>
      <c r="AF60" t="str">
        <f ca="1"/>
        <v>Sandeep Lashkare</v>
      </c>
      <c r="AG60" s="42" t="str">
        <f ca="1"/>
        <v>NA</v>
      </c>
      <c r="AH60" t="str">
        <f ca="1"/>
        <v>NA</v>
      </c>
      <c r="AI60" s="42" t="str">
        <f ca="1"/>
        <v>NA</v>
      </c>
      <c r="AJ60" t="str">
        <f ca="1"/>
        <v>NA</v>
      </c>
      <c r="AK60" s="42" t="str">
        <f ca="1"/>
        <v>NA</v>
      </c>
      <c r="AL60" t="str">
        <f ca="1"/>
        <v>NA</v>
      </c>
      <c r="AM60" s="42" t="str">
        <f ca="1"/>
        <v>NA</v>
      </c>
      <c r="AN60" t="str">
        <f ca="1"/>
        <v>NA</v>
      </c>
      <c r="AO60" s="42" t="str">
        <f ca="1"/>
        <v>NA</v>
      </c>
      <c r="AP60" t="str">
        <f ca="1"/>
        <v xml:space="preserve">NA </v>
      </c>
      <c r="AQ60" t="str">
        <f ca="1"/>
        <v>An accident occurred on the road from Bhende Khurd to Ghodegaon near Maruti Mandir</v>
      </c>
      <c r="AR60">
        <f ca="1"/>
        <v>0</v>
      </c>
      <c r="AS60" s="42" t="str">
        <f ca="1"/>
        <v>Completed</v>
      </c>
      <c r="AT60" t="str">
        <f ca="1"/>
        <v>0859/2024</v>
      </c>
      <c r="AU60" t="str">
        <f ca="1"/>
        <v>Nevasa Police Station</v>
      </c>
      <c r="AV60" t="str">
        <f ca="1"/>
        <v>Ahamadnagar</v>
      </c>
      <c r="AW60" t="str">
        <f ca="1"/>
        <v>NA</v>
      </c>
      <c r="AX60" s="42" t="str">
        <f ca="1"/>
        <v>Completed</v>
      </c>
      <c r="AY60" t="str">
        <f ca="1"/>
        <v xml:space="preserve">NA </v>
      </c>
      <c r="AZ60">
        <f ca="1"/>
        <v>0</v>
      </c>
      <c r="BA60">
        <f ca="1"/>
        <v>0</v>
      </c>
      <c r="BB60" s="42" t="str">
        <f ca="1"/>
        <v>NA</v>
      </c>
      <c r="BC60">
        <f ca="1"/>
        <v>0</v>
      </c>
      <c r="BD60">
        <f ca="1"/>
        <v>0</v>
      </c>
      <c r="BE60">
        <f ca="1"/>
        <v>0</v>
      </c>
    </row>
    <row r="61" spans="1:57">
      <c r="A61" s="42">
        <f ca="1"/>
        <v>60</v>
      </c>
      <c r="B61" s="42" t="str">
        <f ca="1"/>
        <v>2025212028</v>
      </c>
      <c r="C61" s="42" t="str">
        <f ca="1"/>
        <v>Indusind General Insurance Co Ltd</v>
      </c>
      <c r="D61" s="42" t="str">
        <f ca="1"/>
        <v>MACT</v>
      </c>
      <c r="E61" s="42" t="str">
        <f ca="1"/>
        <v>R001-1060-SS-2025</v>
      </c>
      <c r="F61" s="310">
        <f ca="1"/>
        <v>45964</v>
      </c>
      <c r="G61" s="42" t="str">
        <f ca="1"/>
        <v>Nov-25</v>
      </c>
      <c r="H61" s="312">
        <f ca="1"/>
        <v>46015</v>
      </c>
      <c r="I61" s="42" t="str">
        <f ca="1"/>
        <v>Dec-25</v>
      </c>
      <c r="J61" s="310">
        <f ca="1"/>
        <v>45985</v>
      </c>
      <c r="K61" s="42">
        <f ca="1"/>
        <v>51</v>
      </c>
      <c r="L61" s="42" t="str">
        <f ca="1"/>
        <v>AT</v>
      </c>
      <c r="M61" s="42" t="str">
        <f ca="1"/>
        <v>Partial Case</v>
      </c>
      <c r="N61" s="42" t="str">
        <f ca="1"/>
        <v>Dispatch</v>
      </c>
      <c r="O61" s="42" t="str">
        <f ca="1"/>
        <v>Completed</v>
      </c>
      <c r="P61" t="str">
        <f ca="1"/>
        <v>For Insured Part.</v>
      </c>
      <c r="Q61" t="str">
        <f ca="1"/>
        <v>NA</v>
      </c>
      <c r="R61">
        <f ca="1"/>
        <v>0</v>
      </c>
      <c r="S61">
        <f ca="1"/>
        <v>0</v>
      </c>
      <c r="T61" s="314" t="str">
        <f ca="1"/>
        <v>NA</v>
      </c>
      <c r="U61" t="str">
        <f ca="1"/>
        <v xml:space="preserve">Na </v>
      </c>
      <c r="V61">
        <f ca="1"/>
        <v>0</v>
      </c>
      <c r="W61">
        <f ca="1"/>
        <v>0</v>
      </c>
      <c r="X61" s="42" t="str">
        <f ca="1"/>
        <v>NA</v>
      </c>
      <c r="Y61" t="str">
        <f ca="1"/>
        <v>VIJAY SHIVAJI THORAVE</v>
      </c>
      <c r="Z61" t="str">
        <f ca="1"/>
        <v>R/O FL 12 SANKALP APAR
 PIPELINE ROAD SAVEDI AHMEDNAGAR
 AHMADNAGAR</v>
      </c>
      <c r="AA61" t="str">
        <f ca="1"/>
        <v>Ahilyanagar</v>
      </c>
      <c r="AB61" t="str">
        <f ca="1"/>
        <v>NA</v>
      </c>
      <c r="AC61" s="42" t="str">
        <f ca="1"/>
        <v>Completed</v>
      </c>
      <c r="AD61" t="str">
        <f ca="1"/>
        <v>NA</v>
      </c>
      <c r="AE61">
        <f ca="1"/>
        <v>0</v>
      </c>
      <c r="AF61" t="str">
        <f ca="1"/>
        <v>NA</v>
      </c>
      <c r="AG61" s="42" t="str">
        <f ca="1"/>
        <v>NA</v>
      </c>
      <c r="AH61" t="str">
        <f ca="1"/>
        <v>NA</v>
      </c>
      <c r="AI61" s="42" t="str">
        <f ca="1"/>
        <v>NA</v>
      </c>
      <c r="AJ61" t="str">
        <f ca="1"/>
        <v>NA</v>
      </c>
      <c r="AK61" s="42" t="str">
        <f ca="1"/>
        <v>NA</v>
      </c>
      <c r="AL61" t="str">
        <f ca="1"/>
        <v>NA</v>
      </c>
      <c r="AM61" s="42" t="str">
        <f ca="1"/>
        <v>NA</v>
      </c>
      <c r="AN61" t="str">
        <f ca="1"/>
        <v>NA</v>
      </c>
      <c r="AO61" s="42" t="str">
        <f ca="1"/>
        <v>NA</v>
      </c>
      <c r="AP61" t="str">
        <f ca="1"/>
        <v xml:space="preserve">NA </v>
      </c>
      <c r="AQ61" t="str">
        <f ca="1"/>
        <v>At near Rashmi Metaliks 3 no Gate</v>
      </c>
      <c r="AR61">
        <f ca="1"/>
        <v>0</v>
      </c>
      <c r="AS61" s="42" t="str">
        <f ca="1"/>
        <v>NA</v>
      </c>
      <c r="AT61">
        <f ca="1"/>
        <v>0</v>
      </c>
      <c r="AU61">
        <f ca="1"/>
        <v>0</v>
      </c>
      <c r="AV61">
        <f ca="1"/>
        <v>0</v>
      </c>
      <c r="AW61" t="str">
        <f ca="1"/>
        <v>NA</v>
      </c>
      <c r="AX61" s="42" t="str">
        <f ca="1"/>
        <v>NA</v>
      </c>
      <c r="AY61" t="str">
        <f ca="1"/>
        <v xml:space="preserve">NA </v>
      </c>
      <c r="AZ61">
        <f ca="1"/>
        <v>0</v>
      </c>
      <c r="BA61">
        <f ca="1"/>
        <v>0</v>
      </c>
      <c r="BB61" s="42" t="str">
        <f ca="1"/>
        <v>NA</v>
      </c>
      <c r="BC61">
        <f ca="1"/>
        <v>0</v>
      </c>
      <c r="BD61">
        <f ca="1"/>
        <v>0</v>
      </c>
      <c r="BE61">
        <f ca="1"/>
        <v>0</v>
      </c>
    </row>
    <row r="62" spans="1:57">
      <c r="A62" s="42">
        <f ca="1"/>
        <v>61</v>
      </c>
      <c r="B62" s="42" t="str">
        <f ca="1"/>
        <v>2025212222</v>
      </c>
      <c r="C62" s="42" t="str">
        <f ca="1"/>
        <v>Indusind General Insurance Co Ltd</v>
      </c>
      <c r="D62" s="42" t="str">
        <f ca="1"/>
        <v>MACT</v>
      </c>
      <c r="E62" s="42" t="str">
        <f ca="1"/>
        <v>R001-1061-SS-2025</v>
      </c>
      <c r="F62" s="310">
        <f ca="1"/>
        <v>45964</v>
      </c>
      <c r="G62" s="42" t="str">
        <f ca="1"/>
        <v>Nov-25</v>
      </c>
      <c r="H62" s="312" t="str">
        <f ca="1"/>
        <v>-</v>
      </c>
      <c r="I62" s="42">
        <f ca="1"/>
        <v>0</v>
      </c>
      <c r="J62" s="310">
        <f ca="1"/>
        <v>45985</v>
      </c>
      <c r="K62" s="42">
        <f ca="1"/>
        <v>63</v>
      </c>
      <c r="L62" s="42" t="str">
        <f ca="1"/>
        <v>AT</v>
      </c>
      <c r="M62" s="42" t="str">
        <f ca="1"/>
        <v>Partial Case</v>
      </c>
      <c r="N62" s="42" t="str">
        <f ca="1"/>
        <v>Open</v>
      </c>
      <c r="O62" s="42" t="str">
        <f ca="1"/>
        <v>WIP</v>
      </c>
      <c r="P62" t="str">
        <f ca="1"/>
        <v>For Claimant and Police Part</v>
      </c>
      <c r="Q62" t="str">
        <f ca="1"/>
        <v>Sandhya Mahadev Nerlekar, 9552008253</v>
      </c>
      <c r="R62" t="str">
        <f ca="1"/>
        <v xml:space="preserve">Kokangaon, Tal. Shrigonda District Ahilyanagar </v>
      </c>
      <c r="S62" t="str">
        <f ca="1"/>
        <v>Ahilyanagar</v>
      </c>
      <c r="T62" s="314" t="str">
        <f ca="1"/>
        <v>Completed</v>
      </c>
      <c r="U62" t="str">
        <f ca="1"/>
        <v xml:space="preserve">Na </v>
      </c>
      <c r="V62">
        <f ca="1"/>
        <v>0</v>
      </c>
      <c r="W62">
        <f ca="1"/>
        <v>0</v>
      </c>
      <c r="X62" s="42" t="str">
        <f ca="1"/>
        <v>NA</v>
      </c>
      <c r="Y62" t="str">
        <f ca="1"/>
        <v>NA</v>
      </c>
      <c r="Z62" t="str">
        <f ca="1"/>
        <v>NA</v>
      </c>
      <c r="AA62" t="str">
        <f ca="1"/>
        <v xml:space="preserve">NA </v>
      </c>
      <c r="AB62" t="str">
        <f ca="1"/>
        <v>NA</v>
      </c>
      <c r="AC62" s="42" t="str">
        <f ca="1"/>
        <v>NA</v>
      </c>
      <c r="AD62" t="str">
        <f ca="1"/>
        <v>NA</v>
      </c>
      <c r="AE62">
        <f ca="1"/>
        <v>0</v>
      </c>
      <c r="AF62" t="str">
        <f ca="1"/>
        <v>NA</v>
      </c>
      <c r="AG62" s="42" t="str">
        <f ca="1"/>
        <v>NA</v>
      </c>
      <c r="AH62" t="str">
        <f ca="1"/>
        <v>NA</v>
      </c>
      <c r="AI62" s="42" t="str">
        <f ca="1"/>
        <v>NA</v>
      </c>
      <c r="AJ62" t="str">
        <f ca="1"/>
        <v>NA</v>
      </c>
      <c r="AK62" s="42" t="str">
        <f ca="1"/>
        <v>NA</v>
      </c>
      <c r="AL62" t="str">
        <f ca="1"/>
        <v>NA</v>
      </c>
      <c r="AM62" s="42" t="str">
        <f ca="1"/>
        <v>NA</v>
      </c>
      <c r="AN62" t="str">
        <f ca="1"/>
        <v>NA</v>
      </c>
      <c r="AO62" s="42" t="str">
        <f ca="1"/>
        <v>NA</v>
      </c>
      <c r="AP62" t="str">
        <f ca="1"/>
        <v xml:space="preserve">NA </v>
      </c>
      <c r="AQ62" t="str">
        <f ca="1"/>
        <v>An accident occurred near Sarke Vasti on Nhavra to Talegaon Dhamdhere Road.</v>
      </c>
      <c r="AR62">
        <f ca="1"/>
        <v>0</v>
      </c>
      <c r="AS62" s="42" t="str">
        <f ca="1"/>
        <v>NA</v>
      </c>
      <c r="AT62" t="str">
        <f ca="1"/>
        <v>0203/2025</v>
      </c>
      <c r="AU62" t="str">
        <f ca="1"/>
        <v>Shirur Police Station</v>
      </c>
      <c r="AV62" t="str">
        <f ca="1"/>
        <v>Pune</v>
      </c>
      <c r="AW62" t="str">
        <f ca="1"/>
        <v>NA</v>
      </c>
      <c r="AX62" s="42" t="str">
        <f ca="1"/>
        <v>WIP</v>
      </c>
      <c r="AY62" t="str">
        <f ca="1"/>
        <v xml:space="preserve">NA </v>
      </c>
      <c r="AZ62">
        <f ca="1"/>
        <v>0</v>
      </c>
      <c r="BA62">
        <f ca="1"/>
        <v>0</v>
      </c>
      <c r="BB62" s="42" t="str">
        <f ca="1"/>
        <v>NA</v>
      </c>
      <c r="BC62">
        <f ca="1"/>
        <v>0</v>
      </c>
      <c r="BD62">
        <f ca="1"/>
        <v>0</v>
      </c>
      <c r="BE62">
        <f ca="1"/>
        <v>0</v>
      </c>
    </row>
    <row r="63" spans="1:57" ht="19.5" customHeight="1">
      <c r="A63" s="42">
        <f ca="1"/>
        <v>62</v>
      </c>
      <c r="B63" s="42" t="str">
        <f ca="1"/>
        <v>2025212162</v>
      </c>
      <c r="C63" s="42" t="str">
        <f ca="1"/>
        <v>Indusind General Insurance Co Ltd</v>
      </c>
      <c r="D63" s="42" t="str">
        <f ca="1"/>
        <v>MACT</v>
      </c>
      <c r="E63" s="42" t="str">
        <f ca="1"/>
        <v>R001-1062-SS-2025</v>
      </c>
      <c r="F63" s="310">
        <f ca="1"/>
        <v>45964</v>
      </c>
      <c r="G63" s="42" t="str">
        <f ca="1"/>
        <v>Nov-25</v>
      </c>
      <c r="H63" s="312" t="str">
        <f ca="1"/>
        <v>-</v>
      </c>
      <c r="I63" s="42">
        <f ca="1"/>
        <v>0</v>
      </c>
      <c r="J63" s="310" t="str">
        <f ca="1"/>
        <v/>
      </c>
      <c r="K63" s="42">
        <f ca="1"/>
        <v>63</v>
      </c>
      <c r="L63" s="42" t="str">
        <f ca="1"/>
        <v>AT</v>
      </c>
      <c r="M63" s="42" t="str">
        <f ca="1"/>
        <v>Connected Case</v>
      </c>
      <c r="N63" s="42" t="str">
        <f ca="1"/>
        <v>Open</v>
      </c>
      <c r="O63" s="42" t="str">
        <f ca="1"/>
        <v>WIP</v>
      </c>
      <c r="P63" t="str">
        <f ca="1"/>
        <v>TPPD Details Only (Connected Case - 2025212222)</v>
      </c>
      <c r="Q63" t="str">
        <f ca="1"/>
        <v>Satish Narayan Kale</v>
      </c>
      <c r="R63" t="str">
        <f ca="1"/>
        <v>R/o  Kalevasti, Athagaon Shrigonda District Ahilyanagar</v>
      </c>
      <c r="S63" t="str">
        <f ca="1"/>
        <v>Ahilyanagar</v>
      </c>
      <c r="T63" s="314" t="str">
        <f ca="1"/>
        <v>Completed</v>
      </c>
      <c r="U63" t="str">
        <f ca="1"/>
        <v xml:space="preserve">Na </v>
      </c>
      <c r="V63">
        <f ca="1"/>
        <v>0</v>
      </c>
      <c r="W63">
        <f ca="1"/>
        <v>0</v>
      </c>
      <c r="X63" s="42" t="str">
        <f ca="1"/>
        <v>NA</v>
      </c>
      <c r="Y63" t="str">
        <f ca="1"/>
        <v>NA</v>
      </c>
      <c r="Z63" t="str">
        <f ca="1"/>
        <v>NA</v>
      </c>
      <c r="AA63" t="str">
        <f ca="1"/>
        <v xml:space="preserve">NA </v>
      </c>
      <c r="AB63" t="str">
        <f ca="1"/>
        <v>NA</v>
      </c>
      <c r="AC63" s="42" t="str">
        <f ca="1"/>
        <v>NA</v>
      </c>
      <c r="AD63" t="str">
        <f ca="1"/>
        <v>Vinayak Damaniya Vasava</v>
      </c>
      <c r="AE63">
        <f ca="1"/>
        <v>0</v>
      </c>
      <c r="AF63" t="str">
        <f ca="1"/>
        <v xml:space="preserve">NA </v>
      </c>
      <c r="AG63" s="42" t="str">
        <f ca="1"/>
        <v>NA</v>
      </c>
      <c r="AH63" t="str">
        <f ca="1"/>
        <v>NA</v>
      </c>
      <c r="AI63" s="42" t="str">
        <f ca="1"/>
        <v>NA</v>
      </c>
      <c r="AJ63" t="str">
        <f ca="1"/>
        <v>NA</v>
      </c>
      <c r="AK63" s="42" t="str">
        <f ca="1"/>
        <v>NA</v>
      </c>
      <c r="AL63" t="str">
        <f ca="1"/>
        <v>NA</v>
      </c>
      <c r="AM63" s="42" t="str">
        <f ca="1"/>
        <v>NA</v>
      </c>
      <c r="AN63" t="str">
        <f ca="1"/>
        <v>NA</v>
      </c>
      <c r="AO63" s="42" t="str">
        <f ca="1"/>
        <v>NA</v>
      </c>
      <c r="AP63" t="str">
        <f ca="1"/>
        <v xml:space="preserve">NA </v>
      </c>
      <c r="AQ63" t="str">
        <f ca="1"/>
        <v>NA</v>
      </c>
      <c r="AR63">
        <f ca="1"/>
        <v>0</v>
      </c>
      <c r="AS63" s="42" t="str">
        <f ca="1"/>
        <v>NA</v>
      </c>
      <c r="AT63" t="str">
        <f ca="1"/>
        <v>NA</v>
      </c>
      <c r="AU63" t="str">
        <f ca="1"/>
        <v>NA</v>
      </c>
      <c r="AV63" t="str">
        <f ca="1"/>
        <v>NA</v>
      </c>
      <c r="AW63" t="str">
        <f ca="1"/>
        <v>NA</v>
      </c>
      <c r="AX63" s="42" t="str">
        <f ca="1"/>
        <v>WIP</v>
      </c>
      <c r="AY63" t="str">
        <f ca="1"/>
        <v xml:space="preserve">NA </v>
      </c>
      <c r="AZ63">
        <f ca="1"/>
        <v>0</v>
      </c>
      <c r="BA63">
        <f ca="1"/>
        <v>0</v>
      </c>
      <c r="BB63" s="42" t="str">
        <f ca="1"/>
        <v>NA</v>
      </c>
      <c r="BC63">
        <f ca="1"/>
        <v>0</v>
      </c>
      <c r="BD63">
        <f ca="1"/>
        <v>0</v>
      </c>
      <c r="BE63" t="str">
        <f ca="1"/>
        <v>Pending For Damage Photos</v>
      </c>
    </row>
    <row r="64" spans="1:57">
      <c r="A64" s="42">
        <f ca="1"/>
        <v>63</v>
      </c>
      <c r="B64" s="42" t="str">
        <f ca="1"/>
        <v xml:space="preserve">CN074856 </v>
      </c>
      <c r="C64" s="42" t="str">
        <f ca="1"/>
        <v>Generali Central Insurance Company Limited</v>
      </c>
      <c r="D64" s="42" t="str">
        <f ca="1"/>
        <v>MACT</v>
      </c>
      <c r="E64" s="42" t="str">
        <f ca="1"/>
        <v>F001-1063-SS-2025</v>
      </c>
      <c r="F64" s="310">
        <f ca="1"/>
        <v>45968</v>
      </c>
      <c r="G64" s="42" t="str">
        <f ca="1"/>
        <v>Nov-25</v>
      </c>
      <c r="H64" s="312">
        <f ca="1"/>
        <v>45987</v>
      </c>
      <c r="I64" s="42" t="str">
        <f ca="1"/>
        <v>Nov-25</v>
      </c>
      <c r="J64" s="310">
        <f ca="1"/>
        <v>45989</v>
      </c>
      <c r="K64" s="42">
        <f ca="1"/>
        <v>19</v>
      </c>
      <c r="L64" s="42" t="str">
        <f ca="1"/>
        <v>AT</v>
      </c>
      <c r="M64" s="42" t="str">
        <f ca="1"/>
        <v>Partial Case</v>
      </c>
      <c r="N64" s="42" t="str">
        <f ca="1"/>
        <v>Dispatch</v>
      </c>
      <c r="O64" s="42" t="str">
        <f ca="1"/>
        <v>Completed</v>
      </c>
      <c r="P64" t="str">
        <f ca="1"/>
        <v>Subhash Pratap Salariya</v>
      </c>
      <c r="Q64" t="str">
        <f ca="1"/>
        <v>NA</v>
      </c>
      <c r="R64" t="str">
        <f ca="1"/>
        <v xml:space="preserve">NA </v>
      </c>
      <c r="S64">
        <f ca="1"/>
        <v>0</v>
      </c>
      <c r="T64" s="314" t="str">
        <f ca="1"/>
        <v>NA</v>
      </c>
      <c r="U64" t="str">
        <f ca="1"/>
        <v xml:space="preserve">Na </v>
      </c>
      <c r="V64">
        <f ca="1"/>
        <v>0</v>
      </c>
      <c r="W64">
        <f ca="1"/>
        <v>0</v>
      </c>
      <c r="X64" s="42" t="str">
        <f ca="1"/>
        <v>NA</v>
      </c>
      <c r="Y64" t="str">
        <f ca="1"/>
        <v>Subhash Pratap Salariya</v>
      </c>
      <c r="Z64" t="str">
        <f ca="1"/>
        <v>Shiv Sena Gali Amar Nagar Darga Road, Behind Gurudwara, Mulund West Mumbai 400082</v>
      </c>
      <c r="AA64" t="str">
        <f ca="1"/>
        <v>Mumbai</v>
      </c>
      <c r="AB64" t="str">
        <f ca="1"/>
        <v>NA</v>
      </c>
      <c r="AC64" s="42" t="str">
        <f ca="1"/>
        <v>Completed</v>
      </c>
      <c r="AD64" t="str">
        <f ca="1"/>
        <v xml:space="preserve">NA </v>
      </c>
      <c r="AE64" t="str">
        <f ca="1"/>
        <v>Vinayak Damaniya Vasava</v>
      </c>
      <c r="AF64" t="str">
        <f ca="1"/>
        <v>Talai Akrani, Nandurbar, Maharashtra 425414</v>
      </c>
      <c r="AG64" s="42" t="str">
        <f ca="1"/>
        <v>Completed</v>
      </c>
      <c r="AH64" t="str">
        <f ca="1"/>
        <v>NA</v>
      </c>
      <c r="AI64" s="42" t="str">
        <f ca="1"/>
        <v>NA</v>
      </c>
      <c r="AJ64" t="str">
        <f ca="1"/>
        <v xml:space="preserve">NA </v>
      </c>
      <c r="AK64" s="42" t="str">
        <f ca="1"/>
        <v>NA</v>
      </c>
      <c r="AL64" t="str">
        <f ca="1"/>
        <v>NA</v>
      </c>
      <c r="AM64" s="42" t="str">
        <f ca="1"/>
        <v>NA</v>
      </c>
      <c r="AN64" t="str">
        <f ca="1"/>
        <v xml:space="preserve">NA </v>
      </c>
      <c r="AO64" s="42" t="str">
        <f ca="1"/>
        <v>NA</v>
      </c>
      <c r="AP64" t="str">
        <f ca="1"/>
        <v xml:space="preserve">NA </v>
      </c>
      <c r="AQ64" t="str">
        <f ca="1"/>
        <v>NA</v>
      </c>
      <c r="AR64">
        <f ca="1"/>
        <v>0</v>
      </c>
      <c r="AS64" s="42" t="str">
        <f ca="1"/>
        <v>NA</v>
      </c>
      <c r="AT64" t="str">
        <f ca="1"/>
        <v xml:space="preserve">NA </v>
      </c>
      <c r="AU64" t="str">
        <f ca="1"/>
        <v xml:space="preserve">NA </v>
      </c>
      <c r="AV64">
        <f ca="1"/>
        <v>0</v>
      </c>
      <c r="AW64">
        <f ca="1"/>
        <v>0</v>
      </c>
      <c r="AX64" s="42">
        <f ca="1"/>
        <v>0</v>
      </c>
      <c r="AY64" t="str">
        <f ca="1"/>
        <v xml:space="preserve">NA </v>
      </c>
      <c r="AZ64">
        <f ca="1"/>
        <v>0</v>
      </c>
      <c r="BA64">
        <f ca="1"/>
        <v>0</v>
      </c>
      <c r="BB64" s="42" t="str">
        <f ca="1"/>
        <v>NA</v>
      </c>
      <c r="BC64">
        <f ca="1"/>
        <v>0</v>
      </c>
      <c r="BD64">
        <f ca="1"/>
        <v>0</v>
      </c>
      <c r="BE64" t="str">
        <f ca="1"/>
        <v xml:space="preserve">Done </v>
      </c>
    </row>
    <row r="65" spans="1:57">
      <c r="A65" s="42">
        <f ca="1"/>
        <v>64</v>
      </c>
      <c r="B65" s="42" t="str">
        <f ca="1"/>
        <v xml:space="preserve">CM596085 </v>
      </c>
      <c r="C65" s="42" t="str">
        <f ca="1"/>
        <v>Generali Central Insurance Company Limited</v>
      </c>
      <c r="D65" s="42" t="str">
        <f ca="1"/>
        <v>MACT</v>
      </c>
      <c r="E65" s="42" t="str">
        <f ca="1"/>
        <v>F001-1064-SS-2025</v>
      </c>
      <c r="F65" s="310">
        <f ca="1"/>
        <v>45968</v>
      </c>
      <c r="G65" s="42" t="str">
        <f ca="1"/>
        <v>Nov-25</v>
      </c>
      <c r="H65" s="312">
        <f ca="1"/>
        <v>45986</v>
      </c>
      <c r="I65" s="42" t="str">
        <f ca="1"/>
        <v>Nov-25</v>
      </c>
      <c r="J65" s="310">
        <f ca="1"/>
        <v>45989</v>
      </c>
      <c r="K65" s="42">
        <f ca="1"/>
        <v>18</v>
      </c>
      <c r="L65" s="42" t="str">
        <f ca="1"/>
        <v>AT</v>
      </c>
      <c r="M65" s="42" t="str">
        <f ca="1"/>
        <v>Partial Case</v>
      </c>
      <c r="N65" s="42" t="str">
        <f ca="1"/>
        <v>Dispatch</v>
      </c>
      <c r="O65" s="42" t="str">
        <f ca="1"/>
        <v>Completed</v>
      </c>
      <c r="P65" t="str">
        <f ca="1"/>
        <v>Summons to police station &amp; witness</v>
      </c>
      <c r="Q65" t="str">
        <f ca="1"/>
        <v>NA</v>
      </c>
      <c r="R65" t="str">
        <f ca="1"/>
        <v xml:space="preserve">NA </v>
      </c>
      <c r="S65">
        <f ca="1"/>
        <v>0</v>
      </c>
      <c r="T65" s="314" t="str">
        <f ca="1"/>
        <v>NA</v>
      </c>
      <c r="U65" t="str">
        <f ca="1"/>
        <v xml:space="preserve">Na </v>
      </c>
      <c r="V65">
        <f ca="1"/>
        <v>0</v>
      </c>
      <c r="W65">
        <f ca="1"/>
        <v>0</v>
      </c>
      <c r="X65" s="42" t="str">
        <f ca="1"/>
        <v>NA</v>
      </c>
      <c r="Y65" t="str">
        <f ca="1"/>
        <v>NA</v>
      </c>
      <c r="Z65" t="str">
        <f ca="1"/>
        <v>NA</v>
      </c>
      <c r="AA65" t="str">
        <f ca="1"/>
        <v>NA</v>
      </c>
      <c r="AB65" t="str">
        <f ca="1"/>
        <v>NA</v>
      </c>
      <c r="AC65" s="42" t="str">
        <f ca="1"/>
        <v>NA</v>
      </c>
      <c r="AD65" t="str">
        <f ca="1"/>
        <v xml:space="preserve">NA </v>
      </c>
      <c r="AE65">
        <f ca="1"/>
        <v>0</v>
      </c>
      <c r="AF65" t="str">
        <f ca="1"/>
        <v>NA</v>
      </c>
      <c r="AG65" s="42" t="str">
        <f ca="1"/>
        <v>NA</v>
      </c>
      <c r="AH65" t="str">
        <f ca="1"/>
        <v>NA</v>
      </c>
      <c r="AI65" s="42" t="str">
        <f ca="1"/>
        <v>NA</v>
      </c>
      <c r="AJ65" t="str">
        <f ca="1"/>
        <v>NA</v>
      </c>
      <c r="AK65" s="42" t="str">
        <f ca="1"/>
        <v>NA</v>
      </c>
      <c r="AL65" t="str">
        <f ca="1"/>
        <v>NA</v>
      </c>
      <c r="AM65" s="42" t="str">
        <f ca="1"/>
        <v>NA</v>
      </c>
      <c r="AN65" t="str">
        <f ca="1"/>
        <v>NA</v>
      </c>
      <c r="AO65" s="42" t="str">
        <f ca="1"/>
        <v>NA</v>
      </c>
      <c r="AP65" t="str">
        <f ca="1"/>
        <v xml:space="preserve">NA </v>
      </c>
      <c r="AQ65" t="str">
        <f ca="1"/>
        <v>Nahavra to Talegaon An accident occurred near Sarke Vasti on Dhamdhere Road.</v>
      </c>
      <c r="AR65">
        <f ca="1"/>
        <v>0</v>
      </c>
      <c r="AS65" s="42" t="str">
        <f ca="1"/>
        <v>NA</v>
      </c>
      <c r="AT65" t="str">
        <f ca="1"/>
        <v>404/2020</v>
      </c>
      <c r="AU65" t="str">
        <f ca="1"/>
        <v>MukundWadi Police Station</v>
      </c>
      <c r="AV65" t="str">
        <f ca="1"/>
        <v>Sambhajinagar</v>
      </c>
      <c r="AW65" t="str">
        <f ca="1"/>
        <v>NA</v>
      </c>
      <c r="AX65" s="42" t="str">
        <f ca="1"/>
        <v>NA</v>
      </c>
      <c r="AY65" t="str">
        <f ca="1"/>
        <v xml:space="preserve">NA </v>
      </c>
      <c r="AZ65">
        <f ca="1"/>
        <v>0</v>
      </c>
      <c r="BA65">
        <f ca="1"/>
        <v>0</v>
      </c>
      <c r="BB65" s="42" t="str">
        <f ca="1"/>
        <v>NA</v>
      </c>
      <c r="BC65">
        <f ca="1"/>
        <v>0</v>
      </c>
      <c r="BD65" t="str">
        <f ca="1"/>
        <v>Disptach</v>
      </c>
      <c r="BE65">
        <f ca="1"/>
        <v>0</v>
      </c>
    </row>
    <row r="66" spans="1:57">
      <c r="A66" s="42">
        <f ca="1"/>
        <v>65</v>
      </c>
      <c r="B66" s="42" t="str">
        <f ca="1"/>
        <v>2025212410</v>
      </c>
      <c r="C66" s="42" t="str">
        <f ca="1"/>
        <v>Indusind General Insurance Co Ltd</v>
      </c>
      <c r="D66" s="42" t="str">
        <f ca="1"/>
        <v>MACT</v>
      </c>
      <c r="E66" s="42" t="str">
        <f ca="1"/>
        <v>R001-1065-SS-2025</v>
      </c>
      <c r="F66" s="310">
        <f ca="1"/>
        <v>45970</v>
      </c>
      <c r="G66" s="42" t="str">
        <f ca="1"/>
        <v>Nov-25</v>
      </c>
      <c r="H66" s="312" t="str">
        <f ca="1"/>
        <v>-</v>
      </c>
      <c r="I66" s="42">
        <f ca="1"/>
        <v>0</v>
      </c>
      <c r="J66" s="310">
        <f ca="1"/>
        <v>46010</v>
      </c>
      <c r="K66" s="42">
        <f ca="1"/>
        <v>57</v>
      </c>
      <c r="L66" s="42" t="str">
        <f ca="1"/>
        <v>AT</v>
      </c>
      <c r="M66" s="42" t="str">
        <f ca="1"/>
        <v>Full Case</v>
      </c>
      <c r="N66" s="42" t="str">
        <f ca="1"/>
        <v>Open</v>
      </c>
      <c r="O66" s="42" t="str">
        <f ca="1"/>
        <v>WIP</v>
      </c>
      <c r="P66">
        <f ca="1"/>
        <v>0</v>
      </c>
      <c r="Q66" t="str">
        <f ca="1"/>
        <v>Hanuman Bhanudas Hiwale</v>
      </c>
      <c r="R66" t="str">
        <f ca="1"/>
        <v xml:space="preserve">R/O AT Jaitapur Mohalla Pathri Tq.Pathri,Dist Parbhani </v>
      </c>
      <c r="S66" t="str">
        <f ca="1"/>
        <v>Parbhani</v>
      </c>
      <c r="T66" s="314" t="str">
        <f ca="1"/>
        <v>WIP</v>
      </c>
      <c r="U66" t="str">
        <f ca="1"/>
        <v xml:space="preserve">NA </v>
      </c>
      <c r="V66">
        <f ca="1"/>
        <v>0</v>
      </c>
      <c r="W66">
        <f ca="1"/>
        <v>0</v>
      </c>
      <c r="X66" s="42" t="str">
        <f ca="1"/>
        <v>NA</v>
      </c>
      <c r="Y66" t="str">
        <f ca="1"/>
        <v xml:space="preserve">Laxmen S/o Gangadhar Jahane </v>
      </c>
      <c r="Z66" t="str">
        <f ca="1"/>
        <v>R/o Post Pingli tq ,dist Parbhani .</v>
      </c>
      <c r="AA66" t="str">
        <f ca="1"/>
        <v>Parbhani</v>
      </c>
      <c r="AB66" t="str">
        <f ca="1"/>
        <v>NA</v>
      </c>
      <c r="AC66" s="42" t="str">
        <f ca="1"/>
        <v>WIP</v>
      </c>
      <c r="AD66" t="str">
        <f ca="1"/>
        <v xml:space="preserve">NA </v>
      </c>
      <c r="AE66">
        <f ca="1"/>
        <v>0</v>
      </c>
      <c r="AF66" t="str">
        <f ca="1"/>
        <v>WIP</v>
      </c>
      <c r="AG66" s="42" t="str">
        <f ca="1"/>
        <v>WIP</v>
      </c>
      <c r="AH66" t="str">
        <f ca="1"/>
        <v>NA</v>
      </c>
      <c r="AI66" s="42" t="str">
        <f ca="1"/>
        <v>NA</v>
      </c>
      <c r="AJ66" t="str">
        <f ca="1"/>
        <v>NA</v>
      </c>
      <c r="AK66" s="42" t="str">
        <f ca="1"/>
        <v>NA</v>
      </c>
      <c r="AL66" t="str">
        <f ca="1"/>
        <v>NA</v>
      </c>
      <c r="AM66" s="42" t="str">
        <f ca="1"/>
        <v>NA</v>
      </c>
      <c r="AN66" t="str">
        <f ca="1"/>
        <v>NA</v>
      </c>
      <c r="AO66" s="42" t="str">
        <f ca="1"/>
        <v>NA</v>
      </c>
      <c r="AP66" t="str">
        <f ca="1"/>
        <v xml:space="preserve">NA </v>
      </c>
      <c r="AQ66" t="str">
        <f ca="1"/>
        <v>JawaLA ZURA PATRI ROAD AT,KHERDA PATI AREA TQ,PATRI,DIST-PARBHANI.</v>
      </c>
      <c r="AR66">
        <f ca="1"/>
        <v>0</v>
      </c>
      <c r="AS66" s="42" t="str">
        <f ca="1"/>
        <v>Completed</v>
      </c>
      <c r="AT66" t="str">
        <f ca="1"/>
        <v>0047/2025</v>
      </c>
      <c r="AU66" t="str">
        <f ca="1"/>
        <v xml:space="preserve">Pathri Police station </v>
      </c>
      <c r="AV66" t="str">
        <f ca="1"/>
        <v>Parbhani.</v>
      </c>
      <c r="AW66" t="str">
        <f ca="1"/>
        <v>NA</v>
      </c>
      <c r="AX66" s="42" t="str">
        <f ca="1"/>
        <v>Completed</v>
      </c>
      <c r="AY66" t="str">
        <f ca="1"/>
        <v xml:space="preserve">NA </v>
      </c>
      <c r="AZ66">
        <f ca="1"/>
        <v>0</v>
      </c>
      <c r="BA66">
        <f ca="1"/>
        <v>0</v>
      </c>
      <c r="BB66" s="42" t="str">
        <f ca="1"/>
        <v>NA</v>
      </c>
      <c r="BC66">
        <f ca="1"/>
        <v>0</v>
      </c>
      <c r="BD66">
        <f ca="1"/>
        <v>0</v>
      </c>
      <c r="BE66">
        <f ca="1"/>
        <v>0</v>
      </c>
    </row>
    <row r="67" spans="1:57">
      <c r="A67" s="42">
        <f ca="1"/>
        <v>66</v>
      </c>
      <c r="B67" s="42" t="str">
        <f ca="1"/>
        <v>2025212250</v>
      </c>
      <c r="C67" s="42" t="str">
        <f ca="1"/>
        <v>Indusind General Insurance Co Ltd</v>
      </c>
      <c r="D67" s="42" t="str">
        <f ca="1"/>
        <v>MACT</v>
      </c>
      <c r="E67" s="42" t="str">
        <f ca="1"/>
        <v>R001-1066-SS-2025</v>
      </c>
      <c r="F67" s="310">
        <f ca="1"/>
        <v>45970</v>
      </c>
      <c r="G67" s="42" t="str">
        <f ca="1"/>
        <v>Nov-25</v>
      </c>
      <c r="H67" s="312">
        <f ca="1"/>
        <v>46025</v>
      </c>
      <c r="I67" s="42" t="str">
        <f ca="1"/>
        <v>Jan-26</v>
      </c>
      <c r="J67" s="310">
        <f ca="1"/>
        <v>46010</v>
      </c>
      <c r="K67" s="42">
        <f ca="1"/>
        <v>55</v>
      </c>
      <c r="L67" s="42" t="str">
        <f ca="1"/>
        <v>AT</v>
      </c>
      <c r="M67" s="42" t="str">
        <f ca="1"/>
        <v>Full Case</v>
      </c>
      <c r="N67" s="42" t="str">
        <f ca="1"/>
        <v>Dispatch</v>
      </c>
      <c r="O67" s="42" t="str">
        <f ca="1"/>
        <v>Completed</v>
      </c>
      <c r="P67">
        <f ca="1"/>
        <v>0</v>
      </c>
      <c r="Q67" t="str">
        <f ca="1"/>
        <v xml:space="preserve">Ganesh Taktiya Kale </v>
      </c>
      <c r="R67" t="str">
        <f ca="1"/>
        <v>R/o Jawala Bazar Tq -Aundha.N Dist -Hingoli.</v>
      </c>
      <c r="S67" t="str">
        <f ca="1"/>
        <v>Hingoli</v>
      </c>
      <c r="T67" s="314" t="str">
        <f ca="1"/>
        <v>Completed</v>
      </c>
      <c r="U67" t="str">
        <f ca="1"/>
        <v xml:space="preserve">NA </v>
      </c>
      <c r="V67">
        <f ca="1"/>
        <v>0</v>
      </c>
      <c r="W67">
        <f ca="1"/>
        <v>0</v>
      </c>
      <c r="X67" s="42" t="str">
        <f ca="1"/>
        <v>NA</v>
      </c>
      <c r="Y67" t="str">
        <f ca="1"/>
        <v xml:space="preserve">Vishnu Ganesh Kale </v>
      </c>
      <c r="Z67" t="str">
        <f ca="1"/>
        <v>Jawala Bazar Tq Aundha N, Dist Hingoli.</v>
      </c>
      <c r="AA67" t="str">
        <f ca="1"/>
        <v>Hingoli</v>
      </c>
      <c r="AB67" t="str">
        <f ca="1"/>
        <v>NA</v>
      </c>
      <c r="AC67" s="42" t="str">
        <f ca="1"/>
        <v>Completed</v>
      </c>
      <c r="AD67" t="str">
        <f ca="1"/>
        <v xml:space="preserve">NA </v>
      </c>
      <c r="AE67">
        <f ca="1"/>
        <v>0</v>
      </c>
      <c r="AF67" t="str">
        <f ca="1"/>
        <v xml:space="preserve">NA </v>
      </c>
      <c r="AG67" s="42" t="str">
        <f ca="1"/>
        <v>Completed</v>
      </c>
      <c r="AH67" t="str">
        <f ca="1"/>
        <v>NA</v>
      </c>
      <c r="AI67" s="42" t="str">
        <f ca="1"/>
        <v>NA</v>
      </c>
      <c r="AJ67" t="str">
        <f ca="1"/>
        <v>NA</v>
      </c>
      <c r="AK67" s="42" t="str">
        <f ca="1"/>
        <v>NA</v>
      </c>
      <c r="AL67" t="str">
        <f ca="1"/>
        <v>NA</v>
      </c>
      <c r="AM67" s="42" t="str">
        <f ca="1"/>
        <v>NA</v>
      </c>
      <c r="AN67" t="str">
        <f ca="1"/>
        <v>NA</v>
      </c>
      <c r="AO67" s="42" t="str">
        <f ca="1"/>
        <v>NA</v>
      </c>
      <c r="AP67" t="str">
        <f ca="1"/>
        <v xml:space="preserve">NA </v>
      </c>
      <c r="AQ67" t="str">
        <f ca="1"/>
        <v xml:space="preserve">On Hingoli to Aundh Road on Bridge Near,Hiwara Jatu Village </v>
      </c>
      <c r="AR67">
        <f ca="1"/>
        <v>0</v>
      </c>
      <c r="AS67" s="42" t="str">
        <f ca="1"/>
        <v>Completed</v>
      </c>
      <c r="AT67" t="str">
        <f ca="1"/>
        <v>0345/2025</v>
      </c>
      <c r="AU67" t="str">
        <f ca="1"/>
        <v>Aundh Naganth police Staion hingoli .</v>
      </c>
      <c r="AV67" t="str">
        <f ca="1"/>
        <v xml:space="preserve">Hingoli </v>
      </c>
      <c r="AW67" t="str">
        <f ca="1"/>
        <v>NA</v>
      </c>
      <c r="AX67" s="42" t="str">
        <f ca="1"/>
        <v>NA</v>
      </c>
      <c r="AY67" t="str">
        <f ca="1"/>
        <v xml:space="preserve">NA </v>
      </c>
      <c r="AZ67">
        <f ca="1"/>
        <v>0</v>
      </c>
      <c r="BA67">
        <f ca="1"/>
        <v>0</v>
      </c>
      <c r="BB67" s="42" t="str">
        <f ca="1"/>
        <v>NA</v>
      </c>
      <c r="BC67">
        <f ca="1"/>
        <v>0</v>
      </c>
      <c r="BD67">
        <f ca="1"/>
        <v>0</v>
      </c>
      <c r="BE67">
        <f ca="1"/>
        <v>0</v>
      </c>
    </row>
    <row r="68" spans="1:57">
      <c r="A68" s="42">
        <f ca="1"/>
        <v>67</v>
      </c>
      <c r="B68" s="42" t="str">
        <f ca="1"/>
        <v>2025212219</v>
      </c>
      <c r="C68" s="42" t="str">
        <f ca="1"/>
        <v>Indusind General Insurance Co Ltd</v>
      </c>
      <c r="D68" s="42" t="str">
        <f ca="1"/>
        <v>MACT</v>
      </c>
      <c r="E68" s="42" t="str">
        <f ca="1"/>
        <v>R001-1067-SS-2025</v>
      </c>
      <c r="F68" s="310">
        <f ca="1"/>
        <v>45970</v>
      </c>
      <c r="G68" s="42" t="str">
        <f ca="1"/>
        <v>Nov-25</v>
      </c>
      <c r="H68" s="312" t="str">
        <f ca="1"/>
        <v>-</v>
      </c>
      <c r="I68" s="42">
        <f ca="1"/>
        <v>0</v>
      </c>
      <c r="J68" s="310">
        <f ca="1"/>
        <v>46010</v>
      </c>
      <c r="K68" s="42">
        <f ca="1"/>
        <v>57</v>
      </c>
      <c r="L68" s="42" t="str">
        <f ca="1"/>
        <v>AT</v>
      </c>
      <c r="M68" s="42" t="str">
        <f ca="1"/>
        <v>Full Case</v>
      </c>
      <c r="N68" s="42" t="str">
        <f ca="1"/>
        <v>QC</v>
      </c>
      <c r="O68" s="42" t="str">
        <f ca="1"/>
        <v>QC</v>
      </c>
      <c r="P68">
        <f ca="1"/>
        <v>0</v>
      </c>
      <c r="Q68" t="str">
        <f ca="1"/>
        <v>Durga Nagnath Panchal</v>
      </c>
      <c r="R68" t="str">
        <f ca="1"/>
        <v>R/O Nandurghat Tq.Kej Dist.Beed</v>
      </c>
      <c r="S68" t="str">
        <f ca="1"/>
        <v>Beed</v>
      </c>
      <c r="T68" s="314" t="str">
        <f ca="1"/>
        <v>Completed</v>
      </c>
      <c r="U68" t="str">
        <f ca="1"/>
        <v xml:space="preserve">NA </v>
      </c>
      <c r="V68">
        <f ca="1"/>
        <v>0</v>
      </c>
      <c r="W68">
        <f ca="1"/>
        <v>0</v>
      </c>
      <c r="X68" s="42" t="str">
        <f ca="1"/>
        <v>NA</v>
      </c>
      <c r="Y68" t="str">
        <f ca="1"/>
        <v>Raj Umar Gaffer</v>
      </c>
      <c r="Z68" t="str">
        <f ca="1"/>
        <v>R/O Nandurghat Tq.Kej Dist.Beed</v>
      </c>
      <c r="AA68" t="str">
        <f ca="1"/>
        <v>Beed</v>
      </c>
      <c r="AB68" t="str">
        <f ca="1"/>
        <v>NA</v>
      </c>
      <c r="AC68" s="42" t="str">
        <f ca="1"/>
        <v>Completed</v>
      </c>
      <c r="AD68" t="str">
        <f ca="1"/>
        <v>Raj Umar Gaffer</v>
      </c>
      <c r="AE68">
        <f ca="1"/>
        <v>0</v>
      </c>
      <c r="AF68" t="str">
        <f ca="1"/>
        <v>Suhas Walke</v>
      </c>
      <c r="AG68" s="42" t="str">
        <f ca="1"/>
        <v>Completed</v>
      </c>
      <c r="AH68" t="str">
        <f ca="1"/>
        <v>NA</v>
      </c>
      <c r="AI68" s="42" t="str">
        <f ca="1"/>
        <v>NA</v>
      </c>
      <c r="AJ68" t="str">
        <f ca="1"/>
        <v>NA</v>
      </c>
      <c r="AK68" s="42" t="str">
        <f ca="1"/>
        <v>NA</v>
      </c>
      <c r="AL68" t="str">
        <f ca="1"/>
        <v>NA</v>
      </c>
      <c r="AM68" s="42" t="str">
        <f ca="1"/>
        <v>NA</v>
      </c>
      <c r="AN68" t="str">
        <f ca="1"/>
        <v>NA</v>
      </c>
      <c r="AO68" s="42" t="str">
        <f ca="1"/>
        <v>NA</v>
      </c>
      <c r="AP68" t="str">
        <f ca="1"/>
        <v xml:space="preserve">NA </v>
      </c>
      <c r="AQ68" t="str">
        <f ca="1"/>
        <v>On Para to Nandurghat road in the vicinity of village Para near the cowshed of Sakharam Sontakke. Police station Washi Tq. Washi District Dharashiv</v>
      </c>
      <c r="AR68">
        <f ca="1"/>
        <v>0</v>
      </c>
      <c r="AS68" s="42" t="str">
        <f ca="1"/>
        <v>Completed</v>
      </c>
      <c r="AT68" t="str">
        <f ca="1"/>
        <v>0135/2025</v>
      </c>
      <c r="AU68" t="str">
        <f ca="1"/>
        <v xml:space="preserve">Vashi Police Station </v>
      </c>
      <c r="AV68" t="str">
        <f ca="1"/>
        <v xml:space="preserve">Dharashiv </v>
      </c>
      <c r="AW68" t="str">
        <f ca="1"/>
        <v>NA</v>
      </c>
      <c r="AX68" s="42" t="str">
        <f ca="1"/>
        <v>Completed</v>
      </c>
      <c r="AY68" t="str">
        <f ca="1"/>
        <v xml:space="preserve">NA </v>
      </c>
      <c r="AZ68">
        <f ca="1"/>
        <v>0</v>
      </c>
      <c r="BA68">
        <f ca="1"/>
        <v>0</v>
      </c>
      <c r="BB68" s="42" t="str">
        <f ca="1"/>
        <v>NA</v>
      </c>
      <c r="BC68">
        <f ca="1"/>
        <v>0</v>
      </c>
      <c r="BD68">
        <f ca="1"/>
        <v>0</v>
      </c>
      <c r="BE68">
        <f ca="1"/>
        <v>0</v>
      </c>
    </row>
    <row r="69" spans="1:57">
      <c r="A69" s="42">
        <f ca="1"/>
        <v>68</v>
      </c>
      <c r="B69" s="42" t="str">
        <f ca="1"/>
        <v>2025212215</v>
      </c>
      <c r="C69" s="42" t="str">
        <f ca="1"/>
        <v>Indusind General Insurance Co Ltd</v>
      </c>
      <c r="D69" s="42" t="str">
        <f ca="1"/>
        <v>MACT</v>
      </c>
      <c r="E69" s="42" t="str">
        <f ca="1"/>
        <v>R001-1068-SS-2025</v>
      </c>
      <c r="F69" s="310">
        <f ca="1"/>
        <v>45970</v>
      </c>
      <c r="G69" s="42" t="str">
        <f ca="1"/>
        <v>Nov-25</v>
      </c>
      <c r="H69" s="312" t="str">
        <f ca="1"/>
        <v>-</v>
      </c>
      <c r="I69" s="42">
        <f ca="1"/>
        <v>0</v>
      </c>
      <c r="J69" s="310">
        <f ca="1"/>
        <v>46010</v>
      </c>
      <c r="K69" s="42">
        <f ca="1"/>
        <v>57</v>
      </c>
      <c r="L69" s="42" t="str">
        <f ca="1"/>
        <v>AT</v>
      </c>
      <c r="M69" s="42" t="str">
        <f ca="1"/>
        <v>Full Case</v>
      </c>
      <c r="N69" s="42" t="str">
        <f ca="1"/>
        <v>Open</v>
      </c>
      <c r="O69" s="42" t="str">
        <f ca="1"/>
        <v>WIP</v>
      </c>
      <c r="P69">
        <f ca="1"/>
        <v>0</v>
      </c>
      <c r="Q69" t="str">
        <f ca="1"/>
        <v>Ashutosh Ravindra Gaikwad 9921918748</v>
      </c>
      <c r="R69" t="str">
        <f ca="1"/>
        <v>R/O Upla,m.Tq@,Dist-Dharashiv.</v>
      </c>
      <c r="S69" t="str">
        <f ca="1"/>
        <v>Dharashiv</v>
      </c>
      <c r="T69" s="314" t="str">
        <f ca="1"/>
        <v>Completed</v>
      </c>
      <c r="U69" t="str">
        <f ca="1"/>
        <v xml:space="preserve">NA </v>
      </c>
      <c r="V69">
        <f ca="1"/>
        <v>0</v>
      </c>
      <c r="W69">
        <f ca="1"/>
        <v>0</v>
      </c>
      <c r="X69" s="42" t="str">
        <f ca="1"/>
        <v>NA</v>
      </c>
      <c r="Y69" t="str">
        <f ca="1"/>
        <v xml:space="preserve">Chandrakant Naryan Pise </v>
      </c>
      <c r="Z69" t="str">
        <f ca="1"/>
        <v>Sawmi Samarth Road,Kadegaon Staion Tq-Daund Dist-Pune.</v>
      </c>
      <c r="AA69" t="str">
        <f ca="1"/>
        <v>Pune</v>
      </c>
      <c r="AB69" t="str">
        <f ca="1"/>
        <v>NA</v>
      </c>
      <c r="AC69" s="42" t="str">
        <f ca="1"/>
        <v>WIP</v>
      </c>
      <c r="AD69" t="str">
        <f ca="1"/>
        <v xml:space="preserve"> Ravindra Budhan baiga </v>
      </c>
      <c r="AE69">
        <f ca="1"/>
        <v>0</v>
      </c>
      <c r="AF69" t="str">
        <f ca="1"/>
        <v>Nitin Mane</v>
      </c>
      <c r="AG69" s="42" t="str">
        <f ca="1"/>
        <v>WIP</v>
      </c>
      <c r="AH69" t="str">
        <f ca="1"/>
        <v>NA</v>
      </c>
      <c r="AI69" s="42" t="str">
        <f ca="1"/>
        <v>NA</v>
      </c>
      <c r="AJ69" t="str">
        <f ca="1"/>
        <v>NA</v>
      </c>
      <c r="AK69" s="42" t="str">
        <f ca="1"/>
        <v>NA</v>
      </c>
      <c r="AL69" t="str">
        <f ca="1"/>
        <v>NA</v>
      </c>
      <c r="AM69" s="42" t="str">
        <f ca="1"/>
        <v>NA</v>
      </c>
      <c r="AN69" t="str">
        <f ca="1"/>
        <v>NA</v>
      </c>
      <c r="AO69" s="42" t="str">
        <f ca="1"/>
        <v>NA</v>
      </c>
      <c r="AP69" t="str">
        <f ca="1"/>
        <v xml:space="preserve">NA </v>
      </c>
      <c r="AQ69" t="str">
        <f ca="1"/>
        <v>ON Solapur to  pune National Highway Road in   vicinity of Villages Pates at Bhagwat Vasti in Front of Hotel Nisarga.</v>
      </c>
      <c r="AR69">
        <f ca="1"/>
        <v>0</v>
      </c>
      <c r="AS69" s="42" t="str">
        <f ca="1"/>
        <v>WIP</v>
      </c>
      <c r="AT69" t="str">
        <f ca="1"/>
        <v>0463/2025</v>
      </c>
      <c r="AU69" t="str">
        <f ca="1"/>
        <v xml:space="preserve">yavat police Station  </v>
      </c>
      <c r="AV69" t="str">
        <f ca="1"/>
        <v xml:space="preserve">pune </v>
      </c>
      <c r="AW69" t="str">
        <f ca="1"/>
        <v>NA</v>
      </c>
      <c r="AX69" s="42" t="str">
        <f ca="1"/>
        <v>WIP</v>
      </c>
      <c r="AY69" t="str">
        <f ca="1"/>
        <v xml:space="preserve">NA </v>
      </c>
      <c r="AZ69">
        <f ca="1"/>
        <v>0</v>
      </c>
      <c r="BA69">
        <f ca="1"/>
        <v>0</v>
      </c>
      <c r="BB69" s="42" t="str">
        <f ca="1"/>
        <v>NA</v>
      </c>
      <c r="BC69">
        <f ca="1"/>
        <v>0</v>
      </c>
      <c r="BD69">
        <f ca="1"/>
        <v>0</v>
      </c>
      <c r="BE69">
        <f ca="1"/>
        <v>0</v>
      </c>
    </row>
    <row r="70" spans="1:57">
      <c r="A70" s="42">
        <f ca="1"/>
        <v>69</v>
      </c>
      <c r="B70" s="42" t="str">
        <f ca="1"/>
        <v>2025212407</v>
      </c>
      <c r="C70" s="42" t="str">
        <f ca="1"/>
        <v>Indusind General Insurance Co Ltd</v>
      </c>
      <c r="D70" s="42" t="str">
        <f ca="1"/>
        <v>MACT</v>
      </c>
      <c r="E70" s="42" t="str">
        <f ca="1"/>
        <v>R001-1069-SS-2025</v>
      </c>
      <c r="F70" s="310">
        <f ca="1"/>
        <v>45970</v>
      </c>
      <c r="G70" s="42" t="str">
        <f ca="1"/>
        <v>Nov-25</v>
      </c>
      <c r="H70" s="312" t="str">
        <f ca="1"/>
        <v>-</v>
      </c>
      <c r="I70" s="42">
        <f ca="1"/>
        <v>0</v>
      </c>
      <c r="J70" s="310">
        <f ca="1"/>
        <v>45989</v>
      </c>
      <c r="K70" s="42">
        <f ca="1"/>
        <v>57</v>
      </c>
      <c r="L70" s="42" t="str">
        <f ca="1"/>
        <v>AT</v>
      </c>
      <c r="M70" s="42" t="str">
        <f ca="1"/>
        <v>Partial Case</v>
      </c>
      <c r="N70" s="42" t="str">
        <f ca="1"/>
        <v>Open</v>
      </c>
      <c r="O70" s="42" t="str">
        <f ca="1"/>
        <v>WIP</v>
      </c>
      <c r="P70" t="str">
        <f ca="1"/>
        <v>For Claimant Part Only</v>
      </c>
      <c r="Q70" t="str">
        <f ca="1"/>
        <v xml:space="preserve">Amol Ganesh More </v>
      </c>
      <c r="R70" t="str">
        <f ca="1"/>
        <v>R/o Nimora,tal-soyagav,dist-sambhajinager</v>
      </c>
      <c r="S70" t="str">
        <f ca="1"/>
        <v>Sambhaji Nagar</v>
      </c>
      <c r="T70" s="314" t="str">
        <f ca="1"/>
        <v>WIP</v>
      </c>
      <c r="U70" t="str">
        <f ca="1"/>
        <v xml:space="preserve">NA </v>
      </c>
      <c r="V70">
        <f ca="1"/>
        <v>0</v>
      </c>
      <c r="W70">
        <f ca="1"/>
        <v>0</v>
      </c>
      <c r="X70" s="42" t="str">
        <f ca="1"/>
        <v>NA</v>
      </c>
      <c r="Y70" t="str">
        <f ca="1"/>
        <v>NA</v>
      </c>
      <c r="Z70" t="str">
        <f ca="1"/>
        <v>NA</v>
      </c>
      <c r="AA70" t="str">
        <f ca="1"/>
        <v>NA</v>
      </c>
      <c r="AB70" t="str">
        <f ca="1"/>
        <v>NA</v>
      </c>
      <c r="AC70" s="42" t="str">
        <f ca="1"/>
        <v>NA</v>
      </c>
      <c r="AD70" t="str">
        <f ca="1"/>
        <v xml:space="preserve">NA </v>
      </c>
      <c r="AE70">
        <f ca="1"/>
        <v>0</v>
      </c>
      <c r="AF70" t="str">
        <f ca="1"/>
        <v>NA</v>
      </c>
      <c r="AG70" s="42" t="str">
        <f ca="1"/>
        <v>NA</v>
      </c>
      <c r="AH70" t="str">
        <f ca="1"/>
        <v>NA</v>
      </c>
      <c r="AI70" s="42" t="str">
        <f ca="1"/>
        <v>NA</v>
      </c>
      <c r="AJ70" t="str">
        <f ca="1"/>
        <v>NA</v>
      </c>
      <c r="AK70" s="42" t="str">
        <f ca="1"/>
        <v>NA</v>
      </c>
      <c r="AL70" t="str">
        <f ca="1"/>
        <v>NA</v>
      </c>
      <c r="AM70" s="42" t="str">
        <f ca="1"/>
        <v>NA</v>
      </c>
      <c r="AN70" t="str">
        <f ca="1"/>
        <v>NA</v>
      </c>
      <c r="AO70" s="42" t="str">
        <f ca="1"/>
        <v>NA</v>
      </c>
      <c r="AP70" t="str">
        <f ca="1"/>
        <v xml:space="preserve">NA </v>
      </c>
      <c r="AQ70" t="str">
        <f ca="1"/>
        <v>Kajgav,Tal,Bhadgav,Kajagv-Railway Pull,ROAD.</v>
      </c>
      <c r="AR70">
        <f ca="1"/>
        <v>0</v>
      </c>
      <c r="AS70" s="42" t="str">
        <f ca="1"/>
        <v>NA</v>
      </c>
      <c r="AT70" t="str">
        <f ca="1"/>
        <v>NA</v>
      </c>
      <c r="AU70" t="str">
        <f ca="1"/>
        <v>NA</v>
      </c>
      <c r="AV70" t="str">
        <f ca="1"/>
        <v>NA</v>
      </c>
      <c r="AW70" t="str">
        <f ca="1"/>
        <v>NA</v>
      </c>
      <c r="AX70" s="42" t="str">
        <f ca="1"/>
        <v xml:space="preserve">NA </v>
      </c>
      <c r="AY70" t="str">
        <f ca="1"/>
        <v xml:space="preserve">NA </v>
      </c>
      <c r="AZ70">
        <f ca="1"/>
        <v>0</v>
      </c>
      <c r="BA70">
        <f ca="1"/>
        <v>0</v>
      </c>
      <c r="BB70" s="42" t="str">
        <f ca="1"/>
        <v>NA</v>
      </c>
      <c r="BC70">
        <f ca="1"/>
        <v>0</v>
      </c>
      <c r="BD70">
        <f ca="1"/>
        <v>0</v>
      </c>
      <c r="BE70" t="str">
        <f ca="1"/>
        <v>For Claimant Part Only.</v>
      </c>
    </row>
    <row r="71" spans="1:57">
      <c r="A71" s="42">
        <f ca="1"/>
        <v>70</v>
      </c>
      <c r="B71" s="42" t="str">
        <f ca="1"/>
        <v>2025212443</v>
      </c>
      <c r="C71" s="42" t="str">
        <f ca="1"/>
        <v>Indusind General Insurance Co Ltd</v>
      </c>
      <c r="D71" s="42" t="str">
        <f ca="1"/>
        <v>MACT</v>
      </c>
      <c r="E71" s="42" t="str">
        <f ca="1"/>
        <v>R001-1070-SS-2025</v>
      </c>
      <c r="F71" s="310">
        <f ca="1"/>
        <v>45970</v>
      </c>
      <c r="G71" s="310" t="str">
        <f ca="1"/>
        <v>Nov-25</v>
      </c>
      <c r="H71" s="312" t="str">
        <f ca="1"/>
        <v>-</v>
      </c>
      <c r="I71" s="42">
        <f ca="1"/>
        <v>0</v>
      </c>
      <c r="J71" s="310">
        <f ca="1"/>
        <v>46010</v>
      </c>
      <c r="K71" s="42">
        <f ca="1"/>
        <v>57</v>
      </c>
      <c r="L71" s="42" t="str">
        <f ca="1"/>
        <v>AT</v>
      </c>
      <c r="M71" s="42" t="str">
        <f ca="1"/>
        <v>Full Case</v>
      </c>
      <c r="N71" s="42" t="str">
        <f ca="1"/>
        <v>Open</v>
      </c>
      <c r="O71" s="42" t="str">
        <f ca="1"/>
        <v>WIP</v>
      </c>
      <c r="P71">
        <f ca="1"/>
        <v>0</v>
      </c>
      <c r="Q71" t="str">
        <f ca="1"/>
        <v xml:space="preserve">Ganesh Kawde </v>
      </c>
      <c r="R71" t="str">
        <f ca="1"/>
        <v>R/oEkurki Tq-Kallamb Dist-Osmanabad.</v>
      </c>
      <c r="S71" t="str">
        <f ca="1"/>
        <v>Dharashiv</v>
      </c>
      <c r="T71" s="314" t="str">
        <f ca="1"/>
        <v>WIP</v>
      </c>
      <c r="U71" t="str">
        <f ca="1"/>
        <v xml:space="preserve">NA </v>
      </c>
      <c r="V71">
        <f ca="1"/>
        <v>0</v>
      </c>
      <c r="W71">
        <f ca="1"/>
        <v>0</v>
      </c>
      <c r="X71" s="42" t="str">
        <f ca="1"/>
        <v>NA</v>
      </c>
      <c r="Y71" t="str">
        <f ca="1"/>
        <v xml:space="preserve">Aatmaram jadhav </v>
      </c>
      <c r="Z71" t="str">
        <f ca="1"/>
        <v xml:space="preserve">Ghargaon Tq-Kallam Dist-Osmanabad </v>
      </c>
      <c r="AA71" t="str">
        <f ca="1"/>
        <v>Dharashiv</v>
      </c>
      <c r="AB71" t="str">
        <f ca="1"/>
        <v>NA</v>
      </c>
      <c r="AC71" s="42" t="str">
        <f ca="1"/>
        <v>WIP</v>
      </c>
      <c r="AD71" t="str">
        <f ca="1"/>
        <v xml:space="preserve">NA </v>
      </c>
      <c r="AE71">
        <f ca="1"/>
        <v>0</v>
      </c>
      <c r="AF71" t="str">
        <f ca="1"/>
        <v>WIP</v>
      </c>
      <c r="AG71" s="42" t="str">
        <f ca="1"/>
        <v>WIP</v>
      </c>
      <c r="AH71" t="str">
        <f ca="1"/>
        <v>NA</v>
      </c>
      <c r="AI71" s="42" t="str">
        <f ca="1"/>
        <v>NA</v>
      </c>
      <c r="AJ71" t="str">
        <f ca="1"/>
        <v>NA</v>
      </c>
      <c r="AK71" s="42" t="str">
        <f ca="1"/>
        <v>NA</v>
      </c>
      <c r="AL71" t="str">
        <f ca="1"/>
        <v>NA</v>
      </c>
      <c r="AM71" s="42" t="str">
        <f ca="1"/>
        <v>NA</v>
      </c>
      <c r="AN71" t="str">
        <f ca="1"/>
        <v>NA</v>
      </c>
      <c r="AO71" s="42" t="str">
        <f ca="1"/>
        <v>NA</v>
      </c>
      <c r="AP71" t="str">
        <f ca="1"/>
        <v xml:space="preserve">NA </v>
      </c>
      <c r="AQ71" t="str">
        <f ca="1"/>
        <v>On Kallamb to Latur State Highway NO.160 Road At Tadgaon Village Chowk.</v>
      </c>
      <c r="AR71">
        <f ca="1"/>
        <v>0</v>
      </c>
      <c r="AS71" s="42" t="str">
        <f ca="1"/>
        <v>WIP</v>
      </c>
      <c r="AT71" t="str">
        <f ca="1"/>
        <v>0063/2025</v>
      </c>
      <c r="AU71" t="str">
        <f ca="1"/>
        <v xml:space="preserve">shiradhon Police Staion </v>
      </c>
      <c r="AV71" t="str">
        <f ca="1"/>
        <v xml:space="preserve">Osamanaabad </v>
      </c>
      <c r="AW71" t="str">
        <f ca="1"/>
        <v>NA</v>
      </c>
      <c r="AX71" s="42" t="str">
        <f ca="1"/>
        <v>Completed</v>
      </c>
      <c r="AY71" t="str">
        <f ca="1"/>
        <v xml:space="preserve">NA </v>
      </c>
      <c r="AZ71">
        <f ca="1"/>
        <v>0</v>
      </c>
      <c r="BA71">
        <f ca="1"/>
        <v>0</v>
      </c>
      <c r="BB71" s="42" t="str">
        <f ca="1"/>
        <v>NA</v>
      </c>
      <c r="BC71">
        <f ca="1"/>
        <v>0</v>
      </c>
      <c r="BD71">
        <f ca="1"/>
        <v>0</v>
      </c>
      <c r="BE71">
        <f ca="1"/>
        <v>0</v>
      </c>
    </row>
    <row r="72" spans="1:57">
      <c r="A72" s="42">
        <f ca="1"/>
        <v>71</v>
      </c>
      <c r="B72" s="42" t="str">
        <f ca="1"/>
        <v>2025212467</v>
      </c>
      <c r="C72" s="42" t="str">
        <f ca="1"/>
        <v>Indusind General Insurance Co Ltd</v>
      </c>
      <c r="D72" s="42" t="str">
        <f ca="1"/>
        <v>MACT</v>
      </c>
      <c r="E72" s="42" t="str">
        <f ca="1"/>
        <v>R001-1071-SS-2025</v>
      </c>
      <c r="F72" s="310">
        <f ca="1"/>
        <v>45970</v>
      </c>
      <c r="G72" s="42" t="str">
        <f ca="1"/>
        <v>Nov-25</v>
      </c>
      <c r="H72" s="312" t="str">
        <f ca="1"/>
        <v>-</v>
      </c>
      <c r="I72" s="42">
        <f ca="1"/>
        <v>0</v>
      </c>
      <c r="J72" s="310">
        <f ca="1"/>
        <v>46010</v>
      </c>
      <c r="K72" s="42">
        <f ca="1"/>
        <v>57</v>
      </c>
      <c r="L72" s="42" t="str">
        <f ca="1"/>
        <v>AT</v>
      </c>
      <c r="M72" s="42" t="str">
        <f ca="1"/>
        <v>Full Case</v>
      </c>
      <c r="N72" s="42" t="str">
        <f ca="1"/>
        <v>Open</v>
      </c>
      <c r="O72" s="42" t="str">
        <f ca="1"/>
        <v>WIP</v>
      </c>
      <c r="P72">
        <f ca="1"/>
        <v>0</v>
      </c>
      <c r="Q72" t="str">
        <f ca="1"/>
        <v xml:space="preserve">Dyananeshwar Savant </v>
      </c>
      <c r="R72" t="str">
        <f ca="1"/>
        <v>R/o Bangav,TAL_Aanband,Dist-Jalna</v>
      </c>
      <c r="S72" t="str">
        <f ca="1"/>
        <v>Jalna</v>
      </c>
      <c r="T72" s="314" t="str">
        <f ca="1"/>
        <v>WIP</v>
      </c>
      <c r="U72" t="str">
        <f ca="1"/>
        <v xml:space="preserve">NA </v>
      </c>
      <c r="V72">
        <f ca="1"/>
        <v>0</v>
      </c>
      <c r="W72">
        <f ca="1"/>
        <v>0</v>
      </c>
      <c r="X72" s="42" t="str">
        <f ca="1"/>
        <v>NA</v>
      </c>
      <c r="Y72" t="str">
        <f ca="1"/>
        <v xml:space="preserve">Shivand Niranjan Palmker </v>
      </c>
      <c r="Z72" t="str">
        <f ca="1"/>
        <v>New Bhartnagar,Rajangav,Dist-Aaurangabad.</v>
      </c>
      <c r="AA72" t="str">
        <f ca="1"/>
        <v>Sambhaji Nagar</v>
      </c>
      <c r="AB72" t="str">
        <f ca="1"/>
        <v>NA</v>
      </c>
      <c r="AC72" s="42" t="str">
        <f ca="1"/>
        <v>WIP</v>
      </c>
      <c r="AD72" t="str">
        <f ca="1"/>
        <v xml:space="preserve">NA </v>
      </c>
      <c r="AE72">
        <f ca="1"/>
        <v>0</v>
      </c>
      <c r="AF72" t="str">
        <f ca="1"/>
        <v>WIP</v>
      </c>
      <c r="AG72" s="42" t="str">
        <f ca="1"/>
        <v>WIP</v>
      </c>
      <c r="AH72" t="str">
        <f ca="1"/>
        <v>NA</v>
      </c>
      <c r="AI72" s="42" t="str">
        <f ca="1"/>
        <v>NA</v>
      </c>
      <c r="AJ72" t="str">
        <f ca="1"/>
        <v>NA</v>
      </c>
      <c r="AK72" s="42" t="str">
        <f ca="1"/>
        <v>NA</v>
      </c>
      <c r="AL72" t="str">
        <f ca="1"/>
        <v>NA</v>
      </c>
      <c r="AM72" s="42" t="str">
        <f ca="1"/>
        <v>NA</v>
      </c>
      <c r="AN72" t="str">
        <f ca="1"/>
        <v>NA</v>
      </c>
      <c r="AO72" s="42" t="str">
        <f ca="1"/>
        <v>NA</v>
      </c>
      <c r="AP72" t="str">
        <f ca="1"/>
        <v xml:space="preserve">NA </v>
      </c>
      <c r="AQ72" t="str">
        <f ca="1"/>
        <v xml:space="preserve">Radharaman farmhouse </v>
      </c>
      <c r="AR72">
        <f ca="1"/>
        <v>0</v>
      </c>
      <c r="AS72" s="42" t="str">
        <f ca="1"/>
        <v>WIP</v>
      </c>
      <c r="AT72" t="str">
        <f ca="1"/>
        <v>00749/2025</v>
      </c>
      <c r="AU72" t="str">
        <f ca="1"/>
        <v>Aanband police station</v>
      </c>
      <c r="AV72" t="str">
        <f ca="1"/>
        <v>Jalna</v>
      </c>
      <c r="AW72" t="str">
        <f ca="1"/>
        <v>NA</v>
      </c>
      <c r="AX72" s="42" t="str">
        <f ca="1"/>
        <v>WIP</v>
      </c>
      <c r="AY72" t="str">
        <f ca="1"/>
        <v xml:space="preserve">NA </v>
      </c>
      <c r="AZ72">
        <f ca="1"/>
        <v>0</v>
      </c>
      <c r="BA72">
        <f ca="1"/>
        <v>0</v>
      </c>
      <c r="BB72" s="42" t="str">
        <f ca="1"/>
        <v>NA</v>
      </c>
      <c r="BC72">
        <f ca="1"/>
        <v>0</v>
      </c>
      <c r="BD72">
        <f ca="1"/>
        <v>0</v>
      </c>
      <c r="BE72">
        <f ca="1"/>
        <v>0</v>
      </c>
    </row>
    <row r="73" spans="1:57">
      <c r="A73" s="42">
        <f ca="1"/>
        <v>72</v>
      </c>
      <c r="B73" s="42" t="str">
        <f ca="1"/>
        <v>2025212380</v>
      </c>
      <c r="C73" s="42" t="str">
        <f ca="1"/>
        <v>Indusind General Insurance Co Ltd</v>
      </c>
      <c r="D73" s="42" t="str">
        <f ca="1"/>
        <v>MACT</v>
      </c>
      <c r="E73" s="42" t="str">
        <f ca="1"/>
        <v>R001-1072-SS-2025</v>
      </c>
      <c r="F73" s="310">
        <f ca="1"/>
        <v>45970</v>
      </c>
      <c r="G73" s="42" t="str">
        <f ca="1"/>
        <v>Nov-25</v>
      </c>
      <c r="H73" s="312" t="str">
        <f ca="1"/>
        <v>-</v>
      </c>
      <c r="I73" s="42">
        <f ca="1"/>
        <v>0</v>
      </c>
      <c r="J73" s="310">
        <f ca="1"/>
        <v>46010</v>
      </c>
      <c r="K73" s="42">
        <f ca="1"/>
        <v>57</v>
      </c>
      <c r="L73" s="42" t="str">
        <f ca="1"/>
        <v>AT</v>
      </c>
      <c r="M73" s="42" t="str">
        <f ca="1"/>
        <v>Full Case</v>
      </c>
      <c r="N73" s="42" t="str">
        <f ca="1"/>
        <v>Open</v>
      </c>
      <c r="O73" s="42" t="str">
        <f ca="1"/>
        <v>Pending CS</v>
      </c>
      <c r="P73">
        <f ca="1"/>
        <v>0</v>
      </c>
      <c r="Q73" t="str">
        <f ca="1"/>
        <v>Vanita Ashok Berde</v>
      </c>
      <c r="R73" t="str">
        <f ca="1"/>
        <v>R/o Chincholi Fata,tal-Rahuri,Dist-Ahmednagar</v>
      </c>
      <c r="S73" t="str">
        <f ca="1"/>
        <v>Ahilyanagar</v>
      </c>
      <c r="T73" s="314" t="str">
        <f ca="1"/>
        <v>Completed</v>
      </c>
      <c r="U73" t="str">
        <f ca="1"/>
        <v xml:space="preserve">NA </v>
      </c>
      <c r="V73">
        <f ca="1"/>
        <v>0</v>
      </c>
      <c r="W73">
        <f ca="1"/>
        <v>0</v>
      </c>
      <c r="X73" s="42" t="str">
        <f ca="1"/>
        <v>NA</v>
      </c>
      <c r="Y73" t="str">
        <f ca="1"/>
        <v>Darshan Suresh Nangre</v>
      </c>
      <c r="Z73" t="str">
        <f ca="1"/>
        <v>R/o Gaikwad Mla,Muktidham Mandir backside,krushn mandir ,Nashik Road Tal-Dist-Nashik</v>
      </c>
      <c r="AA73" t="str">
        <f ca="1"/>
        <v>Nahik</v>
      </c>
      <c r="AB73" t="str">
        <f ca="1"/>
        <v>NA</v>
      </c>
      <c r="AC73" s="42" t="str">
        <f ca="1"/>
        <v>Completed</v>
      </c>
      <c r="AD73" t="str">
        <f ca="1"/>
        <v xml:space="preserve">NA </v>
      </c>
      <c r="AE73">
        <f ca="1"/>
        <v>0</v>
      </c>
      <c r="AF73" t="str">
        <f ca="1"/>
        <v>NA</v>
      </c>
      <c r="AG73" s="42" t="str">
        <f ca="1"/>
        <v>Completed</v>
      </c>
      <c r="AH73" t="str">
        <f ca="1"/>
        <v>NA</v>
      </c>
      <c r="AI73" s="42" t="str">
        <f ca="1"/>
        <v>NA</v>
      </c>
      <c r="AJ73" t="str">
        <f ca="1"/>
        <v>NA</v>
      </c>
      <c r="AK73" s="42" t="str">
        <f ca="1"/>
        <v>NA</v>
      </c>
      <c r="AL73" t="str">
        <f ca="1"/>
        <v>NA</v>
      </c>
      <c r="AM73" s="42" t="str">
        <f ca="1"/>
        <v>NA</v>
      </c>
      <c r="AN73" t="str">
        <f ca="1"/>
        <v>NA</v>
      </c>
      <c r="AO73" s="42" t="str">
        <f ca="1"/>
        <v>NA</v>
      </c>
      <c r="AP73" t="str">
        <f ca="1"/>
        <v xml:space="preserve">NA </v>
      </c>
      <c r="AQ73" t="str">
        <f ca="1"/>
        <v>Talegaon to Loni Road ,GauGalGav Area,Hotel  SadhGuru or Gavrde Petrol pump,Yashwant Dengle, farmside.</v>
      </c>
      <c r="AR73">
        <f ca="1"/>
        <v>0</v>
      </c>
      <c r="AS73" s="42" t="str">
        <f ca="1"/>
        <v>Completed</v>
      </c>
      <c r="AT73" t="str">
        <f ca="1"/>
        <v>640/ 2023</v>
      </c>
      <c r="AU73" t="str">
        <f ca="1"/>
        <v>Loni Police Station</v>
      </c>
      <c r="AV73" t="str">
        <f ca="1"/>
        <v>Ahamadnagar</v>
      </c>
      <c r="AW73" t="str">
        <f ca="1"/>
        <v>NA</v>
      </c>
      <c r="AX73" s="42" t="str">
        <f ca="1"/>
        <v>WIP</v>
      </c>
      <c r="AY73" t="str">
        <f ca="1"/>
        <v xml:space="preserve">NA </v>
      </c>
      <c r="AZ73">
        <f ca="1"/>
        <v>0</v>
      </c>
      <c r="BA73">
        <f ca="1"/>
        <v>0</v>
      </c>
      <c r="BB73" s="42" t="str">
        <f ca="1"/>
        <v>NA</v>
      </c>
      <c r="BC73">
        <f ca="1"/>
        <v>0</v>
      </c>
      <c r="BD73">
        <f ca="1"/>
        <v>0</v>
      </c>
      <c r="BE73">
        <f ca="1"/>
        <v>0</v>
      </c>
    </row>
    <row r="74" spans="1:57">
      <c r="A74" s="42">
        <f ca="1"/>
        <v>73</v>
      </c>
      <c r="B74" s="42" t="str">
        <f ca="1"/>
        <v>2025212399</v>
      </c>
      <c r="C74" s="42" t="str">
        <f ca="1"/>
        <v>Indusind General Insurance Co Ltd</v>
      </c>
      <c r="D74" s="42" t="str">
        <f ca="1"/>
        <v>MACT</v>
      </c>
      <c r="E74" s="42" t="str">
        <f ca="1"/>
        <v>R001-1073-SS-2025</v>
      </c>
      <c r="F74" s="310">
        <f ca="1"/>
        <v>45970</v>
      </c>
      <c r="G74" s="42" t="str">
        <f ca="1"/>
        <v>Nov-25</v>
      </c>
      <c r="H74" s="312">
        <f ca="1"/>
        <v>46022</v>
      </c>
      <c r="I74" s="42" t="str">
        <f ca="1"/>
        <v>Dec-25</v>
      </c>
      <c r="J74" s="310">
        <f ca="1"/>
        <v>46010</v>
      </c>
      <c r="K74" s="42">
        <f ca="1"/>
        <v>52</v>
      </c>
      <c r="L74" s="42" t="str">
        <f ca="1"/>
        <v>AT</v>
      </c>
      <c r="M74" s="42" t="str">
        <f ca="1"/>
        <v>Full Case</v>
      </c>
      <c r="N74" s="42" t="str">
        <f ca="1"/>
        <v>QC</v>
      </c>
      <c r="O74" s="42" t="str">
        <f ca="1"/>
        <v>Completed</v>
      </c>
      <c r="P74">
        <f ca="1"/>
        <v>0</v>
      </c>
      <c r="Q74" t="str">
        <f ca="1"/>
        <v xml:space="preserve">Sagar Ashok Nikam </v>
      </c>
      <c r="R74" t="str">
        <f ca="1"/>
        <v>R/oBelPiplegav Tal-Nevasa D-Ahilyanagar</v>
      </c>
      <c r="S74" t="str">
        <f ca="1"/>
        <v>Ahilyanagar</v>
      </c>
      <c r="T74" s="314" t="str">
        <f ca="1"/>
        <v>Completed</v>
      </c>
      <c r="U74" t="str">
        <f ca="1"/>
        <v xml:space="preserve">NA </v>
      </c>
      <c r="V74">
        <f ca="1"/>
        <v>0</v>
      </c>
      <c r="W74">
        <f ca="1"/>
        <v>0</v>
      </c>
      <c r="X74" s="42" t="str">
        <f ca="1"/>
        <v>NA</v>
      </c>
      <c r="Y74" t="str">
        <f ca="1"/>
        <v xml:space="preserve">Mohin Munir Pathan </v>
      </c>
      <c r="Z74" t="str">
        <f ca="1"/>
        <v>RA,Samarthnagar,masjid,ashoknagar , Shrirampur,Ahilyanagar.</v>
      </c>
      <c r="AA74" t="str">
        <f ca="1"/>
        <v>Ahilyanagar</v>
      </c>
      <c r="AB74" t="str">
        <f ca="1"/>
        <v>NA</v>
      </c>
      <c r="AC74" s="42" t="str">
        <f ca="1"/>
        <v>Completed</v>
      </c>
      <c r="AD74" t="str">
        <f ca="1"/>
        <v xml:space="preserve">NA </v>
      </c>
      <c r="AE74">
        <f ca="1"/>
        <v>0</v>
      </c>
      <c r="AF74" t="str">
        <f ca="1"/>
        <v>Manun Hasan Abas Shaikh</v>
      </c>
      <c r="AG74" s="42" t="str">
        <f ca="1"/>
        <v>Completed</v>
      </c>
      <c r="AH74" t="str">
        <f ca="1"/>
        <v>NA</v>
      </c>
      <c r="AI74" s="42" t="str">
        <f ca="1"/>
        <v>NA</v>
      </c>
      <c r="AJ74" t="str">
        <f ca="1"/>
        <v>NA</v>
      </c>
      <c r="AK74" s="42" t="str">
        <f ca="1"/>
        <v>NA</v>
      </c>
      <c r="AL74" t="str">
        <f ca="1"/>
        <v>NA</v>
      </c>
      <c r="AM74" s="42" t="str">
        <f ca="1"/>
        <v>NA</v>
      </c>
      <c r="AN74" t="str">
        <f ca="1"/>
        <v>NA</v>
      </c>
      <c r="AO74" s="42" t="str">
        <f ca="1"/>
        <v>NA</v>
      </c>
      <c r="AP74" t="str">
        <f ca="1"/>
        <v xml:space="preserve">NA </v>
      </c>
      <c r="AQ74" t="str">
        <f ca="1"/>
        <v>Haregaon,Shrirampur,Roaqd Teenvdi ,Haregav,SHrirampur</v>
      </c>
      <c r="AR74">
        <f ca="1"/>
        <v>0</v>
      </c>
      <c r="AS74" s="42" t="str">
        <f ca="1"/>
        <v>Completed</v>
      </c>
      <c r="AT74" t="str">
        <f ca="1"/>
        <v>00293/2025</v>
      </c>
      <c r="AU74" t="str">
        <f ca="1"/>
        <v>Shrirampur tal police sta.</v>
      </c>
      <c r="AV74" t="str">
        <f ca="1"/>
        <v>AhilyaNagar</v>
      </c>
      <c r="AW74" t="str">
        <f ca="1"/>
        <v>NA</v>
      </c>
      <c r="AX74" s="42" t="str">
        <f ca="1"/>
        <v>Completed</v>
      </c>
      <c r="AY74" t="str">
        <f ca="1"/>
        <v xml:space="preserve">NA </v>
      </c>
      <c r="AZ74">
        <f ca="1"/>
        <v>0</v>
      </c>
      <c r="BA74">
        <f ca="1"/>
        <v>0</v>
      </c>
      <c r="BB74" s="42" t="str">
        <f ca="1"/>
        <v>NA</v>
      </c>
      <c r="BC74">
        <f ca="1"/>
        <v>0</v>
      </c>
      <c r="BD74">
        <f ca="1"/>
        <v>0</v>
      </c>
      <c r="BE74">
        <f ca="1"/>
        <v>0</v>
      </c>
    </row>
    <row r="75" spans="1:57">
      <c r="A75" s="42">
        <f ca="1"/>
        <v>74</v>
      </c>
      <c r="B75" s="42" t="str">
        <f ca="1"/>
        <v>2025212401</v>
      </c>
      <c r="C75" s="42" t="str">
        <f ca="1"/>
        <v>Indusind General Insurance Co Ltd</v>
      </c>
      <c r="D75" s="42" t="str">
        <f ca="1"/>
        <v>MACT</v>
      </c>
      <c r="E75" s="42" t="str">
        <f ca="1"/>
        <v>R001-1074-SS-2025</v>
      </c>
      <c r="F75" s="310">
        <f ca="1"/>
        <v>45970</v>
      </c>
      <c r="G75" s="42" t="str">
        <f ca="1"/>
        <v>Nov-25</v>
      </c>
      <c r="H75" s="312">
        <f ca="1"/>
        <v>46024</v>
      </c>
      <c r="I75" s="42" t="str">
        <f ca="1"/>
        <v>Jan-26</v>
      </c>
      <c r="J75" s="310">
        <f ca="1"/>
        <v>46010</v>
      </c>
      <c r="K75" s="42">
        <f ca="1"/>
        <v>54</v>
      </c>
      <c r="L75" s="42" t="str">
        <f ca="1"/>
        <v>AT</v>
      </c>
      <c r="M75" s="42" t="str">
        <f ca="1"/>
        <v>Full Case</v>
      </c>
      <c r="N75" s="42" t="str">
        <f ca="1"/>
        <v>Dispatch</v>
      </c>
      <c r="O75" s="42" t="str">
        <f ca="1"/>
        <v>Completed</v>
      </c>
      <c r="P75">
        <f ca="1"/>
        <v>0</v>
      </c>
      <c r="Q75" t="str">
        <f ca="1"/>
        <v xml:space="preserve">Rajaram Dinkar Suryawanshi </v>
      </c>
      <c r="R75" t="str">
        <f ca="1"/>
        <v xml:space="preserve">RA,Devla,Tal-Devla,Dist-Nashik </v>
      </c>
      <c r="S75" t="str">
        <f ca="1"/>
        <v>Nashik</v>
      </c>
      <c r="T75" s="314" t="str">
        <f ca="1"/>
        <v>Completed</v>
      </c>
      <c r="U75" t="str">
        <f ca="1"/>
        <v xml:space="preserve">NA </v>
      </c>
      <c r="V75">
        <f ca="1"/>
        <v>0</v>
      </c>
      <c r="W75">
        <f ca="1"/>
        <v>0</v>
      </c>
      <c r="X75" s="42" t="str">
        <f ca="1"/>
        <v>NA</v>
      </c>
      <c r="Y75" t="str">
        <f ca="1"/>
        <v xml:space="preserve">Tirupati shikshan sanstha </v>
      </c>
      <c r="Z75" t="str">
        <f ca="1"/>
        <v>RA,Nivane,Tal,Kalwan,Dist,Nashik</v>
      </c>
      <c r="AA75" t="str">
        <f ca="1"/>
        <v>Nashik</v>
      </c>
      <c r="AB75" t="str">
        <f ca="1"/>
        <v>NA</v>
      </c>
      <c r="AC75" s="42" t="str">
        <f ca="1"/>
        <v>Completed</v>
      </c>
      <c r="AD75" t="str">
        <f ca="1"/>
        <v xml:space="preserve">NA </v>
      </c>
      <c r="AE75">
        <f ca="1"/>
        <v>0</v>
      </c>
      <c r="AF75" t="str">
        <f ca="1"/>
        <v>NI</v>
      </c>
      <c r="AG75" s="42" t="str">
        <f ca="1"/>
        <v>Completed</v>
      </c>
      <c r="AH75" t="str">
        <f ca="1"/>
        <v>NA</v>
      </c>
      <c r="AI75" s="42" t="str">
        <f ca="1"/>
        <v>NA</v>
      </c>
      <c r="AJ75" t="str">
        <f ca="1"/>
        <v>NA</v>
      </c>
      <c r="AK75" s="42" t="str">
        <f ca="1"/>
        <v>NA</v>
      </c>
      <c r="AL75" t="str">
        <f ca="1"/>
        <v>NA</v>
      </c>
      <c r="AM75" s="42" t="str">
        <f ca="1"/>
        <v>NA</v>
      </c>
      <c r="AN75" t="str">
        <f ca="1"/>
        <v>NA</v>
      </c>
      <c r="AO75" s="42" t="str">
        <f ca="1"/>
        <v>NA</v>
      </c>
      <c r="AP75" t="str">
        <f ca="1"/>
        <v xml:space="preserve">NA </v>
      </c>
      <c r="AQ75" t="str">
        <f ca="1"/>
        <v>Vajgav to Matane Devla Road .</v>
      </c>
      <c r="AR75">
        <f ca="1"/>
        <v>0</v>
      </c>
      <c r="AS75" s="42" t="str">
        <f ca="1"/>
        <v>Completed</v>
      </c>
      <c r="AT75" t="str">
        <f ca="1"/>
        <v>0010/2024</v>
      </c>
      <c r="AU75" t="str">
        <f ca="1"/>
        <v>Devla Police St.</v>
      </c>
      <c r="AV75" t="str">
        <f ca="1"/>
        <v>Nashik</v>
      </c>
      <c r="AW75" t="str">
        <f ca="1"/>
        <v>NA</v>
      </c>
      <c r="AX75" s="42" t="str">
        <f ca="1"/>
        <v>NA</v>
      </c>
      <c r="AY75" t="str">
        <f ca="1"/>
        <v xml:space="preserve">NA </v>
      </c>
      <c r="AZ75">
        <f ca="1"/>
        <v>0</v>
      </c>
      <c r="BA75">
        <f ca="1"/>
        <v>0</v>
      </c>
      <c r="BB75" s="42" t="str">
        <f ca="1"/>
        <v>NA</v>
      </c>
      <c r="BC75">
        <f ca="1"/>
        <v>0</v>
      </c>
      <c r="BD75">
        <f ca="1"/>
        <v>0</v>
      </c>
      <c r="BE75">
        <f ca="1"/>
        <v>0</v>
      </c>
    </row>
    <row r="76" spans="1:57">
      <c r="A76" s="42">
        <f ca="1"/>
        <v>75</v>
      </c>
      <c r="B76" s="42" t="str">
        <f ca="1"/>
        <v>2025212349</v>
      </c>
      <c r="C76" s="42" t="str">
        <f ca="1"/>
        <v>Indusind General Insurance Co Ltd</v>
      </c>
      <c r="D76" s="42" t="str">
        <f ca="1"/>
        <v>MACT</v>
      </c>
      <c r="E76" s="42" t="str">
        <f ca="1"/>
        <v>R001-1075-SS-2025</v>
      </c>
      <c r="F76" s="310">
        <f ca="1"/>
        <v>45970</v>
      </c>
      <c r="G76" s="42" t="str">
        <f ca="1"/>
        <v>Nov-25</v>
      </c>
      <c r="H76" s="312" t="str">
        <f ca="1"/>
        <v>-</v>
      </c>
      <c r="I76" s="42">
        <f ca="1"/>
        <v>0</v>
      </c>
      <c r="J76" s="310">
        <f ca="1"/>
        <v>46010</v>
      </c>
      <c r="K76" s="42">
        <f ca="1"/>
        <v>57</v>
      </c>
      <c r="L76" s="42" t="str">
        <f ca="1"/>
        <v>AT</v>
      </c>
      <c r="M76" s="42" t="str">
        <f ca="1"/>
        <v>Full Case</v>
      </c>
      <c r="N76" s="42" t="str">
        <f ca="1"/>
        <v>Open</v>
      </c>
      <c r="O76" s="42" t="str">
        <f ca="1"/>
        <v>Pending CS</v>
      </c>
      <c r="P76">
        <f ca="1"/>
        <v>0</v>
      </c>
      <c r="Q76" t="str">
        <f ca="1"/>
        <v xml:space="preserve">vishal Gangadhar Zagade </v>
      </c>
      <c r="R76" t="str">
        <f ca="1"/>
        <v xml:space="preserve">R/o bela -Nagpur </v>
      </c>
      <c r="S76" t="str">
        <f ca="1"/>
        <v>Nagpur</v>
      </c>
      <c r="T76" s="314" t="str">
        <f ca="1"/>
        <v>Completed</v>
      </c>
      <c r="U76" t="str">
        <f ca="1"/>
        <v>WIP</v>
      </c>
      <c r="V76">
        <f ca="1"/>
        <v>0</v>
      </c>
      <c r="W76">
        <f ca="1"/>
        <v>0</v>
      </c>
      <c r="X76" s="42" t="str">
        <f ca="1"/>
        <v>WIP</v>
      </c>
      <c r="Y76" t="str">
        <f ca="1"/>
        <v xml:space="preserve">Ramesh Laxmen Matangi </v>
      </c>
      <c r="Z76" t="str">
        <f ca="1"/>
        <v>Bajaj Nagar,Chowk,Behind,Akurdi Bajaj Nagar ,Nagpur.</v>
      </c>
      <c r="AA76" t="str">
        <f ca="1"/>
        <v>Nagpur</v>
      </c>
      <c r="AB76" t="str">
        <f ca="1"/>
        <v>NA</v>
      </c>
      <c r="AC76" s="42" t="str">
        <f ca="1"/>
        <v>Completed</v>
      </c>
      <c r="AD76" t="str">
        <f ca="1"/>
        <v xml:space="preserve">NA </v>
      </c>
      <c r="AE76">
        <f ca="1"/>
        <v>0</v>
      </c>
      <c r="AF76" t="str">
        <f ca="1"/>
        <v xml:space="preserve">NA </v>
      </c>
      <c r="AG76" s="42" t="str">
        <f ca="1"/>
        <v>Completed</v>
      </c>
      <c r="AH76" t="str">
        <f ca="1"/>
        <v>NA</v>
      </c>
      <c r="AI76" s="42" t="str">
        <f ca="1"/>
        <v>NA</v>
      </c>
      <c r="AJ76" t="str">
        <f ca="1"/>
        <v>NA</v>
      </c>
      <c r="AK76" s="42" t="str">
        <f ca="1"/>
        <v>NA</v>
      </c>
      <c r="AL76" t="str">
        <f ca="1"/>
        <v>NA</v>
      </c>
      <c r="AM76" s="42" t="str">
        <f ca="1"/>
        <v>NA</v>
      </c>
      <c r="AN76" t="str">
        <f ca="1"/>
        <v>NA</v>
      </c>
      <c r="AO76" s="42" t="str">
        <f ca="1"/>
        <v>NA</v>
      </c>
      <c r="AP76" t="str">
        <f ca="1"/>
        <v xml:space="preserve">NA </v>
      </c>
      <c r="AQ76" t="str">
        <f ca="1"/>
        <v>At Dhawlpeth Road ,Near Goyal Company ,Ps-bori Dist-nagpur .</v>
      </c>
      <c r="AR76">
        <f ca="1"/>
        <v>0</v>
      </c>
      <c r="AS76" s="42" t="str">
        <f ca="1"/>
        <v>Completed</v>
      </c>
      <c r="AT76" t="str">
        <f ca="1"/>
        <v>0492/2025</v>
      </c>
      <c r="AU76" t="str">
        <f ca="1"/>
        <v>Bori,Nagpur Police St</v>
      </c>
      <c r="AV76" t="str">
        <f ca="1"/>
        <v xml:space="preserve">Nagpur </v>
      </c>
      <c r="AW76" t="str">
        <f ca="1"/>
        <v>NA</v>
      </c>
      <c r="AX76" s="42" t="str">
        <f ca="1"/>
        <v>WIP</v>
      </c>
      <c r="AY76" t="str">
        <f ca="1"/>
        <v xml:space="preserve">NA </v>
      </c>
      <c r="AZ76">
        <f ca="1"/>
        <v>0</v>
      </c>
      <c r="BA76">
        <f ca="1"/>
        <v>0</v>
      </c>
      <c r="BB76" s="42" t="str">
        <f ca="1"/>
        <v>NA</v>
      </c>
      <c r="BC76">
        <f ca="1"/>
        <v>0</v>
      </c>
      <c r="BD76">
        <f ca="1"/>
        <v>0</v>
      </c>
      <c r="BE76">
        <f ca="1"/>
        <v>0</v>
      </c>
    </row>
    <row r="77" spans="1:57">
      <c r="A77" s="42">
        <f ca="1"/>
        <v>76</v>
      </c>
      <c r="B77" s="42" t="str">
        <f ca="1"/>
        <v>2025212447</v>
      </c>
      <c r="C77" s="42" t="str">
        <f ca="1"/>
        <v>Indusind General Insurance Co Ltd</v>
      </c>
      <c r="D77" s="42" t="str">
        <f ca="1"/>
        <v>MACT</v>
      </c>
      <c r="E77" s="42" t="str">
        <f ca="1"/>
        <v>R001-1076-SS-2025</v>
      </c>
      <c r="F77" s="310">
        <f ca="1"/>
        <v>45973</v>
      </c>
      <c r="G77" s="42" t="str">
        <f ca="1"/>
        <v>Nov-25</v>
      </c>
      <c r="H77" s="312" t="str">
        <f ca="1"/>
        <v>-</v>
      </c>
      <c r="I77" s="42">
        <f ca="1"/>
        <v>0</v>
      </c>
      <c r="J77" s="310">
        <f ca="1"/>
        <v>46015</v>
      </c>
      <c r="K77" s="42">
        <f ca="1"/>
        <v>54</v>
      </c>
      <c r="L77" s="42" t="str">
        <f ca="1"/>
        <v>AT</v>
      </c>
      <c r="M77" s="42" t="str">
        <f ca="1"/>
        <v>Full Case</v>
      </c>
      <c r="N77" s="42" t="str">
        <f ca="1"/>
        <v>Open</v>
      </c>
      <c r="O77" s="42" t="str">
        <f ca="1"/>
        <v>Pending CS</v>
      </c>
      <c r="P77">
        <f ca="1"/>
        <v>0</v>
      </c>
      <c r="Q77" t="str">
        <f ca="1"/>
        <v xml:space="preserve">Uttam Keshav Sarude </v>
      </c>
      <c r="R77" t="str">
        <f ca="1"/>
        <v>DhanGarwadi,KhamGav,Tal-Nevsa,Dist-Ahmadnagar</v>
      </c>
      <c r="S77" t="str">
        <f ca="1"/>
        <v>Ahilyanagar</v>
      </c>
      <c r="T77" s="314" t="str">
        <f ca="1"/>
        <v>Completed</v>
      </c>
      <c r="U77" t="str">
        <f ca="1"/>
        <v>Amit Dalvi</v>
      </c>
      <c r="V77">
        <f ca="1"/>
        <v>0</v>
      </c>
      <c r="W77">
        <f ca="1"/>
        <v>0</v>
      </c>
      <c r="X77" s="42" t="str">
        <f ca="1"/>
        <v>Amit Dalvi</v>
      </c>
      <c r="Y77" t="str">
        <f ca="1"/>
        <v>Yunush Nizam Pathan 9158589465</v>
      </c>
      <c r="Z77" t="str">
        <f ca="1"/>
        <v>R/o Bharsawada,Tal-,Dist-Parbhani.</v>
      </c>
      <c r="AA77" t="str">
        <f ca="1"/>
        <v>Parbhani</v>
      </c>
      <c r="AB77" t="str">
        <f ca="1"/>
        <v>NA</v>
      </c>
      <c r="AC77" s="42" t="str">
        <f ca="1"/>
        <v>Completed</v>
      </c>
      <c r="AD77" t="str">
        <f ca="1"/>
        <v xml:space="preserve">NA </v>
      </c>
      <c r="AE77">
        <f ca="1"/>
        <v>0</v>
      </c>
      <c r="AF77" t="str">
        <f ca="1"/>
        <v>NA</v>
      </c>
      <c r="AG77" s="42" t="str">
        <f ca="1"/>
        <v>Completed</v>
      </c>
      <c r="AH77" t="str">
        <f ca="1"/>
        <v>NA</v>
      </c>
      <c r="AI77" s="42" t="str">
        <f ca="1"/>
        <v>NA</v>
      </c>
      <c r="AJ77" t="str">
        <f ca="1"/>
        <v>NA</v>
      </c>
      <c r="AK77" s="42" t="str">
        <f ca="1"/>
        <v>NA</v>
      </c>
      <c r="AL77" t="str">
        <f ca="1"/>
        <v>NA</v>
      </c>
      <c r="AM77" s="42" t="str">
        <f ca="1"/>
        <v>NA</v>
      </c>
      <c r="AN77" t="str">
        <f ca="1"/>
        <v>NA</v>
      </c>
      <c r="AO77" s="42" t="str">
        <f ca="1"/>
        <v>NA</v>
      </c>
      <c r="AP77" t="str">
        <f ca="1"/>
        <v xml:space="preserve">NA </v>
      </c>
      <c r="AQ77" t="str">
        <f ca="1"/>
        <v>ShevGav-Nevasa Road,Sub-Station.</v>
      </c>
      <c r="AR77">
        <f ca="1"/>
        <v>0</v>
      </c>
      <c r="AS77" s="42" t="str">
        <f ca="1"/>
        <v>Completed</v>
      </c>
      <c r="AT77" t="str">
        <f ca="1"/>
        <v>0440/2025</v>
      </c>
      <c r="AU77" t="str">
        <f ca="1"/>
        <v>ShevGav,Police Station.</v>
      </c>
      <c r="AV77" t="str">
        <f ca="1"/>
        <v>Ahamadnagar</v>
      </c>
      <c r="AW77" t="str">
        <f ca="1"/>
        <v>NA</v>
      </c>
      <c r="AX77" s="42" t="str">
        <f ca="1"/>
        <v>WIP</v>
      </c>
      <c r="AY77" t="str">
        <f ca="1"/>
        <v xml:space="preserve">NA </v>
      </c>
      <c r="AZ77">
        <f ca="1"/>
        <v>0</v>
      </c>
      <c r="BA77">
        <f ca="1"/>
        <v>0</v>
      </c>
      <c r="BB77" s="42" t="str">
        <f ca="1"/>
        <v>Completed</v>
      </c>
      <c r="BC77">
        <f ca="1"/>
        <v>0</v>
      </c>
      <c r="BD77">
        <f ca="1"/>
        <v>0</v>
      </c>
      <c r="BE77" t="str">
        <f ca="1"/>
        <v xml:space="preserve">Insured Part completed </v>
      </c>
    </row>
    <row r="78" spans="1:57">
      <c r="A78" s="42">
        <f ca="1"/>
        <v>77</v>
      </c>
      <c r="B78" s="42" t="str">
        <f ca="1"/>
        <v>MTP-N-2526-004298</v>
      </c>
      <c r="C78" s="42" t="str">
        <f ca="1"/>
        <v>Generali Central Insurance Company Limited</v>
      </c>
      <c r="D78" s="42" t="str">
        <f ca="1"/>
        <v>MACT</v>
      </c>
      <c r="E78" s="42" t="str">
        <f ca="1"/>
        <v>F001-1077-SS-2025</v>
      </c>
      <c r="F78" s="310">
        <f ca="1"/>
        <v>45973</v>
      </c>
      <c r="G78" s="42" t="str">
        <f ca="1"/>
        <v>Nov-25</v>
      </c>
      <c r="H78" s="312">
        <f ca="1"/>
        <v>46017</v>
      </c>
      <c r="I78" s="42" t="str">
        <f ca="1"/>
        <v>Dec-25</v>
      </c>
      <c r="J78" s="310">
        <f ca="1"/>
        <v>46015</v>
      </c>
      <c r="K78" s="42">
        <f ca="1"/>
        <v>44</v>
      </c>
      <c r="L78" s="42" t="str">
        <f ca="1"/>
        <v>AT</v>
      </c>
      <c r="M78" s="42" t="str">
        <f ca="1"/>
        <v>Full Case</v>
      </c>
      <c r="N78" s="42" t="str">
        <f ca="1"/>
        <v>Dispatch</v>
      </c>
      <c r="O78" s="42" t="str">
        <f ca="1"/>
        <v>Completed</v>
      </c>
      <c r="P78">
        <f ca="1"/>
        <v>0</v>
      </c>
      <c r="Q78" t="str">
        <f ca="1"/>
        <v>Pratham Tarun Bhenwal</v>
      </c>
      <c r="R78" t="str">
        <f ca="1"/>
        <v xml:space="preserve">At R/at: Room no. 37/116, near Building no. 32, RCF T-3,Gate, Gandhi nagar, Chembur colony, Chembur, Mumbai, ]
Maharashtra 400074 </v>
      </c>
      <c r="S78" t="str">
        <f ca="1"/>
        <v>Mumbai</v>
      </c>
      <c r="T78" s="314" t="str">
        <f ca="1"/>
        <v>Completed</v>
      </c>
      <c r="U78" t="str">
        <f ca="1"/>
        <v>NA</v>
      </c>
      <c r="V78">
        <f ca="1"/>
        <v>0</v>
      </c>
      <c r="W78">
        <f ca="1"/>
        <v>0</v>
      </c>
      <c r="X78" s="42" t="str">
        <f ca="1"/>
        <v>NA</v>
      </c>
      <c r="Y78" t="str">
        <f ca="1"/>
        <v>Gajendra Rangrao Patil SR Tours &amp; Travals 86258312621</v>
      </c>
      <c r="Z78" t="str">
        <f ca="1"/>
        <v>328, Near Hanuman Temple, A/P Top, Tal- Hatkanangale, Dist- Kolhapur, TOP, Maharashtra 416122 / 1st floor, Shankar Dhangat Building, Vadgaon Budruk, Ghule Ngr, Happy Colony, Nr Newase clinic, Pune.</v>
      </c>
      <c r="AA78" t="str">
        <f ca="1"/>
        <v>Pune</v>
      </c>
      <c r="AB78" t="str">
        <f ca="1"/>
        <v>NA</v>
      </c>
      <c r="AC78" s="42" t="str">
        <f ca="1"/>
        <v>Completed</v>
      </c>
      <c r="AD78" t="str">
        <f ca="1"/>
        <v>Amol  Keshav Jadhav 7350716038</v>
      </c>
      <c r="AE78">
        <f ca="1"/>
        <v>0</v>
      </c>
      <c r="AF78" t="str">
        <f ca="1"/>
        <v>Rajeev Sharma</v>
      </c>
      <c r="AG78" s="42" t="str">
        <f ca="1"/>
        <v>Completed</v>
      </c>
      <c r="AH78" t="str">
        <f ca="1"/>
        <v>NA</v>
      </c>
      <c r="AI78" s="42" t="str">
        <f ca="1"/>
        <v>NA</v>
      </c>
      <c r="AJ78" t="str">
        <f ca="1"/>
        <v>NA</v>
      </c>
      <c r="AK78" s="42" t="str">
        <f ca="1"/>
        <v>NA</v>
      </c>
      <c r="AL78" t="str">
        <f ca="1"/>
        <v>NA</v>
      </c>
      <c r="AM78" s="42" t="str">
        <f ca="1"/>
        <v>NA</v>
      </c>
      <c r="AN78" t="str">
        <f ca="1"/>
        <v>NA</v>
      </c>
      <c r="AO78" s="42" t="str">
        <f ca="1"/>
        <v>NA</v>
      </c>
      <c r="AP78" t="str">
        <f ca="1"/>
        <v xml:space="preserve">NA </v>
      </c>
      <c r="AQ78" t="str">
        <f ca="1"/>
        <v>Near Sampada Highway,Bridge Signal,Navi Mum</v>
      </c>
      <c r="AR78">
        <f ca="1"/>
        <v>0</v>
      </c>
      <c r="AS78" s="42" t="str">
        <f ca="1"/>
        <v>Completed</v>
      </c>
      <c r="AT78" t="str">
        <f ca="1"/>
        <v>0529/2025</v>
      </c>
      <c r="AU78" t="str">
        <f ca="1"/>
        <v>Apmc Police Station</v>
      </c>
      <c r="AV78" t="str">
        <f ca="1"/>
        <v>Navi-Mumbai</v>
      </c>
      <c r="AW78" t="str">
        <f ca="1"/>
        <v>NA</v>
      </c>
      <c r="AX78" s="42" t="str">
        <f ca="1"/>
        <v>NA</v>
      </c>
      <c r="AY78" t="str">
        <f ca="1"/>
        <v xml:space="preserve">NA </v>
      </c>
      <c r="AZ78">
        <f ca="1"/>
        <v>0</v>
      </c>
      <c r="BA78">
        <f ca="1"/>
        <v>0</v>
      </c>
      <c r="BB78" s="42" t="str">
        <f ca="1"/>
        <v>Completed</v>
      </c>
      <c r="BC78">
        <f ca="1"/>
        <v>0</v>
      </c>
      <c r="BD78">
        <f ca="1"/>
        <v>0</v>
      </c>
      <c r="BE78" t="str">
        <f ca="1"/>
        <v xml:space="preserve">Spot/ Claimant/ Hospital / Insured Driver Non trcabel Pending for  CS , RC and DL extract </v>
      </c>
    </row>
    <row r="79" spans="1:57">
      <c r="A79" s="42">
        <f ca="1"/>
        <v>78</v>
      </c>
      <c r="B79" s="42" t="str">
        <f ca="1"/>
        <v>2024213743</v>
      </c>
      <c r="C79" s="42" t="str">
        <f ca="1"/>
        <v>Indusind General Insurance Co Ltd</v>
      </c>
      <c r="D79" s="42" t="str">
        <f ca="1"/>
        <v>MACT</v>
      </c>
      <c r="E79" s="42" t="str">
        <f ca="1"/>
        <v>R001-1078-SS-2025</v>
      </c>
      <c r="F79" s="310">
        <f ca="1"/>
        <v>45974</v>
      </c>
      <c r="G79" s="42" t="str">
        <f ca="1"/>
        <v>Nov-25</v>
      </c>
      <c r="H79" s="312" t="str">
        <f ca="1"/>
        <v>-</v>
      </c>
      <c r="I79" s="42">
        <f ca="1"/>
        <v>0</v>
      </c>
      <c r="J79" s="310">
        <f ca="1"/>
        <v>45995</v>
      </c>
      <c r="K79" s="42">
        <f ca="1"/>
        <v>53</v>
      </c>
      <c r="L79" s="42" t="str">
        <f ca="1"/>
        <v>AT</v>
      </c>
      <c r="M79" s="42" t="str">
        <f ca="1"/>
        <v>Partial Case</v>
      </c>
      <c r="N79" s="42" t="str">
        <f ca="1"/>
        <v>Open</v>
      </c>
      <c r="O79" s="42" t="str">
        <f ca="1"/>
        <v>WIP</v>
      </c>
      <c r="P79" t="str">
        <f ca="1"/>
        <v xml:space="preserve">
Required complete chargesheet.</v>
      </c>
      <c r="Q79" t="str">
        <f ca="1"/>
        <v>NA</v>
      </c>
      <c r="R79" t="str">
        <f ca="1"/>
        <v xml:space="preserve">NA </v>
      </c>
      <c r="S79" t="str">
        <f ca="1"/>
        <v>NA</v>
      </c>
      <c r="T79" s="314" t="str">
        <f ca="1"/>
        <v>NA</v>
      </c>
      <c r="U79" t="str">
        <f ca="1"/>
        <v xml:space="preserve">NA </v>
      </c>
      <c r="V79">
        <f ca="1"/>
        <v>0</v>
      </c>
      <c r="W79">
        <f ca="1"/>
        <v>0</v>
      </c>
      <c r="X79" s="42" t="str">
        <f ca="1"/>
        <v>NA</v>
      </c>
      <c r="Y79" t="str">
        <f ca="1"/>
        <v>NA</v>
      </c>
      <c r="Z79" t="str">
        <f ca="1"/>
        <v xml:space="preserve">NA </v>
      </c>
      <c r="AA79" t="str">
        <f ca="1"/>
        <v>NA</v>
      </c>
      <c r="AB79" t="str">
        <f ca="1"/>
        <v>NA</v>
      </c>
      <c r="AC79" s="42" t="str">
        <f ca="1"/>
        <v>NA</v>
      </c>
      <c r="AD79" t="str">
        <f ca="1"/>
        <v>NA</v>
      </c>
      <c r="AE79">
        <f ca="1"/>
        <v>0</v>
      </c>
      <c r="AF79" t="str">
        <f ca="1"/>
        <v>NA</v>
      </c>
      <c r="AG79" s="42" t="str">
        <f ca="1"/>
        <v>NA</v>
      </c>
      <c r="AH79" t="str">
        <f ca="1"/>
        <v>NA</v>
      </c>
      <c r="AI79" s="42" t="str">
        <f ca="1"/>
        <v>NA</v>
      </c>
      <c r="AJ79" t="str">
        <f ca="1"/>
        <v>NA</v>
      </c>
      <c r="AK79" s="42" t="str">
        <f ca="1"/>
        <v>NA</v>
      </c>
      <c r="AL79" t="str">
        <f ca="1"/>
        <v>NA</v>
      </c>
      <c r="AM79" s="42" t="str">
        <f ca="1"/>
        <v>NA</v>
      </c>
      <c r="AN79" t="str">
        <f ca="1"/>
        <v>NA</v>
      </c>
      <c r="AO79" s="42" t="str">
        <f ca="1"/>
        <v>NA</v>
      </c>
      <c r="AP79" t="str">
        <f ca="1"/>
        <v xml:space="preserve">NA </v>
      </c>
      <c r="AQ79" t="str">
        <f ca="1"/>
        <v>NA</v>
      </c>
      <c r="AR79">
        <f ca="1"/>
        <v>0</v>
      </c>
      <c r="AS79" s="42" t="str">
        <f ca="1"/>
        <v>NA</v>
      </c>
      <c r="AT79" t="str">
        <f ca="1"/>
        <v>856/2023</v>
      </c>
      <c r="AU79" t="str">
        <f ca="1"/>
        <v>Waluj MIDC Po. ST.</v>
      </c>
      <c r="AV79" t="str">
        <f ca="1"/>
        <v>Sambhajinagar</v>
      </c>
      <c r="AW79" t="str">
        <f ca="1"/>
        <v>NA</v>
      </c>
      <c r="AX79" s="42" t="str">
        <f ca="1"/>
        <v>NI</v>
      </c>
      <c r="AY79" t="str">
        <f ca="1"/>
        <v xml:space="preserve">NA </v>
      </c>
      <c r="AZ79">
        <f ca="1"/>
        <v>0</v>
      </c>
      <c r="BA79">
        <f ca="1"/>
        <v>0</v>
      </c>
      <c r="BB79" s="42" t="str">
        <f ca="1"/>
        <v>NA</v>
      </c>
      <c r="BC79">
        <f ca="1"/>
        <v>0</v>
      </c>
      <c r="BD79">
        <f ca="1"/>
        <v>0</v>
      </c>
      <c r="BE79">
        <f ca="1"/>
        <v>0</v>
      </c>
    </row>
    <row r="80" spans="1:57">
      <c r="A80" s="42">
        <f ca="1"/>
        <v>79</v>
      </c>
      <c r="B80" s="42" t="str">
        <f ca="1"/>
        <v>2025212533</v>
      </c>
      <c r="C80" s="42" t="str">
        <f ca="1"/>
        <v>Indusind General Insurance Co Ltd</v>
      </c>
      <c r="D80" s="42" t="str">
        <f ca="1"/>
        <v>MACT</v>
      </c>
      <c r="E80" s="42" t="str">
        <f ca="1"/>
        <v>R001-1079-SS-2025</v>
      </c>
      <c r="F80" s="310">
        <f ca="1"/>
        <v>45975</v>
      </c>
      <c r="G80" s="42" t="str">
        <f ca="1"/>
        <v>Nov-25</v>
      </c>
      <c r="H80" s="312" t="str">
        <f ca="1"/>
        <v>-</v>
      </c>
      <c r="I80" s="42">
        <f ca="1"/>
        <v>0</v>
      </c>
      <c r="J80" s="310">
        <f ca="1"/>
        <v>46017</v>
      </c>
      <c r="K80" s="42">
        <f ca="1"/>
        <v>52</v>
      </c>
      <c r="L80" s="42" t="str">
        <f ca="1"/>
        <v>AT</v>
      </c>
      <c r="M80" s="42" t="str">
        <f ca="1"/>
        <v>Full Case</v>
      </c>
      <c r="N80" s="42" t="str">
        <f ca="1"/>
        <v>Open</v>
      </c>
      <c r="O80" s="42" t="str">
        <f ca="1"/>
        <v>WIP</v>
      </c>
      <c r="P80">
        <f ca="1"/>
        <v>0</v>
      </c>
      <c r="Q80" t="str">
        <f ca="1"/>
        <v>Sulochana Chandrakant Kamble7820964203</v>
      </c>
      <c r="R80" t="str">
        <f ca="1"/>
        <v>R/o Ekurka,Tq-Kallamb,Dist-Dharashiv.</v>
      </c>
      <c r="S80" t="str">
        <f ca="1"/>
        <v>Dharashiv</v>
      </c>
      <c r="T80" s="314" t="str">
        <f ca="1"/>
        <v>Completed</v>
      </c>
      <c r="U80" t="str">
        <f ca="1"/>
        <v xml:space="preserve">NA </v>
      </c>
      <c r="V80">
        <f ca="1"/>
        <v>0</v>
      </c>
      <c r="W80">
        <f ca="1"/>
        <v>0</v>
      </c>
      <c r="X80" s="42" t="str">
        <f ca="1"/>
        <v>NA</v>
      </c>
      <c r="Y80" t="str">
        <f ca="1"/>
        <v>Akshara Tours@Travels .</v>
      </c>
      <c r="Z80" t="str">
        <f ca="1"/>
        <v>R/oSr No.113/4Flat No.1Onkar Colony,Ground Floor,WalherKarWadi,Chinchwad,pune 411033.</v>
      </c>
      <c r="AA80" t="str">
        <f ca="1"/>
        <v>Pune</v>
      </c>
      <c r="AB80" t="str">
        <f ca="1"/>
        <v>NI</v>
      </c>
      <c r="AC80" s="42" t="str">
        <f ca="1"/>
        <v>Completed</v>
      </c>
      <c r="AD80" t="str">
        <f ca="1"/>
        <v>NA</v>
      </c>
      <c r="AE80">
        <f ca="1"/>
        <v>0</v>
      </c>
      <c r="AF80" t="str">
        <f ca="1"/>
        <v>NA</v>
      </c>
      <c r="AG80" s="42" t="str">
        <f ca="1"/>
        <v>NI</v>
      </c>
      <c r="AH80" t="str">
        <f ca="1"/>
        <v>NA</v>
      </c>
      <c r="AI80" s="42" t="str">
        <f ca="1"/>
        <v>NA</v>
      </c>
      <c r="AJ80" t="str">
        <f ca="1"/>
        <v>NA</v>
      </c>
      <c r="AK80" s="42" t="str">
        <f ca="1"/>
        <v>NA</v>
      </c>
      <c r="AL80" t="str">
        <f ca="1"/>
        <v>NA</v>
      </c>
      <c r="AM80" s="42" t="str">
        <f ca="1"/>
        <v>NA</v>
      </c>
      <c r="AN80" t="str">
        <f ca="1"/>
        <v>NA</v>
      </c>
      <c r="AO80" s="42" t="str">
        <f ca="1"/>
        <v>NA</v>
      </c>
      <c r="AP80" t="str">
        <f ca="1"/>
        <v xml:space="preserve">NA </v>
      </c>
      <c r="AQ80" t="str">
        <f ca="1"/>
        <v>On Dhokri To Kallamb Road,400Ft Away Towards North Side From Deoldhanora pati.</v>
      </c>
      <c r="AR80">
        <f ca="1"/>
        <v>0</v>
      </c>
      <c r="AS80" s="42" t="str">
        <f ca="1"/>
        <v>NI</v>
      </c>
      <c r="AT80" t="str">
        <f ca="1"/>
        <v>0168/2025</v>
      </c>
      <c r="AU80" t="str">
        <f ca="1"/>
        <v>Shirodhan police Station Tq-Kallamb dist-Dharashiv.</v>
      </c>
      <c r="AV80" t="str">
        <f ca="1"/>
        <v>Dharashiv.</v>
      </c>
      <c r="AW80" t="str">
        <f ca="1"/>
        <v>NA</v>
      </c>
      <c r="AX80" s="42" t="str">
        <f ca="1"/>
        <v>Completed</v>
      </c>
      <c r="AY80" t="str">
        <f ca="1"/>
        <v xml:space="preserve">NA </v>
      </c>
      <c r="AZ80">
        <f ca="1"/>
        <v>0</v>
      </c>
      <c r="BA80">
        <f ca="1"/>
        <v>0</v>
      </c>
      <c r="BB80" s="42" t="str">
        <f ca="1"/>
        <v>NA</v>
      </c>
      <c r="BC80">
        <f ca="1"/>
        <v>0</v>
      </c>
      <c r="BD80">
        <f ca="1"/>
        <v>0</v>
      </c>
      <c r="BE80">
        <f ca="1"/>
        <v>0</v>
      </c>
    </row>
    <row r="81" spans="1:57">
      <c r="A81" s="42">
        <f ca="1"/>
        <v>80</v>
      </c>
      <c r="B81" s="42" t="str">
        <f ca="1"/>
        <v>2023205098</v>
      </c>
      <c r="C81" s="42" t="str">
        <f ca="1"/>
        <v>Indusind General Insurance Co Ltd</v>
      </c>
      <c r="D81" s="42" t="str">
        <f ca="1"/>
        <v>MACT</v>
      </c>
      <c r="E81" s="42" t="str">
        <f ca="1"/>
        <v>R001-1080-SS-2025</v>
      </c>
      <c r="F81" s="310">
        <f ca="1"/>
        <v>45975</v>
      </c>
      <c r="G81" s="42" t="str">
        <f ca="1"/>
        <v>Nov-25</v>
      </c>
      <c r="H81" s="312">
        <f ca="1"/>
        <v>46013</v>
      </c>
      <c r="I81" s="42" t="str">
        <f ca="1"/>
        <v>Dec-25</v>
      </c>
      <c r="J81" s="310" t="str">
        <f ca="1"/>
        <v/>
      </c>
      <c r="K81" s="42">
        <f ca="1"/>
        <v>38</v>
      </c>
      <c r="L81" s="42" t="str">
        <f ca="1"/>
        <v>AT</v>
      </c>
      <c r="M81" s="42" t="str">
        <f ca="1"/>
        <v>Reassessment</v>
      </c>
      <c r="N81" s="42" t="str">
        <f ca="1"/>
        <v>Dispatch</v>
      </c>
      <c r="O81" s="42" t="str">
        <f ca="1"/>
        <v>Completed</v>
      </c>
      <c r="P81">
        <f ca="1"/>
        <v>0</v>
      </c>
      <c r="Q81" t="str">
        <f ca="1"/>
        <v>Manik Laxman Andhale</v>
      </c>
      <c r="R81" t="str">
        <f ca="1"/>
        <v>village- Limbodi, Devinimgaon,) Tal- Ashti, Dist- Beed-414 202.</v>
      </c>
      <c r="S81" t="str">
        <f ca="1"/>
        <v>Beed</v>
      </c>
      <c r="T81" s="314" t="str">
        <f ca="1"/>
        <v>Completed</v>
      </c>
      <c r="U81" t="str">
        <f ca="1"/>
        <v xml:space="preserve">NA </v>
      </c>
      <c r="V81">
        <f ca="1"/>
        <v>0</v>
      </c>
      <c r="W81">
        <f ca="1"/>
        <v>0</v>
      </c>
      <c r="X81" s="42" t="str">
        <f ca="1"/>
        <v>NA</v>
      </c>
      <c r="Y81" t="str">
        <f ca="1"/>
        <v>Mr. Sachin A. Kharmate,</v>
      </c>
      <c r="Z81" t="str">
        <f ca="1"/>
        <v>at- LIG bldg. no. 32, Tenament 63,) Opp: Bulid 20, sector- 10, Nerul, C Navi Mumbai -400 705.</v>
      </c>
      <c r="AA81" t="str">
        <f ca="1"/>
        <v>Mumbai</v>
      </c>
      <c r="AB81" t="str">
        <f ca="1"/>
        <v>NA</v>
      </c>
      <c r="AC81" s="42" t="str">
        <f ca="1"/>
        <v>NA</v>
      </c>
      <c r="AD81" t="str">
        <f ca="1"/>
        <v>NA</v>
      </c>
      <c r="AE81">
        <f ca="1"/>
        <v>0</v>
      </c>
      <c r="AF81" t="str">
        <f ca="1"/>
        <v>NA</v>
      </c>
      <c r="AG81" s="42" t="str">
        <f ca="1"/>
        <v>NA</v>
      </c>
      <c r="AH81" t="str">
        <f ca="1"/>
        <v>NA</v>
      </c>
      <c r="AI81" s="42" t="str">
        <f ca="1"/>
        <v>NA</v>
      </c>
      <c r="AJ81" t="str">
        <f ca="1"/>
        <v>NA</v>
      </c>
      <c r="AK81" s="42" t="str">
        <f ca="1"/>
        <v>NA</v>
      </c>
      <c r="AL81" t="str">
        <f ca="1"/>
        <v>NA</v>
      </c>
      <c r="AM81" s="42" t="str">
        <f ca="1"/>
        <v>NA</v>
      </c>
      <c r="AN81" t="str">
        <f ca="1"/>
        <v>NA</v>
      </c>
      <c r="AO81" s="42" t="str">
        <f ca="1"/>
        <v>NA</v>
      </c>
      <c r="AP81" t="str">
        <f ca="1"/>
        <v xml:space="preserve">NA </v>
      </c>
      <c r="AQ81" t="str">
        <f ca="1"/>
        <v>NA</v>
      </c>
      <c r="AR81">
        <f ca="1"/>
        <v>0</v>
      </c>
      <c r="AS81" s="42" t="str">
        <f ca="1"/>
        <v>NA</v>
      </c>
      <c r="AT81" t="str">
        <f ca="1"/>
        <v>NA</v>
      </c>
      <c r="AU81" t="str">
        <f ca="1"/>
        <v>NA</v>
      </c>
      <c r="AV81" t="str">
        <f ca="1"/>
        <v>NA</v>
      </c>
      <c r="AW81" t="str">
        <f ca="1"/>
        <v>NA</v>
      </c>
      <c r="AX81" s="42" t="str">
        <f ca="1"/>
        <v>NA</v>
      </c>
      <c r="AY81" t="str">
        <f ca="1"/>
        <v xml:space="preserve">NA </v>
      </c>
      <c r="AZ81">
        <f ca="1"/>
        <v>0</v>
      </c>
      <c r="BA81">
        <f ca="1"/>
        <v>0</v>
      </c>
      <c r="BB81" s="42" t="str">
        <f ca="1"/>
        <v>NA</v>
      </c>
      <c r="BC81">
        <f ca="1"/>
        <v>0</v>
      </c>
      <c r="BD81">
        <f ca="1"/>
        <v>0</v>
      </c>
      <c r="BE81">
        <f ca="1"/>
        <v>0</v>
      </c>
    </row>
    <row r="82" spans="1:57">
      <c r="A82" s="42">
        <f ca="1"/>
        <v>81</v>
      </c>
      <c r="B82" s="42" t="str">
        <f ca="1"/>
        <v>2021205783</v>
      </c>
      <c r="C82" s="42" t="str">
        <f ca="1"/>
        <v>Indusind General Insurance Co Ltd</v>
      </c>
      <c r="D82" s="42" t="str">
        <f ca="1"/>
        <v>MACT</v>
      </c>
      <c r="E82" s="42" t="str">
        <f ca="1"/>
        <v>R001-1081-SS-2025</v>
      </c>
      <c r="F82" s="310">
        <f ca="1"/>
        <v>45975</v>
      </c>
      <c r="G82" s="42" t="str">
        <f ca="1"/>
        <v>Nov-25</v>
      </c>
      <c r="H82" s="312" t="str">
        <f ca="1"/>
        <v>-</v>
      </c>
      <c r="I82" s="42">
        <f ca="1"/>
        <v>0</v>
      </c>
      <c r="J82" s="310" t="str">
        <f ca="1"/>
        <v/>
      </c>
      <c r="K82" s="42">
        <f ca="1"/>
        <v>52</v>
      </c>
      <c r="L82" s="42" t="str">
        <f ca="1"/>
        <v>AT</v>
      </c>
      <c r="M82" s="42" t="str">
        <f ca="1"/>
        <v>Reassessment</v>
      </c>
      <c r="N82" s="42" t="str">
        <f ca="1"/>
        <v>QC</v>
      </c>
      <c r="O82" s="42" t="str">
        <f ca="1"/>
        <v>QC</v>
      </c>
      <c r="P82" t="str">
        <f ca="1"/>
        <v>Claimant</v>
      </c>
      <c r="Q82" t="str">
        <f ca="1"/>
        <v>Pravinkumar Prabhakar Uikey</v>
      </c>
      <c r="R82" t="str">
        <f ca="1"/>
        <v>R/oPadas Gaon ,Raka,Tah,Sadak Arjun D-Gondiya, Nagpur.</v>
      </c>
      <c r="S82" t="str">
        <f ca="1"/>
        <v>Nagpur</v>
      </c>
      <c r="T82" s="314" t="str">
        <f ca="1"/>
        <v>Completed</v>
      </c>
      <c r="U82" t="str">
        <f ca="1"/>
        <v xml:space="preserve">NA </v>
      </c>
      <c r="V82">
        <f ca="1"/>
        <v>0</v>
      </c>
      <c r="W82">
        <f ca="1"/>
        <v>0</v>
      </c>
      <c r="X82" s="42" t="str">
        <f ca="1"/>
        <v>NA</v>
      </c>
      <c r="Y82" t="str">
        <f ca="1"/>
        <v>Ratanpal Sewakram Gawture</v>
      </c>
      <c r="Z82" t="str">
        <f ca="1"/>
        <v>Sawngi Tah.Sadak Arjuni D-Gondiya.441807.</v>
      </c>
      <c r="AA82" t="str">
        <f ca="1"/>
        <v>Gondiya</v>
      </c>
      <c r="AB82" t="str">
        <f ca="1"/>
        <v>NA</v>
      </c>
      <c r="AC82" s="42" t="str">
        <f ca="1"/>
        <v>NA</v>
      </c>
      <c r="AD82" t="str">
        <f ca="1"/>
        <v>NA</v>
      </c>
      <c r="AE82">
        <f ca="1"/>
        <v>0</v>
      </c>
      <c r="AF82" t="str">
        <f ca="1"/>
        <v>NA</v>
      </c>
      <c r="AG82" s="42" t="str">
        <f ca="1"/>
        <v>NA</v>
      </c>
      <c r="AH82" t="str">
        <f ca="1"/>
        <v>NA</v>
      </c>
      <c r="AI82" s="42" t="str">
        <f ca="1"/>
        <v>NA</v>
      </c>
      <c r="AJ82" t="str">
        <f ca="1"/>
        <v>NA</v>
      </c>
      <c r="AK82" s="42" t="str">
        <f ca="1"/>
        <v>NA</v>
      </c>
      <c r="AL82" t="str">
        <f ca="1"/>
        <v>NA</v>
      </c>
      <c r="AM82" s="42" t="str">
        <f ca="1"/>
        <v>NA</v>
      </c>
      <c r="AN82" t="str">
        <f ca="1"/>
        <v>NA</v>
      </c>
      <c r="AO82" s="42" t="str">
        <f ca="1"/>
        <v>NA</v>
      </c>
      <c r="AP82" t="str">
        <f ca="1"/>
        <v xml:space="preserve">NA </v>
      </c>
      <c r="AQ82" t="str">
        <f ca="1"/>
        <v>NA</v>
      </c>
      <c r="AR82">
        <f ca="1"/>
        <v>0</v>
      </c>
      <c r="AS82" s="42" t="str">
        <f ca="1"/>
        <v>NA</v>
      </c>
      <c r="AT82" t="str">
        <f ca="1"/>
        <v>NA</v>
      </c>
      <c r="AU82" t="str">
        <f ca="1"/>
        <v>NA</v>
      </c>
      <c r="AV82" t="str">
        <f ca="1"/>
        <v>NA</v>
      </c>
      <c r="AW82" t="str">
        <f ca="1"/>
        <v>NA</v>
      </c>
      <c r="AX82" s="42" t="str">
        <f ca="1"/>
        <v>NA</v>
      </c>
      <c r="AY82" t="str">
        <f ca="1"/>
        <v xml:space="preserve">NA </v>
      </c>
      <c r="AZ82">
        <f ca="1"/>
        <v>0</v>
      </c>
      <c r="BA82">
        <f ca="1"/>
        <v>0</v>
      </c>
      <c r="BB82" s="42" t="str">
        <f ca="1"/>
        <v>NA</v>
      </c>
      <c r="BC82">
        <f ca="1"/>
        <v>0</v>
      </c>
      <c r="BD82">
        <f ca="1"/>
        <v>0</v>
      </c>
      <c r="BE82" t="str">
        <f ca="1"/>
        <v>Gondiya Nagpur</v>
      </c>
    </row>
    <row r="83" spans="1:57">
      <c r="A83" s="42">
        <f ca="1"/>
        <v>82</v>
      </c>
      <c r="B83" s="42" t="str">
        <f ca="1"/>
        <v>2020208122</v>
      </c>
      <c r="C83" s="42" t="str">
        <f ca="1"/>
        <v>Indusind General Insurance Co Ltd</v>
      </c>
      <c r="D83" s="42" t="str">
        <f ca="1"/>
        <v>MACT</v>
      </c>
      <c r="E83" s="42" t="str">
        <f ca="1"/>
        <v>R001-1082-SS-2025</v>
      </c>
      <c r="F83" s="310">
        <f ca="1"/>
        <v>45975</v>
      </c>
      <c r="G83" s="42" t="str">
        <f ca="1"/>
        <v>Nov-25</v>
      </c>
      <c r="H83" s="312">
        <f ca="1"/>
        <v>45997</v>
      </c>
      <c r="I83" s="42" t="str">
        <f ca="1"/>
        <v>Dec-25</v>
      </c>
      <c r="J83" s="310" t="str">
        <f ca="1"/>
        <v/>
      </c>
      <c r="K83" s="42">
        <f ca="1"/>
        <v>22</v>
      </c>
      <c r="L83" s="42" t="str">
        <f ca="1"/>
        <v>WT</v>
      </c>
      <c r="M83" s="42" t="str">
        <f ca="1"/>
        <v>Reassessment</v>
      </c>
      <c r="N83" s="42" t="str">
        <f ca="1"/>
        <v>Dispatch</v>
      </c>
      <c r="O83" s="42" t="str">
        <f ca="1"/>
        <v>Completed</v>
      </c>
      <c r="P83">
        <f ca="1"/>
        <v>0</v>
      </c>
      <c r="Q83" t="str">
        <f ca="1"/>
        <v>SayYad Irfan</v>
      </c>
      <c r="R83" t="str">
        <f ca="1"/>
        <v>R/o Kamptee,Nagpur.</v>
      </c>
      <c r="S83" t="str">
        <f ca="1"/>
        <v>Nagpur</v>
      </c>
      <c r="T83" s="314" t="str">
        <f ca="1"/>
        <v>Completed</v>
      </c>
      <c r="U83" t="str">
        <f ca="1"/>
        <v xml:space="preserve">NA </v>
      </c>
      <c r="V83">
        <f ca="1"/>
        <v>0</v>
      </c>
      <c r="W83">
        <f ca="1"/>
        <v>0</v>
      </c>
      <c r="X83" s="42" t="str">
        <f ca="1"/>
        <v>NA</v>
      </c>
      <c r="Y83" t="str">
        <f ca="1"/>
        <v>Nasir Ahmad QureshiS/o Abdul Gani Qureshi</v>
      </c>
      <c r="Z83" t="str">
        <f ca="1"/>
        <v>R/o 24, Gandhi Nagar Bhaji Mandi Kamptee, Tah. Kamptee Distt. Nagpur, 441002</v>
      </c>
      <c r="AA83" t="str">
        <f ca="1"/>
        <v>Nagpur</v>
      </c>
      <c r="AB83" t="str">
        <f ca="1"/>
        <v>NA</v>
      </c>
      <c r="AC83" s="42" t="str">
        <f ca="1"/>
        <v>NA</v>
      </c>
      <c r="AD83" t="str">
        <f ca="1"/>
        <v>NA</v>
      </c>
      <c r="AE83">
        <f ca="1"/>
        <v>0</v>
      </c>
      <c r="AF83" t="str">
        <f ca="1"/>
        <v>NA</v>
      </c>
      <c r="AG83" s="42" t="str">
        <f ca="1"/>
        <v>NA</v>
      </c>
      <c r="AH83" t="str">
        <f ca="1"/>
        <v>NA</v>
      </c>
      <c r="AI83" s="42" t="str">
        <f ca="1"/>
        <v>NA</v>
      </c>
      <c r="AJ83" t="str">
        <f ca="1"/>
        <v>NA</v>
      </c>
      <c r="AK83" s="42" t="str">
        <f ca="1"/>
        <v>NA</v>
      </c>
      <c r="AL83" t="str">
        <f ca="1"/>
        <v>NA</v>
      </c>
      <c r="AM83" s="42" t="str">
        <f ca="1"/>
        <v>NA</v>
      </c>
      <c r="AN83" t="str">
        <f ca="1"/>
        <v>NA</v>
      </c>
      <c r="AO83" s="42" t="str">
        <f ca="1"/>
        <v>NA</v>
      </c>
      <c r="AP83" t="str">
        <f ca="1"/>
        <v xml:space="preserve">NA </v>
      </c>
      <c r="AQ83" t="str">
        <f ca="1"/>
        <v>NA</v>
      </c>
      <c r="AR83">
        <f ca="1"/>
        <v>0</v>
      </c>
      <c r="AS83" s="42" t="str">
        <f ca="1"/>
        <v>NA</v>
      </c>
      <c r="AT83" t="str">
        <f ca="1"/>
        <v>NA</v>
      </c>
      <c r="AU83" t="str">
        <f ca="1"/>
        <v>NA</v>
      </c>
      <c r="AV83" t="str">
        <f ca="1"/>
        <v>NA</v>
      </c>
      <c r="AW83" t="str">
        <f ca="1"/>
        <v>NA</v>
      </c>
      <c r="AX83" s="42" t="str">
        <f ca="1"/>
        <v>NA</v>
      </c>
      <c r="AY83" t="str">
        <f ca="1"/>
        <v xml:space="preserve">NA </v>
      </c>
      <c r="AZ83">
        <f ca="1"/>
        <v>0</v>
      </c>
      <c r="BA83">
        <f ca="1"/>
        <v>0</v>
      </c>
      <c r="BB83" s="42" t="str">
        <f ca="1"/>
        <v>NA</v>
      </c>
      <c r="BC83">
        <f ca="1"/>
        <v>0</v>
      </c>
      <c r="BD83">
        <f ca="1"/>
        <v>0</v>
      </c>
      <c r="BE83">
        <f ca="1"/>
        <v>0</v>
      </c>
    </row>
    <row r="84" spans="1:57">
      <c r="A84" s="42">
        <f ca="1"/>
        <v>83</v>
      </c>
      <c r="B84" s="42" t="str">
        <f ca="1"/>
        <v>2019201744</v>
      </c>
      <c r="C84" s="42" t="str">
        <f ca="1"/>
        <v>Indusind General Insurance Co Ltd</v>
      </c>
      <c r="D84" s="42" t="str">
        <f ca="1"/>
        <v>MACT</v>
      </c>
      <c r="E84" s="42" t="str">
        <f ca="1"/>
        <v>R001-1083-SS-2025</v>
      </c>
      <c r="F84" s="310">
        <f ca="1"/>
        <v>45975</v>
      </c>
      <c r="G84" s="42" t="str">
        <f ca="1"/>
        <v>Nov-25</v>
      </c>
      <c r="H84" s="312">
        <f ca="1"/>
        <v>46011</v>
      </c>
      <c r="I84" s="42" t="str">
        <f ca="1"/>
        <v>Dec-25</v>
      </c>
      <c r="J84" s="310" t="str">
        <f ca="1"/>
        <v/>
      </c>
      <c r="K84" s="42">
        <f ca="1"/>
        <v>36</v>
      </c>
      <c r="L84" s="42" t="str">
        <f ca="1"/>
        <v>AT</v>
      </c>
      <c r="M84" s="42" t="str">
        <f ca="1"/>
        <v>Reassessment</v>
      </c>
      <c r="N84" s="42" t="str">
        <f ca="1"/>
        <v>Dispatch</v>
      </c>
      <c r="O84" s="42" t="str">
        <f ca="1"/>
        <v>Completed</v>
      </c>
      <c r="P84">
        <f ca="1"/>
        <v>0</v>
      </c>
      <c r="Q84" t="str">
        <f ca="1"/>
        <v>Manohar Sonba Naik.</v>
      </c>
      <c r="R84" t="str">
        <f ca="1"/>
        <v>R/o Sadegaon Tq-,D-Parbhani.</v>
      </c>
      <c r="S84" t="str">
        <f ca="1"/>
        <v>Parbhani</v>
      </c>
      <c r="T84" s="314" t="str">
        <f ca="1"/>
        <v>Completed</v>
      </c>
      <c r="U84" t="str">
        <f ca="1"/>
        <v xml:space="preserve">NA </v>
      </c>
      <c r="V84">
        <f ca="1"/>
        <v>0</v>
      </c>
      <c r="W84">
        <f ca="1"/>
        <v>0</v>
      </c>
      <c r="X84" s="42" t="str">
        <f ca="1"/>
        <v>NA</v>
      </c>
      <c r="Y84" t="str">
        <f ca="1"/>
        <v>Thakkar Corporation.</v>
      </c>
      <c r="Z84" t="str">
        <f ca="1"/>
        <v>Thakkar Corporation, 317,6th floor, cross road, Kamathi Nagar, Thimmasa Muthiram White gate, Kachipuram, State-Tamilnadu-631501 Dist.</v>
      </c>
      <c r="AA84" t="str">
        <f ca="1"/>
        <v>NA</v>
      </c>
      <c r="AB84" t="str">
        <f ca="1"/>
        <v>NA</v>
      </c>
      <c r="AC84" s="42" t="str">
        <f ca="1"/>
        <v>NA</v>
      </c>
      <c r="AD84" t="str">
        <f ca="1"/>
        <v>NA</v>
      </c>
      <c r="AE84">
        <f ca="1"/>
        <v>0</v>
      </c>
      <c r="AF84" t="str">
        <f ca="1"/>
        <v>NA</v>
      </c>
      <c r="AG84" s="42" t="str">
        <f ca="1"/>
        <v>NA</v>
      </c>
      <c r="AH84" t="str">
        <f ca="1"/>
        <v>NA</v>
      </c>
      <c r="AI84" s="42" t="str">
        <f ca="1"/>
        <v>NA</v>
      </c>
      <c r="AJ84" t="str">
        <f ca="1"/>
        <v>NA</v>
      </c>
      <c r="AK84" s="42" t="str">
        <f ca="1"/>
        <v>NA</v>
      </c>
      <c r="AL84" t="str">
        <f ca="1"/>
        <v>NA</v>
      </c>
      <c r="AM84" s="42" t="str">
        <f ca="1"/>
        <v>NA</v>
      </c>
      <c r="AN84" t="str">
        <f ca="1"/>
        <v>NA</v>
      </c>
      <c r="AO84" s="42" t="str">
        <f ca="1"/>
        <v>NA</v>
      </c>
      <c r="AP84" t="str">
        <f ca="1"/>
        <v xml:space="preserve">NA </v>
      </c>
      <c r="AQ84" t="str">
        <f ca="1"/>
        <v>NA</v>
      </c>
      <c r="AR84">
        <f ca="1"/>
        <v>0</v>
      </c>
      <c r="AS84" s="42" t="str">
        <f ca="1"/>
        <v>NA</v>
      </c>
      <c r="AT84" t="str">
        <f ca="1"/>
        <v>NA</v>
      </c>
      <c r="AU84" t="str">
        <f ca="1"/>
        <v>NA</v>
      </c>
      <c r="AV84" t="str">
        <f ca="1"/>
        <v>NA</v>
      </c>
      <c r="AW84" t="str">
        <f ca="1"/>
        <v>NA</v>
      </c>
      <c r="AX84" s="42" t="str">
        <f ca="1"/>
        <v>NA</v>
      </c>
      <c r="AY84" t="str">
        <f ca="1"/>
        <v xml:space="preserve">NA </v>
      </c>
      <c r="AZ84">
        <f ca="1"/>
        <v>0</v>
      </c>
      <c r="BA84">
        <f ca="1"/>
        <v>0</v>
      </c>
      <c r="BB84" s="42" t="str">
        <f ca="1"/>
        <v>NA</v>
      </c>
      <c r="BC84">
        <f ca="1"/>
        <v>0</v>
      </c>
      <c r="BD84">
        <f ca="1"/>
        <v>0</v>
      </c>
      <c r="BE84">
        <f ca="1"/>
        <v>0</v>
      </c>
    </row>
    <row r="85" spans="1:57">
      <c r="A85" s="42">
        <f ca="1"/>
        <v>84</v>
      </c>
      <c r="B85" s="42" t="str">
        <f ca="1"/>
        <v>2022209063</v>
      </c>
      <c r="C85" s="42" t="str">
        <f ca="1"/>
        <v>Indusind General Insurance Co Ltd</v>
      </c>
      <c r="D85" s="42" t="str">
        <f ca="1"/>
        <v>MACT</v>
      </c>
      <c r="E85" s="42" t="str">
        <f ca="1"/>
        <v>R001-1084-SS-2025</v>
      </c>
      <c r="F85" s="310">
        <f ca="1"/>
        <v>45975</v>
      </c>
      <c r="G85" s="42" t="str">
        <f ca="1"/>
        <v>Nov-25</v>
      </c>
      <c r="H85" s="312">
        <f ca="1"/>
        <v>46011</v>
      </c>
      <c r="I85" s="42" t="str">
        <f ca="1"/>
        <v>Dec-25</v>
      </c>
      <c r="J85" s="310" t="str">
        <f ca="1"/>
        <v/>
      </c>
      <c r="K85" s="42">
        <f ca="1"/>
        <v>36</v>
      </c>
      <c r="L85" s="42" t="str">
        <f ca="1"/>
        <v>AT</v>
      </c>
      <c r="M85" s="42" t="str">
        <f ca="1"/>
        <v>Reassessment</v>
      </c>
      <c r="N85" s="42" t="str">
        <f ca="1"/>
        <v>Dispatch</v>
      </c>
      <c r="O85" s="42" t="str">
        <f ca="1"/>
        <v>Completed</v>
      </c>
      <c r="P85">
        <f ca="1"/>
        <v>0</v>
      </c>
      <c r="Q85" t="str">
        <f ca="1"/>
        <v>Yusuf Babasaheb Pahadwale.</v>
      </c>
      <c r="R85" t="str">
        <f ca="1"/>
        <v>R/oChilwantwadi,Tq-Nilanga,D-Latur.</v>
      </c>
      <c r="S85" t="str">
        <f ca="1"/>
        <v>Latur</v>
      </c>
      <c r="T85" s="314" t="str">
        <f ca="1"/>
        <v>Completed</v>
      </c>
      <c r="U85" t="str">
        <f ca="1"/>
        <v xml:space="preserve">NA </v>
      </c>
      <c r="V85">
        <f ca="1"/>
        <v>0</v>
      </c>
      <c r="W85">
        <f ca="1"/>
        <v>0</v>
      </c>
      <c r="X85" s="42" t="str">
        <f ca="1"/>
        <v>NA</v>
      </c>
      <c r="Y85" t="str">
        <f ca="1"/>
        <v>Shabeer Babusab Pahadwale.7028595337</v>
      </c>
      <c r="Z85" t="str">
        <f ca="1"/>
        <v>AD-Chilwantwadi to Nilanga,Dist-Latur.</v>
      </c>
      <c r="AA85" t="str">
        <f ca="1"/>
        <v>Latur</v>
      </c>
      <c r="AB85" t="str">
        <f ca="1"/>
        <v>NA</v>
      </c>
      <c r="AC85" s="42" t="str">
        <f ca="1"/>
        <v>NA</v>
      </c>
      <c r="AD85" t="str">
        <f ca="1"/>
        <v>NA</v>
      </c>
      <c r="AE85">
        <f ca="1"/>
        <v>0</v>
      </c>
      <c r="AF85" t="str">
        <f ca="1"/>
        <v>NA</v>
      </c>
      <c r="AG85" s="42" t="str">
        <f ca="1"/>
        <v>NA</v>
      </c>
      <c r="AH85" t="str">
        <f ca="1"/>
        <v>NA</v>
      </c>
      <c r="AI85" s="42" t="str">
        <f ca="1"/>
        <v>NA</v>
      </c>
      <c r="AJ85" t="str">
        <f ca="1"/>
        <v>NA</v>
      </c>
      <c r="AK85" s="42" t="str">
        <f ca="1"/>
        <v>NA</v>
      </c>
      <c r="AL85" t="str">
        <f ca="1"/>
        <v>Yes</v>
      </c>
      <c r="AM85" s="42" t="str">
        <f ca="1"/>
        <v>Offline</v>
      </c>
      <c r="AN85" t="str">
        <f ca="1"/>
        <v>NA</v>
      </c>
      <c r="AO85" s="42" t="str">
        <f ca="1"/>
        <v>NA</v>
      </c>
      <c r="AP85" t="str">
        <f ca="1"/>
        <v xml:space="preserve">NA </v>
      </c>
      <c r="AQ85" t="str">
        <f ca="1"/>
        <v>Golegav Shivhar Petrolpump Area.</v>
      </c>
      <c r="AR85">
        <f ca="1"/>
        <v>0</v>
      </c>
      <c r="AS85" s="42" t="str">
        <f ca="1"/>
        <v>NA</v>
      </c>
      <c r="AT85" t="str">
        <f ca="1"/>
        <v>061/2015</v>
      </c>
      <c r="AU85" t="str">
        <f ca="1"/>
        <v>Washi Police Station.</v>
      </c>
      <c r="AV85" t="str">
        <f ca="1"/>
        <v>NA</v>
      </c>
      <c r="AW85" t="str">
        <f ca="1"/>
        <v>NA</v>
      </c>
      <c r="AX85" s="42" t="str">
        <f ca="1"/>
        <v>NA</v>
      </c>
      <c r="AY85" t="str">
        <f ca="1"/>
        <v xml:space="preserve">NA </v>
      </c>
      <c r="AZ85">
        <f ca="1"/>
        <v>0</v>
      </c>
      <c r="BA85">
        <f ca="1"/>
        <v>0</v>
      </c>
      <c r="BB85" s="42" t="str">
        <f ca="1"/>
        <v>NA</v>
      </c>
      <c r="BC85">
        <f ca="1"/>
        <v>0</v>
      </c>
      <c r="BD85">
        <f ca="1"/>
        <v>0</v>
      </c>
      <c r="BE85">
        <f ca="1"/>
        <v>0</v>
      </c>
    </row>
    <row r="86" spans="1:57">
      <c r="A86" s="42">
        <f ca="1"/>
        <v>85</v>
      </c>
      <c r="B86" s="42" t="str">
        <f ca="1"/>
        <v>2017212612</v>
      </c>
      <c r="C86" s="42" t="str">
        <f ca="1"/>
        <v>Indusind General Insurance Co Ltd</v>
      </c>
      <c r="D86" s="42" t="str">
        <f ca="1"/>
        <v>MACT</v>
      </c>
      <c r="E86" s="42" t="str">
        <f ca="1"/>
        <v>R001-1085-SS-2025</v>
      </c>
      <c r="F86" s="310">
        <f ca="1"/>
        <v>45975</v>
      </c>
      <c r="G86" s="42" t="str">
        <f ca="1"/>
        <v>Nov-25</v>
      </c>
      <c r="H86" s="312" t="str">
        <f ca="1"/>
        <v>-</v>
      </c>
      <c r="I86" s="42">
        <f ca="1"/>
        <v>0</v>
      </c>
      <c r="J86" s="310" t="str">
        <f ca="1"/>
        <v/>
      </c>
      <c r="K86" s="42">
        <f ca="1"/>
        <v>52</v>
      </c>
      <c r="L86" s="42" t="str">
        <f ca="1"/>
        <v>AT</v>
      </c>
      <c r="M86" s="42" t="str">
        <f ca="1"/>
        <v>Reassessment</v>
      </c>
      <c r="N86" s="42" t="str">
        <f ca="1"/>
        <v>Open</v>
      </c>
      <c r="O86" s="42" t="str">
        <f ca="1"/>
        <v>WIP</v>
      </c>
      <c r="P86">
        <f ca="1"/>
        <v>0</v>
      </c>
      <c r="Q86" t="str">
        <f ca="1"/>
        <v xml:space="preserve">Rahim Alludin Shaikh </v>
      </c>
      <c r="R86" t="str">
        <f ca="1"/>
        <v>R/o Mahalanga ,Tq-Chakur,Latur.</v>
      </c>
      <c r="S86" t="str">
        <f ca="1"/>
        <v>Latur</v>
      </c>
      <c r="T86" s="314" t="str">
        <f ca="1"/>
        <v>WIP</v>
      </c>
      <c r="U86" t="str">
        <f ca="1"/>
        <v xml:space="preserve">NA </v>
      </c>
      <c r="V86">
        <f ca="1"/>
        <v>0</v>
      </c>
      <c r="W86">
        <f ca="1"/>
        <v>0</v>
      </c>
      <c r="X86" s="42" t="str">
        <f ca="1"/>
        <v>NA</v>
      </c>
      <c r="Y86" t="str">
        <f ca="1"/>
        <v>Mohsin Babumiya Shaikh 7385504710</v>
      </c>
      <c r="Z86" t="str">
        <f ca="1"/>
        <v>AD-New Kazi  Mohalla,Labour Colony,Latur.</v>
      </c>
      <c r="AA86" t="str">
        <f ca="1"/>
        <v>Latur</v>
      </c>
      <c r="AB86" t="str">
        <f ca="1"/>
        <v>NA</v>
      </c>
      <c r="AC86" s="42" t="str">
        <f ca="1"/>
        <v>NA</v>
      </c>
      <c r="AD86" t="str">
        <f ca="1"/>
        <v>NA</v>
      </c>
      <c r="AE86">
        <f ca="1"/>
        <v>0</v>
      </c>
      <c r="AF86" t="str">
        <f ca="1"/>
        <v>NA</v>
      </c>
      <c r="AG86" s="42" t="str">
        <f ca="1"/>
        <v>NA</v>
      </c>
      <c r="AH86" t="str">
        <f ca="1"/>
        <v>NA</v>
      </c>
      <c r="AI86" s="42" t="str">
        <f ca="1"/>
        <v>NA</v>
      </c>
      <c r="AJ86" t="str">
        <f ca="1"/>
        <v>NA</v>
      </c>
      <c r="AK86" s="42" t="str">
        <f ca="1"/>
        <v>NA</v>
      </c>
      <c r="AL86" t="str">
        <f ca="1"/>
        <v>NA</v>
      </c>
      <c r="AM86" s="42" t="str">
        <f ca="1"/>
        <v>NA</v>
      </c>
      <c r="AN86" t="str">
        <f ca="1"/>
        <v>NA</v>
      </c>
      <c r="AO86" s="42" t="str">
        <f ca="1"/>
        <v>NA</v>
      </c>
      <c r="AP86" t="str">
        <f ca="1"/>
        <v xml:space="preserve">NA </v>
      </c>
      <c r="AQ86" t="str">
        <f ca="1"/>
        <v>Umerkhed to Mahagav Road,Chilli Ghat Mod.</v>
      </c>
      <c r="AR86">
        <f ca="1"/>
        <v>0</v>
      </c>
      <c r="AS86" s="42" t="str">
        <f ca="1"/>
        <v>NA</v>
      </c>
      <c r="AT86" t="str">
        <f ca="1"/>
        <v>029/2015</v>
      </c>
      <c r="AU86" t="str">
        <f ca="1"/>
        <v>Umerkhed Police Station.</v>
      </c>
      <c r="AV86" t="str">
        <f ca="1"/>
        <v>NA</v>
      </c>
      <c r="AW86" t="str">
        <f ca="1"/>
        <v>NA</v>
      </c>
      <c r="AX86" s="42" t="str">
        <f ca="1"/>
        <v>NA</v>
      </c>
      <c r="AY86" t="str">
        <f ca="1"/>
        <v xml:space="preserve">NA </v>
      </c>
      <c r="AZ86">
        <f ca="1"/>
        <v>0</v>
      </c>
      <c r="BA86">
        <f ca="1"/>
        <v>0</v>
      </c>
      <c r="BB86" s="42" t="str">
        <f ca="1"/>
        <v>NA</v>
      </c>
      <c r="BC86">
        <f ca="1"/>
        <v>0</v>
      </c>
      <c r="BD86">
        <f ca="1"/>
        <v>0</v>
      </c>
      <c r="BE86">
        <f ca="1"/>
        <v>0</v>
      </c>
    </row>
    <row r="87" spans="1:57">
      <c r="A87" s="42">
        <f ca="1"/>
        <v>86</v>
      </c>
      <c r="B87" s="42" t="str">
        <f ca="1"/>
        <v>MISC-2025-001662</v>
      </c>
      <c r="C87" s="42" t="str">
        <f ca="1"/>
        <v>Generali Central Insurance Company Limited</v>
      </c>
      <c r="D87" s="42" t="str">
        <f ca="1"/>
        <v>MACT</v>
      </c>
      <c r="E87" s="42" t="str">
        <f ca="1"/>
        <v>F001-1086-SS-2025</v>
      </c>
      <c r="F87" s="310">
        <f ca="1"/>
        <v>45976</v>
      </c>
      <c r="G87" s="42" t="str">
        <f ca="1"/>
        <v>Nov-25</v>
      </c>
      <c r="H87" s="312">
        <f ca="1"/>
        <v>45997</v>
      </c>
      <c r="I87" s="42" t="str">
        <f ca="1"/>
        <v>Dec-25</v>
      </c>
      <c r="J87" s="310" t="str">
        <f ca="1"/>
        <v/>
      </c>
      <c r="K87" s="42">
        <f ca="1"/>
        <v>21</v>
      </c>
      <c r="L87" s="42" t="str">
        <f ca="1"/>
        <v>WT</v>
      </c>
      <c r="M87" s="42" t="str">
        <f ca="1"/>
        <v>Reassessment</v>
      </c>
      <c r="N87" s="42" t="str">
        <f ca="1"/>
        <v>Dispatch</v>
      </c>
      <c r="O87" s="42" t="str">
        <f ca="1"/>
        <v>Completed</v>
      </c>
      <c r="P87" t="str">
        <f ca="1"/>
        <v>Claimant</v>
      </c>
      <c r="Q87" t="str">
        <f ca="1"/>
        <v>NA</v>
      </c>
      <c r="R87" t="str">
        <f ca="1"/>
        <v>NA</v>
      </c>
      <c r="S87" t="str">
        <f ca="1"/>
        <v xml:space="preserve">NA </v>
      </c>
      <c r="T87" s="314" t="str">
        <f ca="1"/>
        <v>Completed</v>
      </c>
      <c r="U87" t="str">
        <f ca="1"/>
        <v xml:space="preserve">NA </v>
      </c>
      <c r="V87">
        <f ca="1"/>
        <v>0</v>
      </c>
      <c r="W87">
        <f ca="1"/>
        <v>0</v>
      </c>
      <c r="X87" s="42" t="str">
        <f ca="1"/>
        <v>NA</v>
      </c>
      <c r="Y87" t="str">
        <f ca="1"/>
        <v>LOKMANGAL SUGAR ETHENOL AND CO GENERATION.</v>
      </c>
      <c r="Z87" t="str">
        <f ca="1"/>
        <v>8536 A 11 LOKMANGAL HOUSE MU, MU MURARJI PETH NEAR OLD POONA, NAKA SOLAPUR MAHARASHTRA, SOLAPUR.</v>
      </c>
      <c r="AA87" t="str">
        <f ca="1"/>
        <v>Solapur</v>
      </c>
      <c r="AB87" t="str">
        <f ca="1"/>
        <v>NA</v>
      </c>
      <c r="AC87" s="42" t="str">
        <f ca="1"/>
        <v>Completed</v>
      </c>
      <c r="AD87" t="str">
        <f ca="1"/>
        <v>NA</v>
      </c>
      <c r="AE87">
        <f ca="1"/>
        <v>0</v>
      </c>
      <c r="AF87" t="str">
        <f ca="1"/>
        <v>NA</v>
      </c>
      <c r="AG87" s="42" t="str">
        <f ca="1"/>
        <v>NA</v>
      </c>
      <c r="AH87" t="str">
        <f ca="1"/>
        <v>NA</v>
      </c>
      <c r="AI87" s="42" t="str">
        <f ca="1"/>
        <v>NA</v>
      </c>
      <c r="AJ87" t="str">
        <f ca="1"/>
        <v>NA</v>
      </c>
      <c r="AK87" s="42" t="str">
        <f ca="1"/>
        <v>NA</v>
      </c>
      <c r="AL87" t="str">
        <f ca="1"/>
        <v>NA</v>
      </c>
      <c r="AM87" s="42" t="str">
        <f ca="1"/>
        <v>NA</v>
      </c>
      <c r="AN87" t="str">
        <f ca="1"/>
        <v>NA</v>
      </c>
      <c r="AO87" s="42" t="str">
        <f ca="1"/>
        <v>NA</v>
      </c>
      <c r="AP87" t="str">
        <f ca="1"/>
        <v xml:space="preserve">NA </v>
      </c>
      <c r="AQ87" t="str">
        <f ca="1"/>
        <v/>
      </c>
      <c r="AR87">
        <f ca="1"/>
        <v>0</v>
      </c>
      <c r="AS87" s="42" t="str">
        <f ca="1"/>
        <v>NA</v>
      </c>
      <c r="AT87" t="str">
        <f ca="1"/>
        <v>NA</v>
      </c>
      <c r="AU87" t="str">
        <f ca="1"/>
        <v>NA</v>
      </c>
      <c r="AV87" t="str">
        <f ca="1"/>
        <v>NA</v>
      </c>
      <c r="AW87" t="str">
        <f ca="1"/>
        <v>NA</v>
      </c>
      <c r="AX87" s="42" t="str">
        <f ca="1"/>
        <v>NA</v>
      </c>
      <c r="AY87" t="str">
        <f ca="1"/>
        <v xml:space="preserve">NA </v>
      </c>
      <c r="AZ87">
        <f ca="1"/>
        <v>0</v>
      </c>
      <c r="BA87">
        <f ca="1"/>
        <v>0</v>
      </c>
      <c r="BB87" s="42" t="str">
        <f ca="1"/>
        <v>Completed</v>
      </c>
      <c r="BC87">
        <f ca="1"/>
        <v>0</v>
      </c>
      <c r="BD87">
        <f ca="1"/>
        <v>0</v>
      </c>
      <c r="BE87" t="str">
        <f ca="1"/>
        <v xml:space="preserve">Insured Part completed </v>
      </c>
    </row>
    <row r="88" spans="1:57">
      <c r="A88" s="42">
        <f ca="1"/>
        <v>87</v>
      </c>
      <c r="B88" s="42" t="str">
        <f ca="1"/>
        <v>2025212670</v>
      </c>
      <c r="C88" s="42" t="str">
        <f ca="1"/>
        <v>Indusind General Insurance Co Ltd</v>
      </c>
      <c r="D88" s="42" t="str">
        <f ca="1"/>
        <v>MACT</v>
      </c>
      <c r="E88" s="42" t="str">
        <f ca="1"/>
        <v>R001-1087-SS-2025</v>
      </c>
      <c r="F88" s="310">
        <f ca="1"/>
        <v>45979</v>
      </c>
      <c r="G88" s="42" t="str">
        <f ca="1"/>
        <v>Nov-25</v>
      </c>
      <c r="H88" s="312">
        <f ca="1"/>
        <v>46000</v>
      </c>
      <c r="I88" s="42" t="str">
        <f ca="1"/>
        <v>Dec-25</v>
      </c>
      <c r="J88" s="310" t="str">
        <f ca="1"/>
        <v/>
      </c>
      <c r="K88" s="42">
        <f ca="1"/>
        <v>21</v>
      </c>
      <c r="L88" s="42" t="str">
        <f ca="1"/>
        <v>WT</v>
      </c>
      <c r="M88" s="42" t="str">
        <f ca="1"/>
        <v>Connected Case</v>
      </c>
      <c r="N88" s="42" t="str">
        <f ca="1"/>
        <v>Dispatch</v>
      </c>
      <c r="O88" s="42" t="str">
        <f ca="1"/>
        <v>Completed</v>
      </c>
      <c r="P88" t="str">
        <f ca="1"/>
        <v>Connected Case - 2673</v>
      </c>
      <c r="Q88" t="str">
        <f ca="1"/>
        <v>Om Pankaj Shelar</v>
      </c>
      <c r="R88" t="str">
        <f ca="1"/>
        <v>Tal-Wai -japur,Dist-Sambhajinagar.</v>
      </c>
      <c r="S88" t="str">
        <f ca="1"/>
        <v>Sambhaji Nagar</v>
      </c>
      <c r="T88" s="314" t="str">
        <f ca="1"/>
        <v>Completed</v>
      </c>
      <c r="U88" t="str">
        <f ca="1"/>
        <v xml:space="preserve">NA </v>
      </c>
      <c r="V88">
        <f ca="1"/>
        <v>0</v>
      </c>
      <c r="W88">
        <f ca="1"/>
        <v>0</v>
      </c>
      <c r="X88" s="42" t="str">
        <f ca="1"/>
        <v>NA</v>
      </c>
      <c r="Y88" t="str">
        <f ca="1"/>
        <v>Aarohi Tours @Travels /Mohan Pandhare</v>
      </c>
      <c r="Z88" t="str">
        <f ca="1"/>
        <v>Ajinakya Mitra Mandal,Balaji Nagar Pune City,Pune.</v>
      </c>
      <c r="AA88" t="str">
        <f ca="1"/>
        <v>Pune</v>
      </c>
      <c r="AB88" t="str">
        <f ca="1"/>
        <v>NA</v>
      </c>
      <c r="AC88" s="42" t="str">
        <f ca="1"/>
        <v>NA</v>
      </c>
      <c r="AD88" t="str">
        <f ca="1"/>
        <v>NA</v>
      </c>
      <c r="AE88">
        <f ca="1"/>
        <v>0</v>
      </c>
      <c r="AF88" t="str">
        <f ca="1"/>
        <v>NA</v>
      </c>
      <c r="AG88" s="42" t="str">
        <f ca="1"/>
        <v>NA</v>
      </c>
      <c r="AH88" t="str">
        <f ca="1"/>
        <v>NA</v>
      </c>
      <c r="AI88" s="42" t="str">
        <f ca="1"/>
        <v>NA</v>
      </c>
      <c r="AJ88" t="str">
        <f ca="1"/>
        <v>NA</v>
      </c>
      <c r="AK88" s="42" t="str">
        <f ca="1"/>
        <v>NA</v>
      </c>
      <c r="AL88" t="str">
        <f ca="1"/>
        <v>NA</v>
      </c>
      <c r="AM88" s="42" t="str">
        <f ca="1"/>
        <v>NA</v>
      </c>
      <c r="AN88" t="str">
        <f ca="1"/>
        <v>NA</v>
      </c>
      <c r="AO88" s="42" t="str">
        <f ca="1"/>
        <v>NA</v>
      </c>
      <c r="AP88" t="str">
        <f ca="1"/>
        <v xml:space="preserve">NA </v>
      </c>
      <c r="AQ88" t="str">
        <f ca="1"/>
        <v>Pune to Ahilyanagar Road ,Chass Village Area,Bharat Petrolpump,Ahilyanagar.</v>
      </c>
      <c r="AR88">
        <f ca="1"/>
        <v>0</v>
      </c>
      <c r="AS88" s="42" t="str">
        <f ca="1"/>
        <v>NA</v>
      </c>
      <c r="AT88" t="str">
        <f ca="1"/>
        <v>NA</v>
      </c>
      <c r="AU88" t="str">
        <f ca="1"/>
        <v>NA</v>
      </c>
      <c r="AV88" t="str">
        <f ca="1"/>
        <v>NA</v>
      </c>
      <c r="AW88" t="str">
        <f ca="1"/>
        <v>NA</v>
      </c>
      <c r="AX88" s="42" t="str">
        <f ca="1"/>
        <v>NA</v>
      </c>
      <c r="AY88" t="str">
        <f ca="1"/>
        <v xml:space="preserve">NA </v>
      </c>
      <c r="AZ88">
        <f ca="1"/>
        <v>0</v>
      </c>
      <c r="BA88">
        <f ca="1"/>
        <v>0</v>
      </c>
      <c r="BB88" s="42" t="str">
        <f ca="1"/>
        <v>NA</v>
      </c>
      <c r="BC88">
        <f ca="1"/>
        <v>46002</v>
      </c>
      <c r="BD88" t="str">
        <f ca="1"/>
        <v>Disptach</v>
      </c>
      <c r="BE88" t="str">
        <f ca="1"/>
        <v>Claimant Part</v>
      </c>
    </row>
    <row r="89" spans="1:57">
      <c r="A89" s="42">
        <f ca="1"/>
        <v>88</v>
      </c>
      <c r="B89" s="42" t="str">
        <f ca="1"/>
        <v>2025212671</v>
      </c>
      <c r="C89" s="42" t="str">
        <f ca="1"/>
        <v>Indusind General Insurance Co Ltd</v>
      </c>
      <c r="D89" s="42" t="str">
        <f ca="1"/>
        <v>MACT</v>
      </c>
      <c r="E89" s="42" t="str">
        <f ca="1"/>
        <v>R001-1088-SS-2025</v>
      </c>
      <c r="F89" s="310">
        <f ca="1"/>
        <v>45979</v>
      </c>
      <c r="G89" s="42" t="str">
        <f ca="1"/>
        <v>Nov-25</v>
      </c>
      <c r="H89" s="312">
        <f ca="1"/>
        <v>46000</v>
      </c>
      <c r="I89" s="42" t="str">
        <f ca="1"/>
        <v>Dec-25</v>
      </c>
      <c r="J89" s="310">
        <f ca="1"/>
        <v>46000</v>
      </c>
      <c r="K89" s="42">
        <f ca="1"/>
        <v>21</v>
      </c>
      <c r="L89" s="42" t="str">
        <f ca="1"/>
        <v>AT</v>
      </c>
      <c r="M89" s="42" t="str">
        <f ca="1"/>
        <v>Partial Case</v>
      </c>
      <c r="N89" s="42" t="str">
        <f ca="1"/>
        <v>Dispatch</v>
      </c>
      <c r="O89" s="42" t="str">
        <f ca="1"/>
        <v>Completed</v>
      </c>
      <c r="P89">
        <f ca="1"/>
        <v>0</v>
      </c>
      <c r="Q89" t="str">
        <f ca="1"/>
        <v xml:space="preserve">Rupali Pankaj Shelar </v>
      </c>
      <c r="R89" t="str">
        <f ca="1"/>
        <v>Tal-Wai -japur,Dist-Sambhajinagar.</v>
      </c>
      <c r="S89" t="str">
        <f ca="1"/>
        <v>Sambhaji Nagar</v>
      </c>
      <c r="T89" s="314" t="str">
        <f ca="1"/>
        <v>Completed</v>
      </c>
      <c r="U89" t="str">
        <f ca="1"/>
        <v xml:space="preserve">NA </v>
      </c>
      <c r="V89">
        <f ca="1"/>
        <v>0</v>
      </c>
      <c r="W89">
        <f ca="1"/>
        <v>0</v>
      </c>
      <c r="X89" s="42" t="str">
        <f ca="1"/>
        <v>NA</v>
      </c>
      <c r="Y89" t="str">
        <f ca="1"/>
        <v>Aarohi Tours @Travels /Mohan Pandhare</v>
      </c>
      <c r="Z89" t="str">
        <f ca="1"/>
        <v>Ajinakya Mitra Mandal,Balaji Nagar Pune City,Pune.</v>
      </c>
      <c r="AA89" t="str">
        <f ca="1"/>
        <v>Pune</v>
      </c>
      <c r="AB89" t="str">
        <f ca="1"/>
        <v>NA</v>
      </c>
      <c r="AC89" s="42" t="str">
        <f ca="1"/>
        <v>NA</v>
      </c>
      <c r="AD89" t="str">
        <f ca="1"/>
        <v>NA</v>
      </c>
      <c r="AE89">
        <f ca="1"/>
        <v>0</v>
      </c>
      <c r="AF89" t="str">
        <f ca="1"/>
        <v>NA</v>
      </c>
      <c r="AG89" s="42" t="str">
        <f ca="1"/>
        <v>NA</v>
      </c>
      <c r="AH89" t="str">
        <f ca="1"/>
        <v>NA</v>
      </c>
      <c r="AI89" s="42" t="str">
        <f ca="1"/>
        <v>NA</v>
      </c>
      <c r="AJ89" t="str">
        <f ca="1"/>
        <v>NA</v>
      </c>
      <c r="AK89" s="42" t="str">
        <f ca="1"/>
        <v>NA</v>
      </c>
      <c r="AL89" t="str">
        <f ca="1"/>
        <v>NA</v>
      </c>
      <c r="AM89" s="42" t="str">
        <f ca="1"/>
        <v>NA</v>
      </c>
      <c r="AN89" t="str">
        <f ca="1"/>
        <v>NA</v>
      </c>
      <c r="AO89" s="42" t="str">
        <f ca="1"/>
        <v>NA</v>
      </c>
      <c r="AP89" t="str">
        <f ca="1"/>
        <v xml:space="preserve">NA </v>
      </c>
      <c r="AQ89" t="str">
        <f ca="1"/>
        <v>Pune to Ahilyanagar Road ,Chass Village Area,Bharat Petrolpump,Ahilyanagar.</v>
      </c>
      <c r="AR89">
        <f ca="1"/>
        <v>0</v>
      </c>
      <c r="AS89" s="42" t="str">
        <f ca="1"/>
        <v>NA</v>
      </c>
      <c r="AT89" t="str">
        <f ca="1"/>
        <v>NA</v>
      </c>
      <c r="AU89" t="str">
        <f ca="1"/>
        <v>NA</v>
      </c>
      <c r="AV89" t="str">
        <f ca="1"/>
        <v>NA</v>
      </c>
      <c r="AW89" t="str">
        <f ca="1"/>
        <v>NA</v>
      </c>
      <c r="AX89" s="42" t="str">
        <f ca="1"/>
        <v>NA</v>
      </c>
      <c r="AY89" t="str">
        <f ca="1"/>
        <v xml:space="preserve">NA </v>
      </c>
      <c r="AZ89">
        <f ca="1"/>
        <v>0</v>
      </c>
      <c r="BA89">
        <f ca="1"/>
        <v>0</v>
      </c>
      <c r="BB89" s="42" t="str">
        <f ca="1"/>
        <v>NA</v>
      </c>
      <c r="BC89">
        <f ca="1"/>
        <v>46002</v>
      </c>
      <c r="BD89" t="str">
        <f ca="1"/>
        <v>Disptach</v>
      </c>
      <c r="BE89" t="str">
        <f ca="1"/>
        <v>Claimant Part / Insured part</v>
      </c>
    </row>
    <row r="90" spans="1:57">
      <c r="A90" s="42">
        <f ca="1"/>
        <v>89</v>
      </c>
      <c r="B90" s="42" t="str">
        <f ca="1"/>
        <v>2025212673</v>
      </c>
      <c r="C90" s="42" t="str">
        <f ca="1"/>
        <v>Indusind General Insurance Co Ltd</v>
      </c>
      <c r="D90" s="42" t="str">
        <f ca="1"/>
        <v>MACT</v>
      </c>
      <c r="E90" s="42" t="str">
        <f ca="1"/>
        <v>R001-1089-SS-2025</v>
      </c>
      <c r="F90" s="310">
        <f ca="1"/>
        <v>45979</v>
      </c>
      <c r="G90" s="42" t="str">
        <f ca="1"/>
        <v>Nov-25</v>
      </c>
      <c r="H90" s="312">
        <f ca="1"/>
        <v>46000</v>
      </c>
      <c r="I90" s="42" t="str">
        <f ca="1"/>
        <v>Dec-25</v>
      </c>
      <c r="J90" s="310">
        <f ca="1"/>
        <v>46021</v>
      </c>
      <c r="K90" s="42">
        <f ca="1"/>
        <v>21</v>
      </c>
      <c r="L90" s="42" t="str">
        <f ca="1"/>
        <v>WT</v>
      </c>
      <c r="M90" s="42" t="str">
        <f ca="1"/>
        <v>Full Case</v>
      </c>
      <c r="N90" s="42" t="str">
        <f ca="1"/>
        <v>Dispatch</v>
      </c>
      <c r="O90" s="42" t="str">
        <f ca="1"/>
        <v>Completed</v>
      </c>
      <c r="P90">
        <f ca="1"/>
        <v>0</v>
      </c>
      <c r="Q90" t="str">
        <f ca="1"/>
        <v>PANKAJ SHIVAJI SHELAR</v>
      </c>
      <c r="R90" t="str">
        <f ca="1"/>
        <v>Tal-Wai -japur,Dist-Sambhajinagar.</v>
      </c>
      <c r="S90" t="str">
        <f ca="1"/>
        <v>Sambhaji Nagar</v>
      </c>
      <c r="T90" s="314" t="str">
        <f ca="1"/>
        <v>Completed</v>
      </c>
      <c r="U90" t="str">
        <f ca="1"/>
        <v xml:space="preserve">NA </v>
      </c>
      <c r="V90">
        <f ca="1"/>
        <v>0</v>
      </c>
      <c r="W90">
        <f ca="1"/>
        <v>0</v>
      </c>
      <c r="X90" s="42" t="str">
        <f ca="1"/>
        <v>NA</v>
      </c>
      <c r="Y90" t="str">
        <f ca="1"/>
        <v>Aarohi Tours @Travels /Mohan Pandhare</v>
      </c>
      <c r="Z90" t="str">
        <f ca="1"/>
        <v>Ajinakya Mitra Mandal,Balaji Nagar Pune City,Pune.</v>
      </c>
      <c r="AA90" t="str">
        <f ca="1"/>
        <v>Pune</v>
      </c>
      <c r="AB90" t="str">
        <f ca="1"/>
        <v>NA</v>
      </c>
      <c r="AC90" s="42" t="str">
        <f ca="1"/>
        <v>Completed</v>
      </c>
      <c r="AD90" t="str">
        <f ca="1"/>
        <v>NA</v>
      </c>
      <c r="AE90">
        <f ca="1"/>
        <v>0</v>
      </c>
      <c r="AF90" t="str">
        <f ca="1"/>
        <v>NA</v>
      </c>
      <c r="AG90" s="42" t="str">
        <f ca="1"/>
        <v>Completed</v>
      </c>
      <c r="AH90" t="str">
        <f ca="1"/>
        <v>NA</v>
      </c>
      <c r="AI90" s="42" t="str">
        <f ca="1"/>
        <v>NA</v>
      </c>
      <c r="AJ90" t="str">
        <f ca="1"/>
        <v>NA</v>
      </c>
      <c r="AK90" s="42" t="str">
        <f ca="1"/>
        <v>NA</v>
      </c>
      <c r="AL90" t="str">
        <f ca="1"/>
        <v>NA</v>
      </c>
      <c r="AM90" s="42" t="str">
        <f ca="1"/>
        <v>NA</v>
      </c>
      <c r="AN90" t="str">
        <f ca="1"/>
        <v>NA</v>
      </c>
      <c r="AO90" s="42" t="str">
        <f ca="1"/>
        <v>NA</v>
      </c>
      <c r="AP90" t="str">
        <f ca="1"/>
        <v xml:space="preserve">NA </v>
      </c>
      <c r="AQ90" t="str">
        <f ca="1"/>
        <v>Pune to Ahilyanagar Road ,Chass Village Area,Bharat Petrolpump,Ahilyanagar.</v>
      </c>
      <c r="AR90">
        <f ca="1"/>
        <v>0</v>
      </c>
      <c r="AS90" s="42" t="str">
        <f ca="1"/>
        <v>Completed</v>
      </c>
      <c r="AT90" t="str">
        <f ca="1"/>
        <v>0668/2025</v>
      </c>
      <c r="AU90" t="str">
        <f ca="1"/>
        <v>Ahilyanagar Police Station.</v>
      </c>
      <c r="AV90" t="str">
        <f ca="1"/>
        <v>Ahilyanagar</v>
      </c>
      <c r="AW90" t="str">
        <f ca="1"/>
        <v>NA</v>
      </c>
      <c r="AX90" s="42" t="str">
        <f ca="1"/>
        <v>Completed</v>
      </c>
      <c r="AY90" t="str">
        <f ca="1"/>
        <v xml:space="preserve">NA </v>
      </c>
      <c r="AZ90">
        <f ca="1"/>
        <v>0</v>
      </c>
      <c r="BA90">
        <f ca="1"/>
        <v>0</v>
      </c>
      <c r="BB90" s="42" t="str">
        <f ca="1"/>
        <v>NA</v>
      </c>
      <c r="BC90">
        <f ca="1"/>
        <v>46002</v>
      </c>
      <c r="BD90" t="str">
        <f ca="1"/>
        <v>Disptach</v>
      </c>
      <c r="BE90" t="str">
        <f ca="1"/>
        <v xml:space="preserve">Claimant Part/ Insured Visit/ Chargesheet </v>
      </c>
    </row>
    <row r="91" spans="1:57">
      <c r="A91" s="42">
        <f ca="1"/>
        <v>90</v>
      </c>
      <c r="B91" s="42" t="str">
        <f ca="1"/>
        <v>2025212540</v>
      </c>
      <c r="C91" s="42" t="str">
        <f ca="1"/>
        <v>Indusind General Insurance Co Ltd</v>
      </c>
      <c r="D91" s="42" t="str">
        <f ca="1"/>
        <v>MACT</v>
      </c>
      <c r="E91" s="42" t="str">
        <f ca="1"/>
        <v>R001-1090-SS-2025</v>
      </c>
      <c r="F91" s="310">
        <f ca="1"/>
        <v>45979</v>
      </c>
      <c r="G91" s="42" t="str">
        <f ca="1"/>
        <v>Nov-25</v>
      </c>
      <c r="H91" s="312" t="str">
        <f ca="1"/>
        <v>-</v>
      </c>
      <c r="I91" s="42">
        <f ca="1"/>
        <v>0</v>
      </c>
      <c r="J91" s="310">
        <f ca="1"/>
        <v>46021</v>
      </c>
      <c r="K91" s="42">
        <f ca="1"/>
        <v>48</v>
      </c>
      <c r="L91" s="42" t="str">
        <f ca="1"/>
        <v>AT</v>
      </c>
      <c r="M91" s="42" t="str">
        <f ca="1"/>
        <v>Full Case</v>
      </c>
      <c r="N91" s="42" t="str">
        <f ca="1"/>
        <v>Open</v>
      </c>
      <c r="O91" s="42" t="str">
        <f ca="1"/>
        <v>WIP</v>
      </c>
      <c r="P91">
        <f ca="1"/>
        <v>0</v>
      </c>
      <c r="Q91" t="str">
        <f ca="1"/>
        <v>Mumtaj Siraj Khan/7720958576</v>
      </c>
      <c r="R91" t="str">
        <f ca="1"/>
        <v>R/o Yasin nagar,Harsul Tq-,Dist-Aurangabad.</v>
      </c>
      <c r="S91" t="str">
        <f ca="1"/>
        <v>Sambhaji Nagar</v>
      </c>
      <c r="T91" s="314" t="str">
        <f ca="1"/>
        <v>Completed</v>
      </c>
      <c r="U91" t="str">
        <f ca="1"/>
        <v xml:space="preserve">NA </v>
      </c>
      <c r="V91">
        <f ca="1"/>
        <v>0</v>
      </c>
      <c r="W91">
        <f ca="1"/>
        <v>0</v>
      </c>
      <c r="X91" s="42" t="str">
        <f ca="1"/>
        <v>NA</v>
      </c>
      <c r="Y91" t="str">
        <f ca="1"/>
        <v xml:space="preserve">Sachin Pandurang Vaidhya </v>
      </c>
      <c r="Z91" t="str">
        <f ca="1"/>
        <v>R/o Gayatrinagar Jalna ,Tq-Dist- Jalna</v>
      </c>
      <c r="AA91" t="str">
        <f ca="1"/>
        <v>Jalna</v>
      </c>
      <c r="AB91" t="str">
        <f ca="1"/>
        <v>NA</v>
      </c>
      <c r="AC91" s="42" t="str">
        <f ca="1"/>
        <v>Completed</v>
      </c>
      <c r="AD91" t="str">
        <f ca="1"/>
        <v>NA</v>
      </c>
      <c r="AE91">
        <f ca="1"/>
        <v>0</v>
      </c>
      <c r="AF91" t="str">
        <f ca="1"/>
        <v>Prashant Jejurkar</v>
      </c>
      <c r="AG91" s="42" t="str">
        <f ca="1"/>
        <v>NA</v>
      </c>
      <c r="AH91" t="str">
        <f ca="1"/>
        <v>NA</v>
      </c>
      <c r="AI91" s="42" t="str">
        <f ca="1"/>
        <v>NA</v>
      </c>
      <c r="AJ91" t="str">
        <f ca="1"/>
        <v>NA</v>
      </c>
      <c r="AK91" s="42" t="str">
        <f ca="1"/>
        <v>NA</v>
      </c>
      <c r="AL91" t="str">
        <f ca="1"/>
        <v>NA</v>
      </c>
      <c r="AM91" s="42" t="str">
        <f ca="1"/>
        <v>NA</v>
      </c>
      <c r="AN91" t="str">
        <f ca="1"/>
        <v>NA</v>
      </c>
      <c r="AO91" s="42" t="str">
        <f ca="1"/>
        <v>NA</v>
      </c>
      <c r="AP91" t="str">
        <f ca="1"/>
        <v xml:space="preserve">NA </v>
      </c>
      <c r="AQ91" t="str">
        <f ca="1"/>
        <v xml:space="preserve">Bhokardan to Jalna Road Near Palas Kheda Village,in the Jusrisdiction of </v>
      </c>
      <c r="AR91">
        <f ca="1"/>
        <v>0</v>
      </c>
      <c r="AS91" s="42" t="str">
        <f ca="1"/>
        <v>WIP</v>
      </c>
      <c r="AT91" t="str">
        <f ca="1"/>
        <v>0252/2024</v>
      </c>
      <c r="AU91" t="str">
        <f ca="1"/>
        <v xml:space="preserve">Hasnabad Police Station </v>
      </c>
      <c r="AV91" t="str">
        <f ca="1"/>
        <v xml:space="preserve">Jalna </v>
      </c>
      <c r="AW91" t="str">
        <f ca="1"/>
        <v>NA</v>
      </c>
      <c r="AX91" s="42" t="str">
        <f ca="1"/>
        <v>WIP</v>
      </c>
      <c r="AY91" t="str">
        <f ca="1"/>
        <v xml:space="preserve">NA </v>
      </c>
      <c r="AZ91">
        <f ca="1"/>
        <v>0</v>
      </c>
      <c r="BA91">
        <f ca="1"/>
        <v>0</v>
      </c>
      <c r="BB91" s="42" t="str">
        <f ca="1"/>
        <v>NA</v>
      </c>
      <c r="BC91">
        <f ca="1"/>
        <v>0</v>
      </c>
      <c r="BD91">
        <f ca="1"/>
        <v>0</v>
      </c>
      <c r="BE91" t="str">
        <f ca="1"/>
        <v xml:space="preserve">Insured Visit </v>
      </c>
    </row>
    <row r="92" spans="1:57">
      <c r="A92" s="42">
        <f ca="1"/>
        <v>91</v>
      </c>
      <c r="B92" s="42" t="str">
        <f ca="1"/>
        <v>2025212595</v>
      </c>
      <c r="C92" s="42" t="str">
        <f ca="1"/>
        <v>Indusind General Insurance Co Ltd</v>
      </c>
      <c r="D92" s="42" t="str">
        <f ca="1"/>
        <v>MACT</v>
      </c>
      <c r="E92" s="42" t="str">
        <f ca="1"/>
        <v>R001-1091-SS-2025</v>
      </c>
      <c r="F92" s="310">
        <f ca="1"/>
        <v>45979</v>
      </c>
      <c r="G92" s="42" t="str">
        <f ca="1"/>
        <v>Nov-25</v>
      </c>
      <c r="H92" s="312" t="str">
        <f ca="1"/>
        <v>-</v>
      </c>
      <c r="I92" s="42">
        <f ca="1"/>
        <v>0</v>
      </c>
      <c r="J92" s="310">
        <f ca="1"/>
        <v>46021</v>
      </c>
      <c r="K92" s="42">
        <f ca="1"/>
        <v>48</v>
      </c>
      <c r="L92" s="42" t="str">
        <f ca="1"/>
        <v>AT</v>
      </c>
      <c r="M92" s="42" t="str">
        <f ca="1"/>
        <v>Full Case</v>
      </c>
      <c r="N92" s="42" t="str">
        <f ca="1"/>
        <v>QC</v>
      </c>
      <c r="O92" s="42" t="str">
        <f ca="1"/>
        <v>QC</v>
      </c>
      <c r="P92">
        <f ca="1"/>
        <v>0</v>
      </c>
      <c r="Q92" t="str">
        <f ca="1"/>
        <v>Shikh Nizam Shikh Kalu</v>
      </c>
      <c r="R92" t="str">
        <f ca="1"/>
        <v>R/o Lala Sardar Nagar,AlAM HighSchool,Devpur Dhule,Tal-Dist-Dhule.</v>
      </c>
      <c r="S92" t="str">
        <f ca="1"/>
        <v>Dhule</v>
      </c>
      <c r="T92" s="314" t="str">
        <f ca="1"/>
        <v>Completed</v>
      </c>
      <c r="U92" t="str">
        <f ca="1"/>
        <v xml:space="preserve">NA </v>
      </c>
      <c r="V92">
        <f ca="1"/>
        <v>0</v>
      </c>
      <c r="W92">
        <f ca="1"/>
        <v>0</v>
      </c>
      <c r="X92" s="42" t="str">
        <f ca="1"/>
        <v>NA</v>
      </c>
      <c r="Y92" t="str">
        <f ca="1"/>
        <v xml:space="preserve">Shaikh Shahid </v>
      </c>
      <c r="Z92" t="str">
        <f ca="1"/>
        <v>R/o 48,Husnain masid Area,Vittbhati,GulabHajinagar,Devpur,Dhule ,Tal-Dist-Dhule.</v>
      </c>
      <c r="AA92" t="str">
        <f ca="1"/>
        <v>Dhule</v>
      </c>
      <c r="AB92" t="str">
        <f ca="1"/>
        <v>NA</v>
      </c>
      <c r="AC92" s="42" t="str">
        <f ca="1"/>
        <v>Completed</v>
      </c>
      <c r="AD92" t="str">
        <f ca="1"/>
        <v>NA</v>
      </c>
      <c r="AE92">
        <f ca="1"/>
        <v>0</v>
      </c>
      <c r="AF92" t="str">
        <f ca="1"/>
        <v>NA</v>
      </c>
      <c r="AG92" s="42" t="str">
        <f ca="1"/>
        <v>NA</v>
      </c>
      <c r="AH92" t="str">
        <f ca="1"/>
        <v>NA</v>
      </c>
      <c r="AI92" s="42" t="str">
        <f ca="1"/>
        <v>NA</v>
      </c>
      <c r="AJ92" t="str">
        <f ca="1"/>
        <v>NA</v>
      </c>
      <c r="AK92" s="42" t="str">
        <f ca="1"/>
        <v>NA</v>
      </c>
      <c r="AL92" t="str">
        <f ca="1"/>
        <v>NA</v>
      </c>
      <c r="AM92" s="42" t="str">
        <f ca="1"/>
        <v>NA</v>
      </c>
      <c r="AN92" t="str">
        <f ca="1"/>
        <v>NA</v>
      </c>
      <c r="AO92" s="42" t="str">
        <f ca="1"/>
        <v>NA</v>
      </c>
      <c r="AP92" t="str">
        <f ca="1"/>
        <v xml:space="preserve">NA </v>
      </c>
      <c r="AQ92" t="str">
        <f ca="1"/>
        <v>Stadium Area Devpur ,Dhule.</v>
      </c>
      <c r="AR92">
        <f ca="1"/>
        <v>0</v>
      </c>
      <c r="AS92" s="42" t="str">
        <f ca="1"/>
        <v>Completed</v>
      </c>
      <c r="AT92" t="str">
        <f ca="1"/>
        <v>0148/2024</v>
      </c>
      <c r="AU92" t="str">
        <f ca="1"/>
        <v>Dev pur Police Station .</v>
      </c>
      <c r="AV92" t="str">
        <f ca="1"/>
        <v>Dhule.</v>
      </c>
      <c r="AW92" t="str">
        <f ca="1"/>
        <v>NA</v>
      </c>
      <c r="AX92" s="42" t="str">
        <f ca="1"/>
        <v>WIP</v>
      </c>
      <c r="AY92" t="str">
        <f ca="1"/>
        <v xml:space="preserve">NA </v>
      </c>
      <c r="AZ92">
        <f ca="1"/>
        <v>0</v>
      </c>
      <c r="BA92">
        <f ca="1"/>
        <v>0</v>
      </c>
      <c r="BB92" s="42" t="str">
        <f ca="1"/>
        <v>NA</v>
      </c>
      <c r="BC92">
        <f ca="1"/>
        <v>0</v>
      </c>
      <c r="BD92">
        <f ca="1"/>
        <v>0</v>
      </c>
      <c r="BE92" t="str">
        <f ca="1"/>
        <v>Claimant Part Pending for Insured /Driver/ Spot and CS</v>
      </c>
    </row>
    <row r="93" spans="1:57">
      <c r="A93" s="42">
        <f ca="1"/>
        <v>92</v>
      </c>
      <c r="B93" s="42" t="str">
        <f ca="1"/>
        <v>2025212716</v>
      </c>
      <c r="C93" s="42" t="str">
        <f ca="1"/>
        <v>Indusind General Insurance Co Ltd</v>
      </c>
      <c r="D93" s="42" t="str">
        <f ca="1"/>
        <v>MACT</v>
      </c>
      <c r="E93" s="42" t="str">
        <f ca="1"/>
        <v>R001-1092-SS-2025</v>
      </c>
      <c r="F93" s="310">
        <f ca="1"/>
        <v>45979</v>
      </c>
      <c r="G93" s="42" t="str">
        <f ca="1"/>
        <v>Nov-25</v>
      </c>
      <c r="H93" s="312" t="str">
        <f ca="1"/>
        <v>-</v>
      </c>
      <c r="I93" s="42">
        <f ca="1"/>
        <v>0</v>
      </c>
      <c r="J93" s="310">
        <f ca="1"/>
        <v>46021</v>
      </c>
      <c r="K93" s="42">
        <f ca="1"/>
        <v>48</v>
      </c>
      <c r="L93" s="42" t="str">
        <f ca="1"/>
        <v>AT</v>
      </c>
      <c r="M93" s="42" t="str">
        <f ca="1"/>
        <v>Full Case</v>
      </c>
      <c r="N93" s="42" t="str">
        <f ca="1"/>
        <v>Open</v>
      </c>
      <c r="O93" s="42" t="str">
        <f ca="1"/>
        <v>WIP</v>
      </c>
      <c r="P93">
        <f ca="1"/>
        <v>0</v>
      </c>
      <c r="Q93" t="str">
        <f ca="1"/>
        <v>Puja Nitin Desai</v>
      </c>
      <c r="R93" t="str">
        <f ca="1"/>
        <v>R/o Kari.Tq-,Dist-Dharashiv.</v>
      </c>
      <c r="S93" t="str">
        <f ca="1"/>
        <v>Dharashiv</v>
      </c>
      <c r="T93" s="314" t="str">
        <f ca="1"/>
        <v>Completed</v>
      </c>
      <c r="U93" t="str">
        <f ca="1"/>
        <v xml:space="preserve">NA </v>
      </c>
      <c r="V93">
        <f ca="1"/>
        <v>0</v>
      </c>
      <c r="W93">
        <f ca="1"/>
        <v>0</v>
      </c>
      <c r="X93" s="42" t="str">
        <f ca="1"/>
        <v>NA</v>
      </c>
      <c r="Y93" t="str">
        <f ca="1"/>
        <v>Shubham Vitthal kothawale</v>
      </c>
      <c r="Z93" t="str">
        <f ca="1"/>
        <v>R/o Pipalgav (k) Tq,Kallamb,Dist-Dharashiv.</v>
      </c>
      <c r="AA93" t="str">
        <f ca="1"/>
        <v>Dharashiv</v>
      </c>
      <c r="AB93" t="str">
        <f ca="1"/>
        <v>NA</v>
      </c>
      <c r="AC93" s="42" t="str">
        <f ca="1"/>
        <v>WIP</v>
      </c>
      <c r="AD93" t="str">
        <f ca="1"/>
        <v>NA</v>
      </c>
      <c r="AE93">
        <f ca="1"/>
        <v>0</v>
      </c>
      <c r="AF93" t="str">
        <f ca="1"/>
        <v>NA</v>
      </c>
      <c r="AG93" s="42" t="str">
        <f ca="1"/>
        <v>NI</v>
      </c>
      <c r="AH93" t="str">
        <f ca="1"/>
        <v>NA</v>
      </c>
      <c r="AI93" s="42" t="str">
        <f ca="1"/>
        <v>NA</v>
      </c>
      <c r="AJ93" t="str">
        <f ca="1"/>
        <v>NA</v>
      </c>
      <c r="AK93" s="42" t="str">
        <f ca="1"/>
        <v>NA</v>
      </c>
      <c r="AL93" t="str">
        <f ca="1"/>
        <v>NA</v>
      </c>
      <c r="AM93" s="42" t="str">
        <f ca="1"/>
        <v>NA</v>
      </c>
      <c r="AN93" t="str">
        <f ca="1"/>
        <v>NA</v>
      </c>
      <c r="AO93" s="42" t="str">
        <f ca="1"/>
        <v>NA</v>
      </c>
      <c r="AP93" t="str">
        <f ca="1"/>
        <v xml:space="preserve">NA </v>
      </c>
      <c r="AQ93" t="str">
        <f ca="1"/>
        <v>Latur Road to Gharni Road In Vicinty of Village Gharni Tq Chakur by Side of Naira Petrol Pump.</v>
      </c>
      <c r="AR93">
        <f ca="1"/>
        <v>0</v>
      </c>
      <c r="AS93" s="42" t="str">
        <f ca="1"/>
        <v>WIP</v>
      </c>
      <c r="AT93" t="str">
        <f ca="1"/>
        <v>0143/2025</v>
      </c>
      <c r="AU93" t="str">
        <f ca="1"/>
        <v xml:space="preserve">Chakur Police Station </v>
      </c>
      <c r="AV93" t="str">
        <f ca="1"/>
        <v>Latur.</v>
      </c>
      <c r="AW93" t="str">
        <f ca="1"/>
        <v>NA</v>
      </c>
      <c r="AX93" s="42" t="str">
        <f ca="1"/>
        <v>WIP</v>
      </c>
      <c r="AY93" t="str">
        <f ca="1"/>
        <v xml:space="preserve">NA </v>
      </c>
      <c r="AZ93">
        <f ca="1"/>
        <v>0</v>
      </c>
      <c r="BA93">
        <f ca="1"/>
        <v>0</v>
      </c>
      <c r="BB93" s="42" t="str">
        <f ca="1"/>
        <v>NA</v>
      </c>
      <c r="BC93">
        <f ca="1"/>
        <v>0</v>
      </c>
      <c r="BD93">
        <f ca="1"/>
        <v>0</v>
      </c>
      <c r="BE93">
        <f ca="1"/>
        <v>0</v>
      </c>
    </row>
    <row r="94" spans="1:57">
      <c r="A94" s="42">
        <f ca="1"/>
        <v>93</v>
      </c>
      <c r="B94" s="42" t="str">
        <f ca="1"/>
        <v>2025208486</v>
      </c>
      <c r="C94" s="42" t="str">
        <f ca="1"/>
        <v>Indusind General Insurance Co Ltd</v>
      </c>
      <c r="D94" s="42" t="str">
        <f ca="1"/>
        <v>MACT</v>
      </c>
      <c r="E94" s="42" t="str">
        <f ca="1"/>
        <v>R001-1093-SS-2025</v>
      </c>
      <c r="F94" s="310">
        <f ca="1"/>
        <v>45980</v>
      </c>
      <c r="G94" s="42" t="str">
        <f ca="1"/>
        <v>Nov-25</v>
      </c>
      <c r="H94" s="312" t="str">
        <f ca="1"/>
        <v>-</v>
      </c>
      <c r="I94" s="42">
        <f ca="1"/>
        <v>0</v>
      </c>
      <c r="J94" s="310">
        <f ca="1"/>
        <v>46022</v>
      </c>
      <c r="K94" s="42">
        <f ca="1"/>
        <v>47</v>
      </c>
      <c r="L94" s="42" t="str">
        <f ca="1"/>
        <v>AT</v>
      </c>
      <c r="M94" s="42" t="str">
        <f ca="1"/>
        <v>Full Case</v>
      </c>
      <c r="N94" s="42" t="str">
        <f ca="1"/>
        <v>Open</v>
      </c>
      <c r="O94" s="42" t="str">
        <f ca="1"/>
        <v>WIP</v>
      </c>
      <c r="P94">
        <f ca="1"/>
        <v>0</v>
      </c>
      <c r="Q94" t="str">
        <f ca="1"/>
        <v>Ashok Ramji Puyad</v>
      </c>
      <c r="R94" t="str">
        <f ca="1"/>
        <v>R/O Punegaon, Tq. Mudkhed, Dist. Nanded-430806</v>
      </c>
      <c r="S94" t="str">
        <f ca="1"/>
        <v>Nanded</v>
      </c>
      <c r="T94" s="314" t="str">
        <f ca="1"/>
        <v>WIP</v>
      </c>
      <c r="U94" t="str">
        <f ca="1"/>
        <v xml:space="preserve">NA </v>
      </c>
      <c r="V94">
        <f ca="1"/>
        <v>0</v>
      </c>
      <c r="W94">
        <f ca="1"/>
        <v>0</v>
      </c>
      <c r="X94" s="42" t="str">
        <f ca="1"/>
        <v>NA</v>
      </c>
      <c r="Y94" t="str">
        <f ca="1"/>
        <v>Gautam Ramchandar Kamble  9762968332</v>
      </c>
      <c r="Z94" t="str">
        <f ca="1"/>
        <v>R/O  Shahu Nagar, HUDCO, New Nanded-431603</v>
      </c>
      <c r="AA94" t="str">
        <f ca="1"/>
        <v>Nanded</v>
      </c>
      <c r="AB94" t="str">
        <f ca="1"/>
        <v>NA</v>
      </c>
      <c r="AC94" s="42" t="str">
        <f ca="1"/>
        <v>WIP</v>
      </c>
      <c r="AD94" t="str">
        <f ca="1"/>
        <v>NA</v>
      </c>
      <c r="AE94">
        <f ca="1"/>
        <v>0</v>
      </c>
      <c r="AF94" t="str">
        <f ca="1"/>
        <v>NA</v>
      </c>
      <c r="AG94" s="42" t="str">
        <f ca="1"/>
        <v>WIP</v>
      </c>
      <c r="AH94" t="str">
        <f ca="1"/>
        <v>NA</v>
      </c>
      <c r="AI94" s="42" t="str">
        <f ca="1"/>
        <v>NA</v>
      </c>
      <c r="AJ94" t="str">
        <f ca="1"/>
        <v>NA</v>
      </c>
      <c r="AK94" s="42" t="str">
        <f ca="1"/>
        <v>NA</v>
      </c>
      <c r="AL94" t="str">
        <f ca="1"/>
        <v>NA</v>
      </c>
      <c r="AM94" s="42" t="str">
        <f ca="1"/>
        <v>NA</v>
      </c>
      <c r="AN94" t="str">
        <f ca="1"/>
        <v>NA</v>
      </c>
      <c r="AO94" s="42" t="str">
        <f ca="1"/>
        <v>NA</v>
      </c>
      <c r="AP94" t="str">
        <f ca="1"/>
        <v xml:space="preserve">NA </v>
      </c>
      <c r="AQ94" t="str">
        <f ca="1"/>
        <v>on road from Bhayegaon towards Bhayegaon Board, at Parsewar Godown, Bhayegaon, Tq. &amp; Dist. Nanded</v>
      </c>
      <c r="AR94">
        <f ca="1"/>
        <v>0</v>
      </c>
      <c r="AS94" s="42" t="str">
        <f ca="1"/>
        <v>WIP</v>
      </c>
      <c r="AT94" t="str">
        <f ca="1"/>
        <v>0957/2024</v>
      </c>
      <c r="AU94" t="str">
        <f ca="1"/>
        <v>Nanded Police Station</v>
      </c>
      <c r="AV94" t="str">
        <f ca="1"/>
        <v>Nanded</v>
      </c>
      <c r="AW94" t="str">
        <f ca="1"/>
        <v>NA</v>
      </c>
      <c r="AX94" s="42" t="str">
        <f ca="1"/>
        <v>Completed</v>
      </c>
      <c r="AY94" t="str">
        <f ca="1"/>
        <v xml:space="preserve">NA </v>
      </c>
      <c r="AZ94">
        <f ca="1"/>
        <v>0</v>
      </c>
      <c r="BA94">
        <f ca="1"/>
        <v>0</v>
      </c>
      <c r="BB94" s="42" t="str">
        <f ca="1"/>
        <v>NA</v>
      </c>
      <c r="BC94">
        <f ca="1"/>
        <v>0</v>
      </c>
      <c r="BD94">
        <f ca="1"/>
        <v>0</v>
      </c>
      <c r="BE94">
        <f ca="1"/>
        <v>0</v>
      </c>
    </row>
    <row r="95" spans="1:57">
      <c r="A95" s="42">
        <f ca="1"/>
        <v>94</v>
      </c>
      <c r="B95" s="42" t="str">
        <f ca="1"/>
        <v>2025209152</v>
      </c>
      <c r="C95" s="42" t="str">
        <f ca="1"/>
        <v>Indusind General Insurance Co Ltd</v>
      </c>
      <c r="D95" s="42" t="str">
        <f ca="1"/>
        <v>MACT</v>
      </c>
      <c r="E95" s="42" t="str">
        <f ca="1"/>
        <v>R001-1094-SS-2025</v>
      </c>
      <c r="F95" s="310">
        <f ca="1"/>
        <v>45980</v>
      </c>
      <c r="G95" s="42" t="str">
        <f ca="1"/>
        <v>Nov-25</v>
      </c>
      <c r="H95" s="312" t="str">
        <f ca="1"/>
        <v>-</v>
      </c>
      <c r="I95" s="42">
        <f ca="1"/>
        <v>0</v>
      </c>
      <c r="J95" s="310">
        <f ca="1"/>
        <v>46022</v>
      </c>
      <c r="K95" s="42">
        <f ca="1"/>
        <v>47</v>
      </c>
      <c r="L95" s="42" t="str">
        <f ca="1"/>
        <v>AT</v>
      </c>
      <c r="M95" s="42" t="str">
        <f ca="1"/>
        <v>Full Case</v>
      </c>
      <c r="N95" s="42" t="str">
        <f ca="1"/>
        <v>Open</v>
      </c>
      <c r="O95" s="42" t="str">
        <f ca="1"/>
        <v>WIP</v>
      </c>
      <c r="P95">
        <f ca="1"/>
        <v>0</v>
      </c>
      <c r="Q95" t="str">
        <f ca="1"/>
        <v>Supriya Prakash Dabade  9579736143</v>
      </c>
      <c r="R95" t="str">
        <f ca="1"/>
        <v>R/o.Bhim Nagar, Mahatpuri Tq.Gangakhed
Dist Parbhani.</v>
      </c>
      <c r="S95" t="str">
        <f ca="1"/>
        <v>parbhani</v>
      </c>
      <c r="T95" s="314" t="str">
        <f ca="1"/>
        <v>Completed</v>
      </c>
      <c r="U95" t="str">
        <f ca="1"/>
        <v xml:space="preserve">NA </v>
      </c>
      <c r="V95">
        <f ca="1"/>
        <v>0</v>
      </c>
      <c r="W95">
        <f ca="1"/>
        <v>0</v>
      </c>
      <c r="X95" s="42" t="str">
        <f ca="1"/>
        <v>NA</v>
      </c>
      <c r="Y95" t="str">
        <f ca="1"/>
        <v>Asaram Sitaram Neharkar</v>
      </c>
      <c r="Z95" t="str">
        <f ca="1"/>
        <v>R/O Mardasgaon Tq.Pathri Dist. Parbhani,</v>
      </c>
      <c r="AA95" t="str">
        <f ca="1"/>
        <v>Parbhani</v>
      </c>
      <c r="AB95" t="str">
        <f ca="1"/>
        <v>NA</v>
      </c>
      <c r="AC95" s="42" t="str">
        <f ca="1"/>
        <v>Completed</v>
      </c>
      <c r="AD95">
        <f ca="1"/>
        <v>0</v>
      </c>
      <c r="AE95">
        <f ca="1"/>
        <v>0</v>
      </c>
      <c r="AF95">
        <f ca="1"/>
        <v>0</v>
      </c>
      <c r="AG95" s="42" t="str">
        <f ca="1"/>
        <v>WIP</v>
      </c>
      <c r="AH95" t="str">
        <f ca="1"/>
        <v>NA</v>
      </c>
      <c r="AI95" s="42" t="str">
        <f ca="1"/>
        <v>NA</v>
      </c>
      <c r="AJ95" t="str">
        <f ca="1"/>
        <v>NA</v>
      </c>
      <c r="AK95" s="42" t="str">
        <f ca="1"/>
        <v>NA</v>
      </c>
      <c r="AL95" t="str">
        <f ca="1"/>
        <v>NA</v>
      </c>
      <c r="AM95" s="42" t="str">
        <f ca="1"/>
        <v>NA</v>
      </c>
      <c r="AN95" t="str">
        <f ca="1"/>
        <v>NA</v>
      </c>
      <c r="AO95" s="42" t="str">
        <f ca="1"/>
        <v>NA</v>
      </c>
      <c r="AP95" t="str">
        <f ca="1"/>
        <v xml:space="preserve">NA </v>
      </c>
      <c r="AQ95" t="str">
        <f ca="1"/>
        <v>On Gangakhed to Parbhani Road.</v>
      </c>
      <c r="AR95">
        <f ca="1"/>
        <v>0</v>
      </c>
      <c r="AS95" s="42" t="str">
        <f ca="1"/>
        <v>Completed</v>
      </c>
      <c r="AT95" t="str">
        <f ca="1"/>
        <v>0304/2022</v>
      </c>
      <c r="AU95" t="str">
        <f ca="1"/>
        <v>Daithana Police Station</v>
      </c>
      <c r="AV95" t="str">
        <f ca="1"/>
        <v>parbhani</v>
      </c>
      <c r="AW95" t="str">
        <f ca="1"/>
        <v>NA</v>
      </c>
      <c r="AX95" s="42" t="str">
        <f ca="1"/>
        <v>WIP</v>
      </c>
      <c r="AY95" t="str">
        <f ca="1"/>
        <v xml:space="preserve">NA </v>
      </c>
      <c r="AZ95">
        <f ca="1"/>
        <v>0</v>
      </c>
      <c r="BA95">
        <f ca="1"/>
        <v>0</v>
      </c>
      <c r="BB95" s="42" t="str">
        <f ca="1"/>
        <v>NA</v>
      </c>
      <c r="BC95">
        <f ca="1"/>
        <v>0</v>
      </c>
      <c r="BD95">
        <f ca="1"/>
        <v>0</v>
      </c>
      <c r="BE95" t="str">
        <f ca="1"/>
        <v xml:space="preserve">Claimant/ Spot </v>
      </c>
    </row>
    <row r="96" spans="1:57">
      <c r="A96" s="42">
        <f ca="1"/>
        <v>95</v>
      </c>
      <c r="B96" s="42" t="str">
        <f ca="1"/>
        <v>2025212593</v>
      </c>
      <c r="C96" s="42" t="str">
        <f ca="1"/>
        <v>Indusind General Insurance Co Ltd</v>
      </c>
      <c r="D96" s="42" t="str">
        <f ca="1"/>
        <v>MACT</v>
      </c>
      <c r="E96" s="42" t="str">
        <f ca="1"/>
        <v>R001-1095-SS-2025</v>
      </c>
      <c r="F96" s="310">
        <f ca="1"/>
        <v>45980</v>
      </c>
      <c r="G96" s="42" t="str">
        <f ca="1"/>
        <v>Nov-25</v>
      </c>
      <c r="H96" s="312" t="str">
        <f ca="1"/>
        <v>-</v>
      </c>
      <c r="I96" s="42">
        <f ca="1"/>
        <v>0</v>
      </c>
      <c r="J96" s="310" t="str">
        <f ca="1"/>
        <v/>
      </c>
      <c r="K96" s="42">
        <f ca="1"/>
        <v>47</v>
      </c>
      <c r="L96" s="42" t="str">
        <f ca="1"/>
        <v>AT</v>
      </c>
      <c r="M96" s="42" t="str">
        <f ca="1"/>
        <v>Connected Case</v>
      </c>
      <c r="N96" s="42" t="str">
        <f ca="1"/>
        <v>Open</v>
      </c>
      <c r="O96" s="42" t="str">
        <f ca="1"/>
        <v>Connected Pending</v>
      </c>
      <c r="P96" t="str">
        <f ca="1"/>
        <v>Claimant Part Only. (Connected Case - 2025212721)</v>
      </c>
      <c r="Q96" t="str">
        <f ca="1"/>
        <v>Machhindra alias Machhindranath Sudam Gite    9527883302</v>
      </c>
      <c r="R96" t="str">
        <f ca="1"/>
        <v>R/o  Kadgaon, Po. Miri, Pathardi,applicant. Dist. Ahilyanagar</v>
      </c>
      <c r="S96" t="str">
        <f ca="1"/>
        <v>Ahilyanagar</v>
      </c>
      <c r="T96" s="314" t="str">
        <f ca="1"/>
        <v>Completed</v>
      </c>
      <c r="U96" t="str">
        <f ca="1"/>
        <v xml:space="preserve">NA </v>
      </c>
      <c r="V96">
        <f ca="1"/>
        <v>0</v>
      </c>
      <c r="W96">
        <f ca="1"/>
        <v>0</v>
      </c>
      <c r="X96" s="42" t="str">
        <f ca="1"/>
        <v>NA</v>
      </c>
      <c r="Y96" t="str">
        <f ca="1"/>
        <v xml:space="preserve">NA </v>
      </c>
      <c r="Z96" t="str">
        <f ca="1"/>
        <v xml:space="preserve">NA </v>
      </c>
      <c r="AA96" t="str">
        <f ca="1"/>
        <v>NA</v>
      </c>
      <c r="AB96" t="str">
        <f ca="1"/>
        <v>NA</v>
      </c>
      <c r="AC96" s="42" t="str">
        <f ca="1"/>
        <v>NA</v>
      </c>
      <c r="AD96" t="str">
        <f ca="1"/>
        <v xml:space="preserve">NA </v>
      </c>
      <c r="AE96">
        <f ca="1"/>
        <v>0</v>
      </c>
      <c r="AF96" t="str">
        <f ca="1"/>
        <v xml:space="preserve">NA </v>
      </c>
      <c r="AG96" s="42" t="str">
        <f ca="1"/>
        <v>NA</v>
      </c>
      <c r="AH96" t="str">
        <f ca="1"/>
        <v>NA</v>
      </c>
      <c r="AI96" s="42" t="str">
        <f ca="1"/>
        <v>NA</v>
      </c>
      <c r="AJ96" t="str">
        <f ca="1"/>
        <v>NA</v>
      </c>
      <c r="AK96" s="42" t="str">
        <f ca="1"/>
        <v>NA</v>
      </c>
      <c r="AL96" t="str">
        <f ca="1"/>
        <v>NA</v>
      </c>
      <c r="AM96" s="42" t="str">
        <f ca="1"/>
        <v>NA</v>
      </c>
      <c r="AN96" t="str">
        <f ca="1"/>
        <v>NA</v>
      </c>
      <c r="AO96" s="42" t="str">
        <f ca="1"/>
        <v>NA</v>
      </c>
      <c r="AP96" t="str">
        <f ca="1"/>
        <v xml:space="preserve">NA </v>
      </c>
      <c r="AQ96" t="str">
        <f ca="1"/>
        <v>NA</v>
      </c>
      <c r="AR96">
        <f ca="1"/>
        <v>0</v>
      </c>
      <c r="AS96" s="42" t="str">
        <f ca="1"/>
        <v>NA</v>
      </c>
      <c r="AT96" t="str">
        <f ca="1"/>
        <v>0201/2025</v>
      </c>
      <c r="AU96" t="str">
        <f ca="1"/>
        <v>Pathardi Police Station</v>
      </c>
      <c r="AV96" t="str">
        <f ca="1"/>
        <v>Ahilyanagar</v>
      </c>
      <c r="AW96" t="str">
        <f ca="1"/>
        <v>NA</v>
      </c>
      <c r="AX96" s="42" t="str">
        <f ca="1"/>
        <v>NA</v>
      </c>
      <c r="AY96" t="str">
        <f ca="1"/>
        <v xml:space="preserve">NA </v>
      </c>
      <c r="AZ96">
        <f ca="1"/>
        <v>0</v>
      </c>
      <c r="BA96">
        <f ca="1"/>
        <v>0</v>
      </c>
      <c r="BB96" s="42" t="str">
        <f ca="1"/>
        <v>NA</v>
      </c>
      <c r="BC96">
        <f ca="1"/>
        <v>0</v>
      </c>
      <c r="BD96">
        <f ca="1"/>
        <v>0</v>
      </c>
      <c r="BE96" t="str">
        <f ca="1"/>
        <v>Claimant Part</v>
      </c>
    </row>
    <row r="97" spans="1:57">
      <c r="A97" s="42">
        <f ca="1"/>
        <v>96</v>
      </c>
      <c r="B97" s="42" t="str">
        <f ca="1"/>
        <v>2025212721</v>
      </c>
      <c r="C97" s="42" t="str">
        <f ca="1"/>
        <v>Indusind General Insurance Co Ltd</v>
      </c>
      <c r="D97" s="42" t="str">
        <f ca="1"/>
        <v>MACT</v>
      </c>
      <c r="E97" s="42" t="str">
        <f ca="1"/>
        <v>R001-1096-SS-2025</v>
      </c>
      <c r="F97" s="310">
        <f ca="1"/>
        <v>45980</v>
      </c>
      <c r="G97" s="42" t="str">
        <f ca="1"/>
        <v>Nov-25</v>
      </c>
      <c r="H97" s="312" t="str">
        <f ca="1"/>
        <v>-</v>
      </c>
      <c r="I97" s="42">
        <f ca="1"/>
        <v>0</v>
      </c>
      <c r="J97" s="310">
        <f ca="1"/>
        <v>46022</v>
      </c>
      <c r="K97" s="42">
        <f ca="1"/>
        <v>47</v>
      </c>
      <c r="L97" s="42" t="str">
        <f ca="1"/>
        <v>AT</v>
      </c>
      <c r="M97" s="42" t="str">
        <f ca="1"/>
        <v>Full Case</v>
      </c>
      <c r="N97" s="42" t="str">
        <f ca="1"/>
        <v>Open</v>
      </c>
      <c r="O97" s="42" t="str">
        <f ca="1"/>
        <v>WIP</v>
      </c>
      <c r="P97">
        <f ca="1"/>
        <v>0</v>
      </c>
      <c r="Q97" t="str">
        <f ca="1"/>
        <v>Narayan Keshav Palave</v>
      </c>
      <c r="R97" t="str">
        <f ca="1"/>
        <v>Kadgaon, Miri, Pathardi, Ahilyanagar.</v>
      </c>
      <c r="S97" t="str">
        <f ca="1"/>
        <v>Ahilyanagar</v>
      </c>
      <c r="T97" s="314" t="str">
        <f ca="1"/>
        <v>Completed</v>
      </c>
      <c r="U97" t="str">
        <f ca="1"/>
        <v xml:space="preserve">NA </v>
      </c>
      <c r="V97">
        <f ca="1"/>
        <v>0</v>
      </c>
      <c r="W97">
        <f ca="1"/>
        <v>0</v>
      </c>
      <c r="X97" s="42" t="str">
        <f ca="1"/>
        <v>NA</v>
      </c>
      <c r="Y97" t="str">
        <f ca="1"/>
        <v>Ravindra Mohan Tambe  9665127299</v>
      </c>
      <c r="Z97" t="str">
        <f ca="1"/>
        <v>R/o Plot No. 203, Group No. 6, Bakwalnagar, Naigaon, h Gangapur, Dist. Ch. Sambhajinagar Pin- 431133</v>
      </c>
      <c r="AA97" t="str">
        <f ca="1"/>
        <v>Sambhaji Nagar</v>
      </c>
      <c r="AB97" t="str">
        <f ca="1"/>
        <v>NA</v>
      </c>
      <c r="AC97" s="42" t="str">
        <f ca="1"/>
        <v>WIP</v>
      </c>
      <c r="AD97" t="str">
        <f ca="1"/>
        <v>Muktar Noor Syed   9764345112</v>
      </c>
      <c r="AE97">
        <f ca="1"/>
        <v>0</v>
      </c>
      <c r="AF97" t="str">
        <f ca="1"/>
        <v>R/o ardeshi Gali, Vaijapur, Tal. Vaijapur Dist. Ch. Sambhajinagar Pin-431001.</v>
      </c>
      <c r="AG97" s="42" t="str">
        <f ca="1"/>
        <v>WIP</v>
      </c>
      <c r="AH97" t="str">
        <f ca="1"/>
        <v>NA</v>
      </c>
      <c r="AI97" s="42" t="str">
        <f ca="1"/>
        <v>NA</v>
      </c>
      <c r="AJ97" t="str">
        <f ca="1"/>
        <v>NA</v>
      </c>
      <c r="AK97" s="42" t="str">
        <f ca="1"/>
        <v>NA</v>
      </c>
      <c r="AL97" t="str">
        <f ca="1"/>
        <v>NA</v>
      </c>
      <c r="AM97" s="42" t="str">
        <f ca="1"/>
        <v>NA</v>
      </c>
      <c r="AN97" t="str">
        <f ca="1"/>
        <v>NA</v>
      </c>
      <c r="AO97" s="42" t="str">
        <f ca="1"/>
        <v>NA</v>
      </c>
      <c r="AP97" t="str">
        <f ca="1"/>
        <v xml:space="preserve">NA </v>
      </c>
      <c r="AQ97" t="str">
        <f ca="1"/>
        <v>On Old closed canteen in front of the church on the road from Pandhari Pul to Miri</v>
      </c>
      <c r="AR97">
        <f ca="1"/>
        <v>0</v>
      </c>
      <c r="AS97" s="42" t="str">
        <f ca="1"/>
        <v>Completed</v>
      </c>
      <c r="AT97" t="str">
        <f ca="1"/>
        <v>0201/2025</v>
      </c>
      <c r="AU97" t="str">
        <f ca="1"/>
        <v>Pathardi Police Station</v>
      </c>
      <c r="AV97" t="str">
        <f ca="1"/>
        <v>Ahilyanagar</v>
      </c>
      <c r="AW97" t="str">
        <f ca="1"/>
        <v>NA</v>
      </c>
      <c r="AX97" s="42" t="str">
        <f ca="1"/>
        <v>WIP</v>
      </c>
      <c r="AY97" t="str">
        <f ca="1"/>
        <v xml:space="preserve">NA </v>
      </c>
      <c r="AZ97">
        <f ca="1"/>
        <v>0</v>
      </c>
      <c r="BA97">
        <f ca="1"/>
        <v>0</v>
      </c>
      <c r="BB97" s="42" t="str">
        <f ca="1"/>
        <v>NA</v>
      </c>
      <c r="BC97">
        <f ca="1"/>
        <v>0</v>
      </c>
      <c r="BD97">
        <f ca="1"/>
        <v>0</v>
      </c>
      <c r="BE97">
        <f ca="1"/>
        <v>0</v>
      </c>
    </row>
    <row r="98" spans="1:57">
      <c r="A98" s="42">
        <f ca="1"/>
        <v>97</v>
      </c>
      <c r="B98" s="42" t="str">
        <f ca="1"/>
        <v>2025209441</v>
      </c>
      <c r="C98" s="42" t="str">
        <f ca="1"/>
        <v>Indusind General Insurance Co Ltd</v>
      </c>
      <c r="D98" s="42" t="str">
        <f ca="1"/>
        <v>MACT</v>
      </c>
      <c r="E98" s="42" t="str">
        <f ca="1"/>
        <v>R001-1097-SS-2025</v>
      </c>
      <c r="F98" s="310">
        <f ca="1"/>
        <v>45980</v>
      </c>
      <c r="G98" s="42" t="str">
        <f ca="1"/>
        <v>Nov-25</v>
      </c>
      <c r="H98" s="312" t="str">
        <f ca="1"/>
        <v>-</v>
      </c>
      <c r="I98" s="42">
        <f ca="1"/>
        <v>0</v>
      </c>
      <c r="J98" s="310">
        <f ca="1"/>
        <v>46022</v>
      </c>
      <c r="K98" s="42">
        <f ca="1"/>
        <v>47</v>
      </c>
      <c r="L98" s="42" t="str">
        <f ca="1"/>
        <v>AT</v>
      </c>
      <c r="M98" s="42" t="str">
        <f ca="1"/>
        <v>Full Case</v>
      </c>
      <c r="N98" s="42" t="str">
        <f ca="1"/>
        <v>Open</v>
      </c>
      <c r="O98" s="42" t="str">
        <f ca="1"/>
        <v>WIP</v>
      </c>
      <c r="P98">
        <f ca="1"/>
        <v>0</v>
      </c>
      <c r="Q98" t="str">
        <f ca="1"/>
        <v>Mashnaji  Kamaji Gajale,</v>
      </c>
      <c r="R98" t="str">
        <f ca="1"/>
        <v>R/o. Borgaon Thadi Tq Biloli Dist. Nanded</v>
      </c>
      <c r="S98" t="str">
        <f ca="1"/>
        <v>Nanded</v>
      </c>
      <c r="T98" s="314" t="str">
        <f ca="1"/>
        <v>Completed</v>
      </c>
      <c r="U98" t="str">
        <f ca="1"/>
        <v xml:space="preserve">NA </v>
      </c>
      <c r="V98">
        <f ca="1"/>
        <v>0</v>
      </c>
      <c r="W98">
        <f ca="1"/>
        <v>0</v>
      </c>
      <c r="X98" s="42" t="str">
        <f ca="1"/>
        <v>NA</v>
      </c>
      <c r="Y98" t="str">
        <f ca="1"/>
        <v>Abdul Kabeer Abdul Rasheed</v>
      </c>
      <c r="Z98" t="str">
        <f ca="1"/>
        <v>R/o. 9-5-714, Khandari Building, Khusro Nagar,</v>
      </c>
      <c r="AA98" t="str">
        <f ca="1"/>
        <v>Nanded</v>
      </c>
      <c r="AB98" t="str">
        <f ca="1"/>
        <v>NA</v>
      </c>
      <c r="AC98" s="42" t="str">
        <f ca="1"/>
        <v>WIP</v>
      </c>
      <c r="AD98" t="str">
        <f ca="1"/>
        <v>NA</v>
      </c>
      <c r="AE98">
        <f ca="1"/>
        <v>0</v>
      </c>
      <c r="AF98" t="str">
        <f ca="1"/>
        <v>NA</v>
      </c>
      <c r="AG98" s="42" t="str">
        <f ca="1"/>
        <v>NI</v>
      </c>
      <c r="AH98" t="str">
        <f ca="1"/>
        <v>NA</v>
      </c>
      <c r="AI98" s="42" t="str">
        <f ca="1"/>
        <v>NA</v>
      </c>
      <c r="AJ98" t="str">
        <f ca="1"/>
        <v>NA</v>
      </c>
      <c r="AK98" s="42" t="str">
        <f ca="1"/>
        <v>NA</v>
      </c>
      <c r="AL98" t="str">
        <f ca="1"/>
        <v>NA</v>
      </c>
      <c r="AM98" s="42" t="str">
        <f ca="1"/>
        <v>NA</v>
      </c>
      <c r="AN98" t="str">
        <f ca="1"/>
        <v>NA</v>
      </c>
      <c r="AO98" s="42" t="str">
        <f ca="1"/>
        <v>NA</v>
      </c>
      <c r="AP98" t="str">
        <f ca="1"/>
        <v xml:space="preserve">NA </v>
      </c>
      <c r="AQ98" t="str">
        <f ca="1"/>
        <v>On near adampur to kerur ghat</v>
      </c>
      <c r="AR98">
        <f ca="1"/>
        <v>0</v>
      </c>
      <c r="AS98" s="42" t="str">
        <f ca="1"/>
        <v>Completed</v>
      </c>
      <c r="AT98" t="str">
        <f ca="1"/>
        <v>0304/2024</v>
      </c>
      <c r="AU98" t="str">
        <f ca="1"/>
        <v>Ramtirth Police Station</v>
      </c>
      <c r="AV98" t="str">
        <f ca="1"/>
        <v>Nanded</v>
      </c>
      <c r="AW98" t="str">
        <f ca="1"/>
        <v>NA</v>
      </c>
      <c r="AX98" s="42" t="str">
        <f ca="1"/>
        <v>NI</v>
      </c>
      <c r="AY98" t="str">
        <f ca="1"/>
        <v xml:space="preserve">NA </v>
      </c>
      <c r="AZ98">
        <f ca="1"/>
        <v>0</v>
      </c>
      <c r="BA98">
        <f ca="1"/>
        <v>0</v>
      </c>
      <c r="BB98" s="42" t="str">
        <f ca="1"/>
        <v>NA</v>
      </c>
      <c r="BC98">
        <f ca="1"/>
        <v>0</v>
      </c>
      <c r="BD98">
        <f ca="1"/>
        <v>0</v>
      </c>
      <c r="BE98">
        <f ca="1"/>
        <v>0</v>
      </c>
    </row>
    <row r="99" spans="1:57">
      <c r="A99" s="42">
        <f ca="1"/>
        <v>98</v>
      </c>
      <c r="B99" s="42" t="str">
        <f ca="1"/>
        <v>2025209731</v>
      </c>
      <c r="C99" s="42" t="str">
        <f ca="1"/>
        <v>Indusind General Insurance Co Ltd</v>
      </c>
      <c r="D99" s="42" t="str">
        <f ca="1"/>
        <v>MACT</v>
      </c>
      <c r="E99" s="42" t="str">
        <f ca="1"/>
        <v>R001-1098-SS-2025</v>
      </c>
      <c r="F99" s="310">
        <f ca="1"/>
        <v>45980</v>
      </c>
      <c r="G99" s="42" t="str">
        <f ca="1"/>
        <v>Nov-25</v>
      </c>
      <c r="H99" s="312" t="str">
        <f ca="1"/>
        <v>-</v>
      </c>
      <c r="I99" s="42">
        <f ca="1"/>
        <v>0</v>
      </c>
      <c r="J99" s="310">
        <f ca="1"/>
        <v>46022</v>
      </c>
      <c r="K99" s="42">
        <f ca="1"/>
        <v>47</v>
      </c>
      <c r="L99" s="42" t="str">
        <f ca="1"/>
        <v>AT</v>
      </c>
      <c r="M99" s="42" t="str">
        <f ca="1"/>
        <v>Full Case</v>
      </c>
      <c r="N99" s="42" t="str">
        <f ca="1"/>
        <v>Open</v>
      </c>
      <c r="O99" s="42" t="str">
        <f ca="1"/>
        <v>WIP</v>
      </c>
      <c r="P99">
        <f ca="1"/>
        <v>0</v>
      </c>
      <c r="Q99" t="str">
        <f ca="1"/>
        <v>Meghabai Madhav Jadhav</v>
      </c>
      <c r="R99" t="str">
        <f ca="1"/>
        <v>R/O Marshivni Tal. Kandhar Dist. Nanded</v>
      </c>
      <c r="S99" t="str">
        <f ca="1"/>
        <v>Nanded</v>
      </c>
      <c r="T99" s="314" t="str">
        <f ca="1"/>
        <v>WIP</v>
      </c>
      <c r="U99" t="str">
        <f ca="1"/>
        <v xml:space="preserve">NA </v>
      </c>
      <c r="V99">
        <f ca="1"/>
        <v>0</v>
      </c>
      <c r="W99">
        <f ca="1"/>
        <v>0</v>
      </c>
      <c r="X99" s="42" t="str">
        <f ca="1"/>
        <v>NA</v>
      </c>
      <c r="Y99" t="str">
        <f ca="1"/>
        <v>NIVARUTI VINAYAK KANDHARE</v>
      </c>
      <c r="Z99" t="str">
        <f ca="1"/>
        <v>R/o Kandharewadi Po. Panshewadi Tal. Kandhar Dist. Nanded</v>
      </c>
      <c r="AA99" t="str">
        <f ca="1"/>
        <v>Nanded</v>
      </c>
      <c r="AB99" t="str">
        <f ca="1"/>
        <v>NA</v>
      </c>
      <c r="AC99" s="42" t="str">
        <f ca="1"/>
        <v>WIP</v>
      </c>
      <c r="AD99" t="str">
        <f ca="1"/>
        <v>NA</v>
      </c>
      <c r="AE99">
        <f ca="1"/>
        <v>0</v>
      </c>
      <c r="AF99" t="str">
        <f ca="1"/>
        <v>NA</v>
      </c>
      <c r="AG99" s="42" t="str">
        <f ca="1"/>
        <v>WIP</v>
      </c>
      <c r="AH99" t="str">
        <f ca="1"/>
        <v>NA</v>
      </c>
      <c r="AI99" s="42" t="str">
        <f ca="1"/>
        <v>NA</v>
      </c>
      <c r="AJ99" t="str">
        <f ca="1"/>
        <v>NA</v>
      </c>
      <c r="AK99" s="42" t="str">
        <f ca="1"/>
        <v>NA</v>
      </c>
      <c r="AL99" t="str">
        <f ca="1"/>
        <v>NA</v>
      </c>
      <c r="AM99" s="42" t="str">
        <f ca="1"/>
        <v>NA</v>
      </c>
      <c r="AN99" t="str">
        <f ca="1"/>
        <v>NA</v>
      </c>
      <c r="AO99" s="42" t="str">
        <f ca="1"/>
        <v>NA</v>
      </c>
      <c r="AP99" t="str">
        <f ca="1"/>
        <v xml:space="preserve">NA </v>
      </c>
      <c r="AQ99" t="str">
        <f ca="1"/>
        <v>In front of the house of Chandrakant P. Shankar Manganale in Kandharewadi.</v>
      </c>
      <c r="AR99">
        <f ca="1"/>
        <v>0</v>
      </c>
      <c r="AS99" s="42" t="str">
        <f ca="1"/>
        <v>WIP</v>
      </c>
      <c r="AT99" t="str">
        <f ca="1"/>
        <v>0036/2023</v>
      </c>
      <c r="AU99" t="str">
        <f ca="1"/>
        <v>Kandhar Police Station</v>
      </c>
      <c r="AV99" t="str">
        <f ca="1"/>
        <v>Nanded</v>
      </c>
      <c r="AW99" t="str">
        <f ca="1"/>
        <v>NA</v>
      </c>
      <c r="AX99" s="42" t="str">
        <f ca="1"/>
        <v>NI</v>
      </c>
      <c r="AY99" t="str">
        <f ca="1"/>
        <v xml:space="preserve">NA </v>
      </c>
      <c r="AZ99">
        <f ca="1"/>
        <v>0</v>
      </c>
      <c r="BA99">
        <f ca="1"/>
        <v>0</v>
      </c>
      <c r="BB99" s="42" t="str">
        <f ca="1"/>
        <v>NA</v>
      </c>
      <c r="BC99">
        <f ca="1"/>
        <v>0</v>
      </c>
      <c r="BD99">
        <f ca="1"/>
        <v>0</v>
      </c>
      <c r="BE99">
        <f ca="1"/>
        <v>0</v>
      </c>
    </row>
    <row r="100" spans="1:57">
      <c r="A100" s="42">
        <f ca="1"/>
        <v>99</v>
      </c>
      <c r="B100" s="42" t="str">
        <f ca="1"/>
        <v>2025210423</v>
      </c>
      <c r="C100" s="42" t="str">
        <f ca="1"/>
        <v>Indusind General Insurance Co Ltd</v>
      </c>
      <c r="D100" s="42" t="str">
        <f ca="1"/>
        <v>MACT</v>
      </c>
      <c r="E100" s="42" t="str">
        <f ca="1"/>
        <v>R001-1099-SS-2025</v>
      </c>
      <c r="F100" s="310">
        <f ca="1"/>
        <v>45980</v>
      </c>
      <c r="G100" s="42" t="str">
        <f ca="1"/>
        <v>Nov-25</v>
      </c>
      <c r="H100" s="312" t="str">
        <f ca="1"/>
        <v>-</v>
      </c>
      <c r="I100" s="42">
        <f ca="1"/>
        <v>0</v>
      </c>
      <c r="J100" s="310">
        <f ca="1"/>
        <v>46022</v>
      </c>
      <c r="K100" s="42">
        <f ca="1"/>
        <v>47</v>
      </c>
      <c r="L100" s="42" t="str">
        <f ca="1"/>
        <v>AT</v>
      </c>
      <c r="M100" s="42" t="str">
        <f ca="1"/>
        <v>Full Case</v>
      </c>
      <c r="N100" s="42" t="str">
        <f ca="1"/>
        <v>Open</v>
      </c>
      <c r="O100" s="42" t="str">
        <f ca="1"/>
        <v>WIP</v>
      </c>
      <c r="P100">
        <f ca="1"/>
        <v>0</v>
      </c>
      <c r="Q100" t="str">
        <f ca="1"/>
        <v>Chandu  Pundalik Jogadand 7972605784</v>
      </c>
      <c r="R100" t="str">
        <f ca="1"/>
        <v>R/O Samta Nagar, New Abadi Aradhapur, Tq.- Aradhapur, Dist.- Nanded</v>
      </c>
      <c r="S100" t="str">
        <f ca="1"/>
        <v>Nanded</v>
      </c>
      <c r="T100" s="314" t="str">
        <f ca="1"/>
        <v>Completed</v>
      </c>
      <c r="U100" t="str">
        <f ca="1"/>
        <v xml:space="preserve">NA </v>
      </c>
      <c r="V100">
        <f ca="1"/>
        <v>0</v>
      </c>
      <c r="W100">
        <f ca="1"/>
        <v>0</v>
      </c>
      <c r="X100" s="42" t="str">
        <f ca="1"/>
        <v>NA</v>
      </c>
      <c r="Y100" t="str">
        <f ca="1"/>
        <v>Ammen Khan Bismilla Khan Pathan</v>
      </c>
      <c r="Z100" t="str">
        <f ca="1"/>
        <v>R/o  Risala Bazar, Near Badi Masjid, Hingoli Tq. &amp; Dis. Hingoli</v>
      </c>
      <c r="AA100" t="str">
        <f ca="1"/>
        <v>Hingoli</v>
      </c>
      <c r="AB100" t="str">
        <f ca="1"/>
        <v>NA</v>
      </c>
      <c r="AC100" s="42" t="str">
        <f ca="1"/>
        <v>WIP</v>
      </c>
      <c r="AD100" t="str">
        <f ca="1"/>
        <v>NA</v>
      </c>
      <c r="AE100">
        <f ca="1"/>
        <v>0</v>
      </c>
      <c r="AF100" t="str">
        <f ca="1"/>
        <v>NA</v>
      </c>
      <c r="AG100" s="42" t="str">
        <f ca="1"/>
        <v>WIP</v>
      </c>
      <c r="AH100" t="str">
        <f ca="1"/>
        <v>NA</v>
      </c>
      <c r="AI100" s="42" t="str">
        <f ca="1"/>
        <v>NA</v>
      </c>
      <c r="AJ100" t="str">
        <f ca="1"/>
        <v>NA</v>
      </c>
      <c r="AK100" s="42" t="str">
        <f ca="1"/>
        <v>NA</v>
      </c>
      <c r="AL100" t="str">
        <f ca="1"/>
        <v>NA</v>
      </c>
      <c r="AM100" s="42" t="str">
        <f ca="1"/>
        <v>NA</v>
      </c>
      <c r="AN100" t="str">
        <f ca="1"/>
        <v>NA</v>
      </c>
      <c r="AO100" s="42" t="str">
        <f ca="1"/>
        <v>NA</v>
      </c>
      <c r="AP100" t="str">
        <f ca="1"/>
        <v xml:space="preserve">NA </v>
      </c>
      <c r="AQ100" t="str">
        <f ca="1"/>
        <v>on Kasarkheda Malegaon road, Near Dor pati</v>
      </c>
      <c r="AR100">
        <f ca="1"/>
        <v>0</v>
      </c>
      <c r="AS100" s="42" t="str">
        <f ca="1"/>
        <v>Completed</v>
      </c>
      <c r="AT100" t="str">
        <f ca="1"/>
        <v>0661/2024</v>
      </c>
      <c r="AU100" t="str">
        <f ca="1"/>
        <v>Ardhapur Police Station</v>
      </c>
      <c r="AV100" t="str">
        <f ca="1"/>
        <v>Nanded</v>
      </c>
      <c r="AW100" t="str">
        <f ca="1"/>
        <v>NA</v>
      </c>
      <c r="AX100" s="42" t="str">
        <f ca="1"/>
        <v>WIP</v>
      </c>
      <c r="AY100" t="str">
        <f ca="1"/>
        <v xml:space="preserve">NA </v>
      </c>
      <c r="AZ100">
        <f ca="1"/>
        <v>0</v>
      </c>
      <c r="BA100">
        <f ca="1"/>
        <v>0</v>
      </c>
      <c r="BB100" s="42" t="str">
        <f ca="1"/>
        <v>NA</v>
      </c>
      <c r="BC100">
        <f ca="1"/>
        <v>0</v>
      </c>
      <c r="BD100">
        <f ca="1"/>
        <v>0</v>
      </c>
      <c r="BE100">
        <f ca="1"/>
        <v>0</v>
      </c>
    </row>
    <row r="101" spans="1:57">
      <c r="A101" s="42">
        <f ca="1"/>
        <v>100</v>
      </c>
      <c r="B101" s="42" t="str">
        <f ca="1"/>
        <v>2025210175</v>
      </c>
      <c r="C101" s="42" t="str">
        <f ca="1"/>
        <v>Indusind General Insurance Co Ltd</v>
      </c>
      <c r="D101" s="42" t="str">
        <f ca="1"/>
        <v>MACT</v>
      </c>
      <c r="E101" s="42" t="str">
        <f ca="1"/>
        <v>R001-1100-SS-2025</v>
      </c>
      <c r="F101" s="310">
        <f ca="1"/>
        <v>45980</v>
      </c>
      <c r="G101" s="42" t="str">
        <f ca="1"/>
        <v>Nov-25</v>
      </c>
      <c r="H101" s="312" t="str">
        <f ca="1"/>
        <v>-</v>
      </c>
      <c r="I101" s="42">
        <f ca="1"/>
        <v>0</v>
      </c>
      <c r="J101" s="310">
        <f ca="1"/>
        <v>46022</v>
      </c>
      <c r="K101" s="42">
        <f ca="1"/>
        <v>47</v>
      </c>
      <c r="L101" s="42" t="str">
        <f ca="1"/>
        <v>AT</v>
      </c>
      <c r="M101" s="42" t="str">
        <f ca="1"/>
        <v>Full Case</v>
      </c>
      <c r="N101" s="42" t="str">
        <f ca="1"/>
        <v>Open</v>
      </c>
      <c r="O101" s="42" t="str">
        <f ca="1"/>
        <v>WIP</v>
      </c>
      <c r="P101">
        <f ca="1"/>
        <v>0</v>
      </c>
      <c r="Q101" t="str">
        <f ca="1"/>
        <v>Archana  Vishwanath Tadkole</v>
      </c>
      <c r="R101" t="str">
        <f ca="1"/>
        <v>R/o Khanapur, Tq. Degloor, Dist.Nanded.</v>
      </c>
      <c r="S101" t="str">
        <f ca="1"/>
        <v>Nanded</v>
      </c>
      <c r="T101" s="314" t="str">
        <f ca="1"/>
        <v>WIP</v>
      </c>
      <c r="U101" t="str">
        <f ca="1"/>
        <v xml:space="preserve">NA </v>
      </c>
      <c r="V101">
        <f ca="1"/>
        <v>0</v>
      </c>
      <c r="W101">
        <f ca="1"/>
        <v>0</v>
      </c>
      <c r="X101" s="42" t="str">
        <f ca="1"/>
        <v>NA</v>
      </c>
      <c r="Y101" t="str">
        <f ca="1"/>
        <v>Maroti  Devrao Jadhav</v>
      </c>
      <c r="Z101" t="str">
        <f ca="1"/>
        <v>R/o At Post Atkali, Tq. Biloli</v>
      </c>
      <c r="AA101" t="str">
        <f ca="1"/>
        <v>Nanded</v>
      </c>
      <c r="AB101" t="str">
        <f ca="1"/>
        <v>NA</v>
      </c>
      <c r="AC101" s="42" t="str">
        <f ca="1"/>
        <v>WIP</v>
      </c>
      <c r="AD101" t="str">
        <f ca="1"/>
        <v>NA</v>
      </c>
      <c r="AE101">
        <f ca="1"/>
        <v>0</v>
      </c>
      <c r="AF101" t="str">
        <f ca="1"/>
        <v>Shivhar Deshmukh</v>
      </c>
      <c r="AG101" s="42" t="str">
        <f ca="1"/>
        <v>WIP</v>
      </c>
      <c r="AH101" t="str">
        <f ca="1"/>
        <v>NA</v>
      </c>
      <c r="AI101" s="42" t="str">
        <f ca="1"/>
        <v>NA</v>
      </c>
      <c r="AJ101" t="str">
        <f ca="1"/>
        <v>NA</v>
      </c>
      <c r="AK101" s="42" t="str">
        <f ca="1"/>
        <v>NA</v>
      </c>
      <c r="AL101" t="str">
        <f ca="1"/>
        <v>NA</v>
      </c>
      <c r="AM101" s="42" t="str">
        <f ca="1"/>
        <v>NA</v>
      </c>
      <c r="AN101" t="str">
        <f ca="1"/>
        <v>NA</v>
      </c>
      <c r="AO101" s="42" t="str">
        <f ca="1"/>
        <v>NA</v>
      </c>
      <c r="AP101" t="str">
        <f ca="1"/>
        <v xml:space="preserve">NA </v>
      </c>
      <c r="AQ101" t="str">
        <f ca="1"/>
        <v>Road, Khanapur Fata, at open space, infront of " Manjulabai Sankul ", Khanapur Tq.Degloor.</v>
      </c>
      <c r="AR101">
        <f ca="1"/>
        <v>0</v>
      </c>
      <c r="AS101" s="42" t="str">
        <f ca="1"/>
        <v>WIP</v>
      </c>
      <c r="AT101">
        <f ca="1"/>
        <v>0</v>
      </c>
      <c r="AU101" t="str">
        <f ca="1"/>
        <v>Degloor Police Station</v>
      </c>
      <c r="AV101" t="str">
        <f ca="1"/>
        <v>Nanded</v>
      </c>
      <c r="AW101" t="str">
        <f ca="1"/>
        <v>NA</v>
      </c>
      <c r="AX101" s="42" t="str">
        <f ca="1"/>
        <v>WIP</v>
      </c>
      <c r="AY101" t="str">
        <f ca="1"/>
        <v xml:space="preserve">NA </v>
      </c>
      <c r="AZ101">
        <f ca="1"/>
        <v>0</v>
      </c>
      <c r="BA101">
        <f ca="1"/>
        <v>0</v>
      </c>
      <c r="BB101" s="42" t="str">
        <f ca="1"/>
        <v>NA</v>
      </c>
      <c r="BC101">
        <f ca="1"/>
        <v>0</v>
      </c>
      <c r="BD101">
        <f ca="1"/>
        <v>0</v>
      </c>
      <c r="BE101">
        <f ca="1"/>
        <v>0</v>
      </c>
    </row>
    <row r="102" spans="1:57">
      <c r="A102" s="42">
        <f ca="1"/>
        <v>101</v>
      </c>
      <c r="B102" s="42" t="str">
        <f ca="1"/>
        <v>2025210211</v>
      </c>
      <c r="C102" s="42" t="str">
        <f ca="1"/>
        <v>Indusind General Insurance Co Ltd</v>
      </c>
      <c r="D102" s="42" t="str">
        <f ca="1"/>
        <v>MACT</v>
      </c>
      <c r="E102" s="42" t="str">
        <f ca="1"/>
        <v>R001-1101-SS-2025</v>
      </c>
      <c r="F102" s="310">
        <f ca="1"/>
        <v>45980</v>
      </c>
      <c r="G102" s="42" t="str">
        <f ca="1"/>
        <v>Nov-25</v>
      </c>
      <c r="H102" s="312" t="str">
        <f ca="1"/>
        <v>-</v>
      </c>
      <c r="I102" s="42">
        <f ca="1"/>
        <v>0</v>
      </c>
      <c r="J102" s="310">
        <f ca="1"/>
        <v>46022</v>
      </c>
      <c r="K102" s="42">
        <f ca="1"/>
        <v>47</v>
      </c>
      <c r="L102" s="42" t="str">
        <f ca="1"/>
        <v>AT</v>
      </c>
      <c r="M102" s="42" t="str">
        <f ca="1"/>
        <v>Full Case</v>
      </c>
      <c r="N102" s="42" t="str">
        <f ca="1"/>
        <v>Open</v>
      </c>
      <c r="O102" s="42" t="str">
        <f ca="1"/>
        <v>WIP</v>
      </c>
      <c r="P102">
        <f ca="1"/>
        <v>0</v>
      </c>
      <c r="Q102" t="str">
        <f ca="1"/>
        <v>Shila  Vyankat  Wade</v>
      </c>
      <c r="R102" t="str">
        <f ca="1"/>
        <v>R/o Degaon, Tq. Naigaon(Kh), Dist. Nanded</v>
      </c>
      <c r="S102" t="str">
        <f ca="1"/>
        <v>Nanded</v>
      </c>
      <c r="T102" s="314" t="str">
        <f ca="1"/>
        <v>Completed</v>
      </c>
      <c r="U102" t="str">
        <f ca="1"/>
        <v xml:space="preserve">NA </v>
      </c>
      <c r="V102">
        <f ca="1"/>
        <v>0</v>
      </c>
      <c r="W102">
        <f ca="1"/>
        <v>0</v>
      </c>
      <c r="X102" s="42" t="str">
        <f ca="1"/>
        <v>NA</v>
      </c>
      <c r="Y102" t="str">
        <f ca="1"/>
        <v>Vitthal Bapurao Ghantewad</v>
      </c>
      <c r="Z102" t="str">
        <f ca="1"/>
        <v xml:space="preserve"> R/o  Mokasdara, Tq. Naigaon(Kh), Dist. Nanded. 431709</v>
      </c>
      <c r="AA102" t="str">
        <f ca="1"/>
        <v>Nanded</v>
      </c>
      <c r="AB102" t="str">
        <f ca="1"/>
        <v>NA</v>
      </c>
      <c r="AC102" s="42" t="str">
        <f ca="1"/>
        <v>Completed</v>
      </c>
      <c r="AD102" t="str">
        <f ca="1"/>
        <v>NA</v>
      </c>
      <c r="AE102">
        <f ca="1"/>
        <v>0</v>
      </c>
      <c r="AF102" t="str">
        <f ca="1"/>
        <v>NA</v>
      </c>
      <c r="AG102" s="42" t="str">
        <f ca="1"/>
        <v>Completed</v>
      </c>
      <c r="AH102" t="str">
        <f ca="1"/>
        <v>NA</v>
      </c>
      <c r="AI102" s="42" t="str">
        <f ca="1"/>
        <v>NA</v>
      </c>
      <c r="AJ102" t="str">
        <f ca="1"/>
        <v>NA</v>
      </c>
      <c r="AK102" s="42" t="str">
        <f ca="1"/>
        <v>NA</v>
      </c>
      <c r="AL102" t="str">
        <f ca="1"/>
        <v>NA</v>
      </c>
      <c r="AM102" s="42" t="str">
        <f ca="1"/>
        <v>NA</v>
      </c>
      <c r="AN102" t="str">
        <f ca="1"/>
        <v>NA</v>
      </c>
      <c r="AO102" s="42" t="str">
        <f ca="1"/>
        <v>NA</v>
      </c>
      <c r="AP102" t="str">
        <f ca="1"/>
        <v xml:space="preserve">NA </v>
      </c>
      <c r="AQ102" t="str">
        <f ca="1"/>
        <v>Nanded to Narsi Road, Near Aparma Hotel Narsi Tq. Naigaon(Kh), Dist. Nanded.</v>
      </c>
      <c r="AR102">
        <f ca="1"/>
        <v>0</v>
      </c>
      <c r="AS102" s="42" t="str">
        <f ca="1"/>
        <v>Completed</v>
      </c>
      <c r="AT102" t="str">
        <f ca="1"/>
        <v>0138/2025</v>
      </c>
      <c r="AU102" t="str">
        <f ca="1"/>
        <v>Ramtirth Police Station</v>
      </c>
      <c r="AV102" t="str">
        <f ca="1"/>
        <v>Nanded</v>
      </c>
      <c r="AW102" t="str">
        <f ca="1"/>
        <v>NA</v>
      </c>
      <c r="AX102" s="42" t="str">
        <f ca="1"/>
        <v>WIP</v>
      </c>
      <c r="AY102" t="str">
        <f ca="1"/>
        <v xml:space="preserve">NA </v>
      </c>
      <c r="AZ102">
        <f ca="1"/>
        <v>0</v>
      </c>
      <c r="BA102">
        <f ca="1"/>
        <v>0</v>
      </c>
      <c r="BB102" s="42" t="str">
        <f ca="1"/>
        <v>NA</v>
      </c>
      <c r="BC102">
        <f ca="1"/>
        <v>0</v>
      </c>
      <c r="BD102">
        <f ca="1"/>
        <v>0</v>
      </c>
      <c r="BE102">
        <f ca="1"/>
        <v>0</v>
      </c>
    </row>
    <row r="103" spans="1:57">
      <c r="A103" s="42">
        <f ca="1"/>
        <v>102</v>
      </c>
      <c r="B103" s="42" t="str">
        <f ca="1"/>
        <v>2025209709</v>
      </c>
      <c r="C103" s="42" t="str">
        <f ca="1"/>
        <v>Indusind General Insurance Co Ltd</v>
      </c>
      <c r="D103" s="42" t="str">
        <f ca="1"/>
        <v>MACT</v>
      </c>
      <c r="E103" s="42" t="str">
        <f ca="1"/>
        <v>R001-1102-SS-2025</v>
      </c>
      <c r="F103" s="310">
        <f ca="1"/>
        <v>45980</v>
      </c>
      <c r="G103" s="42" t="str">
        <f ca="1"/>
        <v>Nov-25</v>
      </c>
      <c r="H103" s="312" t="str">
        <f ca="1"/>
        <v>-</v>
      </c>
      <c r="I103" s="42">
        <f ca="1"/>
        <v>0</v>
      </c>
      <c r="J103" s="310">
        <f ca="1"/>
        <v>46022</v>
      </c>
      <c r="K103" s="42">
        <f ca="1"/>
        <v>47</v>
      </c>
      <c r="L103" s="42" t="str">
        <f ca="1"/>
        <v>AT</v>
      </c>
      <c r="M103" s="42" t="str">
        <f ca="1"/>
        <v>Full Case</v>
      </c>
      <c r="N103" s="42" t="str">
        <f ca="1"/>
        <v>Open</v>
      </c>
      <c r="O103" s="42" t="str">
        <f ca="1"/>
        <v>WIP</v>
      </c>
      <c r="P103">
        <f ca="1"/>
        <v>0</v>
      </c>
      <c r="Q103" t="str">
        <f ca="1"/>
        <v xml:space="preserve">Devidas Vitthalrao Zinzade  </v>
      </c>
      <c r="R103" t="str">
        <f ca="1"/>
        <v>R/o. Aniket Nagar, Malegaon road. Taroda
(Kh) Tq. &amp;, Dist. Nanded.</v>
      </c>
      <c r="S103" t="str">
        <f ca="1"/>
        <v>Nanded</v>
      </c>
      <c r="T103" s="314" t="str">
        <f ca="1"/>
        <v>Completed</v>
      </c>
      <c r="U103" t="str">
        <f ca="1"/>
        <v xml:space="preserve">NA </v>
      </c>
      <c r="V103">
        <f ca="1"/>
        <v>0</v>
      </c>
      <c r="W103">
        <f ca="1"/>
        <v>0</v>
      </c>
      <c r="X103" s="42" t="str">
        <f ca="1"/>
        <v>NA</v>
      </c>
      <c r="Y103" t="str">
        <f ca="1"/>
        <v>SHRI SAI TOURS AND TRAVELS  7875002182</v>
      </c>
      <c r="Z103" t="str">
        <f ca="1"/>
        <v xml:space="preserve"> R/o  Degaon, tq. Purna, Distt. Parbhani</v>
      </c>
      <c r="AA103" t="str">
        <f ca="1"/>
        <v>Parbhani</v>
      </c>
      <c r="AB103" t="str">
        <f ca="1"/>
        <v>NA</v>
      </c>
      <c r="AC103" s="42" t="str">
        <f ca="1"/>
        <v>WIP</v>
      </c>
      <c r="AD103" t="str">
        <f ca="1"/>
        <v>NA</v>
      </c>
      <c r="AE103">
        <f ca="1"/>
        <v>0</v>
      </c>
      <c r="AF103" t="str">
        <f ca="1"/>
        <v>NA</v>
      </c>
      <c r="AG103" s="42" t="str">
        <f ca="1"/>
        <v>WIP</v>
      </c>
      <c r="AH103" t="str">
        <f ca="1"/>
        <v>NA</v>
      </c>
      <c r="AI103" s="42" t="str">
        <f ca="1"/>
        <v>NA</v>
      </c>
      <c r="AJ103" t="str">
        <f ca="1"/>
        <v>NA</v>
      </c>
      <c r="AK103" s="42" t="str">
        <f ca="1"/>
        <v>NA</v>
      </c>
      <c r="AL103" t="str">
        <f ca="1"/>
        <v>NA</v>
      </c>
      <c r="AM103" s="42" t="str">
        <f ca="1"/>
        <v>NA</v>
      </c>
      <c r="AN103" t="str">
        <f ca="1"/>
        <v>NA</v>
      </c>
      <c r="AO103" s="42" t="str">
        <f ca="1"/>
        <v>NA</v>
      </c>
      <c r="AP103" t="str">
        <f ca="1"/>
        <v xml:space="preserve">NA </v>
      </c>
      <c r="AQ103" t="str">
        <f ca="1"/>
        <v>Near Limbgaon Bus stand, at. Limbgaon, tq. &amp; Dist. Nanded.</v>
      </c>
      <c r="AR103">
        <f ca="1"/>
        <v>0</v>
      </c>
      <c r="AS103" s="42" t="str">
        <f ca="1"/>
        <v>Completed</v>
      </c>
      <c r="AT103" t="str">
        <f ca="1"/>
        <v>0157/2024</v>
      </c>
      <c r="AU103" t="str">
        <f ca="1"/>
        <v xml:space="preserve"> Limbgaon Police Station</v>
      </c>
      <c r="AV103" t="str">
        <f ca="1"/>
        <v>Nanded</v>
      </c>
      <c r="AW103" t="str">
        <f ca="1"/>
        <v>NA</v>
      </c>
      <c r="AX103" s="42" t="str">
        <f ca="1"/>
        <v>WIP</v>
      </c>
      <c r="AY103" t="str">
        <f ca="1"/>
        <v xml:space="preserve">NA </v>
      </c>
      <c r="AZ103">
        <f ca="1"/>
        <v>0</v>
      </c>
      <c r="BA103">
        <f ca="1"/>
        <v>0</v>
      </c>
      <c r="BB103" s="42" t="str">
        <f ca="1"/>
        <v>NA</v>
      </c>
      <c r="BC103">
        <f ca="1"/>
        <v>0</v>
      </c>
      <c r="BD103">
        <f ca="1"/>
        <v>0</v>
      </c>
      <c r="BE103">
        <f ca="1"/>
        <v>0</v>
      </c>
    </row>
    <row r="104" spans="1:57">
      <c r="A104" s="42">
        <f ca="1"/>
        <v>103</v>
      </c>
      <c r="B104" s="42" t="str">
        <f ca="1"/>
        <v>2025210102</v>
      </c>
      <c r="C104" s="42" t="str">
        <f ca="1"/>
        <v>Indusind General Insurance Co Ltd</v>
      </c>
      <c r="D104" s="42" t="str">
        <f ca="1"/>
        <v>MACT</v>
      </c>
      <c r="E104" s="42" t="str">
        <f ca="1"/>
        <v>R001-1103-SS-2025</v>
      </c>
      <c r="F104" s="310">
        <f ca="1"/>
        <v>45981</v>
      </c>
      <c r="G104" s="42" t="str">
        <f ca="1"/>
        <v>Nov-25</v>
      </c>
      <c r="H104" s="312" t="str">
        <f ca="1"/>
        <v>-</v>
      </c>
      <c r="I104" s="42">
        <f ca="1"/>
        <v>0</v>
      </c>
      <c r="J104" s="310">
        <f ca="1"/>
        <v>46023</v>
      </c>
      <c r="K104" s="42">
        <f ca="1"/>
        <v>46</v>
      </c>
      <c r="L104" s="42" t="str">
        <f ca="1"/>
        <v>AT</v>
      </c>
      <c r="M104" s="42" t="str">
        <f ca="1"/>
        <v>Full Case</v>
      </c>
      <c r="N104" s="42" t="str">
        <f ca="1"/>
        <v>Open</v>
      </c>
      <c r="O104" s="42" t="str">
        <f ca="1"/>
        <v>Pending CS</v>
      </c>
      <c r="P104">
        <f ca="1"/>
        <v>0</v>
      </c>
      <c r="Q104" t="str">
        <f ca="1"/>
        <v>Sindhutai  Kailasrao Deshmukh</v>
      </c>
      <c r="R104" t="str">
        <f ca="1"/>
        <v>R/o Talni, Post Talni, Tq. Hadgaon, District - Nanded</v>
      </c>
      <c r="S104" t="str">
        <f ca="1"/>
        <v>Nanded</v>
      </c>
      <c r="T104" s="314" t="str">
        <f ca="1"/>
        <v>Completed</v>
      </c>
      <c r="U104" t="str">
        <f ca="1"/>
        <v xml:space="preserve">NA </v>
      </c>
      <c r="V104">
        <f ca="1"/>
        <v>0</v>
      </c>
      <c r="W104">
        <f ca="1"/>
        <v>0</v>
      </c>
      <c r="X104" s="42" t="str">
        <f ca="1"/>
        <v>NA</v>
      </c>
      <c r="Y104" t="str">
        <f ca="1"/>
        <v>SHIVAJI DATTA THADKE</v>
      </c>
      <c r="Z104" t="str">
        <f ca="1"/>
        <v>R/o Talni, Post Talni, Tq. Hadgaon, District - Nanded.</v>
      </c>
      <c r="AA104" t="str">
        <f ca="1"/>
        <v>Nanded</v>
      </c>
      <c r="AB104" t="str">
        <f ca="1"/>
        <v>NA</v>
      </c>
      <c r="AC104" s="42" t="str">
        <f ca="1"/>
        <v>Completed</v>
      </c>
      <c r="AD104" t="str">
        <f ca="1"/>
        <v>NA</v>
      </c>
      <c r="AE104">
        <f ca="1"/>
        <v>0</v>
      </c>
      <c r="AF104" t="str">
        <f ca="1"/>
        <v>NA</v>
      </c>
      <c r="AG104" s="42" t="str">
        <f ca="1"/>
        <v>Completed</v>
      </c>
      <c r="AH104" t="str">
        <f ca="1"/>
        <v>NA</v>
      </c>
      <c r="AI104" s="42" t="str">
        <f ca="1"/>
        <v>NA</v>
      </c>
      <c r="AJ104" t="str">
        <f ca="1"/>
        <v>NA</v>
      </c>
      <c r="AK104" s="42" t="str">
        <f ca="1"/>
        <v>NA</v>
      </c>
      <c r="AL104" t="str">
        <f ca="1"/>
        <v>NA</v>
      </c>
      <c r="AM104" s="42" t="str">
        <f ca="1"/>
        <v>NA</v>
      </c>
      <c r="AN104" t="str">
        <f ca="1"/>
        <v>NA</v>
      </c>
      <c r="AO104" s="42" t="str">
        <f ca="1"/>
        <v>NA</v>
      </c>
      <c r="AP104" t="str">
        <f ca="1"/>
        <v xml:space="preserve">NA </v>
      </c>
      <c r="AQ104" t="str">
        <f ca="1"/>
        <v>In the vicinity of Govt. Hospital Vishnupuri Nanded, near the Flyover bridge road.</v>
      </c>
      <c r="AR104">
        <f ca="1"/>
        <v>0</v>
      </c>
      <c r="AS104" s="42" t="str">
        <f ca="1"/>
        <v>Completed</v>
      </c>
      <c r="AT104" t="str">
        <f ca="1"/>
        <v>0052/2025</v>
      </c>
      <c r="AU104" t="str">
        <f ca="1"/>
        <v>Nanded Police Station</v>
      </c>
      <c r="AV104" t="str">
        <f ca="1"/>
        <v>Nanded</v>
      </c>
      <c r="AW104" t="str">
        <f ca="1"/>
        <v>NA</v>
      </c>
      <c r="AX104" s="42" t="str">
        <f ca="1"/>
        <v>WIP</v>
      </c>
      <c r="AY104" t="str">
        <f ca="1"/>
        <v xml:space="preserve">NA </v>
      </c>
      <c r="AZ104">
        <f ca="1"/>
        <v>0</v>
      </c>
      <c r="BA104">
        <f ca="1"/>
        <v>0</v>
      </c>
      <c r="BB104" s="42" t="str">
        <f ca="1"/>
        <v>NA</v>
      </c>
      <c r="BC104">
        <f ca="1"/>
        <v>0</v>
      </c>
      <c r="BD104">
        <f ca="1"/>
        <v>0</v>
      </c>
      <c r="BE104">
        <f ca="1"/>
        <v>0</v>
      </c>
    </row>
    <row r="105" spans="1:57">
      <c r="A105" s="42">
        <f ca="1"/>
        <v>104</v>
      </c>
      <c r="B105" s="42" t="str">
        <f ca="1"/>
        <v>2025212758</v>
      </c>
      <c r="C105" s="42" t="str">
        <f ca="1"/>
        <v>Indusind General Insurance Co Ltd</v>
      </c>
      <c r="D105" s="42" t="str">
        <f ca="1"/>
        <v>MACT</v>
      </c>
      <c r="E105" s="42" t="str">
        <f ca="1"/>
        <v>R001-1104-SS-2025</v>
      </c>
      <c r="F105" s="310">
        <f ca="1"/>
        <v>45981</v>
      </c>
      <c r="G105" s="42" t="str">
        <f ca="1"/>
        <v>Nov-25</v>
      </c>
      <c r="H105" s="312" t="str">
        <f ca="1"/>
        <v>-</v>
      </c>
      <c r="I105" s="42">
        <f ca="1"/>
        <v>0</v>
      </c>
      <c r="J105" s="310">
        <f ca="1"/>
        <v>46023</v>
      </c>
      <c r="K105" s="42">
        <f ca="1"/>
        <v>46</v>
      </c>
      <c r="L105" s="42" t="str">
        <f ca="1"/>
        <v>AT</v>
      </c>
      <c r="M105" s="42" t="str">
        <f ca="1"/>
        <v>Full Case</v>
      </c>
      <c r="N105" s="42" t="str">
        <f ca="1"/>
        <v>Open</v>
      </c>
      <c r="O105" s="42" t="str">
        <f ca="1"/>
        <v>WIP</v>
      </c>
      <c r="P105">
        <f ca="1"/>
        <v>0</v>
      </c>
      <c r="Q105" t="str">
        <f ca="1"/>
        <v>Mrs. Tammu Spouse Sr. Devkaran Gurjar</v>
      </c>
      <c r="R105" t="str">
        <f ca="1"/>
        <v>NA</v>
      </c>
      <c r="S105">
        <f ca="1"/>
        <v>0</v>
      </c>
      <c r="T105" s="314" t="str">
        <f ca="1"/>
        <v>Completed</v>
      </c>
      <c r="U105" t="str">
        <f ca="1"/>
        <v xml:space="preserve">NA </v>
      </c>
      <c r="V105">
        <f ca="1"/>
        <v>0</v>
      </c>
      <c r="W105">
        <f ca="1"/>
        <v>0</v>
      </c>
      <c r="X105" s="42" t="str">
        <f ca="1"/>
        <v>NA</v>
      </c>
      <c r="Y105" t="str">
        <f ca="1"/>
        <v>SHAIKH SAMEER SHAIKH SALEEM</v>
      </c>
      <c r="Z105" t="str">
        <f ca="1"/>
        <v>R/o Colony, Idgarh Road, Digalur Naka Nanded Road, Nanded (Maharashtra) 431604</v>
      </c>
      <c r="AA105" t="str">
        <f ca="1"/>
        <v>Nanded</v>
      </c>
      <c r="AB105" t="str">
        <f ca="1"/>
        <v>NA</v>
      </c>
      <c r="AC105" s="42" t="str">
        <f ca="1"/>
        <v>Completed</v>
      </c>
      <c r="AD105" t="str">
        <f ca="1"/>
        <v>NA</v>
      </c>
      <c r="AE105">
        <f ca="1"/>
        <v>0</v>
      </c>
      <c r="AF105" t="str">
        <f ca="1"/>
        <v>NA</v>
      </c>
      <c r="AG105" s="42" t="str">
        <f ca="1"/>
        <v>WIP</v>
      </c>
      <c r="AH105" t="str">
        <f ca="1"/>
        <v>NA</v>
      </c>
      <c r="AI105" s="42" t="str">
        <f ca="1"/>
        <v>NA</v>
      </c>
      <c r="AJ105" t="str">
        <f ca="1"/>
        <v>NA</v>
      </c>
      <c r="AK105" s="42" t="str">
        <f ca="1"/>
        <v>NA</v>
      </c>
      <c r="AL105" t="str">
        <f ca="1"/>
        <v>NA</v>
      </c>
      <c r="AM105" s="42" t="str">
        <f ca="1"/>
        <v>NA</v>
      </c>
      <c r="AN105" t="str">
        <f ca="1"/>
        <v>NA</v>
      </c>
      <c r="AO105" s="42" t="str">
        <f ca="1"/>
        <v>NA</v>
      </c>
      <c r="AP105" t="str">
        <f ca="1"/>
        <v xml:space="preserve">NA </v>
      </c>
      <c r="AQ105" t="str">
        <f ca="1"/>
        <v>Near Khadegaon on Parmani Road in the border area of ​​Basmat Rural District Hingoli</v>
      </c>
      <c r="AR105">
        <f ca="1"/>
        <v>0</v>
      </c>
      <c r="AS105" s="42" t="str">
        <f ca="1"/>
        <v>Completed</v>
      </c>
      <c r="AT105" t="str">
        <f ca="1"/>
        <v>264/2021</v>
      </c>
      <c r="AU105" t="str">
        <f ca="1"/>
        <v>Hingoli Police Station</v>
      </c>
      <c r="AV105" t="str">
        <f ca="1"/>
        <v>Hingoli</v>
      </c>
      <c r="AW105" t="str">
        <f ca="1"/>
        <v>NA</v>
      </c>
      <c r="AX105" s="42" t="str">
        <f ca="1"/>
        <v>WIP</v>
      </c>
      <c r="AY105" t="str">
        <f ca="1"/>
        <v xml:space="preserve">NA </v>
      </c>
      <c r="AZ105">
        <f ca="1"/>
        <v>0</v>
      </c>
      <c r="BA105">
        <f ca="1"/>
        <v>0</v>
      </c>
      <c r="BB105" s="42" t="str">
        <f ca="1"/>
        <v>NA</v>
      </c>
      <c r="BC105">
        <f ca="1"/>
        <v>0</v>
      </c>
      <c r="BD105">
        <f ca="1"/>
        <v>0</v>
      </c>
      <c r="BE105">
        <f ca="1"/>
        <v>0</v>
      </c>
    </row>
    <row r="106" spans="1:57">
      <c r="A106" s="42">
        <f ca="1"/>
        <v>105</v>
      </c>
      <c r="B106" s="42" t="str">
        <f ca="1"/>
        <v>2025209132</v>
      </c>
      <c r="C106" s="42" t="str">
        <f ca="1"/>
        <v>Indusind General Insurance Co Ltd</v>
      </c>
      <c r="D106" s="42" t="str">
        <f ca="1"/>
        <v>MACT</v>
      </c>
      <c r="E106" s="42" t="str">
        <f ca="1"/>
        <v>R001-1105-SS-2025</v>
      </c>
      <c r="F106" s="310">
        <f ca="1"/>
        <v>45981</v>
      </c>
      <c r="G106" s="42" t="str">
        <f ca="1"/>
        <v>Nov-25</v>
      </c>
      <c r="H106" s="312">
        <f ca="1"/>
        <v>46010</v>
      </c>
      <c r="I106" s="42" t="str">
        <f ca="1"/>
        <v>Dec-25</v>
      </c>
      <c r="J106" s="310" t="str">
        <f ca="1"/>
        <v/>
      </c>
      <c r="K106" s="42">
        <f ca="1"/>
        <v>29</v>
      </c>
      <c r="L106" s="42" t="str">
        <f ca="1"/>
        <v>WT</v>
      </c>
      <c r="M106" s="42" t="str">
        <f ca="1"/>
        <v>Connected Case</v>
      </c>
      <c r="N106" s="42" t="str">
        <f ca="1"/>
        <v>Dispatch</v>
      </c>
      <c r="O106" s="42" t="str">
        <f ca="1"/>
        <v>Completed</v>
      </c>
      <c r="P106" t="str">
        <f ca="1"/>
        <v>Connected - 2025206806</v>
      </c>
      <c r="Q106" t="str">
        <f ca="1"/>
        <v>Subhas Govindrav Pavar  .8087423180</v>
      </c>
      <c r="R106" t="str">
        <f ca="1"/>
        <v>R/o.Pokharni Tq. Dist. Parbhani</v>
      </c>
      <c r="S106" t="str">
        <f ca="1"/>
        <v>Parbhani</v>
      </c>
      <c r="T106" s="314" t="str">
        <f ca="1"/>
        <v>Completed</v>
      </c>
      <c r="U106" t="str">
        <f ca="1"/>
        <v xml:space="preserve">NA </v>
      </c>
      <c r="V106">
        <f ca="1"/>
        <v>0</v>
      </c>
      <c r="W106">
        <f ca="1"/>
        <v>0</v>
      </c>
      <c r="X106" s="42" t="str">
        <f ca="1"/>
        <v>NA</v>
      </c>
      <c r="Y106" t="str">
        <f ca="1"/>
        <v>NITIN VITTHALRAO KAWALE</v>
      </c>
      <c r="Z106">
        <f ca="1"/>
        <v>0</v>
      </c>
      <c r="AA106" t="str">
        <f ca="1"/>
        <v xml:space="preserve">NA </v>
      </c>
      <c r="AB106" t="str">
        <f ca="1"/>
        <v>NA</v>
      </c>
      <c r="AC106" s="42" t="str">
        <f ca="1"/>
        <v>NA</v>
      </c>
      <c r="AD106" t="str">
        <f ca="1"/>
        <v>NA</v>
      </c>
      <c r="AE106">
        <f ca="1"/>
        <v>0</v>
      </c>
      <c r="AF106" t="str">
        <f ca="1"/>
        <v>NA</v>
      </c>
      <c r="AG106" s="42" t="str">
        <f ca="1"/>
        <v>NA</v>
      </c>
      <c r="AH106" t="str">
        <f ca="1"/>
        <v>NA</v>
      </c>
      <c r="AI106" s="42" t="str">
        <f ca="1"/>
        <v>NA</v>
      </c>
      <c r="AJ106" t="str">
        <f ca="1"/>
        <v>NA</v>
      </c>
      <c r="AK106" s="42" t="str">
        <f ca="1"/>
        <v>NA</v>
      </c>
      <c r="AL106" t="str">
        <f ca="1"/>
        <v>NA</v>
      </c>
      <c r="AM106" s="42" t="str">
        <f ca="1"/>
        <v>NA</v>
      </c>
      <c r="AN106" t="str">
        <f ca="1"/>
        <v>NA</v>
      </c>
      <c r="AO106" s="42" t="str">
        <f ca="1"/>
        <v>NA</v>
      </c>
      <c r="AP106" t="str">
        <f ca="1"/>
        <v xml:space="preserve">NA </v>
      </c>
      <c r="AQ106" t="str">
        <f ca="1"/>
        <v>In vicinity of Hatkarwadi T Point, on Parbhani to Sonpeth Road.</v>
      </c>
      <c r="AR106">
        <f ca="1"/>
        <v>0</v>
      </c>
      <c r="AS106" s="42" t="str">
        <f ca="1"/>
        <v>NA</v>
      </c>
      <c r="AT106" t="str">
        <f ca="1"/>
        <v>0412/2023</v>
      </c>
      <c r="AU106" t="str">
        <f ca="1"/>
        <v>Manwat Police Station</v>
      </c>
      <c r="AV106" t="str">
        <f ca="1"/>
        <v>Parbhani</v>
      </c>
      <c r="AW106" t="str">
        <f ca="1"/>
        <v>NA</v>
      </c>
      <c r="AX106" s="42" t="str">
        <f ca="1"/>
        <v>NA</v>
      </c>
      <c r="AY106" t="str">
        <f ca="1"/>
        <v xml:space="preserve">NA </v>
      </c>
      <c r="AZ106">
        <f ca="1"/>
        <v>0</v>
      </c>
      <c r="BA106">
        <f ca="1"/>
        <v>0</v>
      </c>
      <c r="BB106" s="42" t="str">
        <f ca="1"/>
        <v>NA</v>
      </c>
      <c r="BC106">
        <f ca="1"/>
        <v>0</v>
      </c>
      <c r="BD106">
        <f ca="1"/>
        <v>0</v>
      </c>
      <c r="BE106" t="str">
        <f ca="1"/>
        <v>Claimant Part</v>
      </c>
    </row>
    <row r="107" spans="1:57">
      <c r="A107" s="42">
        <f ca="1"/>
        <v>106</v>
      </c>
      <c r="B107" s="42" t="str">
        <f ca="1"/>
        <v>2025209145</v>
      </c>
      <c r="C107" s="42" t="str">
        <f ca="1"/>
        <v>Indusind General Insurance Co Ltd</v>
      </c>
      <c r="D107" s="42" t="str">
        <f ca="1"/>
        <v>MACT</v>
      </c>
      <c r="E107" s="42" t="str">
        <f ca="1"/>
        <v>R001-1106-SS-2025</v>
      </c>
      <c r="F107" s="310">
        <f ca="1"/>
        <v>45981</v>
      </c>
      <c r="G107" s="42" t="str">
        <f ca="1"/>
        <v>Nov-25</v>
      </c>
      <c r="H107" s="312">
        <f ca="1"/>
        <v>46010</v>
      </c>
      <c r="I107" s="42" t="str">
        <f ca="1"/>
        <v>Dec-25</v>
      </c>
      <c r="J107" s="310" t="str">
        <f ca="1"/>
        <v/>
      </c>
      <c r="K107" s="42">
        <f ca="1"/>
        <v>29</v>
      </c>
      <c r="L107" s="42" t="str">
        <f ca="1"/>
        <v>WT</v>
      </c>
      <c r="M107" s="42" t="str">
        <f ca="1"/>
        <v>Connected Case</v>
      </c>
      <c r="N107" s="42" t="str">
        <f ca="1"/>
        <v>Dispatch</v>
      </c>
      <c r="O107" s="42" t="str">
        <f ca="1"/>
        <v>Completed</v>
      </c>
      <c r="P107" t="str">
        <f ca="1"/>
        <v>Connected - 2025206806</v>
      </c>
      <c r="Q107" t="str">
        <f ca="1"/>
        <v>Balasaheb Yallapa Dhotre</v>
      </c>
      <c r="R107" t="str">
        <f ca="1"/>
        <v>R/o.Pokharni Tq. Dist. Parbhani</v>
      </c>
      <c r="S107" t="str">
        <f ca="1"/>
        <v>parbhani</v>
      </c>
      <c r="T107" s="314" t="str">
        <f ca="1"/>
        <v>Completed</v>
      </c>
      <c r="U107" t="str">
        <f ca="1"/>
        <v xml:space="preserve">NA </v>
      </c>
      <c r="V107">
        <f ca="1"/>
        <v>0</v>
      </c>
      <c r="W107">
        <f ca="1"/>
        <v>0</v>
      </c>
      <c r="X107" s="42" t="str">
        <f ca="1"/>
        <v>NA</v>
      </c>
      <c r="Y107" t="str">
        <f ca="1"/>
        <v>NITIN VITTHALRAO KAWALE</v>
      </c>
      <c r="Z107">
        <f ca="1"/>
        <v>0</v>
      </c>
      <c r="AA107" t="str">
        <f ca="1"/>
        <v xml:space="preserve">NA </v>
      </c>
      <c r="AB107" t="str">
        <f ca="1"/>
        <v>NA</v>
      </c>
      <c r="AC107" s="42" t="str">
        <f ca="1"/>
        <v>NA</v>
      </c>
      <c r="AD107" t="str">
        <f ca="1"/>
        <v>NA</v>
      </c>
      <c r="AE107">
        <f ca="1"/>
        <v>0</v>
      </c>
      <c r="AF107" t="str">
        <f ca="1"/>
        <v>NA</v>
      </c>
      <c r="AG107" s="42" t="str">
        <f ca="1"/>
        <v>NA</v>
      </c>
      <c r="AH107" t="str">
        <f ca="1"/>
        <v>NA</v>
      </c>
      <c r="AI107" s="42" t="str">
        <f ca="1"/>
        <v>NA</v>
      </c>
      <c r="AJ107" t="str">
        <f ca="1"/>
        <v>NA</v>
      </c>
      <c r="AK107" s="42" t="str">
        <f ca="1"/>
        <v>NA</v>
      </c>
      <c r="AL107" t="str">
        <f ca="1"/>
        <v>NA</v>
      </c>
      <c r="AM107" s="42" t="str">
        <f ca="1"/>
        <v>NA</v>
      </c>
      <c r="AN107" t="str">
        <f ca="1"/>
        <v>NA</v>
      </c>
      <c r="AO107" s="42" t="str">
        <f ca="1"/>
        <v>NA</v>
      </c>
      <c r="AP107" t="str">
        <f ca="1"/>
        <v xml:space="preserve">NA </v>
      </c>
      <c r="AQ107" t="str">
        <f ca="1"/>
        <v>In vicinity of Hatkarwadi T Point, on Parbhani to Sonpeth Road.</v>
      </c>
      <c r="AR107">
        <f ca="1"/>
        <v>0</v>
      </c>
      <c r="AS107" s="42" t="str">
        <f ca="1"/>
        <v>NA</v>
      </c>
      <c r="AT107" t="str">
        <f ca="1"/>
        <v>0412/2023</v>
      </c>
      <c r="AU107" t="str">
        <f ca="1"/>
        <v>Manwat Police Station</v>
      </c>
      <c r="AV107" t="str">
        <f ca="1"/>
        <v>Parbhani</v>
      </c>
      <c r="AW107" t="str">
        <f ca="1"/>
        <v>NA</v>
      </c>
      <c r="AX107" s="42" t="str">
        <f ca="1"/>
        <v>NA</v>
      </c>
      <c r="AY107" t="str">
        <f ca="1"/>
        <v xml:space="preserve">NA </v>
      </c>
      <c r="AZ107">
        <f ca="1"/>
        <v>0</v>
      </c>
      <c r="BA107">
        <f ca="1"/>
        <v>0</v>
      </c>
      <c r="BB107" s="42" t="str">
        <f ca="1"/>
        <v>NA</v>
      </c>
      <c r="BC107">
        <f ca="1"/>
        <v>0</v>
      </c>
      <c r="BD107">
        <f ca="1"/>
        <v>0</v>
      </c>
      <c r="BE107" t="str">
        <f ca="1"/>
        <v>Claimant Part</v>
      </c>
    </row>
    <row r="108" spans="1:57">
      <c r="A108" s="42">
        <f ca="1"/>
        <v>107</v>
      </c>
      <c r="B108" s="42" t="str">
        <f ca="1"/>
        <v>2025206806</v>
      </c>
      <c r="C108" s="42" t="str">
        <f ca="1"/>
        <v>Indusind General Insurance Co Ltd</v>
      </c>
      <c r="D108" s="42" t="str">
        <f ca="1"/>
        <v>MACT</v>
      </c>
      <c r="E108" s="42" t="str">
        <f ca="1"/>
        <v>R001-1107-SS-2025</v>
      </c>
      <c r="F108" s="310">
        <f ca="1"/>
        <v>45981</v>
      </c>
      <c r="G108" s="42" t="str">
        <f ca="1"/>
        <v>Nov-25</v>
      </c>
      <c r="H108" s="312">
        <f ca="1"/>
        <v>46010</v>
      </c>
      <c r="I108" s="42" t="str">
        <f ca="1"/>
        <v>Dec-25</v>
      </c>
      <c r="J108" s="310">
        <f ca="1"/>
        <v>46023</v>
      </c>
      <c r="K108" s="42">
        <f ca="1"/>
        <v>29</v>
      </c>
      <c r="L108" s="42" t="str">
        <f ca="1"/>
        <v>WT</v>
      </c>
      <c r="M108" s="42" t="str">
        <f ca="1"/>
        <v>Full Case</v>
      </c>
      <c r="N108" s="42" t="str">
        <f ca="1"/>
        <v>Dispatch</v>
      </c>
      <c r="O108" s="42" t="str">
        <f ca="1"/>
        <v>Completed</v>
      </c>
      <c r="P108">
        <f ca="1"/>
        <v>0</v>
      </c>
      <c r="Q108" t="str">
        <f ca="1"/>
        <v>Rukminbai  Balu Dhotare</v>
      </c>
      <c r="R108" t="str">
        <f ca="1"/>
        <v>R/o. Pokharni (N) Tq. Dist. Parbhani.</v>
      </c>
      <c r="S108" t="str">
        <f ca="1"/>
        <v>Parbhani</v>
      </c>
      <c r="T108" s="314" t="str">
        <f ca="1"/>
        <v>Completed</v>
      </c>
      <c r="U108" t="str">
        <f ca="1"/>
        <v xml:space="preserve">NA </v>
      </c>
      <c r="V108" t="str">
        <f ca="1"/>
        <v xml:space="preserve">NA </v>
      </c>
      <c r="W108" t="str">
        <f ca="1"/>
        <v>NA</v>
      </c>
      <c r="X108" s="42" t="str">
        <f ca="1"/>
        <v>NA</v>
      </c>
      <c r="Y108" t="str">
        <f ca="1"/>
        <v>NITIN VITTHALRAO KAWALE</v>
      </c>
      <c r="Z108" t="str">
        <f ca="1"/>
        <v xml:space="preserve"> R/o. Shantiniketan Colony, Gangakhed Road, Parbhani Tq.Dist. Parbhani</v>
      </c>
      <c r="AA108" t="str">
        <f ca="1"/>
        <v>Parbhani</v>
      </c>
      <c r="AB108" t="str">
        <f ca="1"/>
        <v>NA</v>
      </c>
      <c r="AC108" s="42" t="str">
        <f ca="1"/>
        <v>Completed</v>
      </c>
      <c r="AD108" t="str">
        <f ca="1"/>
        <v>NA</v>
      </c>
      <c r="AE108" t="str">
        <f ca="1"/>
        <v>NA</v>
      </c>
      <c r="AF108" t="str">
        <f ca="1"/>
        <v>NA</v>
      </c>
      <c r="AG108" s="42" t="str">
        <f ca="1"/>
        <v>Completed</v>
      </c>
      <c r="AH108" t="str">
        <f ca="1"/>
        <v>NA</v>
      </c>
      <c r="AI108" s="42" t="str">
        <f ca="1"/>
        <v>NA</v>
      </c>
      <c r="AJ108" t="str">
        <f ca="1"/>
        <v>NA</v>
      </c>
      <c r="AK108" s="42" t="str">
        <f ca="1"/>
        <v>NA</v>
      </c>
      <c r="AL108" t="str">
        <f ca="1"/>
        <v>NA</v>
      </c>
      <c r="AM108" s="42" t="str">
        <f ca="1"/>
        <v>NA</v>
      </c>
      <c r="AN108" t="str">
        <f ca="1"/>
        <v>NA</v>
      </c>
      <c r="AO108" s="42" t="str">
        <f ca="1"/>
        <v>NA</v>
      </c>
      <c r="AP108" t="str">
        <f ca="1"/>
        <v xml:space="preserve">NA </v>
      </c>
      <c r="AQ108" t="str">
        <f ca="1"/>
        <v>In vicinity of Hatkarwadi T Point, on Parbhani to Sonpeth Road.</v>
      </c>
      <c r="AR108" t="str">
        <f ca="1"/>
        <v>NA</v>
      </c>
      <c r="AS108" s="42" t="str">
        <f ca="1"/>
        <v>Completed</v>
      </c>
      <c r="AT108" t="str">
        <f ca="1"/>
        <v>0412/2023</v>
      </c>
      <c r="AU108" t="str">
        <f ca="1"/>
        <v>Manwat Police Station</v>
      </c>
      <c r="AV108" t="str">
        <f ca="1"/>
        <v>Parbhani</v>
      </c>
      <c r="AW108" t="str">
        <f ca="1"/>
        <v>NA</v>
      </c>
      <c r="AX108" s="42" t="str">
        <f ca="1"/>
        <v>WIP</v>
      </c>
      <c r="AY108" t="str">
        <f ca="1"/>
        <v xml:space="preserve">NA </v>
      </c>
      <c r="AZ108">
        <f ca="1"/>
        <v>0</v>
      </c>
      <c r="BA108">
        <f ca="1"/>
        <v>0</v>
      </c>
      <c r="BB108" s="42" t="str">
        <f ca="1"/>
        <v>NA</v>
      </c>
      <c r="BC108">
        <f ca="1"/>
        <v>0</v>
      </c>
      <c r="BD108">
        <f ca="1"/>
        <v>0</v>
      </c>
      <c r="BE108" t="str">
        <f ca="1"/>
        <v xml:space="preserve">Claimant Part/ Insured Visit/ Driver/ Spot pending  for Chargesheet </v>
      </c>
    </row>
    <row r="109" spans="1:57">
      <c r="A109" s="42">
        <f ca="1"/>
        <v>108</v>
      </c>
      <c r="B109" s="42" t="str">
        <f ca="1"/>
        <v>2025210434</v>
      </c>
      <c r="C109" s="42" t="str">
        <f ca="1"/>
        <v>Indusind General Insurance Co Ltd</v>
      </c>
      <c r="D109" s="42" t="str">
        <f ca="1"/>
        <v>MACT</v>
      </c>
      <c r="E109" s="42" t="str">
        <f ca="1"/>
        <v>R001-1108-SS-2025</v>
      </c>
      <c r="F109" s="310">
        <f ca="1"/>
        <v>45981</v>
      </c>
      <c r="G109" s="42" t="str">
        <f ca="1"/>
        <v>Nov-25</v>
      </c>
      <c r="H109" s="312">
        <f ca="1"/>
        <v>46013</v>
      </c>
      <c r="I109" s="42" t="str">
        <f ca="1"/>
        <v>Dec-25</v>
      </c>
      <c r="J109" s="310" t="str">
        <f ca="1"/>
        <v/>
      </c>
      <c r="K109" s="42">
        <f ca="1"/>
        <v>32</v>
      </c>
      <c r="L109" s="42" t="str">
        <f ca="1"/>
        <v>AT</v>
      </c>
      <c r="M109" s="42" t="str">
        <f ca="1"/>
        <v>Connected Case</v>
      </c>
      <c r="N109" s="42" t="str">
        <f ca="1"/>
        <v>Dispatch</v>
      </c>
      <c r="O109" s="42" t="str">
        <f ca="1"/>
        <v>Completed</v>
      </c>
      <c r="P109" t="str">
        <f ca="1"/>
        <v>Connected 2025201788</v>
      </c>
      <c r="Q109" t="str">
        <f ca="1"/>
        <v>Aasma Begum  Shaikh Ateeq Bagwan</v>
      </c>
      <c r="R109" t="str">
        <f ca="1"/>
        <v>R/o. Umar Colony, Deglur Naka, Nanded.</v>
      </c>
      <c r="S109" t="str">
        <f ca="1"/>
        <v>Nanded</v>
      </c>
      <c r="T109" s="314" t="str">
        <f ca="1"/>
        <v>Completed</v>
      </c>
      <c r="U109" t="str">
        <f ca="1"/>
        <v xml:space="preserve">NA </v>
      </c>
      <c r="V109">
        <f ca="1"/>
        <v>0</v>
      </c>
      <c r="W109">
        <f ca="1"/>
        <v>0</v>
      </c>
      <c r="X109" s="42" t="str">
        <f ca="1"/>
        <v>NA</v>
      </c>
      <c r="Y109" t="str">
        <f ca="1"/>
        <v xml:space="preserve">NA </v>
      </c>
      <c r="Z109">
        <f ca="1"/>
        <v>0</v>
      </c>
      <c r="AA109" t="str">
        <f ca="1"/>
        <v>NA</v>
      </c>
      <c r="AB109" t="str">
        <f ca="1"/>
        <v>NA</v>
      </c>
      <c r="AC109" s="42" t="str">
        <f ca="1"/>
        <v>Completed</v>
      </c>
      <c r="AD109" t="str">
        <f ca="1"/>
        <v>NA</v>
      </c>
      <c r="AE109">
        <f ca="1"/>
        <v>0</v>
      </c>
      <c r="AF109" t="str">
        <f ca="1"/>
        <v>NA</v>
      </c>
      <c r="AG109" s="42" t="str">
        <f ca="1"/>
        <v>NA</v>
      </c>
      <c r="AH109" t="str">
        <f ca="1"/>
        <v>NA</v>
      </c>
      <c r="AI109" s="42" t="str">
        <f ca="1"/>
        <v>NA</v>
      </c>
      <c r="AJ109" t="str">
        <f ca="1"/>
        <v>NA</v>
      </c>
      <c r="AK109" s="42" t="str">
        <f ca="1"/>
        <v>NA</v>
      </c>
      <c r="AL109" t="str">
        <f ca="1"/>
        <v>NA</v>
      </c>
      <c r="AM109" s="42" t="str">
        <f ca="1"/>
        <v>NA</v>
      </c>
      <c r="AN109" t="str">
        <f ca="1"/>
        <v>NA</v>
      </c>
      <c r="AO109" s="42" t="str">
        <f ca="1"/>
        <v>NA</v>
      </c>
      <c r="AP109" t="str">
        <f ca="1"/>
        <v xml:space="preserve">NA </v>
      </c>
      <c r="AQ109" t="str">
        <f ca="1"/>
        <v>At Nanded Narsi highway near Army Camp,
Kakandi, Tq &amp; Dist.</v>
      </c>
      <c r="AR109">
        <f ca="1"/>
        <v>0</v>
      </c>
      <c r="AS109" s="42" t="str">
        <f ca="1"/>
        <v>NA</v>
      </c>
      <c r="AT109" t="str">
        <f ca="1"/>
        <v>0263/2024</v>
      </c>
      <c r="AU109" t="str">
        <f ca="1"/>
        <v>Nanded Police Station</v>
      </c>
      <c r="AV109" t="str">
        <f ca="1"/>
        <v>Nanded</v>
      </c>
      <c r="AW109" t="str">
        <f ca="1"/>
        <v>NA</v>
      </c>
      <c r="AX109" s="42" t="str">
        <f ca="1"/>
        <v>NA</v>
      </c>
      <c r="AY109" t="str">
        <f ca="1"/>
        <v xml:space="preserve">NA </v>
      </c>
      <c r="AZ109">
        <f ca="1"/>
        <v>0</v>
      </c>
      <c r="BA109">
        <f ca="1"/>
        <v>0</v>
      </c>
      <c r="BB109" s="42" t="str">
        <f ca="1"/>
        <v>NA</v>
      </c>
      <c r="BC109">
        <f ca="1"/>
        <v>0</v>
      </c>
      <c r="BD109">
        <f ca="1"/>
        <v>0</v>
      </c>
      <c r="BE109">
        <f ca="1"/>
        <v>0</v>
      </c>
    </row>
    <row r="110" spans="1:57">
      <c r="A110" s="42">
        <f ca="1"/>
        <v>109</v>
      </c>
      <c r="B110" s="42" t="str">
        <f ca="1"/>
        <v>2025209745</v>
      </c>
      <c r="C110" s="42" t="str">
        <f ca="1"/>
        <v>Indusind General Insurance Co Ltd</v>
      </c>
      <c r="D110" s="42" t="str">
        <f ca="1"/>
        <v>MACT</v>
      </c>
      <c r="E110" s="42" t="str">
        <f ca="1"/>
        <v>R001-1109-SS-2025</v>
      </c>
      <c r="F110" s="310">
        <f ca="1"/>
        <v>45981</v>
      </c>
      <c r="G110" s="42" t="str">
        <f ca="1"/>
        <v>Nov-25</v>
      </c>
      <c r="H110" s="312" t="str">
        <f ca="1"/>
        <v>-</v>
      </c>
      <c r="I110" s="42">
        <f ca="1"/>
        <v>0</v>
      </c>
      <c r="J110" s="310">
        <f ca="1"/>
        <v>46023</v>
      </c>
      <c r="K110" s="42">
        <f ca="1"/>
        <v>46</v>
      </c>
      <c r="L110" s="42" t="str">
        <f ca="1"/>
        <v>AT</v>
      </c>
      <c r="M110" s="42" t="str">
        <f ca="1"/>
        <v>Full Case</v>
      </c>
      <c r="N110" s="42" t="str">
        <f ca="1"/>
        <v>Open</v>
      </c>
      <c r="O110" s="42" t="str">
        <f ca="1"/>
        <v>IR - Wiritng</v>
      </c>
      <c r="P110">
        <f ca="1"/>
        <v>0</v>
      </c>
      <c r="Q110" t="str">
        <f ca="1"/>
        <v>Mohan  Munjaji Kadam</v>
      </c>
      <c r="R110" t="str">
        <f ca="1"/>
        <v>R/o. Pangri Tq. Ardhpur Dist. Nanded.</v>
      </c>
      <c r="S110" t="str">
        <f ca="1"/>
        <v>Nanded</v>
      </c>
      <c r="T110" s="314" t="str">
        <f ca="1"/>
        <v>Completed</v>
      </c>
      <c r="U110" t="str">
        <f ca="1"/>
        <v xml:space="preserve">NA </v>
      </c>
      <c r="V110">
        <f ca="1"/>
        <v>0</v>
      </c>
      <c r="W110">
        <f ca="1"/>
        <v>0</v>
      </c>
      <c r="X110" s="42" t="str">
        <f ca="1"/>
        <v>NA</v>
      </c>
      <c r="Y110" t="str">
        <f ca="1"/>
        <v>Reliance General Ins. Co. Ltd</v>
      </c>
      <c r="Z110" t="str">
        <f ca="1"/>
        <v xml:space="preserve"> Ayodhya Building, 1st Floor, 119, Near Bajaj Nagar Chowk, Behind Akruti Furniture, Bajaj Nagar, Nagpur- 440010.</v>
      </c>
      <c r="AA110" t="str">
        <f ca="1"/>
        <v>Nagpur</v>
      </c>
      <c r="AB110" t="str">
        <f ca="1"/>
        <v>NA</v>
      </c>
      <c r="AC110" s="42" t="str">
        <f ca="1"/>
        <v>NA</v>
      </c>
      <c r="AD110" t="str">
        <f ca="1"/>
        <v>NA</v>
      </c>
      <c r="AE110">
        <f ca="1"/>
        <v>0</v>
      </c>
      <c r="AF110" t="str">
        <f ca="1"/>
        <v>NA</v>
      </c>
      <c r="AG110" s="42" t="str">
        <f ca="1"/>
        <v>NA</v>
      </c>
      <c r="AH110" t="str">
        <f ca="1"/>
        <v>NA</v>
      </c>
      <c r="AI110" s="42" t="str">
        <f ca="1"/>
        <v>NA</v>
      </c>
      <c r="AJ110" t="str">
        <f ca="1"/>
        <v>NA</v>
      </c>
      <c r="AK110" s="42" t="str">
        <f ca="1"/>
        <v>NA</v>
      </c>
      <c r="AL110" t="str">
        <f ca="1"/>
        <v>NA</v>
      </c>
      <c r="AM110" s="42" t="str">
        <f ca="1"/>
        <v>NA</v>
      </c>
      <c r="AN110" t="str">
        <f ca="1"/>
        <v>NA</v>
      </c>
      <c r="AO110" s="42" t="str">
        <f ca="1"/>
        <v>NA</v>
      </c>
      <c r="AP110" t="str">
        <f ca="1"/>
        <v xml:space="preserve">NA </v>
      </c>
      <c r="AQ110" t="str">
        <f ca="1"/>
        <v>Vidul Tq. Umarkhed to Zadgaon.</v>
      </c>
      <c r="AR110">
        <f ca="1"/>
        <v>0</v>
      </c>
      <c r="AS110" s="42" t="str">
        <f ca="1"/>
        <v>Completed</v>
      </c>
      <c r="AT110" t="str">
        <f ca="1"/>
        <v>0034/2024</v>
      </c>
      <c r="AU110" t="str">
        <f ca="1"/>
        <v>Police station Umarkhed</v>
      </c>
      <c r="AV110" t="str">
        <f ca="1"/>
        <v>Umarkhed</v>
      </c>
      <c r="AW110" t="str">
        <f ca="1"/>
        <v>NA</v>
      </c>
      <c r="AX110" s="42" t="str">
        <f ca="1"/>
        <v>NA</v>
      </c>
      <c r="AY110" t="str">
        <f ca="1"/>
        <v xml:space="preserve">NA </v>
      </c>
      <c r="AZ110">
        <f ca="1"/>
        <v>0</v>
      </c>
      <c r="BA110">
        <f ca="1"/>
        <v>0</v>
      </c>
      <c r="BB110" s="42" t="str">
        <f ca="1"/>
        <v>NA</v>
      </c>
      <c r="BC110">
        <f ca="1"/>
        <v>0</v>
      </c>
      <c r="BD110">
        <f ca="1"/>
        <v>0</v>
      </c>
      <c r="BE110">
        <f ca="1"/>
        <v>0</v>
      </c>
    </row>
    <row r="111" spans="1:57">
      <c r="A111" s="42">
        <f ca="1"/>
        <v>110</v>
      </c>
      <c r="B111" s="42" t="str">
        <f ca="1"/>
        <v>2023210048</v>
      </c>
      <c r="C111" s="42" t="str">
        <f ca="1"/>
        <v>Indusind General Insurance Co Ltd</v>
      </c>
      <c r="D111" s="42" t="str">
        <f ca="1"/>
        <v>MACT</v>
      </c>
      <c r="E111" s="42" t="str">
        <f ca="1"/>
        <v>R001-1110-SS-2025</v>
      </c>
      <c r="F111" s="310">
        <f ca="1"/>
        <v>45981</v>
      </c>
      <c r="G111" s="42" t="str">
        <f ca="1"/>
        <v>Nov-25</v>
      </c>
      <c r="H111" s="312" t="str">
        <f ca="1"/>
        <v>-</v>
      </c>
      <c r="I111" s="42">
        <f ca="1"/>
        <v>0</v>
      </c>
      <c r="J111" s="310">
        <f ca="1"/>
        <v>46002</v>
      </c>
      <c r="K111" s="42">
        <f ca="1"/>
        <v>46</v>
      </c>
      <c r="L111" s="42" t="str">
        <f ca="1"/>
        <v>AT</v>
      </c>
      <c r="M111" s="42" t="str">
        <f ca="1"/>
        <v>Partial Case</v>
      </c>
      <c r="N111" s="42" t="str">
        <f ca="1"/>
        <v>Open</v>
      </c>
      <c r="O111" s="42" t="str">
        <f ca="1"/>
        <v>WIP</v>
      </c>
      <c r="P111" t="str">
        <f ca="1"/>
        <v>For Driver Part.</v>
      </c>
      <c r="Q111" t="str">
        <f ca="1"/>
        <v>NA</v>
      </c>
      <c r="R111" t="str">
        <f ca="1"/>
        <v>NA</v>
      </c>
      <c r="S111" t="str">
        <f ca="1"/>
        <v xml:space="preserve">NA </v>
      </c>
      <c r="T111" s="314" t="str">
        <f ca="1"/>
        <v>NA</v>
      </c>
      <c r="U111" t="str">
        <f ca="1"/>
        <v xml:space="preserve">NA </v>
      </c>
      <c r="V111">
        <f ca="1"/>
        <v>0</v>
      </c>
      <c r="W111">
        <f ca="1"/>
        <v>0</v>
      </c>
      <c r="X111" s="42" t="str">
        <f ca="1"/>
        <v>NA</v>
      </c>
      <c r="Y111" t="str">
        <f ca="1"/>
        <v>NA</v>
      </c>
      <c r="Z111" t="str">
        <f ca="1"/>
        <v>NA</v>
      </c>
      <c r="AA111" t="str">
        <f ca="1"/>
        <v xml:space="preserve">NA </v>
      </c>
      <c r="AB111" t="str">
        <f ca="1"/>
        <v>NA</v>
      </c>
      <c r="AC111" s="42" t="str">
        <f ca="1"/>
        <v>NA</v>
      </c>
      <c r="AD111" t="str">
        <f ca="1"/>
        <v>Sangram  Shriram Kumate</v>
      </c>
      <c r="AE111">
        <f ca="1"/>
        <v>0</v>
      </c>
      <c r="AF111" t="str">
        <f ca="1"/>
        <v xml:space="preserve"> R/o. Pangri Tq. Ardhpur Dist. Nanded.</v>
      </c>
      <c r="AG111" s="42" t="str">
        <f ca="1"/>
        <v>WIP</v>
      </c>
      <c r="AH111" t="str">
        <f ca="1"/>
        <v>NA</v>
      </c>
      <c r="AI111" s="42" t="str">
        <f ca="1"/>
        <v>NA</v>
      </c>
      <c r="AJ111" t="str">
        <f ca="1"/>
        <v>NA</v>
      </c>
      <c r="AK111" s="42" t="str">
        <f ca="1"/>
        <v>NA</v>
      </c>
      <c r="AL111" t="str">
        <f ca="1"/>
        <v>NA</v>
      </c>
      <c r="AM111" s="42" t="str">
        <f ca="1"/>
        <v>NA</v>
      </c>
      <c r="AN111" t="str">
        <f ca="1"/>
        <v>NA</v>
      </c>
      <c r="AO111" s="42" t="str">
        <f ca="1"/>
        <v>NA</v>
      </c>
      <c r="AP111" t="str">
        <f ca="1"/>
        <v xml:space="preserve">NA </v>
      </c>
      <c r="AQ111" t="str">
        <f ca="1"/>
        <v xml:space="preserve">NA </v>
      </c>
      <c r="AR111">
        <f ca="1"/>
        <v>0</v>
      </c>
      <c r="AS111" s="42" t="str">
        <f ca="1"/>
        <v>NA</v>
      </c>
      <c r="AT111" t="str">
        <f ca="1"/>
        <v>NA</v>
      </c>
      <c r="AU111" t="str">
        <f ca="1"/>
        <v>NA</v>
      </c>
      <c r="AV111" t="str">
        <f ca="1"/>
        <v>NA</v>
      </c>
      <c r="AW111" t="str">
        <f ca="1"/>
        <v>NA</v>
      </c>
      <c r="AX111" s="42" t="str">
        <f ca="1"/>
        <v>NA</v>
      </c>
      <c r="AY111" t="str">
        <f ca="1"/>
        <v xml:space="preserve">NA </v>
      </c>
      <c r="AZ111">
        <f ca="1"/>
        <v>0</v>
      </c>
      <c r="BA111">
        <f ca="1"/>
        <v>0</v>
      </c>
      <c r="BB111" s="42" t="str">
        <f ca="1"/>
        <v>NA</v>
      </c>
      <c r="BC111">
        <f ca="1"/>
        <v>0</v>
      </c>
      <c r="BD111">
        <f ca="1"/>
        <v>0</v>
      </c>
      <c r="BE111">
        <f ca="1"/>
        <v>0</v>
      </c>
    </row>
    <row r="112" spans="1:57">
      <c r="A112" s="42">
        <f ca="1"/>
        <v>111</v>
      </c>
      <c r="B112" s="42" t="str">
        <f ca="1"/>
        <v>2023202836</v>
      </c>
      <c r="C112" s="42" t="str">
        <f ca="1"/>
        <v>Indusind General Insurance Co Ltd</v>
      </c>
      <c r="D112" s="42" t="str">
        <f ca="1"/>
        <v>MACT</v>
      </c>
      <c r="E112" s="42" t="str">
        <f ca="1"/>
        <v>R001-1111-SS-2025</v>
      </c>
      <c r="F112" s="310">
        <f ca="1"/>
        <v>45981</v>
      </c>
      <c r="G112" s="42" t="str">
        <f ca="1"/>
        <v>Nov-25</v>
      </c>
      <c r="H112" s="312">
        <f ca="1"/>
        <v>46025</v>
      </c>
      <c r="I112" s="42" t="str">
        <f ca="1"/>
        <v>Jan-26</v>
      </c>
      <c r="J112" s="310">
        <f ca="1"/>
        <v>46002</v>
      </c>
      <c r="K112" s="42">
        <f ca="1"/>
        <v>44</v>
      </c>
      <c r="L112" s="42" t="str">
        <f ca="1"/>
        <v>AT</v>
      </c>
      <c r="M112" s="42" t="str">
        <f ca="1"/>
        <v>Partial Case</v>
      </c>
      <c r="N112" s="42" t="str">
        <f ca="1"/>
        <v>STOP</v>
      </c>
      <c r="O112" s="42" t="str">
        <f ca="1"/>
        <v>Completed</v>
      </c>
      <c r="P112">
        <f ca="1"/>
        <v>0</v>
      </c>
      <c r="Q112" t="str">
        <f ca="1"/>
        <v>Manpreet Kaur Jagdeep Singh Sardar.</v>
      </c>
      <c r="R112" t="str">
        <f ca="1"/>
        <v>R/o. Nandigram Society, Beside Water Tank, Nanded.</v>
      </c>
      <c r="S112" t="str">
        <f ca="1"/>
        <v>Nanded</v>
      </c>
      <c r="T112" s="314" t="str">
        <f ca="1"/>
        <v>Completed</v>
      </c>
      <c r="U112" t="str">
        <f ca="1"/>
        <v xml:space="preserve">NA </v>
      </c>
      <c r="V112">
        <f ca="1"/>
        <v>0</v>
      </c>
      <c r="W112">
        <f ca="1"/>
        <v>0</v>
      </c>
      <c r="X112" s="42" t="str">
        <f ca="1"/>
        <v>NA</v>
      </c>
      <c r="Y112" t="str">
        <f ca="1"/>
        <v>Mr.DNYANESHWAR TUKARAM KATKAR</v>
      </c>
      <c r="Z112" t="str">
        <f ca="1"/>
        <v>NA</v>
      </c>
      <c r="AA112" t="str">
        <f ca="1"/>
        <v>NA</v>
      </c>
      <c r="AB112" t="str">
        <f ca="1"/>
        <v>NA</v>
      </c>
      <c r="AC112" s="42" t="str">
        <f ca="1"/>
        <v>NA</v>
      </c>
      <c r="AD112" t="str">
        <f ca="1"/>
        <v>NA</v>
      </c>
      <c r="AE112">
        <f ca="1"/>
        <v>0</v>
      </c>
      <c r="AF112" t="str">
        <f ca="1"/>
        <v>NA</v>
      </c>
      <c r="AG112" s="42" t="str">
        <f ca="1"/>
        <v>NA</v>
      </c>
      <c r="AH112" t="str">
        <f ca="1"/>
        <v>NA</v>
      </c>
      <c r="AI112" s="42" t="str">
        <f ca="1"/>
        <v>NA</v>
      </c>
      <c r="AJ112" t="str">
        <f ca="1"/>
        <v>NA</v>
      </c>
      <c r="AK112" s="42" t="str">
        <f ca="1"/>
        <v>NA</v>
      </c>
      <c r="AL112" t="str">
        <f ca="1"/>
        <v>NA</v>
      </c>
      <c r="AM112" s="42" t="str">
        <f ca="1"/>
        <v>NA</v>
      </c>
      <c r="AN112" t="str">
        <f ca="1"/>
        <v>NA</v>
      </c>
      <c r="AO112" s="42" t="str">
        <f ca="1"/>
        <v>NA</v>
      </c>
      <c r="AP112" t="str">
        <f ca="1"/>
        <v xml:space="preserve">NA </v>
      </c>
      <c r="AQ112" t="str">
        <f ca="1"/>
        <v>Near Hotel Shivakrupa, Kacharewadi, on Sangola - Mangalweda Road.</v>
      </c>
      <c r="AR112">
        <f ca="1"/>
        <v>0</v>
      </c>
      <c r="AS112" s="42" t="str">
        <f ca="1"/>
        <v>NA</v>
      </c>
      <c r="AT112" t="str">
        <f ca="1"/>
        <v>986/2022</v>
      </c>
      <c r="AU112" t="str">
        <f ca="1"/>
        <v>Mangalweda Police Station</v>
      </c>
      <c r="AV112" t="str">
        <f ca="1"/>
        <v>NA</v>
      </c>
      <c r="AW112" t="str">
        <f ca="1"/>
        <v>NA</v>
      </c>
      <c r="AX112" s="42" t="str">
        <f ca="1"/>
        <v>NA</v>
      </c>
      <c r="AY112" t="str">
        <f ca="1"/>
        <v xml:space="preserve">NA </v>
      </c>
      <c r="AZ112">
        <f ca="1"/>
        <v>0</v>
      </c>
      <c r="BA112">
        <f ca="1"/>
        <v>0</v>
      </c>
      <c r="BB112" s="42" t="str">
        <f ca="1"/>
        <v>NA</v>
      </c>
      <c r="BC112">
        <f ca="1"/>
        <v>0</v>
      </c>
      <c r="BD112">
        <f ca="1"/>
        <v>0</v>
      </c>
      <c r="BE112">
        <f ca="1"/>
        <v>0</v>
      </c>
    </row>
    <row r="113" spans="1:57">
      <c r="A113" s="42">
        <f ca="1"/>
        <v>112</v>
      </c>
      <c r="B113" s="42" t="str">
        <f ca="1"/>
        <v>MTP-N-2526-004387</v>
      </c>
      <c r="C113" s="42" t="str">
        <f ca="1"/>
        <v>Generali Central Insurance Company Limited</v>
      </c>
      <c r="D113" s="42" t="str">
        <f ca="1"/>
        <v>MACT</v>
      </c>
      <c r="E113" s="42" t="str">
        <f ca="1"/>
        <v>F001-1112-SS-2025</v>
      </c>
      <c r="F113" s="310">
        <f ca="1"/>
        <v>45981</v>
      </c>
      <c r="G113" s="42" t="str">
        <f ca="1"/>
        <v>Nov-25</v>
      </c>
      <c r="H113" s="312" t="str">
        <f ca="1"/>
        <v>-</v>
      </c>
      <c r="I113" s="42">
        <f ca="1"/>
        <v>0</v>
      </c>
      <c r="J113" s="310">
        <f ca="1"/>
        <v>46023</v>
      </c>
      <c r="K113" s="42">
        <f ca="1"/>
        <v>46</v>
      </c>
      <c r="L113" s="42" t="str">
        <f ca="1"/>
        <v>AT</v>
      </c>
      <c r="M113" s="42" t="str">
        <f ca="1"/>
        <v>Full Case</v>
      </c>
      <c r="N113" s="42" t="str">
        <f ca="1"/>
        <v>Open</v>
      </c>
      <c r="O113" s="42" t="str">
        <f ca="1"/>
        <v>WIP</v>
      </c>
      <c r="P113">
        <f ca="1"/>
        <v>0</v>
      </c>
      <c r="Q113" t="str">
        <f ca="1"/>
        <v>Tejswini Ramdas Salve</v>
      </c>
      <c r="R113" t="str">
        <f ca="1"/>
        <v>R/o Pudli Derya,Tal-Parhir,Dist-Ahilyanagar.</v>
      </c>
      <c r="S113" t="str">
        <f ca="1"/>
        <v>Ahilyanagar</v>
      </c>
      <c r="T113" s="314" t="str">
        <f ca="1"/>
        <v>Completed</v>
      </c>
      <c r="U113" t="str">
        <f ca="1"/>
        <v xml:space="preserve">NA </v>
      </c>
      <c r="V113">
        <f ca="1"/>
        <v>0</v>
      </c>
      <c r="W113">
        <f ca="1"/>
        <v>0</v>
      </c>
      <c r="X113" s="42" t="str">
        <f ca="1"/>
        <v>NA</v>
      </c>
      <c r="Y113" t="str">
        <f ca="1"/>
        <v xml:space="preserve">Ishwar Vishnu Dhawale </v>
      </c>
      <c r="Z113" t="str">
        <f ca="1"/>
        <v>R/o Mandigav Tal-daund,Dist-Pune.</v>
      </c>
      <c r="AA113" t="str">
        <f ca="1"/>
        <v>Pune</v>
      </c>
      <c r="AB113" t="str">
        <f ca="1"/>
        <v>NA</v>
      </c>
      <c r="AC113" s="42" t="str">
        <f ca="1"/>
        <v>Completed</v>
      </c>
      <c r="AD113" t="str">
        <f ca="1"/>
        <v>NA</v>
      </c>
      <c r="AE113">
        <f ca="1"/>
        <v>0</v>
      </c>
      <c r="AF113" t="str">
        <f ca="1"/>
        <v>NA</v>
      </c>
      <c r="AG113" s="42" t="str">
        <f ca="1"/>
        <v>WIP</v>
      </c>
      <c r="AH113" t="str">
        <f ca="1"/>
        <v>Yes</v>
      </c>
      <c r="AI113" s="42" t="str">
        <f ca="1"/>
        <v>WIP</v>
      </c>
      <c r="AJ113" t="str">
        <f ca="1"/>
        <v xml:space="preserve">Yes </v>
      </c>
      <c r="AK113" s="42" t="str">
        <f ca="1"/>
        <v>NA</v>
      </c>
      <c r="AL113" t="str">
        <f ca="1"/>
        <v>NA</v>
      </c>
      <c r="AM113" s="42" t="str">
        <f ca="1"/>
        <v>NA</v>
      </c>
      <c r="AN113" t="str">
        <f ca="1"/>
        <v>NA</v>
      </c>
      <c r="AO113" s="42" t="str">
        <f ca="1"/>
        <v>NA</v>
      </c>
      <c r="AP113" t="str">
        <f ca="1"/>
        <v xml:space="preserve">NA </v>
      </c>
      <c r="AQ113" t="str">
        <f ca="1"/>
        <v>Nagpur to Mumbai Sumruddhi Mahamarg Road.</v>
      </c>
      <c r="AR113">
        <f ca="1"/>
        <v>0</v>
      </c>
      <c r="AS113" s="42" t="str">
        <f ca="1"/>
        <v>WIP</v>
      </c>
      <c r="AT113" t="str">
        <f ca="1"/>
        <v>0316/2025</v>
      </c>
      <c r="AU113" t="str">
        <f ca="1"/>
        <v>Karaja police Station,D-Vashi</v>
      </c>
      <c r="AV113" t="str">
        <f ca="1"/>
        <v>Vashi.</v>
      </c>
      <c r="AW113" t="str">
        <f ca="1"/>
        <v>NA</v>
      </c>
      <c r="AX113" s="42" t="str">
        <f ca="1"/>
        <v>WIP</v>
      </c>
      <c r="AY113" t="str">
        <f ca="1"/>
        <v xml:space="preserve">NA </v>
      </c>
      <c r="AZ113">
        <f ca="1"/>
        <v>0</v>
      </c>
      <c r="BA113">
        <f ca="1"/>
        <v>0</v>
      </c>
      <c r="BB113" s="42" t="str">
        <f ca="1"/>
        <v>NA</v>
      </c>
      <c r="BC113">
        <f ca="1"/>
        <v>0</v>
      </c>
      <c r="BD113">
        <f ca="1"/>
        <v>0</v>
      </c>
      <c r="BE113">
        <f ca="1"/>
        <v>0</v>
      </c>
    </row>
    <row r="114" spans="1:57">
      <c r="A114" s="42">
        <f ca="1"/>
        <v>113</v>
      </c>
      <c r="B114" s="42" t="str">
        <f ca="1"/>
        <v>MTP-N-2526-004507</v>
      </c>
      <c r="C114" s="42" t="str">
        <f ca="1"/>
        <v>Generali Central Insurance Company Limited</v>
      </c>
      <c r="D114" s="42" t="str">
        <f ca="1"/>
        <v>MACT</v>
      </c>
      <c r="E114" s="42" t="str">
        <f ca="1"/>
        <v>F001-1113-SS-2025</v>
      </c>
      <c r="F114" s="310">
        <f ca="1"/>
        <v>45981</v>
      </c>
      <c r="G114" s="42" t="str">
        <f ca="1"/>
        <v>Nov-25</v>
      </c>
      <c r="H114" s="312" t="str">
        <f ca="1"/>
        <v>-</v>
      </c>
      <c r="I114" s="42">
        <f ca="1"/>
        <v>0</v>
      </c>
      <c r="J114" s="310">
        <f ca="1"/>
        <v>46023</v>
      </c>
      <c r="K114" s="42">
        <f ca="1"/>
        <v>46</v>
      </c>
      <c r="L114" s="42" t="str">
        <f ca="1"/>
        <v>AT</v>
      </c>
      <c r="M114" s="42" t="str">
        <f ca="1"/>
        <v>Full Case</v>
      </c>
      <c r="N114" s="42" t="str">
        <f ca="1"/>
        <v>Open</v>
      </c>
      <c r="O114" s="42" t="str">
        <f ca="1"/>
        <v>WIP</v>
      </c>
      <c r="P114">
        <f ca="1"/>
        <v>0</v>
      </c>
      <c r="Q114" t="str">
        <f ca="1"/>
        <v>Kalim Nanhu Shaikh</v>
      </c>
      <c r="R114" t="str">
        <f ca="1"/>
        <v>R/o Daafawadi ,tq,D-Parbhani.</v>
      </c>
      <c r="S114" t="str">
        <f ca="1"/>
        <v>Parbhani</v>
      </c>
      <c r="T114" s="314" t="str">
        <f ca="1"/>
        <v>WIP</v>
      </c>
      <c r="U114" t="str">
        <f ca="1"/>
        <v xml:space="preserve">NA </v>
      </c>
      <c r="V114">
        <f ca="1"/>
        <v>0</v>
      </c>
      <c r="W114">
        <f ca="1"/>
        <v>0</v>
      </c>
      <c r="X114" s="42" t="str">
        <f ca="1"/>
        <v>NA</v>
      </c>
      <c r="Y114" t="str">
        <f ca="1"/>
        <v>Mr.Syed Anis SyedMazhar.</v>
      </c>
      <c r="Z114" t="str">
        <f ca="1"/>
        <v>Near Usufiya Masjid Yusuf Colony,Parbhani .</v>
      </c>
      <c r="AA114" t="str">
        <f ca="1"/>
        <v>Parbhani</v>
      </c>
      <c r="AB114" t="str">
        <f ca="1"/>
        <v>NA</v>
      </c>
      <c r="AC114" s="42" t="str">
        <f ca="1"/>
        <v>WIP</v>
      </c>
      <c r="AD114" t="str">
        <f ca="1"/>
        <v>NA</v>
      </c>
      <c r="AE114">
        <f ca="1"/>
        <v>0</v>
      </c>
      <c r="AF114" t="str">
        <f ca="1"/>
        <v>NA</v>
      </c>
      <c r="AG114" s="42" t="str">
        <f ca="1"/>
        <v>WIP</v>
      </c>
      <c r="AH114" t="str">
        <f ca="1"/>
        <v>Yes</v>
      </c>
      <c r="AI114" s="42" t="str">
        <f ca="1"/>
        <v>WIP</v>
      </c>
      <c r="AJ114" t="str">
        <f ca="1"/>
        <v xml:space="preserve">Yes </v>
      </c>
      <c r="AK114" s="42" t="str">
        <f ca="1"/>
        <v>NA</v>
      </c>
      <c r="AL114" t="str">
        <f ca="1"/>
        <v>NA</v>
      </c>
      <c r="AM114" s="42" t="str">
        <f ca="1"/>
        <v>NA</v>
      </c>
      <c r="AN114" t="str">
        <f ca="1"/>
        <v>NA</v>
      </c>
      <c r="AO114" s="42" t="str">
        <f ca="1"/>
        <v>NA</v>
      </c>
      <c r="AP114" t="str">
        <f ca="1"/>
        <v xml:space="preserve">NA </v>
      </c>
      <c r="AQ114" t="str">
        <f ca="1"/>
        <v>Dhanora Satalu-Kopre AhamadNagar Road,Near VillageDnnura Pati@Within the Justisdiction of Village Kingaon.</v>
      </c>
      <c r="AR114">
        <f ca="1"/>
        <v>0</v>
      </c>
      <c r="AS114" s="42" t="str">
        <f ca="1"/>
        <v>WIP</v>
      </c>
      <c r="AT114" t="str">
        <f ca="1"/>
        <v>092/2025</v>
      </c>
      <c r="AU114" t="str">
        <f ca="1"/>
        <v>Kinggaon Police Station D-Latur.</v>
      </c>
      <c r="AV114" t="str">
        <f ca="1"/>
        <v>Latur</v>
      </c>
      <c r="AW114" t="str">
        <f ca="1"/>
        <v>NA</v>
      </c>
      <c r="AX114" s="42" t="str">
        <f ca="1"/>
        <v>WIP</v>
      </c>
      <c r="AY114" t="str">
        <f ca="1"/>
        <v xml:space="preserve">NA </v>
      </c>
      <c r="AZ114">
        <f ca="1"/>
        <v>0</v>
      </c>
      <c r="BA114">
        <f ca="1"/>
        <v>0</v>
      </c>
      <c r="BB114" s="42" t="str">
        <f ca="1"/>
        <v>NA</v>
      </c>
      <c r="BC114">
        <f ca="1"/>
        <v>0</v>
      </c>
      <c r="BD114">
        <f ca="1"/>
        <v>0</v>
      </c>
      <c r="BE114">
        <f ca="1"/>
        <v>0</v>
      </c>
    </row>
    <row r="115" spans="1:57">
      <c r="A115" s="42">
        <f ca="1"/>
        <v>114</v>
      </c>
      <c r="B115" s="42" t="str">
        <f ca="1"/>
        <v>MTP-N-2526-004327</v>
      </c>
      <c r="C115" s="42" t="str">
        <f ca="1"/>
        <v>Generali Central Insurance Company Limited</v>
      </c>
      <c r="D115" s="42" t="str">
        <f ca="1"/>
        <v>MACT</v>
      </c>
      <c r="E115" s="42" t="str">
        <f ca="1"/>
        <v>F001-1114-SS-2025</v>
      </c>
      <c r="F115" s="310">
        <f ca="1"/>
        <v>45980</v>
      </c>
      <c r="G115" s="42" t="str">
        <f ca="1"/>
        <v>Nov-25</v>
      </c>
      <c r="H115" s="312" t="str">
        <f ca="1"/>
        <v>-</v>
      </c>
      <c r="I115" s="42">
        <f ca="1"/>
        <v>0</v>
      </c>
      <c r="J115" s="310">
        <f ca="1"/>
        <v>46022</v>
      </c>
      <c r="K115" s="42">
        <f ca="1"/>
        <v>47</v>
      </c>
      <c r="L115" s="42" t="str">
        <f ca="1"/>
        <v>AT</v>
      </c>
      <c r="M115" s="42" t="str">
        <f ca="1"/>
        <v>Full Case</v>
      </c>
      <c r="N115" s="42" t="str">
        <f ca="1"/>
        <v>Open</v>
      </c>
      <c r="O115" s="42" t="str">
        <f ca="1"/>
        <v>WIP</v>
      </c>
      <c r="P115">
        <f ca="1"/>
        <v>0</v>
      </c>
      <c r="Q115" t="str">
        <f ca="1"/>
        <v xml:space="preserve">Mr,Suresh Shivaji Kadam </v>
      </c>
      <c r="R115" t="str">
        <f ca="1"/>
        <v>At-Vadval,Post-Dogvat,Tal-Khalapur,D-Raigad.</v>
      </c>
      <c r="S115" t="str">
        <f ca="1"/>
        <v>Raigad</v>
      </c>
      <c r="T115" s="314" t="str">
        <f ca="1"/>
        <v>Completed</v>
      </c>
      <c r="U115" t="str">
        <f ca="1"/>
        <v xml:space="preserve">NA </v>
      </c>
      <c r="V115">
        <f ca="1"/>
        <v>0</v>
      </c>
      <c r="W115">
        <f ca="1"/>
        <v>0</v>
      </c>
      <c r="X115" s="42" t="str">
        <f ca="1"/>
        <v>NA</v>
      </c>
      <c r="Y115" t="str">
        <f ca="1"/>
        <v>Mr,Akshara Narendra Sinh</v>
      </c>
      <c r="Z115" t="str">
        <f ca="1"/>
        <v>A1/32,Runwal Nagar Kolbad, Thane. 400601.</v>
      </c>
      <c r="AA115" t="str">
        <f ca="1"/>
        <v>Thane</v>
      </c>
      <c r="AB115" t="str">
        <f ca="1"/>
        <v>NA</v>
      </c>
      <c r="AC115" s="42" t="str">
        <f ca="1"/>
        <v>Completed</v>
      </c>
      <c r="AD115" t="str">
        <f ca="1"/>
        <v>NA</v>
      </c>
      <c r="AE115">
        <f ca="1"/>
        <v>0</v>
      </c>
      <c r="AF115" t="str">
        <f ca="1"/>
        <v xml:space="preserve">Santosh Shinde </v>
      </c>
      <c r="AG115" s="42" t="str">
        <f ca="1"/>
        <v>Completed</v>
      </c>
      <c r="AH115" t="str">
        <f ca="1"/>
        <v>Yes</v>
      </c>
      <c r="AI115" s="42" t="str">
        <f ca="1"/>
        <v>NA</v>
      </c>
      <c r="AJ115" t="str">
        <f ca="1"/>
        <v xml:space="preserve">Yes </v>
      </c>
      <c r="AK115" s="42" t="str">
        <f ca="1"/>
        <v>NA</v>
      </c>
      <c r="AL115" t="str">
        <f ca="1"/>
        <v>NA</v>
      </c>
      <c r="AM115" s="42" t="str">
        <f ca="1"/>
        <v>NA</v>
      </c>
      <c r="AN115" t="str">
        <f ca="1"/>
        <v>NA</v>
      </c>
      <c r="AO115" s="42" t="str">
        <f ca="1"/>
        <v>NA</v>
      </c>
      <c r="AP115" t="str">
        <f ca="1"/>
        <v xml:space="preserve">NA </v>
      </c>
      <c r="AQ115" t="str">
        <f ca="1"/>
        <v xml:space="preserve">Lonavala Gramin Police Station Pune </v>
      </c>
      <c r="AR115">
        <f ca="1"/>
        <v>0</v>
      </c>
      <c r="AS115" s="42" t="str">
        <f ca="1"/>
        <v>WIP</v>
      </c>
      <c r="AT115" t="str">
        <f ca="1"/>
        <v>0308/2024</v>
      </c>
      <c r="AU115" t="str">
        <f ca="1"/>
        <v xml:space="preserve">Lonavala Police Station </v>
      </c>
      <c r="AV115" t="str">
        <f ca="1"/>
        <v>Pune .Gramin.</v>
      </c>
      <c r="AW115" t="str">
        <f ca="1"/>
        <v>NA</v>
      </c>
      <c r="AX115" s="42" t="str">
        <f ca="1"/>
        <v>STOP</v>
      </c>
      <c r="AY115" t="str">
        <f ca="1"/>
        <v xml:space="preserve">NA </v>
      </c>
      <c r="AZ115">
        <f ca="1"/>
        <v>0</v>
      </c>
      <c r="BA115">
        <f ca="1"/>
        <v>0</v>
      </c>
      <c r="BB115" s="42" t="str">
        <f ca="1"/>
        <v>NA</v>
      </c>
      <c r="BC115">
        <f ca="1"/>
        <v>0</v>
      </c>
      <c r="BD115">
        <f ca="1"/>
        <v>0</v>
      </c>
      <c r="BE115" t="str">
        <f ca="1"/>
        <v>Insured Non Cooprative Pending for Claimant / Driver/ Spot / Chargesheet</v>
      </c>
    </row>
    <row r="116" spans="1:57">
      <c r="A116" s="42">
        <f ca="1"/>
        <v>115</v>
      </c>
      <c r="B116" s="42" t="str">
        <f ca="1"/>
        <v>CM961508</v>
      </c>
      <c r="C116" s="42" t="str">
        <f ca="1"/>
        <v>Generali Central Insurance Company Limited</v>
      </c>
      <c r="D116" s="42" t="str">
        <f ca="1"/>
        <v>MACT</v>
      </c>
      <c r="E116" s="42" t="str">
        <f ca="1"/>
        <v>F001-1115-SS-2025</v>
      </c>
      <c r="F116" s="310">
        <f ca="1"/>
        <v>45981</v>
      </c>
      <c r="G116" s="42" t="str">
        <f ca="1"/>
        <v>Nov-25</v>
      </c>
      <c r="H116" s="312">
        <f ca="1"/>
        <v>45990</v>
      </c>
      <c r="I116" s="42" t="str">
        <f ca="1"/>
        <v>Nov-25</v>
      </c>
      <c r="J116" s="310">
        <f ca="1"/>
        <v>46002</v>
      </c>
      <c r="K116" s="42">
        <f ca="1"/>
        <v>9</v>
      </c>
      <c r="L116" s="42" t="str">
        <f ca="1"/>
        <v>WT</v>
      </c>
      <c r="M116" s="42" t="str">
        <f ca="1"/>
        <v>Partial Case</v>
      </c>
      <c r="N116" s="42" t="str">
        <f ca="1"/>
        <v>Dispatch</v>
      </c>
      <c r="O116" s="42" t="str">
        <f ca="1"/>
        <v>Completed</v>
      </c>
      <c r="P116">
        <f ca="1"/>
        <v>0</v>
      </c>
      <c r="Q116" t="str">
        <f ca="1"/>
        <v>Ashok Kumar Singh</v>
      </c>
      <c r="R116" t="str">
        <f ca="1"/>
        <v>R/o PatelNagar GhataBilodi  Dist -Dhar.</v>
      </c>
      <c r="S116" t="str">
        <f ca="1"/>
        <v>Dhar</v>
      </c>
      <c r="T116" s="314" t="str">
        <f ca="1"/>
        <v>NA</v>
      </c>
      <c r="U116" t="str">
        <f ca="1"/>
        <v>CORPORATE OFFICE :- Opp. 106th Milestone, CTS 2220, Mumbai-Pune Road, Kasarwadi, Pune MH 411034 IN Fax: 68138402 Tel : .91(0)20-68138555 , 020-27145595</v>
      </c>
      <c r="V116">
        <f ca="1"/>
        <v>0</v>
      </c>
      <c r="W116">
        <f ca="1"/>
        <v>0</v>
      </c>
      <c r="X116" s="42" t="str">
        <f ca="1"/>
        <v>Completed</v>
      </c>
      <c r="Y116" t="str">
        <f ca="1"/>
        <v xml:space="preserve">Radheshyam Hariram Chauhan </v>
      </c>
      <c r="Z116" t="str">
        <f ca="1"/>
        <v>Kadampura Thana manpur Tal-Manu Dist-Dhar.</v>
      </c>
      <c r="AA116" t="str">
        <f ca="1"/>
        <v xml:space="preserve">Dhar </v>
      </c>
      <c r="AB116" t="str">
        <f ca="1"/>
        <v>NA</v>
      </c>
      <c r="AC116" s="42" t="str">
        <f ca="1"/>
        <v>NA</v>
      </c>
      <c r="AD116" t="str">
        <f ca="1"/>
        <v>NA</v>
      </c>
      <c r="AE116">
        <f ca="1"/>
        <v>0</v>
      </c>
      <c r="AF116" t="str">
        <f ca="1"/>
        <v>NA</v>
      </c>
      <c r="AG116" s="42" t="str">
        <f ca="1"/>
        <v>NI</v>
      </c>
      <c r="AH116" t="str">
        <f ca="1"/>
        <v>NA</v>
      </c>
      <c r="AI116" s="42" t="str">
        <f ca="1"/>
        <v>NA</v>
      </c>
      <c r="AJ116" t="str">
        <f ca="1"/>
        <v>NA</v>
      </c>
      <c r="AK116" s="42" t="str">
        <f ca="1"/>
        <v>NA</v>
      </c>
      <c r="AL116" t="str">
        <f ca="1"/>
        <v>NA</v>
      </c>
      <c r="AM116" s="42" t="str">
        <f ca="1"/>
        <v>NA</v>
      </c>
      <c r="AN116" t="str">
        <f ca="1"/>
        <v>NA</v>
      </c>
      <c r="AO116" s="42" t="str">
        <f ca="1"/>
        <v>NA</v>
      </c>
      <c r="AP116" t="str">
        <f ca="1"/>
        <v xml:space="preserve">NA </v>
      </c>
      <c r="AQ116" t="str">
        <f ca="1"/>
        <v>Udli Balaji Nagar,Chauhan,Sagor Tal-D-Dhar.</v>
      </c>
      <c r="AR116">
        <f ca="1"/>
        <v>0</v>
      </c>
      <c r="AS116" s="42" t="str">
        <f ca="1"/>
        <v>NA</v>
      </c>
      <c r="AT116" t="str">
        <f ca="1"/>
        <v>065/2024</v>
      </c>
      <c r="AU116" t="str">
        <f ca="1"/>
        <v>Sagor police Station.</v>
      </c>
      <c r="AV116" t="str">
        <f ca="1"/>
        <v>Dhar.</v>
      </c>
      <c r="AW116" t="str">
        <f ca="1"/>
        <v>NA</v>
      </c>
      <c r="AX116" s="42" t="str">
        <f ca="1"/>
        <v>NA</v>
      </c>
      <c r="AY116" t="str">
        <f ca="1"/>
        <v xml:space="preserve">NA </v>
      </c>
      <c r="AZ116">
        <f ca="1"/>
        <v>0</v>
      </c>
      <c r="BA116">
        <f ca="1"/>
        <v>0</v>
      </c>
      <c r="BB116" s="42" t="str">
        <f ca="1"/>
        <v>NA</v>
      </c>
      <c r="BC116">
        <f ca="1"/>
        <v>0</v>
      </c>
      <c r="BD116">
        <f ca="1"/>
        <v>0</v>
      </c>
      <c r="BE116">
        <f ca="1"/>
        <v>0</v>
      </c>
    </row>
    <row r="117" spans="1:57">
      <c r="A117" s="42">
        <f ca="1"/>
        <v>116</v>
      </c>
      <c r="B117" s="42" t="str">
        <f ca="1"/>
        <v>L0016122</v>
      </c>
      <c r="C117" s="42" t="str">
        <f ca="1"/>
        <v>Generali Central Insurance Company Limited</v>
      </c>
      <c r="D117" s="42" t="str">
        <f ca="1"/>
        <v>MACT</v>
      </c>
      <c r="E117" s="42" t="str">
        <f ca="1"/>
        <v>F001-1116-SS-2025</v>
      </c>
      <c r="F117" s="310">
        <f ca="1"/>
        <v>45981</v>
      </c>
      <c r="G117" s="42" t="str">
        <f ca="1"/>
        <v>Nov-25</v>
      </c>
      <c r="H117" s="312">
        <f ca="1"/>
        <v>46017</v>
      </c>
      <c r="I117" s="42" t="str">
        <f ca="1"/>
        <v>Dec-25</v>
      </c>
      <c r="J117" s="310">
        <f ca="1"/>
        <v>46002</v>
      </c>
      <c r="K117" s="42">
        <f ca="1"/>
        <v>36</v>
      </c>
      <c r="L117" s="42" t="str">
        <f ca="1"/>
        <v>AT</v>
      </c>
      <c r="M117" s="42" t="str">
        <f ca="1"/>
        <v>WC Claim</v>
      </c>
      <c r="N117" s="42" t="str">
        <f ca="1"/>
        <v>Dispatch</v>
      </c>
      <c r="O117" s="42" t="str">
        <f ca="1"/>
        <v>Completed</v>
      </c>
      <c r="P117" t="str">
        <f ca="1"/>
        <v>Workman Compentetion</v>
      </c>
      <c r="Q117" t="str">
        <f ca="1"/>
        <v>NA</v>
      </c>
      <c r="R117" t="str">
        <f ca="1"/>
        <v>NA</v>
      </c>
      <c r="S117" t="str">
        <f ca="1"/>
        <v xml:space="preserve">NA </v>
      </c>
      <c r="T117" s="314" t="str">
        <f ca="1"/>
        <v>WIP</v>
      </c>
      <c r="U117" t="str">
        <f ca="1"/>
        <v xml:space="preserve">NA </v>
      </c>
      <c r="V117">
        <f ca="1"/>
        <v>0</v>
      </c>
      <c r="W117">
        <f ca="1"/>
        <v>0</v>
      </c>
      <c r="X117" s="42" t="str">
        <f ca="1"/>
        <v>NA</v>
      </c>
      <c r="Y117" t="str">
        <f ca="1"/>
        <v>Supreme BuildCon,</v>
      </c>
      <c r="Z117" t="str">
        <f ca="1"/>
        <v>AD-Royal HeriTage Sector,13 plot No,106 Spine Road, Pune.</v>
      </c>
      <c r="AA117" t="str">
        <f ca="1"/>
        <v>Pune</v>
      </c>
      <c r="AB117" t="str">
        <f ca="1"/>
        <v>NA</v>
      </c>
      <c r="AC117" s="42" t="str">
        <f ca="1"/>
        <v>Completed</v>
      </c>
      <c r="AD117" t="str">
        <f ca="1"/>
        <v>NA</v>
      </c>
      <c r="AE117">
        <f ca="1"/>
        <v>0</v>
      </c>
      <c r="AF117" t="str">
        <f ca="1"/>
        <v>NA</v>
      </c>
      <c r="AG117" s="42" t="str">
        <f ca="1"/>
        <v>Completed</v>
      </c>
      <c r="AH117" t="str">
        <f ca="1"/>
        <v>NA</v>
      </c>
      <c r="AI117" s="42" t="str">
        <f ca="1"/>
        <v>NA</v>
      </c>
      <c r="AJ117" t="str">
        <f ca="1"/>
        <v>NA</v>
      </c>
      <c r="AK117" s="42" t="str">
        <f ca="1"/>
        <v>NA</v>
      </c>
      <c r="AL117" t="str">
        <f ca="1"/>
        <v>NA</v>
      </c>
      <c r="AM117" s="42" t="str">
        <f ca="1"/>
        <v>NA</v>
      </c>
      <c r="AN117" t="str">
        <f ca="1"/>
        <v>NA</v>
      </c>
      <c r="AO117" s="42" t="str">
        <f ca="1"/>
        <v>NA</v>
      </c>
      <c r="AP117" t="str">
        <f ca="1"/>
        <v xml:space="preserve">NA </v>
      </c>
      <c r="AQ117" t="str">
        <f ca="1"/>
        <v>NA</v>
      </c>
      <c r="AR117">
        <f ca="1"/>
        <v>0</v>
      </c>
      <c r="AS117" s="42" t="str">
        <f ca="1"/>
        <v>Completed</v>
      </c>
      <c r="AT117" t="str">
        <f ca="1"/>
        <v>NA</v>
      </c>
      <c r="AU117" t="str">
        <f ca="1"/>
        <v>NA</v>
      </c>
      <c r="AV117" t="str">
        <f ca="1"/>
        <v>NA</v>
      </c>
      <c r="AW117" t="str">
        <f ca="1"/>
        <v>NA</v>
      </c>
      <c r="AX117" s="42" t="str">
        <f ca="1"/>
        <v>Completed</v>
      </c>
      <c r="AY117" t="str">
        <f ca="1"/>
        <v xml:space="preserve">NA </v>
      </c>
      <c r="AZ117">
        <f ca="1"/>
        <v>0</v>
      </c>
      <c r="BA117">
        <f ca="1"/>
        <v>0</v>
      </c>
      <c r="BB117" s="42" t="str">
        <f ca="1"/>
        <v>NA</v>
      </c>
      <c r="BC117">
        <f ca="1"/>
        <v>0</v>
      </c>
      <c r="BD117">
        <f ca="1"/>
        <v>0</v>
      </c>
      <c r="BE117">
        <f ca="1"/>
        <v>0</v>
      </c>
    </row>
    <row r="118" spans="1:57">
      <c r="A118" s="42">
        <f ca="1"/>
        <v>117</v>
      </c>
      <c r="B118" s="42" t="str">
        <f ca="1"/>
        <v>2002429</v>
      </c>
      <c r="C118" s="42" t="str">
        <f ca="1"/>
        <v>SBI General Insurance Company Ltd</v>
      </c>
      <c r="D118" s="42" t="str">
        <f ca="1"/>
        <v>MACT</v>
      </c>
      <c r="E118" s="42" t="str">
        <f ca="1"/>
        <v>S002-1117-SS-2025</v>
      </c>
      <c r="F118" s="310">
        <f ca="1"/>
        <v>45981</v>
      </c>
      <c r="G118" s="42" t="str">
        <f ca="1"/>
        <v>Nov-25</v>
      </c>
      <c r="H118" s="312" t="str">
        <f ca="1"/>
        <v>-</v>
      </c>
      <c r="I118" s="42">
        <f ca="1"/>
        <v>0</v>
      </c>
      <c r="J118" s="310">
        <f ca="1"/>
        <v>46023</v>
      </c>
      <c r="K118" s="42">
        <f ca="1"/>
        <v>46</v>
      </c>
      <c r="L118" s="42" t="str">
        <f ca="1"/>
        <v>AT</v>
      </c>
      <c r="M118" s="42" t="str">
        <f ca="1"/>
        <v>Full Case</v>
      </c>
      <c r="N118" s="42" t="str">
        <f ca="1"/>
        <v>Open</v>
      </c>
      <c r="O118" s="42" t="str">
        <f ca="1"/>
        <v>WIP</v>
      </c>
      <c r="P118">
        <f ca="1"/>
        <v>0</v>
      </c>
      <c r="Q118" t="str">
        <f ca="1"/>
        <v xml:space="preserve">Aniket Subhash Bhardwaj </v>
      </c>
      <c r="R118" t="str">
        <f ca="1"/>
        <v>R/o ROOM N,01 Dj 05 Chawal,Near LokprisenSabeGaon ,Diva-Thane.</v>
      </c>
      <c r="S118" t="str">
        <f ca="1"/>
        <v>Thane</v>
      </c>
      <c r="T118" s="314" t="str">
        <f ca="1"/>
        <v>Completed</v>
      </c>
      <c r="U118" t="str">
        <f ca="1"/>
        <v xml:space="preserve">NA </v>
      </c>
      <c r="V118">
        <f ca="1"/>
        <v>0</v>
      </c>
      <c r="W118">
        <f ca="1"/>
        <v>0</v>
      </c>
      <c r="X118" s="42" t="str">
        <f ca="1"/>
        <v>NA</v>
      </c>
      <c r="Y118" t="str">
        <f ca="1"/>
        <v>BEharulka Shankarlal Rebari .</v>
      </c>
      <c r="Z118" t="str">
        <f ca="1"/>
        <v>R/o Room n.1104,11th floor,Imperial Tower,A2 Bldg Nirmal Nagar , Thane.</v>
      </c>
      <c r="AA118" t="str">
        <f ca="1"/>
        <v>Thane</v>
      </c>
      <c r="AB118" t="str">
        <f ca="1"/>
        <v>NA</v>
      </c>
      <c r="AC118" s="42" t="str">
        <f ca="1"/>
        <v>Completed</v>
      </c>
      <c r="AD118" t="str">
        <f ca="1"/>
        <v>NA</v>
      </c>
      <c r="AE118">
        <f ca="1"/>
        <v>0</v>
      </c>
      <c r="AF118" t="str">
        <f ca="1"/>
        <v>NA</v>
      </c>
      <c r="AG118" s="42" t="str">
        <f ca="1"/>
        <v>NA</v>
      </c>
      <c r="AH118" t="str">
        <f ca="1"/>
        <v>NA</v>
      </c>
      <c r="AI118" s="42" t="str">
        <f ca="1"/>
        <v>NA</v>
      </c>
      <c r="AJ118" t="str">
        <f ca="1"/>
        <v>NA</v>
      </c>
      <c r="AK118" s="42" t="str">
        <f ca="1"/>
        <v>NA</v>
      </c>
      <c r="AL118" t="str">
        <f ca="1"/>
        <v>NA</v>
      </c>
      <c r="AM118" s="42" t="str">
        <f ca="1"/>
        <v>NA</v>
      </c>
      <c r="AN118" t="str">
        <f ca="1"/>
        <v>NA</v>
      </c>
      <c r="AO118" s="42" t="str">
        <f ca="1"/>
        <v>NA</v>
      </c>
      <c r="AP118" t="str">
        <f ca="1"/>
        <v xml:space="preserve">NA </v>
      </c>
      <c r="AQ118" t="str">
        <f ca="1"/>
        <v>Shil-Diaghar Thane City</v>
      </c>
      <c r="AR118">
        <f ca="1"/>
        <v>0</v>
      </c>
      <c r="AS118" s="42" t="str">
        <f ca="1"/>
        <v>Completed</v>
      </c>
      <c r="AT118" t="str">
        <f ca="1"/>
        <v>018/2025</v>
      </c>
      <c r="AU118" t="str">
        <f ca="1"/>
        <v>Diaghar police Station.</v>
      </c>
      <c r="AV118" t="str">
        <f ca="1"/>
        <v xml:space="preserve">Thane </v>
      </c>
      <c r="AW118" t="str">
        <f ca="1"/>
        <v>NA</v>
      </c>
      <c r="AX118" s="42" t="str">
        <f ca="1"/>
        <v>NI</v>
      </c>
      <c r="AY118" t="str">
        <f ca="1"/>
        <v xml:space="preserve">NA </v>
      </c>
      <c r="AZ118">
        <f ca="1"/>
        <v>0</v>
      </c>
      <c r="BA118">
        <f ca="1"/>
        <v>0</v>
      </c>
      <c r="BB118" s="42" t="str">
        <f ca="1"/>
        <v>NA</v>
      </c>
      <c r="BC118">
        <f ca="1"/>
        <v>0</v>
      </c>
      <c r="BD118">
        <f ca="1"/>
        <v>0</v>
      </c>
      <c r="BE118" t="str">
        <f ca="1"/>
        <v>Claimant and Insured Part Done - During the verification, it was found that the insured has shifted from the another location. When we asked  for the contact number and new address of the insured, he refused to share any information.    Peding for Driver / SPot Hospital and CS</v>
      </c>
    </row>
    <row r="119" spans="1:57">
      <c r="A119" s="42">
        <f ca="1"/>
        <v>118</v>
      </c>
      <c r="B119" s="42" t="str">
        <f ca="1"/>
        <v>2745855</v>
      </c>
      <c r="C119" s="42" t="str">
        <f ca="1"/>
        <v>SBI General Insurance Company Ltd</v>
      </c>
      <c r="D119" s="42" t="str">
        <f ca="1"/>
        <v>MACT</v>
      </c>
      <c r="E119" s="42" t="str">
        <f ca="1"/>
        <v>S002-1118-SS-2025</v>
      </c>
      <c r="F119" s="310">
        <f ca="1"/>
        <v>45981</v>
      </c>
      <c r="G119" s="42" t="str">
        <f ca="1"/>
        <v>Nov-25</v>
      </c>
      <c r="H119" s="312" t="str">
        <f ca="1"/>
        <v>-</v>
      </c>
      <c r="I119" s="42">
        <f ca="1"/>
        <v>0</v>
      </c>
      <c r="J119" s="310">
        <f ca="1"/>
        <v>46023</v>
      </c>
      <c r="K119" s="42">
        <f ca="1"/>
        <v>46</v>
      </c>
      <c r="L119" s="42" t="str">
        <f ca="1"/>
        <v>AT</v>
      </c>
      <c r="M119" s="42" t="str">
        <f ca="1"/>
        <v>Full Case</v>
      </c>
      <c r="N119" s="42" t="str">
        <f ca="1"/>
        <v>Open</v>
      </c>
      <c r="O119" s="42" t="str">
        <f ca="1"/>
        <v>Pending CS</v>
      </c>
      <c r="P119">
        <f ca="1"/>
        <v>0</v>
      </c>
      <c r="Q119" t="str">
        <f ca="1"/>
        <v>Virendra Harkhu Pandit</v>
      </c>
      <c r="R119" t="str">
        <f ca="1"/>
        <v>R/o  A302, Shweta Appartment, 3rd Floor, Golavli Gaon Marathi School Dombivli east, Kalyan, Thane, Maharashtra 421203</v>
      </c>
      <c r="S119" t="str">
        <f ca="1"/>
        <v>Thane</v>
      </c>
      <c r="T119" s="314" t="str">
        <f ca="1"/>
        <v>Completed</v>
      </c>
      <c r="U119" t="str">
        <f ca="1"/>
        <v xml:space="preserve">NA </v>
      </c>
      <c r="V119">
        <f ca="1"/>
        <v>0</v>
      </c>
      <c r="W119">
        <f ca="1"/>
        <v>0</v>
      </c>
      <c r="X119" s="42" t="str">
        <f ca="1"/>
        <v>NA</v>
      </c>
      <c r="Y119" t="str">
        <f ca="1"/>
        <v>Patil Kiran Subhash</v>
      </c>
      <c r="Z119" t="str">
        <f ca="1"/>
        <v>Plot No. At Nevali PO Mangrul, Kalyan,
Ambernath, Maharashtra 421301</v>
      </c>
      <c r="AA119" t="str">
        <f ca="1"/>
        <v>Thane</v>
      </c>
      <c r="AB119" t="str">
        <f ca="1"/>
        <v>NA</v>
      </c>
      <c r="AC119" s="42" t="str">
        <f ca="1"/>
        <v>Completed</v>
      </c>
      <c r="AD119" t="str">
        <f ca="1"/>
        <v>NA</v>
      </c>
      <c r="AE119">
        <f ca="1"/>
        <v>0</v>
      </c>
      <c r="AF119" t="str">
        <f ca="1"/>
        <v>NA</v>
      </c>
      <c r="AG119" s="42" t="str">
        <f ca="1"/>
        <v>NA</v>
      </c>
      <c r="AH119" t="str">
        <f ca="1"/>
        <v>NA</v>
      </c>
      <c r="AI119" s="42" t="str">
        <f ca="1"/>
        <v>NA</v>
      </c>
      <c r="AJ119" t="str">
        <f ca="1"/>
        <v>NA</v>
      </c>
      <c r="AK119" s="42" t="str">
        <f ca="1"/>
        <v>NA</v>
      </c>
      <c r="AL119" t="str">
        <f ca="1"/>
        <v>NA</v>
      </c>
      <c r="AM119" s="42" t="str">
        <f ca="1"/>
        <v>NA</v>
      </c>
      <c r="AN119" t="str">
        <f ca="1"/>
        <v>NA</v>
      </c>
      <c r="AO119" s="42" t="str">
        <f ca="1"/>
        <v>NA</v>
      </c>
      <c r="AP119" t="str">
        <f ca="1"/>
        <v xml:space="preserve">NA </v>
      </c>
      <c r="AQ119" t="str">
        <f ca="1"/>
        <v xml:space="preserve"> Kalyan Shilphata Road, Viko naka, Dombivli</v>
      </c>
      <c r="AR119">
        <f ca="1"/>
        <v>0</v>
      </c>
      <c r="AS119" s="42" t="str">
        <f ca="1"/>
        <v>Completed</v>
      </c>
      <c r="AT119" t="str">
        <f ca="1"/>
        <v>1105/2024</v>
      </c>
      <c r="AU119" t="str">
        <f ca="1"/>
        <v>Manpada Police Station</v>
      </c>
      <c r="AV119" t="str">
        <f ca="1"/>
        <v xml:space="preserve">Thane </v>
      </c>
      <c r="AW119" t="str">
        <f ca="1"/>
        <v>NA</v>
      </c>
      <c r="AX119" s="42" t="str">
        <f ca="1"/>
        <v>NI</v>
      </c>
      <c r="AY119" t="str">
        <f ca="1"/>
        <v xml:space="preserve">NA </v>
      </c>
      <c r="AZ119">
        <f ca="1"/>
        <v>0</v>
      </c>
      <c r="BA119">
        <f ca="1"/>
        <v>0</v>
      </c>
      <c r="BB119" s="42" t="str">
        <f ca="1"/>
        <v>NA</v>
      </c>
      <c r="BC119">
        <f ca="1"/>
        <v>0</v>
      </c>
      <c r="BD119">
        <f ca="1"/>
        <v>0</v>
      </c>
      <c r="BE119">
        <f ca="1"/>
        <v>0</v>
      </c>
    </row>
    <row r="120" spans="1:57">
      <c r="A120" s="42">
        <f ca="1"/>
        <v>119</v>
      </c>
      <c r="B120" s="42" t="str">
        <f ca="1"/>
        <v>2748309</v>
      </c>
      <c r="C120" s="42" t="str">
        <f ca="1"/>
        <v>SBI General Insurance Company Ltd</v>
      </c>
      <c r="D120" s="42" t="str">
        <f ca="1"/>
        <v>MACT</v>
      </c>
      <c r="E120" s="42" t="str">
        <f ca="1"/>
        <v>S002-1119-SS-2025</v>
      </c>
      <c r="F120" s="310">
        <f ca="1"/>
        <v>45981</v>
      </c>
      <c r="G120" s="42" t="str">
        <f ca="1"/>
        <v>Nov-25</v>
      </c>
      <c r="H120" s="312" t="str">
        <f ca="1"/>
        <v>-</v>
      </c>
      <c r="I120" s="42">
        <f ca="1"/>
        <v>0</v>
      </c>
      <c r="J120" s="310" t="str">
        <f ca="1"/>
        <v/>
      </c>
      <c r="K120" s="42">
        <f ca="1"/>
        <v>46</v>
      </c>
      <c r="L120" s="42" t="str">
        <f ca="1"/>
        <v>AT</v>
      </c>
      <c r="M120" s="42" t="str">
        <f ca="1"/>
        <v>Connected Case</v>
      </c>
      <c r="N120" s="42" t="str">
        <f ca="1"/>
        <v>Open</v>
      </c>
      <c r="O120" s="42" t="str">
        <f ca="1"/>
        <v>Connected Pending</v>
      </c>
      <c r="P120" t="str">
        <f ca="1"/>
        <v>2748311 Connectd</v>
      </c>
      <c r="Q120" t="str">
        <f ca="1"/>
        <v>Gorakhnath Pappu Yadav</v>
      </c>
      <c r="R120" t="str">
        <f ca="1"/>
        <v>R/o ,308/ 'B' Wing, Nav Arunodaya
Near to Padmaja Hospital, Bhayander (E)</v>
      </c>
      <c r="S120" t="str">
        <f ca="1"/>
        <v>Mumbai</v>
      </c>
      <c r="T120" s="314" t="str">
        <f ca="1"/>
        <v>Completed</v>
      </c>
      <c r="U120" t="str">
        <f ca="1"/>
        <v xml:space="preserve">NA </v>
      </c>
      <c r="V120">
        <f ca="1"/>
        <v>0</v>
      </c>
      <c r="W120">
        <f ca="1"/>
        <v>0</v>
      </c>
      <c r="X120" s="42" t="str">
        <f ca="1"/>
        <v>NA</v>
      </c>
      <c r="Y120" t="str">
        <f ca="1"/>
        <v>Hanoj ​​Viraf Jungalwala</v>
      </c>
      <c r="Z120" t="str">
        <f ca="1"/>
        <v>R/o Shafna Logistic, Plot No. 100, Mahadev Nagar Tabular Pensama At Post Chalthan, Baroli - 394305</v>
      </c>
      <c r="AA120" t="str">
        <f ca="1"/>
        <v>NA</v>
      </c>
      <c r="AB120" t="str">
        <f ca="1"/>
        <v>NA</v>
      </c>
      <c r="AC120" s="42" t="str">
        <f ca="1"/>
        <v>NA</v>
      </c>
      <c r="AD120" t="str">
        <f ca="1"/>
        <v>NA</v>
      </c>
      <c r="AE120">
        <f ca="1"/>
        <v>0</v>
      </c>
      <c r="AF120" t="str">
        <f ca="1"/>
        <v>NA</v>
      </c>
      <c r="AG120" s="42" t="str">
        <f ca="1"/>
        <v>NA</v>
      </c>
      <c r="AH120" t="str">
        <f ca="1"/>
        <v>NA</v>
      </c>
      <c r="AI120" s="42" t="str">
        <f ca="1"/>
        <v>NA</v>
      </c>
      <c r="AJ120" t="str">
        <f ca="1"/>
        <v>NA</v>
      </c>
      <c r="AK120" s="42" t="str">
        <f ca="1"/>
        <v>NA</v>
      </c>
      <c r="AL120" t="str">
        <f ca="1"/>
        <v>NA</v>
      </c>
      <c r="AM120" s="42" t="str">
        <f ca="1"/>
        <v>NA</v>
      </c>
      <c r="AN120" t="str">
        <f ca="1"/>
        <v>NA</v>
      </c>
      <c r="AO120" s="42" t="str">
        <f ca="1"/>
        <v>NA</v>
      </c>
      <c r="AP120" t="str">
        <f ca="1"/>
        <v xml:space="preserve">NA </v>
      </c>
      <c r="AQ120" t="str">
        <f ca="1"/>
        <v>On western Express Highway near to Gokul Anand Hotal, Dahisar, Mumbai.</v>
      </c>
      <c r="AR120">
        <f ca="1"/>
        <v>0</v>
      </c>
      <c r="AS120" s="42" t="str">
        <f ca="1"/>
        <v>NA</v>
      </c>
      <c r="AT120" t="str">
        <f ca="1"/>
        <v>0892/2025</v>
      </c>
      <c r="AU120" t="str">
        <f ca="1"/>
        <v>Dahisar Police Station</v>
      </c>
      <c r="AV120" t="str">
        <f ca="1"/>
        <v>Mumbai</v>
      </c>
      <c r="AW120" t="str">
        <f ca="1"/>
        <v>NA</v>
      </c>
      <c r="AX120" s="42" t="str">
        <f ca="1"/>
        <v>NA</v>
      </c>
      <c r="AY120" t="str">
        <f ca="1"/>
        <v xml:space="preserve">NA </v>
      </c>
      <c r="AZ120">
        <f ca="1"/>
        <v>0</v>
      </c>
      <c r="BA120">
        <f ca="1"/>
        <v>0</v>
      </c>
      <c r="BB120" s="42" t="str">
        <f ca="1"/>
        <v>NA</v>
      </c>
      <c r="BC120">
        <f ca="1"/>
        <v>0</v>
      </c>
      <c r="BD120">
        <f ca="1"/>
        <v>0</v>
      </c>
      <c r="BE120" t="str">
        <f ca="1"/>
        <v>claimant Part Pending for Spot and CS</v>
      </c>
    </row>
    <row r="121" spans="1:57">
      <c r="A121" s="42">
        <f ca="1"/>
        <v>120</v>
      </c>
      <c r="B121" s="42" t="str">
        <f ca="1"/>
        <v>2748311</v>
      </c>
      <c r="C121" s="42" t="str">
        <f ca="1"/>
        <v>SBI General Insurance Company Ltd</v>
      </c>
      <c r="D121" s="42" t="str">
        <f ca="1"/>
        <v>MACT</v>
      </c>
      <c r="E121" s="42" t="str">
        <f ca="1"/>
        <v>S002-1120-SS-2025</v>
      </c>
      <c r="F121" s="310">
        <f ca="1"/>
        <v>45981</v>
      </c>
      <c r="G121" s="42" t="str">
        <f ca="1"/>
        <v>Nov-25</v>
      </c>
      <c r="H121" s="312" t="str">
        <f ca="1"/>
        <v>-</v>
      </c>
      <c r="I121" s="42">
        <f ca="1"/>
        <v>0</v>
      </c>
      <c r="J121" s="310">
        <f ca="1"/>
        <v>46023</v>
      </c>
      <c r="K121" s="42">
        <f ca="1"/>
        <v>46</v>
      </c>
      <c r="L121" s="42" t="str">
        <f ca="1"/>
        <v>AT</v>
      </c>
      <c r="M121" s="42" t="str">
        <f ca="1"/>
        <v>Full Case</v>
      </c>
      <c r="N121" s="42" t="str">
        <f ca="1"/>
        <v>Open</v>
      </c>
      <c r="O121" s="42" t="str">
        <f ca="1"/>
        <v>WIP</v>
      </c>
      <c r="P121">
        <f ca="1"/>
        <v>0</v>
      </c>
      <c r="Q121" t="str">
        <f ca="1"/>
        <v>Ramesh Rambali Yadav   9619370663</v>
      </c>
      <c r="R121" t="str">
        <f ca="1"/>
        <v>R/o ,308/ 'B' Wing, Nav Arunodaya
Near to Padmaja Hospital, Bhayander (E)</v>
      </c>
      <c r="S121" t="str">
        <f ca="1"/>
        <v>Mumbai</v>
      </c>
      <c r="T121" s="314" t="str">
        <f ca="1"/>
        <v>Completed</v>
      </c>
      <c r="U121" t="str">
        <f ca="1"/>
        <v xml:space="preserve">NA </v>
      </c>
      <c r="V121">
        <f ca="1"/>
        <v>0</v>
      </c>
      <c r="W121">
        <f ca="1"/>
        <v>0</v>
      </c>
      <c r="X121" s="42" t="str">
        <f ca="1"/>
        <v>NA</v>
      </c>
      <c r="Y121" t="str">
        <f ca="1"/>
        <v>Hanoj ​​Viraf Jungalwala</v>
      </c>
      <c r="Z121" t="str">
        <f ca="1"/>
        <v>R/o Shafna Logistic, Plot No. 100, Mahadev Nagar Tabular Pensama At Post Chalthan, Baroli - 394305</v>
      </c>
      <c r="AA121" t="str">
        <f ca="1"/>
        <v>NA</v>
      </c>
      <c r="AB121" t="str">
        <f ca="1"/>
        <v>NA</v>
      </c>
      <c r="AC121" s="42" t="str">
        <f ca="1"/>
        <v>NI</v>
      </c>
      <c r="AD121" t="str">
        <f ca="1"/>
        <v>NA</v>
      </c>
      <c r="AE121">
        <f ca="1"/>
        <v>0</v>
      </c>
      <c r="AF121" t="str">
        <f ca="1"/>
        <v>NA</v>
      </c>
      <c r="AG121" s="42" t="str">
        <f ca="1"/>
        <v>NI</v>
      </c>
      <c r="AH121" t="str">
        <f ca="1"/>
        <v>NA</v>
      </c>
      <c r="AI121" s="42" t="str">
        <f ca="1"/>
        <v>NA</v>
      </c>
      <c r="AJ121" t="str">
        <f ca="1"/>
        <v>NA</v>
      </c>
      <c r="AK121" s="42" t="str">
        <f ca="1"/>
        <v>NA</v>
      </c>
      <c r="AL121" t="str">
        <f ca="1"/>
        <v>NA</v>
      </c>
      <c r="AM121" s="42" t="str">
        <f ca="1"/>
        <v>NA</v>
      </c>
      <c r="AN121" t="str">
        <f ca="1"/>
        <v>NA</v>
      </c>
      <c r="AO121" s="42" t="str">
        <f ca="1"/>
        <v>NA</v>
      </c>
      <c r="AP121" t="str">
        <f ca="1"/>
        <v xml:space="preserve">NA </v>
      </c>
      <c r="AQ121" t="str">
        <f ca="1"/>
        <v>On western Express Highway near to Gokul Anand Hotal, Dahisar, Mumbai.</v>
      </c>
      <c r="AR121">
        <f ca="1"/>
        <v>0</v>
      </c>
      <c r="AS121" s="42" t="str">
        <f ca="1"/>
        <v>NI</v>
      </c>
      <c r="AT121" t="str">
        <f ca="1"/>
        <v>0892/2025</v>
      </c>
      <c r="AU121" t="str">
        <f ca="1"/>
        <v>Dahisar Police Station</v>
      </c>
      <c r="AV121" t="str">
        <f ca="1"/>
        <v>Mumbai</v>
      </c>
      <c r="AW121" t="str">
        <f ca="1"/>
        <v>NA</v>
      </c>
      <c r="AX121" s="42" t="str">
        <f ca="1"/>
        <v>NI</v>
      </c>
      <c r="AY121" t="str">
        <f ca="1"/>
        <v xml:space="preserve">NA </v>
      </c>
      <c r="AZ121">
        <f ca="1"/>
        <v>0</v>
      </c>
      <c r="BA121">
        <f ca="1"/>
        <v>0</v>
      </c>
      <c r="BB121" s="42" t="str">
        <f ca="1"/>
        <v>NA</v>
      </c>
      <c r="BC121">
        <f ca="1"/>
        <v>0</v>
      </c>
      <c r="BD121">
        <f ca="1"/>
        <v>0</v>
      </c>
      <c r="BE121" t="str">
        <f ca="1"/>
        <v>Claimant Part</v>
      </c>
    </row>
    <row r="122" spans="1:57">
      <c r="A122" s="42">
        <f ca="1"/>
        <v>121</v>
      </c>
      <c r="B122" s="42" t="str">
        <f ca="1"/>
        <v>2748142</v>
      </c>
      <c r="C122" s="42" t="str">
        <f ca="1"/>
        <v>SBI General Insurance Company Ltd</v>
      </c>
      <c r="D122" s="42" t="str">
        <f ca="1"/>
        <v>MACT</v>
      </c>
      <c r="E122" s="42" t="str">
        <f ca="1"/>
        <v>S002-1121-SS-2025</v>
      </c>
      <c r="F122" s="310">
        <f ca="1"/>
        <v>45981</v>
      </c>
      <c r="G122" s="42" t="str">
        <f ca="1"/>
        <v>Nov-25</v>
      </c>
      <c r="H122" s="312" t="str">
        <f ca="1"/>
        <v>-</v>
      </c>
      <c r="I122" s="42">
        <f ca="1"/>
        <v>0</v>
      </c>
      <c r="J122" s="310">
        <f ca="1"/>
        <v>46023</v>
      </c>
      <c r="K122" s="42">
        <f ca="1"/>
        <v>46</v>
      </c>
      <c r="L122" s="42" t="str">
        <f ca="1"/>
        <v>AT</v>
      </c>
      <c r="M122" s="42" t="str">
        <f ca="1"/>
        <v>Full Case</v>
      </c>
      <c r="N122" s="42" t="str">
        <f ca="1"/>
        <v>Open</v>
      </c>
      <c r="O122" s="42" t="str">
        <f ca="1"/>
        <v>WIP</v>
      </c>
      <c r="P122">
        <f ca="1"/>
        <v>0</v>
      </c>
      <c r="Q122" t="str">
        <f ca="1"/>
        <v>Vira Ram ji Vaga ram ji</v>
      </c>
      <c r="R122" t="str">
        <f ca="1"/>
        <v>R/o  B-10, Parle Colony, Behind Kishore Punjab Hotel, Sahar Road, Vile parle (east) Mumbai - 400057</v>
      </c>
      <c r="S122" t="str">
        <f ca="1"/>
        <v>Mumbai</v>
      </c>
      <c r="T122" s="314" t="str">
        <f ca="1"/>
        <v>Completed</v>
      </c>
      <c r="U122" t="str">
        <f ca="1"/>
        <v xml:space="preserve">NA </v>
      </c>
      <c r="V122">
        <f ca="1"/>
        <v>0</v>
      </c>
      <c r="W122">
        <f ca="1"/>
        <v>0</v>
      </c>
      <c r="X122" s="42" t="str">
        <f ca="1"/>
        <v>NA</v>
      </c>
      <c r="Y122" t="str">
        <f ca="1"/>
        <v>Sunrise Enterprises /Prop. Abdul Rauf Shaikh</v>
      </c>
      <c r="Z122" t="str">
        <f ca="1"/>
        <v>R/o ADJ To Room No.2703, Shop No.02}
Chawl 170, Group 8A, Tagore Nagar, Vikharoli (East) Mumbai - 400083</v>
      </c>
      <c r="AA122" t="str">
        <f ca="1"/>
        <v>Mumbai</v>
      </c>
      <c r="AB122" t="str">
        <f ca="1"/>
        <v>NA</v>
      </c>
      <c r="AC122" s="42" t="str">
        <f ca="1"/>
        <v>Completed</v>
      </c>
      <c r="AD122" t="str">
        <f ca="1"/>
        <v>NA</v>
      </c>
      <c r="AE122">
        <f ca="1"/>
        <v>0</v>
      </c>
      <c r="AF122" t="str">
        <f ca="1"/>
        <v>NA</v>
      </c>
      <c r="AG122" s="42" t="str">
        <f ca="1"/>
        <v>WIP</v>
      </c>
      <c r="AH122" t="str">
        <f ca="1"/>
        <v>NA</v>
      </c>
      <c r="AI122" s="42" t="str">
        <f ca="1"/>
        <v>NA</v>
      </c>
      <c r="AJ122" t="str">
        <f ca="1"/>
        <v>NA</v>
      </c>
      <c r="AK122" s="42" t="str">
        <f ca="1"/>
        <v>NA</v>
      </c>
      <c r="AL122" t="str">
        <f ca="1"/>
        <v>NA</v>
      </c>
      <c r="AM122" s="42" t="str">
        <f ca="1"/>
        <v>NA</v>
      </c>
      <c r="AN122" t="str">
        <f ca="1"/>
        <v>NA</v>
      </c>
      <c r="AO122" s="42" t="str">
        <f ca="1"/>
        <v>NA</v>
      </c>
      <c r="AP122" t="str">
        <f ca="1"/>
        <v xml:space="preserve">NA </v>
      </c>
      <c r="AQ122" t="str">
        <f ca="1"/>
        <v>On B.K.C Road, Kanakia Paris Building
Bandra (east) Mumbai.</v>
      </c>
      <c r="AR122">
        <f ca="1"/>
        <v>0</v>
      </c>
      <c r="AS122" s="42" t="str">
        <f ca="1"/>
        <v>Completed</v>
      </c>
      <c r="AT122" t="str">
        <f ca="1"/>
        <v>0326/2025</v>
      </c>
      <c r="AU122" t="str">
        <f ca="1"/>
        <v>Kherwadi Police Station</v>
      </c>
      <c r="AV122" t="str">
        <f ca="1"/>
        <v>Mumbai</v>
      </c>
      <c r="AW122" t="str">
        <f ca="1"/>
        <v>NA</v>
      </c>
      <c r="AX122" s="42" t="str">
        <f ca="1"/>
        <v>WIP</v>
      </c>
      <c r="AY122" t="str">
        <f ca="1"/>
        <v xml:space="preserve">NA </v>
      </c>
      <c r="AZ122">
        <f ca="1"/>
        <v>0</v>
      </c>
      <c r="BA122">
        <f ca="1"/>
        <v>0</v>
      </c>
      <c r="BB122" s="42" t="str">
        <f ca="1"/>
        <v>NA</v>
      </c>
      <c r="BC122">
        <f ca="1"/>
        <v>0</v>
      </c>
      <c r="BD122">
        <f ca="1"/>
        <v>0</v>
      </c>
      <c r="BE122" t="str">
        <f ca="1"/>
        <v>Claimant / Spot/ Insured Non cooprative  pending for Driver and CS</v>
      </c>
    </row>
    <row r="123" spans="1:57">
      <c r="A123" s="42">
        <f ca="1"/>
        <v>122</v>
      </c>
      <c r="B123" s="42" t="str">
        <f ca="1"/>
        <v>2025212933</v>
      </c>
      <c r="C123" s="42" t="str">
        <f ca="1"/>
        <v>Indusind General Insurance Co Ltd</v>
      </c>
      <c r="D123" s="42" t="str">
        <f ca="1"/>
        <v>MACT</v>
      </c>
      <c r="E123" s="42" t="str">
        <f ca="1"/>
        <v>R001-1122-SS-2025</v>
      </c>
      <c r="F123" s="310">
        <f ca="1"/>
        <v>45984</v>
      </c>
      <c r="G123" s="42" t="str">
        <f ca="1"/>
        <v>Nov-25</v>
      </c>
      <c r="H123" s="312" t="str">
        <f ca="1"/>
        <v>-</v>
      </c>
      <c r="I123" s="42">
        <f ca="1"/>
        <v>0</v>
      </c>
      <c r="J123" s="310">
        <f ca="1"/>
        <v>46024</v>
      </c>
      <c r="K123" s="42">
        <f ca="1"/>
        <v>43</v>
      </c>
      <c r="L123" s="42" t="str">
        <f ca="1"/>
        <v>AT</v>
      </c>
      <c r="M123" s="42" t="str">
        <f ca="1"/>
        <v>Full Case</v>
      </c>
      <c r="N123" s="42" t="str">
        <f ca="1"/>
        <v>Open</v>
      </c>
      <c r="O123" s="42" t="str">
        <f ca="1"/>
        <v>WIP</v>
      </c>
      <c r="P123">
        <f ca="1"/>
        <v>0</v>
      </c>
      <c r="Q123" t="str">
        <f ca="1"/>
        <v>Balaji Puna Rathod</v>
      </c>
      <c r="R123" t="str">
        <f ca="1"/>
        <v xml:space="preserve">R/o Sangvi Tanda Tq. Ahemadpur, At present Near Hanuman Mandir, Ring Road, 5 No. Chowk, Latur, Tq. &amp; Dist. Latur.
</v>
      </c>
      <c r="S123" t="str">
        <f ca="1"/>
        <v>Latur</v>
      </c>
      <c r="T123" s="314" t="str">
        <f ca="1"/>
        <v>WIP</v>
      </c>
      <c r="U123" t="str">
        <f ca="1"/>
        <v xml:space="preserve">NA </v>
      </c>
      <c r="V123">
        <f ca="1"/>
        <v>0</v>
      </c>
      <c r="W123">
        <f ca="1"/>
        <v>0</v>
      </c>
      <c r="X123" s="42" t="str">
        <f ca="1"/>
        <v>NA</v>
      </c>
      <c r="Y123" t="str">
        <f ca="1"/>
        <v>Keshav  Shripati Rathod</v>
      </c>
      <c r="Z123" t="str">
        <f ca="1"/>
        <v xml:space="preserve"> R/o FattunaikTanda Banvas, Tq. Pallam Dist. Parbhani.</v>
      </c>
      <c r="AA123" t="str">
        <f ca="1"/>
        <v>Parbhani</v>
      </c>
      <c r="AB123" t="str">
        <f ca="1"/>
        <v>NA</v>
      </c>
      <c r="AC123" s="42" t="str">
        <f ca="1"/>
        <v>WIP</v>
      </c>
      <c r="AD123" t="str">
        <f ca="1"/>
        <v>NA</v>
      </c>
      <c r="AE123">
        <f ca="1"/>
        <v>0</v>
      </c>
      <c r="AF123" t="str">
        <f ca="1"/>
        <v>NA</v>
      </c>
      <c r="AG123" s="42" t="str">
        <f ca="1"/>
        <v>WIP</v>
      </c>
      <c r="AH123" t="str">
        <f ca="1"/>
        <v>NA</v>
      </c>
      <c r="AI123" s="42" t="str">
        <f ca="1"/>
        <v>NA</v>
      </c>
      <c r="AJ123" t="str">
        <f ca="1"/>
        <v>NA</v>
      </c>
      <c r="AK123" s="42" t="str">
        <f ca="1"/>
        <v>NA</v>
      </c>
      <c r="AL123" t="str">
        <f ca="1"/>
        <v>NA</v>
      </c>
      <c r="AM123" s="42" t="str">
        <f ca="1"/>
        <v>NA</v>
      </c>
      <c r="AN123" t="str">
        <f ca="1"/>
        <v>NA</v>
      </c>
      <c r="AO123" s="42" t="str">
        <f ca="1"/>
        <v>NA</v>
      </c>
      <c r="AP123" t="str">
        <f ca="1"/>
        <v xml:space="preserve">NA </v>
      </c>
      <c r="AQ123" t="str">
        <f ca="1"/>
        <v>On the Premises of siddhi sugar factory ujana tq.Ahemadpur, Dist.Latur</v>
      </c>
      <c r="AR123">
        <f ca="1"/>
        <v>0</v>
      </c>
      <c r="AS123" s="42" t="str">
        <f ca="1"/>
        <v>WIP</v>
      </c>
      <c r="AT123" t="str">
        <f ca="1"/>
        <v>0072/2023</v>
      </c>
      <c r="AU123" t="str">
        <f ca="1"/>
        <v>Kingaon Police Station</v>
      </c>
      <c r="AV123" t="str">
        <f ca="1"/>
        <v>Latur</v>
      </c>
      <c r="AW123" t="str">
        <f ca="1"/>
        <v>NA</v>
      </c>
      <c r="AX123" s="42" t="str">
        <f ca="1"/>
        <v>Completed</v>
      </c>
      <c r="AY123" t="str">
        <f ca="1"/>
        <v xml:space="preserve">NA </v>
      </c>
      <c r="AZ123">
        <f ca="1"/>
        <v>0</v>
      </c>
      <c r="BA123">
        <f ca="1"/>
        <v>0</v>
      </c>
      <c r="BB123" s="42" t="str">
        <f ca="1"/>
        <v>NA</v>
      </c>
      <c r="BC123">
        <f ca="1"/>
        <v>0</v>
      </c>
      <c r="BD123">
        <f ca="1"/>
        <v>0</v>
      </c>
      <c r="BE123">
        <f ca="1"/>
        <v>0</v>
      </c>
    </row>
    <row r="124" spans="1:57">
      <c r="A124" s="42">
        <f ca="1"/>
        <v>123</v>
      </c>
      <c r="B124" s="42" t="str">
        <f ca="1"/>
        <v>2025210107</v>
      </c>
      <c r="C124" s="42" t="str">
        <f ca="1"/>
        <v>Indusind General Insurance Co Ltd</v>
      </c>
      <c r="D124" s="42" t="str">
        <f ca="1"/>
        <v>MACT</v>
      </c>
      <c r="E124" s="42" t="str">
        <f ca="1"/>
        <v>R001-1123-SS-2025</v>
      </c>
      <c r="F124" s="310">
        <f ca="1"/>
        <v>45984</v>
      </c>
      <c r="G124" s="42" t="str">
        <f ca="1"/>
        <v>Nov-25</v>
      </c>
      <c r="H124" s="312" t="str">
        <f ca="1"/>
        <v>-</v>
      </c>
      <c r="I124" s="42">
        <f ca="1"/>
        <v>0</v>
      </c>
      <c r="J124" s="310">
        <f ca="1"/>
        <v>46003</v>
      </c>
      <c r="K124" s="42">
        <f ca="1"/>
        <v>43</v>
      </c>
      <c r="L124" s="42" t="str">
        <f ca="1"/>
        <v>AT</v>
      </c>
      <c r="M124" s="42" t="str">
        <f ca="1"/>
        <v>Partial Case</v>
      </c>
      <c r="N124" s="42" t="str">
        <f ca="1"/>
        <v>Open</v>
      </c>
      <c r="O124" s="42" t="str">
        <f ca="1"/>
        <v>WIP</v>
      </c>
      <c r="P124" t="str">
        <f ca="1"/>
        <v>Required Permit extract from RTO</v>
      </c>
      <c r="Q124" t="str">
        <f ca="1"/>
        <v>NA</v>
      </c>
      <c r="R124" t="str">
        <f ca="1"/>
        <v>NA</v>
      </c>
      <c r="S124" t="str">
        <f ca="1"/>
        <v>NA</v>
      </c>
      <c r="T124" s="314" t="str">
        <f ca="1"/>
        <v>NA</v>
      </c>
      <c r="U124" t="str">
        <f ca="1"/>
        <v xml:space="preserve">NA </v>
      </c>
      <c r="V124">
        <f ca="1"/>
        <v>0</v>
      </c>
      <c r="W124">
        <f ca="1"/>
        <v>0</v>
      </c>
      <c r="X124" s="42" t="str">
        <f ca="1"/>
        <v>NA</v>
      </c>
      <c r="Y124" t="str">
        <f ca="1"/>
        <v>NA</v>
      </c>
      <c r="Z124" t="str">
        <f ca="1"/>
        <v>NA</v>
      </c>
      <c r="AA124" t="str">
        <f ca="1"/>
        <v>NA</v>
      </c>
      <c r="AB124" t="str">
        <f ca="1"/>
        <v>NA</v>
      </c>
      <c r="AC124" s="42" t="str">
        <f ca="1"/>
        <v>NA</v>
      </c>
      <c r="AD124" t="str">
        <f ca="1"/>
        <v>NA</v>
      </c>
      <c r="AE124">
        <f ca="1"/>
        <v>0</v>
      </c>
      <c r="AF124" t="str">
        <f ca="1"/>
        <v>NA</v>
      </c>
      <c r="AG124" s="42" t="str">
        <f ca="1"/>
        <v>NA</v>
      </c>
      <c r="AH124" t="str">
        <f ca="1"/>
        <v>NA</v>
      </c>
      <c r="AI124" s="42" t="str">
        <f ca="1"/>
        <v>NA</v>
      </c>
      <c r="AJ124" t="str">
        <f ca="1"/>
        <v>NA</v>
      </c>
      <c r="AK124" s="42" t="str">
        <f ca="1"/>
        <v>NA</v>
      </c>
      <c r="AL124" t="str">
        <f ca="1"/>
        <v xml:space="preserve">Yes </v>
      </c>
      <c r="AM124" s="42" t="str">
        <f ca="1"/>
        <v>WIP</v>
      </c>
      <c r="AN124" t="str">
        <f ca="1"/>
        <v>NA</v>
      </c>
      <c r="AO124" s="42" t="str">
        <f ca="1"/>
        <v>NA</v>
      </c>
      <c r="AP124" t="str">
        <f ca="1"/>
        <v xml:space="preserve">NA </v>
      </c>
      <c r="AQ124" t="str">
        <f ca="1"/>
        <v>On the Premises of siddhi sugar factory ujana tq.Ahemadpur, Dist.Latur</v>
      </c>
      <c r="AR124">
        <f ca="1"/>
        <v>0</v>
      </c>
      <c r="AS124" s="42" t="str">
        <f ca="1"/>
        <v>NA</v>
      </c>
      <c r="AT124" t="str">
        <f ca="1"/>
        <v>0072/2023</v>
      </c>
      <c r="AU124" t="str">
        <f ca="1"/>
        <v>Kingaon Police Station</v>
      </c>
      <c r="AV124" t="str">
        <f ca="1"/>
        <v>Latur</v>
      </c>
      <c r="AW124" t="str">
        <f ca="1"/>
        <v>NA</v>
      </c>
      <c r="AX124" s="42" t="str">
        <f ca="1"/>
        <v>NA</v>
      </c>
      <c r="AY124" t="str">
        <f ca="1"/>
        <v xml:space="preserve">NA </v>
      </c>
      <c r="AZ124">
        <f ca="1"/>
        <v>0</v>
      </c>
      <c r="BA124">
        <f ca="1"/>
        <v>0</v>
      </c>
      <c r="BB124" s="42" t="str">
        <f ca="1"/>
        <v>NA</v>
      </c>
      <c r="BC124">
        <f ca="1"/>
        <v>0</v>
      </c>
      <c r="BD124">
        <f ca="1"/>
        <v>0</v>
      </c>
      <c r="BE124">
        <f ca="1"/>
        <v>0</v>
      </c>
    </row>
    <row r="125" spans="1:57">
      <c r="A125" s="42">
        <f ca="1"/>
        <v>124</v>
      </c>
      <c r="B125" s="42" t="str">
        <f ca="1"/>
        <v>2022213651</v>
      </c>
      <c r="C125" s="42" t="str">
        <f ca="1"/>
        <v>Indusind General Insurance Co Ltd</v>
      </c>
      <c r="D125" s="42" t="str">
        <f ca="1"/>
        <v>MACT</v>
      </c>
      <c r="E125" s="42" t="str">
        <f ca="1"/>
        <v>R001-1124-SS-2025</v>
      </c>
      <c r="F125" s="310">
        <f ca="1"/>
        <v>45985</v>
      </c>
      <c r="G125" s="42" t="str">
        <f ca="1"/>
        <v>Nov-25</v>
      </c>
      <c r="H125" s="312" t="str">
        <f ca="1"/>
        <v>-</v>
      </c>
      <c r="I125" s="42">
        <f ca="1"/>
        <v>0</v>
      </c>
      <c r="J125" s="310">
        <f ca="1"/>
        <v>46006</v>
      </c>
      <c r="K125" s="42">
        <f ca="1"/>
        <v>42</v>
      </c>
      <c r="L125" s="42" t="str">
        <f ca="1"/>
        <v>AT</v>
      </c>
      <c r="M125" s="42" t="str">
        <f ca="1"/>
        <v>Partial Case</v>
      </c>
      <c r="N125" s="42" t="str">
        <f ca="1"/>
        <v>Open</v>
      </c>
      <c r="O125" s="42" t="str">
        <f ca="1"/>
        <v>Pending CS</v>
      </c>
      <c r="P125" t="str">
        <f ca="1"/>
        <v>Procure complete charge sheet</v>
      </c>
      <c r="Q125" t="str">
        <f ca="1"/>
        <v>NA</v>
      </c>
      <c r="R125" t="str">
        <f ca="1"/>
        <v>NA</v>
      </c>
      <c r="S125" t="str">
        <f ca="1"/>
        <v>NA</v>
      </c>
      <c r="T125" s="314" t="str">
        <f ca="1"/>
        <v>NA</v>
      </c>
      <c r="U125" t="str">
        <f ca="1"/>
        <v xml:space="preserve">NA </v>
      </c>
      <c r="V125">
        <f ca="1"/>
        <v>0</v>
      </c>
      <c r="W125">
        <f ca="1"/>
        <v>0</v>
      </c>
      <c r="X125" s="42" t="str">
        <f ca="1"/>
        <v>NA</v>
      </c>
      <c r="Y125" t="str">
        <f ca="1"/>
        <v>NA</v>
      </c>
      <c r="Z125" t="str">
        <f ca="1"/>
        <v>NA</v>
      </c>
      <c r="AA125" t="str">
        <f ca="1"/>
        <v xml:space="preserve">NA </v>
      </c>
      <c r="AB125" t="str">
        <f ca="1"/>
        <v>NA</v>
      </c>
      <c r="AC125" s="42" t="str">
        <f ca="1"/>
        <v>NA</v>
      </c>
      <c r="AD125" t="str">
        <f ca="1"/>
        <v>NA</v>
      </c>
      <c r="AE125">
        <f ca="1"/>
        <v>0</v>
      </c>
      <c r="AF125" t="str">
        <f ca="1"/>
        <v>NA</v>
      </c>
      <c r="AG125" s="42" t="str">
        <f ca="1"/>
        <v>NA</v>
      </c>
      <c r="AH125" t="str">
        <f ca="1"/>
        <v>NA</v>
      </c>
      <c r="AI125" s="42" t="str">
        <f ca="1"/>
        <v>NA</v>
      </c>
      <c r="AJ125" t="str">
        <f ca="1"/>
        <v>NA</v>
      </c>
      <c r="AK125" s="42" t="str">
        <f ca="1"/>
        <v>NA</v>
      </c>
      <c r="AL125" t="str">
        <f ca="1"/>
        <v>NA</v>
      </c>
      <c r="AM125" s="42" t="str">
        <f ca="1"/>
        <v>NA</v>
      </c>
      <c r="AN125" t="str">
        <f ca="1"/>
        <v>NA</v>
      </c>
      <c r="AO125" s="42" t="str">
        <f ca="1"/>
        <v>NA</v>
      </c>
      <c r="AP125" t="str">
        <f ca="1"/>
        <v xml:space="preserve">NA </v>
      </c>
      <c r="AQ125" t="str">
        <f ca="1"/>
        <v>NA</v>
      </c>
      <c r="AR125">
        <f ca="1"/>
        <v>0</v>
      </c>
      <c r="AS125" s="42" t="str">
        <f ca="1"/>
        <v>NA</v>
      </c>
      <c r="AT125" t="str">
        <f ca="1"/>
        <v>360/2021</v>
      </c>
      <c r="AU125" t="str">
        <f ca="1"/>
        <v>MUkhed Po. ST.</v>
      </c>
      <c r="AV125" t="str">
        <f ca="1"/>
        <v>Nanded</v>
      </c>
      <c r="AW125" t="str">
        <f ca="1"/>
        <v>NA</v>
      </c>
      <c r="AX125" s="42" t="str">
        <f ca="1"/>
        <v>WIP</v>
      </c>
      <c r="AY125" t="str">
        <f ca="1"/>
        <v xml:space="preserve">NA </v>
      </c>
      <c r="AZ125" t="str">
        <f ca="1"/>
        <v xml:space="preserve"> </v>
      </c>
      <c r="BA125">
        <f ca="1"/>
        <v>0</v>
      </c>
      <c r="BB125" s="42" t="str">
        <f ca="1"/>
        <v>NA</v>
      </c>
      <c r="BC125">
        <f ca="1"/>
        <v>0</v>
      </c>
      <c r="BD125">
        <f ca="1"/>
        <v>0</v>
      </c>
      <c r="BE125">
        <f ca="1"/>
        <v>0</v>
      </c>
    </row>
    <row r="126" spans="1:57">
      <c r="A126" s="42">
        <f ca="1"/>
        <v>125</v>
      </c>
      <c r="B126" s="42" t="str">
        <f ca="1"/>
        <v>2025212966</v>
      </c>
      <c r="C126" s="42" t="str">
        <f ca="1"/>
        <v>Indusind General Insurance Co Ltd</v>
      </c>
      <c r="D126" s="42" t="str">
        <f ca="1"/>
        <v>MACT</v>
      </c>
      <c r="E126" s="42" t="str">
        <f ca="1"/>
        <v>R001-1125-SS-2025</v>
      </c>
      <c r="F126" s="310">
        <f ca="1"/>
        <v>45986</v>
      </c>
      <c r="G126" s="42" t="str">
        <f ca="1"/>
        <v>Nov-25</v>
      </c>
      <c r="H126" s="312">
        <f ca="1"/>
        <v>46025</v>
      </c>
      <c r="I126" s="42" t="str">
        <f ca="1"/>
        <v>Jan-26</v>
      </c>
      <c r="J126" s="310">
        <f ca="1"/>
        <v>46028</v>
      </c>
      <c r="K126" s="42">
        <f ca="1"/>
        <v>39</v>
      </c>
      <c r="L126" s="42" t="str">
        <f ca="1"/>
        <v>AT</v>
      </c>
      <c r="M126" s="42" t="str">
        <f ca="1"/>
        <v>Full Case</v>
      </c>
      <c r="N126" s="42" t="str">
        <f ca="1"/>
        <v>Open</v>
      </c>
      <c r="O126" s="42" t="str">
        <f ca="1"/>
        <v>Completed</v>
      </c>
      <c r="P126">
        <f ca="1"/>
        <v>0</v>
      </c>
      <c r="Q126" t="str">
        <f ca="1"/>
        <v>Kiran Jalindar Hake  8975734999</v>
      </c>
      <c r="R126" t="str">
        <f ca="1"/>
        <v>R/o Yeshwandi, Tal. Washi, Distt. Dharashiv</v>
      </c>
      <c r="S126" t="str">
        <f ca="1"/>
        <v>Dharashiv</v>
      </c>
      <c r="T126" s="314" t="str">
        <f ca="1"/>
        <v>Completed</v>
      </c>
      <c r="U126" t="str">
        <f ca="1"/>
        <v xml:space="preserve">NA </v>
      </c>
      <c r="V126">
        <f ca="1"/>
        <v>0</v>
      </c>
      <c r="W126">
        <f ca="1"/>
        <v>0</v>
      </c>
      <c r="X126" s="42" t="str">
        <f ca="1"/>
        <v>NA</v>
      </c>
      <c r="Y126" t="str">
        <f ca="1"/>
        <v>Vinod Atrinandan Mote</v>
      </c>
      <c r="Z126" t="str">
        <f ca="1"/>
        <v>R/o  Pargaon, Tq. Washi Dist. Dharashiv</v>
      </c>
      <c r="AA126" t="str">
        <f ca="1"/>
        <v>Dharashiv</v>
      </c>
      <c r="AB126" t="str">
        <f ca="1"/>
        <v>NA</v>
      </c>
      <c r="AC126" s="42" t="str">
        <f ca="1"/>
        <v>Completed</v>
      </c>
      <c r="AD126" t="str">
        <f ca="1"/>
        <v>NA</v>
      </c>
      <c r="AE126">
        <f ca="1"/>
        <v>0</v>
      </c>
      <c r="AF126" t="str">
        <f ca="1"/>
        <v xml:space="preserve">Pankaj Kawade </v>
      </c>
      <c r="AG126" s="42" t="str">
        <f ca="1"/>
        <v>Completed</v>
      </c>
      <c r="AH126" t="str">
        <f ca="1"/>
        <v>NA</v>
      </c>
      <c r="AI126" s="42" t="str">
        <f ca="1"/>
        <v>NA</v>
      </c>
      <c r="AJ126" t="str">
        <f ca="1"/>
        <v>NA</v>
      </c>
      <c r="AK126" s="42" t="str">
        <f ca="1"/>
        <v>NA</v>
      </c>
      <c r="AL126" t="str">
        <f ca="1"/>
        <v>NA</v>
      </c>
      <c r="AM126" s="42" t="str">
        <f ca="1"/>
        <v>NA</v>
      </c>
      <c r="AN126" t="str">
        <f ca="1"/>
        <v>NA</v>
      </c>
      <c r="AO126" s="42" t="str">
        <f ca="1"/>
        <v>NA</v>
      </c>
      <c r="AP126" t="str">
        <f ca="1"/>
        <v xml:space="preserve">NA </v>
      </c>
      <c r="AQ126" t="str">
        <f ca="1"/>
        <v xml:space="preserve">on Bhoom-Pardi Road near the mil stone No. 118/9, near the field of Vipul Talekar &amp; Tanaji Kshirsagar </v>
      </c>
      <c r="AR126">
        <f ca="1"/>
        <v>0</v>
      </c>
      <c r="AS126" s="42" t="str">
        <f ca="1"/>
        <v>Completed</v>
      </c>
      <c r="AT126" t="str">
        <f ca="1"/>
        <v>0101/2024</v>
      </c>
      <c r="AU126" t="str">
        <f ca="1"/>
        <v>Bhoom Police Station</v>
      </c>
      <c r="AV126" t="str">
        <f ca="1"/>
        <v>Usmanabad</v>
      </c>
      <c r="AW126" t="str">
        <f ca="1"/>
        <v>NA</v>
      </c>
      <c r="AX126" s="42" t="str">
        <f ca="1"/>
        <v>Completed</v>
      </c>
      <c r="AY126" t="str">
        <f ca="1"/>
        <v xml:space="preserve">NA </v>
      </c>
      <c r="AZ126">
        <f ca="1"/>
        <v>0</v>
      </c>
      <c r="BA126">
        <f ca="1"/>
        <v>0</v>
      </c>
      <c r="BB126" s="42" t="str">
        <f ca="1"/>
        <v>NA</v>
      </c>
      <c r="BC126">
        <f ca="1"/>
        <v>0</v>
      </c>
      <c r="BD126">
        <f ca="1"/>
        <v>0</v>
      </c>
      <c r="BE126">
        <f ca="1"/>
        <v>0</v>
      </c>
    </row>
    <row r="127" spans="1:57">
      <c r="A127" s="42">
        <f ca="1"/>
        <v>126</v>
      </c>
      <c r="B127" s="42" t="str">
        <f ca="1"/>
        <v>2025212965</v>
      </c>
      <c r="C127" s="42" t="str">
        <f ca="1"/>
        <v>Indusind General Insurance Co Ltd</v>
      </c>
      <c r="D127" s="42" t="str">
        <f ca="1"/>
        <v>MACT</v>
      </c>
      <c r="E127" s="42" t="str">
        <f ca="1"/>
        <v>R001-1126-SS-2025</v>
      </c>
      <c r="F127" s="310">
        <f ca="1"/>
        <v>45986</v>
      </c>
      <c r="G127" s="42" t="str">
        <f ca="1"/>
        <v>Nov-25</v>
      </c>
      <c r="H127" s="312" t="str">
        <f ca="1"/>
        <v>-</v>
      </c>
      <c r="I127" s="42">
        <f ca="1"/>
        <v>0</v>
      </c>
      <c r="J127" s="310">
        <f ca="1"/>
        <v>46028</v>
      </c>
      <c r="K127" s="42">
        <f ca="1"/>
        <v>41</v>
      </c>
      <c r="L127" s="42" t="str">
        <f ca="1"/>
        <v>AT</v>
      </c>
      <c r="M127" s="42" t="str">
        <f ca="1"/>
        <v>Full Case</v>
      </c>
      <c r="N127" s="42" t="str">
        <f ca="1"/>
        <v>Open</v>
      </c>
      <c r="O127" s="42" t="str">
        <f ca="1"/>
        <v>WIP</v>
      </c>
      <c r="P127">
        <f ca="1"/>
        <v>0</v>
      </c>
      <c r="Q127" t="str">
        <f ca="1"/>
        <v>Asaram  Keshav Zade   9921467451</v>
      </c>
      <c r="R127" t="str">
        <f ca="1"/>
        <v>R/o Khudaj, Tq. Sengaon, District-Hingoli.</v>
      </c>
      <c r="S127" t="str">
        <f ca="1"/>
        <v>Hingoli</v>
      </c>
      <c r="T127" s="314" t="str">
        <f ca="1"/>
        <v>Completed</v>
      </c>
      <c r="U127" t="str">
        <f ca="1"/>
        <v xml:space="preserve">NA </v>
      </c>
      <c r="V127">
        <f ca="1"/>
        <v>0</v>
      </c>
      <c r="W127">
        <f ca="1"/>
        <v>0</v>
      </c>
      <c r="X127" s="42" t="str">
        <f ca="1"/>
        <v>NA</v>
      </c>
      <c r="Y127" t="str">
        <f ca="1"/>
        <v>Shaikh Jamil  Shaikh Javed</v>
      </c>
      <c r="Z127" t="str">
        <f ca="1"/>
        <v>R/o Kanhergaon Naka, Tq. &amp; District - Hingoli</v>
      </c>
      <c r="AA127" t="str">
        <f ca="1"/>
        <v>Hingoli</v>
      </c>
      <c r="AB127" t="str">
        <f ca="1"/>
        <v>NA</v>
      </c>
      <c r="AC127" s="42" t="str">
        <f ca="1"/>
        <v>Completed</v>
      </c>
      <c r="AD127" t="str">
        <f ca="1"/>
        <v>NA</v>
      </c>
      <c r="AE127">
        <f ca="1"/>
        <v>0</v>
      </c>
      <c r="AF127" t="str">
        <f ca="1"/>
        <v>NA</v>
      </c>
      <c r="AG127" s="42" t="str">
        <f ca="1"/>
        <v>Completed</v>
      </c>
      <c r="AH127" t="str">
        <f ca="1"/>
        <v>NA</v>
      </c>
      <c r="AI127" s="42" t="str">
        <f ca="1"/>
        <v>NA</v>
      </c>
      <c r="AJ127" t="str">
        <f ca="1"/>
        <v>NA</v>
      </c>
      <c r="AK127" s="42" t="str">
        <f ca="1"/>
        <v>NA</v>
      </c>
      <c r="AL127" t="str">
        <f ca="1"/>
        <v>NA</v>
      </c>
      <c r="AM127" s="42" t="str">
        <f ca="1"/>
        <v>NA</v>
      </c>
      <c r="AN127" t="str">
        <f ca="1"/>
        <v>NA</v>
      </c>
      <c r="AO127" s="42" t="str">
        <f ca="1"/>
        <v>NA</v>
      </c>
      <c r="AP127" t="str">
        <f ca="1"/>
        <v xml:space="preserve">NA </v>
      </c>
      <c r="AQ127">
        <f ca="1"/>
        <v>0</v>
      </c>
      <c r="AR127">
        <f ca="1"/>
        <v>0</v>
      </c>
      <c r="AS127" s="42" t="str">
        <f ca="1"/>
        <v>Completed</v>
      </c>
      <c r="AT127" t="str">
        <f ca="1"/>
        <v>0214/2025</v>
      </c>
      <c r="AU127" t="str">
        <f ca="1"/>
        <v>Sengoan Police Station</v>
      </c>
      <c r="AV127" t="str">
        <f ca="1"/>
        <v>Hingoli</v>
      </c>
      <c r="AW127" t="str">
        <f ca="1"/>
        <v>NA</v>
      </c>
      <c r="AX127" s="42" t="str">
        <f ca="1"/>
        <v>WIP</v>
      </c>
      <c r="AY127" t="str">
        <f ca="1"/>
        <v xml:space="preserve">NA </v>
      </c>
      <c r="AZ127">
        <f ca="1"/>
        <v>0</v>
      </c>
      <c r="BA127">
        <f ca="1"/>
        <v>0</v>
      </c>
      <c r="BB127" s="42" t="str">
        <f ca="1"/>
        <v>NA</v>
      </c>
      <c r="BC127">
        <f ca="1"/>
        <v>0</v>
      </c>
      <c r="BD127">
        <f ca="1"/>
        <v>0</v>
      </c>
      <c r="BE127">
        <f ca="1"/>
        <v>0</v>
      </c>
    </row>
    <row r="128" spans="1:57">
      <c r="A128" s="42">
        <f ca="1"/>
        <v>127</v>
      </c>
      <c r="B128" s="42" t="str">
        <f ca="1"/>
        <v>2025212927</v>
      </c>
      <c r="C128" s="42" t="str">
        <f ca="1"/>
        <v>Indusind General Insurance Co Ltd</v>
      </c>
      <c r="D128" s="42" t="str">
        <f ca="1"/>
        <v>MACT</v>
      </c>
      <c r="E128" s="42" t="str">
        <f ca="1"/>
        <v>R001-1127-SS-2025</v>
      </c>
      <c r="F128" s="310">
        <f ca="1"/>
        <v>45986</v>
      </c>
      <c r="G128" s="42" t="str">
        <f ca="1"/>
        <v>Nov-25</v>
      </c>
      <c r="H128" s="312">
        <f ca="1"/>
        <v>46022</v>
      </c>
      <c r="I128" s="42" t="str">
        <f ca="1"/>
        <v>Dec-25</v>
      </c>
      <c r="J128" s="310">
        <f ca="1"/>
        <v>46028</v>
      </c>
      <c r="K128" s="42">
        <f ca="1"/>
        <v>36</v>
      </c>
      <c r="L128" s="42" t="str">
        <f ca="1"/>
        <v>AT</v>
      </c>
      <c r="M128" s="42" t="str">
        <f ca="1"/>
        <v>Full Case</v>
      </c>
      <c r="N128" s="42" t="str">
        <f ca="1"/>
        <v>Dispatch</v>
      </c>
      <c r="O128" s="42" t="str">
        <f ca="1"/>
        <v>Completed</v>
      </c>
      <c r="P128">
        <f ca="1"/>
        <v>0</v>
      </c>
      <c r="Q128" t="str">
        <f ca="1"/>
        <v>Kiranbai  Rajusingh Varnekar (Pardeshi)   912744313</v>
      </c>
      <c r="R128" t="str">
        <f ca="1"/>
        <v>R/o Dhobi Galli, Gadipura, Nanded, Tq. Dist. Nanded.</v>
      </c>
      <c r="S128" t="str">
        <f ca="1"/>
        <v>Nanded</v>
      </c>
      <c r="T128" s="314" t="str">
        <f ca="1"/>
        <v>Completed</v>
      </c>
      <c r="U128" t="str">
        <f ca="1"/>
        <v xml:space="preserve">NA </v>
      </c>
      <c r="V128">
        <f ca="1"/>
        <v>0</v>
      </c>
      <c r="W128">
        <f ca="1"/>
        <v>0</v>
      </c>
      <c r="X128" s="42" t="str">
        <f ca="1"/>
        <v>NA</v>
      </c>
      <c r="Y128" t="str">
        <f ca="1"/>
        <v>Kondiba  Vithal Bhojane</v>
      </c>
      <c r="Z128" t="str">
        <f ca="1"/>
        <v>R/o Ekdara. Tq. Dist. Nanded.</v>
      </c>
      <c r="AA128" t="str">
        <f ca="1"/>
        <v>Nanded</v>
      </c>
      <c r="AB128" t="str">
        <f ca="1"/>
        <v>NA</v>
      </c>
      <c r="AC128" s="42" t="str">
        <f ca="1"/>
        <v>Completed</v>
      </c>
      <c r="AD128" t="str">
        <f ca="1"/>
        <v>NA</v>
      </c>
      <c r="AE128">
        <f ca="1"/>
        <v>0</v>
      </c>
      <c r="AF128" t="str">
        <f ca="1"/>
        <v>NA</v>
      </c>
      <c r="AG128" s="42" t="str">
        <f ca="1"/>
        <v>NA</v>
      </c>
      <c r="AH128" t="str">
        <f ca="1"/>
        <v>NA</v>
      </c>
      <c r="AI128" s="42" t="str">
        <f ca="1"/>
        <v>NA</v>
      </c>
      <c r="AJ128" t="str">
        <f ca="1"/>
        <v>NA</v>
      </c>
      <c r="AK128" s="42" t="str">
        <f ca="1"/>
        <v>NA</v>
      </c>
      <c r="AL128" t="str">
        <f ca="1"/>
        <v>NA</v>
      </c>
      <c r="AM128" s="42" t="str">
        <f ca="1"/>
        <v>NA</v>
      </c>
      <c r="AN128" t="str">
        <f ca="1"/>
        <v>NA</v>
      </c>
      <c r="AO128" s="42" t="str">
        <f ca="1"/>
        <v>NA</v>
      </c>
      <c r="AP128" t="str">
        <f ca="1"/>
        <v xml:space="preserve">NA </v>
      </c>
      <c r="AQ128" t="str">
        <f ca="1"/>
        <v>At Malegaon Ekdara to Kanchan Nagar Road, Near Ekdara. Tq. Dist. Nanded</v>
      </c>
      <c r="AR128">
        <f ca="1"/>
        <v>0</v>
      </c>
      <c r="AS128" s="42" t="str">
        <f ca="1"/>
        <v>Completed</v>
      </c>
      <c r="AT128" t="str">
        <f ca="1"/>
        <v>0005/2025</v>
      </c>
      <c r="AU128" t="str">
        <f ca="1"/>
        <v>Bhagyanagar Police Station</v>
      </c>
      <c r="AV128" t="str">
        <f ca="1"/>
        <v>Nanded</v>
      </c>
      <c r="AW128" t="str">
        <f ca="1"/>
        <v>NA</v>
      </c>
      <c r="AX128" s="42" t="str">
        <f ca="1"/>
        <v>Completed</v>
      </c>
      <c r="AY128" t="str">
        <f ca="1"/>
        <v xml:space="preserve">NA </v>
      </c>
      <c r="AZ128">
        <f ca="1"/>
        <v>0</v>
      </c>
      <c r="BA128">
        <f ca="1"/>
        <v>0</v>
      </c>
      <c r="BB128" s="42" t="str">
        <f ca="1"/>
        <v>NA</v>
      </c>
      <c r="BC128">
        <f ca="1"/>
        <v>0</v>
      </c>
      <c r="BD128">
        <f ca="1"/>
        <v>0</v>
      </c>
      <c r="BE128">
        <f ca="1"/>
        <v>0</v>
      </c>
    </row>
    <row r="129" spans="1:57">
      <c r="A129" s="42">
        <f ca="1"/>
        <v>128</v>
      </c>
      <c r="B129" s="42" t="str">
        <f ca="1"/>
        <v>2025212925</v>
      </c>
      <c r="C129" s="42" t="str">
        <f ca="1"/>
        <v>Indusind General Insurance Co Ltd</v>
      </c>
      <c r="D129" s="42" t="str">
        <f ca="1"/>
        <v>MACT</v>
      </c>
      <c r="E129" s="42" t="str">
        <f ca="1"/>
        <v>R001-1128-SS-2025</v>
      </c>
      <c r="F129" s="310">
        <f ca="1"/>
        <v>45986</v>
      </c>
      <c r="G129" s="42" t="str">
        <f ca="1"/>
        <v>Nov-25</v>
      </c>
      <c r="H129" s="312" t="str">
        <f ca="1"/>
        <v>-</v>
      </c>
      <c r="I129" s="42">
        <f ca="1"/>
        <v>0</v>
      </c>
      <c r="J129" s="310">
        <f ca="1"/>
        <v>46028</v>
      </c>
      <c r="K129" s="42">
        <f ca="1"/>
        <v>41</v>
      </c>
      <c r="L129" s="42" t="str">
        <f ca="1"/>
        <v>AT</v>
      </c>
      <c r="M129" s="42" t="str">
        <f ca="1"/>
        <v>Full Case</v>
      </c>
      <c r="N129" s="42" t="str">
        <f ca="1"/>
        <v>Open</v>
      </c>
      <c r="O129" s="42" t="str">
        <f ca="1"/>
        <v>WIP</v>
      </c>
      <c r="P129">
        <f ca="1"/>
        <v>0</v>
      </c>
      <c r="Q129" t="str">
        <f ca="1"/>
        <v>Shaheen Musa Pinjari   7499137104</v>
      </c>
      <c r="R129" t="str">
        <f ca="1"/>
        <v>R/o Dongaon(Bu) Tq. Biloli, Dist. Nanded.</v>
      </c>
      <c r="S129" t="str">
        <f ca="1"/>
        <v>Nanded</v>
      </c>
      <c r="T129" s="314" t="str">
        <f ca="1"/>
        <v>Completed</v>
      </c>
      <c r="U129" t="str">
        <f ca="1"/>
        <v xml:space="preserve">NA </v>
      </c>
      <c r="V129">
        <f ca="1"/>
        <v>0</v>
      </c>
      <c r="W129">
        <f ca="1"/>
        <v>0</v>
      </c>
      <c r="X129" s="42" t="str">
        <f ca="1"/>
        <v>NA</v>
      </c>
      <c r="Y129" t="str">
        <f ca="1"/>
        <v>Shrinivas Vitthal Nalbalwar</v>
      </c>
      <c r="Z129" t="str">
        <f ca="1"/>
        <v>R/o Gajanan Nagar, Naigaon Tq. Naigaon (Kh), Dist. Nanded. - 431709.</v>
      </c>
      <c r="AA129" t="str">
        <f ca="1"/>
        <v>Nanded</v>
      </c>
      <c r="AB129" t="str">
        <f ca="1"/>
        <v>NA</v>
      </c>
      <c r="AC129" s="42" t="str">
        <f ca="1"/>
        <v>Completed</v>
      </c>
      <c r="AD129" t="str">
        <f ca="1"/>
        <v>NA</v>
      </c>
      <c r="AE129">
        <f ca="1"/>
        <v>0</v>
      </c>
      <c r="AF129" t="str">
        <f ca="1"/>
        <v>NA</v>
      </c>
      <c r="AG129" s="42" t="str">
        <f ca="1"/>
        <v>Completed</v>
      </c>
      <c r="AH129" t="str">
        <f ca="1"/>
        <v>NA</v>
      </c>
      <c r="AI129" s="42" t="str">
        <f ca="1"/>
        <v>NA</v>
      </c>
      <c r="AJ129" t="str">
        <f ca="1"/>
        <v>NA</v>
      </c>
      <c r="AK129" s="42" t="str">
        <f ca="1"/>
        <v>NA</v>
      </c>
      <c r="AL129" t="str">
        <f ca="1"/>
        <v>NA</v>
      </c>
      <c r="AM129" s="42" t="str">
        <f ca="1"/>
        <v>NA</v>
      </c>
      <c r="AN129" t="str">
        <f ca="1"/>
        <v>NA</v>
      </c>
      <c r="AO129" s="42" t="str">
        <f ca="1"/>
        <v>NA</v>
      </c>
      <c r="AP129" t="str">
        <f ca="1"/>
        <v xml:space="preserve">NA </v>
      </c>
      <c r="AQ129" t="str">
        <f ca="1"/>
        <v>On Nanded to Naigaon Road, Opposite Degaon Shivar Khalsa Dhaba, near Sainath batamwar's farm Naigaon(Kh), Dist. Nanded.</v>
      </c>
      <c r="AR129">
        <f ca="1"/>
        <v>0</v>
      </c>
      <c r="AS129" s="42" t="str">
        <f ca="1"/>
        <v>Completed</v>
      </c>
      <c r="AT129" t="str">
        <f ca="1"/>
        <v>0194/2025</v>
      </c>
      <c r="AU129" t="str">
        <f ca="1"/>
        <v>Police Station Kuntur</v>
      </c>
      <c r="AV129" t="str">
        <f ca="1"/>
        <v>Nanded</v>
      </c>
      <c r="AW129" t="str">
        <f ca="1"/>
        <v>NA</v>
      </c>
      <c r="AX129" s="42" t="str">
        <f ca="1"/>
        <v>NI</v>
      </c>
      <c r="AY129" t="str">
        <f ca="1"/>
        <v xml:space="preserve">NA </v>
      </c>
      <c r="AZ129">
        <f ca="1"/>
        <v>0</v>
      </c>
      <c r="BA129">
        <f ca="1"/>
        <v>0</v>
      </c>
      <c r="BB129" s="42" t="str">
        <f ca="1"/>
        <v>NA</v>
      </c>
      <c r="BC129">
        <f ca="1"/>
        <v>0</v>
      </c>
      <c r="BD129">
        <f ca="1"/>
        <v>0</v>
      </c>
      <c r="BE129">
        <f ca="1"/>
        <v>0</v>
      </c>
    </row>
    <row r="130" spans="1:57">
      <c r="A130" s="42">
        <f ca="1"/>
        <v>129</v>
      </c>
      <c r="B130" s="42" t="str">
        <f ca="1"/>
        <v>2752072</v>
      </c>
      <c r="C130" s="42" t="str">
        <f ca="1"/>
        <v>SBI General Insurance Company Ltd</v>
      </c>
      <c r="D130" s="42" t="str">
        <f ca="1"/>
        <v>MACT</v>
      </c>
      <c r="E130" s="42" t="str">
        <f ca="1"/>
        <v>S002-1129-SS-2025</v>
      </c>
      <c r="F130" s="310">
        <f ca="1"/>
        <v>45987</v>
      </c>
      <c r="G130" s="42" t="str">
        <f ca="1"/>
        <v>Nov-25</v>
      </c>
      <c r="H130" s="312" t="str">
        <f ca="1"/>
        <v>-</v>
      </c>
      <c r="I130" s="42">
        <f ca="1"/>
        <v>0</v>
      </c>
      <c r="J130" s="310">
        <f ca="1"/>
        <v>46029</v>
      </c>
      <c r="K130" s="42">
        <f ca="1"/>
        <v>40</v>
      </c>
      <c r="L130" s="42" t="str">
        <f ca="1"/>
        <v>AT</v>
      </c>
      <c r="M130" s="42" t="str">
        <f ca="1"/>
        <v>Full Case</v>
      </c>
      <c r="N130" s="42" t="str">
        <f ca="1"/>
        <v>Open</v>
      </c>
      <c r="O130" s="42" t="str">
        <f ca="1"/>
        <v>WIP</v>
      </c>
      <c r="P130">
        <f ca="1"/>
        <v>0</v>
      </c>
      <c r="Q130" t="str">
        <f ca="1"/>
        <v>Sarika Pritam Wadmare</v>
      </c>
      <c r="R130" t="str">
        <f ca="1"/>
        <v>R/o Kagadi Ves, Boudha Nagar, Beed, Tq.and Dist.Beed</v>
      </c>
      <c r="S130" t="str">
        <f ca="1"/>
        <v>Beed</v>
      </c>
      <c r="T130" s="314" t="str">
        <f ca="1"/>
        <v>WIP</v>
      </c>
      <c r="U130" t="str">
        <f ca="1"/>
        <v xml:space="preserve">NA </v>
      </c>
      <c r="V130">
        <f ca="1"/>
        <v>0</v>
      </c>
      <c r="W130">
        <f ca="1"/>
        <v>0</v>
      </c>
      <c r="X130" s="42" t="str">
        <f ca="1"/>
        <v>NA</v>
      </c>
      <c r="Y130" t="str">
        <f ca="1"/>
        <v>Karim Hasan Shaikh</v>
      </c>
      <c r="Z130" t="str">
        <f ca="1"/>
        <v>R/o Qilla Maidan, Balbhim Chowk, Beed, Tq.and Dist.Beed</v>
      </c>
      <c r="AA130" t="str">
        <f ca="1"/>
        <v>Beed</v>
      </c>
      <c r="AB130" t="str">
        <f ca="1"/>
        <v>NA</v>
      </c>
      <c r="AC130" s="42" t="str">
        <f ca="1"/>
        <v>WIP</v>
      </c>
      <c r="AD130" t="str">
        <f ca="1"/>
        <v>Karim Hasan Shaikh</v>
      </c>
      <c r="AE130">
        <f ca="1"/>
        <v>0</v>
      </c>
      <c r="AF130" t="str">
        <f ca="1"/>
        <v>NA</v>
      </c>
      <c r="AG130" s="42" t="str">
        <f ca="1"/>
        <v>WIP</v>
      </c>
      <c r="AH130" t="str">
        <f ca="1"/>
        <v>NA</v>
      </c>
      <c r="AI130" s="42" t="str">
        <f ca="1"/>
        <v>NA</v>
      </c>
      <c r="AJ130" t="str">
        <f ca="1"/>
        <v>NA</v>
      </c>
      <c r="AK130" s="42" t="str">
        <f ca="1"/>
        <v>NA</v>
      </c>
      <c r="AL130" t="str">
        <f ca="1"/>
        <v>NA</v>
      </c>
      <c r="AM130" s="42" t="str">
        <f ca="1"/>
        <v>NA</v>
      </c>
      <c r="AN130" t="str">
        <f ca="1"/>
        <v>NA</v>
      </c>
      <c r="AO130" s="42" t="str">
        <f ca="1"/>
        <v>NA</v>
      </c>
      <c r="AP130" t="str">
        <f ca="1"/>
        <v xml:space="preserve">NA </v>
      </c>
      <c r="AQ130" t="str">
        <f ca="1"/>
        <v>on National Highway No.52, in the vicinity of village Manjarsumba</v>
      </c>
      <c r="AR130">
        <f ca="1"/>
        <v>0</v>
      </c>
      <c r="AS130" s="42" t="str">
        <f ca="1"/>
        <v>WIP</v>
      </c>
      <c r="AT130" t="str">
        <f ca="1"/>
        <v>76/2025</v>
      </c>
      <c r="AU130" t="str">
        <f ca="1"/>
        <v>Police Station Neknoor</v>
      </c>
      <c r="AV130" t="str">
        <f ca="1"/>
        <v>Beed</v>
      </c>
      <c r="AW130" t="str">
        <f ca="1"/>
        <v>NA</v>
      </c>
      <c r="AX130" s="42" t="str">
        <f ca="1"/>
        <v>WIP</v>
      </c>
      <c r="AY130" t="str">
        <f ca="1"/>
        <v xml:space="preserve">NA </v>
      </c>
      <c r="AZ130">
        <f ca="1"/>
        <v>0</v>
      </c>
      <c r="BA130">
        <f ca="1"/>
        <v>0</v>
      </c>
      <c r="BB130" s="42" t="str">
        <f ca="1"/>
        <v>NA</v>
      </c>
      <c r="BC130">
        <f ca="1"/>
        <v>0</v>
      </c>
      <c r="BD130">
        <f ca="1"/>
        <v>0</v>
      </c>
      <c r="BE130">
        <f ca="1"/>
        <v>0</v>
      </c>
    </row>
    <row r="131" spans="1:57">
      <c r="A131" s="42">
        <f ca="1"/>
        <v>130</v>
      </c>
      <c r="B131" s="42" t="str">
        <f ca="1"/>
        <v>2312792</v>
      </c>
      <c r="C131" s="42" t="str">
        <f ca="1"/>
        <v>SBI General Insurance Company Ltd</v>
      </c>
      <c r="D131" s="42" t="str">
        <f ca="1"/>
        <v>MACT</v>
      </c>
      <c r="E131" s="42" t="str">
        <f ca="1"/>
        <v>S002-1130-SS-2025</v>
      </c>
      <c r="F131" s="310">
        <f ca="1"/>
        <v>45987</v>
      </c>
      <c r="G131" s="42" t="str">
        <f ca="1"/>
        <v>Nov-25</v>
      </c>
      <c r="H131" s="312">
        <f ca="1"/>
        <v>46007</v>
      </c>
      <c r="I131" s="42" t="str">
        <f ca="1"/>
        <v>Dec-25</v>
      </c>
      <c r="J131" s="310">
        <f ca="1"/>
        <v>46029</v>
      </c>
      <c r="K131" s="42">
        <f ca="1"/>
        <v>20</v>
      </c>
      <c r="L131" s="42" t="str">
        <f ca="1"/>
        <v>AT</v>
      </c>
      <c r="M131" s="42" t="str">
        <f ca="1"/>
        <v>Medical Verification</v>
      </c>
      <c r="N131" s="42" t="str">
        <f ca="1"/>
        <v>Dispatch</v>
      </c>
      <c r="O131" s="42" t="str">
        <f ca="1"/>
        <v>Completed</v>
      </c>
      <c r="P131">
        <f ca="1"/>
        <v>0</v>
      </c>
      <c r="Q131" t="str">
        <f ca="1"/>
        <v>Dinkar Nivruti Bhegade</v>
      </c>
      <c r="R131" t="str">
        <f ca="1"/>
        <v>NA</v>
      </c>
      <c r="S131" t="str">
        <f ca="1"/>
        <v>NA</v>
      </c>
      <c r="T131" s="314" t="str">
        <f ca="1"/>
        <v>NA</v>
      </c>
      <c r="U131" t="str">
        <f ca="1"/>
        <v xml:space="preserve">NA </v>
      </c>
      <c r="V131">
        <f ca="1"/>
        <v>0</v>
      </c>
      <c r="W131">
        <f ca="1"/>
        <v>0</v>
      </c>
      <c r="X131" s="42" t="str">
        <f ca="1"/>
        <v>NA</v>
      </c>
      <c r="Y131" t="str">
        <f ca="1"/>
        <v>NA</v>
      </c>
      <c r="Z131" t="str">
        <f ca="1"/>
        <v>NA</v>
      </c>
      <c r="AA131" t="str">
        <f ca="1"/>
        <v>NA</v>
      </c>
      <c r="AB131" t="str">
        <f ca="1"/>
        <v>NA</v>
      </c>
      <c r="AC131" s="42" t="str">
        <f ca="1"/>
        <v>NA</v>
      </c>
      <c r="AD131" t="str">
        <f ca="1"/>
        <v>NA</v>
      </c>
      <c r="AE131">
        <f ca="1"/>
        <v>0</v>
      </c>
      <c r="AF131" t="str">
        <f ca="1"/>
        <v>NA</v>
      </c>
      <c r="AG131" s="42" t="str">
        <f ca="1"/>
        <v>NA</v>
      </c>
      <c r="AH131" t="str">
        <f ca="1"/>
        <v>NA</v>
      </c>
      <c r="AI131" s="42" t="str">
        <f ca="1"/>
        <v>NA</v>
      </c>
      <c r="AJ131" t="str">
        <f ca="1"/>
        <v>NA</v>
      </c>
      <c r="AK131" s="42" t="str">
        <f ca="1"/>
        <v>NA</v>
      </c>
      <c r="AL131" t="str">
        <f ca="1"/>
        <v>NA</v>
      </c>
      <c r="AM131" s="42" t="str">
        <f ca="1"/>
        <v>NA</v>
      </c>
      <c r="AN131" t="str">
        <f ca="1"/>
        <v>NA</v>
      </c>
      <c r="AO131" s="42" t="str">
        <f ca="1"/>
        <v>NA</v>
      </c>
      <c r="AP131" t="str">
        <f ca="1"/>
        <v>NA</v>
      </c>
      <c r="AQ131" t="str">
        <f ca="1"/>
        <v>NA</v>
      </c>
      <c r="AR131">
        <f ca="1"/>
        <v>0</v>
      </c>
      <c r="AS131" s="42" t="str">
        <f ca="1"/>
        <v>NA</v>
      </c>
      <c r="AT131" t="str">
        <f ca="1"/>
        <v>NA</v>
      </c>
      <c r="AU131" t="str">
        <f ca="1"/>
        <v>NA</v>
      </c>
      <c r="AV131" t="str">
        <f ca="1"/>
        <v>NA</v>
      </c>
      <c r="AW131" t="str">
        <f ca="1"/>
        <v>NA</v>
      </c>
      <c r="AX131" s="42" t="str">
        <f ca="1"/>
        <v>NA</v>
      </c>
      <c r="AY131" t="str">
        <f ca="1"/>
        <v>Hospital Name =Pawana Hospital               Somatane Phata , Tq,Maval ,Pune 410506</v>
      </c>
      <c r="AZ131">
        <f ca="1"/>
        <v>0</v>
      </c>
      <c r="BA131">
        <f ca="1"/>
        <v>0</v>
      </c>
      <c r="BB131" s="42" t="str">
        <f ca="1"/>
        <v>Completed</v>
      </c>
      <c r="BC131">
        <f ca="1"/>
        <v>0</v>
      </c>
      <c r="BD131">
        <f ca="1"/>
        <v>0</v>
      </c>
      <c r="BE131">
        <f ca="1"/>
        <v>0</v>
      </c>
    </row>
    <row r="132" spans="1:57">
      <c r="A132" s="42">
        <f ca="1"/>
        <v>131</v>
      </c>
      <c r="B132" s="42" t="str">
        <f ca="1"/>
        <v>MTP-N-2526-004746</v>
      </c>
      <c r="C132" s="42" t="str">
        <f ca="1"/>
        <v>Generali Central Insurance Company Limited</v>
      </c>
      <c r="D132" s="42" t="str">
        <f ca="1"/>
        <v>MACT</v>
      </c>
      <c r="E132" s="42" t="str">
        <f ca="1"/>
        <v>F001-1131-SS-2025</v>
      </c>
      <c r="F132" s="310">
        <f ca="1"/>
        <v>45987</v>
      </c>
      <c r="G132" s="42" t="str">
        <f ca="1"/>
        <v>Nov-25</v>
      </c>
      <c r="H132" s="312" t="str">
        <f ca="1"/>
        <v>-</v>
      </c>
      <c r="I132" s="42">
        <f ca="1"/>
        <v>0</v>
      </c>
      <c r="J132" s="310">
        <f ca="1"/>
        <v>46029</v>
      </c>
      <c r="K132" s="42">
        <f ca="1"/>
        <v>40</v>
      </c>
      <c r="L132" s="42" t="str">
        <f ca="1"/>
        <v>AT</v>
      </c>
      <c r="M132" s="42" t="str">
        <f ca="1"/>
        <v>Full Case</v>
      </c>
      <c r="N132" s="42" t="str">
        <f ca="1"/>
        <v>Open</v>
      </c>
      <c r="O132" s="42" t="str">
        <f ca="1"/>
        <v>WIP</v>
      </c>
      <c r="P132">
        <f ca="1"/>
        <v>0</v>
      </c>
      <c r="Q132" t="str">
        <f ca="1"/>
        <v>Lalusingh Bahadursingh Chitodiya 9823133268</v>
      </c>
      <c r="R132" t="str">
        <f ca="1"/>
        <v>R/o Asadwan, Nanded.</v>
      </c>
      <c r="S132" t="str">
        <f ca="1"/>
        <v>Nanded</v>
      </c>
      <c r="T132" s="314" t="str">
        <f ca="1"/>
        <v>Completed</v>
      </c>
      <c r="U132" t="str">
        <f ca="1"/>
        <v xml:space="preserve">NA </v>
      </c>
      <c r="V132">
        <f ca="1"/>
        <v>0</v>
      </c>
      <c r="W132">
        <f ca="1"/>
        <v>0</v>
      </c>
      <c r="X132" s="42" t="str">
        <f ca="1"/>
        <v>NA</v>
      </c>
      <c r="Y132" t="str">
        <f ca="1"/>
        <v>Manoj Ramchandra Chalke</v>
      </c>
      <c r="Z132" t="str">
        <f ca="1"/>
        <v xml:space="preserve"> R/o Sr.No.89/90, A 165, Sairang Shrushti, Punawale Road, Jambe, Pune - 411 033.</v>
      </c>
      <c r="AA132" t="str">
        <f ca="1"/>
        <v>Pune</v>
      </c>
      <c r="AB132" t="str">
        <f ca="1"/>
        <v>NA</v>
      </c>
      <c r="AC132" s="42" t="str">
        <f ca="1"/>
        <v>Completed</v>
      </c>
      <c r="AD132" t="str">
        <f ca="1"/>
        <v>NA</v>
      </c>
      <c r="AE132">
        <f ca="1"/>
        <v>0</v>
      </c>
      <c r="AF132" t="str">
        <f ca="1"/>
        <v>NA</v>
      </c>
      <c r="AG132" s="42" t="str">
        <f ca="1"/>
        <v>Completed</v>
      </c>
      <c r="AH132" t="str">
        <f ca="1"/>
        <v>YES</v>
      </c>
      <c r="AI132" s="42" t="str">
        <f ca="1"/>
        <v>NA</v>
      </c>
      <c r="AJ132" t="str">
        <f ca="1"/>
        <v>Yes</v>
      </c>
      <c r="AK132" s="42" t="str">
        <f ca="1"/>
        <v>NA</v>
      </c>
      <c r="AL132" t="str">
        <f ca="1"/>
        <v>NA</v>
      </c>
      <c r="AM132" s="42" t="str">
        <f ca="1"/>
        <v>NA</v>
      </c>
      <c r="AN132" t="str">
        <f ca="1"/>
        <v>NA</v>
      </c>
      <c r="AO132" s="42" t="str">
        <f ca="1"/>
        <v>NA</v>
      </c>
      <c r="AP132" t="str">
        <f ca="1"/>
        <v>NA</v>
      </c>
      <c r="AQ132" t="str">
        <f ca="1"/>
        <v>on road adjacent to I.G. Office, Kautha, Gurudwara Vaishnavi Mata on Kautha road</v>
      </c>
      <c r="AR132">
        <f ca="1"/>
        <v>0</v>
      </c>
      <c r="AS132" s="42" t="str">
        <f ca="1"/>
        <v>Completed</v>
      </c>
      <c r="AT132" t="str">
        <f ca="1"/>
        <v>0453/2025</v>
      </c>
      <c r="AU132" t="str">
        <f ca="1"/>
        <v>Nanded Police Station</v>
      </c>
      <c r="AV132" t="str">
        <f ca="1"/>
        <v>Nanded</v>
      </c>
      <c r="AW132" t="str">
        <f ca="1"/>
        <v>NA</v>
      </c>
      <c r="AX132" s="42" t="str">
        <f ca="1"/>
        <v>NI</v>
      </c>
      <c r="AY132" t="str">
        <f ca="1"/>
        <v xml:space="preserve">NA </v>
      </c>
      <c r="AZ132">
        <f ca="1"/>
        <v>0</v>
      </c>
      <c r="BA132">
        <f ca="1"/>
        <v>0</v>
      </c>
      <c r="BB132" s="42" t="str">
        <f ca="1"/>
        <v>NA</v>
      </c>
      <c r="BC132">
        <f ca="1"/>
        <v>0</v>
      </c>
      <c r="BD132">
        <f ca="1"/>
        <v>0</v>
      </c>
      <c r="BE132">
        <f ca="1"/>
        <v>0</v>
      </c>
    </row>
    <row r="133" spans="1:57">
      <c r="A133" s="42">
        <f ca="1"/>
        <v>132</v>
      </c>
      <c r="B133" s="42" t="str">
        <f ca="1"/>
        <v>CM570910</v>
      </c>
      <c r="C133" s="42" t="str">
        <f ca="1"/>
        <v>Generali Central Insurance Company Limited</v>
      </c>
      <c r="D133" s="42" t="str">
        <f ca="1"/>
        <v>MACT</v>
      </c>
      <c r="E133" s="42" t="str">
        <f ca="1"/>
        <v>F001-1132-SS-2025</v>
      </c>
      <c r="F133" s="310">
        <f ca="1"/>
        <v>45987</v>
      </c>
      <c r="G133" s="42" t="str">
        <f ca="1"/>
        <v>Nov-25</v>
      </c>
      <c r="H133" s="312" t="str">
        <f ca="1"/>
        <v>-</v>
      </c>
      <c r="I133" s="42">
        <f ca="1"/>
        <v>0</v>
      </c>
      <c r="J133" s="310">
        <f ca="1"/>
        <v>46029</v>
      </c>
      <c r="K133" s="42">
        <f ca="1"/>
        <v>40</v>
      </c>
      <c r="L133" s="42" t="str">
        <f ca="1"/>
        <v>AT</v>
      </c>
      <c r="M133" s="42" t="str">
        <f ca="1"/>
        <v>Full Case</v>
      </c>
      <c r="N133" s="42" t="str">
        <f ca="1"/>
        <v>Open</v>
      </c>
      <c r="O133" s="42" t="str">
        <f ca="1"/>
        <v>Pending CS</v>
      </c>
      <c r="P133">
        <f ca="1"/>
        <v>0</v>
      </c>
      <c r="Q133" t="str">
        <f ca="1"/>
        <v>NA</v>
      </c>
      <c r="R133" t="str">
        <f ca="1"/>
        <v>NA</v>
      </c>
      <c r="S133" t="str">
        <f ca="1"/>
        <v xml:space="preserve">NA </v>
      </c>
      <c r="T133" s="314" t="str">
        <f ca="1"/>
        <v>NA</v>
      </c>
      <c r="U133" t="str">
        <f ca="1"/>
        <v xml:space="preserve">NA </v>
      </c>
      <c r="V133">
        <f ca="1"/>
        <v>0</v>
      </c>
      <c r="W133">
        <f ca="1"/>
        <v>0</v>
      </c>
      <c r="X133" s="42" t="str">
        <f ca="1"/>
        <v>NA</v>
      </c>
      <c r="Y133" t="str">
        <f ca="1"/>
        <v>NA</v>
      </c>
      <c r="Z133" t="str">
        <f ca="1"/>
        <v>NA</v>
      </c>
      <c r="AA133" t="str">
        <f ca="1"/>
        <v>NA</v>
      </c>
      <c r="AB133" t="str">
        <f ca="1"/>
        <v>NA</v>
      </c>
      <c r="AC133" s="42" t="str">
        <f ca="1"/>
        <v>NA</v>
      </c>
      <c r="AD133" t="str">
        <f ca="1"/>
        <v>NA</v>
      </c>
      <c r="AE133">
        <f ca="1"/>
        <v>0</v>
      </c>
      <c r="AF133" t="str">
        <f ca="1"/>
        <v>NA</v>
      </c>
      <c r="AG133" s="42" t="str">
        <f ca="1"/>
        <v>NA</v>
      </c>
      <c r="AH133" t="str">
        <f ca="1"/>
        <v>NA</v>
      </c>
      <c r="AI133" s="42" t="str">
        <f ca="1"/>
        <v>NA</v>
      </c>
      <c r="AJ133" t="str">
        <f ca="1"/>
        <v>NA</v>
      </c>
      <c r="AK133" s="42" t="str">
        <f ca="1"/>
        <v>NA</v>
      </c>
      <c r="AL133" t="str">
        <f ca="1"/>
        <v>NA</v>
      </c>
      <c r="AM133" s="42" t="str">
        <f ca="1"/>
        <v>NA</v>
      </c>
      <c r="AN133" t="str">
        <f ca="1"/>
        <v>NA</v>
      </c>
      <c r="AO133" s="42" t="str">
        <f ca="1"/>
        <v>NA</v>
      </c>
      <c r="AP133" t="str">
        <f ca="1"/>
        <v>NA</v>
      </c>
      <c r="AQ133" t="str">
        <f ca="1"/>
        <v>NA</v>
      </c>
      <c r="AR133">
        <f ca="1"/>
        <v>0</v>
      </c>
      <c r="AS133" s="42" t="str">
        <f ca="1"/>
        <v>NA</v>
      </c>
      <c r="AT133" t="str">
        <f ca="1"/>
        <v>0041/2017</v>
      </c>
      <c r="AU133" t="str">
        <f ca="1"/>
        <v>Kamshet Police Station</v>
      </c>
      <c r="AV133" t="str">
        <f ca="1"/>
        <v>Pune</v>
      </c>
      <c r="AW133" t="str">
        <f ca="1"/>
        <v>NA</v>
      </c>
      <c r="AX133" s="42" t="str">
        <f ca="1"/>
        <v>WIP</v>
      </c>
      <c r="AY133" t="str">
        <f ca="1"/>
        <v xml:space="preserve">NA </v>
      </c>
      <c r="AZ133">
        <f ca="1"/>
        <v>0</v>
      </c>
      <c r="BA133">
        <f ca="1"/>
        <v>0</v>
      </c>
      <c r="BB133" s="42" t="str">
        <f ca="1"/>
        <v>NA</v>
      </c>
      <c r="BC133">
        <f ca="1"/>
        <v>0</v>
      </c>
      <c r="BD133">
        <f ca="1"/>
        <v>0</v>
      </c>
      <c r="BE133">
        <f ca="1"/>
        <v>0</v>
      </c>
    </row>
    <row r="134" spans="1:57">
      <c r="A134" s="42">
        <f ca="1"/>
        <v>133</v>
      </c>
      <c r="B134" s="42" t="str">
        <f ca="1"/>
        <v>2023209914</v>
      </c>
      <c r="C134" s="42" t="str">
        <f ca="1"/>
        <v>Indusind General Insurance Co Ltd</v>
      </c>
      <c r="D134" s="42" t="str">
        <f ca="1"/>
        <v>MACT</v>
      </c>
      <c r="E134" s="42" t="str">
        <f ca="1"/>
        <v>R001-1133-SS-2025</v>
      </c>
      <c r="F134" s="310">
        <f ca="1"/>
        <v>45989</v>
      </c>
      <c r="G134" s="42" t="str">
        <f ca="1"/>
        <v>Nov-25</v>
      </c>
      <c r="H134" s="312" t="str">
        <f ca="1"/>
        <v>-</v>
      </c>
      <c r="I134" s="42">
        <f ca="1"/>
        <v>0</v>
      </c>
      <c r="J134" s="310">
        <f ca="1"/>
        <v>46010</v>
      </c>
      <c r="K134" s="42">
        <f ca="1"/>
        <v>38</v>
      </c>
      <c r="L134" s="42" t="str">
        <f ca="1"/>
        <v>AT</v>
      </c>
      <c r="M134" s="42" t="str">
        <f ca="1"/>
        <v>Partial Case</v>
      </c>
      <c r="N134" s="42" t="str">
        <f ca="1"/>
        <v>Open</v>
      </c>
      <c r="O134" s="42" t="str">
        <f ca="1"/>
        <v>Pending CS</v>
      </c>
      <c r="P134">
        <f ca="1"/>
        <v>0</v>
      </c>
      <c r="Q134" t="str">
        <f ca="1"/>
        <v>NA</v>
      </c>
      <c r="R134" t="str">
        <f ca="1"/>
        <v>NA</v>
      </c>
      <c r="S134" t="str">
        <f ca="1"/>
        <v xml:space="preserve">NA </v>
      </c>
      <c r="T134" s="314" t="str">
        <f ca="1"/>
        <v>NA</v>
      </c>
      <c r="U134" t="str">
        <f ca="1"/>
        <v xml:space="preserve">NA </v>
      </c>
      <c r="V134">
        <f ca="1"/>
        <v>0</v>
      </c>
      <c r="W134">
        <f ca="1"/>
        <v>0</v>
      </c>
      <c r="X134" s="42" t="str">
        <f ca="1"/>
        <v>NA</v>
      </c>
      <c r="Y134" t="str">
        <f ca="1"/>
        <v>NA</v>
      </c>
      <c r="Z134" t="str">
        <f ca="1"/>
        <v>NA</v>
      </c>
      <c r="AA134" t="str">
        <f ca="1"/>
        <v>NA</v>
      </c>
      <c r="AB134" t="str">
        <f ca="1"/>
        <v>NA</v>
      </c>
      <c r="AC134" s="42" t="str">
        <f ca="1"/>
        <v>NA</v>
      </c>
      <c r="AD134" t="str">
        <f ca="1"/>
        <v>NA</v>
      </c>
      <c r="AE134">
        <f ca="1"/>
        <v>0</v>
      </c>
      <c r="AF134" t="str">
        <f ca="1"/>
        <v>NA</v>
      </c>
      <c r="AG134" s="42" t="str">
        <f ca="1"/>
        <v>NA</v>
      </c>
      <c r="AH134" t="str">
        <f ca="1"/>
        <v>NA</v>
      </c>
      <c r="AI134" s="42" t="str">
        <f ca="1"/>
        <v>NA</v>
      </c>
      <c r="AJ134" t="str">
        <f ca="1"/>
        <v>NA</v>
      </c>
      <c r="AK134" s="42" t="str">
        <f ca="1"/>
        <v>NA</v>
      </c>
      <c r="AL134" t="str">
        <f ca="1"/>
        <v>NA</v>
      </c>
      <c r="AM134" s="42" t="str">
        <f ca="1"/>
        <v>NA</v>
      </c>
      <c r="AN134" t="str">
        <f ca="1"/>
        <v>NA</v>
      </c>
      <c r="AO134" s="42" t="str">
        <f ca="1"/>
        <v>NA</v>
      </c>
      <c r="AP134" t="str">
        <f ca="1"/>
        <v>NA</v>
      </c>
      <c r="AQ134" t="str">
        <f ca="1"/>
        <v>NA</v>
      </c>
      <c r="AR134">
        <f ca="1"/>
        <v>0</v>
      </c>
      <c r="AS134" s="42" t="str">
        <f ca="1"/>
        <v>NA</v>
      </c>
      <c r="AT134" t="str">
        <f ca="1"/>
        <v>0119/2022</v>
      </c>
      <c r="AU134" t="str">
        <f ca="1"/>
        <v>Vide Police Station</v>
      </c>
      <c r="AV134" t="str">
        <f ca="1"/>
        <v>Nanded</v>
      </c>
      <c r="AW134" t="str">
        <f ca="1"/>
        <v>NA</v>
      </c>
      <c r="AX134" s="42" t="str">
        <f ca="1"/>
        <v>WIP</v>
      </c>
      <c r="AY134" t="str">
        <f ca="1"/>
        <v xml:space="preserve">NA </v>
      </c>
      <c r="AZ134">
        <f ca="1"/>
        <v>0</v>
      </c>
      <c r="BA134">
        <f ca="1"/>
        <v>0</v>
      </c>
      <c r="BB134" s="42" t="str">
        <f ca="1"/>
        <v>NA</v>
      </c>
      <c r="BC134">
        <f ca="1"/>
        <v>0</v>
      </c>
      <c r="BD134">
        <f ca="1"/>
        <v>0</v>
      </c>
      <c r="BE134">
        <f ca="1"/>
        <v>0</v>
      </c>
    </row>
    <row r="135" spans="1:57">
      <c r="A135" s="42">
        <f ca="1"/>
        <v>134</v>
      </c>
      <c r="B135" s="42" t="str">
        <f ca="1"/>
        <v>2025200081</v>
      </c>
      <c r="C135" s="42" t="str">
        <f ca="1"/>
        <v>Indusind General Insurance Co Ltd</v>
      </c>
      <c r="D135" s="42" t="str">
        <f ca="1"/>
        <v>MACT</v>
      </c>
      <c r="E135" s="42" t="str">
        <f ca="1"/>
        <v>R001-1134-SS-2025</v>
      </c>
      <c r="F135" s="310">
        <f ca="1"/>
        <v>45989</v>
      </c>
      <c r="G135" s="42" t="str">
        <f ca="1"/>
        <v>Nov-25</v>
      </c>
      <c r="H135" s="312" t="str">
        <f ca="1"/>
        <v>-</v>
      </c>
      <c r="I135" s="42">
        <f ca="1"/>
        <v>0</v>
      </c>
      <c r="J135" s="310">
        <f ca="1"/>
        <v>46010</v>
      </c>
      <c r="K135" s="42">
        <f ca="1"/>
        <v>38</v>
      </c>
      <c r="L135" s="42" t="str">
        <f ca="1"/>
        <v>AT</v>
      </c>
      <c r="M135" s="42" t="str">
        <f ca="1"/>
        <v>Partial Case</v>
      </c>
      <c r="N135" s="42" t="str">
        <f ca="1"/>
        <v>Open</v>
      </c>
      <c r="O135" s="42" t="str">
        <f ca="1"/>
        <v>Pending CS</v>
      </c>
      <c r="P135" t="str">
        <f ca="1"/>
        <v>Required complete Chargesheet</v>
      </c>
      <c r="Q135" t="str">
        <f ca="1"/>
        <v>NA</v>
      </c>
      <c r="R135" t="str">
        <f ca="1"/>
        <v>NA</v>
      </c>
      <c r="S135" t="str">
        <f ca="1"/>
        <v xml:space="preserve">NA </v>
      </c>
      <c r="T135" s="314" t="str">
        <f ca="1"/>
        <v>NA</v>
      </c>
      <c r="U135" t="str">
        <f ca="1"/>
        <v xml:space="preserve">NA </v>
      </c>
      <c r="V135">
        <f ca="1"/>
        <v>0</v>
      </c>
      <c r="W135">
        <f ca="1"/>
        <v>0</v>
      </c>
      <c r="X135" s="42" t="str">
        <f ca="1"/>
        <v>NA</v>
      </c>
      <c r="Y135" t="str">
        <f ca="1"/>
        <v>NA</v>
      </c>
      <c r="Z135" t="str">
        <f ca="1"/>
        <v>NA</v>
      </c>
      <c r="AA135" t="str">
        <f ca="1"/>
        <v>NA</v>
      </c>
      <c r="AB135" t="str">
        <f ca="1"/>
        <v>NA</v>
      </c>
      <c r="AC135" s="42" t="str">
        <f ca="1"/>
        <v>NA</v>
      </c>
      <c r="AD135" t="str">
        <f ca="1"/>
        <v>NA</v>
      </c>
      <c r="AE135">
        <f ca="1"/>
        <v>0</v>
      </c>
      <c r="AF135" t="str">
        <f ca="1"/>
        <v>NA</v>
      </c>
      <c r="AG135" s="42" t="str">
        <f ca="1"/>
        <v>NA</v>
      </c>
      <c r="AH135" t="str">
        <f ca="1"/>
        <v>NA</v>
      </c>
      <c r="AI135" s="42" t="str">
        <f ca="1"/>
        <v>NA</v>
      </c>
      <c r="AJ135" t="str">
        <f ca="1"/>
        <v>NA</v>
      </c>
      <c r="AK135" s="42" t="str">
        <f ca="1"/>
        <v>NA</v>
      </c>
      <c r="AL135" t="str">
        <f ca="1"/>
        <v>NA</v>
      </c>
      <c r="AM135" s="42" t="str">
        <f ca="1"/>
        <v>NA</v>
      </c>
      <c r="AN135" t="str">
        <f ca="1"/>
        <v>NA</v>
      </c>
      <c r="AO135" s="42" t="str">
        <f ca="1"/>
        <v>NA</v>
      </c>
      <c r="AP135" t="str">
        <f ca="1"/>
        <v>NA</v>
      </c>
      <c r="AQ135" t="str">
        <f ca="1"/>
        <v>NA</v>
      </c>
      <c r="AR135">
        <f ca="1"/>
        <v>0</v>
      </c>
      <c r="AS135" s="42" t="str">
        <f ca="1"/>
        <v>NA</v>
      </c>
      <c r="AT135" t="str">
        <f ca="1"/>
        <v>321/2023</v>
      </c>
      <c r="AU135" t="str">
        <f ca="1"/>
        <v>Loha Police Station</v>
      </c>
      <c r="AV135" t="str">
        <f ca="1"/>
        <v>NA</v>
      </c>
      <c r="AW135" t="str">
        <f ca="1"/>
        <v>NA</v>
      </c>
      <c r="AX135" s="42" t="str">
        <f ca="1"/>
        <v>WIP</v>
      </c>
      <c r="AY135" t="str">
        <f ca="1"/>
        <v xml:space="preserve">NA </v>
      </c>
      <c r="AZ135">
        <f ca="1"/>
        <v>0</v>
      </c>
      <c r="BA135">
        <f ca="1"/>
        <v>0</v>
      </c>
      <c r="BB135" s="42" t="str">
        <f ca="1"/>
        <v>NA</v>
      </c>
      <c r="BC135">
        <f ca="1"/>
        <v>0</v>
      </c>
      <c r="BD135">
        <f ca="1"/>
        <v>0</v>
      </c>
      <c r="BE135">
        <f ca="1"/>
        <v>0</v>
      </c>
    </row>
    <row r="136" spans="1:57">
      <c r="A136" s="42">
        <f ca="1"/>
        <v>135</v>
      </c>
      <c r="B136" s="42" t="str">
        <f ca="1"/>
        <v>2024200689</v>
      </c>
      <c r="C136" s="42" t="str">
        <f ca="1"/>
        <v>Indusind General Insurance Co Ltd</v>
      </c>
      <c r="D136" s="42" t="str">
        <f ca="1"/>
        <v>MACT</v>
      </c>
      <c r="E136" s="42" t="str">
        <f ca="1"/>
        <v>R001-1135-SS-2025</v>
      </c>
      <c r="F136" s="310">
        <f ca="1"/>
        <v>45989</v>
      </c>
      <c r="G136" s="42" t="str">
        <f ca="1"/>
        <v>Nov-25</v>
      </c>
      <c r="H136" s="312" t="str">
        <f ca="1"/>
        <v>-</v>
      </c>
      <c r="I136" s="42">
        <f ca="1"/>
        <v>0</v>
      </c>
      <c r="J136" s="310">
        <f ca="1"/>
        <v>46010</v>
      </c>
      <c r="K136" s="42">
        <f ca="1"/>
        <v>38</v>
      </c>
      <c r="L136" s="42" t="str">
        <f ca="1"/>
        <v>AT</v>
      </c>
      <c r="M136" s="42" t="str">
        <f ca="1"/>
        <v>Partial Case</v>
      </c>
      <c r="N136" s="42" t="str">
        <f ca="1"/>
        <v>Open</v>
      </c>
      <c r="O136" s="42" t="str">
        <f ca="1"/>
        <v>WIP</v>
      </c>
      <c r="P136" t="str">
        <f ca="1"/>
        <v>For Police Part &amp; Hospital details</v>
      </c>
      <c r="Q136" t="str">
        <f ca="1"/>
        <v>Iramna Wife Of Ramayya                              Hospital Name= Medical Officer Govt. Hospital Latur</v>
      </c>
      <c r="R136" t="str">
        <f ca="1"/>
        <v>NA</v>
      </c>
      <c r="S136" t="str">
        <f ca="1"/>
        <v xml:space="preserve">NA </v>
      </c>
      <c r="T136" s="314" t="str">
        <f ca="1"/>
        <v>NA</v>
      </c>
      <c r="U136" t="str">
        <f ca="1"/>
        <v xml:space="preserve">NA </v>
      </c>
      <c r="V136">
        <f ca="1"/>
        <v>0</v>
      </c>
      <c r="W136">
        <f ca="1"/>
        <v>0</v>
      </c>
      <c r="X136" s="42" t="str">
        <f ca="1"/>
        <v>NA</v>
      </c>
      <c r="Y136" t="str">
        <f ca="1"/>
        <v>NA</v>
      </c>
      <c r="Z136" t="str">
        <f ca="1"/>
        <v>NA</v>
      </c>
      <c r="AA136" t="str">
        <f ca="1"/>
        <v>NA</v>
      </c>
      <c r="AB136" t="str">
        <f ca="1"/>
        <v>NA</v>
      </c>
      <c r="AC136" s="42" t="str">
        <f ca="1"/>
        <v>NA</v>
      </c>
      <c r="AD136" t="str">
        <f ca="1"/>
        <v>NA</v>
      </c>
      <c r="AE136">
        <f ca="1"/>
        <v>0</v>
      </c>
      <c r="AF136" t="str">
        <f ca="1"/>
        <v>NA</v>
      </c>
      <c r="AG136" s="42" t="str">
        <f ca="1"/>
        <v>NA</v>
      </c>
      <c r="AH136" t="str">
        <f ca="1"/>
        <v>NA</v>
      </c>
      <c r="AI136" s="42" t="str">
        <f ca="1"/>
        <v>NA</v>
      </c>
      <c r="AJ136" t="str">
        <f ca="1"/>
        <v>NA</v>
      </c>
      <c r="AK136" s="42" t="str">
        <f ca="1"/>
        <v>NA</v>
      </c>
      <c r="AL136" t="str">
        <f ca="1"/>
        <v>NA</v>
      </c>
      <c r="AM136" s="42" t="str">
        <f ca="1"/>
        <v>NA</v>
      </c>
      <c r="AN136" t="str">
        <f ca="1"/>
        <v>NA</v>
      </c>
      <c r="AO136" s="42" t="str">
        <f ca="1"/>
        <v>NA</v>
      </c>
      <c r="AP136" t="str">
        <f ca="1"/>
        <v>NA</v>
      </c>
      <c r="AQ136" t="str">
        <f ca="1"/>
        <v>NA</v>
      </c>
      <c r="AR136">
        <f ca="1"/>
        <v>0</v>
      </c>
      <c r="AS136" s="42" t="str">
        <f ca="1"/>
        <v>NA</v>
      </c>
      <c r="AT136" t="str">
        <f ca="1"/>
        <v>285/2023</v>
      </c>
      <c r="AU136" t="str">
        <f ca="1"/>
        <v>Omarga Police Station</v>
      </c>
      <c r="AV136" t="str">
        <f ca="1"/>
        <v>NA</v>
      </c>
      <c r="AW136" t="str">
        <f ca="1"/>
        <v>NA</v>
      </c>
      <c r="AX136" s="42" t="str">
        <f ca="1"/>
        <v>WIP</v>
      </c>
      <c r="AY136" t="str">
        <f ca="1"/>
        <v>Medical Officer Govt. Hospital Latur</v>
      </c>
      <c r="AZ136">
        <f ca="1"/>
        <v>0</v>
      </c>
      <c r="BA136">
        <f ca="1"/>
        <v>0</v>
      </c>
      <c r="BB136" s="42" t="str">
        <f ca="1"/>
        <v>WIP</v>
      </c>
      <c r="BC136">
        <f ca="1"/>
        <v>0</v>
      </c>
      <c r="BD136">
        <f ca="1"/>
        <v>0</v>
      </c>
      <c r="BE136">
        <f ca="1"/>
        <v>0</v>
      </c>
    </row>
    <row r="137" spans="1:57">
      <c r="A137" s="42">
        <f ca="1"/>
        <v>136</v>
      </c>
      <c r="B137" s="42" t="str">
        <f ca="1"/>
        <v>2024216011</v>
      </c>
      <c r="C137" s="42" t="str">
        <f ca="1"/>
        <v>Indusind General Insurance Co Ltd</v>
      </c>
      <c r="D137" s="42" t="str">
        <f ca="1"/>
        <v>MACT</v>
      </c>
      <c r="E137" s="42" t="str">
        <f ca="1"/>
        <v>R001-1136-SS-2025</v>
      </c>
      <c r="F137" s="310">
        <f ca="1"/>
        <v>45989</v>
      </c>
      <c r="G137" s="42" t="str">
        <f ca="1"/>
        <v>Nov-25</v>
      </c>
      <c r="H137" s="312" t="str">
        <f ca="1"/>
        <v>-</v>
      </c>
      <c r="I137" s="42">
        <f ca="1"/>
        <v>0</v>
      </c>
      <c r="J137" s="310">
        <f ca="1"/>
        <v>46031</v>
      </c>
      <c r="K137" s="42">
        <f ca="1"/>
        <v>38</v>
      </c>
      <c r="L137" s="42" t="str">
        <f ca="1"/>
        <v>AT</v>
      </c>
      <c r="M137" s="42" t="str">
        <f ca="1"/>
        <v>Full Case</v>
      </c>
      <c r="N137" s="42" t="str">
        <f ca="1"/>
        <v>Open</v>
      </c>
      <c r="O137" s="42" t="str">
        <f ca="1"/>
        <v>WIP</v>
      </c>
      <c r="P137" t="str">
        <f ca="1"/>
        <v>Amit Dalvi Sir</v>
      </c>
      <c r="Q137" t="str">
        <f ca="1"/>
        <v>Pandurang Tukaram Suravase</v>
      </c>
      <c r="R137" t="str">
        <f ca="1"/>
        <v>R/o  72, Rajuri, Sangola, Dist. Solapur</v>
      </c>
      <c r="S137" t="str">
        <f ca="1"/>
        <v>Solapur</v>
      </c>
      <c r="T137" s="314" t="str">
        <f ca="1"/>
        <v>WIP</v>
      </c>
      <c r="U137" t="str">
        <f ca="1"/>
        <v xml:space="preserve">NA </v>
      </c>
      <c r="V137">
        <f ca="1"/>
        <v>0</v>
      </c>
      <c r="W137">
        <f ca="1"/>
        <v>0</v>
      </c>
      <c r="X137" s="42" t="str">
        <f ca="1"/>
        <v>NA</v>
      </c>
      <c r="Y137" t="str">
        <f ca="1"/>
        <v>Vishwasu Appasso Patil</v>
      </c>
      <c r="Z137" t="str">
        <f ca="1"/>
        <v>R/o Kuchi, Kavthe Mahankal, Dist. sangli</v>
      </c>
      <c r="AA137" t="str">
        <f ca="1"/>
        <v>Sangli</v>
      </c>
      <c r="AB137" t="str">
        <f ca="1"/>
        <v>NA</v>
      </c>
      <c r="AC137" s="42" t="str">
        <f ca="1"/>
        <v>WIP</v>
      </c>
      <c r="AD137" t="str">
        <f ca="1"/>
        <v>Bibhishan Rambhau Bhairat</v>
      </c>
      <c r="AE137">
        <f ca="1"/>
        <v>0</v>
      </c>
      <c r="AF137" t="str">
        <f ca="1"/>
        <v>R/o Shelgaon, P.O. Saramkundi, Vashi,
Dist. Osmanabad</v>
      </c>
      <c r="AG137" s="42" t="str">
        <f ca="1"/>
        <v>WIP</v>
      </c>
      <c r="AH137" t="str">
        <f ca="1"/>
        <v>NA</v>
      </c>
      <c r="AI137" s="42" t="str">
        <f ca="1"/>
        <v>NA</v>
      </c>
      <c r="AJ137" t="str">
        <f ca="1"/>
        <v>NA</v>
      </c>
      <c r="AK137" s="42" t="str">
        <f ca="1"/>
        <v>NA</v>
      </c>
      <c r="AL137" t="str">
        <f ca="1"/>
        <v>NA</v>
      </c>
      <c r="AM137" s="42" t="str">
        <f ca="1"/>
        <v>NA</v>
      </c>
      <c r="AN137" t="str">
        <f ca="1"/>
        <v>NA</v>
      </c>
      <c r="AO137" s="42" t="str">
        <f ca="1"/>
        <v>NA</v>
      </c>
      <c r="AP137" t="str">
        <f ca="1"/>
        <v>NA</v>
      </c>
      <c r="AQ137" t="str">
        <f ca="1"/>
        <v>on the left side of the road from Landgewadi to Kuchi village, near the house of Umesh Babar, who was carrying milk.
Dist. Osmanabad</v>
      </c>
      <c r="AR137">
        <f ca="1"/>
        <v>0</v>
      </c>
      <c r="AS137" s="42" t="str">
        <f ca="1"/>
        <v>WIP</v>
      </c>
      <c r="AT137" t="str">
        <f ca="1"/>
        <v>496/2020</v>
      </c>
      <c r="AU137" t="str">
        <f ca="1"/>
        <v>Kavthemahankal Police Station</v>
      </c>
      <c r="AV137" t="str">
        <f ca="1"/>
        <v>Sangali</v>
      </c>
      <c r="AW137" t="str">
        <f ca="1"/>
        <v>NA</v>
      </c>
      <c r="AX137" s="42" t="str">
        <f ca="1"/>
        <v>WIP</v>
      </c>
      <c r="AY137" t="str">
        <f ca="1"/>
        <v xml:space="preserve">NA </v>
      </c>
      <c r="AZ137">
        <f ca="1"/>
        <v>0</v>
      </c>
      <c r="BA137">
        <f ca="1"/>
        <v>0</v>
      </c>
      <c r="BB137" s="42" t="str">
        <f ca="1"/>
        <v>NA</v>
      </c>
      <c r="BC137">
        <f ca="1"/>
        <v>0</v>
      </c>
      <c r="BD137">
        <f ca="1"/>
        <v>0</v>
      </c>
      <c r="BE137">
        <f ca="1"/>
        <v>0</v>
      </c>
    </row>
    <row r="138" spans="1:57">
      <c r="A138" s="42">
        <f ca="1"/>
        <v>137</v>
      </c>
      <c r="B138" s="42" t="str">
        <f ca="1"/>
        <v>2025202308</v>
      </c>
      <c r="C138" s="42" t="str">
        <f ca="1"/>
        <v>Indusind General Insurance Co Ltd</v>
      </c>
      <c r="D138" s="42" t="str">
        <f ca="1"/>
        <v>MACT</v>
      </c>
      <c r="E138" s="42" t="str">
        <f ca="1"/>
        <v>R001-1137-SS-2025</v>
      </c>
      <c r="F138" s="310">
        <f ca="1"/>
        <v>45989</v>
      </c>
      <c r="G138" s="42" t="str">
        <f ca="1"/>
        <v>Nov-25</v>
      </c>
      <c r="H138" s="312" t="str">
        <f ca="1"/>
        <v>-</v>
      </c>
      <c r="I138" s="42">
        <f ca="1"/>
        <v>0</v>
      </c>
      <c r="J138" s="310">
        <f ca="1"/>
        <v>46031</v>
      </c>
      <c r="K138" s="42">
        <f ca="1"/>
        <v>38</v>
      </c>
      <c r="L138" s="42" t="str">
        <f ca="1"/>
        <v>AT</v>
      </c>
      <c r="M138" s="42" t="str">
        <f ca="1"/>
        <v>Full Case</v>
      </c>
      <c r="N138" s="42" t="str">
        <f ca="1"/>
        <v>STOP</v>
      </c>
      <c r="O138" s="42" t="str">
        <f ca="1"/>
        <v>Withdraw</v>
      </c>
      <c r="P138">
        <f ca="1"/>
        <v>0</v>
      </c>
      <c r="Q138" t="str">
        <f ca="1"/>
        <v>NA</v>
      </c>
      <c r="R138" t="str">
        <f ca="1"/>
        <v>NA</v>
      </c>
      <c r="S138" t="str">
        <f ca="1"/>
        <v xml:space="preserve">NA </v>
      </c>
      <c r="T138" s="314" t="str">
        <f ca="1"/>
        <v>NA</v>
      </c>
      <c r="U138" t="str">
        <f ca="1"/>
        <v>NA</v>
      </c>
      <c r="V138">
        <f ca="1"/>
        <v>0</v>
      </c>
      <c r="W138">
        <f ca="1"/>
        <v>0</v>
      </c>
      <c r="X138" s="42" t="str">
        <f ca="1"/>
        <v>NA</v>
      </c>
      <c r="Y138" t="str">
        <f ca="1"/>
        <v>NA</v>
      </c>
      <c r="Z138" t="str">
        <f ca="1"/>
        <v>NA</v>
      </c>
      <c r="AA138" t="str">
        <f ca="1"/>
        <v>NA</v>
      </c>
      <c r="AB138" t="str">
        <f ca="1"/>
        <v>NA</v>
      </c>
      <c r="AC138" s="42" t="str">
        <f ca="1"/>
        <v>NA</v>
      </c>
      <c r="AD138" t="str">
        <f ca="1"/>
        <v>NA</v>
      </c>
      <c r="AE138">
        <f ca="1"/>
        <v>0</v>
      </c>
      <c r="AF138" t="str">
        <f ca="1"/>
        <v>NA</v>
      </c>
      <c r="AG138" s="42" t="str">
        <f ca="1"/>
        <v>NA</v>
      </c>
      <c r="AH138" t="str">
        <f ca="1"/>
        <v>NA</v>
      </c>
      <c r="AI138" s="42" t="str">
        <f ca="1"/>
        <v>NA</v>
      </c>
      <c r="AJ138" t="str">
        <f ca="1"/>
        <v>NA</v>
      </c>
      <c r="AK138" s="42" t="str">
        <f ca="1"/>
        <v>NA</v>
      </c>
      <c r="AL138" t="str">
        <f ca="1"/>
        <v>NA</v>
      </c>
      <c r="AM138" s="42" t="str">
        <f ca="1"/>
        <v>NA</v>
      </c>
      <c r="AN138" t="str">
        <f ca="1"/>
        <v>NA</v>
      </c>
      <c r="AO138" s="42" t="str">
        <f ca="1"/>
        <v>NA</v>
      </c>
      <c r="AP138" t="str">
        <f ca="1"/>
        <v>NA</v>
      </c>
      <c r="AQ138" t="str">
        <f ca="1"/>
        <v>NA</v>
      </c>
      <c r="AR138">
        <f ca="1"/>
        <v>0</v>
      </c>
      <c r="AS138" s="42" t="str">
        <f ca="1"/>
        <v>NA</v>
      </c>
      <c r="AT138" t="str">
        <f ca="1"/>
        <v>0052/2024</v>
      </c>
      <c r="AU138" t="str">
        <f ca="1"/>
        <v>Kuntur Police Station</v>
      </c>
      <c r="AV138" t="str">
        <f ca="1"/>
        <v>Nanded</v>
      </c>
      <c r="AW138" t="str">
        <f ca="1"/>
        <v>NA</v>
      </c>
      <c r="AX138" s="42" t="str">
        <f ca="1"/>
        <v>NA</v>
      </c>
      <c r="AY138" t="str">
        <f ca="1"/>
        <v xml:space="preserve">Bhagwati Hospital and Yashosai Hospital </v>
      </c>
      <c r="AZ138">
        <f ca="1"/>
        <v>0</v>
      </c>
      <c r="BA138">
        <f ca="1"/>
        <v>0</v>
      </c>
      <c r="BB138" s="42" t="str">
        <f ca="1"/>
        <v>NA</v>
      </c>
      <c r="BC138">
        <f ca="1"/>
        <v>0</v>
      </c>
      <c r="BD138">
        <f ca="1"/>
        <v>0</v>
      </c>
      <c r="BE138">
        <f ca="1"/>
        <v>0</v>
      </c>
    </row>
    <row r="139" spans="1:57">
      <c r="A139" s="42">
        <f ca="1"/>
        <v>138</v>
      </c>
      <c r="B139" s="42" t="str">
        <f ca="1"/>
        <v>2585893</v>
      </c>
      <c r="C139" s="42" t="str">
        <f ca="1"/>
        <v>SBI General Insurance Company Ltd</v>
      </c>
      <c r="D139" s="42" t="str">
        <f ca="1"/>
        <v>MACT</v>
      </c>
      <c r="E139" s="42" t="str">
        <f ca="1"/>
        <v>S002-1138-SS-2025</v>
      </c>
      <c r="F139" s="310">
        <f ca="1"/>
        <v>45989</v>
      </c>
      <c r="G139" s="42" t="str">
        <f ca="1"/>
        <v>Nov-25</v>
      </c>
      <c r="H139" s="312" t="str">
        <f ca="1"/>
        <v>-</v>
      </c>
      <c r="I139" s="42">
        <f ca="1"/>
        <v>0</v>
      </c>
      <c r="J139" s="310">
        <f ca="1"/>
        <v>46010</v>
      </c>
      <c r="K139" s="42">
        <f ca="1"/>
        <v>38</v>
      </c>
      <c r="L139" s="42" t="str">
        <f ca="1"/>
        <v>AT</v>
      </c>
      <c r="M139" s="42" t="str">
        <f ca="1"/>
        <v>Partial Case</v>
      </c>
      <c r="N139" s="42" t="str">
        <f ca="1"/>
        <v>STOP</v>
      </c>
      <c r="O139" s="42" t="str">
        <f ca="1"/>
        <v>Withdraw</v>
      </c>
      <c r="P139" t="str">
        <f ca="1"/>
        <v>Insured and driver</v>
      </c>
      <c r="Q139" t="str">
        <f ca="1"/>
        <v>NA</v>
      </c>
      <c r="R139" t="str">
        <f ca="1"/>
        <v>NA</v>
      </c>
      <c r="S139" t="str">
        <f ca="1"/>
        <v xml:space="preserve">NA </v>
      </c>
      <c r="T139" s="314" t="str">
        <f ca="1"/>
        <v>NA</v>
      </c>
      <c r="U139" t="str">
        <f ca="1"/>
        <v>NA</v>
      </c>
      <c r="V139">
        <f ca="1"/>
        <v>0</v>
      </c>
      <c r="W139">
        <f ca="1"/>
        <v>0</v>
      </c>
      <c r="X139" s="42" t="str">
        <f ca="1"/>
        <v>NA</v>
      </c>
      <c r="Y139" t="str">
        <f ca="1"/>
        <v>Sheikh Junaid Sheikh Nazir</v>
      </c>
      <c r="Z139" t="str">
        <f ca="1"/>
        <v>R/o   Near Ibrahim Kirana Shop, Sanjay Nagar, Ambika Market, Old Jalna, Dist. Jalna-431203</v>
      </c>
      <c r="AA139" t="str">
        <f ca="1"/>
        <v>Jalna</v>
      </c>
      <c r="AB139" t="str">
        <f ca="1"/>
        <v>NA</v>
      </c>
      <c r="AC139" s="42" t="str">
        <f ca="1"/>
        <v>Completed</v>
      </c>
      <c r="AD139" t="str">
        <f ca="1"/>
        <v>NA</v>
      </c>
      <c r="AE139">
        <f ca="1"/>
        <v>0</v>
      </c>
      <c r="AF139" t="str">
        <f ca="1"/>
        <v>NA</v>
      </c>
      <c r="AG139" s="42" t="str">
        <f ca="1"/>
        <v>Completed</v>
      </c>
      <c r="AH139" t="str">
        <f ca="1"/>
        <v>NA</v>
      </c>
      <c r="AI139" s="42" t="str">
        <f ca="1"/>
        <v>NA</v>
      </c>
      <c r="AJ139" t="str">
        <f ca="1"/>
        <v>NA</v>
      </c>
      <c r="AK139" s="42" t="str">
        <f ca="1"/>
        <v>NA</v>
      </c>
      <c r="AL139" t="str">
        <f ca="1"/>
        <v xml:space="preserve">NA </v>
      </c>
      <c r="AM139" s="42" t="str">
        <f ca="1"/>
        <v xml:space="preserve">NA </v>
      </c>
      <c r="AN139" t="str">
        <f ca="1"/>
        <v xml:space="preserve">NA </v>
      </c>
      <c r="AO139" s="42" t="str">
        <f ca="1"/>
        <v>NA</v>
      </c>
      <c r="AP139" t="str">
        <f ca="1"/>
        <v xml:space="preserve">NA </v>
      </c>
      <c r="AQ139" t="str">
        <f ca="1"/>
        <v xml:space="preserve">NA </v>
      </c>
      <c r="AR139">
        <f ca="1"/>
        <v>0</v>
      </c>
      <c r="AS139" s="42" t="str">
        <f ca="1"/>
        <v>NA</v>
      </c>
      <c r="AT139" t="str">
        <f ca="1"/>
        <v>428/2024</v>
      </c>
      <c r="AU139" t="str">
        <f ca="1"/>
        <v>Jalgoan Police Station</v>
      </c>
      <c r="AV139" t="str">
        <f ca="1"/>
        <v>Jalgoan</v>
      </c>
      <c r="AW139" t="str">
        <f ca="1"/>
        <v>NA</v>
      </c>
      <c r="AX139" s="42" t="str">
        <f ca="1"/>
        <v>NA</v>
      </c>
      <c r="AY139" t="str">
        <f ca="1"/>
        <v xml:space="preserve">NA </v>
      </c>
      <c r="AZ139">
        <f ca="1"/>
        <v>0</v>
      </c>
      <c r="BA139">
        <f ca="1"/>
        <v>0</v>
      </c>
      <c r="BB139" s="42" t="str">
        <f ca="1"/>
        <v xml:space="preserve">NA </v>
      </c>
      <c r="BC139">
        <f ca="1"/>
        <v>0</v>
      </c>
      <c r="BD139">
        <f ca="1"/>
        <v>0</v>
      </c>
      <c r="BE139">
        <f ca="1"/>
        <v>0</v>
      </c>
    </row>
    <row r="140" spans="1:57">
      <c r="A140" s="42">
        <f ca="1"/>
        <v>139</v>
      </c>
      <c r="B140" s="42" t="str">
        <f ca="1"/>
        <v>2025213092</v>
      </c>
      <c r="C140" s="42" t="str">
        <f ca="1"/>
        <v>Indusind General Insurance Co Ltd</v>
      </c>
      <c r="D140" s="42" t="str">
        <f ca="1"/>
        <v>MACT</v>
      </c>
      <c r="E140" s="42" t="str">
        <f ca="1"/>
        <v>R001-1139-SS-2025</v>
      </c>
      <c r="F140" s="310">
        <f ca="1"/>
        <v>45990</v>
      </c>
      <c r="G140" s="42" t="str">
        <f ca="1"/>
        <v>Nov-25</v>
      </c>
      <c r="H140" s="312" t="str">
        <f ca="1"/>
        <v>-</v>
      </c>
      <c r="I140" s="42">
        <f ca="1"/>
        <v>0</v>
      </c>
      <c r="J140" s="310">
        <f ca="1"/>
        <v>46010</v>
      </c>
      <c r="K140" s="42">
        <f ca="1"/>
        <v>37</v>
      </c>
      <c r="L140" s="42" t="str">
        <f ca="1"/>
        <v>AT</v>
      </c>
      <c r="M140" s="42" t="str">
        <f ca="1"/>
        <v>Partial Case</v>
      </c>
      <c r="N140" s="42" t="str">
        <f ca="1"/>
        <v>Open</v>
      </c>
      <c r="O140" s="42" t="str">
        <f ca="1"/>
        <v>WIP</v>
      </c>
      <c r="P140" t="str">
        <f ca="1"/>
        <v>For Police Part and Insured cum Driver Part</v>
      </c>
      <c r="Q140" t="str">
        <f ca="1"/>
        <v>NA</v>
      </c>
      <c r="R140" t="str">
        <f ca="1"/>
        <v>NA</v>
      </c>
      <c r="S140" t="str">
        <f ca="1"/>
        <v xml:space="preserve">NA </v>
      </c>
      <c r="T140" s="314" t="str">
        <f ca="1"/>
        <v xml:space="preserve">NA </v>
      </c>
      <c r="U140" t="str">
        <f ca="1"/>
        <v>NA</v>
      </c>
      <c r="V140">
        <f ca="1"/>
        <v>0</v>
      </c>
      <c r="W140">
        <f ca="1"/>
        <v>0</v>
      </c>
      <c r="X140" s="42" t="str">
        <f ca="1"/>
        <v>NA</v>
      </c>
      <c r="Y140" t="str">
        <f ca="1"/>
        <v>RAJU DADARAO BHAGAT</v>
      </c>
      <c r="Z140" t="str">
        <f ca="1"/>
        <v>R/o .H.No.2/56, at Post Kothari Chi To Kinwat, Dist. Nanded (Maharashtra) Pin. No. 431811</v>
      </c>
      <c r="AA140" t="str">
        <f ca="1"/>
        <v>Nanded</v>
      </c>
      <c r="AB140" t="str">
        <f ca="1"/>
        <v>NA</v>
      </c>
      <c r="AC140" s="42" t="str">
        <f ca="1"/>
        <v>WIP</v>
      </c>
      <c r="AD140" t="str">
        <f ca="1"/>
        <v>RAJU DADARAO BHAGAT</v>
      </c>
      <c r="AE140" t="str">
        <f ca="1"/>
        <v>R/o .H.No.2/56, at Post Kothari Chi To Kinwat, Dist. Nanded (Maharashtra) Pin. No. 431811</v>
      </c>
      <c r="AF140" t="str">
        <f ca="1"/>
        <v>Nanded</v>
      </c>
      <c r="AG140" s="42" t="str">
        <f ca="1"/>
        <v>WIP</v>
      </c>
      <c r="AH140" t="str">
        <f ca="1"/>
        <v>NA</v>
      </c>
      <c r="AI140" s="42" t="str">
        <f ca="1"/>
        <v>NA</v>
      </c>
      <c r="AJ140" t="str">
        <f ca="1"/>
        <v>NA</v>
      </c>
      <c r="AK140" s="42" t="str">
        <f ca="1"/>
        <v>NA</v>
      </c>
      <c r="AL140" t="str">
        <f ca="1"/>
        <v xml:space="preserve">NA </v>
      </c>
      <c r="AM140" s="42" t="str">
        <f ca="1"/>
        <v xml:space="preserve">NA </v>
      </c>
      <c r="AN140" t="str">
        <f ca="1"/>
        <v xml:space="preserve">NA </v>
      </c>
      <c r="AO140" s="42" t="str">
        <f ca="1"/>
        <v>NA</v>
      </c>
      <c r="AP140" t="str">
        <f ca="1"/>
        <v xml:space="preserve">NA </v>
      </c>
      <c r="AQ140" t="str">
        <f ca="1"/>
        <v>R/o .H.No.2/56, at Post Kothari Chi To Kinwat, Dist. Nanded (Maharashtra) Pin. No. 431811</v>
      </c>
      <c r="AR140">
        <f ca="1"/>
        <v>0</v>
      </c>
      <c r="AS140" s="42" t="str">
        <f ca="1"/>
        <v>NA</v>
      </c>
      <c r="AT140" t="str">
        <f ca="1"/>
        <v>331/2025</v>
      </c>
      <c r="AU140" t="str">
        <f ca="1"/>
        <v>Parwa Police station</v>
      </c>
      <c r="AV140" t="str">
        <f ca="1"/>
        <v>Yavatmal</v>
      </c>
      <c r="AW140" t="str">
        <f ca="1"/>
        <v>NA</v>
      </c>
      <c r="AX140" s="42" t="str">
        <f ca="1"/>
        <v>WIP</v>
      </c>
      <c r="AY140" t="str">
        <f ca="1"/>
        <v xml:space="preserve">NA </v>
      </c>
      <c r="AZ140">
        <f ca="1"/>
        <v>0</v>
      </c>
      <c r="BA140">
        <f ca="1"/>
        <v>0</v>
      </c>
      <c r="BB140" s="42" t="str">
        <f ca="1"/>
        <v xml:space="preserve">NA </v>
      </c>
      <c r="BC140">
        <f ca="1"/>
        <v>0</v>
      </c>
      <c r="BD140">
        <f ca="1"/>
        <v>0</v>
      </c>
      <c r="BE140">
        <f ca="1"/>
        <v>0</v>
      </c>
    </row>
    <row r="141" spans="1:57">
      <c r="A141" s="42">
        <f ca="1"/>
        <v>140</v>
      </c>
      <c r="B141" s="42" t="str">
        <f ca="1"/>
        <v>2025204832</v>
      </c>
      <c r="C141" s="42" t="str">
        <f ca="1"/>
        <v>Indusind General Insurance Co Ltd</v>
      </c>
      <c r="D141" s="42" t="str">
        <f ca="1"/>
        <v>MACT</v>
      </c>
      <c r="E141" s="42" t="str">
        <f ca="1"/>
        <v>R001-1140-SS-2025</v>
      </c>
      <c r="F141" s="310">
        <f ca="1"/>
        <v>45990</v>
      </c>
      <c r="G141" s="42" t="str">
        <f ca="1"/>
        <v>Nov-25</v>
      </c>
      <c r="H141" s="312" t="str">
        <f ca="1"/>
        <v>-</v>
      </c>
      <c r="I141" s="42">
        <f ca="1"/>
        <v>0</v>
      </c>
      <c r="J141" s="310">
        <f ca="1"/>
        <v>46010</v>
      </c>
      <c r="K141" s="42">
        <f ca="1"/>
        <v>37</v>
      </c>
      <c r="L141" s="42" t="str">
        <f ca="1"/>
        <v>AT</v>
      </c>
      <c r="M141" s="42" t="str">
        <f ca="1"/>
        <v>Partial Case</v>
      </c>
      <c r="N141" s="42" t="str">
        <f ca="1"/>
        <v>Open</v>
      </c>
      <c r="O141" s="42" t="str">
        <f ca="1"/>
        <v>WIP</v>
      </c>
      <c r="P141" t="str">
        <f ca="1"/>
        <v>For Claimant And Police Part</v>
      </c>
      <c r="Q141" t="str">
        <f ca="1"/>
        <v>Jayshree Pramod Kalkhair</v>
      </c>
      <c r="R141" t="str">
        <f ca="1"/>
        <v>R/o  leet Tq. Bhoom District Dharashiv at present Kranti Nagar, Vijayapura.</v>
      </c>
      <c r="S141" t="str">
        <f ca="1"/>
        <v>Vijayapura</v>
      </c>
      <c r="T141" s="314" t="str">
        <f ca="1"/>
        <v>WIP</v>
      </c>
      <c r="U141" t="str">
        <f ca="1"/>
        <v>NA</v>
      </c>
      <c r="V141">
        <f ca="1"/>
        <v>0</v>
      </c>
      <c r="W141">
        <f ca="1"/>
        <v>0</v>
      </c>
      <c r="X141" s="42" t="str">
        <f ca="1"/>
        <v>NA</v>
      </c>
      <c r="Y141" t="str">
        <f ca="1"/>
        <v>NA</v>
      </c>
      <c r="Z141" t="str">
        <f ca="1"/>
        <v>NA</v>
      </c>
      <c r="AA141" t="str">
        <f ca="1"/>
        <v>NA</v>
      </c>
      <c r="AB141" t="str">
        <f ca="1"/>
        <v xml:space="preserve">NA </v>
      </c>
      <c r="AC141" s="42" t="str">
        <f ca="1"/>
        <v xml:space="preserve">NA </v>
      </c>
      <c r="AD141" t="str">
        <f ca="1"/>
        <v>NA</v>
      </c>
      <c r="AE141">
        <f ca="1"/>
        <v>0</v>
      </c>
      <c r="AF141" t="str">
        <f ca="1"/>
        <v>NA</v>
      </c>
      <c r="AG141" s="42" t="str">
        <f ca="1"/>
        <v>NA</v>
      </c>
      <c r="AH141" t="str">
        <f ca="1"/>
        <v>NA</v>
      </c>
      <c r="AI141" s="42" t="str">
        <f ca="1"/>
        <v>NA</v>
      </c>
      <c r="AJ141" t="str">
        <f ca="1"/>
        <v>NA</v>
      </c>
      <c r="AK141" s="42" t="str">
        <f ca="1"/>
        <v>NA</v>
      </c>
      <c r="AL141" t="str">
        <f ca="1"/>
        <v xml:space="preserve">NA </v>
      </c>
      <c r="AM141" s="42" t="str">
        <f ca="1"/>
        <v xml:space="preserve">NA </v>
      </c>
      <c r="AN141" t="str">
        <f ca="1"/>
        <v xml:space="preserve">NA </v>
      </c>
      <c r="AO141" s="42" t="str">
        <f ca="1"/>
        <v>NA</v>
      </c>
      <c r="AP141" t="str">
        <f ca="1"/>
        <v xml:space="preserve">NA </v>
      </c>
      <c r="AQ141" t="str">
        <f ca="1"/>
        <v>NA</v>
      </c>
      <c r="AR141">
        <f ca="1"/>
        <v>0</v>
      </c>
      <c r="AS141" s="42" t="str">
        <f ca="1"/>
        <v>NA</v>
      </c>
      <c r="AT141" t="str">
        <f ca="1"/>
        <v>338/2024</v>
      </c>
      <c r="AU141" t="str">
        <f ca="1"/>
        <v>Washi Police Station</v>
      </c>
      <c r="AV141" t="str">
        <f ca="1"/>
        <v>Washi</v>
      </c>
      <c r="AW141" t="str">
        <f ca="1"/>
        <v>NA</v>
      </c>
      <c r="AX141" s="42" t="str">
        <f ca="1"/>
        <v>WIP</v>
      </c>
      <c r="AY141" t="str">
        <f ca="1"/>
        <v xml:space="preserve">NA </v>
      </c>
      <c r="AZ141">
        <f ca="1"/>
        <v>0</v>
      </c>
      <c r="BA141">
        <f ca="1"/>
        <v>0</v>
      </c>
      <c r="BB141" s="42" t="str">
        <f ca="1"/>
        <v xml:space="preserve">NA </v>
      </c>
      <c r="BC141">
        <f ca="1"/>
        <v>0</v>
      </c>
      <c r="BD141">
        <f ca="1"/>
        <v>0</v>
      </c>
      <c r="BE141">
        <f ca="1"/>
        <v>0</v>
      </c>
    </row>
    <row r="142" spans="1:57">
      <c r="A142" s="42">
        <f ca="1"/>
        <v>141</v>
      </c>
      <c r="B142" s="42" t="str">
        <f ca="1"/>
        <v>2025213146</v>
      </c>
      <c r="C142" s="42" t="str">
        <f ca="1"/>
        <v>Indusind General Insurance Co Ltd</v>
      </c>
      <c r="D142" s="42" t="str">
        <f ca="1"/>
        <v>MACT</v>
      </c>
      <c r="E142" s="42" t="str">
        <f ca="1"/>
        <v>R001-1141-SS-2025</v>
      </c>
      <c r="F142" s="310">
        <f ca="1"/>
        <v>45990</v>
      </c>
      <c r="G142" s="42" t="str">
        <f ca="1"/>
        <v>Nov-25</v>
      </c>
      <c r="H142" s="312" t="str">
        <f ca="1"/>
        <v>-</v>
      </c>
      <c r="I142" s="42">
        <f ca="1"/>
        <v>0</v>
      </c>
      <c r="J142" s="310">
        <f ca="1"/>
        <v>46031</v>
      </c>
      <c r="K142" s="42">
        <f ca="1"/>
        <v>37</v>
      </c>
      <c r="L142" s="42" t="str">
        <f ca="1"/>
        <v>AT</v>
      </c>
      <c r="M142" s="42" t="str">
        <f ca="1"/>
        <v>Full Case</v>
      </c>
      <c r="N142" s="42" t="str">
        <f ca="1"/>
        <v>Open</v>
      </c>
      <c r="O142" s="42" t="str">
        <f ca="1"/>
        <v>WIP</v>
      </c>
      <c r="P142">
        <f ca="1"/>
        <v>0</v>
      </c>
      <c r="Q142" t="str">
        <f ca="1"/>
        <v>Vaishali  Govardhan Kakade</v>
      </c>
      <c r="R142" t="str">
        <f ca="1"/>
        <v>R/o Pimpalwadi Tq. Paranda Dist. Osmanabad</v>
      </c>
      <c r="S142" t="str">
        <f ca="1"/>
        <v>Dharashiv</v>
      </c>
      <c r="T142" s="314" t="str">
        <f ca="1"/>
        <v>WIP</v>
      </c>
      <c r="U142" t="str">
        <f ca="1"/>
        <v>NA</v>
      </c>
      <c r="V142" t="str">
        <f ca="1"/>
        <v xml:space="preserve">NA </v>
      </c>
      <c r="W142">
        <f ca="1"/>
        <v>0</v>
      </c>
      <c r="X142" s="42" t="str">
        <f ca="1"/>
        <v>NA</v>
      </c>
      <c r="Y142" t="str">
        <f ca="1"/>
        <v>Mohmad Javad Khan</v>
      </c>
      <c r="Z142" t="str">
        <f ca="1"/>
        <v>R/o  30 TT Shivaji Nagar Near Anwar UL Masjid Govind Mumbai, Maharastra Mumbai- 400043.</v>
      </c>
      <c r="AA142" t="str">
        <f ca="1"/>
        <v>Mumbai</v>
      </c>
      <c r="AB142" t="str">
        <f ca="1"/>
        <v xml:space="preserve">NA </v>
      </c>
      <c r="AC142" s="42" t="str">
        <f ca="1"/>
        <v xml:space="preserve">WIP </v>
      </c>
      <c r="AD142" t="str">
        <f ca="1"/>
        <v>Afif Akbar Pathan</v>
      </c>
      <c r="AE142">
        <f ca="1"/>
        <v>0</v>
      </c>
      <c r="AF142" t="str">
        <f ca="1"/>
        <v xml:space="preserve">Amit Dalvi </v>
      </c>
      <c r="AG142" s="42" t="str">
        <f ca="1"/>
        <v>WIP</v>
      </c>
      <c r="AH142" t="str">
        <f ca="1"/>
        <v>NA</v>
      </c>
      <c r="AI142" s="42" t="str">
        <f ca="1"/>
        <v>NA</v>
      </c>
      <c r="AJ142" t="str">
        <f ca="1"/>
        <v>NA</v>
      </c>
      <c r="AK142" s="42" t="str">
        <f ca="1"/>
        <v xml:space="preserve">NA </v>
      </c>
      <c r="AL142" t="str">
        <f ca="1"/>
        <v>NA</v>
      </c>
      <c r="AM142" s="42" t="str">
        <f ca="1"/>
        <v>NA</v>
      </c>
      <c r="AN142" t="str">
        <f ca="1"/>
        <v xml:space="preserve">NA </v>
      </c>
      <c r="AO142" s="42" t="str">
        <f ca="1"/>
        <v>NA</v>
      </c>
      <c r="AP142" t="str">
        <f ca="1"/>
        <v>NA</v>
      </c>
      <c r="AQ142" t="str">
        <f ca="1"/>
        <v>Truk in Ramkrushna Rasayan Factory loni kalbhor</v>
      </c>
      <c r="AR142">
        <f ca="1"/>
        <v>0</v>
      </c>
      <c r="AS142" s="42" t="str">
        <f ca="1"/>
        <v xml:space="preserve">WIP </v>
      </c>
      <c r="AT142" t="str">
        <f ca="1"/>
        <v>0141/2025</v>
      </c>
      <c r="AU142" t="str">
        <f ca="1"/>
        <v xml:space="preserve"> loni kalbhor Police Station</v>
      </c>
      <c r="AV142" t="str">
        <f ca="1"/>
        <v>Pune</v>
      </c>
      <c r="AW142" t="str">
        <f ca="1"/>
        <v xml:space="preserve">NA </v>
      </c>
      <c r="AX142" s="42" t="str">
        <f ca="1"/>
        <v>WIP</v>
      </c>
      <c r="AY142" t="str">
        <f ca="1"/>
        <v xml:space="preserve">NA </v>
      </c>
      <c r="AZ142">
        <f ca="1"/>
        <v>0</v>
      </c>
      <c r="BA142">
        <f ca="1"/>
        <v>0</v>
      </c>
      <c r="BB142" s="42" t="str">
        <f ca="1"/>
        <v xml:space="preserve">NA </v>
      </c>
      <c r="BC142">
        <f ca="1"/>
        <v>0</v>
      </c>
      <c r="BD142">
        <f ca="1"/>
        <v>0</v>
      </c>
      <c r="BE142">
        <f ca="1"/>
        <v>0</v>
      </c>
    </row>
    <row r="143" spans="1:57">
      <c r="A143" s="42">
        <f ca="1"/>
        <v>142</v>
      </c>
      <c r="B143" s="42" t="str">
        <f ca="1"/>
        <v>2025213359</v>
      </c>
      <c r="C143" s="42" t="str">
        <f ca="1"/>
        <v>Indusind General Insurance Co Ltd</v>
      </c>
      <c r="D143" s="42" t="str">
        <f ca="1"/>
        <v>MACT</v>
      </c>
      <c r="E143" s="42" t="str">
        <f ca="1"/>
        <v>R001-1142-SS-2025</v>
      </c>
      <c r="F143" s="310">
        <f ca="1"/>
        <v>45992</v>
      </c>
      <c r="G143" s="42" t="str">
        <f ca="1"/>
        <v>Dec-25</v>
      </c>
      <c r="H143" s="312" t="str">
        <f ca="1"/>
        <v>-</v>
      </c>
      <c r="I143" s="42">
        <f ca="1"/>
        <v>0</v>
      </c>
      <c r="J143" s="310">
        <f ca="1"/>
        <v>46034</v>
      </c>
      <c r="K143" s="42">
        <f ca="1"/>
        <v>35</v>
      </c>
      <c r="L143" s="42" t="str">
        <f ca="1"/>
        <v>AT</v>
      </c>
      <c r="M143" s="42" t="str">
        <f ca="1"/>
        <v>Full Case</v>
      </c>
      <c r="N143" s="42" t="str">
        <f ca="1"/>
        <v>Open</v>
      </c>
      <c r="O143" s="42" t="str">
        <f ca="1"/>
        <v>WIP</v>
      </c>
      <c r="P143">
        <f ca="1"/>
        <v>0</v>
      </c>
      <c r="Q143" t="str">
        <f ca="1"/>
        <v>Makhram Dharma Gopane</v>
      </c>
      <c r="R143" t="str">
        <f ca="1"/>
        <v>R/o Bodhare , Kannada Road, Chalisgaon, Dist.Jalgoan</v>
      </c>
      <c r="S143" t="str">
        <f ca="1"/>
        <v>Jalgoan</v>
      </c>
      <c r="T143" s="314" t="str">
        <f ca="1"/>
        <v>WIP</v>
      </c>
      <c r="U143" t="str">
        <f ca="1"/>
        <v xml:space="preserve">NA </v>
      </c>
      <c r="V143" t="str">
        <f ca="1"/>
        <v xml:space="preserve">NA </v>
      </c>
      <c r="W143" t="str">
        <f ca="1"/>
        <v>NA</v>
      </c>
      <c r="X143" s="42" t="str">
        <f ca="1"/>
        <v>NA</v>
      </c>
      <c r="Y143" t="str">
        <f ca="1"/>
        <v>PANDURANG GANPAT SHIGVAN</v>
      </c>
      <c r="Z143" t="str">
        <f ca="1"/>
        <v>GRD FLOOR GRD 45 GOPALWADI, BHULESHWAR ROAD PANCHAYAT WADI, KALBADEVI, MUMBAI</v>
      </c>
      <c r="AA143" t="str">
        <f ca="1"/>
        <v>Mumbai</v>
      </c>
      <c r="AB143" t="str">
        <f ca="1"/>
        <v>NA</v>
      </c>
      <c r="AC143" s="42" t="str">
        <f ca="1"/>
        <v>WIP</v>
      </c>
      <c r="AD143" t="str">
        <f ca="1"/>
        <v>Vilas Namdev Jadhv</v>
      </c>
      <c r="AE143" t="str">
        <f ca="1"/>
        <v>R/o M.Talewadi,T.Kannada,Dist.Sambhajinagar 431103</v>
      </c>
      <c r="AF143" t="str">
        <f ca="1"/>
        <v>Sambhaji nagar</v>
      </c>
      <c r="AG143" s="42" t="str">
        <f ca="1"/>
        <v>Completed</v>
      </c>
      <c r="AH143" t="str">
        <f ca="1"/>
        <v>NA</v>
      </c>
      <c r="AI143" s="42" t="str">
        <f ca="1"/>
        <v>NA</v>
      </c>
      <c r="AJ143" t="str">
        <f ca="1"/>
        <v>NA</v>
      </c>
      <c r="AK143" s="42" t="str">
        <f ca="1"/>
        <v>NA</v>
      </c>
      <c r="AL143" t="str">
        <f ca="1"/>
        <v>NA</v>
      </c>
      <c r="AM143" s="42" t="str">
        <f ca="1"/>
        <v>NA</v>
      </c>
      <c r="AN143" t="str">
        <f ca="1"/>
        <v>NA</v>
      </c>
      <c r="AO143" s="42" t="str">
        <f ca="1"/>
        <v>NA</v>
      </c>
      <c r="AP143" t="str">
        <f ca="1"/>
        <v xml:space="preserve">NA </v>
      </c>
      <c r="AQ143" t="str">
        <f ca="1"/>
        <v>On Khultabad to Phulambri road Yesgaon</v>
      </c>
      <c r="AR143" t="str">
        <f ca="1"/>
        <v>Sambhaji Nagar</v>
      </c>
      <c r="AS143" s="42" t="str">
        <f ca="1"/>
        <v>Completed</v>
      </c>
      <c r="AT143" t="str">
        <f ca="1"/>
        <v>0234/2025</v>
      </c>
      <c r="AU143" t="str">
        <f ca="1"/>
        <v>Khultabad Police Station</v>
      </c>
      <c r="AV143" t="str">
        <f ca="1"/>
        <v>Sambhaji Nagar</v>
      </c>
      <c r="AW143" t="str">
        <f ca="1"/>
        <v>NA</v>
      </c>
      <c r="AX143" s="42" t="str">
        <f ca="1"/>
        <v>NI</v>
      </c>
      <c r="AY143" t="str">
        <f ca="1"/>
        <v xml:space="preserve">NA </v>
      </c>
      <c r="AZ143" t="str">
        <f ca="1"/>
        <v>NA</v>
      </c>
      <c r="BA143" t="str">
        <f ca="1"/>
        <v>NA</v>
      </c>
      <c r="BB143" s="42" t="str">
        <f ca="1"/>
        <v>NA</v>
      </c>
      <c r="BC143" t="str">
        <f ca="1"/>
        <v>NA</v>
      </c>
      <c r="BD143">
        <f ca="1"/>
        <v>0</v>
      </c>
      <c r="BE143">
        <f ca="1"/>
        <v>0</v>
      </c>
    </row>
    <row r="144" spans="1:57">
      <c r="A144" s="42">
        <f ca="1"/>
        <v>143</v>
      </c>
      <c r="B144" s="42" t="str">
        <f ca="1"/>
        <v>2752851</v>
      </c>
      <c r="C144" s="42" t="str">
        <f ca="1"/>
        <v>SBI General Insurance Company Ltd</v>
      </c>
      <c r="D144" s="42" t="str">
        <f ca="1"/>
        <v>MACT</v>
      </c>
      <c r="E144" s="42" t="str">
        <f ca="1"/>
        <v>S002-1143-SS-2025</v>
      </c>
      <c r="F144" s="310">
        <f ca="1"/>
        <v>45992</v>
      </c>
      <c r="G144" s="42" t="str">
        <f ca="1"/>
        <v>Dec-25</v>
      </c>
      <c r="H144" s="312" t="str">
        <f ca="1"/>
        <v>-</v>
      </c>
      <c r="I144" s="42">
        <f ca="1"/>
        <v>0</v>
      </c>
      <c r="J144" s="310">
        <f ca="1"/>
        <v>46034</v>
      </c>
      <c r="K144" s="42">
        <f ca="1"/>
        <v>35</v>
      </c>
      <c r="L144" s="42" t="str">
        <f ca="1"/>
        <v>AT</v>
      </c>
      <c r="M144" s="42" t="str">
        <f ca="1"/>
        <v>Full Case</v>
      </c>
      <c r="N144" s="42" t="str">
        <f ca="1"/>
        <v>Open</v>
      </c>
      <c r="O144" s="42" t="str">
        <f ca="1"/>
        <v>WIP</v>
      </c>
      <c r="P144">
        <f ca="1"/>
        <v>0</v>
      </c>
      <c r="Q144" t="str">
        <f ca="1"/>
        <v>Irbaji  Kashinath Sarode</v>
      </c>
      <c r="R144" t="str">
        <f ca="1"/>
        <v>R/o Gunj Tq. Basmath Dist. Hingoli</v>
      </c>
      <c r="S144" t="str">
        <f ca="1"/>
        <v>Hingoli</v>
      </c>
      <c r="T144" s="314" t="str">
        <f ca="1"/>
        <v>WIP</v>
      </c>
      <c r="U144" t="str">
        <f ca="1"/>
        <v>NA</v>
      </c>
      <c r="V144" t="str">
        <f ca="1"/>
        <v xml:space="preserve">NA </v>
      </c>
      <c r="W144" t="str">
        <f ca="1"/>
        <v>NA</v>
      </c>
      <c r="X144" s="42" t="str">
        <f ca="1"/>
        <v>NI</v>
      </c>
      <c r="Y144" t="str">
        <f ca="1"/>
        <v>Dagdaji  Laxmanrao Shinde</v>
      </c>
      <c r="Z144" t="str">
        <f ca="1"/>
        <v>R/o  Alegaon Po. Marlak Tq. &amp; Dist. Nanded</v>
      </c>
      <c r="AA144" t="str">
        <f ca="1"/>
        <v>Nanded</v>
      </c>
      <c r="AB144" t="str">
        <f ca="1"/>
        <v>NA</v>
      </c>
      <c r="AC144" s="42" t="str">
        <f ca="1"/>
        <v>WIP</v>
      </c>
      <c r="AD144" t="str">
        <f ca="1"/>
        <v>NA</v>
      </c>
      <c r="AE144" t="str">
        <f ca="1"/>
        <v>NA</v>
      </c>
      <c r="AF144" t="str">
        <f ca="1"/>
        <v>NA</v>
      </c>
      <c r="AG144" s="42" t="str">
        <f ca="1"/>
        <v>NI</v>
      </c>
      <c r="AH144" t="str">
        <f ca="1"/>
        <v>NA</v>
      </c>
      <c r="AI144" s="42" t="str">
        <f ca="1"/>
        <v>NA</v>
      </c>
      <c r="AJ144" t="str">
        <f ca="1"/>
        <v>NA</v>
      </c>
      <c r="AK144" s="42" t="str">
        <f ca="1"/>
        <v>NA</v>
      </c>
      <c r="AL144" t="str">
        <f ca="1"/>
        <v>NA</v>
      </c>
      <c r="AM144" s="42" t="str">
        <f ca="1"/>
        <v>NA</v>
      </c>
      <c r="AN144" t="str">
        <f ca="1"/>
        <v>NA</v>
      </c>
      <c r="AO144" s="42" t="str">
        <f ca="1"/>
        <v>NA</v>
      </c>
      <c r="AP144" t="str">
        <f ca="1"/>
        <v xml:space="preserve">NA </v>
      </c>
      <c r="AQ144" t="str">
        <f ca="1"/>
        <v>On Gut No. 199 at Alegaon Tq. &amp; Dist. Nanded</v>
      </c>
      <c r="AR144" t="str">
        <f ca="1"/>
        <v>Nanded</v>
      </c>
      <c r="AS144" s="42" t="str">
        <f ca="1"/>
        <v>WIP</v>
      </c>
      <c r="AT144" t="str">
        <f ca="1"/>
        <v>0033/2025</v>
      </c>
      <c r="AU144" t="str">
        <f ca="1"/>
        <v>Limbgoan Poice Station</v>
      </c>
      <c r="AV144" t="str">
        <f ca="1"/>
        <v>Nanded</v>
      </c>
      <c r="AW144" t="str">
        <f ca="1"/>
        <v>NA</v>
      </c>
      <c r="AX144" s="42" t="str">
        <f ca="1"/>
        <v>WIP</v>
      </c>
      <c r="AY144" t="str">
        <f ca="1"/>
        <v xml:space="preserve">NA </v>
      </c>
      <c r="AZ144" t="str">
        <f ca="1"/>
        <v>NA</v>
      </c>
      <c r="BA144" t="str">
        <f ca="1"/>
        <v>NA</v>
      </c>
      <c r="BB144" s="42" t="str">
        <f ca="1"/>
        <v>NI</v>
      </c>
      <c r="BC144" t="str">
        <f ca="1"/>
        <v>NA</v>
      </c>
      <c r="BD144">
        <f ca="1"/>
        <v>0</v>
      </c>
      <c r="BE144">
        <f ca="1"/>
        <v>0</v>
      </c>
    </row>
    <row r="145" spans="1:57">
      <c r="A145" s="42">
        <f ca="1"/>
        <v>144</v>
      </c>
      <c r="B145" s="42" t="str">
        <f ca="1"/>
        <v>2752855</v>
      </c>
      <c r="C145" s="42" t="str">
        <f ca="1"/>
        <v>SBI General Insurance Company Ltd</v>
      </c>
      <c r="D145" s="42" t="str">
        <f ca="1"/>
        <v>MACT</v>
      </c>
      <c r="E145" s="42" t="str">
        <f ca="1"/>
        <v>S002-1144-SS-2025</v>
      </c>
      <c r="F145" s="310">
        <f ca="1"/>
        <v>45992</v>
      </c>
      <c r="G145" s="42" t="str">
        <f ca="1"/>
        <v>Dec-25</v>
      </c>
      <c r="H145" s="312" t="str">
        <f ca="1"/>
        <v>-</v>
      </c>
      <c r="I145" s="42">
        <f ca="1"/>
        <v>0</v>
      </c>
      <c r="J145" s="310">
        <f ca="1"/>
        <v>46034</v>
      </c>
      <c r="K145" s="42">
        <f ca="1"/>
        <v>35</v>
      </c>
      <c r="L145" s="42" t="str">
        <f ca="1"/>
        <v>AT</v>
      </c>
      <c r="M145" s="42" t="str">
        <f ca="1"/>
        <v>Full Case</v>
      </c>
      <c r="N145" s="42" t="str">
        <f ca="1"/>
        <v>Open</v>
      </c>
      <c r="O145" s="42" t="str">
        <f ca="1"/>
        <v>WIP</v>
      </c>
      <c r="P145">
        <f ca="1"/>
        <v>0</v>
      </c>
      <c r="Q145" t="str">
        <f ca="1"/>
        <v>Suhas  Shashikant Sutar</v>
      </c>
      <c r="R145" t="str">
        <f ca="1"/>
        <v>R/o Kasba Peth Barshi, Tal. Barshi, Distt. Solapur At Present Kasbe Tadwale, Tal. &amp; Dist. Dharashiv</v>
      </c>
      <c r="S145" t="str">
        <f ca="1"/>
        <v>Dharashiv</v>
      </c>
      <c r="T145" s="314" t="str">
        <f ca="1"/>
        <v>WIP</v>
      </c>
      <c r="U145" t="str">
        <f ca="1"/>
        <v xml:space="preserve">NA </v>
      </c>
      <c r="V145" t="str">
        <f ca="1"/>
        <v xml:space="preserve">NA </v>
      </c>
      <c r="W145" t="str">
        <f ca="1"/>
        <v>NA</v>
      </c>
      <c r="X145" s="42" t="str">
        <f ca="1"/>
        <v>NI</v>
      </c>
      <c r="Y145" t="str">
        <f ca="1"/>
        <v>Anand Hanumant Limkar</v>
      </c>
      <c r="Z145" t="str">
        <f ca="1"/>
        <v>R/o Rui, Tal. Paranda, Distt. Dharashiv</v>
      </c>
      <c r="AA145" t="str">
        <f ca="1"/>
        <v>Dharashiv</v>
      </c>
      <c r="AB145" t="str">
        <f ca="1"/>
        <v>NA</v>
      </c>
      <c r="AC145" s="42" t="str">
        <f ca="1"/>
        <v>WIP</v>
      </c>
      <c r="AD145" t="str">
        <f ca="1"/>
        <v>NA</v>
      </c>
      <c r="AE145" t="str">
        <f ca="1"/>
        <v>NA</v>
      </c>
      <c r="AF145" t="str">
        <f ca="1"/>
        <v>NA</v>
      </c>
      <c r="AG145" s="42" t="str">
        <f ca="1"/>
        <v>NA</v>
      </c>
      <c r="AH145" t="str">
        <f ca="1"/>
        <v>NA</v>
      </c>
      <c r="AI145" s="42" t="str">
        <f ca="1"/>
        <v>NA</v>
      </c>
      <c r="AJ145" t="str">
        <f ca="1"/>
        <v>NA</v>
      </c>
      <c r="AK145" s="42" t="str">
        <f ca="1"/>
        <v>NA</v>
      </c>
      <c r="AL145" t="str">
        <f ca="1"/>
        <v>NA</v>
      </c>
      <c r="AM145" s="42" t="str">
        <f ca="1"/>
        <v>NA</v>
      </c>
      <c r="AN145" t="str">
        <f ca="1"/>
        <v>NA</v>
      </c>
      <c r="AO145" s="42" t="str">
        <f ca="1"/>
        <v>NA</v>
      </c>
      <c r="AP145" t="str">
        <f ca="1"/>
        <v xml:space="preserve">NA </v>
      </c>
      <c r="AQ145" t="str">
        <f ca="1"/>
        <v>Dharashiv to Barshi Road, Near filed of Audumbar Babasaheb Korekar in village Shivar Nariwadi, Tal. Barshi, Dist. Solapur.</v>
      </c>
      <c r="AR145" t="str">
        <f ca="1"/>
        <v>Solapur</v>
      </c>
      <c r="AS145" s="42" t="str">
        <f ca="1"/>
        <v>WIP</v>
      </c>
      <c r="AT145" t="str">
        <f ca="1"/>
        <v>0247/2023</v>
      </c>
      <c r="AU145" t="str">
        <f ca="1"/>
        <v xml:space="preserve"> Pangri Police Station</v>
      </c>
      <c r="AV145" t="str">
        <f ca="1"/>
        <v>Solapur</v>
      </c>
      <c r="AW145" t="str">
        <f ca="1"/>
        <v>NA</v>
      </c>
      <c r="AX145" s="42" t="str">
        <f ca="1"/>
        <v>WIP</v>
      </c>
      <c r="AY145" t="str">
        <f ca="1"/>
        <v xml:space="preserve">NA </v>
      </c>
      <c r="AZ145" t="str">
        <f ca="1"/>
        <v>NA</v>
      </c>
      <c r="BA145" t="str">
        <f ca="1"/>
        <v>NA</v>
      </c>
      <c r="BB145" s="42" t="str">
        <f ca="1"/>
        <v>NI</v>
      </c>
      <c r="BC145" t="str">
        <f ca="1"/>
        <v>NA</v>
      </c>
      <c r="BD145">
        <f ca="1"/>
        <v>0</v>
      </c>
      <c r="BE145">
        <f ca="1"/>
        <v>0</v>
      </c>
    </row>
    <row r="146" spans="1:57">
      <c r="A146" s="42">
        <f ca="1"/>
        <v>2025202958</v>
      </c>
      <c r="B146" s="42" t="str">
        <f ca="1"/>
        <v>2750504</v>
      </c>
      <c r="C146" s="42" t="str">
        <f ca="1"/>
        <v>SBI General Insurance Company Ltd</v>
      </c>
      <c r="D146" s="42" t="str">
        <f ca="1"/>
        <v>MACT</v>
      </c>
      <c r="E146" s="42" t="str">
        <f ca="1"/>
        <v>S002-1145-SS-2025</v>
      </c>
      <c r="F146" s="310">
        <f ca="1"/>
        <v>45993</v>
      </c>
      <c r="G146" s="42" t="str">
        <f ca="1"/>
        <v>Dec-25</v>
      </c>
      <c r="H146" s="312" t="str">
        <f ca="1"/>
        <v>-</v>
      </c>
      <c r="I146" s="42">
        <f ca="1"/>
        <v>0</v>
      </c>
      <c r="J146" s="310">
        <f ca="1"/>
        <v>46035</v>
      </c>
      <c r="K146" s="42">
        <f ca="1"/>
        <v>34</v>
      </c>
      <c r="L146" s="42" t="str">
        <f ca="1"/>
        <v>AT</v>
      </c>
      <c r="M146" s="42" t="str">
        <f ca="1"/>
        <v>Full Case</v>
      </c>
      <c r="N146" s="42" t="str">
        <f ca="1"/>
        <v>Open</v>
      </c>
      <c r="O146" s="42" t="str">
        <f ca="1"/>
        <v>WIP</v>
      </c>
      <c r="P146">
        <f ca="1"/>
        <v>0</v>
      </c>
      <c r="Q146" t="str">
        <f ca="1"/>
        <v xml:space="preserve">Shamim B Idris maniyar </v>
      </c>
      <c r="R146" t="str">
        <f ca="1"/>
        <v>Malakwada Taloda, Dist Nandurbar</v>
      </c>
      <c r="S146" t="str">
        <f ca="1"/>
        <v>Nandurbar</v>
      </c>
      <c r="T146" s="314" t="str">
        <f ca="1"/>
        <v>Completed</v>
      </c>
      <c r="U146" t="str">
        <f ca="1"/>
        <v xml:space="preserve">NA </v>
      </c>
      <c r="V146" t="str">
        <f ca="1"/>
        <v xml:space="preserve">NA </v>
      </c>
      <c r="W146" t="str">
        <f ca="1"/>
        <v>NA</v>
      </c>
      <c r="X146" s="42" t="str">
        <f ca="1"/>
        <v>NA</v>
      </c>
      <c r="Y146" t="str">
        <f ca="1"/>
        <v>Ganesh Rajendra Shinde</v>
      </c>
      <c r="Z146" t="str">
        <f ca="1"/>
        <v xml:space="preserve">Kavitkheda balhegon  Taluka Vaijapur  Dis Aurangabad </v>
      </c>
      <c r="AA146" t="str">
        <f ca="1"/>
        <v>Aurangabad</v>
      </c>
      <c r="AB146" t="str">
        <f ca="1"/>
        <v>NA</v>
      </c>
      <c r="AC146" s="42" t="str">
        <f ca="1"/>
        <v>NI</v>
      </c>
      <c r="AD146" t="str">
        <f ca="1"/>
        <v xml:space="preserve">Bhausaheb murlidhar Pawar </v>
      </c>
      <c r="AE146" t="str">
        <f ca="1"/>
        <v xml:space="preserve">Kannad Lamangoan Aurangabad </v>
      </c>
      <c r="AF146" t="str">
        <f ca="1"/>
        <v>Aurangabad</v>
      </c>
      <c r="AG146" s="42" t="str">
        <f ca="1"/>
        <v>NI</v>
      </c>
      <c r="AH146" t="str">
        <f ca="1"/>
        <v>NA</v>
      </c>
      <c r="AI146" s="42" t="str">
        <f ca="1"/>
        <v>NA</v>
      </c>
      <c r="AJ146" t="str">
        <f ca="1"/>
        <v>NA</v>
      </c>
      <c r="AK146" s="42" t="str">
        <f ca="1"/>
        <v>NA</v>
      </c>
      <c r="AL146" t="str">
        <f ca="1"/>
        <v>NA</v>
      </c>
      <c r="AM146" s="42" t="str">
        <f ca="1"/>
        <v>NA</v>
      </c>
      <c r="AN146" t="str">
        <f ca="1"/>
        <v>NA</v>
      </c>
      <c r="AO146" s="42" t="str">
        <f ca="1"/>
        <v>NA</v>
      </c>
      <c r="AP146" t="str">
        <f ca="1"/>
        <v xml:space="preserve">NA </v>
      </c>
      <c r="AQ146" t="str">
        <f ca="1"/>
        <v xml:space="preserve">Nandurbar Near Daoundai Road Choupale BusStop </v>
      </c>
      <c r="AR146" t="str">
        <f ca="1"/>
        <v xml:space="preserve"> Nandurbar</v>
      </c>
      <c r="AS146" s="42" t="str">
        <f ca="1"/>
        <v>Completed</v>
      </c>
      <c r="AT146" t="str">
        <f ca="1"/>
        <v>110/2025</v>
      </c>
      <c r="AU146" t="str">
        <f ca="1"/>
        <v>nandurbar Police Station</v>
      </c>
      <c r="AV146" t="str">
        <f ca="1"/>
        <v>Nandurbar</v>
      </c>
      <c r="AW146" t="str">
        <f ca="1"/>
        <v>NA</v>
      </c>
      <c r="AX146" s="42" t="str">
        <f ca="1"/>
        <v>NI</v>
      </c>
      <c r="AY146" t="str">
        <f ca="1"/>
        <v xml:space="preserve">NA </v>
      </c>
      <c r="AZ146" t="str">
        <f ca="1"/>
        <v>NA</v>
      </c>
      <c r="BA146" t="str">
        <f ca="1"/>
        <v>NA</v>
      </c>
      <c r="BB146" s="42" t="str">
        <f ca="1"/>
        <v>NI</v>
      </c>
      <c r="BC146" t="str">
        <f ca="1"/>
        <v>NA</v>
      </c>
      <c r="BD146">
        <f ca="1"/>
        <v>0</v>
      </c>
      <c r="BE146">
        <f ca="1"/>
        <v>0</v>
      </c>
    </row>
    <row r="147" spans="1:57">
      <c r="A147" s="42">
        <f ca="1"/>
        <v>146</v>
      </c>
      <c r="B147" s="42" t="str">
        <f ca="1"/>
        <v>2517801</v>
      </c>
      <c r="C147" s="42" t="str">
        <f ca="1"/>
        <v>SBI General Insurance Company Ltd</v>
      </c>
      <c r="D147" s="42" t="str">
        <f ca="1"/>
        <v>MACT</v>
      </c>
      <c r="E147" s="42" t="str">
        <f ca="1"/>
        <v>S002-1146-SS-2025</v>
      </c>
      <c r="F147" s="310">
        <f ca="1"/>
        <v>45995</v>
      </c>
      <c r="G147" s="42" t="str">
        <f ca="1"/>
        <v>Dec-25</v>
      </c>
      <c r="H147" s="312">
        <f ca="1"/>
        <v>46003</v>
      </c>
      <c r="I147" s="42" t="str">
        <f ca="1"/>
        <v>Dec-25</v>
      </c>
      <c r="J147" s="310">
        <f ca="1"/>
        <v>46037</v>
      </c>
      <c r="K147" s="42">
        <f ca="1"/>
        <v>8</v>
      </c>
      <c r="L147" s="42" t="str">
        <f ca="1"/>
        <v>WT</v>
      </c>
      <c r="M147" s="42" t="str">
        <f ca="1"/>
        <v>Medical Verification</v>
      </c>
      <c r="N147" s="42" t="str">
        <f ca="1"/>
        <v>Dispatch</v>
      </c>
      <c r="O147" s="42" t="str">
        <f ca="1"/>
        <v>Completed</v>
      </c>
      <c r="P147">
        <f ca="1"/>
        <v>0</v>
      </c>
      <c r="Q147" t="str">
        <f ca="1"/>
        <v>NA</v>
      </c>
      <c r="R147" t="str">
        <f ca="1"/>
        <v>NA</v>
      </c>
      <c r="S147" t="str">
        <f ca="1"/>
        <v>NA</v>
      </c>
      <c r="T147" s="314" t="str">
        <f ca="1"/>
        <v>NA</v>
      </c>
      <c r="U147" t="str">
        <f ca="1"/>
        <v xml:space="preserve">NA </v>
      </c>
      <c r="V147" t="str">
        <f ca="1"/>
        <v xml:space="preserve">NA </v>
      </c>
      <c r="W147" t="str">
        <f ca="1"/>
        <v>NA</v>
      </c>
      <c r="X147" s="42" t="str">
        <f ca="1"/>
        <v>NA</v>
      </c>
      <c r="Y147" t="str">
        <f ca="1"/>
        <v>NA</v>
      </c>
      <c r="Z147" t="str">
        <f ca="1"/>
        <v>NA</v>
      </c>
      <c r="AA147" t="str">
        <f ca="1"/>
        <v>NA</v>
      </c>
      <c r="AB147" t="str">
        <f ca="1"/>
        <v>NA</v>
      </c>
      <c r="AC147" s="42" t="str">
        <f ca="1"/>
        <v>NA</v>
      </c>
      <c r="AD147" t="str">
        <f ca="1"/>
        <v>NA</v>
      </c>
      <c r="AE147" t="str">
        <f ca="1"/>
        <v>NA</v>
      </c>
      <c r="AF147" t="str">
        <f ca="1"/>
        <v>NA</v>
      </c>
      <c r="AG147" s="42" t="str">
        <f ca="1"/>
        <v>NA</v>
      </c>
      <c r="AH147" t="str">
        <f ca="1"/>
        <v>NA</v>
      </c>
      <c r="AI147" s="42" t="str">
        <f ca="1"/>
        <v>NA</v>
      </c>
      <c r="AJ147" t="str">
        <f ca="1"/>
        <v>NA</v>
      </c>
      <c r="AK147" s="42" t="str">
        <f ca="1"/>
        <v>NA</v>
      </c>
      <c r="AL147" t="str">
        <f ca="1"/>
        <v>NA</v>
      </c>
      <c r="AM147" s="42" t="str">
        <f ca="1"/>
        <v>NA</v>
      </c>
      <c r="AN147" t="str">
        <f ca="1"/>
        <v>NA</v>
      </c>
      <c r="AO147" s="42" t="str">
        <f ca="1"/>
        <v>NA</v>
      </c>
      <c r="AP147" t="str">
        <f ca="1"/>
        <v xml:space="preserve">NA </v>
      </c>
      <c r="AQ147" t="str">
        <f ca="1"/>
        <v>NA</v>
      </c>
      <c r="AR147" t="str">
        <f ca="1"/>
        <v xml:space="preserve">NA </v>
      </c>
      <c r="AS147" s="42" t="str">
        <f ca="1"/>
        <v>NA</v>
      </c>
      <c r="AT147" t="str">
        <f ca="1"/>
        <v>NA</v>
      </c>
      <c r="AU147" t="str">
        <f ca="1"/>
        <v>NA</v>
      </c>
      <c r="AV147" t="str">
        <f ca="1"/>
        <v>NA</v>
      </c>
      <c r="AW147" t="str">
        <f ca="1"/>
        <v>NA</v>
      </c>
      <c r="AX147" s="42" t="str">
        <f ca="1"/>
        <v>Completed</v>
      </c>
      <c r="AY147" t="str">
        <f ca="1"/>
        <v>Dr. Hedgewar Rugnalaya</v>
      </c>
      <c r="AZ147" t="str">
        <f ca="1"/>
        <v>Garkheda, Sambhaji Nagar - 431005</v>
      </c>
      <c r="BA147" t="str">
        <f ca="1"/>
        <v>Sambhaji Nagar</v>
      </c>
      <c r="BB147" s="42" t="str">
        <f ca="1"/>
        <v>Completed</v>
      </c>
      <c r="BC147" t="str">
        <f ca="1"/>
        <v>NA</v>
      </c>
      <c r="BD147" t="str">
        <f ca="1"/>
        <v>Pending</v>
      </c>
      <c r="BE147">
        <f ca="1"/>
        <v>0</v>
      </c>
    </row>
    <row r="148" spans="1:57">
      <c r="A148" s="42">
        <f ca="1"/>
        <v>147</v>
      </c>
      <c r="B148" s="42" t="str">
        <f ca="1"/>
        <v>Hold-228494</v>
      </c>
      <c r="C148" s="42" t="str">
        <f ca="1"/>
        <v>Bajaj Allianz General Insurance Company Ltd</v>
      </c>
      <c r="D148" s="42" t="str">
        <f ca="1"/>
        <v>MACT</v>
      </c>
      <c r="E148" s="42" t="str">
        <f ca="1"/>
        <v>B001-1147-SS-2025</v>
      </c>
      <c r="F148" s="310">
        <f ca="1"/>
        <v>45995</v>
      </c>
      <c r="G148" s="42" t="str">
        <f ca="1"/>
        <v>Dec-25</v>
      </c>
      <c r="H148" s="312">
        <f ca="1"/>
        <v>46009</v>
      </c>
      <c r="I148" s="42" t="str">
        <f ca="1"/>
        <v>Dec-25</v>
      </c>
      <c r="J148" s="310">
        <f ca="1"/>
        <v>46037</v>
      </c>
      <c r="K148" s="42">
        <f ca="1"/>
        <v>14</v>
      </c>
      <c r="L148" s="42" t="str">
        <f ca="1"/>
        <v>WT</v>
      </c>
      <c r="M148" s="42" t="str">
        <f ca="1"/>
        <v>Medical Verification</v>
      </c>
      <c r="N148" s="42" t="str">
        <f ca="1"/>
        <v>Dispatch</v>
      </c>
      <c r="O148" s="42" t="str">
        <f ca="1"/>
        <v>Completed</v>
      </c>
      <c r="P148">
        <f ca="1"/>
        <v>0</v>
      </c>
      <c r="Q148" t="str">
        <f ca="1"/>
        <v xml:space="preserve">NA </v>
      </c>
      <c r="R148" t="str">
        <f ca="1"/>
        <v>NA</v>
      </c>
      <c r="S148" t="str">
        <f ca="1"/>
        <v>NA</v>
      </c>
      <c r="T148" s="314" t="str">
        <f ca="1"/>
        <v>NA</v>
      </c>
      <c r="U148" t="str">
        <f ca="1"/>
        <v xml:space="preserve">NA </v>
      </c>
      <c r="V148" t="str">
        <f ca="1"/>
        <v xml:space="preserve">NA </v>
      </c>
      <c r="W148" t="str">
        <f ca="1"/>
        <v>NA</v>
      </c>
      <c r="X148" s="42" t="str">
        <f ca="1"/>
        <v>NA</v>
      </c>
      <c r="Y148" t="str">
        <f ca="1"/>
        <v>NA</v>
      </c>
      <c r="Z148" t="str">
        <f ca="1"/>
        <v>NA</v>
      </c>
      <c r="AA148" t="str">
        <f ca="1"/>
        <v>NA</v>
      </c>
      <c r="AB148" t="str">
        <f ca="1"/>
        <v>NA</v>
      </c>
      <c r="AC148" s="42" t="str">
        <f ca="1"/>
        <v>NA</v>
      </c>
      <c r="AD148" t="str">
        <f ca="1"/>
        <v>NA</v>
      </c>
      <c r="AE148" t="str">
        <f ca="1"/>
        <v>NA</v>
      </c>
      <c r="AF148" t="str">
        <f ca="1"/>
        <v>NA</v>
      </c>
      <c r="AG148" s="42" t="str">
        <f ca="1"/>
        <v>NA</v>
      </c>
      <c r="AH148" t="str">
        <f ca="1"/>
        <v>NA</v>
      </c>
      <c r="AI148" s="42" t="str">
        <f ca="1"/>
        <v>NA</v>
      </c>
      <c r="AJ148" t="str">
        <f ca="1"/>
        <v>NA</v>
      </c>
      <c r="AK148" s="42" t="str">
        <f ca="1"/>
        <v>NA</v>
      </c>
      <c r="AL148" t="str">
        <f ca="1"/>
        <v>NA</v>
      </c>
      <c r="AM148" s="42" t="str">
        <f ca="1"/>
        <v>NA</v>
      </c>
      <c r="AN148" t="str">
        <f ca="1"/>
        <v>NA</v>
      </c>
      <c r="AO148" s="42" t="str">
        <f ca="1"/>
        <v>NA</v>
      </c>
      <c r="AP148" t="str">
        <f ca="1"/>
        <v xml:space="preserve">NA </v>
      </c>
      <c r="AQ148" t="str">
        <f ca="1"/>
        <v>NA</v>
      </c>
      <c r="AR148" t="str">
        <f ca="1"/>
        <v>NA</v>
      </c>
      <c r="AS148" s="42" t="str">
        <f ca="1"/>
        <v>NA</v>
      </c>
      <c r="AT148" t="str">
        <f ca="1"/>
        <v>NA</v>
      </c>
      <c r="AU148" t="str">
        <f ca="1"/>
        <v>NA</v>
      </c>
      <c r="AV148" t="str">
        <f ca="1"/>
        <v>NA</v>
      </c>
      <c r="AW148" t="str">
        <f ca="1"/>
        <v>NA</v>
      </c>
      <c r="AX148" s="42" t="str">
        <f ca="1"/>
        <v>NA</v>
      </c>
      <c r="AY148" t="str">
        <f ca="1"/>
        <v>Baldeva Hospital/Ashwin Hospital</v>
      </c>
      <c r="AZ148" t="str">
        <f ca="1"/>
        <v xml:space="preserve">Solapur </v>
      </c>
      <c r="BA148" t="str">
        <f ca="1"/>
        <v>Solapur</v>
      </c>
      <c r="BB148" s="42" t="str">
        <f ca="1"/>
        <v>Completed</v>
      </c>
      <c r="BC148" t="str">
        <f ca="1"/>
        <v>NA</v>
      </c>
      <c r="BD148" t="str">
        <f ca="1"/>
        <v>Pending</v>
      </c>
      <c r="BE148" t="str">
        <f ca="1"/>
        <v>2 visits done/3rd visit required</v>
      </c>
    </row>
    <row r="149" spans="1:57">
      <c r="A149" s="42">
        <f ca="1"/>
        <v>148</v>
      </c>
      <c r="B149" s="42" t="str">
        <f ca="1"/>
        <v>CN079727</v>
      </c>
      <c r="C149" s="42" t="str">
        <f ca="1"/>
        <v>Generali Central Insurance Company Limited</v>
      </c>
      <c r="D149" s="42" t="str">
        <f ca="1"/>
        <v>MACT</v>
      </c>
      <c r="E149" s="42" t="str">
        <f ca="1"/>
        <v>F001-1148-SS-2025</v>
      </c>
      <c r="F149" s="310">
        <f ca="1"/>
        <v>45995</v>
      </c>
      <c r="G149" s="42" t="str">
        <f ca="1"/>
        <v>Dec-25</v>
      </c>
      <c r="H149" s="312">
        <f ca="1"/>
        <v>46015</v>
      </c>
      <c r="I149" s="42" t="str">
        <f ca="1"/>
        <v>Dec-25</v>
      </c>
      <c r="J149" s="310">
        <f ca="1"/>
        <v>46037</v>
      </c>
      <c r="K149" s="42">
        <f ca="1"/>
        <v>20</v>
      </c>
      <c r="L149" s="42" t="str">
        <f ca="1"/>
        <v>WT</v>
      </c>
      <c r="M149" s="42" t="str">
        <f ca="1"/>
        <v>Full Case</v>
      </c>
      <c r="N149" s="42" t="str">
        <f ca="1"/>
        <v>Dispatch</v>
      </c>
      <c r="O149" s="42" t="str">
        <f ca="1"/>
        <v>WIP</v>
      </c>
      <c r="P149" t="str">
        <f ca="1"/>
        <v>Claimant - CN073348</v>
      </c>
      <c r="Q149" t="str">
        <f ca="1"/>
        <v>Sindhu Gajanan Gadekar</v>
      </c>
      <c r="R149" t="str">
        <f ca="1"/>
        <v>R/o Pokhari Post Sao, Taluka Dist: Buldana - 443 001</v>
      </c>
      <c r="S149" t="str">
        <f ca="1"/>
        <v>Buldhana</v>
      </c>
      <c r="T149" s="314" t="str">
        <f ca="1"/>
        <v>Completed</v>
      </c>
      <c r="U149" t="str">
        <f ca="1"/>
        <v xml:space="preserve">NA </v>
      </c>
      <c r="V149" t="str">
        <f ca="1"/>
        <v xml:space="preserve">NA </v>
      </c>
      <c r="W149" t="str">
        <f ca="1"/>
        <v>NA</v>
      </c>
      <c r="X149" s="42" t="str">
        <f ca="1"/>
        <v>NA</v>
      </c>
      <c r="Y149" t="str">
        <f ca="1"/>
        <v>Ranjeet Lala Chavan</v>
      </c>
      <c r="Z149" t="str">
        <f ca="1"/>
        <v>R/o  Khadaki,Post - Rajur, Taluka - Motala,Dist: Buldana - 443 101</v>
      </c>
      <c r="AA149" t="str">
        <f ca="1"/>
        <v>Buldhana</v>
      </c>
      <c r="AB149" t="str">
        <f ca="1"/>
        <v>NA</v>
      </c>
      <c r="AC149" s="42" t="str">
        <f ca="1"/>
        <v>Completed</v>
      </c>
      <c r="AD149" t="str">
        <f ca="1"/>
        <v>NA</v>
      </c>
      <c r="AE149" t="str">
        <f ca="1"/>
        <v>NA</v>
      </c>
      <c r="AF149" t="str">
        <f ca="1"/>
        <v>NA</v>
      </c>
      <c r="AG149" s="42" t="str">
        <f ca="1"/>
        <v>NA</v>
      </c>
      <c r="AH149" t="str">
        <f ca="1"/>
        <v>NA</v>
      </c>
      <c r="AI149" s="42" t="str">
        <f ca="1"/>
        <v>NA</v>
      </c>
      <c r="AJ149" t="str">
        <f ca="1"/>
        <v>NA</v>
      </c>
      <c r="AK149" s="42" t="str">
        <f ca="1"/>
        <v>NA</v>
      </c>
      <c r="AL149" t="str">
        <f ca="1"/>
        <v>NA</v>
      </c>
      <c r="AM149" s="42" t="str">
        <f ca="1"/>
        <v>NA</v>
      </c>
      <c r="AN149" t="str">
        <f ca="1"/>
        <v>NA</v>
      </c>
      <c r="AO149" s="42" t="str">
        <f ca="1"/>
        <v>NA</v>
      </c>
      <c r="AP149" t="str">
        <f ca="1"/>
        <v xml:space="preserve">NA </v>
      </c>
      <c r="AQ149" t="str">
        <f ca="1"/>
        <v>At Samruddhi Mahamarg Chanel No. 536, Pathare Shivar, Sinner, Dist Nasik - 423605.</v>
      </c>
      <c r="AR149" t="str">
        <f ca="1"/>
        <v>Nashik</v>
      </c>
      <c r="AS149" s="42" t="str">
        <f ca="1"/>
        <v>NI</v>
      </c>
      <c r="AT149" t="str">
        <f ca="1"/>
        <v>0234/2025</v>
      </c>
      <c r="AU149" t="str">
        <f ca="1"/>
        <v>Vavi Police Station</v>
      </c>
      <c r="AV149" t="str">
        <f ca="1"/>
        <v>Nashik</v>
      </c>
      <c r="AW149" t="str">
        <f ca="1"/>
        <v>NA</v>
      </c>
      <c r="AX149" s="42" t="str">
        <f ca="1"/>
        <v>NI</v>
      </c>
      <c r="AY149" t="str">
        <f ca="1"/>
        <v xml:space="preserve">NA </v>
      </c>
      <c r="AZ149" t="str">
        <f ca="1"/>
        <v>NA</v>
      </c>
      <c r="BA149" t="str">
        <f ca="1"/>
        <v>NA</v>
      </c>
      <c r="BB149" s="42" t="str">
        <f ca="1"/>
        <v>NA</v>
      </c>
      <c r="BC149" t="str">
        <f ca="1"/>
        <v>NA</v>
      </c>
      <c r="BD149" t="str">
        <f ca="1"/>
        <v>Pending</v>
      </c>
      <c r="BE149">
        <f ca="1"/>
        <v>0</v>
      </c>
    </row>
    <row r="150" spans="1:57">
      <c r="A150" s="42">
        <f ca="1"/>
        <v>149</v>
      </c>
      <c r="B150" s="42" t="str">
        <f ca="1"/>
        <v>CM839422</v>
      </c>
      <c r="C150" s="42" t="str">
        <f ca="1"/>
        <v>Generali Central Insurance Company Limited</v>
      </c>
      <c r="D150" s="42" t="str">
        <f ca="1"/>
        <v>MACT</v>
      </c>
      <c r="E150" s="42" t="str">
        <f ca="1"/>
        <v>F001-1149-SS-2025</v>
      </c>
      <c r="F150" s="310">
        <f ca="1"/>
        <v>45996</v>
      </c>
      <c r="G150" s="42" t="str">
        <f ca="1"/>
        <v>Dec-25</v>
      </c>
      <c r="H150" s="312">
        <f ca="1"/>
        <v>46002</v>
      </c>
      <c r="I150" s="42" t="str">
        <f ca="1"/>
        <v>Dec-25</v>
      </c>
      <c r="J150" s="310">
        <f ca="1"/>
        <v>46038</v>
      </c>
      <c r="K150" s="42">
        <f ca="1"/>
        <v>6</v>
      </c>
      <c r="L150" s="42" t="str">
        <f ca="1"/>
        <v>WT</v>
      </c>
      <c r="M150" s="42" t="str">
        <f ca="1"/>
        <v>Medical Verification</v>
      </c>
      <c r="N150" s="42" t="str">
        <f ca="1"/>
        <v>Dispatch</v>
      </c>
      <c r="O150" s="42" t="str">
        <f ca="1"/>
        <v>Completed</v>
      </c>
      <c r="P150">
        <f ca="1"/>
        <v>0</v>
      </c>
      <c r="Q150" t="str">
        <f ca="1"/>
        <v>NA</v>
      </c>
      <c r="R150" t="str">
        <f ca="1"/>
        <v>NA</v>
      </c>
      <c r="S150" t="str">
        <f ca="1"/>
        <v>NA</v>
      </c>
      <c r="T150" s="314" t="str">
        <f ca="1"/>
        <v>NA</v>
      </c>
      <c r="U150" t="str">
        <f ca="1"/>
        <v xml:space="preserve">NA </v>
      </c>
      <c r="V150" t="str">
        <f ca="1"/>
        <v xml:space="preserve">NA </v>
      </c>
      <c r="W150" t="str">
        <f ca="1"/>
        <v>NA</v>
      </c>
      <c r="X150" s="42" t="str">
        <f ca="1"/>
        <v>NA</v>
      </c>
      <c r="Y150" t="str">
        <f ca="1"/>
        <v>NA</v>
      </c>
      <c r="Z150" t="str">
        <f ca="1"/>
        <v>NA</v>
      </c>
      <c r="AA150" t="str">
        <f ca="1"/>
        <v>NA</v>
      </c>
      <c r="AB150" t="str">
        <f ca="1"/>
        <v>NA</v>
      </c>
      <c r="AC150" s="42" t="str">
        <f ca="1"/>
        <v>NA</v>
      </c>
      <c r="AD150" t="str">
        <f ca="1"/>
        <v>NA</v>
      </c>
      <c r="AE150" t="str">
        <f ca="1"/>
        <v>NA</v>
      </c>
      <c r="AF150" t="str">
        <f ca="1"/>
        <v>NA</v>
      </c>
      <c r="AG150" s="42" t="str">
        <f ca="1"/>
        <v>NA</v>
      </c>
      <c r="AH150" t="str">
        <f ca="1"/>
        <v>NA</v>
      </c>
      <c r="AI150" s="42" t="str">
        <f ca="1"/>
        <v>NA</v>
      </c>
      <c r="AJ150" t="str">
        <f ca="1"/>
        <v>NA</v>
      </c>
      <c r="AK150" s="42" t="str">
        <f ca="1"/>
        <v>NA</v>
      </c>
      <c r="AL150" t="str">
        <f ca="1"/>
        <v>NA</v>
      </c>
      <c r="AM150" s="42" t="str">
        <f ca="1"/>
        <v>NA</v>
      </c>
      <c r="AN150" t="str">
        <f ca="1"/>
        <v>NA</v>
      </c>
      <c r="AO150" s="42" t="str">
        <f ca="1"/>
        <v>NA</v>
      </c>
      <c r="AP150" t="str">
        <f ca="1"/>
        <v xml:space="preserve">NA </v>
      </c>
      <c r="AQ150" t="str">
        <f ca="1"/>
        <v>NA</v>
      </c>
      <c r="AR150" t="str">
        <f ca="1"/>
        <v>NA</v>
      </c>
      <c r="AS150" s="42" t="str">
        <f ca="1"/>
        <v>NA</v>
      </c>
      <c r="AT150" t="str">
        <f ca="1"/>
        <v>NA</v>
      </c>
      <c r="AU150" t="str">
        <f ca="1"/>
        <v>NA</v>
      </c>
      <c r="AV150" t="str">
        <f ca="1"/>
        <v>NA</v>
      </c>
      <c r="AW150" t="str">
        <f ca="1"/>
        <v>NA</v>
      </c>
      <c r="AX150" s="42" t="str">
        <f ca="1"/>
        <v>NA</v>
      </c>
      <c r="AY150" t="str">
        <f ca="1"/>
        <v>Asian Citicare Hospital</v>
      </c>
      <c r="AZ150" t="str">
        <f ca="1"/>
        <v>Motiwala Squaro,Akashwani Signal,Jalna Road,Sambhaji Nagar</v>
      </c>
      <c r="BA150" t="str">
        <f ca="1"/>
        <v>Sambhaji Nagar</v>
      </c>
      <c r="BB150" s="42" t="str">
        <f ca="1"/>
        <v>Completed</v>
      </c>
      <c r="BC150">
        <f ca="1"/>
        <v>46002</v>
      </c>
      <c r="BD150" t="str">
        <f ca="1"/>
        <v>Disptach</v>
      </c>
      <c r="BE150">
        <f ca="1"/>
        <v>0</v>
      </c>
    </row>
    <row r="151" spans="1:57">
      <c r="A151" s="42">
        <f ca="1"/>
        <v>150</v>
      </c>
      <c r="B151" s="42" t="str">
        <f ca="1"/>
        <v>1033504</v>
      </c>
      <c r="C151" s="42" t="str">
        <f ca="1"/>
        <v>SBI General Insurance Company Ltd</v>
      </c>
      <c r="D151" s="42" t="str">
        <f ca="1"/>
        <v>MACT</v>
      </c>
      <c r="E151" s="42" t="str">
        <f ca="1"/>
        <v>S002-1150-SS-2025</v>
      </c>
      <c r="F151" s="310">
        <f ca="1"/>
        <v>45996</v>
      </c>
      <c r="G151" s="42" t="str">
        <f ca="1"/>
        <v>Dec-25</v>
      </c>
      <c r="H151" s="312">
        <f ca="1"/>
        <v>46003</v>
      </c>
      <c r="I151" s="42" t="str">
        <f ca="1"/>
        <v>Dec-25</v>
      </c>
      <c r="J151" s="310">
        <f ca="1"/>
        <v>46038</v>
      </c>
      <c r="K151" s="42">
        <f ca="1"/>
        <v>7</v>
      </c>
      <c r="L151" s="42" t="str">
        <f ca="1"/>
        <v>WT</v>
      </c>
      <c r="M151" s="42" t="str">
        <f ca="1"/>
        <v>Medical Verification</v>
      </c>
      <c r="N151" s="42" t="str">
        <f ca="1"/>
        <v>Dispatch</v>
      </c>
      <c r="O151" s="42" t="str">
        <f ca="1"/>
        <v>Completed</v>
      </c>
      <c r="P151">
        <f ca="1"/>
        <v>0</v>
      </c>
      <c r="Q151" t="str">
        <f ca="1"/>
        <v>NA</v>
      </c>
      <c r="R151" t="str">
        <f ca="1"/>
        <v>NA</v>
      </c>
      <c r="S151" t="str">
        <f ca="1"/>
        <v>NA</v>
      </c>
      <c r="T151" s="314" t="str">
        <f ca="1"/>
        <v>NA</v>
      </c>
      <c r="U151" t="str">
        <f ca="1"/>
        <v xml:space="preserve">NA </v>
      </c>
      <c r="V151" t="str">
        <f ca="1"/>
        <v xml:space="preserve">NA </v>
      </c>
      <c r="W151" t="str">
        <f ca="1"/>
        <v>NA</v>
      </c>
      <c r="X151" s="42" t="str">
        <f ca="1"/>
        <v>NA</v>
      </c>
      <c r="Y151" t="str">
        <f ca="1"/>
        <v>NA</v>
      </c>
      <c r="Z151" t="str">
        <f ca="1"/>
        <v>NA</v>
      </c>
      <c r="AA151" t="str">
        <f ca="1"/>
        <v>NA</v>
      </c>
      <c r="AB151" t="str">
        <f ca="1"/>
        <v>NA</v>
      </c>
      <c r="AC151" s="42" t="str">
        <f ca="1"/>
        <v>NA</v>
      </c>
      <c r="AD151" t="str">
        <f ca="1"/>
        <v>NA</v>
      </c>
      <c r="AE151" t="str">
        <f ca="1"/>
        <v>NA</v>
      </c>
      <c r="AF151" t="str">
        <f ca="1"/>
        <v>NA</v>
      </c>
      <c r="AG151" s="42" t="str">
        <f ca="1"/>
        <v>NA</v>
      </c>
      <c r="AH151" t="str">
        <f ca="1"/>
        <v>NA</v>
      </c>
      <c r="AI151" s="42" t="str">
        <f ca="1"/>
        <v>NA</v>
      </c>
      <c r="AJ151" t="str">
        <f ca="1"/>
        <v>NA</v>
      </c>
      <c r="AK151" s="42" t="str">
        <f ca="1"/>
        <v>NA</v>
      </c>
      <c r="AL151" t="str">
        <f ca="1"/>
        <v>NA</v>
      </c>
      <c r="AM151" s="42" t="str">
        <f ca="1"/>
        <v>NA</v>
      </c>
      <c r="AN151" t="str">
        <f ca="1"/>
        <v>NA</v>
      </c>
      <c r="AO151" s="42" t="str">
        <f ca="1"/>
        <v>NA</v>
      </c>
      <c r="AP151" t="str">
        <f ca="1"/>
        <v xml:space="preserve">NA </v>
      </c>
      <c r="AQ151" t="str">
        <f ca="1"/>
        <v>NA</v>
      </c>
      <c r="AR151" t="str">
        <f ca="1"/>
        <v>NA</v>
      </c>
      <c r="AS151" s="42" t="str">
        <f ca="1"/>
        <v>NA</v>
      </c>
      <c r="AT151" t="str">
        <f ca="1"/>
        <v>NA</v>
      </c>
      <c r="AU151" t="str">
        <f ca="1"/>
        <v>NA</v>
      </c>
      <c r="AV151" t="str">
        <f ca="1"/>
        <v>NA</v>
      </c>
      <c r="AW151" t="str">
        <f ca="1"/>
        <v>NA</v>
      </c>
      <c r="AX151" s="42" t="str">
        <f ca="1"/>
        <v>Completed</v>
      </c>
      <c r="AY151" t="str">
        <f ca="1"/>
        <v>Kamalnayan Bajaj Hospital</v>
      </c>
      <c r="AZ151" t="str">
        <f ca="1"/>
        <v>Gut No.43,Satara,Parisar,Beed Bypass Road,Sambhaji Nagar</v>
      </c>
      <c r="BA151" t="str">
        <f ca="1"/>
        <v>Sambhaji Nagar</v>
      </c>
      <c r="BB151" s="42" t="str">
        <f ca="1"/>
        <v>Completed</v>
      </c>
      <c r="BC151" t="str">
        <f ca="1"/>
        <v>NA</v>
      </c>
      <c r="BD151" t="str">
        <f ca="1"/>
        <v>Pending</v>
      </c>
      <c r="BE151">
        <f ca="1"/>
        <v>0</v>
      </c>
    </row>
    <row r="152" spans="1:57">
      <c r="A152" s="42">
        <f ca="1"/>
        <v>151</v>
      </c>
      <c r="B152" s="42" t="str">
        <f ca="1"/>
        <v>2025213437</v>
      </c>
      <c r="C152" s="42" t="str">
        <f ca="1"/>
        <v>Indusind General Insurance Co Ltd</v>
      </c>
      <c r="D152" s="42" t="str">
        <f ca="1"/>
        <v>MACT</v>
      </c>
      <c r="E152" s="42" t="str">
        <f ca="1"/>
        <v>R001-1151-SS-2025</v>
      </c>
      <c r="F152" s="310">
        <f ca="1"/>
        <v>45997</v>
      </c>
      <c r="G152" s="42" t="str">
        <f ca="1"/>
        <v>Dec-25</v>
      </c>
      <c r="H152" s="312" t="str">
        <f ca="1"/>
        <v>-</v>
      </c>
      <c r="I152" s="42">
        <f ca="1"/>
        <v>0</v>
      </c>
      <c r="J152" s="310" t="str">
        <f ca="1"/>
        <v/>
      </c>
      <c r="K152" s="42">
        <f ca="1"/>
        <v>30</v>
      </c>
      <c r="L152" s="42" t="str">
        <f ca="1"/>
        <v>AT</v>
      </c>
      <c r="M152" s="42" t="str">
        <f ca="1"/>
        <v>Connected Case</v>
      </c>
      <c r="N152" s="42" t="str">
        <f ca="1"/>
        <v>Open</v>
      </c>
      <c r="O152" s="42" t="str">
        <f ca="1"/>
        <v>WIP</v>
      </c>
      <c r="P152" t="str">
        <f ca="1"/>
        <v>Connected Case - 2025213359/Claimant</v>
      </c>
      <c r="Q152" t="str">
        <f ca="1"/>
        <v>Sahebrao Shankar Gaikwad</v>
      </c>
      <c r="R152" t="str">
        <f ca="1"/>
        <v>Bodhre, Kand Road, Taluka Chalisgaon, District Jalgaon</v>
      </c>
      <c r="S152" t="str">
        <f ca="1"/>
        <v>Jalgoan</v>
      </c>
      <c r="T152" s="314" t="str">
        <f ca="1"/>
        <v>NI</v>
      </c>
      <c r="U152" t="str">
        <f ca="1"/>
        <v xml:space="preserve">NA </v>
      </c>
      <c r="V152" t="str">
        <f ca="1"/>
        <v xml:space="preserve">NA </v>
      </c>
      <c r="W152" t="str">
        <f ca="1"/>
        <v>NA</v>
      </c>
      <c r="X152" s="42" t="str">
        <f ca="1"/>
        <v>NA</v>
      </c>
      <c r="Y152" t="str">
        <f ca="1"/>
        <v>NA</v>
      </c>
      <c r="Z152" t="str">
        <f ca="1"/>
        <v>NA</v>
      </c>
      <c r="AA152" t="str">
        <f ca="1"/>
        <v>NA</v>
      </c>
      <c r="AB152" t="str">
        <f ca="1"/>
        <v>NA</v>
      </c>
      <c r="AC152" s="42" t="str">
        <f ca="1"/>
        <v>NA</v>
      </c>
      <c r="AD152" t="str">
        <f ca="1"/>
        <v>NA</v>
      </c>
      <c r="AE152" t="str">
        <f ca="1"/>
        <v>NA</v>
      </c>
      <c r="AF152" t="str">
        <f ca="1"/>
        <v>NA</v>
      </c>
      <c r="AG152" s="42" t="str">
        <f ca="1"/>
        <v>NA</v>
      </c>
      <c r="AH152" t="str">
        <f ca="1"/>
        <v>NA</v>
      </c>
      <c r="AI152" s="42" t="str">
        <f ca="1"/>
        <v>NA</v>
      </c>
      <c r="AJ152" t="str">
        <f ca="1"/>
        <v>NA</v>
      </c>
      <c r="AK152" s="42" t="str">
        <f ca="1"/>
        <v>NA</v>
      </c>
      <c r="AL152" t="str">
        <f ca="1"/>
        <v>NA</v>
      </c>
      <c r="AM152" s="42" t="str">
        <f ca="1"/>
        <v>NA</v>
      </c>
      <c r="AN152" t="str">
        <f ca="1"/>
        <v>NA</v>
      </c>
      <c r="AO152" s="42" t="str">
        <f ca="1"/>
        <v>NA</v>
      </c>
      <c r="AP152" t="str">
        <f ca="1"/>
        <v>NA</v>
      </c>
      <c r="AQ152" t="str">
        <f ca="1"/>
        <v>NA</v>
      </c>
      <c r="AR152" t="str">
        <f ca="1"/>
        <v>NA</v>
      </c>
      <c r="AS152" s="42" t="str">
        <f ca="1"/>
        <v>NA</v>
      </c>
      <c r="AT152" t="str">
        <f ca="1"/>
        <v>NA</v>
      </c>
      <c r="AU152" t="str">
        <f ca="1"/>
        <v>NA</v>
      </c>
      <c r="AV152" t="str">
        <f ca="1"/>
        <v>NA</v>
      </c>
      <c r="AW152" t="str">
        <f ca="1"/>
        <v>NA</v>
      </c>
      <c r="AX152" s="42" t="str">
        <f ca="1"/>
        <v>NA</v>
      </c>
      <c r="AY152" t="str">
        <f ca="1"/>
        <v>NA</v>
      </c>
      <c r="AZ152" t="str">
        <f ca="1"/>
        <v>NA</v>
      </c>
      <c r="BA152" t="str">
        <f ca="1"/>
        <v>NA</v>
      </c>
      <c r="BB152" s="42" t="str">
        <f ca="1"/>
        <v>NA</v>
      </c>
      <c r="BC152" t="str">
        <f ca="1"/>
        <v>NA</v>
      </c>
      <c r="BD152" t="str">
        <f ca="1"/>
        <v>NA</v>
      </c>
      <c r="BE152" t="str">
        <f ca="1"/>
        <v>NA</v>
      </c>
    </row>
    <row r="153" spans="1:57">
      <c r="A153" s="42">
        <f ca="1"/>
        <v>152</v>
      </c>
      <c r="B153" s="42" t="str">
        <f ca="1"/>
        <v>2025206275</v>
      </c>
      <c r="C153" s="42" t="str">
        <f ca="1"/>
        <v>Indusind General Insurance Co Ltd</v>
      </c>
      <c r="D153" s="42" t="str">
        <f ca="1"/>
        <v>MACT</v>
      </c>
      <c r="E153" s="42" t="str">
        <f ca="1"/>
        <v>R001-1152-SS-2025</v>
      </c>
      <c r="F153" s="310">
        <f ca="1"/>
        <v>45997</v>
      </c>
      <c r="G153" s="42" t="str">
        <f ca="1"/>
        <v>Dec-25</v>
      </c>
      <c r="H153" s="312" t="str">
        <f ca="1"/>
        <v>-</v>
      </c>
      <c r="I153" s="42">
        <f ca="1"/>
        <v>0</v>
      </c>
      <c r="J153" s="310">
        <f ca="1"/>
        <v>46017</v>
      </c>
      <c r="K153" s="42">
        <f ca="1"/>
        <v>30</v>
      </c>
      <c r="L153" s="42" t="str">
        <f ca="1"/>
        <v>AT</v>
      </c>
      <c r="M153" s="42" t="str">
        <f ca="1"/>
        <v>Partial Case</v>
      </c>
      <c r="N153" s="42" t="str">
        <f ca="1"/>
        <v>Open</v>
      </c>
      <c r="O153" s="42" t="str">
        <f ca="1"/>
        <v>WIP</v>
      </c>
      <c r="P153" t="str">
        <f ca="1"/>
        <v>For Police documents along with MLC / PMR</v>
      </c>
      <c r="Q153" t="str">
        <f ca="1"/>
        <v>NA</v>
      </c>
      <c r="R153" t="str">
        <f ca="1"/>
        <v>NA</v>
      </c>
      <c r="S153" t="str">
        <f ca="1"/>
        <v>NA</v>
      </c>
      <c r="T153" s="314" t="str">
        <f ca="1"/>
        <v>NA</v>
      </c>
      <c r="U153" t="str">
        <f ca="1"/>
        <v xml:space="preserve">NA </v>
      </c>
      <c r="V153" t="str">
        <f ca="1"/>
        <v xml:space="preserve">NA </v>
      </c>
      <c r="W153" t="str">
        <f ca="1"/>
        <v xml:space="preserve">NA </v>
      </c>
      <c r="X153" s="42" t="str">
        <f ca="1"/>
        <v xml:space="preserve">NA </v>
      </c>
      <c r="Y153" t="str">
        <f ca="1"/>
        <v xml:space="preserve">NA </v>
      </c>
      <c r="Z153" t="str">
        <f ca="1"/>
        <v xml:space="preserve">NA </v>
      </c>
      <c r="AA153" t="str">
        <f ca="1"/>
        <v xml:space="preserve">NA </v>
      </c>
      <c r="AB153" t="str">
        <f ca="1"/>
        <v xml:space="preserve">NA </v>
      </c>
      <c r="AC153" s="42" t="str">
        <f ca="1"/>
        <v xml:space="preserve">NA </v>
      </c>
      <c r="AD153" t="str">
        <f ca="1"/>
        <v xml:space="preserve">NA </v>
      </c>
      <c r="AE153" t="str">
        <f ca="1"/>
        <v xml:space="preserve">NA </v>
      </c>
      <c r="AF153" t="str">
        <f ca="1"/>
        <v xml:space="preserve">NA </v>
      </c>
      <c r="AG153" s="42" t="str">
        <f ca="1"/>
        <v xml:space="preserve">NA </v>
      </c>
      <c r="AH153" t="str">
        <f ca="1"/>
        <v xml:space="preserve">NA </v>
      </c>
      <c r="AI153" s="42" t="str">
        <f ca="1"/>
        <v xml:space="preserve">NA </v>
      </c>
      <c r="AJ153" t="str">
        <f ca="1"/>
        <v xml:space="preserve">NA </v>
      </c>
      <c r="AK153" s="42" t="str">
        <f ca="1"/>
        <v xml:space="preserve">NA </v>
      </c>
      <c r="AL153" t="str">
        <f ca="1"/>
        <v xml:space="preserve">NA </v>
      </c>
      <c r="AM153" s="42" t="str">
        <f ca="1"/>
        <v xml:space="preserve">NA </v>
      </c>
      <c r="AN153" t="str">
        <f ca="1"/>
        <v xml:space="preserve">NA </v>
      </c>
      <c r="AO153" s="42" t="str">
        <f ca="1"/>
        <v xml:space="preserve">NA </v>
      </c>
      <c r="AP153" t="str">
        <f ca="1"/>
        <v xml:space="preserve">NA </v>
      </c>
      <c r="AQ153" t="str">
        <f ca="1"/>
        <v xml:space="preserve">NA </v>
      </c>
      <c r="AR153" t="str">
        <f ca="1"/>
        <v xml:space="preserve">NA </v>
      </c>
      <c r="AS153" s="42" t="str">
        <f ca="1"/>
        <v xml:space="preserve">NA </v>
      </c>
      <c r="AT153" t="str">
        <f ca="1"/>
        <v>0003/2022</v>
      </c>
      <c r="AU153" t="str">
        <f ca="1"/>
        <v>Yermala P.S</v>
      </c>
      <c r="AV153" t="str">
        <f ca="1"/>
        <v>Osmanabad</v>
      </c>
      <c r="AW153" t="str">
        <f ca="1"/>
        <v xml:space="preserve">NA </v>
      </c>
      <c r="AX153" s="42" t="str">
        <f ca="1"/>
        <v>WIP</v>
      </c>
      <c r="AY153" t="str">
        <f ca="1"/>
        <v xml:space="preserve">NA </v>
      </c>
      <c r="AZ153" t="str">
        <f ca="1"/>
        <v xml:space="preserve">NA </v>
      </c>
      <c r="BA153" t="str">
        <f ca="1"/>
        <v xml:space="preserve">NA </v>
      </c>
      <c r="BB153" s="42" t="str">
        <f ca="1"/>
        <v xml:space="preserve">NA </v>
      </c>
      <c r="BC153" t="str">
        <f ca="1"/>
        <v xml:space="preserve">NA </v>
      </c>
      <c r="BD153" t="str">
        <f ca="1"/>
        <v xml:space="preserve">NA </v>
      </c>
      <c r="BE153">
        <f ca="1"/>
        <v>0</v>
      </c>
    </row>
    <row r="154" spans="1:57">
      <c r="A154" s="42">
        <f ca="1"/>
        <v>153</v>
      </c>
      <c r="B154" s="42" t="str">
        <f ca="1"/>
        <v>2025204393</v>
      </c>
      <c r="C154" s="42" t="str">
        <f ca="1"/>
        <v>Indusind General Insurance Co Ltd</v>
      </c>
      <c r="D154" s="42" t="str">
        <f ca="1"/>
        <v>MACT</v>
      </c>
      <c r="E154" s="42" t="str">
        <f ca="1"/>
        <v>R001-1153-SS-2025</v>
      </c>
      <c r="F154" s="310">
        <f ca="1"/>
        <v>45997</v>
      </c>
      <c r="G154" s="42" t="str">
        <f ca="1"/>
        <v>Dec-25</v>
      </c>
      <c r="H154" s="312">
        <f ca="1"/>
        <v>46027</v>
      </c>
      <c r="I154" s="42">
        <f ca="1"/>
        <v>0</v>
      </c>
      <c r="J154" s="310">
        <f ca="1"/>
        <v>46017</v>
      </c>
      <c r="K154" s="42">
        <f ca="1"/>
        <v>30</v>
      </c>
      <c r="L154" s="42" t="str">
        <f ca="1"/>
        <v>AT</v>
      </c>
      <c r="M154" s="42" t="str">
        <f ca="1"/>
        <v>Partial Case</v>
      </c>
      <c r="N154" s="42" t="str">
        <f ca="1"/>
        <v>Dispatch</v>
      </c>
      <c r="O154" s="42" t="str">
        <f ca="1"/>
        <v>Completed</v>
      </c>
      <c r="P154" t="str">
        <f ca="1"/>
        <v>For Insured and Driver Part</v>
      </c>
      <c r="Q154" t="str">
        <f ca="1"/>
        <v>NA</v>
      </c>
      <c r="R154" t="str">
        <f ca="1"/>
        <v>NA</v>
      </c>
      <c r="S154" t="str">
        <f ca="1"/>
        <v>NA</v>
      </c>
      <c r="T154" s="314" t="str">
        <f ca="1"/>
        <v xml:space="preserve">NA </v>
      </c>
      <c r="U154" t="str">
        <f ca="1"/>
        <v xml:space="preserve">NA </v>
      </c>
      <c r="V154" t="str">
        <f ca="1"/>
        <v xml:space="preserve">NA </v>
      </c>
      <c r="W154" t="str">
        <f ca="1"/>
        <v xml:space="preserve">NA </v>
      </c>
      <c r="X154" s="42" t="str">
        <f ca="1"/>
        <v xml:space="preserve">NA </v>
      </c>
      <c r="Y154" t="str">
        <f ca="1"/>
        <v>Nilesh Ankush Nikat</v>
      </c>
      <c r="Z154" t="str">
        <f ca="1"/>
        <v>R/o 576, Karajat Karmala Road, Ambil Jalgaon, Karajat taluk, Ahamad nagar district, State of Maharastra. Pin code - 414402.</v>
      </c>
      <c r="AA154" t="str">
        <f ca="1"/>
        <v>Ahilyanagar</v>
      </c>
      <c r="AB154" t="str">
        <f ca="1"/>
        <v xml:space="preserve">NA </v>
      </c>
      <c r="AC154" s="42" t="str">
        <f ca="1"/>
        <v>Completed</v>
      </c>
      <c r="AD154" t="str">
        <f ca="1"/>
        <v xml:space="preserve">NA </v>
      </c>
      <c r="AE154" t="str">
        <f ca="1"/>
        <v xml:space="preserve">NA </v>
      </c>
      <c r="AF154" t="str">
        <f ca="1"/>
        <v xml:space="preserve">NA </v>
      </c>
      <c r="AG154" s="42" t="str">
        <f ca="1"/>
        <v>WIP</v>
      </c>
      <c r="AH154" t="str">
        <f ca="1"/>
        <v xml:space="preserve">NA </v>
      </c>
      <c r="AI154" s="42" t="str">
        <f ca="1"/>
        <v xml:space="preserve">NA </v>
      </c>
      <c r="AJ154" t="str">
        <f ca="1"/>
        <v xml:space="preserve">NA </v>
      </c>
      <c r="AK154" s="42" t="str">
        <f ca="1"/>
        <v xml:space="preserve">NA </v>
      </c>
      <c r="AL154" t="str">
        <f ca="1"/>
        <v xml:space="preserve">NA </v>
      </c>
      <c r="AM154" s="42" t="str">
        <f ca="1"/>
        <v xml:space="preserve">NA </v>
      </c>
      <c r="AN154" t="str">
        <f ca="1"/>
        <v xml:space="preserve">NA </v>
      </c>
      <c r="AO154" s="42" t="str">
        <f ca="1"/>
        <v xml:space="preserve">NA </v>
      </c>
      <c r="AP154" t="str">
        <f ca="1"/>
        <v xml:space="preserve">NA </v>
      </c>
      <c r="AQ154" t="str">
        <f ca="1"/>
        <v>NA</v>
      </c>
      <c r="AR154" t="str">
        <f ca="1"/>
        <v>NA</v>
      </c>
      <c r="AS154" s="42" t="str">
        <f ca="1"/>
        <v>NA</v>
      </c>
      <c r="AT154" t="str">
        <f ca="1"/>
        <v>NA</v>
      </c>
      <c r="AU154" t="str">
        <f ca="1"/>
        <v>NA</v>
      </c>
      <c r="AV154" t="str">
        <f ca="1"/>
        <v>NA</v>
      </c>
      <c r="AW154" t="str">
        <f ca="1"/>
        <v xml:space="preserve">NA </v>
      </c>
      <c r="AX154" s="42" t="str">
        <f ca="1"/>
        <v>NA</v>
      </c>
      <c r="AY154" t="str">
        <f ca="1"/>
        <v xml:space="preserve">NA </v>
      </c>
      <c r="AZ154" t="str">
        <f ca="1"/>
        <v xml:space="preserve">NA </v>
      </c>
      <c r="BA154" t="str">
        <f ca="1"/>
        <v xml:space="preserve">NA </v>
      </c>
      <c r="BB154" s="42" t="str">
        <f ca="1"/>
        <v xml:space="preserve">NA </v>
      </c>
      <c r="BC154" t="str">
        <f ca="1"/>
        <v xml:space="preserve">NA </v>
      </c>
      <c r="BD154" t="str">
        <f ca="1"/>
        <v xml:space="preserve">NA </v>
      </c>
      <c r="BE154">
        <f ca="1"/>
        <v>0</v>
      </c>
    </row>
    <row r="155" spans="1:57">
      <c r="A155" s="42">
        <f ca="1"/>
        <v>154</v>
      </c>
      <c r="B155" s="42" t="str">
        <f ca="1"/>
        <v>2025213611</v>
      </c>
      <c r="C155" s="42" t="str">
        <f ca="1"/>
        <v>Indusind General Insurance Co Ltd</v>
      </c>
      <c r="D155" s="42" t="str">
        <f ca="1"/>
        <v>MACT</v>
      </c>
      <c r="E155" s="42" t="str">
        <f ca="1"/>
        <v>R001-1154-SS-2025</v>
      </c>
      <c r="F155" s="310">
        <f ca="1"/>
        <v>45997</v>
      </c>
      <c r="G155" s="42" t="str">
        <f ca="1"/>
        <v>Dec-25</v>
      </c>
      <c r="H155" s="312" t="str">
        <f ca="1"/>
        <v>-</v>
      </c>
      <c r="I155" s="42">
        <f ca="1"/>
        <v>0</v>
      </c>
      <c r="J155" s="310">
        <f ca="1"/>
        <v>46038</v>
      </c>
      <c r="K155" s="42">
        <f ca="1"/>
        <v>30</v>
      </c>
      <c r="L155" s="42" t="str">
        <f ca="1"/>
        <v>AT</v>
      </c>
      <c r="M155" s="42" t="str">
        <f ca="1"/>
        <v>Full Case</v>
      </c>
      <c r="N155" s="42" t="str">
        <f ca="1"/>
        <v>Open</v>
      </c>
      <c r="O155" s="42" t="str">
        <f ca="1"/>
        <v>NI</v>
      </c>
      <c r="P155" t="str">
        <f ca="1"/>
        <v>Connected Case-2025214146</v>
      </c>
      <c r="Q155" t="str">
        <f ca="1"/>
        <v>Rukmini Bhomana Gurav</v>
      </c>
      <c r="R155" t="str">
        <f ca="1"/>
        <v>R/o Yashokrishna Apartment, Vadagaon Budruk, Pune-41 Maharashtra</v>
      </c>
      <c r="S155" t="str">
        <f ca="1"/>
        <v>Pune</v>
      </c>
      <c r="T155" s="314" t="str">
        <f ca="1"/>
        <v>WIP</v>
      </c>
      <c r="U155" t="str">
        <f ca="1"/>
        <v xml:space="preserve">NA </v>
      </c>
      <c r="V155" t="str">
        <f ca="1"/>
        <v xml:space="preserve">NA </v>
      </c>
      <c r="W155" t="str">
        <f ca="1"/>
        <v xml:space="preserve">NA </v>
      </c>
      <c r="X155" s="42" t="str">
        <f ca="1"/>
        <v>NA</v>
      </c>
      <c r="Y155" t="str">
        <f ca="1"/>
        <v xml:space="preserve"> Tanaji Udhav Gayakwad</v>
      </c>
      <c r="Z155" t="str">
        <f ca="1"/>
        <v>R/o Flat No. K/201 Geomatrix Developers Silver Crest CHS, Plot No.29 Sector No. 25 Kamothe. Tal. Panvel Dist. Raigad</v>
      </c>
      <c r="AA155" t="str">
        <f ca="1"/>
        <v>Raigad</v>
      </c>
      <c r="AB155" t="str">
        <f ca="1"/>
        <v>NA</v>
      </c>
      <c r="AC155" s="42" t="str">
        <f ca="1"/>
        <v>NI</v>
      </c>
      <c r="AD155" t="str">
        <f ca="1"/>
        <v xml:space="preserve">NA </v>
      </c>
      <c r="AE155" t="str">
        <f ca="1"/>
        <v xml:space="preserve">NA </v>
      </c>
      <c r="AF155" t="str">
        <f ca="1"/>
        <v xml:space="preserve">NA </v>
      </c>
      <c r="AG155" s="42" t="str">
        <f ca="1"/>
        <v>NI</v>
      </c>
      <c r="AH155" t="str">
        <f ca="1"/>
        <v>NA</v>
      </c>
      <c r="AI155" s="42" t="str">
        <f ca="1"/>
        <v>NA</v>
      </c>
      <c r="AJ155" t="str">
        <f ca="1"/>
        <v>NA</v>
      </c>
      <c r="AK155" s="42" t="str">
        <f ca="1"/>
        <v>NA</v>
      </c>
      <c r="AL155" t="str">
        <f ca="1"/>
        <v>NA</v>
      </c>
      <c r="AM155" s="42" t="str">
        <f ca="1"/>
        <v>NA</v>
      </c>
      <c r="AN155" t="str">
        <f ca="1"/>
        <v>NA</v>
      </c>
      <c r="AO155" s="42" t="str">
        <f ca="1"/>
        <v>NA</v>
      </c>
      <c r="AP155" t="str">
        <f ca="1"/>
        <v xml:space="preserve">NA </v>
      </c>
      <c r="AQ155" t="str">
        <f ca="1"/>
        <v>Menon Piston Company on Pune-Belgaum National Highway within the limits of Shiroli MIDC Kolhapur.</v>
      </c>
      <c r="AR155" t="str">
        <f ca="1"/>
        <v>Kolhapur</v>
      </c>
      <c r="AS155" s="42" t="str">
        <f ca="1"/>
        <v>NI</v>
      </c>
      <c r="AT155" t="str">
        <f ca="1"/>
        <v>181/2025</v>
      </c>
      <c r="AU155" t="str">
        <f ca="1"/>
        <v>Shiroli MIDC Police Station</v>
      </c>
      <c r="AV155" t="str">
        <f ca="1"/>
        <v>Kolhapur</v>
      </c>
      <c r="AW155" t="str">
        <f ca="1"/>
        <v>NA</v>
      </c>
      <c r="AX155" s="42" t="str">
        <f ca="1"/>
        <v>NI</v>
      </c>
      <c r="AY155" t="str">
        <f ca="1"/>
        <v xml:space="preserve">NA </v>
      </c>
      <c r="AZ155" t="str">
        <f ca="1"/>
        <v xml:space="preserve">NA </v>
      </c>
      <c r="BA155" t="str">
        <f ca="1"/>
        <v xml:space="preserve">NA </v>
      </c>
      <c r="BB155" s="42" t="str">
        <f ca="1"/>
        <v>NA</v>
      </c>
      <c r="BC155" t="str">
        <f ca="1"/>
        <v xml:space="preserve">NA </v>
      </c>
      <c r="BD155" t="str">
        <f ca="1"/>
        <v>Pending</v>
      </c>
      <c r="BE155">
        <f ca="1"/>
        <v>0</v>
      </c>
    </row>
    <row r="156" spans="1:57">
      <c r="A156" s="42">
        <f ca="1"/>
        <v>155</v>
      </c>
      <c r="B156" s="42" t="str">
        <f ca="1"/>
        <v>2719063</v>
      </c>
      <c r="C156" s="42" t="str">
        <f ca="1"/>
        <v>SBI General Insurance Company Ltd</v>
      </c>
      <c r="D156" s="42" t="str">
        <f ca="1"/>
        <v>MACT</v>
      </c>
      <c r="E156" s="42" t="str">
        <f ca="1"/>
        <v>S002-1155-SS-2025</v>
      </c>
      <c r="F156" s="310">
        <f ca="1"/>
        <v>45999</v>
      </c>
      <c r="G156" s="42" t="str">
        <f ca="1"/>
        <v>Dec-25</v>
      </c>
      <c r="H156" s="312">
        <f ca="1"/>
        <v>46020</v>
      </c>
      <c r="I156" s="42" t="str">
        <f ca="1"/>
        <v>Dec-25</v>
      </c>
      <c r="J156" s="310">
        <f ca="1"/>
        <v>46041</v>
      </c>
      <c r="K156" s="42">
        <f ca="1"/>
        <v>21</v>
      </c>
      <c r="L156" s="42" t="str">
        <f ca="1"/>
        <v>AT</v>
      </c>
      <c r="M156" s="42" t="str">
        <f ca="1"/>
        <v>Medical Verification</v>
      </c>
      <c r="N156" s="42" t="str">
        <f ca="1"/>
        <v>Dispatch</v>
      </c>
      <c r="O156" s="42" t="str">
        <f ca="1"/>
        <v>Completed</v>
      </c>
      <c r="P156" t="str">
        <f ca="1"/>
        <v>Visit Photo required</v>
      </c>
      <c r="Q156" t="str">
        <f ca="1"/>
        <v>Dhanaji Rangrao Jadhv</v>
      </c>
      <c r="R156" t="str">
        <f ca="1"/>
        <v>NA</v>
      </c>
      <c r="S156" t="str">
        <f ca="1"/>
        <v>NA</v>
      </c>
      <c r="T156" s="314" t="str">
        <f ca="1"/>
        <v xml:space="preserve">NA </v>
      </c>
      <c r="U156" t="str">
        <f ca="1"/>
        <v xml:space="preserve">NA </v>
      </c>
      <c r="V156" t="str">
        <f ca="1"/>
        <v xml:space="preserve">NA </v>
      </c>
      <c r="W156" t="str">
        <f ca="1"/>
        <v xml:space="preserve">NA </v>
      </c>
      <c r="X156" s="42" t="str">
        <f ca="1"/>
        <v xml:space="preserve">NA </v>
      </c>
      <c r="Y156" t="str">
        <f ca="1"/>
        <v xml:space="preserve">NA </v>
      </c>
      <c r="Z156" t="str">
        <f ca="1"/>
        <v xml:space="preserve">NA </v>
      </c>
      <c r="AA156" t="str">
        <f ca="1"/>
        <v>NA</v>
      </c>
      <c r="AB156" t="str">
        <f ca="1"/>
        <v xml:space="preserve">NA </v>
      </c>
      <c r="AC156" s="42" t="str">
        <f ca="1"/>
        <v xml:space="preserve">NA </v>
      </c>
      <c r="AD156" t="str">
        <f ca="1"/>
        <v xml:space="preserve">NA </v>
      </c>
      <c r="AE156" t="str">
        <f ca="1"/>
        <v xml:space="preserve">NA </v>
      </c>
      <c r="AF156" t="str">
        <f ca="1"/>
        <v xml:space="preserve">NA </v>
      </c>
      <c r="AG156" s="42" t="str">
        <f ca="1"/>
        <v>NA</v>
      </c>
      <c r="AH156" t="str">
        <f ca="1"/>
        <v>NA</v>
      </c>
      <c r="AI156" s="42" t="str">
        <f ca="1"/>
        <v>NA</v>
      </c>
      <c r="AJ156" t="str">
        <f ca="1"/>
        <v>NA</v>
      </c>
      <c r="AK156" s="42" t="str">
        <f ca="1"/>
        <v>NA</v>
      </c>
      <c r="AL156" t="str">
        <f ca="1"/>
        <v>NA</v>
      </c>
      <c r="AM156" s="42" t="str">
        <f ca="1"/>
        <v>NA</v>
      </c>
      <c r="AN156" t="str">
        <f ca="1"/>
        <v>NA</v>
      </c>
      <c r="AO156" s="42" t="str">
        <f ca="1"/>
        <v>NA</v>
      </c>
      <c r="AP156" t="str">
        <f ca="1"/>
        <v xml:space="preserve">NA </v>
      </c>
      <c r="AQ156" t="str">
        <f ca="1"/>
        <v xml:space="preserve">NA </v>
      </c>
      <c r="AR156" t="str">
        <f ca="1"/>
        <v>NA</v>
      </c>
      <c r="AS156" s="42" t="str">
        <f ca="1"/>
        <v xml:space="preserve">NA </v>
      </c>
      <c r="AT156" t="str">
        <f ca="1"/>
        <v>NA</v>
      </c>
      <c r="AU156" t="str">
        <f ca="1"/>
        <v>NA</v>
      </c>
      <c r="AV156" t="str">
        <f ca="1"/>
        <v>NA</v>
      </c>
      <c r="AW156" t="str">
        <f ca="1"/>
        <v xml:space="preserve">NA </v>
      </c>
      <c r="AX156" s="42" t="str">
        <f ca="1"/>
        <v>NA</v>
      </c>
      <c r="AY156" t="str">
        <f ca="1"/>
        <v>Islampur Multispeciality Hospital &amp; ICU</v>
      </c>
      <c r="AZ156" t="str">
        <f ca="1"/>
        <v>R/o Flat no.85 , Islampur business complex,peth-sangli road Islampur=415409</v>
      </c>
      <c r="BA156" t="str">
        <f ca="1"/>
        <v>Sangli</v>
      </c>
      <c r="BB156" s="42" t="str">
        <f ca="1"/>
        <v>Completed</v>
      </c>
      <c r="BC156" t="str">
        <f ca="1"/>
        <v xml:space="preserve">NA </v>
      </c>
      <c r="BD156" t="str">
        <f ca="1"/>
        <v>Pending</v>
      </c>
      <c r="BE156">
        <f ca="1"/>
        <v>0</v>
      </c>
    </row>
    <row r="157" spans="1:57" ht="25.5" customHeight="1">
      <c r="A157" s="42">
        <f ca="1"/>
        <v>156</v>
      </c>
      <c r="B157" s="42" t="str">
        <f ca="1"/>
        <v>2719062</v>
      </c>
      <c r="C157" s="42" t="str">
        <f ca="1"/>
        <v>SBI General Insurance Company Ltd</v>
      </c>
      <c r="D157" s="42" t="str">
        <f ca="1"/>
        <v>MACT</v>
      </c>
      <c r="E157" s="42" t="str">
        <f ca="1"/>
        <v>S002-1156-SS-2025</v>
      </c>
      <c r="F157" s="310">
        <f ca="1"/>
        <v>45999</v>
      </c>
      <c r="G157" s="42" t="str">
        <f ca="1"/>
        <v>Dec-25</v>
      </c>
      <c r="H157" s="312">
        <f ca="1"/>
        <v>46020</v>
      </c>
      <c r="I157" s="42" t="str">
        <f ca="1"/>
        <v>Dec-25</v>
      </c>
      <c r="J157" s="310">
        <f ca="1"/>
        <v>46041</v>
      </c>
      <c r="K157" s="42">
        <f ca="1"/>
        <v>21</v>
      </c>
      <c r="L157" s="42" t="str">
        <f ca="1"/>
        <v>AT</v>
      </c>
      <c r="M157" s="42" t="str">
        <f ca="1"/>
        <v>Medical Verification</v>
      </c>
      <c r="N157" s="42" t="str">
        <f ca="1"/>
        <v>Dispatch</v>
      </c>
      <c r="O157" s="42" t="str">
        <f ca="1"/>
        <v>Completed</v>
      </c>
      <c r="P157">
        <f ca="1"/>
        <v>0</v>
      </c>
      <c r="Q157" t="str">
        <f ca="1"/>
        <v>Supriya Dhanaji Jadhv</v>
      </c>
      <c r="R157" t="str">
        <f ca="1"/>
        <v>NA</v>
      </c>
      <c r="S157" t="str">
        <f ca="1"/>
        <v>NA</v>
      </c>
      <c r="T157" s="314" t="str">
        <f ca="1"/>
        <v xml:space="preserve">NA </v>
      </c>
      <c r="U157" t="str">
        <f ca="1"/>
        <v xml:space="preserve">NA </v>
      </c>
      <c r="V157" t="str">
        <f ca="1"/>
        <v xml:space="preserve">NA </v>
      </c>
      <c r="W157" t="str">
        <f ca="1"/>
        <v xml:space="preserve">NA </v>
      </c>
      <c r="X157" s="42" t="str">
        <f ca="1"/>
        <v xml:space="preserve">NA </v>
      </c>
      <c r="Y157" t="str">
        <f ca="1"/>
        <v xml:space="preserve">NA </v>
      </c>
      <c r="Z157" t="str">
        <f ca="1"/>
        <v xml:space="preserve">NA </v>
      </c>
      <c r="AA157" t="str">
        <f ca="1"/>
        <v>NA</v>
      </c>
      <c r="AB157" t="str">
        <f ca="1"/>
        <v xml:space="preserve">NA </v>
      </c>
      <c r="AC157" s="42" t="str">
        <f ca="1"/>
        <v xml:space="preserve">NA </v>
      </c>
      <c r="AD157" t="str">
        <f ca="1"/>
        <v xml:space="preserve">NA </v>
      </c>
      <c r="AE157" t="str">
        <f ca="1"/>
        <v xml:space="preserve">NA </v>
      </c>
      <c r="AF157" t="str">
        <f ca="1"/>
        <v xml:space="preserve">NA </v>
      </c>
      <c r="AG157" s="42" t="str">
        <f ca="1"/>
        <v>NA</v>
      </c>
      <c r="AH157" t="str">
        <f ca="1"/>
        <v>NA</v>
      </c>
      <c r="AI157" s="42" t="str">
        <f ca="1"/>
        <v>NA</v>
      </c>
      <c r="AJ157" t="str">
        <f ca="1"/>
        <v>NA</v>
      </c>
      <c r="AK157" s="42" t="str">
        <f ca="1"/>
        <v>NA</v>
      </c>
      <c r="AL157" t="str">
        <f ca="1"/>
        <v>NA</v>
      </c>
      <c r="AM157" s="42" t="str">
        <f ca="1"/>
        <v>NA</v>
      </c>
      <c r="AN157" t="str">
        <f ca="1"/>
        <v>NA</v>
      </c>
      <c r="AO157" s="42" t="str">
        <f ca="1"/>
        <v>NA</v>
      </c>
      <c r="AP157" t="str">
        <f ca="1"/>
        <v xml:space="preserve">NA </v>
      </c>
      <c r="AQ157" t="str">
        <f ca="1"/>
        <v xml:space="preserve">NA </v>
      </c>
      <c r="AR157" t="str">
        <f ca="1"/>
        <v>NA</v>
      </c>
      <c r="AS157" s="42" t="str">
        <f ca="1"/>
        <v xml:space="preserve">NA </v>
      </c>
      <c r="AT157" t="str">
        <f ca="1"/>
        <v>NA</v>
      </c>
      <c r="AU157" t="str">
        <f ca="1"/>
        <v>NA</v>
      </c>
      <c r="AV157" t="str">
        <f ca="1"/>
        <v>NA</v>
      </c>
      <c r="AW157" t="str">
        <f ca="1"/>
        <v xml:space="preserve">NA </v>
      </c>
      <c r="AX157" s="42" t="str">
        <f ca="1"/>
        <v>NA</v>
      </c>
      <c r="AY157" t="str">
        <f ca="1"/>
        <v>Islampur Multispeciality Hospital &amp; ICU</v>
      </c>
      <c r="AZ157" t="str">
        <f ca="1"/>
        <v>R/o Flat no.85 , Islampur business complex,peth-sangli road Islampur=415409</v>
      </c>
      <c r="BA157" t="str">
        <f ca="1"/>
        <v>Sangli</v>
      </c>
      <c r="BB157" s="42" t="str">
        <f ca="1"/>
        <v>Completed</v>
      </c>
      <c r="BC157" t="str">
        <f ca="1"/>
        <v xml:space="preserve">NA </v>
      </c>
      <c r="BD157" t="str">
        <f ca="1"/>
        <v>Pending</v>
      </c>
      <c r="BE157">
        <f ca="1"/>
        <v>0</v>
      </c>
    </row>
    <row r="158" spans="1:57">
      <c r="A158" s="42">
        <f ca="1"/>
        <v>157</v>
      </c>
      <c r="B158" s="42" t="str">
        <f ca="1"/>
        <v>2687368</v>
      </c>
      <c r="C158" s="42" t="str">
        <f ca="1"/>
        <v>SBI General Insurance Company Ltd</v>
      </c>
      <c r="D158" s="42" t="str">
        <f ca="1"/>
        <v>MACT</v>
      </c>
      <c r="E158" s="42" t="str">
        <f ca="1"/>
        <v>S002-1157-SS-2025</v>
      </c>
      <c r="F158" s="310">
        <f ca="1"/>
        <v>45999</v>
      </c>
      <c r="G158" s="42" t="str">
        <f ca="1"/>
        <v>Dec-25</v>
      </c>
      <c r="H158" s="312">
        <f ca="1"/>
        <v>46006</v>
      </c>
      <c r="I158" s="42" t="str">
        <f ca="1"/>
        <v>Dec-25</v>
      </c>
      <c r="J158" s="310">
        <f ca="1"/>
        <v>46041</v>
      </c>
      <c r="K158" s="42">
        <f ca="1"/>
        <v>7</v>
      </c>
      <c r="L158" s="42" t="str">
        <f ca="1"/>
        <v>WT</v>
      </c>
      <c r="M158" s="42" t="str">
        <f ca="1"/>
        <v>Medical Verification</v>
      </c>
      <c r="N158" s="42" t="str">
        <f ca="1"/>
        <v>Approval</v>
      </c>
      <c r="O158" s="42" t="str">
        <f ca="1"/>
        <v>Completed</v>
      </c>
      <c r="P158">
        <f ca="1"/>
        <v>0</v>
      </c>
      <c r="Q158" t="str">
        <f ca="1"/>
        <v>Dadaji Namdev Surywanshi</v>
      </c>
      <c r="R158" t="str">
        <f ca="1"/>
        <v>NA</v>
      </c>
      <c r="S158" t="str">
        <f ca="1"/>
        <v>NA</v>
      </c>
      <c r="T158" s="314" t="str">
        <f ca="1"/>
        <v xml:space="preserve">NA </v>
      </c>
      <c r="U158" t="str">
        <f ca="1"/>
        <v xml:space="preserve">NA </v>
      </c>
      <c r="V158" t="str">
        <f ca="1"/>
        <v xml:space="preserve">NA </v>
      </c>
      <c r="W158" t="str">
        <f ca="1"/>
        <v xml:space="preserve">NA </v>
      </c>
      <c r="X158" s="42" t="str">
        <f ca="1"/>
        <v xml:space="preserve">NA </v>
      </c>
      <c r="Y158" t="str">
        <f ca="1"/>
        <v xml:space="preserve">NA </v>
      </c>
      <c r="Z158" t="str">
        <f ca="1"/>
        <v xml:space="preserve">NA </v>
      </c>
      <c r="AA158" t="str">
        <f ca="1"/>
        <v>NA</v>
      </c>
      <c r="AB158" t="str">
        <f ca="1"/>
        <v xml:space="preserve">NA </v>
      </c>
      <c r="AC158" s="42" t="str">
        <f ca="1"/>
        <v xml:space="preserve">NA </v>
      </c>
      <c r="AD158" t="str">
        <f ca="1"/>
        <v xml:space="preserve">NA </v>
      </c>
      <c r="AE158" t="str">
        <f ca="1"/>
        <v xml:space="preserve">NA </v>
      </c>
      <c r="AF158" t="str">
        <f ca="1"/>
        <v xml:space="preserve">NA </v>
      </c>
      <c r="AG158" s="42" t="str">
        <f ca="1"/>
        <v>NA</v>
      </c>
      <c r="AH158" t="str">
        <f ca="1"/>
        <v>NA</v>
      </c>
      <c r="AI158" s="42" t="str">
        <f ca="1"/>
        <v>NA</v>
      </c>
      <c r="AJ158" t="str">
        <f ca="1"/>
        <v>NA</v>
      </c>
      <c r="AK158" s="42" t="str">
        <f ca="1"/>
        <v>NA</v>
      </c>
      <c r="AL158" t="str">
        <f ca="1"/>
        <v>NA</v>
      </c>
      <c r="AM158" s="42" t="str">
        <f ca="1"/>
        <v>NA</v>
      </c>
      <c r="AN158" t="str">
        <f ca="1"/>
        <v>NA</v>
      </c>
      <c r="AO158" s="42" t="str">
        <f ca="1"/>
        <v>NA</v>
      </c>
      <c r="AP158" t="str">
        <f ca="1"/>
        <v xml:space="preserve">NA </v>
      </c>
      <c r="AQ158" t="str">
        <f ca="1"/>
        <v xml:space="preserve">NA </v>
      </c>
      <c r="AR158" t="str">
        <f ca="1"/>
        <v>NA</v>
      </c>
      <c r="AS158" s="42" t="str">
        <f ca="1"/>
        <v xml:space="preserve">NA </v>
      </c>
      <c r="AT158" t="str">
        <f ca="1"/>
        <v>NA</v>
      </c>
      <c r="AU158" t="str">
        <f ca="1"/>
        <v>NA</v>
      </c>
      <c r="AV158" t="str">
        <f ca="1"/>
        <v>NA</v>
      </c>
      <c r="AW158" t="str">
        <f ca="1"/>
        <v xml:space="preserve">NA </v>
      </c>
      <c r="AX158" s="42" t="str">
        <f ca="1"/>
        <v>NA</v>
      </c>
      <c r="AY158" t="str">
        <f ca="1"/>
        <v>1)Shri Saibaba Hospital                                                                    2)LOTUS HOSPITAL</v>
      </c>
      <c r="AZ158" t="str">
        <f ca="1"/>
        <v>1)Ka. take Hon. Desle Complex, A. T. Near Stand, Zodge, T. Malegaon, Dist. Nashik.         2)VEER SAVARKAR NAGAR NEAR CHURCH GATE MALEGAON CMAP</v>
      </c>
      <c r="BA158" t="str">
        <f ca="1"/>
        <v>Nashik</v>
      </c>
      <c r="BB158" s="42" t="str">
        <f ca="1"/>
        <v>WIP</v>
      </c>
      <c r="BC158" t="str">
        <f ca="1"/>
        <v xml:space="preserve">NA </v>
      </c>
      <c r="BD158" t="str">
        <f ca="1"/>
        <v>Pending</v>
      </c>
      <c r="BE158">
        <f ca="1"/>
        <v>0</v>
      </c>
    </row>
    <row r="159" spans="1:57">
      <c r="A159" s="42">
        <f ca="1"/>
        <v>158</v>
      </c>
      <c r="B159" s="42" t="str">
        <f ca="1"/>
        <v>2675206</v>
      </c>
      <c r="C159" s="42" t="str">
        <f ca="1"/>
        <v>SBI General Insurance Company Ltd</v>
      </c>
      <c r="D159" s="42" t="str">
        <f ca="1"/>
        <v>MACT</v>
      </c>
      <c r="E159" s="42" t="str">
        <f ca="1"/>
        <v>S002-1158-SS-2025</v>
      </c>
      <c r="F159" s="310">
        <f ca="1"/>
        <v>45999</v>
      </c>
      <c r="G159" s="42" t="str">
        <f ca="1"/>
        <v>Dec-25</v>
      </c>
      <c r="H159" s="312">
        <f ca="1"/>
        <v>46006</v>
      </c>
      <c r="I159" s="42" t="str">
        <f ca="1"/>
        <v>Dec-25</v>
      </c>
      <c r="J159" s="310">
        <f ca="1"/>
        <v>46041</v>
      </c>
      <c r="K159" s="42">
        <f ca="1"/>
        <v>7</v>
      </c>
      <c r="L159" s="42" t="str">
        <f ca="1"/>
        <v>WT</v>
      </c>
      <c r="M159" s="42" t="str">
        <f ca="1"/>
        <v>Medical Verification</v>
      </c>
      <c r="N159" s="42" t="str">
        <f ca="1"/>
        <v>Approval</v>
      </c>
      <c r="O159" s="42" t="str">
        <f ca="1"/>
        <v>Completed</v>
      </c>
      <c r="P159">
        <f ca="1"/>
        <v>0</v>
      </c>
      <c r="Q159" t="str">
        <f ca="1"/>
        <v>Krushna Madhukar Tumade</v>
      </c>
      <c r="R159" t="str">
        <f ca="1"/>
        <v>NA</v>
      </c>
      <c r="S159" t="str">
        <f ca="1"/>
        <v>NA</v>
      </c>
      <c r="T159" s="314" t="str">
        <f ca="1"/>
        <v xml:space="preserve">NA </v>
      </c>
      <c r="U159" t="str">
        <f ca="1"/>
        <v xml:space="preserve">NA </v>
      </c>
      <c r="V159" t="str">
        <f ca="1"/>
        <v xml:space="preserve">NA </v>
      </c>
      <c r="W159" t="str">
        <f ca="1"/>
        <v xml:space="preserve">NA </v>
      </c>
      <c r="X159" s="42" t="str">
        <f ca="1"/>
        <v xml:space="preserve">NA </v>
      </c>
      <c r="Y159" t="str">
        <f ca="1"/>
        <v xml:space="preserve">NA </v>
      </c>
      <c r="Z159" t="str">
        <f ca="1"/>
        <v xml:space="preserve">NA </v>
      </c>
      <c r="AA159" t="str">
        <f ca="1"/>
        <v>NA</v>
      </c>
      <c r="AB159" t="str">
        <f ca="1"/>
        <v xml:space="preserve">NA </v>
      </c>
      <c r="AC159" s="42" t="str">
        <f ca="1"/>
        <v xml:space="preserve">NA </v>
      </c>
      <c r="AD159" t="str">
        <f ca="1"/>
        <v xml:space="preserve">NA </v>
      </c>
      <c r="AE159" t="str">
        <f ca="1"/>
        <v xml:space="preserve">NA </v>
      </c>
      <c r="AF159" t="str">
        <f ca="1"/>
        <v xml:space="preserve">NA </v>
      </c>
      <c r="AG159" s="42" t="str">
        <f ca="1"/>
        <v>NA</v>
      </c>
      <c r="AH159" t="str">
        <f ca="1"/>
        <v>NA</v>
      </c>
      <c r="AI159" s="42" t="str">
        <f ca="1"/>
        <v>NA</v>
      </c>
      <c r="AJ159" t="str">
        <f ca="1"/>
        <v>NA</v>
      </c>
      <c r="AK159" s="42" t="str">
        <f ca="1"/>
        <v>NA</v>
      </c>
      <c r="AL159" t="str">
        <f ca="1"/>
        <v>NA</v>
      </c>
      <c r="AM159" s="42" t="str">
        <f ca="1"/>
        <v>NA</v>
      </c>
      <c r="AN159" t="str">
        <f ca="1"/>
        <v>NA</v>
      </c>
      <c r="AO159" s="42" t="str">
        <f ca="1"/>
        <v>NA</v>
      </c>
      <c r="AP159" t="str">
        <f ca="1"/>
        <v xml:space="preserve">NA </v>
      </c>
      <c r="AQ159" t="str">
        <f ca="1"/>
        <v xml:space="preserve">NA </v>
      </c>
      <c r="AR159" t="str">
        <f ca="1"/>
        <v>NA</v>
      </c>
      <c r="AS159" s="42" t="str">
        <f ca="1"/>
        <v xml:space="preserve">NA </v>
      </c>
      <c r="AT159" t="str">
        <f ca="1"/>
        <v>NA</v>
      </c>
      <c r="AU159" t="str">
        <f ca="1"/>
        <v>NA</v>
      </c>
      <c r="AV159" t="str">
        <f ca="1"/>
        <v>NA</v>
      </c>
      <c r="AW159" t="str">
        <f ca="1"/>
        <v xml:space="preserve">NA </v>
      </c>
      <c r="AX159" s="42" t="str">
        <f ca="1"/>
        <v>NA</v>
      </c>
      <c r="AY159" t="str">
        <f ca="1"/>
        <v>Dr. Vasantrao Pawar Medical College, Hospital &amp; Research Centre</v>
      </c>
      <c r="AZ159" t="str">
        <f ca="1"/>
        <v>Vasantdada Nagar, Adgaon, Nashik</v>
      </c>
      <c r="BA159" t="str">
        <f ca="1"/>
        <v>Nashik</v>
      </c>
      <c r="BB159" s="42" t="str">
        <f ca="1"/>
        <v>Completed</v>
      </c>
      <c r="BC159" t="str">
        <f ca="1"/>
        <v xml:space="preserve">NA </v>
      </c>
      <c r="BD159" t="str">
        <f ca="1"/>
        <v>Pending</v>
      </c>
      <c r="BE159">
        <f ca="1"/>
        <v>0</v>
      </c>
    </row>
    <row r="160" spans="1:57">
      <c r="A160" s="42">
        <f ca="1"/>
        <v>159</v>
      </c>
      <c r="B160" s="42" t="str">
        <f ca="1"/>
        <v>2688502</v>
      </c>
      <c r="C160" s="42" t="str">
        <f ca="1"/>
        <v>SBI General Insurance Company Ltd</v>
      </c>
      <c r="D160" s="42" t="str">
        <f ca="1"/>
        <v>MACT</v>
      </c>
      <c r="E160" s="42" t="str">
        <f ca="1"/>
        <v>S002-1159-SS-2025</v>
      </c>
      <c r="F160" s="310">
        <f ca="1"/>
        <v>45999</v>
      </c>
      <c r="G160" s="42" t="str">
        <f ca="1"/>
        <v>Dec-25</v>
      </c>
      <c r="H160" s="312">
        <f ca="1"/>
        <v>46003</v>
      </c>
      <c r="I160" s="42" t="str">
        <f ca="1"/>
        <v>Dec-25</v>
      </c>
      <c r="J160" s="310">
        <f ca="1"/>
        <v>46041</v>
      </c>
      <c r="K160" s="42">
        <f ca="1"/>
        <v>4</v>
      </c>
      <c r="L160" s="42" t="str">
        <f ca="1"/>
        <v>WT</v>
      </c>
      <c r="M160" s="42" t="str">
        <f ca="1"/>
        <v>Medical Verification</v>
      </c>
      <c r="N160" s="42" t="str">
        <f ca="1"/>
        <v>Dispatch</v>
      </c>
      <c r="O160" s="42" t="str">
        <f ca="1"/>
        <v>Completed</v>
      </c>
      <c r="P160">
        <f ca="1"/>
        <v>0</v>
      </c>
      <c r="Q160" t="str">
        <f ca="1"/>
        <v>Bhaskar Chokhande</v>
      </c>
      <c r="R160" t="str">
        <f ca="1"/>
        <v>NA</v>
      </c>
      <c r="S160" t="str">
        <f ca="1"/>
        <v>NA</v>
      </c>
      <c r="T160" s="314" t="str">
        <f ca="1"/>
        <v xml:space="preserve">NA </v>
      </c>
      <c r="U160" t="str">
        <f ca="1"/>
        <v xml:space="preserve">NA </v>
      </c>
      <c r="V160" t="str">
        <f ca="1"/>
        <v xml:space="preserve">NA </v>
      </c>
      <c r="W160" t="str">
        <f ca="1"/>
        <v xml:space="preserve">NA </v>
      </c>
      <c r="X160" s="42" t="str">
        <f ca="1"/>
        <v xml:space="preserve">NA </v>
      </c>
      <c r="Y160" t="str">
        <f ca="1"/>
        <v xml:space="preserve">NA </v>
      </c>
      <c r="Z160" t="str">
        <f ca="1"/>
        <v xml:space="preserve">NA </v>
      </c>
      <c r="AA160" t="str">
        <f ca="1"/>
        <v>NA</v>
      </c>
      <c r="AB160" t="str">
        <f ca="1"/>
        <v xml:space="preserve">NA </v>
      </c>
      <c r="AC160" s="42" t="str">
        <f ca="1"/>
        <v xml:space="preserve">NA </v>
      </c>
      <c r="AD160" t="str">
        <f ca="1"/>
        <v xml:space="preserve">NA </v>
      </c>
      <c r="AE160" t="str">
        <f ca="1"/>
        <v xml:space="preserve">NA </v>
      </c>
      <c r="AF160" t="str">
        <f ca="1"/>
        <v xml:space="preserve">NA </v>
      </c>
      <c r="AG160" s="42" t="str">
        <f ca="1"/>
        <v>NA</v>
      </c>
      <c r="AH160" t="str">
        <f ca="1"/>
        <v>NA</v>
      </c>
      <c r="AI160" s="42" t="str">
        <f ca="1"/>
        <v>NA</v>
      </c>
      <c r="AJ160" t="str">
        <f ca="1"/>
        <v>NA</v>
      </c>
      <c r="AK160" s="42" t="str">
        <f ca="1"/>
        <v>NA</v>
      </c>
      <c r="AL160" t="str">
        <f ca="1"/>
        <v>NA</v>
      </c>
      <c r="AM160" s="42" t="str">
        <f ca="1"/>
        <v>NA</v>
      </c>
      <c r="AN160" t="str">
        <f ca="1"/>
        <v>NA</v>
      </c>
      <c r="AO160" s="42" t="str">
        <f ca="1"/>
        <v>NA</v>
      </c>
      <c r="AP160" t="str">
        <f ca="1"/>
        <v xml:space="preserve">NA </v>
      </c>
      <c r="AQ160" t="str">
        <f ca="1"/>
        <v xml:space="preserve">NA </v>
      </c>
      <c r="AR160" t="str">
        <f ca="1"/>
        <v>NA</v>
      </c>
      <c r="AS160" s="42" t="str">
        <f ca="1"/>
        <v xml:space="preserve">NA </v>
      </c>
      <c r="AT160" t="str">
        <f ca="1"/>
        <v>NA</v>
      </c>
      <c r="AU160" t="str">
        <f ca="1"/>
        <v>NA</v>
      </c>
      <c r="AV160" t="str">
        <f ca="1"/>
        <v>NA</v>
      </c>
      <c r="AW160" t="str">
        <f ca="1"/>
        <v xml:space="preserve">NA </v>
      </c>
      <c r="AX160" s="42" t="str">
        <f ca="1"/>
        <v>NA</v>
      </c>
      <c r="AY160" t="str">
        <f ca="1"/>
        <v>Vaishnavi Diagnostic Centre</v>
      </c>
      <c r="AZ160" t="str">
        <f ca="1"/>
        <v>Ground Floor Shop No. 9,Sinnar City Center, Opp. Waje Petrol Pump, Sinnar</v>
      </c>
      <c r="BA160" t="str">
        <f ca="1"/>
        <v>Sinnar</v>
      </c>
      <c r="BB160" s="42" t="str">
        <f ca="1"/>
        <v>Completed</v>
      </c>
      <c r="BC160" t="str">
        <f ca="1"/>
        <v xml:space="preserve">NA </v>
      </c>
      <c r="BD160" t="str">
        <f ca="1"/>
        <v>Pending</v>
      </c>
      <c r="BE160">
        <f ca="1"/>
        <v>0</v>
      </c>
    </row>
    <row r="161" spans="1:57">
      <c r="A161" s="42">
        <f ca="1"/>
        <v>160</v>
      </c>
      <c r="B161" s="42" t="str">
        <f ca="1"/>
        <v>2688503</v>
      </c>
      <c r="C161" s="42" t="str">
        <f ca="1"/>
        <v>SBI General Insurance Company Ltd</v>
      </c>
      <c r="D161" s="42" t="str">
        <f ca="1"/>
        <v>MACT</v>
      </c>
      <c r="E161" s="42" t="str">
        <f ca="1"/>
        <v>S002-1160-SS-2025</v>
      </c>
      <c r="F161" s="310">
        <f ca="1"/>
        <v>45999</v>
      </c>
      <c r="G161" s="42" t="str">
        <f ca="1"/>
        <v>Dec-25</v>
      </c>
      <c r="H161" s="312">
        <f ca="1"/>
        <v>46003</v>
      </c>
      <c r="I161" s="42" t="str">
        <f ca="1"/>
        <v>Dec-25</v>
      </c>
      <c r="J161" s="310">
        <f ca="1"/>
        <v>46041</v>
      </c>
      <c r="K161" s="42">
        <f ca="1"/>
        <v>4</v>
      </c>
      <c r="L161" s="42" t="str">
        <f ca="1"/>
        <v>WT</v>
      </c>
      <c r="M161" s="42" t="str">
        <f ca="1"/>
        <v>Medical Verification</v>
      </c>
      <c r="N161" s="42" t="str">
        <f ca="1"/>
        <v>Dispatch</v>
      </c>
      <c r="O161" s="42" t="str">
        <f ca="1"/>
        <v>Completed</v>
      </c>
      <c r="P161">
        <f ca="1"/>
        <v>0</v>
      </c>
      <c r="Q161" t="str">
        <f ca="1"/>
        <v>RAVIKIRAN SUKHADEV MANDLIK</v>
      </c>
      <c r="R161" t="str">
        <f ca="1"/>
        <v>NA</v>
      </c>
      <c r="S161" t="str">
        <f ca="1"/>
        <v>NA</v>
      </c>
      <c r="T161" s="314" t="str">
        <f ca="1"/>
        <v xml:space="preserve">NA </v>
      </c>
      <c r="U161" t="str">
        <f ca="1"/>
        <v xml:space="preserve">NA </v>
      </c>
      <c r="V161" t="str">
        <f ca="1"/>
        <v xml:space="preserve">NA </v>
      </c>
      <c r="W161" t="str">
        <f ca="1"/>
        <v xml:space="preserve">NA </v>
      </c>
      <c r="X161" s="42" t="str">
        <f ca="1"/>
        <v xml:space="preserve">NA </v>
      </c>
      <c r="Y161" t="str">
        <f ca="1"/>
        <v xml:space="preserve">NA </v>
      </c>
      <c r="Z161" t="str">
        <f ca="1"/>
        <v xml:space="preserve">NA </v>
      </c>
      <c r="AA161" t="str">
        <f ca="1"/>
        <v>NA</v>
      </c>
      <c r="AB161" t="str">
        <f ca="1"/>
        <v xml:space="preserve">NA </v>
      </c>
      <c r="AC161" s="42" t="str">
        <f ca="1"/>
        <v xml:space="preserve">NA </v>
      </c>
      <c r="AD161" t="str">
        <f ca="1"/>
        <v xml:space="preserve">NA </v>
      </c>
      <c r="AE161" t="str">
        <f ca="1"/>
        <v xml:space="preserve">NA </v>
      </c>
      <c r="AF161" t="str">
        <f ca="1"/>
        <v xml:space="preserve">NA </v>
      </c>
      <c r="AG161" s="42" t="str">
        <f ca="1"/>
        <v>NA</v>
      </c>
      <c r="AH161" t="str">
        <f ca="1"/>
        <v>NA</v>
      </c>
      <c r="AI161" s="42" t="str">
        <f ca="1"/>
        <v>NA</v>
      </c>
      <c r="AJ161" t="str">
        <f ca="1"/>
        <v>NA</v>
      </c>
      <c r="AK161" s="42" t="str">
        <f ca="1"/>
        <v>NA</v>
      </c>
      <c r="AL161" t="str">
        <f ca="1"/>
        <v>NA</v>
      </c>
      <c r="AM161" s="42" t="str">
        <f ca="1"/>
        <v>NA</v>
      </c>
      <c r="AN161" t="str">
        <f ca="1"/>
        <v>NA</v>
      </c>
      <c r="AO161" s="42" t="str">
        <f ca="1"/>
        <v>NA</v>
      </c>
      <c r="AP161" t="str">
        <f ca="1"/>
        <v xml:space="preserve">NA </v>
      </c>
      <c r="AQ161" t="str">
        <f ca="1"/>
        <v xml:space="preserve">NA </v>
      </c>
      <c r="AR161" t="str">
        <f ca="1"/>
        <v>NA</v>
      </c>
      <c r="AS161" s="42" t="str">
        <f ca="1"/>
        <v xml:space="preserve">NA </v>
      </c>
      <c r="AT161" t="str">
        <f ca="1"/>
        <v>NA</v>
      </c>
      <c r="AU161" t="str">
        <f ca="1"/>
        <v>NA</v>
      </c>
      <c r="AV161" t="str">
        <f ca="1"/>
        <v>NA</v>
      </c>
      <c r="AW161" t="str">
        <f ca="1"/>
        <v xml:space="preserve">NA </v>
      </c>
      <c r="AX161" s="42" t="str">
        <f ca="1"/>
        <v>NA</v>
      </c>
      <c r="AY161" t="str">
        <f ca="1"/>
        <v>YASHWANT MULTISPECIALITY HOSPITAL</v>
      </c>
      <c r="AZ161" t="str">
        <f ca="1"/>
        <v>Near Waje Petrol Pump, Pune-Nashik Road,
Sinnar, Dist. Nashik</v>
      </c>
      <c r="BA161" t="str">
        <f ca="1"/>
        <v>Nashik</v>
      </c>
      <c r="BB161" s="42" t="str">
        <f ca="1"/>
        <v>Completed</v>
      </c>
      <c r="BC161" t="str">
        <f ca="1"/>
        <v xml:space="preserve">NA </v>
      </c>
      <c r="BD161" t="str">
        <f ca="1"/>
        <v>Pending</v>
      </c>
      <c r="BE161">
        <f ca="1"/>
        <v>0</v>
      </c>
    </row>
    <row r="162" spans="1:57">
      <c r="A162" s="42">
        <f ca="1"/>
        <v>161</v>
      </c>
      <c r="B162" s="42" t="str">
        <f ca="1"/>
        <v>2531991</v>
      </c>
      <c r="C162" s="42" t="str">
        <f ca="1"/>
        <v>SBI General Insurance Company Ltd</v>
      </c>
      <c r="D162" s="42" t="str">
        <f ca="1"/>
        <v>MACT</v>
      </c>
      <c r="E162" s="42" t="str">
        <f ca="1"/>
        <v>S002-1161-SS-2025</v>
      </c>
      <c r="F162" s="310">
        <f ca="1"/>
        <v>45999</v>
      </c>
      <c r="G162" s="42" t="str">
        <f ca="1"/>
        <v>Dec-25</v>
      </c>
      <c r="H162" s="312">
        <f ca="1"/>
        <v>46013</v>
      </c>
      <c r="I162" s="42" t="str">
        <f ca="1"/>
        <v>Dec-25</v>
      </c>
      <c r="J162" s="310">
        <f ca="1"/>
        <v>46041</v>
      </c>
      <c r="K162" s="42">
        <f ca="1"/>
        <v>14</v>
      </c>
      <c r="L162" s="42" t="str">
        <f ca="1"/>
        <v>WT</v>
      </c>
      <c r="M162" s="42" t="str">
        <f ca="1"/>
        <v>Medical Verification</v>
      </c>
      <c r="N162" s="42" t="str">
        <f ca="1"/>
        <v>Dispatch</v>
      </c>
      <c r="O162" s="42" t="str">
        <f ca="1"/>
        <v>Completed</v>
      </c>
      <c r="P162">
        <f ca="1"/>
        <v>0</v>
      </c>
      <c r="Q162" t="str">
        <f ca="1"/>
        <v>Vasant Kadam</v>
      </c>
      <c r="R162" t="str">
        <f ca="1"/>
        <v>NA</v>
      </c>
      <c r="S162" t="str">
        <f ca="1"/>
        <v>NA</v>
      </c>
      <c r="T162" s="314" t="str">
        <f ca="1"/>
        <v xml:space="preserve">NA </v>
      </c>
      <c r="U162" t="str">
        <f ca="1"/>
        <v xml:space="preserve">NA </v>
      </c>
      <c r="V162" t="str">
        <f ca="1"/>
        <v xml:space="preserve">NA </v>
      </c>
      <c r="W162" t="str">
        <f ca="1"/>
        <v xml:space="preserve">NA </v>
      </c>
      <c r="X162" s="42" t="str">
        <f ca="1"/>
        <v xml:space="preserve">NA </v>
      </c>
      <c r="Y162" t="str">
        <f ca="1"/>
        <v xml:space="preserve">NA </v>
      </c>
      <c r="Z162" t="str">
        <f ca="1"/>
        <v xml:space="preserve">NA </v>
      </c>
      <c r="AA162" t="str">
        <f ca="1"/>
        <v>NA</v>
      </c>
      <c r="AB162" t="str">
        <f ca="1"/>
        <v xml:space="preserve">NA </v>
      </c>
      <c r="AC162" s="42" t="str">
        <f ca="1"/>
        <v xml:space="preserve">NA </v>
      </c>
      <c r="AD162" t="str">
        <f ca="1"/>
        <v xml:space="preserve">NA </v>
      </c>
      <c r="AE162" t="str">
        <f ca="1"/>
        <v xml:space="preserve">NA </v>
      </c>
      <c r="AF162" t="str">
        <f ca="1"/>
        <v xml:space="preserve">NA </v>
      </c>
      <c r="AG162" s="42" t="str">
        <f ca="1"/>
        <v>NA</v>
      </c>
      <c r="AH162" t="str">
        <f ca="1"/>
        <v>NA</v>
      </c>
      <c r="AI162" s="42" t="str">
        <f ca="1"/>
        <v>NA</v>
      </c>
      <c r="AJ162" t="str">
        <f ca="1"/>
        <v>NA</v>
      </c>
      <c r="AK162" s="42" t="str">
        <f ca="1"/>
        <v>NA</v>
      </c>
      <c r="AL162" t="str">
        <f ca="1"/>
        <v>NA</v>
      </c>
      <c r="AM162" s="42" t="str">
        <f ca="1"/>
        <v>NA</v>
      </c>
      <c r="AN162" t="str">
        <f ca="1"/>
        <v>NA</v>
      </c>
      <c r="AO162" s="42" t="str">
        <f ca="1"/>
        <v>NA</v>
      </c>
      <c r="AP162" t="str">
        <f ca="1"/>
        <v xml:space="preserve">NA </v>
      </c>
      <c r="AQ162" t="str">
        <f ca="1"/>
        <v xml:space="preserve">NA </v>
      </c>
      <c r="AR162" t="str">
        <f ca="1"/>
        <v>NA</v>
      </c>
      <c r="AS162" s="42" t="str">
        <f ca="1"/>
        <v xml:space="preserve">NA </v>
      </c>
      <c r="AT162" t="str">
        <f ca="1"/>
        <v>NA</v>
      </c>
      <c r="AU162" t="str">
        <f ca="1"/>
        <v>NA</v>
      </c>
      <c r="AV162" t="str">
        <f ca="1"/>
        <v>NA</v>
      </c>
      <c r="AW162" t="str">
        <f ca="1"/>
        <v xml:space="preserve">NA </v>
      </c>
      <c r="AX162" s="42" t="str">
        <f ca="1"/>
        <v>NA</v>
      </c>
      <c r="AY162" t="str">
        <f ca="1"/>
        <v xml:space="preserve">1)VINCHURKAR PAWAR DIAGNOSTIC CENTRE PVT. LTD.                                                       2)Prayas Hospital </v>
      </c>
      <c r="AZ162" t="str">
        <f ca="1"/>
        <v>Ramtek, Near LIC Office, Camp Road, Malegaon                                                                            2)Malegaon Nashik</v>
      </c>
      <c r="BA162" t="str">
        <f ca="1"/>
        <v>Malegaon</v>
      </c>
      <c r="BB162" s="42" t="str">
        <f ca="1"/>
        <v>Completed</v>
      </c>
      <c r="BC162" t="str">
        <f ca="1"/>
        <v xml:space="preserve">NA </v>
      </c>
      <c r="BD162" t="str">
        <f ca="1"/>
        <v>Pending</v>
      </c>
      <c r="BE162">
        <f ca="1"/>
        <v>0</v>
      </c>
    </row>
    <row r="163" spans="1:57">
      <c r="A163" s="42">
        <f ca="1"/>
        <v>162</v>
      </c>
      <c r="B163" s="42" t="str">
        <f ca="1"/>
        <v>2675217</v>
      </c>
      <c r="C163" s="42" t="str">
        <f ca="1"/>
        <v>SBI General Insurance Company Ltd</v>
      </c>
      <c r="D163" s="42" t="str">
        <f ca="1"/>
        <v>MACT</v>
      </c>
      <c r="E163" s="42" t="str">
        <f ca="1"/>
        <v>S002-1162-SS-2025</v>
      </c>
      <c r="F163" s="310">
        <f ca="1"/>
        <v>45999</v>
      </c>
      <c r="G163" s="42" t="str">
        <f ca="1"/>
        <v>Dec-25</v>
      </c>
      <c r="H163" s="312">
        <f ca="1"/>
        <v>46015</v>
      </c>
      <c r="I163" s="42" t="str">
        <f ca="1"/>
        <v>Dec-25</v>
      </c>
      <c r="J163" s="310">
        <f ca="1"/>
        <v>46041</v>
      </c>
      <c r="K163" s="42">
        <f ca="1"/>
        <v>16</v>
      </c>
      <c r="L163" s="42" t="str">
        <f ca="1"/>
        <v>AT</v>
      </c>
      <c r="M163" s="42" t="str">
        <f ca="1"/>
        <v>Medical Verification</v>
      </c>
      <c r="N163" s="42" t="str">
        <f ca="1"/>
        <v>Dispatch</v>
      </c>
      <c r="O163" s="42" t="str">
        <f ca="1"/>
        <v>Completed</v>
      </c>
      <c r="P163">
        <f ca="1"/>
        <v>0</v>
      </c>
      <c r="Q163" t="str">
        <f ca="1"/>
        <v>Devkisan Ekhnath Shelke</v>
      </c>
      <c r="R163" t="str">
        <f ca="1"/>
        <v>NA</v>
      </c>
      <c r="S163" t="str">
        <f ca="1"/>
        <v>NA</v>
      </c>
      <c r="T163" s="314" t="str">
        <f ca="1"/>
        <v xml:space="preserve">NA </v>
      </c>
      <c r="U163" t="str">
        <f ca="1"/>
        <v xml:space="preserve">NA </v>
      </c>
      <c r="V163" t="str">
        <f ca="1"/>
        <v xml:space="preserve">NA </v>
      </c>
      <c r="W163" t="str">
        <f ca="1"/>
        <v xml:space="preserve">NA </v>
      </c>
      <c r="X163" s="42" t="str">
        <f ca="1"/>
        <v xml:space="preserve">NA </v>
      </c>
      <c r="Y163" t="str">
        <f ca="1"/>
        <v xml:space="preserve">NA </v>
      </c>
      <c r="Z163" t="str">
        <f ca="1"/>
        <v xml:space="preserve">NA </v>
      </c>
      <c r="AA163" t="str">
        <f ca="1"/>
        <v>NA</v>
      </c>
      <c r="AB163" t="str">
        <f ca="1"/>
        <v xml:space="preserve">NA </v>
      </c>
      <c r="AC163" s="42" t="str">
        <f ca="1"/>
        <v xml:space="preserve">NA </v>
      </c>
      <c r="AD163" t="str">
        <f ca="1"/>
        <v xml:space="preserve">NA </v>
      </c>
      <c r="AE163" t="str">
        <f ca="1"/>
        <v xml:space="preserve">NA </v>
      </c>
      <c r="AF163" t="str">
        <f ca="1"/>
        <v xml:space="preserve">NA </v>
      </c>
      <c r="AG163" s="42" t="str">
        <f ca="1"/>
        <v>NA</v>
      </c>
      <c r="AH163" t="str">
        <f ca="1"/>
        <v>NA</v>
      </c>
      <c r="AI163" s="42" t="str">
        <f ca="1"/>
        <v>NA</v>
      </c>
      <c r="AJ163" t="str">
        <f ca="1"/>
        <v>NA</v>
      </c>
      <c r="AK163" s="42" t="str">
        <f ca="1"/>
        <v>NA</v>
      </c>
      <c r="AL163" t="str">
        <f ca="1"/>
        <v>NA</v>
      </c>
      <c r="AM163" s="42" t="str">
        <f ca="1"/>
        <v>NA</v>
      </c>
      <c r="AN163" t="str">
        <f ca="1"/>
        <v>NA</v>
      </c>
      <c r="AO163" s="42" t="str">
        <f ca="1"/>
        <v>NA</v>
      </c>
      <c r="AP163" t="str">
        <f ca="1"/>
        <v xml:space="preserve">NA </v>
      </c>
      <c r="AQ163" t="str">
        <f ca="1"/>
        <v xml:space="preserve">NA </v>
      </c>
      <c r="AR163" t="str">
        <f ca="1"/>
        <v>NA</v>
      </c>
      <c r="AS163" s="42" t="str">
        <f ca="1"/>
        <v xml:space="preserve">NA </v>
      </c>
      <c r="AT163" t="str">
        <f ca="1"/>
        <v>NA</v>
      </c>
      <c r="AU163" t="str">
        <f ca="1"/>
        <v>NA</v>
      </c>
      <c r="AV163" t="str">
        <f ca="1"/>
        <v>NA</v>
      </c>
      <c r="AW163" t="str">
        <f ca="1"/>
        <v xml:space="preserve">NA </v>
      </c>
      <c r="AX163" s="42" t="str">
        <f ca="1"/>
        <v>NA</v>
      </c>
      <c r="AY163" t="str">
        <f ca="1"/>
        <v>Saykhedkar hospital &amp; RESEARCH CENTER PATETD unit of S.M.A.R.T</v>
      </c>
      <c r="AZ163" t="str">
        <f ca="1"/>
        <v>Trimurti Chowk, Kamatwade Rd, opp. Matale Mangal Karyalaya, Cideo, Nashik</v>
      </c>
      <c r="BA163" t="str">
        <f ca="1"/>
        <v>Nashik</v>
      </c>
      <c r="BB163" s="42" t="str">
        <f ca="1"/>
        <v>Completed</v>
      </c>
      <c r="BC163" t="str">
        <f ca="1"/>
        <v xml:space="preserve">NA </v>
      </c>
      <c r="BD163" t="str">
        <f ca="1"/>
        <v>Pending</v>
      </c>
      <c r="BE163">
        <f ca="1"/>
        <v>0</v>
      </c>
    </row>
    <row r="164" spans="1:57">
      <c r="A164" s="42">
        <f ca="1"/>
        <v>163</v>
      </c>
      <c r="B164" s="42" t="str">
        <f ca="1"/>
        <v>2025201616</v>
      </c>
      <c r="C164" s="42" t="str">
        <f ca="1"/>
        <v>Indusind General Insurance Co Ltd</v>
      </c>
      <c r="D164" s="42" t="str">
        <f ca="1"/>
        <v>MACT</v>
      </c>
      <c r="E164" s="42" t="str">
        <f ca="1"/>
        <v>R001-1163-SS-2025</v>
      </c>
      <c r="F164" s="310">
        <f ca="1"/>
        <v>45767</v>
      </c>
      <c r="G164" s="42" t="str">
        <f ca="1"/>
        <v>Apr-25</v>
      </c>
      <c r="H164" s="312" t="str">
        <f ca="1"/>
        <v>-</v>
      </c>
      <c r="I164" s="42">
        <f ca="1"/>
        <v>0</v>
      </c>
      <c r="J164" s="310">
        <f ca="1"/>
        <v>45786</v>
      </c>
      <c r="K164" s="42">
        <f ca="1"/>
        <v>260</v>
      </c>
      <c r="L164" s="42" t="str">
        <f ca="1"/>
        <v>AT</v>
      </c>
      <c r="M164" s="42" t="str">
        <f ca="1"/>
        <v>Partial Case</v>
      </c>
      <c r="N164" s="42" t="str">
        <f ca="1"/>
        <v>Open</v>
      </c>
      <c r="O164" s="42" t="str">
        <f ca="1"/>
        <v>Pending CS</v>
      </c>
      <c r="P164" t="str">
        <f ca="1"/>
        <v>For Police Part</v>
      </c>
      <c r="Q164" t="str">
        <f ca="1"/>
        <v>NA</v>
      </c>
      <c r="R164" t="str">
        <f ca="1"/>
        <v>NA</v>
      </c>
      <c r="S164" t="str">
        <f ca="1"/>
        <v>NA</v>
      </c>
      <c r="T164" s="314" t="str">
        <f ca="1"/>
        <v>NA</v>
      </c>
      <c r="U164" t="str">
        <f ca="1"/>
        <v>NA</v>
      </c>
      <c r="V164" t="str">
        <f ca="1"/>
        <v>NA</v>
      </c>
      <c r="W164" t="str">
        <f ca="1"/>
        <v>NA</v>
      </c>
      <c r="X164" s="42" t="str">
        <f ca="1"/>
        <v>NA</v>
      </c>
      <c r="Y164" t="str">
        <f ca="1"/>
        <v>NA</v>
      </c>
      <c r="Z164" t="str">
        <f ca="1"/>
        <v>NA</v>
      </c>
      <c r="AA164" t="str">
        <f ca="1"/>
        <v>NA</v>
      </c>
      <c r="AB164" t="str">
        <f ca="1"/>
        <v>NA</v>
      </c>
      <c r="AC164" s="42" t="str">
        <f ca="1"/>
        <v>NA</v>
      </c>
      <c r="AD164" t="str">
        <f ca="1"/>
        <v>NA</v>
      </c>
      <c r="AE164" t="str">
        <f ca="1"/>
        <v>NA</v>
      </c>
      <c r="AF164" t="str">
        <f ca="1"/>
        <v>NA</v>
      </c>
      <c r="AG164" s="42" t="str">
        <f ca="1"/>
        <v>NA</v>
      </c>
      <c r="AH164" t="str">
        <f ca="1"/>
        <v>NA</v>
      </c>
      <c r="AI164" s="42" t="str">
        <f ca="1"/>
        <v>NA</v>
      </c>
      <c r="AJ164" t="str">
        <f ca="1"/>
        <v>NA</v>
      </c>
      <c r="AK164" s="42" t="str">
        <f ca="1"/>
        <v>NA</v>
      </c>
      <c r="AL164" t="str">
        <f ca="1"/>
        <v>NA</v>
      </c>
      <c r="AM164" s="42" t="str">
        <f ca="1"/>
        <v>NA</v>
      </c>
      <c r="AN164" t="str">
        <f ca="1"/>
        <v>NA</v>
      </c>
      <c r="AO164" s="42" t="str">
        <f ca="1"/>
        <v>NA</v>
      </c>
      <c r="AP164" t="str">
        <f ca="1"/>
        <v>NA</v>
      </c>
      <c r="AQ164" t="str">
        <f ca="1"/>
        <v>NA</v>
      </c>
      <c r="AR164" t="str">
        <f ca="1"/>
        <v>NA</v>
      </c>
      <c r="AS164" s="42" t="str">
        <f ca="1"/>
        <v>NA</v>
      </c>
      <c r="AT164" t="str">
        <f ca="1"/>
        <v>0310/2024</v>
      </c>
      <c r="AU164" t="str">
        <f ca="1"/>
        <v>Muram Police Station</v>
      </c>
      <c r="AV164" t="str">
        <f ca="1"/>
        <v>Dharashiv</v>
      </c>
      <c r="AW164" t="str">
        <f ca="1"/>
        <v>NA</v>
      </c>
      <c r="AX164" s="42" t="str">
        <f ca="1"/>
        <v>WIP</v>
      </c>
      <c r="AY164" t="str">
        <f ca="1"/>
        <v>NA</v>
      </c>
      <c r="AZ164" t="str">
        <f ca="1"/>
        <v>NA</v>
      </c>
      <c r="BA164" t="str">
        <f ca="1"/>
        <v>NA</v>
      </c>
      <c r="BB164" s="42" t="str">
        <f ca="1"/>
        <v>NA</v>
      </c>
      <c r="BC164" t="str">
        <f ca="1"/>
        <v>NA</v>
      </c>
      <c r="BD164" t="str">
        <f ca="1"/>
        <v>Pending</v>
      </c>
      <c r="BE164">
        <f ca="1"/>
        <v>0</v>
      </c>
    </row>
    <row r="165" spans="1:57">
      <c r="A165" s="42">
        <f ca="1"/>
        <v>164</v>
      </c>
      <c r="B165" s="42" t="str">
        <f ca="1"/>
        <v>2025202958</v>
      </c>
      <c r="C165" s="42" t="str">
        <f ca="1"/>
        <v>Indusind General Insurance Co Ltd</v>
      </c>
      <c r="D165" s="42" t="str">
        <f ca="1"/>
        <v>MACT</v>
      </c>
      <c r="E165" s="42" t="str">
        <f ca="1"/>
        <v>R001-1164-SS-2025</v>
      </c>
      <c r="F165" s="310">
        <f ca="1"/>
        <v>45734</v>
      </c>
      <c r="G165" s="42" t="str">
        <f ca="1"/>
        <v>Mar-25</v>
      </c>
      <c r="H165" s="312" t="str">
        <f ca="1"/>
        <v>-</v>
      </c>
      <c r="I165" s="42">
        <f ca="1"/>
        <v>0</v>
      </c>
      <c r="J165" s="310" t="str">
        <f ca="1"/>
        <v/>
      </c>
      <c r="K165" s="42">
        <f ca="1"/>
        <v>293</v>
      </c>
      <c r="L165" s="42" t="str">
        <f ca="1"/>
        <v>AT</v>
      </c>
      <c r="M165" s="42" t="str">
        <f ca="1"/>
        <v>Connected Case</v>
      </c>
      <c r="N165" s="42" t="str">
        <f ca="1"/>
        <v>Open</v>
      </c>
      <c r="O165" s="42" t="str">
        <f ca="1"/>
        <v>Connected Pending</v>
      </c>
      <c r="P165" t="str">
        <f ca="1"/>
        <v>For Claimant part only. (Connected case - 2025202883)</v>
      </c>
      <c r="Q165" t="str">
        <f ca="1"/>
        <v>CHABU PANDHARINATH SARODE</v>
      </c>
      <c r="R165" t="str">
        <f ca="1"/>
        <v>Candanapuri, Sangamner, Ahilyanagar. 422605</v>
      </c>
      <c r="S165" t="str">
        <f ca="1"/>
        <v>Ahilyanagar</v>
      </c>
      <c r="T165" s="314" t="str">
        <f ca="1"/>
        <v>Completed</v>
      </c>
      <c r="U165" t="str">
        <f ca="1"/>
        <v>NA</v>
      </c>
      <c r="V165" t="str">
        <f ca="1"/>
        <v>NA</v>
      </c>
      <c r="W165" t="str">
        <f ca="1"/>
        <v>NA</v>
      </c>
      <c r="X165" s="42" t="str">
        <f ca="1"/>
        <v>NA</v>
      </c>
      <c r="Y165" t="str">
        <f ca="1"/>
        <v>NA</v>
      </c>
      <c r="Z165" t="str">
        <f ca="1"/>
        <v>NA</v>
      </c>
      <c r="AA165" t="str">
        <f ca="1"/>
        <v>NA</v>
      </c>
      <c r="AB165" t="str">
        <f ca="1"/>
        <v>NA</v>
      </c>
      <c r="AC165" s="42" t="str">
        <f ca="1"/>
        <v>NA</v>
      </c>
      <c r="AD165" t="str">
        <f ca="1"/>
        <v>NA</v>
      </c>
      <c r="AE165" t="str">
        <f ca="1"/>
        <v>NA</v>
      </c>
      <c r="AF165" t="str">
        <f ca="1"/>
        <v>NA</v>
      </c>
      <c r="AG165" s="42" t="str">
        <f ca="1"/>
        <v>NA</v>
      </c>
      <c r="AH165" t="str">
        <f ca="1"/>
        <v>NA</v>
      </c>
      <c r="AI165" s="42" t="str">
        <f ca="1"/>
        <v>NA</v>
      </c>
      <c r="AJ165" t="str">
        <f ca="1"/>
        <v>NA</v>
      </c>
      <c r="AK165" s="42" t="str">
        <f ca="1"/>
        <v>NA</v>
      </c>
      <c r="AL165" t="str">
        <f ca="1"/>
        <v>NA</v>
      </c>
      <c r="AM165" s="42" t="str">
        <f ca="1"/>
        <v>NA</v>
      </c>
      <c r="AN165" t="str">
        <f ca="1"/>
        <v>NA</v>
      </c>
      <c r="AO165" s="42" t="str">
        <f ca="1"/>
        <v>NA</v>
      </c>
      <c r="AP165" t="str">
        <f ca="1"/>
        <v>NA</v>
      </c>
      <c r="AQ165" t="str">
        <f ca="1"/>
        <v>NA</v>
      </c>
      <c r="AR165" t="str">
        <f ca="1"/>
        <v>NA</v>
      </c>
      <c r="AS165" s="42" t="str">
        <f ca="1"/>
        <v>NA</v>
      </c>
      <c r="AT165" t="str">
        <f ca="1"/>
        <v>NA</v>
      </c>
      <c r="AU165" t="str">
        <f ca="1"/>
        <v>NA</v>
      </c>
      <c r="AV165" t="str">
        <f ca="1"/>
        <v>NA</v>
      </c>
      <c r="AW165" t="str">
        <f ca="1"/>
        <v>NA</v>
      </c>
      <c r="AX165" s="42" t="str">
        <f ca="1"/>
        <v>NA</v>
      </c>
      <c r="AY165" t="str">
        <f ca="1"/>
        <v>NA</v>
      </c>
      <c r="AZ165" t="str">
        <f ca="1"/>
        <v>NA</v>
      </c>
      <c r="BA165" t="str">
        <f ca="1"/>
        <v>NA</v>
      </c>
      <c r="BB165" s="42" t="str">
        <f ca="1"/>
        <v>NA</v>
      </c>
      <c r="BC165" t="str">
        <f ca="1"/>
        <v>NA</v>
      </c>
      <c r="BD165" t="str">
        <f ca="1"/>
        <v>Pending</v>
      </c>
      <c r="BE165">
        <f ca="1"/>
        <v>0</v>
      </c>
    </row>
    <row r="166" spans="1:57">
      <c r="A166" s="42">
        <f ca="1"/>
        <v>165</v>
      </c>
      <c r="B166" s="42" t="str">
        <f ca="1"/>
        <v>2025202883</v>
      </c>
      <c r="C166" s="42" t="str">
        <f ca="1"/>
        <v>Indusind General Insurance Co Ltd</v>
      </c>
      <c r="D166" s="42" t="str">
        <f ca="1"/>
        <v>MACT</v>
      </c>
      <c r="E166" s="42" t="str">
        <f ca="1"/>
        <v>R001-1165-SS-2025</v>
      </c>
      <c r="F166" s="310">
        <f ca="1"/>
        <v>45734</v>
      </c>
      <c r="G166" s="42" t="str">
        <f ca="1"/>
        <v>Mar-25</v>
      </c>
      <c r="H166" s="312" t="str">
        <f ca="1"/>
        <v>-</v>
      </c>
      <c r="I166" s="42">
        <f ca="1"/>
        <v>0</v>
      </c>
      <c r="J166" s="310">
        <f ca="1"/>
        <v>45776</v>
      </c>
      <c r="K166" s="42">
        <f ca="1"/>
        <v>293</v>
      </c>
      <c r="L166" s="42" t="str">
        <f ca="1"/>
        <v>AT</v>
      </c>
      <c r="M166" s="42" t="str">
        <f ca="1"/>
        <v>Full Case</v>
      </c>
      <c r="N166" s="42" t="str">
        <f ca="1"/>
        <v>Open</v>
      </c>
      <c r="O166" s="42" t="str">
        <f ca="1"/>
        <v>Pending CS</v>
      </c>
      <c r="P166">
        <f ca="1"/>
        <v>0</v>
      </c>
      <c r="Q166" t="str">
        <f ca="1"/>
        <v>ROHINI CHABU SARODE </v>
      </c>
      <c r="R166" t="str">
        <f ca="1"/>
        <v>Candanapuri, Sangamner, Ahilyanagar. 422605</v>
      </c>
      <c r="S166" t="str">
        <f ca="1"/>
        <v>Ahilyanagar</v>
      </c>
      <c r="T166" s="314" t="str">
        <f ca="1"/>
        <v>Completed</v>
      </c>
      <c r="U166" t="str">
        <f ca="1"/>
        <v>NA</v>
      </c>
      <c r="V166" t="str">
        <f ca="1"/>
        <v>NA</v>
      </c>
      <c r="W166" t="str">
        <f ca="1"/>
        <v>NA</v>
      </c>
      <c r="X166" s="42" t="str">
        <f ca="1"/>
        <v>NA</v>
      </c>
      <c r="Y166" t="str">
        <f ca="1"/>
        <v>VAIBHAV BALASAHEB BAGADE</v>
      </c>
      <c r="Z166" t="str">
        <f ca="1"/>
        <v>Kuruli, Murhe vasti, Yq - Khed, Dis - Pune.</v>
      </c>
      <c r="AA166" t="str">
        <f ca="1"/>
        <v>Pune</v>
      </c>
      <c r="AB166" t="str">
        <f ca="1"/>
        <v>NA</v>
      </c>
      <c r="AC166" s="42" t="str">
        <f ca="1"/>
        <v>Completed</v>
      </c>
      <c r="AD166" t="str">
        <f ca="1"/>
        <v>NA</v>
      </c>
      <c r="AE166" t="str">
        <f ca="1"/>
        <v>NA</v>
      </c>
      <c r="AF166" t="str">
        <f ca="1"/>
        <v>NA</v>
      </c>
      <c r="AG166" s="42" t="str">
        <f ca="1"/>
        <v>NA</v>
      </c>
      <c r="AH166" t="str">
        <f ca="1"/>
        <v>NA</v>
      </c>
      <c r="AI166" s="42" t="str">
        <f ca="1"/>
        <v>NA</v>
      </c>
      <c r="AJ166" t="str">
        <f ca="1"/>
        <v>NA</v>
      </c>
      <c r="AK166" s="42" t="str">
        <f ca="1"/>
        <v>NA</v>
      </c>
      <c r="AL166" t="str">
        <f ca="1"/>
        <v>NA</v>
      </c>
      <c r="AM166" s="42" t="str">
        <f ca="1"/>
        <v>NA</v>
      </c>
      <c r="AN166" t="str">
        <f ca="1"/>
        <v>NA</v>
      </c>
      <c r="AO166" s="42" t="str">
        <f ca="1"/>
        <v>NA</v>
      </c>
      <c r="AP166" t="str">
        <f ca="1"/>
        <v>NA</v>
      </c>
      <c r="AQ166" t="str">
        <f ca="1"/>
        <v xml:space="preserve">On Nashik to Pune road, Anandwadi, Chandanapuri, Sangamner. </v>
      </c>
      <c r="AR166" t="str">
        <f ca="1"/>
        <v>Nashik</v>
      </c>
      <c r="AS166" s="42" t="str">
        <f ca="1"/>
        <v>Completed</v>
      </c>
      <c r="AT166" t="str">
        <f ca="1"/>
        <v>680/2024</v>
      </c>
      <c r="AU166" t="str">
        <f ca="1"/>
        <v>Sangamner Taluka Po. St.</v>
      </c>
      <c r="AV166" t="str">
        <f ca="1"/>
        <v>Nashik</v>
      </c>
      <c r="AW166" t="str">
        <f ca="1"/>
        <v>NA</v>
      </c>
      <c r="AX166" s="42" t="str">
        <f ca="1"/>
        <v>WIP</v>
      </c>
      <c r="AY166" t="str">
        <f ca="1"/>
        <v>NA</v>
      </c>
      <c r="AZ166" t="str">
        <f ca="1"/>
        <v>NA</v>
      </c>
      <c r="BA166" t="str">
        <f ca="1"/>
        <v>NA</v>
      </c>
      <c r="BB166" s="42" t="str">
        <f ca="1"/>
        <v>NA</v>
      </c>
      <c r="BC166" t="str">
        <f ca="1"/>
        <v>NA</v>
      </c>
      <c r="BD166" t="str">
        <f ca="1"/>
        <v>Pending</v>
      </c>
      <c r="BE166">
        <f ca="1"/>
        <v>0</v>
      </c>
    </row>
    <row r="167" spans="1:57">
      <c r="A167" s="42">
        <f ca="1"/>
        <v>166</v>
      </c>
      <c r="B167" s="42" t="str">
        <f ca="1"/>
        <v>2024209819</v>
      </c>
      <c r="C167" s="42" t="str">
        <f ca="1"/>
        <v>Indusind General Insurance Co Ltd</v>
      </c>
      <c r="D167" s="42" t="str">
        <f ca="1"/>
        <v>MACT</v>
      </c>
      <c r="E167" s="42" t="str">
        <f ca="1"/>
        <v>R001-1166-SS-2025</v>
      </c>
      <c r="F167" s="310">
        <f ca="1"/>
        <v>45551</v>
      </c>
      <c r="G167" s="42" t="str">
        <f ca="1"/>
        <v>Sep-24</v>
      </c>
      <c r="H167" s="312">
        <f ca="1"/>
        <v>46013</v>
      </c>
      <c r="I167" s="42" t="str">
        <f ca="1"/>
        <v>Dec-25</v>
      </c>
      <c r="J167" s="310">
        <f ca="1"/>
        <v>45572</v>
      </c>
      <c r="K167" s="42">
        <f ca="1"/>
        <v>462</v>
      </c>
      <c r="L167" s="42" t="str">
        <f ca="1"/>
        <v>AT</v>
      </c>
      <c r="M167" s="42" t="str">
        <f ca="1"/>
        <v>Partial Case</v>
      </c>
      <c r="N167" s="42" t="str">
        <f ca="1"/>
        <v>Dispatch</v>
      </c>
      <c r="O167" s="42" t="str">
        <f ca="1"/>
        <v>Completed</v>
      </c>
      <c r="P167" t="str">
        <f ca="1"/>
        <v>ITR verification or deceased PAN, Claimants ID and PMR Required		For Insured Part</v>
      </c>
      <c r="Q167" t="str">
        <f ca="1"/>
        <v>CHANDRAKANT LAXMAN THOPATE</v>
      </c>
      <c r="R167" t="str">
        <f ca="1"/>
        <v>R/O, Khamgaon Maval, Tal Haweli, Dis Pune. and also at Hindalge, Belagaavi.</v>
      </c>
      <c r="S167" t="str">
        <f ca="1"/>
        <v>Pune</v>
      </c>
      <c r="T167" s="314" t="str">
        <f ca="1"/>
        <v>Completed</v>
      </c>
      <c r="U167" t="str">
        <f ca="1"/>
        <v>NA</v>
      </c>
      <c r="V167" t="str">
        <f ca="1"/>
        <v>NA</v>
      </c>
      <c r="W167" t="str">
        <f ca="1"/>
        <v>NA</v>
      </c>
      <c r="X167" s="42" t="str">
        <f ca="1"/>
        <v>NA</v>
      </c>
      <c r="Y167" t="str">
        <f ca="1"/>
        <v>ANGURI JASWANT SINGH</v>
      </c>
      <c r="Z167" t="str">
        <f ca="1"/>
        <v>NA</v>
      </c>
      <c r="AA167" t="str">
        <f ca="1"/>
        <v>NA</v>
      </c>
      <c r="AB167" t="str">
        <f ca="1"/>
        <v>NA</v>
      </c>
      <c r="AC167" s="42" t="str">
        <f ca="1"/>
        <v>NA</v>
      </c>
      <c r="AD167" t="str">
        <f ca="1"/>
        <v>NA</v>
      </c>
      <c r="AE167" t="str">
        <f ca="1"/>
        <v>NA</v>
      </c>
      <c r="AF167" t="str">
        <f ca="1"/>
        <v>NA</v>
      </c>
      <c r="AG167" s="42" t="str">
        <f ca="1"/>
        <v>NA</v>
      </c>
      <c r="AH167" t="str">
        <f ca="1"/>
        <v>NA</v>
      </c>
      <c r="AI167" s="42" t="str">
        <f ca="1"/>
        <v>NA</v>
      </c>
      <c r="AJ167" t="str">
        <f ca="1"/>
        <v>NA</v>
      </c>
      <c r="AK167" s="42" t="str">
        <f ca="1"/>
        <v>NA</v>
      </c>
      <c r="AL167" t="str">
        <f ca="1"/>
        <v>NA</v>
      </c>
      <c r="AM167" s="42" t="str">
        <f ca="1"/>
        <v>NA</v>
      </c>
      <c r="AN167" t="str">
        <f ca="1"/>
        <v>NA</v>
      </c>
      <c r="AO167" s="42" t="str">
        <f ca="1"/>
        <v>NA</v>
      </c>
      <c r="AP167" t="str">
        <f ca="1"/>
        <v>NA</v>
      </c>
      <c r="AQ167" t="str">
        <f ca="1"/>
        <v>NA</v>
      </c>
      <c r="AR167" t="str">
        <f ca="1"/>
        <v>NA</v>
      </c>
      <c r="AS167" s="42" t="str">
        <f ca="1"/>
        <v>NA</v>
      </c>
      <c r="AT167" t="str">
        <f ca="1"/>
        <v>445/2024</v>
      </c>
      <c r="AU167" t="str">
        <f ca="1"/>
        <v>Bharti Vdyapeeth Po. St.</v>
      </c>
      <c r="AV167" t="str">
        <f ca="1"/>
        <v>Pune</v>
      </c>
      <c r="AW167" t="str">
        <f ca="1"/>
        <v>NA</v>
      </c>
      <c r="AX167" s="42" t="str">
        <f ca="1"/>
        <v>Completed</v>
      </c>
      <c r="AY167" t="str">
        <f ca="1"/>
        <v>NA</v>
      </c>
      <c r="AZ167" t="str">
        <f ca="1"/>
        <v>NA</v>
      </c>
      <c r="BA167" t="str">
        <f ca="1"/>
        <v>NA</v>
      </c>
      <c r="BB167" s="42" t="str">
        <f ca="1"/>
        <v>NA</v>
      </c>
      <c r="BC167" t="str">
        <f ca="1"/>
        <v>NA</v>
      </c>
      <c r="BD167" t="str">
        <f ca="1"/>
        <v>Pending</v>
      </c>
      <c r="BE167" t="str">
        <f ca="1"/>
        <v>Insured Part</v>
      </c>
    </row>
    <row r="168" spans="1:57">
      <c r="A168" s="42">
        <f ca="1"/>
        <v>167</v>
      </c>
      <c r="B168" s="42" t="str">
        <f ca="1"/>
        <v>2025202179</v>
      </c>
      <c r="C168" s="42" t="str">
        <f ca="1"/>
        <v>Indusind General Insurance Co Ltd</v>
      </c>
      <c r="D168" s="42" t="str">
        <f ca="1"/>
        <v>MACT</v>
      </c>
      <c r="E168" s="42" t="str">
        <f ca="1"/>
        <v>R001-1167-SS-2025</v>
      </c>
      <c r="F168" s="310">
        <f ca="1"/>
        <v>45719</v>
      </c>
      <c r="G168" s="42" t="str">
        <f ca="1"/>
        <v>Mar-25</v>
      </c>
      <c r="H168" s="312" t="str">
        <f ca="1"/>
        <v>-</v>
      </c>
      <c r="I168" s="42">
        <f ca="1"/>
        <v>0</v>
      </c>
      <c r="J168" s="310">
        <f ca="1"/>
        <v>45761</v>
      </c>
      <c r="K168" s="42">
        <f ca="1"/>
        <v>308</v>
      </c>
      <c r="L168" s="42" t="str">
        <f ca="1"/>
        <v>AT</v>
      </c>
      <c r="M168" s="42" t="str">
        <f ca="1"/>
        <v>Full Case</v>
      </c>
      <c r="N168" s="42" t="str">
        <f ca="1"/>
        <v>Open</v>
      </c>
      <c r="O168" s="42" t="str">
        <f ca="1"/>
        <v>Pending CS</v>
      </c>
      <c r="P168">
        <f ca="1"/>
        <v>0</v>
      </c>
      <c r="Q168" t="str">
        <f ca="1"/>
        <v>SHUBHAM RAMDAS NADE</v>
      </c>
      <c r="R168" t="str">
        <f ca="1"/>
        <v>Near, Fariyaz Hotel, Tanuja Mukharji Banglow, 599 New Tungarli, Lonavala. 410401.</v>
      </c>
      <c r="S168" t="str">
        <f ca="1"/>
        <v>Pune</v>
      </c>
      <c r="T168" s="314" t="str">
        <f ca="1"/>
        <v>Completed</v>
      </c>
      <c r="U168" t="str">
        <f ca="1"/>
        <v>NA</v>
      </c>
      <c r="V168" t="str">
        <f ca="1"/>
        <v>NA</v>
      </c>
      <c r="W168" t="str">
        <f ca="1"/>
        <v>NA</v>
      </c>
      <c r="X168" s="42" t="str">
        <f ca="1"/>
        <v>NA</v>
      </c>
      <c r="Y168" t="str">
        <f ca="1"/>
        <v>Sujit Gopinath Patil</v>
      </c>
      <c r="Z168" t="str">
        <f ca="1"/>
        <v>555, Pandive, Koproli, Raigad. 410206</v>
      </c>
      <c r="AA168" t="str">
        <f ca="1"/>
        <v>Raigad</v>
      </c>
      <c r="AB168" t="str">
        <f ca="1"/>
        <v>NA</v>
      </c>
      <c r="AC168" s="42" t="str">
        <f ca="1"/>
        <v>Completed</v>
      </c>
      <c r="AD168" t="str">
        <f ca="1"/>
        <v>NA</v>
      </c>
      <c r="AE168" t="str">
        <f ca="1"/>
        <v>NA</v>
      </c>
      <c r="AF168" t="str">
        <f ca="1"/>
        <v>NA</v>
      </c>
      <c r="AG168" s="42" t="str">
        <f ca="1"/>
        <v>NA</v>
      </c>
      <c r="AH168" t="str">
        <f ca="1"/>
        <v>NA</v>
      </c>
      <c r="AI168" s="42" t="str">
        <f ca="1"/>
        <v>NA</v>
      </c>
      <c r="AJ168" t="str">
        <f ca="1"/>
        <v>NA</v>
      </c>
      <c r="AK168" s="42" t="str">
        <f ca="1"/>
        <v>NA</v>
      </c>
      <c r="AL168" t="str">
        <f ca="1"/>
        <v>NA</v>
      </c>
      <c r="AM168" s="42" t="str">
        <f ca="1"/>
        <v>NA</v>
      </c>
      <c r="AN168" t="str">
        <f ca="1"/>
        <v>NA</v>
      </c>
      <c r="AO168" s="42" t="str">
        <f ca="1"/>
        <v>NA</v>
      </c>
      <c r="AP168" t="str">
        <f ca="1"/>
        <v>NA</v>
      </c>
      <c r="AQ168" t="str">
        <f ca="1"/>
        <v>In the vicinity of Lonavala, In front of Sathe Misal, Old Mumbai - Pune Highway, Pune</v>
      </c>
      <c r="AR168" t="str">
        <f ca="1"/>
        <v>Pune</v>
      </c>
      <c r="AS168" s="42" t="str">
        <f ca="1"/>
        <v>Completed</v>
      </c>
      <c r="AT168" t="str">
        <f ca="1"/>
        <v>283/2024</v>
      </c>
      <c r="AU168" t="str">
        <f ca="1"/>
        <v>Lonavala City Po. St.</v>
      </c>
      <c r="AV168" t="str">
        <f ca="1"/>
        <v>Pune</v>
      </c>
      <c r="AW168" t="str">
        <f ca="1"/>
        <v>NA</v>
      </c>
      <c r="AX168" s="42" t="str">
        <f ca="1"/>
        <v>WIP</v>
      </c>
      <c r="AY168" t="str">
        <f ca="1"/>
        <v>NA</v>
      </c>
      <c r="AZ168" t="str">
        <f ca="1"/>
        <v>NA</v>
      </c>
      <c r="BA168" t="str">
        <f ca="1"/>
        <v>NA</v>
      </c>
      <c r="BB168" s="42" t="str">
        <f ca="1"/>
        <v>NA</v>
      </c>
      <c r="BC168" t="str">
        <f ca="1"/>
        <v>NA</v>
      </c>
      <c r="BD168" t="str">
        <f ca="1"/>
        <v>Pending</v>
      </c>
      <c r="BE168">
        <f ca="1"/>
        <v>0</v>
      </c>
    </row>
    <row r="169" spans="1:57">
      <c r="A169" s="42">
        <f ca="1"/>
        <v>168</v>
      </c>
      <c r="B169" s="42" t="str">
        <f ca="1"/>
        <v>2025200082</v>
      </c>
      <c r="C169" s="42" t="str">
        <f ca="1"/>
        <v>Indusind General Insurance Co Ltd</v>
      </c>
      <c r="D169" s="42" t="str">
        <f ca="1"/>
        <v>MACT</v>
      </c>
      <c r="E169" s="42" t="str">
        <f ca="1"/>
        <v>R001-1168-SS-2025</v>
      </c>
      <c r="F169" s="310">
        <f ca="1"/>
        <v>45688</v>
      </c>
      <c r="G169" s="42" t="str">
        <f ca="1"/>
        <v>Jan-25</v>
      </c>
      <c r="H169" s="312" t="str">
        <f ca="1"/>
        <v>-</v>
      </c>
      <c r="I169" s="42">
        <f ca="1"/>
        <v>0</v>
      </c>
      <c r="J169" s="310">
        <f ca="1"/>
        <v>45730</v>
      </c>
      <c r="K169" s="42">
        <f ca="1"/>
        <v>339</v>
      </c>
      <c r="L169" s="42" t="str">
        <f ca="1"/>
        <v>AT</v>
      </c>
      <c r="M169" s="42" t="str">
        <f ca="1"/>
        <v>Full Case</v>
      </c>
      <c r="N169" s="42" t="str">
        <f ca="1"/>
        <v>Open</v>
      </c>
      <c r="O169" s="42" t="str">
        <f ca="1"/>
        <v>Pending CS</v>
      </c>
      <c r="P169">
        <f ca="1"/>
        <v>0</v>
      </c>
      <c r="Q169" t="str">
        <f ca="1"/>
        <v>Shobha Nitin Aundkar</v>
      </c>
      <c r="R169" t="str">
        <f ca="1"/>
        <v>Yedshi, Dharashiv.</v>
      </c>
      <c r="S169" t="str">
        <f ca="1"/>
        <v>Dharashiv</v>
      </c>
      <c r="T169" s="314" t="str">
        <f ca="1"/>
        <v>Completed</v>
      </c>
      <c r="U169" t="str">
        <f ca="1"/>
        <v>NA</v>
      </c>
      <c r="V169" t="str">
        <f ca="1"/>
        <v>NA</v>
      </c>
      <c r="W169" t="str">
        <f ca="1"/>
        <v>NA</v>
      </c>
      <c r="X169" s="42" t="str">
        <f ca="1"/>
        <v>NA</v>
      </c>
      <c r="Y169" t="str">
        <f ca="1"/>
        <v>BABITA RAMESH SARUK</v>
      </c>
      <c r="Z169" t="str">
        <f ca="1"/>
        <v>Nandgaon, Washi, Dharashiv.</v>
      </c>
      <c r="AA169" t="str">
        <f ca="1"/>
        <v>Dharashiv</v>
      </c>
      <c r="AB169" t="str">
        <f ca="1"/>
        <v>NA</v>
      </c>
      <c r="AC169" s="42" t="str">
        <f ca="1"/>
        <v>Completed</v>
      </c>
      <c r="AD169" t="str">
        <f ca="1"/>
        <v>NA</v>
      </c>
      <c r="AE169" t="str">
        <f ca="1"/>
        <v>NA</v>
      </c>
      <c r="AF169" t="str">
        <f ca="1"/>
        <v>NA</v>
      </c>
      <c r="AG169" s="42" t="str">
        <f ca="1"/>
        <v>NA</v>
      </c>
      <c r="AH169" t="str">
        <f ca="1"/>
        <v>NA</v>
      </c>
      <c r="AI169" s="42" t="str">
        <f ca="1"/>
        <v>NA</v>
      </c>
      <c r="AJ169" t="str">
        <f ca="1"/>
        <v>NA</v>
      </c>
      <c r="AK169" s="42" t="str">
        <f ca="1"/>
        <v>NA</v>
      </c>
      <c r="AL169" t="str">
        <f ca="1"/>
        <v>NA</v>
      </c>
      <c r="AM169" s="42" t="str">
        <f ca="1"/>
        <v>NA</v>
      </c>
      <c r="AN169" t="str">
        <f ca="1"/>
        <v>NA</v>
      </c>
      <c r="AO169" s="42" t="str">
        <f ca="1"/>
        <v>NA</v>
      </c>
      <c r="AP169" t="str">
        <f ca="1"/>
        <v>NA</v>
      </c>
      <c r="AQ169" t="str">
        <f ca="1"/>
        <v>On Nandgaon to Terkheda road, Nr, Wadaji shiv rasta, Nr the field of Balaji Ghule</v>
      </c>
      <c r="AR169" t="str">
        <f ca="1"/>
        <v>Dharashiv</v>
      </c>
      <c r="AS169" s="42" t="str">
        <f ca="1"/>
        <v>Completed</v>
      </c>
      <c r="AT169" t="str">
        <f ca="1"/>
        <v>478/2023</v>
      </c>
      <c r="AU169" t="str">
        <f ca="1"/>
        <v>Dharashiv Po. St.</v>
      </c>
      <c r="AV169" t="str">
        <f ca="1"/>
        <v>Dharashiv</v>
      </c>
      <c r="AW169" t="str">
        <f ca="1"/>
        <v>NA</v>
      </c>
      <c r="AX169" s="42" t="str">
        <f ca="1"/>
        <v>WIP</v>
      </c>
      <c r="AY169" t="str">
        <f ca="1"/>
        <v>NA</v>
      </c>
      <c r="AZ169" t="str">
        <f ca="1"/>
        <v>NA</v>
      </c>
      <c r="BA169" t="str">
        <f ca="1"/>
        <v>NA</v>
      </c>
      <c r="BB169" s="42" t="str">
        <f ca="1"/>
        <v>NA</v>
      </c>
      <c r="BC169" t="str">
        <f ca="1"/>
        <v>NA</v>
      </c>
      <c r="BD169" t="str">
        <f ca="1"/>
        <v>Pending</v>
      </c>
      <c r="BE169" t="str">
        <f ca="1"/>
        <v>Portal Entry/IR Done (CS Required IV Not Confirmed)</v>
      </c>
    </row>
    <row r="170" spans="1:57">
      <c r="A170" s="42">
        <f ca="1"/>
        <v>169</v>
      </c>
      <c r="B170" s="42" t="str">
        <f ca="1"/>
        <v>2025200765</v>
      </c>
      <c r="C170" s="42" t="str">
        <f ca="1"/>
        <v>Indusind General Insurance Co Ltd</v>
      </c>
      <c r="D170" s="42" t="str">
        <f ca="1"/>
        <v>MACT</v>
      </c>
      <c r="E170" s="42" t="str">
        <f ca="1"/>
        <v>R001-1169-SS-2025</v>
      </c>
      <c r="F170" s="310">
        <f ca="1"/>
        <v>45681</v>
      </c>
      <c r="G170" s="42" t="str">
        <f ca="1"/>
        <v>Jan-25</v>
      </c>
      <c r="H170" s="312" t="str">
        <f ca="1"/>
        <v>-</v>
      </c>
      <c r="I170" s="42">
        <f ca="1"/>
        <v>0</v>
      </c>
      <c r="J170" s="310">
        <f ca="1"/>
        <v>45723</v>
      </c>
      <c r="K170" s="42">
        <f ca="1"/>
        <v>346</v>
      </c>
      <c r="L170" s="42" t="str">
        <f ca="1"/>
        <v>AT</v>
      </c>
      <c r="M170" s="42" t="str">
        <f ca="1"/>
        <v>Full Case</v>
      </c>
      <c r="N170" s="42" t="str">
        <f ca="1"/>
        <v>Open</v>
      </c>
      <c r="O170" s="42" t="str">
        <f ca="1"/>
        <v>Pending CS</v>
      </c>
      <c r="P170">
        <f ca="1"/>
        <v>0</v>
      </c>
      <c r="Q170" t="str">
        <f ca="1"/>
        <v>Shobhabai Rameshwer Jadhav</v>
      </c>
      <c r="R170" t="str">
        <f ca="1"/>
        <v>R/O, Ramanaiktanda, Tq - Kandhar, Dis - Nanded. Current Add - Marshivani Tanda, Ahmadpur, Latur.</v>
      </c>
      <c r="S170" t="str">
        <f ca="1"/>
        <v>Nanded</v>
      </c>
      <c r="T170" s="314" t="str">
        <f ca="1"/>
        <v>Completed</v>
      </c>
      <c r="U170" t="str">
        <f ca="1"/>
        <v>NA</v>
      </c>
      <c r="V170" t="str">
        <f ca="1"/>
        <v>NA</v>
      </c>
      <c r="W170" t="str">
        <f ca="1"/>
        <v>NA</v>
      </c>
      <c r="X170" s="42" t="str">
        <f ca="1"/>
        <v>NA</v>
      </c>
      <c r="Y170" t="str">
        <f ca="1"/>
        <v>Mr. BALASAHEB BHAGWANRAO SATPUTE</v>
      </c>
      <c r="Z170" t="str">
        <f ca="1"/>
        <v>R/O, Isad, Gangakhed, Parbhani.</v>
      </c>
      <c r="AA170" t="str">
        <f ca="1"/>
        <v>Parbhani</v>
      </c>
      <c r="AB170" t="str">
        <f ca="1"/>
        <v>NA</v>
      </c>
      <c r="AC170" s="42" t="str">
        <f ca="1"/>
        <v>Completed</v>
      </c>
      <c r="AD170" t="str">
        <f ca="1"/>
        <v>Datta Gopal Devkatte</v>
      </c>
      <c r="AE170" t="str">
        <f ca="1"/>
        <v>Sindgi, Ahmadpur, Latur.</v>
      </c>
      <c r="AF170" t="str">
        <f ca="1"/>
        <v>Latur</v>
      </c>
      <c r="AG170" s="42" t="str">
        <f ca="1"/>
        <v>Completed</v>
      </c>
      <c r="AH170" t="str">
        <f ca="1"/>
        <v>NA</v>
      </c>
      <c r="AI170" s="42" t="str">
        <f ca="1"/>
        <v>NA</v>
      </c>
      <c r="AJ170" t="str">
        <f ca="1"/>
        <v>NA</v>
      </c>
      <c r="AK170" s="42" t="str">
        <f ca="1"/>
        <v>NA</v>
      </c>
      <c r="AL170" t="str">
        <f ca="1"/>
        <v>NA</v>
      </c>
      <c r="AM170" s="42" t="str">
        <f ca="1"/>
        <v>NA</v>
      </c>
      <c r="AN170" t="str">
        <f ca="1"/>
        <v>NA</v>
      </c>
      <c r="AO170" s="42" t="str">
        <f ca="1"/>
        <v>NA</v>
      </c>
      <c r="AP170" t="str">
        <f ca="1"/>
        <v>NA</v>
      </c>
      <c r="AQ170" t="str">
        <f ca="1"/>
        <v>In front of petrol pump in MIDC Ahmadpur, Latur.</v>
      </c>
      <c r="AR170" t="str">
        <f ca="1"/>
        <v>Latur</v>
      </c>
      <c r="AS170" s="42" t="str">
        <f ca="1"/>
        <v>Completed</v>
      </c>
      <c r="AT170" t="str">
        <f ca="1"/>
        <v>44/2024</v>
      </c>
      <c r="AU170" t="str">
        <f ca="1"/>
        <v>Ahmadpur po. St.</v>
      </c>
      <c r="AV170" t="str">
        <f ca="1"/>
        <v>Nanded</v>
      </c>
      <c r="AW170" t="str">
        <f ca="1"/>
        <v>NA</v>
      </c>
      <c r="AX170" s="42" t="str">
        <f ca="1"/>
        <v>WIP</v>
      </c>
      <c r="AY170" t="str">
        <f ca="1"/>
        <v>NA</v>
      </c>
      <c r="AZ170" t="str">
        <f ca="1"/>
        <v>NA</v>
      </c>
      <c r="BA170" t="str">
        <f ca="1"/>
        <v>NA</v>
      </c>
      <c r="BB170" s="42" t="str">
        <f ca="1"/>
        <v>NA</v>
      </c>
      <c r="BC170" t="str">
        <f ca="1"/>
        <v>NA</v>
      </c>
      <c r="BD170" t="str">
        <f ca="1"/>
        <v>Pending</v>
      </c>
      <c r="BE170">
        <f ca="1"/>
        <v>0</v>
      </c>
    </row>
    <row r="171" spans="1:57">
      <c r="A171" s="42">
        <f ca="1"/>
        <v>170</v>
      </c>
      <c r="B171" s="42" t="str">
        <f ca="1"/>
        <v>2024215431</v>
      </c>
      <c r="C171" s="42" t="str">
        <f ca="1"/>
        <v>Indusind General Insurance Co Ltd</v>
      </c>
      <c r="D171" s="42" t="str">
        <f ca="1"/>
        <v>MACT</v>
      </c>
      <c r="E171" s="42" t="str">
        <f ca="1"/>
        <v>R001-1170-SS-2025</v>
      </c>
      <c r="F171" s="310">
        <f ca="1"/>
        <v>45680</v>
      </c>
      <c r="G171" s="42" t="str">
        <f ca="1"/>
        <v>Jan-25</v>
      </c>
      <c r="H171" s="312">
        <f ca="1"/>
        <v>46025</v>
      </c>
      <c r="I171" s="42" t="str">
        <f ca="1"/>
        <v>Jan-26</v>
      </c>
      <c r="J171" s="310">
        <f ca="1"/>
        <v>45722</v>
      </c>
      <c r="K171" s="42">
        <f ca="1"/>
        <v>345</v>
      </c>
      <c r="L171" s="42" t="str">
        <f ca="1"/>
        <v>AT</v>
      </c>
      <c r="M171" s="42" t="str">
        <f ca="1"/>
        <v>Full Case</v>
      </c>
      <c r="N171" s="42" t="str">
        <f ca="1"/>
        <v>Open</v>
      </c>
      <c r="O171" s="42" t="str">
        <f ca="1"/>
        <v>Completed</v>
      </c>
      <c r="P171">
        <f ca="1"/>
        <v>0</v>
      </c>
      <c r="Q171" t="str">
        <f ca="1"/>
        <v>Sangita Anil Gomse</v>
      </c>
      <c r="R171" t="str">
        <f ca="1"/>
        <v>Galli No. 08, Patil Estate, Shivajinagar, Pune. Bali Mandir, Adgaon Shivar, Nashik.</v>
      </c>
      <c r="S171" t="str">
        <f ca="1"/>
        <v>Nashik</v>
      </c>
      <c r="T171" s="314" t="str">
        <f ca="1"/>
        <v>Completed</v>
      </c>
      <c r="U171" t="str">
        <f ca="1"/>
        <v>NA</v>
      </c>
      <c r="V171" t="str">
        <f ca="1"/>
        <v>NA</v>
      </c>
      <c r="W171" t="str">
        <f ca="1"/>
        <v>NA</v>
      </c>
      <c r="X171" s="42" t="str">
        <f ca="1"/>
        <v>NA</v>
      </c>
      <c r="Y171" t="str">
        <f ca="1"/>
        <v>EVEREST FLEET PRIVATE LIMITED</v>
      </c>
      <c r="Z171" t="str">
        <f ca="1"/>
        <v>1 C 105 MHATRE PEN BLDG,SENAPATI BAPAT MARG DADAR,MUMBAI,,,MAHARASHTRA,,INDIA,400028</v>
      </c>
      <c r="AA171" t="str">
        <f ca="1"/>
        <v>Mumbai</v>
      </c>
      <c r="AB171" t="str">
        <f ca="1"/>
        <v>NA</v>
      </c>
      <c r="AC171" s="42" t="str">
        <f ca="1"/>
        <v>Completed</v>
      </c>
      <c r="AD171" t="str">
        <f ca="1"/>
        <v>NA</v>
      </c>
      <c r="AE171" t="str">
        <f ca="1"/>
        <v>NA</v>
      </c>
      <c r="AF171" t="str">
        <f ca="1"/>
        <v>NA</v>
      </c>
      <c r="AG171" s="42" t="str">
        <f ca="1"/>
        <v>NA</v>
      </c>
      <c r="AH171" t="str">
        <f ca="1"/>
        <v>NA</v>
      </c>
      <c r="AI171" s="42" t="str">
        <f ca="1"/>
        <v>NA</v>
      </c>
      <c r="AJ171" t="str">
        <f ca="1"/>
        <v>NA</v>
      </c>
      <c r="AK171" s="42" t="str">
        <f ca="1"/>
        <v>NA</v>
      </c>
      <c r="AL171" t="str">
        <f ca="1"/>
        <v>NA</v>
      </c>
      <c r="AM171" s="42" t="str">
        <f ca="1"/>
        <v>NA</v>
      </c>
      <c r="AN171" t="str">
        <f ca="1"/>
        <v>NA</v>
      </c>
      <c r="AO171" s="42" t="str">
        <f ca="1"/>
        <v>NA</v>
      </c>
      <c r="AP171" t="str">
        <f ca="1"/>
        <v>NA</v>
      </c>
      <c r="AQ171" t="str">
        <f ca="1"/>
        <v>Near CEOP Colledge Chwok, Nr. Vadewala Hotel, Dattanagar, Katraj. Pune.</v>
      </c>
      <c r="AR171" t="str">
        <f ca="1"/>
        <v>Pune</v>
      </c>
      <c r="AS171" s="42" t="str">
        <f ca="1"/>
        <v>Completed</v>
      </c>
      <c r="AT171" t="str">
        <f ca="1"/>
        <v>15/2024</v>
      </c>
      <c r="AU171" t="str">
        <f ca="1"/>
        <v>Khadki Po. St.</v>
      </c>
      <c r="AV171" t="str">
        <f ca="1"/>
        <v>Pune</v>
      </c>
      <c r="AW171" t="str">
        <f ca="1"/>
        <v>NA</v>
      </c>
      <c r="AX171" s="42" t="str">
        <f ca="1"/>
        <v>Completed</v>
      </c>
      <c r="AY171" t="str">
        <f ca="1"/>
        <v>NA</v>
      </c>
      <c r="AZ171" t="str">
        <f ca="1"/>
        <v>NA</v>
      </c>
      <c r="BA171" t="str">
        <f ca="1"/>
        <v>NA</v>
      </c>
      <c r="BB171" s="42" t="str">
        <f ca="1"/>
        <v>NA</v>
      </c>
      <c r="BC171" t="str">
        <f ca="1"/>
        <v>NA</v>
      </c>
      <c r="BD171" t="str">
        <f ca="1"/>
        <v>Pending</v>
      </c>
      <c r="BE171">
        <f ca="1"/>
        <v>0</v>
      </c>
    </row>
    <row r="172" spans="1:57">
      <c r="A172" s="42">
        <f ca="1"/>
        <v>171</v>
      </c>
      <c r="B172" s="42" t="str">
        <f ca="1"/>
        <v>2532036</v>
      </c>
      <c r="C172" s="42" t="str">
        <f ca="1"/>
        <v>SBI General Insurance Company Ltd</v>
      </c>
      <c r="D172" s="42" t="str">
        <f ca="1"/>
        <v>MACT</v>
      </c>
      <c r="E172" s="42" t="str">
        <f ca="1"/>
        <v>S002-1171-SS-2025</v>
      </c>
      <c r="F172" s="310">
        <f ca="1"/>
        <v>46000</v>
      </c>
      <c r="G172" s="42" t="str">
        <f ca="1"/>
        <v>Dec-25</v>
      </c>
      <c r="H172" s="312">
        <f ca="1"/>
        <v>46006</v>
      </c>
      <c r="I172" s="42" t="str">
        <f ca="1"/>
        <v>Dec-25</v>
      </c>
      <c r="J172" s="310">
        <f ca="1"/>
        <v>46042</v>
      </c>
      <c r="K172" s="42">
        <f ca="1"/>
        <v>6</v>
      </c>
      <c r="L172" s="42" t="str">
        <f ca="1"/>
        <v>WT</v>
      </c>
      <c r="M172" s="42" t="str">
        <f ca="1"/>
        <v>Medical Verification</v>
      </c>
      <c r="N172" s="42" t="str">
        <f ca="1"/>
        <v>Approval</v>
      </c>
      <c r="O172" s="42" t="str">
        <f ca="1"/>
        <v>Completed</v>
      </c>
      <c r="P172">
        <f ca="1"/>
        <v>0</v>
      </c>
      <c r="Q172" t="str">
        <f ca="1"/>
        <v>Laxman Popat Bhlse</v>
      </c>
      <c r="R172" t="str">
        <f ca="1"/>
        <v>NA</v>
      </c>
      <c r="S172" t="str">
        <f ca="1"/>
        <v>NA</v>
      </c>
      <c r="T172" s="314" t="str">
        <f ca="1"/>
        <v xml:space="preserve">NA </v>
      </c>
      <c r="U172" t="str">
        <f ca="1"/>
        <v xml:space="preserve">NA </v>
      </c>
      <c r="V172" t="str">
        <f ca="1"/>
        <v xml:space="preserve">NA </v>
      </c>
      <c r="W172" t="str">
        <f ca="1"/>
        <v xml:space="preserve">NA </v>
      </c>
      <c r="X172" s="42" t="str">
        <f ca="1"/>
        <v xml:space="preserve">NA </v>
      </c>
      <c r="Y172" t="str">
        <f ca="1"/>
        <v xml:space="preserve">NA </v>
      </c>
      <c r="Z172" t="str">
        <f ca="1"/>
        <v xml:space="preserve">NA </v>
      </c>
      <c r="AA172" t="str">
        <f ca="1"/>
        <v>NA</v>
      </c>
      <c r="AB172" t="str">
        <f ca="1"/>
        <v xml:space="preserve">NA </v>
      </c>
      <c r="AC172" s="42" t="str">
        <f ca="1"/>
        <v xml:space="preserve">NA </v>
      </c>
      <c r="AD172" t="str">
        <f ca="1"/>
        <v xml:space="preserve">NA </v>
      </c>
      <c r="AE172" t="str">
        <f ca="1"/>
        <v xml:space="preserve">NA </v>
      </c>
      <c r="AF172" t="str">
        <f ca="1"/>
        <v xml:space="preserve">NA </v>
      </c>
      <c r="AG172" s="42" t="str">
        <f ca="1"/>
        <v>NA</v>
      </c>
      <c r="AH172" t="str">
        <f ca="1"/>
        <v>NA</v>
      </c>
      <c r="AI172" s="42" t="str">
        <f ca="1"/>
        <v>NA</v>
      </c>
      <c r="AJ172" t="str">
        <f ca="1"/>
        <v>NA</v>
      </c>
      <c r="AK172" s="42" t="str">
        <f ca="1"/>
        <v>NA</v>
      </c>
      <c r="AL172" t="str">
        <f ca="1"/>
        <v>NA</v>
      </c>
      <c r="AM172" s="42" t="str">
        <f ca="1"/>
        <v>NA</v>
      </c>
      <c r="AN172" t="str">
        <f ca="1"/>
        <v>NA</v>
      </c>
      <c r="AO172" s="42" t="str">
        <f ca="1"/>
        <v>NA</v>
      </c>
      <c r="AP172" t="str">
        <f ca="1"/>
        <v xml:space="preserve">NA </v>
      </c>
      <c r="AQ172" t="str">
        <f ca="1"/>
        <v xml:space="preserve">NA </v>
      </c>
      <c r="AR172" t="str">
        <f ca="1"/>
        <v>NA</v>
      </c>
      <c r="AS172" s="42" t="str">
        <f ca="1"/>
        <v xml:space="preserve">NA </v>
      </c>
      <c r="AT172" t="str">
        <f ca="1"/>
        <v>NA</v>
      </c>
      <c r="AU172" t="str">
        <f ca="1"/>
        <v>NA</v>
      </c>
      <c r="AV172" t="str">
        <f ca="1"/>
        <v>NA</v>
      </c>
      <c r="AW172" t="str">
        <f ca="1"/>
        <v xml:space="preserve">NA </v>
      </c>
      <c r="AX172" s="42" t="str">
        <f ca="1"/>
        <v>NA</v>
      </c>
      <c r="AY172" t="str">
        <f ca="1"/>
        <v>1)CNS Hospital                                                             2)Terna Speciality Hospital &amp; Research</v>
      </c>
      <c r="AZ172" t="str">
        <f ca="1"/>
        <v>1)188/22 Laxmi Peth,Damani Nagar,degaon road,solapur-413001                                                 2)Ploat-no=12,sector-22,opp,Nerul(w),navi Mumbai-400706</v>
      </c>
      <c r="BA172" t="str">
        <f ca="1"/>
        <v xml:space="preserve">1)Solapur                                                                                                                                                                                                                    2)Mumbai </v>
      </c>
      <c r="BB172" s="42" t="str">
        <f ca="1"/>
        <v>Completed</v>
      </c>
      <c r="BC172" t="str">
        <f ca="1"/>
        <v xml:space="preserve">NA </v>
      </c>
      <c r="BD172" t="str">
        <f ca="1"/>
        <v>Pending</v>
      </c>
      <c r="BE172">
        <f ca="1"/>
        <v>0</v>
      </c>
    </row>
    <row r="173" spans="1:57">
      <c r="A173" s="42">
        <f ca="1"/>
        <v>172</v>
      </c>
      <c r="B173" s="42" t="str">
        <f ca="1"/>
        <v>2024215780</v>
      </c>
      <c r="C173" s="42" t="str">
        <f ca="1"/>
        <v>Indusind General Insurance Co Ltd</v>
      </c>
      <c r="D173" s="42" t="str">
        <f ca="1"/>
        <v>MACT</v>
      </c>
      <c r="E173" s="42" t="str">
        <f ca="1"/>
        <v>R001-1172-SS-2025</v>
      </c>
      <c r="F173" s="310">
        <f ca="1"/>
        <v>45680</v>
      </c>
      <c r="G173" s="42" t="str">
        <f ca="1"/>
        <v>Jan-25</v>
      </c>
      <c r="H173" s="312">
        <f ca="1"/>
        <v>45845</v>
      </c>
      <c r="I173" s="42" t="str">
        <f ca="1"/>
        <v>Jul-25</v>
      </c>
      <c r="J173" s="310">
        <f ca="1"/>
        <v>0</v>
      </c>
      <c r="K173" s="42">
        <f ca="1"/>
        <v>0</v>
      </c>
      <c r="L173" s="42" t="str">
        <f ca="1"/>
        <v/>
      </c>
      <c r="M173" s="42" t="str">
        <f ca="1"/>
        <v>Partial Case</v>
      </c>
      <c r="N173" s="42" t="str">
        <f ca="1"/>
        <v>Open</v>
      </c>
      <c r="O173" s="42" t="str">
        <f ca="1"/>
        <v>Completed</v>
      </c>
      <c r="P173" t="str">
        <f ca="1"/>
        <v>For Claimant part only. (Connected case - 2024215795)</v>
      </c>
      <c r="Q173" t="str">
        <f ca="1"/>
        <v>Ayyub Ajjij Shaikh</v>
      </c>
      <c r="R173" t="str">
        <f ca="1"/>
        <v>Devika Nagar, Pimpalgaon, Nashik.Lasalgaon, Nifad, Nashik.</v>
      </c>
      <c r="S173" t="str">
        <f ca="1"/>
        <v>Nashik</v>
      </c>
      <c r="T173" s="314" t="str">
        <f ca="1"/>
        <v>Completed</v>
      </c>
      <c r="U173" t="str">
        <f ca="1"/>
        <v>NA</v>
      </c>
      <c r="V173" t="str">
        <f ca="1"/>
        <v>NA</v>
      </c>
      <c r="W173" t="str">
        <f ca="1"/>
        <v>NA</v>
      </c>
      <c r="X173" s="42" t="str">
        <f ca="1"/>
        <v>NA</v>
      </c>
      <c r="Y173" t="str">
        <f ca="1"/>
        <v>NA</v>
      </c>
      <c r="Z173" t="str">
        <f ca="1"/>
        <v>NA</v>
      </c>
      <c r="AA173" t="str">
        <f ca="1"/>
        <v>NA</v>
      </c>
      <c r="AB173" t="str">
        <f ca="1"/>
        <v>NA</v>
      </c>
      <c r="AC173" s="42" t="str">
        <f ca="1"/>
        <v>NA</v>
      </c>
      <c r="AD173" t="str">
        <f ca="1"/>
        <v>NA</v>
      </c>
      <c r="AE173" t="str">
        <f ca="1"/>
        <v>NA</v>
      </c>
      <c r="AF173" t="str">
        <f ca="1"/>
        <v>NA</v>
      </c>
      <c r="AG173" s="42" t="str">
        <f ca="1"/>
        <v>NA</v>
      </c>
      <c r="AH173" t="str">
        <f ca="1"/>
        <v>NA</v>
      </c>
      <c r="AI173" s="42" t="str">
        <f ca="1"/>
        <v>NA</v>
      </c>
      <c r="AJ173" t="str">
        <f ca="1"/>
        <v>NA</v>
      </c>
      <c r="AK173" s="42" t="str">
        <f ca="1"/>
        <v>NA</v>
      </c>
      <c r="AL173" t="str">
        <f ca="1"/>
        <v>NA</v>
      </c>
      <c r="AM173" s="42" t="str">
        <f ca="1"/>
        <v>NA</v>
      </c>
      <c r="AN173" t="str">
        <f ca="1"/>
        <v>NA</v>
      </c>
      <c r="AO173" s="42" t="str">
        <f ca="1"/>
        <v>NA</v>
      </c>
      <c r="AP173" t="str">
        <f ca="1"/>
        <v>NA</v>
      </c>
      <c r="AQ173" t="str">
        <f ca="1"/>
        <v>NA</v>
      </c>
      <c r="AR173" t="str">
        <f ca="1"/>
        <v>NA</v>
      </c>
      <c r="AS173" s="42" t="str">
        <f ca="1"/>
        <v>NA</v>
      </c>
      <c r="AT173" t="str">
        <f ca="1"/>
        <v>NA</v>
      </c>
      <c r="AU173" t="str">
        <f ca="1"/>
        <v>NA</v>
      </c>
      <c r="AV173" t="str">
        <f ca="1"/>
        <v>NA</v>
      </c>
      <c r="AW173" t="str">
        <f ca="1"/>
        <v>NA</v>
      </c>
      <c r="AX173" s="42" t="str">
        <f ca="1"/>
        <v>NA</v>
      </c>
      <c r="AY173" t="str">
        <f ca="1"/>
        <v>NA</v>
      </c>
      <c r="AZ173" t="str">
        <f ca="1"/>
        <v>NA</v>
      </c>
      <c r="BA173" t="str">
        <f ca="1"/>
        <v>NA</v>
      </c>
      <c r="BB173" s="42" t="str">
        <f ca="1"/>
        <v>NA</v>
      </c>
      <c r="BC173" t="str">
        <f ca="1"/>
        <v>NA</v>
      </c>
      <c r="BD173" t="str">
        <f ca="1"/>
        <v>Pending</v>
      </c>
      <c r="BE173">
        <f ca="1"/>
        <v>0</v>
      </c>
    </row>
    <row r="174" spans="1:57">
      <c r="A174" s="42">
        <f ca="1"/>
        <v>173</v>
      </c>
      <c r="B174" s="42" t="str">
        <f ca="1"/>
        <v>2024215795</v>
      </c>
      <c r="C174" s="42" t="str">
        <f ca="1"/>
        <v>Indusind General Insurance Co Ltd</v>
      </c>
      <c r="D174" s="42" t="str">
        <f ca="1"/>
        <v>MACT</v>
      </c>
      <c r="E174" s="42" t="str">
        <f ca="1"/>
        <v>R001-1173-SS-2025</v>
      </c>
      <c r="F174" s="310">
        <f ca="1"/>
        <v>45680</v>
      </c>
      <c r="G174" s="42" t="str">
        <f ca="1"/>
        <v>Jan-25</v>
      </c>
      <c r="H174" s="312">
        <f ca="1"/>
        <v>45845</v>
      </c>
      <c r="I174" s="42" t="str">
        <f ca="1"/>
        <v>Jul-25</v>
      </c>
      <c r="J174" s="310">
        <f ca="1"/>
        <v>0</v>
      </c>
      <c r="K174" s="42">
        <f ca="1"/>
        <v>165</v>
      </c>
      <c r="L174" s="42" t="str">
        <f ca="1"/>
        <v>AT</v>
      </c>
      <c r="M174" s="42" t="str">
        <f ca="1"/>
        <v>Full Case</v>
      </c>
      <c r="N174" s="42" t="str">
        <f ca="1"/>
        <v>Open</v>
      </c>
      <c r="O174" s="42" t="str">
        <f ca="1"/>
        <v>Completed</v>
      </c>
      <c r="P174">
        <f ca="1"/>
        <v>0</v>
      </c>
      <c r="Q174" t="str">
        <f ca="1"/>
        <v>SMT. Samrin Amjad Pathan</v>
      </c>
      <c r="R174" t="str">
        <f ca="1"/>
        <v>R/O, Rehmat Nagar, Jorve Nagar, Pinjar Galli, Sangamner, Ahmadnagar.422605.</v>
      </c>
      <c r="S174" t="str">
        <f ca="1"/>
        <v>Ahilyanagar</v>
      </c>
      <c r="T174" s="314" t="str">
        <f ca="1"/>
        <v>Completed</v>
      </c>
      <c r="U174" t="str">
        <f ca="1"/>
        <v>NA</v>
      </c>
      <c r="V174" t="str">
        <f ca="1"/>
        <v>NA</v>
      </c>
      <c r="W174" t="str">
        <f ca="1"/>
        <v>NA</v>
      </c>
      <c r="X174" s="42" t="str">
        <f ca="1"/>
        <v>NA</v>
      </c>
      <c r="Y174" t="str">
        <f ca="1"/>
        <v>AAYAN TOURS AND TRAVELS</v>
      </c>
      <c r="Z174" t="str">
        <f ca="1"/>
        <v>2/14 JAI MAA,SHARDA RAHIWASHI SEVA SANGH SANT DYANESHWAR NAGAR BANDRA EAST, MUMBAI MUMBAI, MAHARASHTRA, India, 400051.</v>
      </c>
      <c r="AA174" t="str">
        <f ca="1"/>
        <v>Mumbai</v>
      </c>
      <c r="AB174" t="str">
        <f ca="1"/>
        <v>NA</v>
      </c>
      <c r="AC174" s="42" t="str">
        <f ca="1"/>
        <v>Completed</v>
      </c>
      <c r="AD174" t="str">
        <f ca="1"/>
        <v>NA</v>
      </c>
      <c r="AE174" t="str">
        <f ca="1"/>
        <v>NA</v>
      </c>
      <c r="AF174" t="str">
        <f ca="1"/>
        <v>NA</v>
      </c>
      <c r="AG174" s="42" t="str">
        <f ca="1"/>
        <v>NA</v>
      </c>
      <c r="AH174" t="str">
        <f ca="1"/>
        <v>NA</v>
      </c>
      <c r="AI174" s="42" t="str">
        <f ca="1"/>
        <v>NA</v>
      </c>
      <c r="AJ174" t="str">
        <f ca="1"/>
        <v>NA</v>
      </c>
      <c r="AK174" s="42" t="str">
        <f ca="1"/>
        <v>NA</v>
      </c>
      <c r="AL174" t="str">
        <f ca="1"/>
        <v>NA</v>
      </c>
      <c r="AM174" s="42" t="str">
        <f ca="1"/>
        <v>NA</v>
      </c>
      <c r="AN174" t="str">
        <f ca="1"/>
        <v>NA</v>
      </c>
      <c r="AO174" s="42" t="str">
        <f ca="1"/>
        <v>NA</v>
      </c>
      <c r="AP174" t="str">
        <f ca="1"/>
        <v>NA</v>
      </c>
      <c r="AQ174" t="str">
        <f ca="1"/>
        <v>At Panchale to Pangri, from Lasalgaon to Sangamner, Pangri shivar, Dukre mala, Sinner, Nashik.</v>
      </c>
      <c r="AR174" t="str">
        <f ca="1"/>
        <v>Nashik</v>
      </c>
      <c r="AS174" s="42" t="str">
        <f ca="1"/>
        <v>Completed</v>
      </c>
      <c r="AT174" t="str">
        <f ca="1"/>
        <v>402/2024</v>
      </c>
      <c r="AU174" t="str">
        <f ca="1"/>
        <v>Vavi Po. St.</v>
      </c>
      <c r="AV174" t="str">
        <f ca="1"/>
        <v>Nashik Gramin</v>
      </c>
      <c r="AW174" t="str">
        <f ca="1"/>
        <v>NA</v>
      </c>
      <c r="AX174" s="42" t="str">
        <f ca="1"/>
        <v>NI</v>
      </c>
      <c r="AY174" t="str">
        <f ca="1"/>
        <v>NA</v>
      </c>
      <c r="AZ174" t="str">
        <f ca="1"/>
        <v>NA</v>
      </c>
      <c r="BA174" t="str">
        <f ca="1"/>
        <v>NA</v>
      </c>
      <c r="BB174" s="42" t="str">
        <f ca="1"/>
        <v>NA</v>
      </c>
      <c r="BC174" t="str">
        <f ca="1"/>
        <v>NA</v>
      </c>
      <c r="BD174" t="str">
        <f ca="1"/>
        <v>Pending</v>
      </c>
      <c r="BE174">
        <f ca="1"/>
        <v>0</v>
      </c>
    </row>
    <row r="175" spans="1:57">
      <c r="A175" s="42">
        <f ca="1"/>
        <v>174</v>
      </c>
      <c r="B175" s="42" t="str">
        <f ca="1"/>
        <v>2024216019</v>
      </c>
      <c r="C175" s="42" t="str">
        <f ca="1"/>
        <v>Indusind General Insurance Co Ltd</v>
      </c>
      <c r="D175" s="42" t="str">
        <f ca="1"/>
        <v>MACT</v>
      </c>
      <c r="E175" s="42" t="str">
        <f ca="1"/>
        <v>R001-1174-SS-2025</v>
      </c>
      <c r="F175" s="310">
        <f ca="1"/>
        <v>45664</v>
      </c>
      <c r="G175" s="42" t="str">
        <f ca="1"/>
        <v>Jan-25</v>
      </c>
      <c r="H175" s="312">
        <f ca="1"/>
        <v>45922</v>
      </c>
      <c r="I175" s="42" t="str">
        <f ca="1"/>
        <v>Sep-25</v>
      </c>
      <c r="J175" s="310">
        <f ca="1"/>
        <v>0</v>
      </c>
      <c r="K175" s="42">
        <f ca="1"/>
        <v>0</v>
      </c>
      <c r="L175" s="42" t="str">
        <f ca="1"/>
        <v/>
      </c>
      <c r="M175" s="42" t="str">
        <f ca="1"/>
        <v>Full Case</v>
      </c>
      <c r="N175" s="42" t="str">
        <f ca="1"/>
        <v>Open</v>
      </c>
      <c r="O175" s="42" t="str">
        <f ca="1"/>
        <v>Completed</v>
      </c>
      <c r="P175">
        <f ca="1"/>
        <v>0</v>
      </c>
      <c r="Q175" t="str">
        <f ca="1"/>
        <v>Ajmal Kallu Chaudhari</v>
      </c>
      <c r="R175" t="str">
        <f ca="1"/>
        <v>R/O Galli No. 08, Room No. 341, Nihal nagar, Malegaon, Nashik</v>
      </c>
      <c r="S175" t="str">
        <f ca="1"/>
        <v>Nashik</v>
      </c>
      <c r="T175" s="314" t="str">
        <f ca="1"/>
        <v>Completed</v>
      </c>
      <c r="U175" t="str">
        <f ca="1"/>
        <v>NA</v>
      </c>
      <c r="V175" t="str">
        <f ca="1"/>
        <v>NA</v>
      </c>
      <c r="W175" t="str">
        <f ca="1"/>
        <v>NA</v>
      </c>
      <c r="X175" s="42" t="str">
        <f ca="1"/>
        <v>NA</v>
      </c>
      <c r="Y175" t="str">
        <f ca="1"/>
        <v>Shaikh Alim Shaikh Unus</v>
      </c>
      <c r="Z175" t="str">
        <f ca="1"/>
        <v>Rehman Galli, Jalana. 440001.</v>
      </c>
      <c r="AA175" t="str">
        <f ca="1"/>
        <v>Jalana</v>
      </c>
      <c r="AB175" t="str">
        <f ca="1"/>
        <v>NA</v>
      </c>
      <c r="AC175" s="42" t="str">
        <f ca="1"/>
        <v>Completed</v>
      </c>
      <c r="AD175" t="str">
        <f ca="1"/>
        <v>Mohmad Alim Mohmad Unus</v>
      </c>
      <c r="AE175" t="str">
        <f ca="1"/>
        <v>Panwadi, Fulambri, Sambhajinagar.</v>
      </c>
      <c r="AF175" t="str">
        <f ca="1"/>
        <v>Sambhajinagar</v>
      </c>
      <c r="AG175" s="42" t="str">
        <f ca="1"/>
        <v>Completed</v>
      </c>
      <c r="AH175" t="str">
        <f ca="1"/>
        <v>NA</v>
      </c>
      <c r="AI175" s="42" t="str">
        <f ca="1"/>
        <v>NA</v>
      </c>
      <c r="AJ175" t="str">
        <f ca="1"/>
        <v>NA</v>
      </c>
      <c r="AK175" s="42" t="str">
        <f ca="1"/>
        <v>NA</v>
      </c>
      <c r="AL175" t="str">
        <f ca="1"/>
        <v>NA</v>
      </c>
      <c r="AM175" s="42" t="str">
        <f ca="1"/>
        <v>NA</v>
      </c>
      <c r="AN175" t="str">
        <f ca="1"/>
        <v>NA</v>
      </c>
      <c r="AO175" s="42" t="str">
        <f ca="1"/>
        <v>NA</v>
      </c>
      <c r="AP175" t="str">
        <f ca="1"/>
        <v>NA</v>
      </c>
      <c r="AQ175" t="str">
        <f ca="1"/>
        <v>On Malegaon to Nampur road, Kothre Shivar, Nr Kothre fata, Malegaon, Nashik.</v>
      </c>
      <c r="AR175" t="str">
        <f ca="1"/>
        <v>Nashik</v>
      </c>
      <c r="AS175" s="42" t="str">
        <f ca="1"/>
        <v>Completed</v>
      </c>
      <c r="AT175" t="str">
        <f ca="1"/>
        <v>61/2012</v>
      </c>
      <c r="AU175" t="str">
        <f ca="1"/>
        <v>Vadner Khkurdi po. St.</v>
      </c>
      <c r="AV175" t="str">
        <f ca="1"/>
        <v>Malegaon</v>
      </c>
      <c r="AW175" t="str">
        <f ca="1"/>
        <v>NA</v>
      </c>
      <c r="AX175" s="42" t="str">
        <f ca="1"/>
        <v>Completed</v>
      </c>
      <c r="AY175" t="str">
        <f ca="1"/>
        <v>NA</v>
      </c>
      <c r="AZ175" t="str">
        <f ca="1"/>
        <v>NA</v>
      </c>
      <c r="BA175" t="str">
        <f ca="1"/>
        <v>NA</v>
      </c>
      <c r="BB175" s="42" t="str">
        <f ca="1"/>
        <v>NA</v>
      </c>
      <c r="BC175" t="str">
        <f ca="1"/>
        <v>NA</v>
      </c>
      <c r="BD175" t="str">
        <f ca="1"/>
        <v>STOP</v>
      </c>
      <c r="BE175">
        <f ca="1"/>
        <v>0</v>
      </c>
    </row>
    <row r="176" spans="1:57">
      <c r="A176" s="42">
        <f ca="1"/>
        <v>175</v>
      </c>
      <c r="B176" s="42" t="str">
        <f ca="1"/>
        <v>MTP-N-2526-005139</v>
      </c>
      <c r="C176" s="42" t="str">
        <f ca="1"/>
        <v>Generali Central Insurance Company Limited</v>
      </c>
      <c r="D176" s="42" t="str">
        <f ca="1"/>
        <v>MACT</v>
      </c>
      <c r="E176" s="42" t="str">
        <f ca="1"/>
        <v>F001-1175-SS-2025</v>
      </c>
      <c r="F176" s="310">
        <f ca="1"/>
        <v>46006</v>
      </c>
      <c r="G176" s="42" t="str">
        <f ca="1"/>
        <v>Dec-25</v>
      </c>
      <c r="H176" s="312" t="str">
        <f ca="1"/>
        <v>-</v>
      </c>
      <c r="I176" s="42">
        <f ca="1"/>
        <v>0</v>
      </c>
      <c r="J176" s="310">
        <f ca="1"/>
        <v>46048</v>
      </c>
      <c r="K176" s="42">
        <f ca="1"/>
        <v>21</v>
      </c>
      <c r="L176" s="42" t="str">
        <f ca="1"/>
        <v>WT</v>
      </c>
      <c r="M176" s="42" t="str">
        <f ca="1"/>
        <v>Full Case</v>
      </c>
      <c r="N176" s="42" t="str">
        <f ca="1"/>
        <v>Open</v>
      </c>
      <c r="O176" s="42" t="str">
        <f ca="1"/>
        <v>WIP</v>
      </c>
      <c r="P176">
        <f ca="1"/>
        <v>0</v>
      </c>
      <c r="Q176" t="str">
        <f ca="1"/>
        <v>Rukhmini Shankar Shinde</v>
      </c>
      <c r="R176" t="str">
        <f ca="1"/>
        <v>R/o Gondhal Gali,Boripardhi Pune          New R/o CIB Colony,Kalaburgi</v>
      </c>
      <c r="S176" t="str">
        <f ca="1"/>
        <v>Pune</v>
      </c>
      <c r="T176" s="314" t="str">
        <f ca="1"/>
        <v>NI</v>
      </c>
      <c r="U176" t="str">
        <f ca="1"/>
        <v xml:space="preserve">NA </v>
      </c>
      <c r="V176" t="str">
        <f ca="1"/>
        <v xml:space="preserve">NA </v>
      </c>
      <c r="W176" t="str">
        <f ca="1"/>
        <v xml:space="preserve">NA </v>
      </c>
      <c r="X176" s="42" t="str">
        <f ca="1"/>
        <v>NI</v>
      </c>
      <c r="Y176" t="str">
        <f ca="1"/>
        <v>Shree Warana</v>
      </c>
      <c r="Z176" t="str">
        <f ca="1"/>
        <v>R/o Warananagar,Koboli,tq.Panhala Kolhapur-416113</v>
      </c>
      <c r="AA176" t="str">
        <f ca="1"/>
        <v>Kolhapur</v>
      </c>
      <c r="AB176" t="str">
        <f ca="1"/>
        <v>NA</v>
      </c>
      <c r="AC176" s="42" t="str">
        <f ca="1"/>
        <v>NI</v>
      </c>
      <c r="AD176" t="str">
        <f ca="1"/>
        <v xml:space="preserve">NA </v>
      </c>
      <c r="AE176" t="str">
        <f ca="1"/>
        <v xml:space="preserve">NA </v>
      </c>
      <c r="AF176" t="str">
        <f ca="1"/>
        <v>NA</v>
      </c>
      <c r="AG176" s="42" t="str">
        <f ca="1"/>
        <v>NI</v>
      </c>
      <c r="AH176" t="str">
        <f ca="1"/>
        <v>Yes</v>
      </c>
      <c r="AI176" s="42" t="str">
        <f ca="1"/>
        <v>NI</v>
      </c>
      <c r="AJ176" t="str">
        <f ca="1"/>
        <v>Yes</v>
      </c>
      <c r="AK176" s="42" t="str">
        <f ca="1"/>
        <v>NI</v>
      </c>
      <c r="AL176" t="str">
        <f ca="1"/>
        <v>NA</v>
      </c>
      <c r="AM176" s="42" t="str">
        <f ca="1"/>
        <v>NA</v>
      </c>
      <c r="AN176" t="str">
        <f ca="1"/>
        <v>NA</v>
      </c>
      <c r="AO176" s="42" t="str">
        <f ca="1"/>
        <v>NA</v>
      </c>
      <c r="AP176" t="str">
        <f ca="1"/>
        <v xml:space="preserve">NA </v>
      </c>
      <c r="AQ176" t="str">
        <f ca="1"/>
        <v>On Solapur-Pune high way road in front of hotel brudhwan varvanda,kavitech mala Daund Pune</v>
      </c>
      <c r="AR176" t="str">
        <f ca="1"/>
        <v>Pune</v>
      </c>
      <c r="AS176" s="42" t="str">
        <f ca="1"/>
        <v>NI</v>
      </c>
      <c r="AT176" t="str">
        <f ca="1"/>
        <v>540/2024</v>
      </c>
      <c r="AU176" t="str">
        <f ca="1"/>
        <v>Yavat Police Station</v>
      </c>
      <c r="AV176" t="str">
        <f ca="1"/>
        <v>Yavat</v>
      </c>
      <c r="AW176" t="str">
        <f ca="1"/>
        <v>NA</v>
      </c>
      <c r="AX176" s="42" t="str">
        <f ca="1"/>
        <v>NI</v>
      </c>
      <c r="AY176" t="str">
        <f ca="1"/>
        <v>Rural Hospital  = Yavat                                           Akshaya Hospital  = Varvand                               Vishwaraj   Hospital  = Pune</v>
      </c>
      <c r="AZ176" t="str">
        <f ca="1"/>
        <v xml:space="preserve">NA </v>
      </c>
      <c r="BA176" t="str">
        <f ca="1"/>
        <v>NA</v>
      </c>
      <c r="BB176" s="42" t="str">
        <f ca="1"/>
        <v>NI</v>
      </c>
      <c r="BC176" t="str">
        <f ca="1"/>
        <v xml:space="preserve">NA </v>
      </c>
      <c r="BD176" t="str">
        <f ca="1"/>
        <v>Pending</v>
      </c>
      <c r="BE176">
        <f ca="1"/>
        <v>0</v>
      </c>
    </row>
    <row r="177" spans="1:57">
      <c r="A177" s="42">
        <f ca="1"/>
        <v>176</v>
      </c>
      <c r="B177" s="42" t="str">
        <f ca="1"/>
        <v>2025213982</v>
      </c>
      <c r="C177" s="42" t="str">
        <f ca="1"/>
        <v>Indusind General Insurance Co Ltd</v>
      </c>
      <c r="D177" s="42" t="str">
        <f ca="1"/>
        <v>MACT</v>
      </c>
      <c r="E177" s="42" t="str">
        <f ca="1"/>
        <v>R001-1176-SS-2025</v>
      </c>
      <c r="F177" s="310">
        <f ca="1"/>
        <v>46007</v>
      </c>
      <c r="G177" s="42" t="str">
        <f ca="1"/>
        <v>Dec-25</v>
      </c>
      <c r="H177" s="312" t="str">
        <f ca="1"/>
        <v>-</v>
      </c>
      <c r="I177" s="42">
        <f ca="1"/>
        <v>0</v>
      </c>
      <c r="J177" s="310">
        <f ca="1"/>
        <v>46049</v>
      </c>
      <c r="K177" s="42">
        <f ca="1"/>
        <v>20</v>
      </c>
      <c r="L177" s="42" t="str">
        <f ca="1"/>
        <v>WT</v>
      </c>
      <c r="M177" s="42" t="str">
        <f ca="1"/>
        <v>Full Case</v>
      </c>
      <c r="N177" s="42" t="str">
        <f ca="1"/>
        <v>Open</v>
      </c>
      <c r="O177" s="42" t="str">
        <f ca="1"/>
        <v>WIP</v>
      </c>
      <c r="P177">
        <f ca="1"/>
        <v>0</v>
      </c>
      <c r="Q177" t="str">
        <f ca="1"/>
        <v>Ananda Govindrao Sawant     9307982116</v>
      </c>
      <c r="R177" t="str">
        <f ca="1"/>
        <v>R/o  village Gortha Tq. Umri Dist. Nanded.</v>
      </c>
      <c r="S177" t="str">
        <f ca="1"/>
        <v>Nanded</v>
      </c>
      <c r="T177" s="314" t="str">
        <f ca="1"/>
        <v>WIP</v>
      </c>
      <c r="U177" t="str">
        <f ca="1"/>
        <v xml:space="preserve">NA </v>
      </c>
      <c r="V177" t="str">
        <f ca="1"/>
        <v>NA</v>
      </c>
      <c r="W177" t="str">
        <f ca="1"/>
        <v xml:space="preserve">NA </v>
      </c>
      <c r="X177" s="42" t="str">
        <f ca="1"/>
        <v>NA</v>
      </c>
      <c r="Y177" t="str">
        <f ca="1"/>
        <v>Vijay  Sahebrao Rathod</v>
      </c>
      <c r="Z177" t="str">
        <f ca="1"/>
        <v>R/o Gargotwadi Post Pandurna Tq. Bhokar Dist. Nanded-431 801</v>
      </c>
      <c r="AA177" t="str">
        <f ca="1"/>
        <v>Nanded</v>
      </c>
      <c r="AB177" t="str">
        <f ca="1"/>
        <v>NA</v>
      </c>
      <c r="AC177" s="42" t="str">
        <f ca="1"/>
        <v>WIP</v>
      </c>
      <c r="AD177" t="str">
        <f ca="1"/>
        <v xml:space="preserve">NA </v>
      </c>
      <c r="AE177" t="str">
        <f ca="1"/>
        <v xml:space="preserve">NA </v>
      </c>
      <c r="AF177" t="str">
        <f ca="1"/>
        <v xml:space="preserve">NA </v>
      </c>
      <c r="AG177" s="42" t="str">
        <f ca="1"/>
        <v>Completed</v>
      </c>
      <c r="AH177" t="str">
        <f ca="1"/>
        <v>NA</v>
      </c>
      <c r="AI177" s="42" t="str">
        <f ca="1"/>
        <v>NA</v>
      </c>
      <c r="AJ177" t="str">
        <f ca="1"/>
        <v>NA</v>
      </c>
      <c r="AK177" s="42" t="str">
        <f ca="1"/>
        <v>NA</v>
      </c>
      <c r="AL177" t="str">
        <f ca="1"/>
        <v>NA</v>
      </c>
      <c r="AM177" s="42" t="str">
        <f ca="1"/>
        <v>NA</v>
      </c>
      <c r="AN177" t="str">
        <f ca="1"/>
        <v>NA</v>
      </c>
      <c r="AO177" s="42" t="str">
        <f ca="1"/>
        <v>NA</v>
      </c>
      <c r="AP177" t="str">
        <f ca="1"/>
        <v xml:space="preserve">NA </v>
      </c>
      <c r="AQ177" t="str">
        <f ca="1"/>
        <v>near Gortha Y Point, in front of Pahelwan Dhaba.</v>
      </c>
      <c r="AR177" t="str">
        <f ca="1"/>
        <v>NA</v>
      </c>
      <c r="AS177" s="42" t="str">
        <f ca="1"/>
        <v>WIP</v>
      </c>
      <c r="AT177" t="str">
        <f ca="1"/>
        <v>0067/2025</v>
      </c>
      <c r="AU177" t="str">
        <f ca="1"/>
        <v>Police Station Umri.</v>
      </c>
      <c r="AV177" t="str">
        <f ca="1"/>
        <v>Nanded</v>
      </c>
      <c r="AW177" t="str">
        <f ca="1"/>
        <v>NA</v>
      </c>
      <c r="AX177" s="42" t="str">
        <f ca="1"/>
        <v>WIP</v>
      </c>
      <c r="AY177" t="str">
        <f ca="1"/>
        <v xml:space="preserve">NA </v>
      </c>
      <c r="AZ177" t="str">
        <f ca="1"/>
        <v xml:space="preserve">NA </v>
      </c>
      <c r="BA177" t="str">
        <f ca="1"/>
        <v>NA</v>
      </c>
      <c r="BB177" s="42" t="str">
        <f ca="1"/>
        <v>NA</v>
      </c>
      <c r="BC177" t="str">
        <f ca="1"/>
        <v xml:space="preserve">NA </v>
      </c>
      <c r="BD177" t="str">
        <f ca="1"/>
        <v>Pending</v>
      </c>
      <c r="BE177">
        <f ca="1"/>
        <v>0</v>
      </c>
    </row>
    <row r="178" spans="1:57">
      <c r="A178" s="42">
        <f ca="1"/>
        <v>177</v>
      </c>
      <c r="B178" s="42" t="str">
        <f ca="1"/>
        <v>2025213945</v>
      </c>
      <c r="C178" s="42" t="str">
        <f ca="1"/>
        <v>Indusind General Insurance Co Ltd</v>
      </c>
      <c r="D178" s="42" t="str">
        <f ca="1"/>
        <v>MACT</v>
      </c>
      <c r="E178" s="42" t="str">
        <f ca="1"/>
        <v>R001-1177-SS-2025</v>
      </c>
      <c r="F178" s="310">
        <f ca="1"/>
        <v>46007</v>
      </c>
      <c r="G178" s="42" t="str">
        <f ca="1"/>
        <v>Dec-25</v>
      </c>
      <c r="H178" s="312" t="str">
        <f ca="1"/>
        <v>-</v>
      </c>
      <c r="I178" s="42">
        <f ca="1"/>
        <v>0</v>
      </c>
      <c r="J178" s="310">
        <f ca="1"/>
        <v>46049</v>
      </c>
      <c r="K178" s="42">
        <f ca="1"/>
        <v>20</v>
      </c>
      <c r="L178" s="42" t="str">
        <f ca="1"/>
        <v>WT</v>
      </c>
      <c r="M178" s="42" t="str">
        <f ca="1"/>
        <v>Full Case</v>
      </c>
      <c r="N178" s="42" t="str">
        <f ca="1"/>
        <v>Open</v>
      </c>
      <c r="O178" s="42" t="str">
        <f ca="1"/>
        <v>WIP</v>
      </c>
      <c r="P178">
        <f ca="1"/>
        <v>0</v>
      </c>
      <c r="Q178" t="str">
        <f ca="1"/>
        <v>Mohammad  Sale Chaus</v>
      </c>
      <c r="R178" t="str">
        <f ca="1"/>
        <v>R/o Jatwada Road, Harsool, Aurangabad</v>
      </c>
      <c r="S178" t="str">
        <f ca="1"/>
        <v>Sambhaji Nagar</v>
      </c>
      <c r="T178" s="314" t="str">
        <f ca="1"/>
        <v>Completed</v>
      </c>
      <c r="U178" t="str">
        <f ca="1"/>
        <v xml:space="preserve">NA </v>
      </c>
      <c r="V178" t="str">
        <f ca="1"/>
        <v>NA</v>
      </c>
      <c r="W178" t="str">
        <f ca="1"/>
        <v xml:space="preserve">NA </v>
      </c>
      <c r="X178" s="42" t="str">
        <f ca="1"/>
        <v>NA</v>
      </c>
      <c r="Y178" t="str">
        <f ca="1"/>
        <v>Sanjay Bandu Gaikwad    9225201051</v>
      </c>
      <c r="Z178" t="str">
        <f ca="1"/>
        <v>R/o  Gaikwad Colony, Karla, Tq. Manval, Distt. Pune</v>
      </c>
      <c r="AA178" t="str">
        <f ca="1"/>
        <v>Pune</v>
      </c>
      <c r="AB178" t="str">
        <f ca="1"/>
        <v>NA</v>
      </c>
      <c r="AC178" s="42" t="str">
        <f ca="1"/>
        <v>WIP</v>
      </c>
      <c r="AD178" t="str">
        <f ca="1"/>
        <v>Shaikh Bhikan  Shaikh Bashir</v>
      </c>
      <c r="AE178" t="str">
        <f ca="1"/>
        <v>R/o  Behind Old Government Hospital, At Post: Zodga, Tq. &amp; Dist. Nashik</v>
      </c>
      <c r="AF178" t="str">
        <f ca="1"/>
        <v>Nashik</v>
      </c>
      <c r="AG178" s="42" t="str">
        <f ca="1"/>
        <v>WIP</v>
      </c>
      <c r="AH178" t="str">
        <f ca="1"/>
        <v>NA</v>
      </c>
      <c r="AI178" s="42" t="str">
        <f ca="1"/>
        <v>NA</v>
      </c>
      <c r="AJ178" t="str">
        <f ca="1"/>
        <v>NA</v>
      </c>
      <c r="AK178" s="42" t="str">
        <f ca="1"/>
        <v>NA</v>
      </c>
      <c r="AL178" t="str">
        <f ca="1"/>
        <v>NA</v>
      </c>
      <c r="AM178" s="42" t="str">
        <f ca="1"/>
        <v>NA</v>
      </c>
      <c r="AN178" t="str">
        <f ca="1"/>
        <v>NA</v>
      </c>
      <c r="AO178" s="42" t="str">
        <f ca="1"/>
        <v>NA</v>
      </c>
      <c r="AP178" t="str">
        <f ca="1"/>
        <v xml:space="preserve">NA </v>
      </c>
      <c r="AQ178" t="str">
        <f ca="1"/>
        <v>at Rauza Bagh, Near Idgah, Aurangabad, took place</v>
      </c>
      <c r="AR178" t="str">
        <f ca="1"/>
        <v>Sambhaji Nagar</v>
      </c>
      <c r="AS178" s="42" t="str">
        <f ca="1"/>
        <v>Completed</v>
      </c>
      <c r="AT178" t="str">
        <f ca="1"/>
        <v>0129/2024</v>
      </c>
      <c r="AU178" t="str">
        <f ca="1"/>
        <v>City Chowk Police Station, Sambhaji Nagar</v>
      </c>
      <c r="AV178" t="str">
        <f ca="1"/>
        <v>Sambhaji Nagar</v>
      </c>
      <c r="AW178" t="str">
        <f ca="1"/>
        <v>NA</v>
      </c>
      <c r="AX178" s="42" t="str">
        <f ca="1"/>
        <v>WIP</v>
      </c>
      <c r="AY178" t="str">
        <f ca="1"/>
        <v xml:space="preserve">NA </v>
      </c>
      <c r="AZ178" t="str">
        <f ca="1"/>
        <v xml:space="preserve">NA </v>
      </c>
      <c r="BA178" t="str">
        <f ca="1"/>
        <v>NA</v>
      </c>
      <c r="BB178" s="42" t="str">
        <f ca="1"/>
        <v>NA</v>
      </c>
      <c r="BC178" t="str">
        <f ca="1"/>
        <v xml:space="preserve">NA </v>
      </c>
      <c r="BD178" t="str">
        <f ca="1"/>
        <v>Pending</v>
      </c>
      <c r="BE178">
        <f ca="1"/>
        <v>0</v>
      </c>
    </row>
    <row r="179" spans="1:57">
      <c r="A179" s="42">
        <f ca="1"/>
        <v>178</v>
      </c>
      <c r="B179" s="42" t="str">
        <f ca="1"/>
        <v>2025213947</v>
      </c>
      <c r="C179" s="42" t="str">
        <f ca="1"/>
        <v>Indusind General Insurance Co Ltd</v>
      </c>
      <c r="D179" s="42" t="str">
        <f ca="1"/>
        <v>MACT</v>
      </c>
      <c r="E179" s="42" t="str">
        <f ca="1"/>
        <v>R001-1178-SS-2025</v>
      </c>
      <c r="F179" s="310">
        <f ca="1"/>
        <v>46007</v>
      </c>
      <c r="G179" s="42" t="str">
        <f ca="1"/>
        <v>Dec-25</v>
      </c>
      <c r="H179" s="312" t="str">
        <f ca="1"/>
        <v>-</v>
      </c>
      <c r="I179" s="42">
        <f ca="1"/>
        <v>0</v>
      </c>
      <c r="J179" s="310">
        <f ca="1"/>
        <v>46049</v>
      </c>
      <c r="K179" s="42">
        <f ca="1"/>
        <v>20</v>
      </c>
      <c r="L179" s="42" t="str">
        <f ca="1"/>
        <v>WT</v>
      </c>
      <c r="M179" s="42" t="str">
        <f ca="1"/>
        <v>Full Case</v>
      </c>
      <c r="N179" s="42" t="str">
        <f ca="1"/>
        <v>Open</v>
      </c>
      <c r="O179" s="42" t="str">
        <f ca="1"/>
        <v>WIP</v>
      </c>
      <c r="P179">
        <f ca="1"/>
        <v>0</v>
      </c>
      <c r="Q179" t="str">
        <f ca="1"/>
        <v>Rangnath  Dattu Chavan</v>
      </c>
      <c r="R179" t="str">
        <f ca="1"/>
        <v>R/o Ghugi Tq. &amp; District Osmanabad</v>
      </c>
      <c r="S179" t="str">
        <f ca="1"/>
        <v>Dharashiv</v>
      </c>
      <c r="T179" s="314" t="str">
        <f ca="1"/>
        <v>NI</v>
      </c>
      <c r="U179" t="str">
        <f ca="1"/>
        <v xml:space="preserve">NA </v>
      </c>
      <c r="V179" t="str">
        <f ca="1"/>
        <v xml:space="preserve">NA </v>
      </c>
      <c r="W179" t="str">
        <f ca="1"/>
        <v xml:space="preserve">NA </v>
      </c>
      <c r="X179" s="42" t="str">
        <f ca="1"/>
        <v>NA</v>
      </c>
      <c r="Y179" t="str">
        <f ca="1"/>
        <v>Subodh Umakant Gaikwad   9730559097</v>
      </c>
      <c r="Z179" t="str">
        <f ca="1"/>
        <v>R/o Bodhe Nagar, Latur.</v>
      </c>
      <c r="AA179" t="str">
        <f ca="1"/>
        <v>Latur</v>
      </c>
      <c r="AB179" t="str">
        <f ca="1"/>
        <v>NA</v>
      </c>
      <c r="AC179" s="42" t="str">
        <f ca="1"/>
        <v>NI</v>
      </c>
      <c r="AD179" t="str">
        <f ca="1"/>
        <v>Sharad Rangnath Chavan</v>
      </c>
      <c r="AE179" t="str">
        <f ca="1"/>
        <v>R/o  Ghugi Tq. &amp; District Osmanabad</v>
      </c>
      <c r="AF179" t="str">
        <f ca="1"/>
        <v>Dharashiv</v>
      </c>
      <c r="AG179" s="42" t="str">
        <f ca="1"/>
        <v>NI</v>
      </c>
      <c r="AH179" t="str">
        <f ca="1"/>
        <v>NA</v>
      </c>
      <c r="AI179" s="42" t="str">
        <f ca="1"/>
        <v>NA</v>
      </c>
      <c r="AJ179" t="str">
        <f ca="1"/>
        <v>NA</v>
      </c>
      <c r="AK179" s="42" t="str">
        <f ca="1"/>
        <v>NA</v>
      </c>
      <c r="AL179" t="str">
        <f ca="1"/>
        <v>NA</v>
      </c>
      <c r="AM179" s="42" t="str">
        <f ca="1"/>
        <v>NA</v>
      </c>
      <c r="AN179" t="str">
        <f ca="1"/>
        <v>NA</v>
      </c>
      <c r="AO179" s="42" t="str">
        <f ca="1"/>
        <v>NA</v>
      </c>
      <c r="AP179" t="str">
        <f ca="1"/>
        <v xml:space="preserve">NA </v>
      </c>
      <c r="AQ179" t="str">
        <f ca="1"/>
        <v>Chincholi to Latur road in the vicinity of village Gangapur in front of Jaikisan School.</v>
      </c>
      <c r="AR179" t="str">
        <f ca="1"/>
        <v>Latur</v>
      </c>
      <c r="AS179" s="42" t="str">
        <f ca="1"/>
        <v>NI</v>
      </c>
      <c r="AT179" t="str">
        <f ca="1"/>
        <v>25/2023</v>
      </c>
      <c r="AU179" t="str">
        <f ca="1"/>
        <v>Police Station Latur (Rural)</v>
      </c>
      <c r="AV179" t="str">
        <f ca="1"/>
        <v>Latur</v>
      </c>
      <c r="AW179" t="str">
        <f ca="1"/>
        <v>NA</v>
      </c>
      <c r="AX179" s="42" t="str">
        <f ca="1"/>
        <v>NI</v>
      </c>
      <c r="AY179" t="str">
        <f ca="1"/>
        <v xml:space="preserve">NA </v>
      </c>
      <c r="AZ179" t="str">
        <f ca="1"/>
        <v xml:space="preserve">NA </v>
      </c>
      <c r="BA179" t="str">
        <f ca="1"/>
        <v>NA</v>
      </c>
      <c r="BB179" s="42" t="str">
        <f ca="1"/>
        <v>NA</v>
      </c>
      <c r="BC179" t="str">
        <f ca="1"/>
        <v xml:space="preserve">NA </v>
      </c>
      <c r="BD179" t="str">
        <f ca="1"/>
        <v>Pending</v>
      </c>
      <c r="BE179">
        <f ca="1"/>
        <v>0</v>
      </c>
    </row>
    <row r="180" spans="1:57">
      <c r="A180" s="42">
        <f ca="1"/>
        <v>179</v>
      </c>
      <c r="B180" s="42" t="str">
        <f ca="1"/>
        <v>2025213937</v>
      </c>
      <c r="C180" s="42" t="str">
        <f ca="1"/>
        <v>Indusind General Insurance Co Ltd</v>
      </c>
      <c r="D180" s="42" t="str">
        <f ca="1"/>
        <v>MACT</v>
      </c>
      <c r="E180" s="42" t="str">
        <f ca="1"/>
        <v>R001-1179-SS-2025</v>
      </c>
      <c r="F180" s="310">
        <f ca="1"/>
        <v>46007</v>
      </c>
      <c r="G180" s="42" t="str">
        <f ca="1"/>
        <v>Dec-25</v>
      </c>
      <c r="H180" s="312" t="str">
        <f ca="1"/>
        <v>-</v>
      </c>
      <c r="I180" s="42">
        <f ca="1"/>
        <v>0</v>
      </c>
      <c r="J180" s="310">
        <f ca="1"/>
        <v>46049</v>
      </c>
      <c r="K180" s="42">
        <f ca="1"/>
        <v>20</v>
      </c>
      <c r="L180" s="42" t="str">
        <f ca="1"/>
        <v>WT</v>
      </c>
      <c r="M180" s="42" t="str">
        <f ca="1"/>
        <v>Full Case</v>
      </c>
      <c r="N180" s="42" t="str">
        <f ca="1"/>
        <v>Open</v>
      </c>
      <c r="O180" s="42" t="str">
        <f ca="1"/>
        <v>WIP</v>
      </c>
      <c r="P180">
        <f ca="1"/>
        <v>0</v>
      </c>
      <c r="Q180" t="str">
        <f ca="1"/>
        <v>Raju Datta Digalwad</v>
      </c>
      <c r="R180" t="str">
        <f ca="1"/>
        <v>R/o Dhanki tq. Umerkhed Dist. Yeotmal</v>
      </c>
      <c r="S180" t="str">
        <f ca="1"/>
        <v>Yeotmal</v>
      </c>
      <c r="T180" s="314" t="str">
        <f ca="1"/>
        <v>WIP</v>
      </c>
      <c r="U180" t="str">
        <f ca="1"/>
        <v xml:space="preserve">NA </v>
      </c>
      <c r="V180" t="str">
        <f ca="1"/>
        <v xml:space="preserve">NA </v>
      </c>
      <c r="W180" t="str">
        <f ca="1"/>
        <v xml:space="preserve">NA </v>
      </c>
      <c r="X180" s="42" t="str">
        <f ca="1"/>
        <v>NA</v>
      </c>
      <c r="Y180" t="str">
        <f ca="1"/>
        <v>Sachin  Madhavrao Dure</v>
      </c>
      <c r="Z180" t="str">
        <f ca="1"/>
        <v>R/o Sayal post.Halda Tq.Bhokar Dist. Nanded.</v>
      </c>
      <c r="AA180" t="str">
        <f ca="1"/>
        <v>Nanded</v>
      </c>
      <c r="AB180" t="str">
        <f ca="1"/>
        <v>NA</v>
      </c>
      <c r="AC180" s="42" t="str">
        <f ca="1"/>
        <v>WIP</v>
      </c>
      <c r="AD180" t="str">
        <f ca="1"/>
        <v xml:space="preserve">NA </v>
      </c>
      <c r="AE180" t="str">
        <f ca="1"/>
        <v xml:space="preserve">NA </v>
      </c>
      <c r="AF180" t="str">
        <f ca="1"/>
        <v>NA</v>
      </c>
      <c r="AG180" s="42" t="str">
        <f ca="1"/>
        <v>NI</v>
      </c>
      <c r="AH180" t="str">
        <f ca="1"/>
        <v>NA</v>
      </c>
      <c r="AI180" s="42" t="str">
        <f ca="1"/>
        <v>NA</v>
      </c>
      <c r="AJ180" t="str">
        <f ca="1"/>
        <v>NA</v>
      </c>
      <c r="AK180" s="42" t="str">
        <f ca="1"/>
        <v>NA</v>
      </c>
      <c r="AL180" t="str">
        <f ca="1"/>
        <v>NA</v>
      </c>
      <c r="AM180" s="42" t="str">
        <f ca="1"/>
        <v>NA</v>
      </c>
      <c r="AN180" t="str">
        <f ca="1"/>
        <v>NA</v>
      </c>
      <c r="AO180" s="42" t="str">
        <f ca="1"/>
        <v>NA</v>
      </c>
      <c r="AP180" t="str">
        <f ca="1"/>
        <v xml:space="preserve">NA </v>
      </c>
      <c r="AQ180" t="str">
        <f ca="1"/>
        <v>on the Bhokar to Umri bypass road near furniture shop.</v>
      </c>
      <c r="AR180" t="str">
        <f ca="1"/>
        <v>Bhokar</v>
      </c>
      <c r="AS180" s="42" t="str">
        <f ca="1"/>
        <v>Completed</v>
      </c>
      <c r="AT180" t="str">
        <f ca="1"/>
        <v>119/2023</v>
      </c>
      <c r="AU180" t="str">
        <f ca="1"/>
        <v>Bhokar Police Station</v>
      </c>
      <c r="AV180" t="str">
        <f ca="1"/>
        <v>Bhokar</v>
      </c>
      <c r="AW180" t="str">
        <f ca="1"/>
        <v>NA</v>
      </c>
      <c r="AX180" s="42" t="str">
        <f ca="1"/>
        <v>WIP</v>
      </c>
      <c r="AY180" t="str">
        <f ca="1"/>
        <v xml:space="preserve">NA </v>
      </c>
      <c r="AZ180" t="str">
        <f ca="1"/>
        <v xml:space="preserve">NA </v>
      </c>
      <c r="BA180" t="str">
        <f ca="1"/>
        <v>NA</v>
      </c>
      <c r="BB180" s="42" t="str">
        <f ca="1"/>
        <v>NA</v>
      </c>
      <c r="BC180" t="str">
        <f ca="1"/>
        <v xml:space="preserve">NA </v>
      </c>
      <c r="BD180" t="str">
        <f ca="1"/>
        <v>Pending</v>
      </c>
      <c r="BE180">
        <f ca="1"/>
        <v>0</v>
      </c>
    </row>
    <row r="181" spans="1:57">
      <c r="A181" s="42">
        <f ca="1"/>
        <v>180</v>
      </c>
      <c r="B181" s="42" t="str">
        <f ca="1"/>
        <v>2025213914</v>
      </c>
      <c r="C181" s="42" t="str">
        <f ca="1"/>
        <v>Indusind General Insurance Co Ltd</v>
      </c>
      <c r="D181" s="42" t="str">
        <f ca="1"/>
        <v>MACT</v>
      </c>
      <c r="E181" s="42" t="str">
        <f ca="1"/>
        <v>R001-1180-SS-2025</v>
      </c>
      <c r="F181" s="310">
        <f ca="1"/>
        <v>46007</v>
      </c>
      <c r="G181" s="42" t="str">
        <f ca="1"/>
        <v>Dec-25</v>
      </c>
      <c r="H181" s="312" t="str">
        <f ca="1"/>
        <v>-</v>
      </c>
      <c r="I181" s="42">
        <f ca="1"/>
        <v>0</v>
      </c>
      <c r="J181" s="310">
        <f ca="1"/>
        <v>46049</v>
      </c>
      <c r="K181" s="42">
        <f ca="1"/>
        <v>20</v>
      </c>
      <c r="L181" s="42" t="str">
        <f ca="1"/>
        <v>WT</v>
      </c>
      <c r="M181" s="42" t="str">
        <f ca="1"/>
        <v>Full Case</v>
      </c>
      <c r="N181" s="42" t="str">
        <f ca="1"/>
        <v>Open</v>
      </c>
      <c r="O181" s="42" t="str">
        <f ca="1"/>
        <v>WIP</v>
      </c>
      <c r="P181">
        <f ca="1"/>
        <v>0</v>
      </c>
      <c r="Q181" t="str">
        <f ca="1"/>
        <v>Anket Ramrao Naik    9765767475</v>
      </c>
      <c r="R181" t="str">
        <f ca="1"/>
        <v>R/o  Bhirda Post- Basmba Tq. Dist. Hingoli.</v>
      </c>
      <c r="S181" t="str">
        <f ca="1"/>
        <v>Hingoli</v>
      </c>
      <c r="T181" s="314" t="str">
        <f ca="1"/>
        <v>WIP</v>
      </c>
      <c r="U181" t="str">
        <f ca="1"/>
        <v xml:space="preserve">NA </v>
      </c>
      <c r="V181" t="str">
        <f ca="1"/>
        <v xml:space="preserve">NA </v>
      </c>
      <c r="W181" t="str">
        <f ca="1"/>
        <v xml:space="preserve">NA </v>
      </c>
      <c r="X181" s="42" t="str">
        <f ca="1"/>
        <v>NA</v>
      </c>
      <c r="Y181" t="str">
        <f ca="1"/>
        <v>Maroti Gangaram Ingale</v>
      </c>
      <c r="Z181" t="str">
        <f ca="1"/>
        <v xml:space="preserve">R/o R/o.Bhirda Post.Basmba, Tq. Dist. Hingoli-431702. </v>
      </c>
      <c r="AA181" t="str">
        <f ca="1"/>
        <v>Hingoli</v>
      </c>
      <c r="AB181" t="str">
        <f ca="1"/>
        <v>NA</v>
      </c>
      <c r="AC181" s="42" t="str">
        <f ca="1"/>
        <v>WIP</v>
      </c>
      <c r="AD181" t="str">
        <f ca="1"/>
        <v xml:space="preserve">NA </v>
      </c>
      <c r="AE181" t="str">
        <f ca="1"/>
        <v xml:space="preserve">NA </v>
      </c>
      <c r="AF181" t="str">
        <f ca="1"/>
        <v>NA</v>
      </c>
      <c r="AG181" s="42" t="str">
        <f ca="1"/>
        <v>NA</v>
      </c>
      <c r="AH181" t="str">
        <f ca="1"/>
        <v>NA</v>
      </c>
      <c r="AI181" s="42" t="str">
        <f ca="1"/>
        <v>NA</v>
      </c>
      <c r="AJ181" t="str">
        <f ca="1"/>
        <v>NA</v>
      </c>
      <c r="AK181" s="42" t="str">
        <f ca="1"/>
        <v>NA</v>
      </c>
      <c r="AL181" t="str">
        <f ca="1"/>
        <v>NA</v>
      </c>
      <c r="AM181" s="42" t="str">
        <f ca="1"/>
        <v>NA</v>
      </c>
      <c r="AN181" t="str">
        <f ca="1"/>
        <v>NA</v>
      </c>
      <c r="AO181" s="42" t="str">
        <f ca="1"/>
        <v>NA</v>
      </c>
      <c r="AP181" t="str">
        <f ca="1"/>
        <v xml:space="preserve">NA </v>
      </c>
      <c r="AQ181" t="str">
        <f ca="1"/>
        <v>In vicinity of Bhirda Village, in front of petitioner House road.</v>
      </c>
      <c r="AR181" t="str">
        <f ca="1"/>
        <v>NA</v>
      </c>
      <c r="AS181" s="42" t="str">
        <f ca="1"/>
        <v>WIP</v>
      </c>
      <c r="AT181" t="str">
        <f ca="1"/>
        <v>0086/2025</v>
      </c>
      <c r="AU181" t="str">
        <f ca="1"/>
        <v>Basamba  Police Station</v>
      </c>
      <c r="AV181" t="str">
        <f ca="1"/>
        <v>Hingoli</v>
      </c>
      <c r="AW181" t="str">
        <f ca="1"/>
        <v>NA</v>
      </c>
      <c r="AX181" s="42" t="str">
        <f ca="1"/>
        <v>WIP</v>
      </c>
      <c r="AY181" t="str">
        <f ca="1"/>
        <v xml:space="preserve">NA </v>
      </c>
      <c r="AZ181" t="str">
        <f ca="1"/>
        <v xml:space="preserve">NA </v>
      </c>
      <c r="BA181" t="str">
        <f ca="1"/>
        <v>NA</v>
      </c>
      <c r="BB181" s="42" t="str">
        <f ca="1"/>
        <v>NA</v>
      </c>
      <c r="BC181" t="str">
        <f ca="1"/>
        <v xml:space="preserve">NA </v>
      </c>
      <c r="BD181" t="str">
        <f ca="1"/>
        <v>Pending</v>
      </c>
      <c r="BE181">
        <f ca="1"/>
        <v>0</v>
      </c>
    </row>
    <row r="182" spans="1:57">
      <c r="A182" s="42">
        <f ca="1"/>
        <v>181</v>
      </c>
      <c r="B182" s="42" t="str">
        <f ca="1"/>
        <v>2025213905</v>
      </c>
      <c r="C182" s="42" t="str">
        <f ca="1"/>
        <v>Indusind General Insurance Co Ltd</v>
      </c>
      <c r="D182" s="42" t="str">
        <f ca="1"/>
        <v>MACT</v>
      </c>
      <c r="E182" s="42" t="str">
        <f ca="1"/>
        <v>R001-1181-SS-2025</v>
      </c>
      <c r="F182" s="310">
        <f ca="1"/>
        <v>46007</v>
      </c>
      <c r="G182" s="42" t="str">
        <f ca="1"/>
        <v>Dec-25</v>
      </c>
      <c r="H182" s="312" t="str">
        <f ca="1"/>
        <v>-</v>
      </c>
      <c r="I182" s="42">
        <f ca="1"/>
        <v>0</v>
      </c>
      <c r="J182" s="310">
        <f ca="1"/>
        <v>46049</v>
      </c>
      <c r="K182" s="42">
        <f ca="1"/>
        <v>20</v>
      </c>
      <c r="L182" s="42" t="str">
        <f ca="1"/>
        <v>WT</v>
      </c>
      <c r="M182" s="42" t="str">
        <f ca="1"/>
        <v>Full Case</v>
      </c>
      <c r="N182" s="42" t="str">
        <f ca="1"/>
        <v>Open</v>
      </c>
      <c r="O182" s="42" t="str">
        <f ca="1"/>
        <v>WIP</v>
      </c>
      <c r="P182">
        <f ca="1"/>
        <v>0</v>
      </c>
      <c r="Q182" t="str">
        <f ca="1"/>
        <v>Vidya Gajanan Maske    8412930391</v>
      </c>
      <c r="R182" t="str">
        <f ca="1"/>
        <v xml:space="preserve">R/o   MIDC area ahilyadevi Holkar Nagar, Karegav Road Parbhani.431401 </v>
      </c>
      <c r="S182" t="str">
        <f ca="1"/>
        <v>Parbhani</v>
      </c>
      <c r="T182" s="314" t="str">
        <f ca="1"/>
        <v>WIP</v>
      </c>
      <c r="U182" t="str">
        <f ca="1"/>
        <v xml:space="preserve">NA </v>
      </c>
      <c r="V182" t="str">
        <f ca="1"/>
        <v xml:space="preserve">NA </v>
      </c>
      <c r="W182" t="str">
        <f ca="1"/>
        <v xml:space="preserve">NA </v>
      </c>
      <c r="X182" s="42" t="str">
        <f ca="1"/>
        <v>NA</v>
      </c>
      <c r="Y182" t="str">
        <f ca="1"/>
        <v>Sayyad Shahed Sayyad Ishaque</v>
      </c>
      <c r="Z182" t="str">
        <f ca="1"/>
        <v>R/o 9-6-944 Degloor Naka Itwara, Millat Nagar Near Hamza Masjid Tq. Dist. Nanded.431604</v>
      </c>
      <c r="AA182" t="str">
        <f ca="1"/>
        <v>Nanded</v>
      </c>
      <c r="AB182" t="str">
        <f ca="1"/>
        <v>NA</v>
      </c>
      <c r="AC182" s="42" t="str">
        <f ca="1"/>
        <v>Completed</v>
      </c>
      <c r="AD182" t="str">
        <f ca="1"/>
        <v xml:space="preserve">NA </v>
      </c>
      <c r="AE182" t="str">
        <f ca="1"/>
        <v xml:space="preserve">NA </v>
      </c>
      <c r="AF182" t="str">
        <f ca="1"/>
        <v>NA</v>
      </c>
      <c r="AG182" s="42" t="str">
        <f ca="1"/>
        <v>WIP</v>
      </c>
      <c r="AH182" t="str">
        <f ca="1"/>
        <v>NA</v>
      </c>
      <c r="AI182" s="42" t="str">
        <f ca="1"/>
        <v>NA</v>
      </c>
      <c r="AJ182" t="str">
        <f ca="1"/>
        <v>NA</v>
      </c>
      <c r="AK182" s="42" t="str">
        <f ca="1"/>
        <v>NA</v>
      </c>
      <c r="AL182" t="str">
        <f ca="1"/>
        <v>NA</v>
      </c>
      <c r="AM182" s="42" t="str">
        <f ca="1"/>
        <v>NA</v>
      </c>
      <c r="AN182" t="str">
        <f ca="1"/>
        <v>NA</v>
      </c>
      <c r="AO182" s="42" t="str">
        <f ca="1"/>
        <v>NA</v>
      </c>
      <c r="AP182" t="str">
        <f ca="1"/>
        <v xml:space="preserve">NA </v>
      </c>
      <c r="AQ182" t="str">
        <f ca="1"/>
        <v>on Parbhani to Basmat Road</v>
      </c>
      <c r="AR182" t="str">
        <f ca="1"/>
        <v>Parbhani</v>
      </c>
      <c r="AS182" s="42" t="str">
        <f ca="1"/>
        <v>Completed</v>
      </c>
      <c r="AT182" t="str">
        <f ca="1"/>
        <v>0149/2025</v>
      </c>
      <c r="AU182" t="str">
        <f ca="1"/>
        <v>Tadkals Police Station</v>
      </c>
      <c r="AV182" t="str">
        <f ca="1"/>
        <v>Parbhani</v>
      </c>
      <c r="AW182" t="str">
        <f ca="1"/>
        <v>NA</v>
      </c>
      <c r="AX182" s="42" t="str">
        <f ca="1"/>
        <v>WIP</v>
      </c>
      <c r="AY182" t="str">
        <f ca="1"/>
        <v xml:space="preserve">NA </v>
      </c>
      <c r="AZ182" t="str">
        <f ca="1"/>
        <v xml:space="preserve">NA </v>
      </c>
      <c r="BA182" t="str">
        <f ca="1"/>
        <v>NA</v>
      </c>
      <c r="BB182" s="42" t="str">
        <f ca="1"/>
        <v>NA</v>
      </c>
      <c r="BC182" t="str">
        <f ca="1"/>
        <v xml:space="preserve">NA </v>
      </c>
      <c r="BD182" t="str">
        <f ca="1"/>
        <v>Pending</v>
      </c>
      <c r="BE182">
        <f ca="1"/>
        <v>0</v>
      </c>
    </row>
    <row r="183" spans="1:57">
      <c r="A183" s="42">
        <f ca="1"/>
        <v>182</v>
      </c>
      <c r="B183" s="42" t="str">
        <f ca="1"/>
        <v>2025213901</v>
      </c>
      <c r="C183" s="42" t="str">
        <f ca="1"/>
        <v>Indusind General Insurance Co Ltd</v>
      </c>
      <c r="D183" s="42" t="str">
        <f ca="1"/>
        <v>MACT</v>
      </c>
      <c r="E183" s="42" t="str">
        <f ca="1"/>
        <v>R001-1182-SS-2025</v>
      </c>
      <c r="F183" s="310">
        <f ca="1"/>
        <v>46007</v>
      </c>
      <c r="G183" s="42" t="str">
        <f ca="1"/>
        <v>Dec-25</v>
      </c>
      <c r="H183" s="312" t="str">
        <f ca="1"/>
        <v>-</v>
      </c>
      <c r="I183" s="42">
        <f ca="1"/>
        <v>0</v>
      </c>
      <c r="J183" s="310">
        <f ca="1"/>
        <v>46049</v>
      </c>
      <c r="K183" s="42">
        <f ca="1"/>
        <v>20</v>
      </c>
      <c r="L183" s="42" t="str">
        <f ca="1"/>
        <v>WT</v>
      </c>
      <c r="M183" s="42" t="str">
        <f ca="1"/>
        <v>Full Case</v>
      </c>
      <c r="N183" s="42" t="str">
        <f ca="1"/>
        <v>Open</v>
      </c>
      <c r="O183" s="42" t="str">
        <f ca="1"/>
        <v>WIP</v>
      </c>
      <c r="P183">
        <f ca="1"/>
        <v>0</v>
      </c>
      <c r="Q183" t="str">
        <f ca="1"/>
        <v>Anandrao  Vitthalrao Londhe   .7498315779.</v>
      </c>
      <c r="R183" t="str">
        <f ca="1"/>
        <v xml:space="preserve">R/o .Lakh Tq.Aundha Dist: Hingoli, </v>
      </c>
      <c r="S183" t="str">
        <f ca="1"/>
        <v>Hingoli</v>
      </c>
      <c r="T183" s="314" t="str">
        <f ca="1"/>
        <v>WIP</v>
      </c>
      <c r="U183" t="str">
        <f ca="1"/>
        <v xml:space="preserve">NA </v>
      </c>
      <c r="V183" t="str">
        <f ca="1"/>
        <v xml:space="preserve">NA </v>
      </c>
      <c r="W183" t="str">
        <f ca="1"/>
        <v xml:space="preserve">NA </v>
      </c>
      <c r="X183" s="42" t="str">
        <f ca="1"/>
        <v>NA</v>
      </c>
      <c r="Y183" t="str">
        <f ca="1"/>
        <v xml:space="preserve">Nilesh  Govindrao Dhabe </v>
      </c>
      <c r="Z183" t="str">
        <f ca="1"/>
        <v>R/o Pusegaon Tq.Sengaon Dist. Hingoli.</v>
      </c>
      <c r="AA183" t="str">
        <f ca="1"/>
        <v>Hingoli</v>
      </c>
      <c r="AB183" t="str">
        <f ca="1"/>
        <v>NA</v>
      </c>
      <c r="AC183" s="42" t="str">
        <f ca="1"/>
        <v>WIP</v>
      </c>
      <c r="AD183" t="str">
        <f ca="1"/>
        <v xml:space="preserve">NA </v>
      </c>
      <c r="AE183" t="str">
        <f ca="1"/>
        <v xml:space="preserve">NA </v>
      </c>
      <c r="AF183" t="str">
        <f ca="1"/>
        <v>NA</v>
      </c>
      <c r="AG183" s="42" t="str">
        <f ca="1"/>
        <v>NA</v>
      </c>
      <c r="AH183" t="str">
        <f ca="1"/>
        <v>NA</v>
      </c>
      <c r="AI183" s="42" t="str">
        <f ca="1"/>
        <v>NA</v>
      </c>
      <c r="AJ183" t="str">
        <f ca="1"/>
        <v>NA</v>
      </c>
      <c r="AK183" s="42" t="str">
        <f ca="1"/>
        <v>NA</v>
      </c>
      <c r="AL183" t="str">
        <f ca="1"/>
        <v>NA</v>
      </c>
      <c r="AM183" s="42" t="str">
        <f ca="1"/>
        <v>NA</v>
      </c>
      <c r="AN183" t="str">
        <f ca="1"/>
        <v>NA</v>
      </c>
      <c r="AO183" s="42" t="str">
        <f ca="1"/>
        <v>NA</v>
      </c>
      <c r="AP183" t="str">
        <f ca="1"/>
        <v xml:space="preserve">NA </v>
      </c>
      <c r="AQ183" t="str">
        <f ca="1"/>
        <v>In vicinity of old Nagar Parishad Office, On Washim to Hingoli road.</v>
      </c>
      <c r="AR183" t="str">
        <f ca="1"/>
        <v>Hingoli</v>
      </c>
      <c r="AS183" s="42" t="str">
        <f ca="1"/>
        <v>WIP</v>
      </c>
      <c r="AT183" t="str">
        <f ca="1"/>
        <v>0450/2025</v>
      </c>
      <c r="AU183" t="str">
        <f ca="1"/>
        <v>Hingoli  Police Station</v>
      </c>
      <c r="AV183" t="str">
        <f ca="1"/>
        <v>Hingoli</v>
      </c>
      <c r="AW183" t="str">
        <f ca="1"/>
        <v>NA</v>
      </c>
      <c r="AX183" s="42" t="str">
        <f ca="1"/>
        <v>WIP</v>
      </c>
      <c r="AY183" t="str">
        <f ca="1"/>
        <v xml:space="preserve">NA </v>
      </c>
      <c r="AZ183" t="str">
        <f ca="1"/>
        <v xml:space="preserve">NA </v>
      </c>
      <c r="BA183" t="str">
        <f ca="1"/>
        <v>NA</v>
      </c>
      <c r="BB183" s="42" t="str">
        <f ca="1"/>
        <v>NA</v>
      </c>
      <c r="BC183" t="str">
        <f ca="1"/>
        <v xml:space="preserve">NA </v>
      </c>
      <c r="BD183" t="str">
        <f ca="1"/>
        <v>Pending</v>
      </c>
      <c r="BE183">
        <f ca="1"/>
        <v>0</v>
      </c>
    </row>
    <row r="184" spans="1:57">
      <c r="A184" s="42">
        <f ca="1"/>
        <v>183</v>
      </c>
      <c r="B184" s="42" t="str">
        <f ca="1"/>
        <v>2025213898</v>
      </c>
      <c r="C184" s="42" t="str">
        <f ca="1"/>
        <v>Indusind General Insurance Co Ltd</v>
      </c>
      <c r="D184" s="42" t="str">
        <f ca="1"/>
        <v>MACT</v>
      </c>
      <c r="E184" s="42" t="str">
        <f ca="1"/>
        <v>R001-1183-SS-2025</v>
      </c>
      <c r="F184" s="310">
        <f ca="1"/>
        <v>46007</v>
      </c>
      <c r="G184" s="42" t="str">
        <f ca="1"/>
        <v>Dec-25</v>
      </c>
      <c r="H184" s="312" t="str">
        <f ca="1"/>
        <v>-</v>
      </c>
      <c r="I184" s="42">
        <f ca="1"/>
        <v>0</v>
      </c>
      <c r="J184" s="310">
        <f ca="1"/>
        <v>46049</v>
      </c>
      <c r="K184" s="42">
        <f ca="1"/>
        <v>20</v>
      </c>
      <c r="L184" s="42" t="str">
        <f ca="1"/>
        <v>WT</v>
      </c>
      <c r="M184" s="42" t="str">
        <f ca="1"/>
        <v>Full Case</v>
      </c>
      <c r="N184" s="42" t="str">
        <f ca="1"/>
        <v>Open</v>
      </c>
      <c r="O184" s="42" t="str">
        <f ca="1"/>
        <v>WIP</v>
      </c>
      <c r="P184">
        <f ca="1"/>
        <v>0</v>
      </c>
      <c r="Q184" t="str">
        <f ca="1"/>
        <v>Parvej  Shaikh Salim   9307686411.</v>
      </c>
      <c r="R184" t="str">
        <f ca="1"/>
        <v>R/o Khaja Colony, Near Masjid, Hingoli., Tq.Dist.Hingoli</v>
      </c>
      <c r="S184" t="str">
        <f ca="1"/>
        <v>Hingoli</v>
      </c>
      <c r="T184" s="314" t="str">
        <f ca="1"/>
        <v>WIP</v>
      </c>
      <c r="U184" t="str">
        <f ca="1"/>
        <v xml:space="preserve">NA </v>
      </c>
      <c r="V184" t="str">
        <f ca="1"/>
        <v xml:space="preserve">NA </v>
      </c>
      <c r="W184" t="str">
        <f ca="1"/>
        <v xml:space="preserve">NA </v>
      </c>
      <c r="X184" s="42" t="str">
        <f ca="1"/>
        <v>NA</v>
      </c>
      <c r="Y184" t="str">
        <f ca="1"/>
        <v xml:space="preserve">Santosh  Sadashiv Tejankar    </v>
      </c>
      <c r="Z184" t="str">
        <f ca="1"/>
        <v>R/o Brahman Galli, Kalamnuri Tq. Kalamnuri, Dist. Hingoli</v>
      </c>
      <c r="AA184" t="str">
        <f ca="1"/>
        <v>Hingoli</v>
      </c>
      <c r="AB184" t="str">
        <f ca="1"/>
        <v>NA</v>
      </c>
      <c r="AC184" s="42" t="str">
        <f ca="1"/>
        <v>WIP</v>
      </c>
      <c r="AD184" t="str">
        <f ca="1"/>
        <v xml:space="preserve">NA </v>
      </c>
      <c r="AE184" t="str">
        <f ca="1"/>
        <v xml:space="preserve">NA </v>
      </c>
      <c r="AF184" t="str">
        <f ca="1"/>
        <v>NA</v>
      </c>
      <c r="AG184" s="42" t="str">
        <f ca="1"/>
        <v>NA</v>
      </c>
      <c r="AH184" t="str">
        <f ca="1"/>
        <v>NA</v>
      </c>
      <c r="AI184" s="42" t="str">
        <f ca="1"/>
        <v>NA</v>
      </c>
      <c r="AJ184" t="str">
        <f ca="1"/>
        <v>NA</v>
      </c>
      <c r="AK184" s="42" t="str">
        <f ca="1"/>
        <v>NA</v>
      </c>
      <c r="AL184" t="str">
        <f ca="1"/>
        <v>NA</v>
      </c>
      <c r="AM184" s="42" t="str">
        <f ca="1"/>
        <v>NA</v>
      </c>
      <c r="AN184" t="str">
        <f ca="1"/>
        <v>NA</v>
      </c>
      <c r="AO184" s="42" t="str">
        <f ca="1"/>
        <v>NA</v>
      </c>
      <c r="AP184" t="str">
        <f ca="1"/>
        <v xml:space="preserve">NA </v>
      </c>
      <c r="AQ184" t="str">
        <f ca="1"/>
        <v>In vicinity of Sawarkheda Village, On Hingoli to Kalamnuri Road.</v>
      </c>
      <c r="AR184" t="str">
        <f ca="1"/>
        <v>Hingoli</v>
      </c>
      <c r="AS184" s="42" t="str">
        <f ca="1"/>
        <v>WIP</v>
      </c>
      <c r="AT184" t="str">
        <f ca="1"/>
        <v>0478/2025</v>
      </c>
      <c r="AU184" t="str">
        <f ca="1"/>
        <v>Hingoli  Police Station</v>
      </c>
      <c r="AV184" t="str">
        <f ca="1"/>
        <v>Hingoli</v>
      </c>
      <c r="AW184" t="str">
        <f ca="1"/>
        <v>NA</v>
      </c>
      <c r="AX184" s="42" t="str">
        <f ca="1"/>
        <v>WIP</v>
      </c>
      <c r="AY184" t="str">
        <f ca="1"/>
        <v xml:space="preserve">NA </v>
      </c>
      <c r="AZ184" t="str">
        <f ca="1"/>
        <v xml:space="preserve">NA </v>
      </c>
      <c r="BA184" t="str">
        <f ca="1"/>
        <v>NA</v>
      </c>
      <c r="BB184" s="42" t="str">
        <f ca="1"/>
        <v>NA</v>
      </c>
      <c r="BC184" t="str">
        <f ca="1"/>
        <v xml:space="preserve">NA </v>
      </c>
      <c r="BD184" t="str">
        <f ca="1"/>
        <v>Pending</v>
      </c>
      <c r="BE184">
        <f ca="1"/>
        <v>0</v>
      </c>
    </row>
    <row r="185" spans="1:57">
      <c r="A185" s="42">
        <f ca="1"/>
        <v>184</v>
      </c>
      <c r="B185" s="42" t="str">
        <f ca="1"/>
        <v>2025213881</v>
      </c>
      <c r="C185" s="42" t="str">
        <f ca="1"/>
        <v>Indusind General Insurance Co Ltd</v>
      </c>
      <c r="D185" s="42" t="str">
        <f ca="1"/>
        <v>MACT</v>
      </c>
      <c r="E185" s="42" t="str">
        <f ca="1"/>
        <v>R001-1184-SS-2025</v>
      </c>
      <c r="F185" s="310">
        <f ca="1"/>
        <v>46007</v>
      </c>
      <c r="G185" s="42" t="str">
        <f ca="1"/>
        <v>Dec-25</v>
      </c>
      <c r="H185" s="312" t="str">
        <f ca="1"/>
        <v>-</v>
      </c>
      <c r="I185" s="42">
        <f ca="1"/>
        <v>0</v>
      </c>
      <c r="J185" s="310">
        <f ca="1"/>
        <v>46049</v>
      </c>
      <c r="K185" s="42">
        <f ca="1"/>
        <v>20</v>
      </c>
      <c r="L185" s="42" t="str">
        <f ca="1"/>
        <v>WT</v>
      </c>
      <c r="M185" s="42" t="str">
        <f ca="1"/>
        <v>Full Case</v>
      </c>
      <c r="N185" s="42" t="str">
        <f ca="1"/>
        <v>Open</v>
      </c>
      <c r="O185" s="42" t="str">
        <f ca="1"/>
        <v>WIP</v>
      </c>
      <c r="P185">
        <f ca="1"/>
        <v>0</v>
      </c>
      <c r="Q185" t="str">
        <f ca="1"/>
        <v>Balika  Vitthal Hake     8459310873,9146134801</v>
      </c>
      <c r="R185" t="str">
        <f ca="1"/>
        <v xml:space="preserve">R/o  3. Patoda, Tq.Sengaon Dist. Hingoli
</v>
      </c>
      <c r="S185" t="str">
        <f ca="1"/>
        <v>Hingoli</v>
      </c>
      <c r="T185" s="314" t="str">
        <f ca="1"/>
        <v>WIP</v>
      </c>
      <c r="U185" t="str">
        <f ca="1"/>
        <v xml:space="preserve">NA </v>
      </c>
      <c r="V185" t="str">
        <f ca="1"/>
        <v xml:space="preserve">NA </v>
      </c>
      <c r="W185" t="str">
        <f ca="1"/>
        <v xml:space="preserve">NA </v>
      </c>
      <c r="X185" s="42" t="str">
        <f ca="1"/>
        <v>NA</v>
      </c>
      <c r="Y185" t="str">
        <f ca="1"/>
        <v>Ankush Bajirao Gadade</v>
      </c>
      <c r="Z185" t="str">
        <f ca="1"/>
        <v>R/o Chikhalagar, Tq Sengaon Dist-Hingoli.</v>
      </c>
      <c r="AA185" t="str">
        <f ca="1"/>
        <v>Hingoli</v>
      </c>
      <c r="AB185" t="str">
        <f ca="1"/>
        <v>NA</v>
      </c>
      <c r="AC185" s="42" t="str">
        <f ca="1"/>
        <v>WIP</v>
      </c>
      <c r="AD185" t="str">
        <f ca="1"/>
        <v xml:space="preserve">NA </v>
      </c>
      <c r="AE185" t="str">
        <f ca="1"/>
        <v xml:space="preserve">NA </v>
      </c>
      <c r="AF185" t="str">
        <f ca="1"/>
        <v>NA</v>
      </c>
      <c r="AG185" s="42" t="str">
        <f ca="1"/>
        <v>NA</v>
      </c>
      <c r="AH185" t="str">
        <f ca="1"/>
        <v>NA</v>
      </c>
      <c r="AI185" s="42" t="str">
        <f ca="1"/>
        <v>NA</v>
      </c>
      <c r="AJ185" t="str">
        <f ca="1"/>
        <v>NA</v>
      </c>
      <c r="AK185" s="42" t="str">
        <f ca="1"/>
        <v>NA</v>
      </c>
      <c r="AL185" t="str">
        <f ca="1"/>
        <v>NA</v>
      </c>
      <c r="AM185" s="42" t="str">
        <f ca="1"/>
        <v>NA</v>
      </c>
      <c r="AN185" t="str">
        <f ca="1"/>
        <v>NA</v>
      </c>
      <c r="AO185" s="42" t="str">
        <f ca="1"/>
        <v>NA</v>
      </c>
      <c r="AP185" t="str">
        <f ca="1"/>
        <v xml:space="preserve">NA </v>
      </c>
      <c r="AQ185" t="str">
        <f ca="1"/>
        <v>Near of Hatta Pati, on Yeldari to Sengaon Road.</v>
      </c>
      <c r="AR185" t="str">
        <f ca="1"/>
        <v>NA</v>
      </c>
      <c r="AS185" s="42" t="str">
        <f ca="1"/>
        <v>WIP</v>
      </c>
      <c r="AT185" t="str">
        <f ca="1"/>
        <v>0499/2025</v>
      </c>
      <c r="AU185" t="str">
        <f ca="1"/>
        <v>Sengaon  Police Station</v>
      </c>
      <c r="AV185" t="str">
        <f ca="1"/>
        <v>Hingoli</v>
      </c>
      <c r="AW185" t="str">
        <f ca="1"/>
        <v>NA</v>
      </c>
      <c r="AX185" s="42" t="str">
        <f ca="1"/>
        <v>WIP</v>
      </c>
      <c r="AY185" t="str">
        <f ca="1"/>
        <v xml:space="preserve">NA </v>
      </c>
      <c r="AZ185" t="str">
        <f ca="1"/>
        <v xml:space="preserve">NA </v>
      </c>
      <c r="BA185" t="str">
        <f ca="1"/>
        <v>NA</v>
      </c>
      <c r="BB185" s="42" t="str">
        <f ca="1"/>
        <v>NA</v>
      </c>
      <c r="BC185" t="str">
        <f ca="1"/>
        <v xml:space="preserve">NA </v>
      </c>
      <c r="BD185" t="str">
        <f ca="1"/>
        <v>Pending</v>
      </c>
      <c r="BE185">
        <f ca="1"/>
        <v>0</v>
      </c>
    </row>
    <row r="186" spans="1:57">
      <c r="A186" s="42">
        <f ca="1"/>
        <v>185</v>
      </c>
      <c r="B186" s="42" t="str">
        <f ca="1"/>
        <v>2025213869</v>
      </c>
      <c r="C186" s="42" t="str">
        <f ca="1"/>
        <v>Indusind General Insurance Co Ltd</v>
      </c>
      <c r="D186" s="42" t="str">
        <f ca="1"/>
        <v>MACT</v>
      </c>
      <c r="E186" s="42" t="str">
        <f ca="1"/>
        <v>R001-1185-SS-2025</v>
      </c>
      <c r="F186" s="310">
        <f ca="1"/>
        <v>46007</v>
      </c>
      <c r="G186" s="42" t="str">
        <f ca="1"/>
        <v>Dec-25</v>
      </c>
      <c r="H186" s="312" t="str">
        <f ca="1"/>
        <v>-</v>
      </c>
      <c r="I186" s="42">
        <f ca="1"/>
        <v>0</v>
      </c>
      <c r="J186" s="310">
        <f ca="1"/>
        <v>46049</v>
      </c>
      <c r="K186" s="42">
        <f ca="1"/>
        <v>20</v>
      </c>
      <c r="L186" s="42" t="str">
        <f ca="1"/>
        <v>WT</v>
      </c>
      <c r="M186" s="42" t="str">
        <f ca="1"/>
        <v>Full Case</v>
      </c>
      <c r="N186" s="42" t="str">
        <f ca="1"/>
        <v>Open</v>
      </c>
      <c r="O186" s="42" t="str">
        <f ca="1"/>
        <v>WIP</v>
      </c>
      <c r="P186">
        <f ca="1"/>
        <v>0</v>
      </c>
      <c r="Q186" t="str">
        <f ca="1"/>
        <v>Keshavrao Digaji Solanke    8459178282</v>
      </c>
      <c r="R186" t="str">
        <f ca="1"/>
        <v>R/o Yelhegaon Solanke. Tq. Aundha Dist. Hingoli</v>
      </c>
      <c r="S186" t="str">
        <f ca="1"/>
        <v>Hingoli</v>
      </c>
      <c r="T186" s="314" t="str">
        <f ca="1"/>
        <v>WIP</v>
      </c>
      <c r="U186" t="str">
        <f ca="1"/>
        <v xml:space="preserve">NA </v>
      </c>
      <c r="V186" t="str">
        <f ca="1"/>
        <v>NA</v>
      </c>
      <c r="W186" t="str">
        <f ca="1"/>
        <v xml:space="preserve">NA </v>
      </c>
      <c r="X186" s="42" t="str">
        <f ca="1"/>
        <v>NA</v>
      </c>
      <c r="Y186" t="str">
        <f ca="1"/>
        <v>Gajanan Narayanrao Solanke</v>
      </c>
      <c r="Z186" t="str">
        <f ca="1"/>
        <v>R/o Yelhegaon Solanke Tq. Aunhda Dist. Hingoli.</v>
      </c>
      <c r="AA186" t="str">
        <f ca="1"/>
        <v>Hingoli</v>
      </c>
      <c r="AB186" t="str">
        <f ca="1"/>
        <v>NA</v>
      </c>
      <c r="AC186" s="42" t="str">
        <f ca="1"/>
        <v>WIP</v>
      </c>
      <c r="AD186" t="str">
        <f ca="1"/>
        <v xml:space="preserve">NA </v>
      </c>
      <c r="AE186" t="str">
        <f ca="1"/>
        <v xml:space="preserve">NA </v>
      </c>
      <c r="AF186" t="str">
        <f ca="1"/>
        <v>NA</v>
      </c>
      <c r="AG186" s="42" t="str">
        <f ca="1"/>
        <v>NA</v>
      </c>
      <c r="AH186" t="str">
        <f ca="1"/>
        <v>NA</v>
      </c>
      <c r="AI186" s="42" t="str">
        <f ca="1"/>
        <v>NA</v>
      </c>
      <c r="AJ186" t="str">
        <f ca="1"/>
        <v>NA</v>
      </c>
      <c r="AK186" s="42" t="str">
        <f ca="1"/>
        <v>NA</v>
      </c>
      <c r="AL186" t="str">
        <f ca="1"/>
        <v>NA</v>
      </c>
      <c r="AM186" s="42" t="str">
        <f ca="1"/>
        <v>NA</v>
      </c>
      <c r="AN186" t="str">
        <f ca="1"/>
        <v>NA</v>
      </c>
      <c r="AO186" s="42" t="str">
        <f ca="1"/>
        <v>NA</v>
      </c>
      <c r="AP186" t="str">
        <f ca="1"/>
        <v xml:space="preserve">NA </v>
      </c>
      <c r="AQ186" t="str">
        <f ca="1"/>
        <v>In vicinity Wagarwadi Village, On Parbhani to Hingoli Road.</v>
      </c>
      <c r="AR186" t="str">
        <f ca="1"/>
        <v>Hingoli</v>
      </c>
      <c r="AS186" s="42" t="str">
        <f ca="1"/>
        <v>WIP</v>
      </c>
      <c r="AT186" t="str">
        <f ca="1"/>
        <v>0011/2025</v>
      </c>
      <c r="AU186" t="str">
        <f ca="1"/>
        <v>Aundha Police Station</v>
      </c>
      <c r="AV186" t="str">
        <f ca="1"/>
        <v>NA</v>
      </c>
      <c r="AW186" t="str">
        <f ca="1"/>
        <v>NA</v>
      </c>
      <c r="AX186" s="42" t="str">
        <f ca="1"/>
        <v>WIP</v>
      </c>
      <c r="AY186" t="str">
        <f ca="1"/>
        <v xml:space="preserve">NA </v>
      </c>
      <c r="AZ186" t="str">
        <f ca="1"/>
        <v xml:space="preserve">NA </v>
      </c>
      <c r="BA186" t="str">
        <f ca="1"/>
        <v>NA</v>
      </c>
      <c r="BB186" s="42" t="str">
        <f ca="1"/>
        <v>NA</v>
      </c>
      <c r="BC186" t="str">
        <f ca="1"/>
        <v xml:space="preserve">NA </v>
      </c>
      <c r="BD186" t="str">
        <f ca="1"/>
        <v>Pending</v>
      </c>
      <c r="BE186">
        <f ca="1"/>
        <v>0</v>
      </c>
    </row>
    <row r="187" spans="1:57">
      <c r="A187" s="42">
        <f ca="1"/>
        <v>186</v>
      </c>
      <c r="B187" s="42" t="str">
        <f ca="1"/>
        <v>2025213864</v>
      </c>
      <c r="C187" s="42" t="str">
        <f ca="1"/>
        <v>Indusind General Insurance Co Ltd</v>
      </c>
      <c r="D187" s="42" t="str">
        <f ca="1"/>
        <v>MACT</v>
      </c>
      <c r="E187" s="42" t="str">
        <f ca="1"/>
        <v>R001-1186-SS-2025</v>
      </c>
      <c r="F187" s="310">
        <f ca="1"/>
        <v>46007</v>
      </c>
      <c r="G187" s="42" t="str">
        <f ca="1"/>
        <v>Dec-25</v>
      </c>
      <c r="H187" s="312" t="str">
        <f ca="1"/>
        <v>-</v>
      </c>
      <c r="I187" s="42">
        <f ca="1"/>
        <v>0</v>
      </c>
      <c r="J187" s="310">
        <f ca="1"/>
        <v>46049</v>
      </c>
      <c r="K187" s="42">
        <f ca="1"/>
        <v>20</v>
      </c>
      <c r="L187" s="42" t="str">
        <f ca="1"/>
        <v>WT</v>
      </c>
      <c r="M187" s="42" t="str">
        <f ca="1"/>
        <v>Full Case</v>
      </c>
      <c r="N187" s="42" t="str">
        <f ca="1"/>
        <v>Open</v>
      </c>
      <c r="O187" s="42" t="str">
        <f ca="1"/>
        <v>WIP</v>
      </c>
      <c r="P187">
        <f ca="1"/>
        <v>0</v>
      </c>
      <c r="Q187" t="str">
        <f ca="1"/>
        <v>Pallvi  Dinkar Ingle   8888152207</v>
      </c>
      <c r="R187" t="str">
        <f ca="1"/>
        <v xml:space="preserve">R/o R/o. Karegaon Tq. Dist. Hingoli. Now R/o.Sirsam Tq.Dist. Hingoli </v>
      </c>
      <c r="S187" t="str">
        <f ca="1"/>
        <v>Hingoli</v>
      </c>
      <c r="T187" s="314" t="str">
        <f ca="1"/>
        <v>WIP</v>
      </c>
      <c r="U187" t="str">
        <f ca="1"/>
        <v xml:space="preserve">NA </v>
      </c>
      <c r="V187" t="str">
        <f ca="1"/>
        <v>NA</v>
      </c>
      <c r="W187" t="str">
        <f ca="1"/>
        <v xml:space="preserve">NA </v>
      </c>
      <c r="X187" s="42" t="str">
        <f ca="1"/>
        <v>NA</v>
      </c>
      <c r="Y187" t="str">
        <f ca="1"/>
        <v>Kedarling  Pralhad Gawali</v>
      </c>
      <c r="Z187" t="str">
        <f ca="1"/>
        <v>R/o At Hanuman Mandir Jawal Sirsam Bk Post-Sirsam Tq. Dist. Hingoli-431513</v>
      </c>
      <c r="AA187" t="str">
        <f ca="1"/>
        <v>Hingoli</v>
      </c>
      <c r="AB187" t="str">
        <f ca="1"/>
        <v>NA</v>
      </c>
      <c r="AC187" s="42" t="str">
        <f ca="1"/>
        <v>WIP</v>
      </c>
      <c r="AD187" t="str">
        <f ca="1"/>
        <v xml:space="preserve">NA </v>
      </c>
      <c r="AE187" t="str">
        <f ca="1"/>
        <v xml:space="preserve">NA </v>
      </c>
      <c r="AF187" t="str">
        <f ca="1"/>
        <v>NA</v>
      </c>
      <c r="AG187" s="42" t="str">
        <f ca="1"/>
        <v>NA</v>
      </c>
      <c r="AH187" t="str">
        <f ca="1"/>
        <v>NA</v>
      </c>
      <c r="AI187" s="42" t="str">
        <f ca="1"/>
        <v>NA</v>
      </c>
      <c r="AJ187" t="str">
        <f ca="1"/>
        <v>NA</v>
      </c>
      <c r="AK187" s="42" t="str">
        <f ca="1"/>
        <v>NA</v>
      </c>
      <c r="AL187" t="str">
        <f ca="1"/>
        <v>NA</v>
      </c>
      <c r="AM187" s="42" t="str">
        <f ca="1"/>
        <v>NA</v>
      </c>
      <c r="AN187" t="str">
        <f ca="1"/>
        <v>NA</v>
      </c>
      <c r="AO187" s="42" t="str">
        <f ca="1"/>
        <v>NA</v>
      </c>
      <c r="AP187" t="str">
        <f ca="1"/>
        <v xml:space="preserve">NA </v>
      </c>
      <c r="AQ187" t="str">
        <f ca="1"/>
        <v>At Bhabhulgaon on Patur to Vadegaon Road.</v>
      </c>
      <c r="AR187" t="str">
        <f ca="1"/>
        <v xml:space="preserve">NA </v>
      </c>
      <c r="AS187" s="42" t="str">
        <f ca="1"/>
        <v>WIP</v>
      </c>
      <c r="AT187" t="str">
        <f ca="1"/>
        <v>0029/2025</v>
      </c>
      <c r="AU187" t="str">
        <f ca="1"/>
        <v>Patur Police Station</v>
      </c>
      <c r="AV187" t="str">
        <f ca="1"/>
        <v>NA</v>
      </c>
      <c r="AW187" t="str">
        <f ca="1"/>
        <v>NA</v>
      </c>
      <c r="AX187" s="42" t="str">
        <f ca="1"/>
        <v>WIP</v>
      </c>
      <c r="AY187" t="str">
        <f ca="1"/>
        <v xml:space="preserve">NA </v>
      </c>
      <c r="AZ187" t="str">
        <f ca="1"/>
        <v xml:space="preserve">NA </v>
      </c>
      <c r="BA187" t="str">
        <f ca="1"/>
        <v>NA</v>
      </c>
      <c r="BB187" s="42" t="str">
        <f ca="1"/>
        <v>NA</v>
      </c>
      <c r="BC187" t="str">
        <f ca="1"/>
        <v xml:space="preserve">NA </v>
      </c>
      <c r="BD187" t="str">
        <f ca="1"/>
        <v>Pending</v>
      </c>
      <c r="BE187">
        <f ca="1"/>
        <v>0</v>
      </c>
    </row>
    <row r="188" spans="1:57">
      <c r="A188" s="42">
        <f ca="1"/>
        <v>187</v>
      </c>
      <c r="B188" s="42" t="str">
        <f ca="1"/>
        <v>2025213860</v>
      </c>
      <c r="C188" s="42" t="str">
        <f ca="1"/>
        <v>Indusind General Insurance Co Ltd</v>
      </c>
      <c r="D188" s="42" t="str">
        <f ca="1"/>
        <v>MACT</v>
      </c>
      <c r="E188" s="42" t="str">
        <f ca="1"/>
        <v>R001-1187-SS-2025</v>
      </c>
      <c r="F188" s="310">
        <f ca="1"/>
        <v>46007</v>
      </c>
      <c r="G188" s="42" t="str">
        <f ca="1"/>
        <v>Dec-25</v>
      </c>
      <c r="H188" s="312" t="str">
        <f ca="1"/>
        <v>-</v>
      </c>
      <c r="I188" s="42">
        <f ca="1"/>
        <v>0</v>
      </c>
      <c r="J188" s="310">
        <f ca="1"/>
        <v>46049</v>
      </c>
      <c r="K188" s="42">
        <f ca="1"/>
        <v>20</v>
      </c>
      <c r="L188" s="42" t="str">
        <f ca="1"/>
        <v>WT</v>
      </c>
      <c r="M188" s="42" t="str">
        <f ca="1"/>
        <v>Full Case</v>
      </c>
      <c r="N188" s="42" t="str">
        <f ca="1"/>
        <v>Open</v>
      </c>
      <c r="O188" s="42" t="str">
        <f ca="1"/>
        <v>WIP</v>
      </c>
      <c r="P188">
        <f ca="1"/>
        <v>0</v>
      </c>
      <c r="Q188" t="str">
        <f ca="1"/>
        <v>Santosh  Yadav Burkule    9545880402</v>
      </c>
      <c r="R188" t="str">
        <f ca="1"/>
        <v>R/o  Morvad Tq. Kalmnuri Dist-Hingoli.</v>
      </c>
      <c r="S188" t="str">
        <f ca="1"/>
        <v>Hingoli</v>
      </c>
      <c r="T188" s="314" t="str">
        <f ca="1"/>
        <v>WIP</v>
      </c>
      <c r="U188" t="str">
        <f ca="1"/>
        <v xml:space="preserve">NA </v>
      </c>
      <c r="V188" t="str">
        <f ca="1"/>
        <v>NA</v>
      </c>
      <c r="W188" t="str">
        <f ca="1"/>
        <v xml:space="preserve">NA </v>
      </c>
      <c r="X188" s="42" t="str">
        <f ca="1"/>
        <v>NA</v>
      </c>
      <c r="Y188" t="str">
        <f ca="1"/>
        <v>Raju  Panditrao Londhe</v>
      </c>
      <c r="Z188" t="str">
        <f ca="1"/>
        <v xml:space="preserve">R/o   Matha Tq. Aundha (Na) Dist- Hiingoli.
</v>
      </c>
      <c r="AA188" t="str">
        <f ca="1"/>
        <v>Hingoli</v>
      </c>
      <c r="AB188" t="str">
        <f ca="1"/>
        <v>NA</v>
      </c>
      <c r="AC188" s="42" t="str">
        <f ca="1"/>
        <v>WIP</v>
      </c>
      <c r="AD188" t="str">
        <f ca="1"/>
        <v xml:space="preserve">NA </v>
      </c>
      <c r="AE188" t="str">
        <f ca="1"/>
        <v xml:space="preserve">NA </v>
      </c>
      <c r="AF188" t="str">
        <f ca="1"/>
        <v>NA</v>
      </c>
      <c r="AG188" s="42" t="str">
        <f ca="1"/>
        <v>NA</v>
      </c>
      <c r="AH188" t="str">
        <f ca="1"/>
        <v>NA</v>
      </c>
      <c r="AI188" s="42" t="str">
        <f ca="1"/>
        <v>NA</v>
      </c>
      <c r="AJ188" t="str">
        <f ca="1"/>
        <v>NA</v>
      </c>
      <c r="AK188" s="42" t="str">
        <f ca="1"/>
        <v>NA</v>
      </c>
      <c r="AL188" t="str">
        <f ca="1"/>
        <v>NA</v>
      </c>
      <c r="AM188" s="42" t="str">
        <f ca="1"/>
        <v>NA</v>
      </c>
      <c r="AN188" t="str">
        <f ca="1"/>
        <v>NA</v>
      </c>
      <c r="AO188" s="42" t="str">
        <f ca="1"/>
        <v>NA</v>
      </c>
      <c r="AP188" t="str">
        <f ca="1"/>
        <v xml:space="preserve">NA </v>
      </c>
      <c r="AQ188" t="str">
        <f ca="1"/>
        <v>Near Sawna Vaychalpimpri Shivar on Kanhergaon to Goregaon road.</v>
      </c>
      <c r="AR188" t="str">
        <f ca="1"/>
        <v>NA</v>
      </c>
      <c r="AS188" s="42" t="str">
        <f ca="1"/>
        <v>WIP</v>
      </c>
      <c r="AT188" t="str">
        <f ca="1"/>
        <v>0260/2022</v>
      </c>
      <c r="AU188" t="str">
        <f ca="1"/>
        <v>Goregaon  Police Station</v>
      </c>
      <c r="AV188" t="str">
        <f ca="1"/>
        <v>Hingoli</v>
      </c>
      <c r="AW188" t="str">
        <f ca="1"/>
        <v>NA</v>
      </c>
      <c r="AX188" s="42" t="str">
        <f ca="1"/>
        <v>WIP</v>
      </c>
      <c r="AY188" t="str">
        <f ca="1"/>
        <v xml:space="preserve">NA </v>
      </c>
      <c r="AZ188" t="str">
        <f ca="1"/>
        <v xml:space="preserve">NA </v>
      </c>
      <c r="BA188" t="str">
        <f ca="1"/>
        <v>NA</v>
      </c>
      <c r="BB188" s="42" t="str">
        <f ca="1"/>
        <v>NA</v>
      </c>
      <c r="BC188" t="str">
        <f ca="1"/>
        <v xml:space="preserve">NA </v>
      </c>
      <c r="BD188" t="str">
        <f ca="1"/>
        <v>Pending</v>
      </c>
      <c r="BE188">
        <f ca="1"/>
        <v>0</v>
      </c>
    </row>
    <row r="189" spans="1:57">
      <c r="A189" s="42">
        <f ca="1"/>
        <v>188</v>
      </c>
      <c r="B189" s="42" t="str">
        <f ca="1"/>
        <v>2025213854</v>
      </c>
      <c r="C189" s="42" t="str">
        <f ca="1"/>
        <v>Indusind General Insurance Co Ltd</v>
      </c>
      <c r="D189" s="42" t="str">
        <f ca="1"/>
        <v>MACT</v>
      </c>
      <c r="E189" s="42" t="str">
        <f ca="1"/>
        <v>R001-1188-SS-2025</v>
      </c>
      <c r="F189" s="310">
        <f ca="1"/>
        <v>46007</v>
      </c>
      <c r="G189" s="42" t="str">
        <f ca="1"/>
        <v>Dec-25</v>
      </c>
      <c r="H189" s="312" t="str">
        <f ca="1"/>
        <v>-</v>
      </c>
      <c r="I189" s="42">
        <f ca="1"/>
        <v>0</v>
      </c>
      <c r="J189" s="310">
        <f ca="1"/>
        <v>46049</v>
      </c>
      <c r="K189" s="42">
        <f ca="1"/>
        <v>20</v>
      </c>
      <c r="L189" s="42" t="str">
        <f ca="1"/>
        <v>WT</v>
      </c>
      <c r="M189" s="42" t="str">
        <f ca="1"/>
        <v>Full Case</v>
      </c>
      <c r="N189" s="42" t="str">
        <f ca="1"/>
        <v>Open</v>
      </c>
      <c r="O189" s="42" t="str">
        <f ca="1"/>
        <v>WIP</v>
      </c>
      <c r="P189">
        <f ca="1"/>
        <v>0</v>
      </c>
      <c r="Q189" t="str">
        <f ca="1"/>
        <v>Radhabai  Prakash Metkar   9922510119.</v>
      </c>
      <c r="R189" t="str">
        <f ca="1"/>
        <v>R/o Bramhanwada, Tq. Sengaon, Dist.- Hingoli.</v>
      </c>
      <c r="S189" t="str">
        <f ca="1"/>
        <v>Hingoli</v>
      </c>
      <c r="T189" s="314" t="str">
        <f ca="1"/>
        <v>WIP</v>
      </c>
      <c r="U189" t="str">
        <f ca="1"/>
        <v xml:space="preserve">NA </v>
      </c>
      <c r="V189" t="str">
        <f ca="1"/>
        <v>NA</v>
      </c>
      <c r="W189" t="str">
        <f ca="1"/>
        <v xml:space="preserve">NA </v>
      </c>
      <c r="X189" s="42" t="str">
        <f ca="1"/>
        <v>NA</v>
      </c>
      <c r="Y189" t="str">
        <f ca="1"/>
        <v>Santosh  Bhagwan Shelake</v>
      </c>
      <c r="Z189" t="str">
        <f ca="1"/>
        <v>R/o  Ghota Devi, Tq. Dist- Hingoli.</v>
      </c>
      <c r="AA189" t="str">
        <f ca="1"/>
        <v>Hingoli</v>
      </c>
      <c r="AB189" t="str">
        <f ca="1"/>
        <v>NA</v>
      </c>
      <c r="AC189" s="42" t="str">
        <f ca="1"/>
        <v>WIP</v>
      </c>
      <c r="AD189" t="str">
        <f ca="1"/>
        <v xml:space="preserve">NA </v>
      </c>
      <c r="AE189" t="str">
        <f ca="1"/>
        <v xml:space="preserve">NA </v>
      </c>
      <c r="AF189" t="str">
        <f ca="1"/>
        <v>NA</v>
      </c>
      <c r="AG189" s="42" t="str">
        <f ca="1"/>
        <v>NA</v>
      </c>
      <c r="AH189" t="str">
        <f ca="1"/>
        <v>NA</v>
      </c>
      <c r="AI189" s="42" t="str">
        <f ca="1"/>
        <v>NA</v>
      </c>
      <c r="AJ189" t="str">
        <f ca="1"/>
        <v>NA</v>
      </c>
      <c r="AK189" s="42" t="str">
        <f ca="1"/>
        <v>NA</v>
      </c>
      <c r="AL189" t="str">
        <f ca="1"/>
        <v>NA</v>
      </c>
      <c r="AM189" s="42" t="str">
        <f ca="1"/>
        <v>NA</v>
      </c>
      <c r="AN189" t="str">
        <f ca="1"/>
        <v>NA</v>
      </c>
      <c r="AO189" s="42" t="str">
        <f ca="1"/>
        <v>NA</v>
      </c>
      <c r="AP189" t="str">
        <f ca="1"/>
        <v xml:space="preserve">NA </v>
      </c>
      <c r="AQ189" t="str">
        <f ca="1"/>
        <v>Near Falegaon Fata, On Hingoli to Washim Road.</v>
      </c>
      <c r="AR189" t="str">
        <f ca="1"/>
        <v>Hingoli</v>
      </c>
      <c r="AS189" s="42" t="str">
        <f ca="1"/>
        <v>WIP</v>
      </c>
      <c r="AT189" t="str">
        <f ca="1"/>
        <v>0038/2023</v>
      </c>
      <c r="AU189" t="str">
        <f ca="1"/>
        <v>Hingoli Rural Police Station</v>
      </c>
      <c r="AV189" t="str">
        <f ca="1"/>
        <v>Hingoli</v>
      </c>
      <c r="AW189" t="str">
        <f ca="1"/>
        <v>NA</v>
      </c>
      <c r="AX189" s="42" t="str">
        <f ca="1"/>
        <v>WIP</v>
      </c>
      <c r="AY189" t="str">
        <f ca="1"/>
        <v xml:space="preserve">NA </v>
      </c>
      <c r="AZ189" t="str">
        <f ca="1"/>
        <v xml:space="preserve">NA </v>
      </c>
      <c r="BA189" t="str">
        <f ca="1"/>
        <v>NA</v>
      </c>
      <c r="BB189" s="42" t="str">
        <f ca="1"/>
        <v>NA</v>
      </c>
      <c r="BC189" t="str">
        <f ca="1"/>
        <v xml:space="preserve">NA </v>
      </c>
      <c r="BD189" t="str">
        <f ca="1"/>
        <v>Pending</v>
      </c>
      <c r="BE189">
        <f ca="1"/>
        <v>0</v>
      </c>
    </row>
    <row r="190" spans="1:57">
      <c r="A190" s="42">
        <f ca="1"/>
        <v>189</v>
      </c>
      <c r="B190" s="42" t="str">
        <f ca="1"/>
        <v>2025213836</v>
      </c>
      <c r="C190" s="42" t="str">
        <f ca="1"/>
        <v>Indusind General Insurance Co Ltd</v>
      </c>
      <c r="D190" s="42" t="str">
        <f ca="1"/>
        <v>MACT</v>
      </c>
      <c r="E190" s="42" t="str">
        <f ca="1"/>
        <v>R001-1189-SS-2025</v>
      </c>
      <c r="F190" s="310">
        <f ca="1"/>
        <v>46007</v>
      </c>
      <c r="G190" s="42" t="str">
        <f ca="1"/>
        <v>Dec-25</v>
      </c>
      <c r="H190" s="312" t="str">
        <f ca="1"/>
        <v>-</v>
      </c>
      <c r="I190" s="42">
        <f ca="1"/>
        <v>0</v>
      </c>
      <c r="J190" s="310">
        <f ca="1"/>
        <v>46049</v>
      </c>
      <c r="K190" s="42">
        <f ca="1"/>
        <v>20</v>
      </c>
      <c r="L190" s="42" t="str">
        <f ca="1"/>
        <v>WT</v>
      </c>
      <c r="M190" s="42" t="str">
        <f ca="1"/>
        <v>Full Case</v>
      </c>
      <c r="N190" s="42" t="str">
        <f ca="1"/>
        <v>Open</v>
      </c>
      <c r="O190" s="42" t="str">
        <f ca="1"/>
        <v>WIP</v>
      </c>
      <c r="P190">
        <f ca="1"/>
        <v>0</v>
      </c>
      <c r="Q190" t="str">
        <f ca="1"/>
        <v>Govind Gangadhar Bhosale   9049828230</v>
      </c>
      <c r="R190" t="str">
        <f ca="1"/>
        <v>R/o.Amba Chondi, Tq.Basmat. Dist. Hingoli.</v>
      </c>
      <c r="S190" t="str">
        <f ca="1"/>
        <v>Hingoli</v>
      </c>
      <c r="T190" s="314" t="str">
        <f ca="1"/>
        <v>WIP</v>
      </c>
      <c r="U190" t="str">
        <f ca="1"/>
        <v xml:space="preserve">NA </v>
      </c>
      <c r="V190" t="str">
        <f ca="1"/>
        <v>NA</v>
      </c>
      <c r="W190" t="str">
        <f ca="1"/>
        <v xml:space="preserve">NA </v>
      </c>
      <c r="X190" s="42" t="str">
        <f ca="1"/>
        <v>NA</v>
      </c>
      <c r="Y190" t="str">
        <f ca="1"/>
        <v>Chandrakant Satwaji Kamble</v>
      </c>
      <c r="Z190" t="str">
        <f ca="1"/>
        <v>R/o.Chondi Amba Tq. Basmat. Dist. Hingoli</v>
      </c>
      <c r="AA190" t="str">
        <f ca="1"/>
        <v>Hingoli</v>
      </c>
      <c r="AB190" t="str">
        <f ca="1"/>
        <v>NA</v>
      </c>
      <c r="AC190" s="42" t="str">
        <f ca="1"/>
        <v>WIP</v>
      </c>
      <c r="AD190" t="str">
        <f ca="1"/>
        <v xml:space="preserve">NA </v>
      </c>
      <c r="AE190" t="str">
        <f ca="1"/>
        <v xml:space="preserve">NA </v>
      </c>
      <c r="AF190" t="str">
        <f ca="1"/>
        <v>NA</v>
      </c>
      <c r="AG190" s="42" t="str">
        <f ca="1"/>
        <v>NA</v>
      </c>
      <c r="AH190" t="str">
        <f ca="1"/>
        <v>NA</v>
      </c>
      <c r="AI190" s="42" t="str">
        <f ca="1"/>
        <v>NA</v>
      </c>
      <c r="AJ190" t="str">
        <f ca="1"/>
        <v>NA</v>
      </c>
      <c r="AK190" s="42" t="str">
        <f ca="1"/>
        <v>NA</v>
      </c>
      <c r="AL190" t="str">
        <f ca="1"/>
        <v>NA</v>
      </c>
      <c r="AM190" s="42" t="str">
        <f ca="1"/>
        <v>NA</v>
      </c>
      <c r="AN190" t="str">
        <f ca="1"/>
        <v>NA</v>
      </c>
      <c r="AO190" s="42" t="str">
        <f ca="1"/>
        <v>NA</v>
      </c>
      <c r="AP190" t="str">
        <f ca="1"/>
        <v xml:space="preserve">NA </v>
      </c>
      <c r="AQ190" t="str">
        <f ca="1"/>
        <v>In vicinity of Amba Village near Amba Fata on Aundha to Basmat Road.</v>
      </c>
      <c r="AR190" t="str">
        <f ca="1"/>
        <v>NA</v>
      </c>
      <c r="AS190" s="42" t="str">
        <f ca="1"/>
        <v>WIP</v>
      </c>
      <c r="AT190" t="str">
        <f ca="1"/>
        <v>0325/2025</v>
      </c>
      <c r="AU190" s="363" t="str">
        <f ca="1"/>
        <v>Kurunda Police station</v>
      </c>
      <c r="AV190" t="str">
        <f ca="1"/>
        <v>Hingoli</v>
      </c>
      <c r="AW190" t="str">
        <f ca="1"/>
        <v>NA</v>
      </c>
      <c r="AX190" s="42" t="str">
        <f ca="1"/>
        <v>WIP</v>
      </c>
      <c r="AY190" t="str">
        <f ca="1"/>
        <v xml:space="preserve">NA </v>
      </c>
      <c r="AZ190" t="str">
        <f ca="1"/>
        <v xml:space="preserve">NA </v>
      </c>
      <c r="BA190" t="str">
        <f ca="1"/>
        <v>NA</v>
      </c>
      <c r="BB190" s="42" t="str">
        <f ca="1"/>
        <v>NA</v>
      </c>
      <c r="BC190" t="str">
        <f ca="1"/>
        <v xml:space="preserve">NA </v>
      </c>
      <c r="BD190" t="str">
        <f ca="1"/>
        <v>Pending</v>
      </c>
      <c r="BE190">
        <f ca="1"/>
        <v>0</v>
      </c>
    </row>
    <row r="191" spans="1:57">
      <c r="A191" s="42">
        <f ca="1"/>
        <v>190</v>
      </c>
      <c r="B191" s="42" t="str">
        <f ca="1"/>
        <v>2025213495</v>
      </c>
      <c r="C191" s="42" t="str">
        <f ca="1"/>
        <v>Indusind General Insurance Co Ltd</v>
      </c>
      <c r="D191" s="42" t="str">
        <f ca="1"/>
        <v>MACT</v>
      </c>
      <c r="E191" s="42" t="str">
        <f ca="1"/>
        <v>R001-1190-SS-2025</v>
      </c>
      <c r="F191" s="310">
        <f ca="1"/>
        <v>46008</v>
      </c>
      <c r="G191" s="42" t="str">
        <f ca="1"/>
        <v>Dec-25</v>
      </c>
      <c r="H191" s="312" t="str">
        <f ca="1"/>
        <v>-</v>
      </c>
      <c r="I191" s="42">
        <f ca="1"/>
        <v>0</v>
      </c>
      <c r="J191" s="310">
        <f ca="1"/>
        <v>46050</v>
      </c>
      <c r="K191" s="42">
        <f ca="1"/>
        <v>19</v>
      </c>
      <c r="L191" s="42" t="str">
        <f ca="1"/>
        <v>WT</v>
      </c>
      <c r="M191" s="42" t="str">
        <f ca="1"/>
        <v>Full Case</v>
      </c>
      <c r="N191" s="42" t="str">
        <f ca="1"/>
        <v>Open</v>
      </c>
      <c r="O191" s="42" t="str">
        <f ca="1"/>
        <v>WIP</v>
      </c>
      <c r="P191">
        <f ca="1"/>
        <v>0</v>
      </c>
      <c r="Q191" t="str">
        <f ca="1"/>
        <v>SHALU SAROJ  VIKASH PRASAD</v>
      </c>
      <c r="R191" t="str">
        <f ca="1"/>
        <v>R/o Village Mariyani,
Post: Gangehra, Tehsil. Gulab Ganj,Dist Raebareli,
Utter Pradesh - 813101</v>
      </c>
      <c r="S191" t="str">
        <f ca="1"/>
        <v>Utter Pradesh</v>
      </c>
      <c r="T191" s="314" t="str">
        <f ca="1"/>
        <v>NI</v>
      </c>
      <c r="U191" t="str">
        <f ca="1"/>
        <v xml:space="preserve">NA </v>
      </c>
      <c r="V191" t="str">
        <f ca="1"/>
        <v>NA</v>
      </c>
      <c r="W191" t="str">
        <f ca="1"/>
        <v xml:space="preserve">NA </v>
      </c>
      <c r="X191" s="42" t="str">
        <f ca="1"/>
        <v>NA</v>
      </c>
      <c r="Y191" t="str">
        <f ca="1"/>
        <v>SANJAY DHULA HIRAVE</v>
      </c>
      <c r="Z191" t="str">
        <f ca="1"/>
        <v>R/o LIG A3F, 23 Sector No.3
Kalamboli,Navi Mumbai -410218.</v>
      </c>
      <c r="AA191" t="str">
        <f ca="1"/>
        <v>Mumbai</v>
      </c>
      <c r="AB191" t="str">
        <f ca="1"/>
        <v>NA</v>
      </c>
      <c r="AC191" s="42" t="str">
        <f ca="1"/>
        <v>Completed</v>
      </c>
      <c r="AD191" t="str">
        <f ca="1"/>
        <v>RAJU  DASAHRATH RAJGE</v>
      </c>
      <c r="AE191" t="str">
        <f ca="1"/>
        <v>R/o Village Arphal, Post Vaduth, Tal &amp; Dist Satara 415011</v>
      </c>
      <c r="AF191" t="str">
        <f ca="1"/>
        <v>Satara</v>
      </c>
      <c r="AG191" s="42" t="str">
        <f ca="1"/>
        <v>Completed</v>
      </c>
      <c r="AH191" t="str">
        <f ca="1"/>
        <v>NA</v>
      </c>
      <c r="AI191" s="42" t="str">
        <f ca="1"/>
        <v>NA</v>
      </c>
      <c r="AJ191" t="str">
        <f ca="1"/>
        <v>NA</v>
      </c>
      <c r="AK191" s="42" t="str">
        <f ca="1"/>
        <v>NA</v>
      </c>
      <c r="AL191" t="str">
        <f ca="1"/>
        <v>NA</v>
      </c>
      <c r="AM191" s="42" t="str">
        <f ca="1"/>
        <v>NA</v>
      </c>
      <c r="AN191" t="str">
        <f ca="1"/>
        <v>NA</v>
      </c>
      <c r="AO191" s="42" t="str">
        <f ca="1"/>
        <v>NA</v>
      </c>
      <c r="AP191" t="str">
        <f ca="1"/>
        <v xml:space="preserve">NA </v>
      </c>
      <c r="AQ191" t="str">
        <f ca="1"/>
        <v>In front of India Glass Solution pvt Ltd, Pune.</v>
      </c>
      <c r="AR191" t="str">
        <f ca="1"/>
        <v>Pune</v>
      </c>
      <c r="AS191" s="42" t="str">
        <f ca="1"/>
        <v>NI</v>
      </c>
      <c r="AT191" t="str">
        <f ca="1"/>
        <v>1104/2024</v>
      </c>
      <c r="AU191" t="str">
        <f ca="1"/>
        <v>Kondwa Police Station</v>
      </c>
      <c r="AV191" t="str">
        <f ca="1"/>
        <v>Pune</v>
      </c>
      <c r="AW191" t="str">
        <f ca="1"/>
        <v>NA</v>
      </c>
      <c r="AX191" s="42" t="str">
        <f ca="1"/>
        <v>NI</v>
      </c>
      <c r="AY191" t="str">
        <f ca="1"/>
        <v xml:space="preserve">NA </v>
      </c>
      <c r="AZ191" t="str">
        <f ca="1"/>
        <v xml:space="preserve">NA </v>
      </c>
      <c r="BA191" t="str">
        <f ca="1"/>
        <v>NA</v>
      </c>
      <c r="BB191" s="42" t="str">
        <f ca="1"/>
        <v>NA</v>
      </c>
      <c r="BC191" t="str">
        <f ca="1"/>
        <v xml:space="preserve">NA </v>
      </c>
      <c r="BD191" t="str">
        <f ca="1"/>
        <v>Pending</v>
      </c>
      <c r="BE191">
        <f ca="1"/>
        <v>0</v>
      </c>
    </row>
    <row r="192" spans="1:57">
      <c r="A192" s="42">
        <f ca="1"/>
        <v>191</v>
      </c>
      <c r="B192" s="42" t="str">
        <f ca="1"/>
        <v>2025213494</v>
      </c>
      <c r="C192" s="42" t="str">
        <f ca="1"/>
        <v>Indusind General Insurance Co Ltd</v>
      </c>
      <c r="D192" s="42" t="str">
        <f ca="1"/>
        <v>MACT</v>
      </c>
      <c r="E192" s="42" t="str">
        <f ca="1"/>
        <v>R001-1191-SS-2025</v>
      </c>
      <c r="F192" s="310">
        <f ca="1"/>
        <v>46008</v>
      </c>
      <c r="G192" s="42" t="str">
        <f ca="1"/>
        <v>Dec-25</v>
      </c>
      <c r="H192" s="312" t="str">
        <f ca="1"/>
        <v>-</v>
      </c>
      <c r="I192" s="42">
        <f ca="1"/>
        <v>0</v>
      </c>
      <c r="J192" s="310" t="str">
        <f ca="1"/>
        <v/>
      </c>
      <c r="K192" s="42">
        <f ca="1"/>
        <v>19</v>
      </c>
      <c r="L192" s="42" t="str">
        <f ca="1"/>
        <v>WT</v>
      </c>
      <c r="M192" s="42" t="str">
        <f ca="1"/>
        <v>Connected Case</v>
      </c>
      <c r="N192" s="42" t="str">
        <f ca="1"/>
        <v>Open</v>
      </c>
      <c r="O192" s="42" t="str">
        <f ca="1"/>
        <v>NI</v>
      </c>
      <c r="P192" t="str">
        <f ca="1"/>
        <v>For Claimant Part Only. (Connected Case - 2025213495)</v>
      </c>
      <c r="Q192" t="str">
        <f ca="1"/>
        <v>Asha Devi Pawankumar</v>
      </c>
      <c r="R192" t="str">
        <f ca="1"/>
        <v>R/o Village Paksrava,dist Raebarli,Uttar pradeshi-229127</v>
      </c>
      <c r="S192" t="str">
        <f ca="1"/>
        <v>Utter Pradesh</v>
      </c>
      <c r="T192" s="314" t="str">
        <f ca="1"/>
        <v>NI</v>
      </c>
      <c r="U192" t="str">
        <f ca="1"/>
        <v xml:space="preserve">NA </v>
      </c>
      <c r="V192" t="str">
        <f ca="1"/>
        <v>NA</v>
      </c>
      <c r="W192" t="str">
        <f ca="1"/>
        <v xml:space="preserve">NA </v>
      </c>
      <c r="X192" s="42" t="str">
        <f ca="1"/>
        <v>NA</v>
      </c>
      <c r="Y192" t="str">
        <f ca="1"/>
        <v xml:space="preserve">NA </v>
      </c>
      <c r="Z192" t="str">
        <f ca="1"/>
        <v xml:space="preserve">NA </v>
      </c>
      <c r="AA192" t="str">
        <f ca="1"/>
        <v xml:space="preserve">NA </v>
      </c>
      <c r="AB192" t="str">
        <f ca="1"/>
        <v xml:space="preserve">NA </v>
      </c>
      <c r="AC192" s="42" t="str">
        <f ca="1"/>
        <v xml:space="preserve">NA </v>
      </c>
      <c r="AD192" t="str">
        <f ca="1"/>
        <v xml:space="preserve">NA </v>
      </c>
      <c r="AE192" t="str">
        <f ca="1"/>
        <v xml:space="preserve">NA </v>
      </c>
      <c r="AF192" t="str">
        <f ca="1"/>
        <v xml:space="preserve">NA </v>
      </c>
      <c r="AG192" s="42" t="str">
        <f ca="1"/>
        <v xml:space="preserve">NA </v>
      </c>
      <c r="AH192" t="str">
        <f ca="1"/>
        <v>NA</v>
      </c>
      <c r="AI192" s="42" t="str">
        <f ca="1"/>
        <v>NA</v>
      </c>
      <c r="AJ192" t="str">
        <f ca="1"/>
        <v>NA</v>
      </c>
      <c r="AK192" s="42" t="str">
        <f ca="1"/>
        <v>NA</v>
      </c>
      <c r="AL192" t="str">
        <f ca="1"/>
        <v>NA</v>
      </c>
      <c r="AM192" s="42" t="str">
        <f ca="1"/>
        <v>NA</v>
      </c>
      <c r="AN192" t="str">
        <f ca="1"/>
        <v>NA</v>
      </c>
      <c r="AO192" s="42" t="str">
        <f ca="1"/>
        <v>NA</v>
      </c>
      <c r="AP192" t="str">
        <f ca="1"/>
        <v>NA</v>
      </c>
      <c r="AQ192" t="str">
        <f ca="1"/>
        <v>NA</v>
      </c>
      <c r="AR192" t="str">
        <f ca="1"/>
        <v>NA</v>
      </c>
      <c r="AS192" s="42" t="str">
        <f ca="1"/>
        <v>NA</v>
      </c>
      <c r="AT192" t="str">
        <f ca="1"/>
        <v>NA</v>
      </c>
      <c r="AU192" t="str">
        <f ca="1"/>
        <v>NA</v>
      </c>
      <c r="AV192" t="str">
        <f ca="1"/>
        <v>NA</v>
      </c>
      <c r="AW192" t="str">
        <f ca="1"/>
        <v>NA</v>
      </c>
      <c r="AX192" s="42" t="str">
        <f ca="1"/>
        <v>NA</v>
      </c>
      <c r="AY192" t="str">
        <f ca="1"/>
        <v xml:space="preserve">NA </v>
      </c>
      <c r="AZ192" t="str">
        <f ca="1"/>
        <v xml:space="preserve">NA </v>
      </c>
      <c r="BA192" t="str">
        <f ca="1"/>
        <v>NA</v>
      </c>
      <c r="BB192" s="42" t="str">
        <f ca="1"/>
        <v>NA</v>
      </c>
      <c r="BC192" t="str">
        <f ca="1"/>
        <v xml:space="preserve">NA </v>
      </c>
      <c r="BD192" t="str">
        <f ca="1"/>
        <v>Pending</v>
      </c>
      <c r="BE192">
        <f ca="1"/>
        <v>0</v>
      </c>
    </row>
    <row r="193" spans="1:57">
      <c r="A193" s="42">
        <f ca="1"/>
        <v>192</v>
      </c>
      <c r="B193" s="42" t="str">
        <f ca="1"/>
        <v>2025213493</v>
      </c>
      <c r="C193" s="42" t="str">
        <f ca="1"/>
        <v>Indusind General Insurance Co Ltd</v>
      </c>
      <c r="D193" s="42" t="str">
        <f ca="1"/>
        <v>MACT</v>
      </c>
      <c r="E193" s="42" t="str">
        <f ca="1"/>
        <v>R001-1192-SS-2025</v>
      </c>
      <c r="F193" s="310">
        <f ca="1"/>
        <v>46008</v>
      </c>
      <c r="G193" s="42" t="str">
        <f ca="1"/>
        <v>Dec-25</v>
      </c>
      <c r="H193" s="312" t="str">
        <f ca="1"/>
        <v>-</v>
      </c>
      <c r="I193" s="42">
        <f ca="1"/>
        <v>0</v>
      </c>
      <c r="J193" s="310" t="str">
        <f ca="1"/>
        <v/>
      </c>
      <c r="K193" s="42">
        <f ca="1"/>
        <v>19</v>
      </c>
      <c r="L193" s="42" t="str">
        <f ca="1"/>
        <v>WT</v>
      </c>
      <c r="M193" s="42" t="str">
        <f ca="1"/>
        <v>Connected Case</v>
      </c>
      <c r="N193" s="42" t="str">
        <f ca="1"/>
        <v>Open</v>
      </c>
      <c r="O193" s="42" t="str">
        <f ca="1"/>
        <v>NI</v>
      </c>
      <c r="P193" t="str">
        <f ca="1"/>
        <v>For Claimant Part Only. (Connected Case - 2025213495)</v>
      </c>
      <c r="Q193" t="str">
        <f ca="1"/>
        <v>Premadevi Dharmendra Kumar</v>
      </c>
      <c r="R193" t="str">
        <f ca="1"/>
        <v>R/o Village Paksrava,dist Amethi Uttar Pradeshi-229127</v>
      </c>
      <c r="S193" t="str">
        <f ca="1"/>
        <v>Utter Pradesh</v>
      </c>
      <c r="T193" s="314" t="str">
        <f ca="1"/>
        <v>NI</v>
      </c>
      <c r="U193" t="str">
        <f ca="1"/>
        <v xml:space="preserve">NA </v>
      </c>
      <c r="V193" t="str">
        <f ca="1"/>
        <v>NA</v>
      </c>
      <c r="W193" t="str">
        <f ca="1"/>
        <v xml:space="preserve">NA </v>
      </c>
      <c r="X193" s="42" t="str">
        <f ca="1"/>
        <v>NA</v>
      </c>
      <c r="Y193" t="str">
        <f ca="1"/>
        <v xml:space="preserve">NA </v>
      </c>
      <c r="Z193" t="str">
        <f ca="1"/>
        <v xml:space="preserve">NA </v>
      </c>
      <c r="AA193" t="str">
        <f ca="1"/>
        <v xml:space="preserve">NA </v>
      </c>
      <c r="AB193" t="str">
        <f ca="1"/>
        <v xml:space="preserve">NA </v>
      </c>
      <c r="AC193" s="42" t="str">
        <f ca="1"/>
        <v xml:space="preserve">NA </v>
      </c>
      <c r="AD193" t="str">
        <f ca="1"/>
        <v xml:space="preserve">NA </v>
      </c>
      <c r="AE193" t="str">
        <f ca="1"/>
        <v xml:space="preserve">NA </v>
      </c>
      <c r="AF193" t="str">
        <f ca="1"/>
        <v xml:space="preserve">NA </v>
      </c>
      <c r="AG193" s="42" t="str">
        <f ca="1"/>
        <v xml:space="preserve">NA </v>
      </c>
      <c r="AH193" t="str">
        <f ca="1"/>
        <v>NA</v>
      </c>
      <c r="AI193" s="42" t="str">
        <f ca="1"/>
        <v>NA</v>
      </c>
      <c r="AJ193" t="str">
        <f ca="1"/>
        <v>NA</v>
      </c>
      <c r="AK193" s="42" t="str">
        <f ca="1"/>
        <v>NA</v>
      </c>
      <c r="AL193" t="str">
        <f ca="1"/>
        <v>NA</v>
      </c>
      <c r="AM193" s="42" t="str">
        <f ca="1"/>
        <v>NA</v>
      </c>
      <c r="AN193" t="str">
        <f ca="1"/>
        <v>NA</v>
      </c>
      <c r="AO193" s="42" t="str">
        <f ca="1"/>
        <v>NA</v>
      </c>
      <c r="AP193" t="str">
        <f ca="1"/>
        <v>NA</v>
      </c>
      <c r="AQ193" t="str">
        <f ca="1"/>
        <v>NA</v>
      </c>
      <c r="AR193" t="str">
        <f ca="1"/>
        <v>NA</v>
      </c>
      <c r="AS193" s="42" t="str">
        <f ca="1"/>
        <v>NA</v>
      </c>
      <c r="AT193" t="str">
        <f ca="1"/>
        <v>NA</v>
      </c>
      <c r="AU193" t="str">
        <f ca="1"/>
        <v>NA</v>
      </c>
      <c r="AV193" t="str">
        <f ca="1"/>
        <v>NA</v>
      </c>
      <c r="AW193" t="str">
        <f ca="1"/>
        <v>NA</v>
      </c>
      <c r="AX193" s="42" t="str">
        <f ca="1"/>
        <v>NA</v>
      </c>
      <c r="AY193" t="str">
        <f ca="1"/>
        <v xml:space="preserve">NA </v>
      </c>
      <c r="AZ193" t="str">
        <f ca="1"/>
        <v xml:space="preserve">NA </v>
      </c>
      <c r="BA193" t="str">
        <f ca="1"/>
        <v>NA</v>
      </c>
      <c r="BB193" s="42" t="str">
        <f ca="1"/>
        <v>NA</v>
      </c>
      <c r="BC193" t="str">
        <f ca="1"/>
        <v xml:space="preserve">NA </v>
      </c>
      <c r="BD193" t="str">
        <f ca="1"/>
        <v>Pending</v>
      </c>
      <c r="BE193">
        <f ca="1"/>
        <v>0</v>
      </c>
    </row>
    <row r="194" spans="1:57">
      <c r="A194" s="42">
        <f ca="1"/>
        <v>193</v>
      </c>
      <c r="B194" s="42" t="str">
        <f ca="1"/>
        <v>2025213492</v>
      </c>
      <c r="C194" s="42" t="str">
        <f ca="1"/>
        <v>Indusind General Insurance Co Ltd</v>
      </c>
      <c r="D194" s="42" t="str">
        <f ca="1"/>
        <v>MACT</v>
      </c>
      <c r="E194" s="42" t="str">
        <f ca="1"/>
        <v>R001-1193-SS-2025</v>
      </c>
      <c r="F194" s="310">
        <f ca="1"/>
        <v>46008</v>
      </c>
      <c r="G194" s="42" t="str">
        <f ca="1"/>
        <v>Dec-25</v>
      </c>
      <c r="H194" s="312" t="str">
        <f ca="1"/>
        <v>-</v>
      </c>
      <c r="I194" s="42">
        <f ca="1"/>
        <v>0</v>
      </c>
      <c r="J194" s="310" t="str">
        <f ca="1"/>
        <v/>
      </c>
      <c r="K194" s="42">
        <f ca="1"/>
        <v>19</v>
      </c>
      <c r="L194" s="42" t="str">
        <f ca="1"/>
        <v>WT</v>
      </c>
      <c r="M194" s="42" t="str">
        <f ca="1"/>
        <v>Connected Case</v>
      </c>
      <c r="N194" s="42" t="str">
        <f ca="1"/>
        <v>Open</v>
      </c>
      <c r="O194" s="42" t="str">
        <f ca="1"/>
        <v>WIP</v>
      </c>
      <c r="P194" t="str">
        <f ca="1"/>
        <v>For Claimant Part Only. (Connected Case - 2025213495)</v>
      </c>
      <c r="Q194" t="str">
        <f ca="1"/>
        <v>Arti Amit Kumar</v>
      </c>
      <c r="R194" t="str">
        <f ca="1"/>
        <v>R/o Village Prahladpur post; Mustafabad,dist Raebareli Uttar Pradesh-229404</v>
      </c>
      <c r="S194" t="str">
        <f ca="1"/>
        <v>Utter Pradesh</v>
      </c>
      <c r="T194" s="314" t="str">
        <f ca="1"/>
        <v>WIP</v>
      </c>
      <c r="U194" t="str">
        <f ca="1"/>
        <v xml:space="preserve">NA </v>
      </c>
      <c r="V194" t="str">
        <f ca="1"/>
        <v>NA</v>
      </c>
      <c r="W194" t="str">
        <f ca="1"/>
        <v xml:space="preserve">NA </v>
      </c>
      <c r="X194" s="42" t="str">
        <f ca="1"/>
        <v>NA</v>
      </c>
      <c r="Y194" t="str">
        <f ca="1"/>
        <v xml:space="preserve">NA </v>
      </c>
      <c r="Z194" t="str">
        <f ca="1"/>
        <v xml:space="preserve">NA </v>
      </c>
      <c r="AA194" t="str">
        <f ca="1"/>
        <v xml:space="preserve">NA </v>
      </c>
      <c r="AB194" t="str">
        <f ca="1"/>
        <v xml:space="preserve">NA </v>
      </c>
      <c r="AC194" s="42" t="str">
        <f ca="1"/>
        <v>WIP</v>
      </c>
      <c r="AD194" t="str">
        <f ca="1"/>
        <v xml:space="preserve">NA </v>
      </c>
      <c r="AE194" t="str">
        <f ca="1"/>
        <v xml:space="preserve">NA </v>
      </c>
      <c r="AF194" t="str">
        <f ca="1"/>
        <v xml:space="preserve">NA </v>
      </c>
      <c r="AG194" s="42" t="str">
        <f ca="1"/>
        <v>NA</v>
      </c>
      <c r="AH194" t="str">
        <f ca="1"/>
        <v>NA</v>
      </c>
      <c r="AI194" s="42" t="str">
        <f ca="1"/>
        <v>NA</v>
      </c>
      <c r="AJ194" t="str">
        <f ca="1"/>
        <v>NA</v>
      </c>
      <c r="AK194" s="42" t="str">
        <f ca="1"/>
        <v>NA</v>
      </c>
      <c r="AL194" t="str">
        <f ca="1"/>
        <v>NA</v>
      </c>
      <c r="AM194" s="42" t="str">
        <f ca="1"/>
        <v>NA</v>
      </c>
      <c r="AN194" t="str">
        <f ca="1"/>
        <v>NA</v>
      </c>
      <c r="AO194" s="42" t="str">
        <f ca="1"/>
        <v>NA</v>
      </c>
      <c r="AP194" t="str">
        <f ca="1"/>
        <v>NA</v>
      </c>
      <c r="AQ194" t="str">
        <f ca="1"/>
        <v>NA</v>
      </c>
      <c r="AR194" t="str">
        <f ca="1"/>
        <v>NA</v>
      </c>
      <c r="AS194" s="42" t="str">
        <f ca="1"/>
        <v>WIP</v>
      </c>
      <c r="AT194" t="str">
        <f ca="1"/>
        <v>NA</v>
      </c>
      <c r="AU194" t="str">
        <f ca="1"/>
        <v>NA</v>
      </c>
      <c r="AV194" t="str">
        <f ca="1"/>
        <v>NA</v>
      </c>
      <c r="AW194" t="str">
        <f ca="1"/>
        <v>NA</v>
      </c>
      <c r="AX194" s="42" t="str">
        <f ca="1"/>
        <v>NI</v>
      </c>
      <c r="AY194" t="str">
        <f ca="1"/>
        <v xml:space="preserve">NA </v>
      </c>
      <c r="AZ194" t="str">
        <f ca="1"/>
        <v xml:space="preserve">NA </v>
      </c>
      <c r="BA194" t="str">
        <f ca="1"/>
        <v>NA</v>
      </c>
      <c r="BB194" s="42" t="str">
        <f ca="1"/>
        <v>NA</v>
      </c>
      <c r="BC194" t="str">
        <f ca="1"/>
        <v xml:space="preserve">NA </v>
      </c>
      <c r="BD194" t="str">
        <f ca="1"/>
        <v>Pending</v>
      </c>
      <c r="BE194">
        <f ca="1"/>
        <v>0</v>
      </c>
    </row>
    <row r="195" spans="1:57">
      <c r="A195" s="42">
        <f ca="1"/>
        <v>194</v>
      </c>
      <c r="B195" s="42" t="str">
        <f ca="1"/>
        <v>2024208871</v>
      </c>
      <c r="C195" s="42" t="str">
        <f ca="1"/>
        <v>Indusind General Insurance Co Ltd</v>
      </c>
      <c r="D195" s="42" t="str">
        <f ca="1"/>
        <v>MACT</v>
      </c>
      <c r="E195" s="42" t="str">
        <f ca="1"/>
        <v>R001-1194-SS-2025</v>
      </c>
      <c r="F195" s="310">
        <f ca="1"/>
        <v>45517</v>
      </c>
      <c r="G195" s="42" t="str">
        <f ca="1"/>
        <v>Aug-24</v>
      </c>
      <c r="H195" s="312">
        <f ca="1"/>
        <v>45643</v>
      </c>
      <c r="I195" s="42" t="str">
        <f ca="1"/>
        <v>Dec-24</v>
      </c>
      <c r="J195" s="310">
        <f ca="1"/>
        <v>45559</v>
      </c>
      <c r="K195" s="42">
        <f ca="1"/>
        <v>126</v>
      </c>
      <c r="L195" s="42" t="str">
        <f ca="1"/>
        <v>AT</v>
      </c>
      <c r="M195" s="42" t="str">
        <f ca="1"/>
        <v>Full Case</v>
      </c>
      <c r="N195" s="42" t="str">
        <f ca="1"/>
        <v>Dispatch</v>
      </c>
      <c r="O195" s="42" t="str">
        <f ca="1"/>
        <v>Pending CS</v>
      </c>
      <c r="P195">
        <f ca="1"/>
        <v>0</v>
      </c>
      <c r="Q195" t="str">
        <f ca="1"/>
        <v>CHANDRASHEKHAR ARJUN SURVASE</v>
      </c>
      <c r="R195" t="str">
        <f ca="1"/>
        <v>South Kasba, South Solapur. Curent Resident - Adarsh Nagar, Vijapur.</v>
      </c>
      <c r="S195" t="str">
        <f ca="1"/>
        <v>Solapur</v>
      </c>
      <c r="T195" s="314" t="str">
        <f ca="1"/>
        <v>Completed</v>
      </c>
      <c r="U195" t="str">
        <f ca="1"/>
        <v xml:space="preserve">NA </v>
      </c>
      <c r="V195" t="str">
        <f ca="1"/>
        <v>NA</v>
      </c>
      <c r="W195" t="str">
        <f ca="1"/>
        <v xml:space="preserve">NA </v>
      </c>
      <c r="X195" s="42" t="str">
        <f ca="1"/>
        <v>NA</v>
      </c>
      <c r="Y195" t="str">
        <f ca="1"/>
        <v>Shiv Om Travels</v>
      </c>
      <c r="Z195" t="str">
        <f ca="1"/>
        <v>At Po. Pimpari, Dis. Solapur, Maharastra</v>
      </c>
      <c r="AA195" t="str">
        <f ca="1"/>
        <v>Solapur</v>
      </c>
      <c r="AB195" t="str">
        <f ca="1"/>
        <v>NA</v>
      </c>
      <c r="AC195" s="42" t="str">
        <f ca="1"/>
        <v>Completed</v>
      </c>
      <c r="AD195" t="str">
        <f ca="1"/>
        <v xml:space="preserve">NA </v>
      </c>
      <c r="AE195" t="str">
        <f ca="1"/>
        <v xml:space="preserve">NA </v>
      </c>
      <c r="AF195" t="str">
        <f ca="1"/>
        <v xml:space="preserve">NA </v>
      </c>
      <c r="AG195" s="42" t="str">
        <f ca="1"/>
        <v xml:space="preserve">NA </v>
      </c>
      <c r="AH195" t="str">
        <f ca="1"/>
        <v>NA</v>
      </c>
      <c r="AI195" s="42" t="str">
        <f ca="1"/>
        <v>NA</v>
      </c>
      <c r="AJ195" t="str">
        <f ca="1"/>
        <v>NA</v>
      </c>
      <c r="AK195" s="42" t="str">
        <f ca="1"/>
        <v>NA</v>
      </c>
      <c r="AL195" t="str">
        <f ca="1"/>
        <v>NA</v>
      </c>
      <c r="AM195" s="42" t="str">
        <f ca="1"/>
        <v>NA</v>
      </c>
      <c r="AN195" t="str">
        <f ca="1"/>
        <v>NA</v>
      </c>
      <c r="AO195" s="42" t="str">
        <f ca="1"/>
        <v>NA</v>
      </c>
      <c r="AP195" t="str">
        <f ca="1"/>
        <v>NA</v>
      </c>
      <c r="AQ195" t="str">
        <f ca="1"/>
        <v>Coming from Shindhe to Lacky Chowk, Passing Navi Peth, Near Chandani Saree center, Solapur</v>
      </c>
      <c r="AR195" t="str">
        <f ca="1"/>
        <v>Solapur</v>
      </c>
      <c r="AS195" s="42" t="str">
        <f ca="1"/>
        <v>Completed</v>
      </c>
      <c r="AT195" t="str">
        <f ca="1"/>
        <v>0039/2024</v>
      </c>
      <c r="AU195" t="str">
        <f ca="1"/>
        <v>Faujdar Chavdi Po. St.</v>
      </c>
      <c r="AV195" t="str">
        <f ca="1"/>
        <v>Solapur</v>
      </c>
      <c r="AW195" t="str">
        <f ca="1"/>
        <v>NA</v>
      </c>
      <c r="AX195" s="42" t="str">
        <f ca="1"/>
        <v>WIP</v>
      </c>
      <c r="AY195" t="str">
        <f ca="1"/>
        <v xml:space="preserve">NA </v>
      </c>
      <c r="AZ195" t="str">
        <f ca="1"/>
        <v xml:space="preserve">NA </v>
      </c>
      <c r="BA195" t="str">
        <f ca="1"/>
        <v>NA</v>
      </c>
      <c r="BB195" s="42" t="str">
        <f ca="1"/>
        <v>NA</v>
      </c>
      <c r="BC195" t="str">
        <f ca="1"/>
        <v xml:space="preserve">NA </v>
      </c>
      <c r="BD195" t="str">
        <f ca="1"/>
        <v>Pending</v>
      </c>
      <c r="BE195">
        <f ca="1"/>
        <v>0</v>
      </c>
    </row>
    <row r="196" spans="1:57">
      <c r="A196" s="42">
        <f ca="1"/>
        <v>195</v>
      </c>
      <c r="B196" s="42" t="str">
        <f ca="1"/>
        <v>2024210062</v>
      </c>
      <c r="C196" s="42" t="str">
        <f ca="1"/>
        <v>Indusind General Insurance Co Ltd</v>
      </c>
      <c r="D196" s="42" t="str">
        <f ca="1"/>
        <v>MACT</v>
      </c>
      <c r="E196" s="42" t="str">
        <f ca="1"/>
        <v>R001-1195-SS-2025</v>
      </c>
      <c r="F196" s="310">
        <f ca="1"/>
        <v>45581</v>
      </c>
      <c r="G196" s="42" t="str">
        <f ca="1"/>
        <v>Oct-24</v>
      </c>
      <c r="H196" s="312">
        <f ca="1"/>
        <v>45639</v>
      </c>
      <c r="I196" s="42" t="str">
        <f ca="1"/>
        <v>Dec-24</v>
      </c>
      <c r="J196" s="310">
        <f ca="1"/>
        <v>45623</v>
      </c>
      <c r="K196" s="42">
        <f ca="1"/>
        <v>58</v>
      </c>
      <c r="L196" s="42" t="str">
        <f ca="1"/>
        <v>AT</v>
      </c>
      <c r="M196" s="42" t="str">
        <f ca="1"/>
        <v>Full Case</v>
      </c>
      <c r="N196" s="42" t="str">
        <f ca="1"/>
        <v>Dispatch</v>
      </c>
      <c r="O196" s="42" t="str">
        <f ca="1"/>
        <v>Pending CS</v>
      </c>
      <c r="P196">
        <f ca="1"/>
        <v>0</v>
      </c>
      <c r="Q196" t="str">
        <f ca="1"/>
        <v>SHRI SARJERAV GULAB DEVKATE</v>
      </c>
      <c r="R196" t="str">
        <f ca="1"/>
        <v xml:space="preserve">R/O. Madanwadi, Tq - Indore. Pune. OR Tal - Hindalga, Dis - Belgavi. </v>
      </c>
      <c r="S196" t="str">
        <f ca="1"/>
        <v>Belgavi</v>
      </c>
      <c r="T196" s="314" t="str">
        <f ca="1"/>
        <v>Completed</v>
      </c>
      <c r="U196" t="str">
        <f ca="1"/>
        <v xml:space="preserve">NA </v>
      </c>
      <c r="V196" t="str">
        <f ca="1"/>
        <v>NA</v>
      </c>
      <c r="W196" t="str">
        <f ca="1"/>
        <v xml:space="preserve">NA </v>
      </c>
      <c r="X196" s="42" t="str">
        <f ca="1"/>
        <v>NA</v>
      </c>
      <c r="Y196" t="str">
        <f ca="1"/>
        <v>PRATIK VINAYAK MANE</v>
      </c>
      <c r="Z196" t="str">
        <f ca="1"/>
        <v>R/O, Mane Niwas, Rajegaon, Tq - Daund, Pune - 413105</v>
      </c>
      <c r="AA196" t="str">
        <f ca="1"/>
        <v>Pune</v>
      </c>
      <c r="AB196" t="str">
        <f ca="1"/>
        <v>NA</v>
      </c>
      <c r="AC196" s="42" t="str">
        <f ca="1"/>
        <v>Completed</v>
      </c>
      <c r="AD196" t="str">
        <f ca="1"/>
        <v>Rushikesh Bharat Dalavi</v>
      </c>
      <c r="AE196" t="str">
        <f ca="1"/>
        <v>Sai Colony Dakshin Laxmi Nagar, Nr. Water Tank, Moshi. Pune - 412105.</v>
      </c>
      <c r="AF196" t="str">
        <f ca="1"/>
        <v>Pune</v>
      </c>
      <c r="AG196" s="42" t="str">
        <f ca="1"/>
        <v>Completed</v>
      </c>
      <c r="AH196" t="str">
        <f ca="1"/>
        <v>NA</v>
      </c>
      <c r="AI196" s="42" t="str">
        <f ca="1"/>
        <v>NA</v>
      </c>
      <c r="AJ196" t="str">
        <f ca="1"/>
        <v>NA</v>
      </c>
      <c r="AK196" s="42" t="str">
        <f ca="1"/>
        <v>NA</v>
      </c>
      <c r="AL196" t="str">
        <f ca="1"/>
        <v>NA</v>
      </c>
      <c r="AM196" s="42" t="str">
        <f ca="1"/>
        <v>NA</v>
      </c>
      <c r="AN196" t="str">
        <f ca="1"/>
        <v>NA</v>
      </c>
      <c r="AO196" s="42" t="str">
        <f ca="1"/>
        <v>NA</v>
      </c>
      <c r="AP196" t="str">
        <f ca="1"/>
        <v>NA</v>
      </c>
      <c r="AQ196" t="str">
        <f ca="1"/>
        <v xml:space="preserve">Near, Hanuman Mandir, Mauje Madanwadi, Tq - Indapur, Dist Pune </v>
      </c>
      <c r="AR196" t="str">
        <f ca="1"/>
        <v>Pune</v>
      </c>
      <c r="AS196" s="42" t="str">
        <f ca="1"/>
        <v>Completed</v>
      </c>
      <c r="AT196" t="str">
        <f ca="1"/>
        <v>225/2024</v>
      </c>
      <c r="AU196" t="str">
        <f ca="1"/>
        <v>Bhigwan Po. St. Indapur</v>
      </c>
      <c r="AV196" t="str">
        <f ca="1"/>
        <v>Indapur</v>
      </c>
      <c r="AW196" t="str">
        <f ca="1"/>
        <v>NA</v>
      </c>
      <c r="AX196" s="42" t="str">
        <f ca="1"/>
        <v>WIP</v>
      </c>
      <c r="AY196" t="str">
        <f ca="1"/>
        <v xml:space="preserve">NA </v>
      </c>
      <c r="AZ196" t="str">
        <f ca="1"/>
        <v xml:space="preserve">NA </v>
      </c>
      <c r="BA196" t="str">
        <f ca="1"/>
        <v>NA</v>
      </c>
      <c r="BB196" s="42" t="str">
        <f ca="1"/>
        <v>NA</v>
      </c>
      <c r="BC196" t="str">
        <f ca="1"/>
        <v xml:space="preserve">NA </v>
      </c>
      <c r="BD196" t="str">
        <f ca="1"/>
        <v>Pending</v>
      </c>
      <c r="BE196">
        <f ca="1"/>
        <v>0</v>
      </c>
    </row>
    <row r="197" spans="1:57">
      <c r="A197" s="42">
        <f ca="1"/>
        <v>196</v>
      </c>
      <c r="B197" s="42" t="str">
        <f ca="1"/>
        <v>2025200164</v>
      </c>
      <c r="C197" s="42" t="str">
        <f ca="1"/>
        <v>Indusind General Insurance Co Ltd</v>
      </c>
      <c r="D197" s="42" t="str">
        <f ca="1"/>
        <v>MACT</v>
      </c>
      <c r="E197" s="42" t="str">
        <f ca="1"/>
        <v>R001-1196-SS-2025</v>
      </c>
      <c r="F197" s="310">
        <f ca="1"/>
        <v>45664</v>
      </c>
      <c r="G197" s="42" t="str">
        <f ca="1"/>
        <v>Jan-25</v>
      </c>
      <c r="H197" s="312">
        <f ca="1"/>
        <v>45681</v>
      </c>
      <c r="I197" s="42" t="str">
        <f ca="1"/>
        <v>Jan-25</v>
      </c>
      <c r="J197" s="310">
        <f ca="1"/>
        <v>45706</v>
      </c>
      <c r="K197" s="42">
        <f ca="1"/>
        <v>17</v>
      </c>
      <c r="L197" s="42" t="str">
        <f ca="1"/>
        <v>WT</v>
      </c>
      <c r="M197" s="42" t="str">
        <f ca="1"/>
        <v>Full Case</v>
      </c>
      <c r="N197" s="42" t="str">
        <f ca="1"/>
        <v>Open</v>
      </c>
      <c r="O197" s="42" t="str">
        <f ca="1"/>
        <v>Completed</v>
      </c>
      <c r="P197">
        <f ca="1"/>
        <v>0</v>
      </c>
      <c r="Q197" t="str">
        <f ca="1"/>
        <v>Bhausaheb Kushinath Karhale</v>
      </c>
      <c r="R197" t="str">
        <f ca="1"/>
        <v>R/O, Shiregaon, Tal-Gangapur, Dis-Sambhajinagar.</v>
      </c>
      <c r="S197" t="str">
        <f ca="1"/>
        <v>Sambhaji Nagar</v>
      </c>
      <c r="T197" s="314" t="str">
        <f ca="1"/>
        <v>Completed</v>
      </c>
      <c r="U197" t="str">
        <f ca="1"/>
        <v xml:space="preserve">NA </v>
      </c>
      <c r="V197" t="str">
        <f ca="1"/>
        <v>NA</v>
      </c>
      <c r="W197" t="str">
        <f ca="1"/>
        <v xml:space="preserve">NA </v>
      </c>
      <c r="X197" s="42" t="str">
        <f ca="1"/>
        <v>NA</v>
      </c>
      <c r="Y197" t="str">
        <f ca="1"/>
        <v>Sattar Musa Pathan</v>
      </c>
      <c r="Z197" t="str">
        <f ca="1"/>
        <v>R/O, Bhalgaon, Tal-Gangapur, Dis-Sambhajinagar.</v>
      </c>
      <c r="AA197" t="str">
        <f ca="1"/>
        <v>Sambhaji Nagar</v>
      </c>
      <c r="AB197" t="str">
        <f ca="1"/>
        <v>NA</v>
      </c>
      <c r="AC197" s="42" t="str">
        <f ca="1"/>
        <v>Completed</v>
      </c>
      <c r="AD197" t="str">
        <f ca="1"/>
        <v>Namdeo Suryabhan Gat</v>
      </c>
      <c r="AE197" t="str">
        <f ca="1"/>
        <v>R/O, Sanjarpur, Tal-Gangapur, Dis-Sambhajinagar.</v>
      </c>
      <c r="AF197" t="str">
        <f ca="1"/>
        <v>Sambhaji Nagar</v>
      </c>
      <c r="AG197" s="42" t="str">
        <f ca="1"/>
        <v>Completed</v>
      </c>
      <c r="AH197" t="str">
        <f ca="1"/>
        <v>NA</v>
      </c>
      <c r="AI197" s="42" t="str">
        <f ca="1"/>
        <v>NA</v>
      </c>
      <c r="AJ197" t="str">
        <f ca="1"/>
        <v>NA</v>
      </c>
      <c r="AK197" s="42" t="str">
        <f ca="1"/>
        <v>NA</v>
      </c>
      <c r="AL197" t="str">
        <f ca="1"/>
        <v>NA</v>
      </c>
      <c r="AM197" s="42" t="str">
        <f ca="1"/>
        <v>NA</v>
      </c>
      <c r="AN197" t="str">
        <f ca="1"/>
        <v>NA</v>
      </c>
      <c r="AO197" s="42" t="str">
        <f ca="1"/>
        <v>NA</v>
      </c>
      <c r="AP197" t="str">
        <f ca="1"/>
        <v>NA</v>
      </c>
      <c r="AQ197" t="str">
        <f ca="1"/>
        <v>Gangapur Nagarpalica Garbege Depo, On Lasur - Gangapur road, Tal - Gangapur, Dis - Sambhajinagar.</v>
      </c>
      <c r="AR197" t="str">
        <f ca="1"/>
        <v>Sambhaji Nagar</v>
      </c>
      <c r="AS197" s="42" t="str">
        <f ca="1"/>
        <v>Completed</v>
      </c>
      <c r="AT197" t="str">
        <f ca="1"/>
        <v>197/2023</v>
      </c>
      <c r="AU197" t="str">
        <f ca="1"/>
        <v>Gangapur Po. St.</v>
      </c>
      <c r="AV197" t="str">
        <f ca="1"/>
        <v>Sambhajinagar</v>
      </c>
      <c r="AW197" t="str">
        <f ca="1"/>
        <v>NA</v>
      </c>
      <c r="AX197" s="42" t="str">
        <f ca="1"/>
        <v>Not Initiated</v>
      </c>
      <c r="AY197" t="str">
        <f ca="1"/>
        <v xml:space="preserve">NA </v>
      </c>
      <c r="AZ197" t="str">
        <f ca="1"/>
        <v xml:space="preserve">NA </v>
      </c>
      <c r="BA197" t="str">
        <f ca="1"/>
        <v>NA</v>
      </c>
      <c r="BB197" s="42" t="str">
        <f ca="1"/>
        <v>NA</v>
      </c>
      <c r="BC197" t="str">
        <f ca="1"/>
        <v xml:space="preserve">NA </v>
      </c>
      <c r="BD197" t="str">
        <f ca="1"/>
        <v>Pending</v>
      </c>
      <c r="BE197">
        <f ca="1"/>
        <v>0</v>
      </c>
    </row>
    <row r="198" spans="1:57">
      <c r="A198" s="42">
        <f ca="1"/>
        <v>197</v>
      </c>
      <c r="B198" s="42" t="str">
        <f ca="1"/>
        <v>2024216007</v>
      </c>
      <c r="C198" s="42" t="str">
        <f ca="1"/>
        <v>Indusind General Insurance Co Ltd</v>
      </c>
      <c r="D198" s="42" t="str">
        <f ca="1"/>
        <v>MACT</v>
      </c>
      <c r="E198" s="42" t="str">
        <f ca="1"/>
        <v>R001-1197-SS-2025</v>
      </c>
      <c r="F198" s="310">
        <f ca="1"/>
        <v>45688</v>
      </c>
      <c r="G198" s="42" t="str">
        <f ca="1"/>
        <v>Jan-25</v>
      </c>
      <c r="H198" s="312">
        <f ca="1"/>
        <v>45898</v>
      </c>
      <c r="I198" s="42" t="str">
        <f ca="1"/>
        <v>Aug-25</v>
      </c>
      <c r="J198" s="310">
        <f ca="1"/>
        <v>45730</v>
      </c>
      <c r="K198" s="42">
        <f ca="1"/>
        <v>210</v>
      </c>
      <c r="L198" s="42" t="str">
        <f ca="1"/>
        <v>AT</v>
      </c>
      <c r="M198" s="42" t="str">
        <f ca="1"/>
        <v>Full Case</v>
      </c>
      <c r="N198" s="42" t="str">
        <f ca="1"/>
        <v>Open</v>
      </c>
      <c r="O198" s="42" t="str">
        <f ca="1"/>
        <v>Completed</v>
      </c>
      <c r="P198">
        <f ca="1"/>
        <v>0</v>
      </c>
      <c r="Q198" t="str">
        <f ca="1"/>
        <v>Mahendra Bhausaheb Gursale</v>
      </c>
      <c r="R198" t="str">
        <f ca="1"/>
        <v>R/at -22 Market Yard Satara City Dist, Satara.</v>
      </c>
      <c r="S198" t="str">
        <f ca="1"/>
        <v>Satara</v>
      </c>
      <c r="T198" s="314" t="str">
        <f ca="1"/>
        <v>Completed</v>
      </c>
      <c r="U198" t="str">
        <f ca="1"/>
        <v xml:space="preserve">NA </v>
      </c>
      <c r="V198" t="str">
        <f ca="1"/>
        <v>NA</v>
      </c>
      <c r="W198" t="str">
        <f ca="1"/>
        <v xml:space="preserve">NA </v>
      </c>
      <c r="X198" s="42" t="str">
        <f ca="1"/>
        <v>NA</v>
      </c>
      <c r="Y198" t="str">
        <f ca="1"/>
        <v>Prahalad Tukaram Jadhav</v>
      </c>
      <c r="Z198" t="str">
        <f ca="1"/>
        <v>R/O, Bhugaon, Tq – Mulshi, Dis – Pune.</v>
      </c>
      <c r="AA198" t="str">
        <f ca="1"/>
        <v>Pune</v>
      </c>
      <c r="AB198" t="str">
        <f ca="1"/>
        <v>NA</v>
      </c>
      <c r="AC198" s="42" t="str">
        <f ca="1"/>
        <v>Completed</v>
      </c>
      <c r="AD198" t="str">
        <f ca="1"/>
        <v>Prahalad Tukaram Jadhav</v>
      </c>
      <c r="AE198" t="str">
        <f ca="1"/>
        <v>R/O, Bhugaon, Tq – Mulshi, Dis – Pune.</v>
      </c>
      <c r="AF198" t="str">
        <f ca="1"/>
        <v>Pune</v>
      </c>
      <c r="AG198" s="42" t="str">
        <f ca="1"/>
        <v>Completed</v>
      </c>
      <c r="AH198" t="str">
        <f ca="1"/>
        <v>NA</v>
      </c>
      <c r="AI198" s="42" t="str">
        <f ca="1"/>
        <v>NA</v>
      </c>
      <c r="AJ198" t="str">
        <f ca="1"/>
        <v>NA</v>
      </c>
      <c r="AK198" s="42" t="str">
        <f ca="1"/>
        <v>NA</v>
      </c>
      <c r="AL198" t="str">
        <f ca="1"/>
        <v>NA</v>
      </c>
      <c r="AM198" s="42" t="str">
        <f ca="1"/>
        <v>NA</v>
      </c>
      <c r="AN198" t="str">
        <f ca="1"/>
        <v>NA</v>
      </c>
      <c r="AO198" s="42" t="str">
        <f ca="1"/>
        <v>NA</v>
      </c>
      <c r="AP198" t="str">
        <f ca="1"/>
        <v>NA</v>
      </c>
      <c r="AQ198" t="str">
        <f ca="1"/>
        <v>On Pune- Bangalore Highway</v>
      </c>
      <c r="AR198">
        <f ca="1"/>
        <v>0</v>
      </c>
      <c r="AS198" s="42" t="str">
        <f ca="1"/>
        <v>WIP</v>
      </c>
      <c r="AT198" t="str">
        <f ca="1"/>
        <v>73/08</v>
      </c>
      <c r="AU198" t="str">
        <f ca="1"/>
        <v>Satara Police Station</v>
      </c>
      <c r="AV198" t="str">
        <f ca="1"/>
        <v>Satara</v>
      </c>
      <c r="AW198" t="str">
        <f ca="1"/>
        <v>NA</v>
      </c>
      <c r="AX198" s="42" t="str">
        <f ca="1"/>
        <v>WIP</v>
      </c>
      <c r="AY198" t="str">
        <f ca="1"/>
        <v xml:space="preserve">NA </v>
      </c>
      <c r="AZ198" t="str">
        <f ca="1"/>
        <v xml:space="preserve">NA </v>
      </c>
      <c r="BA198" t="str">
        <f ca="1"/>
        <v>NA</v>
      </c>
      <c r="BB198" s="42" t="str">
        <f ca="1"/>
        <v>NA</v>
      </c>
      <c r="BC198" t="str">
        <f ca="1"/>
        <v xml:space="preserve">NA </v>
      </c>
      <c r="BD198" t="str">
        <f ca="1"/>
        <v>Pending</v>
      </c>
      <c r="BE198">
        <f ca="1"/>
        <v>0</v>
      </c>
    </row>
    <row r="199" spans="1:57">
      <c r="A199" s="42">
        <f ca="1"/>
        <v>198</v>
      </c>
      <c r="B199" s="42" t="str">
        <f ca="1"/>
        <v>2018212712</v>
      </c>
      <c r="C199" s="42" t="str">
        <f ca="1"/>
        <v>Indusind General Insurance Co Ltd</v>
      </c>
      <c r="D199" s="42" t="str">
        <f ca="1"/>
        <v>MACT</v>
      </c>
      <c r="E199" s="42" t="str">
        <f ca="1"/>
        <v>R001-1198-SS-2025</v>
      </c>
      <c r="F199" s="310">
        <f ca="1"/>
        <v>45733</v>
      </c>
      <c r="G199" s="42">
        <f ca="1"/>
        <v>0</v>
      </c>
      <c r="H199" s="312">
        <f ca="1"/>
        <v>45824</v>
      </c>
      <c r="I199" s="42" t="str">
        <f ca="1"/>
        <v>Jun-25</v>
      </c>
      <c r="J199" s="310">
        <f ca="1"/>
        <v>0</v>
      </c>
      <c r="K199" s="42">
        <f ca="1"/>
        <v>91</v>
      </c>
      <c r="L199" s="42" t="str">
        <f ca="1"/>
        <v>AT</v>
      </c>
      <c r="M199" s="42" t="str">
        <f ca="1"/>
        <v>Partial Case</v>
      </c>
      <c r="N199" s="42" t="str">
        <f ca="1"/>
        <v>STOP</v>
      </c>
      <c r="O199" s="42" t="str">
        <f ca="1"/>
        <v>Completed</v>
      </c>
      <c r="P199">
        <f ca="1"/>
        <v>0</v>
      </c>
      <c r="Q199" t="str">
        <f ca="1"/>
        <v xml:space="preserve">NA </v>
      </c>
      <c r="R199" t="str">
        <f ca="1"/>
        <v>NA</v>
      </c>
      <c r="S199" t="str">
        <f ca="1"/>
        <v>NA</v>
      </c>
      <c r="T199" s="314" t="str">
        <f ca="1"/>
        <v>NA</v>
      </c>
      <c r="U199" t="str">
        <f ca="1"/>
        <v xml:space="preserve">NA </v>
      </c>
      <c r="V199" t="str">
        <f ca="1"/>
        <v xml:space="preserve">NA </v>
      </c>
      <c r="W199" t="str">
        <f ca="1"/>
        <v xml:space="preserve">NA </v>
      </c>
      <c r="X199" s="42" t="str">
        <f ca="1"/>
        <v>NA</v>
      </c>
      <c r="Y199" s="42" t="str">
        <f ca="1"/>
        <v xml:space="preserve">NA </v>
      </c>
      <c r="Z199" t="str">
        <f ca="1"/>
        <v>NA</v>
      </c>
      <c r="AA199" t="str">
        <f ca="1"/>
        <v>NA</v>
      </c>
      <c r="AB199" t="str">
        <f ca="1"/>
        <v>NA</v>
      </c>
      <c r="AC199" s="42" t="str">
        <f ca="1"/>
        <v>NA</v>
      </c>
      <c r="AD199" t="str">
        <f ca="1"/>
        <v>NA</v>
      </c>
      <c r="AE199" t="str">
        <f ca="1"/>
        <v xml:space="preserve">NA </v>
      </c>
      <c r="AF199" t="str">
        <f ca="1"/>
        <v>NA</v>
      </c>
      <c r="AG199" s="42" t="str">
        <f ca="1"/>
        <v>NA</v>
      </c>
      <c r="AH199" t="str">
        <f ca="1"/>
        <v>NA</v>
      </c>
      <c r="AI199" s="42" t="str">
        <f ca="1"/>
        <v>NA</v>
      </c>
      <c r="AJ199" t="str">
        <f ca="1"/>
        <v>NA</v>
      </c>
      <c r="AK199" s="42" t="str">
        <f ca="1"/>
        <v>NA</v>
      </c>
      <c r="AL199" t="str">
        <f ca="1"/>
        <v>NA</v>
      </c>
      <c r="AM199" s="42" t="str">
        <f ca="1"/>
        <v>NA</v>
      </c>
      <c r="AN199" t="str">
        <f ca="1"/>
        <v>NA</v>
      </c>
      <c r="AO199" s="42" t="str">
        <f ca="1"/>
        <v>NA</v>
      </c>
      <c r="AP199" t="str">
        <f ca="1"/>
        <v>NA</v>
      </c>
      <c r="AQ199" t="str">
        <f ca="1"/>
        <v xml:space="preserve">NA </v>
      </c>
      <c r="AR199" t="str">
        <f ca="1"/>
        <v>NA</v>
      </c>
      <c r="AS199" s="42" t="str">
        <f ca="1"/>
        <v>NA</v>
      </c>
      <c r="AT199" t="str">
        <f ca="1"/>
        <v>0329/2017</v>
      </c>
      <c r="AU199" t="str">
        <f ca="1"/>
        <v>Shive Gav Police sation</v>
      </c>
      <c r="AV199" t="str">
        <f ca="1"/>
        <v>Sambhaji Nagar</v>
      </c>
      <c r="AW199" t="str">
        <f ca="1"/>
        <v>NA</v>
      </c>
      <c r="AX199" s="42" t="str">
        <f ca="1"/>
        <v>Completed</v>
      </c>
      <c r="AY199" t="str">
        <f ca="1"/>
        <v xml:space="preserve">NA </v>
      </c>
      <c r="AZ199" t="str">
        <f ca="1"/>
        <v xml:space="preserve">NA </v>
      </c>
      <c r="BA199" t="str">
        <f ca="1"/>
        <v>NA</v>
      </c>
      <c r="BB199" s="42" t="str">
        <f ca="1"/>
        <v>NA</v>
      </c>
      <c r="BC199" t="str">
        <f ca="1"/>
        <v xml:space="preserve">NA </v>
      </c>
      <c r="BD199" t="str">
        <f ca="1"/>
        <v>Pending</v>
      </c>
      <c r="BE199">
        <f ca="1"/>
        <v>0</v>
      </c>
    </row>
    <row r="200" spans="1:57">
      <c r="A200" s="42">
        <f ca="1"/>
        <v>199</v>
      </c>
      <c r="B200" s="42" t="str">
        <f ca="1"/>
        <v>MTP-N-2526-005257</v>
      </c>
      <c r="C200" s="42" t="str">
        <f ca="1"/>
        <v>Generali Central Insurance Company Limited</v>
      </c>
      <c r="D200" s="42" t="str">
        <f ca="1"/>
        <v>MACT</v>
      </c>
      <c r="E200" s="42" t="str">
        <f ca="1"/>
        <v>F001-1199-SS-2025</v>
      </c>
      <c r="F200" s="310">
        <f ca="1"/>
        <v>46010</v>
      </c>
      <c r="G200" s="42" t="str">
        <f ca="1"/>
        <v>Dec-25</v>
      </c>
      <c r="H200" s="312" t="str">
        <f ca="1"/>
        <v>-</v>
      </c>
      <c r="I200" s="42">
        <f ca="1"/>
        <v>0</v>
      </c>
      <c r="J200" s="310">
        <f ca="1"/>
        <v>46052</v>
      </c>
      <c r="K200" s="42">
        <f ca="1"/>
        <v>17</v>
      </c>
      <c r="L200" s="42" t="str">
        <f ca="1"/>
        <v>WT</v>
      </c>
      <c r="M200" s="42" t="str">
        <f ca="1"/>
        <v>Full Case</v>
      </c>
      <c r="N200" s="42" t="str">
        <f ca="1"/>
        <v>Open</v>
      </c>
      <c r="O200" s="42" t="str">
        <f ca="1"/>
        <v>WIP</v>
      </c>
      <c r="P200">
        <f ca="1"/>
        <v>0</v>
      </c>
      <c r="Q200" t="str">
        <f ca="1"/>
        <v>Shirin Late Javid Shaikh</v>
      </c>
      <c r="R200" t="str">
        <f ca="1"/>
        <v>R/o Ghar No.6 Telangi Pachcha Peth Solapur north daji peth solapur.                New R/o Village harsur Tq.&amp; dist.Kalaburagi</v>
      </c>
      <c r="S200" t="str">
        <f ca="1"/>
        <v>Kalaburagi</v>
      </c>
      <c r="T200" s="314" t="str">
        <f ca="1"/>
        <v>NI</v>
      </c>
      <c r="U200" t="str">
        <f ca="1"/>
        <v xml:space="preserve">NA </v>
      </c>
      <c r="V200" t="str">
        <f ca="1"/>
        <v xml:space="preserve">NA </v>
      </c>
      <c r="W200" t="str">
        <f ca="1"/>
        <v xml:space="preserve">NA </v>
      </c>
      <c r="X200" s="42" t="str">
        <f ca="1"/>
        <v>NI</v>
      </c>
      <c r="Y200" s="42" t="str">
        <f ca="1"/>
        <v>Samir Patel Bashir Patel</v>
      </c>
      <c r="Z200" t="str">
        <f ca="1"/>
        <v>R/o Bld  No 2/60 , Modi Khana,Solapur North-413003</v>
      </c>
      <c r="AA200" t="str">
        <f ca="1"/>
        <v>Solapur</v>
      </c>
      <c r="AB200" t="str">
        <f ca="1"/>
        <v>NA</v>
      </c>
      <c r="AC200" s="42" t="str">
        <f ca="1"/>
        <v>NI</v>
      </c>
      <c r="AD200" t="str">
        <f ca="1"/>
        <v>NA</v>
      </c>
      <c r="AE200" t="str">
        <f ca="1"/>
        <v xml:space="preserve">NA </v>
      </c>
      <c r="AF200" t="str">
        <f ca="1"/>
        <v>NA</v>
      </c>
      <c r="AG200" s="42" t="str">
        <f ca="1"/>
        <v>NA</v>
      </c>
      <c r="AH200" t="str">
        <f ca="1"/>
        <v>Yes</v>
      </c>
      <c r="AI200" s="42" t="str">
        <f ca="1"/>
        <v>NI</v>
      </c>
      <c r="AJ200" t="str">
        <f ca="1"/>
        <v>Yes</v>
      </c>
      <c r="AK200" s="42" t="str">
        <f ca="1"/>
        <v>NI</v>
      </c>
      <c r="AL200" t="str">
        <f ca="1"/>
        <v>NA</v>
      </c>
      <c r="AM200" s="42" t="str">
        <f ca="1"/>
        <v>NA</v>
      </c>
      <c r="AN200" t="str">
        <f ca="1"/>
        <v>NA</v>
      </c>
      <c r="AO200" s="42" t="str">
        <f ca="1"/>
        <v>NA</v>
      </c>
      <c r="AP200" t="str">
        <f ca="1"/>
        <v>NA</v>
      </c>
      <c r="AQ200" t="str">
        <f ca="1"/>
        <v>Service road of solapur Hyderabad Highway,in front of khan chacha hotel,dist.Solapur</v>
      </c>
      <c r="AR200" t="str">
        <f ca="1"/>
        <v>Solapur</v>
      </c>
      <c r="AS200" s="42" t="str">
        <f ca="1"/>
        <v>NI</v>
      </c>
      <c r="AT200" t="str">
        <f ca="1"/>
        <v>660/2025</v>
      </c>
      <c r="AU200" t="str">
        <f ca="1"/>
        <v>Jodbhavi Police station</v>
      </c>
      <c r="AV200" t="str">
        <f ca="1"/>
        <v>Solapur</v>
      </c>
      <c r="AW200" t="str">
        <f ca="1"/>
        <v>NA</v>
      </c>
      <c r="AX200" s="42" t="str">
        <f ca="1"/>
        <v>NI</v>
      </c>
      <c r="AY200" t="str">
        <f ca="1"/>
        <v xml:space="preserve">Duty doctors of civil hospital </v>
      </c>
      <c r="AZ200" t="str">
        <f ca="1"/>
        <v xml:space="preserve">NA </v>
      </c>
      <c r="BA200" t="str">
        <f ca="1"/>
        <v>Solapur</v>
      </c>
      <c r="BB200" s="42" t="str">
        <f ca="1"/>
        <v>NI</v>
      </c>
      <c r="BC200" t="str">
        <f ca="1"/>
        <v xml:space="preserve">NA </v>
      </c>
      <c r="BD200" t="str">
        <f ca="1"/>
        <v>Pending</v>
      </c>
      <c r="BE200">
        <f ca="1"/>
        <v>0</v>
      </c>
    </row>
    <row r="201" spans="1:57">
      <c r="A201" s="42">
        <f ca="1"/>
        <v>200</v>
      </c>
      <c r="B201" s="42" t="str">
        <f ca="1"/>
        <v>2025214146</v>
      </c>
      <c r="C201" s="42" t="str">
        <f ca="1"/>
        <v>Indusind General Insurance Co Ltd</v>
      </c>
      <c r="D201" s="42" t="str">
        <f ca="1"/>
        <v>MACT</v>
      </c>
      <c r="E201" s="42" t="str">
        <f ca="1"/>
        <v>R001-1200-SS-2025</v>
      </c>
      <c r="F201" s="310">
        <f ca="1"/>
        <v>46010</v>
      </c>
      <c r="G201" s="42" t="str">
        <f ca="1"/>
        <v>Dec-25</v>
      </c>
      <c r="H201" s="312" t="str">
        <f ca="1"/>
        <v>-</v>
      </c>
      <c r="I201" s="42">
        <f ca="1"/>
        <v>0</v>
      </c>
      <c r="J201" s="310">
        <f ca="1"/>
        <v>46052</v>
      </c>
      <c r="K201" s="42">
        <f ca="1"/>
        <v>17</v>
      </c>
      <c r="L201" s="42" t="str">
        <f ca="1"/>
        <v>AT</v>
      </c>
      <c r="M201" s="42" t="str">
        <f ca="1"/>
        <v>Medical Verification</v>
      </c>
      <c r="N201" s="42" t="str">
        <f ca="1"/>
        <v>Open</v>
      </c>
      <c r="O201" s="42" t="str">
        <f ca="1"/>
        <v>NI</v>
      </c>
      <c r="P201" t="str">
        <f ca="1"/>
        <v>(Connected Case-2025213611)                                   For MLC or Wound certificate.</v>
      </c>
      <c r="Q201" t="str">
        <f ca="1"/>
        <v>Kiran Balaram Patil</v>
      </c>
      <c r="R201" t="str">
        <f ca="1"/>
        <v>NA</v>
      </c>
      <c r="S201" t="str">
        <f ca="1"/>
        <v>NA</v>
      </c>
      <c r="T201" s="314" t="str">
        <f ca="1"/>
        <v>NA</v>
      </c>
      <c r="U201" t="str">
        <f ca="1"/>
        <v xml:space="preserve">NA </v>
      </c>
      <c r="V201" t="str">
        <f ca="1"/>
        <v xml:space="preserve">NA </v>
      </c>
      <c r="W201" t="str">
        <f ca="1"/>
        <v xml:space="preserve">NA </v>
      </c>
      <c r="X201" s="42" t="str">
        <f ca="1"/>
        <v>NA</v>
      </c>
      <c r="Y201" t="str">
        <f ca="1"/>
        <v xml:space="preserve">NA </v>
      </c>
      <c r="Z201" t="str">
        <f ca="1"/>
        <v>NA</v>
      </c>
      <c r="AA201" t="str">
        <f ca="1"/>
        <v>NA</v>
      </c>
      <c r="AB201" t="str">
        <f ca="1"/>
        <v>NA</v>
      </c>
      <c r="AC201" s="42" t="str">
        <f ca="1"/>
        <v>NA</v>
      </c>
      <c r="AD201" t="str">
        <f ca="1"/>
        <v>NA</v>
      </c>
      <c r="AE201" t="str">
        <f ca="1"/>
        <v xml:space="preserve">NA </v>
      </c>
      <c r="AF201" t="str">
        <f ca="1"/>
        <v>NA</v>
      </c>
      <c r="AG201" s="42" t="str">
        <f ca="1"/>
        <v>NA</v>
      </c>
      <c r="AH201" t="str">
        <f ca="1"/>
        <v>NA</v>
      </c>
      <c r="AI201" s="42" t="str">
        <f ca="1"/>
        <v>NA</v>
      </c>
      <c r="AJ201" t="str">
        <f ca="1"/>
        <v>NA</v>
      </c>
      <c r="AK201" s="42" t="str">
        <f ca="1"/>
        <v>NA</v>
      </c>
      <c r="AL201" t="str">
        <f ca="1"/>
        <v>NA</v>
      </c>
      <c r="AM201" s="42" t="str">
        <f ca="1"/>
        <v>NA</v>
      </c>
      <c r="AN201" t="str">
        <f ca="1"/>
        <v>NA</v>
      </c>
      <c r="AO201" s="42" t="str">
        <f ca="1"/>
        <v>NA</v>
      </c>
      <c r="AP201" t="str">
        <f ca="1"/>
        <v xml:space="preserve">NA </v>
      </c>
      <c r="AQ201" t="str">
        <f ca="1"/>
        <v xml:space="preserve">NA </v>
      </c>
      <c r="AR201" t="str">
        <f ca="1"/>
        <v>NA</v>
      </c>
      <c r="AS201" s="42" t="str">
        <f ca="1"/>
        <v>NA</v>
      </c>
      <c r="AT201" t="str">
        <f ca="1"/>
        <v>NA</v>
      </c>
      <c r="AU201" t="str">
        <f ca="1"/>
        <v>NA</v>
      </c>
      <c r="AV201" t="str">
        <f ca="1"/>
        <v>NA</v>
      </c>
      <c r="AW201" t="str">
        <f ca="1"/>
        <v>NA</v>
      </c>
      <c r="AX201" s="42" t="str">
        <f ca="1"/>
        <v>NA</v>
      </c>
      <c r="AY201" t="str">
        <f ca="1"/>
        <v>1)CPR Hospital  Kolhapur                                            2) Smt-Kashibai Navale HospitalPune &amp; Other Private doctors at pune &amp; Belgaum</v>
      </c>
      <c r="AZ201" t="str">
        <f ca="1"/>
        <v>1)Kolhapur                                                                      2) Pune</v>
      </c>
      <c r="BA201" t="str">
        <f ca="1"/>
        <v>NA</v>
      </c>
      <c r="BB201" s="42" t="str">
        <f ca="1"/>
        <v>NA</v>
      </c>
      <c r="BC201" t="str">
        <f ca="1"/>
        <v xml:space="preserve">NA </v>
      </c>
      <c r="BD201" t="str">
        <f ca="1"/>
        <v>Pending</v>
      </c>
      <c r="BE201">
        <f ca="1"/>
        <v>0</v>
      </c>
    </row>
    <row r="202" spans="1:57">
      <c r="A202" s="42">
        <f ca="1"/>
        <v>201</v>
      </c>
      <c r="B202" s="42" t="str">
        <f ca="1"/>
        <v>MTP-N-2526-005022</v>
      </c>
      <c r="C202" s="42" t="str">
        <f ca="1"/>
        <v>Generali Central Insurance Company Limited</v>
      </c>
      <c r="D202" s="42" t="str">
        <f ca="1"/>
        <v>MACT</v>
      </c>
      <c r="E202" s="42" t="str">
        <f ca="1"/>
        <v>F001-1201-SS-2025</v>
      </c>
      <c r="F202" s="310">
        <f ca="1"/>
        <v>46013</v>
      </c>
      <c r="G202" s="42" t="str">
        <f ca="1"/>
        <v>Dec-25</v>
      </c>
      <c r="H202" s="312" t="str">
        <f ca="1"/>
        <v>-</v>
      </c>
      <c r="I202" s="42">
        <f ca="1"/>
        <v>0</v>
      </c>
      <c r="J202" s="310">
        <f ca="1"/>
        <v>46034</v>
      </c>
      <c r="K202" s="42">
        <f ca="1"/>
        <v>14</v>
      </c>
      <c r="L202" s="42" t="str">
        <f ca="1"/>
        <v>WT</v>
      </c>
      <c r="M202" s="42" t="str">
        <f ca="1"/>
        <v>Partial Case</v>
      </c>
      <c r="N202" s="42" t="str">
        <f ca="1"/>
        <v>Open</v>
      </c>
      <c r="O202" s="42" t="str">
        <f ca="1"/>
        <v>WIP</v>
      </c>
      <c r="P202" t="str">
        <f ca="1"/>
        <v xml:space="preserve">Accept Claimant </v>
      </c>
      <c r="Q202" t="str">
        <f ca="1"/>
        <v>NA</v>
      </c>
      <c r="R202" t="str">
        <f ca="1"/>
        <v>NA</v>
      </c>
      <c r="S202" t="str">
        <f ca="1"/>
        <v>NA</v>
      </c>
      <c r="T202" s="314" t="str">
        <f ca="1"/>
        <v>NA</v>
      </c>
      <c r="U202" t="str">
        <f ca="1"/>
        <v>NA</v>
      </c>
      <c r="V202" t="str">
        <f ca="1"/>
        <v>NA</v>
      </c>
      <c r="W202" t="str">
        <f ca="1"/>
        <v>NA</v>
      </c>
      <c r="X202" s="42" t="str">
        <f ca="1"/>
        <v>NA</v>
      </c>
      <c r="Y202" t="str">
        <f ca="1"/>
        <v>Mahendra Sudam Parbhane</v>
      </c>
      <c r="Z202" t="str">
        <f ca="1"/>
        <v>Wadgaon Rasai, Shirur, Pune</v>
      </c>
      <c r="AA202" t="str">
        <f ca="1"/>
        <v>Pune</v>
      </c>
      <c r="AB202" t="str">
        <f ca="1"/>
        <v>NA</v>
      </c>
      <c r="AC202" s="42" t="str">
        <f ca="1"/>
        <v>NI</v>
      </c>
      <c r="AD202" t="str">
        <f ca="1"/>
        <v>Yogesh Balasaheb Shelar</v>
      </c>
      <c r="AE202" t="str">
        <f ca="1"/>
        <v>Wadgaon Rasai, Shirur, Pune, Maharashtra</v>
      </c>
      <c r="AF202" t="str">
        <f ca="1"/>
        <v>Pune</v>
      </c>
      <c r="AG202" s="42" t="str">
        <f ca="1"/>
        <v>NI</v>
      </c>
      <c r="AH202" t="str">
        <f ca="1"/>
        <v>NA</v>
      </c>
      <c r="AI202" s="42" t="str">
        <f ca="1"/>
        <v>NA</v>
      </c>
      <c r="AJ202" t="str">
        <f ca="1"/>
        <v>NA</v>
      </c>
      <c r="AK202" s="42" t="str">
        <f ca="1"/>
        <v>NA</v>
      </c>
      <c r="AL202" t="str">
        <f ca="1"/>
        <v>NA</v>
      </c>
      <c r="AM202" s="42" t="str">
        <f ca="1"/>
        <v>NA</v>
      </c>
      <c r="AN202" t="str">
        <f ca="1"/>
        <v>NA</v>
      </c>
      <c r="AO202" s="42" t="str">
        <f ca="1"/>
        <v>NA</v>
      </c>
      <c r="AP202" t="str">
        <f ca="1"/>
        <v>NA</v>
      </c>
      <c r="AQ202" t="str">
        <f ca="1"/>
        <v>Kashti Rajmarg, Helowadi, near Limpan Village, Shrigonda, Maharashtra</v>
      </c>
      <c r="AR202" t="str">
        <f ca="1"/>
        <v>Ahmednagar</v>
      </c>
      <c r="AS202" s="42" t="str">
        <f ca="1"/>
        <v>NI</v>
      </c>
      <c r="AT202" t="str">
        <f ca="1"/>
        <v>0467/2023</v>
      </c>
      <c r="AU202" t="str">
        <f ca="1"/>
        <v>Shrigonda Police Station</v>
      </c>
      <c r="AV202" t="str">
        <f ca="1"/>
        <v>Ahmednagar</v>
      </c>
      <c r="AW202" t="str">
        <f ca="1"/>
        <v>NA</v>
      </c>
      <c r="AX202" s="42" t="str">
        <f ca="1"/>
        <v>NA</v>
      </c>
      <c r="AY202" t="str">
        <f ca="1"/>
        <v>NA</v>
      </c>
      <c r="AZ202" t="str">
        <f ca="1"/>
        <v>NA</v>
      </c>
      <c r="BA202" t="str">
        <f ca="1"/>
        <v>NA</v>
      </c>
      <c r="BB202" s="42" t="str">
        <f ca="1"/>
        <v>NA</v>
      </c>
      <c r="BC202" t="str">
        <f ca="1"/>
        <v>NA</v>
      </c>
      <c r="BD202" t="str">
        <f ca="1"/>
        <v>NA</v>
      </c>
      <c r="BE202">
        <f ca="1"/>
        <v>0</v>
      </c>
    </row>
    <row r="203" spans="1:57">
      <c r="A203" s="42">
        <f ca="1"/>
        <v>202</v>
      </c>
      <c r="B203" s="42" t="str">
        <f ca="1"/>
        <v>2757549</v>
      </c>
      <c r="C203" s="42" t="str">
        <f ca="1"/>
        <v>SBI General Insurance Company Ltd</v>
      </c>
      <c r="D203" s="42" t="str">
        <f ca="1"/>
        <v>MACT</v>
      </c>
      <c r="E203" s="42" t="str">
        <f ca="1"/>
        <v>S002-1202-SS-2025</v>
      </c>
      <c r="F203" s="310">
        <f ca="1"/>
        <v>46013</v>
      </c>
      <c r="G203" s="42" t="str">
        <f ca="1"/>
        <v>Dec-25</v>
      </c>
      <c r="H203" s="312" t="str">
        <f ca="1"/>
        <v>-</v>
      </c>
      <c r="I203" s="42">
        <f ca="1"/>
        <v>0</v>
      </c>
      <c r="J203" s="310">
        <f ca="1"/>
        <v>46055</v>
      </c>
      <c r="K203" s="42">
        <f ca="1"/>
        <v>14</v>
      </c>
      <c r="L203" s="42" t="str">
        <f ca="1"/>
        <v>WT</v>
      </c>
      <c r="M203" s="42" t="str">
        <f ca="1"/>
        <v>Full Case</v>
      </c>
      <c r="N203" s="42" t="str">
        <f ca="1"/>
        <v>Open</v>
      </c>
      <c r="O203" s="42" t="str">
        <f ca="1"/>
        <v>WIP</v>
      </c>
      <c r="P203" t="str">
        <f ca="1"/>
        <v>Claimant/Insured/Driver/Spot/CS</v>
      </c>
      <c r="Q203" t="str">
        <f ca="1"/>
        <v>Nikita Shivaji Pole</v>
      </c>
      <c r="R203" t="str">
        <f ca="1"/>
        <v>Pokharni Walke, Tq. Gangakhed, Dist. Parbhani</v>
      </c>
      <c r="S203" t="str">
        <f ca="1"/>
        <v>Parbhani</v>
      </c>
      <c r="T203" s="314" t="str">
        <f ca="1"/>
        <v>Completed</v>
      </c>
      <c r="U203" t="str">
        <f ca="1"/>
        <v>NA</v>
      </c>
      <c r="V203" t="str">
        <f ca="1"/>
        <v>NA</v>
      </c>
      <c r="W203" t="str">
        <f ca="1"/>
        <v>NA</v>
      </c>
      <c r="X203" s="42" t="str">
        <f ca="1"/>
        <v>NA</v>
      </c>
      <c r="Y203" t="str">
        <f ca="1"/>
        <v>Sanjay Dhondiba Ufalkar</v>
      </c>
      <c r="Z203" t="str">
        <f ca="1"/>
        <v>Idgah Road, Balbhim Nagar, Peth Beed</v>
      </c>
      <c r="AA203" t="str">
        <f ca="1"/>
        <v>Beed</v>
      </c>
      <c r="AB203" t="str">
        <f ca="1"/>
        <v>NA</v>
      </c>
      <c r="AC203" s="42" t="str">
        <f ca="1"/>
        <v>NI</v>
      </c>
      <c r="AD203" t="str">
        <f ca="1"/>
        <v>Santosh Prakash Palimkar</v>
      </c>
      <c r="AE203" t="str">
        <f ca="1"/>
        <v>Aditya Residency, Bhakti Construction Road, Beed</v>
      </c>
      <c r="AF203" t="str">
        <f ca="1"/>
        <v>Beed</v>
      </c>
      <c r="AG203" s="42" t="str">
        <f ca="1"/>
        <v>NI</v>
      </c>
      <c r="AH203" t="str">
        <f ca="1"/>
        <v>NA</v>
      </c>
      <c r="AI203" s="42" t="str">
        <f ca="1"/>
        <v>NA</v>
      </c>
      <c r="AJ203" t="str">
        <f ca="1"/>
        <v>NA</v>
      </c>
      <c r="AK203" s="42" t="str">
        <f ca="1"/>
        <v>NA</v>
      </c>
      <c r="AL203" t="str">
        <f ca="1"/>
        <v>NA</v>
      </c>
      <c r="AM203" s="42" t="str">
        <f ca="1"/>
        <v>NA</v>
      </c>
      <c r="AN203" t="str">
        <f ca="1"/>
        <v>NA</v>
      </c>
      <c r="AO203" s="42" t="str">
        <f ca="1"/>
        <v>NA</v>
      </c>
      <c r="AP203" t="str">
        <f ca="1"/>
        <v>NA</v>
      </c>
      <c r="AQ203" t="str">
        <f ca="1"/>
        <v>Dharmapuri to Parali road, Helamb shivar, Tq. Parali, Dist. Beed</v>
      </c>
      <c r="AR203" t="str">
        <f ca="1"/>
        <v>Beed</v>
      </c>
      <c r="AS203" s="42" t="str">
        <f ca="1"/>
        <v>Completed</v>
      </c>
      <c r="AT203" t="str">
        <f ca="1"/>
        <v>288/2024</v>
      </c>
      <c r="AU203" t="str">
        <f ca="1"/>
        <v>Parali Rural</v>
      </c>
      <c r="AV203" t="str">
        <f ca="1"/>
        <v>Beed</v>
      </c>
      <c r="AW203" t="str">
        <f ca="1"/>
        <v>NA</v>
      </c>
      <c r="AX203" s="42" t="str">
        <f ca="1"/>
        <v>NI</v>
      </c>
      <c r="AY203" t="str">
        <f ca="1"/>
        <v>NA</v>
      </c>
      <c r="AZ203" t="str">
        <f ca="1"/>
        <v>NA</v>
      </c>
      <c r="BA203" t="str">
        <f ca="1"/>
        <v>NA</v>
      </c>
      <c r="BB203" s="42" t="str">
        <f ca="1"/>
        <v>NA</v>
      </c>
      <c r="BC203" t="str">
        <f ca="1"/>
        <v>NA</v>
      </c>
      <c r="BD203" t="str">
        <f ca="1"/>
        <v>NA</v>
      </c>
      <c r="BE203">
        <f ca="1"/>
        <v>0</v>
      </c>
    </row>
    <row r="204" spans="1:57">
      <c r="A204" s="42">
        <f ca="1"/>
        <v>203</v>
      </c>
      <c r="B204" s="42" t="str">
        <f ca="1"/>
        <v>2025214269</v>
      </c>
      <c r="C204" s="42" t="str">
        <f ca="1"/>
        <v>Indusind General Insurance Co Ltd</v>
      </c>
      <c r="D204" s="42" t="str">
        <f ca="1"/>
        <v>MACT</v>
      </c>
      <c r="E204" s="42" t="str">
        <f ca="1"/>
        <v>R001-1203-SS-2025</v>
      </c>
      <c r="F204" s="310">
        <f ca="1"/>
        <v>46013</v>
      </c>
      <c r="G204" s="42" t="str">
        <f ca="1"/>
        <v>Dec-25</v>
      </c>
      <c r="H204" s="312" t="str">
        <f ca="1"/>
        <v>-</v>
      </c>
      <c r="I204" s="42">
        <f ca="1"/>
        <v>0</v>
      </c>
      <c r="J204" s="310">
        <f ca="1"/>
        <v>46055</v>
      </c>
      <c r="K204" s="42">
        <f ca="1"/>
        <v>14</v>
      </c>
      <c r="L204" s="42" t="str">
        <f ca="1"/>
        <v>WT</v>
      </c>
      <c r="M204" s="42" t="str">
        <f ca="1"/>
        <v>Full Case</v>
      </c>
      <c r="N204" s="42" t="str">
        <f ca="1"/>
        <v>Open</v>
      </c>
      <c r="O204" s="42" t="str">
        <f ca="1"/>
        <v>WIP</v>
      </c>
      <c r="P204" t="str">
        <f ca="1"/>
        <v>Claimant/Insured/Spot/CS</v>
      </c>
      <c r="Q204" t="str">
        <f ca="1"/>
        <v>Datta Sopan Musale</v>
      </c>
      <c r="R204" t="str">
        <f ca="1"/>
        <v>Brahmsingh Nagar, near Nandimaharaj Mandir, Nanded</v>
      </c>
      <c r="S204" t="str">
        <f ca="1"/>
        <v>Nanded</v>
      </c>
      <c r="T204" s="314" t="str">
        <f ca="1"/>
        <v>NI</v>
      </c>
      <c r="U204" t="str">
        <f ca="1"/>
        <v>NA</v>
      </c>
      <c r="V204" t="str">
        <f ca="1"/>
        <v>NA</v>
      </c>
      <c r="W204" t="str">
        <f ca="1"/>
        <v>NA</v>
      </c>
      <c r="X204" s="42" t="str">
        <f ca="1"/>
        <v>NA</v>
      </c>
      <c r="Y204" t="str">
        <f ca="1"/>
        <v>Rahul Shirish Munde</v>
      </c>
      <c r="Z204" t="str">
        <f ca="1"/>
        <v>House No.176, Hiwra, Taluka Kalamnuri, District Hingoli</v>
      </c>
      <c r="AA204" t="str">
        <f ca="1"/>
        <v>Hingoli</v>
      </c>
      <c r="AB204" t="str">
        <f ca="1"/>
        <v>NA</v>
      </c>
      <c r="AC204" s="42" t="str">
        <f ca="1"/>
        <v>NI</v>
      </c>
      <c r="AD204" t="str">
        <f ca="1"/>
        <v>NA</v>
      </c>
      <c r="AE204" t="str">
        <f ca="1"/>
        <v>NA</v>
      </c>
      <c r="AF204" t="str">
        <f ca="1"/>
        <v>NA</v>
      </c>
      <c r="AG204" s="42" t="str">
        <f ca="1"/>
        <v>NA</v>
      </c>
      <c r="AH204" t="str">
        <f ca="1"/>
        <v>NA</v>
      </c>
      <c r="AI204" s="42" t="str">
        <f ca="1"/>
        <v>NA</v>
      </c>
      <c r="AJ204" t="str">
        <f ca="1"/>
        <v>NA</v>
      </c>
      <c r="AK204" s="42" t="str">
        <f ca="1"/>
        <v>NA</v>
      </c>
      <c r="AL204" t="str">
        <f ca="1"/>
        <v>NA</v>
      </c>
      <c r="AM204" s="42" t="str">
        <f ca="1"/>
        <v>NA</v>
      </c>
      <c r="AN204" t="str">
        <f ca="1"/>
        <v>NA</v>
      </c>
      <c r="AO204" s="42" t="str">
        <f ca="1"/>
        <v>NA</v>
      </c>
      <c r="AP204" t="str">
        <f ca="1"/>
        <v>NA</v>
      </c>
      <c r="AQ204" t="str">
        <f ca="1"/>
        <v>Mata Gujri Chowk – Namaskar Chowk, Nanded</v>
      </c>
      <c r="AR204" t="str">
        <f ca="1"/>
        <v>Nanded</v>
      </c>
      <c r="AS204" s="42" t="str">
        <f ca="1"/>
        <v>NI</v>
      </c>
      <c r="AT204" t="str">
        <f ca="1"/>
        <v>311/2025</v>
      </c>
      <c r="AU204" t="str">
        <f ca="1"/>
        <v>Airport Police Station, Nanded</v>
      </c>
      <c r="AV204" t="str">
        <f ca="1"/>
        <v>Nanded</v>
      </c>
      <c r="AW204" t="str">
        <f ca="1"/>
        <v>NA</v>
      </c>
      <c r="AX204" s="42" t="str">
        <f ca="1"/>
        <v>NA</v>
      </c>
      <c r="AY204" t="str">
        <f ca="1"/>
        <v>NA</v>
      </c>
      <c r="AZ204" t="str">
        <f ca="1"/>
        <v>NA</v>
      </c>
      <c r="BA204" t="str">
        <f ca="1"/>
        <v>NA</v>
      </c>
      <c r="BB204" s="42" t="str">
        <f ca="1"/>
        <v>NA</v>
      </c>
      <c r="BC204" t="str">
        <f ca="1"/>
        <v>NA</v>
      </c>
      <c r="BD204" t="str">
        <f ca="1"/>
        <v>NA</v>
      </c>
      <c r="BE204">
        <f ca="1"/>
        <v>0</v>
      </c>
    </row>
    <row r="205" spans="1:57">
      <c r="A205" s="42">
        <f ca="1"/>
        <v>204</v>
      </c>
      <c r="B205" s="42" t="str">
        <f ca="1"/>
        <v>2025214177</v>
      </c>
      <c r="C205" s="42" t="str">
        <f ca="1"/>
        <v>Indusind General Insurance Co Ltd</v>
      </c>
      <c r="D205" s="42" t="str">
        <f ca="1"/>
        <v>MACT</v>
      </c>
      <c r="E205" s="42" t="str">
        <f ca="1"/>
        <v>R001-1204-SS-2025</v>
      </c>
      <c r="F205" s="310">
        <f ca="1"/>
        <v>46013</v>
      </c>
      <c r="G205" s="42" t="str">
        <f ca="1"/>
        <v>Dec-25</v>
      </c>
      <c r="H205" s="312" t="str">
        <f ca="1"/>
        <v>-</v>
      </c>
      <c r="I205" s="42">
        <f ca="1"/>
        <v>0</v>
      </c>
      <c r="J205" s="310">
        <f ca="1"/>
        <v>46055</v>
      </c>
      <c r="K205" s="42">
        <f ca="1"/>
        <v>14</v>
      </c>
      <c r="L205" s="42" t="str">
        <f ca="1"/>
        <v>WT</v>
      </c>
      <c r="M205" s="42" t="str">
        <f ca="1"/>
        <v>Full Case</v>
      </c>
      <c r="N205" s="42" t="str">
        <f ca="1"/>
        <v>Open</v>
      </c>
      <c r="O205" s="42" t="str">
        <f ca="1"/>
        <v>WIP</v>
      </c>
      <c r="P205" t="str">
        <f ca="1"/>
        <v>Claimant/Insured/Driver/Spot/CS</v>
      </c>
      <c r="Q205" t="str">
        <f ca="1"/>
        <v>Savita Raju Lokhande</v>
      </c>
      <c r="R205" t="str">
        <f ca="1"/>
        <v>Lokhande Vasti, Devdaithavan, Tal. Shrigonda, Dist. Ahmednagar</v>
      </c>
      <c r="S205" t="str">
        <f ca="1"/>
        <v>Ahmednagar</v>
      </c>
      <c r="T205" s="314" t="str">
        <f ca="1"/>
        <v>NI</v>
      </c>
      <c r="U205" t="str">
        <f ca="1"/>
        <v>NA</v>
      </c>
      <c r="V205" t="str">
        <f ca="1"/>
        <v>NA</v>
      </c>
      <c r="W205" t="str">
        <f ca="1"/>
        <v>NA</v>
      </c>
      <c r="X205" s="42" t="str">
        <f ca="1"/>
        <v>NA</v>
      </c>
      <c r="Y205" t="str">
        <f ca="1"/>
        <v>Ajay Sitaraam Jadhav</v>
      </c>
      <c r="Z205" t="str">
        <f ca="1"/>
        <v>Ekta Nagar, Sillod, Taluka Sillod, District Chhatrapati Sambhajinagar , Maharashtra</v>
      </c>
      <c r="AA205" t="str">
        <f ca="1"/>
        <v xml:space="preserve">Sambhajinagar </v>
      </c>
      <c r="AB205" t="str">
        <f ca="1"/>
        <v>NA</v>
      </c>
      <c r="AC205" s="42" t="str">
        <f ca="1"/>
        <v>NI</v>
      </c>
      <c r="AD205" t="str">
        <f ca="1"/>
        <v>Govind Sanjay Jadhav</v>
      </c>
      <c r="AE205" t="str">
        <f ca="1"/>
        <v>Ekta Nagar, Sillod, Taluka Sillod, District Chhatrapati Sambhajinagar , Maharashtra</v>
      </c>
      <c r="AF205" t="str">
        <f ca="1"/>
        <v xml:space="preserve">Sambhajinagar </v>
      </c>
      <c r="AG205" s="42" t="str">
        <f ca="1"/>
        <v>NA</v>
      </c>
      <c r="AH205" t="str">
        <f ca="1"/>
        <v>NA</v>
      </c>
      <c r="AI205" s="42" t="str">
        <f ca="1"/>
        <v>NA</v>
      </c>
      <c r="AJ205" t="str">
        <f ca="1"/>
        <v>NA</v>
      </c>
      <c r="AK205" s="42" t="str">
        <f ca="1"/>
        <v>NA</v>
      </c>
      <c r="AL205" t="str">
        <f ca="1"/>
        <v>NA</v>
      </c>
      <c r="AM205" s="42" t="str">
        <f ca="1"/>
        <v>NA</v>
      </c>
      <c r="AN205" t="str">
        <f ca="1"/>
        <v>NA</v>
      </c>
      <c r="AO205" s="42" t="str">
        <f ca="1"/>
        <v>NA</v>
      </c>
      <c r="AP205" t="str">
        <f ca="1"/>
        <v>NA</v>
      </c>
      <c r="AQ205" t="str">
        <f ca="1"/>
        <v>Shrigonda-Shirur Road, Devdaithavan, near Kauthale Vasti</v>
      </c>
      <c r="AR205" t="str">
        <f ca="1"/>
        <v>Ahmednagar</v>
      </c>
      <c r="AS205" s="42" t="str">
        <f ca="1"/>
        <v>NI</v>
      </c>
      <c r="AT205" t="str">
        <f ca="1"/>
        <v>286/2025</v>
      </c>
      <c r="AU205" t="str">
        <f ca="1"/>
        <v>Belwandi, Tal. Shrigonda, Dist. Ahmednagar</v>
      </c>
      <c r="AV205" t="str">
        <f ca="1"/>
        <v>Ahmednagar</v>
      </c>
      <c r="AW205" t="str">
        <f ca="1"/>
        <v>NA</v>
      </c>
      <c r="AX205" s="42" t="str">
        <f ca="1"/>
        <v>NA</v>
      </c>
      <c r="AY205" t="str">
        <f ca="1"/>
        <v>NA</v>
      </c>
      <c r="AZ205" t="str">
        <f ca="1"/>
        <v>NA</v>
      </c>
      <c r="BA205" t="str">
        <f ca="1"/>
        <v>NA</v>
      </c>
      <c r="BB205" s="42" t="str">
        <f ca="1"/>
        <v>NA</v>
      </c>
      <c r="BC205" t="str">
        <f ca="1"/>
        <v>NA</v>
      </c>
      <c r="BD205" t="str">
        <f ca="1"/>
        <v>Pending</v>
      </c>
      <c r="BE205">
        <f ca="1"/>
        <v>0</v>
      </c>
    </row>
    <row r="206" spans="1:57">
      <c r="A206" s="42">
        <f ca="1"/>
        <v>205</v>
      </c>
      <c r="B206" s="42" t="str">
        <f ca="1"/>
        <v>2025214105</v>
      </c>
      <c r="C206" s="42" t="str">
        <f ca="1"/>
        <v>Indusind General Insurance Co Ltd</v>
      </c>
      <c r="D206" s="42" t="str">
        <f ca="1"/>
        <v>MACT</v>
      </c>
      <c r="E206" s="42" t="str">
        <f ca="1"/>
        <v>R001-1205-SS-2025</v>
      </c>
      <c r="F206" s="310">
        <f ca="1"/>
        <v>46013</v>
      </c>
      <c r="G206" s="42" t="str">
        <f ca="1"/>
        <v>Dec-25</v>
      </c>
      <c r="H206" s="312" t="str">
        <f ca="1"/>
        <v>-</v>
      </c>
      <c r="I206" s="42">
        <f ca="1"/>
        <v>0</v>
      </c>
      <c r="J206" s="310">
        <f ca="1"/>
        <v>46055</v>
      </c>
      <c r="K206" s="42">
        <f ca="1"/>
        <v>14</v>
      </c>
      <c r="L206" s="42" t="str">
        <f ca="1"/>
        <v>WT</v>
      </c>
      <c r="M206" s="42" t="str">
        <f ca="1"/>
        <v>Full Case</v>
      </c>
      <c r="N206" s="42" t="str">
        <f ca="1"/>
        <v>Open</v>
      </c>
      <c r="O206" s="42" t="str">
        <f ca="1"/>
        <v>WIP</v>
      </c>
      <c r="P206" t="str">
        <f ca="1"/>
        <v>Claimant/Insured/Spot/CS</v>
      </c>
      <c r="Q206" t="str">
        <f ca="1"/>
        <v>Kamalaji Pralhadrao Haran</v>
      </c>
      <c r="R206" t="str">
        <f ca="1"/>
        <v>Sawarkheda, Taluka Hingoli, District Hingoli, Maharashtra</v>
      </c>
      <c r="S206" t="str">
        <f ca="1"/>
        <v>Hingoli</v>
      </c>
      <c r="T206" s="314" t="str">
        <f ca="1"/>
        <v>NI</v>
      </c>
      <c r="U206" t="str">
        <f ca="1"/>
        <v>NA</v>
      </c>
      <c r="V206" t="str">
        <f ca="1"/>
        <v>NA</v>
      </c>
      <c r="W206" t="str">
        <f ca="1"/>
        <v>NA</v>
      </c>
      <c r="X206" s="42" t="str">
        <f ca="1"/>
        <v>NA</v>
      </c>
      <c r="Y206" t="str">
        <f ca="1"/>
        <v>Gajanan Ganeshrao Solanke</v>
      </c>
      <c r="Z206" t="str">
        <f ca="1"/>
        <v>Malwadi Surana Nagar, Nanded Bypass, Hingoli, District Hingoli – 431513</v>
      </c>
      <c r="AA206" t="str">
        <f ca="1"/>
        <v>Hingoli</v>
      </c>
      <c r="AB206" t="str">
        <f ca="1"/>
        <v>NA</v>
      </c>
      <c r="AC206" s="42" t="str">
        <f ca="1"/>
        <v>NI</v>
      </c>
      <c r="AD206" t="str">
        <f ca="1"/>
        <v>NA</v>
      </c>
      <c r="AE206" t="str">
        <f ca="1"/>
        <v>NA</v>
      </c>
      <c r="AF206" t="str">
        <f ca="1"/>
        <v>NA</v>
      </c>
      <c r="AG206" s="42" t="str">
        <f ca="1"/>
        <v>NA</v>
      </c>
      <c r="AH206" t="str">
        <f ca="1"/>
        <v>NA</v>
      </c>
      <c r="AI206" s="42" t="str">
        <f ca="1"/>
        <v>NA</v>
      </c>
      <c r="AJ206" t="str">
        <f ca="1"/>
        <v>NA</v>
      </c>
      <c r="AK206" s="42" t="str">
        <f ca="1"/>
        <v>NA</v>
      </c>
      <c r="AL206" t="str">
        <f ca="1"/>
        <v>NA</v>
      </c>
      <c r="AM206" s="42" t="str">
        <f ca="1"/>
        <v>NA</v>
      </c>
      <c r="AN206" t="str">
        <f ca="1"/>
        <v>NA</v>
      </c>
      <c r="AO206" s="42" t="str">
        <f ca="1"/>
        <v>NA</v>
      </c>
      <c r="AP206" t="str">
        <f ca="1"/>
        <v>NA</v>
      </c>
      <c r="AQ206" t="str">
        <f ca="1"/>
        <v>Vicinity of Karwadi, ahead of Chaudhari Petrol Pump, Hingoli–Kalmanuri Road</v>
      </c>
      <c r="AR206" t="str">
        <f ca="1"/>
        <v>Hingoli</v>
      </c>
      <c r="AS206" s="42" t="str">
        <f ca="1"/>
        <v>NI</v>
      </c>
      <c r="AT206" t="str">
        <f ca="1"/>
        <v>NA</v>
      </c>
      <c r="AU206" t="str">
        <f ca="1"/>
        <v>P.S. Hingoli (Rural)</v>
      </c>
      <c r="AV206" t="str">
        <f ca="1"/>
        <v>Hingoli</v>
      </c>
      <c r="AW206" t="str">
        <f ca="1"/>
        <v>NA</v>
      </c>
      <c r="AX206" s="42" t="str">
        <f ca="1"/>
        <v>NA</v>
      </c>
      <c r="AY206" t="str">
        <f ca="1"/>
        <v>NA</v>
      </c>
      <c r="AZ206" t="str">
        <f ca="1"/>
        <v>NA</v>
      </c>
      <c r="BA206" t="str">
        <f ca="1"/>
        <v>NA</v>
      </c>
      <c r="BB206" s="42" t="str">
        <f ca="1"/>
        <v>NA</v>
      </c>
      <c r="BC206" t="str">
        <f ca="1"/>
        <v>NA</v>
      </c>
      <c r="BD206">
        <f ca="1"/>
        <v>0</v>
      </c>
      <c r="BE206">
        <f ca="1"/>
        <v>0</v>
      </c>
    </row>
    <row r="207" spans="1:57">
      <c r="A207" s="42">
        <f ca="1"/>
        <v>206</v>
      </c>
      <c r="B207" s="42" t="str">
        <f ca="1"/>
        <v>2025213441</v>
      </c>
      <c r="C207" s="42" t="str">
        <f ca="1"/>
        <v>Indusind General Insurance Co Ltd</v>
      </c>
      <c r="D207" s="42" t="str">
        <f ca="1"/>
        <v>MACT</v>
      </c>
      <c r="E207" s="42" t="str">
        <f ca="1"/>
        <v>R001-1206-SS-2025</v>
      </c>
      <c r="F207" s="310">
        <f ca="1"/>
        <v>46013</v>
      </c>
      <c r="G207" s="42" t="str">
        <f ca="1"/>
        <v>Dec-25</v>
      </c>
      <c r="H207" s="312" t="str">
        <f ca="1"/>
        <v>-</v>
      </c>
      <c r="I207" s="42">
        <f ca="1"/>
        <v>0</v>
      </c>
      <c r="J207" s="310">
        <f ca="1"/>
        <v>46055</v>
      </c>
      <c r="K207" s="42">
        <f ca="1"/>
        <v>14</v>
      </c>
      <c r="L207" s="42" t="str">
        <f ca="1"/>
        <v>WT</v>
      </c>
      <c r="M207" s="42" t="str">
        <f ca="1"/>
        <v>Full Case</v>
      </c>
      <c r="N207" s="42" t="str">
        <f ca="1"/>
        <v>Open</v>
      </c>
      <c r="O207" s="42" t="str">
        <f ca="1"/>
        <v>WIP</v>
      </c>
      <c r="P207" t="str">
        <f ca="1"/>
        <v>Claimant/Insured/Spot/CS</v>
      </c>
      <c r="Q207" t="str">
        <f ca="1"/>
        <v>Awez  Yusuf Khan Pathan</v>
      </c>
      <c r="R207" t="str">
        <f ca="1"/>
        <v>Azam Colony, Hingoli, Taluka Hingoli, District Hingoli</v>
      </c>
      <c r="S207" t="str">
        <f ca="1"/>
        <v xml:space="preserve"> Hingoli</v>
      </c>
      <c r="T207" s="314" t="str">
        <f ca="1"/>
        <v>NI</v>
      </c>
      <c r="U207" t="str">
        <f ca="1"/>
        <v>NA</v>
      </c>
      <c r="V207" t="str">
        <f ca="1"/>
        <v>NA</v>
      </c>
      <c r="W207" t="str">
        <f ca="1"/>
        <v>NA</v>
      </c>
      <c r="X207" s="42" t="str">
        <f ca="1"/>
        <v>NA</v>
      </c>
      <c r="Y207" t="str">
        <f ca="1"/>
        <v>Shekh Mujid Shekh Musa</v>
      </c>
      <c r="Z207" t="str">
        <f ca="1"/>
        <v>Kothalaj Road, Azam Colony, Hingoli, District Hingoli</v>
      </c>
      <c r="AA207" t="str">
        <f ca="1"/>
        <v>Hingoli</v>
      </c>
      <c r="AB207" t="str">
        <f ca="1"/>
        <v>NA</v>
      </c>
      <c r="AC207" s="42" t="str">
        <f ca="1"/>
        <v>NI</v>
      </c>
      <c r="AD207" t="str">
        <f ca="1"/>
        <v>NA</v>
      </c>
      <c r="AE207" t="str">
        <f ca="1"/>
        <v>NA</v>
      </c>
      <c r="AF207" t="str">
        <f ca="1"/>
        <v>NA</v>
      </c>
      <c r="AG207" s="42" t="str">
        <f ca="1"/>
        <v>NA</v>
      </c>
      <c r="AH207" t="str">
        <f ca="1"/>
        <v>NA</v>
      </c>
      <c r="AI207" s="42" t="str">
        <f ca="1"/>
        <v>NA</v>
      </c>
      <c r="AJ207" t="str">
        <f ca="1"/>
        <v>NA</v>
      </c>
      <c r="AK207" s="42" t="str">
        <f ca="1"/>
        <v>NA</v>
      </c>
      <c r="AL207" t="str">
        <f ca="1"/>
        <v>NA</v>
      </c>
      <c r="AM207" s="42" t="str">
        <f ca="1"/>
        <v>NA</v>
      </c>
      <c r="AN207" t="str">
        <f ca="1"/>
        <v>NA</v>
      </c>
      <c r="AO207" s="42" t="str">
        <f ca="1"/>
        <v>NA</v>
      </c>
      <c r="AP207" t="str">
        <f ca="1"/>
        <v>NA</v>
      </c>
      <c r="AQ207" t="str">
        <f ca="1"/>
        <v>At Kayal’s Construction, Hingoli</v>
      </c>
      <c r="AR207" t="str">
        <f ca="1"/>
        <v>Hingoli</v>
      </c>
      <c r="AS207" s="42" t="str">
        <f ca="1"/>
        <v>NI</v>
      </c>
      <c r="AT207" t="str">
        <f ca="1"/>
        <v>NA</v>
      </c>
      <c r="AU207" t="str">
        <f ca="1"/>
        <v>P.S. Hingoli Town</v>
      </c>
      <c r="AV207" t="str">
        <f ca="1"/>
        <v>Hingoli</v>
      </c>
      <c r="AW207" t="str">
        <f ca="1"/>
        <v>NA</v>
      </c>
      <c r="AX207" s="42" t="str">
        <f ca="1"/>
        <v>NA</v>
      </c>
      <c r="AY207" t="str">
        <f ca="1"/>
        <v>NA</v>
      </c>
      <c r="AZ207" t="str">
        <f ca="1"/>
        <v>NA</v>
      </c>
      <c r="BA207" t="str">
        <f ca="1"/>
        <v>NA</v>
      </c>
      <c r="BB207" s="42" t="str">
        <f ca="1"/>
        <v>NA</v>
      </c>
      <c r="BC207" t="str">
        <f ca="1"/>
        <v>NA</v>
      </c>
      <c r="BD207">
        <f ca="1"/>
        <v>0</v>
      </c>
      <c r="BE207">
        <f ca="1"/>
        <v>0</v>
      </c>
    </row>
    <row r="208" spans="1:57">
      <c r="A208" s="42">
        <f ca="1"/>
        <v>207</v>
      </c>
      <c r="B208" s="42" t="str">
        <f ca="1"/>
        <v>2025214020</v>
      </c>
      <c r="C208" s="42" t="str">
        <f ca="1"/>
        <v>Indusind General Insurance Co Ltd</v>
      </c>
      <c r="D208" s="42" t="str">
        <f ca="1"/>
        <v>MACT</v>
      </c>
      <c r="E208" s="42" t="str">
        <f ca="1"/>
        <v>R001-1207-SS-2025</v>
      </c>
      <c r="F208" s="310">
        <f ca="1"/>
        <v>46013</v>
      </c>
      <c r="G208" s="42" t="str">
        <f ca="1"/>
        <v>Dec-25</v>
      </c>
      <c r="H208" s="312" t="str">
        <f ca="1"/>
        <v>-</v>
      </c>
      <c r="I208" s="42">
        <f ca="1"/>
        <v>0</v>
      </c>
      <c r="J208" s="310">
        <f ca="1"/>
        <v>46055</v>
      </c>
      <c r="K208" s="42">
        <f ca="1"/>
        <v>14</v>
      </c>
      <c r="L208" s="42" t="str">
        <f ca="1"/>
        <v>WT</v>
      </c>
      <c r="M208" s="42" t="str">
        <f ca="1"/>
        <v>Full Case</v>
      </c>
      <c r="N208" s="42" t="str">
        <f ca="1"/>
        <v>Open</v>
      </c>
      <c r="O208" s="42" t="str">
        <f ca="1"/>
        <v>WIP</v>
      </c>
      <c r="P208" t="str">
        <f ca="1"/>
        <v>Claimant/Insured/Spot/CS</v>
      </c>
      <c r="Q208" t="str">
        <f ca="1"/>
        <v>Maya Vilas Mogale</v>
      </c>
      <c r="R208" t="str">
        <f ca="1"/>
        <v>R/o Lohgaon, Tq Hingoli, Dist Hingoli.</v>
      </c>
      <c r="S208" t="str">
        <f ca="1"/>
        <v>Hingoli</v>
      </c>
      <c r="T208" s="314" t="str">
        <f ca="1"/>
        <v>NI</v>
      </c>
      <c r="U208" t="str">
        <f ca="1"/>
        <v>NA</v>
      </c>
      <c r="V208" t="str">
        <f ca="1"/>
        <v>NA</v>
      </c>
      <c r="W208" t="str">
        <f ca="1"/>
        <v>NA</v>
      </c>
      <c r="X208" s="42" t="str">
        <f ca="1"/>
        <v>NA</v>
      </c>
      <c r="Y208" t="str">
        <f ca="1"/>
        <v>Surajkumar Indarlal Jaiswal</v>
      </c>
      <c r="Z208" t="str">
        <f ca="1"/>
        <v>At Po. Sawali Bk., Tq Aundha Nag, Dist Hingoli</v>
      </c>
      <c r="AA208" t="str">
        <f ca="1"/>
        <v>Hingoli</v>
      </c>
      <c r="AB208" t="str">
        <f ca="1"/>
        <v>NA</v>
      </c>
      <c r="AC208" s="42" t="str">
        <f ca="1"/>
        <v>NI</v>
      </c>
      <c r="AD208" t="str">
        <f ca="1"/>
        <v>NA</v>
      </c>
      <c r="AE208" t="str">
        <f ca="1"/>
        <v>NA</v>
      </c>
      <c r="AF208" t="str">
        <f ca="1"/>
        <v>NA</v>
      </c>
      <c r="AG208" s="42" t="str">
        <f ca="1"/>
        <v>NA</v>
      </c>
      <c r="AH208" t="str">
        <f ca="1"/>
        <v>NA</v>
      </c>
      <c r="AI208" s="42" t="str">
        <f ca="1"/>
        <v>NA</v>
      </c>
      <c r="AJ208" t="str">
        <f ca="1"/>
        <v>NA</v>
      </c>
      <c r="AK208" s="42" t="str">
        <f ca="1"/>
        <v>NA</v>
      </c>
      <c r="AL208" t="str">
        <f ca="1"/>
        <v>NA</v>
      </c>
      <c r="AM208" s="42" t="str">
        <f ca="1"/>
        <v>NA</v>
      </c>
      <c r="AN208" t="str">
        <f ca="1"/>
        <v>NA</v>
      </c>
      <c r="AO208" s="42" t="str">
        <f ca="1"/>
        <v>NA</v>
      </c>
      <c r="AP208" t="str">
        <f ca="1"/>
        <v>NA</v>
      </c>
      <c r="AQ208" t="str">
        <f ca="1"/>
        <v>Karanjala to Lohgaon road, near field of Bharat Sontakke</v>
      </c>
      <c r="AR208" t="str">
        <f ca="1"/>
        <v>Washim</v>
      </c>
      <c r="AS208" s="42" t="str">
        <f ca="1"/>
        <v>NI</v>
      </c>
      <c r="AT208" t="str">
        <f ca="1"/>
        <v>131/2025</v>
      </c>
      <c r="AU208" t="str">
        <f ca="1"/>
        <v>P.S. Narsi Namdev</v>
      </c>
      <c r="AV208" t="str">
        <f ca="1"/>
        <v>Hingoli</v>
      </c>
      <c r="AW208" t="str">
        <f ca="1"/>
        <v>NA</v>
      </c>
      <c r="AX208" s="42" t="str">
        <f ca="1"/>
        <v>NA</v>
      </c>
      <c r="AY208" t="str">
        <f ca="1"/>
        <v>NA</v>
      </c>
      <c r="AZ208" t="str">
        <f ca="1"/>
        <v>NA</v>
      </c>
      <c r="BA208" t="str">
        <f ca="1"/>
        <v>NA</v>
      </c>
      <c r="BB208" s="42" t="str">
        <f ca="1"/>
        <v>NA</v>
      </c>
      <c r="BC208" t="str">
        <f ca="1"/>
        <v>NA</v>
      </c>
      <c r="BD208">
        <f ca="1"/>
        <v>0</v>
      </c>
      <c r="BE208">
        <f ca="1"/>
        <v>0</v>
      </c>
    </row>
    <row r="209" spans="1:57">
      <c r="A209" s="42">
        <f ca="1"/>
        <v>208</v>
      </c>
      <c r="B209" s="42" t="str">
        <f ca="1"/>
        <v>2024213331</v>
      </c>
      <c r="C209" s="42" t="str">
        <f ca="1"/>
        <v>Indusind General Insurance Co Ltd</v>
      </c>
      <c r="D209" s="42" t="str">
        <f ca="1"/>
        <v>MACT</v>
      </c>
      <c r="E209" s="42" t="str">
        <f ca="1"/>
        <v>R001-1208-SS-2025</v>
      </c>
      <c r="F209" s="310">
        <f ca="1"/>
        <v>45966</v>
      </c>
      <c r="G209" s="42" t="str">
        <f ca="1"/>
        <v>Nov-25</v>
      </c>
      <c r="H209" s="312">
        <f ca="1"/>
        <v>46015</v>
      </c>
      <c r="I209" s="42" t="str">
        <f ca="1"/>
        <v>Dec-25</v>
      </c>
      <c r="J209" s="310">
        <f ca="1"/>
        <v>45987</v>
      </c>
      <c r="K209" s="42">
        <f ca="1"/>
        <v>49</v>
      </c>
      <c r="L209" s="42" t="str">
        <f ca="1"/>
        <v>AT</v>
      </c>
      <c r="M209" s="42" t="str">
        <f ca="1"/>
        <v>Partial Case</v>
      </c>
      <c r="N209" s="42" t="str">
        <f ca="1"/>
        <v>Dispatch</v>
      </c>
      <c r="O209" s="42" t="str">
        <f ca="1"/>
        <v>Completed</v>
      </c>
      <c r="P209">
        <f ca="1"/>
        <v>0</v>
      </c>
      <c r="Q209">
        <f ca="1"/>
        <v>0</v>
      </c>
      <c r="R209">
        <f ca="1"/>
        <v>0</v>
      </c>
      <c r="S209">
        <f ca="1"/>
        <v>0</v>
      </c>
      <c r="T209" s="314" t="str">
        <f ca="1"/>
        <v>Completed</v>
      </c>
      <c r="U209">
        <f ca="1"/>
        <v>0</v>
      </c>
      <c r="V209">
        <f ca="1"/>
        <v>0</v>
      </c>
      <c r="W209">
        <f ca="1"/>
        <v>0</v>
      </c>
      <c r="X209" s="42" t="str">
        <f ca="1"/>
        <v>NA</v>
      </c>
      <c r="Y209">
        <f ca="1"/>
        <v>0</v>
      </c>
      <c r="Z209">
        <f ca="1"/>
        <v>0</v>
      </c>
      <c r="AA209">
        <f ca="1"/>
        <v>0</v>
      </c>
      <c r="AB209">
        <f ca="1"/>
        <v>0</v>
      </c>
      <c r="AC209" s="42" t="str">
        <f ca="1"/>
        <v>NA</v>
      </c>
      <c r="AD209">
        <f ca="1"/>
        <v>0</v>
      </c>
      <c r="AE209">
        <f ca="1"/>
        <v>0</v>
      </c>
      <c r="AF209">
        <f ca="1"/>
        <v>0</v>
      </c>
      <c r="AG209" s="42" t="str">
        <f ca="1"/>
        <v>NA</v>
      </c>
      <c r="AH209">
        <f ca="1"/>
        <v>0</v>
      </c>
      <c r="AI209" s="42">
        <f ca="1"/>
        <v>0</v>
      </c>
      <c r="AJ209">
        <f ca="1"/>
        <v>0</v>
      </c>
      <c r="AK209" s="42">
        <f ca="1"/>
        <v>0</v>
      </c>
      <c r="AL209">
        <f ca="1"/>
        <v>0</v>
      </c>
      <c r="AM209" s="42">
        <f ca="1"/>
        <v>0</v>
      </c>
      <c r="AN209">
        <f ca="1"/>
        <v>0</v>
      </c>
      <c r="AO209" s="42">
        <f ca="1"/>
        <v>0</v>
      </c>
      <c r="AP209">
        <f ca="1"/>
        <v>0</v>
      </c>
      <c r="AQ209">
        <f ca="1"/>
        <v>0</v>
      </c>
      <c r="AR209">
        <f ca="1"/>
        <v>0</v>
      </c>
      <c r="AS209" s="42" t="str">
        <f ca="1"/>
        <v>NA</v>
      </c>
      <c r="AT209">
        <f ca="1"/>
        <v>0</v>
      </c>
      <c r="AU209">
        <f ca="1"/>
        <v>0</v>
      </c>
      <c r="AV209">
        <f ca="1"/>
        <v>0</v>
      </c>
      <c r="AW209">
        <f ca="1"/>
        <v>0</v>
      </c>
      <c r="AX209" s="42" t="str">
        <f ca="1"/>
        <v>NA</v>
      </c>
      <c r="AY209">
        <f ca="1"/>
        <v>0</v>
      </c>
      <c r="AZ209">
        <f ca="1"/>
        <v>0</v>
      </c>
      <c r="BA209">
        <f ca="1"/>
        <v>0</v>
      </c>
      <c r="BB209" s="42" t="str">
        <f ca="1"/>
        <v>NA</v>
      </c>
      <c r="BC209">
        <f ca="1"/>
        <v>0</v>
      </c>
      <c r="BD209">
        <f ca="1"/>
        <v>0</v>
      </c>
      <c r="BE209">
        <f ca="1"/>
        <v>0</v>
      </c>
    </row>
    <row r="210" spans="1:57">
      <c r="A210" s="42">
        <f ca="1"/>
        <v>209</v>
      </c>
      <c r="B210" s="42">
        <f ca="1"/>
        <v>2024210698</v>
      </c>
      <c r="C210" s="42" t="str">
        <f ca="1"/>
        <v>Indusind General Insurance Co Ltd</v>
      </c>
      <c r="D210" s="42" t="str">
        <f ca="1"/>
        <v>MACT</v>
      </c>
      <c r="E210" s="42" t="str">
        <f ca="1"/>
        <v>R001-1209-SS-2025</v>
      </c>
      <c r="F210" s="310">
        <f ca="1"/>
        <v>45551</v>
      </c>
      <c r="G210" s="42" t="str">
        <f ca="1"/>
        <v>Sep-24</v>
      </c>
      <c r="H210" s="312">
        <f ca="1"/>
        <v>46017</v>
      </c>
      <c r="I210" s="42" t="str">
        <f ca="1"/>
        <v>Dec-25</v>
      </c>
      <c r="J210" s="310">
        <f ca="1"/>
        <v>45593</v>
      </c>
      <c r="K210" s="42">
        <f ca="1"/>
        <v>466</v>
      </c>
      <c r="L210" s="42" t="str">
        <f ca="1"/>
        <v>AT</v>
      </c>
      <c r="M210" s="42" t="str">
        <f ca="1"/>
        <v>Full Case</v>
      </c>
      <c r="N210" s="42" t="str">
        <f ca="1"/>
        <v>Dispatch</v>
      </c>
      <c r="O210" s="42" t="str">
        <f ca="1"/>
        <v>Completed</v>
      </c>
      <c r="P210">
        <f ca="1"/>
        <v>0</v>
      </c>
      <c r="Q210" t="str">
        <f ca="1"/>
        <v xml:space="preserve">SURESH MUTHUKRISHANAN </v>
      </c>
      <c r="R210" t="str">
        <f ca="1"/>
        <v xml:space="preserve">R/O-Plot no.601,Mount Vista Building,Urse Road,Talegaon Dabhade,Dehuroad,Pimpri Chinchwad Pune.mb.no-9677911736 </v>
      </c>
      <c r="S210" t="str">
        <f ca="1"/>
        <v>Pune</v>
      </c>
      <c r="T210" s="314" t="str">
        <f ca="1"/>
        <v>Completed</v>
      </c>
      <c r="U210" t="str">
        <f ca="1"/>
        <v>NA</v>
      </c>
      <c r="V210" t="str">
        <f ca="1"/>
        <v>NA</v>
      </c>
      <c r="W210" t="str">
        <f ca="1"/>
        <v>NA</v>
      </c>
      <c r="X210" s="42" t="str">
        <f ca="1"/>
        <v>NA</v>
      </c>
      <c r="Y210" t="str">
        <f ca="1"/>
        <v>DEEPAK NIVRUTTI KANSE</v>
      </c>
      <c r="Z210" t="str">
        <f ca="1"/>
        <v>R/O-SHOP NO-106,1ST FLR PLOT NO-58,SECT
19G VASHI,NAVI MUMBAI,THANE,Maharashtra 400706.  Mobile No :9769172478</v>
      </c>
      <c r="AA210" t="str">
        <f ca="1"/>
        <v>Mumbai</v>
      </c>
      <c r="AB210" t="str">
        <f ca="1"/>
        <v>NA</v>
      </c>
      <c r="AC210" s="42" t="str">
        <f ca="1"/>
        <v>Completed</v>
      </c>
      <c r="AD210" t="str">
        <f ca="1"/>
        <v>NA</v>
      </c>
      <c r="AE210" t="str">
        <f ca="1"/>
        <v>NA</v>
      </c>
      <c r="AF210" t="str">
        <f ca="1"/>
        <v>NA</v>
      </c>
      <c r="AG210" s="42" t="str">
        <f ca="1"/>
        <v>NA</v>
      </c>
      <c r="AH210" t="str">
        <f ca="1"/>
        <v>NA</v>
      </c>
      <c r="AI210" s="42" t="str">
        <f ca="1"/>
        <v>NA</v>
      </c>
      <c r="AJ210" t="str">
        <f ca="1"/>
        <v>NA</v>
      </c>
      <c r="AK210" s="42" t="str">
        <f ca="1"/>
        <v>NA</v>
      </c>
      <c r="AL210" t="str">
        <f ca="1"/>
        <v>NA</v>
      </c>
      <c r="AM210" s="42" t="str">
        <f ca="1"/>
        <v>NA</v>
      </c>
      <c r="AN210" t="str">
        <f ca="1"/>
        <v>NA</v>
      </c>
      <c r="AO210" s="42" t="str">
        <f ca="1"/>
        <v>NA</v>
      </c>
      <c r="AP210" t="str">
        <f ca="1"/>
        <v>NA</v>
      </c>
      <c r="AQ210" t="str">
        <f ca="1"/>
        <v xml:space="preserve">Ordinance Factory to Central Dehuroad Pune </v>
      </c>
      <c r="AR210" t="str">
        <f ca="1"/>
        <v>Pune</v>
      </c>
      <c r="AS210" s="42" t="str">
        <f ca="1"/>
        <v>Completed</v>
      </c>
      <c r="AT210" t="str">
        <f ca="1"/>
        <v>139/2024</v>
      </c>
      <c r="AU210" t="str">
        <f ca="1"/>
        <v>Dehu road Police Station</v>
      </c>
      <c r="AV210" t="str">
        <f ca="1"/>
        <v>Pune</v>
      </c>
      <c r="AW210" t="str">
        <f ca="1"/>
        <v>NA</v>
      </c>
      <c r="AX210" s="42" t="str">
        <f ca="1"/>
        <v>STOP</v>
      </c>
      <c r="AY210" t="str">
        <f ca="1"/>
        <v>NA</v>
      </c>
      <c r="AZ210" t="str">
        <f ca="1"/>
        <v>NA</v>
      </c>
      <c r="BA210" t="str">
        <f ca="1"/>
        <v>NA</v>
      </c>
      <c r="BB210" s="42" t="str">
        <f ca="1"/>
        <v>NA</v>
      </c>
      <c r="BC210" t="str">
        <f ca="1"/>
        <v>NA</v>
      </c>
      <c r="BD210" t="str">
        <f ca="1"/>
        <v>Received</v>
      </c>
      <c r="BE210">
        <f ca="1"/>
        <v>0</v>
      </c>
    </row>
    <row r="211" spans="1:57">
      <c r="A211" s="42">
        <f ca="1"/>
        <v>210</v>
      </c>
      <c r="B211" s="42">
        <f ca="1"/>
        <v>2759892</v>
      </c>
      <c r="C211" s="42" t="str">
        <f ca="1"/>
        <v>SBI General Insurance Company Ltd</v>
      </c>
      <c r="D211" s="42" t="str">
        <f ca="1"/>
        <v>MACT</v>
      </c>
      <c r="E211" s="42" t="str">
        <f ca="1"/>
        <v>S002-1210-SS-2025</v>
      </c>
      <c r="F211" s="310">
        <f ca="1"/>
        <v>46017</v>
      </c>
      <c r="G211" s="42" t="str">
        <f ca="1"/>
        <v>Dec-25</v>
      </c>
      <c r="H211" s="312">
        <f ca="1"/>
        <v>0</v>
      </c>
      <c r="I211" s="42" t="str">
        <f ca="1"/>
        <v/>
      </c>
      <c r="J211" s="310">
        <f ca="1"/>
        <v>46059</v>
      </c>
      <c r="K211" s="42">
        <f ca="1"/>
        <v>10</v>
      </c>
      <c r="L211" s="42" t="str">
        <f ca="1"/>
        <v>WT</v>
      </c>
      <c r="M211" s="42" t="str">
        <f ca="1"/>
        <v>Full Case</v>
      </c>
      <c r="N211" s="42" t="str">
        <f ca="1"/>
        <v>Open</v>
      </c>
      <c r="O211" s="42" t="str">
        <f ca="1"/>
        <v>WIP</v>
      </c>
      <c r="P211">
        <f ca="1"/>
        <v>0</v>
      </c>
      <c r="Q211" t="str">
        <f ca="1"/>
        <v>Krishna Ramchandra Bhosale</v>
      </c>
      <c r="R211" t="str">
        <f ca="1"/>
        <v>Punadi Road, Dudhondi, Sangli, Maharashtra – 416308</v>
      </c>
      <c r="S211" t="str">
        <f ca="1"/>
        <v>Pune</v>
      </c>
      <c r="T211" s="314" t="str">
        <f ca="1"/>
        <v>NI</v>
      </c>
      <c r="U211" t="str">
        <f ca="1"/>
        <v>NA</v>
      </c>
      <c r="V211" t="str">
        <f ca="1"/>
        <v>NA</v>
      </c>
      <c r="W211" t="str">
        <f ca="1"/>
        <v>NA</v>
      </c>
      <c r="X211" s="42" t="str">
        <f ca="1"/>
        <v>NA</v>
      </c>
      <c r="Y211" t="str">
        <f ca="1"/>
        <v>Pramod Nivrutti Mandake</v>
      </c>
      <c r="Z211" t="str">
        <f ca="1"/>
        <v>Shirasgaon, Tal-Kadegaon, Dist. Sangli</v>
      </c>
      <c r="AA211" t="str">
        <f ca="1"/>
        <v>Pune</v>
      </c>
      <c r="AB211" t="str">
        <f ca="1"/>
        <v>NA</v>
      </c>
      <c r="AC211" s="42" t="str">
        <f ca="1"/>
        <v>NI</v>
      </c>
      <c r="AD211" t="str">
        <f ca="1"/>
        <v>NA</v>
      </c>
      <c r="AE211" t="str">
        <f ca="1"/>
        <v>NA</v>
      </c>
      <c r="AF211" t="str">
        <f ca="1"/>
        <v>NA</v>
      </c>
      <c r="AG211" s="42" t="str">
        <f ca="1"/>
        <v>NI</v>
      </c>
      <c r="AH211" t="str">
        <f ca="1"/>
        <v>NA</v>
      </c>
      <c r="AI211" s="42" t="str">
        <f ca="1"/>
        <v>NA</v>
      </c>
      <c r="AJ211" t="str">
        <f ca="1"/>
        <v>NA</v>
      </c>
      <c r="AK211" s="42" t="str">
        <f ca="1"/>
        <v>NA</v>
      </c>
      <c r="AL211" t="str">
        <f ca="1"/>
        <v>NA</v>
      </c>
      <c r="AM211" s="42" t="str">
        <f ca="1"/>
        <v>NA</v>
      </c>
      <c r="AN211" t="str">
        <f ca="1"/>
        <v>NA</v>
      </c>
      <c r="AO211" s="42" t="str">
        <f ca="1"/>
        <v>NA</v>
      </c>
      <c r="AP211" t="str">
        <f ca="1"/>
        <v>NA</v>
      </c>
      <c r="AQ211" t="str">
        <f ca="1"/>
        <v>In front of HDFC Bank, Shirval, Satara</v>
      </c>
      <c r="AR211" t="str">
        <f ca="1"/>
        <v>Satara</v>
      </c>
      <c r="AS211" s="42" t="str">
        <f ca="1"/>
        <v>NI</v>
      </c>
      <c r="AT211" t="str">
        <f ca="1"/>
        <v>370/2024</v>
      </c>
      <c r="AU211" t="str">
        <f ca="1"/>
        <v>Shirval Police Station</v>
      </c>
      <c r="AV211" t="str">
        <f ca="1"/>
        <v>Satara</v>
      </c>
      <c r="AW211" t="str">
        <f ca="1"/>
        <v>NA</v>
      </c>
      <c r="AX211" s="42" t="str">
        <f ca="1"/>
        <v>NI</v>
      </c>
      <c r="AY211" t="str">
        <f ca="1"/>
        <v>NA</v>
      </c>
      <c r="AZ211" t="str">
        <f ca="1"/>
        <v>NA</v>
      </c>
      <c r="BA211" t="str">
        <f ca="1"/>
        <v>NA</v>
      </c>
      <c r="BB211" s="42" t="str">
        <f ca="1"/>
        <v>NA</v>
      </c>
      <c r="BC211" t="str">
        <f ca="1"/>
        <v>NA</v>
      </c>
      <c r="BD211" t="str">
        <f ca="1"/>
        <v>Pending</v>
      </c>
      <c r="BE211">
        <f ca="1"/>
        <v>0</v>
      </c>
    </row>
    <row r="212" spans="1:57">
      <c r="A212" s="42">
        <f ca="1"/>
        <v>211</v>
      </c>
      <c r="B212" s="42">
        <f ca="1"/>
        <v>2759893</v>
      </c>
      <c r="C212" s="42" t="str">
        <f ca="1"/>
        <v>SBI General Insurance Company Ltd</v>
      </c>
      <c r="D212" s="42" t="str">
        <f ca="1"/>
        <v>MACT</v>
      </c>
      <c r="E212" s="42" t="str">
        <f ca="1"/>
        <v>S002-1211-SS-2025</v>
      </c>
      <c r="F212" s="310">
        <f ca="1"/>
        <v>46017</v>
      </c>
      <c r="G212" s="42" t="str">
        <f ca="1"/>
        <v>Dec-25</v>
      </c>
      <c r="H212" s="312">
        <f ca="1"/>
        <v>0</v>
      </c>
      <c r="I212" s="42" t="str">
        <f ca="1"/>
        <v/>
      </c>
      <c r="J212" s="310" t="str">
        <f ca="1"/>
        <v/>
      </c>
      <c r="K212" s="42">
        <f ca="1"/>
        <v>10</v>
      </c>
      <c r="L212" s="42" t="str">
        <f ca="1"/>
        <v>WT</v>
      </c>
      <c r="M212" s="42" t="str">
        <f ca="1"/>
        <v>Connected Case</v>
      </c>
      <c r="N212" s="42" t="str">
        <f ca="1"/>
        <v>Open</v>
      </c>
      <c r="O212" s="42" t="str">
        <f ca="1"/>
        <v>WIP</v>
      </c>
      <c r="P212" t="str">
        <f ca="1"/>
        <v>(Connected Case - 2759892)</v>
      </c>
      <c r="Q212" t="str">
        <f ca="1"/>
        <v>Jidnyasa Jaysing Kadam</v>
      </c>
      <c r="R212" t="str">
        <f ca="1"/>
        <v>Sonsal, Shirasgaon, Sangli, Maharashtra – 415303</v>
      </c>
      <c r="S212" t="str">
        <f ca="1"/>
        <v>Pune</v>
      </c>
      <c r="T212" s="314" t="str">
        <f ca="1"/>
        <v>NI</v>
      </c>
      <c r="U212" t="str">
        <f ca="1"/>
        <v>NA</v>
      </c>
      <c r="V212" t="str">
        <f ca="1"/>
        <v>NA</v>
      </c>
      <c r="W212" t="str">
        <f ca="1"/>
        <v>NA</v>
      </c>
      <c r="X212" s="42" t="str">
        <f ca="1"/>
        <v>NA</v>
      </c>
      <c r="Y212" t="str">
        <f ca="1"/>
        <v>NA</v>
      </c>
      <c r="Z212" t="str">
        <f ca="1"/>
        <v>NA</v>
      </c>
      <c r="AA212" t="str">
        <f ca="1"/>
        <v>NA</v>
      </c>
      <c r="AB212" t="str">
        <f ca="1"/>
        <v>NA</v>
      </c>
      <c r="AC212" s="42" t="str">
        <f ca="1"/>
        <v>NA</v>
      </c>
      <c r="AD212" t="str">
        <f ca="1"/>
        <v>NA</v>
      </c>
      <c r="AE212" t="str">
        <f ca="1"/>
        <v>NA</v>
      </c>
      <c r="AF212" t="str">
        <f ca="1"/>
        <v>NA</v>
      </c>
      <c r="AG212" s="42" t="str">
        <f ca="1"/>
        <v>NA</v>
      </c>
      <c r="AH212" t="str">
        <f ca="1"/>
        <v>NA</v>
      </c>
      <c r="AI212" s="42" t="str">
        <f ca="1"/>
        <v>NA</v>
      </c>
      <c r="AJ212" t="str">
        <f ca="1"/>
        <v>NA</v>
      </c>
      <c r="AK212" s="42" t="str">
        <f ca="1"/>
        <v>NA</v>
      </c>
      <c r="AL212" t="str">
        <f ca="1"/>
        <v>NA</v>
      </c>
      <c r="AM212" s="42" t="str">
        <f ca="1"/>
        <v>NA</v>
      </c>
      <c r="AN212" t="str">
        <f ca="1"/>
        <v>NI</v>
      </c>
      <c r="AO212" s="42" t="str">
        <f ca="1"/>
        <v>NA</v>
      </c>
      <c r="AP212" t="str">
        <f ca="1"/>
        <v>NA</v>
      </c>
      <c r="AQ212" t="str">
        <f ca="1"/>
        <v>NA</v>
      </c>
      <c r="AR212" t="str">
        <f ca="1"/>
        <v>NA</v>
      </c>
      <c r="AS212" s="42" t="str">
        <f ca="1"/>
        <v>NA</v>
      </c>
      <c r="AT212" t="str">
        <f ca="1"/>
        <v>NA</v>
      </c>
      <c r="AU212" t="str">
        <f ca="1"/>
        <v>NA</v>
      </c>
      <c r="AV212" t="str">
        <f ca="1"/>
        <v>NA</v>
      </c>
      <c r="AW212" t="str">
        <f ca="1"/>
        <v>NA</v>
      </c>
      <c r="AX212" s="42" t="str">
        <f ca="1"/>
        <v>NA</v>
      </c>
      <c r="AY212" t="str">
        <f ca="1"/>
        <v>NA</v>
      </c>
      <c r="AZ212" t="str">
        <f ca="1"/>
        <v>NA</v>
      </c>
      <c r="BA212" t="str">
        <f ca="1"/>
        <v>NI</v>
      </c>
      <c r="BB212" s="42" t="str">
        <f ca="1"/>
        <v>NA</v>
      </c>
      <c r="BC212" t="str">
        <f ca="1"/>
        <v>NA</v>
      </c>
      <c r="BD212" t="str">
        <f ca="1"/>
        <v>Pending</v>
      </c>
      <c r="BE212">
        <f ca="1"/>
        <v>0</v>
      </c>
    </row>
    <row r="213" spans="1:57">
      <c r="A213" s="42">
        <f ca="1"/>
        <v>212</v>
      </c>
      <c r="B213" s="42">
        <f ca="1"/>
        <v>2024213740</v>
      </c>
      <c r="C213" s="42" t="str">
        <f ca="1"/>
        <v>Indusind General Insurance Co Ltd</v>
      </c>
      <c r="D213" s="42" t="str">
        <f ca="1"/>
        <v>MACT</v>
      </c>
      <c r="E213" s="42" t="str">
        <f ca="1"/>
        <v>R001-1212-SS-2025</v>
      </c>
      <c r="F213" s="310">
        <f ca="1"/>
        <v>46018</v>
      </c>
      <c r="G213" s="42" t="str">
        <f ca="1"/>
        <v>Dec-25</v>
      </c>
      <c r="H213" s="312">
        <f ca="1"/>
        <v>0</v>
      </c>
      <c r="I213" s="42" t="str">
        <f ca="1"/>
        <v/>
      </c>
      <c r="J213" s="310">
        <f ca="1"/>
        <v>46038</v>
      </c>
      <c r="K213" s="42">
        <f ca="1"/>
        <v>9</v>
      </c>
      <c r="L213" s="42" t="str">
        <f ca="1"/>
        <v>WT</v>
      </c>
      <c r="M213" s="42" t="str">
        <f ca="1"/>
        <v>Partial Case</v>
      </c>
      <c r="N213" s="42" t="str">
        <f ca="1"/>
        <v>Open</v>
      </c>
      <c r="O213" s="42" t="str">
        <f ca="1"/>
        <v>NI</v>
      </c>
      <c r="P213" t="str">
        <f ca="1"/>
        <v>Required Complete chargesheet</v>
      </c>
      <c r="Q213" t="str">
        <f ca="1"/>
        <v xml:space="preserve">NA </v>
      </c>
      <c r="R213" t="str">
        <f ca="1"/>
        <v>NA</v>
      </c>
      <c r="S213" t="str">
        <f ca="1"/>
        <v>NA</v>
      </c>
      <c r="T213" s="314" t="str">
        <f ca="1"/>
        <v>NA</v>
      </c>
      <c r="U213" t="str">
        <f ca="1"/>
        <v xml:space="preserve">NA </v>
      </c>
      <c r="V213" t="str">
        <f ca="1"/>
        <v>NA</v>
      </c>
      <c r="W213" t="str">
        <f ca="1"/>
        <v xml:space="preserve">NA </v>
      </c>
      <c r="X213" s="42" t="str">
        <f ca="1"/>
        <v>NA</v>
      </c>
      <c r="Y213" t="str">
        <f ca="1"/>
        <v xml:space="preserve">NA </v>
      </c>
      <c r="Z213" t="str">
        <f ca="1"/>
        <v>NA</v>
      </c>
      <c r="AA213" t="str">
        <f ca="1"/>
        <v>NA</v>
      </c>
      <c r="AB213" t="str">
        <f ca="1"/>
        <v>NA</v>
      </c>
      <c r="AC213" s="42" t="str">
        <f ca="1"/>
        <v>NA</v>
      </c>
      <c r="AD213" t="str">
        <f ca="1"/>
        <v xml:space="preserve">NA </v>
      </c>
      <c r="AE213" t="str">
        <f ca="1"/>
        <v xml:space="preserve">NA </v>
      </c>
      <c r="AF213" t="str">
        <f ca="1"/>
        <v>NA</v>
      </c>
      <c r="AG213" s="42" t="str">
        <f ca="1"/>
        <v>NA</v>
      </c>
      <c r="AH213" t="str">
        <f ca="1"/>
        <v>NA</v>
      </c>
      <c r="AI213" s="42" t="str">
        <f ca="1"/>
        <v>NA</v>
      </c>
      <c r="AJ213" t="str">
        <f ca="1"/>
        <v>NA</v>
      </c>
      <c r="AK213" s="42" t="str">
        <f ca="1"/>
        <v>NA</v>
      </c>
      <c r="AL213" t="str">
        <f ca="1"/>
        <v>NA</v>
      </c>
      <c r="AM213" s="42" t="str">
        <f ca="1"/>
        <v>NA</v>
      </c>
      <c r="AN213" t="str">
        <f ca="1"/>
        <v>NI</v>
      </c>
      <c r="AO213" s="42" t="str">
        <f ca="1"/>
        <v>NA</v>
      </c>
      <c r="AP213" t="str">
        <f ca="1"/>
        <v>NA</v>
      </c>
      <c r="AQ213" t="str">
        <f ca="1"/>
        <v xml:space="preserve">NA </v>
      </c>
      <c r="AR213" t="str">
        <f ca="1"/>
        <v xml:space="preserve">NA </v>
      </c>
      <c r="AS213" s="42" t="str">
        <f ca="1"/>
        <v>NA</v>
      </c>
      <c r="AT213" t="str">
        <f ca="1"/>
        <v>321/2024</v>
      </c>
      <c r="AU213" t="str">
        <f ca="1"/>
        <v>Ambad Police Station</v>
      </c>
      <c r="AV213" t="str">
        <f ca="1"/>
        <v>Nashik</v>
      </c>
      <c r="AW213" t="str">
        <f ca="1"/>
        <v>NA</v>
      </c>
      <c r="AX213" s="42" t="str">
        <f ca="1"/>
        <v>NI</v>
      </c>
      <c r="AY213" t="str">
        <f ca="1"/>
        <v>NA</v>
      </c>
      <c r="AZ213" t="str">
        <f ca="1"/>
        <v>NA</v>
      </c>
      <c r="BA213" t="str">
        <f ca="1"/>
        <v>NI</v>
      </c>
      <c r="BB213" s="42" t="str">
        <f ca="1"/>
        <v>NA</v>
      </c>
      <c r="BC213" t="str">
        <f ca="1"/>
        <v>NA</v>
      </c>
      <c r="BD213" t="str">
        <f ca="1"/>
        <v>Pending</v>
      </c>
      <c r="BE213">
        <f ca="1"/>
        <v>0</v>
      </c>
    </row>
    <row r="214" spans="1:57">
      <c r="A214" s="42">
        <f ca="1"/>
        <v>213</v>
      </c>
      <c r="B214" s="42">
        <f ca="1"/>
        <v>2024205707</v>
      </c>
      <c r="C214" s="42" t="str">
        <f ca="1"/>
        <v>Indusind General Insurance Co Ltd</v>
      </c>
      <c r="D214" s="42" t="str">
        <f ca="1"/>
        <v>MACT</v>
      </c>
      <c r="E214" s="42" t="str">
        <f ca="1"/>
        <v>R001-1213-SS-2025</v>
      </c>
      <c r="F214" s="310">
        <f ca="1"/>
        <v>46021</v>
      </c>
      <c r="G214" s="42" t="str">
        <f ca="1"/>
        <v>Dec-25</v>
      </c>
      <c r="H214" s="312">
        <f ca="1"/>
        <v>0</v>
      </c>
      <c r="I214" s="42" t="str">
        <f ca="1"/>
        <v/>
      </c>
      <c r="J214" s="310">
        <f ca="1"/>
        <v>0</v>
      </c>
      <c r="K214" s="42">
        <f ca="1"/>
        <v>6</v>
      </c>
      <c r="L214" s="42" t="str">
        <f ca="1"/>
        <v>WT</v>
      </c>
      <c r="M214" s="42" t="str">
        <f ca="1"/>
        <v>Connected Case</v>
      </c>
      <c r="N214" s="42" t="str">
        <f ca="1"/>
        <v>Open</v>
      </c>
      <c r="O214" s="42" t="str">
        <f ca="1"/>
        <v>NI</v>
      </c>
      <c r="P214" t="str">
        <f ca="1"/>
        <v>For Claimant Part Only. (Connected Case - 2024214532)</v>
      </c>
      <c r="Q214" t="str">
        <f ca="1"/>
        <v>Shivasing  Lalsing Rajput  (8055606181)</v>
      </c>
      <c r="R214" t="str">
        <f ca="1"/>
        <v>R/o : Pardeshi galli, Vaijapur Tq. Vaijapur Dist Aurangabad.</v>
      </c>
      <c r="S214" t="str">
        <f ca="1"/>
        <v>Sambhaji Nagar</v>
      </c>
      <c r="T214" s="314" t="str">
        <f ca="1"/>
        <v>NI</v>
      </c>
      <c r="U214" t="str">
        <f ca="1"/>
        <v xml:space="preserve">NA </v>
      </c>
      <c r="V214" t="str">
        <f ca="1"/>
        <v xml:space="preserve">NA </v>
      </c>
      <c r="W214" t="str">
        <f ca="1"/>
        <v xml:space="preserve">NA </v>
      </c>
      <c r="X214" s="42" t="str">
        <f ca="1"/>
        <v>NA</v>
      </c>
      <c r="Y214" t="str">
        <f ca="1"/>
        <v xml:space="preserve">NA </v>
      </c>
      <c r="Z214" t="str">
        <f ca="1"/>
        <v>NA</v>
      </c>
      <c r="AA214" t="str">
        <f ca="1"/>
        <v>NA</v>
      </c>
      <c r="AB214" t="str">
        <f ca="1"/>
        <v>NA</v>
      </c>
      <c r="AC214" s="42" t="str">
        <f ca="1"/>
        <v>NA</v>
      </c>
      <c r="AD214" t="str">
        <f ca="1"/>
        <v>NA</v>
      </c>
      <c r="AE214" t="str">
        <f ca="1"/>
        <v xml:space="preserve">NA </v>
      </c>
      <c r="AF214" t="str">
        <f ca="1"/>
        <v>NA</v>
      </c>
      <c r="AG214" s="42" t="str">
        <f ca="1"/>
        <v>NA</v>
      </c>
      <c r="AH214" t="str">
        <f ca="1"/>
        <v>NA</v>
      </c>
      <c r="AI214" s="42" t="str">
        <f ca="1"/>
        <v>NA</v>
      </c>
      <c r="AJ214" t="str">
        <f ca="1"/>
        <v>NA</v>
      </c>
      <c r="AK214" s="42" t="str">
        <f ca="1"/>
        <v>NA</v>
      </c>
      <c r="AL214" t="str">
        <f ca="1"/>
        <v>NA</v>
      </c>
      <c r="AM214" s="42" t="str">
        <f ca="1"/>
        <v>NA</v>
      </c>
      <c r="AN214" t="str">
        <f ca="1"/>
        <v>NA</v>
      </c>
      <c r="AO214" s="42" t="str">
        <f ca="1"/>
        <v>NA</v>
      </c>
      <c r="AP214" t="str">
        <f ca="1"/>
        <v>NA</v>
      </c>
      <c r="AQ214" t="str">
        <f ca="1"/>
        <v xml:space="preserve">NA </v>
      </c>
      <c r="AR214" t="str">
        <f ca="1"/>
        <v>NA</v>
      </c>
      <c r="AS214" s="42" t="str">
        <f ca="1"/>
        <v>NA</v>
      </c>
      <c r="AT214" t="str">
        <f ca="1"/>
        <v>NA</v>
      </c>
      <c r="AU214" t="str">
        <f ca="1"/>
        <v xml:space="preserve">NA </v>
      </c>
      <c r="AV214" t="str">
        <f ca="1"/>
        <v>NA</v>
      </c>
      <c r="AW214" t="str">
        <f ca="1"/>
        <v>NA</v>
      </c>
      <c r="AX214" s="42" t="str">
        <f ca="1"/>
        <v>NA</v>
      </c>
      <c r="AY214" t="str">
        <f ca="1"/>
        <v>NA</v>
      </c>
      <c r="AZ214" t="str">
        <f ca="1"/>
        <v>NA</v>
      </c>
      <c r="BA214" t="str">
        <f ca="1"/>
        <v>NA</v>
      </c>
      <c r="BB214" s="42" t="str">
        <f ca="1"/>
        <v>NA</v>
      </c>
      <c r="BC214" t="str">
        <f ca="1"/>
        <v>NA</v>
      </c>
      <c r="BD214" t="str">
        <f ca="1"/>
        <v>Pending</v>
      </c>
      <c r="BE214">
        <f ca="1"/>
        <v>0</v>
      </c>
    </row>
    <row r="215" spans="1:57">
      <c r="A215" s="42">
        <f ca="1"/>
        <v>214</v>
      </c>
      <c r="B215" s="42">
        <f ca="1"/>
        <v>2025214537</v>
      </c>
      <c r="C215" s="42" t="str">
        <f ca="1"/>
        <v>Indusind General Insurance Co Ltd</v>
      </c>
      <c r="D215" s="42" t="str">
        <f ca="1"/>
        <v>MACT</v>
      </c>
      <c r="E215" s="42" t="str">
        <f ca="1"/>
        <v>R001-1214-SS-2025</v>
      </c>
      <c r="F215" s="310">
        <f ca="1"/>
        <v>46021</v>
      </c>
      <c r="G215" s="42" t="str">
        <f ca="1"/>
        <v>Dec-25</v>
      </c>
      <c r="H215" s="312">
        <f ca="1"/>
        <v>0</v>
      </c>
      <c r="I215" s="42" t="str">
        <f ca="1"/>
        <v/>
      </c>
      <c r="J215" s="310">
        <f ca="1"/>
        <v>46063</v>
      </c>
      <c r="K215" s="42">
        <f ca="1"/>
        <v>6</v>
      </c>
      <c r="L215" s="42" t="str">
        <f ca="1"/>
        <v>WT</v>
      </c>
      <c r="M215" s="42" t="str">
        <f ca="1"/>
        <v>Full Case</v>
      </c>
      <c r="N215" s="42" t="str">
        <f ca="1"/>
        <v>Open</v>
      </c>
      <c r="O215" s="42" t="str">
        <f ca="1"/>
        <v>NI</v>
      </c>
      <c r="P215">
        <f ca="1"/>
        <v>0</v>
      </c>
      <c r="Q215" t="str">
        <f ca="1"/>
        <v>Sunita Sanjay Mhaske</v>
      </c>
      <c r="R215" t="str">
        <f ca="1"/>
        <v>R/o Siddharth Nagar,New Samangaon,Post Ekalahara,Dist.Nashik 422105</v>
      </c>
      <c r="S215" t="str">
        <f ca="1"/>
        <v>Nashik</v>
      </c>
      <c r="T215" s="314" t="str">
        <f ca="1"/>
        <v>NI</v>
      </c>
      <c r="U215" t="str">
        <f ca="1"/>
        <v xml:space="preserve">NA </v>
      </c>
      <c r="V215" t="str">
        <f ca="1"/>
        <v xml:space="preserve">NA </v>
      </c>
      <c r="W215" t="str">
        <f ca="1"/>
        <v xml:space="preserve">NA </v>
      </c>
      <c r="X215" s="42" t="str">
        <f ca="1"/>
        <v>NA</v>
      </c>
      <c r="Y215" t="str">
        <f ca="1"/>
        <v xml:space="preserve">Akash Kashinath Jadhv </v>
      </c>
      <c r="Z215" t="str">
        <f ca="1"/>
        <v>R/o M.Po.Burudgaon,dist.Ahmednagar.4141001</v>
      </c>
      <c r="AA215" t="str">
        <f ca="1"/>
        <v>Ahilya Nagar</v>
      </c>
      <c r="AB215" t="str">
        <f ca="1"/>
        <v>NA</v>
      </c>
      <c r="AC215" s="42" t="str">
        <f ca="1"/>
        <v>NI</v>
      </c>
      <c r="AD215" t="str">
        <f ca="1"/>
        <v>NA</v>
      </c>
      <c r="AE215" t="str">
        <f ca="1"/>
        <v>NA</v>
      </c>
      <c r="AF215" t="str">
        <f ca="1"/>
        <v>NA</v>
      </c>
      <c r="AG215" s="42" t="str">
        <f ca="1"/>
        <v>NI</v>
      </c>
      <c r="AH215" t="str">
        <f ca="1"/>
        <v>NA</v>
      </c>
      <c r="AI215" s="42" t="str">
        <f ca="1"/>
        <v>NA</v>
      </c>
      <c r="AJ215" t="str">
        <f ca="1"/>
        <v>NA</v>
      </c>
      <c r="AK215" s="42" t="str">
        <f ca="1"/>
        <v>NA</v>
      </c>
      <c r="AL215" t="str">
        <f ca="1"/>
        <v>NA</v>
      </c>
      <c r="AM215" s="42" t="str">
        <f ca="1"/>
        <v>NA</v>
      </c>
      <c r="AN215" t="str">
        <f ca="1"/>
        <v>NA</v>
      </c>
      <c r="AO215" s="42" t="str">
        <f ca="1"/>
        <v>NA</v>
      </c>
      <c r="AP215" t="str">
        <f ca="1"/>
        <v>NA</v>
      </c>
      <c r="AQ215" t="str">
        <f ca="1"/>
        <v>Shevgaon Chowk Tisgaon,Village Pathardi, District Ahmednagar</v>
      </c>
      <c r="AR215" t="str">
        <f ca="1"/>
        <v>Ahilya Nagar</v>
      </c>
      <c r="AS215" s="42" t="str">
        <f ca="1"/>
        <v>NI</v>
      </c>
      <c r="AT215" t="str">
        <f ca="1"/>
        <v>0537/2025</v>
      </c>
      <c r="AU215" t="str">
        <f ca="1"/>
        <v>Pathardi Police Station</v>
      </c>
      <c r="AV215" t="str">
        <f ca="1"/>
        <v>Ahilya Nagar</v>
      </c>
      <c r="AW215" t="str">
        <f ca="1"/>
        <v>NA</v>
      </c>
      <c r="AX215" s="42" t="str">
        <f ca="1"/>
        <v>NI</v>
      </c>
      <c r="AY215" t="str">
        <f ca="1"/>
        <v>NA</v>
      </c>
      <c r="AZ215" t="str">
        <f ca="1"/>
        <v>NA</v>
      </c>
      <c r="BA215" t="str">
        <f ca="1"/>
        <v>NA</v>
      </c>
      <c r="BB215" s="42" t="str">
        <f ca="1"/>
        <v>NA</v>
      </c>
      <c r="BC215" t="str">
        <f ca="1"/>
        <v>NA</v>
      </c>
      <c r="BD215" t="str">
        <f ca="1"/>
        <v>Pending</v>
      </c>
      <c r="BE215">
        <f ca="1"/>
        <v>0</v>
      </c>
    </row>
    <row r="216" spans="1:57">
      <c r="A216" s="42">
        <f ca="1"/>
        <v>215</v>
      </c>
      <c r="B216" s="42">
        <f ca="1"/>
        <v>2762824</v>
      </c>
      <c r="C216" s="42" t="str">
        <f ca="1"/>
        <v>SBI General Insurance Company Ltd</v>
      </c>
      <c r="D216" s="42" t="str">
        <f ca="1"/>
        <v>MACT</v>
      </c>
      <c r="E216" s="42" t="str">
        <f ca="1"/>
        <v>S002-1215-SS-2025</v>
      </c>
      <c r="F216" s="310">
        <f ca="1"/>
        <v>46022</v>
      </c>
      <c r="G216" s="42" t="str">
        <f ca="1"/>
        <v>Dec-25</v>
      </c>
      <c r="H216" s="312">
        <f ca="1"/>
        <v>0</v>
      </c>
      <c r="I216" s="42" t="str">
        <f ca="1"/>
        <v/>
      </c>
      <c r="J216" s="310">
        <f ca="1"/>
        <v>46064</v>
      </c>
      <c r="K216" s="42">
        <f ca="1"/>
        <v>5</v>
      </c>
      <c r="L216" s="42" t="str">
        <f ca="1"/>
        <v>WT</v>
      </c>
      <c r="M216" s="42" t="str">
        <f ca="1"/>
        <v>Full Case</v>
      </c>
      <c r="N216" s="42" t="str">
        <f ca="1"/>
        <v>Open</v>
      </c>
      <c r="O216" s="42" t="str">
        <f ca="1"/>
        <v>NI</v>
      </c>
      <c r="P216">
        <f ca="1"/>
        <v>0</v>
      </c>
      <c r="Q216" t="str">
        <f ca="1"/>
        <v>Mangal Netaji Nikam</v>
      </c>
      <c r="R216" t="str">
        <f ca="1"/>
        <v>at present Surdi Tq. and District Dharashiv.</v>
      </c>
      <c r="S216" t="str">
        <f ca="1"/>
        <v>Dharashiv</v>
      </c>
      <c r="T216" s="314" t="str">
        <f ca="1"/>
        <v>NI</v>
      </c>
      <c r="U216" t="str">
        <f ca="1"/>
        <v xml:space="preserve">NA </v>
      </c>
      <c r="V216" t="str">
        <f ca="1"/>
        <v xml:space="preserve">NA </v>
      </c>
      <c r="W216" t="str">
        <f ca="1"/>
        <v xml:space="preserve">NA </v>
      </c>
      <c r="X216" s="42" t="str">
        <f ca="1"/>
        <v>NA</v>
      </c>
      <c r="Y216" t="str">
        <f ca="1"/>
        <v>Rahul  Shankar Pawar</v>
      </c>
      <c r="Z216" t="str">
        <f ca="1"/>
        <v>Shetphal Tq. Mohol District Solapur.</v>
      </c>
      <c r="AA216" t="str">
        <f ca="1"/>
        <v>Solapur</v>
      </c>
      <c r="AB216" t="str">
        <f ca="1"/>
        <v>NA</v>
      </c>
      <c r="AC216" s="42" t="str">
        <f ca="1"/>
        <v>NI</v>
      </c>
      <c r="AD216" t="str">
        <f ca="1"/>
        <v>NA</v>
      </c>
      <c r="AE216" t="str">
        <f ca="1"/>
        <v>NA</v>
      </c>
      <c r="AF216" t="str">
        <f ca="1"/>
        <v>NA</v>
      </c>
      <c r="AG216" s="42" t="str">
        <f ca="1"/>
        <v>NI</v>
      </c>
      <c r="AH216" t="str">
        <f ca="1"/>
        <v>NA</v>
      </c>
      <c r="AI216" s="42" t="str">
        <f ca="1"/>
        <v>NA</v>
      </c>
      <c r="AJ216" t="str">
        <f ca="1"/>
        <v>NA</v>
      </c>
      <c r="AK216" s="42" t="str">
        <f ca="1"/>
        <v>NA</v>
      </c>
      <c r="AL216" t="str">
        <f ca="1"/>
        <v>NA</v>
      </c>
      <c r="AM216" s="42" t="str">
        <f ca="1"/>
        <v>NA</v>
      </c>
      <c r="AN216" t="str">
        <f ca="1"/>
        <v>NA</v>
      </c>
      <c r="AO216" s="42" t="str">
        <f ca="1"/>
        <v>NA</v>
      </c>
      <c r="AP216" t="str">
        <f ca="1"/>
        <v>NA</v>
      </c>
      <c r="AQ216" t="str">
        <f ca="1"/>
        <v>on Kurduwadi to Barshi road in the vicinity of village Shendri Tq: Barshi in front of one Hotel of one Sarjerao Amle</v>
      </c>
      <c r="AR216" t="str">
        <f ca="1"/>
        <v>Solapur</v>
      </c>
      <c r="AS216" s="42" t="str">
        <f ca="1"/>
        <v>NI</v>
      </c>
      <c r="AT216" t="str">
        <f ca="1"/>
        <v>0397/2024</v>
      </c>
      <c r="AU216" t="str">
        <f ca="1"/>
        <v>Barshi Police Station</v>
      </c>
      <c r="AV216" t="str">
        <f ca="1"/>
        <v>Solapur</v>
      </c>
      <c r="AW216" t="str">
        <f ca="1"/>
        <v>NA</v>
      </c>
      <c r="AX216" s="42" t="str">
        <f ca="1"/>
        <v>NI</v>
      </c>
      <c r="AY216" t="str">
        <f ca="1"/>
        <v>NA</v>
      </c>
      <c r="AZ216" t="str">
        <f ca="1"/>
        <v>NA</v>
      </c>
      <c r="BA216" t="str">
        <f ca="1"/>
        <v>NA</v>
      </c>
      <c r="BB216" s="42" t="str">
        <f ca="1"/>
        <v>NA</v>
      </c>
      <c r="BC216" t="str">
        <f ca="1"/>
        <v>NA</v>
      </c>
      <c r="BD216" t="str">
        <f ca="1"/>
        <v>Pending</v>
      </c>
      <c r="BE216">
        <f ca="1"/>
        <v>0</v>
      </c>
    </row>
    <row r="217" spans="1:57">
      <c r="A217" s="42">
        <f ca="1"/>
        <v>216</v>
      </c>
      <c r="B217" s="42">
        <f ca="1"/>
        <v>2761243</v>
      </c>
      <c r="C217" s="42" t="str">
        <f ca="1"/>
        <v>SBI General Insurance Company Ltd</v>
      </c>
      <c r="D217" s="42" t="str">
        <f ca="1"/>
        <v>MACT</v>
      </c>
      <c r="E217" s="42" t="str">
        <f ca="1"/>
        <v>S002-1216-SS-2025</v>
      </c>
      <c r="F217" s="310">
        <f ca="1"/>
        <v>46022</v>
      </c>
      <c r="G217" s="42" t="str">
        <f ca="1"/>
        <v>Dec-25</v>
      </c>
      <c r="H217" s="312">
        <f ca="1"/>
        <v>0</v>
      </c>
      <c r="I217" s="42" t="str">
        <f ca="1"/>
        <v/>
      </c>
      <c r="J217" s="310">
        <f ca="1"/>
        <v>46064</v>
      </c>
      <c r="K217" s="42">
        <f ca="1"/>
        <v>5</v>
      </c>
      <c r="L217" s="42" t="str">
        <f ca="1"/>
        <v>WT</v>
      </c>
      <c r="M217" s="42" t="str">
        <f ca="1"/>
        <v>Full Case</v>
      </c>
      <c r="N217" s="42" t="str">
        <f ca="1"/>
        <v>Open</v>
      </c>
      <c r="O217" s="42" t="str">
        <f ca="1"/>
        <v>NI</v>
      </c>
      <c r="P217">
        <f ca="1"/>
        <v>0</v>
      </c>
      <c r="Q217" t="str">
        <f ca="1"/>
        <v>Mubeen Sultana  Mohammad Azeemoddin</v>
      </c>
      <c r="R217" t="str">
        <f ca="1"/>
        <v xml:space="preserve"> H.No. 9-7-100, Maltekdi Station Road, Degloornaka, Hyderbagh No.1, Nanded-431604.</v>
      </c>
      <c r="S217" t="str">
        <f ca="1"/>
        <v>Nanded</v>
      </c>
      <c r="T217" s="314" t="str">
        <f ca="1"/>
        <v>NI</v>
      </c>
      <c r="U217" t="str">
        <f ca="1"/>
        <v xml:space="preserve">NA </v>
      </c>
      <c r="V217" t="str">
        <f ca="1"/>
        <v xml:space="preserve">NA </v>
      </c>
      <c r="W217" t="str">
        <f ca="1"/>
        <v xml:space="preserve">NA </v>
      </c>
      <c r="X217" s="42" t="str">
        <f ca="1"/>
        <v>NA</v>
      </c>
      <c r="Y217" t="str">
        <f ca="1"/>
        <v>Mohammed Imran  Abdul Gaffar</v>
      </c>
      <c r="Z217" t="str">
        <f ca="1"/>
        <v>House No. 9-6-844, Near Khusru Nager, Degloor Naka, Nanded-431604.</v>
      </c>
      <c r="AA217" t="str">
        <f ca="1"/>
        <v>Nanded</v>
      </c>
      <c r="AB217" t="str">
        <f ca="1"/>
        <v>NA</v>
      </c>
      <c r="AC217" s="42" t="str">
        <f ca="1"/>
        <v>NI</v>
      </c>
      <c r="AD217" t="str">
        <f ca="1"/>
        <v>NA</v>
      </c>
      <c r="AE217" t="str">
        <f ca="1"/>
        <v>NA</v>
      </c>
      <c r="AF217" t="str">
        <f ca="1"/>
        <v>NA</v>
      </c>
      <c r="AG217" s="42" t="str">
        <f ca="1"/>
        <v>NI</v>
      </c>
      <c r="AH217" t="str">
        <f ca="1"/>
        <v>NA</v>
      </c>
      <c r="AI217" s="42" t="str">
        <f ca="1"/>
        <v>NA</v>
      </c>
      <c r="AJ217" t="str">
        <f ca="1"/>
        <v>NA</v>
      </c>
      <c r="AK217" s="42" t="str">
        <f ca="1"/>
        <v>NA</v>
      </c>
      <c r="AL217" t="str">
        <f ca="1"/>
        <v>NA</v>
      </c>
      <c r="AM217" s="42" t="str">
        <f ca="1"/>
        <v>NA</v>
      </c>
      <c r="AN217" t="str">
        <f ca="1"/>
        <v>NA</v>
      </c>
      <c r="AO217" s="42" t="str">
        <f ca="1"/>
        <v>NA</v>
      </c>
      <c r="AP217" t="str">
        <f ca="1"/>
        <v>NA</v>
      </c>
      <c r="AQ217" t="str">
        <f ca="1"/>
        <v>on Nanded to Hyderabad Road, near Pedda Kodapgal village out skirts on NH-161, main road Bridge.</v>
      </c>
      <c r="AR217" t="str">
        <f ca="1"/>
        <v>Nanded</v>
      </c>
      <c r="AS217" s="42" t="str">
        <f ca="1"/>
        <v>NI</v>
      </c>
      <c r="AT217" t="str">
        <f ca="1"/>
        <v>NA</v>
      </c>
      <c r="AU217" t="str">
        <f ca="1"/>
        <v xml:space="preserve">NA </v>
      </c>
      <c r="AV217" t="str">
        <f ca="1"/>
        <v>NA</v>
      </c>
      <c r="AW217" t="str">
        <f ca="1"/>
        <v>NA</v>
      </c>
      <c r="AX217" s="42" t="str">
        <f ca="1"/>
        <v>NA</v>
      </c>
      <c r="AY217" t="str">
        <f ca="1"/>
        <v>NA</v>
      </c>
      <c r="AZ217" t="str">
        <f ca="1"/>
        <v>NA</v>
      </c>
      <c r="BA217" t="str">
        <f ca="1"/>
        <v>NA</v>
      </c>
      <c r="BB217" s="42" t="str">
        <f ca="1"/>
        <v>NA</v>
      </c>
      <c r="BC217" t="str">
        <f ca="1"/>
        <v>NA</v>
      </c>
      <c r="BD217" t="str">
        <f ca="1"/>
        <v>Pending</v>
      </c>
      <c r="BE217">
        <f ca="1"/>
        <v>0</v>
      </c>
    </row>
    <row r="218" spans="1:57">
      <c r="A218" s="42">
        <f ca="1"/>
        <v>217</v>
      </c>
      <c r="B218" s="42">
        <f ca="1"/>
        <v>2002673</v>
      </c>
      <c r="C218" s="42" t="str">
        <f ca="1"/>
        <v>SBI General Insurance Company Ltd</v>
      </c>
      <c r="D218" s="42" t="str">
        <f ca="1"/>
        <v>MACT</v>
      </c>
      <c r="E218" s="42" t="str">
        <f ca="1"/>
        <v>S002-1217-SS-2025</v>
      </c>
      <c r="F218" s="310">
        <f ca="1"/>
        <v>46022</v>
      </c>
      <c r="G218" s="42" t="str">
        <f ca="1"/>
        <v>Dec-25</v>
      </c>
      <c r="H218" s="312">
        <f ca="1"/>
        <v>0</v>
      </c>
      <c r="I218" s="42" t="str">
        <f ca="1"/>
        <v/>
      </c>
      <c r="J218" s="310">
        <f ca="1"/>
        <v>46064</v>
      </c>
      <c r="K218" s="42">
        <f ca="1"/>
        <v>5</v>
      </c>
      <c r="L218" s="42" t="str">
        <f ca="1"/>
        <v>WT</v>
      </c>
      <c r="M218" s="42" t="str">
        <f ca="1"/>
        <v>Full Case</v>
      </c>
      <c r="N218" s="42" t="str">
        <f ca="1"/>
        <v>Open</v>
      </c>
      <c r="O218" s="42" t="str">
        <f ca="1"/>
        <v>NI</v>
      </c>
      <c r="P218">
        <f ca="1"/>
        <v>0</v>
      </c>
      <c r="Q218" t="str">
        <f ca="1"/>
        <v>Maroti Baliram Aglave</v>
      </c>
      <c r="R218" t="str">
        <f ca="1"/>
        <v>Rautkheda, Post Katkalamba Tq. Kandhar, Distt. Nanded</v>
      </c>
      <c r="S218" t="str">
        <f ca="1"/>
        <v>Nanded</v>
      </c>
      <c r="T218" s="314" t="str">
        <f ca="1"/>
        <v>NI</v>
      </c>
      <c r="U218" t="str">
        <f ca="1"/>
        <v xml:space="preserve">NA </v>
      </c>
      <c r="V218" t="str">
        <f ca="1"/>
        <v xml:space="preserve">NA </v>
      </c>
      <c r="W218" t="str">
        <f ca="1"/>
        <v xml:space="preserve">NA </v>
      </c>
      <c r="X218" s="42" t="str">
        <f ca="1"/>
        <v>NA</v>
      </c>
      <c r="Y218" t="str">
        <f ca="1"/>
        <v>Shoukatali Aamir Kha</v>
      </c>
      <c r="Z218" t="str">
        <f ca="1"/>
        <v xml:space="preserve"> Indra Nagar, Mahagaon Dist. Yavatmal</v>
      </c>
      <c r="AA218" t="str">
        <f ca="1"/>
        <v>Yavatmal</v>
      </c>
      <c r="AB218" t="str">
        <f ca="1"/>
        <v>NA</v>
      </c>
      <c r="AC218" s="42" t="str">
        <f ca="1"/>
        <v>NI</v>
      </c>
      <c r="AD218" t="str">
        <f ca="1"/>
        <v>NA</v>
      </c>
      <c r="AE218" t="str">
        <f ca="1"/>
        <v>NA</v>
      </c>
      <c r="AF218" t="str">
        <f ca="1"/>
        <v>NA</v>
      </c>
      <c r="AG218" s="42" t="str">
        <f ca="1"/>
        <v>NI</v>
      </c>
      <c r="AH218" t="str">
        <f ca="1"/>
        <v>NA</v>
      </c>
      <c r="AI218" s="42" t="str">
        <f ca="1"/>
        <v>NA</v>
      </c>
      <c r="AJ218" t="str">
        <f ca="1"/>
        <v>NA</v>
      </c>
      <c r="AK218" s="42" t="str">
        <f ca="1"/>
        <v>NA</v>
      </c>
      <c r="AL218" t="str">
        <f ca="1"/>
        <v>NA</v>
      </c>
      <c r="AM218" s="42" t="str">
        <f ca="1"/>
        <v>NA</v>
      </c>
      <c r="AN218" t="str">
        <f ca="1"/>
        <v>NA</v>
      </c>
      <c r="AO218" s="42" t="str">
        <f ca="1"/>
        <v>NA</v>
      </c>
      <c r="AP218" t="str">
        <f ca="1"/>
        <v>NA</v>
      </c>
      <c r="AQ218" t="str">
        <f ca="1"/>
        <v>Nanded-yavatmal Road Road,</v>
      </c>
      <c r="AR218" t="str">
        <f ca="1"/>
        <v>Nanded-yavatmal</v>
      </c>
      <c r="AS218" s="42" t="str">
        <f ca="1"/>
        <v>NI</v>
      </c>
      <c r="AT218" t="str">
        <f ca="1"/>
        <v>0001/2025</v>
      </c>
      <c r="AU218" t="str">
        <f ca="1"/>
        <v>Police Station Mahur</v>
      </c>
      <c r="AV218" t="str">
        <f ca="1"/>
        <v>Nanded</v>
      </c>
      <c r="AW218" t="str">
        <f ca="1"/>
        <v>NA</v>
      </c>
      <c r="AX218" s="42" t="str">
        <f ca="1"/>
        <v>NA</v>
      </c>
      <c r="AY218" t="str">
        <f ca="1"/>
        <v>NA</v>
      </c>
      <c r="AZ218" t="str">
        <f ca="1"/>
        <v>NA</v>
      </c>
      <c r="BA218" t="str">
        <f ca="1"/>
        <v>NA</v>
      </c>
      <c r="BB218" s="42" t="str">
        <f ca="1"/>
        <v>NA</v>
      </c>
      <c r="BC218" t="str">
        <f ca="1"/>
        <v>NA</v>
      </c>
      <c r="BD218" t="str">
        <f ca="1"/>
        <v>Pending</v>
      </c>
      <c r="BE218">
        <f ca="1"/>
        <v>0</v>
      </c>
    </row>
    <row r="219" spans="1:57">
      <c r="A219" s="42">
        <f ca="1"/>
        <v>218</v>
      </c>
      <c r="B219" s="42">
        <f ca="1"/>
        <v>2002769</v>
      </c>
      <c r="C219" s="42" t="str">
        <f ca="1"/>
        <v>SBI General Insurance Company Ltd</v>
      </c>
      <c r="D219" s="42" t="str">
        <f ca="1"/>
        <v>MACT</v>
      </c>
      <c r="E219" s="42" t="str">
        <f ca="1"/>
        <v>S002-1217-SS-2025</v>
      </c>
      <c r="F219" s="310">
        <f ca="1"/>
        <v>46023</v>
      </c>
      <c r="G219" s="42" t="str">
        <f ca="1"/>
        <v>Jan-26</v>
      </c>
      <c r="H219" s="312">
        <f ca="1"/>
        <v>0</v>
      </c>
      <c r="I219" s="42" t="str">
        <f ca="1"/>
        <v/>
      </c>
      <c r="J219" s="310">
        <f ca="1"/>
        <v>46065</v>
      </c>
      <c r="K219" s="42">
        <f ca="1"/>
        <v>4</v>
      </c>
      <c r="L219" s="42" t="str">
        <f ca="1"/>
        <v>WT</v>
      </c>
      <c r="M219" s="42" t="str">
        <f ca="1"/>
        <v>Full Case</v>
      </c>
      <c r="N219" s="42" t="str">
        <f ca="1"/>
        <v>Open</v>
      </c>
      <c r="O219" s="42" t="str">
        <f ca="1"/>
        <v>NI</v>
      </c>
      <c r="P219">
        <f ca="1"/>
        <v>0</v>
      </c>
      <c r="Q219" t="str">
        <f ca="1"/>
        <v>Vijay  Kadubal Misal</v>
      </c>
      <c r="R219" t="str">
        <f ca="1"/>
        <v xml:space="preserve">. House of Vithal Doifhode, Kamgar Colony, Chikalthana Chhatrapati Sambhajinagar </v>
      </c>
      <c r="S219" t="str">
        <f ca="1"/>
        <v>Sambhaji Nagar</v>
      </c>
      <c r="T219" s="314" t="str">
        <f ca="1"/>
        <v>NI</v>
      </c>
      <c r="U219" t="str">
        <f ca="1"/>
        <v xml:space="preserve">NA </v>
      </c>
      <c r="V219" t="str">
        <f ca="1"/>
        <v xml:space="preserve">NA </v>
      </c>
      <c r="W219" t="str">
        <f ca="1"/>
        <v xml:space="preserve">NA </v>
      </c>
      <c r="X219" s="42" t="str">
        <f ca="1"/>
        <v>NA</v>
      </c>
      <c r="Y219" t="str">
        <f ca="1"/>
        <v>Santosh  Bajirao Jadhav</v>
      </c>
      <c r="Z219" t="str">
        <f ca="1"/>
        <v xml:space="preserve"> Sukali Ukali, Tq. Mehkar, Dist. Buldhana.</v>
      </c>
      <c r="AA219" t="str">
        <f ca="1"/>
        <v>Buldhana</v>
      </c>
      <c r="AB219" t="str">
        <f ca="1"/>
        <v>NA</v>
      </c>
      <c r="AC219" s="42" t="str">
        <f ca="1"/>
        <v>NI</v>
      </c>
      <c r="AD219" t="str">
        <f ca="1"/>
        <v>Amol  Gajanan Ingle</v>
      </c>
      <c r="AE219" t="str">
        <f ca="1"/>
        <v>Gopal Krishna Sansthan Mali Peth, Ward No. 10, Mehkar Tq. Mehkar, Distt. Buldhana-443301</v>
      </c>
      <c r="AF219" t="str">
        <f ca="1"/>
        <v>Buldhana</v>
      </c>
      <c r="AG219" s="42" t="str">
        <f ca="1"/>
        <v>NI</v>
      </c>
      <c r="AH219" t="str">
        <f ca="1"/>
        <v>NA</v>
      </c>
      <c r="AI219" s="42" t="str">
        <f ca="1"/>
        <v>NA</v>
      </c>
      <c r="AJ219" t="str">
        <f ca="1"/>
        <v>NA</v>
      </c>
      <c r="AK219" s="42" t="str">
        <f ca="1"/>
        <v>NA</v>
      </c>
      <c r="AL219" t="str">
        <f ca="1"/>
        <v>NA</v>
      </c>
      <c r="AM219" s="42" t="str">
        <f ca="1"/>
        <v>NA</v>
      </c>
      <c r="AN219" t="str">
        <f ca="1"/>
        <v>NA</v>
      </c>
      <c r="AO219" s="42" t="str">
        <f ca="1"/>
        <v>NA</v>
      </c>
      <c r="AP219" t="str">
        <f ca="1"/>
        <v>NA</v>
      </c>
      <c r="AQ219" t="str">
        <f ca="1"/>
        <v>on Isarwadi Fata, Tq. Beedkin road, near village Shendurwada Mandwa fata Tq. Gangapur, Distt. Chtrpati Sambhaji-nagar.</v>
      </c>
      <c r="AR219" t="str">
        <f ca="1"/>
        <v>Sambhaji Nagar</v>
      </c>
      <c r="AS219" s="42" t="str">
        <f ca="1"/>
        <v>NI</v>
      </c>
      <c r="AT219" t="str">
        <f ca="1"/>
        <v>0245/2025</v>
      </c>
      <c r="AU219" t="str">
        <f ca="1"/>
        <v xml:space="preserve">Police Station Waluj </v>
      </c>
      <c r="AV219" t="str">
        <f ca="1"/>
        <v>Sambhaji Nagar</v>
      </c>
      <c r="AW219" t="str">
        <f ca="1"/>
        <v>NA</v>
      </c>
      <c r="AX219" s="42" t="str">
        <f ca="1"/>
        <v>NI</v>
      </c>
      <c r="AY219" t="str">
        <f ca="1"/>
        <v>NA</v>
      </c>
      <c r="AZ219" t="str">
        <f ca="1"/>
        <v>NA</v>
      </c>
      <c r="BA219" t="str">
        <f ca="1"/>
        <v>NA</v>
      </c>
      <c r="BB219" s="42" t="str">
        <f ca="1"/>
        <v>NA</v>
      </c>
      <c r="BC219" t="str">
        <f ca="1"/>
        <v>NA</v>
      </c>
      <c r="BD219" t="str">
        <f ca="1"/>
        <v>Pending</v>
      </c>
      <c r="BE219">
        <f ca="1"/>
        <v>0</v>
      </c>
    </row>
    <row r="220" spans="1:57">
      <c r="A220" s="42">
        <f ca="1"/>
        <v>219</v>
      </c>
      <c r="B220" s="42">
        <f ca="1"/>
        <v>2755247</v>
      </c>
      <c r="C220" s="42" t="str">
        <f ca="1"/>
        <v>SBI General Insurance Company Ltd</v>
      </c>
      <c r="D220" s="42" t="str">
        <f ca="1"/>
        <v>MACT</v>
      </c>
      <c r="E220" s="42" t="str">
        <f ca="1"/>
        <v>S002-1217-SS-2025</v>
      </c>
      <c r="F220" s="310">
        <f ca="1"/>
        <v>46023</v>
      </c>
      <c r="G220" s="42" t="str">
        <f ca="1"/>
        <v>Jan-26</v>
      </c>
      <c r="H220" s="312">
        <f ca="1"/>
        <v>0</v>
      </c>
      <c r="I220" s="42" t="str">
        <f ca="1"/>
        <v/>
      </c>
      <c r="J220" s="310">
        <f ca="1"/>
        <v>46065</v>
      </c>
      <c r="K220" s="42">
        <f ca="1"/>
        <v>4</v>
      </c>
      <c r="L220" s="42" t="str">
        <f ca="1"/>
        <v>WT</v>
      </c>
      <c r="M220" s="42" t="str">
        <f ca="1"/>
        <v>Full Case</v>
      </c>
      <c r="N220" s="42" t="str">
        <f ca="1"/>
        <v>Open</v>
      </c>
      <c r="O220" s="42" t="str">
        <f ca="1"/>
        <v>NI</v>
      </c>
      <c r="P220" t="str">
        <f ca="1"/>
        <v>Execpt Driver Part</v>
      </c>
      <c r="Q220" t="str">
        <f ca="1"/>
        <v xml:space="preserve">Sunil Rajendra Darekar </v>
      </c>
      <c r="R220" t="str">
        <f ca="1"/>
        <v>Shiradhon, T.D.Ahilyanagar  - 414002</v>
      </c>
      <c r="S220" t="str">
        <f ca="1"/>
        <v>Ahilyanagar</v>
      </c>
      <c r="T220" s="314" t="str">
        <f ca="1"/>
        <v>NI</v>
      </c>
      <c r="U220" t="str">
        <f ca="1"/>
        <v xml:space="preserve">NA </v>
      </c>
      <c r="V220" t="str">
        <f ca="1"/>
        <v xml:space="preserve">NA </v>
      </c>
      <c r="W220" t="str">
        <f ca="1"/>
        <v xml:space="preserve">NA </v>
      </c>
      <c r="X220" s="42" t="str">
        <f ca="1"/>
        <v>NA</v>
      </c>
      <c r="Y220" t="str">
        <f ca="1"/>
        <v>Bhup Subhash Chand Singh</v>
      </c>
      <c r="Z220" t="str">
        <f ca="1"/>
        <v xml:space="preserve"> Prashant Sarangdhar Jadhav Survey No.44, Kalewadi, Bal Shivaji Mitra Mandal, Near Water Tank, Bhusari Colony, Pound Road, Kothrud,</v>
      </c>
      <c r="AA220" t="str">
        <f ca="1"/>
        <v>Pune</v>
      </c>
      <c r="AB220" t="str">
        <f ca="1"/>
        <v>NA</v>
      </c>
      <c r="AC220" s="42" t="str">
        <f ca="1"/>
        <v>NI</v>
      </c>
      <c r="AD220" t="str">
        <f ca="1"/>
        <v>NA</v>
      </c>
      <c r="AE220" t="str">
        <f ca="1"/>
        <v>NA</v>
      </c>
      <c r="AF220" t="str">
        <f ca="1"/>
        <v>NA</v>
      </c>
      <c r="AG220" s="42" t="str">
        <f ca="1"/>
        <v>NA</v>
      </c>
      <c r="AH220" t="str">
        <f ca="1"/>
        <v>NA</v>
      </c>
      <c r="AI220" s="42" t="str">
        <f ca="1"/>
        <v>NA</v>
      </c>
      <c r="AJ220" t="str">
        <f ca="1"/>
        <v>NA</v>
      </c>
      <c r="AK220" s="42" t="str">
        <f ca="1"/>
        <v>NA</v>
      </c>
      <c r="AL220" t="str">
        <f ca="1"/>
        <v>NA</v>
      </c>
      <c r="AM220" s="42" t="str">
        <f ca="1"/>
        <v>NA</v>
      </c>
      <c r="AN220" t="str">
        <f ca="1"/>
        <v>NA</v>
      </c>
      <c r="AO220" s="42" t="str">
        <f ca="1"/>
        <v>NA</v>
      </c>
      <c r="AP220" t="str">
        <f ca="1"/>
        <v>NA</v>
      </c>
      <c r="AQ220" t="str">
        <f ca="1"/>
        <v>Ahilyanagar Solapur Road Mandali Chowk, Mandali</v>
      </c>
      <c r="AR220" t="str">
        <f ca="1"/>
        <v>Ahilyanagar</v>
      </c>
      <c r="AS220" s="42" t="str">
        <f ca="1"/>
        <v>NI</v>
      </c>
      <c r="AT220" t="str">
        <f ca="1"/>
        <v>0145/2025</v>
      </c>
      <c r="AU220" t="str">
        <f ca="1"/>
        <v>Mirajgaon Police Station</v>
      </c>
      <c r="AV220" t="str">
        <f ca="1"/>
        <v>Ahilyanagar</v>
      </c>
      <c r="AW220" t="str">
        <f ca="1"/>
        <v>NA</v>
      </c>
      <c r="AX220" s="42" t="str">
        <f ca="1"/>
        <v>NI</v>
      </c>
      <c r="AY220" t="str">
        <f ca="1"/>
        <v>NA</v>
      </c>
      <c r="AZ220" t="str">
        <f ca="1"/>
        <v>NA</v>
      </c>
      <c r="BA220" t="str">
        <f ca="1"/>
        <v>NA</v>
      </c>
      <c r="BB220" s="42" t="str">
        <f ca="1"/>
        <v>NA</v>
      </c>
      <c r="BC220" t="str">
        <f ca="1"/>
        <v>NA</v>
      </c>
      <c r="BD220" t="str">
        <f ca="1"/>
        <v>Pending</v>
      </c>
      <c r="BE220">
        <f ca="1"/>
        <v>0</v>
      </c>
    </row>
    <row r="221" spans="1:57">
      <c r="A221" s="42">
        <f ca="1"/>
        <v>220</v>
      </c>
      <c r="B221" s="42">
        <f ca="1"/>
        <v>2769290</v>
      </c>
      <c r="C221" s="42" t="str">
        <f ca="1"/>
        <v>SBI General Insurance Company Ltd</v>
      </c>
      <c r="D221" s="42" t="str">
        <f ca="1"/>
        <v>MACT</v>
      </c>
      <c r="E221" s="42" t="str">
        <f ca="1"/>
        <v>S002-1217-SS-2025</v>
      </c>
      <c r="F221" s="310">
        <f ca="1"/>
        <v>46023</v>
      </c>
      <c r="G221" s="42" t="str">
        <f ca="1"/>
        <v>Jan-26</v>
      </c>
      <c r="H221" s="312">
        <f ca="1"/>
        <v>0</v>
      </c>
      <c r="I221" s="42" t="str">
        <f ca="1"/>
        <v/>
      </c>
      <c r="J221" s="310">
        <f ca="1"/>
        <v>46065</v>
      </c>
      <c r="K221" s="42">
        <f ca="1"/>
        <v>4</v>
      </c>
      <c r="L221" s="42" t="str">
        <f ca="1"/>
        <v>WT</v>
      </c>
      <c r="M221" s="42" t="str">
        <f ca="1"/>
        <v>Full Case</v>
      </c>
      <c r="N221" s="42" t="str">
        <f ca="1"/>
        <v>Open</v>
      </c>
      <c r="O221" s="42" t="str">
        <f ca="1"/>
        <v>NI</v>
      </c>
      <c r="P221">
        <f ca="1"/>
        <v>0</v>
      </c>
      <c r="Q221" t="str">
        <f ca="1"/>
        <v>Laxmibai  Kishor Shewale</v>
      </c>
      <c r="R221" t="str">
        <f ca="1"/>
        <v xml:space="preserve"> At Kumbhefal, Post Satgaon, Taluka and District Buldana.</v>
      </c>
      <c r="S221" t="str">
        <f ca="1"/>
        <v>Buldhana</v>
      </c>
      <c r="T221" s="314" t="str">
        <f ca="1"/>
        <v>NI</v>
      </c>
      <c r="U221" t="str">
        <f ca="1"/>
        <v xml:space="preserve">NA </v>
      </c>
      <c r="V221" t="str">
        <f ca="1"/>
        <v xml:space="preserve">NA </v>
      </c>
      <c r="W221" t="str">
        <f ca="1"/>
        <v xml:space="preserve">NA </v>
      </c>
      <c r="X221" s="42" t="str">
        <f ca="1"/>
        <v>NA</v>
      </c>
      <c r="Y221" t="str">
        <f ca="1"/>
        <v>Kadar  Gaffar Shaikh</v>
      </c>
      <c r="Z221" t="str">
        <f ca="1"/>
        <v>At Post Nimzari, Tq. Shirpur, Dist: Dhule-424001.</v>
      </c>
      <c r="AA221" t="str">
        <f ca="1"/>
        <v>Dhule</v>
      </c>
      <c r="AB221" t="str">
        <f ca="1"/>
        <v>NA</v>
      </c>
      <c r="AC221" s="42" t="str">
        <f ca="1"/>
        <v>NI</v>
      </c>
      <c r="AD221" t="str">
        <f ca="1"/>
        <v>NA</v>
      </c>
      <c r="AE221" t="str">
        <f ca="1"/>
        <v>NA</v>
      </c>
      <c r="AF221" t="str">
        <f ca="1"/>
        <v>NA</v>
      </c>
      <c r="AG221" s="42" t="str">
        <f ca="1"/>
        <v>NI</v>
      </c>
      <c r="AH221" t="str">
        <f ca="1"/>
        <v>NA</v>
      </c>
      <c r="AI221" s="42" t="str">
        <f ca="1"/>
        <v>NA</v>
      </c>
      <c r="AJ221" t="str">
        <f ca="1"/>
        <v>NA</v>
      </c>
      <c r="AK221" s="42" t="str">
        <f ca="1"/>
        <v>NA</v>
      </c>
      <c r="AL221" t="str">
        <f ca="1"/>
        <v>NA</v>
      </c>
      <c r="AM221" s="42" t="str">
        <f ca="1"/>
        <v>NA</v>
      </c>
      <c r="AN221" t="str">
        <f ca="1"/>
        <v>NA</v>
      </c>
      <c r="AO221" s="42" t="str">
        <f ca="1"/>
        <v>NA</v>
      </c>
      <c r="AP221" t="str">
        <f ca="1"/>
        <v>NA</v>
      </c>
      <c r="AQ221" t="str">
        <f ca="1"/>
        <v>on Padmavati to Paradh Road, Near Mhasoba Mandir, in the shivar of village Paradh, Tq. Bhokardan, Dist. Jalna.</v>
      </c>
      <c r="AR221" t="str">
        <f ca="1"/>
        <v>Jalna</v>
      </c>
      <c r="AS221" s="42" t="str">
        <f ca="1"/>
        <v>NI</v>
      </c>
      <c r="AT221" t="str">
        <f ca="1"/>
        <v>0050/2025</v>
      </c>
      <c r="AU221" t="str">
        <f ca="1"/>
        <v>Paradh Police Station</v>
      </c>
      <c r="AV221" t="str">
        <f ca="1"/>
        <v>Jalna</v>
      </c>
      <c r="AW221" t="str">
        <f ca="1"/>
        <v>NA</v>
      </c>
      <c r="AX221" s="42" t="str">
        <f ca="1"/>
        <v>NI</v>
      </c>
      <c r="AY221" t="str">
        <f ca="1"/>
        <v>NA</v>
      </c>
      <c r="AZ221" t="str">
        <f ca="1"/>
        <v>NA</v>
      </c>
      <c r="BA221" t="str">
        <f ca="1"/>
        <v>NA</v>
      </c>
      <c r="BB221" s="42" t="str">
        <f ca="1"/>
        <v>NA</v>
      </c>
      <c r="BC221" t="str">
        <f ca="1"/>
        <v>NA</v>
      </c>
      <c r="BD221" t="str">
        <f ca="1"/>
        <v>Pending</v>
      </c>
      <c r="BE221">
        <f ca="1"/>
        <v>0</v>
      </c>
    </row>
    <row r="222" spans="1:57">
      <c r="A222" s="42">
        <f ca="1"/>
        <v>221</v>
      </c>
      <c r="B222" s="42">
        <f ca="1"/>
        <v>2025212401</v>
      </c>
      <c r="C222" s="42" t="str">
        <f ca="1"/>
        <v>Indusind General Insurance Co Ltd</v>
      </c>
      <c r="D222" s="42" t="str">
        <f ca="1"/>
        <v>MACT</v>
      </c>
      <c r="E222" s="42" t="str">
        <f ca="1"/>
        <v>R001-1221-SS-2026</v>
      </c>
      <c r="F222" s="310">
        <f ca="1"/>
        <v>45970</v>
      </c>
      <c r="G222" s="42" t="str">
        <f ca="1"/>
        <v>Nov-25</v>
      </c>
      <c r="H222" s="312">
        <f ca="1"/>
        <v>0</v>
      </c>
      <c r="I222" s="42" t="str">
        <f ca="1"/>
        <v/>
      </c>
      <c r="J222" s="310">
        <f ca="1"/>
        <v>45989</v>
      </c>
      <c r="K222" s="42">
        <f ca="1"/>
        <v>57</v>
      </c>
      <c r="L222" s="42" t="str">
        <f ca="1"/>
        <v>AT</v>
      </c>
      <c r="M222" s="42" t="str">
        <f ca="1"/>
        <v>Partial Case</v>
      </c>
      <c r="N222" s="42" t="str">
        <f ca="1"/>
        <v>Open</v>
      </c>
      <c r="O222" s="42" t="str">
        <f ca="1"/>
        <v>Pending CS</v>
      </c>
      <c r="P222">
        <f ca="1"/>
        <v>0</v>
      </c>
      <c r="Q222" t="str">
        <f ca="1"/>
        <v>NA</v>
      </c>
      <c r="R222" t="str">
        <f ca="1"/>
        <v>NA</v>
      </c>
      <c r="S222" t="str">
        <f ca="1"/>
        <v>NA</v>
      </c>
      <c r="T222" s="314" t="str">
        <f ca="1"/>
        <v>NA</v>
      </c>
      <c r="U222" t="str">
        <f ca="1"/>
        <v>NA</v>
      </c>
      <c r="V222" t="str">
        <f ca="1"/>
        <v>NA</v>
      </c>
      <c r="W222" t="str">
        <f ca="1"/>
        <v>NA</v>
      </c>
      <c r="X222" s="42" t="str">
        <f ca="1"/>
        <v>NA</v>
      </c>
      <c r="Y222" t="str">
        <f ca="1"/>
        <v>NA</v>
      </c>
      <c r="Z222" t="str">
        <f ca="1"/>
        <v>NA</v>
      </c>
      <c r="AA222" t="str">
        <f ca="1"/>
        <v>NA</v>
      </c>
      <c r="AB222" t="str">
        <f ca="1"/>
        <v>NA</v>
      </c>
      <c r="AC222" s="42" t="str">
        <f ca="1"/>
        <v>NA</v>
      </c>
      <c r="AD222" t="str">
        <f ca="1"/>
        <v>NA</v>
      </c>
      <c r="AE222" t="str">
        <f ca="1"/>
        <v>NA</v>
      </c>
      <c r="AF222" t="str">
        <f ca="1"/>
        <v>NA</v>
      </c>
      <c r="AG222" s="42" t="str">
        <f ca="1"/>
        <v>NA</v>
      </c>
      <c r="AH222" t="str">
        <f ca="1"/>
        <v>NA</v>
      </c>
      <c r="AI222" s="42" t="str">
        <f ca="1"/>
        <v>NA</v>
      </c>
      <c r="AJ222" t="str">
        <f ca="1"/>
        <v>NA</v>
      </c>
      <c r="AK222" s="42" t="str">
        <f ca="1"/>
        <v>NA</v>
      </c>
      <c r="AL222" t="str">
        <f ca="1"/>
        <v>NA</v>
      </c>
      <c r="AM222" s="42" t="str">
        <f ca="1"/>
        <v>NA</v>
      </c>
      <c r="AN222" t="str">
        <f ca="1"/>
        <v>NA</v>
      </c>
      <c r="AO222" s="42" t="str">
        <f ca="1"/>
        <v>NA</v>
      </c>
      <c r="AP222" t="str">
        <f ca="1"/>
        <v>NA</v>
      </c>
      <c r="AQ222" t="str">
        <f ca="1"/>
        <v>NA</v>
      </c>
      <c r="AR222" t="str">
        <f ca="1"/>
        <v>NA</v>
      </c>
      <c r="AS222" s="42" t="str">
        <f ca="1"/>
        <v>NA</v>
      </c>
      <c r="AT222" t="str">
        <f ca="1"/>
        <v>0010/2024</v>
      </c>
      <c r="AU222" t="str">
        <f ca="1"/>
        <v>Devla Police St.</v>
      </c>
      <c r="AV222" t="str">
        <f ca="1"/>
        <v>Nashik</v>
      </c>
      <c r="AW222" t="str">
        <f ca="1"/>
        <v>NA</v>
      </c>
      <c r="AX222" s="42" t="str">
        <f ca="1"/>
        <v>NI</v>
      </c>
      <c r="AY222" t="str">
        <f ca="1"/>
        <v>NA</v>
      </c>
      <c r="AZ222" t="str">
        <f ca="1"/>
        <v>NA</v>
      </c>
      <c r="BA222" t="str">
        <f ca="1"/>
        <v>NA</v>
      </c>
      <c r="BB222" s="42" t="str">
        <f ca="1"/>
        <v>NA</v>
      </c>
      <c r="BC222" t="str">
        <f ca="1"/>
        <v>NA</v>
      </c>
      <c r="BD222" t="str">
        <f ca="1"/>
        <v>Pending</v>
      </c>
      <c r="BE222">
        <f ca="1"/>
        <v>0</v>
      </c>
    </row>
    <row r="223" spans="1:57">
      <c r="A223" s="42">
        <f ca="1"/>
        <v>222</v>
      </c>
      <c r="B223" s="42">
        <f ca="1"/>
        <v>2025212250</v>
      </c>
      <c r="C223" s="42" t="str">
        <f ca="1"/>
        <v>Indusind General Insurance Co Ltd</v>
      </c>
      <c r="D223" s="42" t="str">
        <f ca="1"/>
        <v>MACT</v>
      </c>
      <c r="E223" s="42" t="str">
        <f ca="1"/>
        <v>R001-1222-SS-2026</v>
      </c>
      <c r="F223" s="310">
        <f ca="1"/>
        <v>45970</v>
      </c>
      <c r="G223" s="42" t="str">
        <f ca="1"/>
        <v>Nov-25</v>
      </c>
      <c r="H223" s="312">
        <f ca="1"/>
        <v>0</v>
      </c>
      <c r="I223" s="42">
        <f ca="1"/>
        <v>0</v>
      </c>
      <c r="J223" s="310">
        <f ca="1"/>
        <v>45989</v>
      </c>
      <c r="K223" s="42">
        <f ca="1"/>
        <v>57</v>
      </c>
      <c r="L223" s="42" t="str">
        <f ca="1"/>
        <v>AT</v>
      </c>
      <c r="M223" s="42" t="str">
        <f ca="1"/>
        <v>Partial Case</v>
      </c>
      <c r="N223" s="42" t="str">
        <f ca="1"/>
        <v>Open</v>
      </c>
      <c r="O223" s="42" t="str">
        <f ca="1"/>
        <v>Pending CS</v>
      </c>
      <c r="P223">
        <f ca="1"/>
        <v>0</v>
      </c>
      <c r="Q223" t="str">
        <f ca="1"/>
        <v>NA</v>
      </c>
      <c r="R223" t="str">
        <f ca="1"/>
        <v>NA</v>
      </c>
      <c r="S223" t="str">
        <f ca="1"/>
        <v>NA</v>
      </c>
      <c r="T223" s="314" t="str">
        <f ca="1"/>
        <v>NA</v>
      </c>
      <c r="U223" t="str">
        <f ca="1"/>
        <v>NA</v>
      </c>
      <c r="V223" t="str">
        <f ca="1"/>
        <v>NA</v>
      </c>
      <c r="W223" t="str">
        <f ca="1"/>
        <v>NA</v>
      </c>
      <c r="X223" s="42" t="str">
        <f ca="1"/>
        <v>NA</v>
      </c>
      <c r="Y223" t="str">
        <f ca="1"/>
        <v>NA</v>
      </c>
      <c r="Z223" t="str">
        <f ca="1"/>
        <v>NA</v>
      </c>
      <c r="AA223" t="str">
        <f ca="1"/>
        <v>NA</v>
      </c>
      <c r="AB223" t="str">
        <f ca="1"/>
        <v>NA</v>
      </c>
      <c r="AC223" s="42" t="str">
        <f ca="1"/>
        <v>NA</v>
      </c>
      <c r="AD223" t="str">
        <f ca="1"/>
        <v>NA</v>
      </c>
      <c r="AE223" t="str">
        <f ca="1"/>
        <v>NA</v>
      </c>
      <c r="AF223" t="str">
        <f ca="1"/>
        <v>NA</v>
      </c>
      <c r="AG223" s="42" t="str">
        <f ca="1"/>
        <v>NA</v>
      </c>
      <c r="AH223" t="str">
        <f ca="1"/>
        <v>NA</v>
      </c>
      <c r="AI223" s="42" t="str">
        <f ca="1"/>
        <v>NA</v>
      </c>
      <c r="AJ223" t="str">
        <f ca="1"/>
        <v>NA</v>
      </c>
      <c r="AK223" s="42" t="str">
        <f ca="1"/>
        <v>NA</v>
      </c>
      <c r="AL223" t="str">
        <f ca="1"/>
        <v>NA</v>
      </c>
      <c r="AM223" s="42" t="str">
        <f ca="1"/>
        <v>NA</v>
      </c>
      <c r="AN223" t="str">
        <f ca="1"/>
        <v>NA</v>
      </c>
      <c r="AO223" s="42" t="str">
        <f ca="1"/>
        <v>NA</v>
      </c>
      <c r="AP223" t="str">
        <f ca="1"/>
        <v>NA</v>
      </c>
      <c r="AQ223" t="str">
        <f ca="1"/>
        <v>NA</v>
      </c>
      <c r="AR223" t="str">
        <f ca="1"/>
        <v>NA</v>
      </c>
      <c r="AS223" s="42" t="str">
        <f ca="1"/>
        <v>NA</v>
      </c>
      <c r="AT223" t="str">
        <f ca="1"/>
        <v>0345/2025</v>
      </c>
      <c r="AU223" t="str">
        <f ca="1"/>
        <v>Aundh Naganth police Staion hingoli .</v>
      </c>
      <c r="AV223" t="str">
        <f ca="1"/>
        <v xml:space="preserve">Hingoli </v>
      </c>
      <c r="AW223" t="str">
        <f ca="1"/>
        <v>NA</v>
      </c>
      <c r="AX223" s="42" t="str">
        <f ca="1"/>
        <v>NI</v>
      </c>
      <c r="AY223" t="str">
        <f ca="1"/>
        <v>NA</v>
      </c>
      <c r="AZ223" t="str">
        <f ca="1"/>
        <v>NA</v>
      </c>
      <c r="BA223" t="str">
        <f ca="1"/>
        <v>NA</v>
      </c>
      <c r="BB223" s="42" t="str">
        <f ca="1"/>
        <v>NA</v>
      </c>
      <c r="BC223" t="str">
        <f ca="1"/>
        <v>NA</v>
      </c>
      <c r="BD223" t="str">
        <f ca="1"/>
        <v>Pending</v>
      </c>
      <c r="BE223">
        <f ca="1"/>
        <v>0</v>
      </c>
    </row>
    <row r="224" spans="1:57">
      <c r="A224" s="42">
        <f ca="1"/>
        <v>223</v>
      </c>
      <c r="B224" s="42">
        <f ca="1"/>
        <v>2025213389</v>
      </c>
      <c r="C224" s="42" t="str">
        <f ca="1"/>
        <v>Indusind General Insurance Co Ltd</v>
      </c>
      <c r="D224" s="42" t="str">
        <f ca="1"/>
        <v>MACT</v>
      </c>
      <c r="E224" s="42" t="str">
        <f ca="1"/>
        <v>R001-1223-SS-2026</v>
      </c>
      <c r="F224" s="310">
        <f ca="1"/>
        <v>46027</v>
      </c>
      <c r="G224" s="42" t="str">
        <f ca="1"/>
        <v>Jan-26</v>
      </c>
      <c r="H224" s="312">
        <f ca="1"/>
        <v>0</v>
      </c>
      <c r="I224" s="42" t="str">
        <f ca="1"/>
        <v/>
      </c>
      <c r="J224" s="310">
        <f ca="1"/>
        <v>46069</v>
      </c>
      <c r="K224" s="42">
        <f ca="1"/>
        <v>0</v>
      </c>
      <c r="L224" s="42" t="str">
        <f ca="1"/>
        <v>WT</v>
      </c>
      <c r="M224" s="42" t="str">
        <f ca="1"/>
        <v>Full Case</v>
      </c>
      <c r="N224" s="42" t="str">
        <f ca="1"/>
        <v>Open</v>
      </c>
      <c r="O224" s="42" t="str">
        <f ca="1"/>
        <v>NI</v>
      </c>
      <c r="P224">
        <f ca="1"/>
        <v>0</v>
      </c>
      <c r="Q224" t="str">
        <f ca="1"/>
        <v>Mohini Bhr. Bhikkan pandhare</v>
      </c>
      <c r="R224" t="str">
        <f ca="1"/>
        <v xml:space="preserve"> M.Po.Kenhala, T. Sillod, Dist. Aurangabad.</v>
      </c>
      <c r="S224" t="str">
        <f ca="1"/>
        <v>Ahilyanagar</v>
      </c>
      <c r="T224" s="314" t="str">
        <f ca="1"/>
        <v>NI</v>
      </c>
      <c r="U224" t="str">
        <f ca="1"/>
        <v>NA</v>
      </c>
      <c r="V224" t="str">
        <f ca="1"/>
        <v>NA</v>
      </c>
      <c r="W224" t="str">
        <f ca="1"/>
        <v>NA</v>
      </c>
      <c r="X224" s="42" t="str">
        <f ca="1"/>
        <v>NA</v>
      </c>
      <c r="Y224" t="str">
        <f ca="1"/>
        <v>Muhammad Zahir father Muhammad Bakhsh</v>
      </c>
      <c r="Z224" t="str">
        <f ca="1"/>
        <v>Vadachi Ali, Khultabad, Tal. Khultabad Dist. Aurangabad.</v>
      </c>
      <c r="AA224" t="str">
        <f ca="1"/>
        <v>Ahilyanagar</v>
      </c>
      <c r="AB224" t="str">
        <f ca="1"/>
        <v>NA</v>
      </c>
      <c r="AC224" s="42" t="str">
        <f ca="1"/>
        <v>NI</v>
      </c>
      <c r="AD224" t="str">
        <f ca="1"/>
        <v>NA</v>
      </c>
      <c r="AE224" t="str">
        <f ca="1"/>
        <v>NA</v>
      </c>
      <c r="AF224" t="str">
        <f ca="1"/>
        <v>NA</v>
      </c>
      <c r="AG224" s="42" t="str">
        <f ca="1"/>
        <v>NI</v>
      </c>
      <c r="AH224" t="str">
        <f ca="1"/>
        <v>NA</v>
      </c>
      <c r="AI224" s="42" t="str">
        <f ca="1"/>
        <v>NA</v>
      </c>
      <c r="AJ224" t="str">
        <f ca="1"/>
        <v>NA</v>
      </c>
      <c r="AK224" s="42" t="str">
        <f ca="1"/>
        <v>NA</v>
      </c>
      <c r="AL224" t="str">
        <f ca="1"/>
        <v>NA</v>
      </c>
      <c r="AM224" s="42" t="str">
        <f ca="1"/>
        <v>NA</v>
      </c>
      <c r="AN224" t="str">
        <f ca="1"/>
        <v>NA</v>
      </c>
      <c r="AO224" s="42" t="str">
        <f ca="1"/>
        <v>NA</v>
      </c>
      <c r="AP224" t="str">
        <f ca="1"/>
        <v>NA</v>
      </c>
      <c r="AQ224" t="str">
        <f ca="1"/>
        <v>Near Pagade settlement  Aurangabad-Phulambri Road, Tal. Phulambri, Dist. Aurangabad</v>
      </c>
      <c r="AR224" t="str">
        <f ca="1"/>
        <v>Ahilynagar</v>
      </c>
      <c r="AS224" s="42" t="str">
        <f ca="1"/>
        <v>NI</v>
      </c>
      <c r="AT224" t="str">
        <f ca="1"/>
        <v>0061/2023</v>
      </c>
      <c r="AU224" t="str">
        <f ca="1"/>
        <v>Police Station Phulambri</v>
      </c>
      <c r="AV224" t="str">
        <f ca="1"/>
        <v>Ahilyanagar</v>
      </c>
      <c r="AW224" t="str">
        <f ca="1"/>
        <v>NA</v>
      </c>
      <c r="AX224" s="42" t="str">
        <f ca="1"/>
        <v>NI</v>
      </c>
      <c r="AY224" t="str">
        <f ca="1"/>
        <v>NA</v>
      </c>
      <c r="AZ224" t="str">
        <f ca="1"/>
        <v>NA</v>
      </c>
      <c r="BA224" t="str">
        <f ca="1"/>
        <v>NA</v>
      </c>
      <c r="BB224" s="42" t="str">
        <f ca="1"/>
        <v>NA</v>
      </c>
      <c r="BC224" t="str">
        <f ca="1"/>
        <v>NA</v>
      </c>
      <c r="BD224" t="str">
        <f ca="1"/>
        <v>Pending</v>
      </c>
      <c r="BE224">
        <f ca="1"/>
        <v>0</v>
      </c>
    </row>
    <row r="225" spans="1:57">
      <c r="A225" s="42">
        <f ca="1"/>
        <v>224</v>
      </c>
      <c r="B225" s="42">
        <f ca="1"/>
        <v>20242114887</v>
      </c>
      <c r="C225" s="42" t="str">
        <f ca="1"/>
        <v>Indusind General Insurance Co Ltd</v>
      </c>
      <c r="D225" s="42" t="str">
        <f ca="1"/>
        <v>MACT</v>
      </c>
      <c r="E225" s="42" t="str">
        <f ca="1"/>
        <v>R001-1224-SS-2026</v>
      </c>
      <c r="F225" s="310">
        <f ca="1"/>
        <v>46027</v>
      </c>
      <c r="G225" s="42" t="str">
        <f ca="1"/>
        <v>Jan-26</v>
      </c>
      <c r="H225" s="312">
        <f ca="1"/>
        <v>0</v>
      </c>
      <c r="I225" s="42" t="str">
        <f ca="1"/>
        <v/>
      </c>
      <c r="J225" s="310">
        <f ca="1"/>
        <v>46048</v>
      </c>
      <c r="K225" s="42">
        <f ca="1"/>
        <v>0</v>
      </c>
      <c r="L225" s="42" t="str">
        <f ca="1"/>
        <v>WT</v>
      </c>
      <c r="M225" s="42" t="str">
        <f ca="1"/>
        <v>Partial Case</v>
      </c>
      <c r="N225" s="42" t="str">
        <f ca="1"/>
        <v>Open</v>
      </c>
      <c r="O225" s="42" t="str">
        <f ca="1"/>
        <v>NI</v>
      </c>
      <c r="P225">
        <f ca="1"/>
        <v>0</v>
      </c>
      <c r="Q225" t="str">
        <f ca="1"/>
        <v>Bhanudas Manikrao Burkul</v>
      </c>
      <c r="R225" t="str">
        <f ca="1"/>
        <v>Takli Mali, Taluka, Dist. Aurangabad.</v>
      </c>
      <c r="S225" t="str">
        <f ca="1"/>
        <v>Ahilyanagar</v>
      </c>
      <c r="T225" s="314" t="str">
        <f ca="1"/>
        <v>NI</v>
      </c>
      <c r="U225" t="str">
        <f ca="1"/>
        <v>NA</v>
      </c>
      <c r="V225" t="str">
        <f ca="1"/>
        <v>NA</v>
      </c>
      <c r="W225" t="str">
        <f ca="1"/>
        <v>NA</v>
      </c>
      <c r="X225" s="42" t="str">
        <f ca="1"/>
        <v>NA</v>
      </c>
      <c r="Y225" t="str">
        <f ca="1"/>
        <v>NA</v>
      </c>
      <c r="Z225" t="str">
        <f ca="1"/>
        <v>NA</v>
      </c>
      <c r="AA225" t="str">
        <f ca="1"/>
        <v>NA</v>
      </c>
      <c r="AB225" t="str">
        <f ca="1"/>
        <v>NA</v>
      </c>
      <c r="AC225" s="42" t="str">
        <f ca="1"/>
        <v>NA</v>
      </c>
      <c r="AD225" t="str">
        <f ca="1"/>
        <v>NA</v>
      </c>
      <c r="AE225" t="str">
        <f ca="1"/>
        <v>NA</v>
      </c>
      <c r="AF225" t="str">
        <f ca="1"/>
        <v>NA</v>
      </c>
      <c r="AG225" s="42" t="str">
        <f ca="1"/>
        <v>NA</v>
      </c>
      <c r="AH225" t="str">
        <f ca="1"/>
        <v>NA</v>
      </c>
      <c r="AI225" s="42" t="str">
        <f ca="1"/>
        <v>NA</v>
      </c>
      <c r="AJ225" t="str">
        <f ca="1"/>
        <v>NA</v>
      </c>
      <c r="AK225" s="42" t="str">
        <f ca="1"/>
        <v>NA</v>
      </c>
      <c r="AL225" t="str">
        <f ca="1"/>
        <v>NA</v>
      </c>
      <c r="AM225" s="42" t="str">
        <f ca="1"/>
        <v>NA</v>
      </c>
      <c r="AN225" t="str">
        <f ca="1"/>
        <v>NA</v>
      </c>
      <c r="AO225" s="42" t="str">
        <f ca="1"/>
        <v>NA</v>
      </c>
      <c r="AP225" t="str">
        <f ca="1"/>
        <v>NA</v>
      </c>
      <c r="AQ225" t="str">
        <f ca="1"/>
        <v>NA</v>
      </c>
      <c r="AR225" t="str">
        <f ca="1"/>
        <v>NA</v>
      </c>
      <c r="AS225" s="42" t="str">
        <f ca="1"/>
        <v>NA</v>
      </c>
      <c r="AT225" t="str">
        <f ca="1"/>
        <v>NA</v>
      </c>
      <c r="AU225" t="str">
        <f ca="1"/>
        <v>NA</v>
      </c>
      <c r="AV225" t="str">
        <f ca="1"/>
        <v>NA</v>
      </c>
      <c r="AW225" t="str">
        <f ca="1"/>
        <v>NA</v>
      </c>
      <c r="AX225" s="42" t="str">
        <f ca="1"/>
        <v>NA</v>
      </c>
      <c r="AY225" t="str">
        <f ca="1"/>
        <v>NA</v>
      </c>
      <c r="AZ225" t="str">
        <f ca="1"/>
        <v>NA</v>
      </c>
      <c r="BA225" t="str">
        <f ca="1"/>
        <v>NA</v>
      </c>
      <c r="BB225" s="42" t="str">
        <f ca="1"/>
        <v>NA</v>
      </c>
      <c r="BC225" t="str">
        <f ca="1"/>
        <v>NA</v>
      </c>
      <c r="BD225" t="str">
        <f ca="1"/>
        <v>Pending</v>
      </c>
      <c r="BE225">
        <f ca="1"/>
        <v>0</v>
      </c>
    </row>
    <row r="226" spans="1:57">
      <c r="A226" s="42">
        <f ca="1"/>
        <v>225</v>
      </c>
      <c r="B226" s="42">
        <f ca="1"/>
        <v>2025214761</v>
      </c>
      <c r="C226" s="42" t="str">
        <f ca="1"/>
        <v>Indusind General Insurance Co Ltd</v>
      </c>
      <c r="D226" s="42" t="str">
        <f ca="1"/>
        <v>MACT</v>
      </c>
      <c r="E226" s="42" t="str">
        <f ca="1"/>
        <v>R001-1225-SS-2026</v>
      </c>
      <c r="F226" s="310">
        <f ca="1"/>
        <v>46027</v>
      </c>
      <c r="G226" s="42" t="str">
        <f ca="1"/>
        <v>Jan-26</v>
      </c>
      <c r="H226" s="312">
        <f ca="1"/>
        <v>0</v>
      </c>
      <c r="I226" s="42" t="str">
        <f ca="1"/>
        <v/>
      </c>
      <c r="J226" s="310">
        <f ca="1"/>
        <v>46069</v>
      </c>
      <c r="K226" s="42">
        <f ca="1"/>
        <v>0</v>
      </c>
      <c r="L226" s="42" t="str">
        <f ca="1"/>
        <v>WT</v>
      </c>
      <c r="M226" s="42" t="str">
        <f ca="1"/>
        <v>Full Case</v>
      </c>
      <c r="N226" s="42" t="str">
        <f ca="1"/>
        <v>Open</v>
      </c>
      <c r="O226" s="42" t="str">
        <f ca="1"/>
        <v>NI</v>
      </c>
      <c r="P226">
        <f ca="1"/>
        <v>0</v>
      </c>
      <c r="Q226" t="str">
        <f ca="1"/>
        <v>Ratnmala  Milind More</v>
      </c>
      <c r="R226" t="str">
        <f ca="1"/>
        <v>Vaishali Nagar, Jawala Palshi Road, Hingoli Tq. &amp; Dist. Hingoli.</v>
      </c>
      <c r="S226" t="str">
        <f ca="1"/>
        <v>Hingoli</v>
      </c>
      <c r="T226" s="314" t="str">
        <f ca="1"/>
        <v>NI</v>
      </c>
      <c r="U226" t="str">
        <f ca="1"/>
        <v>NA</v>
      </c>
      <c r="V226" t="str">
        <f ca="1"/>
        <v>NA</v>
      </c>
      <c r="W226" t="str">
        <f ca="1"/>
        <v>NA</v>
      </c>
      <c r="X226" s="42" t="str">
        <f ca="1"/>
        <v>NA</v>
      </c>
      <c r="Y226" t="str">
        <f ca="1"/>
        <v>Narayan  Parasram Tonchar,</v>
      </c>
      <c r="Z226" t="str">
        <f ca="1"/>
        <v xml:space="preserve"> Kanadkheda, Tq. &amp; Dist. Hingoli.</v>
      </c>
      <c r="AA226" t="str">
        <f ca="1"/>
        <v>Hingoli</v>
      </c>
      <c r="AB226" t="str">
        <f ca="1"/>
        <v>NA</v>
      </c>
      <c r="AC226" s="42" t="str">
        <f ca="1"/>
        <v>NI</v>
      </c>
      <c r="AD226" t="str">
        <f ca="1"/>
        <v>NA</v>
      </c>
      <c r="AE226" t="str">
        <f ca="1"/>
        <v>NA</v>
      </c>
      <c r="AF226" t="str">
        <f ca="1"/>
        <v>NA</v>
      </c>
      <c r="AG226" s="42" t="str">
        <f ca="1"/>
        <v>NI</v>
      </c>
      <c r="AH226" t="str">
        <f ca="1"/>
        <v>NA</v>
      </c>
      <c r="AI226" s="42" t="str">
        <f ca="1"/>
        <v>NA</v>
      </c>
      <c r="AJ226" t="str">
        <f ca="1"/>
        <v>NA</v>
      </c>
      <c r="AK226" s="42" t="str">
        <f ca="1"/>
        <v>NA</v>
      </c>
      <c r="AL226" t="str">
        <f ca="1"/>
        <v>NA</v>
      </c>
      <c r="AM226" s="42" t="str">
        <f ca="1"/>
        <v>NA</v>
      </c>
      <c r="AN226" t="str">
        <f ca="1"/>
        <v>NA</v>
      </c>
      <c r="AO226" s="42" t="str">
        <f ca="1"/>
        <v>NA</v>
      </c>
      <c r="AP226" t="str">
        <f ca="1"/>
        <v>NA</v>
      </c>
      <c r="AQ226" t="str">
        <f ca="1"/>
        <v>vicinity of Narsi Fata, Hingoli Aundha Na. Road.</v>
      </c>
      <c r="AR226" t="str">
        <f ca="1"/>
        <v>Hingoli</v>
      </c>
      <c r="AS226" s="42" t="str">
        <f ca="1"/>
        <v>NI</v>
      </c>
      <c r="AT226" t="str">
        <f ca="1"/>
        <v>0342/2024</v>
      </c>
      <c r="AU226" t="str">
        <f ca="1"/>
        <v>Hingoli Police Station</v>
      </c>
      <c r="AV226" t="str">
        <f ca="1"/>
        <v>Hingoli</v>
      </c>
      <c r="AW226" t="str">
        <f ca="1"/>
        <v>NA</v>
      </c>
      <c r="AX226" s="42" t="str">
        <f ca="1"/>
        <v>NI</v>
      </c>
      <c r="AY226" t="str">
        <f ca="1"/>
        <v>NA</v>
      </c>
      <c r="AZ226" t="str">
        <f ca="1"/>
        <v>NA</v>
      </c>
      <c r="BA226" t="str">
        <f ca="1"/>
        <v>NA</v>
      </c>
      <c r="BB226" s="42" t="str">
        <f ca="1"/>
        <v>NA</v>
      </c>
      <c r="BC226" t="str">
        <f ca="1"/>
        <v>NA</v>
      </c>
      <c r="BD226" t="str">
        <f ca="1"/>
        <v>Pending</v>
      </c>
      <c r="BE226">
        <f ca="1"/>
        <v>0</v>
      </c>
    </row>
  </sheetData>
  <protectedRanges>
    <protectedRange sqref="H1:I1 M1:BE1" name="Range1"/>
  </protectedRanges>
  <conditionalFormatting sqref="K1">
    <cfRule type="cellIs" dxfId="32" priority="5" operator="greaterThan">
      <formula>40</formula>
    </cfRule>
    <cfRule type="cellIs" dxfId="31" priority="6" operator="greaterThan">
      <formula>34</formula>
    </cfRule>
    <cfRule type="cellIs" dxfId="30" priority="7" operator="greaterThan">
      <formula>20</formula>
    </cfRule>
  </conditionalFormatting>
  <conditionalFormatting sqref="L1">
    <cfRule type="containsText" dxfId="29" priority="4" operator="containsText" text="BT">
      <formula>NOT(ISERROR(SEARCH("BT",L1)))</formula>
    </cfRule>
  </conditionalFormatting>
  <conditionalFormatting sqref="O1:P1">
    <cfRule type="containsText" dxfId="28" priority="1" operator="containsText" text="NI">
      <formula>NOT(ISERROR(SEARCH("NI",O1)))</formula>
    </cfRule>
    <cfRule type="containsText" dxfId="27" priority="2" operator="containsText" text="WIP">
      <formula>NOT(ISERROR(SEARCH("WIP",O1)))</formula>
    </cfRule>
    <cfRule type="containsText" dxfId="26" priority="3" operator="containsText" text="Completed">
      <formula>NOT(ISERROR(SEARCH("Completed",O1)))</formula>
    </cfRule>
  </conditionalFormatting>
  <dataValidations count="4">
    <dataValidation allowBlank="1" showInputMessage="1" showErrorMessage="1" sqref="AY1:BC1 BE1 O1:AW1 G1:L1" xr:uid="{5DB3EC3F-1345-4D80-830F-F6B4EDBD8D31}"/>
    <dataValidation type="list" allowBlank="1" showInputMessage="1" showErrorMessage="1" sqref="M1" xr:uid="{0B10E9A9-7D17-4783-8079-0D83D4457C76}">
      <formula1>"Full Case,Partial Case,Reassessment,WC Claim,Medical Verification"</formula1>
    </dataValidation>
    <dataValidation type="list" allowBlank="1" showInputMessage="1" showErrorMessage="1" sqref="N1" xr:uid="{BBDC48B5-5446-47D5-A710-F94A0CBBECBE}">
      <formula1>"Open,STOP,Writing,QC,Portal Entries,Approval,Dispatch"</formula1>
    </dataValidation>
    <dataValidation type="list" allowBlank="1" showInputMessage="1" showErrorMessage="1" sqref="AX1" xr:uid="{60289BD0-ABB2-4099-AB66-8319DDA2CF12}">
      <formula1>"NI,WIP,Applied,STOP,NA"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7D998-0167-451D-9BB7-392F5E79B133}">
  <sheetPr codeName="Sheet6" filterMode="1">
    <tabColor rgb="FFFF0000"/>
  </sheetPr>
  <dimension ref="B3:I34"/>
  <sheetViews>
    <sheetView showGridLines="0" topLeftCell="B1" workbookViewId="0">
      <selection activeCell="C4" sqref="C4"/>
    </sheetView>
  </sheetViews>
  <sheetFormatPr defaultRowHeight="14.5"/>
  <cols>
    <col min="2" max="2" width="39.81640625" bestFit="1" customWidth="1"/>
    <col min="3" max="3" width="19.1796875" style="42" customWidth="1"/>
    <col min="5" max="5" width="30.54296875" customWidth="1"/>
    <col min="6" max="6" width="22.453125" style="145" customWidth="1"/>
    <col min="8" max="8" width="40.54296875" customWidth="1"/>
    <col min="9" max="9" width="19.1796875" style="145" bestFit="1" customWidth="1"/>
  </cols>
  <sheetData>
    <row r="3" spans="2:9" ht="14.5" customHeight="1">
      <c r="B3" s="573" t="s">
        <v>658</v>
      </c>
      <c r="C3" s="573"/>
      <c r="E3" s="573" t="s">
        <v>2044</v>
      </c>
      <c r="F3" s="573"/>
      <c r="H3" s="573" t="s">
        <v>2045</v>
      </c>
      <c r="I3" s="573"/>
    </row>
    <row r="4" spans="2:9">
      <c r="B4" t="str" cm="1">
        <f t="array" aca="1" ref="B4" ca="1">_xlfn._xlws.FILTER(Back_End_Data!C:C,Back_End_Data!W:W="GTG","")</f>
        <v>Indusind General Insurance Co Ltd</v>
      </c>
      <c r="C4" s="42" cm="1">
        <f t="array" aca="1" ref="C4" ca="1">_xlfn._xlws.FILTER(Back_End_Data!B:B,Back_End_Data!W:W="GTG","")</f>
        <v>2025212050</v>
      </c>
      <c r="E4" t="str" cm="1">
        <f t="array" aca="1" ref="E4:E15" ca="1">_xlfn._xlws.FILTER(Back_End_Data!C:C,Back_End_Data!V:V=1,"")</f>
        <v>Indusind General Insurance Co Ltd</v>
      </c>
      <c r="F4" s="145" t="str" cm="1">
        <f t="array" aca="1" ref="F4:F15" ca="1">_xlfn._xlws.FILTER(Back_End_Data!B:B,Back_End_Data!V:V=1,"")</f>
        <v>2025211134</v>
      </c>
      <c r="H4" t="str" cm="1">
        <f t="array" aca="1" ref="H4:H12" ca="1">_xlfn._xlws.FILTER(Back_End_Data!C:C,Back_End_Data!U:U=2,"")</f>
        <v>Indusind General Insurance Co Ltd</v>
      </c>
      <c r="I4" s="145" t="str" cm="1">
        <f t="array" aca="1" ref="I4:I12" ca="1">_xlfn._xlws.FILTER(Back_End_Data!B:B,Back_End_Data!U:U=2,"")</f>
        <v>2025211454</v>
      </c>
    </row>
    <row r="5" spans="2:9">
      <c r="E5" t="str">
        <f ca="1"/>
        <v>Indusind General Insurance Co Ltd</v>
      </c>
      <c r="F5" s="145" t="str">
        <f ca="1"/>
        <v>2025212222</v>
      </c>
      <c r="H5" t="str">
        <f ca="1"/>
        <v>Indusind General Insurance Co Ltd</v>
      </c>
      <c r="I5" s="145" t="str">
        <f ca="1"/>
        <v>2025212058</v>
      </c>
    </row>
    <row r="6" spans="2:9">
      <c r="E6" t="str">
        <f ca="1"/>
        <v>Indusind General Insurance Co Ltd</v>
      </c>
      <c r="F6" s="145" t="str">
        <f ca="1"/>
        <v>2025212162</v>
      </c>
      <c r="H6" t="str">
        <f ca="1"/>
        <v>Indusind General Insurance Co Ltd</v>
      </c>
      <c r="I6" s="145" t="str">
        <f ca="1"/>
        <v>2025212540</v>
      </c>
    </row>
    <row r="7" spans="2:9" hidden="1">
      <c r="E7" t="str">
        <f ca="1"/>
        <v>Indusind General Insurance Co Ltd</v>
      </c>
      <c r="F7" s="145" t="str">
        <f ca="1"/>
        <v>2025212407</v>
      </c>
      <c r="H7" t="str">
        <f ca="1"/>
        <v>Indusind General Insurance Co Ltd</v>
      </c>
      <c r="I7" s="145" t="str">
        <f ca="1"/>
        <v>2025209152</v>
      </c>
    </row>
    <row r="8" spans="2:9">
      <c r="E8" t="str">
        <f ca="1"/>
        <v>Indusind General Insurance Co Ltd</v>
      </c>
      <c r="F8" s="145" t="str">
        <f ca="1"/>
        <v>2017212612</v>
      </c>
      <c r="H8" t="str">
        <f ca="1"/>
        <v>Indusind General Insurance Co Ltd</v>
      </c>
      <c r="I8" s="145" t="str">
        <f ca="1"/>
        <v>2025212758</v>
      </c>
    </row>
    <row r="9" spans="2:9">
      <c r="E9" t="str">
        <f ca="1"/>
        <v>Indusind General Insurance Co Ltd</v>
      </c>
      <c r="F9" s="145" t="str">
        <f ca="1"/>
        <v>2025209441</v>
      </c>
      <c r="H9" t="str">
        <f ca="1"/>
        <v>SBI General Insurance Company Ltd</v>
      </c>
      <c r="I9" s="145" t="str">
        <f ca="1"/>
        <v>2748142</v>
      </c>
    </row>
    <row r="10" spans="2:9">
      <c r="E10" t="str">
        <f ca="1"/>
        <v>Indusind General Insurance Co Ltd</v>
      </c>
      <c r="F10" s="145" t="str">
        <f ca="1"/>
        <v>2025210211</v>
      </c>
      <c r="H10" t="str">
        <f ca="1"/>
        <v>Indusind General Insurance Co Ltd</v>
      </c>
      <c r="I10" s="145" t="str">
        <f ca="1"/>
        <v>2024200689</v>
      </c>
    </row>
    <row r="11" spans="2:9">
      <c r="E11" t="str">
        <f ca="1"/>
        <v>Indusind General Insurance Co Ltd</v>
      </c>
      <c r="F11" s="145" t="str">
        <f ca="1"/>
        <v>2023210048</v>
      </c>
      <c r="H11" t="str">
        <f ca="1"/>
        <v>Indusind General Insurance Co Ltd</v>
      </c>
      <c r="I11" s="145" t="str">
        <f ca="1"/>
        <v>2025204832</v>
      </c>
    </row>
    <row r="12" spans="2:9">
      <c r="E12" t="str">
        <f ca="1"/>
        <v>Generali Central Insurance Company Limited</v>
      </c>
      <c r="F12" s="145" t="str">
        <f ca="1"/>
        <v>MTP-N-2526-004327</v>
      </c>
      <c r="H12" t="str">
        <f ca="1"/>
        <v>Indusind General Insurance Co Ltd</v>
      </c>
      <c r="I12" s="145" t="str">
        <f ca="1"/>
        <v>2025213359</v>
      </c>
    </row>
    <row r="13" spans="2:9">
      <c r="E13" t="str">
        <f ca="1"/>
        <v>Indusind General Insurance Co Ltd</v>
      </c>
      <c r="F13" s="145" t="str">
        <f ca="1"/>
        <v>2025210107</v>
      </c>
    </row>
    <row r="14" spans="2:9">
      <c r="E14" t="str">
        <f ca="1"/>
        <v>Indusind General Insurance Co Ltd</v>
      </c>
      <c r="F14" s="145" t="str">
        <f ca="1"/>
        <v>2025212965</v>
      </c>
    </row>
    <row r="15" spans="2:9" hidden="1">
      <c r="E15" t="str">
        <f ca="1"/>
        <v>Indusind General Insurance Co Ltd</v>
      </c>
      <c r="F15" s="145" t="str">
        <f ca="1"/>
        <v>2025206275</v>
      </c>
    </row>
    <row r="23" spans="2:3">
      <c r="B23" s="42" t="s">
        <v>36</v>
      </c>
      <c r="C23" s="42" t="str">
        <f ca="1">_xlfn.XLOOKUP(B23,MIS_Backend_Data!B:B,MIS_Backend_Data!N:N,"NA")</f>
        <v>Dispatch</v>
      </c>
    </row>
    <row r="24" spans="2:3">
      <c r="B24" s="42">
        <v>2025211210</v>
      </c>
      <c r="C24" s="42" t="str">
        <f ca="1">_xlfn.XLOOKUP(B24,MIS_Backend_Data!B:B,MIS_Backend_Data!N:N,"NA")</f>
        <v>NA</v>
      </c>
    </row>
    <row r="25" spans="2:3">
      <c r="B25" s="42">
        <v>2025212047</v>
      </c>
      <c r="C25" s="42" t="str">
        <f ca="1">_xlfn.XLOOKUP(B25,MIS_Backend_Data!B:B,MIS_Backend_Data!N:N,"NA")</f>
        <v>NA</v>
      </c>
    </row>
    <row r="26" spans="2:3">
      <c r="B26" s="42">
        <v>2023205098</v>
      </c>
      <c r="C26" s="42" t="str">
        <f ca="1">_xlfn.XLOOKUP(B26,MIS_Backend_Data!B:B,MIS_Backend_Data!N:N,"NA")</f>
        <v>NA</v>
      </c>
    </row>
    <row r="27" spans="2:3">
      <c r="B27" s="42">
        <v>2021205783</v>
      </c>
      <c r="C27" s="42" t="str">
        <f ca="1">_xlfn.XLOOKUP(B27,MIS_Backend_Data!B:B,MIS_Backend_Data!N:N,"NA")</f>
        <v>NA</v>
      </c>
    </row>
    <row r="28" spans="2:3">
      <c r="B28" s="42">
        <v>2019201744</v>
      </c>
      <c r="C28" s="42" t="str">
        <f ca="1">_xlfn.XLOOKUP(B28,MIS_Backend_Data!B:B,MIS_Backend_Data!N:N,"NA")</f>
        <v>NA</v>
      </c>
    </row>
    <row r="29" spans="2:3">
      <c r="B29" s="42">
        <v>2025209132</v>
      </c>
      <c r="C29" s="42" t="str">
        <f ca="1">_xlfn.XLOOKUP(B29,MIS_Backend_Data!B:B,MIS_Backend_Data!N:N,"NA")</f>
        <v>NA</v>
      </c>
    </row>
    <row r="30" spans="2:3">
      <c r="B30" s="42">
        <v>2025209145</v>
      </c>
      <c r="C30" s="42" t="str">
        <f ca="1">_xlfn.XLOOKUP(B30,MIS_Backend_Data!B:B,MIS_Backend_Data!N:N,"NA")</f>
        <v>NA</v>
      </c>
    </row>
    <row r="31" spans="2:3">
      <c r="B31" s="42">
        <v>2025210434</v>
      </c>
      <c r="C31" s="42" t="str">
        <f ca="1">_xlfn.XLOOKUP(B31,MIS_Backend_Data!B:B,MIS_Backend_Data!N:N,"NA")</f>
        <v>NA</v>
      </c>
    </row>
    <row r="32" spans="2:3">
      <c r="B32" s="42">
        <v>2748309</v>
      </c>
      <c r="C32" s="42" t="str">
        <f ca="1">_xlfn.XLOOKUP(B32,MIS_Backend_Data!B:B,MIS_Backend_Data!N:N,"NA")</f>
        <v>NA</v>
      </c>
    </row>
    <row r="33" spans="2:3">
      <c r="B33" s="42">
        <v>2025202958</v>
      </c>
      <c r="C33" s="42" t="str">
        <f ca="1">_xlfn.XLOOKUP(B33,MIS_Backend_Data!B:B,MIS_Backend_Data!N:N,"NA")</f>
        <v>NA</v>
      </c>
    </row>
    <row r="34" spans="2:3">
      <c r="B34" s="42">
        <v>2024209819</v>
      </c>
      <c r="C34" s="42" t="str">
        <f ca="1">_xlfn.XLOOKUP(B34,MIS_Backend_Data!B:B,MIS_Backend_Data!N:N,"NA")</f>
        <v>NA</v>
      </c>
    </row>
  </sheetData>
  <autoFilter ref="H3:I20" xr:uid="{13D7D998-0167-451D-9BB7-392F5E79B133}">
    <filterColumn colId="0" showButton="0">
      <filters>
        <filter val="Reliance General Insurance Company Ltd"/>
      </filters>
    </filterColumn>
  </autoFilter>
  <mergeCells count="3">
    <mergeCell ref="B3:C3"/>
    <mergeCell ref="E3:F3"/>
    <mergeCell ref="H3:I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91B6-7062-4703-B251-A6822E625C9C}">
  <sheetPr codeName="Sheet9"/>
  <dimension ref="A1:Y503"/>
  <sheetViews>
    <sheetView topLeftCell="B1" workbookViewId="0">
      <pane xSplit="2" ySplit="1" topLeftCell="D118" activePane="bottomRight" state="frozen"/>
      <selection pane="topRight"/>
      <selection pane="bottomLeft"/>
      <selection pane="bottomRight" activeCell="B118" sqref="B118"/>
    </sheetView>
  </sheetViews>
  <sheetFormatPr defaultRowHeight="15" customHeight="1"/>
  <cols>
    <col min="1" max="1" width="6.81640625" customWidth="1"/>
    <col min="2" max="2" width="24.26953125" style="145" customWidth="1"/>
    <col min="3" max="3" width="29.54296875" customWidth="1"/>
    <col min="4" max="4" width="36.54296875" bestFit="1" customWidth="1"/>
    <col min="5" max="5" width="48.26953125" customWidth="1"/>
    <col min="6" max="6" width="19.26953125" customWidth="1"/>
    <col min="7" max="7" width="33.26953125" customWidth="1"/>
    <col min="8" max="8" width="57.81640625" customWidth="1"/>
    <col min="9" max="9" width="19.54296875" customWidth="1"/>
    <col min="10" max="10" width="30.54296875" customWidth="1"/>
    <col min="11" max="11" width="50.26953125" customWidth="1"/>
    <col min="12" max="12" width="15.81640625" customWidth="1"/>
    <col min="13" max="13" width="39.453125" customWidth="1"/>
    <col min="14" max="14" width="23.26953125" customWidth="1"/>
    <col min="15" max="15" width="10.26953125" style="45" bestFit="1" customWidth="1"/>
    <col min="16" max="16" width="13" customWidth="1"/>
    <col min="17" max="17" width="13.7265625" bestFit="1" customWidth="1"/>
    <col min="18" max="18" width="20.1796875" customWidth="1"/>
    <col min="19" max="19" width="29.54296875" customWidth="1"/>
    <col min="20" max="20" width="28.453125" bestFit="1" customWidth="1"/>
  </cols>
  <sheetData>
    <row r="1" spans="1:19" s="13" customFormat="1" ht="24.75" customHeight="1">
      <c r="A1" s="32" t="s">
        <v>0</v>
      </c>
      <c r="B1" s="148" t="s">
        <v>2037</v>
      </c>
      <c r="C1" s="33" t="s">
        <v>2046</v>
      </c>
      <c r="D1" s="33" t="s">
        <v>2047</v>
      </c>
      <c r="E1" s="33" t="s">
        <v>2048</v>
      </c>
      <c r="F1" s="33" t="s">
        <v>2049</v>
      </c>
      <c r="G1" s="33" t="s">
        <v>2050</v>
      </c>
      <c r="H1" s="33" t="s">
        <v>2051</v>
      </c>
      <c r="I1" s="33" t="s">
        <v>2052</v>
      </c>
      <c r="J1" s="33" t="s">
        <v>2053</v>
      </c>
      <c r="K1" s="33" t="s">
        <v>2051</v>
      </c>
      <c r="L1" s="33" t="s">
        <v>2054</v>
      </c>
      <c r="M1" s="33" t="s">
        <v>653</v>
      </c>
      <c r="N1" s="33" t="s">
        <v>2049</v>
      </c>
      <c r="O1" s="43" t="s">
        <v>2055</v>
      </c>
      <c r="P1" s="33" t="s">
        <v>2056</v>
      </c>
      <c r="Q1" s="33" t="s">
        <v>2057</v>
      </c>
      <c r="R1" s="33" t="s">
        <v>2058</v>
      </c>
      <c r="S1" s="33" t="s">
        <v>2059</v>
      </c>
    </row>
    <row r="2" spans="1:19" ht="14.5">
      <c r="A2">
        <v>1</v>
      </c>
      <c r="B2" s="35" t="e">
        <f>IF(MIS_Backend_Data!#REF!="", "", MIS_Backend_Data!#REF!)</f>
        <v>#REF!</v>
      </c>
      <c r="C2" s="30" t="s">
        <v>2060</v>
      </c>
      <c r="D2" s="30" t="str">
        <f>IF(MIS_Backend_Data!Q2="", "", MIS_Backend_Data!Q2)</f>
        <v>Shrimati Parvatibai Balu Kamble</v>
      </c>
      <c r="E2" s="30" t="s">
        <v>708</v>
      </c>
      <c r="F2" s="30"/>
      <c r="G2" s="30" t="str">
        <f>IF(MIS_Backend_Data!Y2="", "", MIS_Backend_Data!Y2)</f>
        <v>Inderdeep Construction Company</v>
      </c>
      <c r="H2" s="30" t="s">
        <v>710</v>
      </c>
      <c r="I2" s="30" t="e">
        <f>IF(MIS_Backend_Data!#REF!="", "", MIS_Backend_Data!#REF!)</f>
        <v>#REF!</v>
      </c>
      <c r="J2" s="30" t="str">
        <f>IF(MIS_Backend_Data!AD2="", "", MIS_Backend_Data!AD2)</f>
        <v>Munnala Rajaram Saroj</v>
      </c>
      <c r="K2" s="30" t="s">
        <v>2061</v>
      </c>
      <c r="L2" s="30" t="str">
        <f>IF(MIS_Backend_Data!AF2="", "", MIS_Backend_Data!AF2)</f>
        <v>NA</v>
      </c>
      <c r="M2" s="30" t="s">
        <v>2062</v>
      </c>
      <c r="N2" s="30" t="e">
        <f>IF(MIS_Backend_Data!#REF!="", "", MIS_Backend_Data!#REF!)</f>
        <v>#REF!</v>
      </c>
      <c r="O2" s="44" t="s">
        <v>2063</v>
      </c>
      <c r="P2" s="30" t="s">
        <v>2064</v>
      </c>
      <c r="Q2" s="30" t="s">
        <v>709</v>
      </c>
      <c r="R2" s="30"/>
      <c r="S2" s="30" t="s">
        <v>717</v>
      </c>
    </row>
    <row r="3" spans="1:19" ht="14.5">
      <c r="A3">
        <v>2</v>
      </c>
      <c r="B3" s="35" t="e">
        <f>IF(MIS_Backend_Data!#REF!="", "", MIS_Backend_Data!#REF!)</f>
        <v>#REF!</v>
      </c>
      <c r="C3" s="30" t="s">
        <v>2060</v>
      </c>
      <c r="D3" s="30" t="str">
        <f>IF(MIS_Backend_Data!Q3="", "", MIS_Backend_Data!Q3)</f>
        <v>Chandrabhaga Shivaji Pawar</v>
      </c>
      <c r="E3" s="30" t="s">
        <v>723</v>
      </c>
      <c r="F3" s="30" t="e">
        <f>IF(MIS_Backend_Data!#REF!="", "", MIS_Backend_Data!#REF!)</f>
        <v>#REF!</v>
      </c>
      <c r="G3" s="30" t="str">
        <f>IF(MIS_Backend_Data!Y3="", "", MIS_Backend_Data!Y3)</f>
        <v>Momin Navid Akhtar Mohmd Shahid</v>
      </c>
      <c r="H3" s="30" t="s">
        <v>725</v>
      </c>
      <c r="I3" s="30" t="e">
        <f>IF(MIS_Backend_Data!#REF!="", "", MIS_Backend_Data!#REF!)</f>
        <v>#REF!</v>
      </c>
      <c r="J3" s="30" t="str">
        <f>IF(MIS_Backend_Data!AD3="", "", MIS_Backend_Data!AD3)</f>
        <v>NA</v>
      </c>
      <c r="K3" s="30" t="s">
        <v>41</v>
      </c>
      <c r="L3" s="30" t="str">
        <f>IF(MIS_Backend_Data!AF3="", "", MIS_Backend_Data!AF3)</f>
        <v xml:space="preserve">Mukhtar Shaikh </v>
      </c>
      <c r="M3" s="30" t="s">
        <v>727</v>
      </c>
      <c r="N3" s="30" t="e">
        <f>IF(MIS_Backend_Data!#REF!="", "", MIS_Backend_Data!#REF!)</f>
        <v>#REF!</v>
      </c>
      <c r="O3" s="44" t="s">
        <v>2065</v>
      </c>
      <c r="P3" s="30" t="s">
        <v>2066</v>
      </c>
      <c r="Q3" s="30" t="s">
        <v>709</v>
      </c>
      <c r="R3" s="30"/>
      <c r="S3" s="30" t="s">
        <v>654</v>
      </c>
    </row>
    <row r="4" spans="1:19" ht="14.5">
      <c r="A4">
        <v>3</v>
      </c>
      <c r="B4" s="142" t="e">
        <f>IF(MIS_Backend_Data!#REF!="", "", MIS_Backend_Data!#REF!)</f>
        <v>#REF!</v>
      </c>
      <c r="C4" s="30" t="s">
        <v>2060</v>
      </c>
      <c r="D4" s="30" t="str">
        <f>IF(MIS_Backend_Data!Q4="", "", MIS_Backend_Data!Q4)</f>
        <v>Balu Motiram Wagh</v>
      </c>
      <c r="E4" s="30" t="s">
        <v>730</v>
      </c>
      <c r="F4" s="30" t="e">
        <f>IF(MIS_Backend_Data!#REF!="", "", MIS_Backend_Data!#REF!)</f>
        <v>#REF!</v>
      </c>
      <c r="G4" s="30" t="str">
        <f>IF(MIS_Backend_Data!Y4="", "", MIS_Backend_Data!Y4)</f>
        <v>Shayan Raies Sayyad</v>
      </c>
      <c r="H4" s="30" t="s">
        <v>732</v>
      </c>
      <c r="I4" s="30" t="e">
        <f>IF(MIS_Backend_Data!#REF!="", "", MIS_Backend_Data!#REF!)</f>
        <v>#REF!</v>
      </c>
      <c r="J4" s="30" t="str">
        <f>IF(MIS_Backend_Data!AD4="", "", MIS_Backend_Data!AD4)</f>
        <v>Sagar Ankush Bhosale</v>
      </c>
      <c r="K4" s="30" t="s">
        <v>2067</v>
      </c>
      <c r="L4" s="30" t="str">
        <f>IF(MIS_Backend_Data!AF4="", "", MIS_Backend_Data!AF4)</f>
        <v>NA</v>
      </c>
      <c r="M4" s="30" t="s">
        <v>735</v>
      </c>
      <c r="N4" s="30" t="e">
        <f>IF(MIS_Backend_Data!#REF!="", "", MIS_Backend_Data!#REF!)</f>
        <v>#REF!</v>
      </c>
      <c r="O4" s="44" t="s">
        <v>2068</v>
      </c>
      <c r="P4" s="30" t="s">
        <v>2069</v>
      </c>
      <c r="Q4" s="30" t="s">
        <v>709</v>
      </c>
      <c r="R4" s="30"/>
      <c r="S4" s="30" t="s">
        <v>2070</v>
      </c>
    </row>
    <row r="5" spans="1:19" ht="14.5">
      <c r="A5">
        <v>4</v>
      </c>
      <c r="B5" s="160" t="s">
        <v>2071</v>
      </c>
      <c r="C5" s="30" t="s">
        <v>2072</v>
      </c>
      <c r="D5" s="30" t="s">
        <v>739</v>
      </c>
      <c r="E5" s="30" t="s">
        <v>740</v>
      </c>
      <c r="F5" s="30" t="s">
        <v>1236</v>
      </c>
      <c r="G5" s="30" t="s">
        <v>37</v>
      </c>
      <c r="H5" s="30" t="s">
        <v>743</v>
      </c>
      <c r="I5" s="30" t="s">
        <v>2073</v>
      </c>
      <c r="J5" s="30" t="s">
        <v>41</v>
      </c>
      <c r="K5" s="30" t="s">
        <v>41</v>
      </c>
      <c r="L5" s="30" t="s">
        <v>41</v>
      </c>
      <c r="M5" s="30" t="s">
        <v>744</v>
      </c>
      <c r="N5" s="30" t="s">
        <v>1236</v>
      </c>
      <c r="O5" s="44" t="s">
        <v>2074</v>
      </c>
      <c r="P5" s="30" t="s">
        <v>2075</v>
      </c>
      <c r="Q5" s="30" t="s">
        <v>741</v>
      </c>
      <c r="R5" s="30" t="s">
        <v>2076</v>
      </c>
      <c r="S5" s="30" t="s">
        <v>706</v>
      </c>
    </row>
    <row r="6" spans="1:19" ht="14.25" customHeight="1">
      <c r="A6">
        <v>5</v>
      </c>
      <c r="B6" s="160" t="s">
        <v>43</v>
      </c>
      <c r="C6" s="31" t="s">
        <v>2077</v>
      </c>
      <c r="D6" s="30" t="s">
        <v>745</v>
      </c>
      <c r="E6" s="30" t="s">
        <v>746</v>
      </c>
      <c r="F6" s="30" t="s">
        <v>1236</v>
      </c>
      <c r="G6" s="30" t="s">
        <v>41</v>
      </c>
      <c r="H6" s="30" t="s">
        <v>41</v>
      </c>
      <c r="I6" s="30" t="s">
        <v>41</v>
      </c>
      <c r="J6" s="30" t="s">
        <v>41</v>
      </c>
      <c r="K6" s="30" t="s">
        <v>41</v>
      </c>
      <c r="L6" s="30" t="s">
        <v>41</v>
      </c>
      <c r="M6" s="30" t="s">
        <v>41</v>
      </c>
      <c r="N6" s="30" t="s">
        <v>41</v>
      </c>
      <c r="O6" s="44" t="s">
        <v>41</v>
      </c>
      <c r="P6" s="30" t="s">
        <v>41</v>
      </c>
      <c r="Q6" s="30" t="s">
        <v>41</v>
      </c>
      <c r="R6" s="30" t="s">
        <v>41</v>
      </c>
      <c r="S6" s="30" t="s">
        <v>706</v>
      </c>
    </row>
    <row r="7" spans="1:19" ht="14.25" customHeight="1">
      <c r="A7">
        <v>6</v>
      </c>
      <c r="B7" s="160" t="s">
        <v>45</v>
      </c>
      <c r="C7" s="31" t="s">
        <v>2077</v>
      </c>
      <c r="D7" s="30" t="s">
        <v>749</v>
      </c>
      <c r="E7" s="30" t="s">
        <v>746</v>
      </c>
      <c r="F7" s="30" t="s">
        <v>1236</v>
      </c>
      <c r="G7" s="30" t="s">
        <v>41</v>
      </c>
      <c r="H7" s="30" t="s">
        <v>41</v>
      </c>
      <c r="I7" s="30" t="s">
        <v>41</v>
      </c>
      <c r="J7" s="30" t="s">
        <v>41</v>
      </c>
      <c r="K7" s="30" t="s">
        <v>41</v>
      </c>
      <c r="L7" s="30" t="s">
        <v>41</v>
      </c>
      <c r="M7" s="30" t="s">
        <v>41</v>
      </c>
      <c r="N7" s="30" t="s">
        <v>41</v>
      </c>
      <c r="O7" s="44" t="s">
        <v>41</v>
      </c>
      <c r="P7" s="30" t="s">
        <v>41</v>
      </c>
      <c r="Q7" s="30" t="s">
        <v>41</v>
      </c>
      <c r="R7" s="30" t="s">
        <v>41</v>
      </c>
      <c r="S7" s="30" t="s">
        <v>706</v>
      </c>
    </row>
    <row r="8" spans="1:19" ht="14.25" customHeight="1">
      <c r="A8">
        <v>7</v>
      </c>
      <c r="B8" s="35" t="s">
        <v>48</v>
      </c>
      <c r="C8" s="30" t="s">
        <v>2078</v>
      </c>
      <c r="D8" s="30" t="s">
        <v>41</v>
      </c>
      <c r="E8" s="30" t="s">
        <v>41</v>
      </c>
      <c r="F8" s="30" t="s">
        <v>41</v>
      </c>
      <c r="G8" s="30" t="s">
        <v>752</v>
      </c>
      <c r="H8" s="31" t="s">
        <v>753</v>
      </c>
      <c r="I8" s="30" t="s">
        <v>756</v>
      </c>
      <c r="J8" s="30" t="s">
        <v>41</v>
      </c>
      <c r="K8" s="30" t="s">
        <v>41</v>
      </c>
      <c r="L8" s="30" t="s">
        <v>41</v>
      </c>
      <c r="M8" s="31" t="s">
        <v>759</v>
      </c>
      <c r="N8" s="30" t="s">
        <v>756</v>
      </c>
      <c r="O8" s="44" t="s">
        <v>2079</v>
      </c>
      <c r="P8" s="30" t="s">
        <v>876</v>
      </c>
      <c r="Q8" s="30" t="s">
        <v>763</v>
      </c>
      <c r="R8" s="30" t="s">
        <v>2076</v>
      </c>
      <c r="S8" s="30"/>
    </row>
    <row r="9" spans="1:19" ht="14.25" customHeight="1">
      <c r="A9">
        <v>8</v>
      </c>
      <c r="B9" s="160" t="e">
        <f>IF(MIS_Backend_Data!#REF!="", "", MIS_Backend_Data!#REF!)</f>
        <v>#REF!</v>
      </c>
      <c r="C9" s="30" t="s">
        <v>2060</v>
      </c>
      <c r="D9" s="30" t="s">
        <v>765</v>
      </c>
      <c r="E9" s="30" t="s">
        <v>766</v>
      </c>
      <c r="F9" s="30" t="s">
        <v>2080</v>
      </c>
      <c r="G9" s="30" t="s">
        <v>49</v>
      </c>
      <c r="H9" s="30" t="s">
        <v>2081</v>
      </c>
      <c r="I9" s="30" t="s">
        <v>2080</v>
      </c>
      <c r="J9" s="30" t="s">
        <v>768</v>
      </c>
      <c r="K9" s="30" t="s">
        <v>2081</v>
      </c>
      <c r="L9" s="30" t="s">
        <v>2080</v>
      </c>
      <c r="M9" s="30" t="s">
        <v>770</v>
      </c>
      <c r="N9" s="30" t="s">
        <v>2080</v>
      </c>
      <c r="O9" s="44" t="s">
        <v>2082</v>
      </c>
      <c r="P9" s="30" t="s">
        <v>2083</v>
      </c>
      <c r="Q9" s="30" t="s">
        <v>733</v>
      </c>
      <c r="R9" s="30" t="s">
        <v>2080</v>
      </c>
      <c r="S9" s="30" t="s">
        <v>2084</v>
      </c>
    </row>
    <row r="10" spans="1:19" ht="14.5">
      <c r="A10">
        <v>9</v>
      </c>
      <c r="B10" s="35" t="s">
        <v>58</v>
      </c>
      <c r="C10" s="30" t="s">
        <v>2060</v>
      </c>
      <c r="D10" s="30" t="s">
        <v>780</v>
      </c>
      <c r="E10" s="30" t="s">
        <v>781</v>
      </c>
      <c r="F10" s="30" t="s">
        <v>2085</v>
      </c>
      <c r="G10" s="30" t="s">
        <v>782</v>
      </c>
      <c r="H10" s="30" t="s">
        <v>783</v>
      </c>
      <c r="I10" s="30" t="s">
        <v>785</v>
      </c>
      <c r="J10" s="30" t="s">
        <v>784</v>
      </c>
      <c r="K10" s="30" t="s">
        <v>721</v>
      </c>
      <c r="L10" s="30" t="s">
        <v>721</v>
      </c>
      <c r="M10" s="30" t="s">
        <v>786</v>
      </c>
      <c r="N10" s="30" t="s">
        <v>785</v>
      </c>
      <c r="O10" s="44" t="s">
        <v>2086</v>
      </c>
      <c r="P10" s="30" t="s">
        <v>2087</v>
      </c>
      <c r="Q10" s="30" t="s">
        <v>709</v>
      </c>
      <c r="R10" s="30"/>
      <c r="S10" s="30" t="s">
        <v>2088</v>
      </c>
    </row>
    <row r="11" spans="1:19" ht="14.5">
      <c r="A11">
        <v>10</v>
      </c>
      <c r="B11" s="160">
        <v>2025209111</v>
      </c>
      <c r="C11" s="30" t="s">
        <v>2060</v>
      </c>
      <c r="D11" s="30" t="s">
        <v>772</v>
      </c>
      <c r="E11" s="30" t="s">
        <v>773</v>
      </c>
      <c r="F11" s="30" t="s">
        <v>777</v>
      </c>
      <c r="G11" s="30" t="s">
        <v>775</v>
      </c>
      <c r="H11" s="30" t="s">
        <v>776</v>
      </c>
      <c r="I11" s="30" t="s">
        <v>777</v>
      </c>
      <c r="J11" s="30" t="s">
        <v>721</v>
      </c>
      <c r="K11" s="30"/>
      <c r="L11" s="30" t="s">
        <v>777</v>
      </c>
      <c r="M11" s="30" t="s">
        <v>778</v>
      </c>
      <c r="N11" s="30" t="s">
        <v>2089</v>
      </c>
      <c r="O11" s="44" t="s">
        <v>2090</v>
      </c>
      <c r="P11" s="30" t="s">
        <v>2091</v>
      </c>
      <c r="Q11" s="30" t="s">
        <v>774</v>
      </c>
      <c r="R11" s="30" t="s">
        <v>2092</v>
      </c>
      <c r="S11" s="30"/>
    </row>
    <row r="12" spans="1:19" ht="14.5">
      <c r="A12">
        <v>11</v>
      </c>
      <c r="B12" s="35">
        <v>2025201119</v>
      </c>
      <c r="C12" s="30" t="s">
        <v>2093</v>
      </c>
      <c r="D12" s="30" t="s">
        <v>2094</v>
      </c>
      <c r="E12" s="30" t="s">
        <v>41</v>
      </c>
      <c r="F12" s="30" t="s">
        <v>41</v>
      </c>
      <c r="G12" s="30" t="s">
        <v>60</v>
      </c>
      <c r="H12" s="30" t="s">
        <v>41</v>
      </c>
      <c r="I12" s="30" t="s">
        <v>41</v>
      </c>
      <c r="J12" s="30" t="s">
        <v>41</v>
      </c>
      <c r="K12" s="30" t="s">
        <v>41</v>
      </c>
      <c r="L12" s="30" t="s">
        <v>41</v>
      </c>
      <c r="M12" s="30" t="s">
        <v>790</v>
      </c>
      <c r="N12" s="30"/>
      <c r="O12" s="44" t="s">
        <v>2095</v>
      </c>
      <c r="P12" s="30" t="s">
        <v>2096</v>
      </c>
      <c r="Q12" s="30" t="s">
        <v>791</v>
      </c>
      <c r="R12" s="30" t="s">
        <v>2097</v>
      </c>
      <c r="S12" s="30"/>
    </row>
    <row r="13" spans="1:19" s="99" customFormat="1" ht="29">
      <c r="A13" s="99">
        <v>12</v>
      </c>
      <c r="B13" s="160">
        <v>2025210107</v>
      </c>
      <c r="C13" s="118" t="s">
        <v>2060</v>
      </c>
      <c r="D13" s="118" t="s">
        <v>796</v>
      </c>
      <c r="E13" s="118" t="s">
        <v>797</v>
      </c>
      <c r="F13" s="48" t="s">
        <v>2098</v>
      </c>
      <c r="G13" s="118" t="s">
        <v>798</v>
      </c>
      <c r="H13" s="118" t="s">
        <v>799</v>
      </c>
      <c r="I13" s="118" t="s">
        <v>2099</v>
      </c>
      <c r="J13" s="118" t="s">
        <v>800</v>
      </c>
      <c r="K13" s="118" t="s">
        <v>2100</v>
      </c>
      <c r="L13" s="118" t="s">
        <v>2101</v>
      </c>
      <c r="M13" s="127" t="s">
        <v>801</v>
      </c>
      <c r="N13" s="118" t="s">
        <v>2102</v>
      </c>
      <c r="O13" s="119" t="s">
        <v>2103</v>
      </c>
      <c r="P13" s="118" t="s">
        <v>2104</v>
      </c>
      <c r="Q13" s="118" t="s">
        <v>774</v>
      </c>
      <c r="R13" s="118" t="s">
        <v>2092</v>
      </c>
      <c r="S13" s="118"/>
    </row>
    <row r="14" spans="1:19" ht="14.5">
      <c r="A14">
        <v>13</v>
      </c>
      <c r="B14" s="160">
        <v>2025209818</v>
      </c>
      <c r="C14" s="30" t="s">
        <v>2105</v>
      </c>
      <c r="D14" s="30" t="s">
        <v>803</v>
      </c>
      <c r="E14" s="30" t="s">
        <v>797</v>
      </c>
      <c r="F14" s="48" t="s">
        <v>2098</v>
      </c>
      <c r="G14" s="30" t="s">
        <v>41</v>
      </c>
      <c r="H14" s="30" t="s">
        <v>41</v>
      </c>
      <c r="I14" s="30" t="s">
        <v>41</v>
      </c>
      <c r="J14" s="30" t="s">
        <v>41</v>
      </c>
      <c r="K14" s="30" t="s">
        <v>41</v>
      </c>
      <c r="L14" s="30" t="s">
        <v>41</v>
      </c>
      <c r="M14" s="30" t="s">
        <v>801</v>
      </c>
      <c r="N14" s="30" t="s">
        <v>41</v>
      </c>
      <c r="O14" s="44" t="s">
        <v>41</v>
      </c>
      <c r="P14" s="30" t="s">
        <v>41</v>
      </c>
      <c r="Q14" s="30" t="s">
        <v>41</v>
      </c>
      <c r="R14" s="30" t="s">
        <v>41</v>
      </c>
      <c r="S14" s="30"/>
    </row>
    <row r="15" spans="1:19" ht="14.5">
      <c r="A15">
        <v>14</v>
      </c>
      <c r="B15" s="160">
        <v>2025210174</v>
      </c>
      <c r="C15" s="30" t="s">
        <v>2060</v>
      </c>
      <c r="D15" s="30" t="s">
        <v>805</v>
      </c>
      <c r="E15" s="30" t="s">
        <v>806</v>
      </c>
      <c r="F15" s="30" t="s">
        <v>777</v>
      </c>
      <c r="G15" s="30" t="s">
        <v>807</v>
      </c>
      <c r="H15" s="30" t="s">
        <v>808</v>
      </c>
      <c r="I15" s="30" t="s">
        <v>1175</v>
      </c>
      <c r="J15" s="30" t="s">
        <v>721</v>
      </c>
      <c r="K15" s="30" t="s">
        <v>721</v>
      </c>
      <c r="L15" s="30" t="s">
        <v>721</v>
      </c>
      <c r="M15" s="30" t="s">
        <v>809</v>
      </c>
      <c r="N15" s="30" t="s">
        <v>2089</v>
      </c>
      <c r="O15" s="44" t="s">
        <v>2106</v>
      </c>
      <c r="P15" s="30" t="s">
        <v>2107</v>
      </c>
      <c r="Q15" s="30" t="s">
        <v>774</v>
      </c>
      <c r="R15" s="30" t="s">
        <v>2092</v>
      </c>
      <c r="S15" s="30" t="s">
        <v>2108</v>
      </c>
    </row>
    <row r="16" spans="1:19" ht="14.5">
      <c r="A16">
        <v>15</v>
      </c>
      <c r="B16" s="160">
        <v>2025210104</v>
      </c>
      <c r="C16" s="30" t="s">
        <v>1132</v>
      </c>
      <c r="D16" s="30" t="s">
        <v>812</v>
      </c>
      <c r="E16" s="30" t="s">
        <v>813</v>
      </c>
      <c r="F16" s="30" t="s">
        <v>2089</v>
      </c>
      <c r="G16" s="30" t="s">
        <v>814</v>
      </c>
      <c r="H16" s="30" t="s">
        <v>41</v>
      </c>
      <c r="I16" s="30" t="s">
        <v>41</v>
      </c>
      <c r="J16" s="30" t="s">
        <v>41</v>
      </c>
      <c r="K16" s="30" t="s">
        <v>41</v>
      </c>
      <c r="L16" s="30" t="s">
        <v>41</v>
      </c>
      <c r="M16" s="30" t="s">
        <v>815</v>
      </c>
      <c r="N16" s="30" t="s">
        <v>41</v>
      </c>
      <c r="O16" s="44" t="s">
        <v>2109</v>
      </c>
      <c r="P16" s="30" t="s">
        <v>2110</v>
      </c>
      <c r="Q16" s="30" t="s">
        <v>774</v>
      </c>
      <c r="R16" s="30" t="s">
        <v>2092</v>
      </c>
      <c r="S16" s="30" t="s">
        <v>1286</v>
      </c>
    </row>
    <row r="17" spans="1:21" ht="14.5">
      <c r="A17">
        <v>16</v>
      </c>
      <c r="B17" s="35">
        <v>2025209654</v>
      </c>
      <c r="C17" s="30" t="s">
        <v>2060</v>
      </c>
      <c r="D17" s="30" t="s">
        <v>2111</v>
      </c>
      <c r="E17" s="30" t="s">
        <v>818</v>
      </c>
      <c r="F17" s="30" t="s">
        <v>2089</v>
      </c>
      <c r="G17" s="30" t="s">
        <v>819</v>
      </c>
      <c r="H17" s="30" t="s">
        <v>820</v>
      </c>
      <c r="I17" s="30" t="s">
        <v>822</v>
      </c>
      <c r="J17" s="30" t="s">
        <v>821</v>
      </c>
      <c r="K17" s="30" t="s">
        <v>820</v>
      </c>
      <c r="L17" s="30" t="s">
        <v>822</v>
      </c>
      <c r="M17" s="30" t="s">
        <v>823</v>
      </c>
      <c r="N17" s="30" t="s">
        <v>822</v>
      </c>
      <c r="O17" s="44" t="s">
        <v>2112</v>
      </c>
      <c r="P17" s="30" t="s">
        <v>2113</v>
      </c>
      <c r="Q17" s="30" t="s">
        <v>774</v>
      </c>
      <c r="R17" s="30" t="s">
        <v>2092</v>
      </c>
      <c r="S17" s="30" t="s">
        <v>2114</v>
      </c>
    </row>
    <row r="18" spans="1:21" ht="14.5">
      <c r="A18">
        <v>17</v>
      </c>
      <c r="B18" s="35">
        <v>2025209769</v>
      </c>
      <c r="C18" s="30" t="s">
        <v>2060</v>
      </c>
      <c r="D18" s="30" t="s">
        <v>825</v>
      </c>
      <c r="E18" s="30" t="s">
        <v>826</v>
      </c>
      <c r="F18" s="30" t="s">
        <v>2115</v>
      </c>
      <c r="G18" s="30" t="s">
        <v>827</v>
      </c>
      <c r="H18" s="30" t="s">
        <v>828</v>
      </c>
      <c r="I18" s="30" t="s">
        <v>2116</v>
      </c>
      <c r="J18" s="30" t="s">
        <v>721</v>
      </c>
      <c r="K18" s="30" t="s">
        <v>721</v>
      </c>
      <c r="L18" s="30" t="s">
        <v>2117</v>
      </c>
      <c r="M18" s="30" t="s">
        <v>830</v>
      </c>
      <c r="N18" s="30" t="s">
        <v>2118</v>
      </c>
      <c r="O18" s="44" t="s">
        <v>2119</v>
      </c>
      <c r="P18" s="30" t="s">
        <v>2120</v>
      </c>
      <c r="Q18" s="30" t="s">
        <v>733</v>
      </c>
      <c r="R18" s="30" t="s">
        <v>2121</v>
      </c>
      <c r="S18" s="30"/>
    </row>
    <row r="19" spans="1:21" ht="29">
      <c r="A19">
        <v>18</v>
      </c>
      <c r="B19" s="160" t="s">
        <v>2122</v>
      </c>
      <c r="C19" s="31" t="s">
        <v>2123</v>
      </c>
      <c r="D19" s="30" t="s">
        <v>2124</v>
      </c>
      <c r="E19" s="31" t="s">
        <v>836</v>
      </c>
      <c r="F19" s="30" t="s">
        <v>948</v>
      </c>
      <c r="G19" s="30" t="s">
        <v>81</v>
      </c>
      <c r="H19" s="30" t="s">
        <v>2125</v>
      </c>
      <c r="I19" s="30" t="s">
        <v>948</v>
      </c>
      <c r="J19" s="30" t="s">
        <v>832</v>
      </c>
      <c r="K19" s="30" t="s">
        <v>2126</v>
      </c>
      <c r="L19" s="30" t="s">
        <v>41</v>
      </c>
      <c r="M19" s="30" t="s">
        <v>834</v>
      </c>
      <c r="N19" s="30" t="s">
        <v>41</v>
      </c>
      <c r="O19" s="44" t="s">
        <v>2127</v>
      </c>
      <c r="P19" s="30" t="s">
        <v>2128</v>
      </c>
      <c r="Q19" s="30" t="s">
        <v>709</v>
      </c>
      <c r="R19" s="30" t="s">
        <v>2129</v>
      </c>
      <c r="S19" s="30"/>
    </row>
    <row r="20" spans="1:21" ht="14.5">
      <c r="B20" s="160" t="s">
        <v>85</v>
      </c>
      <c r="C20" s="30" t="s">
        <v>2077</v>
      </c>
      <c r="D20" s="30" t="s">
        <v>835</v>
      </c>
      <c r="E20" s="30" t="s">
        <v>836</v>
      </c>
      <c r="F20" s="30" t="s">
        <v>948</v>
      </c>
      <c r="G20" s="30" t="s">
        <v>41</v>
      </c>
      <c r="H20" s="30" t="s">
        <v>41</v>
      </c>
      <c r="I20" s="30" t="s">
        <v>41</v>
      </c>
      <c r="J20" s="30" t="s">
        <v>41</v>
      </c>
      <c r="K20" s="30" t="s">
        <v>41</v>
      </c>
      <c r="L20" s="30" t="s">
        <v>41</v>
      </c>
      <c r="M20" s="30" t="s">
        <v>41</v>
      </c>
      <c r="N20" s="30" t="s">
        <v>41</v>
      </c>
      <c r="O20" s="44" t="s">
        <v>41</v>
      </c>
      <c r="P20" s="30" t="s">
        <v>41</v>
      </c>
      <c r="Q20" s="30" t="s">
        <v>41</v>
      </c>
      <c r="R20" s="30" t="s">
        <v>41</v>
      </c>
      <c r="S20" s="30"/>
    </row>
    <row r="21" spans="1:21" ht="14.5">
      <c r="B21" s="160" t="s">
        <v>87</v>
      </c>
      <c r="C21" s="30" t="s">
        <v>2077</v>
      </c>
      <c r="D21" s="30" t="s">
        <v>2130</v>
      </c>
      <c r="E21" s="30" t="s">
        <v>836</v>
      </c>
      <c r="F21" s="30" t="s">
        <v>948</v>
      </c>
      <c r="G21" s="30" t="s">
        <v>41</v>
      </c>
      <c r="H21" s="30" t="s">
        <v>41</v>
      </c>
      <c r="I21" s="30" t="s">
        <v>41</v>
      </c>
      <c r="J21" s="30" t="s">
        <v>41</v>
      </c>
      <c r="K21" s="30" t="s">
        <v>41</v>
      </c>
      <c r="L21" s="30" t="s">
        <v>41</v>
      </c>
      <c r="M21" s="30" t="s">
        <v>41</v>
      </c>
      <c r="N21" s="30" t="s">
        <v>41</v>
      </c>
      <c r="O21" s="44" t="s">
        <v>41</v>
      </c>
      <c r="P21" s="30" t="s">
        <v>41</v>
      </c>
      <c r="Q21" s="30" t="s">
        <v>41</v>
      </c>
      <c r="R21" s="30" t="s">
        <v>41</v>
      </c>
      <c r="S21" s="30"/>
    </row>
    <row r="22" spans="1:21" ht="29">
      <c r="A22">
        <v>19</v>
      </c>
      <c r="B22" s="142">
        <v>2024214888</v>
      </c>
      <c r="C22" s="30" t="s">
        <v>2060</v>
      </c>
      <c r="D22" s="30" t="s">
        <v>843</v>
      </c>
      <c r="E22" s="30" t="s">
        <v>844</v>
      </c>
      <c r="F22" s="30" t="s">
        <v>2089</v>
      </c>
      <c r="G22" s="30" t="s">
        <v>2131</v>
      </c>
      <c r="H22" s="30" t="s">
        <v>846</v>
      </c>
      <c r="I22" s="30" t="s">
        <v>847</v>
      </c>
      <c r="J22" s="30" t="s">
        <v>721</v>
      </c>
      <c r="K22" s="30" t="s">
        <v>721</v>
      </c>
      <c r="L22" s="30" t="s">
        <v>847</v>
      </c>
      <c r="M22" s="30" t="s">
        <v>848</v>
      </c>
      <c r="N22" s="30" t="s">
        <v>847</v>
      </c>
      <c r="O22" s="44" t="s">
        <v>850</v>
      </c>
      <c r="P22" s="30" t="s">
        <v>851</v>
      </c>
      <c r="Q22" s="30" t="s">
        <v>849</v>
      </c>
      <c r="R22" s="30" t="s">
        <v>2132</v>
      </c>
      <c r="S22" s="31" t="s">
        <v>2133</v>
      </c>
    </row>
    <row r="23" spans="1:21" ht="14.5">
      <c r="A23">
        <v>20</v>
      </c>
      <c r="B23" s="142">
        <v>2024214879</v>
      </c>
      <c r="C23" s="30" t="s">
        <v>2134</v>
      </c>
      <c r="D23" s="30" t="s">
        <v>854</v>
      </c>
      <c r="E23" s="30" t="s">
        <v>855</v>
      </c>
      <c r="F23" s="30" t="s">
        <v>2089</v>
      </c>
      <c r="G23" s="30" t="s">
        <v>41</v>
      </c>
      <c r="H23" s="30" t="s">
        <v>41</v>
      </c>
      <c r="I23" s="30" t="s">
        <v>41</v>
      </c>
      <c r="J23" s="30" t="s">
        <v>41</v>
      </c>
      <c r="K23" s="30" t="s">
        <v>41</v>
      </c>
      <c r="L23" s="30" t="s">
        <v>41</v>
      </c>
      <c r="M23" s="30" t="s">
        <v>41</v>
      </c>
      <c r="N23" s="30" t="s">
        <v>41</v>
      </c>
      <c r="O23" s="44" t="s">
        <v>41</v>
      </c>
      <c r="P23" s="30" t="s">
        <v>41</v>
      </c>
      <c r="Q23" s="30" t="s">
        <v>41</v>
      </c>
      <c r="R23" s="30" t="s">
        <v>41</v>
      </c>
      <c r="S23" s="30" t="s">
        <v>856</v>
      </c>
    </row>
    <row r="24" spans="1:21" ht="14.5">
      <c r="A24">
        <v>21</v>
      </c>
      <c r="B24" s="35" t="s">
        <v>98</v>
      </c>
      <c r="C24" s="31"/>
      <c r="D24" s="48" t="s">
        <v>859</v>
      </c>
      <c r="E24" s="48" t="s">
        <v>860</v>
      </c>
      <c r="F24" s="48" t="s">
        <v>2135</v>
      </c>
      <c r="G24" s="30" t="s">
        <v>96</v>
      </c>
      <c r="H24" s="30" t="s">
        <v>861</v>
      </c>
      <c r="I24" s="30" t="s">
        <v>2136</v>
      </c>
      <c r="J24" s="30" t="str">
        <f>IF(MIS_Backend_Data!AD24="", "", MIS_Backend_Data!AD24)</f>
        <v>NA</v>
      </c>
      <c r="K24" s="30" t="s">
        <v>41</v>
      </c>
      <c r="L24" s="30" t="s">
        <v>41</v>
      </c>
      <c r="M24" s="48" t="s">
        <v>862</v>
      </c>
      <c r="N24" s="48" t="s">
        <v>2137</v>
      </c>
      <c r="O24" s="44" t="s">
        <v>863</v>
      </c>
      <c r="P24" s="30" t="s">
        <v>2138</v>
      </c>
      <c r="Q24" s="30" t="s">
        <v>733</v>
      </c>
      <c r="R24" s="30" t="s">
        <v>2137</v>
      </c>
      <c r="S24" s="30"/>
      <c r="T24" s="30"/>
      <c r="U24" s="30"/>
    </row>
    <row r="25" spans="1:21" ht="14.5">
      <c r="B25" s="35">
        <v>2022201759</v>
      </c>
      <c r="C25" s="30" t="s">
        <v>2139</v>
      </c>
      <c r="D25" s="30" t="s">
        <v>41</v>
      </c>
      <c r="E25" s="30" t="s">
        <v>41</v>
      </c>
      <c r="F25" s="30" t="s">
        <v>41</v>
      </c>
      <c r="G25" s="30"/>
      <c r="H25" s="30"/>
      <c r="I25" s="30"/>
      <c r="J25" s="30"/>
      <c r="K25" s="30"/>
      <c r="L25" s="30"/>
      <c r="M25" s="30"/>
      <c r="N25" s="30"/>
      <c r="O25" s="44"/>
      <c r="P25" s="30"/>
      <c r="Q25" s="30"/>
      <c r="R25" s="30"/>
      <c r="S25" s="30"/>
    </row>
    <row r="26" spans="1:21" ht="14.5">
      <c r="A26">
        <v>22</v>
      </c>
      <c r="B26" s="35">
        <v>2025202327</v>
      </c>
      <c r="C26" s="30" t="s">
        <v>2060</v>
      </c>
      <c r="D26" s="30" t="s">
        <v>2140</v>
      </c>
      <c r="E26" s="30" t="s">
        <v>870</v>
      </c>
      <c r="F26" s="30" t="s">
        <v>2141</v>
      </c>
      <c r="G26" s="30" t="s">
        <v>101</v>
      </c>
      <c r="H26" s="31" t="s">
        <v>872</v>
      </c>
      <c r="I26" s="30" t="s">
        <v>2142</v>
      </c>
      <c r="J26" s="30" t="s">
        <v>721</v>
      </c>
      <c r="K26" s="30" t="s">
        <v>721</v>
      </c>
      <c r="L26" s="30" t="s">
        <v>721</v>
      </c>
      <c r="M26" s="30" t="s">
        <v>874</v>
      </c>
      <c r="N26" s="30" t="s">
        <v>2141</v>
      </c>
      <c r="O26" s="44" t="s">
        <v>875</v>
      </c>
      <c r="P26" s="30" t="s">
        <v>876</v>
      </c>
      <c r="Q26" s="30" t="s">
        <v>763</v>
      </c>
      <c r="R26" s="8" t="s">
        <v>2143</v>
      </c>
      <c r="S26" s="30"/>
    </row>
    <row r="27" spans="1:21" s="39" customFormat="1" ht="14.5">
      <c r="A27" s="39">
        <v>23</v>
      </c>
      <c r="B27" s="149">
        <v>2025202230</v>
      </c>
      <c r="C27" s="54" t="s">
        <v>2144</v>
      </c>
      <c r="D27" s="54" t="s">
        <v>2145</v>
      </c>
      <c r="E27" s="54" t="s">
        <v>870</v>
      </c>
      <c r="F27" s="54" t="s">
        <v>2141</v>
      </c>
      <c r="G27" s="54" t="s">
        <v>101</v>
      </c>
      <c r="H27" s="54" t="s">
        <v>41</v>
      </c>
      <c r="I27" s="54" t="s">
        <v>41</v>
      </c>
      <c r="J27" s="54" t="s">
        <v>41</v>
      </c>
      <c r="K27" s="54" t="s">
        <v>41</v>
      </c>
      <c r="L27" s="54" t="s">
        <v>41</v>
      </c>
      <c r="M27" s="54" t="s">
        <v>874</v>
      </c>
      <c r="N27" s="54" t="s">
        <v>41</v>
      </c>
      <c r="O27" s="55" t="s">
        <v>41</v>
      </c>
      <c r="P27" s="54" t="s">
        <v>41</v>
      </c>
      <c r="Q27" s="54" t="s">
        <v>41</v>
      </c>
      <c r="R27" s="54" t="s">
        <v>41</v>
      </c>
      <c r="S27" s="54"/>
    </row>
    <row r="28" spans="1:21" ht="14.5">
      <c r="A28">
        <v>24</v>
      </c>
      <c r="B28" s="35">
        <v>2025200573</v>
      </c>
      <c r="C28" s="30" t="s">
        <v>2060</v>
      </c>
      <c r="D28" s="30" t="s">
        <v>878</v>
      </c>
      <c r="E28" s="30" t="s">
        <v>879</v>
      </c>
      <c r="F28" s="30" t="s">
        <v>847</v>
      </c>
      <c r="G28" s="30" t="s">
        <v>104</v>
      </c>
      <c r="H28" s="30" t="s">
        <v>41</v>
      </c>
      <c r="I28" s="30" t="s">
        <v>721</v>
      </c>
      <c r="J28" s="30" t="s">
        <v>721</v>
      </c>
      <c r="K28" s="30" t="s">
        <v>721</v>
      </c>
      <c r="L28" s="30" t="s">
        <v>41</v>
      </c>
      <c r="M28" s="30" t="s">
        <v>880</v>
      </c>
      <c r="N28" s="30" t="s">
        <v>847</v>
      </c>
      <c r="O28" s="44" t="s">
        <v>881</v>
      </c>
      <c r="P28" s="30" t="s">
        <v>882</v>
      </c>
      <c r="Q28" s="30" t="s">
        <v>849</v>
      </c>
      <c r="R28" s="8" t="s">
        <v>2146</v>
      </c>
      <c r="S28" s="30"/>
    </row>
    <row r="29" spans="1:21" ht="14.5">
      <c r="A29">
        <v>25</v>
      </c>
      <c r="B29" s="35">
        <v>2025206296</v>
      </c>
      <c r="C29" s="30" t="s">
        <v>2060</v>
      </c>
      <c r="D29" s="30" t="s">
        <v>883</v>
      </c>
      <c r="E29" s="30" t="s">
        <v>884</v>
      </c>
      <c r="F29" s="30" t="s">
        <v>1364</v>
      </c>
      <c r="G29" s="30" t="s">
        <v>107</v>
      </c>
      <c r="H29" s="30" t="s">
        <v>885</v>
      </c>
      <c r="I29" s="30" t="s">
        <v>1364</v>
      </c>
      <c r="J29" s="30" t="s">
        <v>721</v>
      </c>
      <c r="K29" s="30" t="s">
        <v>721</v>
      </c>
      <c r="L29" s="30" t="s">
        <v>721</v>
      </c>
      <c r="M29" s="30" t="s">
        <v>886</v>
      </c>
      <c r="N29" s="30" t="s">
        <v>1364</v>
      </c>
      <c r="O29" s="44" t="s">
        <v>887</v>
      </c>
      <c r="P29" s="30" t="s">
        <v>888</v>
      </c>
      <c r="Q29" s="30" t="s">
        <v>763</v>
      </c>
      <c r="R29" s="8" t="s">
        <v>2143</v>
      </c>
      <c r="S29" s="30" t="s">
        <v>2147</v>
      </c>
    </row>
    <row r="30" spans="1:21" ht="14.5">
      <c r="A30">
        <v>26</v>
      </c>
      <c r="B30" s="35">
        <v>2025202596</v>
      </c>
      <c r="C30" s="30" t="s">
        <v>2060</v>
      </c>
      <c r="D30" s="30" t="s">
        <v>890</v>
      </c>
      <c r="E30" s="30" t="s">
        <v>891</v>
      </c>
      <c r="F30" s="30" t="s">
        <v>1364</v>
      </c>
      <c r="G30" s="30" t="s">
        <v>892</v>
      </c>
      <c r="H30" s="30" t="s">
        <v>893</v>
      </c>
      <c r="I30" s="30" t="s">
        <v>1364</v>
      </c>
      <c r="J30" s="30" t="s">
        <v>721</v>
      </c>
      <c r="K30" s="30" t="s">
        <v>721</v>
      </c>
      <c r="L30" s="30" t="s">
        <v>721</v>
      </c>
      <c r="M30" s="30" t="s">
        <v>2148</v>
      </c>
      <c r="N30" s="30" t="s">
        <v>1364</v>
      </c>
      <c r="O30" s="44" t="s">
        <v>2149</v>
      </c>
      <c r="P30" s="30" t="s">
        <v>895</v>
      </c>
      <c r="Q30" s="30" t="s">
        <v>763</v>
      </c>
      <c r="R30" s="8" t="s">
        <v>2143</v>
      </c>
      <c r="S30" s="51">
        <v>45720</v>
      </c>
    </row>
    <row r="31" spans="1:21" ht="29">
      <c r="A31">
        <v>27</v>
      </c>
      <c r="B31" s="35">
        <v>2025211210</v>
      </c>
      <c r="C31" s="30" t="s">
        <v>2060</v>
      </c>
      <c r="D31" s="30" t="s">
        <v>897</v>
      </c>
      <c r="E31" s="31" t="s">
        <v>898</v>
      </c>
      <c r="F31" s="30" t="s">
        <v>2099</v>
      </c>
      <c r="G31" s="30" t="s">
        <v>897</v>
      </c>
      <c r="H31" s="31" t="s">
        <v>898</v>
      </c>
      <c r="I31" s="30" t="s">
        <v>2099</v>
      </c>
      <c r="J31" s="30" t="s">
        <v>721</v>
      </c>
      <c r="K31" s="30" t="s">
        <v>721</v>
      </c>
      <c r="L31" s="30" t="s">
        <v>41</v>
      </c>
      <c r="M31" s="30" t="s">
        <v>899</v>
      </c>
      <c r="N31" s="30" t="s">
        <v>2099</v>
      </c>
      <c r="O31" s="44" t="s">
        <v>900</v>
      </c>
      <c r="P31" s="30" t="s">
        <v>901</v>
      </c>
      <c r="Q31" s="30" t="s">
        <v>763</v>
      </c>
      <c r="R31" s="8" t="s">
        <v>2143</v>
      </c>
      <c r="S31" s="30"/>
    </row>
    <row r="32" spans="1:21" ht="14.5">
      <c r="A32">
        <v>28</v>
      </c>
      <c r="B32" s="35">
        <v>2025211101</v>
      </c>
      <c r="C32" s="30" t="s">
        <v>2060</v>
      </c>
      <c r="D32" s="30" t="s">
        <v>903</v>
      </c>
      <c r="E32" s="30" t="s">
        <v>904</v>
      </c>
      <c r="F32" s="30" t="s">
        <v>1364</v>
      </c>
      <c r="G32" s="30" t="s">
        <v>116</v>
      </c>
      <c r="H32" s="30" t="s">
        <v>905</v>
      </c>
      <c r="I32" s="30" t="s">
        <v>1364</v>
      </c>
      <c r="J32" s="30" t="s">
        <v>721</v>
      </c>
      <c r="K32" s="30" t="s">
        <v>721</v>
      </c>
      <c r="L32" s="30" t="s">
        <v>721</v>
      </c>
      <c r="M32" s="30" t="s">
        <v>906</v>
      </c>
      <c r="N32" s="30" t="s">
        <v>1364</v>
      </c>
      <c r="O32" s="44" t="s">
        <v>907</v>
      </c>
      <c r="P32" s="30" t="s">
        <v>908</v>
      </c>
      <c r="Q32" s="30" t="s">
        <v>763</v>
      </c>
      <c r="R32" s="8" t="s">
        <v>2143</v>
      </c>
      <c r="S32" s="30" t="s">
        <v>2150</v>
      </c>
    </row>
    <row r="33" spans="1:19" ht="29">
      <c r="A33">
        <v>29</v>
      </c>
      <c r="B33" s="160" t="s">
        <v>2151</v>
      </c>
      <c r="C33" s="31" t="s">
        <v>2152</v>
      </c>
      <c r="D33" s="48" t="s">
        <v>911</v>
      </c>
      <c r="E33" s="48" t="s">
        <v>912</v>
      </c>
      <c r="F33" s="30" t="s">
        <v>948</v>
      </c>
      <c r="G33" s="48" t="s">
        <v>119</v>
      </c>
      <c r="H33" s="48" t="s">
        <v>914</v>
      </c>
      <c r="I33" s="30" t="e">
        <f>IF(MIS_Backend_Data!#REF!="", "", MIS_Backend_Data!#REF!)</f>
        <v>#REF!</v>
      </c>
      <c r="J33" s="30" t="s">
        <v>721</v>
      </c>
      <c r="K33" s="30" t="s">
        <v>721</v>
      </c>
      <c r="L33" s="30" t="s">
        <v>721</v>
      </c>
      <c r="M33" s="30" t="s">
        <v>916</v>
      </c>
      <c r="N33" s="30" t="s">
        <v>948</v>
      </c>
      <c r="O33" s="44" t="s">
        <v>917</v>
      </c>
      <c r="P33" s="30" t="s">
        <v>918</v>
      </c>
      <c r="Q33" s="30" t="s">
        <v>913</v>
      </c>
      <c r="R33" s="8" t="s">
        <v>2153</v>
      </c>
      <c r="S33" s="30"/>
    </row>
    <row r="34" spans="1:19" ht="14.5">
      <c r="B34" s="35">
        <v>2025211134</v>
      </c>
      <c r="C34" s="30" t="s">
        <v>2060</v>
      </c>
      <c r="D34" s="30" t="s">
        <v>920</v>
      </c>
      <c r="E34" s="30" t="s">
        <v>921</v>
      </c>
      <c r="F34" s="30" t="s">
        <v>1166</v>
      </c>
      <c r="G34" s="30" t="s">
        <v>122</v>
      </c>
      <c r="H34" s="30" t="s">
        <v>923</v>
      </c>
      <c r="I34" s="30" t="s">
        <v>2154</v>
      </c>
      <c r="J34" s="30" t="s">
        <v>721</v>
      </c>
      <c r="K34" s="30" t="s">
        <v>721</v>
      </c>
      <c r="L34" s="30" t="s">
        <v>721</v>
      </c>
      <c r="M34" s="30" t="s">
        <v>925</v>
      </c>
      <c r="N34" s="30" t="s">
        <v>2155</v>
      </c>
      <c r="O34" s="44" t="s">
        <v>2156</v>
      </c>
      <c r="P34" s="30" t="s">
        <v>928</v>
      </c>
      <c r="Q34" s="30" t="s">
        <v>926</v>
      </c>
      <c r="R34" s="8" t="s">
        <v>2157</v>
      </c>
      <c r="S34" s="30"/>
    </row>
    <row r="35" spans="1:19" ht="14.5">
      <c r="A35">
        <v>31</v>
      </c>
      <c r="B35" s="35">
        <v>2025207292</v>
      </c>
      <c r="C35" s="30" t="s">
        <v>2093</v>
      </c>
      <c r="D35" s="30" t="s">
        <v>931</v>
      </c>
      <c r="E35" s="30" t="s">
        <v>41</v>
      </c>
      <c r="F35" s="30" t="s">
        <v>41</v>
      </c>
      <c r="G35" s="30" t="s">
        <v>41</v>
      </c>
      <c r="H35" s="30" t="s">
        <v>41</v>
      </c>
      <c r="I35" s="30" t="s">
        <v>41</v>
      </c>
      <c r="J35" s="30" t="s">
        <v>41</v>
      </c>
      <c r="K35" s="30" t="s">
        <v>41</v>
      </c>
      <c r="L35" s="30" t="s">
        <v>41</v>
      </c>
      <c r="M35" s="30" t="s">
        <v>932</v>
      </c>
      <c r="N35" s="30" t="s">
        <v>41</v>
      </c>
      <c r="O35" s="44" t="s">
        <v>933</v>
      </c>
      <c r="P35" s="30" t="s">
        <v>934</v>
      </c>
      <c r="Q35" s="30" t="s">
        <v>763</v>
      </c>
      <c r="R35" s="8" t="s">
        <v>2143</v>
      </c>
      <c r="S35" s="30"/>
    </row>
    <row r="36" spans="1:19" ht="14.5">
      <c r="B36" s="35">
        <v>2025211462</v>
      </c>
      <c r="C36" s="30" t="s">
        <v>2060</v>
      </c>
      <c r="D36" s="30" t="s">
        <v>936</v>
      </c>
      <c r="E36" s="30" t="s">
        <v>937</v>
      </c>
      <c r="F36" s="30" t="s">
        <v>847</v>
      </c>
      <c r="G36" s="48" t="s">
        <v>127</v>
      </c>
      <c r="H36" s="48" t="s">
        <v>938</v>
      </c>
      <c r="I36" s="30" t="s">
        <v>2158</v>
      </c>
      <c r="J36" s="30" t="s">
        <v>940</v>
      </c>
      <c r="K36" s="30" t="s">
        <v>2159</v>
      </c>
      <c r="L36" s="30" t="s">
        <v>847</v>
      </c>
      <c r="M36" s="30" t="s">
        <v>941</v>
      </c>
      <c r="N36" s="30" t="s">
        <v>847</v>
      </c>
      <c r="O36" s="44" t="s">
        <v>942</v>
      </c>
      <c r="P36" s="30" t="s">
        <v>943</v>
      </c>
      <c r="Q36" s="30" t="s">
        <v>849</v>
      </c>
      <c r="R36" s="293" t="s">
        <v>2160</v>
      </c>
      <c r="S36" s="30"/>
    </row>
    <row r="37" spans="1:19" ht="14.5">
      <c r="A37">
        <v>33</v>
      </c>
      <c r="B37" s="35">
        <v>2025211458</v>
      </c>
      <c r="C37" s="30" t="s">
        <v>2060</v>
      </c>
      <c r="D37" s="30" t="s">
        <v>945</v>
      </c>
      <c r="E37" s="30" t="s">
        <v>946</v>
      </c>
      <c r="F37" s="30" t="s">
        <v>847</v>
      </c>
      <c r="G37" s="30" t="s">
        <v>130</v>
      </c>
      <c r="H37" s="30" t="s">
        <v>947</v>
      </c>
      <c r="I37" s="30" t="s">
        <v>948</v>
      </c>
      <c r="J37" s="30" t="s">
        <v>41</v>
      </c>
      <c r="K37" s="30" t="s">
        <v>41</v>
      </c>
      <c r="L37" s="30" t="s">
        <v>948</v>
      </c>
      <c r="M37" s="30" t="s">
        <v>949</v>
      </c>
      <c r="N37" s="30" t="s">
        <v>847</v>
      </c>
      <c r="O37" s="44" t="s">
        <v>950</v>
      </c>
      <c r="P37" s="30" t="s">
        <v>951</v>
      </c>
      <c r="Q37" s="30" t="s">
        <v>849</v>
      </c>
      <c r="R37" s="293" t="s">
        <v>2160</v>
      </c>
      <c r="S37" s="30"/>
    </row>
    <row r="38" spans="1:19" ht="14.5">
      <c r="A38">
        <v>34</v>
      </c>
      <c r="B38" s="35">
        <v>2025211454</v>
      </c>
      <c r="C38" s="30" t="s">
        <v>2060</v>
      </c>
      <c r="D38" s="30" t="s">
        <v>953</v>
      </c>
      <c r="E38" s="30" t="s">
        <v>954</v>
      </c>
      <c r="F38" s="30" t="s">
        <v>847</v>
      </c>
      <c r="G38" s="30" t="s">
        <v>133</v>
      </c>
      <c r="H38" s="30" t="s">
        <v>955</v>
      </c>
      <c r="I38" s="30" t="s">
        <v>847</v>
      </c>
      <c r="J38" s="30" t="s">
        <v>956</v>
      </c>
      <c r="K38" s="30" t="s">
        <v>2161</v>
      </c>
      <c r="L38" s="30" t="s">
        <v>847</v>
      </c>
      <c r="M38" s="30" t="s">
        <v>957</v>
      </c>
      <c r="N38" s="30" t="s">
        <v>847</v>
      </c>
      <c r="O38" s="44" t="s">
        <v>958</v>
      </c>
      <c r="P38" s="30" t="s">
        <v>959</v>
      </c>
      <c r="Q38" s="30" t="s">
        <v>849</v>
      </c>
      <c r="R38" s="293" t="s">
        <v>2160</v>
      </c>
      <c r="S38" s="30"/>
    </row>
    <row r="39" spans="1:19" ht="16.5" customHeight="1">
      <c r="B39" s="35">
        <v>2025211475</v>
      </c>
      <c r="C39" s="30" t="s">
        <v>2060</v>
      </c>
      <c r="D39" s="30" t="s">
        <v>960</v>
      </c>
      <c r="E39" s="30" t="s">
        <v>961</v>
      </c>
      <c r="F39" s="30" t="s">
        <v>2115</v>
      </c>
      <c r="G39" s="48" t="s">
        <v>137</v>
      </c>
      <c r="H39" s="48" t="s">
        <v>962</v>
      </c>
      <c r="I39" s="48" t="s">
        <v>1364</v>
      </c>
      <c r="J39" s="48" t="s">
        <v>721</v>
      </c>
      <c r="K39" s="30" t="s">
        <v>721</v>
      </c>
      <c r="L39" s="30" t="s">
        <v>721</v>
      </c>
      <c r="M39" s="46" t="s">
        <v>2162</v>
      </c>
      <c r="N39" s="31" t="s">
        <v>2163</v>
      </c>
      <c r="O39" s="44" t="s">
        <v>965</v>
      </c>
      <c r="P39" s="30" t="s">
        <v>966</v>
      </c>
      <c r="Q39" s="30" t="s">
        <v>791</v>
      </c>
      <c r="R39" s="293" t="s">
        <v>2164</v>
      </c>
      <c r="S39" s="30"/>
    </row>
    <row r="40" spans="1:19" ht="17.25" customHeight="1">
      <c r="A40">
        <v>36</v>
      </c>
      <c r="B40" s="35">
        <v>2025211478</v>
      </c>
      <c r="C40" s="30" t="s">
        <v>2060</v>
      </c>
      <c r="D40" s="30" t="s">
        <v>968</v>
      </c>
      <c r="E40" s="31" t="s">
        <v>969</v>
      </c>
      <c r="F40" s="30" t="s">
        <v>1364</v>
      </c>
      <c r="G40" s="30" t="s">
        <v>140</v>
      </c>
      <c r="H40" s="31" t="s">
        <v>970</v>
      </c>
      <c r="I40" s="30" t="s">
        <v>1364</v>
      </c>
      <c r="J40" s="30" t="s">
        <v>721</v>
      </c>
      <c r="K40" s="30" t="s">
        <v>721</v>
      </c>
      <c r="L40" s="30" t="s">
        <v>721</v>
      </c>
      <c r="M40" s="30" t="s">
        <v>971</v>
      </c>
      <c r="N40" s="30" t="s">
        <v>1364</v>
      </c>
      <c r="O40" s="44" t="s">
        <v>972</v>
      </c>
      <c r="P40" s="30" t="s">
        <v>973</v>
      </c>
      <c r="Q40" s="30" t="s">
        <v>763</v>
      </c>
      <c r="R40" s="293" t="s">
        <v>2143</v>
      </c>
      <c r="S40" s="51">
        <v>45720</v>
      </c>
    </row>
    <row r="41" spans="1:19" ht="17.25" customHeight="1">
      <c r="A41">
        <v>37</v>
      </c>
      <c r="B41" s="35">
        <v>2025210709</v>
      </c>
      <c r="C41" s="30" t="s">
        <v>2060</v>
      </c>
      <c r="D41" s="30" t="s">
        <v>975</v>
      </c>
      <c r="E41" s="30" t="s">
        <v>976</v>
      </c>
      <c r="F41" s="30" t="s">
        <v>847</v>
      </c>
      <c r="G41" s="30" t="s">
        <v>143</v>
      </c>
      <c r="H41" s="30" t="s">
        <v>977</v>
      </c>
      <c r="I41" s="30" t="s">
        <v>847</v>
      </c>
      <c r="J41" s="30" t="s">
        <v>721</v>
      </c>
      <c r="K41" s="30" t="s">
        <v>721</v>
      </c>
      <c r="L41" s="30" t="s">
        <v>721</v>
      </c>
      <c r="M41" s="30" t="s">
        <v>978</v>
      </c>
      <c r="N41" s="30" t="s">
        <v>847</v>
      </c>
      <c r="O41" s="44" t="s">
        <v>979</v>
      </c>
      <c r="P41" s="30" t="s">
        <v>980</v>
      </c>
      <c r="Q41" s="30" t="s">
        <v>849</v>
      </c>
      <c r="R41" s="8" t="s">
        <v>2160</v>
      </c>
      <c r="S41" s="30"/>
    </row>
    <row r="42" spans="1:19" ht="14.5">
      <c r="A42">
        <v>38</v>
      </c>
      <c r="B42" s="35" t="s">
        <v>148</v>
      </c>
      <c r="C42" s="30" t="s">
        <v>2165</v>
      </c>
      <c r="D42" s="30" t="s">
        <v>983</v>
      </c>
      <c r="E42" s="30" t="s">
        <v>2166</v>
      </c>
      <c r="F42" s="30" t="s">
        <v>41</v>
      </c>
      <c r="G42" s="30" t="s">
        <v>146</v>
      </c>
      <c r="H42" s="30" t="s">
        <v>2167</v>
      </c>
      <c r="I42" s="30" t="s">
        <v>2168</v>
      </c>
      <c r="J42" s="30" t="s">
        <v>146</v>
      </c>
      <c r="K42" s="30" t="s">
        <v>2167</v>
      </c>
      <c r="L42" s="30" t="s">
        <v>2168</v>
      </c>
      <c r="M42" s="30" t="s">
        <v>984</v>
      </c>
      <c r="N42" s="30" t="s">
        <v>41</v>
      </c>
      <c r="O42" s="44" t="s">
        <v>41</v>
      </c>
      <c r="P42" s="30" t="s">
        <v>41</v>
      </c>
      <c r="Q42" s="30" t="s">
        <v>41</v>
      </c>
      <c r="R42" s="293" t="s">
        <v>41</v>
      </c>
      <c r="S42" s="36"/>
    </row>
    <row r="43" spans="1:19" s="47" customFormat="1" ht="14.5">
      <c r="A43" s="47">
        <v>39</v>
      </c>
      <c r="B43" s="142" t="s">
        <v>151</v>
      </c>
      <c r="C43" s="48" t="s">
        <v>2060</v>
      </c>
      <c r="D43" s="48" t="s">
        <v>2169</v>
      </c>
      <c r="E43" s="48" t="s">
        <v>990</v>
      </c>
      <c r="F43" s="48" t="s">
        <v>2158</v>
      </c>
      <c r="G43" s="48" t="s">
        <v>149</v>
      </c>
      <c r="H43" s="48" t="s">
        <v>992</v>
      </c>
      <c r="I43" s="48" t="s">
        <v>2158</v>
      </c>
      <c r="J43" s="48" t="s">
        <v>721</v>
      </c>
      <c r="K43" s="48" t="s">
        <v>721</v>
      </c>
      <c r="L43" s="48" t="s">
        <v>2158</v>
      </c>
      <c r="M43" s="48" t="s">
        <v>993</v>
      </c>
      <c r="N43" s="48" t="s">
        <v>2158</v>
      </c>
      <c r="O43" s="50" t="s">
        <v>2170</v>
      </c>
      <c r="P43" s="48" t="s">
        <v>994</v>
      </c>
      <c r="Q43" s="48" t="s">
        <v>709</v>
      </c>
      <c r="R43" s="294" t="s">
        <v>2171</v>
      </c>
      <c r="S43" s="41"/>
    </row>
    <row r="44" spans="1:19" s="47" customFormat="1" ht="14.5">
      <c r="B44" s="35">
        <v>2025212071</v>
      </c>
      <c r="C44" s="30" t="s">
        <v>2172</v>
      </c>
      <c r="D44" s="30" t="s">
        <v>997</v>
      </c>
      <c r="E44" s="30" t="s">
        <v>998</v>
      </c>
      <c r="F44" s="30" t="s">
        <v>1031</v>
      </c>
      <c r="G44" s="30" t="s">
        <v>999</v>
      </c>
      <c r="H44" s="30" t="s">
        <v>1000</v>
      </c>
      <c r="I44" s="30" t="s">
        <v>41</v>
      </c>
      <c r="J44" s="30" t="s">
        <v>41</v>
      </c>
      <c r="K44" s="30" t="s">
        <v>41</v>
      </c>
      <c r="L44" s="30" t="s">
        <v>41</v>
      </c>
      <c r="M44" s="30" t="s">
        <v>1001</v>
      </c>
      <c r="N44" s="30" t="s">
        <v>41</v>
      </c>
      <c r="O44" s="44" t="s">
        <v>1002</v>
      </c>
      <c r="P44" s="30" t="s">
        <v>2173</v>
      </c>
      <c r="Q44" s="30" t="s">
        <v>1004</v>
      </c>
      <c r="R44" s="293" t="s">
        <v>41</v>
      </c>
      <c r="S44" s="36"/>
    </row>
    <row r="45" spans="1:19" ht="14.5">
      <c r="A45">
        <v>41</v>
      </c>
      <c r="B45" s="160">
        <v>2025212068</v>
      </c>
      <c r="C45" s="30" t="s">
        <v>2060</v>
      </c>
      <c r="D45" s="30" t="s">
        <v>1006</v>
      </c>
      <c r="E45" s="30" t="s">
        <v>1007</v>
      </c>
      <c r="F45" s="30" t="s">
        <v>847</v>
      </c>
      <c r="G45" s="30" t="s">
        <v>154</v>
      </c>
      <c r="H45" s="30" t="s">
        <v>1008</v>
      </c>
      <c r="I45" s="30" t="s">
        <v>847</v>
      </c>
      <c r="J45" s="30" t="s">
        <v>154</v>
      </c>
      <c r="K45" s="30" t="s">
        <v>1008</v>
      </c>
      <c r="L45" s="30" t="s">
        <v>847</v>
      </c>
      <c r="M45" s="30" t="s">
        <v>1009</v>
      </c>
      <c r="N45" s="30" t="s">
        <v>847</v>
      </c>
      <c r="O45" s="44" t="s">
        <v>1010</v>
      </c>
      <c r="P45" s="30" t="s">
        <v>1011</v>
      </c>
      <c r="Q45" s="30" t="s">
        <v>1004</v>
      </c>
      <c r="R45" s="293" t="s">
        <v>2132</v>
      </c>
      <c r="S45" s="36"/>
    </row>
    <row r="46" spans="1:19" ht="14.5">
      <c r="A46">
        <v>42</v>
      </c>
      <c r="B46" s="35">
        <v>2025212058</v>
      </c>
      <c r="C46" s="30" t="s">
        <v>2060</v>
      </c>
      <c r="D46" s="30" t="s">
        <v>1013</v>
      </c>
      <c r="E46" s="30" t="s">
        <v>1014</v>
      </c>
      <c r="F46" s="30" t="s">
        <v>847</v>
      </c>
      <c r="G46" s="30" t="s">
        <v>157</v>
      </c>
      <c r="H46" s="30" t="s">
        <v>1015</v>
      </c>
      <c r="I46" s="30" t="s">
        <v>847</v>
      </c>
      <c r="J46" s="30" t="s">
        <v>721</v>
      </c>
      <c r="K46" s="30" t="s">
        <v>721</v>
      </c>
      <c r="L46" s="30" t="s">
        <v>847</v>
      </c>
      <c r="M46" s="30" t="s">
        <v>1016</v>
      </c>
      <c r="N46" s="30" t="s">
        <v>847</v>
      </c>
      <c r="O46" s="44" t="s">
        <v>1017</v>
      </c>
      <c r="P46" s="30" t="s">
        <v>1018</v>
      </c>
      <c r="Q46" s="30" t="s">
        <v>1004</v>
      </c>
      <c r="R46" s="293" t="s">
        <v>2160</v>
      </c>
      <c r="S46" s="36"/>
    </row>
    <row r="47" spans="1:19" s="47" customFormat="1" ht="14.5">
      <c r="A47" s="47">
        <v>43</v>
      </c>
      <c r="B47" s="160">
        <v>2025212055</v>
      </c>
      <c r="C47" s="30" t="s">
        <v>2172</v>
      </c>
      <c r="D47" s="30" t="s">
        <v>1021</v>
      </c>
      <c r="E47" s="30" t="s">
        <v>1022</v>
      </c>
      <c r="F47" s="30" t="s">
        <v>1031</v>
      </c>
      <c r="G47" s="30" t="s">
        <v>1023</v>
      </c>
      <c r="H47" s="30" t="s">
        <v>1024</v>
      </c>
      <c r="I47" s="30" t="s">
        <v>41</v>
      </c>
      <c r="J47" s="30" t="s">
        <v>41</v>
      </c>
      <c r="K47" s="30" t="s">
        <v>41</v>
      </c>
      <c r="L47" s="30" t="s">
        <v>41</v>
      </c>
      <c r="M47" s="30" t="s">
        <v>1025</v>
      </c>
      <c r="N47" s="30" t="s">
        <v>41</v>
      </c>
      <c r="O47" s="44" t="s">
        <v>2174</v>
      </c>
      <c r="P47" s="30" t="s">
        <v>980</v>
      </c>
      <c r="Q47" s="30" t="s">
        <v>1004</v>
      </c>
      <c r="R47" s="293" t="s">
        <v>41</v>
      </c>
      <c r="S47" s="36"/>
    </row>
    <row r="48" spans="1:19" s="47" customFormat="1" ht="14.5">
      <c r="A48" s="47">
        <v>44</v>
      </c>
      <c r="B48" s="35">
        <v>2025212053</v>
      </c>
      <c r="C48" s="30" t="s">
        <v>2060</v>
      </c>
      <c r="D48" s="30" t="s">
        <v>1027</v>
      </c>
      <c r="E48" s="30" t="s">
        <v>1028</v>
      </c>
      <c r="F48" s="30" t="s">
        <v>1031</v>
      </c>
      <c r="G48" s="30" t="s">
        <v>1029</v>
      </c>
      <c r="H48" s="30" t="s">
        <v>1030</v>
      </c>
      <c r="I48" s="30" t="s">
        <v>1031</v>
      </c>
      <c r="J48" s="30" t="s">
        <v>162</v>
      </c>
      <c r="K48" s="30" t="s">
        <v>2175</v>
      </c>
      <c r="L48" s="30" t="s">
        <v>1031</v>
      </c>
      <c r="M48" s="30" t="s">
        <v>1032</v>
      </c>
      <c r="N48" s="30" t="s">
        <v>1031</v>
      </c>
      <c r="O48" s="44" t="s">
        <v>1033</v>
      </c>
      <c r="P48" s="30" t="s">
        <v>1034</v>
      </c>
      <c r="Q48" s="30" t="s">
        <v>1004</v>
      </c>
      <c r="R48" s="293" t="s">
        <v>2160</v>
      </c>
      <c r="S48" s="36"/>
    </row>
    <row r="49" spans="1:19" ht="14.5">
      <c r="A49">
        <v>45</v>
      </c>
      <c r="B49" s="35">
        <v>2025212050</v>
      </c>
      <c r="C49" s="30" t="s">
        <v>2060</v>
      </c>
      <c r="D49" s="30" t="s">
        <v>1035</v>
      </c>
      <c r="E49" s="30" t="s">
        <v>1036</v>
      </c>
      <c r="F49" s="30" t="s">
        <v>847</v>
      </c>
      <c r="G49" s="30" t="s">
        <v>165</v>
      </c>
      <c r="H49" s="30" t="s">
        <v>1037</v>
      </c>
      <c r="I49" s="30" t="s">
        <v>2154</v>
      </c>
      <c r="J49" s="30" t="s">
        <v>1038</v>
      </c>
      <c r="K49" s="30" t="s">
        <v>2176</v>
      </c>
      <c r="L49" s="30" t="s">
        <v>2177</v>
      </c>
      <c r="M49" s="30" t="s">
        <v>2178</v>
      </c>
      <c r="N49" s="30" t="s">
        <v>847</v>
      </c>
      <c r="O49" s="44" t="s">
        <v>1040</v>
      </c>
      <c r="P49" s="30" t="s">
        <v>1041</v>
      </c>
      <c r="Q49" s="30" t="s">
        <v>1004</v>
      </c>
      <c r="R49" s="293" t="s">
        <v>2179</v>
      </c>
      <c r="S49" s="36"/>
    </row>
    <row r="50" spans="1:19" s="47" customFormat="1" ht="14.5">
      <c r="A50" s="47">
        <v>46</v>
      </c>
      <c r="B50" s="35">
        <v>2025212047</v>
      </c>
      <c r="C50" s="30" t="s">
        <v>2060</v>
      </c>
      <c r="D50" s="30" t="s">
        <v>1043</v>
      </c>
      <c r="E50" s="30" t="s">
        <v>1044</v>
      </c>
      <c r="F50" s="30" t="s">
        <v>1031</v>
      </c>
      <c r="G50" s="30" t="s">
        <v>1045</v>
      </c>
      <c r="H50" s="30" t="s">
        <v>1046</v>
      </c>
      <c r="I50" s="30" t="s">
        <v>1031</v>
      </c>
      <c r="J50" s="30" t="s">
        <v>1047</v>
      </c>
      <c r="K50" s="30" t="s">
        <v>2180</v>
      </c>
      <c r="L50" s="30" t="s">
        <v>1031</v>
      </c>
      <c r="M50" s="30" t="s">
        <v>1048</v>
      </c>
      <c r="N50" s="30" t="s">
        <v>1031</v>
      </c>
      <c r="O50" s="44" t="s">
        <v>1049</v>
      </c>
      <c r="P50" s="30" t="s">
        <v>1050</v>
      </c>
      <c r="Q50" s="30" t="s">
        <v>1004</v>
      </c>
      <c r="R50" s="293" t="s">
        <v>2160</v>
      </c>
      <c r="S50" s="36"/>
    </row>
    <row r="51" spans="1:19" ht="29">
      <c r="B51" s="35" t="s">
        <v>172</v>
      </c>
      <c r="C51" s="31" t="s">
        <v>2181</v>
      </c>
      <c r="D51" s="30" t="s">
        <v>1052</v>
      </c>
      <c r="E51" s="30" t="s">
        <v>1053</v>
      </c>
      <c r="F51" s="30" t="s">
        <v>2182</v>
      </c>
      <c r="G51" s="30" t="s">
        <v>1055</v>
      </c>
      <c r="H51" s="30" t="s">
        <v>1056</v>
      </c>
      <c r="I51" s="30" t="s">
        <v>41</v>
      </c>
      <c r="J51" s="30" t="s">
        <v>1057</v>
      </c>
      <c r="K51" s="30" t="s">
        <v>2183</v>
      </c>
      <c r="L51" s="30" t="s">
        <v>41</v>
      </c>
      <c r="M51" s="30" t="s">
        <v>1058</v>
      </c>
      <c r="N51" s="30" t="s">
        <v>41</v>
      </c>
      <c r="O51" s="44" t="s">
        <v>1059</v>
      </c>
      <c r="P51" s="30" t="s">
        <v>1060</v>
      </c>
      <c r="Q51" s="30" t="s">
        <v>733</v>
      </c>
      <c r="R51" s="293" t="s">
        <v>2184</v>
      </c>
      <c r="S51" s="36"/>
    </row>
    <row r="52" spans="1:19" ht="14.5">
      <c r="B52" s="35">
        <v>2025212181</v>
      </c>
      <c r="C52" s="30" t="s">
        <v>2060</v>
      </c>
      <c r="D52" s="30" t="s">
        <v>1062</v>
      </c>
      <c r="E52" s="30" t="s">
        <v>1063</v>
      </c>
      <c r="F52" s="30" t="s">
        <v>2136</v>
      </c>
      <c r="G52" s="30" t="s">
        <v>173</v>
      </c>
      <c r="H52" s="30" t="s">
        <v>1064</v>
      </c>
      <c r="I52" s="30" t="s">
        <v>2136</v>
      </c>
      <c r="J52" s="30" t="s">
        <v>721</v>
      </c>
      <c r="K52" s="30" t="s">
        <v>721</v>
      </c>
      <c r="L52" s="30" t="s">
        <v>721</v>
      </c>
      <c r="M52" s="30" t="s">
        <v>1065</v>
      </c>
      <c r="N52" s="30" t="s">
        <v>2136</v>
      </c>
      <c r="O52" s="44" t="s">
        <v>933</v>
      </c>
      <c r="P52" s="30" t="s">
        <v>1066</v>
      </c>
      <c r="Q52" s="30" t="s">
        <v>709</v>
      </c>
      <c r="R52" s="293" t="s">
        <v>2171</v>
      </c>
      <c r="S52" s="36"/>
    </row>
    <row r="53" spans="1:19" ht="14.5">
      <c r="A53">
        <v>49</v>
      </c>
      <c r="B53" s="35">
        <v>2025212170</v>
      </c>
      <c r="C53" s="30" t="s">
        <v>2060</v>
      </c>
      <c r="D53" s="30" t="s">
        <v>1068</v>
      </c>
      <c r="E53" s="30" t="s">
        <v>1069</v>
      </c>
      <c r="F53" s="30" t="s">
        <v>2136</v>
      </c>
      <c r="G53" s="30" t="s">
        <v>176</v>
      </c>
      <c r="H53" s="30" t="s">
        <v>1070</v>
      </c>
      <c r="I53" s="30" t="s">
        <v>2136</v>
      </c>
      <c r="J53" s="30" t="s">
        <v>721</v>
      </c>
      <c r="K53" s="30" t="s">
        <v>721</v>
      </c>
      <c r="L53" s="30" t="s">
        <v>2185</v>
      </c>
      <c r="M53" s="30" t="s">
        <v>1073</v>
      </c>
      <c r="N53" s="30" t="s">
        <v>2136</v>
      </c>
      <c r="O53" s="44" t="s">
        <v>1074</v>
      </c>
      <c r="P53" s="30" t="s">
        <v>1075</v>
      </c>
      <c r="Q53" s="30" t="s">
        <v>709</v>
      </c>
      <c r="R53" s="293" t="s">
        <v>2171</v>
      </c>
      <c r="S53" s="36"/>
    </row>
    <row r="54" spans="1:19" ht="14.5">
      <c r="A54">
        <v>50</v>
      </c>
      <c r="B54" s="35">
        <v>2025212168</v>
      </c>
      <c r="C54" s="30" t="s">
        <v>2060</v>
      </c>
      <c r="D54" s="30" t="s">
        <v>1077</v>
      </c>
      <c r="E54" s="30" t="s">
        <v>1078</v>
      </c>
      <c r="F54" s="30" t="s">
        <v>2136</v>
      </c>
      <c r="G54" s="30" t="s">
        <v>179</v>
      </c>
      <c r="H54" s="30" t="s">
        <v>1079</v>
      </c>
      <c r="I54" s="30" t="s">
        <v>2136</v>
      </c>
      <c r="J54" s="30" t="s">
        <v>721</v>
      </c>
      <c r="K54" s="30" t="s">
        <v>721</v>
      </c>
      <c r="L54" s="30" t="s">
        <v>2186</v>
      </c>
      <c r="M54" s="30" t="s">
        <v>1080</v>
      </c>
      <c r="N54" s="30" t="s">
        <v>2136</v>
      </c>
      <c r="O54" s="44" t="s">
        <v>1081</v>
      </c>
      <c r="P54" s="30" t="s">
        <v>1082</v>
      </c>
      <c r="Q54" s="30" t="s">
        <v>709</v>
      </c>
      <c r="R54" s="293" t="s">
        <v>2171</v>
      </c>
      <c r="S54" s="36"/>
    </row>
    <row r="55" spans="1:19" s="47" customFormat="1" ht="14.5">
      <c r="A55" s="47">
        <v>51</v>
      </c>
      <c r="B55" s="35">
        <v>2025212148</v>
      </c>
      <c r="C55" s="30" t="s">
        <v>2060</v>
      </c>
      <c r="D55" s="30" t="s">
        <v>1083</v>
      </c>
      <c r="E55" s="30" t="s">
        <v>1084</v>
      </c>
      <c r="F55" s="30" t="s">
        <v>1031</v>
      </c>
      <c r="G55" s="30" t="s">
        <v>182</v>
      </c>
      <c r="H55" s="30" t="s">
        <v>1085</v>
      </c>
      <c r="I55" s="30" t="s">
        <v>1031</v>
      </c>
      <c r="J55" s="30" t="s">
        <v>721</v>
      </c>
      <c r="K55" s="30" t="s">
        <v>721</v>
      </c>
      <c r="L55" s="30" t="s">
        <v>721</v>
      </c>
      <c r="M55" s="30" t="s">
        <v>1086</v>
      </c>
      <c r="N55" s="30" t="s">
        <v>1031</v>
      </c>
      <c r="O55" s="44" t="s">
        <v>1087</v>
      </c>
      <c r="P55" s="30" t="s">
        <v>1088</v>
      </c>
      <c r="Q55" s="30" t="s">
        <v>849</v>
      </c>
      <c r="R55" s="293" t="s">
        <v>2160</v>
      </c>
      <c r="S55" s="36"/>
    </row>
    <row r="56" spans="1:19" ht="14.5">
      <c r="A56">
        <v>52</v>
      </c>
      <c r="B56" s="35">
        <v>2025212191</v>
      </c>
      <c r="C56" s="30" t="s">
        <v>2060</v>
      </c>
      <c r="D56" s="30" t="s">
        <v>1090</v>
      </c>
      <c r="E56" s="30" t="s">
        <v>1091</v>
      </c>
      <c r="F56" s="30" t="s">
        <v>2187</v>
      </c>
      <c r="G56" s="30" t="s">
        <v>185</v>
      </c>
      <c r="H56" s="30" t="s">
        <v>1092</v>
      </c>
      <c r="I56" s="30" t="s">
        <v>2187</v>
      </c>
      <c r="J56" s="30" t="s">
        <v>1093</v>
      </c>
      <c r="K56" s="30" t="s">
        <v>1092</v>
      </c>
      <c r="L56" s="30" t="s">
        <v>2187</v>
      </c>
      <c r="M56" s="30" t="s">
        <v>1095</v>
      </c>
      <c r="N56" s="30" t="s">
        <v>2187</v>
      </c>
      <c r="O56" s="44" t="s">
        <v>1096</v>
      </c>
      <c r="P56" s="30" t="s">
        <v>1097</v>
      </c>
      <c r="Q56" s="30" t="s">
        <v>1098</v>
      </c>
      <c r="R56" s="293" t="s">
        <v>2092</v>
      </c>
      <c r="S56" s="36"/>
    </row>
    <row r="57" spans="1:19" ht="14.5">
      <c r="A57">
        <v>53</v>
      </c>
      <c r="B57" s="35">
        <v>2025212189</v>
      </c>
      <c r="C57" s="30" t="s">
        <v>2060</v>
      </c>
      <c r="D57" s="30" t="s">
        <v>1099</v>
      </c>
      <c r="E57" s="30" t="s">
        <v>1100</v>
      </c>
      <c r="F57" s="30" t="s">
        <v>2187</v>
      </c>
      <c r="G57" s="30" t="s">
        <v>188</v>
      </c>
      <c r="H57" s="30" t="s">
        <v>1101</v>
      </c>
      <c r="I57" s="30" t="s">
        <v>2187</v>
      </c>
      <c r="J57" s="30" t="s">
        <v>1102</v>
      </c>
      <c r="K57" s="30" t="s">
        <v>2188</v>
      </c>
      <c r="L57" s="30" t="s">
        <v>2187</v>
      </c>
      <c r="M57" s="30" t="s">
        <v>1103</v>
      </c>
      <c r="N57" s="30" t="s">
        <v>2187</v>
      </c>
      <c r="O57" s="44" t="s">
        <v>1104</v>
      </c>
      <c r="P57" s="30" t="s">
        <v>1105</v>
      </c>
      <c r="Q57" s="30" t="s">
        <v>774</v>
      </c>
      <c r="R57" s="293" t="s">
        <v>2092</v>
      </c>
      <c r="S57" s="36"/>
    </row>
    <row r="58" spans="1:19" ht="14.5">
      <c r="A58">
        <v>54</v>
      </c>
      <c r="B58" s="35">
        <v>2025212179</v>
      </c>
      <c r="C58" s="30" t="s">
        <v>2060</v>
      </c>
      <c r="D58" s="30" t="s">
        <v>1107</v>
      </c>
      <c r="E58" s="30" t="s">
        <v>1108</v>
      </c>
      <c r="F58" s="30" t="s">
        <v>2187</v>
      </c>
      <c r="G58" s="30" t="s">
        <v>191</v>
      </c>
      <c r="H58" s="30" t="s">
        <v>1109</v>
      </c>
      <c r="I58" s="30" t="s">
        <v>847</v>
      </c>
      <c r="J58" s="30" t="s">
        <v>1110</v>
      </c>
      <c r="K58" s="30" t="s">
        <v>2189</v>
      </c>
      <c r="L58" s="30" t="s">
        <v>847</v>
      </c>
      <c r="M58" s="30" t="s">
        <v>1111</v>
      </c>
      <c r="N58" s="30" t="s">
        <v>2187</v>
      </c>
      <c r="O58" s="44" t="s">
        <v>1112</v>
      </c>
      <c r="P58" s="30" t="s">
        <v>1113</v>
      </c>
      <c r="Q58" s="30" t="s">
        <v>774</v>
      </c>
      <c r="R58" s="293" t="s">
        <v>2092</v>
      </c>
      <c r="S58" s="36"/>
    </row>
    <row r="59" spans="1:19" ht="14.5">
      <c r="A59">
        <v>55</v>
      </c>
      <c r="B59" s="35">
        <v>2025212145</v>
      </c>
      <c r="C59" s="30" t="s">
        <v>2060</v>
      </c>
      <c r="D59" s="30" t="s">
        <v>1115</v>
      </c>
      <c r="E59" s="30" t="s">
        <v>1116</v>
      </c>
      <c r="F59" s="30" t="s">
        <v>2187</v>
      </c>
      <c r="G59" s="30" t="s">
        <v>194</v>
      </c>
      <c r="H59" s="30" t="s">
        <v>1117</v>
      </c>
      <c r="I59" s="30" t="s">
        <v>2187</v>
      </c>
      <c r="J59" s="30" t="s">
        <v>1118</v>
      </c>
      <c r="K59" s="30" t="s">
        <v>2190</v>
      </c>
      <c r="L59" s="30" t="s">
        <v>2187</v>
      </c>
      <c r="M59" s="30" t="s">
        <v>1119</v>
      </c>
      <c r="N59" s="30" t="s">
        <v>2187</v>
      </c>
      <c r="O59" s="44" t="s">
        <v>1120</v>
      </c>
      <c r="P59" s="30" t="s">
        <v>1121</v>
      </c>
      <c r="Q59" s="30" t="s">
        <v>774</v>
      </c>
      <c r="R59" s="293" t="s">
        <v>2092</v>
      </c>
      <c r="S59" s="36"/>
    </row>
    <row r="60" spans="1:19" ht="14.5">
      <c r="A60">
        <v>56</v>
      </c>
      <c r="B60" s="35">
        <v>2025212140</v>
      </c>
      <c r="C60" s="30" t="s">
        <v>2060</v>
      </c>
      <c r="D60" s="30" t="s">
        <v>1122</v>
      </c>
      <c r="E60" s="30" t="s">
        <v>1123</v>
      </c>
      <c r="F60" s="30" t="s">
        <v>2187</v>
      </c>
      <c r="G60" s="30" t="s">
        <v>197</v>
      </c>
      <c r="H60" s="30" t="s">
        <v>1124</v>
      </c>
      <c r="I60" s="30" t="s">
        <v>2187</v>
      </c>
      <c r="J60" s="30" t="s">
        <v>197</v>
      </c>
      <c r="K60" s="30" t="s">
        <v>1124</v>
      </c>
      <c r="L60" s="30" t="s">
        <v>2187</v>
      </c>
      <c r="M60" s="30" t="s">
        <v>1125</v>
      </c>
      <c r="N60" s="30" t="s">
        <v>2187</v>
      </c>
      <c r="O60" s="44" t="s">
        <v>1126</v>
      </c>
      <c r="P60" s="30" t="s">
        <v>1127</v>
      </c>
      <c r="Q60" s="30" t="s">
        <v>774</v>
      </c>
      <c r="R60" s="293" t="s">
        <v>2092</v>
      </c>
      <c r="S60" s="36"/>
    </row>
    <row r="61" spans="1:19" ht="21" customHeight="1">
      <c r="A61">
        <v>57</v>
      </c>
      <c r="B61" s="35">
        <v>2025212028</v>
      </c>
      <c r="C61" s="30" t="s">
        <v>1689</v>
      </c>
      <c r="D61" s="30" t="str">
        <f>IF(MIS_Backend_Data!Q60="", "", MIS_Backend_Data!Q60)</f>
        <v>Alka Parasram Navale</v>
      </c>
      <c r="E61" s="30"/>
      <c r="F61" s="30" t="s">
        <v>41</v>
      </c>
      <c r="G61" s="30" t="s">
        <v>200</v>
      </c>
      <c r="H61" s="31" t="s">
        <v>1130</v>
      </c>
      <c r="I61" s="30" t="s">
        <v>2187</v>
      </c>
      <c r="J61" s="30" t="s">
        <v>721</v>
      </c>
      <c r="K61" s="30" t="s">
        <v>721</v>
      </c>
      <c r="L61" s="30" t="s">
        <v>721</v>
      </c>
      <c r="M61" s="30" t="s">
        <v>1131</v>
      </c>
      <c r="N61" s="30" t="s">
        <v>41</v>
      </c>
      <c r="O61" s="44" t="s">
        <v>41</v>
      </c>
      <c r="P61" s="30" t="s">
        <v>41</v>
      </c>
      <c r="Q61" s="30" t="s">
        <v>41</v>
      </c>
      <c r="R61" s="293" t="s">
        <v>41</v>
      </c>
      <c r="S61" s="36"/>
    </row>
    <row r="62" spans="1:19" ht="14.5">
      <c r="A62">
        <v>58</v>
      </c>
      <c r="B62" s="143">
        <v>2025212222</v>
      </c>
      <c r="C62" s="30" t="s">
        <v>2191</v>
      </c>
      <c r="D62" s="30" t="s">
        <v>1133</v>
      </c>
      <c r="E62" s="30" t="s">
        <v>1134</v>
      </c>
      <c r="F62" s="30" t="s">
        <v>2192</v>
      </c>
      <c r="G62" s="30" t="str">
        <f>IF(MIS_Backend_Data!Y61="", "", MIS_Backend_Data!Y61)</f>
        <v>VIJAY SHIVAJI THORAVE</v>
      </c>
      <c r="H62" s="30" t="s">
        <v>41</v>
      </c>
      <c r="I62" s="30" t="e">
        <f>IF(MIS_Backend_Data!#REF!="", "", MIS_Backend_Data!#REF!)</f>
        <v>#REF!</v>
      </c>
      <c r="J62" s="30" t="str">
        <f>IF(MIS_Backend_Data!AD61="", "", MIS_Backend_Data!AD61)</f>
        <v>NA</v>
      </c>
      <c r="K62" s="30" t="s">
        <v>41</v>
      </c>
      <c r="L62" s="30" t="str">
        <f>IF(MIS_Backend_Data!AF61="", "", MIS_Backend_Data!AF61)</f>
        <v>NA</v>
      </c>
      <c r="M62" s="30" t="s">
        <v>1135</v>
      </c>
      <c r="N62" s="30" t="e">
        <f>IF(MIS_Backend_Data!#REF!="", "", MIS_Backend_Data!#REF!)</f>
        <v>#REF!</v>
      </c>
      <c r="O62" s="44" t="s">
        <v>1136</v>
      </c>
      <c r="P62" s="30" t="s">
        <v>1137</v>
      </c>
      <c r="Q62" s="30" t="s">
        <v>741</v>
      </c>
      <c r="R62" s="293"/>
      <c r="S62" s="36"/>
    </row>
    <row r="63" spans="1:19" ht="14.5">
      <c r="A63">
        <v>59</v>
      </c>
      <c r="B63" s="143">
        <v>2025212162</v>
      </c>
      <c r="C63" s="30" t="s">
        <v>2193</v>
      </c>
      <c r="D63" s="30" t="s">
        <v>1139</v>
      </c>
      <c r="E63" s="30" t="s">
        <v>1140</v>
      </c>
      <c r="F63" s="30" t="s">
        <v>2192</v>
      </c>
      <c r="G63" s="30" t="str">
        <f>IF(MIS_Backend_Data!Y62="", "", MIS_Backend_Data!Y62)</f>
        <v>NA</v>
      </c>
      <c r="H63" s="30" t="s">
        <v>41</v>
      </c>
      <c r="I63" s="30" t="e">
        <f>IF(MIS_Backend_Data!#REF!="", "", MIS_Backend_Data!#REF!)</f>
        <v>#REF!</v>
      </c>
      <c r="J63" s="30" t="str">
        <f>IF(MIS_Backend_Data!AD62="", "", MIS_Backend_Data!AD62)</f>
        <v>NA</v>
      </c>
      <c r="K63" s="30" t="s">
        <v>41</v>
      </c>
      <c r="L63" s="30" t="str">
        <f>IF(MIS_Backend_Data!AF62="", "", MIS_Backend_Data!AF62)</f>
        <v>NA</v>
      </c>
      <c r="M63" s="30" t="s">
        <v>1147</v>
      </c>
      <c r="N63" s="30" t="e">
        <f>IF(MIS_Backend_Data!#REF!="", "", MIS_Backend_Data!#REF!)</f>
        <v>#REF!</v>
      </c>
      <c r="O63" s="44" t="s">
        <v>41</v>
      </c>
      <c r="P63" s="30" t="s">
        <v>41</v>
      </c>
      <c r="Q63" s="30" t="s">
        <v>41</v>
      </c>
      <c r="R63" s="293" t="s">
        <v>41</v>
      </c>
      <c r="S63" s="36"/>
    </row>
    <row r="64" spans="1:19" ht="14.5">
      <c r="B64" s="160" t="s">
        <v>209</v>
      </c>
      <c r="C64" s="30" t="s">
        <v>2194</v>
      </c>
      <c r="D64" s="30" t="s">
        <v>41</v>
      </c>
      <c r="E64" s="30" t="s">
        <v>41</v>
      </c>
      <c r="F64" s="30" t="s">
        <v>41</v>
      </c>
      <c r="G64" s="30" t="s">
        <v>207</v>
      </c>
      <c r="H64" s="30" t="s">
        <v>1143</v>
      </c>
      <c r="I64" s="30" t="s">
        <v>2195</v>
      </c>
      <c r="J64" s="30" t="s">
        <v>1141</v>
      </c>
      <c r="K64" s="30" t="s">
        <v>1144</v>
      </c>
      <c r="L64" s="30" t="s">
        <v>41</v>
      </c>
      <c r="M64" s="30" t="s">
        <v>41</v>
      </c>
      <c r="N64" s="30" t="e">
        <f>IF(MIS_Backend_Data!#REF!="", "", MIS_Backend_Data!#REF!)</f>
        <v>#REF!</v>
      </c>
      <c r="O64" s="44" t="str">
        <f>IF(MIS_Backend_Data!AS65="", "", MIS_Backend_Data!AS65)</f>
        <v>NA</v>
      </c>
      <c r="P64" s="30" t="s">
        <v>41</v>
      </c>
      <c r="Q64" s="30" t="s">
        <v>41</v>
      </c>
      <c r="R64" s="293" t="s">
        <v>41</v>
      </c>
      <c r="S64" s="36"/>
    </row>
    <row r="65" spans="1:19" ht="14.5">
      <c r="B65" s="160" t="s">
        <v>211</v>
      </c>
      <c r="C65" s="30" t="s">
        <v>2196</v>
      </c>
      <c r="D65" s="30" t="s">
        <v>41</v>
      </c>
      <c r="E65" s="30" t="s">
        <v>41</v>
      </c>
      <c r="F65" s="30" t="s">
        <v>41</v>
      </c>
      <c r="G65" s="30" t="s">
        <v>41</v>
      </c>
      <c r="H65" s="30" t="s">
        <v>41</v>
      </c>
      <c r="I65" s="30" t="s">
        <v>41</v>
      </c>
      <c r="J65" s="30" t="s">
        <v>41</v>
      </c>
      <c r="K65" s="30" t="s">
        <v>41</v>
      </c>
      <c r="L65" s="30" t="s">
        <v>41</v>
      </c>
      <c r="M65" s="30" t="s">
        <v>41</v>
      </c>
      <c r="N65" s="30" t="s">
        <v>41</v>
      </c>
      <c r="O65" s="44" t="s">
        <v>41</v>
      </c>
      <c r="P65" s="30" t="s">
        <v>41</v>
      </c>
      <c r="Q65" s="30" t="s">
        <v>41</v>
      </c>
      <c r="R65" s="293" t="s">
        <v>41</v>
      </c>
      <c r="S65" s="36"/>
    </row>
    <row r="66" spans="1:19" ht="14.5">
      <c r="A66">
        <v>62</v>
      </c>
      <c r="B66" s="35">
        <v>2025212410</v>
      </c>
      <c r="C66" s="30" t="s">
        <v>2060</v>
      </c>
      <c r="D66" s="30" t="s">
        <v>1150</v>
      </c>
      <c r="E66" s="30" t="s">
        <v>1151</v>
      </c>
      <c r="F66" s="30" t="s">
        <v>1166</v>
      </c>
      <c r="G66" s="30" t="s">
        <v>213</v>
      </c>
      <c r="H66" s="30" t="s">
        <v>1152</v>
      </c>
      <c r="I66" s="30" t="s">
        <v>1166</v>
      </c>
      <c r="J66" s="30" t="s">
        <v>721</v>
      </c>
      <c r="K66" s="30" t="s">
        <v>721</v>
      </c>
      <c r="L66" s="30" t="s">
        <v>721</v>
      </c>
      <c r="M66" s="30" t="s">
        <v>1153</v>
      </c>
      <c r="N66" s="30" t="s">
        <v>1166</v>
      </c>
      <c r="O66" s="44" t="s">
        <v>1154</v>
      </c>
      <c r="P66" s="30" t="s">
        <v>1155</v>
      </c>
      <c r="Q66" s="30" t="s">
        <v>1156</v>
      </c>
      <c r="R66" s="293" t="s">
        <v>2197</v>
      </c>
      <c r="S66" s="36"/>
    </row>
    <row r="67" spans="1:19" ht="14.5">
      <c r="A67">
        <v>63</v>
      </c>
      <c r="B67" s="35">
        <v>2025212250</v>
      </c>
      <c r="C67" s="30" t="s">
        <v>2060</v>
      </c>
      <c r="D67" s="30" t="s">
        <v>1157</v>
      </c>
      <c r="E67" s="30" t="s">
        <v>1158</v>
      </c>
      <c r="F67" s="30" t="s">
        <v>756</v>
      </c>
      <c r="G67" s="30" t="s">
        <v>216</v>
      </c>
      <c r="H67" s="30" t="s">
        <v>1159</v>
      </c>
      <c r="I67" s="30" t="s">
        <v>756</v>
      </c>
      <c r="J67" s="30" t="s">
        <v>721</v>
      </c>
      <c r="K67" s="30" t="s">
        <v>721</v>
      </c>
      <c r="L67" s="30" t="s">
        <v>721</v>
      </c>
      <c r="M67" s="30" t="s">
        <v>1160</v>
      </c>
      <c r="N67" s="30" t="s">
        <v>756</v>
      </c>
      <c r="O67" s="44" t="s">
        <v>1161</v>
      </c>
      <c r="P67" s="30" t="s">
        <v>1162</v>
      </c>
      <c r="Q67" s="30" t="s">
        <v>1163</v>
      </c>
      <c r="R67" s="293" t="s">
        <v>2198</v>
      </c>
      <c r="S67" s="36"/>
    </row>
    <row r="68" spans="1:19" ht="14.5">
      <c r="A68">
        <v>64</v>
      </c>
      <c r="B68" s="35">
        <v>2025212219</v>
      </c>
      <c r="C68" s="30" t="s">
        <v>2060</v>
      </c>
      <c r="D68" s="30" t="s">
        <v>1164</v>
      </c>
      <c r="E68" s="30" t="s">
        <v>1165</v>
      </c>
      <c r="F68" s="30" t="s">
        <v>2199</v>
      </c>
      <c r="G68" s="30" t="s">
        <v>219</v>
      </c>
      <c r="H68" s="30" t="s">
        <v>1165</v>
      </c>
      <c r="I68" s="30" t="s">
        <v>2199</v>
      </c>
      <c r="J68" s="30" t="s">
        <v>219</v>
      </c>
      <c r="K68" s="30" t="s">
        <v>1165</v>
      </c>
      <c r="L68" s="30" t="s">
        <v>2154</v>
      </c>
      <c r="M68" s="30" t="s">
        <v>1167</v>
      </c>
      <c r="N68" s="30" t="s">
        <v>2154</v>
      </c>
      <c r="O68" s="44" t="s">
        <v>1168</v>
      </c>
      <c r="P68" s="30" t="s">
        <v>1169</v>
      </c>
      <c r="Q68" s="30" t="s">
        <v>1170</v>
      </c>
      <c r="R68" s="293" t="s">
        <v>2200</v>
      </c>
      <c r="S68" s="36"/>
    </row>
    <row r="69" spans="1:19" ht="14.5">
      <c r="A69">
        <v>65</v>
      </c>
      <c r="B69" s="35">
        <v>2025212215</v>
      </c>
      <c r="C69" s="30" t="s">
        <v>2060</v>
      </c>
      <c r="D69" s="30" t="s">
        <v>1171</v>
      </c>
      <c r="E69" s="48" t="s">
        <v>1172</v>
      </c>
      <c r="F69" s="48" t="s">
        <v>1166</v>
      </c>
      <c r="G69" s="30" t="s">
        <v>222</v>
      </c>
      <c r="H69" s="30" t="s">
        <v>1173</v>
      </c>
      <c r="I69" s="30" t="s">
        <v>1236</v>
      </c>
      <c r="J69" s="30" t="s">
        <v>1174</v>
      </c>
      <c r="K69" s="30" t="s">
        <v>2201</v>
      </c>
      <c r="L69" s="30" t="s">
        <v>1236</v>
      </c>
      <c r="M69" s="30" t="s">
        <v>1176</v>
      </c>
      <c r="N69" s="30" t="s">
        <v>1236</v>
      </c>
      <c r="O69" s="44" t="s">
        <v>1177</v>
      </c>
      <c r="P69" s="30" t="s">
        <v>1178</v>
      </c>
      <c r="Q69" s="30" t="s">
        <v>1179</v>
      </c>
      <c r="R69" s="293" t="s">
        <v>721</v>
      </c>
      <c r="S69" s="36"/>
    </row>
    <row r="70" spans="1:19" ht="14.5">
      <c r="A70">
        <v>66</v>
      </c>
      <c r="B70" s="35">
        <v>2025212407</v>
      </c>
      <c r="C70" s="30" t="s">
        <v>1184</v>
      </c>
      <c r="D70" s="30" t="s">
        <v>1181</v>
      </c>
      <c r="E70" s="30" t="s">
        <v>1182</v>
      </c>
      <c r="F70" s="30" t="s">
        <v>2202</v>
      </c>
      <c r="G70" s="30" t="s">
        <v>225</v>
      </c>
      <c r="H70" s="30" t="s">
        <v>41</v>
      </c>
      <c r="I70" s="30" t="s">
        <v>41</v>
      </c>
      <c r="J70" s="30" t="s">
        <v>225</v>
      </c>
      <c r="K70" s="30" t="s">
        <v>41</v>
      </c>
      <c r="L70" s="30" t="s">
        <v>41</v>
      </c>
      <c r="M70" s="30" t="s">
        <v>1183</v>
      </c>
      <c r="N70" s="30" t="s">
        <v>41</v>
      </c>
      <c r="O70" s="44" t="s">
        <v>41</v>
      </c>
      <c r="P70" s="30" t="s">
        <v>41</v>
      </c>
      <c r="Q70" s="30" t="s">
        <v>41</v>
      </c>
      <c r="R70" s="293" t="s">
        <v>41</v>
      </c>
      <c r="S70" s="36"/>
    </row>
    <row r="71" spans="1:19" ht="14.5">
      <c r="A71">
        <v>67</v>
      </c>
      <c r="B71" s="35">
        <v>2025212443</v>
      </c>
      <c r="C71" s="30" t="s">
        <v>2060</v>
      </c>
      <c r="D71" s="30" t="s">
        <v>1185</v>
      </c>
      <c r="E71" s="48" t="s">
        <v>1186</v>
      </c>
      <c r="F71" s="48" t="s">
        <v>1166</v>
      </c>
      <c r="G71" s="30" t="s">
        <v>228</v>
      </c>
      <c r="H71" s="30" t="s">
        <v>1187</v>
      </c>
      <c r="I71" s="30" t="s">
        <v>1166</v>
      </c>
      <c r="J71" s="30" t="s">
        <v>721</v>
      </c>
      <c r="K71" s="30" t="s">
        <v>721</v>
      </c>
      <c r="L71" s="30" t="s">
        <v>721</v>
      </c>
      <c r="M71" s="30" t="s">
        <v>1188</v>
      </c>
      <c r="N71" s="30" t="s">
        <v>1166</v>
      </c>
      <c r="O71" s="44" t="s">
        <v>1189</v>
      </c>
      <c r="P71" s="30" t="s">
        <v>1190</v>
      </c>
      <c r="Q71" s="30" t="s">
        <v>1191</v>
      </c>
      <c r="R71" s="293" t="s">
        <v>2200</v>
      </c>
      <c r="S71" s="36"/>
    </row>
    <row r="72" spans="1:19" ht="14.5">
      <c r="A72">
        <v>68</v>
      </c>
      <c r="B72" s="35">
        <v>2025212467</v>
      </c>
      <c r="C72" s="30" t="s">
        <v>2060</v>
      </c>
      <c r="D72" s="30" t="s">
        <v>1192</v>
      </c>
      <c r="E72" s="30" t="s">
        <v>1193</v>
      </c>
      <c r="F72" s="30" t="s">
        <v>2203</v>
      </c>
      <c r="G72" s="30" t="s">
        <v>231</v>
      </c>
      <c r="H72" s="30" t="s">
        <v>1194</v>
      </c>
      <c r="I72" s="30" t="s">
        <v>847</v>
      </c>
      <c r="J72" s="30" t="s">
        <v>721</v>
      </c>
      <c r="K72" s="30" t="s">
        <v>721</v>
      </c>
      <c r="L72" s="30" t="s">
        <v>721</v>
      </c>
      <c r="M72" s="30" t="s">
        <v>1195</v>
      </c>
      <c r="N72" s="30" t="s">
        <v>847</v>
      </c>
      <c r="O72" s="44" t="s">
        <v>1196</v>
      </c>
      <c r="P72" s="30" t="s">
        <v>1197</v>
      </c>
      <c r="Q72" s="30" t="s">
        <v>736</v>
      </c>
      <c r="R72" s="293" t="s">
        <v>721</v>
      </c>
      <c r="S72" s="36"/>
    </row>
    <row r="73" spans="1:19" ht="43.5">
      <c r="A73">
        <v>69</v>
      </c>
      <c r="B73" s="143">
        <v>2025212380</v>
      </c>
      <c r="C73" s="30" t="s">
        <v>2060</v>
      </c>
      <c r="D73" s="30" t="s">
        <v>1198</v>
      </c>
      <c r="E73" s="31" t="s">
        <v>1199</v>
      </c>
      <c r="F73" s="30" t="s">
        <v>2204</v>
      </c>
      <c r="G73" s="30" t="s">
        <v>234</v>
      </c>
      <c r="H73" s="31" t="s">
        <v>1200</v>
      </c>
      <c r="I73" s="30" t="s">
        <v>2136</v>
      </c>
      <c r="J73" s="30" t="s">
        <v>721</v>
      </c>
      <c r="K73" s="30" t="s">
        <v>721</v>
      </c>
      <c r="L73" s="30" t="s">
        <v>721</v>
      </c>
      <c r="M73" s="31" t="s">
        <v>1201</v>
      </c>
      <c r="N73" s="30" t="s">
        <v>2204</v>
      </c>
      <c r="O73" s="44" t="s">
        <v>1202</v>
      </c>
      <c r="P73" s="30" t="s">
        <v>1203</v>
      </c>
      <c r="Q73" s="30" t="s">
        <v>1128</v>
      </c>
      <c r="R73" s="8" t="s">
        <v>2092</v>
      </c>
      <c r="S73" s="36"/>
    </row>
    <row r="74" spans="1:19" ht="14.5">
      <c r="A74">
        <v>70</v>
      </c>
      <c r="B74" s="143">
        <v>2025212399</v>
      </c>
      <c r="C74" s="30" t="s">
        <v>2060</v>
      </c>
      <c r="D74" s="30" t="s">
        <v>1204</v>
      </c>
      <c r="E74" s="30" t="s">
        <v>1205</v>
      </c>
      <c r="F74" s="30" t="s">
        <v>2192</v>
      </c>
      <c r="G74" s="30" t="s">
        <v>237</v>
      </c>
      <c r="H74" s="30" t="s">
        <v>1206</v>
      </c>
      <c r="I74" s="30" t="s">
        <v>2205</v>
      </c>
      <c r="J74" s="30" t="s">
        <v>721</v>
      </c>
      <c r="K74" s="30" t="s">
        <v>721</v>
      </c>
      <c r="L74" s="30" t="s">
        <v>2205</v>
      </c>
      <c r="M74" s="30" t="s">
        <v>1208</v>
      </c>
      <c r="N74" s="30" t="s">
        <v>2192</v>
      </c>
      <c r="O74" s="44" t="s">
        <v>1209</v>
      </c>
      <c r="P74" s="30" t="s">
        <v>1210</v>
      </c>
      <c r="Q74" s="30" t="s">
        <v>1211</v>
      </c>
      <c r="R74" s="8" t="s">
        <v>2092</v>
      </c>
      <c r="S74" s="36"/>
    </row>
    <row r="75" spans="1:19" s="99" customFormat="1" ht="14.5">
      <c r="A75" s="99">
        <v>71</v>
      </c>
      <c r="B75" s="143">
        <v>2025212401</v>
      </c>
      <c r="C75" s="118" t="s">
        <v>2060</v>
      </c>
      <c r="D75" s="118" t="s">
        <v>1212</v>
      </c>
      <c r="E75" s="118" t="s">
        <v>1213</v>
      </c>
      <c r="F75" s="118" t="s">
        <v>2206</v>
      </c>
      <c r="G75" s="118" t="s">
        <v>240</v>
      </c>
      <c r="H75" s="118" t="s">
        <v>1214</v>
      </c>
      <c r="I75" s="118" t="s">
        <v>2206</v>
      </c>
      <c r="J75" s="118" t="s">
        <v>721</v>
      </c>
      <c r="K75" s="118" t="s">
        <v>721</v>
      </c>
      <c r="L75" s="118" t="s">
        <v>721</v>
      </c>
      <c r="M75" s="118" t="s">
        <v>1215</v>
      </c>
      <c r="N75" s="118" t="s">
        <v>2206</v>
      </c>
      <c r="O75" s="119" t="s">
        <v>1216</v>
      </c>
      <c r="P75" s="118" t="s">
        <v>1217</v>
      </c>
      <c r="Q75" s="118" t="s">
        <v>709</v>
      </c>
      <c r="R75" s="295" t="s">
        <v>2171</v>
      </c>
      <c r="S75" s="122"/>
    </row>
    <row r="76" spans="1:19" ht="14.5">
      <c r="A76">
        <v>72</v>
      </c>
      <c r="B76" s="35">
        <v>2025212349</v>
      </c>
      <c r="C76" s="30" t="s">
        <v>2060</v>
      </c>
      <c r="D76" s="30" t="s">
        <v>1218</v>
      </c>
      <c r="E76" s="30" t="s">
        <v>1219</v>
      </c>
      <c r="F76" s="30" t="s">
        <v>1166</v>
      </c>
      <c r="G76" s="30" t="s">
        <v>243</v>
      </c>
      <c r="H76" s="30" t="s">
        <v>1220</v>
      </c>
      <c r="I76" s="30" t="s">
        <v>1166</v>
      </c>
      <c r="J76" s="30" t="s">
        <v>721</v>
      </c>
      <c r="K76" s="30" t="s">
        <v>721</v>
      </c>
      <c r="L76" s="30" t="s">
        <v>721</v>
      </c>
      <c r="M76" s="30" t="s">
        <v>1221</v>
      </c>
      <c r="N76" s="30" t="s">
        <v>2207</v>
      </c>
      <c r="O76" s="44" t="s">
        <v>1222</v>
      </c>
      <c r="P76" s="30" t="s">
        <v>1223</v>
      </c>
      <c r="Q76" s="30" t="s">
        <v>1224</v>
      </c>
      <c r="R76" s="8" t="s">
        <v>2208</v>
      </c>
      <c r="S76" s="36"/>
    </row>
    <row r="77" spans="1:19" ht="14.5">
      <c r="B77" s="143">
        <v>2025212447</v>
      </c>
      <c r="C77" s="30" t="s">
        <v>2060</v>
      </c>
      <c r="D77" s="30" t="s">
        <v>1225</v>
      </c>
      <c r="E77" s="31" t="s">
        <v>1226</v>
      </c>
      <c r="F77" s="30" t="s">
        <v>2192</v>
      </c>
      <c r="G77" s="30" t="s">
        <v>246</v>
      </c>
      <c r="H77" s="30" t="s">
        <v>1227</v>
      </c>
      <c r="I77" s="30" t="s">
        <v>2209</v>
      </c>
      <c r="J77" s="30" t="s">
        <v>721</v>
      </c>
      <c r="K77" s="30" t="s">
        <v>721</v>
      </c>
      <c r="L77" s="30" t="s">
        <v>2210</v>
      </c>
      <c r="M77" s="30" t="s">
        <v>1228</v>
      </c>
      <c r="N77" s="30" t="s">
        <v>2204</v>
      </c>
      <c r="O77" s="44" t="s">
        <v>1229</v>
      </c>
      <c r="P77" s="30" t="s">
        <v>1230</v>
      </c>
      <c r="Q77" s="30" t="s">
        <v>1128</v>
      </c>
      <c r="R77" s="8" t="s">
        <v>2092</v>
      </c>
      <c r="S77" s="36"/>
    </row>
    <row r="78" spans="1:19" ht="38.25" customHeight="1">
      <c r="A78">
        <v>74</v>
      </c>
      <c r="B78" s="35" t="s">
        <v>251</v>
      </c>
      <c r="C78" s="30" t="s">
        <v>2060</v>
      </c>
      <c r="D78" s="30" t="s">
        <v>1232</v>
      </c>
      <c r="E78" s="30" t="s">
        <v>1233</v>
      </c>
      <c r="F78" s="30" t="s">
        <v>948</v>
      </c>
      <c r="G78" s="31" t="s">
        <v>249</v>
      </c>
      <c r="H78" s="31" t="s">
        <v>1234</v>
      </c>
      <c r="I78" s="30" t="s">
        <v>1236</v>
      </c>
      <c r="J78" s="30" t="s">
        <v>1235</v>
      </c>
      <c r="K78" s="30" t="s">
        <v>2211</v>
      </c>
      <c r="L78" s="30" t="s">
        <v>1236</v>
      </c>
      <c r="M78" s="30" t="s">
        <v>1237</v>
      </c>
      <c r="N78" s="30" t="s">
        <v>948</v>
      </c>
      <c r="O78" s="30" t="s">
        <v>1238</v>
      </c>
      <c r="P78" s="30" t="s">
        <v>1239</v>
      </c>
      <c r="Q78" s="30" t="s">
        <v>1240</v>
      </c>
      <c r="R78" s="8" t="s">
        <v>721</v>
      </c>
      <c r="S78" s="30"/>
    </row>
    <row r="79" spans="1:19" ht="14.5">
      <c r="A79">
        <v>75</v>
      </c>
      <c r="B79" s="35">
        <v>2024213743</v>
      </c>
      <c r="C79" s="30" t="s">
        <v>2212</v>
      </c>
      <c r="D79" s="30" t="s">
        <v>2213</v>
      </c>
      <c r="E79" s="30" t="s">
        <v>2214</v>
      </c>
      <c r="F79" s="30" t="s">
        <v>41</v>
      </c>
      <c r="G79" s="30" t="s">
        <v>2215</v>
      </c>
      <c r="H79" s="30" t="s">
        <v>2216</v>
      </c>
      <c r="I79" s="30" t="s">
        <v>41</v>
      </c>
      <c r="J79" s="30" t="s">
        <v>41</v>
      </c>
      <c r="K79" s="30" t="s">
        <v>41</v>
      </c>
      <c r="L79" s="30" t="s">
        <v>41</v>
      </c>
      <c r="M79" s="30" t="s">
        <v>2217</v>
      </c>
      <c r="N79" s="30" t="s">
        <v>41</v>
      </c>
      <c r="O79" s="30" t="s">
        <v>1243</v>
      </c>
      <c r="P79" s="30" t="s">
        <v>1244</v>
      </c>
      <c r="Q79" s="30" t="s">
        <v>849</v>
      </c>
      <c r="R79" s="8" t="s">
        <v>2160</v>
      </c>
      <c r="S79" s="30"/>
    </row>
    <row r="80" spans="1:19" ht="29">
      <c r="A80">
        <v>76</v>
      </c>
      <c r="B80" s="35">
        <v>2025212533</v>
      </c>
      <c r="C80" s="30" t="s">
        <v>2060</v>
      </c>
      <c r="D80" s="31" t="s">
        <v>1245</v>
      </c>
      <c r="E80" s="30" t="s">
        <v>1246</v>
      </c>
      <c r="F80" s="30" t="s">
        <v>2115</v>
      </c>
      <c r="G80" s="30" t="s">
        <v>254</v>
      </c>
      <c r="H80" s="30" t="s">
        <v>1247</v>
      </c>
      <c r="I80" s="30" t="s">
        <v>1236</v>
      </c>
      <c r="J80" s="30" t="str">
        <f>IF(MIS_Backend_Data!AD79="", "", MIS_Backend_Data!AD79)</f>
        <v>NA</v>
      </c>
      <c r="K80" s="30" t="s">
        <v>41</v>
      </c>
      <c r="L80" s="30" t="str">
        <f>IF(MIS_Backend_Data!AF79="", "", MIS_Backend_Data!AF79)</f>
        <v>NA</v>
      </c>
      <c r="M80" s="48" t="s">
        <v>1248</v>
      </c>
      <c r="N80" s="48" t="s">
        <v>847</v>
      </c>
      <c r="O80" s="30" t="s">
        <v>1249</v>
      </c>
      <c r="P80" s="30" t="s">
        <v>1250</v>
      </c>
      <c r="Q80" s="30" t="s">
        <v>1251</v>
      </c>
      <c r="R80" s="293" t="s">
        <v>2200</v>
      </c>
      <c r="S80" s="30"/>
    </row>
    <row r="81" spans="1:20" ht="29">
      <c r="A81">
        <v>77</v>
      </c>
      <c r="B81" s="142">
        <v>2023205098</v>
      </c>
      <c r="C81" s="48" t="s">
        <v>2218</v>
      </c>
      <c r="D81" s="48" t="s">
        <v>1253</v>
      </c>
      <c r="E81" s="49" t="s">
        <v>1254</v>
      </c>
      <c r="F81" s="48" t="s">
        <v>2219</v>
      </c>
      <c r="G81" s="30" t="s">
        <v>257</v>
      </c>
      <c r="H81" s="30" t="s">
        <v>1255</v>
      </c>
      <c r="I81" s="30" t="s">
        <v>41</v>
      </c>
      <c r="J81" s="30" t="s">
        <v>41</v>
      </c>
      <c r="K81" s="30" t="s">
        <v>41</v>
      </c>
      <c r="L81" s="30" t="s">
        <v>41</v>
      </c>
      <c r="M81" s="30" t="s">
        <v>41</v>
      </c>
      <c r="N81" s="30" t="s">
        <v>41</v>
      </c>
      <c r="O81" s="30" t="s">
        <v>41</v>
      </c>
      <c r="P81" s="30" t="s">
        <v>41</v>
      </c>
      <c r="Q81" s="30" t="s">
        <v>41</v>
      </c>
      <c r="R81" s="30" t="s">
        <v>41</v>
      </c>
      <c r="S81" s="30">
        <v>8830146414</v>
      </c>
    </row>
    <row r="82" spans="1:20" s="113" customFormat="1" ht="29">
      <c r="A82" s="113">
        <v>78</v>
      </c>
      <c r="B82" s="150">
        <v>2021205783</v>
      </c>
      <c r="C82" s="65" t="s">
        <v>2218</v>
      </c>
      <c r="D82" s="114" t="s">
        <v>1256</v>
      </c>
      <c r="E82" s="115" t="s">
        <v>1257</v>
      </c>
      <c r="F82" s="114" t="s">
        <v>721</v>
      </c>
      <c r="G82" s="65" t="s">
        <v>261</v>
      </c>
      <c r="H82" s="65" t="s">
        <v>1258</v>
      </c>
      <c r="I82" s="65" t="s">
        <v>41</v>
      </c>
      <c r="J82" s="65" t="s">
        <v>41</v>
      </c>
      <c r="K82" s="65" t="s">
        <v>41</v>
      </c>
      <c r="L82" s="65" t="s">
        <v>41</v>
      </c>
      <c r="M82" s="65" t="s">
        <v>41</v>
      </c>
      <c r="N82" s="65" t="s">
        <v>41</v>
      </c>
      <c r="O82" s="65" t="s">
        <v>41</v>
      </c>
      <c r="P82" s="65" t="s">
        <v>41</v>
      </c>
      <c r="Q82" s="65" t="s">
        <v>41</v>
      </c>
      <c r="R82" s="65" t="s">
        <v>41</v>
      </c>
      <c r="S82" s="65">
        <v>8806983521</v>
      </c>
    </row>
    <row r="83" spans="1:20" ht="14.5">
      <c r="A83">
        <v>79</v>
      </c>
      <c r="B83" s="151">
        <v>2020208122</v>
      </c>
      <c r="C83" s="30" t="s">
        <v>2218</v>
      </c>
      <c r="D83" s="30" t="s">
        <v>1261</v>
      </c>
      <c r="E83" s="30" t="s">
        <v>1262</v>
      </c>
      <c r="F83" s="30" t="s">
        <v>2207</v>
      </c>
      <c r="G83" s="30" t="s">
        <v>264</v>
      </c>
      <c r="H83" s="30" t="s">
        <v>1263</v>
      </c>
      <c r="I83" s="30" t="s">
        <v>41</v>
      </c>
      <c r="J83" s="30" t="s">
        <v>41</v>
      </c>
      <c r="K83" s="30" t="s">
        <v>41</v>
      </c>
      <c r="L83" s="30" t="s">
        <v>41</v>
      </c>
      <c r="M83" s="30" t="s">
        <v>41</v>
      </c>
      <c r="N83" s="30" t="s">
        <v>41</v>
      </c>
      <c r="O83" s="30" t="s">
        <v>41</v>
      </c>
      <c r="P83" s="30" t="s">
        <v>41</v>
      </c>
      <c r="Q83" s="30" t="s">
        <v>41</v>
      </c>
      <c r="R83" s="30" t="s">
        <v>41</v>
      </c>
      <c r="S83" s="30" t="s">
        <v>41</v>
      </c>
    </row>
    <row r="84" spans="1:20" ht="14.5">
      <c r="A84">
        <v>80</v>
      </c>
      <c r="B84" s="35">
        <v>2019201744</v>
      </c>
      <c r="C84" s="30" t="s">
        <v>2218</v>
      </c>
      <c r="D84" s="30" t="s">
        <v>1264</v>
      </c>
      <c r="E84" s="30" t="s">
        <v>1265</v>
      </c>
      <c r="F84" s="31" t="s">
        <v>2209</v>
      </c>
      <c r="G84" s="30" t="s">
        <v>267</v>
      </c>
      <c r="H84" s="30" t="s">
        <v>1266</v>
      </c>
      <c r="I84" s="30" t="s">
        <v>41</v>
      </c>
      <c r="J84" s="30" t="s">
        <v>41</v>
      </c>
      <c r="K84" s="30" t="s">
        <v>41</v>
      </c>
      <c r="L84" s="30" t="s">
        <v>41</v>
      </c>
      <c r="M84" s="30" t="s">
        <v>41</v>
      </c>
      <c r="N84" s="30" t="s">
        <v>41</v>
      </c>
      <c r="O84" s="30" t="s">
        <v>41</v>
      </c>
      <c r="P84" s="30" t="s">
        <v>41</v>
      </c>
      <c r="Q84" s="30" t="s">
        <v>41</v>
      </c>
      <c r="R84" s="30" t="s">
        <v>41</v>
      </c>
      <c r="S84" s="30">
        <v>8581858344</v>
      </c>
      <c r="T84" t="s">
        <v>2220</v>
      </c>
    </row>
    <row r="85" spans="1:20" ht="29">
      <c r="A85">
        <v>81</v>
      </c>
      <c r="B85" s="152">
        <v>2022209063</v>
      </c>
      <c r="C85" s="30" t="s">
        <v>2218</v>
      </c>
      <c r="D85" s="30" t="s">
        <v>1267</v>
      </c>
      <c r="E85" s="30" t="s">
        <v>1268</v>
      </c>
      <c r="F85" s="30" t="s">
        <v>2221</v>
      </c>
      <c r="G85" s="31" t="s">
        <v>270</v>
      </c>
      <c r="H85" s="30" t="s">
        <v>1269</v>
      </c>
      <c r="I85" s="30" t="s">
        <v>41</v>
      </c>
      <c r="J85" s="30" t="s">
        <v>41</v>
      </c>
      <c r="K85" s="30" t="s">
        <v>41</v>
      </c>
      <c r="L85" s="30" t="s">
        <v>41</v>
      </c>
      <c r="M85" s="30" t="s">
        <v>1271</v>
      </c>
      <c r="N85" s="30" t="s">
        <v>41</v>
      </c>
      <c r="O85" s="30" t="s">
        <v>41</v>
      </c>
      <c r="P85" s="31" t="s">
        <v>41</v>
      </c>
      <c r="Q85" s="30" t="s">
        <v>41</v>
      </c>
      <c r="R85" s="30" t="s">
        <v>41</v>
      </c>
      <c r="S85" s="38">
        <v>7028595337</v>
      </c>
    </row>
    <row r="86" spans="1:20" s="113" customFormat="1" ht="14.5">
      <c r="A86" s="113">
        <v>82</v>
      </c>
      <c r="B86" s="169">
        <v>2017212612</v>
      </c>
      <c r="C86" s="114" t="s">
        <v>2218</v>
      </c>
      <c r="D86" s="114" t="s">
        <v>1274</v>
      </c>
      <c r="E86" s="114" t="s">
        <v>1275</v>
      </c>
      <c r="F86" s="114" t="s">
        <v>721</v>
      </c>
      <c r="G86" s="170" t="s">
        <v>273</v>
      </c>
      <c r="H86" s="65" t="s">
        <v>1276</v>
      </c>
      <c r="I86" s="65" t="s">
        <v>41</v>
      </c>
      <c r="J86" s="65" t="s">
        <v>41</v>
      </c>
      <c r="K86" s="65" t="s">
        <v>41</v>
      </c>
      <c r="L86" s="65" t="s">
        <v>41</v>
      </c>
      <c r="M86" s="170" t="s">
        <v>1277</v>
      </c>
      <c r="N86" s="65" t="s">
        <v>41</v>
      </c>
      <c r="O86" s="65" t="s">
        <v>41</v>
      </c>
      <c r="P86" s="170" t="s">
        <v>41</v>
      </c>
      <c r="Q86" s="65" t="s">
        <v>41</v>
      </c>
      <c r="R86" s="65" t="s">
        <v>41</v>
      </c>
      <c r="S86" s="65" t="s">
        <v>41</v>
      </c>
    </row>
    <row r="87" spans="1:20" ht="29">
      <c r="A87">
        <v>83</v>
      </c>
      <c r="B87" s="35" t="s">
        <v>278</v>
      </c>
      <c r="C87" s="30" t="s">
        <v>2222</v>
      </c>
      <c r="D87" s="30" t="s">
        <v>41</v>
      </c>
      <c r="E87" s="30" t="s">
        <v>41</v>
      </c>
      <c r="F87" s="30" t="s">
        <v>41</v>
      </c>
      <c r="G87" s="64" t="s">
        <v>276</v>
      </c>
      <c r="H87" s="20" t="s">
        <v>1280</v>
      </c>
      <c r="I87" s="30" t="s">
        <v>948</v>
      </c>
      <c r="J87" s="30" t="s">
        <v>41</v>
      </c>
      <c r="K87" s="30" t="s">
        <v>41</v>
      </c>
      <c r="L87" s="30" t="s">
        <v>41</v>
      </c>
      <c r="M87" s="30" t="str">
        <f>IF(MIS_Backend_Data!AH86="", "", MIS_Backend_Data!AH86)</f>
        <v>NA</v>
      </c>
      <c r="N87" s="30" t="e">
        <f>IF(MIS_Backend_Data!#REF!="", "", MIS_Backend_Data!#REF!)</f>
        <v>#REF!</v>
      </c>
      <c r="O87" s="30" t="s">
        <v>41</v>
      </c>
      <c r="P87" s="30" t="s">
        <v>41</v>
      </c>
      <c r="Q87" s="30" t="s">
        <v>41</v>
      </c>
      <c r="R87" s="30" t="s">
        <v>41</v>
      </c>
      <c r="S87" s="30" t="s">
        <v>41</v>
      </c>
    </row>
    <row r="88" spans="1:20" ht="29">
      <c r="A88">
        <v>84</v>
      </c>
      <c r="B88" s="35">
        <v>2025212670</v>
      </c>
      <c r="C88" s="31" t="s">
        <v>2223</v>
      </c>
      <c r="D88" s="66" t="s">
        <v>1282</v>
      </c>
      <c r="E88" s="30" t="s">
        <v>1283</v>
      </c>
      <c r="F88" s="30" t="s">
        <v>1031</v>
      </c>
      <c r="G88" s="31" t="s">
        <v>280</v>
      </c>
      <c r="H88" s="30" t="s">
        <v>1284</v>
      </c>
      <c r="I88" s="30" t="s">
        <v>41</v>
      </c>
      <c r="J88" s="30" t="s">
        <v>41</v>
      </c>
      <c r="K88" s="30" t="s">
        <v>41</v>
      </c>
      <c r="L88" s="30" t="s">
        <v>41</v>
      </c>
      <c r="M88" s="31" t="s">
        <v>1285</v>
      </c>
      <c r="N88" s="30" t="s">
        <v>41</v>
      </c>
      <c r="O88" s="35" t="s">
        <v>41</v>
      </c>
      <c r="P88" s="31" t="s">
        <v>41</v>
      </c>
      <c r="Q88" s="30" t="s">
        <v>41</v>
      </c>
      <c r="R88" s="30" t="s">
        <v>41</v>
      </c>
      <c r="S88" s="30" t="s">
        <v>41</v>
      </c>
    </row>
    <row r="89" spans="1:20" ht="29">
      <c r="A89">
        <v>85</v>
      </c>
      <c r="B89" s="35">
        <v>2025212671</v>
      </c>
      <c r="C89" s="68" t="s">
        <v>2224</v>
      </c>
      <c r="D89" s="30" t="s">
        <v>1287</v>
      </c>
      <c r="E89" s="30" t="s">
        <v>1283</v>
      </c>
      <c r="F89" s="30" t="s">
        <v>1031</v>
      </c>
      <c r="G89" s="31" t="s">
        <v>280</v>
      </c>
      <c r="H89" s="30" t="s">
        <v>1284</v>
      </c>
      <c r="I89" s="30" t="s">
        <v>41</v>
      </c>
      <c r="J89" s="30" t="s">
        <v>41</v>
      </c>
      <c r="K89" s="30" t="s">
        <v>41</v>
      </c>
      <c r="L89" s="30" t="s">
        <v>41</v>
      </c>
      <c r="M89" s="31" t="s">
        <v>1285</v>
      </c>
      <c r="N89" s="30" t="s">
        <v>41</v>
      </c>
      <c r="O89" s="35" t="s">
        <v>41</v>
      </c>
      <c r="P89" s="31" t="s">
        <v>41</v>
      </c>
      <c r="Q89" s="30" t="s">
        <v>41</v>
      </c>
      <c r="R89" s="30" t="s">
        <v>41</v>
      </c>
      <c r="S89" s="30" t="s">
        <v>41</v>
      </c>
    </row>
    <row r="90" spans="1:20" ht="29">
      <c r="A90">
        <v>86</v>
      </c>
      <c r="B90" s="35">
        <v>2025212673</v>
      </c>
      <c r="C90" s="30" t="s">
        <v>2225</v>
      </c>
      <c r="D90" s="67" t="s">
        <v>1289</v>
      </c>
      <c r="E90" s="30" t="s">
        <v>1283</v>
      </c>
      <c r="F90" s="30" t="s">
        <v>1031</v>
      </c>
      <c r="G90" s="31" t="s">
        <v>280</v>
      </c>
      <c r="H90" s="30" t="s">
        <v>1284</v>
      </c>
      <c r="I90" s="30" t="s">
        <v>2226</v>
      </c>
      <c r="J90" s="30" t="s">
        <v>41</v>
      </c>
      <c r="K90" s="30" t="s">
        <v>41</v>
      </c>
      <c r="L90" s="30" t="s">
        <v>41</v>
      </c>
      <c r="M90" s="49" t="s">
        <v>1285</v>
      </c>
      <c r="N90" s="48" t="s">
        <v>721</v>
      </c>
      <c r="O90" s="44" t="s">
        <v>1290</v>
      </c>
      <c r="P90" s="31" t="s">
        <v>1291</v>
      </c>
      <c r="Q90" s="30" t="s">
        <v>774</v>
      </c>
      <c r="R90" s="30" t="s">
        <v>721</v>
      </c>
      <c r="S90" s="30" t="s">
        <v>41</v>
      </c>
    </row>
    <row r="91" spans="1:20" s="99" customFormat="1" ht="29.25" customHeight="1">
      <c r="A91" s="99">
        <v>87</v>
      </c>
      <c r="B91" s="153">
        <v>2025212540</v>
      </c>
      <c r="C91" s="100" t="s">
        <v>2225</v>
      </c>
      <c r="D91" s="100" t="s">
        <v>1293</v>
      </c>
      <c r="E91" s="101" t="s">
        <v>1294</v>
      </c>
      <c r="F91" s="100" t="s">
        <v>2203</v>
      </c>
      <c r="G91" s="100" t="s">
        <v>287</v>
      </c>
      <c r="H91" s="100" t="s">
        <v>1295</v>
      </c>
      <c r="I91" s="100" t="s">
        <v>2227</v>
      </c>
      <c r="J91" s="100" t="s">
        <v>41</v>
      </c>
      <c r="K91" s="100" t="s">
        <v>41</v>
      </c>
      <c r="L91" s="100" t="s">
        <v>41</v>
      </c>
      <c r="M91" s="101" t="s">
        <v>1297</v>
      </c>
      <c r="N91" s="100" t="s">
        <v>2228</v>
      </c>
      <c r="O91" s="102" t="s">
        <v>1298</v>
      </c>
      <c r="P91" s="101" t="s">
        <v>1299</v>
      </c>
      <c r="Q91" s="100" t="s">
        <v>1300</v>
      </c>
      <c r="R91" s="100" t="s">
        <v>721</v>
      </c>
      <c r="S91" s="100">
        <v>7720958576</v>
      </c>
    </row>
    <row r="92" spans="1:20" s="30" customFormat="1" ht="28.5" customHeight="1">
      <c r="A92" s="30">
        <v>88</v>
      </c>
      <c r="B92" s="35">
        <v>2025212595</v>
      </c>
      <c r="C92" s="69" t="s">
        <v>2229</v>
      </c>
      <c r="D92" s="48" t="s">
        <v>1302</v>
      </c>
      <c r="E92" s="49" t="s">
        <v>1303</v>
      </c>
      <c r="F92" s="48" t="s">
        <v>2168</v>
      </c>
      <c r="G92" s="48" t="s">
        <v>290</v>
      </c>
      <c r="H92" s="49" t="s">
        <v>1304</v>
      </c>
      <c r="I92" s="48" t="s">
        <v>2168</v>
      </c>
      <c r="J92" s="48" t="s">
        <v>41</v>
      </c>
      <c r="K92" s="48" t="s">
        <v>41</v>
      </c>
      <c r="L92" s="48" t="s">
        <v>41</v>
      </c>
      <c r="M92" s="48" t="s">
        <v>2230</v>
      </c>
      <c r="N92" s="48" t="s">
        <v>2168</v>
      </c>
      <c r="O92" s="44" t="s">
        <v>1306</v>
      </c>
      <c r="P92" s="31" t="s">
        <v>1307</v>
      </c>
      <c r="Q92" s="30" t="s">
        <v>1308</v>
      </c>
      <c r="R92" s="30" t="s">
        <v>721</v>
      </c>
      <c r="S92" s="30" t="s">
        <v>721</v>
      </c>
    </row>
    <row r="93" spans="1:20" s="34" customFormat="1" ht="28.5" customHeight="1">
      <c r="A93" s="34">
        <v>89</v>
      </c>
      <c r="B93" s="144">
        <v>2025212716</v>
      </c>
      <c r="C93" s="72" t="s">
        <v>2229</v>
      </c>
      <c r="D93" s="73" t="s">
        <v>1310</v>
      </c>
      <c r="E93" s="73" t="s">
        <v>1311</v>
      </c>
      <c r="F93" s="73" t="s">
        <v>829</v>
      </c>
      <c r="G93" s="73" t="s">
        <v>1312</v>
      </c>
      <c r="H93" s="73" t="s">
        <v>1313</v>
      </c>
      <c r="I93" s="73" t="s">
        <v>829</v>
      </c>
      <c r="J93" s="73" t="s">
        <v>41</v>
      </c>
      <c r="K93" s="73" t="s">
        <v>41</v>
      </c>
      <c r="L93" s="73" t="s">
        <v>829</v>
      </c>
      <c r="M93" s="78" t="s">
        <v>1314</v>
      </c>
      <c r="N93" s="73" t="s">
        <v>829</v>
      </c>
      <c r="O93" s="79" t="s">
        <v>1315</v>
      </c>
      <c r="P93" s="80" t="s">
        <v>1316</v>
      </c>
      <c r="Q93" s="34" t="s">
        <v>1317</v>
      </c>
      <c r="R93" s="34" t="s">
        <v>721</v>
      </c>
      <c r="S93" s="34" t="s">
        <v>721</v>
      </c>
    </row>
    <row r="94" spans="1:20" s="30" customFormat="1" ht="27" customHeight="1">
      <c r="B94" s="35">
        <v>2025208486</v>
      </c>
      <c r="C94" s="76" t="s">
        <v>2231</v>
      </c>
      <c r="D94" s="30" t="s">
        <v>2232</v>
      </c>
      <c r="E94" s="31" t="s">
        <v>1319</v>
      </c>
      <c r="F94" s="30" t="s">
        <v>1364</v>
      </c>
      <c r="G94" s="74" t="s">
        <v>296</v>
      </c>
      <c r="H94" s="30" t="s">
        <v>1320</v>
      </c>
      <c r="I94" s="30" t="s">
        <v>1364</v>
      </c>
      <c r="J94" s="30" t="s">
        <v>41</v>
      </c>
      <c r="K94" s="30" t="s">
        <v>41</v>
      </c>
      <c r="M94" s="31" t="s">
        <v>1321</v>
      </c>
      <c r="N94" s="30" t="s">
        <v>1364</v>
      </c>
      <c r="O94" s="44" t="s">
        <v>1322</v>
      </c>
      <c r="P94" s="31" t="s">
        <v>1323</v>
      </c>
      <c r="Q94" s="30" t="s">
        <v>763</v>
      </c>
    </row>
    <row r="95" spans="1:20" s="34" customFormat="1" ht="31">
      <c r="A95" s="34">
        <v>91</v>
      </c>
      <c r="B95" s="154">
        <v>2025209152</v>
      </c>
      <c r="C95" s="85" t="s">
        <v>2231</v>
      </c>
      <c r="D95" s="34" t="s">
        <v>1324</v>
      </c>
      <c r="E95" s="80" t="s">
        <v>1325</v>
      </c>
      <c r="F95" s="34" t="s">
        <v>2233</v>
      </c>
      <c r="G95" s="110" t="s">
        <v>2234</v>
      </c>
      <c r="H95" s="34" t="s">
        <v>1327</v>
      </c>
      <c r="I95" s="34" t="s">
        <v>2209</v>
      </c>
      <c r="J95" s="85"/>
      <c r="L95" s="34" t="str">
        <f>IF(MIS_Backend_Data!AF94="", "", MIS_Backend_Data!AF94)</f>
        <v>NA</v>
      </c>
      <c r="M95" s="34" t="s">
        <v>1328</v>
      </c>
      <c r="N95" s="34" t="s">
        <v>2233</v>
      </c>
      <c r="O95" s="79" t="s">
        <v>1329</v>
      </c>
      <c r="P95" s="80" t="s">
        <v>1330</v>
      </c>
      <c r="Q95" s="34" t="s">
        <v>1326</v>
      </c>
    </row>
    <row r="96" spans="1:20" s="30" customFormat="1" ht="31.5">
      <c r="A96" s="30">
        <v>92</v>
      </c>
      <c r="B96" s="140">
        <v>2025212593</v>
      </c>
      <c r="C96" s="74" t="s">
        <v>2235</v>
      </c>
      <c r="D96" s="31" t="s">
        <v>1333</v>
      </c>
      <c r="E96" s="31" t="s">
        <v>1334</v>
      </c>
      <c r="F96" s="30" t="s">
        <v>2192</v>
      </c>
      <c r="G96" s="74" t="s">
        <v>302</v>
      </c>
      <c r="H96" s="31" t="s">
        <v>1339</v>
      </c>
      <c r="I96" s="30" t="s">
        <v>41</v>
      </c>
      <c r="J96" s="30" t="s">
        <v>1340</v>
      </c>
      <c r="K96" s="31" t="s">
        <v>1341</v>
      </c>
      <c r="L96" s="30" t="str">
        <f>IF(MIS_Backend_Data!AF95="", "", MIS_Backend_Data!AF95)</f>
        <v/>
      </c>
      <c r="M96" s="31" t="s">
        <v>1342</v>
      </c>
      <c r="N96" s="30" t="e">
        <f>IF(MIS_Backend_Data!#REF!="", "", MIS_Backend_Data!#REF!)</f>
        <v>#REF!</v>
      </c>
      <c r="O96" s="44" t="s">
        <v>41</v>
      </c>
      <c r="P96" s="31" t="s">
        <v>41</v>
      </c>
      <c r="Q96" s="30" t="s">
        <v>41</v>
      </c>
    </row>
    <row r="97" spans="1:19" s="48" customFormat="1" ht="31.5">
      <c r="A97" s="48">
        <v>93</v>
      </c>
      <c r="B97" s="172">
        <v>2025212721</v>
      </c>
      <c r="C97" s="109" t="s">
        <v>2236</v>
      </c>
      <c r="D97" s="48" t="s">
        <v>2237</v>
      </c>
      <c r="E97" s="49" t="s">
        <v>1338</v>
      </c>
      <c r="F97" s="73" t="s">
        <v>2192</v>
      </c>
      <c r="G97" s="109" t="s">
        <v>2238</v>
      </c>
      <c r="H97" s="49" t="s">
        <v>1339</v>
      </c>
      <c r="I97" s="48" t="s">
        <v>2239</v>
      </c>
      <c r="J97" s="48" t="s">
        <v>1340</v>
      </c>
      <c r="K97" s="49" t="s">
        <v>1341</v>
      </c>
      <c r="L97" s="48" t="s">
        <v>2228</v>
      </c>
      <c r="M97" s="49" t="s">
        <v>1342</v>
      </c>
      <c r="N97" s="73" t="s">
        <v>2204</v>
      </c>
      <c r="O97" s="50" t="s">
        <v>1335</v>
      </c>
      <c r="P97" s="49" t="s">
        <v>1336</v>
      </c>
      <c r="Q97" s="48" t="s">
        <v>774</v>
      </c>
    </row>
    <row r="98" spans="1:19" s="34" customFormat="1" ht="29.5">
      <c r="A98" s="34">
        <v>94</v>
      </c>
      <c r="B98" s="155">
        <v>2025209441</v>
      </c>
      <c r="C98" s="85" t="s">
        <v>2240</v>
      </c>
      <c r="D98" s="34" t="s">
        <v>2241</v>
      </c>
      <c r="E98" s="88" t="s">
        <v>1344</v>
      </c>
      <c r="F98" s="34" t="s">
        <v>1364</v>
      </c>
      <c r="G98" s="80" t="s">
        <v>2242</v>
      </c>
      <c r="H98" s="89" t="s">
        <v>1345</v>
      </c>
      <c r="I98" s="34" t="e">
        <f>IF(MIS_Backend_Data!#REF!="", "", MIS_Backend_Data!#REF!)</f>
        <v>#REF!</v>
      </c>
      <c r="J98" s="34" t="s">
        <v>41</v>
      </c>
      <c r="K98" s="34" t="s">
        <v>41</v>
      </c>
      <c r="L98" s="34" t="str">
        <f>IF(MIS_Backend_Data!AF97="", "", MIS_Backend_Data!AF97)</f>
        <v>R/o ardeshi Gali, Vaijapur, Tal. Vaijapur Dist. Ch. Sambhajinagar Pin-431001.</v>
      </c>
      <c r="M98" s="34" t="s">
        <v>1346</v>
      </c>
      <c r="N98" s="34" t="e">
        <f>IF(MIS_Backend_Data!#REF!="", "", MIS_Backend_Data!#REF!)</f>
        <v>#REF!</v>
      </c>
      <c r="O98" s="79" t="s">
        <v>1347</v>
      </c>
      <c r="P98" s="80" t="s">
        <v>1348</v>
      </c>
      <c r="Q98" s="34" t="s">
        <v>763</v>
      </c>
    </row>
    <row r="99" spans="1:19" s="30" customFormat="1" ht="30.75" customHeight="1">
      <c r="A99" s="30">
        <v>95</v>
      </c>
      <c r="B99" s="35">
        <v>2025209731</v>
      </c>
      <c r="C99" s="76" t="s">
        <v>2231</v>
      </c>
      <c r="D99" s="108" t="s">
        <v>2243</v>
      </c>
      <c r="E99" s="30" t="s">
        <v>1350</v>
      </c>
      <c r="F99" s="30" t="s">
        <v>1364</v>
      </c>
      <c r="G99" s="80" t="s">
        <v>2244</v>
      </c>
      <c r="H99" s="93" t="s">
        <v>1351</v>
      </c>
      <c r="I99" s="30" t="s">
        <v>1364</v>
      </c>
      <c r="J99" s="30" t="s">
        <v>41</v>
      </c>
      <c r="K99" s="30" t="s">
        <v>41</v>
      </c>
      <c r="L99" s="30" t="str">
        <f>IF(MIS_Backend_Data!AF98="", "", MIS_Backend_Data!AF98)</f>
        <v>NA</v>
      </c>
      <c r="M99" s="31" t="s">
        <v>1352</v>
      </c>
      <c r="N99" s="30" t="s">
        <v>1364</v>
      </c>
      <c r="O99" s="44" t="s">
        <v>1353</v>
      </c>
      <c r="P99" s="31" t="s">
        <v>1354</v>
      </c>
      <c r="Q99" s="34" t="s">
        <v>763</v>
      </c>
    </row>
    <row r="100" spans="1:19" s="30" customFormat="1" ht="31.5" customHeight="1">
      <c r="A100" s="30">
        <v>96</v>
      </c>
      <c r="B100" s="139">
        <v>2025210423</v>
      </c>
      <c r="C100" s="76" t="s">
        <v>2231</v>
      </c>
      <c r="D100" s="74" t="s">
        <v>1355</v>
      </c>
      <c r="E100" s="31" t="s">
        <v>1356</v>
      </c>
      <c r="F100" s="30" t="s">
        <v>1364</v>
      </c>
      <c r="G100" s="74" t="s">
        <v>313</v>
      </c>
      <c r="H100" s="30" t="s">
        <v>1357</v>
      </c>
      <c r="I100" s="30" t="e">
        <f>IF(MIS_Backend_Data!#REF!="", "", MIS_Backend_Data!#REF!)</f>
        <v>#REF!</v>
      </c>
      <c r="J100" s="30" t="s">
        <v>41</v>
      </c>
      <c r="K100" s="30" t="s">
        <v>41</v>
      </c>
      <c r="L100" s="30" t="str">
        <f>IF(MIS_Backend_Data!AF99="", "", MIS_Backend_Data!AF99)</f>
        <v>NA</v>
      </c>
      <c r="M100" s="31" t="s">
        <v>1358</v>
      </c>
      <c r="N100" s="30" t="e">
        <f>IF(MIS_Backend_Data!#REF!="", "", MIS_Backend_Data!#REF!)</f>
        <v>#REF!</v>
      </c>
      <c r="O100" s="44" t="s">
        <v>1359</v>
      </c>
      <c r="P100" s="31" t="s">
        <v>1360</v>
      </c>
      <c r="Q100" s="34" t="s">
        <v>763</v>
      </c>
    </row>
    <row r="101" spans="1:19" s="30" customFormat="1" ht="31.5" customHeight="1">
      <c r="A101" s="30">
        <v>97</v>
      </c>
      <c r="B101" s="139">
        <v>2025210175</v>
      </c>
      <c r="C101" s="76" t="s">
        <v>2231</v>
      </c>
      <c r="D101" s="77" t="s">
        <v>1361</v>
      </c>
      <c r="E101" s="30" t="s">
        <v>1362</v>
      </c>
      <c r="F101" s="30" t="s">
        <v>2245</v>
      </c>
      <c r="G101" s="108" t="s">
        <v>2246</v>
      </c>
      <c r="H101" s="48" t="s">
        <v>1363</v>
      </c>
      <c r="I101" s="48" t="s">
        <v>1364</v>
      </c>
      <c r="J101" s="30" t="s">
        <v>41</v>
      </c>
      <c r="K101" s="30" t="s">
        <v>41</v>
      </c>
      <c r="L101" s="31" t="s">
        <v>1364</v>
      </c>
      <c r="M101" s="31" t="s">
        <v>1365</v>
      </c>
      <c r="N101" s="30" t="s">
        <v>1364</v>
      </c>
      <c r="O101" s="44"/>
      <c r="P101" s="31" t="s">
        <v>1366</v>
      </c>
      <c r="Q101" s="34" t="s">
        <v>763</v>
      </c>
    </row>
    <row r="102" spans="1:19" s="30" customFormat="1" ht="21" customHeight="1">
      <c r="A102" s="30">
        <v>98</v>
      </c>
      <c r="B102" s="140">
        <v>2025210211</v>
      </c>
      <c r="C102" s="76" t="s">
        <v>2231</v>
      </c>
      <c r="D102" s="30" t="s">
        <v>2247</v>
      </c>
      <c r="E102" s="31" t="s">
        <v>1368</v>
      </c>
      <c r="F102" s="30" t="s">
        <v>1364</v>
      </c>
      <c r="G102" s="76" t="s">
        <v>319</v>
      </c>
      <c r="H102" s="30" t="s">
        <v>1369</v>
      </c>
      <c r="I102" s="30" t="s">
        <v>1364</v>
      </c>
      <c r="J102" s="30" t="s">
        <v>41</v>
      </c>
      <c r="K102" s="30" t="s">
        <v>41</v>
      </c>
      <c r="L102" s="30" t="str">
        <f>IF(MIS_Backend_Data!AF101="", "", MIS_Backend_Data!AF101)</f>
        <v>Shivhar Deshmukh</v>
      </c>
      <c r="M102" s="31" t="s">
        <v>2248</v>
      </c>
      <c r="N102" s="30" t="s">
        <v>1364</v>
      </c>
      <c r="O102" s="44" t="s">
        <v>1371</v>
      </c>
      <c r="P102" s="31" t="s">
        <v>1348</v>
      </c>
      <c r="Q102" s="34" t="s">
        <v>763</v>
      </c>
    </row>
    <row r="103" spans="1:19" s="30" customFormat="1" ht="47">
      <c r="A103" s="30">
        <v>99</v>
      </c>
      <c r="B103" s="140">
        <v>2025209709</v>
      </c>
      <c r="C103" s="76" t="s">
        <v>2231</v>
      </c>
      <c r="D103" s="30" t="s">
        <v>2249</v>
      </c>
      <c r="E103" s="31" t="s">
        <v>1373</v>
      </c>
      <c r="F103" s="30" t="s">
        <v>1364</v>
      </c>
      <c r="G103" s="109" t="s">
        <v>2250</v>
      </c>
      <c r="H103" s="48" t="s">
        <v>1374</v>
      </c>
      <c r="I103" s="48" t="s">
        <v>2209</v>
      </c>
      <c r="J103" s="30" t="s">
        <v>41</v>
      </c>
      <c r="K103" s="30" t="s">
        <v>41</v>
      </c>
      <c r="L103" s="30" t="str">
        <f>IF(MIS_Backend_Data!AF102="", "", MIS_Backend_Data!AF102)</f>
        <v>NA</v>
      </c>
      <c r="M103" s="31" t="s">
        <v>1375</v>
      </c>
      <c r="N103" s="30" t="s">
        <v>1364</v>
      </c>
      <c r="O103" s="44" t="s">
        <v>1376</v>
      </c>
      <c r="P103" s="31" t="s">
        <v>1377</v>
      </c>
      <c r="Q103" s="34" t="s">
        <v>763</v>
      </c>
      <c r="S103" s="31" t="s">
        <v>2251</v>
      </c>
    </row>
    <row r="104" spans="1:19" s="48" customFormat="1" ht="31.5">
      <c r="A104" s="48">
        <v>100</v>
      </c>
      <c r="B104" s="141">
        <v>2025210102</v>
      </c>
      <c r="C104" s="94" t="s">
        <v>2231</v>
      </c>
      <c r="D104" s="48" t="s">
        <v>1378</v>
      </c>
      <c r="E104" s="49" t="s">
        <v>1379</v>
      </c>
      <c r="F104" s="48" t="s">
        <v>2252</v>
      </c>
      <c r="G104" s="109" t="s">
        <v>2253</v>
      </c>
      <c r="H104" s="48" t="s">
        <v>1380</v>
      </c>
      <c r="I104" s="48" t="s">
        <v>2252</v>
      </c>
      <c r="J104" s="48" t="s">
        <v>41</v>
      </c>
      <c r="K104" s="48" t="s">
        <v>41</v>
      </c>
      <c r="L104" s="48" t="s">
        <v>2254</v>
      </c>
      <c r="M104" s="49" t="s">
        <v>1381</v>
      </c>
      <c r="N104" s="48" t="s">
        <v>2254</v>
      </c>
      <c r="O104" s="50" t="s">
        <v>1382</v>
      </c>
      <c r="P104" s="49" t="s">
        <v>1323</v>
      </c>
      <c r="Q104" s="48" t="s">
        <v>763</v>
      </c>
    </row>
    <row r="105" spans="1:19" s="30" customFormat="1" ht="32">
      <c r="A105" s="30">
        <v>101</v>
      </c>
      <c r="B105" s="155">
        <v>2025212758</v>
      </c>
      <c r="C105" s="107" t="s">
        <v>2255</v>
      </c>
      <c r="D105" s="30" t="s">
        <v>1383</v>
      </c>
      <c r="E105" s="30" t="s">
        <v>41</v>
      </c>
      <c r="F105" s="30" t="s">
        <v>41</v>
      </c>
      <c r="G105" s="74" t="s">
        <v>328</v>
      </c>
      <c r="H105" s="31" t="s">
        <v>1384</v>
      </c>
      <c r="I105" s="30" t="s">
        <v>1364</v>
      </c>
      <c r="J105" s="30" t="s">
        <v>41</v>
      </c>
      <c r="K105" s="30" t="s">
        <v>41</v>
      </c>
      <c r="L105" s="30" t="str">
        <f>IF(MIS_Backend_Data!AF104="", "", MIS_Backend_Data!AF104)</f>
        <v>NA</v>
      </c>
      <c r="M105" s="31" t="s">
        <v>1385</v>
      </c>
      <c r="N105" s="30" t="e">
        <f>IF(MIS_Backend_Data!#REF!="", "", MIS_Backend_Data!#REF!)</f>
        <v>#REF!</v>
      </c>
      <c r="O105" s="44" t="s">
        <v>1386</v>
      </c>
      <c r="P105" s="31" t="s">
        <v>1387</v>
      </c>
      <c r="Q105" s="30" t="s">
        <v>754</v>
      </c>
    </row>
    <row r="106" spans="1:19" s="30" customFormat="1" ht="18.75" customHeight="1">
      <c r="A106" s="40">
        <v>102</v>
      </c>
      <c r="B106" s="35">
        <v>2025209132</v>
      </c>
      <c r="C106" s="74" t="s">
        <v>2256</v>
      </c>
      <c r="D106" s="91" t="s">
        <v>1389</v>
      </c>
      <c r="E106" s="30" t="s">
        <v>1390</v>
      </c>
      <c r="F106" s="30" t="s">
        <v>2209</v>
      </c>
      <c r="G106" s="76" t="s">
        <v>331</v>
      </c>
      <c r="I106" s="30" t="e">
        <f>IF(MIS_Backend_Data!#REF!="", "", MIS_Backend_Data!#REF!)</f>
        <v>#REF!</v>
      </c>
      <c r="J106" s="30" t="s">
        <v>41</v>
      </c>
      <c r="K106" s="30" t="s">
        <v>41</v>
      </c>
      <c r="L106" s="30" t="str">
        <f>IF(MIS_Backend_Data!AF105="", "", MIS_Backend_Data!AF105)</f>
        <v>NA</v>
      </c>
      <c r="M106" s="31" t="s">
        <v>1391</v>
      </c>
      <c r="N106" s="30" t="e">
        <f>IF(MIS_Backend_Data!#REF!="", "", MIS_Backend_Data!#REF!)</f>
        <v>#REF!</v>
      </c>
      <c r="O106" s="44" t="s">
        <v>41</v>
      </c>
      <c r="P106" s="31" t="s">
        <v>41</v>
      </c>
      <c r="Q106" s="30" t="s">
        <v>41</v>
      </c>
    </row>
    <row r="107" spans="1:19" s="30" customFormat="1" ht="31">
      <c r="A107" s="40">
        <v>103</v>
      </c>
      <c r="B107" s="139">
        <v>2025209145</v>
      </c>
      <c r="C107" s="74" t="s">
        <v>2257</v>
      </c>
      <c r="D107" s="71" t="s">
        <v>1394</v>
      </c>
      <c r="E107" s="30" t="s">
        <v>1390</v>
      </c>
      <c r="F107" s="30" t="s">
        <v>2233</v>
      </c>
      <c r="G107" s="76" t="s">
        <v>331</v>
      </c>
      <c r="I107" s="30" t="e">
        <f>IF(MIS_Backend_Data!#REF!="", "", MIS_Backend_Data!#REF!)</f>
        <v>#REF!</v>
      </c>
      <c r="J107" s="30" t="s">
        <v>41</v>
      </c>
      <c r="K107" s="30" t="s">
        <v>41</v>
      </c>
      <c r="L107" s="30" t="str">
        <f>IF(MIS_Backend_Data!AF106="", "", MIS_Backend_Data!AF106)</f>
        <v>NA</v>
      </c>
      <c r="M107" s="31" t="s">
        <v>1391</v>
      </c>
      <c r="N107" s="30" t="e">
        <f>IF(MIS_Backend_Data!#REF!="", "", MIS_Backend_Data!#REF!)</f>
        <v>#REF!</v>
      </c>
      <c r="O107" s="44" t="s">
        <v>41</v>
      </c>
      <c r="P107" s="31" t="s">
        <v>41</v>
      </c>
      <c r="Q107" s="30" t="s">
        <v>41</v>
      </c>
    </row>
    <row r="108" spans="1:19" s="30" customFormat="1" ht="31.5">
      <c r="A108" s="40">
        <v>104</v>
      </c>
      <c r="B108" s="139">
        <v>2025206806</v>
      </c>
      <c r="C108" s="86" t="s">
        <v>2229</v>
      </c>
      <c r="D108" s="71" t="s">
        <v>2258</v>
      </c>
      <c r="E108" s="30" t="s">
        <v>1396</v>
      </c>
      <c r="F108" s="30" t="s">
        <v>2233</v>
      </c>
      <c r="G108" s="74" t="s">
        <v>2259</v>
      </c>
      <c r="H108" s="31" t="s">
        <v>1397</v>
      </c>
      <c r="I108" s="30" t="s">
        <v>2209</v>
      </c>
      <c r="J108" s="30" t="s">
        <v>41</v>
      </c>
      <c r="K108" s="30" t="s">
        <v>41</v>
      </c>
      <c r="L108" s="30" t="str">
        <f>IF(MIS_Backend_Data!AF107="", "", MIS_Backend_Data!AF107)</f>
        <v>NA</v>
      </c>
      <c r="M108" s="31" t="s">
        <v>1391</v>
      </c>
      <c r="N108" s="30" t="s">
        <v>2233</v>
      </c>
      <c r="O108" s="44" t="s">
        <v>1392</v>
      </c>
      <c r="P108" s="31" t="s">
        <v>1393</v>
      </c>
      <c r="Q108" s="30" t="s">
        <v>871</v>
      </c>
    </row>
    <row r="109" spans="1:19" s="30" customFormat="1" ht="31">
      <c r="A109" s="40">
        <v>105</v>
      </c>
      <c r="B109" s="139">
        <v>2025210434</v>
      </c>
      <c r="C109" s="74" t="s">
        <v>2260</v>
      </c>
      <c r="D109" s="111" t="s">
        <v>2261</v>
      </c>
      <c r="E109" s="30" t="s">
        <v>1401</v>
      </c>
      <c r="F109" s="30" t="s">
        <v>1364</v>
      </c>
      <c r="G109" s="74" t="s">
        <v>338</v>
      </c>
      <c r="I109" s="30" t="e">
        <f>IF(MIS_Backend_Data!#REF!="", "", MIS_Backend_Data!#REF!)</f>
        <v>#REF!</v>
      </c>
      <c r="J109" s="30" t="s">
        <v>41</v>
      </c>
      <c r="K109" s="30" t="s">
        <v>41</v>
      </c>
      <c r="L109" s="30" t="str">
        <f>IF(MIS_Backend_Data!AF108="", "", MIS_Backend_Data!AF108)</f>
        <v>NA</v>
      </c>
      <c r="M109" s="31" t="s">
        <v>1402</v>
      </c>
      <c r="N109" s="30" t="e">
        <f>IF(MIS_Backend_Data!#REF!="", "", MIS_Backend_Data!#REF!)</f>
        <v>#REF!</v>
      </c>
      <c r="O109" s="44" t="s">
        <v>41</v>
      </c>
      <c r="P109" s="31" t="s">
        <v>41</v>
      </c>
      <c r="Q109" s="30" t="s">
        <v>41</v>
      </c>
    </row>
    <row r="110" spans="1:19" s="30" customFormat="1" ht="32">
      <c r="A110" s="40">
        <v>106</v>
      </c>
      <c r="B110" s="139">
        <v>2025209745</v>
      </c>
      <c r="C110" s="87" t="s">
        <v>2262</v>
      </c>
      <c r="D110" s="71" t="s">
        <v>1404</v>
      </c>
      <c r="E110" s="30" t="s">
        <v>1405</v>
      </c>
      <c r="F110" s="30" t="s">
        <v>1364</v>
      </c>
      <c r="G110" s="76" t="s">
        <v>341</v>
      </c>
      <c r="H110" s="31" t="s">
        <v>1406</v>
      </c>
      <c r="I110" s="30" t="e">
        <f>IF(MIS_Backend_Data!#REF!="", "", MIS_Backend_Data!#REF!)</f>
        <v>#REF!</v>
      </c>
      <c r="J110" s="30" t="s">
        <v>41</v>
      </c>
      <c r="K110" s="30" t="s">
        <v>41</v>
      </c>
      <c r="L110" s="30" t="str">
        <f>IF(MIS_Backend_Data!AF109="", "", MIS_Backend_Data!AF109)</f>
        <v>NA</v>
      </c>
      <c r="M110" s="30" t="s">
        <v>1407</v>
      </c>
      <c r="N110" s="30" t="e">
        <f>IF(MIS_Backend_Data!#REF!="", "", MIS_Backend_Data!#REF!)</f>
        <v>#REF!</v>
      </c>
      <c r="O110" s="44" t="s">
        <v>41</v>
      </c>
      <c r="P110" s="31" t="s">
        <v>41</v>
      </c>
      <c r="Q110" s="30" t="s">
        <v>41</v>
      </c>
    </row>
    <row r="111" spans="1:19" s="52" customFormat="1" ht="15.5">
      <c r="A111" s="90">
        <v>107</v>
      </c>
      <c r="B111" s="139">
        <v>2023210048</v>
      </c>
      <c r="C111" s="76" t="s">
        <v>1411</v>
      </c>
      <c r="D111" s="92" t="s">
        <v>41</v>
      </c>
      <c r="E111" s="52" t="s">
        <v>41</v>
      </c>
      <c r="F111" s="52" t="e">
        <f>IF(MIS_Backend_Data!#REF!="", "", MIS_Backend_Data!#REF!)</f>
        <v>#REF!</v>
      </c>
      <c r="G111" s="82" t="s">
        <v>344</v>
      </c>
      <c r="H111" s="52" t="s">
        <v>41</v>
      </c>
      <c r="I111" s="52" t="e">
        <f>IF(MIS_Backend_Data!#REF!="", "", MIS_Backend_Data!#REF!)</f>
        <v>#REF!</v>
      </c>
      <c r="J111" s="52" t="s">
        <v>1412</v>
      </c>
      <c r="K111" s="52" t="s">
        <v>1413</v>
      </c>
      <c r="L111" s="96" t="s">
        <v>1364</v>
      </c>
      <c r="M111" s="52" t="s">
        <v>66</v>
      </c>
      <c r="N111" s="52" t="s">
        <v>41</v>
      </c>
      <c r="O111" s="53" t="s">
        <v>41</v>
      </c>
      <c r="P111" s="52" t="s">
        <v>41</v>
      </c>
      <c r="Q111" s="52" t="s">
        <v>41</v>
      </c>
    </row>
    <row r="112" spans="1:19" s="30" customFormat="1" ht="31">
      <c r="A112" s="40">
        <v>108</v>
      </c>
      <c r="B112" s="139">
        <v>2023202836</v>
      </c>
      <c r="C112" s="106" t="s">
        <v>2263</v>
      </c>
      <c r="D112" s="71" t="s">
        <v>1414</v>
      </c>
      <c r="E112" s="31" t="s">
        <v>1415</v>
      </c>
      <c r="F112" s="30" t="s">
        <v>1364</v>
      </c>
      <c r="G112" s="83" t="s">
        <v>347</v>
      </c>
      <c r="H112" s="30" t="s">
        <v>41</v>
      </c>
      <c r="I112" s="30" t="e">
        <f>IF(MIS_Backend_Data!#REF!="", "", MIS_Backend_Data!#REF!)</f>
        <v>#REF!</v>
      </c>
      <c r="J112" s="30" t="s">
        <v>41</v>
      </c>
      <c r="K112" s="30" t="s">
        <v>41</v>
      </c>
      <c r="L112" s="30" t="s">
        <v>41</v>
      </c>
      <c r="M112" s="31" t="s">
        <v>1416</v>
      </c>
      <c r="N112" s="30" t="s">
        <v>41</v>
      </c>
      <c r="O112" s="44" t="s">
        <v>41</v>
      </c>
      <c r="P112" s="31" t="s">
        <v>41</v>
      </c>
      <c r="Q112" s="30" t="s">
        <v>41</v>
      </c>
    </row>
    <row r="113" spans="1:19" s="48" customFormat="1" ht="43.5">
      <c r="A113" s="48">
        <v>109</v>
      </c>
      <c r="B113" s="173" t="s">
        <v>352</v>
      </c>
      <c r="C113" s="123" t="s">
        <v>2229</v>
      </c>
      <c r="D113" s="48" t="s">
        <v>1419</v>
      </c>
      <c r="E113" s="49" t="s">
        <v>1420</v>
      </c>
      <c r="F113" s="49" t="s">
        <v>2192</v>
      </c>
      <c r="G113" s="48" t="s">
        <v>350</v>
      </c>
      <c r="H113" s="48" t="s">
        <v>1421</v>
      </c>
      <c r="I113" s="48" t="s">
        <v>2264</v>
      </c>
      <c r="J113" s="48" t="s">
        <v>41</v>
      </c>
      <c r="K113" s="48" t="s">
        <v>41</v>
      </c>
      <c r="L113" s="48" t="s">
        <v>41</v>
      </c>
      <c r="M113" s="49" t="s">
        <v>1422</v>
      </c>
      <c r="N113" s="48" t="s">
        <v>41</v>
      </c>
      <c r="O113" s="50" t="s">
        <v>1423</v>
      </c>
      <c r="P113" s="49" t="s">
        <v>1424</v>
      </c>
      <c r="Q113" s="48" t="s">
        <v>1425</v>
      </c>
    </row>
    <row r="114" spans="1:19" s="30" customFormat="1" ht="43.5">
      <c r="A114" s="30">
        <v>110</v>
      </c>
      <c r="B114" s="144" t="s">
        <v>355</v>
      </c>
      <c r="C114" s="85" t="s">
        <v>2229</v>
      </c>
      <c r="D114" s="30" t="s">
        <v>1426</v>
      </c>
      <c r="E114" s="30" t="s">
        <v>1427</v>
      </c>
      <c r="F114" s="31" t="s">
        <v>2209</v>
      </c>
      <c r="G114" s="30" t="s">
        <v>353</v>
      </c>
      <c r="H114" s="30" t="s">
        <v>1428</v>
      </c>
      <c r="I114" s="30" t="s">
        <v>2233</v>
      </c>
      <c r="J114" s="30" t="s">
        <v>41</v>
      </c>
      <c r="K114" s="30" t="s">
        <v>41</v>
      </c>
      <c r="L114" s="30" t="s">
        <v>41</v>
      </c>
      <c r="M114" s="31" t="s">
        <v>1429</v>
      </c>
      <c r="N114" s="30" t="s">
        <v>2233</v>
      </c>
      <c r="O114" s="44" t="s">
        <v>1430</v>
      </c>
      <c r="P114" s="31" t="s">
        <v>1431</v>
      </c>
      <c r="Q114" s="30" t="s">
        <v>963</v>
      </c>
    </row>
    <row r="115" spans="1:19" s="48" customFormat="1" ht="22.5" customHeight="1">
      <c r="A115" s="124">
        <v>111</v>
      </c>
      <c r="B115" s="156" t="s">
        <v>358</v>
      </c>
      <c r="C115" s="125" t="s">
        <v>2229</v>
      </c>
      <c r="D115" s="48" t="s">
        <v>1432</v>
      </c>
      <c r="E115" s="49" t="s">
        <v>1433</v>
      </c>
      <c r="F115" s="49" t="s">
        <v>2265</v>
      </c>
      <c r="G115" s="48" t="s">
        <v>356</v>
      </c>
      <c r="H115" s="48" t="s">
        <v>1434</v>
      </c>
      <c r="I115" s="48" t="s">
        <v>1436</v>
      </c>
      <c r="J115" s="48" t="s">
        <v>41</v>
      </c>
      <c r="K115" s="48" t="s">
        <v>41</v>
      </c>
      <c r="L115" s="48" t="s">
        <v>1436</v>
      </c>
      <c r="M115" s="48" t="s">
        <v>1437</v>
      </c>
      <c r="N115" s="48" t="s">
        <v>1436</v>
      </c>
      <c r="O115" s="50" t="s">
        <v>1438</v>
      </c>
      <c r="P115" s="49" t="s">
        <v>1439</v>
      </c>
      <c r="Q115" s="48" t="s">
        <v>1440</v>
      </c>
      <c r="S115" s="128" t="s">
        <v>2266</v>
      </c>
    </row>
    <row r="116" spans="1:19" s="48" customFormat="1" ht="15.5">
      <c r="A116" s="124">
        <v>112</v>
      </c>
      <c r="B116" s="156" t="s">
        <v>361</v>
      </c>
      <c r="C116" s="125" t="s">
        <v>2267</v>
      </c>
      <c r="D116" s="48" t="s">
        <v>1442</v>
      </c>
      <c r="E116" s="48" t="s">
        <v>1443</v>
      </c>
      <c r="F116" s="49" t="s">
        <v>2268</v>
      </c>
      <c r="G116" s="48" t="s">
        <v>359</v>
      </c>
      <c r="H116" s="48" t="s">
        <v>1446</v>
      </c>
      <c r="I116" s="48" t="s">
        <v>41</v>
      </c>
      <c r="J116" s="48" t="s">
        <v>41</v>
      </c>
      <c r="K116" s="48" t="s">
        <v>41</v>
      </c>
      <c r="L116" s="48" t="s">
        <v>41</v>
      </c>
      <c r="M116" s="49" t="s">
        <v>1448</v>
      </c>
      <c r="N116" s="48" t="s">
        <v>41</v>
      </c>
      <c r="O116" s="50" t="s">
        <v>41</v>
      </c>
      <c r="P116" s="49" t="s">
        <v>41</v>
      </c>
      <c r="Q116" s="48" t="s">
        <v>41</v>
      </c>
    </row>
    <row r="117" spans="1:19" s="48" customFormat="1" ht="14.5">
      <c r="A117" s="124">
        <v>113</v>
      </c>
      <c r="B117" s="156" t="s">
        <v>364</v>
      </c>
      <c r="C117" s="126" t="s">
        <v>2269</v>
      </c>
      <c r="D117" s="48" t="s">
        <v>41</v>
      </c>
      <c r="E117" s="48" t="s">
        <v>41</v>
      </c>
      <c r="F117" s="48" t="s">
        <v>41</v>
      </c>
      <c r="G117" s="48" t="s">
        <v>362</v>
      </c>
      <c r="H117" s="48" t="s">
        <v>1454</v>
      </c>
      <c r="I117" s="48" t="s">
        <v>1236</v>
      </c>
      <c r="J117" s="48" t="s">
        <v>41</v>
      </c>
      <c r="K117" s="48" t="s">
        <v>41</v>
      </c>
      <c r="L117" s="48" t="s">
        <v>41</v>
      </c>
      <c r="M117" s="48" t="s">
        <v>41</v>
      </c>
      <c r="N117" s="48" t="s">
        <v>41</v>
      </c>
      <c r="O117" s="48" t="s">
        <v>41</v>
      </c>
      <c r="P117" s="48" t="s">
        <v>41</v>
      </c>
      <c r="Q117" s="48" t="s">
        <v>41</v>
      </c>
    </row>
    <row r="118" spans="1:19" s="30" customFormat="1" ht="42" customHeight="1">
      <c r="A118" s="30">
        <v>114</v>
      </c>
      <c r="B118" s="157">
        <v>2002429</v>
      </c>
      <c r="C118" s="85" t="s">
        <v>2229</v>
      </c>
      <c r="D118" s="30" t="s">
        <v>1455</v>
      </c>
      <c r="E118" s="31" t="s">
        <v>1456</v>
      </c>
      <c r="F118" s="31" t="s">
        <v>1436</v>
      </c>
      <c r="G118" s="30" t="s">
        <v>365</v>
      </c>
      <c r="H118" s="31" t="s">
        <v>1457</v>
      </c>
      <c r="I118" s="31" t="s">
        <v>1436</v>
      </c>
      <c r="J118" s="30" t="s">
        <v>41</v>
      </c>
      <c r="K118" s="30" t="s">
        <v>41</v>
      </c>
      <c r="L118" s="31" t="s">
        <v>1436</v>
      </c>
      <c r="M118" s="30" t="s">
        <v>1458</v>
      </c>
      <c r="N118" s="31" t="s">
        <v>1436</v>
      </c>
      <c r="O118" s="30" t="s">
        <v>1459</v>
      </c>
      <c r="P118" s="31" t="s">
        <v>1460</v>
      </c>
      <c r="Q118" s="30" t="s">
        <v>1461</v>
      </c>
    </row>
    <row r="119" spans="1:19" s="30" customFormat="1" ht="50.25" customHeight="1">
      <c r="A119" s="30">
        <v>115</v>
      </c>
      <c r="B119" s="35">
        <v>2745855</v>
      </c>
      <c r="C119" s="85" t="s">
        <v>2229</v>
      </c>
      <c r="D119" s="30" t="s">
        <v>1463</v>
      </c>
      <c r="E119" s="31" t="s">
        <v>1464</v>
      </c>
      <c r="F119" s="31" t="s">
        <v>1436</v>
      </c>
      <c r="G119" s="36" t="s">
        <v>369</v>
      </c>
      <c r="H119" s="31" t="s">
        <v>1465</v>
      </c>
      <c r="I119" s="31" t="s">
        <v>1436</v>
      </c>
      <c r="J119" s="30" t="s">
        <v>41</v>
      </c>
      <c r="K119" s="30" t="s">
        <v>41</v>
      </c>
      <c r="L119" s="31" t="s">
        <v>1436</v>
      </c>
      <c r="M119" s="31" t="s">
        <v>1466</v>
      </c>
      <c r="N119" s="31" t="s">
        <v>1436</v>
      </c>
      <c r="O119" s="44" t="s">
        <v>1467</v>
      </c>
      <c r="P119" s="31" t="s">
        <v>1468</v>
      </c>
      <c r="Q119" s="30" t="s">
        <v>1461</v>
      </c>
    </row>
    <row r="120" spans="1:19" s="30" customFormat="1" ht="31">
      <c r="A120" s="30">
        <v>116</v>
      </c>
      <c r="B120" s="35">
        <v>2748309</v>
      </c>
      <c r="C120" s="110" t="s">
        <v>2270</v>
      </c>
      <c r="D120" s="30" t="s">
        <v>1470</v>
      </c>
      <c r="E120" s="31" t="s">
        <v>1471</v>
      </c>
      <c r="F120" s="31" t="s">
        <v>1436</v>
      </c>
      <c r="G120" s="36" t="s">
        <v>372</v>
      </c>
      <c r="H120" s="31" t="s">
        <v>1472</v>
      </c>
      <c r="I120" s="31" t="s">
        <v>1436</v>
      </c>
      <c r="J120" s="30" t="s">
        <v>41</v>
      </c>
      <c r="K120" s="30" t="s">
        <v>41</v>
      </c>
      <c r="L120" s="31" t="s">
        <v>1436</v>
      </c>
      <c r="M120" s="31" t="s">
        <v>1473</v>
      </c>
      <c r="N120" s="31" t="s">
        <v>1436</v>
      </c>
      <c r="O120" s="44" t="s">
        <v>1474</v>
      </c>
      <c r="P120" s="31" t="s">
        <v>1475</v>
      </c>
      <c r="Q120" s="95" t="s">
        <v>837</v>
      </c>
    </row>
    <row r="121" spans="1:19" s="30" customFormat="1" ht="29">
      <c r="A121" s="30">
        <v>117</v>
      </c>
      <c r="B121" s="144">
        <v>2748311</v>
      </c>
      <c r="C121" s="85" t="s">
        <v>1286</v>
      </c>
      <c r="D121" s="34" t="s">
        <v>1477</v>
      </c>
      <c r="E121" s="80" t="s">
        <v>1471</v>
      </c>
      <c r="F121" s="31" t="s">
        <v>1436</v>
      </c>
      <c r="G121" s="81" t="s">
        <v>372</v>
      </c>
      <c r="H121" s="80" t="s">
        <v>1472</v>
      </c>
      <c r="I121" s="31" t="s">
        <v>1436</v>
      </c>
      <c r="J121" s="34" t="s">
        <v>41</v>
      </c>
      <c r="K121" s="34" t="s">
        <v>41</v>
      </c>
      <c r="L121" s="31" t="s">
        <v>1436</v>
      </c>
      <c r="M121" s="80" t="s">
        <v>1473</v>
      </c>
      <c r="N121" s="31" t="s">
        <v>1436</v>
      </c>
      <c r="O121" s="79" t="s">
        <v>1474</v>
      </c>
      <c r="P121" s="80" t="s">
        <v>1475</v>
      </c>
      <c r="Q121" s="97" t="s">
        <v>837</v>
      </c>
      <c r="R121" s="34"/>
      <c r="S121" s="34"/>
    </row>
    <row r="122" spans="1:19" ht="44.25" customHeight="1">
      <c r="A122">
        <v>118</v>
      </c>
      <c r="B122" s="35">
        <v>2748142</v>
      </c>
      <c r="C122" s="76" t="s">
        <v>2229</v>
      </c>
      <c r="D122" s="30" t="s">
        <v>1478</v>
      </c>
      <c r="E122" s="31" t="s">
        <v>1479</v>
      </c>
      <c r="F122" s="31" t="s">
        <v>1436</v>
      </c>
      <c r="G122" s="31" t="s">
        <v>377</v>
      </c>
      <c r="H122" s="31" t="s">
        <v>1480</v>
      </c>
      <c r="I122" s="31" t="s">
        <v>1436</v>
      </c>
      <c r="J122" s="30" t="s">
        <v>721</v>
      </c>
      <c r="K122" s="30" t="s">
        <v>41</v>
      </c>
      <c r="L122" s="31" t="s">
        <v>1436</v>
      </c>
      <c r="M122" s="31" t="s">
        <v>1481</v>
      </c>
      <c r="N122" s="31" t="s">
        <v>1436</v>
      </c>
      <c r="O122" s="44" t="s">
        <v>1482</v>
      </c>
      <c r="P122" s="31" t="s">
        <v>1483</v>
      </c>
      <c r="Q122" s="98" t="s">
        <v>837</v>
      </c>
      <c r="R122" s="30"/>
      <c r="S122" s="30"/>
    </row>
    <row r="123" spans="1:19" ht="45" customHeight="1">
      <c r="B123" s="158">
        <v>2025212933</v>
      </c>
      <c r="C123" s="76" t="s">
        <v>2271</v>
      </c>
      <c r="D123" s="36" t="s">
        <v>1485</v>
      </c>
      <c r="E123" s="171" t="s">
        <v>1486</v>
      </c>
      <c r="F123" s="36" t="s">
        <v>2272</v>
      </c>
      <c r="G123" s="36" t="s">
        <v>380</v>
      </c>
      <c r="H123" s="41" t="s">
        <v>1487</v>
      </c>
      <c r="I123" s="41" t="s">
        <v>2209</v>
      </c>
      <c r="J123" s="36" t="s">
        <v>721</v>
      </c>
      <c r="K123" s="36" t="s">
        <v>41</v>
      </c>
      <c r="L123" s="36" t="s">
        <v>41</v>
      </c>
      <c r="M123" s="112" t="s">
        <v>1488</v>
      </c>
      <c r="N123" s="36" t="s">
        <v>2273</v>
      </c>
      <c r="O123" s="36" t="s">
        <v>1489</v>
      </c>
      <c r="P123" s="112" t="s">
        <v>1490</v>
      </c>
      <c r="Q123" s="70" t="s">
        <v>963</v>
      </c>
      <c r="R123" s="30"/>
      <c r="S123" s="30"/>
    </row>
    <row r="124" spans="1:19" ht="31.5" customHeight="1">
      <c r="A124">
        <v>120</v>
      </c>
      <c r="B124" s="159">
        <v>2025210107</v>
      </c>
      <c r="C124" s="56" t="s">
        <v>1491</v>
      </c>
      <c r="D124" s="112" t="s">
        <v>41</v>
      </c>
      <c r="E124" s="112" t="s">
        <v>41</v>
      </c>
      <c r="F124" s="112" t="s">
        <v>41</v>
      </c>
      <c r="G124" s="112" t="s">
        <v>41</v>
      </c>
      <c r="H124" s="112" t="s">
        <v>41</v>
      </c>
      <c r="I124" s="112" t="s">
        <v>41</v>
      </c>
      <c r="J124" s="112" t="s">
        <v>41</v>
      </c>
      <c r="K124" s="112" t="s">
        <v>41</v>
      </c>
      <c r="L124" s="112" t="s">
        <v>41</v>
      </c>
      <c r="M124" s="112" t="s">
        <v>1488</v>
      </c>
      <c r="N124" s="36" t="s">
        <v>41</v>
      </c>
      <c r="O124" s="36" t="s">
        <v>41</v>
      </c>
      <c r="P124" s="112" t="s">
        <v>41</v>
      </c>
      <c r="Q124" s="70" t="s">
        <v>41</v>
      </c>
      <c r="R124" s="30"/>
      <c r="S124" s="30"/>
    </row>
    <row r="125" spans="1:19" ht="24" customHeight="1">
      <c r="A125">
        <v>121</v>
      </c>
      <c r="B125" s="159">
        <v>2022213651</v>
      </c>
      <c r="C125" s="36" t="s">
        <v>2212</v>
      </c>
      <c r="D125" s="112" t="s">
        <v>41</v>
      </c>
      <c r="E125" s="112" t="s">
        <v>41</v>
      </c>
      <c r="F125" s="112" t="s">
        <v>41</v>
      </c>
      <c r="G125" s="112" t="s">
        <v>41</v>
      </c>
      <c r="H125" s="112" t="s">
        <v>41</v>
      </c>
      <c r="I125" s="112" t="s">
        <v>41</v>
      </c>
      <c r="J125" s="112" t="s">
        <v>41</v>
      </c>
      <c r="K125" s="112" t="s">
        <v>41</v>
      </c>
      <c r="L125" s="112" t="s">
        <v>41</v>
      </c>
      <c r="M125" s="112" t="s">
        <v>41</v>
      </c>
      <c r="N125" s="36" t="s">
        <v>41</v>
      </c>
      <c r="O125" s="36"/>
      <c r="P125" s="36"/>
      <c r="Q125" s="70"/>
      <c r="R125" s="30"/>
      <c r="S125" s="30"/>
    </row>
    <row r="126" spans="1:19" ht="43.5">
      <c r="A126">
        <v>122</v>
      </c>
      <c r="B126" s="158">
        <v>2025212966</v>
      </c>
      <c r="C126" s="75" t="s">
        <v>2271</v>
      </c>
      <c r="D126" s="36" t="s">
        <v>1494</v>
      </c>
      <c r="E126" s="112" t="s">
        <v>1495</v>
      </c>
      <c r="F126" s="36" t="s">
        <v>2117</v>
      </c>
      <c r="G126" s="36" t="s">
        <v>386</v>
      </c>
      <c r="H126" s="36" t="s">
        <v>1496</v>
      </c>
      <c r="I126" s="36" t="s">
        <v>829</v>
      </c>
      <c r="J126" s="36" t="s">
        <v>41</v>
      </c>
      <c r="K126" s="36" t="s">
        <v>41</v>
      </c>
      <c r="L126" s="36" t="str">
        <f>IF(MIS_Backend_Data!AF125="", "", MIS_Backend_Data!AF125)</f>
        <v>NA</v>
      </c>
      <c r="M126" s="112" t="s">
        <v>1497</v>
      </c>
      <c r="N126" s="36" t="s">
        <v>2274</v>
      </c>
      <c r="O126" s="36" t="s">
        <v>1498</v>
      </c>
      <c r="P126" s="112" t="s">
        <v>1499</v>
      </c>
      <c r="Q126" s="70" t="s">
        <v>1500</v>
      </c>
      <c r="R126" s="30"/>
      <c r="S126" s="30"/>
    </row>
    <row r="127" spans="1:19" ht="29">
      <c r="A127">
        <v>123</v>
      </c>
      <c r="B127" s="158">
        <v>2025212965</v>
      </c>
      <c r="C127" s="75" t="s">
        <v>2271</v>
      </c>
      <c r="D127" s="36" t="s">
        <v>1501</v>
      </c>
      <c r="E127" s="36" t="s">
        <v>1502</v>
      </c>
      <c r="F127" s="36" t="s">
        <v>756</v>
      </c>
      <c r="G127" s="36" t="s">
        <v>389</v>
      </c>
      <c r="H127" s="36" t="s">
        <v>1503</v>
      </c>
      <c r="I127" s="36" t="s">
        <v>756</v>
      </c>
      <c r="J127" s="36" t="s">
        <v>41</v>
      </c>
      <c r="K127" s="36" t="s">
        <v>41</v>
      </c>
      <c r="L127" s="36" t="s">
        <v>41</v>
      </c>
      <c r="M127" s="112" t="s">
        <v>2275</v>
      </c>
      <c r="N127" s="36" t="s">
        <v>756</v>
      </c>
      <c r="O127" s="36" t="s">
        <v>1504</v>
      </c>
      <c r="P127" s="112" t="s">
        <v>1505</v>
      </c>
      <c r="Q127" s="70" t="s">
        <v>754</v>
      </c>
      <c r="R127" s="30"/>
      <c r="S127" s="30"/>
    </row>
    <row r="128" spans="1:19" ht="29">
      <c r="A128">
        <v>124</v>
      </c>
      <c r="B128" s="35">
        <v>2025212927</v>
      </c>
      <c r="C128" s="75" t="s">
        <v>2271</v>
      </c>
      <c r="D128" s="31" t="s">
        <v>1506</v>
      </c>
      <c r="E128" s="30" t="s">
        <v>1507</v>
      </c>
      <c r="F128" s="36" t="s">
        <v>2276</v>
      </c>
      <c r="G128" s="36" t="s">
        <v>392</v>
      </c>
      <c r="H128" s="112" t="s">
        <v>1508</v>
      </c>
      <c r="I128" s="36" t="s">
        <v>2276</v>
      </c>
      <c r="J128" s="36" t="s">
        <v>41</v>
      </c>
      <c r="K128" s="36" t="s">
        <v>41</v>
      </c>
      <c r="L128" s="36" t="s">
        <v>41</v>
      </c>
      <c r="M128" s="31" t="s">
        <v>1509</v>
      </c>
      <c r="N128" s="36" t="s">
        <v>2276</v>
      </c>
      <c r="O128" s="44" t="s">
        <v>1510</v>
      </c>
      <c r="P128" s="31" t="s">
        <v>1511</v>
      </c>
      <c r="Q128" s="70" t="s">
        <v>763</v>
      </c>
      <c r="R128" s="30"/>
      <c r="S128" s="30"/>
    </row>
    <row r="129" spans="1:25" ht="29.25" customHeight="1">
      <c r="A129">
        <v>125</v>
      </c>
      <c r="B129" s="35">
        <v>2025212925</v>
      </c>
      <c r="C129" s="56" t="s">
        <v>2277</v>
      </c>
      <c r="D129" s="36" t="s">
        <v>1512</v>
      </c>
      <c r="E129" s="36" t="s">
        <v>1513</v>
      </c>
      <c r="F129" s="36" t="s">
        <v>2276</v>
      </c>
      <c r="G129" s="36" t="s">
        <v>395</v>
      </c>
      <c r="H129" s="112" t="s">
        <v>1514</v>
      </c>
      <c r="I129" s="36" t="s">
        <v>2276</v>
      </c>
      <c r="J129" s="36" t="s">
        <v>41</v>
      </c>
      <c r="K129" s="36" t="s">
        <v>41</v>
      </c>
      <c r="L129" s="36" t="s">
        <v>41</v>
      </c>
      <c r="M129" s="112" t="s">
        <v>1515</v>
      </c>
      <c r="N129" s="36" t="s">
        <v>2276</v>
      </c>
      <c r="O129" s="36" t="s">
        <v>1516</v>
      </c>
      <c r="P129" s="112" t="s">
        <v>1517</v>
      </c>
      <c r="Q129" s="70" t="s">
        <v>763</v>
      </c>
      <c r="R129" s="36"/>
      <c r="S129" s="36"/>
      <c r="T129" s="42"/>
      <c r="U129" s="42"/>
      <c r="V129" s="42"/>
      <c r="W129" s="42"/>
      <c r="X129" s="42"/>
      <c r="Y129" s="42"/>
    </row>
    <row r="130" spans="1:25" ht="29">
      <c r="A130">
        <v>126</v>
      </c>
      <c r="B130" s="35">
        <v>2752072</v>
      </c>
      <c r="C130" s="84" t="s">
        <v>2229</v>
      </c>
      <c r="D130" s="36" t="s">
        <v>1518</v>
      </c>
      <c r="E130" s="36" t="s">
        <v>1519</v>
      </c>
      <c r="F130" s="36" t="s">
        <v>41</v>
      </c>
      <c r="G130" s="36" t="s">
        <v>398</v>
      </c>
      <c r="H130" s="41" t="s">
        <v>1520</v>
      </c>
      <c r="I130" s="41" t="s">
        <v>41</v>
      </c>
      <c r="J130" s="36" t="s">
        <v>398</v>
      </c>
      <c r="K130" s="36" t="s">
        <v>1520</v>
      </c>
      <c r="L130" s="36" t="s">
        <v>41</v>
      </c>
      <c r="M130" s="112" t="s">
        <v>1521</v>
      </c>
      <c r="N130" s="36" t="s">
        <v>41</v>
      </c>
      <c r="O130" s="36" t="s">
        <v>1522</v>
      </c>
      <c r="P130" s="112" t="s">
        <v>1523</v>
      </c>
      <c r="Q130" s="70" t="s">
        <v>924</v>
      </c>
      <c r="R130" s="30"/>
      <c r="S130" s="30"/>
    </row>
    <row r="131" spans="1:25" ht="44">
      <c r="B131" s="144">
        <v>2312792</v>
      </c>
      <c r="C131" s="129" t="s">
        <v>2278</v>
      </c>
      <c r="D131" s="130" t="s">
        <v>2279</v>
      </c>
      <c r="E131" s="81" t="s">
        <v>41</v>
      </c>
      <c r="F131" s="81" t="s">
        <v>2280</v>
      </c>
      <c r="G131" s="81" t="s">
        <v>41</v>
      </c>
      <c r="H131" s="81" t="s">
        <v>41</v>
      </c>
      <c r="I131" s="81" t="s">
        <v>41</v>
      </c>
      <c r="J131" s="81" t="s">
        <v>41</v>
      </c>
      <c r="K131" s="81" t="s">
        <v>41</v>
      </c>
      <c r="L131" s="81" t="s">
        <v>41</v>
      </c>
      <c r="M131" s="81" t="s">
        <v>41</v>
      </c>
      <c r="N131" s="81" t="s">
        <v>41</v>
      </c>
      <c r="O131" s="81" t="s">
        <v>41</v>
      </c>
      <c r="P131" s="81" t="s">
        <v>41</v>
      </c>
      <c r="Q131" s="131" t="s">
        <v>41</v>
      </c>
      <c r="R131" s="34"/>
      <c r="S131" s="34"/>
    </row>
    <row r="132" spans="1:25" ht="29">
      <c r="B132" s="35" t="s">
        <v>405</v>
      </c>
      <c r="C132" s="76" t="s">
        <v>2229</v>
      </c>
      <c r="D132" s="31" t="s">
        <v>1527</v>
      </c>
      <c r="E132" s="30" t="s">
        <v>1528</v>
      </c>
      <c r="F132" s="30" t="s">
        <v>2254</v>
      </c>
      <c r="G132" s="30" t="s">
        <v>403</v>
      </c>
      <c r="H132" s="31" t="s">
        <v>1529</v>
      </c>
      <c r="I132" s="30" t="s">
        <v>1236</v>
      </c>
      <c r="J132" s="30" t="s">
        <v>41</v>
      </c>
      <c r="K132" s="30" t="s">
        <v>41</v>
      </c>
      <c r="L132" s="30" t="s">
        <v>41</v>
      </c>
      <c r="M132" s="31" t="s">
        <v>1531</v>
      </c>
      <c r="N132" s="30" t="s">
        <v>1236</v>
      </c>
      <c r="O132" s="30" t="s">
        <v>1532</v>
      </c>
      <c r="P132" s="31" t="s">
        <v>1323</v>
      </c>
      <c r="Q132" s="30" t="s">
        <v>763</v>
      </c>
      <c r="R132" s="30"/>
      <c r="S132" s="40"/>
    </row>
    <row r="133" spans="1:25" ht="29">
      <c r="A133">
        <v>129</v>
      </c>
      <c r="B133" s="144" t="s">
        <v>407</v>
      </c>
      <c r="C133" s="34" t="s">
        <v>2093</v>
      </c>
      <c r="D133" s="34" t="s">
        <v>41</v>
      </c>
      <c r="E133" s="34" t="s">
        <v>41</v>
      </c>
      <c r="F133" s="34" t="s">
        <v>41</v>
      </c>
      <c r="G133" s="34" t="s">
        <v>41</v>
      </c>
      <c r="H133" s="34" t="s">
        <v>41</v>
      </c>
      <c r="I133" s="34" t="s">
        <v>41</v>
      </c>
      <c r="J133" s="34" t="s">
        <v>41</v>
      </c>
      <c r="K133" s="34" t="s">
        <v>41</v>
      </c>
      <c r="L133" s="34" t="s">
        <v>41</v>
      </c>
      <c r="M133" s="34" t="s">
        <v>41</v>
      </c>
      <c r="N133" s="34" t="s">
        <v>41</v>
      </c>
      <c r="O133" s="34" t="s">
        <v>1533</v>
      </c>
      <c r="P133" s="80" t="s">
        <v>1534</v>
      </c>
      <c r="Q133" s="34" t="s">
        <v>741</v>
      </c>
      <c r="R133" s="30"/>
      <c r="S133" s="40"/>
    </row>
    <row r="134" spans="1:25" ht="29">
      <c r="B134" s="35">
        <v>2023209914</v>
      </c>
      <c r="C134" s="34" t="s">
        <v>2093</v>
      </c>
      <c r="D134" s="36" t="s">
        <v>41</v>
      </c>
      <c r="E134" s="36" t="s">
        <v>41</v>
      </c>
      <c r="F134" s="36" t="s">
        <v>41</v>
      </c>
      <c r="G134" s="36" t="s">
        <v>41</v>
      </c>
      <c r="H134" s="36" t="s">
        <v>41</v>
      </c>
      <c r="I134" s="36" t="s">
        <v>41</v>
      </c>
      <c r="J134" s="36" t="s">
        <v>41</v>
      </c>
      <c r="K134" s="36" t="s">
        <v>41</v>
      </c>
      <c r="L134" s="36" t="s">
        <v>41</v>
      </c>
      <c r="M134" s="36" t="s">
        <v>41</v>
      </c>
      <c r="N134" s="36" t="s">
        <v>41</v>
      </c>
      <c r="O134" s="36" t="s">
        <v>1535</v>
      </c>
      <c r="P134" s="112" t="s">
        <v>1536</v>
      </c>
      <c r="Q134" s="36" t="s">
        <v>763</v>
      </c>
    </row>
    <row r="135" spans="1:25" ht="29">
      <c r="A135">
        <v>131</v>
      </c>
      <c r="B135" s="144">
        <v>2025200081</v>
      </c>
      <c r="C135" s="34" t="s">
        <v>2093</v>
      </c>
      <c r="D135" s="81" t="s">
        <v>41</v>
      </c>
      <c r="E135" s="81" t="s">
        <v>41</v>
      </c>
      <c r="F135" s="81" t="s">
        <v>41</v>
      </c>
      <c r="G135" s="81" t="s">
        <v>41</v>
      </c>
      <c r="H135" s="81" t="s">
        <v>41</v>
      </c>
      <c r="I135" s="81" t="s">
        <v>41</v>
      </c>
      <c r="J135" s="81" t="s">
        <v>41</v>
      </c>
      <c r="K135" s="81" t="s">
        <v>41</v>
      </c>
      <c r="L135" s="81" t="s">
        <v>41</v>
      </c>
      <c r="M135" s="81" t="s">
        <v>41</v>
      </c>
      <c r="N135" s="81" t="s">
        <v>41</v>
      </c>
      <c r="O135" s="81" t="s">
        <v>1538</v>
      </c>
      <c r="P135" s="130" t="s">
        <v>1539</v>
      </c>
      <c r="Q135" s="81" t="s">
        <v>41</v>
      </c>
    </row>
    <row r="136" spans="1:25" ht="43.5">
      <c r="A136">
        <v>132</v>
      </c>
      <c r="B136" s="144">
        <v>2024200689</v>
      </c>
      <c r="C136" s="81" t="s">
        <v>1540</v>
      </c>
      <c r="D136" s="130" t="s">
        <v>1541</v>
      </c>
      <c r="E136" s="81" t="s">
        <v>41</v>
      </c>
      <c r="F136" s="81" t="s">
        <v>41</v>
      </c>
      <c r="G136" s="81" t="s">
        <v>41</v>
      </c>
      <c r="H136" s="81" t="s">
        <v>41</v>
      </c>
      <c r="I136" s="81" t="s">
        <v>41</v>
      </c>
      <c r="J136" s="81" t="s">
        <v>41</v>
      </c>
      <c r="K136" s="81" t="s">
        <v>41</v>
      </c>
      <c r="L136" s="81" t="s">
        <v>41</v>
      </c>
      <c r="M136" s="81" t="s">
        <v>41</v>
      </c>
      <c r="N136" s="81" t="s">
        <v>41</v>
      </c>
      <c r="O136" s="81" t="s">
        <v>1542</v>
      </c>
      <c r="P136" s="130" t="s">
        <v>1543</v>
      </c>
      <c r="Q136" s="81" t="s">
        <v>41</v>
      </c>
    </row>
    <row r="137" spans="1:25" ht="43.5">
      <c r="A137">
        <v>133</v>
      </c>
      <c r="B137" s="35">
        <v>2024216011</v>
      </c>
      <c r="C137" s="75" t="s">
        <v>2229</v>
      </c>
      <c r="D137" s="36" t="s">
        <v>1546</v>
      </c>
      <c r="E137" s="36" t="s">
        <v>1547</v>
      </c>
      <c r="F137" s="36" t="s">
        <v>2281</v>
      </c>
      <c r="G137" s="36" t="s">
        <v>1548</v>
      </c>
      <c r="H137" s="41" t="s">
        <v>1549</v>
      </c>
      <c r="I137" s="41" t="s">
        <v>41</v>
      </c>
      <c r="J137" s="112" t="s">
        <v>1551</v>
      </c>
      <c r="K137" s="146" t="s">
        <v>1552</v>
      </c>
      <c r="L137" s="36" t="s">
        <v>41</v>
      </c>
      <c r="M137" s="112" t="s">
        <v>2282</v>
      </c>
      <c r="N137" s="36" t="s">
        <v>41</v>
      </c>
      <c r="O137" s="36" t="s">
        <v>1554</v>
      </c>
      <c r="P137" s="112" t="s">
        <v>1555</v>
      </c>
      <c r="Q137" s="36" t="s">
        <v>1556</v>
      </c>
    </row>
    <row r="138" spans="1:25" ht="43.5">
      <c r="A138">
        <v>134</v>
      </c>
      <c r="B138" s="144">
        <v>2025202308</v>
      </c>
      <c r="C138" s="147" t="s">
        <v>2283</v>
      </c>
      <c r="D138" s="81" t="s">
        <v>41</v>
      </c>
      <c r="E138" s="81" t="s">
        <v>41</v>
      </c>
      <c r="F138" s="81" t="s">
        <v>41</v>
      </c>
      <c r="G138" s="81" t="s">
        <v>41</v>
      </c>
      <c r="H138" s="81" t="s">
        <v>41</v>
      </c>
      <c r="I138" s="81" t="s">
        <v>41</v>
      </c>
      <c r="J138" s="81" t="s">
        <v>41</v>
      </c>
      <c r="K138" s="81" t="s">
        <v>41</v>
      </c>
      <c r="L138" s="81" t="s">
        <v>41</v>
      </c>
      <c r="M138" s="81" t="s">
        <v>41</v>
      </c>
      <c r="N138" s="81" t="s">
        <v>41</v>
      </c>
      <c r="O138" s="81" t="s">
        <v>1558</v>
      </c>
      <c r="P138" s="130" t="s">
        <v>1559</v>
      </c>
      <c r="Q138" s="81" t="s">
        <v>763</v>
      </c>
      <c r="S138" s="20" t="s">
        <v>2284</v>
      </c>
    </row>
    <row r="139" spans="1:25" ht="29">
      <c r="B139" s="144">
        <v>2585893</v>
      </c>
      <c r="C139" s="81" t="s">
        <v>2285</v>
      </c>
      <c r="D139" s="81" t="s">
        <v>41</v>
      </c>
      <c r="E139" s="130" t="s">
        <v>41</v>
      </c>
      <c r="F139" s="81" t="s">
        <v>41</v>
      </c>
      <c r="G139" s="81" t="s">
        <v>418</v>
      </c>
      <c r="H139" s="130" t="s">
        <v>1562</v>
      </c>
      <c r="I139" s="81" t="s">
        <v>2286</v>
      </c>
      <c r="J139" s="81" t="s">
        <v>41</v>
      </c>
      <c r="K139" s="81" t="s">
        <v>41</v>
      </c>
      <c r="L139" s="130" t="s">
        <v>2286</v>
      </c>
      <c r="M139" s="81" t="s">
        <v>41</v>
      </c>
      <c r="N139" s="81" t="s">
        <v>41</v>
      </c>
      <c r="O139" s="81" t="s">
        <v>1563</v>
      </c>
      <c r="P139" s="130" t="s">
        <v>1564</v>
      </c>
      <c r="Q139" s="168" t="s">
        <v>1565</v>
      </c>
    </row>
    <row r="140" spans="1:25" ht="43.5">
      <c r="B140" s="35">
        <v>2025213092</v>
      </c>
      <c r="C140" s="166" t="s">
        <v>2287</v>
      </c>
      <c r="D140" s="30" t="s">
        <v>41</v>
      </c>
      <c r="E140" s="30" t="s">
        <v>41</v>
      </c>
      <c r="F140" s="30" t="s">
        <v>41</v>
      </c>
      <c r="G140" s="30" t="s">
        <v>421</v>
      </c>
      <c r="H140" s="31" t="s">
        <v>1567</v>
      </c>
      <c r="I140" s="30" t="s">
        <v>2288</v>
      </c>
      <c r="J140" s="30" t="s">
        <v>421</v>
      </c>
      <c r="K140" s="31" t="s">
        <v>1567</v>
      </c>
      <c r="L140" s="31" t="s">
        <v>1364</v>
      </c>
      <c r="M140" s="30" t="s">
        <v>41</v>
      </c>
      <c r="N140" s="30" t="s">
        <v>41</v>
      </c>
      <c r="O140" s="44" t="s">
        <v>1568</v>
      </c>
      <c r="P140" s="167" t="s">
        <v>1569</v>
      </c>
      <c r="Q140" s="30" t="s">
        <v>1570</v>
      </c>
    </row>
    <row r="141" spans="1:25" ht="29">
      <c r="A141">
        <v>137</v>
      </c>
      <c r="B141" s="35">
        <v>2025204832</v>
      </c>
      <c r="C141" s="165" t="s">
        <v>2289</v>
      </c>
      <c r="D141" s="30" t="s">
        <v>1572</v>
      </c>
      <c r="E141" s="31" t="s">
        <v>1573</v>
      </c>
      <c r="F141" s="30" t="s">
        <v>829</v>
      </c>
      <c r="G141" s="30" t="s">
        <v>41</v>
      </c>
      <c r="H141" s="30" t="s">
        <v>41</v>
      </c>
      <c r="I141" s="30" t="s">
        <v>41</v>
      </c>
      <c r="J141" s="30" t="s">
        <v>41</v>
      </c>
      <c r="K141" s="30" t="s">
        <v>41</v>
      </c>
      <c r="L141" s="30" t="s">
        <v>41</v>
      </c>
      <c r="M141" s="30" t="s">
        <v>41</v>
      </c>
      <c r="N141" s="30" t="s">
        <v>41</v>
      </c>
      <c r="O141" s="44" t="s">
        <v>1575</v>
      </c>
      <c r="P141" s="167" t="s">
        <v>1576</v>
      </c>
      <c r="Q141" s="30" t="s">
        <v>791</v>
      </c>
    </row>
    <row r="142" spans="1:25" ht="29">
      <c r="B142" s="165">
        <v>2025213146</v>
      </c>
      <c r="C142" s="165" t="s">
        <v>2290</v>
      </c>
      <c r="D142" s="30" t="s">
        <v>1578</v>
      </c>
      <c r="E142" s="30" t="s">
        <v>1579</v>
      </c>
      <c r="F142" s="30" t="s">
        <v>829</v>
      </c>
      <c r="G142" s="30" t="s">
        <v>426</v>
      </c>
      <c r="H142" s="31" t="s">
        <v>1580</v>
      </c>
      <c r="I142" s="30" t="s">
        <v>948</v>
      </c>
      <c r="J142" s="30" t="s">
        <v>1581</v>
      </c>
      <c r="K142" s="30" t="s">
        <v>2291</v>
      </c>
      <c r="L142" s="30" t="s">
        <v>948</v>
      </c>
      <c r="M142" s="31" t="s">
        <v>1583</v>
      </c>
      <c r="N142" s="30" t="s">
        <v>948</v>
      </c>
      <c r="O142" s="44" t="s">
        <v>1584</v>
      </c>
      <c r="P142" s="167" t="s">
        <v>1585</v>
      </c>
      <c r="Q142" s="30" t="s">
        <v>741</v>
      </c>
    </row>
    <row r="143" spans="1:25" ht="14.5">
      <c r="B143" s="143"/>
      <c r="C143" s="30"/>
      <c r="D143" s="30"/>
      <c r="E143" s="30"/>
      <c r="F143" s="30"/>
      <c r="G143" s="30"/>
      <c r="H143" s="30"/>
      <c r="I143" s="30"/>
      <c r="J143" s="30"/>
      <c r="K143" s="30"/>
      <c r="L143" s="30"/>
      <c r="M143" s="30"/>
      <c r="N143" s="30"/>
      <c r="O143" s="44"/>
      <c r="P143" s="40"/>
      <c r="Q143" s="30"/>
    </row>
    <row r="144" spans="1:25" ht="14.5">
      <c r="A144">
        <v>140</v>
      </c>
      <c r="B144" s="35" t="e">
        <f>IF(MIS_Backend_Data!#REF!="", "", MIS_Backend_Data!#REF!)</f>
        <v>#REF!</v>
      </c>
      <c r="C144" s="30"/>
      <c r="D144" s="30" t="str">
        <f>IF(MIS_Backend_Data!Q143="", "", MIS_Backend_Data!Q143)</f>
        <v>Makhram Dharma Gopane</v>
      </c>
      <c r="E144" s="30"/>
      <c r="F144" s="30" t="e">
        <f>IF(MIS_Backend_Data!#REF!="", "", MIS_Backend_Data!#REF!)</f>
        <v>#REF!</v>
      </c>
      <c r="G144" s="30" t="str">
        <f>IF(MIS_Backend_Data!Y143="", "", MIS_Backend_Data!Y143)</f>
        <v>PANDURANG GANPAT SHIGVAN</v>
      </c>
      <c r="H144" s="30"/>
      <c r="I144" s="30" t="e">
        <f>IF(MIS_Backend_Data!#REF!="", "", MIS_Backend_Data!#REF!)</f>
        <v>#REF!</v>
      </c>
      <c r="J144" s="30" t="str">
        <f>IF(MIS_Backend_Data!AD143="", "", MIS_Backend_Data!AD143)</f>
        <v>Vilas Namdev Jadhv</v>
      </c>
      <c r="K144" s="30"/>
      <c r="L144" s="30" t="str">
        <f>IF(MIS_Backend_Data!AF143="", "", MIS_Backend_Data!AF143)</f>
        <v>Sambhaji nagar</v>
      </c>
      <c r="M144" s="30"/>
      <c r="N144" s="30" t="e">
        <f>IF(MIS_Backend_Data!#REF!="", "", MIS_Backend_Data!#REF!)</f>
        <v>#REF!</v>
      </c>
      <c r="O144" s="44"/>
      <c r="P144" s="40"/>
      <c r="Q144" s="30"/>
    </row>
    <row r="145" spans="1:17" ht="14.5">
      <c r="A145">
        <v>141</v>
      </c>
      <c r="B145" s="35" t="e">
        <f>IF(MIS_Backend_Data!#REF!="", "", MIS_Backend_Data!#REF!)</f>
        <v>#REF!</v>
      </c>
      <c r="C145" s="30"/>
      <c r="D145" s="30" t="str">
        <f>IF(MIS_Backend_Data!Q144="", "", MIS_Backend_Data!Q144)</f>
        <v>Irbaji  Kashinath Sarode</v>
      </c>
      <c r="E145" s="30"/>
      <c r="F145" s="30" t="e">
        <f>IF(MIS_Backend_Data!#REF!="", "", MIS_Backend_Data!#REF!)</f>
        <v>#REF!</v>
      </c>
      <c r="G145" s="30" t="str">
        <f>IF(MIS_Backend_Data!Y144="", "", MIS_Backend_Data!Y144)</f>
        <v>Dagdaji  Laxmanrao Shinde</v>
      </c>
      <c r="H145" s="30"/>
      <c r="I145" s="30" t="e">
        <f>IF(MIS_Backend_Data!#REF!="", "", MIS_Backend_Data!#REF!)</f>
        <v>#REF!</v>
      </c>
      <c r="J145" s="30" t="str">
        <f>IF(MIS_Backend_Data!AD144="", "", MIS_Backend_Data!AD144)</f>
        <v>NA</v>
      </c>
      <c r="K145" s="30"/>
      <c r="L145" s="30" t="str">
        <f>IF(MIS_Backend_Data!AF144="", "", MIS_Backend_Data!AF144)</f>
        <v>NA</v>
      </c>
      <c r="M145" s="30"/>
      <c r="N145" s="30" t="e">
        <f>IF(MIS_Backend_Data!#REF!="", "", MIS_Backend_Data!#REF!)</f>
        <v>#REF!</v>
      </c>
      <c r="O145" s="44"/>
      <c r="P145" s="40"/>
      <c r="Q145" s="30"/>
    </row>
    <row r="146" spans="1:17" ht="14.5">
      <c r="A146">
        <v>142</v>
      </c>
      <c r="B146" s="35" t="e">
        <f>IF(MIS_Backend_Data!#REF!="", "", MIS_Backend_Data!#REF!)</f>
        <v>#REF!</v>
      </c>
      <c r="C146" s="30"/>
      <c r="D146" s="30" t="str">
        <f>IF(MIS_Backend_Data!Q145="", "", MIS_Backend_Data!Q145)</f>
        <v>Suhas  Shashikant Sutar</v>
      </c>
      <c r="E146" s="30"/>
      <c r="F146" s="30" t="e">
        <f>IF(MIS_Backend_Data!#REF!="", "", MIS_Backend_Data!#REF!)</f>
        <v>#REF!</v>
      </c>
      <c r="G146" s="30" t="str">
        <f>IF(MIS_Backend_Data!Y145="", "", MIS_Backend_Data!Y145)</f>
        <v>Anand Hanumant Limkar</v>
      </c>
      <c r="H146" s="30"/>
      <c r="I146" s="30" t="e">
        <f>IF(MIS_Backend_Data!#REF!="", "", MIS_Backend_Data!#REF!)</f>
        <v>#REF!</v>
      </c>
      <c r="J146" s="30" t="str">
        <f>IF(MIS_Backend_Data!AD145="", "", MIS_Backend_Data!AD145)</f>
        <v>NA</v>
      </c>
      <c r="K146" s="30"/>
      <c r="L146" s="30" t="str">
        <f>IF(MIS_Backend_Data!AF145="", "", MIS_Backend_Data!AF145)</f>
        <v>NA</v>
      </c>
      <c r="M146" s="30"/>
      <c r="N146" s="30" t="e">
        <f>IF(MIS_Backend_Data!#REF!="", "", MIS_Backend_Data!#REF!)</f>
        <v>#REF!</v>
      </c>
      <c r="O146" s="44"/>
      <c r="P146" s="40"/>
      <c r="Q146" s="30"/>
    </row>
    <row r="147" spans="1:17" ht="14.5">
      <c r="A147">
        <v>143</v>
      </c>
      <c r="B147" s="35" t="e">
        <f>IF(MIS_Backend_Data!#REF!="", "", MIS_Backend_Data!#REF!)</f>
        <v>#REF!</v>
      </c>
      <c r="C147" s="30"/>
      <c r="D147" s="30" t="str">
        <f>IF(MIS_Backend_Data!Q146="", "", MIS_Backend_Data!Q146)</f>
        <v xml:space="preserve">Shamim B Idris maniyar </v>
      </c>
      <c r="E147" s="30"/>
      <c r="F147" s="30" t="e">
        <f>IF(MIS_Backend_Data!#REF!="", "", MIS_Backend_Data!#REF!)</f>
        <v>#REF!</v>
      </c>
      <c r="G147" s="30" t="str">
        <f>IF(MIS_Backend_Data!Y146="", "", MIS_Backend_Data!Y146)</f>
        <v>Ganesh Rajendra Shinde</v>
      </c>
      <c r="H147" s="30"/>
      <c r="I147" s="30" t="e">
        <f>IF(MIS_Backend_Data!#REF!="", "", MIS_Backend_Data!#REF!)</f>
        <v>#REF!</v>
      </c>
      <c r="J147" s="30" t="str">
        <f>IF(MIS_Backend_Data!AD146="", "", MIS_Backend_Data!AD146)</f>
        <v xml:space="preserve">Bhausaheb murlidhar Pawar </v>
      </c>
      <c r="K147" s="30"/>
      <c r="L147" s="30" t="str">
        <f>IF(MIS_Backend_Data!AF146="", "", MIS_Backend_Data!AF146)</f>
        <v>Aurangabad</v>
      </c>
      <c r="M147" s="30"/>
      <c r="N147" s="30" t="e">
        <f>IF(MIS_Backend_Data!#REF!="", "", MIS_Backend_Data!#REF!)</f>
        <v>#REF!</v>
      </c>
      <c r="O147" s="44"/>
      <c r="P147" s="40"/>
      <c r="Q147" s="30"/>
    </row>
    <row r="148" spans="1:17" ht="14.5">
      <c r="A148">
        <v>144</v>
      </c>
      <c r="B148" s="35" t="e">
        <f>IF(MIS_Backend_Data!#REF!="", "", MIS_Backend_Data!#REF!)</f>
        <v>#REF!</v>
      </c>
      <c r="C148" s="30"/>
      <c r="D148" s="30" t="str">
        <f>IF(MIS_Backend_Data!Q147="", "", MIS_Backend_Data!Q147)</f>
        <v>NA</v>
      </c>
      <c r="E148" s="30"/>
      <c r="F148" s="30" t="e">
        <f>IF(MIS_Backend_Data!#REF!="", "", MIS_Backend_Data!#REF!)</f>
        <v>#REF!</v>
      </c>
      <c r="G148" s="30" t="str">
        <f>IF(MIS_Backend_Data!Y147="", "", MIS_Backend_Data!Y147)</f>
        <v>NA</v>
      </c>
      <c r="H148" s="30"/>
      <c r="I148" s="30" t="e">
        <f>IF(MIS_Backend_Data!#REF!="", "", MIS_Backend_Data!#REF!)</f>
        <v>#REF!</v>
      </c>
      <c r="J148" s="30" t="str">
        <f>IF(MIS_Backend_Data!AD147="", "", MIS_Backend_Data!AD147)</f>
        <v>NA</v>
      </c>
      <c r="K148" s="30"/>
      <c r="L148" s="30" t="str">
        <f>IF(MIS_Backend_Data!AF147="", "", MIS_Backend_Data!AF147)</f>
        <v>NA</v>
      </c>
      <c r="M148" s="30"/>
      <c r="N148" s="30" t="e">
        <f>IF(MIS_Backend_Data!#REF!="", "", MIS_Backend_Data!#REF!)</f>
        <v>#REF!</v>
      </c>
      <c r="O148" s="44"/>
      <c r="P148" s="40"/>
      <c r="Q148" s="30"/>
    </row>
    <row r="149" spans="1:17" ht="14.5">
      <c r="A149">
        <v>145</v>
      </c>
      <c r="B149" s="35" t="e">
        <f>IF(MIS_Backend_Data!#REF!="", "", MIS_Backend_Data!#REF!)</f>
        <v>#REF!</v>
      </c>
      <c r="C149" s="30"/>
      <c r="D149" s="30" t="str">
        <f>IF(MIS_Backend_Data!Q148="", "", MIS_Backend_Data!Q148)</f>
        <v xml:space="preserve">NA </v>
      </c>
      <c r="E149" s="30"/>
      <c r="F149" s="30" t="e">
        <f>IF(MIS_Backend_Data!#REF!="", "", MIS_Backend_Data!#REF!)</f>
        <v>#REF!</v>
      </c>
      <c r="G149" s="30" t="str">
        <f>IF(MIS_Backend_Data!Y148="", "", MIS_Backend_Data!Y148)</f>
        <v>NA</v>
      </c>
      <c r="H149" s="30"/>
      <c r="I149" s="30" t="e">
        <f>IF(MIS_Backend_Data!#REF!="", "", MIS_Backend_Data!#REF!)</f>
        <v>#REF!</v>
      </c>
      <c r="J149" s="30" t="str">
        <f>IF(MIS_Backend_Data!AD148="", "", MIS_Backend_Data!AD148)</f>
        <v>NA</v>
      </c>
      <c r="K149" s="30"/>
      <c r="L149" s="30" t="str">
        <f>IF(MIS_Backend_Data!AF148="", "", MIS_Backend_Data!AF148)</f>
        <v>NA</v>
      </c>
      <c r="M149" s="30"/>
      <c r="N149" s="30" t="e">
        <f>IF(MIS_Backend_Data!#REF!="", "", MIS_Backend_Data!#REF!)</f>
        <v>#REF!</v>
      </c>
      <c r="O149" s="44"/>
      <c r="P149" s="40"/>
      <c r="Q149" s="30"/>
    </row>
    <row r="150" spans="1:17" ht="14.5">
      <c r="A150">
        <v>146</v>
      </c>
      <c r="B150" s="35" t="e">
        <f>IF(MIS_Backend_Data!#REF!="", "", MIS_Backend_Data!#REF!)</f>
        <v>#REF!</v>
      </c>
      <c r="C150" s="30"/>
      <c r="D150" s="30" t="str">
        <f>IF(MIS_Backend_Data!Q149="", "", MIS_Backend_Data!Q149)</f>
        <v>Sindhu Gajanan Gadekar</v>
      </c>
      <c r="E150" s="30"/>
      <c r="F150" s="30" t="e">
        <f>IF(MIS_Backend_Data!#REF!="", "", MIS_Backend_Data!#REF!)</f>
        <v>#REF!</v>
      </c>
      <c r="G150" s="30" t="str">
        <f>IF(MIS_Backend_Data!Y149="", "", MIS_Backend_Data!Y149)</f>
        <v>Ranjeet Lala Chavan</v>
      </c>
      <c r="H150" s="30"/>
      <c r="I150" s="30" t="e">
        <f>IF(MIS_Backend_Data!#REF!="", "", MIS_Backend_Data!#REF!)</f>
        <v>#REF!</v>
      </c>
      <c r="J150" s="30" t="str">
        <f>IF(MIS_Backend_Data!AD149="", "", MIS_Backend_Data!AD149)</f>
        <v>NA</v>
      </c>
      <c r="K150" s="30"/>
      <c r="L150" s="30" t="str">
        <f>IF(MIS_Backend_Data!AF149="", "", MIS_Backend_Data!AF149)</f>
        <v>NA</v>
      </c>
      <c r="M150" s="30"/>
      <c r="N150" s="30" t="e">
        <f>IF(MIS_Backend_Data!#REF!="", "", MIS_Backend_Data!#REF!)</f>
        <v>#REF!</v>
      </c>
      <c r="O150" s="44"/>
      <c r="P150" s="40"/>
      <c r="Q150" s="30"/>
    </row>
    <row r="151" spans="1:17" ht="14.5">
      <c r="A151">
        <v>147</v>
      </c>
      <c r="B151" s="35" t="e">
        <f>IF(MIS_Backend_Data!#REF!="", "", MIS_Backend_Data!#REF!)</f>
        <v>#REF!</v>
      </c>
      <c r="C151" s="30"/>
      <c r="D151" s="30" t="str">
        <f>IF(MIS_Backend_Data!Q150="", "", MIS_Backend_Data!Q150)</f>
        <v>NA</v>
      </c>
      <c r="E151" s="30"/>
      <c r="F151" s="30" t="e">
        <f>IF(MIS_Backend_Data!#REF!="", "", MIS_Backend_Data!#REF!)</f>
        <v>#REF!</v>
      </c>
      <c r="G151" s="30" t="str">
        <f>IF(MIS_Backend_Data!Y150="", "", MIS_Backend_Data!Y150)</f>
        <v>NA</v>
      </c>
      <c r="H151" s="30"/>
      <c r="I151" s="30" t="e">
        <f>IF(MIS_Backend_Data!#REF!="", "", MIS_Backend_Data!#REF!)</f>
        <v>#REF!</v>
      </c>
      <c r="J151" s="30" t="str">
        <f>IF(MIS_Backend_Data!AD150="", "", MIS_Backend_Data!AD150)</f>
        <v>NA</v>
      </c>
      <c r="K151" s="30"/>
      <c r="L151" s="30" t="str">
        <f>IF(MIS_Backend_Data!AF150="", "", MIS_Backend_Data!AF150)</f>
        <v>NA</v>
      </c>
      <c r="M151" s="30"/>
      <c r="N151" s="30" t="e">
        <f>IF(MIS_Backend_Data!#REF!="", "", MIS_Backend_Data!#REF!)</f>
        <v>#REF!</v>
      </c>
      <c r="O151" s="44"/>
      <c r="P151" s="40"/>
      <c r="Q151" s="30"/>
    </row>
    <row r="152" spans="1:17" ht="14.5">
      <c r="A152">
        <v>148</v>
      </c>
      <c r="B152" s="35" t="e">
        <f>IF(MIS_Backend_Data!#REF!="", "", MIS_Backend_Data!#REF!)</f>
        <v>#REF!</v>
      </c>
      <c r="C152" s="30"/>
      <c r="D152" s="30" t="str">
        <f>IF(MIS_Backend_Data!Q151="", "", MIS_Backend_Data!Q151)</f>
        <v>NA</v>
      </c>
      <c r="E152" s="30"/>
      <c r="F152" s="30" t="e">
        <f>IF(MIS_Backend_Data!#REF!="", "", MIS_Backend_Data!#REF!)</f>
        <v>#REF!</v>
      </c>
      <c r="G152" s="30" t="str">
        <f>IF(MIS_Backend_Data!Y151="", "", MIS_Backend_Data!Y151)</f>
        <v>NA</v>
      </c>
      <c r="H152" s="30"/>
      <c r="I152" s="30" t="e">
        <f>IF(MIS_Backend_Data!#REF!="", "", MIS_Backend_Data!#REF!)</f>
        <v>#REF!</v>
      </c>
      <c r="J152" s="30" t="str">
        <f>IF(MIS_Backend_Data!AD151="", "", MIS_Backend_Data!AD151)</f>
        <v>NA</v>
      </c>
      <c r="K152" s="30"/>
      <c r="L152" s="30" t="str">
        <f>IF(MIS_Backend_Data!AF151="", "", MIS_Backend_Data!AF151)</f>
        <v>NA</v>
      </c>
      <c r="M152" s="30"/>
      <c r="N152" s="30" t="e">
        <f>IF(MIS_Backend_Data!#REF!="", "", MIS_Backend_Data!#REF!)</f>
        <v>#REF!</v>
      </c>
      <c r="O152" s="44"/>
      <c r="P152" s="40"/>
      <c r="Q152" s="30"/>
    </row>
    <row r="153" spans="1:17" ht="14.5">
      <c r="A153">
        <v>149</v>
      </c>
      <c r="B153" s="35" t="e">
        <f>IF(MIS_Backend_Data!#REF!="", "", MIS_Backend_Data!#REF!)</f>
        <v>#REF!</v>
      </c>
      <c r="C153" s="30"/>
      <c r="D153" s="30" t="str">
        <f>IF(MIS_Backend_Data!Q153="", "", MIS_Backend_Data!Q153)</f>
        <v>NA</v>
      </c>
      <c r="E153" s="30"/>
      <c r="F153" s="30" t="e">
        <f>IF(MIS_Backend_Data!#REF!="", "", MIS_Backend_Data!#REF!)</f>
        <v>#REF!</v>
      </c>
      <c r="G153" s="30" t="str">
        <f>IF(MIS_Backend_Data!Y153="", "", MIS_Backend_Data!Y153)</f>
        <v xml:space="preserve">NA </v>
      </c>
      <c r="H153" s="30"/>
      <c r="I153" s="30" t="e">
        <f>IF(MIS_Backend_Data!#REF!="", "", MIS_Backend_Data!#REF!)</f>
        <v>#REF!</v>
      </c>
      <c r="J153" s="30" t="str">
        <f>IF(MIS_Backend_Data!AD153="", "", MIS_Backend_Data!AD153)</f>
        <v xml:space="preserve">NA </v>
      </c>
      <c r="K153" s="30"/>
      <c r="L153" s="30" t="str">
        <f>IF(MIS_Backend_Data!AF153="", "", MIS_Backend_Data!AF153)</f>
        <v xml:space="preserve">NA </v>
      </c>
      <c r="M153" s="30"/>
      <c r="N153" s="30" t="e">
        <f>IF(MIS_Backend_Data!#REF!="", "", MIS_Backend_Data!#REF!)</f>
        <v>#REF!</v>
      </c>
      <c r="O153" s="44"/>
      <c r="P153" s="40"/>
      <c r="Q153" s="30"/>
    </row>
    <row r="154" spans="1:17" ht="14.5">
      <c r="A154">
        <v>150</v>
      </c>
      <c r="B154" s="35" t="e">
        <f>IF(MIS_Backend_Data!#REF!="", "", MIS_Backend_Data!#REF!)</f>
        <v>#REF!</v>
      </c>
      <c r="C154" s="30"/>
      <c r="D154" s="30" t="str">
        <f>IF(MIS_Backend_Data!Q155="", "", MIS_Backend_Data!Q155)</f>
        <v>Rukmini Bhomana Gurav</v>
      </c>
      <c r="E154" s="30"/>
      <c r="F154" s="30" t="e">
        <f>IF(MIS_Backend_Data!#REF!="", "", MIS_Backend_Data!#REF!)</f>
        <v>#REF!</v>
      </c>
      <c r="G154" s="30" t="str">
        <f>IF(MIS_Backend_Data!Y155="", "", MIS_Backend_Data!Y155)</f>
        <v xml:space="preserve"> Tanaji Udhav Gayakwad</v>
      </c>
      <c r="H154" s="30"/>
      <c r="I154" s="30" t="e">
        <f>IF(MIS_Backend_Data!#REF!="", "", MIS_Backend_Data!#REF!)</f>
        <v>#REF!</v>
      </c>
      <c r="J154" s="30" t="str">
        <f>IF(MIS_Backend_Data!AD155="", "", MIS_Backend_Data!AD155)</f>
        <v xml:space="preserve">NA </v>
      </c>
      <c r="K154" s="30"/>
      <c r="L154" s="30" t="str">
        <f>IF(MIS_Backend_Data!AF155="", "", MIS_Backend_Data!AF155)</f>
        <v xml:space="preserve">NA </v>
      </c>
      <c r="M154" s="30"/>
      <c r="N154" s="30" t="e">
        <f>IF(MIS_Backend_Data!#REF!="", "", MIS_Backend_Data!#REF!)</f>
        <v>#REF!</v>
      </c>
      <c r="O154" s="44"/>
      <c r="P154" s="40"/>
      <c r="Q154" s="30"/>
    </row>
    <row r="155" spans="1:17" ht="14.5">
      <c r="A155">
        <v>151</v>
      </c>
      <c r="B155" s="35" t="e">
        <f>IF(MIS_Backend_Data!#REF!="", "", MIS_Backend_Data!#REF!)</f>
        <v>#REF!</v>
      </c>
      <c r="C155" s="30"/>
      <c r="D155" s="30" t="str">
        <f>IF(MIS_Backend_Data!Q157="", "", MIS_Backend_Data!Q157)</f>
        <v>Supriya Dhanaji Jadhv</v>
      </c>
      <c r="E155" s="30"/>
      <c r="F155" s="30" t="e">
        <f>IF(MIS_Backend_Data!#REF!="", "", MIS_Backend_Data!#REF!)</f>
        <v>#REF!</v>
      </c>
      <c r="G155" s="30" t="str">
        <f>IF(MIS_Backend_Data!Y157="", "", MIS_Backend_Data!Y157)</f>
        <v xml:space="preserve">NA </v>
      </c>
      <c r="H155" s="30"/>
      <c r="I155" s="30" t="e">
        <f>IF(MIS_Backend_Data!#REF!="", "", MIS_Backend_Data!#REF!)</f>
        <v>#REF!</v>
      </c>
      <c r="J155" s="30" t="str">
        <f>IF(MIS_Backend_Data!AD157="", "", MIS_Backend_Data!AD157)</f>
        <v xml:space="preserve">NA </v>
      </c>
      <c r="K155" s="30"/>
      <c r="L155" s="30" t="str">
        <f>IF(MIS_Backend_Data!AF157="", "", MIS_Backend_Data!AF157)</f>
        <v xml:space="preserve">NA </v>
      </c>
      <c r="M155" s="30"/>
      <c r="N155" s="30" t="e">
        <f>IF(MIS_Backend_Data!#REF!="", "", MIS_Backend_Data!#REF!)</f>
        <v>#REF!</v>
      </c>
      <c r="O155" s="44"/>
      <c r="P155" s="40"/>
      <c r="Q155" s="30"/>
    </row>
    <row r="156" spans="1:17" ht="14.5">
      <c r="A156">
        <v>152</v>
      </c>
      <c r="B156" s="35" t="e">
        <f>IF(MIS_Backend_Data!#REF!="", "", MIS_Backend_Data!#REF!)</f>
        <v>#REF!</v>
      </c>
      <c r="C156" s="30"/>
      <c r="D156" s="30" t="str">
        <f>IF(MIS_Backend_Data!Q158="", "", MIS_Backend_Data!Q158)</f>
        <v>Dadaji Namdev Surywanshi</v>
      </c>
      <c r="E156" s="30"/>
      <c r="F156" s="30" t="e">
        <f>IF(MIS_Backend_Data!#REF!="", "", MIS_Backend_Data!#REF!)</f>
        <v>#REF!</v>
      </c>
      <c r="G156" s="30" t="str">
        <f>IF(MIS_Backend_Data!Y158="", "", MIS_Backend_Data!Y158)</f>
        <v xml:space="preserve">NA </v>
      </c>
      <c r="H156" s="30"/>
      <c r="I156" s="30" t="e">
        <f>IF(MIS_Backend_Data!#REF!="", "", MIS_Backend_Data!#REF!)</f>
        <v>#REF!</v>
      </c>
      <c r="J156" s="30" t="str">
        <f>IF(MIS_Backend_Data!AD158="", "", MIS_Backend_Data!AD158)</f>
        <v xml:space="preserve">NA </v>
      </c>
      <c r="K156" s="30"/>
      <c r="L156" s="30" t="str">
        <f>IF(MIS_Backend_Data!AF158="", "", MIS_Backend_Data!AF158)</f>
        <v xml:space="preserve">NA </v>
      </c>
      <c r="M156" s="30"/>
      <c r="N156" s="30" t="e">
        <f>IF(MIS_Backend_Data!#REF!="", "", MIS_Backend_Data!#REF!)</f>
        <v>#REF!</v>
      </c>
      <c r="O156" s="44"/>
      <c r="P156" s="40"/>
      <c r="Q156" s="30"/>
    </row>
    <row r="157" spans="1:17" ht="14.5">
      <c r="A157">
        <v>153</v>
      </c>
      <c r="B157" s="35" t="e">
        <f>IF(MIS_Backend_Data!#REF!="", "", MIS_Backend_Data!#REF!)</f>
        <v>#REF!</v>
      </c>
      <c r="C157" s="30"/>
      <c r="D157" s="30" t="str">
        <f>IF(MIS_Backend_Data!Q159="", "", MIS_Backend_Data!Q159)</f>
        <v>Krushna Madhukar Tumade</v>
      </c>
      <c r="E157" s="30"/>
      <c r="F157" s="30" t="e">
        <f>IF(MIS_Backend_Data!#REF!="", "", MIS_Backend_Data!#REF!)</f>
        <v>#REF!</v>
      </c>
      <c r="G157" s="30" t="str">
        <f>IF(MIS_Backend_Data!Y159="", "", MIS_Backend_Data!Y159)</f>
        <v xml:space="preserve">NA </v>
      </c>
      <c r="H157" s="30"/>
      <c r="I157" s="30" t="e">
        <f>IF(MIS_Backend_Data!#REF!="", "", MIS_Backend_Data!#REF!)</f>
        <v>#REF!</v>
      </c>
      <c r="J157" s="30" t="str">
        <f>IF(MIS_Backend_Data!AD159="", "", MIS_Backend_Data!AD159)</f>
        <v xml:space="preserve">NA </v>
      </c>
      <c r="K157" s="30"/>
      <c r="L157" s="30" t="str">
        <f>IF(MIS_Backend_Data!AF159="", "", MIS_Backend_Data!AF159)</f>
        <v xml:space="preserve">NA </v>
      </c>
      <c r="M157" s="30"/>
      <c r="N157" s="30" t="e">
        <f>IF(MIS_Backend_Data!#REF!="", "", MIS_Backend_Data!#REF!)</f>
        <v>#REF!</v>
      </c>
      <c r="O157" s="44"/>
      <c r="P157" s="40"/>
      <c r="Q157" s="30"/>
    </row>
    <row r="158" spans="1:17" ht="14.5">
      <c r="A158">
        <v>154</v>
      </c>
      <c r="B158" s="35" t="e">
        <f>IF(MIS_Backend_Data!#REF!="", "", MIS_Backend_Data!#REF!)</f>
        <v>#REF!</v>
      </c>
      <c r="C158" s="30"/>
      <c r="D158" s="30" t="str">
        <f>IF(MIS_Backend_Data!Q160="", "", MIS_Backend_Data!Q160)</f>
        <v>Bhaskar Chokhande</v>
      </c>
      <c r="E158" s="30"/>
      <c r="F158" s="30" t="e">
        <f>IF(MIS_Backend_Data!#REF!="", "", MIS_Backend_Data!#REF!)</f>
        <v>#REF!</v>
      </c>
      <c r="G158" s="30" t="str">
        <f>IF(MIS_Backend_Data!Y160="", "", MIS_Backend_Data!Y160)</f>
        <v xml:space="preserve">NA </v>
      </c>
      <c r="H158" s="30"/>
      <c r="I158" s="30" t="e">
        <f>IF(MIS_Backend_Data!#REF!="", "", MIS_Backend_Data!#REF!)</f>
        <v>#REF!</v>
      </c>
      <c r="J158" s="30" t="str">
        <f>IF(MIS_Backend_Data!AD160="", "", MIS_Backend_Data!AD160)</f>
        <v xml:space="preserve">NA </v>
      </c>
      <c r="K158" s="30"/>
      <c r="L158" s="30" t="str">
        <f>IF(MIS_Backend_Data!AF160="", "", MIS_Backend_Data!AF160)</f>
        <v xml:space="preserve">NA </v>
      </c>
      <c r="M158" s="30"/>
      <c r="N158" s="30" t="e">
        <f>IF(MIS_Backend_Data!#REF!="", "", MIS_Backend_Data!#REF!)</f>
        <v>#REF!</v>
      </c>
      <c r="O158" s="44"/>
      <c r="P158" s="40"/>
      <c r="Q158" s="30"/>
    </row>
    <row r="159" spans="1:17" ht="14.5">
      <c r="A159">
        <v>155</v>
      </c>
      <c r="B159" s="35" t="e">
        <f>IF(MIS_Backend_Data!#REF!="", "", MIS_Backend_Data!#REF!)</f>
        <v>#REF!</v>
      </c>
      <c r="C159" s="30"/>
      <c r="D159" s="30" t="str">
        <f>IF(MIS_Backend_Data!Q161="", "", MIS_Backend_Data!Q161)</f>
        <v>RAVIKIRAN SUKHADEV MANDLIK</v>
      </c>
      <c r="E159" s="30"/>
      <c r="F159" s="30" t="e">
        <f>IF(MIS_Backend_Data!#REF!="", "", MIS_Backend_Data!#REF!)</f>
        <v>#REF!</v>
      </c>
      <c r="G159" s="30" t="str">
        <f>IF(MIS_Backend_Data!Y161="", "", MIS_Backend_Data!Y161)</f>
        <v xml:space="preserve">NA </v>
      </c>
      <c r="H159" s="30"/>
      <c r="I159" s="30" t="e">
        <f>IF(MIS_Backend_Data!#REF!="", "", MIS_Backend_Data!#REF!)</f>
        <v>#REF!</v>
      </c>
      <c r="J159" s="30" t="str">
        <f>IF(MIS_Backend_Data!AD161="", "", MIS_Backend_Data!AD161)</f>
        <v xml:space="preserve">NA </v>
      </c>
      <c r="K159" s="30"/>
      <c r="L159" s="30" t="str">
        <f>IF(MIS_Backend_Data!AF161="", "", MIS_Backend_Data!AF161)</f>
        <v xml:space="preserve">NA </v>
      </c>
      <c r="M159" s="30"/>
      <c r="N159" s="30" t="e">
        <f>IF(MIS_Backend_Data!#REF!="", "", MIS_Backend_Data!#REF!)</f>
        <v>#REF!</v>
      </c>
      <c r="O159" s="44"/>
      <c r="P159" s="40"/>
      <c r="Q159" s="30"/>
    </row>
    <row r="160" spans="1:17" ht="14.5">
      <c r="A160">
        <v>156</v>
      </c>
      <c r="B160" s="35" t="e">
        <f>IF(MIS_Backend_Data!#REF!="", "", MIS_Backend_Data!#REF!)</f>
        <v>#REF!</v>
      </c>
      <c r="C160" s="30"/>
      <c r="D160" s="30" t="str">
        <f>IF(MIS_Backend_Data!Q162="", "", MIS_Backend_Data!Q162)</f>
        <v>Vasant Kadam</v>
      </c>
      <c r="E160" s="30"/>
      <c r="F160" s="30" t="e">
        <f>IF(MIS_Backend_Data!#REF!="", "", MIS_Backend_Data!#REF!)</f>
        <v>#REF!</v>
      </c>
      <c r="G160" s="30" t="str">
        <f>IF(MIS_Backend_Data!Y162="", "", MIS_Backend_Data!Y162)</f>
        <v xml:space="preserve">NA </v>
      </c>
      <c r="H160" s="30"/>
      <c r="I160" s="30" t="e">
        <f>IF(MIS_Backend_Data!#REF!="", "", MIS_Backend_Data!#REF!)</f>
        <v>#REF!</v>
      </c>
      <c r="J160" s="30" t="str">
        <f>IF(MIS_Backend_Data!AD162="", "", MIS_Backend_Data!AD162)</f>
        <v xml:space="preserve">NA </v>
      </c>
      <c r="K160" s="30"/>
      <c r="L160" s="30" t="str">
        <f>IF(MIS_Backend_Data!AF162="", "", MIS_Backend_Data!AF162)</f>
        <v xml:space="preserve">NA </v>
      </c>
      <c r="M160" s="30"/>
      <c r="N160" s="30" t="e">
        <f>IF(MIS_Backend_Data!#REF!="", "", MIS_Backend_Data!#REF!)</f>
        <v>#REF!</v>
      </c>
      <c r="O160" s="44"/>
      <c r="P160" s="40"/>
      <c r="Q160" s="30"/>
    </row>
    <row r="161" spans="1:17" ht="14.5">
      <c r="A161">
        <v>157</v>
      </c>
      <c r="B161" s="35" t="e">
        <f>IF(MIS_Backend_Data!#REF!="", "", MIS_Backend_Data!#REF!)</f>
        <v>#REF!</v>
      </c>
      <c r="C161" s="30"/>
      <c r="D161" s="30" t="str">
        <f>IF(MIS_Backend_Data!Q163="", "", MIS_Backend_Data!Q163)</f>
        <v>Devkisan Ekhnath Shelke</v>
      </c>
      <c r="E161" s="30"/>
      <c r="F161" s="30" t="e">
        <f>IF(MIS_Backend_Data!#REF!="", "", MIS_Backend_Data!#REF!)</f>
        <v>#REF!</v>
      </c>
      <c r="G161" s="30" t="str">
        <f>IF(MIS_Backend_Data!Y163="", "", MIS_Backend_Data!Y163)</f>
        <v xml:space="preserve">NA </v>
      </c>
      <c r="H161" s="30"/>
      <c r="I161" s="30" t="e">
        <f>IF(MIS_Backend_Data!#REF!="", "", MIS_Backend_Data!#REF!)</f>
        <v>#REF!</v>
      </c>
      <c r="J161" s="30" t="str">
        <f>IF(MIS_Backend_Data!AD163="", "", MIS_Backend_Data!AD163)</f>
        <v xml:space="preserve">NA </v>
      </c>
      <c r="K161" s="30"/>
      <c r="L161" s="30" t="str">
        <f>IF(MIS_Backend_Data!AF163="", "", MIS_Backend_Data!AF163)</f>
        <v xml:space="preserve">NA </v>
      </c>
      <c r="M161" s="30"/>
      <c r="N161" s="30" t="e">
        <f>IF(MIS_Backend_Data!#REF!="", "", MIS_Backend_Data!#REF!)</f>
        <v>#REF!</v>
      </c>
      <c r="O161" s="44"/>
      <c r="P161" s="40"/>
      <c r="Q161" s="30"/>
    </row>
    <row r="162" spans="1:17" ht="14.5">
      <c r="A162">
        <v>158</v>
      </c>
      <c r="B162" s="35" t="e">
        <f>IF(MIS_Backend_Data!#REF!="", "", MIS_Backend_Data!#REF!)</f>
        <v>#REF!</v>
      </c>
      <c r="C162" s="30"/>
      <c r="D162" s="30" t="str">
        <f>IF(MIS_Backend_Data!Q164="", "", MIS_Backend_Data!Q164)</f>
        <v>NA</v>
      </c>
      <c r="E162" s="30"/>
      <c r="F162" s="30" t="e">
        <f>IF(MIS_Backend_Data!#REF!="", "", MIS_Backend_Data!#REF!)</f>
        <v>#REF!</v>
      </c>
      <c r="G162" s="30" t="str">
        <f>IF(MIS_Backend_Data!Y164="", "", MIS_Backend_Data!Y164)</f>
        <v>NA</v>
      </c>
      <c r="H162" s="30"/>
      <c r="I162" s="30" t="e">
        <f>IF(MIS_Backend_Data!#REF!="", "", MIS_Backend_Data!#REF!)</f>
        <v>#REF!</v>
      </c>
      <c r="J162" s="30" t="str">
        <f>IF(MIS_Backend_Data!AD164="", "", MIS_Backend_Data!AD164)</f>
        <v>NA</v>
      </c>
      <c r="K162" s="30"/>
      <c r="L162" s="30" t="str">
        <f>IF(MIS_Backend_Data!AF164="", "", MIS_Backend_Data!AF164)</f>
        <v>NA</v>
      </c>
      <c r="M162" s="30"/>
      <c r="N162" s="30" t="e">
        <f>IF(MIS_Backend_Data!#REF!="", "", MIS_Backend_Data!#REF!)</f>
        <v>#REF!</v>
      </c>
      <c r="O162" s="44"/>
      <c r="P162" s="40"/>
      <c r="Q162" s="30"/>
    </row>
    <row r="163" spans="1:17" ht="14.5">
      <c r="A163">
        <v>159</v>
      </c>
      <c r="B163" s="35" t="e">
        <f>IF(MIS_Backend_Data!#REF!="", "", MIS_Backend_Data!#REF!)</f>
        <v>#REF!</v>
      </c>
      <c r="C163" s="30"/>
      <c r="D163" s="30" t="str">
        <f>IF(MIS_Backend_Data!Q165="", "", MIS_Backend_Data!Q165)</f>
        <v>CHABU PANDHARINATH SARODE</v>
      </c>
      <c r="E163" s="30"/>
      <c r="F163" s="30" t="e">
        <f>IF(MIS_Backend_Data!#REF!="", "", MIS_Backend_Data!#REF!)</f>
        <v>#REF!</v>
      </c>
      <c r="G163" s="30" t="str">
        <f>IF(MIS_Backend_Data!Y165="", "", MIS_Backend_Data!Y165)</f>
        <v>NA</v>
      </c>
      <c r="H163" s="30"/>
      <c r="I163" s="30" t="e">
        <f>IF(MIS_Backend_Data!#REF!="", "", MIS_Backend_Data!#REF!)</f>
        <v>#REF!</v>
      </c>
      <c r="J163" s="30" t="str">
        <f>IF(MIS_Backend_Data!AD165="", "", MIS_Backend_Data!AD165)</f>
        <v>NA</v>
      </c>
      <c r="K163" s="30"/>
      <c r="L163" s="30" t="str">
        <f>IF(MIS_Backend_Data!AF165="", "", MIS_Backend_Data!AF165)</f>
        <v>NA</v>
      </c>
      <c r="M163" s="30"/>
      <c r="N163" s="30" t="e">
        <f>IF(MIS_Backend_Data!#REF!="", "", MIS_Backend_Data!#REF!)</f>
        <v>#REF!</v>
      </c>
      <c r="O163" s="44"/>
      <c r="P163" s="40"/>
      <c r="Q163" s="30"/>
    </row>
    <row r="164" spans="1:17" ht="14.5">
      <c r="A164">
        <v>160</v>
      </c>
      <c r="B164" s="35" t="e">
        <f>IF(MIS_Backend_Data!#REF!="", "", MIS_Backend_Data!#REF!)</f>
        <v>#REF!</v>
      </c>
      <c r="C164" s="30"/>
      <c r="D164" s="30" t="str">
        <f>IF(MIS_Backend_Data!Q166="", "", MIS_Backend_Data!Q166)</f>
        <v>ROHINI CHABU SARODE </v>
      </c>
      <c r="E164" s="30"/>
      <c r="F164" s="30" t="e">
        <f>IF(MIS_Backend_Data!#REF!="", "", MIS_Backend_Data!#REF!)</f>
        <v>#REF!</v>
      </c>
      <c r="G164" s="30" t="str">
        <f>IF(MIS_Backend_Data!Y166="", "", MIS_Backend_Data!Y166)</f>
        <v>VAIBHAV BALASAHEB BAGADE</v>
      </c>
      <c r="H164" s="30"/>
      <c r="I164" s="30" t="e">
        <f>IF(MIS_Backend_Data!#REF!="", "", MIS_Backend_Data!#REF!)</f>
        <v>#REF!</v>
      </c>
      <c r="J164" s="30" t="str">
        <f>IF(MIS_Backend_Data!AD166="", "", MIS_Backend_Data!AD166)</f>
        <v>NA</v>
      </c>
      <c r="K164" s="30"/>
      <c r="L164" s="30" t="str">
        <f>IF(MIS_Backend_Data!AF166="", "", MIS_Backend_Data!AF166)</f>
        <v>NA</v>
      </c>
      <c r="M164" s="30"/>
      <c r="N164" s="30" t="e">
        <f>IF(MIS_Backend_Data!#REF!="", "", MIS_Backend_Data!#REF!)</f>
        <v>#REF!</v>
      </c>
      <c r="O164" s="44"/>
      <c r="P164" s="40"/>
      <c r="Q164" s="30"/>
    </row>
    <row r="165" spans="1:17" ht="14.5">
      <c r="A165">
        <v>161</v>
      </c>
      <c r="B165" s="35" t="e">
        <f>IF(MIS_Backend_Data!#REF!="", "", MIS_Backend_Data!#REF!)</f>
        <v>#REF!</v>
      </c>
      <c r="C165" s="30"/>
      <c r="D165" s="30" t="str">
        <f>IF(MIS_Backend_Data!Q167="", "", MIS_Backend_Data!Q167)</f>
        <v>CHANDRAKANT LAXMAN THOPATE</v>
      </c>
      <c r="E165" s="30"/>
      <c r="F165" s="30" t="e">
        <f>IF(MIS_Backend_Data!#REF!="", "", MIS_Backend_Data!#REF!)</f>
        <v>#REF!</v>
      </c>
      <c r="G165" s="30" t="str">
        <f>IF(MIS_Backend_Data!Y167="", "", MIS_Backend_Data!Y167)</f>
        <v>ANGURI JASWANT SINGH</v>
      </c>
      <c r="H165" s="30"/>
      <c r="I165" s="30" t="e">
        <f>IF(MIS_Backend_Data!#REF!="", "", MIS_Backend_Data!#REF!)</f>
        <v>#REF!</v>
      </c>
      <c r="J165" s="30" t="str">
        <f>IF(MIS_Backend_Data!AD167="", "", MIS_Backend_Data!AD167)</f>
        <v>NA</v>
      </c>
      <c r="K165" s="30"/>
      <c r="L165" s="30" t="str">
        <f>IF(MIS_Backend_Data!AF167="", "", MIS_Backend_Data!AF167)</f>
        <v>NA</v>
      </c>
      <c r="M165" s="30"/>
      <c r="N165" s="30" t="e">
        <f>IF(MIS_Backend_Data!#REF!="", "", MIS_Backend_Data!#REF!)</f>
        <v>#REF!</v>
      </c>
      <c r="O165" s="44"/>
      <c r="P165" s="40"/>
      <c r="Q165" s="30"/>
    </row>
    <row r="166" spans="1:17" ht="14.5">
      <c r="A166">
        <v>162</v>
      </c>
      <c r="B166" s="35" t="e">
        <f>IF(MIS_Backend_Data!#REF!="", "", MIS_Backend_Data!#REF!)</f>
        <v>#REF!</v>
      </c>
      <c r="C166" s="30"/>
      <c r="D166" s="30" t="str">
        <f>IF(MIS_Backend_Data!Q168="", "", MIS_Backend_Data!Q168)</f>
        <v>SHUBHAM RAMDAS NADE</v>
      </c>
      <c r="E166" s="30"/>
      <c r="F166" s="30" t="e">
        <f>IF(MIS_Backend_Data!#REF!="", "", MIS_Backend_Data!#REF!)</f>
        <v>#REF!</v>
      </c>
      <c r="G166" s="30" t="str">
        <f>IF(MIS_Backend_Data!Y168="", "", MIS_Backend_Data!Y168)</f>
        <v>Sujit Gopinath Patil</v>
      </c>
      <c r="H166" s="30"/>
      <c r="I166" s="30" t="e">
        <f>IF(MIS_Backend_Data!#REF!="", "", MIS_Backend_Data!#REF!)</f>
        <v>#REF!</v>
      </c>
      <c r="J166" s="30" t="str">
        <f>IF(MIS_Backend_Data!AD168="", "", MIS_Backend_Data!AD168)</f>
        <v>NA</v>
      </c>
      <c r="K166" s="30"/>
      <c r="L166" s="30" t="str">
        <f>IF(MIS_Backend_Data!AF168="", "", MIS_Backend_Data!AF168)</f>
        <v>NA</v>
      </c>
      <c r="M166" s="30"/>
      <c r="N166" s="30" t="e">
        <f>IF(MIS_Backend_Data!#REF!="", "", MIS_Backend_Data!#REF!)</f>
        <v>#REF!</v>
      </c>
      <c r="O166" s="44"/>
      <c r="P166" s="40"/>
      <c r="Q166" s="30"/>
    </row>
    <row r="167" spans="1:17" ht="14.5">
      <c r="A167">
        <v>163</v>
      </c>
      <c r="B167" s="35" t="e">
        <f>IF(MIS_Backend_Data!#REF!="", "", MIS_Backend_Data!#REF!)</f>
        <v>#REF!</v>
      </c>
      <c r="C167" s="30"/>
      <c r="D167" s="30" t="str">
        <f>IF(MIS_Backend_Data!Q169="", "", MIS_Backend_Data!Q169)</f>
        <v>Shobha Nitin Aundkar</v>
      </c>
      <c r="E167" s="30"/>
      <c r="F167" s="30" t="e">
        <f>IF(MIS_Backend_Data!#REF!="", "", MIS_Backend_Data!#REF!)</f>
        <v>#REF!</v>
      </c>
      <c r="G167" s="30" t="str">
        <f>IF(MIS_Backend_Data!Y169="", "", MIS_Backend_Data!Y169)</f>
        <v>BABITA RAMESH SARUK</v>
      </c>
      <c r="H167" s="30"/>
      <c r="I167" s="30" t="e">
        <f>IF(MIS_Backend_Data!#REF!="", "", MIS_Backend_Data!#REF!)</f>
        <v>#REF!</v>
      </c>
      <c r="J167" s="30" t="str">
        <f>IF(MIS_Backend_Data!AD169="", "", MIS_Backend_Data!AD169)</f>
        <v>NA</v>
      </c>
      <c r="K167" s="30"/>
      <c r="L167" s="30" t="str">
        <f>IF(MIS_Backend_Data!AF169="", "", MIS_Backend_Data!AF169)</f>
        <v>NA</v>
      </c>
      <c r="M167" s="30"/>
      <c r="N167" s="30" t="e">
        <f>IF(MIS_Backend_Data!#REF!="", "", MIS_Backend_Data!#REF!)</f>
        <v>#REF!</v>
      </c>
      <c r="O167" s="44"/>
      <c r="P167" s="40"/>
      <c r="Q167" s="30"/>
    </row>
    <row r="168" spans="1:17" ht="14.5">
      <c r="A168">
        <v>164</v>
      </c>
      <c r="B168" s="35" t="e">
        <f>IF(MIS_Backend_Data!#REF!="", "", MIS_Backend_Data!#REF!)</f>
        <v>#REF!</v>
      </c>
      <c r="C168" s="30"/>
      <c r="D168" s="30" t="str">
        <f>IF(MIS_Backend_Data!Q170="", "", MIS_Backend_Data!Q170)</f>
        <v>Shobhabai Rameshwer Jadhav</v>
      </c>
      <c r="E168" s="30"/>
      <c r="F168" s="30" t="e">
        <f>IF(MIS_Backend_Data!#REF!="", "", MIS_Backend_Data!#REF!)</f>
        <v>#REF!</v>
      </c>
      <c r="G168" s="30" t="str">
        <f>IF(MIS_Backend_Data!Y170="", "", MIS_Backend_Data!Y170)</f>
        <v>Mr. BALASAHEB BHAGWANRAO SATPUTE</v>
      </c>
      <c r="H168" s="30"/>
      <c r="I168" s="30" t="e">
        <f>IF(MIS_Backend_Data!#REF!="", "", MIS_Backend_Data!#REF!)</f>
        <v>#REF!</v>
      </c>
      <c r="J168" s="30" t="str">
        <f>IF(MIS_Backend_Data!AD170="", "", MIS_Backend_Data!AD170)</f>
        <v>Datta Gopal Devkatte</v>
      </c>
      <c r="K168" s="30"/>
      <c r="L168" s="30" t="str">
        <f>IF(MIS_Backend_Data!AF170="", "", MIS_Backend_Data!AF170)</f>
        <v>Latur</v>
      </c>
      <c r="M168" s="30"/>
      <c r="N168" s="30" t="e">
        <f>IF(MIS_Backend_Data!#REF!="", "", MIS_Backend_Data!#REF!)</f>
        <v>#REF!</v>
      </c>
      <c r="O168" s="44"/>
      <c r="P168" s="40"/>
      <c r="Q168" s="30"/>
    </row>
    <row r="169" spans="1:17" ht="14.5">
      <c r="A169">
        <v>165</v>
      </c>
      <c r="B169" s="145" t="e">
        <f>IF(MIS_Backend_Data!#REF!="", "", MIS_Backend_Data!#REF!)</f>
        <v>#REF!</v>
      </c>
      <c r="D169" t="str">
        <f>IF(MIS_Backend_Data!Q171="", "", MIS_Backend_Data!Q171)</f>
        <v>Sangita Anil Gomse</v>
      </c>
      <c r="F169" t="e">
        <f>IF(MIS_Backend_Data!#REF!="", "", MIS_Backend_Data!#REF!)</f>
        <v>#REF!</v>
      </c>
      <c r="G169" t="str">
        <f>IF(MIS_Backend_Data!Y171="", "", MIS_Backend_Data!Y171)</f>
        <v>EVEREST FLEET PRIVATE LIMITED</v>
      </c>
      <c r="I169" t="e">
        <f>IF(MIS_Backend_Data!#REF!="", "", MIS_Backend_Data!#REF!)</f>
        <v>#REF!</v>
      </c>
      <c r="J169" t="str">
        <f>IF(MIS_Backend_Data!AD171="", "", MIS_Backend_Data!AD171)</f>
        <v>NA</v>
      </c>
      <c r="L169" t="str">
        <f>IF(MIS_Backend_Data!AF171="", "", MIS_Backend_Data!AF171)</f>
        <v>NA</v>
      </c>
      <c r="N169" t="e">
        <f>IF(MIS_Backend_Data!#REF!="", "", MIS_Backend_Data!#REF!)</f>
        <v>#REF!</v>
      </c>
    </row>
    <row r="170" spans="1:17" ht="14.5">
      <c r="A170">
        <v>166</v>
      </c>
      <c r="B170" s="145" t="e">
        <f>IF(MIS_Backend_Data!#REF!="", "", MIS_Backend_Data!#REF!)</f>
        <v>#REF!</v>
      </c>
      <c r="D170" t="str">
        <f>IF(MIS_Backend_Data!Q172="", "", MIS_Backend_Data!Q172)</f>
        <v>Laxman Popat Bhlse</v>
      </c>
      <c r="F170" t="e">
        <f>IF(MIS_Backend_Data!#REF!="", "", MIS_Backend_Data!#REF!)</f>
        <v>#REF!</v>
      </c>
      <c r="G170" t="str">
        <f>IF(MIS_Backend_Data!Y172="", "", MIS_Backend_Data!Y172)</f>
        <v xml:space="preserve">NA </v>
      </c>
      <c r="I170" t="e">
        <f>IF(MIS_Backend_Data!#REF!="", "", MIS_Backend_Data!#REF!)</f>
        <v>#REF!</v>
      </c>
      <c r="J170" t="str">
        <f>IF(MIS_Backend_Data!AD172="", "", MIS_Backend_Data!AD172)</f>
        <v xml:space="preserve">NA </v>
      </c>
      <c r="L170" t="str">
        <f>IF(MIS_Backend_Data!AF172="", "", MIS_Backend_Data!AF172)</f>
        <v xml:space="preserve">NA </v>
      </c>
      <c r="N170" t="e">
        <f>IF(MIS_Backend_Data!#REF!="", "", MIS_Backend_Data!#REF!)</f>
        <v>#REF!</v>
      </c>
    </row>
    <row r="171" spans="1:17" ht="14.5">
      <c r="A171">
        <v>167</v>
      </c>
      <c r="B171" s="145" t="e">
        <f>IF(MIS_Backend_Data!#REF!="", "", MIS_Backend_Data!#REF!)</f>
        <v>#REF!</v>
      </c>
      <c r="D171" t="str">
        <f>IF(MIS_Backend_Data!Q173="", "", MIS_Backend_Data!Q173)</f>
        <v>Ayyub Ajjij Shaikh</v>
      </c>
      <c r="F171" t="e">
        <f>IF(MIS_Backend_Data!#REF!="", "", MIS_Backend_Data!#REF!)</f>
        <v>#REF!</v>
      </c>
      <c r="G171" t="str">
        <f>IF(MIS_Backend_Data!Y173="", "", MIS_Backend_Data!Y173)</f>
        <v>NA</v>
      </c>
      <c r="I171" t="e">
        <f>IF(MIS_Backend_Data!#REF!="", "", MIS_Backend_Data!#REF!)</f>
        <v>#REF!</v>
      </c>
      <c r="J171" t="str">
        <f>IF(MIS_Backend_Data!AD173="", "", MIS_Backend_Data!AD173)</f>
        <v>NA</v>
      </c>
      <c r="L171" t="str">
        <f>IF(MIS_Backend_Data!AF173="", "", MIS_Backend_Data!AF173)</f>
        <v>NA</v>
      </c>
      <c r="N171" t="e">
        <f>IF(MIS_Backend_Data!#REF!="", "", MIS_Backend_Data!#REF!)</f>
        <v>#REF!</v>
      </c>
    </row>
    <row r="172" spans="1:17" ht="14.5">
      <c r="A172">
        <v>168</v>
      </c>
      <c r="B172" s="145" t="e">
        <f>IF(MIS_Backend_Data!#REF!="", "", MIS_Backend_Data!#REF!)</f>
        <v>#REF!</v>
      </c>
      <c r="D172" t="str">
        <f>IF(MIS_Backend_Data!Q174="", "", MIS_Backend_Data!Q174)</f>
        <v>SMT. Samrin Amjad Pathan</v>
      </c>
      <c r="F172" t="e">
        <f>IF(MIS_Backend_Data!#REF!="", "", MIS_Backend_Data!#REF!)</f>
        <v>#REF!</v>
      </c>
      <c r="G172" t="str">
        <f>IF(MIS_Backend_Data!Y174="", "", MIS_Backend_Data!Y174)</f>
        <v>AAYAN TOURS AND TRAVELS</v>
      </c>
      <c r="I172" t="e">
        <f>IF(MIS_Backend_Data!#REF!="", "", MIS_Backend_Data!#REF!)</f>
        <v>#REF!</v>
      </c>
      <c r="J172" t="str">
        <f>IF(MIS_Backend_Data!AD174="", "", MIS_Backend_Data!AD174)</f>
        <v>NA</v>
      </c>
      <c r="L172" t="str">
        <f>IF(MIS_Backend_Data!AF174="", "", MIS_Backend_Data!AF174)</f>
        <v>NA</v>
      </c>
      <c r="N172" t="e">
        <f>IF(MIS_Backend_Data!#REF!="", "", MIS_Backend_Data!#REF!)</f>
        <v>#REF!</v>
      </c>
    </row>
    <row r="173" spans="1:17" ht="14.5">
      <c r="A173">
        <v>169</v>
      </c>
      <c r="B173" s="145" t="e">
        <f>IF(MIS_Backend_Data!#REF!="", "", MIS_Backend_Data!#REF!)</f>
        <v>#REF!</v>
      </c>
      <c r="D173" t="str">
        <f>IF(MIS_Backend_Data!Q175="", "", MIS_Backend_Data!Q175)</f>
        <v>Ajmal Kallu Chaudhari</v>
      </c>
      <c r="F173" t="e">
        <f>IF(MIS_Backend_Data!#REF!="", "", MIS_Backend_Data!#REF!)</f>
        <v>#REF!</v>
      </c>
      <c r="G173" t="str">
        <f>IF(MIS_Backend_Data!Y175="", "", MIS_Backend_Data!Y175)</f>
        <v>Shaikh Alim Shaikh Unus</v>
      </c>
      <c r="I173" t="e">
        <f>IF(MIS_Backend_Data!#REF!="", "", MIS_Backend_Data!#REF!)</f>
        <v>#REF!</v>
      </c>
      <c r="J173" t="str">
        <f>IF(MIS_Backend_Data!AD175="", "", MIS_Backend_Data!AD175)</f>
        <v>Mohmad Alim Mohmad Unus</v>
      </c>
      <c r="L173" t="str">
        <f>IF(MIS_Backend_Data!AF175="", "", MIS_Backend_Data!AF175)</f>
        <v>Sambhajinagar</v>
      </c>
      <c r="N173" t="e">
        <f>IF(MIS_Backend_Data!#REF!="", "", MIS_Backend_Data!#REF!)</f>
        <v>#REF!</v>
      </c>
    </row>
    <row r="174" spans="1:17" ht="14.5">
      <c r="A174">
        <v>170</v>
      </c>
      <c r="B174" s="145" t="e">
        <f>IF(MIS_Backend_Data!#REF!="", "", MIS_Backend_Data!#REF!)</f>
        <v>#REF!</v>
      </c>
      <c r="D174" t="str">
        <f>IF(MIS_Backend_Data!Q176="", "", MIS_Backend_Data!Q176)</f>
        <v>Rukhmini Shankar Shinde</v>
      </c>
      <c r="F174" t="e">
        <f>IF(MIS_Backend_Data!#REF!="", "", MIS_Backend_Data!#REF!)</f>
        <v>#REF!</v>
      </c>
      <c r="G174" t="str">
        <f>IF(MIS_Backend_Data!Y176="", "", MIS_Backend_Data!Y176)</f>
        <v>Shree Warana</v>
      </c>
      <c r="I174" t="e">
        <f>IF(MIS_Backend_Data!#REF!="", "", MIS_Backend_Data!#REF!)</f>
        <v>#REF!</v>
      </c>
      <c r="J174" t="str">
        <f>IF(MIS_Backend_Data!AD176="", "", MIS_Backend_Data!AD176)</f>
        <v xml:space="preserve">NA </v>
      </c>
      <c r="L174" t="str">
        <f>IF(MIS_Backend_Data!AF176="", "", MIS_Backend_Data!AF176)</f>
        <v>NA</v>
      </c>
      <c r="N174" t="e">
        <f>IF(MIS_Backend_Data!#REF!="", "", MIS_Backend_Data!#REF!)</f>
        <v>#REF!</v>
      </c>
    </row>
    <row r="175" spans="1:17" ht="14.5">
      <c r="A175">
        <v>171</v>
      </c>
      <c r="B175" s="145" t="e">
        <f>IF(MIS_Backend_Data!#REF!="", "", MIS_Backend_Data!#REF!)</f>
        <v>#REF!</v>
      </c>
      <c r="D175" t="str">
        <f>IF(MIS_Backend_Data!Q177="", "", MIS_Backend_Data!Q177)</f>
        <v>Ananda Govindrao Sawant     9307982116</v>
      </c>
      <c r="F175" t="e">
        <f>IF(MIS_Backend_Data!#REF!="", "", MIS_Backend_Data!#REF!)</f>
        <v>#REF!</v>
      </c>
      <c r="G175" t="str">
        <f>IF(MIS_Backend_Data!Y177="", "", MIS_Backend_Data!Y177)</f>
        <v>Vijay  Sahebrao Rathod</v>
      </c>
      <c r="I175" t="e">
        <f>IF(MIS_Backend_Data!#REF!="", "", MIS_Backend_Data!#REF!)</f>
        <v>#REF!</v>
      </c>
      <c r="J175" t="str">
        <f>IF(MIS_Backend_Data!AD177="", "", MIS_Backend_Data!AD177)</f>
        <v xml:space="preserve">NA </v>
      </c>
      <c r="L175" t="str">
        <f>IF(MIS_Backend_Data!AF177="", "", MIS_Backend_Data!AF177)</f>
        <v xml:space="preserve">NA </v>
      </c>
      <c r="N175" t="e">
        <f>IF(MIS_Backend_Data!#REF!="", "", MIS_Backend_Data!#REF!)</f>
        <v>#REF!</v>
      </c>
    </row>
    <row r="176" spans="1:17" ht="14.5">
      <c r="A176">
        <v>172</v>
      </c>
      <c r="B176" s="145" t="e">
        <f>IF(MIS_Backend_Data!#REF!="", "", MIS_Backend_Data!#REF!)</f>
        <v>#REF!</v>
      </c>
      <c r="D176" t="str">
        <f>IF(MIS_Backend_Data!Q178="", "", MIS_Backend_Data!Q178)</f>
        <v>Mohammad  Sale Chaus</v>
      </c>
      <c r="F176" t="e">
        <f>IF(MIS_Backend_Data!#REF!="", "", MIS_Backend_Data!#REF!)</f>
        <v>#REF!</v>
      </c>
      <c r="G176" t="str">
        <f>IF(MIS_Backend_Data!Y178="", "", MIS_Backend_Data!Y178)</f>
        <v>Sanjay Bandu Gaikwad    9225201051</v>
      </c>
      <c r="I176" t="e">
        <f>IF(MIS_Backend_Data!#REF!="", "", MIS_Backend_Data!#REF!)</f>
        <v>#REF!</v>
      </c>
      <c r="J176" t="str">
        <f>IF(MIS_Backend_Data!AD178="", "", MIS_Backend_Data!AD178)</f>
        <v>Shaikh Bhikan  Shaikh Bashir</v>
      </c>
      <c r="L176" t="str">
        <f>IF(MIS_Backend_Data!AF178="", "", MIS_Backend_Data!AF178)</f>
        <v>Nashik</v>
      </c>
      <c r="N176" t="e">
        <f>IF(MIS_Backend_Data!#REF!="", "", MIS_Backend_Data!#REF!)</f>
        <v>#REF!</v>
      </c>
    </row>
    <row r="177" spans="1:14" ht="14.5">
      <c r="A177">
        <v>173</v>
      </c>
      <c r="B177" s="145" t="e">
        <f>IF(MIS_Backend_Data!#REF!="", "", MIS_Backend_Data!#REF!)</f>
        <v>#REF!</v>
      </c>
      <c r="D177" t="str">
        <f>IF(MIS_Backend_Data!Q179="", "", MIS_Backend_Data!Q179)</f>
        <v>Rangnath  Dattu Chavan</v>
      </c>
      <c r="F177" t="e">
        <f>IF(MIS_Backend_Data!#REF!="", "", MIS_Backend_Data!#REF!)</f>
        <v>#REF!</v>
      </c>
      <c r="G177" t="str">
        <f>IF(MIS_Backend_Data!Y179="", "", MIS_Backend_Data!Y179)</f>
        <v>Subodh Umakant Gaikwad   9730559097</v>
      </c>
      <c r="I177" t="e">
        <f>IF(MIS_Backend_Data!#REF!="", "", MIS_Backend_Data!#REF!)</f>
        <v>#REF!</v>
      </c>
      <c r="J177" t="str">
        <f>IF(MIS_Backend_Data!AD179="", "", MIS_Backend_Data!AD179)</f>
        <v>Sharad Rangnath Chavan</v>
      </c>
      <c r="L177" t="str">
        <f>IF(MIS_Backend_Data!AF179="", "", MIS_Backend_Data!AF179)</f>
        <v>Dharashiv</v>
      </c>
      <c r="N177" t="e">
        <f>IF(MIS_Backend_Data!#REF!="", "", MIS_Backend_Data!#REF!)</f>
        <v>#REF!</v>
      </c>
    </row>
    <row r="178" spans="1:14" ht="14.5">
      <c r="A178">
        <v>174</v>
      </c>
      <c r="B178" s="145" t="e">
        <f>IF(MIS_Backend_Data!#REF!="", "", MIS_Backend_Data!#REF!)</f>
        <v>#REF!</v>
      </c>
      <c r="D178" t="str">
        <f>IF(MIS_Backend_Data!Q180="", "", MIS_Backend_Data!Q180)</f>
        <v>Raju Datta Digalwad</v>
      </c>
      <c r="F178" t="e">
        <f>IF(MIS_Backend_Data!#REF!="", "", MIS_Backend_Data!#REF!)</f>
        <v>#REF!</v>
      </c>
      <c r="G178" t="str">
        <f>IF(MIS_Backend_Data!Y180="", "", MIS_Backend_Data!Y180)</f>
        <v>Sachin  Madhavrao Dure</v>
      </c>
      <c r="I178" t="e">
        <f>IF(MIS_Backend_Data!#REF!="", "", MIS_Backend_Data!#REF!)</f>
        <v>#REF!</v>
      </c>
      <c r="J178" t="str">
        <f>IF(MIS_Backend_Data!AD180="", "", MIS_Backend_Data!AD180)</f>
        <v xml:space="preserve">NA </v>
      </c>
      <c r="L178" t="str">
        <f>IF(MIS_Backend_Data!AF180="", "", MIS_Backend_Data!AF180)</f>
        <v>NA</v>
      </c>
      <c r="N178" t="e">
        <f>IF(MIS_Backend_Data!#REF!="", "", MIS_Backend_Data!#REF!)</f>
        <v>#REF!</v>
      </c>
    </row>
    <row r="179" spans="1:14" ht="14.5">
      <c r="A179">
        <v>175</v>
      </c>
      <c r="B179" s="145" t="e">
        <f>IF(MIS_Backend_Data!#REF!="", "", MIS_Backend_Data!#REF!)</f>
        <v>#REF!</v>
      </c>
      <c r="D179" t="str">
        <f>IF(MIS_Backend_Data!Q181="", "", MIS_Backend_Data!Q181)</f>
        <v>Anket Ramrao Naik    9765767475</v>
      </c>
      <c r="F179" t="e">
        <f>IF(MIS_Backend_Data!#REF!="", "", MIS_Backend_Data!#REF!)</f>
        <v>#REF!</v>
      </c>
      <c r="G179" t="str">
        <f>IF(MIS_Backend_Data!Y181="", "", MIS_Backend_Data!Y181)</f>
        <v>Maroti Gangaram Ingale</v>
      </c>
      <c r="I179" t="e">
        <f>IF(MIS_Backend_Data!#REF!="", "", MIS_Backend_Data!#REF!)</f>
        <v>#REF!</v>
      </c>
      <c r="J179" t="str">
        <f>IF(MIS_Backend_Data!AD181="", "", MIS_Backend_Data!AD181)</f>
        <v xml:space="preserve">NA </v>
      </c>
      <c r="L179" t="str">
        <f>IF(MIS_Backend_Data!AF181="", "", MIS_Backend_Data!AF181)</f>
        <v>NA</v>
      </c>
      <c r="N179" t="e">
        <f>IF(MIS_Backend_Data!#REF!="", "", MIS_Backend_Data!#REF!)</f>
        <v>#REF!</v>
      </c>
    </row>
    <row r="180" spans="1:14" ht="14.5">
      <c r="A180">
        <v>176</v>
      </c>
      <c r="B180" s="145" t="e">
        <f>IF(MIS_Backend_Data!#REF!="", "", MIS_Backend_Data!#REF!)</f>
        <v>#REF!</v>
      </c>
      <c r="D180" t="str">
        <f>IF(MIS_Backend_Data!Q182="", "", MIS_Backend_Data!Q182)</f>
        <v>Vidya Gajanan Maske    8412930391</v>
      </c>
      <c r="F180" t="e">
        <f>IF(MIS_Backend_Data!#REF!="", "", MIS_Backend_Data!#REF!)</f>
        <v>#REF!</v>
      </c>
      <c r="G180" t="str">
        <f>IF(MIS_Backend_Data!Y182="", "", MIS_Backend_Data!Y182)</f>
        <v>Sayyad Shahed Sayyad Ishaque</v>
      </c>
      <c r="I180" t="e">
        <f>IF(MIS_Backend_Data!#REF!="", "", MIS_Backend_Data!#REF!)</f>
        <v>#REF!</v>
      </c>
      <c r="J180" t="str">
        <f>IF(MIS_Backend_Data!AD182="", "", MIS_Backend_Data!AD182)</f>
        <v xml:space="preserve">NA </v>
      </c>
      <c r="L180" t="str">
        <f>IF(MIS_Backend_Data!AF182="", "", MIS_Backend_Data!AF182)</f>
        <v>NA</v>
      </c>
      <c r="N180" t="e">
        <f>IF(MIS_Backend_Data!#REF!="", "", MIS_Backend_Data!#REF!)</f>
        <v>#REF!</v>
      </c>
    </row>
    <row r="181" spans="1:14" ht="14.5">
      <c r="A181">
        <v>177</v>
      </c>
      <c r="B181" s="145" t="e">
        <f>IF(MIS_Backend_Data!#REF!="", "", MIS_Backend_Data!#REF!)</f>
        <v>#REF!</v>
      </c>
      <c r="D181" t="str">
        <f>IF(MIS_Backend_Data!Q183="", "", MIS_Backend_Data!Q183)</f>
        <v>Anandrao  Vitthalrao Londhe   .7498315779.</v>
      </c>
      <c r="F181" t="e">
        <f>IF(MIS_Backend_Data!#REF!="", "", MIS_Backend_Data!#REF!)</f>
        <v>#REF!</v>
      </c>
      <c r="G181" t="str">
        <f>IF(MIS_Backend_Data!Y183="", "", MIS_Backend_Data!Y183)</f>
        <v xml:space="preserve">Nilesh  Govindrao Dhabe </v>
      </c>
      <c r="I181" t="e">
        <f>IF(MIS_Backend_Data!#REF!="", "", MIS_Backend_Data!#REF!)</f>
        <v>#REF!</v>
      </c>
      <c r="J181" t="str">
        <f>IF(MIS_Backend_Data!AD183="", "", MIS_Backend_Data!AD183)</f>
        <v xml:space="preserve">NA </v>
      </c>
      <c r="L181" t="str">
        <f>IF(MIS_Backend_Data!AF183="", "", MIS_Backend_Data!AF183)</f>
        <v>NA</v>
      </c>
      <c r="N181" t="e">
        <f>IF(MIS_Backend_Data!#REF!="", "", MIS_Backend_Data!#REF!)</f>
        <v>#REF!</v>
      </c>
    </row>
    <row r="182" spans="1:14" ht="14.5">
      <c r="A182">
        <v>178</v>
      </c>
      <c r="B182" s="145" t="e">
        <f>IF(MIS_Backend_Data!#REF!="", "", MIS_Backend_Data!#REF!)</f>
        <v>#REF!</v>
      </c>
      <c r="D182" t="str">
        <f>IF(MIS_Backend_Data!Q184="", "", MIS_Backend_Data!Q184)</f>
        <v>Parvej  Shaikh Salim   9307686411.</v>
      </c>
      <c r="F182" t="e">
        <f>IF(MIS_Backend_Data!#REF!="", "", MIS_Backend_Data!#REF!)</f>
        <v>#REF!</v>
      </c>
      <c r="G182" t="str">
        <f>IF(MIS_Backend_Data!Y184="", "", MIS_Backend_Data!Y184)</f>
        <v xml:space="preserve">Santosh  Sadashiv Tejankar    </v>
      </c>
      <c r="I182" t="e">
        <f>IF(MIS_Backend_Data!#REF!="", "", MIS_Backend_Data!#REF!)</f>
        <v>#REF!</v>
      </c>
      <c r="J182" t="str">
        <f>IF(MIS_Backend_Data!AD184="", "", MIS_Backend_Data!AD184)</f>
        <v xml:space="preserve">NA </v>
      </c>
      <c r="L182" t="str">
        <f>IF(MIS_Backend_Data!AF184="", "", MIS_Backend_Data!AF184)</f>
        <v>NA</v>
      </c>
      <c r="N182" t="e">
        <f>IF(MIS_Backend_Data!#REF!="", "", MIS_Backend_Data!#REF!)</f>
        <v>#REF!</v>
      </c>
    </row>
    <row r="183" spans="1:14" ht="14.5">
      <c r="A183">
        <v>179</v>
      </c>
      <c r="B183" s="145" t="e">
        <f>IF(MIS_Backend_Data!#REF!="", "", MIS_Backend_Data!#REF!)</f>
        <v>#REF!</v>
      </c>
      <c r="D183" t="str">
        <f>IF(MIS_Backend_Data!Q185="", "", MIS_Backend_Data!Q185)</f>
        <v>Balika  Vitthal Hake     8459310873,9146134801</v>
      </c>
      <c r="F183" t="e">
        <f>IF(MIS_Backend_Data!#REF!="", "", MIS_Backend_Data!#REF!)</f>
        <v>#REF!</v>
      </c>
      <c r="G183" t="str">
        <f>IF(MIS_Backend_Data!Y185="", "", MIS_Backend_Data!Y185)</f>
        <v>Ankush Bajirao Gadade</v>
      </c>
      <c r="I183" t="e">
        <f>IF(MIS_Backend_Data!#REF!="", "", MIS_Backend_Data!#REF!)</f>
        <v>#REF!</v>
      </c>
      <c r="J183" t="str">
        <f>IF(MIS_Backend_Data!AD185="", "", MIS_Backend_Data!AD185)</f>
        <v xml:space="preserve">NA </v>
      </c>
      <c r="L183" t="str">
        <f>IF(MIS_Backend_Data!AF185="", "", MIS_Backend_Data!AF185)</f>
        <v>NA</v>
      </c>
      <c r="N183" t="e">
        <f>IF(MIS_Backend_Data!#REF!="", "", MIS_Backend_Data!#REF!)</f>
        <v>#REF!</v>
      </c>
    </row>
    <row r="184" spans="1:14" ht="14.5">
      <c r="A184">
        <v>180</v>
      </c>
      <c r="B184" s="145" t="e">
        <f>IF(MIS_Backend_Data!#REF!="", "", MIS_Backend_Data!#REF!)</f>
        <v>#REF!</v>
      </c>
      <c r="D184" t="str">
        <f>IF(MIS_Backend_Data!Q186="", "", MIS_Backend_Data!Q186)</f>
        <v>Keshavrao Digaji Solanke    8459178282</v>
      </c>
      <c r="F184" t="e">
        <f>IF(MIS_Backend_Data!#REF!="", "", MIS_Backend_Data!#REF!)</f>
        <v>#REF!</v>
      </c>
      <c r="G184" t="str">
        <f>IF(MIS_Backend_Data!Y186="", "", MIS_Backend_Data!Y186)</f>
        <v>Gajanan Narayanrao Solanke</v>
      </c>
      <c r="I184" t="e">
        <f>IF(MIS_Backend_Data!#REF!="", "", MIS_Backend_Data!#REF!)</f>
        <v>#REF!</v>
      </c>
      <c r="J184" t="str">
        <f>IF(MIS_Backend_Data!AD186="", "", MIS_Backend_Data!AD186)</f>
        <v xml:space="preserve">NA </v>
      </c>
      <c r="L184" t="str">
        <f>IF(MIS_Backend_Data!AF186="", "", MIS_Backend_Data!AF186)</f>
        <v>NA</v>
      </c>
      <c r="N184" t="e">
        <f>IF(MIS_Backend_Data!#REF!="", "", MIS_Backend_Data!#REF!)</f>
        <v>#REF!</v>
      </c>
    </row>
    <row r="185" spans="1:14" ht="14.5">
      <c r="A185">
        <v>181</v>
      </c>
      <c r="B185" s="145" t="e">
        <f>IF(MIS_Backend_Data!#REF!="", "", MIS_Backend_Data!#REF!)</f>
        <v>#REF!</v>
      </c>
      <c r="D185" t="str">
        <f>IF(MIS_Backend_Data!Q187="", "", MIS_Backend_Data!Q187)</f>
        <v>Pallvi  Dinkar Ingle   8888152207</v>
      </c>
      <c r="F185" t="e">
        <f>IF(MIS_Backend_Data!#REF!="", "", MIS_Backend_Data!#REF!)</f>
        <v>#REF!</v>
      </c>
      <c r="G185" t="str">
        <f>IF(MIS_Backend_Data!Y187="", "", MIS_Backend_Data!Y187)</f>
        <v>Kedarling  Pralhad Gawali</v>
      </c>
      <c r="I185" t="e">
        <f>IF(MIS_Backend_Data!#REF!="", "", MIS_Backend_Data!#REF!)</f>
        <v>#REF!</v>
      </c>
      <c r="J185" t="str">
        <f>IF(MIS_Backend_Data!AD187="", "", MIS_Backend_Data!AD187)</f>
        <v xml:space="preserve">NA </v>
      </c>
      <c r="L185" t="str">
        <f>IF(MIS_Backend_Data!AF187="", "", MIS_Backend_Data!AF187)</f>
        <v>NA</v>
      </c>
      <c r="N185" t="e">
        <f>IF(MIS_Backend_Data!#REF!="", "", MIS_Backend_Data!#REF!)</f>
        <v>#REF!</v>
      </c>
    </row>
    <row r="186" spans="1:14" ht="14.5">
      <c r="A186">
        <v>182</v>
      </c>
      <c r="B186" s="145" t="e">
        <f>IF(MIS_Backend_Data!#REF!="", "", MIS_Backend_Data!#REF!)</f>
        <v>#REF!</v>
      </c>
      <c r="D186" t="str">
        <f>IF(MIS_Backend_Data!Q188="", "", MIS_Backend_Data!Q188)</f>
        <v>Santosh  Yadav Burkule    9545880402</v>
      </c>
      <c r="F186" t="e">
        <f>IF(MIS_Backend_Data!#REF!="", "", MIS_Backend_Data!#REF!)</f>
        <v>#REF!</v>
      </c>
      <c r="G186" t="str">
        <f>IF(MIS_Backend_Data!Y188="", "", MIS_Backend_Data!Y188)</f>
        <v>Raju  Panditrao Londhe</v>
      </c>
      <c r="I186" t="e">
        <f>IF(MIS_Backend_Data!#REF!="", "", MIS_Backend_Data!#REF!)</f>
        <v>#REF!</v>
      </c>
      <c r="J186" t="str">
        <f>IF(MIS_Backend_Data!AD188="", "", MIS_Backend_Data!AD188)</f>
        <v xml:space="preserve">NA </v>
      </c>
      <c r="L186" t="str">
        <f>IF(MIS_Backend_Data!AF188="", "", MIS_Backend_Data!AF188)</f>
        <v>NA</v>
      </c>
      <c r="N186" t="e">
        <f>IF(MIS_Backend_Data!#REF!="", "", MIS_Backend_Data!#REF!)</f>
        <v>#REF!</v>
      </c>
    </row>
    <row r="187" spans="1:14" ht="14.5">
      <c r="A187">
        <v>183</v>
      </c>
      <c r="B187" s="145" t="e">
        <f>IF(MIS_Backend_Data!#REF!="", "", MIS_Backend_Data!#REF!)</f>
        <v>#REF!</v>
      </c>
      <c r="D187" t="str">
        <f>IF(MIS_Backend_Data!Q189="", "", MIS_Backend_Data!Q189)</f>
        <v>Radhabai  Prakash Metkar   9922510119.</v>
      </c>
      <c r="F187" t="e">
        <f>IF(MIS_Backend_Data!#REF!="", "", MIS_Backend_Data!#REF!)</f>
        <v>#REF!</v>
      </c>
      <c r="G187" t="str">
        <f>IF(MIS_Backend_Data!Y189="", "", MIS_Backend_Data!Y189)</f>
        <v>Santosh  Bhagwan Shelake</v>
      </c>
      <c r="I187" t="e">
        <f>IF(MIS_Backend_Data!#REF!="", "", MIS_Backend_Data!#REF!)</f>
        <v>#REF!</v>
      </c>
      <c r="J187" t="str">
        <f>IF(MIS_Backend_Data!AD189="", "", MIS_Backend_Data!AD189)</f>
        <v xml:space="preserve">NA </v>
      </c>
      <c r="L187" t="str">
        <f>IF(MIS_Backend_Data!AF189="", "", MIS_Backend_Data!AF189)</f>
        <v>NA</v>
      </c>
      <c r="N187" t="e">
        <f>IF(MIS_Backend_Data!#REF!="", "", MIS_Backend_Data!#REF!)</f>
        <v>#REF!</v>
      </c>
    </row>
    <row r="188" spans="1:14" ht="14.5">
      <c r="A188">
        <v>184</v>
      </c>
      <c r="B188" s="145" t="e">
        <f>IF(MIS_Backend_Data!#REF!="", "", MIS_Backend_Data!#REF!)</f>
        <v>#REF!</v>
      </c>
      <c r="D188" t="str">
        <f>IF(MIS_Backend_Data!Q190="", "", MIS_Backend_Data!Q190)</f>
        <v>Govind Gangadhar Bhosale   9049828230</v>
      </c>
      <c r="F188" t="e">
        <f>IF(MIS_Backend_Data!#REF!="", "", MIS_Backend_Data!#REF!)</f>
        <v>#REF!</v>
      </c>
      <c r="G188" t="str">
        <f>IF(MIS_Backend_Data!Y190="", "", MIS_Backend_Data!Y190)</f>
        <v>Chandrakant Satwaji Kamble</v>
      </c>
      <c r="I188" t="e">
        <f>IF(MIS_Backend_Data!#REF!="", "", MIS_Backend_Data!#REF!)</f>
        <v>#REF!</v>
      </c>
      <c r="J188" t="str">
        <f>IF(MIS_Backend_Data!AD190="", "", MIS_Backend_Data!AD190)</f>
        <v xml:space="preserve">NA </v>
      </c>
      <c r="L188" t="str">
        <f>IF(MIS_Backend_Data!AF190="", "", MIS_Backend_Data!AF190)</f>
        <v>NA</v>
      </c>
      <c r="N188" t="e">
        <f>IF(MIS_Backend_Data!#REF!="", "", MIS_Backend_Data!#REF!)</f>
        <v>#REF!</v>
      </c>
    </row>
    <row r="189" spans="1:14" ht="14.5">
      <c r="A189">
        <v>185</v>
      </c>
      <c r="B189" s="145" t="e">
        <f>IF(MIS_Backend_Data!#REF!="", "", MIS_Backend_Data!#REF!)</f>
        <v>#REF!</v>
      </c>
      <c r="D189" t="str">
        <f>IF(MIS_Backend_Data!Q191="", "", MIS_Backend_Data!Q191)</f>
        <v>SHALU SAROJ  VIKASH PRASAD</v>
      </c>
      <c r="F189" t="e">
        <f>IF(MIS_Backend_Data!#REF!="", "", MIS_Backend_Data!#REF!)</f>
        <v>#REF!</v>
      </c>
      <c r="G189" t="str">
        <f>IF(MIS_Backend_Data!Y191="", "", MIS_Backend_Data!Y191)</f>
        <v>SANJAY DHULA HIRAVE</v>
      </c>
      <c r="I189" t="e">
        <f>IF(MIS_Backend_Data!#REF!="", "", MIS_Backend_Data!#REF!)</f>
        <v>#REF!</v>
      </c>
      <c r="J189" t="str">
        <f>IF(MIS_Backend_Data!AD191="", "", MIS_Backend_Data!AD191)</f>
        <v>RAJU  DASAHRATH RAJGE</v>
      </c>
      <c r="L189" t="str">
        <f>IF(MIS_Backend_Data!AF191="", "", MIS_Backend_Data!AF191)</f>
        <v>Satara</v>
      </c>
      <c r="N189" t="e">
        <f>IF(MIS_Backend_Data!#REF!="", "", MIS_Backend_Data!#REF!)</f>
        <v>#REF!</v>
      </c>
    </row>
    <row r="190" spans="1:14" ht="14.5">
      <c r="A190">
        <v>186</v>
      </c>
      <c r="B190" s="145" t="e">
        <f>IF(MIS_Backend_Data!#REF!="", "", MIS_Backend_Data!#REF!)</f>
        <v>#REF!</v>
      </c>
      <c r="D190" t="str">
        <f>IF(MIS_Backend_Data!Q192="", "", MIS_Backend_Data!Q192)</f>
        <v>Asha Devi Pawankumar</v>
      </c>
      <c r="F190" t="e">
        <f>IF(MIS_Backend_Data!#REF!="", "", MIS_Backend_Data!#REF!)</f>
        <v>#REF!</v>
      </c>
      <c r="G190" t="str">
        <f>IF(MIS_Backend_Data!Y192="", "", MIS_Backend_Data!Y192)</f>
        <v xml:space="preserve">NA </v>
      </c>
      <c r="I190" t="e">
        <f>IF(MIS_Backend_Data!#REF!="", "", MIS_Backend_Data!#REF!)</f>
        <v>#REF!</v>
      </c>
      <c r="J190" t="str">
        <f>IF(MIS_Backend_Data!AD192="", "", MIS_Backend_Data!AD192)</f>
        <v xml:space="preserve">NA </v>
      </c>
      <c r="L190" t="str">
        <f>IF(MIS_Backend_Data!AF192="", "", MIS_Backend_Data!AF192)</f>
        <v xml:space="preserve">NA </v>
      </c>
      <c r="N190" t="e">
        <f>IF(MIS_Backend_Data!#REF!="", "", MIS_Backend_Data!#REF!)</f>
        <v>#REF!</v>
      </c>
    </row>
    <row r="191" spans="1:14" ht="14.5">
      <c r="A191">
        <v>187</v>
      </c>
      <c r="B191" s="145" t="e">
        <f>IF(MIS_Backend_Data!#REF!="", "", MIS_Backend_Data!#REF!)</f>
        <v>#REF!</v>
      </c>
      <c r="D191" t="str">
        <f>IF(MIS_Backend_Data!Q193="", "", MIS_Backend_Data!Q193)</f>
        <v>Premadevi Dharmendra Kumar</v>
      </c>
      <c r="F191" t="e">
        <f>IF(MIS_Backend_Data!#REF!="", "", MIS_Backend_Data!#REF!)</f>
        <v>#REF!</v>
      </c>
      <c r="G191" t="str">
        <f>IF(MIS_Backend_Data!Y193="", "", MIS_Backend_Data!Y193)</f>
        <v xml:space="preserve">NA </v>
      </c>
      <c r="I191" t="e">
        <f>IF(MIS_Backend_Data!#REF!="", "", MIS_Backend_Data!#REF!)</f>
        <v>#REF!</v>
      </c>
      <c r="J191" t="str">
        <f>IF(MIS_Backend_Data!AD193="", "", MIS_Backend_Data!AD193)</f>
        <v xml:space="preserve">NA </v>
      </c>
      <c r="L191" t="str">
        <f>IF(MIS_Backend_Data!AF193="", "", MIS_Backend_Data!AF193)</f>
        <v xml:space="preserve">NA </v>
      </c>
      <c r="N191" t="e">
        <f>IF(MIS_Backend_Data!#REF!="", "", MIS_Backend_Data!#REF!)</f>
        <v>#REF!</v>
      </c>
    </row>
    <row r="192" spans="1:14" ht="14.5">
      <c r="A192">
        <v>188</v>
      </c>
      <c r="B192" s="145" t="e">
        <f>IF(MIS_Backend_Data!#REF!="", "", MIS_Backend_Data!#REF!)</f>
        <v>#REF!</v>
      </c>
      <c r="D192" t="str">
        <f>IF(MIS_Backend_Data!Q194="", "", MIS_Backend_Data!Q194)</f>
        <v>Arti Amit Kumar</v>
      </c>
      <c r="F192" t="e">
        <f>IF(MIS_Backend_Data!#REF!="", "", MIS_Backend_Data!#REF!)</f>
        <v>#REF!</v>
      </c>
      <c r="G192" t="str">
        <f>IF(MIS_Backend_Data!Y194="", "", MIS_Backend_Data!Y194)</f>
        <v xml:space="preserve">NA </v>
      </c>
      <c r="I192" t="e">
        <f>IF(MIS_Backend_Data!#REF!="", "", MIS_Backend_Data!#REF!)</f>
        <v>#REF!</v>
      </c>
      <c r="J192" t="str">
        <f>IF(MIS_Backend_Data!AD194="", "", MIS_Backend_Data!AD194)</f>
        <v xml:space="preserve">NA </v>
      </c>
      <c r="L192" t="str">
        <f>IF(MIS_Backend_Data!AF194="", "", MIS_Backend_Data!AF194)</f>
        <v xml:space="preserve">NA </v>
      </c>
      <c r="N192" t="e">
        <f>IF(MIS_Backend_Data!#REF!="", "", MIS_Backend_Data!#REF!)</f>
        <v>#REF!</v>
      </c>
    </row>
    <row r="193" spans="1:14" ht="14.5">
      <c r="A193">
        <v>189</v>
      </c>
      <c r="B193" s="145" t="e">
        <f>IF(MIS_Backend_Data!#REF!="", "", MIS_Backend_Data!#REF!)</f>
        <v>#REF!</v>
      </c>
      <c r="D193" t="str">
        <f>IF(MIS_Backend_Data!Q195="", "", MIS_Backend_Data!Q195)</f>
        <v>CHANDRASHEKHAR ARJUN SURVASE</v>
      </c>
      <c r="F193" t="e">
        <f>IF(MIS_Backend_Data!#REF!="", "", MIS_Backend_Data!#REF!)</f>
        <v>#REF!</v>
      </c>
      <c r="G193" t="str">
        <f>IF(MIS_Backend_Data!Y195="", "", MIS_Backend_Data!Y195)</f>
        <v>Shiv Om Travels</v>
      </c>
      <c r="I193" t="e">
        <f>IF(MIS_Backend_Data!#REF!="", "", MIS_Backend_Data!#REF!)</f>
        <v>#REF!</v>
      </c>
      <c r="J193" t="str">
        <f>IF(MIS_Backend_Data!AD195="", "", MIS_Backend_Data!AD195)</f>
        <v xml:space="preserve">NA </v>
      </c>
      <c r="L193" t="str">
        <f>IF(MIS_Backend_Data!AF195="", "", MIS_Backend_Data!AF195)</f>
        <v xml:space="preserve">NA </v>
      </c>
      <c r="N193" t="e">
        <f>IF(MIS_Backend_Data!#REF!="", "", MIS_Backend_Data!#REF!)</f>
        <v>#REF!</v>
      </c>
    </row>
    <row r="194" spans="1:14" ht="14.5">
      <c r="A194">
        <v>190</v>
      </c>
      <c r="B194" s="145" t="e">
        <f>IF(MIS_Backend_Data!#REF!="", "", MIS_Backend_Data!#REF!)</f>
        <v>#REF!</v>
      </c>
      <c r="D194" t="str">
        <f>IF(MIS_Backend_Data!Q196="", "", MIS_Backend_Data!Q196)</f>
        <v>SHRI SARJERAV GULAB DEVKATE</v>
      </c>
      <c r="F194" t="e">
        <f>IF(MIS_Backend_Data!#REF!="", "", MIS_Backend_Data!#REF!)</f>
        <v>#REF!</v>
      </c>
      <c r="G194" t="str">
        <f>IF(MIS_Backend_Data!Y196="", "", MIS_Backend_Data!Y196)</f>
        <v>PRATIK VINAYAK MANE</v>
      </c>
      <c r="I194" t="e">
        <f>IF(MIS_Backend_Data!#REF!="", "", MIS_Backend_Data!#REF!)</f>
        <v>#REF!</v>
      </c>
      <c r="J194" t="str">
        <f>IF(MIS_Backend_Data!AD196="", "", MIS_Backend_Data!AD196)</f>
        <v>Rushikesh Bharat Dalavi</v>
      </c>
      <c r="L194" t="str">
        <f>IF(MIS_Backend_Data!AF196="", "", MIS_Backend_Data!AF196)</f>
        <v>Pune</v>
      </c>
      <c r="N194" t="e">
        <f>IF(MIS_Backend_Data!#REF!="", "", MIS_Backend_Data!#REF!)</f>
        <v>#REF!</v>
      </c>
    </row>
    <row r="195" spans="1:14" ht="14.5">
      <c r="A195">
        <v>191</v>
      </c>
      <c r="B195" s="145" t="e">
        <f>IF(MIS_Backend_Data!#REF!="", "", MIS_Backend_Data!#REF!)</f>
        <v>#REF!</v>
      </c>
      <c r="D195" t="str">
        <f>IF(MIS_Backend_Data!Q197="", "", MIS_Backend_Data!Q197)</f>
        <v>Bhausaheb Kushinath Karhale</v>
      </c>
      <c r="F195" t="e">
        <f>IF(MIS_Backend_Data!#REF!="", "", MIS_Backend_Data!#REF!)</f>
        <v>#REF!</v>
      </c>
      <c r="G195" t="str">
        <f>IF(MIS_Backend_Data!Y197="", "", MIS_Backend_Data!Y197)</f>
        <v>Sattar Musa Pathan</v>
      </c>
      <c r="I195" t="e">
        <f>IF(MIS_Backend_Data!#REF!="", "", MIS_Backend_Data!#REF!)</f>
        <v>#REF!</v>
      </c>
      <c r="J195" t="str">
        <f>IF(MIS_Backend_Data!AD197="", "", MIS_Backend_Data!AD197)</f>
        <v>Namdeo Suryabhan Gat</v>
      </c>
      <c r="L195" t="str">
        <f>IF(MIS_Backend_Data!AF197="", "", MIS_Backend_Data!AF197)</f>
        <v>Sambhaji Nagar</v>
      </c>
      <c r="N195" t="e">
        <f>IF(MIS_Backend_Data!#REF!="", "", MIS_Backend_Data!#REF!)</f>
        <v>#REF!</v>
      </c>
    </row>
    <row r="196" spans="1:14" ht="14.5">
      <c r="A196">
        <v>192</v>
      </c>
      <c r="B196" s="145" t="e">
        <f>IF(MIS_Backend_Data!#REF!="", "", MIS_Backend_Data!#REF!)</f>
        <v>#REF!</v>
      </c>
      <c r="D196" t="str">
        <f>IF(MIS_Backend_Data!Q198="", "", MIS_Backend_Data!Q198)</f>
        <v>Mahendra Bhausaheb Gursale</v>
      </c>
      <c r="F196" t="e">
        <f>IF(MIS_Backend_Data!#REF!="", "", MIS_Backend_Data!#REF!)</f>
        <v>#REF!</v>
      </c>
      <c r="G196" t="str">
        <f>IF(MIS_Backend_Data!Y198="", "", MIS_Backend_Data!Y198)</f>
        <v>Prahalad Tukaram Jadhav</v>
      </c>
      <c r="I196" t="e">
        <f>IF(MIS_Backend_Data!#REF!="", "", MIS_Backend_Data!#REF!)</f>
        <v>#REF!</v>
      </c>
      <c r="J196" t="str">
        <f>IF(MIS_Backend_Data!AD198="", "", MIS_Backend_Data!AD198)</f>
        <v>Prahalad Tukaram Jadhav</v>
      </c>
      <c r="L196" t="str">
        <f>IF(MIS_Backend_Data!AF198="", "", MIS_Backend_Data!AF198)</f>
        <v>Pune</v>
      </c>
      <c r="N196" t="e">
        <f>IF(MIS_Backend_Data!#REF!="", "", MIS_Backend_Data!#REF!)</f>
        <v>#REF!</v>
      </c>
    </row>
    <row r="197" spans="1:14" ht="14.5">
      <c r="A197">
        <v>193</v>
      </c>
      <c r="B197" s="145" t="e">
        <f>IF(MIS_Backend_Data!#REF!="", "", MIS_Backend_Data!#REF!)</f>
        <v>#REF!</v>
      </c>
      <c r="D197" t="str">
        <f>IF(MIS_Backend_Data!Q199="", "", MIS_Backend_Data!Q199)</f>
        <v xml:space="preserve">NA </v>
      </c>
      <c r="F197" t="e">
        <f>IF(MIS_Backend_Data!#REF!="", "", MIS_Backend_Data!#REF!)</f>
        <v>#REF!</v>
      </c>
      <c r="G197" t="str">
        <f>IF(MIS_Backend_Data!Y199="", "", MIS_Backend_Data!Y199)</f>
        <v xml:space="preserve">NA </v>
      </c>
      <c r="I197" t="e">
        <f>IF(MIS_Backend_Data!#REF!="", "", MIS_Backend_Data!#REF!)</f>
        <v>#REF!</v>
      </c>
      <c r="J197" t="str">
        <f>IF(MIS_Backend_Data!AD199="", "", MIS_Backend_Data!AD199)</f>
        <v>NA</v>
      </c>
      <c r="L197" t="str">
        <f>IF(MIS_Backend_Data!AF199="", "", MIS_Backend_Data!AF199)</f>
        <v>NA</v>
      </c>
      <c r="N197" t="e">
        <f>IF(MIS_Backend_Data!#REF!="", "", MIS_Backend_Data!#REF!)</f>
        <v>#REF!</v>
      </c>
    </row>
    <row r="198" spans="1:14" ht="14.5">
      <c r="A198">
        <v>194</v>
      </c>
      <c r="B198" s="145" t="e">
        <f>IF(MIS_Backend_Data!#REF!="", "", MIS_Backend_Data!#REF!)</f>
        <v>#REF!</v>
      </c>
      <c r="D198" t="str">
        <f>IF(MIS_Backend_Data!Q200="", "", MIS_Backend_Data!Q200)</f>
        <v>Shirin Late Javid Shaikh</v>
      </c>
      <c r="F198" t="e">
        <f>IF(MIS_Backend_Data!#REF!="", "", MIS_Backend_Data!#REF!)</f>
        <v>#REF!</v>
      </c>
      <c r="G198" t="str">
        <f>IF(MIS_Backend_Data!Y200="", "", MIS_Backend_Data!Y200)</f>
        <v>Samir Patel Bashir Patel</v>
      </c>
      <c r="I198" t="e">
        <f>IF(MIS_Backend_Data!#REF!="", "", MIS_Backend_Data!#REF!)</f>
        <v>#REF!</v>
      </c>
      <c r="J198" t="str">
        <f>IF(MIS_Backend_Data!AD200="", "", MIS_Backend_Data!AD200)</f>
        <v>NA</v>
      </c>
      <c r="L198" t="str">
        <f>IF(MIS_Backend_Data!AF200="", "", MIS_Backend_Data!AF200)</f>
        <v>NA</v>
      </c>
      <c r="N198" t="e">
        <f>IF(MIS_Backend_Data!#REF!="", "", MIS_Backend_Data!#REF!)</f>
        <v>#REF!</v>
      </c>
    </row>
    <row r="199" spans="1:14" ht="14.5">
      <c r="A199">
        <v>195</v>
      </c>
      <c r="B199" s="145" t="e">
        <f>IF(MIS_Backend_Data!#REF!="", "", MIS_Backend_Data!#REF!)</f>
        <v>#REF!</v>
      </c>
      <c r="D199" t="str">
        <f>IF(MIS_Backend_Data!Q201="", "", MIS_Backend_Data!Q201)</f>
        <v>Kiran Balaram Patil</v>
      </c>
      <c r="F199" t="e">
        <f>IF(MIS_Backend_Data!#REF!="", "", MIS_Backend_Data!#REF!)</f>
        <v>#REF!</v>
      </c>
      <c r="G199" t="str">
        <f>IF(MIS_Backend_Data!Y201="", "", MIS_Backend_Data!Y201)</f>
        <v xml:space="preserve">NA </v>
      </c>
      <c r="I199" t="e">
        <f>IF(MIS_Backend_Data!#REF!="", "", MIS_Backend_Data!#REF!)</f>
        <v>#REF!</v>
      </c>
      <c r="J199" t="str">
        <f>IF(MIS_Backend_Data!AD201="", "", MIS_Backend_Data!AD201)</f>
        <v>NA</v>
      </c>
      <c r="L199" t="str">
        <f>IF(MIS_Backend_Data!AF201="", "", MIS_Backend_Data!AF201)</f>
        <v>NA</v>
      </c>
      <c r="N199" t="e">
        <f>IF(MIS_Backend_Data!#REF!="", "", MIS_Backend_Data!#REF!)</f>
        <v>#REF!</v>
      </c>
    </row>
    <row r="200" spans="1:14" ht="14.5">
      <c r="A200">
        <v>196</v>
      </c>
      <c r="B200" s="145" t="e">
        <f>IF(MIS_Backend_Data!#REF!="", "", MIS_Backend_Data!#REF!)</f>
        <v>#REF!</v>
      </c>
      <c r="D200" t="str">
        <f>IF(MIS_Backend_Data!Q202="", "", MIS_Backend_Data!Q202)</f>
        <v>NA</v>
      </c>
      <c r="F200" t="e">
        <f>IF(MIS_Backend_Data!#REF!="", "", MIS_Backend_Data!#REF!)</f>
        <v>#REF!</v>
      </c>
      <c r="G200" t="str">
        <f>IF(MIS_Backend_Data!Y202="", "", MIS_Backend_Data!Y202)</f>
        <v>Mahendra Sudam Parbhane</v>
      </c>
      <c r="I200" t="e">
        <f>IF(MIS_Backend_Data!#REF!="", "", MIS_Backend_Data!#REF!)</f>
        <v>#REF!</v>
      </c>
      <c r="J200" t="str">
        <f>IF(MIS_Backend_Data!AD202="", "", MIS_Backend_Data!AD202)</f>
        <v>Yogesh Balasaheb Shelar</v>
      </c>
      <c r="L200" t="str">
        <f>IF(MIS_Backend_Data!AF202="", "", MIS_Backend_Data!AF202)</f>
        <v>Pune</v>
      </c>
      <c r="N200" t="e">
        <f>IF(MIS_Backend_Data!#REF!="", "", MIS_Backend_Data!#REF!)</f>
        <v>#REF!</v>
      </c>
    </row>
    <row r="201" spans="1:14" ht="14.5">
      <c r="A201">
        <v>197</v>
      </c>
      <c r="B201" s="145" t="e">
        <f>IF(MIS_Backend_Data!#REF!="", "", MIS_Backend_Data!#REF!)</f>
        <v>#REF!</v>
      </c>
      <c r="D201" t="str">
        <f>IF(MIS_Backend_Data!Q203="", "", MIS_Backend_Data!Q203)</f>
        <v>Nikita Shivaji Pole</v>
      </c>
      <c r="F201" t="e">
        <f>IF(MIS_Backend_Data!#REF!="", "", MIS_Backend_Data!#REF!)</f>
        <v>#REF!</v>
      </c>
      <c r="G201" t="str">
        <f>IF(MIS_Backend_Data!Y203="", "", MIS_Backend_Data!Y203)</f>
        <v>Sanjay Dhondiba Ufalkar</v>
      </c>
      <c r="I201" t="e">
        <f>IF(MIS_Backend_Data!#REF!="", "", MIS_Backend_Data!#REF!)</f>
        <v>#REF!</v>
      </c>
      <c r="J201" t="str">
        <f>IF(MIS_Backend_Data!AD203="", "", MIS_Backend_Data!AD203)</f>
        <v>Santosh Prakash Palimkar</v>
      </c>
      <c r="L201" t="str">
        <f>IF(MIS_Backend_Data!AF203="", "", MIS_Backend_Data!AF203)</f>
        <v>Beed</v>
      </c>
      <c r="N201" t="e">
        <f>IF(MIS_Backend_Data!#REF!="", "", MIS_Backend_Data!#REF!)</f>
        <v>#REF!</v>
      </c>
    </row>
    <row r="202" spans="1:14" ht="14.5">
      <c r="A202">
        <v>198</v>
      </c>
      <c r="B202" s="145" t="e">
        <f>IF(MIS_Backend_Data!#REF!="", "", MIS_Backend_Data!#REF!)</f>
        <v>#REF!</v>
      </c>
      <c r="D202" t="str">
        <f>IF(MIS_Backend_Data!Q204="", "", MIS_Backend_Data!Q204)</f>
        <v>Datta Sopan Musale</v>
      </c>
      <c r="F202" t="e">
        <f>IF(MIS_Backend_Data!#REF!="", "", MIS_Backend_Data!#REF!)</f>
        <v>#REF!</v>
      </c>
      <c r="G202" t="str">
        <f>IF(MIS_Backend_Data!Y204="", "", MIS_Backend_Data!Y204)</f>
        <v>Rahul Shirish Munde</v>
      </c>
      <c r="I202" t="e">
        <f>IF(MIS_Backend_Data!#REF!="", "", MIS_Backend_Data!#REF!)</f>
        <v>#REF!</v>
      </c>
      <c r="J202" t="str">
        <f>IF(MIS_Backend_Data!AD204="", "", MIS_Backend_Data!AD204)</f>
        <v>NA</v>
      </c>
      <c r="L202" t="str">
        <f>IF(MIS_Backend_Data!AF204="", "", MIS_Backend_Data!AF204)</f>
        <v>NA</v>
      </c>
      <c r="N202" t="e">
        <f>IF(MIS_Backend_Data!#REF!="", "", MIS_Backend_Data!#REF!)</f>
        <v>#REF!</v>
      </c>
    </row>
    <row r="203" spans="1:14" ht="14.5">
      <c r="A203">
        <v>199</v>
      </c>
      <c r="B203" s="145" t="e">
        <f>IF(MIS_Backend_Data!#REF!="", "", MIS_Backend_Data!#REF!)</f>
        <v>#REF!</v>
      </c>
      <c r="D203" t="str">
        <f>IF(MIS_Backend_Data!Q205="", "", MIS_Backend_Data!Q205)</f>
        <v>Savita Raju Lokhande</v>
      </c>
      <c r="F203" t="e">
        <f>IF(MIS_Backend_Data!#REF!="", "", MIS_Backend_Data!#REF!)</f>
        <v>#REF!</v>
      </c>
      <c r="G203" t="str">
        <f>IF(MIS_Backend_Data!Y205="", "", MIS_Backend_Data!Y205)</f>
        <v>Ajay Sitaraam Jadhav</v>
      </c>
      <c r="I203" t="e">
        <f>IF(MIS_Backend_Data!#REF!="", "", MIS_Backend_Data!#REF!)</f>
        <v>#REF!</v>
      </c>
      <c r="J203" t="str">
        <f>IF(MIS_Backend_Data!AD205="", "", MIS_Backend_Data!AD205)</f>
        <v>Govind Sanjay Jadhav</v>
      </c>
      <c r="L203" t="str">
        <f>IF(MIS_Backend_Data!AF205="", "", MIS_Backend_Data!AF205)</f>
        <v xml:space="preserve">Sambhajinagar </v>
      </c>
      <c r="N203" t="e">
        <f>IF(MIS_Backend_Data!#REF!="", "", MIS_Backend_Data!#REF!)</f>
        <v>#REF!</v>
      </c>
    </row>
    <row r="204" spans="1:14" ht="14.5">
      <c r="A204">
        <v>200</v>
      </c>
      <c r="B204" s="145" t="e">
        <f>IF(MIS_Backend_Data!#REF!="", "", MIS_Backend_Data!#REF!)</f>
        <v>#REF!</v>
      </c>
      <c r="D204" t="str">
        <f>IF(MIS_Backend_Data!Q206="", "", MIS_Backend_Data!Q206)</f>
        <v>Kamalaji Pralhadrao Haran</v>
      </c>
      <c r="F204" t="e">
        <f>IF(MIS_Backend_Data!#REF!="", "", MIS_Backend_Data!#REF!)</f>
        <v>#REF!</v>
      </c>
      <c r="G204" t="str">
        <f>IF(MIS_Backend_Data!Y206="", "", MIS_Backend_Data!Y206)</f>
        <v>Gajanan Ganeshrao Solanke</v>
      </c>
      <c r="I204" t="e">
        <f>IF(MIS_Backend_Data!#REF!="", "", MIS_Backend_Data!#REF!)</f>
        <v>#REF!</v>
      </c>
      <c r="J204" t="str">
        <f>IF(MIS_Backend_Data!AD206="", "", MIS_Backend_Data!AD206)</f>
        <v>NA</v>
      </c>
      <c r="L204" t="str">
        <f>IF(MIS_Backend_Data!AF206="", "", MIS_Backend_Data!AF206)</f>
        <v>NA</v>
      </c>
      <c r="N204" t="e">
        <f>IF(MIS_Backend_Data!#REF!="", "", MIS_Backend_Data!#REF!)</f>
        <v>#REF!</v>
      </c>
    </row>
    <row r="205" spans="1:14" ht="14.5">
      <c r="A205">
        <v>201</v>
      </c>
      <c r="B205" s="145" t="e">
        <f>IF(MIS_Backend_Data!#REF!="", "", MIS_Backend_Data!#REF!)</f>
        <v>#REF!</v>
      </c>
      <c r="D205" t="str">
        <f>IF(MIS_Backend_Data!Q207="", "", MIS_Backend_Data!Q207)</f>
        <v>Awez  Yusuf Khan Pathan</v>
      </c>
      <c r="F205" t="e">
        <f>IF(MIS_Backend_Data!#REF!="", "", MIS_Backend_Data!#REF!)</f>
        <v>#REF!</v>
      </c>
      <c r="G205" t="str">
        <f>IF(MIS_Backend_Data!Y207="", "", MIS_Backend_Data!Y207)</f>
        <v>Shekh Mujid Shekh Musa</v>
      </c>
      <c r="I205" t="e">
        <f>IF(MIS_Backend_Data!#REF!="", "", MIS_Backend_Data!#REF!)</f>
        <v>#REF!</v>
      </c>
      <c r="J205" t="str">
        <f>IF(MIS_Backend_Data!AD207="", "", MIS_Backend_Data!AD207)</f>
        <v>NA</v>
      </c>
      <c r="L205" t="str">
        <f>IF(MIS_Backend_Data!AF207="", "", MIS_Backend_Data!AF207)</f>
        <v>NA</v>
      </c>
      <c r="N205" t="e">
        <f>IF(MIS_Backend_Data!#REF!="", "", MIS_Backend_Data!#REF!)</f>
        <v>#REF!</v>
      </c>
    </row>
    <row r="206" spans="1:14" ht="14.5">
      <c r="A206">
        <v>202</v>
      </c>
      <c r="B206" s="145" t="e">
        <f>IF(MIS_Backend_Data!#REF!="", "", MIS_Backend_Data!#REF!)</f>
        <v>#REF!</v>
      </c>
      <c r="D206" t="str">
        <f>IF(MIS_Backend_Data!Q208="", "", MIS_Backend_Data!Q208)</f>
        <v>Maya Vilas Mogale</v>
      </c>
      <c r="F206" t="e">
        <f>IF(MIS_Backend_Data!#REF!="", "", MIS_Backend_Data!#REF!)</f>
        <v>#REF!</v>
      </c>
      <c r="G206" t="str">
        <f>IF(MIS_Backend_Data!Y208="", "", MIS_Backend_Data!Y208)</f>
        <v>Surajkumar Indarlal Jaiswal</v>
      </c>
      <c r="I206" t="e">
        <f>IF(MIS_Backend_Data!#REF!="", "", MIS_Backend_Data!#REF!)</f>
        <v>#REF!</v>
      </c>
      <c r="J206" t="str">
        <f>IF(MIS_Backend_Data!AD208="", "", MIS_Backend_Data!AD208)</f>
        <v>NA</v>
      </c>
      <c r="L206" t="str">
        <f>IF(MIS_Backend_Data!AF208="", "", MIS_Backend_Data!AF208)</f>
        <v>NA</v>
      </c>
      <c r="N206" t="e">
        <f>IF(MIS_Backend_Data!#REF!="", "", MIS_Backend_Data!#REF!)</f>
        <v>#REF!</v>
      </c>
    </row>
    <row r="207" spans="1:14" ht="14.5">
      <c r="A207">
        <v>203</v>
      </c>
      <c r="B207" s="145" t="e">
        <f>IF(MIS_Backend_Data!#REF!="", "", MIS_Backend_Data!#REF!)</f>
        <v>#REF!</v>
      </c>
      <c r="D207" t="str">
        <f>IF(MIS_Backend_Data!Q209="", "", MIS_Backend_Data!Q209)</f>
        <v/>
      </c>
      <c r="F207" t="e">
        <f>IF(MIS_Backend_Data!#REF!="", "", MIS_Backend_Data!#REF!)</f>
        <v>#REF!</v>
      </c>
      <c r="G207" t="str">
        <f>IF(MIS_Backend_Data!Y209="", "", MIS_Backend_Data!Y209)</f>
        <v/>
      </c>
      <c r="I207" t="e">
        <f>IF(MIS_Backend_Data!#REF!="", "", MIS_Backend_Data!#REF!)</f>
        <v>#REF!</v>
      </c>
      <c r="J207" t="str">
        <f>IF(MIS_Backend_Data!AD209="", "", MIS_Backend_Data!AD209)</f>
        <v/>
      </c>
      <c r="L207" t="str">
        <f>IF(MIS_Backend_Data!AF209="", "", MIS_Backend_Data!AF209)</f>
        <v/>
      </c>
      <c r="N207" t="e">
        <f>IF(MIS_Backend_Data!#REF!="", "", MIS_Backend_Data!#REF!)</f>
        <v>#REF!</v>
      </c>
    </row>
    <row r="208" spans="1:14" ht="14.5">
      <c r="A208">
        <v>204</v>
      </c>
      <c r="B208" s="145" t="e">
        <f>IF(MIS_Backend_Data!#REF!="", "", MIS_Backend_Data!#REF!)</f>
        <v>#REF!</v>
      </c>
      <c r="D208" t="str">
        <f>IF(MIS_Backend_Data!Q210="", "", MIS_Backend_Data!Q210)</f>
        <v xml:space="preserve">SURESH MUTHUKRISHANAN </v>
      </c>
      <c r="F208" t="e">
        <f>IF(MIS_Backend_Data!#REF!="", "", MIS_Backend_Data!#REF!)</f>
        <v>#REF!</v>
      </c>
      <c r="G208" t="str">
        <f>IF(MIS_Backend_Data!Y210="", "", MIS_Backend_Data!Y210)</f>
        <v>DEEPAK NIVRUTTI KANSE</v>
      </c>
      <c r="I208" t="e">
        <f>IF(MIS_Backend_Data!#REF!="", "", MIS_Backend_Data!#REF!)</f>
        <v>#REF!</v>
      </c>
      <c r="J208" t="str">
        <f>IF(MIS_Backend_Data!AD210="", "", MIS_Backend_Data!AD210)</f>
        <v>NA</v>
      </c>
      <c r="L208" t="str">
        <f>IF(MIS_Backend_Data!AF210="", "", MIS_Backend_Data!AF210)</f>
        <v>NA</v>
      </c>
      <c r="N208" t="e">
        <f>IF(MIS_Backend_Data!#REF!="", "", MIS_Backend_Data!#REF!)</f>
        <v>#REF!</v>
      </c>
    </row>
    <row r="209" spans="1:14" ht="14.5">
      <c r="A209">
        <v>205</v>
      </c>
      <c r="B209" s="145" t="e">
        <f>IF(MIS_Backend_Data!#REF!="", "", MIS_Backend_Data!#REF!)</f>
        <v>#REF!</v>
      </c>
      <c r="D209" t="str">
        <f>IF(MIS_Backend_Data!Q211="", "", MIS_Backend_Data!Q211)</f>
        <v>Krishna Ramchandra Bhosale</v>
      </c>
      <c r="F209" t="e">
        <f>IF(MIS_Backend_Data!#REF!="", "", MIS_Backend_Data!#REF!)</f>
        <v>#REF!</v>
      </c>
      <c r="G209" t="str">
        <f>IF(MIS_Backend_Data!Y211="", "", MIS_Backend_Data!Y211)</f>
        <v>Pramod Nivrutti Mandake</v>
      </c>
      <c r="I209" t="e">
        <f>IF(MIS_Backend_Data!#REF!="", "", MIS_Backend_Data!#REF!)</f>
        <v>#REF!</v>
      </c>
      <c r="J209" t="str">
        <f>IF(MIS_Backend_Data!AD211="", "", MIS_Backend_Data!AD211)</f>
        <v>NA</v>
      </c>
      <c r="L209" t="str">
        <f>IF(MIS_Backend_Data!AF211="", "", MIS_Backend_Data!AF211)</f>
        <v>NA</v>
      </c>
      <c r="N209" t="e">
        <f>IF(MIS_Backend_Data!#REF!="", "", MIS_Backend_Data!#REF!)</f>
        <v>#REF!</v>
      </c>
    </row>
    <row r="210" spans="1:14" ht="14.5">
      <c r="A210">
        <v>206</v>
      </c>
      <c r="B210" s="145" t="e">
        <f>IF(MIS_Backend_Data!#REF!="", "", MIS_Backend_Data!#REF!)</f>
        <v>#REF!</v>
      </c>
      <c r="D210" t="str">
        <f>IF(MIS_Backend_Data!Q212="", "", MIS_Backend_Data!Q212)</f>
        <v>Jidnyasa Jaysing Kadam</v>
      </c>
      <c r="F210" t="e">
        <f>IF(MIS_Backend_Data!#REF!="", "", MIS_Backend_Data!#REF!)</f>
        <v>#REF!</v>
      </c>
      <c r="G210" t="str">
        <f>IF(MIS_Backend_Data!Y212="", "", MIS_Backend_Data!Y212)</f>
        <v>NA</v>
      </c>
      <c r="I210" t="e">
        <f>IF(MIS_Backend_Data!#REF!="", "", MIS_Backend_Data!#REF!)</f>
        <v>#REF!</v>
      </c>
      <c r="J210" t="str">
        <f>IF(MIS_Backend_Data!AD212="", "", MIS_Backend_Data!AD212)</f>
        <v>NA</v>
      </c>
      <c r="L210" t="str">
        <f>IF(MIS_Backend_Data!AF212="", "", MIS_Backend_Data!AF212)</f>
        <v>NA</v>
      </c>
      <c r="N210" t="e">
        <f>IF(MIS_Backend_Data!#REF!="", "", MIS_Backend_Data!#REF!)</f>
        <v>#REF!</v>
      </c>
    </row>
    <row r="211" spans="1:14" ht="14.5">
      <c r="A211">
        <v>207</v>
      </c>
      <c r="B211" s="145" t="e">
        <f>IF(MIS_Backend_Data!#REF!="", "", MIS_Backend_Data!#REF!)</f>
        <v>#REF!</v>
      </c>
      <c r="D211" t="str">
        <f>IF(MIS_Backend_Data!Q213="", "", MIS_Backend_Data!Q213)</f>
        <v xml:space="preserve">NA </v>
      </c>
      <c r="F211" t="e">
        <f>IF(MIS_Backend_Data!#REF!="", "", MIS_Backend_Data!#REF!)</f>
        <v>#REF!</v>
      </c>
      <c r="G211" t="str">
        <f>IF(MIS_Backend_Data!Y213="", "", MIS_Backend_Data!Y213)</f>
        <v xml:space="preserve">NA </v>
      </c>
      <c r="I211" t="e">
        <f>IF(MIS_Backend_Data!#REF!="", "", MIS_Backend_Data!#REF!)</f>
        <v>#REF!</v>
      </c>
      <c r="J211" t="str">
        <f>IF(MIS_Backend_Data!AD213="", "", MIS_Backend_Data!AD213)</f>
        <v xml:space="preserve">NA </v>
      </c>
      <c r="L211" t="str">
        <f>IF(MIS_Backend_Data!AF213="", "", MIS_Backend_Data!AF213)</f>
        <v>NA</v>
      </c>
      <c r="N211" t="e">
        <f>IF(MIS_Backend_Data!#REF!="", "", MIS_Backend_Data!#REF!)</f>
        <v>#REF!</v>
      </c>
    </row>
    <row r="212" spans="1:14" ht="14.5">
      <c r="A212">
        <v>208</v>
      </c>
      <c r="B212" s="145" t="e">
        <f>IF(MIS_Backend_Data!#REF!="", "", MIS_Backend_Data!#REF!)</f>
        <v>#REF!</v>
      </c>
      <c r="D212" t="str">
        <f>IF(MIS_Backend_Data!Q214="", "", MIS_Backend_Data!Q214)</f>
        <v>Shivasing  Lalsing Rajput  (8055606181)</v>
      </c>
      <c r="F212" t="e">
        <f>IF(MIS_Backend_Data!#REF!="", "", MIS_Backend_Data!#REF!)</f>
        <v>#REF!</v>
      </c>
      <c r="G212" t="str">
        <f>IF(MIS_Backend_Data!Y214="", "", MIS_Backend_Data!Y214)</f>
        <v xml:space="preserve">NA </v>
      </c>
      <c r="I212" t="e">
        <f>IF(MIS_Backend_Data!#REF!="", "", MIS_Backend_Data!#REF!)</f>
        <v>#REF!</v>
      </c>
      <c r="J212" t="str">
        <f>IF(MIS_Backend_Data!AD214="", "", MIS_Backend_Data!AD214)</f>
        <v>NA</v>
      </c>
      <c r="L212" t="str">
        <f>IF(MIS_Backend_Data!AF214="", "", MIS_Backend_Data!AF214)</f>
        <v>NA</v>
      </c>
      <c r="N212" t="e">
        <f>IF(MIS_Backend_Data!#REF!="", "", MIS_Backend_Data!#REF!)</f>
        <v>#REF!</v>
      </c>
    </row>
    <row r="213" spans="1:14" ht="14.5">
      <c r="A213">
        <v>209</v>
      </c>
      <c r="B213" s="145" t="e">
        <f>IF(MIS_Backend_Data!#REF!="", "", MIS_Backend_Data!#REF!)</f>
        <v>#REF!</v>
      </c>
      <c r="D213" t="str">
        <f>IF(MIS_Backend_Data!Q215="", "", MIS_Backend_Data!Q215)</f>
        <v>Sunita Sanjay Mhaske</v>
      </c>
      <c r="F213" t="e">
        <f>IF(MIS_Backend_Data!#REF!="", "", MIS_Backend_Data!#REF!)</f>
        <v>#REF!</v>
      </c>
      <c r="G213" t="str">
        <f>IF(MIS_Backend_Data!Y215="", "", MIS_Backend_Data!Y215)</f>
        <v xml:space="preserve">Akash Kashinath Jadhv </v>
      </c>
      <c r="I213" t="e">
        <f>IF(MIS_Backend_Data!#REF!="", "", MIS_Backend_Data!#REF!)</f>
        <v>#REF!</v>
      </c>
      <c r="J213" t="str">
        <f>IF(MIS_Backend_Data!AD215="", "", MIS_Backend_Data!AD215)</f>
        <v>NA</v>
      </c>
      <c r="L213" t="str">
        <f>IF(MIS_Backend_Data!AF215="", "", MIS_Backend_Data!AF215)</f>
        <v>NA</v>
      </c>
      <c r="N213" t="e">
        <f>IF(MIS_Backend_Data!#REF!="", "", MIS_Backend_Data!#REF!)</f>
        <v>#REF!</v>
      </c>
    </row>
    <row r="214" spans="1:14" ht="14.5">
      <c r="A214">
        <v>210</v>
      </c>
      <c r="B214" s="145" t="e">
        <f>IF(MIS_Backend_Data!#REF!="", "", MIS_Backend_Data!#REF!)</f>
        <v>#REF!</v>
      </c>
      <c r="D214" t="str">
        <f>IF(MIS_Backend_Data!Q216="", "", MIS_Backend_Data!Q216)</f>
        <v>Mangal Netaji Nikam</v>
      </c>
      <c r="F214" t="e">
        <f>IF(MIS_Backend_Data!#REF!="", "", MIS_Backend_Data!#REF!)</f>
        <v>#REF!</v>
      </c>
      <c r="G214" t="str">
        <f>IF(MIS_Backend_Data!Y216="", "", MIS_Backend_Data!Y216)</f>
        <v>Rahul  Shankar Pawar</v>
      </c>
      <c r="I214" t="e">
        <f>IF(MIS_Backend_Data!#REF!="", "", MIS_Backend_Data!#REF!)</f>
        <v>#REF!</v>
      </c>
      <c r="J214" t="str">
        <f>IF(MIS_Backend_Data!AD216="", "", MIS_Backend_Data!AD216)</f>
        <v>NA</v>
      </c>
      <c r="L214" t="str">
        <f>IF(MIS_Backend_Data!AF216="", "", MIS_Backend_Data!AF216)</f>
        <v>NA</v>
      </c>
      <c r="N214" t="e">
        <f>IF(MIS_Backend_Data!#REF!="", "", MIS_Backend_Data!#REF!)</f>
        <v>#REF!</v>
      </c>
    </row>
    <row r="215" spans="1:14" ht="14.5">
      <c r="A215">
        <v>211</v>
      </c>
      <c r="B215" s="145" t="e">
        <f>IF(MIS_Backend_Data!#REF!="", "", MIS_Backend_Data!#REF!)</f>
        <v>#REF!</v>
      </c>
      <c r="D215" t="str">
        <f>IF(MIS_Backend_Data!Q217="", "", MIS_Backend_Data!Q217)</f>
        <v>Mubeen Sultana  Mohammad Azeemoddin</v>
      </c>
      <c r="F215" t="e">
        <f>IF(MIS_Backend_Data!#REF!="", "", MIS_Backend_Data!#REF!)</f>
        <v>#REF!</v>
      </c>
      <c r="G215" t="str">
        <f>IF(MIS_Backend_Data!Y217="", "", MIS_Backend_Data!Y217)</f>
        <v>Mohammed Imran  Abdul Gaffar</v>
      </c>
      <c r="I215" t="e">
        <f>IF(MIS_Backend_Data!#REF!="", "", MIS_Backend_Data!#REF!)</f>
        <v>#REF!</v>
      </c>
      <c r="J215" t="str">
        <f>IF(MIS_Backend_Data!AD217="", "", MIS_Backend_Data!AD217)</f>
        <v>NA</v>
      </c>
      <c r="L215" t="str">
        <f>IF(MIS_Backend_Data!AF217="", "", MIS_Backend_Data!AF217)</f>
        <v>NA</v>
      </c>
      <c r="N215" t="e">
        <f>IF(MIS_Backend_Data!#REF!="", "", MIS_Backend_Data!#REF!)</f>
        <v>#REF!</v>
      </c>
    </row>
    <row r="216" spans="1:14" ht="14.5">
      <c r="A216">
        <v>212</v>
      </c>
      <c r="B216" s="145" t="e">
        <f>IF(MIS_Backend_Data!#REF!="", "", MIS_Backend_Data!#REF!)</f>
        <v>#REF!</v>
      </c>
      <c r="D216" t="str">
        <f>IF(MIS_Backend_Data!Q218="", "", MIS_Backend_Data!Q218)</f>
        <v>Maroti Baliram Aglave</v>
      </c>
      <c r="F216" t="e">
        <f>IF(MIS_Backend_Data!#REF!="", "", MIS_Backend_Data!#REF!)</f>
        <v>#REF!</v>
      </c>
      <c r="G216" t="str">
        <f>IF(MIS_Backend_Data!Y218="", "", MIS_Backend_Data!Y218)</f>
        <v>Shoukatali Aamir Kha</v>
      </c>
      <c r="I216" t="e">
        <f>IF(MIS_Backend_Data!#REF!="", "", MIS_Backend_Data!#REF!)</f>
        <v>#REF!</v>
      </c>
      <c r="J216" t="str">
        <f>IF(MIS_Backend_Data!AD218="", "", MIS_Backend_Data!AD218)</f>
        <v>NA</v>
      </c>
      <c r="L216" t="str">
        <f>IF(MIS_Backend_Data!AF218="", "", MIS_Backend_Data!AF218)</f>
        <v>NA</v>
      </c>
      <c r="N216" t="e">
        <f>IF(MIS_Backend_Data!#REF!="", "", MIS_Backend_Data!#REF!)</f>
        <v>#REF!</v>
      </c>
    </row>
    <row r="217" spans="1:14" ht="14.5">
      <c r="A217">
        <v>213</v>
      </c>
      <c r="B217" s="145" t="e">
        <f>IF(MIS_Backend_Data!#REF!="", "", MIS_Backend_Data!#REF!)</f>
        <v>#REF!</v>
      </c>
      <c r="D217" t="str">
        <f>IF(MIS_Backend_Data!Q219="", "", MIS_Backend_Data!Q219)</f>
        <v>Vijay  Kadubal Misal</v>
      </c>
      <c r="F217" t="e">
        <f>IF(MIS_Backend_Data!#REF!="", "", MIS_Backend_Data!#REF!)</f>
        <v>#REF!</v>
      </c>
      <c r="G217" t="str">
        <f>IF(MIS_Backend_Data!Y219="", "", MIS_Backend_Data!Y219)</f>
        <v>Santosh  Bajirao Jadhav</v>
      </c>
      <c r="I217" t="e">
        <f>IF(MIS_Backend_Data!#REF!="", "", MIS_Backend_Data!#REF!)</f>
        <v>#REF!</v>
      </c>
      <c r="J217" t="str">
        <f>IF(MIS_Backend_Data!AD219="", "", MIS_Backend_Data!AD219)</f>
        <v>Amol  Gajanan Ingle</v>
      </c>
      <c r="L217" t="str">
        <f>IF(MIS_Backend_Data!AF219="", "", MIS_Backend_Data!AF219)</f>
        <v>Buldhana</v>
      </c>
      <c r="N217" t="e">
        <f>IF(MIS_Backend_Data!#REF!="", "", MIS_Backend_Data!#REF!)</f>
        <v>#REF!</v>
      </c>
    </row>
    <row r="218" spans="1:14" ht="14.5">
      <c r="A218">
        <v>214</v>
      </c>
      <c r="B218" s="145" t="e">
        <f>IF(MIS_Backend_Data!#REF!="", "", MIS_Backend_Data!#REF!)</f>
        <v>#REF!</v>
      </c>
      <c r="D218" t="str">
        <f>IF(MIS_Backend_Data!Q220="", "", MIS_Backend_Data!Q220)</f>
        <v xml:space="preserve">Sunil Rajendra Darekar </v>
      </c>
      <c r="F218" t="e">
        <f>IF(MIS_Backend_Data!#REF!="", "", MIS_Backend_Data!#REF!)</f>
        <v>#REF!</v>
      </c>
      <c r="G218" t="str">
        <f>IF(MIS_Backend_Data!Y220="", "", MIS_Backend_Data!Y220)</f>
        <v>Bhup Subhash Chand Singh</v>
      </c>
      <c r="I218" t="e">
        <f>IF(MIS_Backend_Data!#REF!="", "", MIS_Backend_Data!#REF!)</f>
        <v>#REF!</v>
      </c>
      <c r="J218" t="str">
        <f>IF(MIS_Backend_Data!AD220="", "", MIS_Backend_Data!AD220)</f>
        <v>NA</v>
      </c>
      <c r="L218" t="str">
        <f>IF(MIS_Backend_Data!AF220="", "", MIS_Backend_Data!AF220)</f>
        <v>NA</v>
      </c>
      <c r="N218" t="e">
        <f>IF(MIS_Backend_Data!#REF!="", "", MIS_Backend_Data!#REF!)</f>
        <v>#REF!</v>
      </c>
    </row>
    <row r="219" spans="1:14" ht="14.5">
      <c r="A219">
        <v>215</v>
      </c>
      <c r="B219" s="145" t="e">
        <f>IF(MIS_Backend_Data!#REF!="", "", MIS_Backend_Data!#REF!)</f>
        <v>#REF!</v>
      </c>
      <c r="D219" t="str">
        <f>IF(MIS_Backend_Data!Q221="", "", MIS_Backend_Data!Q221)</f>
        <v>Laxmibai  Kishor Shewale</v>
      </c>
      <c r="F219" t="e">
        <f>IF(MIS_Backend_Data!#REF!="", "", MIS_Backend_Data!#REF!)</f>
        <v>#REF!</v>
      </c>
      <c r="G219" t="str">
        <f>IF(MIS_Backend_Data!Y221="", "", MIS_Backend_Data!Y221)</f>
        <v>Kadar  Gaffar Shaikh</v>
      </c>
      <c r="I219" t="e">
        <f>IF(MIS_Backend_Data!#REF!="", "", MIS_Backend_Data!#REF!)</f>
        <v>#REF!</v>
      </c>
      <c r="J219" t="str">
        <f>IF(MIS_Backend_Data!AD221="", "", MIS_Backend_Data!AD221)</f>
        <v>NA</v>
      </c>
      <c r="L219" t="str">
        <f>IF(MIS_Backend_Data!AF221="", "", MIS_Backend_Data!AF221)</f>
        <v>NA</v>
      </c>
      <c r="N219" t="e">
        <f>IF(MIS_Backend_Data!#REF!="", "", MIS_Backend_Data!#REF!)</f>
        <v>#REF!</v>
      </c>
    </row>
    <row r="220" spans="1:14" ht="14.5">
      <c r="A220">
        <v>216</v>
      </c>
      <c r="B220" s="145" t="e">
        <f>IF(MIS_Backend_Data!#REF!="", "", MIS_Backend_Data!#REF!)</f>
        <v>#REF!</v>
      </c>
      <c r="D220" t="str">
        <f>IF(MIS_Backend_Data!Q222="", "", MIS_Backend_Data!Q222)</f>
        <v>NA</v>
      </c>
      <c r="F220" t="e">
        <f>IF(MIS_Backend_Data!#REF!="", "", MIS_Backend_Data!#REF!)</f>
        <v>#REF!</v>
      </c>
      <c r="G220" t="str">
        <f>IF(MIS_Backend_Data!Y222="", "", MIS_Backend_Data!Y222)</f>
        <v>NA</v>
      </c>
      <c r="I220" t="e">
        <f>IF(MIS_Backend_Data!#REF!="", "", MIS_Backend_Data!#REF!)</f>
        <v>#REF!</v>
      </c>
      <c r="J220" t="str">
        <f>IF(MIS_Backend_Data!AD222="", "", MIS_Backend_Data!AD222)</f>
        <v>NA</v>
      </c>
      <c r="L220" t="str">
        <f>IF(MIS_Backend_Data!AF222="", "", MIS_Backend_Data!AF222)</f>
        <v>NA</v>
      </c>
      <c r="N220" t="e">
        <f>IF(MIS_Backend_Data!#REF!="", "", MIS_Backend_Data!#REF!)</f>
        <v>#REF!</v>
      </c>
    </row>
    <row r="221" spans="1:14" ht="14.5">
      <c r="A221">
        <v>217</v>
      </c>
      <c r="B221" s="145" t="e">
        <f>IF(MIS_Backend_Data!#REF!="", "", MIS_Backend_Data!#REF!)</f>
        <v>#REF!</v>
      </c>
      <c r="D221" t="str">
        <f>IF(MIS_Backend_Data!Q223="", "", MIS_Backend_Data!Q223)</f>
        <v>NA</v>
      </c>
      <c r="F221" t="e">
        <f>IF(MIS_Backend_Data!#REF!="", "", MIS_Backend_Data!#REF!)</f>
        <v>#REF!</v>
      </c>
      <c r="G221" t="str">
        <f>IF(MIS_Backend_Data!Y223="", "", MIS_Backend_Data!Y223)</f>
        <v>NA</v>
      </c>
      <c r="I221" t="e">
        <f>IF(MIS_Backend_Data!#REF!="", "", MIS_Backend_Data!#REF!)</f>
        <v>#REF!</v>
      </c>
      <c r="J221" t="str">
        <f>IF(MIS_Backend_Data!AD223="", "", MIS_Backend_Data!AD223)</f>
        <v>NA</v>
      </c>
      <c r="L221" t="str">
        <f>IF(MIS_Backend_Data!AF223="", "", MIS_Backend_Data!AF223)</f>
        <v>NA</v>
      </c>
      <c r="N221" t="e">
        <f>IF(MIS_Backend_Data!#REF!="", "", MIS_Backend_Data!#REF!)</f>
        <v>#REF!</v>
      </c>
    </row>
    <row r="222" spans="1:14" ht="14.5">
      <c r="A222">
        <v>218</v>
      </c>
      <c r="B222" s="145" t="e">
        <f>IF(MIS_Backend_Data!#REF!="", "", MIS_Backend_Data!#REF!)</f>
        <v>#REF!</v>
      </c>
      <c r="D222" t="str">
        <f>IF(MIS_Backend_Data!Q224="", "", MIS_Backend_Data!Q224)</f>
        <v>Mohini Bhr. Bhikkan pandhare</v>
      </c>
      <c r="F222" t="e">
        <f>IF(MIS_Backend_Data!#REF!="", "", MIS_Backend_Data!#REF!)</f>
        <v>#REF!</v>
      </c>
      <c r="G222" t="str">
        <f>IF(MIS_Backend_Data!Y224="", "", MIS_Backend_Data!Y224)</f>
        <v>Muhammad Zahir father Muhammad Bakhsh</v>
      </c>
      <c r="I222" t="e">
        <f>IF(MIS_Backend_Data!#REF!="", "", MIS_Backend_Data!#REF!)</f>
        <v>#REF!</v>
      </c>
      <c r="J222" t="str">
        <f>IF(MIS_Backend_Data!AD224="", "", MIS_Backend_Data!AD224)</f>
        <v>NA</v>
      </c>
      <c r="L222" t="str">
        <f>IF(MIS_Backend_Data!AF224="", "", MIS_Backend_Data!AF224)</f>
        <v>NA</v>
      </c>
      <c r="N222" t="e">
        <f>IF(MIS_Backend_Data!#REF!="", "", MIS_Backend_Data!#REF!)</f>
        <v>#REF!</v>
      </c>
    </row>
    <row r="223" spans="1:14" ht="14.5">
      <c r="A223">
        <v>219</v>
      </c>
      <c r="B223" s="145" t="e">
        <f>IF(MIS_Backend_Data!#REF!="", "", MIS_Backend_Data!#REF!)</f>
        <v>#REF!</v>
      </c>
      <c r="D223" t="str">
        <f>IF(MIS_Backend_Data!Q225="", "", MIS_Backend_Data!Q225)</f>
        <v>Bhanudas Manikrao Burkul</v>
      </c>
      <c r="F223" t="e">
        <f>IF(MIS_Backend_Data!#REF!="", "", MIS_Backend_Data!#REF!)</f>
        <v>#REF!</v>
      </c>
      <c r="G223" t="str">
        <f>IF(MIS_Backend_Data!Y225="", "", MIS_Backend_Data!Y225)</f>
        <v>NA</v>
      </c>
      <c r="I223" t="e">
        <f>IF(MIS_Backend_Data!#REF!="", "", MIS_Backend_Data!#REF!)</f>
        <v>#REF!</v>
      </c>
      <c r="J223" t="str">
        <f>IF(MIS_Backend_Data!AD225="", "", MIS_Backend_Data!AD225)</f>
        <v>NA</v>
      </c>
      <c r="L223" t="str">
        <f>IF(MIS_Backend_Data!AF225="", "", MIS_Backend_Data!AF225)</f>
        <v>NA</v>
      </c>
      <c r="N223" t="e">
        <f>IF(MIS_Backend_Data!#REF!="", "", MIS_Backend_Data!#REF!)</f>
        <v>#REF!</v>
      </c>
    </row>
    <row r="224" spans="1:14" ht="14.5">
      <c r="A224">
        <v>220</v>
      </c>
      <c r="B224" s="145" t="e">
        <f>IF(MIS_Backend_Data!#REF!="", "", MIS_Backend_Data!#REF!)</f>
        <v>#REF!</v>
      </c>
      <c r="D224" t="str">
        <f>IF(MIS_Backend_Data!Q226="", "", MIS_Backend_Data!Q226)</f>
        <v>Ratnmala  Milind More</v>
      </c>
      <c r="F224" t="e">
        <f>IF(MIS_Backend_Data!#REF!="", "", MIS_Backend_Data!#REF!)</f>
        <v>#REF!</v>
      </c>
      <c r="G224" t="str">
        <f>IF(MIS_Backend_Data!Y226="", "", MIS_Backend_Data!Y226)</f>
        <v>Narayan  Parasram Tonchar,</v>
      </c>
      <c r="I224" t="e">
        <f>IF(MIS_Backend_Data!#REF!="", "", MIS_Backend_Data!#REF!)</f>
        <v>#REF!</v>
      </c>
      <c r="J224" t="str">
        <f>IF(MIS_Backend_Data!AD226="", "", MIS_Backend_Data!AD226)</f>
        <v>NA</v>
      </c>
      <c r="L224" t="str">
        <f>IF(MIS_Backend_Data!AF226="", "", MIS_Backend_Data!AF226)</f>
        <v>NA</v>
      </c>
      <c r="N224" t="e">
        <f>IF(MIS_Backend_Data!#REF!="", "", MIS_Backend_Data!#REF!)</f>
        <v>#REF!</v>
      </c>
    </row>
    <row r="225" spans="1:14" ht="14.5">
      <c r="A225">
        <v>221</v>
      </c>
      <c r="B225" s="145" t="e">
        <f>IF(MIS_Backend_Data!#REF!="", "", MIS_Backend_Data!#REF!)</f>
        <v>#REF!</v>
      </c>
      <c r="D225" t="str">
        <f>IF(MIS_Backend_Data!Q227="", "", MIS_Backend_Data!Q227)</f>
        <v/>
      </c>
      <c r="F225" t="e">
        <f>IF(MIS_Backend_Data!#REF!="", "", MIS_Backend_Data!#REF!)</f>
        <v>#REF!</v>
      </c>
      <c r="G225" t="str">
        <f>IF(MIS_Backend_Data!Y227="", "", MIS_Backend_Data!Y227)</f>
        <v/>
      </c>
      <c r="I225" t="e">
        <f>IF(MIS_Backend_Data!#REF!="", "", MIS_Backend_Data!#REF!)</f>
        <v>#REF!</v>
      </c>
      <c r="J225" t="str">
        <f>IF(MIS_Backend_Data!AD227="", "", MIS_Backend_Data!AD227)</f>
        <v/>
      </c>
      <c r="L225" t="str">
        <f>IF(MIS_Backend_Data!AF227="", "", MIS_Backend_Data!AF227)</f>
        <v/>
      </c>
      <c r="N225" t="e">
        <f>IF(MIS_Backend_Data!#REF!="", "", MIS_Backend_Data!#REF!)</f>
        <v>#REF!</v>
      </c>
    </row>
    <row r="226" spans="1:14" ht="14.5">
      <c r="A226">
        <v>222</v>
      </c>
      <c r="B226" s="145" t="e">
        <f>IF(MIS_Backend_Data!#REF!="", "", MIS_Backend_Data!#REF!)</f>
        <v>#REF!</v>
      </c>
      <c r="D226" t="str">
        <f>IF(MIS_Backend_Data!Q228="", "", MIS_Backend_Data!Q228)</f>
        <v/>
      </c>
      <c r="F226" t="e">
        <f>IF(MIS_Backend_Data!#REF!="", "", MIS_Backend_Data!#REF!)</f>
        <v>#REF!</v>
      </c>
      <c r="G226" t="str">
        <f>IF(MIS_Backend_Data!Y228="", "", MIS_Backend_Data!Y228)</f>
        <v/>
      </c>
      <c r="I226" t="e">
        <f>IF(MIS_Backend_Data!#REF!="", "", MIS_Backend_Data!#REF!)</f>
        <v>#REF!</v>
      </c>
      <c r="J226" t="str">
        <f>IF(MIS_Backend_Data!AD228="", "", MIS_Backend_Data!AD228)</f>
        <v/>
      </c>
      <c r="L226" t="str">
        <f>IF(MIS_Backend_Data!AF228="", "", MIS_Backend_Data!AF228)</f>
        <v/>
      </c>
      <c r="N226" t="e">
        <f>IF(MIS_Backend_Data!#REF!="", "", MIS_Backend_Data!#REF!)</f>
        <v>#REF!</v>
      </c>
    </row>
    <row r="227" spans="1:14" ht="14.5">
      <c r="A227">
        <v>223</v>
      </c>
      <c r="B227" s="145" t="e">
        <f>IF(MIS_Backend_Data!#REF!="", "", MIS_Backend_Data!#REF!)</f>
        <v>#REF!</v>
      </c>
      <c r="D227" t="str">
        <f>IF(MIS_Backend_Data!Q229="", "", MIS_Backend_Data!Q229)</f>
        <v/>
      </c>
      <c r="F227" t="e">
        <f>IF(MIS_Backend_Data!#REF!="", "", MIS_Backend_Data!#REF!)</f>
        <v>#REF!</v>
      </c>
      <c r="G227" t="str">
        <f>IF(MIS_Backend_Data!Y229="", "", MIS_Backend_Data!Y229)</f>
        <v/>
      </c>
      <c r="I227" t="e">
        <f>IF(MIS_Backend_Data!#REF!="", "", MIS_Backend_Data!#REF!)</f>
        <v>#REF!</v>
      </c>
      <c r="J227" t="str">
        <f>IF(MIS_Backend_Data!AD229="", "", MIS_Backend_Data!AD229)</f>
        <v/>
      </c>
      <c r="L227" t="str">
        <f>IF(MIS_Backend_Data!AF229="", "", MIS_Backend_Data!AF229)</f>
        <v/>
      </c>
      <c r="N227" t="e">
        <f>IF(MIS_Backend_Data!#REF!="", "", MIS_Backend_Data!#REF!)</f>
        <v>#REF!</v>
      </c>
    </row>
    <row r="228" spans="1:14" ht="14.5">
      <c r="A228">
        <v>224</v>
      </c>
      <c r="B228" s="145" t="e">
        <f>IF(MIS_Backend_Data!#REF!="", "", MIS_Backend_Data!#REF!)</f>
        <v>#REF!</v>
      </c>
      <c r="D228" t="str">
        <f>IF(MIS_Backend_Data!Q230="", "", MIS_Backend_Data!Q230)</f>
        <v/>
      </c>
      <c r="F228" t="e">
        <f>IF(MIS_Backend_Data!#REF!="", "", MIS_Backend_Data!#REF!)</f>
        <v>#REF!</v>
      </c>
      <c r="G228" t="str">
        <f>IF(MIS_Backend_Data!Y230="", "", MIS_Backend_Data!Y230)</f>
        <v/>
      </c>
      <c r="I228" t="e">
        <f>IF(MIS_Backend_Data!#REF!="", "", MIS_Backend_Data!#REF!)</f>
        <v>#REF!</v>
      </c>
      <c r="J228" t="str">
        <f>IF(MIS_Backend_Data!AD230="", "", MIS_Backend_Data!AD230)</f>
        <v/>
      </c>
      <c r="L228" t="str">
        <f>IF(MIS_Backend_Data!AF230="", "", MIS_Backend_Data!AF230)</f>
        <v/>
      </c>
      <c r="N228" t="e">
        <f>IF(MIS_Backend_Data!#REF!="", "", MIS_Backend_Data!#REF!)</f>
        <v>#REF!</v>
      </c>
    </row>
    <row r="229" spans="1:14" ht="14.5">
      <c r="A229">
        <v>225</v>
      </c>
      <c r="B229" s="145" t="e">
        <f>IF(MIS_Backend_Data!#REF!="", "", MIS_Backend_Data!#REF!)</f>
        <v>#REF!</v>
      </c>
      <c r="D229" t="str">
        <f>IF(MIS_Backend_Data!Q231="", "", MIS_Backend_Data!Q231)</f>
        <v/>
      </c>
      <c r="F229" t="e">
        <f>IF(MIS_Backend_Data!#REF!="", "", MIS_Backend_Data!#REF!)</f>
        <v>#REF!</v>
      </c>
      <c r="G229" t="str">
        <f>IF(MIS_Backend_Data!Y231="", "", MIS_Backend_Data!Y231)</f>
        <v/>
      </c>
      <c r="I229" t="e">
        <f>IF(MIS_Backend_Data!#REF!="", "", MIS_Backend_Data!#REF!)</f>
        <v>#REF!</v>
      </c>
      <c r="J229" t="str">
        <f>IF(MIS_Backend_Data!AD231="", "", MIS_Backend_Data!AD231)</f>
        <v/>
      </c>
      <c r="L229" t="str">
        <f>IF(MIS_Backend_Data!AF231="", "", MIS_Backend_Data!AF231)</f>
        <v/>
      </c>
      <c r="N229" t="e">
        <f>IF(MIS_Backend_Data!#REF!="", "", MIS_Backend_Data!#REF!)</f>
        <v>#REF!</v>
      </c>
    </row>
    <row r="230" spans="1:14" ht="14.5">
      <c r="A230">
        <v>226</v>
      </c>
      <c r="B230" s="145" t="e">
        <f>IF(MIS_Backend_Data!#REF!="", "", MIS_Backend_Data!#REF!)</f>
        <v>#REF!</v>
      </c>
      <c r="D230" t="str">
        <f>IF(MIS_Backend_Data!Q232="", "", MIS_Backend_Data!Q232)</f>
        <v/>
      </c>
      <c r="F230" t="e">
        <f>IF(MIS_Backend_Data!#REF!="", "", MIS_Backend_Data!#REF!)</f>
        <v>#REF!</v>
      </c>
      <c r="G230" t="str">
        <f>IF(MIS_Backend_Data!Y232="", "", MIS_Backend_Data!Y232)</f>
        <v/>
      </c>
      <c r="I230" t="e">
        <f>IF(MIS_Backend_Data!#REF!="", "", MIS_Backend_Data!#REF!)</f>
        <v>#REF!</v>
      </c>
      <c r="J230" t="str">
        <f>IF(MIS_Backend_Data!AD232="", "", MIS_Backend_Data!AD232)</f>
        <v/>
      </c>
      <c r="L230" t="str">
        <f>IF(MIS_Backend_Data!AF232="", "", MIS_Backend_Data!AF232)</f>
        <v/>
      </c>
      <c r="N230" t="e">
        <f>IF(MIS_Backend_Data!#REF!="", "", MIS_Backend_Data!#REF!)</f>
        <v>#REF!</v>
      </c>
    </row>
    <row r="231" spans="1:14" ht="14.5">
      <c r="A231">
        <v>227</v>
      </c>
      <c r="B231" s="145" t="e">
        <f>IF(MIS_Backend_Data!#REF!="", "", MIS_Backend_Data!#REF!)</f>
        <v>#REF!</v>
      </c>
      <c r="D231" t="str">
        <f>IF(MIS_Backend_Data!Q233="", "", MIS_Backend_Data!Q233)</f>
        <v/>
      </c>
      <c r="F231" t="e">
        <f>IF(MIS_Backend_Data!#REF!="", "", MIS_Backend_Data!#REF!)</f>
        <v>#REF!</v>
      </c>
      <c r="G231" t="str">
        <f>IF(MIS_Backend_Data!Y233="", "", MIS_Backend_Data!Y233)</f>
        <v/>
      </c>
      <c r="I231" t="e">
        <f>IF(MIS_Backend_Data!#REF!="", "", MIS_Backend_Data!#REF!)</f>
        <v>#REF!</v>
      </c>
      <c r="J231" t="str">
        <f>IF(MIS_Backend_Data!AD233="", "", MIS_Backend_Data!AD233)</f>
        <v/>
      </c>
      <c r="L231" t="str">
        <f>IF(MIS_Backend_Data!AF233="", "", MIS_Backend_Data!AF233)</f>
        <v/>
      </c>
      <c r="N231" t="e">
        <f>IF(MIS_Backend_Data!#REF!="", "", MIS_Backend_Data!#REF!)</f>
        <v>#REF!</v>
      </c>
    </row>
    <row r="232" spans="1:14" ht="14.5">
      <c r="A232">
        <v>228</v>
      </c>
      <c r="B232" s="145" t="e">
        <f>IF(MIS_Backend_Data!#REF!="", "", MIS_Backend_Data!#REF!)</f>
        <v>#REF!</v>
      </c>
      <c r="D232" t="str">
        <f>IF(MIS_Backend_Data!Q234="", "", MIS_Backend_Data!Q234)</f>
        <v/>
      </c>
      <c r="F232" t="e">
        <f>IF(MIS_Backend_Data!#REF!="", "", MIS_Backend_Data!#REF!)</f>
        <v>#REF!</v>
      </c>
      <c r="G232" t="str">
        <f>IF(MIS_Backend_Data!Y234="", "", MIS_Backend_Data!Y234)</f>
        <v/>
      </c>
      <c r="I232" t="e">
        <f>IF(MIS_Backend_Data!#REF!="", "", MIS_Backend_Data!#REF!)</f>
        <v>#REF!</v>
      </c>
      <c r="J232" t="str">
        <f>IF(MIS_Backend_Data!AD234="", "", MIS_Backend_Data!AD234)</f>
        <v/>
      </c>
      <c r="L232" t="str">
        <f>IF(MIS_Backend_Data!AF234="", "", MIS_Backend_Data!AF234)</f>
        <v/>
      </c>
      <c r="N232" t="e">
        <f>IF(MIS_Backend_Data!#REF!="", "", MIS_Backend_Data!#REF!)</f>
        <v>#REF!</v>
      </c>
    </row>
    <row r="233" spans="1:14" ht="14.5">
      <c r="A233">
        <v>229</v>
      </c>
      <c r="B233" s="145" t="e">
        <f>IF(MIS_Backend_Data!#REF!="", "", MIS_Backend_Data!#REF!)</f>
        <v>#REF!</v>
      </c>
      <c r="D233" t="str">
        <f>IF(MIS_Backend_Data!Q235="", "", MIS_Backend_Data!Q235)</f>
        <v/>
      </c>
      <c r="F233" t="e">
        <f>IF(MIS_Backend_Data!#REF!="", "", MIS_Backend_Data!#REF!)</f>
        <v>#REF!</v>
      </c>
      <c r="G233" t="str">
        <f>IF(MIS_Backend_Data!Y235="", "", MIS_Backend_Data!Y235)</f>
        <v/>
      </c>
      <c r="I233" t="e">
        <f>IF(MIS_Backend_Data!#REF!="", "", MIS_Backend_Data!#REF!)</f>
        <v>#REF!</v>
      </c>
      <c r="J233" t="str">
        <f>IF(MIS_Backend_Data!AD235="", "", MIS_Backend_Data!AD235)</f>
        <v/>
      </c>
      <c r="L233" t="str">
        <f>IF(MIS_Backend_Data!AF235="", "", MIS_Backend_Data!AF235)</f>
        <v/>
      </c>
      <c r="N233" t="e">
        <f>IF(MIS_Backend_Data!#REF!="", "", MIS_Backend_Data!#REF!)</f>
        <v>#REF!</v>
      </c>
    </row>
    <row r="234" spans="1:14" ht="14.5">
      <c r="A234">
        <v>230</v>
      </c>
      <c r="B234" s="145" t="e">
        <f>IF(MIS_Backend_Data!#REF!="", "", MIS_Backend_Data!#REF!)</f>
        <v>#REF!</v>
      </c>
      <c r="D234" t="str">
        <f>IF(MIS_Backend_Data!Q236="", "", MIS_Backend_Data!Q236)</f>
        <v/>
      </c>
      <c r="F234" t="e">
        <f>IF(MIS_Backend_Data!#REF!="", "", MIS_Backend_Data!#REF!)</f>
        <v>#REF!</v>
      </c>
      <c r="G234" t="str">
        <f>IF(MIS_Backend_Data!Y236="", "", MIS_Backend_Data!Y236)</f>
        <v/>
      </c>
      <c r="I234" t="e">
        <f>IF(MIS_Backend_Data!#REF!="", "", MIS_Backend_Data!#REF!)</f>
        <v>#REF!</v>
      </c>
      <c r="J234" t="str">
        <f>IF(MIS_Backend_Data!AD236="", "", MIS_Backend_Data!AD236)</f>
        <v/>
      </c>
      <c r="L234" t="str">
        <f>IF(MIS_Backend_Data!AF236="", "", MIS_Backend_Data!AF236)</f>
        <v/>
      </c>
      <c r="N234" t="e">
        <f>IF(MIS_Backend_Data!#REF!="", "", MIS_Backend_Data!#REF!)</f>
        <v>#REF!</v>
      </c>
    </row>
    <row r="235" spans="1:14" ht="14.5">
      <c r="A235">
        <v>231</v>
      </c>
      <c r="B235" s="145" t="e">
        <f>IF(MIS_Backend_Data!#REF!="", "", MIS_Backend_Data!#REF!)</f>
        <v>#REF!</v>
      </c>
      <c r="D235" t="str">
        <f>IF(MIS_Backend_Data!Q237="", "", MIS_Backend_Data!Q237)</f>
        <v/>
      </c>
      <c r="F235" t="e">
        <f>IF(MIS_Backend_Data!#REF!="", "", MIS_Backend_Data!#REF!)</f>
        <v>#REF!</v>
      </c>
      <c r="G235" t="str">
        <f>IF(MIS_Backend_Data!Y237="", "", MIS_Backend_Data!Y237)</f>
        <v/>
      </c>
      <c r="I235" t="e">
        <f>IF(MIS_Backend_Data!#REF!="", "", MIS_Backend_Data!#REF!)</f>
        <v>#REF!</v>
      </c>
      <c r="J235" t="str">
        <f>IF(MIS_Backend_Data!AD237="", "", MIS_Backend_Data!AD237)</f>
        <v/>
      </c>
      <c r="L235" t="str">
        <f>IF(MIS_Backend_Data!AF237="", "", MIS_Backend_Data!AF237)</f>
        <v/>
      </c>
      <c r="N235" t="e">
        <f>IF(MIS_Backend_Data!#REF!="", "", MIS_Backend_Data!#REF!)</f>
        <v>#REF!</v>
      </c>
    </row>
    <row r="236" spans="1:14" ht="14.5">
      <c r="A236">
        <v>232</v>
      </c>
      <c r="B236" s="145" t="e">
        <f>IF(MIS_Backend_Data!#REF!="", "", MIS_Backend_Data!#REF!)</f>
        <v>#REF!</v>
      </c>
      <c r="D236" t="str">
        <f>IF(MIS_Backend_Data!Q238="", "", MIS_Backend_Data!Q238)</f>
        <v/>
      </c>
      <c r="F236" t="e">
        <f>IF(MIS_Backend_Data!#REF!="", "", MIS_Backend_Data!#REF!)</f>
        <v>#REF!</v>
      </c>
      <c r="G236" t="str">
        <f>IF(MIS_Backend_Data!Y238="", "", MIS_Backend_Data!Y238)</f>
        <v/>
      </c>
      <c r="I236" t="e">
        <f>IF(MIS_Backend_Data!#REF!="", "", MIS_Backend_Data!#REF!)</f>
        <v>#REF!</v>
      </c>
      <c r="J236" t="str">
        <f>IF(MIS_Backend_Data!AD238="", "", MIS_Backend_Data!AD238)</f>
        <v/>
      </c>
      <c r="L236" t="str">
        <f>IF(MIS_Backend_Data!AF238="", "", MIS_Backend_Data!AF238)</f>
        <v/>
      </c>
      <c r="N236" t="e">
        <f>IF(MIS_Backend_Data!#REF!="", "", MIS_Backend_Data!#REF!)</f>
        <v>#REF!</v>
      </c>
    </row>
    <row r="237" spans="1:14" ht="14.5">
      <c r="A237">
        <v>233</v>
      </c>
      <c r="B237" s="145" t="e">
        <f>IF(MIS_Backend_Data!#REF!="", "", MIS_Backend_Data!#REF!)</f>
        <v>#REF!</v>
      </c>
      <c r="D237" t="str">
        <f>IF(MIS_Backend_Data!Q239="", "", MIS_Backend_Data!Q239)</f>
        <v/>
      </c>
      <c r="F237" t="e">
        <f>IF(MIS_Backend_Data!#REF!="", "", MIS_Backend_Data!#REF!)</f>
        <v>#REF!</v>
      </c>
      <c r="G237" t="str">
        <f>IF(MIS_Backend_Data!Y239="", "", MIS_Backend_Data!Y239)</f>
        <v/>
      </c>
      <c r="I237" t="e">
        <f>IF(MIS_Backend_Data!#REF!="", "", MIS_Backend_Data!#REF!)</f>
        <v>#REF!</v>
      </c>
      <c r="J237" t="str">
        <f>IF(MIS_Backend_Data!AD239="", "", MIS_Backend_Data!AD239)</f>
        <v/>
      </c>
      <c r="L237" t="str">
        <f>IF(MIS_Backend_Data!AF239="", "", MIS_Backend_Data!AF239)</f>
        <v/>
      </c>
      <c r="N237" t="e">
        <f>IF(MIS_Backend_Data!#REF!="", "", MIS_Backend_Data!#REF!)</f>
        <v>#REF!</v>
      </c>
    </row>
    <row r="238" spans="1:14" ht="14.5">
      <c r="A238">
        <v>234</v>
      </c>
      <c r="B238" s="145" t="e">
        <f>IF(MIS_Backend_Data!#REF!="", "", MIS_Backend_Data!#REF!)</f>
        <v>#REF!</v>
      </c>
      <c r="D238" t="str">
        <f>IF(MIS_Backend_Data!Q240="", "", MIS_Backend_Data!Q240)</f>
        <v/>
      </c>
      <c r="F238" t="e">
        <f>IF(MIS_Backend_Data!#REF!="", "", MIS_Backend_Data!#REF!)</f>
        <v>#REF!</v>
      </c>
      <c r="G238" t="str">
        <f>IF(MIS_Backend_Data!Y240="", "", MIS_Backend_Data!Y240)</f>
        <v/>
      </c>
      <c r="I238" t="e">
        <f>IF(MIS_Backend_Data!#REF!="", "", MIS_Backend_Data!#REF!)</f>
        <v>#REF!</v>
      </c>
      <c r="J238" t="str">
        <f>IF(MIS_Backend_Data!AD240="", "", MIS_Backend_Data!AD240)</f>
        <v/>
      </c>
      <c r="L238" t="str">
        <f>IF(MIS_Backend_Data!AF240="", "", MIS_Backend_Data!AF240)</f>
        <v/>
      </c>
      <c r="N238" t="e">
        <f>IF(MIS_Backend_Data!#REF!="", "", MIS_Backend_Data!#REF!)</f>
        <v>#REF!</v>
      </c>
    </row>
    <row r="239" spans="1:14" ht="14.5">
      <c r="A239">
        <v>235</v>
      </c>
      <c r="B239" s="145" t="e">
        <f>IF(MIS_Backend_Data!#REF!="", "", MIS_Backend_Data!#REF!)</f>
        <v>#REF!</v>
      </c>
      <c r="D239" t="str">
        <f>IF(MIS_Backend_Data!Q241="", "", MIS_Backend_Data!Q241)</f>
        <v/>
      </c>
      <c r="F239" t="e">
        <f>IF(MIS_Backend_Data!#REF!="", "", MIS_Backend_Data!#REF!)</f>
        <v>#REF!</v>
      </c>
      <c r="G239" t="str">
        <f>IF(MIS_Backend_Data!Y241="", "", MIS_Backend_Data!Y241)</f>
        <v/>
      </c>
      <c r="I239" t="e">
        <f>IF(MIS_Backend_Data!#REF!="", "", MIS_Backend_Data!#REF!)</f>
        <v>#REF!</v>
      </c>
      <c r="J239" t="str">
        <f>IF(MIS_Backend_Data!AD241="", "", MIS_Backend_Data!AD241)</f>
        <v/>
      </c>
      <c r="L239" t="str">
        <f>IF(MIS_Backend_Data!AF241="", "", MIS_Backend_Data!AF241)</f>
        <v/>
      </c>
      <c r="N239" t="e">
        <f>IF(MIS_Backend_Data!#REF!="", "", MIS_Backend_Data!#REF!)</f>
        <v>#REF!</v>
      </c>
    </row>
    <row r="240" spans="1:14" ht="14.5">
      <c r="A240">
        <v>236</v>
      </c>
      <c r="B240" s="145" t="e">
        <f>IF(MIS_Backend_Data!#REF!="", "", MIS_Backend_Data!#REF!)</f>
        <v>#REF!</v>
      </c>
      <c r="D240" t="str">
        <f>IF(MIS_Backend_Data!Q242="", "", MIS_Backend_Data!Q242)</f>
        <v/>
      </c>
      <c r="F240" t="e">
        <f>IF(MIS_Backend_Data!#REF!="", "", MIS_Backend_Data!#REF!)</f>
        <v>#REF!</v>
      </c>
      <c r="G240" t="str">
        <f>IF(MIS_Backend_Data!Y242="", "", MIS_Backend_Data!Y242)</f>
        <v/>
      </c>
      <c r="I240" t="e">
        <f>IF(MIS_Backend_Data!#REF!="", "", MIS_Backend_Data!#REF!)</f>
        <v>#REF!</v>
      </c>
      <c r="J240" t="str">
        <f>IF(MIS_Backend_Data!AD242="", "", MIS_Backend_Data!AD242)</f>
        <v/>
      </c>
      <c r="L240" t="str">
        <f>IF(MIS_Backend_Data!AF242="", "", MIS_Backend_Data!AF242)</f>
        <v/>
      </c>
      <c r="N240" t="e">
        <f>IF(MIS_Backend_Data!#REF!="", "", MIS_Backend_Data!#REF!)</f>
        <v>#REF!</v>
      </c>
    </row>
    <row r="241" spans="1:14" ht="14.5">
      <c r="A241">
        <v>237</v>
      </c>
      <c r="B241" s="145" t="e">
        <f>IF(MIS_Backend_Data!#REF!="", "", MIS_Backend_Data!#REF!)</f>
        <v>#REF!</v>
      </c>
      <c r="D241" t="str">
        <f>IF(MIS_Backend_Data!Q243="", "", MIS_Backend_Data!Q243)</f>
        <v/>
      </c>
      <c r="F241" t="e">
        <f>IF(MIS_Backend_Data!#REF!="", "", MIS_Backend_Data!#REF!)</f>
        <v>#REF!</v>
      </c>
      <c r="G241" t="str">
        <f>IF(MIS_Backend_Data!Y243="", "", MIS_Backend_Data!Y243)</f>
        <v/>
      </c>
      <c r="I241" t="e">
        <f>IF(MIS_Backend_Data!#REF!="", "", MIS_Backend_Data!#REF!)</f>
        <v>#REF!</v>
      </c>
      <c r="J241" t="str">
        <f>IF(MIS_Backend_Data!AD243="", "", MIS_Backend_Data!AD243)</f>
        <v/>
      </c>
      <c r="L241" t="str">
        <f>IF(MIS_Backend_Data!AF243="", "", MIS_Backend_Data!AF243)</f>
        <v/>
      </c>
      <c r="N241" t="e">
        <f>IF(MIS_Backend_Data!#REF!="", "", MIS_Backend_Data!#REF!)</f>
        <v>#REF!</v>
      </c>
    </row>
    <row r="242" spans="1:14" ht="14.5">
      <c r="A242">
        <v>238</v>
      </c>
      <c r="B242" s="145" t="e">
        <f>IF(MIS_Backend_Data!#REF!="", "", MIS_Backend_Data!#REF!)</f>
        <v>#REF!</v>
      </c>
      <c r="D242" t="str">
        <f>IF(MIS_Backend_Data!Q244="", "", MIS_Backend_Data!Q244)</f>
        <v/>
      </c>
      <c r="F242" t="e">
        <f>IF(MIS_Backend_Data!#REF!="", "", MIS_Backend_Data!#REF!)</f>
        <v>#REF!</v>
      </c>
      <c r="G242" t="str">
        <f>IF(MIS_Backend_Data!Y244="", "", MIS_Backend_Data!Y244)</f>
        <v/>
      </c>
      <c r="I242" t="e">
        <f>IF(MIS_Backend_Data!#REF!="", "", MIS_Backend_Data!#REF!)</f>
        <v>#REF!</v>
      </c>
      <c r="J242" t="str">
        <f>IF(MIS_Backend_Data!AD244="", "", MIS_Backend_Data!AD244)</f>
        <v/>
      </c>
      <c r="L242" t="str">
        <f>IF(MIS_Backend_Data!AF244="", "", MIS_Backend_Data!AF244)</f>
        <v/>
      </c>
      <c r="N242" t="e">
        <f>IF(MIS_Backend_Data!#REF!="", "", MIS_Backend_Data!#REF!)</f>
        <v>#REF!</v>
      </c>
    </row>
    <row r="243" spans="1:14" ht="14.5">
      <c r="A243">
        <v>239</v>
      </c>
      <c r="B243" s="145" t="e">
        <f>IF(MIS_Backend_Data!#REF!="", "", MIS_Backend_Data!#REF!)</f>
        <v>#REF!</v>
      </c>
      <c r="D243" t="str">
        <f>IF(MIS_Backend_Data!Q245="", "", MIS_Backend_Data!Q245)</f>
        <v/>
      </c>
      <c r="F243" t="e">
        <f>IF(MIS_Backend_Data!#REF!="", "", MIS_Backend_Data!#REF!)</f>
        <v>#REF!</v>
      </c>
      <c r="G243" t="str">
        <f>IF(MIS_Backend_Data!Y245="", "", MIS_Backend_Data!Y245)</f>
        <v/>
      </c>
      <c r="I243" t="e">
        <f>IF(MIS_Backend_Data!#REF!="", "", MIS_Backend_Data!#REF!)</f>
        <v>#REF!</v>
      </c>
      <c r="J243" t="str">
        <f>IF(MIS_Backend_Data!AD245="", "", MIS_Backend_Data!AD245)</f>
        <v/>
      </c>
      <c r="L243" t="str">
        <f>IF(MIS_Backend_Data!AF245="", "", MIS_Backend_Data!AF245)</f>
        <v/>
      </c>
      <c r="N243" t="e">
        <f>IF(MIS_Backend_Data!#REF!="", "", MIS_Backend_Data!#REF!)</f>
        <v>#REF!</v>
      </c>
    </row>
    <row r="244" spans="1:14" ht="14.5">
      <c r="A244">
        <v>240</v>
      </c>
      <c r="B244" s="145" t="e">
        <f>IF(MIS_Backend_Data!#REF!="", "", MIS_Backend_Data!#REF!)</f>
        <v>#REF!</v>
      </c>
      <c r="D244" t="str">
        <f>IF(MIS_Backend_Data!Q246="", "", MIS_Backend_Data!Q246)</f>
        <v/>
      </c>
      <c r="F244" t="e">
        <f>IF(MIS_Backend_Data!#REF!="", "", MIS_Backend_Data!#REF!)</f>
        <v>#REF!</v>
      </c>
      <c r="G244" t="str">
        <f>IF(MIS_Backend_Data!Y246="", "", MIS_Backend_Data!Y246)</f>
        <v/>
      </c>
      <c r="I244" t="e">
        <f>IF(MIS_Backend_Data!#REF!="", "", MIS_Backend_Data!#REF!)</f>
        <v>#REF!</v>
      </c>
      <c r="J244" t="str">
        <f>IF(MIS_Backend_Data!AD246="", "", MIS_Backend_Data!AD246)</f>
        <v/>
      </c>
      <c r="L244" t="str">
        <f>IF(MIS_Backend_Data!AF246="", "", MIS_Backend_Data!AF246)</f>
        <v/>
      </c>
      <c r="N244" t="e">
        <f>IF(MIS_Backend_Data!#REF!="", "", MIS_Backend_Data!#REF!)</f>
        <v>#REF!</v>
      </c>
    </row>
    <row r="245" spans="1:14" ht="14.5">
      <c r="A245">
        <v>241</v>
      </c>
      <c r="B245" s="145" t="e">
        <f>IF(MIS_Backend_Data!#REF!="", "", MIS_Backend_Data!#REF!)</f>
        <v>#REF!</v>
      </c>
      <c r="D245" t="str">
        <f>IF(MIS_Backend_Data!Q247="", "", MIS_Backend_Data!Q247)</f>
        <v/>
      </c>
      <c r="F245" t="e">
        <f>IF(MIS_Backend_Data!#REF!="", "", MIS_Backend_Data!#REF!)</f>
        <v>#REF!</v>
      </c>
      <c r="G245" t="str">
        <f>IF(MIS_Backend_Data!Y247="", "", MIS_Backend_Data!Y247)</f>
        <v/>
      </c>
      <c r="I245" t="e">
        <f>IF(MIS_Backend_Data!#REF!="", "", MIS_Backend_Data!#REF!)</f>
        <v>#REF!</v>
      </c>
      <c r="J245" t="str">
        <f>IF(MIS_Backend_Data!AD247="", "", MIS_Backend_Data!AD247)</f>
        <v/>
      </c>
      <c r="L245" t="str">
        <f>IF(MIS_Backend_Data!AF247="", "", MIS_Backend_Data!AF247)</f>
        <v/>
      </c>
      <c r="N245" t="e">
        <f>IF(MIS_Backend_Data!#REF!="", "", MIS_Backend_Data!#REF!)</f>
        <v>#REF!</v>
      </c>
    </row>
    <row r="246" spans="1:14" ht="14.5">
      <c r="A246">
        <v>242</v>
      </c>
      <c r="B246" s="145" t="e">
        <f>IF(MIS_Backend_Data!#REF!="", "", MIS_Backend_Data!#REF!)</f>
        <v>#REF!</v>
      </c>
      <c r="D246" t="str">
        <f>IF(MIS_Backend_Data!Q248="", "", MIS_Backend_Data!Q248)</f>
        <v/>
      </c>
      <c r="F246" t="e">
        <f>IF(MIS_Backend_Data!#REF!="", "", MIS_Backend_Data!#REF!)</f>
        <v>#REF!</v>
      </c>
      <c r="G246" t="str">
        <f>IF(MIS_Backend_Data!Y248="", "", MIS_Backend_Data!Y248)</f>
        <v/>
      </c>
      <c r="I246" t="e">
        <f>IF(MIS_Backend_Data!#REF!="", "", MIS_Backend_Data!#REF!)</f>
        <v>#REF!</v>
      </c>
      <c r="J246" t="str">
        <f>IF(MIS_Backend_Data!AD248="", "", MIS_Backend_Data!AD248)</f>
        <v/>
      </c>
      <c r="L246" t="str">
        <f>IF(MIS_Backend_Data!AF248="", "", MIS_Backend_Data!AF248)</f>
        <v/>
      </c>
      <c r="N246" t="e">
        <f>IF(MIS_Backend_Data!#REF!="", "", MIS_Backend_Data!#REF!)</f>
        <v>#REF!</v>
      </c>
    </row>
    <row r="247" spans="1:14" ht="14.5">
      <c r="A247">
        <v>243</v>
      </c>
      <c r="B247" s="145" t="e">
        <f>IF(MIS_Backend_Data!#REF!="", "", MIS_Backend_Data!#REF!)</f>
        <v>#REF!</v>
      </c>
      <c r="D247" t="str">
        <f>IF(MIS_Backend_Data!Q249="", "", MIS_Backend_Data!Q249)</f>
        <v/>
      </c>
      <c r="F247" t="e">
        <f>IF(MIS_Backend_Data!#REF!="", "", MIS_Backend_Data!#REF!)</f>
        <v>#REF!</v>
      </c>
      <c r="G247" t="str">
        <f>IF(MIS_Backend_Data!Y249="", "", MIS_Backend_Data!Y249)</f>
        <v/>
      </c>
      <c r="I247" t="e">
        <f>IF(MIS_Backend_Data!#REF!="", "", MIS_Backend_Data!#REF!)</f>
        <v>#REF!</v>
      </c>
      <c r="J247" t="str">
        <f>IF(MIS_Backend_Data!AD249="", "", MIS_Backend_Data!AD249)</f>
        <v/>
      </c>
      <c r="L247" t="str">
        <f>IF(MIS_Backend_Data!AF249="", "", MIS_Backend_Data!AF249)</f>
        <v/>
      </c>
      <c r="N247" t="e">
        <f>IF(MIS_Backend_Data!#REF!="", "", MIS_Backend_Data!#REF!)</f>
        <v>#REF!</v>
      </c>
    </row>
    <row r="248" spans="1:14" ht="14.5">
      <c r="A248">
        <v>244</v>
      </c>
      <c r="B248" s="145" t="e">
        <f>IF(MIS_Backend_Data!#REF!="", "", MIS_Backend_Data!#REF!)</f>
        <v>#REF!</v>
      </c>
      <c r="D248" t="str">
        <f>IF(MIS_Backend_Data!Q250="", "", MIS_Backend_Data!Q250)</f>
        <v/>
      </c>
      <c r="F248" t="e">
        <f>IF(MIS_Backend_Data!#REF!="", "", MIS_Backend_Data!#REF!)</f>
        <v>#REF!</v>
      </c>
      <c r="G248" t="str">
        <f>IF(MIS_Backend_Data!Y250="", "", MIS_Backend_Data!Y250)</f>
        <v/>
      </c>
      <c r="I248" t="e">
        <f>IF(MIS_Backend_Data!#REF!="", "", MIS_Backend_Data!#REF!)</f>
        <v>#REF!</v>
      </c>
      <c r="J248" t="str">
        <f>IF(MIS_Backend_Data!AD250="", "", MIS_Backend_Data!AD250)</f>
        <v/>
      </c>
      <c r="L248" t="str">
        <f>IF(MIS_Backend_Data!AF250="", "", MIS_Backend_Data!AF250)</f>
        <v/>
      </c>
      <c r="N248" t="e">
        <f>IF(MIS_Backend_Data!#REF!="", "", MIS_Backend_Data!#REF!)</f>
        <v>#REF!</v>
      </c>
    </row>
    <row r="249" spans="1:14" ht="14.5">
      <c r="A249">
        <v>245</v>
      </c>
      <c r="B249" s="145" t="e">
        <f>IF(MIS_Backend_Data!#REF!="", "", MIS_Backend_Data!#REF!)</f>
        <v>#REF!</v>
      </c>
      <c r="D249" t="str">
        <f>IF(MIS_Backend_Data!Q251="", "", MIS_Backend_Data!Q251)</f>
        <v/>
      </c>
      <c r="F249" t="e">
        <f>IF(MIS_Backend_Data!#REF!="", "", MIS_Backend_Data!#REF!)</f>
        <v>#REF!</v>
      </c>
      <c r="G249" t="str">
        <f>IF(MIS_Backend_Data!Y251="", "", MIS_Backend_Data!Y251)</f>
        <v/>
      </c>
      <c r="I249" t="e">
        <f>IF(MIS_Backend_Data!#REF!="", "", MIS_Backend_Data!#REF!)</f>
        <v>#REF!</v>
      </c>
      <c r="J249" t="str">
        <f>IF(MIS_Backend_Data!AD251="", "", MIS_Backend_Data!AD251)</f>
        <v/>
      </c>
      <c r="L249" t="str">
        <f>IF(MIS_Backend_Data!AF251="", "", MIS_Backend_Data!AF251)</f>
        <v/>
      </c>
      <c r="N249" t="e">
        <f>IF(MIS_Backend_Data!#REF!="", "", MIS_Backend_Data!#REF!)</f>
        <v>#REF!</v>
      </c>
    </row>
    <row r="250" spans="1:14" ht="14.5">
      <c r="A250">
        <v>246</v>
      </c>
      <c r="B250" s="145" t="e">
        <f>IF(MIS_Backend_Data!#REF!="", "", MIS_Backend_Data!#REF!)</f>
        <v>#REF!</v>
      </c>
      <c r="D250" t="str">
        <f>IF(MIS_Backend_Data!Q252="", "", MIS_Backend_Data!Q252)</f>
        <v/>
      </c>
      <c r="F250" t="e">
        <f>IF(MIS_Backend_Data!#REF!="", "", MIS_Backend_Data!#REF!)</f>
        <v>#REF!</v>
      </c>
      <c r="G250" t="str">
        <f>IF(MIS_Backend_Data!Y252="", "", MIS_Backend_Data!Y252)</f>
        <v/>
      </c>
      <c r="I250" t="e">
        <f>IF(MIS_Backend_Data!#REF!="", "", MIS_Backend_Data!#REF!)</f>
        <v>#REF!</v>
      </c>
      <c r="J250" t="str">
        <f>IF(MIS_Backend_Data!AD252="", "", MIS_Backend_Data!AD252)</f>
        <v/>
      </c>
      <c r="L250" t="str">
        <f>IF(MIS_Backend_Data!AF252="", "", MIS_Backend_Data!AF252)</f>
        <v/>
      </c>
      <c r="N250" t="e">
        <f>IF(MIS_Backend_Data!#REF!="", "", MIS_Backend_Data!#REF!)</f>
        <v>#REF!</v>
      </c>
    </row>
    <row r="251" spans="1:14" ht="14.5">
      <c r="A251">
        <v>247</v>
      </c>
      <c r="B251" s="145" t="e">
        <f>IF(MIS_Backend_Data!#REF!="", "", MIS_Backend_Data!#REF!)</f>
        <v>#REF!</v>
      </c>
      <c r="D251" t="str">
        <f>IF(MIS_Backend_Data!Q253="", "", MIS_Backend_Data!Q253)</f>
        <v/>
      </c>
      <c r="F251" t="e">
        <f>IF(MIS_Backend_Data!#REF!="", "", MIS_Backend_Data!#REF!)</f>
        <v>#REF!</v>
      </c>
      <c r="G251" t="str">
        <f>IF(MIS_Backend_Data!Y253="", "", MIS_Backend_Data!Y253)</f>
        <v/>
      </c>
      <c r="I251" t="e">
        <f>IF(MIS_Backend_Data!#REF!="", "", MIS_Backend_Data!#REF!)</f>
        <v>#REF!</v>
      </c>
      <c r="J251" t="str">
        <f>IF(MIS_Backend_Data!AD253="", "", MIS_Backend_Data!AD253)</f>
        <v/>
      </c>
      <c r="L251" t="str">
        <f>IF(MIS_Backend_Data!AF253="", "", MIS_Backend_Data!AF253)</f>
        <v/>
      </c>
      <c r="N251" t="e">
        <f>IF(MIS_Backend_Data!#REF!="", "", MIS_Backend_Data!#REF!)</f>
        <v>#REF!</v>
      </c>
    </row>
    <row r="252" spans="1:14" ht="14.5">
      <c r="A252">
        <v>248</v>
      </c>
      <c r="B252" s="145" t="e">
        <f>IF(MIS_Backend_Data!#REF!="", "", MIS_Backend_Data!#REF!)</f>
        <v>#REF!</v>
      </c>
      <c r="D252" t="str">
        <f>IF(MIS_Backend_Data!Q254="", "", MIS_Backend_Data!Q254)</f>
        <v/>
      </c>
      <c r="F252" t="e">
        <f>IF(MIS_Backend_Data!#REF!="", "", MIS_Backend_Data!#REF!)</f>
        <v>#REF!</v>
      </c>
      <c r="G252" t="str">
        <f>IF(MIS_Backend_Data!Y254="", "", MIS_Backend_Data!Y254)</f>
        <v/>
      </c>
      <c r="I252" t="e">
        <f>IF(MIS_Backend_Data!#REF!="", "", MIS_Backend_Data!#REF!)</f>
        <v>#REF!</v>
      </c>
      <c r="J252" t="str">
        <f>IF(MIS_Backend_Data!AD254="", "", MIS_Backend_Data!AD254)</f>
        <v/>
      </c>
      <c r="L252" t="str">
        <f>IF(MIS_Backend_Data!AF254="", "", MIS_Backend_Data!AF254)</f>
        <v/>
      </c>
      <c r="N252" t="e">
        <f>IF(MIS_Backend_Data!#REF!="", "", MIS_Backend_Data!#REF!)</f>
        <v>#REF!</v>
      </c>
    </row>
    <row r="253" spans="1:14" ht="14.5">
      <c r="A253">
        <v>249</v>
      </c>
      <c r="B253" s="145" t="e">
        <f>IF(MIS_Backend_Data!#REF!="", "", MIS_Backend_Data!#REF!)</f>
        <v>#REF!</v>
      </c>
      <c r="D253" t="str">
        <f>IF(MIS_Backend_Data!Q255="", "", MIS_Backend_Data!Q255)</f>
        <v/>
      </c>
      <c r="F253" t="e">
        <f>IF(MIS_Backend_Data!#REF!="", "", MIS_Backend_Data!#REF!)</f>
        <v>#REF!</v>
      </c>
      <c r="G253" t="str">
        <f>IF(MIS_Backend_Data!Y255="", "", MIS_Backend_Data!Y255)</f>
        <v/>
      </c>
      <c r="I253" t="e">
        <f>IF(MIS_Backend_Data!#REF!="", "", MIS_Backend_Data!#REF!)</f>
        <v>#REF!</v>
      </c>
      <c r="J253" t="str">
        <f>IF(MIS_Backend_Data!AD255="", "", MIS_Backend_Data!AD255)</f>
        <v/>
      </c>
      <c r="L253" t="str">
        <f>IF(MIS_Backend_Data!AF255="", "", MIS_Backend_Data!AF255)</f>
        <v/>
      </c>
      <c r="N253" t="e">
        <f>IF(MIS_Backend_Data!#REF!="", "", MIS_Backend_Data!#REF!)</f>
        <v>#REF!</v>
      </c>
    </row>
    <row r="254" spans="1:14" ht="14.5">
      <c r="A254">
        <v>250</v>
      </c>
      <c r="B254" s="145" t="e">
        <f>IF(MIS_Backend_Data!#REF!="", "", MIS_Backend_Data!#REF!)</f>
        <v>#REF!</v>
      </c>
      <c r="D254" t="str">
        <f>IF(MIS_Backend_Data!Q256="", "", MIS_Backend_Data!Q256)</f>
        <v/>
      </c>
      <c r="F254" t="e">
        <f>IF(MIS_Backend_Data!#REF!="", "", MIS_Backend_Data!#REF!)</f>
        <v>#REF!</v>
      </c>
      <c r="G254" t="str">
        <f>IF(MIS_Backend_Data!Y256="", "", MIS_Backend_Data!Y256)</f>
        <v/>
      </c>
      <c r="I254" t="e">
        <f>IF(MIS_Backend_Data!#REF!="", "", MIS_Backend_Data!#REF!)</f>
        <v>#REF!</v>
      </c>
      <c r="J254" t="str">
        <f>IF(MIS_Backend_Data!AD256="", "", MIS_Backend_Data!AD256)</f>
        <v/>
      </c>
      <c r="L254" t="str">
        <f>IF(MIS_Backend_Data!AF256="", "", MIS_Backend_Data!AF256)</f>
        <v/>
      </c>
      <c r="N254" t="e">
        <f>IF(MIS_Backend_Data!#REF!="", "", MIS_Backend_Data!#REF!)</f>
        <v>#REF!</v>
      </c>
    </row>
    <row r="255" spans="1:14" ht="14.5">
      <c r="A255">
        <v>251</v>
      </c>
      <c r="B255" s="145" t="e">
        <f>IF(MIS_Backend_Data!#REF!="", "", MIS_Backend_Data!#REF!)</f>
        <v>#REF!</v>
      </c>
      <c r="D255" t="str">
        <f>IF(MIS_Backend_Data!Q257="", "", MIS_Backend_Data!Q257)</f>
        <v/>
      </c>
      <c r="F255" t="e">
        <f>IF(MIS_Backend_Data!#REF!="", "", MIS_Backend_Data!#REF!)</f>
        <v>#REF!</v>
      </c>
      <c r="G255" t="str">
        <f>IF(MIS_Backend_Data!Y257="", "", MIS_Backend_Data!Y257)</f>
        <v/>
      </c>
      <c r="I255" t="e">
        <f>IF(MIS_Backend_Data!#REF!="", "", MIS_Backend_Data!#REF!)</f>
        <v>#REF!</v>
      </c>
      <c r="J255" t="str">
        <f>IF(MIS_Backend_Data!AD257="", "", MIS_Backend_Data!AD257)</f>
        <v/>
      </c>
      <c r="L255" t="str">
        <f>IF(MIS_Backend_Data!AF257="", "", MIS_Backend_Data!AF257)</f>
        <v/>
      </c>
      <c r="N255" t="e">
        <f>IF(MIS_Backend_Data!#REF!="", "", MIS_Backend_Data!#REF!)</f>
        <v>#REF!</v>
      </c>
    </row>
    <row r="256" spans="1:14" ht="14.5">
      <c r="A256">
        <v>252</v>
      </c>
      <c r="B256" s="145" t="e">
        <f>IF(MIS_Backend_Data!#REF!="", "", MIS_Backend_Data!#REF!)</f>
        <v>#REF!</v>
      </c>
      <c r="D256" t="str">
        <f>IF(MIS_Backend_Data!Q258="", "", MIS_Backend_Data!Q258)</f>
        <v/>
      </c>
      <c r="F256" t="e">
        <f>IF(MIS_Backend_Data!#REF!="", "", MIS_Backend_Data!#REF!)</f>
        <v>#REF!</v>
      </c>
      <c r="G256" t="str">
        <f>IF(MIS_Backend_Data!Y258="", "", MIS_Backend_Data!Y258)</f>
        <v/>
      </c>
      <c r="I256" t="e">
        <f>IF(MIS_Backend_Data!#REF!="", "", MIS_Backend_Data!#REF!)</f>
        <v>#REF!</v>
      </c>
      <c r="J256" t="str">
        <f>IF(MIS_Backend_Data!AD258="", "", MIS_Backend_Data!AD258)</f>
        <v/>
      </c>
      <c r="L256" t="str">
        <f>IF(MIS_Backend_Data!AF258="", "", MIS_Backend_Data!AF258)</f>
        <v/>
      </c>
      <c r="N256" t="e">
        <f>IF(MIS_Backend_Data!#REF!="", "", MIS_Backend_Data!#REF!)</f>
        <v>#REF!</v>
      </c>
    </row>
    <row r="257" spans="1:14" ht="14.5">
      <c r="A257">
        <v>253</v>
      </c>
      <c r="B257" s="145" t="e">
        <f>IF(MIS_Backend_Data!#REF!="", "", MIS_Backend_Data!#REF!)</f>
        <v>#REF!</v>
      </c>
      <c r="D257" t="str">
        <f>IF(MIS_Backend_Data!Q259="", "", MIS_Backend_Data!Q259)</f>
        <v/>
      </c>
      <c r="F257" t="e">
        <f>IF(MIS_Backend_Data!#REF!="", "", MIS_Backend_Data!#REF!)</f>
        <v>#REF!</v>
      </c>
      <c r="G257" t="str">
        <f>IF(MIS_Backend_Data!Y259="", "", MIS_Backend_Data!Y259)</f>
        <v/>
      </c>
      <c r="I257" t="e">
        <f>IF(MIS_Backend_Data!#REF!="", "", MIS_Backend_Data!#REF!)</f>
        <v>#REF!</v>
      </c>
      <c r="J257" t="str">
        <f>IF(MIS_Backend_Data!AD259="", "", MIS_Backend_Data!AD259)</f>
        <v/>
      </c>
      <c r="L257" t="str">
        <f>IF(MIS_Backend_Data!AF259="", "", MIS_Backend_Data!AF259)</f>
        <v/>
      </c>
      <c r="N257" t="e">
        <f>IF(MIS_Backend_Data!#REF!="", "", MIS_Backend_Data!#REF!)</f>
        <v>#REF!</v>
      </c>
    </row>
    <row r="258" spans="1:14" ht="14.5">
      <c r="A258">
        <v>254</v>
      </c>
      <c r="B258" s="145" t="e">
        <f>IF(MIS_Backend_Data!#REF!="", "", MIS_Backend_Data!#REF!)</f>
        <v>#REF!</v>
      </c>
      <c r="D258" t="str">
        <f>IF(MIS_Backend_Data!Q260="", "", MIS_Backend_Data!Q260)</f>
        <v/>
      </c>
      <c r="F258" t="e">
        <f>IF(MIS_Backend_Data!#REF!="", "", MIS_Backend_Data!#REF!)</f>
        <v>#REF!</v>
      </c>
      <c r="G258" t="str">
        <f>IF(MIS_Backend_Data!Y260="", "", MIS_Backend_Data!Y260)</f>
        <v/>
      </c>
      <c r="I258" t="e">
        <f>IF(MIS_Backend_Data!#REF!="", "", MIS_Backend_Data!#REF!)</f>
        <v>#REF!</v>
      </c>
      <c r="J258" t="str">
        <f>IF(MIS_Backend_Data!AD260="", "", MIS_Backend_Data!AD260)</f>
        <v/>
      </c>
      <c r="L258" t="str">
        <f>IF(MIS_Backend_Data!AF260="", "", MIS_Backend_Data!AF260)</f>
        <v/>
      </c>
      <c r="N258" t="e">
        <f>IF(MIS_Backend_Data!#REF!="", "", MIS_Backend_Data!#REF!)</f>
        <v>#REF!</v>
      </c>
    </row>
    <row r="259" spans="1:14" ht="14.5">
      <c r="A259">
        <v>255</v>
      </c>
      <c r="B259" s="145" t="e">
        <f>IF(MIS_Backend_Data!#REF!="", "", MIS_Backend_Data!#REF!)</f>
        <v>#REF!</v>
      </c>
      <c r="D259" t="str">
        <f>IF(MIS_Backend_Data!Q261="", "", MIS_Backend_Data!Q261)</f>
        <v/>
      </c>
      <c r="F259" t="e">
        <f>IF(MIS_Backend_Data!#REF!="", "", MIS_Backend_Data!#REF!)</f>
        <v>#REF!</v>
      </c>
      <c r="G259" t="str">
        <f>IF(MIS_Backend_Data!Y261="", "", MIS_Backend_Data!Y261)</f>
        <v/>
      </c>
      <c r="I259" t="e">
        <f>IF(MIS_Backend_Data!#REF!="", "", MIS_Backend_Data!#REF!)</f>
        <v>#REF!</v>
      </c>
      <c r="J259" t="str">
        <f>IF(MIS_Backend_Data!AD261="", "", MIS_Backend_Data!AD261)</f>
        <v/>
      </c>
      <c r="L259" t="str">
        <f>IF(MIS_Backend_Data!AF261="", "", MIS_Backend_Data!AF261)</f>
        <v/>
      </c>
      <c r="N259" t="e">
        <f>IF(MIS_Backend_Data!#REF!="", "", MIS_Backend_Data!#REF!)</f>
        <v>#REF!</v>
      </c>
    </row>
    <row r="260" spans="1:14" ht="14.5">
      <c r="A260">
        <v>256</v>
      </c>
      <c r="B260" s="145" t="e">
        <f>IF(MIS_Backend_Data!#REF!="", "", MIS_Backend_Data!#REF!)</f>
        <v>#REF!</v>
      </c>
      <c r="D260" t="str">
        <f>IF(MIS_Backend_Data!Q262="", "", MIS_Backend_Data!Q262)</f>
        <v/>
      </c>
      <c r="F260" t="e">
        <f>IF(MIS_Backend_Data!#REF!="", "", MIS_Backend_Data!#REF!)</f>
        <v>#REF!</v>
      </c>
      <c r="G260" t="str">
        <f>IF(MIS_Backend_Data!Y262="", "", MIS_Backend_Data!Y262)</f>
        <v/>
      </c>
      <c r="I260" t="e">
        <f>IF(MIS_Backend_Data!#REF!="", "", MIS_Backend_Data!#REF!)</f>
        <v>#REF!</v>
      </c>
      <c r="J260" t="str">
        <f>IF(MIS_Backend_Data!AD262="", "", MIS_Backend_Data!AD262)</f>
        <v/>
      </c>
      <c r="L260" t="str">
        <f>IF(MIS_Backend_Data!AF262="", "", MIS_Backend_Data!AF262)</f>
        <v/>
      </c>
      <c r="N260" t="e">
        <f>IF(MIS_Backend_Data!#REF!="", "", MIS_Backend_Data!#REF!)</f>
        <v>#REF!</v>
      </c>
    </row>
    <row r="261" spans="1:14" ht="14.5">
      <c r="A261">
        <v>257</v>
      </c>
      <c r="B261" s="145" t="e">
        <f>IF(MIS_Backend_Data!#REF!="", "", MIS_Backend_Data!#REF!)</f>
        <v>#REF!</v>
      </c>
      <c r="D261" t="str">
        <f>IF(MIS_Backend_Data!Q263="", "", MIS_Backend_Data!Q263)</f>
        <v/>
      </c>
      <c r="F261" t="e">
        <f>IF(MIS_Backend_Data!#REF!="", "", MIS_Backend_Data!#REF!)</f>
        <v>#REF!</v>
      </c>
      <c r="G261" t="str">
        <f>IF(MIS_Backend_Data!Y263="", "", MIS_Backend_Data!Y263)</f>
        <v/>
      </c>
      <c r="I261" t="e">
        <f>IF(MIS_Backend_Data!#REF!="", "", MIS_Backend_Data!#REF!)</f>
        <v>#REF!</v>
      </c>
      <c r="J261" t="str">
        <f>IF(MIS_Backend_Data!AD263="", "", MIS_Backend_Data!AD263)</f>
        <v/>
      </c>
      <c r="L261" t="str">
        <f>IF(MIS_Backend_Data!AF263="", "", MIS_Backend_Data!AF263)</f>
        <v/>
      </c>
      <c r="N261" t="e">
        <f>IF(MIS_Backend_Data!#REF!="", "", MIS_Backend_Data!#REF!)</f>
        <v>#REF!</v>
      </c>
    </row>
    <row r="262" spans="1:14" ht="14.5">
      <c r="A262">
        <v>258</v>
      </c>
      <c r="B262" s="145" t="e">
        <f>IF(MIS_Backend_Data!#REF!="", "", MIS_Backend_Data!#REF!)</f>
        <v>#REF!</v>
      </c>
      <c r="D262" t="str">
        <f>IF(MIS_Backend_Data!Q264="", "", MIS_Backend_Data!Q264)</f>
        <v/>
      </c>
      <c r="F262" t="e">
        <f>IF(MIS_Backend_Data!#REF!="", "", MIS_Backend_Data!#REF!)</f>
        <v>#REF!</v>
      </c>
      <c r="G262" t="str">
        <f>IF(MIS_Backend_Data!Y264="", "", MIS_Backend_Data!Y264)</f>
        <v/>
      </c>
      <c r="I262" t="e">
        <f>IF(MIS_Backend_Data!#REF!="", "", MIS_Backend_Data!#REF!)</f>
        <v>#REF!</v>
      </c>
      <c r="J262" t="str">
        <f>IF(MIS_Backend_Data!AD264="", "", MIS_Backend_Data!AD264)</f>
        <v/>
      </c>
      <c r="L262" t="str">
        <f>IF(MIS_Backend_Data!AF264="", "", MIS_Backend_Data!AF264)</f>
        <v/>
      </c>
      <c r="N262" t="e">
        <f>IF(MIS_Backend_Data!#REF!="", "", MIS_Backend_Data!#REF!)</f>
        <v>#REF!</v>
      </c>
    </row>
    <row r="263" spans="1:14" ht="14.5">
      <c r="A263">
        <v>259</v>
      </c>
      <c r="B263" s="145" t="e">
        <f>IF(MIS_Backend_Data!#REF!="", "", MIS_Backend_Data!#REF!)</f>
        <v>#REF!</v>
      </c>
      <c r="D263" t="str">
        <f>IF(MIS_Backend_Data!Q265="", "", MIS_Backend_Data!Q265)</f>
        <v/>
      </c>
      <c r="F263" t="e">
        <f>IF(MIS_Backend_Data!#REF!="", "", MIS_Backend_Data!#REF!)</f>
        <v>#REF!</v>
      </c>
      <c r="G263" t="str">
        <f>IF(MIS_Backend_Data!Y265="", "", MIS_Backend_Data!Y265)</f>
        <v/>
      </c>
      <c r="I263" t="e">
        <f>IF(MIS_Backend_Data!#REF!="", "", MIS_Backend_Data!#REF!)</f>
        <v>#REF!</v>
      </c>
      <c r="J263" t="str">
        <f>IF(MIS_Backend_Data!AD265="", "", MIS_Backend_Data!AD265)</f>
        <v/>
      </c>
      <c r="L263" t="str">
        <f>IF(MIS_Backend_Data!AF265="", "", MIS_Backend_Data!AF265)</f>
        <v/>
      </c>
      <c r="N263" t="e">
        <f>IF(MIS_Backend_Data!#REF!="", "", MIS_Backend_Data!#REF!)</f>
        <v>#REF!</v>
      </c>
    </row>
    <row r="264" spans="1:14" ht="14.5">
      <c r="A264">
        <v>260</v>
      </c>
      <c r="B264" s="145" t="e">
        <f>IF(MIS_Backend_Data!#REF!="", "", MIS_Backend_Data!#REF!)</f>
        <v>#REF!</v>
      </c>
      <c r="D264" t="str">
        <f>IF(MIS_Backend_Data!Q266="", "", MIS_Backend_Data!Q266)</f>
        <v/>
      </c>
      <c r="F264" t="e">
        <f>IF(MIS_Backend_Data!#REF!="", "", MIS_Backend_Data!#REF!)</f>
        <v>#REF!</v>
      </c>
      <c r="G264" t="str">
        <f>IF(MIS_Backend_Data!Y266="", "", MIS_Backend_Data!Y266)</f>
        <v/>
      </c>
      <c r="I264" t="e">
        <f>IF(MIS_Backend_Data!#REF!="", "", MIS_Backend_Data!#REF!)</f>
        <v>#REF!</v>
      </c>
      <c r="J264" t="str">
        <f>IF(MIS_Backend_Data!AD266="", "", MIS_Backend_Data!AD266)</f>
        <v/>
      </c>
      <c r="L264" t="str">
        <f>IF(MIS_Backend_Data!AF266="", "", MIS_Backend_Data!AF266)</f>
        <v/>
      </c>
      <c r="N264" t="e">
        <f>IF(MIS_Backend_Data!#REF!="", "", MIS_Backend_Data!#REF!)</f>
        <v>#REF!</v>
      </c>
    </row>
    <row r="265" spans="1:14" ht="14.5">
      <c r="A265">
        <v>261</v>
      </c>
      <c r="B265" s="145" t="e">
        <f>IF(MIS_Backend_Data!#REF!="", "", MIS_Backend_Data!#REF!)</f>
        <v>#REF!</v>
      </c>
      <c r="D265" t="str">
        <f>IF(MIS_Backend_Data!Q267="", "", MIS_Backend_Data!Q267)</f>
        <v/>
      </c>
      <c r="F265" t="e">
        <f>IF(MIS_Backend_Data!#REF!="", "", MIS_Backend_Data!#REF!)</f>
        <v>#REF!</v>
      </c>
      <c r="G265" t="str">
        <f>IF(MIS_Backend_Data!Y267="", "", MIS_Backend_Data!Y267)</f>
        <v/>
      </c>
      <c r="I265" t="e">
        <f>IF(MIS_Backend_Data!#REF!="", "", MIS_Backend_Data!#REF!)</f>
        <v>#REF!</v>
      </c>
      <c r="J265" t="str">
        <f>IF(MIS_Backend_Data!AD267="", "", MIS_Backend_Data!AD267)</f>
        <v/>
      </c>
      <c r="L265" t="str">
        <f>IF(MIS_Backend_Data!AF267="", "", MIS_Backend_Data!AF267)</f>
        <v/>
      </c>
      <c r="N265" t="e">
        <f>IF(MIS_Backend_Data!#REF!="", "", MIS_Backend_Data!#REF!)</f>
        <v>#REF!</v>
      </c>
    </row>
    <row r="266" spans="1:14" ht="14.5">
      <c r="A266">
        <v>262</v>
      </c>
      <c r="B266" s="145" t="e">
        <f>IF(MIS_Backend_Data!#REF!="", "", MIS_Backend_Data!#REF!)</f>
        <v>#REF!</v>
      </c>
      <c r="D266" t="str">
        <f>IF(MIS_Backend_Data!Q268="", "", MIS_Backend_Data!Q268)</f>
        <v/>
      </c>
      <c r="F266" t="e">
        <f>IF(MIS_Backend_Data!#REF!="", "", MIS_Backend_Data!#REF!)</f>
        <v>#REF!</v>
      </c>
      <c r="G266" t="str">
        <f>IF(MIS_Backend_Data!Y268="", "", MIS_Backend_Data!Y268)</f>
        <v/>
      </c>
      <c r="I266" t="e">
        <f>IF(MIS_Backend_Data!#REF!="", "", MIS_Backend_Data!#REF!)</f>
        <v>#REF!</v>
      </c>
      <c r="J266" t="str">
        <f>IF(MIS_Backend_Data!AD268="", "", MIS_Backend_Data!AD268)</f>
        <v/>
      </c>
      <c r="L266" t="str">
        <f>IF(MIS_Backend_Data!AF268="", "", MIS_Backend_Data!AF268)</f>
        <v/>
      </c>
      <c r="N266" t="e">
        <f>IF(MIS_Backend_Data!#REF!="", "", MIS_Backend_Data!#REF!)</f>
        <v>#REF!</v>
      </c>
    </row>
    <row r="267" spans="1:14" ht="14.5">
      <c r="A267">
        <v>263</v>
      </c>
      <c r="B267" s="145" t="e">
        <f>IF(MIS_Backend_Data!#REF!="", "", MIS_Backend_Data!#REF!)</f>
        <v>#REF!</v>
      </c>
      <c r="D267" t="str">
        <f>IF(MIS_Backend_Data!Q269="", "", MIS_Backend_Data!Q269)</f>
        <v/>
      </c>
      <c r="F267" t="e">
        <f>IF(MIS_Backend_Data!#REF!="", "", MIS_Backend_Data!#REF!)</f>
        <v>#REF!</v>
      </c>
      <c r="G267" t="str">
        <f>IF(MIS_Backend_Data!Y269="", "", MIS_Backend_Data!Y269)</f>
        <v/>
      </c>
      <c r="I267" t="e">
        <f>IF(MIS_Backend_Data!#REF!="", "", MIS_Backend_Data!#REF!)</f>
        <v>#REF!</v>
      </c>
      <c r="J267" t="str">
        <f>IF(MIS_Backend_Data!AD269="", "", MIS_Backend_Data!AD269)</f>
        <v/>
      </c>
      <c r="L267" t="str">
        <f>IF(MIS_Backend_Data!AF269="", "", MIS_Backend_Data!AF269)</f>
        <v/>
      </c>
      <c r="N267" t="e">
        <f>IF(MIS_Backend_Data!#REF!="", "", MIS_Backend_Data!#REF!)</f>
        <v>#REF!</v>
      </c>
    </row>
    <row r="268" spans="1:14" ht="14.5">
      <c r="A268">
        <v>264</v>
      </c>
      <c r="B268" s="145" t="e">
        <f>IF(MIS_Backend_Data!#REF!="", "", MIS_Backend_Data!#REF!)</f>
        <v>#REF!</v>
      </c>
      <c r="D268" t="str">
        <f>IF(MIS_Backend_Data!Q270="", "", MIS_Backend_Data!Q270)</f>
        <v/>
      </c>
      <c r="F268" t="e">
        <f>IF(MIS_Backend_Data!#REF!="", "", MIS_Backend_Data!#REF!)</f>
        <v>#REF!</v>
      </c>
      <c r="G268" t="str">
        <f>IF(MIS_Backend_Data!Y270="", "", MIS_Backend_Data!Y270)</f>
        <v/>
      </c>
      <c r="I268" t="e">
        <f>IF(MIS_Backend_Data!#REF!="", "", MIS_Backend_Data!#REF!)</f>
        <v>#REF!</v>
      </c>
      <c r="J268" t="str">
        <f>IF(MIS_Backend_Data!AD270="", "", MIS_Backend_Data!AD270)</f>
        <v/>
      </c>
      <c r="L268" t="str">
        <f>IF(MIS_Backend_Data!AF270="", "", MIS_Backend_Data!AF270)</f>
        <v/>
      </c>
      <c r="N268" t="e">
        <f>IF(MIS_Backend_Data!#REF!="", "", MIS_Backend_Data!#REF!)</f>
        <v>#REF!</v>
      </c>
    </row>
    <row r="269" spans="1:14" ht="14.5">
      <c r="A269">
        <v>265</v>
      </c>
      <c r="B269" s="145" t="e">
        <f>IF(MIS_Backend_Data!#REF!="", "", MIS_Backend_Data!#REF!)</f>
        <v>#REF!</v>
      </c>
      <c r="D269" t="str">
        <f>IF(MIS_Backend_Data!Q271="", "", MIS_Backend_Data!Q271)</f>
        <v/>
      </c>
      <c r="F269" t="e">
        <f>IF(MIS_Backend_Data!#REF!="", "", MIS_Backend_Data!#REF!)</f>
        <v>#REF!</v>
      </c>
      <c r="G269" t="str">
        <f>IF(MIS_Backend_Data!Y271="", "", MIS_Backend_Data!Y271)</f>
        <v/>
      </c>
      <c r="I269" t="e">
        <f>IF(MIS_Backend_Data!#REF!="", "", MIS_Backend_Data!#REF!)</f>
        <v>#REF!</v>
      </c>
      <c r="J269" t="str">
        <f>IF(MIS_Backend_Data!AD271="", "", MIS_Backend_Data!AD271)</f>
        <v/>
      </c>
      <c r="L269" t="str">
        <f>IF(MIS_Backend_Data!AF271="", "", MIS_Backend_Data!AF271)</f>
        <v/>
      </c>
      <c r="N269" t="e">
        <f>IF(MIS_Backend_Data!#REF!="", "", MIS_Backend_Data!#REF!)</f>
        <v>#REF!</v>
      </c>
    </row>
    <row r="270" spans="1:14" ht="14.5">
      <c r="A270">
        <v>266</v>
      </c>
      <c r="B270" s="145" t="e">
        <f>IF(MIS_Backend_Data!#REF!="", "", MIS_Backend_Data!#REF!)</f>
        <v>#REF!</v>
      </c>
      <c r="D270" t="str">
        <f>IF(MIS_Backend_Data!Q272="", "", MIS_Backend_Data!Q272)</f>
        <v/>
      </c>
      <c r="F270" t="e">
        <f>IF(MIS_Backend_Data!#REF!="", "", MIS_Backend_Data!#REF!)</f>
        <v>#REF!</v>
      </c>
      <c r="G270" t="str">
        <f>IF(MIS_Backend_Data!Y272="", "", MIS_Backend_Data!Y272)</f>
        <v/>
      </c>
      <c r="I270" t="e">
        <f>IF(MIS_Backend_Data!#REF!="", "", MIS_Backend_Data!#REF!)</f>
        <v>#REF!</v>
      </c>
      <c r="J270" t="str">
        <f>IF(MIS_Backend_Data!AD272="", "", MIS_Backend_Data!AD272)</f>
        <v/>
      </c>
      <c r="L270" t="str">
        <f>IF(MIS_Backend_Data!AF272="", "", MIS_Backend_Data!AF272)</f>
        <v/>
      </c>
      <c r="N270" t="e">
        <f>IF(MIS_Backend_Data!#REF!="", "", MIS_Backend_Data!#REF!)</f>
        <v>#REF!</v>
      </c>
    </row>
    <row r="271" spans="1:14" ht="14.5">
      <c r="A271">
        <v>267</v>
      </c>
      <c r="B271" s="145" t="e">
        <f>IF(MIS_Backend_Data!#REF!="", "", MIS_Backend_Data!#REF!)</f>
        <v>#REF!</v>
      </c>
      <c r="D271" t="str">
        <f>IF(MIS_Backend_Data!Q273="", "", MIS_Backend_Data!Q273)</f>
        <v/>
      </c>
      <c r="F271" t="e">
        <f>IF(MIS_Backend_Data!#REF!="", "", MIS_Backend_Data!#REF!)</f>
        <v>#REF!</v>
      </c>
      <c r="G271" t="str">
        <f>IF(MIS_Backend_Data!Y273="", "", MIS_Backend_Data!Y273)</f>
        <v/>
      </c>
      <c r="I271" t="e">
        <f>IF(MIS_Backend_Data!#REF!="", "", MIS_Backend_Data!#REF!)</f>
        <v>#REF!</v>
      </c>
      <c r="J271" t="str">
        <f>IF(MIS_Backend_Data!AD273="", "", MIS_Backend_Data!AD273)</f>
        <v/>
      </c>
      <c r="L271" t="str">
        <f>IF(MIS_Backend_Data!AF273="", "", MIS_Backend_Data!AF273)</f>
        <v/>
      </c>
      <c r="N271" t="e">
        <f>IF(MIS_Backend_Data!#REF!="", "", MIS_Backend_Data!#REF!)</f>
        <v>#REF!</v>
      </c>
    </row>
    <row r="272" spans="1:14" ht="14.5">
      <c r="A272">
        <v>268</v>
      </c>
      <c r="B272" s="145" t="e">
        <f>IF(MIS_Backend_Data!#REF!="", "", MIS_Backend_Data!#REF!)</f>
        <v>#REF!</v>
      </c>
      <c r="D272" t="str">
        <f>IF(MIS_Backend_Data!Q274="", "", MIS_Backend_Data!Q274)</f>
        <v/>
      </c>
      <c r="F272" t="e">
        <f>IF(MIS_Backend_Data!#REF!="", "", MIS_Backend_Data!#REF!)</f>
        <v>#REF!</v>
      </c>
      <c r="G272" t="str">
        <f>IF(MIS_Backend_Data!Y274="", "", MIS_Backend_Data!Y274)</f>
        <v/>
      </c>
      <c r="I272" t="e">
        <f>IF(MIS_Backend_Data!#REF!="", "", MIS_Backend_Data!#REF!)</f>
        <v>#REF!</v>
      </c>
      <c r="J272" t="str">
        <f>IF(MIS_Backend_Data!AD274="", "", MIS_Backend_Data!AD274)</f>
        <v/>
      </c>
      <c r="L272" t="str">
        <f>IF(MIS_Backend_Data!AF274="", "", MIS_Backend_Data!AF274)</f>
        <v/>
      </c>
      <c r="N272" t="e">
        <f>IF(MIS_Backend_Data!#REF!="", "", MIS_Backend_Data!#REF!)</f>
        <v>#REF!</v>
      </c>
    </row>
    <row r="273" spans="1:14" ht="14.5">
      <c r="A273">
        <v>269</v>
      </c>
      <c r="B273" s="145" t="e">
        <f>IF(MIS_Backend_Data!#REF!="", "", MIS_Backend_Data!#REF!)</f>
        <v>#REF!</v>
      </c>
      <c r="D273" t="str">
        <f>IF(MIS_Backend_Data!Q275="", "", MIS_Backend_Data!Q275)</f>
        <v/>
      </c>
      <c r="F273" t="e">
        <f>IF(MIS_Backend_Data!#REF!="", "", MIS_Backend_Data!#REF!)</f>
        <v>#REF!</v>
      </c>
      <c r="G273" t="str">
        <f>IF(MIS_Backend_Data!Y275="", "", MIS_Backend_Data!Y275)</f>
        <v/>
      </c>
      <c r="I273" t="e">
        <f>IF(MIS_Backend_Data!#REF!="", "", MIS_Backend_Data!#REF!)</f>
        <v>#REF!</v>
      </c>
      <c r="J273" t="str">
        <f>IF(MIS_Backend_Data!AD275="", "", MIS_Backend_Data!AD275)</f>
        <v/>
      </c>
      <c r="L273" t="str">
        <f>IF(MIS_Backend_Data!AF275="", "", MIS_Backend_Data!AF275)</f>
        <v/>
      </c>
      <c r="N273" t="e">
        <f>IF(MIS_Backend_Data!#REF!="", "", MIS_Backend_Data!#REF!)</f>
        <v>#REF!</v>
      </c>
    </row>
    <row r="274" spans="1:14" ht="14.5">
      <c r="A274">
        <v>270</v>
      </c>
      <c r="B274" s="145" t="e">
        <f>IF(MIS_Backend_Data!#REF!="", "", MIS_Backend_Data!#REF!)</f>
        <v>#REF!</v>
      </c>
      <c r="D274" t="str">
        <f>IF(MIS_Backend_Data!Q276="", "", MIS_Backend_Data!Q276)</f>
        <v/>
      </c>
      <c r="F274" t="e">
        <f>IF(MIS_Backend_Data!#REF!="", "", MIS_Backend_Data!#REF!)</f>
        <v>#REF!</v>
      </c>
      <c r="G274" t="str">
        <f>IF(MIS_Backend_Data!Y276="", "", MIS_Backend_Data!Y276)</f>
        <v/>
      </c>
      <c r="I274" t="e">
        <f>IF(MIS_Backend_Data!#REF!="", "", MIS_Backend_Data!#REF!)</f>
        <v>#REF!</v>
      </c>
      <c r="J274" t="str">
        <f>IF(MIS_Backend_Data!AD276="", "", MIS_Backend_Data!AD276)</f>
        <v/>
      </c>
      <c r="L274" t="str">
        <f>IF(MIS_Backend_Data!AF276="", "", MIS_Backend_Data!AF276)</f>
        <v/>
      </c>
      <c r="N274" t="e">
        <f>IF(MIS_Backend_Data!#REF!="", "", MIS_Backend_Data!#REF!)</f>
        <v>#REF!</v>
      </c>
    </row>
    <row r="275" spans="1:14" ht="14.5">
      <c r="A275">
        <v>271</v>
      </c>
      <c r="B275" s="145" t="e">
        <f>IF(MIS_Backend_Data!#REF!="", "", MIS_Backend_Data!#REF!)</f>
        <v>#REF!</v>
      </c>
      <c r="D275" t="str">
        <f>IF(MIS_Backend_Data!Q277="", "", MIS_Backend_Data!Q277)</f>
        <v/>
      </c>
      <c r="F275" t="e">
        <f>IF(MIS_Backend_Data!#REF!="", "", MIS_Backend_Data!#REF!)</f>
        <v>#REF!</v>
      </c>
      <c r="G275" t="str">
        <f>IF(MIS_Backend_Data!Y277="", "", MIS_Backend_Data!Y277)</f>
        <v/>
      </c>
      <c r="I275" t="e">
        <f>IF(MIS_Backend_Data!#REF!="", "", MIS_Backend_Data!#REF!)</f>
        <v>#REF!</v>
      </c>
      <c r="J275" t="str">
        <f>IF(MIS_Backend_Data!AD277="", "", MIS_Backend_Data!AD277)</f>
        <v/>
      </c>
      <c r="L275" t="str">
        <f>IF(MIS_Backend_Data!AF277="", "", MIS_Backend_Data!AF277)</f>
        <v/>
      </c>
      <c r="N275" t="e">
        <f>IF(MIS_Backend_Data!#REF!="", "", MIS_Backend_Data!#REF!)</f>
        <v>#REF!</v>
      </c>
    </row>
    <row r="276" spans="1:14" ht="14.5">
      <c r="A276">
        <v>272</v>
      </c>
      <c r="B276" s="145" t="e">
        <f>IF(MIS_Backend_Data!#REF!="", "", MIS_Backend_Data!#REF!)</f>
        <v>#REF!</v>
      </c>
      <c r="D276" t="str">
        <f>IF(MIS_Backend_Data!Q278="", "", MIS_Backend_Data!Q278)</f>
        <v/>
      </c>
      <c r="F276" t="e">
        <f>IF(MIS_Backend_Data!#REF!="", "", MIS_Backend_Data!#REF!)</f>
        <v>#REF!</v>
      </c>
      <c r="G276" t="str">
        <f>IF(MIS_Backend_Data!Y278="", "", MIS_Backend_Data!Y278)</f>
        <v/>
      </c>
      <c r="I276" t="e">
        <f>IF(MIS_Backend_Data!#REF!="", "", MIS_Backend_Data!#REF!)</f>
        <v>#REF!</v>
      </c>
      <c r="J276" t="str">
        <f>IF(MIS_Backend_Data!AD278="", "", MIS_Backend_Data!AD278)</f>
        <v/>
      </c>
      <c r="L276" t="str">
        <f>IF(MIS_Backend_Data!AF278="", "", MIS_Backend_Data!AF278)</f>
        <v/>
      </c>
      <c r="N276" t="e">
        <f>IF(MIS_Backend_Data!#REF!="", "", MIS_Backend_Data!#REF!)</f>
        <v>#REF!</v>
      </c>
    </row>
    <row r="277" spans="1:14" ht="14.5">
      <c r="A277">
        <v>273</v>
      </c>
      <c r="B277" s="145" t="e">
        <f>IF(MIS_Backend_Data!#REF!="", "", MIS_Backend_Data!#REF!)</f>
        <v>#REF!</v>
      </c>
      <c r="D277" t="str">
        <f>IF(MIS_Backend_Data!Q279="", "", MIS_Backend_Data!Q279)</f>
        <v/>
      </c>
      <c r="F277" t="e">
        <f>IF(MIS_Backend_Data!#REF!="", "", MIS_Backend_Data!#REF!)</f>
        <v>#REF!</v>
      </c>
      <c r="G277" t="str">
        <f>IF(MIS_Backend_Data!Y279="", "", MIS_Backend_Data!Y279)</f>
        <v/>
      </c>
      <c r="I277" t="e">
        <f>IF(MIS_Backend_Data!#REF!="", "", MIS_Backend_Data!#REF!)</f>
        <v>#REF!</v>
      </c>
      <c r="J277" t="str">
        <f>IF(MIS_Backend_Data!AD279="", "", MIS_Backend_Data!AD279)</f>
        <v/>
      </c>
      <c r="L277" t="str">
        <f>IF(MIS_Backend_Data!AF279="", "", MIS_Backend_Data!AF279)</f>
        <v/>
      </c>
      <c r="N277" t="e">
        <f>IF(MIS_Backend_Data!#REF!="", "", MIS_Backend_Data!#REF!)</f>
        <v>#REF!</v>
      </c>
    </row>
    <row r="278" spans="1:14" ht="14.5">
      <c r="A278">
        <v>274</v>
      </c>
      <c r="B278" s="145" t="e">
        <f>IF(MIS_Backend_Data!#REF!="", "", MIS_Backend_Data!#REF!)</f>
        <v>#REF!</v>
      </c>
      <c r="D278" t="str">
        <f>IF(MIS_Backend_Data!Q280="", "", MIS_Backend_Data!Q280)</f>
        <v/>
      </c>
      <c r="F278" t="e">
        <f>IF(MIS_Backend_Data!#REF!="", "", MIS_Backend_Data!#REF!)</f>
        <v>#REF!</v>
      </c>
      <c r="G278" t="str">
        <f>IF(MIS_Backend_Data!Y280="", "", MIS_Backend_Data!Y280)</f>
        <v/>
      </c>
      <c r="I278" t="e">
        <f>IF(MIS_Backend_Data!#REF!="", "", MIS_Backend_Data!#REF!)</f>
        <v>#REF!</v>
      </c>
      <c r="J278" t="str">
        <f>IF(MIS_Backend_Data!AD280="", "", MIS_Backend_Data!AD280)</f>
        <v/>
      </c>
      <c r="L278" t="str">
        <f>IF(MIS_Backend_Data!AF280="", "", MIS_Backend_Data!AF280)</f>
        <v/>
      </c>
      <c r="N278" t="e">
        <f>IF(MIS_Backend_Data!#REF!="", "", MIS_Backend_Data!#REF!)</f>
        <v>#REF!</v>
      </c>
    </row>
    <row r="279" spans="1:14" ht="14.5">
      <c r="A279">
        <v>275</v>
      </c>
      <c r="B279" s="145" t="e">
        <f>IF(MIS_Backend_Data!#REF!="", "", MIS_Backend_Data!#REF!)</f>
        <v>#REF!</v>
      </c>
      <c r="D279" t="str">
        <f>IF(MIS_Backend_Data!Q281="", "", MIS_Backend_Data!Q281)</f>
        <v/>
      </c>
      <c r="F279" t="e">
        <f>IF(MIS_Backend_Data!#REF!="", "", MIS_Backend_Data!#REF!)</f>
        <v>#REF!</v>
      </c>
      <c r="G279" t="str">
        <f>IF(MIS_Backend_Data!Y281="", "", MIS_Backend_Data!Y281)</f>
        <v/>
      </c>
      <c r="I279" t="e">
        <f>IF(MIS_Backend_Data!#REF!="", "", MIS_Backend_Data!#REF!)</f>
        <v>#REF!</v>
      </c>
      <c r="J279" t="str">
        <f>IF(MIS_Backend_Data!AD281="", "", MIS_Backend_Data!AD281)</f>
        <v/>
      </c>
      <c r="L279" t="str">
        <f>IF(MIS_Backend_Data!AF281="", "", MIS_Backend_Data!AF281)</f>
        <v/>
      </c>
      <c r="N279" t="e">
        <f>IF(MIS_Backend_Data!#REF!="", "", MIS_Backend_Data!#REF!)</f>
        <v>#REF!</v>
      </c>
    </row>
    <row r="280" spans="1:14" ht="14.5">
      <c r="A280">
        <v>276</v>
      </c>
      <c r="B280" s="145" t="e">
        <f>IF(MIS_Backend_Data!#REF!="", "", MIS_Backend_Data!#REF!)</f>
        <v>#REF!</v>
      </c>
      <c r="D280" t="str">
        <f>IF(MIS_Backend_Data!Q282="", "", MIS_Backend_Data!Q282)</f>
        <v/>
      </c>
      <c r="F280" t="e">
        <f>IF(MIS_Backend_Data!#REF!="", "", MIS_Backend_Data!#REF!)</f>
        <v>#REF!</v>
      </c>
      <c r="G280" t="str">
        <f>IF(MIS_Backend_Data!Y282="", "", MIS_Backend_Data!Y282)</f>
        <v/>
      </c>
      <c r="I280" t="e">
        <f>IF(MIS_Backend_Data!#REF!="", "", MIS_Backend_Data!#REF!)</f>
        <v>#REF!</v>
      </c>
      <c r="J280" t="str">
        <f>IF(MIS_Backend_Data!AD282="", "", MIS_Backend_Data!AD282)</f>
        <v/>
      </c>
      <c r="L280" t="str">
        <f>IF(MIS_Backend_Data!AF282="", "", MIS_Backend_Data!AF282)</f>
        <v/>
      </c>
      <c r="N280" t="e">
        <f>IF(MIS_Backend_Data!#REF!="", "", MIS_Backend_Data!#REF!)</f>
        <v>#REF!</v>
      </c>
    </row>
    <row r="281" spans="1:14" ht="14.5">
      <c r="A281">
        <v>277</v>
      </c>
      <c r="B281" s="145" t="e">
        <f>IF(MIS_Backend_Data!#REF!="", "", MIS_Backend_Data!#REF!)</f>
        <v>#REF!</v>
      </c>
      <c r="D281" t="str">
        <f>IF(MIS_Backend_Data!Q283="", "", MIS_Backend_Data!Q283)</f>
        <v/>
      </c>
      <c r="F281" t="e">
        <f>IF(MIS_Backend_Data!#REF!="", "", MIS_Backend_Data!#REF!)</f>
        <v>#REF!</v>
      </c>
      <c r="G281" t="str">
        <f>IF(MIS_Backend_Data!Y283="", "", MIS_Backend_Data!Y283)</f>
        <v/>
      </c>
      <c r="I281" t="e">
        <f>IF(MIS_Backend_Data!#REF!="", "", MIS_Backend_Data!#REF!)</f>
        <v>#REF!</v>
      </c>
      <c r="J281" t="str">
        <f>IF(MIS_Backend_Data!AD283="", "", MIS_Backend_Data!AD283)</f>
        <v/>
      </c>
      <c r="L281" t="str">
        <f>IF(MIS_Backend_Data!AF283="", "", MIS_Backend_Data!AF283)</f>
        <v/>
      </c>
      <c r="N281" t="e">
        <f>IF(MIS_Backend_Data!#REF!="", "", MIS_Backend_Data!#REF!)</f>
        <v>#REF!</v>
      </c>
    </row>
    <row r="282" spans="1:14" ht="14.5">
      <c r="A282">
        <v>278</v>
      </c>
      <c r="B282" s="145" t="e">
        <f>IF(MIS_Backend_Data!#REF!="", "", MIS_Backend_Data!#REF!)</f>
        <v>#REF!</v>
      </c>
      <c r="D282" t="str">
        <f>IF(MIS_Backend_Data!Q284="", "", MIS_Backend_Data!Q284)</f>
        <v/>
      </c>
      <c r="F282" t="e">
        <f>IF(MIS_Backend_Data!#REF!="", "", MIS_Backend_Data!#REF!)</f>
        <v>#REF!</v>
      </c>
      <c r="G282" t="str">
        <f>IF(MIS_Backend_Data!Y284="", "", MIS_Backend_Data!Y284)</f>
        <v/>
      </c>
      <c r="I282" t="e">
        <f>IF(MIS_Backend_Data!#REF!="", "", MIS_Backend_Data!#REF!)</f>
        <v>#REF!</v>
      </c>
      <c r="J282" t="str">
        <f>IF(MIS_Backend_Data!AD284="", "", MIS_Backend_Data!AD284)</f>
        <v/>
      </c>
      <c r="L282" t="str">
        <f>IF(MIS_Backend_Data!AF284="", "", MIS_Backend_Data!AF284)</f>
        <v/>
      </c>
      <c r="N282" t="e">
        <f>IF(MIS_Backend_Data!#REF!="", "", MIS_Backend_Data!#REF!)</f>
        <v>#REF!</v>
      </c>
    </row>
    <row r="283" spans="1:14" ht="14.5">
      <c r="A283">
        <v>279</v>
      </c>
      <c r="B283" s="145" t="e">
        <f>IF(MIS_Backend_Data!#REF!="", "", MIS_Backend_Data!#REF!)</f>
        <v>#REF!</v>
      </c>
      <c r="D283" t="str">
        <f>IF(MIS_Backend_Data!Q285="", "", MIS_Backend_Data!Q285)</f>
        <v/>
      </c>
      <c r="F283" t="e">
        <f>IF(MIS_Backend_Data!#REF!="", "", MIS_Backend_Data!#REF!)</f>
        <v>#REF!</v>
      </c>
      <c r="G283" t="str">
        <f>IF(MIS_Backend_Data!Y285="", "", MIS_Backend_Data!Y285)</f>
        <v/>
      </c>
      <c r="I283" t="e">
        <f>IF(MIS_Backend_Data!#REF!="", "", MIS_Backend_Data!#REF!)</f>
        <v>#REF!</v>
      </c>
      <c r="J283" t="str">
        <f>IF(MIS_Backend_Data!AD285="", "", MIS_Backend_Data!AD285)</f>
        <v/>
      </c>
      <c r="L283" t="str">
        <f>IF(MIS_Backend_Data!AF285="", "", MIS_Backend_Data!AF285)</f>
        <v/>
      </c>
      <c r="N283" t="e">
        <f>IF(MIS_Backend_Data!#REF!="", "", MIS_Backend_Data!#REF!)</f>
        <v>#REF!</v>
      </c>
    </row>
    <row r="284" spans="1:14" ht="14.5">
      <c r="A284">
        <v>280</v>
      </c>
      <c r="B284" s="145" t="e">
        <f>IF(MIS_Backend_Data!#REF!="", "", MIS_Backend_Data!#REF!)</f>
        <v>#REF!</v>
      </c>
      <c r="D284" t="str">
        <f>IF(MIS_Backend_Data!Q286="", "", MIS_Backend_Data!Q286)</f>
        <v/>
      </c>
      <c r="F284" t="e">
        <f>IF(MIS_Backend_Data!#REF!="", "", MIS_Backend_Data!#REF!)</f>
        <v>#REF!</v>
      </c>
      <c r="G284" t="str">
        <f>IF(MIS_Backend_Data!Y286="", "", MIS_Backend_Data!Y286)</f>
        <v/>
      </c>
      <c r="I284" t="e">
        <f>IF(MIS_Backend_Data!#REF!="", "", MIS_Backend_Data!#REF!)</f>
        <v>#REF!</v>
      </c>
      <c r="J284" t="str">
        <f>IF(MIS_Backend_Data!AD286="", "", MIS_Backend_Data!AD286)</f>
        <v/>
      </c>
      <c r="L284" t="str">
        <f>IF(MIS_Backend_Data!AF286="", "", MIS_Backend_Data!AF286)</f>
        <v/>
      </c>
      <c r="N284" t="e">
        <f>IF(MIS_Backend_Data!#REF!="", "", MIS_Backend_Data!#REF!)</f>
        <v>#REF!</v>
      </c>
    </row>
    <row r="285" spans="1:14" ht="14.5">
      <c r="A285">
        <v>281</v>
      </c>
      <c r="B285" s="145" t="e">
        <f>IF(MIS_Backend_Data!#REF!="", "", MIS_Backend_Data!#REF!)</f>
        <v>#REF!</v>
      </c>
      <c r="D285" t="str">
        <f>IF(MIS_Backend_Data!Q287="", "", MIS_Backend_Data!Q287)</f>
        <v/>
      </c>
      <c r="F285" t="e">
        <f>IF(MIS_Backend_Data!#REF!="", "", MIS_Backend_Data!#REF!)</f>
        <v>#REF!</v>
      </c>
      <c r="G285" t="str">
        <f>IF(MIS_Backend_Data!Y287="", "", MIS_Backend_Data!Y287)</f>
        <v/>
      </c>
      <c r="I285" t="e">
        <f>IF(MIS_Backend_Data!#REF!="", "", MIS_Backend_Data!#REF!)</f>
        <v>#REF!</v>
      </c>
      <c r="J285" t="str">
        <f>IF(MIS_Backend_Data!AD287="", "", MIS_Backend_Data!AD287)</f>
        <v/>
      </c>
      <c r="L285" t="str">
        <f>IF(MIS_Backend_Data!AF287="", "", MIS_Backend_Data!AF287)</f>
        <v/>
      </c>
      <c r="N285" t="e">
        <f>IF(MIS_Backend_Data!#REF!="", "", MIS_Backend_Data!#REF!)</f>
        <v>#REF!</v>
      </c>
    </row>
    <row r="286" spans="1:14" ht="14.5">
      <c r="A286">
        <v>282</v>
      </c>
      <c r="B286" s="145" t="e">
        <f>IF(MIS_Backend_Data!#REF!="", "", MIS_Backend_Data!#REF!)</f>
        <v>#REF!</v>
      </c>
      <c r="D286" t="str">
        <f>IF(MIS_Backend_Data!Q288="", "", MIS_Backend_Data!Q288)</f>
        <v/>
      </c>
      <c r="F286" t="e">
        <f>IF(MIS_Backend_Data!#REF!="", "", MIS_Backend_Data!#REF!)</f>
        <v>#REF!</v>
      </c>
      <c r="G286" t="str">
        <f>IF(MIS_Backend_Data!Y288="", "", MIS_Backend_Data!Y288)</f>
        <v/>
      </c>
      <c r="I286" t="e">
        <f>IF(MIS_Backend_Data!#REF!="", "", MIS_Backend_Data!#REF!)</f>
        <v>#REF!</v>
      </c>
      <c r="J286" t="str">
        <f>IF(MIS_Backend_Data!AD288="", "", MIS_Backend_Data!AD288)</f>
        <v/>
      </c>
      <c r="L286" t="str">
        <f>IF(MIS_Backend_Data!AF288="", "", MIS_Backend_Data!AF288)</f>
        <v/>
      </c>
      <c r="N286" t="e">
        <f>IF(MIS_Backend_Data!#REF!="", "", MIS_Backend_Data!#REF!)</f>
        <v>#REF!</v>
      </c>
    </row>
    <row r="287" spans="1:14" ht="14.5">
      <c r="A287">
        <v>283</v>
      </c>
      <c r="B287" s="145" t="e">
        <f>IF(MIS_Backend_Data!#REF!="", "", MIS_Backend_Data!#REF!)</f>
        <v>#REF!</v>
      </c>
      <c r="D287" t="str">
        <f>IF(MIS_Backend_Data!Q289="", "", MIS_Backend_Data!Q289)</f>
        <v/>
      </c>
      <c r="F287" t="e">
        <f>IF(MIS_Backend_Data!#REF!="", "", MIS_Backend_Data!#REF!)</f>
        <v>#REF!</v>
      </c>
      <c r="G287" t="str">
        <f>IF(MIS_Backend_Data!Y289="", "", MIS_Backend_Data!Y289)</f>
        <v/>
      </c>
      <c r="I287" t="e">
        <f>IF(MIS_Backend_Data!#REF!="", "", MIS_Backend_Data!#REF!)</f>
        <v>#REF!</v>
      </c>
      <c r="J287" t="str">
        <f>IF(MIS_Backend_Data!AD289="", "", MIS_Backend_Data!AD289)</f>
        <v/>
      </c>
      <c r="L287" t="str">
        <f>IF(MIS_Backend_Data!AF289="", "", MIS_Backend_Data!AF289)</f>
        <v/>
      </c>
      <c r="N287" t="e">
        <f>IF(MIS_Backend_Data!#REF!="", "", MIS_Backend_Data!#REF!)</f>
        <v>#REF!</v>
      </c>
    </row>
    <row r="288" spans="1:14" ht="14.5">
      <c r="A288">
        <v>284</v>
      </c>
      <c r="B288" s="145" t="e">
        <f>IF(MIS_Backend_Data!#REF!="", "", MIS_Backend_Data!#REF!)</f>
        <v>#REF!</v>
      </c>
      <c r="D288" t="str">
        <f>IF(MIS_Backend_Data!Q290="", "", MIS_Backend_Data!Q290)</f>
        <v/>
      </c>
      <c r="F288" t="e">
        <f>IF(MIS_Backend_Data!#REF!="", "", MIS_Backend_Data!#REF!)</f>
        <v>#REF!</v>
      </c>
      <c r="G288" t="str">
        <f>IF(MIS_Backend_Data!Y290="", "", MIS_Backend_Data!Y290)</f>
        <v/>
      </c>
      <c r="I288" t="e">
        <f>IF(MIS_Backend_Data!#REF!="", "", MIS_Backend_Data!#REF!)</f>
        <v>#REF!</v>
      </c>
      <c r="J288" t="str">
        <f>IF(MIS_Backend_Data!AD290="", "", MIS_Backend_Data!AD290)</f>
        <v/>
      </c>
      <c r="L288" t="str">
        <f>IF(MIS_Backend_Data!AF290="", "", MIS_Backend_Data!AF290)</f>
        <v/>
      </c>
      <c r="N288" t="e">
        <f>IF(MIS_Backend_Data!#REF!="", "", MIS_Backend_Data!#REF!)</f>
        <v>#REF!</v>
      </c>
    </row>
    <row r="289" spans="1:14" ht="14.5">
      <c r="A289">
        <v>285</v>
      </c>
      <c r="B289" s="145" t="e">
        <f>IF(MIS_Backend_Data!#REF!="", "", MIS_Backend_Data!#REF!)</f>
        <v>#REF!</v>
      </c>
      <c r="D289" t="str">
        <f>IF(MIS_Backend_Data!Q291="", "", MIS_Backend_Data!Q291)</f>
        <v/>
      </c>
      <c r="F289" t="e">
        <f>IF(MIS_Backend_Data!#REF!="", "", MIS_Backend_Data!#REF!)</f>
        <v>#REF!</v>
      </c>
      <c r="G289" t="str">
        <f>IF(MIS_Backend_Data!Y291="", "", MIS_Backend_Data!Y291)</f>
        <v/>
      </c>
      <c r="I289" t="e">
        <f>IF(MIS_Backend_Data!#REF!="", "", MIS_Backend_Data!#REF!)</f>
        <v>#REF!</v>
      </c>
      <c r="J289" t="str">
        <f>IF(MIS_Backend_Data!AD291="", "", MIS_Backend_Data!AD291)</f>
        <v/>
      </c>
      <c r="L289" t="str">
        <f>IF(MIS_Backend_Data!AF291="", "", MIS_Backend_Data!AF291)</f>
        <v/>
      </c>
      <c r="N289" t="e">
        <f>IF(MIS_Backend_Data!#REF!="", "", MIS_Backend_Data!#REF!)</f>
        <v>#REF!</v>
      </c>
    </row>
    <row r="290" spans="1:14" ht="14.5">
      <c r="A290">
        <v>286</v>
      </c>
      <c r="B290" s="145" t="e">
        <f>IF(MIS_Backend_Data!#REF!="", "", MIS_Backend_Data!#REF!)</f>
        <v>#REF!</v>
      </c>
      <c r="D290" t="str">
        <f>IF(MIS_Backend_Data!Q292="", "", MIS_Backend_Data!Q292)</f>
        <v/>
      </c>
      <c r="F290" t="e">
        <f>IF(MIS_Backend_Data!#REF!="", "", MIS_Backend_Data!#REF!)</f>
        <v>#REF!</v>
      </c>
      <c r="G290" t="str">
        <f>IF(MIS_Backend_Data!Y292="", "", MIS_Backend_Data!Y292)</f>
        <v/>
      </c>
      <c r="I290" t="e">
        <f>IF(MIS_Backend_Data!#REF!="", "", MIS_Backend_Data!#REF!)</f>
        <v>#REF!</v>
      </c>
      <c r="J290" t="str">
        <f>IF(MIS_Backend_Data!AD292="", "", MIS_Backend_Data!AD292)</f>
        <v/>
      </c>
      <c r="L290" t="str">
        <f>IF(MIS_Backend_Data!AF292="", "", MIS_Backend_Data!AF292)</f>
        <v/>
      </c>
      <c r="N290" t="e">
        <f>IF(MIS_Backend_Data!#REF!="", "", MIS_Backend_Data!#REF!)</f>
        <v>#REF!</v>
      </c>
    </row>
    <row r="291" spans="1:14" ht="14.5">
      <c r="A291">
        <v>287</v>
      </c>
      <c r="B291" s="145" t="e">
        <f>IF(MIS_Backend_Data!#REF!="", "", MIS_Backend_Data!#REF!)</f>
        <v>#REF!</v>
      </c>
      <c r="D291" t="str">
        <f>IF(MIS_Backend_Data!Q293="", "", MIS_Backend_Data!Q293)</f>
        <v/>
      </c>
      <c r="F291" t="e">
        <f>IF(MIS_Backend_Data!#REF!="", "", MIS_Backend_Data!#REF!)</f>
        <v>#REF!</v>
      </c>
      <c r="G291" t="str">
        <f>IF(MIS_Backend_Data!Y293="", "", MIS_Backend_Data!Y293)</f>
        <v/>
      </c>
      <c r="I291" t="e">
        <f>IF(MIS_Backend_Data!#REF!="", "", MIS_Backend_Data!#REF!)</f>
        <v>#REF!</v>
      </c>
      <c r="J291" t="str">
        <f>IF(MIS_Backend_Data!AD293="", "", MIS_Backend_Data!AD293)</f>
        <v/>
      </c>
      <c r="L291" t="str">
        <f>IF(MIS_Backend_Data!AF293="", "", MIS_Backend_Data!AF293)</f>
        <v/>
      </c>
      <c r="N291" t="e">
        <f>IF(MIS_Backend_Data!#REF!="", "", MIS_Backend_Data!#REF!)</f>
        <v>#REF!</v>
      </c>
    </row>
    <row r="292" spans="1:14" ht="14.5">
      <c r="A292">
        <v>288</v>
      </c>
      <c r="B292" s="145" t="e">
        <f>IF(MIS_Backend_Data!#REF!="", "", MIS_Backend_Data!#REF!)</f>
        <v>#REF!</v>
      </c>
      <c r="D292" t="str">
        <f>IF(MIS_Backend_Data!Q294="", "", MIS_Backend_Data!Q294)</f>
        <v/>
      </c>
      <c r="F292" t="e">
        <f>IF(MIS_Backend_Data!#REF!="", "", MIS_Backend_Data!#REF!)</f>
        <v>#REF!</v>
      </c>
      <c r="G292" t="str">
        <f>IF(MIS_Backend_Data!Y294="", "", MIS_Backend_Data!Y294)</f>
        <v/>
      </c>
      <c r="I292" t="e">
        <f>IF(MIS_Backend_Data!#REF!="", "", MIS_Backend_Data!#REF!)</f>
        <v>#REF!</v>
      </c>
      <c r="J292" t="str">
        <f>IF(MIS_Backend_Data!AD294="", "", MIS_Backend_Data!AD294)</f>
        <v/>
      </c>
      <c r="L292" t="str">
        <f>IF(MIS_Backend_Data!AF294="", "", MIS_Backend_Data!AF294)</f>
        <v/>
      </c>
      <c r="N292" t="e">
        <f>IF(MIS_Backend_Data!#REF!="", "", MIS_Backend_Data!#REF!)</f>
        <v>#REF!</v>
      </c>
    </row>
    <row r="293" spans="1:14" ht="14.5">
      <c r="A293">
        <v>289</v>
      </c>
      <c r="B293" s="145" t="e">
        <f>IF(MIS_Backend_Data!#REF!="", "", MIS_Backend_Data!#REF!)</f>
        <v>#REF!</v>
      </c>
      <c r="D293" t="str">
        <f>IF(MIS_Backend_Data!Q295="", "", MIS_Backend_Data!Q295)</f>
        <v/>
      </c>
      <c r="F293" t="e">
        <f>IF(MIS_Backend_Data!#REF!="", "", MIS_Backend_Data!#REF!)</f>
        <v>#REF!</v>
      </c>
      <c r="G293" t="str">
        <f>IF(MIS_Backend_Data!Y295="", "", MIS_Backend_Data!Y295)</f>
        <v/>
      </c>
      <c r="I293" t="e">
        <f>IF(MIS_Backend_Data!#REF!="", "", MIS_Backend_Data!#REF!)</f>
        <v>#REF!</v>
      </c>
      <c r="J293" t="str">
        <f>IF(MIS_Backend_Data!AD295="", "", MIS_Backend_Data!AD295)</f>
        <v/>
      </c>
      <c r="L293" t="str">
        <f>IF(MIS_Backend_Data!AF295="", "", MIS_Backend_Data!AF295)</f>
        <v/>
      </c>
      <c r="N293" t="e">
        <f>IF(MIS_Backend_Data!#REF!="", "", MIS_Backend_Data!#REF!)</f>
        <v>#REF!</v>
      </c>
    </row>
    <row r="294" spans="1:14" ht="14.5">
      <c r="A294">
        <v>290</v>
      </c>
      <c r="B294" s="145" t="e">
        <f>IF(MIS_Backend_Data!#REF!="", "", MIS_Backend_Data!#REF!)</f>
        <v>#REF!</v>
      </c>
      <c r="D294" t="str">
        <f>IF(MIS_Backend_Data!Q296="", "", MIS_Backend_Data!Q296)</f>
        <v/>
      </c>
      <c r="F294" t="e">
        <f>IF(MIS_Backend_Data!#REF!="", "", MIS_Backend_Data!#REF!)</f>
        <v>#REF!</v>
      </c>
      <c r="G294" t="str">
        <f>IF(MIS_Backend_Data!Y296="", "", MIS_Backend_Data!Y296)</f>
        <v/>
      </c>
      <c r="I294" t="e">
        <f>IF(MIS_Backend_Data!#REF!="", "", MIS_Backend_Data!#REF!)</f>
        <v>#REF!</v>
      </c>
      <c r="J294" t="str">
        <f>IF(MIS_Backend_Data!AD296="", "", MIS_Backend_Data!AD296)</f>
        <v/>
      </c>
      <c r="L294" t="str">
        <f>IF(MIS_Backend_Data!AF296="", "", MIS_Backend_Data!AF296)</f>
        <v/>
      </c>
      <c r="N294" t="e">
        <f>IF(MIS_Backend_Data!#REF!="", "", MIS_Backend_Data!#REF!)</f>
        <v>#REF!</v>
      </c>
    </row>
    <row r="295" spans="1:14" ht="14.5">
      <c r="A295">
        <v>291</v>
      </c>
      <c r="B295" s="145" t="e">
        <f>IF(MIS_Backend_Data!#REF!="", "", MIS_Backend_Data!#REF!)</f>
        <v>#REF!</v>
      </c>
      <c r="D295" t="str">
        <f>IF(MIS_Backend_Data!Q297="", "", MIS_Backend_Data!Q297)</f>
        <v/>
      </c>
      <c r="F295" t="e">
        <f>IF(MIS_Backend_Data!#REF!="", "", MIS_Backend_Data!#REF!)</f>
        <v>#REF!</v>
      </c>
      <c r="G295" t="str">
        <f>IF(MIS_Backend_Data!Y297="", "", MIS_Backend_Data!Y297)</f>
        <v/>
      </c>
      <c r="I295" t="e">
        <f>IF(MIS_Backend_Data!#REF!="", "", MIS_Backend_Data!#REF!)</f>
        <v>#REF!</v>
      </c>
      <c r="J295" t="str">
        <f>IF(MIS_Backend_Data!AD297="", "", MIS_Backend_Data!AD297)</f>
        <v/>
      </c>
      <c r="L295" t="str">
        <f>IF(MIS_Backend_Data!AF297="", "", MIS_Backend_Data!AF297)</f>
        <v/>
      </c>
      <c r="N295" t="e">
        <f>IF(MIS_Backend_Data!#REF!="", "", MIS_Backend_Data!#REF!)</f>
        <v>#REF!</v>
      </c>
    </row>
    <row r="296" spans="1:14" ht="14.5">
      <c r="A296">
        <v>292</v>
      </c>
      <c r="B296" s="145" t="e">
        <f>IF(MIS_Backend_Data!#REF!="", "", MIS_Backend_Data!#REF!)</f>
        <v>#REF!</v>
      </c>
      <c r="D296" t="str">
        <f>IF(MIS_Backend_Data!Q298="", "", MIS_Backend_Data!Q298)</f>
        <v/>
      </c>
      <c r="F296" t="e">
        <f>IF(MIS_Backend_Data!#REF!="", "", MIS_Backend_Data!#REF!)</f>
        <v>#REF!</v>
      </c>
      <c r="G296" t="str">
        <f>IF(MIS_Backend_Data!Y298="", "", MIS_Backend_Data!Y298)</f>
        <v/>
      </c>
      <c r="I296" t="e">
        <f>IF(MIS_Backend_Data!#REF!="", "", MIS_Backend_Data!#REF!)</f>
        <v>#REF!</v>
      </c>
      <c r="J296" t="str">
        <f>IF(MIS_Backend_Data!AD298="", "", MIS_Backend_Data!AD298)</f>
        <v/>
      </c>
      <c r="L296" t="str">
        <f>IF(MIS_Backend_Data!AF298="", "", MIS_Backend_Data!AF298)</f>
        <v/>
      </c>
      <c r="N296" t="e">
        <f>IF(MIS_Backend_Data!#REF!="", "", MIS_Backend_Data!#REF!)</f>
        <v>#REF!</v>
      </c>
    </row>
    <row r="297" spans="1:14" ht="14.5">
      <c r="A297">
        <v>293</v>
      </c>
      <c r="B297" s="145" t="e">
        <f>IF(MIS_Backend_Data!#REF!="", "", MIS_Backend_Data!#REF!)</f>
        <v>#REF!</v>
      </c>
      <c r="D297" t="str">
        <f>IF(MIS_Backend_Data!Q299="", "", MIS_Backend_Data!Q299)</f>
        <v/>
      </c>
      <c r="F297" t="e">
        <f>IF(MIS_Backend_Data!#REF!="", "", MIS_Backend_Data!#REF!)</f>
        <v>#REF!</v>
      </c>
      <c r="G297" t="str">
        <f>IF(MIS_Backend_Data!Y299="", "", MIS_Backend_Data!Y299)</f>
        <v/>
      </c>
      <c r="I297" t="e">
        <f>IF(MIS_Backend_Data!#REF!="", "", MIS_Backend_Data!#REF!)</f>
        <v>#REF!</v>
      </c>
      <c r="J297" t="str">
        <f>IF(MIS_Backend_Data!AD299="", "", MIS_Backend_Data!AD299)</f>
        <v/>
      </c>
      <c r="L297" t="str">
        <f>IF(MIS_Backend_Data!AF299="", "", MIS_Backend_Data!AF299)</f>
        <v/>
      </c>
      <c r="N297" t="e">
        <f>IF(MIS_Backend_Data!#REF!="", "", MIS_Backend_Data!#REF!)</f>
        <v>#REF!</v>
      </c>
    </row>
    <row r="298" spans="1:14" ht="14.5">
      <c r="A298">
        <v>294</v>
      </c>
      <c r="B298" s="145" t="e">
        <f>IF(MIS_Backend_Data!#REF!="", "", MIS_Backend_Data!#REF!)</f>
        <v>#REF!</v>
      </c>
      <c r="D298" t="str">
        <f>IF(MIS_Backend_Data!Q300="", "", MIS_Backend_Data!Q300)</f>
        <v/>
      </c>
      <c r="F298" t="e">
        <f>IF(MIS_Backend_Data!#REF!="", "", MIS_Backend_Data!#REF!)</f>
        <v>#REF!</v>
      </c>
      <c r="G298" t="str">
        <f>IF(MIS_Backend_Data!Y300="", "", MIS_Backend_Data!Y300)</f>
        <v/>
      </c>
      <c r="I298" t="e">
        <f>IF(MIS_Backend_Data!#REF!="", "", MIS_Backend_Data!#REF!)</f>
        <v>#REF!</v>
      </c>
      <c r="J298" t="str">
        <f>IF(MIS_Backend_Data!AD300="", "", MIS_Backend_Data!AD300)</f>
        <v/>
      </c>
      <c r="L298" t="str">
        <f>IF(MIS_Backend_Data!AF300="", "", MIS_Backend_Data!AF300)</f>
        <v/>
      </c>
      <c r="N298" t="e">
        <f>IF(MIS_Backend_Data!#REF!="", "", MIS_Backend_Data!#REF!)</f>
        <v>#REF!</v>
      </c>
    </row>
    <row r="299" spans="1:14" ht="14.5">
      <c r="A299">
        <v>295</v>
      </c>
      <c r="B299" s="145" t="e">
        <f>IF(MIS_Backend_Data!#REF!="", "", MIS_Backend_Data!#REF!)</f>
        <v>#REF!</v>
      </c>
      <c r="D299" t="str">
        <f>IF(MIS_Backend_Data!Q301="", "", MIS_Backend_Data!Q301)</f>
        <v/>
      </c>
      <c r="F299" t="e">
        <f>IF(MIS_Backend_Data!#REF!="", "", MIS_Backend_Data!#REF!)</f>
        <v>#REF!</v>
      </c>
      <c r="G299" t="str">
        <f>IF(MIS_Backend_Data!Y301="", "", MIS_Backend_Data!Y301)</f>
        <v/>
      </c>
      <c r="I299" t="e">
        <f>IF(MIS_Backend_Data!#REF!="", "", MIS_Backend_Data!#REF!)</f>
        <v>#REF!</v>
      </c>
      <c r="J299" t="str">
        <f>IF(MIS_Backend_Data!AD301="", "", MIS_Backend_Data!AD301)</f>
        <v/>
      </c>
      <c r="L299" t="str">
        <f>IF(MIS_Backend_Data!AF301="", "", MIS_Backend_Data!AF301)</f>
        <v/>
      </c>
      <c r="N299" t="e">
        <f>IF(MIS_Backend_Data!#REF!="", "", MIS_Backend_Data!#REF!)</f>
        <v>#REF!</v>
      </c>
    </row>
    <row r="300" spans="1:14" ht="14.5">
      <c r="A300">
        <v>296</v>
      </c>
      <c r="B300" s="145" t="e">
        <f>IF(MIS_Backend_Data!#REF!="", "", MIS_Backend_Data!#REF!)</f>
        <v>#REF!</v>
      </c>
      <c r="D300" t="str">
        <f>IF(MIS_Backend_Data!Q302="", "", MIS_Backend_Data!Q302)</f>
        <v/>
      </c>
      <c r="F300" t="e">
        <f>IF(MIS_Backend_Data!#REF!="", "", MIS_Backend_Data!#REF!)</f>
        <v>#REF!</v>
      </c>
      <c r="G300" t="str">
        <f>IF(MIS_Backend_Data!Y302="", "", MIS_Backend_Data!Y302)</f>
        <v/>
      </c>
      <c r="I300" t="e">
        <f>IF(MIS_Backend_Data!#REF!="", "", MIS_Backend_Data!#REF!)</f>
        <v>#REF!</v>
      </c>
      <c r="J300" t="str">
        <f>IF(MIS_Backend_Data!AD302="", "", MIS_Backend_Data!AD302)</f>
        <v/>
      </c>
      <c r="L300" t="str">
        <f>IF(MIS_Backend_Data!AF302="", "", MIS_Backend_Data!AF302)</f>
        <v/>
      </c>
      <c r="N300" t="e">
        <f>IF(MIS_Backend_Data!#REF!="", "", MIS_Backend_Data!#REF!)</f>
        <v>#REF!</v>
      </c>
    </row>
    <row r="301" spans="1:14" ht="14.5">
      <c r="A301">
        <v>297</v>
      </c>
      <c r="B301" s="145" t="e">
        <f>IF(MIS_Backend_Data!#REF!="", "", MIS_Backend_Data!#REF!)</f>
        <v>#REF!</v>
      </c>
      <c r="D301" t="str">
        <f>IF(MIS_Backend_Data!Q303="", "", MIS_Backend_Data!Q303)</f>
        <v/>
      </c>
      <c r="F301" t="e">
        <f>IF(MIS_Backend_Data!#REF!="", "", MIS_Backend_Data!#REF!)</f>
        <v>#REF!</v>
      </c>
      <c r="G301" t="str">
        <f>IF(MIS_Backend_Data!Y303="", "", MIS_Backend_Data!Y303)</f>
        <v/>
      </c>
      <c r="I301" t="e">
        <f>IF(MIS_Backend_Data!#REF!="", "", MIS_Backend_Data!#REF!)</f>
        <v>#REF!</v>
      </c>
      <c r="J301" t="str">
        <f>IF(MIS_Backend_Data!AD303="", "", MIS_Backend_Data!AD303)</f>
        <v/>
      </c>
      <c r="L301" t="str">
        <f>IF(MIS_Backend_Data!AF303="", "", MIS_Backend_Data!AF303)</f>
        <v/>
      </c>
      <c r="N301" t="e">
        <f>IF(MIS_Backend_Data!#REF!="", "", MIS_Backend_Data!#REF!)</f>
        <v>#REF!</v>
      </c>
    </row>
    <row r="302" spans="1:14" ht="14.5">
      <c r="A302">
        <v>298</v>
      </c>
      <c r="B302" s="145" t="e">
        <f>IF(MIS_Backend_Data!#REF!="", "", MIS_Backend_Data!#REF!)</f>
        <v>#REF!</v>
      </c>
      <c r="D302" t="str">
        <f>IF(MIS_Backend_Data!Q304="", "", MIS_Backend_Data!Q304)</f>
        <v/>
      </c>
      <c r="F302" t="e">
        <f>IF(MIS_Backend_Data!#REF!="", "", MIS_Backend_Data!#REF!)</f>
        <v>#REF!</v>
      </c>
      <c r="G302" t="str">
        <f>IF(MIS_Backend_Data!Y304="", "", MIS_Backend_Data!Y304)</f>
        <v/>
      </c>
      <c r="I302" t="e">
        <f>IF(MIS_Backend_Data!#REF!="", "", MIS_Backend_Data!#REF!)</f>
        <v>#REF!</v>
      </c>
      <c r="J302" t="str">
        <f>IF(MIS_Backend_Data!AD304="", "", MIS_Backend_Data!AD304)</f>
        <v/>
      </c>
      <c r="L302" t="str">
        <f>IF(MIS_Backend_Data!AF304="", "", MIS_Backend_Data!AF304)</f>
        <v/>
      </c>
      <c r="N302" t="e">
        <f>IF(MIS_Backend_Data!#REF!="", "", MIS_Backend_Data!#REF!)</f>
        <v>#REF!</v>
      </c>
    </row>
    <row r="303" spans="1:14" ht="14.5">
      <c r="A303">
        <v>299</v>
      </c>
      <c r="B303" s="145" t="e">
        <f>IF(MIS_Backend_Data!#REF!="", "", MIS_Backend_Data!#REF!)</f>
        <v>#REF!</v>
      </c>
      <c r="D303" t="str">
        <f>IF(MIS_Backend_Data!Q305="", "", MIS_Backend_Data!Q305)</f>
        <v/>
      </c>
      <c r="F303" t="e">
        <f>IF(MIS_Backend_Data!#REF!="", "", MIS_Backend_Data!#REF!)</f>
        <v>#REF!</v>
      </c>
      <c r="G303" t="str">
        <f>IF(MIS_Backend_Data!Y305="", "", MIS_Backend_Data!Y305)</f>
        <v/>
      </c>
      <c r="I303" t="e">
        <f>IF(MIS_Backend_Data!#REF!="", "", MIS_Backend_Data!#REF!)</f>
        <v>#REF!</v>
      </c>
      <c r="J303" t="str">
        <f>IF(MIS_Backend_Data!AD305="", "", MIS_Backend_Data!AD305)</f>
        <v/>
      </c>
      <c r="L303" t="str">
        <f>IF(MIS_Backend_Data!AF305="", "", MIS_Backend_Data!AF305)</f>
        <v/>
      </c>
      <c r="N303" t="e">
        <f>IF(MIS_Backend_Data!#REF!="", "", MIS_Backend_Data!#REF!)</f>
        <v>#REF!</v>
      </c>
    </row>
    <row r="304" spans="1:14" ht="14.5">
      <c r="A304">
        <v>300</v>
      </c>
      <c r="B304" s="145" t="e">
        <f>IF(MIS_Backend_Data!#REF!="", "", MIS_Backend_Data!#REF!)</f>
        <v>#REF!</v>
      </c>
      <c r="D304" t="str">
        <f>IF(MIS_Backend_Data!Q306="", "", MIS_Backend_Data!Q306)</f>
        <v/>
      </c>
      <c r="F304" t="e">
        <f>IF(MIS_Backend_Data!#REF!="", "", MIS_Backend_Data!#REF!)</f>
        <v>#REF!</v>
      </c>
      <c r="G304" t="str">
        <f>IF(MIS_Backend_Data!Y306="", "", MIS_Backend_Data!Y306)</f>
        <v/>
      </c>
      <c r="I304" t="e">
        <f>IF(MIS_Backend_Data!#REF!="", "", MIS_Backend_Data!#REF!)</f>
        <v>#REF!</v>
      </c>
      <c r="J304" t="str">
        <f>IF(MIS_Backend_Data!AD306="", "", MIS_Backend_Data!AD306)</f>
        <v/>
      </c>
      <c r="L304" t="str">
        <f>IF(MIS_Backend_Data!AF306="", "", MIS_Backend_Data!AF306)</f>
        <v/>
      </c>
      <c r="N304" t="e">
        <f>IF(MIS_Backend_Data!#REF!="", "", MIS_Backend_Data!#REF!)</f>
        <v>#REF!</v>
      </c>
    </row>
    <row r="305" spans="1:14" ht="14.5">
      <c r="A305">
        <v>301</v>
      </c>
      <c r="B305" s="145" t="e">
        <f>IF(MIS_Backend_Data!#REF!="", "", MIS_Backend_Data!#REF!)</f>
        <v>#REF!</v>
      </c>
      <c r="D305" t="str">
        <f>IF(MIS_Backend_Data!Q307="", "", MIS_Backend_Data!Q307)</f>
        <v/>
      </c>
      <c r="F305" t="e">
        <f>IF(MIS_Backend_Data!#REF!="", "", MIS_Backend_Data!#REF!)</f>
        <v>#REF!</v>
      </c>
      <c r="G305" t="str">
        <f>IF(MIS_Backend_Data!Y307="", "", MIS_Backend_Data!Y307)</f>
        <v/>
      </c>
      <c r="I305" t="e">
        <f>IF(MIS_Backend_Data!#REF!="", "", MIS_Backend_Data!#REF!)</f>
        <v>#REF!</v>
      </c>
      <c r="J305" t="str">
        <f>IF(MIS_Backend_Data!AD307="", "", MIS_Backend_Data!AD307)</f>
        <v/>
      </c>
      <c r="L305" t="str">
        <f>IF(MIS_Backend_Data!AF307="", "", MIS_Backend_Data!AF307)</f>
        <v/>
      </c>
      <c r="N305" t="e">
        <f>IF(MIS_Backend_Data!#REF!="", "", MIS_Backend_Data!#REF!)</f>
        <v>#REF!</v>
      </c>
    </row>
    <row r="306" spans="1:14" ht="14.5">
      <c r="A306">
        <v>302</v>
      </c>
      <c r="B306" s="145" t="e">
        <f>IF(MIS_Backend_Data!#REF!="", "", MIS_Backend_Data!#REF!)</f>
        <v>#REF!</v>
      </c>
      <c r="D306" t="str">
        <f>IF(MIS_Backend_Data!Q308="", "", MIS_Backend_Data!Q308)</f>
        <v/>
      </c>
      <c r="F306" t="e">
        <f>IF(MIS_Backend_Data!#REF!="", "", MIS_Backend_Data!#REF!)</f>
        <v>#REF!</v>
      </c>
      <c r="G306" t="str">
        <f>IF(MIS_Backend_Data!Y308="", "", MIS_Backend_Data!Y308)</f>
        <v/>
      </c>
      <c r="I306" t="e">
        <f>IF(MIS_Backend_Data!#REF!="", "", MIS_Backend_Data!#REF!)</f>
        <v>#REF!</v>
      </c>
      <c r="J306" t="str">
        <f>IF(MIS_Backend_Data!AD308="", "", MIS_Backend_Data!AD308)</f>
        <v/>
      </c>
      <c r="L306" t="str">
        <f>IF(MIS_Backend_Data!AF308="", "", MIS_Backend_Data!AF308)</f>
        <v/>
      </c>
      <c r="N306" t="e">
        <f>IF(MIS_Backend_Data!#REF!="", "", MIS_Backend_Data!#REF!)</f>
        <v>#REF!</v>
      </c>
    </row>
    <row r="307" spans="1:14" ht="14.5">
      <c r="A307">
        <v>303</v>
      </c>
      <c r="B307" s="145" t="e">
        <f>IF(MIS_Backend_Data!#REF!="", "", MIS_Backend_Data!#REF!)</f>
        <v>#REF!</v>
      </c>
      <c r="D307" t="str">
        <f>IF(MIS_Backend_Data!Q309="", "", MIS_Backend_Data!Q309)</f>
        <v/>
      </c>
      <c r="F307" t="e">
        <f>IF(MIS_Backend_Data!#REF!="", "", MIS_Backend_Data!#REF!)</f>
        <v>#REF!</v>
      </c>
      <c r="G307" t="str">
        <f>IF(MIS_Backend_Data!Y309="", "", MIS_Backend_Data!Y309)</f>
        <v/>
      </c>
      <c r="I307" t="e">
        <f>IF(MIS_Backend_Data!#REF!="", "", MIS_Backend_Data!#REF!)</f>
        <v>#REF!</v>
      </c>
      <c r="J307" t="str">
        <f>IF(MIS_Backend_Data!AD309="", "", MIS_Backend_Data!AD309)</f>
        <v/>
      </c>
      <c r="L307" t="str">
        <f>IF(MIS_Backend_Data!AF309="", "", MIS_Backend_Data!AF309)</f>
        <v/>
      </c>
      <c r="N307" t="e">
        <f>IF(MIS_Backend_Data!#REF!="", "", MIS_Backend_Data!#REF!)</f>
        <v>#REF!</v>
      </c>
    </row>
    <row r="308" spans="1:14" ht="14.5">
      <c r="A308">
        <v>304</v>
      </c>
      <c r="B308" s="145" t="e">
        <f>IF(MIS_Backend_Data!#REF!="", "", MIS_Backend_Data!#REF!)</f>
        <v>#REF!</v>
      </c>
      <c r="D308" t="str">
        <f>IF(MIS_Backend_Data!Q310="", "", MIS_Backend_Data!Q310)</f>
        <v/>
      </c>
      <c r="F308" t="e">
        <f>IF(MIS_Backend_Data!#REF!="", "", MIS_Backend_Data!#REF!)</f>
        <v>#REF!</v>
      </c>
      <c r="G308" t="str">
        <f>IF(MIS_Backend_Data!Y310="", "", MIS_Backend_Data!Y310)</f>
        <v/>
      </c>
      <c r="I308" t="e">
        <f>IF(MIS_Backend_Data!#REF!="", "", MIS_Backend_Data!#REF!)</f>
        <v>#REF!</v>
      </c>
      <c r="J308" t="str">
        <f>IF(MIS_Backend_Data!AD310="", "", MIS_Backend_Data!AD310)</f>
        <v/>
      </c>
      <c r="L308" t="str">
        <f>IF(MIS_Backend_Data!AF310="", "", MIS_Backend_Data!AF310)</f>
        <v/>
      </c>
      <c r="N308" t="e">
        <f>IF(MIS_Backend_Data!#REF!="", "", MIS_Backend_Data!#REF!)</f>
        <v>#REF!</v>
      </c>
    </row>
    <row r="309" spans="1:14" ht="14.5">
      <c r="A309">
        <v>305</v>
      </c>
      <c r="B309" s="145" t="e">
        <f>IF(MIS_Backend_Data!#REF!="", "", MIS_Backend_Data!#REF!)</f>
        <v>#REF!</v>
      </c>
      <c r="D309" t="str">
        <f>IF(MIS_Backend_Data!Q311="", "", MIS_Backend_Data!Q311)</f>
        <v/>
      </c>
      <c r="F309" t="e">
        <f>IF(MIS_Backend_Data!#REF!="", "", MIS_Backend_Data!#REF!)</f>
        <v>#REF!</v>
      </c>
      <c r="G309" t="str">
        <f>IF(MIS_Backend_Data!Y311="", "", MIS_Backend_Data!Y311)</f>
        <v/>
      </c>
      <c r="I309" t="e">
        <f>IF(MIS_Backend_Data!#REF!="", "", MIS_Backend_Data!#REF!)</f>
        <v>#REF!</v>
      </c>
      <c r="J309" t="str">
        <f>IF(MIS_Backend_Data!AD311="", "", MIS_Backend_Data!AD311)</f>
        <v/>
      </c>
      <c r="L309" t="str">
        <f>IF(MIS_Backend_Data!AF311="", "", MIS_Backend_Data!AF311)</f>
        <v/>
      </c>
      <c r="N309" t="e">
        <f>IF(MIS_Backend_Data!#REF!="", "", MIS_Backend_Data!#REF!)</f>
        <v>#REF!</v>
      </c>
    </row>
    <row r="310" spans="1:14" ht="14.5">
      <c r="A310">
        <v>306</v>
      </c>
      <c r="B310" s="145" t="e">
        <f>IF(MIS_Backend_Data!#REF!="", "", MIS_Backend_Data!#REF!)</f>
        <v>#REF!</v>
      </c>
      <c r="D310" t="str">
        <f>IF(MIS_Backend_Data!Q312="", "", MIS_Backend_Data!Q312)</f>
        <v/>
      </c>
      <c r="F310" t="e">
        <f>IF(MIS_Backend_Data!#REF!="", "", MIS_Backend_Data!#REF!)</f>
        <v>#REF!</v>
      </c>
      <c r="G310" t="str">
        <f>IF(MIS_Backend_Data!Y312="", "", MIS_Backend_Data!Y312)</f>
        <v/>
      </c>
      <c r="I310" t="e">
        <f>IF(MIS_Backend_Data!#REF!="", "", MIS_Backend_Data!#REF!)</f>
        <v>#REF!</v>
      </c>
      <c r="J310" t="str">
        <f>IF(MIS_Backend_Data!AD312="", "", MIS_Backend_Data!AD312)</f>
        <v/>
      </c>
      <c r="L310" t="str">
        <f>IF(MIS_Backend_Data!AF312="", "", MIS_Backend_Data!AF312)</f>
        <v/>
      </c>
      <c r="N310" t="e">
        <f>IF(MIS_Backend_Data!#REF!="", "", MIS_Backend_Data!#REF!)</f>
        <v>#REF!</v>
      </c>
    </row>
    <row r="311" spans="1:14" ht="14.5">
      <c r="A311">
        <v>307</v>
      </c>
      <c r="B311" s="145" t="e">
        <f>IF(MIS_Backend_Data!#REF!="", "", MIS_Backend_Data!#REF!)</f>
        <v>#REF!</v>
      </c>
      <c r="D311" t="str">
        <f>IF(MIS_Backend_Data!Q313="", "", MIS_Backend_Data!Q313)</f>
        <v/>
      </c>
      <c r="F311" t="e">
        <f>IF(MIS_Backend_Data!#REF!="", "", MIS_Backend_Data!#REF!)</f>
        <v>#REF!</v>
      </c>
      <c r="G311" t="str">
        <f>IF(MIS_Backend_Data!Y313="", "", MIS_Backend_Data!Y313)</f>
        <v/>
      </c>
      <c r="I311" t="e">
        <f>IF(MIS_Backend_Data!#REF!="", "", MIS_Backend_Data!#REF!)</f>
        <v>#REF!</v>
      </c>
      <c r="J311" t="str">
        <f>IF(MIS_Backend_Data!AD313="", "", MIS_Backend_Data!AD313)</f>
        <v/>
      </c>
      <c r="L311" t="str">
        <f>IF(MIS_Backend_Data!AF313="", "", MIS_Backend_Data!AF313)</f>
        <v/>
      </c>
      <c r="N311" t="e">
        <f>IF(MIS_Backend_Data!#REF!="", "", MIS_Backend_Data!#REF!)</f>
        <v>#REF!</v>
      </c>
    </row>
    <row r="312" spans="1:14" ht="14.5">
      <c r="A312">
        <v>308</v>
      </c>
      <c r="B312" s="145" t="e">
        <f>IF(MIS_Backend_Data!#REF!="", "", MIS_Backend_Data!#REF!)</f>
        <v>#REF!</v>
      </c>
      <c r="D312" t="str">
        <f>IF(MIS_Backend_Data!Q314="", "", MIS_Backend_Data!Q314)</f>
        <v/>
      </c>
      <c r="F312" t="e">
        <f>IF(MIS_Backend_Data!#REF!="", "", MIS_Backend_Data!#REF!)</f>
        <v>#REF!</v>
      </c>
      <c r="G312" t="str">
        <f>IF(MIS_Backend_Data!Y314="", "", MIS_Backend_Data!Y314)</f>
        <v/>
      </c>
      <c r="I312" t="e">
        <f>IF(MIS_Backend_Data!#REF!="", "", MIS_Backend_Data!#REF!)</f>
        <v>#REF!</v>
      </c>
      <c r="J312" t="str">
        <f>IF(MIS_Backend_Data!AD314="", "", MIS_Backend_Data!AD314)</f>
        <v/>
      </c>
      <c r="L312" t="str">
        <f>IF(MIS_Backend_Data!AF314="", "", MIS_Backend_Data!AF314)</f>
        <v/>
      </c>
      <c r="N312" t="e">
        <f>IF(MIS_Backend_Data!#REF!="", "", MIS_Backend_Data!#REF!)</f>
        <v>#REF!</v>
      </c>
    </row>
    <row r="313" spans="1:14" ht="14.5">
      <c r="A313">
        <v>309</v>
      </c>
      <c r="B313" s="145" t="e">
        <f>IF(MIS_Backend_Data!#REF!="", "", MIS_Backend_Data!#REF!)</f>
        <v>#REF!</v>
      </c>
      <c r="D313" t="str">
        <f>IF(MIS_Backend_Data!Q315="", "", MIS_Backend_Data!Q315)</f>
        <v/>
      </c>
      <c r="F313" t="e">
        <f>IF(MIS_Backend_Data!#REF!="", "", MIS_Backend_Data!#REF!)</f>
        <v>#REF!</v>
      </c>
      <c r="G313" t="str">
        <f>IF(MIS_Backend_Data!Y315="", "", MIS_Backend_Data!Y315)</f>
        <v/>
      </c>
      <c r="I313" t="e">
        <f>IF(MIS_Backend_Data!#REF!="", "", MIS_Backend_Data!#REF!)</f>
        <v>#REF!</v>
      </c>
      <c r="J313" t="str">
        <f>IF(MIS_Backend_Data!AD315="", "", MIS_Backend_Data!AD315)</f>
        <v/>
      </c>
      <c r="L313" t="str">
        <f>IF(MIS_Backend_Data!AF315="", "", MIS_Backend_Data!AF315)</f>
        <v/>
      </c>
      <c r="N313" t="e">
        <f>IF(MIS_Backend_Data!#REF!="", "", MIS_Backend_Data!#REF!)</f>
        <v>#REF!</v>
      </c>
    </row>
    <row r="314" spans="1:14" ht="14.5">
      <c r="A314">
        <v>310</v>
      </c>
      <c r="B314" s="145" t="e">
        <f>IF(MIS_Backend_Data!#REF!="", "", MIS_Backend_Data!#REF!)</f>
        <v>#REF!</v>
      </c>
      <c r="D314" t="str">
        <f>IF(MIS_Backend_Data!Q316="", "", MIS_Backend_Data!Q316)</f>
        <v/>
      </c>
      <c r="F314" t="e">
        <f>IF(MIS_Backend_Data!#REF!="", "", MIS_Backend_Data!#REF!)</f>
        <v>#REF!</v>
      </c>
      <c r="G314" t="str">
        <f>IF(MIS_Backend_Data!Y316="", "", MIS_Backend_Data!Y316)</f>
        <v/>
      </c>
      <c r="I314" t="e">
        <f>IF(MIS_Backend_Data!#REF!="", "", MIS_Backend_Data!#REF!)</f>
        <v>#REF!</v>
      </c>
      <c r="J314" t="str">
        <f>IF(MIS_Backend_Data!AD316="", "", MIS_Backend_Data!AD316)</f>
        <v/>
      </c>
      <c r="L314" t="str">
        <f>IF(MIS_Backend_Data!AF316="", "", MIS_Backend_Data!AF316)</f>
        <v/>
      </c>
      <c r="N314" t="e">
        <f>IF(MIS_Backend_Data!#REF!="", "", MIS_Backend_Data!#REF!)</f>
        <v>#REF!</v>
      </c>
    </row>
    <row r="315" spans="1:14" ht="14.5">
      <c r="A315">
        <v>311</v>
      </c>
      <c r="B315" s="145" t="e">
        <f>IF(MIS_Backend_Data!#REF!="", "", MIS_Backend_Data!#REF!)</f>
        <v>#REF!</v>
      </c>
      <c r="D315" t="str">
        <f>IF(MIS_Backend_Data!Q317="", "", MIS_Backend_Data!Q317)</f>
        <v/>
      </c>
      <c r="F315" t="e">
        <f>IF(MIS_Backend_Data!#REF!="", "", MIS_Backend_Data!#REF!)</f>
        <v>#REF!</v>
      </c>
      <c r="G315" t="str">
        <f>IF(MIS_Backend_Data!Y317="", "", MIS_Backend_Data!Y317)</f>
        <v/>
      </c>
      <c r="I315" t="e">
        <f>IF(MIS_Backend_Data!#REF!="", "", MIS_Backend_Data!#REF!)</f>
        <v>#REF!</v>
      </c>
      <c r="J315" t="str">
        <f>IF(MIS_Backend_Data!AD317="", "", MIS_Backend_Data!AD317)</f>
        <v/>
      </c>
      <c r="L315" t="str">
        <f>IF(MIS_Backend_Data!AF317="", "", MIS_Backend_Data!AF317)</f>
        <v/>
      </c>
      <c r="N315" t="e">
        <f>IF(MIS_Backend_Data!#REF!="", "", MIS_Backend_Data!#REF!)</f>
        <v>#REF!</v>
      </c>
    </row>
    <row r="316" spans="1:14" ht="14.5">
      <c r="A316">
        <v>312</v>
      </c>
      <c r="B316" s="145" t="e">
        <f>IF(MIS_Backend_Data!#REF!="", "", MIS_Backend_Data!#REF!)</f>
        <v>#REF!</v>
      </c>
      <c r="D316" t="str">
        <f>IF(MIS_Backend_Data!Q318="", "", MIS_Backend_Data!Q318)</f>
        <v/>
      </c>
      <c r="F316" t="e">
        <f>IF(MIS_Backend_Data!#REF!="", "", MIS_Backend_Data!#REF!)</f>
        <v>#REF!</v>
      </c>
      <c r="G316" t="str">
        <f>IF(MIS_Backend_Data!Y318="", "", MIS_Backend_Data!Y318)</f>
        <v/>
      </c>
      <c r="I316" t="e">
        <f>IF(MIS_Backend_Data!#REF!="", "", MIS_Backend_Data!#REF!)</f>
        <v>#REF!</v>
      </c>
      <c r="J316" t="str">
        <f>IF(MIS_Backend_Data!AD318="", "", MIS_Backend_Data!AD318)</f>
        <v/>
      </c>
      <c r="L316" t="str">
        <f>IF(MIS_Backend_Data!AF318="", "", MIS_Backend_Data!AF318)</f>
        <v/>
      </c>
      <c r="N316" t="e">
        <f>IF(MIS_Backend_Data!#REF!="", "", MIS_Backend_Data!#REF!)</f>
        <v>#REF!</v>
      </c>
    </row>
    <row r="317" spans="1:14" ht="14.5">
      <c r="A317">
        <v>313</v>
      </c>
      <c r="B317" s="145" t="e">
        <f>IF(MIS_Backend_Data!#REF!="", "", MIS_Backend_Data!#REF!)</f>
        <v>#REF!</v>
      </c>
      <c r="D317" t="str">
        <f>IF(MIS_Backend_Data!Q319="", "", MIS_Backend_Data!Q319)</f>
        <v/>
      </c>
      <c r="F317" t="e">
        <f>IF(MIS_Backend_Data!#REF!="", "", MIS_Backend_Data!#REF!)</f>
        <v>#REF!</v>
      </c>
      <c r="G317" t="str">
        <f>IF(MIS_Backend_Data!Y319="", "", MIS_Backend_Data!Y319)</f>
        <v/>
      </c>
      <c r="I317" t="e">
        <f>IF(MIS_Backend_Data!#REF!="", "", MIS_Backend_Data!#REF!)</f>
        <v>#REF!</v>
      </c>
      <c r="J317" t="str">
        <f>IF(MIS_Backend_Data!AD319="", "", MIS_Backend_Data!AD319)</f>
        <v/>
      </c>
      <c r="L317" t="str">
        <f>IF(MIS_Backend_Data!AF319="", "", MIS_Backend_Data!AF319)</f>
        <v/>
      </c>
      <c r="N317" t="e">
        <f>IF(MIS_Backend_Data!#REF!="", "", MIS_Backend_Data!#REF!)</f>
        <v>#REF!</v>
      </c>
    </row>
    <row r="318" spans="1:14" ht="14.5">
      <c r="A318">
        <v>314</v>
      </c>
      <c r="B318" s="145" t="e">
        <f>IF(MIS_Backend_Data!#REF!="", "", MIS_Backend_Data!#REF!)</f>
        <v>#REF!</v>
      </c>
      <c r="D318" t="str">
        <f>IF(MIS_Backend_Data!Q320="", "", MIS_Backend_Data!Q320)</f>
        <v/>
      </c>
      <c r="F318" t="e">
        <f>IF(MIS_Backend_Data!#REF!="", "", MIS_Backend_Data!#REF!)</f>
        <v>#REF!</v>
      </c>
      <c r="G318" t="str">
        <f>IF(MIS_Backend_Data!Y320="", "", MIS_Backend_Data!Y320)</f>
        <v/>
      </c>
      <c r="I318" t="e">
        <f>IF(MIS_Backend_Data!#REF!="", "", MIS_Backend_Data!#REF!)</f>
        <v>#REF!</v>
      </c>
      <c r="J318" t="str">
        <f>IF(MIS_Backend_Data!AD320="", "", MIS_Backend_Data!AD320)</f>
        <v/>
      </c>
      <c r="L318" t="str">
        <f>IF(MIS_Backend_Data!AF320="", "", MIS_Backend_Data!AF320)</f>
        <v/>
      </c>
      <c r="N318" t="e">
        <f>IF(MIS_Backend_Data!#REF!="", "", MIS_Backend_Data!#REF!)</f>
        <v>#REF!</v>
      </c>
    </row>
    <row r="319" spans="1:14" ht="14.5">
      <c r="A319">
        <v>315</v>
      </c>
      <c r="B319" s="145" t="e">
        <f>IF(MIS_Backend_Data!#REF!="", "", MIS_Backend_Data!#REF!)</f>
        <v>#REF!</v>
      </c>
      <c r="D319" t="str">
        <f>IF(MIS_Backend_Data!Q321="", "", MIS_Backend_Data!Q321)</f>
        <v/>
      </c>
      <c r="F319" t="e">
        <f>IF(MIS_Backend_Data!#REF!="", "", MIS_Backend_Data!#REF!)</f>
        <v>#REF!</v>
      </c>
      <c r="G319" t="str">
        <f>IF(MIS_Backend_Data!Y321="", "", MIS_Backend_Data!Y321)</f>
        <v/>
      </c>
      <c r="I319" t="e">
        <f>IF(MIS_Backend_Data!#REF!="", "", MIS_Backend_Data!#REF!)</f>
        <v>#REF!</v>
      </c>
      <c r="J319" t="str">
        <f>IF(MIS_Backend_Data!AD321="", "", MIS_Backend_Data!AD321)</f>
        <v/>
      </c>
      <c r="L319" t="str">
        <f>IF(MIS_Backend_Data!AF321="", "", MIS_Backend_Data!AF321)</f>
        <v/>
      </c>
      <c r="N319" t="e">
        <f>IF(MIS_Backend_Data!#REF!="", "", MIS_Backend_Data!#REF!)</f>
        <v>#REF!</v>
      </c>
    </row>
    <row r="320" spans="1:14" ht="14.5">
      <c r="A320">
        <v>316</v>
      </c>
      <c r="B320" s="145" t="e">
        <f>IF(MIS_Backend_Data!#REF!="", "", MIS_Backend_Data!#REF!)</f>
        <v>#REF!</v>
      </c>
      <c r="D320" t="str">
        <f>IF(MIS_Backend_Data!Q322="", "", MIS_Backend_Data!Q322)</f>
        <v/>
      </c>
      <c r="F320" t="e">
        <f>IF(MIS_Backend_Data!#REF!="", "", MIS_Backend_Data!#REF!)</f>
        <v>#REF!</v>
      </c>
      <c r="G320" t="str">
        <f>IF(MIS_Backend_Data!Y322="", "", MIS_Backend_Data!Y322)</f>
        <v/>
      </c>
      <c r="I320" t="e">
        <f>IF(MIS_Backend_Data!#REF!="", "", MIS_Backend_Data!#REF!)</f>
        <v>#REF!</v>
      </c>
      <c r="J320" t="str">
        <f>IF(MIS_Backend_Data!AD322="", "", MIS_Backend_Data!AD322)</f>
        <v/>
      </c>
      <c r="L320" t="str">
        <f>IF(MIS_Backend_Data!AF322="", "", MIS_Backend_Data!AF322)</f>
        <v/>
      </c>
      <c r="N320" t="e">
        <f>IF(MIS_Backend_Data!#REF!="", "", MIS_Backend_Data!#REF!)</f>
        <v>#REF!</v>
      </c>
    </row>
    <row r="321" spans="1:14" ht="14.5">
      <c r="A321">
        <v>317</v>
      </c>
      <c r="B321" s="145" t="e">
        <f>IF(MIS_Backend_Data!#REF!="", "", MIS_Backend_Data!#REF!)</f>
        <v>#REF!</v>
      </c>
      <c r="D321" t="str">
        <f>IF(MIS_Backend_Data!Q323="", "", MIS_Backend_Data!Q323)</f>
        <v/>
      </c>
      <c r="F321" t="e">
        <f>IF(MIS_Backend_Data!#REF!="", "", MIS_Backend_Data!#REF!)</f>
        <v>#REF!</v>
      </c>
      <c r="G321" t="str">
        <f>IF(MIS_Backend_Data!Y323="", "", MIS_Backend_Data!Y323)</f>
        <v/>
      </c>
      <c r="I321" t="e">
        <f>IF(MIS_Backend_Data!#REF!="", "", MIS_Backend_Data!#REF!)</f>
        <v>#REF!</v>
      </c>
      <c r="J321" t="str">
        <f>IF(MIS_Backend_Data!AD323="", "", MIS_Backend_Data!AD323)</f>
        <v/>
      </c>
      <c r="L321" t="str">
        <f>IF(MIS_Backend_Data!AF323="", "", MIS_Backend_Data!AF323)</f>
        <v/>
      </c>
      <c r="N321" t="e">
        <f>IF(MIS_Backend_Data!#REF!="", "", MIS_Backend_Data!#REF!)</f>
        <v>#REF!</v>
      </c>
    </row>
    <row r="322" spans="1:14" ht="14.5">
      <c r="A322">
        <v>318</v>
      </c>
      <c r="B322" s="145" t="e">
        <f>IF(MIS_Backend_Data!#REF!="", "", MIS_Backend_Data!#REF!)</f>
        <v>#REF!</v>
      </c>
      <c r="D322" t="str">
        <f>IF(MIS_Backend_Data!Q324="", "", MIS_Backend_Data!Q324)</f>
        <v/>
      </c>
      <c r="F322" t="e">
        <f>IF(MIS_Backend_Data!#REF!="", "", MIS_Backend_Data!#REF!)</f>
        <v>#REF!</v>
      </c>
      <c r="G322" t="str">
        <f>IF(MIS_Backend_Data!Y324="", "", MIS_Backend_Data!Y324)</f>
        <v/>
      </c>
      <c r="I322" t="e">
        <f>IF(MIS_Backend_Data!#REF!="", "", MIS_Backend_Data!#REF!)</f>
        <v>#REF!</v>
      </c>
      <c r="J322" t="str">
        <f>IF(MIS_Backend_Data!AD324="", "", MIS_Backend_Data!AD324)</f>
        <v/>
      </c>
      <c r="L322" t="str">
        <f>IF(MIS_Backend_Data!AF324="", "", MIS_Backend_Data!AF324)</f>
        <v/>
      </c>
      <c r="N322" t="e">
        <f>IF(MIS_Backend_Data!#REF!="", "", MIS_Backend_Data!#REF!)</f>
        <v>#REF!</v>
      </c>
    </row>
    <row r="323" spans="1:14" ht="14.5">
      <c r="A323">
        <v>319</v>
      </c>
      <c r="B323" s="145" t="e">
        <f>IF(MIS_Backend_Data!#REF!="", "", MIS_Backend_Data!#REF!)</f>
        <v>#REF!</v>
      </c>
      <c r="D323" t="str">
        <f>IF(MIS_Backend_Data!Q325="", "", MIS_Backend_Data!Q325)</f>
        <v/>
      </c>
      <c r="F323" t="e">
        <f>IF(MIS_Backend_Data!#REF!="", "", MIS_Backend_Data!#REF!)</f>
        <v>#REF!</v>
      </c>
      <c r="G323" t="str">
        <f>IF(MIS_Backend_Data!Y325="", "", MIS_Backend_Data!Y325)</f>
        <v/>
      </c>
      <c r="I323" t="e">
        <f>IF(MIS_Backend_Data!#REF!="", "", MIS_Backend_Data!#REF!)</f>
        <v>#REF!</v>
      </c>
      <c r="J323" t="str">
        <f>IF(MIS_Backend_Data!AD325="", "", MIS_Backend_Data!AD325)</f>
        <v/>
      </c>
      <c r="L323" t="str">
        <f>IF(MIS_Backend_Data!AF325="", "", MIS_Backend_Data!AF325)</f>
        <v/>
      </c>
      <c r="N323" t="e">
        <f>IF(MIS_Backend_Data!#REF!="", "", MIS_Backend_Data!#REF!)</f>
        <v>#REF!</v>
      </c>
    </row>
    <row r="324" spans="1:14" ht="14.5">
      <c r="A324">
        <v>320</v>
      </c>
      <c r="B324" s="145" t="e">
        <f>IF(MIS_Backend_Data!#REF!="", "", MIS_Backend_Data!#REF!)</f>
        <v>#REF!</v>
      </c>
      <c r="D324" t="str">
        <f>IF(MIS_Backend_Data!Q326="", "", MIS_Backend_Data!Q326)</f>
        <v/>
      </c>
      <c r="F324" t="e">
        <f>IF(MIS_Backend_Data!#REF!="", "", MIS_Backend_Data!#REF!)</f>
        <v>#REF!</v>
      </c>
      <c r="G324" t="str">
        <f>IF(MIS_Backend_Data!Y326="", "", MIS_Backend_Data!Y326)</f>
        <v/>
      </c>
      <c r="I324" t="e">
        <f>IF(MIS_Backend_Data!#REF!="", "", MIS_Backend_Data!#REF!)</f>
        <v>#REF!</v>
      </c>
      <c r="J324" t="str">
        <f>IF(MIS_Backend_Data!AD326="", "", MIS_Backend_Data!AD326)</f>
        <v/>
      </c>
      <c r="L324" t="str">
        <f>IF(MIS_Backend_Data!AF326="", "", MIS_Backend_Data!AF326)</f>
        <v/>
      </c>
      <c r="N324" t="e">
        <f>IF(MIS_Backend_Data!#REF!="", "", MIS_Backend_Data!#REF!)</f>
        <v>#REF!</v>
      </c>
    </row>
    <row r="325" spans="1:14" ht="14.5">
      <c r="A325">
        <v>321</v>
      </c>
      <c r="B325" s="145" t="e">
        <f>IF(MIS_Backend_Data!#REF!="", "", MIS_Backend_Data!#REF!)</f>
        <v>#REF!</v>
      </c>
      <c r="D325" t="str">
        <f>IF(MIS_Backend_Data!Q327="", "", MIS_Backend_Data!Q327)</f>
        <v/>
      </c>
      <c r="F325" t="e">
        <f>IF(MIS_Backend_Data!#REF!="", "", MIS_Backend_Data!#REF!)</f>
        <v>#REF!</v>
      </c>
      <c r="G325" t="str">
        <f>IF(MIS_Backend_Data!Y327="", "", MIS_Backend_Data!Y327)</f>
        <v/>
      </c>
      <c r="I325" t="e">
        <f>IF(MIS_Backend_Data!#REF!="", "", MIS_Backend_Data!#REF!)</f>
        <v>#REF!</v>
      </c>
      <c r="J325" t="str">
        <f>IF(MIS_Backend_Data!AD327="", "", MIS_Backend_Data!AD327)</f>
        <v/>
      </c>
      <c r="L325" t="str">
        <f>IF(MIS_Backend_Data!AF327="", "", MIS_Backend_Data!AF327)</f>
        <v/>
      </c>
      <c r="N325" t="e">
        <f>IF(MIS_Backend_Data!#REF!="", "", MIS_Backend_Data!#REF!)</f>
        <v>#REF!</v>
      </c>
    </row>
    <row r="326" spans="1:14" ht="14.5">
      <c r="A326">
        <v>322</v>
      </c>
      <c r="B326" s="145" t="e">
        <f>IF(MIS_Backend_Data!#REF!="", "", MIS_Backend_Data!#REF!)</f>
        <v>#REF!</v>
      </c>
      <c r="D326" t="str">
        <f>IF(MIS_Backend_Data!Q328="", "", MIS_Backend_Data!Q328)</f>
        <v/>
      </c>
      <c r="F326" t="e">
        <f>IF(MIS_Backend_Data!#REF!="", "", MIS_Backend_Data!#REF!)</f>
        <v>#REF!</v>
      </c>
      <c r="G326" t="str">
        <f>IF(MIS_Backend_Data!Y328="", "", MIS_Backend_Data!Y328)</f>
        <v/>
      </c>
      <c r="I326" t="e">
        <f>IF(MIS_Backend_Data!#REF!="", "", MIS_Backend_Data!#REF!)</f>
        <v>#REF!</v>
      </c>
      <c r="J326" t="str">
        <f>IF(MIS_Backend_Data!AD328="", "", MIS_Backend_Data!AD328)</f>
        <v/>
      </c>
      <c r="L326" t="str">
        <f>IF(MIS_Backend_Data!AF328="", "", MIS_Backend_Data!AF328)</f>
        <v/>
      </c>
      <c r="N326" t="e">
        <f>IF(MIS_Backend_Data!#REF!="", "", MIS_Backend_Data!#REF!)</f>
        <v>#REF!</v>
      </c>
    </row>
    <row r="327" spans="1:14" ht="14.5">
      <c r="A327">
        <v>323</v>
      </c>
      <c r="B327" s="145" t="e">
        <f>IF(MIS_Backend_Data!#REF!="", "", MIS_Backend_Data!#REF!)</f>
        <v>#REF!</v>
      </c>
      <c r="D327" t="str">
        <f>IF(MIS_Backend_Data!Q329="", "", MIS_Backend_Data!Q329)</f>
        <v/>
      </c>
      <c r="F327" t="e">
        <f>IF(MIS_Backend_Data!#REF!="", "", MIS_Backend_Data!#REF!)</f>
        <v>#REF!</v>
      </c>
      <c r="G327" t="str">
        <f>IF(MIS_Backend_Data!Y329="", "", MIS_Backend_Data!Y329)</f>
        <v/>
      </c>
      <c r="I327" t="e">
        <f>IF(MIS_Backend_Data!#REF!="", "", MIS_Backend_Data!#REF!)</f>
        <v>#REF!</v>
      </c>
      <c r="J327" t="str">
        <f>IF(MIS_Backend_Data!AD329="", "", MIS_Backend_Data!AD329)</f>
        <v/>
      </c>
      <c r="L327" t="str">
        <f>IF(MIS_Backend_Data!AF329="", "", MIS_Backend_Data!AF329)</f>
        <v/>
      </c>
      <c r="N327" t="e">
        <f>IF(MIS_Backend_Data!#REF!="", "", MIS_Backend_Data!#REF!)</f>
        <v>#REF!</v>
      </c>
    </row>
    <row r="328" spans="1:14" ht="14.5">
      <c r="A328">
        <v>324</v>
      </c>
      <c r="B328" s="145" t="e">
        <f>IF(MIS_Backend_Data!#REF!="", "", MIS_Backend_Data!#REF!)</f>
        <v>#REF!</v>
      </c>
      <c r="D328" t="str">
        <f>IF(MIS_Backend_Data!Q330="", "", MIS_Backend_Data!Q330)</f>
        <v/>
      </c>
      <c r="F328" t="e">
        <f>IF(MIS_Backend_Data!#REF!="", "", MIS_Backend_Data!#REF!)</f>
        <v>#REF!</v>
      </c>
      <c r="G328" t="str">
        <f>IF(MIS_Backend_Data!Y330="", "", MIS_Backend_Data!Y330)</f>
        <v/>
      </c>
      <c r="I328" t="e">
        <f>IF(MIS_Backend_Data!#REF!="", "", MIS_Backend_Data!#REF!)</f>
        <v>#REF!</v>
      </c>
      <c r="J328" t="str">
        <f>IF(MIS_Backend_Data!AD330="", "", MIS_Backend_Data!AD330)</f>
        <v/>
      </c>
      <c r="L328" t="str">
        <f>IF(MIS_Backend_Data!AF330="", "", MIS_Backend_Data!AF330)</f>
        <v/>
      </c>
      <c r="N328" t="e">
        <f>IF(MIS_Backend_Data!#REF!="", "", MIS_Backend_Data!#REF!)</f>
        <v>#REF!</v>
      </c>
    </row>
    <row r="329" spans="1:14" ht="14.5">
      <c r="A329">
        <v>325</v>
      </c>
      <c r="B329" s="145" t="e">
        <f>IF(MIS_Backend_Data!#REF!="", "", MIS_Backend_Data!#REF!)</f>
        <v>#REF!</v>
      </c>
      <c r="D329" t="str">
        <f>IF(MIS_Backend_Data!Q331="", "", MIS_Backend_Data!Q331)</f>
        <v/>
      </c>
      <c r="F329" t="e">
        <f>IF(MIS_Backend_Data!#REF!="", "", MIS_Backend_Data!#REF!)</f>
        <v>#REF!</v>
      </c>
      <c r="G329" t="str">
        <f>IF(MIS_Backend_Data!Y331="", "", MIS_Backend_Data!Y331)</f>
        <v/>
      </c>
      <c r="I329" t="e">
        <f>IF(MIS_Backend_Data!#REF!="", "", MIS_Backend_Data!#REF!)</f>
        <v>#REF!</v>
      </c>
      <c r="J329" t="str">
        <f>IF(MIS_Backend_Data!AD331="", "", MIS_Backend_Data!AD331)</f>
        <v/>
      </c>
      <c r="L329" t="str">
        <f>IF(MIS_Backend_Data!AF331="", "", MIS_Backend_Data!AF331)</f>
        <v/>
      </c>
      <c r="N329" t="e">
        <f>IF(MIS_Backend_Data!#REF!="", "", MIS_Backend_Data!#REF!)</f>
        <v>#REF!</v>
      </c>
    </row>
    <row r="330" spans="1:14" ht="14.5">
      <c r="A330">
        <v>326</v>
      </c>
      <c r="B330" s="145" t="e">
        <f>IF(MIS_Backend_Data!#REF!="", "", MIS_Backend_Data!#REF!)</f>
        <v>#REF!</v>
      </c>
      <c r="D330" t="str">
        <f>IF(MIS_Backend_Data!Q332="", "", MIS_Backend_Data!Q332)</f>
        <v/>
      </c>
      <c r="F330" t="e">
        <f>IF(MIS_Backend_Data!#REF!="", "", MIS_Backend_Data!#REF!)</f>
        <v>#REF!</v>
      </c>
      <c r="G330" t="str">
        <f>IF(MIS_Backend_Data!Y332="", "", MIS_Backend_Data!Y332)</f>
        <v/>
      </c>
      <c r="I330" t="e">
        <f>IF(MIS_Backend_Data!#REF!="", "", MIS_Backend_Data!#REF!)</f>
        <v>#REF!</v>
      </c>
      <c r="J330" t="str">
        <f>IF(MIS_Backend_Data!AD332="", "", MIS_Backend_Data!AD332)</f>
        <v/>
      </c>
      <c r="L330" t="str">
        <f>IF(MIS_Backend_Data!AF332="", "", MIS_Backend_Data!AF332)</f>
        <v/>
      </c>
      <c r="N330" t="e">
        <f>IF(MIS_Backend_Data!#REF!="", "", MIS_Backend_Data!#REF!)</f>
        <v>#REF!</v>
      </c>
    </row>
    <row r="331" spans="1:14" ht="14.5">
      <c r="A331">
        <v>327</v>
      </c>
      <c r="B331" s="145" t="e">
        <f>IF(MIS_Backend_Data!#REF!="", "", MIS_Backend_Data!#REF!)</f>
        <v>#REF!</v>
      </c>
      <c r="D331" t="str">
        <f>IF(MIS_Backend_Data!Q333="", "", MIS_Backend_Data!Q333)</f>
        <v/>
      </c>
      <c r="F331" t="e">
        <f>IF(MIS_Backend_Data!#REF!="", "", MIS_Backend_Data!#REF!)</f>
        <v>#REF!</v>
      </c>
      <c r="G331" t="str">
        <f>IF(MIS_Backend_Data!Y333="", "", MIS_Backend_Data!Y333)</f>
        <v/>
      </c>
      <c r="I331" t="e">
        <f>IF(MIS_Backend_Data!#REF!="", "", MIS_Backend_Data!#REF!)</f>
        <v>#REF!</v>
      </c>
      <c r="J331" t="str">
        <f>IF(MIS_Backend_Data!AD333="", "", MIS_Backend_Data!AD333)</f>
        <v/>
      </c>
      <c r="L331" t="str">
        <f>IF(MIS_Backend_Data!AF333="", "", MIS_Backend_Data!AF333)</f>
        <v/>
      </c>
      <c r="N331" t="e">
        <f>IF(MIS_Backend_Data!#REF!="", "", MIS_Backend_Data!#REF!)</f>
        <v>#REF!</v>
      </c>
    </row>
    <row r="332" spans="1:14" ht="14.5">
      <c r="A332">
        <v>328</v>
      </c>
      <c r="B332" s="145" t="e">
        <f>IF(MIS_Backend_Data!#REF!="", "", MIS_Backend_Data!#REF!)</f>
        <v>#REF!</v>
      </c>
      <c r="D332" t="str">
        <f>IF(MIS_Backend_Data!Q334="", "", MIS_Backend_Data!Q334)</f>
        <v/>
      </c>
      <c r="F332" t="e">
        <f>IF(MIS_Backend_Data!#REF!="", "", MIS_Backend_Data!#REF!)</f>
        <v>#REF!</v>
      </c>
      <c r="G332" t="str">
        <f>IF(MIS_Backend_Data!Y334="", "", MIS_Backend_Data!Y334)</f>
        <v/>
      </c>
      <c r="I332" t="e">
        <f>IF(MIS_Backend_Data!#REF!="", "", MIS_Backend_Data!#REF!)</f>
        <v>#REF!</v>
      </c>
      <c r="J332" t="str">
        <f>IF(MIS_Backend_Data!AD334="", "", MIS_Backend_Data!AD334)</f>
        <v/>
      </c>
      <c r="L332" t="str">
        <f>IF(MIS_Backend_Data!AF334="", "", MIS_Backend_Data!AF334)</f>
        <v/>
      </c>
      <c r="N332" t="e">
        <f>IF(MIS_Backend_Data!#REF!="", "", MIS_Backend_Data!#REF!)</f>
        <v>#REF!</v>
      </c>
    </row>
    <row r="333" spans="1:14" ht="14.5">
      <c r="A333">
        <v>329</v>
      </c>
      <c r="B333" s="145" t="e">
        <f>IF(MIS_Backend_Data!#REF!="", "", MIS_Backend_Data!#REF!)</f>
        <v>#REF!</v>
      </c>
      <c r="D333" t="str">
        <f>IF(MIS_Backend_Data!Q335="", "", MIS_Backend_Data!Q335)</f>
        <v/>
      </c>
      <c r="F333" t="e">
        <f>IF(MIS_Backend_Data!#REF!="", "", MIS_Backend_Data!#REF!)</f>
        <v>#REF!</v>
      </c>
      <c r="G333" t="str">
        <f>IF(MIS_Backend_Data!Y335="", "", MIS_Backend_Data!Y335)</f>
        <v/>
      </c>
      <c r="I333" t="e">
        <f>IF(MIS_Backend_Data!#REF!="", "", MIS_Backend_Data!#REF!)</f>
        <v>#REF!</v>
      </c>
      <c r="J333" t="str">
        <f>IF(MIS_Backend_Data!AD335="", "", MIS_Backend_Data!AD335)</f>
        <v/>
      </c>
      <c r="L333" t="str">
        <f>IF(MIS_Backend_Data!AF335="", "", MIS_Backend_Data!AF335)</f>
        <v/>
      </c>
      <c r="N333" t="e">
        <f>IF(MIS_Backend_Data!#REF!="", "", MIS_Backend_Data!#REF!)</f>
        <v>#REF!</v>
      </c>
    </row>
    <row r="334" spans="1:14" ht="14.5">
      <c r="A334">
        <v>330</v>
      </c>
      <c r="B334" s="145" t="e">
        <f>IF(MIS_Backend_Data!#REF!="", "", MIS_Backend_Data!#REF!)</f>
        <v>#REF!</v>
      </c>
      <c r="D334" t="str">
        <f>IF(MIS_Backend_Data!Q336="", "", MIS_Backend_Data!Q336)</f>
        <v/>
      </c>
      <c r="F334" t="e">
        <f>IF(MIS_Backend_Data!#REF!="", "", MIS_Backend_Data!#REF!)</f>
        <v>#REF!</v>
      </c>
      <c r="G334" t="str">
        <f>IF(MIS_Backend_Data!Y336="", "", MIS_Backend_Data!Y336)</f>
        <v/>
      </c>
      <c r="I334" t="e">
        <f>IF(MIS_Backend_Data!#REF!="", "", MIS_Backend_Data!#REF!)</f>
        <v>#REF!</v>
      </c>
      <c r="J334" t="str">
        <f>IF(MIS_Backend_Data!AD336="", "", MIS_Backend_Data!AD336)</f>
        <v/>
      </c>
      <c r="L334" t="str">
        <f>IF(MIS_Backend_Data!AF336="", "", MIS_Backend_Data!AF336)</f>
        <v/>
      </c>
      <c r="N334" t="e">
        <f>IF(MIS_Backend_Data!#REF!="", "", MIS_Backend_Data!#REF!)</f>
        <v>#REF!</v>
      </c>
    </row>
    <row r="335" spans="1:14" ht="14.5">
      <c r="A335">
        <v>331</v>
      </c>
      <c r="B335" s="145" t="e">
        <f>IF(MIS_Backend_Data!#REF!="", "", MIS_Backend_Data!#REF!)</f>
        <v>#REF!</v>
      </c>
      <c r="D335" t="str">
        <f>IF(MIS_Backend_Data!Q337="", "", MIS_Backend_Data!Q337)</f>
        <v/>
      </c>
      <c r="F335" t="e">
        <f>IF(MIS_Backend_Data!#REF!="", "", MIS_Backend_Data!#REF!)</f>
        <v>#REF!</v>
      </c>
      <c r="G335" t="str">
        <f>IF(MIS_Backend_Data!Y337="", "", MIS_Backend_Data!Y337)</f>
        <v/>
      </c>
      <c r="I335" t="e">
        <f>IF(MIS_Backend_Data!#REF!="", "", MIS_Backend_Data!#REF!)</f>
        <v>#REF!</v>
      </c>
      <c r="J335" t="str">
        <f>IF(MIS_Backend_Data!AD337="", "", MIS_Backend_Data!AD337)</f>
        <v/>
      </c>
      <c r="L335" t="str">
        <f>IF(MIS_Backend_Data!AF337="", "", MIS_Backend_Data!AF337)</f>
        <v/>
      </c>
      <c r="N335" t="e">
        <f>IF(MIS_Backend_Data!#REF!="", "", MIS_Backend_Data!#REF!)</f>
        <v>#REF!</v>
      </c>
    </row>
    <row r="336" spans="1:14" ht="14.5">
      <c r="A336">
        <v>332</v>
      </c>
      <c r="B336" s="145" t="e">
        <f>IF(MIS_Backend_Data!#REF!="", "", MIS_Backend_Data!#REF!)</f>
        <v>#REF!</v>
      </c>
      <c r="D336" t="str">
        <f>IF(MIS_Backend_Data!Q338="", "", MIS_Backend_Data!Q338)</f>
        <v/>
      </c>
      <c r="F336" t="e">
        <f>IF(MIS_Backend_Data!#REF!="", "", MIS_Backend_Data!#REF!)</f>
        <v>#REF!</v>
      </c>
      <c r="G336" t="str">
        <f>IF(MIS_Backend_Data!Y338="", "", MIS_Backend_Data!Y338)</f>
        <v/>
      </c>
      <c r="I336" t="e">
        <f>IF(MIS_Backend_Data!#REF!="", "", MIS_Backend_Data!#REF!)</f>
        <v>#REF!</v>
      </c>
      <c r="J336" t="str">
        <f>IF(MIS_Backend_Data!AD338="", "", MIS_Backend_Data!AD338)</f>
        <v/>
      </c>
      <c r="L336" t="str">
        <f>IF(MIS_Backend_Data!AF338="", "", MIS_Backend_Data!AF338)</f>
        <v/>
      </c>
      <c r="N336" t="e">
        <f>IF(MIS_Backend_Data!#REF!="", "", MIS_Backend_Data!#REF!)</f>
        <v>#REF!</v>
      </c>
    </row>
    <row r="337" spans="1:14" ht="14.5">
      <c r="A337">
        <v>333</v>
      </c>
      <c r="B337" s="145" t="e">
        <f>IF(MIS_Backend_Data!#REF!="", "", MIS_Backend_Data!#REF!)</f>
        <v>#REF!</v>
      </c>
      <c r="D337" t="str">
        <f>IF(MIS_Backend_Data!Q339="", "", MIS_Backend_Data!Q339)</f>
        <v/>
      </c>
      <c r="F337" t="e">
        <f>IF(MIS_Backend_Data!#REF!="", "", MIS_Backend_Data!#REF!)</f>
        <v>#REF!</v>
      </c>
      <c r="G337" t="str">
        <f>IF(MIS_Backend_Data!Y339="", "", MIS_Backend_Data!Y339)</f>
        <v/>
      </c>
      <c r="I337" t="e">
        <f>IF(MIS_Backend_Data!#REF!="", "", MIS_Backend_Data!#REF!)</f>
        <v>#REF!</v>
      </c>
      <c r="J337" t="str">
        <f>IF(MIS_Backend_Data!AD339="", "", MIS_Backend_Data!AD339)</f>
        <v/>
      </c>
      <c r="L337" t="str">
        <f>IF(MIS_Backend_Data!AF339="", "", MIS_Backend_Data!AF339)</f>
        <v/>
      </c>
      <c r="N337" t="e">
        <f>IF(MIS_Backend_Data!#REF!="", "", MIS_Backend_Data!#REF!)</f>
        <v>#REF!</v>
      </c>
    </row>
    <row r="338" spans="1:14" ht="14.5">
      <c r="A338">
        <v>334</v>
      </c>
      <c r="B338" s="145" t="e">
        <f>IF(MIS_Backend_Data!#REF!="", "", MIS_Backend_Data!#REF!)</f>
        <v>#REF!</v>
      </c>
      <c r="D338" t="str">
        <f>IF(MIS_Backend_Data!Q340="", "", MIS_Backend_Data!Q340)</f>
        <v/>
      </c>
      <c r="F338" t="e">
        <f>IF(MIS_Backend_Data!#REF!="", "", MIS_Backend_Data!#REF!)</f>
        <v>#REF!</v>
      </c>
      <c r="G338" t="str">
        <f>IF(MIS_Backend_Data!Y340="", "", MIS_Backend_Data!Y340)</f>
        <v/>
      </c>
      <c r="I338" t="e">
        <f>IF(MIS_Backend_Data!#REF!="", "", MIS_Backend_Data!#REF!)</f>
        <v>#REF!</v>
      </c>
      <c r="J338" t="str">
        <f>IF(MIS_Backend_Data!AD340="", "", MIS_Backend_Data!AD340)</f>
        <v/>
      </c>
      <c r="L338" t="str">
        <f>IF(MIS_Backend_Data!AF340="", "", MIS_Backend_Data!AF340)</f>
        <v/>
      </c>
      <c r="N338" t="e">
        <f>IF(MIS_Backend_Data!#REF!="", "", MIS_Backend_Data!#REF!)</f>
        <v>#REF!</v>
      </c>
    </row>
    <row r="339" spans="1:14" ht="14.5">
      <c r="A339">
        <v>335</v>
      </c>
      <c r="B339" s="145" t="e">
        <f>IF(MIS_Backend_Data!#REF!="", "", MIS_Backend_Data!#REF!)</f>
        <v>#REF!</v>
      </c>
      <c r="D339" t="str">
        <f>IF(MIS_Backend_Data!Q341="", "", MIS_Backend_Data!Q341)</f>
        <v/>
      </c>
      <c r="F339" t="e">
        <f>IF(MIS_Backend_Data!#REF!="", "", MIS_Backend_Data!#REF!)</f>
        <v>#REF!</v>
      </c>
      <c r="G339" t="str">
        <f>IF(MIS_Backend_Data!Y341="", "", MIS_Backend_Data!Y341)</f>
        <v/>
      </c>
      <c r="I339" t="e">
        <f>IF(MIS_Backend_Data!#REF!="", "", MIS_Backend_Data!#REF!)</f>
        <v>#REF!</v>
      </c>
      <c r="J339" t="str">
        <f>IF(MIS_Backend_Data!AD341="", "", MIS_Backend_Data!AD341)</f>
        <v/>
      </c>
      <c r="L339" t="str">
        <f>IF(MIS_Backend_Data!AF341="", "", MIS_Backend_Data!AF341)</f>
        <v/>
      </c>
      <c r="N339" t="e">
        <f>IF(MIS_Backend_Data!#REF!="", "", MIS_Backend_Data!#REF!)</f>
        <v>#REF!</v>
      </c>
    </row>
    <row r="340" spans="1:14" ht="14.5">
      <c r="A340">
        <v>336</v>
      </c>
      <c r="B340" s="145" t="e">
        <f>IF(MIS_Backend_Data!#REF!="", "", MIS_Backend_Data!#REF!)</f>
        <v>#REF!</v>
      </c>
      <c r="D340" t="str">
        <f>IF(MIS_Backend_Data!Q342="", "", MIS_Backend_Data!Q342)</f>
        <v/>
      </c>
      <c r="F340" t="e">
        <f>IF(MIS_Backend_Data!#REF!="", "", MIS_Backend_Data!#REF!)</f>
        <v>#REF!</v>
      </c>
      <c r="G340" t="str">
        <f>IF(MIS_Backend_Data!Y342="", "", MIS_Backend_Data!Y342)</f>
        <v/>
      </c>
      <c r="I340" t="e">
        <f>IF(MIS_Backend_Data!#REF!="", "", MIS_Backend_Data!#REF!)</f>
        <v>#REF!</v>
      </c>
      <c r="J340" t="str">
        <f>IF(MIS_Backend_Data!AD342="", "", MIS_Backend_Data!AD342)</f>
        <v/>
      </c>
      <c r="L340" t="str">
        <f>IF(MIS_Backend_Data!AF342="", "", MIS_Backend_Data!AF342)</f>
        <v/>
      </c>
      <c r="N340" t="e">
        <f>IF(MIS_Backend_Data!#REF!="", "", MIS_Backend_Data!#REF!)</f>
        <v>#REF!</v>
      </c>
    </row>
    <row r="341" spans="1:14" ht="14.5">
      <c r="A341">
        <v>337</v>
      </c>
      <c r="B341" s="145" t="e">
        <f>IF(MIS_Backend_Data!#REF!="", "", MIS_Backend_Data!#REF!)</f>
        <v>#REF!</v>
      </c>
      <c r="D341" t="str">
        <f>IF(MIS_Backend_Data!Q343="", "", MIS_Backend_Data!Q343)</f>
        <v/>
      </c>
      <c r="F341" t="e">
        <f>IF(MIS_Backend_Data!#REF!="", "", MIS_Backend_Data!#REF!)</f>
        <v>#REF!</v>
      </c>
      <c r="G341" t="str">
        <f>IF(MIS_Backend_Data!Y343="", "", MIS_Backend_Data!Y343)</f>
        <v/>
      </c>
      <c r="I341" t="e">
        <f>IF(MIS_Backend_Data!#REF!="", "", MIS_Backend_Data!#REF!)</f>
        <v>#REF!</v>
      </c>
      <c r="J341" t="str">
        <f>IF(MIS_Backend_Data!AD343="", "", MIS_Backend_Data!AD343)</f>
        <v/>
      </c>
      <c r="L341" t="str">
        <f>IF(MIS_Backend_Data!AF343="", "", MIS_Backend_Data!AF343)</f>
        <v/>
      </c>
      <c r="N341" t="e">
        <f>IF(MIS_Backend_Data!#REF!="", "", MIS_Backend_Data!#REF!)</f>
        <v>#REF!</v>
      </c>
    </row>
    <row r="342" spans="1:14" ht="14.5">
      <c r="A342">
        <v>338</v>
      </c>
      <c r="B342" s="145" t="e">
        <f>IF(MIS_Backend_Data!#REF!="", "", MIS_Backend_Data!#REF!)</f>
        <v>#REF!</v>
      </c>
      <c r="D342" t="str">
        <f>IF(MIS_Backend_Data!Q344="", "", MIS_Backend_Data!Q344)</f>
        <v/>
      </c>
      <c r="F342" t="e">
        <f>IF(MIS_Backend_Data!#REF!="", "", MIS_Backend_Data!#REF!)</f>
        <v>#REF!</v>
      </c>
      <c r="G342" t="str">
        <f>IF(MIS_Backend_Data!Y344="", "", MIS_Backend_Data!Y344)</f>
        <v/>
      </c>
      <c r="I342" t="e">
        <f>IF(MIS_Backend_Data!#REF!="", "", MIS_Backend_Data!#REF!)</f>
        <v>#REF!</v>
      </c>
      <c r="J342" t="str">
        <f>IF(MIS_Backend_Data!AD344="", "", MIS_Backend_Data!AD344)</f>
        <v/>
      </c>
      <c r="L342" t="str">
        <f>IF(MIS_Backend_Data!AF344="", "", MIS_Backend_Data!AF344)</f>
        <v/>
      </c>
      <c r="N342" t="e">
        <f>IF(MIS_Backend_Data!#REF!="", "", MIS_Backend_Data!#REF!)</f>
        <v>#REF!</v>
      </c>
    </row>
    <row r="343" spans="1:14" ht="14.5">
      <c r="A343">
        <v>339</v>
      </c>
      <c r="B343" s="145" t="e">
        <f>IF(MIS_Backend_Data!#REF!="", "", MIS_Backend_Data!#REF!)</f>
        <v>#REF!</v>
      </c>
      <c r="D343" t="str">
        <f>IF(MIS_Backend_Data!Q345="", "", MIS_Backend_Data!Q345)</f>
        <v/>
      </c>
      <c r="F343" t="e">
        <f>IF(MIS_Backend_Data!#REF!="", "", MIS_Backend_Data!#REF!)</f>
        <v>#REF!</v>
      </c>
      <c r="G343" t="str">
        <f>IF(MIS_Backend_Data!Y345="", "", MIS_Backend_Data!Y345)</f>
        <v/>
      </c>
      <c r="I343" t="e">
        <f>IF(MIS_Backend_Data!#REF!="", "", MIS_Backend_Data!#REF!)</f>
        <v>#REF!</v>
      </c>
      <c r="J343" t="str">
        <f>IF(MIS_Backend_Data!AD345="", "", MIS_Backend_Data!AD345)</f>
        <v/>
      </c>
      <c r="L343" t="str">
        <f>IF(MIS_Backend_Data!AF345="", "", MIS_Backend_Data!AF345)</f>
        <v/>
      </c>
      <c r="N343" t="e">
        <f>IF(MIS_Backend_Data!#REF!="", "", MIS_Backend_Data!#REF!)</f>
        <v>#REF!</v>
      </c>
    </row>
    <row r="344" spans="1:14" ht="14.5">
      <c r="A344">
        <v>340</v>
      </c>
      <c r="B344" s="145" t="e">
        <f>IF(MIS_Backend_Data!#REF!="", "", MIS_Backend_Data!#REF!)</f>
        <v>#REF!</v>
      </c>
      <c r="D344" t="str">
        <f>IF(MIS_Backend_Data!Q346="", "", MIS_Backend_Data!Q346)</f>
        <v/>
      </c>
      <c r="F344" t="e">
        <f>IF(MIS_Backend_Data!#REF!="", "", MIS_Backend_Data!#REF!)</f>
        <v>#REF!</v>
      </c>
      <c r="G344" t="str">
        <f>IF(MIS_Backend_Data!Y346="", "", MIS_Backend_Data!Y346)</f>
        <v/>
      </c>
      <c r="I344" t="e">
        <f>IF(MIS_Backend_Data!#REF!="", "", MIS_Backend_Data!#REF!)</f>
        <v>#REF!</v>
      </c>
      <c r="J344" t="str">
        <f>IF(MIS_Backend_Data!AD346="", "", MIS_Backend_Data!AD346)</f>
        <v/>
      </c>
      <c r="L344" t="str">
        <f>IF(MIS_Backend_Data!AF346="", "", MIS_Backend_Data!AF346)</f>
        <v/>
      </c>
      <c r="N344" t="e">
        <f>IF(MIS_Backend_Data!#REF!="", "", MIS_Backend_Data!#REF!)</f>
        <v>#REF!</v>
      </c>
    </row>
    <row r="345" spans="1:14" ht="14.5">
      <c r="A345">
        <v>341</v>
      </c>
      <c r="B345" s="145" t="e">
        <f>IF(MIS_Backend_Data!#REF!="", "", MIS_Backend_Data!#REF!)</f>
        <v>#REF!</v>
      </c>
      <c r="D345" t="str">
        <f>IF(MIS_Backend_Data!Q347="", "", MIS_Backend_Data!Q347)</f>
        <v/>
      </c>
      <c r="F345" t="e">
        <f>IF(MIS_Backend_Data!#REF!="", "", MIS_Backend_Data!#REF!)</f>
        <v>#REF!</v>
      </c>
      <c r="G345" t="str">
        <f>IF(MIS_Backend_Data!Y347="", "", MIS_Backend_Data!Y347)</f>
        <v/>
      </c>
      <c r="I345" t="e">
        <f>IF(MIS_Backend_Data!#REF!="", "", MIS_Backend_Data!#REF!)</f>
        <v>#REF!</v>
      </c>
      <c r="J345" t="str">
        <f>IF(MIS_Backend_Data!AD347="", "", MIS_Backend_Data!AD347)</f>
        <v/>
      </c>
      <c r="L345" t="str">
        <f>IF(MIS_Backend_Data!AF347="", "", MIS_Backend_Data!AF347)</f>
        <v/>
      </c>
      <c r="N345" t="e">
        <f>IF(MIS_Backend_Data!#REF!="", "", MIS_Backend_Data!#REF!)</f>
        <v>#REF!</v>
      </c>
    </row>
    <row r="346" spans="1:14" ht="14.5">
      <c r="A346">
        <v>342</v>
      </c>
      <c r="B346" s="145" t="e">
        <f>IF(MIS_Backend_Data!#REF!="", "", MIS_Backend_Data!#REF!)</f>
        <v>#REF!</v>
      </c>
      <c r="D346" t="str">
        <f>IF(MIS_Backend_Data!Q348="", "", MIS_Backend_Data!Q348)</f>
        <v/>
      </c>
      <c r="F346" t="e">
        <f>IF(MIS_Backend_Data!#REF!="", "", MIS_Backend_Data!#REF!)</f>
        <v>#REF!</v>
      </c>
      <c r="G346" t="str">
        <f>IF(MIS_Backend_Data!Y348="", "", MIS_Backend_Data!Y348)</f>
        <v/>
      </c>
      <c r="I346" t="e">
        <f>IF(MIS_Backend_Data!#REF!="", "", MIS_Backend_Data!#REF!)</f>
        <v>#REF!</v>
      </c>
      <c r="J346" t="str">
        <f>IF(MIS_Backend_Data!AD348="", "", MIS_Backend_Data!AD348)</f>
        <v/>
      </c>
      <c r="L346" t="str">
        <f>IF(MIS_Backend_Data!AF348="", "", MIS_Backend_Data!AF348)</f>
        <v/>
      </c>
      <c r="N346" t="e">
        <f>IF(MIS_Backend_Data!#REF!="", "", MIS_Backend_Data!#REF!)</f>
        <v>#REF!</v>
      </c>
    </row>
    <row r="347" spans="1:14" ht="14.5">
      <c r="A347">
        <v>343</v>
      </c>
      <c r="B347" s="145" t="e">
        <f>IF(MIS_Backend_Data!#REF!="", "", MIS_Backend_Data!#REF!)</f>
        <v>#REF!</v>
      </c>
      <c r="D347" t="str">
        <f>IF(MIS_Backend_Data!Q349="", "", MIS_Backend_Data!Q349)</f>
        <v/>
      </c>
      <c r="F347" t="e">
        <f>IF(MIS_Backend_Data!#REF!="", "", MIS_Backend_Data!#REF!)</f>
        <v>#REF!</v>
      </c>
      <c r="G347" t="str">
        <f>IF(MIS_Backend_Data!Y349="", "", MIS_Backend_Data!Y349)</f>
        <v/>
      </c>
      <c r="I347" t="e">
        <f>IF(MIS_Backend_Data!#REF!="", "", MIS_Backend_Data!#REF!)</f>
        <v>#REF!</v>
      </c>
      <c r="J347" t="str">
        <f>IF(MIS_Backend_Data!AD349="", "", MIS_Backend_Data!AD349)</f>
        <v/>
      </c>
      <c r="L347" t="str">
        <f>IF(MIS_Backend_Data!AF349="", "", MIS_Backend_Data!AF349)</f>
        <v/>
      </c>
      <c r="N347" t="e">
        <f>IF(MIS_Backend_Data!#REF!="", "", MIS_Backend_Data!#REF!)</f>
        <v>#REF!</v>
      </c>
    </row>
    <row r="348" spans="1:14" ht="14.5">
      <c r="A348">
        <v>344</v>
      </c>
      <c r="B348" s="145" t="e">
        <f>IF(MIS_Backend_Data!#REF!="", "", MIS_Backend_Data!#REF!)</f>
        <v>#REF!</v>
      </c>
      <c r="D348" t="str">
        <f>IF(MIS_Backend_Data!Q350="", "", MIS_Backend_Data!Q350)</f>
        <v/>
      </c>
      <c r="F348" t="e">
        <f>IF(MIS_Backend_Data!#REF!="", "", MIS_Backend_Data!#REF!)</f>
        <v>#REF!</v>
      </c>
      <c r="G348" t="str">
        <f>IF(MIS_Backend_Data!Y350="", "", MIS_Backend_Data!Y350)</f>
        <v/>
      </c>
      <c r="I348" t="e">
        <f>IF(MIS_Backend_Data!#REF!="", "", MIS_Backend_Data!#REF!)</f>
        <v>#REF!</v>
      </c>
      <c r="J348" t="str">
        <f>IF(MIS_Backend_Data!AD350="", "", MIS_Backend_Data!AD350)</f>
        <v/>
      </c>
      <c r="L348" t="str">
        <f>IF(MIS_Backend_Data!AF350="", "", MIS_Backend_Data!AF350)</f>
        <v/>
      </c>
      <c r="N348" t="e">
        <f>IF(MIS_Backend_Data!#REF!="", "", MIS_Backend_Data!#REF!)</f>
        <v>#REF!</v>
      </c>
    </row>
    <row r="349" spans="1:14" ht="14.5">
      <c r="A349">
        <v>345</v>
      </c>
      <c r="B349" s="145" t="e">
        <f>IF(MIS_Backend_Data!#REF!="", "", MIS_Backend_Data!#REF!)</f>
        <v>#REF!</v>
      </c>
      <c r="D349" t="str">
        <f>IF(MIS_Backend_Data!Q351="", "", MIS_Backend_Data!Q351)</f>
        <v/>
      </c>
      <c r="F349" t="e">
        <f>IF(MIS_Backend_Data!#REF!="", "", MIS_Backend_Data!#REF!)</f>
        <v>#REF!</v>
      </c>
      <c r="G349" t="str">
        <f>IF(MIS_Backend_Data!Y351="", "", MIS_Backend_Data!Y351)</f>
        <v/>
      </c>
      <c r="I349" t="e">
        <f>IF(MIS_Backend_Data!#REF!="", "", MIS_Backend_Data!#REF!)</f>
        <v>#REF!</v>
      </c>
      <c r="J349" t="str">
        <f>IF(MIS_Backend_Data!AD351="", "", MIS_Backend_Data!AD351)</f>
        <v/>
      </c>
      <c r="L349" t="str">
        <f>IF(MIS_Backend_Data!AF351="", "", MIS_Backend_Data!AF351)</f>
        <v/>
      </c>
      <c r="N349" t="e">
        <f>IF(MIS_Backend_Data!#REF!="", "", MIS_Backend_Data!#REF!)</f>
        <v>#REF!</v>
      </c>
    </row>
    <row r="350" spans="1:14" ht="14.5">
      <c r="A350">
        <v>346</v>
      </c>
      <c r="B350" s="145" t="e">
        <f>IF(MIS_Backend_Data!#REF!="", "", MIS_Backend_Data!#REF!)</f>
        <v>#REF!</v>
      </c>
      <c r="D350" t="str">
        <f>IF(MIS_Backend_Data!Q352="", "", MIS_Backend_Data!Q352)</f>
        <v/>
      </c>
      <c r="F350" t="e">
        <f>IF(MIS_Backend_Data!#REF!="", "", MIS_Backend_Data!#REF!)</f>
        <v>#REF!</v>
      </c>
      <c r="G350" t="str">
        <f>IF(MIS_Backend_Data!Y352="", "", MIS_Backend_Data!Y352)</f>
        <v/>
      </c>
      <c r="I350" t="e">
        <f>IF(MIS_Backend_Data!#REF!="", "", MIS_Backend_Data!#REF!)</f>
        <v>#REF!</v>
      </c>
      <c r="J350" t="str">
        <f>IF(MIS_Backend_Data!AD352="", "", MIS_Backend_Data!AD352)</f>
        <v/>
      </c>
      <c r="L350" t="str">
        <f>IF(MIS_Backend_Data!AF352="", "", MIS_Backend_Data!AF352)</f>
        <v/>
      </c>
      <c r="N350" t="e">
        <f>IF(MIS_Backend_Data!#REF!="", "", MIS_Backend_Data!#REF!)</f>
        <v>#REF!</v>
      </c>
    </row>
    <row r="351" spans="1:14" ht="14.5">
      <c r="A351">
        <v>347</v>
      </c>
      <c r="B351" s="145" t="e">
        <f>IF(MIS_Backend_Data!#REF!="", "", MIS_Backend_Data!#REF!)</f>
        <v>#REF!</v>
      </c>
      <c r="D351" t="str">
        <f>IF(MIS_Backend_Data!Q353="", "", MIS_Backend_Data!Q353)</f>
        <v/>
      </c>
      <c r="F351" t="e">
        <f>IF(MIS_Backend_Data!#REF!="", "", MIS_Backend_Data!#REF!)</f>
        <v>#REF!</v>
      </c>
      <c r="G351" t="str">
        <f>IF(MIS_Backend_Data!Y353="", "", MIS_Backend_Data!Y353)</f>
        <v/>
      </c>
      <c r="I351" t="e">
        <f>IF(MIS_Backend_Data!#REF!="", "", MIS_Backend_Data!#REF!)</f>
        <v>#REF!</v>
      </c>
      <c r="J351" t="str">
        <f>IF(MIS_Backend_Data!AD353="", "", MIS_Backend_Data!AD353)</f>
        <v/>
      </c>
      <c r="L351" t="str">
        <f>IF(MIS_Backend_Data!AF353="", "", MIS_Backend_Data!AF353)</f>
        <v/>
      </c>
      <c r="N351" t="e">
        <f>IF(MIS_Backend_Data!#REF!="", "", MIS_Backend_Data!#REF!)</f>
        <v>#REF!</v>
      </c>
    </row>
    <row r="352" spans="1:14" ht="14.5">
      <c r="A352">
        <v>348</v>
      </c>
      <c r="B352" s="145" t="e">
        <f>IF(MIS_Backend_Data!#REF!="", "", MIS_Backend_Data!#REF!)</f>
        <v>#REF!</v>
      </c>
      <c r="D352" t="str">
        <f>IF(MIS_Backend_Data!Q354="", "", MIS_Backend_Data!Q354)</f>
        <v/>
      </c>
      <c r="F352" t="e">
        <f>IF(MIS_Backend_Data!#REF!="", "", MIS_Backend_Data!#REF!)</f>
        <v>#REF!</v>
      </c>
      <c r="G352" t="str">
        <f>IF(MIS_Backend_Data!Y354="", "", MIS_Backend_Data!Y354)</f>
        <v/>
      </c>
      <c r="I352" t="e">
        <f>IF(MIS_Backend_Data!#REF!="", "", MIS_Backend_Data!#REF!)</f>
        <v>#REF!</v>
      </c>
      <c r="J352" t="str">
        <f>IF(MIS_Backend_Data!AD354="", "", MIS_Backend_Data!AD354)</f>
        <v/>
      </c>
      <c r="L352" t="str">
        <f>IF(MIS_Backend_Data!AF354="", "", MIS_Backend_Data!AF354)</f>
        <v/>
      </c>
      <c r="N352" t="e">
        <f>IF(MIS_Backend_Data!#REF!="", "", MIS_Backend_Data!#REF!)</f>
        <v>#REF!</v>
      </c>
    </row>
    <row r="353" spans="1:14" ht="14.5">
      <c r="A353">
        <v>349</v>
      </c>
      <c r="B353" s="145" t="e">
        <f>IF(MIS_Backend_Data!#REF!="", "", MIS_Backend_Data!#REF!)</f>
        <v>#REF!</v>
      </c>
      <c r="D353" t="str">
        <f>IF(MIS_Backend_Data!Q355="", "", MIS_Backend_Data!Q355)</f>
        <v/>
      </c>
      <c r="F353" t="e">
        <f>IF(MIS_Backend_Data!#REF!="", "", MIS_Backend_Data!#REF!)</f>
        <v>#REF!</v>
      </c>
      <c r="G353" t="str">
        <f>IF(MIS_Backend_Data!Y355="", "", MIS_Backend_Data!Y355)</f>
        <v/>
      </c>
      <c r="I353" t="e">
        <f>IF(MIS_Backend_Data!#REF!="", "", MIS_Backend_Data!#REF!)</f>
        <v>#REF!</v>
      </c>
      <c r="J353" t="str">
        <f>IF(MIS_Backend_Data!AD355="", "", MIS_Backend_Data!AD355)</f>
        <v/>
      </c>
      <c r="L353" t="str">
        <f>IF(MIS_Backend_Data!AF355="", "", MIS_Backend_Data!AF355)</f>
        <v/>
      </c>
      <c r="N353" t="e">
        <f>IF(MIS_Backend_Data!#REF!="", "", MIS_Backend_Data!#REF!)</f>
        <v>#REF!</v>
      </c>
    </row>
    <row r="354" spans="1:14" ht="14.5">
      <c r="A354">
        <v>350</v>
      </c>
      <c r="B354" s="145" t="e">
        <f>IF(MIS_Backend_Data!#REF!="", "", MIS_Backend_Data!#REF!)</f>
        <v>#REF!</v>
      </c>
      <c r="D354" t="str">
        <f>IF(MIS_Backend_Data!Q356="", "", MIS_Backend_Data!Q356)</f>
        <v/>
      </c>
      <c r="F354" t="e">
        <f>IF(MIS_Backend_Data!#REF!="", "", MIS_Backend_Data!#REF!)</f>
        <v>#REF!</v>
      </c>
      <c r="G354" t="str">
        <f>IF(MIS_Backend_Data!Y356="", "", MIS_Backend_Data!Y356)</f>
        <v/>
      </c>
      <c r="I354" t="e">
        <f>IF(MIS_Backend_Data!#REF!="", "", MIS_Backend_Data!#REF!)</f>
        <v>#REF!</v>
      </c>
      <c r="J354" t="str">
        <f>IF(MIS_Backend_Data!AD356="", "", MIS_Backend_Data!AD356)</f>
        <v/>
      </c>
      <c r="L354" t="str">
        <f>IF(MIS_Backend_Data!AF356="", "", MIS_Backend_Data!AF356)</f>
        <v/>
      </c>
      <c r="N354" t="e">
        <f>IF(MIS_Backend_Data!#REF!="", "", MIS_Backend_Data!#REF!)</f>
        <v>#REF!</v>
      </c>
    </row>
    <row r="355" spans="1:14" ht="14.5">
      <c r="A355">
        <v>351</v>
      </c>
      <c r="B355" s="145" t="e">
        <f>IF(MIS_Backend_Data!#REF!="", "", MIS_Backend_Data!#REF!)</f>
        <v>#REF!</v>
      </c>
      <c r="D355" t="str">
        <f>IF(MIS_Backend_Data!Q357="", "", MIS_Backend_Data!Q357)</f>
        <v/>
      </c>
      <c r="F355" t="e">
        <f>IF(MIS_Backend_Data!#REF!="", "", MIS_Backend_Data!#REF!)</f>
        <v>#REF!</v>
      </c>
      <c r="G355" t="str">
        <f>IF(MIS_Backend_Data!Y357="", "", MIS_Backend_Data!Y357)</f>
        <v/>
      </c>
      <c r="I355" t="e">
        <f>IF(MIS_Backend_Data!#REF!="", "", MIS_Backend_Data!#REF!)</f>
        <v>#REF!</v>
      </c>
      <c r="J355" t="str">
        <f>IF(MIS_Backend_Data!AD357="", "", MIS_Backend_Data!AD357)</f>
        <v/>
      </c>
      <c r="L355" t="str">
        <f>IF(MIS_Backend_Data!AF357="", "", MIS_Backend_Data!AF357)</f>
        <v/>
      </c>
      <c r="N355" t="e">
        <f>IF(MIS_Backend_Data!#REF!="", "", MIS_Backend_Data!#REF!)</f>
        <v>#REF!</v>
      </c>
    </row>
    <row r="356" spans="1:14" ht="14.5">
      <c r="A356">
        <v>352</v>
      </c>
      <c r="B356" s="145" t="e">
        <f>IF(MIS_Backend_Data!#REF!="", "", MIS_Backend_Data!#REF!)</f>
        <v>#REF!</v>
      </c>
      <c r="D356" t="str">
        <f>IF(MIS_Backend_Data!Q358="", "", MIS_Backend_Data!Q358)</f>
        <v/>
      </c>
      <c r="F356" t="e">
        <f>IF(MIS_Backend_Data!#REF!="", "", MIS_Backend_Data!#REF!)</f>
        <v>#REF!</v>
      </c>
      <c r="G356" t="str">
        <f>IF(MIS_Backend_Data!Y358="", "", MIS_Backend_Data!Y358)</f>
        <v/>
      </c>
      <c r="I356" t="e">
        <f>IF(MIS_Backend_Data!#REF!="", "", MIS_Backend_Data!#REF!)</f>
        <v>#REF!</v>
      </c>
      <c r="J356" t="str">
        <f>IF(MIS_Backend_Data!AD358="", "", MIS_Backend_Data!AD358)</f>
        <v/>
      </c>
      <c r="L356" t="str">
        <f>IF(MIS_Backend_Data!AF358="", "", MIS_Backend_Data!AF358)</f>
        <v/>
      </c>
      <c r="N356" t="e">
        <f>IF(MIS_Backend_Data!#REF!="", "", MIS_Backend_Data!#REF!)</f>
        <v>#REF!</v>
      </c>
    </row>
    <row r="357" spans="1:14" ht="14.5">
      <c r="A357">
        <v>353</v>
      </c>
      <c r="B357" s="145" t="e">
        <f>IF(MIS_Backend_Data!#REF!="", "", MIS_Backend_Data!#REF!)</f>
        <v>#REF!</v>
      </c>
      <c r="D357" t="str">
        <f>IF(MIS_Backend_Data!Q359="", "", MIS_Backend_Data!Q359)</f>
        <v/>
      </c>
      <c r="F357" t="e">
        <f>IF(MIS_Backend_Data!#REF!="", "", MIS_Backend_Data!#REF!)</f>
        <v>#REF!</v>
      </c>
      <c r="G357" t="str">
        <f>IF(MIS_Backend_Data!Y359="", "", MIS_Backend_Data!Y359)</f>
        <v/>
      </c>
      <c r="I357" t="e">
        <f>IF(MIS_Backend_Data!#REF!="", "", MIS_Backend_Data!#REF!)</f>
        <v>#REF!</v>
      </c>
      <c r="J357" t="str">
        <f>IF(MIS_Backend_Data!AD359="", "", MIS_Backend_Data!AD359)</f>
        <v/>
      </c>
      <c r="L357" t="str">
        <f>IF(MIS_Backend_Data!AF359="", "", MIS_Backend_Data!AF359)</f>
        <v/>
      </c>
      <c r="N357" t="e">
        <f>IF(MIS_Backend_Data!#REF!="", "", MIS_Backend_Data!#REF!)</f>
        <v>#REF!</v>
      </c>
    </row>
    <row r="358" spans="1:14" ht="14.5">
      <c r="A358">
        <v>354</v>
      </c>
      <c r="B358" s="145" t="e">
        <f>IF(MIS_Backend_Data!#REF!="", "", MIS_Backend_Data!#REF!)</f>
        <v>#REF!</v>
      </c>
      <c r="D358" t="str">
        <f>IF(MIS_Backend_Data!Q360="", "", MIS_Backend_Data!Q360)</f>
        <v/>
      </c>
      <c r="F358" t="e">
        <f>IF(MIS_Backend_Data!#REF!="", "", MIS_Backend_Data!#REF!)</f>
        <v>#REF!</v>
      </c>
      <c r="G358" t="str">
        <f>IF(MIS_Backend_Data!Y360="", "", MIS_Backend_Data!Y360)</f>
        <v/>
      </c>
      <c r="I358" t="e">
        <f>IF(MIS_Backend_Data!#REF!="", "", MIS_Backend_Data!#REF!)</f>
        <v>#REF!</v>
      </c>
      <c r="J358" t="str">
        <f>IF(MIS_Backend_Data!AD360="", "", MIS_Backend_Data!AD360)</f>
        <v/>
      </c>
      <c r="L358" t="str">
        <f>IF(MIS_Backend_Data!AF360="", "", MIS_Backend_Data!AF360)</f>
        <v/>
      </c>
      <c r="N358" t="e">
        <f>IF(MIS_Backend_Data!#REF!="", "", MIS_Backend_Data!#REF!)</f>
        <v>#REF!</v>
      </c>
    </row>
    <row r="359" spans="1:14" ht="14.5">
      <c r="A359">
        <v>355</v>
      </c>
      <c r="B359" s="145" t="e">
        <f>IF(MIS_Backend_Data!#REF!="", "", MIS_Backend_Data!#REF!)</f>
        <v>#REF!</v>
      </c>
      <c r="D359" t="str">
        <f>IF(MIS_Backend_Data!Q361="", "", MIS_Backend_Data!Q361)</f>
        <v/>
      </c>
      <c r="F359" t="e">
        <f>IF(MIS_Backend_Data!#REF!="", "", MIS_Backend_Data!#REF!)</f>
        <v>#REF!</v>
      </c>
      <c r="G359" t="str">
        <f>IF(MIS_Backend_Data!Y361="", "", MIS_Backend_Data!Y361)</f>
        <v/>
      </c>
      <c r="I359" t="e">
        <f>IF(MIS_Backend_Data!#REF!="", "", MIS_Backend_Data!#REF!)</f>
        <v>#REF!</v>
      </c>
      <c r="J359" t="str">
        <f>IF(MIS_Backend_Data!AD361="", "", MIS_Backend_Data!AD361)</f>
        <v/>
      </c>
      <c r="L359" t="str">
        <f>IF(MIS_Backend_Data!AF361="", "", MIS_Backend_Data!AF361)</f>
        <v/>
      </c>
      <c r="N359" t="e">
        <f>IF(MIS_Backend_Data!#REF!="", "", MIS_Backend_Data!#REF!)</f>
        <v>#REF!</v>
      </c>
    </row>
    <row r="360" spans="1:14" ht="14.5">
      <c r="A360">
        <v>356</v>
      </c>
      <c r="B360" s="145" t="e">
        <f>IF(MIS_Backend_Data!#REF!="", "", MIS_Backend_Data!#REF!)</f>
        <v>#REF!</v>
      </c>
      <c r="D360" t="str">
        <f>IF(MIS_Backend_Data!Q362="", "", MIS_Backend_Data!Q362)</f>
        <v/>
      </c>
      <c r="F360" t="e">
        <f>IF(MIS_Backend_Data!#REF!="", "", MIS_Backend_Data!#REF!)</f>
        <v>#REF!</v>
      </c>
      <c r="G360" t="str">
        <f>IF(MIS_Backend_Data!Y362="", "", MIS_Backend_Data!Y362)</f>
        <v/>
      </c>
      <c r="I360" t="e">
        <f>IF(MIS_Backend_Data!#REF!="", "", MIS_Backend_Data!#REF!)</f>
        <v>#REF!</v>
      </c>
      <c r="J360" t="str">
        <f>IF(MIS_Backend_Data!AD362="", "", MIS_Backend_Data!AD362)</f>
        <v/>
      </c>
      <c r="L360" t="str">
        <f>IF(MIS_Backend_Data!AF362="", "", MIS_Backend_Data!AF362)</f>
        <v/>
      </c>
      <c r="N360" t="e">
        <f>IF(MIS_Backend_Data!#REF!="", "", MIS_Backend_Data!#REF!)</f>
        <v>#REF!</v>
      </c>
    </row>
    <row r="361" spans="1:14" ht="14.5">
      <c r="A361">
        <v>357</v>
      </c>
      <c r="B361" s="145" t="e">
        <f>IF(MIS_Backend_Data!#REF!="", "", MIS_Backend_Data!#REF!)</f>
        <v>#REF!</v>
      </c>
      <c r="D361" t="str">
        <f>IF(MIS_Backend_Data!Q363="", "", MIS_Backend_Data!Q363)</f>
        <v/>
      </c>
      <c r="F361" t="e">
        <f>IF(MIS_Backend_Data!#REF!="", "", MIS_Backend_Data!#REF!)</f>
        <v>#REF!</v>
      </c>
      <c r="G361" t="str">
        <f>IF(MIS_Backend_Data!Y363="", "", MIS_Backend_Data!Y363)</f>
        <v/>
      </c>
      <c r="I361" t="e">
        <f>IF(MIS_Backend_Data!#REF!="", "", MIS_Backend_Data!#REF!)</f>
        <v>#REF!</v>
      </c>
      <c r="J361" t="str">
        <f>IF(MIS_Backend_Data!AD363="", "", MIS_Backend_Data!AD363)</f>
        <v/>
      </c>
      <c r="L361" t="str">
        <f>IF(MIS_Backend_Data!AF363="", "", MIS_Backend_Data!AF363)</f>
        <v/>
      </c>
      <c r="N361" t="e">
        <f>IF(MIS_Backend_Data!#REF!="", "", MIS_Backend_Data!#REF!)</f>
        <v>#REF!</v>
      </c>
    </row>
    <row r="362" spans="1:14" ht="14.5">
      <c r="A362">
        <v>358</v>
      </c>
      <c r="B362" s="145" t="e">
        <f>IF(MIS_Backend_Data!#REF!="", "", MIS_Backend_Data!#REF!)</f>
        <v>#REF!</v>
      </c>
      <c r="D362" t="str">
        <f>IF(MIS_Backend_Data!Q364="", "", MIS_Backend_Data!Q364)</f>
        <v/>
      </c>
      <c r="F362" t="e">
        <f>IF(MIS_Backend_Data!#REF!="", "", MIS_Backend_Data!#REF!)</f>
        <v>#REF!</v>
      </c>
      <c r="G362" t="str">
        <f>IF(MIS_Backend_Data!Y364="", "", MIS_Backend_Data!Y364)</f>
        <v/>
      </c>
      <c r="I362" t="e">
        <f>IF(MIS_Backend_Data!#REF!="", "", MIS_Backend_Data!#REF!)</f>
        <v>#REF!</v>
      </c>
      <c r="J362" t="str">
        <f>IF(MIS_Backend_Data!AD364="", "", MIS_Backend_Data!AD364)</f>
        <v/>
      </c>
      <c r="L362" t="str">
        <f>IF(MIS_Backend_Data!AF364="", "", MIS_Backend_Data!AF364)</f>
        <v/>
      </c>
      <c r="N362" t="e">
        <f>IF(MIS_Backend_Data!#REF!="", "", MIS_Backend_Data!#REF!)</f>
        <v>#REF!</v>
      </c>
    </row>
    <row r="363" spans="1:14" ht="14.5">
      <c r="A363">
        <v>359</v>
      </c>
      <c r="B363" s="145" t="e">
        <f>IF(MIS_Backend_Data!#REF!="", "", MIS_Backend_Data!#REF!)</f>
        <v>#REF!</v>
      </c>
      <c r="D363" t="str">
        <f>IF(MIS_Backend_Data!Q365="", "", MIS_Backend_Data!Q365)</f>
        <v/>
      </c>
      <c r="F363" t="e">
        <f>IF(MIS_Backend_Data!#REF!="", "", MIS_Backend_Data!#REF!)</f>
        <v>#REF!</v>
      </c>
      <c r="G363" t="str">
        <f>IF(MIS_Backend_Data!Y365="", "", MIS_Backend_Data!Y365)</f>
        <v/>
      </c>
      <c r="I363" t="e">
        <f>IF(MIS_Backend_Data!#REF!="", "", MIS_Backend_Data!#REF!)</f>
        <v>#REF!</v>
      </c>
      <c r="J363" t="str">
        <f>IF(MIS_Backend_Data!AD365="", "", MIS_Backend_Data!AD365)</f>
        <v/>
      </c>
      <c r="L363" t="str">
        <f>IF(MIS_Backend_Data!AF365="", "", MIS_Backend_Data!AF365)</f>
        <v/>
      </c>
      <c r="N363" t="e">
        <f>IF(MIS_Backend_Data!#REF!="", "", MIS_Backend_Data!#REF!)</f>
        <v>#REF!</v>
      </c>
    </row>
    <row r="364" spans="1:14" ht="14.5">
      <c r="A364">
        <v>360</v>
      </c>
      <c r="B364" s="145" t="e">
        <f>IF(MIS_Backend_Data!#REF!="", "", MIS_Backend_Data!#REF!)</f>
        <v>#REF!</v>
      </c>
      <c r="D364" t="str">
        <f>IF(MIS_Backend_Data!Q366="", "", MIS_Backend_Data!Q366)</f>
        <v/>
      </c>
      <c r="F364" t="e">
        <f>IF(MIS_Backend_Data!#REF!="", "", MIS_Backend_Data!#REF!)</f>
        <v>#REF!</v>
      </c>
      <c r="G364" t="str">
        <f>IF(MIS_Backend_Data!Y366="", "", MIS_Backend_Data!Y366)</f>
        <v/>
      </c>
      <c r="I364" t="e">
        <f>IF(MIS_Backend_Data!#REF!="", "", MIS_Backend_Data!#REF!)</f>
        <v>#REF!</v>
      </c>
      <c r="J364" t="str">
        <f>IF(MIS_Backend_Data!AD366="", "", MIS_Backend_Data!AD366)</f>
        <v/>
      </c>
      <c r="L364" t="str">
        <f>IF(MIS_Backend_Data!AF366="", "", MIS_Backend_Data!AF366)</f>
        <v/>
      </c>
      <c r="N364" t="e">
        <f>IF(MIS_Backend_Data!#REF!="", "", MIS_Backend_Data!#REF!)</f>
        <v>#REF!</v>
      </c>
    </row>
    <row r="365" spans="1:14" ht="14.5">
      <c r="A365">
        <v>361</v>
      </c>
      <c r="B365" s="145" t="e">
        <f>IF(MIS_Backend_Data!#REF!="", "", MIS_Backend_Data!#REF!)</f>
        <v>#REF!</v>
      </c>
      <c r="D365" t="str">
        <f>IF(MIS_Backend_Data!Q367="", "", MIS_Backend_Data!Q367)</f>
        <v/>
      </c>
      <c r="F365" t="e">
        <f>IF(MIS_Backend_Data!#REF!="", "", MIS_Backend_Data!#REF!)</f>
        <v>#REF!</v>
      </c>
      <c r="G365" t="str">
        <f>IF(MIS_Backend_Data!Y367="", "", MIS_Backend_Data!Y367)</f>
        <v/>
      </c>
      <c r="I365" t="e">
        <f>IF(MIS_Backend_Data!#REF!="", "", MIS_Backend_Data!#REF!)</f>
        <v>#REF!</v>
      </c>
      <c r="J365" t="str">
        <f>IF(MIS_Backend_Data!AD367="", "", MIS_Backend_Data!AD367)</f>
        <v/>
      </c>
      <c r="L365" t="str">
        <f>IF(MIS_Backend_Data!AF367="", "", MIS_Backend_Data!AF367)</f>
        <v/>
      </c>
      <c r="N365" t="e">
        <f>IF(MIS_Backend_Data!#REF!="", "", MIS_Backend_Data!#REF!)</f>
        <v>#REF!</v>
      </c>
    </row>
    <row r="366" spans="1:14" ht="14.5">
      <c r="A366">
        <v>362</v>
      </c>
      <c r="B366" s="145" t="e">
        <f>IF(MIS_Backend_Data!#REF!="", "", MIS_Backend_Data!#REF!)</f>
        <v>#REF!</v>
      </c>
      <c r="D366" t="str">
        <f>IF(MIS_Backend_Data!Q368="", "", MIS_Backend_Data!Q368)</f>
        <v/>
      </c>
      <c r="F366" t="e">
        <f>IF(MIS_Backend_Data!#REF!="", "", MIS_Backend_Data!#REF!)</f>
        <v>#REF!</v>
      </c>
      <c r="G366" t="str">
        <f>IF(MIS_Backend_Data!Y368="", "", MIS_Backend_Data!Y368)</f>
        <v/>
      </c>
      <c r="I366" t="e">
        <f>IF(MIS_Backend_Data!#REF!="", "", MIS_Backend_Data!#REF!)</f>
        <v>#REF!</v>
      </c>
      <c r="J366" t="str">
        <f>IF(MIS_Backend_Data!AD368="", "", MIS_Backend_Data!AD368)</f>
        <v/>
      </c>
      <c r="L366" t="str">
        <f>IF(MIS_Backend_Data!AF368="", "", MIS_Backend_Data!AF368)</f>
        <v/>
      </c>
      <c r="N366" t="e">
        <f>IF(MIS_Backend_Data!#REF!="", "", MIS_Backend_Data!#REF!)</f>
        <v>#REF!</v>
      </c>
    </row>
    <row r="367" spans="1:14" ht="14.5">
      <c r="A367">
        <v>363</v>
      </c>
      <c r="B367" s="145" t="e">
        <f>IF(MIS_Backend_Data!#REF!="", "", MIS_Backend_Data!#REF!)</f>
        <v>#REF!</v>
      </c>
      <c r="D367" t="str">
        <f>IF(MIS_Backend_Data!Q369="", "", MIS_Backend_Data!Q369)</f>
        <v/>
      </c>
      <c r="F367" t="e">
        <f>IF(MIS_Backend_Data!#REF!="", "", MIS_Backend_Data!#REF!)</f>
        <v>#REF!</v>
      </c>
      <c r="G367" t="str">
        <f>IF(MIS_Backend_Data!Y369="", "", MIS_Backend_Data!Y369)</f>
        <v/>
      </c>
      <c r="I367" t="e">
        <f>IF(MIS_Backend_Data!#REF!="", "", MIS_Backend_Data!#REF!)</f>
        <v>#REF!</v>
      </c>
      <c r="J367" t="str">
        <f>IF(MIS_Backend_Data!AD369="", "", MIS_Backend_Data!AD369)</f>
        <v/>
      </c>
      <c r="L367" t="str">
        <f>IF(MIS_Backend_Data!AF369="", "", MIS_Backend_Data!AF369)</f>
        <v/>
      </c>
      <c r="N367" t="e">
        <f>IF(MIS_Backend_Data!#REF!="", "", MIS_Backend_Data!#REF!)</f>
        <v>#REF!</v>
      </c>
    </row>
    <row r="368" spans="1:14" ht="14.5">
      <c r="A368">
        <v>364</v>
      </c>
      <c r="B368" s="145" t="e">
        <f>IF(MIS_Backend_Data!#REF!="", "", MIS_Backend_Data!#REF!)</f>
        <v>#REF!</v>
      </c>
      <c r="D368" t="str">
        <f>IF(MIS_Backend_Data!Q370="", "", MIS_Backend_Data!Q370)</f>
        <v/>
      </c>
      <c r="F368" t="e">
        <f>IF(MIS_Backend_Data!#REF!="", "", MIS_Backend_Data!#REF!)</f>
        <v>#REF!</v>
      </c>
      <c r="G368" t="str">
        <f>IF(MIS_Backend_Data!Y370="", "", MIS_Backend_Data!Y370)</f>
        <v/>
      </c>
      <c r="I368" t="e">
        <f>IF(MIS_Backend_Data!#REF!="", "", MIS_Backend_Data!#REF!)</f>
        <v>#REF!</v>
      </c>
      <c r="J368" t="str">
        <f>IF(MIS_Backend_Data!AD370="", "", MIS_Backend_Data!AD370)</f>
        <v/>
      </c>
      <c r="L368" t="str">
        <f>IF(MIS_Backend_Data!AF370="", "", MIS_Backend_Data!AF370)</f>
        <v/>
      </c>
      <c r="N368" t="e">
        <f>IF(MIS_Backend_Data!#REF!="", "", MIS_Backend_Data!#REF!)</f>
        <v>#REF!</v>
      </c>
    </row>
    <row r="369" spans="1:14" ht="14.5">
      <c r="A369">
        <v>365</v>
      </c>
      <c r="B369" s="145" t="e">
        <f>IF(MIS_Backend_Data!#REF!="", "", MIS_Backend_Data!#REF!)</f>
        <v>#REF!</v>
      </c>
      <c r="D369" t="str">
        <f>IF(MIS_Backend_Data!Q371="", "", MIS_Backend_Data!Q371)</f>
        <v/>
      </c>
      <c r="F369" t="e">
        <f>IF(MIS_Backend_Data!#REF!="", "", MIS_Backend_Data!#REF!)</f>
        <v>#REF!</v>
      </c>
      <c r="G369" t="str">
        <f>IF(MIS_Backend_Data!Y371="", "", MIS_Backend_Data!Y371)</f>
        <v/>
      </c>
      <c r="I369" t="e">
        <f>IF(MIS_Backend_Data!#REF!="", "", MIS_Backend_Data!#REF!)</f>
        <v>#REF!</v>
      </c>
      <c r="J369" t="str">
        <f>IF(MIS_Backend_Data!AD371="", "", MIS_Backend_Data!AD371)</f>
        <v/>
      </c>
      <c r="L369" t="str">
        <f>IF(MIS_Backend_Data!AF371="", "", MIS_Backend_Data!AF371)</f>
        <v/>
      </c>
      <c r="N369" t="e">
        <f>IF(MIS_Backend_Data!#REF!="", "", MIS_Backend_Data!#REF!)</f>
        <v>#REF!</v>
      </c>
    </row>
    <row r="370" spans="1:14" ht="14.5">
      <c r="A370">
        <v>366</v>
      </c>
      <c r="B370" s="145" t="e">
        <f>IF(MIS_Backend_Data!#REF!="", "", MIS_Backend_Data!#REF!)</f>
        <v>#REF!</v>
      </c>
      <c r="D370" t="str">
        <f>IF(MIS_Backend_Data!Q372="", "", MIS_Backend_Data!Q372)</f>
        <v/>
      </c>
      <c r="F370" t="e">
        <f>IF(MIS_Backend_Data!#REF!="", "", MIS_Backend_Data!#REF!)</f>
        <v>#REF!</v>
      </c>
      <c r="G370" t="str">
        <f>IF(MIS_Backend_Data!Y372="", "", MIS_Backend_Data!Y372)</f>
        <v/>
      </c>
      <c r="I370" t="e">
        <f>IF(MIS_Backend_Data!#REF!="", "", MIS_Backend_Data!#REF!)</f>
        <v>#REF!</v>
      </c>
      <c r="J370" t="str">
        <f>IF(MIS_Backend_Data!AD372="", "", MIS_Backend_Data!AD372)</f>
        <v/>
      </c>
      <c r="L370" t="str">
        <f>IF(MIS_Backend_Data!AF372="", "", MIS_Backend_Data!AF372)</f>
        <v/>
      </c>
      <c r="N370" t="e">
        <f>IF(MIS_Backend_Data!#REF!="", "", MIS_Backend_Data!#REF!)</f>
        <v>#REF!</v>
      </c>
    </row>
    <row r="371" spans="1:14" ht="14.5">
      <c r="A371">
        <v>367</v>
      </c>
      <c r="B371" s="145" t="e">
        <f>IF(MIS_Backend_Data!#REF!="", "", MIS_Backend_Data!#REF!)</f>
        <v>#REF!</v>
      </c>
      <c r="D371" t="str">
        <f>IF(MIS_Backend_Data!Q373="", "", MIS_Backend_Data!Q373)</f>
        <v/>
      </c>
      <c r="F371" t="e">
        <f>IF(MIS_Backend_Data!#REF!="", "", MIS_Backend_Data!#REF!)</f>
        <v>#REF!</v>
      </c>
      <c r="G371" t="str">
        <f>IF(MIS_Backend_Data!Y373="", "", MIS_Backend_Data!Y373)</f>
        <v/>
      </c>
      <c r="I371" t="e">
        <f>IF(MIS_Backend_Data!#REF!="", "", MIS_Backend_Data!#REF!)</f>
        <v>#REF!</v>
      </c>
      <c r="J371" t="str">
        <f>IF(MIS_Backend_Data!AD373="", "", MIS_Backend_Data!AD373)</f>
        <v/>
      </c>
      <c r="L371" t="str">
        <f>IF(MIS_Backend_Data!AF373="", "", MIS_Backend_Data!AF373)</f>
        <v/>
      </c>
      <c r="N371" t="e">
        <f>IF(MIS_Backend_Data!#REF!="", "", MIS_Backend_Data!#REF!)</f>
        <v>#REF!</v>
      </c>
    </row>
    <row r="372" spans="1:14" ht="14.5">
      <c r="A372">
        <v>368</v>
      </c>
      <c r="B372" s="145" t="e">
        <f>IF(MIS_Backend_Data!#REF!="", "", MIS_Backend_Data!#REF!)</f>
        <v>#REF!</v>
      </c>
      <c r="D372" t="str">
        <f>IF(MIS_Backend_Data!Q374="", "", MIS_Backend_Data!Q374)</f>
        <v/>
      </c>
      <c r="F372" t="e">
        <f>IF(MIS_Backend_Data!#REF!="", "", MIS_Backend_Data!#REF!)</f>
        <v>#REF!</v>
      </c>
      <c r="G372" t="str">
        <f>IF(MIS_Backend_Data!Y374="", "", MIS_Backend_Data!Y374)</f>
        <v/>
      </c>
      <c r="I372" t="e">
        <f>IF(MIS_Backend_Data!#REF!="", "", MIS_Backend_Data!#REF!)</f>
        <v>#REF!</v>
      </c>
      <c r="J372" t="str">
        <f>IF(MIS_Backend_Data!AD374="", "", MIS_Backend_Data!AD374)</f>
        <v/>
      </c>
      <c r="L372" t="str">
        <f>IF(MIS_Backend_Data!AF374="", "", MIS_Backend_Data!AF374)</f>
        <v/>
      </c>
      <c r="N372" t="e">
        <f>IF(MIS_Backend_Data!#REF!="", "", MIS_Backend_Data!#REF!)</f>
        <v>#REF!</v>
      </c>
    </row>
    <row r="373" spans="1:14" ht="14.5">
      <c r="A373">
        <v>369</v>
      </c>
      <c r="B373" s="145" t="e">
        <f>IF(MIS_Backend_Data!#REF!="", "", MIS_Backend_Data!#REF!)</f>
        <v>#REF!</v>
      </c>
      <c r="D373" t="str">
        <f>IF(MIS_Backend_Data!Q375="", "", MIS_Backend_Data!Q375)</f>
        <v/>
      </c>
      <c r="F373" t="e">
        <f>IF(MIS_Backend_Data!#REF!="", "", MIS_Backend_Data!#REF!)</f>
        <v>#REF!</v>
      </c>
      <c r="G373" t="str">
        <f>IF(MIS_Backend_Data!Y375="", "", MIS_Backend_Data!Y375)</f>
        <v/>
      </c>
      <c r="I373" t="e">
        <f>IF(MIS_Backend_Data!#REF!="", "", MIS_Backend_Data!#REF!)</f>
        <v>#REF!</v>
      </c>
      <c r="J373" t="str">
        <f>IF(MIS_Backend_Data!AD375="", "", MIS_Backend_Data!AD375)</f>
        <v/>
      </c>
      <c r="L373" t="str">
        <f>IF(MIS_Backend_Data!AF375="", "", MIS_Backend_Data!AF375)</f>
        <v/>
      </c>
      <c r="N373" t="e">
        <f>IF(MIS_Backend_Data!#REF!="", "", MIS_Backend_Data!#REF!)</f>
        <v>#REF!</v>
      </c>
    </row>
    <row r="374" spans="1:14" ht="14.5">
      <c r="A374">
        <v>370</v>
      </c>
      <c r="B374" s="145" t="e">
        <f>IF(MIS_Backend_Data!#REF!="", "", MIS_Backend_Data!#REF!)</f>
        <v>#REF!</v>
      </c>
      <c r="D374" t="str">
        <f>IF(MIS_Backend_Data!Q376="", "", MIS_Backend_Data!Q376)</f>
        <v/>
      </c>
      <c r="F374" t="e">
        <f>IF(MIS_Backend_Data!#REF!="", "", MIS_Backend_Data!#REF!)</f>
        <v>#REF!</v>
      </c>
      <c r="G374" t="str">
        <f>IF(MIS_Backend_Data!Y376="", "", MIS_Backend_Data!Y376)</f>
        <v/>
      </c>
      <c r="I374" t="e">
        <f>IF(MIS_Backend_Data!#REF!="", "", MIS_Backend_Data!#REF!)</f>
        <v>#REF!</v>
      </c>
      <c r="J374" t="str">
        <f>IF(MIS_Backend_Data!AD376="", "", MIS_Backend_Data!AD376)</f>
        <v/>
      </c>
      <c r="L374" t="str">
        <f>IF(MIS_Backend_Data!AF376="", "", MIS_Backend_Data!AF376)</f>
        <v/>
      </c>
      <c r="N374" t="e">
        <f>IF(MIS_Backend_Data!#REF!="", "", MIS_Backend_Data!#REF!)</f>
        <v>#REF!</v>
      </c>
    </row>
    <row r="375" spans="1:14" ht="14.5">
      <c r="A375">
        <v>371</v>
      </c>
      <c r="B375" s="145" t="e">
        <f>IF(MIS_Backend_Data!#REF!="", "", MIS_Backend_Data!#REF!)</f>
        <v>#REF!</v>
      </c>
      <c r="D375" t="str">
        <f>IF(MIS_Backend_Data!Q377="", "", MIS_Backend_Data!Q377)</f>
        <v/>
      </c>
      <c r="F375" t="e">
        <f>IF(MIS_Backend_Data!#REF!="", "", MIS_Backend_Data!#REF!)</f>
        <v>#REF!</v>
      </c>
      <c r="G375" t="str">
        <f>IF(MIS_Backend_Data!Y377="", "", MIS_Backend_Data!Y377)</f>
        <v/>
      </c>
      <c r="I375" t="e">
        <f>IF(MIS_Backend_Data!#REF!="", "", MIS_Backend_Data!#REF!)</f>
        <v>#REF!</v>
      </c>
      <c r="J375" t="str">
        <f>IF(MIS_Backend_Data!AD377="", "", MIS_Backend_Data!AD377)</f>
        <v/>
      </c>
      <c r="L375" t="str">
        <f>IF(MIS_Backend_Data!AF377="", "", MIS_Backend_Data!AF377)</f>
        <v/>
      </c>
      <c r="N375" t="e">
        <f>IF(MIS_Backend_Data!#REF!="", "", MIS_Backend_Data!#REF!)</f>
        <v>#REF!</v>
      </c>
    </row>
    <row r="376" spans="1:14" ht="14.5">
      <c r="A376">
        <v>372</v>
      </c>
      <c r="B376" s="145" t="e">
        <f>IF(MIS_Backend_Data!#REF!="", "", MIS_Backend_Data!#REF!)</f>
        <v>#REF!</v>
      </c>
      <c r="D376" t="str">
        <f>IF(MIS_Backend_Data!Q378="", "", MIS_Backend_Data!Q378)</f>
        <v/>
      </c>
      <c r="F376" t="e">
        <f>IF(MIS_Backend_Data!#REF!="", "", MIS_Backend_Data!#REF!)</f>
        <v>#REF!</v>
      </c>
      <c r="G376" t="str">
        <f>IF(MIS_Backend_Data!Y378="", "", MIS_Backend_Data!Y378)</f>
        <v/>
      </c>
      <c r="I376" t="e">
        <f>IF(MIS_Backend_Data!#REF!="", "", MIS_Backend_Data!#REF!)</f>
        <v>#REF!</v>
      </c>
      <c r="J376" t="str">
        <f>IF(MIS_Backend_Data!AD378="", "", MIS_Backend_Data!AD378)</f>
        <v/>
      </c>
      <c r="L376" t="str">
        <f>IF(MIS_Backend_Data!AF378="", "", MIS_Backend_Data!AF378)</f>
        <v/>
      </c>
      <c r="N376" t="e">
        <f>IF(MIS_Backend_Data!#REF!="", "", MIS_Backend_Data!#REF!)</f>
        <v>#REF!</v>
      </c>
    </row>
    <row r="377" spans="1:14" ht="14.5">
      <c r="A377">
        <v>373</v>
      </c>
      <c r="B377" s="145" t="e">
        <f>IF(MIS_Backend_Data!#REF!="", "", MIS_Backend_Data!#REF!)</f>
        <v>#REF!</v>
      </c>
      <c r="D377" t="str">
        <f>IF(MIS_Backend_Data!Q379="", "", MIS_Backend_Data!Q379)</f>
        <v/>
      </c>
      <c r="F377" t="e">
        <f>IF(MIS_Backend_Data!#REF!="", "", MIS_Backend_Data!#REF!)</f>
        <v>#REF!</v>
      </c>
      <c r="G377" t="str">
        <f>IF(MIS_Backend_Data!Y379="", "", MIS_Backend_Data!Y379)</f>
        <v/>
      </c>
      <c r="I377" t="e">
        <f>IF(MIS_Backend_Data!#REF!="", "", MIS_Backend_Data!#REF!)</f>
        <v>#REF!</v>
      </c>
      <c r="J377" t="str">
        <f>IF(MIS_Backend_Data!AD379="", "", MIS_Backend_Data!AD379)</f>
        <v/>
      </c>
      <c r="L377" t="str">
        <f>IF(MIS_Backend_Data!AF379="", "", MIS_Backend_Data!AF379)</f>
        <v/>
      </c>
      <c r="N377" t="e">
        <f>IF(MIS_Backend_Data!#REF!="", "", MIS_Backend_Data!#REF!)</f>
        <v>#REF!</v>
      </c>
    </row>
    <row r="378" spans="1:14" ht="14.5">
      <c r="A378">
        <v>374</v>
      </c>
      <c r="B378" s="145" t="e">
        <f>IF(MIS_Backend_Data!#REF!="", "", MIS_Backend_Data!#REF!)</f>
        <v>#REF!</v>
      </c>
      <c r="D378" t="str">
        <f>IF(MIS_Backend_Data!Q380="", "", MIS_Backend_Data!Q380)</f>
        <v/>
      </c>
      <c r="F378" t="e">
        <f>IF(MIS_Backend_Data!#REF!="", "", MIS_Backend_Data!#REF!)</f>
        <v>#REF!</v>
      </c>
      <c r="G378" t="str">
        <f>IF(MIS_Backend_Data!Y380="", "", MIS_Backend_Data!Y380)</f>
        <v/>
      </c>
      <c r="I378" t="e">
        <f>IF(MIS_Backend_Data!#REF!="", "", MIS_Backend_Data!#REF!)</f>
        <v>#REF!</v>
      </c>
      <c r="J378" t="str">
        <f>IF(MIS_Backend_Data!AD380="", "", MIS_Backend_Data!AD380)</f>
        <v/>
      </c>
      <c r="L378" t="str">
        <f>IF(MIS_Backend_Data!AF380="", "", MIS_Backend_Data!AF380)</f>
        <v/>
      </c>
      <c r="N378" t="e">
        <f>IF(MIS_Backend_Data!#REF!="", "", MIS_Backend_Data!#REF!)</f>
        <v>#REF!</v>
      </c>
    </row>
    <row r="379" spans="1:14" ht="14.5">
      <c r="A379">
        <v>375</v>
      </c>
      <c r="B379" s="145" t="e">
        <f>IF(MIS_Backend_Data!#REF!="", "", MIS_Backend_Data!#REF!)</f>
        <v>#REF!</v>
      </c>
      <c r="D379" t="str">
        <f>IF(MIS_Backend_Data!Q381="", "", MIS_Backend_Data!Q381)</f>
        <v/>
      </c>
      <c r="F379" t="e">
        <f>IF(MIS_Backend_Data!#REF!="", "", MIS_Backend_Data!#REF!)</f>
        <v>#REF!</v>
      </c>
      <c r="G379" t="str">
        <f>IF(MIS_Backend_Data!Y381="", "", MIS_Backend_Data!Y381)</f>
        <v/>
      </c>
      <c r="I379" t="e">
        <f>IF(MIS_Backend_Data!#REF!="", "", MIS_Backend_Data!#REF!)</f>
        <v>#REF!</v>
      </c>
      <c r="J379" t="str">
        <f>IF(MIS_Backend_Data!AD381="", "", MIS_Backend_Data!AD381)</f>
        <v/>
      </c>
      <c r="L379" t="str">
        <f>IF(MIS_Backend_Data!AF381="", "", MIS_Backend_Data!AF381)</f>
        <v/>
      </c>
      <c r="N379" t="e">
        <f>IF(MIS_Backend_Data!#REF!="", "", MIS_Backend_Data!#REF!)</f>
        <v>#REF!</v>
      </c>
    </row>
    <row r="380" spans="1:14" ht="14.5">
      <c r="A380">
        <v>376</v>
      </c>
      <c r="B380" s="145" t="e">
        <f>IF(MIS_Backend_Data!#REF!="", "", MIS_Backend_Data!#REF!)</f>
        <v>#REF!</v>
      </c>
      <c r="D380" t="str">
        <f>IF(MIS_Backend_Data!Q382="", "", MIS_Backend_Data!Q382)</f>
        <v/>
      </c>
      <c r="F380" t="e">
        <f>IF(MIS_Backend_Data!#REF!="", "", MIS_Backend_Data!#REF!)</f>
        <v>#REF!</v>
      </c>
      <c r="G380" t="str">
        <f>IF(MIS_Backend_Data!Y382="", "", MIS_Backend_Data!Y382)</f>
        <v/>
      </c>
      <c r="I380" t="e">
        <f>IF(MIS_Backend_Data!#REF!="", "", MIS_Backend_Data!#REF!)</f>
        <v>#REF!</v>
      </c>
      <c r="J380" t="str">
        <f>IF(MIS_Backend_Data!AD382="", "", MIS_Backend_Data!AD382)</f>
        <v/>
      </c>
      <c r="L380" t="str">
        <f>IF(MIS_Backend_Data!AF382="", "", MIS_Backend_Data!AF382)</f>
        <v/>
      </c>
      <c r="N380" t="e">
        <f>IF(MIS_Backend_Data!#REF!="", "", MIS_Backend_Data!#REF!)</f>
        <v>#REF!</v>
      </c>
    </row>
    <row r="381" spans="1:14" ht="14.5">
      <c r="A381">
        <v>377</v>
      </c>
      <c r="B381" s="145" t="e">
        <f>IF(MIS_Backend_Data!#REF!="", "", MIS_Backend_Data!#REF!)</f>
        <v>#REF!</v>
      </c>
      <c r="D381" t="str">
        <f>IF(MIS_Backend_Data!Q383="", "", MIS_Backend_Data!Q383)</f>
        <v/>
      </c>
      <c r="F381" t="e">
        <f>IF(MIS_Backend_Data!#REF!="", "", MIS_Backend_Data!#REF!)</f>
        <v>#REF!</v>
      </c>
      <c r="G381" t="str">
        <f>IF(MIS_Backend_Data!Y383="", "", MIS_Backend_Data!Y383)</f>
        <v/>
      </c>
      <c r="I381" t="e">
        <f>IF(MIS_Backend_Data!#REF!="", "", MIS_Backend_Data!#REF!)</f>
        <v>#REF!</v>
      </c>
      <c r="J381" t="str">
        <f>IF(MIS_Backend_Data!AD383="", "", MIS_Backend_Data!AD383)</f>
        <v/>
      </c>
      <c r="L381" t="str">
        <f>IF(MIS_Backend_Data!AF383="", "", MIS_Backend_Data!AF383)</f>
        <v/>
      </c>
      <c r="N381" t="e">
        <f>IF(MIS_Backend_Data!#REF!="", "", MIS_Backend_Data!#REF!)</f>
        <v>#REF!</v>
      </c>
    </row>
    <row r="382" spans="1:14" ht="14.5">
      <c r="A382">
        <v>378</v>
      </c>
      <c r="B382" s="145" t="e">
        <f>IF(MIS_Backend_Data!#REF!="", "", MIS_Backend_Data!#REF!)</f>
        <v>#REF!</v>
      </c>
      <c r="D382" t="str">
        <f>IF(MIS_Backend_Data!Q384="", "", MIS_Backend_Data!Q384)</f>
        <v/>
      </c>
      <c r="F382" t="e">
        <f>IF(MIS_Backend_Data!#REF!="", "", MIS_Backend_Data!#REF!)</f>
        <v>#REF!</v>
      </c>
      <c r="G382" t="str">
        <f>IF(MIS_Backend_Data!Y384="", "", MIS_Backend_Data!Y384)</f>
        <v/>
      </c>
      <c r="I382" t="e">
        <f>IF(MIS_Backend_Data!#REF!="", "", MIS_Backend_Data!#REF!)</f>
        <v>#REF!</v>
      </c>
      <c r="J382" t="str">
        <f>IF(MIS_Backend_Data!AD384="", "", MIS_Backend_Data!AD384)</f>
        <v/>
      </c>
      <c r="L382" t="str">
        <f>IF(MIS_Backend_Data!AF384="", "", MIS_Backend_Data!AF384)</f>
        <v/>
      </c>
      <c r="N382" t="e">
        <f>IF(MIS_Backend_Data!#REF!="", "", MIS_Backend_Data!#REF!)</f>
        <v>#REF!</v>
      </c>
    </row>
    <row r="383" spans="1:14" ht="14.5">
      <c r="A383">
        <v>379</v>
      </c>
      <c r="B383" s="145" t="e">
        <f>IF(MIS_Backend_Data!#REF!="", "", MIS_Backend_Data!#REF!)</f>
        <v>#REF!</v>
      </c>
      <c r="D383" t="str">
        <f>IF(MIS_Backend_Data!Q385="", "", MIS_Backend_Data!Q385)</f>
        <v/>
      </c>
      <c r="F383" t="e">
        <f>IF(MIS_Backend_Data!#REF!="", "", MIS_Backend_Data!#REF!)</f>
        <v>#REF!</v>
      </c>
      <c r="G383" t="str">
        <f>IF(MIS_Backend_Data!Y385="", "", MIS_Backend_Data!Y385)</f>
        <v/>
      </c>
      <c r="I383" t="e">
        <f>IF(MIS_Backend_Data!#REF!="", "", MIS_Backend_Data!#REF!)</f>
        <v>#REF!</v>
      </c>
      <c r="J383" t="str">
        <f>IF(MIS_Backend_Data!AD385="", "", MIS_Backend_Data!AD385)</f>
        <v/>
      </c>
      <c r="L383" t="str">
        <f>IF(MIS_Backend_Data!AF385="", "", MIS_Backend_Data!AF385)</f>
        <v/>
      </c>
      <c r="N383" t="e">
        <f>IF(MIS_Backend_Data!#REF!="", "", MIS_Backend_Data!#REF!)</f>
        <v>#REF!</v>
      </c>
    </row>
    <row r="384" spans="1:14" ht="14.5">
      <c r="A384">
        <v>380</v>
      </c>
      <c r="B384" s="145" t="e">
        <f>IF(MIS_Backend_Data!#REF!="", "", MIS_Backend_Data!#REF!)</f>
        <v>#REF!</v>
      </c>
      <c r="D384" t="str">
        <f>IF(MIS_Backend_Data!Q386="", "", MIS_Backend_Data!Q386)</f>
        <v/>
      </c>
      <c r="F384" t="e">
        <f>IF(MIS_Backend_Data!#REF!="", "", MIS_Backend_Data!#REF!)</f>
        <v>#REF!</v>
      </c>
      <c r="G384" t="str">
        <f>IF(MIS_Backend_Data!Y386="", "", MIS_Backend_Data!Y386)</f>
        <v/>
      </c>
      <c r="I384" t="e">
        <f>IF(MIS_Backend_Data!#REF!="", "", MIS_Backend_Data!#REF!)</f>
        <v>#REF!</v>
      </c>
      <c r="J384" t="str">
        <f>IF(MIS_Backend_Data!AD386="", "", MIS_Backend_Data!AD386)</f>
        <v/>
      </c>
      <c r="L384" t="str">
        <f>IF(MIS_Backend_Data!AF386="", "", MIS_Backend_Data!AF386)</f>
        <v/>
      </c>
      <c r="N384" t="e">
        <f>IF(MIS_Backend_Data!#REF!="", "", MIS_Backend_Data!#REF!)</f>
        <v>#REF!</v>
      </c>
    </row>
    <row r="385" spans="1:14" ht="14.5">
      <c r="A385">
        <v>381</v>
      </c>
      <c r="B385" s="145" t="e">
        <f>IF(MIS_Backend_Data!#REF!="", "", MIS_Backend_Data!#REF!)</f>
        <v>#REF!</v>
      </c>
      <c r="D385" t="str">
        <f>IF(MIS_Backend_Data!Q387="", "", MIS_Backend_Data!Q387)</f>
        <v/>
      </c>
      <c r="F385" t="e">
        <f>IF(MIS_Backend_Data!#REF!="", "", MIS_Backend_Data!#REF!)</f>
        <v>#REF!</v>
      </c>
      <c r="G385" t="str">
        <f>IF(MIS_Backend_Data!Y387="", "", MIS_Backend_Data!Y387)</f>
        <v/>
      </c>
      <c r="I385" t="e">
        <f>IF(MIS_Backend_Data!#REF!="", "", MIS_Backend_Data!#REF!)</f>
        <v>#REF!</v>
      </c>
      <c r="J385" t="str">
        <f>IF(MIS_Backend_Data!AD387="", "", MIS_Backend_Data!AD387)</f>
        <v/>
      </c>
      <c r="L385" t="str">
        <f>IF(MIS_Backend_Data!AF387="", "", MIS_Backend_Data!AF387)</f>
        <v/>
      </c>
      <c r="N385" t="e">
        <f>IF(MIS_Backend_Data!#REF!="", "", MIS_Backend_Data!#REF!)</f>
        <v>#REF!</v>
      </c>
    </row>
    <row r="386" spans="1:14" ht="14.5">
      <c r="A386">
        <v>382</v>
      </c>
      <c r="B386" s="145" t="e">
        <f>IF(MIS_Backend_Data!#REF!="", "", MIS_Backend_Data!#REF!)</f>
        <v>#REF!</v>
      </c>
      <c r="D386" t="str">
        <f>IF(MIS_Backend_Data!Q388="", "", MIS_Backend_Data!Q388)</f>
        <v/>
      </c>
      <c r="F386" t="e">
        <f>IF(MIS_Backend_Data!#REF!="", "", MIS_Backend_Data!#REF!)</f>
        <v>#REF!</v>
      </c>
      <c r="G386" t="str">
        <f>IF(MIS_Backend_Data!Y388="", "", MIS_Backend_Data!Y388)</f>
        <v/>
      </c>
      <c r="I386" t="e">
        <f>IF(MIS_Backend_Data!#REF!="", "", MIS_Backend_Data!#REF!)</f>
        <v>#REF!</v>
      </c>
      <c r="J386" t="str">
        <f>IF(MIS_Backend_Data!AD388="", "", MIS_Backend_Data!AD388)</f>
        <v/>
      </c>
      <c r="L386" t="str">
        <f>IF(MIS_Backend_Data!AF388="", "", MIS_Backend_Data!AF388)</f>
        <v/>
      </c>
      <c r="N386" t="e">
        <f>IF(MIS_Backend_Data!#REF!="", "", MIS_Backend_Data!#REF!)</f>
        <v>#REF!</v>
      </c>
    </row>
    <row r="387" spans="1:14" ht="14.5">
      <c r="A387">
        <v>383</v>
      </c>
      <c r="B387" s="145" t="e">
        <f>IF(MIS_Backend_Data!#REF!="", "", MIS_Backend_Data!#REF!)</f>
        <v>#REF!</v>
      </c>
      <c r="D387" t="str">
        <f>IF(MIS_Backend_Data!Q389="", "", MIS_Backend_Data!Q389)</f>
        <v/>
      </c>
      <c r="F387" t="e">
        <f>IF(MIS_Backend_Data!#REF!="", "", MIS_Backend_Data!#REF!)</f>
        <v>#REF!</v>
      </c>
      <c r="G387" t="str">
        <f>IF(MIS_Backend_Data!Y389="", "", MIS_Backend_Data!Y389)</f>
        <v/>
      </c>
      <c r="I387" t="e">
        <f>IF(MIS_Backend_Data!#REF!="", "", MIS_Backend_Data!#REF!)</f>
        <v>#REF!</v>
      </c>
      <c r="J387" t="str">
        <f>IF(MIS_Backend_Data!AD389="", "", MIS_Backend_Data!AD389)</f>
        <v/>
      </c>
      <c r="L387" t="str">
        <f>IF(MIS_Backend_Data!AF389="", "", MIS_Backend_Data!AF389)</f>
        <v/>
      </c>
      <c r="N387" t="e">
        <f>IF(MIS_Backend_Data!#REF!="", "", MIS_Backend_Data!#REF!)</f>
        <v>#REF!</v>
      </c>
    </row>
    <row r="388" spans="1:14" ht="14.5">
      <c r="A388">
        <v>384</v>
      </c>
      <c r="B388" s="145" t="e">
        <f>IF(MIS_Backend_Data!#REF!="", "", MIS_Backend_Data!#REF!)</f>
        <v>#REF!</v>
      </c>
      <c r="D388" t="str">
        <f>IF(MIS_Backend_Data!Q390="", "", MIS_Backend_Data!Q390)</f>
        <v/>
      </c>
      <c r="F388" t="e">
        <f>IF(MIS_Backend_Data!#REF!="", "", MIS_Backend_Data!#REF!)</f>
        <v>#REF!</v>
      </c>
      <c r="G388" t="str">
        <f>IF(MIS_Backend_Data!Y390="", "", MIS_Backend_Data!Y390)</f>
        <v/>
      </c>
      <c r="I388" t="e">
        <f>IF(MIS_Backend_Data!#REF!="", "", MIS_Backend_Data!#REF!)</f>
        <v>#REF!</v>
      </c>
      <c r="J388" t="str">
        <f>IF(MIS_Backend_Data!AD390="", "", MIS_Backend_Data!AD390)</f>
        <v/>
      </c>
      <c r="L388" t="str">
        <f>IF(MIS_Backend_Data!AF390="", "", MIS_Backend_Data!AF390)</f>
        <v/>
      </c>
      <c r="N388" t="e">
        <f>IF(MIS_Backend_Data!#REF!="", "", MIS_Backend_Data!#REF!)</f>
        <v>#REF!</v>
      </c>
    </row>
    <row r="389" spans="1:14" ht="14.5">
      <c r="A389">
        <v>385</v>
      </c>
      <c r="B389" s="145" t="e">
        <f>IF(MIS_Backend_Data!#REF!="", "", MIS_Backend_Data!#REF!)</f>
        <v>#REF!</v>
      </c>
      <c r="D389" t="str">
        <f>IF(MIS_Backend_Data!Q391="", "", MIS_Backend_Data!Q391)</f>
        <v/>
      </c>
      <c r="F389" t="e">
        <f>IF(MIS_Backend_Data!#REF!="", "", MIS_Backend_Data!#REF!)</f>
        <v>#REF!</v>
      </c>
      <c r="G389" t="str">
        <f>IF(MIS_Backend_Data!Y391="", "", MIS_Backend_Data!Y391)</f>
        <v/>
      </c>
      <c r="I389" t="e">
        <f>IF(MIS_Backend_Data!#REF!="", "", MIS_Backend_Data!#REF!)</f>
        <v>#REF!</v>
      </c>
      <c r="J389" t="str">
        <f>IF(MIS_Backend_Data!AD391="", "", MIS_Backend_Data!AD391)</f>
        <v/>
      </c>
      <c r="L389" t="str">
        <f>IF(MIS_Backend_Data!AF391="", "", MIS_Backend_Data!AF391)</f>
        <v/>
      </c>
      <c r="N389" t="e">
        <f>IF(MIS_Backend_Data!#REF!="", "", MIS_Backend_Data!#REF!)</f>
        <v>#REF!</v>
      </c>
    </row>
    <row r="390" spans="1:14" ht="14.5">
      <c r="A390">
        <v>386</v>
      </c>
      <c r="B390" s="145" t="e">
        <f>IF(MIS_Backend_Data!#REF!="", "", MIS_Backend_Data!#REF!)</f>
        <v>#REF!</v>
      </c>
      <c r="D390" t="str">
        <f>IF(MIS_Backend_Data!Q392="", "", MIS_Backend_Data!Q392)</f>
        <v/>
      </c>
      <c r="F390" t="e">
        <f>IF(MIS_Backend_Data!#REF!="", "", MIS_Backend_Data!#REF!)</f>
        <v>#REF!</v>
      </c>
      <c r="G390" t="str">
        <f>IF(MIS_Backend_Data!Y392="", "", MIS_Backend_Data!Y392)</f>
        <v/>
      </c>
      <c r="I390" t="e">
        <f>IF(MIS_Backend_Data!#REF!="", "", MIS_Backend_Data!#REF!)</f>
        <v>#REF!</v>
      </c>
      <c r="J390" t="str">
        <f>IF(MIS_Backend_Data!AD392="", "", MIS_Backend_Data!AD392)</f>
        <v/>
      </c>
      <c r="L390" t="str">
        <f>IF(MIS_Backend_Data!AF392="", "", MIS_Backend_Data!AF392)</f>
        <v/>
      </c>
      <c r="N390" t="e">
        <f>IF(MIS_Backend_Data!#REF!="", "", MIS_Backend_Data!#REF!)</f>
        <v>#REF!</v>
      </c>
    </row>
    <row r="391" spans="1:14" ht="14.5">
      <c r="A391">
        <v>387</v>
      </c>
      <c r="B391" s="145" t="e">
        <f>IF(MIS_Backend_Data!#REF!="", "", MIS_Backend_Data!#REF!)</f>
        <v>#REF!</v>
      </c>
      <c r="D391" t="str">
        <f>IF(MIS_Backend_Data!Q393="", "", MIS_Backend_Data!Q393)</f>
        <v/>
      </c>
      <c r="F391" t="e">
        <f>IF(MIS_Backend_Data!#REF!="", "", MIS_Backend_Data!#REF!)</f>
        <v>#REF!</v>
      </c>
      <c r="G391" t="str">
        <f>IF(MIS_Backend_Data!Y393="", "", MIS_Backend_Data!Y393)</f>
        <v/>
      </c>
      <c r="I391" t="e">
        <f>IF(MIS_Backend_Data!#REF!="", "", MIS_Backend_Data!#REF!)</f>
        <v>#REF!</v>
      </c>
      <c r="J391" t="str">
        <f>IF(MIS_Backend_Data!AD393="", "", MIS_Backend_Data!AD393)</f>
        <v/>
      </c>
      <c r="L391" t="str">
        <f>IF(MIS_Backend_Data!AF393="", "", MIS_Backend_Data!AF393)</f>
        <v/>
      </c>
      <c r="N391" t="e">
        <f>IF(MIS_Backend_Data!#REF!="", "", MIS_Backend_Data!#REF!)</f>
        <v>#REF!</v>
      </c>
    </row>
    <row r="392" spans="1:14" ht="14.5">
      <c r="A392">
        <v>388</v>
      </c>
      <c r="B392" s="145" t="e">
        <f>IF(MIS_Backend_Data!#REF!="", "", MIS_Backend_Data!#REF!)</f>
        <v>#REF!</v>
      </c>
      <c r="D392" t="str">
        <f>IF(MIS_Backend_Data!Q394="", "", MIS_Backend_Data!Q394)</f>
        <v/>
      </c>
      <c r="F392" t="e">
        <f>IF(MIS_Backend_Data!#REF!="", "", MIS_Backend_Data!#REF!)</f>
        <v>#REF!</v>
      </c>
      <c r="G392" t="str">
        <f>IF(MIS_Backend_Data!Y394="", "", MIS_Backend_Data!Y394)</f>
        <v/>
      </c>
      <c r="I392" t="e">
        <f>IF(MIS_Backend_Data!#REF!="", "", MIS_Backend_Data!#REF!)</f>
        <v>#REF!</v>
      </c>
      <c r="J392" t="str">
        <f>IF(MIS_Backend_Data!AD394="", "", MIS_Backend_Data!AD394)</f>
        <v/>
      </c>
      <c r="L392" t="str">
        <f>IF(MIS_Backend_Data!AF394="", "", MIS_Backend_Data!AF394)</f>
        <v/>
      </c>
      <c r="N392" t="e">
        <f>IF(MIS_Backend_Data!#REF!="", "", MIS_Backend_Data!#REF!)</f>
        <v>#REF!</v>
      </c>
    </row>
    <row r="393" spans="1:14" ht="14.5">
      <c r="A393">
        <v>389</v>
      </c>
      <c r="B393" s="145" t="e">
        <f>IF(MIS_Backend_Data!#REF!="", "", MIS_Backend_Data!#REF!)</f>
        <v>#REF!</v>
      </c>
      <c r="D393" t="str">
        <f>IF(MIS_Backend_Data!Q395="", "", MIS_Backend_Data!Q395)</f>
        <v/>
      </c>
      <c r="F393" t="e">
        <f>IF(MIS_Backend_Data!#REF!="", "", MIS_Backend_Data!#REF!)</f>
        <v>#REF!</v>
      </c>
      <c r="G393" t="str">
        <f>IF(MIS_Backend_Data!Y395="", "", MIS_Backend_Data!Y395)</f>
        <v/>
      </c>
      <c r="I393" t="e">
        <f>IF(MIS_Backend_Data!#REF!="", "", MIS_Backend_Data!#REF!)</f>
        <v>#REF!</v>
      </c>
      <c r="J393" t="str">
        <f>IF(MIS_Backend_Data!AD395="", "", MIS_Backend_Data!AD395)</f>
        <v/>
      </c>
      <c r="L393" t="str">
        <f>IF(MIS_Backend_Data!AF395="", "", MIS_Backend_Data!AF395)</f>
        <v/>
      </c>
      <c r="N393" t="e">
        <f>IF(MIS_Backend_Data!#REF!="", "", MIS_Backend_Data!#REF!)</f>
        <v>#REF!</v>
      </c>
    </row>
    <row r="394" spans="1:14" ht="14.5">
      <c r="A394">
        <v>390</v>
      </c>
      <c r="B394" s="145" t="e">
        <f>IF(MIS_Backend_Data!#REF!="", "", MIS_Backend_Data!#REF!)</f>
        <v>#REF!</v>
      </c>
      <c r="D394" t="str">
        <f>IF(MIS_Backend_Data!Q396="", "", MIS_Backend_Data!Q396)</f>
        <v/>
      </c>
      <c r="F394" t="e">
        <f>IF(MIS_Backend_Data!#REF!="", "", MIS_Backend_Data!#REF!)</f>
        <v>#REF!</v>
      </c>
      <c r="G394" t="str">
        <f>IF(MIS_Backend_Data!Y396="", "", MIS_Backend_Data!Y396)</f>
        <v/>
      </c>
      <c r="I394" t="e">
        <f>IF(MIS_Backend_Data!#REF!="", "", MIS_Backend_Data!#REF!)</f>
        <v>#REF!</v>
      </c>
      <c r="J394" t="str">
        <f>IF(MIS_Backend_Data!AD396="", "", MIS_Backend_Data!AD396)</f>
        <v/>
      </c>
      <c r="L394" t="str">
        <f>IF(MIS_Backend_Data!AF396="", "", MIS_Backend_Data!AF396)</f>
        <v/>
      </c>
      <c r="N394" t="e">
        <f>IF(MIS_Backend_Data!#REF!="", "", MIS_Backend_Data!#REF!)</f>
        <v>#REF!</v>
      </c>
    </row>
    <row r="395" spans="1:14" ht="14.5">
      <c r="A395">
        <v>391</v>
      </c>
      <c r="B395" s="145" t="e">
        <f>IF(MIS_Backend_Data!#REF!="", "", MIS_Backend_Data!#REF!)</f>
        <v>#REF!</v>
      </c>
      <c r="D395" t="str">
        <f>IF(MIS_Backend_Data!Q397="", "", MIS_Backend_Data!Q397)</f>
        <v/>
      </c>
      <c r="F395" t="e">
        <f>IF(MIS_Backend_Data!#REF!="", "", MIS_Backend_Data!#REF!)</f>
        <v>#REF!</v>
      </c>
      <c r="G395" t="str">
        <f>IF(MIS_Backend_Data!Y397="", "", MIS_Backend_Data!Y397)</f>
        <v/>
      </c>
      <c r="I395" t="e">
        <f>IF(MIS_Backend_Data!#REF!="", "", MIS_Backend_Data!#REF!)</f>
        <v>#REF!</v>
      </c>
      <c r="J395" t="str">
        <f>IF(MIS_Backend_Data!AD397="", "", MIS_Backend_Data!AD397)</f>
        <v/>
      </c>
      <c r="L395" t="str">
        <f>IF(MIS_Backend_Data!AF397="", "", MIS_Backend_Data!AF397)</f>
        <v/>
      </c>
      <c r="N395" t="e">
        <f>IF(MIS_Backend_Data!#REF!="", "", MIS_Backend_Data!#REF!)</f>
        <v>#REF!</v>
      </c>
    </row>
    <row r="396" spans="1:14" ht="14.5">
      <c r="A396">
        <v>392</v>
      </c>
      <c r="B396" s="145" t="e">
        <f>IF(MIS_Backend_Data!#REF!="", "", MIS_Backend_Data!#REF!)</f>
        <v>#REF!</v>
      </c>
      <c r="D396" t="str">
        <f>IF(MIS_Backend_Data!Q398="", "", MIS_Backend_Data!Q398)</f>
        <v/>
      </c>
      <c r="F396" t="e">
        <f>IF(MIS_Backend_Data!#REF!="", "", MIS_Backend_Data!#REF!)</f>
        <v>#REF!</v>
      </c>
      <c r="G396" t="str">
        <f>IF(MIS_Backend_Data!Y398="", "", MIS_Backend_Data!Y398)</f>
        <v/>
      </c>
      <c r="I396" t="e">
        <f>IF(MIS_Backend_Data!#REF!="", "", MIS_Backend_Data!#REF!)</f>
        <v>#REF!</v>
      </c>
      <c r="J396" t="str">
        <f>IF(MIS_Backend_Data!AD398="", "", MIS_Backend_Data!AD398)</f>
        <v/>
      </c>
      <c r="L396" t="str">
        <f>IF(MIS_Backend_Data!AF398="", "", MIS_Backend_Data!AF398)</f>
        <v/>
      </c>
      <c r="N396" t="e">
        <f>IF(MIS_Backend_Data!#REF!="", "", MIS_Backend_Data!#REF!)</f>
        <v>#REF!</v>
      </c>
    </row>
    <row r="397" spans="1:14" ht="14.5">
      <c r="A397">
        <v>393</v>
      </c>
      <c r="B397" s="145" t="e">
        <f>IF(MIS_Backend_Data!#REF!="", "", MIS_Backend_Data!#REF!)</f>
        <v>#REF!</v>
      </c>
      <c r="D397" t="str">
        <f>IF(MIS_Backend_Data!Q399="", "", MIS_Backend_Data!Q399)</f>
        <v/>
      </c>
      <c r="F397" t="e">
        <f>IF(MIS_Backend_Data!#REF!="", "", MIS_Backend_Data!#REF!)</f>
        <v>#REF!</v>
      </c>
      <c r="G397" t="str">
        <f>IF(MIS_Backend_Data!Y399="", "", MIS_Backend_Data!Y399)</f>
        <v/>
      </c>
      <c r="I397" t="e">
        <f>IF(MIS_Backend_Data!#REF!="", "", MIS_Backend_Data!#REF!)</f>
        <v>#REF!</v>
      </c>
      <c r="J397" t="str">
        <f>IF(MIS_Backend_Data!AD399="", "", MIS_Backend_Data!AD399)</f>
        <v/>
      </c>
      <c r="L397" t="str">
        <f>IF(MIS_Backend_Data!AF399="", "", MIS_Backend_Data!AF399)</f>
        <v/>
      </c>
      <c r="N397" t="e">
        <f>IF(MIS_Backend_Data!#REF!="", "", MIS_Backend_Data!#REF!)</f>
        <v>#REF!</v>
      </c>
    </row>
    <row r="398" spans="1:14" ht="14.5">
      <c r="A398">
        <v>394</v>
      </c>
      <c r="B398" s="145" t="e">
        <f>IF(MIS_Backend_Data!#REF!="", "", MIS_Backend_Data!#REF!)</f>
        <v>#REF!</v>
      </c>
      <c r="D398" t="str">
        <f>IF(MIS_Backend_Data!Q400="", "", MIS_Backend_Data!Q400)</f>
        <v/>
      </c>
      <c r="F398" t="e">
        <f>IF(MIS_Backend_Data!#REF!="", "", MIS_Backend_Data!#REF!)</f>
        <v>#REF!</v>
      </c>
      <c r="G398" t="str">
        <f>IF(MIS_Backend_Data!Y400="", "", MIS_Backend_Data!Y400)</f>
        <v/>
      </c>
      <c r="I398" t="e">
        <f>IF(MIS_Backend_Data!#REF!="", "", MIS_Backend_Data!#REF!)</f>
        <v>#REF!</v>
      </c>
      <c r="J398" t="str">
        <f>IF(MIS_Backend_Data!AD400="", "", MIS_Backend_Data!AD400)</f>
        <v/>
      </c>
      <c r="L398" t="str">
        <f>IF(MIS_Backend_Data!AF400="", "", MIS_Backend_Data!AF400)</f>
        <v/>
      </c>
      <c r="N398" t="e">
        <f>IF(MIS_Backend_Data!#REF!="", "", MIS_Backend_Data!#REF!)</f>
        <v>#REF!</v>
      </c>
    </row>
    <row r="399" spans="1:14" ht="14.5">
      <c r="A399">
        <v>395</v>
      </c>
      <c r="B399" s="145" t="e">
        <f>IF(MIS_Backend_Data!#REF!="", "", MIS_Backend_Data!#REF!)</f>
        <v>#REF!</v>
      </c>
      <c r="D399" t="str">
        <f>IF(MIS_Backend_Data!Q401="", "", MIS_Backend_Data!Q401)</f>
        <v/>
      </c>
      <c r="F399" t="e">
        <f>IF(MIS_Backend_Data!#REF!="", "", MIS_Backend_Data!#REF!)</f>
        <v>#REF!</v>
      </c>
      <c r="G399" t="str">
        <f>IF(MIS_Backend_Data!Y401="", "", MIS_Backend_Data!Y401)</f>
        <v/>
      </c>
      <c r="I399" t="e">
        <f>IF(MIS_Backend_Data!#REF!="", "", MIS_Backend_Data!#REF!)</f>
        <v>#REF!</v>
      </c>
      <c r="J399" t="str">
        <f>IF(MIS_Backend_Data!AD401="", "", MIS_Backend_Data!AD401)</f>
        <v/>
      </c>
      <c r="L399" t="str">
        <f>IF(MIS_Backend_Data!AF401="", "", MIS_Backend_Data!AF401)</f>
        <v/>
      </c>
      <c r="N399" t="e">
        <f>IF(MIS_Backend_Data!#REF!="", "", MIS_Backend_Data!#REF!)</f>
        <v>#REF!</v>
      </c>
    </row>
    <row r="400" spans="1:14" ht="14.5">
      <c r="A400">
        <v>396</v>
      </c>
      <c r="B400" s="145" t="e">
        <f>IF(MIS_Backend_Data!#REF!="", "", MIS_Backend_Data!#REF!)</f>
        <v>#REF!</v>
      </c>
      <c r="D400" t="str">
        <f>IF(MIS_Backend_Data!Q402="", "", MIS_Backend_Data!Q402)</f>
        <v/>
      </c>
      <c r="F400" t="e">
        <f>IF(MIS_Backend_Data!#REF!="", "", MIS_Backend_Data!#REF!)</f>
        <v>#REF!</v>
      </c>
      <c r="G400" t="str">
        <f>IF(MIS_Backend_Data!Y402="", "", MIS_Backend_Data!Y402)</f>
        <v/>
      </c>
      <c r="I400" t="e">
        <f>IF(MIS_Backend_Data!#REF!="", "", MIS_Backend_Data!#REF!)</f>
        <v>#REF!</v>
      </c>
      <c r="J400" t="str">
        <f>IF(MIS_Backend_Data!AD402="", "", MIS_Backend_Data!AD402)</f>
        <v/>
      </c>
      <c r="L400" t="str">
        <f>IF(MIS_Backend_Data!AF402="", "", MIS_Backend_Data!AF402)</f>
        <v/>
      </c>
      <c r="N400" t="e">
        <f>IF(MIS_Backend_Data!#REF!="", "", MIS_Backend_Data!#REF!)</f>
        <v>#REF!</v>
      </c>
    </row>
    <row r="401" spans="1:14" ht="14.5">
      <c r="A401">
        <v>397</v>
      </c>
      <c r="B401" s="145" t="e">
        <f>IF(MIS_Backend_Data!#REF!="", "", MIS_Backend_Data!#REF!)</f>
        <v>#REF!</v>
      </c>
      <c r="D401" t="str">
        <f>IF(MIS_Backend_Data!Q403="", "", MIS_Backend_Data!Q403)</f>
        <v/>
      </c>
      <c r="F401" t="e">
        <f>IF(MIS_Backend_Data!#REF!="", "", MIS_Backend_Data!#REF!)</f>
        <v>#REF!</v>
      </c>
      <c r="G401" t="str">
        <f>IF(MIS_Backend_Data!Y403="", "", MIS_Backend_Data!Y403)</f>
        <v/>
      </c>
      <c r="I401" t="e">
        <f>IF(MIS_Backend_Data!#REF!="", "", MIS_Backend_Data!#REF!)</f>
        <v>#REF!</v>
      </c>
      <c r="J401" t="str">
        <f>IF(MIS_Backend_Data!AD403="", "", MIS_Backend_Data!AD403)</f>
        <v/>
      </c>
      <c r="L401" t="str">
        <f>IF(MIS_Backend_Data!AF403="", "", MIS_Backend_Data!AF403)</f>
        <v/>
      </c>
      <c r="N401" t="e">
        <f>IF(MIS_Backend_Data!#REF!="", "", MIS_Backend_Data!#REF!)</f>
        <v>#REF!</v>
      </c>
    </row>
    <row r="402" spans="1:14" ht="14.5">
      <c r="A402">
        <v>398</v>
      </c>
      <c r="B402" s="145" t="e">
        <f>IF(MIS_Backend_Data!#REF!="", "", MIS_Backend_Data!#REF!)</f>
        <v>#REF!</v>
      </c>
      <c r="D402" t="str">
        <f>IF(MIS_Backend_Data!Q404="", "", MIS_Backend_Data!Q404)</f>
        <v/>
      </c>
      <c r="F402" t="e">
        <f>IF(MIS_Backend_Data!#REF!="", "", MIS_Backend_Data!#REF!)</f>
        <v>#REF!</v>
      </c>
      <c r="G402" t="str">
        <f>IF(MIS_Backend_Data!Y404="", "", MIS_Backend_Data!Y404)</f>
        <v/>
      </c>
      <c r="I402" t="e">
        <f>IF(MIS_Backend_Data!#REF!="", "", MIS_Backend_Data!#REF!)</f>
        <v>#REF!</v>
      </c>
      <c r="J402" t="str">
        <f>IF(MIS_Backend_Data!AD404="", "", MIS_Backend_Data!AD404)</f>
        <v/>
      </c>
      <c r="L402" t="str">
        <f>IF(MIS_Backend_Data!AF404="", "", MIS_Backend_Data!AF404)</f>
        <v/>
      </c>
      <c r="N402" t="e">
        <f>IF(MIS_Backend_Data!#REF!="", "", MIS_Backend_Data!#REF!)</f>
        <v>#REF!</v>
      </c>
    </row>
    <row r="403" spans="1:14" ht="14.5">
      <c r="A403">
        <v>399</v>
      </c>
      <c r="B403" s="145" t="e">
        <f>IF(MIS_Backend_Data!#REF!="", "", MIS_Backend_Data!#REF!)</f>
        <v>#REF!</v>
      </c>
      <c r="D403" t="str">
        <f>IF(MIS_Backend_Data!Q405="", "", MIS_Backend_Data!Q405)</f>
        <v/>
      </c>
      <c r="F403" t="e">
        <f>IF(MIS_Backend_Data!#REF!="", "", MIS_Backend_Data!#REF!)</f>
        <v>#REF!</v>
      </c>
      <c r="G403" t="str">
        <f>IF(MIS_Backend_Data!Y405="", "", MIS_Backend_Data!Y405)</f>
        <v/>
      </c>
      <c r="I403" t="e">
        <f>IF(MIS_Backend_Data!#REF!="", "", MIS_Backend_Data!#REF!)</f>
        <v>#REF!</v>
      </c>
      <c r="J403" t="str">
        <f>IF(MIS_Backend_Data!AD405="", "", MIS_Backend_Data!AD405)</f>
        <v/>
      </c>
      <c r="L403" t="str">
        <f>IF(MIS_Backend_Data!AF405="", "", MIS_Backend_Data!AF405)</f>
        <v/>
      </c>
      <c r="N403" t="e">
        <f>IF(MIS_Backend_Data!#REF!="", "", MIS_Backend_Data!#REF!)</f>
        <v>#REF!</v>
      </c>
    </row>
    <row r="404" spans="1:14" ht="14.5">
      <c r="A404">
        <v>400</v>
      </c>
      <c r="B404" s="145" t="e">
        <f>IF(MIS_Backend_Data!#REF!="", "", MIS_Backend_Data!#REF!)</f>
        <v>#REF!</v>
      </c>
      <c r="D404" t="str">
        <f>IF(MIS_Backend_Data!Q406="", "", MIS_Backend_Data!Q406)</f>
        <v/>
      </c>
      <c r="F404" t="e">
        <f>IF(MIS_Backend_Data!#REF!="", "", MIS_Backend_Data!#REF!)</f>
        <v>#REF!</v>
      </c>
      <c r="G404" t="str">
        <f>IF(MIS_Backend_Data!Y406="", "", MIS_Backend_Data!Y406)</f>
        <v/>
      </c>
      <c r="I404" t="e">
        <f>IF(MIS_Backend_Data!#REF!="", "", MIS_Backend_Data!#REF!)</f>
        <v>#REF!</v>
      </c>
      <c r="J404" t="str">
        <f>IF(MIS_Backend_Data!AD406="", "", MIS_Backend_Data!AD406)</f>
        <v/>
      </c>
      <c r="L404" t="str">
        <f>IF(MIS_Backend_Data!AF406="", "", MIS_Backend_Data!AF406)</f>
        <v/>
      </c>
      <c r="N404" t="e">
        <f>IF(MIS_Backend_Data!#REF!="", "", MIS_Backend_Data!#REF!)</f>
        <v>#REF!</v>
      </c>
    </row>
    <row r="405" spans="1:14" ht="14.5">
      <c r="A405">
        <v>401</v>
      </c>
      <c r="B405" s="145" t="e">
        <f>IF(MIS_Backend_Data!#REF!="", "", MIS_Backend_Data!#REF!)</f>
        <v>#REF!</v>
      </c>
      <c r="D405" t="str">
        <f>IF(MIS_Backend_Data!Q407="", "", MIS_Backend_Data!Q407)</f>
        <v/>
      </c>
      <c r="F405" t="e">
        <f>IF(MIS_Backend_Data!#REF!="", "", MIS_Backend_Data!#REF!)</f>
        <v>#REF!</v>
      </c>
      <c r="G405" t="str">
        <f>IF(MIS_Backend_Data!Y407="", "", MIS_Backend_Data!Y407)</f>
        <v/>
      </c>
      <c r="I405" t="e">
        <f>IF(MIS_Backend_Data!#REF!="", "", MIS_Backend_Data!#REF!)</f>
        <v>#REF!</v>
      </c>
      <c r="J405" t="str">
        <f>IF(MIS_Backend_Data!AD407="", "", MIS_Backend_Data!AD407)</f>
        <v/>
      </c>
      <c r="L405" t="str">
        <f>IF(MIS_Backend_Data!AF407="", "", MIS_Backend_Data!AF407)</f>
        <v/>
      </c>
      <c r="N405" t="e">
        <f>IF(MIS_Backend_Data!#REF!="", "", MIS_Backend_Data!#REF!)</f>
        <v>#REF!</v>
      </c>
    </row>
    <row r="406" spans="1:14" ht="14.5">
      <c r="A406">
        <v>402</v>
      </c>
      <c r="B406" s="145" t="e">
        <f>IF(MIS_Backend_Data!#REF!="", "", MIS_Backend_Data!#REF!)</f>
        <v>#REF!</v>
      </c>
      <c r="D406" t="str">
        <f>IF(MIS_Backend_Data!Q408="", "", MIS_Backend_Data!Q408)</f>
        <v/>
      </c>
      <c r="F406" t="e">
        <f>IF(MIS_Backend_Data!#REF!="", "", MIS_Backend_Data!#REF!)</f>
        <v>#REF!</v>
      </c>
      <c r="G406" t="str">
        <f>IF(MIS_Backend_Data!Y408="", "", MIS_Backend_Data!Y408)</f>
        <v/>
      </c>
      <c r="I406" t="e">
        <f>IF(MIS_Backend_Data!#REF!="", "", MIS_Backend_Data!#REF!)</f>
        <v>#REF!</v>
      </c>
      <c r="J406" t="str">
        <f>IF(MIS_Backend_Data!AD408="", "", MIS_Backend_Data!AD408)</f>
        <v/>
      </c>
      <c r="L406" t="str">
        <f>IF(MIS_Backend_Data!AF408="", "", MIS_Backend_Data!AF408)</f>
        <v/>
      </c>
      <c r="N406" t="e">
        <f>IF(MIS_Backend_Data!#REF!="", "", MIS_Backend_Data!#REF!)</f>
        <v>#REF!</v>
      </c>
    </row>
    <row r="407" spans="1:14" ht="14.5">
      <c r="A407">
        <v>403</v>
      </c>
      <c r="B407" s="145" t="e">
        <f>IF(MIS_Backend_Data!#REF!="", "", MIS_Backend_Data!#REF!)</f>
        <v>#REF!</v>
      </c>
      <c r="D407" t="str">
        <f>IF(MIS_Backend_Data!Q409="", "", MIS_Backend_Data!Q409)</f>
        <v/>
      </c>
      <c r="F407" t="e">
        <f>IF(MIS_Backend_Data!#REF!="", "", MIS_Backend_Data!#REF!)</f>
        <v>#REF!</v>
      </c>
      <c r="G407" t="str">
        <f>IF(MIS_Backend_Data!Y409="", "", MIS_Backend_Data!Y409)</f>
        <v/>
      </c>
      <c r="I407" t="e">
        <f>IF(MIS_Backend_Data!#REF!="", "", MIS_Backend_Data!#REF!)</f>
        <v>#REF!</v>
      </c>
      <c r="J407" t="str">
        <f>IF(MIS_Backend_Data!AD409="", "", MIS_Backend_Data!AD409)</f>
        <v/>
      </c>
      <c r="L407" t="str">
        <f>IF(MIS_Backend_Data!AF409="", "", MIS_Backend_Data!AF409)</f>
        <v/>
      </c>
      <c r="N407" t="e">
        <f>IF(MIS_Backend_Data!#REF!="", "", MIS_Backend_Data!#REF!)</f>
        <v>#REF!</v>
      </c>
    </row>
    <row r="408" spans="1:14" ht="14.5">
      <c r="A408">
        <v>404</v>
      </c>
      <c r="B408" s="145" t="e">
        <f>IF(MIS_Backend_Data!#REF!="", "", MIS_Backend_Data!#REF!)</f>
        <v>#REF!</v>
      </c>
      <c r="D408" t="str">
        <f>IF(MIS_Backend_Data!Q410="", "", MIS_Backend_Data!Q410)</f>
        <v/>
      </c>
      <c r="F408" t="e">
        <f>IF(MIS_Backend_Data!#REF!="", "", MIS_Backend_Data!#REF!)</f>
        <v>#REF!</v>
      </c>
      <c r="G408" t="str">
        <f>IF(MIS_Backend_Data!Y410="", "", MIS_Backend_Data!Y410)</f>
        <v/>
      </c>
      <c r="I408" t="e">
        <f>IF(MIS_Backend_Data!#REF!="", "", MIS_Backend_Data!#REF!)</f>
        <v>#REF!</v>
      </c>
      <c r="J408" t="str">
        <f>IF(MIS_Backend_Data!AD410="", "", MIS_Backend_Data!AD410)</f>
        <v/>
      </c>
      <c r="L408" t="str">
        <f>IF(MIS_Backend_Data!AF410="", "", MIS_Backend_Data!AF410)</f>
        <v/>
      </c>
      <c r="N408" t="e">
        <f>IF(MIS_Backend_Data!#REF!="", "", MIS_Backend_Data!#REF!)</f>
        <v>#REF!</v>
      </c>
    </row>
    <row r="409" spans="1:14" ht="14.5">
      <c r="A409">
        <v>405</v>
      </c>
      <c r="B409" s="145" t="e">
        <f>IF(MIS_Backend_Data!#REF!="", "", MIS_Backend_Data!#REF!)</f>
        <v>#REF!</v>
      </c>
      <c r="D409" t="str">
        <f>IF(MIS_Backend_Data!Q411="", "", MIS_Backend_Data!Q411)</f>
        <v/>
      </c>
      <c r="F409" t="e">
        <f>IF(MIS_Backend_Data!#REF!="", "", MIS_Backend_Data!#REF!)</f>
        <v>#REF!</v>
      </c>
      <c r="G409" t="str">
        <f>IF(MIS_Backend_Data!Y411="", "", MIS_Backend_Data!Y411)</f>
        <v/>
      </c>
      <c r="I409" t="e">
        <f>IF(MIS_Backend_Data!#REF!="", "", MIS_Backend_Data!#REF!)</f>
        <v>#REF!</v>
      </c>
      <c r="J409" t="str">
        <f>IF(MIS_Backend_Data!AD411="", "", MIS_Backend_Data!AD411)</f>
        <v/>
      </c>
      <c r="L409" t="str">
        <f>IF(MIS_Backend_Data!AF411="", "", MIS_Backend_Data!AF411)</f>
        <v/>
      </c>
      <c r="N409" t="e">
        <f>IF(MIS_Backend_Data!#REF!="", "", MIS_Backend_Data!#REF!)</f>
        <v>#REF!</v>
      </c>
    </row>
    <row r="410" spans="1:14" ht="14.5">
      <c r="A410">
        <v>406</v>
      </c>
      <c r="B410" s="145" t="e">
        <f>IF(MIS_Backend_Data!#REF!="", "", MIS_Backend_Data!#REF!)</f>
        <v>#REF!</v>
      </c>
      <c r="D410" t="str">
        <f>IF(MIS_Backend_Data!Q412="", "", MIS_Backend_Data!Q412)</f>
        <v/>
      </c>
      <c r="F410" t="e">
        <f>IF(MIS_Backend_Data!#REF!="", "", MIS_Backend_Data!#REF!)</f>
        <v>#REF!</v>
      </c>
      <c r="G410" t="str">
        <f>IF(MIS_Backend_Data!Y412="", "", MIS_Backend_Data!Y412)</f>
        <v/>
      </c>
      <c r="I410" t="e">
        <f>IF(MIS_Backend_Data!#REF!="", "", MIS_Backend_Data!#REF!)</f>
        <v>#REF!</v>
      </c>
      <c r="J410" t="str">
        <f>IF(MIS_Backend_Data!AD412="", "", MIS_Backend_Data!AD412)</f>
        <v/>
      </c>
      <c r="L410" t="str">
        <f>IF(MIS_Backend_Data!AF412="", "", MIS_Backend_Data!AF412)</f>
        <v/>
      </c>
      <c r="N410" t="e">
        <f>IF(MIS_Backend_Data!#REF!="", "", MIS_Backend_Data!#REF!)</f>
        <v>#REF!</v>
      </c>
    </row>
    <row r="411" spans="1:14" ht="14.5">
      <c r="A411">
        <v>407</v>
      </c>
      <c r="B411" s="145" t="e">
        <f>IF(MIS_Backend_Data!#REF!="", "", MIS_Backend_Data!#REF!)</f>
        <v>#REF!</v>
      </c>
      <c r="D411" t="str">
        <f>IF(MIS_Backend_Data!Q413="", "", MIS_Backend_Data!Q413)</f>
        <v/>
      </c>
      <c r="F411" t="e">
        <f>IF(MIS_Backend_Data!#REF!="", "", MIS_Backend_Data!#REF!)</f>
        <v>#REF!</v>
      </c>
      <c r="G411" t="str">
        <f>IF(MIS_Backend_Data!Y413="", "", MIS_Backend_Data!Y413)</f>
        <v/>
      </c>
      <c r="I411" t="e">
        <f>IF(MIS_Backend_Data!#REF!="", "", MIS_Backend_Data!#REF!)</f>
        <v>#REF!</v>
      </c>
      <c r="J411" t="str">
        <f>IF(MIS_Backend_Data!AD413="", "", MIS_Backend_Data!AD413)</f>
        <v/>
      </c>
      <c r="L411" t="str">
        <f>IF(MIS_Backend_Data!AF413="", "", MIS_Backend_Data!AF413)</f>
        <v/>
      </c>
      <c r="N411" t="e">
        <f>IF(MIS_Backend_Data!#REF!="", "", MIS_Backend_Data!#REF!)</f>
        <v>#REF!</v>
      </c>
    </row>
    <row r="412" spans="1:14" ht="14.5">
      <c r="A412">
        <v>408</v>
      </c>
      <c r="B412" s="145" t="e">
        <f>IF(MIS_Backend_Data!#REF!="", "", MIS_Backend_Data!#REF!)</f>
        <v>#REF!</v>
      </c>
      <c r="D412" t="str">
        <f>IF(MIS_Backend_Data!Q414="", "", MIS_Backend_Data!Q414)</f>
        <v/>
      </c>
      <c r="F412" t="e">
        <f>IF(MIS_Backend_Data!#REF!="", "", MIS_Backend_Data!#REF!)</f>
        <v>#REF!</v>
      </c>
      <c r="G412" t="str">
        <f>IF(MIS_Backend_Data!Y414="", "", MIS_Backend_Data!Y414)</f>
        <v/>
      </c>
      <c r="I412" t="e">
        <f>IF(MIS_Backend_Data!#REF!="", "", MIS_Backend_Data!#REF!)</f>
        <v>#REF!</v>
      </c>
      <c r="J412" t="str">
        <f>IF(MIS_Backend_Data!AD414="", "", MIS_Backend_Data!AD414)</f>
        <v/>
      </c>
      <c r="L412" t="str">
        <f>IF(MIS_Backend_Data!AF414="", "", MIS_Backend_Data!AF414)</f>
        <v/>
      </c>
      <c r="N412" t="e">
        <f>IF(MIS_Backend_Data!#REF!="", "", MIS_Backend_Data!#REF!)</f>
        <v>#REF!</v>
      </c>
    </row>
    <row r="413" spans="1:14" ht="14.5">
      <c r="A413">
        <v>409</v>
      </c>
      <c r="B413" s="145" t="e">
        <f>IF(MIS_Backend_Data!#REF!="", "", MIS_Backend_Data!#REF!)</f>
        <v>#REF!</v>
      </c>
      <c r="D413" t="str">
        <f>IF(MIS_Backend_Data!Q415="", "", MIS_Backend_Data!Q415)</f>
        <v/>
      </c>
      <c r="F413" t="e">
        <f>IF(MIS_Backend_Data!#REF!="", "", MIS_Backend_Data!#REF!)</f>
        <v>#REF!</v>
      </c>
      <c r="G413" t="str">
        <f>IF(MIS_Backend_Data!Y415="", "", MIS_Backend_Data!Y415)</f>
        <v/>
      </c>
      <c r="I413" t="e">
        <f>IF(MIS_Backend_Data!#REF!="", "", MIS_Backend_Data!#REF!)</f>
        <v>#REF!</v>
      </c>
      <c r="J413" t="str">
        <f>IF(MIS_Backend_Data!AD415="", "", MIS_Backend_Data!AD415)</f>
        <v/>
      </c>
      <c r="L413" t="str">
        <f>IF(MIS_Backend_Data!AF415="", "", MIS_Backend_Data!AF415)</f>
        <v/>
      </c>
      <c r="N413" t="e">
        <f>IF(MIS_Backend_Data!#REF!="", "", MIS_Backend_Data!#REF!)</f>
        <v>#REF!</v>
      </c>
    </row>
    <row r="414" spans="1:14" ht="14.5">
      <c r="A414">
        <v>410</v>
      </c>
      <c r="B414" s="145" t="e">
        <f>IF(MIS_Backend_Data!#REF!="", "", MIS_Backend_Data!#REF!)</f>
        <v>#REF!</v>
      </c>
      <c r="D414" t="str">
        <f>IF(MIS_Backend_Data!Q416="", "", MIS_Backend_Data!Q416)</f>
        <v/>
      </c>
      <c r="F414" t="e">
        <f>IF(MIS_Backend_Data!#REF!="", "", MIS_Backend_Data!#REF!)</f>
        <v>#REF!</v>
      </c>
      <c r="G414" t="str">
        <f>IF(MIS_Backend_Data!Y416="", "", MIS_Backend_Data!Y416)</f>
        <v/>
      </c>
      <c r="I414" t="e">
        <f>IF(MIS_Backend_Data!#REF!="", "", MIS_Backend_Data!#REF!)</f>
        <v>#REF!</v>
      </c>
      <c r="J414" t="str">
        <f>IF(MIS_Backend_Data!AD416="", "", MIS_Backend_Data!AD416)</f>
        <v/>
      </c>
      <c r="L414" t="str">
        <f>IF(MIS_Backend_Data!AF416="", "", MIS_Backend_Data!AF416)</f>
        <v/>
      </c>
      <c r="N414" t="e">
        <f>IF(MIS_Backend_Data!#REF!="", "", MIS_Backend_Data!#REF!)</f>
        <v>#REF!</v>
      </c>
    </row>
    <row r="415" spans="1:14" ht="14.5">
      <c r="A415">
        <v>411</v>
      </c>
      <c r="B415" s="145" t="e">
        <f>IF(MIS_Backend_Data!#REF!="", "", MIS_Backend_Data!#REF!)</f>
        <v>#REF!</v>
      </c>
      <c r="D415" t="str">
        <f>IF(MIS_Backend_Data!Q417="", "", MIS_Backend_Data!Q417)</f>
        <v/>
      </c>
      <c r="F415" t="e">
        <f>IF(MIS_Backend_Data!#REF!="", "", MIS_Backend_Data!#REF!)</f>
        <v>#REF!</v>
      </c>
      <c r="G415" t="str">
        <f>IF(MIS_Backend_Data!Y417="", "", MIS_Backend_Data!Y417)</f>
        <v/>
      </c>
      <c r="I415" t="e">
        <f>IF(MIS_Backend_Data!#REF!="", "", MIS_Backend_Data!#REF!)</f>
        <v>#REF!</v>
      </c>
      <c r="J415" t="str">
        <f>IF(MIS_Backend_Data!AD417="", "", MIS_Backend_Data!AD417)</f>
        <v/>
      </c>
      <c r="L415" t="str">
        <f>IF(MIS_Backend_Data!AF417="", "", MIS_Backend_Data!AF417)</f>
        <v/>
      </c>
      <c r="N415" t="e">
        <f>IF(MIS_Backend_Data!#REF!="", "", MIS_Backend_Data!#REF!)</f>
        <v>#REF!</v>
      </c>
    </row>
    <row r="416" spans="1:14" ht="14.5">
      <c r="A416">
        <v>412</v>
      </c>
      <c r="B416" s="145" t="e">
        <f>IF(MIS_Backend_Data!#REF!="", "", MIS_Backend_Data!#REF!)</f>
        <v>#REF!</v>
      </c>
      <c r="D416" t="str">
        <f>IF(MIS_Backend_Data!Q418="", "", MIS_Backend_Data!Q418)</f>
        <v/>
      </c>
      <c r="F416" t="e">
        <f>IF(MIS_Backend_Data!#REF!="", "", MIS_Backend_Data!#REF!)</f>
        <v>#REF!</v>
      </c>
      <c r="G416" t="str">
        <f>IF(MIS_Backend_Data!Y418="", "", MIS_Backend_Data!Y418)</f>
        <v/>
      </c>
      <c r="I416" t="e">
        <f>IF(MIS_Backend_Data!#REF!="", "", MIS_Backend_Data!#REF!)</f>
        <v>#REF!</v>
      </c>
      <c r="J416" t="str">
        <f>IF(MIS_Backend_Data!AD418="", "", MIS_Backend_Data!AD418)</f>
        <v/>
      </c>
      <c r="L416" t="str">
        <f>IF(MIS_Backend_Data!AF418="", "", MIS_Backend_Data!AF418)</f>
        <v/>
      </c>
      <c r="N416" t="e">
        <f>IF(MIS_Backend_Data!#REF!="", "", MIS_Backend_Data!#REF!)</f>
        <v>#REF!</v>
      </c>
    </row>
    <row r="417" spans="1:14" ht="14.5">
      <c r="A417">
        <v>413</v>
      </c>
      <c r="B417" s="145" t="e">
        <f>IF(MIS_Backend_Data!#REF!="", "", MIS_Backend_Data!#REF!)</f>
        <v>#REF!</v>
      </c>
      <c r="D417" t="str">
        <f>IF(MIS_Backend_Data!Q419="", "", MIS_Backend_Data!Q419)</f>
        <v/>
      </c>
      <c r="F417" t="e">
        <f>IF(MIS_Backend_Data!#REF!="", "", MIS_Backend_Data!#REF!)</f>
        <v>#REF!</v>
      </c>
      <c r="G417" t="str">
        <f>IF(MIS_Backend_Data!Y419="", "", MIS_Backend_Data!Y419)</f>
        <v/>
      </c>
      <c r="I417" t="e">
        <f>IF(MIS_Backend_Data!#REF!="", "", MIS_Backend_Data!#REF!)</f>
        <v>#REF!</v>
      </c>
      <c r="J417" t="str">
        <f>IF(MIS_Backend_Data!AD419="", "", MIS_Backend_Data!AD419)</f>
        <v/>
      </c>
      <c r="L417" t="str">
        <f>IF(MIS_Backend_Data!AF419="", "", MIS_Backend_Data!AF419)</f>
        <v/>
      </c>
      <c r="N417" t="e">
        <f>IF(MIS_Backend_Data!#REF!="", "", MIS_Backend_Data!#REF!)</f>
        <v>#REF!</v>
      </c>
    </row>
    <row r="418" spans="1:14" ht="14.5">
      <c r="A418">
        <v>414</v>
      </c>
      <c r="B418" s="145" t="e">
        <f>IF(MIS_Backend_Data!#REF!="", "", MIS_Backend_Data!#REF!)</f>
        <v>#REF!</v>
      </c>
      <c r="D418" t="str">
        <f>IF(MIS_Backend_Data!Q420="", "", MIS_Backend_Data!Q420)</f>
        <v/>
      </c>
      <c r="F418" t="e">
        <f>IF(MIS_Backend_Data!#REF!="", "", MIS_Backend_Data!#REF!)</f>
        <v>#REF!</v>
      </c>
      <c r="G418" t="str">
        <f>IF(MIS_Backend_Data!Y420="", "", MIS_Backend_Data!Y420)</f>
        <v/>
      </c>
      <c r="I418" t="e">
        <f>IF(MIS_Backend_Data!#REF!="", "", MIS_Backend_Data!#REF!)</f>
        <v>#REF!</v>
      </c>
      <c r="J418" t="str">
        <f>IF(MIS_Backend_Data!AD420="", "", MIS_Backend_Data!AD420)</f>
        <v/>
      </c>
      <c r="L418" t="str">
        <f>IF(MIS_Backend_Data!AF420="", "", MIS_Backend_Data!AF420)</f>
        <v/>
      </c>
      <c r="N418" t="e">
        <f>IF(MIS_Backend_Data!#REF!="", "", MIS_Backend_Data!#REF!)</f>
        <v>#REF!</v>
      </c>
    </row>
    <row r="419" spans="1:14" ht="14.5">
      <c r="A419">
        <v>415</v>
      </c>
      <c r="B419" s="145" t="e">
        <f>IF(MIS_Backend_Data!#REF!="", "", MIS_Backend_Data!#REF!)</f>
        <v>#REF!</v>
      </c>
      <c r="D419" t="str">
        <f>IF(MIS_Backend_Data!Q421="", "", MIS_Backend_Data!Q421)</f>
        <v/>
      </c>
      <c r="F419" t="e">
        <f>IF(MIS_Backend_Data!#REF!="", "", MIS_Backend_Data!#REF!)</f>
        <v>#REF!</v>
      </c>
      <c r="G419" t="str">
        <f>IF(MIS_Backend_Data!Y421="", "", MIS_Backend_Data!Y421)</f>
        <v/>
      </c>
      <c r="I419" t="e">
        <f>IF(MIS_Backend_Data!#REF!="", "", MIS_Backend_Data!#REF!)</f>
        <v>#REF!</v>
      </c>
      <c r="J419" t="str">
        <f>IF(MIS_Backend_Data!AD421="", "", MIS_Backend_Data!AD421)</f>
        <v/>
      </c>
      <c r="L419" t="str">
        <f>IF(MIS_Backend_Data!AF421="", "", MIS_Backend_Data!AF421)</f>
        <v/>
      </c>
      <c r="N419" t="e">
        <f>IF(MIS_Backend_Data!#REF!="", "", MIS_Backend_Data!#REF!)</f>
        <v>#REF!</v>
      </c>
    </row>
    <row r="420" spans="1:14" ht="14.5">
      <c r="A420">
        <v>416</v>
      </c>
      <c r="B420" s="145" t="e">
        <f>IF(MIS_Backend_Data!#REF!="", "", MIS_Backend_Data!#REF!)</f>
        <v>#REF!</v>
      </c>
      <c r="D420" t="str">
        <f>IF(MIS_Backend_Data!Q422="", "", MIS_Backend_Data!Q422)</f>
        <v/>
      </c>
      <c r="F420" t="e">
        <f>IF(MIS_Backend_Data!#REF!="", "", MIS_Backend_Data!#REF!)</f>
        <v>#REF!</v>
      </c>
      <c r="G420" t="str">
        <f>IF(MIS_Backend_Data!Y422="", "", MIS_Backend_Data!Y422)</f>
        <v/>
      </c>
      <c r="I420" t="e">
        <f>IF(MIS_Backend_Data!#REF!="", "", MIS_Backend_Data!#REF!)</f>
        <v>#REF!</v>
      </c>
      <c r="J420" t="str">
        <f>IF(MIS_Backend_Data!AD422="", "", MIS_Backend_Data!AD422)</f>
        <v/>
      </c>
      <c r="L420" t="str">
        <f>IF(MIS_Backend_Data!AF422="", "", MIS_Backend_Data!AF422)</f>
        <v/>
      </c>
      <c r="N420" t="e">
        <f>IF(MIS_Backend_Data!#REF!="", "", MIS_Backend_Data!#REF!)</f>
        <v>#REF!</v>
      </c>
    </row>
    <row r="421" spans="1:14" ht="14.5">
      <c r="A421">
        <v>417</v>
      </c>
      <c r="B421" s="145" t="e">
        <f>IF(MIS_Backend_Data!#REF!="", "", MIS_Backend_Data!#REF!)</f>
        <v>#REF!</v>
      </c>
      <c r="D421" t="str">
        <f>IF(MIS_Backend_Data!Q423="", "", MIS_Backend_Data!Q423)</f>
        <v/>
      </c>
      <c r="F421" t="e">
        <f>IF(MIS_Backend_Data!#REF!="", "", MIS_Backend_Data!#REF!)</f>
        <v>#REF!</v>
      </c>
      <c r="G421" t="str">
        <f>IF(MIS_Backend_Data!Y423="", "", MIS_Backend_Data!Y423)</f>
        <v/>
      </c>
      <c r="I421" t="e">
        <f>IF(MIS_Backend_Data!#REF!="", "", MIS_Backend_Data!#REF!)</f>
        <v>#REF!</v>
      </c>
      <c r="J421" t="str">
        <f>IF(MIS_Backend_Data!AD423="", "", MIS_Backend_Data!AD423)</f>
        <v/>
      </c>
      <c r="L421" t="str">
        <f>IF(MIS_Backend_Data!AF423="", "", MIS_Backend_Data!AF423)</f>
        <v/>
      </c>
      <c r="N421" t="e">
        <f>IF(MIS_Backend_Data!#REF!="", "", MIS_Backend_Data!#REF!)</f>
        <v>#REF!</v>
      </c>
    </row>
    <row r="422" spans="1:14" ht="14.5">
      <c r="A422">
        <v>418</v>
      </c>
      <c r="B422" s="145" t="e">
        <f>IF(MIS_Backend_Data!#REF!="", "", MIS_Backend_Data!#REF!)</f>
        <v>#REF!</v>
      </c>
      <c r="D422" t="str">
        <f>IF(MIS_Backend_Data!Q424="", "", MIS_Backend_Data!Q424)</f>
        <v/>
      </c>
      <c r="F422" t="e">
        <f>IF(MIS_Backend_Data!#REF!="", "", MIS_Backend_Data!#REF!)</f>
        <v>#REF!</v>
      </c>
      <c r="G422" t="str">
        <f>IF(MIS_Backend_Data!Y424="", "", MIS_Backend_Data!Y424)</f>
        <v/>
      </c>
      <c r="I422" t="e">
        <f>IF(MIS_Backend_Data!#REF!="", "", MIS_Backend_Data!#REF!)</f>
        <v>#REF!</v>
      </c>
      <c r="J422" t="str">
        <f>IF(MIS_Backend_Data!AD424="", "", MIS_Backend_Data!AD424)</f>
        <v/>
      </c>
      <c r="L422" t="str">
        <f>IF(MIS_Backend_Data!AF424="", "", MIS_Backend_Data!AF424)</f>
        <v/>
      </c>
      <c r="N422" t="e">
        <f>IF(MIS_Backend_Data!#REF!="", "", MIS_Backend_Data!#REF!)</f>
        <v>#REF!</v>
      </c>
    </row>
    <row r="423" spans="1:14" ht="14.5">
      <c r="A423">
        <v>419</v>
      </c>
      <c r="B423" s="145" t="e">
        <f>IF(MIS_Backend_Data!#REF!="", "", MIS_Backend_Data!#REF!)</f>
        <v>#REF!</v>
      </c>
      <c r="D423" t="str">
        <f>IF(MIS_Backend_Data!Q425="", "", MIS_Backend_Data!Q425)</f>
        <v/>
      </c>
      <c r="F423" t="e">
        <f>IF(MIS_Backend_Data!#REF!="", "", MIS_Backend_Data!#REF!)</f>
        <v>#REF!</v>
      </c>
      <c r="G423" t="str">
        <f>IF(MIS_Backend_Data!Y425="", "", MIS_Backend_Data!Y425)</f>
        <v/>
      </c>
      <c r="I423" t="e">
        <f>IF(MIS_Backend_Data!#REF!="", "", MIS_Backend_Data!#REF!)</f>
        <v>#REF!</v>
      </c>
      <c r="J423" t="str">
        <f>IF(MIS_Backend_Data!AD425="", "", MIS_Backend_Data!AD425)</f>
        <v/>
      </c>
      <c r="L423" t="str">
        <f>IF(MIS_Backend_Data!AF425="", "", MIS_Backend_Data!AF425)</f>
        <v/>
      </c>
      <c r="N423" t="e">
        <f>IF(MIS_Backend_Data!#REF!="", "", MIS_Backend_Data!#REF!)</f>
        <v>#REF!</v>
      </c>
    </row>
    <row r="424" spans="1:14" ht="14.5">
      <c r="A424">
        <v>420</v>
      </c>
      <c r="B424" s="145" t="e">
        <f>IF(MIS_Backend_Data!#REF!="", "", MIS_Backend_Data!#REF!)</f>
        <v>#REF!</v>
      </c>
      <c r="D424" t="str">
        <f>IF(MIS_Backend_Data!Q426="", "", MIS_Backend_Data!Q426)</f>
        <v/>
      </c>
      <c r="F424" t="e">
        <f>IF(MIS_Backend_Data!#REF!="", "", MIS_Backend_Data!#REF!)</f>
        <v>#REF!</v>
      </c>
      <c r="G424" t="str">
        <f>IF(MIS_Backend_Data!Y426="", "", MIS_Backend_Data!Y426)</f>
        <v/>
      </c>
      <c r="I424" t="e">
        <f>IF(MIS_Backend_Data!#REF!="", "", MIS_Backend_Data!#REF!)</f>
        <v>#REF!</v>
      </c>
      <c r="J424" t="str">
        <f>IF(MIS_Backend_Data!AD426="", "", MIS_Backend_Data!AD426)</f>
        <v/>
      </c>
      <c r="L424" t="str">
        <f>IF(MIS_Backend_Data!AF426="", "", MIS_Backend_Data!AF426)</f>
        <v/>
      </c>
      <c r="N424" t="e">
        <f>IF(MIS_Backend_Data!#REF!="", "", MIS_Backend_Data!#REF!)</f>
        <v>#REF!</v>
      </c>
    </row>
    <row r="425" spans="1:14" ht="14.5">
      <c r="A425">
        <v>421</v>
      </c>
      <c r="B425" s="145" t="e">
        <f>IF(MIS_Backend_Data!#REF!="", "", MIS_Backend_Data!#REF!)</f>
        <v>#REF!</v>
      </c>
      <c r="D425" t="str">
        <f>IF(MIS_Backend_Data!Q427="", "", MIS_Backend_Data!Q427)</f>
        <v/>
      </c>
      <c r="F425" t="e">
        <f>IF(MIS_Backend_Data!#REF!="", "", MIS_Backend_Data!#REF!)</f>
        <v>#REF!</v>
      </c>
      <c r="G425" t="str">
        <f>IF(MIS_Backend_Data!Y427="", "", MIS_Backend_Data!Y427)</f>
        <v/>
      </c>
      <c r="I425" t="e">
        <f>IF(MIS_Backend_Data!#REF!="", "", MIS_Backend_Data!#REF!)</f>
        <v>#REF!</v>
      </c>
      <c r="J425" t="str">
        <f>IF(MIS_Backend_Data!AD427="", "", MIS_Backend_Data!AD427)</f>
        <v/>
      </c>
      <c r="L425" t="str">
        <f>IF(MIS_Backend_Data!AF427="", "", MIS_Backend_Data!AF427)</f>
        <v/>
      </c>
      <c r="N425" t="e">
        <f>IF(MIS_Backend_Data!#REF!="", "", MIS_Backend_Data!#REF!)</f>
        <v>#REF!</v>
      </c>
    </row>
    <row r="426" spans="1:14" ht="14.5">
      <c r="A426">
        <v>422</v>
      </c>
      <c r="B426" s="145" t="e">
        <f>IF(MIS_Backend_Data!#REF!="", "", MIS_Backend_Data!#REF!)</f>
        <v>#REF!</v>
      </c>
      <c r="D426" t="str">
        <f>IF(MIS_Backend_Data!Q428="", "", MIS_Backend_Data!Q428)</f>
        <v/>
      </c>
      <c r="F426" t="e">
        <f>IF(MIS_Backend_Data!#REF!="", "", MIS_Backend_Data!#REF!)</f>
        <v>#REF!</v>
      </c>
      <c r="G426" t="str">
        <f>IF(MIS_Backend_Data!Y428="", "", MIS_Backend_Data!Y428)</f>
        <v/>
      </c>
      <c r="I426" t="e">
        <f>IF(MIS_Backend_Data!#REF!="", "", MIS_Backend_Data!#REF!)</f>
        <v>#REF!</v>
      </c>
      <c r="J426" t="str">
        <f>IF(MIS_Backend_Data!AD428="", "", MIS_Backend_Data!AD428)</f>
        <v/>
      </c>
      <c r="L426" t="str">
        <f>IF(MIS_Backend_Data!AF428="", "", MIS_Backend_Data!AF428)</f>
        <v/>
      </c>
      <c r="N426" t="e">
        <f>IF(MIS_Backend_Data!#REF!="", "", MIS_Backend_Data!#REF!)</f>
        <v>#REF!</v>
      </c>
    </row>
    <row r="427" spans="1:14" ht="14.5">
      <c r="A427">
        <v>423</v>
      </c>
      <c r="B427" s="145" t="e">
        <f>IF(MIS_Backend_Data!#REF!="", "", MIS_Backend_Data!#REF!)</f>
        <v>#REF!</v>
      </c>
      <c r="D427" t="str">
        <f>IF(MIS_Backend_Data!Q429="", "", MIS_Backend_Data!Q429)</f>
        <v/>
      </c>
      <c r="F427" t="e">
        <f>IF(MIS_Backend_Data!#REF!="", "", MIS_Backend_Data!#REF!)</f>
        <v>#REF!</v>
      </c>
      <c r="G427" t="str">
        <f>IF(MIS_Backend_Data!Y429="", "", MIS_Backend_Data!Y429)</f>
        <v/>
      </c>
      <c r="I427" t="e">
        <f>IF(MIS_Backend_Data!#REF!="", "", MIS_Backend_Data!#REF!)</f>
        <v>#REF!</v>
      </c>
      <c r="J427" t="str">
        <f>IF(MIS_Backend_Data!AD429="", "", MIS_Backend_Data!AD429)</f>
        <v/>
      </c>
      <c r="L427" t="str">
        <f>IF(MIS_Backend_Data!AF429="", "", MIS_Backend_Data!AF429)</f>
        <v/>
      </c>
      <c r="N427" t="e">
        <f>IF(MIS_Backend_Data!#REF!="", "", MIS_Backend_Data!#REF!)</f>
        <v>#REF!</v>
      </c>
    </row>
    <row r="428" spans="1:14" ht="14.5">
      <c r="A428">
        <v>424</v>
      </c>
      <c r="B428" s="145" t="e">
        <f>IF(MIS_Backend_Data!#REF!="", "", MIS_Backend_Data!#REF!)</f>
        <v>#REF!</v>
      </c>
      <c r="D428" t="str">
        <f>IF(MIS_Backend_Data!Q430="", "", MIS_Backend_Data!Q430)</f>
        <v/>
      </c>
      <c r="F428" t="e">
        <f>IF(MIS_Backend_Data!#REF!="", "", MIS_Backend_Data!#REF!)</f>
        <v>#REF!</v>
      </c>
      <c r="G428" t="str">
        <f>IF(MIS_Backend_Data!Y430="", "", MIS_Backend_Data!Y430)</f>
        <v/>
      </c>
      <c r="I428" t="e">
        <f>IF(MIS_Backend_Data!#REF!="", "", MIS_Backend_Data!#REF!)</f>
        <v>#REF!</v>
      </c>
      <c r="J428" t="str">
        <f>IF(MIS_Backend_Data!AD430="", "", MIS_Backend_Data!AD430)</f>
        <v/>
      </c>
      <c r="L428" t="str">
        <f>IF(MIS_Backend_Data!AF430="", "", MIS_Backend_Data!AF430)</f>
        <v/>
      </c>
      <c r="N428" t="e">
        <f>IF(MIS_Backend_Data!#REF!="", "", MIS_Backend_Data!#REF!)</f>
        <v>#REF!</v>
      </c>
    </row>
    <row r="429" spans="1:14" ht="14.5">
      <c r="A429">
        <v>425</v>
      </c>
      <c r="B429" s="145" t="e">
        <f>IF(MIS_Backend_Data!#REF!="", "", MIS_Backend_Data!#REF!)</f>
        <v>#REF!</v>
      </c>
      <c r="D429" t="str">
        <f>IF(MIS_Backend_Data!Q431="", "", MIS_Backend_Data!Q431)</f>
        <v/>
      </c>
      <c r="F429" t="e">
        <f>IF(MIS_Backend_Data!#REF!="", "", MIS_Backend_Data!#REF!)</f>
        <v>#REF!</v>
      </c>
      <c r="G429" t="str">
        <f>IF(MIS_Backend_Data!Y431="", "", MIS_Backend_Data!Y431)</f>
        <v/>
      </c>
      <c r="I429" t="e">
        <f>IF(MIS_Backend_Data!#REF!="", "", MIS_Backend_Data!#REF!)</f>
        <v>#REF!</v>
      </c>
      <c r="J429" t="str">
        <f>IF(MIS_Backend_Data!AD431="", "", MIS_Backend_Data!AD431)</f>
        <v/>
      </c>
      <c r="L429" t="str">
        <f>IF(MIS_Backend_Data!AF431="", "", MIS_Backend_Data!AF431)</f>
        <v/>
      </c>
      <c r="N429" t="e">
        <f>IF(MIS_Backend_Data!#REF!="", "", MIS_Backend_Data!#REF!)</f>
        <v>#REF!</v>
      </c>
    </row>
    <row r="430" spans="1:14" ht="14.5">
      <c r="A430">
        <v>426</v>
      </c>
      <c r="B430" s="145" t="e">
        <f>IF(MIS_Backend_Data!#REF!="", "", MIS_Backend_Data!#REF!)</f>
        <v>#REF!</v>
      </c>
      <c r="D430" t="str">
        <f>IF(MIS_Backend_Data!Q432="", "", MIS_Backend_Data!Q432)</f>
        <v/>
      </c>
      <c r="F430" t="e">
        <f>IF(MIS_Backend_Data!#REF!="", "", MIS_Backend_Data!#REF!)</f>
        <v>#REF!</v>
      </c>
      <c r="G430" t="str">
        <f>IF(MIS_Backend_Data!Y432="", "", MIS_Backend_Data!Y432)</f>
        <v/>
      </c>
      <c r="I430" t="e">
        <f>IF(MIS_Backend_Data!#REF!="", "", MIS_Backend_Data!#REF!)</f>
        <v>#REF!</v>
      </c>
      <c r="J430" t="str">
        <f>IF(MIS_Backend_Data!AD432="", "", MIS_Backend_Data!AD432)</f>
        <v/>
      </c>
      <c r="L430" t="str">
        <f>IF(MIS_Backend_Data!AF432="", "", MIS_Backend_Data!AF432)</f>
        <v/>
      </c>
      <c r="N430" t="e">
        <f>IF(MIS_Backend_Data!#REF!="", "", MIS_Backend_Data!#REF!)</f>
        <v>#REF!</v>
      </c>
    </row>
    <row r="431" spans="1:14" ht="14.5">
      <c r="A431">
        <v>427</v>
      </c>
      <c r="B431" s="145" t="e">
        <f>IF(MIS_Backend_Data!#REF!="", "", MIS_Backend_Data!#REF!)</f>
        <v>#REF!</v>
      </c>
      <c r="D431" t="str">
        <f>IF(MIS_Backend_Data!Q433="", "", MIS_Backend_Data!Q433)</f>
        <v/>
      </c>
      <c r="F431" t="e">
        <f>IF(MIS_Backend_Data!#REF!="", "", MIS_Backend_Data!#REF!)</f>
        <v>#REF!</v>
      </c>
      <c r="G431" t="str">
        <f>IF(MIS_Backend_Data!Y433="", "", MIS_Backend_Data!Y433)</f>
        <v/>
      </c>
      <c r="I431" t="e">
        <f>IF(MIS_Backend_Data!#REF!="", "", MIS_Backend_Data!#REF!)</f>
        <v>#REF!</v>
      </c>
      <c r="J431" t="str">
        <f>IF(MIS_Backend_Data!AD433="", "", MIS_Backend_Data!AD433)</f>
        <v/>
      </c>
      <c r="L431" t="str">
        <f>IF(MIS_Backend_Data!AF433="", "", MIS_Backend_Data!AF433)</f>
        <v/>
      </c>
      <c r="N431" t="e">
        <f>IF(MIS_Backend_Data!#REF!="", "", MIS_Backend_Data!#REF!)</f>
        <v>#REF!</v>
      </c>
    </row>
    <row r="432" spans="1:14" ht="14.5">
      <c r="A432">
        <v>428</v>
      </c>
      <c r="B432" s="145" t="e">
        <f>IF(MIS_Backend_Data!#REF!="", "", MIS_Backend_Data!#REF!)</f>
        <v>#REF!</v>
      </c>
      <c r="D432" t="str">
        <f>IF(MIS_Backend_Data!Q434="", "", MIS_Backend_Data!Q434)</f>
        <v/>
      </c>
      <c r="F432" t="e">
        <f>IF(MIS_Backend_Data!#REF!="", "", MIS_Backend_Data!#REF!)</f>
        <v>#REF!</v>
      </c>
      <c r="G432" t="str">
        <f>IF(MIS_Backend_Data!Y434="", "", MIS_Backend_Data!Y434)</f>
        <v/>
      </c>
      <c r="I432" t="e">
        <f>IF(MIS_Backend_Data!#REF!="", "", MIS_Backend_Data!#REF!)</f>
        <v>#REF!</v>
      </c>
      <c r="J432" t="str">
        <f>IF(MIS_Backend_Data!AD434="", "", MIS_Backend_Data!AD434)</f>
        <v/>
      </c>
      <c r="L432" t="str">
        <f>IF(MIS_Backend_Data!AF434="", "", MIS_Backend_Data!AF434)</f>
        <v/>
      </c>
      <c r="N432" t="e">
        <f>IF(MIS_Backend_Data!#REF!="", "", MIS_Backend_Data!#REF!)</f>
        <v>#REF!</v>
      </c>
    </row>
    <row r="433" spans="1:14" ht="14.5">
      <c r="A433">
        <v>429</v>
      </c>
      <c r="B433" s="145" t="e">
        <f>IF(MIS_Backend_Data!#REF!="", "", MIS_Backend_Data!#REF!)</f>
        <v>#REF!</v>
      </c>
      <c r="D433" t="str">
        <f>IF(MIS_Backend_Data!Q435="", "", MIS_Backend_Data!Q435)</f>
        <v/>
      </c>
      <c r="F433" t="e">
        <f>IF(MIS_Backend_Data!#REF!="", "", MIS_Backend_Data!#REF!)</f>
        <v>#REF!</v>
      </c>
      <c r="G433" t="str">
        <f>IF(MIS_Backend_Data!Y435="", "", MIS_Backend_Data!Y435)</f>
        <v/>
      </c>
      <c r="I433" t="e">
        <f>IF(MIS_Backend_Data!#REF!="", "", MIS_Backend_Data!#REF!)</f>
        <v>#REF!</v>
      </c>
      <c r="J433" t="str">
        <f>IF(MIS_Backend_Data!AD435="", "", MIS_Backend_Data!AD435)</f>
        <v/>
      </c>
      <c r="L433" t="str">
        <f>IF(MIS_Backend_Data!AF435="", "", MIS_Backend_Data!AF435)</f>
        <v/>
      </c>
      <c r="N433" t="e">
        <f>IF(MIS_Backend_Data!#REF!="", "", MIS_Backend_Data!#REF!)</f>
        <v>#REF!</v>
      </c>
    </row>
    <row r="434" spans="1:14" ht="14.5">
      <c r="A434">
        <v>430</v>
      </c>
      <c r="B434" s="145" t="e">
        <f>IF(MIS_Backend_Data!#REF!="", "", MIS_Backend_Data!#REF!)</f>
        <v>#REF!</v>
      </c>
      <c r="D434" t="str">
        <f>IF(MIS_Backend_Data!Q436="", "", MIS_Backend_Data!Q436)</f>
        <v/>
      </c>
      <c r="F434" t="e">
        <f>IF(MIS_Backend_Data!#REF!="", "", MIS_Backend_Data!#REF!)</f>
        <v>#REF!</v>
      </c>
      <c r="G434" t="str">
        <f>IF(MIS_Backend_Data!Y436="", "", MIS_Backend_Data!Y436)</f>
        <v/>
      </c>
      <c r="I434" t="e">
        <f>IF(MIS_Backend_Data!#REF!="", "", MIS_Backend_Data!#REF!)</f>
        <v>#REF!</v>
      </c>
      <c r="J434" t="str">
        <f>IF(MIS_Backend_Data!AD436="", "", MIS_Backend_Data!AD436)</f>
        <v/>
      </c>
      <c r="L434" t="str">
        <f>IF(MIS_Backend_Data!AF436="", "", MIS_Backend_Data!AF436)</f>
        <v/>
      </c>
      <c r="N434" t="e">
        <f>IF(MIS_Backend_Data!#REF!="", "", MIS_Backend_Data!#REF!)</f>
        <v>#REF!</v>
      </c>
    </row>
    <row r="435" spans="1:14" ht="14.5">
      <c r="A435">
        <v>431</v>
      </c>
      <c r="B435" s="145" t="e">
        <f>IF(MIS_Backend_Data!#REF!="", "", MIS_Backend_Data!#REF!)</f>
        <v>#REF!</v>
      </c>
      <c r="D435" t="str">
        <f>IF(MIS_Backend_Data!Q437="", "", MIS_Backend_Data!Q437)</f>
        <v/>
      </c>
      <c r="F435" t="e">
        <f>IF(MIS_Backend_Data!#REF!="", "", MIS_Backend_Data!#REF!)</f>
        <v>#REF!</v>
      </c>
      <c r="G435" t="str">
        <f>IF(MIS_Backend_Data!Y437="", "", MIS_Backend_Data!Y437)</f>
        <v/>
      </c>
      <c r="I435" t="e">
        <f>IF(MIS_Backend_Data!#REF!="", "", MIS_Backend_Data!#REF!)</f>
        <v>#REF!</v>
      </c>
      <c r="J435" t="str">
        <f>IF(MIS_Backend_Data!AD437="", "", MIS_Backend_Data!AD437)</f>
        <v/>
      </c>
      <c r="L435" t="str">
        <f>IF(MIS_Backend_Data!AF437="", "", MIS_Backend_Data!AF437)</f>
        <v/>
      </c>
      <c r="N435" t="e">
        <f>IF(MIS_Backend_Data!#REF!="", "", MIS_Backend_Data!#REF!)</f>
        <v>#REF!</v>
      </c>
    </row>
    <row r="436" spans="1:14" ht="14.5">
      <c r="A436">
        <v>432</v>
      </c>
      <c r="B436" s="145" t="e">
        <f>IF(MIS_Backend_Data!#REF!="", "", MIS_Backend_Data!#REF!)</f>
        <v>#REF!</v>
      </c>
      <c r="D436" t="str">
        <f>IF(MIS_Backend_Data!Q438="", "", MIS_Backend_Data!Q438)</f>
        <v/>
      </c>
      <c r="F436" t="e">
        <f>IF(MIS_Backend_Data!#REF!="", "", MIS_Backend_Data!#REF!)</f>
        <v>#REF!</v>
      </c>
      <c r="G436" t="str">
        <f>IF(MIS_Backend_Data!Y438="", "", MIS_Backend_Data!Y438)</f>
        <v/>
      </c>
      <c r="I436" t="e">
        <f>IF(MIS_Backend_Data!#REF!="", "", MIS_Backend_Data!#REF!)</f>
        <v>#REF!</v>
      </c>
      <c r="J436" t="str">
        <f>IF(MIS_Backend_Data!AD438="", "", MIS_Backend_Data!AD438)</f>
        <v/>
      </c>
      <c r="L436" t="str">
        <f>IF(MIS_Backend_Data!AF438="", "", MIS_Backend_Data!AF438)</f>
        <v/>
      </c>
      <c r="N436" t="e">
        <f>IF(MIS_Backend_Data!#REF!="", "", MIS_Backend_Data!#REF!)</f>
        <v>#REF!</v>
      </c>
    </row>
    <row r="437" spans="1:14" ht="14.5">
      <c r="A437">
        <v>433</v>
      </c>
      <c r="B437" s="145" t="e">
        <f>IF(MIS_Backend_Data!#REF!="", "", MIS_Backend_Data!#REF!)</f>
        <v>#REF!</v>
      </c>
      <c r="D437" t="str">
        <f>IF(MIS_Backend_Data!Q439="", "", MIS_Backend_Data!Q439)</f>
        <v/>
      </c>
      <c r="F437" t="e">
        <f>IF(MIS_Backend_Data!#REF!="", "", MIS_Backend_Data!#REF!)</f>
        <v>#REF!</v>
      </c>
      <c r="G437" t="str">
        <f>IF(MIS_Backend_Data!Y439="", "", MIS_Backend_Data!Y439)</f>
        <v/>
      </c>
      <c r="I437" t="e">
        <f>IF(MIS_Backend_Data!#REF!="", "", MIS_Backend_Data!#REF!)</f>
        <v>#REF!</v>
      </c>
      <c r="J437" t="str">
        <f>IF(MIS_Backend_Data!AD439="", "", MIS_Backend_Data!AD439)</f>
        <v/>
      </c>
      <c r="L437" t="str">
        <f>IF(MIS_Backend_Data!AF439="", "", MIS_Backend_Data!AF439)</f>
        <v/>
      </c>
      <c r="N437" t="e">
        <f>IF(MIS_Backend_Data!#REF!="", "", MIS_Backend_Data!#REF!)</f>
        <v>#REF!</v>
      </c>
    </row>
    <row r="438" spans="1:14" ht="14.5">
      <c r="A438">
        <v>434</v>
      </c>
      <c r="B438" s="145" t="e">
        <f>IF(MIS_Backend_Data!#REF!="", "", MIS_Backend_Data!#REF!)</f>
        <v>#REF!</v>
      </c>
      <c r="D438" t="str">
        <f>IF(MIS_Backend_Data!Q440="", "", MIS_Backend_Data!Q440)</f>
        <v/>
      </c>
      <c r="F438" t="e">
        <f>IF(MIS_Backend_Data!#REF!="", "", MIS_Backend_Data!#REF!)</f>
        <v>#REF!</v>
      </c>
      <c r="G438" t="str">
        <f>IF(MIS_Backend_Data!Y440="", "", MIS_Backend_Data!Y440)</f>
        <v/>
      </c>
      <c r="I438" t="e">
        <f>IF(MIS_Backend_Data!#REF!="", "", MIS_Backend_Data!#REF!)</f>
        <v>#REF!</v>
      </c>
      <c r="J438" t="str">
        <f>IF(MIS_Backend_Data!AD440="", "", MIS_Backend_Data!AD440)</f>
        <v/>
      </c>
      <c r="L438" t="str">
        <f>IF(MIS_Backend_Data!AF440="", "", MIS_Backend_Data!AF440)</f>
        <v/>
      </c>
      <c r="N438" t="e">
        <f>IF(MIS_Backend_Data!#REF!="", "", MIS_Backend_Data!#REF!)</f>
        <v>#REF!</v>
      </c>
    </row>
    <row r="439" spans="1:14" ht="14.5">
      <c r="A439">
        <v>435</v>
      </c>
      <c r="B439" s="145" t="e">
        <f>IF(MIS_Backend_Data!#REF!="", "", MIS_Backend_Data!#REF!)</f>
        <v>#REF!</v>
      </c>
      <c r="D439" t="str">
        <f>IF(MIS_Backend_Data!Q441="", "", MIS_Backend_Data!Q441)</f>
        <v/>
      </c>
      <c r="F439" t="e">
        <f>IF(MIS_Backend_Data!#REF!="", "", MIS_Backend_Data!#REF!)</f>
        <v>#REF!</v>
      </c>
      <c r="G439" t="str">
        <f>IF(MIS_Backend_Data!Y441="", "", MIS_Backend_Data!Y441)</f>
        <v/>
      </c>
      <c r="I439" t="e">
        <f>IF(MIS_Backend_Data!#REF!="", "", MIS_Backend_Data!#REF!)</f>
        <v>#REF!</v>
      </c>
      <c r="J439" t="str">
        <f>IF(MIS_Backend_Data!AD441="", "", MIS_Backend_Data!AD441)</f>
        <v/>
      </c>
      <c r="L439" t="str">
        <f>IF(MIS_Backend_Data!AF441="", "", MIS_Backend_Data!AF441)</f>
        <v/>
      </c>
      <c r="N439" t="e">
        <f>IF(MIS_Backend_Data!#REF!="", "", MIS_Backend_Data!#REF!)</f>
        <v>#REF!</v>
      </c>
    </row>
    <row r="440" spans="1:14" ht="14.5">
      <c r="A440">
        <v>436</v>
      </c>
      <c r="B440" s="145" t="e">
        <f>IF(MIS_Backend_Data!#REF!="", "", MIS_Backend_Data!#REF!)</f>
        <v>#REF!</v>
      </c>
      <c r="D440" t="str">
        <f>IF(MIS_Backend_Data!Q442="", "", MIS_Backend_Data!Q442)</f>
        <v/>
      </c>
      <c r="F440" t="e">
        <f>IF(MIS_Backend_Data!#REF!="", "", MIS_Backend_Data!#REF!)</f>
        <v>#REF!</v>
      </c>
      <c r="G440" t="str">
        <f>IF(MIS_Backend_Data!Y442="", "", MIS_Backend_Data!Y442)</f>
        <v/>
      </c>
      <c r="I440" t="e">
        <f>IF(MIS_Backend_Data!#REF!="", "", MIS_Backend_Data!#REF!)</f>
        <v>#REF!</v>
      </c>
      <c r="J440" t="str">
        <f>IF(MIS_Backend_Data!AD442="", "", MIS_Backend_Data!AD442)</f>
        <v/>
      </c>
      <c r="L440" t="str">
        <f>IF(MIS_Backend_Data!AF442="", "", MIS_Backend_Data!AF442)</f>
        <v/>
      </c>
      <c r="N440" t="e">
        <f>IF(MIS_Backend_Data!#REF!="", "", MIS_Backend_Data!#REF!)</f>
        <v>#REF!</v>
      </c>
    </row>
    <row r="441" spans="1:14" ht="14.5">
      <c r="A441">
        <v>437</v>
      </c>
      <c r="B441" s="145" t="e">
        <f>IF(MIS_Backend_Data!#REF!="", "", MIS_Backend_Data!#REF!)</f>
        <v>#REF!</v>
      </c>
      <c r="D441" t="str">
        <f>IF(MIS_Backend_Data!Q443="", "", MIS_Backend_Data!Q443)</f>
        <v/>
      </c>
      <c r="F441" t="e">
        <f>IF(MIS_Backend_Data!#REF!="", "", MIS_Backend_Data!#REF!)</f>
        <v>#REF!</v>
      </c>
      <c r="G441" t="str">
        <f>IF(MIS_Backend_Data!Y443="", "", MIS_Backend_Data!Y443)</f>
        <v/>
      </c>
      <c r="I441" t="e">
        <f>IF(MIS_Backend_Data!#REF!="", "", MIS_Backend_Data!#REF!)</f>
        <v>#REF!</v>
      </c>
      <c r="J441" t="str">
        <f>IF(MIS_Backend_Data!AD443="", "", MIS_Backend_Data!AD443)</f>
        <v/>
      </c>
      <c r="L441" t="str">
        <f>IF(MIS_Backend_Data!AF443="", "", MIS_Backend_Data!AF443)</f>
        <v/>
      </c>
      <c r="N441" t="e">
        <f>IF(MIS_Backend_Data!#REF!="", "", MIS_Backend_Data!#REF!)</f>
        <v>#REF!</v>
      </c>
    </row>
    <row r="442" spans="1:14" ht="14.5">
      <c r="A442">
        <v>438</v>
      </c>
      <c r="B442" s="145" t="e">
        <f>IF(MIS_Backend_Data!#REF!="", "", MIS_Backend_Data!#REF!)</f>
        <v>#REF!</v>
      </c>
      <c r="D442" t="str">
        <f>IF(MIS_Backend_Data!Q444="", "", MIS_Backend_Data!Q444)</f>
        <v/>
      </c>
      <c r="F442" t="e">
        <f>IF(MIS_Backend_Data!#REF!="", "", MIS_Backend_Data!#REF!)</f>
        <v>#REF!</v>
      </c>
      <c r="G442" t="str">
        <f>IF(MIS_Backend_Data!Y444="", "", MIS_Backend_Data!Y444)</f>
        <v/>
      </c>
      <c r="I442" t="e">
        <f>IF(MIS_Backend_Data!#REF!="", "", MIS_Backend_Data!#REF!)</f>
        <v>#REF!</v>
      </c>
      <c r="J442" t="str">
        <f>IF(MIS_Backend_Data!AD444="", "", MIS_Backend_Data!AD444)</f>
        <v/>
      </c>
      <c r="L442" t="str">
        <f>IF(MIS_Backend_Data!AF444="", "", MIS_Backend_Data!AF444)</f>
        <v/>
      </c>
      <c r="N442" t="e">
        <f>IF(MIS_Backend_Data!#REF!="", "", MIS_Backend_Data!#REF!)</f>
        <v>#REF!</v>
      </c>
    </row>
    <row r="443" spans="1:14" ht="14.5">
      <c r="A443">
        <v>439</v>
      </c>
      <c r="B443" s="145" t="e">
        <f>IF(MIS_Backend_Data!#REF!="", "", MIS_Backend_Data!#REF!)</f>
        <v>#REF!</v>
      </c>
      <c r="D443" t="str">
        <f>IF(MIS_Backend_Data!Q445="", "", MIS_Backend_Data!Q445)</f>
        <v/>
      </c>
      <c r="F443" t="e">
        <f>IF(MIS_Backend_Data!#REF!="", "", MIS_Backend_Data!#REF!)</f>
        <v>#REF!</v>
      </c>
      <c r="G443" t="str">
        <f>IF(MIS_Backend_Data!Y445="", "", MIS_Backend_Data!Y445)</f>
        <v/>
      </c>
      <c r="I443" t="e">
        <f>IF(MIS_Backend_Data!#REF!="", "", MIS_Backend_Data!#REF!)</f>
        <v>#REF!</v>
      </c>
      <c r="J443" t="str">
        <f>IF(MIS_Backend_Data!AD445="", "", MIS_Backend_Data!AD445)</f>
        <v/>
      </c>
      <c r="L443" t="str">
        <f>IF(MIS_Backend_Data!AF445="", "", MIS_Backend_Data!AF445)</f>
        <v/>
      </c>
      <c r="N443" t="e">
        <f>IF(MIS_Backend_Data!#REF!="", "", MIS_Backend_Data!#REF!)</f>
        <v>#REF!</v>
      </c>
    </row>
    <row r="444" spans="1:14" ht="14.5">
      <c r="A444">
        <v>440</v>
      </c>
      <c r="B444" s="145" t="e">
        <f>IF(MIS_Backend_Data!#REF!="", "", MIS_Backend_Data!#REF!)</f>
        <v>#REF!</v>
      </c>
      <c r="D444" t="str">
        <f>IF(MIS_Backend_Data!Q446="", "", MIS_Backend_Data!Q446)</f>
        <v/>
      </c>
      <c r="F444" t="e">
        <f>IF(MIS_Backend_Data!#REF!="", "", MIS_Backend_Data!#REF!)</f>
        <v>#REF!</v>
      </c>
      <c r="G444" t="str">
        <f>IF(MIS_Backend_Data!Y446="", "", MIS_Backend_Data!Y446)</f>
        <v/>
      </c>
      <c r="I444" t="e">
        <f>IF(MIS_Backend_Data!#REF!="", "", MIS_Backend_Data!#REF!)</f>
        <v>#REF!</v>
      </c>
      <c r="J444" t="str">
        <f>IF(MIS_Backend_Data!AD446="", "", MIS_Backend_Data!AD446)</f>
        <v/>
      </c>
      <c r="L444" t="str">
        <f>IF(MIS_Backend_Data!AF446="", "", MIS_Backend_Data!AF446)</f>
        <v/>
      </c>
      <c r="N444" t="e">
        <f>IF(MIS_Backend_Data!#REF!="", "", MIS_Backend_Data!#REF!)</f>
        <v>#REF!</v>
      </c>
    </row>
    <row r="445" spans="1:14" ht="14.5">
      <c r="A445">
        <v>441</v>
      </c>
      <c r="B445" s="145" t="e">
        <f>IF(MIS_Backend_Data!#REF!="", "", MIS_Backend_Data!#REF!)</f>
        <v>#REF!</v>
      </c>
      <c r="D445" t="str">
        <f>IF(MIS_Backend_Data!Q447="", "", MIS_Backend_Data!Q447)</f>
        <v/>
      </c>
      <c r="F445" t="e">
        <f>IF(MIS_Backend_Data!#REF!="", "", MIS_Backend_Data!#REF!)</f>
        <v>#REF!</v>
      </c>
      <c r="G445" t="str">
        <f>IF(MIS_Backend_Data!Y447="", "", MIS_Backend_Data!Y447)</f>
        <v/>
      </c>
      <c r="I445" t="e">
        <f>IF(MIS_Backend_Data!#REF!="", "", MIS_Backend_Data!#REF!)</f>
        <v>#REF!</v>
      </c>
      <c r="J445" t="str">
        <f>IF(MIS_Backend_Data!AD447="", "", MIS_Backend_Data!AD447)</f>
        <v/>
      </c>
      <c r="L445" t="str">
        <f>IF(MIS_Backend_Data!AF447="", "", MIS_Backend_Data!AF447)</f>
        <v/>
      </c>
      <c r="N445" t="e">
        <f>IF(MIS_Backend_Data!#REF!="", "", MIS_Backend_Data!#REF!)</f>
        <v>#REF!</v>
      </c>
    </row>
    <row r="446" spans="1:14" ht="14.5">
      <c r="A446">
        <v>442</v>
      </c>
      <c r="B446" s="145" t="e">
        <f>IF(MIS_Backend_Data!#REF!="", "", MIS_Backend_Data!#REF!)</f>
        <v>#REF!</v>
      </c>
      <c r="D446" t="str">
        <f>IF(MIS_Backend_Data!Q448="", "", MIS_Backend_Data!Q448)</f>
        <v/>
      </c>
      <c r="F446" t="e">
        <f>IF(MIS_Backend_Data!#REF!="", "", MIS_Backend_Data!#REF!)</f>
        <v>#REF!</v>
      </c>
      <c r="G446" t="str">
        <f>IF(MIS_Backend_Data!Y448="", "", MIS_Backend_Data!Y448)</f>
        <v/>
      </c>
      <c r="I446" t="e">
        <f>IF(MIS_Backend_Data!#REF!="", "", MIS_Backend_Data!#REF!)</f>
        <v>#REF!</v>
      </c>
      <c r="J446" t="str">
        <f>IF(MIS_Backend_Data!AD448="", "", MIS_Backend_Data!AD448)</f>
        <v/>
      </c>
      <c r="L446" t="str">
        <f>IF(MIS_Backend_Data!AF448="", "", MIS_Backend_Data!AF448)</f>
        <v/>
      </c>
      <c r="N446" t="e">
        <f>IF(MIS_Backend_Data!#REF!="", "", MIS_Backend_Data!#REF!)</f>
        <v>#REF!</v>
      </c>
    </row>
    <row r="447" spans="1:14" ht="14.5">
      <c r="A447">
        <v>443</v>
      </c>
      <c r="B447" s="145" t="e">
        <f>IF(MIS_Backend_Data!#REF!="", "", MIS_Backend_Data!#REF!)</f>
        <v>#REF!</v>
      </c>
      <c r="D447" t="str">
        <f>IF(MIS_Backend_Data!Q449="", "", MIS_Backend_Data!Q449)</f>
        <v/>
      </c>
      <c r="F447" t="e">
        <f>IF(MIS_Backend_Data!#REF!="", "", MIS_Backend_Data!#REF!)</f>
        <v>#REF!</v>
      </c>
      <c r="G447" t="str">
        <f>IF(MIS_Backend_Data!Y449="", "", MIS_Backend_Data!Y449)</f>
        <v/>
      </c>
      <c r="I447" t="e">
        <f>IF(MIS_Backend_Data!#REF!="", "", MIS_Backend_Data!#REF!)</f>
        <v>#REF!</v>
      </c>
      <c r="J447" t="str">
        <f>IF(MIS_Backend_Data!AD449="", "", MIS_Backend_Data!AD449)</f>
        <v/>
      </c>
      <c r="L447" t="str">
        <f>IF(MIS_Backend_Data!AF449="", "", MIS_Backend_Data!AF449)</f>
        <v/>
      </c>
      <c r="N447" t="e">
        <f>IF(MIS_Backend_Data!#REF!="", "", MIS_Backend_Data!#REF!)</f>
        <v>#REF!</v>
      </c>
    </row>
    <row r="448" spans="1:14" ht="14.5">
      <c r="A448">
        <v>444</v>
      </c>
      <c r="B448" s="145" t="e">
        <f>IF(MIS_Backend_Data!#REF!="", "", MIS_Backend_Data!#REF!)</f>
        <v>#REF!</v>
      </c>
      <c r="D448" t="str">
        <f>IF(MIS_Backend_Data!Q450="", "", MIS_Backend_Data!Q450)</f>
        <v/>
      </c>
      <c r="F448" t="e">
        <f>IF(MIS_Backend_Data!#REF!="", "", MIS_Backend_Data!#REF!)</f>
        <v>#REF!</v>
      </c>
      <c r="G448" t="str">
        <f>IF(MIS_Backend_Data!Y450="", "", MIS_Backend_Data!Y450)</f>
        <v/>
      </c>
      <c r="I448" t="e">
        <f>IF(MIS_Backend_Data!#REF!="", "", MIS_Backend_Data!#REF!)</f>
        <v>#REF!</v>
      </c>
      <c r="J448" t="str">
        <f>IF(MIS_Backend_Data!AD450="", "", MIS_Backend_Data!AD450)</f>
        <v/>
      </c>
      <c r="L448" t="str">
        <f>IF(MIS_Backend_Data!AF450="", "", MIS_Backend_Data!AF450)</f>
        <v/>
      </c>
      <c r="N448" t="e">
        <f>IF(MIS_Backend_Data!#REF!="", "", MIS_Backend_Data!#REF!)</f>
        <v>#REF!</v>
      </c>
    </row>
    <row r="449" spans="1:14" ht="14.5">
      <c r="A449">
        <v>445</v>
      </c>
      <c r="B449" s="145" t="e">
        <f>IF(MIS_Backend_Data!#REF!="", "", MIS_Backend_Data!#REF!)</f>
        <v>#REF!</v>
      </c>
      <c r="D449" t="str">
        <f>IF(MIS_Backend_Data!Q451="", "", MIS_Backend_Data!Q451)</f>
        <v/>
      </c>
      <c r="F449" t="e">
        <f>IF(MIS_Backend_Data!#REF!="", "", MIS_Backend_Data!#REF!)</f>
        <v>#REF!</v>
      </c>
      <c r="G449" t="str">
        <f>IF(MIS_Backend_Data!Y451="", "", MIS_Backend_Data!Y451)</f>
        <v/>
      </c>
      <c r="I449" t="e">
        <f>IF(MIS_Backend_Data!#REF!="", "", MIS_Backend_Data!#REF!)</f>
        <v>#REF!</v>
      </c>
      <c r="J449" t="str">
        <f>IF(MIS_Backend_Data!AD451="", "", MIS_Backend_Data!AD451)</f>
        <v/>
      </c>
      <c r="L449" t="str">
        <f>IF(MIS_Backend_Data!AF451="", "", MIS_Backend_Data!AF451)</f>
        <v/>
      </c>
      <c r="N449" t="e">
        <f>IF(MIS_Backend_Data!#REF!="", "", MIS_Backend_Data!#REF!)</f>
        <v>#REF!</v>
      </c>
    </row>
    <row r="450" spans="1:14" ht="14.5">
      <c r="A450">
        <v>446</v>
      </c>
      <c r="B450" s="145" t="e">
        <f>IF(MIS_Backend_Data!#REF!="", "", MIS_Backend_Data!#REF!)</f>
        <v>#REF!</v>
      </c>
      <c r="D450" t="str">
        <f>IF(MIS_Backend_Data!Q452="", "", MIS_Backend_Data!Q452)</f>
        <v/>
      </c>
      <c r="F450" t="e">
        <f>IF(MIS_Backend_Data!#REF!="", "", MIS_Backend_Data!#REF!)</f>
        <v>#REF!</v>
      </c>
      <c r="G450" t="str">
        <f>IF(MIS_Backend_Data!Y452="", "", MIS_Backend_Data!Y452)</f>
        <v/>
      </c>
      <c r="I450" t="e">
        <f>IF(MIS_Backend_Data!#REF!="", "", MIS_Backend_Data!#REF!)</f>
        <v>#REF!</v>
      </c>
      <c r="J450" t="str">
        <f>IF(MIS_Backend_Data!AD452="", "", MIS_Backend_Data!AD452)</f>
        <v/>
      </c>
      <c r="L450" t="str">
        <f>IF(MIS_Backend_Data!AF452="", "", MIS_Backend_Data!AF452)</f>
        <v/>
      </c>
      <c r="N450" t="e">
        <f>IF(MIS_Backend_Data!#REF!="", "", MIS_Backend_Data!#REF!)</f>
        <v>#REF!</v>
      </c>
    </row>
    <row r="451" spans="1:14" ht="14.5">
      <c r="A451">
        <v>447</v>
      </c>
      <c r="B451" s="145" t="e">
        <f>IF(MIS_Backend_Data!#REF!="", "", MIS_Backend_Data!#REF!)</f>
        <v>#REF!</v>
      </c>
      <c r="D451" t="str">
        <f>IF(MIS_Backend_Data!Q453="", "", MIS_Backend_Data!Q453)</f>
        <v/>
      </c>
      <c r="F451" t="e">
        <f>IF(MIS_Backend_Data!#REF!="", "", MIS_Backend_Data!#REF!)</f>
        <v>#REF!</v>
      </c>
      <c r="G451" t="str">
        <f>IF(MIS_Backend_Data!Y453="", "", MIS_Backend_Data!Y453)</f>
        <v/>
      </c>
      <c r="I451" t="e">
        <f>IF(MIS_Backend_Data!#REF!="", "", MIS_Backend_Data!#REF!)</f>
        <v>#REF!</v>
      </c>
      <c r="J451" t="str">
        <f>IF(MIS_Backend_Data!AD453="", "", MIS_Backend_Data!AD453)</f>
        <v/>
      </c>
      <c r="L451" t="str">
        <f>IF(MIS_Backend_Data!AF453="", "", MIS_Backend_Data!AF453)</f>
        <v/>
      </c>
      <c r="N451" t="e">
        <f>IF(MIS_Backend_Data!#REF!="", "", MIS_Backend_Data!#REF!)</f>
        <v>#REF!</v>
      </c>
    </row>
    <row r="452" spans="1:14" ht="14.5">
      <c r="A452">
        <v>448</v>
      </c>
      <c r="B452" s="145" t="e">
        <f>IF(MIS_Backend_Data!#REF!="", "", MIS_Backend_Data!#REF!)</f>
        <v>#REF!</v>
      </c>
      <c r="D452" t="str">
        <f>IF(MIS_Backend_Data!Q454="", "", MIS_Backend_Data!Q454)</f>
        <v/>
      </c>
      <c r="F452" t="e">
        <f>IF(MIS_Backend_Data!#REF!="", "", MIS_Backend_Data!#REF!)</f>
        <v>#REF!</v>
      </c>
      <c r="G452" t="str">
        <f>IF(MIS_Backend_Data!Y454="", "", MIS_Backend_Data!Y454)</f>
        <v/>
      </c>
      <c r="I452" t="e">
        <f>IF(MIS_Backend_Data!#REF!="", "", MIS_Backend_Data!#REF!)</f>
        <v>#REF!</v>
      </c>
      <c r="J452" t="str">
        <f>IF(MIS_Backend_Data!AD454="", "", MIS_Backend_Data!AD454)</f>
        <v/>
      </c>
      <c r="L452" t="str">
        <f>IF(MIS_Backend_Data!AF454="", "", MIS_Backend_Data!AF454)</f>
        <v/>
      </c>
      <c r="N452" t="e">
        <f>IF(MIS_Backend_Data!#REF!="", "", MIS_Backend_Data!#REF!)</f>
        <v>#REF!</v>
      </c>
    </row>
    <row r="453" spans="1:14" ht="14.5">
      <c r="A453">
        <v>449</v>
      </c>
      <c r="B453" s="145" t="e">
        <f>IF(MIS_Backend_Data!#REF!="", "", MIS_Backend_Data!#REF!)</f>
        <v>#REF!</v>
      </c>
      <c r="D453" t="str">
        <f>IF(MIS_Backend_Data!Q455="", "", MIS_Backend_Data!Q455)</f>
        <v/>
      </c>
      <c r="F453" t="e">
        <f>IF(MIS_Backend_Data!#REF!="", "", MIS_Backend_Data!#REF!)</f>
        <v>#REF!</v>
      </c>
      <c r="G453" t="str">
        <f>IF(MIS_Backend_Data!Y455="", "", MIS_Backend_Data!Y455)</f>
        <v/>
      </c>
      <c r="I453" t="e">
        <f>IF(MIS_Backend_Data!#REF!="", "", MIS_Backend_Data!#REF!)</f>
        <v>#REF!</v>
      </c>
      <c r="J453" t="str">
        <f>IF(MIS_Backend_Data!AD455="", "", MIS_Backend_Data!AD455)</f>
        <v/>
      </c>
      <c r="L453" t="str">
        <f>IF(MIS_Backend_Data!AF455="", "", MIS_Backend_Data!AF455)</f>
        <v/>
      </c>
      <c r="N453" t="e">
        <f>IF(MIS_Backend_Data!#REF!="", "", MIS_Backend_Data!#REF!)</f>
        <v>#REF!</v>
      </c>
    </row>
    <row r="454" spans="1:14" ht="14.5">
      <c r="A454">
        <v>450</v>
      </c>
      <c r="B454" s="145" t="e">
        <f>IF(MIS_Backend_Data!#REF!="", "", MIS_Backend_Data!#REF!)</f>
        <v>#REF!</v>
      </c>
      <c r="D454" t="str">
        <f>IF(MIS_Backend_Data!Q456="", "", MIS_Backend_Data!Q456)</f>
        <v/>
      </c>
      <c r="F454" t="e">
        <f>IF(MIS_Backend_Data!#REF!="", "", MIS_Backend_Data!#REF!)</f>
        <v>#REF!</v>
      </c>
      <c r="G454" t="str">
        <f>IF(MIS_Backend_Data!Y456="", "", MIS_Backend_Data!Y456)</f>
        <v/>
      </c>
      <c r="I454" t="e">
        <f>IF(MIS_Backend_Data!#REF!="", "", MIS_Backend_Data!#REF!)</f>
        <v>#REF!</v>
      </c>
      <c r="J454" t="str">
        <f>IF(MIS_Backend_Data!AD456="", "", MIS_Backend_Data!AD456)</f>
        <v/>
      </c>
      <c r="L454" t="str">
        <f>IF(MIS_Backend_Data!AF456="", "", MIS_Backend_Data!AF456)</f>
        <v/>
      </c>
      <c r="N454" t="e">
        <f>IF(MIS_Backend_Data!#REF!="", "", MIS_Backend_Data!#REF!)</f>
        <v>#REF!</v>
      </c>
    </row>
    <row r="455" spans="1:14" ht="14.5">
      <c r="A455">
        <v>451</v>
      </c>
      <c r="B455" s="145" t="e">
        <f>IF(MIS_Backend_Data!#REF!="", "", MIS_Backend_Data!#REF!)</f>
        <v>#REF!</v>
      </c>
      <c r="D455" t="str">
        <f>IF(MIS_Backend_Data!Q457="", "", MIS_Backend_Data!Q457)</f>
        <v/>
      </c>
      <c r="F455" t="e">
        <f>IF(MIS_Backend_Data!#REF!="", "", MIS_Backend_Data!#REF!)</f>
        <v>#REF!</v>
      </c>
      <c r="G455" t="str">
        <f>IF(MIS_Backend_Data!Y457="", "", MIS_Backend_Data!Y457)</f>
        <v/>
      </c>
      <c r="I455" t="e">
        <f>IF(MIS_Backend_Data!#REF!="", "", MIS_Backend_Data!#REF!)</f>
        <v>#REF!</v>
      </c>
      <c r="J455" t="str">
        <f>IF(MIS_Backend_Data!AD457="", "", MIS_Backend_Data!AD457)</f>
        <v/>
      </c>
      <c r="L455" t="str">
        <f>IF(MIS_Backend_Data!AF457="", "", MIS_Backend_Data!AF457)</f>
        <v/>
      </c>
      <c r="N455" t="e">
        <f>IF(MIS_Backend_Data!#REF!="", "", MIS_Backend_Data!#REF!)</f>
        <v>#REF!</v>
      </c>
    </row>
    <row r="456" spans="1:14" ht="14.5">
      <c r="A456">
        <v>452</v>
      </c>
      <c r="B456" s="145" t="e">
        <f>IF(MIS_Backend_Data!#REF!="", "", MIS_Backend_Data!#REF!)</f>
        <v>#REF!</v>
      </c>
      <c r="D456" t="str">
        <f>IF(MIS_Backend_Data!Q458="", "", MIS_Backend_Data!Q458)</f>
        <v/>
      </c>
      <c r="F456" t="e">
        <f>IF(MIS_Backend_Data!#REF!="", "", MIS_Backend_Data!#REF!)</f>
        <v>#REF!</v>
      </c>
      <c r="G456" t="str">
        <f>IF(MIS_Backend_Data!Y458="", "", MIS_Backend_Data!Y458)</f>
        <v/>
      </c>
      <c r="I456" t="e">
        <f>IF(MIS_Backend_Data!#REF!="", "", MIS_Backend_Data!#REF!)</f>
        <v>#REF!</v>
      </c>
      <c r="J456" t="str">
        <f>IF(MIS_Backend_Data!AD458="", "", MIS_Backend_Data!AD458)</f>
        <v/>
      </c>
      <c r="L456" t="str">
        <f>IF(MIS_Backend_Data!AF458="", "", MIS_Backend_Data!AF458)</f>
        <v/>
      </c>
      <c r="N456" t="e">
        <f>IF(MIS_Backend_Data!#REF!="", "", MIS_Backend_Data!#REF!)</f>
        <v>#REF!</v>
      </c>
    </row>
    <row r="457" spans="1:14" ht="14.5">
      <c r="A457">
        <v>453</v>
      </c>
      <c r="B457" s="145" t="e">
        <f>IF(MIS_Backend_Data!#REF!="", "", MIS_Backend_Data!#REF!)</f>
        <v>#REF!</v>
      </c>
      <c r="D457" t="str">
        <f>IF(MIS_Backend_Data!Q459="", "", MIS_Backend_Data!Q459)</f>
        <v/>
      </c>
      <c r="F457" t="e">
        <f>IF(MIS_Backend_Data!#REF!="", "", MIS_Backend_Data!#REF!)</f>
        <v>#REF!</v>
      </c>
      <c r="G457" t="str">
        <f>IF(MIS_Backend_Data!Y459="", "", MIS_Backend_Data!Y459)</f>
        <v/>
      </c>
      <c r="I457" t="e">
        <f>IF(MIS_Backend_Data!#REF!="", "", MIS_Backend_Data!#REF!)</f>
        <v>#REF!</v>
      </c>
      <c r="J457" t="str">
        <f>IF(MIS_Backend_Data!AD459="", "", MIS_Backend_Data!AD459)</f>
        <v/>
      </c>
      <c r="L457" t="str">
        <f>IF(MIS_Backend_Data!AF459="", "", MIS_Backend_Data!AF459)</f>
        <v/>
      </c>
      <c r="N457" t="e">
        <f>IF(MIS_Backend_Data!#REF!="", "", MIS_Backend_Data!#REF!)</f>
        <v>#REF!</v>
      </c>
    </row>
    <row r="458" spans="1:14" ht="14.5">
      <c r="A458">
        <v>454</v>
      </c>
      <c r="B458" s="145" t="e">
        <f>IF(MIS_Backend_Data!#REF!="", "", MIS_Backend_Data!#REF!)</f>
        <v>#REF!</v>
      </c>
      <c r="D458" t="str">
        <f>IF(MIS_Backend_Data!Q460="", "", MIS_Backend_Data!Q460)</f>
        <v/>
      </c>
      <c r="F458" t="e">
        <f>IF(MIS_Backend_Data!#REF!="", "", MIS_Backend_Data!#REF!)</f>
        <v>#REF!</v>
      </c>
      <c r="G458" t="str">
        <f>IF(MIS_Backend_Data!Y460="", "", MIS_Backend_Data!Y460)</f>
        <v/>
      </c>
      <c r="I458" t="e">
        <f>IF(MIS_Backend_Data!#REF!="", "", MIS_Backend_Data!#REF!)</f>
        <v>#REF!</v>
      </c>
      <c r="J458" t="str">
        <f>IF(MIS_Backend_Data!AD460="", "", MIS_Backend_Data!AD460)</f>
        <v/>
      </c>
      <c r="L458" t="str">
        <f>IF(MIS_Backend_Data!AF460="", "", MIS_Backend_Data!AF460)</f>
        <v/>
      </c>
      <c r="N458" t="e">
        <f>IF(MIS_Backend_Data!#REF!="", "", MIS_Backend_Data!#REF!)</f>
        <v>#REF!</v>
      </c>
    </row>
    <row r="459" spans="1:14" ht="14.5">
      <c r="A459">
        <v>455</v>
      </c>
      <c r="B459" s="145" t="e">
        <f>IF(MIS_Backend_Data!#REF!="", "", MIS_Backend_Data!#REF!)</f>
        <v>#REF!</v>
      </c>
      <c r="D459" t="str">
        <f>IF(MIS_Backend_Data!Q461="", "", MIS_Backend_Data!Q461)</f>
        <v/>
      </c>
      <c r="F459" t="e">
        <f>IF(MIS_Backend_Data!#REF!="", "", MIS_Backend_Data!#REF!)</f>
        <v>#REF!</v>
      </c>
      <c r="G459" t="str">
        <f>IF(MIS_Backend_Data!Y461="", "", MIS_Backend_Data!Y461)</f>
        <v/>
      </c>
      <c r="I459" t="e">
        <f>IF(MIS_Backend_Data!#REF!="", "", MIS_Backend_Data!#REF!)</f>
        <v>#REF!</v>
      </c>
      <c r="J459" t="str">
        <f>IF(MIS_Backend_Data!AD461="", "", MIS_Backend_Data!AD461)</f>
        <v/>
      </c>
      <c r="L459" t="str">
        <f>IF(MIS_Backend_Data!AF461="", "", MIS_Backend_Data!AF461)</f>
        <v/>
      </c>
      <c r="N459" t="e">
        <f>IF(MIS_Backend_Data!#REF!="", "", MIS_Backend_Data!#REF!)</f>
        <v>#REF!</v>
      </c>
    </row>
    <row r="460" spans="1:14" ht="14.5">
      <c r="A460">
        <v>456</v>
      </c>
      <c r="B460" s="145" t="e">
        <f>IF(MIS_Backend_Data!#REF!="", "", MIS_Backend_Data!#REF!)</f>
        <v>#REF!</v>
      </c>
      <c r="D460" t="str">
        <f>IF(MIS_Backend_Data!Q462="", "", MIS_Backend_Data!Q462)</f>
        <v/>
      </c>
      <c r="F460" t="e">
        <f>IF(MIS_Backend_Data!#REF!="", "", MIS_Backend_Data!#REF!)</f>
        <v>#REF!</v>
      </c>
      <c r="G460" t="str">
        <f>IF(MIS_Backend_Data!Y462="", "", MIS_Backend_Data!Y462)</f>
        <v/>
      </c>
      <c r="I460" t="e">
        <f>IF(MIS_Backend_Data!#REF!="", "", MIS_Backend_Data!#REF!)</f>
        <v>#REF!</v>
      </c>
      <c r="J460" t="str">
        <f>IF(MIS_Backend_Data!AD462="", "", MIS_Backend_Data!AD462)</f>
        <v/>
      </c>
      <c r="L460" t="str">
        <f>IF(MIS_Backend_Data!AF462="", "", MIS_Backend_Data!AF462)</f>
        <v/>
      </c>
      <c r="N460" t="e">
        <f>IF(MIS_Backend_Data!#REF!="", "", MIS_Backend_Data!#REF!)</f>
        <v>#REF!</v>
      </c>
    </row>
    <row r="461" spans="1:14" ht="14.5">
      <c r="A461">
        <v>457</v>
      </c>
      <c r="B461" s="145" t="e">
        <f>IF(MIS_Backend_Data!#REF!="", "", MIS_Backend_Data!#REF!)</f>
        <v>#REF!</v>
      </c>
      <c r="D461" t="str">
        <f>IF(MIS_Backend_Data!Q463="", "", MIS_Backend_Data!Q463)</f>
        <v/>
      </c>
      <c r="F461" t="e">
        <f>IF(MIS_Backend_Data!#REF!="", "", MIS_Backend_Data!#REF!)</f>
        <v>#REF!</v>
      </c>
      <c r="G461" t="str">
        <f>IF(MIS_Backend_Data!Y463="", "", MIS_Backend_Data!Y463)</f>
        <v/>
      </c>
      <c r="I461" t="e">
        <f>IF(MIS_Backend_Data!#REF!="", "", MIS_Backend_Data!#REF!)</f>
        <v>#REF!</v>
      </c>
      <c r="J461" t="str">
        <f>IF(MIS_Backend_Data!AD463="", "", MIS_Backend_Data!AD463)</f>
        <v/>
      </c>
      <c r="L461" t="str">
        <f>IF(MIS_Backend_Data!AF463="", "", MIS_Backend_Data!AF463)</f>
        <v/>
      </c>
      <c r="N461" t="e">
        <f>IF(MIS_Backend_Data!#REF!="", "", MIS_Backend_Data!#REF!)</f>
        <v>#REF!</v>
      </c>
    </row>
    <row r="462" spans="1:14" ht="14.5">
      <c r="A462">
        <v>458</v>
      </c>
      <c r="B462" s="145" t="e">
        <f>IF(MIS_Backend_Data!#REF!="", "", MIS_Backend_Data!#REF!)</f>
        <v>#REF!</v>
      </c>
      <c r="D462" t="str">
        <f>IF(MIS_Backend_Data!Q464="", "", MIS_Backend_Data!Q464)</f>
        <v/>
      </c>
      <c r="F462" t="e">
        <f>IF(MIS_Backend_Data!#REF!="", "", MIS_Backend_Data!#REF!)</f>
        <v>#REF!</v>
      </c>
      <c r="G462" t="str">
        <f>IF(MIS_Backend_Data!Y464="", "", MIS_Backend_Data!Y464)</f>
        <v/>
      </c>
      <c r="I462" t="e">
        <f>IF(MIS_Backend_Data!#REF!="", "", MIS_Backend_Data!#REF!)</f>
        <v>#REF!</v>
      </c>
      <c r="J462" t="str">
        <f>IF(MIS_Backend_Data!AD464="", "", MIS_Backend_Data!AD464)</f>
        <v/>
      </c>
      <c r="L462" t="str">
        <f>IF(MIS_Backend_Data!AF464="", "", MIS_Backend_Data!AF464)</f>
        <v/>
      </c>
      <c r="N462" t="e">
        <f>IF(MIS_Backend_Data!#REF!="", "", MIS_Backend_Data!#REF!)</f>
        <v>#REF!</v>
      </c>
    </row>
    <row r="463" spans="1:14" ht="14.5">
      <c r="A463">
        <v>459</v>
      </c>
      <c r="B463" s="145" t="e">
        <f>IF(MIS_Backend_Data!#REF!="", "", MIS_Backend_Data!#REF!)</f>
        <v>#REF!</v>
      </c>
      <c r="D463" t="str">
        <f>IF(MIS_Backend_Data!Q465="", "", MIS_Backend_Data!Q465)</f>
        <v/>
      </c>
      <c r="F463" t="e">
        <f>IF(MIS_Backend_Data!#REF!="", "", MIS_Backend_Data!#REF!)</f>
        <v>#REF!</v>
      </c>
      <c r="G463" t="str">
        <f>IF(MIS_Backend_Data!Y465="", "", MIS_Backend_Data!Y465)</f>
        <v/>
      </c>
      <c r="I463" t="e">
        <f>IF(MIS_Backend_Data!#REF!="", "", MIS_Backend_Data!#REF!)</f>
        <v>#REF!</v>
      </c>
      <c r="J463" t="str">
        <f>IF(MIS_Backend_Data!AD465="", "", MIS_Backend_Data!AD465)</f>
        <v/>
      </c>
      <c r="L463" t="str">
        <f>IF(MIS_Backend_Data!AF465="", "", MIS_Backend_Data!AF465)</f>
        <v/>
      </c>
      <c r="N463" t="e">
        <f>IF(MIS_Backend_Data!#REF!="", "", MIS_Backend_Data!#REF!)</f>
        <v>#REF!</v>
      </c>
    </row>
    <row r="464" spans="1:14" ht="14.5">
      <c r="A464">
        <v>460</v>
      </c>
      <c r="B464" s="145" t="e">
        <f>IF(MIS_Backend_Data!#REF!="", "", MIS_Backend_Data!#REF!)</f>
        <v>#REF!</v>
      </c>
      <c r="D464" t="str">
        <f>IF(MIS_Backend_Data!Q466="", "", MIS_Backend_Data!Q466)</f>
        <v/>
      </c>
      <c r="F464" t="e">
        <f>IF(MIS_Backend_Data!#REF!="", "", MIS_Backend_Data!#REF!)</f>
        <v>#REF!</v>
      </c>
      <c r="G464" t="str">
        <f>IF(MIS_Backend_Data!Y466="", "", MIS_Backend_Data!Y466)</f>
        <v/>
      </c>
      <c r="I464" t="e">
        <f>IF(MIS_Backend_Data!#REF!="", "", MIS_Backend_Data!#REF!)</f>
        <v>#REF!</v>
      </c>
      <c r="J464" t="str">
        <f>IF(MIS_Backend_Data!AD466="", "", MIS_Backend_Data!AD466)</f>
        <v/>
      </c>
      <c r="L464" t="str">
        <f>IF(MIS_Backend_Data!AF466="", "", MIS_Backend_Data!AF466)</f>
        <v/>
      </c>
      <c r="N464" t="e">
        <f>IF(MIS_Backend_Data!#REF!="", "", MIS_Backend_Data!#REF!)</f>
        <v>#REF!</v>
      </c>
    </row>
    <row r="465" spans="1:14" ht="14.5">
      <c r="A465">
        <v>461</v>
      </c>
      <c r="B465" s="145" t="e">
        <f>IF(MIS_Backend_Data!#REF!="", "", MIS_Backend_Data!#REF!)</f>
        <v>#REF!</v>
      </c>
      <c r="D465" t="str">
        <f>IF(MIS_Backend_Data!Q467="", "", MIS_Backend_Data!Q467)</f>
        <v/>
      </c>
      <c r="F465" t="e">
        <f>IF(MIS_Backend_Data!#REF!="", "", MIS_Backend_Data!#REF!)</f>
        <v>#REF!</v>
      </c>
      <c r="G465" t="str">
        <f>IF(MIS_Backend_Data!Y467="", "", MIS_Backend_Data!Y467)</f>
        <v/>
      </c>
      <c r="I465" t="e">
        <f>IF(MIS_Backend_Data!#REF!="", "", MIS_Backend_Data!#REF!)</f>
        <v>#REF!</v>
      </c>
      <c r="J465" t="str">
        <f>IF(MIS_Backend_Data!AD467="", "", MIS_Backend_Data!AD467)</f>
        <v/>
      </c>
      <c r="L465" t="str">
        <f>IF(MIS_Backend_Data!AF467="", "", MIS_Backend_Data!AF467)</f>
        <v/>
      </c>
      <c r="N465" t="e">
        <f>IF(MIS_Backend_Data!#REF!="", "", MIS_Backend_Data!#REF!)</f>
        <v>#REF!</v>
      </c>
    </row>
    <row r="466" spans="1:14" ht="14.5">
      <c r="A466">
        <v>462</v>
      </c>
      <c r="B466" s="145" t="e">
        <f>IF(MIS_Backend_Data!#REF!="", "", MIS_Backend_Data!#REF!)</f>
        <v>#REF!</v>
      </c>
      <c r="D466" t="str">
        <f>IF(MIS_Backend_Data!Q468="", "", MIS_Backend_Data!Q468)</f>
        <v/>
      </c>
      <c r="F466" t="e">
        <f>IF(MIS_Backend_Data!#REF!="", "", MIS_Backend_Data!#REF!)</f>
        <v>#REF!</v>
      </c>
      <c r="G466" t="str">
        <f>IF(MIS_Backend_Data!Y468="", "", MIS_Backend_Data!Y468)</f>
        <v/>
      </c>
      <c r="I466" t="e">
        <f>IF(MIS_Backend_Data!#REF!="", "", MIS_Backend_Data!#REF!)</f>
        <v>#REF!</v>
      </c>
      <c r="J466" t="str">
        <f>IF(MIS_Backend_Data!AD468="", "", MIS_Backend_Data!AD468)</f>
        <v/>
      </c>
      <c r="L466" t="str">
        <f>IF(MIS_Backend_Data!AF468="", "", MIS_Backend_Data!AF468)</f>
        <v/>
      </c>
      <c r="N466" t="e">
        <f>IF(MIS_Backend_Data!#REF!="", "", MIS_Backend_Data!#REF!)</f>
        <v>#REF!</v>
      </c>
    </row>
    <row r="467" spans="1:14" ht="14.5">
      <c r="A467">
        <v>463</v>
      </c>
      <c r="B467" s="145" t="e">
        <f>IF(MIS_Backend_Data!#REF!="", "", MIS_Backend_Data!#REF!)</f>
        <v>#REF!</v>
      </c>
      <c r="D467" t="str">
        <f>IF(MIS_Backend_Data!Q469="", "", MIS_Backend_Data!Q469)</f>
        <v/>
      </c>
      <c r="F467" t="e">
        <f>IF(MIS_Backend_Data!#REF!="", "", MIS_Backend_Data!#REF!)</f>
        <v>#REF!</v>
      </c>
      <c r="G467" t="str">
        <f>IF(MIS_Backend_Data!Y469="", "", MIS_Backend_Data!Y469)</f>
        <v/>
      </c>
      <c r="I467" t="e">
        <f>IF(MIS_Backend_Data!#REF!="", "", MIS_Backend_Data!#REF!)</f>
        <v>#REF!</v>
      </c>
      <c r="J467" t="str">
        <f>IF(MIS_Backend_Data!AD469="", "", MIS_Backend_Data!AD469)</f>
        <v/>
      </c>
      <c r="L467" t="str">
        <f>IF(MIS_Backend_Data!AF469="", "", MIS_Backend_Data!AF469)</f>
        <v/>
      </c>
      <c r="N467" t="e">
        <f>IF(MIS_Backend_Data!#REF!="", "", MIS_Backend_Data!#REF!)</f>
        <v>#REF!</v>
      </c>
    </row>
    <row r="468" spans="1:14" ht="14.5">
      <c r="A468">
        <v>464</v>
      </c>
      <c r="B468" s="145" t="e">
        <f>IF(MIS_Backend_Data!#REF!="", "", MIS_Backend_Data!#REF!)</f>
        <v>#REF!</v>
      </c>
      <c r="D468" t="str">
        <f>IF(MIS_Backend_Data!Q470="", "", MIS_Backend_Data!Q470)</f>
        <v/>
      </c>
      <c r="F468" t="e">
        <f>IF(MIS_Backend_Data!#REF!="", "", MIS_Backend_Data!#REF!)</f>
        <v>#REF!</v>
      </c>
      <c r="G468" t="str">
        <f>IF(MIS_Backend_Data!Y470="", "", MIS_Backend_Data!Y470)</f>
        <v/>
      </c>
      <c r="I468" t="e">
        <f>IF(MIS_Backend_Data!#REF!="", "", MIS_Backend_Data!#REF!)</f>
        <v>#REF!</v>
      </c>
      <c r="J468" t="str">
        <f>IF(MIS_Backend_Data!AD470="", "", MIS_Backend_Data!AD470)</f>
        <v/>
      </c>
      <c r="L468" t="str">
        <f>IF(MIS_Backend_Data!AF470="", "", MIS_Backend_Data!AF470)</f>
        <v/>
      </c>
      <c r="N468" t="e">
        <f>IF(MIS_Backend_Data!#REF!="", "", MIS_Backend_Data!#REF!)</f>
        <v>#REF!</v>
      </c>
    </row>
    <row r="469" spans="1:14" ht="14.5">
      <c r="A469">
        <v>465</v>
      </c>
      <c r="B469" s="145" t="e">
        <f>IF(MIS_Backend_Data!#REF!="", "", MIS_Backend_Data!#REF!)</f>
        <v>#REF!</v>
      </c>
      <c r="D469" t="str">
        <f>IF(MIS_Backend_Data!Q471="", "", MIS_Backend_Data!Q471)</f>
        <v/>
      </c>
      <c r="F469" t="e">
        <f>IF(MIS_Backend_Data!#REF!="", "", MIS_Backend_Data!#REF!)</f>
        <v>#REF!</v>
      </c>
      <c r="G469" t="str">
        <f>IF(MIS_Backend_Data!Y471="", "", MIS_Backend_Data!Y471)</f>
        <v/>
      </c>
      <c r="I469" t="e">
        <f>IF(MIS_Backend_Data!#REF!="", "", MIS_Backend_Data!#REF!)</f>
        <v>#REF!</v>
      </c>
      <c r="J469" t="str">
        <f>IF(MIS_Backend_Data!AD471="", "", MIS_Backend_Data!AD471)</f>
        <v/>
      </c>
      <c r="L469" t="str">
        <f>IF(MIS_Backend_Data!AF471="", "", MIS_Backend_Data!AF471)</f>
        <v/>
      </c>
      <c r="N469" t="e">
        <f>IF(MIS_Backend_Data!#REF!="", "", MIS_Backend_Data!#REF!)</f>
        <v>#REF!</v>
      </c>
    </row>
    <row r="470" spans="1:14" ht="14.5">
      <c r="A470">
        <v>466</v>
      </c>
      <c r="B470" s="145" t="e">
        <f>IF(MIS_Backend_Data!#REF!="", "", MIS_Backend_Data!#REF!)</f>
        <v>#REF!</v>
      </c>
      <c r="D470" t="str">
        <f>IF(MIS_Backend_Data!Q472="", "", MIS_Backend_Data!Q472)</f>
        <v/>
      </c>
      <c r="F470" t="e">
        <f>IF(MIS_Backend_Data!#REF!="", "", MIS_Backend_Data!#REF!)</f>
        <v>#REF!</v>
      </c>
      <c r="G470" t="str">
        <f>IF(MIS_Backend_Data!Y472="", "", MIS_Backend_Data!Y472)</f>
        <v/>
      </c>
      <c r="I470" t="e">
        <f>IF(MIS_Backend_Data!#REF!="", "", MIS_Backend_Data!#REF!)</f>
        <v>#REF!</v>
      </c>
      <c r="J470" t="str">
        <f>IF(MIS_Backend_Data!AD472="", "", MIS_Backend_Data!AD472)</f>
        <v/>
      </c>
      <c r="L470" t="str">
        <f>IF(MIS_Backend_Data!AF472="", "", MIS_Backend_Data!AF472)</f>
        <v/>
      </c>
      <c r="N470" t="e">
        <f>IF(MIS_Backend_Data!#REF!="", "", MIS_Backend_Data!#REF!)</f>
        <v>#REF!</v>
      </c>
    </row>
    <row r="471" spans="1:14" ht="14.5">
      <c r="A471">
        <v>467</v>
      </c>
      <c r="B471" s="145" t="e">
        <f>IF(MIS_Backend_Data!#REF!="", "", MIS_Backend_Data!#REF!)</f>
        <v>#REF!</v>
      </c>
      <c r="D471" t="str">
        <f>IF(MIS_Backend_Data!Q473="", "", MIS_Backend_Data!Q473)</f>
        <v/>
      </c>
      <c r="F471" t="e">
        <f>IF(MIS_Backend_Data!#REF!="", "", MIS_Backend_Data!#REF!)</f>
        <v>#REF!</v>
      </c>
      <c r="G471" t="str">
        <f>IF(MIS_Backend_Data!Y473="", "", MIS_Backend_Data!Y473)</f>
        <v/>
      </c>
      <c r="I471" t="e">
        <f>IF(MIS_Backend_Data!#REF!="", "", MIS_Backend_Data!#REF!)</f>
        <v>#REF!</v>
      </c>
      <c r="J471" t="str">
        <f>IF(MIS_Backend_Data!AD473="", "", MIS_Backend_Data!AD473)</f>
        <v/>
      </c>
      <c r="L471" t="str">
        <f>IF(MIS_Backend_Data!AF473="", "", MIS_Backend_Data!AF473)</f>
        <v/>
      </c>
      <c r="N471" t="e">
        <f>IF(MIS_Backend_Data!#REF!="", "", MIS_Backend_Data!#REF!)</f>
        <v>#REF!</v>
      </c>
    </row>
    <row r="472" spans="1:14" ht="14.5">
      <c r="A472">
        <v>468</v>
      </c>
      <c r="B472" s="145" t="e">
        <f>IF(MIS_Backend_Data!#REF!="", "", MIS_Backend_Data!#REF!)</f>
        <v>#REF!</v>
      </c>
      <c r="D472" t="str">
        <f>IF(MIS_Backend_Data!Q474="", "", MIS_Backend_Data!Q474)</f>
        <v/>
      </c>
      <c r="F472" t="e">
        <f>IF(MIS_Backend_Data!#REF!="", "", MIS_Backend_Data!#REF!)</f>
        <v>#REF!</v>
      </c>
      <c r="G472" t="str">
        <f>IF(MIS_Backend_Data!Y474="", "", MIS_Backend_Data!Y474)</f>
        <v/>
      </c>
      <c r="I472" t="e">
        <f>IF(MIS_Backend_Data!#REF!="", "", MIS_Backend_Data!#REF!)</f>
        <v>#REF!</v>
      </c>
      <c r="J472" t="str">
        <f>IF(MIS_Backend_Data!AD474="", "", MIS_Backend_Data!AD474)</f>
        <v/>
      </c>
      <c r="L472" t="str">
        <f>IF(MIS_Backend_Data!AF474="", "", MIS_Backend_Data!AF474)</f>
        <v/>
      </c>
      <c r="N472" t="e">
        <f>IF(MIS_Backend_Data!#REF!="", "", MIS_Backend_Data!#REF!)</f>
        <v>#REF!</v>
      </c>
    </row>
    <row r="473" spans="1:14" ht="14.5">
      <c r="A473">
        <v>469</v>
      </c>
      <c r="B473" s="145" t="e">
        <f>IF(MIS_Backend_Data!#REF!="", "", MIS_Backend_Data!#REF!)</f>
        <v>#REF!</v>
      </c>
      <c r="D473" t="str">
        <f>IF(MIS_Backend_Data!Q475="", "", MIS_Backend_Data!Q475)</f>
        <v/>
      </c>
      <c r="F473" t="e">
        <f>IF(MIS_Backend_Data!#REF!="", "", MIS_Backend_Data!#REF!)</f>
        <v>#REF!</v>
      </c>
      <c r="G473" t="str">
        <f>IF(MIS_Backend_Data!Y475="", "", MIS_Backend_Data!Y475)</f>
        <v/>
      </c>
      <c r="I473" t="e">
        <f>IF(MIS_Backend_Data!#REF!="", "", MIS_Backend_Data!#REF!)</f>
        <v>#REF!</v>
      </c>
      <c r="J473" t="str">
        <f>IF(MIS_Backend_Data!AD475="", "", MIS_Backend_Data!AD475)</f>
        <v/>
      </c>
      <c r="L473" t="str">
        <f>IF(MIS_Backend_Data!AF475="", "", MIS_Backend_Data!AF475)</f>
        <v/>
      </c>
      <c r="N473" t="e">
        <f>IF(MIS_Backend_Data!#REF!="", "", MIS_Backend_Data!#REF!)</f>
        <v>#REF!</v>
      </c>
    </row>
    <row r="474" spans="1:14" ht="14.5">
      <c r="A474">
        <v>470</v>
      </c>
      <c r="B474" s="145" t="e">
        <f>IF(MIS_Backend_Data!#REF!="", "", MIS_Backend_Data!#REF!)</f>
        <v>#REF!</v>
      </c>
      <c r="D474" t="str">
        <f>IF(MIS_Backend_Data!Q476="", "", MIS_Backend_Data!Q476)</f>
        <v/>
      </c>
      <c r="F474" t="e">
        <f>IF(MIS_Backend_Data!#REF!="", "", MIS_Backend_Data!#REF!)</f>
        <v>#REF!</v>
      </c>
      <c r="G474" t="str">
        <f>IF(MIS_Backend_Data!Y476="", "", MIS_Backend_Data!Y476)</f>
        <v/>
      </c>
      <c r="I474" t="e">
        <f>IF(MIS_Backend_Data!#REF!="", "", MIS_Backend_Data!#REF!)</f>
        <v>#REF!</v>
      </c>
      <c r="J474" t="str">
        <f>IF(MIS_Backend_Data!AD476="", "", MIS_Backend_Data!AD476)</f>
        <v/>
      </c>
      <c r="L474" t="str">
        <f>IF(MIS_Backend_Data!AF476="", "", MIS_Backend_Data!AF476)</f>
        <v/>
      </c>
      <c r="N474" t="e">
        <f>IF(MIS_Backend_Data!#REF!="", "", MIS_Backend_Data!#REF!)</f>
        <v>#REF!</v>
      </c>
    </row>
    <row r="475" spans="1:14" ht="14.5">
      <c r="A475">
        <v>471</v>
      </c>
      <c r="B475" s="145" t="e">
        <f>IF(MIS_Backend_Data!#REF!="", "", MIS_Backend_Data!#REF!)</f>
        <v>#REF!</v>
      </c>
      <c r="D475" t="str">
        <f>IF(MIS_Backend_Data!Q477="", "", MIS_Backend_Data!Q477)</f>
        <v/>
      </c>
      <c r="F475" t="e">
        <f>IF(MIS_Backend_Data!#REF!="", "", MIS_Backend_Data!#REF!)</f>
        <v>#REF!</v>
      </c>
      <c r="G475" t="str">
        <f>IF(MIS_Backend_Data!Y477="", "", MIS_Backend_Data!Y477)</f>
        <v/>
      </c>
      <c r="I475" t="e">
        <f>IF(MIS_Backend_Data!#REF!="", "", MIS_Backend_Data!#REF!)</f>
        <v>#REF!</v>
      </c>
      <c r="J475" t="str">
        <f>IF(MIS_Backend_Data!AD477="", "", MIS_Backend_Data!AD477)</f>
        <v/>
      </c>
      <c r="L475" t="str">
        <f>IF(MIS_Backend_Data!AF477="", "", MIS_Backend_Data!AF477)</f>
        <v/>
      </c>
      <c r="N475" t="e">
        <f>IF(MIS_Backend_Data!#REF!="", "", MIS_Backend_Data!#REF!)</f>
        <v>#REF!</v>
      </c>
    </row>
    <row r="476" spans="1:14" ht="14.5">
      <c r="A476">
        <v>472</v>
      </c>
      <c r="B476" s="145" t="e">
        <f>IF(MIS_Backend_Data!#REF!="", "", MIS_Backend_Data!#REF!)</f>
        <v>#REF!</v>
      </c>
      <c r="D476" t="str">
        <f>IF(MIS_Backend_Data!Q478="", "", MIS_Backend_Data!Q478)</f>
        <v/>
      </c>
      <c r="F476" t="e">
        <f>IF(MIS_Backend_Data!#REF!="", "", MIS_Backend_Data!#REF!)</f>
        <v>#REF!</v>
      </c>
      <c r="G476" t="str">
        <f>IF(MIS_Backend_Data!Y478="", "", MIS_Backend_Data!Y478)</f>
        <v/>
      </c>
      <c r="I476" t="e">
        <f>IF(MIS_Backend_Data!#REF!="", "", MIS_Backend_Data!#REF!)</f>
        <v>#REF!</v>
      </c>
      <c r="J476" t="str">
        <f>IF(MIS_Backend_Data!AD478="", "", MIS_Backend_Data!AD478)</f>
        <v/>
      </c>
      <c r="L476" t="str">
        <f>IF(MIS_Backend_Data!AF478="", "", MIS_Backend_Data!AF478)</f>
        <v/>
      </c>
      <c r="N476" t="e">
        <f>IF(MIS_Backend_Data!#REF!="", "", MIS_Backend_Data!#REF!)</f>
        <v>#REF!</v>
      </c>
    </row>
    <row r="477" spans="1:14" ht="14.5">
      <c r="A477">
        <v>473</v>
      </c>
      <c r="B477" s="145" t="e">
        <f>IF(MIS_Backend_Data!#REF!="", "", MIS_Backend_Data!#REF!)</f>
        <v>#REF!</v>
      </c>
      <c r="D477" t="str">
        <f>IF(MIS_Backend_Data!Q479="", "", MIS_Backend_Data!Q479)</f>
        <v/>
      </c>
      <c r="F477" t="e">
        <f>IF(MIS_Backend_Data!#REF!="", "", MIS_Backend_Data!#REF!)</f>
        <v>#REF!</v>
      </c>
      <c r="G477" t="str">
        <f>IF(MIS_Backend_Data!Y479="", "", MIS_Backend_Data!Y479)</f>
        <v/>
      </c>
      <c r="I477" t="e">
        <f>IF(MIS_Backend_Data!#REF!="", "", MIS_Backend_Data!#REF!)</f>
        <v>#REF!</v>
      </c>
      <c r="J477" t="str">
        <f>IF(MIS_Backend_Data!AD479="", "", MIS_Backend_Data!AD479)</f>
        <v/>
      </c>
      <c r="L477" t="str">
        <f>IF(MIS_Backend_Data!AF479="", "", MIS_Backend_Data!AF479)</f>
        <v/>
      </c>
      <c r="N477" t="e">
        <f>IF(MIS_Backend_Data!#REF!="", "", MIS_Backend_Data!#REF!)</f>
        <v>#REF!</v>
      </c>
    </row>
    <row r="478" spans="1:14" ht="14.5">
      <c r="A478">
        <v>474</v>
      </c>
      <c r="B478" s="145" t="e">
        <f>IF(MIS_Backend_Data!#REF!="", "", MIS_Backend_Data!#REF!)</f>
        <v>#REF!</v>
      </c>
      <c r="D478" t="str">
        <f>IF(MIS_Backend_Data!Q480="", "", MIS_Backend_Data!Q480)</f>
        <v/>
      </c>
      <c r="F478" t="e">
        <f>IF(MIS_Backend_Data!#REF!="", "", MIS_Backend_Data!#REF!)</f>
        <v>#REF!</v>
      </c>
      <c r="G478" t="str">
        <f>IF(MIS_Backend_Data!Y480="", "", MIS_Backend_Data!Y480)</f>
        <v/>
      </c>
      <c r="I478" t="e">
        <f>IF(MIS_Backend_Data!#REF!="", "", MIS_Backend_Data!#REF!)</f>
        <v>#REF!</v>
      </c>
      <c r="J478" t="str">
        <f>IF(MIS_Backend_Data!AD480="", "", MIS_Backend_Data!AD480)</f>
        <v/>
      </c>
      <c r="L478" t="str">
        <f>IF(MIS_Backend_Data!AF480="", "", MIS_Backend_Data!AF480)</f>
        <v/>
      </c>
      <c r="N478" t="e">
        <f>IF(MIS_Backend_Data!#REF!="", "", MIS_Backend_Data!#REF!)</f>
        <v>#REF!</v>
      </c>
    </row>
    <row r="479" spans="1:14" ht="14.5">
      <c r="A479">
        <v>475</v>
      </c>
      <c r="B479" s="145" t="e">
        <f>IF(MIS_Backend_Data!#REF!="", "", MIS_Backend_Data!#REF!)</f>
        <v>#REF!</v>
      </c>
      <c r="D479" t="str">
        <f>IF(MIS_Backend_Data!Q481="", "", MIS_Backend_Data!Q481)</f>
        <v/>
      </c>
      <c r="F479" t="e">
        <f>IF(MIS_Backend_Data!#REF!="", "", MIS_Backend_Data!#REF!)</f>
        <v>#REF!</v>
      </c>
      <c r="G479" t="str">
        <f>IF(MIS_Backend_Data!Y481="", "", MIS_Backend_Data!Y481)</f>
        <v/>
      </c>
      <c r="I479" t="e">
        <f>IF(MIS_Backend_Data!#REF!="", "", MIS_Backend_Data!#REF!)</f>
        <v>#REF!</v>
      </c>
      <c r="J479" t="str">
        <f>IF(MIS_Backend_Data!AD481="", "", MIS_Backend_Data!AD481)</f>
        <v/>
      </c>
      <c r="L479" t="str">
        <f>IF(MIS_Backend_Data!AF481="", "", MIS_Backend_Data!AF481)</f>
        <v/>
      </c>
      <c r="N479" t="e">
        <f>IF(MIS_Backend_Data!#REF!="", "", MIS_Backend_Data!#REF!)</f>
        <v>#REF!</v>
      </c>
    </row>
    <row r="480" spans="1:14" ht="14.5">
      <c r="A480">
        <v>476</v>
      </c>
      <c r="B480" s="145" t="e">
        <f>IF(MIS_Backend_Data!#REF!="", "", MIS_Backend_Data!#REF!)</f>
        <v>#REF!</v>
      </c>
      <c r="D480" t="str">
        <f>IF(MIS_Backend_Data!Q482="", "", MIS_Backend_Data!Q482)</f>
        <v/>
      </c>
      <c r="F480" t="e">
        <f>IF(MIS_Backend_Data!#REF!="", "", MIS_Backend_Data!#REF!)</f>
        <v>#REF!</v>
      </c>
      <c r="G480" t="str">
        <f>IF(MIS_Backend_Data!Y482="", "", MIS_Backend_Data!Y482)</f>
        <v/>
      </c>
      <c r="I480" t="e">
        <f>IF(MIS_Backend_Data!#REF!="", "", MIS_Backend_Data!#REF!)</f>
        <v>#REF!</v>
      </c>
      <c r="J480" t="str">
        <f>IF(MIS_Backend_Data!AD482="", "", MIS_Backend_Data!AD482)</f>
        <v/>
      </c>
      <c r="L480" t="str">
        <f>IF(MIS_Backend_Data!AF482="", "", MIS_Backend_Data!AF482)</f>
        <v/>
      </c>
      <c r="N480" t="e">
        <f>IF(MIS_Backend_Data!#REF!="", "", MIS_Backend_Data!#REF!)</f>
        <v>#REF!</v>
      </c>
    </row>
    <row r="481" spans="1:14" ht="14.5">
      <c r="A481">
        <v>477</v>
      </c>
      <c r="B481" s="145" t="e">
        <f>IF(MIS_Backend_Data!#REF!="", "", MIS_Backend_Data!#REF!)</f>
        <v>#REF!</v>
      </c>
      <c r="D481" t="str">
        <f>IF(MIS_Backend_Data!Q483="", "", MIS_Backend_Data!Q483)</f>
        <v/>
      </c>
      <c r="F481" t="e">
        <f>IF(MIS_Backend_Data!#REF!="", "", MIS_Backend_Data!#REF!)</f>
        <v>#REF!</v>
      </c>
      <c r="G481" t="str">
        <f>IF(MIS_Backend_Data!Y483="", "", MIS_Backend_Data!Y483)</f>
        <v/>
      </c>
      <c r="I481" t="e">
        <f>IF(MIS_Backend_Data!#REF!="", "", MIS_Backend_Data!#REF!)</f>
        <v>#REF!</v>
      </c>
      <c r="J481" t="str">
        <f>IF(MIS_Backend_Data!AD483="", "", MIS_Backend_Data!AD483)</f>
        <v/>
      </c>
      <c r="L481" t="str">
        <f>IF(MIS_Backend_Data!AF483="", "", MIS_Backend_Data!AF483)</f>
        <v/>
      </c>
      <c r="N481" t="e">
        <f>IF(MIS_Backend_Data!#REF!="", "", MIS_Backend_Data!#REF!)</f>
        <v>#REF!</v>
      </c>
    </row>
    <row r="482" spans="1:14" ht="14.5">
      <c r="A482">
        <v>478</v>
      </c>
      <c r="B482" s="145" t="e">
        <f>IF(MIS_Backend_Data!#REF!="", "", MIS_Backend_Data!#REF!)</f>
        <v>#REF!</v>
      </c>
      <c r="D482" t="str">
        <f>IF(MIS_Backend_Data!Q484="", "", MIS_Backend_Data!Q484)</f>
        <v/>
      </c>
      <c r="F482" t="e">
        <f>IF(MIS_Backend_Data!#REF!="", "", MIS_Backend_Data!#REF!)</f>
        <v>#REF!</v>
      </c>
      <c r="G482" t="str">
        <f>IF(MIS_Backend_Data!Y484="", "", MIS_Backend_Data!Y484)</f>
        <v/>
      </c>
      <c r="I482" t="e">
        <f>IF(MIS_Backend_Data!#REF!="", "", MIS_Backend_Data!#REF!)</f>
        <v>#REF!</v>
      </c>
      <c r="J482" t="str">
        <f>IF(MIS_Backend_Data!AD484="", "", MIS_Backend_Data!AD484)</f>
        <v/>
      </c>
      <c r="L482" t="str">
        <f>IF(MIS_Backend_Data!AF484="", "", MIS_Backend_Data!AF484)</f>
        <v/>
      </c>
      <c r="N482" t="e">
        <f>IF(MIS_Backend_Data!#REF!="", "", MIS_Backend_Data!#REF!)</f>
        <v>#REF!</v>
      </c>
    </row>
    <row r="483" spans="1:14" ht="14.5">
      <c r="A483">
        <v>479</v>
      </c>
      <c r="B483" s="145" t="e">
        <f>IF(MIS_Backend_Data!#REF!="", "", MIS_Backend_Data!#REF!)</f>
        <v>#REF!</v>
      </c>
      <c r="D483" t="str">
        <f>IF(MIS_Backend_Data!Q485="", "", MIS_Backend_Data!Q485)</f>
        <v/>
      </c>
      <c r="F483" t="e">
        <f>IF(MIS_Backend_Data!#REF!="", "", MIS_Backend_Data!#REF!)</f>
        <v>#REF!</v>
      </c>
      <c r="G483" t="str">
        <f>IF(MIS_Backend_Data!Y485="", "", MIS_Backend_Data!Y485)</f>
        <v/>
      </c>
      <c r="I483" t="e">
        <f>IF(MIS_Backend_Data!#REF!="", "", MIS_Backend_Data!#REF!)</f>
        <v>#REF!</v>
      </c>
      <c r="J483" t="str">
        <f>IF(MIS_Backend_Data!AD485="", "", MIS_Backend_Data!AD485)</f>
        <v/>
      </c>
      <c r="L483" t="str">
        <f>IF(MIS_Backend_Data!AF485="", "", MIS_Backend_Data!AF485)</f>
        <v/>
      </c>
      <c r="N483" t="e">
        <f>IF(MIS_Backend_Data!#REF!="", "", MIS_Backend_Data!#REF!)</f>
        <v>#REF!</v>
      </c>
    </row>
    <row r="484" spans="1:14" ht="14.5">
      <c r="A484">
        <v>480</v>
      </c>
      <c r="B484" s="145" t="e">
        <f>IF(MIS_Backend_Data!#REF!="", "", MIS_Backend_Data!#REF!)</f>
        <v>#REF!</v>
      </c>
      <c r="D484" t="str">
        <f>IF(MIS_Backend_Data!Q486="", "", MIS_Backend_Data!Q486)</f>
        <v/>
      </c>
      <c r="F484" t="e">
        <f>IF(MIS_Backend_Data!#REF!="", "", MIS_Backend_Data!#REF!)</f>
        <v>#REF!</v>
      </c>
      <c r="G484" t="str">
        <f>IF(MIS_Backend_Data!Y486="", "", MIS_Backend_Data!Y486)</f>
        <v/>
      </c>
      <c r="I484" t="e">
        <f>IF(MIS_Backend_Data!#REF!="", "", MIS_Backend_Data!#REF!)</f>
        <v>#REF!</v>
      </c>
      <c r="J484" t="str">
        <f>IF(MIS_Backend_Data!AD486="", "", MIS_Backend_Data!AD486)</f>
        <v/>
      </c>
      <c r="L484" t="str">
        <f>IF(MIS_Backend_Data!AF486="", "", MIS_Backend_Data!AF486)</f>
        <v/>
      </c>
      <c r="N484" t="e">
        <f>IF(MIS_Backend_Data!#REF!="", "", MIS_Backend_Data!#REF!)</f>
        <v>#REF!</v>
      </c>
    </row>
    <row r="485" spans="1:14" ht="14.5">
      <c r="A485">
        <v>481</v>
      </c>
      <c r="B485" s="145" t="e">
        <f>IF(MIS_Backend_Data!#REF!="", "", MIS_Backend_Data!#REF!)</f>
        <v>#REF!</v>
      </c>
      <c r="D485" t="str">
        <f>IF(MIS_Backend_Data!Q487="", "", MIS_Backend_Data!Q487)</f>
        <v/>
      </c>
      <c r="F485" t="e">
        <f>IF(MIS_Backend_Data!#REF!="", "", MIS_Backend_Data!#REF!)</f>
        <v>#REF!</v>
      </c>
      <c r="G485" t="str">
        <f>IF(MIS_Backend_Data!Y487="", "", MIS_Backend_Data!Y487)</f>
        <v/>
      </c>
      <c r="I485" t="e">
        <f>IF(MIS_Backend_Data!#REF!="", "", MIS_Backend_Data!#REF!)</f>
        <v>#REF!</v>
      </c>
      <c r="J485" t="str">
        <f>IF(MIS_Backend_Data!AD487="", "", MIS_Backend_Data!AD487)</f>
        <v/>
      </c>
      <c r="L485" t="str">
        <f>IF(MIS_Backend_Data!AF487="", "", MIS_Backend_Data!AF487)</f>
        <v/>
      </c>
      <c r="N485" t="e">
        <f>IF(MIS_Backend_Data!#REF!="", "", MIS_Backend_Data!#REF!)</f>
        <v>#REF!</v>
      </c>
    </row>
    <row r="486" spans="1:14" ht="14.5">
      <c r="A486">
        <v>482</v>
      </c>
      <c r="B486" s="145" t="e">
        <f>IF(MIS_Backend_Data!#REF!="", "", MIS_Backend_Data!#REF!)</f>
        <v>#REF!</v>
      </c>
      <c r="D486" t="str">
        <f>IF(MIS_Backend_Data!Q488="", "", MIS_Backend_Data!Q488)</f>
        <v/>
      </c>
      <c r="F486" t="e">
        <f>IF(MIS_Backend_Data!#REF!="", "", MIS_Backend_Data!#REF!)</f>
        <v>#REF!</v>
      </c>
      <c r="G486" t="str">
        <f>IF(MIS_Backend_Data!Y488="", "", MIS_Backend_Data!Y488)</f>
        <v/>
      </c>
      <c r="I486" t="e">
        <f>IF(MIS_Backend_Data!#REF!="", "", MIS_Backend_Data!#REF!)</f>
        <v>#REF!</v>
      </c>
      <c r="J486" t="str">
        <f>IF(MIS_Backend_Data!AD488="", "", MIS_Backend_Data!AD488)</f>
        <v/>
      </c>
      <c r="L486" t="str">
        <f>IF(MIS_Backend_Data!AF488="", "", MIS_Backend_Data!AF488)</f>
        <v/>
      </c>
      <c r="N486" t="e">
        <f>IF(MIS_Backend_Data!#REF!="", "", MIS_Backend_Data!#REF!)</f>
        <v>#REF!</v>
      </c>
    </row>
    <row r="487" spans="1:14" ht="14.5">
      <c r="A487">
        <v>483</v>
      </c>
      <c r="B487" s="145" t="e">
        <f>IF(MIS_Backend_Data!#REF!="", "", MIS_Backend_Data!#REF!)</f>
        <v>#REF!</v>
      </c>
      <c r="D487" t="str">
        <f>IF(MIS_Backend_Data!Q489="", "", MIS_Backend_Data!Q489)</f>
        <v/>
      </c>
      <c r="F487" t="e">
        <f>IF(MIS_Backend_Data!#REF!="", "", MIS_Backend_Data!#REF!)</f>
        <v>#REF!</v>
      </c>
      <c r="G487" t="str">
        <f>IF(MIS_Backend_Data!Y489="", "", MIS_Backend_Data!Y489)</f>
        <v/>
      </c>
      <c r="I487" t="e">
        <f>IF(MIS_Backend_Data!#REF!="", "", MIS_Backend_Data!#REF!)</f>
        <v>#REF!</v>
      </c>
      <c r="J487" t="str">
        <f>IF(MIS_Backend_Data!AD489="", "", MIS_Backend_Data!AD489)</f>
        <v/>
      </c>
      <c r="L487" t="str">
        <f>IF(MIS_Backend_Data!AF489="", "", MIS_Backend_Data!AF489)</f>
        <v/>
      </c>
      <c r="N487" t="e">
        <f>IF(MIS_Backend_Data!#REF!="", "", MIS_Backend_Data!#REF!)</f>
        <v>#REF!</v>
      </c>
    </row>
    <row r="488" spans="1:14" ht="14.5">
      <c r="A488">
        <v>484</v>
      </c>
      <c r="B488" s="145" t="e">
        <f>IF(MIS_Backend_Data!#REF!="", "", MIS_Backend_Data!#REF!)</f>
        <v>#REF!</v>
      </c>
      <c r="D488" t="str">
        <f>IF(MIS_Backend_Data!Q490="", "", MIS_Backend_Data!Q490)</f>
        <v/>
      </c>
      <c r="F488" t="e">
        <f>IF(MIS_Backend_Data!#REF!="", "", MIS_Backend_Data!#REF!)</f>
        <v>#REF!</v>
      </c>
      <c r="G488" t="str">
        <f>IF(MIS_Backend_Data!Y490="", "", MIS_Backend_Data!Y490)</f>
        <v/>
      </c>
      <c r="I488" t="e">
        <f>IF(MIS_Backend_Data!#REF!="", "", MIS_Backend_Data!#REF!)</f>
        <v>#REF!</v>
      </c>
      <c r="J488" t="str">
        <f>IF(MIS_Backend_Data!AD490="", "", MIS_Backend_Data!AD490)</f>
        <v/>
      </c>
      <c r="L488" t="str">
        <f>IF(MIS_Backend_Data!AF490="", "", MIS_Backend_Data!AF490)</f>
        <v/>
      </c>
      <c r="N488" t="e">
        <f>IF(MIS_Backend_Data!#REF!="", "", MIS_Backend_Data!#REF!)</f>
        <v>#REF!</v>
      </c>
    </row>
    <row r="489" spans="1:14" ht="14.5">
      <c r="A489">
        <v>485</v>
      </c>
      <c r="B489" s="145" t="e">
        <f>IF(MIS_Backend_Data!#REF!="", "", MIS_Backend_Data!#REF!)</f>
        <v>#REF!</v>
      </c>
      <c r="D489" t="str">
        <f>IF(MIS_Backend_Data!Q491="", "", MIS_Backend_Data!Q491)</f>
        <v/>
      </c>
      <c r="F489" t="e">
        <f>IF(MIS_Backend_Data!#REF!="", "", MIS_Backend_Data!#REF!)</f>
        <v>#REF!</v>
      </c>
      <c r="G489" t="str">
        <f>IF(MIS_Backend_Data!Y491="", "", MIS_Backend_Data!Y491)</f>
        <v/>
      </c>
      <c r="I489" t="e">
        <f>IF(MIS_Backend_Data!#REF!="", "", MIS_Backend_Data!#REF!)</f>
        <v>#REF!</v>
      </c>
      <c r="J489" t="str">
        <f>IF(MIS_Backend_Data!AD491="", "", MIS_Backend_Data!AD491)</f>
        <v/>
      </c>
      <c r="L489" t="str">
        <f>IF(MIS_Backend_Data!AF491="", "", MIS_Backend_Data!AF491)</f>
        <v/>
      </c>
      <c r="N489" t="e">
        <f>IF(MIS_Backend_Data!#REF!="", "", MIS_Backend_Data!#REF!)</f>
        <v>#REF!</v>
      </c>
    </row>
    <row r="490" spans="1:14" ht="14.5">
      <c r="A490">
        <v>486</v>
      </c>
      <c r="B490" s="145" t="e">
        <f>IF(MIS_Backend_Data!#REF!="", "", MIS_Backend_Data!#REF!)</f>
        <v>#REF!</v>
      </c>
      <c r="D490" t="str">
        <f>IF(MIS_Backend_Data!Q492="", "", MIS_Backend_Data!Q492)</f>
        <v/>
      </c>
      <c r="F490" t="e">
        <f>IF(MIS_Backend_Data!#REF!="", "", MIS_Backend_Data!#REF!)</f>
        <v>#REF!</v>
      </c>
      <c r="G490" t="str">
        <f>IF(MIS_Backend_Data!Y492="", "", MIS_Backend_Data!Y492)</f>
        <v/>
      </c>
      <c r="I490" t="e">
        <f>IF(MIS_Backend_Data!#REF!="", "", MIS_Backend_Data!#REF!)</f>
        <v>#REF!</v>
      </c>
      <c r="J490" t="str">
        <f>IF(MIS_Backend_Data!AD492="", "", MIS_Backend_Data!AD492)</f>
        <v/>
      </c>
      <c r="L490" t="str">
        <f>IF(MIS_Backend_Data!AF492="", "", MIS_Backend_Data!AF492)</f>
        <v/>
      </c>
      <c r="N490" t="e">
        <f>IF(MIS_Backend_Data!#REF!="", "", MIS_Backend_Data!#REF!)</f>
        <v>#REF!</v>
      </c>
    </row>
    <row r="491" spans="1:14" ht="14.5">
      <c r="A491">
        <v>487</v>
      </c>
      <c r="B491" s="145" t="e">
        <f>IF(MIS_Backend_Data!#REF!="", "", MIS_Backend_Data!#REF!)</f>
        <v>#REF!</v>
      </c>
      <c r="D491" t="str">
        <f>IF(MIS_Backend_Data!Q493="", "", MIS_Backend_Data!Q493)</f>
        <v/>
      </c>
      <c r="F491" t="e">
        <f>IF(MIS_Backend_Data!#REF!="", "", MIS_Backend_Data!#REF!)</f>
        <v>#REF!</v>
      </c>
      <c r="G491" t="str">
        <f>IF(MIS_Backend_Data!Y493="", "", MIS_Backend_Data!Y493)</f>
        <v/>
      </c>
      <c r="I491" t="e">
        <f>IF(MIS_Backend_Data!#REF!="", "", MIS_Backend_Data!#REF!)</f>
        <v>#REF!</v>
      </c>
      <c r="J491" t="str">
        <f>IF(MIS_Backend_Data!AD493="", "", MIS_Backend_Data!AD493)</f>
        <v/>
      </c>
      <c r="L491" t="str">
        <f>IF(MIS_Backend_Data!AF493="", "", MIS_Backend_Data!AF493)</f>
        <v/>
      </c>
      <c r="N491" t="e">
        <f>IF(MIS_Backend_Data!#REF!="", "", MIS_Backend_Data!#REF!)</f>
        <v>#REF!</v>
      </c>
    </row>
    <row r="492" spans="1:14" ht="14.5">
      <c r="A492">
        <v>488</v>
      </c>
      <c r="B492" s="145" t="e">
        <f>IF(MIS_Backend_Data!#REF!="", "", MIS_Backend_Data!#REF!)</f>
        <v>#REF!</v>
      </c>
      <c r="D492" t="str">
        <f>IF(MIS_Backend_Data!Q494="", "", MIS_Backend_Data!Q494)</f>
        <v/>
      </c>
      <c r="F492" t="e">
        <f>IF(MIS_Backend_Data!#REF!="", "", MIS_Backend_Data!#REF!)</f>
        <v>#REF!</v>
      </c>
      <c r="G492" t="str">
        <f>IF(MIS_Backend_Data!Y494="", "", MIS_Backend_Data!Y494)</f>
        <v/>
      </c>
      <c r="I492" t="e">
        <f>IF(MIS_Backend_Data!#REF!="", "", MIS_Backend_Data!#REF!)</f>
        <v>#REF!</v>
      </c>
      <c r="J492" t="str">
        <f>IF(MIS_Backend_Data!AD494="", "", MIS_Backend_Data!AD494)</f>
        <v/>
      </c>
      <c r="L492" t="str">
        <f>IF(MIS_Backend_Data!AF494="", "", MIS_Backend_Data!AF494)</f>
        <v/>
      </c>
      <c r="N492" t="e">
        <f>IF(MIS_Backend_Data!#REF!="", "", MIS_Backend_Data!#REF!)</f>
        <v>#REF!</v>
      </c>
    </row>
    <row r="493" spans="1:14" ht="14.5">
      <c r="A493">
        <v>489</v>
      </c>
      <c r="B493" s="145" t="e">
        <f>IF(MIS_Backend_Data!#REF!="", "", MIS_Backend_Data!#REF!)</f>
        <v>#REF!</v>
      </c>
      <c r="D493" t="str">
        <f>IF(MIS_Backend_Data!Q495="", "", MIS_Backend_Data!Q495)</f>
        <v/>
      </c>
      <c r="F493" t="e">
        <f>IF(MIS_Backend_Data!#REF!="", "", MIS_Backend_Data!#REF!)</f>
        <v>#REF!</v>
      </c>
      <c r="G493" t="str">
        <f>IF(MIS_Backend_Data!Y495="", "", MIS_Backend_Data!Y495)</f>
        <v/>
      </c>
      <c r="I493" t="e">
        <f>IF(MIS_Backend_Data!#REF!="", "", MIS_Backend_Data!#REF!)</f>
        <v>#REF!</v>
      </c>
      <c r="J493" t="str">
        <f>IF(MIS_Backend_Data!AD495="", "", MIS_Backend_Data!AD495)</f>
        <v/>
      </c>
      <c r="L493" t="str">
        <f>IF(MIS_Backend_Data!AF495="", "", MIS_Backend_Data!AF495)</f>
        <v/>
      </c>
      <c r="N493" t="e">
        <f>IF(MIS_Backend_Data!#REF!="", "", MIS_Backend_Data!#REF!)</f>
        <v>#REF!</v>
      </c>
    </row>
    <row r="494" spans="1:14" ht="14.5">
      <c r="A494">
        <v>490</v>
      </c>
      <c r="B494" s="145" t="e">
        <f>IF(MIS_Backend_Data!#REF!="", "", MIS_Backend_Data!#REF!)</f>
        <v>#REF!</v>
      </c>
      <c r="D494" t="str">
        <f>IF(MIS_Backend_Data!Q496="", "", MIS_Backend_Data!Q496)</f>
        <v/>
      </c>
      <c r="F494" t="e">
        <f>IF(MIS_Backend_Data!#REF!="", "", MIS_Backend_Data!#REF!)</f>
        <v>#REF!</v>
      </c>
      <c r="G494" t="str">
        <f>IF(MIS_Backend_Data!Y496="", "", MIS_Backend_Data!Y496)</f>
        <v/>
      </c>
      <c r="I494" t="e">
        <f>IF(MIS_Backend_Data!#REF!="", "", MIS_Backend_Data!#REF!)</f>
        <v>#REF!</v>
      </c>
      <c r="J494" t="str">
        <f>IF(MIS_Backend_Data!AD496="", "", MIS_Backend_Data!AD496)</f>
        <v/>
      </c>
      <c r="L494" t="str">
        <f>IF(MIS_Backend_Data!AF496="", "", MIS_Backend_Data!AF496)</f>
        <v/>
      </c>
      <c r="N494" t="e">
        <f>IF(MIS_Backend_Data!#REF!="", "", MIS_Backend_Data!#REF!)</f>
        <v>#REF!</v>
      </c>
    </row>
    <row r="495" spans="1:14" ht="14.5">
      <c r="A495">
        <v>491</v>
      </c>
      <c r="B495" s="145" t="e">
        <f>IF(MIS_Backend_Data!#REF!="", "", MIS_Backend_Data!#REF!)</f>
        <v>#REF!</v>
      </c>
      <c r="D495" t="str">
        <f>IF(MIS_Backend_Data!Q497="", "", MIS_Backend_Data!Q497)</f>
        <v/>
      </c>
      <c r="F495" t="e">
        <f>IF(MIS_Backend_Data!#REF!="", "", MIS_Backend_Data!#REF!)</f>
        <v>#REF!</v>
      </c>
      <c r="G495" t="str">
        <f>IF(MIS_Backend_Data!Y497="", "", MIS_Backend_Data!Y497)</f>
        <v/>
      </c>
      <c r="I495" t="e">
        <f>IF(MIS_Backend_Data!#REF!="", "", MIS_Backend_Data!#REF!)</f>
        <v>#REF!</v>
      </c>
      <c r="J495" t="str">
        <f>IF(MIS_Backend_Data!AD497="", "", MIS_Backend_Data!AD497)</f>
        <v/>
      </c>
      <c r="L495" t="str">
        <f>IF(MIS_Backend_Data!AF497="", "", MIS_Backend_Data!AF497)</f>
        <v/>
      </c>
      <c r="N495" t="e">
        <f>IF(MIS_Backend_Data!#REF!="", "", MIS_Backend_Data!#REF!)</f>
        <v>#REF!</v>
      </c>
    </row>
    <row r="496" spans="1:14" ht="14.5">
      <c r="A496">
        <v>492</v>
      </c>
      <c r="B496" s="145" t="e">
        <f>IF(MIS_Backend_Data!#REF!="", "", MIS_Backend_Data!#REF!)</f>
        <v>#REF!</v>
      </c>
      <c r="D496" t="str">
        <f>IF(MIS_Backend_Data!Q498="", "", MIS_Backend_Data!Q498)</f>
        <v/>
      </c>
      <c r="F496" t="e">
        <f>IF(MIS_Backend_Data!#REF!="", "", MIS_Backend_Data!#REF!)</f>
        <v>#REF!</v>
      </c>
      <c r="G496" t="str">
        <f>IF(MIS_Backend_Data!Y498="", "", MIS_Backend_Data!Y498)</f>
        <v/>
      </c>
      <c r="I496" t="e">
        <f>IF(MIS_Backend_Data!#REF!="", "", MIS_Backend_Data!#REF!)</f>
        <v>#REF!</v>
      </c>
      <c r="J496" t="str">
        <f>IF(MIS_Backend_Data!AD498="", "", MIS_Backend_Data!AD498)</f>
        <v/>
      </c>
      <c r="L496" t="str">
        <f>IF(MIS_Backend_Data!AF498="", "", MIS_Backend_Data!AF498)</f>
        <v/>
      </c>
      <c r="N496" t="e">
        <f>IF(MIS_Backend_Data!#REF!="", "", MIS_Backend_Data!#REF!)</f>
        <v>#REF!</v>
      </c>
    </row>
    <row r="497" spans="1:14" ht="14.5">
      <c r="A497">
        <v>493</v>
      </c>
      <c r="B497" s="145" t="e">
        <f>IF(MIS_Backend_Data!#REF!="", "", MIS_Backend_Data!#REF!)</f>
        <v>#REF!</v>
      </c>
      <c r="D497" t="str">
        <f>IF(MIS_Backend_Data!Q499="", "", MIS_Backend_Data!Q499)</f>
        <v/>
      </c>
      <c r="F497" t="e">
        <f>IF(MIS_Backend_Data!#REF!="", "", MIS_Backend_Data!#REF!)</f>
        <v>#REF!</v>
      </c>
      <c r="G497" t="str">
        <f>IF(MIS_Backend_Data!Y499="", "", MIS_Backend_Data!Y499)</f>
        <v/>
      </c>
      <c r="I497" t="e">
        <f>IF(MIS_Backend_Data!#REF!="", "", MIS_Backend_Data!#REF!)</f>
        <v>#REF!</v>
      </c>
      <c r="J497" t="str">
        <f>IF(MIS_Backend_Data!AD499="", "", MIS_Backend_Data!AD499)</f>
        <v/>
      </c>
      <c r="L497" t="str">
        <f>IF(MIS_Backend_Data!AF499="", "", MIS_Backend_Data!AF499)</f>
        <v/>
      </c>
      <c r="N497" t="e">
        <f>IF(MIS_Backend_Data!#REF!="", "", MIS_Backend_Data!#REF!)</f>
        <v>#REF!</v>
      </c>
    </row>
    <row r="498" spans="1:14" ht="14.5">
      <c r="A498">
        <v>494</v>
      </c>
      <c r="B498" s="145" t="e">
        <f>IF(MIS_Backend_Data!#REF!="", "", MIS_Backend_Data!#REF!)</f>
        <v>#REF!</v>
      </c>
      <c r="D498" t="str">
        <f>IF(MIS_Backend_Data!Q500="", "", MIS_Backend_Data!Q500)</f>
        <v/>
      </c>
      <c r="F498" t="e">
        <f>IF(MIS_Backend_Data!#REF!="", "", MIS_Backend_Data!#REF!)</f>
        <v>#REF!</v>
      </c>
      <c r="G498" t="str">
        <f>IF(MIS_Backend_Data!Y500="", "", MIS_Backend_Data!Y500)</f>
        <v/>
      </c>
      <c r="I498" t="e">
        <f>IF(MIS_Backend_Data!#REF!="", "", MIS_Backend_Data!#REF!)</f>
        <v>#REF!</v>
      </c>
      <c r="J498" t="str">
        <f>IF(MIS_Backend_Data!AD500="", "", MIS_Backend_Data!AD500)</f>
        <v/>
      </c>
      <c r="L498" t="str">
        <f>IF(MIS_Backend_Data!AF500="", "", MIS_Backend_Data!AF500)</f>
        <v/>
      </c>
      <c r="N498" t="e">
        <f>IF(MIS_Backend_Data!#REF!="", "", MIS_Backend_Data!#REF!)</f>
        <v>#REF!</v>
      </c>
    </row>
    <row r="499" spans="1:14" ht="14.5">
      <c r="A499">
        <v>495</v>
      </c>
      <c r="B499" s="145" t="e">
        <f>IF(MIS_Backend_Data!#REF!="", "", MIS_Backend_Data!#REF!)</f>
        <v>#REF!</v>
      </c>
      <c r="D499" t="str">
        <f>IF(MIS_Backend_Data!Q501="", "", MIS_Backend_Data!Q501)</f>
        <v/>
      </c>
      <c r="F499" t="e">
        <f>IF(MIS_Backend_Data!#REF!="", "", MIS_Backend_Data!#REF!)</f>
        <v>#REF!</v>
      </c>
      <c r="G499" t="str">
        <f>IF(MIS_Backend_Data!Y501="", "", MIS_Backend_Data!Y501)</f>
        <v/>
      </c>
      <c r="I499" t="e">
        <f>IF(MIS_Backend_Data!#REF!="", "", MIS_Backend_Data!#REF!)</f>
        <v>#REF!</v>
      </c>
      <c r="J499" t="str">
        <f>IF(MIS_Backend_Data!AD501="", "", MIS_Backend_Data!AD501)</f>
        <v/>
      </c>
      <c r="L499" t="str">
        <f>IF(MIS_Backend_Data!AF501="", "", MIS_Backend_Data!AF501)</f>
        <v/>
      </c>
      <c r="N499" t="e">
        <f>IF(MIS_Backend_Data!#REF!="", "", MIS_Backend_Data!#REF!)</f>
        <v>#REF!</v>
      </c>
    </row>
    <row r="500" spans="1:14" ht="14.5">
      <c r="A500">
        <v>496</v>
      </c>
      <c r="B500" s="145" t="e">
        <f>IF(MIS_Backend_Data!#REF!="", "", MIS_Backend_Data!#REF!)</f>
        <v>#REF!</v>
      </c>
      <c r="D500" t="str">
        <f>IF(MIS_Backend_Data!Q502="", "", MIS_Backend_Data!Q502)</f>
        <v/>
      </c>
      <c r="F500" t="e">
        <f>IF(MIS_Backend_Data!#REF!="", "", MIS_Backend_Data!#REF!)</f>
        <v>#REF!</v>
      </c>
      <c r="G500" t="str">
        <f>IF(MIS_Backend_Data!Y502="", "", MIS_Backend_Data!Y502)</f>
        <v/>
      </c>
      <c r="I500" t="e">
        <f>IF(MIS_Backend_Data!#REF!="", "", MIS_Backend_Data!#REF!)</f>
        <v>#REF!</v>
      </c>
      <c r="J500" t="str">
        <f>IF(MIS_Backend_Data!AD502="", "", MIS_Backend_Data!AD502)</f>
        <v/>
      </c>
      <c r="L500" t="str">
        <f>IF(MIS_Backend_Data!AF502="", "", MIS_Backend_Data!AF502)</f>
        <v/>
      </c>
      <c r="N500" t="e">
        <f>IF(MIS_Backend_Data!#REF!="", "", MIS_Backend_Data!#REF!)</f>
        <v>#REF!</v>
      </c>
    </row>
    <row r="501" spans="1:14" ht="14.5">
      <c r="A501">
        <v>497</v>
      </c>
      <c r="B501" s="145" t="e">
        <f>IF(MIS_Backend_Data!#REF!="", "", MIS_Backend_Data!#REF!)</f>
        <v>#REF!</v>
      </c>
      <c r="D501" t="str">
        <f>IF(MIS_Backend_Data!Q503="", "", MIS_Backend_Data!Q503)</f>
        <v/>
      </c>
      <c r="F501" t="e">
        <f>IF(MIS_Backend_Data!#REF!="", "", MIS_Backend_Data!#REF!)</f>
        <v>#REF!</v>
      </c>
      <c r="G501" t="str">
        <f>IF(MIS_Backend_Data!Y503="", "", MIS_Backend_Data!Y503)</f>
        <v/>
      </c>
      <c r="I501" t="e">
        <f>IF(MIS_Backend_Data!#REF!="", "", MIS_Backend_Data!#REF!)</f>
        <v>#REF!</v>
      </c>
      <c r="J501" t="str">
        <f>IF(MIS_Backend_Data!AD503="", "", MIS_Backend_Data!AD503)</f>
        <v/>
      </c>
      <c r="L501" t="str">
        <f>IF(MIS_Backend_Data!AF503="", "", MIS_Backend_Data!AF503)</f>
        <v/>
      </c>
      <c r="N501" t="e">
        <f>IF(MIS_Backend_Data!#REF!="", "", MIS_Backend_Data!#REF!)</f>
        <v>#REF!</v>
      </c>
    </row>
    <row r="502" spans="1:14" ht="14.5">
      <c r="A502">
        <v>498</v>
      </c>
      <c r="B502" s="145" t="e">
        <f>IF(MIS_Backend_Data!#REF!="", "", MIS_Backend_Data!#REF!)</f>
        <v>#REF!</v>
      </c>
      <c r="D502" t="str">
        <f>IF(MIS_Backend_Data!Q504="", "", MIS_Backend_Data!Q504)</f>
        <v/>
      </c>
      <c r="F502" t="e">
        <f>IF(MIS_Backend_Data!#REF!="", "", MIS_Backend_Data!#REF!)</f>
        <v>#REF!</v>
      </c>
      <c r="G502" t="str">
        <f>IF(MIS_Backend_Data!Y504="", "", MIS_Backend_Data!Y504)</f>
        <v/>
      </c>
      <c r="I502" t="e">
        <f>IF(MIS_Backend_Data!#REF!="", "", MIS_Backend_Data!#REF!)</f>
        <v>#REF!</v>
      </c>
      <c r="J502" t="str">
        <f>IF(MIS_Backend_Data!AD504="", "", MIS_Backend_Data!AD504)</f>
        <v/>
      </c>
      <c r="L502" t="str">
        <f>IF(MIS_Backend_Data!AF504="", "", MIS_Backend_Data!AF504)</f>
        <v/>
      </c>
      <c r="N502" t="e">
        <f>IF(MIS_Backend_Data!#REF!="", "", MIS_Backend_Data!#REF!)</f>
        <v>#REF!</v>
      </c>
    </row>
    <row r="503" spans="1:14" ht="14.5">
      <c r="A503">
        <v>499</v>
      </c>
      <c r="B503" s="145" t="e">
        <f>IF(MIS_Backend_Data!#REF!="", "", MIS_Backend_Data!#REF!)</f>
        <v>#REF!</v>
      </c>
      <c r="D503" t="str">
        <f>IF(MIS_Backend_Data!Q505="", "", MIS_Backend_Data!Q505)</f>
        <v/>
      </c>
      <c r="F503" t="e">
        <f>IF(MIS_Backend_Data!#REF!="", "", MIS_Backend_Data!#REF!)</f>
        <v>#REF!</v>
      </c>
      <c r="G503" t="str">
        <f>IF(MIS_Backend_Data!Y505="", "", MIS_Backend_Data!Y505)</f>
        <v/>
      </c>
      <c r="I503" t="e">
        <f>IF(MIS_Backend_Data!#REF!="", "", MIS_Backend_Data!#REF!)</f>
        <v>#REF!</v>
      </c>
      <c r="J503" t="str">
        <f>IF(MIS_Backend_Data!AD505="", "", MIS_Backend_Data!AD505)</f>
        <v/>
      </c>
      <c r="L503" t="str">
        <f>IF(MIS_Backend_Data!AF505="", "", MIS_Backend_Data!AF505)</f>
        <v/>
      </c>
      <c r="N503" t="e">
        <f>IF(MIS_Backend_Data!#REF!="", "", MIS_Backend_Data!#REF!)</f>
        <v>#REF!</v>
      </c>
    </row>
  </sheetData>
  <sheetProtection sheet="1" objects="1" scenarios="1"/>
  <autoFilter ref="A1:S60" xr:uid="{F2BF91B6-7062-4703-B251-A6822E625C9C}"/>
  <hyperlinks>
    <hyperlink ref="B35" r:id="rId1" display="2025207292" xr:uid="{F24BEB4B-0CCC-46A2-84B0-E81BB78F1DA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A346-B802-4059-A502-8E1B49610D86}">
  <sheetPr codeName="Sheet8"/>
  <dimension ref="A1:H1"/>
  <sheetViews>
    <sheetView workbookViewId="0"/>
  </sheetViews>
  <sheetFormatPr defaultColWidth="9.1796875" defaultRowHeight="18" customHeight="1"/>
  <cols>
    <col min="1" max="1" width="9.1796875" style="296"/>
    <col min="2" max="2" width="26.1796875" style="296" customWidth="1"/>
    <col min="3" max="3" width="12.54296875" style="296" customWidth="1"/>
    <col min="4" max="4" width="13.26953125" style="296" customWidth="1"/>
    <col min="5" max="5" width="9.1796875" style="296"/>
    <col min="6" max="6" width="13.7265625" style="296" customWidth="1"/>
    <col min="7" max="7" width="20.7265625" style="296" customWidth="1"/>
    <col min="8" max="16384" width="9.1796875" style="296"/>
  </cols>
  <sheetData>
    <row r="1" spans="1:8" ht="37.5" customHeight="1">
      <c r="A1" s="298" t="s">
        <v>0</v>
      </c>
      <c r="B1" s="298" t="s">
        <v>2292</v>
      </c>
      <c r="C1" s="297" t="s">
        <v>2293</v>
      </c>
      <c r="D1" s="298" t="s">
        <v>2294</v>
      </c>
      <c r="E1" s="298" t="s">
        <v>695</v>
      </c>
      <c r="F1" s="298" t="s">
        <v>2295</v>
      </c>
      <c r="G1" s="298" t="s">
        <v>2296</v>
      </c>
      <c r="H1" s="296" t="s">
        <v>2297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6F88-74C7-4F9C-BCE5-D564FA3D4074}">
  <sheetPr codeName="Sheet10">
    <tabColor rgb="FF00B050"/>
  </sheetPr>
  <dimension ref="A2:Y31"/>
  <sheetViews>
    <sheetView topLeftCell="J1" workbookViewId="0">
      <selection activeCell="N12" sqref="N12"/>
    </sheetView>
  </sheetViews>
  <sheetFormatPr defaultRowHeight="14.5"/>
  <cols>
    <col min="1" max="1" width="25.7265625" bestFit="1" customWidth="1"/>
    <col min="2" max="2" width="17.453125" bestFit="1" customWidth="1"/>
    <col min="3" max="3" width="4.26953125" bestFit="1" customWidth="1"/>
    <col min="4" max="4" width="2.7265625" bestFit="1" customWidth="1"/>
    <col min="5" max="5" width="10.7265625" bestFit="1" customWidth="1"/>
    <col min="6" max="6" width="2.7265625" bestFit="1" customWidth="1"/>
    <col min="7" max="7" width="10.7265625" bestFit="1" customWidth="1"/>
    <col min="8" max="8" width="7.1796875" bestFit="1" customWidth="1"/>
    <col min="9" max="9" width="11.1796875" customWidth="1"/>
    <col min="10" max="10" width="11.1796875" bestFit="1" customWidth="1"/>
    <col min="11" max="11" width="14.453125" bestFit="1" customWidth="1"/>
    <col min="12" max="12" width="14.453125" customWidth="1"/>
    <col min="13" max="13" width="17.1796875" bestFit="1" customWidth="1"/>
    <col min="14" max="14" width="9" bestFit="1" customWidth="1"/>
    <col min="15" max="15" width="3.1796875" bestFit="1" customWidth="1"/>
    <col min="16" max="16" width="6.26953125" bestFit="1" customWidth="1"/>
    <col min="17" max="17" width="11.54296875" bestFit="1" customWidth="1"/>
    <col min="18" max="18" width="8.453125" bestFit="1" customWidth="1"/>
    <col min="19" max="19" width="21.81640625" bestFit="1" customWidth="1"/>
    <col min="20" max="20" width="6.7265625" bestFit="1" customWidth="1"/>
    <col min="21" max="21" width="3.453125" bestFit="1" customWidth="1"/>
    <col min="22" max="22" width="13.81640625" bestFit="1" customWidth="1"/>
    <col min="23" max="23" width="4.453125" bestFit="1" customWidth="1"/>
    <col min="24" max="24" width="5.54296875" bestFit="1" customWidth="1"/>
    <col min="25" max="25" width="11.1796875" bestFit="1" customWidth="1"/>
    <col min="26" max="26" width="5.54296875" bestFit="1" customWidth="1"/>
    <col min="27" max="28" width="11.1796875" bestFit="1" customWidth="1"/>
    <col min="29" max="29" width="22.54296875" bestFit="1" customWidth="1"/>
    <col min="30" max="30" width="19" bestFit="1" customWidth="1"/>
    <col min="31" max="31" width="11.54296875" bestFit="1" customWidth="1"/>
    <col min="32" max="32" width="7.54296875" bestFit="1" customWidth="1"/>
    <col min="33" max="33" width="21.1796875" bestFit="1" customWidth="1"/>
    <col min="34" max="34" width="13.453125" bestFit="1" customWidth="1"/>
    <col min="35" max="35" width="10.1796875" bestFit="1" customWidth="1"/>
    <col min="36" max="36" width="16.7265625" bestFit="1" customWidth="1"/>
    <col min="37" max="37" width="30.453125" bestFit="1" customWidth="1"/>
    <col min="38" max="38" width="30.26953125" bestFit="1" customWidth="1"/>
    <col min="39" max="39" width="21.81640625" bestFit="1" customWidth="1"/>
    <col min="40" max="40" width="5" bestFit="1" customWidth="1"/>
    <col min="41" max="41" width="107.81640625" bestFit="1" customWidth="1"/>
    <col min="42" max="42" width="17.453125" bestFit="1" customWidth="1"/>
    <col min="43" max="43" width="11.26953125" bestFit="1" customWidth="1"/>
    <col min="44" max="44" width="7.1796875" bestFit="1" customWidth="1"/>
    <col min="45" max="45" width="11.1796875" bestFit="1" customWidth="1"/>
  </cols>
  <sheetData>
    <row r="2" spans="1:25">
      <c r="A2" s="21" t="s">
        <v>660</v>
      </c>
      <c r="B2" t="s">
        <v>2298</v>
      </c>
    </row>
    <row r="4" spans="1:25">
      <c r="A4" s="21" t="s">
        <v>2299</v>
      </c>
      <c r="B4" s="216" t="s">
        <v>666</v>
      </c>
    </row>
    <row r="5" spans="1:25">
      <c r="A5" s="21" t="s">
        <v>5</v>
      </c>
      <c r="B5" t="s">
        <v>2300</v>
      </c>
      <c r="C5" t="s">
        <v>721</v>
      </c>
      <c r="D5" t="s">
        <v>794</v>
      </c>
      <c r="E5" t="s">
        <v>2301</v>
      </c>
      <c r="L5" s="21" t="s">
        <v>2302</v>
      </c>
      <c r="M5" s="21" t="s">
        <v>2303</v>
      </c>
    </row>
    <row r="6" spans="1:25">
      <c r="A6" t="s">
        <v>2304</v>
      </c>
      <c r="B6">
        <v>2</v>
      </c>
      <c r="C6">
        <v>9</v>
      </c>
      <c r="D6">
        <v>3</v>
      </c>
      <c r="E6">
        <v>14</v>
      </c>
      <c r="L6" s="21" t="s">
        <v>2305</v>
      </c>
      <c r="M6" t="s">
        <v>654</v>
      </c>
      <c r="N6" t="s">
        <v>634</v>
      </c>
      <c r="O6" t="s">
        <v>14</v>
      </c>
      <c r="P6" t="s">
        <v>638</v>
      </c>
      <c r="Q6" t="s">
        <v>2306</v>
      </c>
      <c r="R6" t="s">
        <v>647</v>
      </c>
      <c r="S6" t="s">
        <v>2307</v>
      </c>
      <c r="T6" t="s">
        <v>651</v>
      </c>
      <c r="U6" t="s">
        <v>15</v>
      </c>
      <c r="V6" t="s">
        <v>1252</v>
      </c>
      <c r="W6" t="s">
        <v>2308</v>
      </c>
      <c r="X6" t="s">
        <v>2309</v>
      </c>
      <c r="Y6" t="s">
        <v>2301</v>
      </c>
    </row>
    <row r="7" spans="1:25">
      <c r="A7" t="s">
        <v>2310</v>
      </c>
      <c r="B7">
        <v>1</v>
      </c>
      <c r="C7">
        <v>1</v>
      </c>
      <c r="E7">
        <v>2</v>
      </c>
      <c r="L7" t="s">
        <v>2311</v>
      </c>
      <c r="M7">
        <v>6</v>
      </c>
      <c r="Y7">
        <v>6</v>
      </c>
    </row>
    <row r="8" spans="1:25">
      <c r="A8" t="s">
        <v>2312</v>
      </c>
      <c r="B8">
        <v>1</v>
      </c>
      <c r="C8">
        <v>11</v>
      </c>
      <c r="D8">
        <v>1</v>
      </c>
      <c r="E8">
        <v>13</v>
      </c>
      <c r="L8" s="240" t="s">
        <v>2313</v>
      </c>
      <c r="M8">
        <v>7</v>
      </c>
      <c r="Y8">
        <v>7</v>
      </c>
    </row>
    <row r="9" spans="1:25">
      <c r="A9" t="s">
        <v>2301</v>
      </c>
      <c r="B9">
        <v>4</v>
      </c>
      <c r="C9">
        <v>21</v>
      </c>
      <c r="D9">
        <v>4</v>
      </c>
      <c r="E9">
        <v>29</v>
      </c>
      <c r="L9" s="240" t="s">
        <v>2314</v>
      </c>
      <c r="M9">
        <v>1</v>
      </c>
      <c r="Y9">
        <v>1</v>
      </c>
    </row>
    <row r="10" spans="1:25">
      <c r="L10" t="s">
        <v>716</v>
      </c>
      <c r="M10">
        <v>41</v>
      </c>
      <c r="P10">
        <v>1</v>
      </c>
      <c r="Y10">
        <v>42</v>
      </c>
    </row>
    <row r="11" spans="1:25">
      <c r="A11" s="21" t="s">
        <v>660</v>
      </c>
      <c r="B11" t="s">
        <v>2315</v>
      </c>
      <c r="L11" s="47" t="s">
        <v>721</v>
      </c>
      <c r="M11">
        <v>5</v>
      </c>
      <c r="Y11">
        <v>5</v>
      </c>
    </row>
    <row r="12" spans="1:25">
      <c r="L12" s="39" t="s">
        <v>2316</v>
      </c>
      <c r="M12">
        <v>27</v>
      </c>
      <c r="N12">
        <v>1</v>
      </c>
      <c r="O12">
        <v>1</v>
      </c>
      <c r="Q12">
        <v>1</v>
      </c>
      <c r="R12">
        <v>2</v>
      </c>
      <c r="S12">
        <v>1</v>
      </c>
      <c r="T12">
        <v>2</v>
      </c>
      <c r="U12">
        <v>2</v>
      </c>
      <c r="V12">
        <v>4</v>
      </c>
      <c r="W12">
        <v>2</v>
      </c>
      <c r="X12">
        <v>1</v>
      </c>
      <c r="Y12">
        <v>44</v>
      </c>
    </row>
    <row r="13" spans="1:25">
      <c r="A13" s="21" t="s">
        <v>5</v>
      </c>
      <c r="J13" s="228"/>
      <c r="K13" s="228"/>
      <c r="L13" s="240" t="s">
        <v>2317</v>
      </c>
      <c r="M13">
        <v>10</v>
      </c>
      <c r="Y13">
        <v>10</v>
      </c>
    </row>
    <row r="14" spans="1:25">
      <c r="A14" t="s">
        <v>2304</v>
      </c>
      <c r="H14" s="228"/>
      <c r="I14" s="228"/>
      <c r="J14" s="228"/>
      <c r="K14" s="211"/>
      <c r="L14" s="240" t="s">
        <v>2318</v>
      </c>
      <c r="M14">
        <v>1</v>
      </c>
      <c r="Y14">
        <v>1</v>
      </c>
    </row>
    <row r="15" spans="1:25">
      <c r="A15" t="s">
        <v>2310</v>
      </c>
      <c r="L15" s="240" t="s">
        <v>2319</v>
      </c>
      <c r="M15">
        <v>1</v>
      </c>
      <c r="Y15">
        <v>1</v>
      </c>
    </row>
    <row r="16" spans="1:25">
      <c r="A16" t="s">
        <v>2301</v>
      </c>
      <c r="L16" t="s">
        <v>2301</v>
      </c>
      <c r="M16">
        <v>99</v>
      </c>
      <c r="N16">
        <v>1</v>
      </c>
      <c r="O16">
        <v>1</v>
      </c>
      <c r="P16">
        <v>1</v>
      </c>
      <c r="Q16">
        <v>1</v>
      </c>
      <c r="R16">
        <v>2</v>
      </c>
      <c r="S16">
        <v>1</v>
      </c>
      <c r="T16">
        <v>2</v>
      </c>
      <c r="U16">
        <v>2</v>
      </c>
      <c r="V16">
        <v>4</v>
      </c>
      <c r="W16">
        <v>2</v>
      </c>
      <c r="X16">
        <v>1</v>
      </c>
      <c r="Y16">
        <v>117</v>
      </c>
    </row>
    <row r="21" spans="1:2">
      <c r="A21" s="21" t="s">
        <v>5</v>
      </c>
    </row>
    <row r="22" spans="1:2">
      <c r="A22" t="s">
        <v>2304</v>
      </c>
    </row>
    <row r="23" spans="1:2">
      <c r="A23" t="s">
        <v>2301</v>
      </c>
    </row>
    <row r="29" spans="1:2">
      <c r="A29" s="21" t="s">
        <v>2320</v>
      </c>
      <c r="B29" s="21" t="s">
        <v>2321</v>
      </c>
    </row>
    <row r="30" spans="1:2">
      <c r="A30" s="21" t="s">
        <v>5</v>
      </c>
      <c r="B30" t="s">
        <v>2301</v>
      </c>
    </row>
    <row r="31" spans="1:2">
      <c r="A31" t="s">
        <v>2301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D9EE-A6DF-41DE-A551-4041C12CB047}">
  <sheetPr codeName="Sheet11"/>
  <dimension ref="A1:R19"/>
  <sheetViews>
    <sheetView workbookViewId="0">
      <selection activeCell="D4" sqref="D4"/>
    </sheetView>
  </sheetViews>
  <sheetFormatPr defaultRowHeight="15" customHeight="1"/>
  <cols>
    <col min="2" max="2" width="41" bestFit="1" customWidth="1"/>
    <col min="3" max="3" width="10.81640625" customWidth="1"/>
    <col min="4" max="4" width="11.81640625" customWidth="1"/>
    <col min="5" max="5" width="17" style="42" customWidth="1"/>
    <col min="6" max="6" width="11.26953125" customWidth="1"/>
    <col min="7" max="7" width="14.26953125" customWidth="1"/>
    <col min="8" max="8" width="11.1796875" customWidth="1"/>
    <col min="9" max="9" width="12.26953125" customWidth="1"/>
    <col min="10" max="10" width="9.54296875" customWidth="1"/>
    <col min="13" max="13" width="11.54296875" customWidth="1"/>
    <col min="18" max="18" width="12.1796875" customWidth="1"/>
  </cols>
  <sheetData>
    <row r="1" spans="1:18" s="13" customFormat="1" ht="25">
      <c r="A1" s="59" t="s">
        <v>2322</v>
      </c>
      <c r="B1" s="60" t="s">
        <v>629</v>
      </c>
      <c r="C1" s="60" t="s">
        <v>2048</v>
      </c>
      <c r="D1" s="60" t="s">
        <v>2323</v>
      </c>
      <c r="E1" s="61" t="s">
        <v>2324</v>
      </c>
      <c r="F1" s="60" t="s">
        <v>9</v>
      </c>
      <c r="G1" s="60" t="s">
        <v>10</v>
      </c>
      <c r="H1" s="60" t="s">
        <v>11</v>
      </c>
      <c r="I1" s="60" t="s">
        <v>12</v>
      </c>
      <c r="J1" s="60" t="s">
        <v>13</v>
      </c>
      <c r="K1" s="60" t="s">
        <v>14</v>
      </c>
      <c r="L1" s="60" t="s">
        <v>15</v>
      </c>
      <c r="M1" s="60" t="s">
        <v>16</v>
      </c>
      <c r="N1" s="60" t="s">
        <v>17</v>
      </c>
      <c r="O1" s="60" t="s">
        <v>18</v>
      </c>
      <c r="P1" s="60" t="s">
        <v>2325</v>
      </c>
      <c r="Q1" s="60" t="s">
        <v>20</v>
      </c>
      <c r="R1" s="60" t="s">
        <v>647</v>
      </c>
    </row>
    <row r="2" spans="1:18" ht="14.5">
      <c r="A2" s="4">
        <v>1</v>
      </c>
      <c r="B2" s="5" t="s">
        <v>2326</v>
      </c>
      <c r="C2" s="6" t="s">
        <v>837</v>
      </c>
      <c r="D2" s="6" t="s">
        <v>2327</v>
      </c>
      <c r="E2" s="7">
        <v>45301</v>
      </c>
      <c r="F2" s="58"/>
      <c r="G2" s="58"/>
      <c r="H2" s="58"/>
      <c r="I2" s="58"/>
      <c r="J2" s="58"/>
      <c r="K2" s="58"/>
      <c r="L2" s="58"/>
      <c r="M2" s="58"/>
      <c r="N2" s="58"/>
      <c r="O2" s="58"/>
      <c r="P2" s="58"/>
      <c r="Q2" s="58"/>
      <c r="R2" s="58"/>
    </row>
    <row r="3" spans="1:18" ht="14.5">
      <c r="A3" s="4">
        <v>2</v>
      </c>
      <c r="B3" s="5" t="s">
        <v>2328</v>
      </c>
      <c r="C3" s="6" t="s">
        <v>837</v>
      </c>
      <c r="D3" s="6" t="s">
        <v>53</v>
      </c>
      <c r="E3" s="62">
        <v>45352</v>
      </c>
      <c r="F3" s="63">
        <v>1000</v>
      </c>
      <c r="G3" s="63">
        <v>100</v>
      </c>
      <c r="H3" s="63">
        <v>1000</v>
      </c>
      <c r="I3" s="63">
        <v>700</v>
      </c>
      <c r="J3" s="63">
        <v>1000</v>
      </c>
      <c r="K3" s="63">
        <v>750</v>
      </c>
      <c r="L3" s="63">
        <v>750</v>
      </c>
      <c r="M3" s="63">
        <v>750</v>
      </c>
      <c r="N3" s="63">
        <v>500</v>
      </c>
      <c r="O3" s="63">
        <v>2000</v>
      </c>
      <c r="P3" s="63">
        <v>0</v>
      </c>
      <c r="Q3" s="63">
        <v>100</v>
      </c>
      <c r="R3" s="63">
        <v>500</v>
      </c>
    </row>
    <row r="4" spans="1:18" ht="14.5">
      <c r="A4" s="4">
        <v>3</v>
      </c>
      <c r="B4" s="5" t="s">
        <v>2329</v>
      </c>
      <c r="C4" s="6" t="s">
        <v>741</v>
      </c>
      <c r="D4" s="6" t="s">
        <v>443</v>
      </c>
      <c r="E4" s="7">
        <v>45394</v>
      </c>
      <c r="F4" s="58"/>
      <c r="G4" s="58"/>
      <c r="H4" s="58"/>
      <c r="I4" s="58"/>
      <c r="J4" s="58"/>
      <c r="K4" s="58"/>
      <c r="L4" s="58"/>
      <c r="M4" s="58"/>
      <c r="N4" s="58"/>
      <c r="O4" s="58"/>
      <c r="P4" s="58"/>
      <c r="Q4" s="63"/>
      <c r="R4" s="63"/>
    </row>
    <row r="5" spans="1:18" ht="14.5">
      <c r="A5" s="4">
        <v>4</v>
      </c>
      <c r="B5" s="5" t="s">
        <v>2330</v>
      </c>
      <c r="C5" s="6" t="s">
        <v>741</v>
      </c>
      <c r="D5" s="6" t="s">
        <v>2331</v>
      </c>
      <c r="E5" s="7">
        <v>45292</v>
      </c>
      <c r="F5" s="58"/>
      <c r="G5" s="58"/>
      <c r="H5" s="58"/>
      <c r="I5" s="58"/>
      <c r="J5" s="58"/>
      <c r="K5" s="58"/>
      <c r="L5" s="58"/>
      <c r="M5" s="58"/>
      <c r="N5" s="58"/>
      <c r="O5" s="58"/>
      <c r="P5" s="58"/>
      <c r="Q5" s="63"/>
      <c r="R5" s="63"/>
    </row>
    <row r="6" spans="1:18" ht="14.5">
      <c r="A6" s="4">
        <v>5</v>
      </c>
      <c r="B6" s="5" t="s">
        <v>2310</v>
      </c>
      <c r="C6" s="6" t="s">
        <v>837</v>
      </c>
      <c r="D6" s="6" t="s">
        <v>28</v>
      </c>
      <c r="E6" s="62">
        <v>45352</v>
      </c>
      <c r="F6" s="63">
        <v>800</v>
      </c>
      <c r="G6" s="63">
        <v>100</v>
      </c>
      <c r="H6" s="63">
        <v>800</v>
      </c>
      <c r="I6" s="63">
        <v>700</v>
      </c>
      <c r="J6" s="63">
        <v>800</v>
      </c>
      <c r="K6" s="63">
        <v>800</v>
      </c>
      <c r="L6" s="63">
        <v>800</v>
      </c>
      <c r="M6" s="63">
        <v>800</v>
      </c>
      <c r="N6" s="63">
        <v>500</v>
      </c>
      <c r="O6" s="63">
        <v>1500</v>
      </c>
      <c r="P6" s="63">
        <v>0</v>
      </c>
      <c r="Q6" s="63">
        <v>100</v>
      </c>
      <c r="R6" s="63" t="s">
        <v>718</v>
      </c>
    </row>
    <row r="7" spans="1:18" ht="14.5">
      <c r="A7" s="4">
        <v>6</v>
      </c>
      <c r="B7" s="5" t="s">
        <v>2312</v>
      </c>
      <c r="C7" s="6" t="s">
        <v>741</v>
      </c>
      <c r="D7" s="6" t="s">
        <v>366</v>
      </c>
      <c r="E7" s="62">
        <v>45352</v>
      </c>
      <c r="F7" s="63"/>
      <c r="G7" s="63"/>
      <c r="H7" s="63"/>
      <c r="I7" s="63"/>
      <c r="J7" s="63"/>
      <c r="K7" s="63"/>
      <c r="L7" s="63"/>
      <c r="M7" s="63"/>
      <c r="N7" s="63"/>
      <c r="O7" s="63"/>
      <c r="P7" s="63">
        <v>0</v>
      </c>
      <c r="Q7" s="63"/>
      <c r="R7" s="63"/>
    </row>
    <row r="8" spans="1:18" ht="14.5">
      <c r="A8" s="4">
        <v>7</v>
      </c>
      <c r="B8" s="5" t="s">
        <v>2332</v>
      </c>
      <c r="C8" s="6" t="s">
        <v>837</v>
      </c>
      <c r="D8" s="6" t="s">
        <v>2333</v>
      </c>
      <c r="E8" s="7">
        <v>45349</v>
      </c>
      <c r="F8" s="58"/>
      <c r="G8" s="58"/>
      <c r="H8" s="58"/>
      <c r="I8" s="58"/>
      <c r="J8" s="58"/>
      <c r="K8" s="58"/>
      <c r="L8" s="58"/>
      <c r="M8" s="58"/>
      <c r="N8" s="58"/>
      <c r="O8" s="58"/>
      <c r="P8" s="58"/>
      <c r="Q8" s="63"/>
      <c r="R8" s="63"/>
    </row>
    <row r="9" spans="1:18" ht="14.5">
      <c r="A9" s="4">
        <v>8</v>
      </c>
      <c r="B9" s="5" t="s">
        <v>2334</v>
      </c>
      <c r="C9" s="6" t="s">
        <v>741</v>
      </c>
      <c r="D9" s="6" t="s">
        <v>2335</v>
      </c>
      <c r="E9" s="62">
        <v>45352</v>
      </c>
      <c r="F9" s="63">
        <v>1000</v>
      </c>
      <c r="G9" s="63">
        <v>300</v>
      </c>
      <c r="H9" s="63">
        <v>1000</v>
      </c>
      <c r="I9" s="63">
        <v>1000</v>
      </c>
      <c r="J9" s="63">
        <v>1000</v>
      </c>
      <c r="K9" s="63">
        <v>650</v>
      </c>
      <c r="L9" s="63">
        <v>650</v>
      </c>
      <c r="M9" s="63">
        <v>650</v>
      </c>
      <c r="N9" s="63">
        <v>250</v>
      </c>
      <c r="O9" s="63">
        <v>2000</v>
      </c>
      <c r="P9" s="63">
        <v>0</v>
      </c>
      <c r="Q9" s="63">
        <v>300</v>
      </c>
      <c r="R9" s="63">
        <v>1000</v>
      </c>
    </row>
    <row r="10" spans="1:18" ht="14.5">
      <c r="A10" s="4">
        <v>9</v>
      </c>
      <c r="B10" s="5" t="s">
        <v>2336</v>
      </c>
      <c r="C10" s="6" t="s">
        <v>741</v>
      </c>
      <c r="D10" s="6" t="s">
        <v>2337</v>
      </c>
      <c r="E10" s="7">
        <v>45352</v>
      </c>
      <c r="F10" s="58"/>
      <c r="G10" s="58"/>
      <c r="H10" s="58"/>
      <c r="I10" s="58"/>
      <c r="J10" s="58"/>
      <c r="K10" s="58"/>
      <c r="L10" s="58"/>
      <c r="M10" s="58"/>
      <c r="N10" s="58"/>
      <c r="O10" s="58"/>
      <c r="P10" s="58"/>
      <c r="Q10" s="63"/>
      <c r="R10" s="63"/>
    </row>
    <row r="11" spans="1:18" ht="14.5">
      <c r="A11" s="4">
        <v>10</v>
      </c>
      <c r="B11" s="5" t="s">
        <v>2304</v>
      </c>
      <c r="C11" s="6" t="s">
        <v>837</v>
      </c>
      <c r="D11" s="6" t="s">
        <v>38</v>
      </c>
      <c r="E11" s="7">
        <v>45352</v>
      </c>
      <c r="F11" s="58">
        <v>1000</v>
      </c>
      <c r="G11" s="58">
        <v>300</v>
      </c>
      <c r="H11" s="58">
        <v>1000</v>
      </c>
      <c r="I11" s="58">
        <v>1000</v>
      </c>
      <c r="J11" s="58">
        <v>1000</v>
      </c>
      <c r="K11" s="58">
        <v>650</v>
      </c>
      <c r="L11" s="58">
        <v>650</v>
      </c>
      <c r="M11" s="58">
        <v>650</v>
      </c>
      <c r="N11" s="58">
        <v>250</v>
      </c>
      <c r="O11" s="58">
        <v>2000</v>
      </c>
      <c r="P11" s="58"/>
      <c r="Q11" s="63">
        <v>300</v>
      </c>
      <c r="R11" s="371">
        <v>1000</v>
      </c>
    </row>
    <row r="12" spans="1:18" ht="14.5">
      <c r="A12" s="4">
        <v>11</v>
      </c>
      <c r="B12" s="5" t="s">
        <v>2338</v>
      </c>
      <c r="C12" s="6" t="s">
        <v>741</v>
      </c>
      <c r="D12" s="6" t="s">
        <v>2339</v>
      </c>
      <c r="E12" s="7">
        <v>45501</v>
      </c>
      <c r="F12" s="58"/>
      <c r="G12" s="58"/>
      <c r="H12" s="58"/>
      <c r="I12" s="58"/>
      <c r="J12" s="58"/>
      <c r="K12" s="58"/>
      <c r="L12" s="58"/>
      <c r="M12" s="58"/>
      <c r="N12" s="58"/>
      <c r="O12" s="58"/>
      <c r="P12" s="58"/>
      <c r="Q12" s="58"/>
      <c r="R12" s="58"/>
    </row>
    <row r="13" spans="1:18" ht="14.5">
      <c r="A13" s="4">
        <v>12</v>
      </c>
      <c r="B13" s="5" t="s">
        <v>2340</v>
      </c>
      <c r="C13" s="6" t="s">
        <v>837</v>
      </c>
      <c r="D13" s="6" t="s">
        <v>2341</v>
      </c>
      <c r="E13" s="7">
        <v>45518</v>
      </c>
      <c r="F13" s="58"/>
      <c r="G13" s="58"/>
      <c r="H13" s="58"/>
      <c r="I13" s="58"/>
      <c r="J13" s="58"/>
      <c r="K13" s="58"/>
      <c r="L13" s="58"/>
      <c r="M13" s="58"/>
      <c r="N13" s="58"/>
      <c r="O13" s="58"/>
      <c r="P13" s="58"/>
      <c r="Q13" s="58"/>
      <c r="R13" s="58"/>
    </row>
    <row r="14" spans="1:18" ht="14.5">
      <c r="A14" s="4">
        <v>13</v>
      </c>
      <c r="B14" s="5" t="s">
        <v>2342</v>
      </c>
      <c r="C14" s="6" t="s">
        <v>741</v>
      </c>
      <c r="D14" s="6" t="s">
        <v>2343</v>
      </c>
      <c r="E14" s="7">
        <v>45501</v>
      </c>
      <c r="F14" s="58"/>
      <c r="G14" s="58"/>
      <c r="H14" s="58"/>
      <c r="I14" s="58"/>
      <c r="J14" s="58"/>
      <c r="K14" s="58"/>
      <c r="L14" s="58"/>
      <c r="M14" s="58"/>
      <c r="N14" s="58"/>
      <c r="O14" s="58"/>
      <c r="P14" s="58"/>
      <c r="Q14" s="58"/>
      <c r="R14" s="58"/>
    </row>
    <row r="15" spans="1:18" ht="14.5">
      <c r="A15" s="4">
        <v>14</v>
      </c>
      <c r="B15" s="8" t="s">
        <v>2344</v>
      </c>
      <c r="C15" s="6" t="s">
        <v>741</v>
      </c>
      <c r="D15" s="6" t="s">
        <v>2345</v>
      </c>
      <c r="E15" s="7">
        <v>45501</v>
      </c>
      <c r="F15" s="58"/>
      <c r="G15" s="58"/>
      <c r="H15" s="58"/>
      <c r="I15" s="58"/>
      <c r="J15" s="58"/>
      <c r="K15" s="58"/>
      <c r="L15" s="58"/>
      <c r="M15" s="58"/>
      <c r="N15" s="58"/>
      <c r="O15" s="58"/>
      <c r="P15" s="58"/>
      <c r="Q15" s="58"/>
      <c r="R15" s="58"/>
    </row>
    <row r="16" spans="1:18" ht="14.5">
      <c r="A16" s="4">
        <v>15</v>
      </c>
      <c r="B16" s="8" t="s">
        <v>2346</v>
      </c>
      <c r="C16" s="6" t="s">
        <v>2347</v>
      </c>
      <c r="D16" s="6" t="s">
        <v>2348</v>
      </c>
      <c r="E16" s="7">
        <v>45727</v>
      </c>
      <c r="F16" s="58"/>
      <c r="G16" s="58"/>
      <c r="H16" s="58"/>
      <c r="I16" s="58"/>
      <c r="J16" s="58"/>
      <c r="K16" s="58"/>
      <c r="L16" s="58"/>
      <c r="M16" s="58"/>
      <c r="N16" s="58"/>
      <c r="O16" s="58"/>
      <c r="P16" s="58"/>
      <c r="Q16" s="58"/>
      <c r="R16" s="58"/>
    </row>
    <row r="17" spans="1:18" ht="14.5">
      <c r="A17" s="4">
        <v>16</v>
      </c>
      <c r="B17" s="5" t="s">
        <v>2349</v>
      </c>
      <c r="C17" s="6" t="s">
        <v>837</v>
      </c>
      <c r="D17" s="6" t="s">
        <v>2350</v>
      </c>
      <c r="E17" s="7">
        <v>45748</v>
      </c>
      <c r="F17" s="58"/>
      <c r="G17" s="58"/>
      <c r="H17" s="58"/>
      <c r="I17" s="58"/>
      <c r="J17" s="58"/>
      <c r="K17" s="58"/>
      <c r="L17" s="58"/>
      <c r="M17" s="58"/>
      <c r="N17" s="58"/>
      <c r="O17" s="58"/>
      <c r="P17" s="58"/>
      <c r="Q17" s="58"/>
      <c r="R17" s="58"/>
    </row>
    <row r="18" spans="1:18" ht="14.5">
      <c r="A18" s="4">
        <v>17</v>
      </c>
      <c r="B18" s="5" t="s">
        <v>2351</v>
      </c>
      <c r="C18" s="6" t="s">
        <v>837</v>
      </c>
      <c r="D18" s="6" t="s">
        <v>2352</v>
      </c>
      <c r="E18" s="7">
        <v>45758</v>
      </c>
      <c r="F18" s="58"/>
      <c r="G18" s="58"/>
      <c r="H18" s="58"/>
      <c r="I18" s="58"/>
      <c r="J18" s="58"/>
      <c r="K18" s="58"/>
      <c r="L18" s="58"/>
      <c r="M18" s="58"/>
      <c r="N18" s="58"/>
      <c r="O18" s="58"/>
      <c r="P18" s="58"/>
      <c r="Q18" s="58"/>
      <c r="R18" s="58"/>
    </row>
    <row r="19" spans="1:18" ht="14.5">
      <c r="A19" s="9">
        <v>18</v>
      </c>
      <c r="B19" s="10" t="s">
        <v>2353</v>
      </c>
      <c r="C19" s="11" t="s">
        <v>837</v>
      </c>
      <c r="D19" s="11" t="s">
        <v>2354</v>
      </c>
      <c r="E19" s="12">
        <v>45766</v>
      </c>
      <c r="F19" s="58"/>
      <c r="G19" s="58"/>
      <c r="H19" s="58"/>
      <c r="I19" s="58"/>
      <c r="J19" s="58"/>
      <c r="K19" s="58"/>
      <c r="L19" s="58"/>
      <c r="M19" s="58"/>
      <c r="N19" s="58"/>
      <c r="O19" s="58"/>
      <c r="P19" s="58"/>
      <c r="Q19" s="58"/>
      <c r="R19" s="58"/>
    </row>
  </sheetData>
  <protectedRanges>
    <protectedRange sqref="F1:R1" name="Range1"/>
  </protectedRange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57A1-F6C0-4ADF-9850-8B3180FE0C5A}">
  <sheetPr codeName="Sheet12"/>
  <dimension ref="A1:AG500"/>
  <sheetViews>
    <sheetView workbookViewId="0">
      <selection activeCell="AF1" sqref="AF1"/>
    </sheetView>
  </sheetViews>
  <sheetFormatPr defaultColWidth="9.1796875" defaultRowHeight="20.25" customHeight="1"/>
  <cols>
    <col min="1" max="1" width="9.1796875" style="13"/>
    <col min="2" max="2" width="46.7265625" style="1" customWidth="1"/>
    <col min="3" max="3" width="26.26953125" style="13" customWidth="1"/>
    <col min="4" max="5" width="18.54296875" style="13" customWidth="1"/>
    <col min="6" max="6" width="14" style="14" customWidth="1"/>
    <col min="7" max="7" width="14.81640625" style="14" customWidth="1"/>
    <col min="8" max="20" width="9.1796875" style="1"/>
    <col min="21" max="21" width="12.1796875" style="1" customWidth="1"/>
    <col min="22" max="22" width="9.1796875" style="1"/>
    <col min="23" max="23" width="10.26953125" style="1" customWidth="1"/>
    <col min="24" max="25" width="9.1796875" style="1"/>
    <col min="26" max="27" width="9.1796875" style="1" hidden="1" customWidth="1"/>
    <col min="28" max="29" width="0" style="1" hidden="1" customWidth="1"/>
    <col min="30" max="30" width="9.1796875" style="1"/>
    <col min="31" max="31" width="11.81640625" style="1" customWidth="1"/>
    <col min="32" max="32" width="18" style="1" customWidth="1"/>
    <col min="33" max="16384" width="9.1796875" style="1"/>
  </cols>
  <sheetData>
    <row r="1" spans="1:33" ht="42" customHeight="1">
      <c r="A1" s="22" t="s">
        <v>0</v>
      </c>
      <c r="B1" s="23" t="str" cm="1">
        <f t="array" aca="1" ref="B1:G226" ca="1">_xlfn._xlws.FILTER(_xlfn.CHOOSECOLS(MIS_Backend_Data!B:AC,2,1,4,10,5,7), MIS_Backend_Data!E:E&lt;&gt;"")</f>
        <v>CLIENT NAME</v>
      </c>
      <c r="C1" s="22" t="str">
        <f ca="1"/>
        <v>CLAIM NUMBER</v>
      </c>
      <c r="D1" s="22" t="str">
        <f ca="1"/>
        <v>CRN</v>
      </c>
      <c r="E1" s="22" t="str">
        <f ca="1"/>
        <v>TAT</v>
      </c>
      <c r="F1" s="217" t="str">
        <f ca="1"/>
        <v>CASE RECIPET DATE</v>
      </c>
      <c r="G1" s="217" t="str">
        <f ca="1"/>
        <v>COMPLETION DATE</v>
      </c>
      <c r="H1" s="24" t="s">
        <v>2355</v>
      </c>
      <c r="I1" s="24" t="s">
        <v>2356</v>
      </c>
      <c r="J1" s="24" t="s">
        <v>650</v>
      </c>
      <c r="K1" s="24" t="s">
        <v>2357</v>
      </c>
      <c r="L1" s="24" t="s">
        <v>2358</v>
      </c>
      <c r="M1" s="24" t="s">
        <v>2139</v>
      </c>
      <c r="N1" s="24" t="s">
        <v>2359</v>
      </c>
      <c r="O1" s="24" t="s">
        <v>652</v>
      </c>
      <c r="P1" s="24" t="s">
        <v>636</v>
      </c>
      <c r="Q1" s="24" t="s">
        <v>2360</v>
      </c>
      <c r="R1" s="24" t="s">
        <v>2361</v>
      </c>
      <c r="S1" s="24" t="s">
        <v>647</v>
      </c>
      <c r="T1" s="24" t="s">
        <v>2362</v>
      </c>
      <c r="U1" s="24" t="s">
        <v>2363</v>
      </c>
      <c r="V1" s="24" t="s">
        <v>2364</v>
      </c>
      <c r="W1" s="23" t="s">
        <v>2365</v>
      </c>
      <c r="X1" s="24" t="s">
        <v>2366</v>
      </c>
      <c r="AA1" s="1" t="s">
        <v>2367</v>
      </c>
      <c r="AC1" s="1" t="str" cm="1">
        <f t="array" aca="1" ref="AC1:AC226" ca="1">_xlfn._xlws.FILTER(_xlfn.CHOOSECOLS(MIS_Backend_Data!B:AC,13), MIS_Backend_Data!E:E&lt;&gt;"")</f>
        <v>INVESTIGATION REPORT</v>
      </c>
      <c r="AE1" s="1" t="e" cm="1">
        <f t="array" ref="AE1">_xlfn._xlws.FILTER(_xlfn.CHOOSECOLS(MIS_Backend_Data!B:BE,56,57), MIS_Backend_Data!E:E&lt;&gt;"")</f>
        <v>#VALUE!</v>
      </c>
      <c r="AG1" s="1" t="s">
        <v>2368</v>
      </c>
    </row>
    <row r="2" spans="1:33" ht="19.5" customHeight="1">
      <c r="A2" s="13">
        <v>1</v>
      </c>
      <c r="B2" s="1" t="str">
        <f ca="1"/>
        <v>Magma HDI General Insurance Company Ltd</v>
      </c>
      <c r="C2" s="13" t="str">
        <f ca="1"/>
        <v>C2264103101203-00</v>
      </c>
      <c r="D2" s="13" t="str">
        <f ca="1"/>
        <v>M002-1001-SS-2025</v>
      </c>
      <c r="E2" s="13">
        <f ca="1"/>
        <v>152</v>
      </c>
      <c r="F2" s="14">
        <f ca="1"/>
        <v>45873</v>
      </c>
      <c r="G2" s="14">
        <f ca="1"/>
        <v>46025</v>
      </c>
      <c r="W2" s="2" t="str">
        <f ca="1">IF(OR(Z2="", AA2=""), "", IF(Z2=AA2, "Approved", "Reject"))</f>
        <v>Reject</v>
      </c>
      <c r="Z2" s="1" t="str" cm="1">
        <f t="array" aca="1" ref="Z2:Z227" ca="1">_xlfn._xlws.FILTER(_xlfn.CHOOSECOLS(CRN!B:Y,22), CRN!E:E&lt;&gt;"")</f>
        <v>WITNESS</v>
      </c>
      <c r="AA2" s="1">
        <f>COUNTIF(H2:V2,"Yes")</f>
        <v>0</v>
      </c>
      <c r="AC2" s="1" t="str">
        <f ca="1"/>
        <v>Dispatch</v>
      </c>
    </row>
    <row r="3" spans="1:33" ht="20.25" customHeight="1">
      <c r="A3" s="13">
        <v>2</v>
      </c>
      <c r="B3" s="1" t="str">
        <f ca="1"/>
        <v>Magma HDI General Insurance Company Ltd</v>
      </c>
      <c r="C3" s="13" t="str">
        <f ca="1"/>
        <v>C2264191100006-00</v>
      </c>
      <c r="D3" s="13" t="str">
        <f ca="1"/>
        <v>M002-1002-SS-2025</v>
      </c>
      <c r="E3" s="13">
        <f ca="1"/>
        <v>154</v>
      </c>
      <c r="F3" s="14">
        <f ca="1"/>
        <v>45873</v>
      </c>
      <c r="G3" s="14" t="str">
        <f ca="1"/>
        <v>-</v>
      </c>
      <c r="H3" s="1" t="str">
        <f>IF(Back_End_Data!G3="Completed","Yes","No")</f>
        <v>Yes</v>
      </c>
      <c r="I3" s="1" t="str">
        <f>IF(Back_End_Data!I3="Completed","Yes","No")</f>
        <v>Yes</v>
      </c>
      <c r="J3" s="1" t="str">
        <f>IF(Back_End_Data!J3="Completed","Yes","No")</f>
        <v>No</v>
      </c>
      <c r="K3" s="1" t="str">
        <f>IF(Back_End_Data!K3="Completed","Yes","No")</f>
        <v>No</v>
      </c>
      <c r="L3" s="1" t="str">
        <f>IF(Back_End_Data!L3="", "No", Back_End_Data!L3)</f>
        <v>NA</v>
      </c>
      <c r="M3" s="1" t="str">
        <f>IF(Back_End_Data!N3="", "No", Back_End_Data!N3)</f>
        <v>NA</v>
      </c>
      <c r="N3" s="1" t="str">
        <f>IF(Back_End_Data!M3="", "No", Back_End_Data!M3)</f>
        <v>NA</v>
      </c>
      <c r="O3" s="1" t="str">
        <f>IF(Back_End_Data!O3="Completed","Yes","No")</f>
        <v>No</v>
      </c>
      <c r="P3" s="1" t="str">
        <f>IF(Back_End_Data!H3="Completed","Yes","No")</f>
        <v>No</v>
      </c>
      <c r="Q3" s="1" t="str">
        <f>IF(Back_End_Data!P3="Completed","Yes","No")</f>
        <v>Yes</v>
      </c>
      <c r="R3" s="1" t="s">
        <v>2369</v>
      </c>
      <c r="S3" s="1" t="str">
        <f>IF(Back_End_Data!R3="Completed","Yes","No")</f>
        <v>No</v>
      </c>
      <c r="T3" s="1" t="str">
        <f>IF(Back_End_Data!S3="Yes","Yes","No")</f>
        <v>No</v>
      </c>
      <c r="U3" s="1" t="str">
        <f>IF(Back_End_Data!Q3="Completed","Yes","No")</f>
        <v>Yes</v>
      </c>
      <c r="V3" s="1" t="str">
        <f ca="1">IF(INDEX(MIS_Backend_Data!L:L, MATCH(D3, MIS_Backend_Data!B:B, 1)) = "WT", "Yes", "No")</f>
        <v>No</v>
      </c>
      <c r="W3" s="2" t="str">
        <f ca="1">IF(OR(Z3="", AA3=""), "", IF(Z3=AA3, "Approved", "Reject"))</f>
        <v>Reject</v>
      </c>
      <c r="Z3" s="1">
        <f ca="1"/>
        <v>0</v>
      </c>
      <c r="AA3" s="1">
        <f ca="1">COUNTIF(H3:V3,"Yes")</f>
        <v>4</v>
      </c>
      <c r="AC3" s="1" t="str">
        <f ca="1"/>
        <v>Open</v>
      </c>
      <c r="AG3" s="1" t="str">
        <f>IF(AND(AE3="Dispatch",AF3="Pending"),"Pending","")</f>
        <v/>
      </c>
    </row>
    <row r="4" spans="1:33" ht="20.25" customHeight="1">
      <c r="A4" s="13">
        <v>3</v>
      </c>
      <c r="B4" s="1" t="str">
        <f ca="1"/>
        <v>Magma HDI General Insurance Company Ltd</v>
      </c>
      <c r="C4" s="13" t="str">
        <f ca="1"/>
        <v>C2264103101217-04</v>
      </c>
      <c r="D4" s="13" t="str">
        <f ca="1"/>
        <v>M002-1003-SS-2025</v>
      </c>
      <c r="E4" s="13">
        <f ca="1"/>
        <v>138</v>
      </c>
      <c r="F4" s="14">
        <f ca="1"/>
        <v>45876</v>
      </c>
      <c r="G4" s="14">
        <f ca="1"/>
        <v>46014</v>
      </c>
      <c r="H4" s="1" t="str">
        <f>IF(Back_End_Data!G4="Completed","Yes","No")</f>
        <v>No</v>
      </c>
      <c r="I4" s="1" t="str">
        <f>IF(Back_End_Data!I4="Completed","Yes","No")</f>
        <v>No</v>
      </c>
      <c r="J4" s="1" t="str">
        <f>IF(Back_End_Data!J4="Completed","Yes","No")</f>
        <v>No</v>
      </c>
      <c r="K4" s="1" t="str">
        <f>IF(Back_End_Data!K4="Completed","Yes","No")</f>
        <v>No</v>
      </c>
      <c r="L4" s="1" t="str">
        <f>IF(Back_End_Data!L4="", "No", Back_End_Data!L4)</f>
        <v>NA</v>
      </c>
      <c r="M4" s="1" t="str">
        <f>IF(Back_End_Data!N4="", "No", Back_End_Data!N4)</f>
        <v>NA</v>
      </c>
      <c r="N4" s="1" t="str">
        <f>IF(Back_End_Data!M4="", "No", Back_End_Data!M4)</f>
        <v>NA</v>
      </c>
      <c r="O4" s="1" t="str">
        <f>IF(Back_End_Data!O4="Completed","Yes","No")</f>
        <v>No</v>
      </c>
      <c r="P4" s="1" t="str">
        <f>IF(Back_End_Data!H4="Completed","Yes","No")</f>
        <v>No</v>
      </c>
      <c r="Q4" s="1" t="str">
        <f>IF(Back_End_Data!P4="Completed","Yes","No")</f>
        <v>No</v>
      </c>
      <c r="R4" s="1" t="s">
        <v>2369</v>
      </c>
      <c r="S4" s="1" t="str">
        <f>IF(Back_End_Data!R4="Completed","Yes","No")</f>
        <v>No</v>
      </c>
      <c r="T4" s="1" t="str">
        <f>IF(Back_End_Data!S4="Yes","Yes","No")</f>
        <v>No</v>
      </c>
      <c r="U4" s="1" t="str">
        <f>IF(Back_End_Data!Q4="Completed","Yes","No")</f>
        <v>Yes</v>
      </c>
      <c r="V4" s="1" t="str">
        <f ca="1">IF(INDEX(MIS_Backend_Data!L:L, MATCH(D4, MIS_Backend_Data!B:B, 1)) = "WT", "Yes", "No")</f>
        <v>No</v>
      </c>
      <c r="W4" s="2" t="str">
        <f ca="1">IF(OR(Z4="", AA4=""), "", IF(Z4=AA4, "Approved", "Reject"))</f>
        <v>Reject</v>
      </c>
      <c r="Z4" s="1">
        <f ca="1"/>
        <v>0</v>
      </c>
      <c r="AA4" s="1">
        <f t="shared" ref="AA4:AA66" ca="1" si="0">COUNTIF(H4:V4,"Yes")</f>
        <v>1</v>
      </c>
      <c r="AC4" s="1" t="str">
        <f ca="1"/>
        <v>Dispatch</v>
      </c>
      <c r="AG4" s="1" t="str">
        <f t="shared" ref="AG4:AG67" si="1">IF(AND(AE4="Dispatch",AF4="Pending"),"Pending","")</f>
        <v/>
      </c>
    </row>
    <row r="5" spans="1:33" ht="20.25" customHeight="1">
      <c r="A5" s="13">
        <v>4</v>
      </c>
      <c r="B5" s="1" t="str">
        <f ca="1"/>
        <v>Generali Central Insurance Company Limited</v>
      </c>
      <c r="C5" s="13" t="str">
        <f ca="1"/>
        <v xml:space="preserve">MTP-N-2526-002724 </v>
      </c>
      <c r="D5" s="13" t="str">
        <f ca="1"/>
        <v>F001-1004-SS-2025</v>
      </c>
      <c r="E5" s="13">
        <f ca="1"/>
        <v>28</v>
      </c>
      <c r="F5" s="14">
        <f ca="1"/>
        <v>45890</v>
      </c>
      <c r="G5" s="14">
        <f ca="1"/>
        <v>45918</v>
      </c>
      <c r="H5" s="1" t="str">
        <f>IF(Back_End_Data!G5="Completed","Yes","No")</f>
        <v>Yes</v>
      </c>
      <c r="I5" s="1" t="str">
        <f>IF(Back_End_Data!I5="Completed","Yes","No")</f>
        <v>Yes</v>
      </c>
      <c r="J5" s="1" t="str">
        <f>IF(Back_End_Data!J5="Completed","Yes","No")</f>
        <v>No</v>
      </c>
      <c r="K5" s="1" t="str">
        <f>IF(Back_End_Data!K5="Completed","Yes","No")</f>
        <v>Yes</v>
      </c>
      <c r="L5" s="1" t="str">
        <f>IF(Back_End_Data!L5="", "No", Back_End_Data!L5)</f>
        <v>NA</v>
      </c>
      <c r="M5" s="1" t="str">
        <f>IF(Back_End_Data!N5="", "No", Back_End_Data!N5)</f>
        <v>NA</v>
      </c>
      <c r="N5" s="1" t="str">
        <f>IF(Back_End_Data!M5="", "No", Back_End_Data!M5)</f>
        <v>NA</v>
      </c>
      <c r="O5" s="1" t="str">
        <f>IF(Back_End_Data!O5="Completed","Yes","No")</f>
        <v>No</v>
      </c>
      <c r="P5" s="1" t="str">
        <f>IF(Back_End_Data!H5="Completed","Yes","No")</f>
        <v>No</v>
      </c>
      <c r="Q5" s="1" t="str">
        <f>IF(Back_End_Data!P5="Completed","Yes","No")</f>
        <v>Yes</v>
      </c>
      <c r="R5" s="1" t="s">
        <v>2369</v>
      </c>
      <c r="S5" s="1" t="str">
        <f>IF(Back_End_Data!R5="Completed","Yes","No")</f>
        <v>No</v>
      </c>
      <c r="T5" s="1" t="str">
        <f>IF(Back_End_Data!S5="Yes","Yes","No")</f>
        <v>No</v>
      </c>
      <c r="U5" s="1" t="str">
        <f>IF(Back_End_Data!Q4="Completed","Yes","No")</f>
        <v>Yes</v>
      </c>
      <c r="V5" s="1" t="str">
        <f ca="1">IF(INDEX(MIS_Backend_Data!L:L, MATCH(D5, MIS_Backend_Data!B:B, 1)) = "WT", "Yes", "No")</f>
        <v>No</v>
      </c>
      <c r="W5" s="2" t="str">
        <f t="shared" ref="W5:W66" ca="1" si="2">IF(OR(Z5="", AA5=""), "", IF(Z5=AA5, "Approved", "Reject"))</f>
        <v>Reject</v>
      </c>
      <c r="Z5" s="1">
        <f ca="1"/>
        <v>0</v>
      </c>
      <c r="AA5" s="1">
        <f t="shared" ca="1" si="0"/>
        <v>5</v>
      </c>
      <c r="AC5" s="1" t="str">
        <f ca="1"/>
        <v>Dispatch</v>
      </c>
      <c r="AG5" s="1" t="str">
        <f t="shared" si="1"/>
        <v/>
      </c>
    </row>
    <row r="6" spans="1:33" ht="20.25" customHeight="1">
      <c r="A6" s="13">
        <v>5</v>
      </c>
      <c r="B6" s="1" t="str">
        <f ca="1"/>
        <v>Generali Central Insurance Company Limited</v>
      </c>
      <c r="C6" s="13" t="str">
        <f ca="1"/>
        <v>MTP-N-2526-002725</v>
      </c>
      <c r="D6" s="13" t="str">
        <f ca="1"/>
        <v>F001-1005-SS-2025</v>
      </c>
      <c r="E6" s="13">
        <f ca="1"/>
        <v>28</v>
      </c>
      <c r="F6" s="14">
        <f ca="1"/>
        <v>45890</v>
      </c>
      <c r="G6" s="14">
        <f ca="1"/>
        <v>45918</v>
      </c>
      <c r="H6" s="1" t="str">
        <f>IF(Back_End_Data!G6="Completed","Yes","No")</f>
        <v>Yes</v>
      </c>
      <c r="I6" s="1" t="str">
        <f>IF(Back_End_Data!I6="Completed","Yes","No")</f>
        <v>Yes</v>
      </c>
      <c r="J6" s="1" t="str">
        <f>IF(Back_End_Data!J6="Completed","Yes","No")</f>
        <v>No</v>
      </c>
      <c r="K6" s="1" t="str">
        <f>IF(Back_End_Data!K6="Completed","Yes","No")</f>
        <v>Yes</v>
      </c>
      <c r="L6" s="1" t="str">
        <f>IF(Back_End_Data!L6="", "No", Back_End_Data!L6)</f>
        <v>WIP</v>
      </c>
      <c r="M6" s="1" t="str">
        <f>IF(Back_End_Data!N6="", "No", Back_End_Data!N6)</f>
        <v>NA</v>
      </c>
      <c r="N6" s="1" t="str">
        <f>IF(Back_End_Data!M6="", "No", Back_End_Data!M6)</f>
        <v>WIP</v>
      </c>
      <c r="O6" s="1" t="str">
        <f>IF(Back_End_Data!O6="Completed","Yes","No")</f>
        <v>No</v>
      </c>
      <c r="P6" s="1" t="str">
        <f>IF(Back_End_Data!H6="Completed","Yes","No")</f>
        <v>No</v>
      </c>
      <c r="Q6" s="1" t="str">
        <f>IF(Back_End_Data!P6="Completed","Yes","No")</f>
        <v>Yes</v>
      </c>
      <c r="R6" s="1" t="s">
        <v>2369</v>
      </c>
      <c r="S6" s="1" t="str">
        <f>IF(Back_End_Data!R6="Completed","Yes","No")</f>
        <v>Yes</v>
      </c>
      <c r="T6" s="1" t="str">
        <f>IF(Back_End_Data!S6="Yes","Yes","No")</f>
        <v>No</v>
      </c>
      <c r="U6" s="1" t="str">
        <f>IF(Back_End_Data!Q5="Completed","Yes","No")</f>
        <v>Yes</v>
      </c>
      <c r="V6" s="1" t="str">
        <f ca="1">IF(INDEX(MIS_Backend_Data!L:L, MATCH(D6, MIS_Backend_Data!B:B, 1)) = "WT", "Yes", "No")</f>
        <v>No</v>
      </c>
      <c r="W6" s="2" t="str">
        <f t="shared" ca="1" si="2"/>
        <v>Reject</v>
      </c>
      <c r="Z6" s="1">
        <f ca="1"/>
        <v>0</v>
      </c>
      <c r="AA6" s="1">
        <f t="shared" ca="1" si="0"/>
        <v>6</v>
      </c>
      <c r="AC6" s="1" t="str">
        <f ca="1"/>
        <v>Dispatch</v>
      </c>
      <c r="AG6" s="1" t="str">
        <f t="shared" si="1"/>
        <v/>
      </c>
    </row>
    <row r="7" spans="1:33" ht="20.25" customHeight="1">
      <c r="A7" s="13">
        <v>6</v>
      </c>
      <c r="B7" s="1" t="str">
        <f ca="1"/>
        <v>Generali Central Insurance Company Limited</v>
      </c>
      <c r="C7" s="13" t="str">
        <f ca="1"/>
        <v>MTP-N-2526-002726</v>
      </c>
      <c r="D7" s="13" t="str">
        <f ca="1"/>
        <v>F001-1006-SS-2025</v>
      </c>
      <c r="E7" s="13">
        <f ca="1"/>
        <v>28</v>
      </c>
      <c r="F7" s="14">
        <f ca="1"/>
        <v>45890</v>
      </c>
      <c r="G7" s="14">
        <f ca="1"/>
        <v>45918</v>
      </c>
      <c r="H7" s="1" t="str">
        <f>IF(Back_End_Data!G7="Completed","Yes","No")</f>
        <v>Yes</v>
      </c>
      <c r="I7" s="1" t="str">
        <f>IF(Back_End_Data!I7="Completed","Yes","No")</f>
        <v>No</v>
      </c>
      <c r="J7" s="1" t="str">
        <f>IF(Back_End_Data!J7="Completed","Yes","No")</f>
        <v>No</v>
      </c>
      <c r="K7" s="1" t="str">
        <f>IF(Back_End_Data!K7="Completed","Yes","No")</f>
        <v>No</v>
      </c>
      <c r="L7" s="1" t="str">
        <f>IF(Back_End_Data!L7="", "No", Back_End_Data!L7)</f>
        <v>NA</v>
      </c>
      <c r="M7" s="1" t="str">
        <f>IF(Back_End_Data!N7="", "No", Back_End_Data!N7)</f>
        <v>NA</v>
      </c>
      <c r="N7" s="1" t="str">
        <f>IF(Back_End_Data!M7="", "No", Back_End_Data!M7)</f>
        <v>NA</v>
      </c>
      <c r="O7" s="1" t="str">
        <f>IF(Back_End_Data!O7="Completed","Yes","No")</f>
        <v>No</v>
      </c>
      <c r="P7" s="1" t="str">
        <f>IF(Back_End_Data!H7="Completed","Yes","No")</f>
        <v>No</v>
      </c>
      <c r="Q7" s="1" t="str">
        <f>IF(Back_End_Data!P7="Completed","Yes","No")</f>
        <v>No</v>
      </c>
      <c r="R7" s="1" t="s">
        <v>2369</v>
      </c>
      <c r="S7" s="1" t="str">
        <f>IF(Back_End_Data!R7="Completed","Yes","No")</f>
        <v>No</v>
      </c>
      <c r="T7" s="1" t="str">
        <f>IF(Back_End_Data!S7="Yes","Yes","No")</f>
        <v>No</v>
      </c>
      <c r="U7" s="1" t="str">
        <f>IF(Back_End_Data!Q6="Completed","Yes","No")</f>
        <v>No</v>
      </c>
      <c r="V7" s="1" t="str">
        <f ca="1">IF(INDEX(MIS_Backend_Data!L:L, MATCH(D7, MIS_Backend_Data!B:B, 1)) = "WT", "Yes", "No")</f>
        <v>No</v>
      </c>
      <c r="W7" s="2" t="str">
        <f t="shared" ca="1" si="2"/>
        <v>Reject</v>
      </c>
      <c r="Z7" s="1">
        <f ca="1"/>
        <v>0</v>
      </c>
      <c r="AA7" s="1">
        <f t="shared" ca="1" si="0"/>
        <v>1</v>
      </c>
      <c r="AC7" s="1" t="str">
        <f ca="1"/>
        <v>Dispatch</v>
      </c>
      <c r="AG7" s="1" t="str">
        <f t="shared" si="1"/>
        <v/>
      </c>
    </row>
    <row r="8" spans="1:33" ht="20.25" customHeight="1">
      <c r="A8" s="13">
        <v>7</v>
      </c>
      <c r="B8" s="1" t="str">
        <f ca="1"/>
        <v>Generali Central Insurance Company Limited</v>
      </c>
      <c r="C8" s="13" t="str">
        <f ca="1"/>
        <v>MTP-N-2526-002845</v>
      </c>
      <c r="D8" s="13" t="str">
        <f ca="1"/>
        <v>F001-1007-SS-2025</v>
      </c>
      <c r="E8" s="13">
        <f ca="1"/>
        <v>51</v>
      </c>
      <c r="F8" s="14">
        <f ca="1"/>
        <v>45897</v>
      </c>
      <c r="G8" s="14">
        <f ca="1"/>
        <v>45948</v>
      </c>
      <c r="H8" s="1" t="str">
        <f>IF(Back_End_Data!G8="Completed","Yes","No")</f>
        <v>Yes</v>
      </c>
      <c r="I8" s="1" t="str">
        <f>IF(Back_End_Data!I8="Completed","Yes","No")</f>
        <v>Yes</v>
      </c>
      <c r="J8" s="1" t="str">
        <f>IF(Back_End_Data!J8="Completed","Yes","No")</f>
        <v>No</v>
      </c>
      <c r="K8" s="1" t="str">
        <f>IF(Back_End_Data!K8="Completed","Yes","No")</f>
        <v>No</v>
      </c>
      <c r="L8" s="1" t="str">
        <f>IF(Back_End_Data!L8="", "No", Back_End_Data!L8)</f>
        <v>NA</v>
      </c>
      <c r="M8" s="1" t="str">
        <f>IF(Back_End_Data!N8="", "No", Back_End_Data!N8)</f>
        <v>NA</v>
      </c>
      <c r="N8" s="1" t="str">
        <f>IF(Back_End_Data!M8="", "No", Back_End_Data!M8)</f>
        <v>NA</v>
      </c>
      <c r="O8" s="1" t="str">
        <f>IF(Back_End_Data!O8="Completed","Yes","No")</f>
        <v>No</v>
      </c>
      <c r="P8" s="1" t="str">
        <f>IF(Back_End_Data!H8="Completed","Yes","No")</f>
        <v>No</v>
      </c>
      <c r="Q8" s="1" t="str">
        <f>IF(Back_End_Data!P8="Completed","Yes","No")</f>
        <v>Yes</v>
      </c>
      <c r="R8" s="1" t="s">
        <v>2369</v>
      </c>
      <c r="S8" s="1" t="str">
        <f>IF(Back_End_Data!R8="Completed","Yes","No")</f>
        <v>No</v>
      </c>
      <c r="T8" s="1" t="str">
        <f>IF(Back_End_Data!S8="Yes","Yes","No")</f>
        <v>No</v>
      </c>
      <c r="U8" s="1" t="str">
        <f>IF(Back_End_Data!Q7="Completed","Yes","No")</f>
        <v>No</v>
      </c>
      <c r="V8" s="1" t="str">
        <f ca="1">IF(INDEX(MIS_Backend_Data!L:L, MATCH(D8, MIS_Backend_Data!B:B, 1)) = "WT", "Yes", "No")</f>
        <v>No</v>
      </c>
      <c r="W8" s="2" t="str">
        <f t="shared" ca="1" si="2"/>
        <v>Reject</v>
      </c>
      <c r="Z8" s="1">
        <f ca="1"/>
        <v>0</v>
      </c>
      <c r="AA8" s="1">
        <f t="shared" ca="1" si="0"/>
        <v>3</v>
      </c>
      <c r="AC8" s="1" t="str">
        <f ca="1"/>
        <v>Open</v>
      </c>
      <c r="AG8" s="1" t="str">
        <f t="shared" si="1"/>
        <v/>
      </c>
    </row>
    <row r="9" spans="1:33" ht="20.25" customHeight="1">
      <c r="A9" s="13">
        <v>8</v>
      </c>
      <c r="B9" s="1" t="str">
        <f ca="1"/>
        <v>Generali Central Insurance Company Limited</v>
      </c>
      <c r="C9" s="13" t="str">
        <f ca="1"/>
        <v>MTP-N-2526-003010</v>
      </c>
      <c r="D9" s="13" t="str">
        <f ca="1"/>
        <v>F001-1008-SS-2025</v>
      </c>
      <c r="E9" s="13">
        <f ca="1"/>
        <v>66</v>
      </c>
      <c r="F9" s="14">
        <f ca="1"/>
        <v>45902</v>
      </c>
      <c r="G9" s="14">
        <f ca="1"/>
        <v>45968</v>
      </c>
      <c r="H9" s="1" t="str">
        <f>IF(Back_End_Data!G9="Completed","Yes","No")</f>
        <v>No</v>
      </c>
      <c r="I9" s="1" t="str">
        <f>IF(Back_End_Data!I9="Completed","Yes","No")</f>
        <v>Yes</v>
      </c>
      <c r="J9" s="1" t="str">
        <f>IF(Back_End_Data!J9="Completed","Yes","No")</f>
        <v>No</v>
      </c>
      <c r="K9" s="1" t="str">
        <f>IF(Back_End_Data!K9="Completed","Yes","No")</f>
        <v>Yes</v>
      </c>
      <c r="L9" s="1" t="str">
        <f>IF(Back_End_Data!L9="", "No", Back_End_Data!L9)</f>
        <v>Completed</v>
      </c>
      <c r="M9" s="1" t="str">
        <f>IF(Back_End_Data!N9="", "No", Back_End_Data!N9)</f>
        <v xml:space="preserve">NA </v>
      </c>
      <c r="N9" s="1" t="str">
        <f>IF(Back_End_Data!M9="", "No", Back_End_Data!M9)</f>
        <v>Completed</v>
      </c>
      <c r="O9" s="1" t="str">
        <f>IF(Back_End_Data!O9="Completed","Yes","No")</f>
        <v>No</v>
      </c>
      <c r="P9" s="1" t="str">
        <f>IF(Back_End_Data!H9="Completed","Yes","No")</f>
        <v>No</v>
      </c>
      <c r="Q9" s="1" t="str">
        <f>IF(Back_End_Data!P9="Completed","Yes","No")</f>
        <v>Yes</v>
      </c>
      <c r="R9" s="1" t="s">
        <v>2369</v>
      </c>
      <c r="S9" s="1" t="str">
        <f>IF(Back_End_Data!R9="Completed","Yes","No")</f>
        <v>No</v>
      </c>
      <c r="T9" s="1" t="str">
        <f>IF(Back_End_Data!S9="Yes","Yes","No")</f>
        <v>No</v>
      </c>
      <c r="U9" s="1" t="str">
        <f>IF(Back_End_Data!Q8="Completed","Yes","No")</f>
        <v>Yes</v>
      </c>
      <c r="V9" s="1" t="str">
        <f ca="1">IF(INDEX(MIS_Backend_Data!L:L, MATCH(D9, MIS_Backend_Data!B:B, 1)) = "WT", "Yes", "No")</f>
        <v>No</v>
      </c>
      <c r="W9" s="2" t="str">
        <f t="shared" ca="1" si="2"/>
        <v>Reject</v>
      </c>
      <c r="Z9" s="1">
        <f ca="1"/>
        <v>0</v>
      </c>
      <c r="AA9" s="1">
        <f t="shared" ca="1" si="0"/>
        <v>4</v>
      </c>
      <c r="AC9" s="1" t="str">
        <f ca="1"/>
        <v>Dispatch</v>
      </c>
      <c r="AG9" s="1" t="str">
        <f t="shared" si="1"/>
        <v/>
      </c>
    </row>
    <row r="10" spans="1:33" ht="20.25" customHeight="1">
      <c r="A10" s="13">
        <v>9</v>
      </c>
      <c r="B10" s="1" t="str">
        <f ca="1"/>
        <v>Indusind General Insurance Co Ltd</v>
      </c>
      <c r="C10" s="13" t="str">
        <f ca="1"/>
        <v>2025209111</v>
      </c>
      <c r="D10" s="13" t="str">
        <f ca="1"/>
        <v>R001-1009-SS-2025</v>
      </c>
      <c r="E10" s="13">
        <f ca="1"/>
        <v>54</v>
      </c>
      <c r="F10" s="14">
        <f ca="1"/>
        <v>45916</v>
      </c>
      <c r="G10" s="14">
        <f ca="1"/>
        <v>45970</v>
      </c>
      <c r="H10" s="1" t="str">
        <f>IF(Back_End_Data!G10="Completed","Yes","No")</f>
        <v>Yes</v>
      </c>
      <c r="I10" s="1" t="str">
        <f>IF(Back_End_Data!I10="Completed","Yes","No")</f>
        <v>Yes</v>
      </c>
      <c r="J10" s="1" t="str">
        <f>IF(Back_End_Data!J10="Completed","Yes","No")</f>
        <v>No</v>
      </c>
      <c r="K10" s="1" t="str">
        <f>IF(Back_End_Data!K10="Completed","Yes","No")</f>
        <v>Yes</v>
      </c>
      <c r="L10" s="1" t="str">
        <f>IF(Back_End_Data!L10="", "No", Back_End_Data!L10)</f>
        <v>Completed</v>
      </c>
      <c r="M10" s="1" t="str">
        <f>IF(Back_End_Data!N10="", "No", Back_End_Data!N10)</f>
        <v>Completed</v>
      </c>
      <c r="N10" s="1" t="str">
        <f>IF(Back_End_Data!M10="", "No", Back_End_Data!M10)</f>
        <v>Completed</v>
      </c>
      <c r="O10" s="1" t="str">
        <f>IF(Back_End_Data!O10="Completed","Yes","No")</f>
        <v>No</v>
      </c>
      <c r="P10" s="1" t="str">
        <f>IF(Back_End_Data!H10="Completed","Yes","No")</f>
        <v>No</v>
      </c>
      <c r="Q10" s="1" t="str">
        <f>IF(Back_End_Data!P10="Completed","Yes","No")</f>
        <v>Yes</v>
      </c>
      <c r="R10" s="1" t="s">
        <v>2369</v>
      </c>
      <c r="S10" s="1" t="str">
        <f>IF(Back_End_Data!R10="Completed","Yes","No")</f>
        <v>No</v>
      </c>
      <c r="T10" s="1" t="str">
        <f>IF(Back_End_Data!S10="Yes","Yes","No")</f>
        <v>No</v>
      </c>
      <c r="U10" s="1" t="str">
        <f>IF(Back_End_Data!Q9="Completed","Yes","No")</f>
        <v>No</v>
      </c>
      <c r="V10" s="1" t="str">
        <f ca="1">IF(INDEX(MIS_Backend_Data!L:L, MATCH(D10, MIS_Backend_Data!B:B, 1)) = "WT", "Yes", "No")</f>
        <v>No</v>
      </c>
      <c r="W10" s="2" t="str">
        <f t="shared" ca="1" si="2"/>
        <v>Reject</v>
      </c>
      <c r="Z10" s="1">
        <f ca="1"/>
        <v>0</v>
      </c>
      <c r="AA10" s="1">
        <f t="shared" ca="1" si="0"/>
        <v>4</v>
      </c>
      <c r="AC10" s="1" t="str">
        <f ca="1"/>
        <v>Dispatch</v>
      </c>
      <c r="AG10" s="1" t="str">
        <f t="shared" si="1"/>
        <v/>
      </c>
    </row>
    <row r="11" spans="1:33" ht="20.25" customHeight="1">
      <c r="A11" s="13">
        <v>10</v>
      </c>
      <c r="B11" s="1" t="str">
        <f ca="1"/>
        <v>Generali Central Insurance Company Limited</v>
      </c>
      <c r="C11" s="13" t="str">
        <f ca="1"/>
        <v>CN064878</v>
      </c>
      <c r="D11" s="13" t="str">
        <f ca="1"/>
        <v>F001-1010-SS-2025</v>
      </c>
      <c r="E11" s="13">
        <f ca="1"/>
        <v>54</v>
      </c>
      <c r="F11" s="14">
        <f ca="1"/>
        <v>45916</v>
      </c>
      <c r="G11" s="14">
        <f ca="1"/>
        <v>45970</v>
      </c>
      <c r="H11" s="1" t="str">
        <f>IF(Back_End_Data!G11="Completed","Yes","No")</f>
        <v>Yes</v>
      </c>
      <c r="I11" s="1" t="str">
        <f>IF(Back_End_Data!I11="Completed","Yes","No")</f>
        <v>Yes</v>
      </c>
      <c r="J11" s="1" t="str">
        <f>IF(Back_End_Data!J11="Completed","Yes","No")</f>
        <v>No</v>
      </c>
      <c r="K11" s="1" t="str">
        <f>IF(Back_End_Data!K11="Completed","Yes","No")</f>
        <v>Yes</v>
      </c>
      <c r="L11" s="1" t="str">
        <f>IF(Back_End_Data!L11="", "No", Back_End_Data!L11)</f>
        <v>NA</v>
      </c>
      <c r="M11" s="1" t="str">
        <f>IF(Back_End_Data!N11="", "No", Back_End_Data!N11)</f>
        <v>NA</v>
      </c>
      <c r="N11" s="1" t="str">
        <f>IF(Back_End_Data!M11="", "No", Back_End_Data!M11)</f>
        <v>NA</v>
      </c>
      <c r="O11" s="1" t="str">
        <f>IF(Back_End_Data!O11="Completed","Yes","No")</f>
        <v>No</v>
      </c>
      <c r="P11" s="1" t="str">
        <f>IF(Back_End_Data!H11="Completed","Yes","No")</f>
        <v>No</v>
      </c>
      <c r="Q11" s="1" t="str">
        <f>IF(Back_End_Data!P11="Completed","Yes","No")</f>
        <v>Yes</v>
      </c>
      <c r="R11" s="1" t="s">
        <v>2369</v>
      </c>
      <c r="S11" s="1" t="str">
        <f>IF(Back_End_Data!R11="Completed","Yes","No")</f>
        <v>No</v>
      </c>
      <c r="T11" s="1" t="str">
        <f>IF(Back_End_Data!S11="Yes","Yes","No")</f>
        <v>No</v>
      </c>
      <c r="U11" s="1" t="str">
        <f>IF(Back_End_Data!Q10="Completed","Yes","No")</f>
        <v>Yes</v>
      </c>
      <c r="V11" s="1" t="str">
        <f ca="1">IF(INDEX(MIS_Backend_Data!L:L, MATCH(D11, MIS_Backend_Data!B:B, 1)) = "WT", "Yes", "No")</f>
        <v>No</v>
      </c>
      <c r="W11" s="2" t="str">
        <f t="shared" ca="1" si="2"/>
        <v>Reject</v>
      </c>
      <c r="Z11" s="1">
        <f ca="1"/>
        <v>0</v>
      </c>
      <c r="AA11" s="1">
        <f t="shared" ca="1" si="0"/>
        <v>5</v>
      </c>
      <c r="AC11" s="1" t="str">
        <f ca="1"/>
        <v>Dispatch</v>
      </c>
      <c r="AG11" s="1" t="str">
        <f t="shared" si="1"/>
        <v/>
      </c>
    </row>
    <row r="12" spans="1:33" ht="20.25" customHeight="1">
      <c r="A12" s="13">
        <v>11</v>
      </c>
      <c r="B12" s="1" t="str">
        <f ca="1"/>
        <v>Indusind General Insurance Co Ltd</v>
      </c>
      <c r="C12" s="13" t="str">
        <f ca="1"/>
        <v>2025201119</v>
      </c>
      <c r="D12" s="13" t="str">
        <f ca="1"/>
        <v>R001-1011-SS-2025</v>
      </c>
      <c r="E12" s="13">
        <f ca="1"/>
        <v>111</v>
      </c>
      <c r="F12" s="14">
        <f ca="1"/>
        <v>45916</v>
      </c>
      <c r="G12" s="14" t="str">
        <f ca="1"/>
        <v>-</v>
      </c>
      <c r="H12" s="1" t="str">
        <f>IF(Back_End_Data!G12="Completed","Yes","No")</f>
        <v>Yes</v>
      </c>
      <c r="I12" s="1" t="str">
        <f>IF(Back_End_Data!I12="Completed","Yes","No")</f>
        <v>Yes</v>
      </c>
      <c r="J12" s="1" t="str">
        <f>IF(Back_End_Data!J12="Completed","Yes","No")</f>
        <v>No</v>
      </c>
      <c r="K12" s="1" t="str">
        <f>IF(Back_End_Data!K12="Completed","Yes","No")</f>
        <v>Yes</v>
      </c>
      <c r="L12" s="1" t="str">
        <f>IF(Back_End_Data!L12="", "No", Back_End_Data!L12)</f>
        <v>Completed</v>
      </c>
      <c r="M12" s="1" t="str">
        <f>IF(Back_End_Data!N12="", "No", Back_End_Data!N12)</f>
        <v xml:space="preserve">NA </v>
      </c>
      <c r="N12" s="1" t="str">
        <f>IF(Back_End_Data!M12="", "No", Back_End_Data!M12)</f>
        <v>WIP</v>
      </c>
      <c r="O12" s="1" t="str">
        <f>IF(Back_End_Data!O12="Completed","Yes","No")</f>
        <v>No</v>
      </c>
      <c r="P12" s="1" t="str">
        <f>IF(Back_End_Data!H12="Completed","Yes","No")</f>
        <v>Yes</v>
      </c>
      <c r="Q12" s="1" t="str">
        <f>IF(Back_End_Data!P12="Completed","Yes","No")</f>
        <v>Yes</v>
      </c>
      <c r="R12" s="1" t="s">
        <v>2369</v>
      </c>
      <c r="S12" s="1" t="str">
        <f>IF(Back_End_Data!R12="Completed","Yes","No")</f>
        <v>Yes</v>
      </c>
      <c r="T12" s="1" t="str">
        <f>IF(Back_End_Data!S12="Yes","Yes","No")</f>
        <v>No</v>
      </c>
      <c r="U12" s="1" t="str">
        <f>IF(Back_End_Data!Q11="Completed","Yes","No")</f>
        <v>Yes</v>
      </c>
      <c r="V12" s="1" t="str">
        <f ca="1">IF(INDEX(MIS_Backend_Data!L:L, MATCH(D12, MIS_Backend_Data!B:B, 1)) = "WT", "Yes", "No")</f>
        <v>No</v>
      </c>
      <c r="W12" s="2" t="str">
        <f t="shared" ca="1" si="2"/>
        <v>Reject</v>
      </c>
      <c r="Z12" s="1">
        <f ca="1"/>
        <v>0</v>
      </c>
      <c r="AA12" s="1">
        <f t="shared" ca="1" si="0"/>
        <v>7</v>
      </c>
      <c r="AC12" s="1" t="str">
        <f ca="1"/>
        <v>Open</v>
      </c>
      <c r="AG12" s="1" t="str">
        <f t="shared" si="1"/>
        <v/>
      </c>
    </row>
    <row r="13" spans="1:33" ht="20.25" customHeight="1">
      <c r="A13" s="13">
        <v>12</v>
      </c>
      <c r="B13" s="1" t="str">
        <f ca="1"/>
        <v>Indusind General Insurance Co Ltd</v>
      </c>
      <c r="C13" s="13" t="str">
        <f ca="1"/>
        <v>2025210107</v>
      </c>
      <c r="D13" s="13" t="str">
        <f ca="1"/>
        <v>R001-1012-SS-2025</v>
      </c>
      <c r="E13" s="13">
        <f ca="1"/>
        <v>59</v>
      </c>
      <c r="F13" s="14">
        <f ca="1"/>
        <v>45917</v>
      </c>
      <c r="G13" s="14">
        <f ca="1"/>
        <v>45976</v>
      </c>
      <c r="H13" s="1" t="str">
        <f>IF(Back_End_Data!G13="Completed","Yes","No")</f>
        <v>No</v>
      </c>
      <c r="I13" s="1" t="str">
        <f>IF(Back_End_Data!I13="Completed","Yes","No")</f>
        <v>No</v>
      </c>
      <c r="J13" s="1" t="str">
        <f>IF(Back_End_Data!J13="Completed","Yes","No")</f>
        <v>No</v>
      </c>
      <c r="K13" s="1" t="str">
        <f>IF(Back_End_Data!K13="Completed","Yes","No")</f>
        <v>No</v>
      </c>
      <c r="L13" s="1" t="str">
        <f>IF(Back_End_Data!L13="", "No", Back_End_Data!L13)</f>
        <v>NA</v>
      </c>
      <c r="M13" s="1" t="str">
        <f>IF(Back_End_Data!N13="", "No", Back_End_Data!N13)</f>
        <v>NA</v>
      </c>
      <c r="N13" s="1" t="str">
        <f>IF(Back_End_Data!M13="", "No", Back_End_Data!M13)</f>
        <v>NA</v>
      </c>
      <c r="O13" s="1" t="str">
        <f>IF(Back_End_Data!O13="Completed","Yes","No")</f>
        <v>No</v>
      </c>
      <c r="P13" s="1" t="str">
        <f>IF(Back_End_Data!H13="Completed","Yes","No")</f>
        <v>No</v>
      </c>
      <c r="Q13" s="1" t="str">
        <f>IF(Back_End_Data!P13="Completed","Yes","No")</f>
        <v>No</v>
      </c>
      <c r="R13" s="1" t="s">
        <v>2369</v>
      </c>
      <c r="S13" s="1" t="str">
        <f>IF(Back_End_Data!R13="Completed","Yes","No")</f>
        <v>No</v>
      </c>
      <c r="T13" s="1" t="str">
        <f>IF(Back_End_Data!S13="Yes","Yes","No")</f>
        <v>No</v>
      </c>
      <c r="U13" s="1" t="str">
        <f>IF(Back_End_Data!Q12="Completed","Yes","No")</f>
        <v>Yes</v>
      </c>
      <c r="V13" s="1" t="str">
        <f ca="1">IF(INDEX(MIS_Backend_Data!L:L, MATCH(D13, MIS_Backend_Data!B:B, 1)) = "WT", "Yes", "No")</f>
        <v>No</v>
      </c>
      <c r="W13" s="2" t="str">
        <f t="shared" ca="1" si="2"/>
        <v>Reject</v>
      </c>
      <c r="Z13" s="1">
        <f ca="1"/>
        <v>0</v>
      </c>
      <c r="AA13" s="1">
        <f t="shared" ca="1" si="0"/>
        <v>1</v>
      </c>
      <c r="AC13" s="1" t="str">
        <f ca="1"/>
        <v>Dispatch</v>
      </c>
      <c r="AG13" s="1" t="str">
        <f t="shared" si="1"/>
        <v/>
      </c>
    </row>
    <row r="14" spans="1:33" ht="20.25" customHeight="1">
      <c r="A14" s="13">
        <v>13</v>
      </c>
      <c r="B14" s="1" t="str">
        <f ca="1"/>
        <v>Indusind General Insurance Co Ltd</v>
      </c>
      <c r="C14" s="13" t="str">
        <f ca="1"/>
        <v>2025209818</v>
      </c>
      <c r="D14" s="13" t="str">
        <f ca="1"/>
        <v>R001-1013-SS-2025</v>
      </c>
      <c r="E14" s="13">
        <f ca="1"/>
        <v>65</v>
      </c>
      <c r="F14" s="14">
        <f ca="1"/>
        <v>45917</v>
      </c>
      <c r="G14" s="14">
        <f ca="1"/>
        <v>45982</v>
      </c>
      <c r="H14" s="1" t="str">
        <f>IF(Back_End_Data!G14="Completed","Yes","No")</f>
        <v>Yes</v>
      </c>
      <c r="I14" s="1" t="str">
        <f>IF(Back_End_Data!I14="Completed","Yes","No")</f>
        <v>Yes</v>
      </c>
      <c r="J14" s="1" t="str">
        <f>IF(Back_End_Data!J14="Completed","Yes","No")</f>
        <v>No</v>
      </c>
      <c r="K14" s="1" t="str">
        <f>IF(Back_End_Data!K14="Completed","Yes","No")</f>
        <v>Yes</v>
      </c>
      <c r="L14" s="1" t="str">
        <f>IF(Back_End_Data!L14="", "No", Back_End_Data!L14)</f>
        <v>NA</v>
      </c>
      <c r="M14" s="1" t="str">
        <f>IF(Back_End_Data!N14="", "No", Back_End_Data!N14)</f>
        <v>NA</v>
      </c>
      <c r="N14" s="1" t="str">
        <f>IF(Back_End_Data!M14="", "No", Back_End_Data!M14)</f>
        <v>NA</v>
      </c>
      <c r="O14" s="1" t="str">
        <f>IF(Back_End_Data!O14="Completed","Yes","No")</f>
        <v>No</v>
      </c>
      <c r="P14" s="1" t="str">
        <f>IF(Back_End_Data!H14="Completed","Yes","No")</f>
        <v>No</v>
      </c>
      <c r="Q14" s="1" t="str">
        <f>IF(Back_End_Data!P14="Completed","Yes","No")</f>
        <v>Yes</v>
      </c>
      <c r="R14" s="1" t="s">
        <v>2369</v>
      </c>
      <c r="S14" s="1" t="str">
        <f>IF(Back_End_Data!R14="Completed","Yes","No")</f>
        <v>No</v>
      </c>
      <c r="T14" s="1" t="str">
        <f>IF(Back_End_Data!S14="Yes","Yes","No")</f>
        <v>No</v>
      </c>
      <c r="U14" s="1" t="str">
        <f>IF(Back_End_Data!Q13="Completed","Yes","No")</f>
        <v>No</v>
      </c>
      <c r="V14" s="1" t="str">
        <f ca="1">IF(INDEX(MIS_Backend_Data!L:L, MATCH(D14, MIS_Backend_Data!B:B, 1)) = "WT", "Yes", "No")</f>
        <v>No</v>
      </c>
      <c r="W14" s="2" t="str">
        <f t="shared" ca="1" si="2"/>
        <v>Reject</v>
      </c>
      <c r="Z14" s="1">
        <f ca="1"/>
        <v>0</v>
      </c>
      <c r="AA14" s="1">
        <f t="shared" ca="1" si="0"/>
        <v>4</v>
      </c>
      <c r="AC14" s="1" t="str">
        <f ca="1"/>
        <v>Dispatch</v>
      </c>
      <c r="AG14" s="1" t="str">
        <f t="shared" si="1"/>
        <v/>
      </c>
    </row>
    <row r="15" spans="1:33" ht="20.25" customHeight="1">
      <c r="A15" s="13">
        <v>14</v>
      </c>
      <c r="B15" s="1" t="str">
        <f ca="1"/>
        <v>Indusind General Insurance Co Ltd</v>
      </c>
      <c r="C15" s="13" t="str">
        <f ca="1"/>
        <v>2025210174</v>
      </c>
      <c r="D15" s="13" t="str">
        <f ca="1"/>
        <v>R001-1014-SS-2025</v>
      </c>
      <c r="E15" s="13">
        <f ca="1"/>
        <v>59</v>
      </c>
      <c r="F15" s="14">
        <f ca="1"/>
        <v>45917</v>
      </c>
      <c r="G15" s="14">
        <f ca="1"/>
        <v>45976</v>
      </c>
      <c r="H15" s="1" t="str">
        <f>IF(Back_End_Data!G15="Completed","Yes","No")</f>
        <v>Yes</v>
      </c>
      <c r="I15" s="1" t="str">
        <f>IF(Back_End_Data!I15="Completed","Yes","No")</f>
        <v>No</v>
      </c>
      <c r="J15" s="1" t="str">
        <f>IF(Back_End_Data!J15="Completed","Yes","No")</f>
        <v>No</v>
      </c>
      <c r="K15" s="1" t="str">
        <f>IF(Back_End_Data!K15="Completed","Yes","No")</f>
        <v>No</v>
      </c>
      <c r="L15" s="1" t="str">
        <f>IF(Back_End_Data!L15="", "No", Back_End_Data!L15)</f>
        <v>NA</v>
      </c>
      <c r="M15" s="1" t="str">
        <f>IF(Back_End_Data!N15="", "No", Back_End_Data!N15)</f>
        <v>NA</v>
      </c>
      <c r="N15" s="1" t="str">
        <f>IF(Back_End_Data!M15="", "No", Back_End_Data!M15)</f>
        <v>NA</v>
      </c>
      <c r="O15" s="1" t="str">
        <f>IF(Back_End_Data!O15="Completed","Yes","No")</f>
        <v>No</v>
      </c>
      <c r="P15" s="1" t="str">
        <f>IF(Back_End_Data!H15="Completed","Yes","No")</f>
        <v>No</v>
      </c>
      <c r="Q15" s="1" t="str">
        <f>IF(Back_End_Data!P15="Completed","Yes","No")</f>
        <v>No</v>
      </c>
      <c r="R15" s="1" t="s">
        <v>2369</v>
      </c>
      <c r="S15" s="1" t="str">
        <f>IF(Back_End_Data!R15="Completed","Yes","No")</f>
        <v>No</v>
      </c>
      <c r="T15" s="1" t="str">
        <f>IF(Back_End_Data!S15="Yes","Yes","No")</f>
        <v>No</v>
      </c>
      <c r="U15" s="1" t="str">
        <f>IF(Back_End_Data!Q14="Completed","Yes","No")</f>
        <v>Yes</v>
      </c>
      <c r="V15" s="1" t="str">
        <f ca="1">IF(INDEX(MIS_Backend_Data!L:L, MATCH(D15, MIS_Backend_Data!B:B, 1)) = "WT", "Yes", "No")</f>
        <v>No</v>
      </c>
      <c r="W15" s="2" t="str">
        <f t="shared" ca="1" si="2"/>
        <v>Reject</v>
      </c>
      <c r="Z15" s="1">
        <f ca="1"/>
        <v>0</v>
      </c>
      <c r="AA15" s="1">
        <f t="shared" ca="1" si="0"/>
        <v>2</v>
      </c>
      <c r="AC15" s="1" t="str">
        <f ca="1"/>
        <v>Dispatch</v>
      </c>
      <c r="AG15" s="1" t="str">
        <f t="shared" si="1"/>
        <v/>
      </c>
    </row>
    <row r="16" spans="1:33" ht="20.25" customHeight="1">
      <c r="A16" s="13">
        <v>15</v>
      </c>
      <c r="B16" s="1" t="str">
        <f ca="1"/>
        <v>Indusind General Insurance Co Ltd</v>
      </c>
      <c r="C16" s="13" t="str">
        <f ca="1"/>
        <v>2025210104</v>
      </c>
      <c r="D16" s="13" t="str">
        <f ca="1"/>
        <v>R001-1015-SS-2025</v>
      </c>
      <c r="E16" s="13">
        <f ca="1"/>
        <v>56</v>
      </c>
      <c r="F16" s="14">
        <f ca="1"/>
        <v>45917</v>
      </c>
      <c r="G16" s="14">
        <f ca="1"/>
        <v>45973</v>
      </c>
      <c r="H16" s="1" t="str">
        <f>IF(Back_End_Data!G16="Completed","Yes","No")</f>
        <v>Yes</v>
      </c>
      <c r="I16" s="1" t="str">
        <f>IF(Back_End_Data!I16="Completed","Yes","No")</f>
        <v>Yes</v>
      </c>
      <c r="J16" s="1" t="str">
        <f>IF(Back_End_Data!J16="Completed","Yes","No")</f>
        <v>No</v>
      </c>
      <c r="K16" s="1" t="str">
        <f>IF(Back_End_Data!K16="Completed","Yes","No")</f>
        <v>Yes</v>
      </c>
      <c r="L16" s="1" t="str">
        <f>IF(Back_End_Data!L16="", "No", Back_End_Data!L16)</f>
        <v>NA</v>
      </c>
      <c r="M16" s="1" t="str">
        <f>IF(Back_End_Data!N16="", "No", Back_End_Data!N16)</f>
        <v>NA</v>
      </c>
      <c r="N16" s="1" t="str">
        <f>IF(Back_End_Data!M16="", "No", Back_End_Data!M16)</f>
        <v>NA</v>
      </c>
      <c r="O16" s="1" t="str">
        <f>IF(Back_End_Data!O16="Completed","Yes","No")</f>
        <v>No</v>
      </c>
      <c r="P16" s="1" t="str">
        <f>IF(Back_End_Data!H16="Completed","Yes","No")</f>
        <v>No</v>
      </c>
      <c r="Q16" s="1" t="str">
        <f>IF(Back_End_Data!P16="Completed","Yes","No")</f>
        <v>Yes</v>
      </c>
      <c r="R16" s="1" t="s">
        <v>2369</v>
      </c>
      <c r="S16" s="1" t="str">
        <f>IF(Back_End_Data!R16="Completed","Yes","No")</f>
        <v>No</v>
      </c>
      <c r="T16" s="1" t="str">
        <f>IF(Back_End_Data!S16="Yes","Yes","No")</f>
        <v>No</v>
      </c>
      <c r="U16" s="1" t="str">
        <f>IF(Back_End_Data!Q15="Completed","Yes","No")</f>
        <v>No</v>
      </c>
      <c r="V16" s="1" t="str">
        <f ca="1">IF(INDEX(MIS_Backend_Data!L:L, MATCH(D16, MIS_Backend_Data!B:B, 1)) = "WT", "Yes", "No")</f>
        <v>No</v>
      </c>
      <c r="W16" s="2" t="str">
        <f t="shared" ca="1" si="2"/>
        <v>Reject</v>
      </c>
      <c r="Z16" s="1">
        <f ca="1"/>
        <v>0</v>
      </c>
      <c r="AA16" s="1">
        <f t="shared" ca="1" si="0"/>
        <v>4</v>
      </c>
      <c r="AC16" s="1" t="str">
        <f ca="1"/>
        <v>Dispatch</v>
      </c>
      <c r="AG16" s="1" t="str">
        <f t="shared" si="1"/>
        <v/>
      </c>
    </row>
    <row r="17" spans="1:33" ht="20.25" customHeight="1">
      <c r="A17" s="13">
        <v>16</v>
      </c>
      <c r="B17" s="1" t="str">
        <f ca="1"/>
        <v>Indusind General Insurance Co Ltd</v>
      </c>
      <c r="C17" s="13" t="str">
        <f ca="1"/>
        <v>2025209654</v>
      </c>
      <c r="D17" s="13" t="str">
        <f ca="1"/>
        <v>R001-1016-SS-2025</v>
      </c>
      <c r="E17" s="13">
        <f ca="1"/>
        <v>110</v>
      </c>
      <c r="F17" s="14">
        <f ca="1"/>
        <v>45917</v>
      </c>
      <c r="G17" s="14" t="str">
        <f ca="1"/>
        <v>-</v>
      </c>
      <c r="H17" s="1" t="str">
        <f>IF(Back_End_Data!G17="Completed","Yes","No")</f>
        <v>Yes</v>
      </c>
      <c r="I17" s="1" t="str">
        <f>IF(Back_End_Data!I17="Completed","Yes","No")</f>
        <v>No</v>
      </c>
      <c r="J17" s="1" t="str">
        <f>IF(Back_End_Data!J17="Completed","Yes","No")</f>
        <v>No</v>
      </c>
      <c r="K17" s="1" t="str">
        <f>IF(Back_End_Data!K17="Completed","Yes","No")</f>
        <v>No</v>
      </c>
      <c r="L17" s="1" t="str">
        <f>IF(Back_End_Data!L17="", "No", Back_End_Data!L17)</f>
        <v>NA</v>
      </c>
      <c r="M17" s="1" t="str">
        <f>IF(Back_End_Data!N17="", "No", Back_End_Data!N17)</f>
        <v>NA</v>
      </c>
      <c r="N17" s="1" t="str">
        <f>IF(Back_End_Data!M17="", "No", Back_End_Data!M17)</f>
        <v>NA</v>
      </c>
      <c r="O17" s="1" t="str">
        <f>IF(Back_End_Data!O17="Completed","Yes","No")</f>
        <v>No</v>
      </c>
      <c r="P17" s="1" t="str">
        <f>IF(Back_End_Data!H17="Completed","Yes","No")</f>
        <v>No</v>
      </c>
      <c r="Q17" s="1" t="str">
        <f>IF(Back_End_Data!P17="Completed","Yes","No")</f>
        <v>No</v>
      </c>
      <c r="R17" s="1" t="s">
        <v>2369</v>
      </c>
      <c r="S17" s="1" t="str">
        <f>IF(Back_End_Data!R17="Completed","Yes","No")</f>
        <v>No</v>
      </c>
      <c r="T17" s="1" t="str">
        <f>IF(Back_End_Data!S17="Yes","Yes","No")</f>
        <v>No</v>
      </c>
      <c r="U17" s="1" t="str">
        <f>IF(Back_End_Data!Q16="Completed","Yes","No")</f>
        <v>Yes</v>
      </c>
      <c r="V17" s="1" t="str">
        <f ca="1">IF(INDEX(MIS_Backend_Data!L:L, MATCH(D17, MIS_Backend_Data!B:B, 1)) = "WT", "Yes", "No")</f>
        <v>No</v>
      </c>
      <c r="W17" s="2" t="str">
        <f t="shared" ca="1" si="2"/>
        <v>Reject</v>
      </c>
      <c r="Z17" s="1">
        <f ca="1"/>
        <v>0</v>
      </c>
      <c r="AA17" s="1">
        <f t="shared" ca="1" si="0"/>
        <v>2</v>
      </c>
      <c r="AC17" s="1" t="str">
        <f ca="1"/>
        <v>Open</v>
      </c>
      <c r="AG17" s="1" t="str">
        <f t="shared" si="1"/>
        <v/>
      </c>
    </row>
    <row r="18" spans="1:33" ht="20.25" customHeight="1">
      <c r="A18" s="13">
        <v>17</v>
      </c>
      <c r="B18" s="1" t="str">
        <f ca="1"/>
        <v>Indusind General Insurance Co Ltd</v>
      </c>
      <c r="C18" s="13" t="str">
        <f ca="1"/>
        <v>2025209769</v>
      </c>
      <c r="D18" s="13" t="str">
        <f ca="1"/>
        <v>R001-1017-SS-2025</v>
      </c>
      <c r="E18" s="13">
        <f ca="1"/>
        <v>110</v>
      </c>
      <c r="F18" s="14">
        <f ca="1"/>
        <v>45917</v>
      </c>
      <c r="G18" s="14" t="str">
        <f ca="1"/>
        <v>-</v>
      </c>
      <c r="H18" s="1" t="str">
        <f>IF(Back_End_Data!G18="Completed","Yes","No")</f>
        <v>Yes</v>
      </c>
      <c r="I18" s="1" t="str">
        <f>IF(Back_End_Data!I18="Completed","Yes","No")</f>
        <v>Yes</v>
      </c>
      <c r="J18" s="1" t="str">
        <f>IF(Back_End_Data!J18="Completed","Yes","No")</f>
        <v>No</v>
      </c>
      <c r="K18" s="1" t="str">
        <f>IF(Back_End_Data!K18="Completed","Yes","No")</f>
        <v>Yes</v>
      </c>
      <c r="L18" s="1" t="str">
        <f>IF(Back_End_Data!L18="", "No", Back_End_Data!L18)</f>
        <v>NA</v>
      </c>
      <c r="M18" s="1" t="str">
        <f>IF(Back_End_Data!N18="", "No", Back_End_Data!N18)</f>
        <v>NA</v>
      </c>
      <c r="N18" s="1" t="str">
        <f>IF(Back_End_Data!M18="", "No", Back_End_Data!M18)</f>
        <v>NA</v>
      </c>
      <c r="O18" s="1" t="str">
        <f>IF(Back_End_Data!O18="Completed","Yes","No")</f>
        <v>No</v>
      </c>
      <c r="P18" s="1" t="str">
        <f>IF(Back_End_Data!H18="Completed","Yes","No")</f>
        <v>No</v>
      </c>
      <c r="Q18" s="1" t="str">
        <f>IF(Back_End_Data!P18="Completed","Yes","No")</f>
        <v>Yes</v>
      </c>
      <c r="R18" s="1" t="s">
        <v>2369</v>
      </c>
      <c r="S18" s="1" t="str">
        <f>IF(Back_End_Data!R18="Completed","Yes","No")</f>
        <v>No</v>
      </c>
      <c r="T18" s="1" t="str">
        <f>IF(Back_End_Data!S18="Yes","Yes","No")</f>
        <v>No</v>
      </c>
      <c r="U18" s="1" t="str">
        <f>IF(Back_End_Data!Q17="Completed","Yes","No")</f>
        <v>Yes</v>
      </c>
      <c r="V18" s="1" t="str">
        <f ca="1">IF(INDEX(MIS_Backend_Data!L:L, MATCH(D18, MIS_Backend_Data!B:B, 1)) = "WT", "Yes", "No")</f>
        <v>No</v>
      </c>
      <c r="W18" s="2" t="str">
        <f t="shared" ca="1" si="2"/>
        <v>Reject</v>
      </c>
      <c r="Z18" s="1">
        <f ca="1"/>
        <v>0</v>
      </c>
      <c r="AA18" s="1">
        <f t="shared" ca="1" si="0"/>
        <v>5</v>
      </c>
      <c r="AC18" s="1" t="str">
        <f ca="1"/>
        <v>Open</v>
      </c>
      <c r="AG18" s="1" t="str">
        <f t="shared" si="1"/>
        <v/>
      </c>
    </row>
    <row r="19" spans="1:33" ht="20.25" customHeight="1">
      <c r="A19" s="13">
        <v>18</v>
      </c>
      <c r="B19" s="1" t="str">
        <f ca="1"/>
        <v>Generali Central Insurance Company Limited</v>
      </c>
      <c r="C19" s="13" t="str">
        <f ca="1"/>
        <v>CN065449</v>
      </c>
      <c r="D19" s="13" t="str">
        <f ca="1"/>
        <v>F001-1018-SS-2025</v>
      </c>
      <c r="E19" s="13">
        <f ca="1"/>
        <v>45</v>
      </c>
      <c r="F19" s="14">
        <f ca="1"/>
        <v>45917</v>
      </c>
      <c r="G19" s="14">
        <f ca="1"/>
        <v>45962</v>
      </c>
      <c r="H19" s="1" t="str">
        <f>IF(Back_End_Data!G19="Completed","Yes","No")</f>
        <v>Yes</v>
      </c>
      <c r="I19" s="1" t="str">
        <f>IF(Back_End_Data!I19="Completed","Yes","No")</f>
        <v>No</v>
      </c>
      <c r="J19" s="1" t="str">
        <f>IF(Back_End_Data!J19="Completed","Yes","No")</f>
        <v>No</v>
      </c>
      <c r="K19" s="1" t="str">
        <f>IF(Back_End_Data!K19="Completed","Yes","No")</f>
        <v>No</v>
      </c>
      <c r="L19" s="1" t="str">
        <f>IF(Back_End_Data!L19="", "No", Back_End_Data!L19)</f>
        <v>NA</v>
      </c>
      <c r="M19" s="1" t="str">
        <f>IF(Back_End_Data!N19="", "No", Back_End_Data!N19)</f>
        <v>NA</v>
      </c>
      <c r="N19" s="1" t="str">
        <f>IF(Back_End_Data!M19="", "No", Back_End_Data!M19)</f>
        <v>NA</v>
      </c>
      <c r="O19" s="1" t="str">
        <f>IF(Back_End_Data!O19="Completed","Yes","No")</f>
        <v>No</v>
      </c>
      <c r="P19" s="1" t="str">
        <f>IF(Back_End_Data!H19="Completed","Yes","No")</f>
        <v>No</v>
      </c>
      <c r="Q19" s="1" t="str">
        <f>IF(Back_End_Data!P19="Completed","Yes","No")</f>
        <v>Yes</v>
      </c>
      <c r="R19" s="1" t="s">
        <v>2369</v>
      </c>
      <c r="S19" s="1" t="str">
        <f>IF(Back_End_Data!R19="Completed","Yes","No")</f>
        <v>No</v>
      </c>
      <c r="T19" s="1" t="str">
        <f>IF(Back_End_Data!S19="Yes","Yes","No")</f>
        <v>No</v>
      </c>
      <c r="U19" s="1" t="str">
        <f>IF(Back_End_Data!Q18="Completed","Yes","No")</f>
        <v>No</v>
      </c>
      <c r="V19" s="1" t="str">
        <f ca="1">IF(INDEX(MIS_Backend_Data!L:L, MATCH(D19, MIS_Backend_Data!B:B, 1)) = "WT", "Yes", "No")</f>
        <v>No</v>
      </c>
      <c r="W19" s="2" t="str">
        <f t="shared" ca="1" si="2"/>
        <v>Reject</v>
      </c>
      <c r="Z19" s="1">
        <f ca="1"/>
        <v>0</v>
      </c>
      <c r="AA19" s="1">
        <f t="shared" ca="1" si="0"/>
        <v>2</v>
      </c>
      <c r="AC19" s="1" t="str">
        <f ca="1"/>
        <v>Dispatch</v>
      </c>
      <c r="AG19" s="1" t="str">
        <f t="shared" si="1"/>
        <v/>
      </c>
    </row>
    <row r="20" spans="1:33" ht="20.25" customHeight="1">
      <c r="A20" s="13">
        <v>19</v>
      </c>
      <c r="B20" s="1" t="str">
        <f ca="1"/>
        <v>Generali Central Insurance Company Limited</v>
      </c>
      <c r="C20" s="13" t="str">
        <f ca="1"/>
        <v>MTP-N-2526-003270</v>
      </c>
      <c r="D20" s="13" t="str">
        <f ca="1"/>
        <v>F001-1019-SS-2025</v>
      </c>
      <c r="E20" s="13">
        <f ca="1"/>
        <v>84</v>
      </c>
      <c r="F20" s="14">
        <f ca="1"/>
        <v>45917</v>
      </c>
      <c r="G20" s="14">
        <f ca="1"/>
        <v>46001</v>
      </c>
      <c r="H20" s="1" t="str">
        <f>IF(Back_End_Data!G20="Completed","Yes","No")</f>
        <v>Yes</v>
      </c>
      <c r="I20" s="1" t="str">
        <f>IF(Back_End_Data!I20="Completed","Yes","No")</f>
        <v>Yes</v>
      </c>
      <c r="J20" s="1" t="str">
        <f>IF(Back_End_Data!J20="Completed","Yes","No")</f>
        <v>No</v>
      </c>
      <c r="K20" s="1" t="str">
        <f>IF(Back_End_Data!K20="Completed","Yes","No")</f>
        <v>Yes</v>
      </c>
      <c r="L20" s="1" t="str">
        <f>IF(Back_End_Data!L20="", "No", Back_End_Data!L20)</f>
        <v>Completed</v>
      </c>
      <c r="M20" s="1" t="str">
        <f>IF(Back_End_Data!N20="", "No", Back_End_Data!N20)</f>
        <v>NA</v>
      </c>
      <c r="N20" s="1" t="str">
        <f>IF(Back_End_Data!M20="", "No", Back_End_Data!M20)</f>
        <v>Completed</v>
      </c>
      <c r="O20" s="1" t="str">
        <f>IF(Back_End_Data!O20="Completed","Yes","No")</f>
        <v>No</v>
      </c>
      <c r="P20" s="1" t="str">
        <f>IF(Back_End_Data!H20="Completed","Yes","No")</f>
        <v>No</v>
      </c>
      <c r="Q20" s="1" t="str">
        <f>IF(Back_End_Data!P20="Completed","Yes","No")</f>
        <v>Yes</v>
      </c>
      <c r="R20" s="1" t="s">
        <v>2369</v>
      </c>
      <c r="S20" s="1" t="str">
        <f>IF(Back_End_Data!R20="Completed","Yes","No")</f>
        <v>Yes</v>
      </c>
      <c r="T20" s="1" t="str">
        <f>IF(Back_End_Data!S20="Yes","Yes","No")</f>
        <v>No</v>
      </c>
      <c r="U20" s="1" t="str">
        <f>IF(Back_End_Data!Q19="Completed","Yes","No")</f>
        <v>No</v>
      </c>
      <c r="V20" s="1" t="str">
        <f ca="1">IF(INDEX(MIS_Backend_Data!L:L, MATCH(D20, MIS_Backend_Data!B:B, 1)) = "WT", "Yes", "No")</f>
        <v>No</v>
      </c>
      <c r="W20" s="2" t="str">
        <f t="shared" ca="1" si="2"/>
        <v>Reject</v>
      </c>
      <c r="Z20" s="1">
        <f ca="1"/>
        <v>0</v>
      </c>
      <c r="AA20" s="1">
        <f t="shared" ca="1" si="0"/>
        <v>5</v>
      </c>
      <c r="AC20" s="1" t="str">
        <f ca="1"/>
        <v>Dispatch</v>
      </c>
      <c r="AG20" s="1" t="str">
        <f t="shared" si="1"/>
        <v/>
      </c>
    </row>
    <row r="21" spans="1:33" ht="20.25" customHeight="1">
      <c r="A21" s="13">
        <v>20</v>
      </c>
      <c r="B21" s="1" t="str">
        <f ca="1"/>
        <v>Generali Central Insurance Company Limited</v>
      </c>
      <c r="C21" s="13" t="str">
        <f ca="1"/>
        <v>MTP-N-2526-003272</v>
      </c>
      <c r="D21" s="13" t="str">
        <f ca="1"/>
        <v>F001-1020-SS-2025</v>
      </c>
      <c r="E21" s="13">
        <f ca="1"/>
        <v>84</v>
      </c>
      <c r="F21" s="14">
        <f ca="1"/>
        <v>45917</v>
      </c>
      <c r="G21" s="14">
        <f ca="1"/>
        <v>46001</v>
      </c>
      <c r="H21" s="1" t="str">
        <f>IF(Back_End_Data!G21="Completed","Yes","No")</f>
        <v>Yes</v>
      </c>
      <c r="I21" s="1" t="str">
        <f>IF(Back_End_Data!I21="Completed","Yes","No")</f>
        <v>No</v>
      </c>
      <c r="J21" s="1" t="str">
        <f>IF(Back_End_Data!J21="Completed","Yes","No")</f>
        <v>No</v>
      </c>
      <c r="K21" s="1" t="str">
        <f>IF(Back_End_Data!K21="Completed","Yes","No")</f>
        <v>No</v>
      </c>
      <c r="L21" s="1" t="str">
        <f>IF(Back_End_Data!L21="", "No", Back_End_Data!L21)</f>
        <v>NA</v>
      </c>
      <c r="M21" s="1" t="str">
        <f>IF(Back_End_Data!N21="", "No", Back_End_Data!N21)</f>
        <v>NA</v>
      </c>
      <c r="N21" s="1" t="str">
        <f>IF(Back_End_Data!M21="", "No", Back_End_Data!M21)</f>
        <v>NA</v>
      </c>
      <c r="O21" s="1" t="str">
        <f>IF(Back_End_Data!O21="Completed","Yes","No")</f>
        <v>No</v>
      </c>
      <c r="P21" s="1" t="str">
        <f>IF(Back_End_Data!H21="Completed","Yes","No")</f>
        <v>No</v>
      </c>
      <c r="Q21" s="1" t="str">
        <f>IF(Back_End_Data!P21="Completed","Yes","No")</f>
        <v>No</v>
      </c>
      <c r="R21" s="1" t="s">
        <v>2369</v>
      </c>
      <c r="S21" s="1" t="str">
        <f>IF(Back_End_Data!R21="Completed","Yes","No")</f>
        <v>Yes</v>
      </c>
      <c r="T21" s="1" t="str">
        <f>IF(Back_End_Data!S21="Yes","Yes","No")</f>
        <v>No</v>
      </c>
      <c r="U21" s="1" t="str">
        <f>IF(Back_End_Data!Q20="Completed","Yes","No")</f>
        <v>No</v>
      </c>
      <c r="V21" s="1" t="str">
        <f ca="1">IF(INDEX(MIS_Backend_Data!L:L, MATCH(D21, MIS_Backend_Data!B:B, 1)) = "WT", "Yes", "No")</f>
        <v>No</v>
      </c>
      <c r="W21" s="2" t="str">
        <f t="shared" ca="1" si="2"/>
        <v>Reject</v>
      </c>
      <c r="Z21" s="1">
        <f ca="1"/>
        <v>0</v>
      </c>
      <c r="AA21" s="1">
        <f t="shared" ca="1" si="0"/>
        <v>2</v>
      </c>
      <c r="AC21" s="1" t="str">
        <f ca="1"/>
        <v>Dispatch</v>
      </c>
      <c r="AG21" s="1" t="str">
        <f t="shared" si="1"/>
        <v/>
      </c>
    </row>
    <row r="22" spans="1:33" ht="20.25" customHeight="1">
      <c r="A22" s="13">
        <v>21</v>
      </c>
      <c r="B22" s="1" t="str">
        <f ca="1"/>
        <v>Magma HDI General Insurance Company Ltd</v>
      </c>
      <c r="C22" s="13" t="str">
        <f ca="1"/>
        <v>C2254103102949-00</v>
      </c>
      <c r="D22" s="13" t="str">
        <f ca="1"/>
        <v>M002-1021-SS-2025</v>
      </c>
      <c r="E22" s="13">
        <f ca="1"/>
        <v>242</v>
      </c>
      <c r="F22" s="14">
        <f ca="1"/>
        <v>45734</v>
      </c>
      <c r="G22" s="14">
        <f ca="1"/>
        <v>45976</v>
      </c>
      <c r="H22" s="1" t="str">
        <f>IF(Back_End_Data!G22="Completed","Yes","No")</f>
        <v>Yes</v>
      </c>
      <c r="I22" s="1" t="str">
        <f>IF(Back_End_Data!I22="Completed","Yes","No")</f>
        <v>No</v>
      </c>
      <c r="J22" s="1" t="str">
        <f>IF(Back_End_Data!J22="Completed","Yes","No")</f>
        <v>No</v>
      </c>
      <c r="K22" s="1" t="str">
        <f>IF(Back_End_Data!K22="Completed","Yes","No")</f>
        <v>No</v>
      </c>
      <c r="L22" s="1" t="str">
        <f>IF(Back_End_Data!L22="", "No", Back_End_Data!L22)</f>
        <v>NA</v>
      </c>
      <c r="M22" s="1" t="str">
        <f>IF(Back_End_Data!N22="", "No", Back_End_Data!N22)</f>
        <v>NA</v>
      </c>
      <c r="N22" s="1" t="str">
        <f>IF(Back_End_Data!M22="", "No", Back_End_Data!M22)</f>
        <v>NA</v>
      </c>
      <c r="O22" s="1" t="str">
        <f>IF(Back_End_Data!O22="Completed","Yes","No")</f>
        <v>No</v>
      </c>
      <c r="P22" s="1" t="str">
        <f>IF(Back_End_Data!H22="Completed","Yes","No")</f>
        <v>No</v>
      </c>
      <c r="Q22" s="1" t="str">
        <f>IF(Back_End_Data!P22="Completed","Yes","No")</f>
        <v>No</v>
      </c>
      <c r="R22" s="1" t="s">
        <v>2369</v>
      </c>
      <c r="S22" s="1" t="str">
        <f>IF(Back_End_Data!R22="Completed","Yes","No")</f>
        <v>Yes</v>
      </c>
      <c r="T22" s="1" t="str">
        <f>IF(Back_End_Data!S22="Yes","Yes","No")</f>
        <v>No</v>
      </c>
      <c r="U22" s="1" t="str">
        <f>IF(Back_End_Data!Q21="Completed","Yes","No")</f>
        <v>No</v>
      </c>
      <c r="V22" s="1" t="str">
        <f ca="1">IF(INDEX(MIS_Backend_Data!L:L, MATCH(D22, MIS_Backend_Data!B:B, 1)) = "WT", "Yes", "No")</f>
        <v>No</v>
      </c>
      <c r="W22" s="2" t="str">
        <f t="shared" ca="1" si="2"/>
        <v>Reject</v>
      </c>
      <c r="Z22" s="1">
        <f ca="1"/>
        <v>0</v>
      </c>
      <c r="AA22" s="1">
        <f t="shared" ca="1" si="0"/>
        <v>2</v>
      </c>
      <c r="AC22" s="1" t="str">
        <f ca="1"/>
        <v>Dispatch</v>
      </c>
      <c r="AG22" s="1" t="str">
        <f t="shared" si="1"/>
        <v/>
      </c>
    </row>
    <row r="23" spans="1:33" ht="20.25" customHeight="1">
      <c r="A23" s="13">
        <v>22</v>
      </c>
      <c r="B23" s="1" t="str">
        <f ca="1"/>
        <v>Indusind General Insurance Co Ltd</v>
      </c>
      <c r="C23" s="13" t="str">
        <f ca="1"/>
        <v>2024214888</v>
      </c>
      <c r="D23" s="13" t="str">
        <f ca="1"/>
        <v>R001-1022-SS-2025</v>
      </c>
      <c r="E23" s="13">
        <f ca="1"/>
        <v>82</v>
      </c>
      <c r="F23" s="14">
        <f ca="1"/>
        <v>45918</v>
      </c>
      <c r="G23" s="14">
        <f ca="1"/>
        <v>46000</v>
      </c>
      <c r="H23" s="1" t="str">
        <f>IF(Back_End_Data!G23="Completed","Yes","No")</f>
        <v>Yes</v>
      </c>
      <c r="I23" s="1" t="str">
        <f>IF(Back_End_Data!I23="Completed","Yes","No")</f>
        <v>Yes</v>
      </c>
      <c r="J23" s="1" t="str">
        <f>IF(Back_End_Data!J23="Completed","Yes","No")</f>
        <v>No</v>
      </c>
      <c r="K23" s="1" t="str">
        <f>IF(Back_End_Data!K23="Completed","Yes","No")</f>
        <v>No</v>
      </c>
      <c r="L23" s="1" t="str">
        <f>IF(Back_End_Data!L23="", "No", Back_End_Data!L23)</f>
        <v>NA</v>
      </c>
      <c r="M23" s="1" t="str">
        <f>IF(Back_End_Data!N23="", "No", Back_End_Data!N23)</f>
        <v>NA</v>
      </c>
      <c r="N23" s="1" t="str">
        <f>IF(Back_End_Data!M23="", "No", Back_End_Data!M23)</f>
        <v>NA</v>
      </c>
      <c r="O23" s="1" t="str">
        <f>IF(Back_End_Data!O23="Completed","Yes","No")</f>
        <v>No</v>
      </c>
      <c r="P23" s="1" t="str">
        <f>IF(Back_End_Data!H23="Completed","Yes","No")</f>
        <v>No</v>
      </c>
      <c r="Q23" s="1" t="str">
        <f>IF(Back_End_Data!P23="Completed","Yes","No")</f>
        <v>Yes</v>
      </c>
      <c r="R23" s="1" t="s">
        <v>2369</v>
      </c>
      <c r="S23" s="1" t="str">
        <f>IF(Back_End_Data!R23="Completed","Yes","No")</f>
        <v>No</v>
      </c>
      <c r="T23" s="1" t="str">
        <f>IF(Back_End_Data!S23="Yes","Yes","No")</f>
        <v>No</v>
      </c>
      <c r="U23" s="1" t="str">
        <f>IF(Back_End_Data!Q22="Completed","Yes","No")</f>
        <v>No</v>
      </c>
      <c r="V23" s="1" t="str">
        <f ca="1">IF(INDEX(MIS_Backend_Data!L:L, MATCH(D23, MIS_Backend_Data!B:B, 1)) = "WT", "Yes", "No")</f>
        <v>No</v>
      </c>
      <c r="W23" s="2" t="str">
        <f t="shared" ca="1" si="2"/>
        <v>Reject</v>
      </c>
      <c r="Z23" s="1">
        <f ca="1"/>
        <v>0</v>
      </c>
      <c r="AA23" s="1">
        <f t="shared" ca="1" si="0"/>
        <v>3</v>
      </c>
      <c r="AC23" s="1" t="str">
        <f ca="1"/>
        <v>Dispatch</v>
      </c>
      <c r="AG23" s="1" t="str">
        <f t="shared" si="1"/>
        <v/>
      </c>
    </row>
    <row r="24" spans="1:33" ht="20.25" customHeight="1">
      <c r="A24" s="13">
        <v>23</v>
      </c>
      <c r="B24" s="1" t="str">
        <f ca="1"/>
        <v>Indusind General Insurance Co Ltd</v>
      </c>
      <c r="C24" s="13" t="str">
        <f ca="1"/>
        <v>2024214879</v>
      </c>
      <c r="D24" s="13" t="str">
        <f ca="1"/>
        <v>R001-1023-SS-2025</v>
      </c>
      <c r="E24" s="13">
        <f ca="1"/>
        <v>81</v>
      </c>
      <c r="F24" s="14">
        <f ca="1"/>
        <v>45919</v>
      </c>
      <c r="G24" s="14">
        <f ca="1"/>
        <v>46000</v>
      </c>
      <c r="H24" s="1" t="str">
        <f>IF(Back_End_Data!G24="Completed","Yes","No")</f>
        <v>Yes</v>
      </c>
      <c r="I24" s="1" t="str">
        <f>IF(Back_End_Data!I24="Completed","Yes","No")</f>
        <v>Yes</v>
      </c>
      <c r="J24" s="1" t="str">
        <f>IF(Back_End_Data!J24="Completed","Yes","No")</f>
        <v>No</v>
      </c>
      <c r="K24" s="1" t="str">
        <f>IF(Back_End_Data!K24="Completed","Yes","No")</f>
        <v>Yes</v>
      </c>
      <c r="L24" s="1" t="str">
        <f>IF(Back_End_Data!L24="", "No", Back_End_Data!L24)</f>
        <v>NA</v>
      </c>
      <c r="M24" s="1" t="str">
        <f>IF(Back_End_Data!N24="", "No", Back_End_Data!N24)</f>
        <v>NA</v>
      </c>
      <c r="N24" s="1" t="str">
        <f>IF(Back_End_Data!M24="", "No", Back_End_Data!M24)</f>
        <v>NA</v>
      </c>
      <c r="O24" s="1" t="str">
        <f>IF(Back_End_Data!O24="Completed","Yes","No")</f>
        <v>No</v>
      </c>
      <c r="P24" s="1" t="str">
        <f>IF(Back_End_Data!H24="Completed","Yes","No")</f>
        <v>No</v>
      </c>
      <c r="Q24" s="1" t="str">
        <f>IF(Back_End_Data!P24="Completed","Yes","No")</f>
        <v>Yes</v>
      </c>
      <c r="R24" s="1" t="s">
        <v>2369</v>
      </c>
      <c r="S24" s="1" t="str">
        <f>IF(Back_End_Data!R24="Completed","Yes","No")</f>
        <v>No</v>
      </c>
      <c r="T24" s="1" t="str">
        <f>IF(Back_End_Data!S24="Yes","Yes","No")</f>
        <v>No</v>
      </c>
      <c r="U24" s="1" t="str">
        <f>IF(Back_End_Data!Q23="Completed","Yes","No")</f>
        <v>Yes</v>
      </c>
      <c r="V24" s="1" t="str">
        <f ca="1">IF(INDEX(MIS_Backend_Data!L:L, MATCH(D24, MIS_Backend_Data!B:B, 1)) = "WT", "Yes", "No")</f>
        <v>No</v>
      </c>
      <c r="W24" s="2" t="str">
        <f t="shared" ca="1" si="2"/>
        <v>Reject</v>
      </c>
      <c r="Z24" s="1">
        <f ca="1"/>
        <v>0</v>
      </c>
      <c r="AA24" s="1">
        <f t="shared" ca="1" si="0"/>
        <v>5</v>
      </c>
      <c r="AC24" s="1" t="str">
        <f ca="1"/>
        <v>Dispatch</v>
      </c>
      <c r="AG24" s="1" t="str">
        <f t="shared" si="1"/>
        <v/>
      </c>
    </row>
    <row r="25" spans="1:33" ht="20.25" customHeight="1">
      <c r="A25" s="13">
        <v>24</v>
      </c>
      <c r="B25" s="1" t="str">
        <f ca="1"/>
        <v>Generali Central Insurance Company Limited</v>
      </c>
      <c r="C25" s="13" t="str">
        <f ca="1"/>
        <v>CM889835</v>
      </c>
      <c r="D25" s="13" t="str">
        <f ca="1"/>
        <v>F001-1024-SS-2025</v>
      </c>
      <c r="E25" s="13">
        <f ca="1"/>
        <v>98</v>
      </c>
      <c r="F25" s="14">
        <f ca="1"/>
        <v>45929</v>
      </c>
      <c r="G25" s="14" t="str">
        <f ca="1"/>
        <v>-</v>
      </c>
      <c r="H25" s="1" t="str">
        <f>IF(Back_End_Data!G25="Completed","Yes","No")</f>
        <v>Yes</v>
      </c>
      <c r="I25" s="1" t="str">
        <f>IF(Back_End_Data!I25="Completed","Yes","No")</f>
        <v>No</v>
      </c>
      <c r="J25" s="1" t="str">
        <f>IF(Back_End_Data!J25="Completed","Yes","No")</f>
        <v>No</v>
      </c>
      <c r="K25" s="1" t="str">
        <f>IF(Back_End_Data!K25="Completed","Yes","No")</f>
        <v>No</v>
      </c>
      <c r="L25" s="1" t="str">
        <f>IF(Back_End_Data!L25="", "No", Back_End_Data!L25)</f>
        <v>NA</v>
      </c>
      <c r="M25" s="1" t="str">
        <f>IF(Back_End_Data!N25="", "No", Back_End_Data!N25)</f>
        <v>NA</v>
      </c>
      <c r="N25" s="1" t="str">
        <f>IF(Back_End_Data!M25="", "No", Back_End_Data!M25)</f>
        <v>NA</v>
      </c>
      <c r="O25" s="1" t="str">
        <f>IF(Back_End_Data!O25="Completed","Yes","No")</f>
        <v>No</v>
      </c>
      <c r="P25" s="1" t="str">
        <f>IF(Back_End_Data!H25="Completed","Yes","No")</f>
        <v>No</v>
      </c>
      <c r="Q25" s="1" t="str">
        <f>IF(Back_End_Data!P25="Completed","Yes","No")</f>
        <v>No</v>
      </c>
      <c r="R25" s="1" t="s">
        <v>2369</v>
      </c>
      <c r="S25" s="1" t="str">
        <f>IF(Back_End_Data!R25="Completed","Yes","No")</f>
        <v>No</v>
      </c>
      <c r="T25" s="1" t="str">
        <f>IF(Back_End_Data!S25="Yes","Yes","No")</f>
        <v>No</v>
      </c>
      <c r="U25" s="1" t="str">
        <f>IF(Back_End_Data!Q24="Completed","Yes","No")</f>
        <v>Yes</v>
      </c>
      <c r="V25" s="1" t="str">
        <f ca="1">IF(INDEX(MIS_Backend_Data!L:L, MATCH(D25, MIS_Backend_Data!B:B, 1)) = "WT", "Yes", "No")</f>
        <v>No</v>
      </c>
      <c r="W25" s="2" t="str">
        <f t="shared" ca="1" si="2"/>
        <v>Reject</v>
      </c>
      <c r="Z25" s="1">
        <f ca="1"/>
        <v>0</v>
      </c>
      <c r="AA25" s="1">
        <f t="shared" ca="1" si="0"/>
        <v>2</v>
      </c>
      <c r="AC25" s="1" t="str">
        <f ca="1"/>
        <v>QC</v>
      </c>
      <c r="AG25" s="1" t="str">
        <f t="shared" si="1"/>
        <v/>
      </c>
    </row>
    <row r="26" spans="1:33" ht="20.25" customHeight="1">
      <c r="A26" s="13">
        <v>25</v>
      </c>
      <c r="B26" s="1" t="str">
        <f ca="1"/>
        <v>Indusind General Insurance Co Ltd</v>
      </c>
      <c r="C26" s="13" t="str">
        <f ca="1"/>
        <v>2022201759</v>
      </c>
      <c r="D26" s="13" t="str">
        <f ca="1"/>
        <v>R001-1025-SS-2025</v>
      </c>
      <c r="E26" s="13">
        <f ca="1"/>
        <v>70</v>
      </c>
      <c r="F26" s="14">
        <f ca="1"/>
        <v>45938</v>
      </c>
      <c r="G26" s="14">
        <f ca="1"/>
        <v>46008</v>
      </c>
      <c r="H26" s="1" t="str">
        <f>IF(Back_End_Data!G26="Completed","Yes","No")</f>
        <v>Yes</v>
      </c>
      <c r="I26" s="1" t="str">
        <f>IF(Back_End_Data!I26="Completed","Yes","No")</f>
        <v>Yes</v>
      </c>
      <c r="J26" s="1" t="str">
        <f>IF(Back_End_Data!J26="Completed","Yes","No")</f>
        <v>No</v>
      </c>
      <c r="K26" s="1" t="str">
        <f>IF(Back_End_Data!K26="Completed","Yes","No")</f>
        <v>No</v>
      </c>
      <c r="L26" s="1" t="str">
        <f>IF(Back_End_Data!L26="", "No", Back_End_Data!L26)</f>
        <v>NA</v>
      </c>
      <c r="M26" s="1" t="str">
        <f>IF(Back_End_Data!N26="", "No", Back_End_Data!N26)</f>
        <v>NA</v>
      </c>
      <c r="N26" s="1" t="str">
        <f>IF(Back_End_Data!M26="", "No", Back_End_Data!M26)</f>
        <v>NA</v>
      </c>
      <c r="O26" s="1" t="str">
        <f>IF(Back_End_Data!O26="Completed","Yes","No")</f>
        <v>No</v>
      </c>
      <c r="P26" s="1" t="str">
        <f>IF(Back_End_Data!H26="Completed","Yes","No")</f>
        <v>No</v>
      </c>
      <c r="Q26" s="1" t="str">
        <f>IF(Back_End_Data!P26="Completed","Yes","No")</f>
        <v>Yes</v>
      </c>
      <c r="R26" s="1" t="s">
        <v>2369</v>
      </c>
      <c r="S26" s="1" t="str">
        <f>IF(Back_End_Data!R26="Completed","Yes","No")</f>
        <v>No</v>
      </c>
      <c r="T26" s="1" t="str">
        <f>IF(Back_End_Data!S26="Yes","Yes","No")</f>
        <v>No</v>
      </c>
      <c r="U26" s="1" t="str">
        <f>IF(Back_End_Data!Q25="Completed","Yes","No")</f>
        <v>No</v>
      </c>
      <c r="V26" s="1" t="str">
        <f ca="1">IF(INDEX(MIS_Backend_Data!L:L, MATCH(D26, MIS_Backend_Data!B:B, 1)) = "WT", "Yes", "No")</f>
        <v>No</v>
      </c>
      <c r="W26" s="2" t="str">
        <f t="shared" ca="1" si="2"/>
        <v>Reject</v>
      </c>
      <c r="Z26" s="1">
        <f ca="1"/>
        <v>0</v>
      </c>
      <c r="AA26" s="1">
        <f t="shared" ca="1" si="0"/>
        <v>3</v>
      </c>
      <c r="AC26" s="1" t="str">
        <f ca="1"/>
        <v>Dispatch</v>
      </c>
      <c r="AG26" s="1" t="str">
        <f t="shared" si="1"/>
        <v/>
      </c>
    </row>
    <row r="27" spans="1:33" ht="20.25" customHeight="1">
      <c r="A27" s="13">
        <v>26</v>
      </c>
      <c r="B27" s="1" t="str">
        <f ca="1"/>
        <v>Indusind General Insurance Co Ltd</v>
      </c>
      <c r="C27" s="13" t="str">
        <f ca="1"/>
        <v>2025202327</v>
      </c>
      <c r="D27" s="13" t="str">
        <f ca="1"/>
        <v>R001-1026-SS-2025</v>
      </c>
      <c r="E27" s="13">
        <f ca="1"/>
        <v>89</v>
      </c>
      <c r="F27" s="14">
        <f ca="1"/>
        <v>45938</v>
      </c>
      <c r="G27" s="14" t="str">
        <f ca="1"/>
        <v>-</v>
      </c>
      <c r="H27" s="1" t="str">
        <f>IF(Back_End_Data!G27="Completed","Yes","No")</f>
        <v>No</v>
      </c>
      <c r="I27" s="1" t="str">
        <f>IF(Back_End_Data!I27="Completed","Yes","No")</f>
        <v>No</v>
      </c>
      <c r="J27" s="1" t="str">
        <f>IF(Back_End_Data!J27="Completed","Yes","No")</f>
        <v>No</v>
      </c>
      <c r="K27" s="1" t="str">
        <f>IF(Back_End_Data!K27="Completed","Yes","No")</f>
        <v>No</v>
      </c>
      <c r="L27" s="1" t="str">
        <f>IF(Back_End_Data!L27="", "No", Back_End_Data!L27)</f>
        <v>NA</v>
      </c>
      <c r="M27" s="1" t="str">
        <f>IF(Back_End_Data!N27="", "No", Back_End_Data!N27)</f>
        <v>WIP</v>
      </c>
      <c r="N27" s="1" t="str">
        <f>IF(Back_End_Data!M27="", "No", Back_End_Data!M27)</f>
        <v>NA</v>
      </c>
      <c r="O27" s="1" t="str">
        <f>IF(Back_End_Data!O27="Completed","Yes","No")</f>
        <v>No</v>
      </c>
      <c r="P27" s="1" t="str">
        <f>IF(Back_End_Data!H27="Completed","Yes","No")</f>
        <v>No</v>
      </c>
      <c r="Q27" s="1" t="str">
        <f>IF(Back_End_Data!P27="Completed","Yes","No")</f>
        <v>No</v>
      </c>
      <c r="R27" s="1" t="s">
        <v>2369</v>
      </c>
      <c r="S27" s="1" t="str">
        <f>IF(Back_End_Data!R27="Completed","Yes","No")</f>
        <v>No</v>
      </c>
      <c r="T27" s="1" t="str">
        <f>IF(Back_End_Data!S27="Yes","Yes","No")</f>
        <v>No</v>
      </c>
      <c r="U27" s="1" t="str">
        <f>IF(Back_End_Data!Q26="Completed","Yes","No")</f>
        <v>No</v>
      </c>
      <c r="V27" s="1" t="str">
        <f ca="1">IF(INDEX(MIS_Backend_Data!L:L, MATCH(D27, MIS_Backend_Data!B:B, 1)) = "WT", "Yes", "No")</f>
        <v>No</v>
      </c>
      <c r="W27" s="2" t="str">
        <f t="shared" ca="1" si="2"/>
        <v>Approved</v>
      </c>
      <c r="Z27" s="1">
        <f ca="1"/>
        <v>0</v>
      </c>
      <c r="AA27" s="1">
        <f t="shared" ca="1" si="0"/>
        <v>0</v>
      </c>
      <c r="AC27" s="1" t="str">
        <f ca="1"/>
        <v>QC</v>
      </c>
      <c r="AG27" s="1" t="str">
        <f t="shared" si="1"/>
        <v/>
      </c>
    </row>
    <row r="28" spans="1:33" ht="20.25" customHeight="1">
      <c r="A28" s="13">
        <v>27</v>
      </c>
      <c r="B28" s="1" t="str">
        <f ca="1"/>
        <v>Indusind General Insurance Co Ltd</v>
      </c>
      <c r="C28" s="13" t="str">
        <f ca="1"/>
        <v>2025200573</v>
      </c>
      <c r="D28" s="13" t="str">
        <f ca="1"/>
        <v>R001-1027-SS-2025</v>
      </c>
      <c r="E28" s="13">
        <f ca="1"/>
        <v>89</v>
      </c>
      <c r="F28" s="14">
        <f ca="1"/>
        <v>45938</v>
      </c>
      <c r="G28" s="14" t="str">
        <f ca="1"/>
        <v>-</v>
      </c>
      <c r="H28" s="1" t="str">
        <f>IF(Back_End_Data!G28="Completed","Yes","No")</f>
        <v>Yes</v>
      </c>
      <c r="I28" s="1" t="str">
        <f>IF(Back_End_Data!I28="Completed","Yes","No")</f>
        <v>Yes</v>
      </c>
      <c r="J28" s="1" t="str">
        <f>IF(Back_End_Data!J28="Completed","Yes","No")</f>
        <v>No</v>
      </c>
      <c r="K28" s="1" t="str">
        <f>IF(Back_End_Data!K28="Completed","Yes","No")</f>
        <v>Yes</v>
      </c>
      <c r="L28" s="1" t="str">
        <f>IF(Back_End_Data!L28="", "No", Back_End_Data!L28)</f>
        <v>NA</v>
      </c>
      <c r="M28" s="1" t="str">
        <f>IF(Back_End_Data!N28="", "No", Back_End_Data!N28)</f>
        <v>NA</v>
      </c>
      <c r="N28" s="1" t="str">
        <f>IF(Back_End_Data!M28="", "No", Back_End_Data!M28)</f>
        <v>NA</v>
      </c>
      <c r="O28" s="1" t="str">
        <f>IF(Back_End_Data!O28="Completed","Yes","No")</f>
        <v>No</v>
      </c>
      <c r="P28" s="1" t="str">
        <f>IF(Back_End_Data!H28="Completed","Yes","No")</f>
        <v>No</v>
      </c>
      <c r="Q28" s="1" t="str">
        <f>IF(Back_End_Data!P28="Completed","Yes","No")</f>
        <v>Yes</v>
      </c>
      <c r="R28" s="1" t="s">
        <v>2369</v>
      </c>
      <c r="S28" s="1" t="str">
        <f>IF(Back_End_Data!R28="Completed","Yes","No")</f>
        <v>No</v>
      </c>
      <c r="T28" s="1" t="str">
        <f>IF(Back_End_Data!S28="Yes","Yes","No")</f>
        <v>No</v>
      </c>
      <c r="U28" s="1" t="str">
        <f>IF(Back_End_Data!Q27="Completed","Yes","No")</f>
        <v>No</v>
      </c>
      <c r="V28" s="1" t="str">
        <f ca="1">IF(INDEX(MIS_Backend_Data!L:L, MATCH(D28, MIS_Backend_Data!B:B, 1)) = "WT", "Yes", "No")</f>
        <v>No</v>
      </c>
      <c r="W28" s="2" t="str">
        <f t="shared" ca="1" si="2"/>
        <v>Reject</v>
      </c>
      <c r="Z28" s="1">
        <f ca="1"/>
        <v>0</v>
      </c>
      <c r="AA28" s="1">
        <f t="shared" ca="1" si="0"/>
        <v>4</v>
      </c>
      <c r="AC28" s="1" t="str">
        <f ca="1"/>
        <v>Open</v>
      </c>
      <c r="AG28" s="1" t="str">
        <f t="shared" si="1"/>
        <v/>
      </c>
    </row>
    <row r="29" spans="1:33" ht="20.25" customHeight="1">
      <c r="A29" s="13">
        <v>28</v>
      </c>
      <c r="B29" s="1" t="str">
        <f ca="1"/>
        <v>Indusind General Insurance Co Ltd</v>
      </c>
      <c r="C29" s="13" t="str">
        <f ca="1"/>
        <v>2025206296</v>
      </c>
      <c r="D29" s="13" t="str">
        <f ca="1"/>
        <v>R001-1028-SS-2025</v>
      </c>
      <c r="E29" s="13">
        <f ca="1"/>
        <v>89</v>
      </c>
      <c r="F29" s="14">
        <f ca="1"/>
        <v>45938</v>
      </c>
      <c r="G29" s="14" t="str">
        <f ca="1"/>
        <v>-</v>
      </c>
      <c r="H29" s="1" t="str">
        <f>IF(Back_End_Data!G29="Completed","Yes","No")</f>
        <v>Yes</v>
      </c>
      <c r="I29" s="1" t="str">
        <f>IF(Back_End_Data!I29="Completed","Yes","No")</f>
        <v>No</v>
      </c>
      <c r="J29" s="1" t="str">
        <f>IF(Back_End_Data!J29="Completed","Yes","No")</f>
        <v>No</v>
      </c>
      <c r="K29" s="1" t="str">
        <f>IF(Back_End_Data!K29="Completed","Yes","No")</f>
        <v>No</v>
      </c>
      <c r="L29" s="1" t="str">
        <f>IF(Back_End_Data!L29="", "No", Back_End_Data!L29)</f>
        <v>NA</v>
      </c>
      <c r="M29" s="1" t="str">
        <f>IF(Back_End_Data!N29="", "No", Back_End_Data!N29)</f>
        <v>NA</v>
      </c>
      <c r="N29" s="1" t="str">
        <f>IF(Back_End_Data!M29="", "No", Back_End_Data!M29)</f>
        <v>NA</v>
      </c>
      <c r="O29" s="1" t="str">
        <f>IF(Back_End_Data!O29="Completed","Yes","No")</f>
        <v>No</v>
      </c>
      <c r="P29" s="1" t="str">
        <f>IF(Back_End_Data!H29="Completed","Yes","No")</f>
        <v>No</v>
      </c>
      <c r="Q29" s="1" t="str">
        <f>IF(Back_End_Data!P29="Completed","Yes","No")</f>
        <v>No</v>
      </c>
      <c r="R29" s="1" t="s">
        <v>2369</v>
      </c>
      <c r="S29" s="1" t="str">
        <f>IF(Back_End_Data!R29="Completed","Yes","No")</f>
        <v>No</v>
      </c>
      <c r="T29" s="1" t="str">
        <f>IF(Back_End_Data!S29="Yes","Yes","No")</f>
        <v>No</v>
      </c>
      <c r="U29" s="1" t="str">
        <f>IF(Back_End_Data!Q28="Completed","Yes","No")</f>
        <v>Yes</v>
      </c>
      <c r="V29" s="1" t="str">
        <f ca="1">IF(INDEX(MIS_Backend_Data!L:L, MATCH(D29, MIS_Backend_Data!B:B, 1)) = "WT", "Yes", "No")</f>
        <v>No</v>
      </c>
      <c r="W29" s="2" t="str">
        <f t="shared" ca="1" si="2"/>
        <v>Reject</v>
      </c>
      <c r="Z29" s="1">
        <f ca="1"/>
        <v>0</v>
      </c>
      <c r="AA29" s="1">
        <f t="shared" ca="1" si="0"/>
        <v>2</v>
      </c>
      <c r="AC29" s="1" t="str">
        <f ca="1"/>
        <v>Open</v>
      </c>
      <c r="AG29" s="1" t="str">
        <f t="shared" si="1"/>
        <v/>
      </c>
    </row>
    <row r="30" spans="1:33" ht="20.25" customHeight="1">
      <c r="A30" s="13">
        <v>29</v>
      </c>
      <c r="B30" s="1" t="str">
        <f ca="1"/>
        <v>Indusind General Insurance Co Ltd</v>
      </c>
      <c r="C30" s="13" t="str">
        <f ca="1"/>
        <v>2025202596</v>
      </c>
      <c r="D30" s="13" t="str">
        <f ca="1"/>
        <v>R001-1029-SS-2025</v>
      </c>
      <c r="E30" s="13">
        <f ca="1"/>
        <v>57</v>
      </c>
      <c r="F30" s="14">
        <f ca="1"/>
        <v>45938</v>
      </c>
      <c r="G30" s="14">
        <f ca="1"/>
        <v>45995</v>
      </c>
      <c r="H30" s="1" t="str">
        <f>IF(Back_End_Data!G30="Completed","Yes","No")</f>
        <v>Yes</v>
      </c>
      <c r="I30" s="1" t="str">
        <f>IF(Back_End_Data!I30="Completed","Yes","No")</f>
        <v>Yes</v>
      </c>
      <c r="J30" s="1" t="str">
        <f>IF(Back_End_Data!J30="Completed","Yes","No")</f>
        <v>No</v>
      </c>
      <c r="K30" s="1" t="str">
        <f>IF(Back_End_Data!K30="Completed","Yes","No")</f>
        <v>Yes</v>
      </c>
      <c r="L30" s="1" t="str">
        <f>IF(Back_End_Data!L30="", "No", Back_End_Data!L30)</f>
        <v>NA</v>
      </c>
      <c r="M30" s="1" t="str">
        <f>IF(Back_End_Data!N30="", "No", Back_End_Data!N30)</f>
        <v>NA</v>
      </c>
      <c r="N30" s="1" t="str">
        <f>IF(Back_End_Data!M30="", "No", Back_End_Data!M30)</f>
        <v>NA</v>
      </c>
      <c r="O30" s="1" t="str">
        <f>IF(Back_End_Data!O30="Completed","Yes","No")</f>
        <v>No</v>
      </c>
      <c r="P30" s="1" t="str">
        <f>IF(Back_End_Data!H30="Completed","Yes","No")</f>
        <v>No</v>
      </c>
      <c r="Q30" s="1" t="str">
        <f>IF(Back_End_Data!P30="Completed","Yes","No")</f>
        <v>Yes</v>
      </c>
      <c r="R30" s="1" t="s">
        <v>2369</v>
      </c>
      <c r="S30" s="1" t="str">
        <f>IF(Back_End_Data!R30="Completed","Yes","No")</f>
        <v>No</v>
      </c>
      <c r="T30" s="1" t="str">
        <f>IF(Back_End_Data!S30="Yes","Yes","No")</f>
        <v>No</v>
      </c>
      <c r="U30" s="1" t="str">
        <f>IF(Back_End_Data!Q29="Completed","Yes","No")</f>
        <v>No</v>
      </c>
      <c r="V30" s="1" t="str">
        <f ca="1">IF(INDEX(MIS_Backend_Data!L:L, MATCH(D30, MIS_Backend_Data!B:B, 1)) = "WT", "Yes", "No")</f>
        <v>No</v>
      </c>
      <c r="W30" s="2" t="str">
        <f t="shared" ca="1" si="2"/>
        <v>Reject</v>
      </c>
      <c r="Z30" s="1">
        <f ca="1"/>
        <v>0</v>
      </c>
      <c r="AA30" s="1">
        <f t="shared" ca="1" si="0"/>
        <v>4</v>
      </c>
      <c r="AC30" s="1" t="str">
        <f ca="1"/>
        <v>Dispatch</v>
      </c>
      <c r="AG30" s="1" t="str">
        <f t="shared" si="1"/>
        <v/>
      </c>
    </row>
    <row r="31" spans="1:33" ht="20.25" customHeight="1">
      <c r="A31" s="13">
        <v>30</v>
      </c>
      <c r="B31" s="1" t="str">
        <f ca="1"/>
        <v>Indusind General Insurance Co Ltd</v>
      </c>
      <c r="C31" s="13" t="str">
        <f ca="1"/>
        <v>2025211210</v>
      </c>
      <c r="D31" s="13" t="str">
        <f ca="1"/>
        <v>R001-1030-SS-2025</v>
      </c>
      <c r="E31" s="13">
        <f ca="1"/>
        <v>71</v>
      </c>
      <c r="F31" s="14">
        <f ca="1"/>
        <v>45938</v>
      </c>
      <c r="G31" s="14">
        <f ca="1"/>
        <v>46009</v>
      </c>
      <c r="H31" s="1" t="str">
        <f>IF(Back_End_Data!G31="Completed","Yes","No")</f>
        <v>Yes</v>
      </c>
      <c r="I31" s="1" t="str">
        <f>IF(Back_End_Data!I31="Completed","Yes","No")</f>
        <v>Yes</v>
      </c>
      <c r="J31" s="1" t="str">
        <f>IF(Back_End_Data!J31="Completed","Yes","No")</f>
        <v>No</v>
      </c>
      <c r="K31" s="1" t="str">
        <f>IF(Back_End_Data!K31="Completed","Yes","No")</f>
        <v>Yes</v>
      </c>
      <c r="L31" s="1" t="str">
        <f>IF(Back_End_Data!L31="", "No", Back_End_Data!L31)</f>
        <v>NA</v>
      </c>
      <c r="M31" s="1" t="str">
        <f>IF(Back_End_Data!N31="", "No", Back_End_Data!N31)</f>
        <v>NA</v>
      </c>
      <c r="N31" s="1" t="str">
        <f>IF(Back_End_Data!M31="", "No", Back_End_Data!M31)</f>
        <v>NA</v>
      </c>
      <c r="O31" s="1" t="str">
        <f>IF(Back_End_Data!O31="Completed","Yes","No")</f>
        <v>No</v>
      </c>
      <c r="P31" s="1" t="str">
        <f>IF(Back_End_Data!H31="Completed","Yes","No")</f>
        <v>No</v>
      </c>
      <c r="Q31" s="1" t="str">
        <f>IF(Back_End_Data!P31="Completed","Yes","No")</f>
        <v>Yes</v>
      </c>
      <c r="R31" s="1" t="s">
        <v>2369</v>
      </c>
      <c r="S31" s="1" t="str">
        <f>IF(Back_End_Data!R31="Completed","Yes","No")</f>
        <v>No</v>
      </c>
      <c r="T31" s="1" t="str">
        <f>IF(Back_End_Data!S31="Yes","Yes","No")</f>
        <v>No</v>
      </c>
      <c r="U31" s="1" t="str">
        <f>IF(Back_End_Data!Q30="Completed","Yes","No")</f>
        <v>No</v>
      </c>
      <c r="V31" s="1" t="str">
        <f ca="1">IF(INDEX(MIS_Backend_Data!L:L, MATCH(D31, MIS_Backend_Data!B:B, 1)) = "WT", "Yes", "No")</f>
        <v>No</v>
      </c>
      <c r="W31" s="2" t="str">
        <f t="shared" ca="1" si="2"/>
        <v>Reject</v>
      </c>
      <c r="Z31" s="1">
        <f ca="1"/>
        <v>0</v>
      </c>
      <c r="AA31" s="1">
        <f t="shared" ca="1" si="0"/>
        <v>4</v>
      </c>
      <c r="AC31" s="1" t="str">
        <f ca="1"/>
        <v>Dispatch</v>
      </c>
      <c r="AG31" s="1" t="str">
        <f t="shared" si="1"/>
        <v/>
      </c>
    </row>
    <row r="32" spans="1:33" ht="20.25" customHeight="1">
      <c r="A32" s="13">
        <v>31</v>
      </c>
      <c r="B32" s="1" t="str">
        <f ca="1"/>
        <v>Indusind General Insurance Co Ltd</v>
      </c>
      <c r="C32" s="13" t="str">
        <f ca="1"/>
        <v>2025211101</v>
      </c>
      <c r="D32" s="13" t="str">
        <f ca="1"/>
        <v>R001-1031-SS-2025</v>
      </c>
      <c r="E32" s="13">
        <f ca="1"/>
        <v>89</v>
      </c>
      <c r="F32" s="14">
        <f ca="1"/>
        <v>45938</v>
      </c>
      <c r="G32" s="14" t="str">
        <f ca="1"/>
        <v>-</v>
      </c>
      <c r="H32" s="1" t="str">
        <f>IF(Back_End_Data!G32="Completed","Yes","No")</f>
        <v>Yes</v>
      </c>
      <c r="I32" s="1" t="str">
        <f>IF(Back_End_Data!I32="Completed","Yes","No")</f>
        <v>Yes</v>
      </c>
      <c r="J32" s="1" t="str">
        <f>IF(Back_End_Data!J32="Completed","Yes","No")</f>
        <v>No</v>
      </c>
      <c r="K32" s="1" t="str">
        <f>IF(Back_End_Data!K32="Completed","Yes","No")</f>
        <v>Yes</v>
      </c>
      <c r="L32" s="1" t="str">
        <f>IF(Back_End_Data!L32="", "No", Back_End_Data!L32)</f>
        <v>NA</v>
      </c>
      <c r="M32" s="1" t="str">
        <f>IF(Back_End_Data!N32="", "No", Back_End_Data!N32)</f>
        <v>NA</v>
      </c>
      <c r="N32" s="1" t="str">
        <f>IF(Back_End_Data!M32="", "No", Back_End_Data!M32)</f>
        <v>NA</v>
      </c>
      <c r="O32" s="1" t="str">
        <f>IF(Back_End_Data!O32="Completed","Yes","No")</f>
        <v>No</v>
      </c>
      <c r="P32" s="1" t="str">
        <f>IF(Back_End_Data!H32="Completed","Yes","No")</f>
        <v>No</v>
      </c>
      <c r="Q32" s="1" t="str">
        <f>IF(Back_End_Data!P32="Completed","Yes","No")</f>
        <v>Yes</v>
      </c>
      <c r="R32" s="1" t="s">
        <v>2369</v>
      </c>
      <c r="S32" s="1" t="str">
        <f>IF(Back_End_Data!R32="Completed","Yes","No")</f>
        <v>No</v>
      </c>
      <c r="T32" s="1" t="str">
        <f>IF(Back_End_Data!S32="Yes","Yes","No")</f>
        <v>No</v>
      </c>
      <c r="U32" s="1" t="str">
        <f>IF(Back_End_Data!Q31="Completed","Yes","No")</f>
        <v>No</v>
      </c>
      <c r="V32" s="1" t="str">
        <f ca="1">IF(INDEX(MIS_Backend_Data!L:L, MATCH(D32, MIS_Backend_Data!B:B, 1)) = "WT", "Yes", "No")</f>
        <v>No</v>
      </c>
      <c r="W32" s="2" t="str">
        <f t="shared" ca="1" si="2"/>
        <v>Reject</v>
      </c>
      <c r="Z32" s="1">
        <f ca="1"/>
        <v>0</v>
      </c>
      <c r="AA32" s="1">
        <f t="shared" ca="1" si="0"/>
        <v>4</v>
      </c>
      <c r="AC32" s="1" t="str">
        <f ca="1"/>
        <v>Open</v>
      </c>
      <c r="AG32" s="1" t="str">
        <f t="shared" si="1"/>
        <v/>
      </c>
    </row>
    <row r="33" spans="1:33" ht="20.25" customHeight="1">
      <c r="A33" s="13">
        <v>32</v>
      </c>
      <c r="B33" s="1" t="str">
        <f ca="1"/>
        <v>Generali Central Insurance Company Limited</v>
      </c>
      <c r="C33" s="13" t="str">
        <f ca="1"/>
        <v>CN069407</v>
      </c>
      <c r="D33" s="13" t="str">
        <f ca="1"/>
        <v>F001-1032-SS-2025</v>
      </c>
      <c r="E33" s="13">
        <f ca="1"/>
        <v>48</v>
      </c>
      <c r="F33" s="14">
        <f ca="1"/>
        <v>45938</v>
      </c>
      <c r="G33" s="14">
        <f ca="1"/>
        <v>45986</v>
      </c>
      <c r="H33" s="1" t="str">
        <f>IF(Back_End_Data!G33="Completed","Yes","No")</f>
        <v>Yes</v>
      </c>
      <c r="I33" s="1" t="str">
        <f>IF(Back_End_Data!I33="Completed","Yes","No")</f>
        <v>Yes</v>
      </c>
      <c r="J33" s="1" t="str">
        <f>IF(Back_End_Data!J33="Completed","Yes","No")</f>
        <v>No</v>
      </c>
      <c r="K33" s="1" t="str">
        <f>IF(Back_End_Data!K33="Completed","Yes","No")</f>
        <v>Yes</v>
      </c>
      <c r="L33" s="1" t="str">
        <f>IF(Back_End_Data!L33="", "No", Back_End_Data!L33)</f>
        <v>NA</v>
      </c>
      <c r="M33" s="1" t="str">
        <f>IF(Back_End_Data!N33="", "No", Back_End_Data!N33)</f>
        <v>NA</v>
      </c>
      <c r="N33" s="1" t="str">
        <f>IF(Back_End_Data!M33="", "No", Back_End_Data!M33)</f>
        <v>NA</v>
      </c>
      <c r="O33" s="1" t="str">
        <f>IF(Back_End_Data!O33="Completed","Yes","No")</f>
        <v>No</v>
      </c>
      <c r="P33" s="1" t="str">
        <f>IF(Back_End_Data!H33="Completed","Yes","No")</f>
        <v>No</v>
      </c>
      <c r="Q33" s="1" t="str">
        <f>IF(Back_End_Data!P33="Completed","Yes","No")</f>
        <v>Yes</v>
      </c>
      <c r="R33" s="1" t="s">
        <v>2369</v>
      </c>
      <c r="S33" s="1" t="str">
        <f>IF(Back_End_Data!R33="Completed","Yes","No")</f>
        <v>No</v>
      </c>
      <c r="T33" s="1" t="str">
        <f>IF(Back_End_Data!S33="Yes","Yes","No")</f>
        <v>No</v>
      </c>
      <c r="U33" s="1" t="str">
        <f>IF(Back_End_Data!Q32="Completed","Yes","No")</f>
        <v>Yes</v>
      </c>
      <c r="V33" s="1" t="str">
        <f ca="1">IF(INDEX(MIS_Backend_Data!L:L, MATCH(D33, MIS_Backend_Data!B:B, 1)) = "WT", "Yes", "No")</f>
        <v>No</v>
      </c>
      <c r="W33" s="2" t="str">
        <f t="shared" ca="1" si="2"/>
        <v>Reject</v>
      </c>
      <c r="Z33" s="1">
        <f ca="1"/>
        <v>0</v>
      </c>
      <c r="AA33" s="1">
        <f t="shared" ca="1" si="0"/>
        <v>5</v>
      </c>
      <c r="AC33" s="1" t="str">
        <f ca="1"/>
        <v>Dispatch</v>
      </c>
      <c r="AG33" s="1" t="str">
        <f t="shared" si="1"/>
        <v/>
      </c>
    </row>
    <row r="34" spans="1:33" ht="20.25" customHeight="1">
      <c r="A34" s="13">
        <v>33</v>
      </c>
      <c r="B34" s="1" t="str">
        <f ca="1"/>
        <v>Indusind General Insurance Co Ltd</v>
      </c>
      <c r="C34" s="13" t="str">
        <f ca="1"/>
        <v>2025211134</v>
      </c>
      <c r="D34" s="13" t="str">
        <f ca="1"/>
        <v>R001-1033-SS-2025</v>
      </c>
      <c r="E34" s="13">
        <f ca="1"/>
        <v>87</v>
      </c>
      <c r="F34" s="14">
        <f ca="1"/>
        <v>45940</v>
      </c>
      <c r="G34" s="14" t="str">
        <f ca="1"/>
        <v>-</v>
      </c>
      <c r="H34" s="1" t="str">
        <f>IF(Back_End_Data!G34="Completed","Yes","No")</f>
        <v>Yes</v>
      </c>
      <c r="I34" s="1" t="str">
        <f>IF(Back_End_Data!I34="Completed","Yes","No")</f>
        <v>Yes</v>
      </c>
      <c r="J34" s="1" t="str">
        <f>IF(Back_End_Data!J34="Completed","Yes","No")</f>
        <v>No</v>
      </c>
      <c r="K34" s="1" t="str">
        <f>IF(Back_End_Data!K34="Completed","Yes","No")</f>
        <v>Yes</v>
      </c>
      <c r="L34" s="1" t="str">
        <f>IF(Back_End_Data!L34="", "No", Back_End_Data!L34)</f>
        <v>Completed</v>
      </c>
      <c r="M34" s="1" t="str">
        <f>IF(Back_End_Data!N34="", "No", Back_End_Data!N34)</f>
        <v>NA</v>
      </c>
      <c r="N34" s="1" t="str">
        <f>IF(Back_End_Data!M34="", "No", Back_End_Data!M34)</f>
        <v>Completed</v>
      </c>
      <c r="O34" s="1" t="str">
        <f>IF(Back_End_Data!O34="Completed","Yes","No")</f>
        <v>No</v>
      </c>
      <c r="P34" s="1" t="str">
        <f>IF(Back_End_Data!H34="Completed","Yes","No")</f>
        <v>No</v>
      </c>
      <c r="Q34" s="1" t="str">
        <f>IF(Back_End_Data!P34="Completed","Yes","No")</f>
        <v>Yes</v>
      </c>
      <c r="R34" s="1" t="s">
        <v>2369</v>
      </c>
      <c r="S34" s="1" t="str">
        <f>IF(Back_End_Data!R34="Completed","Yes","No")</f>
        <v>Yes</v>
      </c>
      <c r="T34" s="1" t="str">
        <f>IF(Back_End_Data!S34="Yes","Yes","No")</f>
        <v>No</v>
      </c>
      <c r="U34" s="1" t="str">
        <f>IF(Back_End_Data!Q33="Completed","Yes","No")</f>
        <v>No</v>
      </c>
      <c r="V34" s="1" t="str">
        <f ca="1">IF(INDEX(MIS_Backend_Data!L:L, MATCH(D34, MIS_Backend_Data!B:B, 1)) = "WT", "Yes", "No")</f>
        <v>No</v>
      </c>
      <c r="W34" s="2" t="str">
        <f t="shared" ca="1" si="2"/>
        <v>Reject</v>
      </c>
      <c r="Z34" s="1">
        <f ca="1"/>
        <v>0</v>
      </c>
      <c r="AA34" s="1">
        <f t="shared" ca="1" si="0"/>
        <v>5</v>
      </c>
      <c r="AC34" s="1" t="str">
        <f ca="1"/>
        <v>Open</v>
      </c>
      <c r="AG34" s="1" t="str">
        <f t="shared" si="1"/>
        <v/>
      </c>
    </row>
    <row r="35" spans="1:33" ht="20.25" customHeight="1">
      <c r="A35" s="13">
        <v>34</v>
      </c>
      <c r="B35" s="1" t="str">
        <f ca="1"/>
        <v>Indusind General Insurance Co Ltd</v>
      </c>
      <c r="C35" s="13" t="str">
        <f ca="1"/>
        <v>2025207292</v>
      </c>
      <c r="D35" s="13" t="str">
        <f ca="1"/>
        <v>R001-1034-SS-2025</v>
      </c>
      <c r="E35" s="13">
        <f ca="1"/>
        <v>87</v>
      </c>
      <c r="F35" s="14">
        <f ca="1"/>
        <v>45940</v>
      </c>
      <c r="G35" s="14" t="str">
        <f ca="1"/>
        <v>-</v>
      </c>
      <c r="H35" s="1" t="str">
        <f>IF(Back_End_Data!G35="Completed","Yes","No")</f>
        <v>Yes</v>
      </c>
      <c r="I35" s="1" t="str">
        <f>IF(Back_End_Data!I35="Completed","Yes","No")</f>
        <v>Yes</v>
      </c>
      <c r="J35" s="1" t="str">
        <f>IF(Back_End_Data!J35="Completed","Yes","No")</f>
        <v>No</v>
      </c>
      <c r="K35" s="1" t="str">
        <f>IF(Back_End_Data!K35="Completed","Yes","No")</f>
        <v>No</v>
      </c>
      <c r="L35" s="1" t="str">
        <f>IF(Back_End_Data!L35="", "No", Back_End_Data!L35)</f>
        <v>NA</v>
      </c>
      <c r="M35" s="1" t="str">
        <f>IF(Back_End_Data!N35="", "No", Back_End_Data!N35)</f>
        <v>NA</v>
      </c>
      <c r="N35" s="1" t="str">
        <f>IF(Back_End_Data!M35="", "No", Back_End_Data!M35)</f>
        <v>NA</v>
      </c>
      <c r="O35" s="1" t="str">
        <f>IF(Back_End_Data!O35="Completed","Yes","No")</f>
        <v>No</v>
      </c>
      <c r="P35" s="1" t="str">
        <f>IF(Back_End_Data!H35="Completed","Yes","No")</f>
        <v>No</v>
      </c>
      <c r="Q35" s="1" t="str">
        <f>IF(Back_End_Data!P35="Completed","Yes","No")</f>
        <v>Yes</v>
      </c>
      <c r="R35" s="1" t="s">
        <v>2369</v>
      </c>
      <c r="S35" s="1" t="str">
        <f>IF(Back_End_Data!R35="Completed","Yes","No")</f>
        <v>No</v>
      </c>
      <c r="T35" s="1" t="str">
        <f>IF(Back_End_Data!S35="Yes","Yes","No")</f>
        <v>No</v>
      </c>
      <c r="U35" s="1" t="str">
        <f>IF(Back_End_Data!Q34="Completed","Yes","No")</f>
        <v>Yes</v>
      </c>
      <c r="V35" s="1" t="str">
        <f ca="1">IF(INDEX(MIS_Backend_Data!L:L, MATCH(D35, MIS_Backend_Data!B:B, 1)) = "WT", "Yes", "No")</f>
        <v>No</v>
      </c>
      <c r="W35" s="2" t="str">
        <f t="shared" ca="1" si="2"/>
        <v>Reject</v>
      </c>
      <c r="Z35" s="1">
        <f ca="1"/>
        <v>0</v>
      </c>
      <c r="AA35" s="1">
        <f t="shared" ca="1" si="0"/>
        <v>4</v>
      </c>
      <c r="AC35" s="1" t="str">
        <f ca="1"/>
        <v>Open</v>
      </c>
      <c r="AG35" s="1" t="str">
        <f t="shared" si="1"/>
        <v/>
      </c>
    </row>
    <row r="36" spans="1:33" ht="20.25" customHeight="1">
      <c r="A36" s="13">
        <v>35</v>
      </c>
      <c r="B36" s="1" t="str">
        <f ca="1"/>
        <v>Indusind General Insurance Co Ltd</v>
      </c>
      <c r="C36" s="13" t="str">
        <f ca="1"/>
        <v>2025211462</v>
      </c>
      <c r="D36" s="13" t="str">
        <f ca="1"/>
        <v>R001-1035-SS-2025</v>
      </c>
      <c r="E36" s="13">
        <f ca="1"/>
        <v>83</v>
      </c>
      <c r="F36" s="14">
        <f ca="1"/>
        <v>45944</v>
      </c>
      <c r="G36" s="14" t="str">
        <f ca="1"/>
        <v>-</v>
      </c>
      <c r="H36" s="1" t="str">
        <f>IF(Back_End_Data!G36="Completed","Yes","No")</f>
        <v>No</v>
      </c>
      <c r="I36" s="1" t="str">
        <f>IF(Back_End_Data!I36="Completed","Yes","No")</f>
        <v>No</v>
      </c>
      <c r="J36" s="1" t="str">
        <f>IF(Back_End_Data!J36="Completed","Yes","No")</f>
        <v>No</v>
      </c>
      <c r="K36" s="1" t="str">
        <f>IF(Back_End_Data!K36="Completed","Yes","No")</f>
        <v>No</v>
      </c>
      <c r="L36" s="1" t="str">
        <f>IF(Back_End_Data!L36="", "No", Back_End_Data!L36)</f>
        <v>NA</v>
      </c>
      <c r="M36" s="1" t="str">
        <f>IF(Back_End_Data!N36="", "No", Back_End_Data!N36)</f>
        <v>NA</v>
      </c>
      <c r="N36" s="1" t="str">
        <f>IF(Back_End_Data!M36="", "No", Back_End_Data!M36)</f>
        <v>NA</v>
      </c>
      <c r="O36" s="1" t="str">
        <f>IF(Back_End_Data!O36="Completed","Yes","No")</f>
        <v>No</v>
      </c>
      <c r="P36" s="1" t="str">
        <f>IF(Back_End_Data!H36="Completed","Yes","No")</f>
        <v>No</v>
      </c>
      <c r="Q36" s="1" t="str">
        <f>IF(Back_End_Data!P36="Completed","Yes","No")</f>
        <v>No</v>
      </c>
      <c r="R36" s="1" t="s">
        <v>2369</v>
      </c>
      <c r="S36" s="1" t="str">
        <f>IF(Back_End_Data!R36="Completed","Yes","No")</f>
        <v>No</v>
      </c>
      <c r="T36" s="1" t="str">
        <f>IF(Back_End_Data!S36="Yes","Yes","No")</f>
        <v>No</v>
      </c>
      <c r="U36" s="1" t="str">
        <f>IF(Back_End_Data!Q35="Completed","Yes","No")</f>
        <v>Yes</v>
      </c>
      <c r="V36" s="1" t="str">
        <f ca="1">IF(INDEX(MIS_Backend_Data!L:L, MATCH(D36, MIS_Backend_Data!B:B, 1)) = "WT", "Yes", "No")</f>
        <v>No</v>
      </c>
      <c r="W36" s="2" t="str">
        <f t="shared" ca="1" si="2"/>
        <v>Reject</v>
      </c>
      <c r="Z36" s="1">
        <f ca="1"/>
        <v>0</v>
      </c>
      <c r="AA36" s="1">
        <f t="shared" ca="1" si="0"/>
        <v>1</v>
      </c>
      <c r="AC36" s="1" t="str">
        <f ca="1"/>
        <v>QC</v>
      </c>
      <c r="AG36" s="1" t="str">
        <f t="shared" si="1"/>
        <v/>
      </c>
    </row>
    <row r="37" spans="1:33" ht="20.25" customHeight="1">
      <c r="A37" s="13">
        <v>36</v>
      </c>
      <c r="B37" s="1" t="str">
        <f ca="1"/>
        <v>Indusind General Insurance Co Ltd</v>
      </c>
      <c r="C37" s="13" t="str">
        <f ca="1"/>
        <v>2025211458</v>
      </c>
      <c r="D37" s="13" t="str">
        <f ca="1"/>
        <v>R001-1036-SS-2025</v>
      </c>
      <c r="E37" s="13">
        <f ca="1"/>
        <v>83</v>
      </c>
      <c r="F37" s="14">
        <f ca="1"/>
        <v>45944</v>
      </c>
      <c r="G37" s="14" t="str">
        <f ca="1"/>
        <v>-</v>
      </c>
      <c r="H37" s="1" t="str">
        <f>IF(Back_End_Data!G37="Completed","Yes","No")</f>
        <v>Yes</v>
      </c>
      <c r="I37" s="1" t="str">
        <f>IF(Back_End_Data!I37="Completed","Yes","No")</f>
        <v>Yes</v>
      </c>
      <c r="J37" s="1" t="str">
        <f>IF(Back_End_Data!J37="Completed","Yes","No")</f>
        <v>No</v>
      </c>
      <c r="K37" s="1" t="str">
        <f>IF(Back_End_Data!K37="Completed","Yes","No")</f>
        <v>No</v>
      </c>
      <c r="L37" s="1" t="str">
        <f>IF(Back_End_Data!L37="", "No", Back_End_Data!L37)</f>
        <v>NA</v>
      </c>
      <c r="M37" s="1" t="str">
        <f>IF(Back_End_Data!N37="", "No", Back_End_Data!N37)</f>
        <v>NA</v>
      </c>
      <c r="N37" s="1" t="str">
        <f>IF(Back_End_Data!M37="", "No", Back_End_Data!M37)</f>
        <v>NA</v>
      </c>
      <c r="O37" s="1" t="str">
        <f>IF(Back_End_Data!O37="Completed","Yes","No")</f>
        <v>No</v>
      </c>
      <c r="P37" s="1" t="str">
        <f>IF(Back_End_Data!H37="Completed","Yes","No")</f>
        <v>No</v>
      </c>
      <c r="Q37" s="1" t="str">
        <f>IF(Back_End_Data!P37="Completed","Yes","No")</f>
        <v>Yes</v>
      </c>
      <c r="R37" s="1" t="s">
        <v>2369</v>
      </c>
      <c r="S37" s="1" t="str">
        <f>IF(Back_End_Data!R37="Completed","Yes","No")</f>
        <v>No</v>
      </c>
      <c r="T37" s="1" t="str">
        <f>IF(Back_End_Data!S37="Yes","Yes","No")</f>
        <v>No</v>
      </c>
      <c r="U37" s="1" t="str">
        <f>IF(Back_End_Data!Q36="Completed","Yes","No")</f>
        <v>No</v>
      </c>
      <c r="V37" s="1" t="str">
        <f ca="1">IF(INDEX(MIS_Backend_Data!L:L, MATCH(D37, MIS_Backend_Data!B:B, 1)) = "WT", "Yes", "No")</f>
        <v>No</v>
      </c>
      <c r="W37" s="2" t="str">
        <f t="shared" ca="1" si="2"/>
        <v>Reject</v>
      </c>
      <c r="Z37" s="1">
        <f ca="1"/>
        <v>0</v>
      </c>
      <c r="AA37" s="1">
        <f t="shared" ca="1" si="0"/>
        <v>3</v>
      </c>
      <c r="AC37" s="1" t="str">
        <f ca="1"/>
        <v>Open</v>
      </c>
      <c r="AG37" s="1" t="str">
        <f t="shared" si="1"/>
        <v/>
      </c>
    </row>
    <row r="38" spans="1:33" ht="20.25" customHeight="1">
      <c r="A38" s="13">
        <v>37</v>
      </c>
      <c r="B38" s="1" t="str">
        <f ca="1"/>
        <v>Indusind General Insurance Co Ltd</v>
      </c>
      <c r="C38" s="13" t="str">
        <f ca="1"/>
        <v>2025211454</v>
      </c>
      <c r="D38" s="13" t="str">
        <f ca="1"/>
        <v>R001-1037-SS-2025</v>
      </c>
      <c r="E38" s="13">
        <f ca="1"/>
        <v>83</v>
      </c>
      <c r="F38" s="14">
        <f ca="1"/>
        <v>45944</v>
      </c>
      <c r="G38" s="14" t="str">
        <f ca="1"/>
        <v>-</v>
      </c>
      <c r="H38" s="1" t="str">
        <f>IF(Back_End_Data!G38="Completed","Yes","No")</f>
        <v>Yes</v>
      </c>
      <c r="I38" s="1" t="str">
        <f>IF(Back_End_Data!I38="Completed","Yes","No")</f>
        <v>Yes</v>
      </c>
      <c r="J38" s="1" t="str">
        <f>IF(Back_End_Data!J38="Completed","Yes","No")</f>
        <v>No</v>
      </c>
      <c r="K38" s="1" t="str">
        <f>IF(Back_End_Data!K38="Completed","Yes","No")</f>
        <v>Yes</v>
      </c>
      <c r="L38" s="1" t="str">
        <f>IF(Back_End_Data!L38="", "No", Back_End_Data!L38)</f>
        <v>NA</v>
      </c>
      <c r="M38" s="1" t="str">
        <f>IF(Back_End_Data!N38="", "No", Back_End_Data!N38)</f>
        <v>NA</v>
      </c>
      <c r="N38" s="1" t="str">
        <f>IF(Back_End_Data!M38="", "No", Back_End_Data!M38)</f>
        <v>NA</v>
      </c>
      <c r="O38" s="1" t="str">
        <f>IF(Back_End_Data!O38="Completed","Yes","No")</f>
        <v>No</v>
      </c>
      <c r="P38" s="1" t="str">
        <f>IF(Back_End_Data!H38="Completed","Yes","No")</f>
        <v>No</v>
      </c>
      <c r="Q38" s="1" t="str">
        <f>IF(Back_End_Data!P38="Completed","Yes","No")</f>
        <v>Yes</v>
      </c>
      <c r="R38" s="1" t="s">
        <v>2369</v>
      </c>
      <c r="S38" s="1" t="str">
        <f>IF(Back_End_Data!R38="Completed","Yes","No")</f>
        <v>No</v>
      </c>
      <c r="T38" s="1" t="str">
        <f>IF(Back_End_Data!S38="Yes","Yes","No")</f>
        <v>No</v>
      </c>
      <c r="U38" s="1" t="str">
        <f>IF(Back_End_Data!Q37="Completed","Yes","No")</f>
        <v>No</v>
      </c>
      <c r="V38" s="1" t="str">
        <f ca="1">IF(INDEX(MIS_Backend_Data!L:L, MATCH(D38, MIS_Backend_Data!B:B, 1)) = "WT", "Yes", "No")</f>
        <v>No</v>
      </c>
      <c r="W38" s="2" t="str">
        <f t="shared" ca="1" si="2"/>
        <v>Reject</v>
      </c>
      <c r="Z38" s="1">
        <f ca="1"/>
        <v>0</v>
      </c>
      <c r="AA38" s="1">
        <f t="shared" ca="1" si="0"/>
        <v>4</v>
      </c>
      <c r="AC38" s="1" t="str">
        <f ca="1"/>
        <v>Open</v>
      </c>
      <c r="AG38" s="1" t="str">
        <f t="shared" si="1"/>
        <v/>
      </c>
    </row>
    <row r="39" spans="1:33" ht="20.25" customHeight="1">
      <c r="A39" s="13">
        <v>38</v>
      </c>
      <c r="B39" s="1" t="str">
        <f ca="1"/>
        <v>Indusind General Insurance Co Ltd</v>
      </c>
      <c r="C39" s="13" t="str">
        <f ca="1"/>
        <v>2025211475</v>
      </c>
      <c r="D39" s="13" t="str">
        <f ca="1"/>
        <v>R001-1038-SS-2025</v>
      </c>
      <c r="E39" s="13">
        <f ca="1"/>
        <v>81</v>
      </c>
      <c r="F39" s="14">
        <f ca="1"/>
        <v>45946</v>
      </c>
      <c r="G39" s="14" t="str">
        <f ca="1"/>
        <v>-</v>
      </c>
      <c r="H39" s="1" t="str">
        <f>IF(Back_End_Data!G39="Completed","Yes","No")</f>
        <v>Yes</v>
      </c>
      <c r="I39" s="1" t="str">
        <f>IF(Back_End_Data!I39="Completed","Yes","No")</f>
        <v>Yes</v>
      </c>
      <c r="J39" s="1" t="str">
        <f>IF(Back_End_Data!J39="Completed","Yes","No")</f>
        <v>No</v>
      </c>
      <c r="K39" s="1" t="str">
        <f>IF(Back_End_Data!K39="Completed","Yes","No")</f>
        <v>No</v>
      </c>
      <c r="L39" s="1" t="str">
        <f>IF(Back_End_Data!L39="", "No", Back_End_Data!L39)</f>
        <v>NA</v>
      </c>
      <c r="M39" s="1" t="str">
        <f>IF(Back_End_Data!N39="", "No", Back_End_Data!N39)</f>
        <v>NA</v>
      </c>
      <c r="N39" s="1" t="str">
        <f>IF(Back_End_Data!M39="", "No", Back_End_Data!M39)</f>
        <v>NA</v>
      </c>
      <c r="O39" s="1" t="str">
        <f>IF(Back_End_Data!O39="Completed","Yes","No")</f>
        <v>No</v>
      </c>
      <c r="P39" s="1" t="str">
        <f>IF(Back_End_Data!H39="Completed","Yes","No")</f>
        <v>No</v>
      </c>
      <c r="Q39" s="1" t="str">
        <f>IF(Back_End_Data!P39="Completed","Yes","No")</f>
        <v>Yes</v>
      </c>
      <c r="R39" s="1" t="s">
        <v>2369</v>
      </c>
      <c r="S39" s="1" t="str">
        <f>IF(Back_End_Data!R39="Completed","Yes","No")</f>
        <v>No</v>
      </c>
      <c r="T39" s="1" t="str">
        <f>IF(Back_End_Data!S39="Yes","Yes","No")</f>
        <v>No</v>
      </c>
      <c r="U39" s="1" t="str">
        <f>IF(Back_End_Data!Q38="Completed","Yes","No")</f>
        <v>No</v>
      </c>
      <c r="V39" s="1" t="str">
        <f ca="1">IF(INDEX(MIS_Backend_Data!L:L, MATCH(D39, MIS_Backend_Data!B:B, 1)) = "WT", "Yes", "No")</f>
        <v>No</v>
      </c>
      <c r="W39" s="2" t="str">
        <f t="shared" ca="1" si="2"/>
        <v>Reject</v>
      </c>
      <c r="Z39" s="1">
        <f ca="1"/>
        <v>0</v>
      </c>
      <c r="AA39" s="1">
        <f t="shared" ca="1" si="0"/>
        <v>3</v>
      </c>
      <c r="AC39" s="1" t="str">
        <f ca="1"/>
        <v>Open</v>
      </c>
      <c r="AG39" s="1" t="str">
        <f t="shared" si="1"/>
        <v/>
      </c>
    </row>
    <row r="40" spans="1:33" ht="20.25" customHeight="1">
      <c r="A40" s="13">
        <v>39</v>
      </c>
      <c r="B40" s="1" t="str">
        <f ca="1"/>
        <v>Indusind General Insurance Co Ltd</v>
      </c>
      <c r="C40" s="13" t="str">
        <f ca="1"/>
        <v>2025211478</v>
      </c>
      <c r="D40" s="13" t="str">
        <f ca="1"/>
        <v>R001-1039-SS-2025</v>
      </c>
      <c r="E40" s="13">
        <f ca="1"/>
        <v>81</v>
      </c>
      <c r="F40" s="14">
        <f ca="1"/>
        <v>45946</v>
      </c>
      <c r="G40" s="14" t="str">
        <f ca="1"/>
        <v>-</v>
      </c>
      <c r="H40" s="1" t="str">
        <f>IF(Back_End_Data!G40="Completed","Yes","No")</f>
        <v>Yes</v>
      </c>
      <c r="I40" s="1" t="str">
        <f>IF(Back_End_Data!I40="Completed","Yes","No")</f>
        <v>Yes</v>
      </c>
      <c r="J40" s="1" t="str">
        <f>IF(Back_End_Data!J40="Completed","Yes","No")</f>
        <v>No</v>
      </c>
      <c r="K40" s="1" t="str">
        <f>IF(Back_End_Data!K40="Completed","Yes","No")</f>
        <v>No</v>
      </c>
      <c r="L40" s="1" t="str">
        <f>IF(Back_End_Data!L40="", "No", Back_End_Data!L40)</f>
        <v>NA</v>
      </c>
      <c r="M40" s="1" t="str">
        <f>IF(Back_End_Data!N40="", "No", Back_End_Data!N40)</f>
        <v>NA</v>
      </c>
      <c r="N40" s="1" t="str">
        <f>IF(Back_End_Data!M40="", "No", Back_End_Data!M40)</f>
        <v>NA</v>
      </c>
      <c r="O40" s="1" t="str">
        <f>IF(Back_End_Data!O40="Completed","Yes","No")</f>
        <v>No</v>
      </c>
      <c r="P40" s="1" t="str">
        <f>IF(Back_End_Data!H40="Completed","Yes","No")</f>
        <v>No</v>
      </c>
      <c r="Q40" s="1" t="str">
        <f>IF(Back_End_Data!P40="Completed","Yes","No")</f>
        <v>No</v>
      </c>
      <c r="R40" s="1" t="s">
        <v>2369</v>
      </c>
      <c r="S40" s="1" t="str">
        <f>IF(Back_End_Data!R40="Completed","Yes","No")</f>
        <v>No</v>
      </c>
      <c r="T40" s="1" t="str">
        <f>IF(Back_End_Data!S40="Yes","Yes","No")</f>
        <v>No</v>
      </c>
      <c r="U40" s="1" t="str">
        <f>IF(Back_End_Data!Q39="Completed","Yes","No")</f>
        <v>No</v>
      </c>
      <c r="V40" s="1" t="str">
        <f ca="1">IF(INDEX(MIS_Backend_Data!L:L, MATCH(D40, MIS_Backend_Data!B:B, 1)) = "WT", "Yes", "No")</f>
        <v>No</v>
      </c>
      <c r="W40" s="2" t="str">
        <f t="shared" ca="1" si="2"/>
        <v>Reject</v>
      </c>
      <c r="Z40" s="1">
        <f ca="1"/>
        <v>0</v>
      </c>
      <c r="AA40" s="1">
        <f t="shared" ca="1" si="0"/>
        <v>2</v>
      </c>
      <c r="AC40" s="1">
        <f ca="1"/>
        <v>0</v>
      </c>
      <c r="AG40" s="1" t="str">
        <f t="shared" si="1"/>
        <v/>
      </c>
    </row>
    <row r="41" spans="1:33" ht="20.25" customHeight="1">
      <c r="A41" s="13">
        <v>40</v>
      </c>
      <c r="B41" s="1" t="str">
        <f ca="1"/>
        <v>Indusind General Insurance Co Ltd</v>
      </c>
      <c r="C41" s="13" t="str">
        <f ca="1"/>
        <v>2025210709</v>
      </c>
      <c r="D41" s="13" t="str">
        <f ca="1"/>
        <v>R001-1040-SS-2025</v>
      </c>
      <c r="E41" s="13">
        <f ca="1"/>
        <v>65</v>
      </c>
      <c r="F41" s="14">
        <f ca="1"/>
        <v>45946</v>
      </c>
      <c r="G41" s="14">
        <f ca="1"/>
        <v>46011</v>
      </c>
      <c r="H41" s="1" t="str">
        <f>IF(Back_End_Data!G41="Completed","Yes","No")</f>
        <v>Yes</v>
      </c>
      <c r="I41" s="1" t="str">
        <f>IF(Back_End_Data!I41="Completed","Yes","No")</f>
        <v>Yes</v>
      </c>
      <c r="J41" s="1" t="str">
        <f>IF(Back_End_Data!J41="Completed","Yes","No")</f>
        <v>No</v>
      </c>
      <c r="K41" s="1" t="str">
        <f>IF(Back_End_Data!K41="Completed","Yes","No")</f>
        <v>Yes</v>
      </c>
      <c r="L41" s="1" t="str">
        <f>IF(Back_End_Data!L41="", "No", Back_End_Data!L41)</f>
        <v>NA</v>
      </c>
      <c r="M41" s="1" t="str">
        <f>IF(Back_End_Data!N41="", "No", Back_End_Data!N41)</f>
        <v>NA</v>
      </c>
      <c r="N41" s="1" t="str">
        <f>IF(Back_End_Data!M41="", "No", Back_End_Data!M41)</f>
        <v>NA</v>
      </c>
      <c r="O41" s="1" t="str">
        <f>IF(Back_End_Data!O41="Completed","Yes","No")</f>
        <v>No</v>
      </c>
      <c r="P41" s="1" t="str">
        <f>IF(Back_End_Data!H41="Completed","Yes","No")</f>
        <v>No</v>
      </c>
      <c r="Q41" s="1" t="str">
        <f>IF(Back_End_Data!P41="Completed","Yes","No")</f>
        <v>Yes</v>
      </c>
      <c r="R41" s="1" t="s">
        <v>2369</v>
      </c>
      <c r="S41" s="1" t="str">
        <f>IF(Back_End_Data!R41="Completed","Yes","No")</f>
        <v>No</v>
      </c>
      <c r="T41" s="1" t="str">
        <f>IF(Back_End_Data!S41="Yes","Yes","No")</f>
        <v>No</v>
      </c>
      <c r="U41" s="1" t="str">
        <f>IF(Back_End_Data!Q40="Completed","Yes","No")</f>
        <v>No</v>
      </c>
      <c r="V41" s="1" t="str">
        <f ca="1">IF(INDEX(MIS_Backend_Data!L:L, MATCH(D41, MIS_Backend_Data!B:B, 1)) = "WT", "Yes", "No")</f>
        <v>No</v>
      </c>
      <c r="W41" s="2" t="str">
        <f t="shared" ca="1" si="2"/>
        <v>Reject</v>
      </c>
      <c r="Z41" s="1">
        <f ca="1"/>
        <v>0</v>
      </c>
      <c r="AA41" s="1">
        <f t="shared" ca="1" si="0"/>
        <v>4</v>
      </c>
      <c r="AC41" s="1" t="str">
        <f ca="1"/>
        <v>Dispatch</v>
      </c>
      <c r="AG41" s="1" t="str">
        <f t="shared" si="1"/>
        <v/>
      </c>
    </row>
    <row r="42" spans="1:33" ht="20.25" customHeight="1">
      <c r="A42" s="13">
        <v>41</v>
      </c>
      <c r="B42" s="1" t="str">
        <f ca="1"/>
        <v>Generali Central Insurance Company Limited</v>
      </c>
      <c r="C42" s="13" t="str">
        <f ca="1"/>
        <v>CN066141</v>
      </c>
      <c r="D42" s="13" t="str">
        <f ca="1"/>
        <v>F001-1041-SS-2025</v>
      </c>
      <c r="E42" s="13">
        <f ca="1"/>
        <v>50</v>
      </c>
      <c r="F42" s="14">
        <f ca="1"/>
        <v>45957</v>
      </c>
      <c r="G42" s="14">
        <f ca="1"/>
        <v>46007</v>
      </c>
      <c r="H42" s="1" t="str">
        <f>IF(Back_End_Data!G42="Completed","Yes","No")</f>
        <v>Yes</v>
      </c>
      <c r="I42" s="1" t="str">
        <f>IF(Back_End_Data!I42="Completed","Yes","No")</f>
        <v>Yes</v>
      </c>
      <c r="J42" s="1" t="str">
        <f>IF(Back_End_Data!J42="Completed","Yes","No")</f>
        <v>No</v>
      </c>
      <c r="K42" s="1" t="str">
        <f>IF(Back_End_Data!K42="Completed","Yes","No")</f>
        <v>No</v>
      </c>
      <c r="L42" s="1" t="str">
        <f>IF(Back_End_Data!L42="", "No", Back_End_Data!L42)</f>
        <v>NA</v>
      </c>
      <c r="M42" s="1" t="str">
        <f>IF(Back_End_Data!N42="", "No", Back_End_Data!N42)</f>
        <v>NA</v>
      </c>
      <c r="N42" s="1" t="str">
        <f>IF(Back_End_Data!M42="", "No", Back_End_Data!M42)</f>
        <v>NA</v>
      </c>
      <c r="O42" s="1" t="str">
        <f>IF(Back_End_Data!O42="Completed","Yes","No")</f>
        <v>No</v>
      </c>
      <c r="P42" s="1" t="str">
        <f>IF(Back_End_Data!H42="Completed","Yes","No")</f>
        <v>No</v>
      </c>
      <c r="Q42" s="1" t="str">
        <f>IF(Back_End_Data!P42="Completed","Yes","No")</f>
        <v>Yes</v>
      </c>
      <c r="R42" s="1" t="s">
        <v>2369</v>
      </c>
      <c r="S42" s="1" t="str">
        <f>IF(Back_End_Data!R42="Completed","Yes","No")</f>
        <v>No</v>
      </c>
      <c r="T42" s="1" t="str">
        <f>IF(Back_End_Data!S42="Yes","Yes","No")</f>
        <v>No</v>
      </c>
      <c r="U42" s="1" t="str">
        <f>IF(Back_End_Data!Q41="Completed","Yes","No")</f>
        <v>No</v>
      </c>
      <c r="V42" s="1" t="str">
        <f ca="1">IF(INDEX(MIS_Backend_Data!L:L, MATCH(D42, MIS_Backend_Data!B:B, 1)) = "WT", "Yes", "No")</f>
        <v>No</v>
      </c>
      <c r="W42" s="2" t="str">
        <f t="shared" ca="1" si="2"/>
        <v>Reject</v>
      </c>
      <c r="Z42" s="1">
        <f ca="1"/>
        <v>0</v>
      </c>
      <c r="AA42" s="1">
        <f t="shared" ca="1" si="0"/>
        <v>3</v>
      </c>
      <c r="AC42" s="1" t="str">
        <f ca="1"/>
        <v>Dispatch</v>
      </c>
      <c r="AG42" s="1" t="str">
        <f t="shared" si="1"/>
        <v/>
      </c>
    </row>
    <row r="43" spans="1:33" ht="20.25" customHeight="1">
      <c r="A43" s="13">
        <v>42</v>
      </c>
      <c r="B43" s="1" t="str">
        <f ca="1"/>
        <v>Generali Central Insurance Company Limited</v>
      </c>
      <c r="C43" s="13" t="str">
        <f ca="1"/>
        <v>MTP-N-2526-004127</v>
      </c>
      <c r="D43" s="13" t="str">
        <f ca="1"/>
        <v>F001-1042-SS-2025</v>
      </c>
      <c r="E43" s="13">
        <f ca="1"/>
        <v>67</v>
      </c>
      <c r="F43" s="14">
        <f ca="1"/>
        <v>45960</v>
      </c>
      <c r="G43" s="14" t="str">
        <f ca="1"/>
        <v>-</v>
      </c>
      <c r="H43" s="1" t="str">
        <f>IF(Back_End_Data!G43="Completed","Yes","No")</f>
        <v>No</v>
      </c>
      <c r="I43" s="1" t="str">
        <f>IF(Back_End_Data!I43="Completed","Yes","No")</f>
        <v>No</v>
      </c>
      <c r="J43" s="1" t="str">
        <f>IF(Back_End_Data!J43="Completed","Yes","No")</f>
        <v>No</v>
      </c>
      <c r="K43" s="1" t="str">
        <f>IF(Back_End_Data!K43="Completed","Yes","No")</f>
        <v>No</v>
      </c>
      <c r="L43" s="1" t="str">
        <f>IF(Back_End_Data!L43="", "No", Back_End_Data!L43)</f>
        <v>NA</v>
      </c>
      <c r="M43" s="1" t="str">
        <f>IF(Back_End_Data!N43="", "No", Back_End_Data!N43)</f>
        <v xml:space="preserve">NA </v>
      </c>
      <c r="N43" s="1" t="str">
        <f>IF(Back_End_Data!M43="", "No", Back_End_Data!M43)</f>
        <v>NA</v>
      </c>
      <c r="O43" s="1" t="str">
        <f>IF(Back_End_Data!O43="Completed","Yes","No")</f>
        <v>No</v>
      </c>
      <c r="P43" s="1" t="str">
        <f>IF(Back_End_Data!H43="Completed","Yes","No")</f>
        <v>No</v>
      </c>
      <c r="Q43" s="1" t="str">
        <f>IF(Back_End_Data!P43="Completed","Yes","No")</f>
        <v>No</v>
      </c>
      <c r="R43" s="1" t="s">
        <v>2369</v>
      </c>
      <c r="S43" s="1" t="str">
        <f>IF(Back_End_Data!R43="Completed","Yes","No")</f>
        <v>No</v>
      </c>
      <c r="T43" s="1" t="str">
        <f>IF(Back_End_Data!S43="Yes","Yes","No")</f>
        <v>No</v>
      </c>
      <c r="U43" s="1" t="str">
        <f>IF(Back_End_Data!Q42="Completed","Yes","No")</f>
        <v>No</v>
      </c>
      <c r="V43" s="1" t="str">
        <f ca="1">IF(INDEX(MIS_Backend_Data!L:L, MATCH(D43, MIS_Backend_Data!B:B, 1)) = "WT", "Yes", "No")</f>
        <v>No</v>
      </c>
      <c r="W43" s="2" t="str">
        <f t="shared" ca="1" si="2"/>
        <v>Approved</v>
      </c>
      <c r="Z43" s="1">
        <f ca="1"/>
        <v>0</v>
      </c>
      <c r="AA43" s="1">
        <f t="shared" ca="1" si="0"/>
        <v>0</v>
      </c>
      <c r="AC43" s="1" t="str">
        <f ca="1"/>
        <v>Open</v>
      </c>
      <c r="AG43" s="1" t="str">
        <f t="shared" si="1"/>
        <v/>
      </c>
    </row>
    <row r="44" spans="1:33" ht="20.25" customHeight="1">
      <c r="A44" s="13">
        <v>43</v>
      </c>
      <c r="B44" s="1" t="str">
        <f ca="1"/>
        <v>Indusind General Insurance Co Ltd</v>
      </c>
      <c r="C44" s="13" t="str">
        <f ca="1"/>
        <v>2025212071</v>
      </c>
      <c r="D44" s="13" t="str">
        <f ca="1"/>
        <v>R001-1043-SS-2025</v>
      </c>
      <c r="E44" s="13">
        <f ca="1"/>
        <v>56</v>
      </c>
      <c r="F44" s="14">
        <f ca="1"/>
        <v>45961</v>
      </c>
      <c r="G44" s="14">
        <f ca="1"/>
        <v>46017</v>
      </c>
      <c r="H44" s="1" t="str">
        <f>IF(Back_End_Data!G44="Completed","Yes","No")</f>
        <v>Yes</v>
      </c>
      <c r="I44" s="1" t="str">
        <f>IF(Back_End_Data!I44="Completed","Yes","No")</f>
        <v>No</v>
      </c>
      <c r="J44" s="1" t="str">
        <f>IF(Back_End_Data!J44="Completed","Yes","No")</f>
        <v>No</v>
      </c>
      <c r="K44" s="1" t="str">
        <f>IF(Back_End_Data!K44="Completed","Yes","No")</f>
        <v>No</v>
      </c>
      <c r="L44" s="1" t="str">
        <f>IF(Back_End_Data!L44="", "No", Back_End_Data!L44)</f>
        <v>WIP</v>
      </c>
      <c r="M44" s="1" t="str">
        <f>IF(Back_End_Data!N44="", "No", Back_End_Data!N44)</f>
        <v>NA</v>
      </c>
      <c r="N44" s="1" t="str">
        <f>IF(Back_End_Data!M44="", "No", Back_End_Data!M44)</f>
        <v>WIP</v>
      </c>
      <c r="O44" s="1" t="str">
        <f>IF(Back_End_Data!O44="Completed","Yes","No")</f>
        <v>No</v>
      </c>
      <c r="P44" s="1" t="str">
        <f>IF(Back_End_Data!H44="Completed","Yes","No")</f>
        <v>No</v>
      </c>
      <c r="Q44" s="1" t="str">
        <f>IF(Back_End_Data!P44="Completed","Yes","No")</f>
        <v>No</v>
      </c>
      <c r="R44" s="1" t="s">
        <v>2369</v>
      </c>
      <c r="S44" s="1" t="str">
        <f>IF(Back_End_Data!R44="Completed","Yes","No")</f>
        <v>No</v>
      </c>
      <c r="T44" s="1" t="str">
        <f>IF(Back_End_Data!S44="Yes","Yes","No")</f>
        <v>No</v>
      </c>
      <c r="U44" s="1" t="str">
        <f>IF(Back_End_Data!Q43="Completed","Yes","No")</f>
        <v>No</v>
      </c>
      <c r="V44" s="1" t="str">
        <f ca="1">IF(INDEX(MIS_Backend_Data!L:L, MATCH(D44, MIS_Backend_Data!B:B, 1)) = "WT", "Yes", "No")</f>
        <v>No</v>
      </c>
      <c r="W44" s="2" t="str">
        <f t="shared" ca="1" si="2"/>
        <v>Reject</v>
      </c>
      <c r="Z44" s="1">
        <f ca="1"/>
        <v>0</v>
      </c>
      <c r="AA44" s="1">
        <f t="shared" ca="1" si="0"/>
        <v>1</v>
      </c>
      <c r="AC44" s="1" t="str">
        <f ca="1"/>
        <v>Dispatch</v>
      </c>
      <c r="AG44" s="1" t="str">
        <f t="shared" si="1"/>
        <v/>
      </c>
    </row>
    <row r="45" spans="1:33" ht="20.25" customHeight="1">
      <c r="A45" s="13">
        <v>44</v>
      </c>
      <c r="B45" s="1" t="str">
        <f ca="1"/>
        <v>Indusind General Insurance Co Ltd</v>
      </c>
      <c r="C45" s="13" t="str">
        <f ca="1"/>
        <v>2025212068</v>
      </c>
      <c r="D45" s="13" t="str">
        <f ca="1"/>
        <v>R001-1044-SS-2025</v>
      </c>
      <c r="E45" s="13">
        <f ca="1"/>
        <v>48</v>
      </c>
      <c r="F45" s="14">
        <f ca="1"/>
        <v>45961</v>
      </c>
      <c r="G45" s="14">
        <f ca="1"/>
        <v>46009</v>
      </c>
      <c r="H45" s="1" t="str">
        <f>IF(Back_End_Data!G45="Completed","Yes","No")</f>
        <v>Yes</v>
      </c>
      <c r="I45" s="1" t="str">
        <f>IF(Back_End_Data!I45="Completed","Yes","No")</f>
        <v>No</v>
      </c>
      <c r="J45" s="1" t="str">
        <f>IF(Back_End_Data!J45="Completed","Yes","No")</f>
        <v>No</v>
      </c>
      <c r="K45" s="1" t="str">
        <f>IF(Back_End_Data!K45="Completed","Yes","No")</f>
        <v>No</v>
      </c>
      <c r="L45" s="1" t="str">
        <f>IF(Back_End_Data!L45="", "No", Back_End_Data!L45)</f>
        <v>NA</v>
      </c>
      <c r="M45" s="1" t="str">
        <f>IF(Back_End_Data!N45="", "No", Back_End_Data!N45)</f>
        <v xml:space="preserve">NA </v>
      </c>
      <c r="N45" s="1" t="str">
        <f>IF(Back_End_Data!M45="", "No", Back_End_Data!M45)</f>
        <v>NA</v>
      </c>
      <c r="O45" s="1" t="str">
        <f>IF(Back_End_Data!O45="Completed","Yes","No")</f>
        <v>No</v>
      </c>
      <c r="P45" s="1" t="str">
        <f>IF(Back_End_Data!H45="Completed","Yes","No")</f>
        <v>No</v>
      </c>
      <c r="Q45" s="1" t="str">
        <f>IF(Back_End_Data!P45="Completed","Yes","No")</f>
        <v>No</v>
      </c>
      <c r="R45" s="1" t="s">
        <v>2369</v>
      </c>
      <c r="S45" s="1" t="str">
        <f>IF(Back_End_Data!R45="Completed","Yes","No")</f>
        <v>No</v>
      </c>
      <c r="T45" s="1" t="str">
        <f>IF(Back_End_Data!S45="Yes","Yes","No")</f>
        <v>No</v>
      </c>
      <c r="U45" s="1" t="str">
        <f>IF(Back_End_Data!Q44="Completed","Yes","No")</f>
        <v>No</v>
      </c>
      <c r="V45" s="1" t="str">
        <f ca="1">IF(INDEX(MIS_Backend_Data!L:L, MATCH(D45, MIS_Backend_Data!B:B, 1)) = "WT", "Yes", "No")</f>
        <v>No</v>
      </c>
      <c r="W45" s="2" t="str">
        <f t="shared" ca="1" si="2"/>
        <v>Reject</v>
      </c>
      <c r="Z45" s="1">
        <f ca="1"/>
        <v>0</v>
      </c>
      <c r="AA45" s="1">
        <f t="shared" ca="1" si="0"/>
        <v>1</v>
      </c>
      <c r="AC45" s="1" t="str">
        <f ca="1"/>
        <v>Dispatch</v>
      </c>
      <c r="AG45" s="1" t="str">
        <f t="shared" si="1"/>
        <v/>
      </c>
    </row>
    <row r="46" spans="1:33" ht="20.25" customHeight="1">
      <c r="A46" s="13">
        <v>45</v>
      </c>
      <c r="B46" s="1" t="str">
        <f ca="1"/>
        <v>Indusind General Insurance Co Ltd</v>
      </c>
      <c r="C46" s="13" t="str">
        <f ca="1"/>
        <v>2025212058</v>
      </c>
      <c r="D46" s="13" t="str">
        <f ca="1"/>
        <v>R001-1045-SS-2025</v>
      </c>
      <c r="E46" s="13">
        <f ca="1"/>
        <v>10</v>
      </c>
      <c r="F46" s="14">
        <f ca="1"/>
        <v>45961</v>
      </c>
      <c r="G46" s="14">
        <f ca="1"/>
        <v>45971</v>
      </c>
      <c r="H46" s="1" t="str">
        <f>IF(Back_End_Data!G46="Completed","Yes","No")</f>
        <v>Yes</v>
      </c>
      <c r="I46" s="1" t="str">
        <f>IF(Back_End_Data!I46="Completed","Yes","No")</f>
        <v>Yes</v>
      </c>
      <c r="J46" s="1" t="str">
        <f>IF(Back_End_Data!J46="Completed","Yes","No")</f>
        <v>Yes</v>
      </c>
      <c r="K46" s="1" t="str">
        <f>IF(Back_End_Data!K46="Completed","Yes","No")</f>
        <v>Yes</v>
      </c>
      <c r="L46" s="1" t="str">
        <f>IF(Back_End_Data!L46="", "No", Back_End_Data!L46)</f>
        <v>NA</v>
      </c>
      <c r="M46" s="1" t="str">
        <f>IF(Back_End_Data!N46="", "No", Back_End_Data!N46)</f>
        <v xml:space="preserve">NA </v>
      </c>
      <c r="N46" s="1" t="str">
        <f>IF(Back_End_Data!M46="", "No", Back_End_Data!M46)</f>
        <v>NA</v>
      </c>
      <c r="O46" s="1" t="str">
        <f>IF(Back_End_Data!O46="Completed","Yes","No")</f>
        <v>No</v>
      </c>
      <c r="P46" s="1" t="str">
        <f>IF(Back_End_Data!H46="Completed","Yes","No")</f>
        <v>No</v>
      </c>
      <c r="Q46" s="1" t="str">
        <f>IF(Back_End_Data!P46="Completed","Yes","No")</f>
        <v>Yes</v>
      </c>
      <c r="R46" s="1" t="s">
        <v>2369</v>
      </c>
      <c r="S46" s="1" t="str">
        <f>IF(Back_End_Data!R46="Completed","Yes","No")</f>
        <v>No</v>
      </c>
      <c r="T46" s="1" t="str">
        <f>IF(Back_End_Data!S46="Yes","Yes","No")</f>
        <v>No</v>
      </c>
      <c r="U46" s="1" t="str">
        <f>IF(Back_End_Data!Q45="Completed","Yes","No")</f>
        <v>No</v>
      </c>
      <c r="V46" s="1" t="str">
        <f ca="1">IF(INDEX(MIS_Backend_Data!L:L, MATCH(D46, MIS_Backend_Data!B:B, 1)) = "WT", "Yes", "No")</f>
        <v>No</v>
      </c>
      <c r="W46" s="2" t="str">
        <f t="shared" ca="1" si="2"/>
        <v>Reject</v>
      </c>
      <c r="Z46" s="1">
        <f ca="1"/>
        <v>0</v>
      </c>
      <c r="AA46" s="1">
        <f t="shared" ca="1" si="0"/>
        <v>5</v>
      </c>
      <c r="AC46" s="1" t="str">
        <f ca="1"/>
        <v>Open</v>
      </c>
      <c r="AG46" s="1" t="str">
        <f t="shared" si="1"/>
        <v/>
      </c>
    </row>
    <row r="47" spans="1:33" ht="20.25" customHeight="1">
      <c r="A47" s="13">
        <v>46</v>
      </c>
      <c r="B47" s="1" t="str">
        <f ca="1"/>
        <v>Indusind General Insurance Co Ltd</v>
      </c>
      <c r="C47" s="13" t="str">
        <f ca="1"/>
        <v>2025212055</v>
      </c>
      <c r="D47" s="13" t="str">
        <f ca="1"/>
        <v>R001-1046-SS-2025</v>
      </c>
      <c r="E47" s="13">
        <f ca="1"/>
        <v>66</v>
      </c>
      <c r="F47" s="14">
        <f ca="1"/>
        <v>45961</v>
      </c>
      <c r="G47" s="14" t="str">
        <f ca="1"/>
        <v>-</v>
      </c>
      <c r="H47" s="1" t="str">
        <f>IF(Back_End_Data!G47="Completed","Yes","No")</f>
        <v>Yes</v>
      </c>
      <c r="I47" s="1" t="str">
        <f>IF(Back_End_Data!I47="Completed","Yes","No")</f>
        <v>Yes</v>
      </c>
      <c r="J47" s="1" t="str">
        <f>IF(Back_End_Data!J47="Completed","Yes","No")</f>
        <v>No</v>
      </c>
      <c r="K47" s="1" t="str">
        <f>IF(Back_End_Data!K47="Completed","Yes","No")</f>
        <v>No</v>
      </c>
      <c r="L47" s="1" t="str">
        <f>IF(Back_End_Data!L47="", "No", Back_End_Data!L47)</f>
        <v>NA</v>
      </c>
      <c r="M47" s="1" t="str">
        <f>IF(Back_End_Data!N47="", "No", Back_End_Data!N47)</f>
        <v xml:space="preserve">NA </v>
      </c>
      <c r="N47" s="1" t="str">
        <f>IF(Back_End_Data!M47="", "No", Back_End_Data!M47)</f>
        <v>NA</v>
      </c>
      <c r="O47" s="1" t="str">
        <f>IF(Back_End_Data!O47="Completed","Yes","No")</f>
        <v>No</v>
      </c>
      <c r="P47" s="1" t="str">
        <f>IF(Back_End_Data!H47="Completed","Yes","No")</f>
        <v>No</v>
      </c>
      <c r="Q47" s="1" t="str">
        <f>IF(Back_End_Data!P47="Completed","Yes","No")</f>
        <v>Yes</v>
      </c>
      <c r="R47" s="1" t="s">
        <v>2369</v>
      </c>
      <c r="S47" s="1" t="str">
        <f>IF(Back_End_Data!R47="Completed","Yes","No")</f>
        <v>No</v>
      </c>
      <c r="T47" s="1" t="str">
        <f>IF(Back_End_Data!S47="Yes","Yes","No")</f>
        <v>No</v>
      </c>
      <c r="U47" s="1" t="str">
        <f>IF(Back_End_Data!Q46="Completed","Yes","No")</f>
        <v>Yes</v>
      </c>
      <c r="V47" s="1" t="str">
        <f ca="1">IF(INDEX(MIS_Backend_Data!L:L, MATCH(D47, MIS_Backend_Data!B:B, 1)) = "WT", "Yes", "No")</f>
        <v>No</v>
      </c>
      <c r="W47" s="2" t="str">
        <f t="shared" ca="1" si="2"/>
        <v>Reject</v>
      </c>
      <c r="Z47" s="1">
        <f ca="1"/>
        <v>0</v>
      </c>
      <c r="AA47" s="1">
        <f t="shared" ca="1" si="0"/>
        <v>4</v>
      </c>
      <c r="AC47" s="1" t="str">
        <f ca="1"/>
        <v>Open</v>
      </c>
      <c r="AG47" s="1" t="str">
        <f t="shared" si="1"/>
        <v/>
      </c>
    </row>
    <row r="48" spans="1:33" ht="20.25" customHeight="1">
      <c r="A48" s="13">
        <v>47</v>
      </c>
      <c r="B48" s="1" t="str">
        <f ca="1"/>
        <v>Indusind General Insurance Co Ltd</v>
      </c>
      <c r="C48" s="13" t="str">
        <f ca="1"/>
        <v>2025212053</v>
      </c>
      <c r="D48" s="13" t="str">
        <f ca="1"/>
        <v>R001-1047-SS-2025</v>
      </c>
      <c r="E48" s="13">
        <f ca="1"/>
        <v>66</v>
      </c>
      <c r="F48" s="14">
        <f ca="1"/>
        <v>45961</v>
      </c>
      <c r="G48" s="14" t="str">
        <f ca="1"/>
        <v>-</v>
      </c>
      <c r="H48" s="1" t="str">
        <f>IF(Back_End_Data!G48="Completed","Yes","No")</f>
        <v>Yes</v>
      </c>
      <c r="I48" s="1" t="str">
        <f>IF(Back_End_Data!I48="Completed","Yes","No")</f>
        <v>No</v>
      </c>
      <c r="J48" s="1" t="str">
        <f>IF(Back_End_Data!J48="Completed","Yes","No")</f>
        <v>No</v>
      </c>
      <c r="K48" s="1" t="str">
        <f>IF(Back_End_Data!K48="Completed","Yes","No")</f>
        <v>No</v>
      </c>
      <c r="L48" s="1" t="str">
        <f>IF(Back_End_Data!L48="", "No", Back_End_Data!L48)</f>
        <v>NA</v>
      </c>
      <c r="M48" s="1" t="str">
        <f>IF(Back_End_Data!N48="", "No", Back_End_Data!N48)</f>
        <v xml:space="preserve">NA </v>
      </c>
      <c r="N48" s="1" t="str">
        <f>IF(Back_End_Data!M48="", "No", Back_End_Data!M48)</f>
        <v>NA</v>
      </c>
      <c r="O48" s="1" t="str">
        <f>IF(Back_End_Data!O48="Completed","Yes","No")</f>
        <v>No</v>
      </c>
      <c r="P48" s="1" t="str">
        <f>IF(Back_End_Data!H48="Completed","Yes","No")</f>
        <v>No</v>
      </c>
      <c r="Q48" s="1" t="str">
        <f>IF(Back_End_Data!P48="Completed","Yes","No")</f>
        <v>No</v>
      </c>
      <c r="R48" s="1" t="s">
        <v>2369</v>
      </c>
      <c r="S48" s="1" t="str">
        <f>IF(Back_End_Data!R48="Completed","Yes","No")</f>
        <v>No</v>
      </c>
      <c r="T48" s="1" t="str">
        <f>IF(Back_End_Data!S48="Yes","Yes","No")</f>
        <v>No</v>
      </c>
      <c r="U48" s="1" t="str">
        <f>IF(Back_End_Data!Q47="Completed","Yes","No")</f>
        <v>No</v>
      </c>
      <c r="V48" s="1" t="str">
        <f ca="1">IF(INDEX(MIS_Backend_Data!L:L, MATCH(D48, MIS_Backend_Data!B:B, 1)) = "WT", "Yes", "No")</f>
        <v>No</v>
      </c>
      <c r="W48" s="2" t="str">
        <f t="shared" ca="1" si="2"/>
        <v>Reject</v>
      </c>
      <c r="Z48" s="1">
        <f ca="1"/>
        <v>0</v>
      </c>
      <c r="AA48" s="1">
        <f t="shared" ca="1" si="0"/>
        <v>1</v>
      </c>
      <c r="AC48" s="1" t="str">
        <f ca="1"/>
        <v>Open</v>
      </c>
      <c r="AG48" s="1" t="str">
        <f t="shared" si="1"/>
        <v/>
      </c>
    </row>
    <row r="49" spans="1:33" ht="20.25" customHeight="1">
      <c r="A49" s="13">
        <v>48</v>
      </c>
      <c r="B49" s="1" t="str">
        <f ca="1"/>
        <v>Indusind General Insurance Co Ltd</v>
      </c>
      <c r="C49" s="13">
        <f ca="1"/>
        <v>2025212050</v>
      </c>
      <c r="D49" s="13" t="str">
        <f ca="1"/>
        <v>R001-1048-SS-2025</v>
      </c>
      <c r="E49" s="13">
        <f ca="1"/>
        <v>66</v>
      </c>
      <c r="F49" s="14">
        <f ca="1"/>
        <v>45961</v>
      </c>
      <c r="G49" s="14" t="str">
        <f ca="1"/>
        <v>-</v>
      </c>
      <c r="H49" s="1" t="str">
        <f>IF(Back_End_Data!G49="Completed","Yes","No")</f>
        <v>Yes</v>
      </c>
      <c r="I49" s="1" t="str">
        <f>IF(Back_End_Data!I49="Completed","Yes","No")</f>
        <v>No</v>
      </c>
      <c r="J49" s="1" t="str">
        <f>IF(Back_End_Data!J49="Completed","Yes","No")</f>
        <v>No</v>
      </c>
      <c r="K49" s="1" t="str">
        <f>IF(Back_End_Data!K49="Completed","Yes","No")</f>
        <v>Yes</v>
      </c>
      <c r="L49" s="1" t="str">
        <f>IF(Back_End_Data!L49="", "No", Back_End_Data!L49)</f>
        <v>NA</v>
      </c>
      <c r="M49" s="1" t="str">
        <f>IF(Back_End_Data!N49="", "No", Back_End_Data!N49)</f>
        <v xml:space="preserve">NA </v>
      </c>
      <c r="N49" s="1" t="str">
        <f>IF(Back_End_Data!M49="", "No", Back_End_Data!M49)</f>
        <v>NA</v>
      </c>
      <c r="O49" s="1" t="str">
        <f>IF(Back_End_Data!O49="Completed","Yes","No")</f>
        <v>No</v>
      </c>
      <c r="P49" s="1" t="str">
        <f>IF(Back_End_Data!H49="Completed","Yes","No")</f>
        <v>No</v>
      </c>
      <c r="Q49" s="1" t="str">
        <f>IF(Back_End_Data!P49="Completed","Yes","No")</f>
        <v>No</v>
      </c>
      <c r="R49" s="1" t="s">
        <v>2369</v>
      </c>
      <c r="S49" s="1" t="str">
        <f>IF(Back_End_Data!R49="Completed","Yes","No")</f>
        <v>No</v>
      </c>
      <c r="T49" s="1" t="str">
        <f>IF(Back_End_Data!S49="Yes","Yes","No")</f>
        <v>No</v>
      </c>
      <c r="U49" s="1" t="str">
        <f>IF(Back_End_Data!Q48="Completed","Yes","No")</f>
        <v>No</v>
      </c>
      <c r="V49" s="1" t="str">
        <f ca="1">IF(INDEX(MIS_Backend_Data!L:L, MATCH(D49, MIS_Backend_Data!B:B, 1)) = "WT", "Yes", "No")</f>
        <v>No</v>
      </c>
      <c r="W49" s="2" t="str">
        <f t="shared" ca="1" si="2"/>
        <v>Reject</v>
      </c>
      <c r="Z49" s="1">
        <f ca="1"/>
        <v>0</v>
      </c>
      <c r="AA49" s="1">
        <f t="shared" ca="1" si="0"/>
        <v>2</v>
      </c>
      <c r="AC49" s="1" t="str">
        <f ca="1"/>
        <v>Open</v>
      </c>
      <c r="AG49" s="1" t="str">
        <f t="shared" si="1"/>
        <v/>
      </c>
    </row>
    <row r="50" spans="1:33" ht="20.25" customHeight="1">
      <c r="A50" s="13">
        <v>49</v>
      </c>
      <c r="B50" s="1" t="str">
        <f ca="1"/>
        <v>Indusind General Insurance Co Ltd</v>
      </c>
      <c r="C50" s="13" t="str">
        <f ca="1"/>
        <v>2025212047</v>
      </c>
      <c r="D50" s="13" t="str">
        <f ca="1"/>
        <v>R001-1049-SS-2025</v>
      </c>
      <c r="E50" s="13">
        <f ca="1"/>
        <v>66</v>
      </c>
      <c r="F50" s="14">
        <f ca="1"/>
        <v>45961</v>
      </c>
      <c r="G50" s="14" t="str">
        <f ca="1"/>
        <v>-</v>
      </c>
      <c r="H50" s="1" t="str">
        <f>IF(Back_End_Data!G50="Completed","Yes","No")</f>
        <v>Yes</v>
      </c>
      <c r="I50" s="1" t="str">
        <f>IF(Back_End_Data!I50="Completed","Yes","No")</f>
        <v>Yes</v>
      </c>
      <c r="J50" s="1" t="str">
        <f>IF(Back_End_Data!J50="Completed","Yes","No")</f>
        <v>No</v>
      </c>
      <c r="K50" s="1" t="str">
        <f>IF(Back_End_Data!K50="Completed","Yes","No")</f>
        <v>Yes</v>
      </c>
      <c r="L50" s="1" t="str">
        <f>IF(Back_End_Data!L50="", "No", Back_End_Data!L50)</f>
        <v>NA</v>
      </c>
      <c r="M50" s="1" t="str">
        <f>IF(Back_End_Data!N50="", "No", Back_End_Data!N50)</f>
        <v>NA</v>
      </c>
      <c r="N50" s="1" t="str">
        <f>IF(Back_End_Data!M50="", "No", Back_End_Data!M50)</f>
        <v>NA</v>
      </c>
      <c r="O50" s="1" t="str">
        <f>IF(Back_End_Data!O50="Completed","Yes","No")</f>
        <v>No</v>
      </c>
      <c r="P50" s="1" t="str">
        <f>IF(Back_End_Data!H50="Completed","Yes","No")</f>
        <v>No</v>
      </c>
      <c r="Q50" s="1" t="str">
        <f>IF(Back_End_Data!P50="Completed","Yes","No")</f>
        <v>Yes</v>
      </c>
      <c r="R50" s="1" t="s">
        <v>2369</v>
      </c>
      <c r="S50" s="1" t="str">
        <f>IF(Back_End_Data!R50="Completed","Yes","No")</f>
        <v>No</v>
      </c>
      <c r="T50" s="1" t="str">
        <f>IF(Back_End_Data!S50="Yes","Yes","No")</f>
        <v>No</v>
      </c>
      <c r="U50" s="1" t="str">
        <f>IF(Back_End_Data!Q49="Completed","Yes","No")</f>
        <v>No</v>
      </c>
      <c r="V50" s="1" t="str">
        <f ca="1">IF(INDEX(MIS_Backend_Data!L:L, MATCH(D50, MIS_Backend_Data!B:B, 1)) = "WT", "Yes", "No")</f>
        <v>No</v>
      </c>
      <c r="W50" s="2" t="str">
        <f t="shared" ca="1" si="2"/>
        <v>Reject</v>
      </c>
      <c r="Z50" s="1">
        <f ca="1"/>
        <v>0</v>
      </c>
      <c r="AA50" s="1">
        <f t="shared" ca="1" si="0"/>
        <v>4</v>
      </c>
      <c r="AC50" s="1" t="str">
        <f ca="1"/>
        <v>QC</v>
      </c>
      <c r="AG50" s="1" t="str">
        <f t="shared" si="1"/>
        <v/>
      </c>
    </row>
    <row r="51" spans="1:33" ht="20.25" customHeight="1">
      <c r="A51" s="13">
        <v>50</v>
      </c>
      <c r="B51" s="1" t="str">
        <f ca="1"/>
        <v>Generali Central Insurance Company Limited</v>
      </c>
      <c r="C51" s="13" t="str">
        <f ca="1"/>
        <v>MTP-N-2526-004166</v>
      </c>
      <c r="D51" s="13" t="str">
        <f ca="1"/>
        <v>F001-1050-SS-2025</v>
      </c>
      <c r="E51" s="13">
        <f ca="1"/>
        <v>46</v>
      </c>
      <c r="F51" s="14">
        <f ca="1"/>
        <v>45962</v>
      </c>
      <c r="G51" s="14">
        <f ca="1"/>
        <v>46008</v>
      </c>
      <c r="H51" s="1" t="str">
        <f>IF(Back_End_Data!G51="Completed","Yes","No")</f>
        <v>Yes</v>
      </c>
      <c r="I51" s="1" t="str">
        <f>IF(Back_End_Data!I51="Completed","Yes","No")</f>
        <v>Yes</v>
      </c>
      <c r="J51" s="1" t="str">
        <f>IF(Back_End_Data!J51="Completed","Yes","No")</f>
        <v>No</v>
      </c>
      <c r="K51" s="1" t="str">
        <f>IF(Back_End_Data!K51="Completed","Yes","No")</f>
        <v>Yes</v>
      </c>
      <c r="L51" s="1" t="str">
        <f>IF(Back_End_Data!L51="", "No", Back_End_Data!L51)</f>
        <v>NA</v>
      </c>
      <c r="M51" s="1" t="str">
        <f>IF(Back_End_Data!N51="", "No", Back_End_Data!N51)</f>
        <v>NA</v>
      </c>
      <c r="N51" s="1" t="str">
        <f>IF(Back_End_Data!M51="", "No", Back_End_Data!M51)</f>
        <v>NA</v>
      </c>
      <c r="O51" s="1" t="str">
        <f>IF(Back_End_Data!O51="Completed","Yes","No")</f>
        <v>No</v>
      </c>
      <c r="P51" s="1" t="str">
        <f>IF(Back_End_Data!H51="Completed","Yes","No")</f>
        <v>No</v>
      </c>
      <c r="Q51" s="1" t="str">
        <f>IF(Back_End_Data!P51="Completed","Yes","No")</f>
        <v>Yes</v>
      </c>
      <c r="R51" s="1" t="s">
        <v>2369</v>
      </c>
      <c r="S51" s="1" t="str">
        <f>IF(Back_End_Data!R51="Completed","Yes","No")</f>
        <v>No</v>
      </c>
      <c r="T51" s="1" t="str">
        <f>IF(Back_End_Data!S51="Yes","Yes","No")</f>
        <v>No</v>
      </c>
      <c r="U51" s="1" t="str">
        <f>IF(Back_End_Data!Q50="Completed","Yes","No")</f>
        <v>Yes</v>
      </c>
      <c r="V51" s="1" t="str">
        <f ca="1">IF(INDEX(MIS_Backend_Data!L:L, MATCH(D51, MIS_Backend_Data!B:B, 1)) = "WT", "Yes", "No")</f>
        <v>No</v>
      </c>
      <c r="W51" s="2" t="str">
        <f t="shared" ca="1" si="2"/>
        <v>Reject</v>
      </c>
      <c r="Z51" s="1">
        <f ca="1"/>
        <v>0</v>
      </c>
      <c r="AA51" s="1">
        <f t="shared" ca="1" si="0"/>
        <v>5</v>
      </c>
      <c r="AC51" s="1" t="str">
        <f ca="1"/>
        <v>Approval</v>
      </c>
      <c r="AG51" s="1" t="str">
        <f t="shared" si="1"/>
        <v/>
      </c>
    </row>
    <row r="52" spans="1:33" ht="20.25" customHeight="1">
      <c r="A52" s="13">
        <v>51</v>
      </c>
      <c r="B52" s="1" t="str">
        <f ca="1"/>
        <v>Indusind General Insurance Co Ltd</v>
      </c>
      <c r="C52" s="13" t="str">
        <f ca="1"/>
        <v>2025212181</v>
      </c>
      <c r="D52" s="13" t="str">
        <f ca="1"/>
        <v>R001-1051-SS-2025</v>
      </c>
      <c r="E52" s="13">
        <f ca="1"/>
        <v>63</v>
      </c>
      <c r="F52" s="14">
        <f ca="1"/>
        <v>45964</v>
      </c>
      <c r="G52" s="14" t="str">
        <f ca="1"/>
        <v>-</v>
      </c>
      <c r="H52" s="1" t="str">
        <f>IF(Back_End_Data!G52="Completed","Yes","No")</f>
        <v>Yes</v>
      </c>
      <c r="I52" s="1" t="str">
        <f>IF(Back_End_Data!I52="Completed","Yes","No")</f>
        <v>No</v>
      </c>
      <c r="J52" s="1" t="str">
        <f>IF(Back_End_Data!J52="Completed","Yes","No")</f>
        <v>No</v>
      </c>
      <c r="K52" s="1" t="str">
        <f>IF(Back_End_Data!K52="Completed","Yes","No")</f>
        <v>No</v>
      </c>
      <c r="L52" s="1" t="str">
        <f>IF(Back_End_Data!L52="", "No", Back_End_Data!L52)</f>
        <v>NA</v>
      </c>
      <c r="M52" s="1" t="str">
        <f>IF(Back_End_Data!N52="", "No", Back_End_Data!N52)</f>
        <v>NA</v>
      </c>
      <c r="N52" s="1" t="str">
        <f>IF(Back_End_Data!M52="", "No", Back_End_Data!M52)</f>
        <v>NA</v>
      </c>
      <c r="O52" s="1" t="str">
        <f>IF(Back_End_Data!O52="Completed","Yes","No")</f>
        <v>No</v>
      </c>
      <c r="P52" s="1" t="str">
        <f>IF(Back_End_Data!H52="Completed","Yes","No")</f>
        <v>No</v>
      </c>
      <c r="Q52" s="1" t="str">
        <f>IF(Back_End_Data!P52="Completed","Yes","No")</f>
        <v>No</v>
      </c>
      <c r="R52" s="1" t="s">
        <v>2369</v>
      </c>
      <c r="S52" s="1" t="str">
        <f>IF(Back_End_Data!R52="Completed","Yes","No")</f>
        <v>No</v>
      </c>
      <c r="T52" s="1" t="str">
        <f>IF(Back_End_Data!S52="Yes","Yes","No")</f>
        <v>No</v>
      </c>
      <c r="U52" s="1" t="str">
        <f>IF(Back_End_Data!Q51="Completed","Yes","No")</f>
        <v>No</v>
      </c>
      <c r="V52" s="1" t="str">
        <f ca="1">IF(INDEX(MIS_Backend_Data!L:L, MATCH(D52, MIS_Backend_Data!B:B, 1)) = "WT", "Yes", "No")</f>
        <v>No</v>
      </c>
      <c r="W52" s="2" t="str">
        <f t="shared" ca="1" si="2"/>
        <v>Reject</v>
      </c>
      <c r="Z52" s="1">
        <f ca="1"/>
        <v>0</v>
      </c>
      <c r="AA52" s="1">
        <f t="shared" ca="1" si="0"/>
        <v>1</v>
      </c>
      <c r="AC52" s="1" t="str">
        <f ca="1"/>
        <v>Open</v>
      </c>
      <c r="AG52" s="1" t="str">
        <f t="shared" si="1"/>
        <v/>
      </c>
    </row>
    <row r="53" spans="1:33" ht="20.25" customHeight="1">
      <c r="A53" s="13">
        <v>52</v>
      </c>
      <c r="B53" s="1" t="str">
        <f ca="1"/>
        <v>Indusind General Insurance Co Ltd</v>
      </c>
      <c r="C53" s="13" t="str">
        <f ca="1"/>
        <v>2025212170</v>
      </c>
      <c r="D53" s="13" t="str">
        <f ca="1"/>
        <v>R001-1052-SS-2025</v>
      </c>
      <c r="E53" s="13">
        <f ca="1"/>
        <v>58</v>
      </c>
      <c r="F53" s="14">
        <f ca="1"/>
        <v>45964</v>
      </c>
      <c r="G53" s="14">
        <f ca="1"/>
        <v>46022</v>
      </c>
      <c r="H53" s="1" t="str">
        <f>IF(Back_End_Data!G53="Completed","Yes","No")</f>
        <v>Yes</v>
      </c>
      <c r="I53" s="1" t="str">
        <f>IF(Back_End_Data!I53="Completed","Yes","No")</f>
        <v>Yes</v>
      </c>
      <c r="J53" s="1" t="str">
        <f>IF(Back_End_Data!J53="Completed","Yes","No")</f>
        <v>No</v>
      </c>
      <c r="K53" s="1" t="str">
        <f>IF(Back_End_Data!K53="Completed","Yes","No")</f>
        <v>Yes</v>
      </c>
      <c r="L53" s="1" t="str">
        <f>IF(Back_End_Data!L53="", "No", Back_End_Data!L53)</f>
        <v>NA</v>
      </c>
      <c r="M53" s="1" t="str">
        <f>IF(Back_End_Data!N53="", "No", Back_End_Data!N53)</f>
        <v>NA</v>
      </c>
      <c r="N53" s="1" t="str">
        <f>IF(Back_End_Data!M53="", "No", Back_End_Data!M53)</f>
        <v>NA</v>
      </c>
      <c r="O53" s="1" t="str">
        <f>IF(Back_End_Data!O53="Completed","Yes","No")</f>
        <v>No</v>
      </c>
      <c r="P53" s="1" t="str">
        <f>IF(Back_End_Data!H53="Completed","Yes","No")</f>
        <v>No</v>
      </c>
      <c r="Q53" s="1" t="str">
        <f>IF(Back_End_Data!P53="Completed","Yes","No")</f>
        <v>Yes</v>
      </c>
      <c r="R53" s="1" t="s">
        <v>2369</v>
      </c>
      <c r="S53" s="1" t="str">
        <f>IF(Back_End_Data!R53="Completed","Yes","No")</f>
        <v>No</v>
      </c>
      <c r="T53" s="1" t="str">
        <f>IF(Back_End_Data!S53="Yes","Yes","No")</f>
        <v>No</v>
      </c>
      <c r="U53" s="1" t="str">
        <f>IF(Back_End_Data!Q52="Completed","Yes","No")</f>
        <v>No</v>
      </c>
      <c r="V53" s="1" t="str">
        <f ca="1">IF(INDEX(MIS_Backend_Data!L:L, MATCH(D53, MIS_Backend_Data!B:B, 1)) = "WT", "Yes", "No")</f>
        <v>No</v>
      </c>
      <c r="W53" s="2" t="str">
        <f t="shared" ca="1" si="2"/>
        <v>Reject</v>
      </c>
      <c r="Z53" s="1">
        <f ca="1"/>
        <v>0</v>
      </c>
      <c r="AA53" s="1">
        <f t="shared" ca="1" si="0"/>
        <v>4</v>
      </c>
      <c r="AC53" s="1" t="str">
        <f ca="1"/>
        <v>Open</v>
      </c>
      <c r="AG53" s="1" t="str">
        <f t="shared" si="1"/>
        <v/>
      </c>
    </row>
    <row r="54" spans="1:33" ht="20.25" customHeight="1">
      <c r="A54" s="13">
        <v>53</v>
      </c>
      <c r="B54" s="1" t="str">
        <f ca="1"/>
        <v>Indusind General Insurance Co Ltd</v>
      </c>
      <c r="C54" s="13" t="str">
        <f ca="1"/>
        <v>2025212168</v>
      </c>
      <c r="D54" s="13" t="str">
        <f ca="1"/>
        <v>R001-1053-SS-2025</v>
      </c>
      <c r="E54" s="13">
        <f ca="1"/>
        <v>63</v>
      </c>
      <c r="F54" s="14">
        <f ca="1"/>
        <v>45964</v>
      </c>
      <c r="G54" s="14" t="str">
        <f ca="1"/>
        <v>-</v>
      </c>
      <c r="H54" s="1" t="str">
        <f>IF(Back_End_Data!G54="Completed","Yes","No")</f>
        <v>Yes</v>
      </c>
      <c r="I54" s="1" t="str">
        <f>IF(Back_End_Data!I54="Completed","Yes","No")</f>
        <v>Yes</v>
      </c>
      <c r="J54" s="1" t="str">
        <f>IF(Back_End_Data!J54="Completed","Yes","No")</f>
        <v>No</v>
      </c>
      <c r="K54" s="1" t="str">
        <f>IF(Back_End_Data!K54="Completed","Yes","No")</f>
        <v>Yes</v>
      </c>
      <c r="L54" s="1" t="str">
        <f>IF(Back_End_Data!L54="", "No", Back_End_Data!L54)</f>
        <v>NA</v>
      </c>
      <c r="M54" s="1" t="str">
        <f>IF(Back_End_Data!N54="", "No", Back_End_Data!N54)</f>
        <v>NA</v>
      </c>
      <c r="N54" s="1" t="str">
        <f>IF(Back_End_Data!M54="", "No", Back_End_Data!M54)</f>
        <v>NA</v>
      </c>
      <c r="O54" s="1" t="str">
        <f>IF(Back_End_Data!O54="Completed","Yes","No")</f>
        <v>No</v>
      </c>
      <c r="P54" s="1" t="str">
        <f>IF(Back_End_Data!H54="Completed","Yes","No")</f>
        <v>No</v>
      </c>
      <c r="Q54" s="1" t="str">
        <f>IF(Back_End_Data!P54="Completed","Yes","No")</f>
        <v>Yes</v>
      </c>
      <c r="R54" s="1" t="s">
        <v>2369</v>
      </c>
      <c r="S54" s="1" t="str">
        <f>IF(Back_End_Data!R54="Completed","Yes","No")</f>
        <v>No</v>
      </c>
      <c r="T54" s="1" t="str">
        <f>IF(Back_End_Data!S54="Yes","Yes","No")</f>
        <v>No</v>
      </c>
      <c r="U54" s="1" t="str">
        <f>IF(Back_End_Data!Q53="Completed","Yes","No")</f>
        <v>No</v>
      </c>
      <c r="V54" s="1" t="str">
        <f ca="1">IF(INDEX(MIS_Backend_Data!L:L, MATCH(D54, MIS_Backend_Data!B:B, 1)) = "WT", "Yes", "No")</f>
        <v>No</v>
      </c>
      <c r="W54" s="2" t="str">
        <f t="shared" ca="1" si="2"/>
        <v>Reject</v>
      </c>
      <c r="Z54" s="1">
        <f ca="1"/>
        <v>0</v>
      </c>
      <c r="AA54" s="1">
        <f t="shared" ca="1" si="0"/>
        <v>4</v>
      </c>
      <c r="AC54" s="1" t="str">
        <f ca="1"/>
        <v>Open</v>
      </c>
      <c r="AG54" s="1" t="str">
        <f t="shared" si="1"/>
        <v/>
      </c>
    </row>
    <row r="55" spans="1:33" ht="20.25" customHeight="1">
      <c r="A55" s="13">
        <v>54</v>
      </c>
      <c r="B55" s="1" t="str">
        <f ca="1"/>
        <v>Indusind General Insurance Co Ltd</v>
      </c>
      <c r="C55" s="13" t="str">
        <f ca="1"/>
        <v>2025212148</v>
      </c>
      <c r="D55" s="13" t="str">
        <f ca="1"/>
        <v>R001-1054-SS-2025</v>
      </c>
      <c r="E55" s="13">
        <f ca="1"/>
        <v>63</v>
      </c>
      <c r="F55" s="14">
        <f ca="1"/>
        <v>45964</v>
      </c>
      <c r="G55" s="14" t="str">
        <f ca="1"/>
        <v>-</v>
      </c>
      <c r="H55" s="1" t="str">
        <f>IF(Back_End_Data!G55="Completed","Yes","No")</f>
        <v>Yes</v>
      </c>
      <c r="I55" s="1" t="str">
        <f>IF(Back_End_Data!I55="Completed","Yes","No")</f>
        <v>Yes</v>
      </c>
      <c r="J55" s="1" t="str">
        <f>IF(Back_End_Data!J55="Completed","Yes","No")</f>
        <v>No</v>
      </c>
      <c r="K55" s="1" t="str">
        <f>IF(Back_End_Data!K55="Completed","Yes","No")</f>
        <v>Yes</v>
      </c>
      <c r="L55" s="1" t="str">
        <f>IF(Back_End_Data!L55="", "No", Back_End_Data!L55)</f>
        <v>NA</v>
      </c>
      <c r="M55" s="1" t="str">
        <f>IF(Back_End_Data!N55="", "No", Back_End_Data!N55)</f>
        <v>NA</v>
      </c>
      <c r="N55" s="1" t="str">
        <f>IF(Back_End_Data!M55="", "No", Back_End_Data!M55)</f>
        <v>NA</v>
      </c>
      <c r="O55" s="1" t="str">
        <f>IF(Back_End_Data!O55="Completed","Yes","No")</f>
        <v>No</v>
      </c>
      <c r="P55" s="1" t="str">
        <f>IF(Back_End_Data!H55="Completed","Yes","No")</f>
        <v>No</v>
      </c>
      <c r="Q55" s="1" t="str">
        <f>IF(Back_End_Data!P55="Completed","Yes","No")</f>
        <v>Yes</v>
      </c>
      <c r="R55" s="1" t="s">
        <v>2369</v>
      </c>
      <c r="S55" s="1" t="str">
        <f>IF(Back_End_Data!R55="Completed","Yes","No")</f>
        <v>No</v>
      </c>
      <c r="T55" s="1" t="str">
        <f>IF(Back_End_Data!S55="Yes","Yes","No")</f>
        <v>No</v>
      </c>
      <c r="U55" s="1" t="str">
        <f>IF(Back_End_Data!Q54="Completed","Yes","No")</f>
        <v>Yes</v>
      </c>
      <c r="V55" s="1" t="str">
        <f ca="1">IF(INDEX(MIS_Backend_Data!L:L, MATCH(D55, MIS_Backend_Data!B:B, 1)) = "WT", "Yes", "No")</f>
        <v>No</v>
      </c>
      <c r="W55" s="2" t="str">
        <f t="shared" ca="1" si="2"/>
        <v>Reject</v>
      </c>
      <c r="Z55" s="1">
        <f ca="1"/>
        <v>0</v>
      </c>
      <c r="AA55" s="1">
        <f t="shared" ca="1" si="0"/>
        <v>5</v>
      </c>
      <c r="AC55" s="1" t="str">
        <f ca="1"/>
        <v>Open</v>
      </c>
      <c r="AG55" s="1" t="str">
        <f t="shared" si="1"/>
        <v/>
      </c>
    </row>
    <row r="56" spans="1:33" ht="20.25" customHeight="1">
      <c r="A56" s="13">
        <v>55</v>
      </c>
      <c r="B56" s="1" t="str">
        <f ca="1"/>
        <v>Indusind General Insurance Co Ltd</v>
      </c>
      <c r="C56" s="13" t="str">
        <f ca="1"/>
        <v>2025212191</v>
      </c>
      <c r="D56" s="13" t="str">
        <f ca="1"/>
        <v>R001-1055-SS-2025</v>
      </c>
      <c r="E56" s="13">
        <f ca="1"/>
        <v>63</v>
      </c>
      <c r="F56" s="14">
        <f ca="1"/>
        <v>45964</v>
      </c>
      <c r="G56" s="14" t="str">
        <f ca="1"/>
        <v>-</v>
      </c>
      <c r="H56" s="1" t="str">
        <f>IF(Back_End_Data!G56="Completed","Yes","No")</f>
        <v>Yes</v>
      </c>
      <c r="I56" s="1" t="str">
        <f>IF(Back_End_Data!I56="Completed","Yes","No")</f>
        <v>Yes</v>
      </c>
      <c r="J56" s="1" t="str">
        <f>IF(Back_End_Data!J56="Completed","Yes","No")</f>
        <v>No</v>
      </c>
      <c r="K56" s="1" t="str">
        <f>IF(Back_End_Data!K56="Completed","Yes","No")</f>
        <v>Yes</v>
      </c>
      <c r="L56" s="1" t="str">
        <f>IF(Back_End_Data!L56="", "No", Back_End_Data!L56)</f>
        <v>NA</v>
      </c>
      <c r="M56" s="1" t="str">
        <f>IF(Back_End_Data!N56="", "No", Back_End_Data!N56)</f>
        <v>NA</v>
      </c>
      <c r="N56" s="1" t="str">
        <f>IF(Back_End_Data!M56="", "No", Back_End_Data!M56)</f>
        <v>NA</v>
      </c>
      <c r="O56" s="1" t="str">
        <f>IF(Back_End_Data!O56="Completed","Yes","No")</f>
        <v>No</v>
      </c>
      <c r="P56" s="1" t="str">
        <f>IF(Back_End_Data!H56="Completed","Yes","No")</f>
        <v>No</v>
      </c>
      <c r="Q56" s="1" t="str">
        <f>IF(Back_End_Data!P56="Completed","Yes","No")</f>
        <v>Yes</v>
      </c>
      <c r="R56" s="1" t="s">
        <v>2369</v>
      </c>
      <c r="S56" s="1" t="str">
        <f>IF(Back_End_Data!R56="Completed","Yes","No")</f>
        <v>No</v>
      </c>
      <c r="T56" s="1" t="str">
        <f>IF(Back_End_Data!S56="Yes","Yes","No")</f>
        <v>No</v>
      </c>
      <c r="U56" s="1" t="str">
        <f>IF(Back_End_Data!Q55="Completed","Yes","No")</f>
        <v>No</v>
      </c>
      <c r="V56" s="1" t="str">
        <f ca="1">IF(INDEX(MIS_Backend_Data!L:L, MATCH(D56, MIS_Backend_Data!B:B, 1)) = "WT", "Yes", "No")</f>
        <v>No</v>
      </c>
      <c r="W56" s="2" t="str">
        <f t="shared" ca="1" si="2"/>
        <v>Reject</v>
      </c>
      <c r="Z56" s="1">
        <f ca="1"/>
        <v>0</v>
      </c>
      <c r="AA56" s="1">
        <f t="shared" ca="1" si="0"/>
        <v>4</v>
      </c>
      <c r="AC56" s="1" t="str">
        <f ca="1"/>
        <v>Open</v>
      </c>
      <c r="AG56" s="1" t="str">
        <f t="shared" si="1"/>
        <v/>
      </c>
    </row>
    <row r="57" spans="1:33" ht="20.25" customHeight="1">
      <c r="A57" s="13">
        <v>56</v>
      </c>
      <c r="B57" s="1" t="str">
        <f ca="1"/>
        <v>Indusind General Insurance Co Ltd</v>
      </c>
      <c r="C57" s="13" t="str">
        <f ca="1"/>
        <v>2025212189</v>
      </c>
      <c r="D57" s="13" t="str">
        <f ca="1"/>
        <v>R001-1056-SS-2025</v>
      </c>
      <c r="E57" s="13">
        <f ca="1"/>
        <v>63</v>
      </c>
      <c r="F57" s="14">
        <f ca="1"/>
        <v>45964</v>
      </c>
      <c r="G57" s="14" t="str">
        <f ca="1"/>
        <v>-</v>
      </c>
      <c r="H57" s="1" t="str">
        <f>IF(Back_End_Data!G57="Completed","Yes","No")</f>
        <v>No</v>
      </c>
      <c r="I57" s="1" t="str">
        <f>IF(Back_End_Data!I57="Completed","Yes","No")</f>
        <v>No</v>
      </c>
      <c r="J57" s="1" t="str">
        <f>IF(Back_End_Data!J57="Completed","Yes","No")</f>
        <v>No</v>
      </c>
      <c r="K57" s="1" t="str">
        <f>IF(Back_End_Data!K57="Completed","Yes","No")</f>
        <v>No</v>
      </c>
      <c r="L57" s="1" t="str">
        <f>IF(Back_End_Data!L57="", "No", Back_End_Data!L57)</f>
        <v>NA</v>
      </c>
      <c r="M57" s="1" t="str">
        <f>IF(Back_End_Data!N57="", "No", Back_End_Data!N57)</f>
        <v>NA</v>
      </c>
      <c r="N57" s="1" t="str">
        <f>IF(Back_End_Data!M57="", "No", Back_End_Data!M57)</f>
        <v>NA</v>
      </c>
      <c r="O57" s="1" t="str">
        <f>IF(Back_End_Data!O57="Completed","Yes","No")</f>
        <v>No</v>
      </c>
      <c r="P57" s="1" t="str">
        <f>IF(Back_End_Data!H57="Completed","Yes","No")</f>
        <v>No</v>
      </c>
      <c r="Q57" s="1" t="str">
        <f>IF(Back_End_Data!P57="Completed","Yes","No")</f>
        <v>No</v>
      </c>
      <c r="R57" s="1" t="s">
        <v>2369</v>
      </c>
      <c r="S57" s="1" t="str">
        <f>IF(Back_End_Data!R57="Completed","Yes","No")</f>
        <v>No</v>
      </c>
      <c r="T57" s="1" t="str">
        <f>IF(Back_End_Data!S57="Yes","Yes","No")</f>
        <v>No</v>
      </c>
      <c r="U57" s="1" t="str">
        <f>IF(Back_End_Data!Q56="Completed","Yes","No")</f>
        <v>No</v>
      </c>
      <c r="V57" s="1" t="str">
        <f ca="1">IF(INDEX(MIS_Backend_Data!L:L, MATCH(D57, MIS_Backend_Data!B:B, 1)) = "WT", "Yes", "No")</f>
        <v>No</v>
      </c>
      <c r="W57" s="2" t="str">
        <f t="shared" ca="1" si="2"/>
        <v>Approved</v>
      </c>
      <c r="Z57" s="1">
        <f ca="1"/>
        <v>0</v>
      </c>
      <c r="AA57" s="1">
        <f t="shared" ca="1" si="0"/>
        <v>0</v>
      </c>
      <c r="AC57" s="1" t="str">
        <f ca="1"/>
        <v>Open</v>
      </c>
      <c r="AG57" s="1" t="str">
        <f t="shared" si="1"/>
        <v/>
      </c>
    </row>
    <row r="58" spans="1:33" ht="20.25" customHeight="1">
      <c r="A58" s="13">
        <v>57</v>
      </c>
      <c r="B58" s="1" t="str">
        <f ca="1"/>
        <v>Indusind General Insurance Co Ltd</v>
      </c>
      <c r="C58" s="13" t="str">
        <f ca="1"/>
        <v>2025212179</v>
      </c>
      <c r="D58" s="13" t="str">
        <f ca="1"/>
        <v>R001-1057-SS-2025</v>
      </c>
      <c r="E58" s="13">
        <f ca="1"/>
        <v>63</v>
      </c>
      <c r="F58" s="14">
        <f ca="1"/>
        <v>45964</v>
      </c>
      <c r="G58" s="14" t="str">
        <f ca="1"/>
        <v>-</v>
      </c>
      <c r="H58" s="1" t="str">
        <f>IF(Back_End_Data!G58="Completed","Yes","No")</f>
        <v>No</v>
      </c>
      <c r="I58" s="1" t="str">
        <f>IF(Back_End_Data!I58="Completed","Yes","No")</f>
        <v>No</v>
      </c>
      <c r="J58" s="1" t="str">
        <f>IF(Back_End_Data!J58="Completed","Yes","No")</f>
        <v>No</v>
      </c>
      <c r="K58" s="1" t="str">
        <f>IF(Back_End_Data!K58="Completed","Yes","No")</f>
        <v>No</v>
      </c>
      <c r="L58" s="1" t="str">
        <f>IF(Back_End_Data!L58="", "No", Back_End_Data!L58)</f>
        <v>NA</v>
      </c>
      <c r="M58" s="1" t="str">
        <f>IF(Back_End_Data!N58="", "No", Back_End_Data!N58)</f>
        <v>NA</v>
      </c>
      <c r="N58" s="1" t="str">
        <f>IF(Back_End_Data!M58="", "No", Back_End_Data!M58)</f>
        <v>NA</v>
      </c>
      <c r="O58" s="1" t="str">
        <f>IF(Back_End_Data!O58="Completed","Yes","No")</f>
        <v>No</v>
      </c>
      <c r="P58" s="1" t="str">
        <f>IF(Back_End_Data!H58="Completed","Yes","No")</f>
        <v>No</v>
      </c>
      <c r="Q58" s="1" t="str">
        <f>IF(Back_End_Data!P58="Completed","Yes","No")</f>
        <v>Yes</v>
      </c>
      <c r="R58" s="1" t="s">
        <v>2369</v>
      </c>
      <c r="S58" s="1" t="str">
        <f>IF(Back_End_Data!R58="Completed","Yes","No")</f>
        <v>No</v>
      </c>
      <c r="T58" s="1" t="str">
        <f>IF(Back_End_Data!S58="Yes","Yes","No")</f>
        <v>No</v>
      </c>
      <c r="U58" s="1" t="str">
        <f>IF(Back_End_Data!Q57="Completed","Yes","No")</f>
        <v>No</v>
      </c>
      <c r="V58" s="1" t="str">
        <f ca="1">IF(INDEX(MIS_Backend_Data!L:L, MATCH(D58, MIS_Backend_Data!B:B, 1)) = "WT", "Yes", "No")</f>
        <v>No</v>
      </c>
      <c r="W58" s="2" t="str">
        <f t="shared" ca="1" si="2"/>
        <v>Reject</v>
      </c>
      <c r="Z58" s="1">
        <f ca="1"/>
        <v>0</v>
      </c>
      <c r="AA58" s="1">
        <f t="shared" ca="1" si="0"/>
        <v>1</v>
      </c>
      <c r="AC58" s="1" t="str">
        <f ca="1"/>
        <v>Open</v>
      </c>
      <c r="AG58" s="1" t="str">
        <f t="shared" si="1"/>
        <v/>
      </c>
    </row>
    <row r="59" spans="1:33" ht="20.25" customHeight="1">
      <c r="A59" s="13">
        <v>58</v>
      </c>
      <c r="B59" s="1" t="str">
        <f ca="1"/>
        <v>Indusind General Insurance Co Ltd</v>
      </c>
      <c r="C59" s="13" t="str">
        <f ca="1"/>
        <v>2025212145</v>
      </c>
      <c r="D59" s="13" t="str">
        <f ca="1"/>
        <v>R001-1058-SS-2025</v>
      </c>
      <c r="E59" s="13">
        <f ca="1"/>
        <v>63</v>
      </c>
      <c r="F59" s="14">
        <f ca="1"/>
        <v>45964</v>
      </c>
      <c r="G59" s="14" t="str">
        <f ca="1"/>
        <v>-</v>
      </c>
      <c r="H59" s="1" t="str">
        <f>IF(Back_End_Data!G59="Completed","Yes","No")</f>
        <v>Yes</v>
      </c>
      <c r="I59" s="1" t="str">
        <f>IF(Back_End_Data!I59="Completed","Yes","No")</f>
        <v>Yes</v>
      </c>
      <c r="J59" s="1" t="str">
        <f>IF(Back_End_Data!J59="Completed","Yes","No")</f>
        <v>No</v>
      </c>
      <c r="K59" s="1" t="str">
        <f>IF(Back_End_Data!K59="Completed","Yes","No")</f>
        <v>Yes</v>
      </c>
      <c r="L59" s="1" t="str">
        <f>IF(Back_End_Data!L59="", "No", Back_End_Data!L59)</f>
        <v>NA</v>
      </c>
      <c r="M59" s="1" t="str">
        <f>IF(Back_End_Data!N59="", "No", Back_End_Data!N59)</f>
        <v>NA</v>
      </c>
      <c r="N59" s="1" t="str">
        <f>IF(Back_End_Data!M59="", "No", Back_End_Data!M59)</f>
        <v>NA</v>
      </c>
      <c r="O59" s="1" t="str">
        <f>IF(Back_End_Data!O59="Completed","Yes","No")</f>
        <v>No</v>
      </c>
      <c r="P59" s="1" t="str">
        <f>IF(Back_End_Data!H59="Completed","Yes","No")</f>
        <v>No</v>
      </c>
      <c r="Q59" s="1" t="str">
        <f>IF(Back_End_Data!P59="Completed","Yes","No")</f>
        <v>Yes</v>
      </c>
      <c r="R59" s="1" t="s">
        <v>2369</v>
      </c>
      <c r="S59" s="1" t="str">
        <f>IF(Back_End_Data!R59="Completed","Yes","No")</f>
        <v>No</v>
      </c>
      <c r="T59" s="1" t="str">
        <f>IF(Back_End_Data!S59="Yes","Yes","No")</f>
        <v>No</v>
      </c>
      <c r="U59" s="1" t="str">
        <f>IF(Back_End_Data!Q58="Completed","Yes","No")</f>
        <v>No</v>
      </c>
      <c r="V59" s="1" t="str">
        <f ca="1">IF(INDEX(MIS_Backend_Data!L:L, MATCH(D59, MIS_Backend_Data!B:B, 1)) = "WT", "Yes", "No")</f>
        <v>No</v>
      </c>
      <c r="W59" s="2" t="str">
        <f t="shared" ca="1" si="2"/>
        <v>Reject</v>
      </c>
      <c r="Z59" s="1">
        <f ca="1"/>
        <v>0</v>
      </c>
      <c r="AA59" s="1">
        <f t="shared" ca="1" si="0"/>
        <v>4</v>
      </c>
      <c r="AC59" s="1" t="str">
        <f ca="1"/>
        <v>Open</v>
      </c>
      <c r="AG59" s="1" t="str">
        <f t="shared" si="1"/>
        <v/>
      </c>
    </row>
    <row r="60" spans="1:33" ht="20.25" customHeight="1">
      <c r="A60" s="13">
        <v>59</v>
      </c>
      <c r="B60" s="1" t="str">
        <f ca="1"/>
        <v>Indusind General Insurance Co Ltd</v>
      </c>
      <c r="C60" s="13" t="str">
        <f ca="1"/>
        <v>2025212140</v>
      </c>
      <c r="D60" s="13" t="str">
        <f ca="1"/>
        <v>R001-1059-SS-2025</v>
      </c>
      <c r="E60" s="13">
        <f ca="1"/>
        <v>57</v>
      </c>
      <c r="F60" s="14">
        <f ca="1"/>
        <v>45964</v>
      </c>
      <c r="G60" s="14">
        <f ca="1"/>
        <v>46021</v>
      </c>
      <c r="H60" s="1" t="str">
        <f>IF(Back_End_Data!G60="Completed","Yes","No")</f>
        <v>Yes</v>
      </c>
      <c r="I60" s="1" t="str">
        <f>IF(Back_End_Data!I60="Completed","Yes","No")</f>
        <v>Yes</v>
      </c>
      <c r="J60" s="1" t="str">
        <f>IF(Back_End_Data!J60="Completed","Yes","No")</f>
        <v>No</v>
      </c>
      <c r="K60" s="1" t="str">
        <f>IF(Back_End_Data!K60="Completed","Yes","No")</f>
        <v>Yes</v>
      </c>
      <c r="L60" s="1" t="str">
        <f>IF(Back_End_Data!L60="", "No", Back_End_Data!L60)</f>
        <v>NA</v>
      </c>
      <c r="M60" s="1" t="str">
        <f>IF(Back_End_Data!N60="", "No", Back_End_Data!N60)</f>
        <v>NA</v>
      </c>
      <c r="N60" s="1" t="str">
        <f>IF(Back_End_Data!M60="", "No", Back_End_Data!M60)</f>
        <v>NA</v>
      </c>
      <c r="O60" s="1" t="str">
        <f>IF(Back_End_Data!O60="Completed","Yes","No")</f>
        <v>No</v>
      </c>
      <c r="P60" s="1" t="str">
        <f>IF(Back_End_Data!H60="Completed","Yes","No")</f>
        <v>No</v>
      </c>
      <c r="Q60" s="1" t="str">
        <f>IF(Back_End_Data!P60="Completed","Yes","No")</f>
        <v>Yes</v>
      </c>
      <c r="R60" s="1" t="s">
        <v>2369</v>
      </c>
      <c r="S60" s="1" t="str">
        <f>IF(Back_End_Data!R60="Completed","Yes","No")</f>
        <v>No</v>
      </c>
      <c r="T60" s="1" t="str">
        <f>IF(Back_End_Data!S60="Yes","Yes","No")</f>
        <v>No</v>
      </c>
      <c r="U60" s="1" t="str">
        <f>IF(Back_End_Data!Q59="Completed","Yes","No")</f>
        <v>No</v>
      </c>
      <c r="V60" s="1" t="str">
        <f ca="1">IF(INDEX(MIS_Backend_Data!L:L, MATCH(D60, MIS_Backend_Data!B:B, 1)) = "WT", "Yes", "No")</f>
        <v>No</v>
      </c>
      <c r="W60" s="2" t="str">
        <f t="shared" ca="1" si="2"/>
        <v>Reject</v>
      </c>
      <c r="Z60" s="1">
        <f ca="1"/>
        <v>0</v>
      </c>
      <c r="AA60" s="1">
        <f t="shared" ca="1" si="0"/>
        <v>4</v>
      </c>
      <c r="AC60" s="1" t="str">
        <f ca="1"/>
        <v>QC</v>
      </c>
      <c r="AG60" s="1" t="str">
        <f t="shared" si="1"/>
        <v/>
      </c>
    </row>
    <row r="61" spans="1:33" ht="20.25" customHeight="1">
      <c r="A61" s="13">
        <v>60</v>
      </c>
      <c r="B61" s="1" t="str">
        <f ca="1"/>
        <v>Indusind General Insurance Co Ltd</v>
      </c>
      <c r="C61" s="13" t="str">
        <f ca="1"/>
        <v>2025212028</v>
      </c>
      <c r="D61" s="13" t="str">
        <f ca="1"/>
        <v>R001-1060-SS-2025</v>
      </c>
      <c r="E61" s="13">
        <f ca="1"/>
        <v>51</v>
      </c>
      <c r="F61" s="14">
        <f ca="1"/>
        <v>45964</v>
      </c>
      <c r="G61" s="14">
        <f ca="1"/>
        <v>46015</v>
      </c>
      <c r="H61" s="1" t="str">
        <f>IF(Back_End_Data!G61="Completed","Yes","No")</f>
        <v>Yes</v>
      </c>
      <c r="I61" s="1" t="str">
        <f>IF(Back_End_Data!I61="Completed","Yes","No")</f>
        <v>Yes</v>
      </c>
      <c r="J61" s="1" t="str">
        <f>IF(Back_End_Data!J61="Completed","Yes","No")</f>
        <v>No</v>
      </c>
      <c r="K61" s="1" t="str">
        <f>IF(Back_End_Data!K61="Completed","Yes","No")</f>
        <v>No</v>
      </c>
      <c r="L61" s="1" t="str">
        <f>IF(Back_End_Data!L61="", "No", Back_End_Data!L61)</f>
        <v>NA</v>
      </c>
      <c r="M61" s="1" t="str">
        <f>IF(Back_End_Data!N61="", "No", Back_End_Data!N61)</f>
        <v>NA</v>
      </c>
      <c r="N61" s="1" t="str">
        <f>IF(Back_End_Data!M61="", "No", Back_End_Data!M61)</f>
        <v>NA</v>
      </c>
      <c r="O61" s="1" t="str">
        <f>IF(Back_End_Data!O61="Completed","Yes","No")</f>
        <v>No</v>
      </c>
      <c r="P61" s="1" t="str">
        <f>IF(Back_End_Data!H61="Completed","Yes","No")</f>
        <v>No</v>
      </c>
      <c r="Q61" s="1" t="str">
        <f>IF(Back_End_Data!P61="Completed","Yes","No")</f>
        <v>Yes</v>
      </c>
      <c r="R61" s="1" t="s">
        <v>2369</v>
      </c>
      <c r="S61" s="1" t="str">
        <f>IF(Back_End_Data!R61="Completed","Yes","No")</f>
        <v>No</v>
      </c>
      <c r="T61" s="1" t="str">
        <f>IF(Back_End_Data!S61="Yes","Yes","No")</f>
        <v>No</v>
      </c>
      <c r="U61" s="1" t="str">
        <f>IF(Back_End_Data!Q60="Completed","Yes","No")</f>
        <v>No</v>
      </c>
      <c r="V61" s="1" t="str">
        <f ca="1">IF(INDEX(MIS_Backend_Data!L:L, MATCH(D61, MIS_Backend_Data!B:B, 1)) = "WT", "Yes", "No")</f>
        <v>No</v>
      </c>
      <c r="W61" s="2" t="str">
        <f t="shared" ca="1" si="2"/>
        <v>Reject</v>
      </c>
      <c r="Z61" s="1">
        <f ca="1"/>
        <v>0</v>
      </c>
      <c r="AA61" s="1">
        <f t="shared" ca="1" si="0"/>
        <v>3</v>
      </c>
      <c r="AC61" s="1" t="str">
        <f ca="1"/>
        <v>Dispatch</v>
      </c>
      <c r="AG61" s="1" t="str">
        <f t="shared" si="1"/>
        <v/>
      </c>
    </row>
    <row r="62" spans="1:33" ht="20.25" customHeight="1">
      <c r="A62" s="13">
        <v>61</v>
      </c>
      <c r="B62" s="1" t="str">
        <f ca="1"/>
        <v>Indusind General Insurance Co Ltd</v>
      </c>
      <c r="C62" s="13" t="str">
        <f ca="1"/>
        <v>2025212222</v>
      </c>
      <c r="D62" s="13" t="str">
        <f ca="1"/>
        <v>R001-1061-SS-2025</v>
      </c>
      <c r="E62" s="13">
        <f ca="1"/>
        <v>63</v>
      </c>
      <c r="F62" s="14">
        <f ca="1"/>
        <v>45964</v>
      </c>
      <c r="G62" s="14" t="str">
        <f ca="1"/>
        <v>-</v>
      </c>
      <c r="H62" s="1" t="str">
        <f>IF(Back_End_Data!G62="Completed","Yes","No")</f>
        <v>No</v>
      </c>
      <c r="I62" s="1" t="str">
        <f>IF(Back_End_Data!I62="Completed","Yes","No")</f>
        <v>Yes</v>
      </c>
      <c r="J62" s="1" t="str">
        <f>IF(Back_End_Data!J62="Completed","Yes","No")</f>
        <v>No</v>
      </c>
      <c r="K62" s="1" t="str">
        <f>IF(Back_End_Data!K62="Completed","Yes","No")</f>
        <v>No</v>
      </c>
      <c r="L62" s="1" t="str">
        <f>IF(Back_End_Data!L62="", "No", Back_End_Data!L62)</f>
        <v>NA</v>
      </c>
      <c r="M62" s="1" t="str">
        <f>IF(Back_End_Data!N62="", "No", Back_End_Data!N62)</f>
        <v>NA</v>
      </c>
      <c r="N62" s="1" t="str">
        <f>IF(Back_End_Data!M62="", "No", Back_End_Data!M62)</f>
        <v>NA</v>
      </c>
      <c r="O62" s="1" t="str">
        <f>IF(Back_End_Data!O62="Completed","Yes","No")</f>
        <v>No</v>
      </c>
      <c r="P62" s="1" t="str">
        <f>IF(Back_End_Data!H62="Completed","Yes","No")</f>
        <v>No</v>
      </c>
      <c r="Q62" s="1" t="str">
        <f>IF(Back_End_Data!P62="Completed","Yes","No")</f>
        <v>No</v>
      </c>
      <c r="R62" s="1" t="s">
        <v>2369</v>
      </c>
      <c r="S62" s="1" t="str">
        <f>IF(Back_End_Data!R62="Completed","Yes","No")</f>
        <v>No</v>
      </c>
      <c r="T62" s="1" t="str">
        <f>IF(Back_End_Data!S62="Yes","Yes","No")</f>
        <v>No</v>
      </c>
      <c r="U62" s="1" t="str">
        <f>IF(Back_End_Data!Q61="Completed","Yes","No")</f>
        <v>Yes</v>
      </c>
      <c r="V62" s="1" t="str">
        <f ca="1">IF(INDEX(MIS_Backend_Data!L:L, MATCH(D62, MIS_Backend_Data!B:B, 1)) = "WT", "Yes", "No")</f>
        <v>No</v>
      </c>
      <c r="W62" s="2" t="str">
        <f t="shared" ca="1" si="2"/>
        <v>Reject</v>
      </c>
      <c r="Z62" s="1">
        <f ca="1"/>
        <v>0</v>
      </c>
      <c r="AA62" s="1">
        <f t="shared" ca="1" si="0"/>
        <v>2</v>
      </c>
      <c r="AC62" s="1" t="str">
        <f ca="1"/>
        <v>Open</v>
      </c>
      <c r="AG62" s="1" t="str">
        <f t="shared" si="1"/>
        <v/>
      </c>
    </row>
    <row r="63" spans="1:33" ht="20.25" customHeight="1">
      <c r="A63" s="13">
        <v>62</v>
      </c>
      <c r="B63" s="1" t="str">
        <f ca="1"/>
        <v>Indusind General Insurance Co Ltd</v>
      </c>
      <c r="C63" s="13" t="str">
        <f ca="1"/>
        <v>2025212162</v>
      </c>
      <c r="D63" s="13" t="str">
        <f ca="1"/>
        <v>R001-1062-SS-2025</v>
      </c>
      <c r="E63" s="13">
        <f ca="1"/>
        <v>63</v>
      </c>
      <c r="F63" s="14">
        <f ca="1"/>
        <v>45964</v>
      </c>
      <c r="G63" s="14" t="str">
        <f ca="1"/>
        <v>-</v>
      </c>
      <c r="H63" s="1" t="str">
        <f>IF(Back_End_Data!G63="Completed","Yes","No")</f>
        <v>Yes</v>
      </c>
      <c r="I63" s="1" t="str">
        <f>IF(Back_End_Data!I63="Completed","Yes","No")</f>
        <v>No</v>
      </c>
      <c r="J63" s="1" t="str">
        <f>IF(Back_End_Data!J63="Completed","Yes","No")</f>
        <v>No</v>
      </c>
      <c r="K63" s="1" t="str">
        <f>IF(Back_End_Data!K63="Completed","Yes","No")</f>
        <v>No</v>
      </c>
      <c r="L63" s="1" t="str">
        <f>IF(Back_End_Data!L63="", "No", Back_End_Data!L63)</f>
        <v>NA</v>
      </c>
      <c r="M63" s="1" t="str">
        <f>IF(Back_End_Data!N63="", "No", Back_End_Data!N63)</f>
        <v>NA</v>
      </c>
      <c r="N63" s="1" t="str">
        <f>IF(Back_End_Data!M63="", "No", Back_End_Data!M63)</f>
        <v>NA</v>
      </c>
      <c r="O63" s="1" t="str">
        <f>IF(Back_End_Data!O63="Completed","Yes","No")</f>
        <v>No</v>
      </c>
      <c r="P63" s="1" t="str">
        <f>IF(Back_End_Data!H63="Completed","Yes","No")</f>
        <v>No</v>
      </c>
      <c r="Q63" s="1" t="str">
        <f>IF(Back_End_Data!P63="Completed","Yes","No")</f>
        <v>No</v>
      </c>
      <c r="R63" s="1" t="s">
        <v>2369</v>
      </c>
      <c r="S63" s="1" t="str">
        <f>IF(Back_End_Data!R63="Completed","Yes","No")</f>
        <v>No</v>
      </c>
      <c r="T63" s="1" t="str">
        <f>IF(Back_End_Data!S63="Yes","Yes","No")</f>
        <v>No</v>
      </c>
      <c r="U63" s="1" t="str">
        <f>IF(Back_End_Data!Q62="Completed","Yes","No")</f>
        <v>No</v>
      </c>
      <c r="V63" s="1" t="str">
        <f ca="1">IF(INDEX(MIS_Backend_Data!L:L, MATCH(D63, MIS_Backend_Data!B:B, 1)) = "WT", "Yes", "No")</f>
        <v>No</v>
      </c>
      <c r="W63" s="2" t="str">
        <f t="shared" ca="1" si="2"/>
        <v>Reject</v>
      </c>
      <c r="Z63" s="1">
        <f ca="1"/>
        <v>0</v>
      </c>
      <c r="AA63" s="1">
        <f t="shared" ca="1" si="0"/>
        <v>1</v>
      </c>
      <c r="AC63" s="1" t="str">
        <f ca="1"/>
        <v>Open</v>
      </c>
      <c r="AG63" s="1" t="str">
        <f t="shared" si="1"/>
        <v/>
      </c>
    </row>
    <row r="64" spans="1:33" ht="20.25" customHeight="1">
      <c r="A64" s="13">
        <v>63</v>
      </c>
      <c r="B64" s="1" t="str">
        <f ca="1"/>
        <v>Generali Central Insurance Company Limited</v>
      </c>
      <c r="C64" s="13" t="str">
        <f ca="1"/>
        <v xml:space="preserve">CN074856 </v>
      </c>
      <c r="D64" s="13" t="str">
        <f ca="1"/>
        <v>F001-1063-SS-2025</v>
      </c>
      <c r="E64" s="13">
        <f ca="1"/>
        <v>19</v>
      </c>
      <c r="F64" s="14">
        <f ca="1"/>
        <v>45968</v>
      </c>
      <c r="G64" s="14">
        <f ca="1"/>
        <v>45987</v>
      </c>
      <c r="H64" s="1" t="str">
        <f>IF(Back_End_Data!G64="Completed","Yes","No")</f>
        <v>Yes</v>
      </c>
      <c r="I64" s="1" t="str">
        <f>IF(Back_End_Data!I64="Completed","Yes","No")</f>
        <v>No</v>
      </c>
      <c r="J64" s="1" t="str">
        <f>IF(Back_End_Data!J64="Completed","Yes","No")</f>
        <v>No</v>
      </c>
      <c r="K64" s="1" t="str">
        <f>IF(Back_End_Data!K64="Completed","Yes","No")</f>
        <v>No</v>
      </c>
      <c r="L64" s="1" t="str">
        <f>IF(Back_End_Data!L64="", "No", Back_End_Data!L64)</f>
        <v>NA</v>
      </c>
      <c r="M64" s="1" t="str">
        <f>IF(Back_End_Data!N64="", "No", Back_End_Data!N64)</f>
        <v>NA</v>
      </c>
      <c r="N64" s="1" t="str">
        <f>IF(Back_End_Data!M64="", "No", Back_End_Data!M64)</f>
        <v>NA</v>
      </c>
      <c r="O64" s="1" t="str">
        <f>IF(Back_End_Data!O64="Completed","Yes","No")</f>
        <v>No</v>
      </c>
      <c r="P64" s="1" t="str">
        <f>IF(Back_End_Data!H64="Completed","Yes","No")</f>
        <v>No</v>
      </c>
      <c r="Q64" s="1" t="str">
        <f>IF(Back_End_Data!P64="Completed","Yes","No")</f>
        <v>No</v>
      </c>
      <c r="R64" s="1" t="s">
        <v>2369</v>
      </c>
      <c r="S64" s="1" t="str">
        <f>IF(Back_End_Data!R64="Completed","Yes","No")</f>
        <v>No</v>
      </c>
      <c r="T64" s="1" t="str">
        <f>IF(Back_End_Data!S64="Yes","Yes","No")</f>
        <v>No</v>
      </c>
      <c r="U64" s="1" t="str">
        <f>IF(Back_End_Data!Q63="Completed","Yes","No")</f>
        <v>No</v>
      </c>
      <c r="V64" s="1" t="str">
        <f ca="1">IF(INDEX(MIS_Backend_Data!L:L, MATCH(D64, MIS_Backend_Data!B:B, 1)) = "WT", "Yes", "No")</f>
        <v>No</v>
      </c>
      <c r="W64" s="2" t="str">
        <f t="shared" ca="1" si="2"/>
        <v>Reject</v>
      </c>
      <c r="Z64" s="1">
        <f ca="1"/>
        <v>0</v>
      </c>
      <c r="AA64" s="1">
        <f t="shared" ca="1" si="0"/>
        <v>1</v>
      </c>
      <c r="AC64" s="1" t="str">
        <f ca="1"/>
        <v>Dispatch</v>
      </c>
      <c r="AG64" s="1" t="str">
        <f t="shared" si="1"/>
        <v/>
      </c>
    </row>
    <row r="65" spans="1:33" ht="20.25" customHeight="1">
      <c r="A65" s="13">
        <v>64</v>
      </c>
      <c r="B65" s="1" t="str">
        <f ca="1"/>
        <v>Generali Central Insurance Company Limited</v>
      </c>
      <c r="C65" s="13" t="str">
        <f ca="1"/>
        <v xml:space="preserve">CM596085 </v>
      </c>
      <c r="D65" s="13" t="str">
        <f ca="1"/>
        <v>F001-1064-SS-2025</v>
      </c>
      <c r="E65" s="13">
        <f ca="1"/>
        <v>18</v>
      </c>
      <c r="F65" s="14">
        <f ca="1"/>
        <v>45968</v>
      </c>
      <c r="G65" s="14">
        <f ca="1"/>
        <v>45986</v>
      </c>
      <c r="H65" s="1" t="str">
        <f>IF(Back_End_Data!G65="Completed","Yes","No")</f>
        <v>No</v>
      </c>
      <c r="I65" s="1" t="str">
        <f>IF(Back_End_Data!I65="Completed","Yes","No")</f>
        <v>Yes</v>
      </c>
      <c r="J65" s="1" t="str">
        <f>IF(Back_End_Data!J65="Completed","Yes","No")</f>
        <v>No</v>
      </c>
      <c r="K65" s="1" t="str">
        <f>IF(Back_End_Data!K65="Completed","Yes","No")</f>
        <v>Yes</v>
      </c>
      <c r="L65" s="1" t="str">
        <f>IF(Back_End_Data!L65="", "No", Back_End_Data!L65)</f>
        <v>NA</v>
      </c>
      <c r="M65" s="1" t="str">
        <f>IF(Back_End_Data!N65="", "No", Back_End_Data!N65)</f>
        <v>NA</v>
      </c>
      <c r="N65" s="1" t="str">
        <f>IF(Back_End_Data!M65="", "No", Back_End_Data!M65)</f>
        <v>NA</v>
      </c>
      <c r="O65" s="1" t="str">
        <f>IF(Back_End_Data!O65="Completed","Yes","No")</f>
        <v>No</v>
      </c>
      <c r="P65" s="1" t="str">
        <f>IF(Back_End_Data!H65="Completed","Yes","No")</f>
        <v>No</v>
      </c>
      <c r="Q65" s="1" t="str">
        <f>IF(Back_End_Data!P65="Completed","Yes","No")</f>
        <v>No</v>
      </c>
      <c r="R65" s="1" t="s">
        <v>2369</v>
      </c>
      <c r="S65" s="1" t="str">
        <f>IF(Back_End_Data!R65="Completed","Yes","No")</f>
        <v>No</v>
      </c>
      <c r="T65" s="1" t="str">
        <f>IF(Back_End_Data!S65="Yes","Yes","No")</f>
        <v>No</v>
      </c>
      <c r="U65" s="1" t="str">
        <f>IF(Back_End_Data!Q64="Completed","Yes","No")</f>
        <v>No</v>
      </c>
      <c r="V65" s="1" t="str">
        <f ca="1">IF(INDEX(MIS_Backend_Data!L:L, MATCH(D65, MIS_Backend_Data!B:B, 1)) = "WT", "Yes", "No")</f>
        <v>No</v>
      </c>
      <c r="W65" s="2" t="str">
        <f t="shared" ca="1" si="2"/>
        <v>Reject</v>
      </c>
      <c r="Z65" s="1">
        <f ca="1"/>
        <v>0</v>
      </c>
      <c r="AA65" s="1">
        <f t="shared" ca="1" si="0"/>
        <v>2</v>
      </c>
      <c r="AC65" s="1" t="str">
        <f ca="1"/>
        <v>Dispatch</v>
      </c>
      <c r="AG65" s="1" t="str">
        <f t="shared" si="1"/>
        <v/>
      </c>
    </row>
    <row r="66" spans="1:33" ht="20.25" customHeight="1">
      <c r="A66" s="13">
        <v>65</v>
      </c>
      <c r="B66" s="1" t="str">
        <f ca="1"/>
        <v>Indusind General Insurance Co Ltd</v>
      </c>
      <c r="C66" s="13" t="str">
        <f ca="1"/>
        <v>2025212410</v>
      </c>
      <c r="D66" s="13" t="str">
        <f ca="1"/>
        <v>R001-1065-SS-2025</v>
      </c>
      <c r="E66" s="13">
        <f ca="1"/>
        <v>57</v>
      </c>
      <c r="F66" s="14">
        <f ca="1"/>
        <v>45970</v>
      </c>
      <c r="G66" s="14" t="str">
        <f ca="1"/>
        <v>-</v>
      </c>
      <c r="H66" s="1" t="str">
        <f>IF(Back_End_Data!G66="Completed","Yes","No")</f>
        <v>No</v>
      </c>
      <c r="I66" s="1" t="str">
        <f>IF(Back_End_Data!I66="Completed","Yes","No")</f>
        <v>No</v>
      </c>
      <c r="J66" s="1" t="str">
        <f>IF(Back_End_Data!J66="Completed","Yes","No")</f>
        <v>No</v>
      </c>
      <c r="K66" s="1" t="str">
        <f>IF(Back_End_Data!K66="Completed","Yes","No")</f>
        <v>No</v>
      </c>
      <c r="L66" s="1" t="str">
        <f>IF(Back_End_Data!L66="", "No", Back_End_Data!L66)</f>
        <v>NA</v>
      </c>
      <c r="M66" s="1" t="str">
        <f>IF(Back_End_Data!N66="", "No", Back_End_Data!N66)</f>
        <v>NA</v>
      </c>
      <c r="N66" s="1" t="str">
        <f>IF(Back_End_Data!M66="", "No", Back_End_Data!M66)</f>
        <v>NA</v>
      </c>
      <c r="O66" s="1" t="str">
        <f>IF(Back_End_Data!O66="Completed","Yes","No")</f>
        <v>No</v>
      </c>
      <c r="P66" s="1" t="str">
        <f>IF(Back_End_Data!H66="Completed","Yes","No")</f>
        <v>No</v>
      </c>
      <c r="Q66" s="1" t="str">
        <f>IF(Back_End_Data!P66="Completed","Yes","No")</f>
        <v>No</v>
      </c>
      <c r="R66" s="1" t="s">
        <v>2369</v>
      </c>
      <c r="S66" s="1" t="str">
        <f>IF(Back_End_Data!R66="Completed","Yes","No")</f>
        <v>No</v>
      </c>
      <c r="T66" s="1" t="str">
        <f>IF(Back_End_Data!S66="Yes","Yes","No")</f>
        <v>No</v>
      </c>
      <c r="U66" s="1" t="str">
        <f>IF(Back_End_Data!Q65="Completed","Yes","No")</f>
        <v>No</v>
      </c>
      <c r="V66" s="1" t="str">
        <f ca="1">IF(INDEX(MIS_Backend_Data!L:L, MATCH(D66, MIS_Backend_Data!B:B, 1)) = "WT", "Yes", "No")</f>
        <v>No</v>
      </c>
      <c r="W66" s="2" t="str">
        <f t="shared" ca="1" si="2"/>
        <v>Approved</v>
      </c>
      <c r="Z66" s="1">
        <f ca="1"/>
        <v>0</v>
      </c>
      <c r="AA66" s="1">
        <f t="shared" ca="1" si="0"/>
        <v>0</v>
      </c>
      <c r="AC66" s="1" t="str">
        <f ca="1"/>
        <v>Open</v>
      </c>
      <c r="AG66" s="1" t="str">
        <f t="shared" si="1"/>
        <v/>
      </c>
    </row>
    <row r="67" spans="1:33" ht="20.25" customHeight="1">
      <c r="A67" s="13">
        <v>66</v>
      </c>
      <c r="B67" s="1" t="str">
        <f ca="1"/>
        <v>Indusind General Insurance Co Ltd</v>
      </c>
      <c r="C67" s="13" t="str">
        <f ca="1"/>
        <v>2025212250</v>
      </c>
      <c r="D67" s="13" t="str">
        <f ca="1"/>
        <v>R001-1066-SS-2025</v>
      </c>
      <c r="E67" s="13">
        <f ca="1"/>
        <v>55</v>
      </c>
      <c r="F67" s="14">
        <f ca="1"/>
        <v>45970</v>
      </c>
      <c r="G67" s="14">
        <f ca="1"/>
        <v>46025</v>
      </c>
      <c r="H67" s="1" t="str">
        <f>IF(Back_End_Data!G67="Completed","Yes","No")</f>
        <v>No</v>
      </c>
      <c r="I67" s="1" t="str">
        <f>IF(Back_End_Data!I67="Completed","Yes","No")</f>
        <v>No</v>
      </c>
      <c r="J67" s="1" t="str">
        <f>IF(Back_End_Data!J67="Completed","Yes","No")</f>
        <v>No</v>
      </c>
      <c r="K67" s="1" t="str">
        <f>IF(Back_End_Data!K67="Completed","Yes","No")</f>
        <v>No</v>
      </c>
      <c r="L67" s="1" t="str">
        <f>IF(Back_End_Data!L67="", "No", Back_End_Data!L67)</f>
        <v>NA</v>
      </c>
      <c r="M67" s="1" t="str">
        <f>IF(Back_End_Data!N67="", "No", Back_End_Data!N67)</f>
        <v>NA</v>
      </c>
      <c r="N67" s="1" t="str">
        <f>IF(Back_End_Data!M67="", "No", Back_End_Data!M67)</f>
        <v>NA</v>
      </c>
      <c r="O67" s="1" t="str">
        <f>IF(Back_End_Data!O67="Completed","Yes","No")</f>
        <v>No</v>
      </c>
      <c r="P67" s="1" t="str">
        <f>IF(Back_End_Data!H67="Completed","Yes","No")</f>
        <v>No</v>
      </c>
      <c r="Q67" s="1" t="str">
        <f>IF(Back_End_Data!P67="Completed","Yes","No")</f>
        <v>Yes</v>
      </c>
      <c r="R67" s="1" t="s">
        <v>2369</v>
      </c>
      <c r="S67" s="1" t="str">
        <f>IF(Back_End_Data!R67="Completed","Yes","No")</f>
        <v>No</v>
      </c>
      <c r="T67" s="1" t="str">
        <f>IF(Back_End_Data!S67="Yes","Yes","No")</f>
        <v>No</v>
      </c>
      <c r="U67" s="1" t="str">
        <f>IF(Back_End_Data!Q66="Completed","Yes","No")</f>
        <v>No</v>
      </c>
      <c r="V67" s="1" t="str">
        <f ca="1">IF(INDEX(MIS_Backend_Data!L:L, MATCH(D67, MIS_Backend_Data!B:B, 1)) = "WT", "Yes", "No")</f>
        <v>No</v>
      </c>
      <c r="W67" s="2" t="str">
        <f t="shared" ref="W67:W130" ca="1" si="3">IF(OR(Z67="", AA67=""), "", IF(Z67=AA67, "Approved", "Reject"))</f>
        <v>Reject</v>
      </c>
      <c r="Z67" s="1">
        <f ca="1"/>
        <v>0</v>
      </c>
      <c r="AA67" s="1">
        <f t="shared" ref="AA67:AA130" ca="1" si="4">COUNTIF(H67:V67,"Yes")</f>
        <v>1</v>
      </c>
      <c r="AC67" s="1" t="str">
        <f ca="1"/>
        <v>Dispatch</v>
      </c>
      <c r="AG67" s="1" t="str">
        <f t="shared" si="1"/>
        <v/>
      </c>
    </row>
    <row r="68" spans="1:33" ht="20.25" customHeight="1">
      <c r="A68" s="13">
        <v>67</v>
      </c>
      <c r="B68" s="1" t="str">
        <f ca="1"/>
        <v>Indusind General Insurance Co Ltd</v>
      </c>
      <c r="C68" s="13" t="str">
        <f ca="1"/>
        <v>2025212219</v>
      </c>
      <c r="D68" s="13" t="str">
        <f ca="1"/>
        <v>R001-1067-SS-2025</v>
      </c>
      <c r="E68" s="13">
        <f ca="1"/>
        <v>57</v>
      </c>
      <c r="F68" s="14">
        <f ca="1"/>
        <v>45970</v>
      </c>
      <c r="G68" s="14" t="str">
        <f ca="1"/>
        <v>-</v>
      </c>
      <c r="H68" s="1" t="str">
        <f>IF(Back_End_Data!G68="Completed","Yes","No")</f>
        <v>Yes</v>
      </c>
      <c r="I68" s="1" t="str">
        <f>IF(Back_End_Data!I68="Completed","Yes","No")</f>
        <v>Yes</v>
      </c>
      <c r="J68" s="1" t="str">
        <f>IF(Back_End_Data!J68="Completed","Yes","No")</f>
        <v>No</v>
      </c>
      <c r="K68" s="1" t="str">
        <f>IF(Back_End_Data!K68="Completed","Yes","No")</f>
        <v>Yes</v>
      </c>
      <c r="L68" s="1" t="str">
        <f>IF(Back_End_Data!L68="", "No", Back_End_Data!L68)</f>
        <v>NA</v>
      </c>
      <c r="M68" s="1" t="str">
        <f>IF(Back_End_Data!N68="", "No", Back_End_Data!N68)</f>
        <v>NA</v>
      </c>
      <c r="N68" s="1" t="str">
        <f>IF(Back_End_Data!M68="", "No", Back_End_Data!M68)</f>
        <v>NA</v>
      </c>
      <c r="O68" s="1" t="str">
        <f>IF(Back_End_Data!O68="Completed","Yes","No")</f>
        <v>No</v>
      </c>
      <c r="P68" s="1" t="str">
        <f>IF(Back_End_Data!H68="Completed","Yes","No")</f>
        <v>No</v>
      </c>
      <c r="Q68" s="1" t="str">
        <f>IF(Back_End_Data!P68="Completed","Yes","No")</f>
        <v>Yes</v>
      </c>
      <c r="R68" s="1" t="s">
        <v>2369</v>
      </c>
      <c r="S68" s="1" t="str">
        <f>IF(Back_End_Data!R68="Completed","Yes","No")</f>
        <v>No</v>
      </c>
      <c r="T68" s="1" t="str">
        <f>IF(Back_End_Data!S68="Yes","Yes","No")</f>
        <v>No</v>
      </c>
      <c r="U68" s="1" t="str">
        <f>IF(Back_End_Data!Q67="Completed","Yes","No")</f>
        <v>Yes</v>
      </c>
      <c r="V68" s="1" t="str">
        <f ca="1">IF(INDEX(MIS_Backend_Data!L:L, MATCH(D68, MIS_Backend_Data!B:B, 1)) = "WT", "Yes", "No")</f>
        <v>No</v>
      </c>
      <c r="W68" s="2" t="str">
        <f t="shared" ca="1" si="3"/>
        <v>Reject</v>
      </c>
      <c r="Z68" s="1">
        <f ca="1"/>
        <v>0</v>
      </c>
      <c r="AA68" s="1">
        <f t="shared" ca="1" si="4"/>
        <v>5</v>
      </c>
      <c r="AC68" s="1" t="str">
        <f ca="1"/>
        <v>QC</v>
      </c>
      <c r="AG68" s="1" t="str">
        <f t="shared" ref="AG68:AG131" si="5">IF(AND(AE68="Dispatch",AF68="Pending"),"Pending","")</f>
        <v/>
      </c>
    </row>
    <row r="69" spans="1:33" ht="20.25" customHeight="1">
      <c r="A69" s="13">
        <v>68</v>
      </c>
      <c r="B69" s="1" t="str">
        <f ca="1"/>
        <v>Indusind General Insurance Co Ltd</v>
      </c>
      <c r="C69" s="13" t="str">
        <f ca="1"/>
        <v>2025212215</v>
      </c>
      <c r="D69" s="13" t="str">
        <f ca="1"/>
        <v>R001-1068-SS-2025</v>
      </c>
      <c r="E69" s="13">
        <f ca="1"/>
        <v>57</v>
      </c>
      <c r="F69" s="14">
        <f ca="1"/>
        <v>45970</v>
      </c>
      <c r="G69" s="14" t="str">
        <f ca="1"/>
        <v>-</v>
      </c>
      <c r="H69" s="1" t="str">
        <f>IF(Back_End_Data!G69="Completed","Yes","No")</f>
        <v>Yes</v>
      </c>
      <c r="I69" s="1" t="str">
        <f>IF(Back_End_Data!I69="Completed","Yes","No")</f>
        <v>Yes</v>
      </c>
      <c r="J69" s="1" t="str">
        <f>IF(Back_End_Data!J69="Completed","Yes","No")</f>
        <v>No</v>
      </c>
      <c r="K69" s="1" t="str">
        <f>IF(Back_End_Data!K69="Completed","Yes","No")</f>
        <v>Yes</v>
      </c>
      <c r="L69" s="1" t="str">
        <f>IF(Back_End_Data!L69="", "No", Back_End_Data!L69)</f>
        <v>NA</v>
      </c>
      <c r="M69" s="1" t="str">
        <f>IF(Back_End_Data!N69="", "No", Back_End_Data!N69)</f>
        <v>NA</v>
      </c>
      <c r="N69" s="1" t="str">
        <f>IF(Back_End_Data!M69="", "No", Back_End_Data!M69)</f>
        <v>NA</v>
      </c>
      <c r="O69" s="1" t="str">
        <f>IF(Back_End_Data!O69="Completed","Yes","No")</f>
        <v>No</v>
      </c>
      <c r="P69" s="1" t="str">
        <f>IF(Back_End_Data!H69="Completed","Yes","No")</f>
        <v>No</v>
      </c>
      <c r="Q69" s="1" t="str">
        <f>IF(Back_End_Data!P69="Completed","Yes","No")</f>
        <v>Yes</v>
      </c>
      <c r="R69" s="1" t="s">
        <v>2369</v>
      </c>
      <c r="S69" s="1" t="str">
        <f>IF(Back_End_Data!R69="Completed","Yes","No")</f>
        <v>No</v>
      </c>
      <c r="T69" s="1" t="str">
        <f>IF(Back_End_Data!S69="Yes","Yes","No")</f>
        <v>No</v>
      </c>
      <c r="U69" s="1" t="str">
        <f>IF(Back_End_Data!Q68="Completed","Yes","No")</f>
        <v>No</v>
      </c>
      <c r="V69" s="1" t="str">
        <f ca="1">IF(INDEX(MIS_Backend_Data!L:L, MATCH(D69, MIS_Backend_Data!B:B, 1)) = "WT", "Yes", "No")</f>
        <v>No</v>
      </c>
      <c r="W69" s="2" t="str">
        <f t="shared" ca="1" si="3"/>
        <v>Reject</v>
      </c>
      <c r="Z69" s="1">
        <f ca="1"/>
        <v>0</v>
      </c>
      <c r="AA69" s="1">
        <f t="shared" ca="1" si="4"/>
        <v>4</v>
      </c>
      <c r="AC69" s="1" t="str">
        <f ca="1"/>
        <v>Open</v>
      </c>
      <c r="AG69" s="1" t="str">
        <f t="shared" si="5"/>
        <v/>
      </c>
    </row>
    <row r="70" spans="1:33" ht="20.25" customHeight="1">
      <c r="A70" s="13">
        <v>69</v>
      </c>
      <c r="B70" s="1" t="str">
        <f ca="1"/>
        <v>Indusind General Insurance Co Ltd</v>
      </c>
      <c r="C70" s="13" t="str">
        <f ca="1"/>
        <v>2025212407</v>
      </c>
      <c r="D70" s="13" t="str">
        <f ca="1"/>
        <v>R001-1069-SS-2025</v>
      </c>
      <c r="E70" s="13">
        <f ca="1"/>
        <v>57</v>
      </c>
      <c r="F70" s="14">
        <f ca="1"/>
        <v>45970</v>
      </c>
      <c r="G70" s="14" t="str">
        <f ca="1"/>
        <v>-</v>
      </c>
      <c r="H70" s="1" t="str">
        <f>IF(Back_End_Data!G70="Completed","Yes","No")</f>
        <v>Yes</v>
      </c>
      <c r="I70" s="1" t="str">
        <f>IF(Back_End_Data!I70="Completed","Yes","No")</f>
        <v>No</v>
      </c>
      <c r="J70" s="1" t="str">
        <f>IF(Back_End_Data!J70="Completed","Yes","No")</f>
        <v>No</v>
      </c>
      <c r="K70" s="1" t="str">
        <f>IF(Back_End_Data!K70="Completed","Yes","No")</f>
        <v>No</v>
      </c>
      <c r="L70" s="1" t="str">
        <f>IF(Back_End_Data!L70="", "No", Back_End_Data!L70)</f>
        <v>NA</v>
      </c>
      <c r="M70" s="1" t="str">
        <f>IF(Back_End_Data!N70="", "No", Back_End_Data!N70)</f>
        <v>NA</v>
      </c>
      <c r="N70" s="1" t="str">
        <f>IF(Back_End_Data!M70="", "No", Back_End_Data!M70)</f>
        <v>NA</v>
      </c>
      <c r="O70" s="1" t="str">
        <f>IF(Back_End_Data!O70="Completed","Yes","No")</f>
        <v>No</v>
      </c>
      <c r="P70" s="1" t="str">
        <f>IF(Back_End_Data!H70="Completed","Yes","No")</f>
        <v>No</v>
      </c>
      <c r="Q70" s="1" t="str">
        <f>IF(Back_End_Data!P70="Completed","Yes","No")</f>
        <v>No</v>
      </c>
      <c r="R70" s="1" t="s">
        <v>2369</v>
      </c>
      <c r="S70" s="1" t="str">
        <f>IF(Back_End_Data!R70="Completed","Yes","No")</f>
        <v>No</v>
      </c>
      <c r="T70" s="1" t="str">
        <f>IF(Back_End_Data!S70="Yes","Yes","No")</f>
        <v>No</v>
      </c>
      <c r="U70" s="1" t="str">
        <f>IF(Back_End_Data!Q69="Completed","Yes","No")</f>
        <v>Yes</v>
      </c>
      <c r="V70" s="1" t="str">
        <f ca="1">IF(INDEX(MIS_Backend_Data!L:L, MATCH(D70, MIS_Backend_Data!B:B, 1)) = "WT", "Yes", "No")</f>
        <v>No</v>
      </c>
      <c r="W70" s="2" t="str">
        <f t="shared" ca="1" si="3"/>
        <v>Reject</v>
      </c>
      <c r="Z70" s="1">
        <f ca="1"/>
        <v>0</v>
      </c>
      <c r="AA70" s="1">
        <f t="shared" ca="1" si="4"/>
        <v>2</v>
      </c>
      <c r="AC70" s="1" t="str">
        <f ca="1"/>
        <v>Open</v>
      </c>
      <c r="AG70" s="1" t="str">
        <f t="shared" si="5"/>
        <v/>
      </c>
    </row>
    <row r="71" spans="1:33" ht="20.25" customHeight="1">
      <c r="A71" s="13">
        <v>70</v>
      </c>
      <c r="B71" s="1" t="str">
        <f ca="1"/>
        <v>Indusind General Insurance Co Ltd</v>
      </c>
      <c r="C71" s="13" t="str">
        <f ca="1"/>
        <v>2025212443</v>
      </c>
      <c r="D71" s="13" t="str">
        <f ca="1"/>
        <v>R001-1070-SS-2025</v>
      </c>
      <c r="E71" s="13">
        <f ca="1"/>
        <v>57</v>
      </c>
      <c r="F71" s="14">
        <f ca="1"/>
        <v>45970</v>
      </c>
      <c r="G71" s="14" t="str">
        <f ca="1"/>
        <v>-</v>
      </c>
      <c r="H71" s="1" t="str">
        <f>IF(Back_End_Data!G71="Completed","Yes","No")</f>
        <v>No</v>
      </c>
      <c r="I71" s="1" t="str">
        <f>IF(Back_End_Data!I71="Completed","Yes","No")</f>
        <v>No</v>
      </c>
      <c r="J71" s="1" t="str">
        <f>IF(Back_End_Data!J71="Completed","Yes","No")</f>
        <v>No</v>
      </c>
      <c r="K71" s="1" t="str">
        <f>IF(Back_End_Data!K71="Completed","Yes","No")</f>
        <v>No</v>
      </c>
      <c r="L71" s="1" t="str">
        <f>IF(Back_End_Data!L71="", "No", Back_End_Data!L71)</f>
        <v>NA</v>
      </c>
      <c r="M71" s="1" t="str">
        <f>IF(Back_End_Data!N71="", "No", Back_End_Data!N71)</f>
        <v>NA</v>
      </c>
      <c r="N71" s="1" t="str">
        <f>IF(Back_End_Data!M71="", "No", Back_End_Data!M71)</f>
        <v>NA</v>
      </c>
      <c r="O71" s="1" t="str">
        <f>IF(Back_End_Data!O71="Completed","Yes","No")</f>
        <v>No</v>
      </c>
      <c r="P71" s="1" t="str">
        <f>IF(Back_End_Data!H71="Completed","Yes","No")</f>
        <v>No</v>
      </c>
      <c r="Q71" s="1" t="str">
        <f>IF(Back_End_Data!P71="Completed","Yes","No")</f>
        <v>No</v>
      </c>
      <c r="R71" s="1" t="s">
        <v>2369</v>
      </c>
      <c r="S71" s="1" t="str">
        <f>IF(Back_End_Data!R71="Completed","Yes","No")</f>
        <v>No</v>
      </c>
      <c r="T71" s="1" t="str">
        <f>IF(Back_End_Data!S71="Yes","Yes","No")</f>
        <v>No</v>
      </c>
      <c r="U71" s="1" t="str">
        <f>IF(Back_End_Data!Q70="Completed","Yes","No")</f>
        <v>No</v>
      </c>
      <c r="V71" s="1" t="str">
        <f ca="1">IF(INDEX(MIS_Backend_Data!L:L, MATCH(D71, MIS_Backend_Data!B:B, 1)) = "WT", "Yes", "No")</f>
        <v>No</v>
      </c>
      <c r="W71" s="2" t="str">
        <f t="shared" ca="1" si="3"/>
        <v>Approved</v>
      </c>
      <c r="Z71" s="1">
        <f ca="1"/>
        <v>0</v>
      </c>
      <c r="AA71" s="1">
        <f t="shared" ca="1" si="4"/>
        <v>0</v>
      </c>
      <c r="AC71" s="1" t="str">
        <f ca="1"/>
        <v>Open</v>
      </c>
      <c r="AG71" s="1" t="str">
        <f t="shared" si="5"/>
        <v/>
      </c>
    </row>
    <row r="72" spans="1:33" ht="20.25" customHeight="1">
      <c r="A72" s="13">
        <v>71</v>
      </c>
      <c r="B72" s="1" t="str">
        <f ca="1"/>
        <v>Indusind General Insurance Co Ltd</v>
      </c>
      <c r="C72" s="13" t="str">
        <f ca="1"/>
        <v>2025212467</v>
      </c>
      <c r="D72" s="13" t="str">
        <f ca="1"/>
        <v>R001-1071-SS-2025</v>
      </c>
      <c r="E72" s="13">
        <f ca="1"/>
        <v>57</v>
      </c>
      <c r="F72" s="14">
        <f ca="1"/>
        <v>45970</v>
      </c>
      <c r="G72" s="14" t="str">
        <f ca="1"/>
        <v>-</v>
      </c>
      <c r="H72" s="1" t="str">
        <f>IF(Back_End_Data!G72="Completed","Yes","No")</f>
        <v>No</v>
      </c>
      <c r="I72" s="1" t="str">
        <f>IF(Back_End_Data!I72="Completed","Yes","No")</f>
        <v>No</v>
      </c>
      <c r="J72" s="1" t="str">
        <f>IF(Back_End_Data!J72="Completed","Yes","No")</f>
        <v>No</v>
      </c>
      <c r="K72" s="1" t="str">
        <f>IF(Back_End_Data!K72="Completed","Yes","No")</f>
        <v>No</v>
      </c>
      <c r="L72" s="1" t="str">
        <f>IF(Back_End_Data!L72="", "No", Back_End_Data!L72)</f>
        <v>NA</v>
      </c>
      <c r="M72" s="1" t="str">
        <f>IF(Back_End_Data!N72="", "No", Back_End_Data!N72)</f>
        <v>NA</v>
      </c>
      <c r="N72" s="1" t="str">
        <f>IF(Back_End_Data!M72="", "No", Back_End_Data!M72)</f>
        <v>NA</v>
      </c>
      <c r="O72" s="1" t="str">
        <f>IF(Back_End_Data!O72="Completed","Yes","No")</f>
        <v>No</v>
      </c>
      <c r="P72" s="1" t="str">
        <f>IF(Back_End_Data!H72="Completed","Yes","No")</f>
        <v>No</v>
      </c>
      <c r="Q72" s="1" t="str">
        <f>IF(Back_End_Data!P72="Completed","Yes","No")</f>
        <v>No</v>
      </c>
      <c r="R72" s="1" t="s">
        <v>2369</v>
      </c>
      <c r="S72" s="1" t="str">
        <f>IF(Back_End_Data!R72="Completed","Yes","No")</f>
        <v>No</v>
      </c>
      <c r="T72" s="1" t="str">
        <f>IF(Back_End_Data!S72="Yes","Yes","No")</f>
        <v>No</v>
      </c>
      <c r="U72" s="1" t="str">
        <f>IF(Back_End_Data!Q71="Completed","Yes","No")</f>
        <v>No</v>
      </c>
      <c r="V72" s="1" t="str">
        <f ca="1">IF(INDEX(MIS_Backend_Data!L:L, MATCH(D72, MIS_Backend_Data!B:B, 1)) = "WT", "Yes", "No")</f>
        <v>No</v>
      </c>
      <c r="W72" s="2" t="str">
        <f t="shared" ca="1" si="3"/>
        <v>Approved</v>
      </c>
      <c r="Z72" s="1">
        <f ca="1"/>
        <v>0</v>
      </c>
      <c r="AA72" s="1">
        <f t="shared" ca="1" si="4"/>
        <v>0</v>
      </c>
      <c r="AC72" s="1" t="str">
        <f ca="1"/>
        <v>Open</v>
      </c>
      <c r="AG72" s="1" t="str">
        <f t="shared" si="5"/>
        <v/>
      </c>
    </row>
    <row r="73" spans="1:33" ht="20.25" customHeight="1">
      <c r="A73" s="13">
        <v>72</v>
      </c>
      <c r="B73" s="1" t="str">
        <f ca="1"/>
        <v>Indusind General Insurance Co Ltd</v>
      </c>
      <c r="C73" s="13" t="str">
        <f ca="1"/>
        <v>2025212380</v>
      </c>
      <c r="D73" s="13" t="str">
        <f ca="1"/>
        <v>R001-1072-SS-2025</v>
      </c>
      <c r="E73" s="13">
        <f ca="1"/>
        <v>57</v>
      </c>
      <c r="F73" s="14">
        <f ca="1"/>
        <v>45970</v>
      </c>
      <c r="G73" s="14" t="str">
        <f ca="1"/>
        <v>-</v>
      </c>
      <c r="H73" s="1" t="str">
        <f>IF(Back_End_Data!G73="Completed","Yes","No")</f>
        <v>No</v>
      </c>
      <c r="I73" s="1" t="str">
        <f>IF(Back_End_Data!I73="Completed","Yes","No")</f>
        <v>No</v>
      </c>
      <c r="J73" s="1" t="str">
        <f>IF(Back_End_Data!J73="Completed","Yes","No")</f>
        <v>No</v>
      </c>
      <c r="K73" s="1" t="str">
        <f>IF(Back_End_Data!K73="Completed","Yes","No")</f>
        <v>No</v>
      </c>
      <c r="L73" s="1" t="str">
        <f>IF(Back_End_Data!L73="", "No", Back_End_Data!L73)</f>
        <v>NA</v>
      </c>
      <c r="M73" s="1" t="str">
        <f>IF(Back_End_Data!N73="", "No", Back_End_Data!N73)</f>
        <v>NA</v>
      </c>
      <c r="N73" s="1" t="str">
        <f>IF(Back_End_Data!M73="", "No", Back_End_Data!M73)</f>
        <v>NA</v>
      </c>
      <c r="O73" s="1" t="str">
        <f>IF(Back_End_Data!O73="Completed","Yes","No")</f>
        <v>No</v>
      </c>
      <c r="P73" s="1" t="str">
        <f>IF(Back_End_Data!H73="Completed","Yes","No")</f>
        <v>No</v>
      </c>
      <c r="Q73" s="1" t="str">
        <f>IF(Back_End_Data!P73="Completed","Yes","No")</f>
        <v>No</v>
      </c>
      <c r="R73" s="1" t="s">
        <v>2369</v>
      </c>
      <c r="S73" s="1" t="str">
        <f>IF(Back_End_Data!R73="Completed","Yes","No")</f>
        <v>No</v>
      </c>
      <c r="T73" s="1" t="str">
        <f>IF(Back_End_Data!S73="Yes","Yes","No")</f>
        <v>No</v>
      </c>
      <c r="U73" s="1" t="str">
        <f>IF(Back_End_Data!Q72="Completed","Yes","No")</f>
        <v>Yes</v>
      </c>
      <c r="V73" s="1" t="str">
        <f ca="1">IF(INDEX(MIS_Backend_Data!L:L, MATCH(D73, MIS_Backend_Data!B:B, 1)) = "WT", "Yes", "No")</f>
        <v>No</v>
      </c>
      <c r="W73" s="2" t="str">
        <f t="shared" ca="1" si="3"/>
        <v>Reject</v>
      </c>
      <c r="Z73" s="1">
        <f ca="1"/>
        <v>0</v>
      </c>
      <c r="AA73" s="1">
        <f t="shared" ca="1" si="4"/>
        <v>1</v>
      </c>
      <c r="AC73" s="1" t="str">
        <f ca="1"/>
        <v>Open</v>
      </c>
      <c r="AG73" s="1" t="str">
        <f t="shared" si="5"/>
        <v/>
      </c>
    </row>
    <row r="74" spans="1:33" ht="20.25" customHeight="1">
      <c r="A74" s="13">
        <v>73</v>
      </c>
      <c r="B74" s="1" t="str">
        <f ca="1"/>
        <v>Indusind General Insurance Co Ltd</v>
      </c>
      <c r="C74" s="13" t="str">
        <f ca="1"/>
        <v>2025212399</v>
      </c>
      <c r="D74" s="13" t="str">
        <f ca="1"/>
        <v>R001-1073-SS-2025</v>
      </c>
      <c r="E74" s="13">
        <f ca="1"/>
        <v>52</v>
      </c>
      <c r="F74" s="14">
        <f ca="1"/>
        <v>45970</v>
      </c>
      <c r="G74" s="14">
        <f ca="1"/>
        <v>46022</v>
      </c>
      <c r="H74" s="1" t="str">
        <f>IF(Back_End_Data!G74="Completed","Yes","No")</f>
        <v>Yes</v>
      </c>
      <c r="I74" s="1" t="str">
        <f>IF(Back_End_Data!I74="Completed","Yes","No")</f>
        <v>Yes</v>
      </c>
      <c r="J74" s="1" t="str">
        <f>IF(Back_End_Data!J74="Completed","Yes","No")</f>
        <v>No</v>
      </c>
      <c r="K74" s="1" t="str">
        <f>IF(Back_End_Data!K74="Completed","Yes","No")</f>
        <v>Yes</v>
      </c>
      <c r="L74" s="1" t="str">
        <f>IF(Back_End_Data!L74="", "No", Back_End_Data!L74)</f>
        <v>NA</v>
      </c>
      <c r="M74" s="1" t="str">
        <f>IF(Back_End_Data!N74="", "No", Back_End_Data!N74)</f>
        <v>NA</v>
      </c>
      <c r="N74" s="1" t="str">
        <f>IF(Back_End_Data!M74="", "No", Back_End_Data!M74)</f>
        <v>NA</v>
      </c>
      <c r="O74" s="1" t="str">
        <f>IF(Back_End_Data!O74="Completed","Yes","No")</f>
        <v>No</v>
      </c>
      <c r="P74" s="1" t="str">
        <f>IF(Back_End_Data!H74="Completed","Yes","No")</f>
        <v>No</v>
      </c>
      <c r="Q74" s="1" t="str">
        <f>IF(Back_End_Data!P74="Completed","Yes","No")</f>
        <v>Yes</v>
      </c>
      <c r="R74" s="1" t="s">
        <v>2369</v>
      </c>
      <c r="S74" s="1" t="str">
        <f>IF(Back_End_Data!R74="Completed","Yes","No")</f>
        <v>No</v>
      </c>
      <c r="T74" s="1" t="str">
        <f>IF(Back_End_Data!S74="Yes","Yes","No")</f>
        <v>No</v>
      </c>
      <c r="U74" s="1" t="str">
        <f>IF(Back_End_Data!Q73="Completed","Yes","No")</f>
        <v>No</v>
      </c>
      <c r="V74" s="1" t="str">
        <f ca="1">IF(INDEX(MIS_Backend_Data!L:L, MATCH(D74, MIS_Backend_Data!B:B, 1)) = "WT", "Yes", "No")</f>
        <v>No</v>
      </c>
      <c r="W74" s="2" t="str">
        <f t="shared" ca="1" si="3"/>
        <v>Reject</v>
      </c>
      <c r="Z74" s="1">
        <f ca="1"/>
        <v>0</v>
      </c>
      <c r="AA74" s="1">
        <f t="shared" ca="1" si="4"/>
        <v>4</v>
      </c>
      <c r="AC74" s="1" t="str">
        <f ca="1"/>
        <v>QC</v>
      </c>
      <c r="AG74" s="1" t="str">
        <f t="shared" si="5"/>
        <v/>
      </c>
    </row>
    <row r="75" spans="1:33" ht="20.25" customHeight="1">
      <c r="A75" s="13">
        <v>74</v>
      </c>
      <c r="B75" s="1" t="str">
        <f ca="1"/>
        <v>Indusind General Insurance Co Ltd</v>
      </c>
      <c r="C75" s="13" t="str">
        <f ca="1"/>
        <v>2025212401</v>
      </c>
      <c r="D75" s="13" t="str">
        <f ca="1"/>
        <v>R001-1074-SS-2025</v>
      </c>
      <c r="E75" s="13">
        <f ca="1"/>
        <v>54</v>
      </c>
      <c r="F75" s="14">
        <f ca="1"/>
        <v>45970</v>
      </c>
      <c r="G75" s="14">
        <f ca="1"/>
        <v>46024</v>
      </c>
      <c r="H75" s="1" t="str">
        <f>IF(Back_End_Data!G75="Completed","Yes","No")</f>
        <v>Yes</v>
      </c>
      <c r="I75" s="1" t="str">
        <f>IF(Back_End_Data!I75="Completed","Yes","No")</f>
        <v>Yes</v>
      </c>
      <c r="J75" s="1" t="str">
        <f>IF(Back_End_Data!J75="Completed","Yes","No")</f>
        <v>No</v>
      </c>
      <c r="K75" s="1" t="str">
        <f>IF(Back_End_Data!K75="Completed","Yes","No")</f>
        <v>Yes</v>
      </c>
      <c r="L75" s="1" t="str">
        <f>IF(Back_End_Data!L75="", "No", Back_End_Data!L75)</f>
        <v>NA</v>
      </c>
      <c r="M75" s="1" t="str">
        <f>IF(Back_End_Data!N75="", "No", Back_End_Data!N75)</f>
        <v>NA</v>
      </c>
      <c r="N75" s="1" t="str">
        <f>IF(Back_End_Data!M75="", "No", Back_End_Data!M75)</f>
        <v>NA</v>
      </c>
      <c r="O75" s="1" t="str">
        <f>IF(Back_End_Data!O75="Completed","Yes","No")</f>
        <v>No</v>
      </c>
      <c r="P75" s="1" t="str">
        <f>IF(Back_End_Data!H75="Completed","Yes","No")</f>
        <v>No</v>
      </c>
      <c r="Q75" s="1" t="str">
        <f>IF(Back_End_Data!P75="Completed","Yes","No")</f>
        <v>Yes</v>
      </c>
      <c r="R75" s="1" t="s">
        <v>2369</v>
      </c>
      <c r="S75" s="1" t="str">
        <f>IF(Back_End_Data!R75="Completed","Yes","No")</f>
        <v>No</v>
      </c>
      <c r="T75" s="1" t="str">
        <f>IF(Back_End_Data!S75="Yes","Yes","No")</f>
        <v>No</v>
      </c>
      <c r="U75" s="1" t="str">
        <f>IF(Back_End_Data!Q74="Completed","Yes","No")</f>
        <v>No</v>
      </c>
      <c r="V75" s="1" t="str">
        <f ca="1">IF(INDEX(MIS_Backend_Data!L:L, MATCH(D75, MIS_Backend_Data!B:B, 1)) = "WT", "Yes", "No")</f>
        <v>No</v>
      </c>
      <c r="W75" s="2" t="str">
        <f t="shared" ca="1" si="3"/>
        <v>Reject</v>
      </c>
      <c r="Z75" s="1">
        <f ca="1"/>
        <v>0</v>
      </c>
      <c r="AA75" s="1">
        <f t="shared" ca="1" si="4"/>
        <v>4</v>
      </c>
      <c r="AC75" s="1" t="str">
        <f ca="1"/>
        <v>Dispatch</v>
      </c>
      <c r="AG75" s="1" t="str">
        <f t="shared" si="5"/>
        <v/>
      </c>
    </row>
    <row r="76" spans="1:33" ht="20.25" customHeight="1">
      <c r="A76" s="13">
        <v>75</v>
      </c>
      <c r="B76" s="1" t="str">
        <f ca="1"/>
        <v>Indusind General Insurance Co Ltd</v>
      </c>
      <c r="C76" s="13" t="str">
        <f ca="1"/>
        <v>2025212349</v>
      </c>
      <c r="D76" s="13" t="str">
        <f ca="1"/>
        <v>R001-1075-SS-2025</v>
      </c>
      <c r="E76" s="13">
        <f ca="1"/>
        <v>57</v>
      </c>
      <c r="F76" s="14">
        <f ca="1"/>
        <v>45970</v>
      </c>
      <c r="G76" s="14" t="str">
        <f ca="1"/>
        <v>-</v>
      </c>
      <c r="H76" s="1" t="str">
        <f>IF(Back_End_Data!G76="Completed","Yes","No")</f>
        <v>Yes</v>
      </c>
      <c r="I76" s="1" t="str">
        <f>IF(Back_End_Data!I76="Completed","Yes","No")</f>
        <v>Yes</v>
      </c>
      <c r="J76" s="1" t="str">
        <f>IF(Back_End_Data!J76="Completed","Yes","No")</f>
        <v>No</v>
      </c>
      <c r="K76" s="1" t="str">
        <f>IF(Back_End_Data!K76="Completed","Yes","No")</f>
        <v>Yes</v>
      </c>
      <c r="L76" s="1" t="str">
        <f>IF(Back_End_Data!L76="", "No", Back_End_Data!L76)</f>
        <v>NA</v>
      </c>
      <c r="M76" s="1" t="str">
        <f>IF(Back_End_Data!N76="", "No", Back_End_Data!N76)</f>
        <v>NA</v>
      </c>
      <c r="N76" s="1" t="str">
        <f>IF(Back_End_Data!M76="", "No", Back_End_Data!M76)</f>
        <v>NA</v>
      </c>
      <c r="O76" s="1" t="str">
        <f>IF(Back_End_Data!O76="Completed","Yes","No")</f>
        <v>No</v>
      </c>
      <c r="P76" s="1" t="str">
        <f>IF(Back_End_Data!H76="Completed","Yes","No")</f>
        <v>No</v>
      </c>
      <c r="Q76" s="1" t="str">
        <f>IF(Back_End_Data!P76="Completed","Yes","No")</f>
        <v>Yes</v>
      </c>
      <c r="R76" s="1" t="s">
        <v>2369</v>
      </c>
      <c r="S76" s="1" t="str">
        <f>IF(Back_End_Data!R76="Completed","Yes","No")</f>
        <v>No</v>
      </c>
      <c r="T76" s="1" t="str">
        <f>IF(Back_End_Data!S76="Yes","Yes","No")</f>
        <v>No</v>
      </c>
      <c r="U76" s="1" t="str">
        <f>IF(Back_End_Data!Q75="Completed","Yes","No")</f>
        <v>Yes</v>
      </c>
      <c r="V76" s="1" t="str">
        <f ca="1">IF(INDEX(MIS_Backend_Data!L:L, MATCH(D76, MIS_Backend_Data!B:B, 1)) = "WT", "Yes", "No")</f>
        <v>No</v>
      </c>
      <c r="W76" s="2" t="str">
        <f t="shared" ca="1" si="3"/>
        <v>Reject</v>
      </c>
      <c r="Z76" s="1">
        <f ca="1"/>
        <v>0</v>
      </c>
      <c r="AA76" s="1">
        <f t="shared" ca="1" si="4"/>
        <v>5</v>
      </c>
      <c r="AC76" s="1" t="str">
        <f ca="1"/>
        <v>Open</v>
      </c>
      <c r="AG76" s="1" t="str">
        <f t="shared" si="5"/>
        <v/>
      </c>
    </row>
    <row r="77" spans="1:33" ht="20.25" customHeight="1">
      <c r="A77" s="13">
        <v>76</v>
      </c>
      <c r="B77" s="1" t="str">
        <f ca="1"/>
        <v>Indusind General Insurance Co Ltd</v>
      </c>
      <c r="C77" s="13" t="str">
        <f ca="1"/>
        <v>2025212447</v>
      </c>
      <c r="D77" s="13" t="str">
        <f ca="1"/>
        <v>R001-1076-SS-2025</v>
      </c>
      <c r="E77" s="13">
        <f ca="1"/>
        <v>54</v>
      </c>
      <c r="F77" s="14">
        <f ca="1"/>
        <v>45973</v>
      </c>
      <c r="G77" s="14" t="str">
        <f ca="1"/>
        <v>-</v>
      </c>
      <c r="H77" s="1" t="str">
        <f>IF(Back_End_Data!G77="Completed","Yes","No")</f>
        <v>Yes</v>
      </c>
      <c r="I77" s="1" t="str">
        <f>IF(Back_End_Data!I77="Completed","Yes","No")</f>
        <v>Yes</v>
      </c>
      <c r="J77" s="1" t="str">
        <f>IF(Back_End_Data!J77="Completed","Yes","No")</f>
        <v>No</v>
      </c>
      <c r="K77" s="1" t="str">
        <f>IF(Back_End_Data!K77="Completed","Yes","No")</f>
        <v>Yes</v>
      </c>
      <c r="L77" s="1" t="str">
        <f>IF(Back_End_Data!L77="", "No", Back_End_Data!L77)</f>
        <v>NA</v>
      </c>
      <c r="M77" s="1" t="str">
        <f>IF(Back_End_Data!N77="", "No", Back_End_Data!N77)</f>
        <v>NA</v>
      </c>
      <c r="N77" s="1" t="str">
        <f>IF(Back_End_Data!M77="", "No", Back_End_Data!M77)</f>
        <v>NA</v>
      </c>
      <c r="O77" s="1" t="str">
        <f>IF(Back_End_Data!O77="Completed","Yes","No")</f>
        <v>No</v>
      </c>
      <c r="P77" s="1" t="str">
        <f>IF(Back_End_Data!H77="Completed","Yes","No")</f>
        <v>No</v>
      </c>
      <c r="Q77" s="1" t="str">
        <f>IF(Back_End_Data!P77="Completed","Yes","No")</f>
        <v>Yes</v>
      </c>
      <c r="R77" s="1" t="s">
        <v>2369</v>
      </c>
      <c r="S77" s="1" t="str">
        <f>IF(Back_End_Data!R77="Completed","Yes","No")</f>
        <v>No</v>
      </c>
      <c r="T77" s="1" t="str">
        <f>IF(Back_End_Data!S77="Yes","Yes","No")</f>
        <v>No</v>
      </c>
      <c r="U77" s="1" t="str">
        <f>IF(Back_End_Data!Q76="Completed","Yes","No")</f>
        <v>No</v>
      </c>
      <c r="V77" s="1" t="str">
        <f ca="1">IF(INDEX(MIS_Backend_Data!L:L, MATCH(D77, MIS_Backend_Data!B:B, 1)) = "WT", "Yes", "No")</f>
        <v>No</v>
      </c>
      <c r="W77" s="2" t="str">
        <f t="shared" ca="1" si="3"/>
        <v>Reject</v>
      </c>
      <c r="Z77" s="1">
        <f ca="1"/>
        <v>0</v>
      </c>
      <c r="AA77" s="1">
        <f t="shared" ca="1" si="4"/>
        <v>4</v>
      </c>
      <c r="AC77" s="1" t="str">
        <f ca="1"/>
        <v>Open</v>
      </c>
      <c r="AG77" s="1" t="str">
        <f t="shared" si="5"/>
        <v/>
      </c>
    </row>
    <row r="78" spans="1:33" ht="20.25" customHeight="1">
      <c r="A78" s="13">
        <v>77</v>
      </c>
      <c r="B78" s="1" t="str">
        <f ca="1"/>
        <v>Generali Central Insurance Company Limited</v>
      </c>
      <c r="C78" s="13" t="str">
        <f ca="1"/>
        <v>MTP-N-2526-004298</v>
      </c>
      <c r="D78" s="13" t="str">
        <f ca="1"/>
        <v>F001-1077-SS-2025</v>
      </c>
      <c r="E78" s="13">
        <f ca="1"/>
        <v>44</v>
      </c>
      <c r="F78" s="14">
        <f ca="1"/>
        <v>45973</v>
      </c>
      <c r="G78" s="14">
        <f ca="1"/>
        <v>46017</v>
      </c>
      <c r="H78" s="1" t="str">
        <f>IF(Back_End_Data!G78="Completed","Yes","No")</f>
        <v>Yes</v>
      </c>
      <c r="I78" s="1" t="str">
        <f>IF(Back_End_Data!I78="Completed","Yes","No")</f>
        <v>Yes</v>
      </c>
      <c r="J78" s="1" t="str">
        <f>IF(Back_End_Data!J78="Completed","Yes","No")</f>
        <v>No</v>
      </c>
      <c r="K78" s="1" t="str">
        <f>IF(Back_End_Data!K78="Completed","Yes","No")</f>
        <v>Yes</v>
      </c>
      <c r="L78" s="1" t="str">
        <f>IF(Back_End_Data!L78="", "No", Back_End_Data!L78)</f>
        <v>NA</v>
      </c>
      <c r="M78" s="1" t="str">
        <f>IF(Back_End_Data!N78="", "No", Back_End_Data!N78)</f>
        <v>NA</v>
      </c>
      <c r="N78" s="1" t="str">
        <f>IF(Back_End_Data!M78="", "No", Back_End_Data!M78)</f>
        <v>NA</v>
      </c>
      <c r="O78" s="1" t="str">
        <f>IF(Back_End_Data!O78="Completed","Yes","No")</f>
        <v>No</v>
      </c>
      <c r="P78" s="1" t="str">
        <f>IF(Back_End_Data!H78="Completed","Yes","No")</f>
        <v>No</v>
      </c>
      <c r="Q78" s="1" t="str">
        <f>IF(Back_End_Data!P78="Completed","Yes","No")</f>
        <v>Yes</v>
      </c>
      <c r="R78" s="1" t="s">
        <v>2369</v>
      </c>
      <c r="S78" s="1" t="str">
        <f>IF(Back_End_Data!R78="Completed","Yes","No")</f>
        <v>Yes</v>
      </c>
      <c r="T78" s="1" t="str">
        <f>IF(Back_End_Data!S78="Yes","Yes","No")</f>
        <v>No</v>
      </c>
      <c r="U78" s="1" t="str">
        <f>IF(Back_End_Data!Q77="Completed","Yes","No")</f>
        <v>No</v>
      </c>
      <c r="V78" s="1" t="str">
        <f ca="1">IF(INDEX(MIS_Backend_Data!L:L, MATCH(D78, MIS_Backend_Data!B:B, 1)) = "WT", "Yes", "No")</f>
        <v>No</v>
      </c>
      <c r="W78" s="2" t="str">
        <f t="shared" ca="1" si="3"/>
        <v>Reject</v>
      </c>
      <c r="Z78" s="1">
        <f ca="1"/>
        <v>0</v>
      </c>
      <c r="AA78" s="1">
        <f t="shared" ca="1" si="4"/>
        <v>5</v>
      </c>
      <c r="AC78" s="1" t="str">
        <f ca="1"/>
        <v>Dispatch</v>
      </c>
      <c r="AG78" s="1" t="str">
        <f t="shared" si="5"/>
        <v/>
      </c>
    </row>
    <row r="79" spans="1:33" ht="20.25" customHeight="1">
      <c r="A79" s="13">
        <v>78</v>
      </c>
      <c r="B79" s="1" t="str">
        <f ca="1"/>
        <v>Indusind General Insurance Co Ltd</v>
      </c>
      <c r="C79" s="13" t="str">
        <f ca="1"/>
        <v>2024213743</v>
      </c>
      <c r="D79" s="13" t="str">
        <f ca="1"/>
        <v>R001-1078-SS-2025</v>
      </c>
      <c r="E79" s="13">
        <f ca="1"/>
        <v>53</v>
      </c>
      <c r="F79" s="14">
        <f ca="1"/>
        <v>45974</v>
      </c>
      <c r="G79" s="14" t="str">
        <f ca="1"/>
        <v>-</v>
      </c>
      <c r="H79" s="1" t="str">
        <f>IF(Back_End_Data!G79="Completed","Yes","No")</f>
        <v>Yes</v>
      </c>
      <c r="I79" s="1" t="str">
        <f>IF(Back_End_Data!I79="Completed","Yes","No")</f>
        <v>Yes</v>
      </c>
      <c r="J79" s="1" t="str">
        <f>IF(Back_End_Data!J79="Completed","Yes","No")</f>
        <v>No</v>
      </c>
      <c r="K79" s="1" t="str">
        <f>IF(Back_End_Data!K79="Completed","Yes","No")</f>
        <v>Yes</v>
      </c>
      <c r="L79" s="1" t="str">
        <f>IF(Back_End_Data!L79="", "No", Back_End_Data!L79)</f>
        <v>NA</v>
      </c>
      <c r="M79" s="1" t="str">
        <f>IF(Back_End_Data!N79="", "No", Back_End_Data!N79)</f>
        <v>NA</v>
      </c>
      <c r="N79" s="1" t="str">
        <f>IF(Back_End_Data!M79="", "No", Back_End_Data!M79)</f>
        <v>NA</v>
      </c>
      <c r="O79" s="1" t="str">
        <f>IF(Back_End_Data!O79="Completed","Yes","No")</f>
        <v>No</v>
      </c>
      <c r="P79" s="1" t="str">
        <f>IF(Back_End_Data!H79="Completed","Yes","No")</f>
        <v>No</v>
      </c>
      <c r="Q79" s="1" t="str">
        <f>IF(Back_End_Data!P79="Completed","Yes","No")</f>
        <v>Yes</v>
      </c>
      <c r="R79" s="1" t="s">
        <v>2369</v>
      </c>
      <c r="S79" s="1" t="str">
        <f>IF(Back_End_Data!R79="Completed","Yes","No")</f>
        <v>Yes</v>
      </c>
      <c r="T79" s="1" t="str">
        <f>IF(Back_End_Data!S79="Yes","Yes","No")</f>
        <v>No</v>
      </c>
      <c r="U79" s="1" t="str">
        <f>IF(Back_End_Data!Q78="Completed","Yes","No")</f>
        <v>No</v>
      </c>
      <c r="V79" s="1" t="str">
        <f ca="1">IF(INDEX(MIS_Backend_Data!L:L, MATCH(D79, MIS_Backend_Data!B:B, 1)) = "WT", "Yes", "No")</f>
        <v>No</v>
      </c>
      <c r="W79" s="2" t="str">
        <f t="shared" ca="1" si="3"/>
        <v>Reject</v>
      </c>
      <c r="Z79" s="1">
        <f ca="1"/>
        <v>0</v>
      </c>
      <c r="AA79" s="1">
        <f t="shared" ca="1" si="4"/>
        <v>5</v>
      </c>
      <c r="AC79" s="1" t="str">
        <f ca="1"/>
        <v>Open</v>
      </c>
      <c r="AG79" s="1" t="str">
        <f t="shared" si="5"/>
        <v/>
      </c>
    </row>
    <row r="80" spans="1:33" ht="20.25" customHeight="1">
      <c r="A80" s="13">
        <v>79</v>
      </c>
      <c r="B80" s="1" t="str">
        <f ca="1"/>
        <v>Indusind General Insurance Co Ltd</v>
      </c>
      <c r="C80" s="13" t="str">
        <f ca="1"/>
        <v>2025212533</v>
      </c>
      <c r="D80" s="13" t="str">
        <f ca="1"/>
        <v>R001-1079-SS-2025</v>
      </c>
      <c r="E80" s="13">
        <f ca="1"/>
        <v>52</v>
      </c>
      <c r="F80" s="14">
        <f ca="1"/>
        <v>45975</v>
      </c>
      <c r="G80" s="14" t="str">
        <f ca="1"/>
        <v>-</v>
      </c>
      <c r="H80" s="1" t="str">
        <f>IF(Back_End_Data!G80="Completed","Yes","No")</f>
        <v>No</v>
      </c>
      <c r="I80" s="1" t="str">
        <f>IF(Back_End_Data!I80="Completed","Yes","No")</f>
        <v>No</v>
      </c>
      <c r="J80" s="1" t="str">
        <f>IF(Back_End_Data!J80="Completed","Yes","No")</f>
        <v>No</v>
      </c>
      <c r="K80" s="1" t="str">
        <f>IF(Back_End_Data!K80="Completed","Yes","No")</f>
        <v>No</v>
      </c>
      <c r="L80" s="1" t="str">
        <f>IF(Back_End_Data!L80="", "No", Back_End_Data!L80)</f>
        <v>NA</v>
      </c>
      <c r="M80" s="1" t="str">
        <f>IF(Back_End_Data!N80="", "No", Back_End_Data!N80)</f>
        <v>NA</v>
      </c>
      <c r="N80" s="1" t="str">
        <f>IF(Back_End_Data!M80="", "No", Back_End_Data!M80)</f>
        <v>NA</v>
      </c>
      <c r="O80" s="1" t="str">
        <f>IF(Back_End_Data!O80="Completed","Yes","No")</f>
        <v>No</v>
      </c>
      <c r="P80" s="1" t="str">
        <f>IF(Back_End_Data!H80="Completed","Yes","No")</f>
        <v>No</v>
      </c>
      <c r="Q80" s="1" t="str">
        <f>IF(Back_End_Data!P80="Completed","Yes","No")</f>
        <v>No</v>
      </c>
      <c r="R80" s="1" t="s">
        <v>2369</v>
      </c>
      <c r="S80" s="1" t="str">
        <f>IF(Back_End_Data!R80="Completed","Yes","No")</f>
        <v>No</v>
      </c>
      <c r="T80" s="1" t="str">
        <f>IF(Back_End_Data!S80="Yes","Yes","No")</f>
        <v>No</v>
      </c>
      <c r="U80" s="1" t="str">
        <f>IF(Back_End_Data!Q79="Completed","Yes","No")</f>
        <v>No</v>
      </c>
      <c r="V80" s="1" t="str">
        <f ca="1">IF(INDEX(MIS_Backend_Data!L:L, MATCH(D80, MIS_Backend_Data!B:B, 1)) = "WT", "Yes", "No")</f>
        <v>No</v>
      </c>
      <c r="W80" s="2" t="str">
        <f t="shared" ca="1" si="3"/>
        <v>Approved</v>
      </c>
      <c r="Z80" s="1">
        <f ca="1"/>
        <v>0</v>
      </c>
      <c r="AA80" s="1">
        <f t="shared" ca="1" si="4"/>
        <v>0</v>
      </c>
      <c r="AC80" s="1" t="str">
        <f ca="1"/>
        <v>Open</v>
      </c>
      <c r="AG80" s="1" t="str">
        <f t="shared" si="5"/>
        <v/>
      </c>
    </row>
    <row r="81" spans="1:33" ht="20.25" customHeight="1">
      <c r="A81" s="13">
        <v>80</v>
      </c>
      <c r="B81" s="1" t="str">
        <f ca="1"/>
        <v>Indusind General Insurance Co Ltd</v>
      </c>
      <c r="C81" s="13" t="str">
        <f ca="1"/>
        <v>2023205098</v>
      </c>
      <c r="D81" s="13" t="str">
        <f ca="1"/>
        <v>R001-1080-SS-2025</v>
      </c>
      <c r="E81" s="13">
        <f ca="1"/>
        <v>38</v>
      </c>
      <c r="F81" s="14">
        <f ca="1"/>
        <v>45975</v>
      </c>
      <c r="G81" s="14">
        <f ca="1"/>
        <v>46013</v>
      </c>
      <c r="H81" s="1" t="str">
        <f>IF(Back_End_Data!G81="Completed","Yes","No")</f>
        <v>Yes</v>
      </c>
      <c r="I81" s="1" t="str">
        <f>IF(Back_End_Data!I81="Completed","Yes","No")</f>
        <v>Yes</v>
      </c>
      <c r="J81" s="1" t="str">
        <f>IF(Back_End_Data!J81="Completed","Yes","No")</f>
        <v>No</v>
      </c>
      <c r="K81" s="1" t="str">
        <f>IF(Back_End_Data!K81="Completed","Yes","No")</f>
        <v>No</v>
      </c>
      <c r="L81" s="1" t="str">
        <f>IF(Back_End_Data!L81="", "No", Back_End_Data!L81)</f>
        <v>NA</v>
      </c>
      <c r="M81" s="1" t="str">
        <f>IF(Back_End_Data!N81="", "No", Back_End_Data!N81)</f>
        <v>NA</v>
      </c>
      <c r="N81" s="1" t="str">
        <f>IF(Back_End_Data!M81="", "No", Back_End_Data!M81)</f>
        <v>NA</v>
      </c>
      <c r="O81" s="1" t="str">
        <f>IF(Back_End_Data!O81="Completed","Yes","No")</f>
        <v>No</v>
      </c>
      <c r="P81" s="1" t="str">
        <f>IF(Back_End_Data!H81="Completed","Yes","No")</f>
        <v>No</v>
      </c>
      <c r="Q81" s="1" t="str">
        <f>IF(Back_End_Data!P81="Completed","Yes","No")</f>
        <v>No</v>
      </c>
      <c r="R81" s="1" t="s">
        <v>2369</v>
      </c>
      <c r="S81" s="1" t="str">
        <f>IF(Back_End_Data!R81="Completed","Yes","No")</f>
        <v>No</v>
      </c>
      <c r="T81" s="1" t="str">
        <f>IF(Back_End_Data!S81="Yes","Yes","No")</f>
        <v>No</v>
      </c>
      <c r="U81" s="1" t="str">
        <f>IF(Back_End_Data!Q80="Completed","Yes","No")</f>
        <v>No</v>
      </c>
      <c r="V81" s="1" t="str">
        <f ca="1">IF(INDEX(MIS_Backend_Data!L:L, MATCH(D81, MIS_Backend_Data!B:B, 1)) = "WT", "Yes", "No")</f>
        <v>No</v>
      </c>
      <c r="W81" s="2" t="str">
        <f t="shared" ca="1" si="3"/>
        <v>Reject</v>
      </c>
      <c r="Z81" s="1">
        <f ca="1"/>
        <v>0</v>
      </c>
      <c r="AA81" s="1">
        <f t="shared" ca="1" si="4"/>
        <v>2</v>
      </c>
      <c r="AC81" s="1" t="str">
        <f ca="1"/>
        <v>Dispatch</v>
      </c>
      <c r="AG81" s="1" t="str">
        <f t="shared" si="5"/>
        <v/>
      </c>
    </row>
    <row r="82" spans="1:33" ht="20.25" customHeight="1">
      <c r="A82" s="13">
        <v>81</v>
      </c>
      <c r="B82" s="1" t="str">
        <f ca="1"/>
        <v>Indusind General Insurance Co Ltd</v>
      </c>
      <c r="C82" s="13" t="str">
        <f ca="1"/>
        <v>2021205783</v>
      </c>
      <c r="D82" s="13" t="str">
        <f ca="1"/>
        <v>R001-1081-SS-2025</v>
      </c>
      <c r="E82" s="13">
        <f ca="1"/>
        <v>52</v>
      </c>
      <c r="F82" s="14">
        <f ca="1"/>
        <v>45975</v>
      </c>
      <c r="G82" s="14" t="str">
        <f ca="1"/>
        <v>-</v>
      </c>
      <c r="H82" s="1" t="str">
        <f>IF(Back_End_Data!G82="Completed","Yes","No")</f>
        <v>Yes</v>
      </c>
      <c r="I82" s="1" t="str">
        <f>IF(Back_End_Data!I82="Completed","Yes","No")</f>
        <v>No</v>
      </c>
      <c r="J82" s="1" t="str">
        <f>IF(Back_End_Data!J82="Completed","Yes","No")</f>
        <v>No</v>
      </c>
      <c r="K82" s="1" t="str">
        <f>IF(Back_End_Data!K82="Completed","Yes","No")</f>
        <v>No</v>
      </c>
      <c r="L82" s="1" t="str">
        <f>IF(Back_End_Data!L82="", "No", Back_End_Data!L82)</f>
        <v>NA</v>
      </c>
      <c r="M82" s="1" t="str">
        <f>IF(Back_End_Data!N82="", "No", Back_End_Data!N82)</f>
        <v>NA</v>
      </c>
      <c r="N82" s="1" t="str">
        <f>IF(Back_End_Data!M82="", "No", Back_End_Data!M82)</f>
        <v>NA</v>
      </c>
      <c r="O82" s="1" t="str">
        <f>IF(Back_End_Data!O82="Completed","Yes","No")</f>
        <v>No</v>
      </c>
      <c r="P82" s="1" t="str">
        <f>IF(Back_End_Data!H82="Completed","Yes","No")</f>
        <v>No</v>
      </c>
      <c r="Q82" s="1" t="str">
        <f>IF(Back_End_Data!P82="Completed","Yes","No")</f>
        <v>No</v>
      </c>
      <c r="R82" s="1" t="s">
        <v>2369</v>
      </c>
      <c r="S82" s="1" t="str">
        <f>IF(Back_End_Data!R82="Completed","Yes","No")</f>
        <v>No</v>
      </c>
      <c r="T82" s="1" t="str">
        <f>IF(Back_End_Data!S82="Yes","Yes","No")</f>
        <v>No</v>
      </c>
      <c r="U82" s="1" t="str">
        <f>IF(Back_End_Data!Q81="Completed","Yes","No")</f>
        <v>Yes</v>
      </c>
      <c r="V82" s="1" t="str">
        <f ca="1">IF(INDEX(MIS_Backend_Data!L:L, MATCH(D82, MIS_Backend_Data!B:B, 1)) = "WT", "Yes", "No")</f>
        <v>No</v>
      </c>
      <c r="W82" s="2" t="str">
        <f t="shared" ca="1" si="3"/>
        <v>Reject</v>
      </c>
      <c r="Z82" s="1">
        <f ca="1"/>
        <v>0</v>
      </c>
      <c r="AA82" s="1">
        <f t="shared" ca="1" si="4"/>
        <v>2</v>
      </c>
      <c r="AC82" s="1" t="str">
        <f ca="1"/>
        <v>QC</v>
      </c>
      <c r="AG82" s="1" t="str">
        <f t="shared" si="5"/>
        <v/>
      </c>
    </row>
    <row r="83" spans="1:33" ht="20.25" customHeight="1">
      <c r="A83" s="13">
        <v>82</v>
      </c>
      <c r="B83" s="1" t="str">
        <f ca="1"/>
        <v>Indusind General Insurance Co Ltd</v>
      </c>
      <c r="C83" s="13" t="str">
        <f ca="1"/>
        <v>2020208122</v>
      </c>
      <c r="D83" s="13" t="str">
        <f ca="1"/>
        <v>R001-1082-SS-2025</v>
      </c>
      <c r="E83" s="13">
        <f ca="1"/>
        <v>22</v>
      </c>
      <c r="F83" s="14">
        <f ca="1"/>
        <v>45975</v>
      </c>
      <c r="G83" s="14">
        <f ca="1"/>
        <v>45997</v>
      </c>
      <c r="H83" s="1" t="str">
        <f>IF(Back_End_Data!G83="Completed","Yes","No")</f>
        <v>Yes</v>
      </c>
      <c r="I83" s="1" t="str">
        <f>IF(Back_End_Data!I83="Completed","Yes","No")</f>
        <v>No</v>
      </c>
      <c r="J83" s="1" t="str">
        <f>IF(Back_End_Data!J83="Completed","Yes","No")</f>
        <v>No</v>
      </c>
      <c r="K83" s="1" t="str">
        <f>IF(Back_End_Data!K83="Completed","Yes","No")</f>
        <v>No</v>
      </c>
      <c r="L83" s="1" t="str">
        <f>IF(Back_End_Data!L83="", "No", Back_End_Data!L83)</f>
        <v>NA</v>
      </c>
      <c r="M83" s="1" t="str">
        <f>IF(Back_End_Data!N83="", "No", Back_End_Data!N83)</f>
        <v>NA</v>
      </c>
      <c r="N83" s="1" t="str">
        <f>IF(Back_End_Data!M83="", "No", Back_End_Data!M83)</f>
        <v>NA</v>
      </c>
      <c r="O83" s="1" t="str">
        <f>IF(Back_End_Data!O83="Completed","Yes","No")</f>
        <v>No</v>
      </c>
      <c r="P83" s="1" t="str">
        <f>IF(Back_End_Data!H83="Completed","Yes","No")</f>
        <v>No</v>
      </c>
      <c r="Q83" s="1" t="str">
        <f>IF(Back_End_Data!P83="Completed","Yes","No")</f>
        <v>No</v>
      </c>
      <c r="R83" s="1" t="s">
        <v>2369</v>
      </c>
      <c r="S83" s="1" t="str">
        <f>IF(Back_End_Data!R83="Completed","Yes","No")</f>
        <v>No</v>
      </c>
      <c r="T83" s="1" t="str">
        <f>IF(Back_End_Data!S83="Yes","Yes","No")</f>
        <v>No</v>
      </c>
      <c r="U83" s="1" t="str">
        <f>IF(Back_End_Data!Q82="Completed","Yes","No")</f>
        <v>No</v>
      </c>
      <c r="V83" s="1" t="str">
        <f ca="1">IF(INDEX(MIS_Backend_Data!L:L, MATCH(D83, MIS_Backend_Data!B:B, 1)) = "WT", "Yes", "No")</f>
        <v>No</v>
      </c>
      <c r="W83" s="2" t="str">
        <f t="shared" ca="1" si="3"/>
        <v>Reject</v>
      </c>
      <c r="Z83" s="1">
        <f ca="1"/>
        <v>0</v>
      </c>
      <c r="AA83" s="1">
        <f t="shared" ca="1" si="4"/>
        <v>1</v>
      </c>
      <c r="AC83" s="1" t="str">
        <f ca="1"/>
        <v>Dispatch</v>
      </c>
      <c r="AG83" s="1" t="str">
        <f t="shared" si="5"/>
        <v/>
      </c>
    </row>
    <row r="84" spans="1:33" ht="20.25" customHeight="1">
      <c r="A84" s="13">
        <v>83</v>
      </c>
      <c r="B84" s="1" t="str">
        <f ca="1"/>
        <v>Indusind General Insurance Co Ltd</v>
      </c>
      <c r="C84" s="13" t="str">
        <f ca="1"/>
        <v>2019201744</v>
      </c>
      <c r="D84" s="13" t="str">
        <f ca="1"/>
        <v>R001-1083-SS-2025</v>
      </c>
      <c r="E84" s="13">
        <f ca="1"/>
        <v>36</v>
      </c>
      <c r="F84" s="14">
        <f ca="1"/>
        <v>45975</v>
      </c>
      <c r="G84" s="14">
        <f ca="1"/>
        <v>46011</v>
      </c>
      <c r="H84" s="1" t="str">
        <f>IF(Back_End_Data!G84="Completed","Yes","No")</f>
        <v>Yes</v>
      </c>
      <c r="I84" s="1" t="str">
        <f>IF(Back_End_Data!I84="Completed","Yes","No")</f>
        <v>No</v>
      </c>
      <c r="J84" s="1" t="str">
        <f>IF(Back_End_Data!J84="Completed","Yes","No")</f>
        <v>No</v>
      </c>
      <c r="K84" s="1" t="str">
        <f>IF(Back_End_Data!K84="Completed","Yes","No")</f>
        <v>No</v>
      </c>
      <c r="L84" s="1" t="str">
        <f>IF(Back_End_Data!L84="", "No", Back_End_Data!L84)</f>
        <v>NA</v>
      </c>
      <c r="M84" s="1" t="str">
        <f>IF(Back_End_Data!N84="", "No", Back_End_Data!N84)</f>
        <v>NA</v>
      </c>
      <c r="N84" s="1" t="str">
        <f>IF(Back_End_Data!M84="", "No", Back_End_Data!M84)</f>
        <v>NA</v>
      </c>
      <c r="O84" s="1" t="str">
        <f>IF(Back_End_Data!O84="Completed","Yes","No")</f>
        <v>No</v>
      </c>
      <c r="P84" s="1" t="str">
        <f>IF(Back_End_Data!H84="Completed","Yes","No")</f>
        <v>No</v>
      </c>
      <c r="Q84" s="1" t="str">
        <f>IF(Back_End_Data!P84="Completed","Yes","No")</f>
        <v>No</v>
      </c>
      <c r="R84" s="1" t="s">
        <v>2369</v>
      </c>
      <c r="S84" s="1" t="str">
        <f>IF(Back_End_Data!R84="Completed","Yes","No")</f>
        <v>No</v>
      </c>
      <c r="T84" s="1" t="str">
        <f>IF(Back_End_Data!S84="Yes","Yes","No")</f>
        <v>No</v>
      </c>
      <c r="U84" s="1" t="str">
        <f>IF(Back_End_Data!Q83="Completed","Yes","No")</f>
        <v>No</v>
      </c>
      <c r="V84" s="1" t="str">
        <f ca="1">IF(INDEX(MIS_Backend_Data!L:L, MATCH(D84, MIS_Backend_Data!B:B, 1)) = "WT", "Yes", "No")</f>
        <v>No</v>
      </c>
      <c r="W84" s="2" t="str">
        <f t="shared" ca="1" si="3"/>
        <v>Reject</v>
      </c>
      <c r="Z84" s="1">
        <f ca="1"/>
        <v>0</v>
      </c>
      <c r="AA84" s="1">
        <f t="shared" ca="1" si="4"/>
        <v>1</v>
      </c>
      <c r="AC84" s="1" t="str">
        <f ca="1"/>
        <v>Dispatch</v>
      </c>
      <c r="AG84" s="1" t="str">
        <f t="shared" si="5"/>
        <v/>
      </c>
    </row>
    <row r="85" spans="1:33" ht="20.25" customHeight="1">
      <c r="A85" s="13">
        <v>84</v>
      </c>
      <c r="B85" s="1" t="str">
        <f ca="1"/>
        <v>Indusind General Insurance Co Ltd</v>
      </c>
      <c r="C85" s="13" t="str">
        <f ca="1"/>
        <v>2022209063</v>
      </c>
      <c r="D85" s="13" t="str">
        <f ca="1"/>
        <v>R001-1084-SS-2025</v>
      </c>
      <c r="E85" s="13">
        <f ca="1"/>
        <v>36</v>
      </c>
      <c r="F85" s="14">
        <f ca="1"/>
        <v>45975</v>
      </c>
      <c r="G85" s="14">
        <f ca="1"/>
        <v>46011</v>
      </c>
      <c r="H85" s="1" t="str">
        <f>IF(Back_End_Data!G85="Completed","Yes","No")</f>
        <v>Yes</v>
      </c>
      <c r="I85" s="1" t="str">
        <f>IF(Back_End_Data!I85="Completed","Yes","No")</f>
        <v>No</v>
      </c>
      <c r="J85" s="1" t="str">
        <f>IF(Back_End_Data!J85="Completed","Yes","No")</f>
        <v>No</v>
      </c>
      <c r="K85" s="1" t="str">
        <f>IF(Back_End_Data!K85="Completed","Yes","No")</f>
        <v>No</v>
      </c>
      <c r="L85" s="1" t="str">
        <f>IF(Back_End_Data!L85="", "No", Back_End_Data!L85)</f>
        <v>NA</v>
      </c>
      <c r="M85" s="1" t="str">
        <f>IF(Back_End_Data!N85="", "No", Back_End_Data!N85)</f>
        <v>NA</v>
      </c>
      <c r="N85" s="1" t="str">
        <f>IF(Back_End_Data!M85="", "No", Back_End_Data!M85)</f>
        <v>NA</v>
      </c>
      <c r="O85" s="1" t="str">
        <f>IF(Back_End_Data!O85="Completed","Yes","No")</f>
        <v>No</v>
      </c>
      <c r="P85" s="1" t="str">
        <f>IF(Back_End_Data!H85="Completed","Yes","No")</f>
        <v>No</v>
      </c>
      <c r="Q85" s="1" t="str">
        <f>IF(Back_End_Data!P85="Completed","Yes","No")</f>
        <v>No</v>
      </c>
      <c r="R85" s="1" t="s">
        <v>2369</v>
      </c>
      <c r="S85" s="1" t="str">
        <f>IF(Back_End_Data!R85="Completed","Yes","No")</f>
        <v>No</v>
      </c>
      <c r="T85" s="1" t="str">
        <f>IF(Back_End_Data!S85="Yes","Yes","No")</f>
        <v>No</v>
      </c>
      <c r="U85" s="1" t="str">
        <f>IF(Back_End_Data!Q84="Completed","Yes","No")</f>
        <v>No</v>
      </c>
      <c r="V85" s="1" t="str">
        <f ca="1">IF(INDEX(MIS_Backend_Data!L:L, MATCH(D85, MIS_Backend_Data!B:B, 1)) = "WT", "Yes", "No")</f>
        <v>No</v>
      </c>
      <c r="W85" s="2" t="str">
        <f t="shared" ca="1" si="3"/>
        <v>Reject</v>
      </c>
      <c r="Z85" s="1">
        <f ca="1"/>
        <v>0</v>
      </c>
      <c r="AA85" s="1">
        <f t="shared" ca="1" si="4"/>
        <v>1</v>
      </c>
      <c r="AC85" s="1" t="str">
        <f ca="1"/>
        <v>Dispatch</v>
      </c>
      <c r="AG85" s="1" t="str">
        <f t="shared" si="5"/>
        <v/>
      </c>
    </row>
    <row r="86" spans="1:33" ht="20.25" customHeight="1">
      <c r="A86" s="13">
        <v>85</v>
      </c>
      <c r="B86" s="1" t="str">
        <f ca="1"/>
        <v>Indusind General Insurance Co Ltd</v>
      </c>
      <c r="C86" s="13" t="str">
        <f ca="1"/>
        <v>2017212612</v>
      </c>
      <c r="D86" s="13" t="str">
        <f ca="1"/>
        <v>R001-1085-SS-2025</v>
      </c>
      <c r="E86" s="13">
        <f ca="1"/>
        <v>52</v>
      </c>
      <c r="F86" s="14">
        <f ca="1"/>
        <v>45975</v>
      </c>
      <c r="G86" s="14" t="str">
        <f ca="1"/>
        <v>-</v>
      </c>
      <c r="H86" s="1" t="str">
        <f>IF(Back_End_Data!G86="Completed","Yes","No")</f>
        <v>Yes</v>
      </c>
      <c r="I86" s="1" t="str">
        <f>IF(Back_End_Data!I86="Completed","Yes","No")</f>
        <v>No</v>
      </c>
      <c r="J86" s="1" t="str">
        <f>IF(Back_End_Data!J86="Completed","Yes","No")</f>
        <v>No</v>
      </c>
      <c r="K86" s="1" t="str">
        <f>IF(Back_End_Data!K86="Completed","Yes","No")</f>
        <v>No</v>
      </c>
      <c r="L86" s="1" t="str">
        <f>IF(Back_End_Data!L86="", "No", Back_End_Data!L86)</f>
        <v>NA</v>
      </c>
      <c r="M86" s="1" t="str">
        <f>IF(Back_End_Data!N86="", "No", Back_End_Data!N86)</f>
        <v>Offline</v>
      </c>
      <c r="N86" s="1" t="str">
        <f>IF(Back_End_Data!M86="", "No", Back_End_Data!M86)</f>
        <v>NA</v>
      </c>
      <c r="O86" s="1" t="str">
        <f>IF(Back_End_Data!O86="Completed","Yes","No")</f>
        <v>No</v>
      </c>
      <c r="P86" s="1" t="str">
        <f>IF(Back_End_Data!H86="Completed","Yes","No")</f>
        <v>No</v>
      </c>
      <c r="Q86" s="1" t="str">
        <f>IF(Back_End_Data!P86="Completed","Yes","No")</f>
        <v>No</v>
      </c>
      <c r="R86" s="1" t="s">
        <v>2369</v>
      </c>
      <c r="S86" s="1" t="str">
        <f>IF(Back_End_Data!R86="Completed","Yes","No")</f>
        <v>No</v>
      </c>
      <c r="T86" s="1" t="str">
        <f>IF(Back_End_Data!S86="Yes","Yes","No")</f>
        <v>No</v>
      </c>
      <c r="U86" s="1" t="str">
        <f>IF(Back_End_Data!Q85="Completed","Yes","No")</f>
        <v>No</v>
      </c>
      <c r="V86" s="1" t="str">
        <f ca="1">IF(INDEX(MIS_Backend_Data!L:L, MATCH(D86, MIS_Backend_Data!B:B, 1)) = "WT", "Yes", "No")</f>
        <v>No</v>
      </c>
      <c r="W86" s="2" t="str">
        <f t="shared" ca="1" si="3"/>
        <v>Reject</v>
      </c>
      <c r="Z86" s="1">
        <f ca="1"/>
        <v>0</v>
      </c>
      <c r="AA86" s="1">
        <f t="shared" ca="1" si="4"/>
        <v>1</v>
      </c>
      <c r="AC86" s="1" t="str">
        <f ca="1"/>
        <v>Open</v>
      </c>
      <c r="AG86" s="1" t="str">
        <f t="shared" si="5"/>
        <v/>
      </c>
    </row>
    <row r="87" spans="1:33" ht="20.25" customHeight="1">
      <c r="A87" s="13">
        <v>86</v>
      </c>
      <c r="B87" s="1" t="str">
        <f ca="1"/>
        <v>Generali Central Insurance Company Limited</v>
      </c>
      <c r="C87" s="13" t="str">
        <f ca="1"/>
        <v>MISC-2025-001662</v>
      </c>
      <c r="D87" s="13" t="str">
        <f ca="1"/>
        <v>F001-1086-SS-2025</v>
      </c>
      <c r="E87" s="13">
        <f ca="1"/>
        <v>21</v>
      </c>
      <c r="F87" s="14">
        <f ca="1"/>
        <v>45976</v>
      </c>
      <c r="G87" s="14">
        <f ca="1"/>
        <v>45997</v>
      </c>
      <c r="H87" s="1" t="str">
        <f>IF(Back_End_Data!G87="Completed","Yes","No")</f>
        <v>No</v>
      </c>
      <c r="I87" s="1" t="str">
        <f>IF(Back_End_Data!I87="Completed","Yes","No")</f>
        <v>No</v>
      </c>
      <c r="J87" s="1" t="str">
        <f>IF(Back_End_Data!J87="Completed","Yes","No")</f>
        <v>No</v>
      </c>
      <c r="K87" s="1" t="str">
        <f>IF(Back_End_Data!K87="Completed","Yes","No")</f>
        <v>No</v>
      </c>
      <c r="L87" s="1" t="str">
        <f>IF(Back_End_Data!L87="", "No", Back_End_Data!L87)</f>
        <v>NA</v>
      </c>
      <c r="M87" s="1" t="str">
        <f>IF(Back_End_Data!N87="", "No", Back_End_Data!N87)</f>
        <v>NA</v>
      </c>
      <c r="N87" s="1" t="str">
        <f>IF(Back_End_Data!M87="", "No", Back_End_Data!M87)</f>
        <v>NA</v>
      </c>
      <c r="O87" s="1" t="str">
        <f>IF(Back_End_Data!O87="Completed","Yes","No")</f>
        <v>No</v>
      </c>
      <c r="P87" s="1" t="str">
        <f>IF(Back_End_Data!H87="Completed","Yes","No")</f>
        <v>No</v>
      </c>
      <c r="Q87" s="1" t="str">
        <f>IF(Back_End_Data!P87="Completed","Yes","No")</f>
        <v>No</v>
      </c>
      <c r="R87" s="1" t="s">
        <v>2369</v>
      </c>
      <c r="S87" s="1" t="str">
        <f>IF(Back_End_Data!R87="Completed","Yes","No")</f>
        <v>No</v>
      </c>
      <c r="T87" s="1" t="str">
        <f>IF(Back_End_Data!S87="Yes","Yes","No")</f>
        <v>No</v>
      </c>
      <c r="U87" s="1" t="str">
        <f>IF(Back_End_Data!Q86="Completed","Yes","No")</f>
        <v>No</v>
      </c>
      <c r="V87" s="1" t="str">
        <f ca="1">IF(INDEX(MIS_Backend_Data!L:L, MATCH(D87, MIS_Backend_Data!B:B, 1)) = "WT", "Yes", "No")</f>
        <v>No</v>
      </c>
      <c r="W87" s="2" t="str">
        <f t="shared" ca="1" si="3"/>
        <v>Approved</v>
      </c>
      <c r="Z87" s="1">
        <f ca="1"/>
        <v>0</v>
      </c>
      <c r="AA87" s="1">
        <f t="shared" ca="1" si="4"/>
        <v>0</v>
      </c>
      <c r="AC87" s="1" t="str">
        <f ca="1"/>
        <v>Dispatch</v>
      </c>
      <c r="AG87" s="1" t="str">
        <f t="shared" si="5"/>
        <v/>
      </c>
    </row>
    <row r="88" spans="1:33" ht="20.25" customHeight="1">
      <c r="A88" s="13">
        <v>87</v>
      </c>
      <c r="B88" s="1" t="str">
        <f ca="1"/>
        <v>Indusind General Insurance Co Ltd</v>
      </c>
      <c r="C88" s="13" t="str">
        <f ca="1"/>
        <v>2025212670</v>
      </c>
      <c r="D88" s="13" t="str">
        <f ca="1"/>
        <v>R001-1087-SS-2025</v>
      </c>
      <c r="E88" s="13">
        <f ca="1"/>
        <v>21</v>
      </c>
      <c r="F88" s="14">
        <f ca="1"/>
        <v>45979</v>
      </c>
      <c r="G88" s="14">
        <f ca="1"/>
        <v>46000</v>
      </c>
      <c r="H88" s="1" t="str">
        <f>IF(Back_End_Data!G88="Completed","Yes","No")</f>
        <v>Yes</v>
      </c>
      <c r="I88" s="1" t="str">
        <f>IF(Back_End_Data!I88="Completed","Yes","No")</f>
        <v>Yes</v>
      </c>
      <c r="J88" s="1" t="str">
        <f>IF(Back_End_Data!J88="Completed","Yes","No")</f>
        <v>No</v>
      </c>
      <c r="K88" s="1" t="str">
        <f>IF(Back_End_Data!K88="Completed","Yes","No")</f>
        <v>No</v>
      </c>
      <c r="L88" s="1" t="str">
        <f>IF(Back_End_Data!L88="", "No", Back_End_Data!L88)</f>
        <v>NA</v>
      </c>
      <c r="M88" s="1" t="str">
        <f>IF(Back_End_Data!N88="", "No", Back_End_Data!N88)</f>
        <v>NA</v>
      </c>
      <c r="N88" s="1" t="str">
        <f>IF(Back_End_Data!M88="", "No", Back_End_Data!M88)</f>
        <v>NA</v>
      </c>
      <c r="O88" s="1" t="str">
        <f>IF(Back_End_Data!O88="Completed","Yes","No")</f>
        <v>No</v>
      </c>
      <c r="P88" s="1" t="str">
        <f>IF(Back_End_Data!H88="Completed","Yes","No")</f>
        <v>No</v>
      </c>
      <c r="Q88" s="1" t="str">
        <f>IF(Back_End_Data!P88="Completed","Yes","No")</f>
        <v>No</v>
      </c>
      <c r="R88" s="1" t="s">
        <v>2369</v>
      </c>
      <c r="S88" s="1" t="str">
        <f>IF(Back_End_Data!R88="Completed","Yes","No")</f>
        <v>Yes</v>
      </c>
      <c r="T88" s="1" t="str">
        <f>IF(Back_End_Data!S88="Yes","Yes","No")</f>
        <v>No</v>
      </c>
      <c r="U88" s="1" t="str">
        <f>IF(Back_End_Data!Q87="Completed","Yes","No")</f>
        <v>No</v>
      </c>
      <c r="V88" s="1" t="str">
        <f ca="1">IF(INDEX(MIS_Backend_Data!L:L, MATCH(D88, MIS_Backend_Data!B:B, 1)) = "WT", "Yes", "No")</f>
        <v>No</v>
      </c>
      <c r="W88" s="2" t="str">
        <f t="shared" ca="1" si="3"/>
        <v>Reject</v>
      </c>
      <c r="Z88" s="1">
        <f ca="1"/>
        <v>0</v>
      </c>
      <c r="AA88" s="1">
        <f t="shared" ca="1" si="4"/>
        <v>3</v>
      </c>
      <c r="AC88" s="1" t="str">
        <f ca="1"/>
        <v>Dispatch</v>
      </c>
      <c r="AG88" s="1" t="str">
        <f t="shared" si="5"/>
        <v/>
      </c>
    </row>
    <row r="89" spans="1:33" ht="20.25" customHeight="1">
      <c r="A89" s="13">
        <v>88</v>
      </c>
      <c r="B89" s="1" t="str">
        <f ca="1"/>
        <v>Indusind General Insurance Co Ltd</v>
      </c>
      <c r="C89" s="13" t="str">
        <f ca="1"/>
        <v>2025212671</v>
      </c>
      <c r="D89" s="13" t="str">
        <f ca="1"/>
        <v>R001-1088-SS-2025</v>
      </c>
      <c r="E89" s="13">
        <f ca="1"/>
        <v>21</v>
      </c>
      <c r="F89" s="14">
        <f ca="1"/>
        <v>45979</v>
      </c>
      <c r="G89" s="14">
        <f ca="1"/>
        <v>46000</v>
      </c>
      <c r="H89" s="1" t="str">
        <f>IF(Back_End_Data!G89="Completed","Yes","No")</f>
        <v>Yes</v>
      </c>
      <c r="I89" s="1" t="str">
        <f>IF(Back_End_Data!I89="Completed","Yes","No")</f>
        <v>No</v>
      </c>
      <c r="J89" s="1" t="str">
        <f>IF(Back_End_Data!J89="Completed","Yes","No")</f>
        <v>No</v>
      </c>
      <c r="K89" s="1" t="str">
        <f>IF(Back_End_Data!K89="Completed","Yes","No")</f>
        <v>No</v>
      </c>
      <c r="L89" s="1" t="str">
        <f>IF(Back_End_Data!L89="", "No", Back_End_Data!L89)</f>
        <v>NA</v>
      </c>
      <c r="M89" s="1" t="str">
        <f>IF(Back_End_Data!N89="", "No", Back_End_Data!N89)</f>
        <v>NA</v>
      </c>
      <c r="N89" s="1" t="str">
        <f>IF(Back_End_Data!M89="", "No", Back_End_Data!M89)</f>
        <v>NA</v>
      </c>
      <c r="O89" s="1" t="str">
        <f>IF(Back_End_Data!O89="Completed","Yes","No")</f>
        <v>No</v>
      </c>
      <c r="P89" s="1" t="str">
        <f>IF(Back_End_Data!H89="Completed","Yes","No")</f>
        <v>No</v>
      </c>
      <c r="Q89" s="1" t="str">
        <f>IF(Back_End_Data!P89="Completed","Yes","No")</f>
        <v>No</v>
      </c>
      <c r="R89" s="1" t="s">
        <v>2369</v>
      </c>
      <c r="S89" s="1" t="str">
        <f>IF(Back_End_Data!R89="Completed","Yes","No")</f>
        <v>No</v>
      </c>
      <c r="T89" s="1" t="str">
        <f>IF(Back_End_Data!S89="Yes","Yes","No")</f>
        <v>No</v>
      </c>
      <c r="U89" s="1" t="str">
        <f>IF(Back_End_Data!Q88="Completed","Yes","No")</f>
        <v>No</v>
      </c>
      <c r="V89" s="1" t="str">
        <f ca="1">IF(INDEX(MIS_Backend_Data!L:L, MATCH(D89, MIS_Backend_Data!B:B, 1)) = "WT", "Yes", "No")</f>
        <v>No</v>
      </c>
      <c r="W89" s="2" t="str">
        <f t="shared" ca="1" si="3"/>
        <v>Reject</v>
      </c>
      <c r="Z89" s="1">
        <f ca="1"/>
        <v>0</v>
      </c>
      <c r="AA89" s="1">
        <f t="shared" ca="1" si="4"/>
        <v>1</v>
      </c>
      <c r="AC89" s="1" t="str">
        <f ca="1"/>
        <v>Dispatch</v>
      </c>
      <c r="AG89" s="1" t="str">
        <f t="shared" si="5"/>
        <v/>
      </c>
    </row>
    <row r="90" spans="1:33" ht="20.25" customHeight="1">
      <c r="A90" s="13">
        <v>89</v>
      </c>
      <c r="B90" s="1" t="str">
        <f ca="1"/>
        <v>Indusind General Insurance Co Ltd</v>
      </c>
      <c r="C90" s="13" t="str">
        <f ca="1"/>
        <v>2025212673</v>
      </c>
      <c r="D90" s="13" t="str">
        <f ca="1"/>
        <v>R001-1089-SS-2025</v>
      </c>
      <c r="E90" s="13">
        <f ca="1"/>
        <v>21</v>
      </c>
      <c r="F90" s="14">
        <f ca="1"/>
        <v>45979</v>
      </c>
      <c r="G90" s="14">
        <f ca="1"/>
        <v>46000</v>
      </c>
      <c r="H90" s="1" t="str">
        <f>IF(Back_End_Data!G90="Completed","Yes","No")</f>
        <v>Yes</v>
      </c>
      <c r="I90" s="1" t="str">
        <f>IF(Back_End_Data!I90="Completed","Yes","No")</f>
        <v>No</v>
      </c>
      <c r="J90" s="1" t="str">
        <f>IF(Back_End_Data!J90="Completed","Yes","No")</f>
        <v>No</v>
      </c>
      <c r="K90" s="1" t="str">
        <f>IF(Back_End_Data!K90="Completed","Yes","No")</f>
        <v>No</v>
      </c>
      <c r="L90" s="1" t="str">
        <f>IF(Back_End_Data!L90="", "No", Back_End_Data!L90)</f>
        <v>NA</v>
      </c>
      <c r="M90" s="1" t="str">
        <f>IF(Back_End_Data!N90="", "No", Back_End_Data!N90)</f>
        <v>NA</v>
      </c>
      <c r="N90" s="1" t="str">
        <f>IF(Back_End_Data!M90="", "No", Back_End_Data!M90)</f>
        <v>NA</v>
      </c>
      <c r="O90" s="1" t="str">
        <f>IF(Back_End_Data!O90="Completed","Yes","No")</f>
        <v>No</v>
      </c>
      <c r="P90" s="1" t="str">
        <f>IF(Back_End_Data!H90="Completed","Yes","No")</f>
        <v>No</v>
      </c>
      <c r="Q90" s="1" t="str">
        <f>IF(Back_End_Data!P90="Completed","Yes","No")</f>
        <v>No</v>
      </c>
      <c r="R90" s="1" t="s">
        <v>2369</v>
      </c>
      <c r="S90" s="1" t="str">
        <f>IF(Back_End_Data!R90="Completed","Yes","No")</f>
        <v>No</v>
      </c>
      <c r="T90" s="1" t="str">
        <f>IF(Back_End_Data!S90="Yes","Yes","No")</f>
        <v>No</v>
      </c>
      <c r="U90" s="1" t="str">
        <f>IF(Back_End_Data!Q89="Completed","Yes","No")</f>
        <v>No</v>
      </c>
      <c r="V90" s="1" t="str">
        <f ca="1">IF(INDEX(MIS_Backend_Data!L:L, MATCH(D90, MIS_Backend_Data!B:B, 1)) = "WT", "Yes", "No")</f>
        <v>No</v>
      </c>
      <c r="W90" s="2" t="str">
        <f t="shared" ca="1" si="3"/>
        <v>Reject</v>
      </c>
      <c r="Z90" s="1">
        <f ca="1"/>
        <v>0</v>
      </c>
      <c r="AA90" s="1">
        <f t="shared" ca="1" si="4"/>
        <v>1</v>
      </c>
      <c r="AC90" s="1" t="str">
        <f ca="1"/>
        <v>Dispatch</v>
      </c>
      <c r="AG90" s="1" t="str">
        <f t="shared" si="5"/>
        <v/>
      </c>
    </row>
    <row r="91" spans="1:33" ht="20.25" customHeight="1">
      <c r="A91" s="13">
        <v>90</v>
      </c>
      <c r="B91" s="1" t="str">
        <f ca="1"/>
        <v>Indusind General Insurance Co Ltd</v>
      </c>
      <c r="C91" s="13" t="str">
        <f ca="1"/>
        <v>2025212540</v>
      </c>
      <c r="D91" s="13" t="str">
        <f ca="1"/>
        <v>R001-1090-SS-2025</v>
      </c>
      <c r="E91" s="13">
        <f ca="1"/>
        <v>48</v>
      </c>
      <c r="F91" s="14">
        <f ca="1"/>
        <v>45979</v>
      </c>
      <c r="G91" s="14" t="str">
        <f ca="1"/>
        <v>-</v>
      </c>
      <c r="H91" s="1" t="str">
        <f>IF(Back_End_Data!G91="Completed","Yes","No")</f>
        <v>Yes</v>
      </c>
      <c r="I91" s="1" t="str">
        <f>IF(Back_End_Data!I91="Completed","Yes","No")</f>
        <v>Yes</v>
      </c>
      <c r="J91" s="1" t="str">
        <f>IF(Back_End_Data!J91="Completed","Yes","No")</f>
        <v>No</v>
      </c>
      <c r="K91" s="1" t="str">
        <f>IF(Back_End_Data!K91="Completed","Yes","No")</f>
        <v>Yes</v>
      </c>
      <c r="L91" s="1" t="str">
        <f>IF(Back_End_Data!L91="", "No", Back_End_Data!L91)</f>
        <v>NA</v>
      </c>
      <c r="M91" s="1" t="str">
        <f>IF(Back_End_Data!N91="", "No", Back_End_Data!N91)</f>
        <v>NA</v>
      </c>
      <c r="N91" s="1" t="str">
        <f>IF(Back_End_Data!M91="", "No", Back_End_Data!M91)</f>
        <v>NA</v>
      </c>
      <c r="O91" s="1" t="str">
        <f>IF(Back_End_Data!O91="Completed","Yes","No")</f>
        <v>No</v>
      </c>
      <c r="P91" s="1" t="str">
        <f>IF(Back_End_Data!H91="Completed","Yes","No")</f>
        <v>No</v>
      </c>
      <c r="Q91" s="1" t="str">
        <f>IF(Back_End_Data!P91="Completed","Yes","No")</f>
        <v>Yes</v>
      </c>
      <c r="R91" s="1" t="s">
        <v>2369</v>
      </c>
      <c r="S91" s="1" t="str">
        <f>IF(Back_End_Data!R91="Completed","Yes","No")</f>
        <v>No</v>
      </c>
      <c r="T91" s="1" t="str">
        <f>IF(Back_End_Data!S91="Yes","Yes","No")</f>
        <v>No</v>
      </c>
      <c r="U91" s="1" t="str">
        <f>IF(Back_End_Data!Q90="Completed","Yes","No")</f>
        <v>No</v>
      </c>
      <c r="V91" s="1" t="str">
        <f ca="1">IF(INDEX(MIS_Backend_Data!L:L, MATCH(D91, MIS_Backend_Data!B:B, 1)) = "WT", "Yes", "No")</f>
        <v>No</v>
      </c>
      <c r="W91" s="2" t="str">
        <f t="shared" ca="1" si="3"/>
        <v>Reject</v>
      </c>
      <c r="Z91" s="1">
        <f ca="1"/>
        <v>0</v>
      </c>
      <c r="AA91" s="1">
        <f t="shared" ca="1" si="4"/>
        <v>4</v>
      </c>
      <c r="AC91" s="1" t="str">
        <f ca="1"/>
        <v>Open</v>
      </c>
      <c r="AG91" s="1" t="str">
        <f t="shared" si="5"/>
        <v/>
      </c>
    </row>
    <row r="92" spans="1:33" ht="20.25" customHeight="1">
      <c r="A92" s="13">
        <v>91</v>
      </c>
      <c r="B92" s="1" t="str">
        <f ca="1"/>
        <v>Indusind General Insurance Co Ltd</v>
      </c>
      <c r="C92" s="13" t="str">
        <f ca="1"/>
        <v>2025212595</v>
      </c>
      <c r="D92" s="13" t="str">
        <f ca="1"/>
        <v>R001-1091-SS-2025</v>
      </c>
      <c r="E92" s="13">
        <f ca="1"/>
        <v>48</v>
      </c>
      <c r="F92" s="14">
        <f ca="1"/>
        <v>45979</v>
      </c>
      <c r="G92" s="14" t="str">
        <f ca="1"/>
        <v>-</v>
      </c>
      <c r="H92" s="1" t="str">
        <f>IF(Back_End_Data!G92="Completed","Yes","No")</f>
        <v>Yes</v>
      </c>
      <c r="I92" s="1" t="str">
        <f>IF(Back_End_Data!I92="Completed","Yes","No")</f>
        <v>Yes</v>
      </c>
      <c r="J92" s="1" t="str">
        <f>IF(Back_End_Data!J92="Completed","Yes","No")</f>
        <v>No</v>
      </c>
      <c r="K92" s="1" t="str">
        <f>IF(Back_End_Data!K92="Completed","Yes","No")</f>
        <v>No</v>
      </c>
      <c r="L92" s="1" t="str">
        <f>IF(Back_End_Data!L92="", "No", Back_End_Data!L92)</f>
        <v>NA</v>
      </c>
      <c r="M92" s="1" t="str">
        <f>IF(Back_End_Data!N92="", "No", Back_End_Data!N92)</f>
        <v>NA</v>
      </c>
      <c r="N92" s="1" t="str">
        <f>IF(Back_End_Data!M92="", "No", Back_End_Data!M92)</f>
        <v>NA</v>
      </c>
      <c r="O92" s="1" t="str">
        <f>IF(Back_End_Data!O92="Completed","Yes","No")</f>
        <v>No</v>
      </c>
      <c r="P92" s="1" t="str">
        <f>IF(Back_End_Data!H92="Completed","Yes","No")</f>
        <v>No</v>
      </c>
      <c r="Q92" s="1" t="str">
        <f>IF(Back_End_Data!P92="Completed","Yes","No")</f>
        <v>No</v>
      </c>
      <c r="R92" s="1" t="s">
        <v>2369</v>
      </c>
      <c r="S92" s="1" t="str">
        <f>IF(Back_End_Data!R92="Completed","Yes","No")</f>
        <v>No</v>
      </c>
      <c r="T92" s="1" t="str">
        <f>IF(Back_End_Data!S92="Yes","Yes","No")</f>
        <v>No</v>
      </c>
      <c r="U92" s="1" t="str">
        <f>IF(Back_End_Data!Q91="Completed","Yes","No")</f>
        <v>Yes</v>
      </c>
      <c r="V92" s="1" t="str">
        <f ca="1">IF(INDEX(MIS_Backend_Data!L:L, MATCH(D92, MIS_Backend_Data!B:B, 1)) = "WT", "Yes", "No")</f>
        <v>No</v>
      </c>
      <c r="W92" s="2" t="str">
        <f t="shared" ca="1" si="3"/>
        <v>Reject</v>
      </c>
      <c r="Z92" s="1">
        <f ca="1"/>
        <v>0</v>
      </c>
      <c r="AA92" s="1">
        <f t="shared" ca="1" si="4"/>
        <v>3</v>
      </c>
      <c r="AC92" s="1" t="str">
        <f ca="1"/>
        <v>QC</v>
      </c>
      <c r="AG92" s="1" t="str">
        <f t="shared" si="5"/>
        <v/>
      </c>
    </row>
    <row r="93" spans="1:33" ht="20.25" customHeight="1">
      <c r="A93" s="13">
        <v>92</v>
      </c>
      <c r="B93" s="1" t="str">
        <f ca="1"/>
        <v>Indusind General Insurance Co Ltd</v>
      </c>
      <c r="C93" s="13" t="str">
        <f ca="1"/>
        <v>2025212716</v>
      </c>
      <c r="D93" s="13" t="str">
        <f ca="1"/>
        <v>R001-1092-SS-2025</v>
      </c>
      <c r="E93" s="13">
        <f ca="1"/>
        <v>48</v>
      </c>
      <c r="F93" s="14">
        <f ca="1"/>
        <v>45979</v>
      </c>
      <c r="G93" s="14" t="str">
        <f ca="1"/>
        <v>-</v>
      </c>
      <c r="H93" s="1" t="str">
        <f>IF(Back_End_Data!G93="Completed","Yes","No")</f>
        <v>Yes</v>
      </c>
      <c r="I93" s="1" t="str">
        <f>IF(Back_End_Data!I93="Completed","Yes","No")</f>
        <v>Yes</v>
      </c>
      <c r="J93" s="1" t="str">
        <f>IF(Back_End_Data!J93="Completed","Yes","No")</f>
        <v>No</v>
      </c>
      <c r="K93" s="1" t="str">
        <f>IF(Back_End_Data!K93="Completed","Yes","No")</f>
        <v>No</v>
      </c>
      <c r="L93" s="1" t="str">
        <f>IF(Back_End_Data!L93="", "No", Back_End_Data!L93)</f>
        <v>NA</v>
      </c>
      <c r="M93" s="1" t="str">
        <f>IF(Back_End_Data!N93="", "No", Back_End_Data!N93)</f>
        <v>NA</v>
      </c>
      <c r="N93" s="1" t="str">
        <f>IF(Back_End_Data!M93="", "No", Back_End_Data!M93)</f>
        <v>NA</v>
      </c>
      <c r="O93" s="1" t="str">
        <f>IF(Back_End_Data!O93="Completed","Yes","No")</f>
        <v>No</v>
      </c>
      <c r="P93" s="1" t="str">
        <f>IF(Back_End_Data!H93="Completed","Yes","No")</f>
        <v>No</v>
      </c>
      <c r="Q93" s="1" t="str">
        <f>IF(Back_End_Data!P93="Completed","Yes","No")</f>
        <v>Yes</v>
      </c>
      <c r="R93" s="1" t="s">
        <v>2369</v>
      </c>
      <c r="S93" s="1" t="str">
        <f>IF(Back_End_Data!R93="Completed","Yes","No")</f>
        <v>No</v>
      </c>
      <c r="T93" s="1" t="str">
        <f>IF(Back_End_Data!S93="Yes","Yes","No")</f>
        <v>No</v>
      </c>
      <c r="U93" s="1" t="str">
        <f>IF(Back_End_Data!Q92="Completed","Yes","No")</f>
        <v>No</v>
      </c>
      <c r="V93" s="1" t="str">
        <f ca="1">IF(INDEX(MIS_Backend_Data!L:L, MATCH(D93, MIS_Backend_Data!B:B, 1)) = "WT", "Yes", "No")</f>
        <v>No</v>
      </c>
      <c r="W93" s="2" t="str">
        <f t="shared" ca="1" si="3"/>
        <v>Reject</v>
      </c>
      <c r="Z93" s="1">
        <f ca="1"/>
        <v>0</v>
      </c>
      <c r="AA93" s="1">
        <f t="shared" ca="1" si="4"/>
        <v>3</v>
      </c>
      <c r="AC93" s="1" t="str">
        <f ca="1"/>
        <v>Open</v>
      </c>
      <c r="AG93" s="1" t="str">
        <f t="shared" si="5"/>
        <v/>
      </c>
    </row>
    <row r="94" spans="1:33" ht="20.25" customHeight="1">
      <c r="A94" s="13">
        <v>93</v>
      </c>
      <c r="B94" s="1" t="str">
        <f ca="1"/>
        <v>Indusind General Insurance Co Ltd</v>
      </c>
      <c r="C94" s="13" t="str">
        <f ca="1"/>
        <v>2025208486</v>
      </c>
      <c r="D94" s="13" t="str">
        <f ca="1"/>
        <v>R001-1093-SS-2025</v>
      </c>
      <c r="E94" s="13">
        <f ca="1"/>
        <v>47</v>
      </c>
      <c r="F94" s="14">
        <f ca="1"/>
        <v>45980</v>
      </c>
      <c r="G94" s="14" t="str">
        <f ca="1"/>
        <v>-</v>
      </c>
      <c r="H94" s="1" t="str">
        <f>IF(Back_End_Data!G94="Completed","Yes","No")</f>
        <v>Yes</v>
      </c>
      <c r="I94" s="1" t="str">
        <f>IF(Back_End_Data!I94="Completed","Yes","No")</f>
        <v>No</v>
      </c>
      <c r="J94" s="1" t="str">
        <f>IF(Back_End_Data!J94="Completed","Yes","No")</f>
        <v>No</v>
      </c>
      <c r="K94" s="1" t="str">
        <f>IF(Back_End_Data!K94="Completed","Yes","No")</f>
        <v>No</v>
      </c>
      <c r="L94" s="1" t="str">
        <f>IF(Back_End_Data!L94="", "No", Back_End_Data!L94)</f>
        <v>NA</v>
      </c>
      <c r="M94" s="1" t="str">
        <f>IF(Back_End_Data!N94="", "No", Back_End_Data!N94)</f>
        <v>NA</v>
      </c>
      <c r="N94" s="1" t="str">
        <f>IF(Back_End_Data!M94="", "No", Back_End_Data!M94)</f>
        <v>NA</v>
      </c>
      <c r="O94" s="1" t="str">
        <f>IF(Back_End_Data!O94="Completed","Yes","No")</f>
        <v>No</v>
      </c>
      <c r="P94" s="1" t="str">
        <f>IF(Back_End_Data!H94="Completed","Yes","No")</f>
        <v>No</v>
      </c>
      <c r="Q94" s="1" t="str">
        <f>IF(Back_End_Data!P94="Completed","Yes","No")</f>
        <v>No</v>
      </c>
      <c r="R94" s="1" t="s">
        <v>2369</v>
      </c>
      <c r="S94" s="1" t="str">
        <f>IF(Back_End_Data!R94="Completed","Yes","No")</f>
        <v>No</v>
      </c>
      <c r="T94" s="1" t="str">
        <f>IF(Back_End_Data!S94="Yes","Yes","No")</f>
        <v>No</v>
      </c>
      <c r="U94" s="1" t="str">
        <f>IF(Back_End_Data!Q93="Completed","Yes","No")</f>
        <v>No</v>
      </c>
      <c r="V94" s="1" t="str">
        <f ca="1">IF(INDEX(MIS_Backend_Data!L:L, MATCH(D94, MIS_Backend_Data!B:B, 1)) = "WT", "Yes", "No")</f>
        <v>No</v>
      </c>
      <c r="W94" s="2" t="str">
        <f t="shared" ca="1" si="3"/>
        <v>Reject</v>
      </c>
      <c r="Z94" s="1">
        <f ca="1"/>
        <v>0</v>
      </c>
      <c r="AA94" s="1">
        <f t="shared" ca="1" si="4"/>
        <v>1</v>
      </c>
      <c r="AC94" s="1" t="str">
        <f ca="1"/>
        <v>Open</v>
      </c>
      <c r="AG94" s="1" t="str">
        <f t="shared" si="5"/>
        <v/>
      </c>
    </row>
    <row r="95" spans="1:33" ht="20.25" customHeight="1">
      <c r="A95" s="13">
        <v>94</v>
      </c>
      <c r="B95" s="1" t="str">
        <f ca="1"/>
        <v>Indusind General Insurance Co Ltd</v>
      </c>
      <c r="C95" s="13" t="str">
        <f ca="1"/>
        <v>2025209152</v>
      </c>
      <c r="D95" s="13" t="str">
        <f ca="1"/>
        <v>R001-1094-SS-2025</v>
      </c>
      <c r="E95" s="13">
        <f ca="1"/>
        <v>47</v>
      </c>
      <c r="F95" s="14">
        <f ca="1"/>
        <v>45980</v>
      </c>
      <c r="G95" s="14" t="str">
        <f ca="1"/>
        <v>-</v>
      </c>
      <c r="H95" s="1" t="str">
        <f>IF(Back_End_Data!G95="Completed","Yes","No")</f>
        <v>No</v>
      </c>
      <c r="I95" s="1" t="str">
        <f>IF(Back_End_Data!I95="Completed","Yes","No")</f>
        <v>No</v>
      </c>
      <c r="J95" s="1" t="str">
        <f>IF(Back_End_Data!J95="Completed","Yes","No")</f>
        <v>No</v>
      </c>
      <c r="K95" s="1" t="str">
        <f>IF(Back_End_Data!K95="Completed","Yes","No")</f>
        <v>No</v>
      </c>
      <c r="L95" s="1" t="str">
        <f>IF(Back_End_Data!L95="", "No", Back_End_Data!L95)</f>
        <v>NA</v>
      </c>
      <c r="M95" s="1" t="str">
        <f>IF(Back_End_Data!N95="", "No", Back_End_Data!N95)</f>
        <v>NA</v>
      </c>
      <c r="N95" s="1" t="str">
        <f>IF(Back_End_Data!M95="", "No", Back_End_Data!M95)</f>
        <v>NA</v>
      </c>
      <c r="O95" s="1" t="str">
        <f>IF(Back_End_Data!O95="Completed","Yes","No")</f>
        <v>No</v>
      </c>
      <c r="P95" s="1" t="str">
        <f>IF(Back_End_Data!H95="Completed","Yes","No")</f>
        <v>No</v>
      </c>
      <c r="Q95" s="1" t="str">
        <f>IF(Back_End_Data!P95="Completed","Yes","No")</f>
        <v>No</v>
      </c>
      <c r="R95" s="1" t="s">
        <v>2369</v>
      </c>
      <c r="S95" s="1" t="str">
        <f>IF(Back_End_Data!R95="Completed","Yes","No")</f>
        <v>No</v>
      </c>
      <c r="T95" s="1" t="str">
        <f>IF(Back_End_Data!S95="Yes","Yes","No")</f>
        <v>No</v>
      </c>
      <c r="U95" s="1" t="str">
        <f>IF(Back_End_Data!Q94="Completed","Yes","No")</f>
        <v>No</v>
      </c>
      <c r="V95" s="1" t="str">
        <f ca="1">IF(INDEX(MIS_Backend_Data!L:L, MATCH(D95, MIS_Backend_Data!B:B, 1)) = "WT", "Yes", "No")</f>
        <v>No</v>
      </c>
      <c r="W95" s="2" t="str">
        <f t="shared" ca="1" si="3"/>
        <v>Approved</v>
      </c>
      <c r="Z95" s="1">
        <f ca="1"/>
        <v>0</v>
      </c>
      <c r="AA95" s="1">
        <f t="shared" ca="1" si="4"/>
        <v>0</v>
      </c>
      <c r="AC95" s="1" t="str">
        <f ca="1"/>
        <v>Open</v>
      </c>
      <c r="AG95" s="1" t="str">
        <f t="shared" si="5"/>
        <v/>
      </c>
    </row>
    <row r="96" spans="1:33" ht="20.25" customHeight="1">
      <c r="A96" s="13">
        <v>95</v>
      </c>
      <c r="B96" s="1" t="str">
        <f ca="1"/>
        <v>Indusind General Insurance Co Ltd</v>
      </c>
      <c r="C96" s="13" t="str">
        <f ca="1"/>
        <v>2025212593</v>
      </c>
      <c r="D96" s="13" t="str">
        <f ca="1"/>
        <v>R001-1095-SS-2025</v>
      </c>
      <c r="E96" s="13">
        <f ca="1"/>
        <v>47</v>
      </c>
      <c r="F96" s="14">
        <f ca="1"/>
        <v>45980</v>
      </c>
      <c r="G96" s="14" t="str">
        <f ca="1"/>
        <v>-</v>
      </c>
      <c r="H96" s="1" t="str">
        <f>IF(Back_End_Data!G96="Completed","Yes","No")</f>
        <v>Yes</v>
      </c>
      <c r="I96" s="1" t="str">
        <f>IF(Back_End_Data!I96="Completed","Yes","No")</f>
        <v>Yes</v>
      </c>
      <c r="J96" s="1" t="str">
        <f>IF(Back_End_Data!J96="Completed","Yes","No")</f>
        <v>No</v>
      </c>
      <c r="K96" s="1" t="str">
        <f>IF(Back_End_Data!K96="Completed","Yes","No")</f>
        <v>No</v>
      </c>
      <c r="L96" s="1" t="str">
        <f>IF(Back_End_Data!L96="", "No", Back_End_Data!L96)</f>
        <v>NA</v>
      </c>
      <c r="M96" s="1" t="str">
        <f>IF(Back_End_Data!N96="", "No", Back_End_Data!N96)</f>
        <v>NA</v>
      </c>
      <c r="N96" s="1" t="str">
        <f>IF(Back_End_Data!M96="", "No", Back_End_Data!M96)</f>
        <v>NA</v>
      </c>
      <c r="O96" s="1" t="str">
        <f>IF(Back_End_Data!O96="Completed","Yes","No")</f>
        <v>No</v>
      </c>
      <c r="P96" s="1" t="str">
        <f>IF(Back_End_Data!H96="Completed","Yes","No")</f>
        <v>No</v>
      </c>
      <c r="Q96" s="1" t="str">
        <f>IF(Back_End_Data!P96="Completed","Yes","No")</f>
        <v>Yes</v>
      </c>
      <c r="R96" s="1" t="s">
        <v>2369</v>
      </c>
      <c r="S96" s="1" t="str">
        <f>IF(Back_End_Data!R96="Completed","Yes","No")</f>
        <v>No</v>
      </c>
      <c r="T96" s="1" t="str">
        <f>IF(Back_End_Data!S96="Yes","Yes","No")</f>
        <v>No</v>
      </c>
      <c r="U96" s="1" t="str">
        <f>IF(Back_End_Data!Q95="Completed","Yes","No")</f>
        <v>Yes</v>
      </c>
      <c r="V96" s="1" t="str">
        <f ca="1">IF(INDEX(MIS_Backend_Data!L:L, MATCH(D96, MIS_Backend_Data!B:B, 1)) = "WT", "Yes", "No")</f>
        <v>No</v>
      </c>
      <c r="W96" s="2" t="str">
        <f t="shared" ca="1" si="3"/>
        <v>Reject</v>
      </c>
      <c r="Z96" s="1">
        <f ca="1"/>
        <v>0</v>
      </c>
      <c r="AA96" s="1">
        <f t="shared" ca="1" si="4"/>
        <v>4</v>
      </c>
      <c r="AC96" s="1" t="str">
        <f ca="1"/>
        <v>Open</v>
      </c>
      <c r="AG96" s="1" t="str">
        <f t="shared" si="5"/>
        <v/>
      </c>
    </row>
    <row r="97" spans="1:33" ht="20.25" customHeight="1">
      <c r="A97" s="13">
        <v>96</v>
      </c>
      <c r="B97" s="1" t="str">
        <f ca="1"/>
        <v>Indusind General Insurance Co Ltd</v>
      </c>
      <c r="C97" s="13" t="str">
        <f ca="1"/>
        <v>2025212721</v>
      </c>
      <c r="D97" s="13" t="str">
        <f ca="1"/>
        <v>R001-1096-SS-2025</v>
      </c>
      <c r="E97" s="13">
        <f ca="1"/>
        <v>47</v>
      </c>
      <c r="F97" s="14">
        <f ca="1"/>
        <v>45980</v>
      </c>
      <c r="G97" s="14" t="str">
        <f ca="1"/>
        <v>-</v>
      </c>
      <c r="H97" s="1" t="str">
        <f>IF(Back_End_Data!G97="Completed","Yes","No")</f>
        <v>Yes</v>
      </c>
      <c r="I97" s="1" t="str">
        <f>IF(Back_End_Data!I97="Completed","Yes","No")</f>
        <v>No</v>
      </c>
      <c r="J97" s="1" t="str">
        <f>IF(Back_End_Data!J97="Completed","Yes","No")</f>
        <v>No</v>
      </c>
      <c r="K97" s="1" t="str">
        <f>IF(Back_End_Data!K97="Completed","Yes","No")</f>
        <v>No</v>
      </c>
      <c r="L97" s="1" t="str">
        <f>IF(Back_End_Data!L97="", "No", Back_End_Data!L97)</f>
        <v>NA</v>
      </c>
      <c r="M97" s="1" t="str">
        <f>IF(Back_End_Data!N97="", "No", Back_End_Data!N97)</f>
        <v>NA</v>
      </c>
      <c r="N97" s="1" t="str">
        <f>IF(Back_End_Data!M97="", "No", Back_End_Data!M97)</f>
        <v>NA</v>
      </c>
      <c r="O97" s="1" t="str">
        <f>IF(Back_End_Data!O97="Completed","Yes","No")</f>
        <v>No</v>
      </c>
      <c r="P97" s="1" t="str">
        <f>IF(Back_End_Data!H97="Completed","Yes","No")</f>
        <v>No</v>
      </c>
      <c r="Q97" s="1" t="str">
        <f>IF(Back_End_Data!P97="Completed","Yes","No")</f>
        <v>No</v>
      </c>
      <c r="R97" s="1" t="s">
        <v>2369</v>
      </c>
      <c r="S97" s="1" t="str">
        <f>IF(Back_End_Data!R97="Completed","Yes","No")</f>
        <v>No</v>
      </c>
      <c r="T97" s="1" t="str">
        <f>IF(Back_End_Data!S97="Yes","Yes","No")</f>
        <v>No</v>
      </c>
      <c r="U97" s="1" t="str">
        <f>IF(Back_End_Data!Q96="Completed","Yes","No")</f>
        <v>No</v>
      </c>
      <c r="V97" s="1" t="str">
        <f ca="1">IF(INDEX(MIS_Backend_Data!L:L, MATCH(D97, MIS_Backend_Data!B:B, 1)) = "WT", "Yes", "No")</f>
        <v>No</v>
      </c>
      <c r="W97" s="2" t="str">
        <f t="shared" ca="1" si="3"/>
        <v>Reject</v>
      </c>
      <c r="Z97" s="1">
        <f ca="1"/>
        <v>0</v>
      </c>
      <c r="AA97" s="1">
        <f t="shared" ca="1" si="4"/>
        <v>1</v>
      </c>
      <c r="AC97" s="1" t="str">
        <f ca="1"/>
        <v>Open</v>
      </c>
      <c r="AG97" s="1" t="str">
        <f t="shared" si="5"/>
        <v/>
      </c>
    </row>
    <row r="98" spans="1:33" ht="20.25" customHeight="1">
      <c r="A98" s="13">
        <v>97</v>
      </c>
      <c r="B98" s="1" t="str">
        <f ca="1"/>
        <v>Indusind General Insurance Co Ltd</v>
      </c>
      <c r="C98" s="13" t="str">
        <f ca="1"/>
        <v>2025209441</v>
      </c>
      <c r="D98" s="13" t="str">
        <f ca="1"/>
        <v>R001-1097-SS-2025</v>
      </c>
      <c r="E98" s="13">
        <f ca="1"/>
        <v>47</v>
      </c>
      <c r="F98" s="14">
        <f ca="1"/>
        <v>45980</v>
      </c>
      <c r="G98" s="14" t="str">
        <f ca="1"/>
        <v>-</v>
      </c>
      <c r="H98" s="1" t="str">
        <f>IF(Back_End_Data!G98="Completed","Yes","No")</f>
        <v>Yes</v>
      </c>
      <c r="I98" s="1" t="str">
        <f>IF(Back_End_Data!I98="Completed","Yes","No")</f>
        <v>No</v>
      </c>
      <c r="J98" s="1" t="str">
        <f>IF(Back_End_Data!J98="Completed","Yes","No")</f>
        <v>No</v>
      </c>
      <c r="K98" s="1" t="str">
        <f>IF(Back_End_Data!K98="Completed","Yes","No")</f>
        <v>No</v>
      </c>
      <c r="L98" s="1" t="str">
        <f>IF(Back_End_Data!L98="", "No", Back_End_Data!L98)</f>
        <v>NA</v>
      </c>
      <c r="M98" s="1" t="str">
        <f>IF(Back_End_Data!N98="", "No", Back_End_Data!N98)</f>
        <v>NA</v>
      </c>
      <c r="N98" s="1" t="str">
        <f>IF(Back_End_Data!M98="", "No", Back_End_Data!M98)</f>
        <v>NA</v>
      </c>
      <c r="O98" s="1" t="str">
        <f>IF(Back_End_Data!O98="Completed","Yes","No")</f>
        <v>No</v>
      </c>
      <c r="P98" s="1" t="str">
        <f>IF(Back_End_Data!H98="Completed","Yes","No")</f>
        <v>No</v>
      </c>
      <c r="Q98" s="1" t="str">
        <f>IF(Back_End_Data!P98="Completed","Yes","No")</f>
        <v>Yes</v>
      </c>
      <c r="R98" s="1" t="s">
        <v>2369</v>
      </c>
      <c r="S98" s="1" t="str">
        <f>IF(Back_End_Data!R98="Completed","Yes","No")</f>
        <v>No</v>
      </c>
      <c r="T98" s="1" t="str">
        <f>IF(Back_End_Data!S98="Yes","Yes","No")</f>
        <v>No</v>
      </c>
      <c r="U98" s="1" t="str">
        <f>IF(Back_End_Data!Q97="Completed","Yes","No")</f>
        <v>No</v>
      </c>
      <c r="V98" s="1" t="str">
        <f ca="1">IF(INDEX(MIS_Backend_Data!L:L, MATCH(D98, MIS_Backend_Data!B:B, 1)) = "WT", "Yes", "No")</f>
        <v>No</v>
      </c>
      <c r="W98" s="2" t="str">
        <f t="shared" ca="1" si="3"/>
        <v>Reject</v>
      </c>
      <c r="Z98" s="1">
        <f ca="1"/>
        <v>0</v>
      </c>
      <c r="AA98" s="1">
        <f t="shared" ca="1" si="4"/>
        <v>2</v>
      </c>
      <c r="AC98" s="1" t="str">
        <f ca="1"/>
        <v>Open</v>
      </c>
      <c r="AG98" s="1" t="str">
        <f t="shared" si="5"/>
        <v/>
      </c>
    </row>
    <row r="99" spans="1:33" ht="20.25" customHeight="1">
      <c r="A99" s="13">
        <v>98</v>
      </c>
      <c r="B99" s="1" t="str">
        <f ca="1"/>
        <v>Indusind General Insurance Co Ltd</v>
      </c>
      <c r="C99" s="13" t="str">
        <f ca="1"/>
        <v>2025209731</v>
      </c>
      <c r="D99" s="13" t="str">
        <f ca="1"/>
        <v>R001-1098-SS-2025</v>
      </c>
      <c r="E99" s="13">
        <f ca="1"/>
        <v>47</v>
      </c>
      <c r="F99" s="14">
        <f ca="1"/>
        <v>45980</v>
      </c>
      <c r="G99" s="14" t="str">
        <f ca="1"/>
        <v>-</v>
      </c>
      <c r="H99" s="1" t="str">
        <f>IF(Back_End_Data!G99="Completed","Yes","No")</f>
        <v>Yes</v>
      </c>
      <c r="I99" s="1" t="str">
        <f>IF(Back_End_Data!I99="Completed","Yes","No")</f>
        <v>No</v>
      </c>
      <c r="J99" s="1" t="str">
        <f>IF(Back_End_Data!J99="Completed","Yes","No")</f>
        <v>No</v>
      </c>
      <c r="K99" s="1" t="str">
        <f>IF(Back_End_Data!K99="Completed","Yes","No")</f>
        <v>No</v>
      </c>
      <c r="L99" s="1" t="str">
        <f>IF(Back_End_Data!L99="", "No", Back_End_Data!L99)</f>
        <v>NA</v>
      </c>
      <c r="M99" s="1" t="str">
        <f>IF(Back_End_Data!N99="", "No", Back_End_Data!N99)</f>
        <v>NA</v>
      </c>
      <c r="N99" s="1" t="str">
        <f>IF(Back_End_Data!M99="", "No", Back_End_Data!M99)</f>
        <v>NA</v>
      </c>
      <c r="O99" s="1" t="str">
        <f>IF(Back_End_Data!O99="Completed","Yes","No")</f>
        <v>No</v>
      </c>
      <c r="P99" s="1" t="str">
        <f>IF(Back_End_Data!H99="Completed","Yes","No")</f>
        <v>No</v>
      </c>
      <c r="Q99" s="1" t="str">
        <f>IF(Back_End_Data!P99="Completed","Yes","No")</f>
        <v>Yes</v>
      </c>
      <c r="R99" s="1" t="s">
        <v>2369</v>
      </c>
      <c r="S99" s="1" t="str">
        <f>IF(Back_End_Data!R99="Completed","Yes","No")</f>
        <v>No</v>
      </c>
      <c r="T99" s="1" t="str">
        <f>IF(Back_End_Data!S99="Yes","Yes","No")</f>
        <v>No</v>
      </c>
      <c r="U99" s="1" t="str">
        <f>IF(Back_End_Data!Q98="Completed","Yes","No")</f>
        <v>No</v>
      </c>
      <c r="V99" s="1" t="str">
        <f ca="1">IF(INDEX(MIS_Backend_Data!L:L, MATCH(D99, MIS_Backend_Data!B:B, 1)) = "WT", "Yes", "No")</f>
        <v>No</v>
      </c>
      <c r="W99" s="2" t="str">
        <f t="shared" ca="1" si="3"/>
        <v>Reject</v>
      </c>
      <c r="Z99" s="1">
        <f ca="1"/>
        <v>0</v>
      </c>
      <c r="AA99" s="1">
        <f t="shared" ca="1" si="4"/>
        <v>2</v>
      </c>
      <c r="AC99" s="1" t="str">
        <f ca="1"/>
        <v>Open</v>
      </c>
      <c r="AG99" s="1" t="str">
        <f t="shared" si="5"/>
        <v/>
      </c>
    </row>
    <row r="100" spans="1:33" ht="20.25" customHeight="1">
      <c r="A100" s="13">
        <v>99</v>
      </c>
      <c r="B100" s="1" t="str">
        <f ca="1"/>
        <v>Indusind General Insurance Co Ltd</v>
      </c>
      <c r="C100" s="13" t="str">
        <f ca="1"/>
        <v>2025210423</v>
      </c>
      <c r="D100" s="13" t="str">
        <f ca="1"/>
        <v>R001-1099-SS-2025</v>
      </c>
      <c r="E100" s="13">
        <f ca="1"/>
        <v>47</v>
      </c>
      <c r="F100" s="14">
        <f ca="1"/>
        <v>45980</v>
      </c>
      <c r="G100" s="14" t="str">
        <f ca="1"/>
        <v>-</v>
      </c>
      <c r="H100" s="1" t="str">
        <f>IF(Back_End_Data!G100="Completed","Yes","No")</f>
        <v>No</v>
      </c>
      <c r="I100" s="1" t="str">
        <f>IF(Back_End_Data!I100="Completed","Yes","No")</f>
        <v>No</v>
      </c>
      <c r="J100" s="1" t="str">
        <f>IF(Back_End_Data!J100="Completed","Yes","No")</f>
        <v>No</v>
      </c>
      <c r="K100" s="1" t="str">
        <f>IF(Back_End_Data!K100="Completed","Yes","No")</f>
        <v>No</v>
      </c>
      <c r="L100" s="1" t="str">
        <f>IF(Back_End_Data!L100="", "No", Back_End_Data!L100)</f>
        <v>NA</v>
      </c>
      <c r="M100" s="1" t="str">
        <f>IF(Back_End_Data!N100="", "No", Back_End_Data!N100)</f>
        <v>NA</v>
      </c>
      <c r="N100" s="1" t="str">
        <f>IF(Back_End_Data!M100="", "No", Back_End_Data!M100)</f>
        <v>NA</v>
      </c>
      <c r="O100" s="1" t="str">
        <f>IF(Back_End_Data!O100="Completed","Yes","No")</f>
        <v>No</v>
      </c>
      <c r="P100" s="1" t="str">
        <f>IF(Back_End_Data!H100="Completed","Yes","No")</f>
        <v>No</v>
      </c>
      <c r="Q100" s="1" t="str">
        <f>IF(Back_End_Data!P100="Completed","Yes","No")</f>
        <v>No</v>
      </c>
      <c r="R100" s="1" t="s">
        <v>2369</v>
      </c>
      <c r="S100" s="1" t="str">
        <f>IF(Back_End_Data!R100="Completed","Yes","No")</f>
        <v>No</v>
      </c>
      <c r="T100" s="1" t="str">
        <f>IF(Back_End_Data!S100="Yes","Yes","No")</f>
        <v>No</v>
      </c>
      <c r="U100" s="1" t="str">
        <f>IF(Back_End_Data!Q99="Completed","Yes","No")</f>
        <v>No</v>
      </c>
      <c r="V100" s="1" t="str">
        <f ca="1">IF(INDEX(MIS_Backend_Data!L:L, MATCH(D100, MIS_Backend_Data!B:B, 1)) = "WT", "Yes", "No")</f>
        <v>No</v>
      </c>
      <c r="W100" s="2" t="str">
        <f t="shared" ca="1" si="3"/>
        <v>Approved</v>
      </c>
      <c r="Z100" s="1">
        <f ca="1"/>
        <v>0</v>
      </c>
      <c r="AA100" s="1">
        <f t="shared" ca="1" si="4"/>
        <v>0</v>
      </c>
      <c r="AC100" s="1" t="str">
        <f ca="1"/>
        <v>Open</v>
      </c>
      <c r="AG100" s="1" t="str">
        <f t="shared" si="5"/>
        <v/>
      </c>
    </row>
    <row r="101" spans="1:33" ht="20.25" customHeight="1">
      <c r="A101" s="13">
        <v>100</v>
      </c>
      <c r="B101" s="1" t="str">
        <f ca="1"/>
        <v>Indusind General Insurance Co Ltd</v>
      </c>
      <c r="C101" s="13" t="str">
        <f ca="1"/>
        <v>2025210175</v>
      </c>
      <c r="D101" s="13" t="str">
        <f ca="1"/>
        <v>R001-1100-SS-2025</v>
      </c>
      <c r="E101" s="13">
        <f ca="1"/>
        <v>47</v>
      </c>
      <c r="F101" s="14">
        <f ca="1"/>
        <v>45980</v>
      </c>
      <c r="G101" s="14" t="str">
        <f ca="1"/>
        <v>-</v>
      </c>
      <c r="H101" s="1" t="str">
        <f>IF(Back_End_Data!G101="Completed","Yes","No")</f>
        <v>Yes</v>
      </c>
      <c r="I101" s="1" t="str">
        <f>IF(Back_End_Data!I101="Completed","Yes","No")</f>
        <v>No</v>
      </c>
      <c r="J101" s="1" t="str">
        <f>IF(Back_End_Data!J101="Completed","Yes","No")</f>
        <v>No</v>
      </c>
      <c r="K101" s="1" t="str">
        <f>IF(Back_End_Data!K101="Completed","Yes","No")</f>
        <v>No</v>
      </c>
      <c r="L101" s="1" t="str">
        <f>IF(Back_End_Data!L101="", "No", Back_End_Data!L101)</f>
        <v>NA</v>
      </c>
      <c r="M101" s="1" t="str">
        <f>IF(Back_End_Data!N101="", "No", Back_End_Data!N101)</f>
        <v>NA</v>
      </c>
      <c r="N101" s="1" t="str">
        <f>IF(Back_End_Data!M101="", "No", Back_End_Data!M101)</f>
        <v>NA</v>
      </c>
      <c r="O101" s="1" t="str">
        <f>IF(Back_End_Data!O101="Completed","Yes","No")</f>
        <v>No</v>
      </c>
      <c r="P101" s="1" t="str">
        <f>IF(Back_End_Data!H101="Completed","Yes","No")</f>
        <v>No</v>
      </c>
      <c r="Q101" s="1" t="str">
        <f>IF(Back_End_Data!P101="Completed","Yes","No")</f>
        <v>Yes</v>
      </c>
      <c r="R101" s="1" t="s">
        <v>2369</v>
      </c>
      <c r="S101" s="1" t="str">
        <f>IF(Back_End_Data!R101="Completed","Yes","No")</f>
        <v>No</v>
      </c>
      <c r="T101" s="1" t="str">
        <f>IF(Back_End_Data!S101="Yes","Yes","No")</f>
        <v>No</v>
      </c>
      <c r="U101" s="1" t="str">
        <f>IF(Back_End_Data!Q100="Completed","Yes","No")</f>
        <v>No</v>
      </c>
      <c r="V101" s="1" t="str">
        <f ca="1">IF(INDEX(MIS_Backend_Data!L:L, MATCH(D101, MIS_Backend_Data!B:B, 1)) = "WT", "Yes", "No")</f>
        <v>No</v>
      </c>
      <c r="W101" s="2" t="str">
        <f t="shared" ca="1" si="3"/>
        <v>Reject</v>
      </c>
      <c r="Z101" s="1">
        <f ca="1"/>
        <v>0</v>
      </c>
      <c r="AA101" s="1">
        <f t="shared" ca="1" si="4"/>
        <v>2</v>
      </c>
      <c r="AC101" s="1" t="str">
        <f ca="1"/>
        <v>Open</v>
      </c>
      <c r="AG101" s="1" t="str">
        <f t="shared" si="5"/>
        <v/>
      </c>
    </row>
    <row r="102" spans="1:33" ht="20.25" customHeight="1">
      <c r="A102" s="13">
        <v>101</v>
      </c>
      <c r="B102" s="1" t="str">
        <f ca="1"/>
        <v>Indusind General Insurance Co Ltd</v>
      </c>
      <c r="C102" s="13" t="str">
        <f ca="1"/>
        <v>2025210211</v>
      </c>
      <c r="D102" s="13" t="str">
        <f ca="1"/>
        <v>R001-1101-SS-2025</v>
      </c>
      <c r="E102" s="13">
        <f ca="1"/>
        <v>47</v>
      </c>
      <c r="F102" s="14">
        <f ca="1"/>
        <v>45980</v>
      </c>
      <c r="G102" s="14" t="str">
        <f ca="1"/>
        <v>-</v>
      </c>
      <c r="H102" s="1" t="str">
        <f>IF(Back_End_Data!G102="Completed","Yes","No")</f>
        <v>No</v>
      </c>
      <c r="I102" s="1" t="str">
        <f>IF(Back_End_Data!I102="Completed","Yes","No")</f>
        <v>No</v>
      </c>
      <c r="J102" s="1" t="str">
        <f>IF(Back_End_Data!J102="Completed","Yes","No")</f>
        <v>No</v>
      </c>
      <c r="K102" s="1" t="str">
        <f>IF(Back_End_Data!K102="Completed","Yes","No")</f>
        <v>No</v>
      </c>
      <c r="L102" s="1" t="str">
        <f>IF(Back_End_Data!L102="", "No", Back_End_Data!L102)</f>
        <v>NA</v>
      </c>
      <c r="M102" s="1" t="str">
        <f>IF(Back_End_Data!N102="", "No", Back_End_Data!N102)</f>
        <v>NA</v>
      </c>
      <c r="N102" s="1" t="str">
        <f>IF(Back_End_Data!M102="", "No", Back_End_Data!M102)</f>
        <v>NA</v>
      </c>
      <c r="O102" s="1" t="str">
        <f>IF(Back_End_Data!O102="Completed","Yes","No")</f>
        <v>No</v>
      </c>
      <c r="P102" s="1" t="str">
        <f>IF(Back_End_Data!H102="Completed","Yes","No")</f>
        <v>No</v>
      </c>
      <c r="Q102" s="1" t="str">
        <f>IF(Back_End_Data!P102="Completed","Yes","No")</f>
        <v>No</v>
      </c>
      <c r="R102" s="1" t="s">
        <v>2369</v>
      </c>
      <c r="S102" s="1" t="str">
        <f>IF(Back_End_Data!R102="Completed","Yes","No")</f>
        <v>No</v>
      </c>
      <c r="T102" s="1" t="str">
        <f>IF(Back_End_Data!S102="Yes","Yes","No")</f>
        <v>No</v>
      </c>
      <c r="U102" s="1" t="str">
        <f>IF(Back_End_Data!Q101="Completed","Yes","No")</f>
        <v>No</v>
      </c>
      <c r="V102" s="1" t="str">
        <f ca="1">IF(INDEX(MIS_Backend_Data!L:L, MATCH(D102, MIS_Backend_Data!B:B, 1)) = "WT", "Yes", "No")</f>
        <v>No</v>
      </c>
      <c r="W102" s="2" t="str">
        <f t="shared" ca="1" si="3"/>
        <v>Approved</v>
      </c>
      <c r="Z102" s="1">
        <f ca="1"/>
        <v>0</v>
      </c>
      <c r="AA102" s="1">
        <f t="shared" ca="1" si="4"/>
        <v>0</v>
      </c>
      <c r="AC102" s="1" t="str">
        <f ca="1"/>
        <v>Open</v>
      </c>
      <c r="AG102" s="1" t="str">
        <f t="shared" si="5"/>
        <v/>
      </c>
    </row>
    <row r="103" spans="1:33" ht="20.25" customHeight="1">
      <c r="A103" s="13">
        <v>102</v>
      </c>
      <c r="B103" s="1" t="str">
        <f ca="1"/>
        <v>Indusind General Insurance Co Ltd</v>
      </c>
      <c r="C103" s="13" t="str">
        <f ca="1"/>
        <v>2025209709</v>
      </c>
      <c r="D103" s="13" t="str">
        <f ca="1"/>
        <v>R001-1102-SS-2025</v>
      </c>
      <c r="E103" s="13">
        <f ca="1"/>
        <v>47</v>
      </c>
      <c r="F103" s="14">
        <f ca="1"/>
        <v>45980</v>
      </c>
      <c r="G103" s="14" t="str">
        <f ca="1"/>
        <v>-</v>
      </c>
      <c r="H103" s="1" t="str">
        <f>IF(Back_End_Data!G103="Completed","Yes","No")</f>
        <v>Yes</v>
      </c>
      <c r="I103" s="1" t="str">
        <f>IF(Back_End_Data!I103="Completed","Yes","No")</f>
        <v>Yes</v>
      </c>
      <c r="J103" s="1" t="str">
        <f>IF(Back_End_Data!J103="Completed","Yes","No")</f>
        <v>No</v>
      </c>
      <c r="K103" s="1" t="str">
        <f>IF(Back_End_Data!K103="Completed","Yes","No")</f>
        <v>Yes</v>
      </c>
      <c r="L103" s="1" t="str">
        <f>IF(Back_End_Data!L103="", "No", Back_End_Data!L103)</f>
        <v>NA</v>
      </c>
      <c r="M103" s="1" t="str">
        <f>IF(Back_End_Data!N103="", "No", Back_End_Data!N103)</f>
        <v>NA</v>
      </c>
      <c r="N103" s="1" t="str">
        <f>IF(Back_End_Data!M103="", "No", Back_End_Data!M103)</f>
        <v>NA</v>
      </c>
      <c r="O103" s="1" t="str">
        <f>IF(Back_End_Data!O103="Completed","Yes","No")</f>
        <v>No</v>
      </c>
      <c r="P103" s="1" t="str">
        <f>IF(Back_End_Data!H103="Completed","Yes","No")</f>
        <v>No</v>
      </c>
      <c r="Q103" s="1" t="str">
        <f>IF(Back_End_Data!P103="Completed","Yes","No")</f>
        <v>Yes</v>
      </c>
      <c r="R103" s="1" t="s">
        <v>2369</v>
      </c>
      <c r="S103" s="1" t="str">
        <f>IF(Back_End_Data!R103="Completed","Yes","No")</f>
        <v>No</v>
      </c>
      <c r="T103" s="1" t="str">
        <f>IF(Back_End_Data!S103="Yes","Yes","No")</f>
        <v>No</v>
      </c>
      <c r="U103" s="1" t="str">
        <f>IF(Back_End_Data!Q102="Completed","Yes","No")</f>
        <v>No</v>
      </c>
      <c r="V103" s="1" t="str">
        <f ca="1">IF(INDEX(MIS_Backend_Data!L:L, MATCH(D103, MIS_Backend_Data!B:B, 1)) = "WT", "Yes", "No")</f>
        <v>No</v>
      </c>
      <c r="W103" s="2" t="str">
        <f t="shared" ca="1" si="3"/>
        <v>Reject</v>
      </c>
      <c r="Z103" s="1">
        <f ca="1"/>
        <v>0</v>
      </c>
      <c r="AA103" s="1">
        <f t="shared" ca="1" si="4"/>
        <v>4</v>
      </c>
      <c r="AC103" s="1" t="str">
        <f ca="1"/>
        <v>Open</v>
      </c>
      <c r="AG103" s="1" t="str">
        <f t="shared" si="5"/>
        <v/>
      </c>
    </row>
    <row r="104" spans="1:33" ht="20.25" customHeight="1">
      <c r="A104" s="13">
        <v>103</v>
      </c>
      <c r="B104" s="1" t="str">
        <f ca="1"/>
        <v>Indusind General Insurance Co Ltd</v>
      </c>
      <c r="C104" s="13" t="str">
        <f ca="1"/>
        <v>2025210102</v>
      </c>
      <c r="D104" s="13" t="str">
        <f ca="1"/>
        <v>R001-1103-SS-2025</v>
      </c>
      <c r="E104" s="13">
        <f ca="1"/>
        <v>46</v>
      </c>
      <c r="F104" s="14">
        <f ca="1"/>
        <v>45981</v>
      </c>
      <c r="G104" s="14" t="str">
        <f ca="1"/>
        <v>-</v>
      </c>
      <c r="H104" s="1" t="str">
        <f>IF(Back_End_Data!G104="Completed","Yes","No")</f>
        <v>Yes</v>
      </c>
      <c r="I104" s="1" t="str">
        <f>IF(Back_End_Data!I104="Completed","Yes","No")</f>
        <v>No</v>
      </c>
      <c r="J104" s="1" t="str">
        <f>IF(Back_End_Data!J104="Completed","Yes","No")</f>
        <v>No</v>
      </c>
      <c r="K104" s="1" t="str">
        <f>IF(Back_End_Data!K104="Completed","Yes","No")</f>
        <v>No</v>
      </c>
      <c r="L104" s="1" t="str">
        <f>IF(Back_End_Data!L104="", "No", Back_End_Data!L104)</f>
        <v>NA</v>
      </c>
      <c r="M104" s="1" t="str">
        <f>IF(Back_End_Data!N104="", "No", Back_End_Data!N104)</f>
        <v>NA</v>
      </c>
      <c r="N104" s="1" t="str">
        <f>IF(Back_End_Data!M104="", "No", Back_End_Data!M104)</f>
        <v>NA</v>
      </c>
      <c r="O104" s="1" t="str">
        <f>IF(Back_End_Data!O104="Completed","Yes","No")</f>
        <v>No</v>
      </c>
      <c r="P104" s="1" t="str">
        <f>IF(Back_End_Data!H104="Completed","Yes","No")</f>
        <v>No</v>
      </c>
      <c r="Q104" s="1" t="str">
        <f>IF(Back_End_Data!P104="Completed","Yes","No")</f>
        <v>Yes</v>
      </c>
      <c r="R104" s="1" t="s">
        <v>2369</v>
      </c>
      <c r="S104" s="1" t="str">
        <f>IF(Back_End_Data!R104="Completed","Yes","No")</f>
        <v>No</v>
      </c>
      <c r="T104" s="1" t="str">
        <f>IF(Back_End_Data!S104="Yes","Yes","No")</f>
        <v>No</v>
      </c>
      <c r="U104" s="1" t="str">
        <f>IF(Back_End_Data!Q103="Completed","Yes","No")</f>
        <v>No</v>
      </c>
      <c r="V104" s="1" t="str">
        <f ca="1">IF(INDEX(MIS_Backend_Data!L:L, MATCH(D104, MIS_Backend_Data!B:B, 1)) = "WT", "Yes", "No")</f>
        <v>No</v>
      </c>
      <c r="W104" s="2" t="str">
        <f t="shared" ca="1" si="3"/>
        <v>Reject</v>
      </c>
      <c r="Z104" s="1">
        <f ca="1"/>
        <v>0</v>
      </c>
      <c r="AA104" s="1">
        <f t="shared" ca="1" si="4"/>
        <v>2</v>
      </c>
      <c r="AC104" s="1" t="str">
        <f ca="1"/>
        <v>Open</v>
      </c>
      <c r="AG104" s="1" t="str">
        <f t="shared" si="5"/>
        <v/>
      </c>
    </row>
    <row r="105" spans="1:33" ht="20.25" customHeight="1">
      <c r="A105" s="13">
        <v>104</v>
      </c>
      <c r="B105" s="1" t="str">
        <f ca="1"/>
        <v>Indusind General Insurance Co Ltd</v>
      </c>
      <c r="C105" s="13" t="str">
        <f ca="1"/>
        <v>2025212758</v>
      </c>
      <c r="D105" s="13" t="str">
        <f ca="1"/>
        <v>R001-1104-SS-2025</v>
      </c>
      <c r="E105" s="13">
        <f ca="1"/>
        <v>46</v>
      </c>
      <c r="F105" s="14">
        <f ca="1"/>
        <v>45981</v>
      </c>
      <c r="G105" s="14" t="str">
        <f ca="1"/>
        <v>-</v>
      </c>
      <c r="H105" s="1" t="str">
        <f>IF(Back_End_Data!G105="Completed","Yes","No")</f>
        <v>Yes</v>
      </c>
      <c r="I105" s="1" t="str">
        <f>IF(Back_End_Data!I105="Completed","Yes","No")</f>
        <v>Yes</v>
      </c>
      <c r="J105" s="1" t="str">
        <f>IF(Back_End_Data!J105="Completed","Yes","No")</f>
        <v>No</v>
      </c>
      <c r="K105" s="1" t="str">
        <f>IF(Back_End_Data!K105="Completed","Yes","No")</f>
        <v>Yes</v>
      </c>
      <c r="L105" s="1" t="str">
        <f>IF(Back_End_Data!L105="", "No", Back_End_Data!L105)</f>
        <v>NA</v>
      </c>
      <c r="M105" s="1" t="str">
        <f>IF(Back_End_Data!N105="", "No", Back_End_Data!N105)</f>
        <v>NA</v>
      </c>
      <c r="N105" s="1" t="str">
        <f>IF(Back_End_Data!M105="", "No", Back_End_Data!M105)</f>
        <v>NA</v>
      </c>
      <c r="O105" s="1" t="str">
        <f>IF(Back_End_Data!O105="Completed","Yes","No")</f>
        <v>No</v>
      </c>
      <c r="P105" s="1" t="str">
        <f>IF(Back_End_Data!H105="Completed","Yes","No")</f>
        <v>No</v>
      </c>
      <c r="Q105" s="1" t="str">
        <f>IF(Back_End_Data!P105="Completed","Yes","No")</f>
        <v>Yes</v>
      </c>
      <c r="R105" s="1" t="s">
        <v>2369</v>
      </c>
      <c r="S105" s="1" t="str">
        <f>IF(Back_End_Data!R105="Completed","Yes","No")</f>
        <v>No</v>
      </c>
      <c r="T105" s="1" t="str">
        <f>IF(Back_End_Data!S105="Yes","Yes","No")</f>
        <v>No</v>
      </c>
      <c r="U105" s="1" t="str">
        <f>IF(Back_End_Data!Q104="Completed","Yes","No")</f>
        <v>No</v>
      </c>
      <c r="V105" s="1" t="str">
        <f ca="1">IF(INDEX(MIS_Backend_Data!L:L, MATCH(D105, MIS_Backend_Data!B:B, 1)) = "WT", "Yes", "No")</f>
        <v>No</v>
      </c>
      <c r="W105" s="2" t="str">
        <f t="shared" ca="1" si="3"/>
        <v>Reject</v>
      </c>
      <c r="Z105" s="1">
        <f ca="1"/>
        <v>0</v>
      </c>
      <c r="AA105" s="1">
        <f t="shared" ca="1" si="4"/>
        <v>4</v>
      </c>
      <c r="AC105" s="1" t="str">
        <f ca="1"/>
        <v>Open</v>
      </c>
      <c r="AG105" s="1" t="str">
        <f t="shared" si="5"/>
        <v/>
      </c>
    </row>
    <row r="106" spans="1:33" ht="20.25" customHeight="1">
      <c r="A106" s="13">
        <v>105</v>
      </c>
      <c r="B106" s="1" t="str">
        <f ca="1"/>
        <v>Indusind General Insurance Co Ltd</v>
      </c>
      <c r="C106" s="13" t="str">
        <f ca="1"/>
        <v>2025209132</v>
      </c>
      <c r="D106" s="13" t="str">
        <f ca="1"/>
        <v>R001-1105-SS-2025</v>
      </c>
      <c r="E106" s="13">
        <f ca="1"/>
        <v>29</v>
      </c>
      <c r="F106" s="14">
        <f ca="1"/>
        <v>45981</v>
      </c>
      <c r="G106" s="14">
        <f ca="1"/>
        <v>46010</v>
      </c>
      <c r="H106" s="1" t="str">
        <f>IF(Back_End_Data!G106="Completed","Yes","No")</f>
        <v>Yes</v>
      </c>
      <c r="I106" s="1" t="str">
        <f>IF(Back_End_Data!I106="Completed","Yes","No")</f>
        <v>Yes</v>
      </c>
      <c r="J106" s="1" t="str">
        <f>IF(Back_End_Data!J106="Completed","Yes","No")</f>
        <v>No</v>
      </c>
      <c r="K106" s="1" t="str">
        <f>IF(Back_End_Data!K106="Completed","Yes","No")</f>
        <v>No</v>
      </c>
      <c r="L106" s="1" t="str">
        <f>IF(Back_End_Data!L106="", "No", Back_End_Data!L106)</f>
        <v>NA</v>
      </c>
      <c r="M106" s="1" t="str">
        <f>IF(Back_End_Data!N106="", "No", Back_End_Data!N106)</f>
        <v>NA</v>
      </c>
      <c r="N106" s="1" t="str">
        <f>IF(Back_End_Data!M106="", "No", Back_End_Data!M106)</f>
        <v>NA</v>
      </c>
      <c r="O106" s="1" t="str">
        <f>IF(Back_End_Data!O106="Completed","Yes","No")</f>
        <v>No</v>
      </c>
      <c r="P106" s="1" t="str">
        <f>IF(Back_End_Data!H106="Completed","Yes","No")</f>
        <v>No</v>
      </c>
      <c r="Q106" s="1" t="str">
        <f>IF(Back_End_Data!P106="Completed","Yes","No")</f>
        <v>Yes</v>
      </c>
      <c r="R106" s="1" t="s">
        <v>2369</v>
      </c>
      <c r="S106" s="1" t="str">
        <f>IF(Back_End_Data!R106="Completed","Yes","No")</f>
        <v>No</v>
      </c>
      <c r="T106" s="1" t="str">
        <f>IF(Back_End_Data!S106="Yes","Yes","No")</f>
        <v>No</v>
      </c>
      <c r="U106" s="1" t="str">
        <f>IF(Back_End_Data!Q105="Completed","Yes","No")</f>
        <v>No</v>
      </c>
      <c r="V106" s="1" t="str">
        <f ca="1">IF(INDEX(MIS_Backend_Data!L:L, MATCH(D106, MIS_Backend_Data!B:B, 1)) = "WT", "Yes", "No")</f>
        <v>No</v>
      </c>
      <c r="W106" s="2" t="str">
        <f t="shared" ca="1" si="3"/>
        <v>Reject</v>
      </c>
      <c r="Z106" s="1">
        <f ca="1"/>
        <v>0</v>
      </c>
      <c r="AA106" s="1">
        <f t="shared" ca="1" si="4"/>
        <v>3</v>
      </c>
      <c r="AC106" s="1" t="str">
        <f ca="1"/>
        <v>Dispatch</v>
      </c>
      <c r="AG106" s="1" t="str">
        <f t="shared" si="5"/>
        <v/>
      </c>
    </row>
    <row r="107" spans="1:33" ht="20.25" customHeight="1">
      <c r="A107" s="13">
        <v>106</v>
      </c>
      <c r="B107" s="1" t="str">
        <f ca="1"/>
        <v>Indusind General Insurance Co Ltd</v>
      </c>
      <c r="C107" s="13" t="str">
        <f ca="1"/>
        <v>2025209145</v>
      </c>
      <c r="D107" s="13" t="str">
        <f ca="1"/>
        <v>R001-1106-SS-2025</v>
      </c>
      <c r="E107" s="13">
        <f ca="1"/>
        <v>29</v>
      </c>
      <c r="F107" s="14">
        <f ca="1"/>
        <v>45981</v>
      </c>
      <c r="G107" s="14">
        <f ca="1"/>
        <v>46010</v>
      </c>
      <c r="H107" s="1" t="str">
        <f>IF(Back_End_Data!G107="Completed","Yes","No")</f>
        <v>Yes</v>
      </c>
      <c r="I107" s="1" t="str">
        <f>IF(Back_End_Data!I107="Completed","Yes","No")</f>
        <v>No</v>
      </c>
      <c r="J107" s="1" t="str">
        <f>IF(Back_End_Data!J107="Completed","Yes","No")</f>
        <v>No</v>
      </c>
      <c r="K107" s="1" t="str">
        <f>IF(Back_End_Data!K107="Completed","Yes","No")</f>
        <v>No</v>
      </c>
      <c r="L107" s="1" t="str">
        <f>IF(Back_End_Data!L107="", "No", Back_End_Data!L107)</f>
        <v>NA</v>
      </c>
      <c r="M107" s="1" t="str">
        <f>IF(Back_End_Data!N107="", "No", Back_End_Data!N107)</f>
        <v>NA</v>
      </c>
      <c r="N107" s="1" t="str">
        <f>IF(Back_End_Data!M107="", "No", Back_End_Data!M107)</f>
        <v>NA</v>
      </c>
      <c r="O107" s="1" t="str">
        <f>IF(Back_End_Data!O107="Completed","Yes","No")</f>
        <v>No</v>
      </c>
      <c r="P107" s="1" t="str">
        <f>IF(Back_End_Data!H107="Completed","Yes","No")</f>
        <v>No</v>
      </c>
      <c r="Q107" s="1" t="str">
        <f>IF(Back_End_Data!P107="Completed","Yes","No")</f>
        <v>No</v>
      </c>
      <c r="R107" s="1" t="s">
        <v>2369</v>
      </c>
      <c r="S107" s="1" t="str">
        <f>IF(Back_End_Data!R107="Completed","Yes","No")</f>
        <v>No</v>
      </c>
      <c r="T107" s="1" t="str">
        <f>IF(Back_End_Data!S107="Yes","Yes","No")</f>
        <v>No</v>
      </c>
      <c r="U107" s="1" t="str">
        <f>IF(Back_End_Data!Q106="Completed","Yes","No")</f>
        <v>No</v>
      </c>
      <c r="V107" s="1" t="str">
        <f ca="1">IF(INDEX(MIS_Backend_Data!L:L, MATCH(D107, MIS_Backend_Data!B:B, 1)) = "WT", "Yes", "No")</f>
        <v>No</v>
      </c>
      <c r="W107" s="2" t="str">
        <f t="shared" ca="1" si="3"/>
        <v>Reject</v>
      </c>
      <c r="Z107" s="1">
        <f ca="1"/>
        <v>0</v>
      </c>
      <c r="AA107" s="1">
        <f t="shared" ca="1" si="4"/>
        <v>1</v>
      </c>
      <c r="AC107" s="1" t="str">
        <f ca="1"/>
        <v>Dispatch</v>
      </c>
      <c r="AG107" s="1" t="str">
        <f t="shared" si="5"/>
        <v/>
      </c>
    </row>
    <row r="108" spans="1:33" ht="20.25" customHeight="1">
      <c r="A108" s="13">
        <v>107</v>
      </c>
      <c r="B108" s="1" t="str">
        <f ca="1"/>
        <v>Indusind General Insurance Co Ltd</v>
      </c>
      <c r="C108" s="13" t="str">
        <f ca="1"/>
        <v>2025206806</v>
      </c>
      <c r="D108" s="13" t="str">
        <f ca="1"/>
        <v>R001-1107-SS-2025</v>
      </c>
      <c r="E108" s="13">
        <f ca="1"/>
        <v>29</v>
      </c>
      <c r="F108" s="14">
        <f ca="1"/>
        <v>45981</v>
      </c>
      <c r="G108" s="14">
        <f ca="1"/>
        <v>46010</v>
      </c>
      <c r="H108" s="1" t="str">
        <f>IF(Back_End_Data!G108="Completed","Yes","No")</f>
        <v>Yes</v>
      </c>
      <c r="I108" s="1" t="str">
        <f>IF(Back_End_Data!I108="Completed","Yes","No")</f>
        <v>No</v>
      </c>
      <c r="J108" s="1" t="str">
        <f>IF(Back_End_Data!J108="Completed","Yes","No")</f>
        <v>No</v>
      </c>
      <c r="K108" s="1" t="str">
        <f>IF(Back_End_Data!K108="Completed","Yes","No")</f>
        <v>No</v>
      </c>
      <c r="L108" s="1" t="str">
        <f>IF(Back_End_Data!L108="", "No", Back_End_Data!L108)</f>
        <v>NA</v>
      </c>
      <c r="M108" s="1" t="str">
        <f>IF(Back_End_Data!N108="", "No", Back_End_Data!N108)</f>
        <v>NA</v>
      </c>
      <c r="N108" s="1" t="str">
        <f>IF(Back_End_Data!M108="", "No", Back_End_Data!M108)</f>
        <v>NA</v>
      </c>
      <c r="O108" s="1" t="str">
        <f>IF(Back_End_Data!O108="Completed","Yes","No")</f>
        <v>No</v>
      </c>
      <c r="P108" s="1" t="str">
        <f>IF(Back_End_Data!H108="Completed","Yes","No")</f>
        <v>No</v>
      </c>
      <c r="Q108" s="1" t="str">
        <f>IF(Back_End_Data!P108="Completed","Yes","No")</f>
        <v>No</v>
      </c>
      <c r="R108" s="1" t="s">
        <v>2369</v>
      </c>
      <c r="S108" s="1" t="str">
        <f>IF(Back_End_Data!R108="Completed","Yes","No")</f>
        <v>No</v>
      </c>
      <c r="T108" s="1" t="str">
        <f>IF(Back_End_Data!S108="Yes","Yes","No")</f>
        <v>No</v>
      </c>
      <c r="U108" s="1" t="str">
        <f>IF(Back_End_Data!Q107="Completed","Yes","No")</f>
        <v>No</v>
      </c>
      <c r="V108" s="1" t="str">
        <f ca="1">IF(INDEX(MIS_Backend_Data!L:L, MATCH(D108, MIS_Backend_Data!B:B, 1)) = "WT", "Yes", "No")</f>
        <v>No</v>
      </c>
      <c r="W108" s="2" t="str">
        <f t="shared" ca="1" si="3"/>
        <v>Reject</v>
      </c>
      <c r="Z108" s="1">
        <f ca="1"/>
        <v>0</v>
      </c>
      <c r="AA108" s="1">
        <f t="shared" ca="1" si="4"/>
        <v>1</v>
      </c>
      <c r="AC108" s="1" t="str">
        <f ca="1"/>
        <v>Dispatch</v>
      </c>
      <c r="AG108" s="1" t="str">
        <f t="shared" si="5"/>
        <v/>
      </c>
    </row>
    <row r="109" spans="1:33" ht="20.25" customHeight="1">
      <c r="A109" s="13">
        <v>108</v>
      </c>
      <c r="B109" s="1" t="str">
        <f ca="1"/>
        <v>Indusind General Insurance Co Ltd</v>
      </c>
      <c r="C109" s="13" t="str">
        <f ca="1"/>
        <v>2025210434</v>
      </c>
      <c r="D109" s="13" t="str">
        <f ca="1"/>
        <v>R001-1108-SS-2025</v>
      </c>
      <c r="E109" s="13">
        <f ca="1"/>
        <v>32</v>
      </c>
      <c r="F109" s="14">
        <f ca="1"/>
        <v>45981</v>
      </c>
      <c r="G109" s="14">
        <f ca="1"/>
        <v>46013</v>
      </c>
      <c r="H109" s="1" t="str">
        <f>IF(Back_End_Data!G109="Completed","Yes","No")</f>
        <v>Yes</v>
      </c>
      <c r="I109" s="1" t="str">
        <f>IF(Back_End_Data!I109="Completed","Yes","No")</f>
        <v>Yes</v>
      </c>
      <c r="J109" s="1" t="str">
        <f>IF(Back_End_Data!J109="Completed","Yes","No")</f>
        <v>No</v>
      </c>
      <c r="K109" s="1" t="str">
        <f>IF(Back_End_Data!K109="Completed","Yes","No")</f>
        <v>Yes</v>
      </c>
      <c r="L109" s="1" t="str">
        <f>IF(Back_End_Data!L109="", "No", Back_End_Data!L109)</f>
        <v>NA</v>
      </c>
      <c r="M109" s="1" t="str">
        <f>IF(Back_End_Data!N109="", "No", Back_End_Data!N109)</f>
        <v>NA</v>
      </c>
      <c r="N109" s="1" t="str">
        <f>IF(Back_End_Data!M109="", "No", Back_End_Data!M109)</f>
        <v>NA</v>
      </c>
      <c r="O109" s="1" t="str">
        <f>IF(Back_End_Data!O109="Completed","Yes","No")</f>
        <v>No</v>
      </c>
      <c r="P109" s="1" t="str">
        <f>IF(Back_End_Data!H109="Completed","Yes","No")</f>
        <v>No</v>
      </c>
      <c r="Q109" s="1" t="str">
        <f>IF(Back_End_Data!P109="Completed","Yes","No")</f>
        <v>Yes</v>
      </c>
      <c r="R109" s="1" t="s">
        <v>2369</v>
      </c>
      <c r="S109" s="1" t="str">
        <f>IF(Back_End_Data!R109="Completed","Yes","No")</f>
        <v>No</v>
      </c>
      <c r="T109" s="1" t="str">
        <f>IF(Back_End_Data!S109="Yes","Yes","No")</f>
        <v>No</v>
      </c>
      <c r="U109" s="1" t="str">
        <f>IF(Back_End_Data!Q108="Completed","Yes","No")</f>
        <v>No</v>
      </c>
      <c r="V109" s="1" t="str">
        <f ca="1">IF(INDEX(MIS_Backend_Data!L:L, MATCH(D109, MIS_Backend_Data!B:B, 1)) = "WT", "Yes", "No")</f>
        <v>No</v>
      </c>
      <c r="W109" s="2" t="str">
        <f t="shared" ca="1" si="3"/>
        <v>Reject</v>
      </c>
      <c r="Z109" s="1">
        <f ca="1"/>
        <v>0</v>
      </c>
      <c r="AA109" s="1">
        <f t="shared" ca="1" si="4"/>
        <v>4</v>
      </c>
      <c r="AC109" s="1" t="str">
        <f ca="1"/>
        <v>Dispatch</v>
      </c>
      <c r="AG109" s="1" t="str">
        <f t="shared" si="5"/>
        <v/>
      </c>
    </row>
    <row r="110" spans="1:33" ht="20.25" customHeight="1">
      <c r="A110" s="13">
        <v>109</v>
      </c>
      <c r="B110" s="1" t="str">
        <f ca="1"/>
        <v>Indusind General Insurance Co Ltd</v>
      </c>
      <c r="C110" s="13" t="str">
        <f ca="1"/>
        <v>2025209745</v>
      </c>
      <c r="D110" s="13" t="str">
        <f ca="1"/>
        <v>R001-1109-SS-2025</v>
      </c>
      <c r="E110" s="13">
        <f ca="1"/>
        <v>46</v>
      </c>
      <c r="F110" s="14">
        <f ca="1"/>
        <v>45981</v>
      </c>
      <c r="G110" s="14" t="str">
        <f ca="1"/>
        <v>-</v>
      </c>
      <c r="H110" s="1" t="str">
        <f>IF(Back_End_Data!G110="Completed","Yes","No")</f>
        <v>Yes</v>
      </c>
      <c r="I110" s="1" t="str">
        <f>IF(Back_End_Data!I110="Completed","Yes","No")</f>
        <v>Yes</v>
      </c>
      <c r="J110" s="1" t="str">
        <f>IF(Back_End_Data!J110="Completed","Yes","No")</f>
        <v>No</v>
      </c>
      <c r="K110" s="1" t="str">
        <f>IF(Back_End_Data!K110="Completed","Yes","No")</f>
        <v>No</v>
      </c>
      <c r="L110" s="1" t="str">
        <f>IF(Back_End_Data!L110="", "No", Back_End_Data!L110)</f>
        <v>NA</v>
      </c>
      <c r="M110" s="1" t="str">
        <f>IF(Back_End_Data!N110="", "No", Back_End_Data!N110)</f>
        <v>NA</v>
      </c>
      <c r="N110" s="1" t="str">
        <f>IF(Back_End_Data!M110="", "No", Back_End_Data!M110)</f>
        <v>NA</v>
      </c>
      <c r="O110" s="1" t="str">
        <f>IF(Back_End_Data!O110="Completed","Yes","No")</f>
        <v>No</v>
      </c>
      <c r="P110" s="1" t="str">
        <f>IF(Back_End_Data!H110="Completed","Yes","No")</f>
        <v>No</v>
      </c>
      <c r="Q110" s="1" t="str">
        <f>IF(Back_End_Data!P110="Completed","Yes","No")</f>
        <v>No</v>
      </c>
      <c r="R110" s="1" t="s">
        <v>2369</v>
      </c>
      <c r="S110" s="1" t="str">
        <f>IF(Back_End_Data!R110="Completed","Yes","No")</f>
        <v>No</v>
      </c>
      <c r="T110" s="1" t="str">
        <f>IF(Back_End_Data!S110="Yes","Yes","No")</f>
        <v>No</v>
      </c>
      <c r="U110" s="1" t="str">
        <f>IF(Back_End_Data!Q109="Completed","Yes","No")</f>
        <v>No</v>
      </c>
      <c r="V110" s="1" t="str">
        <f ca="1">IF(INDEX(MIS_Backend_Data!L:L, MATCH(D110, MIS_Backend_Data!B:B, 1)) = "WT", "Yes", "No")</f>
        <v>No</v>
      </c>
      <c r="W110" s="2" t="str">
        <f t="shared" ca="1" si="3"/>
        <v>Reject</v>
      </c>
      <c r="Z110" s="1">
        <f ca="1"/>
        <v>0</v>
      </c>
      <c r="AA110" s="1">
        <f t="shared" ca="1" si="4"/>
        <v>2</v>
      </c>
      <c r="AC110" s="1" t="str">
        <f ca="1"/>
        <v>Open</v>
      </c>
      <c r="AG110" s="1" t="str">
        <f t="shared" si="5"/>
        <v/>
      </c>
    </row>
    <row r="111" spans="1:33" ht="20.25" customHeight="1">
      <c r="A111" s="13">
        <v>110</v>
      </c>
      <c r="B111" s="1" t="str">
        <f ca="1"/>
        <v>Indusind General Insurance Co Ltd</v>
      </c>
      <c r="C111" s="13" t="str">
        <f ca="1"/>
        <v>2023210048</v>
      </c>
      <c r="D111" s="13" t="str">
        <f ca="1"/>
        <v>R001-1110-SS-2025</v>
      </c>
      <c r="E111" s="13">
        <f ca="1"/>
        <v>46</v>
      </c>
      <c r="F111" s="14">
        <f ca="1"/>
        <v>45981</v>
      </c>
      <c r="G111" s="14" t="str">
        <f ca="1"/>
        <v>-</v>
      </c>
      <c r="H111" s="1" t="str">
        <f>IF(Back_End_Data!G111="Completed","Yes","No")</f>
        <v>Yes</v>
      </c>
      <c r="I111" s="1" t="str">
        <f>IF(Back_End_Data!I111="Completed","Yes","No")</f>
        <v>No</v>
      </c>
      <c r="J111" s="1" t="str">
        <f>IF(Back_End_Data!J111="Completed","Yes","No")</f>
        <v>No</v>
      </c>
      <c r="K111" s="1" t="str">
        <f>IF(Back_End_Data!K111="Completed","Yes","No")</f>
        <v>No</v>
      </c>
      <c r="L111" s="1" t="str">
        <f>IF(Back_End_Data!L111="", "No", Back_End_Data!L111)</f>
        <v>NA</v>
      </c>
      <c r="M111" s="1" t="str">
        <f>IF(Back_End_Data!N111="", "No", Back_End_Data!N111)</f>
        <v>NA</v>
      </c>
      <c r="N111" s="1" t="str">
        <f>IF(Back_End_Data!M111="", "No", Back_End_Data!M111)</f>
        <v>NA</v>
      </c>
      <c r="O111" s="1" t="str">
        <f>IF(Back_End_Data!O111="Completed","Yes","No")</f>
        <v>No</v>
      </c>
      <c r="P111" s="1" t="str">
        <f>IF(Back_End_Data!H111="Completed","Yes","No")</f>
        <v>No</v>
      </c>
      <c r="Q111" s="1" t="str">
        <f>IF(Back_End_Data!P111="Completed","Yes","No")</f>
        <v>Yes</v>
      </c>
      <c r="R111" s="1" t="s">
        <v>2369</v>
      </c>
      <c r="S111" s="1" t="str">
        <f>IF(Back_End_Data!R111="Completed","Yes","No")</f>
        <v>No</v>
      </c>
      <c r="T111" s="1" t="str">
        <f>IF(Back_End_Data!S111="Yes","Yes","No")</f>
        <v>No</v>
      </c>
      <c r="U111" s="1" t="str">
        <f>IF(Back_End_Data!Q110="Completed","Yes","No")</f>
        <v>No</v>
      </c>
      <c r="V111" s="1" t="str">
        <f ca="1">IF(INDEX(MIS_Backend_Data!L:L, MATCH(D111, MIS_Backend_Data!B:B, 1)) = "WT", "Yes", "No")</f>
        <v>No</v>
      </c>
      <c r="W111" s="2" t="str">
        <f t="shared" ca="1" si="3"/>
        <v>Reject</v>
      </c>
      <c r="Z111" s="1">
        <f ca="1"/>
        <v>0</v>
      </c>
      <c r="AA111" s="1">
        <f t="shared" ca="1" si="4"/>
        <v>2</v>
      </c>
      <c r="AC111" s="1" t="str">
        <f ca="1"/>
        <v>Open</v>
      </c>
      <c r="AG111" s="1" t="str">
        <f t="shared" si="5"/>
        <v/>
      </c>
    </row>
    <row r="112" spans="1:33" ht="20.25" customHeight="1">
      <c r="A112" s="13">
        <v>111</v>
      </c>
      <c r="B112" s="1" t="str">
        <f ca="1"/>
        <v>Indusind General Insurance Co Ltd</v>
      </c>
      <c r="C112" s="13" t="str">
        <f ca="1"/>
        <v>2023202836</v>
      </c>
      <c r="D112" s="13" t="str">
        <f ca="1"/>
        <v>R001-1111-SS-2025</v>
      </c>
      <c r="E112" s="13">
        <f ca="1"/>
        <v>44</v>
      </c>
      <c r="F112" s="14">
        <f ca="1"/>
        <v>45981</v>
      </c>
      <c r="G112" s="14">
        <f ca="1"/>
        <v>46025</v>
      </c>
      <c r="H112" s="1" t="str">
        <f>IF(Back_End_Data!G112="Completed","Yes","No")</f>
        <v>No</v>
      </c>
      <c r="I112" s="1" t="str">
        <f>IF(Back_End_Data!I112="Completed","Yes","No")</f>
        <v>No</v>
      </c>
      <c r="J112" s="1" t="str">
        <f>IF(Back_End_Data!J112="Completed","Yes","No")</f>
        <v>No</v>
      </c>
      <c r="K112" s="1" t="str">
        <f>IF(Back_End_Data!K112="Completed","Yes","No")</f>
        <v>No</v>
      </c>
      <c r="L112" s="1" t="str">
        <f>IF(Back_End_Data!L112="", "No", Back_End_Data!L112)</f>
        <v>NA</v>
      </c>
      <c r="M112" s="1" t="str">
        <f>IF(Back_End_Data!N112="", "No", Back_End_Data!N112)</f>
        <v>NA</v>
      </c>
      <c r="N112" s="1" t="str">
        <f>IF(Back_End_Data!M112="", "No", Back_End_Data!M112)</f>
        <v>NA</v>
      </c>
      <c r="O112" s="1" t="str">
        <f>IF(Back_End_Data!O112="Completed","Yes","No")</f>
        <v>No</v>
      </c>
      <c r="P112" s="1" t="str">
        <f>IF(Back_End_Data!H112="Completed","Yes","No")</f>
        <v>No</v>
      </c>
      <c r="Q112" s="1" t="str">
        <f>IF(Back_End_Data!P112="Completed","Yes","No")</f>
        <v>No</v>
      </c>
      <c r="R112" s="1" t="s">
        <v>2369</v>
      </c>
      <c r="S112" s="1" t="str">
        <f>IF(Back_End_Data!R112="Completed","Yes","No")</f>
        <v>No</v>
      </c>
      <c r="T112" s="1" t="str">
        <f>IF(Back_End_Data!S112="Yes","Yes","No")</f>
        <v>No</v>
      </c>
      <c r="U112" s="1" t="str">
        <f>IF(Back_End_Data!Q111="Completed","Yes","No")</f>
        <v>No</v>
      </c>
      <c r="V112" s="1" t="str">
        <f ca="1">IF(INDEX(MIS_Backend_Data!L:L, MATCH(D112, MIS_Backend_Data!B:B, 1)) = "WT", "Yes", "No")</f>
        <v>No</v>
      </c>
      <c r="W112" s="2" t="str">
        <f t="shared" ca="1" si="3"/>
        <v>Approved</v>
      </c>
      <c r="Z112" s="1">
        <f ca="1"/>
        <v>0</v>
      </c>
      <c r="AA112" s="1">
        <f t="shared" ca="1" si="4"/>
        <v>0</v>
      </c>
      <c r="AC112" s="1" t="str">
        <f ca="1"/>
        <v>STOP</v>
      </c>
      <c r="AG112" s="1" t="str">
        <f t="shared" si="5"/>
        <v/>
      </c>
    </row>
    <row r="113" spans="1:33" ht="20.25" customHeight="1">
      <c r="A113" s="13">
        <v>112</v>
      </c>
      <c r="B113" s="1" t="str">
        <f ca="1"/>
        <v>Generali Central Insurance Company Limited</v>
      </c>
      <c r="C113" s="13" t="str">
        <f ca="1"/>
        <v>MTP-N-2526-004387</v>
      </c>
      <c r="D113" s="13" t="str">
        <f ca="1"/>
        <v>F001-1112-SS-2025</v>
      </c>
      <c r="E113" s="13">
        <f ca="1"/>
        <v>46</v>
      </c>
      <c r="F113" s="14">
        <f ca="1"/>
        <v>45981</v>
      </c>
      <c r="G113" s="14" t="str">
        <f ca="1"/>
        <v>-</v>
      </c>
      <c r="H113" s="1" t="str">
        <f>IF(Back_End_Data!G113="Completed","Yes","No")</f>
        <v>Yes</v>
      </c>
      <c r="I113" s="1" t="str">
        <f>IF(Back_End_Data!I113="Completed","Yes","No")</f>
        <v>No</v>
      </c>
      <c r="J113" s="1" t="str">
        <f>IF(Back_End_Data!J113="Completed","Yes","No")</f>
        <v>No</v>
      </c>
      <c r="K113" s="1" t="str">
        <f>IF(Back_End_Data!K113="Completed","Yes","No")</f>
        <v>No</v>
      </c>
      <c r="L113" s="1" t="str">
        <f>IF(Back_End_Data!L113="", "No", Back_End_Data!L113)</f>
        <v>NA</v>
      </c>
      <c r="M113" s="1" t="str">
        <f>IF(Back_End_Data!N113="", "No", Back_End_Data!N113)</f>
        <v>NA</v>
      </c>
      <c r="N113" s="1" t="str">
        <f>IF(Back_End_Data!M113="", "No", Back_End_Data!M113)</f>
        <v>NA</v>
      </c>
      <c r="O113" s="1" t="str">
        <f>IF(Back_End_Data!O113="Completed","Yes","No")</f>
        <v>No</v>
      </c>
      <c r="P113" s="1" t="str">
        <f>IF(Back_End_Data!H113="Completed","Yes","No")</f>
        <v>No</v>
      </c>
      <c r="Q113" s="1" t="str">
        <f>IF(Back_End_Data!P113="Completed","Yes","No")</f>
        <v>No</v>
      </c>
      <c r="R113" s="1" t="s">
        <v>2369</v>
      </c>
      <c r="S113" s="1" t="str">
        <f>IF(Back_End_Data!R113="Completed","Yes","No")</f>
        <v>No</v>
      </c>
      <c r="T113" s="1" t="str">
        <f>IF(Back_End_Data!S113="Yes","Yes","No")</f>
        <v>No</v>
      </c>
      <c r="U113" s="1" t="str">
        <f>IF(Back_End_Data!Q112="Completed","Yes","No")</f>
        <v>No</v>
      </c>
      <c r="V113" s="1" t="str">
        <f ca="1">IF(INDEX(MIS_Backend_Data!L:L, MATCH(D113, MIS_Backend_Data!B:B, 1)) = "WT", "Yes", "No")</f>
        <v>No</v>
      </c>
      <c r="W113" s="2" t="str">
        <f t="shared" ca="1" si="3"/>
        <v>Reject</v>
      </c>
      <c r="Z113" s="1">
        <f ca="1"/>
        <v>0</v>
      </c>
      <c r="AA113" s="1">
        <f t="shared" ca="1" si="4"/>
        <v>1</v>
      </c>
      <c r="AC113" s="1" t="str">
        <f ca="1"/>
        <v>Open</v>
      </c>
      <c r="AG113" s="1" t="str">
        <f t="shared" si="5"/>
        <v/>
      </c>
    </row>
    <row r="114" spans="1:33" ht="20.25" customHeight="1">
      <c r="A114" s="13">
        <v>113</v>
      </c>
      <c r="B114" s="1" t="str">
        <f ca="1"/>
        <v>Generali Central Insurance Company Limited</v>
      </c>
      <c r="C114" s="13" t="str">
        <f ca="1"/>
        <v>MTP-N-2526-004507</v>
      </c>
      <c r="D114" s="13" t="str">
        <f ca="1"/>
        <v>F001-1113-SS-2025</v>
      </c>
      <c r="E114" s="13">
        <f ca="1"/>
        <v>46</v>
      </c>
      <c r="F114" s="14">
        <f ca="1"/>
        <v>45981</v>
      </c>
      <c r="G114" s="14" t="str">
        <f ca="1"/>
        <v>-</v>
      </c>
      <c r="H114" s="1" t="str">
        <f>IF(Back_End_Data!G114="Completed","Yes","No")</f>
        <v>Yes</v>
      </c>
      <c r="I114" s="1" t="str">
        <f>IF(Back_End_Data!I114="Completed","Yes","No")</f>
        <v>Yes</v>
      </c>
      <c r="J114" s="1" t="str">
        <f>IF(Back_End_Data!J114="Completed","Yes","No")</f>
        <v>No</v>
      </c>
      <c r="K114" s="1" t="str">
        <f>IF(Back_End_Data!K114="Completed","Yes","No")</f>
        <v>No</v>
      </c>
      <c r="L114" s="1" t="str">
        <f>IF(Back_End_Data!L114="", "No", Back_End_Data!L114)</f>
        <v>WIP</v>
      </c>
      <c r="M114" s="1" t="str">
        <f>IF(Back_End_Data!N114="", "No", Back_End_Data!N114)</f>
        <v>NA</v>
      </c>
      <c r="N114" s="1" t="str">
        <f>IF(Back_End_Data!M114="", "No", Back_End_Data!M114)</f>
        <v>NA</v>
      </c>
      <c r="O114" s="1" t="str">
        <f>IF(Back_End_Data!O114="Completed","Yes","No")</f>
        <v>No</v>
      </c>
      <c r="P114" s="1" t="str">
        <f>IF(Back_End_Data!H114="Completed","Yes","No")</f>
        <v>No</v>
      </c>
      <c r="Q114" s="1" t="str">
        <f>IF(Back_End_Data!P114="Completed","Yes","No")</f>
        <v>No</v>
      </c>
      <c r="R114" s="1" t="s">
        <v>2369</v>
      </c>
      <c r="S114" s="1" t="str">
        <f>IF(Back_End_Data!R114="Completed","Yes","No")</f>
        <v>No</v>
      </c>
      <c r="T114" s="1" t="str">
        <f>IF(Back_End_Data!S114="Yes","Yes","No")</f>
        <v>No</v>
      </c>
      <c r="U114" s="1" t="str">
        <f>IF(Back_End_Data!Q113="Completed","Yes","No")</f>
        <v>No</v>
      </c>
      <c r="V114" s="1" t="str">
        <f ca="1">IF(INDEX(MIS_Backend_Data!L:L, MATCH(D114, MIS_Backend_Data!B:B, 1)) = "WT", "Yes", "No")</f>
        <v>No</v>
      </c>
      <c r="W114" s="2" t="str">
        <f t="shared" ca="1" si="3"/>
        <v>Reject</v>
      </c>
      <c r="Z114" s="1">
        <f ca="1"/>
        <v>0</v>
      </c>
      <c r="AA114" s="1">
        <f t="shared" ca="1" si="4"/>
        <v>2</v>
      </c>
      <c r="AC114" s="1" t="str">
        <f ca="1"/>
        <v>Open</v>
      </c>
      <c r="AG114" s="1" t="str">
        <f t="shared" si="5"/>
        <v/>
      </c>
    </row>
    <row r="115" spans="1:33" ht="20.25" customHeight="1">
      <c r="A115" s="13">
        <v>114</v>
      </c>
      <c r="B115" s="1" t="str">
        <f ca="1"/>
        <v>Generali Central Insurance Company Limited</v>
      </c>
      <c r="C115" s="13" t="str">
        <f ca="1"/>
        <v>MTP-N-2526-004327</v>
      </c>
      <c r="D115" s="13" t="str">
        <f ca="1"/>
        <v>F001-1114-SS-2025</v>
      </c>
      <c r="E115" s="13">
        <f ca="1"/>
        <v>47</v>
      </c>
      <c r="F115" s="14">
        <f ca="1"/>
        <v>45980</v>
      </c>
      <c r="G115" s="14" t="str">
        <f ca="1"/>
        <v>-</v>
      </c>
      <c r="H115" s="1" t="str">
        <f>IF(Back_End_Data!G115="Completed","Yes","No")</f>
        <v>No</v>
      </c>
      <c r="I115" s="1" t="str">
        <f>IF(Back_End_Data!I115="Completed","Yes","No")</f>
        <v>No</v>
      </c>
      <c r="J115" s="1" t="str">
        <f>IF(Back_End_Data!J115="Completed","Yes","No")</f>
        <v>No</v>
      </c>
      <c r="K115" s="1" t="str">
        <f>IF(Back_End_Data!K115="Completed","Yes","No")</f>
        <v>No</v>
      </c>
      <c r="L115" s="1" t="str">
        <f>IF(Back_End_Data!L115="", "No", Back_End_Data!L115)</f>
        <v>WIP</v>
      </c>
      <c r="M115" s="1" t="str">
        <f>IF(Back_End_Data!N115="", "No", Back_End_Data!N115)</f>
        <v>NA</v>
      </c>
      <c r="N115" s="1" t="str">
        <f>IF(Back_End_Data!M115="", "No", Back_End_Data!M115)</f>
        <v>NA</v>
      </c>
      <c r="O115" s="1" t="str">
        <f>IF(Back_End_Data!O115="Completed","Yes","No")</f>
        <v>No</v>
      </c>
      <c r="P115" s="1" t="str">
        <f>IF(Back_End_Data!H115="Completed","Yes","No")</f>
        <v>No</v>
      </c>
      <c r="Q115" s="1" t="str">
        <f>IF(Back_End_Data!P115="Completed","Yes","No")</f>
        <v>No</v>
      </c>
      <c r="R115" s="1" t="s">
        <v>2369</v>
      </c>
      <c r="S115" s="1" t="str">
        <f>IF(Back_End_Data!R115="Completed","Yes","No")</f>
        <v>No</v>
      </c>
      <c r="T115" s="1" t="str">
        <f>IF(Back_End_Data!S115="Yes","Yes","No")</f>
        <v>No</v>
      </c>
      <c r="U115" s="1" t="str">
        <f>IF(Back_End_Data!Q114="Completed","Yes","No")</f>
        <v>No</v>
      </c>
      <c r="V115" s="1" t="str">
        <f ca="1">IF(INDEX(MIS_Backend_Data!L:L, MATCH(D115, MIS_Backend_Data!B:B, 1)) = "WT", "Yes", "No")</f>
        <v>No</v>
      </c>
      <c r="W115" s="2" t="str">
        <f t="shared" ca="1" si="3"/>
        <v>Approved</v>
      </c>
      <c r="Z115" s="1">
        <f ca="1"/>
        <v>0</v>
      </c>
      <c r="AA115" s="1">
        <f t="shared" ca="1" si="4"/>
        <v>0</v>
      </c>
      <c r="AC115" s="1" t="str">
        <f ca="1"/>
        <v>Open</v>
      </c>
      <c r="AG115" s="1" t="str">
        <f t="shared" si="5"/>
        <v/>
      </c>
    </row>
    <row r="116" spans="1:33" ht="20.25" customHeight="1">
      <c r="A116" s="13">
        <v>115</v>
      </c>
      <c r="B116" s="1" t="str">
        <f ca="1"/>
        <v>Generali Central Insurance Company Limited</v>
      </c>
      <c r="C116" s="13" t="str">
        <f ca="1"/>
        <v>CM961508</v>
      </c>
      <c r="D116" s="13" t="str">
        <f ca="1"/>
        <v>F001-1115-SS-2025</v>
      </c>
      <c r="E116" s="13">
        <f ca="1"/>
        <v>9</v>
      </c>
      <c r="F116" s="14">
        <f ca="1"/>
        <v>45981</v>
      </c>
      <c r="G116" s="14">
        <f ca="1"/>
        <v>45990</v>
      </c>
      <c r="H116" s="1" t="str">
        <f>IF(Back_End_Data!G116="Completed","Yes","No")</f>
        <v>Yes</v>
      </c>
      <c r="I116" s="1" t="str">
        <f>IF(Back_End_Data!I116="Completed","Yes","No")</f>
        <v>Yes</v>
      </c>
      <c r="J116" s="1" t="str">
        <f>IF(Back_End_Data!J116="Completed","Yes","No")</f>
        <v>No</v>
      </c>
      <c r="K116" s="1" t="str">
        <f>IF(Back_End_Data!K116="Completed","Yes","No")</f>
        <v>Yes</v>
      </c>
      <c r="L116" s="1" t="str">
        <f>IF(Back_End_Data!L116="", "No", Back_End_Data!L116)</f>
        <v>NA</v>
      </c>
      <c r="M116" s="1" t="str">
        <f>IF(Back_End_Data!N116="", "No", Back_End_Data!N116)</f>
        <v>NA</v>
      </c>
      <c r="N116" s="1" t="str">
        <f>IF(Back_End_Data!M116="", "No", Back_End_Data!M116)</f>
        <v>NA</v>
      </c>
      <c r="O116" s="1" t="str">
        <f>IF(Back_End_Data!O116="Completed","Yes","No")</f>
        <v>No</v>
      </c>
      <c r="P116" s="1" t="str">
        <f>IF(Back_End_Data!H116="Completed","Yes","No")</f>
        <v>No</v>
      </c>
      <c r="Q116" s="1" t="str">
        <f>IF(Back_End_Data!P116="Completed","Yes","No")</f>
        <v>No</v>
      </c>
      <c r="R116" s="1" t="s">
        <v>2369</v>
      </c>
      <c r="S116" s="1" t="str">
        <f>IF(Back_End_Data!R116="Completed","Yes","No")</f>
        <v>No</v>
      </c>
      <c r="T116" s="1" t="str">
        <f>IF(Back_End_Data!S116="Yes","Yes","No")</f>
        <v>No</v>
      </c>
      <c r="U116" s="1" t="str">
        <f>IF(Back_End_Data!Q115="Completed","Yes","No")</f>
        <v>No</v>
      </c>
      <c r="V116" s="1" t="str">
        <f ca="1">IF(INDEX(MIS_Backend_Data!L:L, MATCH(D116, MIS_Backend_Data!B:B, 1)) = "WT", "Yes", "No")</f>
        <v>No</v>
      </c>
      <c r="W116" s="2" t="str">
        <f t="shared" ca="1" si="3"/>
        <v>Reject</v>
      </c>
      <c r="Z116" s="1">
        <f ca="1"/>
        <v>0</v>
      </c>
      <c r="AA116" s="1">
        <f t="shared" ca="1" si="4"/>
        <v>3</v>
      </c>
      <c r="AC116" s="1" t="str">
        <f ca="1"/>
        <v>Dispatch</v>
      </c>
      <c r="AG116" s="1" t="str">
        <f t="shared" si="5"/>
        <v/>
      </c>
    </row>
    <row r="117" spans="1:33" ht="20.25" customHeight="1">
      <c r="A117" s="13">
        <v>116</v>
      </c>
      <c r="B117" s="1" t="str">
        <f ca="1"/>
        <v>Generali Central Insurance Company Limited</v>
      </c>
      <c r="C117" s="13" t="str">
        <f ca="1"/>
        <v>L0016122</v>
      </c>
      <c r="D117" s="13" t="str">
        <f ca="1"/>
        <v>F001-1116-SS-2025</v>
      </c>
      <c r="E117" s="13">
        <f ca="1"/>
        <v>36</v>
      </c>
      <c r="F117" s="14">
        <f ca="1"/>
        <v>45981</v>
      </c>
      <c r="G117" s="14">
        <f ca="1"/>
        <v>46017</v>
      </c>
      <c r="H117" s="1" t="str">
        <f>IF(Back_End_Data!G117="Completed","Yes","No")</f>
        <v>No</v>
      </c>
      <c r="I117" s="1" t="str">
        <f>IF(Back_End_Data!I117="Completed","Yes","No")</f>
        <v>No</v>
      </c>
      <c r="J117" s="1" t="str">
        <f>IF(Back_End_Data!J117="Completed","Yes","No")</f>
        <v>No</v>
      </c>
      <c r="K117" s="1" t="str">
        <f>IF(Back_End_Data!K117="Completed","Yes","No")</f>
        <v>No</v>
      </c>
      <c r="L117" s="1" t="str">
        <f>IF(Back_End_Data!L117="", "No", Back_End_Data!L117)</f>
        <v>NA</v>
      </c>
      <c r="M117" s="1" t="str">
        <f>IF(Back_End_Data!N117="", "No", Back_End_Data!N117)</f>
        <v>NA</v>
      </c>
      <c r="N117" s="1" t="str">
        <f>IF(Back_End_Data!M117="", "No", Back_End_Data!M117)</f>
        <v>NA</v>
      </c>
      <c r="O117" s="1" t="str">
        <f>IF(Back_End_Data!O117="Completed","Yes","No")</f>
        <v>No</v>
      </c>
      <c r="P117" s="1" t="str">
        <f>IF(Back_End_Data!H117="Completed","Yes","No")</f>
        <v>Yes</v>
      </c>
      <c r="Q117" s="1" t="str">
        <f>IF(Back_End_Data!P117="Completed","Yes","No")</f>
        <v>No</v>
      </c>
      <c r="R117" s="1" t="s">
        <v>2369</v>
      </c>
      <c r="S117" s="1" t="str">
        <f>IF(Back_End_Data!R117="Completed","Yes","No")</f>
        <v>No</v>
      </c>
      <c r="T117" s="1" t="str">
        <f>IF(Back_End_Data!S117="Yes","Yes","No")</f>
        <v>No</v>
      </c>
      <c r="U117" s="1" t="str">
        <f>IF(Back_End_Data!Q116="Completed","Yes","No")</f>
        <v>No</v>
      </c>
      <c r="V117" s="1" t="str">
        <f ca="1">IF(INDEX(MIS_Backend_Data!L:L, MATCH(D117, MIS_Backend_Data!B:B, 1)) = "WT", "Yes", "No")</f>
        <v>No</v>
      </c>
      <c r="W117" s="2" t="str">
        <f t="shared" ca="1" si="3"/>
        <v>Reject</v>
      </c>
      <c r="Z117" s="1">
        <f ca="1"/>
        <v>0</v>
      </c>
      <c r="AA117" s="1">
        <f t="shared" ca="1" si="4"/>
        <v>1</v>
      </c>
      <c r="AC117" s="1" t="str">
        <f ca="1"/>
        <v>Dispatch</v>
      </c>
      <c r="AG117" s="1" t="str">
        <f t="shared" si="5"/>
        <v/>
      </c>
    </row>
    <row r="118" spans="1:33" ht="20.25" customHeight="1">
      <c r="A118" s="13">
        <v>117</v>
      </c>
      <c r="B118" s="1" t="str">
        <f ca="1"/>
        <v>SBI General Insurance Company Ltd</v>
      </c>
      <c r="C118" s="13" t="str">
        <f ca="1"/>
        <v>2002429</v>
      </c>
      <c r="D118" s="13" t="str">
        <f ca="1"/>
        <v>S002-1117-SS-2025</v>
      </c>
      <c r="E118" s="13">
        <f ca="1"/>
        <v>46</v>
      </c>
      <c r="F118" s="14">
        <f ca="1"/>
        <v>45981</v>
      </c>
      <c r="G118" s="14" t="str">
        <f ca="1"/>
        <v>-</v>
      </c>
      <c r="H118" s="1" t="str">
        <f>IF(Back_End_Data!G118="Completed","Yes","No")</f>
        <v>No</v>
      </c>
      <c r="I118" s="1" t="str">
        <f>IF(Back_End_Data!I118="Completed","Yes","No")</f>
        <v>Yes</v>
      </c>
      <c r="J118" s="1" t="str">
        <f>IF(Back_End_Data!J118="Completed","Yes","No")</f>
        <v>No</v>
      </c>
      <c r="K118" s="1" t="str">
        <f>IF(Back_End_Data!K118="Completed","Yes","No")</f>
        <v>Yes</v>
      </c>
      <c r="L118" s="1" t="str">
        <f>IF(Back_End_Data!L118="", "No", Back_End_Data!L118)</f>
        <v>NA</v>
      </c>
      <c r="M118" s="1" t="str">
        <f>IF(Back_End_Data!N118="", "No", Back_End_Data!N118)</f>
        <v>NA</v>
      </c>
      <c r="N118" s="1" t="str">
        <f>IF(Back_End_Data!M118="", "No", Back_End_Data!M118)</f>
        <v>NA</v>
      </c>
      <c r="O118" s="1" t="str">
        <f>IF(Back_End_Data!O118="Completed","Yes","No")</f>
        <v>No</v>
      </c>
      <c r="P118" s="1" t="str">
        <f>IF(Back_End_Data!H118="Completed","Yes","No")</f>
        <v>No</v>
      </c>
      <c r="Q118" s="1" t="str">
        <f>IF(Back_End_Data!P118="Completed","Yes","No")</f>
        <v>Yes</v>
      </c>
      <c r="R118" s="1" t="s">
        <v>2369</v>
      </c>
      <c r="S118" s="1" t="str">
        <f>IF(Back_End_Data!R118="Completed","Yes","No")</f>
        <v>No</v>
      </c>
      <c r="T118" s="1" t="str">
        <f>IF(Back_End_Data!S118="Yes","Yes","No")</f>
        <v>No</v>
      </c>
      <c r="U118" s="1" t="str">
        <f>IF(Back_End_Data!Q117="Completed","Yes","No")</f>
        <v>No</v>
      </c>
      <c r="V118" s="1" t="str">
        <f ca="1">IF(INDEX(MIS_Backend_Data!L:L, MATCH(D118, MIS_Backend_Data!B:B, 1)) = "WT", "Yes", "No")</f>
        <v>No</v>
      </c>
      <c r="W118" s="2" t="str">
        <f t="shared" ca="1" si="3"/>
        <v>Reject</v>
      </c>
      <c r="Z118" s="1">
        <f ca="1"/>
        <v>0</v>
      </c>
      <c r="AA118" s="1">
        <f t="shared" ca="1" si="4"/>
        <v>3</v>
      </c>
      <c r="AC118" s="1" t="str">
        <f ca="1"/>
        <v>Open</v>
      </c>
      <c r="AG118" s="1" t="str">
        <f t="shared" si="5"/>
        <v/>
      </c>
    </row>
    <row r="119" spans="1:33" ht="20.25" customHeight="1">
      <c r="A119" s="13">
        <v>118</v>
      </c>
      <c r="B119" s="1" t="str">
        <f ca="1"/>
        <v>SBI General Insurance Company Ltd</v>
      </c>
      <c r="C119" s="13" t="str">
        <f ca="1"/>
        <v>2745855</v>
      </c>
      <c r="D119" s="13" t="str">
        <f ca="1"/>
        <v>S002-1118-SS-2025</v>
      </c>
      <c r="E119" s="13">
        <f ca="1"/>
        <v>46</v>
      </c>
      <c r="F119" s="14">
        <f ca="1"/>
        <v>45981</v>
      </c>
      <c r="G119" s="14" t="str">
        <f ca="1"/>
        <v>-</v>
      </c>
      <c r="H119" s="1" t="str">
        <f>IF(Back_End_Data!G119="Completed","Yes","No")</f>
        <v>Yes</v>
      </c>
      <c r="I119" s="1" t="str">
        <f>IF(Back_End_Data!I119="Completed","Yes","No")</f>
        <v>Yes</v>
      </c>
      <c r="J119" s="1" t="str">
        <f>IF(Back_End_Data!J119="Completed","Yes","No")</f>
        <v>No</v>
      </c>
      <c r="K119" s="1" t="str">
        <f>IF(Back_End_Data!K119="Completed","Yes","No")</f>
        <v>No</v>
      </c>
      <c r="L119" s="1" t="str">
        <f>IF(Back_End_Data!L119="", "No", Back_End_Data!L119)</f>
        <v>NA</v>
      </c>
      <c r="M119" s="1" t="str">
        <f>IF(Back_End_Data!N119="", "No", Back_End_Data!N119)</f>
        <v>NA</v>
      </c>
      <c r="N119" s="1" t="str">
        <f>IF(Back_End_Data!M119="", "No", Back_End_Data!M119)</f>
        <v>NA</v>
      </c>
      <c r="O119" s="1" t="str">
        <f>IF(Back_End_Data!O119="Completed","Yes","No")</f>
        <v>No</v>
      </c>
      <c r="P119" s="1" t="str">
        <f>IF(Back_End_Data!H119="Completed","Yes","No")</f>
        <v>No</v>
      </c>
      <c r="Q119" s="1" t="str">
        <f>IF(Back_End_Data!P119="Completed","Yes","No")</f>
        <v>Yes</v>
      </c>
      <c r="R119" s="1" t="s">
        <v>2369</v>
      </c>
      <c r="S119" s="1" t="str">
        <f>IF(Back_End_Data!R119="Completed","Yes","No")</f>
        <v>No</v>
      </c>
      <c r="T119" s="1" t="str">
        <f>IF(Back_End_Data!S119="Yes","Yes","No")</f>
        <v>No</v>
      </c>
      <c r="U119" s="1" t="str">
        <f>IF(Back_End_Data!Q118="Completed","Yes","No")</f>
        <v>Yes</v>
      </c>
      <c r="V119" s="1" t="str">
        <f ca="1">IF(INDEX(MIS_Backend_Data!L:L, MATCH(D119, MIS_Backend_Data!B:B, 1)) = "WT", "Yes", "No")</f>
        <v>No</v>
      </c>
      <c r="W119" s="2" t="str">
        <f t="shared" ca="1" si="3"/>
        <v>Reject</v>
      </c>
      <c r="Z119" s="1">
        <f ca="1"/>
        <v>0</v>
      </c>
      <c r="AA119" s="1">
        <f t="shared" ca="1" si="4"/>
        <v>4</v>
      </c>
      <c r="AC119" s="1" t="str">
        <f ca="1"/>
        <v>Open</v>
      </c>
      <c r="AG119" s="1" t="str">
        <f t="shared" si="5"/>
        <v/>
      </c>
    </row>
    <row r="120" spans="1:33" ht="20.25" customHeight="1">
      <c r="A120" s="13">
        <v>119</v>
      </c>
      <c r="B120" s="1" t="str">
        <f ca="1"/>
        <v>SBI General Insurance Company Ltd</v>
      </c>
      <c r="C120" s="13" t="str">
        <f ca="1"/>
        <v>2748309</v>
      </c>
      <c r="D120" s="13" t="str">
        <f ca="1"/>
        <v>S002-1119-SS-2025</v>
      </c>
      <c r="E120" s="13">
        <f ca="1"/>
        <v>46</v>
      </c>
      <c r="F120" s="14">
        <f ca="1"/>
        <v>45981</v>
      </c>
      <c r="G120" s="14" t="str">
        <f ca="1"/>
        <v>-</v>
      </c>
      <c r="H120" s="1" t="str">
        <f>IF(Back_End_Data!G120="Completed","Yes","No")</f>
        <v>Yes</v>
      </c>
      <c r="I120" s="1" t="str">
        <f>IF(Back_End_Data!I120="Completed","Yes","No")</f>
        <v>Yes</v>
      </c>
      <c r="J120" s="1" t="str">
        <f>IF(Back_End_Data!J120="Completed","Yes","No")</f>
        <v>No</v>
      </c>
      <c r="K120" s="1" t="str">
        <f>IF(Back_End_Data!K120="Completed","Yes","No")</f>
        <v>No</v>
      </c>
      <c r="L120" s="1" t="str">
        <f>IF(Back_End_Data!L120="", "No", Back_End_Data!L120)</f>
        <v>NA</v>
      </c>
      <c r="M120" s="1" t="str">
        <f>IF(Back_End_Data!N120="", "No", Back_End_Data!N120)</f>
        <v>NA</v>
      </c>
      <c r="N120" s="1" t="str">
        <f>IF(Back_End_Data!M120="", "No", Back_End_Data!M120)</f>
        <v>NA</v>
      </c>
      <c r="O120" s="1" t="str">
        <f>IF(Back_End_Data!O120="Completed","Yes","No")</f>
        <v>No</v>
      </c>
      <c r="P120" s="1" t="str">
        <f>IF(Back_End_Data!H120="Completed","Yes","No")</f>
        <v>No</v>
      </c>
      <c r="Q120" s="1" t="str">
        <f>IF(Back_End_Data!P120="Completed","Yes","No")</f>
        <v>Yes</v>
      </c>
      <c r="R120" s="1" t="s">
        <v>2369</v>
      </c>
      <c r="S120" s="1" t="str">
        <f>IF(Back_End_Data!R120="Completed","Yes","No")</f>
        <v>No</v>
      </c>
      <c r="T120" s="1" t="str">
        <f>IF(Back_End_Data!S120="Yes","Yes","No")</f>
        <v>No</v>
      </c>
      <c r="U120" s="1" t="str">
        <f>IF(Back_End_Data!Q119="Completed","Yes","No")</f>
        <v>No</v>
      </c>
      <c r="V120" s="1" t="str">
        <f ca="1">IF(INDEX(MIS_Backend_Data!L:L, MATCH(D120, MIS_Backend_Data!B:B, 1)) = "WT", "Yes", "No")</f>
        <v>No</v>
      </c>
      <c r="W120" s="2" t="str">
        <f t="shared" ca="1" si="3"/>
        <v>Reject</v>
      </c>
      <c r="Z120" s="1">
        <f ca="1"/>
        <v>0</v>
      </c>
      <c r="AA120" s="1">
        <f t="shared" ca="1" si="4"/>
        <v>3</v>
      </c>
      <c r="AC120" s="1" t="str">
        <f ca="1"/>
        <v>Open</v>
      </c>
      <c r="AG120" s="1" t="str">
        <f t="shared" si="5"/>
        <v/>
      </c>
    </row>
    <row r="121" spans="1:33" ht="20.25" customHeight="1">
      <c r="A121" s="13">
        <v>120</v>
      </c>
      <c r="B121" s="1" t="str">
        <f ca="1"/>
        <v>SBI General Insurance Company Ltd</v>
      </c>
      <c r="C121" s="13" t="str">
        <f ca="1"/>
        <v>2748311</v>
      </c>
      <c r="D121" s="13" t="str">
        <f ca="1"/>
        <v>S002-1120-SS-2025</v>
      </c>
      <c r="E121" s="13">
        <f ca="1"/>
        <v>46</v>
      </c>
      <c r="F121" s="14">
        <f ca="1"/>
        <v>45981</v>
      </c>
      <c r="G121" s="14" t="str">
        <f ca="1"/>
        <v>-</v>
      </c>
      <c r="H121" s="1" t="str">
        <f>IF(Back_End_Data!G121="Completed","Yes","No")</f>
        <v>Yes</v>
      </c>
      <c r="I121" s="1" t="str">
        <f>IF(Back_End_Data!I121="Completed","Yes","No")</f>
        <v>No</v>
      </c>
      <c r="J121" s="1" t="str">
        <f>IF(Back_End_Data!J121="Completed","Yes","No")</f>
        <v>No</v>
      </c>
      <c r="K121" s="1" t="str">
        <f>IF(Back_End_Data!K121="Completed","Yes","No")</f>
        <v>No</v>
      </c>
      <c r="L121" s="1" t="str">
        <f>IF(Back_End_Data!L121="", "No", Back_End_Data!L121)</f>
        <v>NA</v>
      </c>
      <c r="M121" s="1" t="str">
        <f>IF(Back_End_Data!N121="", "No", Back_End_Data!N121)</f>
        <v>NA</v>
      </c>
      <c r="N121" s="1" t="str">
        <f>IF(Back_End_Data!M121="", "No", Back_End_Data!M121)</f>
        <v>NA</v>
      </c>
      <c r="O121" s="1" t="str">
        <f>IF(Back_End_Data!O121="Completed","Yes","No")</f>
        <v>No</v>
      </c>
      <c r="P121" s="1" t="str">
        <f>IF(Back_End_Data!H121="Completed","Yes","No")</f>
        <v>No</v>
      </c>
      <c r="Q121" s="1" t="str">
        <f>IF(Back_End_Data!P121="Completed","Yes","No")</f>
        <v>No</v>
      </c>
      <c r="R121" s="1" t="s">
        <v>2369</v>
      </c>
      <c r="S121" s="1" t="str">
        <f>IF(Back_End_Data!R121="Completed","Yes","No")</f>
        <v>No</v>
      </c>
      <c r="T121" s="1" t="str">
        <f>IF(Back_End_Data!S121="Yes","Yes","No")</f>
        <v>No</v>
      </c>
      <c r="U121" s="1" t="str">
        <f>IF(Back_End_Data!Q120="Completed","Yes","No")</f>
        <v>No</v>
      </c>
      <c r="V121" s="1" t="str">
        <f ca="1">IF(INDEX(MIS_Backend_Data!L:L, MATCH(D121, MIS_Backend_Data!B:B, 1)) = "WT", "Yes", "No")</f>
        <v>No</v>
      </c>
      <c r="W121" s="2" t="str">
        <f t="shared" ca="1" si="3"/>
        <v>Reject</v>
      </c>
      <c r="Z121" s="1">
        <f ca="1"/>
        <v>0</v>
      </c>
      <c r="AA121" s="1">
        <f t="shared" ca="1" si="4"/>
        <v>1</v>
      </c>
      <c r="AC121" s="1" t="str">
        <f ca="1"/>
        <v>Open</v>
      </c>
      <c r="AG121" s="1" t="str">
        <f t="shared" si="5"/>
        <v/>
      </c>
    </row>
    <row r="122" spans="1:33" ht="20.25" customHeight="1">
      <c r="A122" s="13">
        <v>121</v>
      </c>
      <c r="B122" s="1" t="str">
        <f ca="1"/>
        <v>SBI General Insurance Company Ltd</v>
      </c>
      <c r="C122" s="13" t="str">
        <f ca="1"/>
        <v>2748142</v>
      </c>
      <c r="D122" s="13" t="str">
        <f ca="1"/>
        <v>S002-1121-SS-2025</v>
      </c>
      <c r="E122" s="13">
        <f ca="1"/>
        <v>46</v>
      </c>
      <c r="F122" s="14">
        <f ca="1"/>
        <v>45981</v>
      </c>
      <c r="G122" s="14" t="str">
        <f ca="1"/>
        <v>-</v>
      </c>
      <c r="H122" s="1" t="str">
        <f>IF(Back_End_Data!G122="Completed","Yes","No")</f>
        <v>Yes</v>
      </c>
      <c r="I122" s="1" t="str">
        <f>IF(Back_End_Data!I122="Completed","Yes","No")</f>
        <v>No</v>
      </c>
      <c r="J122" s="1" t="str">
        <f>IF(Back_End_Data!J122="Completed","Yes","No")</f>
        <v>No</v>
      </c>
      <c r="K122" s="1" t="str">
        <f>IF(Back_End_Data!K122="Completed","Yes","No")</f>
        <v>No</v>
      </c>
      <c r="L122" s="1" t="str">
        <f>IF(Back_End_Data!L122="", "No", Back_End_Data!L122)</f>
        <v>NA</v>
      </c>
      <c r="M122" s="1" t="str">
        <f>IF(Back_End_Data!N122="", "No", Back_End_Data!N122)</f>
        <v>NA</v>
      </c>
      <c r="N122" s="1" t="str">
        <f>IF(Back_End_Data!M122="", "No", Back_End_Data!M122)</f>
        <v>NA</v>
      </c>
      <c r="O122" s="1" t="str">
        <f>IF(Back_End_Data!O122="Completed","Yes","No")</f>
        <v>No</v>
      </c>
      <c r="P122" s="1" t="str">
        <f>IF(Back_End_Data!H122="Completed","Yes","No")</f>
        <v>No</v>
      </c>
      <c r="Q122" s="1" t="str">
        <f>IF(Back_End_Data!P122="Completed","Yes","No")</f>
        <v>No</v>
      </c>
      <c r="R122" s="1" t="s">
        <v>2369</v>
      </c>
      <c r="S122" s="1" t="str">
        <f>IF(Back_End_Data!R122="Completed","Yes","No")</f>
        <v>No</v>
      </c>
      <c r="T122" s="1" t="str">
        <f>IF(Back_End_Data!S122="Yes","Yes","No")</f>
        <v>No</v>
      </c>
      <c r="U122" s="1" t="str">
        <f>IF(Back_End_Data!Q121="Completed","Yes","No")</f>
        <v>No</v>
      </c>
      <c r="V122" s="1" t="str">
        <f ca="1">IF(INDEX(MIS_Backend_Data!L:L, MATCH(D122, MIS_Backend_Data!B:B, 1)) = "WT", "Yes", "No")</f>
        <v>No</v>
      </c>
      <c r="W122" s="2" t="str">
        <f t="shared" ca="1" si="3"/>
        <v>Reject</v>
      </c>
      <c r="Z122" s="1">
        <f ca="1"/>
        <v>0</v>
      </c>
      <c r="AA122" s="1">
        <f t="shared" ca="1" si="4"/>
        <v>1</v>
      </c>
      <c r="AC122" s="1" t="str">
        <f ca="1"/>
        <v>Open</v>
      </c>
      <c r="AG122" s="1" t="str">
        <f t="shared" si="5"/>
        <v/>
      </c>
    </row>
    <row r="123" spans="1:33" ht="20.25" customHeight="1">
      <c r="A123" s="13">
        <v>122</v>
      </c>
      <c r="B123" s="1" t="str">
        <f ca="1"/>
        <v>Indusind General Insurance Co Ltd</v>
      </c>
      <c r="C123" s="13" t="str">
        <f ca="1"/>
        <v>2025212933</v>
      </c>
      <c r="D123" s="13" t="str">
        <f ca="1"/>
        <v>R001-1122-SS-2025</v>
      </c>
      <c r="E123" s="13">
        <f ca="1"/>
        <v>43</v>
      </c>
      <c r="F123" s="14">
        <f ca="1"/>
        <v>45984</v>
      </c>
      <c r="G123" s="14" t="str">
        <f ca="1"/>
        <v>-</v>
      </c>
      <c r="H123" s="1" t="str">
        <f>IF(Back_End_Data!G123="Completed","Yes","No")</f>
        <v>Yes</v>
      </c>
      <c r="I123" s="1" t="str">
        <f>IF(Back_End_Data!I123="Completed","Yes","No")</f>
        <v>Yes</v>
      </c>
      <c r="J123" s="1" t="str">
        <f>IF(Back_End_Data!J123="Completed","Yes","No")</f>
        <v>No</v>
      </c>
      <c r="K123" s="1" t="str">
        <f>IF(Back_End_Data!K123="Completed","Yes","No")</f>
        <v>No</v>
      </c>
      <c r="L123" s="1" t="str">
        <f>IF(Back_End_Data!L123="", "No", Back_End_Data!L123)</f>
        <v>NA</v>
      </c>
      <c r="M123" s="1" t="str">
        <f>IF(Back_End_Data!N123="", "No", Back_End_Data!N123)</f>
        <v>NA</v>
      </c>
      <c r="N123" s="1" t="str">
        <f>IF(Back_End_Data!M123="", "No", Back_End_Data!M123)</f>
        <v>NA</v>
      </c>
      <c r="O123" s="1" t="str">
        <f>IF(Back_End_Data!O123="Completed","Yes","No")</f>
        <v>No</v>
      </c>
      <c r="P123" s="1" t="str">
        <f>IF(Back_End_Data!H123="Completed","Yes","No")</f>
        <v>No</v>
      </c>
      <c r="Q123" s="1" t="str">
        <f>IF(Back_End_Data!P123="Completed","Yes","No")</f>
        <v>Yes</v>
      </c>
      <c r="R123" s="1" t="s">
        <v>2369</v>
      </c>
      <c r="S123" s="1" t="str">
        <f>IF(Back_End_Data!R123="Completed","Yes","No")</f>
        <v>No</v>
      </c>
      <c r="T123" s="1" t="str">
        <f>IF(Back_End_Data!S123="Yes","Yes","No")</f>
        <v>No</v>
      </c>
      <c r="U123" s="1" t="str">
        <f>IF(Back_End_Data!Q122="Completed","Yes","No")</f>
        <v>No</v>
      </c>
      <c r="V123" s="1" t="str">
        <f ca="1">IF(INDEX(MIS_Backend_Data!L:L, MATCH(D123, MIS_Backend_Data!B:B, 1)) = "WT", "Yes", "No")</f>
        <v>No</v>
      </c>
      <c r="W123" s="2" t="str">
        <f t="shared" ca="1" si="3"/>
        <v>Reject</v>
      </c>
      <c r="Z123" s="1">
        <f ca="1"/>
        <v>0</v>
      </c>
      <c r="AA123" s="1">
        <f t="shared" ca="1" si="4"/>
        <v>3</v>
      </c>
      <c r="AC123" s="1" t="str">
        <f ca="1"/>
        <v>Open</v>
      </c>
      <c r="AG123" s="1" t="str">
        <f t="shared" si="5"/>
        <v/>
      </c>
    </row>
    <row r="124" spans="1:33" ht="20.25" customHeight="1">
      <c r="A124" s="13">
        <v>123</v>
      </c>
      <c r="B124" s="1" t="str">
        <f ca="1"/>
        <v>Indusind General Insurance Co Ltd</v>
      </c>
      <c r="C124" s="13" t="str">
        <f ca="1"/>
        <v>2025210107</v>
      </c>
      <c r="D124" s="13" t="str">
        <f ca="1"/>
        <v>R001-1123-SS-2025</v>
      </c>
      <c r="E124" s="13">
        <f ca="1"/>
        <v>43</v>
      </c>
      <c r="F124" s="14">
        <f ca="1"/>
        <v>45984</v>
      </c>
      <c r="G124" s="14" t="str">
        <f ca="1"/>
        <v>-</v>
      </c>
      <c r="H124" s="1" t="str">
        <f>IF(Back_End_Data!G124="Completed","Yes","No")</f>
        <v>No</v>
      </c>
      <c r="I124" s="1" t="str">
        <f>IF(Back_End_Data!I124="Completed","Yes","No")</f>
        <v>No</v>
      </c>
      <c r="J124" s="1" t="str">
        <f>IF(Back_End_Data!J124="Completed","Yes","No")</f>
        <v>No</v>
      </c>
      <c r="K124" s="1" t="str">
        <f>IF(Back_End_Data!K124="Completed","Yes","No")</f>
        <v>No</v>
      </c>
      <c r="L124" s="1" t="str">
        <f>IF(Back_End_Data!L124="", "No", Back_End_Data!L124)</f>
        <v>NA</v>
      </c>
      <c r="M124" s="1" t="str">
        <f>IF(Back_End_Data!N124="", "No", Back_End_Data!N124)</f>
        <v>NA</v>
      </c>
      <c r="N124" s="1" t="str">
        <f>IF(Back_End_Data!M124="", "No", Back_End_Data!M124)</f>
        <v>NA</v>
      </c>
      <c r="O124" s="1" t="str">
        <f>IF(Back_End_Data!O124="Completed","Yes","No")</f>
        <v>No</v>
      </c>
      <c r="P124" s="1" t="str">
        <f>IF(Back_End_Data!H124="Completed","Yes","No")</f>
        <v>No</v>
      </c>
      <c r="Q124" s="1" t="str">
        <f>IF(Back_End_Data!P124="Completed","Yes","No")</f>
        <v>No</v>
      </c>
      <c r="R124" s="1" t="s">
        <v>2369</v>
      </c>
      <c r="S124" s="1" t="str">
        <f>IF(Back_End_Data!R124="Completed","Yes","No")</f>
        <v>No</v>
      </c>
      <c r="T124" s="1" t="str">
        <f>IF(Back_End_Data!S124="Yes","Yes","No")</f>
        <v>No</v>
      </c>
      <c r="U124" s="1" t="str">
        <f>IF(Back_End_Data!Q123="Completed","Yes","No")</f>
        <v>No</v>
      </c>
      <c r="V124" s="1" t="str">
        <f ca="1">IF(INDEX(MIS_Backend_Data!L:L, MATCH(D124, MIS_Backend_Data!B:B, 1)) = "WT", "Yes", "No")</f>
        <v>No</v>
      </c>
      <c r="W124" s="2" t="str">
        <f t="shared" ca="1" si="3"/>
        <v>Approved</v>
      </c>
      <c r="Z124" s="1">
        <f ca="1"/>
        <v>0</v>
      </c>
      <c r="AA124" s="1">
        <f t="shared" ca="1" si="4"/>
        <v>0</v>
      </c>
      <c r="AC124" s="1" t="str">
        <f ca="1"/>
        <v>Open</v>
      </c>
      <c r="AG124" s="1" t="str">
        <f t="shared" si="5"/>
        <v/>
      </c>
    </row>
    <row r="125" spans="1:33" ht="20.25" customHeight="1">
      <c r="A125" s="13">
        <v>124</v>
      </c>
      <c r="B125" s="1" t="str">
        <f ca="1"/>
        <v>Indusind General Insurance Co Ltd</v>
      </c>
      <c r="C125" s="13" t="str">
        <f ca="1"/>
        <v>2022213651</v>
      </c>
      <c r="D125" s="13" t="str">
        <f ca="1"/>
        <v>R001-1124-SS-2025</v>
      </c>
      <c r="E125" s="13">
        <f ca="1"/>
        <v>42</v>
      </c>
      <c r="F125" s="14">
        <f ca="1"/>
        <v>45985</v>
      </c>
      <c r="G125" s="14" t="str">
        <f ca="1"/>
        <v>-</v>
      </c>
      <c r="H125" s="1" t="str">
        <f>IF(Back_End_Data!G125="Completed","Yes","No")</f>
        <v>No</v>
      </c>
      <c r="I125" s="1" t="str">
        <f>IF(Back_End_Data!I125="Completed","Yes","No")</f>
        <v>No</v>
      </c>
      <c r="J125" s="1" t="str">
        <f>IF(Back_End_Data!J125="Completed","Yes","No")</f>
        <v>No</v>
      </c>
      <c r="K125" s="1" t="str">
        <f>IF(Back_End_Data!K125="Completed","Yes","No")</f>
        <v>No</v>
      </c>
      <c r="L125" s="1" t="str">
        <f>IF(Back_End_Data!L125="", "No", Back_End_Data!L125)</f>
        <v>NA</v>
      </c>
      <c r="M125" s="1" t="str">
        <f>IF(Back_End_Data!N125="", "No", Back_End_Data!N125)</f>
        <v>WIP</v>
      </c>
      <c r="N125" s="1" t="str">
        <f>IF(Back_End_Data!M125="", "No", Back_End_Data!M125)</f>
        <v>NA</v>
      </c>
      <c r="O125" s="1" t="str">
        <f>IF(Back_End_Data!O125="Completed","Yes","No")</f>
        <v>No</v>
      </c>
      <c r="P125" s="1" t="str">
        <f>IF(Back_End_Data!H125="Completed","Yes","No")</f>
        <v>No</v>
      </c>
      <c r="Q125" s="1" t="str">
        <f>IF(Back_End_Data!P125="Completed","Yes","No")</f>
        <v>No</v>
      </c>
      <c r="R125" s="1" t="s">
        <v>2369</v>
      </c>
      <c r="S125" s="1" t="str">
        <f>IF(Back_End_Data!R125="Completed","Yes","No")</f>
        <v>No</v>
      </c>
      <c r="T125" s="1" t="str">
        <f>IF(Back_End_Data!S125="Yes","Yes","No")</f>
        <v>No</v>
      </c>
      <c r="U125" s="1" t="str">
        <f>IF(Back_End_Data!Q124="Completed","Yes","No")</f>
        <v>Yes</v>
      </c>
      <c r="V125" s="1" t="str">
        <f ca="1">IF(INDEX(MIS_Backend_Data!L:L, MATCH(D125, MIS_Backend_Data!B:B, 1)) = "WT", "Yes", "No")</f>
        <v>No</v>
      </c>
      <c r="W125" s="2" t="str">
        <f t="shared" ca="1" si="3"/>
        <v>Reject</v>
      </c>
      <c r="Z125" s="1">
        <f ca="1"/>
        <v>0</v>
      </c>
      <c r="AA125" s="1">
        <f t="shared" ca="1" si="4"/>
        <v>1</v>
      </c>
      <c r="AC125" s="1" t="str">
        <f ca="1"/>
        <v>Open</v>
      </c>
      <c r="AG125" s="1" t="str">
        <f t="shared" si="5"/>
        <v/>
      </c>
    </row>
    <row r="126" spans="1:33" ht="20.25" customHeight="1">
      <c r="A126" s="13">
        <v>125</v>
      </c>
      <c r="B126" s="1" t="str">
        <f ca="1"/>
        <v>Indusind General Insurance Co Ltd</v>
      </c>
      <c r="C126" s="13" t="str">
        <f ca="1"/>
        <v>2025212966</v>
      </c>
      <c r="D126" s="13" t="str">
        <f ca="1"/>
        <v>R001-1125-SS-2025</v>
      </c>
      <c r="E126" s="13">
        <f ca="1"/>
        <v>39</v>
      </c>
      <c r="F126" s="14">
        <f ca="1"/>
        <v>45986</v>
      </c>
      <c r="G126" s="14">
        <f ca="1"/>
        <v>46025</v>
      </c>
      <c r="H126" s="1" t="str">
        <f>IF(Back_End_Data!G126="Completed","Yes","No")</f>
        <v>No</v>
      </c>
      <c r="I126" s="1" t="str">
        <f>IF(Back_End_Data!I126="Completed","Yes","No")</f>
        <v>No</v>
      </c>
      <c r="J126" s="1" t="str">
        <f>IF(Back_End_Data!J126="Completed","Yes","No")</f>
        <v>No</v>
      </c>
      <c r="K126" s="1" t="str">
        <f>IF(Back_End_Data!K126="Completed","Yes","No")</f>
        <v>No</v>
      </c>
      <c r="L126" s="1" t="str">
        <f>IF(Back_End_Data!L126="", "No", Back_End_Data!L126)</f>
        <v>NA</v>
      </c>
      <c r="M126" s="1" t="str">
        <f>IF(Back_End_Data!N126="", "No", Back_End_Data!N126)</f>
        <v>NA</v>
      </c>
      <c r="N126" s="1" t="str">
        <f>IF(Back_End_Data!M126="", "No", Back_End_Data!M126)</f>
        <v>NA</v>
      </c>
      <c r="O126" s="1" t="str">
        <f>IF(Back_End_Data!O126="Completed","Yes","No")</f>
        <v>No</v>
      </c>
      <c r="P126" s="1" t="str">
        <f>IF(Back_End_Data!H126="Completed","Yes","No")</f>
        <v>No</v>
      </c>
      <c r="Q126" s="1" t="str">
        <f>IF(Back_End_Data!P126="Completed","Yes","No")</f>
        <v>No</v>
      </c>
      <c r="R126" s="1" t="s">
        <v>2369</v>
      </c>
      <c r="S126" s="1" t="str">
        <f>IF(Back_End_Data!R126="Completed","Yes","No")</f>
        <v>No</v>
      </c>
      <c r="T126" s="1" t="str">
        <f>IF(Back_End_Data!S126="Yes","Yes","No")</f>
        <v>No</v>
      </c>
      <c r="U126" s="1" t="str">
        <f>IF(Back_End_Data!Q125="Completed","Yes","No")</f>
        <v>No</v>
      </c>
      <c r="V126" s="1" t="str">
        <f ca="1">IF(INDEX(MIS_Backend_Data!L:L, MATCH(D126, MIS_Backend_Data!B:B, 1)) = "WT", "Yes", "No")</f>
        <v>No</v>
      </c>
      <c r="W126" s="2" t="str">
        <f t="shared" ca="1" si="3"/>
        <v>Approved</v>
      </c>
      <c r="Z126" s="1">
        <f ca="1"/>
        <v>0</v>
      </c>
      <c r="AA126" s="1">
        <f t="shared" ca="1" si="4"/>
        <v>0</v>
      </c>
      <c r="AC126" s="1" t="str">
        <f ca="1"/>
        <v>Open</v>
      </c>
      <c r="AG126" s="1" t="str">
        <f t="shared" si="5"/>
        <v/>
      </c>
    </row>
    <row r="127" spans="1:33" ht="20.25" customHeight="1">
      <c r="A127" s="13">
        <v>126</v>
      </c>
      <c r="B127" s="1" t="str">
        <f ca="1"/>
        <v>Indusind General Insurance Co Ltd</v>
      </c>
      <c r="C127" s="13" t="str">
        <f ca="1"/>
        <v>2025212965</v>
      </c>
      <c r="D127" s="13" t="str">
        <f ca="1"/>
        <v>R001-1126-SS-2025</v>
      </c>
      <c r="E127" s="13">
        <f ca="1"/>
        <v>41</v>
      </c>
      <c r="F127" s="14">
        <f ca="1"/>
        <v>45986</v>
      </c>
      <c r="G127" s="14" t="str">
        <f ca="1"/>
        <v>-</v>
      </c>
      <c r="H127" s="1" t="str">
        <f>IF(Back_End_Data!G127="Completed","Yes","No")</f>
        <v>Yes</v>
      </c>
      <c r="I127" s="1" t="str">
        <f>IF(Back_End_Data!I127="Completed","Yes","No")</f>
        <v>Yes</v>
      </c>
      <c r="J127" s="1" t="str">
        <f>IF(Back_End_Data!J127="Completed","Yes","No")</f>
        <v>No</v>
      </c>
      <c r="K127" s="1" t="str">
        <f>IF(Back_End_Data!K127="Completed","Yes","No")</f>
        <v>Yes</v>
      </c>
      <c r="L127" s="1" t="str">
        <f>IF(Back_End_Data!L127="", "No", Back_End_Data!L127)</f>
        <v>NA</v>
      </c>
      <c r="M127" s="1" t="str">
        <f>IF(Back_End_Data!N127="", "No", Back_End_Data!N127)</f>
        <v>NA</v>
      </c>
      <c r="N127" s="1" t="str">
        <f>IF(Back_End_Data!M127="", "No", Back_End_Data!M127)</f>
        <v>NA</v>
      </c>
      <c r="O127" s="1" t="str">
        <f>IF(Back_End_Data!O127="Completed","Yes","No")</f>
        <v>No</v>
      </c>
      <c r="P127" s="1" t="str">
        <f>IF(Back_End_Data!H127="Completed","Yes","No")</f>
        <v>No</v>
      </c>
      <c r="Q127" s="1" t="str">
        <f>IF(Back_End_Data!P127="Completed","Yes","No")</f>
        <v>Yes</v>
      </c>
      <c r="R127" s="1" t="s">
        <v>2369</v>
      </c>
      <c r="S127" s="1" t="str">
        <f>IF(Back_End_Data!R127="Completed","Yes","No")</f>
        <v>No</v>
      </c>
      <c r="T127" s="1" t="str">
        <f>IF(Back_End_Data!S127="Yes","Yes","No")</f>
        <v>No</v>
      </c>
      <c r="U127" s="1" t="str">
        <f>IF(Back_End_Data!Q126="Completed","Yes","No")</f>
        <v>No</v>
      </c>
      <c r="V127" s="1" t="str">
        <f ca="1">IF(INDEX(MIS_Backend_Data!L:L, MATCH(D127, MIS_Backend_Data!B:B, 1)) = "WT", "Yes", "No")</f>
        <v>No</v>
      </c>
      <c r="W127" s="2" t="str">
        <f t="shared" ca="1" si="3"/>
        <v>Reject</v>
      </c>
      <c r="Z127" s="1">
        <f ca="1"/>
        <v>0</v>
      </c>
      <c r="AA127" s="1">
        <f t="shared" ca="1" si="4"/>
        <v>4</v>
      </c>
      <c r="AC127" s="1" t="str">
        <f ca="1"/>
        <v>Open</v>
      </c>
      <c r="AG127" s="1" t="str">
        <f t="shared" si="5"/>
        <v/>
      </c>
    </row>
    <row r="128" spans="1:33" ht="20.25" customHeight="1">
      <c r="A128" s="13">
        <v>127</v>
      </c>
      <c r="B128" s="1" t="str">
        <f ca="1"/>
        <v>Indusind General Insurance Co Ltd</v>
      </c>
      <c r="C128" s="13" t="str">
        <f ca="1"/>
        <v>2025212927</v>
      </c>
      <c r="D128" s="13" t="str">
        <f ca="1"/>
        <v>R001-1127-SS-2025</v>
      </c>
      <c r="E128" s="13">
        <f ca="1"/>
        <v>36</v>
      </c>
      <c r="F128" s="14">
        <f ca="1"/>
        <v>45986</v>
      </c>
      <c r="G128" s="14">
        <f ca="1"/>
        <v>46022</v>
      </c>
      <c r="H128" s="1" t="str">
        <f>IF(Back_End_Data!G128="Completed","Yes","No")</f>
        <v>Yes</v>
      </c>
      <c r="I128" s="1" t="str">
        <f>IF(Back_End_Data!I128="Completed","Yes","No")</f>
        <v>Yes</v>
      </c>
      <c r="J128" s="1" t="str">
        <f>IF(Back_End_Data!J128="Completed","Yes","No")</f>
        <v>No</v>
      </c>
      <c r="K128" s="1" t="str">
        <f>IF(Back_End_Data!K128="Completed","Yes","No")</f>
        <v>Yes</v>
      </c>
      <c r="L128" s="1" t="str">
        <f>IF(Back_End_Data!L128="", "No", Back_End_Data!L128)</f>
        <v>NA</v>
      </c>
      <c r="M128" s="1" t="str">
        <f>IF(Back_End_Data!N128="", "No", Back_End_Data!N128)</f>
        <v>NA</v>
      </c>
      <c r="N128" s="1" t="str">
        <f>IF(Back_End_Data!M128="", "No", Back_End_Data!M128)</f>
        <v>NA</v>
      </c>
      <c r="O128" s="1" t="str">
        <f>IF(Back_End_Data!O128="Completed","Yes","No")</f>
        <v>No</v>
      </c>
      <c r="P128" s="1" t="str">
        <f>IF(Back_End_Data!H128="Completed","Yes","No")</f>
        <v>No</v>
      </c>
      <c r="Q128" s="1" t="str">
        <f>IF(Back_End_Data!P128="Completed","Yes","No")</f>
        <v>Yes</v>
      </c>
      <c r="R128" s="1" t="s">
        <v>2369</v>
      </c>
      <c r="S128" s="1" t="str">
        <f>IF(Back_End_Data!R128="Completed","Yes","No")</f>
        <v>No</v>
      </c>
      <c r="T128" s="1" t="str">
        <f>IF(Back_End_Data!S128="Yes","Yes","No")</f>
        <v>No</v>
      </c>
      <c r="U128" s="1" t="str">
        <f>IF(Back_End_Data!Q127="Completed","Yes","No")</f>
        <v>Yes</v>
      </c>
      <c r="V128" s="1" t="str">
        <f ca="1">IF(INDEX(MIS_Backend_Data!L:L, MATCH(D128, MIS_Backend_Data!B:B, 1)) = "WT", "Yes", "No")</f>
        <v>No</v>
      </c>
      <c r="W128" s="2" t="str">
        <f t="shared" ca="1" si="3"/>
        <v>Reject</v>
      </c>
      <c r="Z128" s="1">
        <f ca="1"/>
        <v>0</v>
      </c>
      <c r="AA128" s="1">
        <f t="shared" ca="1" si="4"/>
        <v>5</v>
      </c>
      <c r="AC128" s="1" t="str">
        <f ca="1"/>
        <v>Dispatch</v>
      </c>
      <c r="AG128" s="1" t="str">
        <f t="shared" si="5"/>
        <v/>
      </c>
    </row>
    <row r="129" spans="1:33" ht="20.25" customHeight="1">
      <c r="A129" s="13">
        <v>128</v>
      </c>
      <c r="B129" s="1" t="str">
        <f ca="1"/>
        <v>Indusind General Insurance Co Ltd</v>
      </c>
      <c r="C129" s="13" t="str">
        <f ca="1"/>
        <v>2025212925</v>
      </c>
      <c r="D129" s="13" t="str">
        <f ca="1"/>
        <v>R001-1128-SS-2025</v>
      </c>
      <c r="E129" s="13">
        <f ca="1"/>
        <v>41</v>
      </c>
      <c r="F129" s="14">
        <f ca="1"/>
        <v>45986</v>
      </c>
      <c r="G129" s="14" t="str">
        <f ca="1"/>
        <v>-</v>
      </c>
      <c r="H129" s="1" t="str">
        <f>IF(Back_End_Data!G129="Completed","Yes","No")</f>
        <v>Yes</v>
      </c>
      <c r="I129" s="1" t="str">
        <f>IF(Back_End_Data!I129="Completed","Yes","No")</f>
        <v>Yes</v>
      </c>
      <c r="J129" s="1" t="str">
        <f>IF(Back_End_Data!J129="Completed","Yes","No")</f>
        <v>No</v>
      </c>
      <c r="K129" s="1" t="str">
        <f>IF(Back_End_Data!K129="Completed","Yes","No")</f>
        <v>No</v>
      </c>
      <c r="L129" s="1" t="str">
        <f>IF(Back_End_Data!L129="", "No", Back_End_Data!L129)</f>
        <v>NA</v>
      </c>
      <c r="M129" s="1" t="str">
        <f>IF(Back_End_Data!N129="", "No", Back_End_Data!N129)</f>
        <v>NA</v>
      </c>
      <c r="N129" s="1" t="str">
        <f>IF(Back_End_Data!M129="", "No", Back_End_Data!M129)</f>
        <v>NA</v>
      </c>
      <c r="O129" s="1" t="str">
        <f>IF(Back_End_Data!O129="Completed","Yes","No")</f>
        <v>No</v>
      </c>
      <c r="P129" s="1" t="str">
        <f>IF(Back_End_Data!H129="Completed","Yes","No")</f>
        <v>No</v>
      </c>
      <c r="Q129" s="1" t="str">
        <f>IF(Back_End_Data!P129="Completed","Yes","No")</f>
        <v>Yes</v>
      </c>
      <c r="R129" s="1" t="s">
        <v>2369</v>
      </c>
      <c r="S129" s="1" t="str">
        <f>IF(Back_End_Data!R129="Completed","Yes","No")</f>
        <v>No</v>
      </c>
      <c r="T129" s="1" t="str">
        <f>IF(Back_End_Data!S129="Yes","Yes","No")</f>
        <v>No</v>
      </c>
      <c r="U129" s="1" t="str">
        <f>IF(Back_End_Data!Q128="Completed","Yes","No")</f>
        <v>No</v>
      </c>
      <c r="V129" s="1" t="str">
        <f ca="1">IF(INDEX(MIS_Backend_Data!L:L, MATCH(D129, MIS_Backend_Data!B:B, 1)) = "WT", "Yes", "No")</f>
        <v>No</v>
      </c>
      <c r="W129" s="2" t="str">
        <f t="shared" ca="1" si="3"/>
        <v>Reject</v>
      </c>
      <c r="Z129" s="1">
        <f ca="1"/>
        <v>0</v>
      </c>
      <c r="AA129" s="1">
        <f t="shared" ca="1" si="4"/>
        <v>3</v>
      </c>
      <c r="AC129" s="1" t="str">
        <f ca="1"/>
        <v>Open</v>
      </c>
      <c r="AG129" s="1" t="str">
        <f t="shared" si="5"/>
        <v/>
      </c>
    </row>
    <row r="130" spans="1:33" ht="20.25" customHeight="1">
      <c r="A130" s="13">
        <v>129</v>
      </c>
      <c r="B130" s="1" t="str">
        <f ca="1"/>
        <v>SBI General Insurance Company Ltd</v>
      </c>
      <c r="C130" s="13" t="str">
        <f ca="1"/>
        <v>2752072</v>
      </c>
      <c r="D130" s="13" t="str">
        <f ca="1"/>
        <v>S002-1129-SS-2025</v>
      </c>
      <c r="E130" s="13">
        <f ca="1"/>
        <v>40</v>
      </c>
      <c r="F130" s="14">
        <f ca="1"/>
        <v>45987</v>
      </c>
      <c r="G130" s="14" t="str">
        <f ca="1"/>
        <v>-</v>
      </c>
      <c r="H130" s="1" t="str">
        <f>IF(Back_End_Data!G130="Completed","Yes","No")</f>
        <v>Yes</v>
      </c>
      <c r="I130" s="1" t="str">
        <f>IF(Back_End_Data!I130="Completed","Yes","No")</f>
        <v>Yes</v>
      </c>
      <c r="J130" s="1" t="str">
        <f>IF(Back_End_Data!J130="Completed","Yes","No")</f>
        <v>No</v>
      </c>
      <c r="K130" s="1" t="str">
        <f>IF(Back_End_Data!K130="Completed","Yes","No")</f>
        <v>Yes</v>
      </c>
      <c r="L130" s="1" t="str">
        <f>IF(Back_End_Data!L130="", "No", Back_End_Data!L130)</f>
        <v>NA</v>
      </c>
      <c r="M130" s="1" t="str">
        <f>IF(Back_End_Data!N130="", "No", Back_End_Data!N130)</f>
        <v>NA</v>
      </c>
      <c r="N130" s="1" t="str">
        <f>IF(Back_End_Data!M130="", "No", Back_End_Data!M130)</f>
        <v>NA</v>
      </c>
      <c r="O130" s="1" t="str">
        <f>IF(Back_End_Data!O130="Completed","Yes","No")</f>
        <v>No</v>
      </c>
      <c r="P130" s="1" t="str">
        <f>IF(Back_End_Data!H130="Completed","Yes","No")</f>
        <v>No</v>
      </c>
      <c r="Q130" s="1" t="str">
        <f>IF(Back_End_Data!P130="Completed","Yes","No")</f>
        <v>Yes</v>
      </c>
      <c r="R130" s="1" t="s">
        <v>2369</v>
      </c>
      <c r="S130" s="1" t="str">
        <f>IF(Back_End_Data!R130="Completed","Yes","No")</f>
        <v>No</v>
      </c>
      <c r="T130" s="1" t="str">
        <f>IF(Back_End_Data!S130="Yes","Yes","No")</f>
        <v>No</v>
      </c>
      <c r="U130" s="1" t="str">
        <f>IF(Back_End_Data!Q129="Completed","Yes","No")</f>
        <v>Yes</v>
      </c>
      <c r="V130" s="1" t="str">
        <f ca="1">IF(INDEX(MIS_Backend_Data!L:L, MATCH(D130, MIS_Backend_Data!B:B, 1)) = "WT", "Yes", "No")</f>
        <v>No</v>
      </c>
      <c r="W130" s="2" t="str">
        <f t="shared" ca="1" si="3"/>
        <v>Reject</v>
      </c>
      <c r="Z130" s="1">
        <f ca="1"/>
        <v>0</v>
      </c>
      <c r="AA130" s="1">
        <f t="shared" ca="1" si="4"/>
        <v>5</v>
      </c>
      <c r="AC130" s="1" t="str">
        <f ca="1"/>
        <v>Open</v>
      </c>
      <c r="AG130" s="1" t="str">
        <f t="shared" si="5"/>
        <v/>
      </c>
    </row>
    <row r="131" spans="1:33" ht="20.25" customHeight="1">
      <c r="A131" s="13">
        <v>130</v>
      </c>
      <c r="B131" s="1" t="str">
        <f ca="1"/>
        <v>SBI General Insurance Company Ltd</v>
      </c>
      <c r="C131" s="13" t="str">
        <f ca="1"/>
        <v>2312792</v>
      </c>
      <c r="D131" s="13" t="str">
        <f ca="1"/>
        <v>S002-1130-SS-2025</v>
      </c>
      <c r="E131" s="13">
        <f ca="1"/>
        <v>20</v>
      </c>
      <c r="F131" s="14">
        <f ca="1"/>
        <v>45987</v>
      </c>
      <c r="G131" s="14">
        <f ca="1"/>
        <v>46007</v>
      </c>
      <c r="H131" s="1" t="str">
        <f>IF(Back_End_Data!G131="Completed","Yes","No")</f>
        <v>No</v>
      </c>
      <c r="I131" s="1" t="str">
        <f>IF(Back_End_Data!I131="Completed","Yes","No")</f>
        <v>No</v>
      </c>
      <c r="J131" s="1" t="str">
        <f>IF(Back_End_Data!J131="Completed","Yes","No")</f>
        <v>No</v>
      </c>
      <c r="K131" s="1" t="str">
        <f>IF(Back_End_Data!K131="Completed","Yes","No")</f>
        <v>No</v>
      </c>
      <c r="L131" s="1" t="str">
        <f>IF(Back_End_Data!L131="", "No", Back_End_Data!L131)</f>
        <v>NA</v>
      </c>
      <c r="M131" s="1" t="str">
        <f>IF(Back_End_Data!N131="", "No", Back_End_Data!N131)</f>
        <v>NA</v>
      </c>
      <c r="N131" s="1" t="str">
        <f>IF(Back_End_Data!M131="", "No", Back_End_Data!M131)</f>
        <v>NA</v>
      </c>
      <c r="O131" s="1" t="str">
        <f>IF(Back_End_Data!O131="Completed","Yes","No")</f>
        <v>No</v>
      </c>
      <c r="P131" s="1" t="str">
        <f>IF(Back_End_Data!H131="Completed","Yes","No")</f>
        <v>No</v>
      </c>
      <c r="Q131" s="1" t="str">
        <f>IF(Back_End_Data!P131="Completed","Yes","No")</f>
        <v>No</v>
      </c>
      <c r="R131" s="1" t="s">
        <v>2369</v>
      </c>
      <c r="S131" s="1" t="str">
        <f>IF(Back_End_Data!R131="Completed","Yes","No")</f>
        <v>No</v>
      </c>
      <c r="T131" s="1" t="str">
        <f>IF(Back_End_Data!S131="Yes","Yes","No")</f>
        <v>No</v>
      </c>
      <c r="U131" s="1" t="str">
        <f>IF(Back_End_Data!Q130="Completed","Yes","No")</f>
        <v>No</v>
      </c>
      <c r="V131" s="1" t="str">
        <f ca="1">IF(INDEX(MIS_Backend_Data!L:L, MATCH(D131, MIS_Backend_Data!B:B, 1)) = "WT", "Yes", "No")</f>
        <v>No</v>
      </c>
      <c r="W131" s="2" t="str">
        <f t="shared" ref="W131:W194" ca="1" si="6">IF(OR(Z131="", AA131=""), "", IF(Z131=AA131, "Approved", "Reject"))</f>
        <v>Approved</v>
      </c>
      <c r="Z131" s="1">
        <f ca="1"/>
        <v>0</v>
      </c>
      <c r="AA131" s="1">
        <f t="shared" ref="AA131:AA194" ca="1" si="7">COUNTIF(H131:V131,"Yes")</f>
        <v>0</v>
      </c>
      <c r="AC131" s="1" t="str">
        <f ca="1"/>
        <v>Dispatch</v>
      </c>
      <c r="AG131" s="1" t="str">
        <f t="shared" si="5"/>
        <v/>
      </c>
    </row>
    <row r="132" spans="1:33" ht="20.25" customHeight="1">
      <c r="A132" s="13">
        <v>131</v>
      </c>
      <c r="B132" s="1" t="str">
        <f ca="1"/>
        <v>Generali Central Insurance Company Limited</v>
      </c>
      <c r="C132" s="13" t="str">
        <f ca="1"/>
        <v>MTP-N-2526-004746</v>
      </c>
      <c r="D132" s="13" t="str">
        <f ca="1"/>
        <v>F001-1131-SS-2025</v>
      </c>
      <c r="E132" s="13">
        <f ca="1"/>
        <v>40</v>
      </c>
      <c r="F132" s="14">
        <f ca="1"/>
        <v>45987</v>
      </c>
      <c r="G132" s="14" t="str">
        <f ca="1"/>
        <v>-</v>
      </c>
      <c r="H132" s="1" t="str">
        <f>IF(Back_End_Data!G132="Completed","Yes","No")</f>
        <v>No</v>
      </c>
      <c r="I132" s="1" t="str">
        <f>IF(Back_End_Data!I132="Completed","Yes","No")</f>
        <v>No</v>
      </c>
      <c r="J132" s="1" t="str">
        <f>IF(Back_End_Data!J132="Completed","Yes","No")</f>
        <v>No</v>
      </c>
      <c r="K132" s="1" t="str">
        <f>IF(Back_End_Data!K132="Completed","Yes","No")</f>
        <v>No</v>
      </c>
      <c r="L132" s="1" t="str">
        <f>IF(Back_End_Data!L132="", "No", Back_End_Data!L132)</f>
        <v>NA</v>
      </c>
      <c r="M132" s="1" t="str">
        <f>IF(Back_End_Data!N132="", "No", Back_End_Data!N132)</f>
        <v>NA</v>
      </c>
      <c r="N132" s="1" t="str">
        <f>IF(Back_End_Data!M132="", "No", Back_End_Data!M132)</f>
        <v>NA</v>
      </c>
      <c r="O132" s="1" t="str">
        <f>IF(Back_End_Data!O132="Completed","Yes","No")</f>
        <v>No</v>
      </c>
      <c r="P132" s="1" t="str">
        <f>IF(Back_End_Data!H132="Completed","Yes","No")</f>
        <v>No</v>
      </c>
      <c r="Q132" s="1" t="str">
        <f>IF(Back_End_Data!P132="Completed","Yes","No")</f>
        <v>No</v>
      </c>
      <c r="R132" s="1" t="s">
        <v>2369</v>
      </c>
      <c r="S132" s="1" t="str">
        <f>IF(Back_End_Data!R132="Completed","Yes","No")</f>
        <v>Yes</v>
      </c>
      <c r="T132" s="1" t="str">
        <f>IF(Back_End_Data!S132="Yes","Yes","No")</f>
        <v>No</v>
      </c>
      <c r="U132" s="1" t="str">
        <f>IF(Back_End_Data!Q131="Completed","Yes","No")</f>
        <v>No</v>
      </c>
      <c r="V132" s="1" t="str">
        <f ca="1">IF(INDEX(MIS_Backend_Data!L:L, MATCH(D132, MIS_Backend_Data!B:B, 1)) = "WT", "Yes", "No")</f>
        <v>No</v>
      </c>
      <c r="W132" s="2" t="str">
        <f t="shared" ca="1" si="6"/>
        <v>Reject</v>
      </c>
      <c r="Z132" s="1">
        <f ca="1"/>
        <v>0</v>
      </c>
      <c r="AA132" s="1">
        <f t="shared" ca="1" si="7"/>
        <v>1</v>
      </c>
      <c r="AC132" s="1" t="str">
        <f ca="1"/>
        <v>Open</v>
      </c>
      <c r="AG132" s="1" t="str">
        <f t="shared" ref="AG132:AG195" si="8">IF(AND(AE132="Dispatch",AF132="Pending"),"Pending","")</f>
        <v/>
      </c>
    </row>
    <row r="133" spans="1:33" ht="20.25" customHeight="1">
      <c r="A133" s="13">
        <v>132</v>
      </c>
      <c r="B133" s="1" t="str">
        <f ca="1"/>
        <v>Generali Central Insurance Company Limited</v>
      </c>
      <c r="C133" s="13" t="str">
        <f ca="1"/>
        <v>CM570910</v>
      </c>
      <c r="D133" s="13" t="str">
        <f ca="1"/>
        <v>F001-1132-SS-2025</v>
      </c>
      <c r="E133" s="13">
        <f ca="1"/>
        <v>40</v>
      </c>
      <c r="F133" s="14">
        <f ca="1"/>
        <v>45987</v>
      </c>
      <c r="G133" s="14" t="str">
        <f ca="1"/>
        <v>-</v>
      </c>
      <c r="H133" s="1" t="str">
        <f>IF(Back_End_Data!G133="Completed","Yes","No")</f>
        <v>Yes</v>
      </c>
      <c r="I133" s="1" t="str">
        <f>IF(Back_End_Data!I133="Completed","Yes","No")</f>
        <v>Yes</v>
      </c>
      <c r="J133" s="1" t="str">
        <f>IF(Back_End_Data!J133="Completed","Yes","No")</f>
        <v>No</v>
      </c>
      <c r="K133" s="1" t="str">
        <f>IF(Back_End_Data!K133="Completed","Yes","No")</f>
        <v>Yes</v>
      </c>
      <c r="L133" s="1" t="str">
        <f>IF(Back_End_Data!L133="", "No", Back_End_Data!L133)</f>
        <v>NA</v>
      </c>
      <c r="M133" s="1" t="str">
        <f>IF(Back_End_Data!N133="", "No", Back_End_Data!N133)</f>
        <v>NA</v>
      </c>
      <c r="N133" s="1" t="str">
        <f>IF(Back_End_Data!M133="", "No", Back_End_Data!M133)</f>
        <v>NA</v>
      </c>
      <c r="O133" s="1" t="str">
        <f>IF(Back_End_Data!O133="Completed","Yes","No")</f>
        <v>No</v>
      </c>
      <c r="P133" s="1" t="str">
        <f>IF(Back_End_Data!H133="Completed","Yes","No")</f>
        <v>No</v>
      </c>
      <c r="Q133" s="1" t="str">
        <f>IF(Back_End_Data!P133="Completed","Yes","No")</f>
        <v>Yes</v>
      </c>
      <c r="R133" s="1" t="s">
        <v>2369</v>
      </c>
      <c r="S133" s="1" t="str">
        <f>IF(Back_End_Data!R133="Completed","Yes","No")</f>
        <v>No</v>
      </c>
      <c r="T133" s="1" t="str">
        <f>IF(Back_End_Data!S133="Yes","Yes","No")</f>
        <v>No</v>
      </c>
      <c r="U133" s="1" t="str">
        <f>IF(Back_End_Data!Q132="Completed","Yes","No")</f>
        <v>No</v>
      </c>
      <c r="V133" s="1" t="str">
        <f ca="1">IF(INDEX(MIS_Backend_Data!L:L, MATCH(D133, MIS_Backend_Data!B:B, 1)) = "WT", "Yes", "No")</f>
        <v>No</v>
      </c>
      <c r="W133" s="2" t="str">
        <f t="shared" ca="1" si="6"/>
        <v>Reject</v>
      </c>
      <c r="Z133" s="1">
        <f ca="1"/>
        <v>0</v>
      </c>
      <c r="AA133" s="1">
        <f t="shared" ca="1" si="7"/>
        <v>4</v>
      </c>
      <c r="AC133" s="1" t="str">
        <f ca="1"/>
        <v>Open</v>
      </c>
      <c r="AG133" s="1" t="str">
        <f t="shared" si="8"/>
        <v/>
      </c>
    </row>
    <row r="134" spans="1:33" ht="20.25" customHeight="1">
      <c r="A134" s="13">
        <v>133</v>
      </c>
      <c r="B134" s="1" t="str">
        <f ca="1"/>
        <v>Indusind General Insurance Co Ltd</v>
      </c>
      <c r="C134" s="13" t="str">
        <f ca="1"/>
        <v>2023209914</v>
      </c>
      <c r="D134" s="13" t="str">
        <f ca="1"/>
        <v>R001-1133-SS-2025</v>
      </c>
      <c r="E134" s="13">
        <f ca="1"/>
        <v>38</v>
      </c>
      <c r="F134" s="14">
        <f ca="1"/>
        <v>45989</v>
      </c>
      <c r="G134" s="14" t="str">
        <f ca="1"/>
        <v>-</v>
      </c>
      <c r="H134" s="1" t="str">
        <f>IF(Back_End_Data!G134="Completed","Yes","No")</f>
        <v>No</v>
      </c>
      <c r="I134" s="1" t="str">
        <f>IF(Back_End_Data!I134="Completed","Yes","No")</f>
        <v>No</v>
      </c>
      <c r="J134" s="1" t="str">
        <f>IF(Back_End_Data!J134="Completed","Yes","No")</f>
        <v>No</v>
      </c>
      <c r="K134" s="1" t="str">
        <f>IF(Back_End_Data!K134="Completed","Yes","No")</f>
        <v>No</v>
      </c>
      <c r="L134" s="1" t="str">
        <f>IF(Back_End_Data!L134="", "No", Back_End_Data!L134)</f>
        <v>NA</v>
      </c>
      <c r="M134" s="1" t="str">
        <f>IF(Back_End_Data!N134="", "No", Back_End_Data!N134)</f>
        <v>NA</v>
      </c>
      <c r="N134" s="1" t="str">
        <f>IF(Back_End_Data!M134="", "No", Back_End_Data!M134)</f>
        <v>NA</v>
      </c>
      <c r="O134" s="1" t="str">
        <f>IF(Back_End_Data!O134="Completed","Yes","No")</f>
        <v>No</v>
      </c>
      <c r="P134" s="1" t="str">
        <f>IF(Back_End_Data!H134="Completed","Yes","No")</f>
        <v>No</v>
      </c>
      <c r="Q134" s="1" t="str">
        <f>IF(Back_End_Data!P134="Completed","Yes","No")</f>
        <v>No</v>
      </c>
      <c r="R134" s="1" t="s">
        <v>2369</v>
      </c>
      <c r="S134" s="1" t="str">
        <f>IF(Back_End_Data!R134="Completed","Yes","No")</f>
        <v>No</v>
      </c>
      <c r="T134" s="1" t="str">
        <f>IF(Back_End_Data!S134="Yes","Yes","No")</f>
        <v>No</v>
      </c>
      <c r="U134" s="1" t="str">
        <f>IF(Back_End_Data!Q133="Completed","Yes","No")</f>
        <v>No</v>
      </c>
      <c r="V134" s="1" t="str">
        <f ca="1">IF(INDEX(MIS_Backend_Data!L:L, MATCH(D134, MIS_Backend_Data!B:B, 1)) = "WT", "Yes", "No")</f>
        <v>No</v>
      </c>
      <c r="W134" s="2" t="str">
        <f t="shared" ca="1" si="6"/>
        <v>Approved</v>
      </c>
      <c r="Z134" s="1">
        <f ca="1"/>
        <v>0</v>
      </c>
      <c r="AA134" s="1">
        <f t="shared" ca="1" si="7"/>
        <v>0</v>
      </c>
      <c r="AC134" s="1" t="str">
        <f ca="1"/>
        <v>Open</v>
      </c>
      <c r="AG134" s="1" t="str">
        <f t="shared" si="8"/>
        <v/>
      </c>
    </row>
    <row r="135" spans="1:33" ht="20.25" customHeight="1">
      <c r="A135" s="13">
        <v>134</v>
      </c>
      <c r="B135" s="1" t="str">
        <f ca="1"/>
        <v>Indusind General Insurance Co Ltd</v>
      </c>
      <c r="C135" s="13" t="str">
        <f ca="1"/>
        <v>2025200081</v>
      </c>
      <c r="D135" s="13" t="str">
        <f ca="1"/>
        <v>R001-1134-SS-2025</v>
      </c>
      <c r="E135" s="13">
        <f ca="1"/>
        <v>38</v>
      </c>
      <c r="F135" s="14">
        <f ca="1"/>
        <v>45989</v>
      </c>
      <c r="G135" s="14" t="str">
        <f ca="1"/>
        <v>-</v>
      </c>
      <c r="H135" s="1" t="str">
        <f>IF(Back_End_Data!G135="Completed","Yes","No")</f>
        <v>No</v>
      </c>
      <c r="I135" s="1" t="str">
        <f>IF(Back_End_Data!I135="Completed","Yes","No")</f>
        <v>No</v>
      </c>
      <c r="J135" s="1" t="str">
        <f>IF(Back_End_Data!J135="Completed","Yes","No")</f>
        <v>No</v>
      </c>
      <c r="K135" s="1" t="str">
        <f>IF(Back_End_Data!K135="Completed","Yes","No")</f>
        <v>No</v>
      </c>
      <c r="L135" s="1" t="str">
        <f>IF(Back_End_Data!L135="", "No", Back_End_Data!L135)</f>
        <v>NA</v>
      </c>
      <c r="M135" s="1" t="str">
        <f>IF(Back_End_Data!N135="", "No", Back_End_Data!N135)</f>
        <v>NA</v>
      </c>
      <c r="N135" s="1" t="str">
        <f>IF(Back_End_Data!M135="", "No", Back_End_Data!M135)</f>
        <v>NA</v>
      </c>
      <c r="O135" s="1" t="str">
        <f>IF(Back_End_Data!O135="Completed","Yes","No")</f>
        <v>No</v>
      </c>
      <c r="P135" s="1" t="str">
        <f>IF(Back_End_Data!H135="Completed","Yes","No")</f>
        <v>No</v>
      </c>
      <c r="Q135" s="1" t="str">
        <f>IF(Back_End_Data!P135="Completed","Yes","No")</f>
        <v>No</v>
      </c>
      <c r="R135" s="1" t="s">
        <v>2369</v>
      </c>
      <c r="S135" s="1" t="str">
        <f>IF(Back_End_Data!R135="Completed","Yes","No")</f>
        <v>No</v>
      </c>
      <c r="T135" s="1" t="str">
        <f>IF(Back_End_Data!S135="Yes","Yes","No")</f>
        <v>No</v>
      </c>
      <c r="U135" s="1" t="str">
        <f>IF(Back_End_Data!Q134="Completed","Yes","No")</f>
        <v>No</v>
      </c>
      <c r="V135" s="1" t="str">
        <f ca="1">IF(INDEX(MIS_Backend_Data!L:L, MATCH(D135, MIS_Backend_Data!B:B, 1)) = "WT", "Yes", "No")</f>
        <v>No</v>
      </c>
      <c r="W135" s="2" t="str">
        <f ca="1">IF(OR(Z135="", AA135=""), "", IF(Z135=AA135, "Approved", "Reject"))</f>
        <v>Approved</v>
      </c>
      <c r="Z135" s="1">
        <f ca="1"/>
        <v>0</v>
      </c>
      <c r="AA135" s="1">
        <f t="shared" ca="1" si="7"/>
        <v>0</v>
      </c>
      <c r="AC135" s="1" t="str">
        <f ca="1"/>
        <v>Open</v>
      </c>
      <c r="AG135" s="1" t="str">
        <f t="shared" si="8"/>
        <v/>
      </c>
    </row>
    <row r="136" spans="1:33" ht="20.25" customHeight="1">
      <c r="A136" s="13">
        <v>135</v>
      </c>
      <c r="B136" s="1" t="str">
        <f ca="1"/>
        <v>Indusind General Insurance Co Ltd</v>
      </c>
      <c r="C136" s="13" t="str">
        <f ca="1"/>
        <v>2024200689</v>
      </c>
      <c r="D136" s="13" t="str">
        <f ca="1"/>
        <v>R001-1135-SS-2025</v>
      </c>
      <c r="E136" s="13">
        <f ca="1"/>
        <v>38</v>
      </c>
      <c r="F136" s="14">
        <f ca="1"/>
        <v>45989</v>
      </c>
      <c r="G136" s="14" t="str">
        <f ca="1"/>
        <v>-</v>
      </c>
      <c r="H136" s="1" t="str">
        <f>IF(Back_End_Data!G136="Completed","Yes","No")</f>
        <v>No</v>
      </c>
      <c r="I136" s="1" t="str">
        <f>IF(Back_End_Data!I136="Completed","Yes","No")</f>
        <v>No</v>
      </c>
      <c r="J136" s="1" t="str">
        <f>IF(Back_End_Data!J136="Completed","Yes","No")</f>
        <v>No</v>
      </c>
      <c r="K136" s="1" t="str">
        <f>IF(Back_End_Data!K136="Completed","Yes","No")</f>
        <v>No</v>
      </c>
      <c r="L136" s="1" t="str">
        <f>IF(Back_End_Data!L136="", "No", Back_End_Data!L136)</f>
        <v>NA</v>
      </c>
      <c r="M136" s="1" t="str">
        <f>IF(Back_End_Data!N136="", "No", Back_End_Data!N136)</f>
        <v>NA</v>
      </c>
      <c r="N136" s="1" t="str">
        <f>IF(Back_End_Data!M136="", "No", Back_End_Data!M136)</f>
        <v>NA</v>
      </c>
      <c r="O136" s="1" t="str">
        <f>IF(Back_End_Data!O136="Completed","Yes","No")</f>
        <v>No</v>
      </c>
      <c r="P136" s="1" t="str">
        <f>IF(Back_End_Data!H136="Completed","Yes","No")</f>
        <v>No</v>
      </c>
      <c r="Q136" s="1" t="str">
        <f>IF(Back_End_Data!P136="Completed","Yes","No")</f>
        <v>No</v>
      </c>
      <c r="R136" s="1" t="s">
        <v>2369</v>
      </c>
      <c r="S136" s="1" t="str">
        <f>IF(Back_End_Data!R136="Completed","Yes","No")</f>
        <v>No</v>
      </c>
      <c r="T136" s="1" t="str">
        <f>IF(Back_End_Data!S136="Yes","Yes","No")</f>
        <v>No</v>
      </c>
      <c r="U136" s="1" t="str">
        <f>IF(Back_End_Data!Q135="Completed","Yes","No")</f>
        <v>No</v>
      </c>
      <c r="V136" s="1" t="str">
        <f ca="1">IF(INDEX(MIS_Backend_Data!L:L, MATCH(D136, MIS_Backend_Data!B:B, 1)) = "WT", "Yes", "No")</f>
        <v>No</v>
      </c>
      <c r="W136" s="2" t="str">
        <f t="shared" ca="1" si="6"/>
        <v>Approved</v>
      </c>
      <c r="Z136" s="1">
        <f ca="1"/>
        <v>0</v>
      </c>
      <c r="AA136" s="1">
        <f t="shared" ca="1" si="7"/>
        <v>0</v>
      </c>
      <c r="AC136" s="1" t="str">
        <f ca="1"/>
        <v>Open</v>
      </c>
      <c r="AG136" s="1" t="str">
        <f t="shared" si="8"/>
        <v/>
      </c>
    </row>
    <row r="137" spans="1:33" ht="20.25" customHeight="1">
      <c r="A137" s="13">
        <v>136</v>
      </c>
      <c r="B137" s="1" t="str">
        <f ca="1"/>
        <v>Indusind General Insurance Co Ltd</v>
      </c>
      <c r="C137" s="13" t="str">
        <f ca="1"/>
        <v>2024216011</v>
      </c>
      <c r="D137" s="13" t="str">
        <f ca="1"/>
        <v>R001-1136-SS-2025</v>
      </c>
      <c r="E137" s="13">
        <f ca="1"/>
        <v>38</v>
      </c>
      <c r="F137" s="14">
        <f ca="1"/>
        <v>45989</v>
      </c>
      <c r="G137" s="14" t="str">
        <f ca="1"/>
        <v>-</v>
      </c>
      <c r="H137" s="1" t="str">
        <f>IF(Back_End_Data!G137="Completed","Yes","No")</f>
        <v>No</v>
      </c>
      <c r="I137" s="1" t="str">
        <f>IF(Back_End_Data!I137="Completed","Yes","No")</f>
        <v>No</v>
      </c>
      <c r="J137" s="1" t="str">
        <f>IF(Back_End_Data!J137="Completed","Yes","No")</f>
        <v>No</v>
      </c>
      <c r="K137" s="1" t="str">
        <f>IF(Back_End_Data!K137="Completed","Yes","No")</f>
        <v>No</v>
      </c>
      <c r="L137" s="1" t="str">
        <f>IF(Back_End_Data!L137="", "No", Back_End_Data!L137)</f>
        <v>NA</v>
      </c>
      <c r="M137" s="1" t="str">
        <f>IF(Back_End_Data!N137="", "No", Back_End_Data!N137)</f>
        <v>NA</v>
      </c>
      <c r="N137" s="1" t="str">
        <f>IF(Back_End_Data!M137="", "No", Back_End_Data!M137)</f>
        <v>NA</v>
      </c>
      <c r="O137" s="1" t="str">
        <f>IF(Back_End_Data!O137="Completed","Yes","No")</f>
        <v>No</v>
      </c>
      <c r="P137" s="1" t="str">
        <f>IF(Back_End_Data!H137="Completed","Yes","No")</f>
        <v>No</v>
      </c>
      <c r="Q137" s="1" t="str">
        <f>IF(Back_End_Data!P137="Completed","Yes","No")</f>
        <v>No</v>
      </c>
      <c r="R137" s="1" t="s">
        <v>2369</v>
      </c>
      <c r="S137" s="1" t="str">
        <f>IF(Back_End_Data!R137="Completed","Yes","No")</f>
        <v>No</v>
      </c>
      <c r="T137" s="1" t="str">
        <f>IF(Back_End_Data!S137="Yes","Yes","No")</f>
        <v>No</v>
      </c>
      <c r="U137" s="1" t="str">
        <f>IF(Back_End_Data!Q136="Completed","Yes","No")</f>
        <v>No</v>
      </c>
      <c r="V137" s="1" t="str">
        <f ca="1">IF(INDEX(MIS_Backend_Data!L:L, MATCH(D137, MIS_Backend_Data!B:B, 1)) = "WT", "Yes", "No")</f>
        <v>No</v>
      </c>
      <c r="W137" s="2" t="str">
        <f t="shared" ca="1" si="6"/>
        <v>Approved</v>
      </c>
      <c r="Z137" s="1">
        <f ca="1"/>
        <v>0</v>
      </c>
      <c r="AA137" s="1">
        <f t="shared" ca="1" si="7"/>
        <v>0</v>
      </c>
      <c r="AC137" s="1" t="str">
        <f ca="1"/>
        <v>Open</v>
      </c>
      <c r="AG137" s="1" t="str">
        <f t="shared" si="8"/>
        <v/>
      </c>
    </row>
    <row r="138" spans="1:33" ht="20.25" customHeight="1">
      <c r="A138" s="13">
        <v>137</v>
      </c>
      <c r="B138" s="1" t="str">
        <f ca="1"/>
        <v>Indusind General Insurance Co Ltd</v>
      </c>
      <c r="C138" s="13" t="str">
        <f ca="1"/>
        <v>2025202308</v>
      </c>
      <c r="D138" s="13" t="str">
        <f ca="1"/>
        <v>R001-1137-SS-2025</v>
      </c>
      <c r="E138" s="13">
        <f ca="1"/>
        <v>38</v>
      </c>
      <c r="F138" s="14">
        <f ca="1"/>
        <v>45989</v>
      </c>
      <c r="G138" s="14" t="str">
        <f ca="1"/>
        <v>-</v>
      </c>
      <c r="H138" s="1" t="str">
        <f>IF(Back_End_Data!G138="Completed","Yes","No")</f>
        <v>No</v>
      </c>
      <c r="I138" s="1" t="str">
        <f>IF(Back_End_Data!I138="Completed","Yes","No")</f>
        <v>No</v>
      </c>
      <c r="J138" s="1" t="str">
        <f>IF(Back_End_Data!J138="Completed","Yes","No")</f>
        <v>No</v>
      </c>
      <c r="K138" s="1" t="str">
        <f>IF(Back_End_Data!K138="Completed","Yes","No")</f>
        <v>No</v>
      </c>
      <c r="L138" s="1" t="str">
        <f>IF(Back_End_Data!L138="", "No", Back_End_Data!L138)</f>
        <v>NA</v>
      </c>
      <c r="M138" s="1" t="str">
        <f>IF(Back_End_Data!N138="", "No", Back_End_Data!N138)</f>
        <v>NA</v>
      </c>
      <c r="N138" s="1" t="str">
        <f>IF(Back_End_Data!M138="", "No", Back_End_Data!M138)</f>
        <v>NA</v>
      </c>
      <c r="O138" s="1" t="str">
        <f>IF(Back_End_Data!O138="Completed","Yes","No")</f>
        <v>No</v>
      </c>
      <c r="P138" s="1" t="str">
        <f>IF(Back_End_Data!H138="Completed","Yes","No")</f>
        <v>No</v>
      </c>
      <c r="Q138" s="1" t="str">
        <f>IF(Back_End_Data!P138="Completed","Yes","No")</f>
        <v>No</v>
      </c>
      <c r="R138" s="1" t="s">
        <v>2369</v>
      </c>
      <c r="S138" s="1" t="str">
        <f>IF(Back_End_Data!R138="Completed","Yes","No")</f>
        <v>No</v>
      </c>
      <c r="T138" s="1" t="str">
        <f>IF(Back_End_Data!S138="Yes","Yes","No")</f>
        <v>No</v>
      </c>
      <c r="U138" s="1" t="str">
        <f>IF(Back_End_Data!Q137="Completed","Yes","No")</f>
        <v>No</v>
      </c>
      <c r="V138" s="1" t="str">
        <f ca="1">IF(INDEX(MIS_Backend_Data!L:L, MATCH(D138, MIS_Backend_Data!B:B, 1)) = "WT", "Yes", "No")</f>
        <v>No</v>
      </c>
      <c r="W138" s="2" t="str">
        <f t="shared" ca="1" si="6"/>
        <v>Approved</v>
      </c>
      <c r="Z138" s="1">
        <f ca="1"/>
        <v>0</v>
      </c>
      <c r="AA138" s="1">
        <f t="shared" ca="1" si="7"/>
        <v>0</v>
      </c>
      <c r="AC138" s="1" t="str">
        <f ca="1"/>
        <v>STOP</v>
      </c>
      <c r="AG138" s="1" t="str">
        <f t="shared" si="8"/>
        <v/>
      </c>
    </row>
    <row r="139" spans="1:33" ht="20.25" customHeight="1">
      <c r="A139" s="13">
        <v>138</v>
      </c>
      <c r="B139" s="1" t="str">
        <f ca="1"/>
        <v>SBI General Insurance Company Ltd</v>
      </c>
      <c r="C139" s="13" t="str">
        <f ca="1"/>
        <v>2585893</v>
      </c>
      <c r="D139" s="13" t="str">
        <f ca="1"/>
        <v>S002-1138-SS-2025</v>
      </c>
      <c r="E139" s="13">
        <f ca="1"/>
        <v>38</v>
      </c>
      <c r="F139" s="14">
        <f ca="1"/>
        <v>45989</v>
      </c>
      <c r="G139" s="14" t="str">
        <f ca="1"/>
        <v>-</v>
      </c>
      <c r="H139" s="1" t="str">
        <f>IF(Back_End_Data!G139="Completed","Yes","No")</f>
        <v>No</v>
      </c>
      <c r="I139" s="1" t="str">
        <f>IF(Back_End_Data!I139="Completed","Yes","No")</f>
        <v>No</v>
      </c>
      <c r="J139" s="1" t="str">
        <f>IF(Back_End_Data!J139="Completed","Yes","No")</f>
        <v>No</v>
      </c>
      <c r="K139" s="1" t="str">
        <f>IF(Back_End_Data!K139="Completed","Yes","No")</f>
        <v>No</v>
      </c>
      <c r="L139" s="1" t="str">
        <f>IF(Back_End_Data!L139="", "No", Back_End_Data!L139)</f>
        <v>NA</v>
      </c>
      <c r="M139" s="1" t="str">
        <f>IF(Back_End_Data!N139="", "No", Back_End_Data!N139)</f>
        <v>NA</v>
      </c>
      <c r="N139" s="1" t="str">
        <f>IF(Back_End_Data!M139="", "No", Back_End_Data!M139)</f>
        <v>NA</v>
      </c>
      <c r="O139" s="1" t="str">
        <f>IF(Back_End_Data!O139="Completed","Yes","No")</f>
        <v>No</v>
      </c>
      <c r="P139" s="1" t="str">
        <f>IF(Back_End_Data!H139="Completed","Yes","No")</f>
        <v>No</v>
      </c>
      <c r="Q139" s="1" t="str">
        <f>IF(Back_End_Data!P139="Completed","Yes","No")</f>
        <v>No</v>
      </c>
      <c r="R139" s="1" t="s">
        <v>2369</v>
      </c>
      <c r="S139" s="1" t="str">
        <f>IF(Back_End_Data!R139="Completed","Yes","No")</f>
        <v>No</v>
      </c>
      <c r="T139" s="1" t="str">
        <f>IF(Back_End_Data!S139="Yes","Yes","No")</f>
        <v>No</v>
      </c>
      <c r="U139" s="1" t="str">
        <f>IF(Back_End_Data!Q138="Completed","Yes","No")</f>
        <v>No</v>
      </c>
      <c r="V139" s="1" t="str">
        <f ca="1">IF(INDEX(MIS_Backend_Data!L:L, MATCH(D139, MIS_Backend_Data!B:B, 1)) = "WT", "Yes", "No")</f>
        <v>No</v>
      </c>
      <c r="W139" s="2" t="str">
        <f t="shared" ca="1" si="6"/>
        <v>Approved</v>
      </c>
      <c r="Z139" s="1">
        <f ca="1"/>
        <v>0</v>
      </c>
      <c r="AA139" s="1">
        <f t="shared" ca="1" si="7"/>
        <v>0</v>
      </c>
      <c r="AC139" s="1" t="str">
        <f ca="1"/>
        <v>STOP</v>
      </c>
      <c r="AG139" s="1" t="str">
        <f t="shared" si="8"/>
        <v/>
      </c>
    </row>
    <row r="140" spans="1:33" ht="20.25" customHeight="1">
      <c r="A140" s="13">
        <v>139</v>
      </c>
      <c r="B140" s="1" t="str">
        <f ca="1"/>
        <v>Indusind General Insurance Co Ltd</v>
      </c>
      <c r="C140" s="13" t="str">
        <f ca="1"/>
        <v>2025213092</v>
      </c>
      <c r="D140" s="13" t="str">
        <f ca="1"/>
        <v>R001-1139-SS-2025</v>
      </c>
      <c r="E140" s="13">
        <f ca="1"/>
        <v>37</v>
      </c>
      <c r="F140" s="14">
        <f ca="1"/>
        <v>45990</v>
      </c>
      <c r="G140" s="14" t="str">
        <f ca="1"/>
        <v>-</v>
      </c>
      <c r="H140" s="1" t="str">
        <f>IF(Back_End_Data!G140="Completed","Yes","No")</f>
        <v>No</v>
      </c>
      <c r="I140" s="1" t="str">
        <f>IF(Back_End_Data!I140="Completed","Yes","No")</f>
        <v>Yes</v>
      </c>
      <c r="J140" s="1" t="str">
        <f>IF(Back_End_Data!J140="Completed","Yes","No")</f>
        <v>No</v>
      </c>
      <c r="K140" s="1" t="str">
        <f>IF(Back_End_Data!K140="Completed","Yes","No")</f>
        <v>Yes</v>
      </c>
      <c r="L140" s="1" t="str">
        <f>IF(Back_End_Data!L140="", "No", Back_End_Data!L140)</f>
        <v>NA</v>
      </c>
      <c r="M140" s="1" t="str">
        <f>IF(Back_End_Data!N140="", "No", Back_End_Data!N140)</f>
        <v xml:space="preserve">NA </v>
      </c>
      <c r="N140" s="1" t="str">
        <f>IF(Back_End_Data!M140="", "No", Back_End_Data!M140)</f>
        <v>NA</v>
      </c>
      <c r="O140" s="1" t="str">
        <f>IF(Back_End_Data!O140="Completed","Yes","No")</f>
        <v>No</v>
      </c>
      <c r="P140" s="1" t="str">
        <f>IF(Back_End_Data!H140="Completed","Yes","No")</f>
        <v>No</v>
      </c>
      <c r="Q140" s="1" t="str">
        <f>IF(Back_End_Data!P140="Completed","Yes","No")</f>
        <v>No</v>
      </c>
      <c r="R140" s="1" t="s">
        <v>2369</v>
      </c>
      <c r="S140" s="1" t="str">
        <f>IF(Back_End_Data!R140="Completed","Yes","No")</f>
        <v>No</v>
      </c>
      <c r="T140" s="1" t="str">
        <f>IF(Back_End_Data!S140="Yes","Yes","No")</f>
        <v>No</v>
      </c>
      <c r="U140" s="1" t="str">
        <f>IF(Back_End_Data!Q139="Completed","Yes","No")</f>
        <v>No</v>
      </c>
      <c r="V140" s="1" t="str">
        <f ca="1">IF(INDEX(MIS_Backend_Data!L:L, MATCH(D140, MIS_Backend_Data!B:B, 1)) = "WT", "Yes", "No")</f>
        <v>No</v>
      </c>
      <c r="W140" s="2" t="str">
        <f t="shared" ca="1" si="6"/>
        <v>Reject</v>
      </c>
      <c r="Z140" s="1">
        <f ca="1"/>
        <v>0</v>
      </c>
      <c r="AA140" s="1">
        <f t="shared" ca="1" si="7"/>
        <v>2</v>
      </c>
      <c r="AC140" s="1" t="str">
        <f ca="1"/>
        <v>Open</v>
      </c>
      <c r="AG140" s="1" t="str">
        <f t="shared" si="8"/>
        <v/>
      </c>
    </row>
    <row r="141" spans="1:33" ht="20.25" customHeight="1">
      <c r="A141" s="13">
        <v>140</v>
      </c>
      <c r="B141" s="1" t="str">
        <f ca="1"/>
        <v>Indusind General Insurance Co Ltd</v>
      </c>
      <c r="C141" s="13" t="str">
        <f ca="1"/>
        <v>2025204832</v>
      </c>
      <c r="D141" s="13" t="str">
        <f ca="1"/>
        <v>R001-1140-SS-2025</v>
      </c>
      <c r="E141" s="13">
        <f ca="1"/>
        <v>37</v>
      </c>
      <c r="F141" s="14">
        <f ca="1"/>
        <v>45990</v>
      </c>
      <c r="G141" s="14" t="str">
        <f ca="1"/>
        <v>-</v>
      </c>
      <c r="H141" s="1" t="str">
        <f>IF(Back_End_Data!G141="Completed","Yes","No")</f>
        <v>No</v>
      </c>
      <c r="I141" s="1" t="str">
        <f>IF(Back_End_Data!I141="Completed","Yes","No")</f>
        <v>No</v>
      </c>
      <c r="J141" s="1" t="str">
        <f>IF(Back_End_Data!J141="Completed","Yes","No")</f>
        <v>No</v>
      </c>
      <c r="K141" s="1" t="str">
        <f>IF(Back_End_Data!K141="Completed","Yes","No")</f>
        <v>No</v>
      </c>
      <c r="L141" s="1" t="str">
        <f>IF(Back_End_Data!L141="", "No", Back_End_Data!L141)</f>
        <v>NA</v>
      </c>
      <c r="M141" s="1" t="str">
        <f>IF(Back_End_Data!N141="", "No", Back_End_Data!N141)</f>
        <v xml:space="preserve">NA </v>
      </c>
      <c r="N141" s="1" t="str">
        <f>IF(Back_End_Data!M141="", "No", Back_End_Data!M141)</f>
        <v>NA</v>
      </c>
      <c r="O141" s="1" t="str">
        <f>IF(Back_End_Data!O141="Completed","Yes","No")</f>
        <v>No</v>
      </c>
      <c r="P141" s="1" t="str">
        <f>IF(Back_End_Data!H141="Completed","Yes","No")</f>
        <v>No</v>
      </c>
      <c r="Q141" s="1" t="str">
        <f>IF(Back_End_Data!P141="Completed","Yes","No")</f>
        <v>No</v>
      </c>
      <c r="R141" s="1" t="s">
        <v>2369</v>
      </c>
      <c r="S141" s="1" t="str">
        <f>IF(Back_End_Data!R141="Completed","Yes","No")</f>
        <v>No</v>
      </c>
      <c r="T141" s="1" t="str">
        <f>IF(Back_End_Data!S141="Yes","Yes","No")</f>
        <v>No</v>
      </c>
      <c r="U141" s="1" t="str">
        <f>IF(Back_End_Data!Q140="Completed","Yes","No")</f>
        <v>No</v>
      </c>
      <c r="V141" s="1" t="str">
        <f ca="1">IF(INDEX(MIS_Backend_Data!L:L, MATCH(D141, MIS_Backend_Data!B:B, 1)) = "WT", "Yes", "No")</f>
        <v>No</v>
      </c>
      <c r="W141" s="2" t="str">
        <f t="shared" ca="1" si="6"/>
        <v>Approved</v>
      </c>
      <c r="Z141" s="1">
        <f ca="1"/>
        <v>0</v>
      </c>
      <c r="AA141" s="1">
        <f t="shared" ca="1" si="7"/>
        <v>0</v>
      </c>
      <c r="AC141" s="1" t="str">
        <f ca="1"/>
        <v>Open</v>
      </c>
      <c r="AG141" s="1" t="str">
        <f t="shared" si="8"/>
        <v/>
      </c>
    </row>
    <row r="142" spans="1:33" ht="20.25" customHeight="1">
      <c r="A142" s="13">
        <v>141</v>
      </c>
      <c r="B142" s="1" t="str">
        <f ca="1"/>
        <v>Indusind General Insurance Co Ltd</v>
      </c>
      <c r="C142" s="13" t="str">
        <f ca="1"/>
        <v>2025213146</v>
      </c>
      <c r="D142" s="13" t="str">
        <f ca="1"/>
        <v>R001-1141-SS-2025</v>
      </c>
      <c r="E142" s="13">
        <f ca="1"/>
        <v>37</v>
      </c>
      <c r="F142" s="14">
        <f ca="1"/>
        <v>45990</v>
      </c>
      <c r="G142" s="14" t="str">
        <f ca="1"/>
        <v>-</v>
      </c>
      <c r="H142" s="1" t="str">
        <f>IF(Back_End_Data!G142="Completed","Yes","No")</f>
        <v>No</v>
      </c>
      <c r="I142" s="1" t="str">
        <f>IF(Back_End_Data!I142="Completed","Yes","No")</f>
        <v>No</v>
      </c>
      <c r="J142" s="1" t="str">
        <f>IF(Back_End_Data!J142="Completed","Yes","No")</f>
        <v>No</v>
      </c>
      <c r="K142" s="1" t="str">
        <f>IF(Back_End_Data!K142="Completed","Yes","No")</f>
        <v>No</v>
      </c>
      <c r="L142" s="1" t="str">
        <f>IF(Back_End_Data!L142="", "No", Back_End_Data!L142)</f>
        <v>NA</v>
      </c>
      <c r="M142" s="1" t="str">
        <f>IF(Back_End_Data!N142="", "No", Back_End_Data!N142)</f>
        <v xml:space="preserve">NA </v>
      </c>
      <c r="N142" s="1" t="str">
        <f>IF(Back_End_Data!M142="", "No", Back_End_Data!M142)</f>
        <v>NA</v>
      </c>
      <c r="O142" s="1" t="str">
        <f>IF(Back_End_Data!O142="Completed","Yes","No")</f>
        <v>No</v>
      </c>
      <c r="P142" s="1" t="str">
        <f>IF(Back_End_Data!H142="Completed","Yes","No")</f>
        <v>No</v>
      </c>
      <c r="Q142" s="1" t="str">
        <f>IF(Back_End_Data!P142="Completed","Yes","No")</f>
        <v>No</v>
      </c>
      <c r="R142" s="1" t="s">
        <v>2369</v>
      </c>
      <c r="S142" s="1" t="str">
        <f>IF(Back_End_Data!R142="Completed","Yes","No")</f>
        <v>No</v>
      </c>
      <c r="T142" s="1" t="str">
        <f>IF(Back_End_Data!S142="Yes","Yes","No")</f>
        <v>No</v>
      </c>
      <c r="U142" s="1" t="str">
        <f>IF(Back_End_Data!Q141="Completed","Yes","No")</f>
        <v>No</v>
      </c>
      <c r="V142" s="1" t="str">
        <f ca="1">IF(INDEX(MIS_Backend_Data!L:L, MATCH(D142, MIS_Backend_Data!B:B, 1)) = "WT", "Yes", "No")</f>
        <v>No</v>
      </c>
      <c r="W142" s="2" t="str">
        <f t="shared" ca="1" si="6"/>
        <v>Approved</v>
      </c>
      <c r="Z142" s="1">
        <f ca="1"/>
        <v>0</v>
      </c>
      <c r="AA142" s="1">
        <f t="shared" ca="1" si="7"/>
        <v>0</v>
      </c>
      <c r="AC142" s="1" t="str">
        <f ca="1"/>
        <v>Open</v>
      </c>
      <c r="AG142" s="1" t="str">
        <f t="shared" si="8"/>
        <v/>
      </c>
    </row>
    <row r="143" spans="1:33" ht="20.25" customHeight="1">
      <c r="A143" s="13">
        <v>142</v>
      </c>
      <c r="B143" s="1" t="str">
        <f ca="1"/>
        <v>Indusind General Insurance Co Ltd</v>
      </c>
      <c r="C143" s="13" t="str">
        <f ca="1"/>
        <v>2025213359</v>
      </c>
      <c r="D143" s="13" t="str">
        <f ca="1"/>
        <v>R001-1142-SS-2025</v>
      </c>
      <c r="E143" s="13">
        <f ca="1"/>
        <v>35</v>
      </c>
      <c r="F143" s="14">
        <f ca="1"/>
        <v>45992</v>
      </c>
      <c r="G143" s="14" t="str">
        <f ca="1"/>
        <v>-</v>
      </c>
      <c r="H143" s="1" t="str">
        <f>IF(Back_End_Data!G143="Completed","Yes","No")</f>
        <v>No</v>
      </c>
      <c r="I143" s="1" t="str">
        <f>IF(Back_End_Data!I143="Completed","Yes","No")</f>
        <v>No</v>
      </c>
      <c r="J143" s="1" t="str">
        <f>IF(Back_End_Data!J143="Completed","Yes","No")</f>
        <v>No</v>
      </c>
      <c r="K143" s="1" t="str">
        <f>IF(Back_End_Data!K143="Completed","Yes","No")</f>
        <v>No</v>
      </c>
      <c r="L143" s="1" t="str">
        <f>IF(Back_End_Data!L143="", "No", Back_End_Data!L143)</f>
        <v>NA</v>
      </c>
      <c r="M143" s="1" t="str">
        <f>IF(Back_End_Data!N143="", "No", Back_End_Data!N143)</f>
        <v>NA</v>
      </c>
      <c r="N143" s="1" t="str">
        <f>IF(Back_End_Data!M143="", "No", Back_End_Data!M143)</f>
        <v xml:space="preserve">NA </v>
      </c>
      <c r="O143" s="1" t="str">
        <f>IF(Back_End_Data!O143="Completed","Yes","No")</f>
        <v>No</v>
      </c>
      <c r="P143" s="1" t="str">
        <f>IF(Back_End_Data!H143="Completed","Yes","No")</f>
        <v>No</v>
      </c>
      <c r="Q143" s="1" t="str">
        <f>IF(Back_End_Data!P143="Completed","Yes","No")</f>
        <v>No</v>
      </c>
      <c r="R143" s="1" t="s">
        <v>2369</v>
      </c>
      <c r="S143" s="1" t="str">
        <f>IF(Back_End_Data!R143="Completed","Yes","No")</f>
        <v>No</v>
      </c>
      <c r="T143" s="1" t="str">
        <f>IF(Back_End_Data!S143="Yes","Yes","No")</f>
        <v>No</v>
      </c>
      <c r="U143" s="1" t="str">
        <f>IF(Back_End_Data!Q142="Completed","Yes","No")</f>
        <v>No</v>
      </c>
      <c r="V143" s="1" t="str">
        <f ca="1">IF(INDEX(MIS_Backend_Data!L:L, MATCH(D143, MIS_Backend_Data!B:B, 1)) = "WT", "Yes", "No")</f>
        <v>No</v>
      </c>
      <c r="W143" s="2" t="str">
        <f t="shared" ca="1" si="6"/>
        <v>Approved</v>
      </c>
      <c r="Z143" s="1">
        <f ca="1"/>
        <v>0</v>
      </c>
      <c r="AA143" s="1">
        <f t="shared" ca="1" si="7"/>
        <v>0</v>
      </c>
      <c r="AC143" s="1" t="str">
        <f ca="1"/>
        <v>Open</v>
      </c>
      <c r="AG143" s="1" t="str">
        <f t="shared" si="8"/>
        <v/>
      </c>
    </row>
    <row r="144" spans="1:33" ht="20.25" customHeight="1">
      <c r="A144" s="13">
        <v>143</v>
      </c>
      <c r="B144" s="1" t="str">
        <f ca="1"/>
        <v>SBI General Insurance Company Ltd</v>
      </c>
      <c r="C144" s="13" t="str">
        <f ca="1"/>
        <v>2752851</v>
      </c>
      <c r="D144" s="13" t="str">
        <f ca="1"/>
        <v>S002-1143-SS-2025</v>
      </c>
      <c r="E144" s="13">
        <f ca="1"/>
        <v>35</v>
      </c>
      <c r="F144" s="14">
        <f ca="1"/>
        <v>45992</v>
      </c>
      <c r="G144" s="14" t="str">
        <f ca="1"/>
        <v>-</v>
      </c>
      <c r="H144" s="1" t="str">
        <f>IF(Back_End_Data!G144="Completed","Yes","No")</f>
        <v>No</v>
      </c>
      <c r="I144" s="1" t="str">
        <f>IF(Back_End_Data!I144="Completed","Yes","No")</f>
        <v>No</v>
      </c>
      <c r="J144" s="1" t="str">
        <f>IF(Back_End_Data!J144="Completed","Yes","No")</f>
        <v>No</v>
      </c>
      <c r="K144" s="1" t="str">
        <f>IF(Back_End_Data!K144="Completed","Yes","No")</f>
        <v>Yes</v>
      </c>
      <c r="L144" s="1" t="str">
        <f>IF(Back_End_Data!L144="", "No", Back_End_Data!L144)</f>
        <v>NA</v>
      </c>
      <c r="M144" s="1" t="str">
        <f>IF(Back_End_Data!N144="", "No", Back_End_Data!N144)</f>
        <v>NA</v>
      </c>
      <c r="N144" s="1" t="str">
        <f>IF(Back_End_Data!M144="", "No", Back_End_Data!M144)</f>
        <v>NA</v>
      </c>
      <c r="O144" s="1" t="str">
        <f>IF(Back_End_Data!O144="Completed","Yes","No")</f>
        <v>No</v>
      </c>
      <c r="P144" s="1" t="str">
        <f>IF(Back_End_Data!H144="Completed","Yes","No")</f>
        <v>No</v>
      </c>
      <c r="Q144" s="1" t="str">
        <f>IF(Back_End_Data!P144="Completed","Yes","No")</f>
        <v>Yes</v>
      </c>
      <c r="R144" s="1" t="s">
        <v>2369</v>
      </c>
      <c r="S144" s="1" t="str">
        <f>IF(Back_End_Data!R144="Completed","Yes","No")</f>
        <v>No</v>
      </c>
      <c r="T144" s="1" t="str">
        <f>IF(Back_End_Data!S144="Yes","Yes","No")</f>
        <v>No</v>
      </c>
      <c r="U144" s="1" t="str">
        <f>IF(Back_End_Data!Q143="Completed","Yes","No")</f>
        <v>No</v>
      </c>
      <c r="V144" s="1" t="str">
        <f ca="1">IF(INDEX(MIS_Backend_Data!L:L, MATCH(D144, MIS_Backend_Data!B:B, 1)) = "WT", "Yes", "No")</f>
        <v>No</v>
      </c>
      <c r="W144" s="2" t="str">
        <f t="shared" ca="1" si="6"/>
        <v>Reject</v>
      </c>
      <c r="Z144" s="1">
        <f ca="1"/>
        <v>0</v>
      </c>
      <c r="AA144" s="1">
        <f t="shared" ca="1" si="7"/>
        <v>2</v>
      </c>
      <c r="AC144" s="1" t="str">
        <f ca="1"/>
        <v>Open</v>
      </c>
      <c r="AG144" s="1" t="str">
        <f t="shared" si="8"/>
        <v/>
      </c>
    </row>
    <row r="145" spans="1:33" ht="20.25" customHeight="1">
      <c r="A145" s="13">
        <v>144</v>
      </c>
      <c r="B145" s="1" t="str">
        <f ca="1"/>
        <v>SBI General Insurance Company Ltd</v>
      </c>
      <c r="C145" s="13" t="str">
        <f ca="1"/>
        <v>2752855</v>
      </c>
      <c r="D145" s="13" t="str">
        <f ca="1"/>
        <v>S002-1144-SS-2025</v>
      </c>
      <c r="E145" s="13">
        <f ca="1"/>
        <v>35</v>
      </c>
      <c r="F145" s="14">
        <f ca="1"/>
        <v>45992</v>
      </c>
      <c r="G145" s="14" t="str">
        <f ca="1"/>
        <v>-</v>
      </c>
      <c r="H145" s="1" t="str">
        <f>IF(Back_End_Data!G145="Completed","Yes","No")</f>
        <v>No</v>
      </c>
      <c r="I145" s="1" t="str">
        <f>IF(Back_End_Data!I145="Completed","Yes","No")</f>
        <v>No</v>
      </c>
      <c r="J145" s="1" t="str">
        <f>IF(Back_End_Data!J145="Completed","Yes","No")</f>
        <v>No</v>
      </c>
      <c r="K145" s="1" t="str">
        <f>IF(Back_End_Data!K145="Completed","Yes","No")</f>
        <v>No</v>
      </c>
      <c r="L145" s="1" t="str">
        <f>IF(Back_End_Data!L145="", "No", Back_End_Data!L145)</f>
        <v>NA</v>
      </c>
      <c r="M145" s="1" t="str">
        <f>IF(Back_End_Data!N145="", "No", Back_End_Data!N145)</f>
        <v>NA</v>
      </c>
      <c r="N145" s="1" t="str">
        <f>IF(Back_End_Data!M145="", "No", Back_End_Data!M145)</f>
        <v>NA</v>
      </c>
      <c r="O145" s="1" t="str">
        <f>IF(Back_End_Data!O145="Completed","Yes","No")</f>
        <v>No</v>
      </c>
      <c r="P145" s="1" t="str">
        <f>IF(Back_End_Data!H145="Completed","Yes","No")</f>
        <v>No</v>
      </c>
      <c r="Q145" s="1" t="str">
        <f>IF(Back_End_Data!P145="Completed","Yes","No")</f>
        <v>No</v>
      </c>
      <c r="R145" s="1" t="s">
        <v>2369</v>
      </c>
      <c r="S145" s="1" t="str">
        <f>IF(Back_End_Data!R145="Completed","Yes","No")</f>
        <v>No</v>
      </c>
      <c r="T145" s="1" t="str">
        <f>IF(Back_End_Data!S145="Yes","Yes","No")</f>
        <v>No</v>
      </c>
      <c r="U145" s="1" t="str">
        <f>IF(Back_End_Data!Q144="Completed","Yes","No")</f>
        <v>No</v>
      </c>
      <c r="V145" s="1" t="str">
        <f ca="1">IF(INDEX(MIS_Backend_Data!L:L, MATCH(D145, MIS_Backend_Data!B:B, 1)) = "WT", "Yes", "No")</f>
        <v>No</v>
      </c>
      <c r="W145" s="2" t="str">
        <f t="shared" ca="1" si="6"/>
        <v>Approved</v>
      </c>
      <c r="Z145" s="1">
        <f ca="1"/>
        <v>0</v>
      </c>
      <c r="AA145" s="1">
        <f t="shared" ca="1" si="7"/>
        <v>0</v>
      </c>
      <c r="AC145" s="1" t="str">
        <f ca="1"/>
        <v>Open</v>
      </c>
      <c r="AG145" s="1" t="str">
        <f t="shared" si="8"/>
        <v/>
      </c>
    </row>
    <row r="146" spans="1:33" ht="20.25" customHeight="1">
      <c r="A146" s="13">
        <v>145</v>
      </c>
      <c r="B146" s="1" t="str">
        <f ca="1"/>
        <v>SBI General Insurance Company Ltd</v>
      </c>
      <c r="C146" s="13" t="str">
        <f ca="1"/>
        <v>2750504</v>
      </c>
      <c r="D146" s="13" t="str">
        <f ca="1"/>
        <v>S002-1145-SS-2025</v>
      </c>
      <c r="E146" s="13">
        <f ca="1"/>
        <v>34</v>
      </c>
      <c r="F146" s="14">
        <f ca="1"/>
        <v>45993</v>
      </c>
      <c r="G146" s="14" t="str">
        <f ca="1"/>
        <v>-</v>
      </c>
      <c r="H146" s="1" t="str">
        <f>IF(Back_End_Data!G146="Completed","Yes","No")</f>
        <v>No</v>
      </c>
      <c r="I146" s="1" t="str">
        <f>IF(Back_End_Data!I146="Completed","Yes","No")</f>
        <v>No</v>
      </c>
      <c r="J146" s="1" t="str">
        <f>IF(Back_End_Data!J146="Completed","Yes","No")</f>
        <v>No</v>
      </c>
      <c r="K146" s="1" t="str">
        <f>IF(Back_End_Data!K146="Completed","Yes","No")</f>
        <v>No</v>
      </c>
      <c r="L146" s="1" t="str">
        <f>IF(Back_End_Data!L146="", "No", Back_End_Data!L146)</f>
        <v>NA</v>
      </c>
      <c r="M146" s="1" t="str">
        <f>IF(Back_End_Data!N146="", "No", Back_End_Data!N146)</f>
        <v>NA</v>
      </c>
      <c r="N146" s="1" t="str">
        <f>IF(Back_End_Data!M146="", "No", Back_End_Data!M146)</f>
        <v>NA</v>
      </c>
      <c r="O146" s="1" t="str">
        <f>IF(Back_End_Data!O146="Completed","Yes","No")</f>
        <v>No</v>
      </c>
      <c r="P146" s="1" t="str">
        <f>IF(Back_End_Data!H146="Completed","Yes","No")</f>
        <v>No</v>
      </c>
      <c r="Q146" s="1" t="str">
        <f>IF(Back_End_Data!P146="Completed","Yes","No")</f>
        <v>No</v>
      </c>
      <c r="R146" s="1" t="s">
        <v>2369</v>
      </c>
      <c r="S146" s="1" t="str">
        <f>IF(Back_End_Data!R146="Completed","Yes","No")</f>
        <v>No</v>
      </c>
      <c r="T146" s="1" t="str">
        <f>IF(Back_End_Data!S146="Yes","Yes","No")</f>
        <v>No</v>
      </c>
      <c r="U146" s="1" t="str">
        <f>IF(Back_End_Data!Q145="Completed","Yes","No")</f>
        <v>No</v>
      </c>
      <c r="V146" s="1" t="str">
        <f ca="1">IF(INDEX(MIS_Backend_Data!L:L, MATCH(D146, MIS_Backend_Data!B:B, 1)) = "WT", "Yes", "No")</f>
        <v>No</v>
      </c>
      <c r="W146" s="2" t="str">
        <f t="shared" ca="1" si="6"/>
        <v>Approved</v>
      </c>
      <c r="Z146" s="1">
        <f ca="1"/>
        <v>0</v>
      </c>
      <c r="AA146" s="1">
        <f t="shared" ca="1" si="7"/>
        <v>0</v>
      </c>
      <c r="AC146" s="1" t="str">
        <f ca="1"/>
        <v>Open</v>
      </c>
      <c r="AG146" s="1" t="str">
        <f t="shared" si="8"/>
        <v/>
      </c>
    </row>
    <row r="147" spans="1:33" ht="20.25" customHeight="1">
      <c r="A147" s="13">
        <v>146</v>
      </c>
      <c r="B147" s="1" t="str">
        <f ca="1"/>
        <v>SBI General Insurance Company Ltd</v>
      </c>
      <c r="C147" s="13" t="str">
        <f ca="1"/>
        <v>2517801</v>
      </c>
      <c r="D147" s="13" t="str">
        <f ca="1"/>
        <v>S002-1146-SS-2025</v>
      </c>
      <c r="E147" s="13">
        <f ca="1"/>
        <v>8</v>
      </c>
      <c r="F147" s="14">
        <f ca="1"/>
        <v>45995</v>
      </c>
      <c r="G147" s="14">
        <f ca="1"/>
        <v>46003</v>
      </c>
      <c r="H147" s="1" t="str">
        <f>IF(Back_End_Data!G147="Completed","Yes","No")</f>
        <v>Yes</v>
      </c>
      <c r="I147" s="1" t="str">
        <f>IF(Back_End_Data!I147="Completed","Yes","No")</f>
        <v>No</v>
      </c>
      <c r="J147" s="1" t="str">
        <f>IF(Back_End_Data!J147="Completed","Yes","No")</f>
        <v>No</v>
      </c>
      <c r="K147" s="1" t="str">
        <f>IF(Back_End_Data!K147="Completed","Yes","No")</f>
        <v>No</v>
      </c>
      <c r="L147" s="1" t="str">
        <f>IF(Back_End_Data!L147="", "No", Back_End_Data!L147)</f>
        <v>NA</v>
      </c>
      <c r="M147" s="1" t="str">
        <f>IF(Back_End_Data!N147="", "No", Back_End_Data!N147)</f>
        <v>NA</v>
      </c>
      <c r="N147" s="1" t="str">
        <f>IF(Back_End_Data!M147="", "No", Back_End_Data!M147)</f>
        <v>NA</v>
      </c>
      <c r="O147" s="1" t="str">
        <f>IF(Back_End_Data!O147="Completed","Yes","No")</f>
        <v>No</v>
      </c>
      <c r="P147" s="1" t="str">
        <f>IF(Back_End_Data!H147="Completed","Yes","No")</f>
        <v>No</v>
      </c>
      <c r="Q147" s="1" t="str">
        <f>IF(Back_End_Data!P147="Completed","Yes","No")</f>
        <v>Yes</v>
      </c>
      <c r="R147" s="1" t="s">
        <v>2369</v>
      </c>
      <c r="S147" s="1" t="str">
        <f>IF(Back_End_Data!R147="Completed","Yes","No")</f>
        <v>No</v>
      </c>
      <c r="T147" s="1" t="str">
        <f>IF(Back_End_Data!S147="Yes","Yes","No")</f>
        <v>No</v>
      </c>
      <c r="U147" s="1" t="str">
        <f>IF(Back_End_Data!Q146="Completed","Yes","No")</f>
        <v>No</v>
      </c>
      <c r="V147" s="1" t="str">
        <f ca="1">IF(INDEX(MIS_Backend_Data!L:L, MATCH(D147, MIS_Backend_Data!B:B, 1)) = "WT", "Yes", "No")</f>
        <v>No</v>
      </c>
      <c r="W147" s="2" t="str">
        <f t="shared" ca="1" si="6"/>
        <v>Reject</v>
      </c>
      <c r="Z147" s="1">
        <f ca="1"/>
        <v>0</v>
      </c>
      <c r="AA147" s="1">
        <f t="shared" ca="1" si="7"/>
        <v>2</v>
      </c>
      <c r="AC147" s="1" t="str">
        <f ca="1"/>
        <v>Dispatch</v>
      </c>
      <c r="AG147" s="1" t="str">
        <f t="shared" si="8"/>
        <v/>
      </c>
    </row>
    <row r="148" spans="1:33" ht="20.25" customHeight="1">
      <c r="A148" s="13">
        <v>147</v>
      </c>
      <c r="B148" s="1" t="str">
        <f ca="1"/>
        <v>Bajaj Allianz General Insurance Company Ltd</v>
      </c>
      <c r="C148" s="13" t="str">
        <f ca="1"/>
        <v>Hold-228494</v>
      </c>
      <c r="D148" s="13" t="str">
        <f ca="1"/>
        <v>B001-1147-SS-2025</v>
      </c>
      <c r="E148" s="13">
        <f ca="1"/>
        <v>14</v>
      </c>
      <c r="F148" s="14">
        <f ca="1"/>
        <v>45995</v>
      </c>
      <c r="G148" s="14">
        <f ca="1"/>
        <v>46009</v>
      </c>
      <c r="H148" s="1" t="str">
        <f>IF(Back_End_Data!G148="Completed","Yes","No")</f>
        <v>No</v>
      </c>
      <c r="I148" s="1" t="str">
        <f>IF(Back_End_Data!I148="Completed","Yes","No")</f>
        <v>No</v>
      </c>
      <c r="J148" s="1" t="str">
        <f>IF(Back_End_Data!J148="Completed","Yes","No")</f>
        <v>No</v>
      </c>
      <c r="K148" s="1" t="str">
        <f>IF(Back_End_Data!K148="Completed","Yes","No")</f>
        <v>No</v>
      </c>
      <c r="L148" s="1" t="str">
        <f>IF(Back_End_Data!L148="", "No", Back_End_Data!L148)</f>
        <v>NA</v>
      </c>
      <c r="M148" s="1" t="str">
        <f>IF(Back_End_Data!N148="", "No", Back_End_Data!N148)</f>
        <v>NA</v>
      </c>
      <c r="N148" s="1" t="str">
        <f>IF(Back_End_Data!M148="", "No", Back_End_Data!M148)</f>
        <v>NA</v>
      </c>
      <c r="O148" s="1" t="str">
        <f>IF(Back_End_Data!O148="Completed","Yes","No")</f>
        <v>No</v>
      </c>
      <c r="P148" s="1" t="str">
        <f>IF(Back_End_Data!H148="Completed","Yes","No")</f>
        <v>No</v>
      </c>
      <c r="Q148" s="1" t="str">
        <f>IF(Back_End_Data!P148="Completed","Yes","No")</f>
        <v>No</v>
      </c>
      <c r="R148" s="1" t="s">
        <v>2369</v>
      </c>
      <c r="S148" s="1" t="str">
        <f>IF(Back_End_Data!R148="Completed","Yes","No")</f>
        <v>Yes</v>
      </c>
      <c r="T148" s="1" t="str">
        <f>IF(Back_End_Data!S148="Yes","Yes","No")</f>
        <v>No</v>
      </c>
      <c r="U148" s="1" t="str">
        <f>IF(Back_End_Data!Q147="Completed","Yes","No")</f>
        <v>No</v>
      </c>
      <c r="V148" s="1" t="str">
        <f ca="1">IF(INDEX(MIS_Backend_Data!L:L, MATCH(D148, MIS_Backend_Data!B:B, 1)) = "WT", "Yes", "No")</f>
        <v>No</v>
      </c>
      <c r="W148" s="2" t="str">
        <f t="shared" ca="1" si="6"/>
        <v>Reject</v>
      </c>
      <c r="Z148" s="1">
        <f ca="1"/>
        <v>0</v>
      </c>
      <c r="AA148" s="1">
        <f t="shared" ca="1" si="7"/>
        <v>1</v>
      </c>
      <c r="AC148" s="1" t="str">
        <f ca="1"/>
        <v>Dispatch</v>
      </c>
      <c r="AG148" s="1" t="str">
        <f t="shared" si="8"/>
        <v/>
      </c>
    </row>
    <row r="149" spans="1:33" ht="20.25" customHeight="1">
      <c r="A149" s="13">
        <v>148</v>
      </c>
      <c r="B149" s="1" t="str">
        <f ca="1"/>
        <v>Generali Central Insurance Company Limited</v>
      </c>
      <c r="C149" s="13" t="str">
        <f ca="1"/>
        <v>CN079727</v>
      </c>
      <c r="D149" s="13" t="str">
        <f ca="1"/>
        <v>F001-1148-SS-2025</v>
      </c>
      <c r="E149" s="13">
        <f ca="1"/>
        <v>20</v>
      </c>
      <c r="F149" s="14">
        <f ca="1"/>
        <v>45995</v>
      </c>
      <c r="G149" s="14">
        <f ca="1"/>
        <v>46015</v>
      </c>
      <c r="H149" s="1" t="str">
        <f>IF(Back_End_Data!G149="Completed","Yes","No")</f>
        <v>No</v>
      </c>
      <c r="I149" s="1" t="str">
        <f>IF(Back_End_Data!I149="Completed","Yes","No")</f>
        <v>No</v>
      </c>
      <c r="J149" s="1" t="str">
        <f>IF(Back_End_Data!J149="Completed","Yes","No")</f>
        <v>No</v>
      </c>
      <c r="K149" s="1" t="str">
        <f>IF(Back_End_Data!K149="Completed","Yes","No")</f>
        <v>No</v>
      </c>
      <c r="L149" s="1" t="str">
        <f>IF(Back_End_Data!L149="", "No", Back_End_Data!L149)</f>
        <v>NA</v>
      </c>
      <c r="M149" s="1" t="str">
        <f>IF(Back_End_Data!N149="", "No", Back_End_Data!N149)</f>
        <v>NA</v>
      </c>
      <c r="N149" s="1" t="str">
        <f>IF(Back_End_Data!M149="", "No", Back_End_Data!M149)</f>
        <v>NA</v>
      </c>
      <c r="O149" s="1" t="str">
        <f>IF(Back_End_Data!O149="Completed","Yes","No")</f>
        <v>No</v>
      </c>
      <c r="P149" s="1" t="str">
        <f>IF(Back_End_Data!H149="Completed","Yes","No")</f>
        <v>No</v>
      </c>
      <c r="Q149" s="1" t="str">
        <f>IF(Back_End_Data!P149="Completed","Yes","No")</f>
        <v>No</v>
      </c>
      <c r="R149" s="1" t="s">
        <v>2369</v>
      </c>
      <c r="S149" s="1" t="str">
        <f>IF(Back_End_Data!R149="Completed","Yes","No")</f>
        <v>Yes</v>
      </c>
      <c r="T149" s="1" t="str">
        <f>IF(Back_End_Data!S149="Yes","Yes","No")</f>
        <v>No</v>
      </c>
      <c r="U149" s="1" t="str">
        <f>IF(Back_End_Data!Q148="Completed","Yes","No")</f>
        <v>Yes</v>
      </c>
      <c r="V149" s="1" t="str">
        <f ca="1">IF(INDEX(MIS_Backend_Data!L:L, MATCH(D149, MIS_Backend_Data!B:B, 1)) = "WT", "Yes", "No")</f>
        <v>No</v>
      </c>
      <c r="W149" s="2" t="str">
        <f t="shared" ca="1" si="6"/>
        <v>Reject</v>
      </c>
      <c r="Z149" s="1">
        <f ca="1"/>
        <v>0</v>
      </c>
      <c r="AA149" s="1">
        <f t="shared" ca="1" si="7"/>
        <v>2</v>
      </c>
      <c r="AC149" s="1" t="str">
        <f ca="1"/>
        <v>Dispatch</v>
      </c>
      <c r="AG149" s="1" t="str">
        <f t="shared" si="8"/>
        <v/>
      </c>
    </row>
    <row r="150" spans="1:33" ht="20.25" customHeight="1">
      <c r="A150" s="13">
        <v>149</v>
      </c>
      <c r="B150" s="1" t="str">
        <f ca="1"/>
        <v>Generali Central Insurance Company Limited</v>
      </c>
      <c r="C150" s="13" t="str">
        <f ca="1"/>
        <v>CM839422</v>
      </c>
      <c r="D150" s="13" t="str">
        <f ca="1"/>
        <v>F001-1149-SS-2025</v>
      </c>
      <c r="E150" s="13">
        <f ca="1"/>
        <v>6</v>
      </c>
      <c r="F150" s="14">
        <f ca="1"/>
        <v>45996</v>
      </c>
      <c r="G150" s="14">
        <f ca="1"/>
        <v>46002</v>
      </c>
      <c r="H150" s="1" t="str">
        <f>IF(Back_End_Data!G150="Completed","Yes","No")</f>
        <v>Yes</v>
      </c>
      <c r="I150" s="1" t="str">
        <f>IF(Back_End_Data!I150="Completed","Yes","No")</f>
        <v>Yes</v>
      </c>
      <c r="J150" s="1" t="str">
        <f>IF(Back_End_Data!J150="Completed","Yes","No")</f>
        <v>No</v>
      </c>
      <c r="K150" s="1" t="str">
        <f>IF(Back_End_Data!K150="Completed","Yes","No")</f>
        <v>No</v>
      </c>
      <c r="L150" s="1" t="str">
        <f>IF(Back_End_Data!L150="", "No", Back_End_Data!L150)</f>
        <v>NA</v>
      </c>
      <c r="M150" s="1" t="str">
        <f>IF(Back_End_Data!N150="", "No", Back_End_Data!N150)</f>
        <v>NA</v>
      </c>
      <c r="N150" s="1" t="str">
        <f>IF(Back_End_Data!M150="", "No", Back_End_Data!M150)</f>
        <v>NA</v>
      </c>
      <c r="O150" s="1" t="str">
        <f>IF(Back_End_Data!O150="Completed","Yes","No")</f>
        <v>No</v>
      </c>
      <c r="P150" s="1" t="str">
        <f>IF(Back_End_Data!H150="Completed","Yes","No")</f>
        <v>No</v>
      </c>
      <c r="Q150" s="1" t="str">
        <f>IF(Back_End_Data!P150="Completed","Yes","No")</f>
        <v>No</v>
      </c>
      <c r="R150" s="1" t="s">
        <v>2369</v>
      </c>
      <c r="S150" s="1" t="str">
        <f>IF(Back_End_Data!R150="Completed","Yes","No")</f>
        <v>No</v>
      </c>
      <c r="T150" s="1" t="str">
        <f>IF(Back_End_Data!S150="Yes","Yes","No")</f>
        <v>No</v>
      </c>
      <c r="U150" s="1" t="str">
        <f>IF(Back_End_Data!Q149="Completed","Yes","No")</f>
        <v>No</v>
      </c>
      <c r="V150" s="1" t="str">
        <f ca="1">IF(INDEX(MIS_Backend_Data!L:L, MATCH(D150, MIS_Backend_Data!B:B, 1)) = "WT", "Yes", "No")</f>
        <v>No</v>
      </c>
      <c r="W150" s="2" t="str">
        <f t="shared" ca="1" si="6"/>
        <v>Reject</v>
      </c>
      <c r="Z150" s="1">
        <f ca="1"/>
        <v>0</v>
      </c>
      <c r="AA150" s="1">
        <f t="shared" ca="1" si="7"/>
        <v>2</v>
      </c>
      <c r="AC150" s="1" t="str">
        <f ca="1"/>
        <v>Dispatch</v>
      </c>
      <c r="AG150" s="1" t="str">
        <f t="shared" si="8"/>
        <v/>
      </c>
    </row>
    <row r="151" spans="1:33" ht="20.25" customHeight="1">
      <c r="A151" s="13">
        <v>150</v>
      </c>
      <c r="B151" s="1" t="str">
        <f ca="1"/>
        <v>SBI General Insurance Company Ltd</v>
      </c>
      <c r="C151" s="13" t="str">
        <f ca="1"/>
        <v>1033504</v>
      </c>
      <c r="D151" s="13" t="str">
        <f ca="1"/>
        <v>S002-1150-SS-2025</v>
      </c>
      <c r="E151" s="13">
        <f ca="1"/>
        <v>7</v>
      </c>
      <c r="F151" s="14">
        <f ca="1"/>
        <v>45996</v>
      </c>
      <c r="G151" s="14">
        <f ca="1"/>
        <v>46003</v>
      </c>
      <c r="H151" s="1" t="str">
        <f>IF(Back_End_Data!G151="Completed","Yes","No")</f>
        <v>No</v>
      </c>
      <c r="I151" s="1" t="str">
        <f>IF(Back_End_Data!I151="Completed","Yes","No")</f>
        <v>No</v>
      </c>
      <c r="J151" s="1" t="str">
        <f>IF(Back_End_Data!J151="Completed","Yes","No")</f>
        <v>No</v>
      </c>
      <c r="K151" s="1" t="str">
        <f>IF(Back_End_Data!K151="Completed","Yes","No")</f>
        <v>No</v>
      </c>
      <c r="L151" s="1" t="str">
        <f>IF(Back_End_Data!L151="", "No", Back_End_Data!L151)</f>
        <v>NA</v>
      </c>
      <c r="M151" s="1" t="str">
        <f>IF(Back_End_Data!N151="", "No", Back_End_Data!N151)</f>
        <v>NA</v>
      </c>
      <c r="N151" s="1" t="str">
        <f>IF(Back_End_Data!M151="", "No", Back_End_Data!M151)</f>
        <v>NA</v>
      </c>
      <c r="O151" s="1" t="str">
        <f>IF(Back_End_Data!O151="Completed","Yes","No")</f>
        <v>No</v>
      </c>
      <c r="P151" s="1" t="str">
        <f>IF(Back_End_Data!H151="Completed","Yes","No")</f>
        <v>No</v>
      </c>
      <c r="Q151" s="1" t="str">
        <f>IF(Back_End_Data!P151="Completed","Yes","No")</f>
        <v>No</v>
      </c>
      <c r="R151" s="1" t="s">
        <v>2369</v>
      </c>
      <c r="S151" s="1" t="str">
        <f>IF(Back_End_Data!R151="Completed","Yes","No")</f>
        <v>Yes</v>
      </c>
      <c r="T151" s="1" t="str">
        <f>IF(Back_End_Data!S151="Yes","Yes","No")</f>
        <v>No</v>
      </c>
      <c r="U151" s="1" t="str">
        <f>IF(Back_End_Data!Q150="Completed","Yes","No")</f>
        <v>No</v>
      </c>
      <c r="V151" s="1" t="str">
        <f ca="1">IF(INDEX(MIS_Backend_Data!L:L, MATCH(D151, MIS_Backend_Data!B:B, 1)) = "WT", "Yes", "No")</f>
        <v>No</v>
      </c>
      <c r="W151" s="2" t="str">
        <f t="shared" ca="1" si="6"/>
        <v>Reject</v>
      </c>
      <c r="Z151" s="1">
        <f ca="1"/>
        <v>0</v>
      </c>
      <c r="AA151" s="1">
        <f t="shared" ca="1" si="7"/>
        <v>1</v>
      </c>
      <c r="AC151" s="1" t="str">
        <f ca="1"/>
        <v>Dispatch</v>
      </c>
      <c r="AG151" s="1" t="str">
        <f t="shared" si="8"/>
        <v/>
      </c>
    </row>
    <row r="152" spans="1:33" ht="20.25" customHeight="1">
      <c r="A152" s="13">
        <v>151</v>
      </c>
      <c r="B152" s="1" t="str">
        <f ca="1"/>
        <v>Indusind General Insurance Co Ltd</v>
      </c>
      <c r="C152" s="13" t="str">
        <f ca="1"/>
        <v>2025213437</v>
      </c>
      <c r="D152" s="13" t="str">
        <f ca="1"/>
        <v>R001-1151-SS-2025</v>
      </c>
      <c r="E152" s="13">
        <f ca="1"/>
        <v>30</v>
      </c>
      <c r="F152" s="14">
        <f ca="1"/>
        <v>45997</v>
      </c>
      <c r="G152" s="14" t="str">
        <f ca="1"/>
        <v>-</v>
      </c>
      <c r="H152" s="1" t="str">
        <f>IF(Back_End_Data!G152="Completed","Yes","No")</f>
        <v>No</v>
      </c>
      <c r="I152" s="1" t="str">
        <f>IF(Back_End_Data!I152="Completed","Yes","No")</f>
        <v>No</v>
      </c>
      <c r="J152" s="1" t="str">
        <f>IF(Back_End_Data!J152="Completed","Yes","No")</f>
        <v>No</v>
      </c>
      <c r="K152" s="1" t="str">
        <f>IF(Back_End_Data!K152="Completed","Yes","No")</f>
        <v>No</v>
      </c>
      <c r="L152" s="1" t="str">
        <f>IF(Back_End_Data!L152="", "No", Back_End_Data!L152)</f>
        <v>NA</v>
      </c>
      <c r="M152" s="1" t="str">
        <f>IF(Back_End_Data!N152="", "No", Back_End_Data!N152)</f>
        <v>NA</v>
      </c>
      <c r="N152" s="1" t="str">
        <f>IF(Back_End_Data!M152="", "No", Back_End_Data!M152)</f>
        <v>NA</v>
      </c>
      <c r="O152" s="1" t="str">
        <f>IF(Back_End_Data!O152="Completed","Yes","No")</f>
        <v>No</v>
      </c>
      <c r="P152" s="1" t="str">
        <f>IF(Back_End_Data!H152="Completed","Yes","No")</f>
        <v>No</v>
      </c>
      <c r="Q152" s="1" t="str">
        <f>IF(Back_End_Data!P152="Completed","Yes","No")</f>
        <v>No</v>
      </c>
      <c r="R152" s="1" t="s">
        <v>2369</v>
      </c>
      <c r="S152" s="1" t="str">
        <f>IF(Back_End_Data!R152="Completed","Yes","No")</f>
        <v>Yes</v>
      </c>
      <c r="T152" s="1" t="str">
        <f>IF(Back_End_Data!S152="Yes","Yes","No")</f>
        <v>No</v>
      </c>
      <c r="U152" s="1" t="str">
        <f>IF(Back_End_Data!Q151="Completed","Yes","No")</f>
        <v>No</v>
      </c>
      <c r="V152" s="1" t="str">
        <f ca="1">IF(INDEX(MIS_Backend_Data!L:L, MATCH(D152, MIS_Backend_Data!B:B, 1)) = "WT", "Yes", "No")</f>
        <v>No</v>
      </c>
      <c r="W152" s="2" t="str">
        <f t="shared" ca="1" si="6"/>
        <v>Reject</v>
      </c>
      <c r="Z152" s="1">
        <f ca="1"/>
        <v>0</v>
      </c>
      <c r="AA152" s="1">
        <f t="shared" ca="1" si="7"/>
        <v>1</v>
      </c>
      <c r="AC152" s="1" t="str">
        <f ca="1"/>
        <v>Open</v>
      </c>
      <c r="AG152" s="1" t="str">
        <f t="shared" si="8"/>
        <v/>
      </c>
    </row>
    <row r="153" spans="1:33" ht="20.25" customHeight="1">
      <c r="A153" s="13">
        <v>152</v>
      </c>
      <c r="B153" s="1" t="str">
        <f ca="1"/>
        <v>Indusind General Insurance Co Ltd</v>
      </c>
      <c r="C153" s="13" t="str">
        <f ca="1"/>
        <v>2025206275</v>
      </c>
      <c r="D153" s="13" t="str">
        <f ca="1"/>
        <v>R001-1152-SS-2025</v>
      </c>
      <c r="E153" s="13">
        <f ca="1"/>
        <v>30</v>
      </c>
      <c r="F153" s="14">
        <f ca="1"/>
        <v>45997</v>
      </c>
      <c r="G153" s="14" t="str">
        <f ca="1"/>
        <v>-</v>
      </c>
      <c r="H153" s="1" t="str">
        <f>IF(Back_End_Data!G153="Completed","Yes","No")</f>
        <v>No</v>
      </c>
      <c r="I153" s="1" t="str">
        <f>IF(Back_End_Data!I153="Completed","Yes","No")</f>
        <v>No</v>
      </c>
      <c r="J153" s="1" t="str">
        <f>IF(Back_End_Data!J153="Completed","Yes","No")</f>
        <v>No</v>
      </c>
      <c r="K153" s="1" t="str">
        <f>IF(Back_End_Data!K153="Completed","Yes","No")</f>
        <v>No</v>
      </c>
      <c r="L153" s="1" t="str">
        <f>IF(Back_End_Data!L153="", "No", Back_End_Data!L153)</f>
        <v>NA</v>
      </c>
      <c r="M153" s="1" t="str">
        <f>IF(Back_End_Data!N153="", "No", Back_End_Data!N153)</f>
        <v>NA</v>
      </c>
      <c r="N153" s="1" t="str">
        <f>IF(Back_End_Data!M153="", "No", Back_End_Data!M153)</f>
        <v>NA</v>
      </c>
      <c r="O153" s="1" t="str">
        <f>IF(Back_End_Data!O153="Completed","Yes","No")</f>
        <v>No</v>
      </c>
      <c r="P153" s="1" t="str">
        <f>IF(Back_End_Data!H153="Completed","Yes","No")</f>
        <v>No</v>
      </c>
      <c r="Q153" s="1" t="str">
        <f>IF(Back_End_Data!P153="Completed","Yes","No")</f>
        <v>No</v>
      </c>
      <c r="R153" s="1" t="s">
        <v>2369</v>
      </c>
      <c r="S153" s="1" t="str">
        <f>IF(Back_End_Data!R153="Completed","Yes","No")</f>
        <v>No</v>
      </c>
      <c r="T153" s="1" t="str">
        <f>IF(Back_End_Data!S153="Yes","Yes","No")</f>
        <v>No</v>
      </c>
      <c r="U153" s="1" t="str">
        <f>IF(Back_End_Data!Q152="Completed","Yes","No")</f>
        <v>Yes</v>
      </c>
      <c r="V153" s="1" t="str">
        <f ca="1">IF(INDEX(MIS_Backend_Data!L:L, MATCH(D153, MIS_Backend_Data!B:B, 1)) = "WT", "Yes", "No")</f>
        <v>No</v>
      </c>
      <c r="W153" s="2" t="str">
        <f t="shared" ca="1" si="6"/>
        <v>Reject</v>
      </c>
      <c r="Z153" s="1">
        <f ca="1"/>
        <v>0</v>
      </c>
      <c r="AA153" s="1">
        <f t="shared" ca="1" si="7"/>
        <v>1</v>
      </c>
      <c r="AC153" s="1" t="str">
        <f ca="1"/>
        <v>Open</v>
      </c>
      <c r="AG153" s="1" t="str">
        <f t="shared" si="8"/>
        <v/>
      </c>
    </row>
    <row r="154" spans="1:33" ht="20.25" customHeight="1">
      <c r="A154" s="13">
        <v>153</v>
      </c>
      <c r="B154" s="1" t="str">
        <f ca="1"/>
        <v>Indusind General Insurance Co Ltd</v>
      </c>
      <c r="C154" s="13" t="str">
        <f ca="1"/>
        <v>2025204393</v>
      </c>
      <c r="D154" s="13" t="str">
        <f ca="1"/>
        <v>R001-1153-SS-2025</v>
      </c>
      <c r="E154" s="13">
        <f ca="1"/>
        <v>30</v>
      </c>
      <c r="F154" s="14">
        <f ca="1"/>
        <v>45997</v>
      </c>
      <c r="G154" s="14">
        <f ca="1"/>
        <v>46027</v>
      </c>
      <c r="H154" s="1" t="str">
        <f>IF(Back_End_Data!G154="Completed","Yes","No")</f>
        <v>No</v>
      </c>
      <c r="I154" s="1" t="str">
        <f>IF(Back_End_Data!I154="Completed","Yes","No")</f>
        <v>No</v>
      </c>
      <c r="J154" s="1" t="str">
        <f>IF(Back_End_Data!J154="Completed","Yes","No")</f>
        <v>No</v>
      </c>
      <c r="K154" s="1" t="str">
        <f>IF(Back_End_Data!K154="Completed","Yes","No")</f>
        <v>No</v>
      </c>
      <c r="L154" s="1" t="str">
        <f>IF(Back_End_Data!L154="", "No", Back_End_Data!L154)</f>
        <v xml:space="preserve">NA </v>
      </c>
      <c r="M154" s="1" t="str">
        <f>IF(Back_End_Data!N154="", "No", Back_End_Data!N154)</f>
        <v xml:space="preserve">NA </v>
      </c>
      <c r="N154" s="1" t="str">
        <f>IF(Back_End_Data!M154="", "No", Back_End_Data!M154)</f>
        <v xml:space="preserve">NA </v>
      </c>
      <c r="O154" s="1" t="str">
        <f>IF(Back_End_Data!O154="Completed","Yes","No")</f>
        <v>No</v>
      </c>
      <c r="P154" s="1" t="str">
        <f>IF(Back_End_Data!H154="Completed","Yes","No")</f>
        <v>No</v>
      </c>
      <c r="Q154" s="1" t="str">
        <f>IF(Back_End_Data!P154="Completed","Yes","No")</f>
        <v>No</v>
      </c>
      <c r="R154" s="1" t="s">
        <v>2369</v>
      </c>
      <c r="S154" s="1" t="str">
        <f>IF(Back_End_Data!R154="Completed","Yes","No")</f>
        <v>No</v>
      </c>
      <c r="T154" s="1" t="str">
        <f>IF(Back_End_Data!S154="Yes","Yes","No")</f>
        <v>No</v>
      </c>
      <c r="U154" s="1" t="str">
        <f>IF(Back_End_Data!Q153="Completed","Yes","No")</f>
        <v>No</v>
      </c>
      <c r="V154" s="1" t="str">
        <f ca="1">IF(INDEX(MIS_Backend_Data!L:L, MATCH(D154, MIS_Backend_Data!B:B, 1)) = "WT", "Yes", "No")</f>
        <v>No</v>
      </c>
      <c r="W154" s="2" t="str">
        <f t="shared" ca="1" si="6"/>
        <v>Approved</v>
      </c>
      <c r="Z154" s="1">
        <f ca="1"/>
        <v>0</v>
      </c>
      <c r="AA154" s="1">
        <f t="shared" ca="1" si="7"/>
        <v>0</v>
      </c>
      <c r="AC154" s="1" t="str">
        <f ca="1"/>
        <v>Dispatch</v>
      </c>
      <c r="AG154" s="1" t="str">
        <f t="shared" si="8"/>
        <v/>
      </c>
    </row>
    <row r="155" spans="1:33" ht="20.25" customHeight="1">
      <c r="A155" s="13">
        <v>154</v>
      </c>
      <c r="B155" s="1" t="str">
        <f ca="1"/>
        <v>Indusind General Insurance Co Ltd</v>
      </c>
      <c r="C155" s="13" t="str">
        <f ca="1"/>
        <v>2025213611</v>
      </c>
      <c r="D155" s="13" t="str">
        <f ca="1"/>
        <v>R001-1154-SS-2025</v>
      </c>
      <c r="E155" s="13">
        <f ca="1"/>
        <v>30</v>
      </c>
      <c r="F155" s="14">
        <f ca="1"/>
        <v>45997</v>
      </c>
      <c r="G155" s="14" t="str">
        <f ca="1"/>
        <v>-</v>
      </c>
      <c r="H155" s="1" t="str">
        <f>IF(Back_End_Data!G155="Completed","Yes","No")</f>
        <v>No</v>
      </c>
      <c r="I155" s="1" t="str">
        <f>IF(Back_End_Data!I155="Completed","Yes","No")</f>
        <v>Yes</v>
      </c>
      <c r="J155" s="1" t="str">
        <f>IF(Back_End_Data!J155="Completed","Yes","No")</f>
        <v>No</v>
      </c>
      <c r="K155" s="1" t="str">
        <f>IF(Back_End_Data!K155="Completed","Yes","No")</f>
        <v>No</v>
      </c>
      <c r="L155" s="1" t="str">
        <f>IF(Back_End_Data!L155="", "No", Back_End_Data!L155)</f>
        <v xml:space="preserve">NA </v>
      </c>
      <c r="M155" s="1" t="str">
        <f>IF(Back_End_Data!N155="", "No", Back_End_Data!N155)</f>
        <v xml:space="preserve">NA </v>
      </c>
      <c r="N155" s="1" t="str">
        <f>IF(Back_End_Data!M155="", "No", Back_End_Data!M155)</f>
        <v xml:space="preserve">NA </v>
      </c>
      <c r="O155" s="1" t="str">
        <f>IF(Back_End_Data!O155="Completed","Yes","No")</f>
        <v>No</v>
      </c>
      <c r="P155" s="1" t="str">
        <f>IF(Back_End_Data!H155="Completed","Yes","No")</f>
        <v>No</v>
      </c>
      <c r="Q155" s="1" t="str">
        <f>IF(Back_End_Data!P155="Completed","Yes","No")</f>
        <v>No</v>
      </c>
      <c r="R155" s="1" t="s">
        <v>2369</v>
      </c>
      <c r="S155" s="1" t="str">
        <f>IF(Back_End_Data!R155="Completed","Yes","No")</f>
        <v>No</v>
      </c>
      <c r="T155" s="1" t="str">
        <f>IF(Back_End_Data!S155="Yes","Yes","No")</f>
        <v>No</v>
      </c>
      <c r="U155" s="1" t="str">
        <f>IF(Back_End_Data!Q154="Completed","Yes","No")</f>
        <v>No</v>
      </c>
      <c r="V155" s="1" t="str">
        <f ca="1">IF(INDEX(MIS_Backend_Data!L:L, MATCH(D155, MIS_Backend_Data!B:B, 1)) = "WT", "Yes", "No")</f>
        <v>No</v>
      </c>
      <c r="W155" s="2" t="str">
        <f t="shared" ca="1" si="6"/>
        <v>Reject</v>
      </c>
      <c r="Z155" s="1">
        <f ca="1"/>
        <v>0</v>
      </c>
      <c r="AA155" s="1">
        <f t="shared" ca="1" si="7"/>
        <v>1</v>
      </c>
      <c r="AC155" s="1" t="str">
        <f ca="1"/>
        <v>Open</v>
      </c>
      <c r="AG155" s="1" t="str">
        <f t="shared" si="8"/>
        <v/>
      </c>
    </row>
    <row r="156" spans="1:33" ht="20.25" customHeight="1">
      <c r="A156" s="13">
        <v>155</v>
      </c>
      <c r="B156" s="1" t="str">
        <f ca="1"/>
        <v>SBI General Insurance Company Ltd</v>
      </c>
      <c r="C156" s="13" t="str">
        <f ca="1"/>
        <v>2719063</v>
      </c>
      <c r="D156" s="13" t="str">
        <f ca="1"/>
        <v>S002-1155-SS-2025</v>
      </c>
      <c r="E156" s="13">
        <f ca="1"/>
        <v>21</v>
      </c>
      <c r="F156" s="14">
        <f ca="1"/>
        <v>45999</v>
      </c>
      <c r="G156" s="14">
        <f ca="1"/>
        <v>46020</v>
      </c>
      <c r="H156" s="1" t="str">
        <f>IF(Back_End_Data!G156="Completed","Yes","No")</f>
        <v>No</v>
      </c>
      <c r="I156" s="1" t="str">
        <f>IF(Back_End_Data!I156="Completed","Yes","No")</f>
        <v>No</v>
      </c>
      <c r="J156" s="1" t="str">
        <f>IF(Back_End_Data!J156="Completed","Yes","No")</f>
        <v>No</v>
      </c>
      <c r="K156" s="1" t="str">
        <f>IF(Back_End_Data!K156="Completed","Yes","No")</f>
        <v>No</v>
      </c>
      <c r="L156" s="1" t="str">
        <f>IF(Back_End_Data!L156="", "No", Back_End_Data!L156)</f>
        <v>NA</v>
      </c>
      <c r="M156" s="1" t="str">
        <f>IF(Back_End_Data!N156="", "No", Back_End_Data!N156)</f>
        <v>NA</v>
      </c>
      <c r="N156" s="1" t="str">
        <f>IF(Back_End_Data!M156="", "No", Back_End_Data!M156)</f>
        <v>NA</v>
      </c>
      <c r="O156" s="1" t="str">
        <f>IF(Back_End_Data!O156="Completed","Yes","No")</f>
        <v>No</v>
      </c>
      <c r="P156" s="1" t="str">
        <f>IF(Back_End_Data!H156="Completed","Yes","No")</f>
        <v>No</v>
      </c>
      <c r="Q156" s="1" t="str">
        <f>IF(Back_End_Data!P156="Completed","Yes","No")</f>
        <v>No</v>
      </c>
      <c r="R156" s="1" t="s">
        <v>2369</v>
      </c>
      <c r="S156" s="1" t="str">
        <f>IF(Back_End_Data!R156="Completed","Yes","No")</f>
        <v>No</v>
      </c>
      <c r="T156" s="1" t="str">
        <f>IF(Back_End_Data!S156="Yes","Yes","No")</f>
        <v>No</v>
      </c>
      <c r="U156" s="1" t="str">
        <f>IF(Back_End_Data!Q155="Completed","Yes","No")</f>
        <v>No</v>
      </c>
      <c r="V156" s="1" t="str">
        <f ca="1">IF(INDEX(MIS_Backend_Data!L:L, MATCH(D156, MIS_Backend_Data!B:B, 1)) = "WT", "Yes", "No")</f>
        <v>No</v>
      </c>
      <c r="W156" s="2" t="str">
        <f t="shared" ca="1" si="6"/>
        <v>Approved</v>
      </c>
      <c r="Z156" s="1">
        <f ca="1"/>
        <v>0</v>
      </c>
      <c r="AA156" s="1">
        <f t="shared" ca="1" si="7"/>
        <v>0</v>
      </c>
      <c r="AC156" s="1" t="str">
        <f ca="1"/>
        <v>Dispatch</v>
      </c>
      <c r="AG156" s="1" t="str">
        <f t="shared" si="8"/>
        <v/>
      </c>
    </row>
    <row r="157" spans="1:33" ht="20.25" customHeight="1">
      <c r="A157" s="13">
        <v>156</v>
      </c>
      <c r="B157" s="1" t="str">
        <f ca="1"/>
        <v>SBI General Insurance Company Ltd</v>
      </c>
      <c r="C157" s="13" t="str">
        <f ca="1"/>
        <v>2719062</v>
      </c>
      <c r="D157" s="13" t="str">
        <f ca="1"/>
        <v>S002-1156-SS-2025</v>
      </c>
      <c r="E157" s="13">
        <f ca="1"/>
        <v>21</v>
      </c>
      <c r="F157" s="14">
        <f ca="1"/>
        <v>45999</v>
      </c>
      <c r="G157" s="14">
        <f ca="1"/>
        <v>46020</v>
      </c>
      <c r="H157" s="1" t="str">
        <f>IF(Back_End_Data!G157="Completed","Yes","No")</f>
        <v>No</v>
      </c>
      <c r="I157" s="1" t="str">
        <f>IF(Back_End_Data!I157="Completed","Yes","No")</f>
        <v>No</v>
      </c>
      <c r="J157" s="1" t="str">
        <f>IF(Back_End_Data!J157="Completed","Yes","No")</f>
        <v>No</v>
      </c>
      <c r="K157" s="1" t="str">
        <f>IF(Back_End_Data!K157="Completed","Yes","No")</f>
        <v>No</v>
      </c>
      <c r="L157" s="1" t="str">
        <f>IF(Back_End_Data!L157="", "No", Back_End_Data!L157)</f>
        <v>NA</v>
      </c>
      <c r="M157" s="1" t="str">
        <f>IF(Back_End_Data!N157="", "No", Back_End_Data!N157)</f>
        <v>NA</v>
      </c>
      <c r="N157" s="1" t="str">
        <f>IF(Back_End_Data!M157="", "No", Back_End_Data!M157)</f>
        <v>NA</v>
      </c>
      <c r="O157" s="1" t="str">
        <f>IF(Back_End_Data!O157="Completed","Yes","No")</f>
        <v>No</v>
      </c>
      <c r="P157" s="1" t="str">
        <f>IF(Back_End_Data!H157="Completed","Yes","No")</f>
        <v>No</v>
      </c>
      <c r="Q157" s="1" t="str">
        <f>IF(Back_End_Data!P157="Completed","Yes","No")</f>
        <v>No</v>
      </c>
      <c r="R157" s="1" t="s">
        <v>2369</v>
      </c>
      <c r="S157" s="1" t="str">
        <f>IF(Back_End_Data!R157="Completed","Yes","No")</f>
        <v>Yes</v>
      </c>
      <c r="T157" s="1" t="str">
        <f>IF(Back_End_Data!S157="Yes","Yes","No")</f>
        <v>No</v>
      </c>
      <c r="U157" s="1" t="str">
        <f>IF(Back_End_Data!Q156="Completed","Yes","No")</f>
        <v>No</v>
      </c>
      <c r="V157" s="1" t="str">
        <f ca="1">IF(INDEX(MIS_Backend_Data!L:L, MATCH(D157, MIS_Backend_Data!B:B, 1)) = "WT", "Yes", "No")</f>
        <v>No</v>
      </c>
      <c r="W157" s="2" t="str">
        <f t="shared" ca="1" si="6"/>
        <v>Reject</v>
      </c>
      <c r="Z157" s="1">
        <f ca="1"/>
        <v>0</v>
      </c>
      <c r="AA157" s="1">
        <f t="shared" ca="1" si="7"/>
        <v>1</v>
      </c>
      <c r="AC157" s="1" t="str">
        <f ca="1"/>
        <v>Dispatch</v>
      </c>
      <c r="AG157" s="1" t="str">
        <f t="shared" si="8"/>
        <v/>
      </c>
    </row>
    <row r="158" spans="1:33" ht="20.25" customHeight="1">
      <c r="A158" s="13">
        <v>157</v>
      </c>
      <c r="B158" s="1" t="str">
        <f ca="1"/>
        <v>SBI General Insurance Company Ltd</v>
      </c>
      <c r="C158" s="13" t="str">
        <f ca="1"/>
        <v>2687368</v>
      </c>
      <c r="D158" s="13" t="str">
        <f ca="1"/>
        <v>S002-1157-SS-2025</v>
      </c>
      <c r="E158" s="13">
        <f ca="1"/>
        <v>7</v>
      </c>
      <c r="F158" s="14">
        <f ca="1"/>
        <v>45999</v>
      </c>
      <c r="G158" s="14">
        <f ca="1"/>
        <v>46006</v>
      </c>
      <c r="H158" s="1" t="str">
        <f>IF(Back_End_Data!G158="Completed","Yes","No")</f>
        <v>No</v>
      </c>
      <c r="I158" s="1" t="str">
        <f>IF(Back_End_Data!I158="Completed","Yes","No")</f>
        <v>No</v>
      </c>
      <c r="J158" s="1" t="str">
        <f>IF(Back_End_Data!J158="Completed","Yes","No")</f>
        <v>No</v>
      </c>
      <c r="K158" s="1" t="str">
        <f>IF(Back_End_Data!K158="Completed","Yes","No")</f>
        <v>No</v>
      </c>
      <c r="L158" s="1" t="str">
        <f>IF(Back_End_Data!L158="", "No", Back_End_Data!L158)</f>
        <v>NA</v>
      </c>
      <c r="M158" s="1" t="str">
        <f>IF(Back_End_Data!N158="", "No", Back_End_Data!N158)</f>
        <v>NA</v>
      </c>
      <c r="N158" s="1" t="str">
        <f>IF(Back_End_Data!M158="", "No", Back_End_Data!M158)</f>
        <v>NA</v>
      </c>
      <c r="O158" s="1" t="str">
        <f>IF(Back_End_Data!O158="Completed","Yes","No")</f>
        <v>No</v>
      </c>
      <c r="P158" s="1" t="str">
        <f>IF(Back_End_Data!H158="Completed","Yes","No")</f>
        <v>No</v>
      </c>
      <c r="Q158" s="1" t="str">
        <f>IF(Back_End_Data!P158="Completed","Yes","No")</f>
        <v>No</v>
      </c>
      <c r="R158" s="1" t="s">
        <v>2369</v>
      </c>
      <c r="S158" s="1" t="str">
        <f>IF(Back_End_Data!R158="Completed","Yes","No")</f>
        <v>Yes</v>
      </c>
      <c r="T158" s="1" t="str">
        <f>IF(Back_End_Data!S158="Yes","Yes","No")</f>
        <v>No</v>
      </c>
      <c r="U158" s="1" t="str">
        <f>IF(Back_End_Data!Q157="Completed","Yes","No")</f>
        <v>No</v>
      </c>
      <c r="V158" s="1" t="str">
        <f ca="1">IF(INDEX(MIS_Backend_Data!L:L, MATCH(D158, MIS_Backend_Data!B:B, 1)) = "WT", "Yes", "No")</f>
        <v>No</v>
      </c>
      <c r="W158" s="2" t="str">
        <f t="shared" ca="1" si="6"/>
        <v>Reject</v>
      </c>
      <c r="Z158" s="1">
        <f ca="1"/>
        <v>0</v>
      </c>
      <c r="AA158" s="1">
        <f t="shared" ca="1" si="7"/>
        <v>1</v>
      </c>
      <c r="AC158" s="1" t="str">
        <f ca="1"/>
        <v>Approval</v>
      </c>
      <c r="AG158" s="1" t="str">
        <f t="shared" si="8"/>
        <v/>
      </c>
    </row>
    <row r="159" spans="1:33" ht="20.25" customHeight="1">
      <c r="A159" s="13">
        <v>158</v>
      </c>
      <c r="B159" s="1" t="str">
        <f ca="1"/>
        <v>SBI General Insurance Company Ltd</v>
      </c>
      <c r="C159" s="13" t="str">
        <f ca="1"/>
        <v>2675206</v>
      </c>
      <c r="D159" s="13" t="str">
        <f ca="1"/>
        <v>S002-1158-SS-2025</v>
      </c>
      <c r="E159" s="13">
        <f ca="1"/>
        <v>7</v>
      </c>
      <c r="F159" s="14">
        <f ca="1"/>
        <v>45999</v>
      </c>
      <c r="G159" s="14">
        <f ca="1"/>
        <v>46006</v>
      </c>
      <c r="H159" s="1" t="str">
        <f>IF(Back_End_Data!G159="Completed","Yes","No")</f>
        <v>No</v>
      </c>
      <c r="I159" s="1" t="str">
        <f>IF(Back_End_Data!I159="Completed","Yes","No")</f>
        <v>No</v>
      </c>
      <c r="J159" s="1" t="str">
        <f>IF(Back_End_Data!J159="Completed","Yes","No")</f>
        <v>No</v>
      </c>
      <c r="K159" s="1" t="str">
        <f>IF(Back_End_Data!K159="Completed","Yes","No")</f>
        <v>No</v>
      </c>
      <c r="L159" s="1" t="str">
        <f>IF(Back_End_Data!L159="", "No", Back_End_Data!L159)</f>
        <v>NA</v>
      </c>
      <c r="M159" s="1" t="str">
        <f>IF(Back_End_Data!N159="", "No", Back_End_Data!N159)</f>
        <v>NA</v>
      </c>
      <c r="N159" s="1" t="str">
        <f>IF(Back_End_Data!M159="", "No", Back_End_Data!M159)</f>
        <v>NA</v>
      </c>
      <c r="O159" s="1" t="str">
        <f>IF(Back_End_Data!O159="Completed","Yes","No")</f>
        <v>No</v>
      </c>
      <c r="P159" s="1" t="str">
        <f>IF(Back_End_Data!H159="Completed","Yes","No")</f>
        <v>No</v>
      </c>
      <c r="Q159" s="1" t="str">
        <f>IF(Back_End_Data!P159="Completed","Yes","No")</f>
        <v>No</v>
      </c>
      <c r="R159" s="1" t="s">
        <v>2369</v>
      </c>
      <c r="S159" s="1" t="str">
        <f>IF(Back_End_Data!R159="Completed","Yes","No")</f>
        <v>No</v>
      </c>
      <c r="T159" s="1" t="str">
        <f>IF(Back_End_Data!S159="Yes","Yes","No")</f>
        <v>No</v>
      </c>
      <c r="U159" s="1" t="str">
        <f>IF(Back_End_Data!Q158="Completed","Yes","No")</f>
        <v>No</v>
      </c>
      <c r="V159" s="1" t="str">
        <f ca="1">IF(INDEX(MIS_Backend_Data!L:L, MATCH(D159, MIS_Backend_Data!B:B, 1)) = "WT", "Yes", "No")</f>
        <v>No</v>
      </c>
      <c r="W159" s="2" t="str">
        <f t="shared" ca="1" si="6"/>
        <v>Approved</v>
      </c>
      <c r="Z159" s="1">
        <f ca="1"/>
        <v>0</v>
      </c>
      <c r="AA159" s="1">
        <f t="shared" ca="1" si="7"/>
        <v>0</v>
      </c>
      <c r="AC159" s="1" t="str">
        <f ca="1"/>
        <v>Approval</v>
      </c>
      <c r="AG159" s="1" t="str">
        <f t="shared" si="8"/>
        <v/>
      </c>
    </row>
    <row r="160" spans="1:33" ht="20.25" customHeight="1">
      <c r="A160" s="13">
        <v>159</v>
      </c>
      <c r="B160" s="1" t="str">
        <f ca="1"/>
        <v>SBI General Insurance Company Ltd</v>
      </c>
      <c r="C160" s="13" t="str">
        <f ca="1"/>
        <v>2688502</v>
      </c>
      <c r="D160" s="13" t="str">
        <f ca="1"/>
        <v>S002-1159-SS-2025</v>
      </c>
      <c r="E160" s="13">
        <f ca="1"/>
        <v>4</v>
      </c>
      <c r="F160" s="14">
        <f ca="1"/>
        <v>45999</v>
      </c>
      <c r="G160" s="14">
        <f ca="1"/>
        <v>46003</v>
      </c>
      <c r="H160" s="1" t="str">
        <f>IF(Back_End_Data!G160="Completed","Yes","No")</f>
        <v>No</v>
      </c>
      <c r="I160" s="1" t="str">
        <f>IF(Back_End_Data!I160="Completed","Yes","No")</f>
        <v>No</v>
      </c>
      <c r="J160" s="1" t="str">
        <f>IF(Back_End_Data!J160="Completed","Yes","No")</f>
        <v>No</v>
      </c>
      <c r="K160" s="1" t="str">
        <f>IF(Back_End_Data!K160="Completed","Yes","No")</f>
        <v>No</v>
      </c>
      <c r="L160" s="1" t="str">
        <f>IF(Back_End_Data!L160="", "No", Back_End_Data!L160)</f>
        <v>NA</v>
      </c>
      <c r="M160" s="1" t="str">
        <f>IF(Back_End_Data!N160="", "No", Back_End_Data!N160)</f>
        <v>NA</v>
      </c>
      <c r="N160" s="1" t="str">
        <f>IF(Back_End_Data!M160="", "No", Back_End_Data!M160)</f>
        <v>NA</v>
      </c>
      <c r="O160" s="1" t="str">
        <f>IF(Back_End_Data!O160="Completed","Yes","No")</f>
        <v>No</v>
      </c>
      <c r="P160" s="1" t="str">
        <f>IF(Back_End_Data!H160="Completed","Yes","No")</f>
        <v>No</v>
      </c>
      <c r="Q160" s="1" t="str">
        <f>IF(Back_End_Data!P160="Completed","Yes","No")</f>
        <v>No</v>
      </c>
      <c r="R160" s="1" t="s">
        <v>2369</v>
      </c>
      <c r="S160" s="1" t="str">
        <f>IF(Back_End_Data!R160="Completed","Yes","No")</f>
        <v>Yes</v>
      </c>
      <c r="T160" s="1" t="str">
        <f>IF(Back_End_Data!S160="Yes","Yes","No")</f>
        <v>No</v>
      </c>
      <c r="U160" s="1" t="str">
        <f>IF(Back_End_Data!Q159="Completed","Yes","No")</f>
        <v>No</v>
      </c>
      <c r="V160" s="1" t="str">
        <f ca="1">IF(INDEX(MIS_Backend_Data!L:L, MATCH(D160, MIS_Backend_Data!B:B, 1)) = "WT", "Yes", "No")</f>
        <v>No</v>
      </c>
      <c r="W160" s="2" t="str">
        <f t="shared" ca="1" si="6"/>
        <v>Reject</v>
      </c>
      <c r="Z160" s="1">
        <f ca="1"/>
        <v>0</v>
      </c>
      <c r="AA160" s="1">
        <f t="shared" ca="1" si="7"/>
        <v>1</v>
      </c>
      <c r="AC160" s="1" t="str">
        <f ca="1"/>
        <v>Dispatch</v>
      </c>
      <c r="AG160" s="1" t="str">
        <f t="shared" si="8"/>
        <v/>
      </c>
    </row>
    <row r="161" spans="1:33" ht="20.25" customHeight="1">
      <c r="A161" s="13">
        <v>160</v>
      </c>
      <c r="B161" s="1" t="str">
        <f ca="1"/>
        <v>SBI General Insurance Company Ltd</v>
      </c>
      <c r="C161" s="13" t="str">
        <f ca="1"/>
        <v>2688503</v>
      </c>
      <c r="D161" s="13" t="str">
        <f ca="1"/>
        <v>S002-1160-SS-2025</v>
      </c>
      <c r="E161" s="13">
        <f ca="1"/>
        <v>4</v>
      </c>
      <c r="F161" s="14">
        <f ca="1"/>
        <v>45999</v>
      </c>
      <c r="G161" s="14">
        <f ca="1"/>
        <v>46003</v>
      </c>
      <c r="H161" s="1" t="str">
        <f>IF(Back_End_Data!G161="Completed","Yes","No")</f>
        <v>No</v>
      </c>
      <c r="I161" s="1" t="str">
        <f>IF(Back_End_Data!I161="Completed","Yes","No")</f>
        <v>No</v>
      </c>
      <c r="J161" s="1" t="str">
        <f>IF(Back_End_Data!J161="Completed","Yes","No")</f>
        <v>No</v>
      </c>
      <c r="K161" s="1" t="str">
        <f>IF(Back_End_Data!K161="Completed","Yes","No")</f>
        <v>No</v>
      </c>
      <c r="L161" s="1" t="str">
        <f>IF(Back_End_Data!L161="", "No", Back_End_Data!L161)</f>
        <v>NA</v>
      </c>
      <c r="M161" s="1" t="str">
        <f>IF(Back_End_Data!N161="", "No", Back_End_Data!N161)</f>
        <v>NA</v>
      </c>
      <c r="N161" s="1" t="str">
        <f>IF(Back_End_Data!M161="", "No", Back_End_Data!M161)</f>
        <v>NA</v>
      </c>
      <c r="O161" s="1" t="str">
        <f>IF(Back_End_Data!O161="Completed","Yes","No")</f>
        <v>No</v>
      </c>
      <c r="P161" s="1" t="str">
        <f>IF(Back_End_Data!H161="Completed","Yes","No")</f>
        <v>No</v>
      </c>
      <c r="Q161" s="1" t="str">
        <f>IF(Back_End_Data!P161="Completed","Yes","No")</f>
        <v>No</v>
      </c>
      <c r="R161" s="1" t="s">
        <v>2369</v>
      </c>
      <c r="S161" s="1" t="str">
        <f>IF(Back_End_Data!R161="Completed","Yes","No")</f>
        <v>Yes</v>
      </c>
      <c r="T161" s="1" t="str">
        <f>IF(Back_End_Data!S161="Yes","Yes","No")</f>
        <v>No</v>
      </c>
      <c r="U161" s="1" t="str">
        <f>IF(Back_End_Data!Q160="Completed","Yes","No")</f>
        <v>No</v>
      </c>
      <c r="V161" s="1" t="str">
        <f ca="1">IF(INDEX(MIS_Backend_Data!L:L, MATCH(D161, MIS_Backend_Data!B:B, 1)) = "WT", "Yes", "No")</f>
        <v>No</v>
      </c>
      <c r="W161" s="2" t="str">
        <f t="shared" ca="1" si="6"/>
        <v>Reject</v>
      </c>
      <c r="Z161" s="1">
        <f ca="1"/>
        <v>0</v>
      </c>
      <c r="AA161" s="1">
        <f t="shared" ca="1" si="7"/>
        <v>1</v>
      </c>
      <c r="AC161" s="1" t="str">
        <f ca="1"/>
        <v>Dispatch</v>
      </c>
      <c r="AG161" s="1" t="str">
        <f t="shared" si="8"/>
        <v/>
      </c>
    </row>
    <row r="162" spans="1:33" ht="20.25" customHeight="1">
      <c r="A162" s="13">
        <v>161</v>
      </c>
      <c r="B162" s="1" t="str">
        <f ca="1"/>
        <v>SBI General Insurance Company Ltd</v>
      </c>
      <c r="C162" s="13" t="str">
        <f ca="1"/>
        <v>2531991</v>
      </c>
      <c r="D162" s="13" t="str">
        <f ca="1"/>
        <v>S002-1161-SS-2025</v>
      </c>
      <c r="E162" s="13">
        <f ca="1"/>
        <v>14</v>
      </c>
      <c r="F162" s="14">
        <f ca="1"/>
        <v>45999</v>
      </c>
      <c r="G162" s="14">
        <f ca="1"/>
        <v>46013</v>
      </c>
      <c r="H162" s="1" t="str">
        <f>IF(Back_End_Data!G162="Completed","Yes","No")</f>
        <v>No</v>
      </c>
      <c r="I162" s="1" t="str">
        <f>IF(Back_End_Data!I162="Completed","Yes","No")</f>
        <v>No</v>
      </c>
      <c r="J162" s="1" t="str">
        <f>IF(Back_End_Data!J162="Completed","Yes","No")</f>
        <v>No</v>
      </c>
      <c r="K162" s="1" t="str">
        <f>IF(Back_End_Data!K162="Completed","Yes","No")</f>
        <v>No</v>
      </c>
      <c r="L162" s="1" t="str">
        <f>IF(Back_End_Data!L162="", "No", Back_End_Data!L162)</f>
        <v>NA</v>
      </c>
      <c r="M162" s="1" t="str">
        <f>IF(Back_End_Data!N162="", "No", Back_End_Data!N162)</f>
        <v>NA</v>
      </c>
      <c r="N162" s="1" t="str">
        <f>IF(Back_End_Data!M162="", "No", Back_End_Data!M162)</f>
        <v>NA</v>
      </c>
      <c r="O162" s="1" t="str">
        <f>IF(Back_End_Data!O162="Completed","Yes","No")</f>
        <v>No</v>
      </c>
      <c r="P162" s="1" t="str">
        <f>IF(Back_End_Data!H162="Completed","Yes","No")</f>
        <v>No</v>
      </c>
      <c r="Q162" s="1" t="str">
        <f>IF(Back_End_Data!P162="Completed","Yes","No")</f>
        <v>No</v>
      </c>
      <c r="R162" s="1" t="s">
        <v>2369</v>
      </c>
      <c r="S162" s="1" t="str">
        <f>IF(Back_End_Data!R162="Completed","Yes","No")</f>
        <v>Yes</v>
      </c>
      <c r="T162" s="1" t="str">
        <f>IF(Back_End_Data!S162="Yes","Yes","No")</f>
        <v>No</v>
      </c>
      <c r="U162" s="1" t="str">
        <f>IF(Back_End_Data!Q161="Completed","Yes","No")</f>
        <v>No</v>
      </c>
      <c r="V162" s="1" t="str">
        <f ca="1">IF(INDEX(MIS_Backend_Data!L:L, MATCH(D162, MIS_Backend_Data!B:B, 1)) = "WT", "Yes", "No")</f>
        <v>No</v>
      </c>
      <c r="W162" s="2" t="str">
        <f t="shared" ca="1" si="6"/>
        <v>Reject</v>
      </c>
      <c r="Z162" s="1">
        <f ca="1"/>
        <v>0</v>
      </c>
      <c r="AA162" s="1">
        <f t="shared" ca="1" si="7"/>
        <v>1</v>
      </c>
      <c r="AC162" s="1" t="str">
        <f ca="1"/>
        <v>Dispatch</v>
      </c>
      <c r="AG162" s="1" t="str">
        <f t="shared" si="8"/>
        <v/>
      </c>
    </row>
    <row r="163" spans="1:33" ht="20.25" customHeight="1">
      <c r="A163" s="13">
        <v>162</v>
      </c>
      <c r="B163" s="1" t="str">
        <f ca="1"/>
        <v>SBI General Insurance Company Ltd</v>
      </c>
      <c r="C163" s="13" t="str">
        <f ca="1"/>
        <v>2675217</v>
      </c>
      <c r="D163" s="13" t="str">
        <f ca="1"/>
        <v>S002-1162-SS-2025</v>
      </c>
      <c r="E163" s="13">
        <f ca="1"/>
        <v>16</v>
      </c>
      <c r="F163" s="14">
        <f ca="1"/>
        <v>45999</v>
      </c>
      <c r="G163" s="14">
        <f ca="1"/>
        <v>46015</v>
      </c>
      <c r="H163" s="1" t="str">
        <f>IF(Back_End_Data!G163="Completed","Yes","No")</f>
        <v>No</v>
      </c>
      <c r="I163" s="1" t="str">
        <f>IF(Back_End_Data!I163="Completed","Yes","No")</f>
        <v>No</v>
      </c>
      <c r="J163" s="1" t="str">
        <f>IF(Back_End_Data!J163="Completed","Yes","No")</f>
        <v>No</v>
      </c>
      <c r="K163" s="1" t="str">
        <f>IF(Back_End_Data!K163="Completed","Yes","No")</f>
        <v>No</v>
      </c>
      <c r="L163" s="1" t="str">
        <f>IF(Back_End_Data!L163="", "No", Back_End_Data!L163)</f>
        <v>NA</v>
      </c>
      <c r="M163" s="1" t="str">
        <f>IF(Back_End_Data!N163="", "No", Back_End_Data!N163)</f>
        <v>NA</v>
      </c>
      <c r="N163" s="1" t="str">
        <f>IF(Back_End_Data!M163="", "No", Back_End_Data!M163)</f>
        <v>NA</v>
      </c>
      <c r="O163" s="1" t="str">
        <f>IF(Back_End_Data!O163="Completed","Yes","No")</f>
        <v>No</v>
      </c>
      <c r="P163" s="1" t="str">
        <f>IF(Back_End_Data!H163="Completed","Yes","No")</f>
        <v>No</v>
      </c>
      <c r="Q163" s="1" t="str">
        <f>IF(Back_End_Data!P163="Completed","Yes","No")</f>
        <v>No</v>
      </c>
      <c r="R163" s="1" t="s">
        <v>2369</v>
      </c>
      <c r="S163" s="1" t="str">
        <f>IF(Back_End_Data!R163="Completed","Yes","No")</f>
        <v>Yes</v>
      </c>
      <c r="T163" s="1" t="str">
        <f>IF(Back_End_Data!S163="Yes","Yes","No")</f>
        <v>No</v>
      </c>
      <c r="U163" s="1" t="str">
        <f>IF(Back_End_Data!Q162="Completed","Yes","No")</f>
        <v>No</v>
      </c>
      <c r="V163" s="1" t="str">
        <f ca="1">IF(INDEX(MIS_Backend_Data!L:L, MATCH(D163, MIS_Backend_Data!B:B, 1)) = "WT", "Yes", "No")</f>
        <v>No</v>
      </c>
      <c r="W163" s="2" t="str">
        <f t="shared" ca="1" si="6"/>
        <v>Reject</v>
      </c>
      <c r="Z163" s="1">
        <f ca="1"/>
        <v>0</v>
      </c>
      <c r="AA163" s="1">
        <f t="shared" ca="1" si="7"/>
        <v>1</v>
      </c>
      <c r="AC163" s="1" t="str">
        <f ca="1"/>
        <v>Dispatch</v>
      </c>
      <c r="AG163" s="1" t="str">
        <f t="shared" si="8"/>
        <v/>
      </c>
    </row>
    <row r="164" spans="1:33" ht="20.25" customHeight="1">
      <c r="A164" s="13">
        <v>163</v>
      </c>
      <c r="B164" s="1" t="str">
        <f ca="1"/>
        <v>Indusind General Insurance Co Ltd</v>
      </c>
      <c r="C164" s="13" t="str">
        <f ca="1"/>
        <v>2025201616</v>
      </c>
      <c r="D164" s="13" t="str">
        <f ca="1"/>
        <v>R001-1163-SS-2025</v>
      </c>
      <c r="E164" s="13">
        <f ca="1"/>
        <v>260</v>
      </c>
      <c r="F164" s="14">
        <f ca="1"/>
        <v>45767</v>
      </c>
      <c r="G164" s="14" t="str">
        <f ca="1"/>
        <v>-</v>
      </c>
      <c r="H164" s="1" t="str">
        <f>IF(Back_End_Data!G164="Completed","Yes","No")</f>
        <v>No</v>
      </c>
      <c r="I164" s="1" t="str">
        <f>IF(Back_End_Data!I164="Completed","Yes","No")</f>
        <v>No</v>
      </c>
      <c r="J164" s="1" t="str">
        <f>IF(Back_End_Data!J164="Completed","Yes","No")</f>
        <v>No</v>
      </c>
      <c r="K164" s="1" t="str">
        <f>IF(Back_End_Data!K164="Completed","Yes","No")</f>
        <v>No</v>
      </c>
      <c r="L164" s="1" t="str">
        <f>IF(Back_End_Data!L164="", "No", Back_End_Data!L164)</f>
        <v>NA</v>
      </c>
      <c r="M164" s="1" t="str">
        <f>IF(Back_End_Data!N164="", "No", Back_End_Data!N164)</f>
        <v>NA</v>
      </c>
      <c r="N164" s="1" t="str">
        <f>IF(Back_End_Data!M164="", "No", Back_End_Data!M164)</f>
        <v>NA</v>
      </c>
      <c r="O164" s="1" t="str">
        <f>IF(Back_End_Data!O164="Completed","Yes","No")</f>
        <v>No</v>
      </c>
      <c r="P164" s="1" t="str">
        <f>IF(Back_End_Data!H164="Completed","Yes","No")</f>
        <v>No</v>
      </c>
      <c r="Q164" s="1" t="str">
        <f>IF(Back_End_Data!P164="Completed","Yes","No")</f>
        <v>No</v>
      </c>
      <c r="R164" s="1" t="s">
        <v>2369</v>
      </c>
      <c r="S164" s="1" t="str">
        <f>IF(Back_End_Data!R164="Completed","Yes","No")</f>
        <v>Yes</v>
      </c>
      <c r="T164" s="1" t="str">
        <f>IF(Back_End_Data!S164="Yes","Yes","No")</f>
        <v>No</v>
      </c>
      <c r="U164" s="1" t="str">
        <f>IF(Back_End_Data!Q163="Completed","Yes","No")</f>
        <v>No</v>
      </c>
      <c r="V164" s="1" t="str">
        <f ca="1">IF(INDEX(MIS_Backend_Data!L:L, MATCH(D164, MIS_Backend_Data!B:B, 1)) = "WT", "Yes", "No")</f>
        <v>No</v>
      </c>
      <c r="W164" s="2" t="str">
        <f t="shared" ca="1" si="6"/>
        <v>Reject</v>
      </c>
      <c r="Z164" s="1">
        <f ca="1"/>
        <v>0</v>
      </c>
      <c r="AA164" s="1">
        <f t="shared" ca="1" si="7"/>
        <v>1</v>
      </c>
      <c r="AC164" s="1" t="str">
        <f ca="1"/>
        <v>Open</v>
      </c>
      <c r="AG164" s="1" t="str">
        <f t="shared" si="8"/>
        <v/>
      </c>
    </row>
    <row r="165" spans="1:33" ht="20.25" customHeight="1">
      <c r="A165" s="13">
        <v>164</v>
      </c>
      <c r="B165" s="1" t="str">
        <f ca="1"/>
        <v>Indusind General Insurance Co Ltd</v>
      </c>
      <c r="C165" s="13" t="str">
        <f ca="1"/>
        <v>2025202958</v>
      </c>
      <c r="D165" s="13" t="str">
        <f ca="1"/>
        <v>R001-1164-SS-2025</v>
      </c>
      <c r="E165" s="13">
        <f ca="1"/>
        <v>293</v>
      </c>
      <c r="F165" s="14">
        <f ca="1"/>
        <v>45734</v>
      </c>
      <c r="G165" s="14" t="str">
        <f ca="1"/>
        <v>-</v>
      </c>
      <c r="H165" s="1" t="str">
        <f>IF(Back_End_Data!G165="Completed","Yes","No")</f>
        <v>No</v>
      </c>
      <c r="I165" s="1" t="str">
        <f>IF(Back_End_Data!I165="Completed","Yes","No")</f>
        <v>No</v>
      </c>
      <c r="J165" s="1" t="str">
        <f>IF(Back_End_Data!J165="Completed","Yes","No")</f>
        <v>No</v>
      </c>
      <c r="K165" s="1" t="str">
        <f>IF(Back_End_Data!K165="Completed","Yes","No")</f>
        <v>No</v>
      </c>
      <c r="L165" s="1" t="str">
        <f>IF(Back_End_Data!L165="", "No", Back_End_Data!L165)</f>
        <v>NA</v>
      </c>
      <c r="M165" s="1" t="str">
        <f>IF(Back_End_Data!N165="", "No", Back_End_Data!N165)</f>
        <v>NA</v>
      </c>
      <c r="N165" s="1" t="str">
        <f>IF(Back_End_Data!M165="", "No", Back_End_Data!M165)</f>
        <v>NA</v>
      </c>
      <c r="O165" s="1" t="str">
        <f>IF(Back_End_Data!O165="Completed","Yes","No")</f>
        <v>No</v>
      </c>
      <c r="P165" s="1" t="str">
        <f>IF(Back_End_Data!H165="Completed","Yes","No")</f>
        <v>No</v>
      </c>
      <c r="Q165" s="1" t="str">
        <f>IF(Back_End_Data!P165="Completed","Yes","No")</f>
        <v>No</v>
      </c>
      <c r="R165" s="1" t="s">
        <v>2369</v>
      </c>
      <c r="S165" s="1" t="str">
        <f>IF(Back_End_Data!R165="Completed","Yes","No")</f>
        <v>No</v>
      </c>
      <c r="T165" s="1" t="str">
        <f>IF(Back_End_Data!S165="Yes","Yes","No")</f>
        <v>No</v>
      </c>
      <c r="U165" s="1" t="str">
        <f>IF(Back_End_Data!Q164="Completed","Yes","No")</f>
        <v>No</v>
      </c>
      <c r="V165" s="1" t="str">
        <f ca="1">IF(INDEX(MIS_Backend_Data!L:L, MATCH(D165, MIS_Backend_Data!B:B, 1)) = "WT", "Yes", "No")</f>
        <v>No</v>
      </c>
      <c r="W165" s="2" t="str">
        <f t="shared" ca="1" si="6"/>
        <v>Approved</v>
      </c>
      <c r="Z165" s="1">
        <f ca="1"/>
        <v>0</v>
      </c>
      <c r="AA165" s="1">
        <f t="shared" ca="1" si="7"/>
        <v>0</v>
      </c>
      <c r="AC165" s="1" t="str">
        <f ca="1"/>
        <v>Open</v>
      </c>
      <c r="AG165" s="1" t="str">
        <f t="shared" si="8"/>
        <v/>
      </c>
    </row>
    <row r="166" spans="1:33" ht="20.25" customHeight="1">
      <c r="A166" s="13">
        <v>165</v>
      </c>
      <c r="B166" s="1" t="str">
        <f ca="1"/>
        <v>Indusind General Insurance Co Ltd</v>
      </c>
      <c r="C166" s="13" t="str">
        <f ca="1"/>
        <v>2025202883</v>
      </c>
      <c r="D166" s="13" t="str">
        <f ca="1"/>
        <v>R001-1165-SS-2025</v>
      </c>
      <c r="E166" s="13">
        <f ca="1"/>
        <v>293</v>
      </c>
      <c r="F166" s="14">
        <f ca="1"/>
        <v>45734</v>
      </c>
      <c r="G166" s="14" t="str">
        <f ca="1"/>
        <v>-</v>
      </c>
      <c r="H166" s="1" t="str">
        <f>IF(Back_End_Data!G166="Completed","Yes","No")</f>
        <v>Yes</v>
      </c>
      <c r="I166" s="1" t="str">
        <f>IF(Back_End_Data!I166="Completed","Yes","No")</f>
        <v>No</v>
      </c>
      <c r="J166" s="1" t="str">
        <f>IF(Back_End_Data!J166="Completed","Yes","No")</f>
        <v>No</v>
      </c>
      <c r="K166" s="1" t="str">
        <f>IF(Back_End_Data!K166="Completed","Yes","No")</f>
        <v>No</v>
      </c>
      <c r="L166" s="1" t="str">
        <f>IF(Back_End_Data!L166="", "No", Back_End_Data!L166)</f>
        <v>NA</v>
      </c>
      <c r="M166" s="1" t="str">
        <f>IF(Back_End_Data!N166="", "No", Back_End_Data!N166)</f>
        <v>NA</v>
      </c>
      <c r="N166" s="1" t="str">
        <f>IF(Back_End_Data!M166="", "No", Back_End_Data!M166)</f>
        <v>NA</v>
      </c>
      <c r="O166" s="1" t="str">
        <f>IF(Back_End_Data!O166="Completed","Yes","No")</f>
        <v>No</v>
      </c>
      <c r="P166" s="1" t="str">
        <f>IF(Back_End_Data!H166="Completed","Yes","No")</f>
        <v>No</v>
      </c>
      <c r="Q166" s="1" t="str">
        <f>IF(Back_End_Data!P166="Completed","Yes","No")</f>
        <v>No</v>
      </c>
      <c r="R166" s="1" t="s">
        <v>2369</v>
      </c>
      <c r="S166" s="1" t="str">
        <f>IF(Back_End_Data!R166="Completed","Yes","No")</f>
        <v>No</v>
      </c>
      <c r="T166" s="1" t="str">
        <f>IF(Back_End_Data!S166="Yes","Yes","No")</f>
        <v>No</v>
      </c>
      <c r="U166" s="1" t="str">
        <f>IF(Back_End_Data!Q165="Completed","Yes","No")</f>
        <v>No</v>
      </c>
      <c r="V166" s="1" t="str">
        <f ca="1">IF(INDEX(MIS_Backend_Data!L:L, MATCH(D166, MIS_Backend_Data!B:B, 1)) = "WT", "Yes", "No")</f>
        <v>No</v>
      </c>
      <c r="W166" s="2" t="str">
        <f t="shared" ca="1" si="6"/>
        <v>Reject</v>
      </c>
      <c r="Z166" s="1">
        <f ca="1"/>
        <v>0</v>
      </c>
      <c r="AA166" s="1">
        <f t="shared" ca="1" si="7"/>
        <v>1</v>
      </c>
      <c r="AC166" s="1" t="str">
        <f ca="1"/>
        <v>Open</v>
      </c>
      <c r="AG166" s="1" t="str">
        <f t="shared" si="8"/>
        <v/>
      </c>
    </row>
    <row r="167" spans="1:33" ht="20.25" customHeight="1">
      <c r="A167" s="13">
        <v>166</v>
      </c>
      <c r="B167" s="1" t="str">
        <f ca="1"/>
        <v>Indusind General Insurance Co Ltd</v>
      </c>
      <c r="C167" s="13" t="str">
        <f ca="1"/>
        <v>2024209819</v>
      </c>
      <c r="D167" s="13" t="str">
        <f ca="1"/>
        <v>R001-1166-SS-2025</v>
      </c>
      <c r="E167" s="13">
        <f ca="1"/>
        <v>462</v>
      </c>
      <c r="F167" s="14">
        <f ca="1"/>
        <v>45551</v>
      </c>
      <c r="G167" s="14">
        <f ca="1"/>
        <v>46013</v>
      </c>
      <c r="H167" s="1" t="str">
        <f>IF(Back_End_Data!G167="Completed","Yes","No")</f>
        <v>Yes</v>
      </c>
      <c r="I167" s="1" t="str">
        <f>IF(Back_End_Data!I167="Completed","Yes","No")</f>
        <v>Yes</v>
      </c>
      <c r="J167" s="1" t="str">
        <f>IF(Back_End_Data!J167="Completed","Yes","No")</f>
        <v>No</v>
      </c>
      <c r="K167" s="1" t="str">
        <f>IF(Back_End_Data!K167="Completed","Yes","No")</f>
        <v>No</v>
      </c>
      <c r="L167" s="1" t="str">
        <f>IF(Back_End_Data!L167="", "No", Back_End_Data!L167)</f>
        <v>NA</v>
      </c>
      <c r="M167" s="1" t="str">
        <f>IF(Back_End_Data!N167="", "No", Back_End_Data!N167)</f>
        <v>NA</v>
      </c>
      <c r="N167" s="1" t="str">
        <f>IF(Back_End_Data!M167="", "No", Back_End_Data!M167)</f>
        <v>NA</v>
      </c>
      <c r="O167" s="1" t="str">
        <f>IF(Back_End_Data!O167="Completed","Yes","No")</f>
        <v>No</v>
      </c>
      <c r="P167" s="1" t="str">
        <f>IF(Back_End_Data!H167="Completed","Yes","No")</f>
        <v>No</v>
      </c>
      <c r="Q167" s="1" t="str">
        <f>IF(Back_End_Data!P167="Completed","Yes","No")</f>
        <v>Yes</v>
      </c>
      <c r="R167" s="1" t="s">
        <v>2369</v>
      </c>
      <c r="S167" s="1" t="str">
        <f>IF(Back_End_Data!R167="Completed","Yes","No")</f>
        <v>No</v>
      </c>
      <c r="T167" s="1" t="str">
        <f>IF(Back_End_Data!S167="Yes","Yes","No")</f>
        <v>No</v>
      </c>
      <c r="U167" s="1" t="str">
        <f>IF(Back_End_Data!Q166="Completed","Yes","No")</f>
        <v>No</v>
      </c>
      <c r="V167" s="1" t="str">
        <f ca="1">IF(INDEX(MIS_Backend_Data!L:L, MATCH(D167, MIS_Backend_Data!B:B, 1)) = "WT", "Yes", "No")</f>
        <v>No</v>
      </c>
      <c r="W167" s="2" t="str">
        <f t="shared" ca="1" si="6"/>
        <v>Reject</v>
      </c>
      <c r="Z167" s="1">
        <f ca="1"/>
        <v>0</v>
      </c>
      <c r="AA167" s="1">
        <f t="shared" ca="1" si="7"/>
        <v>3</v>
      </c>
      <c r="AC167" s="1" t="str">
        <f ca="1"/>
        <v>Dispatch</v>
      </c>
      <c r="AG167" s="1" t="str">
        <f t="shared" si="8"/>
        <v/>
      </c>
    </row>
    <row r="168" spans="1:33" ht="20.25" customHeight="1">
      <c r="A168" s="13">
        <v>167</v>
      </c>
      <c r="B168" s="1" t="str">
        <f ca="1"/>
        <v>Indusind General Insurance Co Ltd</v>
      </c>
      <c r="C168" s="13" t="str">
        <f ca="1"/>
        <v>2025202179</v>
      </c>
      <c r="D168" s="13" t="str">
        <f ca="1"/>
        <v>R001-1167-SS-2025</v>
      </c>
      <c r="E168" s="13">
        <f ca="1"/>
        <v>308</v>
      </c>
      <c r="F168" s="14">
        <f ca="1"/>
        <v>45719</v>
      </c>
      <c r="G168" s="14" t="str">
        <f ca="1"/>
        <v>-</v>
      </c>
      <c r="H168" s="1" t="str">
        <f>IF(Back_End_Data!G168="Completed","Yes","No")</f>
        <v>Yes</v>
      </c>
      <c r="I168" s="1" t="str">
        <f>IF(Back_End_Data!I168="Completed","Yes","No")</f>
        <v>No</v>
      </c>
      <c r="J168" s="1" t="str">
        <f>IF(Back_End_Data!J168="Completed","Yes","No")</f>
        <v>No</v>
      </c>
      <c r="K168" s="1" t="str">
        <f>IF(Back_End_Data!K168="Completed","Yes","No")</f>
        <v>No</v>
      </c>
      <c r="L168" s="1" t="str">
        <f>IF(Back_End_Data!L168="", "No", Back_End_Data!L168)</f>
        <v>NA</v>
      </c>
      <c r="M168" s="1" t="str">
        <f>IF(Back_End_Data!N168="", "No", Back_End_Data!N168)</f>
        <v>NA</v>
      </c>
      <c r="N168" s="1" t="str">
        <f>IF(Back_End_Data!M168="", "No", Back_End_Data!M168)</f>
        <v>NA</v>
      </c>
      <c r="O168" s="1" t="str">
        <f>IF(Back_End_Data!O168="Completed","Yes","No")</f>
        <v>No</v>
      </c>
      <c r="P168" s="1" t="str">
        <f>IF(Back_End_Data!H168="Completed","Yes","No")</f>
        <v>No</v>
      </c>
      <c r="Q168" s="1" t="str">
        <f>IF(Back_End_Data!P168="Completed","Yes","No")</f>
        <v>No</v>
      </c>
      <c r="R168" s="1" t="s">
        <v>2369</v>
      </c>
      <c r="S168" s="1" t="str">
        <f>IF(Back_End_Data!R168="Completed","Yes","No")</f>
        <v>No</v>
      </c>
      <c r="T168" s="1" t="str">
        <f>IF(Back_End_Data!S168="Yes","Yes","No")</f>
        <v>No</v>
      </c>
      <c r="U168" s="1" t="str">
        <f>IF(Back_End_Data!Q167="Completed","Yes","No")</f>
        <v>No</v>
      </c>
      <c r="V168" s="1" t="str">
        <f ca="1">IF(INDEX(MIS_Backend_Data!L:L, MATCH(D168, MIS_Backend_Data!B:B, 1)) = "WT", "Yes", "No")</f>
        <v>No</v>
      </c>
      <c r="W168" s="2" t="str">
        <f t="shared" ca="1" si="6"/>
        <v>Reject</v>
      </c>
      <c r="Z168" s="1">
        <f ca="1"/>
        <v>0</v>
      </c>
      <c r="AA168" s="1">
        <f t="shared" ca="1" si="7"/>
        <v>1</v>
      </c>
      <c r="AC168" s="1" t="str">
        <f ca="1"/>
        <v>Open</v>
      </c>
      <c r="AG168" s="1" t="str">
        <f t="shared" si="8"/>
        <v/>
      </c>
    </row>
    <row r="169" spans="1:33" ht="20.25" customHeight="1">
      <c r="A169" s="13">
        <v>168</v>
      </c>
      <c r="B169" s="1" t="str">
        <f ca="1"/>
        <v>Indusind General Insurance Co Ltd</v>
      </c>
      <c r="C169" s="13" t="str">
        <f ca="1"/>
        <v>2025200082</v>
      </c>
      <c r="D169" s="13" t="str">
        <f ca="1"/>
        <v>R001-1168-SS-2025</v>
      </c>
      <c r="E169" s="13">
        <f ca="1"/>
        <v>339</v>
      </c>
      <c r="F169" s="14">
        <f ca="1"/>
        <v>45688</v>
      </c>
      <c r="G169" s="14" t="str">
        <f ca="1"/>
        <v>-</v>
      </c>
      <c r="H169" s="1" t="str">
        <f>IF(Back_End_Data!G169="Completed","Yes","No")</f>
        <v>Yes</v>
      </c>
      <c r="I169" s="1" t="str">
        <f>IF(Back_End_Data!I169="Completed","Yes","No")</f>
        <v>Yes</v>
      </c>
      <c r="J169" s="1" t="str">
        <f>IF(Back_End_Data!J169="Completed","Yes","No")</f>
        <v>No</v>
      </c>
      <c r="K169" s="1" t="str">
        <f>IF(Back_End_Data!K169="Completed","Yes","No")</f>
        <v>No</v>
      </c>
      <c r="L169" s="1" t="str">
        <f>IF(Back_End_Data!L169="", "No", Back_End_Data!L169)</f>
        <v>NA</v>
      </c>
      <c r="M169" s="1" t="str">
        <f>IF(Back_End_Data!N169="", "No", Back_End_Data!N169)</f>
        <v>NA</v>
      </c>
      <c r="N169" s="1" t="str">
        <f>IF(Back_End_Data!M169="", "No", Back_End_Data!M169)</f>
        <v>NA</v>
      </c>
      <c r="O169" s="1" t="str">
        <f>IF(Back_End_Data!O169="Completed","Yes","No")</f>
        <v>No</v>
      </c>
      <c r="P169" s="1" t="str">
        <f>IF(Back_End_Data!H169="Completed","Yes","No")</f>
        <v>No</v>
      </c>
      <c r="Q169" s="1" t="str">
        <f>IF(Back_End_Data!P169="Completed","Yes","No")</f>
        <v>Yes</v>
      </c>
      <c r="R169" s="1" t="s">
        <v>2369</v>
      </c>
      <c r="S169" s="1" t="str">
        <f>IF(Back_End_Data!R169="Completed","Yes","No")</f>
        <v>No</v>
      </c>
      <c r="T169" s="1" t="str">
        <f>IF(Back_End_Data!S169="Yes","Yes","No")</f>
        <v>No</v>
      </c>
      <c r="U169" s="1" t="str">
        <f>IF(Back_End_Data!Q168="Completed","Yes","No")</f>
        <v>Yes</v>
      </c>
      <c r="V169" s="1" t="str">
        <f ca="1">IF(INDEX(MIS_Backend_Data!L:L, MATCH(D169, MIS_Backend_Data!B:B, 1)) = "WT", "Yes", "No")</f>
        <v>No</v>
      </c>
      <c r="W169" s="2" t="str">
        <f t="shared" ca="1" si="6"/>
        <v>Reject</v>
      </c>
      <c r="Z169" s="1">
        <f ca="1"/>
        <v>0</v>
      </c>
      <c r="AA169" s="1">
        <f t="shared" ca="1" si="7"/>
        <v>4</v>
      </c>
      <c r="AC169" s="1" t="str">
        <f ca="1"/>
        <v>Open</v>
      </c>
      <c r="AG169" s="1" t="str">
        <f t="shared" si="8"/>
        <v/>
      </c>
    </row>
    <row r="170" spans="1:33" ht="20.25" customHeight="1">
      <c r="A170" s="13">
        <v>169</v>
      </c>
      <c r="B170" s="1" t="str">
        <f ca="1"/>
        <v>Indusind General Insurance Co Ltd</v>
      </c>
      <c r="C170" s="13" t="str">
        <f ca="1"/>
        <v>2025200765</v>
      </c>
      <c r="D170" s="13" t="str">
        <f ca="1"/>
        <v>R001-1169-SS-2025</v>
      </c>
      <c r="E170" s="13">
        <f ca="1"/>
        <v>346</v>
      </c>
      <c r="F170" s="14">
        <f ca="1"/>
        <v>45681</v>
      </c>
      <c r="G170" s="14" t="str">
        <f ca="1"/>
        <v>-</v>
      </c>
      <c r="H170" s="1" t="str">
        <f>IF(Back_End_Data!G170="Completed","Yes","No")</f>
        <v>Yes</v>
      </c>
      <c r="I170" s="1" t="str">
        <f>IF(Back_End_Data!I170="Completed","Yes","No")</f>
        <v>Yes</v>
      </c>
      <c r="J170" s="1" t="str">
        <f>IF(Back_End_Data!J170="Completed","Yes","No")</f>
        <v>No</v>
      </c>
      <c r="K170" s="1" t="str">
        <f>IF(Back_End_Data!K170="Completed","Yes","No")</f>
        <v>No</v>
      </c>
      <c r="L170" s="1" t="str">
        <f>IF(Back_End_Data!L170="", "No", Back_End_Data!L170)</f>
        <v>NA</v>
      </c>
      <c r="M170" s="1" t="str">
        <f>IF(Back_End_Data!N170="", "No", Back_End_Data!N170)</f>
        <v>NA</v>
      </c>
      <c r="N170" s="1" t="str">
        <f>IF(Back_End_Data!M170="", "No", Back_End_Data!M170)</f>
        <v>NA</v>
      </c>
      <c r="O170" s="1" t="str">
        <f>IF(Back_End_Data!O170="Completed","Yes","No")</f>
        <v>No</v>
      </c>
      <c r="P170" s="1" t="str">
        <f>IF(Back_End_Data!H170="Completed","Yes","No")</f>
        <v>No</v>
      </c>
      <c r="Q170" s="1" t="str">
        <f>IF(Back_End_Data!P170="Completed","Yes","No")</f>
        <v>Yes</v>
      </c>
      <c r="R170" s="1" t="s">
        <v>2369</v>
      </c>
      <c r="S170" s="1" t="str">
        <f>IF(Back_End_Data!R170="Completed","Yes","No")</f>
        <v>No</v>
      </c>
      <c r="T170" s="1" t="str">
        <f>IF(Back_End_Data!S170="Yes","Yes","No")</f>
        <v>No</v>
      </c>
      <c r="U170" s="1" t="str">
        <f>IF(Back_End_Data!Q169="Completed","Yes","No")</f>
        <v>No</v>
      </c>
      <c r="V170" s="1" t="str">
        <f ca="1">IF(INDEX(MIS_Backend_Data!L:L, MATCH(D170, MIS_Backend_Data!B:B, 1)) = "WT", "Yes", "No")</f>
        <v>No</v>
      </c>
      <c r="W170" s="2" t="str">
        <f t="shared" ca="1" si="6"/>
        <v>Reject</v>
      </c>
      <c r="Z170" s="1">
        <f ca="1"/>
        <v>0</v>
      </c>
      <c r="AA170" s="1">
        <f t="shared" ca="1" si="7"/>
        <v>3</v>
      </c>
      <c r="AC170" s="1" t="str">
        <f ca="1"/>
        <v>Open</v>
      </c>
      <c r="AG170" s="1" t="str">
        <f t="shared" si="8"/>
        <v/>
      </c>
    </row>
    <row r="171" spans="1:33" ht="20.25" customHeight="1">
      <c r="A171" s="13">
        <v>170</v>
      </c>
      <c r="B171" s="1" t="str">
        <f ca="1"/>
        <v>Indusind General Insurance Co Ltd</v>
      </c>
      <c r="C171" s="13" t="str">
        <f ca="1"/>
        <v>2024215431</v>
      </c>
      <c r="D171" s="13" t="str">
        <f ca="1"/>
        <v>R001-1170-SS-2025</v>
      </c>
      <c r="E171" s="13">
        <f ca="1"/>
        <v>345</v>
      </c>
      <c r="F171" s="14">
        <f ca="1"/>
        <v>45680</v>
      </c>
      <c r="G171" s="14">
        <f ca="1"/>
        <v>46025</v>
      </c>
      <c r="H171" s="1" t="str">
        <f>IF(Back_End_Data!G171="Completed","Yes","No")</f>
        <v>Yes</v>
      </c>
      <c r="I171" s="1" t="str">
        <f>IF(Back_End_Data!I171="Completed","Yes","No")</f>
        <v>Yes</v>
      </c>
      <c r="J171" s="1" t="str">
        <f>IF(Back_End_Data!J171="Completed","Yes","No")</f>
        <v>No</v>
      </c>
      <c r="K171" s="1" t="str">
        <f>IF(Back_End_Data!K171="Completed","Yes","No")</f>
        <v>Yes</v>
      </c>
      <c r="L171" s="1" t="str">
        <f>IF(Back_End_Data!L171="", "No", Back_End_Data!L171)</f>
        <v>NA</v>
      </c>
      <c r="M171" s="1" t="str">
        <f>IF(Back_End_Data!N171="", "No", Back_End_Data!N171)</f>
        <v>NA</v>
      </c>
      <c r="N171" s="1" t="str">
        <f>IF(Back_End_Data!M171="", "No", Back_End_Data!M171)</f>
        <v>NA</v>
      </c>
      <c r="O171" s="1" t="str">
        <f>IF(Back_End_Data!O171="Completed","Yes","No")</f>
        <v>No</v>
      </c>
      <c r="P171" s="1" t="str">
        <f>IF(Back_End_Data!H171="Completed","Yes","No")</f>
        <v>No</v>
      </c>
      <c r="Q171" s="1" t="str">
        <f>IF(Back_End_Data!P171="Completed","Yes","No")</f>
        <v>Yes</v>
      </c>
      <c r="R171" s="1" t="s">
        <v>2369</v>
      </c>
      <c r="S171" s="1" t="str">
        <f>IF(Back_End_Data!R171="Completed","Yes","No")</f>
        <v>No</v>
      </c>
      <c r="T171" s="1" t="str">
        <f>IF(Back_End_Data!S171="Yes","Yes","No")</f>
        <v>No</v>
      </c>
      <c r="U171" s="1" t="str">
        <f>IF(Back_End_Data!Q170="Completed","Yes","No")</f>
        <v>No</v>
      </c>
      <c r="V171" s="1" t="str">
        <f ca="1">IF(INDEX(MIS_Backend_Data!L:L, MATCH(D171, MIS_Backend_Data!B:B, 1)) = "WT", "Yes", "No")</f>
        <v>No</v>
      </c>
      <c r="W171" s="2" t="str">
        <f t="shared" ca="1" si="6"/>
        <v>Reject</v>
      </c>
      <c r="Z171" s="1">
        <f ca="1"/>
        <v>0</v>
      </c>
      <c r="AA171" s="1">
        <f t="shared" ca="1" si="7"/>
        <v>4</v>
      </c>
      <c r="AC171" s="1" t="str">
        <f ca="1"/>
        <v>Open</v>
      </c>
      <c r="AG171" s="1" t="str">
        <f t="shared" si="8"/>
        <v/>
      </c>
    </row>
    <row r="172" spans="1:33" ht="20.25" customHeight="1">
      <c r="A172" s="13">
        <v>171</v>
      </c>
      <c r="B172" s="1" t="str">
        <f ca="1"/>
        <v>SBI General Insurance Company Ltd</v>
      </c>
      <c r="C172" s="13" t="str">
        <f ca="1"/>
        <v>2532036</v>
      </c>
      <c r="D172" s="13" t="str">
        <f ca="1"/>
        <v>S002-1171-SS-2025</v>
      </c>
      <c r="E172" s="13">
        <f ca="1"/>
        <v>6</v>
      </c>
      <c r="F172" s="14">
        <f ca="1"/>
        <v>46000</v>
      </c>
      <c r="G172" s="14">
        <f ca="1"/>
        <v>46006</v>
      </c>
      <c r="H172" s="1" t="str">
        <f>IF(Back_End_Data!G172="Completed","Yes","No")</f>
        <v>Yes</v>
      </c>
      <c r="I172" s="1" t="str">
        <f>IF(Back_End_Data!I172="Completed","Yes","No")</f>
        <v>Yes</v>
      </c>
      <c r="J172" s="1" t="str">
        <f>IF(Back_End_Data!J172="Completed","Yes","No")</f>
        <v>No</v>
      </c>
      <c r="K172" s="1" t="str">
        <f>IF(Back_End_Data!K172="Completed","Yes","No")</f>
        <v>No</v>
      </c>
      <c r="L172" s="1" t="str">
        <f>IF(Back_End_Data!L172="", "No", Back_End_Data!L172)</f>
        <v>NA</v>
      </c>
      <c r="M172" s="1" t="str">
        <f>IF(Back_End_Data!N172="", "No", Back_End_Data!N172)</f>
        <v>NA</v>
      </c>
      <c r="N172" s="1" t="str">
        <f>IF(Back_End_Data!M172="", "No", Back_End_Data!M172)</f>
        <v>NA</v>
      </c>
      <c r="O172" s="1" t="str">
        <f>IF(Back_End_Data!O172="Completed","Yes","No")</f>
        <v>No</v>
      </c>
      <c r="P172" s="1" t="str">
        <f>IF(Back_End_Data!H172="Completed","Yes","No")</f>
        <v>No</v>
      </c>
      <c r="Q172" s="1" t="str">
        <f>IF(Back_End_Data!P172="Completed","Yes","No")</f>
        <v>Yes</v>
      </c>
      <c r="R172" s="1" t="s">
        <v>2369</v>
      </c>
      <c r="S172" s="1" t="str">
        <f>IF(Back_End_Data!R172="Completed","Yes","No")</f>
        <v>No</v>
      </c>
      <c r="T172" s="1" t="str">
        <f>IF(Back_End_Data!S172="Yes","Yes","No")</f>
        <v>No</v>
      </c>
      <c r="U172" s="1" t="str">
        <f>IF(Back_End_Data!Q171="Completed","Yes","No")</f>
        <v>No</v>
      </c>
      <c r="V172" s="1" t="str">
        <f ca="1">IF(INDEX(MIS_Backend_Data!L:L, MATCH(D172, MIS_Backend_Data!B:B, 1)) = "WT", "Yes", "No")</f>
        <v>No</v>
      </c>
      <c r="W172" s="2" t="str">
        <f t="shared" ca="1" si="6"/>
        <v>Reject</v>
      </c>
      <c r="Z172" s="1">
        <f ca="1"/>
        <v>0</v>
      </c>
      <c r="AA172" s="1">
        <f t="shared" ca="1" si="7"/>
        <v>3</v>
      </c>
      <c r="AC172" s="1" t="str">
        <f ca="1"/>
        <v>Approval</v>
      </c>
      <c r="AG172" s="1" t="str">
        <f t="shared" si="8"/>
        <v/>
      </c>
    </row>
    <row r="173" spans="1:33" ht="20.25" customHeight="1">
      <c r="A173" s="13">
        <v>172</v>
      </c>
      <c r="B173" s="1" t="str">
        <f ca="1"/>
        <v>Indusind General Insurance Co Ltd</v>
      </c>
      <c r="C173" s="13" t="str">
        <f ca="1"/>
        <v>2024215780</v>
      </c>
      <c r="D173" s="13" t="str">
        <f ca="1"/>
        <v>R001-1172-SS-2025</v>
      </c>
      <c r="E173" s="13">
        <f ca="1"/>
        <v>0</v>
      </c>
      <c r="F173" s="14">
        <f ca="1"/>
        <v>45680</v>
      </c>
      <c r="G173" s="14">
        <f ca="1"/>
        <v>45845</v>
      </c>
      <c r="H173" s="1" t="str">
        <f>IF(Back_End_Data!G173="Completed","Yes","No")</f>
        <v>No</v>
      </c>
      <c r="I173" s="1" t="str">
        <f>IF(Back_End_Data!I173="Completed","Yes","No")</f>
        <v>No</v>
      </c>
      <c r="J173" s="1" t="str">
        <f>IF(Back_End_Data!J173="Completed","Yes","No")</f>
        <v>No</v>
      </c>
      <c r="K173" s="1" t="str">
        <f>IF(Back_End_Data!K173="Completed","Yes","No")</f>
        <v>No</v>
      </c>
      <c r="L173" s="1" t="str">
        <f>IF(Back_End_Data!L173="", "No", Back_End_Data!L173)</f>
        <v>NA</v>
      </c>
      <c r="M173" s="1" t="str">
        <f>IF(Back_End_Data!N173="", "No", Back_End_Data!N173)</f>
        <v>NA</v>
      </c>
      <c r="N173" s="1" t="str">
        <f>IF(Back_End_Data!M173="", "No", Back_End_Data!M173)</f>
        <v>NA</v>
      </c>
      <c r="O173" s="1" t="str">
        <f>IF(Back_End_Data!O173="Completed","Yes","No")</f>
        <v>No</v>
      </c>
      <c r="P173" s="1" t="str">
        <f>IF(Back_End_Data!H173="Completed","Yes","No")</f>
        <v>No</v>
      </c>
      <c r="Q173" s="1" t="str">
        <f>IF(Back_End_Data!P173="Completed","Yes","No")</f>
        <v>No</v>
      </c>
      <c r="R173" s="1" t="s">
        <v>2369</v>
      </c>
      <c r="S173" s="1" t="str">
        <f>IF(Back_End_Data!R173="Completed","Yes","No")</f>
        <v>Yes</v>
      </c>
      <c r="T173" s="1" t="str">
        <f>IF(Back_End_Data!S173="Yes","Yes","No")</f>
        <v>No</v>
      </c>
      <c r="U173" s="1" t="str">
        <f>IF(Back_End_Data!Q172="Completed","Yes","No")</f>
        <v>Yes</v>
      </c>
      <c r="V173" s="1" t="str">
        <f ca="1">IF(INDEX(MIS_Backend_Data!L:L, MATCH(D173, MIS_Backend_Data!B:B, 1)) = "WT", "Yes", "No")</f>
        <v>No</v>
      </c>
      <c r="W173" s="2" t="str">
        <f t="shared" ca="1" si="6"/>
        <v>Reject</v>
      </c>
      <c r="Z173" s="1">
        <f ca="1"/>
        <v>0</v>
      </c>
      <c r="AA173" s="1">
        <f t="shared" ca="1" si="7"/>
        <v>2</v>
      </c>
      <c r="AC173" s="1" t="str">
        <f ca="1"/>
        <v>Open</v>
      </c>
      <c r="AG173" s="1" t="str">
        <f t="shared" si="8"/>
        <v/>
      </c>
    </row>
    <row r="174" spans="1:33" ht="20.25" customHeight="1">
      <c r="A174" s="13">
        <v>173</v>
      </c>
      <c r="B174" s="1" t="str">
        <f ca="1"/>
        <v>Indusind General Insurance Co Ltd</v>
      </c>
      <c r="C174" s="13" t="str">
        <f ca="1"/>
        <v>2024215795</v>
      </c>
      <c r="D174" s="13" t="str">
        <f ca="1"/>
        <v>R001-1173-SS-2025</v>
      </c>
      <c r="E174" s="13">
        <f ca="1"/>
        <v>165</v>
      </c>
      <c r="F174" s="14">
        <f ca="1"/>
        <v>45680</v>
      </c>
      <c r="G174" s="14">
        <f ca="1"/>
        <v>45845</v>
      </c>
      <c r="H174" s="1" t="str">
        <f>IF(Back_End_Data!G174="Completed","Yes","No")</f>
        <v>Yes</v>
      </c>
      <c r="I174" s="1" t="str">
        <f>IF(Back_End_Data!I174="Completed","Yes","No")</f>
        <v>No</v>
      </c>
      <c r="J174" s="1" t="str">
        <f>IF(Back_End_Data!J174="Completed","Yes","No")</f>
        <v>No</v>
      </c>
      <c r="K174" s="1" t="str">
        <f>IF(Back_End_Data!K174="Completed","Yes","No")</f>
        <v>No</v>
      </c>
      <c r="L174" s="1" t="str">
        <f>IF(Back_End_Data!L174="", "No", Back_End_Data!L174)</f>
        <v>NA</v>
      </c>
      <c r="M174" s="1" t="str">
        <f>IF(Back_End_Data!N174="", "No", Back_End_Data!N174)</f>
        <v>NA</v>
      </c>
      <c r="N174" s="1" t="str">
        <f>IF(Back_End_Data!M174="", "No", Back_End_Data!M174)</f>
        <v>NA</v>
      </c>
      <c r="O174" s="1" t="str">
        <f>IF(Back_End_Data!O174="Completed","Yes","No")</f>
        <v>No</v>
      </c>
      <c r="P174" s="1" t="str">
        <f>IF(Back_End_Data!H174="Completed","Yes","No")</f>
        <v>No</v>
      </c>
      <c r="Q174" s="1" t="str">
        <f>IF(Back_End_Data!P174="Completed","Yes","No")</f>
        <v>No</v>
      </c>
      <c r="R174" s="1" t="s">
        <v>2369</v>
      </c>
      <c r="S174" s="1" t="str">
        <f>IF(Back_End_Data!R174="Completed","Yes","No")</f>
        <v>No</v>
      </c>
      <c r="T174" s="1" t="str">
        <f>IF(Back_End_Data!S174="Yes","Yes","No")</f>
        <v>No</v>
      </c>
      <c r="U174" s="1" t="str">
        <f>IF(Back_End_Data!Q173="Completed","Yes","No")</f>
        <v>No</v>
      </c>
      <c r="V174" s="1" t="str">
        <f ca="1">IF(INDEX(MIS_Backend_Data!L:L, MATCH(D174, MIS_Backend_Data!B:B, 1)) = "WT", "Yes", "No")</f>
        <v>No</v>
      </c>
      <c r="W174" s="2" t="str">
        <f t="shared" ca="1" si="6"/>
        <v>Reject</v>
      </c>
      <c r="Z174" s="1">
        <f ca="1"/>
        <v>0</v>
      </c>
      <c r="AA174" s="1">
        <f t="shared" ca="1" si="7"/>
        <v>1</v>
      </c>
      <c r="AC174" s="1" t="str">
        <f ca="1"/>
        <v>Open</v>
      </c>
      <c r="AG174" s="1" t="str">
        <f t="shared" si="8"/>
        <v/>
      </c>
    </row>
    <row r="175" spans="1:33" ht="20.25" customHeight="1">
      <c r="A175" s="13">
        <v>174</v>
      </c>
      <c r="B175" s="1" t="str">
        <f ca="1"/>
        <v>Indusind General Insurance Co Ltd</v>
      </c>
      <c r="C175" s="13" t="str">
        <f ca="1"/>
        <v>2024216019</v>
      </c>
      <c r="D175" s="13" t="str">
        <f ca="1"/>
        <v>R001-1174-SS-2025</v>
      </c>
      <c r="E175" s="13">
        <f ca="1"/>
        <v>0</v>
      </c>
      <c r="F175" s="14">
        <f ca="1"/>
        <v>45664</v>
      </c>
      <c r="G175" s="14">
        <f ca="1"/>
        <v>45922</v>
      </c>
      <c r="H175" s="1" t="str">
        <f>IF(Back_End_Data!G175="Completed","Yes","No")</f>
        <v>Yes</v>
      </c>
      <c r="I175" s="1" t="str">
        <f>IF(Back_End_Data!I175="Completed","Yes","No")</f>
        <v>Yes</v>
      </c>
      <c r="J175" s="1" t="str">
        <f>IF(Back_End_Data!J175="Completed","Yes","No")</f>
        <v>No</v>
      </c>
      <c r="K175" s="1" t="str">
        <f>IF(Back_End_Data!K175="Completed","Yes","No")</f>
        <v>No</v>
      </c>
      <c r="L175" s="1" t="str">
        <f>IF(Back_End_Data!L175="", "No", Back_End_Data!L175)</f>
        <v>NA</v>
      </c>
      <c r="M175" s="1" t="str">
        <f>IF(Back_End_Data!N175="", "No", Back_End_Data!N175)</f>
        <v>NA</v>
      </c>
      <c r="N175" s="1" t="str">
        <f>IF(Back_End_Data!M175="", "No", Back_End_Data!M175)</f>
        <v>NA</v>
      </c>
      <c r="O175" s="1" t="str">
        <f>IF(Back_End_Data!O175="Completed","Yes","No")</f>
        <v>No</v>
      </c>
      <c r="P175" s="1" t="str">
        <f>IF(Back_End_Data!H175="Completed","Yes","No")</f>
        <v>No</v>
      </c>
      <c r="Q175" s="1" t="str">
        <f>IF(Back_End_Data!P175="Completed","Yes","No")</f>
        <v>Yes</v>
      </c>
      <c r="R175" s="1" t="s">
        <v>2369</v>
      </c>
      <c r="S175" s="1" t="str">
        <f>IF(Back_End_Data!R175="Completed","Yes","No")</f>
        <v>No</v>
      </c>
      <c r="T175" s="1" t="str">
        <f>IF(Back_End_Data!S175="Yes","Yes","No")</f>
        <v>No</v>
      </c>
      <c r="U175" s="1" t="str">
        <f>IF(Back_End_Data!Q174="Completed","Yes","No")</f>
        <v>No</v>
      </c>
      <c r="V175" s="1" t="str">
        <f ca="1">IF(INDEX(MIS_Backend_Data!L:L, MATCH(D175, MIS_Backend_Data!B:B, 1)) = "WT", "Yes", "No")</f>
        <v>No</v>
      </c>
      <c r="W175" s="2" t="str">
        <f t="shared" ca="1" si="6"/>
        <v>Reject</v>
      </c>
      <c r="Z175" s="1">
        <f ca="1"/>
        <v>0</v>
      </c>
      <c r="AA175" s="1">
        <f t="shared" ca="1" si="7"/>
        <v>3</v>
      </c>
      <c r="AC175" s="1" t="str">
        <f ca="1"/>
        <v>Open</v>
      </c>
      <c r="AG175" s="1" t="str">
        <f t="shared" si="8"/>
        <v/>
      </c>
    </row>
    <row r="176" spans="1:33" ht="20.25" customHeight="1">
      <c r="A176" s="13">
        <v>175</v>
      </c>
      <c r="B176" s="1" t="str">
        <f ca="1"/>
        <v>Generali Central Insurance Company Limited</v>
      </c>
      <c r="C176" s="13" t="str">
        <f ca="1"/>
        <v>MTP-N-2526-005139</v>
      </c>
      <c r="D176" s="13" t="str">
        <f ca="1"/>
        <v>F001-1175-SS-2025</v>
      </c>
      <c r="E176" s="13">
        <f ca="1"/>
        <v>21</v>
      </c>
      <c r="F176" s="14">
        <f ca="1"/>
        <v>46006</v>
      </c>
      <c r="G176" s="14" t="str">
        <f ca="1"/>
        <v>-</v>
      </c>
      <c r="H176" s="1" t="str">
        <f>IF(Back_End_Data!G176="Completed","Yes","No")</f>
        <v>Yes</v>
      </c>
      <c r="I176" s="1" t="str">
        <f>IF(Back_End_Data!I176="Completed","Yes","No")</f>
        <v>Yes</v>
      </c>
      <c r="J176" s="1" t="str">
        <f>IF(Back_End_Data!J176="Completed","Yes","No")</f>
        <v>No</v>
      </c>
      <c r="K176" s="1" t="str">
        <f>IF(Back_End_Data!K176="Completed","Yes","No")</f>
        <v>Yes</v>
      </c>
      <c r="L176" s="1" t="str">
        <f>IF(Back_End_Data!L176="", "No", Back_End_Data!L176)</f>
        <v>NA</v>
      </c>
      <c r="M176" s="1" t="str">
        <f>IF(Back_End_Data!N176="", "No", Back_End_Data!N176)</f>
        <v>NA</v>
      </c>
      <c r="N176" s="1" t="str">
        <f>IF(Back_End_Data!M176="", "No", Back_End_Data!M176)</f>
        <v>NA</v>
      </c>
      <c r="O176" s="1" t="str">
        <f>IF(Back_End_Data!O176="Completed","Yes","No")</f>
        <v>No</v>
      </c>
      <c r="P176" s="1" t="str">
        <f>IF(Back_End_Data!H176="Completed","Yes","No")</f>
        <v>No</v>
      </c>
      <c r="Q176" s="1" t="str">
        <f>IF(Back_End_Data!P176="Completed","Yes","No")</f>
        <v>Yes</v>
      </c>
      <c r="R176" s="1" t="s">
        <v>2369</v>
      </c>
      <c r="S176" s="1" t="str">
        <f>IF(Back_End_Data!R176="Completed","Yes","No")</f>
        <v>No</v>
      </c>
      <c r="T176" s="1" t="str">
        <f>IF(Back_End_Data!S176="Yes","Yes","No")</f>
        <v>No</v>
      </c>
      <c r="U176" s="1" t="str">
        <f>IF(Back_End_Data!Q175="Completed","Yes","No")</f>
        <v>No</v>
      </c>
      <c r="V176" s="1" t="str">
        <f ca="1">IF(INDEX(MIS_Backend_Data!L:L, MATCH(D176, MIS_Backend_Data!B:B, 1)) = "WT", "Yes", "No")</f>
        <v>No</v>
      </c>
      <c r="W176" s="2" t="str">
        <f t="shared" ca="1" si="6"/>
        <v>Reject</v>
      </c>
      <c r="Z176" s="1">
        <f ca="1"/>
        <v>0</v>
      </c>
      <c r="AA176" s="1">
        <f t="shared" ca="1" si="7"/>
        <v>4</v>
      </c>
      <c r="AC176" s="1" t="str">
        <f ca="1"/>
        <v>Open</v>
      </c>
      <c r="AG176" s="1" t="str">
        <f t="shared" si="8"/>
        <v/>
      </c>
    </row>
    <row r="177" spans="1:33" ht="20.25" customHeight="1">
      <c r="A177" s="13">
        <v>176</v>
      </c>
      <c r="B177" s="1" t="str">
        <f ca="1"/>
        <v>Indusind General Insurance Co Ltd</v>
      </c>
      <c r="C177" s="13" t="str">
        <f ca="1"/>
        <v>2025213982</v>
      </c>
      <c r="D177" s="13" t="str">
        <f ca="1"/>
        <v>R001-1176-SS-2025</v>
      </c>
      <c r="E177" s="13">
        <f ca="1"/>
        <v>20</v>
      </c>
      <c r="F177" s="14">
        <f ca="1"/>
        <v>46007</v>
      </c>
      <c r="G177" s="14" t="str">
        <f ca="1"/>
        <v>-</v>
      </c>
      <c r="H177" s="1" t="str">
        <f>IF(Back_End_Data!G177="Completed","Yes","No")</f>
        <v>No</v>
      </c>
      <c r="I177" s="1" t="str">
        <f>IF(Back_End_Data!I177="Completed","Yes","No")</f>
        <v>No</v>
      </c>
      <c r="J177" s="1" t="str">
        <f>IF(Back_End_Data!J177="Completed","Yes","No")</f>
        <v>No</v>
      </c>
      <c r="K177" s="1" t="str">
        <f>IF(Back_End_Data!K177="Completed","Yes","No")</f>
        <v>No</v>
      </c>
      <c r="L177" s="1" t="str">
        <f>IF(Back_End_Data!L177="", "No", Back_End_Data!L177)</f>
        <v>NI</v>
      </c>
      <c r="M177" s="1" t="str">
        <f>IF(Back_End_Data!N177="", "No", Back_End_Data!N177)</f>
        <v>NA</v>
      </c>
      <c r="N177" s="1" t="str">
        <f>IF(Back_End_Data!M177="", "No", Back_End_Data!M177)</f>
        <v>NI</v>
      </c>
      <c r="O177" s="1" t="str">
        <f>IF(Back_End_Data!O177="Completed","Yes","No")</f>
        <v>No</v>
      </c>
      <c r="P177" s="1" t="str">
        <f>IF(Back_End_Data!H177="Completed","Yes","No")</f>
        <v>No</v>
      </c>
      <c r="Q177" s="1" t="str">
        <f>IF(Back_End_Data!P177="Completed","Yes","No")</f>
        <v>No</v>
      </c>
      <c r="R177" s="1" t="s">
        <v>2369</v>
      </c>
      <c r="S177" s="1" t="str">
        <f>IF(Back_End_Data!R177="Completed","Yes","No")</f>
        <v>No</v>
      </c>
      <c r="T177" s="1" t="str">
        <f>IF(Back_End_Data!S177="Yes","Yes","No")</f>
        <v>No</v>
      </c>
      <c r="U177" s="1" t="str">
        <f>IF(Back_End_Data!Q176="Completed","Yes","No")</f>
        <v>Yes</v>
      </c>
      <c r="V177" s="1" t="str">
        <f ca="1">IF(INDEX(MIS_Backend_Data!L:L, MATCH(D177, MIS_Backend_Data!B:B, 1)) = "WT", "Yes", "No")</f>
        <v>No</v>
      </c>
      <c r="W177" s="2" t="str">
        <f t="shared" ca="1" si="6"/>
        <v>Reject</v>
      </c>
      <c r="Z177" s="1">
        <f ca="1"/>
        <v>0</v>
      </c>
      <c r="AA177" s="1">
        <f t="shared" ca="1" si="7"/>
        <v>1</v>
      </c>
      <c r="AC177" s="1" t="str">
        <f ca="1"/>
        <v>Open</v>
      </c>
      <c r="AG177" s="1" t="str">
        <f t="shared" si="8"/>
        <v/>
      </c>
    </row>
    <row r="178" spans="1:33" ht="20.25" customHeight="1">
      <c r="A178" s="13">
        <v>177</v>
      </c>
      <c r="B178" s="1" t="str">
        <f ca="1"/>
        <v>Indusind General Insurance Co Ltd</v>
      </c>
      <c r="C178" s="13" t="str">
        <f ca="1"/>
        <v>2025213945</v>
      </c>
      <c r="D178" s="13" t="str">
        <f ca="1"/>
        <v>R001-1177-SS-2025</v>
      </c>
      <c r="E178" s="13">
        <f ca="1"/>
        <v>20</v>
      </c>
      <c r="F178" s="14">
        <f ca="1"/>
        <v>46007</v>
      </c>
      <c r="G178" s="14" t="str">
        <f ca="1"/>
        <v>-</v>
      </c>
      <c r="H178" s="1" t="str">
        <f>IF(Back_End_Data!G178="Completed","Yes","No")</f>
        <v>No</v>
      </c>
      <c r="I178" s="1" t="str">
        <f>IF(Back_End_Data!I178="Completed","Yes","No")</f>
        <v>No</v>
      </c>
      <c r="J178" s="1" t="str">
        <f>IF(Back_End_Data!J178="Completed","Yes","No")</f>
        <v>No</v>
      </c>
      <c r="K178" s="1" t="str">
        <f>IF(Back_End_Data!K178="Completed","Yes","No")</f>
        <v>Yes</v>
      </c>
      <c r="L178" s="1" t="str">
        <f>IF(Back_End_Data!L178="", "No", Back_End_Data!L178)</f>
        <v>NA</v>
      </c>
      <c r="M178" s="1" t="str">
        <f>IF(Back_End_Data!N178="", "No", Back_End_Data!N178)</f>
        <v>NA</v>
      </c>
      <c r="N178" s="1" t="str">
        <f>IF(Back_End_Data!M178="", "No", Back_End_Data!M178)</f>
        <v>NA</v>
      </c>
      <c r="O178" s="1" t="str">
        <f>IF(Back_End_Data!O178="Completed","Yes","No")</f>
        <v>No</v>
      </c>
      <c r="P178" s="1" t="str">
        <f>IF(Back_End_Data!H178="Completed","Yes","No")</f>
        <v>No</v>
      </c>
      <c r="Q178" s="1" t="str">
        <f>IF(Back_End_Data!P178="Completed","Yes","No")</f>
        <v>No</v>
      </c>
      <c r="R178" s="1" t="s">
        <v>2369</v>
      </c>
      <c r="S178" s="1" t="str">
        <f>IF(Back_End_Data!R178="Completed","Yes","No")</f>
        <v>No</v>
      </c>
      <c r="T178" s="1" t="str">
        <f>IF(Back_End_Data!S178="Yes","Yes","No")</f>
        <v>No</v>
      </c>
      <c r="U178" s="1" t="str">
        <f>IF(Back_End_Data!Q177="Completed","Yes","No")</f>
        <v>No</v>
      </c>
      <c r="V178" s="1" t="str">
        <f ca="1">IF(INDEX(MIS_Backend_Data!L:L, MATCH(D178, MIS_Backend_Data!B:B, 1)) = "WT", "Yes", "No")</f>
        <v>No</v>
      </c>
      <c r="W178" s="2" t="str">
        <f t="shared" ca="1" si="6"/>
        <v>Reject</v>
      </c>
      <c r="Z178" s="1">
        <f ca="1"/>
        <v>0</v>
      </c>
      <c r="AA178" s="1">
        <f t="shared" ca="1" si="7"/>
        <v>1</v>
      </c>
      <c r="AC178" s="1" t="str">
        <f ca="1"/>
        <v>Open</v>
      </c>
      <c r="AG178" s="1" t="str">
        <f t="shared" si="8"/>
        <v/>
      </c>
    </row>
    <row r="179" spans="1:33" ht="20.25" customHeight="1">
      <c r="A179" s="13">
        <v>178</v>
      </c>
      <c r="B179" s="1" t="str">
        <f ca="1"/>
        <v>Indusind General Insurance Co Ltd</v>
      </c>
      <c r="C179" s="13" t="str">
        <f ca="1"/>
        <v>2025213947</v>
      </c>
      <c r="D179" s="13" t="str">
        <f ca="1"/>
        <v>R001-1178-SS-2025</v>
      </c>
      <c r="E179" s="13">
        <f ca="1"/>
        <v>20</v>
      </c>
      <c r="F179" s="14">
        <f ca="1"/>
        <v>46007</v>
      </c>
      <c r="G179" s="14" t="str">
        <f ca="1"/>
        <v>-</v>
      </c>
      <c r="H179" s="1" t="str">
        <f>IF(Back_End_Data!G179="Completed","Yes","No")</f>
        <v>Yes</v>
      </c>
      <c r="I179" s="1" t="str">
        <f>IF(Back_End_Data!I179="Completed","Yes","No")</f>
        <v>No</v>
      </c>
      <c r="J179" s="1" t="str">
        <f>IF(Back_End_Data!J179="Completed","Yes","No")</f>
        <v>No</v>
      </c>
      <c r="K179" s="1" t="str">
        <f>IF(Back_End_Data!K179="Completed","Yes","No")</f>
        <v>No</v>
      </c>
      <c r="L179" s="1" t="str">
        <f>IF(Back_End_Data!L179="", "No", Back_End_Data!L179)</f>
        <v>NA</v>
      </c>
      <c r="M179" s="1" t="str">
        <f>IF(Back_End_Data!N179="", "No", Back_End_Data!N179)</f>
        <v>NA</v>
      </c>
      <c r="N179" s="1" t="str">
        <f>IF(Back_End_Data!M179="", "No", Back_End_Data!M179)</f>
        <v>NA</v>
      </c>
      <c r="O179" s="1" t="str">
        <f>IF(Back_End_Data!O179="Completed","Yes","No")</f>
        <v>No</v>
      </c>
      <c r="P179" s="1" t="str">
        <f>IF(Back_End_Data!H179="Completed","Yes","No")</f>
        <v>No</v>
      </c>
      <c r="Q179" s="1" t="str">
        <f>IF(Back_End_Data!P179="Completed","Yes","No")</f>
        <v>Yes</v>
      </c>
      <c r="R179" s="1" t="s">
        <v>2369</v>
      </c>
      <c r="S179" s="1" t="str">
        <f>IF(Back_End_Data!R179="Completed","Yes","No")</f>
        <v>No</v>
      </c>
      <c r="T179" s="1" t="str">
        <f>IF(Back_End_Data!S179="Yes","Yes","No")</f>
        <v>No</v>
      </c>
      <c r="U179" s="1" t="str">
        <f>IF(Back_End_Data!Q178="Completed","Yes","No")</f>
        <v>No</v>
      </c>
      <c r="V179" s="1" t="str">
        <f ca="1">IF(INDEX(MIS_Backend_Data!L:L, MATCH(D179, MIS_Backend_Data!B:B, 1)) = "WT", "Yes", "No")</f>
        <v>No</v>
      </c>
      <c r="W179" s="2" t="str">
        <f t="shared" ca="1" si="6"/>
        <v>Reject</v>
      </c>
      <c r="Z179" s="1">
        <f ca="1"/>
        <v>0</v>
      </c>
      <c r="AA179" s="1">
        <f t="shared" ca="1" si="7"/>
        <v>2</v>
      </c>
      <c r="AC179" s="1" t="str">
        <f ca="1"/>
        <v>Open</v>
      </c>
      <c r="AG179" s="1" t="str">
        <f t="shared" si="8"/>
        <v/>
      </c>
    </row>
    <row r="180" spans="1:33" ht="20.25" customHeight="1">
      <c r="A180" s="13">
        <v>179</v>
      </c>
      <c r="B180" s="1" t="str">
        <f ca="1"/>
        <v>Indusind General Insurance Co Ltd</v>
      </c>
      <c r="C180" s="13" t="str">
        <f ca="1"/>
        <v>2025213937</v>
      </c>
      <c r="D180" s="13" t="str">
        <f ca="1"/>
        <v>R001-1179-SS-2025</v>
      </c>
      <c r="E180" s="13">
        <f ca="1"/>
        <v>20</v>
      </c>
      <c r="F180" s="14">
        <f ca="1"/>
        <v>46007</v>
      </c>
      <c r="G180" s="14" t="str">
        <f ca="1"/>
        <v>-</v>
      </c>
      <c r="H180" s="1" t="str">
        <f>IF(Back_End_Data!G180="Completed","Yes","No")</f>
        <v>No</v>
      </c>
      <c r="I180" s="1" t="str">
        <f>IF(Back_End_Data!I180="Completed","Yes","No")</f>
        <v>No</v>
      </c>
      <c r="J180" s="1" t="str">
        <f>IF(Back_End_Data!J180="Completed","Yes","No")</f>
        <v>No</v>
      </c>
      <c r="K180" s="1" t="str">
        <f>IF(Back_End_Data!K180="Completed","Yes","No")</f>
        <v>No</v>
      </c>
      <c r="L180" s="1" t="str">
        <f>IF(Back_End_Data!L180="", "No", Back_End_Data!L180)</f>
        <v>NA</v>
      </c>
      <c r="M180" s="1" t="str">
        <f>IF(Back_End_Data!N180="", "No", Back_End_Data!N180)</f>
        <v>NA</v>
      </c>
      <c r="N180" s="1" t="str">
        <f>IF(Back_End_Data!M180="", "No", Back_End_Data!M180)</f>
        <v>NA</v>
      </c>
      <c r="O180" s="1" t="str">
        <f>IF(Back_End_Data!O180="Completed","Yes","No")</f>
        <v>No</v>
      </c>
      <c r="P180" s="1" t="str">
        <f>IF(Back_End_Data!H180="Completed","Yes","No")</f>
        <v>No</v>
      </c>
      <c r="Q180" s="1" t="str">
        <f>IF(Back_End_Data!P180="Completed","Yes","No")</f>
        <v>No</v>
      </c>
      <c r="R180" s="1" t="s">
        <v>2369</v>
      </c>
      <c r="S180" s="1" t="str">
        <f>IF(Back_End_Data!R180="Completed","Yes","No")</f>
        <v>No</v>
      </c>
      <c r="T180" s="1" t="str">
        <f>IF(Back_End_Data!S180="Yes","Yes","No")</f>
        <v>No</v>
      </c>
      <c r="U180" s="1" t="str">
        <f>IF(Back_End_Data!Q179="Completed","Yes","No")</f>
        <v>No</v>
      </c>
      <c r="V180" s="1" t="str">
        <f ca="1">IF(INDEX(MIS_Backend_Data!L:L, MATCH(D180, MIS_Backend_Data!B:B, 1)) = "WT", "Yes", "No")</f>
        <v>No</v>
      </c>
      <c r="W180" s="2" t="str">
        <f t="shared" ca="1" si="6"/>
        <v>Approved</v>
      </c>
      <c r="Z180" s="1">
        <f ca="1"/>
        <v>0</v>
      </c>
      <c r="AA180" s="1">
        <f t="shared" ca="1" si="7"/>
        <v>0</v>
      </c>
      <c r="AC180" s="1" t="str">
        <f ca="1"/>
        <v>Open</v>
      </c>
      <c r="AG180" s="1" t="str">
        <f t="shared" si="8"/>
        <v/>
      </c>
    </row>
    <row r="181" spans="1:33" ht="20.25" customHeight="1">
      <c r="A181" s="13">
        <v>180</v>
      </c>
      <c r="B181" s="1" t="str">
        <f ca="1"/>
        <v>Indusind General Insurance Co Ltd</v>
      </c>
      <c r="C181" s="13" t="str">
        <f ca="1"/>
        <v>2025213914</v>
      </c>
      <c r="D181" s="13" t="str">
        <f ca="1"/>
        <v>R001-1180-SS-2025</v>
      </c>
      <c r="E181" s="13">
        <f ca="1"/>
        <v>20</v>
      </c>
      <c r="F181" s="14">
        <f ca="1"/>
        <v>46007</v>
      </c>
      <c r="G181" s="14" t="str">
        <f ca="1"/>
        <v>-</v>
      </c>
      <c r="H181" s="1" t="str">
        <f>IF(Back_End_Data!G181="Completed","Yes","No")</f>
        <v>No</v>
      </c>
      <c r="I181" s="1" t="str">
        <f>IF(Back_End_Data!I181="Completed","Yes","No")</f>
        <v>No</v>
      </c>
      <c r="J181" s="1" t="str">
        <f>IF(Back_End_Data!J181="Completed","Yes","No")</f>
        <v>No</v>
      </c>
      <c r="K181" s="1" t="str">
        <f>IF(Back_End_Data!K181="Completed","Yes","No")</f>
        <v>No</v>
      </c>
      <c r="L181" s="1" t="str">
        <f>IF(Back_End_Data!L181="", "No", Back_End_Data!L181)</f>
        <v>NA</v>
      </c>
      <c r="M181" s="1" t="str">
        <f>IF(Back_End_Data!N181="", "No", Back_End_Data!N181)</f>
        <v>NA</v>
      </c>
      <c r="N181" s="1" t="str">
        <f>IF(Back_End_Data!M181="", "No", Back_End_Data!M181)</f>
        <v>NA</v>
      </c>
      <c r="O181" s="1" t="str">
        <f>IF(Back_End_Data!O181="Completed","Yes","No")</f>
        <v>No</v>
      </c>
      <c r="P181" s="1" t="str">
        <f>IF(Back_End_Data!H181="Completed","Yes","No")</f>
        <v>No</v>
      </c>
      <c r="Q181" s="1" t="str">
        <f>IF(Back_End_Data!P181="Completed","Yes","No")</f>
        <v>Yes</v>
      </c>
      <c r="R181" s="1" t="s">
        <v>2369</v>
      </c>
      <c r="S181" s="1" t="str">
        <f>IF(Back_End_Data!R181="Completed","Yes","No")</f>
        <v>No</v>
      </c>
      <c r="T181" s="1" t="str">
        <f>IF(Back_End_Data!S181="Yes","Yes","No")</f>
        <v>No</v>
      </c>
      <c r="U181" s="1" t="str">
        <f>IF(Back_End_Data!Q180="Completed","Yes","No")</f>
        <v>No</v>
      </c>
      <c r="V181" s="1" t="str">
        <f ca="1">IF(INDEX(MIS_Backend_Data!L:L, MATCH(D181, MIS_Backend_Data!B:B, 1)) = "WT", "Yes", "No")</f>
        <v>No</v>
      </c>
      <c r="W181" s="2" t="str">
        <f t="shared" ca="1" si="6"/>
        <v>Reject</v>
      </c>
      <c r="Z181" s="1">
        <f ca="1"/>
        <v>0</v>
      </c>
      <c r="AA181" s="1">
        <f t="shared" ca="1" si="7"/>
        <v>1</v>
      </c>
      <c r="AC181" s="1" t="str">
        <f ca="1"/>
        <v>Open</v>
      </c>
      <c r="AG181" s="1" t="str">
        <f t="shared" si="8"/>
        <v/>
      </c>
    </row>
    <row r="182" spans="1:33" ht="20.25" customHeight="1">
      <c r="A182" s="13">
        <v>181</v>
      </c>
      <c r="B182" s="1" t="str">
        <f ca="1"/>
        <v>Indusind General Insurance Co Ltd</v>
      </c>
      <c r="C182" s="13" t="str">
        <f ca="1"/>
        <v>2025213905</v>
      </c>
      <c r="D182" s="13" t="str">
        <f ca="1"/>
        <v>R001-1181-SS-2025</v>
      </c>
      <c r="E182" s="13">
        <f ca="1"/>
        <v>20</v>
      </c>
      <c r="F182" s="14">
        <f ca="1"/>
        <v>46007</v>
      </c>
      <c r="G182" s="14" t="str">
        <f ca="1"/>
        <v>-</v>
      </c>
      <c r="H182" s="1" t="str">
        <f>IF(Back_End_Data!G182="Completed","Yes","No")</f>
        <v>No</v>
      </c>
      <c r="I182" s="1" t="str">
        <f>IF(Back_End_Data!I182="Completed","Yes","No")</f>
        <v>No</v>
      </c>
      <c r="J182" s="1" t="str">
        <f>IF(Back_End_Data!J182="Completed","Yes","No")</f>
        <v>No</v>
      </c>
      <c r="K182" s="1" t="str">
        <f>IF(Back_End_Data!K182="Completed","Yes","No")</f>
        <v>No</v>
      </c>
      <c r="L182" s="1" t="str">
        <f>IF(Back_End_Data!L182="", "No", Back_End_Data!L182)</f>
        <v>NA</v>
      </c>
      <c r="M182" s="1" t="str">
        <f>IF(Back_End_Data!N182="", "No", Back_End_Data!N182)</f>
        <v>NA</v>
      </c>
      <c r="N182" s="1" t="str">
        <f>IF(Back_End_Data!M182="", "No", Back_End_Data!M182)</f>
        <v>NA</v>
      </c>
      <c r="O182" s="1" t="str">
        <f>IF(Back_End_Data!O182="Completed","Yes","No")</f>
        <v>No</v>
      </c>
      <c r="P182" s="1" t="str">
        <f>IF(Back_End_Data!H182="Completed","Yes","No")</f>
        <v>No</v>
      </c>
      <c r="Q182" s="1" t="str">
        <f>IF(Back_End_Data!P182="Completed","Yes","No")</f>
        <v>No</v>
      </c>
      <c r="R182" s="1" t="s">
        <v>2369</v>
      </c>
      <c r="S182" s="1" t="str">
        <f>IF(Back_End_Data!R182="Completed","Yes","No")</f>
        <v>No</v>
      </c>
      <c r="T182" s="1" t="str">
        <f>IF(Back_End_Data!S182="Yes","Yes","No")</f>
        <v>No</v>
      </c>
      <c r="U182" s="1" t="str">
        <f>IF(Back_End_Data!Q181="Completed","Yes","No")</f>
        <v>No</v>
      </c>
      <c r="V182" s="1" t="str">
        <f ca="1">IF(INDEX(MIS_Backend_Data!L:L, MATCH(D182, MIS_Backend_Data!B:B, 1)) = "WT", "Yes", "No")</f>
        <v>No</v>
      </c>
      <c r="W182" s="2" t="str">
        <f t="shared" ca="1" si="6"/>
        <v>Approved</v>
      </c>
      <c r="Z182" s="1">
        <f ca="1"/>
        <v>0</v>
      </c>
      <c r="AA182" s="1">
        <f t="shared" ca="1" si="7"/>
        <v>0</v>
      </c>
      <c r="AC182" s="1" t="str">
        <f ca="1"/>
        <v>Open</v>
      </c>
      <c r="AG182" s="1" t="str">
        <f t="shared" si="8"/>
        <v/>
      </c>
    </row>
    <row r="183" spans="1:33" ht="20.25" customHeight="1">
      <c r="A183" s="13">
        <v>182</v>
      </c>
      <c r="B183" s="1" t="str">
        <f ca="1"/>
        <v>Indusind General Insurance Co Ltd</v>
      </c>
      <c r="C183" s="13" t="str">
        <f ca="1"/>
        <v>2025213901</v>
      </c>
      <c r="D183" s="13" t="str">
        <f ca="1"/>
        <v>R001-1182-SS-2025</v>
      </c>
      <c r="E183" s="13">
        <f ca="1"/>
        <v>20</v>
      </c>
      <c r="F183" s="14">
        <f ca="1"/>
        <v>46007</v>
      </c>
      <c r="G183" s="14" t="str">
        <f ca="1"/>
        <v>-</v>
      </c>
      <c r="H183" s="1" t="str">
        <f>IF(Back_End_Data!G183="Completed","Yes","No")</f>
        <v>No</v>
      </c>
      <c r="I183" s="1" t="str">
        <f>IF(Back_End_Data!I183="Completed","Yes","No")</f>
        <v>Yes</v>
      </c>
      <c r="J183" s="1" t="str">
        <f>IF(Back_End_Data!J183="Completed","Yes","No")</f>
        <v>No</v>
      </c>
      <c r="K183" s="1" t="str">
        <f>IF(Back_End_Data!K183="Completed","Yes","No")</f>
        <v>No</v>
      </c>
      <c r="L183" s="1" t="str">
        <f>IF(Back_End_Data!L183="", "No", Back_End_Data!L183)</f>
        <v>NA</v>
      </c>
      <c r="M183" s="1" t="str">
        <f>IF(Back_End_Data!N183="", "No", Back_End_Data!N183)</f>
        <v>NA</v>
      </c>
      <c r="N183" s="1" t="str">
        <f>IF(Back_End_Data!M183="", "No", Back_End_Data!M183)</f>
        <v>NA</v>
      </c>
      <c r="O183" s="1" t="str">
        <f>IF(Back_End_Data!O183="Completed","Yes","No")</f>
        <v>No</v>
      </c>
      <c r="P183" s="1" t="str">
        <f>IF(Back_End_Data!H183="Completed","Yes","No")</f>
        <v>No</v>
      </c>
      <c r="Q183" s="1" t="str">
        <f>IF(Back_End_Data!P183="Completed","Yes","No")</f>
        <v>Yes</v>
      </c>
      <c r="R183" s="1" t="s">
        <v>2369</v>
      </c>
      <c r="S183" s="1" t="str">
        <f>IF(Back_End_Data!R183="Completed","Yes","No")</f>
        <v>No</v>
      </c>
      <c r="T183" s="1" t="str">
        <f>IF(Back_End_Data!S183="Yes","Yes","No")</f>
        <v>No</v>
      </c>
      <c r="U183" s="1" t="str">
        <f>IF(Back_End_Data!Q182="Completed","Yes","No")</f>
        <v>No</v>
      </c>
      <c r="V183" s="1" t="str">
        <f ca="1">IF(INDEX(MIS_Backend_Data!L:L, MATCH(D183, MIS_Backend_Data!B:B, 1)) = "WT", "Yes", "No")</f>
        <v>No</v>
      </c>
      <c r="W183" s="2" t="str">
        <f t="shared" ca="1" si="6"/>
        <v>Reject</v>
      </c>
      <c r="Z183" s="1">
        <f ca="1"/>
        <v>0</v>
      </c>
      <c r="AA183" s="1">
        <f t="shared" ca="1" si="7"/>
        <v>2</v>
      </c>
      <c r="AC183" s="1" t="str">
        <f ca="1"/>
        <v>Open</v>
      </c>
      <c r="AG183" s="1" t="str">
        <f t="shared" si="8"/>
        <v/>
      </c>
    </row>
    <row r="184" spans="1:33" ht="20.25" customHeight="1">
      <c r="A184" s="13">
        <v>183</v>
      </c>
      <c r="B184" s="1" t="str">
        <f ca="1"/>
        <v>Indusind General Insurance Co Ltd</v>
      </c>
      <c r="C184" s="13" t="str">
        <f ca="1"/>
        <v>2025213898</v>
      </c>
      <c r="D184" s="13" t="str">
        <f ca="1"/>
        <v>R001-1183-SS-2025</v>
      </c>
      <c r="E184" s="13">
        <f ca="1"/>
        <v>20</v>
      </c>
      <c r="F184" s="14">
        <f ca="1"/>
        <v>46007</v>
      </c>
      <c r="G184" s="14" t="str">
        <f ca="1"/>
        <v>-</v>
      </c>
      <c r="H184" s="1" t="str">
        <f>IF(Back_End_Data!G184="Completed","Yes","No")</f>
        <v>No</v>
      </c>
      <c r="I184" s="1" t="str">
        <f>IF(Back_End_Data!I184="Completed","Yes","No")</f>
        <v>No</v>
      </c>
      <c r="J184" s="1" t="str">
        <f>IF(Back_End_Data!J184="Completed","Yes","No")</f>
        <v>No</v>
      </c>
      <c r="K184" s="1" t="str">
        <f>IF(Back_End_Data!K184="Completed","Yes","No")</f>
        <v>No</v>
      </c>
      <c r="L184" s="1" t="str">
        <f>IF(Back_End_Data!L184="", "No", Back_End_Data!L184)</f>
        <v>NA</v>
      </c>
      <c r="M184" s="1" t="str">
        <f>IF(Back_End_Data!N184="", "No", Back_End_Data!N184)</f>
        <v>NA</v>
      </c>
      <c r="N184" s="1" t="str">
        <f>IF(Back_End_Data!M184="", "No", Back_End_Data!M184)</f>
        <v>NA</v>
      </c>
      <c r="O184" s="1" t="str">
        <f>IF(Back_End_Data!O184="Completed","Yes","No")</f>
        <v>No</v>
      </c>
      <c r="P184" s="1" t="str">
        <f>IF(Back_End_Data!H184="Completed","Yes","No")</f>
        <v>No</v>
      </c>
      <c r="Q184" s="1" t="str">
        <f>IF(Back_End_Data!P184="Completed","Yes","No")</f>
        <v>No</v>
      </c>
      <c r="R184" s="1" t="s">
        <v>2369</v>
      </c>
      <c r="S184" s="1" t="str">
        <f>IF(Back_End_Data!R184="Completed","Yes","No")</f>
        <v>No</v>
      </c>
      <c r="T184" s="1" t="str">
        <f>IF(Back_End_Data!S184="Yes","Yes","No")</f>
        <v>No</v>
      </c>
      <c r="U184" s="1" t="str">
        <f>IF(Back_End_Data!Q183="Completed","Yes","No")</f>
        <v>No</v>
      </c>
      <c r="V184" s="1" t="str">
        <f ca="1">IF(INDEX(MIS_Backend_Data!L:L, MATCH(D184, MIS_Backend_Data!B:B, 1)) = "WT", "Yes", "No")</f>
        <v>No</v>
      </c>
      <c r="W184" s="2" t="str">
        <f t="shared" ca="1" si="6"/>
        <v>Approved</v>
      </c>
      <c r="Z184" s="1">
        <f ca="1"/>
        <v>0</v>
      </c>
      <c r="AA184" s="1">
        <f t="shared" ca="1" si="7"/>
        <v>0</v>
      </c>
      <c r="AC184" s="1" t="str">
        <f ca="1"/>
        <v>Open</v>
      </c>
      <c r="AG184" s="1" t="str">
        <f t="shared" si="8"/>
        <v/>
      </c>
    </row>
    <row r="185" spans="1:33" ht="20.25" customHeight="1">
      <c r="A185" s="13">
        <v>184</v>
      </c>
      <c r="B185" s="1" t="str">
        <f ca="1"/>
        <v>Indusind General Insurance Co Ltd</v>
      </c>
      <c r="C185" s="13" t="str">
        <f ca="1"/>
        <v>2025213881</v>
      </c>
      <c r="D185" s="13" t="str">
        <f ca="1"/>
        <v>R001-1184-SS-2025</v>
      </c>
      <c r="E185" s="13">
        <f ca="1"/>
        <v>20</v>
      </c>
      <c r="F185" s="14">
        <f ca="1"/>
        <v>46007</v>
      </c>
      <c r="G185" s="14" t="str">
        <f ca="1"/>
        <v>-</v>
      </c>
      <c r="H185" s="1" t="str">
        <f>IF(Back_End_Data!G185="Completed","Yes","No")</f>
        <v>No</v>
      </c>
      <c r="I185" s="1" t="str">
        <f>IF(Back_End_Data!I185="Completed","Yes","No")</f>
        <v>No</v>
      </c>
      <c r="J185" s="1" t="str">
        <f>IF(Back_End_Data!J185="Completed","Yes","No")</f>
        <v>No</v>
      </c>
      <c r="K185" s="1" t="str">
        <f>IF(Back_End_Data!K185="Completed","Yes","No")</f>
        <v>No</v>
      </c>
      <c r="L185" s="1" t="str">
        <f>IF(Back_End_Data!L185="", "No", Back_End_Data!L185)</f>
        <v>NA</v>
      </c>
      <c r="M185" s="1" t="str">
        <f>IF(Back_End_Data!N185="", "No", Back_End_Data!N185)</f>
        <v>NA</v>
      </c>
      <c r="N185" s="1" t="str">
        <f>IF(Back_End_Data!M185="", "No", Back_End_Data!M185)</f>
        <v>NA</v>
      </c>
      <c r="O185" s="1" t="str">
        <f>IF(Back_End_Data!O185="Completed","Yes","No")</f>
        <v>No</v>
      </c>
      <c r="P185" s="1" t="str">
        <f>IF(Back_End_Data!H185="Completed","Yes","No")</f>
        <v>No</v>
      </c>
      <c r="Q185" s="1" t="str">
        <f>IF(Back_End_Data!P185="Completed","Yes","No")</f>
        <v>No</v>
      </c>
      <c r="R185" s="1" t="s">
        <v>2369</v>
      </c>
      <c r="S185" s="1" t="str">
        <f>IF(Back_End_Data!R185="Completed","Yes","No")</f>
        <v>No</v>
      </c>
      <c r="T185" s="1" t="str">
        <f>IF(Back_End_Data!S185="Yes","Yes","No")</f>
        <v>No</v>
      </c>
      <c r="U185" s="1" t="str">
        <f>IF(Back_End_Data!Q184="Completed","Yes","No")</f>
        <v>No</v>
      </c>
      <c r="V185" s="1" t="str">
        <f ca="1">IF(INDEX(MIS_Backend_Data!L:L, MATCH(D185, MIS_Backend_Data!B:B, 1)) = "WT", "Yes", "No")</f>
        <v>No</v>
      </c>
      <c r="W185" s="2" t="str">
        <f t="shared" ca="1" si="6"/>
        <v>Approved</v>
      </c>
      <c r="Z185" s="1">
        <f ca="1"/>
        <v>0</v>
      </c>
      <c r="AA185" s="1">
        <f t="shared" ca="1" si="7"/>
        <v>0</v>
      </c>
      <c r="AC185" s="1" t="str">
        <f ca="1"/>
        <v>Open</v>
      </c>
      <c r="AG185" s="1" t="str">
        <f t="shared" si="8"/>
        <v/>
      </c>
    </row>
    <row r="186" spans="1:33" ht="20.25" customHeight="1">
      <c r="A186" s="13">
        <v>185</v>
      </c>
      <c r="B186" s="1" t="str">
        <f ca="1"/>
        <v>Indusind General Insurance Co Ltd</v>
      </c>
      <c r="C186" s="13" t="str">
        <f ca="1"/>
        <v>2025213869</v>
      </c>
      <c r="D186" s="13" t="str">
        <f ca="1"/>
        <v>R001-1185-SS-2025</v>
      </c>
      <c r="E186" s="13">
        <f ca="1"/>
        <v>20</v>
      </c>
      <c r="F186" s="14">
        <f ca="1"/>
        <v>46007</v>
      </c>
      <c r="G186" s="14" t="str">
        <f ca="1"/>
        <v>-</v>
      </c>
      <c r="H186" s="1" t="str">
        <f>IF(Back_End_Data!G186="Completed","Yes","No")</f>
        <v>No</v>
      </c>
      <c r="I186" s="1" t="str">
        <f>IF(Back_End_Data!I186="Completed","Yes","No")</f>
        <v>No</v>
      </c>
      <c r="J186" s="1" t="str">
        <f>IF(Back_End_Data!J186="Completed","Yes","No")</f>
        <v>No</v>
      </c>
      <c r="K186" s="1" t="str">
        <f>IF(Back_End_Data!K186="Completed","Yes","No")</f>
        <v>No</v>
      </c>
      <c r="L186" s="1" t="str">
        <f>IF(Back_End_Data!L186="", "No", Back_End_Data!L186)</f>
        <v>NA</v>
      </c>
      <c r="M186" s="1" t="str">
        <f>IF(Back_End_Data!N186="", "No", Back_End_Data!N186)</f>
        <v>NA</v>
      </c>
      <c r="N186" s="1" t="str">
        <f>IF(Back_End_Data!M186="", "No", Back_End_Data!M186)</f>
        <v>NA</v>
      </c>
      <c r="O186" s="1" t="str">
        <f>IF(Back_End_Data!O186="Completed","Yes","No")</f>
        <v>No</v>
      </c>
      <c r="P186" s="1" t="str">
        <f>IF(Back_End_Data!H186="Completed","Yes","No")</f>
        <v>No</v>
      </c>
      <c r="Q186" s="1" t="str">
        <f>IF(Back_End_Data!P186="Completed","Yes","No")</f>
        <v>No</v>
      </c>
      <c r="R186" s="1" t="s">
        <v>2369</v>
      </c>
      <c r="S186" s="1" t="str">
        <f>IF(Back_End_Data!R186="Completed","Yes","No")</f>
        <v>No</v>
      </c>
      <c r="T186" s="1" t="str">
        <f>IF(Back_End_Data!S186="Yes","Yes","No")</f>
        <v>No</v>
      </c>
      <c r="U186" s="1" t="str">
        <f>IF(Back_End_Data!Q185="Completed","Yes","No")</f>
        <v>No</v>
      </c>
      <c r="V186" s="1" t="str">
        <f ca="1">IF(INDEX(MIS_Backend_Data!L:L, MATCH(D186, MIS_Backend_Data!B:B, 1)) = "WT", "Yes", "No")</f>
        <v>No</v>
      </c>
      <c r="W186" s="2" t="str">
        <f t="shared" ca="1" si="6"/>
        <v>Approved</v>
      </c>
      <c r="Z186" s="1">
        <f ca="1"/>
        <v>0</v>
      </c>
      <c r="AA186" s="1">
        <f t="shared" ca="1" si="7"/>
        <v>0</v>
      </c>
      <c r="AC186" s="1" t="str">
        <f ca="1"/>
        <v>Open</v>
      </c>
      <c r="AG186" s="1" t="str">
        <f t="shared" si="8"/>
        <v/>
      </c>
    </row>
    <row r="187" spans="1:33" ht="20.25" customHeight="1">
      <c r="A187" s="13">
        <v>186</v>
      </c>
      <c r="B187" s="1" t="str">
        <f ca="1"/>
        <v>Indusind General Insurance Co Ltd</v>
      </c>
      <c r="C187" s="13" t="str">
        <f ca="1"/>
        <v>2025213864</v>
      </c>
      <c r="D187" s="13" t="str">
        <f ca="1"/>
        <v>R001-1186-SS-2025</v>
      </c>
      <c r="E187" s="13">
        <f ca="1"/>
        <v>20</v>
      </c>
      <c r="F187" s="14">
        <f ca="1"/>
        <v>46007</v>
      </c>
      <c r="G187" s="14" t="str">
        <f ca="1"/>
        <v>-</v>
      </c>
      <c r="H187" s="1" t="str">
        <f>IF(Back_End_Data!G187="Completed","Yes","No")</f>
        <v>No</v>
      </c>
      <c r="I187" s="1" t="str">
        <f>IF(Back_End_Data!I187="Completed","Yes","No")</f>
        <v>No</v>
      </c>
      <c r="J187" s="1" t="str">
        <f>IF(Back_End_Data!J187="Completed","Yes","No")</f>
        <v>No</v>
      </c>
      <c r="K187" s="1" t="str">
        <f>IF(Back_End_Data!K187="Completed","Yes","No")</f>
        <v>No</v>
      </c>
      <c r="L187" s="1" t="str">
        <f>IF(Back_End_Data!L187="", "No", Back_End_Data!L187)</f>
        <v>NA</v>
      </c>
      <c r="M187" s="1" t="str">
        <f>IF(Back_End_Data!N187="", "No", Back_End_Data!N187)</f>
        <v>NA</v>
      </c>
      <c r="N187" s="1" t="str">
        <f>IF(Back_End_Data!M187="", "No", Back_End_Data!M187)</f>
        <v>NA</v>
      </c>
      <c r="O187" s="1" t="str">
        <f>IF(Back_End_Data!O187="Completed","Yes","No")</f>
        <v>No</v>
      </c>
      <c r="P187" s="1" t="str">
        <f>IF(Back_End_Data!H187="Completed","Yes","No")</f>
        <v>No</v>
      </c>
      <c r="Q187" s="1" t="str">
        <f>IF(Back_End_Data!P187="Completed","Yes","No")</f>
        <v>No</v>
      </c>
      <c r="R187" s="1" t="s">
        <v>2369</v>
      </c>
      <c r="S187" s="1" t="str">
        <f>IF(Back_End_Data!R187="Completed","Yes","No")</f>
        <v>No</v>
      </c>
      <c r="T187" s="1" t="str">
        <f>IF(Back_End_Data!S187="Yes","Yes","No")</f>
        <v>No</v>
      </c>
      <c r="U187" s="1" t="str">
        <f>IF(Back_End_Data!Q186="Completed","Yes","No")</f>
        <v>No</v>
      </c>
      <c r="V187" s="1" t="str">
        <f ca="1">IF(INDEX(MIS_Backend_Data!L:L, MATCH(D187, MIS_Backend_Data!B:B, 1)) = "WT", "Yes", "No")</f>
        <v>No</v>
      </c>
      <c r="W187" s="2" t="str">
        <f t="shared" ca="1" si="6"/>
        <v>Approved</v>
      </c>
      <c r="Z187" s="1">
        <f ca="1"/>
        <v>0</v>
      </c>
      <c r="AA187" s="1">
        <f t="shared" ca="1" si="7"/>
        <v>0</v>
      </c>
      <c r="AC187" s="1" t="str">
        <f ca="1"/>
        <v>Open</v>
      </c>
      <c r="AG187" s="1" t="str">
        <f t="shared" si="8"/>
        <v/>
      </c>
    </row>
    <row r="188" spans="1:33" ht="20.25" customHeight="1">
      <c r="A188" s="13">
        <v>187</v>
      </c>
      <c r="B188" s="1" t="str">
        <f ca="1"/>
        <v>Indusind General Insurance Co Ltd</v>
      </c>
      <c r="C188" s="13" t="str">
        <f ca="1"/>
        <v>2025213860</v>
      </c>
      <c r="D188" s="13" t="str">
        <f ca="1"/>
        <v>R001-1187-SS-2025</v>
      </c>
      <c r="E188" s="13">
        <f ca="1"/>
        <v>20</v>
      </c>
      <c r="F188" s="14">
        <f ca="1"/>
        <v>46007</v>
      </c>
      <c r="G188" s="14" t="str">
        <f ca="1"/>
        <v>-</v>
      </c>
      <c r="H188" s="1" t="str">
        <f>IF(Back_End_Data!G188="Completed","Yes","No")</f>
        <v>No</v>
      </c>
      <c r="I188" s="1" t="str">
        <f>IF(Back_End_Data!I188="Completed","Yes","No")</f>
        <v>No</v>
      </c>
      <c r="J188" s="1" t="str">
        <f>IF(Back_End_Data!J188="Completed","Yes","No")</f>
        <v>No</v>
      </c>
      <c r="K188" s="1" t="str">
        <f>IF(Back_End_Data!K188="Completed","Yes","No")</f>
        <v>No</v>
      </c>
      <c r="L188" s="1" t="str">
        <f>IF(Back_End_Data!L188="", "No", Back_End_Data!L188)</f>
        <v>NA</v>
      </c>
      <c r="M188" s="1" t="str">
        <f>IF(Back_End_Data!N188="", "No", Back_End_Data!N188)</f>
        <v>NA</v>
      </c>
      <c r="N188" s="1" t="str">
        <f>IF(Back_End_Data!M188="", "No", Back_End_Data!M188)</f>
        <v>NA</v>
      </c>
      <c r="O188" s="1" t="str">
        <f>IF(Back_End_Data!O188="Completed","Yes","No")</f>
        <v>No</v>
      </c>
      <c r="P188" s="1" t="str">
        <f>IF(Back_End_Data!H188="Completed","Yes","No")</f>
        <v>No</v>
      </c>
      <c r="Q188" s="1" t="str">
        <f>IF(Back_End_Data!P188="Completed","Yes","No")</f>
        <v>No</v>
      </c>
      <c r="R188" s="1" t="s">
        <v>2369</v>
      </c>
      <c r="S188" s="1" t="str">
        <f>IF(Back_End_Data!R188="Completed","Yes","No")</f>
        <v>No</v>
      </c>
      <c r="T188" s="1" t="str">
        <f>IF(Back_End_Data!S188="Yes","Yes","No")</f>
        <v>No</v>
      </c>
      <c r="U188" s="1" t="str">
        <f>IF(Back_End_Data!Q187="Completed","Yes","No")</f>
        <v>No</v>
      </c>
      <c r="V188" s="1" t="str">
        <f ca="1">IF(INDEX(MIS_Backend_Data!L:L, MATCH(D188, MIS_Backend_Data!B:B, 1)) = "WT", "Yes", "No")</f>
        <v>No</v>
      </c>
      <c r="W188" s="2" t="str">
        <f t="shared" ca="1" si="6"/>
        <v>Approved</v>
      </c>
      <c r="Z188" s="1">
        <f ca="1"/>
        <v>0</v>
      </c>
      <c r="AA188" s="1">
        <f t="shared" ca="1" si="7"/>
        <v>0</v>
      </c>
      <c r="AC188" s="1" t="str">
        <f ca="1"/>
        <v>Open</v>
      </c>
      <c r="AG188" s="1" t="str">
        <f t="shared" si="8"/>
        <v/>
      </c>
    </row>
    <row r="189" spans="1:33" ht="20.25" customHeight="1">
      <c r="A189" s="13">
        <v>188</v>
      </c>
      <c r="B189" s="1" t="str">
        <f ca="1"/>
        <v>Indusind General Insurance Co Ltd</v>
      </c>
      <c r="C189" s="13" t="str">
        <f ca="1"/>
        <v>2025213854</v>
      </c>
      <c r="D189" s="13" t="str">
        <f ca="1"/>
        <v>R001-1188-SS-2025</v>
      </c>
      <c r="E189" s="13">
        <f ca="1"/>
        <v>20</v>
      </c>
      <c r="F189" s="14">
        <f ca="1"/>
        <v>46007</v>
      </c>
      <c r="G189" s="14" t="str">
        <f ca="1"/>
        <v>-</v>
      </c>
      <c r="H189" s="1" t="str">
        <f>IF(Back_End_Data!G189="Completed","Yes","No")</f>
        <v>No</v>
      </c>
      <c r="I189" s="1" t="str">
        <f>IF(Back_End_Data!I189="Completed","Yes","No")</f>
        <v>No</v>
      </c>
      <c r="J189" s="1" t="str">
        <f>IF(Back_End_Data!J189="Completed","Yes","No")</f>
        <v>No</v>
      </c>
      <c r="K189" s="1" t="str">
        <f>IF(Back_End_Data!K189="Completed","Yes","No")</f>
        <v>No</v>
      </c>
      <c r="L189" s="1" t="str">
        <f>IF(Back_End_Data!L189="", "No", Back_End_Data!L189)</f>
        <v>NA</v>
      </c>
      <c r="M189" s="1" t="str">
        <f>IF(Back_End_Data!N189="", "No", Back_End_Data!N189)</f>
        <v>NA</v>
      </c>
      <c r="N189" s="1" t="str">
        <f>IF(Back_End_Data!M189="", "No", Back_End_Data!M189)</f>
        <v>NA</v>
      </c>
      <c r="O189" s="1" t="str">
        <f>IF(Back_End_Data!O189="Completed","Yes","No")</f>
        <v>No</v>
      </c>
      <c r="P189" s="1" t="str">
        <f>IF(Back_End_Data!H189="Completed","Yes","No")</f>
        <v>No</v>
      </c>
      <c r="Q189" s="1" t="str">
        <f>IF(Back_End_Data!P189="Completed","Yes","No")</f>
        <v>No</v>
      </c>
      <c r="R189" s="1" t="s">
        <v>2369</v>
      </c>
      <c r="S189" s="1" t="str">
        <f>IF(Back_End_Data!R189="Completed","Yes","No")</f>
        <v>No</v>
      </c>
      <c r="T189" s="1" t="str">
        <f>IF(Back_End_Data!S189="Yes","Yes","No")</f>
        <v>No</v>
      </c>
      <c r="U189" s="1" t="str">
        <f>IF(Back_End_Data!Q188="Completed","Yes","No")</f>
        <v>No</v>
      </c>
      <c r="V189" s="1" t="str">
        <f ca="1">IF(INDEX(MIS_Backend_Data!L:L, MATCH(D189, MIS_Backend_Data!B:B, 1)) = "WT", "Yes", "No")</f>
        <v>No</v>
      </c>
      <c r="W189" s="2" t="str">
        <f t="shared" ca="1" si="6"/>
        <v>Approved</v>
      </c>
      <c r="Z189" s="1">
        <f ca="1"/>
        <v>0</v>
      </c>
      <c r="AA189" s="1">
        <f t="shared" ca="1" si="7"/>
        <v>0</v>
      </c>
      <c r="AC189" s="1" t="str">
        <f ca="1"/>
        <v>Open</v>
      </c>
      <c r="AG189" s="1" t="str">
        <f t="shared" si="8"/>
        <v/>
      </c>
    </row>
    <row r="190" spans="1:33" ht="20.25" customHeight="1">
      <c r="A190" s="13">
        <v>189</v>
      </c>
      <c r="B190" s="1" t="str">
        <f ca="1"/>
        <v>Indusind General Insurance Co Ltd</v>
      </c>
      <c r="C190" s="13" t="str">
        <f ca="1"/>
        <v>2025213836</v>
      </c>
      <c r="D190" s="13" t="str">
        <f ca="1"/>
        <v>R001-1189-SS-2025</v>
      </c>
      <c r="E190" s="13">
        <f ca="1"/>
        <v>20</v>
      </c>
      <c r="F190" s="14">
        <f ca="1"/>
        <v>46007</v>
      </c>
      <c r="G190" s="14" t="str">
        <f ca="1"/>
        <v>-</v>
      </c>
      <c r="H190" s="1" t="str">
        <f>IF(Back_End_Data!G190="Completed","Yes","No")</f>
        <v>No</v>
      </c>
      <c r="I190" s="1" t="str">
        <f>IF(Back_End_Data!I190="Completed","Yes","No")</f>
        <v>No</v>
      </c>
      <c r="J190" s="1" t="str">
        <f>IF(Back_End_Data!J190="Completed","Yes","No")</f>
        <v>No</v>
      </c>
      <c r="K190" s="1" t="str">
        <f>IF(Back_End_Data!K190="Completed","Yes","No")</f>
        <v>No</v>
      </c>
      <c r="L190" s="1" t="str">
        <f>IF(Back_End_Data!L190="", "No", Back_End_Data!L190)</f>
        <v>NA</v>
      </c>
      <c r="M190" s="1" t="str">
        <f>IF(Back_End_Data!N190="", "No", Back_End_Data!N190)</f>
        <v>NA</v>
      </c>
      <c r="N190" s="1" t="str">
        <f>IF(Back_End_Data!M190="", "No", Back_End_Data!M190)</f>
        <v>NA</v>
      </c>
      <c r="O190" s="1" t="str">
        <f>IF(Back_End_Data!O190="Completed","Yes","No")</f>
        <v>No</v>
      </c>
      <c r="P190" s="1" t="str">
        <f>IF(Back_End_Data!H190="Completed","Yes","No")</f>
        <v>No</v>
      </c>
      <c r="Q190" s="1" t="str">
        <f>IF(Back_End_Data!P190="Completed","Yes","No")</f>
        <v>No</v>
      </c>
      <c r="R190" s="1" t="s">
        <v>2369</v>
      </c>
      <c r="S190" s="1" t="str">
        <f>IF(Back_End_Data!R190="Completed","Yes","No")</f>
        <v>No</v>
      </c>
      <c r="T190" s="1" t="str">
        <f>IF(Back_End_Data!S190="Yes","Yes","No")</f>
        <v>No</v>
      </c>
      <c r="U190" s="1" t="str">
        <f>IF(Back_End_Data!Q189="Completed","Yes","No")</f>
        <v>No</v>
      </c>
      <c r="V190" s="1" t="str">
        <f ca="1">IF(INDEX(MIS_Backend_Data!L:L, MATCH(D190, MIS_Backend_Data!B:B, 1)) = "WT", "Yes", "No")</f>
        <v>No</v>
      </c>
      <c r="W190" s="2" t="str">
        <f t="shared" ca="1" si="6"/>
        <v>Approved</v>
      </c>
      <c r="Z190" s="1">
        <f ca="1"/>
        <v>0</v>
      </c>
      <c r="AA190" s="1">
        <f t="shared" ca="1" si="7"/>
        <v>0</v>
      </c>
      <c r="AC190" s="1" t="str">
        <f ca="1"/>
        <v>Open</v>
      </c>
      <c r="AG190" s="1" t="str">
        <f t="shared" si="8"/>
        <v/>
      </c>
    </row>
    <row r="191" spans="1:33" ht="20.25" customHeight="1">
      <c r="A191" s="13">
        <v>190</v>
      </c>
      <c r="B191" s="1" t="str">
        <f ca="1"/>
        <v>Indusind General Insurance Co Ltd</v>
      </c>
      <c r="C191" s="13" t="str">
        <f ca="1"/>
        <v>2025213495</v>
      </c>
      <c r="D191" s="13" t="str">
        <f ca="1"/>
        <v>R001-1190-SS-2025</v>
      </c>
      <c r="E191" s="13">
        <f ca="1"/>
        <v>19</v>
      </c>
      <c r="F191" s="14">
        <f ca="1"/>
        <v>46008</v>
      </c>
      <c r="G191" s="14" t="str">
        <f ca="1"/>
        <v>-</v>
      </c>
      <c r="H191" s="1" t="str">
        <f>IF(Back_End_Data!G191="Completed","Yes","No")</f>
        <v>No</v>
      </c>
      <c r="I191" s="1" t="str">
        <f>IF(Back_End_Data!I191="Completed","Yes","No")</f>
        <v>No</v>
      </c>
      <c r="J191" s="1" t="str">
        <f>IF(Back_End_Data!J191="Completed","Yes","No")</f>
        <v>No</v>
      </c>
      <c r="K191" s="1" t="str">
        <f>IF(Back_End_Data!K191="Completed","Yes","No")</f>
        <v>No</v>
      </c>
      <c r="L191" s="1" t="str">
        <f>IF(Back_End_Data!L191="", "No", Back_End_Data!L191)</f>
        <v>NA</v>
      </c>
      <c r="M191" s="1" t="str">
        <f>IF(Back_End_Data!N191="", "No", Back_End_Data!N191)</f>
        <v>NA</v>
      </c>
      <c r="N191" s="1" t="str">
        <f>IF(Back_End_Data!M191="", "No", Back_End_Data!M191)</f>
        <v>NA</v>
      </c>
      <c r="O191" s="1" t="str">
        <f>IF(Back_End_Data!O191="Completed","Yes","No")</f>
        <v>No</v>
      </c>
      <c r="P191" s="1" t="str">
        <f>IF(Back_End_Data!H191="Completed","Yes","No")</f>
        <v>No</v>
      </c>
      <c r="Q191" s="1" t="str">
        <f>IF(Back_End_Data!P191="Completed","Yes","No")</f>
        <v>No</v>
      </c>
      <c r="R191" s="1" t="s">
        <v>2369</v>
      </c>
      <c r="S191" s="1" t="str">
        <f>IF(Back_End_Data!R191="Completed","Yes","No")</f>
        <v>No</v>
      </c>
      <c r="T191" s="1" t="str">
        <f>IF(Back_End_Data!S191="Yes","Yes","No")</f>
        <v>No</v>
      </c>
      <c r="U191" s="1" t="str">
        <f>IF(Back_End_Data!Q190="Completed","Yes","No")</f>
        <v>No</v>
      </c>
      <c r="V191" s="1" t="str">
        <f ca="1">IF(INDEX(MIS_Backend_Data!L:L, MATCH(D191, MIS_Backend_Data!B:B, 1)) = "WT", "Yes", "No")</f>
        <v>No</v>
      </c>
      <c r="W191" s="2" t="str">
        <f t="shared" ca="1" si="6"/>
        <v>Approved</v>
      </c>
      <c r="Z191" s="1">
        <f ca="1"/>
        <v>0</v>
      </c>
      <c r="AA191" s="1">
        <f t="shared" ca="1" si="7"/>
        <v>0</v>
      </c>
      <c r="AC191" s="1" t="str">
        <f ca="1"/>
        <v>Open</v>
      </c>
      <c r="AG191" s="1" t="str">
        <f t="shared" si="8"/>
        <v/>
      </c>
    </row>
    <row r="192" spans="1:33" ht="20.25" customHeight="1">
      <c r="A192" s="13">
        <v>191</v>
      </c>
      <c r="B192" s="1" t="str">
        <f ca="1"/>
        <v>Indusind General Insurance Co Ltd</v>
      </c>
      <c r="C192" s="13" t="str">
        <f ca="1"/>
        <v>2025213494</v>
      </c>
      <c r="D192" s="13" t="str">
        <f ca="1"/>
        <v>R001-1191-SS-2025</v>
      </c>
      <c r="E192" s="13">
        <f ca="1"/>
        <v>19</v>
      </c>
      <c r="F192" s="14">
        <f ca="1"/>
        <v>46008</v>
      </c>
      <c r="G192" s="14" t="str">
        <f ca="1"/>
        <v>-</v>
      </c>
      <c r="H192" s="1" t="str">
        <f>IF(Back_End_Data!G192="Completed","Yes","No")</f>
        <v>No</v>
      </c>
      <c r="I192" s="1" t="str">
        <f>IF(Back_End_Data!I192="Completed","Yes","No")</f>
        <v>Yes</v>
      </c>
      <c r="J192" s="1" t="str">
        <f>IF(Back_End_Data!J192="Completed","Yes","No")</f>
        <v>No</v>
      </c>
      <c r="K192" s="1" t="str">
        <f>IF(Back_End_Data!K192="Completed","Yes","No")</f>
        <v>Yes</v>
      </c>
      <c r="L192" s="1" t="str">
        <f>IF(Back_End_Data!L192="", "No", Back_End_Data!L192)</f>
        <v>NA</v>
      </c>
      <c r="M192" s="1" t="str">
        <f>IF(Back_End_Data!N192="", "No", Back_End_Data!N192)</f>
        <v>NA</v>
      </c>
      <c r="N192" s="1" t="str">
        <f>IF(Back_End_Data!M192="", "No", Back_End_Data!M192)</f>
        <v>NA</v>
      </c>
      <c r="O192" s="1" t="str">
        <f>IF(Back_End_Data!O192="Completed","Yes","No")</f>
        <v>No</v>
      </c>
      <c r="P192" s="1" t="str">
        <f>IF(Back_End_Data!H192="Completed","Yes","No")</f>
        <v>No</v>
      </c>
      <c r="Q192" s="1" t="str">
        <f>IF(Back_End_Data!P192="Completed","Yes","No")</f>
        <v>No</v>
      </c>
      <c r="R192" s="1" t="s">
        <v>2369</v>
      </c>
      <c r="S192" s="1" t="str">
        <f>IF(Back_End_Data!R192="Completed","Yes","No")</f>
        <v>No</v>
      </c>
      <c r="T192" s="1" t="str">
        <f>IF(Back_End_Data!S192="Yes","Yes","No")</f>
        <v>No</v>
      </c>
      <c r="U192" s="1" t="str">
        <f>IF(Back_End_Data!Q191="Completed","Yes","No")</f>
        <v>No</v>
      </c>
      <c r="V192" s="1" t="str">
        <f ca="1">IF(INDEX(MIS_Backend_Data!L:L, MATCH(D192, MIS_Backend_Data!B:B, 1)) = "WT", "Yes", "No")</f>
        <v>No</v>
      </c>
      <c r="W192" s="2" t="str">
        <f t="shared" ca="1" si="6"/>
        <v>Reject</v>
      </c>
      <c r="Z192" s="1">
        <f ca="1"/>
        <v>0</v>
      </c>
      <c r="AA192" s="1">
        <f t="shared" ca="1" si="7"/>
        <v>2</v>
      </c>
      <c r="AC192" s="1" t="str">
        <f ca="1"/>
        <v>Open</v>
      </c>
      <c r="AG192" s="1" t="str">
        <f t="shared" si="8"/>
        <v/>
      </c>
    </row>
    <row r="193" spans="1:33" ht="20.25" customHeight="1">
      <c r="A193" s="13">
        <v>192</v>
      </c>
      <c r="B193" s="1" t="str">
        <f ca="1"/>
        <v>Indusind General Insurance Co Ltd</v>
      </c>
      <c r="C193" s="13" t="str">
        <f ca="1"/>
        <v>2025213493</v>
      </c>
      <c r="D193" s="13" t="str">
        <f ca="1"/>
        <v>R001-1192-SS-2025</v>
      </c>
      <c r="E193" s="13">
        <f ca="1"/>
        <v>19</v>
      </c>
      <c r="F193" s="14">
        <f ca="1"/>
        <v>46008</v>
      </c>
      <c r="G193" s="14" t="str">
        <f ca="1"/>
        <v>-</v>
      </c>
      <c r="H193" s="1" t="str">
        <f>IF(Back_End_Data!G193="Completed","Yes","No")</f>
        <v>No</v>
      </c>
      <c r="I193" s="1" t="str">
        <f>IF(Back_End_Data!I193="Completed","Yes","No")</f>
        <v>No</v>
      </c>
      <c r="J193" s="1" t="str">
        <f>IF(Back_End_Data!J193="Completed","Yes","No")</f>
        <v>No</v>
      </c>
      <c r="K193" s="1" t="str">
        <f>IF(Back_End_Data!K193="Completed","Yes","No")</f>
        <v>No</v>
      </c>
      <c r="L193" s="1" t="str">
        <f>IF(Back_End_Data!L193="", "No", Back_End_Data!L193)</f>
        <v>NA</v>
      </c>
      <c r="M193" s="1" t="str">
        <f>IF(Back_End_Data!N193="", "No", Back_End_Data!N193)</f>
        <v>NA</v>
      </c>
      <c r="N193" s="1" t="str">
        <f>IF(Back_End_Data!M193="", "No", Back_End_Data!M193)</f>
        <v>NA</v>
      </c>
      <c r="O193" s="1" t="str">
        <f>IF(Back_End_Data!O193="Completed","Yes","No")</f>
        <v>No</v>
      </c>
      <c r="P193" s="1" t="str">
        <f>IF(Back_End_Data!H193="Completed","Yes","No")</f>
        <v>No</v>
      </c>
      <c r="Q193" s="1" t="str">
        <f>IF(Back_End_Data!P193="Completed","Yes","No")</f>
        <v>No</v>
      </c>
      <c r="R193" s="1" t="s">
        <v>2369</v>
      </c>
      <c r="S193" s="1" t="str">
        <f>IF(Back_End_Data!R193="Completed","Yes","No")</f>
        <v>No</v>
      </c>
      <c r="T193" s="1" t="str">
        <f>IF(Back_End_Data!S193="Yes","Yes","No")</f>
        <v>No</v>
      </c>
      <c r="U193" s="1" t="str">
        <f>IF(Back_End_Data!Q192="Completed","Yes","No")</f>
        <v>No</v>
      </c>
      <c r="V193" s="1" t="str">
        <f ca="1">IF(INDEX(MIS_Backend_Data!L:L, MATCH(D193, MIS_Backend_Data!B:B, 1)) = "WT", "Yes", "No")</f>
        <v>No</v>
      </c>
      <c r="W193" s="2" t="str">
        <f t="shared" ca="1" si="6"/>
        <v>Approved</v>
      </c>
      <c r="Z193" s="1">
        <f ca="1"/>
        <v>0</v>
      </c>
      <c r="AA193" s="1">
        <f t="shared" ca="1" si="7"/>
        <v>0</v>
      </c>
      <c r="AC193" s="1" t="str">
        <f ca="1"/>
        <v>Open</v>
      </c>
      <c r="AG193" s="1" t="str">
        <f t="shared" si="8"/>
        <v/>
      </c>
    </row>
    <row r="194" spans="1:33" ht="20.25" customHeight="1">
      <c r="A194" s="13">
        <v>193</v>
      </c>
      <c r="B194" s="1" t="str">
        <f ca="1"/>
        <v>Indusind General Insurance Co Ltd</v>
      </c>
      <c r="C194" s="13" t="str">
        <f ca="1"/>
        <v>2025213492</v>
      </c>
      <c r="D194" s="13" t="str">
        <f ca="1"/>
        <v>R001-1193-SS-2025</v>
      </c>
      <c r="E194" s="13">
        <f ca="1"/>
        <v>19</v>
      </c>
      <c r="F194" s="14">
        <f ca="1"/>
        <v>46008</v>
      </c>
      <c r="G194" s="14" t="str">
        <f ca="1"/>
        <v>-</v>
      </c>
      <c r="H194" s="1" t="str">
        <f>IF(Back_End_Data!G194="Completed","Yes","No")</f>
        <v>No</v>
      </c>
      <c r="I194" s="1" t="str">
        <f>IF(Back_End_Data!I194="Completed","Yes","No")</f>
        <v>No</v>
      </c>
      <c r="J194" s="1" t="str">
        <f>IF(Back_End_Data!J194="Completed","Yes","No")</f>
        <v>No</v>
      </c>
      <c r="K194" s="1" t="str">
        <f>IF(Back_End_Data!K194="Completed","Yes","No")</f>
        <v>No</v>
      </c>
      <c r="L194" s="1" t="str">
        <f>IF(Back_End_Data!L194="", "No", Back_End_Data!L194)</f>
        <v>NA</v>
      </c>
      <c r="M194" s="1" t="str">
        <f>IF(Back_End_Data!N194="", "No", Back_End_Data!N194)</f>
        <v>NA</v>
      </c>
      <c r="N194" s="1" t="str">
        <f>IF(Back_End_Data!M194="", "No", Back_End_Data!M194)</f>
        <v>NA</v>
      </c>
      <c r="O194" s="1" t="str">
        <f>IF(Back_End_Data!O194="Completed","Yes","No")</f>
        <v>No</v>
      </c>
      <c r="P194" s="1" t="str">
        <f>IF(Back_End_Data!H194="Completed","Yes","No")</f>
        <v>No</v>
      </c>
      <c r="Q194" s="1" t="str">
        <f>IF(Back_End_Data!P194="Completed","Yes","No")</f>
        <v>No</v>
      </c>
      <c r="R194" s="1" t="s">
        <v>2369</v>
      </c>
      <c r="S194" s="1" t="str">
        <f>IF(Back_End_Data!R194="Completed","Yes","No")</f>
        <v>No</v>
      </c>
      <c r="T194" s="1" t="str">
        <f>IF(Back_End_Data!S194="Yes","Yes","No")</f>
        <v>No</v>
      </c>
      <c r="U194" s="1" t="str">
        <f>IF(Back_End_Data!Q193="Completed","Yes","No")</f>
        <v>No</v>
      </c>
      <c r="V194" s="1" t="str">
        <f ca="1">IF(INDEX(MIS_Backend_Data!L:L, MATCH(D194, MIS_Backend_Data!B:B, 1)) = "WT", "Yes", "No")</f>
        <v>No</v>
      </c>
      <c r="W194" s="2" t="str">
        <f t="shared" ca="1" si="6"/>
        <v>Approved</v>
      </c>
      <c r="Z194" s="1">
        <f ca="1"/>
        <v>0</v>
      </c>
      <c r="AA194" s="1">
        <f t="shared" ca="1" si="7"/>
        <v>0</v>
      </c>
      <c r="AC194" s="1" t="str">
        <f ca="1"/>
        <v>Open</v>
      </c>
      <c r="AG194" s="1" t="str">
        <f t="shared" si="8"/>
        <v/>
      </c>
    </row>
    <row r="195" spans="1:33" ht="20.25" customHeight="1">
      <c r="A195" s="13">
        <v>194</v>
      </c>
      <c r="B195" s="1" t="str">
        <f ca="1"/>
        <v>Indusind General Insurance Co Ltd</v>
      </c>
      <c r="C195" s="13" t="str">
        <f ca="1"/>
        <v>2024208871</v>
      </c>
      <c r="D195" s="13" t="str">
        <f ca="1"/>
        <v>R001-1194-SS-2025</v>
      </c>
      <c r="E195" s="13">
        <f ca="1"/>
        <v>126</v>
      </c>
      <c r="F195" s="14">
        <f ca="1"/>
        <v>45517</v>
      </c>
      <c r="G195" s="14">
        <f ca="1"/>
        <v>45643</v>
      </c>
      <c r="H195" s="1" t="str">
        <f>IF(Back_End_Data!G195="Completed","Yes","No")</f>
        <v>No</v>
      </c>
      <c r="I195" s="1" t="str">
        <f>IF(Back_End_Data!I195="Completed","Yes","No")</f>
        <v>No</v>
      </c>
      <c r="J195" s="1" t="str">
        <f>IF(Back_End_Data!J195="Completed","Yes","No")</f>
        <v>No</v>
      </c>
      <c r="K195" s="1" t="str">
        <f>IF(Back_End_Data!K195="Completed","Yes","No")</f>
        <v>No</v>
      </c>
      <c r="L195" s="1" t="str">
        <f>IF(Back_End_Data!L195="", "No", Back_End_Data!L195)</f>
        <v>NA</v>
      </c>
      <c r="M195" s="1" t="str">
        <f>IF(Back_End_Data!N195="", "No", Back_End_Data!N195)</f>
        <v>NA</v>
      </c>
      <c r="N195" s="1" t="str">
        <f>IF(Back_End_Data!M195="", "No", Back_End_Data!M195)</f>
        <v>NA</v>
      </c>
      <c r="O195" s="1" t="str">
        <f>IF(Back_End_Data!O195="Completed","Yes","No")</f>
        <v>No</v>
      </c>
      <c r="P195" s="1" t="str">
        <f>IF(Back_End_Data!H195="Completed","Yes","No")</f>
        <v>No</v>
      </c>
      <c r="Q195" s="1" t="str">
        <f>IF(Back_End_Data!P195="Completed","Yes","No")</f>
        <v>No</v>
      </c>
      <c r="R195" s="1" t="s">
        <v>2369</v>
      </c>
      <c r="S195" s="1" t="str">
        <f>IF(Back_End_Data!R195="Completed","Yes","No")</f>
        <v>No</v>
      </c>
      <c r="T195" s="1" t="str">
        <f>IF(Back_End_Data!S195="Yes","Yes","No")</f>
        <v>No</v>
      </c>
      <c r="U195" s="1" t="str">
        <f>IF(Back_End_Data!Q194="Completed","Yes","No")</f>
        <v>No</v>
      </c>
      <c r="V195" s="1" t="str">
        <f ca="1">IF(INDEX(MIS_Backend_Data!L:L, MATCH(D195, MIS_Backend_Data!B:B, 1)) = "WT", "Yes", "No")</f>
        <v>No</v>
      </c>
      <c r="W195" s="2" t="str">
        <f t="shared" ref="W195:W258" ca="1" si="9">IF(OR(Z195="", AA195=""), "", IF(Z195=AA195, "Approved", "Reject"))</f>
        <v>Approved</v>
      </c>
      <c r="Z195" s="1">
        <f ca="1"/>
        <v>0</v>
      </c>
      <c r="AA195" s="1">
        <f t="shared" ref="AA195:AA258" ca="1" si="10">COUNTIF(H195:V195,"Yes")</f>
        <v>0</v>
      </c>
      <c r="AC195" s="1" t="str">
        <f ca="1"/>
        <v>Dispatch</v>
      </c>
      <c r="AG195" s="1" t="str">
        <f t="shared" si="8"/>
        <v/>
      </c>
    </row>
    <row r="196" spans="1:33" ht="20.25" customHeight="1">
      <c r="A196" s="13">
        <v>195</v>
      </c>
      <c r="B196" s="1" t="str">
        <f ca="1"/>
        <v>Indusind General Insurance Co Ltd</v>
      </c>
      <c r="C196" s="13" t="str">
        <f ca="1"/>
        <v>2024210062</v>
      </c>
      <c r="D196" s="13" t="str">
        <f ca="1"/>
        <v>R001-1195-SS-2025</v>
      </c>
      <c r="E196" s="13">
        <f ca="1"/>
        <v>58</v>
      </c>
      <c r="F196" s="14">
        <f ca="1"/>
        <v>45581</v>
      </c>
      <c r="G196" s="14">
        <f ca="1"/>
        <v>45639</v>
      </c>
      <c r="H196" s="1" t="str">
        <f>IF(Back_End_Data!G196="Completed","Yes","No")</f>
        <v>Yes</v>
      </c>
      <c r="I196" s="1" t="str">
        <f>IF(Back_End_Data!I196="Completed","Yes","No")</f>
        <v>Yes</v>
      </c>
      <c r="J196" s="1" t="str">
        <f>IF(Back_End_Data!J196="Completed","Yes","No")</f>
        <v>No</v>
      </c>
      <c r="K196" s="1" t="str">
        <f>IF(Back_End_Data!K196="Completed","Yes","No")</f>
        <v>No</v>
      </c>
      <c r="L196" s="1" t="str">
        <f>IF(Back_End_Data!L196="", "No", Back_End_Data!L196)</f>
        <v>NA</v>
      </c>
      <c r="M196" s="1" t="str">
        <f>IF(Back_End_Data!N196="", "No", Back_End_Data!N196)</f>
        <v>NA</v>
      </c>
      <c r="N196" s="1" t="str">
        <f>IF(Back_End_Data!M196="", "No", Back_End_Data!M196)</f>
        <v>NA</v>
      </c>
      <c r="O196" s="1" t="str">
        <f>IF(Back_End_Data!O196="Completed","Yes","No")</f>
        <v>No</v>
      </c>
      <c r="P196" s="1" t="str">
        <f>IF(Back_End_Data!H196="Completed","Yes","No")</f>
        <v>No</v>
      </c>
      <c r="Q196" s="1" t="str">
        <f>IF(Back_End_Data!P196="Completed","Yes","No")</f>
        <v>Yes</v>
      </c>
      <c r="R196" s="1" t="s">
        <v>2369</v>
      </c>
      <c r="S196" s="1" t="str">
        <f>IF(Back_End_Data!R196="Completed","Yes","No")</f>
        <v>No</v>
      </c>
      <c r="T196" s="1" t="str">
        <f>IF(Back_End_Data!S196="Yes","Yes","No")</f>
        <v>No</v>
      </c>
      <c r="U196" s="1" t="str">
        <f>IF(Back_End_Data!Q195="Completed","Yes","No")</f>
        <v>No</v>
      </c>
      <c r="V196" s="1" t="str">
        <f ca="1">IF(INDEX(MIS_Backend_Data!L:L, MATCH(D196, MIS_Backend_Data!B:B, 1)) = "WT", "Yes", "No")</f>
        <v>No</v>
      </c>
      <c r="W196" s="2" t="str">
        <f t="shared" ca="1" si="9"/>
        <v>Reject</v>
      </c>
      <c r="Z196" s="1">
        <f ca="1"/>
        <v>0</v>
      </c>
      <c r="AA196" s="1">
        <f t="shared" ca="1" si="10"/>
        <v>3</v>
      </c>
      <c r="AC196" s="1" t="str">
        <f ca="1"/>
        <v>Dispatch</v>
      </c>
      <c r="AG196" s="1" t="str">
        <f t="shared" ref="AG196:AG259" si="11">IF(AND(AE196="Dispatch",AF196="Pending"),"Pending","")</f>
        <v/>
      </c>
    </row>
    <row r="197" spans="1:33" ht="20.25" customHeight="1">
      <c r="A197" s="13">
        <v>196</v>
      </c>
      <c r="B197" s="1" t="str">
        <f ca="1"/>
        <v>Indusind General Insurance Co Ltd</v>
      </c>
      <c r="C197" s="13" t="str">
        <f ca="1"/>
        <v>2025200164</v>
      </c>
      <c r="D197" s="13" t="str">
        <f ca="1"/>
        <v>R001-1196-SS-2025</v>
      </c>
      <c r="E197" s="13">
        <f ca="1"/>
        <v>17</v>
      </c>
      <c r="F197" s="14">
        <f ca="1"/>
        <v>45664</v>
      </c>
      <c r="G197" s="14">
        <f ca="1"/>
        <v>45681</v>
      </c>
      <c r="H197" s="1" t="str">
        <f>IF(Back_End_Data!G197="Completed","Yes","No")</f>
        <v>Yes</v>
      </c>
      <c r="I197" s="1" t="str">
        <f>IF(Back_End_Data!I197="Completed","Yes","No")</f>
        <v>Yes</v>
      </c>
      <c r="J197" s="1" t="str">
        <f>IF(Back_End_Data!J197="Completed","Yes","No")</f>
        <v>No</v>
      </c>
      <c r="K197" s="1" t="str">
        <f>IF(Back_End_Data!K197="Completed","Yes","No")</f>
        <v>Yes</v>
      </c>
      <c r="L197" s="1" t="str">
        <f>IF(Back_End_Data!L197="", "No", Back_End_Data!L197)</f>
        <v>NA</v>
      </c>
      <c r="M197" s="1" t="str">
        <f>IF(Back_End_Data!N197="", "No", Back_End_Data!N197)</f>
        <v>NA</v>
      </c>
      <c r="N197" s="1" t="str">
        <f>IF(Back_End_Data!M197="", "No", Back_End_Data!M197)</f>
        <v>NA</v>
      </c>
      <c r="O197" s="1" t="str">
        <f>IF(Back_End_Data!O197="Completed","Yes","No")</f>
        <v>No</v>
      </c>
      <c r="P197" s="1" t="str">
        <f>IF(Back_End_Data!H197="Completed","Yes","No")</f>
        <v>No</v>
      </c>
      <c r="Q197" s="1" t="str">
        <f>IF(Back_End_Data!P197="Completed","Yes","No")</f>
        <v>Yes</v>
      </c>
      <c r="R197" s="1" t="s">
        <v>2369</v>
      </c>
      <c r="S197" s="1" t="str">
        <f>IF(Back_End_Data!R197="Completed","Yes","No")</f>
        <v>No</v>
      </c>
      <c r="T197" s="1" t="str">
        <f>IF(Back_End_Data!S197="Yes","Yes","No")</f>
        <v>No</v>
      </c>
      <c r="U197" s="1" t="str">
        <f>IF(Back_End_Data!Q196="Completed","Yes","No")</f>
        <v>No</v>
      </c>
      <c r="V197" s="1" t="str">
        <f ca="1">IF(INDEX(MIS_Backend_Data!L:L, MATCH(D197, MIS_Backend_Data!B:B, 1)) = "WT", "Yes", "No")</f>
        <v>No</v>
      </c>
      <c r="W197" s="2" t="str">
        <f t="shared" ca="1" si="9"/>
        <v>Reject</v>
      </c>
      <c r="Z197" s="1">
        <f ca="1"/>
        <v>0</v>
      </c>
      <c r="AA197" s="1">
        <f t="shared" ca="1" si="10"/>
        <v>4</v>
      </c>
      <c r="AC197" s="1" t="str">
        <f ca="1"/>
        <v>Open</v>
      </c>
      <c r="AG197" s="1" t="str">
        <f t="shared" si="11"/>
        <v/>
      </c>
    </row>
    <row r="198" spans="1:33" ht="20.25" customHeight="1">
      <c r="A198" s="13">
        <v>197</v>
      </c>
      <c r="B198" s="1" t="str">
        <f ca="1"/>
        <v>Indusind General Insurance Co Ltd</v>
      </c>
      <c r="C198" s="13" t="str">
        <f ca="1"/>
        <v>2024216007</v>
      </c>
      <c r="D198" s="13" t="str">
        <f ca="1"/>
        <v>R001-1197-SS-2025</v>
      </c>
      <c r="E198" s="13">
        <f ca="1"/>
        <v>210</v>
      </c>
      <c r="F198" s="14">
        <f ca="1"/>
        <v>45688</v>
      </c>
      <c r="G198" s="14">
        <f ca="1"/>
        <v>45898</v>
      </c>
      <c r="H198" s="1" t="str">
        <f>IF(Back_End_Data!G198="Completed","Yes","No")</f>
        <v>Yes</v>
      </c>
      <c r="I198" s="1" t="str">
        <f>IF(Back_End_Data!I198="Completed","Yes","No")</f>
        <v>Yes</v>
      </c>
      <c r="J198" s="1" t="str">
        <f>IF(Back_End_Data!J198="Completed","Yes","No")</f>
        <v>No</v>
      </c>
      <c r="K198" s="1" t="str">
        <f>IF(Back_End_Data!K198="Completed","Yes","No")</f>
        <v>Yes</v>
      </c>
      <c r="L198" s="1" t="str">
        <f>IF(Back_End_Data!L198="", "No", Back_End_Data!L198)</f>
        <v>NA</v>
      </c>
      <c r="M198" s="1" t="str">
        <f>IF(Back_End_Data!N198="", "No", Back_End_Data!N198)</f>
        <v>NA</v>
      </c>
      <c r="N198" s="1" t="str">
        <f>IF(Back_End_Data!M198="", "No", Back_End_Data!M198)</f>
        <v>NA</v>
      </c>
      <c r="O198" s="1" t="str">
        <f>IF(Back_End_Data!O198="Completed","Yes","No")</f>
        <v>No</v>
      </c>
      <c r="P198" s="1" t="str">
        <f>IF(Back_End_Data!H198="Completed","Yes","No")</f>
        <v>No</v>
      </c>
      <c r="Q198" s="1" t="str">
        <f>IF(Back_End_Data!P198="Completed","Yes","No")</f>
        <v>Yes</v>
      </c>
      <c r="R198" s="1" t="s">
        <v>2369</v>
      </c>
      <c r="S198" s="1" t="str">
        <f>IF(Back_End_Data!R198="Completed","Yes","No")</f>
        <v>No</v>
      </c>
      <c r="T198" s="1" t="str">
        <f>IF(Back_End_Data!S198="Yes","Yes","No")</f>
        <v>No</v>
      </c>
      <c r="U198" s="1" t="str">
        <f>IF(Back_End_Data!Q197="Completed","Yes","No")</f>
        <v>No</v>
      </c>
      <c r="V198" s="1" t="str">
        <f ca="1">IF(INDEX(MIS_Backend_Data!L:L, MATCH(D198, MIS_Backend_Data!B:B, 1)) = "WT", "Yes", "No")</f>
        <v>No</v>
      </c>
      <c r="W198" s="2" t="str">
        <f t="shared" ca="1" si="9"/>
        <v>Reject</v>
      </c>
      <c r="Z198" s="1">
        <f ca="1"/>
        <v>0</v>
      </c>
      <c r="AA198" s="1">
        <f t="shared" ca="1" si="10"/>
        <v>4</v>
      </c>
      <c r="AC198" s="1" t="str">
        <f ca="1"/>
        <v>Open</v>
      </c>
      <c r="AG198" s="1" t="str">
        <f t="shared" si="11"/>
        <v/>
      </c>
    </row>
    <row r="199" spans="1:33" ht="20.25" customHeight="1">
      <c r="A199" s="13">
        <v>198</v>
      </c>
      <c r="B199" s="1" t="str">
        <f ca="1"/>
        <v>Indusind General Insurance Co Ltd</v>
      </c>
      <c r="C199" s="13" t="str">
        <f ca="1"/>
        <v>2018212712</v>
      </c>
      <c r="D199" s="13" t="str">
        <f ca="1"/>
        <v>R001-1198-SS-2025</v>
      </c>
      <c r="E199" s="13">
        <f ca="1"/>
        <v>91</v>
      </c>
      <c r="F199" s="14">
        <f ca="1"/>
        <v>45733</v>
      </c>
      <c r="G199" s="14">
        <f ca="1"/>
        <v>45824</v>
      </c>
      <c r="H199" s="1" t="str">
        <f>IF(Back_End_Data!G199="Completed","Yes","No")</f>
        <v>Yes</v>
      </c>
      <c r="I199" s="1" t="str">
        <f>IF(Back_End_Data!I199="Completed","Yes","No")</f>
        <v>Yes</v>
      </c>
      <c r="J199" s="1" t="str">
        <f>IF(Back_End_Data!J199="Completed","Yes","No")</f>
        <v>No</v>
      </c>
      <c r="K199" s="1" t="str">
        <f>IF(Back_End_Data!K199="Completed","Yes","No")</f>
        <v>Yes</v>
      </c>
      <c r="L199" s="1" t="str">
        <f>IF(Back_End_Data!L199="", "No", Back_End_Data!L199)</f>
        <v>NA</v>
      </c>
      <c r="M199" s="1" t="str">
        <f>IF(Back_End_Data!N199="", "No", Back_End_Data!N199)</f>
        <v>NA</v>
      </c>
      <c r="N199" s="1" t="str">
        <f>IF(Back_End_Data!M199="", "No", Back_End_Data!M199)</f>
        <v>NA</v>
      </c>
      <c r="O199" s="1" t="str">
        <f>IF(Back_End_Data!O199="Completed","Yes","No")</f>
        <v>No</v>
      </c>
      <c r="P199" s="1" t="str">
        <f>IF(Back_End_Data!H199="Completed","Yes","No")</f>
        <v>No</v>
      </c>
      <c r="Q199" s="1" t="str">
        <f>IF(Back_End_Data!P199="Completed","Yes","No")</f>
        <v>No</v>
      </c>
      <c r="R199" s="1" t="s">
        <v>2369</v>
      </c>
      <c r="S199" s="1" t="str">
        <f>IF(Back_End_Data!R199="Completed","Yes","No")</f>
        <v>No</v>
      </c>
      <c r="T199" s="1" t="str">
        <f>IF(Back_End_Data!S199="Yes","Yes","No")</f>
        <v>No</v>
      </c>
      <c r="U199" s="1" t="str">
        <f>IF(Back_End_Data!Q198="Completed","Yes","No")</f>
        <v>No</v>
      </c>
      <c r="V199" s="1" t="str">
        <f ca="1">IF(INDEX(MIS_Backend_Data!L:L, MATCH(D199, MIS_Backend_Data!B:B, 1)) = "WT", "Yes", "No")</f>
        <v>No</v>
      </c>
      <c r="W199" s="2" t="str">
        <f t="shared" ca="1" si="9"/>
        <v>Reject</v>
      </c>
      <c r="Z199" s="1">
        <f ca="1"/>
        <v>0</v>
      </c>
      <c r="AA199" s="1">
        <f t="shared" ca="1" si="10"/>
        <v>3</v>
      </c>
      <c r="AC199" s="1" t="str">
        <f ca="1"/>
        <v>STOP</v>
      </c>
      <c r="AG199" s="1" t="str">
        <f t="shared" si="11"/>
        <v/>
      </c>
    </row>
    <row r="200" spans="1:33" ht="20.25" customHeight="1">
      <c r="A200" s="13">
        <v>199</v>
      </c>
      <c r="B200" s="1" t="str">
        <f ca="1"/>
        <v>Generali Central Insurance Company Limited</v>
      </c>
      <c r="C200" s="13" t="str">
        <f ca="1"/>
        <v>MTP-N-2526-005257</v>
      </c>
      <c r="D200" s="13" t="str">
        <f ca="1"/>
        <v>F001-1199-SS-2025</v>
      </c>
      <c r="E200" s="13">
        <f ca="1"/>
        <v>17</v>
      </c>
      <c r="F200" s="14">
        <f ca="1"/>
        <v>46010</v>
      </c>
      <c r="G200" s="14" t="str">
        <f ca="1"/>
        <v>-</v>
      </c>
      <c r="H200" s="1" t="str">
        <f>IF(Back_End_Data!G200="Completed","Yes","No")</f>
        <v>No</v>
      </c>
      <c r="I200" s="1" t="str">
        <f>IF(Back_End_Data!I200="Completed","Yes","No")</f>
        <v>No</v>
      </c>
      <c r="J200" s="1" t="str">
        <f>IF(Back_End_Data!J200="Completed","Yes","No")</f>
        <v>No</v>
      </c>
      <c r="K200" s="1" t="str">
        <f>IF(Back_End_Data!K200="Completed","Yes","No")</f>
        <v>No</v>
      </c>
      <c r="L200" s="1" t="str">
        <f>IF(Back_End_Data!L200="", "No", Back_End_Data!L200)</f>
        <v>NA</v>
      </c>
      <c r="M200" s="1" t="str">
        <f>IF(Back_End_Data!N200="", "No", Back_End_Data!N200)</f>
        <v>NA</v>
      </c>
      <c r="N200" s="1" t="str">
        <f>IF(Back_End_Data!M200="", "No", Back_End_Data!M200)</f>
        <v>NA</v>
      </c>
      <c r="O200" s="1" t="str">
        <f>IF(Back_End_Data!O200="Completed","Yes","No")</f>
        <v>No</v>
      </c>
      <c r="P200" s="1" t="str">
        <f>IF(Back_End_Data!H200="Completed","Yes","No")</f>
        <v>No</v>
      </c>
      <c r="Q200" s="1" t="str">
        <f>IF(Back_End_Data!P200="Completed","Yes","No")</f>
        <v>No</v>
      </c>
      <c r="R200" s="1" t="s">
        <v>2369</v>
      </c>
      <c r="S200" s="1" t="str">
        <f>IF(Back_End_Data!R200="Completed","Yes","No")</f>
        <v>No</v>
      </c>
      <c r="T200" s="1" t="str">
        <f>IF(Back_End_Data!S200="Yes","Yes","No")</f>
        <v>No</v>
      </c>
      <c r="U200" s="1" t="str">
        <f>IF(Back_End_Data!Q199="Completed","Yes","No")</f>
        <v>No</v>
      </c>
      <c r="V200" s="1" t="str">
        <f ca="1">IF(INDEX(MIS_Backend_Data!L:L, MATCH(D200, MIS_Backend_Data!B:B, 1)) = "WT", "Yes", "No")</f>
        <v>No</v>
      </c>
      <c r="W200" s="2" t="str">
        <f t="shared" ca="1" si="9"/>
        <v>Approved</v>
      </c>
      <c r="Z200" s="1">
        <f ca="1"/>
        <v>0</v>
      </c>
      <c r="AA200" s="1">
        <f t="shared" ca="1" si="10"/>
        <v>0</v>
      </c>
      <c r="AC200" s="1" t="str">
        <f ca="1"/>
        <v>Open</v>
      </c>
      <c r="AG200" s="1" t="str">
        <f t="shared" si="11"/>
        <v/>
      </c>
    </row>
    <row r="201" spans="1:33" ht="20.25" customHeight="1">
      <c r="A201" s="13">
        <v>200</v>
      </c>
      <c r="B201" s="1" t="str">
        <f ca="1"/>
        <v>Indusind General Insurance Co Ltd</v>
      </c>
      <c r="C201" s="13" t="str">
        <f ca="1"/>
        <v>2025214146</v>
      </c>
      <c r="D201" s="13" t="str">
        <f ca="1"/>
        <v>R001-1200-SS-2025</v>
      </c>
      <c r="E201" s="13">
        <f ca="1"/>
        <v>17</v>
      </c>
      <c r="F201" s="14">
        <f ca="1"/>
        <v>46010</v>
      </c>
      <c r="G201" s="14" t="str">
        <f ca="1"/>
        <v>-</v>
      </c>
      <c r="H201" s="1" t="str">
        <f>IF(Back_End_Data!G201="Completed","Yes","No")</f>
        <v>No</v>
      </c>
      <c r="I201" s="1" t="str">
        <f>IF(Back_End_Data!I201="Completed","Yes","No")</f>
        <v>No</v>
      </c>
      <c r="J201" s="1" t="str">
        <f>IF(Back_End_Data!J201="Completed","Yes","No")</f>
        <v>No</v>
      </c>
      <c r="K201" s="1" t="str">
        <f>IF(Back_End_Data!K201="Completed","Yes","No")</f>
        <v>No</v>
      </c>
      <c r="L201" s="1" t="str">
        <f>IF(Back_End_Data!L201="", "No", Back_End_Data!L201)</f>
        <v>NI</v>
      </c>
      <c r="M201" s="1" t="str">
        <f>IF(Back_End_Data!N201="", "No", Back_End_Data!N201)</f>
        <v>NA</v>
      </c>
      <c r="N201" s="1" t="str">
        <f>IF(Back_End_Data!M201="", "No", Back_End_Data!M201)</f>
        <v>NI</v>
      </c>
      <c r="O201" s="1" t="str">
        <f>IF(Back_End_Data!O201="Completed","Yes","No")</f>
        <v>No</v>
      </c>
      <c r="P201" s="1" t="str">
        <f>IF(Back_End_Data!H201="Completed","Yes","No")</f>
        <v>No</v>
      </c>
      <c r="Q201" s="1" t="str">
        <f>IF(Back_End_Data!P201="Completed","Yes","No")</f>
        <v>No</v>
      </c>
      <c r="R201" s="1" t="s">
        <v>2369</v>
      </c>
      <c r="S201" s="1" t="str">
        <f>IF(Back_End_Data!R201="Completed","Yes","No")</f>
        <v>No</v>
      </c>
      <c r="T201" s="1" t="str">
        <f>IF(Back_End_Data!S201="Yes","Yes","No")</f>
        <v>No</v>
      </c>
      <c r="U201" s="1" t="str">
        <f>IF(Back_End_Data!Q200="Completed","Yes","No")</f>
        <v>Yes</v>
      </c>
      <c r="V201" s="1" t="str">
        <f ca="1">IF(INDEX(MIS_Backend_Data!L:L, MATCH(D201, MIS_Backend_Data!B:B, 1)) = "WT", "Yes", "No")</f>
        <v>No</v>
      </c>
      <c r="W201" s="2" t="str">
        <f t="shared" ca="1" si="9"/>
        <v>Reject</v>
      </c>
      <c r="Z201" s="1">
        <f ca="1"/>
        <v>0</v>
      </c>
      <c r="AA201" s="1">
        <f t="shared" ca="1" si="10"/>
        <v>1</v>
      </c>
      <c r="AC201" s="1" t="str">
        <f ca="1"/>
        <v>Open</v>
      </c>
      <c r="AG201" s="1" t="str">
        <f t="shared" si="11"/>
        <v/>
      </c>
    </row>
    <row r="202" spans="1:33" ht="20.25" customHeight="1">
      <c r="A202" s="13">
        <v>201</v>
      </c>
      <c r="B202" s="1" t="str">
        <f ca="1"/>
        <v>Generali Central Insurance Company Limited</v>
      </c>
      <c r="C202" s="13" t="str">
        <f ca="1"/>
        <v>MTP-N-2526-005022</v>
      </c>
      <c r="D202" s="13" t="str">
        <f ca="1"/>
        <v>F001-1201-SS-2025</v>
      </c>
      <c r="E202" s="13">
        <f ca="1"/>
        <v>14</v>
      </c>
      <c r="F202" s="14">
        <f ca="1"/>
        <v>46013</v>
      </c>
      <c r="G202" s="14" t="str">
        <f ca="1"/>
        <v>-</v>
      </c>
      <c r="H202" s="1" t="str">
        <f>IF(Back_End_Data!G202="Completed","Yes","No")</f>
        <v>No</v>
      </c>
      <c r="I202" s="1" t="str">
        <f>IF(Back_End_Data!I202="Completed","Yes","No")</f>
        <v>No</v>
      </c>
      <c r="J202" s="1" t="str">
        <f>IF(Back_End_Data!J202="Completed","Yes","No")</f>
        <v>No</v>
      </c>
      <c r="K202" s="1" t="str">
        <f>IF(Back_End_Data!K202="Completed","Yes","No")</f>
        <v>No</v>
      </c>
      <c r="L202" s="1" t="str">
        <f>IF(Back_End_Data!L202="", "No", Back_End_Data!L202)</f>
        <v>NA</v>
      </c>
      <c r="M202" s="1" t="str">
        <f>IF(Back_End_Data!N202="", "No", Back_End_Data!N202)</f>
        <v>NA</v>
      </c>
      <c r="N202" s="1" t="str">
        <f>IF(Back_End_Data!M202="", "No", Back_End_Data!M202)</f>
        <v>NA</v>
      </c>
      <c r="O202" s="1" t="str">
        <f>IF(Back_End_Data!O202="Completed","Yes","No")</f>
        <v>No</v>
      </c>
      <c r="P202" s="1" t="str">
        <f>IF(Back_End_Data!H202="Completed","Yes","No")</f>
        <v>No</v>
      </c>
      <c r="Q202" s="1" t="str">
        <f>IF(Back_End_Data!P202="Completed","Yes","No")</f>
        <v>No</v>
      </c>
      <c r="R202" s="1" t="s">
        <v>2369</v>
      </c>
      <c r="S202" s="1" t="str">
        <f>IF(Back_End_Data!R202="Completed","Yes","No")</f>
        <v>No</v>
      </c>
      <c r="T202" s="1" t="str">
        <f>IF(Back_End_Data!S202="Yes","Yes","No")</f>
        <v>No</v>
      </c>
      <c r="U202" s="1" t="str">
        <f>IF(Back_End_Data!Q201="Completed","Yes","No")</f>
        <v>No</v>
      </c>
      <c r="V202" s="1" t="str">
        <f ca="1">IF(INDEX(MIS_Backend_Data!L:L, MATCH(D202, MIS_Backend_Data!B:B, 1)) = "WT", "Yes", "No")</f>
        <v>No</v>
      </c>
      <c r="W202" s="2" t="str">
        <f t="shared" ca="1" si="9"/>
        <v>Approved</v>
      </c>
      <c r="Z202" s="1">
        <f ca="1"/>
        <v>0</v>
      </c>
      <c r="AA202" s="1">
        <f t="shared" ca="1" si="10"/>
        <v>0</v>
      </c>
      <c r="AC202" s="1" t="str">
        <f ca="1"/>
        <v>Open</v>
      </c>
      <c r="AG202" s="1" t="str">
        <f t="shared" si="11"/>
        <v/>
      </c>
    </row>
    <row r="203" spans="1:33" ht="20.25" customHeight="1">
      <c r="A203" s="13">
        <v>202</v>
      </c>
      <c r="B203" s="1" t="str">
        <f ca="1"/>
        <v>SBI General Insurance Company Ltd</v>
      </c>
      <c r="C203" s="13" t="str">
        <f ca="1"/>
        <v>2757549</v>
      </c>
      <c r="D203" s="13" t="str">
        <f ca="1"/>
        <v>S002-1202-SS-2025</v>
      </c>
      <c r="E203" s="13">
        <f ca="1"/>
        <v>14</v>
      </c>
      <c r="F203" s="14">
        <f ca="1"/>
        <v>46013</v>
      </c>
      <c r="G203" s="14" t="str">
        <f ca="1"/>
        <v>-</v>
      </c>
      <c r="H203" s="1" t="str">
        <f>IF(Back_End_Data!G203="Completed","Yes","No")</f>
        <v>No</v>
      </c>
      <c r="I203" s="1" t="str">
        <f>IF(Back_End_Data!I203="Completed","Yes","No")</f>
        <v>No</v>
      </c>
      <c r="J203" s="1" t="str">
        <f>IF(Back_End_Data!J203="Completed","Yes","No")</f>
        <v>No</v>
      </c>
      <c r="K203" s="1" t="str">
        <f>IF(Back_End_Data!K203="Completed","Yes","No")</f>
        <v>No</v>
      </c>
      <c r="L203" s="1" t="str">
        <f>IF(Back_End_Data!L203="", "No", Back_End_Data!L203)</f>
        <v>NA</v>
      </c>
      <c r="M203" s="1" t="str">
        <f>IF(Back_End_Data!N203="", "No", Back_End_Data!N203)</f>
        <v>NA</v>
      </c>
      <c r="N203" s="1" t="str">
        <f>IF(Back_End_Data!M203="", "No", Back_End_Data!M203)</f>
        <v>NA</v>
      </c>
      <c r="O203" s="1" t="str">
        <f>IF(Back_End_Data!O203="Completed","Yes","No")</f>
        <v>No</v>
      </c>
      <c r="P203" s="1" t="str">
        <f>IF(Back_End_Data!H203="Completed","Yes","No")</f>
        <v>No</v>
      </c>
      <c r="Q203" s="1" t="str">
        <f>IF(Back_End_Data!P203="Completed","Yes","No")</f>
        <v>No</v>
      </c>
      <c r="R203" s="1" t="s">
        <v>2369</v>
      </c>
      <c r="S203" s="1" t="str">
        <f>IF(Back_End_Data!R203="Completed","Yes","No")</f>
        <v>No</v>
      </c>
      <c r="T203" s="1" t="str">
        <f>IF(Back_End_Data!S203="Yes","Yes","No")</f>
        <v>No</v>
      </c>
      <c r="U203" s="1" t="str">
        <f>IF(Back_End_Data!Q202="Completed","Yes","No")</f>
        <v>No</v>
      </c>
      <c r="V203" s="1" t="str">
        <f ca="1">IF(INDEX(MIS_Backend_Data!L:L, MATCH(D203, MIS_Backend_Data!B:B, 1)) = "WT", "Yes", "No")</f>
        <v>No</v>
      </c>
      <c r="W203" s="2" t="str">
        <f t="shared" ca="1" si="9"/>
        <v>Approved</v>
      </c>
      <c r="Z203" s="1">
        <f ca="1"/>
        <v>0</v>
      </c>
      <c r="AA203" s="1">
        <f t="shared" ca="1" si="10"/>
        <v>0</v>
      </c>
      <c r="AC203" s="1" t="str">
        <f ca="1"/>
        <v>Open</v>
      </c>
      <c r="AG203" s="1" t="str">
        <f t="shared" si="11"/>
        <v/>
      </c>
    </row>
    <row r="204" spans="1:33" ht="20.25" customHeight="1">
      <c r="A204" s="13">
        <v>203</v>
      </c>
      <c r="B204" s="1" t="str">
        <f ca="1"/>
        <v>Indusind General Insurance Co Ltd</v>
      </c>
      <c r="C204" s="13" t="str">
        <f ca="1"/>
        <v>2025214269</v>
      </c>
      <c r="D204" s="13" t="str">
        <f ca="1"/>
        <v>R001-1203-SS-2025</v>
      </c>
      <c r="E204" s="13">
        <f ca="1"/>
        <v>14</v>
      </c>
      <c r="F204" s="14">
        <f ca="1"/>
        <v>46013</v>
      </c>
      <c r="G204" s="14" t="str">
        <f ca="1"/>
        <v>-</v>
      </c>
      <c r="H204" s="1" t="str">
        <f>IF(Back_End_Data!G204="Completed","Yes","No")</f>
        <v>Yes</v>
      </c>
      <c r="I204" s="1" t="str">
        <f>IF(Back_End_Data!I204="Completed","Yes","No")</f>
        <v>No</v>
      </c>
      <c r="J204" s="1" t="str">
        <f>IF(Back_End_Data!J204="Completed","Yes","No")</f>
        <v>No</v>
      </c>
      <c r="K204" s="1" t="str">
        <f>IF(Back_End_Data!K204="Completed","Yes","No")</f>
        <v>No</v>
      </c>
      <c r="L204" s="1" t="str">
        <f>IF(Back_End_Data!L204="", "No", Back_End_Data!L204)</f>
        <v>NA</v>
      </c>
      <c r="M204" s="1" t="str">
        <f>IF(Back_End_Data!N204="", "No", Back_End_Data!N204)</f>
        <v>NA</v>
      </c>
      <c r="N204" s="1" t="str">
        <f>IF(Back_End_Data!M204="", "No", Back_End_Data!M204)</f>
        <v>NA</v>
      </c>
      <c r="O204" s="1" t="str">
        <f>IF(Back_End_Data!O204="Completed","Yes","No")</f>
        <v>No</v>
      </c>
      <c r="P204" s="1" t="str">
        <f>IF(Back_End_Data!H204="Completed","Yes","No")</f>
        <v>No</v>
      </c>
      <c r="Q204" s="1" t="str">
        <f>IF(Back_End_Data!P204="Completed","Yes","No")</f>
        <v>Yes</v>
      </c>
      <c r="R204" s="1" t="s">
        <v>2369</v>
      </c>
      <c r="S204" s="1" t="str">
        <f>IF(Back_End_Data!R204="Completed","Yes","No")</f>
        <v>No</v>
      </c>
      <c r="T204" s="1" t="str">
        <f>IF(Back_End_Data!S204="Yes","Yes","No")</f>
        <v>No</v>
      </c>
      <c r="U204" s="1" t="str">
        <f>IF(Back_End_Data!Q203="Completed","Yes","No")</f>
        <v>No</v>
      </c>
      <c r="V204" s="1" t="str">
        <f ca="1">IF(INDEX(MIS_Backend_Data!L:L, MATCH(D204, MIS_Backend_Data!B:B, 1)) = "WT", "Yes", "No")</f>
        <v>No</v>
      </c>
      <c r="W204" s="2" t="str">
        <f t="shared" ca="1" si="9"/>
        <v>Reject</v>
      </c>
      <c r="Z204" s="1">
        <f ca="1"/>
        <v>0</v>
      </c>
      <c r="AA204" s="1">
        <f t="shared" ca="1" si="10"/>
        <v>2</v>
      </c>
      <c r="AC204" s="1" t="str">
        <f ca="1"/>
        <v>Open</v>
      </c>
      <c r="AG204" s="1" t="str">
        <f t="shared" si="11"/>
        <v/>
      </c>
    </row>
    <row r="205" spans="1:33" ht="20.25" customHeight="1">
      <c r="A205" s="13">
        <v>204</v>
      </c>
      <c r="B205" s="1" t="str">
        <f ca="1"/>
        <v>Indusind General Insurance Co Ltd</v>
      </c>
      <c r="C205" s="13" t="str">
        <f ca="1"/>
        <v>2025214177</v>
      </c>
      <c r="D205" s="13" t="str">
        <f ca="1"/>
        <v>R001-1204-SS-2025</v>
      </c>
      <c r="E205" s="13">
        <f ca="1"/>
        <v>14</v>
      </c>
      <c r="F205" s="14">
        <f ca="1"/>
        <v>46013</v>
      </c>
      <c r="G205" s="14" t="str">
        <f ca="1"/>
        <v>-</v>
      </c>
      <c r="H205" s="1" t="str">
        <f>IF(Back_End_Data!G205="Completed","Yes","No")</f>
        <v>No</v>
      </c>
      <c r="I205" s="1" t="str">
        <f>IF(Back_End_Data!I205="Completed","Yes","No")</f>
        <v>No</v>
      </c>
      <c r="J205" s="1" t="str">
        <f>IF(Back_End_Data!J205="Completed","Yes","No")</f>
        <v>No</v>
      </c>
      <c r="K205" s="1" t="str">
        <f>IF(Back_End_Data!K205="Completed","Yes","No")</f>
        <v>No</v>
      </c>
      <c r="L205" s="1" t="str">
        <f>IF(Back_End_Data!L205="", "No", Back_End_Data!L205)</f>
        <v>NA</v>
      </c>
      <c r="M205" s="1" t="str">
        <f>IF(Back_End_Data!N205="", "No", Back_End_Data!N205)</f>
        <v>NA</v>
      </c>
      <c r="N205" s="1" t="str">
        <f>IF(Back_End_Data!M205="", "No", Back_End_Data!M205)</f>
        <v>NA</v>
      </c>
      <c r="O205" s="1" t="str">
        <f>IF(Back_End_Data!O205="Completed","Yes","No")</f>
        <v>No</v>
      </c>
      <c r="P205" s="1" t="str">
        <f>IF(Back_End_Data!H205="Completed","Yes","No")</f>
        <v>No</v>
      </c>
      <c r="Q205" s="1" t="str">
        <f>IF(Back_End_Data!P205="Completed","Yes","No")</f>
        <v>No</v>
      </c>
      <c r="R205" s="1" t="s">
        <v>2369</v>
      </c>
      <c r="S205" s="1" t="str">
        <f>IF(Back_End_Data!R205="Completed","Yes","No")</f>
        <v>No</v>
      </c>
      <c r="T205" s="1" t="str">
        <f>IF(Back_End_Data!S205="Yes","Yes","No")</f>
        <v>No</v>
      </c>
      <c r="U205" s="1" t="str">
        <f>IF(Back_End_Data!Q204="Completed","Yes","No")</f>
        <v>No</v>
      </c>
      <c r="V205" s="1" t="str">
        <f ca="1">IF(INDEX(MIS_Backend_Data!L:L, MATCH(D205, MIS_Backend_Data!B:B, 1)) = "WT", "Yes", "No")</f>
        <v>No</v>
      </c>
      <c r="W205" s="2" t="str">
        <f t="shared" ca="1" si="9"/>
        <v>Approved</v>
      </c>
      <c r="Z205" s="1">
        <f ca="1"/>
        <v>0</v>
      </c>
      <c r="AA205" s="1">
        <f t="shared" ca="1" si="10"/>
        <v>0</v>
      </c>
      <c r="AC205" s="1" t="str">
        <f ca="1"/>
        <v>Open</v>
      </c>
      <c r="AG205" s="1" t="str">
        <f t="shared" si="11"/>
        <v/>
      </c>
    </row>
    <row r="206" spans="1:33" ht="20.25" customHeight="1">
      <c r="A206" s="13">
        <v>205</v>
      </c>
      <c r="B206" s="1" t="str">
        <f ca="1"/>
        <v>Indusind General Insurance Co Ltd</v>
      </c>
      <c r="C206" s="13" t="str">
        <f ca="1"/>
        <v>2025214105</v>
      </c>
      <c r="D206" s="13" t="str">
        <f ca="1"/>
        <v>R001-1205-SS-2025</v>
      </c>
      <c r="E206" s="13">
        <f ca="1"/>
        <v>14</v>
      </c>
      <c r="F206" s="14">
        <f ca="1"/>
        <v>46013</v>
      </c>
      <c r="G206" s="14" t="str">
        <f ca="1"/>
        <v>-</v>
      </c>
      <c r="H206" s="1" t="str">
        <f>IF(Back_End_Data!G206="Completed","Yes","No")</f>
        <v>No</v>
      </c>
      <c r="I206" s="1" t="str">
        <f>IF(Back_End_Data!I206="Completed","Yes","No")</f>
        <v>No</v>
      </c>
      <c r="J206" s="1" t="str">
        <f>IF(Back_End_Data!J206="Completed","Yes","No")</f>
        <v>No</v>
      </c>
      <c r="K206" s="1" t="str">
        <f>IF(Back_End_Data!K206="Completed","Yes","No")</f>
        <v>No</v>
      </c>
      <c r="L206" s="1" t="str">
        <f>IF(Back_End_Data!L206="", "No", Back_End_Data!L206)</f>
        <v>NA</v>
      </c>
      <c r="M206" s="1" t="str">
        <f>IF(Back_End_Data!N206="", "No", Back_End_Data!N206)</f>
        <v>NA</v>
      </c>
      <c r="N206" s="1" t="str">
        <f>IF(Back_End_Data!M206="", "No", Back_End_Data!M206)</f>
        <v>NA</v>
      </c>
      <c r="O206" s="1" t="str">
        <f>IF(Back_End_Data!O206="Completed","Yes","No")</f>
        <v>No</v>
      </c>
      <c r="P206" s="1" t="str">
        <f>IF(Back_End_Data!H206="Completed","Yes","No")</f>
        <v>No</v>
      </c>
      <c r="Q206" s="1" t="str">
        <f>IF(Back_End_Data!P206="Completed","Yes","No")</f>
        <v>No</v>
      </c>
      <c r="R206" s="1" t="s">
        <v>2369</v>
      </c>
      <c r="S206" s="1" t="str">
        <f>IF(Back_End_Data!R206="Completed","Yes","No")</f>
        <v>No</v>
      </c>
      <c r="T206" s="1" t="str">
        <f>IF(Back_End_Data!S206="Yes","Yes","No")</f>
        <v>No</v>
      </c>
      <c r="U206" s="1" t="str">
        <f>IF(Back_End_Data!Q205="Completed","Yes","No")</f>
        <v>No</v>
      </c>
      <c r="V206" s="1" t="str">
        <f ca="1">IF(INDEX(MIS_Backend_Data!L:L, MATCH(D206, MIS_Backend_Data!B:B, 1)) = "WT", "Yes", "No")</f>
        <v>No</v>
      </c>
      <c r="W206" s="2" t="str">
        <f t="shared" ca="1" si="9"/>
        <v>Approved</v>
      </c>
      <c r="Z206" s="1">
        <f ca="1"/>
        <v>0</v>
      </c>
      <c r="AA206" s="1">
        <f t="shared" ca="1" si="10"/>
        <v>0</v>
      </c>
      <c r="AC206" s="1" t="str">
        <f ca="1"/>
        <v>Open</v>
      </c>
      <c r="AG206" s="1" t="str">
        <f t="shared" si="11"/>
        <v/>
      </c>
    </row>
    <row r="207" spans="1:33" ht="20.25" customHeight="1">
      <c r="A207" s="13">
        <v>206</v>
      </c>
      <c r="B207" s="1" t="str">
        <f ca="1"/>
        <v>Indusind General Insurance Co Ltd</v>
      </c>
      <c r="C207" s="13" t="str">
        <f ca="1"/>
        <v>2025213441</v>
      </c>
      <c r="D207" s="13" t="str">
        <f ca="1"/>
        <v>R001-1206-SS-2025</v>
      </c>
      <c r="E207" s="13">
        <f ca="1"/>
        <v>14</v>
      </c>
      <c r="F207" s="14">
        <f ca="1"/>
        <v>46013</v>
      </c>
      <c r="G207" s="14" t="str">
        <f ca="1"/>
        <v>-</v>
      </c>
      <c r="H207" s="1" t="str">
        <f>IF(Back_End_Data!G207="Completed","Yes","No")</f>
        <v>No</v>
      </c>
      <c r="I207" s="1" t="str">
        <f>IF(Back_End_Data!I207="Completed","Yes","No")</f>
        <v>No</v>
      </c>
      <c r="J207" s="1" t="str">
        <f>IF(Back_End_Data!J207="Completed","Yes","No")</f>
        <v>No</v>
      </c>
      <c r="K207" s="1" t="str">
        <f>IF(Back_End_Data!K207="Completed","Yes","No")</f>
        <v>No</v>
      </c>
      <c r="L207" s="1" t="str">
        <f>IF(Back_End_Data!L207="", "No", Back_End_Data!L207)</f>
        <v>NA</v>
      </c>
      <c r="M207" s="1" t="str">
        <f>IF(Back_End_Data!N207="", "No", Back_End_Data!N207)</f>
        <v>NA</v>
      </c>
      <c r="N207" s="1" t="str">
        <f>IF(Back_End_Data!M207="", "No", Back_End_Data!M207)</f>
        <v>NA</v>
      </c>
      <c r="O207" s="1" t="str">
        <f>IF(Back_End_Data!O207="Completed","Yes","No")</f>
        <v>No</v>
      </c>
      <c r="P207" s="1" t="str">
        <f>IF(Back_End_Data!H207="Completed","Yes","No")</f>
        <v>No</v>
      </c>
      <c r="Q207" s="1" t="str">
        <f>IF(Back_End_Data!P207="Completed","Yes","No")</f>
        <v>No</v>
      </c>
      <c r="R207" s="1" t="s">
        <v>2369</v>
      </c>
      <c r="S207" s="1" t="str">
        <f>IF(Back_End_Data!R207="Completed","Yes","No")</f>
        <v>No</v>
      </c>
      <c r="T207" s="1" t="str">
        <f>IF(Back_End_Data!S207="Yes","Yes","No")</f>
        <v>No</v>
      </c>
      <c r="U207" s="1" t="str">
        <f>IF(Back_End_Data!Q206="Completed","Yes","No")</f>
        <v>No</v>
      </c>
      <c r="V207" s="1" t="str">
        <f ca="1">IF(INDEX(MIS_Backend_Data!L:L, MATCH(D207, MIS_Backend_Data!B:B, 1)) = "WT", "Yes", "No")</f>
        <v>No</v>
      </c>
      <c r="W207" s="2" t="str">
        <f t="shared" ca="1" si="9"/>
        <v>Approved</v>
      </c>
      <c r="Z207" s="1">
        <f ca="1"/>
        <v>0</v>
      </c>
      <c r="AA207" s="1">
        <f t="shared" ca="1" si="10"/>
        <v>0</v>
      </c>
      <c r="AC207" s="1" t="str">
        <f ca="1"/>
        <v>Open</v>
      </c>
      <c r="AG207" s="1" t="str">
        <f t="shared" si="11"/>
        <v/>
      </c>
    </row>
    <row r="208" spans="1:33" ht="20.25" customHeight="1">
      <c r="A208" s="13">
        <v>207</v>
      </c>
      <c r="B208" s="1" t="str">
        <f ca="1"/>
        <v>Indusind General Insurance Co Ltd</v>
      </c>
      <c r="C208" s="13" t="str">
        <f ca="1"/>
        <v>2025214020</v>
      </c>
      <c r="D208" s="13" t="str">
        <f ca="1"/>
        <v>R001-1207-SS-2025</v>
      </c>
      <c r="E208" s="13">
        <f ca="1"/>
        <v>14</v>
      </c>
      <c r="F208" s="14">
        <f ca="1"/>
        <v>46013</v>
      </c>
      <c r="G208" s="14" t="str">
        <f ca="1"/>
        <v>-</v>
      </c>
      <c r="H208" s="1" t="str">
        <f>IF(Back_End_Data!G208="Completed","Yes","No")</f>
        <v>No</v>
      </c>
      <c r="I208" s="1" t="str">
        <f>IF(Back_End_Data!I208="Completed","Yes","No")</f>
        <v>No</v>
      </c>
      <c r="J208" s="1" t="str">
        <f>IF(Back_End_Data!J208="Completed","Yes","No")</f>
        <v>No</v>
      </c>
      <c r="K208" s="1" t="str">
        <f>IF(Back_End_Data!K208="Completed","Yes","No")</f>
        <v>No</v>
      </c>
      <c r="L208" s="1" t="str">
        <f>IF(Back_End_Data!L208="", "No", Back_End_Data!L208)</f>
        <v>NA</v>
      </c>
      <c r="M208" s="1" t="str">
        <f>IF(Back_End_Data!N208="", "No", Back_End_Data!N208)</f>
        <v>NA</v>
      </c>
      <c r="N208" s="1" t="str">
        <f>IF(Back_End_Data!M208="", "No", Back_End_Data!M208)</f>
        <v>NA</v>
      </c>
      <c r="O208" s="1" t="str">
        <f>IF(Back_End_Data!O208="Completed","Yes","No")</f>
        <v>No</v>
      </c>
      <c r="P208" s="1" t="str">
        <f>IF(Back_End_Data!H208="Completed","Yes","No")</f>
        <v>No</v>
      </c>
      <c r="Q208" s="1" t="str">
        <f>IF(Back_End_Data!P208="Completed","Yes","No")</f>
        <v>No</v>
      </c>
      <c r="R208" s="1" t="s">
        <v>2369</v>
      </c>
      <c r="S208" s="1" t="str">
        <f>IF(Back_End_Data!R208="Completed","Yes","No")</f>
        <v>No</v>
      </c>
      <c r="T208" s="1" t="str">
        <f>IF(Back_End_Data!S208="Yes","Yes","No")</f>
        <v>No</v>
      </c>
      <c r="U208" s="1" t="str">
        <f>IF(Back_End_Data!Q207="Completed","Yes","No")</f>
        <v>No</v>
      </c>
      <c r="V208" s="1" t="str">
        <f ca="1">IF(INDEX(MIS_Backend_Data!L:L, MATCH(D208, MIS_Backend_Data!B:B, 1)) = "WT", "Yes", "No")</f>
        <v>No</v>
      </c>
      <c r="W208" s="2" t="str">
        <f t="shared" ca="1" si="9"/>
        <v>Approved</v>
      </c>
      <c r="Z208" s="1">
        <f ca="1"/>
        <v>0</v>
      </c>
      <c r="AA208" s="1">
        <f t="shared" ca="1" si="10"/>
        <v>0</v>
      </c>
      <c r="AC208" s="1" t="str">
        <f ca="1"/>
        <v>Open</v>
      </c>
      <c r="AG208" s="1" t="str">
        <f t="shared" si="11"/>
        <v/>
      </c>
    </row>
    <row r="209" spans="1:33" ht="20.25" customHeight="1">
      <c r="A209" s="13">
        <v>208</v>
      </c>
      <c r="B209" s="1" t="str">
        <f ca="1"/>
        <v>Indusind General Insurance Co Ltd</v>
      </c>
      <c r="C209" s="13" t="str">
        <f ca="1"/>
        <v>2024213331</v>
      </c>
      <c r="D209" s="13" t="str">
        <f ca="1"/>
        <v>R001-1208-SS-2025</v>
      </c>
      <c r="E209" s="13">
        <f ca="1"/>
        <v>49</v>
      </c>
      <c r="F209" s="14">
        <f ca="1"/>
        <v>45966</v>
      </c>
      <c r="G209" s="14">
        <f ca="1"/>
        <v>46015</v>
      </c>
      <c r="H209" s="1" t="str">
        <f>IF(Back_End_Data!G209="Completed","Yes","No")</f>
        <v>No</v>
      </c>
      <c r="I209" s="1" t="str">
        <f>IF(Back_End_Data!I209="Completed","Yes","No")</f>
        <v>No</v>
      </c>
      <c r="J209" s="1" t="str">
        <f>IF(Back_End_Data!J209="Completed","Yes","No")</f>
        <v>No</v>
      </c>
      <c r="K209" s="1" t="str">
        <f>IF(Back_End_Data!K209="Completed","Yes","No")</f>
        <v>No</v>
      </c>
      <c r="L209" s="1" t="str">
        <f>IF(Back_End_Data!L209="", "No", Back_End_Data!L209)</f>
        <v>NA</v>
      </c>
      <c r="M209" s="1" t="str">
        <f>IF(Back_End_Data!N209="", "No", Back_End_Data!N209)</f>
        <v>NA</v>
      </c>
      <c r="N209" s="1" t="str">
        <f>IF(Back_End_Data!M209="", "No", Back_End_Data!M209)</f>
        <v>NA</v>
      </c>
      <c r="O209" s="1" t="str">
        <f>IF(Back_End_Data!O209="Completed","Yes","No")</f>
        <v>No</v>
      </c>
      <c r="P209" s="1" t="str">
        <f>IF(Back_End_Data!H209="Completed","Yes","No")</f>
        <v>No</v>
      </c>
      <c r="Q209" s="1" t="str">
        <f>IF(Back_End_Data!P209="Completed","Yes","No")</f>
        <v>No</v>
      </c>
      <c r="R209" s="1" t="s">
        <v>2369</v>
      </c>
      <c r="S209" s="1" t="str">
        <f>IF(Back_End_Data!R209="Completed","Yes","No")</f>
        <v>No</v>
      </c>
      <c r="T209" s="1" t="str">
        <f>IF(Back_End_Data!S209="Yes","Yes","No")</f>
        <v>No</v>
      </c>
      <c r="U209" s="1" t="str">
        <f>IF(Back_End_Data!Q208="Completed","Yes","No")</f>
        <v>No</v>
      </c>
      <c r="V209" s="1" t="str">
        <f ca="1">IF(INDEX(MIS_Backend_Data!L:L, MATCH(D209, MIS_Backend_Data!B:B, 1)) = "WT", "Yes", "No")</f>
        <v>No</v>
      </c>
      <c r="W209" s="2" t="str">
        <f t="shared" ca="1" si="9"/>
        <v>Approved</v>
      </c>
      <c r="Z209" s="1">
        <f ca="1"/>
        <v>0</v>
      </c>
      <c r="AA209" s="1">
        <f t="shared" ca="1" si="10"/>
        <v>0</v>
      </c>
      <c r="AC209" s="1" t="str">
        <f ca="1"/>
        <v>Dispatch</v>
      </c>
      <c r="AG209" s="1" t="str">
        <f t="shared" si="11"/>
        <v/>
      </c>
    </row>
    <row r="210" spans="1:33" ht="20.25" customHeight="1">
      <c r="A210" s="13">
        <v>209</v>
      </c>
      <c r="B210" s="1" t="str">
        <f ca="1"/>
        <v>Indusind General Insurance Co Ltd</v>
      </c>
      <c r="C210" s="13">
        <f ca="1"/>
        <v>2024210698</v>
      </c>
      <c r="D210" s="13" t="str">
        <f ca="1"/>
        <v>R001-1209-SS-2025</v>
      </c>
      <c r="E210" s="13">
        <f ca="1"/>
        <v>466</v>
      </c>
      <c r="F210" s="14">
        <f ca="1"/>
        <v>45551</v>
      </c>
      <c r="G210" s="14">
        <f ca="1"/>
        <v>46017</v>
      </c>
      <c r="H210" s="1" t="str">
        <f>IF(Back_End_Data!G210="Completed","Yes","No")</f>
        <v>Yes</v>
      </c>
      <c r="I210" s="1" t="str">
        <f>IF(Back_End_Data!I210="Completed","Yes","No")</f>
        <v>No</v>
      </c>
      <c r="J210" s="1" t="str">
        <f>IF(Back_End_Data!J210="Completed","Yes","No")</f>
        <v>No</v>
      </c>
      <c r="K210" s="1" t="str">
        <f>IF(Back_End_Data!K210="Completed","Yes","No")</f>
        <v>No</v>
      </c>
      <c r="L210" s="1" t="str">
        <f>IF(Back_End_Data!L210="", "No", Back_End_Data!L210)</f>
        <v>No</v>
      </c>
      <c r="M210" s="1" t="str">
        <f>IF(Back_End_Data!N210="", "No", Back_End_Data!N210)</f>
        <v>No</v>
      </c>
      <c r="N210" s="1" t="str">
        <f>IF(Back_End_Data!M210="", "No", Back_End_Data!M210)</f>
        <v>No</v>
      </c>
      <c r="O210" s="1" t="str">
        <f>IF(Back_End_Data!O210="Completed","Yes","No")</f>
        <v>No</v>
      </c>
      <c r="P210" s="1" t="str">
        <f>IF(Back_End_Data!H210="Completed","Yes","No")</f>
        <v>No</v>
      </c>
      <c r="Q210" s="1" t="str">
        <f>IF(Back_End_Data!P210="Completed","Yes","No")</f>
        <v>No</v>
      </c>
      <c r="R210" s="1" t="s">
        <v>2369</v>
      </c>
      <c r="S210" s="1" t="str">
        <f>IF(Back_End_Data!R210="Completed","Yes","No")</f>
        <v>No</v>
      </c>
      <c r="T210" s="1" t="str">
        <f>IF(Back_End_Data!S210="Yes","Yes","No")</f>
        <v>No</v>
      </c>
      <c r="U210" s="1" t="str">
        <f>IF(Back_End_Data!Q209="Completed","Yes","No")</f>
        <v>No</v>
      </c>
      <c r="V210" s="1" t="str">
        <f ca="1">IF(INDEX(MIS_Backend_Data!L:L, MATCH(D210, MIS_Backend_Data!B:B, 1)) = "WT", "Yes", "No")</f>
        <v>No</v>
      </c>
      <c r="W210" s="2" t="str">
        <f t="shared" ca="1" si="9"/>
        <v>Reject</v>
      </c>
      <c r="Z210" s="1">
        <f ca="1"/>
        <v>0</v>
      </c>
      <c r="AA210" s="1">
        <f t="shared" ca="1" si="10"/>
        <v>1</v>
      </c>
      <c r="AC210" s="1" t="str">
        <f ca="1"/>
        <v>Dispatch</v>
      </c>
      <c r="AG210" s="1" t="str">
        <f t="shared" si="11"/>
        <v/>
      </c>
    </row>
    <row r="211" spans="1:33" ht="20.25" customHeight="1">
      <c r="A211" s="13">
        <v>210</v>
      </c>
      <c r="B211" s="1" t="str">
        <f ca="1"/>
        <v>SBI General Insurance Company Ltd</v>
      </c>
      <c r="C211" s="13">
        <f ca="1"/>
        <v>2759892</v>
      </c>
      <c r="D211" s="13" t="str">
        <f ca="1"/>
        <v>S002-1210-SS-2025</v>
      </c>
      <c r="E211" s="13">
        <f ca="1"/>
        <v>10</v>
      </c>
      <c r="F211" s="14">
        <f ca="1"/>
        <v>46017</v>
      </c>
      <c r="G211" s="14">
        <f ca="1"/>
        <v>0</v>
      </c>
      <c r="H211" s="1" t="str">
        <f>IF(Back_End_Data!G211="Completed","Yes","No")</f>
        <v>Yes</v>
      </c>
      <c r="I211" s="1" t="str">
        <f>IF(Back_End_Data!I211="Completed","Yes","No")</f>
        <v>Yes</v>
      </c>
      <c r="J211" s="1" t="str">
        <f>IF(Back_End_Data!J211="Completed","Yes","No")</f>
        <v>No</v>
      </c>
      <c r="K211" s="1" t="str">
        <f>IF(Back_End_Data!K211="Completed","Yes","No")</f>
        <v>No</v>
      </c>
      <c r="L211" s="1" t="str">
        <f>IF(Back_End_Data!L211="", "No", Back_End_Data!L211)</f>
        <v>NA</v>
      </c>
      <c r="M211" s="1" t="str">
        <f>IF(Back_End_Data!N211="", "No", Back_End_Data!N211)</f>
        <v>NA</v>
      </c>
      <c r="N211" s="1" t="str">
        <f>IF(Back_End_Data!M211="", "No", Back_End_Data!M211)</f>
        <v>NA</v>
      </c>
      <c r="O211" s="1" t="str">
        <f>IF(Back_End_Data!O211="Completed","Yes","No")</f>
        <v>No</v>
      </c>
      <c r="P211" s="1" t="str">
        <f>IF(Back_End_Data!H211="Completed","Yes","No")</f>
        <v>No</v>
      </c>
      <c r="Q211" s="1" t="str">
        <f>IF(Back_End_Data!P211="Completed","Yes","No")</f>
        <v>Yes</v>
      </c>
      <c r="R211" s="1" t="s">
        <v>2369</v>
      </c>
      <c r="S211" s="1" t="str">
        <f>IF(Back_End_Data!R211="Completed","Yes","No")</f>
        <v>No</v>
      </c>
      <c r="T211" s="1" t="str">
        <f>IF(Back_End_Data!S211="Yes","Yes","No")</f>
        <v>No</v>
      </c>
      <c r="U211" s="1" t="str">
        <f>IF(Back_End_Data!Q210="Completed","Yes","No")</f>
        <v>No</v>
      </c>
      <c r="V211" s="1" t="str">
        <f ca="1">IF(INDEX(MIS_Backend_Data!L:L, MATCH(D211, MIS_Backend_Data!B:B, 1)) = "WT", "Yes", "No")</f>
        <v>No</v>
      </c>
      <c r="W211" s="2" t="str">
        <f t="shared" ca="1" si="9"/>
        <v>Reject</v>
      </c>
      <c r="Z211" s="1">
        <f ca="1"/>
        <v>0</v>
      </c>
      <c r="AA211" s="1">
        <f t="shared" ca="1" si="10"/>
        <v>3</v>
      </c>
      <c r="AC211" s="1" t="str">
        <f ca="1"/>
        <v>Open</v>
      </c>
      <c r="AG211" s="1" t="str">
        <f t="shared" si="11"/>
        <v/>
      </c>
    </row>
    <row r="212" spans="1:33" ht="20.25" customHeight="1">
      <c r="A212" s="13">
        <v>211</v>
      </c>
      <c r="B212" s="1" t="str">
        <f ca="1"/>
        <v>SBI General Insurance Company Ltd</v>
      </c>
      <c r="C212" s="13">
        <f ca="1"/>
        <v>2759893</v>
      </c>
      <c r="D212" s="13" t="str">
        <f ca="1"/>
        <v>S002-1211-SS-2025</v>
      </c>
      <c r="E212" s="13">
        <f ca="1"/>
        <v>10</v>
      </c>
      <c r="F212" s="14">
        <f ca="1"/>
        <v>46017</v>
      </c>
      <c r="G212" s="14">
        <f ca="1"/>
        <v>0</v>
      </c>
      <c r="H212" s="1" t="str">
        <f>IF(Back_End_Data!G212="Completed","Yes","No")</f>
        <v>No</v>
      </c>
      <c r="I212" s="1" t="str">
        <f>IF(Back_End_Data!I212="Completed","Yes","No")</f>
        <v>No</v>
      </c>
      <c r="J212" s="1" t="str">
        <f>IF(Back_End_Data!J212="Completed","Yes","No")</f>
        <v>No</v>
      </c>
      <c r="K212" s="1" t="str">
        <f>IF(Back_End_Data!K212="Completed","Yes","No")</f>
        <v>No</v>
      </c>
      <c r="L212" s="1" t="str">
        <f>IF(Back_End_Data!L212="", "No", Back_End_Data!L212)</f>
        <v>NA</v>
      </c>
      <c r="M212" s="1" t="str">
        <f>IF(Back_End_Data!N212="", "No", Back_End_Data!N212)</f>
        <v>NA</v>
      </c>
      <c r="N212" s="1" t="str">
        <f>IF(Back_End_Data!M212="", "No", Back_End_Data!M212)</f>
        <v>NA</v>
      </c>
      <c r="O212" s="1" t="str">
        <f>IF(Back_End_Data!O212="Completed","Yes","No")</f>
        <v>No</v>
      </c>
      <c r="P212" s="1" t="str">
        <f>IF(Back_End_Data!H212="Completed","Yes","No")</f>
        <v>No</v>
      </c>
      <c r="Q212" s="1" t="str">
        <f>IF(Back_End_Data!P212="Completed","Yes","No")</f>
        <v>No</v>
      </c>
      <c r="R212" s="1" t="s">
        <v>2369</v>
      </c>
      <c r="S212" s="1" t="str">
        <f>IF(Back_End_Data!R212="Completed","Yes","No")</f>
        <v>No</v>
      </c>
      <c r="T212" s="1" t="str">
        <f>IF(Back_End_Data!S212="Yes","Yes","No")</f>
        <v>No</v>
      </c>
      <c r="U212" s="1" t="str">
        <f>IF(Back_End_Data!Q211="Completed","Yes","No")</f>
        <v>No</v>
      </c>
      <c r="V212" s="1" t="str">
        <f ca="1">IF(INDEX(MIS_Backend_Data!L:L, MATCH(D212, MIS_Backend_Data!B:B, 1)) = "WT", "Yes", "No")</f>
        <v>No</v>
      </c>
      <c r="W212" s="2" t="str">
        <f t="shared" ca="1" si="9"/>
        <v>Approved</v>
      </c>
      <c r="Z212" s="1">
        <f ca="1"/>
        <v>0</v>
      </c>
      <c r="AA212" s="1">
        <f t="shared" ca="1" si="10"/>
        <v>0</v>
      </c>
      <c r="AC212" s="1" t="str">
        <f ca="1"/>
        <v>Open</v>
      </c>
      <c r="AG212" s="1" t="str">
        <f t="shared" si="11"/>
        <v/>
      </c>
    </row>
    <row r="213" spans="1:33" ht="20.25" customHeight="1">
      <c r="A213" s="13">
        <v>212</v>
      </c>
      <c r="B213" s="1" t="str">
        <f ca="1"/>
        <v>Indusind General Insurance Co Ltd</v>
      </c>
      <c r="C213" s="13">
        <f ca="1"/>
        <v>2024213740</v>
      </c>
      <c r="D213" s="13" t="str">
        <f ca="1"/>
        <v>R001-1212-SS-2025</v>
      </c>
      <c r="E213" s="13">
        <f ca="1"/>
        <v>9</v>
      </c>
      <c r="F213" s="14">
        <f ca="1"/>
        <v>46018</v>
      </c>
      <c r="G213" s="14">
        <f ca="1"/>
        <v>0</v>
      </c>
      <c r="H213" s="1" t="str">
        <f>IF(Back_End_Data!G213="Completed","Yes","No")</f>
        <v>No</v>
      </c>
      <c r="I213" s="1" t="str">
        <f>IF(Back_End_Data!I213="Completed","Yes","No")</f>
        <v>No</v>
      </c>
      <c r="J213" s="1" t="str">
        <f>IF(Back_End_Data!J213="Completed","Yes","No")</f>
        <v>No</v>
      </c>
      <c r="K213" s="1" t="str">
        <f>IF(Back_End_Data!K213="Completed","Yes","No")</f>
        <v>No</v>
      </c>
      <c r="L213" s="1" t="str">
        <f>IF(Back_End_Data!L213="", "No", Back_End_Data!L213)</f>
        <v>NA</v>
      </c>
      <c r="M213" s="1" t="str">
        <f>IF(Back_End_Data!N213="", "No", Back_End_Data!N213)</f>
        <v>NA</v>
      </c>
      <c r="N213" s="1" t="str">
        <f>IF(Back_End_Data!M213="", "No", Back_End_Data!M213)</f>
        <v>NA</v>
      </c>
      <c r="O213" s="1" t="str">
        <f>IF(Back_End_Data!O213="Completed","Yes","No")</f>
        <v>No</v>
      </c>
      <c r="P213" s="1" t="str">
        <f>IF(Back_End_Data!H213="Completed","Yes","No")</f>
        <v>No</v>
      </c>
      <c r="Q213" s="1" t="str">
        <f>IF(Back_End_Data!P213="Completed","Yes","No")</f>
        <v>No</v>
      </c>
      <c r="R213" s="1" t="s">
        <v>2369</v>
      </c>
      <c r="S213" s="1" t="str">
        <f>IF(Back_End_Data!R213="Completed","Yes","No")</f>
        <v>No</v>
      </c>
      <c r="T213" s="1" t="str">
        <f>IF(Back_End_Data!S213="Yes","Yes","No")</f>
        <v>No</v>
      </c>
      <c r="U213" s="1" t="str">
        <f>IF(Back_End_Data!Q212="Completed","Yes","No")</f>
        <v>No</v>
      </c>
      <c r="V213" s="1" t="str">
        <f ca="1">IF(INDEX(MIS_Backend_Data!L:L, MATCH(D213, MIS_Backend_Data!B:B, 1)) = "WT", "Yes", "No")</f>
        <v>No</v>
      </c>
      <c r="W213" s="2" t="str">
        <f t="shared" ca="1" si="9"/>
        <v>Approved</v>
      </c>
      <c r="Z213" s="1">
        <f ca="1"/>
        <v>0</v>
      </c>
      <c r="AA213" s="1">
        <f t="shared" ca="1" si="10"/>
        <v>0</v>
      </c>
      <c r="AC213" s="1" t="str">
        <f ca="1"/>
        <v>Open</v>
      </c>
      <c r="AG213" s="1" t="str">
        <f t="shared" si="11"/>
        <v/>
      </c>
    </row>
    <row r="214" spans="1:33" ht="20.25" customHeight="1">
      <c r="A214" s="13">
        <v>213</v>
      </c>
      <c r="B214" s="1" t="str">
        <f ca="1"/>
        <v>Indusind General Insurance Co Ltd</v>
      </c>
      <c r="C214" s="13">
        <f ca="1"/>
        <v>2024205707</v>
      </c>
      <c r="D214" s="13" t="str">
        <f ca="1"/>
        <v>R001-1213-SS-2025</v>
      </c>
      <c r="E214" s="13">
        <f ca="1"/>
        <v>6</v>
      </c>
      <c r="F214" s="14">
        <f ca="1"/>
        <v>46021</v>
      </c>
      <c r="G214" s="14">
        <f ca="1"/>
        <v>0</v>
      </c>
      <c r="H214" s="1" t="str">
        <f>IF(Back_End_Data!G214="Completed","Yes","No")</f>
        <v>No</v>
      </c>
      <c r="I214" s="1" t="str">
        <f>IF(Back_End_Data!I214="Completed","Yes","No")</f>
        <v>No</v>
      </c>
      <c r="J214" s="1" t="str">
        <f>IF(Back_End_Data!J214="Completed","Yes","No")</f>
        <v>No</v>
      </c>
      <c r="K214" s="1" t="str">
        <f>IF(Back_End_Data!K214="Completed","Yes","No")</f>
        <v>No</v>
      </c>
      <c r="L214" s="1" t="str">
        <f>IF(Back_End_Data!L214="", "No", Back_End_Data!L214)</f>
        <v>NA</v>
      </c>
      <c r="M214" s="1" t="str">
        <f>IF(Back_End_Data!N214="", "No", Back_End_Data!N214)</f>
        <v>NA</v>
      </c>
      <c r="N214" s="1" t="str">
        <f>IF(Back_End_Data!M214="", "No", Back_End_Data!M214)</f>
        <v>NA</v>
      </c>
      <c r="O214" s="1" t="str">
        <f>IF(Back_End_Data!O214="Completed","Yes","No")</f>
        <v>No</v>
      </c>
      <c r="P214" s="1" t="str">
        <f>IF(Back_End_Data!H214="Completed","Yes","No")</f>
        <v>No</v>
      </c>
      <c r="Q214" s="1" t="str">
        <f>IF(Back_End_Data!P214="Completed","Yes","No")</f>
        <v>No</v>
      </c>
      <c r="R214" s="1" t="s">
        <v>2369</v>
      </c>
      <c r="S214" s="1" t="str">
        <f>IF(Back_End_Data!R214="Completed","Yes","No")</f>
        <v>No</v>
      </c>
      <c r="T214" s="1" t="str">
        <f>IF(Back_End_Data!S214="Yes","Yes","No")</f>
        <v>No</v>
      </c>
      <c r="U214" s="1" t="str">
        <f>IF(Back_End_Data!Q213="Completed","Yes","No")</f>
        <v>No</v>
      </c>
      <c r="V214" s="1" t="str">
        <f ca="1">IF(INDEX(MIS_Backend_Data!L:L, MATCH(D214, MIS_Backend_Data!B:B, 1)) = "WT", "Yes", "No")</f>
        <v>No</v>
      </c>
      <c r="W214" s="2" t="str">
        <f t="shared" ca="1" si="9"/>
        <v>Approved</v>
      </c>
      <c r="Z214" s="1">
        <f ca="1"/>
        <v>0</v>
      </c>
      <c r="AA214" s="1">
        <f t="shared" ca="1" si="10"/>
        <v>0</v>
      </c>
      <c r="AC214" s="1" t="str">
        <f ca="1"/>
        <v>Open</v>
      </c>
      <c r="AG214" s="1" t="str">
        <f t="shared" si="11"/>
        <v/>
      </c>
    </row>
    <row r="215" spans="1:33" ht="20.25" customHeight="1">
      <c r="A215" s="13">
        <v>214</v>
      </c>
      <c r="B215" s="1" t="str">
        <f ca="1"/>
        <v>Indusind General Insurance Co Ltd</v>
      </c>
      <c r="C215" s="13">
        <f ca="1"/>
        <v>2025214537</v>
      </c>
      <c r="D215" s="13" t="str">
        <f ca="1"/>
        <v>R001-1214-SS-2025</v>
      </c>
      <c r="E215" s="13">
        <f ca="1"/>
        <v>6</v>
      </c>
      <c r="F215" s="14">
        <f ca="1"/>
        <v>46021</v>
      </c>
      <c r="G215" s="14">
        <f ca="1"/>
        <v>0</v>
      </c>
      <c r="H215" s="1" t="str">
        <f>IF(Back_End_Data!G215="Completed","Yes","No")</f>
        <v>No</v>
      </c>
      <c r="I215" s="1" t="str">
        <f>IF(Back_End_Data!I215="Completed","Yes","No")</f>
        <v>No</v>
      </c>
      <c r="J215" s="1" t="str">
        <f>IF(Back_End_Data!J215="Completed","Yes","No")</f>
        <v>No</v>
      </c>
      <c r="K215" s="1" t="str">
        <f>IF(Back_End_Data!K215="Completed","Yes","No")</f>
        <v>No</v>
      </c>
      <c r="L215" s="1" t="str">
        <f>IF(Back_End_Data!L215="", "No", Back_End_Data!L215)</f>
        <v>NA</v>
      </c>
      <c r="M215" s="1" t="str">
        <f>IF(Back_End_Data!N215="", "No", Back_End_Data!N215)</f>
        <v>NA</v>
      </c>
      <c r="N215" s="1" t="str">
        <f>IF(Back_End_Data!M215="", "No", Back_End_Data!M215)</f>
        <v>NA</v>
      </c>
      <c r="O215" s="1" t="str">
        <f>IF(Back_End_Data!O215="Completed","Yes","No")</f>
        <v>No</v>
      </c>
      <c r="P215" s="1" t="str">
        <f>IF(Back_End_Data!H215="Completed","Yes","No")</f>
        <v>No</v>
      </c>
      <c r="Q215" s="1" t="str">
        <f>IF(Back_End_Data!P215="Completed","Yes","No")</f>
        <v>No</v>
      </c>
      <c r="R215" s="1" t="s">
        <v>2369</v>
      </c>
      <c r="S215" s="1" t="str">
        <f>IF(Back_End_Data!R215="Completed","Yes","No")</f>
        <v>No</v>
      </c>
      <c r="T215" s="1" t="str">
        <f>IF(Back_End_Data!S215="Yes","Yes","No")</f>
        <v>No</v>
      </c>
      <c r="U215" s="1" t="str">
        <f>IF(Back_End_Data!Q214="Completed","Yes","No")</f>
        <v>No</v>
      </c>
      <c r="V215" s="1" t="str">
        <f ca="1">IF(INDEX(MIS_Backend_Data!L:L, MATCH(D215, MIS_Backend_Data!B:B, 1)) = "WT", "Yes", "No")</f>
        <v>No</v>
      </c>
      <c r="W215" s="2" t="str">
        <f t="shared" ca="1" si="9"/>
        <v>Approved</v>
      </c>
      <c r="Z215" s="1">
        <f ca="1"/>
        <v>0</v>
      </c>
      <c r="AA215" s="1">
        <f t="shared" ca="1" si="10"/>
        <v>0</v>
      </c>
      <c r="AC215" s="1" t="str">
        <f ca="1"/>
        <v>Open</v>
      </c>
      <c r="AG215" s="1" t="str">
        <f t="shared" si="11"/>
        <v/>
      </c>
    </row>
    <row r="216" spans="1:33" ht="20.25" customHeight="1">
      <c r="A216" s="13">
        <v>215</v>
      </c>
      <c r="B216" s="1" t="str">
        <f ca="1"/>
        <v>SBI General Insurance Company Ltd</v>
      </c>
      <c r="C216" s="13">
        <f ca="1"/>
        <v>2762824</v>
      </c>
      <c r="D216" s="13" t="str">
        <f ca="1"/>
        <v>S002-1215-SS-2025</v>
      </c>
      <c r="E216" s="13">
        <f ca="1"/>
        <v>5</v>
      </c>
      <c r="F216" s="14">
        <f ca="1"/>
        <v>46022</v>
      </c>
      <c r="G216" s="14">
        <f ca="1"/>
        <v>0</v>
      </c>
      <c r="H216" s="1" t="str">
        <f>IF(Back_End_Data!G216="Completed","Yes","No")</f>
        <v>No</v>
      </c>
      <c r="I216" s="1" t="str">
        <f>IF(Back_End_Data!I216="Completed","Yes","No")</f>
        <v>No</v>
      </c>
      <c r="J216" s="1" t="str">
        <f>IF(Back_End_Data!J216="Completed","Yes","No")</f>
        <v>No</v>
      </c>
      <c r="K216" s="1" t="str">
        <f>IF(Back_End_Data!K216="Completed","Yes","No")</f>
        <v>No</v>
      </c>
      <c r="L216" s="1" t="str">
        <f>IF(Back_End_Data!L216="", "No", Back_End_Data!L216)</f>
        <v>NA</v>
      </c>
      <c r="M216" s="1" t="str">
        <f>IF(Back_End_Data!N216="", "No", Back_End_Data!N216)</f>
        <v>NA</v>
      </c>
      <c r="N216" s="1" t="str">
        <f>IF(Back_End_Data!M216="", "No", Back_End_Data!M216)</f>
        <v>NA</v>
      </c>
      <c r="O216" s="1" t="str">
        <f>IF(Back_End_Data!O216="Completed","Yes","No")</f>
        <v>No</v>
      </c>
      <c r="P216" s="1" t="str">
        <f>IF(Back_End_Data!H216="Completed","Yes","No")</f>
        <v>No</v>
      </c>
      <c r="Q216" s="1" t="str">
        <f>IF(Back_End_Data!P216="Completed","Yes","No")</f>
        <v>No</v>
      </c>
      <c r="R216" s="1" t="s">
        <v>2369</v>
      </c>
      <c r="S216" s="1" t="str">
        <f>IF(Back_End_Data!R216="Completed","Yes","No")</f>
        <v>No</v>
      </c>
      <c r="T216" s="1" t="str">
        <f>IF(Back_End_Data!S216="Yes","Yes","No")</f>
        <v>No</v>
      </c>
      <c r="U216" s="1" t="str">
        <f>IF(Back_End_Data!Q215="Completed","Yes","No")</f>
        <v>No</v>
      </c>
      <c r="V216" s="1" t="str">
        <f ca="1">IF(INDEX(MIS_Backend_Data!L:L, MATCH(D216, MIS_Backend_Data!B:B, 1)) = "WT", "Yes", "No")</f>
        <v>No</v>
      </c>
      <c r="W216" s="2" t="str">
        <f t="shared" ca="1" si="9"/>
        <v>Approved</v>
      </c>
      <c r="Z216" s="1">
        <f ca="1"/>
        <v>0</v>
      </c>
      <c r="AA216" s="1">
        <f t="shared" ca="1" si="10"/>
        <v>0</v>
      </c>
      <c r="AC216" s="1" t="str">
        <f ca="1"/>
        <v>Open</v>
      </c>
      <c r="AG216" s="1" t="str">
        <f t="shared" si="11"/>
        <v/>
      </c>
    </row>
    <row r="217" spans="1:33" ht="20.25" customHeight="1">
      <c r="A217" s="13">
        <v>216</v>
      </c>
      <c r="B217" s="1" t="str">
        <f ca="1"/>
        <v>SBI General Insurance Company Ltd</v>
      </c>
      <c r="C217" s="13">
        <f ca="1"/>
        <v>2761243</v>
      </c>
      <c r="D217" s="13" t="str">
        <f ca="1"/>
        <v>S002-1216-SS-2025</v>
      </c>
      <c r="E217" s="13">
        <f ca="1"/>
        <v>5</v>
      </c>
      <c r="F217" s="14">
        <f ca="1"/>
        <v>46022</v>
      </c>
      <c r="G217" s="14">
        <f ca="1"/>
        <v>0</v>
      </c>
      <c r="H217" s="1" t="str">
        <f>IF(Back_End_Data!G217="Completed","Yes","No")</f>
        <v>No</v>
      </c>
      <c r="I217" s="1" t="str">
        <f>IF(Back_End_Data!I217="Completed","Yes","No")</f>
        <v>No</v>
      </c>
      <c r="J217" s="1" t="str">
        <f>IF(Back_End_Data!J217="Completed","Yes","No")</f>
        <v>No</v>
      </c>
      <c r="K217" s="1" t="str">
        <f>IF(Back_End_Data!K217="Completed","Yes","No")</f>
        <v>No</v>
      </c>
      <c r="L217" s="1" t="str">
        <f>IF(Back_End_Data!L217="", "No", Back_End_Data!L217)</f>
        <v>NA</v>
      </c>
      <c r="M217" s="1" t="str">
        <f>IF(Back_End_Data!N217="", "No", Back_End_Data!N217)</f>
        <v>NA</v>
      </c>
      <c r="N217" s="1" t="str">
        <f>IF(Back_End_Data!M217="", "No", Back_End_Data!M217)</f>
        <v>NA</v>
      </c>
      <c r="O217" s="1" t="str">
        <f>IF(Back_End_Data!O217="Completed","Yes","No")</f>
        <v>No</v>
      </c>
      <c r="P217" s="1" t="str">
        <f>IF(Back_End_Data!H217="Completed","Yes","No")</f>
        <v>No</v>
      </c>
      <c r="Q217" s="1" t="str">
        <f>IF(Back_End_Data!P217="Completed","Yes","No")</f>
        <v>No</v>
      </c>
      <c r="R217" s="1" t="s">
        <v>2369</v>
      </c>
      <c r="S217" s="1" t="str">
        <f>IF(Back_End_Data!R217="Completed","Yes","No")</f>
        <v>No</v>
      </c>
      <c r="T217" s="1" t="str">
        <f>IF(Back_End_Data!S217="Yes","Yes","No")</f>
        <v>No</v>
      </c>
      <c r="U217" s="1" t="str">
        <f>IF(Back_End_Data!Q216="Completed","Yes","No")</f>
        <v>No</v>
      </c>
      <c r="V217" s="1" t="str">
        <f ca="1">IF(INDEX(MIS_Backend_Data!L:L, MATCH(D217, MIS_Backend_Data!B:B, 1)) = "WT", "Yes", "No")</f>
        <v>No</v>
      </c>
      <c r="W217" s="2" t="str">
        <f t="shared" ca="1" si="9"/>
        <v>Approved</v>
      </c>
      <c r="Z217" s="1">
        <f ca="1"/>
        <v>0</v>
      </c>
      <c r="AA217" s="1">
        <f t="shared" ca="1" si="10"/>
        <v>0</v>
      </c>
      <c r="AC217" s="1" t="str">
        <f ca="1"/>
        <v>Open</v>
      </c>
      <c r="AG217" s="1" t="str">
        <f t="shared" si="11"/>
        <v/>
      </c>
    </row>
    <row r="218" spans="1:33" ht="20.25" customHeight="1">
      <c r="A218" s="13">
        <v>217</v>
      </c>
      <c r="B218" s="1" t="str">
        <f ca="1"/>
        <v>SBI General Insurance Company Ltd</v>
      </c>
      <c r="C218" s="13">
        <f ca="1"/>
        <v>2002673</v>
      </c>
      <c r="D218" s="13" t="str">
        <f ca="1"/>
        <v>S002-1217-SS-2025</v>
      </c>
      <c r="E218" s="13">
        <f ca="1"/>
        <v>5</v>
      </c>
      <c r="F218" s="14">
        <f ca="1"/>
        <v>46022</v>
      </c>
      <c r="G218" s="14">
        <f ca="1"/>
        <v>0</v>
      </c>
      <c r="H218" s="1" t="str">
        <f>IF(Back_End_Data!G218="Completed","Yes","No")</f>
        <v>No</v>
      </c>
      <c r="I218" s="1" t="str">
        <f>IF(Back_End_Data!I218="Completed","Yes","No")</f>
        <v>No</v>
      </c>
      <c r="J218" s="1" t="str">
        <f>IF(Back_End_Data!J218="Completed","Yes","No")</f>
        <v>No</v>
      </c>
      <c r="K218" s="1" t="str">
        <f>IF(Back_End_Data!K218="Completed","Yes","No")</f>
        <v>No</v>
      </c>
      <c r="L218" s="1" t="str">
        <f>IF(Back_End_Data!L218="", "No", Back_End_Data!L218)</f>
        <v>NA</v>
      </c>
      <c r="M218" s="1" t="str">
        <f>IF(Back_End_Data!N218="", "No", Back_End_Data!N218)</f>
        <v>NA</v>
      </c>
      <c r="N218" s="1" t="str">
        <f>IF(Back_End_Data!M218="", "No", Back_End_Data!M218)</f>
        <v>NA</v>
      </c>
      <c r="O218" s="1" t="str">
        <f>IF(Back_End_Data!O218="Completed","Yes","No")</f>
        <v>No</v>
      </c>
      <c r="P218" s="1" t="str">
        <f>IF(Back_End_Data!H218="Completed","Yes","No")</f>
        <v>No</v>
      </c>
      <c r="Q218" s="1" t="str">
        <f>IF(Back_End_Data!P218="Completed","Yes","No")</f>
        <v>No</v>
      </c>
      <c r="R218" s="1" t="s">
        <v>2369</v>
      </c>
      <c r="S218" s="1" t="str">
        <f>IF(Back_End_Data!R218="Completed","Yes","No")</f>
        <v>No</v>
      </c>
      <c r="T218" s="1" t="str">
        <f>IF(Back_End_Data!S218="Yes","Yes","No")</f>
        <v>No</v>
      </c>
      <c r="U218" s="1" t="str">
        <f>IF(Back_End_Data!Q217="Completed","Yes","No")</f>
        <v>No</v>
      </c>
      <c r="V218" s="1" t="str">
        <f ca="1">IF(INDEX(MIS_Backend_Data!L:L, MATCH(D218, MIS_Backend_Data!B:B, 1)) = "WT", "Yes", "No")</f>
        <v>No</v>
      </c>
      <c r="W218" s="2" t="str">
        <f t="shared" ca="1" si="9"/>
        <v>Approved</v>
      </c>
      <c r="Z218" s="1">
        <f ca="1"/>
        <v>0</v>
      </c>
      <c r="AA218" s="1">
        <f t="shared" ca="1" si="10"/>
        <v>0</v>
      </c>
      <c r="AC218" s="1" t="str">
        <f ca="1"/>
        <v>Open</v>
      </c>
      <c r="AG218" s="1" t="str">
        <f t="shared" si="11"/>
        <v/>
      </c>
    </row>
    <row r="219" spans="1:33" ht="20.25" customHeight="1">
      <c r="A219" s="13">
        <v>218</v>
      </c>
      <c r="B219" s="1" t="str">
        <f ca="1"/>
        <v>SBI General Insurance Company Ltd</v>
      </c>
      <c r="C219" s="13">
        <f ca="1"/>
        <v>2002769</v>
      </c>
      <c r="D219" s="13" t="str">
        <f ca="1"/>
        <v>S002-1217-SS-2025</v>
      </c>
      <c r="E219" s="13">
        <f ca="1"/>
        <v>4</v>
      </c>
      <c r="F219" s="14">
        <f ca="1"/>
        <v>46023</v>
      </c>
      <c r="G219" s="14">
        <f ca="1"/>
        <v>0</v>
      </c>
      <c r="H219" s="1" t="str">
        <f>IF(Back_End_Data!G219="Completed","Yes","No")</f>
        <v>No</v>
      </c>
      <c r="I219" s="1" t="str">
        <f>IF(Back_End_Data!I219="Completed","Yes","No")</f>
        <v>No</v>
      </c>
      <c r="J219" s="1" t="str">
        <f>IF(Back_End_Data!J219="Completed","Yes","No")</f>
        <v>No</v>
      </c>
      <c r="K219" s="1" t="str">
        <f>IF(Back_End_Data!K219="Completed","Yes","No")</f>
        <v>No</v>
      </c>
      <c r="L219" s="1" t="str">
        <f>IF(Back_End_Data!L219="", "No", Back_End_Data!L219)</f>
        <v>NA</v>
      </c>
      <c r="M219" s="1" t="str">
        <f>IF(Back_End_Data!N219="", "No", Back_End_Data!N219)</f>
        <v>NA</v>
      </c>
      <c r="N219" s="1" t="str">
        <f>IF(Back_End_Data!M219="", "No", Back_End_Data!M219)</f>
        <v>NA</v>
      </c>
      <c r="O219" s="1" t="str">
        <f>IF(Back_End_Data!O219="Completed","Yes","No")</f>
        <v>No</v>
      </c>
      <c r="P219" s="1" t="str">
        <f>IF(Back_End_Data!H219="Completed","Yes","No")</f>
        <v>No</v>
      </c>
      <c r="Q219" s="1" t="str">
        <f>IF(Back_End_Data!P219="Completed","Yes","No")</f>
        <v>No</v>
      </c>
      <c r="R219" s="1" t="s">
        <v>2369</v>
      </c>
      <c r="S219" s="1" t="str">
        <f>IF(Back_End_Data!R219="Completed","Yes","No")</f>
        <v>No</v>
      </c>
      <c r="T219" s="1" t="str">
        <f>IF(Back_End_Data!S219="Yes","Yes","No")</f>
        <v>No</v>
      </c>
      <c r="U219" s="1" t="str">
        <f>IF(Back_End_Data!Q218="Completed","Yes","No")</f>
        <v>No</v>
      </c>
      <c r="V219" s="1" t="str">
        <f ca="1">IF(INDEX(MIS_Backend_Data!L:L, MATCH(D219, MIS_Backend_Data!B:B, 1)) = "WT", "Yes", "No")</f>
        <v>No</v>
      </c>
      <c r="W219" s="2" t="str">
        <f t="shared" ca="1" si="9"/>
        <v>Approved</v>
      </c>
      <c r="Z219" s="1">
        <f ca="1"/>
        <v>0</v>
      </c>
      <c r="AA219" s="1">
        <f t="shared" ca="1" si="10"/>
        <v>0</v>
      </c>
      <c r="AC219" s="1" t="str">
        <f ca="1"/>
        <v>Open</v>
      </c>
      <c r="AG219" s="1" t="str">
        <f t="shared" si="11"/>
        <v/>
      </c>
    </row>
    <row r="220" spans="1:33" ht="20.25" customHeight="1">
      <c r="A220" s="13">
        <v>219</v>
      </c>
      <c r="B220" s="1" t="str">
        <f ca="1"/>
        <v>SBI General Insurance Company Ltd</v>
      </c>
      <c r="C220" s="13">
        <f ca="1"/>
        <v>2755247</v>
      </c>
      <c r="D220" s="13" t="str">
        <f ca="1"/>
        <v>S002-1217-SS-2025</v>
      </c>
      <c r="E220" s="13">
        <f ca="1"/>
        <v>4</v>
      </c>
      <c r="F220" s="14">
        <f ca="1"/>
        <v>46023</v>
      </c>
      <c r="G220" s="14">
        <f ca="1"/>
        <v>0</v>
      </c>
      <c r="H220" s="1" t="str">
        <f>IF(Back_End_Data!G220="Completed","Yes","No")</f>
        <v>No</v>
      </c>
      <c r="I220" s="1" t="str">
        <f>IF(Back_End_Data!I220="Completed","Yes","No")</f>
        <v>No</v>
      </c>
      <c r="J220" s="1" t="str">
        <f>IF(Back_End_Data!J220="Completed","Yes","No")</f>
        <v>No</v>
      </c>
      <c r="K220" s="1" t="str">
        <f>IF(Back_End_Data!K220="Completed","Yes","No")</f>
        <v>No</v>
      </c>
      <c r="L220" s="1" t="str">
        <f>IF(Back_End_Data!L220="", "No", Back_End_Data!L220)</f>
        <v>NA</v>
      </c>
      <c r="M220" s="1" t="str">
        <f>IF(Back_End_Data!N220="", "No", Back_End_Data!N220)</f>
        <v>NA</v>
      </c>
      <c r="N220" s="1" t="str">
        <f>IF(Back_End_Data!M220="", "No", Back_End_Data!M220)</f>
        <v>NA</v>
      </c>
      <c r="O220" s="1" t="str">
        <f>IF(Back_End_Data!O220="Completed","Yes","No")</f>
        <v>No</v>
      </c>
      <c r="P220" s="1" t="str">
        <f>IF(Back_End_Data!H220="Completed","Yes","No")</f>
        <v>No</v>
      </c>
      <c r="Q220" s="1" t="str">
        <f>IF(Back_End_Data!P220="Completed","Yes","No")</f>
        <v>No</v>
      </c>
      <c r="R220" s="1" t="s">
        <v>2369</v>
      </c>
      <c r="S220" s="1" t="str">
        <f>IF(Back_End_Data!R220="Completed","Yes","No")</f>
        <v>No</v>
      </c>
      <c r="T220" s="1" t="str">
        <f>IF(Back_End_Data!S220="Yes","Yes","No")</f>
        <v>No</v>
      </c>
      <c r="U220" s="1" t="str">
        <f>IF(Back_End_Data!Q219="Completed","Yes","No")</f>
        <v>No</v>
      </c>
      <c r="V220" s="1" t="str">
        <f ca="1">IF(INDEX(MIS_Backend_Data!L:L, MATCH(D220, MIS_Backend_Data!B:B, 1)) = "WT", "Yes", "No")</f>
        <v>No</v>
      </c>
      <c r="W220" s="2" t="str">
        <f t="shared" ca="1" si="9"/>
        <v>Approved</v>
      </c>
      <c r="Z220" s="1">
        <f ca="1"/>
        <v>0</v>
      </c>
      <c r="AA220" s="1">
        <f t="shared" ca="1" si="10"/>
        <v>0</v>
      </c>
      <c r="AC220" s="1" t="str">
        <f ca="1"/>
        <v>Open</v>
      </c>
      <c r="AG220" s="1" t="str">
        <f t="shared" si="11"/>
        <v/>
      </c>
    </row>
    <row r="221" spans="1:33" ht="20.25" customHeight="1">
      <c r="A221" s="13">
        <v>220</v>
      </c>
      <c r="B221" s="1" t="str">
        <f ca="1"/>
        <v>SBI General Insurance Company Ltd</v>
      </c>
      <c r="C221" s="13">
        <f ca="1"/>
        <v>2769290</v>
      </c>
      <c r="D221" s="13" t="str">
        <f ca="1"/>
        <v>S002-1217-SS-2025</v>
      </c>
      <c r="E221" s="13">
        <f ca="1"/>
        <v>4</v>
      </c>
      <c r="F221" s="14">
        <f ca="1"/>
        <v>46023</v>
      </c>
      <c r="G221" s="14">
        <f ca="1"/>
        <v>0</v>
      </c>
      <c r="H221" s="1" t="str">
        <f>IF(Back_End_Data!G221="Completed","Yes","No")</f>
        <v>No</v>
      </c>
      <c r="I221" s="1" t="str">
        <f>IF(Back_End_Data!I221="Completed","Yes","No")</f>
        <v>No</v>
      </c>
      <c r="J221" s="1" t="str">
        <f>IF(Back_End_Data!J221="Completed","Yes","No")</f>
        <v>No</v>
      </c>
      <c r="K221" s="1" t="str">
        <f>IF(Back_End_Data!K221="Completed","Yes","No")</f>
        <v>No</v>
      </c>
      <c r="L221" s="1" t="str">
        <f>IF(Back_End_Data!L221="", "No", Back_End_Data!L221)</f>
        <v>NA</v>
      </c>
      <c r="M221" s="1" t="str">
        <f>IF(Back_End_Data!N221="", "No", Back_End_Data!N221)</f>
        <v>NA</v>
      </c>
      <c r="N221" s="1" t="str">
        <f>IF(Back_End_Data!M221="", "No", Back_End_Data!M221)</f>
        <v>NA</v>
      </c>
      <c r="O221" s="1" t="str">
        <f>IF(Back_End_Data!O221="Completed","Yes","No")</f>
        <v>No</v>
      </c>
      <c r="P221" s="1" t="str">
        <f>IF(Back_End_Data!H221="Completed","Yes","No")</f>
        <v>No</v>
      </c>
      <c r="Q221" s="1" t="str">
        <f>IF(Back_End_Data!P221="Completed","Yes","No")</f>
        <v>No</v>
      </c>
      <c r="R221" s="1" t="s">
        <v>2369</v>
      </c>
      <c r="S221" s="1" t="str">
        <f>IF(Back_End_Data!R221="Completed","Yes","No")</f>
        <v>No</v>
      </c>
      <c r="T221" s="1" t="str">
        <f>IF(Back_End_Data!S221="Yes","Yes","No")</f>
        <v>No</v>
      </c>
      <c r="U221" s="1" t="str">
        <f>IF(Back_End_Data!Q220="Completed","Yes","No")</f>
        <v>No</v>
      </c>
      <c r="V221" s="1" t="str">
        <f ca="1">IF(INDEX(MIS_Backend_Data!L:L, MATCH(D221, MIS_Backend_Data!B:B, 1)) = "WT", "Yes", "No")</f>
        <v>No</v>
      </c>
      <c r="W221" s="2" t="str">
        <f t="shared" ca="1" si="9"/>
        <v>Approved</v>
      </c>
      <c r="Z221" s="1">
        <f ca="1"/>
        <v>0</v>
      </c>
      <c r="AA221" s="1">
        <f t="shared" ca="1" si="10"/>
        <v>0</v>
      </c>
      <c r="AC221" s="1" t="str">
        <f ca="1"/>
        <v>Open</v>
      </c>
      <c r="AG221" s="1" t="str">
        <f t="shared" si="11"/>
        <v/>
      </c>
    </row>
    <row r="222" spans="1:33" ht="20.25" customHeight="1">
      <c r="A222" s="13">
        <v>221</v>
      </c>
      <c r="B222" s="1" t="str">
        <f ca="1"/>
        <v>Indusind General Insurance Co Ltd</v>
      </c>
      <c r="C222" s="13">
        <f ca="1"/>
        <v>2025212401</v>
      </c>
      <c r="D222" s="13" t="str">
        <f ca="1"/>
        <v>R001-1221-SS-2026</v>
      </c>
      <c r="E222" s="13">
        <f ca="1"/>
        <v>57</v>
      </c>
      <c r="F222" s="14">
        <f ca="1"/>
        <v>45970</v>
      </c>
      <c r="G222" s="14">
        <f ca="1"/>
        <v>0</v>
      </c>
      <c r="H222" s="1" t="str">
        <f>IF(Back_End_Data!G222="Completed","Yes","No")</f>
        <v>No</v>
      </c>
      <c r="I222" s="1" t="str">
        <f>IF(Back_End_Data!I222="Completed","Yes","No")</f>
        <v>No</v>
      </c>
      <c r="J222" s="1" t="str">
        <f>IF(Back_End_Data!J222="Completed","Yes","No")</f>
        <v>No</v>
      </c>
      <c r="K222" s="1" t="str">
        <f>IF(Back_End_Data!K222="Completed","Yes","No")</f>
        <v>No</v>
      </c>
      <c r="L222" s="1" t="str">
        <f>IF(Back_End_Data!L222="", "No", Back_End_Data!L222)</f>
        <v>NA</v>
      </c>
      <c r="M222" s="1" t="str">
        <f>IF(Back_End_Data!N222="", "No", Back_End_Data!N222)</f>
        <v>NA</v>
      </c>
      <c r="N222" s="1" t="str">
        <f>IF(Back_End_Data!M222="", "No", Back_End_Data!M222)</f>
        <v>NA</v>
      </c>
      <c r="O222" s="1" t="str">
        <f>IF(Back_End_Data!O222="Completed","Yes","No")</f>
        <v>No</v>
      </c>
      <c r="P222" s="1" t="str">
        <f>IF(Back_End_Data!H222="Completed","Yes","No")</f>
        <v>No</v>
      </c>
      <c r="Q222" s="1" t="str">
        <f>IF(Back_End_Data!P222="Completed","Yes","No")</f>
        <v>No</v>
      </c>
      <c r="R222" s="1" t="s">
        <v>2369</v>
      </c>
      <c r="S222" s="1" t="str">
        <f>IF(Back_End_Data!R222="Completed","Yes","No")</f>
        <v>No</v>
      </c>
      <c r="T222" s="1" t="str">
        <f>IF(Back_End_Data!S222="Yes","Yes","No")</f>
        <v>No</v>
      </c>
      <c r="U222" s="1" t="str">
        <f>IF(Back_End_Data!Q221="Completed","Yes","No")</f>
        <v>No</v>
      </c>
      <c r="V222" s="1" t="str">
        <f ca="1">IF(INDEX(MIS_Backend_Data!L:L, MATCH(D222, MIS_Backend_Data!B:B, 1)) = "WT", "Yes", "No")</f>
        <v>No</v>
      </c>
      <c r="W222" s="2" t="str">
        <f t="shared" ca="1" si="9"/>
        <v>Approved</v>
      </c>
      <c r="Z222" s="1">
        <f ca="1"/>
        <v>0</v>
      </c>
      <c r="AA222" s="1">
        <f t="shared" ca="1" si="10"/>
        <v>0</v>
      </c>
      <c r="AC222" s="1" t="str">
        <f ca="1"/>
        <v>Open</v>
      </c>
      <c r="AG222" s="1" t="str">
        <f t="shared" si="11"/>
        <v/>
      </c>
    </row>
    <row r="223" spans="1:33" ht="20.25" customHeight="1">
      <c r="A223" s="13">
        <v>222</v>
      </c>
      <c r="B223" s="1" t="str">
        <f ca="1"/>
        <v>Indusind General Insurance Co Ltd</v>
      </c>
      <c r="C223" s="13">
        <f ca="1"/>
        <v>2025212250</v>
      </c>
      <c r="D223" s="13" t="str">
        <f ca="1"/>
        <v>R001-1222-SS-2026</v>
      </c>
      <c r="E223" s="13">
        <f ca="1"/>
        <v>57</v>
      </c>
      <c r="F223" s="14">
        <f ca="1"/>
        <v>45970</v>
      </c>
      <c r="G223" s="14">
        <f ca="1"/>
        <v>0</v>
      </c>
      <c r="H223" s="1" t="str">
        <f>IF(Back_End_Data!G223="Completed","Yes","No")</f>
        <v>No</v>
      </c>
      <c r="I223" s="1" t="str">
        <f>IF(Back_End_Data!I223="Completed","Yes","No")</f>
        <v>No</v>
      </c>
      <c r="J223" s="1" t="str">
        <f>IF(Back_End_Data!J223="Completed","Yes","No")</f>
        <v>No</v>
      </c>
      <c r="K223" s="1" t="str">
        <f>IF(Back_End_Data!K223="Completed","Yes","No")</f>
        <v>No</v>
      </c>
      <c r="L223" s="1" t="str">
        <f>IF(Back_End_Data!L223="", "No", Back_End_Data!L223)</f>
        <v>NA</v>
      </c>
      <c r="M223" s="1" t="str">
        <f>IF(Back_End_Data!N223="", "No", Back_End_Data!N223)</f>
        <v>NA</v>
      </c>
      <c r="N223" s="1" t="str">
        <f>IF(Back_End_Data!M223="", "No", Back_End_Data!M223)</f>
        <v>NA</v>
      </c>
      <c r="O223" s="1" t="str">
        <f>IF(Back_End_Data!O223="Completed","Yes","No")</f>
        <v>No</v>
      </c>
      <c r="P223" s="1" t="str">
        <f>IF(Back_End_Data!H223="Completed","Yes","No")</f>
        <v>No</v>
      </c>
      <c r="Q223" s="1" t="str">
        <f>IF(Back_End_Data!P223="Completed","Yes","No")</f>
        <v>No</v>
      </c>
      <c r="R223" s="1" t="s">
        <v>2369</v>
      </c>
      <c r="S223" s="1" t="str">
        <f>IF(Back_End_Data!R223="Completed","Yes","No")</f>
        <v>No</v>
      </c>
      <c r="T223" s="1" t="str">
        <f>IF(Back_End_Data!S223="Yes","Yes","No")</f>
        <v>No</v>
      </c>
      <c r="U223" s="1" t="str">
        <f>IF(Back_End_Data!Q222="Completed","Yes","No")</f>
        <v>No</v>
      </c>
      <c r="V223" s="1" t="str">
        <f ca="1">IF(INDEX(MIS_Backend_Data!L:L, MATCH(D223, MIS_Backend_Data!B:B, 1)) = "WT", "Yes", "No")</f>
        <v>No</v>
      </c>
      <c r="W223" s="2" t="str">
        <f t="shared" ca="1" si="9"/>
        <v>Approved</v>
      </c>
      <c r="Z223" s="1">
        <f ca="1"/>
        <v>0</v>
      </c>
      <c r="AA223" s="1">
        <f t="shared" ca="1" si="10"/>
        <v>0</v>
      </c>
      <c r="AC223" s="1" t="str">
        <f ca="1"/>
        <v>Open</v>
      </c>
      <c r="AG223" s="1" t="str">
        <f t="shared" si="11"/>
        <v/>
      </c>
    </row>
    <row r="224" spans="1:33" ht="20.25" customHeight="1">
      <c r="A224" s="13">
        <v>223</v>
      </c>
      <c r="B224" s="1" t="str">
        <f ca="1"/>
        <v>Indusind General Insurance Co Ltd</v>
      </c>
      <c r="C224" s="13">
        <f ca="1"/>
        <v>2025213389</v>
      </c>
      <c r="D224" s="13" t="str">
        <f ca="1"/>
        <v>R001-1223-SS-2026</v>
      </c>
      <c r="E224" s="13">
        <f ca="1"/>
        <v>0</v>
      </c>
      <c r="F224" s="14">
        <f ca="1"/>
        <v>46027</v>
      </c>
      <c r="G224" s="14">
        <f ca="1"/>
        <v>0</v>
      </c>
      <c r="H224" s="1" t="str">
        <f>IF(Back_End_Data!G224="Completed","Yes","No")</f>
        <v>No</v>
      </c>
      <c r="I224" s="1" t="str">
        <f>IF(Back_End_Data!I224="Completed","Yes","No")</f>
        <v>No</v>
      </c>
      <c r="J224" s="1" t="str">
        <f>IF(Back_End_Data!J224="Completed","Yes","No")</f>
        <v>No</v>
      </c>
      <c r="K224" s="1" t="str">
        <f>IF(Back_End_Data!K224="Completed","Yes","No")</f>
        <v>No</v>
      </c>
      <c r="L224" s="1" t="str">
        <f>IF(Back_End_Data!L224="", "No", Back_End_Data!L224)</f>
        <v>NA</v>
      </c>
      <c r="M224" s="1" t="str">
        <f>IF(Back_End_Data!N224="", "No", Back_End_Data!N224)</f>
        <v>NA</v>
      </c>
      <c r="N224" s="1" t="str">
        <f>IF(Back_End_Data!M224="", "No", Back_End_Data!M224)</f>
        <v>NA</v>
      </c>
      <c r="O224" s="1" t="str">
        <f>IF(Back_End_Data!O224="Completed","Yes","No")</f>
        <v>No</v>
      </c>
      <c r="P224" s="1" t="str">
        <f>IF(Back_End_Data!H224="Completed","Yes","No")</f>
        <v>No</v>
      </c>
      <c r="Q224" s="1" t="str">
        <f>IF(Back_End_Data!P224="Completed","Yes","No")</f>
        <v>No</v>
      </c>
      <c r="R224" s="1" t="s">
        <v>2369</v>
      </c>
      <c r="S224" s="1" t="str">
        <f>IF(Back_End_Data!R224="Completed","Yes","No")</f>
        <v>No</v>
      </c>
      <c r="T224" s="1" t="str">
        <f>IF(Back_End_Data!S224="Yes","Yes","No")</f>
        <v>No</v>
      </c>
      <c r="U224" s="1" t="str">
        <f>IF(Back_End_Data!Q223="Completed","Yes","No")</f>
        <v>No</v>
      </c>
      <c r="V224" s="1" t="str">
        <f ca="1">IF(INDEX(MIS_Backend_Data!L:L, MATCH(D224, MIS_Backend_Data!B:B, 1)) = "WT", "Yes", "No")</f>
        <v>No</v>
      </c>
      <c r="W224" s="2" t="str">
        <f t="shared" ca="1" si="9"/>
        <v>Approved</v>
      </c>
      <c r="Z224" s="1">
        <f ca="1"/>
        <v>0</v>
      </c>
      <c r="AA224" s="1">
        <f t="shared" ca="1" si="10"/>
        <v>0</v>
      </c>
      <c r="AC224" s="1" t="str">
        <f ca="1"/>
        <v>Open</v>
      </c>
      <c r="AG224" s="1" t="str">
        <f t="shared" si="11"/>
        <v/>
      </c>
    </row>
    <row r="225" spans="1:33" ht="20.25" customHeight="1">
      <c r="A225" s="13">
        <v>224</v>
      </c>
      <c r="B225" s="1" t="str">
        <f ca="1"/>
        <v>Indusind General Insurance Co Ltd</v>
      </c>
      <c r="C225" s="13">
        <f ca="1"/>
        <v>20242114887</v>
      </c>
      <c r="D225" s="13" t="str">
        <f ca="1"/>
        <v>R001-1224-SS-2026</v>
      </c>
      <c r="E225" s="13">
        <f ca="1"/>
        <v>0</v>
      </c>
      <c r="F225" s="14">
        <f ca="1"/>
        <v>46027</v>
      </c>
      <c r="G225" s="14">
        <f ca="1"/>
        <v>0</v>
      </c>
      <c r="H225" s="1" t="str">
        <f>IF(Back_End_Data!G225="Completed","Yes","No")</f>
        <v>No</v>
      </c>
      <c r="I225" s="1" t="str">
        <f>IF(Back_End_Data!I225="Completed","Yes","No")</f>
        <v>No</v>
      </c>
      <c r="J225" s="1" t="str">
        <f>IF(Back_End_Data!J225="Completed","Yes","No")</f>
        <v>No</v>
      </c>
      <c r="K225" s="1" t="str">
        <f>IF(Back_End_Data!K225="Completed","Yes","No")</f>
        <v>No</v>
      </c>
      <c r="L225" s="1" t="str">
        <f>IF(Back_End_Data!L225="", "No", Back_End_Data!L225)</f>
        <v>NA</v>
      </c>
      <c r="M225" s="1" t="str">
        <f>IF(Back_End_Data!N225="", "No", Back_End_Data!N225)</f>
        <v>NA</v>
      </c>
      <c r="N225" s="1" t="str">
        <f>IF(Back_End_Data!M225="", "No", Back_End_Data!M225)</f>
        <v>NA</v>
      </c>
      <c r="O225" s="1" t="str">
        <f>IF(Back_End_Data!O225="Completed","Yes","No")</f>
        <v>No</v>
      </c>
      <c r="P225" s="1" t="str">
        <f>IF(Back_End_Data!H225="Completed","Yes","No")</f>
        <v>No</v>
      </c>
      <c r="Q225" s="1" t="str">
        <f>IF(Back_End_Data!P225="Completed","Yes","No")</f>
        <v>No</v>
      </c>
      <c r="R225" s="1" t="s">
        <v>2369</v>
      </c>
      <c r="S225" s="1" t="str">
        <f>IF(Back_End_Data!R225="Completed","Yes","No")</f>
        <v>No</v>
      </c>
      <c r="T225" s="1" t="str">
        <f>IF(Back_End_Data!S225="Yes","Yes","No")</f>
        <v>No</v>
      </c>
      <c r="U225" s="1" t="str">
        <f>IF(Back_End_Data!Q224="Completed","Yes","No")</f>
        <v>No</v>
      </c>
      <c r="V225" s="1" t="str">
        <f ca="1">IF(INDEX(MIS_Backend_Data!L:L, MATCH(D225, MIS_Backend_Data!B:B, 1)) = "WT", "Yes", "No")</f>
        <v>No</v>
      </c>
      <c r="W225" s="2" t="str">
        <f t="shared" ca="1" si="9"/>
        <v>Approved</v>
      </c>
      <c r="Z225" s="1">
        <f ca="1"/>
        <v>0</v>
      </c>
      <c r="AA225" s="1">
        <f t="shared" ca="1" si="10"/>
        <v>0</v>
      </c>
      <c r="AC225" s="1" t="str">
        <f ca="1"/>
        <v>Open</v>
      </c>
      <c r="AG225" s="1" t="str">
        <f t="shared" si="11"/>
        <v/>
      </c>
    </row>
    <row r="226" spans="1:33" ht="20.25" customHeight="1">
      <c r="A226" s="13">
        <v>225</v>
      </c>
      <c r="B226" s="1" t="str">
        <f ca="1"/>
        <v>Indusind General Insurance Co Ltd</v>
      </c>
      <c r="C226" s="13">
        <f ca="1"/>
        <v>2025214761</v>
      </c>
      <c r="D226" s="13" t="str">
        <f ca="1"/>
        <v>R001-1225-SS-2026</v>
      </c>
      <c r="E226" s="13">
        <f ca="1"/>
        <v>0</v>
      </c>
      <c r="F226" s="14">
        <f ca="1"/>
        <v>46027</v>
      </c>
      <c r="G226" s="14">
        <f ca="1"/>
        <v>0</v>
      </c>
      <c r="H226" s="1" t="str">
        <f>IF(Back_End_Data!G226="Completed","Yes","No")</f>
        <v>No</v>
      </c>
      <c r="I226" s="1" t="str">
        <f>IF(Back_End_Data!I226="Completed","Yes","No")</f>
        <v>No</v>
      </c>
      <c r="J226" s="1" t="str">
        <f>IF(Back_End_Data!J226="Completed","Yes","No")</f>
        <v>No</v>
      </c>
      <c r="K226" s="1" t="str">
        <f>IF(Back_End_Data!K226="Completed","Yes","No")</f>
        <v>No</v>
      </c>
      <c r="L226" s="1" t="str">
        <f>IF(Back_End_Data!L226="", "No", Back_End_Data!L226)</f>
        <v>NA</v>
      </c>
      <c r="M226" s="1" t="str">
        <f>IF(Back_End_Data!N226="", "No", Back_End_Data!N226)</f>
        <v>NA</v>
      </c>
      <c r="N226" s="1" t="str">
        <f>IF(Back_End_Data!M226="", "No", Back_End_Data!M226)</f>
        <v>NA</v>
      </c>
      <c r="O226" s="1" t="str">
        <f>IF(Back_End_Data!O226="Completed","Yes","No")</f>
        <v>No</v>
      </c>
      <c r="P226" s="1" t="str">
        <f>IF(Back_End_Data!H226="Completed","Yes","No")</f>
        <v>No</v>
      </c>
      <c r="Q226" s="1" t="str">
        <f>IF(Back_End_Data!P226="Completed","Yes","No")</f>
        <v>No</v>
      </c>
      <c r="R226" s="1" t="s">
        <v>2369</v>
      </c>
      <c r="S226" s="1" t="str">
        <f>IF(Back_End_Data!R226="Completed","Yes","No")</f>
        <v>No</v>
      </c>
      <c r="T226" s="1" t="str">
        <f>IF(Back_End_Data!S226="Yes","Yes","No")</f>
        <v>No</v>
      </c>
      <c r="U226" s="1" t="str">
        <f>IF(Back_End_Data!Q225="Completed","Yes","No")</f>
        <v>No</v>
      </c>
      <c r="V226" s="1" t="str">
        <f ca="1">IF(INDEX(MIS_Backend_Data!L:L, MATCH(D226, MIS_Backend_Data!B:B, 1)) = "WT", "Yes", "No")</f>
        <v>No</v>
      </c>
      <c r="W226" s="2" t="str">
        <f t="shared" ca="1" si="9"/>
        <v>Approved</v>
      </c>
      <c r="Z226" s="1">
        <f ca="1"/>
        <v>0</v>
      </c>
      <c r="AA226" s="1">
        <f t="shared" ca="1" si="10"/>
        <v>0</v>
      </c>
      <c r="AC226" s="1" t="str">
        <f ca="1"/>
        <v>Open</v>
      </c>
      <c r="AG226" s="1" t="str">
        <f t="shared" si="11"/>
        <v/>
      </c>
    </row>
    <row r="227" spans="1:33" ht="20.25" customHeight="1">
      <c r="A227" s="13">
        <v>226</v>
      </c>
      <c r="H227" s="1" t="str">
        <f>IF(Back_End_Data!G227="Completed","Yes","No")</f>
        <v>No</v>
      </c>
      <c r="I227" s="1" t="str">
        <f>IF(Back_End_Data!I227="Completed","Yes","No")</f>
        <v>No</v>
      </c>
      <c r="J227" s="1" t="str">
        <f>IF(Back_End_Data!J227="Completed","Yes","No")</f>
        <v>No</v>
      </c>
      <c r="K227" s="1" t="str">
        <f>IF(Back_End_Data!K227="Completed","Yes","No")</f>
        <v>No</v>
      </c>
      <c r="L227" s="1" t="str">
        <f>IF(Back_End_Data!L227="", "No", Back_End_Data!L227)</f>
        <v>NA</v>
      </c>
      <c r="M227" s="1" t="str">
        <f>IF(Back_End_Data!N227="", "No", Back_End_Data!N227)</f>
        <v>NA</v>
      </c>
      <c r="N227" s="1" t="str">
        <f>IF(Back_End_Data!M227="", "No", Back_End_Data!M227)</f>
        <v>NA</v>
      </c>
      <c r="O227" s="1" t="str">
        <f>IF(Back_End_Data!O227="Completed","Yes","No")</f>
        <v>No</v>
      </c>
      <c r="P227" s="1" t="str">
        <f>IF(Back_End_Data!H227="Completed","Yes","No")</f>
        <v>No</v>
      </c>
      <c r="Q227" s="1" t="str">
        <f>IF(Back_End_Data!P227="Completed","Yes","No")</f>
        <v>No</v>
      </c>
      <c r="R227" s="1" t="s">
        <v>2369</v>
      </c>
      <c r="S227" s="1" t="str">
        <f>IF(Back_End_Data!R227="Completed","Yes","No")</f>
        <v>No</v>
      </c>
      <c r="T227" s="1" t="str">
        <f>IF(Back_End_Data!S227="Yes","Yes","No")</f>
        <v>No</v>
      </c>
      <c r="U227" s="1" t="str">
        <f>IF(Back_End_Data!Q226="Completed","Yes","No")</f>
        <v>No</v>
      </c>
      <c r="V227" s="1" t="e">
        <f ca="1">IF(INDEX(MIS_Backend_Data!L:L, MATCH(D227, MIS_Backend_Data!B:B, 1)) = "WT", "Yes", "No")</f>
        <v>#N/A</v>
      </c>
      <c r="W227" s="2" t="str">
        <f t="shared" ca="1" si="9"/>
        <v>Approved</v>
      </c>
      <c r="Z227" s="1">
        <f ca="1"/>
        <v>0</v>
      </c>
      <c r="AA227" s="1">
        <f t="shared" ca="1" si="10"/>
        <v>0</v>
      </c>
      <c r="AG227" s="1" t="str">
        <f t="shared" si="11"/>
        <v/>
      </c>
    </row>
    <row r="228" spans="1:33" ht="20.25" customHeight="1">
      <c r="A228" s="13">
        <v>227</v>
      </c>
      <c r="H228" s="1" t="str">
        <f>IF(Back_End_Data!G228="Completed","Yes","No")</f>
        <v>No</v>
      </c>
      <c r="I228" s="1" t="str">
        <f>IF(Back_End_Data!I228="Completed","Yes","No")</f>
        <v>No</v>
      </c>
      <c r="J228" s="1" t="str">
        <f>IF(Back_End_Data!J228="Completed","Yes","No")</f>
        <v>No</v>
      </c>
      <c r="K228" s="1" t="str">
        <f>IF(Back_End_Data!K228="Completed","Yes","No")</f>
        <v>No</v>
      </c>
      <c r="L228" s="1" t="str">
        <f>IF(Back_End_Data!L228="", "No", Back_End_Data!L228)</f>
        <v>No</v>
      </c>
      <c r="M228" s="1" t="str">
        <f>IF(Back_End_Data!N228="", "No", Back_End_Data!N228)</f>
        <v>No</v>
      </c>
      <c r="N228" s="1" t="str">
        <f>IF(Back_End_Data!M228="", "No", Back_End_Data!M228)</f>
        <v>No</v>
      </c>
      <c r="O228" s="1" t="str">
        <f>IF(Back_End_Data!O228="Completed","Yes","No")</f>
        <v>No</v>
      </c>
      <c r="P228" s="1" t="str">
        <f>IF(Back_End_Data!H228="Completed","Yes","No")</f>
        <v>No</v>
      </c>
      <c r="Q228" s="1" t="str">
        <f>IF(Back_End_Data!P228="Completed","Yes","No")</f>
        <v>No</v>
      </c>
      <c r="R228" s="1" t="s">
        <v>2369</v>
      </c>
      <c r="S228" s="1" t="str">
        <f>IF(Back_End_Data!R228="Completed","Yes","No")</f>
        <v>No</v>
      </c>
      <c r="T228" s="1" t="str">
        <f>IF(Back_End_Data!S228="Yes","Yes","No")</f>
        <v>No</v>
      </c>
      <c r="U228" s="1" t="str">
        <f>IF(Back_End_Data!Q227="Completed","Yes","No")</f>
        <v>No</v>
      </c>
      <c r="V228" s="1" t="e">
        <f ca="1">IF(INDEX(MIS_Backend_Data!L:L, MATCH(D228, MIS_Backend_Data!B:B, 1)) = "WT", "Yes", "No")</f>
        <v>#N/A</v>
      </c>
      <c r="W228" s="2" t="str">
        <f t="shared" ca="1" si="9"/>
        <v/>
      </c>
      <c r="AA228" s="1">
        <f t="shared" ca="1" si="10"/>
        <v>0</v>
      </c>
      <c r="AG228" s="1" t="str">
        <f t="shared" si="11"/>
        <v/>
      </c>
    </row>
    <row r="229" spans="1:33" ht="20.25" customHeight="1">
      <c r="A229" s="13">
        <v>228</v>
      </c>
      <c r="H229" s="1" t="str">
        <f>IF(Back_End_Data!G229="Completed","Yes","No")</f>
        <v>No</v>
      </c>
      <c r="I229" s="1" t="str">
        <f>IF(Back_End_Data!I229="Completed","Yes","No")</f>
        <v>No</v>
      </c>
      <c r="J229" s="1" t="str">
        <f>IF(Back_End_Data!J229="Completed","Yes","No")</f>
        <v>No</v>
      </c>
      <c r="K229" s="1" t="str">
        <f>IF(Back_End_Data!K229="Completed","Yes","No")</f>
        <v>No</v>
      </c>
      <c r="L229" s="1" t="str">
        <f>IF(Back_End_Data!L229="", "No", Back_End_Data!L229)</f>
        <v>No</v>
      </c>
      <c r="M229" s="1" t="str">
        <f>IF(Back_End_Data!N229="", "No", Back_End_Data!N229)</f>
        <v>No</v>
      </c>
      <c r="N229" s="1" t="str">
        <f>IF(Back_End_Data!M229="", "No", Back_End_Data!M229)</f>
        <v>No</v>
      </c>
      <c r="O229" s="1" t="str">
        <f>IF(Back_End_Data!O229="Completed","Yes","No")</f>
        <v>No</v>
      </c>
      <c r="P229" s="1" t="str">
        <f>IF(Back_End_Data!H229="Completed","Yes","No")</f>
        <v>No</v>
      </c>
      <c r="Q229" s="1" t="str">
        <f>IF(Back_End_Data!P229="Completed","Yes","No")</f>
        <v>No</v>
      </c>
      <c r="R229" s="1" t="s">
        <v>2369</v>
      </c>
      <c r="S229" s="1" t="str">
        <f>IF(Back_End_Data!R229="Completed","Yes","No")</f>
        <v>No</v>
      </c>
      <c r="T229" s="1" t="str">
        <f>IF(Back_End_Data!S229="Yes","Yes","No")</f>
        <v>No</v>
      </c>
      <c r="U229" s="1" t="str">
        <f>IF(Back_End_Data!Q228="Completed","Yes","No")</f>
        <v>No</v>
      </c>
      <c r="V229" s="1" t="e">
        <f ca="1">IF(INDEX(MIS_Backend_Data!L:L, MATCH(D229, MIS_Backend_Data!B:B, 1)) = "WT", "Yes", "No")</f>
        <v>#N/A</v>
      </c>
      <c r="W229" s="2" t="str">
        <f t="shared" ca="1" si="9"/>
        <v/>
      </c>
      <c r="AA229" s="1">
        <f t="shared" ca="1" si="10"/>
        <v>0</v>
      </c>
      <c r="AG229" s="1" t="str">
        <f t="shared" si="11"/>
        <v/>
      </c>
    </row>
    <row r="230" spans="1:33" ht="20.25" customHeight="1">
      <c r="A230" s="13">
        <v>229</v>
      </c>
      <c r="H230" s="1" t="str">
        <f>IF(Back_End_Data!G230="Completed","Yes","No")</f>
        <v>No</v>
      </c>
      <c r="I230" s="1" t="str">
        <f>IF(Back_End_Data!I230="Completed","Yes","No")</f>
        <v>No</v>
      </c>
      <c r="J230" s="1" t="str">
        <f>IF(Back_End_Data!J230="Completed","Yes","No")</f>
        <v>No</v>
      </c>
      <c r="K230" s="1" t="str">
        <f>IF(Back_End_Data!K230="Completed","Yes","No")</f>
        <v>No</v>
      </c>
      <c r="L230" s="1" t="str">
        <f>IF(Back_End_Data!L230="", "No", Back_End_Data!L230)</f>
        <v>No</v>
      </c>
      <c r="M230" s="1" t="str">
        <f>IF(Back_End_Data!N230="", "No", Back_End_Data!N230)</f>
        <v>No</v>
      </c>
      <c r="N230" s="1" t="str">
        <f>IF(Back_End_Data!M230="", "No", Back_End_Data!M230)</f>
        <v>No</v>
      </c>
      <c r="O230" s="1" t="str">
        <f>IF(Back_End_Data!O230="Completed","Yes","No")</f>
        <v>No</v>
      </c>
      <c r="P230" s="1" t="str">
        <f>IF(Back_End_Data!H230="Completed","Yes","No")</f>
        <v>No</v>
      </c>
      <c r="Q230" s="1" t="str">
        <f>IF(Back_End_Data!P230="Completed","Yes","No")</f>
        <v>No</v>
      </c>
      <c r="R230" s="1" t="s">
        <v>2369</v>
      </c>
      <c r="S230" s="1" t="str">
        <f>IF(Back_End_Data!R230="Completed","Yes","No")</f>
        <v>No</v>
      </c>
      <c r="T230" s="1" t="str">
        <f>IF(Back_End_Data!S230="Yes","Yes","No")</f>
        <v>No</v>
      </c>
      <c r="U230" s="1" t="str">
        <f>IF(Back_End_Data!Q229="Completed","Yes","No")</f>
        <v>No</v>
      </c>
      <c r="V230" s="1" t="e">
        <f ca="1">IF(INDEX(MIS_Backend_Data!L:L, MATCH(D230, MIS_Backend_Data!B:B, 1)) = "WT", "Yes", "No")</f>
        <v>#N/A</v>
      </c>
      <c r="W230" s="2" t="str">
        <f t="shared" ca="1" si="9"/>
        <v/>
      </c>
      <c r="AA230" s="1">
        <f t="shared" ca="1" si="10"/>
        <v>0</v>
      </c>
      <c r="AG230" s="1" t="str">
        <f t="shared" si="11"/>
        <v/>
      </c>
    </row>
    <row r="231" spans="1:33" ht="20.25" customHeight="1">
      <c r="A231" s="13">
        <v>230</v>
      </c>
      <c r="H231" s="1" t="str">
        <f>IF(Back_End_Data!G231="Completed","Yes","No")</f>
        <v>No</v>
      </c>
      <c r="I231" s="1" t="str">
        <f>IF(Back_End_Data!I231="Completed","Yes","No")</f>
        <v>No</v>
      </c>
      <c r="J231" s="1" t="str">
        <f>IF(Back_End_Data!J231="Completed","Yes","No")</f>
        <v>No</v>
      </c>
      <c r="K231" s="1" t="str">
        <f>IF(Back_End_Data!K231="Completed","Yes","No")</f>
        <v>No</v>
      </c>
      <c r="L231" s="1" t="str">
        <f>IF(Back_End_Data!L231="", "No", Back_End_Data!L231)</f>
        <v>No</v>
      </c>
      <c r="M231" s="1" t="str">
        <f>IF(Back_End_Data!N231="", "No", Back_End_Data!N231)</f>
        <v>No</v>
      </c>
      <c r="N231" s="1" t="str">
        <f>IF(Back_End_Data!M231="", "No", Back_End_Data!M231)</f>
        <v>No</v>
      </c>
      <c r="O231" s="1" t="str">
        <f>IF(Back_End_Data!O231="Completed","Yes","No")</f>
        <v>No</v>
      </c>
      <c r="P231" s="1" t="str">
        <f>IF(Back_End_Data!H231="Completed","Yes","No")</f>
        <v>No</v>
      </c>
      <c r="Q231" s="1" t="str">
        <f>IF(Back_End_Data!P231="Completed","Yes","No")</f>
        <v>No</v>
      </c>
      <c r="R231" s="1" t="s">
        <v>2369</v>
      </c>
      <c r="S231" s="1" t="str">
        <f>IF(Back_End_Data!R231="Completed","Yes","No")</f>
        <v>No</v>
      </c>
      <c r="T231" s="1" t="str">
        <f>IF(Back_End_Data!S231="Yes","Yes","No")</f>
        <v>No</v>
      </c>
      <c r="U231" s="1" t="str">
        <f>IF(Back_End_Data!Q230="Completed","Yes","No")</f>
        <v>No</v>
      </c>
      <c r="V231" s="1" t="e">
        <f ca="1">IF(INDEX(MIS_Backend_Data!L:L, MATCH(D231, MIS_Backend_Data!B:B, 1)) = "WT", "Yes", "No")</f>
        <v>#N/A</v>
      </c>
      <c r="W231" s="2" t="str">
        <f t="shared" ca="1" si="9"/>
        <v/>
      </c>
      <c r="AA231" s="1">
        <f t="shared" ca="1" si="10"/>
        <v>0</v>
      </c>
      <c r="AG231" s="1" t="str">
        <f t="shared" si="11"/>
        <v/>
      </c>
    </row>
    <row r="232" spans="1:33" ht="20.25" customHeight="1">
      <c r="A232" s="13">
        <v>231</v>
      </c>
      <c r="H232" s="1" t="str">
        <f>IF(Back_End_Data!G232="Completed","Yes","No")</f>
        <v>No</v>
      </c>
      <c r="I232" s="1" t="str">
        <f>IF(Back_End_Data!I232="Completed","Yes","No")</f>
        <v>No</v>
      </c>
      <c r="J232" s="1" t="str">
        <f>IF(Back_End_Data!J232="Completed","Yes","No")</f>
        <v>No</v>
      </c>
      <c r="K232" s="1" t="str">
        <f>IF(Back_End_Data!K232="Completed","Yes","No")</f>
        <v>No</v>
      </c>
      <c r="L232" s="1" t="str">
        <f>IF(Back_End_Data!L232="", "No", Back_End_Data!L232)</f>
        <v>No</v>
      </c>
      <c r="M232" s="1" t="str">
        <f>IF(Back_End_Data!N232="", "No", Back_End_Data!N232)</f>
        <v>No</v>
      </c>
      <c r="N232" s="1" t="str">
        <f>IF(Back_End_Data!M232="", "No", Back_End_Data!M232)</f>
        <v>No</v>
      </c>
      <c r="O232" s="1" t="str">
        <f>IF(Back_End_Data!O232="Completed","Yes","No")</f>
        <v>No</v>
      </c>
      <c r="P232" s="1" t="str">
        <f>IF(Back_End_Data!H232="Completed","Yes","No")</f>
        <v>No</v>
      </c>
      <c r="Q232" s="1" t="str">
        <f>IF(Back_End_Data!P232="Completed","Yes","No")</f>
        <v>No</v>
      </c>
      <c r="R232" s="1" t="s">
        <v>2369</v>
      </c>
      <c r="S232" s="1" t="str">
        <f>IF(Back_End_Data!R232="Completed","Yes","No")</f>
        <v>No</v>
      </c>
      <c r="T232" s="1" t="str">
        <f>IF(Back_End_Data!S232="Yes","Yes","No")</f>
        <v>No</v>
      </c>
      <c r="U232" s="1" t="str">
        <f>IF(Back_End_Data!Q231="Completed","Yes","No")</f>
        <v>No</v>
      </c>
      <c r="V232" s="1" t="e">
        <f ca="1">IF(INDEX(MIS_Backend_Data!L:L, MATCH(D232, MIS_Backend_Data!B:B, 1)) = "WT", "Yes", "No")</f>
        <v>#N/A</v>
      </c>
      <c r="W232" s="2" t="str">
        <f t="shared" ca="1" si="9"/>
        <v/>
      </c>
      <c r="AA232" s="1">
        <f t="shared" ca="1" si="10"/>
        <v>0</v>
      </c>
      <c r="AG232" s="1" t="str">
        <f t="shared" si="11"/>
        <v/>
      </c>
    </row>
    <row r="233" spans="1:33" ht="20.25" customHeight="1">
      <c r="A233" s="13">
        <v>232</v>
      </c>
      <c r="H233" s="1" t="str">
        <f>IF(Back_End_Data!G233="Completed","Yes","No")</f>
        <v>No</v>
      </c>
      <c r="I233" s="1" t="str">
        <f>IF(Back_End_Data!I233="Completed","Yes","No")</f>
        <v>No</v>
      </c>
      <c r="J233" s="1" t="str">
        <f>IF(Back_End_Data!J233="Completed","Yes","No")</f>
        <v>No</v>
      </c>
      <c r="K233" s="1" t="str">
        <f>IF(Back_End_Data!K233="Completed","Yes","No")</f>
        <v>No</v>
      </c>
      <c r="L233" s="1" t="str">
        <f>IF(Back_End_Data!L233="", "No", Back_End_Data!L233)</f>
        <v>No</v>
      </c>
      <c r="M233" s="1" t="str">
        <f>IF(Back_End_Data!N233="", "No", Back_End_Data!N233)</f>
        <v>No</v>
      </c>
      <c r="N233" s="1" t="str">
        <f>IF(Back_End_Data!M233="", "No", Back_End_Data!M233)</f>
        <v>No</v>
      </c>
      <c r="O233" s="1" t="str">
        <f>IF(Back_End_Data!O233="Completed","Yes","No")</f>
        <v>No</v>
      </c>
      <c r="P233" s="1" t="str">
        <f>IF(Back_End_Data!H233="Completed","Yes","No")</f>
        <v>No</v>
      </c>
      <c r="Q233" s="1" t="str">
        <f>IF(Back_End_Data!P233="Completed","Yes","No")</f>
        <v>No</v>
      </c>
      <c r="R233" s="1" t="s">
        <v>2369</v>
      </c>
      <c r="S233" s="1" t="str">
        <f>IF(Back_End_Data!R233="Completed","Yes","No")</f>
        <v>No</v>
      </c>
      <c r="T233" s="1" t="str">
        <f>IF(Back_End_Data!S233="Yes","Yes","No")</f>
        <v>No</v>
      </c>
      <c r="U233" s="1" t="str">
        <f>IF(Back_End_Data!Q232="Completed","Yes","No")</f>
        <v>No</v>
      </c>
      <c r="V233" s="1" t="e">
        <f ca="1">IF(INDEX(MIS_Backend_Data!L:L, MATCH(D233, MIS_Backend_Data!B:B, 1)) = "WT", "Yes", "No")</f>
        <v>#N/A</v>
      </c>
      <c r="W233" s="2" t="str">
        <f t="shared" ca="1" si="9"/>
        <v/>
      </c>
      <c r="AA233" s="1">
        <f t="shared" ca="1" si="10"/>
        <v>0</v>
      </c>
      <c r="AG233" s="1" t="str">
        <f t="shared" si="11"/>
        <v/>
      </c>
    </row>
    <row r="234" spans="1:33" ht="20.25" customHeight="1">
      <c r="A234" s="13">
        <v>233</v>
      </c>
      <c r="H234" s="1" t="str">
        <f>IF(Back_End_Data!G234="Completed","Yes","No")</f>
        <v>No</v>
      </c>
      <c r="I234" s="1" t="str">
        <f>IF(Back_End_Data!I234="Completed","Yes","No")</f>
        <v>No</v>
      </c>
      <c r="J234" s="1" t="str">
        <f>IF(Back_End_Data!J234="Completed","Yes","No")</f>
        <v>No</v>
      </c>
      <c r="K234" s="1" t="str">
        <f>IF(Back_End_Data!K234="Completed","Yes","No")</f>
        <v>No</v>
      </c>
      <c r="L234" s="1" t="str">
        <f>IF(Back_End_Data!L234="", "No", Back_End_Data!L234)</f>
        <v>No</v>
      </c>
      <c r="M234" s="1" t="str">
        <f>IF(Back_End_Data!N234="", "No", Back_End_Data!N234)</f>
        <v>No</v>
      </c>
      <c r="N234" s="1" t="str">
        <f>IF(Back_End_Data!M234="", "No", Back_End_Data!M234)</f>
        <v>No</v>
      </c>
      <c r="O234" s="1" t="str">
        <f>IF(Back_End_Data!O234="Completed","Yes","No")</f>
        <v>No</v>
      </c>
      <c r="P234" s="1" t="str">
        <f>IF(Back_End_Data!H234="Completed","Yes","No")</f>
        <v>No</v>
      </c>
      <c r="Q234" s="1" t="str">
        <f>IF(Back_End_Data!P234="Completed","Yes","No")</f>
        <v>No</v>
      </c>
      <c r="R234" s="1" t="s">
        <v>2369</v>
      </c>
      <c r="S234" s="1" t="str">
        <f>IF(Back_End_Data!R234="Completed","Yes","No")</f>
        <v>No</v>
      </c>
      <c r="T234" s="1" t="str">
        <f>IF(Back_End_Data!S234="Yes","Yes","No")</f>
        <v>No</v>
      </c>
      <c r="U234" s="1" t="str">
        <f>IF(Back_End_Data!Q233="Completed","Yes","No")</f>
        <v>No</v>
      </c>
      <c r="V234" s="1" t="e">
        <f ca="1">IF(INDEX(MIS_Backend_Data!L:L, MATCH(D234, MIS_Backend_Data!B:B, 1)) = "WT", "Yes", "No")</f>
        <v>#N/A</v>
      </c>
      <c r="W234" s="2" t="str">
        <f t="shared" ca="1" si="9"/>
        <v/>
      </c>
      <c r="AA234" s="1">
        <f t="shared" ca="1" si="10"/>
        <v>0</v>
      </c>
      <c r="AG234" s="1" t="str">
        <f t="shared" si="11"/>
        <v/>
      </c>
    </row>
    <row r="235" spans="1:33" ht="20.25" customHeight="1">
      <c r="A235" s="13">
        <v>234</v>
      </c>
      <c r="H235" s="1" t="str">
        <f>IF(Back_End_Data!G235="Completed","Yes","No")</f>
        <v>No</v>
      </c>
      <c r="I235" s="1" t="str">
        <f>IF(Back_End_Data!I235="Completed","Yes","No")</f>
        <v>No</v>
      </c>
      <c r="J235" s="1" t="str">
        <f>IF(Back_End_Data!J235="Completed","Yes","No")</f>
        <v>No</v>
      </c>
      <c r="K235" s="1" t="str">
        <f>IF(Back_End_Data!K235="Completed","Yes","No")</f>
        <v>No</v>
      </c>
      <c r="L235" s="1" t="str">
        <f>IF(Back_End_Data!L235="", "No", Back_End_Data!L235)</f>
        <v>No</v>
      </c>
      <c r="M235" s="1" t="str">
        <f>IF(Back_End_Data!N235="", "No", Back_End_Data!N235)</f>
        <v>No</v>
      </c>
      <c r="N235" s="1" t="str">
        <f>IF(Back_End_Data!M235="", "No", Back_End_Data!M235)</f>
        <v>No</v>
      </c>
      <c r="O235" s="1" t="str">
        <f>IF(Back_End_Data!O235="Completed","Yes","No")</f>
        <v>No</v>
      </c>
      <c r="P235" s="1" t="str">
        <f>IF(Back_End_Data!H235="Completed","Yes","No")</f>
        <v>No</v>
      </c>
      <c r="Q235" s="1" t="str">
        <f>IF(Back_End_Data!P235="Completed","Yes","No")</f>
        <v>No</v>
      </c>
      <c r="R235" s="1" t="s">
        <v>2369</v>
      </c>
      <c r="S235" s="1" t="str">
        <f>IF(Back_End_Data!R235="Completed","Yes","No")</f>
        <v>No</v>
      </c>
      <c r="T235" s="1" t="str">
        <f>IF(Back_End_Data!S235="Yes","Yes","No")</f>
        <v>No</v>
      </c>
      <c r="U235" s="1" t="str">
        <f>IF(Back_End_Data!Q234="Completed","Yes","No")</f>
        <v>No</v>
      </c>
      <c r="V235" s="1" t="e">
        <f ca="1">IF(INDEX(MIS_Backend_Data!L:L, MATCH(D235, MIS_Backend_Data!B:B, 1)) = "WT", "Yes", "No")</f>
        <v>#N/A</v>
      </c>
      <c r="W235" s="2" t="str">
        <f t="shared" ca="1" si="9"/>
        <v/>
      </c>
      <c r="AA235" s="1">
        <f t="shared" ca="1" si="10"/>
        <v>0</v>
      </c>
      <c r="AG235" s="1" t="str">
        <f t="shared" si="11"/>
        <v/>
      </c>
    </row>
    <row r="236" spans="1:33" ht="20.25" customHeight="1">
      <c r="A236" s="13">
        <v>235</v>
      </c>
      <c r="H236" s="1" t="str">
        <f>IF(Back_End_Data!G236="Completed","Yes","No")</f>
        <v>No</v>
      </c>
      <c r="I236" s="1" t="str">
        <f>IF(Back_End_Data!I236="Completed","Yes","No")</f>
        <v>No</v>
      </c>
      <c r="J236" s="1" t="str">
        <f>IF(Back_End_Data!J236="Completed","Yes","No")</f>
        <v>No</v>
      </c>
      <c r="K236" s="1" t="str">
        <f>IF(Back_End_Data!K236="Completed","Yes","No")</f>
        <v>No</v>
      </c>
      <c r="L236" s="1" t="str">
        <f>IF(Back_End_Data!L236="", "No", Back_End_Data!L236)</f>
        <v>No</v>
      </c>
      <c r="M236" s="1" t="str">
        <f>IF(Back_End_Data!N236="", "No", Back_End_Data!N236)</f>
        <v>No</v>
      </c>
      <c r="N236" s="1" t="str">
        <f>IF(Back_End_Data!M236="", "No", Back_End_Data!M236)</f>
        <v>No</v>
      </c>
      <c r="O236" s="1" t="str">
        <f>IF(Back_End_Data!O236="Completed","Yes","No")</f>
        <v>No</v>
      </c>
      <c r="P236" s="1" t="str">
        <f>IF(Back_End_Data!H236="Completed","Yes","No")</f>
        <v>No</v>
      </c>
      <c r="Q236" s="1" t="str">
        <f>IF(Back_End_Data!P236="Completed","Yes","No")</f>
        <v>No</v>
      </c>
      <c r="R236" s="1" t="s">
        <v>2369</v>
      </c>
      <c r="S236" s="1" t="str">
        <f>IF(Back_End_Data!R236="Completed","Yes","No")</f>
        <v>No</v>
      </c>
      <c r="T236" s="1" t="str">
        <f>IF(Back_End_Data!S236="Yes","Yes","No")</f>
        <v>No</v>
      </c>
      <c r="U236" s="1" t="str">
        <f>IF(Back_End_Data!Q235="Completed","Yes","No")</f>
        <v>No</v>
      </c>
      <c r="V236" s="1" t="e">
        <f ca="1">IF(INDEX(MIS_Backend_Data!L:L, MATCH(D236, MIS_Backend_Data!B:B, 1)) = "WT", "Yes", "No")</f>
        <v>#N/A</v>
      </c>
      <c r="W236" s="2" t="str">
        <f t="shared" ca="1" si="9"/>
        <v/>
      </c>
      <c r="AA236" s="1">
        <f t="shared" ca="1" si="10"/>
        <v>0</v>
      </c>
      <c r="AG236" s="1" t="str">
        <f t="shared" si="11"/>
        <v/>
      </c>
    </row>
    <row r="237" spans="1:33" ht="20.25" customHeight="1">
      <c r="A237" s="13">
        <v>236</v>
      </c>
      <c r="H237" s="1" t="str">
        <f>IF(Back_End_Data!G237="Completed","Yes","No")</f>
        <v>No</v>
      </c>
      <c r="I237" s="1" t="str">
        <f>IF(Back_End_Data!I237="Completed","Yes","No")</f>
        <v>No</v>
      </c>
      <c r="J237" s="1" t="str">
        <f>IF(Back_End_Data!J237="Completed","Yes","No")</f>
        <v>No</v>
      </c>
      <c r="K237" s="1" t="str">
        <f>IF(Back_End_Data!K237="Completed","Yes","No")</f>
        <v>No</v>
      </c>
      <c r="L237" s="1" t="str">
        <f>IF(Back_End_Data!L237="", "No", Back_End_Data!L237)</f>
        <v>No</v>
      </c>
      <c r="M237" s="1" t="str">
        <f>IF(Back_End_Data!N237="", "No", Back_End_Data!N237)</f>
        <v>No</v>
      </c>
      <c r="N237" s="1" t="str">
        <f>IF(Back_End_Data!M237="", "No", Back_End_Data!M237)</f>
        <v>No</v>
      </c>
      <c r="O237" s="1" t="str">
        <f>IF(Back_End_Data!O237="Completed","Yes","No")</f>
        <v>No</v>
      </c>
      <c r="P237" s="1" t="str">
        <f>IF(Back_End_Data!H237="Completed","Yes","No")</f>
        <v>No</v>
      </c>
      <c r="Q237" s="1" t="str">
        <f>IF(Back_End_Data!P237="Completed","Yes","No")</f>
        <v>No</v>
      </c>
      <c r="R237" s="1" t="s">
        <v>2369</v>
      </c>
      <c r="S237" s="1" t="str">
        <f>IF(Back_End_Data!R237="Completed","Yes","No")</f>
        <v>No</v>
      </c>
      <c r="T237" s="1" t="str">
        <f>IF(Back_End_Data!S237="Yes","Yes","No")</f>
        <v>No</v>
      </c>
      <c r="U237" s="1" t="str">
        <f>IF(Back_End_Data!Q236="Completed","Yes","No")</f>
        <v>No</v>
      </c>
      <c r="V237" s="1" t="e">
        <f ca="1">IF(INDEX(MIS_Backend_Data!L:L, MATCH(D237, MIS_Backend_Data!B:B, 1)) = "WT", "Yes", "No")</f>
        <v>#N/A</v>
      </c>
      <c r="W237" s="2" t="str">
        <f t="shared" ca="1" si="9"/>
        <v/>
      </c>
      <c r="AA237" s="1">
        <f t="shared" ca="1" si="10"/>
        <v>0</v>
      </c>
      <c r="AG237" s="1" t="str">
        <f t="shared" si="11"/>
        <v/>
      </c>
    </row>
    <row r="238" spans="1:33" ht="20.25" customHeight="1">
      <c r="A238" s="13">
        <v>237</v>
      </c>
      <c r="H238" s="1" t="str">
        <f>IF(Back_End_Data!G238="Completed","Yes","No")</f>
        <v>No</v>
      </c>
      <c r="I238" s="1" t="str">
        <f>IF(Back_End_Data!I238="Completed","Yes","No")</f>
        <v>No</v>
      </c>
      <c r="J238" s="1" t="str">
        <f>IF(Back_End_Data!J238="Completed","Yes","No")</f>
        <v>No</v>
      </c>
      <c r="K238" s="1" t="str">
        <f>IF(Back_End_Data!K238="Completed","Yes","No")</f>
        <v>No</v>
      </c>
      <c r="L238" s="1" t="str">
        <f>IF(Back_End_Data!L238="", "No", Back_End_Data!L238)</f>
        <v>No</v>
      </c>
      <c r="M238" s="1" t="str">
        <f>IF(Back_End_Data!N238="", "No", Back_End_Data!N238)</f>
        <v>No</v>
      </c>
      <c r="N238" s="1" t="str">
        <f>IF(Back_End_Data!M238="", "No", Back_End_Data!M238)</f>
        <v>No</v>
      </c>
      <c r="O238" s="1" t="str">
        <f>IF(Back_End_Data!O238="Completed","Yes","No")</f>
        <v>No</v>
      </c>
      <c r="P238" s="1" t="str">
        <f>IF(Back_End_Data!H238="Completed","Yes","No")</f>
        <v>No</v>
      </c>
      <c r="Q238" s="1" t="str">
        <f>IF(Back_End_Data!P238="Completed","Yes","No")</f>
        <v>No</v>
      </c>
      <c r="R238" s="1" t="s">
        <v>2369</v>
      </c>
      <c r="S238" s="1" t="str">
        <f>IF(Back_End_Data!R238="Completed","Yes","No")</f>
        <v>No</v>
      </c>
      <c r="T238" s="1" t="str">
        <f>IF(Back_End_Data!S238="Yes","Yes","No")</f>
        <v>No</v>
      </c>
      <c r="U238" s="1" t="str">
        <f>IF(Back_End_Data!Q237="Completed","Yes","No")</f>
        <v>No</v>
      </c>
      <c r="V238" s="1" t="e">
        <f ca="1">IF(INDEX(MIS_Backend_Data!L:L, MATCH(D238, MIS_Backend_Data!B:B, 1)) = "WT", "Yes", "No")</f>
        <v>#N/A</v>
      </c>
      <c r="W238" s="2" t="str">
        <f t="shared" ca="1" si="9"/>
        <v/>
      </c>
      <c r="AA238" s="1">
        <f t="shared" ca="1" si="10"/>
        <v>0</v>
      </c>
      <c r="AG238" s="1" t="str">
        <f t="shared" si="11"/>
        <v/>
      </c>
    </row>
    <row r="239" spans="1:33" ht="20.25" customHeight="1">
      <c r="A239" s="13">
        <v>238</v>
      </c>
      <c r="H239" s="1" t="str">
        <f>IF(Back_End_Data!G239="Completed","Yes","No")</f>
        <v>No</v>
      </c>
      <c r="I239" s="1" t="str">
        <f>IF(Back_End_Data!I239="Completed","Yes","No")</f>
        <v>No</v>
      </c>
      <c r="J239" s="1" t="str">
        <f>IF(Back_End_Data!J239="Completed","Yes","No")</f>
        <v>No</v>
      </c>
      <c r="K239" s="1" t="str">
        <f>IF(Back_End_Data!K239="Completed","Yes","No")</f>
        <v>No</v>
      </c>
      <c r="L239" s="1" t="str">
        <f>IF(Back_End_Data!L239="", "No", Back_End_Data!L239)</f>
        <v>No</v>
      </c>
      <c r="M239" s="1" t="str">
        <f>IF(Back_End_Data!N239="", "No", Back_End_Data!N239)</f>
        <v>No</v>
      </c>
      <c r="N239" s="1" t="str">
        <f>IF(Back_End_Data!M239="", "No", Back_End_Data!M239)</f>
        <v>No</v>
      </c>
      <c r="O239" s="1" t="str">
        <f>IF(Back_End_Data!O239="Completed","Yes","No")</f>
        <v>No</v>
      </c>
      <c r="P239" s="1" t="str">
        <f>IF(Back_End_Data!H239="Completed","Yes","No")</f>
        <v>No</v>
      </c>
      <c r="Q239" s="1" t="str">
        <f>IF(Back_End_Data!P239="Completed","Yes","No")</f>
        <v>No</v>
      </c>
      <c r="R239" s="1" t="s">
        <v>2369</v>
      </c>
      <c r="S239" s="1" t="str">
        <f>IF(Back_End_Data!R239="Completed","Yes","No")</f>
        <v>No</v>
      </c>
      <c r="T239" s="1" t="str">
        <f>IF(Back_End_Data!S239="Yes","Yes","No")</f>
        <v>No</v>
      </c>
      <c r="U239" s="1" t="str">
        <f>IF(Back_End_Data!Q238="Completed","Yes","No")</f>
        <v>No</v>
      </c>
      <c r="V239" s="1" t="e">
        <f ca="1">IF(INDEX(MIS_Backend_Data!L:L, MATCH(D239, MIS_Backend_Data!B:B, 1)) = "WT", "Yes", "No")</f>
        <v>#N/A</v>
      </c>
      <c r="W239" s="2" t="str">
        <f t="shared" ca="1" si="9"/>
        <v/>
      </c>
      <c r="AA239" s="1">
        <f t="shared" ca="1" si="10"/>
        <v>0</v>
      </c>
      <c r="AG239" s="1" t="str">
        <f t="shared" si="11"/>
        <v/>
      </c>
    </row>
    <row r="240" spans="1:33" ht="20.25" customHeight="1">
      <c r="A240" s="13">
        <v>239</v>
      </c>
      <c r="H240" s="1" t="str">
        <f>IF(Back_End_Data!G240="Completed","Yes","No")</f>
        <v>No</v>
      </c>
      <c r="I240" s="1" t="str">
        <f>IF(Back_End_Data!I240="Completed","Yes","No")</f>
        <v>No</v>
      </c>
      <c r="J240" s="1" t="str">
        <f>IF(Back_End_Data!J240="Completed","Yes","No")</f>
        <v>No</v>
      </c>
      <c r="K240" s="1" t="str">
        <f>IF(Back_End_Data!K240="Completed","Yes","No")</f>
        <v>No</v>
      </c>
      <c r="L240" s="1" t="str">
        <f>IF(Back_End_Data!L240="", "No", Back_End_Data!L240)</f>
        <v>No</v>
      </c>
      <c r="M240" s="1" t="str">
        <f>IF(Back_End_Data!N240="", "No", Back_End_Data!N240)</f>
        <v>No</v>
      </c>
      <c r="N240" s="1" t="str">
        <f>IF(Back_End_Data!M240="", "No", Back_End_Data!M240)</f>
        <v>No</v>
      </c>
      <c r="O240" s="1" t="str">
        <f>IF(Back_End_Data!O240="Completed","Yes","No")</f>
        <v>No</v>
      </c>
      <c r="P240" s="1" t="str">
        <f>IF(Back_End_Data!H240="Completed","Yes","No")</f>
        <v>No</v>
      </c>
      <c r="Q240" s="1" t="str">
        <f>IF(Back_End_Data!P240="Completed","Yes","No")</f>
        <v>No</v>
      </c>
      <c r="R240" s="1" t="s">
        <v>2369</v>
      </c>
      <c r="S240" s="1" t="str">
        <f>IF(Back_End_Data!R240="Completed","Yes","No")</f>
        <v>No</v>
      </c>
      <c r="T240" s="1" t="str">
        <f>IF(Back_End_Data!S240="Yes","Yes","No")</f>
        <v>No</v>
      </c>
      <c r="U240" s="1" t="str">
        <f>IF(Back_End_Data!Q239="Completed","Yes","No")</f>
        <v>No</v>
      </c>
      <c r="V240" s="1" t="e">
        <f ca="1">IF(INDEX(MIS_Backend_Data!L:L, MATCH(D240, MIS_Backend_Data!B:B, 1)) = "WT", "Yes", "No")</f>
        <v>#N/A</v>
      </c>
      <c r="W240" s="2" t="str">
        <f t="shared" ca="1" si="9"/>
        <v/>
      </c>
      <c r="AA240" s="1">
        <f t="shared" ca="1" si="10"/>
        <v>0</v>
      </c>
      <c r="AG240" s="1" t="str">
        <f t="shared" si="11"/>
        <v/>
      </c>
    </row>
    <row r="241" spans="1:33" ht="20.25" customHeight="1">
      <c r="A241" s="13">
        <v>240</v>
      </c>
      <c r="H241" s="1" t="str">
        <f>IF(Back_End_Data!G241="Completed","Yes","No")</f>
        <v>No</v>
      </c>
      <c r="I241" s="1" t="str">
        <f>IF(Back_End_Data!I241="Completed","Yes","No")</f>
        <v>No</v>
      </c>
      <c r="J241" s="1" t="str">
        <f>IF(Back_End_Data!J241="Completed","Yes","No")</f>
        <v>No</v>
      </c>
      <c r="K241" s="1" t="str">
        <f>IF(Back_End_Data!K241="Completed","Yes","No")</f>
        <v>No</v>
      </c>
      <c r="L241" s="1" t="str">
        <f>IF(Back_End_Data!L241="", "No", Back_End_Data!L241)</f>
        <v>No</v>
      </c>
      <c r="M241" s="1" t="str">
        <f>IF(Back_End_Data!N241="", "No", Back_End_Data!N241)</f>
        <v>No</v>
      </c>
      <c r="N241" s="1" t="str">
        <f>IF(Back_End_Data!M241="", "No", Back_End_Data!M241)</f>
        <v>No</v>
      </c>
      <c r="O241" s="1" t="str">
        <f>IF(Back_End_Data!O241="Completed","Yes","No")</f>
        <v>No</v>
      </c>
      <c r="P241" s="1" t="str">
        <f>IF(Back_End_Data!H241="Completed","Yes","No")</f>
        <v>No</v>
      </c>
      <c r="Q241" s="1" t="str">
        <f>IF(Back_End_Data!P241="Completed","Yes","No")</f>
        <v>No</v>
      </c>
      <c r="R241" s="1" t="s">
        <v>2369</v>
      </c>
      <c r="S241" s="1" t="str">
        <f>IF(Back_End_Data!R241="Completed","Yes","No")</f>
        <v>No</v>
      </c>
      <c r="T241" s="1" t="str">
        <f>IF(Back_End_Data!S241="Yes","Yes","No")</f>
        <v>No</v>
      </c>
      <c r="U241" s="1" t="str">
        <f>IF(Back_End_Data!Q240="Completed","Yes","No")</f>
        <v>No</v>
      </c>
      <c r="V241" s="1" t="e">
        <f ca="1">IF(INDEX(MIS_Backend_Data!L:L, MATCH(D241, MIS_Backend_Data!B:B, 1)) = "WT", "Yes", "No")</f>
        <v>#N/A</v>
      </c>
      <c r="W241" s="2" t="str">
        <f t="shared" ca="1" si="9"/>
        <v/>
      </c>
      <c r="AA241" s="1">
        <f t="shared" ca="1" si="10"/>
        <v>0</v>
      </c>
      <c r="AG241" s="1" t="str">
        <f t="shared" si="11"/>
        <v/>
      </c>
    </row>
    <row r="242" spans="1:33" ht="20.25" customHeight="1">
      <c r="A242" s="13">
        <v>241</v>
      </c>
      <c r="H242" s="1" t="str">
        <f>IF(Back_End_Data!G242="Completed","Yes","No")</f>
        <v>No</v>
      </c>
      <c r="I242" s="1" t="str">
        <f>IF(Back_End_Data!I242="Completed","Yes","No")</f>
        <v>No</v>
      </c>
      <c r="J242" s="1" t="str">
        <f>IF(Back_End_Data!J242="Completed","Yes","No")</f>
        <v>No</v>
      </c>
      <c r="K242" s="1" t="str">
        <f>IF(Back_End_Data!K242="Completed","Yes","No")</f>
        <v>No</v>
      </c>
      <c r="L242" s="1" t="str">
        <f>IF(Back_End_Data!L242="", "No", Back_End_Data!L242)</f>
        <v>No</v>
      </c>
      <c r="M242" s="1" t="str">
        <f>IF(Back_End_Data!N242="", "No", Back_End_Data!N242)</f>
        <v>No</v>
      </c>
      <c r="N242" s="1" t="str">
        <f>IF(Back_End_Data!M242="", "No", Back_End_Data!M242)</f>
        <v>No</v>
      </c>
      <c r="O242" s="1" t="str">
        <f>IF(Back_End_Data!O242="Completed","Yes","No")</f>
        <v>No</v>
      </c>
      <c r="P242" s="1" t="str">
        <f>IF(Back_End_Data!H242="Completed","Yes","No")</f>
        <v>No</v>
      </c>
      <c r="Q242" s="1" t="str">
        <f>IF(Back_End_Data!P242="Completed","Yes","No")</f>
        <v>No</v>
      </c>
      <c r="R242" s="1" t="s">
        <v>2369</v>
      </c>
      <c r="S242" s="1" t="str">
        <f>IF(Back_End_Data!R242="Completed","Yes","No")</f>
        <v>No</v>
      </c>
      <c r="T242" s="1" t="str">
        <f>IF(Back_End_Data!S242="Yes","Yes","No")</f>
        <v>No</v>
      </c>
      <c r="U242" s="1" t="str">
        <f>IF(Back_End_Data!Q241="Completed","Yes","No")</f>
        <v>No</v>
      </c>
      <c r="V242" s="1" t="e">
        <f ca="1">IF(INDEX(MIS_Backend_Data!L:L, MATCH(D242, MIS_Backend_Data!B:B, 1)) = "WT", "Yes", "No")</f>
        <v>#N/A</v>
      </c>
      <c r="W242" s="2" t="str">
        <f t="shared" ca="1" si="9"/>
        <v/>
      </c>
      <c r="AA242" s="1">
        <f t="shared" ca="1" si="10"/>
        <v>0</v>
      </c>
      <c r="AG242" s="1" t="str">
        <f t="shared" si="11"/>
        <v/>
      </c>
    </row>
    <row r="243" spans="1:33" ht="20.25" customHeight="1">
      <c r="A243" s="13">
        <v>242</v>
      </c>
      <c r="H243" s="1" t="str">
        <f>IF(Back_End_Data!G243="Completed","Yes","No")</f>
        <v>No</v>
      </c>
      <c r="I243" s="1" t="str">
        <f>IF(Back_End_Data!I243="Completed","Yes","No")</f>
        <v>No</v>
      </c>
      <c r="J243" s="1" t="str">
        <f>IF(Back_End_Data!J243="Completed","Yes","No")</f>
        <v>No</v>
      </c>
      <c r="K243" s="1" t="str">
        <f>IF(Back_End_Data!K243="Completed","Yes","No")</f>
        <v>No</v>
      </c>
      <c r="L243" s="1" t="str">
        <f>IF(Back_End_Data!L243="", "No", Back_End_Data!L243)</f>
        <v>No</v>
      </c>
      <c r="M243" s="1" t="str">
        <f>IF(Back_End_Data!N243="", "No", Back_End_Data!N243)</f>
        <v>No</v>
      </c>
      <c r="N243" s="1" t="str">
        <f>IF(Back_End_Data!M243="", "No", Back_End_Data!M243)</f>
        <v>No</v>
      </c>
      <c r="O243" s="1" t="str">
        <f>IF(Back_End_Data!O243="Completed","Yes","No")</f>
        <v>No</v>
      </c>
      <c r="P243" s="1" t="str">
        <f>IF(Back_End_Data!H243="Completed","Yes","No")</f>
        <v>No</v>
      </c>
      <c r="Q243" s="1" t="str">
        <f>IF(Back_End_Data!P243="Completed","Yes","No")</f>
        <v>No</v>
      </c>
      <c r="R243" s="1" t="s">
        <v>2369</v>
      </c>
      <c r="S243" s="1" t="str">
        <f>IF(Back_End_Data!R243="Completed","Yes","No")</f>
        <v>No</v>
      </c>
      <c r="T243" s="1" t="str">
        <f>IF(Back_End_Data!S243="Yes","Yes","No")</f>
        <v>No</v>
      </c>
      <c r="U243" s="1" t="str">
        <f>IF(Back_End_Data!Q242="Completed","Yes","No")</f>
        <v>No</v>
      </c>
      <c r="V243" s="1" t="e">
        <f ca="1">IF(INDEX(MIS_Backend_Data!L:L, MATCH(D243, MIS_Backend_Data!B:B, 1)) = "WT", "Yes", "No")</f>
        <v>#N/A</v>
      </c>
      <c r="W243" s="2" t="str">
        <f t="shared" ca="1" si="9"/>
        <v/>
      </c>
      <c r="AA243" s="1">
        <f t="shared" ca="1" si="10"/>
        <v>0</v>
      </c>
      <c r="AG243" s="1" t="str">
        <f t="shared" si="11"/>
        <v/>
      </c>
    </row>
    <row r="244" spans="1:33" ht="20.25" customHeight="1">
      <c r="A244" s="13">
        <v>243</v>
      </c>
      <c r="H244" s="1" t="str">
        <f>IF(Back_End_Data!G244="Completed","Yes","No")</f>
        <v>No</v>
      </c>
      <c r="I244" s="1" t="str">
        <f>IF(Back_End_Data!I244="Completed","Yes","No")</f>
        <v>No</v>
      </c>
      <c r="J244" s="1" t="str">
        <f>IF(Back_End_Data!J244="Completed","Yes","No")</f>
        <v>No</v>
      </c>
      <c r="K244" s="1" t="str">
        <f>IF(Back_End_Data!K244="Completed","Yes","No")</f>
        <v>No</v>
      </c>
      <c r="L244" s="1" t="str">
        <f>IF(Back_End_Data!L244="", "No", Back_End_Data!L244)</f>
        <v>No</v>
      </c>
      <c r="M244" s="1" t="str">
        <f>IF(Back_End_Data!N244="", "No", Back_End_Data!N244)</f>
        <v>No</v>
      </c>
      <c r="N244" s="1" t="str">
        <f>IF(Back_End_Data!M244="", "No", Back_End_Data!M244)</f>
        <v>No</v>
      </c>
      <c r="O244" s="1" t="str">
        <f>IF(Back_End_Data!O244="Completed","Yes","No")</f>
        <v>No</v>
      </c>
      <c r="P244" s="1" t="str">
        <f>IF(Back_End_Data!H244="Completed","Yes","No")</f>
        <v>No</v>
      </c>
      <c r="Q244" s="1" t="str">
        <f>IF(Back_End_Data!P244="Completed","Yes","No")</f>
        <v>No</v>
      </c>
      <c r="R244" s="1" t="s">
        <v>2369</v>
      </c>
      <c r="S244" s="1" t="str">
        <f>IF(Back_End_Data!R244="Completed","Yes","No")</f>
        <v>No</v>
      </c>
      <c r="T244" s="1" t="str">
        <f>IF(Back_End_Data!S244="Yes","Yes","No")</f>
        <v>No</v>
      </c>
      <c r="U244" s="1" t="str">
        <f>IF(Back_End_Data!Q243="Completed","Yes","No")</f>
        <v>No</v>
      </c>
      <c r="V244" s="1" t="e">
        <f ca="1">IF(INDEX(MIS_Backend_Data!L:L, MATCH(D244, MIS_Backend_Data!B:B, 1)) = "WT", "Yes", "No")</f>
        <v>#N/A</v>
      </c>
      <c r="W244" s="2" t="str">
        <f t="shared" ca="1" si="9"/>
        <v/>
      </c>
      <c r="AA244" s="1">
        <f t="shared" ca="1" si="10"/>
        <v>0</v>
      </c>
      <c r="AG244" s="1" t="str">
        <f t="shared" si="11"/>
        <v/>
      </c>
    </row>
    <row r="245" spans="1:33" ht="20.25" customHeight="1">
      <c r="A245" s="13">
        <v>244</v>
      </c>
      <c r="H245" s="1" t="str">
        <f>IF(Back_End_Data!G245="Completed","Yes","No")</f>
        <v>No</v>
      </c>
      <c r="I245" s="1" t="str">
        <f>IF(Back_End_Data!I245="Completed","Yes","No")</f>
        <v>No</v>
      </c>
      <c r="J245" s="1" t="str">
        <f>IF(Back_End_Data!J245="Completed","Yes","No")</f>
        <v>No</v>
      </c>
      <c r="K245" s="1" t="str">
        <f>IF(Back_End_Data!K245="Completed","Yes","No")</f>
        <v>No</v>
      </c>
      <c r="L245" s="1" t="str">
        <f>IF(Back_End_Data!L245="", "No", Back_End_Data!L245)</f>
        <v>No</v>
      </c>
      <c r="M245" s="1" t="str">
        <f>IF(Back_End_Data!N245="", "No", Back_End_Data!N245)</f>
        <v>No</v>
      </c>
      <c r="N245" s="1" t="str">
        <f>IF(Back_End_Data!M245="", "No", Back_End_Data!M245)</f>
        <v>No</v>
      </c>
      <c r="O245" s="1" t="str">
        <f>IF(Back_End_Data!O245="Completed","Yes","No")</f>
        <v>No</v>
      </c>
      <c r="P245" s="1" t="str">
        <f>IF(Back_End_Data!H245="Completed","Yes","No")</f>
        <v>No</v>
      </c>
      <c r="Q245" s="1" t="str">
        <f>IF(Back_End_Data!P245="Completed","Yes","No")</f>
        <v>No</v>
      </c>
      <c r="R245" s="1" t="s">
        <v>2369</v>
      </c>
      <c r="S245" s="1" t="str">
        <f>IF(Back_End_Data!R245="Completed","Yes","No")</f>
        <v>No</v>
      </c>
      <c r="T245" s="1" t="str">
        <f>IF(Back_End_Data!S245="Yes","Yes","No")</f>
        <v>No</v>
      </c>
      <c r="U245" s="1" t="str">
        <f>IF(Back_End_Data!Q244="Completed","Yes","No")</f>
        <v>No</v>
      </c>
      <c r="V245" s="1" t="e">
        <f ca="1">IF(INDEX(MIS_Backend_Data!L:L, MATCH(D245, MIS_Backend_Data!B:B, 1)) = "WT", "Yes", "No")</f>
        <v>#N/A</v>
      </c>
      <c r="W245" s="2" t="str">
        <f t="shared" ca="1" si="9"/>
        <v/>
      </c>
      <c r="AA245" s="1">
        <f t="shared" ca="1" si="10"/>
        <v>0</v>
      </c>
      <c r="AG245" s="1" t="str">
        <f t="shared" si="11"/>
        <v/>
      </c>
    </row>
    <row r="246" spans="1:33" ht="20.25" customHeight="1">
      <c r="A246" s="13">
        <v>245</v>
      </c>
      <c r="H246" s="1" t="str">
        <f>IF(Back_End_Data!G246="Completed","Yes","No")</f>
        <v>No</v>
      </c>
      <c r="I246" s="1" t="str">
        <f>IF(Back_End_Data!I246="Completed","Yes","No")</f>
        <v>No</v>
      </c>
      <c r="J246" s="1" t="str">
        <f>IF(Back_End_Data!J246="Completed","Yes","No")</f>
        <v>No</v>
      </c>
      <c r="K246" s="1" t="str">
        <f>IF(Back_End_Data!K246="Completed","Yes","No")</f>
        <v>No</v>
      </c>
      <c r="L246" s="1" t="str">
        <f>IF(Back_End_Data!L246="", "No", Back_End_Data!L246)</f>
        <v>No</v>
      </c>
      <c r="M246" s="1" t="str">
        <f>IF(Back_End_Data!N246="", "No", Back_End_Data!N246)</f>
        <v>No</v>
      </c>
      <c r="N246" s="1" t="str">
        <f>IF(Back_End_Data!M246="", "No", Back_End_Data!M246)</f>
        <v>No</v>
      </c>
      <c r="O246" s="1" t="str">
        <f>IF(Back_End_Data!O246="Completed","Yes","No")</f>
        <v>No</v>
      </c>
      <c r="P246" s="1" t="str">
        <f>IF(Back_End_Data!H246="Completed","Yes","No")</f>
        <v>No</v>
      </c>
      <c r="Q246" s="1" t="str">
        <f>IF(Back_End_Data!P246="Completed","Yes","No")</f>
        <v>No</v>
      </c>
      <c r="R246" s="1" t="s">
        <v>2369</v>
      </c>
      <c r="S246" s="1" t="str">
        <f>IF(Back_End_Data!R246="Completed","Yes","No")</f>
        <v>No</v>
      </c>
      <c r="T246" s="1" t="str">
        <f>IF(Back_End_Data!S246="Yes","Yes","No")</f>
        <v>No</v>
      </c>
      <c r="U246" s="1" t="str">
        <f>IF(Back_End_Data!Q245="Completed","Yes","No")</f>
        <v>No</v>
      </c>
      <c r="V246" s="1" t="e">
        <f ca="1">IF(INDEX(MIS_Backend_Data!L:L, MATCH(D246, MIS_Backend_Data!B:B, 1)) = "WT", "Yes", "No")</f>
        <v>#N/A</v>
      </c>
      <c r="W246" s="2" t="str">
        <f t="shared" ca="1" si="9"/>
        <v/>
      </c>
      <c r="AA246" s="1">
        <f t="shared" ca="1" si="10"/>
        <v>0</v>
      </c>
      <c r="AG246" s="1" t="str">
        <f t="shared" si="11"/>
        <v/>
      </c>
    </row>
    <row r="247" spans="1:33" ht="20.25" customHeight="1">
      <c r="A247" s="13">
        <v>246</v>
      </c>
      <c r="H247" s="1" t="str">
        <f>IF(Back_End_Data!G247="Completed","Yes","No")</f>
        <v>No</v>
      </c>
      <c r="I247" s="1" t="str">
        <f>IF(Back_End_Data!I247="Completed","Yes","No")</f>
        <v>No</v>
      </c>
      <c r="J247" s="1" t="str">
        <f>IF(Back_End_Data!J247="Completed","Yes","No")</f>
        <v>No</v>
      </c>
      <c r="K247" s="1" t="str">
        <f>IF(Back_End_Data!K247="Completed","Yes","No")</f>
        <v>No</v>
      </c>
      <c r="L247" s="1" t="str">
        <f>IF(Back_End_Data!L247="", "No", Back_End_Data!L247)</f>
        <v>No</v>
      </c>
      <c r="M247" s="1" t="str">
        <f>IF(Back_End_Data!N247="", "No", Back_End_Data!N247)</f>
        <v>No</v>
      </c>
      <c r="N247" s="1" t="str">
        <f>IF(Back_End_Data!M247="", "No", Back_End_Data!M247)</f>
        <v>No</v>
      </c>
      <c r="O247" s="1" t="str">
        <f>IF(Back_End_Data!O247="Completed","Yes","No")</f>
        <v>No</v>
      </c>
      <c r="P247" s="1" t="str">
        <f>IF(Back_End_Data!H247="Completed","Yes","No")</f>
        <v>No</v>
      </c>
      <c r="Q247" s="1" t="str">
        <f>IF(Back_End_Data!P247="Completed","Yes","No")</f>
        <v>No</v>
      </c>
      <c r="R247" s="1" t="s">
        <v>2369</v>
      </c>
      <c r="S247" s="1" t="str">
        <f>IF(Back_End_Data!R247="Completed","Yes","No")</f>
        <v>No</v>
      </c>
      <c r="T247" s="1" t="str">
        <f>IF(Back_End_Data!S247="Yes","Yes","No")</f>
        <v>No</v>
      </c>
      <c r="U247" s="1" t="str">
        <f>IF(Back_End_Data!Q246="Completed","Yes","No")</f>
        <v>No</v>
      </c>
      <c r="V247" s="1" t="e">
        <f ca="1">IF(INDEX(MIS_Backend_Data!L:L, MATCH(D247, MIS_Backend_Data!B:B, 1)) = "WT", "Yes", "No")</f>
        <v>#N/A</v>
      </c>
      <c r="W247" s="2" t="str">
        <f t="shared" ca="1" si="9"/>
        <v/>
      </c>
      <c r="AA247" s="1">
        <f t="shared" ca="1" si="10"/>
        <v>0</v>
      </c>
      <c r="AG247" s="1" t="str">
        <f t="shared" si="11"/>
        <v/>
      </c>
    </row>
    <row r="248" spans="1:33" ht="20.25" customHeight="1">
      <c r="A248" s="13">
        <v>247</v>
      </c>
      <c r="H248" s="1" t="str">
        <f>IF(Back_End_Data!G248="Completed","Yes","No")</f>
        <v>No</v>
      </c>
      <c r="I248" s="1" t="str">
        <f>IF(Back_End_Data!I248="Completed","Yes","No")</f>
        <v>No</v>
      </c>
      <c r="J248" s="1" t="str">
        <f>IF(Back_End_Data!J248="Completed","Yes","No")</f>
        <v>No</v>
      </c>
      <c r="K248" s="1" t="str">
        <f>IF(Back_End_Data!K248="Completed","Yes","No")</f>
        <v>No</v>
      </c>
      <c r="L248" s="1" t="str">
        <f>IF(Back_End_Data!L248="", "No", Back_End_Data!L248)</f>
        <v>No</v>
      </c>
      <c r="M248" s="1" t="str">
        <f>IF(Back_End_Data!N248="", "No", Back_End_Data!N248)</f>
        <v>No</v>
      </c>
      <c r="N248" s="1" t="str">
        <f>IF(Back_End_Data!M248="", "No", Back_End_Data!M248)</f>
        <v>No</v>
      </c>
      <c r="O248" s="1" t="str">
        <f>IF(Back_End_Data!O248="Completed","Yes","No")</f>
        <v>No</v>
      </c>
      <c r="P248" s="1" t="str">
        <f>IF(Back_End_Data!H248="Completed","Yes","No")</f>
        <v>No</v>
      </c>
      <c r="Q248" s="1" t="str">
        <f>IF(Back_End_Data!P248="Completed","Yes","No")</f>
        <v>No</v>
      </c>
      <c r="R248" s="1" t="s">
        <v>2369</v>
      </c>
      <c r="S248" s="1" t="str">
        <f>IF(Back_End_Data!R248="Completed","Yes","No")</f>
        <v>No</v>
      </c>
      <c r="T248" s="1" t="str">
        <f>IF(Back_End_Data!S248="Yes","Yes","No")</f>
        <v>No</v>
      </c>
      <c r="U248" s="1" t="str">
        <f>IF(Back_End_Data!Q247="Completed","Yes","No")</f>
        <v>No</v>
      </c>
      <c r="V248" s="1" t="e">
        <f ca="1">IF(INDEX(MIS_Backend_Data!L:L, MATCH(D248, MIS_Backend_Data!B:B, 1)) = "WT", "Yes", "No")</f>
        <v>#N/A</v>
      </c>
      <c r="W248" s="2" t="str">
        <f t="shared" ca="1" si="9"/>
        <v/>
      </c>
      <c r="AA248" s="1">
        <f t="shared" ca="1" si="10"/>
        <v>0</v>
      </c>
      <c r="AG248" s="1" t="str">
        <f t="shared" si="11"/>
        <v/>
      </c>
    </row>
    <row r="249" spans="1:33" ht="20.25" customHeight="1">
      <c r="A249" s="13">
        <v>248</v>
      </c>
      <c r="H249" s="1" t="str">
        <f>IF(Back_End_Data!G249="Completed","Yes","No")</f>
        <v>No</v>
      </c>
      <c r="I249" s="1" t="str">
        <f>IF(Back_End_Data!I249="Completed","Yes","No")</f>
        <v>No</v>
      </c>
      <c r="J249" s="1" t="str">
        <f>IF(Back_End_Data!J249="Completed","Yes","No")</f>
        <v>No</v>
      </c>
      <c r="K249" s="1" t="str">
        <f>IF(Back_End_Data!K249="Completed","Yes","No")</f>
        <v>No</v>
      </c>
      <c r="L249" s="1" t="str">
        <f>IF(Back_End_Data!L249="", "No", Back_End_Data!L249)</f>
        <v>No</v>
      </c>
      <c r="M249" s="1" t="str">
        <f>IF(Back_End_Data!N249="", "No", Back_End_Data!N249)</f>
        <v>No</v>
      </c>
      <c r="N249" s="1" t="str">
        <f>IF(Back_End_Data!M249="", "No", Back_End_Data!M249)</f>
        <v>No</v>
      </c>
      <c r="O249" s="1" t="str">
        <f>IF(Back_End_Data!O249="Completed","Yes","No")</f>
        <v>No</v>
      </c>
      <c r="P249" s="1" t="str">
        <f>IF(Back_End_Data!H249="Completed","Yes","No")</f>
        <v>No</v>
      </c>
      <c r="Q249" s="1" t="str">
        <f>IF(Back_End_Data!P249="Completed","Yes","No")</f>
        <v>No</v>
      </c>
      <c r="R249" s="1" t="s">
        <v>2369</v>
      </c>
      <c r="S249" s="1" t="str">
        <f>IF(Back_End_Data!R249="Completed","Yes","No")</f>
        <v>No</v>
      </c>
      <c r="T249" s="1" t="str">
        <f>IF(Back_End_Data!S249="Yes","Yes","No")</f>
        <v>No</v>
      </c>
      <c r="U249" s="1" t="str">
        <f>IF(Back_End_Data!Q248="Completed","Yes","No")</f>
        <v>No</v>
      </c>
      <c r="V249" s="1" t="e">
        <f ca="1">IF(INDEX(MIS_Backend_Data!L:L, MATCH(D249, MIS_Backend_Data!B:B, 1)) = "WT", "Yes", "No")</f>
        <v>#N/A</v>
      </c>
      <c r="W249" s="2" t="str">
        <f t="shared" ca="1" si="9"/>
        <v/>
      </c>
      <c r="AA249" s="1">
        <f t="shared" ca="1" si="10"/>
        <v>0</v>
      </c>
      <c r="AG249" s="1" t="str">
        <f t="shared" si="11"/>
        <v/>
      </c>
    </row>
    <row r="250" spans="1:33" ht="20.25" customHeight="1">
      <c r="A250" s="13">
        <v>249</v>
      </c>
      <c r="H250" s="1" t="str">
        <f>IF(Back_End_Data!G250="Completed","Yes","No")</f>
        <v>No</v>
      </c>
      <c r="I250" s="1" t="str">
        <f>IF(Back_End_Data!I250="Completed","Yes","No")</f>
        <v>No</v>
      </c>
      <c r="J250" s="1" t="str">
        <f>IF(Back_End_Data!J250="Completed","Yes","No")</f>
        <v>No</v>
      </c>
      <c r="K250" s="1" t="str">
        <f>IF(Back_End_Data!K250="Completed","Yes","No")</f>
        <v>No</v>
      </c>
      <c r="L250" s="1" t="str">
        <f>IF(Back_End_Data!L250="", "No", Back_End_Data!L250)</f>
        <v>No</v>
      </c>
      <c r="M250" s="1" t="str">
        <f>IF(Back_End_Data!N250="", "No", Back_End_Data!N250)</f>
        <v>No</v>
      </c>
      <c r="N250" s="1" t="str">
        <f>IF(Back_End_Data!M250="", "No", Back_End_Data!M250)</f>
        <v>No</v>
      </c>
      <c r="O250" s="1" t="str">
        <f>IF(Back_End_Data!O250="Completed","Yes","No")</f>
        <v>No</v>
      </c>
      <c r="P250" s="1" t="str">
        <f>IF(Back_End_Data!H250="Completed","Yes","No")</f>
        <v>No</v>
      </c>
      <c r="Q250" s="1" t="str">
        <f>IF(Back_End_Data!P250="Completed","Yes","No")</f>
        <v>No</v>
      </c>
      <c r="R250" s="1" t="s">
        <v>2369</v>
      </c>
      <c r="S250" s="1" t="str">
        <f>IF(Back_End_Data!R250="Completed","Yes","No")</f>
        <v>No</v>
      </c>
      <c r="T250" s="1" t="str">
        <f>IF(Back_End_Data!S250="Yes","Yes","No")</f>
        <v>No</v>
      </c>
      <c r="U250" s="1" t="str">
        <f>IF(Back_End_Data!Q249="Completed","Yes","No")</f>
        <v>No</v>
      </c>
      <c r="V250" s="1" t="e">
        <f ca="1">IF(INDEX(MIS_Backend_Data!L:L, MATCH(D250, MIS_Backend_Data!B:B, 1)) = "WT", "Yes", "No")</f>
        <v>#N/A</v>
      </c>
      <c r="W250" s="2" t="str">
        <f t="shared" ca="1" si="9"/>
        <v/>
      </c>
      <c r="AA250" s="1">
        <f t="shared" ca="1" si="10"/>
        <v>0</v>
      </c>
      <c r="AG250" s="1" t="str">
        <f t="shared" si="11"/>
        <v/>
      </c>
    </row>
    <row r="251" spans="1:33" ht="20.25" customHeight="1">
      <c r="A251" s="13">
        <v>250</v>
      </c>
      <c r="H251" s="1" t="str">
        <f>IF(Back_End_Data!G251="Completed","Yes","No")</f>
        <v>No</v>
      </c>
      <c r="I251" s="1" t="str">
        <f>IF(Back_End_Data!I251="Completed","Yes","No")</f>
        <v>No</v>
      </c>
      <c r="J251" s="1" t="str">
        <f>IF(Back_End_Data!J251="Completed","Yes","No")</f>
        <v>No</v>
      </c>
      <c r="K251" s="1" t="str">
        <f>IF(Back_End_Data!K251="Completed","Yes","No")</f>
        <v>No</v>
      </c>
      <c r="L251" s="1" t="str">
        <f>IF(Back_End_Data!L251="", "No", Back_End_Data!L251)</f>
        <v>No</v>
      </c>
      <c r="M251" s="1" t="str">
        <f>IF(Back_End_Data!N251="", "No", Back_End_Data!N251)</f>
        <v>No</v>
      </c>
      <c r="N251" s="1" t="str">
        <f>IF(Back_End_Data!M251="", "No", Back_End_Data!M251)</f>
        <v>No</v>
      </c>
      <c r="O251" s="1" t="str">
        <f>IF(Back_End_Data!O251="Completed","Yes","No")</f>
        <v>No</v>
      </c>
      <c r="P251" s="1" t="str">
        <f>IF(Back_End_Data!H251="Completed","Yes","No")</f>
        <v>No</v>
      </c>
      <c r="Q251" s="1" t="str">
        <f>IF(Back_End_Data!P251="Completed","Yes","No")</f>
        <v>No</v>
      </c>
      <c r="R251" s="1" t="s">
        <v>2369</v>
      </c>
      <c r="S251" s="1" t="str">
        <f>IF(Back_End_Data!R251="Completed","Yes","No")</f>
        <v>No</v>
      </c>
      <c r="T251" s="1" t="str">
        <f>IF(Back_End_Data!S251="Yes","Yes","No")</f>
        <v>No</v>
      </c>
      <c r="U251" s="1" t="str">
        <f>IF(Back_End_Data!Q250="Completed","Yes","No")</f>
        <v>No</v>
      </c>
      <c r="V251" s="1" t="e">
        <f ca="1">IF(INDEX(MIS_Backend_Data!L:L, MATCH(D251, MIS_Backend_Data!B:B, 1)) = "WT", "Yes", "No")</f>
        <v>#N/A</v>
      </c>
      <c r="W251" s="2" t="str">
        <f t="shared" ca="1" si="9"/>
        <v/>
      </c>
      <c r="AA251" s="1">
        <f t="shared" ca="1" si="10"/>
        <v>0</v>
      </c>
      <c r="AG251" s="1" t="str">
        <f t="shared" si="11"/>
        <v/>
      </c>
    </row>
    <row r="252" spans="1:33" ht="20.25" customHeight="1">
      <c r="A252" s="13">
        <v>251</v>
      </c>
      <c r="H252" s="1" t="str">
        <f>IF(Back_End_Data!G252="Completed","Yes","No")</f>
        <v>No</v>
      </c>
      <c r="I252" s="1" t="str">
        <f>IF(Back_End_Data!I252="Completed","Yes","No")</f>
        <v>No</v>
      </c>
      <c r="J252" s="1" t="str">
        <f>IF(Back_End_Data!J252="Completed","Yes","No")</f>
        <v>No</v>
      </c>
      <c r="K252" s="1" t="str">
        <f>IF(Back_End_Data!K252="Completed","Yes","No")</f>
        <v>No</v>
      </c>
      <c r="L252" s="1" t="str">
        <f>IF(Back_End_Data!L252="", "No", Back_End_Data!L252)</f>
        <v>No</v>
      </c>
      <c r="M252" s="1" t="str">
        <f>IF(Back_End_Data!N252="", "No", Back_End_Data!N252)</f>
        <v>No</v>
      </c>
      <c r="N252" s="1" t="str">
        <f>IF(Back_End_Data!M252="", "No", Back_End_Data!M252)</f>
        <v>No</v>
      </c>
      <c r="O252" s="1" t="str">
        <f>IF(Back_End_Data!O252="Completed","Yes","No")</f>
        <v>No</v>
      </c>
      <c r="P252" s="1" t="str">
        <f>IF(Back_End_Data!H252="Completed","Yes","No")</f>
        <v>No</v>
      </c>
      <c r="Q252" s="1" t="str">
        <f>IF(Back_End_Data!P252="Completed","Yes","No")</f>
        <v>No</v>
      </c>
      <c r="R252" s="1" t="s">
        <v>2369</v>
      </c>
      <c r="S252" s="1" t="str">
        <f>IF(Back_End_Data!R252="Completed","Yes","No")</f>
        <v>No</v>
      </c>
      <c r="T252" s="1" t="str">
        <f>IF(Back_End_Data!S252="Yes","Yes","No")</f>
        <v>No</v>
      </c>
      <c r="U252" s="1" t="str">
        <f>IF(Back_End_Data!Q251="Completed","Yes","No")</f>
        <v>No</v>
      </c>
      <c r="V252" s="1" t="e">
        <f ca="1">IF(INDEX(MIS_Backend_Data!L:L, MATCH(D252, MIS_Backend_Data!B:B, 1)) = "WT", "Yes", "No")</f>
        <v>#N/A</v>
      </c>
      <c r="W252" s="2" t="str">
        <f t="shared" ca="1" si="9"/>
        <v/>
      </c>
      <c r="AA252" s="1">
        <f t="shared" ca="1" si="10"/>
        <v>0</v>
      </c>
      <c r="AG252" s="1" t="str">
        <f t="shared" si="11"/>
        <v/>
      </c>
    </row>
    <row r="253" spans="1:33" ht="20.25" customHeight="1">
      <c r="A253" s="13">
        <v>252</v>
      </c>
      <c r="H253" s="1" t="str">
        <f>IF(Back_End_Data!G253="Completed","Yes","No")</f>
        <v>No</v>
      </c>
      <c r="I253" s="1" t="str">
        <f>IF(Back_End_Data!I253="Completed","Yes","No")</f>
        <v>No</v>
      </c>
      <c r="J253" s="1" t="str">
        <f>IF(Back_End_Data!J253="Completed","Yes","No")</f>
        <v>No</v>
      </c>
      <c r="K253" s="1" t="str">
        <f>IF(Back_End_Data!K253="Completed","Yes","No")</f>
        <v>No</v>
      </c>
      <c r="L253" s="1" t="str">
        <f>IF(Back_End_Data!L253="", "No", Back_End_Data!L253)</f>
        <v>No</v>
      </c>
      <c r="M253" s="1" t="str">
        <f>IF(Back_End_Data!N253="", "No", Back_End_Data!N253)</f>
        <v>No</v>
      </c>
      <c r="N253" s="1" t="str">
        <f>IF(Back_End_Data!M253="", "No", Back_End_Data!M253)</f>
        <v>No</v>
      </c>
      <c r="O253" s="1" t="str">
        <f>IF(Back_End_Data!O253="Completed","Yes","No")</f>
        <v>No</v>
      </c>
      <c r="P253" s="1" t="str">
        <f>IF(Back_End_Data!H253="Completed","Yes","No")</f>
        <v>No</v>
      </c>
      <c r="Q253" s="1" t="str">
        <f>IF(Back_End_Data!P253="Completed","Yes","No")</f>
        <v>No</v>
      </c>
      <c r="R253" s="1" t="s">
        <v>2369</v>
      </c>
      <c r="S253" s="1" t="str">
        <f>IF(Back_End_Data!R253="Completed","Yes","No")</f>
        <v>No</v>
      </c>
      <c r="T253" s="1" t="str">
        <f>IF(Back_End_Data!S253="Yes","Yes","No")</f>
        <v>No</v>
      </c>
      <c r="U253" s="1" t="str">
        <f>IF(Back_End_Data!Q252="Completed","Yes","No")</f>
        <v>No</v>
      </c>
      <c r="V253" s="1" t="e">
        <f ca="1">IF(INDEX(MIS_Backend_Data!L:L, MATCH(D253, MIS_Backend_Data!B:B, 1)) = "WT", "Yes", "No")</f>
        <v>#N/A</v>
      </c>
      <c r="W253" s="2" t="str">
        <f t="shared" ca="1" si="9"/>
        <v/>
      </c>
      <c r="AA253" s="1">
        <f t="shared" ca="1" si="10"/>
        <v>0</v>
      </c>
      <c r="AG253" s="1" t="str">
        <f t="shared" si="11"/>
        <v/>
      </c>
    </row>
    <row r="254" spans="1:33" ht="20.25" customHeight="1">
      <c r="A254" s="13">
        <v>253</v>
      </c>
      <c r="H254" s="1" t="str">
        <f>IF(Back_End_Data!G254="Completed","Yes","No")</f>
        <v>No</v>
      </c>
      <c r="I254" s="1" t="str">
        <f>IF(Back_End_Data!I254="Completed","Yes","No")</f>
        <v>No</v>
      </c>
      <c r="J254" s="1" t="str">
        <f>IF(Back_End_Data!J254="Completed","Yes","No")</f>
        <v>No</v>
      </c>
      <c r="K254" s="1" t="str">
        <f>IF(Back_End_Data!K254="Completed","Yes","No")</f>
        <v>No</v>
      </c>
      <c r="L254" s="1" t="str">
        <f>IF(Back_End_Data!L254="", "No", Back_End_Data!L254)</f>
        <v>No</v>
      </c>
      <c r="M254" s="1" t="str">
        <f>IF(Back_End_Data!N254="", "No", Back_End_Data!N254)</f>
        <v>No</v>
      </c>
      <c r="N254" s="1" t="str">
        <f>IF(Back_End_Data!M254="", "No", Back_End_Data!M254)</f>
        <v>No</v>
      </c>
      <c r="O254" s="1" t="str">
        <f>IF(Back_End_Data!O254="Completed","Yes","No")</f>
        <v>No</v>
      </c>
      <c r="P254" s="1" t="str">
        <f>IF(Back_End_Data!H254="Completed","Yes","No")</f>
        <v>No</v>
      </c>
      <c r="Q254" s="1" t="str">
        <f>IF(Back_End_Data!P254="Completed","Yes","No")</f>
        <v>No</v>
      </c>
      <c r="R254" s="1" t="s">
        <v>2369</v>
      </c>
      <c r="S254" s="1" t="str">
        <f>IF(Back_End_Data!R254="Completed","Yes","No")</f>
        <v>No</v>
      </c>
      <c r="T254" s="1" t="str">
        <f>IF(Back_End_Data!S254="Yes","Yes","No")</f>
        <v>No</v>
      </c>
      <c r="U254" s="1" t="str">
        <f>IF(Back_End_Data!Q253="Completed","Yes","No")</f>
        <v>No</v>
      </c>
      <c r="V254" s="1" t="e">
        <f ca="1">IF(INDEX(MIS_Backend_Data!L:L, MATCH(D254, MIS_Backend_Data!B:B, 1)) = "WT", "Yes", "No")</f>
        <v>#N/A</v>
      </c>
      <c r="W254" s="2" t="str">
        <f t="shared" ca="1" si="9"/>
        <v/>
      </c>
      <c r="AA254" s="1">
        <f t="shared" ca="1" si="10"/>
        <v>0</v>
      </c>
      <c r="AG254" s="1" t="str">
        <f t="shared" si="11"/>
        <v/>
      </c>
    </row>
    <row r="255" spans="1:33" ht="20.25" customHeight="1">
      <c r="A255" s="13">
        <v>254</v>
      </c>
      <c r="H255" s="1" t="str">
        <f>IF(Back_End_Data!G255="Completed","Yes","No")</f>
        <v>No</v>
      </c>
      <c r="I255" s="1" t="str">
        <f>IF(Back_End_Data!I255="Completed","Yes","No")</f>
        <v>No</v>
      </c>
      <c r="J255" s="1" t="str">
        <f>IF(Back_End_Data!J255="Completed","Yes","No")</f>
        <v>No</v>
      </c>
      <c r="K255" s="1" t="str">
        <f>IF(Back_End_Data!K255="Completed","Yes","No")</f>
        <v>No</v>
      </c>
      <c r="L255" s="1" t="str">
        <f>IF(Back_End_Data!L255="", "No", Back_End_Data!L255)</f>
        <v>No</v>
      </c>
      <c r="M255" s="1" t="str">
        <f>IF(Back_End_Data!N255="", "No", Back_End_Data!N255)</f>
        <v>No</v>
      </c>
      <c r="N255" s="1" t="str">
        <f>IF(Back_End_Data!M255="", "No", Back_End_Data!M255)</f>
        <v>No</v>
      </c>
      <c r="O255" s="1" t="str">
        <f>IF(Back_End_Data!O255="Completed","Yes","No")</f>
        <v>No</v>
      </c>
      <c r="P255" s="1" t="str">
        <f>IF(Back_End_Data!H255="Completed","Yes","No")</f>
        <v>No</v>
      </c>
      <c r="Q255" s="1" t="str">
        <f>IF(Back_End_Data!P255="Completed","Yes","No")</f>
        <v>No</v>
      </c>
      <c r="R255" s="1" t="s">
        <v>2369</v>
      </c>
      <c r="S255" s="1" t="str">
        <f>IF(Back_End_Data!R255="Completed","Yes","No")</f>
        <v>No</v>
      </c>
      <c r="T255" s="1" t="str">
        <f>IF(Back_End_Data!S255="Yes","Yes","No")</f>
        <v>No</v>
      </c>
      <c r="U255" s="1" t="str">
        <f>IF(Back_End_Data!Q254="Completed","Yes","No")</f>
        <v>No</v>
      </c>
      <c r="V255" s="1" t="e">
        <f ca="1">IF(INDEX(MIS_Backend_Data!L:L, MATCH(D255, MIS_Backend_Data!B:B, 1)) = "WT", "Yes", "No")</f>
        <v>#N/A</v>
      </c>
      <c r="W255" s="2" t="str">
        <f t="shared" ca="1" si="9"/>
        <v/>
      </c>
      <c r="AA255" s="1">
        <f t="shared" ca="1" si="10"/>
        <v>0</v>
      </c>
      <c r="AG255" s="1" t="str">
        <f t="shared" si="11"/>
        <v/>
      </c>
    </row>
    <row r="256" spans="1:33" ht="20.25" customHeight="1">
      <c r="A256" s="13">
        <v>255</v>
      </c>
      <c r="H256" s="1" t="str">
        <f>IF(Back_End_Data!G256="Completed","Yes","No")</f>
        <v>No</v>
      </c>
      <c r="I256" s="1" t="str">
        <f>IF(Back_End_Data!I256="Completed","Yes","No")</f>
        <v>No</v>
      </c>
      <c r="J256" s="1" t="str">
        <f>IF(Back_End_Data!J256="Completed","Yes","No")</f>
        <v>No</v>
      </c>
      <c r="K256" s="1" t="str">
        <f>IF(Back_End_Data!K256="Completed","Yes","No")</f>
        <v>No</v>
      </c>
      <c r="L256" s="1" t="str">
        <f>IF(Back_End_Data!L256="", "No", Back_End_Data!L256)</f>
        <v>No</v>
      </c>
      <c r="M256" s="1" t="str">
        <f>IF(Back_End_Data!N256="", "No", Back_End_Data!N256)</f>
        <v>No</v>
      </c>
      <c r="N256" s="1" t="str">
        <f>IF(Back_End_Data!M256="", "No", Back_End_Data!M256)</f>
        <v>No</v>
      </c>
      <c r="O256" s="1" t="str">
        <f>IF(Back_End_Data!O256="Completed","Yes","No")</f>
        <v>No</v>
      </c>
      <c r="P256" s="1" t="str">
        <f>IF(Back_End_Data!H256="Completed","Yes","No")</f>
        <v>No</v>
      </c>
      <c r="Q256" s="1" t="str">
        <f>IF(Back_End_Data!P256="Completed","Yes","No")</f>
        <v>No</v>
      </c>
      <c r="R256" s="1" t="s">
        <v>2369</v>
      </c>
      <c r="S256" s="1" t="str">
        <f>IF(Back_End_Data!R256="Completed","Yes","No")</f>
        <v>No</v>
      </c>
      <c r="T256" s="1" t="str">
        <f>IF(Back_End_Data!S256="Yes","Yes","No")</f>
        <v>No</v>
      </c>
      <c r="U256" s="1" t="str">
        <f>IF(Back_End_Data!Q255="Completed","Yes","No")</f>
        <v>No</v>
      </c>
      <c r="V256" s="1" t="e">
        <f ca="1">IF(INDEX(MIS_Backend_Data!L:L, MATCH(D256, MIS_Backend_Data!B:B, 1)) = "WT", "Yes", "No")</f>
        <v>#N/A</v>
      </c>
      <c r="W256" s="2" t="str">
        <f t="shared" ca="1" si="9"/>
        <v/>
      </c>
      <c r="AA256" s="1">
        <f t="shared" ca="1" si="10"/>
        <v>0</v>
      </c>
      <c r="AG256" s="1" t="str">
        <f t="shared" si="11"/>
        <v/>
      </c>
    </row>
    <row r="257" spans="1:33" ht="20.25" customHeight="1">
      <c r="A257" s="13">
        <v>256</v>
      </c>
      <c r="H257" s="1" t="str">
        <f>IF(Back_End_Data!G257="Completed","Yes","No")</f>
        <v>No</v>
      </c>
      <c r="I257" s="1" t="str">
        <f>IF(Back_End_Data!I257="Completed","Yes","No")</f>
        <v>No</v>
      </c>
      <c r="J257" s="1" t="str">
        <f>IF(Back_End_Data!J257="Completed","Yes","No")</f>
        <v>No</v>
      </c>
      <c r="K257" s="1" t="str">
        <f>IF(Back_End_Data!K257="Completed","Yes","No")</f>
        <v>No</v>
      </c>
      <c r="L257" s="1" t="str">
        <f>IF(Back_End_Data!L257="", "No", Back_End_Data!L257)</f>
        <v>No</v>
      </c>
      <c r="M257" s="1" t="str">
        <f>IF(Back_End_Data!N257="", "No", Back_End_Data!N257)</f>
        <v>No</v>
      </c>
      <c r="N257" s="1" t="str">
        <f>IF(Back_End_Data!M257="", "No", Back_End_Data!M257)</f>
        <v>No</v>
      </c>
      <c r="O257" s="1" t="str">
        <f>IF(Back_End_Data!O257="Completed","Yes","No")</f>
        <v>No</v>
      </c>
      <c r="P257" s="1" t="str">
        <f>IF(Back_End_Data!H257="Completed","Yes","No")</f>
        <v>No</v>
      </c>
      <c r="Q257" s="1" t="str">
        <f>IF(Back_End_Data!P257="Completed","Yes","No")</f>
        <v>No</v>
      </c>
      <c r="R257" s="1" t="s">
        <v>2369</v>
      </c>
      <c r="S257" s="1" t="str">
        <f>IF(Back_End_Data!R257="Completed","Yes","No")</f>
        <v>No</v>
      </c>
      <c r="T257" s="1" t="str">
        <f>IF(Back_End_Data!S257="Yes","Yes","No")</f>
        <v>No</v>
      </c>
      <c r="U257" s="1" t="str">
        <f>IF(Back_End_Data!Q256="Completed","Yes","No")</f>
        <v>No</v>
      </c>
      <c r="V257" s="1" t="e">
        <f ca="1">IF(INDEX(MIS_Backend_Data!L:L, MATCH(D257, MIS_Backend_Data!B:B, 1)) = "WT", "Yes", "No")</f>
        <v>#N/A</v>
      </c>
      <c r="W257" s="2" t="str">
        <f t="shared" ca="1" si="9"/>
        <v/>
      </c>
      <c r="AA257" s="1">
        <f t="shared" ca="1" si="10"/>
        <v>0</v>
      </c>
      <c r="AG257" s="1" t="str">
        <f t="shared" si="11"/>
        <v/>
      </c>
    </row>
    <row r="258" spans="1:33" ht="20.25" customHeight="1">
      <c r="A258" s="13">
        <v>257</v>
      </c>
      <c r="H258" s="1" t="str">
        <f>IF(Back_End_Data!G258="Completed","Yes","No")</f>
        <v>No</v>
      </c>
      <c r="I258" s="1" t="str">
        <f>IF(Back_End_Data!I258="Completed","Yes","No")</f>
        <v>No</v>
      </c>
      <c r="J258" s="1" t="str">
        <f>IF(Back_End_Data!J258="Completed","Yes","No")</f>
        <v>No</v>
      </c>
      <c r="K258" s="1" t="str">
        <f>IF(Back_End_Data!K258="Completed","Yes","No")</f>
        <v>No</v>
      </c>
      <c r="L258" s="1" t="str">
        <f>IF(Back_End_Data!L258="", "No", Back_End_Data!L258)</f>
        <v>No</v>
      </c>
      <c r="M258" s="1" t="str">
        <f>IF(Back_End_Data!N258="", "No", Back_End_Data!N258)</f>
        <v>No</v>
      </c>
      <c r="N258" s="1" t="str">
        <f>IF(Back_End_Data!M258="", "No", Back_End_Data!M258)</f>
        <v>No</v>
      </c>
      <c r="O258" s="1" t="str">
        <f>IF(Back_End_Data!O258="Completed","Yes","No")</f>
        <v>No</v>
      </c>
      <c r="P258" s="1" t="str">
        <f>IF(Back_End_Data!H258="Completed","Yes","No")</f>
        <v>No</v>
      </c>
      <c r="Q258" s="1" t="str">
        <f>IF(Back_End_Data!P258="Completed","Yes","No")</f>
        <v>No</v>
      </c>
      <c r="R258" s="1" t="s">
        <v>2369</v>
      </c>
      <c r="S258" s="1" t="str">
        <f>IF(Back_End_Data!R258="Completed","Yes","No")</f>
        <v>No</v>
      </c>
      <c r="T258" s="1" t="str">
        <f>IF(Back_End_Data!S258="Yes","Yes","No")</f>
        <v>No</v>
      </c>
      <c r="U258" s="1" t="str">
        <f>IF(Back_End_Data!Q257="Completed","Yes","No")</f>
        <v>No</v>
      </c>
      <c r="V258" s="1" t="e">
        <f ca="1">IF(INDEX(MIS_Backend_Data!L:L, MATCH(D258, MIS_Backend_Data!B:B, 1)) = "WT", "Yes", "No")</f>
        <v>#N/A</v>
      </c>
      <c r="W258" s="2" t="str">
        <f t="shared" ca="1" si="9"/>
        <v/>
      </c>
      <c r="AA258" s="1">
        <f t="shared" ca="1" si="10"/>
        <v>0</v>
      </c>
      <c r="AG258" s="1" t="str">
        <f t="shared" si="11"/>
        <v/>
      </c>
    </row>
    <row r="259" spans="1:33" ht="20.25" customHeight="1">
      <c r="A259" s="13">
        <v>258</v>
      </c>
      <c r="H259" s="1" t="str">
        <f>IF(Back_End_Data!G259="Completed","Yes","No")</f>
        <v>No</v>
      </c>
      <c r="I259" s="1" t="str">
        <f>IF(Back_End_Data!I259="Completed","Yes","No")</f>
        <v>No</v>
      </c>
      <c r="J259" s="1" t="str">
        <f>IF(Back_End_Data!J259="Completed","Yes","No")</f>
        <v>No</v>
      </c>
      <c r="K259" s="1" t="str">
        <f>IF(Back_End_Data!K259="Completed","Yes","No")</f>
        <v>No</v>
      </c>
      <c r="L259" s="1" t="str">
        <f>IF(Back_End_Data!L259="", "No", Back_End_Data!L259)</f>
        <v>No</v>
      </c>
      <c r="M259" s="1" t="str">
        <f>IF(Back_End_Data!N259="", "No", Back_End_Data!N259)</f>
        <v>No</v>
      </c>
      <c r="N259" s="1" t="str">
        <f>IF(Back_End_Data!M259="", "No", Back_End_Data!M259)</f>
        <v>No</v>
      </c>
      <c r="O259" s="1" t="str">
        <f>IF(Back_End_Data!O259="Completed","Yes","No")</f>
        <v>No</v>
      </c>
      <c r="P259" s="1" t="str">
        <f>IF(Back_End_Data!H259="Completed","Yes","No")</f>
        <v>No</v>
      </c>
      <c r="Q259" s="1" t="str">
        <f>IF(Back_End_Data!P259="Completed","Yes","No")</f>
        <v>No</v>
      </c>
      <c r="R259" s="1" t="s">
        <v>2369</v>
      </c>
      <c r="S259" s="1" t="str">
        <f>IF(Back_End_Data!R259="Completed","Yes","No")</f>
        <v>No</v>
      </c>
      <c r="T259" s="1" t="str">
        <f>IF(Back_End_Data!S259="Yes","Yes","No")</f>
        <v>No</v>
      </c>
      <c r="U259" s="1" t="str">
        <f>IF(Back_End_Data!Q258="Completed","Yes","No")</f>
        <v>No</v>
      </c>
      <c r="V259" s="1" t="e">
        <f ca="1">IF(INDEX(MIS_Backend_Data!L:L, MATCH(D259, MIS_Backend_Data!B:B, 1)) = "WT", "Yes", "No")</f>
        <v>#N/A</v>
      </c>
      <c r="W259" s="2" t="str">
        <f t="shared" ref="W259:W322" ca="1" si="12">IF(OR(Z259="", AA259=""), "", IF(Z259=AA259, "Approved", "Reject"))</f>
        <v/>
      </c>
      <c r="AA259" s="1">
        <f t="shared" ref="AA259:AA322" ca="1" si="13">COUNTIF(H259:V259,"Yes")</f>
        <v>0</v>
      </c>
      <c r="AG259" s="1" t="str">
        <f t="shared" si="11"/>
        <v/>
      </c>
    </row>
    <row r="260" spans="1:33" ht="20.25" customHeight="1">
      <c r="A260" s="13">
        <v>259</v>
      </c>
      <c r="H260" s="1" t="str">
        <f>IF(Back_End_Data!G260="Completed","Yes","No")</f>
        <v>No</v>
      </c>
      <c r="I260" s="1" t="str">
        <f>IF(Back_End_Data!I260="Completed","Yes","No")</f>
        <v>No</v>
      </c>
      <c r="J260" s="1" t="str">
        <f>IF(Back_End_Data!J260="Completed","Yes","No")</f>
        <v>No</v>
      </c>
      <c r="K260" s="1" t="str">
        <f>IF(Back_End_Data!K260="Completed","Yes","No")</f>
        <v>No</v>
      </c>
      <c r="L260" s="1" t="str">
        <f>IF(Back_End_Data!L260="", "No", Back_End_Data!L260)</f>
        <v>No</v>
      </c>
      <c r="M260" s="1" t="str">
        <f>IF(Back_End_Data!N260="", "No", Back_End_Data!N260)</f>
        <v>No</v>
      </c>
      <c r="N260" s="1" t="str">
        <f>IF(Back_End_Data!M260="", "No", Back_End_Data!M260)</f>
        <v>No</v>
      </c>
      <c r="O260" s="1" t="str">
        <f>IF(Back_End_Data!O260="Completed","Yes","No")</f>
        <v>No</v>
      </c>
      <c r="P260" s="1" t="str">
        <f>IF(Back_End_Data!H260="Completed","Yes","No")</f>
        <v>No</v>
      </c>
      <c r="Q260" s="1" t="str">
        <f>IF(Back_End_Data!P260="Completed","Yes","No")</f>
        <v>No</v>
      </c>
      <c r="R260" s="1" t="s">
        <v>2369</v>
      </c>
      <c r="S260" s="1" t="str">
        <f>IF(Back_End_Data!R260="Completed","Yes","No")</f>
        <v>No</v>
      </c>
      <c r="T260" s="1" t="str">
        <f>IF(Back_End_Data!S260="Yes","Yes","No")</f>
        <v>No</v>
      </c>
      <c r="U260" s="1" t="str">
        <f>IF(Back_End_Data!Q259="Completed","Yes","No")</f>
        <v>No</v>
      </c>
      <c r="V260" s="1" t="e">
        <f ca="1">IF(INDEX(MIS_Backend_Data!L:L, MATCH(D260, MIS_Backend_Data!B:B, 1)) = "WT", "Yes", "No")</f>
        <v>#N/A</v>
      </c>
      <c r="W260" s="2" t="str">
        <f t="shared" ca="1" si="12"/>
        <v/>
      </c>
      <c r="AA260" s="1">
        <f t="shared" ca="1" si="13"/>
        <v>0</v>
      </c>
      <c r="AG260" s="1" t="str">
        <f t="shared" ref="AG260:AG323" si="14">IF(AND(AE260="Dispatch",AF260="Pending"),"Pending","")</f>
        <v/>
      </c>
    </row>
    <row r="261" spans="1:33" ht="20.25" customHeight="1">
      <c r="A261" s="13">
        <v>260</v>
      </c>
      <c r="H261" s="1" t="str">
        <f>IF(Back_End_Data!G261="Completed","Yes","No")</f>
        <v>No</v>
      </c>
      <c r="I261" s="1" t="str">
        <f>IF(Back_End_Data!I261="Completed","Yes","No")</f>
        <v>No</v>
      </c>
      <c r="J261" s="1" t="str">
        <f>IF(Back_End_Data!J261="Completed","Yes","No")</f>
        <v>No</v>
      </c>
      <c r="K261" s="1" t="str">
        <f>IF(Back_End_Data!K261="Completed","Yes","No")</f>
        <v>No</v>
      </c>
      <c r="L261" s="1" t="str">
        <f>IF(Back_End_Data!L261="", "No", Back_End_Data!L261)</f>
        <v>No</v>
      </c>
      <c r="M261" s="1" t="str">
        <f>IF(Back_End_Data!N261="", "No", Back_End_Data!N261)</f>
        <v>No</v>
      </c>
      <c r="N261" s="1" t="str">
        <f>IF(Back_End_Data!M261="", "No", Back_End_Data!M261)</f>
        <v>No</v>
      </c>
      <c r="O261" s="1" t="str">
        <f>IF(Back_End_Data!O261="Completed","Yes","No")</f>
        <v>No</v>
      </c>
      <c r="P261" s="1" t="str">
        <f>IF(Back_End_Data!H261="Completed","Yes","No")</f>
        <v>No</v>
      </c>
      <c r="Q261" s="1" t="str">
        <f>IF(Back_End_Data!P261="Completed","Yes","No")</f>
        <v>No</v>
      </c>
      <c r="R261" s="1" t="s">
        <v>2369</v>
      </c>
      <c r="S261" s="1" t="str">
        <f>IF(Back_End_Data!R261="Completed","Yes","No")</f>
        <v>No</v>
      </c>
      <c r="T261" s="1" t="str">
        <f>IF(Back_End_Data!S261="Yes","Yes","No")</f>
        <v>No</v>
      </c>
      <c r="U261" s="1" t="str">
        <f>IF(Back_End_Data!Q260="Completed","Yes","No")</f>
        <v>No</v>
      </c>
      <c r="V261" s="1" t="e">
        <f ca="1">IF(INDEX(MIS_Backend_Data!L:L, MATCH(D261, MIS_Backend_Data!B:B, 1)) = "WT", "Yes", "No")</f>
        <v>#N/A</v>
      </c>
      <c r="W261" s="2" t="str">
        <f t="shared" ca="1" si="12"/>
        <v/>
      </c>
      <c r="AA261" s="1">
        <f t="shared" ca="1" si="13"/>
        <v>0</v>
      </c>
      <c r="AG261" s="1" t="str">
        <f t="shared" si="14"/>
        <v/>
      </c>
    </row>
    <row r="262" spans="1:33" ht="20.25" customHeight="1">
      <c r="A262" s="13">
        <v>261</v>
      </c>
      <c r="H262" s="1" t="str">
        <f>IF(Back_End_Data!G262="Completed","Yes","No")</f>
        <v>No</v>
      </c>
      <c r="I262" s="1" t="str">
        <f>IF(Back_End_Data!I262="Completed","Yes","No")</f>
        <v>No</v>
      </c>
      <c r="J262" s="1" t="str">
        <f>IF(Back_End_Data!J262="Completed","Yes","No")</f>
        <v>No</v>
      </c>
      <c r="K262" s="1" t="str">
        <f>IF(Back_End_Data!K262="Completed","Yes","No")</f>
        <v>No</v>
      </c>
      <c r="L262" s="1" t="str">
        <f>IF(Back_End_Data!L262="", "No", Back_End_Data!L262)</f>
        <v>No</v>
      </c>
      <c r="M262" s="1" t="str">
        <f>IF(Back_End_Data!N262="", "No", Back_End_Data!N262)</f>
        <v>No</v>
      </c>
      <c r="N262" s="1" t="str">
        <f>IF(Back_End_Data!M262="", "No", Back_End_Data!M262)</f>
        <v>No</v>
      </c>
      <c r="O262" s="1" t="str">
        <f>IF(Back_End_Data!O262="Completed","Yes","No")</f>
        <v>No</v>
      </c>
      <c r="P262" s="1" t="str">
        <f>IF(Back_End_Data!H262="Completed","Yes","No")</f>
        <v>No</v>
      </c>
      <c r="Q262" s="1" t="str">
        <f>IF(Back_End_Data!P262="Completed","Yes","No")</f>
        <v>No</v>
      </c>
      <c r="R262" s="1" t="s">
        <v>2369</v>
      </c>
      <c r="S262" s="1" t="str">
        <f>IF(Back_End_Data!R262="Completed","Yes","No")</f>
        <v>No</v>
      </c>
      <c r="T262" s="1" t="str">
        <f>IF(Back_End_Data!S262="Yes","Yes","No")</f>
        <v>No</v>
      </c>
      <c r="U262" s="1" t="str">
        <f>IF(Back_End_Data!Q261="Completed","Yes","No")</f>
        <v>No</v>
      </c>
      <c r="V262" s="1" t="e">
        <f ca="1">IF(INDEX(MIS_Backend_Data!L:L, MATCH(D262, MIS_Backend_Data!B:B, 1)) = "WT", "Yes", "No")</f>
        <v>#N/A</v>
      </c>
      <c r="W262" s="2" t="str">
        <f t="shared" ca="1" si="12"/>
        <v/>
      </c>
      <c r="AA262" s="1">
        <f t="shared" ca="1" si="13"/>
        <v>0</v>
      </c>
      <c r="AG262" s="1" t="str">
        <f t="shared" si="14"/>
        <v/>
      </c>
    </row>
    <row r="263" spans="1:33" ht="20.25" customHeight="1">
      <c r="A263" s="13">
        <v>262</v>
      </c>
      <c r="H263" s="1" t="str">
        <f>IF(Back_End_Data!G263="Completed","Yes","No")</f>
        <v>No</v>
      </c>
      <c r="I263" s="1" t="str">
        <f>IF(Back_End_Data!I263="Completed","Yes","No")</f>
        <v>No</v>
      </c>
      <c r="J263" s="1" t="str">
        <f>IF(Back_End_Data!J263="Completed","Yes","No")</f>
        <v>No</v>
      </c>
      <c r="K263" s="1" t="str">
        <f>IF(Back_End_Data!K263="Completed","Yes","No")</f>
        <v>No</v>
      </c>
      <c r="L263" s="1" t="str">
        <f>IF(Back_End_Data!L263="", "No", Back_End_Data!L263)</f>
        <v>No</v>
      </c>
      <c r="M263" s="1" t="str">
        <f>IF(Back_End_Data!N263="", "No", Back_End_Data!N263)</f>
        <v>No</v>
      </c>
      <c r="N263" s="1" t="str">
        <f>IF(Back_End_Data!M263="", "No", Back_End_Data!M263)</f>
        <v>No</v>
      </c>
      <c r="O263" s="1" t="str">
        <f>IF(Back_End_Data!O263="Completed","Yes","No")</f>
        <v>No</v>
      </c>
      <c r="P263" s="1" t="str">
        <f>IF(Back_End_Data!H263="Completed","Yes","No")</f>
        <v>No</v>
      </c>
      <c r="Q263" s="1" t="str">
        <f>IF(Back_End_Data!P263="Completed","Yes","No")</f>
        <v>No</v>
      </c>
      <c r="R263" s="1" t="s">
        <v>2369</v>
      </c>
      <c r="S263" s="1" t="str">
        <f>IF(Back_End_Data!R263="Completed","Yes","No")</f>
        <v>No</v>
      </c>
      <c r="T263" s="1" t="str">
        <f>IF(Back_End_Data!S263="Yes","Yes","No")</f>
        <v>No</v>
      </c>
      <c r="U263" s="1" t="str">
        <f>IF(Back_End_Data!Q262="Completed","Yes","No")</f>
        <v>No</v>
      </c>
      <c r="V263" s="1" t="e">
        <f ca="1">IF(INDEX(MIS_Backend_Data!L:L, MATCH(D263, MIS_Backend_Data!B:B, 1)) = "WT", "Yes", "No")</f>
        <v>#N/A</v>
      </c>
      <c r="W263" s="2" t="str">
        <f t="shared" ca="1" si="12"/>
        <v/>
      </c>
      <c r="AA263" s="1">
        <f t="shared" ca="1" si="13"/>
        <v>0</v>
      </c>
      <c r="AG263" s="1" t="str">
        <f t="shared" si="14"/>
        <v/>
      </c>
    </row>
    <row r="264" spans="1:33" ht="20.25" customHeight="1">
      <c r="A264" s="13">
        <v>263</v>
      </c>
      <c r="H264" s="1" t="str">
        <f>IF(Back_End_Data!G264="Completed","Yes","No")</f>
        <v>No</v>
      </c>
      <c r="I264" s="1" t="str">
        <f>IF(Back_End_Data!I264="Completed","Yes","No")</f>
        <v>No</v>
      </c>
      <c r="J264" s="1" t="str">
        <f>IF(Back_End_Data!J264="Completed","Yes","No")</f>
        <v>No</v>
      </c>
      <c r="K264" s="1" t="str">
        <f>IF(Back_End_Data!K264="Completed","Yes","No")</f>
        <v>No</v>
      </c>
      <c r="L264" s="1" t="str">
        <f>IF(Back_End_Data!L264="", "No", Back_End_Data!L264)</f>
        <v>No</v>
      </c>
      <c r="M264" s="1" t="str">
        <f>IF(Back_End_Data!N264="", "No", Back_End_Data!N264)</f>
        <v>No</v>
      </c>
      <c r="N264" s="1" t="str">
        <f>IF(Back_End_Data!M264="", "No", Back_End_Data!M264)</f>
        <v>No</v>
      </c>
      <c r="O264" s="1" t="str">
        <f>IF(Back_End_Data!O264="Completed","Yes","No")</f>
        <v>No</v>
      </c>
      <c r="P264" s="1" t="str">
        <f>IF(Back_End_Data!H264="Completed","Yes","No")</f>
        <v>No</v>
      </c>
      <c r="Q264" s="1" t="str">
        <f>IF(Back_End_Data!P264="Completed","Yes","No")</f>
        <v>No</v>
      </c>
      <c r="R264" s="1" t="s">
        <v>2369</v>
      </c>
      <c r="S264" s="1" t="str">
        <f>IF(Back_End_Data!R264="Completed","Yes","No")</f>
        <v>No</v>
      </c>
      <c r="T264" s="1" t="str">
        <f>IF(Back_End_Data!S264="Yes","Yes","No")</f>
        <v>No</v>
      </c>
      <c r="U264" s="1" t="str">
        <f>IF(Back_End_Data!Q263="Completed","Yes","No")</f>
        <v>No</v>
      </c>
      <c r="V264" s="1" t="e">
        <f ca="1">IF(INDEX(MIS_Backend_Data!L:L, MATCH(D264, MIS_Backend_Data!B:B, 1)) = "WT", "Yes", "No")</f>
        <v>#N/A</v>
      </c>
      <c r="W264" s="2" t="str">
        <f t="shared" ca="1" si="12"/>
        <v/>
      </c>
      <c r="AA264" s="1">
        <f t="shared" ca="1" si="13"/>
        <v>0</v>
      </c>
      <c r="AG264" s="1" t="str">
        <f t="shared" si="14"/>
        <v/>
      </c>
    </row>
    <row r="265" spans="1:33" ht="20.25" customHeight="1">
      <c r="A265" s="13">
        <v>264</v>
      </c>
      <c r="H265" s="1" t="str">
        <f>IF(Back_End_Data!G265="Completed","Yes","No")</f>
        <v>No</v>
      </c>
      <c r="I265" s="1" t="str">
        <f>IF(Back_End_Data!I265="Completed","Yes","No")</f>
        <v>No</v>
      </c>
      <c r="J265" s="1" t="str">
        <f>IF(Back_End_Data!J265="Completed","Yes","No")</f>
        <v>No</v>
      </c>
      <c r="K265" s="1" t="str">
        <f>IF(Back_End_Data!K265="Completed","Yes","No")</f>
        <v>No</v>
      </c>
      <c r="L265" s="1" t="str">
        <f>IF(Back_End_Data!L265="", "No", Back_End_Data!L265)</f>
        <v>No</v>
      </c>
      <c r="M265" s="1" t="str">
        <f>IF(Back_End_Data!N265="", "No", Back_End_Data!N265)</f>
        <v>No</v>
      </c>
      <c r="N265" s="1" t="str">
        <f>IF(Back_End_Data!M265="", "No", Back_End_Data!M265)</f>
        <v>No</v>
      </c>
      <c r="O265" s="1" t="str">
        <f>IF(Back_End_Data!O265="Completed","Yes","No")</f>
        <v>No</v>
      </c>
      <c r="P265" s="1" t="str">
        <f>IF(Back_End_Data!H265="Completed","Yes","No")</f>
        <v>No</v>
      </c>
      <c r="Q265" s="1" t="str">
        <f>IF(Back_End_Data!P265="Completed","Yes","No")</f>
        <v>No</v>
      </c>
      <c r="R265" s="1" t="s">
        <v>2369</v>
      </c>
      <c r="S265" s="1" t="str">
        <f>IF(Back_End_Data!R265="Completed","Yes","No")</f>
        <v>No</v>
      </c>
      <c r="T265" s="1" t="str">
        <f>IF(Back_End_Data!S265="Yes","Yes","No")</f>
        <v>No</v>
      </c>
      <c r="U265" s="1" t="str">
        <f>IF(Back_End_Data!Q264="Completed","Yes","No")</f>
        <v>No</v>
      </c>
      <c r="V265" s="1" t="e">
        <f ca="1">IF(INDEX(MIS_Backend_Data!L:L, MATCH(D265, MIS_Backend_Data!B:B, 1)) = "WT", "Yes", "No")</f>
        <v>#N/A</v>
      </c>
      <c r="W265" s="2" t="str">
        <f t="shared" ca="1" si="12"/>
        <v/>
      </c>
      <c r="AA265" s="1">
        <f t="shared" ca="1" si="13"/>
        <v>0</v>
      </c>
      <c r="AG265" s="1" t="str">
        <f t="shared" si="14"/>
        <v/>
      </c>
    </row>
    <row r="266" spans="1:33" ht="20.25" customHeight="1">
      <c r="A266" s="13">
        <v>265</v>
      </c>
      <c r="H266" s="1" t="str">
        <f>IF(Back_End_Data!G266="Completed","Yes","No")</f>
        <v>No</v>
      </c>
      <c r="I266" s="1" t="str">
        <f>IF(Back_End_Data!I266="Completed","Yes","No")</f>
        <v>No</v>
      </c>
      <c r="J266" s="1" t="str">
        <f>IF(Back_End_Data!J266="Completed","Yes","No")</f>
        <v>No</v>
      </c>
      <c r="K266" s="1" t="str">
        <f>IF(Back_End_Data!K266="Completed","Yes","No")</f>
        <v>No</v>
      </c>
      <c r="L266" s="1" t="str">
        <f>IF(Back_End_Data!L266="", "No", Back_End_Data!L266)</f>
        <v>No</v>
      </c>
      <c r="M266" s="1" t="str">
        <f>IF(Back_End_Data!N266="", "No", Back_End_Data!N266)</f>
        <v>No</v>
      </c>
      <c r="N266" s="1" t="str">
        <f>IF(Back_End_Data!M266="", "No", Back_End_Data!M266)</f>
        <v>No</v>
      </c>
      <c r="O266" s="1" t="str">
        <f>IF(Back_End_Data!O266="Completed","Yes","No")</f>
        <v>No</v>
      </c>
      <c r="P266" s="1" t="str">
        <f>IF(Back_End_Data!H266="Completed","Yes","No")</f>
        <v>No</v>
      </c>
      <c r="Q266" s="1" t="str">
        <f>IF(Back_End_Data!P266="Completed","Yes","No")</f>
        <v>No</v>
      </c>
      <c r="R266" s="1" t="s">
        <v>2369</v>
      </c>
      <c r="S266" s="1" t="str">
        <f>IF(Back_End_Data!R266="Completed","Yes","No")</f>
        <v>No</v>
      </c>
      <c r="T266" s="1" t="str">
        <f>IF(Back_End_Data!S266="Yes","Yes","No")</f>
        <v>No</v>
      </c>
      <c r="U266" s="1" t="str">
        <f>IF(Back_End_Data!Q265="Completed","Yes","No")</f>
        <v>No</v>
      </c>
      <c r="V266" s="1" t="e">
        <f ca="1">IF(INDEX(MIS_Backend_Data!L:L, MATCH(D266, MIS_Backend_Data!B:B, 1)) = "WT", "Yes", "No")</f>
        <v>#N/A</v>
      </c>
      <c r="W266" s="2" t="str">
        <f t="shared" ca="1" si="12"/>
        <v/>
      </c>
      <c r="AA266" s="1">
        <f t="shared" ca="1" si="13"/>
        <v>0</v>
      </c>
      <c r="AG266" s="1" t="str">
        <f t="shared" si="14"/>
        <v/>
      </c>
    </row>
    <row r="267" spans="1:33" ht="20.25" customHeight="1">
      <c r="A267" s="13">
        <v>266</v>
      </c>
      <c r="H267" s="1" t="str">
        <f>IF(Back_End_Data!G267="Completed","Yes","No")</f>
        <v>No</v>
      </c>
      <c r="I267" s="1" t="str">
        <f>IF(Back_End_Data!I267="Completed","Yes","No")</f>
        <v>No</v>
      </c>
      <c r="J267" s="1" t="str">
        <f>IF(Back_End_Data!J267="Completed","Yes","No")</f>
        <v>No</v>
      </c>
      <c r="K267" s="1" t="str">
        <f>IF(Back_End_Data!K267="Completed","Yes","No")</f>
        <v>No</v>
      </c>
      <c r="L267" s="1" t="str">
        <f>IF(Back_End_Data!L267="", "No", Back_End_Data!L267)</f>
        <v>No</v>
      </c>
      <c r="M267" s="1" t="str">
        <f>IF(Back_End_Data!N267="", "No", Back_End_Data!N267)</f>
        <v>No</v>
      </c>
      <c r="N267" s="1" t="str">
        <f>IF(Back_End_Data!M267="", "No", Back_End_Data!M267)</f>
        <v>No</v>
      </c>
      <c r="O267" s="1" t="str">
        <f>IF(Back_End_Data!O267="Completed","Yes","No")</f>
        <v>No</v>
      </c>
      <c r="P267" s="1" t="str">
        <f>IF(Back_End_Data!H267="Completed","Yes","No")</f>
        <v>No</v>
      </c>
      <c r="Q267" s="1" t="str">
        <f>IF(Back_End_Data!P267="Completed","Yes","No")</f>
        <v>No</v>
      </c>
      <c r="R267" s="1" t="s">
        <v>2369</v>
      </c>
      <c r="S267" s="1" t="str">
        <f>IF(Back_End_Data!R267="Completed","Yes","No")</f>
        <v>No</v>
      </c>
      <c r="T267" s="1" t="str">
        <f>IF(Back_End_Data!S267="Yes","Yes","No")</f>
        <v>No</v>
      </c>
      <c r="U267" s="1" t="str">
        <f>IF(Back_End_Data!Q266="Completed","Yes","No")</f>
        <v>No</v>
      </c>
      <c r="V267" s="1" t="e">
        <f ca="1">IF(INDEX(MIS_Backend_Data!L:L, MATCH(D267, MIS_Backend_Data!B:B, 1)) = "WT", "Yes", "No")</f>
        <v>#N/A</v>
      </c>
      <c r="W267" s="2" t="str">
        <f t="shared" ca="1" si="12"/>
        <v/>
      </c>
      <c r="AA267" s="1">
        <f t="shared" ca="1" si="13"/>
        <v>0</v>
      </c>
      <c r="AG267" s="1" t="str">
        <f t="shared" si="14"/>
        <v/>
      </c>
    </row>
    <row r="268" spans="1:33" ht="20.25" customHeight="1">
      <c r="A268" s="13">
        <v>267</v>
      </c>
      <c r="H268" s="1" t="str">
        <f>IF(Back_End_Data!G268="Completed","Yes","No")</f>
        <v>No</v>
      </c>
      <c r="I268" s="1" t="str">
        <f>IF(Back_End_Data!I268="Completed","Yes","No")</f>
        <v>No</v>
      </c>
      <c r="J268" s="1" t="str">
        <f>IF(Back_End_Data!J268="Completed","Yes","No")</f>
        <v>No</v>
      </c>
      <c r="K268" s="1" t="str">
        <f>IF(Back_End_Data!K268="Completed","Yes","No")</f>
        <v>No</v>
      </c>
      <c r="L268" s="1" t="str">
        <f>IF(Back_End_Data!L268="", "No", Back_End_Data!L268)</f>
        <v>No</v>
      </c>
      <c r="M268" s="1" t="str">
        <f>IF(Back_End_Data!N268="", "No", Back_End_Data!N268)</f>
        <v>No</v>
      </c>
      <c r="N268" s="1" t="str">
        <f>IF(Back_End_Data!M268="", "No", Back_End_Data!M268)</f>
        <v>No</v>
      </c>
      <c r="O268" s="1" t="str">
        <f>IF(Back_End_Data!O268="Completed","Yes","No")</f>
        <v>No</v>
      </c>
      <c r="P268" s="1" t="str">
        <f>IF(Back_End_Data!H268="Completed","Yes","No")</f>
        <v>No</v>
      </c>
      <c r="Q268" s="1" t="str">
        <f>IF(Back_End_Data!P268="Completed","Yes","No")</f>
        <v>No</v>
      </c>
      <c r="R268" s="1" t="s">
        <v>2369</v>
      </c>
      <c r="S268" s="1" t="str">
        <f>IF(Back_End_Data!R268="Completed","Yes","No")</f>
        <v>No</v>
      </c>
      <c r="T268" s="1" t="str">
        <f>IF(Back_End_Data!S268="Yes","Yes","No")</f>
        <v>No</v>
      </c>
      <c r="U268" s="1" t="str">
        <f>IF(Back_End_Data!Q267="Completed","Yes","No")</f>
        <v>No</v>
      </c>
      <c r="V268" s="1" t="e">
        <f ca="1">IF(INDEX(MIS_Backend_Data!L:L, MATCH(D268, MIS_Backend_Data!B:B, 1)) = "WT", "Yes", "No")</f>
        <v>#N/A</v>
      </c>
      <c r="W268" s="2" t="str">
        <f t="shared" ca="1" si="12"/>
        <v/>
      </c>
      <c r="AA268" s="1">
        <f t="shared" ca="1" si="13"/>
        <v>0</v>
      </c>
      <c r="AG268" s="1" t="str">
        <f t="shared" si="14"/>
        <v/>
      </c>
    </row>
    <row r="269" spans="1:33" ht="20.25" customHeight="1">
      <c r="A269" s="13">
        <v>268</v>
      </c>
      <c r="H269" s="1" t="str">
        <f>IF(Back_End_Data!G269="Completed","Yes","No")</f>
        <v>No</v>
      </c>
      <c r="I269" s="1" t="str">
        <f>IF(Back_End_Data!I269="Completed","Yes","No")</f>
        <v>No</v>
      </c>
      <c r="J269" s="1" t="str">
        <f>IF(Back_End_Data!J269="Completed","Yes","No")</f>
        <v>No</v>
      </c>
      <c r="K269" s="1" t="str">
        <f>IF(Back_End_Data!K269="Completed","Yes","No")</f>
        <v>No</v>
      </c>
      <c r="L269" s="1" t="str">
        <f>IF(Back_End_Data!L269="", "No", Back_End_Data!L269)</f>
        <v>No</v>
      </c>
      <c r="M269" s="1" t="str">
        <f>IF(Back_End_Data!N269="", "No", Back_End_Data!N269)</f>
        <v>No</v>
      </c>
      <c r="N269" s="1" t="str">
        <f>IF(Back_End_Data!M269="", "No", Back_End_Data!M269)</f>
        <v>No</v>
      </c>
      <c r="O269" s="1" t="str">
        <f>IF(Back_End_Data!O269="Completed","Yes","No")</f>
        <v>No</v>
      </c>
      <c r="P269" s="1" t="str">
        <f>IF(Back_End_Data!H269="Completed","Yes","No")</f>
        <v>No</v>
      </c>
      <c r="Q269" s="1" t="str">
        <f>IF(Back_End_Data!P269="Completed","Yes","No")</f>
        <v>No</v>
      </c>
      <c r="R269" s="1" t="s">
        <v>2369</v>
      </c>
      <c r="S269" s="1" t="str">
        <f>IF(Back_End_Data!R269="Completed","Yes","No")</f>
        <v>No</v>
      </c>
      <c r="T269" s="1" t="str">
        <f>IF(Back_End_Data!S269="Yes","Yes","No")</f>
        <v>No</v>
      </c>
      <c r="U269" s="1" t="str">
        <f>IF(Back_End_Data!Q268="Completed","Yes","No")</f>
        <v>No</v>
      </c>
      <c r="V269" s="1" t="e">
        <f ca="1">IF(INDEX(MIS_Backend_Data!L:L, MATCH(D269, MIS_Backend_Data!B:B, 1)) = "WT", "Yes", "No")</f>
        <v>#N/A</v>
      </c>
      <c r="W269" s="2" t="str">
        <f t="shared" ca="1" si="12"/>
        <v/>
      </c>
      <c r="AA269" s="1">
        <f t="shared" ca="1" si="13"/>
        <v>0</v>
      </c>
      <c r="AG269" s="1" t="str">
        <f t="shared" si="14"/>
        <v/>
      </c>
    </row>
    <row r="270" spans="1:33" ht="20.25" customHeight="1">
      <c r="A270" s="13">
        <v>269</v>
      </c>
      <c r="H270" s="1" t="str">
        <f>IF(Back_End_Data!G270="Completed","Yes","No")</f>
        <v>No</v>
      </c>
      <c r="I270" s="1" t="str">
        <f>IF(Back_End_Data!I270="Completed","Yes","No")</f>
        <v>No</v>
      </c>
      <c r="J270" s="1" t="str">
        <f>IF(Back_End_Data!J270="Completed","Yes","No")</f>
        <v>No</v>
      </c>
      <c r="K270" s="1" t="str">
        <f>IF(Back_End_Data!K270="Completed","Yes","No")</f>
        <v>No</v>
      </c>
      <c r="L270" s="1" t="str">
        <f>IF(Back_End_Data!L270="", "No", Back_End_Data!L270)</f>
        <v>No</v>
      </c>
      <c r="M270" s="1" t="str">
        <f>IF(Back_End_Data!N270="", "No", Back_End_Data!N270)</f>
        <v>No</v>
      </c>
      <c r="N270" s="1" t="str">
        <f>IF(Back_End_Data!M270="", "No", Back_End_Data!M270)</f>
        <v>No</v>
      </c>
      <c r="O270" s="1" t="str">
        <f>IF(Back_End_Data!O270="Completed","Yes","No")</f>
        <v>No</v>
      </c>
      <c r="P270" s="1" t="str">
        <f>IF(Back_End_Data!H270="Completed","Yes","No")</f>
        <v>No</v>
      </c>
      <c r="Q270" s="1" t="str">
        <f>IF(Back_End_Data!P270="Completed","Yes","No")</f>
        <v>No</v>
      </c>
      <c r="R270" s="1" t="s">
        <v>2369</v>
      </c>
      <c r="S270" s="1" t="str">
        <f>IF(Back_End_Data!R270="Completed","Yes","No")</f>
        <v>No</v>
      </c>
      <c r="T270" s="1" t="str">
        <f>IF(Back_End_Data!S270="Yes","Yes","No")</f>
        <v>No</v>
      </c>
      <c r="U270" s="1" t="str">
        <f>IF(Back_End_Data!Q269="Completed","Yes","No")</f>
        <v>No</v>
      </c>
      <c r="V270" s="1" t="e">
        <f ca="1">IF(INDEX(MIS_Backend_Data!L:L, MATCH(D270, MIS_Backend_Data!B:B, 1)) = "WT", "Yes", "No")</f>
        <v>#N/A</v>
      </c>
      <c r="W270" s="2" t="str">
        <f t="shared" ca="1" si="12"/>
        <v/>
      </c>
      <c r="AA270" s="1">
        <f t="shared" ca="1" si="13"/>
        <v>0</v>
      </c>
      <c r="AG270" s="1" t="str">
        <f t="shared" si="14"/>
        <v/>
      </c>
    </row>
    <row r="271" spans="1:33" ht="20.25" customHeight="1">
      <c r="A271" s="13">
        <v>270</v>
      </c>
      <c r="H271" s="1" t="str">
        <f>IF(Back_End_Data!G271="Completed","Yes","No")</f>
        <v>No</v>
      </c>
      <c r="I271" s="1" t="str">
        <f>IF(Back_End_Data!I271="Completed","Yes","No")</f>
        <v>No</v>
      </c>
      <c r="J271" s="1" t="str">
        <f>IF(Back_End_Data!J271="Completed","Yes","No")</f>
        <v>No</v>
      </c>
      <c r="K271" s="1" t="str">
        <f>IF(Back_End_Data!K271="Completed","Yes","No")</f>
        <v>No</v>
      </c>
      <c r="L271" s="1" t="str">
        <f>IF(Back_End_Data!L271="", "No", Back_End_Data!L271)</f>
        <v>No</v>
      </c>
      <c r="M271" s="1" t="str">
        <f>IF(Back_End_Data!N271="", "No", Back_End_Data!N271)</f>
        <v>No</v>
      </c>
      <c r="N271" s="1" t="str">
        <f>IF(Back_End_Data!M271="", "No", Back_End_Data!M271)</f>
        <v>No</v>
      </c>
      <c r="O271" s="1" t="str">
        <f>IF(Back_End_Data!O271="Completed","Yes","No")</f>
        <v>No</v>
      </c>
      <c r="P271" s="1" t="str">
        <f>IF(Back_End_Data!H271="Completed","Yes","No")</f>
        <v>No</v>
      </c>
      <c r="Q271" s="1" t="str">
        <f>IF(Back_End_Data!P271="Completed","Yes","No")</f>
        <v>No</v>
      </c>
      <c r="R271" s="1" t="s">
        <v>2369</v>
      </c>
      <c r="S271" s="1" t="str">
        <f>IF(Back_End_Data!R271="Completed","Yes","No")</f>
        <v>No</v>
      </c>
      <c r="T271" s="1" t="str">
        <f>IF(Back_End_Data!S271="Yes","Yes","No")</f>
        <v>No</v>
      </c>
      <c r="U271" s="1" t="str">
        <f>IF(Back_End_Data!Q270="Completed","Yes","No")</f>
        <v>No</v>
      </c>
      <c r="V271" s="1" t="e">
        <f ca="1">IF(INDEX(MIS_Backend_Data!L:L, MATCH(D271, MIS_Backend_Data!B:B, 1)) = "WT", "Yes", "No")</f>
        <v>#N/A</v>
      </c>
      <c r="W271" s="2" t="str">
        <f t="shared" ca="1" si="12"/>
        <v/>
      </c>
      <c r="AA271" s="1">
        <f t="shared" ca="1" si="13"/>
        <v>0</v>
      </c>
      <c r="AG271" s="1" t="str">
        <f t="shared" si="14"/>
        <v/>
      </c>
    </row>
    <row r="272" spans="1:33" ht="20.25" customHeight="1">
      <c r="A272" s="13">
        <v>271</v>
      </c>
      <c r="H272" s="1" t="str">
        <f>IF(Back_End_Data!G272="Completed","Yes","No")</f>
        <v>No</v>
      </c>
      <c r="I272" s="1" t="str">
        <f>IF(Back_End_Data!I272="Completed","Yes","No")</f>
        <v>No</v>
      </c>
      <c r="J272" s="1" t="str">
        <f>IF(Back_End_Data!J272="Completed","Yes","No")</f>
        <v>No</v>
      </c>
      <c r="K272" s="1" t="str">
        <f>IF(Back_End_Data!K272="Completed","Yes","No")</f>
        <v>No</v>
      </c>
      <c r="L272" s="1" t="str">
        <f>IF(Back_End_Data!L272="", "No", Back_End_Data!L272)</f>
        <v>No</v>
      </c>
      <c r="M272" s="1" t="str">
        <f>IF(Back_End_Data!N272="", "No", Back_End_Data!N272)</f>
        <v>No</v>
      </c>
      <c r="N272" s="1" t="str">
        <f>IF(Back_End_Data!M272="", "No", Back_End_Data!M272)</f>
        <v>No</v>
      </c>
      <c r="O272" s="1" t="str">
        <f>IF(Back_End_Data!O272="Completed","Yes","No")</f>
        <v>No</v>
      </c>
      <c r="P272" s="1" t="str">
        <f>IF(Back_End_Data!H272="Completed","Yes","No")</f>
        <v>No</v>
      </c>
      <c r="Q272" s="1" t="str">
        <f>IF(Back_End_Data!P272="Completed","Yes","No")</f>
        <v>No</v>
      </c>
      <c r="R272" s="1" t="s">
        <v>2369</v>
      </c>
      <c r="S272" s="1" t="str">
        <f>IF(Back_End_Data!R272="Completed","Yes","No")</f>
        <v>No</v>
      </c>
      <c r="T272" s="1" t="str">
        <f>IF(Back_End_Data!S272="Yes","Yes","No")</f>
        <v>No</v>
      </c>
      <c r="U272" s="1" t="str">
        <f>IF(Back_End_Data!Q271="Completed","Yes","No")</f>
        <v>No</v>
      </c>
      <c r="V272" s="1" t="e">
        <f ca="1">IF(INDEX(MIS_Backend_Data!L:L, MATCH(D272, MIS_Backend_Data!B:B, 1)) = "WT", "Yes", "No")</f>
        <v>#N/A</v>
      </c>
      <c r="W272" s="2" t="str">
        <f t="shared" ca="1" si="12"/>
        <v/>
      </c>
      <c r="AA272" s="1">
        <f t="shared" ca="1" si="13"/>
        <v>0</v>
      </c>
      <c r="AG272" s="1" t="str">
        <f t="shared" si="14"/>
        <v/>
      </c>
    </row>
    <row r="273" spans="1:33" ht="20.25" customHeight="1">
      <c r="A273" s="13">
        <v>272</v>
      </c>
      <c r="H273" s="1" t="str">
        <f>IF(Back_End_Data!G273="Completed","Yes","No")</f>
        <v>No</v>
      </c>
      <c r="I273" s="1" t="str">
        <f>IF(Back_End_Data!I273="Completed","Yes","No")</f>
        <v>No</v>
      </c>
      <c r="J273" s="1" t="str">
        <f>IF(Back_End_Data!J273="Completed","Yes","No")</f>
        <v>No</v>
      </c>
      <c r="K273" s="1" t="str">
        <f>IF(Back_End_Data!K273="Completed","Yes","No")</f>
        <v>No</v>
      </c>
      <c r="L273" s="1" t="str">
        <f>IF(Back_End_Data!L273="", "No", Back_End_Data!L273)</f>
        <v>No</v>
      </c>
      <c r="M273" s="1" t="str">
        <f>IF(Back_End_Data!N273="", "No", Back_End_Data!N273)</f>
        <v>No</v>
      </c>
      <c r="N273" s="1" t="str">
        <f>IF(Back_End_Data!M273="", "No", Back_End_Data!M273)</f>
        <v>No</v>
      </c>
      <c r="O273" s="1" t="str">
        <f>IF(Back_End_Data!O273="Completed","Yes","No")</f>
        <v>No</v>
      </c>
      <c r="P273" s="1" t="str">
        <f>IF(Back_End_Data!H273="Completed","Yes","No")</f>
        <v>No</v>
      </c>
      <c r="Q273" s="1" t="str">
        <f>IF(Back_End_Data!P273="Completed","Yes","No")</f>
        <v>No</v>
      </c>
      <c r="R273" s="1" t="s">
        <v>2369</v>
      </c>
      <c r="S273" s="1" t="str">
        <f>IF(Back_End_Data!R273="Completed","Yes","No")</f>
        <v>No</v>
      </c>
      <c r="T273" s="1" t="str">
        <f>IF(Back_End_Data!S273="Yes","Yes","No")</f>
        <v>No</v>
      </c>
      <c r="U273" s="1" t="str">
        <f>IF(Back_End_Data!Q272="Completed","Yes","No")</f>
        <v>No</v>
      </c>
      <c r="V273" s="1" t="e">
        <f ca="1">IF(INDEX(MIS_Backend_Data!L:L, MATCH(D273, MIS_Backend_Data!B:B, 1)) = "WT", "Yes", "No")</f>
        <v>#N/A</v>
      </c>
      <c r="W273" s="2" t="str">
        <f t="shared" ca="1" si="12"/>
        <v/>
      </c>
      <c r="AA273" s="1">
        <f t="shared" ca="1" si="13"/>
        <v>0</v>
      </c>
      <c r="AG273" s="1" t="str">
        <f t="shared" si="14"/>
        <v/>
      </c>
    </row>
    <row r="274" spans="1:33" ht="20.25" customHeight="1">
      <c r="A274" s="13">
        <v>273</v>
      </c>
      <c r="H274" s="1" t="str">
        <f>IF(Back_End_Data!G274="Completed","Yes","No")</f>
        <v>No</v>
      </c>
      <c r="I274" s="1" t="str">
        <f>IF(Back_End_Data!I274="Completed","Yes","No")</f>
        <v>No</v>
      </c>
      <c r="J274" s="1" t="str">
        <f>IF(Back_End_Data!J274="Completed","Yes","No")</f>
        <v>No</v>
      </c>
      <c r="K274" s="1" t="str">
        <f>IF(Back_End_Data!K274="Completed","Yes","No")</f>
        <v>No</v>
      </c>
      <c r="L274" s="1" t="str">
        <f>IF(Back_End_Data!L274="", "No", Back_End_Data!L274)</f>
        <v>No</v>
      </c>
      <c r="M274" s="1" t="str">
        <f>IF(Back_End_Data!N274="", "No", Back_End_Data!N274)</f>
        <v>No</v>
      </c>
      <c r="N274" s="1" t="str">
        <f>IF(Back_End_Data!M274="", "No", Back_End_Data!M274)</f>
        <v>No</v>
      </c>
      <c r="O274" s="1" t="str">
        <f>IF(Back_End_Data!O274="Completed","Yes","No")</f>
        <v>No</v>
      </c>
      <c r="P274" s="1" t="str">
        <f>IF(Back_End_Data!H274="Completed","Yes","No")</f>
        <v>No</v>
      </c>
      <c r="Q274" s="1" t="str">
        <f>IF(Back_End_Data!P274="Completed","Yes","No")</f>
        <v>No</v>
      </c>
      <c r="R274" s="1" t="s">
        <v>2369</v>
      </c>
      <c r="S274" s="1" t="str">
        <f>IF(Back_End_Data!R274="Completed","Yes","No")</f>
        <v>No</v>
      </c>
      <c r="T274" s="1" t="str">
        <f>IF(Back_End_Data!S274="Yes","Yes","No")</f>
        <v>No</v>
      </c>
      <c r="U274" s="1" t="str">
        <f>IF(Back_End_Data!Q273="Completed","Yes","No")</f>
        <v>No</v>
      </c>
      <c r="V274" s="1" t="e">
        <f ca="1">IF(INDEX(MIS_Backend_Data!L:L, MATCH(D274, MIS_Backend_Data!B:B, 1)) = "WT", "Yes", "No")</f>
        <v>#N/A</v>
      </c>
      <c r="W274" s="2" t="str">
        <f t="shared" ca="1" si="12"/>
        <v/>
      </c>
      <c r="AA274" s="1">
        <f t="shared" ca="1" si="13"/>
        <v>0</v>
      </c>
      <c r="AG274" s="1" t="str">
        <f t="shared" si="14"/>
        <v/>
      </c>
    </row>
    <row r="275" spans="1:33" ht="20.25" customHeight="1">
      <c r="A275" s="13">
        <v>274</v>
      </c>
      <c r="H275" s="1" t="str">
        <f>IF(Back_End_Data!G275="Completed","Yes","No")</f>
        <v>No</v>
      </c>
      <c r="I275" s="1" t="str">
        <f>IF(Back_End_Data!I275="Completed","Yes","No")</f>
        <v>No</v>
      </c>
      <c r="J275" s="1" t="str">
        <f>IF(Back_End_Data!J275="Completed","Yes","No")</f>
        <v>No</v>
      </c>
      <c r="K275" s="1" t="str">
        <f>IF(Back_End_Data!K275="Completed","Yes","No")</f>
        <v>No</v>
      </c>
      <c r="L275" s="1" t="str">
        <f>IF(Back_End_Data!L275="", "No", Back_End_Data!L275)</f>
        <v>No</v>
      </c>
      <c r="M275" s="1" t="str">
        <f>IF(Back_End_Data!N275="", "No", Back_End_Data!N275)</f>
        <v>No</v>
      </c>
      <c r="N275" s="1" t="str">
        <f>IF(Back_End_Data!M275="", "No", Back_End_Data!M275)</f>
        <v>No</v>
      </c>
      <c r="O275" s="1" t="str">
        <f>IF(Back_End_Data!O275="Completed","Yes","No")</f>
        <v>No</v>
      </c>
      <c r="P275" s="1" t="str">
        <f>IF(Back_End_Data!H275="Completed","Yes","No")</f>
        <v>No</v>
      </c>
      <c r="Q275" s="1" t="str">
        <f>IF(Back_End_Data!P275="Completed","Yes","No")</f>
        <v>No</v>
      </c>
      <c r="R275" s="1" t="s">
        <v>2369</v>
      </c>
      <c r="S275" s="1" t="str">
        <f>IF(Back_End_Data!R275="Completed","Yes","No")</f>
        <v>No</v>
      </c>
      <c r="T275" s="1" t="str">
        <f>IF(Back_End_Data!S275="Yes","Yes","No")</f>
        <v>No</v>
      </c>
      <c r="U275" s="1" t="str">
        <f>IF(Back_End_Data!Q274="Completed","Yes","No")</f>
        <v>No</v>
      </c>
      <c r="V275" s="1" t="e">
        <f ca="1">IF(INDEX(MIS_Backend_Data!L:L, MATCH(D275, MIS_Backend_Data!B:B, 1)) = "WT", "Yes", "No")</f>
        <v>#N/A</v>
      </c>
      <c r="W275" s="2" t="str">
        <f t="shared" ca="1" si="12"/>
        <v/>
      </c>
      <c r="AA275" s="1">
        <f t="shared" ca="1" si="13"/>
        <v>0</v>
      </c>
      <c r="AG275" s="1" t="str">
        <f t="shared" si="14"/>
        <v/>
      </c>
    </row>
    <row r="276" spans="1:33" ht="20.25" customHeight="1">
      <c r="A276" s="13">
        <v>275</v>
      </c>
      <c r="H276" s="1" t="str">
        <f>IF(Back_End_Data!G276="Completed","Yes","No")</f>
        <v>No</v>
      </c>
      <c r="I276" s="1" t="str">
        <f>IF(Back_End_Data!I276="Completed","Yes","No")</f>
        <v>No</v>
      </c>
      <c r="J276" s="1" t="str">
        <f>IF(Back_End_Data!J276="Completed","Yes","No")</f>
        <v>No</v>
      </c>
      <c r="K276" s="1" t="str">
        <f>IF(Back_End_Data!K276="Completed","Yes","No")</f>
        <v>No</v>
      </c>
      <c r="L276" s="1" t="str">
        <f>IF(Back_End_Data!L276="", "No", Back_End_Data!L276)</f>
        <v>No</v>
      </c>
      <c r="M276" s="1" t="str">
        <f>IF(Back_End_Data!N276="", "No", Back_End_Data!N276)</f>
        <v>No</v>
      </c>
      <c r="N276" s="1" t="str">
        <f>IF(Back_End_Data!M276="", "No", Back_End_Data!M276)</f>
        <v>No</v>
      </c>
      <c r="O276" s="1" t="str">
        <f>IF(Back_End_Data!O276="Completed","Yes","No")</f>
        <v>No</v>
      </c>
      <c r="P276" s="1" t="str">
        <f>IF(Back_End_Data!H276="Completed","Yes","No")</f>
        <v>No</v>
      </c>
      <c r="Q276" s="1" t="str">
        <f>IF(Back_End_Data!P276="Completed","Yes","No")</f>
        <v>No</v>
      </c>
      <c r="R276" s="1" t="s">
        <v>2369</v>
      </c>
      <c r="S276" s="1" t="str">
        <f>IF(Back_End_Data!R276="Completed","Yes","No")</f>
        <v>No</v>
      </c>
      <c r="T276" s="1" t="str">
        <f>IF(Back_End_Data!S276="Yes","Yes","No")</f>
        <v>No</v>
      </c>
      <c r="U276" s="1" t="str">
        <f>IF(Back_End_Data!Q275="Completed","Yes","No")</f>
        <v>No</v>
      </c>
      <c r="V276" s="1" t="e">
        <f ca="1">IF(INDEX(MIS_Backend_Data!L:L, MATCH(D276, MIS_Backend_Data!B:B, 1)) = "WT", "Yes", "No")</f>
        <v>#N/A</v>
      </c>
      <c r="W276" s="2" t="str">
        <f t="shared" ca="1" si="12"/>
        <v/>
      </c>
      <c r="AA276" s="1">
        <f t="shared" ca="1" si="13"/>
        <v>0</v>
      </c>
      <c r="AG276" s="1" t="str">
        <f t="shared" si="14"/>
        <v/>
      </c>
    </row>
    <row r="277" spans="1:33" ht="20.25" customHeight="1">
      <c r="A277" s="13">
        <v>276</v>
      </c>
      <c r="H277" s="1" t="str">
        <f>IF(Back_End_Data!G277="Completed","Yes","No")</f>
        <v>No</v>
      </c>
      <c r="I277" s="1" t="str">
        <f>IF(Back_End_Data!I277="Completed","Yes","No")</f>
        <v>No</v>
      </c>
      <c r="J277" s="1" t="str">
        <f>IF(Back_End_Data!J277="Completed","Yes","No")</f>
        <v>No</v>
      </c>
      <c r="K277" s="1" t="str">
        <f>IF(Back_End_Data!K277="Completed","Yes","No")</f>
        <v>No</v>
      </c>
      <c r="L277" s="1" t="str">
        <f>IF(Back_End_Data!L277="", "No", Back_End_Data!L277)</f>
        <v>No</v>
      </c>
      <c r="M277" s="1" t="str">
        <f>IF(Back_End_Data!N277="", "No", Back_End_Data!N277)</f>
        <v>No</v>
      </c>
      <c r="N277" s="1" t="str">
        <f>IF(Back_End_Data!M277="", "No", Back_End_Data!M277)</f>
        <v>No</v>
      </c>
      <c r="O277" s="1" t="str">
        <f>IF(Back_End_Data!O277="Completed","Yes","No")</f>
        <v>No</v>
      </c>
      <c r="P277" s="1" t="str">
        <f>IF(Back_End_Data!H277="Completed","Yes","No")</f>
        <v>No</v>
      </c>
      <c r="Q277" s="1" t="str">
        <f>IF(Back_End_Data!P277="Completed","Yes","No")</f>
        <v>No</v>
      </c>
      <c r="R277" s="1" t="s">
        <v>2369</v>
      </c>
      <c r="S277" s="1" t="str">
        <f>IF(Back_End_Data!R277="Completed","Yes","No")</f>
        <v>No</v>
      </c>
      <c r="T277" s="1" t="str">
        <f>IF(Back_End_Data!S277="Yes","Yes","No")</f>
        <v>No</v>
      </c>
      <c r="U277" s="1" t="str">
        <f>IF(Back_End_Data!Q276="Completed","Yes","No")</f>
        <v>No</v>
      </c>
      <c r="V277" s="1" t="e">
        <f ca="1">IF(INDEX(MIS_Backend_Data!L:L, MATCH(D277, MIS_Backend_Data!B:B, 1)) = "WT", "Yes", "No")</f>
        <v>#N/A</v>
      </c>
      <c r="W277" s="2" t="str">
        <f t="shared" ca="1" si="12"/>
        <v/>
      </c>
      <c r="AA277" s="1">
        <f t="shared" ca="1" si="13"/>
        <v>0</v>
      </c>
      <c r="AG277" s="1" t="str">
        <f t="shared" si="14"/>
        <v/>
      </c>
    </row>
    <row r="278" spans="1:33" ht="20.25" customHeight="1">
      <c r="A278" s="13">
        <v>277</v>
      </c>
      <c r="H278" s="1" t="str">
        <f>IF(Back_End_Data!G278="Completed","Yes","No")</f>
        <v>No</v>
      </c>
      <c r="I278" s="1" t="str">
        <f>IF(Back_End_Data!I278="Completed","Yes","No")</f>
        <v>No</v>
      </c>
      <c r="J278" s="1" t="str">
        <f>IF(Back_End_Data!J278="Completed","Yes","No")</f>
        <v>No</v>
      </c>
      <c r="K278" s="1" t="str">
        <f>IF(Back_End_Data!K278="Completed","Yes","No")</f>
        <v>No</v>
      </c>
      <c r="L278" s="1" t="str">
        <f>IF(Back_End_Data!L278="", "No", Back_End_Data!L278)</f>
        <v>No</v>
      </c>
      <c r="M278" s="1" t="str">
        <f>IF(Back_End_Data!N278="", "No", Back_End_Data!N278)</f>
        <v>No</v>
      </c>
      <c r="N278" s="1" t="str">
        <f>IF(Back_End_Data!M278="", "No", Back_End_Data!M278)</f>
        <v>No</v>
      </c>
      <c r="O278" s="1" t="str">
        <f>IF(Back_End_Data!O278="Completed","Yes","No")</f>
        <v>No</v>
      </c>
      <c r="P278" s="1" t="str">
        <f>IF(Back_End_Data!H278="Completed","Yes","No")</f>
        <v>No</v>
      </c>
      <c r="Q278" s="1" t="str">
        <f>IF(Back_End_Data!P278="Completed","Yes","No")</f>
        <v>No</v>
      </c>
      <c r="R278" s="1" t="s">
        <v>2369</v>
      </c>
      <c r="S278" s="1" t="str">
        <f>IF(Back_End_Data!R278="Completed","Yes","No")</f>
        <v>No</v>
      </c>
      <c r="T278" s="1" t="str">
        <f>IF(Back_End_Data!S278="Yes","Yes","No")</f>
        <v>No</v>
      </c>
      <c r="U278" s="1" t="str">
        <f>IF(Back_End_Data!Q277="Completed","Yes","No")</f>
        <v>No</v>
      </c>
      <c r="V278" s="1" t="e">
        <f ca="1">IF(INDEX(MIS_Backend_Data!L:L, MATCH(D278, MIS_Backend_Data!B:B, 1)) = "WT", "Yes", "No")</f>
        <v>#N/A</v>
      </c>
      <c r="W278" s="2" t="str">
        <f t="shared" ca="1" si="12"/>
        <v/>
      </c>
      <c r="AA278" s="1">
        <f t="shared" ca="1" si="13"/>
        <v>0</v>
      </c>
      <c r="AG278" s="1" t="str">
        <f t="shared" si="14"/>
        <v/>
      </c>
    </row>
    <row r="279" spans="1:33" ht="20.25" customHeight="1">
      <c r="A279" s="13">
        <v>278</v>
      </c>
      <c r="H279" s="1" t="str">
        <f>IF(Back_End_Data!G279="Completed","Yes","No")</f>
        <v>No</v>
      </c>
      <c r="I279" s="1" t="str">
        <f>IF(Back_End_Data!I279="Completed","Yes","No")</f>
        <v>No</v>
      </c>
      <c r="J279" s="1" t="str">
        <f>IF(Back_End_Data!J279="Completed","Yes","No")</f>
        <v>No</v>
      </c>
      <c r="K279" s="1" t="str">
        <f>IF(Back_End_Data!K279="Completed","Yes","No")</f>
        <v>No</v>
      </c>
      <c r="L279" s="1" t="str">
        <f>IF(Back_End_Data!L279="", "No", Back_End_Data!L279)</f>
        <v>No</v>
      </c>
      <c r="M279" s="1" t="str">
        <f>IF(Back_End_Data!N279="", "No", Back_End_Data!N279)</f>
        <v>No</v>
      </c>
      <c r="N279" s="1" t="str">
        <f>IF(Back_End_Data!M279="", "No", Back_End_Data!M279)</f>
        <v>No</v>
      </c>
      <c r="O279" s="1" t="str">
        <f>IF(Back_End_Data!O279="Completed","Yes","No")</f>
        <v>No</v>
      </c>
      <c r="P279" s="1" t="str">
        <f>IF(Back_End_Data!H279="Completed","Yes","No")</f>
        <v>No</v>
      </c>
      <c r="Q279" s="1" t="str">
        <f>IF(Back_End_Data!P279="Completed","Yes","No")</f>
        <v>No</v>
      </c>
      <c r="R279" s="1" t="s">
        <v>2369</v>
      </c>
      <c r="S279" s="1" t="str">
        <f>IF(Back_End_Data!R279="Completed","Yes","No")</f>
        <v>No</v>
      </c>
      <c r="T279" s="1" t="str">
        <f>IF(Back_End_Data!S279="Yes","Yes","No")</f>
        <v>No</v>
      </c>
      <c r="U279" s="1" t="str">
        <f>IF(Back_End_Data!Q278="Completed","Yes","No")</f>
        <v>No</v>
      </c>
      <c r="V279" s="1" t="e">
        <f ca="1">IF(INDEX(MIS_Backend_Data!L:L, MATCH(D279, MIS_Backend_Data!B:B, 1)) = "WT", "Yes", "No")</f>
        <v>#N/A</v>
      </c>
      <c r="W279" s="2" t="str">
        <f t="shared" ca="1" si="12"/>
        <v/>
      </c>
      <c r="AA279" s="1">
        <f t="shared" ca="1" si="13"/>
        <v>0</v>
      </c>
      <c r="AG279" s="1" t="str">
        <f t="shared" si="14"/>
        <v/>
      </c>
    </row>
    <row r="280" spans="1:33" ht="20.25" customHeight="1">
      <c r="A280" s="13">
        <v>279</v>
      </c>
      <c r="H280" s="1" t="str">
        <f>IF(Back_End_Data!G280="Completed","Yes","No")</f>
        <v>No</v>
      </c>
      <c r="I280" s="1" t="str">
        <f>IF(Back_End_Data!I280="Completed","Yes","No")</f>
        <v>No</v>
      </c>
      <c r="J280" s="1" t="str">
        <f>IF(Back_End_Data!J280="Completed","Yes","No")</f>
        <v>No</v>
      </c>
      <c r="K280" s="1" t="str">
        <f>IF(Back_End_Data!K280="Completed","Yes","No")</f>
        <v>No</v>
      </c>
      <c r="L280" s="1" t="str">
        <f>IF(Back_End_Data!L280="", "No", Back_End_Data!L280)</f>
        <v>No</v>
      </c>
      <c r="M280" s="1" t="str">
        <f>IF(Back_End_Data!N280="", "No", Back_End_Data!N280)</f>
        <v>No</v>
      </c>
      <c r="N280" s="1" t="str">
        <f>IF(Back_End_Data!M280="", "No", Back_End_Data!M280)</f>
        <v>No</v>
      </c>
      <c r="O280" s="1" t="str">
        <f>IF(Back_End_Data!O280="Completed","Yes","No")</f>
        <v>No</v>
      </c>
      <c r="P280" s="1" t="str">
        <f>IF(Back_End_Data!H280="Completed","Yes","No")</f>
        <v>No</v>
      </c>
      <c r="Q280" s="1" t="str">
        <f>IF(Back_End_Data!P280="Completed","Yes","No")</f>
        <v>No</v>
      </c>
      <c r="R280" s="1" t="s">
        <v>2369</v>
      </c>
      <c r="S280" s="1" t="str">
        <f>IF(Back_End_Data!R280="Completed","Yes","No")</f>
        <v>No</v>
      </c>
      <c r="T280" s="1" t="str">
        <f>IF(Back_End_Data!S280="Yes","Yes","No")</f>
        <v>No</v>
      </c>
      <c r="U280" s="1" t="str">
        <f>IF(Back_End_Data!Q279="Completed","Yes","No")</f>
        <v>No</v>
      </c>
      <c r="V280" s="1" t="e">
        <f ca="1">IF(INDEX(MIS_Backend_Data!L:L, MATCH(D280, MIS_Backend_Data!B:B, 1)) = "WT", "Yes", "No")</f>
        <v>#N/A</v>
      </c>
      <c r="W280" s="2" t="str">
        <f t="shared" ca="1" si="12"/>
        <v/>
      </c>
      <c r="AA280" s="1">
        <f t="shared" ca="1" si="13"/>
        <v>0</v>
      </c>
      <c r="AG280" s="1" t="str">
        <f t="shared" si="14"/>
        <v/>
      </c>
    </row>
    <row r="281" spans="1:33" ht="20.25" customHeight="1">
      <c r="A281" s="13">
        <v>280</v>
      </c>
      <c r="H281" s="1" t="str">
        <f>IF(Back_End_Data!G281="Completed","Yes","No")</f>
        <v>No</v>
      </c>
      <c r="I281" s="1" t="str">
        <f>IF(Back_End_Data!I281="Completed","Yes","No")</f>
        <v>No</v>
      </c>
      <c r="J281" s="1" t="str">
        <f>IF(Back_End_Data!J281="Completed","Yes","No")</f>
        <v>No</v>
      </c>
      <c r="K281" s="1" t="str">
        <f>IF(Back_End_Data!K281="Completed","Yes","No")</f>
        <v>No</v>
      </c>
      <c r="L281" s="1" t="str">
        <f>IF(Back_End_Data!L281="", "No", Back_End_Data!L281)</f>
        <v>No</v>
      </c>
      <c r="M281" s="1" t="str">
        <f>IF(Back_End_Data!N281="", "No", Back_End_Data!N281)</f>
        <v>No</v>
      </c>
      <c r="N281" s="1" t="str">
        <f>IF(Back_End_Data!M281="", "No", Back_End_Data!M281)</f>
        <v>No</v>
      </c>
      <c r="O281" s="1" t="str">
        <f>IF(Back_End_Data!O281="Completed","Yes","No")</f>
        <v>No</v>
      </c>
      <c r="P281" s="1" t="str">
        <f>IF(Back_End_Data!H281="Completed","Yes","No")</f>
        <v>No</v>
      </c>
      <c r="Q281" s="1" t="str">
        <f>IF(Back_End_Data!P281="Completed","Yes","No")</f>
        <v>No</v>
      </c>
      <c r="R281" s="1" t="s">
        <v>2369</v>
      </c>
      <c r="S281" s="1" t="str">
        <f>IF(Back_End_Data!R281="Completed","Yes","No")</f>
        <v>No</v>
      </c>
      <c r="T281" s="1" t="str">
        <f>IF(Back_End_Data!S281="Yes","Yes","No")</f>
        <v>No</v>
      </c>
      <c r="U281" s="1" t="str">
        <f>IF(Back_End_Data!Q280="Completed","Yes","No")</f>
        <v>No</v>
      </c>
      <c r="V281" s="1" t="e">
        <f ca="1">IF(INDEX(MIS_Backend_Data!L:L, MATCH(D281, MIS_Backend_Data!B:B, 1)) = "WT", "Yes", "No")</f>
        <v>#N/A</v>
      </c>
      <c r="W281" s="2" t="str">
        <f t="shared" ca="1" si="12"/>
        <v/>
      </c>
      <c r="AA281" s="1">
        <f t="shared" ca="1" si="13"/>
        <v>0</v>
      </c>
      <c r="AG281" s="1" t="str">
        <f t="shared" si="14"/>
        <v/>
      </c>
    </row>
    <row r="282" spans="1:33" ht="20.25" customHeight="1">
      <c r="A282" s="13">
        <v>281</v>
      </c>
      <c r="H282" s="1" t="str">
        <f>IF(Back_End_Data!G282="Completed","Yes","No")</f>
        <v>No</v>
      </c>
      <c r="I282" s="1" t="str">
        <f>IF(Back_End_Data!I282="Completed","Yes","No")</f>
        <v>No</v>
      </c>
      <c r="J282" s="1" t="str">
        <f>IF(Back_End_Data!J282="Completed","Yes","No")</f>
        <v>No</v>
      </c>
      <c r="K282" s="1" t="str">
        <f>IF(Back_End_Data!K282="Completed","Yes","No")</f>
        <v>No</v>
      </c>
      <c r="L282" s="1" t="str">
        <f>IF(Back_End_Data!L282="", "No", Back_End_Data!L282)</f>
        <v>No</v>
      </c>
      <c r="M282" s="1" t="str">
        <f>IF(Back_End_Data!N282="", "No", Back_End_Data!N282)</f>
        <v>No</v>
      </c>
      <c r="N282" s="1" t="str">
        <f>IF(Back_End_Data!M282="", "No", Back_End_Data!M282)</f>
        <v>No</v>
      </c>
      <c r="O282" s="1" t="str">
        <f>IF(Back_End_Data!O282="Completed","Yes","No")</f>
        <v>No</v>
      </c>
      <c r="P282" s="1" t="str">
        <f>IF(Back_End_Data!H282="Completed","Yes","No")</f>
        <v>No</v>
      </c>
      <c r="Q282" s="1" t="str">
        <f>IF(Back_End_Data!P282="Completed","Yes","No")</f>
        <v>No</v>
      </c>
      <c r="R282" s="1" t="s">
        <v>2369</v>
      </c>
      <c r="S282" s="1" t="str">
        <f>IF(Back_End_Data!R282="Completed","Yes","No")</f>
        <v>No</v>
      </c>
      <c r="T282" s="1" t="str">
        <f>IF(Back_End_Data!S282="Yes","Yes","No")</f>
        <v>No</v>
      </c>
      <c r="U282" s="1" t="str">
        <f>IF(Back_End_Data!Q281="Completed","Yes","No")</f>
        <v>No</v>
      </c>
      <c r="V282" s="1" t="e">
        <f ca="1">IF(INDEX(MIS_Backend_Data!L:L, MATCH(D282, MIS_Backend_Data!B:B, 1)) = "WT", "Yes", "No")</f>
        <v>#N/A</v>
      </c>
      <c r="W282" s="2" t="str">
        <f t="shared" ca="1" si="12"/>
        <v/>
      </c>
      <c r="AA282" s="1">
        <f t="shared" ca="1" si="13"/>
        <v>0</v>
      </c>
      <c r="AG282" s="1" t="str">
        <f t="shared" si="14"/>
        <v/>
      </c>
    </row>
    <row r="283" spans="1:33" ht="20.25" customHeight="1">
      <c r="A283" s="13">
        <v>282</v>
      </c>
      <c r="H283" s="1" t="str">
        <f>IF(Back_End_Data!G283="Completed","Yes","No")</f>
        <v>No</v>
      </c>
      <c r="I283" s="1" t="str">
        <f>IF(Back_End_Data!I283="Completed","Yes","No")</f>
        <v>No</v>
      </c>
      <c r="J283" s="1" t="str">
        <f>IF(Back_End_Data!J283="Completed","Yes","No")</f>
        <v>No</v>
      </c>
      <c r="K283" s="1" t="str">
        <f>IF(Back_End_Data!K283="Completed","Yes","No")</f>
        <v>No</v>
      </c>
      <c r="L283" s="1" t="str">
        <f>IF(Back_End_Data!L283="", "No", Back_End_Data!L283)</f>
        <v>No</v>
      </c>
      <c r="M283" s="1" t="str">
        <f>IF(Back_End_Data!N283="", "No", Back_End_Data!N283)</f>
        <v>No</v>
      </c>
      <c r="N283" s="1" t="str">
        <f>IF(Back_End_Data!M283="", "No", Back_End_Data!M283)</f>
        <v>No</v>
      </c>
      <c r="O283" s="1" t="str">
        <f>IF(Back_End_Data!O283="Completed","Yes","No")</f>
        <v>No</v>
      </c>
      <c r="P283" s="1" t="str">
        <f>IF(Back_End_Data!H283="Completed","Yes","No")</f>
        <v>No</v>
      </c>
      <c r="Q283" s="1" t="str">
        <f>IF(Back_End_Data!P283="Completed","Yes","No")</f>
        <v>No</v>
      </c>
      <c r="R283" s="1" t="s">
        <v>2369</v>
      </c>
      <c r="S283" s="1" t="str">
        <f>IF(Back_End_Data!R283="Completed","Yes","No")</f>
        <v>No</v>
      </c>
      <c r="T283" s="1" t="str">
        <f>IF(Back_End_Data!S283="Yes","Yes","No")</f>
        <v>No</v>
      </c>
      <c r="U283" s="1" t="str">
        <f>IF(Back_End_Data!Q282="Completed","Yes","No")</f>
        <v>No</v>
      </c>
      <c r="V283" s="1" t="e">
        <f ca="1">IF(INDEX(MIS_Backend_Data!L:L, MATCH(D283, MIS_Backend_Data!B:B, 1)) = "WT", "Yes", "No")</f>
        <v>#N/A</v>
      </c>
      <c r="W283" s="2" t="str">
        <f t="shared" ca="1" si="12"/>
        <v/>
      </c>
      <c r="AA283" s="1">
        <f t="shared" ca="1" si="13"/>
        <v>0</v>
      </c>
      <c r="AG283" s="1" t="str">
        <f t="shared" si="14"/>
        <v/>
      </c>
    </row>
    <row r="284" spans="1:33" ht="20.25" customHeight="1">
      <c r="A284" s="13">
        <v>283</v>
      </c>
      <c r="H284" s="1" t="str">
        <f>IF(Back_End_Data!G284="Completed","Yes","No")</f>
        <v>No</v>
      </c>
      <c r="I284" s="1" t="str">
        <f>IF(Back_End_Data!I284="Completed","Yes","No")</f>
        <v>No</v>
      </c>
      <c r="J284" s="1" t="str">
        <f>IF(Back_End_Data!J284="Completed","Yes","No")</f>
        <v>No</v>
      </c>
      <c r="K284" s="1" t="str">
        <f>IF(Back_End_Data!K284="Completed","Yes","No")</f>
        <v>No</v>
      </c>
      <c r="L284" s="1" t="str">
        <f>IF(Back_End_Data!L284="", "No", Back_End_Data!L284)</f>
        <v>No</v>
      </c>
      <c r="M284" s="1" t="str">
        <f>IF(Back_End_Data!N284="", "No", Back_End_Data!N284)</f>
        <v>No</v>
      </c>
      <c r="N284" s="1" t="str">
        <f>IF(Back_End_Data!M284="", "No", Back_End_Data!M284)</f>
        <v>No</v>
      </c>
      <c r="O284" s="1" t="str">
        <f>IF(Back_End_Data!O284="Completed","Yes","No")</f>
        <v>No</v>
      </c>
      <c r="P284" s="1" t="str">
        <f>IF(Back_End_Data!H284="Completed","Yes","No")</f>
        <v>No</v>
      </c>
      <c r="Q284" s="1" t="str">
        <f>IF(Back_End_Data!P284="Completed","Yes","No")</f>
        <v>No</v>
      </c>
      <c r="R284" s="1" t="s">
        <v>2369</v>
      </c>
      <c r="S284" s="1" t="str">
        <f>IF(Back_End_Data!R284="Completed","Yes","No")</f>
        <v>No</v>
      </c>
      <c r="T284" s="1" t="str">
        <f>IF(Back_End_Data!S284="Yes","Yes","No")</f>
        <v>No</v>
      </c>
      <c r="U284" s="1" t="str">
        <f>IF(Back_End_Data!Q283="Completed","Yes","No")</f>
        <v>No</v>
      </c>
      <c r="V284" s="1" t="e">
        <f ca="1">IF(INDEX(MIS_Backend_Data!L:L, MATCH(D284, MIS_Backend_Data!B:B, 1)) = "WT", "Yes", "No")</f>
        <v>#N/A</v>
      </c>
      <c r="W284" s="2" t="str">
        <f t="shared" ca="1" si="12"/>
        <v/>
      </c>
      <c r="AA284" s="1">
        <f t="shared" ca="1" si="13"/>
        <v>0</v>
      </c>
      <c r="AG284" s="1" t="str">
        <f t="shared" si="14"/>
        <v/>
      </c>
    </row>
    <row r="285" spans="1:33" ht="20.25" customHeight="1">
      <c r="A285" s="13">
        <v>284</v>
      </c>
      <c r="H285" s="1" t="str">
        <f>IF(Back_End_Data!G285="Completed","Yes","No")</f>
        <v>No</v>
      </c>
      <c r="I285" s="1" t="str">
        <f>IF(Back_End_Data!I285="Completed","Yes","No")</f>
        <v>No</v>
      </c>
      <c r="J285" s="1" t="str">
        <f>IF(Back_End_Data!J285="Completed","Yes","No")</f>
        <v>No</v>
      </c>
      <c r="K285" s="1" t="str">
        <f>IF(Back_End_Data!K285="Completed","Yes","No")</f>
        <v>No</v>
      </c>
      <c r="L285" s="1" t="str">
        <f>IF(Back_End_Data!L285="", "No", Back_End_Data!L285)</f>
        <v>No</v>
      </c>
      <c r="M285" s="1" t="str">
        <f>IF(Back_End_Data!N285="", "No", Back_End_Data!N285)</f>
        <v>No</v>
      </c>
      <c r="N285" s="1" t="str">
        <f>IF(Back_End_Data!M285="", "No", Back_End_Data!M285)</f>
        <v>No</v>
      </c>
      <c r="O285" s="1" t="str">
        <f>IF(Back_End_Data!O285="Completed","Yes","No")</f>
        <v>No</v>
      </c>
      <c r="P285" s="1" t="str">
        <f>IF(Back_End_Data!H285="Completed","Yes","No")</f>
        <v>No</v>
      </c>
      <c r="Q285" s="1" t="str">
        <f>IF(Back_End_Data!P285="Completed","Yes","No")</f>
        <v>No</v>
      </c>
      <c r="R285" s="1" t="s">
        <v>2369</v>
      </c>
      <c r="S285" s="1" t="str">
        <f>IF(Back_End_Data!R285="Completed","Yes","No")</f>
        <v>No</v>
      </c>
      <c r="T285" s="1" t="str">
        <f>IF(Back_End_Data!S285="Yes","Yes","No")</f>
        <v>No</v>
      </c>
      <c r="U285" s="1" t="str">
        <f>IF(Back_End_Data!Q284="Completed","Yes","No")</f>
        <v>No</v>
      </c>
      <c r="V285" s="1" t="e">
        <f ca="1">IF(INDEX(MIS_Backend_Data!L:L, MATCH(D285, MIS_Backend_Data!B:B, 1)) = "WT", "Yes", "No")</f>
        <v>#N/A</v>
      </c>
      <c r="W285" s="2" t="str">
        <f t="shared" ca="1" si="12"/>
        <v/>
      </c>
      <c r="AA285" s="1">
        <f t="shared" ca="1" si="13"/>
        <v>0</v>
      </c>
      <c r="AG285" s="1" t="str">
        <f t="shared" si="14"/>
        <v/>
      </c>
    </row>
    <row r="286" spans="1:33" ht="20.25" customHeight="1">
      <c r="A286" s="13">
        <v>285</v>
      </c>
      <c r="H286" s="1" t="str">
        <f>IF(Back_End_Data!G286="Completed","Yes","No")</f>
        <v>No</v>
      </c>
      <c r="I286" s="1" t="str">
        <f>IF(Back_End_Data!I286="Completed","Yes","No")</f>
        <v>No</v>
      </c>
      <c r="J286" s="1" t="str">
        <f>IF(Back_End_Data!J286="Completed","Yes","No")</f>
        <v>No</v>
      </c>
      <c r="K286" s="1" t="str">
        <f>IF(Back_End_Data!K286="Completed","Yes","No")</f>
        <v>No</v>
      </c>
      <c r="L286" s="1" t="str">
        <f>IF(Back_End_Data!L286="", "No", Back_End_Data!L286)</f>
        <v>No</v>
      </c>
      <c r="M286" s="1" t="str">
        <f>IF(Back_End_Data!N286="", "No", Back_End_Data!N286)</f>
        <v>No</v>
      </c>
      <c r="N286" s="1" t="str">
        <f>IF(Back_End_Data!M286="", "No", Back_End_Data!M286)</f>
        <v>No</v>
      </c>
      <c r="O286" s="1" t="str">
        <f>IF(Back_End_Data!O286="Completed","Yes","No")</f>
        <v>No</v>
      </c>
      <c r="P286" s="1" t="str">
        <f>IF(Back_End_Data!H286="Completed","Yes","No")</f>
        <v>No</v>
      </c>
      <c r="Q286" s="1" t="str">
        <f>IF(Back_End_Data!P286="Completed","Yes","No")</f>
        <v>No</v>
      </c>
      <c r="R286" s="1" t="s">
        <v>2369</v>
      </c>
      <c r="S286" s="1" t="str">
        <f>IF(Back_End_Data!R286="Completed","Yes","No")</f>
        <v>No</v>
      </c>
      <c r="T286" s="1" t="str">
        <f>IF(Back_End_Data!S286="Yes","Yes","No")</f>
        <v>No</v>
      </c>
      <c r="U286" s="1" t="str">
        <f>IF(Back_End_Data!Q285="Completed","Yes","No")</f>
        <v>No</v>
      </c>
      <c r="V286" s="1" t="e">
        <f ca="1">IF(INDEX(MIS_Backend_Data!L:L, MATCH(D286, MIS_Backend_Data!B:B, 1)) = "WT", "Yes", "No")</f>
        <v>#N/A</v>
      </c>
      <c r="W286" s="2" t="str">
        <f t="shared" ca="1" si="12"/>
        <v/>
      </c>
      <c r="AA286" s="1">
        <f t="shared" ca="1" si="13"/>
        <v>0</v>
      </c>
      <c r="AG286" s="1" t="str">
        <f t="shared" si="14"/>
        <v/>
      </c>
    </row>
    <row r="287" spans="1:33" ht="20.25" customHeight="1">
      <c r="A287" s="13">
        <v>286</v>
      </c>
      <c r="H287" s="1" t="str">
        <f>IF(Back_End_Data!G287="Completed","Yes","No")</f>
        <v>No</v>
      </c>
      <c r="I287" s="1" t="str">
        <f>IF(Back_End_Data!I287="Completed","Yes","No")</f>
        <v>No</v>
      </c>
      <c r="J287" s="1" t="str">
        <f>IF(Back_End_Data!J287="Completed","Yes","No")</f>
        <v>No</v>
      </c>
      <c r="K287" s="1" t="str">
        <f>IF(Back_End_Data!K287="Completed","Yes","No")</f>
        <v>No</v>
      </c>
      <c r="L287" s="1" t="str">
        <f>IF(Back_End_Data!L287="", "No", Back_End_Data!L287)</f>
        <v>No</v>
      </c>
      <c r="M287" s="1" t="str">
        <f>IF(Back_End_Data!N287="", "No", Back_End_Data!N287)</f>
        <v>No</v>
      </c>
      <c r="N287" s="1" t="str">
        <f>IF(Back_End_Data!M287="", "No", Back_End_Data!M287)</f>
        <v>No</v>
      </c>
      <c r="O287" s="1" t="str">
        <f>IF(Back_End_Data!O287="Completed","Yes","No")</f>
        <v>No</v>
      </c>
      <c r="P287" s="1" t="str">
        <f>IF(Back_End_Data!H287="Completed","Yes","No")</f>
        <v>No</v>
      </c>
      <c r="Q287" s="1" t="str">
        <f>IF(Back_End_Data!P287="Completed","Yes","No")</f>
        <v>No</v>
      </c>
      <c r="R287" s="1" t="s">
        <v>2369</v>
      </c>
      <c r="S287" s="1" t="str">
        <f>IF(Back_End_Data!R287="Completed","Yes","No")</f>
        <v>No</v>
      </c>
      <c r="T287" s="1" t="str">
        <f>IF(Back_End_Data!S287="Yes","Yes","No")</f>
        <v>No</v>
      </c>
      <c r="U287" s="1" t="str">
        <f>IF(Back_End_Data!Q286="Completed","Yes","No")</f>
        <v>No</v>
      </c>
      <c r="V287" s="1" t="e">
        <f ca="1">IF(INDEX(MIS_Backend_Data!L:L, MATCH(D287, MIS_Backend_Data!B:B, 1)) = "WT", "Yes", "No")</f>
        <v>#N/A</v>
      </c>
      <c r="W287" s="2" t="str">
        <f t="shared" ca="1" si="12"/>
        <v/>
      </c>
      <c r="AA287" s="1">
        <f t="shared" ca="1" si="13"/>
        <v>0</v>
      </c>
      <c r="AG287" s="1" t="str">
        <f t="shared" si="14"/>
        <v/>
      </c>
    </row>
    <row r="288" spans="1:33" ht="20.25" customHeight="1">
      <c r="A288" s="13">
        <v>287</v>
      </c>
      <c r="H288" s="1" t="str">
        <f>IF(Back_End_Data!G288="Completed","Yes","No")</f>
        <v>No</v>
      </c>
      <c r="I288" s="1" t="str">
        <f>IF(Back_End_Data!I288="Completed","Yes","No")</f>
        <v>No</v>
      </c>
      <c r="J288" s="1" t="str">
        <f>IF(Back_End_Data!J288="Completed","Yes","No")</f>
        <v>No</v>
      </c>
      <c r="K288" s="1" t="str">
        <f>IF(Back_End_Data!K288="Completed","Yes","No")</f>
        <v>No</v>
      </c>
      <c r="L288" s="1" t="str">
        <f>IF(Back_End_Data!L288="", "No", Back_End_Data!L288)</f>
        <v>No</v>
      </c>
      <c r="M288" s="1" t="str">
        <f>IF(Back_End_Data!N288="", "No", Back_End_Data!N288)</f>
        <v>No</v>
      </c>
      <c r="N288" s="1" t="str">
        <f>IF(Back_End_Data!M288="", "No", Back_End_Data!M288)</f>
        <v>No</v>
      </c>
      <c r="O288" s="1" t="str">
        <f>IF(Back_End_Data!O288="Completed","Yes","No")</f>
        <v>No</v>
      </c>
      <c r="P288" s="1" t="str">
        <f>IF(Back_End_Data!H288="Completed","Yes","No")</f>
        <v>No</v>
      </c>
      <c r="Q288" s="1" t="str">
        <f>IF(Back_End_Data!P288="Completed","Yes","No")</f>
        <v>No</v>
      </c>
      <c r="R288" s="1" t="s">
        <v>2369</v>
      </c>
      <c r="S288" s="1" t="str">
        <f>IF(Back_End_Data!R288="Completed","Yes","No")</f>
        <v>No</v>
      </c>
      <c r="T288" s="1" t="str">
        <f>IF(Back_End_Data!S288="Yes","Yes","No")</f>
        <v>No</v>
      </c>
      <c r="U288" s="1" t="str">
        <f>IF(Back_End_Data!Q287="Completed","Yes","No")</f>
        <v>No</v>
      </c>
      <c r="V288" s="1" t="e">
        <f ca="1">IF(INDEX(MIS_Backend_Data!L:L, MATCH(D288, MIS_Backend_Data!B:B, 1)) = "WT", "Yes", "No")</f>
        <v>#N/A</v>
      </c>
      <c r="W288" s="2" t="str">
        <f t="shared" ca="1" si="12"/>
        <v/>
      </c>
      <c r="AA288" s="1">
        <f t="shared" ca="1" si="13"/>
        <v>0</v>
      </c>
      <c r="AG288" s="1" t="str">
        <f t="shared" si="14"/>
        <v/>
      </c>
    </row>
    <row r="289" spans="1:33" ht="20.25" customHeight="1">
      <c r="A289" s="13">
        <v>288</v>
      </c>
      <c r="H289" s="1" t="str">
        <f>IF(Back_End_Data!G289="Completed","Yes","No")</f>
        <v>No</v>
      </c>
      <c r="I289" s="1" t="str">
        <f>IF(Back_End_Data!I289="Completed","Yes","No")</f>
        <v>No</v>
      </c>
      <c r="J289" s="1" t="str">
        <f>IF(Back_End_Data!J289="Completed","Yes","No")</f>
        <v>No</v>
      </c>
      <c r="K289" s="1" t="str">
        <f>IF(Back_End_Data!K289="Completed","Yes","No")</f>
        <v>No</v>
      </c>
      <c r="L289" s="1" t="str">
        <f>IF(Back_End_Data!L289="", "No", Back_End_Data!L289)</f>
        <v>No</v>
      </c>
      <c r="M289" s="1" t="str">
        <f>IF(Back_End_Data!N289="", "No", Back_End_Data!N289)</f>
        <v>No</v>
      </c>
      <c r="N289" s="1" t="str">
        <f>IF(Back_End_Data!M289="", "No", Back_End_Data!M289)</f>
        <v>No</v>
      </c>
      <c r="O289" s="1" t="str">
        <f>IF(Back_End_Data!O289="Completed","Yes","No")</f>
        <v>No</v>
      </c>
      <c r="P289" s="1" t="str">
        <f>IF(Back_End_Data!H289="Completed","Yes","No")</f>
        <v>No</v>
      </c>
      <c r="Q289" s="1" t="str">
        <f>IF(Back_End_Data!P289="Completed","Yes","No")</f>
        <v>No</v>
      </c>
      <c r="R289" s="1" t="s">
        <v>2369</v>
      </c>
      <c r="S289" s="1" t="str">
        <f>IF(Back_End_Data!R289="Completed","Yes","No")</f>
        <v>No</v>
      </c>
      <c r="T289" s="1" t="str">
        <f>IF(Back_End_Data!S289="Yes","Yes","No")</f>
        <v>No</v>
      </c>
      <c r="U289" s="1" t="str">
        <f>IF(Back_End_Data!Q288="Completed","Yes","No")</f>
        <v>No</v>
      </c>
      <c r="V289" s="1" t="e">
        <f ca="1">IF(INDEX(MIS_Backend_Data!L:L, MATCH(D289, MIS_Backend_Data!B:B, 1)) = "WT", "Yes", "No")</f>
        <v>#N/A</v>
      </c>
      <c r="W289" s="2" t="str">
        <f t="shared" ca="1" si="12"/>
        <v/>
      </c>
      <c r="AA289" s="1">
        <f t="shared" ca="1" si="13"/>
        <v>0</v>
      </c>
      <c r="AG289" s="1" t="str">
        <f t="shared" si="14"/>
        <v/>
      </c>
    </row>
    <row r="290" spans="1:33" ht="20.25" customHeight="1">
      <c r="A290" s="13">
        <v>289</v>
      </c>
      <c r="H290" s="1" t="str">
        <f>IF(Back_End_Data!G290="Completed","Yes","No")</f>
        <v>No</v>
      </c>
      <c r="I290" s="1" t="str">
        <f>IF(Back_End_Data!I290="Completed","Yes","No")</f>
        <v>No</v>
      </c>
      <c r="J290" s="1" t="str">
        <f>IF(Back_End_Data!J290="Completed","Yes","No")</f>
        <v>No</v>
      </c>
      <c r="K290" s="1" t="str">
        <f>IF(Back_End_Data!K290="Completed","Yes","No")</f>
        <v>No</v>
      </c>
      <c r="L290" s="1" t="str">
        <f>IF(Back_End_Data!L290="", "No", Back_End_Data!L290)</f>
        <v>No</v>
      </c>
      <c r="M290" s="1" t="str">
        <f>IF(Back_End_Data!N290="", "No", Back_End_Data!N290)</f>
        <v>No</v>
      </c>
      <c r="N290" s="1" t="str">
        <f>IF(Back_End_Data!M290="", "No", Back_End_Data!M290)</f>
        <v>No</v>
      </c>
      <c r="O290" s="1" t="str">
        <f>IF(Back_End_Data!O290="Completed","Yes","No")</f>
        <v>No</v>
      </c>
      <c r="P290" s="1" t="str">
        <f>IF(Back_End_Data!H290="Completed","Yes","No")</f>
        <v>No</v>
      </c>
      <c r="Q290" s="1" t="str">
        <f>IF(Back_End_Data!P290="Completed","Yes","No")</f>
        <v>No</v>
      </c>
      <c r="R290" s="1" t="s">
        <v>2369</v>
      </c>
      <c r="S290" s="1" t="str">
        <f>IF(Back_End_Data!R290="Completed","Yes","No")</f>
        <v>No</v>
      </c>
      <c r="T290" s="1" t="str">
        <f>IF(Back_End_Data!S290="Yes","Yes","No")</f>
        <v>No</v>
      </c>
      <c r="U290" s="1" t="str">
        <f>IF(Back_End_Data!Q289="Completed","Yes","No")</f>
        <v>No</v>
      </c>
      <c r="V290" s="1" t="e">
        <f ca="1">IF(INDEX(MIS_Backend_Data!L:L, MATCH(D290, MIS_Backend_Data!B:B, 1)) = "WT", "Yes", "No")</f>
        <v>#N/A</v>
      </c>
      <c r="W290" s="2" t="str">
        <f t="shared" ca="1" si="12"/>
        <v/>
      </c>
      <c r="AA290" s="1">
        <f t="shared" ca="1" si="13"/>
        <v>0</v>
      </c>
      <c r="AG290" s="1" t="str">
        <f t="shared" si="14"/>
        <v/>
      </c>
    </row>
    <row r="291" spans="1:33" ht="20.25" customHeight="1">
      <c r="A291" s="13">
        <v>290</v>
      </c>
      <c r="H291" s="1" t="str">
        <f>IF(Back_End_Data!G291="Completed","Yes","No")</f>
        <v>No</v>
      </c>
      <c r="I291" s="1" t="str">
        <f>IF(Back_End_Data!I291="Completed","Yes","No")</f>
        <v>No</v>
      </c>
      <c r="J291" s="1" t="str">
        <f>IF(Back_End_Data!J291="Completed","Yes","No")</f>
        <v>No</v>
      </c>
      <c r="K291" s="1" t="str">
        <f>IF(Back_End_Data!K291="Completed","Yes","No")</f>
        <v>No</v>
      </c>
      <c r="L291" s="1" t="str">
        <f>IF(Back_End_Data!L291="", "No", Back_End_Data!L291)</f>
        <v>No</v>
      </c>
      <c r="M291" s="1" t="str">
        <f>IF(Back_End_Data!N291="", "No", Back_End_Data!N291)</f>
        <v>No</v>
      </c>
      <c r="N291" s="1" t="str">
        <f>IF(Back_End_Data!M291="", "No", Back_End_Data!M291)</f>
        <v>No</v>
      </c>
      <c r="O291" s="1" t="str">
        <f>IF(Back_End_Data!O291="Completed","Yes","No")</f>
        <v>No</v>
      </c>
      <c r="P291" s="1" t="str">
        <f>IF(Back_End_Data!H291="Completed","Yes","No")</f>
        <v>No</v>
      </c>
      <c r="Q291" s="1" t="str">
        <f>IF(Back_End_Data!P291="Completed","Yes","No")</f>
        <v>No</v>
      </c>
      <c r="R291" s="1" t="s">
        <v>2369</v>
      </c>
      <c r="S291" s="1" t="str">
        <f>IF(Back_End_Data!R291="Completed","Yes","No")</f>
        <v>No</v>
      </c>
      <c r="T291" s="1" t="str">
        <f>IF(Back_End_Data!S291="Yes","Yes","No")</f>
        <v>No</v>
      </c>
      <c r="U291" s="1" t="str">
        <f>IF(Back_End_Data!Q290="Completed","Yes","No")</f>
        <v>No</v>
      </c>
      <c r="V291" s="1" t="e">
        <f ca="1">IF(INDEX(MIS_Backend_Data!L:L, MATCH(D291, MIS_Backend_Data!B:B, 1)) = "WT", "Yes", "No")</f>
        <v>#N/A</v>
      </c>
      <c r="W291" s="2" t="str">
        <f t="shared" ca="1" si="12"/>
        <v/>
      </c>
      <c r="AA291" s="1">
        <f t="shared" ca="1" si="13"/>
        <v>0</v>
      </c>
      <c r="AG291" s="1" t="str">
        <f t="shared" si="14"/>
        <v/>
      </c>
    </row>
    <row r="292" spans="1:33" ht="20.25" customHeight="1">
      <c r="A292" s="13">
        <v>291</v>
      </c>
      <c r="H292" s="1" t="str">
        <f>IF(Back_End_Data!G292="Completed","Yes","No")</f>
        <v>No</v>
      </c>
      <c r="I292" s="1" t="str">
        <f>IF(Back_End_Data!I292="Completed","Yes","No")</f>
        <v>No</v>
      </c>
      <c r="J292" s="1" t="str">
        <f>IF(Back_End_Data!J292="Completed","Yes","No")</f>
        <v>No</v>
      </c>
      <c r="K292" s="1" t="str">
        <f>IF(Back_End_Data!K292="Completed","Yes","No")</f>
        <v>No</v>
      </c>
      <c r="L292" s="1" t="str">
        <f>IF(Back_End_Data!L292="", "No", Back_End_Data!L292)</f>
        <v>No</v>
      </c>
      <c r="M292" s="1" t="str">
        <f>IF(Back_End_Data!N292="", "No", Back_End_Data!N292)</f>
        <v>No</v>
      </c>
      <c r="N292" s="1" t="str">
        <f>IF(Back_End_Data!M292="", "No", Back_End_Data!M292)</f>
        <v>No</v>
      </c>
      <c r="O292" s="1" t="str">
        <f>IF(Back_End_Data!O292="Completed","Yes","No")</f>
        <v>No</v>
      </c>
      <c r="P292" s="1" t="str">
        <f>IF(Back_End_Data!H292="Completed","Yes","No")</f>
        <v>No</v>
      </c>
      <c r="Q292" s="1" t="str">
        <f>IF(Back_End_Data!P292="Completed","Yes","No")</f>
        <v>No</v>
      </c>
      <c r="R292" s="1" t="s">
        <v>2369</v>
      </c>
      <c r="S292" s="1" t="str">
        <f>IF(Back_End_Data!R292="Completed","Yes","No")</f>
        <v>No</v>
      </c>
      <c r="T292" s="1" t="str">
        <f>IF(Back_End_Data!S292="Yes","Yes","No")</f>
        <v>No</v>
      </c>
      <c r="U292" s="1" t="str">
        <f>IF(Back_End_Data!Q291="Completed","Yes","No")</f>
        <v>No</v>
      </c>
      <c r="V292" s="1" t="e">
        <f ca="1">IF(INDEX(MIS_Backend_Data!L:L, MATCH(D292, MIS_Backend_Data!B:B, 1)) = "WT", "Yes", "No")</f>
        <v>#N/A</v>
      </c>
      <c r="W292" s="2" t="str">
        <f t="shared" ca="1" si="12"/>
        <v/>
      </c>
      <c r="AA292" s="1">
        <f t="shared" ca="1" si="13"/>
        <v>0</v>
      </c>
      <c r="AG292" s="1" t="str">
        <f t="shared" si="14"/>
        <v/>
      </c>
    </row>
    <row r="293" spans="1:33" ht="20.25" customHeight="1">
      <c r="A293" s="13">
        <v>292</v>
      </c>
      <c r="H293" s="1" t="str">
        <f>IF(Back_End_Data!G293="Completed","Yes","No")</f>
        <v>No</v>
      </c>
      <c r="I293" s="1" t="str">
        <f>IF(Back_End_Data!I293="Completed","Yes","No")</f>
        <v>No</v>
      </c>
      <c r="J293" s="1" t="str">
        <f>IF(Back_End_Data!J293="Completed","Yes","No")</f>
        <v>No</v>
      </c>
      <c r="K293" s="1" t="str">
        <f>IF(Back_End_Data!K293="Completed","Yes","No")</f>
        <v>No</v>
      </c>
      <c r="L293" s="1" t="str">
        <f>IF(Back_End_Data!L293="", "No", Back_End_Data!L293)</f>
        <v>No</v>
      </c>
      <c r="M293" s="1" t="str">
        <f>IF(Back_End_Data!N293="", "No", Back_End_Data!N293)</f>
        <v>No</v>
      </c>
      <c r="N293" s="1" t="str">
        <f>IF(Back_End_Data!M293="", "No", Back_End_Data!M293)</f>
        <v>No</v>
      </c>
      <c r="O293" s="1" t="str">
        <f>IF(Back_End_Data!O293="Completed","Yes","No")</f>
        <v>No</v>
      </c>
      <c r="P293" s="1" t="str">
        <f>IF(Back_End_Data!H293="Completed","Yes","No")</f>
        <v>No</v>
      </c>
      <c r="Q293" s="1" t="str">
        <f>IF(Back_End_Data!P293="Completed","Yes","No")</f>
        <v>No</v>
      </c>
      <c r="R293" s="1" t="s">
        <v>2369</v>
      </c>
      <c r="S293" s="1" t="str">
        <f>IF(Back_End_Data!R293="Completed","Yes","No")</f>
        <v>No</v>
      </c>
      <c r="T293" s="1" t="str">
        <f>IF(Back_End_Data!S293="Yes","Yes","No")</f>
        <v>No</v>
      </c>
      <c r="U293" s="1" t="str">
        <f>IF(Back_End_Data!Q292="Completed","Yes","No")</f>
        <v>No</v>
      </c>
      <c r="V293" s="1" t="e">
        <f ca="1">IF(INDEX(MIS_Backend_Data!L:L, MATCH(D293, MIS_Backend_Data!B:B, 1)) = "WT", "Yes", "No")</f>
        <v>#N/A</v>
      </c>
      <c r="W293" s="2" t="str">
        <f t="shared" ca="1" si="12"/>
        <v/>
      </c>
      <c r="AA293" s="1">
        <f t="shared" ca="1" si="13"/>
        <v>0</v>
      </c>
      <c r="AG293" s="1" t="str">
        <f t="shared" si="14"/>
        <v/>
      </c>
    </row>
    <row r="294" spans="1:33" ht="20.25" customHeight="1">
      <c r="A294" s="13">
        <v>293</v>
      </c>
      <c r="H294" s="1" t="str">
        <f>IF(Back_End_Data!G294="Completed","Yes","No")</f>
        <v>No</v>
      </c>
      <c r="I294" s="1" t="str">
        <f>IF(Back_End_Data!I294="Completed","Yes","No")</f>
        <v>No</v>
      </c>
      <c r="J294" s="1" t="str">
        <f>IF(Back_End_Data!J294="Completed","Yes","No")</f>
        <v>No</v>
      </c>
      <c r="K294" s="1" t="str">
        <f>IF(Back_End_Data!K294="Completed","Yes","No")</f>
        <v>No</v>
      </c>
      <c r="L294" s="1" t="str">
        <f>IF(Back_End_Data!L294="", "No", Back_End_Data!L294)</f>
        <v>No</v>
      </c>
      <c r="M294" s="1" t="str">
        <f>IF(Back_End_Data!N294="", "No", Back_End_Data!N294)</f>
        <v>No</v>
      </c>
      <c r="N294" s="1" t="str">
        <f>IF(Back_End_Data!M294="", "No", Back_End_Data!M294)</f>
        <v>No</v>
      </c>
      <c r="O294" s="1" t="str">
        <f>IF(Back_End_Data!O294="Completed","Yes","No")</f>
        <v>No</v>
      </c>
      <c r="P294" s="1" t="str">
        <f>IF(Back_End_Data!H294="Completed","Yes","No")</f>
        <v>No</v>
      </c>
      <c r="Q294" s="1" t="str">
        <f>IF(Back_End_Data!P294="Completed","Yes","No")</f>
        <v>No</v>
      </c>
      <c r="R294" s="1" t="s">
        <v>2369</v>
      </c>
      <c r="S294" s="1" t="str">
        <f>IF(Back_End_Data!R294="Completed","Yes","No")</f>
        <v>No</v>
      </c>
      <c r="T294" s="1" t="str">
        <f>IF(Back_End_Data!S294="Yes","Yes","No")</f>
        <v>No</v>
      </c>
      <c r="U294" s="1" t="str">
        <f>IF(Back_End_Data!Q293="Completed","Yes","No")</f>
        <v>No</v>
      </c>
      <c r="V294" s="1" t="e">
        <f ca="1">IF(INDEX(MIS_Backend_Data!L:L, MATCH(D294, MIS_Backend_Data!B:B, 1)) = "WT", "Yes", "No")</f>
        <v>#N/A</v>
      </c>
      <c r="W294" s="2" t="str">
        <f t="shared" ca="1" si="12"/>
        <v/>
      </c>
      <c r="AA294" s="1">
        <f t="shared" ca="1" si="13"/>
        <v>0</v>
      </c>
      <c r="AG294" s="1" t="str">
        <f t="shared" si="14"/>
        <v/>
      </c>
    </row>
    <row r="295" spans="1:33" ht="20.25" customHeight="1">
      <c r="A295" s="13">
        <v>294</v>
      </c>
      <c r="H295" s="1" t="str">
        <f>IF(Back_End_Data!G295="Completed","Yes","No")</f>
        <v>No</v>
      </c>
      <c r="I295" s="1" t="str">
        <f>IF(Back_End_Data!I295="Completed","Yes","No")</f>
        <v>No</v>
      </c>
      <c r="J295" s="1" t="str">
        <f>IF(Back_End_Data!J295="Completed","Yes","No")</f>
        <v>No</v>
      </c>
      <c r="K295" s="1" t="str">
        <f>IF(Back_End_Data!K295="Completed","Yes","No")</f>
        <v>No</v>
      </c>
      <c r="L295" s="1" t="str">
        <f>IF(Back_End_Data!L295="", "No", Back_End_Data!L295)</f>
        <v>No</v>
      </c>
      <c r="M295" s="1" t="str">
        <f>IF(Back_End_Data!N295="", "No", Back_End_Data!N295)</f>
        <v>No</v>
      </c>
      <c r="N295" s="1" t="str">
        <f>IF(Back_End_Data!M295="", "No", Back_End_Data!M295)</f>
        <v>No</v>
      </c>
      <c r="O295" s="1" t="str">
        <f>IF(Back_End_Data!O295="Completed","Yes","No")</f>
        <v>No</v>
      </c>
      <c r="P295" s="1" t="str">
        <f>IF(Back_End_Data!H295="Completed","Yes","No")</f>
        <v>No</v>
      </c>
      <c r="Q295" s="1" t="str">
        <f>IF(Back_End_Data!P295="Completed","Yes","No")</f>
        <v>No</v>
      </c>
      <c r="R295" s="1" t="s">
        <v>2369</v>
      </c>
      <c r="S295" s="1" t="str">
        <f>IF(Back_End_Data!R295="Completed","Yes","No")</f>
        <v>No</v>
      </c>
      <c r="T295" s="1" t="str">
        <f>IF(Back_End_Data!S295="Yes","Yes","No")</f>
        <v>No</v>
      </c>
      <c r="U295" s="1" t="str">
        <f>IF(Back_End_Data!Q294="Completed","Yes","No")</f>
        <v>No</v>
      </c>
      <c r="V295" s="1" t="e">
        <f ca="1">IF(INDEX(MIS_Backend_Data!L:L, MATCH(D295, MIS_Backend_Data!B:B, 1)) = "WT", "Yes", "No")</f>
        <v>#N/A</v>
      </c>
      <c r="W295" s="2" t="str">
        <f t="shared" ca="1" si="12"/>
        <v/>
      </c>
      <c r="AA295" s="1">
        <f t="shared" ca="1" si="13"/>
        <v>0</v>
      </c>
      <c r="AG295" s="1" t="str">
        <f t="shared" si="14"/>
        <v/>
      </c>
    </row>
    <row r="296" spans="1:33" ht="20.25" customHeight="1">
      <c r="A296" s="13">
        <v>295</v>
      </c>
      <c r="H296" s="1" t="str">
        <f>IF(Back_End_Data!G296="Completed","Yes","No")</f>
        <v>No</v>
      </c>
      <c r="I296" s="1" t="str">
        <f>IF(Back_End_Data!I296="Completed","Yes","No")</f>
        <v>No</v>
      </c>
      <c r="J296" s="1" t="str">
        <f>IF(Back_End_Data!J296="Completed","Yes","No")</f>
        <v>No</v>
      </c>
      <c r="K296" s="1" t="str">
        <f>IF(Back_End_Data!K296="Completed","Yes","No")</f>
        <v>No</v>
      </c>
      <c r="L296" s="1" t="str">
        <f>IF(Back_End_Data!L296="", "No", Back_End_Data!L296)</f>
        <v>No</v>
      </c>
      <c r="M296" s="1" t="str">
        <f>IF(Back_End_Data!N296="", "No", Back_End_Data!N296)</f>
        <v>No</v>
      </c>
      <c r="N296" s="1" t="str">
        <f>IF(Back_End_Data!M296="", "No", Back_End_Data!M296)</f>
        <v>No</v>
      </c>
      <c r="O296" s="1" t="str">
        <f>IF(Back_End_Data!O296="Completed","Yes","No")</f>
        <v>No</v>
      </c>
      <c r="P296" s="1" t="str">
        <f>IF(Back_End_Data!H296="Completed","Yes","No")</f>
        <v>No</v>
      </c>
      <c r="Q296" s="1" t="str">
        <f>IF(Back_End_Data!P296="Completed","Yes","No")</f>
        <v>No</v>
      </c>
      <c r="R296" s="1" t="s">
        <v>2369</v>
      </c>
      <c r="S296" s="1" t="str">
        <f>IF(Back_End_Data!R296="Completed","Yes","No")</f>
        <v>No</v>
      </c>
      <c r="T296" s="1" t="str">
        <f>IF(Back_End_Data!S296="Yes","Yes","No")</f>
        <v>No</v>
      </c>
      <c r="U296" s="1" t="str">
        <f>IF(Back_End_Data!Q295="Completed","Yes","No")</f>
        <v>No</v>
      </c>
      <c r="V296" s="1" t="e">
        <f ca="1">IF(INDEX(MIS_Backend_Data!L:L, MATCH(D296, MIS_Backend_Data!B:B, 1)) = "WT", "Yes", "No")</f>
        <v>#N/A</v>
      </c>
      <c r="W296" s="2" t="str">
        <f t="shared" ca="1" si="12"/>
        <v/>
      </c>
      <c r="AA296" s="1">
        <f t="shared" ca="1" si="13"/>
        <v>0</v>
      </c>
      <c r="AG296" s="1" t="str">
        <f t="shared" si="14"/>
        <v/>
      </c>
    </row>
    <row r="297" spans="1:33" ht="20.25" customHeight="1">
      <c r="A297" s="13">
        <v>296</v>
      </c>
      <c r="H297" s="1" t="str">
        <f>IF(Back_End_Data!G297="Completed","Yes","No")</f>
        <v>No</v>
      </c>
      <c r="I297" s="1" t="str">
        <f>IF(Back_End_Data!I297="Completed","Yes","No")</f>
        <v>No</v>
      </c>
      <c r="J297" s="1" t="str">
        <f>IF(Back_End_Data!J297="Completed","Yes","No")</f>
        <v>No</v>
      </c>
      <c r="K297" s="1" t="str">
        <f>IF(Back_End_Data!K297="Completed","Yes","No")</f>
        <v>No</v>
      </c>
      <c r="L297" s="1" t="str">
        <f>IF(Back_End_Data!L297="", "No", Back_End_Data!L297)</f>
        <v>No</v>
      </c>
      <c r="M297" s="1" t="str">
        <f>IF(Back_End_Data!N297="", "No", Back_End_Data!N297)</f>
        <v>No</v>
      </c>
      <c r="N297" s="1" t="str">
        <f>IF(Back_End_Data!M297="", "No", Back_End_Data!M297)</f>
        <v>No</v>
      </c>
      <c r="O297" s="1" t="str">
        <f>IF(Back_End_Data!O297="Completed","Yes","No")</f>
        <v>No</v>
      </c>
      <c r="P297" s="1" t="str">
        <f>IF(Back_End_Data!H297="Completed","Yes","No")</f>
        <v>No</v>
      </c>
      <c r="Q297" s="1" t="str">
        <f>IF(Back_End_Data!P297="Completed","Yes","No")</f>
        <v>No</v>
      </c>
      <c r="R297" s="1" t="s">
        <v>2369</v>
      </c>
      <c r="S297" s="1" t="str">
        <f>IF(Back_End_Data!R297="Completed","Yes","No")</f>
        <v>No</v>
      </c>
      <c r="T297" s="1" t="str">
        <f>IF(Back_End_Data!S297="Yes","Yes","No")</f>
        <v>No</v>
      </c>
      <c r="U297" s="1" t="str">
        <f>IF(Back_End_Data!Q296="Completed","Yes","No")</f>
        <v>No</v>
      </c>
      <c r="V297" s="1" t="e">
        <f ca="1">IF(INDEX(MIS_Backend_Data!L:L, MATCH(D297, MIS_Backend_Data!B:B, 1)) = "WT", "Yes", "No")</f>
        <v>#N/A</v>
      </c>
      <c r="W297" s="2" t="str">
        <f t="shared" ca="1" si="12"/>
        <v/>
      </c>
      <c r="AA297" s="1">
        <f t="shared" ca="1" si="13"/>
        <v>0</v>
      </c>
      <c r="AG297" s="1" t="str">
        <f t="shared" si="14"/>
        <v/>
      </c>
    </row>
    <row r="298" spans="1:33" ht="20.25" customHeight="1">
      <c r="A298" s="13">
        <v>297</v>
      </c>
      <c r="H298" s="1" t="str">
        <f>IF(Back_End_Data!G298="Completed","Yes","No")</f>
        <v>No</v>
      </c>
      <c r="I298" s="1" t="str">
        <f>IF(Back_End_Data!I298="Completed","Yes","No")</f>
        <v>No</v>
      </c>
      <c r="J298" s="1" t="str">
        <f>IF(Back_End_Data!J298="Completed","Yes","No")</f>
        <v>No</v>
      </c>
      <c r="K298" s="1" t="str">
        <f>IF(Back_End_Data!K298="Completed","Yes","No")</f>
        <v>No</v>
      </c>
      <c r="L298" s="1" t="str">
        <f>IF(Back_End_Data!L298="", "No", Back_End_Data!L298)</f>
        <v>No</v>
      </c>
      <c r="M298" s="1" t="str">
        <f>IF(Back_End_Data!N298="", "No", Back_End_Data!N298)</f>
        <v>No</v>
      </c>
      <c r="N298" s="1" t="str">
        <f>IF(Back_End_Data!M298="", "No", Back_End_Data!M298)</f>
        <v>No</v>
      </c>
      <c r="O298" s="1" t="str">
        <f>IF(Back_End_Data!O298="Completed","Yes","No")</f>
        <v>No</v>
      </c>
      <c r="P298" s="1" t="str">
        <f>IF(Back_End_Data!H298="Completed","Yes","No")</f>
        <v>No</v>
      </c>
      <c r="Q298" s="1" t="str">
        <f>IF(Back_End_Data!P298="Completed","Yes","No")</f>
        <v>No</v>
      </c>
      <c r="R298" s="1" t="s">
        <v>2369</v>
      </c>
      <c r="S298" s="1" t="str">
        <f>IF(Back_End_Data!R298="Completed","Yes","No")</f>
        <v>No</v>
      </c>
      <c r="T298" s="1" t="str">
        <f>IF(Back_End_Data!S298="Yes","Yes","No")</f>
        <v>No</v>
      </c>
      <c r="U298" s="1" t="str">
        <f>IF(Back_End_Data!Q297="Completed","Yes","No")</f>
        <v>No</v>
      </c>
      <c r="V298" s="1" t="e">
        <f ca="1">IF(INDEX(MIS_Backend_Data!L:L, MATCH(D298, MIS_Backend_Data!B:B, 1)) = "WT", "Yes", "No")</f>
        <v>#N/A</v>
      </c>
      <c r="W298" s="2" t="str">
        <f t="shared" ca="1" si="12"/>
        <v/>
      </c>
      <c r="AA298" s="1">
        <f t="shared" ca="1" si="13"/>
        <v>0</v>
      </c>
      <c r="AG298" s="1" t="str">
        <f t="shared" si="14"/>
        <v/>
      </c>
    </row>
    <row r="299" spans="1:33" ht="20.25" customHeight="1">
      <c r="A299" s="13">
        <v>298</v>
      </c>
      <c r="H299" s="1" t="str">
        <f>IF(Back_End_Data!G299="Completed","Yes","No")</f>
        <v>No</v>
      </c>
      <c r="I299" s="1" t="str">
        <f>IF(Back_End_Data!I299="Completed","Yes","No")</f>
        <v>No</v>
      </c>
      <c r="J299" s="1" t="str">
        <f>IF(Back_End_Data!J299="Completed","Yes","No")</f>
        <v>No</v>
      </c>
      <c r="K299" s="1" t="str">
        <f>IF(Back_End_Data!K299="Completed","Yes","No")</f>
        <v>No</v>
      </c>
      <c r="L299" s="1" t="str">
        <f>IF(Back_End_Data!L299="", "No", Back_End_Data!L299)</f>
        <v>No</v>
      </c>
      <c r="M299" s="1" t="str">
        <f>IF(Back_End_Data!N299="", "No", Back_End_Data!N299)</f>
        <v>No</v>
      </c>
      <c r="N299" s="1" t="str">
        <f>IF(Back_End_Data!M299="", "No", Back_End_Data!M299)</f>
        <v>No</v>
      </c>
      <c r="O299" s="1" t="str">
        <f>IF(Back_End_Data!O299="Completed","Yes","No")</f>
        <v>No</v>
      </c>
      <c r="P299" s="1" t="str">
        <f>IF(Back_End_Data!H299="Completed","Yes","No")</f>
        <v>No</v>
      </c>
      <c r="Q299" s="1" t="str">
        <f>IF(Back_End_Data!P299="Completed","Yes","No")</f>
        <v>No</v>
      </c>
      <c r="R299" s="1" t="s">
        <v>2369</v>
      </c>
      <c r="S299" s="1" t="str">
        <f>IF(Back_End_Data!R299="Completed","Yes","No")</f>
        <v>No</v>
      </c>
      <c r="T299" s="1" t="str">
        <f>IF(Back_End_Data!S299="Yes","Yes","No")</f>
        <v>No</v>
      </c>
      <c r="U299" s="1" t="str">
        <f>IF(Back_End_Data!Q298="Completed","Yes","No")</f>
        <v>No</v>
      </c>
      <c r="V299" s="1" t="e">
        <f ca="1">IF(INDEX(MIS_Backend_Data!L:L, MATCH(D299, MIS_Backend_Data!B:B, 1)) = "WT", "Yes", "No")</f>
        <v>#N/A</v>
      </c>
      <c r="W299" s="2" t="str">
        <f t="shared" ca="1" si="12"/>
        <v/>
      </c>
      <c r="AA299" s="1">
        <f t="shared" ca="1" si="13"/>
        <v>0</v>
      </c>
      <c r="AG299" s="1" t="str">
        <f t="shared" si="14"/>
        <v/>
      </c>
    </row>
    <row r="300" spans="1:33" ht="20.25" customHeight="1">
      <c r="A300" s="13">
        <v>299</v>
      </c>
      <c r="H300" s="1" t="str">
        <f>IF(Back_End_Data!G300="Completed","Yes","No")</f>
        <v>No</v>
      </c>
      <c r="I300" s="1" t="str">
        <f>IF(Back_End_Data!I300="Completed","Yes","No")</f>
        <v>No</v>
      </c>
      <c r="J300" s="1" t="str">
        <f>IF(Back_End_Data!J300="Completed","Yes","No")</f>
        <v>No</v>
      </c>
      <c r="K300" s="1" t="str">
        <f>IF(Back_End_Data!K300="Completed","Yes","No")</f>
        <v>No</v>
      </c>
      <c r="L300" s="1" t="str">
        <f>IF(Back_End_Data!L300="", "No", Back_End_Data!L300)</f>
        <v>No</v>
      </c>
      <c r="M300" s="1" t="str">
        <f>IF(Back_End_Data!N300="", "No", Back_End_Data!N300)</f>
        <v>No</v>
      </c>
      <c r="N300" s="1" t="str">
        <f>IF(Back_End_Data!M300="", "No", Back_End_Data!M300)</f>
        <v>No</v>
      </c>
      <c r="O300" s="1" t="str">
        <f>IF(Back_End_Data!O300="Completed","Yes","No")</f>
        <v>No</v>
      </c>
      <c r="P300" s="1" t="str">
        <f>IF(Back_End_Data!H300="Completed","Yes","No")</f>
        <v>No</v>
      </c>
      <c r="Q300" s="1" t="str">
        <f>IF(Back_End_Data!P300="Completed","Yes","No")</f>
        <v>No</v>
      </c>
      <c r="R300" s="1" t="s">
        <v>2369</v>
      </c>
      <c r="S300" s="1" t="str">
        <f>IF(Back_End_Data!R300="Completed","Yes","No")</f>
        <v>No</v>
      </c>
      <c r="T300" s="1" t="str">
        <f>IF(Back_End_Data!S300="Yes","Yes","No")</f>
        <v>No</v>
      </c>
      <c r="U300" s="1" t="str">
        <f>IF(Back_End_Data!Q299="Completed","Yes","No")</f>
        <v>No</v>
      </c>
      <c r="V300" s="1" t="e">
        <f ca="1">IF(INDEX(MIS_Backend_Data!L:L, MATCH(D300, MIS_Backend_Data!B:B, 1)) = "WT", "Yes", "No")</f>
        <v>#N/A</v>
      </c>
      <c r="W300" s="2" t="str">
        <f t="shared" ca="1" si="12"/>
        <v/>
      </c>
      <c r="AA300" s="1">
        <f t="shared" ca="1" si="13"/>
        <v>0</v>
      </c>
      <c r="AG300" s="1" t="str">
        <f t="shared" si="14"/>
        <v/>
      </c>
    </row>
    <row r="301" spans="1:33" ht="20.25" customHeight="1">
      <c r="A301" s="13">
        <v>300</v>
      </c>
      <c r="H301" s="1" t="str">
        <f>IF(Back_End_Data!G301="Completed","Yes","No")</f>
        <v>No</v>
      </c>
      <c r="I301" s="1" t="str">
        <f>IF(Back_End_Data!I301="Completed","Yes","No")</f>
        <v>No</v>
      </c>
      <c r="J301" s="1" t="str">
        <f>IF(Back_End_Data!J301="Completed","Yes","No")</f>
        <v>No</v>
      </c>
      <c r="K301" s="1" t="str">
        <f>IF(Back_End_Data!K301="Completed","Yes","No")</f>
        <v>No</v>
      </c>
      <c r="L301" s="1" t="str">
        <f>IF(Back_End_Data!L301="", "No", Back_End_Data!L301)</f>
        <v>No</v>
      </c>
      <c r="M301" s="1" t="str">
        <f>IF(Back_End_Data!N301="", "No", Back_End_Data!N301)</f>
        <v>No</v>
      </c>
      <c r="N301" s="1" t="str">
        <f>IF(Back_End_Data!M301="", "No", Back_End_Data!M301)</f>
        <v>No</v>
      </c>
      <c r="O301" s="1" t="str">
        <f>IF(Back_End_Data!O301="Completed","Yes","No")</f>
        <v>No</v>
      </c>
      <c r="P301" s="1" t="str">
        <f>IF(Back_End_Data!H301="Completed","Yes","No")</f>
        <v>No</v>
      </c>
      <c r="Q301" s="1" t="str">
        <f>IF(Back_End_Data!P301="Completed","Yes","No")</f>
        <v>No</v>
      </c>
      <c r="R301" s="1" t="s">
        <v>2369</v>
      </c>
      <c r="S301" s="1" t="str">
        <f>IF(Back_End_Data!R301="Completed","Yes","No")</f>
        <v>No</v>
      </c>
      <c r="T301" s="1" t="str">
        <f>IF(Back_End_Data!S301="Yes","Yes","No")</f>
        <v>No</v>
      </c>
      <c r="U301" s="1" t="str">
        <f>IF(Back_End_Data!Q300="Completed","Yes","No")</f>
        <v>No</v>
      </c>
      <c r="V301" s="1" t="e">
        <f ca="1">IF(INDEX(MIS_Backend_Data!L:L, MATCH(D301, MIS_Backend_Data!B:B, 1)) = "WT", "Yes", "No")</f>
        <v>#N/A</v>
      </c>
      <c r="W301" s="2" t="str">
        <f t="shared" ca="1" si="12"/>
        <v/>
      </c>
      <c r="AA301" s="1">
        <f t="shared" ca="1" si="13"/>
        <v>0</v>
      </c>
      <c r="AG301" s="1" t="str">
        <f t="shared" si="14"/>
        <v/>
      </c>
    </row>
    <row r="302" spans="1:33" ht="20.25" customHeight="1">
      <c r="A302" s="13">
        <v>301</v>
      </c>
      <c r="H302" s="1" t="str">
        <f>IF(Back_End_Data!G302="Completed","Yes","No")</f>
        <v>No</v>
      </c>
      <c r="I302" s="1" t="str">
        <f>IF(Back_End_Data!I302="Completed","Yes","No")</f>
        <v>No</v>
      </c>
      <c r="J302" s="1" t="str">
        <f>IF(Back_End_Data!J302="Completed","Yes","No")</f>
        <v>No</v>
      </c>
      <c r="K302" s="1" t="str">
        <f>IF(Back_End_Data!K302="Completed","Yes","No")</f>
        <v>No</v>
      </c>
      <c r="L302" s="1" t="str">
        <f>IF(Back_End_Data!L302="", "No", Back_End_Data!L302)</f>
        <v>No</v>
      </c>
      <c r="M302" s="1" t="str">
        <f>IF(Back_End_Data!N302="", "No", Back_End_Data!N302)</f>
        <v>No</v>
      </c>
      <c r="N302" s="1" t="str">
        <f>IF(Back_End_Data!M302="", "No", Back_End_Data!M302)</f>
        <v>No</v>
      </c>
      <c r="O302" s="1" t="str">
        <f>IF(Back_End_Data!O302="Completed","Yes","No")</f>
        <v>No</v>
      </c>
      <c r="P302" s="1" t="str">
        <f>IF(Back_End_Data!H302="Completed","Yes","No")</f>
        <v>No</v>
      </c>
      <c r="Q302" s="1" t="str">
        <f>IF(Back_End_Data!P302="Completed","Yes","No")</f>
        <v>No</v>
      </c>
      <c r="R302" s="1" t="s">
        <v>2369</v>
      </c>
      <c r="S302" s="1" t="str">
        <f>IF(Back_End_Data!R302="Completed","Yes","No")</f>
        <v>No</v>
      </c>
      <c r="T302" s="1" t="str">
        <f>IF(Back_End_Data!S302="Yes","Yes","No")</f>
        <v>No</v>
      </c>
      <c r="U302" s="1" t="str">
        <f>IF(Back_End_Data!Q301="Completed","Yes","No")</f>
        <v>No</v>
      </c>
      <c r="V302" s="1" t="e">
        <f ca="1">IF(INDEX(MIS_Backend_Data!L:L, MATCH(D302, MIS_Backend_Data!B:B, 1)) = "WT", "Yes", "No")</f>
        <v>#N/A</v>
      </c>
      <c r="W302" s="2" t="str">
        <f t="shared" ca="1" si="12"/>
        <v/>
      </c>
      <c r="AA302" s="1">
        <f t="shared" ca="1" si="13"/>
        <v>0</v>
      </c>
      <c r="AG302" s="1" t="str">
        <f t="shared" si="14"/>
        <v/>
      </c>
    </row>
    <row r="303" spans="1:33" ht="20.25" customHeight="1">
      <c r="A303" s="13">
        <v>302</v>
      </c>
      <c r="H303" s="1" t="str">
        <f>IF(Back_End_Data!G303="Completed","Yes","No")</f>
        <v>No</v>
      </c>
      <c r="I303" s="1" t="str">
        <f>IF(Back_End_Data!I303="Completed","Yes","No")</f>
        <v>No</v>
      </c>
      <c r="J303" s="1" t="str">
        <f>IF(Back_End_Data!J303="Completed","Yes","No")</f>
        <v>No</v>
      </c>
      <c r="K303" s="1" t="str">
        <f>IF(Back_End_Data!K303="Completed","Yes","No")</f>
        <v>No</v>
      </c>
      <c r="L303" s="1" t="str">
        <f>IF(Back_End_Data!L303="", "No", Back_End_Data!L303)</f>
        <v>No</v>
      </c>
      <c r="M303" s="1" t="str">
        <f>IF(Back_End_Data!N303="", "No", Back_End_Data!N303)</f>
        <v>No</v>
      </c>
      <c r="N303" s="1" t="str">
        <f>IF(Back_End_Data!M303="", "No", Back_End_Data!M303)</f>
        <v>No</v>
      </c>
      <c r="O303" s="1" t="str">
        <f>IF(Back_End_Data!O303="Completed","Yes","No")</f>
        <v>No</v>
      </c>
      <c r="P303" s="1" t="str">
        <f>IF(Back_End_Data!H303="Completed","Yes","No")</f>
        <v>No</v>
      </c>
      <c r="Q303" s="1" t="str">
        <f>IF(Back_End_Data!P303="Completed","Yes","No")</f>
        <v>No</v>
      </c>
      <c r="R303" s="1" t="s">
        <v>2369</v>
      </c>
      <c r="S303" s="1" t="str">
        <f>IF(Back_End_Data!R303="Completed","Yes","No")</f>
        <v>No</v>
      </c>
      <c r="T303" s="1" t="str">
        <f>IF(Back_End_Data!S303="Yes","Yes","No")</f>
        <v>No</v>
      </c>
      <c r="U303" s="1" t="str">
        <f>IF(Back_End_Data!Q302="Completed","Yes","No")</f>
        <v>No</v>
      </c>
      <c r="V303" s="1" t="e">
        <f ca="1">IF(INDEX(MIS_Backend_Data!L:L, MATCH(D303, MIS_Backend_Data!B:B, 1)) = "WT", "Yes", "No")</f>
        <v>#N/A</v>
      </c>
      <c r="W303" s="2" t="str">
        <f t="shared" ca="1" si="12"/>
        <v/>
      </c>
      <c r="AA303" s="1">
        <f t="shared" ca="1" si="13"/>
        <v>0</v>
      </c>
      <c r="AG303" s="1" t="str">
        <f t="shared" si="14"/>
        <v/>
      </c>
    </row>
    <row r="304" spans="1:33" ht="20.25" customHeight="1">
      <c r="A304" s="13">
        <v>303</v>
      </c>
      <c r="H304" s="1" t="str">
        <f>IF(Back_End_Data!G304="Completed","Yes","No")</f>
        <v>No</v>
      </c>
      <c r="I304" s="1" t="str">
        <f>IF(Back_End_Data!I304="Completed","Yes","No")</f>
        <v>No</v>
      </c>
      <c r="J304" s="1" t="str">
        <f>IF(Back_End_Data!J304="Completed","Yes","No")</f>
        <v>No</v>
      </c>
      <c r="K304" s="1" t="str">
        <f>IF(Back_End_Data!K304="Completed","Yes","No")</f>
        <v>No</v>
      </c>
      <c r="L304" s="1" t="str">
        <f>IF(Back_End_Data!L304="", "No", Back_End_Data!L304)</f>
        <v>No</v>
      </c>
      <c r="M304" s="1" t="str">
        <f>IF(Back_End_Data!N304="", "No", Back_End_Data!N304)</f>
        <v>No</v>
      </c>
      <c r="N304" s="1" t="str">
        <f>IF(Back_End_Data!M304="", "No", Back_End_Data!M304)</f>
        <v>No</v>
      </c>
      <c r="O304" s="1" t="str">
        <f>IF(Back_End_Data!O304="Completed","Yes","No")</f>
        <v>No</v>
      </c>
      <c r="P304" s="1" t="str">
        <f>IF(Back_End_Data!H304="Completed","Yes","No")</f>
        <v>No</v>
      </c>
      <c r="Q304" s="1" t="str">
        <f>IF(Back_End_Data!P304="Completed","Yes","No")</f>
        <v>No</v>
      </c>
      <c r="R304" s="1" t="s">
        <v>2369</v>
      </c>
      <c r="S304" s="1" t="str">
        <f>IF(Back_End_Data!R304="Completed","Yes","No")</f>
        <v>No</v>
      </c>
      <c r="T304" s="1" t="str">
        <f>IF(Back_End_Data!S304="Yes","Yes","No")</f>
        <v>No</v>
      </c>
      <c r="U304" s="1" t="str">
        <f>IF(Back_End_Data!Q303="Completed","Yes","No")</f>
        <v>No</v>
      </c>
      <c r="V304" s="1" t="e">
        <f ca="1">IF(INDEX(MIS_Backend_Data!L:L, MATCH(D304, MIS_Backend_Data!B:B, 1)) = "WT", "Yes", "No")</f>
        <v>#N/A</v>
      </c>
      <c r="W304" s="2" t="str">
        <f t="shared" ca="1" si="12"/>
        <v/>
      </c>
      <c r="AA304" s="1">
        <f t="shared" ca="1" si="13"/>
        <v>0</v>
      </c>
      <c r="AG304" s="1" t="str">
        <f t="shared" si="14"/>
        <v/>
      </c>
    </row>
    <row r="305" spans="1:33" ht="20.25" customHeight="1">
      <c r="A305" s="13">
        <v>304</v>
      </c>
      <c r="H305" s="1" t="str">
        <f>IF(Back_End_Data!G305="Completed","Yes","No")</f>
        <v>No</v>
      </c>
      <c r="I305" s="1" t="str">
        <f>IF(Back_End_Data!I305="Completed","Yes","No")</f>
        <v>No</v>
      </c>
      <c r="J305" s="1" t="str">
        <f>IF(Back_End_Data!J305="Completed","Yes","No")</f>
        <v>No</v>
      </c>
      <c r="K305" s="1" t="str">
        <f>IF(Back_End_Data!K305="Completed","Yes","No")</f>
        <v>No</v>
      </c>
      <c r="L305" s="1" t="str">
        <f>IF(Back_End_Data!L305="", "No", Back_End_Data!L305)</f>
        <v>No</v>
      </c>
      <c r="M305" s="1" t="str">
        <f>IF(Back_End_Data!N305="", "No", Back_End_Data!N305)</f>
        <v>No</v>
      </c>
      <c r="N305" s="1" t="str">
        <f>IF(Back_End_Data!M305="", "No", Back_End_Data!M305)</f>
        <v>No</v>
      </c>
      <c r="O305" s="1" t="str">
        <f>IF(Back_End_Data!O305="Completed","Yes","No")</f>
        <v>No</v>
      </c>
      <c r="P305" s="1" t="str">
        <f>IF(Back_End_Data!H305="Completed","Yes","No")</f>
        <v>No</v>
      </c>
      <c r="Q305" s="1" t="str">
        <f>IF(Back_End_Data!P305="Completed","Yes","No")</f>
        <v>No</v>
      </c>
      <c r="R305" s="1" t="s">
        <v>2369</v>
      </c>
      <c r="S305" s="1" t="str">
        <f>IF(Back_End_Data!R305="Completed","Yes","No")</f>
        <v>No</v>
      </c>
      <c r="T305" s="1" t="str">
        <f>IF(Back_End_Data!S305="Yes","Yes","No")</f>
        <v>No</v>
      </c>
      <c r="U305" s="1" t="str">
        <f>IF(Back_End_Data!Q304="Completed","Yes","No")</f>
        <v>No</v>
      </c>
      <c r="V305" s="1" t="e">
        <f ca="1">IF(INDEX(MIS_Backend_Data!L:L, MATCH(D305, MIS_Backend_Data!B:B, 1)) = "WT", "Yes", "No")</f>
        <v>#N/A</v>
      </c>
      <c r="W305" s="2" t="str">
        <f t="shared" ca="1" si="12"/>
        <v/>
      </c>
      <c r="AA305" s="1">
        <f t="shared" ca="1" si="13"/>
        <v>0</v>
      </c>
      <c r="AG305" s="1" t="str">
        <f t="shared" si="14"/>
        <v/>
      </c>
    </row>
    <row r="306" spans="1:33" ht="20.25" customHeight="1">
      <c r="A306" s="13">
        <v>305</v>
      </c>
      <c r="H306" s="1" t="str">
        <f>IF(Back_End_Data!G306="Completed","Yes","No")</f>
        <v>No</v>
      </c>
      <c r="I306" s="1" t="str">
        <f>IF(Back_End_Data!I306="Completed","Yes","No")</f>
        <v>No</v>
      </c>
      <c r="J306" s="1" t="str">
        <f>IF(Back_End_Data!J306="Completed","Yes","No")</f>
        <v>No</v>
      </c>
      <c r="K306" s="1" t="str">
        <f>IF(Back_End_Data!K306="Completed","Yes","No")</f>
        <v>No</v>
      </c>
      <c r="L306" s="1" t="str">
        <f>IF(Back_End_Data!L306="", "No", Back_End_Data!L306)</f>
        <v>No</v>
      </c>
      <c r="M306" s="1" t="str">
        <f>IF(Back_End_Data!N306="", "No", Back_End_Data!N306)</f>
        <v>No</v>
      </c>
      <c r="N306" s="1" t="str">
        <f>IF(Back_End_Data!M306="", "No", Back_End_Data!M306)</f>
        <v>No</v>
      </c>
      <c r="O306" s="1" t="str">
        <f>IF(Back_End_Data!O306="Completed","Yes","No")</f>
        <v>No</v>
      </c>
      <c r="P306" s="1" t="str">
        <f>IF(Back_End_Data!H306="Completed","Yes","No")</f>
        <v>No</v>
      </c>
      <c r="Q306" s="1" t="str">
        <f>IF(Back_End_Data!P306="Completed","Yes","No")</f>
        <v>No</v>
      </c>
      <c r="R306" s="1" t="s">
        <v>2369</v>
      </c>
      <c r="S306" s="1" t="str">
        <f>IF(Back_End_Data!R306="Completed","Yes","No")</f>
        <v>No</v>
      </c>
      <c r="T306" s="1" t="str">
        <f>IF(Back_End_Data!S306="Yes","Yes","No")</f>
        <v>No</v>
      </c>
      <c r="U306" s="1" t="str">
        <f>IF(Back_End_Data!Q305="Completed","Yes","No")</f>
        <v>No</v>
      </c>
      <c r="V306" s="1" t="e">
        <f ca="1">IF(INDEX(MIS_Backend_Data!L:L, MATCH(D306, MIS_Backend_Data!B:B, 1)) = "WT", "Yes", "No")</f>
        <v>#N/A</v>
      </c>
      <c r="W306" s="2" t="str">
        <f t="shared" ca="1" si="12"/>
        <v/>
      </c>
      <c r="AA306" s="1">
        <f t="shared" ca="1" si="13"/>
        <v>0</v>
      </c>
      <c r="AG306" s="1" t="str">
        <f t="shared" si="14"/>
        <v/>
      </c>
    </row>
    <row r="307" spans="1:33" ht="20.25" customHeight="1">
      <c r="A307" s="13">
        <v>306</v>
      </c>
      <c r="H307" s="1" t="str">
        <f>IF(Back_End_Data!G307="Completed","Yes","No")</f>
        <v>No</v>
      </c>
      <c r="I307" s="1" t="str">
        <f>IF(Back_End_Data!I307="Completed","Yes","No")</f>
        <v>No</v>
      </c>
      <c r="J307" s="1" t="str">
        <f>IF(Back_End_Data!J307="Completed","Yes","No")</f>
        <v>No</v>
      </c>
      <c r="K307" s="1" t="str">
        <f>IF(Back_End_Data!K307="Completed","Yes","No")</f>
        <v>No</v>
      </c>
      <c r="L307" s="1" t="str">
        <f>IF(Back_End_Data!L307="", "No", Back_End_Data!L307)</f>
        <v>No</v>
      </c>
      <c r="M307" s="1" t="str">
        <f>IF(Back_End_Data!N307="", "No", Back_End_Data!N307)</f>
        <v>No</v>
      </c>
      <c r="N307" s="1" t="str">
        <f>IF(Back_End_Data!M307="", "No", Back_End_Data!M307)</f>
        <v>No</v>
      </c>
      <c r="O307" s="1" t="str">
        <f>IF(Back_End_Data!O307="Completed","Yes","No")</f>
        <v>No</v>
      </c>
      <c r="P307" s="1" t="str">
        <f>IF(Back_End_Data!H307="Completed","Yes","No")</f>
        <v>No</v>
      </c>
      <c r="Q307" s="1" t="str">
        <f>IF(Back_End_Data!P307="Completed","Yes","No")</f>
        <v>No</v>
      </c>
      <c r="R307" s="1" t="s">
        <v>2369</v>
      </c>
      <c r="S307" s="1" t="str">
        <f>IF(Back_End_Data!R307="Completed","Yes","No")</f>
        <v>No</v>
      </c>
      <c r="T307" s="1" t="str">
        <f>IF(Back_End_Data!S307="Yes","Yes","No")</f>
        <v>No</v>
      </c>
      <c r="U307" s="1" t="str">
        <f>IF(Back_End_Data!Q306="Completed","Yes","No")</f>
        <v>No</v>
      </c>
      <c r="V307" s="1" t="e">
        <f ca="1">IF(INDEX(MIS_Backend_Data!L:L, MATCH(D307, MIS_Backend_Data!B:B, 1)) = "WT", "Yes", "No")</f>
        <v>#N/A</v>
      </c>
      <c r="W307" s="2" t="str">
        <f t="shared" ca="1" si="12"/>
        <v/>
      </c>
      <c r="AA307" s="1">
        <f t="shared" ca="1" si="13"/>
        <v>0</v>
      </c>
      <c r="AG307" s="1" t="str">
        <f t="shared" si="14"/>
        <v/>
      </c>
    </row>
    <row r="308" spans="1:33" ht="20.25" customHeight="1">
      <c r="A308" s="13">
        <v>307</v>
      </c>
      <c r="H308" s="1" t="str">
        <f>IF(Back_End_Data!G308="Completed","Yes","No")</f>
        <v>No</v>
      </c>
      <c r="I308" s="1" t="str">
        <f>IF(Back_End_Data!I308="Completed","Yes","No")</f>
        <v>No</v>
      </c>
      <c r="J308" s="1" t="str">
        <f>IF(Back_End_Data!J308="Completed","Yes","No")</f>
        <v>No</v>
      </c>
      <c r="K308" s="1" t="str">
        <f>IF(Back_End_Data!K308="Completed","Yes","No")</f>
        <v>No</v>
      </c>
      <c r="L308" s="1" t="str">
        <f>IF(Back_End_Data!L308="", "No", Back_End_Data!L308)</f>
        <v>No</v>
      </c>
      <c r="M308" s="1" t="str">
        <f>IF(Back_End_Data!N308="", "No", Back_End_Data!N308)</f>
        <v>No</v>
      </c>
      <c r="N308" s="1" t="str">
        <f>IF(Back_End_Data!M308="", "No", Back_End_Data!M308)</f>
        <v>No</v>
      </c>
      <c r="O308" s="1" t="str">
        <f>IF(Back_End_Data!O308="Completed","Yes","No")</f>
        <v>No</v>
      </c>
      <c r="P308" s="1" t="str">
        <f>IF(Back_End_Data!H308="Completed","Yes","No")</f>
        <v>No</v>
      </c>
      <c r="Q308" s="1" t="str">
        <f>IF(Back_End_Data!P308="Completed","Yes","No")</f>
        <v>No</v>
      </c>
      <c r="R308" s="1" t="s">
        <v>2369</v>
      </c>
      <c r="S308" s="1" t="str">
        <f>IF(Back_End_Data!R308="Completed","Yes","No")</f>
        <v>No</v>
      </c>
      <c r="T308" s="1" t="str">
        <f>IF(Back_End_Data!S308="Yes","Yes","No")</f>
        <v>No</v>
      </c>
      <c r="U308" s="1" t="str">
        <f>IF(Back_End_Data!Q307="Completed","Yes","No")</f>
        <v>No</v>
      </c>
      <c r="V308" s="1" t="e">
        <f ca="1">IF(INDEX(MIS_Backend_Data!L:L, MATCH(D308, MIS_Backend_Data!B:B, 1)) = "WT", "Yes", "No")</f>
        <v>#N/A</v>
      </c>
      <c r="W308" s="2" t="str">
        <f t="shared" ca="1" si="12"/>
        <v/>
      </c>
      <c r="AA308" s="1">
        <f t="shared" ca="1" si="13"/>
        <v>0</v>
      </c>
      <c r="AG308" s="1" t="str">
        <f t="shared" si="14"/>
        <v/>
      </c>
    </row>
    <row r="309" spans="1:33" ht="20.25" customHeight="1">
      <c r="A309" s="13">
        <v>308</v>
      </c>
      <c r="H309" s="1" t="str">
        <f>IF(Back_End_Data!G309="Completed","Yes","No")</f>
        <v>No</v>
      </c>
      <c r="I309" s="1" t="str">
        <f>IF(Back_End_Data!I309="Completed","Yes","No")</f>
        <v>No</v>
      </c>
      <c r="J309" s="1" t="str">
        <f>IF(Back_End_Data!J309="Completed","Yes","No")</f>
        <v>No</v>
      </c>
      <c r="K309" s="1" t="str">
        <f>IF(Back_End_Data!K309="Completed","Yes","No")</f>
        <v>No</v>
      </c>
      <c r="L309" s="1" t="str">
        <f>IF(Back_End_Data!L309="", "No", Back_End_Data!L309)</f>
        <v>No</v>
      </c>
      <c r="M309" s="1" t="str">
        <f>IF(Back_End_Data!N309="", "No", Back_End_Data!N309)</f>
        <v>No</v>
      </c>
      <c r="N309" s="1" t="str">
        <f>IF(Back_End_Data!M309="", "No", Back_End_Data!M309)</f>
        <v>No</v>
      </c>
      <c r="O309" s="1" t="str">
        <f>IF(Back_End_Data!O309="Completed","Yes","No")</f>
        <v>No</v>
      </c>
      <c r="P309" s="1" t="str">
        <f>IF(Back_End_Data!H309="Completed","Yes","No")</f>
        <v>No</v>
      </c>
      <c r="Q309" s="1" t="str">
        <f>IF(Back_End_Data!P309="Completed","Yes","No")</f>
        <v>No</v>
      </c>
      <c r="R309" s="1" t="s">
        <v>2369</v>
      </c>
      <c r="S309" s="1" t="str">
        <f>IF(Back_End_Data!R309="Completed","Yes","No")</f>
        <v>No</v>
      </c>
      <c r="T309" s="1" t="str">
        <f>IF(Back_End_Data!S309="Yes","Yes","No")</f>
        <v>No</v>
      </c>
      <c r="U309" s="1" t="str">
        <f>IF(Back_End_Data!Q308="Completed","Yes","No")</f>
        <v>No</v>
      </c>
      <c r="V309" s="1" t="e">
        <f ca="1">IF(INDEX(MIS_Backend_Data!L:L, MATCH(D309, MIS_Backend_Data!B:B, 1)) = "WT", "Yes", "No")</f>
        <v>#N/A</v>
      </c>
      <c r="W309" s="2" t="str">
        <f t="shared" ca="1" si="12"/>
        <v/>
      </c>
      <c r="AA309" s="1">
        <f t="shared" ca="1" si="13"/>
        <v>0</v>
      </c>
      <c r="AG309" s="1" t="str">
        <f t="shared" si="14"/>
        <v/>
      </c>
    </row>
    <row r="310" spans="1:33" ht="20.25" customHeight="1">
      <c r="A310" s="13">
        <v>309</v>
      </c>
      <c r="H310" s="1" t="str">
        <f>IF(Back_End_Data!G310="Completed","Yes","No")</f>
        <v>No</v>
      </c>
      <c r="I310" s="1" t="str">
        <f>IF(Back_End_Data!I310="Completed","Yes","No")</f>
        <v>No</v>
      </c>
      <c r="J310" s="1" t="str">
        <f>IF(Back_End_Data!J310="Completed","Yes","No")</f>
        <v>No</v>
      </c>
      <c r="K310" s="1" t="str">
        <f>IF(Back_End_Data!K310="Completed","Yes","No")</f>
        <v>No</v>
      </c>
      <c r="L310" s="1" t="str">
        <f>IF(Back_End_Data!L310="", "No", Back_End_Data!L310)</f>
        <v>No</v>
      </c>
      <c r="M310" s="1" t="str">
        <f>IF(Back_End_Data!N310="", "No", Back_End_Data!N310)</f>
        <v>No</v>
      </c>
      <c r="N310" s="1" t="str">
        <f>IF(Back_End_Data!M310="", "No", Back_End_Data!M310)</f>
        <v>No</v>
      </c>
      <c r="O310" s="1" t="str">
        <f>IF(Back_End_Data!O310="Completed","Yes","No")</f>
        <v>No</v>
      </c>
      <c r="P310" s="1" t="str">
        <f>IF(Back_End_Data!H310="Completed","Yes","No")</f>
        <v>No</v>
      </c>
      <c r="Q310" s="1" t="str">
        <f>IF(Back_End_Data!P310="Completed","Yes","No")</f>
        <v>No</v>
      </c>
      <c r="R310" s="1" t="s">
        <v>2369</v>
      </c>
      <c r="S310" s="1" t="str">
        <f>IF(Back_End_Data!R310="Completed","Yes","No")</f>
        <v>No</v>
      </c>
      <c r="T310" s="1" t="str">
        <f>IF(Back_End_Data!S310="Yes","Yes","No")</f>
        <v>No</v>
      </c>
      <c r="U310" s="1" t="str">
        <f>IF(Back_End_Data!Q309="Completed","Yes","No")</f>
        <v>No</v>
      </c>
      <c r="V310" s="1" t="e">
        <f ca="1">IF(INDEX(MIS_Backend_Data!L:L, MATCH(D310, MIS_Backend_Data!B:B, 1)) = "WT", "Yes", "No")</f>
        <v>#N/A</v>
      </c>
      <c r="W310" s="2" t="str">
        <f t="shared" ca="1" si="12"/>
        <v/>
      </c>
      <c r="AA310" s="1">
        <f t="shared" ca="1" si="13"/>
        <v>0</v>
      </c>
      <c r="AG310" s="1" t="str">
        <f t="shared" si="14"/>
        <v/>
      </c>
    </row>
    <row r="311" spans="1:33" ht="20.25" customHeight="1">
      <c r="A311" s="13">
        <v>310</v>
      </c>
      <c r="H311" s="1" t="str">
        <f>IF(Back_End_Data!G311="Completed","Yes","No")</f>
        <v>No</v>
      </c>
      <c r="I311" s="1" t="str">
        <f>IF(Back_End_Data!I311="Completed","Yes","No")</f>
        <v>No</v>
      </c>
      <c r="J311" s="1" t="str">
        <f>IF(Back_End_Data!J311="Completed","Yes","No")</f>
        <v>No</v>
      </c>
      <c r="K311" s="1" t="str">
        <f>IF(Back_End_Data!K311="Completed","Yes","No")</f>
        <v>No</v>
      </c>
      <c r="L311" s="1" t="str">
        <f>IF(Back_End_Data!L311="", "No", Back_End_Data!L311)</f>
        <v>No</v>
      </c>
      <c r="M311" s="1" t="str">
        <f>IF(Back_End_Data!N311="", "No", Back_End_Data!N311)</f>
        <v>No</v>
      </c>
      <c r="N311" s="1" t="str">
        <f>IF(Back_End_Data!M311="", "No", Back_End_Data!M311)</f>
        <v>No</v>
      </c>
      <c r="O311" s="1" t="str">
        <f>IF(Back_End_Data!O311="Completed","Yes","No")</f>
        <v>No</v>
      </c>
      <c r="P311" s="1" t="str">
        <f>IF(Back_End_Data!H311="Completed","Yes","No")</f>
        <v>No</v>
      </c>
      <c r="Q311" s="1" t="str">
        <f>IF(Back_End_Data!P311="Completed","Yes","No")</f>
        <v>No</v>
      </c>
      <c r="R311" s="1" t="s">
        <v>2369</v>
      </c>
      <c r="S311" s="1" t="str">
        <f>IF(Back_End_Data!R311="Completed","Yes","No")</f>
        <v>No</v>
      </c>
      <c r="T311" s="1" t="str">
        <f>IF(Back_End_Data!S311="Yes","Yes","No")</f>
        <v>No</v>
      </c>
      <c r="U311" s="1" t="str">
        <f>IF(Back_End_Data!Q310="Completed","Yes","No")</f>
        <v>No</v>
      </c>
      <c r="V311" s="1" t="e">
        <f ca="1">IF(INDEX(MIS_Backend_Data!L:L, MATCH(D311, MIS_Backend_Data!B:B, 1)) = "WT", "Yes", "No")</f>
        <v>#N/A</v>
      </c>
      <c r="W311" s="2" t="str">
        <f t="shared" ca="1" si="12"/>
        <v/>
      </c>
      <c r="AA311" s="1">
        <f t="shared" ca="1" si="13"/>
        <v>0</v>
      </c>
      <c r="AG311" s="1" t="str">
        <f t="shared" si="14"/>
        <v/>
      </c>
    </row>
    <row r="312" spans="1:33" ht="20.25" customHeight="1">
      <c r="A312" s="13">
        <v>311</v>
      </c>
      <c r="H312" s="1" t="str">
        <f>IF(Back_End_Data!G312="Completed","Yes","No")</f>
        <v>No</v>
      </c>
      <c r="I312" s="1" t="str">
        <f>IF(Back_End_Data!I312="Completed","Yes","No")</f>
        <v>No</v>
      </c>
      <c r="J312" s="1" t="str">
        <f>IF(Back_End_Data!J312="Completed","Yes","No")</f>
        <v>No</v>
      </c>
      <c r="K312" s="1" t="str">
        <f>IF(Back_End_Data!K312="Completed","Yes","No")</f>
        <v>No</v>
      </c>
      <c r="L312" s="1" t="str">
        <f>IF(Back_End_Data!L312="", "No", Back_End_Data!L312)</f>
        <v>No</v>
      </c>
      <c r="M312" s="1" t="str">
        <f>IF(Back_End_Data!N312="", "No", Back_End_Data!N312)</f>
        <v>No</v>
      </c>
      <c r="N312" s="1" t="str">
        <f>IF(Back_End_Data!M312="", "No", Back_End_Data!M312)</f>
        <v>No</v>
      </c>
      <c r="O312" s="1" t="str">
        <f>IF(Back_End_Data!O312="Completed","Yes","No")</f>
        <v>No</v>
      </c>
      <c r="P312" s="1" t="str">
        <f>IF(Back_End_Data!H312="Completed","Yes","No")</f>
        <v>No</v>
      </c>
      <c r="Q312" s="1" t="str">
        <f>IF(Back_End_Data!P312="Completed","Yes","No")</f>
        <v>No</v>
      </c>
      <c r="R312" s="1" t="s">
        <v>2369</v>
      </c>
      <c r="S312" s="1" t="str">
        <f>IF(Back_End_Data!R312="Completed","Yes","No")</f>
        <v>No</v>
      </c>
      <c r="T312" s="1" t="str">
        <f>IF(Back_End_Data!S312="Yes","Yes","No")</f>
        <v>No</v>
      </c>
      <c r="U312" s="1" t="str">
        <f>IF(Back_End_Data!Q311="Completed","Yes","No")</f>
        <v>No</v>
      </c>
      <c r="V312" s="1" t="e">
        <f ca="1">IF(INDEX(MIS_Backend_Data!L:L, MATCH(D312, MIS_Backend_Data!B:B, 1)) = "WT", "Yes", "No")</f>
        <v>#N/A</v>
      </c>
      <c r="W312" s="2" t="str">
        <f t="shared" ca="1" si="12"/>
        <v/>
      </c>
      <c r="AA312" s="1">
        <f t="shared" ca="1" si="13"/>
        <v>0</v>
      </c>
      <c r="AG312" s="1" t="str">
        <f t="shared" si="14"/>
        <v/>
      </c>
    </row>
    <row r="313" spans="1:33" ht="20.25" customHeight="1">
      <c r="A313" s="13">
        <v>312</v>
      </c>
      <c r="H313" s="1" t="str">
        <f>IF(Back_End_Data!G313="Completed","Yes","No")</f>
        <v>No</v>
      </c>
      <c r="I313" s="1" t="str">
        <f>IF(Back_End_Data!I313="Completed","Yes","No")</f>
        <v>No</v>
      </c>
      <c r="J313" s="1" t="str">
        <f>IF(Back_End_Data!J313="Completed","Yes","No")</f>
        <v>No</v>
      </c>
      <c r="K313" s="1" t="str">
        <f>IF(Back_End_Data!K313="Completed","Yes","No")</f>
        <v>No</v>
      </c>
      <c r="L313" s="1" t="str">
        <f>IF(Back_End_Data!L313="", "No", Back_End_Data!L313)</f>
        <v>No</v>
      </c>
      <c r="M313" s="1" t="str">
        <f>IF(Back_End_Data!N313="", "No", Back_End_Data!N313)</f>
        <v>No</v>
      </c>
      <c r="N313" s="1" t="str">
        <f>IF(Back_End_Data!M313="", "No", Back_End_Data!M313)</f>
        <v>No</v>
      </c>
      <c r="O313" s="1" t="str">
        <f>IF(Back_End_Data!O313="Completed","Yes","No")</f>
        <v>No</v>
      </c>
      <c r="P313" s="1" t="str">
        <f>IF(Back_End_Data!H313="Completed","Yes","No")</f>
        <v>No</v>
      </c>
      <c r="Q313" s="1" t="str">
        <f>IF(Back_End_Data!P313="Completed","Yes","No")</f>
        <v>No</v>
      </c>
      <c r="R313" s="1" t="s">
        <v>2369</v>
      </c>
      <c r="S313" s="1" t="str">
        <f>IF(Back_End_Data!R313="Completed","Yes","No")</f>
        <v>No</v>
      </c>
      <c r="T313" s="1" t="str">
        <f>IF(Back_End_Data!S313="Yes","Yes","No")</f>
        <v>No</v>
      </c>
      <c r="U313" s="1" t="str">
        <f>IF(Back_End_Data!Q312="Completed","Yes","No")</f>
        <v>No</v>
      </c>
      <c r="V313" s="1" t="e">
        <f ca="1">IF(INDEX(MIS_Backend_Data!L:L, MATCH(D313, MIS_Backend_Data!B:B, 1)) = "WT", "Yes", "No")</f>
        <v>#N/A</v>
      </c>
      <c r="W313" s="2" t="str">
        <f t="shared" ca="1" si="12"/>
        <v/>
      </c>
      <c r="AA313" s="1">
        <f t="shared" ca="1" si="13"/>
        <v>0</v>
      </c>
      <c r="AG313" s="1" t="str">
        <f t="shared" si="14"/>
        <v/>
      </c>
    </row>
    <row r="314" spans="1:33" ht="20.25" customHeight="1">
      <c r="A314" s="13">
        <v>313</v>
      </c>
      <c r="H314" s="1" t="str">
        <f>IF(Back_End_Data!G314="Completed","Yes","No")</f>
        <v>No</v>
      </c>
      <c r="I314" s="1" t="str">
        <f>IF(Back_End_Data!I314="Completed","Yes","No")</f>
        <v>No</v>
      </c>
      <c r="J314" s="1" t="str">
        <f>IF(Back_End_Data!J314="Completed","Yes","No")</f>
        <v>No</v>
      </c>
      <c r="K314" s="1" t="str">
        <f>IF(Back_End_Data!K314="Completed","Yes","No")</f>
        <v>No</v>
      </c>
      <c r="L314" s="1" t="str">
        <f>IF(Back_End_Data!L314="", "No", Back_End_Data!L314)</f>
        <v>No</v>
      </c>
      <c r="M314" s="1" t="str">
        <f>IF(Back_End_Data!N314="", "No", Back_End_Data!N314)</f>
        <v>No</v>
      </c>
      <c r="N314" s="1" t="str">
        <f>IF(Back_End_Data!M314="", "No", Back_End_Data!M314)</f>
        <v>No</v>
      </c>
      <c r="O314" s="1" t="str">
        <f>IF(Back_End_Data!O314="Completed","Yes","No")</f>
        <v>No</v>
      </c>
      <c r="P314" s="1" t="str">
        <f>IF(Back_End_Data!H314="Completed","Yes","No")</f>
        <v>No</v>
      </c>
      <c r="Q314" s="1" t="str">
        <f>IF(Back_End_Data!P314="Completed","Yes","No")</f>
        <v>No</v>
      </c>
      <c r="R314" s="1" t="s">
        <v>2369</v>
      </c>
      <c r="S314" s="1" t="str">
        <f>IF(Back_End_Data!R314="Completed","Yes","No")</f>
        <v>No</v>
      </c>
      <c r="T314" s="1" t="str">
        <f>IF(Back_End_Data!S314="Yes","Yes","No")</f>
        <v>No</v>
      </c>
      <c r="U314" s="1" t="str">
        <f>IF(Back_End_Data!Q313="Completed","Yes","No")</f>
        <v>No</v>
      </c>
      <c r="V314" s="1" t="e">
        <f ca="1">IF(INDEX(MIS_Backend_Data!L:L, MATCH(D314, MIS_Backend_Data!B:B, 1)) = "WT", "Yes", "No")</f>
        <v>#N/A</v>
      </c>
      <c r="W314" s="2" t="str">
        <f t="shared" ca="1" si="12"/>
        <v/>
      </c>
      <c r="AA314" s="1">
        <f t="shared" ca="1" si="13"/>
        <v>0</v>
      </c>
      <c r="AG314" s="1" t="str">
        <f t="shared" si="14"/>
        <v/>
      </c>
    </row>
    <row r="315" spans="1:33" ht="20.25" customHeight="1">
      <c r="A315" s="13">
        <v>314</v>
      </c>
      <c r="H315" s="1" t="str">
        <f>IF(Back_End_Data!G315="Completed","Yes","No")</f>
        <v>No</v>
      </c>
      <c r="I315" s="1" t="str">
        <f>IF(Back_End_Data!I315="Completed","Yes","No")</f>
        <v>No</v>
      </c>
      <c r="J315" s="1" t="str">
        <f>IF(Back_End_Data!J315="Completed","Yes","No")</f>
        <v>No</v>
      </c>
      <c r="K315" s="1" t="str">
        <f>IF(Back_End_Data!K315="Completed","Yes","No")</f>
        <v>No</v>
      </c>
      <c r="L315" s="1" t="str">
        <f>IF(Back_End_Data!L315="", "No", Back_End_Data!L315)</f>
        <v>No</v>
      </c>
      <c r="M315" s="1" t="str">
        <f>IF(Back_End_Data!N315="", "No", Back_End_Data!N315)</f>
        <v>No</v>
      </c>
      <c r="N315" s="1" t="str">
        <f>IF(Back_End_Data!M315="", "No", Back_End_Data!M315)</f>
        <v>No</v>
      </c>
      <c r="O315" s="1" t="str">
        <f>IF(Back_End_Data!O315="Completed","Yes","No")</f>
        <v>No</v>
      </c>
      <c r="P315" s="1" t="str">
        <f>IF(Back_End_Data!H315="Completed","Yes","No")</f>
        <v>No</v>
      </c>
      <c r="Q315" s="1" t="str">
        <f>IF(Back_End_Data!P315="Completed","Yes","No")</f>
        <v>No</v>
      </c>
      <c r="R315" s="1" t="s">
        <v>2369</v>
      </c>
      <c r="S315" s="1" t="str">
        <f>IF(Back_End_Data!R315="Completed","Yes","No")</f>
        <v>No</v>
      </c>
      <c r="T315" s="1" t="str">
        <f>IF(Back_End_Data!S315="Yes","Yes","No")</f>
        <v>No</v>
      </c>
      <c r="U315" s="1" t="str">
        <f>IF(Back_End_Data!Q314="Completed","Yes","No")</f>
        <v>No</v>
      </c>
      <c r="V315" s="1" t="e">
        <f ca="1">IF(INDEX(MIS_Backend_Data!L:L, MATCH(D315, MIS_Backend_Data!B:B, 1)) = "WT", "Yes", "No")</f>
        <v>#N/A</v>
      </c>
      <c r="W315" s="2" t="str">
        <f t="shared" ca="1" si="12"/>
        <v/>
      </c>
      <c r="AA315" s="1">
        <f t="shared" ca="1" si="13"/>
        <v>0</v>
      </c>
      <c r="AG315" s="1" t="str">
        <f t="shared" si="14"/>
        <v/>
      </c>
    </row>
    <row r="316" spans="1:33" ht="20.25" customHeight="1">
      <c r="A316" s="13">
        <v>315</v>
      </c>
      <c r="H316" s="1" t="str">
        <f>IF(Back_End_Data!G316="Completed","Yes","No")</f>
        <v>No</v>
      </c>
      <c r="I316" s="1" t="str">
        <f>IF(Back_End_Data!I316="Completed","Yes","No")</f>
        <v>No</v>
      </c>
      <c r="J316" s="1" t="str">
        <f>IF(Back_End_Data!J316="Completed","Yes","No")</f>
        <v>No</v>
      </c>
      <c r="K316" s="1" t="str">
        <f>IF(Back_End_Data!K316="Completed","Yes","No")</f>
        <v>No</v>
      </c>
      <c r="L316" s="1" t="str">
        <f>IF(Back_End_Data!L316="", "No", Back_End_Data!L316)</f>
        <v>No</v>
      </c>
      <c r="M316" s="1" t="str">
        <f>IF(Back_End_Data!N316="", "No", Back_End_Data!N316)</f>
        <v>No</v>
      </c>
      <c r="N316" s="1" t="str">
        <f>IF(Back_End_Data!M316="", "No", Back_End_Data!M316)</f>
        <v>No</v>
      </c>
      <c r="O316" s="1" t="str">
        <f>IF(Back_End_Data!O316="Completed","Yes","No")</f>
        <v>No</v>
      </c>
      <c r="P316" s="1" t="str">
        <f>IF(Back_End_Data!H316="Completed","Yes","No")</f>
        <v>No</v>
      </c>
      <c r="Q316" s="1" t="str">
        <f>IF(Back_End_Data!P316="Completed","Yes","No")</f>
        <v>No</v>
      </c>
      <c r="R316" s="1" t="s">
        <v>2369</v>
      </c>
      <c r="S316" s="1" t="str">
        <f>IF(Back_End_Data!R316="Completed","Yes","No")</f>
        <v>No</v>
      </c>
      <c r="T316" s="1" t="str">
        <f>IF(Back_End_Data!S316="Yes","Yes","No")</f>
        <v>No</v>
      </c>
      <c r="U316" s="1" t="str">
        <f>IF(Back_End_Data!Q315="Completed","Yes","No")</f>
        <v>No</v>
      </c>
      <c r="V316" s="1" t="e">
        <f ca="1">IF(INDEX(MIS_Backend_Data!L:L, MATCH(D316, MIS_Backend_Data!B:B, 1)) = "WT", "Yes", "No")</f>
        <v>#N/A</v>
      </c>
      <c r="W316" s="2" t="str">
        <f t="shared" ca="1" si="12"/>
        <v/>
      </c>
      <c r="AA316" s="1">
        <f t="shared" ca="1" si="13"/>
        <v>0</v>
      </c>
      <c r="AG316" s="1" t="str">
        <f t="shared" si="14"/>
        <v/>
      </c>
    </row>
    <row r="317" spans="1:33" ht="20.25" customHeight="1">
      <c r="A317" s="13">
        <v>316</v>
      </c>
      <c r="H317" s="1" t="str">
        <f>IF(Back_End_Data!G317="Completed","Yes","No")</f>
        <v>No</v>
      </c>
      <c r="I317" s="1" t="str">
        <f>IF(Back_End_Data!I317="Completed","Yes","No")</f>
        <v>No</v>
      </c>
      <c r="J317" s="1" t="str">
        <f>IF(Back_End_Data!J317="Completed","Yes","No")</f>
        <v>No</v>
      </c>
      <c r="K317" s="1" t="str">
        <f>IF(Back_End_Data!K317="Completed","Yes","No")</f>
        <v>No</v>
      </c>
      <c r="L317" s="1" t="str">
        <f>IF(Back_End_Data!L317="", "No", Back_End_Data!L317)</f>
        <v>No</v>
      </c>
      <c r="M317" s="1" t="str">
        <f>IF(Back_End_Data!N317="", "No", Back_End_Data!N317)</f>
        <v>No</v>
      </c>
      <c r="N317" s="1" t="str">
        <f>IF(Back_End_Data!M317="", "No", Back_End_Data!M317)</f>
        <v>No</v>
      </c>
      <c r="O317" s="1" t="str">
        <f>IF(Back_End_Data!O317="Completed","Yes","No")</f>
        <v>No</v>
      </c>
      <c r="P317" s="1" t="str">
        <f>IF(Back_End_Data!H317="Completed","Yes","No")</f>
        <v>No</v>
      </c>
      <c r="Q317" s="1" t="str">
        <f>IF(Back_End_Data!P317="Completed","Yes","No")</f>
        <v>No</v>
      </c>
      <c r="R317" s="1" t="s">
        <v>2369</v>
      </c>
      <c r="S317" s="1" t="str">
        <f>IF(Back_End_Data!R317="Completed","Yes","No")</f>
        <v>No</v>
      </c>
      <c r="T317" s="1" t="str">
        <f>IF(Back_End_Data!S317="Yes","Yes","No")</f>
        <v>No</v>
      </c>
      <c r="U317" s="1" t="str">
        <f>IF(Back_End_Data!Q316="Completed","Yes","No")</f>
        <v>No</v>
      </c>
      <c r="V317" s="1" t="e">
        <f ca="1">IF(INDEX(MIS_Backend_Data!L:L, MATCH(D317, MIS_Backend_Data!B:B, 1)) = "WT", "Yes", "No")</f>
        <v>#N/A</v>
      </c>
      <c r="W317" s="2" t="str">
        <f t="shared" ca="1" si="12"/>
        <v/>
      </c>
      <c r="AA317" s="1">
        <f t="shared" ca="1" si="13"/>
        <v>0</v>
      </c>
      <c r="AG317" s="1" t="str">
        <f t="shared" si="14"/>
        <v/>
      </c>
    </row>
    <row r="318" spans="1:33" ht="20.25" customHeight="1">
      <c r="A318" s="13">
        <v>317</v>
      </c>
      <c r="H318" s="1" t="str">
        <f>IF(Back_End_Data!G318="Completed","Yes","No")</f>
        <v>No</v>
      </c>
      <c r="I318" s="1" t="str">
        <f>IF(Back_End_Data!I318="Completed","Yes","No")</f>
        <v>No</v>
      </c>
      <c r="J318" s="1" t="str">
        <f>IF(Back_End_Data!J318="Completed","Yes","No")</f>
        <v>No</v>
      </c>
      <c r="K318" s="1" t="str">
        <f>IF(Back_End_Data!K318="Completed","Yes","No")</f>
        <v>No</v>
      </c>
      <c r="L318" s="1" t="str">
        <f>IF(Back_End_Data!L318="", "No", Back_End_Data!L318)</f>
        <v>No</v>
      </c>
      <c r="M318" s="1" t="str">
        <f>IF(Back_End_Data!N318="", "No", Back_End_Data!N318)</f>
        <v>No</v>
      </c>
      <c r="N318" s="1" t="str">
        <f>IF(Back_End_Data!M318="", "No", Back_End_Data!M318)</f>
        <v>No</v>
      </c>
      <c r="O318" s="1" t="str">
        <f>IF(Back_End_Data!O318="Completed","Yes","No")</f>
        <v>No</v>
      </c>
      <c r="P318" s="1" t="str">
        <f>IF(Back_End_Data!H318="Completed","Yes","No")</f>
        <v>No</v>
      </c>
      <c r="Q318" s="1" t="str">
        <f>IF(Back_End_Data!P318="Completed","Yes","No")</f>
        <v>No</v>
      </c>
      <c r="R318" s="1" t="s">
        <v>2369</v>
      </c>
      <c r="S318" s="1" t="str">
        <f>IF(Back_End_Data!R318="Completed","Yes","No")</f>
        <v>No</v>
      </c>
      <c r="T318" s="1" t="str">
        <f>IF(Back_End_Data!S318="Yes","Yes","No")</f>
        <v>No</v>
      </c>
      <c r="U318" s="1" t="str">
        <f>IF(Back_End_Data!Q317="Completed","Yes","No")</f>
        <v>No</v>
      </c>
      <c r="V318" s="1" t="e">
        <f ca="1">IF(INDEX(MIS_Backend_Data!L:L, MATCH(D318, MIS_Backend_Data!B:B, 1)) = "WT", "Yes", "No")</f>
        <v>#N/A</v>
      </c>
      <c r="W318" s="2" t="str">
        <f t="shared" ca="1" si="12"/>
        <v/>
      </c>
      <c r="AA318" s="1">
        <f t="shared" ca="1" si="13"/>
        <v>0</v>
      </c>
      <c r="AG318" s="1" t="str">
        <f t="shared" si="14"/>
        <v/>
      </c>
    </row>
    <row r="319" spans="1:33" ht="20.25" customHeight="1">
      <c r="A319" s="13">
        <v>318</v>
      </c>
      <c r="H319" s="1" t="str">
        <f>IF(Back_End_Data!G319="Completed","Yes","No")</f>
        <v>No</v>
      </c>
      <c r="I319" s="1" t="str">
        <f>IF(Back_End_Data!I319="Completed","Yes","No")</f>
        <v>No</v>
      </c>
      <c r="J319" s="1" t="str">
        <f>IF(Back_End_Data!J319="Completed","Yes","No")</f>
        <v>No</v>
      </c>
      <c r="K319" s="1" t="str">
        <f>IF(Back_End_Data!K319="Completed","Yes","No")</f>
        <v>No</v>
      </c>
      <c r="L319" s="1" t="str">
        <f>IF(Back_End_Data!L319="", "No", Back_End_Data!L319)</f>
        <v>No</v>
      </c>
      <c r="M319" s="1" t="str">
        <f>IF(Back_End_Data!N319="", "No", Back_End_Data!N319)</f>
        <v>No</v>
      </c>
      <c r="N319" s="1" t="str">
        <f>IF(Back_End_Data!M319="", "No", Back_End_Data!M319)</f>
        <v>No</v>
      </c>
      <c r="O319" s="1" t="str">
        <f>IF(Back_End_Data!O319="Completed","Yes","No")</f>
        <v>No</v>
      </c>
      <c r="P319" s="1" t="str">
        <f>IF(Back_End_Data!H319="Completed","Yes","No")</f>
        <v>No</v>
      </c>
      <c r="Q319" s="1" t="str">
        <f>IF(Back_End_Data!P319="Completed","Yes","No")</f>
        <v>No</v>
      </c>
      <c r="R319" s="1" t="s">
        <v>2369</v>
      </c>
      <c r="S319" s="1" t="str">
        <f>IF(Back_End_Data!R319="Completed","Yes","No")</f>
        <v>No</v>
      </c>
      <c r="T319" s="1" t="str">
        <f>IF(Back_End_Data!S319="Yes","Yes","No")</f>
        <v>No</v>
      </c>
      <c r="U319" s="1" t="str">
        <f>IF(Back_End_Data!Q318="Completed","Yes","No")</f>
        <v>No</v>
      </c>
      <c r="V319" s="1" t="e">
        <f ca="1">IF(INDEX(MIS_Backend_Data!L:L, MATCH(D319, MIS_Backend_Data!B:B, 1)) = "WT", "Yes", "No")</f>
        <v>#N/A</v>
      </c>
      <c r="W319" s="2" t="str">
        <f t="shared" ca="1" si="12"/>
        <v/>
      </c>
      <c r="AA319" s="1">
        <f t="shared" ca="1" si="13"/>
        <v>0</v>
      </c>
      <c r="AG319" s="1" t="str">
        <f t="shared" si="14"/>
        <v/>
      </c>
    </row>
    <row r="320" spans="1:33" ht="20.25" customHeight="1">
      <c r="A320" s="13">
        <v>319</v>
      </c>
      <c r="H320" s="1" t="str">
        <f>IF(Back_End_Data!G320="Completed","Yes","No")</f>
        <v>No</v>
      </c>
      <c r="I320" s="1" t="str">
        <f>IF(Back_End_Data!I320="Completed","Yes","No")</f>
        <v>No</v>
      </c>
      <c r="J320" s="1" t="str">
        <f>IF(Back_End_Data!J320="Completed","Yes","No")</f>
        <v>No</v>
      </c>
      <c r="K320" s="1" t="str">
        <f>IF(Back_End_Data!K320="Completed","Yes","No")</f>
        <v>No</v>
      </c>
      <c r="L320" s="1" t="str">
        <f>IF(Back_End_Data!L320="", "No", Back_End_Data!L320)</f>
        <v>No</v>
      </c>
      <c r="M320" s="1" t="str">
        <f>IF(Back_End_Data!N320="", "No", Back_End_Data!N320)</f>
        <v>No</v>
      </c>
      <c r="N320" s="1" t="str">
        <f>IF(Back_End_Data!M320="", "No", Back_End_Data!M320)</f>
        <v>No</v>
      </c>
      <c r="O320" s="1" t="str">
        <f>IF(Back_End_Data!O320="Completed","Yes","No")</f>
        <v>No</v>
      </c>
      <c r="P320" s="1" t="str">
        <f>IF(Back_End_Data!H320="Completed","Yes","No")</f>
        <v>No</v>
      </c>
      <c r="Q320" s="1" t="str">
        <f>IF(Back_End_Data!P320="Completed","Yes","No")</f>
        <v>No</v>
      </c>
      <c r="R320" s="1" t="s">
        <v>2369</v>
      </c>
      <c r="S320" s="1" t="str">
        <f>IF(Back_End_Data!R320="Completed","Yes","No")</f>
        <v>No</v>
      </c>
      <c r="T320" s="1" t="str">
        <f>IF(Back_End_Data!S320="Yes","Yes","No")</f>
        <v>No</v>
      </c>
      <c r="U320" s="1" t="str">
        <f>IF(Back_End_Data!Q319="Completed","Yes","No")</f>
        <v>No</v>
      </c>
      <c r="V320" s="1" t="e">
        <f ca="1">IF(INDEX(MIS_Backend_Data!L:L, MATCH(D320, MIS_Backend_Data!B:B, 1)) = "WT", "Yes", "No")</f>
        <v>#N/A</v>
      </c>
      <c r="W320" s="2" t="str">
        <f t="shared" ca="1" si="12"/>
        <v/>
      </c>
      <c r="AA320" s="1">
        <f t="shared" ca="1" si="13"/>
        <v>0</v>
      </c>
      <c r="AG320" s="1" t="str">
        <f t="shared" si="14"/>
        <v/>
      </c>
    </row>
    <row r="321" spans="1:33" ht="20.25" customHeight="1">
      <c r="A321" s="13">
        <v>320</v>
      </c>
      <c r="H321" s="1" t="str">
        <f>IF(Back_End_Data!G321="Completed","Yes","No")</f>
        <v>No</v>
      </c>
      <c r="I321" s="1" t="str">
        <f>IF(Back_End_Data!I321="Completed","Yes","No")</f>
        <v>No</v>
      </c>
      <c r="J321" s="1" t="str">
        <f>IF(Back_End_Data!J321="Completed","Yes","No")</f>
        <v>No</v>
      </c>
      <c r="K321" s="1" t="str">
        <f>IF(Back_End_Data!K321="Completed","Yes","No")</f>
        <v>No</v>
      </c>
      <c r="L321" s="1" t="str">
        <f>IF(Back_End_Data!L321="", "No", Back_End_Data!L321)</f>
        <v>No</v>
      </c>
      <c r="M321" s="1" t="str">
        <f>IF(Back_End_Data!N321="", "No", Back_End_Data!N321)</f>
        <v>No</v>
      </c>
      <c r="N321" s="1" t="str">
        <f>IF(Back_End_Data!M321="", "No", Back_End_Data!M321)</f>
        <v>No</v>
      </c>
      <c r="O321" s="1" t="str">
        <f>IF(Back_End_Data!O321="Completed","Yes","No")</f>
        <v>No</v>
      </c>
      <c r="P321" s="1" t="str">
        <f>IF(Back_End_Data!H321="Completed","Yes","No")</f>
        <v>No</v>
      </c>
      <c r="Q321" s="1" t="str">
        <f>IF(Back_End_Data!P321="Completed","Yes","No")</f>
        <v>No</v>
      </c>
      <c r="R321" s="1" t="s">
        <v>2369</v>
      </c>
      <c r="S321" s="1" t="str">
        <f>IF(Back_End_Data!R321="Completed","Yes","No")</f>
        <v>No</v>
      </c>
      <c r="T321" s="1" t="str">
        <f>IF(Back_End_Data!S321="Yes","Yes","No")</f>
        <v>No</v>
      </c>
      <c r="U321" s="1" t="str">
        <f>IF(Back_End_Data!Q320="Completed","Yes","No")</f>
        <v>No</v>
      </c>
      <c r="V321" s="1" t="e">
        <f ca="1">IF(INDEX(MIS_Backend_Data!L:L, MATCH(D321, MIS_Backend_Data!B:B, 1)) = "WT", "Yes", "No")</f>
        <v>#N/A</v>
      </c>
      <c r="W321" s="2" t="str">
        <f t="shared" ca="1" si="12"/>
        <v/>
      </c>
      <c r="AA321" s="1">
        <f t="shared" ca="1" si="13"/>
        <v>0</v>
      </c>
      <c r="AG321" s="1" t="str">
        <f t="shared" si="14"/>
        <v/>
      </c>
    </row>
    <row r="322" spans="1:33" ht="20.25" customHeight="1">
      <c r="A322" s="13">
        <v>321</v>
      </c>
      <c r="H322" s="1" t="str">
        <f>IF(Back_End_Data!G322="Completed","Yes","No")</f>
        <v>No</v>
      </c>
      <c r="I322" s="1" t="str">
        <f>IF(Back_End_Data!I322="Completed","Yes","No")</f>
        <v>No</v>
      </c>
      <c r="J322" s="1" t="str">
        <f>IF(Back_End_Data!J322="Completed","Yes","No")</f>
        <v>No</v>
      </c>
      <c r="K322" s="1" t="str">
        <f>IF(Back_End_Data!K322="Completed","Yes","No")</f>
        <v>No</v>
      </c>
      <c r="L322" s="1" t="str">
        <f>IF(Back_End_Data!L322="", "No", Back_End_Data!L322)</f>
        <v>No</v>
      </c>
      <c r="M322" s="1" t="str">
        <f>IF(Back_End_Data!N322="", "No", Back_End_Data!N322)</f>
        <v>No</v>
      </c>
      <c r="N322" s="1" t="str">
        <f>IF(Back_End_Data!M322="", "No", Back_End_Data!M322)</f>
        <v>No</v>
      </c>
      <c r="O322" s="1" t="str">
        <f>IF(Back_End_Data!O322="Completed","Yes","No")</f>
        <v>No</v>
      </c>
      <c r="P322" s="1" t="str">
        <f>IF(Back_End_Data!H322="Completed","Yes","No")</f>
        <v>No</v>
      </c>
      <c r="Q322" s="1" t="str">
        <f>IF(Back_End_Data!P322="Completed","Yes","No")</f>
        <v>No</v>
      </c>
      <c r="R322" s="1" t="s">
        <v>2369</v>
      </c>
      <c r="S322" s="1" t="str">
        <f>IF(Back_End_Data!R322="Completed","Yes","No")</f>
        <v>No</v>
      </c>
      <c r="T322" s="1" t="str">
        <f>IF(Back_End_Data!S322="Yes","Yes","No")</f>
        <v>No</v>
      </c>
      <c r="U322" s="1" t="str">
        <f>IF(Back_End_Data!Q321="Completed","Yes","No")</f>
        <v>No</v>
      </c>
      <c r="V322" s="1" t="e">
        <f ca="1">IF(INDEX(MIS_Backend_Data!L:L, MATCH(D322, MIS_Backend_Data!B:B, 1)) = "WT", "Yes", "No")</f>
        <v>#N/A</v>
      </c>
      <c r="W322" s="2" t="str">
        <f t="shared" ca="1" si="12"/>
        <v/>
      </c>
      <c r="AA322" s="1">
        <f t="shared" ca="1" si="13"/>
        <v>0</v>
      </c>
      <c r="AG322" s="1" t="str">
        <f t="shared" si="14"/>
        <v/>
      </c>
    </row>
    <row r="323" spans="1:33" ht="20.25" customHeight="1">
      <c r="A323" s="13">
        <v>322</v>
      </c>
      <c r="H323" s="1" t="str">
        <f>IF(Back_End_Data!G323="Completed","Yes","No")</f>
        <v>No</v>
      </c>
      <c r="I323" s="1" t="str">
        <f>IF(Back_End_Data!I323="Completed","Yes","No")</f>
        <v>No</v>
      </c>
      <c r="J323" s="1" t="str">
        <f>IF(Back_End_Data!J323="Completed","Yes","No")</f>
        <v>No</v>
      </c>
      <c r="K323" s="1" t="str">
        <f>IF(Back_End_Data!K323="Completed","Yes","No")</f>
        <v>No</v>
      </c>
      <c r="L323" s="1" t="str">
        <f>IF(Back_End_Data!L323="", "No", Back_End_Data!L323)</f>
        <v>No</v>
      </c>
      <c r="M323" s="1" t="str">
        <f>IF(Back_End_Data!N323="", "No", Back_End_Data!N323)</f>
        <v>No</v>
      </c>
      <c r="N323" s="1" t="str">
        <f>IF(Back_End_Data!M323="", "No", Back_End_Data!M323)</f>
        <v>No</v>
      </c>
      <c r="O323" s="1" t="str">
        <f>IF(Back_End_Data!O323="Completed","Yes","No")</f>
        <v>No</v>
      </c>
      <c r="P323" s="1" t="str">
        <f>IF(Back_End_Data!H323="Completed","Yes","No")</f>
        <v>No</v>
      </c>
      <c r="Q323" s="1" t="str">
        <f>IF(Back_End_Data!P323="Completed","Yes","No")</f>
        <v>No</v>
      </c>
      <c r="R323" s="1" t="s">
        <v>2369</v>
      </c>
      <c r="S323" s="1" t="str">
        <f>IF(Back_End_Data!R323="Completed","Yes","No")</f>
        <v>No</v>
      </c>
      <c r="T323" s="1" t="str">
        <f>IF(Back_End_Data!S323="Yes","Yes","No")</f>
        <v>No</v>
      </c>
      <c r="U323" s="1" t="str">
        <f>IF(Back_End_Data!Q322="Completed","Yes","No")</f>
        <v>No</v>
      </c>
      <c r="V323" s="1" t="e">
        <f ca="1">IF(INDEX(MIS_Backend_Data!L:L, MATCH(D323, MIS_Backend_Data!B:B, 1)) = "WT", "Yes", "No")</f>
        <v>#N/A</v>
      </c>
      <c r="W323" s="2" t="str">
        <f t="shared" ref="W323:W386" ca="1" si="15">IF(OR(Z323="", AA323=""), "", IF(Z323=AA323, "Approved", "Reject"))</f>
        <v/>
      </c>
      <c r="AA323" s="1">
        <f t="shared" ref="AA323:AA386" ca="1" si="16">COUNTIF(H323:V323,"Yes")</f>
        <v>0</v>
      </c>
      <c r="AG323" s="1" t="str">
        <f t="shared" si="14"/>
        <v/>
      </c>
    </row>
    <row r="324" spans="1:33" ht="20.25" customHeight="1">
      <c r="A324" s="13">
        <v>323</v>
      </c>
      <c r="H324" s="1" t="str">
        <f>IF(Back_End_Data!G324="Completed","Yes","No")</f>
        <v>No</v>
      </c>
      <c r="I324" s="1" t="str">
        <f>IF(Back_End_Data!I324="Completed","Yes","No")</f>
        <v>No</v>
      </c>
      <c r="J324" s="1" t="str">
        <f>IF(Back_End_Data!J324="Completed","Yes","No")</f>
        <v>No</v>
      </c>
      <c r="K324" s="1" t="str">
        <f>IF(Back_End_Data!K324="Completed","Yes","No")</f>
        <v>No</v>
      </c>
      <c r="L324" s="1" t="str">
        <f>IF(Back_End_Data!L324="", "No", Back_End_Data!L324)</f>
        <v>No</v>
      </c>
      <c r="M324" s="1" t="str">
        <f>IF(Back_End_Data!N324="", "No", Back_End_Data!N324)</f>
        <v>No</v>
      </c>
      <c r="N324" s="1" t="str">
        <f>IF(Back_End_Data!M324="", "No", Back_End_Data!M324)</f>
        <v>No</v>
      </c>
      <c r="O324" s="1" t="str">
        <f>IF(Back_End_Data!O324="Completed","Yes","No")</f>
        <v>No</v>
      </c>
      <c r="P324" s="1" t="str">
        <f>IF(Back_End_Data!H324="Completed","Yes","No")</f>
        <v>No</v>
      </c>
      <c r="Q324" s="1" t="str">
        <f>IF(Back_End_Data!P324="Completed","Yes","No")</f>
        <v>No</v>
      </c>
      <c r="R324" s="1" t="s">
        <v>2369</v>
      </c>
      <c r="S324" s="1" t="str">
        <f>IF(Back_End_Data!R324="Completed","Yes","No")</f>
        <v>No</v>
      </c>
      <c r="T324" s="1" t="str">
        <f>IF(Back_End_Data!S324="Yes","Yes","No")</f>
        <v>No</v>
      </c>
      <c r="U324" s="1" t="str">
        <f>IF(Back_End_Data!Q323="Completed","Yes","No")</f>
        <v>No</v>
      </c>
      <c r="V324" s="1" t="e">
        <f ca="1">IF(INDEX(MIS_Backend_Data!L:L, MATCH(D324, MIS_Backend_Data!B:B, 1)) = "WT", "Yes", "No")</f>
        <v>#N/A</v>
      </c>
      <c r="W324" s="2" t="str">
        <f t="shared" ca="1" si="15"/>
        <v/>
      </c>
      <c r="AA324" s="1">
        <f t="shared" ca="1" si="16"/>
        <v>0</v>
      </c>
      <c r="AG324" s="1" t="str">
        <f t="shared" ref="AG324:AG387" si="17">IF(AND(AE324="Dispatch",AF324="Pending"),"Pending","")</f>
        <v/>
      </c>
    </row>
    <row r="325" spans="1:33" ht="20.25" customHeight="1">
      <c r="A325" s="13">
        <v>324</v>
      </c>
      <c r="H325" s="1" t="str">
        <f>IF(Back_End_Data!G325="Completed","Yes","No")</f>
        <v>No</v>
      </c>
      <c r="I325" s="1" t="str">
        <f>IF(Back_End_Data!I325="Completed","Yes","No")</f>
        <v>No</v>
      </c>
      <c r="J325" s="1" t="str">
        <f>IF(Back_End_Data!J325="Completed","Yes","No")</f>
        <v>No</v>
      </c>
      <c r="K325" s="1" t="str">
        <f>IF(Back_End_Data!K325="Completed","Yes","No")</f>
        <v>No</v>
      </c>
      <c r="L325" s="1" t="str">
        <f>IF(Back_End_Data!L325="", "No", Back_End_Data!L325)</f>
        <v>No</v>
      </c>
      <c r="M325" s="1" t="str">
        <f>IF(Back_End_Data!N325="", "No", Back_End_Data!N325)</f>
        <v>No</v>
      </c>
      <c r="N325" s="1" t="str">
        <f>IF(Back_End_Data!M325="", "No", Back_End_Data!M325)</f>
        <v>No</v>
      </c>
      <c r="O325" s="1" t="str">
        <f>IF(Back_End_Data!O325="Completed","Yes","No")</f>
        <v>No</v>
      </c>
      <c r="P325" s="1" t="str">
        <f>IF(Back_End_Data!H325="Completed","Yes","No")</f>
        <v>No</v>
      </c>
      <c r="Q325" s="1" t="str">
        <f>IF(Back_End_Data!P325="Completed","Yes","No")</f>
        <v>No</v>
      </c>
      <c r="R325" s="1" t="s">
        <v>2369</v>
      </c>
      <c r="S325" s="1" t="str">
        <f>IF(Back_End_Data!R325="Completed","Yes","No")</f>
        <v>No</v>
      </c>
      <c r="T325" s="1" t="str">
        <f>IF(Back_End_Data!S325="Yes","Yes","No")</f>
        <v>No</v>
      </c>
      <c r="U325" s="1" t="str">
        <f>IF(Back_End_Data!Q324="Completed","Yes","No")</f>
        <v>No</v>
      </c>
      <c r="V325" s="1" t="e">
        <f ca="1">IF(INDEX(MIS_Backend_Data!L:L, MATCH(D325, MIS_Backend_Data!B:B, 1)) = "WT", "Yes", "No")</f>
        <v>#N/A</v>
      </c>
      <c r="W325" s="2" t="str">
        <f t="shared" ca="1" si="15"/>
        <v/>
      </c>
      <c r="AA325" s="1">
        <f t="shared" ca="1" si="16"/>
        <v>0</v>
      </c>
      <c r="AG325" s="1" t="str">
        <f t="shared" si="17"/>
        <v/>
      </c>
    </row>
    <row r="326" spans="1:33" ht="20.25" customHeight="1">
      <c r="A326" s="13">
        <v>325</v>
      </c>
      <c r="H326" s="1" t="str">
        <f>IF(Back_End_Data!G326="Completed","Yes","No")</f>
        <v>No</v>
      </c>
      <c r="I326" s="1" t="str">
        <f>IF(Back_End_Data!I326="Completed","Yes","No")</f>
        <v>No</v>
      </c>
      <c r="J326" s="1" t="str">
        <f>IF(Back_End_Data!J326="Completed","Yes","No")</f>
        <v>No</v>
      </c>
      <c r="K326" s="1" t="str">
        <f>IF(Back_End_Data!K326="Completed","Yes","No")</f>
        <v>No</v>
      </c>
      <c r="L326" s="1" t="str">
        <f>IF(Back_End_Data!L326="", "No", Back_End_Data!L326)</f>
        <v>No</v>
      </c>
      <c r="M326" s="1" t="str">
        <f>IF(Back_End_Data!N326="", "No", Back_End_Data!N326)</f>
        <v>No</v>
      </c>
      <c r="N326" s="1" t="str">
        <f>IF(Back_End_Data!M326="", "No", Back_End_Data!M326)</f>
        <v>No</v>
      </c>
      <c r="O326" s="1" t="str">
        <f>IF(Back_End_Data!O326="Completed","Yes","No")</f>
        <v>No</v>
      </c>
      <c r="P326" s="1" t="str">
        <f>IF(Back_End_Data!H326="Completed","Yes","No")</f>
        <v>No</v>
      </c>
      <c r="Q326" s="1" t="str">
        <f>IF(Back_End_Data!P326="Completed","Yes","No")</f>
        <v>No</v>
      </c>
      <c r="R326" s="1" t="s">
        <v>2369</v>
      </c>
      <c r="S326" s="1" t="str">
        <f>IF(Back_End_Data!R326="Completed","Yes","No")</f>
        <v>No</v>
      </c>
      <c r="T326" s="1" t="str">
        <f>IF(Back_End_Data!S326="Yes","Yes","No")</f>
        <v>No</v>
      </c>
      <c r="U326" s="1" t="str">
        <f>IF(Back_End_Data!Q325="Completed","Yes","No")</f>
        <v>No</v>
      </c>
      <c r="V326" s="1" t="e">
        <f ca="1">IF(INDEX(MIS_Backend_Data!L:L, MATCH(D326, MIS_Backend_Data!B:B, 1)) = "WT", "Yes", "No")</f>
        <v>#N/A</v>
      </c>
      <c r="W326" s="2" t="str">
        <f t="shared" ca="1" si="15"/>
        <v/>
      </c>
      <c r="AA326" s="1">
        <f t="shared" ca="1" si="16"/>
        <v>0</v>
      </c>
      <c r="AG326" s="1" t="str">
        <f t="shared" si="17"/>
        <v/>
      </c>
    </row>
    <row r="327" spans="1:33" ht="20.25" customHeight="1">
      <c r="A327" s="13">
        <v>326</v>
      </c>
      <c r="H327" s="1" t="str">
        <f>IF(Back_End_Data!G327="Completed","Yes","No")</f>
        <v>No</v>
      </c>
      <c r="I327" s="1" t="str">
        <f>IF(Back_End_Data!I327="Completed","Yes","No")</f>
        <v>No</v>
      </c>
      <c r="J327" s="1" t="str">
        <f>IF(Back_End_Data!J327="Completed","Yes","No")</f>
        <v>No</v>
      </c>
      <c r="K327" s="1" t="str">
        <f>IF(Back_End_Data!K327="Completed","Yes","No")</f>
        <v>No</v>
      </c>
      <c r="L327" s="1" t="str">
        <f>IF(Back_End_Data!L327="", "No", Back_End_Data!L327)</f>
        <v>No</v>
      </c>
      <c r="M327" s="1" t="str">
        <f>IF(Back_End_Data!N327="", "No", Back_End_Data!N327)</f>
        <v>No</v>
      </c>
      <c r="N327" s="1" t="str">
        <f>IF(Back_End_Data!M327="", "No", Back_End_Data!M327)</f>
        <v>No</v>
      </c>
      <c r="O327" s="1" t="str">
        <f>IF(Back_End_Data!O327="Completed","Yes","No")</f>
        <v>No</v>
      </c>
      <c r="P327" s="1" t="str">
        <f>IF(Back_End_Data!H327="Completed","Yes","No")</f>
        <v>No</v>
      </c>
      <c r="Q327" s="1" t="str">
        <f>IF(Back_End_Data!P327="Completed","Yes","No")</f>
        <v>No</v>
      </c>
      <c r="R327" s="1" t="s">
        <v>2369</v>
      </c>
      <c r="S327" s="1" t="str">
        <f>IF(Back_End_Data!R327="Completed","Yes","No")</f>
        <v>No</v>
      </c>
      <c r="T327" s="1" t="str">
        <f>IF(Back_End_Data!S327="Yes","Yes","No")</f>
        <v>No</v>
      </c>
      <c r="U327" s="1" t="str">
        <f>IF(Back_End_Data!Q326="Completed","Yes","No")</f>
        <v>No</v>
      </c>
      <c r="V327" s="1" t="e">
        <f ca="1">IF(INDEX(MIS_Backend_Data!L:L, MATCH(D327, MIS_Backend_Data!B:B, 1)) = "WT", "Yes", "No")</f>
        <v>#N/A</v>
      </c>
      <c r="W327" s="2" t="str">
        <f t="shared" ca="1" si="15"/>
        <v/>
      </c>
      <c r="AA327" s="1">
        <f t="shared" ca="1" si="16"/>
        <v>0</v>
      </c>
      <c r="AG327" s="1" t="str">
        <f t="shared" si="17"/>
        <v/>
      </c>
    </row>
    <row r="328" spans="1:33" ht="20.25" customHeight="1">
      <c r="A328" s="13">
        <v>327</v>
      </c>
      <c r="H328" s="1" t="str">
        <f>IF(Back_End_Data!G328="Completed","Yes","No")</f>
        <v>No</v>
      </c>
      <c r="I328" s="1" t="str">
        <f>IF(Back_End_Data!I328="Completed","Yes","No")</f>
        <v>No</v>
      </c>
      <c r="J328" s="1" t="str">
        <f>IF(Back_End_Data!J328="Completed","Yes","No")</f>
        <v>No</v>
      </c>
      <c r="K328" s="1" t="str">
        <f>IF(Back_End_Data!K328="Completed","Yes","No")</f>
        <v>No</v>
      </c>
      <c r="L328" s="1" t="str">
        <f>IF(Back_End_Data!L328="", "No", Back_End_Data!L328)</f>
        <v>No</v>
      </c>
      <c r="M328" s="1" t="str">
        <f>IF(Back_End_Data!N328="", "No", Back_End_Data!N328)</f>
        <v>No</v>
      </c>
      <c r="N328" s="1" t="str">
        <f>IF(Back_End_Data!M328="", "No", Back_End_Data!M328)</f>
        <v>No</v>
      </c>
      <c r="O328" s="1" t="str">
        <f>IF(Back_End_Data!O328="Completed","Yes","No")</f>
        <v>No</v>
      </c>
      <c r="P328" s="1" t="str">
        <f>IF(Back_End_Data!H328="Completed","Yes","No")</f>
        <v>No</v>
      </c>
      <c r="Q328" s="1" t="str">
        <f>IF(Back_End_Data!P328="Completed","Yes","No")</f>
        <v>No</v>
      </c>
      <c r="R328" s="1" t="s">
        <v>2369</v>
      </c>
      <c r="S328" s="1" t="str">
        <f>IF(Back_End_Data!R328="Completed","Yes","No")</f>
        <v>No</v>
      </c>
      <c r="T328" s="1" t="str">
        <f>IF(Back_End_Data!S328="Yes","Yes","No")</f>
        <v>No</v>
      </c>
      <c r="U328" s="1" t="str">
        <f>IF(Back_End_Data!Q327="Completed","Yes","No")</f>
        <v>No</v>
      </c>
      <c r="V328" s="1" t="e">
        <f ca="1">IF(INDEX(MIS_Backend_Data!L:L, MATCH(D328, MIS_Backend_Data!B:B, 1)) = "WT", "Yes", "No")</f>
        <v>#N/A</v>
      </c>
      <c r="W328" s="2" t="str">
        <f t="shared" ca="1" si="15"/>
        <v/>
      </c>
      <c r="AA328" s="1">
        <f t="shared" ca="1" si="16"/>
        <v>0</v>
      </c>
      <c r="AG328" s="1" t="str">
        <f t="shared" si="17"/>
        <v/>
      </c>
    </row>
    <row r="329" spans="1:33" ht="20.25" customHeight="1">
      <c r="A329" s="13">
        <v>328</v>
      </c>
      <c r="H329" s="1" t="str">
        <f>IF(Back_End_Data!G329="Completed","Yes","No")</f>
        <v>No</v>
      </c>
      <c r="I329" s="1" t="str">
        <f>IF(Back_End_Data!I329="Completed","Yes","No")</f>
        <v>No</v>
      </c>
      <c r="J329" s="1" t="str">
        <f>IF(Back_End_Data!J329="Completed","Yes","No")</f>
        <v>No</v>
      </c>
      <c r="K329" s="1" t="str">
        <f>IF(Back_End_Data!K329="Completed","Yes","No")</f>
        <v>No</v>
      </c>
      <c r="L329" s="1" t="str">
        <f>IF(Back_End_Data!L329="", "No", Back_End_Data!L329)</f>
        <v>No</v>
      </c>
      <c r="M329" s="1" t="str">
        <f>IF(Back_End_Data!N329="", "No", Back_End_Data!N329)</f>
        <v>No</v>
      </c>
      <c r="N329" s="1" t="str">
        <f>IF(Back_End_Data!M329="", "No", Back_End_Data!M329)</f>
        <v>No</v>
      </c>
      <c r="O329" s="1" t="str">
        <f>IF(Back_End_Data!O329="Completed","Yes","No")</f>
        <v>No</v>
      </c>
      <c r="P329" s="1" t="str">
        <f>IF(Back_End_Data!H329="Completed","Yes","No")</f>
        <v>No</v>
      </c>
      <c r="Q329" s="1" t="str">
        <f>IF(Back_End_Data!P329="Completed","Yes","No")</f>
        <v>No</v>
      </c>
      <c r="R329" s="1" t="s">
        <v>2369</v>
      </c>
      <c r="S329" s="1" t="str">
        <f>IF(Back_End_Data!R329="Completed","Yes","No")</f>
        <v>No</v>
      </c>
      <c r="T329" s="1" t="str">
        <f>IF(Back_End_Data!S329="Yes","Yes","No")</f>
        <v>No</v>
      </c>
      <c r="U329" s="1" t="str">
        <f>IF(Back_End_Data!Q328="Completed","Yes","No")</f>
        <v>No</v>
      </c>
      <c r="V329" s="1" t="e">
        <f ca="1">IF(INDEX(MIS_Backend_Data!L:L, MATCH(D329, MIS_Backend_Data!B:B, 1)) = "WT", "Yes", "No")</f>
        <v>#N/A</v>
      </c>
      <c r="W329" s="2" t="str">
        <f t="shared" ca="1" si="15"/>
        <v/>
      </c>
      <c r="AA329" s="1">
        <f t="shared" ca="1" si="16"/>
        <v>0</v>
      </c>
      <c r="AG329" s="1" t="str">
        <f t="shared" si="17"/>
        <v/>
      </c>
    </row>
    <row r="330" spans="1:33" ht="20.25" customHeight="1">
      <c r="A330" s="13">
        <v>329</v>
      </c>
      <c r="H330" s="1" t="str">
        <f>IF(Back_End_Data!G330="Completed","Yes","No")</f>
        <v>No</v>
      </c>
      <c r="I330" s="1" t="str">
        <f>IF(Back_End_Data!I330="Completed","Yes","No")</f>
        <v>No</v>
      </c>
      <c r="J330" s="1" t="str">
        <f>IF(Back_End_Data!J330="Completed","Yes","No")</f>
        <v>No</v>
      </c>
      <c r="K330" s="1" t="str">
        <f>IF(Back_End_Data!K330="Completed","Yes","No")</f>
        <v>No</v>
      </c>
      <c r="L330" s="1" t="str">
        <f>IF(Back_End_Data!L330="", "No", Back_End_Data!L330)</f>
        <v>No</v>
      </c>
      <c r="M330" s="1" t="str">
        <f>IF(Back_End_Data!N330="", "No", Back_End_Data!N330)</f>
        <v>No</v>
      </c>
      <c r="N330" s="1" t="str">
        <f>IF(Back_End_Data!M330="", "No", Back_End_Data!M330)</f>
        <v>No</v>
      </c>
      <c r="O330" s="1" t="str">
        <f>IF(Back_End_Data!O330="Completed","Yes","No")</f>
        <v>No</v>
      </c>
      <c r="P330" s="1" t="str">
        <f>IF(Back_End_Data!H330="Completed","Yes","No")</f>
        <v>No</v>
      </c>
      <c r="Q330" s="1" t="str">
        <f>IF(Back_End_Data!P330="Completed","Yes","No")</f>
        <v>No</v>
      </c>
      <c r="R330" s="1" t="s">
        <v>2369</v>
      </c>
      <c r="S330" s="1" t="str">
        <f>IF(Back_End_Data!R330="Completed","Yes","No")</f>
        <v>No</v>
      </c>
      <c r="T330" s="1" t="str">
        <f>IF(Back_End_Data!S330="Yes","Yes","No")</f>
        <v>No</v>
      </c>
      <c r="U330" s="1" t="str">
        <f>IF(Back_End_Data!Q329="Completed","Yes","No")</f>
        <v>No</v>
      </c>
      <c r="V330" s="1" t="e">
        <f ca="1">IF(INDEX(MIS_Backend_Data!L:L, MATCH(D330, MIS_Backend_Data!B:B, 1)) = "WT", "Yes", "No")</f>
        <v>#N/A</v>
      </c>
      <c r="W330" s="2" t="str">
        <f t="shared" ca="1" si="15"/>
        <v/>
      </c>
      <c r="AA330" s="1">
        <f t="shared" ca="1" si="16"/>
        <v>0</v>
      </c>
      <c r="AG330" s="1" t="str">
        <f t="shared" si="17"/>
        <v/>
      </c>
    </row>
    <row r="331" spans="1:33" ht="20.25" customHeight="1">
      <c r="A331" s="13">
        <v>330</v>
      </c>
      <c r="H331" s="1" t="str">
        <f>IF(Back_End_Data!G331="Completed","Yes","No")</f>
        <v>No</v>
      </c>
      <c r="I331" s="1" t="str">
        <f>IF(Back_End_Data!I331="Completed","Yes","No")</f>
        <v>No</v>
      </c>
      <c r="J331" s="1" t="str">
        <f>IF(Back_End_Data!J331="Completed","Yes","No")</f>
        <v>No</v>
      </c>
      <c r="K331" s="1" t="str">
        <f>IF(Back_End_Data!K331="Completed","Yes","No")</f>
        <v>No</v>
      </c>
      <c r="L331" s="1" t="str">
        <f>IF(Back_End_Data!L331="", "No", Back_End_Data!L331)</f>
        <v>No</v>
      </c>
      <c r="M331" s="1" t="str">
        <f>IF(Back_End_Data!N331="", "No", Back_End_Data!N331)</f>
        <v>No</v>
      </c>
      <c r="N331" s="1" t="str">
        <f>IF(Back_End_Data!M331="", "No", Back_End_Data!M331)</f>
        <v>No</v>
      </c>
      <c r="O331" s="1" t="str">
        <f>IF(Back_End_Data!O331="Completed","Yes","No")</f>
        <v>No</v>
      </c>
      <c r="P331" s="1" t="str">
        <f>IF(Back_End_Data!H331="Completed","Yes","No")</f>
        <v>No</v>
      </c>
      <c r="Q331" s="1" t="str">
        <f>IF(Back_End_Data!P331="Completed","Yes","No")</f>
        <v>No</v>
      </c>
      <c r="R331" s="1" t="s">
        <v>2369</v>
      </c>
      <c r="S331" s="1" t="str">
        <f>IF(Back_End_Data!R331="Completed","Yes","No")</f>
        <v>No</v>
      </c>
      <c r="T331" s="1" t="str">
        <f>IF(Back_End_Data!S331="Yes","Yes","No")</f>
        <v>No</v>
      </c>
      <c r="U331" s="1" t="str">
        <f>IF(Back_End_Data!Q330="Completed","Yes","No")</f>
        <v>No</v>
      </c>
      <c r="V331" s="1" t="e">
        <f ca="1">IF(INDEX(MIS_Backend_Data!L:L, MATCH(D331, MIS_Backend_Data!B:B, 1)) = "WT", "Yes", "No")</f>
        <v>#N/A</v>
      </c>
      <c r="W331" s="2" t="str">
        <f t="shared" ca="1" si="15"/>
        <v/>
      </c>
      <c r="AA331" s="1">
        <f t="shared" ca="1" si="16"/>
        <v>0</v>
      </c>
      <c r="AG331" s="1" t="str">
        <f t="shared" si="17"/>
        <v/>
      </c>
    </row>
    <row r="332" spans="1:33" ht="20.25" customHeight="1">
      <c r="A332" s="13">
        <v>331</v>
      </c>
      <c r="H332" s="1" t="str">
        <f>IF(Back_End_Data!G332="Completed","Yes","No")</f>
        <v>No</v>
      </c>
      <c r="I332" s="1" t="str">
        <f>IF(Back_End_Data!I332="Completed","Yes","No")</f>
        <v>No</v>
      </c>
      <c r="J332" s="1" t="str">
        <f>IF(Back_End_Data!J332="Completed","Yes","No")</f>
        <v>No</v>
      </c>
      <c r="K332" s="1" t="str">
        <f>IF(Back_End_Data!K332="Completed","Yes","No")</f>
        <v>No</v>
      </c>
      <c r="L332" s="1" t="str">
        <f>IF(Back_End_Data!L332="", "No", Back_End_Data!L332)</f>
        <v>No</v>
      </c>
      <c r="M332" s="1" t="str">
        <f>IF(Back_End_Data!N332="", "No", Back_End_Data!N332)</f>
        <v>No</v>
      </c>
      <c r="N332" s="1" t="str">
        <f>IF(Back_End_Data!M332="", "No", Back_End_Data!M332)</f>
        <v>No</v>
      </c>
      <c r="O332" s="1" t="str">
        <f>IF(Back_End_Data!O332="Completed","Yes","No")</f>
        <v>No</v>
      </c>
      <c r="P332" s="1" t="str">
        <f>IF(Back_End_Data!H332="Completed","Yes","No")</f>
        <v>No</v>
      </c>
      <c r="Q332" s="1" t="str">
        <f>IF(Back_End_Data!P332="Completed","Yes","No")</f>
        <v>No</v>
      </c>
      <c r="R332" s="1" t="s">
        <v>2369</v>
      </c>
      <c r="S332" s="1" t="str">
        <f>IF(Back_End_Data!R332="Completed","Yes","No")</f>
        <v>No</v>
      </c>
      <c r="T332" s="1" t="str">
        <f>IF(Back_End_Data!S332="Yes","Yes","No")</f>
        <v>No</v>
      </c>
      <c r="U332" s="1" t="str">
        <f>IF(Back_End_Data!Q331="Completed","Yes","No")</f>
        <v>No</v>
      </c>
      <c r="V332" s="1" t="e">
        <f ca="1">IF(INDEX(MIS_Backend_Data!L:L, MATCH(D332, MIS_Backend_Data!B:B, 1)) = "WT", "Yes", "No")</f>
        <v>#N/A</v>
      </c>
      <c r="W332" s="2" t="str">
        <f t="shared" ca="1" si="15"/>
        <v/>
      </c>
      <c r="AA332" s="1">
        <f t="shared" ca="1" si="16"/>
        <v>0</v>
      </c>
      <c r="AG332" s="1" t="str">
        <f t="shared" si="17"/>
        <v/>
      </c>
    </row>
    <row r="333" spans="1:33" ht="20.25" customHeight="1">
      <c r="A333" s="13">
        <v>332</v>
      </c>
      <c r="H333" s="1" t="str">
        <f>IF(Back_End_Data!G333="Completed","Yes","No")</f>
        <v>No</v>
      </c>
      <c r="I333" s="1" t="str">
        <f>IF(Back_End_Data!I333="Completed","Yes","No")</f>
        <v>No</v>
      </c>
      <c r="J333" s="1" t="str">
        <f>IF(Back_End_Data!J333="Completed","Yes","No")</f>
        <v>No</v>
      </c>
      <c r="K333" s="1" t="str">
        <f>IF(Back_End_Data!K333="Completed","Yes","No")</f>
        <v>No</v>
      </c>
      <c r="L333" s="1" t="str">
        <f>IF(Back_End_Data!L333="", "No", Back_End_Data!L333)</f>
        <v>No</v>
      </c>
      <c r="M333" s="1" t="str">
        <f>IF(Back_End_Data!N333="", "No", Back_End_Data!N333)</f>
        <v>No</v>
      </c>
      <c r="N333" s="1" t="str">
        <f>IF(Back_End_Data!M333="", "No", Back_End_Data!M333)</f>
        <v>No</v>
      </c>
      <c r="O333" s="1" t="str">
        <f>IF(Back_End_Data!O333="Completed","Yes","No")</f>
        <v>No</v>
      </c>
      <c r="P333" s="1" t="str">
        <f>IF(Back_End_Data!H333="Completed","Yes","No")</f>
        <v>No</v>
      </c>
      <c r="Q333" s="1" t="str">
        <f>IF(Back_End_Data!P333="Completed","Yes","No")</f>
        <v>No</v>
      </c>
      <c r="R333" s="1" t="s">
        <v>2369</v>
      </c>
      <c r="S333" s="1" t="str">
        <f>IF(Back_End_Data!R333="Completed","Yes","No")</f>
        <v>No</v>
      </c>
      <c r="T333" s="1" t="str">
        <f>IF(Back_End_Data!S333="Yes","Yes","No")</f>
        <v>No</v>
      </c>
      <c r="U333" s="1" t="str">
        <f>IF(Back_End_Data!Q332="Completed","Yes","No")</f>
        <v>No</v>
      </c>
      <c r="V333" s="1" t="e">
        <f ca="1">IF(INDEX(MIS_Backend_Data!L:L, MATCH(D333, MIS_Backend_Data!B:B, 1)) = "WT", "Yes", "No")</f>
        <v>#N/A</v>
      </c>
      <c r="W333" s="2" t="str">
        <f t="shared" ca="1" si="15"/>
        <v/>
      </c>
      <c r="AA333" s="1">
        <f t="shared" ca="1" si="16"/>
        <v>0</v>
      </c>
      <c r="AG333" s="1" t="str">
        <f t="shared" si="17"/>
        <v/>
      </c>
    </row>
    <row r="334" spans="1:33" ht="20.25" customHeight="1">
      <c r="A334" s="13">
        <v>333</v>
      </c>
      <c r="H334" s="1" t="str">
        <f>IF(Back_End_Data!G334="Completed","Yes","No")</f>
        <v>No</v>
      </c>
      <c r="I334" s="1" t="str">
        <f>IF(Back_End_Data!I334="Completed","Yes","No")</f>
        <v>No</v>
      </c>
      <c r="J334" s="1" t="str">
        <f>IF(Back_End_Data!J334="Completed","Yes","No")</f>
        <v>No</v>
      </c>
      <c r="K334" s="1" t="str">
        <f>IF(Back_End_Data!K334="Completed","Yes","No")</f>
        <v>No</v>
      </c>
      <c r="L334" s="1" t="str">
        <f>IF(Back_End_Data!L334="", "No", Back_End_Data!L334)</f>
        <v>No</v>
      </c>
      <c r="M334" s="1" t="str">
        <f>IF(Back_End_Data!N334="", "No", Back_End_Data!N334)</f>
        <v>No</v>
      </c>
      <c r="N334" s="1" t="str">
        <f>IF(Back_End_Data!M334="", "No", Back_End_Data!M334)</f>
        <v>No</v>
      </c>
      <c r="O334" s="1" t="str">
        <f>IF(Back_End_Data!O334="Completed","Yes","No")</f>
        <v>No</v>
      </c>
      <c r="P334" s="1" t="str">
        <f>IF(Back_End_Data!H334="Completed","Yes","No")</f>
        <v>No</v>
      </c>
      <c r="Q334" s="1" t="str">
        <f>IF(Back_End_Data!P334="Completed","Yes","No")</f>
        <v>No</v>
      </c>
      <c r="R334" s="1" t="s">
        <v>2369</v>
      </c>
      <c r="S334" s="1" t="str">
        <f>IF(Back_End_Data!R334="Completed","Yes","No")</f>
        <v>No</v>
      </c>
      <c r="T334" s="1" t="str">
        <f>IF(Back_End_Data!S334="Yes","Yes","No")</f>
        <v>No</v>
      </c>
      <c r="U334" s="1" t="str">
        <f>IF(Back_End_Data!Q333="Completed","Yes","No")</f>
        <v>No</v>
      </c>
      <c r="V334" s="1" t="e">
        <f ca="1">IF(INDEX(MIS_Backend_Data!L:L, MATCH(D334, MIS_Backend_Data!B:B, 1)) = "WT", "Yes", "No")</f>
        <v>#N/A</v>
      </c>
      <c r="W334" s="2" t="str">
        <f t="shared" ca="1" si="15"/>
        <v/>
      </c>
      <c r="AA334" s="1">
        <f t="shared" ca="1" si="16"/>
        <v>0</v>
      </c>
      <c r="AG334" s="1" t="str">
        <f t="shared" si="17"/>
        <v/>
      </c>
    </row>
    <row r="335" spans="1:33" ht="20.25" customHeight="1">
      <c r="A335" s="13">
        <v>334</v>
      </c>
      <c r="H335" s="1" t="str">
        <f>IF(Back_End_Data!G335="Completed","Yes","No")</f>
        <v>No</v>
      </c>
      <c r="I335" s="1" t="str">
        <f>IF(Back_End_Data!I335="Completed","Yes","No")</f>
        <v>No</v>
      </c>
      <c r="J335" s="1" t="str">
        <f>IF(Back_End_Data!J335="Completed","Yes","No")</f>
        <v>No</v>
      </c>
      <c r="K335" s="1" t="str">
        <f>IF(Back_End_Data!K335="Completed","Yes","No")</f>
        <v>No</v>
      </c>
      <c r="L335" s="1" t="str">
        <f>IF(Back_End_Data!L335="", "No", Back_End_Data!L335)</f>
        <v>No</v>
      </c>
      <c r="M335" s="1" t="str">
        <f>IF(Back_End_Data!N335="", "No", Back_End_Data!N335)</f>
        <v>No</v>
      </c>
      <c r="N335" s="1" t="str">
        <f>IF(Back_End_Data!M335="", "No", Back_End_Data!M335)</f>
        <v>No</v>
      </c>
      <c r="O335" s="1" t="str">
        <f>IF(Back_End_Data!O335="Completed","Yes","No")</f>
        <v>No</v>
      </c>
      <c r="P335" s="1" t="str">
        <f>IF(Back_End_Data!H335="Completed","Yes","No")</f>
        <v>No</v>
      </c>
      <c r="Q335" s="1" t="str">
        <f>IF(Back_End_Data!P335="Completed","Yes","No")</f>
        <v>No</v>
      </c>
      <c r="R335" s="1" t="s">
        <v>2369</v>
      </c>
      <c r="S335" s="1" t="str">
        <f>IF(Back_End_Data!R335="Completed","Yes","No")</f>
        <v>No</v>
      </c>
      <c r="T335" s="1" t="str">
        <f>IF(Back_End_Data!S335="Yes","Yes","No")</f>
        <v>No</v>
      </c>
      <c r="U335" s="1" t="str">
        <f>IF(Back_End_Data!Q334="Completed","Yes","No")</f>
        <v>No</v>
      </c>
      <c r="V335" s="1" t="e">
        <f ca="1">IF(INDEX(MIS_Backend_Data!L:L, MATCH(D335, MIS_Backend_Data!B:B, 1)) = "WT", "Yes", "No")</f>
        <v>#N/A</v>
      </c>
      <c r="W335" s="2" t="str">
        <f t="shared" ca="1" si="15"/>
        <v/>
      </c>
      <c r="AA335" s="1">
        <f t="shared" ca="1" si="16"/>
        <v>0</v>
      </c>
      <c r="AG335" s="1" t="str">
        <f t="shared" si="17"/>
        <v/>
      </c>
    </row>
    <row r="336" spans="1:33" ht="20.25" customHeight="1">
      <c r="A336" s="13">
        <v>335</v>
      </c>
      <c r="H336" s="1" t="str">
        <f>IF(Back_End_Data!G336="Completed","Yes","No")</f>
        <v>No</v>
      </c>
      <c r="I336" s="1" t="str">
        <f>IF(Back_End_Data!I336="Completed","Yes","No")</f>
        <v>No</v>
      </c>
      <c r="J336" s="1" t="str">
        <f>IF(Back_End_Data!J336="Completed","Yes","No")</f>
        <v>No</v>
      </c>
      <c r="K336" s="1" t="str">
        <f>IF(Back_End_Data!K336="Completed","Yes","No")</f>
        <v>No</v>
      </c>
      <c r="L336" s="1" t="str">
        <f>IF(Back_End_Data!L336="", "No", Back_End_Data!L336)</f>
        <v>No</v>
      </c>
      <c r="M336" s="1" t="str">
        <f>IF(Back_End_Data!N336="", "No", Back_End_Data!N336)</f>
        <v>No</v>
      </c>
      <c r="N336" s="1" t="str">
        <f>IF(Back_End_Data!M336="", "No", Back_End_Data!M336)</f>
        <v>No</v>
      </c>
      <c r="O336" s="1" t="str">
        <f>IF(Back_End_Data!O336="Completed","Yes","No")</f>
        <v>No</v>
      </c>
      <c r="P336" s="1" t="str">
        <f>IF(Back_End_Data!H336="Completed","Yes","No")</f>
        <v>No</v>
      </c>
      <c r="Q336" s="1" t="str">
        <f>IF(Back_End_Data!P336="Completed","Yes","No")</f>
        <v>No</v>
      </c>
      <c r="R336" s="1" t="s">
        <v>2369</v>
      </c>
      <c r="S336" s="1" t="str">
        <f>IF(Back_End_Data!R336="Completed","Yes","No")</f>
        <v>No</v>
      </c>
      <c r="T336" s="1" t="str">
        <f>IF(Back_End_Data!S336="Yes","Yes","No")</f>
        <v>No</v>
      </c>
      <c r="U336" s="1" t="str">
        <f>IF(Back_End_Data!Q335="Completed","Yes","No")</f>
        <v>No</v>
      </c>
      <c r="V336" s="1" t="e">
        <f ca="1">IF(INDEX(MIS_Backend_Data!L:L, MATCH(D336, MIS_Backend_Data!B:B, 1)) = "WT", "Yes", "No")</f>
        <v>#N/A</v>
      </c>
      <c r="W336" s="2" t="str">
        <f t="shared" ca="1" si="15"/>
        <v/>
      </c>
      <c r="AA336" s="1">
        <f t="shared" ca="1" si="16"/>
        <v>0</v>
      </c>
      <c r="AG336" s="1" t="str">
        <f t="shared" si="17"/>
        <v/>
      </c>
    </row>
    <row r="337" spans="1:33" ht="20.25" customHeight="1">
      <c r="A337" s="13">
        <v>336</v>
      </c>
      <c r="H337" s="1" t="str">
        <f>IF(Back_End_Data!G337="Completed","Yes","No")</f>
        <v>No</v>
      </c>
      <c r="I337" s="1" t="str">
        <f>IF(Back_End_Data!I337="Completed","Yes","No")</f>
        <v>No</v>
      </c>
      <c r="J337" s="1" t="str">
        <f>IF(Back_End_Data!J337="Completed","Yes","No")</f>
        <v>No</v>
      </c>
      <c r="K337" s="1" t="str">
        <f>IF(Back_End_Data!K337="Completed","Yes","No")</f>
        <v>No</v>
      </c>
      <c r="L337" s="1" t="str">
        <f>IF(Back_End_Data!L337="", "No", Back_End_Data!L337)</f>
        <v>No</v>
      </c>
      <c r="M337" s="1" t="str">
        <f>IF(Back_End_Data!N337="", "No", Back_End_Data!N337)</f>
        <v>No</v>
      </c>
      <c r="N337" s="1" t="str">
        <f>IF(Back_End_Data!M337="", "No", Back_End_Data!M337)</f>
        <v>No</v>
      </c>
      <c r="O337" s="1" t="str">
        <f>IF(Back_End_Data!O337="Completed","Yes","No")</f>
        <v>No</v>
      </c>
      <c r="P337" s="1" t="str">
        <f>IF(Back_End_Data!H337="Completed","Yes","No")</f>
        <v>No</v>
      </c>
      <c r="Q337" s="1" t="str">
        <f>IF(Back_End_Data!P337="Completed","Yes","No")</f>
        <v>No</v>
      </c>
      <c r="R337" s="1" t="s">
        <v>2369</v>
      </c>
      <c r="S337" s="1" t="str">
        <f>IF(Back_End_Data!R337="Completed","Yes","No")</f>
        <v>No</v>
      </c>
      <c r="T337" s="1" t="str">
        <f>IF(Back_End_Data!S337="Yes","Yes","No")</f>
        <v>No</v>
      </c>
      <c r="U337" s="1" t="str">
        <f>IF(Back_End_Data!Q336="Completed","Yes","No")</f>
        <v>No</v>
      </c>
      <c r="V337" s="1" t="e">
        <f ca="1">IF(INDEX(MIS_Backend_Data!L:L, MATCH(D337, MIS_Backend_Data!B:B, 1)) = "WT", "Yes", "No")</f>
        <v>#N/A</v>
      </c>
      <c r="W337" s="2" t="str">
        <f t="shared" ca="1" si="15"/>
        <v/>
      </c>
      <c r="AA337" s="1">
        <f t="shared" ca="1" si="16"/>
        <v>0</v>
      </c>
      <c r="AG337" s="1" t="str">
        <f t="shared" si="17"/>
        <v/>
      </c>
    </row>
    <row r="338" spans="1:33" ht="20.25" customHeight="1">
      <c r="A338" s="13">
        <v>337</v>
      </c>
      <c r="H338" s="1" t="str">
        <f>IF(Back_End_Data!G338="Completed","Yes","No")</f>
        <v>No</v>
      </c>
      <c r="I338" s="1" t="str">
        <f>IF(Back_End_Data!I338="Completed","Yes","No")</f>
        <v>No</v>
      </c>
      <c r="J338" s="1" t="str">
        <f>IF(Back_End_Data!J338="Completed","Yes","No")</f>
        <v>No</v>
      </c>
      <c r="K338" s="1" t="str">
        <f>IF(Back_End_Data!K338="Completed","Yes","No")</f>
        <v>No</v>
      </c>
      <c r="L338" s="1" t="str">
        <f>IF(Back_End_Data!L338="", "No", Back_End_Data!L338)</f>
        <v>No</v>
      </c>
      <c r="M338" s="1" t="str">
        <f>IF(Back_End_Data!N338="", "No", Back_End_Data!N338)</f>
        <v>No</v>
      </c>
      <c r="N338" s="1" t="str">
        <f>IF(Back_End_Data!M338="", "No", Back_End_Data!M338)</f>
        <v>No</v>
      </c>
      <c r="O338" s="1" t="str">
        <f>IF(Back_End_Data!O338="Completed","Yes","No")</f>
        <v>No</v>
      </c>
      <c r="P338" s="1" t="str">
        <f>IF(Back_End_Data!H338="Completed","Yes","No")</f>
        <v>No</v>
      </c>
      <c r="Q338" s="1" t="str">
        <f>IF(Back_End_Data!P338="Completed","Yes","No")</f>
        <v>No</v>
      </c>
      <c r="R338" s="1" t="s">
        <v>2369</v>
      </c>
      <c r="S338" s="1" t="str">
        <f>IF(Back_End_Data!R338="Completed","Yes","No")</f>
        <v>No</v>
      </c>
      <c r="T338" s="1" t="str">
        <f>IF(Back_End_Data!S338="Yes","Yes","No")</f>
        <v>No</v>
      </c>
      <c r="U338" s="1" t="str">
        <f>IF(Back_End_Data!Q337="Completed","Yes","No")</f>
        <v>No</v>
      </c>
      <c r="V338" s="1" t="e">
        <f ca="1">IF(INDEX(MIS_Backend_Data!L:L, MATCH(D338, MIS_Backend_Data!B:B, 1)) = "WT", "Yes", "No")</f>
        <v>#N/A</v>
      </c>
      <c r="W338" s="2" t="str">
        <f t="shared" ca="1" si="15"/>
        <v/>
      </c>
      <c r="AA338" s="1">
        <f t="shared" ca="1" si="16"/>
        <v>0</v>
      </c>
      <c r="AG338" s="1" t="str">
        <f t="shared" si="17"/>
        <v/>
      </c>
    </row>
    <row r="339" spans="1:33" ht="20.25" customHeight="1">
      <c r="A339" s="13">
        <v>338</v>
      </c>
      <c r="H339" s="1" t="str">
        <f>IF(Back_End_Data!G339="Completed","Yes","No")</f>
        <v>No</v>
      </c>
      <c r="I339" s="1" t="str">
        <f>IF(Back_End_Data!I339="Completed","Yes","No")</f>
        <v>No</v>
      </c>
      <c r="J339" s="1" t="str">
        <f>IF(Back_End_Data!J339="Completed","Yes","No")</f>
        <v>No</v>
      </c>
      <c r="K339" s="1" t="str">
        <f>IF(Back_End_Data!K339="Completed","Yes","No")</f>
        <v>No</v>
      </c>
      <c r="L339" s="1" t="str">
        <f>IF(Back_End_Data!L339="", "No", Back_End_Data!L339)</f>
        <v>No</v>
      </c>
      <c r="M339" s="1" t="str">
        <f>IF(Back_End_Data!N339="", "No", Back_End_Data!N339)</f>
        <v>No</v>
      </c>
      <c r="N339" s="1" t="str">
        <f>IF(Back_End_Data!M339="", "No", Back_End_Data!M339)</f>
        <v>No</v>
      </c>
      <c r="O339" s="1" t="str">
        <f>IF(Back_End_Data!O339="Completed","Yes","No")</f>
        <v>No</v>
      </c>
      <c r="P339" s="1" t="str">
        <f>IF(Back_End_Data!H339="Completed","Yes","No")</f>
        <v>No</v>
      </c>
      <c r="Q339" s="1" t="str">
        <f>IF(Back_End_Data!P339="Completed","Yes","No")</f>
        <v>No</v>
      </c>
      <c r="R339" s="1" t="s">
        <v>2369</v>
      </c>
      <c r="S339" s="1" t="str">
        <f>IF(Back_End_Data!R339="Completed","Yes","No")</f>
        <v>No</v>
      </c>
      <c r="T339" s="1" t="str">
        <f>IF(Back_End_Data!S339="Yes","Yes","No")</f>
        <v>No</v>
      </c>
      <c r="U339" s="1" t="str">
        <f>IF(Back_End_Data!Q338="Completed","Yes","No")</f>
        <v>No</v>
      </c>
      <c r="V339" s="1" t="e">
        <f ca="1">IF(INDEX(MIS_Backend_Data!L:L, MATCH(D339, MIS_Backend_Data!B:B, 1)) = "WT", "Yes", "No")</f>
        <v>#N/A</v>
      </c>
      <c r="W339" s="2" t="str">
        <f t="shared" ca="1" si="15"/>
        <v/>
      </c>
      <c r="AA339" s="1">
        <f t="shared" ca="1" si="16"/>
        <v>0</v>
      </c>
      <c r="AG339" s="1" t="str">
        <f t="shared" si="17"/>
        <v/>
      </c>
    </row>
    <row r="340" spans="1:33" ht="20.25" customHeight="1">
      <c r="A340" s="13">
        <v>339</v>
      </c>
      <c r="H340" s="1" t="str">
        <f>IF(Back_End_Data!G340="Completed","Yes","No")</f>
        <v>No</v>
      </c>
      <c r="I340" s="1" t="str">
        <f>IF(Back_End_Data!I340="Completed","Yes","No")</f>
        <v>No</v>
      </c>
      <c r="J340" s="1" t="str">
        <f>IF(Back_End_Data!J340="Completed","Yes","No")</f>
        <v>No</v>
      </c>
      <c r="K340" s="1" t="str">
        <f>IF(Back_End_Data!K340="Completed","Yes","No")</f>
        <v>No</v>
      </c>
      <c r="L340" s="1" t="str">
        <f>IF(Back_End_Data!L340="", "No", Back_End_Data!L340)</f>
        <v>No</v>
      </c>
      <c r="M340" s="1" t="str">
        <f>IF(Back_End_Data!N340="", "No", Back_End_Data!N340)</f>
        <v>No</v>
      </c>
      <c r="N340" s="1" t="str">
        <f>IF(Back_End_Data!M340="", "No", Back_End_Data!M340)</f>
        <v>No</v>
      </c>
      <c r="O340" s="1" t="str">
        <f>IF(Back_End_Data!O340="Completed","Yes","No")</f>
        <v>No</v>
      </c>
      <c r="P340" s="1" t="str">
        <f>IF(Back_End_Data!H340="Completed","Yes","No")</f>
        <v>No</v>
      </c>
      <c r="Q340" s="1" t="str">
        <f>IF(Back_End_Data!P340="Completed","Yes","No")</f>
        <v>No</v>
      </c>
      <c r="R340" s="1" t="s">
        <v>2369</v>
      </c>
      <c r="S340" s="1" t="str">
        <f>IF(Back_End_Data!R340="Completed","Yes","No")</f>
        <v>No</v>
      </c>
      <c r="T340" s="1" t="str">
        <f>IF(Back_End_Data!S340="Yes","Yes","No")</f>
        <v>No</v>
      </c>
      <c r="U340" s="1" t="str">
        <f>IF(Back_End_Data!Q339="Completed","Yes","No")</f>
        <v>No</v>
      </c>
      <c r="V340" s="1" t="e">
        <f ca="1">IF(INDEX(MIS_Backend_Data!L:L, MATCH(D340, MIS_Backend_Data!B:B, 1)) = "WT", "Yes", "No")</f>
        <v>#N/A</v>
      </c>
      <c r="W340" s="2" t="str">
        <f t="shared" ca="1" si="15"/>
        <v/>
      </c>
      <c r="AA340" s="1">
        <f t="shared" ca="1" si="16"/>
        <v>0</v>
      </c>
      <c r="AG340" s="1" t="str">
        <f t="shared" si="17"/>
        <v/>
      </c>
    </row>
    <row r="341" spans="1:33" ht="20.25" customHeight="1">
      <c r="A341" s="13">
        <v>340</v>
      </c>
      <c r="H341" s="1" t="str">
        <f>IF(Back_End_Data!G341="Completed","Yes","No")</f>
        <v>No</v>
      </c>
      <c r="I341" s="1" t="str">
        <f>IF(Back_End_Data!I341="Completed","Yes","No")</f>
        <v>No</v>
      </c>
      <c r="J341" s="1" t="str">
        <f>IF(Back_End_Data!J341="Completed","Yes","No")</f>
        <v>No</v>
      </c>
      <c r="K341" s="1" t="str">
        <f>IF(Back_End_Data!K341="Completed","Yes","No")</f>
        <v>No</v>
      </c>
      <c r="L341" s="1" t="str">
        <f>IF(Back_End_Data!L341="", "No", Back_End_Data!L341)</f>
        <v>No</v>
      </c>
      <c r="M341" s="1" t="str">
        <f>IF(Back_End_Data!N341="", "No", Back_End_Data!N341)</f>
        <v>No</v>
      </c>
      <c r="N341" s="1" t="str">
        <f>IF(Back_End_Data!M341="", "No", Back_End_Data!M341)</f>
        <v>No</v>
      </c>
      <c r="O341" s="1" t="str">
        <f>IF(Back_End_Data!O341="Completed","Yes","No")</f>
        <v>No</v>
      </c>
      <c r="P341" s="1" t="str">
        <f>IF(Back_End_Data!H341="Completed","Yes","No")</f>
        <v>No</v>
      </c>
      <c r="Q341" s="1" t="str">
        <f>IF(Back_End_Data!P341="Completed","Yes","No")</f>
        <v>No</v>
      </c>
      <c r="R341" s="1" t="s">
        <v>2369</v>
      </c>
      <c r="S341" s="1" t="str">
        <f>IF(Back_End_Data!R341="Completed","Yes","No")</f>
        <v>No</v>
      </c>
      <c r="T341" s="1" t="str">
        <f>IF(Back_End_Data!S341="Yes","Yes","No")</f>
        <v>No</v>
      </c>
      <c r="U341" s="1" t="str">
        <f>IF(Back_End_Data!Q340="Completed","Yes","No")</f>
        <v>No</v>
      </c>
      <c r="V341" s="1" t="e">
        <f ca="1">IF(INDEX(MIS_Backend_Data!L:L, MATCH(D341, MIS_Backend_Data!B:B, 1)) = "WT", "Yes", "No")</f>
        <v>#N/A</v>
      </c>
      <c r="W341" s="2" t="str">
        <f t="shared" ca="1" si="15"/>
        <v/>
      </c>
      <c r="AA341" s="1">
        <f t="shared" ca="1" si="16"/>
        <v>0</v>
      </c>
      <c r="AG341" s="1" t="str">
        <f t="shared" si="17"/>
        <v/>
      </c>
    </row>
    <row r="342" spans="1:33" ht="20.25" customHeight="1">
      <c r="A342" s="13">
        <v>341</v>
      </c>
      <c r="H342" s="1" t="str">
        <f>IF(Back_End_Data!G342="Completed","Yes","No")</f>
        <v>No</v>
      </c>
      <c r="I342" s="1" t="str">
        <f>IF(Back_End_Data!I342="Completed","Yes","No")</f>
        <v>No</v>
      </c>
      <c r="J342" s="1" t="str">
        <f>IF(Back_End_Data!J342="Completed","Yes","No")</f>
        <v>No</v>
      </c>
      <c r="K342" s="1" t="str">
        <f>IF(Back_End_Data!K342="Completed","Yes","No")</f>
        <v>No</v>
      </c>
      <c r="L342" s="1" t="str">
        <f>IF(Back_End_Data!L342="", "No", Back_End_Data!L342)</f>
        <v>No</v>
      </c>
      <c r="M342" s="1" t="str">
        <f>IF(Back_End_Data!N342="", "No", Back_End_Data!N342)</f>
        <v>No</v>
      </c>
      <c r="N342" s="1" t="str">
        <f>IF(Back_End_Data!M342="", "No", Back_End_Data!M342)</f>
        <v>No</v>
      </c>
      <c r="O342" s="1" t="str">
        <f>IF(Back_End_Data!O342="Completed","Yes","No")</f>
        <v>No</v>
      </c>
      <c r="P342" s="1" t="str">
        <f>IF(Back_End_Data!H342="Completed","Yes","No")</f>
        <v>No</v>
      </c>
      <c r="Q342" s="1" t="str">
        <f>IF(Back_End_Data!P342="Completed","Yes","No")</f>
        <v>No</v>
      </c>
      <c r="R342" s="1" t="s">
        <v>2369</v>
      </c>
      <c r="S342" s="1" t="str">
        <f>IF(Back_End_Data!R342="Completed","Yes","No")</f>
        <v>No</v>
      </c>
      <c r="T342" s="1" t="str">
        <f>IF(Back_End_Data!S342="Yes","Yes","No")</f>
        <v>No</v>
      </c>
      <c r="U342" s="1" t="str">
        <f>IF(Back_End_Data!Q341="Completed","Yes","No")</f>
        <v>No</v>
      </c>
      <c r="V342" s="1" t="e">
        <f ca="1">IF(INDEX(MIS_Backend_Data!L:L, MATCH(D342, MIS_Backend_Data!B:B, 1)) = "WT", "Yes", "No")</f>
        <v>#N/A</v>
      </c>
      <c r="W342" s="2" t="str">
        <f t="shared" ca="1" si="15"/>
        <v/>
      </c>
      <c r="AA342" s="1">
        <f t="shared" ca="1" si="16"/>
        <v>0</v>
      </c>
      <c r="AG342" s="1" t="str">
        <f t="shared" si="17"/>
        <v/>
      </c>
    </row>
    <row r="343" spans="1:33" ht="20.25" customHeight="1">
      <c r="A343" s="13">
        <v>342</v>
      </c>
      <c r="H343" s="1" t="str">
        <f>IF(Back_End_Data!G343="Completed","Yes","No")</f>
        <v>No</v>
      </c>
      <c r="I343" s="1" t="str">
        <f>IF(Back_End_Data!I343="Completed","Yes","No")</f>
        <v>No</v>
      </c>
      <c r="J343" s="1" t="str">
        <f>IF(Back_End_Data!J343="Completed","Yes","No")</f>
        <v>No</v>
      </c>
      <c r="K343" s="1" t="str">
        <f>IF(Back_End_Data!K343="Completed","Yes","No")</f>
        <v>No</v>
      </c>
      <c r="L343" s="1" t="str">
        <f>IF(Back_End_Data!L343="", "No", Back_End_Data!L343)</f>
        <v>No</v>
      </c>
      <c r="M343" s="1" t="str">
        <f>IF(Back_End_Data!N343="", "No", Back_End_Data!N343)</f>
        <v>No</v>
      </c>
      <c r="N343" s="1" t="str">
        <f>IF(Back_End_Data!M343="", "No", Back_End_Data!M343)</f>
        <v>No</v>
      </c>
      <c r="O343" s="1" t="str">
        <f>IF(Back_End_Data!O343="Completed","Yes","No")</f>
        <v>No</v>
      </c>
      <c r="P343" s="1" t="str">
        <f>IF(Back_End_Data!H343="Completed","Yes","No")</f>
        <v>No</v>
      </c>
      <c r="Q343" s="1" t="str">
        <f>IF(Back_End_Data!P343="Completed","Yes","No")</f>
        <v>No</v>
      </c>
      <c r="R343" s="1" t="s">
        <v>2369</v>
      </c>
      <c r="S343" s="1" t="str">
        <f>IF(Back_End_Data!R343="Completed","Yes","No")</f>
        <v>No</v>
      </c>
      <c r="T343" s="1" t="str">
        <f>IF(Back_End_Data!S343="Yes","Yes","No")</f>
        <v>No</v>
      </c>
      <c r="U343" s="1" t="str">
        <f>IF(Back_End_Data!Q342="Completed","Yes","No")</f>
        <v>No</v>
      </c>
      <c r="V343" s="1" t="e">
        <f ca="1">IF(INDEX(MIS_Backend_Data!L:L, MATCH(D343, MIS_Backend_Data!B:B, 1)) = "WT", "Yes", "No")</f>
        <v>#N/A</v>
      </c>
      <c r="W343" s="2" t="str">
        <f t="shared" ca="1" si="15"/>
        <v/>
      </c>
      <c r="AA343" s="1">
        <f t="shared" ca="1" si="16"/>
        <v>0</v>
      </c>
      <c r="AG343" s="1" t="str">
        <f t="shared" si="17"/>
        <v/>
      </c>
    </row>
    <row r="344" spans="1:33" ht="20.25" customHeight="1">
      <c r="A344" s="13">
        <v>343</v>
      </c>
      <c r="H344" s="1" t="str">
        <f>IF(Back_End_Data!G344="Completed","Yes","No")</f>
        <v>No</v>
      </c>
      <c r="I344" s="1" t="str">
        <f>IF(Back_End_Data!I344="Completed","Yes","No")</f>
        <v>No</v>
      </c>
      <c r="J344" s="1" t="str">
        <f>IF(Back_End_Data!J344="Completed","Yes","No")</f>
        <v>No</v>
      </c>
      <c r="K344" s="1" t="str">
        <f>IF(Back_End_Data!K344="Completed","Yes","No")</f>
        <v>No</v>
      </c>
      <c r="L344" s="1" t="str">
        <f>IF(Back_End_Data!L344="", "No", Back_End_Data!L344)</f>
        <v>No</v>
      </c>
      <c r="M344" s="1" t="str">
        <f>IF(Back_End_Data!N344="", "No", Back_End_Data!N344)</f>
        <v>No</v>
      </c>
      <c r="N344" s="1" t="str">
        <f>IF(Back_End_Data!M344="", "No", Back_End_Data!M344)</f>
        <v>No</v>
      </c>
      <c r="O344" s="1" t="str">
        <f>IF(Back_End_Data!O344="Completed","Yes","No")</f>
        <v>No</v>
      </c>
      <c r="P344" s="1" t="str">
        <f>IF(Back_End_Data!H344="Completed","Yes","No")</f>
        <v>No</v>
      </c>
      <c r="Q344" s="1" t="str">
        <f>IF(Back_End_Data!P344="Completed","Yes","No")</f>
        <v>No</v>
      </c>
      <c r="R344" s="1" t="s">
        <v>2369</v>
      </c>
      <c r="S344" s="1" t="str">
        <f>IF(Back_End_Data!R344="Completed","Yes","No")</f>
        <v>No</v>
      </c>
      <c r="T344" s="1" t="str">
        <f>IF(Back_End_Data!S344="Yes","Yes","No")</f>
        <v>No</v>
      </c>
      <c r="U344" s="1" t="str">
        <f>IF(Back_End_Data!Q343="Completed","Yes","No")</f>
        <v>No</v>
      </c>
      <c r="V344" s="1" t="e">
        <f ca="1">IF(INDEX(MIS_Backend_Data!L:L, MATCH(D344, MIS_Backend_Data!B:B, 1)) = "WT", "Yes", "No")</f>
        <v>#N/A</v>
      </c>
      <c r="W344" s="2" t="str">
        <f t="shared" ca="1" si="15"/>
        <v/>
      </c>
      <c r="AA344" s="1">
        <f t="shared" ca="1" si="16"/>
        <v>0</v>
      </c>
      <c r="AG344" s="1" t="str">
        <f t="shared" si="17"/>
        <v/>
      </c>
    </row>
    <row r="345" spans="1:33" ht="20.25" customHeight="1">
      <c r="A345" s="13">
        <v>344</v>
      </c>
      <c r="H345" s="1" t="str">
        <f>IF(Back_End_Data!G345="Completed","Yes","No")</f>
        <v>No</v>
      </c>
      <c r="I345" s="1" t="str">
        <f>IF(Back_End_Data!I345="Completed","Yes","No")</f>
        <v>No</v>
      </c>
      <c r="J345" s="1" t="str">
        <f>IF(Back_End_Data!J345="Completed","Yes","No")</f>
        <v>No</v>
      </c>
      <c r="K345" s="1" t="str">
        <f>IF(Back_End_Data!K345="Completed","Yes","No")</f>
        <v>No</v>
      </c>
      <c r="L345" s="1" t="str">
        <f>IF(Back_End_Data!L345="", "No", Back_End_Data!L345)</f>
        <v>No</v>
      </c>
      <c r="M345" s="1" t="str">
        <f>IF(Back_End_Data!N345="", "No", Back_End_Data!N345)</f>
        <v>No</v>
      </c>
      <c r="N345" s="1" t="str">
        <f>IF(Back_End_Data!M345="", "No", Back_End_Data!M345)</f>
        <v>No</v>
      </c>
      <c r="O345" s="1" t="str">
        <f>IF(Back_End_Data!O345="Completed","Yes","No")</f>
        <v>No</v>
      </c>
      <c r="P345" s="1" t="str">
        <f>IF(Back_End_Data!H345="Completed","Yes","No")</f>
        <v>No</v>
      </c>
      <c r="Q345" s="1" t="str">
        <f>IF(Back_End_Data!P345="Completed","Yes","No")</f>
        <v>No</v>
      </c>
      <c r="R345" s="1" t="s">
        <v>2369</v>
      </c>
      <c r="S345" s="1" t="str">
        <f>IF(Back_End_Data!R345="Completed","Yes","No")</f>
        <v>No</v>
      </c>
      <c r="T345" s="1" t="str">
        <f>IF(Back_End_Data!S345="Yes","Yes","No")</f>
        <v>No</v>
      </c>
      <c r="U345" s="1" t="str">
        <f>IF(Back_End_Data!Q344="Completed","Yes","No")</f>
        <v>No</v>
      </c>
      <c r="V345" s="1" t="e">
        <f ca="1">IF(INDEX(MIS_Backend_Data!L:L, MATCH(D345, MIS_Backend_Data!B:B, 1)) = "WT", "Yes", "No")</f>
        <v>#N/A</v>
      </c>
      <c r="W345" s="2" t="str">
        <f t="shared" ca="1" si="15"/>
        <v/>
      </c>
      <c r="AA345" s="1">
        <f t="shared" ca="1" si="16"/>
        <v>0</v>
      </c>
      <c r="AG345" s="1" t="str">
        <f t="shared" si="17"/>
        <v/>
      </c>
    </row>
    <row r="346" spans="1:33" ht="20.25" customHeight="1">
      <c r="A346" s="13">
        <v>345</v>
      </c>
      <c r="H346" s="1" t="str">
        <f>IF(Back_End_Data!G346="Completed","Yes","No")</f>
        <v>No</v>
      </c>
      <c r="I346" s="1" t="str">
        <f>IF(Back_End_Data!I346="Completed","Yes","No")</f>
        <v>No</v>
      </c>
      <c r="J346" s="1" t="str">
        <f>IF(Back_End_Data!J346="Completed","Yes","No")</f>
        <v>No</v>
      </c>
      <c r="K346" s="1" t="str">
        <f>IF(Back_End_Data!K346="Completed","Yes","No")</f>
        <v>No</v>
      </c>
      <c r="L346" s="1" t="str">
        <f>IF(Back_End_Data!L346="", "No", Back_End_Data!L346)</f>
        <v>No</v>
      </c>
      <c r="M346" s="1" t="str">
        <f>IF(Back_End_Data!N346="", "No", Back_End_Data!N346)</f>
        <v>No</v>
      </c>
      <c r="N346" s="1" t="str">
        <f>IF(Back_End_Data!M346="", "No", Back_End_Data!M346)</f>
        <v>No</v>
      </c>
      <c r="O346" s="1" t="str">
        <f>IF(Back_End_Data!O346="Completed","Yes","No")</f>
        <v>No</v>
      </c>
      <c r="P346" s="1" t="str">
        <f>IF(Back_End_Data!H346="Completed","Yes","No")</f>
        <v>No</v>
      </c>
      <c r="Q346" s="1" t="str">
        <f>IF(Back_End_Data!P346="Completed","Yes","No")</f>
        <v>No</v>
      </c>
      <c r="R346" s="1" t="s">
        <v>2369</v>
      </c>
      <c r="S346" s="1" t="str">
        <f>IF(Back_End_Data!R346="Completed","Yes","No")</f>
        <v>No</v>
      </c>
      <c r="T346" s="1" t="str">
        <f>IF(Back_End_Data!S346="Yes","Yes","No")</f>
        <v>No</v>
      </c>
      <c r="U346" s="1" t="str">
        <f>IF(Back_End_Data!Q345="Completed","Yes","No")</f>
        <v>No</v>
      </c>
      <c r="V346" s="1" t="e">
        <f ca="1">IF(INDEX(MIS_Backend_Data!L:L, MATCH(D346, MIS_Backend_Data!B:B, 1)) = "WT", "Yes", "No")</f>
        <v>#N/A</v>
      </c>
      <c r="W346" s="2" t="str">
        <f t="shared" ca="1" si="15"/>
        <v/>
      </c>
      <c r="AA346" s="1">
        <f t="shared" ca="1" si="16"/>
        <v>0</v>
      </c>
      <c r="AG346" s="1" t="str">
        <f t="shared" si="17"/>
        <v/>
      </c>
    </row>
    <row r="347" spans="1:33" ht="20.25" customHeight="1">
      <c r="A347" s="13">
        <v>346</v>
      </c>
      <c r="H347" s="1" t="str">
        <f>IF(Back_End_Data!G347="Completed","Yes","No")</f>
        <v>No</v>
      </c>
      <c r="I347" s="1" t="str">
        <f>IF(Back_End_Data!I347="Completed","Yes","No")</f>
        <v>No</v>
      </c>
      <c r="J347" s="1" t="str">
        <f>IF(Back_End_Data!J347="Completed","Yes","No")</f>
        <v>No</v>
      </c>
      <c r="K347" s="1" t="str">
        <f>IF(Back_End_Data!K347="Completed","Yes","No")</f>
        <v>No</v>
      </c>
      <c r="L347" s="1" t="str">
        <f>IF(Back_End_Data!L347="", "No", Back_End_Data!L347)</f>
        <v>No</v>
      </c>
      <c r="M347" s="1" t="str">
        <f>IF(Back_End_Data!N347="", "No", Back_End_Data!N347)</f>
        <v>No</v>
      </c>
      <c r="N347" s="1" t="str">
        <f>IF(Back_End_Data!M347="", "No", Back_End_Data!M347)</f>
        <v>No</v>
      </c>
      <c r="O347" s="1" t="str">
        <f>IF(Back_End_Data!O347="Completed","Yes","No")</f>
        <v>No</v>
      </c>
      <c r="P347" s="1" t="str">
        <f>IF(Back_End_Data!H347="Completed","Yes","No")</f>
        <v>No</v>
      </c>
      <c r="Q347" s="1" t="str">
        <f>IF(Back_End_Data!P347="Completed","Yes","No")</f>
        <v>No</v>
      </c>
      <c r="R347" s="1" t="s">
        <v>2369</v>
      </c>
      <c r="S347" s="1" t="str">
        <f>IF(Back_End_Data!R347="Completed","Yes","No")</f>
        <v>No</v>
      </c>
      <c r="T347" s="1" t="str">
        <f>IF(Back_End_Data!S347="Yes","Yes","No")</f>
        <v>No</v>
      </c>
      <c r="U347" s="1" t="str">
        <f>IF(Back_End_Data!Q346="Completed","Yes","No")</f>
        <v>No</v>
      </c>
      <c r="V347" s="1" t="e">
        <f ca="1">IF(INDEX(MIS_Backend_Data!L:L, MATCH(D347, MIS_Backend_Data!B:B, 1)) = "WT", "Yes", "No")</f>
        <v>#N/A</v>
      </c>
      <c r="W347" s="2" t="str">
        <f t="shared" ca="1" si="15"/>
        <v/>
      </c>
      <c r="AA347" s="1">
        <f t="shared" ca="1" si="16"/>
        <v>0</v>
      </c>
      <c r="AG347" s="1" t="str">
        <f t="shared" si="17"/>
        <v/>
      </c>
    </row>
    <row r="348" spans="1:33" ht="20.25" customHeight="1">
      <c r="A348" s="13">
        <v>347</v>
      </c>
      <c r="H348" s="1" t="str">
        <f>IF(Back_End_Data!G348="Completed","Yes","No")</f>
        <v>No</v>
      </c>
      <c r="I348" s="1" t="str">
        <f>IF(Back_End_Data!I348="Completed","Yes","No")</f>
        <v>No</v>
      </c>
      <c r="J348" s="1" t="str">
        <f>IF(Back_End_Data!J348="Completed","Yes","No")</f>
        <v>No</v>
      </c>
      <c r="K348" s="1" t="str">
        <f>IF(Back_End_Data!K348="Completed","Yes","No")</f>
        <v>No</v>
      </c>
      <c r="L348" s="1" t="str">
        <f>IF(Back_End_Data!L348="", "No", Back_End_Data!L348)</f>
        <v>No</v>
      </c>
      <c r="M348" s="1" t="str">
        <f>IF(Back_End_Data!N348="", "No", Back_End_Data!N348)</f>
        <v>No</v>
      </c>
      <c r="N348" s="1" t="str">
        <f>IF(Back_End_Data!M348="", "No", Back_End_Data!M348)</f>
        <v>No</v>
      </c>
      <c r="O348" s="1" t="str">
        <f>IF(Back_End_Data!O348="Completed","Yes","No")</f>
        <v>No</v>
      </c>
      <c r="P348" s="1" t="str">
        <f>IF(Back_End_Data!H348="Completed","Yes","No")</f>
        <v>No</v>
      </c>
      <c r="Q348" s="1" t="str">
        <f>IF(Back_End_Data!P348="Completed","Yes","No")</f>
        <v>No</v>
      </c>
      <c r="R348" s="1" t="s">
        <v>2369</v>
      </c>
      <c r="S348" s="1" t="str">
        <f>IF(Back_End_Data!R348="Completed","Yes","No")</f>
        <v>No</v>
      </c>
      <c r="T348" s="1" t="str">
        <f>IF(Back_End_Data!S348="Yes","Yes","No")</f>
        <v>No</v>
      </c>
      <c r="U348" s="1" t="str">
        <f>IF(Back_End_Data!Q347="Completed","Yes","No")</f>
        <v>No</v>
      </c>
      <c r="V348" s="1" t="e">
        <f ca="1">IF(INDEX(MIS_Backend_Data!L:L, MATCH(D348, MIS_Backend_Data!B:B, 1)) = "WT", "Yes", "No")</f>
        <v>#N/A</v>
      </c>
      <c r="W348" s="2" t="str">
        <f t="shared" ca="1" si="15"/>
        <v/>
      </c>
      <c r="AA348" s="1">
        <f t="shared" ca="1" si="16"/>
        <v>0</v>
      </c>
      <c r="AG348" s="1" t="str">
        <f t="shared" si="17"/>
        <v/>
      </c>
    </row>
    <row r="349" spans="1:33" ht="20.25" customHeight="1">
      <c r="A349" s="13">
        <v>348</v>
      </c>
      <c r="H349" s="1" t="str">
        <f>IF(Back_End_Data!G349="Completed","Yes","No")</f>
        <v>No</v>
      </c>
      <c r="I349" s="1" t="str">
        <f>IF(Back_End_Data!I349="Completed","Yes","No")</f>
        <v>No</v>
      </c>
      <c r="J349" s="1" t="str">
        <f>IF(Back_End_Data!J349="Completed","Yes","No")</f>
        <v>No</v>
      </c>
      <c r="K349" s="1" t="str">
        <f>IF(Back_End_Data!K349="Completed","Yes","No")</f>
        <v>No</v>
      </c>
      <c r="L349" s="1" t="str">
        <f>IF(Back_End_Data!L349="", "No", Back_End_Data!L349)</f>
        <v>No</v>
      </c>
      <c r="M349" s="1" t="str">
        <f>IF(Back_End_Data!N349="", "No", Back_End_Data!N349)</f>
        <v>No</v>
      </c>
      <c r="N349" s="1" t="str">
        <f>IF(Back_End_Data!M349="", "No", Back_End_Data!M349)</f>
        <v>No</v>
      </c>
      <c r="O349" s="1" t="str">
        <f>IF(Back_End_Data!O349="Completed","Yes","No")</f>
        <v>No</v>
      </c>
      <c r="P349" s="1" t="str">
        <f>IF(Back_End_Data!H349="Completed","Yes","No")</f>
        <v>No</v>
      </c>
      <c r="Q349" s="1" t="str">
        <f>IF(Back_End_Data!P349="Completed","Yes","No")</f>
        <v>No</v>
      </c>
      <c r="R349" s="1" t="s">
        <v>2369</v>
      </c>
      <c r="S349" s="1" t="str">
        <f>IF(Back_End_Data!R349="Completed","Yes","No")</f>
        <v>No</v>
      </c>
      <c r="T349" s="1" t="str">
        <f>IF(Back_End_Data!S349="Yes","Yes","No")</f>
        <v>No</v>
      </c>
      <c r="U349" s="1" t="str">
        <f>IF(Back_End_Data!Q348="Completed","Yes","No")</f>
        <v>No</v>
      </c>
      <c r="V349" s="1" t="e">
        <f ca="1">IF(INDEX(MIS_Backend_Data!L:L, MATCH(D349, MIS_Backend_Data!B:B, 1)) = "WT", "Yes", "No")</f>
        <v>#N/A</v>
      </c>
      <c r="W349" s="2" t="str">
        <f t="shared" ca="1" si="15"/>
        <v/>
      </c>
      <c r="AA349" s="1">
        <f t="shared" ca="1" si="16"/>
        <v>0</v>
      </c>
      <c r="AG349" s="1" t="str">
        <f t="shared" si="17"/>
        <v/>
      </c>
    </row>
    <row r="350" spans="1:33" ht="20.25" customHeight="1">
      <c r="A350" s="13">
        <v>349</v>
      </c>
      <c r="H350" s="1" t="str">
        <f>IF(Back_End_Data!G350="Completed","Yes","No")</f>
        <v>No</v>
      </c>
      <c r="I350" s="1" t="str">
        <f>IF(Back_End_Data!I350="Completed","Yes","No")</f>
        <v>No</v>
      </c>
      <c r="J350" s="1" t="str">
        <f>IF(Back_End_Data!J350="Completed","Yes","No")</f>
        <v>No</v>
      </c>
      <c r="K350" s="1" t="str">
        <f>IF(Back_End_Data!K350="Completed","Yes","No")</f>
        <v>No</v>
      </c>
      <c r="L350" s="1" t="str">
        <f>IF(Back_End_Data!L350="", "No", Back_End_Data!L350)</f>
        <v>No</v>
      </c>
      <c r="M350" s="1" t="str">
        <f>IF(Back_End_Data!N350="", "No", Back_End_Data!N350)</f>
        <v>No</v>
      </c>
      <c r="N350" s="1" t="str">
        <f>IF(Back_End_Data!M350="", "No", Back_End_Data!M350)</f>
        <v>No</v>
      </c>
      <c r="O350" s="1" t="str">
        <f>IF(Back_End_Data!O350="Completed","Yes","No")</f>
        <v>No</v>
      </c>
      <c r="P350" s="1" t="str">
        <f>IF(Back_End_Data!H350="Completed","Yes","No")</f>
        <v>No</v>
      </c>
      <c r="Q350" s="1" t="str">
        <f>IF(Back_End_Data!P350="Completed","Yes","No")</f>
        <v>No</v>
      </c>
      <c r="R350" s="1" t="s">
        <v>2369</v>
      </c>
      <c r="S350" s="1" t="str">
        <f>IF(Back_End_Data!R350="Completed","Yes","No")</f>
        <v>No</v>
      </c>
      <c r="T350" s="1" t="str">
        <f>IF(Back_End_Data!S350="Yes","Yes","No")</f>
        <v>No</v>
      </c>
      <c r="U350" s="1" t="str">
        <f>IF(Back_End_Data!Q349="Completed","Yes","No")</f>
        <v>No</v>
      </c>
      <c r="V350" s="1" t="e">
        <f ca="1">IF(INDEX(MIS_Backend_Data!L:L, MATCH(D350, MIS_Backend_Data!B:B, 1)) = "WT", "Yes", "No")</f>
        <v>#N/A</v>
      </c>
      <c r="W350" s="2" t="str">
        <f t="shared" ca="1" si="15"/>
        <v/>
      </c>
      <c r="AA350" s="1">
        <f t="shared" ca="1" si="16"/>
        <v>0</v>
      </c>
      <c r="AG350" s="1" t="str">
        <f t="shared" si="17"/>
        <v/>
      </c>
    </row>
    <row r="351" spans="1:33" ht="20.25" customHeight="1">
      <c r="A351" s="13">
        <v>350</v>
      </c>
      <c r="H351" s="1" t="str">
        <f>IF(Back_End_Data!G351="Completed","Yes","No")</f>
        <v>No</v>
      </c>
      <c r="I351" s="1" t="str">
        <f>IF(Back_End_Data!I351="Completed","Yes","No")</f>
        <v>No</v>
      </c>
      <c r="J351" s="1" t="str">
        <f>IF(Back_End_Data!J351="Completed","Yes","No")</f>
        <v>No</v>
      </c>
      <c r="K351" s="1" t="str">
        <f>IF(Back_End_Data!K351="Completed","Yes","No")</f>
        <v>No</v>
      </c>
      <c r="L351" s="1" t="str">
        <f>IF(Back_End_Data!L351="", "No", Back_End_Data!L351)</f>
        <v>No</v>
      </c>
      <c r="M351" s="1" t="str">
        <f>IF(Back_End_Data!N351="", "No", Back_End_Data!N351)</f>
        <v>No</v>
      </c>
      <c r="N351" s="1" t="str">
        <f>IF(Back_End_Data!M351="", "No", Back_End_Data!M351)</f>
        <v>No</v>
      </c>
      <c r="O351" s="1" t="str">
        <f>IF(Back_End_Data!O351="Completed","Yes","No")</f>
        <v>No</v>
      </c>
      <c r="P351" s="1" t="str">
        <f>IF(Back_End_Data!H351="Completed","Yes","No")</f>
        <v>No</v>
      </c>
      <c r="Q351" s="1" t="str">
        <f>IF(Back_End_Data!P351="Completed","Yes","No")</f>
        <v>No</v>
      </c>
      <c r="R351" s="1" t="s">
        <v>2369</v>
      </c>
      <c r="S351" s="1" t="str">
        <f>IF(Back_End_Data!R351="Completed","Yes","No")</f>
        <v>No</v>
      </c>
      <c r="T351" s="1" t="str">
        <f>IF(Back_End_Data!S351="Yes","Yes","No")</f>
        <v>No</v>
      </c>
      <c r="U351" s="1" t="str">
        <f>IF(Back_End_Data!Q350="Completed","Yes","No")</f>
        <v>No</v>
      </c>
      <c r="V351" s="1" t="e">
        <f ca="1">IF(INDEX(MIS_Backend_Data!L:L, MATCH(D351, MIS_Backend_Data!B:B, 1)) = "WT", "Yes", "No")</f>
        <v>#N/A</v>
      </c>
      <c r="W351" s="2" t="str">
        <f t="shared" ca="1" si="15"/>
        <v/>
      </c>
      <c r="AA351" s="1">
        <f t="shared" ca="1" si="16"/>
        <v>0</v>
      </c>
      <c r="AG351" s="1" t="str">
        <f t="shared" si="17"/>
        <v/>
      </c>
    </row>
    <row r="352" spans="1:33" ht="20.25" customHeight="1">
      <c r="A352" s="13">
        <v>351</v>
      </c>
      <c r="H352" s="1" t="str">
        <f>IF(Back_End_Data!G352="Completed","Yes","No")</f>
        <v>No</v>
      </c>
      <c r="I352" s="1" t="str">
        <f>IF(Back_End_Data!I352="Completed","Yes","No")</f>
        <v>No</v>
      </c>
      <c r="J352" s="1" t="str">
        <f>IF(Back_End_Data!J352="Completed","Yes","No")</f>
        <v>No</v>
      </c>
      <c r="K352" s="1" t="str">
        <f>IF(Back_End_Data!K352="Completed","Yes","No")</f>
        <v>No</v>
      </c>
      <c r="L352" s="1" t="str">
        <f>IF(Back_End_Data!L352="", "No", Back_End_Data!L352)</f>
        <v>No</v>
      </c>
      <c r="M352" s="1" t="str">
        <f>IF(Back_End_Data!N352="", "No", Back_End_Data!N352)</f>
        <v>No</v>
      </c>
      <c r="N352" s="1" t="str">
        <f>IF(Back_End_Data!M352="", "No", Back_End_Data!M352)</f>
        <v>No</v>
      </c>
      <c r="O352" s="1" t="str">
        <f>IF(Back_End_Data!O352="Completed","Yes","No")</f>
        <v>No</v>
      </c>
      <c r="P352" s="1" t="str">
        <f>IF(Back_End_Data!H352="Completed","Yes","No")</f>
        <v>No</v>
      </c>
      <c r="Q352" s="1" t="str">
        <f>IF(Back_End_Data!P352="Completed","Yes","No")</f>
        <v>No</v>
      </c>
      <c r="R352" s="1" t="s">
        <v>2369</v>
      </c>
      <c r="S352" s="1" t="str">
        <f>IF(Back_End_Data!R352="Completed","Yes","No")</f>
        <v>No</v>
      </c>
      <c r="T352" s="1" t="str">
        <f>IF(Back_End_Data!S352="Yes","Yes","No")</f>
        <v>No</v>
      </c>
      <c r="U352" s="1" t="str">
        <f>IF(Back_End_Data!Q351="Completed","Yes","No")</f>
        <v>No</v>
      </c>
      <c r="V352" s="1" t="e">
        <f ca="1">IF(INDEX(MIS_Backend_Data!L:L, MATCH(D352, MIS_Backend_Data!B:B, 1)) = "WT", "Yes", "No")</f>
        <v>#N/A</v>
      </c>
      <c r="W352" s="2" t="str">
        <f t="shared" ca="1" si="15"/>
        <v/>
      </c>
      <c r="AA352" s="1">
        <f t="shared" ca="1" si="16"/>
        <v>0</v>
      </c>
      <c r="AG352" s="1" t="str">
        <f t="shared" si="17"/>
        <v/>
      </c>
    </row>
    <row r="353" spans="1:33" ht="20.25" customHeight="1">
      <c r="A353" s="13">
        <v>352</v>
      </c>
      <c r="H353" s="1" t="str">
        <f>IF(Back_End_Data!G353="Completed","Yes","No")</f>
        <v>No</v>
      </c>
      <c r="I353" s="1" t="str">
        <f>IF(Back_End_Data!I353="Completed","Yes","No")</f>
        <v>No</v>
      </c>
      <c r="J353" s="1" t="str">
        <f>IF(Back_End_Data!J353="Completed","Yes","No")</f>
        <v>No</v>
      </c>
      <c r="K353" s="1" t="str">
        <f>IF(Back_End_Data!K353="Completed","Yes","No")</f>
        <v>No</v>
      </c>
      <c r="L353" s="1" t="str">
        <f>IF(Back_End_Data!L353="", "No", Back_End_Data!L353)</f>
        <v>No</v>
      </c>
      <c r="M353" s="1" t="str">
        <f>IF(Back_End_Data!N353="", "No", Back_End_Data!N353)</f>
        <v>No</v>
      </c>
      <c r="N353" s="1" t="str">
        <f>IF(Back_End_Data!M353="", "No", Back_End_Data!M353)</f>
        <v>No</v>
      </c>
      <c r="O353" s="1" t="str">
        <f>IF(Back_End_Data!O353="Completed","Yes","No")</f>
        <v>No</v>
      </c>
      <c r="P353" s="1" t="str">
        <f>IF(Back_End_Data!H353="Completed","Yes","No")</f>
        <v>No</v>
      </c>
      <c r="Q353" s="1" t="str">
        <f>IF(Back_End_Data!P353="Completed","Yes","No")</f>
        <v>No</v>
      </c>
      <c r="R353" s="1" t="s">
        <v>2369</v>
      </c>
      <c r="S353" s="1" t="str">
        <f>IF(Back_End_Data!R353="Completed","Yes","No")</f>
        <v>No</v>
      </c>
      <c r="T353" s="1" t="str">
        <f>IF(Back_End_Data!S353="Yes","Yes","No")</f>
        <v>No</v>
      </c>
      <c r="U353" s="1" t="str">
        <f>IF(Back_End_Data!Q352="Completed","Yes","No")</f>
        <v>No</v>
      </c>
      <c r="V353" s="1" t="e">
        <f ca="1">IF(INDEX(MIS_Backend_Data!L:L, MATCH(D353, MIS_Backend_Data!B:B, 1)) = "WT", "Yes", "No")</f>
        <v>#N/A</v>
      </c>
      <c r="W353" s="2" t="str">
        <f t="shared" ca="1" si="15"/>
        <v/>
      </c>
      <c r="AA353" s="1">
        <f t="shared" ca="1" si="16"/>
        <v>0</v>
      </c>
      <c r="AG353" s="1" t="str">
        <f t="shared" si="17"/>
        <v/>
      </c>
    </row>
    <row r="354" spans="1:33" ht="20.25" customHeight="1">
      <c r="A354" s="13">
        <v>353</v>
      </c>
      <c r="H354" s="1" t="str">
        <f>IF(Back_End_Data!G354="Completed","Yes","No")</f>
        <v>No</v>
      </c>
      <c r="I354" s="1" t="str">
        <f>IF(Back_End_Data!I354="Completed","Yes","No")</f>
        <v>No</v>
      </c>
      <c r="J354" s="1" t="str">
        <f>IF(Back_End_Data!J354="Completed","Yes","No")</f>
        <v>No</v>
      </c>
      <c r="K354" s="1" t="str">
        <f>IF(Back_End_Data!K354="Completed","Yes","No")</f>
        <v>No</v>
      </c>
      <c r="L354" s="1" t="str">
        <f>IF(Back_End_Data!L354="", "No", Back_End_Data!L354)</f>
        <v>No</v>
      </c>
      <c r="M354" s="1" t="str">
        <f>IF(Back_End_Data!N354="", "No", Back_End_Data!N354)</f>
        <v>No</v>
      </c>
      <c r="N354" s="1" t="str">
        <f>IF(Back_End_Data!M354="", "No", Back_End_Data!M354)</f>
        <v>No</v>
      </c>
      <c r="O354" s="1" t="str">
        <f>IF(Back_End_Data!O354="Completed","Yes","No")</f>
        <v>No</v>
      </c>
      <c r="P354" s="1" t="str">
        <f>IF(Back_End_Data!H354="Completed","Yes","No")</f>
        <v>No</v>
      </c>
      <c r="Q354" s="1" t="str">
        <f>IF(Back_End_Data!P354="Completed","Yes","No")</f>
        <v>No</v>
      </c>
      <c r="R354" s="1" t="s">
        <v>2369</v>
      </c>
      <c r="S354" s="1" t="str">
        <f>IF(Back_End_Data!R354="Completed","Yes","No")</f>
        <v>No</v>
      </c>
      <c r="T354" s="1" t="str">
        <f>IF(Back_End_Data!S354="Yes","Yes","No")</f>
        <v>No</v>
      </c>
      <c r="U354" s="1" t="str">
        <f>IF(Back_End_Data!Q353="Completed","Yes","No")</f>
        <v>No</v>
      </c>
      <c r="V354" s="1" t="e">
        <f ca="1">IF(INDEX(MIS_Backend_Data!L:L, MATCH(D354, MIS_Backend_Data!B:B, 1)) = "WT", "Yes", "No")</f>
        <v>#N/A</v>
      </c>
      <c r="W354" s="2" t="str">
        <f t="shared" ca="1" si="15"/>
        <v/>
      </c>
      <c r="AA354" s="1">
        <f t="shared" ca="1" si="16"/>
        <v>0</v>
      </c>
      <c r="AG354" s="1" t="str">
        <f t="shared" si="17"/>
        <v/>
      </c>
    </row>
    <row r="355" spans="1:33" ht="20.25" customHeight="1">
      <c r="A355" s="13">
        <v>354</v>
      </c>
      <c r="H355" s="1" t="str">
        <f>IF(Back_End_Data!G355="Completed","Yes","No")</f>
        <v>No</v>
      </c>
      <c r="I355" s="1" t="str">
        <f>IF(Back_End_Data!I355="Completed","Yes","No")</f>
        <v>No</v>
      </c>
      <c r="J355" s="1" t="str">
        <f>IF(Back_End_Data!J355="Completed","Yes","No")</f>
        <v>No</v>
      </c>
      <c r="K355" s="1" t="str">
        <f>IF(Back_End_Data!K355="Completed","Yes","No")</f>
        <v>No</v>
      </c>
      <c r="L355" s="1" t="str">
        <f>IF(Back_End_Data!L355="", "No", Back_End_Data!L355)</f>
        <v>No</v>
      </c>
      <c r="M355" s="1" t="str">
        <f>IF(Back_End_Data!N355="", "No", Back_End_Data!N355)</f>
        <v>No</v>
      </c>
      <c r="N355" s="1" t="str">
        <f>IF(Back_End_Data!M355="", "No", Back_End_Data!M355)</f>
        <v>No</v>
      </c>
      <c r="O355" s="1" t="str">
        <f>IF(Back_End_Data!O355="Completed","Yes","No")</f>
        <v>No</v>
      </c>
      <c r="P355" s="1" t="str">
        <f>IF(Back_End_Data!H355="Completed","Yes","No")</f>
        <v>No</v>
      </c>
      <c r="Q355" s="1" t="str">
        <f>IF(Back_End_Data!P355="Completed","Yes","No")</f>
        <v>No</v>
      </c>
      <c r="R355" s="1" t="s">
        <v>2369</v>
      </c>
      <c r="S355" s="1" t="str">
        <f>IF(Back_End_Data!R355="Completed","Yes","No")</f>
        <v>No</v>
      </c>
      <c r="T355" s="1" t="str">
        <f>IF(Back_End_Data!S355="Yes","Yes","No")</f>
        <v>No</v>
      </c>
      <c r="U355" s="1" t="str">
        <f>IF(Back_End_Data!Q354="Completed","Yes","No")</f>
        <v>No</v>
      </c>
      <c r="V355" s="1" t="e">
        <f ca="1">IF(INDEX(MIS_Backend_Data!L:L, MATCH(D355, MIS_Backend_Data!B:B, 1)) = "WT", "Yes", "No")</f>
        <v>#N/A</v>
      </c>
      <c r="W355" s="2" t="str">
        <f t="shared" ca="1" si="15"/>
        <v/>
      </c>
      <c r="AA355" s="1">
        <f t="shared" ca="1" si="16"/>
        <v>0</v>
      </c>
      <c r="AG355" s="1" t="str">
        <f t="shared" si="17"/>
        <v/>
      </c>
    </row>
    <row r="356" spans="1:33" ht="20.25" customHeight="1">
      <c r="A356" s="13">
        <v>355</v>
      </c>
      <c r="H356" s="1" t="str">
        <f>IF(Back_End_Data!G356="Completed","Yes","No")</f>
        <v>No</v>
      </c>
      <c r="I356" s="1" t="str">
        <f>IF(Back_End_Data!I356="Completed","Yes","No")</f>
        <v>No</v>
      </c>
      <c r="J356" s="1" t="str">
        <f>IF(Back_End_Data!J356="Completed","Yes","No")</f>
        <v>No</v>
      </c>
      <c r="K356" s="1" t="str">
        <f>IF(Back_End_Data!K356="Completed","Yes","No")</f>
        <v>No</v>
      </c>
      <c r="L356" s="1" t="str">
        <f>IF(Back_End_Data!L356="", "No", Back_End_Data!L356)</f>
        <v>No</v>
      </c>
      <c r="M356" s="1" t="str">
        <f>IF(Back_End_Data!N356="", "No", Back_End_Data!N356)</f>
        <v>No</v>
      </c>
      <c r="N356" s="1" t="str">
        <f>IF(Back_End_Data!M356="", "No", Back_End_Data!M356)</f>
        <v>No</v>
      </c>
      <c r="O356" s="1" t="str">
        <f>IF(Back_End_Data!O356="Completed","Yes","No")</f>
        <v>No</v>
      </c>
      <c r="P356" s="1" t="str">
        <f>IF(Back_End_Data!H356="Completed","Yes","No")</f>
        <v>No</v>
      </c>
      <c r="Q356" s="1" t="str">
        <f>IF(Back_End_Data!P356="Completed","Yes","No")</f>
        <v>No</v>
      </c>
      <c r="R356" s="1" t="s">
        <v>2369</v>
      </c>
      <c r="S356" s="1" t="str">
        <f>IF(Back_End_Data!R356="Completed","Yes","No")</f>
        <v>No</v>
      </c>
      <c r="T356" s="1" t="str">
        <f>IF(Back_End_Data!S356="Yes","Yes","No")</f>
        <v>No</v>
      </c>
      <c r="U356" s="1" t="str">
        <f>IF(Back_End_Data!Q355="Completed","Yes","No")</f>
        <v>No</v>
      </c>
      <c r="V356" s="1" t="e">
        <f ca="1">IF(INDEX(MIS_Backend_Data!L:L, MATCH(D356, MIS_Backend_Data!B:B, 1)) = "WT", "Yes", "No")</f>
        <v>#N/A</v>
      </c>
      <c r="W356" s="2" t="str">
        <f t="shared" ca="1" si="15"/>
        <v/>
      </c>
      <c r="AA356" s="1">
        <f t="shared" ca="1" si="16"/>
        <v>0</v>
      </c>
      <c r="AG356" s="1" t="str">
        <f t="shared" si="17"/>
        <v/>
      </c>
    </row>
    <row r="357" spans="1:33" ht="20.25" customHeight="1">
      <c r="A357" s="13">
        <v>356</v>
      </c>
      <c r="H357" s="1" t="str">
        <f>IF(Back_End_Data!G357="Completed","Yes","No")</f>
        <v>No</v>
      </c>
      <c r="I357" s="1" t="str">
        <f>IF(Back_End_Data!I357="Completed","Yes","No")</f>
        <v>No</v>
      </c>
      <c r="J357" s="1" t="str">
        <f>IF(Back_End_Data!J357="Completed","Yes","No")</f>
        <v>No</v>
      </c>
      <c r="K357" s="1" t="str">
        <f>IF(Back_End_Data!K357="Completed","Yes","No")</f>
        <v>No</v>
      </c>
      <c r="L357" s="1" t="str">
        <f>IF(Back_End_Data!L357="", "No", Back_End_Data!L357)</f>
        <v>No</v>
      </c>
      <c r="M357" s="1" t="str">
        <f>IF(Back_End_Data!N357="", "No", Back_End_Data!N357)</f>
        <v>No</v>
      </c>
      <c r="N357" s="1" t="str">
        <f>IF(Back_End_Data!M357="", "No", Back_End_Data!M357)</f>
        <v>No</v>
      </c>
      <c r="O357" s="1" t="str">
        <f>IF(Back_End_Data!O357="Completed","Yes","No")</f>
        <v>No</v>
      </c>
      <c r="P357" s="1" t="str">
        <f>IF(Back_End_Data!H357="Completed","Yes","No")</f>
        <v>No</v>
      </c>
      <c r="Q357" s="1" t="str">
        <f>IF(Back_End_Data!P357="Completed","Yes","No")</f>
        <v>No</v>
      </c>
      <c r="R357" s="1" t="s">
        <v>2369</v>
      </c>
      <c r="S357" s="1" t="str">
        <f>IF(Back_End_Data!R357="Completed","Yes","No")</f>
        <v>No</v>
      </c>
      <c r="T357" s="1" t="str">
        <f>IF(Back_End_Data!S357="Yes","Yes","No")</f>
        <v>No</v>
      </c>
      <c r="U357" s="1" t="str">
        <f>IF(Back_End_Data!Q356="Completed","Yes","No")</f>
        <v>No</v>
      </c>
      <c r="V357" s="1" t="e">
        <f ca="1">IF(INDEX(MIS_Backend_Data!L:L, MATCH(D357, MIS_Backend_Data!B:B, 1)) = "WT", "Yes", "No")</f>
        <v>#N/A</v>
      </c>
      <c r="W357" s="2" t="str">
        <f t="shared" ca="1" si="15"/>
        <v/>
      </c>
      <c r="AA357" s="1">
        <f t="shared" ca="1" si="16"/>
        <v>0</v>
      </c>
      <c r="AG357" s="1" t="str">
        <f t="shared" si="17"/>
        <v/>
      </c>
    </row>
    <row r="358" spans="1:33" ht="20.25" customHeight="1">
      <c r="A358" s="13">
        <v>357</v>
      </c>
      <c r="H358" s="1" t="str">
        <f>IF(Back_End_Data!G358="Completed","Yes","No")</f>
        <v>No</v>
      </c>
      <c r="I358" s="1" t="str">
        <f>IF(Back_End_Data!I358="Completed","Yes","No")</f>
        <v>No</v>
      </c>
      <c r="J358" s="1" t="str">
        <f>IF(Back_End_Data!J358="Completed","Yes","No")</f>
        <v>No</v>
      </c>
      <c r="K358" s="1" t="str">
        <f>IF(Back_End_Data!K358="Completed","Yes","No")</f>
        <v>No</v>
      </c>
      <c r="L358" s="1" t="str">
        <f>IF(Back_End_Data!L358="", "No", Back_End_Data!L358)</f>
        <v>No</v>
      </c>
      <c r="M358" s="1" t="str">
        <f>IF(Back_End_Data!N358="", "No", Back_End_Data!N358)</f>
        <v>No</v>
      </c>
      <c r="N358" s="1" t="str">
        <f>IF(Back_End_Data!M358="", "No", Back_End_Data!M358)</f>
        <v>No</v>
      </c>
      <c r="O358" s="1" t="str">
        <f>IF(Back_End_Data!O358="Completed","Yes","No")</f>
        <v>No</v>
      </c>
      <c r="P358" s="1" t="str">
        <f>IF(Back_End_Data!H358="Completed","Yes","No")</f>
        <v>No</v>
      </c>
      <c r="Q358" s="1" t="str">
        <f>IF(Back_End_Data!P358="Completed","Yes","No")</f>
        <v>No</v>
      </c>
      <c r="R358" s="1" t="s">
        <v>2369</v>
      </c>
      <c r="S358" s="1" t="str">
        <f>IF(Back_End_Data!R358="Completed","Yes","No")</f>
        <v>No</v>
      </c>
      <c r="T358" s="1" t="str">
        <f>IF(Back_End_Data!S358="Yes","Yes","No")</f>
        <v>No</v>
      </c>
      <c r="U358" s="1" t="str">
        <f>IF(Back_End_Data!Q357="Completed","Yes","No")</f>
        <v>No</v>
      </c>
      <c r="V358" s="1" t="e">
        <f ca="1">IF(INDEX(MIS_Backend_Data!L:L, MATCH(D358, MIS_Backend_Data!B:B, 1)) = "WT", "Yes", "No")</f>
        <v>#N/A</v>
      </c>
      <c r="W358" s="2" t="str">
        <f t="shared" ca="1" si="15"/>
        <v/>
      </c>
      <c r="AA358" s="1">
        <f t="shared" ca="1" si="16"/>
        <v>0</v>
      </c>
      <c r="AG358" s="1" t="str">
        <f t="shared" si="17"/>
        <v/>
      </c>
    </row>
    <row r="359" spans="1:33" ht="20.25" customHeight="1">
      <c r="A359" s="13">
        <v>358</v>
      </c>
      <c r="H359" s="1" t="str">
        <f>IF(Back_End_Data!G359="Completed","Yes","No")</f>
        <v>No</v>
      </c>
      <c r="I359" s="1" t="str">
        <f>IF(Back_End_Data!I359="Completed","Yes","No")</f>
        <v>No</v>
      </c>
      <c r="J359" s="1" t="str">
        <f>IF(Back_End_Data!J359="Completed","Yes","No")</f>
        <v>No</v>
      </c>
      <c r="K359" s="1" t="str">
        <f>IF(Back_End_Data!K359="Completed","Yes","No")</f>
        <v>No</v>
      </c>
      <c r="L359" s="1" t="str">
        <f>IF(Back_End_Data!L359="", "No", Back_End_Data!L359)</f>
        <v>No</v>
      </c>
      <c r="M359" s="1" t="str">
        <f>IF(Back_End_Data!N359="", "No", Back_End_Data!N359)</f>
        <v>No</v>
      </c>
      <c r="N359" s="1" t="str">
        <f>IF(Back_End_Data!M359="", "No", Back_End_Data!M359)</f>
        <v>No</v>
      </c>
      <c r="O359" s="1" t="str">
        <f>IF(Back_End_Data!O359="Completed","Yes","No")</f>
        <v>No</v>
      </c>
      <c r="P359" s="1" t="str">
        <f>IF(Back_End_Data!H359="Completed","Yes","No")</f>
        <v>No</v>
      </c>
      <c r="Q359" s="1" t="str">
        <f>IF(Back_End_Data!P359="Completed","Yes","No")</f>
        <v>No</v>
      </c>
      <c r="R359" s="1" t="s">
        <v>2369</v>
      </c>
      <c r="S359" s="1" t="str">
        <f>IF(Back_End_Data!R359="Completed","Yes","No")</f>
        <v>No</v>
      </c>
      <c r="T359" s="1" t="str">
        <f>IF(Back_End_Data!S359="Yes","Yes","No")</f>
        <v>No</v>
      </c>
      <c r="U359" s="1" t="str">
        <f>IF(Back_End_Data!Q358="Completed","Yes","No")</f>
        <v>No</v>
      </c>
      <c r="V359" s="1" t="e">
        <f ca="1">IF(INDEX(MIS_Backend_Data!L:L, MATCH(D359, MIS_Backend_Data!B:B, 1)) = "WT", "Yes", "No")</f>
        <v>#N/A</v>
      </c>
      <c r="W359" s="2" t="str">
        <f t="shared" ca="1" si="15"/>
        <v/>
      </c>
      <c r="AA359" s="1">
        <f t="shared" ca="1" si="16"/>
        <v>0</v>
      </c>
      <c r="AG359" s="1" t="str">
        <f t="shared" si="17"/>
        <v/>
      </c>
    </row>
    <row r="360" spans="1:33" ht="20.25" customHeight="1">
      <c r="A360" s="13">
        <v>359</v>
      </c>
      <c r="H360" s="1" t="str">
        <f>IF(Back_End_Data!G360="Completed","Yes","No")</f>
        <v>No</v>
      </c>
      <c r="I360" s="1" t="str">
        <f>IF(Back_End_Data!I360="Completed","Yes","No")</f>
        <v>No</v>
      </c>
      <c r="J360" s="1" t="str">
        <f>IF(Back_End_Data!J360="Completed","Yes","No")</f>
        <v>No</v>
      </c>
      <c r="K360" s="1" t="str">
        <f>IF(Back_End_Data!K360="Completed","Yes","No")</f>
        <v>No</v>
      </c>
      <c r="L360" s="1" t="str">
        <f>IF(Back_End_Data!L360="", "No", Back_End_Data!L360)</f>
        <v>No</v>
      </c>
      <c r="M360" s="1" t="str">
        <f>IF(Back_End_Data!N360="", "No", Back_End_Data!N360)</f>
        <v>No</v>
      </c>
      <c r="N360" s="1" t="str">
        <f>IF(Back_End_Data!M360="", "No", Back_End_Data!M360)</f>
        <v>No</v>
      </c>
      <c r="O360" s="1" t="str">
        <f>IF(Back_End_Data!O360="Completed","Yes","No")</f>
        <v>No</v>
      </c>
      <c r="P360" s="1" t="str">
        <f>IF(Back_End_Data!H360="Completed","Yes","No")</f>
        <v>No</v>
      </c>
      <c r="Q360" s="1" t="str">
        <f>IF(Back_End_Data!P360="Completed","Yes","No")</f>
        <v>No</v>
      </c>
      <c r="R360" s="1" t="s">
        <v>2369</v>
      </c>
      <c r="S360" s="1" t="str">
        <f>IF(Back_End_Data!R360="Completed","Yes","No")</f>
        <v>No</v>
      </c>
      <c r="T360" s="1" t="str">
        <f>IF(Back_End_Data!S360="Yes","Yes","No")</f>
        <v>No</v>
      </c>
      <c r="U360" s="1" t="str">
        <f>IF(Back_End_Data!Q359="Completed","Yes","No")</f>
        <v>No</v>
      </c>
      <c r="V360" s="1" t="e">
        <f ca="1">IF(INDEX(MIS_Backend_Data!L:L, MATCH(D360, MIS_Backend_Data!B:B, 1)) = "WT", "Yes", "No")</f>
        <v>#N/A</v>
      </c>
      <c r="W360" s="2" t="str">
        <f t="shared" ca="1" si="15"/>
        <v/>
      </c>
      <c r="AA360" s="1">
        <f t="shared" ca="1" si="16"/>
        <v>0</v>
      </c>
      <c r="AG360" s="1" t="str">
        <f t="shared" si="17"/>
        <v/>
      </c>
    </row>
    <row r="361" spans="1:33" ht="20.25" customHeight="1">
      <c r="A361" s="13">
        <v>360</v>
      </c>
      <c r="H361" s="1" t="str">
        <f>IF(Back_End_Data!G361="Completed","Yes","No")</f>
        <v>No</v>
      </c>
      <c r="I361" s="1" t="str">
        <f>IF(Back_End_Data!I361="Completed","Yes","No")</f>
        <v>No</v>
      </c>
      <c r="J361" s="1" t="str">
        <f>IF(Back_End_Data!J361="Completed","Yes","No")</f>
        <v>No</v>
      </c>
      <c r="K361" s="1" t="str">
        <f>IF(Back_End_Data!K361="Completed","Yes","No")</f>
        <v>No</v>
      </c>
      <c r="L361" s="1" t="str">
        <f>IF(Back_End_Data!L361="", "No", Back_End_Data!L361)</f>
        <v>No</v>
      </c>
      <c r="M361" s="1" t="str">
        <f>IF(Back_End_Data!N361="", "No", Back_End_Data!N361)</f>
        <v>No</v>
      </c>
      <c r="N361" s="1" t="str">
        <f>IF(Back_End_Data!M361="", "No", Back_End_Data!M361)</f>
        <v>No</v>
      </c>
      <c r="O361" s="1" t="str">
        <f>IF(Back_End_Data!O361="Completed","Yes","No")</f>
        <v>No</v>
      </c>
      <c r="P361" s="1" t="str">
        <f>IF(Back_End_Data!H361="Completed","Yes","No")</f>
        <v>No</v>
      </c>
      <c r="Q361" s="1" t="str">
        <f>IF(Back_End_Data!P361="Completed","Yes","No")</f>
        <v>No</v>
      </c>
      <c r="R361" s="1" t="s">
        <v>2369</v>
      </c>
      <c r="S361" s="1" t="str">
        <f>IF(Back_End_Data!R361="Completed","Yes","No")</f>
        <v>No</v>
      </c>
      <c r="T361" s="1" t="str">
        <f>IF(Back_End_Data!S361="Yes","Yes","No")</f>
        <v>No</v>
      </c>
      <c r="U361" s="1" t="str">
        <f>IF(Back_End_Data!Q360="Completed","Yes","No")</f>
        <v>No</v>
      </c>
      <c r="V361" s="1" t="e">
        <f ca="1">IF(INDEX(MIS_Backend_Data!L:L, MATCH(D361, MIS_Backend_Data!B:B, 1)) = "WT", "Yes", "No")</f>
        <v>#N/A</v>
      </c>
      <c r="W361" s="2" t="str">
        <f t="shared" ca="1" si="15"/>
        <v/>
      </c>
      <c r="AA361" s="1">
        <f t="shared" ca="1" si="16"/>
        <v>0</v>
      </c>
      <c r="AG361" s="1" t="str">
        <f t="shared" si="17"/>
        <v/>
      </c>
    </row>
    <row r="362" spans="1:33" ht="20.25" customHeight="1">
      <c r="A362" s="13">
        <v>361</v>
      </c>
      <c r="H362" s="1" t="str">
        <f>IF(Back_End_Data!G362="Completed","Yes","No")</f>
        <v>No</v>
      </c>
      <c r="I362" s="1" t="str">
        <f>IF(Back_End_Data!I362="Completed","Yes","No")</f>
        <v>No</v>
      </c>
      <c r="J362" s="1" t="str">
        <f>IF(Back_End_Data!J362="Completed","Yes","No")</f>
        <v>No</v>
      </c>
      <c r="K362" s="1" t="str">
        <f>IF(Back_End_Data!K362="Completed","Yes","No")</f>
        <v>No</v>
      </c>
      <c r="L362" s="1" t="str">
        <f>IF(Back_End_Data!L362="", "No", Back_End_Data!L362)</f>
        <v>No</v>
      </c>
      <c r="M362" s="1" t="str">
        <f>IF(Back_End_Data!N362="", "No", Back_End_Data!N362)</f>
        <v>No</v>
      </c>
      <c r="N362" s="1" t="str">
        <f>IF(Back_End_Data!M362="", "No", Back_End_Data!M362)</f>
        <v>No</v>
      </c>
      <c r="O362" s="1" t="str">
        <f>IF(Back_End_Data!O362="Completed","Yes","No")</f>
        <v>No</v>
      </c>
      <c r="P362" s="1" t="str">
        <f>IF(Back_End_Data!H362="Completed","Yes","No")</f>
        <v>No</v>
      </c>
      <c r="Q362" s="1" t="str">
        <f>IF(Back_End_Data!P362="Completed","Yes","No")</f>
        <v>No</v>
      </c>
      <c r="R362" s="1" t="s">
        <v>2369</v>
      </c>
      <c r="S362" s="1" t="str">
        <f>IF(Back_End_Data!R362="Completed","Yes","No")</f>
        <v>No</v>
      </c>
      <c r="T362" s="1" t="str">
        <f>IF(Back_End_Data!S362="Yes","Yes","No")</f>
        <v>No</v>
      </c>
      <c r="U362" s="1" t="str">
        <f>IF(Back_End_Data!Q361="Completed","Yes","No")</f>
        <v>No</v>
      </c>
      <c r="V362" s="1" t="e">
        <f ca="1">IF(INDEX(MIS_Backend_Data!L:L, MATCH(D362, MIS_Backend_Data!B:B, 1)) = "WT", "Yes", "No")</f>
        <v>#N/A</v>
      </c>
      <c r="W362" s="2" t="str">
        <f t="shared" ca="1" si="15"/>
        <v/>
      </c>
      <c r="AA362" s="1">
        <f t="shared" ca="1" si="16"/>
        <v>0</v>
      </c>
      <c r="AG362" s="1" t="str">
        <f t="shared" si="17"/>
        <v/>
      </c>
    </row>
    <row r="363" spans="1:33" ht="20.25" customHeight="1">
      <c r="A363" s="13">
        <v>362</v>
      </c>
      <c r="H363" s="1" t="str">
        <f>IF(Back_End_Data!G363="Completed","Yes","No")</f>
        <v>No</v>
      </c>
      <c r="I363" s="1" t="str">
        <f>IF(Back_End_Data!I363="Completed","Yes","No")</f>
        <v>No</v>
      </c>
      <c r="J363" s="1" t="str">
        <f>IF(Back_End_Data!J363="Completed","Yes","No")</f>
        <v>No</v>
      </c>
      <c r="K363" s="1" t="str">
        <f>IF(Back_End_Data!K363="Completed","Yes","No")</f>
        <v>No</v>
      </c>
      <c r="L363" s="1" t="str">
        <f>IF(Back_End_Data!L363="", "No", Back_End_Data!L363)</f>
        <v>No</v>
      </c>
      <c r="M363" s="1" t="str">
        <f>IF(Back_End_Data!N363="", "No", Back_End_Data!N363)</f>
        <v>No</v>
      </c>
      <c r="N363" s="1" t="str">
        <f>IF(Back_End_Data!M363="", "No", Back_End_Data!M363)</f>
        <v>No</v>
      </c>
      <c r="O363" s="1" t="str">
        <f>IF(Back_End_Data!O363="Completed","Yes","No")</f>
        <v>No</v>
      </c>
      <c r="P363" s="1" t="str">
        <f>IF(Back_End_Data!H363="Completed","Yes","No")</f>
        <v>No</v>
      </c>
      <c r="Q363" s="1" t="str">
        <f>IF(Back_End_Data!P363="Completed","Yes","No")</f>
        <v>No</v>
      </c>
      <c r="R363" s="1" t="s">
        <v>2369</v>
      </c>
      <c r="S363" s="1" t="str">
        <f>IF(Back_End_Data!R363="Completed","Yes","No")</f>
        <v>No</v>
      </c>
      <c r="T363" s="1" t="str">
        <f>IF(Back_End_Data!S363="Yes","Yes","No")</f>
        <v>No</v>
      </c>
      <c r="U363" s="1" t="str">
        <f>IF(Back_End_Data!Q362="Completed","Yes","No")</f>
        <v>No</v>
      </c>
      <c r="V363" s="1" t="e">
        <f ca="1">IF(INDEX(MIS_Backend_Data!L:L, MATCH(D363, MIS_Backend_Data!B:B, 1)) = "WT", "Yes", "No")</f>
        <v>#N/A</v>
      </c>
      <c r="W363" s="2" t="str">
        <f t="shared" ca="1" si="15"/>
        <v/>
      </c>
      <c r="AA363" s="1">
        <f t="shared" ca="1" si="16"/>
        <v>0</v>
      </c>
      <c r="AG363" s="1" t="str">
        <f t="shared" si="17"/>
        <v/>
      </c>
    </row>
    <row r="364" spans="1:33" ht="20.25" customHeight="1">
      <c r="A364" s="13">
        <v>363</v>
      </c>
      <c r="H364" s="1" t="str">
        <f>IF(Back_End_Data!G364="Completed","Yes","No")</f>
        <v>No</v>
      </c>
      <c r="I364" s="1" t="str">
        <f>IF(Back_End_Data!I364="Completed","Yes","No")</f>
        <v>No</v>
      </c>
      <c r="J364" s="1" t="str">
        <f>IF(Back_End_Data!J364="Completed","Yes","No")</f>
        <v>No</v>
      </c>
      <c r="K364" s="1" t="str">
        <f>IF(Back_End_Data!K364="Completed","Yes","No")</f>
        <v>No</v>
      </c>
      <c r="L364" s="1" t="str">
        <f>IF(Back_End_Data!L364="", "No", Back_End_Data!L364)</f>
        <v>No</v>
      </c>
      <c r="M364" s="1" t="str">
        <f>IF(Back_End_Data!N364="", "No", Back_End_Data!N364)</f>
        <v>No</v>
      </c>
      <c r="N364" s="1" t="str">
        <f>IF(Back_End_Data!M364="", "No", Back_End_Data!M364)</f>
        <v>No</v>
      </c>
      <c r="O364" s="1" t="str">
        <f>IF(Back_End_Data!O364="Completed","Yes","No")</f>
        <v>No</v>
      </c>
      <c r="P364" s="1" t="str">
        <f>IF(Back_End_Data!H364="Completed","Yes","No")</f>
        <v>No</v>
      </c>
      <c r="Q364" s="1" t="str">
        <f>IF(Back_End_Data!P364="Completed","Yes","No")</f>
        <v>No</v>
      </c>
      <c r="R364" s="1" t="s">
        <v>2369</v>
      </c>
      <c r="S364" s="1" t="str">
        <f>IF(Back_End_Data!R364="Completed","Yes","No")</f>
        <v>No</v>
      </c>
      <c r="T364" s="1" t="str">
        <f>IF(Back_End_Data!S364="Yes","Yes","No")</f>
        <v>No</v>
      </c>
      <c r="U364" s="1" t="str">
        <f>IF(Back_End_Data!Q363="Completed","Yes","No")</f>
        <v>No</v>
      </c>
      <c r="V364" s="1" t="e">
        <f ca="1">IF(INDEX(MIS_Backend_Data!L:L, MATCH(D364, MIS_Backend_Data!B:B, 1)) = "WT", "Yes", "No")</f>
        <v>#N/A</v>
      </c>
      <c r="W364" s="2" t="str">
        <f t="shared" ca="1" si="15"/>
        <v/>
      </c>
      <c r="AA364" s="1">
        <f t="shared" ca="1" si="16"/>
        <v>0</v>
      </c>
      <c r="AG364" s="1" t="str">
        <f t="shared" si="17"/>
        <v/>
      </c>
    </row>
    <row r="365" spans="1:33" ht="20.25" customHeight="1">
      <c r="A365" s="13">
        <v>364</v>
      </c>
      <c r="H365" s="1" t="str">
        <f>IF(Back_End_Data!G365="Completed","Yes","No")</f>
        <v>No</v>
      </c>
      <c r="I365" s="1" t="str">
        <f>IF(Back_End_Data!I365="Completed","Yes","No")</f>
        <v>No</v>
      </c>
      <c r="J365" s="1" t="str">
        <f>IF(Back_End_Data!J365="Completed","Yes","No")</f>
        <v>No</v>
      </c>
      <c r="K365" s="1" t="str">
        <f>IF(Back_End_Data!K365="Completed","Yes","No")</f>
        <v>No</v>
      </c>
      <c r="L365" s="1" t="str">
        <f>IF(Back_End_Data!L365="", "No", Back_End_Data!L365)</f>
        <v>No</v>
      </c>
      <c r="M365" s="1" t="str">
        <f>IF(Back_End_Data!N365="", "No", Back_End_Data!N365)</f>
        <v>No</v>
      </c>
      <c r="N365" s="1" t="str">
        <f>IF(Back_End_Data!M365="", "No", Back_End_Data!M365)</f>
        <v>No</v>
      </c>
      <c r="O365" s="1" t="str">
        <f>IF(Back_End_Data!O365="Completed","Yes","No")</f>
        <v>No</v>
      </c>
      <c r="P365" s="1" t="str">
        <f>IF(Back_End_Data!H365="Completed","Yes","No")</f>
        <v>No</v>
      </c>
      <c r="Q365" s="1" t="str">
        <f>IF(Back_End_Data!P365="Completed","Yes","No")</f>
        <v>No</v>
      </c>
      <c r="R365" s="1" t="s">
        <v>2369</v>
      </c>
      <c r="S365" s="1" t="str">
        <f>IF(Back_End_Data!R365="Completed","Yes","No")</f>
        <v>No</v>
      </c>
      <c r="T365" s="1" t="str">
        <f>IF(Back_End_Data!S365="Yes","Yes","No")</f>
        <v>No</v>
      </c>
      <c r="U365" s="1" t="str">
        <f>IF(Back_End_Data!Q364="Completed","Yes","No")</f>
        <v>No</v>
      </c>
      <c r="V365" s="1" t="e">
        <f ca="1">IF(INDEX(MIS_Backend_Data!L:L, MATCH(D365, MIS_Backend_Data!B:B, 1)) = "WT", "Yes", "No")</f>
        <v>#N/A</v>
      </c>
      <c r="W365" s="2" t="str">
        <f t="shared" ca="1" si="15"/>
        <v/>
      </c>
      <c r="AA365" s="1">
        <f t="shared" ca="1" si="16"/>
        <v>0</v>
      </c>
      <c r="AG365" s="1" t="str">
        <f t="shared" si="17"/>
        <v/>
      </c>
    </row>
    <row r="366" spans="1:33" ht="20.25" customHeight="1">
      <c r="A366" s="13">
        <v>365</v>
      </c>
      <c r="H366" s="1" t="str">
        <f>IF(Back_End_Data!G366="Completed","Yes","No")</f>
        <v>No</v>
      </c>
      <c r="I366" s="1" t="str">
        <f>IF(Back_End_Data!I366="Completed","Yes","No")</f>
        <v>No</v>
      </c>
      <c r="J366" s="1" t="str">
        <f>IF(Back_End_Data!J366="Completed","Yes","No")</f>
        <v>No</v>
      </c>
      <c r="K366" s="1" t="str">
        <f>IF(Back_End_Data!K366="Completed","Yes","No")</f>
        <v>No</v>
      </c>
      <c r="L366" s="1" t="str">
        <f>IF(Back_End_Data!L366="", "No", Back_End_Data!L366)</f>
        <v>No</v>
      </c>
      <c r="M366" s="1" t="str">
        <f>IF(Back_End_Data!N366="", "No", Back_End_Data!N366)</f>
        <v>No</v>
      </c>
      <c r="N366" s="1" t="str">
        <f>IF(Back_End_Data!M366="", "No", Back_End_Data!M366)</f>
        <v>No</v>
      </c>
      <c r="O366" s="1" t="str">
        <f>IF(Back_End_Data!O366="Completed","Yes","No")</f>
        <v>No</v>
      </c>
      <c r="P366" s="1" t="str">
        <f>IF(Back_End_Data!H366="Completed","Yes","No")</f>
        <v>No</v>
      </c>
      <c r="Q366" s="1" t="str">
        <f>IF(Back_End_Data!P366="Completed","Yes","No")</f>
        <v>No</v>
      </c>
      <c r="R366" s="1" t="s">
        <v>2369</v>
      </c>
      <c r="S366" s="1" t="str">
        <f>IF(Back_End_Data!R366="Completed","Yes","No")</f>
        <v>No</v>
      </c>
      <c r="T366" s="1" t="str">
        <f>IF(Back_End_Data!S366="Yes","Yes","No")</f>
        <v>No</v>
      </c>
      <c r="U366" s="1" t="str">
        <f>IF(Back_End_Data!Q365="Completed","Yes","No")</f>
        <v>No</v>
      </c>
      <c r="V366" s="1" t="e">
        <f ca="1">IF(INDEX(MIS_Backend_Data!L:L, MATCH(D366, MIS_Backend_Data!B:B, 1)) = "WT", "Yes", "No")</f>
        <v>#N/A</v>
      </c>
      <c r="W366" s="2" t="str">
        <f t="shared" ca="1" si="15"/>
        <v/>
      </c>
      <c r="AA366" s="1">
        <f t="shared" ca="1" si="16"/>
        <v>0</v>
      </c>
      <c r="AG366" s="1" t="str">
        <f t="shared" si="17"/>
        <v/>
      </c>
    </row>
    <row r="367" spans="1:33" ht="20.25" customHeight="1">
      <c r="A367" s="13">
        <v>366</v>
      </c>
      <c r="H367" s="1" t="str">
        <f>IF(Back_End_Data!G367="Completed","Yes","No")</f>
        <v>No</v>
      </c>
      <c r="I367" s="1" t="str">
        <f>IF(Back_End_Data!I367="Completed","Yes","No")</f>
        <v>No</v>
      </c>
      <c r="J367" s="1" t="str">
        <f>IF(Back_End_Data!J367="Completed","Yes","No")</f>
        <v>No</v>
      </c>
      <c r="K367" s="1" t="str">
        <f>IF(Back_End_Data!K367="Completed","Yes","No")</f>
        <v>No</v>
      </c>
      <c r="L367" s="1" t="str">
        <f>IF(Back_End_Data!L367="", "No", Back_End_Data!L367)</f>
        <v>No</v>
      </c>
      <c r="M367" s="1" t="str">
        <f>IF(Back_End_Data!N367="", "No", Back_End_Data!N367)</f>
        <v>No</v>
      </c>
      <c r="N367" s="1" t="str">
        <f>IF(Back_End_Data!M367="", "No", Back_End_Data!M367)</f>
        <v>No</v>
      </c>
      <c r="O367" s="1" t="str">
        <f>IF(Back_End_Data!O367="Completed","Yes","No")</f>
        <v>No</v>
      </c>
      <c r="P367" s="1" t="str">
        <f>IF(Back_End_Data!H367="Completed","Yes","No")</f>
        <v>No</v>
      </c>
      <c r="Q367" s="1" t="str">
        <f>IF(Back_End_Data!P367="Completed","Yes","No")</f>
        <v>No</v>
      </c>
      <c r="R367" s="1" t="s">
        <v>2369</v>
      </c>
      <c r="S367" s="1" t="str">
        <f>IF(Back_End_Data!R367="Completed","Yes","No")</f>
        <v>No</v>
      </c>
      <c r="T367" s="1" t="str">
        <f>IF(Back_End_Data!S367="Yes","Yes","No")</f>
        <v>No</v>
      </c>
      <c r="U367" s="1" t="str">
        <f>IF(Back_End_Data!Q366="Completed","Yes","No")</f>
        <v>No</v>
      </c>
      <c r="V367" s="1" t="e">
        <f ca="1">IF(INDEX(MIS_Backend_Data!L:L, MATCH(D367, MIS_Backend_Data!B:B, 1)) = "WT", "Yes", "No")</f>
        <v>#N/A</v>
      </c>
      <c r="W367" s="2" t="str">
        <f t="shared" ca="1" si="15"/>
        <v/>
      </c>
      <c r="AA367" s="1">
        <f t="shared" ca="1" si="16"/>
        <v>0</v>
      </c>
      <c r="AG367" s="1" t="str">
        <f t="shared" si="17"/>
        <v/>
      </c>
    </row>
    <row r="368" spans="1:33" ht="20.25" customHeight="1">
      <c r="A368" s="13">
        <v>367</v>
      </c>
      <c r="H368" s="1" t="str">
        <f>IF(Back_End_Data!G368="Completed","Yes","No")</f>
        <v>No</v>
      </c>
      <c r="I368" s="1" t="str">
        <f>IF(Back_End_Data!I368="Completed","Yes","No")</f>
        <v>No</v>
      </c>
      <c r="J368" s="1" t="str">
        <f>IF(Back_End_Data!J368="Completed","Yes","No")</f>
        <v>No</v>
      </c>
      <c r="K368" s="1" t="str">
        <f>IF(Back_End_Data!K368="Completed","Yes","No")</f>
        <v>No</v>
      </c>
      <c r="L368" s="1" t="str">
        <f>IF(Back_End_Data!L368="", "No", Back_End_Data!L368)</f>
        <v>No</v>
      </c>
      <c r="M368" s="1" t="str">
        <f>IF(Back_End_Data!N368="", "No", Back_End_Data!N368)</f>
        <v>No</v>
      </c>
      <c r="N368" s="1" t="str">
        <f>IF(Back_End_Data!M368="", "No", Back_End_Data!M368)</f>
        <v>No</v>
      </c>
      <c r="O368" s="1" t="str">
        <f>IF(Back_End_Data!O368="Completed","Yes","No")</f>
        <v>No</v>
      </c>
      <c r="P368" s="1" t="str">
        <f>IF(Back_End_Data!H368="Completed","Yes","No")</f>
        <v>No</v>
      </c>
      <c r="Q368" s="1" t="str">
        <f>IF(Back_End_Data!P368="Completed","Yes","No")</f>
        <v>No</v>
      </c>
      <c r="R368" s="1" t="s">
        <v>2369</v>
      </c>
      <c r="S368" s="1" t="str">
        <f>IF(Back_End_Data!R368="Completed","Yes","No")</f>
        <v>No</v>
      </c>
      <c r="T368" s="1" t="str">
        <f>IF(Back_End_Data!S368="Yes","Yes","No")</f>
        <v>No</v>
      </c>
      <c r="U368" s="1" t="str">
        <f>IF(Back_End_Data!Q367="Completed","Yes","No")</f>
        <v>No</v>
      </c>
      <c r="V368" s="1" t="e">
        <f ca="1">IF(INDEX(MIS_Backend_Data!L:L, MATCH(D368, MIS_Backend_Data!B:B, 1)) = "WT", "Yes", "No")</f>
        <v>#N/A</v>
      </c>
      <c r="W368" s="2" t="str">
        <f t="shared" ca="1" si="15"/>
        <v/>
      </c>
      <c r="AA368" s="1">
        <f t="shared" ca="1" si="16"/>
        <v>0</v>
      </c>
      <c r="AG368" s="1" t="str">
        <f t="shared" si="17"/>
        <v/>
      </c>
    </row>
    <row r="369" spans="1:33" ht="20.25" customHeight="1">
      <c r="A369" s="13">
        <v>368</v>
      </c>
      <c r="H369" s="1" t="str">
        <f>IF(Back_End_Data!G369="Completed","Yes","No")</f>
        <v>No</v>
      </c>
      <c r="I369" s="1" t="str">
        <f>IF(Back_End_Data!I369="Completed","Yes","No")</f>
        <v>No</v>
      </c>
      <c r="J369" s="1" t="str">
        <f>IF(Back_End_Data!J369="Completed","Yes","No")</f>
        <v>No</v>
      </c>
      <c r="K369" s="1" t="str">
        <f>IF(Back_End_Data!K369="Completed","Yes","No")</f>
        <v>No</v>
      </c>
      <c r="L369" s="1" t="str">
        <f>IF(Back_End_Data!L369="", "No", Back_End_Data!L369)</f>
        <v>No</v>
      </c>
      <c r="M369" s="1" t="str">
        <f>IF(Back_End_Data!N369="", "No", Back_End_Data!N369)</f>
        <v>No</v>
      </c>
      <c r="N369" s="1" t="str">
        <f>IF(Back_End_Data!M369="", "No", Back_End_Data!M369)</f>
        <v>No</v>
      </c>
      <c r="O369" s="1" t="str">
        <f>IF(Back_End_Data!O369="Completed","Yes","No")</f>
        <v>No</v>
      </c>
      <c r="P369" s="1" t="str">
        <f>IF(Back_End_Data!H369="Completed","Yes","No")</f>
        <v>No</v>
      </c>
      <c r="Q369" s="1" t="str">
        <f>IF(Back_End_Data!P369="Completed","Yes","No")</f>
        <v>No</v>
      </c>
      <c r="R369" s="1" t="s">
        <v>2369</v>
      </c>
      <c r="S369" s="1" t="str">
        <f>IF(Back_End_Data!R369="Completed","Yes","No")</f>
        <v>No</v>
      </c>
      <c r="T369" s="1" t="str">
        <f>IF(Back_End_Data!S369="Yes","Yes","No")</f>
        <v>No</v>
      </c>
      <c r="U369" s="1" t="str">
        <f>IF(Back_End_Data!Q368="Completed","Yes","No")</f>
        <v>No</v>
      </c>
      <c r="V369" s="1" t="e">
        <f ca="1">IF(INDEX(MIS_Backend_Data!L:L, MATCH(D369, MIS_Backend_Data!B:B, 1)) = "WT", "Yes", "No")</f>
        <v>#N/A</v>
      </c>
      <c r="W369" s="2" t="str">
        <f t="shared" ca="1" si="15"/>
        <v/>
      </c>
      <c r="AA369" s="1">
        <f t="shared" ca="1" si="16"/>
        <v>0</v>
      </c>
      <c r="AG369" s="1" t="str">
        <f t="shared" si="17"/>
        <v/>
      </c>
    </row>
    <row r="370" spans="1:33" ht="20.25" customHeight="1">
      <c r="A370" s="13">
        <v>369</v>
      </c>
      <c r="H370" s="1" t="str">
        <f>IF(Back_End_Data!G370="Completed","Yes","No")</f>
        <v>No</v>
      </c>
      <c r="I370" s="1" t="str">
        <f>IF(Back_End_Data!I370="Completed","Yes","No")</f>
        <v>No</v>
      </c>
      <c r="J370" s="1" t="str">
        <f>IF(Back_End_Data!J370="Completed","Yes","No")</f>
        <v>No</v>
      </c>
      <c r="K370" s="1" t="str">
        <f>IF(Back_End_Data!K370="Completed","Yes","No")</f>
        <v>No</v>
      </c>
      <c r="L370" s="1" t="str">
        <f>IF(Back_End_Data!L370="", "No", Back_End_Data!L370)</f>
        <v>No</v>
      </c>
      <c r="M370" s="1" t="str">
        <f>IF(Back_End_Data!N370="", "No", Back_End_Data!N370)</f>
        <v>No</v>
      </c>
      <c r="N370" s="1" t="str">
        <f>IF(Back_End_Data!M370="", "No", Back_End_Data!M370)</f>
        <v>No</v>
      </c>
      <c r="O370" s="1" t="str">
        <f>IF(Back_End_Data!O370="Completed","Yes","No")</f>
        <v>No</v>
      </c>
      <c r="P370" s="1" t="str">
        <f>IF(Back_End_Data!H370="Completed","Yes","No")</f>
        <v>No</v>
      </c>
      <c r="Q370" s="1" t="str">
        <f>IF(Back_End_Data!P370="Completed","Yes","No")</f>
        <v>No</v>
      </c>
      <c r="R370" s="1" t="s">
        <v>2369</v>
      </c>
      <c r="S370" s="1" t="str">
        <f>IF(Back_End_Data!R370="Completed","Yes","No")</f>
        <v>No</v>
      </c>
      <c r="T370" s="1" t="str">
        <f>IF(Back_End_Data!S370="Yes","Yes","No")</f>
        <v>No</v>
      </c>
      <c r="U370" s="1" t="str">
        <f>IF(Back_End_Data!Q369="Completed","Yes","No")</f>
        <v>No</v>
      </c>
      <c r="V370" s="1" t="e">
        <f ca="1">IF(INDEX(MIS_Backend_Data!L:L, MATCH(D370, MIS_Backend_Data!B:B, 1)) = "WT", "Yes", "No")</f>
        <v>#N/A</v>
      </c>
      <c r="W370" s="2" t="str">
        <f t="shared" ca="1" si="15"/>
        <v/>
      </c>
      <c r="AA370" s="1">
        <f t="shared" ca="1" si="16"/>
        <v>0</v>
      </c>
      <c r="AG370" s="1" t="str">
        <f t="shared" si="17"/>
        <v/>
      </c>
    </row>
    <row r="371" spans="1:33" ht="20.25" customHeight="1">
      <c r="A371" s="13">
        <v>370</v>
      </c>
      <c r="H371" s="1" t="str">
        <f>IF(Back_End_Data!G371="Completed","Yes","No")</f>
        <v>No</v>
      </c>
      <c r="I371" s="1" t="str">
        <f>IF(Back_End_Data!I371="Completed","Yes","No")</f>
        <v>No</v>
      </c>
      <c r="J371" s="1" t="str">
        <f>IF(Back_End_Data!J371="Completed","Yes","No")</f>
        <v>No</v>
      </c>
      <c r="K371" s="1" t="str">
        <f>IF(Back_End_Data!K371="Completed","Yes","No")</f>
        <v>No</v>
      </c>
      <c r="L371" s="1" t="str">
        <f>IF(Back_End_Data!L371="", "No", Back_End_Data!L371)</f>
        <v>No</v>
      </c>
      <c r="M371" s="1" t="str">
        <f>IF(Back_End_Data!N371="", "No", Back_End_Data!N371)</f>
        <v>No</v>
      </c>
      <c r="N371" s="1" t="str">
        <f>IF(Back_End_Data!M371="", "No", Back_End_Data!M371)</f>
        <v>No</v>
      </c>
      <c r="O371" s="1" t="str">
        <f>IF(Back_End_Data!O371="Completed","Yes","No")</f>
        <v>No</v>
      </c>
      <c r="P371" s="1" t="str">
        <f>IF(Back_End_Data!H371="Completed","Yes","No")</f>
        <v>No</v>
      </c>
      <c r="Q371" s="1" t="str">
        <f>IF(Back_End_Data!P371="Completed","Yes","No")</f>
        <v>No</v>
      </c>
      <c r="R371" s="1" t="s">
        <v>2369</v>
      </c>
      <c r="S371" s="1" t="str">
        <f>IF(Back_End_Data!R371="Completed","Yes","No")</f>
        <v>No</v>
      </c>
      <c r="T371" s="1" t="str">
        <f>IF(Back_End_Data!S371="Yes","Yes","No")</f>
        <v>No</v>
      </c>
      <c r="U371" s="1" t="str">
        <f>IF(Back_End_Data!Q370="Completed","Yes","No")</f>
        <v>No</v>
      </c>
      <c r="V371" s="1" t="e">
        <f ca="1">IF(INDEX(MIS_Backend_Data!L:L, MATCH(D371, MIS_Backend_Data!B:B, 1)) = "WT", "Yes", "No")</f>
        <v>#N/A</v>
      </c>
      <c r="W371" s="2" t="str">
        <f t="shared" ca="1" si="15"/>
        <v/>
      </c>
      <c r="AA371" s="1">
        <f t="shared" ca="1" si="16"/>
        <v>0</v>
      </c>
      <c r="AG371" s="1" t="str">
        <f t="shared" si="17"/>
        <v/>
      </c>
    </row>
    <row r="372" spans="1:33" ht="20.25" customHeight="1">
      <c r="A372" s="13">
        <v>371</v>
      </c>
      <c r="H372" s="1" t="str">
        <f>IF(Back_End_Data!G372="Completed","Yes","No")</f>
        <v>No</v>
      </c>
      <c r="I372" s="1" t="str">
        <f>IF(Back_End_Data!I372="Completed","Yes","No")</f>
        <v>No</v>
      </c>
      <c r="J372" s="1" t="str">
        <f>IF(Back_End_Data!J372="Completed","Yes","No")</f>
        <v>No</v>
      </c>
      <c r="K372" s="1" t="str">
        <f>IF(Back_End_Data!K372="Completed","Yes","No")</f>
        <v>No</v>
      </c>
      <c r="L372" s="1" t="str">
        <f>IF(Back_End_Data!L372="", "No", Back_End_Data!L372)</f>
        <v>No</v>
      </c>
      <c r="M372" s="1" t="str">
        <f>IF(Back_End_Data!N372="", "No", Back_End_Data!N372)</f>
        <v>No</v>
      </c>
      <c r="N372" s="1" t="str">
        <f>IF(Back_End_Data!M372="", "No", Back_End_Data!M372)</f>
        <v>No</v>
      </c>
      <c r="O372" s="1" t="str">
        <f>IF(Back_End_Data!O372="Completed","Yes","No")</f>
        <v>No</v>
      </c>
      <c r="P372" s="1" t="str">
        <f>IF(Back_End_Data!H372="Completed","Yes","No")</f>
        <v>No</v>
      </c>
      <c r="Q372" s="1" t="str">
        <f>IF(Back_End_Data!P372="Completed","Yes","No")</f>
        <v>No</v>
      </c>
      <c r="R372" s="1" t="s">
        <v>2369</v>
      </c>
      <c r="S372" s="1" t="str">
        <f>IF(Back_End_Data!R372="Completed","Yes","No")</f>
        <v>No</v>
      </c>
      <c r="T372" s="1" t="str">
        <f>IF(Back_End_Data!S372="Yes","Yes","No")</f>
        <v>No</v>
      </c>
      <c r="U372" s="1" t="str">
        <f>IF(Back_End_Data!Q371="Completed","Yes","No")</f>
        <v>No</v>
      </c>
      <c r="V372" s="1" t="e">
        <f ca="1">IF(INDEX(MIS_Backend_Data!L:L, MATCH(D372, MIS_Backend_Data!B:B, 1)) = "WT", "Yes", "No")</f>
        <v>#N/A</v>
      </c>
      <c r="W372" s="2" t="str">
        <f t="shared" ca="1" si="15"/>
        <v/>
      </c>
      <c r="AA372" s="1">
        <f t="shared" ca="1" si="16"/>
        <v>0</v>
      </c>
      <c r="AG372" s="1" t="str">
        <f t="shared" si="17"/>
        <v/>
      </c>
    </row>
    <row r="373" spans="1:33" ht="20.25" customHeight="1">
      <c r="A373" s="13">
        <v>372</v>
      </c>
      <c r="H373" s="1" t="str">
        <f>IF(Back_End_Data!G373="Completed","Yes","No")</f>
        <v>No</v>
      </c>
      <c r="I373" s="1" t="str">
        <f>IF(Back_End_Data!I373="Completed","Yes","No")</f>
        <v>No</v>
      </c>
      <c r="J373" s="1" t="str">
        <f>IF(Back_End_Data!J373="Completed","Yes","No")</f>
        <v>No</v>
      </c>
      <c r="K373" s="1" t="str">
        <f>IF(Back_End_Data!K373="Completed","Yes","No")</f>
        <v>No</v>
      </c>
      <c r="L373" s="1" t="str">
        <f>IF(Back_End_Data!L373="", "No", Back_End_Data!L373)</f>
        <v>No</v>
      </c>
      <c r="M373" s="1" t="str">
        <f>IF(Back_End_Data!N373="", "No", Back_End_Data!N373)</f>
        <v>No</v>
      </c>
      <c r="N373" s="1" t="str">
        <f>IF(Back_End_Data!M373="", "No", Back_End_Data!M373)</f>
        <v>No</v>
      </c>
      <c r="O373" s="1" t="str">
        <f>IF(Back_End_Data!O373="Completed","Yes","No")</f>
        <v>No</v>
      </c>
      <c r="P373" s="1" t="str">
        <f>IF(Back_End_Data!H373="Completed","Yes","No")</f>
        <v>No</v>
      </c>
      <c r="Q373" s="1" t="str">
        <f>IF(Back_End_Data!P373="Completed","Yes","No")</f>
        <v>No</v>
      </c>
      <c r="R373" s="1" t="s">
        <v>2369</v>
      </c>
      <c r="S373" s="1" t="str">
        <f>IF(Back_End_Data!R373="Completed","Yes","No")</f>
        <v>No</v>
      </c>
      <c r="T373" s="1" t="str">
        <f>IF(Back_End_Data!S373="Yes","Yes","No")</f>
        <v>No</v>
      </c>
      <c r="U373" s="1" t="str">
        <f>IF(Back_End_Data!Q372="Completed","Yes","No")</f>
        <v>No</v>
      </c>
      <c r="V373" s="1" t="e">
        <f ca="1">IF(INDEX(MIS_Backend_Data!L:L, MATCH(D373, MIS_Backend_Data!B:B, 1)) = "WT", "Yes", "No")</f>
        <v>#N/A</v>
      </c>
      <c r="W373" s="2" t="str">
        <f t="shared" ca="1" si="15"/>
        <v/>
      </c>
      <c r="AA373" s="1">
        <f t="shared" ca="1" si="16"/>
        <v>0</v>
      </c>
      <c r="AG373" s="1" t="str">
        <f t="shared" si="17"/>
        <v/>
      </c>
    </row>
    <row r="374" spans="1:33" ht="20.25" customHeight="1">
      <c r="A374" s="13">
        <v>373</v>
      </c>
      <c r="H374" s="1" t="str">
        <f>IF(Back_End_Data!G374="Completed","Yes","No")</f>
        <v>No</v>
      </c>
      <c r="I374" s="1" t="str">
        <f>IF(Back_End_Data!I374="Completed","Yes","No")</f>
        <v>No</v>
      </c>
      <c r="J374" s="1" t="str">
        <f>IF(Back_End_Data!J374="Completed","Yes","No")</f>
        <v>No</v>
      </c>
      <c r="K374" s="1" t="str">
        <f>IF(Back_End_Data!K374="Completed","Yes","No")</f>
        <v>No</v>
      </c>
      <c r="L374" s="1" t="str">
        <f>IF(Back_End_Data!L374="", "No", Back_End_Data!L374)</f>
        <v>No</v>
      </c>
      <c r="M374" s="1" t="str">
        <f>IF(Back_End_Data!N374="", "No", Back_End_Data!N374)</f>
        <v>No</v>
      </c>
      <c r="N374" s="1" t="str">
        <f>IF(Back_End_Data!M374="", "No", Back_End_Data!M374)</f>
        <v>No</v>
      </c>
      <c r="O374" s="1" t="str">
        <f>IF(Back_End_Data!O374="Completed","Yes","No")</f>
        <v>No</v>
      </c>
      <c r="P374" s="1" t="str">
        <f>IF(Back_End_Data!H374="Completed","Yes","No")</f>
        <v>No</v>
      </c>
      <c r="Q374" s="1" t="str">
        <f>IF(Back_End_Data!P374="Completed","Yes","No")</f>
        <v>No</v>
      </c>
      <c r="R374" s="1" t="s">
        <v>2369</v>
      </c>
      <c r="S374" s="1" t="str">
        <f>IF(Back_End_Data!R374="Completed","Yes","No")</f>
        <v>No</v>
      </c>
      <c r="T374" s="1" t="str">
        <f>IF(Back_End_Data!S374="Yes","Yes","No")</f>
        <v>No</v>
      </c>
      <c r="U374" s="1" t="str">
        <f>IF(Back_End_Data!Q373="Completed","Yes","No")</f>
        <v>No</v>
      </c>
      <c r="V374" s="1" t="e">
        <f ca="1">IF(INDEX(MIS_Backend_Data!L:L, MATCH(D374, MIS_Backend_Data!B:B, 1)) = "WT", "Yes", "No")</f>
        <v>#N/A</v>
      </c>
      <c r="W374" s="2" t="str">
        <f t="shared" ca="1" si="15"/>
        <v/>
      </c>
      <c r="AA374" s="1">
        <f t="shared" ca="1" si="16"/>
        <v>0</v>
      </c>
      <c r="AG374" s="1" t="str">
        <f t="shared" si="17"/>
        <v/>
      </c>
    </row>
    <row r="375" spans="1:33" ht="20.25" customHeight="1">
      <c r="A375" s="13">
        <v>374</v>
      </c>
      <c r="H375" s="1" t="str">
        <f>IF(Back_End_Data!G375="Completed","Yes","No")</f>
        <v>No</v>
      </c>
      <c r="I375" s="1" t="str">
        <f>IF(Back_End_Data!I375="Completed","Yes","No")</f>
        <v>No</v>
      </c>
      <c r="J375" s="1" t="str">
        <f>IF(Back_End_Data!J375="Completed","Yes","No")</f>
        <v>No</v>
      </c>
      <c r="K375" s="1" t="str">
        <f>IF(Back_End_Data!K375="Completed","Yes","No")</f>
        <v>No</v>
      </c>
      <c r="L375" s="1" t="str">
        <f>IF(Back_End_Data!L375="", "No", Back_End_Data!L375)</f>
        <v>No</v>
      </c>
      <c r="M375" s="1" t="str">
        <f>IF(Back_End_Data!N375="", "No", Back_End_Data!N375)</f>
        <v>No</v>
      </c>
      <c r="N375" s="1" t="str">
        <f>IF(Back_End_Data!M375="", "No", Back_End_Data!M375)</f>
        <v>No</v>
      </c>
      <c r="O375" s="1" t="str">
        <f>IF(Back_End_Data!O375="Completed","Yes","No")</f>
        <v>No</v>
      </c>
      <c r="P375" s="1" t="str">
        <f>IF(Back_End_Data!H375="Completed","Yes","No")</f>
        <v>No</v>
      </c>
      <c r="Q375" s="1" t="str">
        <f>IF(Back_End_Data!P375="Completed","Yes","No")</f>
        <v>No</v>
      </c>
      <c r="R375" s="1" t="s">
        <v>2369</v>
      </c>
      <c r="S375" s="1" t="str">
        <f>IF(Back_End_Data!R375="Completed","Yes","No")</f>
        <v>No</v>
      </c>
      <c r="T375" s="1" t="str">
        <f>IF(Back_End_Data!S375="Yes","Yes","No")</f>
        <v>No</v>
      </c>
      <c r="U375" s="1" t="str">
        <f>IF(Back_End_Data!Q374="Completed","Yes","No")</f>
        <v>No</v>
      </c>
      <c r="V375" s="1" t="e">
        <f ca="1">IF(INDEX(MIS_Backend_Data!L:L, MATCH(D375, MIS_Backend_Data!B:B, 1)) = "WT", "Yes", "No")</f>
        <v>#N/A</v>
      </c>
      <c r="W375" s="2" t="str">
        <f t="shared" ca="1" si="15"/>
        <v/>
      </c>
      <c r="AA375" s="1">
        <f t="shared" ca="1" si="16"/>
        <v>0</v>
      </c>
      <c r="AG375" s="1" t="str">
        <f t="shared" si="17"/>
        <v/>
      </c>
    </row>
    <row r="376" spans="1:33" ht="20.25" customHeight="1">
      <c r="A376" s="13">
        <v>375</v>
      </c>
      <c r="H376" s="1" t="str">
        <f>IF(Back_End_Data!G376="Completed","Yes","No")</f>
        <v>No</v>
      </c>
      <c r="I376" s="1" t="str">
        <f>IF(Back_End_Data!I376="Completed","Yes","No")</f>
        <v>No</v>
      </c>
      <c r="J376" s="1" t="str">
        <f>IF(Back_End_Data!J376="Completed","Yes","No")</f>
        <v>No</v>
      </c>
      <c r="K376" s="1" t="str">
        <f>IF(Back_End_Data!K376="Completed","Yes","No")</f>
        <v>No</v>
      </c>
      <c r="L376" s="1" t="str">
        <f>IF(Back_End_Data!L376="", "No", Back_End_Data!L376)</f>
        <v>No</v>
      </c>
      <c r="M376" s="1" t="str">
        <f>IF(Back_End_Data!N376="", "No", Back_End_Data!N376)</f>
        <v>No</v>
      </c>
      <c r="N376" s="1" t="str">
        <f>IF(Back_End_Data!M376="", "No", Back_End_Data!M376)</f>
        <v>No</v>
      </c>
      <c r="O376" s="1" t="str">
        <f>IF(Back_End_Data!O376="Completed","Yes","No")</f>
        <v>No</v>
      </c>
      <c r="P376" s="1" t="str">
        <f>IF(Back_End_Data!H376="Completed","Yes","No")</f>
        <v>No</v>
      </c>
      <c r="Q376" s="1" t="str">
        <f>IF(Back_End_Data!P376="Completed","Yes","No")</f>
        <v>No</v>
      </c>
      <c r="R376" s="1" t="s">
        <v>2369</v>
      </c>
      <c r="S376" s="1" t="str">
        <f>IF(Back_End_Data!R376="Completed","Yes","No")</f>
        <v>No</v>
      </c>
      <c r="T376" s="1" t="str">
        <f>IF(Back_End_Data!S376="Yes","Yes","No")</f>
        <v>No</v>
      </c>
      <c r="U376" s="1" t="str">
        <f>IF(Back_End_Data!Q375="Completed","Yes","No")</f>
        <v>No</v>
      </c>
      <c r="V376" s="1" t="e">
        <f ca="1">IF(INDEX(MIS_Backend_Data!L:L, MATCH(D376, MIS_Backend_Data!B:B, 1)) = "WT", "Yes", "No")</f>
        <v>#N/A</v>
      </c>
      <c r="W376" s="2" t="str">
        <f t="shared" ca="1" si="15"/>
        <v/>
      </c>
      <c r="AA376" s="1">
        <f t="shared" ca="1" si="16"/>
        <v>0</v>
      </c>
      <c r="AG376" s="1" t="str">
        <f t="shared" si="17"/>
        <v/>
      </c>
    </row>
    <row r="377" spans="1:33" ht="20.25" customHeight="1">
      <c r="A377" s="13">
        <v>376</v>
      </c>
      <c r="H377" s="1" t="str">
        <f>IF(Back_End_Data!G377="Completed","Yes","No")</f>
        <v>No</v>
      </c>
      <c r="I377" s="1" t="str">
        <f>IF(Back_End_Data!I377="Completed","Yes","No")</f>
        <v>No</v>
      </c>
      <c r="J377" s="1" t="str">
        <f>IF(Back_End_Data!J377="Completed","Yes","No")</f>
        <v>No</v>
      </c>
      <c r="K377" s="1" t="str">
        <f>IF(Back_End_Data!K377="Completed","Yes","No")</f>
        <v>No</v>
      </c>
      <c r="L377" s="1" t="str">
        <f>IF(Back_End_Data!L377="", "No", Back_End_Data!L377)</f>
        <v>No</v>
      </c>
      <c r="M377" s="1" t="str">
        <f>IF(Back_End_Data!N377="", "No", Back_End_Data!N377)</f>
        <v>No</v>
      </c>
      <c r="N377" s="1" t="str">
        <f>IF(Back_End_Data!M377="", "No", Back_End_Data!M377)</f>
        <v>No</v>
      </c>
      <c r="O377" s="1" t="str">
        <f>IF(Back_End_Data!O377="Completed","Yes","No")</f>
        <v>No</v>
      </c>
      <c r="P377" s="1" t="str">
        <f>IF(Back_End_Data!H377="Completed","Yes","No")</f>
        <v>No</v>
      </c>
      <c r="Q377" s="1" t="str">
        <f>IF(Back_End_Data!P377="Completed","Yes","No")</f>
        <v>No</v>
      </c>
      <c r="R377" s="1" t="s">
        <v>2369</v>
      </c>
      <c r="S377" s="1" t="str">
        <f>IF(Back_End_Data!R377="Completed","Yes","No")</f>
        <v>No</v>
      </c>
      <c r="T377" s="1" t="str">
        <f>IF(Back_End_Data!S377="Yes","Yes","No")</f>
        <v>No</v>
      </c>
      <c r="U377" s="1" t="str">
        <f>IF(Back_End_Data!Q376="Completed","Yes","No")</f>
        <v>No</v>
      </c>
      <c r="V377" s="1" t="e">
        <f ca="1">IF(INDEX(MIS_Backend_Data!L:L, MATCH(D377, MIS_Backend_Data!B:B, 1)) = "WT", "Yes", "No")</f>
        <v>#N/A</v>
      </c>
      <c r="W377" s="2" t="str">
        <f t="shared" ca="1" si="15"/>
        <v/>
      </c>
      <c r="AA377" s="1">
        <f t="shared" ca="1" si="16"/>
        <v>0</v>
      </c>
      <c r="AG377" s="1" t="str">
        <f t="shared" si="17"/>
        <v/>
      </c>
    </row>
    <row r="378" spans="1:33" ht="20.25" customHeight="1">
      <c r="A378" s="13">
        <v>377</v>
      </c>
      <c r="H378" s="1" t="str">
        <f>IF(Back_End_Data!G378="Completed","Yes","No")</f>
        <v>No</v>
      </c>
      <c r="I378" s="1" t="str">
        <f>IF(Back_End_Data!I378="Completed","Yes","No")</f>
        <v>No</v>
      </c>
      <c r="J378" s="1" t="str">
        <f>IF(Back_End_Data!J378="Completed","Yes","No")</f>
        <v>No</v>
      </c>
      <c r="K378" s="1" t="str">
        <f>IF(Back_End_Data!K378="Completed","Yes","No")</f>
        <v>No</v>
      </c>
      <c r="L378" s="1" t="str">
        <f>IF(Back_End_Data!L378="", "No", Back_End_Data!L378)</f>
        <v>No</v>
      </c>
      <c r="M378" s="1" t="str">
        <f>IF(Back_End_Data!N378="", "No", Back_End_Data!N378)</f>
        <v>No</v>
      </c>
      <c r="N378" s="1" t="str">
        <f>IF(Back_End_Data!M378="", "No", Back_End_Data!M378)</f>
        <v>No</v>
      </c>
      <c r="O378" s="1" t="str">
        <f>IF(Back_End_Data!O378="Completed","Yes","No")</f>
        <v>No</v>
      </c>
      <c r="P378" s="1" t="str">
        <f>IF(Back_End_Data!H378="Completed","Yes","No")</f>
        <v>No</v>
      </c>
      <c r="Q378" s="1" t="str">
        <f>IF(Back_End_Data!P378="Completed","Yes","No")</f>
        <v>No</v>
      </c>
      <c r="R378" s="1" t="s">
        <v>2369</v>
      </c>
      <c r="S378" s="1" t="str">
        <f>IF(Back_End_Data!R378="Completed","Yes","No")</f>
        <v>No</v>
      </c>
      <c r="T378" s="1" t="str">
        <f>IF(Back_End_Data!S378="Yes","Yes","No")</f>
        <v>No</v>
      </c>
      <c r="U378" s="1" t="str">
        <f>IF(Back_End_Data!Q377="Completed","Yes","No")</f>
        <v>No</v>
      </c>
      <c r="V378" s="1" t="e">
        <f ca="1">IF(INDEX(MIS_Backend_Data!L:L, MATCH(D378, MIS_Backend_Data!B:B, 1)) = "WT", "Yes", "No")</f>
        <v>#N/A</v>
      </c>
      <c r="W378" s="2" t="str">
        <f t="shared" ca="1" si="15"/>
        <v/>
      </c>
      <c r="AA378" s="1">
        <f t="shared" ca="1" si="16"/>
        <v>0</v>
      </c>
      <c r="AG378" s="1" t="str">
        <f t="shared" si="17"/>
        <v/>
      </c>
    </row>
    <row r="379" spans="1:33" ht="20.25" customHeight="1">
      <c r="A379" s="13">
        <v>378</v>
      </c>
      <c r="H379" s="1" t="str">
        <f>IF(Back_End_Data!G379="Completed","Yes","No")</f>
        <v>No</v>
      </c>
      <c r="I379" s="1" t="str">
        <f>IF(Back_End_Data!I379="Completed","Yes","No")</f>
        <v>No</v>
      </c>
      <c r="J379" s="1" t="str">
        <f>IF(Back_End_Data!J379="Completed","Yes","No")</f>
        <v>No</v>
      </c>
      <c r="K379" s="1" t="str">
        <f>IF(Back_End_Data!K379="Completed","Yes","No")</f>
        <v>No</v>
      </c>
      <c r="L379" s="1" t="str">
        <f>IF(Back_End_Data!L379="", "No", Back_End_Data!L379)</f>
        <v>No</v>
      </c>
      <c r="M379" s="1" t="str">
        <f>IF(Back_End_Data!N379="", "No", Back_End_Data!N379)</f>
        <v>No</v>
      </c>
      <c r="N379" s="1" t="str">
        <f>IF(Back_End_Data!M379="", "No", Back_End_Data!M379)</f>
        <v>No</v>
      </c>
      <c r="O379" s="1" t="str">
        <f>IF(Back_End_Data!O379="Completed","Yes","No")</f>
        <v>No</v>
      </c>
      <c r="P379" s="1" t="str">
        <f>IF(Back_End_Data!H379="Completed","Yes","No")</f>
        <v>No</v>
      </c>
      <c r="Q379" s="1" t="str">
        <f>IF(Back_End_Data!P379="Completed","Yes","No")</f>
        <v>No</v>
      </c>
      <c r="R379" s="1" t="s">
        <v>2369</v>
      </c>
      <c r="S379" s="1" t="str">
        <f>IF(Back_End_Data!R379="Completed","Yes","No")</f>
        <v>No</v>
      </c>
      <c r="T379" s="1" t="str">
        <f>IF(Back_End_Data!S379="Yes","Yes","No")</f>
        <v>No</v>
      </c>
      <c r="U379" s="1" t="str">
        <f>IF(Back_End_Data!Q378="Completed","Yes","No")</f>
        <v>No</v>
      </c>
      <c r="V379" s="1" t="e">
        <f ca="1">IF(INDEX(MIS_Backend_Data!L:L, MATCH(D379, MIS_Backend_Data!B:B, 1)) = "WT", "Yes", "No")</f>
        <v>#N/A</v>
      </c>
      <c r="W379" s="2" t="str">
        <f t="shared" ca="1" si="15"/>
        <v/>
      </c>
      <c r="AA379" s="1">
        <f t="shared" ca="1" si="16"/>
        <v>0</v>
      </c>
      <c r="AG379" s="1" t="str">
        <f t="shared" si="17"/>
        <v/>
      </c>
    </row>
    <row r="380" spans="1:33" ht="20.25" customHeight="1">
      <c r="A380" s="13">
        <v>379</v>
      </c>
      <c r="H380" s="1" t="str">
        <f>IF(Back_End_Data!G380="Completed","Yes","No")</f>
        <v>No</v>
      </c>
      <c r="I380" s="1" t="str">
        <f>IF(Back_End_Data!I380="Completed","Yes","No")</f>
        <v>No</v>
      </c>
      <c r="J380" s="1" t="str">
        <f>IF(Back_End_Data!J380="Completed","Yes","No")</f>
        <v>No</v>
      </c>
      <c r="K380" s="1" t="str">
        <f>IF(Back_End_Data!K380="Completed","Yes","No")</f>
        <v>No</v>
      </c>
      <c r="L380" s="1" t="str">
        <f>IF(Back_End_Data!L380="", "No", Back_End_Data!L380)</f>
        <v>No</v>
      </c>
      <c r="M380" s="1" t="str">
        <f>IF(Back_End_Data!N380="", "No", Back_End_Data!N380)</f>
        <v>No</v>
      </c>
      <c r="N380" s="1" t="str">
        <f>IF(Back_End_Data!M380="", "No", Back_End_Data!M380)</f>
        <v>No</v>
      </c>
      <c r="O380" s="1" t="str">
        <f>IF(Back_End_Data!O380="Completed","Yes","No")</f>
        <v>No</v>
      </c>
      <c r="P380" s="1" t="str">
        <f>IF(Back_End_Data!H380="Completed","Yes","No")</f>
        <v>No</v>
      </c>
      <c r="Q380" s="1" t="str">
        <f>IF(Back_End_Data!P380="Completed","Yes","No")</f>
        <v>No</v>
      </c>
      <c r="R380" s="1" t="s">
        <v>2369</v>
      </c>
      <c r="S380" s="1" t="str">
        <f>IF(Back_End_Data!R380="Completed","Yes","No")</f>
        <v>No</v>
      </c>
      <c r="T380" s="1" t="str">
        <f>IF(Back_End_Data!S380="Yes","Yes","No")</f>
        <v>No</v>
      </c>
      <c r="U380" s="1" t="str">
        <f>IF(Back_End_Data!Q379="Completed","Yes","No")</f>
        <v>No</v>
      </c>
      <c r="V380" s="1" t="e">
        <f ca="1">IF(INDEX(MIS_Backend_Data!L:L, MATCH(D380, MIS_Backend_Data!B:B, 1)) = "WT", "Yes", "No")</f>
        <v>#N/A</v>
      </c>
      <c r="W380" s="2" t="str">
        <f t="shared" ca="1" si="15"/>
        <v/>
      </c>
      <c r="AA380" s="1">
        <f t="shared" ca="1" si="16"/>
        <v>0</v>
      </c>
      <c r="AG380" s="1" t="str">
        <f t="shared" si="17"/>
        <v/>
      </c>
    </row>
    <row r="381" spans="1:33" ht="20.25" customHeight="1">
      <c r="A381" s="13">
        <v>380</v>
      </c>
      <c r="H381" s="1" t="str">
        <f>IF(Back_End_Data!G381="Completed","Yes","No")</f>
        <v>No</v>
      </c>
      <c r="I381" s="1" t="str">
        <f>IF(Back_End_Data!I381="Completed","Yes","No")</f>
        <v>No</v>
      </c>
      <c r="J381" s="1" t="str">
        <f>IF(Back_End_Data!J381="Completed","Yes","No")</f>
        <v>No</v>
      </c>
      <c r="K381" s="1" t="str">
        <f>IF(Back_End_Data!K381="Completed","Yes","No")</f>
        <v>No</v>
      </c>
      <c r="L381" s="1" t="str">
        <f>IF(Back_End_Data!L381="", "No", Back_End_Data!L381)</f>
        <v>No</v>
      </c>
      <c r="M381" s="1" t="str">
        <f>IF(Back_End_Data!N381="", "No", Back_End_Data!N381)</f>
        <v>No</v>
      </c>
      <c r="N381" s="1" t="str">
        <f>IF(Back_End_Data!M381="", "No", Back_End_Data!M381)</f>
        <v>No</v>
      </c>
      <c r="O381" s="1" t="str">
        <f>IF(Back_End_Data!O381="Completed","Yes","No")</f>
        <v>No</v>
      </c>
      <c r="P381" s="1" t="str">
        <f>IF(Back_End_Data!H381="Completed","Yes","No")</f>
        <v>No</v>
      </c>
      <c r="Q381" s="1" t="str">
        <f>IF(Back_End_Data!P381="Completed","Yes","No")</f>
        <v>No</v>
      </c>
      <c r="R381" s="1" t="s">
        <v>2369</v>
      </c>
      <c r="S381" s="1" t="str">
        <f>IF(Back_End_Data!R381="Completed","Yes","No")</f>
        <v>No</v>
      </c>
      <c r="T381" s="1" t="str">
        <f>IF(Back_End_Data!S381="Yes","Yes","No")</f>
        <v>No</v>
      </c>
      <c r="U381" s="1" t="str">
        <f>IF(Back_End_Data!Q380="Completed","Yes","No")</f>
        <v>No</v>
      </c>
      <c r="V381" s="1" t="e">
        <f ca="1">IF(INDEX(MIS_Backend_Data!L:L, MATCH(D381, MIS_Backend_Data!B:B, 1)) = "WT", "Yes", "No")</f>
        <v>#N/A</v>
      </c>
      <c r="W381" s="2" t="str">
        <f t="shared" ca="1" si="15"/>
        <v/>
      </c>
      <c r="AA381" s="1">
        <f t="shared" ca="1" si="16"/>
        <v>0</v>
      </c>
      <c r="AG381" s="1" t="str">
        <f t="shared" si="17"/>
        <v/>
      </c>
    </row>
    <row r="382" spans="1:33" ht="20.25" customHeight="1">
      <c r="A382" s="13">
        <v>381</v>
      </c>
      <c r="H382" s="1" t="str">
        <f>IF(Back_End_Data!G382="Completed","Yes","No")</f>
        <v>No</v>
      </c>
      <c r="I382" s="1" t="str">
        <f>IF(Back_End_Data!I382="Completed","Yes","No")</f>
        <v>No</v>
      </c>
      <c r="J382" s="1" t="str">
        <f>IF(Back_End_Data!J382="Completed","Yes","No")</f>
        <v>No</v>
      </c>
      <c r="K382" s="1" t="str">
        <f>IF(Back_End_Data!K382="Completed","Yes","No")</f>
        <v>No</v>
      </c>
      <c r="L382" s="1" t="str">
        <f>IF(Back_End_Data!L382="", "No", Back_End_Data!L382)</f>
        <v>No</v>
      </c>
      <c r="M382" s="1" t="str">
        <f>IF(Back_End_Data!N382="", "No", Back_End_Data!N382)</f>
        <v>No</v>
      </c>
      <c r="N382" s="1" t="str">
        <f>IF(Back_End_Data!M382="", "No", Back_End_Data!M382)</f>
        <v>No</v>
      </c>
      <c r="O382" s="1" t="str">
        <f>IF(Back_End_Data!O382="Completed","Yes","No")</f>
        <v>No</v>
      </c>
      <c r="P382" s="1" t="str">
        <f>IF(Back_End_Data!H382="Completed","Yes","No")</f>
        <v>No</v>
      </c>
      <c r="Q382" s="1" t="str">
        <f>IF(Back_End_Data!P382="Completed","Yes","No")</f>
        <v>No</v>
      </c>
      <c r="R382" s="1" t="s">
        <v>2369</v>
      </c>
      <c r="S382" s="1" t="str">
        <f>IF(Back_End_Data!R382="Completed","Yes","No")</f>
        <v>No</v>
      </c>
      <c r="T382" s="1" t="str">
        <f>IF(Back_End_Data!S382="Yes","Yes","No")</f>
        <v>No</v>
      </c>
      <c r="U382" s="1" t="str">
        <f>IF(Back_End_Data!Q381="Completed","Yes","No")</f>
        <v>No</v>
      </c>
      <c r="V382" s="1" t="e">
        <f ca="1">IF(INDEX(MIS_Backend_Data!L:L, MATCH(D382, MIS_Backend_Data!B:B, 1)) = "WT", "Yes", "No")</f>
        <v>#N/A</v>
      </c>
      <c r="W382" s="2" t="str">
        <f t="shared" ca="1" si="15"/>
        <v/>
      </c>
      <c r="AA382" s="1">
        <f t="shared" ca="1" si="16"/>
        <v>0</v>
      </c>
      <c r="AG382" s="1" t="str">
        <f t="shared" si="17"/>
        <v/>
      </c>
    </row>
    <row r="383" spans="1:33" ht="20.25" customHeight="1">
      <c r="A383" s="13">
        <v>382</v>
      </c>
      <c r="H383" s="1" t="str">
        <f>IF(Back_End_Data!G383="Completed","Yes","No")</f>
        <v>No</v>
      </c>
      <c r="I383" s="1" t="str">
        <f>IF(Back_End_Data!I383="Completed","Yes","No")</f>
        <v>No</v>
      </c>
      <c r="J383" s="1" t="str">
        <f>IF(Back_End_Data!J383="Completed","Yes","No")</f>
        <v>No</v>
      </c>
      <c r="K383" s="1" t="str">
        <f>IF(Back_End_Data!K383="Completed","Yes","No")</f>
        <v>No</v>
      </c>
      <c r="L383" s="1" t="str">
        <f>IF(Back_End_Data!L383="", "No", Back_End_Data!L383)</f>
        <v>No</v>
      </c>
      <c r="M383" s="1" t="str">
        <f>IF(Back_End_Data!N383="", "No", Back_End_Data!N383)</f>
        <v>No</v>
      </c>
      <c r="N383" s="1" t="str">
        <f>IF(Back_End_Data!M383="", "No", Back_End_Data!M383)</f>
        <v>No</v>
      </c>
      <c r="O383" s="1" t="str">
        <f>IF(Back_End_Data!O383="Completed","Yes","No")</f>
        <v>No</v>
      </c>
      <c r="P383" s="1" t="str">
        <f>IF(Back_End_Data!H383="Completed","Yes","No")</f>
        <v>No</v>
      </c>
      <c r="Q383" s="1" t="str">
        <f>IF(Back_End_Data!P383="Completed","Yes","No")</f>
        <v>No</v>
      </c>
      <c r="R383" s="1" t="s">
        <v>2369</v>
      </c>
      <c r="S383" s="1" t="str">
        <f>IF(Back_End_Data!R383="Completed","Yes","No")</f>
        <v>No</v>
      </c>
      <c r="T383" s="1" t="str">
        <f>IF(Back_End_Data!S383="Yes","Yes","No")</f>
        <v>No</v>
      </c>
      <c r="U383" s="1" t="str">
        <f>IF(Back_End_Data!Q382="Completed","Yes","No")</f>
        <v>No</v>
      </c>
      <c r="V383" s="1" t="e">
        <f ca="1">IF(INDEX(MIS_Backend_Data!L:L, MATCH(D383, MIS_Backend_Data!B:B, 1)) = "WT", "Yes", "No")</f>
        <v>#N/A</v>
      </c>
      <c r="W383" s="2" t="str">
        <f t="shared" ca="1" si="15"/>
        <v/>
      </c>
      <c r="AA383" s="1">
        <f t="shared" ca="1" si="16"/>
        <v>0</v>
      </c>
      <c r="AG383" s="1" t="str">
        <f t="shared" si="17"/>
        <v/>
      </c>
    </row>
    <row r="384" spans="1:33" ht="20.25" customHeight="1">
      <c r="A384" s="13">
        <v>383</v>
      </c>
      <c r="H384" s="1" t="str">
        <f>IF(Back_End_Data!G384="Completed","Yes","No")</f>
        <v>No</v>
      </c>
      <c r="I384" s="1" t="str">
        <f>IF(Back_End_Data!I384="Completed","Yes","No")</f>
        <v>No</v>
      </c>
      <c r="J384" s="1" t="str">
        <f>IF(Back_End_Data!J384="Completed","Yes","No")</f>
        <v>No</v>
      </c>
      <c r="K384" s="1" t="str">
        <f>IF(Back_End_Data!K384="Completed","Yes","No")</f>
        <v>No</v>
      </c>
      <c r="L384" s="1" t="str">
        <f>IF(Back_End_Data!L384="", "No", Back_End_Data!L384)</f>
        <v>No</v>
      </c>
      <c r="M384" s="1" t="str">
        <f>IF(Back_End_Data!N384="", "No", Back_End_Data!N384)</f>
        <v>No</v>
      </c>
      <c r="N384" s="1" t="str">
        <f>IF(Back_End_Data!M384="", "No", Back_End_Data!M384)</f>
        <v>No</v>
      </c>
      <c r="O384" s="1" t="str">
        <f>IF(Back_End_Data!O384="Completed","Yes","No")</f>
        <v>No</v>
      </c>
      <c r="P384" s="1" t="str">
        <f>IF(Back_End_Data!H384="Completed","Yes","No")</f>
        <v>No</v>
      </c>
      <c r="Q384" s="1" t="str">
        <f>IF(Back_End_Data!P384="Completed","Yes","No")</f>
        <v>No</v>
      </c>
      <c r="R384" s="1" t="s">
        <v>2369</v>
      </c>
      <c r="S384" s="1" t="str">
        <f>IF(Back_End_Data!R384="Completed","Yes","No")</f>
        <v>No</v>
      </c>
      <c r="T384" s="1" t="str">
        <f>IF(Back_End_Data!S384="Yes","Yes","No")</f>
        <v>No</v>
      </c>
      <c r="U384" s="1" t="str">
        <f>IF(Back_End_Data!Q383="Completed","Yes","No")</f>
        <v>No</v>
      </c>
      <c r="V384" s="1" t="e">
        <f ca="1">IF(INDEX(MIS_Backend_Data!L:L, MATCH(D384, MIS_Backend_Data!B:B, 1)) = "WT", "Yes", "No")</f>
        <v>#N/A</v>
      </c>
      <c r="W384" s="2" t="str">
        <f t="shared" ca="1" si="15"/>
        <v/>
      </c>
      <c r="AA384" s="1">
        <f t="shared" ca="1" si="16"/>
        <v>0</v>
      </c>
      <c r="AG384" s="1" t="str">
        <f t="shared" si="17"/>
        <v/>
      </c>
    </row>
    <row r="385" spans="1:33" ht="20.25" customHeight="1">
      <c r="A385" s="13">
        <v>384</v>
      </c>
      <c r="H385" s="1" t="str">
        <f>IF(Back_End_Data!G385="Completed","Yes","No")</f>
        <v>No</v>
      </c>
      <c r="I385" s="1" t="str">
        <f>IF(Back_End_Data!I385="Completed","Yes","No")</f>
        <v>No</v>
      </c>
      <c r="J385" s="1" t="str">
        <f>IF(Back_End_Data!J385="Completed","Yes","No")</f>
        <v>No</v>
      </c>
      <c r="K385" s="1" t="str">
        <f>IF(Back_End_Data!K385="Completed","Yes","No")</f>
        <v>No</v>
      </c>
      <c r="L385" s="1" t="str">
        <f>IF(Back_End_Data!L385="", "No", Back_End_Data!L385)</f>
        <v>No</v>
      </c>
      <c r="M385" s="1" t="str">
        <f>IF(Back_End_Data!N385="", "No", Back_End_Data!N385)</f>
        <v>No</v>
      </c>
      <c r="N385" s="1" t="str">
        <f>IF(Back_End_Data!M385="", "No", Back_End_Data!M385)</f>
        <v>No</v>
      </c>
      <c r="O385" s="1" t="str">
        <f>IF(Back_End_Data!O385="Completed","Yes","No")</f>
        <v>No</v>
      </c>
      <c r="P385" s="1" t="str">
        <f>IF(Back_End_Data!H385="Completed","Yes","No")</f>
        <v>No</v>
      </c>
      <c r="Q385" s="1" t="str">
        <f>IF(Back_End_Data!P385="Completed","Yes","No")</f>
        <v>No</v>
      </c>
      <c r="R385" s="1" t="s">
        <v>2369</v>
      </c>
      <c r="S385" s="1" t="str">
        <f>IF(Back_End_Data!R385="Completed","Yes","No")</f>
        <v>No</v>
      </c>
      <c r="T385" s="1" t="str">
        <f>IF(Back_End_Data!S385="Yes","Yes","No")</f>
        <v>No</v>
      </c>
      <c r="U385" s="1" t="str">
        <f>IF(Back_End_Data!Q384="Completed","Yes","No")</f>
        <v>No</v>
      </c>
      <c r="V385" s="1" t="e">
        <f ca="1">IF(INDEX(MIS_Backend_Data!L:L, MATCH(D385, MIS_Backend_Data!B:B, 1)) = "WT", "Yes", "No")</f>
        <v>#N/A</v>
      </c>
      <c r="W385" s="2" t="str">
        <f t="shared" ca="1" si="15"/>
        <v/>
      </c>
      <c r="AA385" s="1">
        <f t="shared" ca="1" si="16"/>
        <v>0</v>
      </c>
      <c r="AG385" s="1" t="str">
        <f t="shared" si="17"/>
        <v/>
      </c>
    </row>
    <row r="386" spans="1:33" ht="20.25" customHeight="1">
      <c r="A386" s="13">
        <v>385</v>
      </c>
      <c r="H386" s="1" t="str">
        <f>IF(Back_End_Data!G386="Completed","Yes","No")</f>
        <v>No</v>
      </c>
      <c r="I386" s="1" t="str">
        <f>IF(Back_End_Data!I386="Completed","Yes","No")</f>
        <v>No</v>
      </c>
      <c r="J386" s="1" t="str">
        <f>IF(Back_End_Data!J386="Completed","Yes","No")</f>
        <v>No</v>
      </c>
      <c r="K386" s="1" t="str">
        <f>IF(Back_End_Data!K386="Completed","Yes","No")</f>
        <v>No</v>
      </c>
      <c r="L386" s="1" t="str">
        <f>IF(Back_End_Data!L386="", "No", Back_End_Data!L386)</f>
        <v>No</v>
      </c>
      <c r="M386" s="1" t="str">
        <f>IF(Back_End_Data!N386="", "No", Back_End_Data!N386)</f>
        <v>No</v>
      </c>
      <c r="N386" s="1" t="str">
        <f>IF(Back_End_Data!M386="", "No", Back_End_Data!M386)</f>
        <v>No</v>
      </c>
      <c r="O386" s="1" t="str">
        <f>IF(Back_End_Data!O386="Completed","Yes","No")</f>
        <v>No</v>
      </c>
      <c r="P386" s="1" t="str">
        <f>IF(Back_End_Data!H386="Completed","Yes","No")</f>
        <v>No</v>
      </c>
      <c r="Q386" s="1" t="str">
        <f>IF(Back_End_Data!P386="Completed","Yes","No")</f>
        <v>No</v>
      </c>
      <c r="R386" s="1" t="s">
        <v>2369</v>
      </c>
      <c r="S386" s="1" t="str">
        <f>IF(Back_End_Data!R386="Completed","Yes","No")</f>
        <v>No</v>
      </c>
      <c r="T386" s="1" t="str">
        <f>IF(Back_End_Data!S386="Yes","Yes","No")</f>
        <v>No</v>
      </c>
      <c r="U386" s="1" t="str">
        <f>IF(Back_End_Data!Q385="Completed","Yes","No")</f>
        <v>No</v>
      </c>
      <c r="V386" s="1" t="e">
        <f ca="1">IF(INDEX(MIS_Backend_Data!L:L, MATCH(D386, MIS_Backend_Data!B:B, 1)) = "WT", "Yes", "No")</f>
        <v>#N/A</v>
      </c>
      <c r="W386" s="2" t="str">
        <f t="shared" ca="1" si="15"/>
        <v/>
      </c>
      <c r="AA386" s="1">
        <f t="shared" ca="1" si="16"/>
        <v>0</v>
      </c>
      <c r="AG386" s="1" t="str">
        <f t="shared" si="17"/>
        <v/>
      </c>
    </row>
    <row r="387" spans="1:33" ht="20.25" customHeight="1">
      <c r="A387" s="13">
        <v>386</v>
      </c>
      <c r="H387" s="1" t="str">
        <f>IF(Back_End_Data!G387="Completed","Yes","No")</f>
        <v>No</v>
      </c>
      <c r="I387" s="1" t="str">
        <f>IF(Back_End_Data!I387="Completed","Yes","No")</f>
        <v>No</v>
      </c>
      <c r="J387" s="1" t="str">
        <f>IF(Back_End_Data!J387="Completed","Yes","No")</f>
        <v>No</v>
      </c>
      <c r="K387" s="1" t="str">
        <f>IF(Back_End_Data!K387="Completed","Yes","No")</f>
        <v>No</v>
      </c>
      <c r="L387" s="1" t="str">
        <f>IF(Back_End_Data!L387="", "No", Back_End_Data!L387)</f>
        <v>No</v>
      </c>
      <c r="M387" s="1" t="str">
        <f>IF(Back_End_Data!N387="", "No", Back_End_Data!N387)</f>
        <v>No</v>
      </c>
      <c r="N387" s="1" t="str">
        <f>IF(Back_End_Data!M387="", "No", Back_End_Data!M387)</f>
        <v>No</v>
      </c>
      <c r="O387" s="1" t="str">
        <f>IF(Back_End_Data!O387="Completed","Yes","No")</f>
        <v>No</v>
      </c>
      <c r="P387" s="1" t="str">
        <f>IF(Back_End_Data!H387="Completed","Yes","No")</f>
        <v>No</v>
      </c>
      <c r="Q387" s="1" t="str">
        <f>IF(Back_End_Data!P387="Completed","Yes","No")</f>
        <v>No</v>
      </c>
      <c r="R387" s="1" t="s">
        <v>2369</v>
      </c>
      <c r="S387" s="1" t="str">
        <f>IF(Back_End_Data!R387="Completed","Yes","No")</f>
        <v>No</v>
      </c>
      <c r="T387" s="1" t="str">
        <f>IF(Back_End_Data!S387="Yes","Yes","No")</f>
        <v>No</v>
      </c>
      <c r="U387" s="1" t="str">
        <f>IF(Back_End_Data!Q386="Completed","Yes","No")</f>
        <v>No</v>
      </c>
      <c r="V387" s="1" t="e">
        <f ca="1">IF(INDEX(MIS_Backend_Data!L:L, MATCH(D387, MIS_Backend_Data!B:B, 1)) = "WT", "Yes", "No")</f>
        <v>#N/A</v>
      </c>
      <c r="W387" s="2" t="str">
        <f t="shared" ref="W387:W450" ca="1" si="18">IF(OR(Z387="", AA387=""), "", IF(Z387=AA387, "Approved", "Reject"))</f>
        <v/>
      </c>
      <c r="AA387" s="1">
        <f t="shared" ref="AA387:AA450" ca="1" si="19">COUNTIF(H387:V387,"Yes")</f>
        <v>0</v>
      </c>
      <c r="AG387" s="1" t="str">
        <f t="shared" si="17"/>
        <v/>
      </c>
    </row>
    <row r="388" spans="1:33" ht="20.25" customHeight="1">
      <c r="A388" s="13">
        <v>387</v>
      </c>
      <c r="H388" s="1" t="str">
        <f>IF(Back_End_Data!G388="Completed","Yes","No")</f>
        <v>No</v>
      </c>
      <c r="I388" s="1" t="str">
        <f>IF(Back_End_Data!I388="Completed","Yes","No")</f>
        <v>No</v>
      </c>
      <c r="J388" s="1" t="str">
        <f>IF(Back_End_Data!J388="Completed","Yes","No")</f>
        <v>No</v>
      </c>
      <c r="K388" s="1" t="str">
        <f>IF(Back_End_Data!K388="Completed","Yes","No")</f>
        <v>No</v>
      </c>
      <c r="L388" s="1" t="str">
        <f>IF(Back_End_Data!L388="", "No", Back_End_Data!L388)</f>
        <v>No</v>
      </c>
      <c r="M388" s="1" t="str">
        <f>IF(Back_End_Data!N388="", "No", Back_End_Data!N388)</f>
        <v>No</v>
      </c>
      <c r="N388" s="1" t="str">
        <f>IF(Back_End_Data!M388="", "No", Back_End_Data!M388)</f>
        <v>No</v>
      </c>
      <c r="O388" s="1" t="str">
        <f>IF(Back_End_Data!O388="Completed","Yes","No")</f>
        <v>No</v>
      </c>
      <c r="P388" s="1" t="str">
        <f>IF(Back_End_Data!H388="Completed","Yes","No")</f>
        <v>No</v>
      </c>
      <c r="Q388" s="1" t="str">
        <f>IF(Back_End_Data!P388="Completed","Yes","No")</f>
        <v>No</v>
      </c>
      <c r="R388" s="1" t="s">
        <v>2369</v>
      </c>
      <c r="S388" s="1" t="str">
        <f>IF(Back_End_Data!R388="Completed","Yes","No")</f>
        <v>No</v>
      </c>
      <c r="T388" s="1" t="str">
        <f>IF(Back_End_Data!S388="Yes","Yes","No")</f>
        <v>No</v>
      </c>
      <c r="U388" s="1" t="str">
        <f>IF(Back_End_Data!Q387="Completed","Yes","No")</f>
        <v>No</v>
      </c>
      <c r="V388" s="1" t="e">
        <f ca="1">IF(INDEX(MIS_Backend_Data!L:L, MATCH(D388, MIS_Backend_Data!B:B, 1)) = "WT", "Yes", "No")</f>
        <v>#N/A</v>
      </c>
      <c r="W388" s="2" t="str">
        <f t="shared" ca="1" si="18"/>
        <v/>
      </c>
      <c r="AA388" s="1">
        <f t="shared" ca="1" si="19"/>
        <v>0</v>
      </c>
      <c r="AG388" s="1" t="str">
        <f t="shared" ref="AG388:AG451" si="20">IF(AND(AE388="Dispatch",AF388="Pending"),"Pending","")</f>
        <v/>
      </c>
    </row>
    <row r="389" spans="1:33" ht="20.25" customHeight="1">
      <c r="A389" s="13">
        <v>388</v>
      </c>
      <c r="H389" s="1" t="str">
        <f>IF(Back_End_Data!G389="Completed","Yes","No")</f>
        <v>No</v>
      </c>
      <c r="I389" s="1" t="str">
        <f>IF(Back_End_Data!I389="Completed","Yes","No")</f>
        <v>No</v>
      </c>
      <c r="J389" s="1" t="str">
        <f>IF(Back_End_Data!J389="Completed","Yes","No")</f>
        <v>No</v>
      </c>
      <c r="K389" s="1" t="str">
        <f>IF(Back_End_Data!K389="Completed","Yes","No")</f>
        <v>No</v>
      </c>
      <c r="L389" s="1" t="str">
        <f>IF(Back_End_Data!L389="", "No", Back_End_Data!L389)</f>
        <v>No</v>
      </c>
      <c r="M389" s="1" t="str">
        <f>IF(Back_End_Data!N389="", "No", Back_End_Data!N389)</f>
        <v>No</v>
      </c>
      <c r="N389" s="1" t="str">
        <f>IF(Back_End_Data!M389="", "No", Back_End_Data!M389)</f>
        <v>No</v>
      </c>
      <c r="O389" s="1" t="str">
        <f>IF(Back_End_Data!O389="Completed","Yes","No")</f>
        <v>No</v>
      </c>
      <c r="P389" s="1" t="str">
        <f>IF(Back_End_Data!H389="Completed","Yes","No")</f>
        <v>No</v>
      </c>
      <c r="Q389" s="1" t="str">
        <f>IF(Back_End_Data!P389="Completed","Yes","No")</f>
        <v>No</v>
      </c>
      <c r="R389" s="1" t="s">
        <v>2369</v>
      </c>
      <c r="S389" s="1" t="str">
        <f>IF(Back_End_Data!R389="Completed","Yes","No")</f>
        <v>No</v>
      </c>
      <c r="T389" s="1" t="str">
        <f>IF(Back_End_Data!S389="Yes","Yes","No")</f>
        <v>No</v>
      </c>
      <c r="U389" s="1" t="str">
        <f>IF(Back_End_Data!Q388="Completed","Yes","No")</f>
        <v>No</v>
      </c>
      <c r="V389" s="1" t="e">
        <f ca="1">IF(INDEX(MIS_Backend_Data!L:L, MATCH(D389, MIS_Backend_Data!B:B, 1)) = "WT", "Yes", "No")</f>
        <v>#N/A</v>
      </c>
      <c r="W389" s="2" t="str">
        <f t="shared" ca="1" si="18"/>
        <v/>
      </c>
      <c r="AA389" s="1">
        <f t="shared" ca="1" si="19"/>
        <v>0</v>
      </c>
      <c r="AG389" s="1" t="str">
        <f t="shared" si="20"/>
        <v/>
      </c>
    </row>
    <row r="390" spans="1:33" ht="20.25" customHeight="1">
      <c r="A390" s="13">
        <v>389</v>
      </c>
      <c r="H390" s="1" t="str">
        <f>IF(Back_End_Data!G390="Completed","Yes","No")</f>
        <v>No</v>
      </c>
      <c r="I390" s="1" t="str">
        <f>IF(Back_End_Data!I390="Completed","Yes","No")</f>
        <v>No</v>
      </c>
      <c r="J390" s="1" t="str">
        <f>IF(Back_End_Data!J390="Completed","Yes","No")</f>
        <v>No</v>
      </c>
      <c r="K390" s="1" t="str">
        <f>IF(Back_End_Data!K390="Completed","Yes","No")</f>
        <v>No</v>
      </c>
      <c r="L390" s="1" t="str">
        <f>IF(Back_End_Data!L390="", "No", Back_End_Data!L390)</f>
        <v>No</v>
      </c>
      <c r="M390" s="1" t="str">
        <f>IF(Back_End_Data!N390="", "No", Back_End_Data!N390)</f>
        <v>No</v>
      </c>
      <c r="N390" s="1" t="str">
        <f>IF(Back_End_Data!M390="", "No", Back_End_Data!M390)</f>
        <v>No</v>
      </c>
      <c r="O390" s="1" t="str">
        <f>IF(Back_End_Data!O390="Completed","Yes","No")</f>
        <v>No</v>
      </c>
      <c r="P390" s="1" t="str">
        <f>IF(Back_End_Data!H390="Completed","Yes","No")</f>
        <v>No</v>
      </c>
      <c r="Q390" s="1" t="str">
        <f>IF(Back_End_Data!P390="Completed","Yes","No")</f>
        <v>No</v>
      </c>
      <c r="R390" s="1" t="s">
        <v>2369</v>
      </c>
      <c r="S390" s="1" t="str">
        <f>IF(Back_End_Data!R390="Completed","Yes","No")</f>
        <v>No</v>
      </c>
      <c r="T390" s="1" t="str">
        <f>IF(Back_End_Data!S390="Yes","Yes","No")</f>
        <v>No</v>
      </c>
      <c r="U390" s="1" t="str">
        <f>IF(Back_End_Data!Q389="Completed","Yes","No")</f>
        <v>No</v>
      </c>
      <c r="V390" s="1" t="e">
        <f ca="1">IF(INDEX(MIS_Backend_Data!L:L, MATCH(D390, MIS_Backend_Data!B:B, 1)) = "WT", "Yes", "No")</f>
        <v>#N/A</v>
      </c>
      <c r="W390" s="2" t="str">
        <f t="shared" ca="1" si="18"/>
        <v/>
      </c>
      <c r="AA390" s="1">
        <f t="shared" ca="1" si="19"/>
        <v>0</v>
      </c>
      <c r="AG390" s="1" t="str">
        <f t="shared" si="20"/>
        <v/>
      </c>
    </row>
    <row r="391" spans="1:33" ht="20.25" customHeight="1">
      <c r="A391" s="13">
        <v>390</v>
      </c>
      <c r="H391" s="1" t="str">
        <f>IF(Back_End_Data!G391="Completed","Yes","No")</f>
        <v>No</v>
      </c>
      <c r="I391" s="1" t="str">
        <f>IF(Back_End_Data!I391="Completed","Yes","No")</f>
        <v>No</v>
      </c>
      <c r="J391" s="1" t="str">
        <f>IF(Back_End_Data!J391="Completed","Yes","No")</f>
        <v>No</v>
      </c>
      <c r="K391" s="1" t="str">
        <f>IF(Back_End_Data!K391="Completed","Yes","No")</f>
        <v>No</v>
      </c>
      <c r="L391" s="1" t="str">
        <f>IF(Back_End_Data!L391="", "No", Back_End_Data!L391)</f>
        <v>No</v>
      </c>
      <c r="M391" s="1" t="str">
        <f>IF(Back_End_Data!N391="", "No", Back_End_Data!N391)</f>
        <v>No</v>
      </c>
      <c r="N391" s="1" t="str">
        <f>IF(Back_End_Data!M391="", "No", Back_End_Data!M391)</f>
        <v>No</v>
      </c>
      <c r="O391" s="1" t="str">
        <f>IF(Back_End_Data!O391="Completed","Yes","No")</f>
        <v>No</v>
      </c>
      <c r="P391" s="1" t="str">
        <f>IF(Back_End_Data!H391="Completed","Yes","No")</f>
        <v>No</v>
      </c>
      <c r="Q391" s="1" t="str">
        <f>IF(Back_End_Data!P391="Completed","Yes","No")</f>
        <v>No</v>
      </c>
      <c r="R391" s="1" t="s">
        <v>2369</v>
      </c>
      <c r="S391" s="1" t="str">
        <f>IF(Back_End_Data!R391="Completed","Yes","No")</f>
        <v>No</v>
      </c>
      <c r="T391" s="1" t="str">
        <f>IF(Back_End_Data!S391="Yes","Yes","No")</f>
        <v>No</v>
      </c>
      <c r="U391" s="1" t="str">
        <f>IF(Back_End_Data!Q390="Completed","Yes","No")</f>
        <v>No</v>
      </c>
      <c r="V391" s="1" t="e">
        <f ca="1">IF(INDEX(MIS_Backend_Data!L:L, MATCH(D391, MIS_Backend_Data!B:B, 1)) = "WT", "Yes", "No")</f>
        <v>#N/A</v>
      </c>
      <c r="W391" s="2" t="str">
        <f t="shared" ca="1" si="18"/>
        <v/>
      </c>
      <c r="AA391" s="1">
        <f t="shared" ca="1" si="19"/>
        <v>0</v>
      </c>
      <c r="AG391" s="1" t="str">
        <f t="shared" si="20"/>
        <v/>
      </c>
    </row>
    <row r="392" spans="1:33" ht="20.25" customHeight="1">
      <c r="A392" s="13">
        <v>391</v>
      </c>
      <c r="H392" s="1" t="str">
        <f>IF(Back_End_Data!G392="Completed","Yes","No")</f>
        <v>No</v>
      </c>
      <c r="I392" s="1" t="str">
        <f>IF(Back_End_Data!I392="Completed","Yes","No")</f>
        <v>No</v>
      </c>
      <c r="J392" s="1" t="str">
        <f>IF(Back_End_Data!J392="Completed","Yes","No")</f>
        <v>No</v>
      </c>
      <c r="K392" s="1" t="str">
        <f>IF(Back_End_Data!K392="Completed","Yes","No")</f>
        <v>No</v>
      </c>
      <c r="L392" s="1" t="str">
        <f>IF(Back_End_Data!L392="", "No", Back_End_Data!L392)</f>
        <v>No</v>
      </c>
      <c r="M392" s="1" t="str">
        <f>IF(Back_End_Data!N392="", "No", Back_End_Data!N392)</f>
        <v>No</v>
      </c>
      <c r="N392" s="1" t="str">
        <f>IF(Back_End_Data!M392="", "No", Back_End_Data!M392)</f>
        <v>No</v>
      </c>
      <c r="O392" s="1" t="str">
        <f>IF(Back_End_Data!O392="Completed","Yes","No")</f>
        <v>No</v>
      </c>
      <c r="P392" s="1" t="str">
        <f>IF(Back_End_Data!H392="Completed","Yes","No")</f>
        <v>No</v>
      </c>
      <c r="Q392" s="1" t="str">
        <f>IF(Back_End_Data!P392="Completed","Yes","No")</f>
        <v>No</v>
      </c>
      <c r="R392" s="1" t="s">
        <v>2369</v>
      </c>
      <c r="S392" s="1" t="str">
        <f>IF(Back_End_Data!R392="Completed","Yes","No")</f>
        <v>No</v>
      </c>
      <c r="T392" s="1" t="str">
        <f>IF(Back_End_Data!S392="Yes","Yes","No")</f>
        <v>No</v>
      </c>
      <c r="U392" s="1" t="str">
        <f>IF(Back_End_Data!Q391="Completed","Yes","No")</f>
        <v>No</v>
      </c>
      <c r="V392" s="1" t="e">
        <f ca="1">IF(INDEX(MIS_Backend_Data!L:L, MATCH(D392, MIS_Backend_Data!B:B, 1)) = "WT", "Yes", "No")</f>
        <v>#N/A</v>
      </c>
      <c r="W392" s="2" t="str">
        <f t="shared" ca="1" si="18"/>
        <v/>
      </c>
      <c r="AA392" s="1">
        <f t="shared" ca="1" si="19"/>
        <v>0</v>
      </c>
      <c r="AG392" s="1" t="str">
        <f t="shared" si="20"/>
        <v/>
      </c>
    </row>
    <row r="393" spans="1:33" ht="20.25" customHeight="1">
      <c r="A393" s="13">
        <v>392</v>
      </c>
      <c r="H393" s="1" t="str">
        <f>IF(Back_End_Data!G393="Completed","Yes","No")</f>
        <v>No</v>
      </c>
      <c r="I393" s="1" t="str">
        <f>IF(Back_End_Data!I393="Completed","Yes","No")</f>
        <v>No</v>
      </c>
      <c r="J393" s="1" t="str">
        <f>IF(Back_End_Data!J393="Completed","Yes","No")</f>
        <v>No</v>
      </c>
      <c r="K393" s="1" t="str">
        <f>IF(Back_End_Data!K393="Completed","Yes","No")</f>
        <v>No</v>
      </c>
      <c r="L393" s="1" t="str">
        <f>IF(Back_End_Data!L393="", "No", Back_End_Data!L393)</f>
        <v>No</v>
      </c>
      <c r="M393" s="1" t="str">
        <f>IF(Back_End_Data!N393="", "No", Back_End_Data!N393)</f>
        <v>No</v>
      </c>
      <c r="N393" s="1" t="str">
        <f>IF(Back_End_Data!M393="", "No", Back_End_Data!M393)</f>
        <v>No</v>
      </c>
      <c r="O393" s="1" t="str">
        <f>IF(Back_End_Data!O393="Completed","Yes","No")</f>
        <v>No</v>
      </c>
      <c r="P393" s="1" t="str">
        <f>IF(Back_End_Data!H393="Completed","Yes","No")</f>
        <v>No</v>
      </c>
      <c r="Q393" s="1" t="str">
        <f>IF(Back_End_Data!P393="Completed","Yes","No")</f>
        <v>No</v>
      </c>
      <c r="R393" s="1" t="s">
        <v>2369</v>
      </c>
      <c r="S393" s="1" t="str">
        <f>IF(Back_End_Data!R393="Completed","Yes","No")</f>
        <v>No</v>
      </c>
      <c r="T393" s="1" t="str">
        <f>IF(Back_End_Data!S393="Yes","Yes","No")</f>
        <v>No</v>
      </c>
      <c r="U393" s="1" t="str">
        <f>IF(Back_End_Data!Q392="Completed","Yes","No")</f>
        <v>No</v>
      </c>
      <c r="V393" s="1" t="e">
        <f ca="1">IF(INDEX(MIS_Backend_Data!L:L, MATCH(D393, MIS_Backend_Data!B:B, 1)) = "WT", "Yes", "No")</f>
        <v>#N/A</v>
      </c>
      <c r="W393" s="2" t="str">
        <f t="shared" ca="1" si="18"/>
        <v/>
      </c>
      <c r="AA393" s="1">
        <f t="shared" ca="1" si="19"/>
        <v>0</v>
      </c>
      <c r="AG393" s="1" t="str">
        <f t="shared" si="20"/>
        <v/>
      </c>
    </row>
    <row r="394" spans="1:33" ht="20.25" customHeight="1">
      <c r="A394" s="13">
        <v>393</v>
      </c>
      <c r="H394" s="1" t="str">
        <f>IF(Back_End_Data!G394="Completed","Yes","No")</f>
        <v>No</v>
      </c>
      <c r="I394" s="1" t="str">
        <f>IF(Back_End_Data!I394="Completed","Yes","No")</f>
        <v>No</v>
      </c>
      <c r="J394" s="1" t="str">
        <f>IF(Back_End_Data!J394="Completed","Yes","No")</f>
        <v>No</v>
      </c>
      <c r="K394" s="1" t="str">
        <f>IF(Back_End_Data!K394="Completed","Yes","No")</f>
        <v>No</v>
      </c>
      <c r="L394" s="1" t="str">
        <f>IF(Back_End_Data!L394="", "No", Back_End_Data!L394)</f>
        <v>No</v>
      </c>
      <c r="M394" s="1" t="str">
        <f>IF(Back_End_Data!N394="", "No", Back_End_Data!N394)</f>
        <v>No</v>
      </c>
      <c r="N394" s="1" t="str">
        <f>IF(Back_End_Data!M394="", "No", Back_End_Data!M394)</f>
        <v>No</v>
      </c>
      <c r="O394" s="1" t="str">
        <f>IF(Back_End_Data!O394="Completed","Yes","No")</f>
        <v>No</v>
      </c>
      <c r="P394" s="1" t="str">
        <f>IF(Back_End_Data!H394="Completed","Yes","No")</f>
        <v>No</v>
      </c>
      <c r="Q394" s="1" t="str">
        <f>IF(Back_End_Data!P394="Completed","Yes","No")</f>
        <v>No</v>
      </c>
      <c r="R394" s="1" t="s">
        <v>2369</v>
      </c>
      <c r="S394" s="1" t="str">
        <f>IF(Back_End_Data!R394="Completed","Yes","No")</f>
        <v>No</v>
      </c>
      <c r="T394" s="1" t="str">
        <f>IF(Back_End_Data!S394="Yes","Yes","No")</f>
        <v>No</v>
      </c>
      <c r="U394" s="1" t="str">
        <f>IF(Back_End_Data!Q393="Completed","Yes","No")</f>
        <v>No</v>
      </c>
      <c r="V394" s="1" t="e">
        <f ca="1">IF(INDEX(MIS_Backend_Data!L:L, MATCH(D394, MIS_Backend_Data!B:B, 1)) = "WT", "Yes", "No")</f>
        <v>#N/A</v>
      </c>
      <c r="W394" s="2" t="str">
        <f t="shared" ca="1" si="18"/>
        <v/>
      </c>
      <c r="AA394" s="1">
        <f t="shared" ca="1" si="19"/>
        <v>0</v>
      </c>
      <c r="AG394" s="1" t="str">
        <f t="shared" si="20"/>
        <v/>
      </c>
    </row>
    <row r="395" spans="1:33" ht="20.25" customHeight="1">
      <c r="A395" s="13">
        <v>394</v>
      </c>
      <c r="H395" s="1" t="str">
        <f>IF(Back_End_Data!G395="Completed","Yes","No")</f>
        <v>No</v>
      </c>
      <c r="I395" s="1" t="str">
        <f>IF(Back_End_Data!I395="Completed","Yes","No")</f>
        <v>No</v>
      </c>
      <c r="J395" s="1" t="str">
        <f>IF(Back_End_Data!J395="Completed","Yes","No")</f>
        <v>No</v>
      </c>
      <c r="K395" s="1" t="str">
        <f>IF(Back_End_Data!K395="Completed","Yes","No")</f>
        <v>No</v>
      </c>
      <c r="L395" s="1" t="str">
        <f>IF(Back_End_Data!L395="", "No", Back_End_Data!L395)</f>
        <v>No</v>
      </c>
      <c r="M395" s="1" t="str">
        <f>IF(Back_End_Data!N395="", "No", Back_End_Data!N395)</f>
        <v>No</v>
      </c>
      <c r="N395" s="1" t="str">
        <f>IF(Back_End_Data!M395="", "No", Back_End_Data!M395)</f>
        <v>No</v>
      </c>
      <c r="O395" s="1" t="str">
        <f>IF(Back_End_Data!O395="Completed","Yes","No")</f>
        <v>No</v>
      </c>
      <c r="P395" s="1" t="str">
        <f>IF(Back_End_Data!H395="Completed","Yes","No")</f>
        <v>No</v>
      </c>
      <c r="Q395" s="1" t="str">
        <f>IF(Back_End_Data!P395="Completed","Yes","No")</f>
        <v>No</v>
      </c>
      <c r="R395" s="1" t="s">
        <v>2369</v>
      </c>
      <c r="S395" s="1" t="str">
        <f>IF(Back_End_Data!R395="Completed","Yes","No")</f>
        <v>No</v>
      </c>
      <c r="T395" s="1" t="str">
        <f>IF(Back_End_Data!S395="Yes","Yes","No")</f>
        <v>No</v>
      </c>
      <c r="U395" s="1" t="str">
        <f>IF(Back_End_Data!Q394="Completed","Yes","No")</f>
        <v>No</v>
      </c>
      <c r="V395" s="1" t="e">
        <f ca="1">IF(INDEX(MIS_Backend_Data!L:L, MATCH(D395, MIS_Backend_Data!B:B, 1)) = "WT", "Yes", "No")</f>
        <v>#N/A</v>
      </c>
      <c r="W395" s="2" t="str">
        <f t="shared" ca="1" si="18"/>
        <v/>
      </c>
      <c r="AA395" s="1">
        <f t="shared" ca="1" si="19"/>
        <v>0</v>
      </c>
      <c r="AG395" s="1" t="str">
        <f t="shared" si="20"/>
        <v/>
      </c>
    </row>
    <row r="396" spans="1:33" ht="20.25" customHeight="1">
      <c r="A396" s="13">
        <v>395</v>
      </c>
      <c r="H396" s="1" t="str">
        <f>IF(Back_End_Data!G396="Completed","Yes","No")</f>
        <v>No</v>
      </c>
      <c r="I396" s="1" t="str">
        <f>IF(Back_End_Data!I396="Completed","Yes","No")</f>
        <v>No</v>
      </c>
      <c r="J396" s="1" t="str">
        <f>IF(Back_End_Data!J396="Completed","Yes","No")</f>
        <v>No</v>
      </c>
      <c r="K396" s="1" t="str">
        <f>IF(Back_End_Data!K396="Completed","Yes","No")</f>
        <v>No</v>
      </c>
      <c r="L396" s="1" t="str">
        <f>IF(Back_End_Data!L396="", "No", Back_End_Data!L396)</f>
        <v>No</v>
      </c>
      <c r="M396" s="1" t="str">
        <f>IF(Back_End_Data!N396="", "No", Back_End_Data!N396)</f>
        <v>No</v>
      </c>
      <c r="N396" s="1" t="str">
        <f>IF(Back_End_Data!M396="", "No", Back_End_Data!M396)</f>
        <v>No</v>
      </c>
      <c r="O396" s="1" t="str">
        <f>IF(Back_End_Data!O396="Completed","Yes","No")</f>
        <v>No</v>
      </c>
      <c r="P396" s="1" t="str">
        <f>IF(Back_End_Data!H396="Completed","Yes","No")</f>
        <v>No</v>
      </c>
      <c r="Q396" s="1" t="str">
        <f>IF(Back_End_Data!P396="Completed","Yes","No")</f>
        <v>No</v>
      </c>
      <c r="R396" s="1" t="s">
        <v>2369</v>
      </c>
      <c r="S396" s="1" t="str">
        <f>IF(Back_End_Data!R396="Completed","Yes","No")</f>
        <v>No</v>
      </c>
      <c r="T396" s="1" t="str">
        <f>IF(Back_End_Data!S396="Yes","Yes","No")</f>
        <v>No</v>
      </c>
      <c r="U396" s="1" t="str">
        <f>IF(Back_End_Data!Q395="Completed","Yes","No")</f>
        <v>No</v>
      </c>
      <c r="V396" s="1" t="e">
        <f ca="1">IF(INDEX(MIS_Backend_Data!L:L, MATCH(D396, MIS_Backend_Data!B:B, 1)) = "WT", "Yes", "No")</f>
        <v>#N/A</v>
      </c>
      <c r="W396" s="2" t="str">
        <f t="shared" ca="1" si="18"/>
        <v/>
      </c>
      <c r="AA396" s="1">
        <f t="shared" ca="1" si="19"/>
        <v>0</v>
      </c>
      <c r="AG396" s="1" t="str">
        <f t="shared" si="20"/>
        <v/>
      </c>
    </row>
    <row r="397" spans="1:33" ht="20.25" customHeight="1">
      <c r="A397" s="13">
        <v>396</v>
      </c>
      <c r="H397" s="1" t="str">
        <f>IF(Back_End_Data!G397="Completed","Yes","No")</f>
        <v>No</v>
      </c>
      <c r="I397" s="1" t="str">
        <f>IF(Back_End_Data!I397="Completed","Yes","No")</f>
        <v>No</v>
      </c>
      <c r="J397" s="1" t="str">
        <f>IF(Back_End_Data!J397="Completed","Yes","No")</f>
        <v>No</v>
      </c>
      <c r="K397" s="1" t="str">
        <f>IF(Back_End_Data!K397="Completed","Yes","No")</f>
        <v>No</v>
      </c>
      <c r="L397" s="1" t="str">
        <f>IF(Back_End_Data!L397="", "No", Back_End_Data!L397)</f>
        <v>No</v>
      </c>
      <c r="M397" s="1" t="str">
        <f>IF(Back_End_Data!N397="", "No", Back_End_Data!N397)</f>
        <v>No</v>
      </c>
      <c r="N397" s="1" t="str">
        <f>IF(Back_End_Data!M397="", "No", Back_End_Data!M397)</f>
        <v>No</v>
      </c>
      <c r="O397" s="1" t="str">
        <f>IF(Back_End_Data!O397="Completed","Yes","No")</f>
        <v>No</v>
      </c>
      <c r="P397" s="1" t="str">
        <f>IF(Back_End_Data!H397="Completed","Yes","No")</f>
        <v>No</v>
      </c>
      <c r="Q397" s="1" t="str">
        <f>IF(Back_End_Data!P397="Completed","Yes","No")</f>
        <v>No</v>
      </c>
      <c r="R397" s="1" t="s">
        <v>2369</v>
      </c>
      <c r="S397" s="1" t="str">
        <f>IF(Back_End_Data!R397="Completed","Yes","No")</f>
        <v>No</v>
      </c>
      <c r="T397" s="1" t="str">
        <f>IF(Back_End_Data!S397="Yes","Yes","No")</f>
        <v>No</v>
      </c>
      <c r="U397" s="1" t="str">
        <f>IF(Back_End_Data!Q396="Completed","Yes","No")</f>
        <v>No</v>
      </c>
      <c r="V397" s="1" t="e">
        <f ca="1">IF(INDEX(MIS_Backend_Data!L:L, MATCH(D397, MIS_Backend_Data!B:B, 1)) = "WT", "Yes", "No")</f>
        <v>#N/A</v>
      </c>
      <c r="W397" s="2" t="str">
        <f t="shared" ca="1" si="18"/>
        <v/>
      </c>
      <c r="AA397" s="1">
        <f t="shared" ca="1" si="19"/>
        <v>0</v>
      </c>
      <c r="AG397" s="1" t="str">
        <f t="shared" si="20"/>
        <v/>
      </c>
    </row>
    <row r="398" spans="1:33" ht="20.25" customHeight="1">
      <c r="A398" s="13">
        <v>397</v>
      </c>
      <c r="H398" s="1" t="str">
        <f>IF(Back_End_Data!G398="Completed","Yes","No")</f>
        <v>No</v>
      </c>
      <c r="I398" s="1" t="str">
        <f>IF(Back_End_Data!I398="Completed","Yes","No")</f>
        <v>No</v>
      </c>
      <c r="J398" s="1" t="str">
        <f>IF(Back_End_Data!J398="Completed","Yes","No")</f>
        <v>No</v>
      </c>
      <c r="K398" s="1" t="str">
        <f>IF(Back_End_Data!K398="Completed","Yes","No")</f>
        <v>No</v>
      </c>
      <c r="L398" s="1" t="str">
        <f>IF(Back_End_Data!L398="", "No", Back_End_Data!L398)</f>
        <v>No</v>
      </c>
      <c r="M398" s="1" t="str">
        <f>IF(Back_End_Data!N398="", "No", Back_End_Data!N398)</f>
        <v>No</v>
      </c>
      <c r="N398" s="1" t="str">
        <f>IF(Back_End_Data!M398="", "No", Back_End_Data!M398)</f>
        <v>No</v>
      </c>
      <c r="O398" s="1" t="str">
        <f>IF(Back_End_Data!O398="Completed","Yes","No")</f>
        <v>No</v>
      </c>
      <c r="P398" s="1" t="str">
        <f>IF(Back_End_Data!H398="Completed","Yes","No")</f>
        <v>No</v>
      </c>
      <c r="Q398" s="1" t="str">
        <f>IF(Back_End_Data!P398="Completed","Yes","No")</f>
        <v>No</v>
      </c>
      <c r="R398" s="1" t="s">
        <v>2369</v>
      </c>
      <c r="S398" s="1" t="str">
        <f>IF(Back_End_Data!R398="Completed","Yes","No")</f>
        <v>No</v>
      </c>
      <c r="T398" s="1" t="str">
        <f>IF(Back_End_Data!S398="Yes","Yes","No")</f>
        <v>No</v>
      </c>
      <c r="U398" s="1" t="str">
        <f>IF(Back_End_Data!Q397="Completed","Yes","No")</f>
        <v>No</v>
      </c>
      <c r="V398" s="1" t="e">
        <f ca="1">IF(INDEX(MIS_Backend_Data!L:L, MATCH(D398, MIS_Backend_Data!B:B, 1)) = "WT", "Yes", "No")</f>
        <v>#N/A</v>
      </c>
      <c r="W398" s="2" t="str">
        <f t="shared" ca="1" si="18"/>
        <v/>
      </c>
      <c r="AA398" s="1">
        <f t="shared" ca="1" si="19"/>
        <v>0</v>
      </c>
      <c r="AG398" s="1" t="str">
        <f t="shared" si="20"/>
        <v/>
      </c>
    </row>
    <row r="399" spans="1:33" ht="20.25" customHeight="1">
      <c r="A399" s="13">
        <v>398</v>
      </c>
      <c r="H399" s="1" t="str">
        <f>IF(Back_End_Data!G399="Completed","Yes","No")</f>
        <v>No</v>
      </c>
      <c r="I399" s="1" t="str">
        <f>IF(Back_End_Data!I399="Completed","Yes","No")</f>
        <v>No</v>
      </c>
      <c r="J399" s="1" t="str">
        <f>IF(Back_End_Data!J399="Completed","Yes","No")</f>
        <v>No</v>
      </c>
      <c r="K399" s="1" t="str">
        <f>IF(Back_End_Data!K399="Completed","Yes","No")</f>
        <v>No</v>
      </c>
      <c r="L399" s="1" t="str">
        <f>IF(Back_End_Data!L399="", "No", Back_End_Data!L399)</f>
        <v>No</v>
      </c>
      <c r="M399" s="1" t="str">
        <f>IF(Back_End_Data!N399="", "No", Back_End_Data!N399)</f>
        <v>No</v>
      </c>
      <c r="N399" s="1" t="str">
        <f>IF(Back_End_Data!M399="", "No", Back_End_Data!M399)</f>
        <v>No</v>
      </c>
      <c r="O399" s="1" t="str">
        <f>IF(Back_End_Data!O399="Completed","Yes","No")</f>
        <v>No</v>
      </c>
      <c r="P399" s="1" t="str">
        <f>IF(Back_End_Data!H399="Completed","Yes","No")</f>
        <v>No</v>
      </c>
      <c r="Q399" s="1" t="str">
        <f>IF(Back_End_Data!P399="Completed","Yes","No")</f>
        <v>No</v>
      </c>
      <c r="R399" s="1" t="s">
        <v>2369</v>
      </c>
      <c r="S399" s="1" t="str">
        <f>IF(Back_End_Data!R399="Completed","Yes","No")</f>
        <v>No</v>
      </c>
      <c r="T399" s="1" t="str">
        <f>IF(Back_End_Data!S399="Yes","Yes","No")</f>
        <v>No</v>
      </c>
      <c r="U399" s="1" t="str">
        <f>IF(Back_End_Data!Q398="Completed","Yes","No")</f>
        <v>No</v>
      </c>
      <c r="V399" s="1" t="e">
        <f ca="1">IF(INDEX(MIS_Backend_Data!L:L, MATCH(D399, MIS_Backend_Data!B:B, 1)) = "WT", "Yes", "No")</f>
        <v>#N/A</v>
      </c>
      <c r="W399" s="2" t="str">
        <f t="shared" ca="1" si="18"/>
        <v/>
      </c>
      <c r="AA399" s="1">
        <f t="shared" ca="1" si="19"/>
        <v>0</v>
      </c>
      <c r="AG399" s="1" t="str">
        <f t="shared" si="20"/>
        <v/>
      </c>
    </row>
    <row r="400" spans="1:33" ht="20.25" customHeight="1">
      <c r="A400" s="13">
        <v>399</v>
      </c>
      <c r="H400" s="1" t="str">
        <f>IF(Back_End_Data!G400="Completed","Yes","No")</f>
        <v>No</v>
      </c>
      <c r="I400" s="1" t="str">
        <f>IF(Back_End_Data!I400="Completed","Yes","No")</f>
        <v>No</v>
      </c>
      <c r="J400" s="1" t="str">
        <f>IF(Back_End_Data!J400="Completed","Yes","No")</f>
        <v>No</v>
      </c>
      <c r="K400" s="1" t="str">
        <f>IF(Back_End_Data!K400="Completed","Yes","No")</f>
        <v>No</v>
      </c>
      <c r="L400" s="1" t="str">
        <f>IF(Back_End_Data!L400="", "No", Back_End_Data!L400)</f>
        <v>No</v>
      </c>
      <c r="M400" s="1" t="str">
        <f>IF(Back_End_Data!N400="", "No", Back_End_Data!N400)</f>
        <v>No</v>
      </c>
      <c r="N400" s="1" t="str">
        <f>IF(Back_End_Data!M400="", "No", Back_End_Data!M400)</f>
        <v>No</v>
      </c>
      <c r="O400" s="1" t="str">
        <f>IF(Back_End_Data!O400="Completed","Yes","No")</f>
        <v>No</v>
      </c>
      <c r="P400" s="1" t="str">
        <f>IF(Back_End_Data!H400="Completed","Yes","No")</f>
        <v>No</v>
      </c>
      <c r="Q400" s="1" t="str">
        <f>IF(Back_End_Data!P400="Completed","Yes","No")</f>
        <v>No</v>
      </c>
      <c r="R400" s="1" t="s">
        <v>2369</v>
      </c>
      <c r="S400" s="1" t="str">
        <f>IF(Back_End_Data!R400="Completed","Yes","No")</f>
        <v>No</v>
      </c>
      <c r="T400" s="1" t="str">
        <f>IF(Back_End_Data!S400="Yes","Yes","No")</f>
        <v>No</v>
      </c>
      <c r="U400" s="1" t="str">
        <f>IF(Back_End_Data!Q399="Completed","Yes","No")</f>
        <v>No</v>
      </c>
      <c r="V400" s="1" t="e">
        <f ca="1">IF(INDEX(MIS_Backend_Data!L:L, MATCH(D400, MIS_Backend_Data!B:B, 1)) = "WT", "Yes", "No")</f>
        <v>#N/A</v>
      </c>
      <c r="W400" s="2" t="str">
        <f t="shared" ca="1" si="18"/>
        <v/>
      </c>
      <c r="AA400" s="1">
        <f t="shared" ca="1" si="19"/>
        <v>0</v>
      </c>
      <c r="AG400" s="1" t="str">
        <f t="shared" si="20"/>
        <v/>
      </c>
    </row>
    <row r="401" spans="1:33" ht="20.25" customHeight="1">
      <c r="A401" s="13">
        <v>400</v>
      </c>
      <c r="H401" s="1" t="str">
        <f>IF(Back_End_Data!G401="Completed","Yes","No")</f>
        <v>No</v>
      </c>
      <c r="I401" s="1" t="str">
        <f>IF(Back_End_Data!I401="Completed","Yes","No")</f>
        <v>No</v>
      </c>
      <c r="J401" s="1" t="str">
        <f>IF(Back_End_Data!J401="Completed","Yes","No")</f>
        <v>No</v>
      </c>
      <c r="K401" s="1" t="str">
        <f>IF(Back_End_Data!K401="Completed","Yes","No")</f>
        <v>No</v>
      </c>
      <c r="L401" s="1" t="str">
        <f>IF(Back_End_Data!L401="", "No", Back_End_Data!L401)</f>
        <v>No</v>
      </c>
      <c r="M401" s="1" t="str">
        <f>IF(Back_End_Data!N401="", "No", Back_End_Data!N401)</f>
        <v>No</v>
      </c>
      <c r="N401" s="1" t="str">
        <f>IF(Back_End_Data!M401="", "No", Back_End_Data!M401)</f>
        <v>No</v>
      </c>
      <c r="O401" s="1" t="str">
        <f>IF(Back_End_Data!O401="Completed","Yes","No")</f>
        <v>No</v>
      </c>
      <c r="P401" s="1" t="str">
        <f>IF(Back_End_Data!H401="Completed","Yes","No")</f>
        <v>No</v>
      </c>
      <c r="Q401" s="1" t="str">
        <f>IF(Back_End_Data!P401="Completed","Yes","No")</f>
        <v>No</v>
      </c>
      <c r="R401" s="1" t="s">
        <v>2369</v>
      </c>
      <c r="S401" s="1" t="str">
        <f>IF(Back_End_Data!R401="Completed","Yes","No")</f>
        <v>No</v>
      </c>
      <c r="T401" s="1" t="str">
        <f>IF(Back_End_Data!S401="Yes","Yes","No")</f>
        <v>No</v>
      </c>
      <c r="U401" s="1" t="str">
        <f>IF(Back_End_Data!Q400="Completed","Yes","No")</f>
        <v>No</v>
      </c>
      <c r="V401" s="1" t="e">
        <f ca="1">IF(INDEX(MIS_Backend_Data!L:L, MATCH(D401, MIS_Backend_Data!B:B, 1)) = "WT", "Yes", "No")</f>
        <v>#N/A</v>
      </c>
      <c r="W401" s="2" t="str">
        <f t="shared" ca="1" si="18"/>
        <v/>
      </c>
      <c r="AA401" s="1">
        <f t="shared" ca="1" si="19"/>
        <v>0</v>
      </c>
      <c r="AG401" s="1" t="str">
        <f t="shared" si="20"/>
        <v/>
      </c>
    </row>
    <row r="402" spans="1:33" ht="20.25" customHeight="1">
      <c r="A402" s="13">
        <v>401</v>
      </c>
      <c r="H402" s="1" t="str">
        <f>IF(Back_End_Data!G402="Completed","Yes","No")</f>
        <v>No</v>
      </c>
      <c r="I402" s="1" t="str">
        <f>IF(Back_End_Data!I402="Completed","Yes","No")</f>
        <v>No</v>
      </c>
      <c r="J402" s="1" t="str">
        <f>IF(Back_End_Data!J402="Completed","Yes","No")</f>
        <v>No</v>
      </c>
      <c r="K402" s="1" t="str">
        <f>IF(Back_End_Data!K402="Completed","Yes","No")</f>
        <v>No</v>
      </c>
      <c r="L402" s="1" t="str">
        <f>IF(Back_End_Data!L402="", "No", Back_End_Data!L402)</f>
        <v>No</v>
      </c>
      <c r="M402" s="1" t="str">
        <f>IF(Back_End_Data!N402="", "No", Back_End_Data!N402)</f>
        <v>No</v>
      </c>
      <c r="N402" s="1" t="str">
        <f>IF(Back_End_Data!M402="", "No", Back_End_Data!M402)</f>
        <v>No</v>
      </c>
      <c r="O402" s="1" t="str">
        <f>IF(Back_End_Data!O402="Completed","Yes","No")</f>
        <v>No</v>
      </c>
      <c r="P402" s="1" t="str">
        <f>IF(Back_End_Data!H402="Completed","Yes","No")</f>
        <v>No</v>
      </c>
      <c r="Q402" s="1" t="str">
        <f>IF(Back_End_Data!P402="Completed","Yes","No")</f>
        <v>No</v>
      </c>
      <c r="R402" s="1" t="s">
        <v>2369</v>
      </c>
      <c r="S402" s="1" t="str">
        <f>IF(Back_End_Data!R402="Completed","Yes","No")</f>
        <v>No</v>
      </c>
      <c r="T402" s="1" t="str">
        <f>IF(Back_End_Data!S402="Yes","Yes","No")</f>
        <v>No</v>
      </c>
      <c r="U402" s="1" t="str">
        <f>IF(Back_End_Data!Q401="Completed","Yes","No")</f>
        <v>No</v>
      </c>
      <c r="V402" s="1" t="e">
        <f ca="1">IF(INDEX(MIS_Backend_Data!L:L, MATCH(D402, MIS_Backend_Data!B:B, 1)) = "WT", "Yes", "No")</f>
        <v>#N/A</v>
      </c>
      <c r="W402" s="2" t="str">
        <f t="shared" ca="1" si="18"/>
        <v/>
      </c>
      <c r="AA402" s="1">
        <f t="shared" ca="1" si="19"/>
        <v>0</v>
      </c>
      <c r="AG402" s="1" t="str">
        <f t="shared" si="20"/>
        <v/>
      </c>
    </row>
    <row r="403" spans="1:33" ht="20.25" customHeight="1">
      <c r="A403" s="13">
        <v>402</v>
      </c>
      <c r="H403" s="1" t="str">
        <f>IF(Back_End_Data!G403="Completed","Yes","No")</f>
        <v>No</v>
      </c>
      <c r="I403" s="1" t="str">
        <f>IF(Back_End_Data!I403="Completed","Yes","No")</f>
        <v>No</v>
      </c>
      <c r="J403" s="1" t="str">
        <f>IF(Back_End_Data!J403="Completed","Yes","No")</f>
        <v>No</v>
      </c>
      <c r="K403" s="1" t="str">
        <f>IF(Back_End_Data!K403="Completed","Yes","No")</f>
        <v>No</v>
      </c>
      <c r="L403" s="1" t="str">
        <f>IF(Back_End_Data!L403="", "No", Back_End_Data!L403)</f>
        <v>No</v>
      </c>
      <c r="M403" s="1" t="str">
        <f>IF(Back_End_Data!N403="", "No", Back_End_Data!N403)</f>
        <v>No</v>
      </c>
      <c r="N403" s="1" t="str">
        <f>IF(Back_End_Data!M403="", "No", Back_End_Data!M403)</f>
        <v>No</v>
      </c>
      <c r="O403" s="1" t="str">
        <f>IF(Back_End_Data!O403="Completed","Yes","No")</f>
        <v>No</v>
      </c>
      <c r="P403" s="1" t="str">
        <f>IF(Back_End_Data!H403="Completed","Yes","No")</f>
        <v>No</v>
      </c>
      <c r="Q403" s="1" t="str">
        <f>IF(Back_End_Data!P403="Completed","Yes","No")</f>
        <v>No</v>
      </c>
      <c r="R403" s="1" t="s">
        <v>2369</v>
      </c>
      <c r="S403" s="1" t="str">
        <f>IF(Back_End_Data!R403="Completed","Yes","No")</f>
        <v>No</v>
      </c>
      <c r="T403" s="1" t="str">
        <f>IF(Back_End_Data!S403="Yes","Yes","No")</f>
        <v>No</v>
      </c>
      <c r="U403" s="1" t="str">
        <f>IF(Back_End_Data!Q402="Completed","Yes","No")</f>
        <v>No</v>
      </c>
      <c r="V403" s="1" t="e">
        <f ca="1">IF(INDEX(MIS_Backend_Data!L:L, MATCH(D403, MIS_Backend_Data!B:B, 1)) = "WT", "Yes", "No")</f>
        <v>#N/A</v>
      </c>
      <c r="W403" s="2" t="str">
        <f t="shared" ca="1" si="18"/>
        <v/>
      </c>
      <c r="AA403" s="1">
        <f t="shared" ca="1" si="19"/>
        <v>0</v>
      </c>
      <c r="AG403" s="1" t="str">
        <f t="shared" si="20"/>
        <v/>
      </c>
    </row>
    <row r="404" spans="1:33" ht="20.25" customHeight="1">
      <c r="A404" s="13">
        <v>403</v>
      </c>
      <c r="H404" s="1" t="str">
        <f>IF(Back_End_Data!G404="Completed","Yes","No")</f>
        <v>No</v>
      </c>
      <c r="I404" s="1" t="str">
        <f>IF(Back_End_Data!I404="Completed","Yes","No")</f>
        <v>No</v>
      </c>
      <c r="J404" s="1" t="str">
        <f>IF(Back_End_Data!J404="Completed","Yes","No")</f>
        <v>No</v>
      </c>
      <c r="K404" s="1" t="str">
        <f>IF(Back_End_Data!K404="Completed","Yes","No")</f>
        <v>No</v>
      </c>
      <c r="L404" s="1" t="str">
        <f>IF(Back_End_Data!L404="", "No", Back_End_Data!L404)</f>
        <v>No</v>
      </c>
      <c r="M404" s="1" t="str">
        <f>IF(Back_End_Data!N404="", "No", Back_End_Data!N404)</f>
        <v>No</v>
      </c>
      <c r="N404" s="1" t="str">
        <f>IF(Back_End_Data!M404="", "No", Back_End_Data!M404)</f>
        <v>No</v>
      </c>
      <c r="O404" s="1" t="str">
        <f>IF(Back_End_Data!O404="Completed","Yes","No")</f>
        <v>No</v>
      </c>
      <c r="P404" s="1" t="str">
        <f>IF(Back_End_Data!H404="Completed","Yes","No")</f>
        <v>No</v>
      </c>
      <c r="Q404" s="1" t="str">
        <f>IF(Back_End_Data!P404="Completed","Yes","No")</f>
        <v>No</v>
      </c>
      <c r="R404" s="1" t="s">
        <v>2369</v>
      </c>
      <c r="S404" s="1" t="str">
        <f>IF(Back_End_Data!R404="Completed","Yes","No")</f>
        <v>No</v>
      </c>
      <c r="T404" s="1" t="str">
        <f>IF(Back_End_Data!S404="Yes","Yes","No")</f>
        <v>No</v>
      </c>
      <c r="U404" s="1" t="str">
        <f>IF(Back_End_Data!Q403="Completed","Yes","No")</f>
        <v>No</v>
      </c>
      <c r="V404" s="1" t="e">
        <f ca="1">IF(INDEX(MIS_Backend_Data!L:L, MATCH(D404, MIS_Backend_Data!B:B, 1)) = "WT", "Yes", "No")</f>
        <v>#N/A</v>
      </c>
      <c r="W404" s="2" t="str">
        <f t="shared" ca="1" si="18"/>
        <v/>
      </c>
      <c r="AA404" s="1">
        <f t="shared" ca="1" si="19"/>
        <v>0</v>
      </c>
      <c r="AG404" s="1" t="str">
        <f t="shared" si="20"/>
        <v/>
      </c>
    </row>
    <row r="405" spans="1:33" ht="20.25" customHeight="1">
      <c r="A405" s="13">
        <v>404</v>
      </c>
      <c r="H405" s="1" t="str">
        <f>IF(Back_End_Data!G405="Completed","Yes","No")</f>
        <v>No</v>
      </c>
      <c r="I405" s="1" t="str">
        <f>IF(Back_End_Data!I405="Completed","Yes","No")</f>
        <v>No</v>
      </c>
      <c r="J405" s="1" t="str">
        <f>IF(Back_End_Data!J405="Completed","Yes","No")</f>
        <v>No</v>
      </c>
      <c r="K405" s="1" t="str">
        <f>IF(Back_End_Data!K405="Completed","Yes","No")</f>
        <v>No</v>
      </c>
      <c r="L405" s="1" t="str">
        <f>IF(Back_End_Data!L405="", "No", Back_End_Data!L405)</f>
        <v>No</v>
      </c>
      <c r="M405" s="1" t="str">
        <f>IF(Back_End_Data!N405="", "No", Back_End_Data!N405)</f>
        <v>No</v>
      </c>
      <c r="N405" s="1" t="str">
        <f>IF(Back_End_Data!M405="", "No", Back_End_Data!M405)</f>
        <v>No</v>
      </c>
      <c r="O405" s="1" t="str">
        <f>IF(Back_End_Data!O405="Completed","Yes","No")</f>
        <v>No</v>
      </c>
      <c r="P405" s="1" t="str">
        <f>IF(Back_End_Data!H405="Completed","Yes","No")</f>
        <v>No</v>
      </c>
      <c r="Q405" s="1" t="str">
        <f>IF(Back_End_Data!P405="Completed","Yes","No")</f>
        <v>No</v>
      </c>
      <c r="R405" s="1" t="s">
        <v>2369</v>
      </c>
      <c r="S405" s="1" t="str">
        <f>IF(Back_End_Data!R405="Completed","Yes","No")</f>
        <v>No</v>
      </c>
      <c r="T405" s="1" t="str">
        <f>IF(Back_End_Data!S405="Yes","Yes","No")</f>
        <v>No</v>
      </c>
      <c r="U405" s="1" t="str">
        <f>IF(Back_End_Data!Q404="Completed","Yes","No")</f>
        <v>No</v>
      </c>
      <c r="V405" s="1" t="e">
        <f ca="1">IF(INDEX(MIS_Backend_Data!L:L, MATCH(D405, MIS_Backend_Data!B:B, 1)) = "WT", "Yes", "No")</f>
        <v>#N/A</v>
      </c>
      <c r="W405" s="2" t="str">
        <f t="shared" ca="1" si="18"/>
        <v/>
      </c>
      <c r="AA405" s="1">
        <f t="shared" ca="1" si="19"/>
        <v>0</v>
      </c>
      <c r="AG405" s="1" t="str">
        <f t="shared" si="20"/>
        <v/>
      </c>
    </row>
    <row r="406" spans="1:33" ht="20.25" customHeight="1">
      <c r="A406" s="13">
        <v>405</v>
      </c>
      <c r="H406" s="1" t="str">
        <f>IF(Back_End_Data!G406="Completed","Yes","No")</f>
        <v>No</v>
      </c>
      <c r="I406" s="1" t="str">
        <f>IF(Back_End_Data!I406="Completed","Yes","No")</f>
        <v>No</v>
      </c>
      <c r="J406" s="1" t="str">
        <f>IF(Back_End_Data!J406="Completed","Yes","No")</f>
        <v>No</v>
      </c>
      <c r="K406" s="1" t="str">
        <f>IF(Back_End_Data!K406="Completed","Yes","No")</f>
        <v>No</v>
      </c>
      <c r="L406" s="1" t="str">
        <f>IF(Back_End_Data!L406="", "No", Back_End_Data!L406)</f>
        <v>No</v>
      </c>
      <c r="M406" s="1" t="str">
        <f>IF(Back_End_Data!N406="", "No", Back_End_Data!N406)</f>
        <v>No</v>
      </c>
      <c r="N406" s="1" t="str">
        <f>IF(Back_End_Data!M406="", "No", Back_End_Data!M406)</f>
        <v>No</v>
      </c>
      <c r="O406" s="1" t="str">
        <f>IF(Back_End_Data!O406="Completed","Yes","No")</f>
        <v>No</v>
      </c>
      <c r="P406" s="1" t="str">
        <f>IF(Back_End_Data!H406="Completed","Yes","No")</f>
        <v>No</v>
      </c>
      <c r="Q406" s="1" t="str">
        <f>IF(Back_End_Data!P406="Completed","Yes","No")</f>
        <v>No</v>
      </c>
      <c r="R406" s="1" t="s">
        <v>2369</v>
      </c>
      <c r="S406" s="1" t="str">
        <f>IF(Back_End_Data!R406="Completed","Yes","No")</f>
        <v>No</v>
      </c>
      <c r="T406" s="1" t="str">
        <f>IF(Back_End_Data!S406="Yes","Yes","No")</f>
        <v>No</v>
      </c>
      <c r="U406" s="1" t="str">
        <f>IF(Back_End_Data!Q405="Completed","Yes","No")</f>
        <v>No</v>
      </c>
      <c r="V406" s="1" t="e">
        <f ca="1">IF(INDEX(MIS_Backend_Data!L:L, MATCH(D406, MIS_Backend_Data!B:B, 1)) = "WT", "Yes", "No")</f>
        <v>#N/A</v>
      </c>
      <c r="W406" s="2" t="str">
        <f t="shared" ca="1" si="18"/>
        <v/>
      </c>
      <c r="AA406" s="1">
        <f t="shared" ca="1" si="19"/>
        <v>0</v>
      </c>
      <c r="AG406" s="1" t="str">
        <f t="shared" si="20"/>
        <v/>
      </c>
    </row>
    <row r="407" spans="1:33" ht="20.25" customHeight="1">
      <c r="A407" s="13">
        <v>406</v>
      </c>
      <c r="H407" s="1" t="str">
        <f>IF(Back_End_Data!G407="Completed","Yes","No")</f>
        <v>No</v>
      </c>
      <c r="I407" s="1" t="str">
        <f>IF(Back_End_Data!I407="Completed","Yes","No")</f>
        <v>No</v>
      </c>
      <c r="J407" s="1" t="str">
        <f>IF(Back_End_Data!J407="Completed","Yes","No")</f>
        <v>No</v>
      </c>
      <c r="K407" s="1" t="str">
        <f>IF(Back_End_Data!K407="Completed","Yes","No")</f>
        <v>No</v>
      </c>
      <c r="L407" s="1" t="str">
        <f>IF(Back_End_Data!L407="", "No", Back_End_Data!L407)</f>
        <v>No</v>
      </c>
      <c r="M407" s="1" t="str">
        <f>IF(Back_End_Data!N407="", "No", Back_End_Data!N407)</f>
        <v>No</v>
      </c>
      <c r="N407" s="1" t="str">
        <f>IF(Back_End_Data!M407="", "No", Back_End_Data!M407)</f>
        <v>No</v>
      </c>
      <c r="O407" s="1" t="str">
        <f>IF(Back_End_Data!O407="Completed","Yes","No")</f>
        <v>No</v>
      </c>
      <c r="P407" s="1" t="str">
        <f>IF(Back_End_Data!H407="Completed","Yes","No")</f>
        <v>No</v>
      </c>
      <c r="Q407" s="1" t="str">
        <f>IF(Back_End_Data!P407="Completed","Yes","No")</f>
        <v>No</v>
      </c>
      <c r="R407" s="1" t="s">
        <v>2369</v>
      </c>
      <c r="S407" s="1" t="str">
        <f>IF(Back_End_Data!R407="Completed","Yes","No")</f>
        <v>No</v>
      </c>
      <c r="T407" s="1" t="str">
        <f>IF(Back_End_Data!S407="Yes","Yes","No")</f>
        <v>No</v>
      </c>
      <c r="U407" s="1" t="str">
        <f>IF(Back_End_Data!Q406="Completed","Yes","No")</f>
        <v>No</v>
      </c>
      <c r="V407" s="1" t="e">
        <f ca="1">IF(INDEX(MIS_Backend_Data!L:L, MATCH(D407, MIS_Backend_Data!B:B, 1)) = "WT", "Yes", "No")</f>
        <v>#N/A</v>
      </c>
      <c r="W407" s="2" t="str">
        <f t="shared" ca="1" si="18"/>
        <v/>
      </c>
      <c r="AA407" s="1">
        <f t="shared" ca="1" si="19"/>
        <v>0</v>
      </c>
      <c r="AG407" s="1" t="str">
        <f t="shared" si="20"/>
        <v/>
      </c>
    </row>
    <row r="408" spans="1:33" ht="20.25" customHeight="1">
      <c r="A408" s="13">
        <v>407</v>
      </c>
      <c r="H408" s="1" t="str">
        <f>IF(Back_End_Data!G408="Completed","Yes","No")</f>
        <v>No</v>
      </c>
      <c r="I408" s="1" t="str">
        <f>IF(Back_End_Data!I408="Completed","Yes","No")</f>
        <v>No</v>
      </c>
      <c r="J408" s="1" t="str">
        <f>IF(Back_End_Data!J408="Completed","Yes","No")</f>
        <v>No</v>
      </c>
      <c r="K408" s="1" t="str">
        <f>IF(Back_End_Data!K408="Completed","Yes","No")</f>
        <v>No</v>
      </c>
      <c r="L408" s="1" t="str">
        <f>IF(Back_End_Data!L408="", "No", Back_End_Data!L408)</f>
        <v>No</v>
      </c>
      <c r="M408" s="1" t="str">
        <f>IF(Back_End_Data!N408="", "No", Back_End_Data!N408)</f>
        <v>No</v>
      </c>
      <c r="N408" s="1" t="str">
        <f>IF(Back_End_Data!M408="", "No", Back_End_Data!M408)</f>
        <v>No</v>
      </c>
      <c r="O408" s="1" t="str">
        <f>IF(Back_End_Data!O408="Completed","Yes","No")</f>
        <v>No</v>
      </c>
      <c r="P408" s="1" t="str">
        <f>IF(Back_End_Data!H408="Completed","Yes","No")</f>
        <v>No</v>
      </c>
      <c r="Q408" s="1" t="str">
        <f>IF(Back_End_Data!P408="Completed","Yes","No")</f>
        <v>No</v>
      </c>
      <c r="R408" s="1" t="s">
        <v>2369</v>
      </c>
      <c r="S408" s="1" t="str">
        <f>IF(Back_End_Data!R408="Completed","Yes","No")</f>
        <v>No</v>
      </c>
      <c r="T408" s="1" t="str">
        <f>IF(Back_End_Data!S408="Yes","Yes","No")</f>
        <v>No</v>
      </c>
      <c r="U408" s="1" t="str">
        <f>IF(Back_End_Data!Q407="Completed","Yes","No")</f>
        <v>No</v>
      </c>
      <c r="V408" s="1" t="e">
        <f ca="1">IF(INDEX(MIS_Backend_Data!L:L, MATCH(D408, MIS_Backend_Data!B:B, 1)) = "WT", "Yes", "No")</f>
        <v>#N/A</v>
      </c>
      <c r="W408" s="2" t="str">
        <f t="shared" ca="1" si="18"/>
        <v/>
      </c>
      <c r="AA408" s="1">
        <f t="shared" ca="1" si="19"/>
        <v>0</v>
      </c>
      <c r="AG408" s="1" t="str">
        <f t="shared" si="20"/>
        <v/>
      </c>
    </row>
    <row r="409" spans="1:33" ht="20.25" customHeight="1">
      <c r="A409" s="13">
        <v>408</v>
      </c>
      <c r="H409" s="1" t="str">
        <f>IF(Back_End_Data!G409="Completed","Yes","No")</f>
        <v>No</v>
      </c>
      <c r="I409" s="1" t="str">
        <f>IF(Back_End_Data!I409="Completed","Yes","No")</f>
        <v>No</v>
      </c>
      <c r="J409" s="1" t="str">
        <f>IF(Back_End_Data!J409="Completed","Yes","No")</f>
        <v>No</v>
      </c>
      <c r="K409" s="1" t="str">
        <f>IF(Back_End_Data!K409="Completed","Yes","No")</f>
        <v>No</v>
      </c>
      <c r="L409" s="1" t="str">
        <f>IF(Back_End_Data!L409="", "No", Back_End_Data!L409)</f>
        <v>No</v>
      </c>
      <c r="M409" s="1" t="str">
        <f>IF(Back_End_Data!N409="", "No", Back_End_Data!N409)</f>
        <v>No</v>
      </c>
      <c r="N409" s="1" t="str">
        <f>IF(Back_End_Data!M409="", "No", Back_End_Data!M409)</f>
        <v>No</v>
      </c>
      <c r="O409" s="1" t="str">
        <f>IF(Back_End_Data!O409="Completed","Yes","No")</f>
        <v>No</v>
      </c>
      <c r="P409" s="1" t="str">
        <f>IF(Back_End_Data!H409="Completed","Yes","No")</f>
        <v>No</v>
      </c>
      <c r="Q409" s="1" t="str">
        <f>IF(Back_End_Data!P409="Completed","Yes","No")</f>
        <v>No</v>
      </c>
      <c r="R409" s="1" t="s">
        <v>2369</v>
      </c>
      <c r="S409" s="1" t="str">
        <f>IF(Back_End_Data!R409="Completed","Yes","No")</f>
        <v>No</v>
      </c>
      <c r="T409" s="1" t="str">
        <f>IF(Back_End_Data!S409="Yes","Yes","No")</f>
        <v>No</v>
      </c>
      <c r="U409" s="1" t="str">
        <f>IF(Back_End_Data!Q408="Completed","Yes","No")</f>
        <v>No</v>
      </c>
      <c r="V409" s="1" t="e">
        <f ca="1">IF(INDEX(MIS_Backend_Data!L:L, MATCH(D409, MIS_Backend_Data!B:B, 1)) = "WT", "Yes", "No")</f>
        <v>#N/A</v>
      </c>
      <c r="W409" s="2" t="str">
        <f t="shared" ca="1" si="18"/>
        <v/>
      </c>
      <c r="AA409" s="1">
        <f t="shared" ca="1" si="19"/>
        <v>0</v>
      </c>
      <c r="AG409" s="1" t="str">
        <f t="shared" si="20"/>
        <v/>
      </c>
    </row>
    <row r="410" spans="1:33" ht="20.25" customHeight="1">
      <c r="A410" s="13">
        <v>409</v>
      </c>
      <c r="H410" s="1" t="str">
        <f>IF(Back_End_Data!G410="Completed","Yes","No")</f>
        <v>No</v>
      </c>
      <c r="I410" s="1" t="str">
        <f>IF(Back_End_Data!I410="Completed","Yes","No")</f>
        <v>No</v>
      </c>
      <c r="J410" s="1" t="str">
        <f>IF(Back_End_Data!J410="Completed","Yes","No")</f>
        <v>No</v>
      </c>
      <c r="K410" s="1" t="str">
        <f>IF(Back_End_Data!K410="Completed","Yes","No")</f>
        <v>No</v>
      </c>
      <c r="L410" s="1" t="str">
        <f>IF(Back_End_Data!L410="", "No", Back_End_Data!L410)</f>
        <v>No</v>
      </c>
      <c r="M410" s="1" t="str">
        <f>IF(Back_End_Data!N410="", "No", Back_End_Data!N410)</f>
        <v>No</v>
      </c>
      <c r="N410" s="1" t="str">
        <f>IF(Back_End_Data!M410="", "No", Back_End_Data!M410)</f>
        <v>No</v>
      </c>
      <c r="O410" s="1" t="str">
        <f>IF(Back_End_Data!O410="Completed","Yes","No")</f>
        <v>No</v>
      </c>
      <c r="P410" s="1" t="str">
        <f>IF(Back_End_Data!H410="Completed","Yes","No")</f>
        <v>No</v>
      </c>
      <c r="Q410" s="1" t="str">
        <f>IF(Back_End_Data!P410="Completed","Yes","No")</f>
        <v>No</v>
      </c>
      <c r="R410" s="1" t="s">
        <v>2369</v>
      </c>
      <c r="S410" s="1" t="str">
        <f>IF(Back_End_Data!R410="Completed","Yes","No")</f>
        <v>No</v>
      </c>
      <c r="T410" s="1" t="str">
        <f>IF(Back_End_Data!S410="Yes","Yes","No")</f>
        <v>No</v>
      </c>
      <c r="U410" s="1" t="str">
        <f>IF(Back_End_Data!Q409="Completed","Yes","No")</f>
        <v>No</v>
      </c>
      <c r="V410" s="1" t="e">
        <f ca="1">IF(INDEX(MIS_Backend_Data!L:L, MATCH(D410, MIS_Backend_Data!B:B, 1)) = "WT", "Yes", "No")</f>
        <v>#N/A</v>
      </c>
      <c r="W410" s="2" t="str">
        <f t="shared" ca="1" si="18"/>
        <v/>
      </c>
      <c r="AA410" s="1">
        <f t="shared" ca="1" si="19"/>
        <v>0</v>
      </c>
      <c r="AG410" s="1" t="str">
        <f t="shared" si="20"/>
        <v/>
      </c>
    </row>
    <row r="411" spans="1:33" ht="20.25" customHeight="1">
      <c r="A411" s="13">
        <v>410</v>
      </c>
      <c r="H411" s="1" t="str">
        <f>IF(Back_End_Data!G411="Completed","Yes","No")</f>
        <v>No</v>
      </c>
      <c r="I411" s="1" t="str">
        <f>IF(Back_End_Data!I411="Completed","Yes","No")</f>
        <v>No</v>
      </c>
      <c r="J411" s="1" t="str">
        <f>IF(Back_End_Data!J411="Completed","Yes","No")</f>
        <v>No</v>
      </c>
      <c r="K411" s="1" t="str">
        <f>IF(Back_End_Data!K411="Completed","Yes","No")</f>
        <v>No</v>
      </c>
      <c r="L411" s="1" t="str">
        <f>IF(Back_End_Data!L411="", "No", Back_End_Data!L411)</f>
        <v>No</v>
      </c>
      <c r="M411" s="1" t="str">
        <f>IF(Back_End_Data!N411="", "No", Back_End_Data!N411)</f>
        <v>No</v>
      </c>
      <c r="N411" s="1" t="str">
        <f>IF(Back_End_Data!M411="", "No", Back_End_Data!M411)</f>
        <v>No</v>
      </c>
      <c r="O411" s="1" t="str">
        <f>IF(Back_End_Data!O411="Completed","Yes","No")</f>
        <v>No</v>
      </c>
      <c r="P411" s="1" t="str">
        <f>IF(Back_End_Data!H411="Completed","Yes","No")</f>
        <v>No</v>
      </c>
      <c r="Q411" s="1" t="str">
        <f>IF(Back_End_Data!P411="Completed","Yes","No")</f>
        <v>No</v>
      </c>
      <c r="R411" s="1" t="s">
        <v>2369</v>
      </c>
      <c r="S411" s="1" t="str">
        <f>IF(Back_End_Data!R411="Completed","Yes","No")</f>
        <v>No</v>
      </c>
      <c r="T411" s="1" t="str">
        <f>IF(Back_End_Data!S411="Yes","Yes","No")</f>
        <v>No</v>
      </c>
      <c r="U411" s="1" t="str">
        <f>IF(Back_End_Data!Q410="Completed","Yes","No")</f>
        <v>No</v>
      </c>
      <c r="V411" s="1" t="e">
        <f ca="1">IF(INDEX(MIS_Backend_Data!L:L, MATCH(D411, MIS_Backend_Data!B:B, 1)) = "WT", "Yes", "No")</f>
        <v>#N/A</v>
      </c>
      <c r="W411" s="2" t="str">
        <f t="shared" ca="1" si="18"/>
        <v/>
      </c>
      <c r="AA411" s="1">
        <f t="shared" ca="1" si="19"/>
        <v>0</v>
      </c>
      <c r="AG411" s="1" t="str">
        <f t="shared" si="20"/>
        <v/>
      </c>
    </row>
    <row r="412" spans="1:33" ht="20.25" customHeight="1">
      <c r="A412" s="13">
        <v>411</v>
      </c>
      <c r="H412" s="1" t="str">
        <f>IF(Back_End_Data!G412="Completed","Yes","No")</f>
        <v>No</v>
      </c>
      <c r="I412" s="1" t="str">
        <f>IF(Back_End_Data!I412="Completed","Yes","No")</f>
        <v>No</v>
      </c>
      <c r="J412" s="1" t="str">
        <f>IF(Back_End_Data!J412="Completed","Yes","No")</f>
        <v>No</v>
      </c>
      <c r="K412" s="1" t="str">
        <f>IF(Back_End_Data!K412="Completed","Yes","No")</f>
        <v>No</v>
      </c>
      <c r="L412" s="1" t="str">
        <f>IF(Back_End_Data!L412="", "No", Back_End_Data!L412)</f>
        <v>No</v>
      </c>
      <c r="M412" s="1" t="str">
        <f>IF(Back_End_Data!N412="", "No", Back_End_Data!N412)</f>
        <v>No</v>
      </c>
      <c r="N412" s="1" t="str">
        <f>IF(Back_End_Data!M412="", "No", Back_End_Data!M412)</f>
        <v>No</v>
      </c>
      <c r="O412" s="1" t="str">
        <f>IF(Back_End_Data!O412="Completed","Yes","No")</f>
        <v>No</v>
      </c>
      <c r="P412" s="1" t="str">
        <f>IF(Back_End_Data!H412="Completed","Yes","No")</f>
        <v>No</v>
      </c>
      <c r="Q412" s="1" t="str">
        <f>IF(Back_End_Data!P412="Completed","Yes","No")</f>
        <v>No</v>
      </c>
      <c r="R412" s="1" t="s">
        <v>2369</v>
      </c>
      <c r="S412" s="1" t="str">
        <f>IF(Back_End_Data!R412="Completed","Yes","No")</f>
        <v>No</v>
      </c>
      <c r="T412" s="1" t="str">
        <f>IF(Back_End_Data!S412="Yes","Yes","No")</f>
        <v>No</v>
      </c>
      <c r="U412" s="1" t="str">
        <f>IF(Back_End_Data!Q411="Completed","Yes","No")</f>
        <v>No</v>
      </c>
      <c r="V412" s="1" t="e">
        <f ca="1">IF(INDEX(MIS_Backend_Data!L:L, MATCH(D412, MIS_Backend_Data!B:B, 1)) = "WT", "Yes", "No")</f>
        <v>#N/A</v>
      </c>
      <c r="W412" s="2" t="str">
        <f t="shared" ca="1" si="18"/>
        <v/>
      </c>
      <c r="AA412" s="1">
        <f t="shared" ca="1" si="19"/>
        <v>0</v>
      </c>
      <c r="AG412" s="1" t="str">
        <f t="shared" si="20"/>
        <v/>
      </c>
    </row>
    <row r="413" spans="1:33" ht="20.25" customHeight="1">
      <c r="A413" s="13">
        <v>412</v>
      </c>
      <c r="H413" s="1" t="str">
        <f>IF(Back_End_Data!G413="Completed","Yes","No")</f>
        <v>No</v>
      </c>
      <c r="I413" s="1" t="str">
        <f>IF(Back_End_Data!I413="Completed","Yes","No")</f>
        <v>No</v>
      </c>
      <c r="J413" s="1" t="str">
        <f>IF(Back_End_Data!J413="Completed","Yes","No")</f>
        <v>No</v>
      </c>
      <c r="K413" s="1" t="str">
        <f>IF(Back_End_Data!K413="Completed","Yes","No")</f>
        <v>No</v>
      </c>
      <c r="L413" s="1" t="str">
        <f>IF(Back_End_Data!L413="", "No", Back_End_Data!L413)</f>
        <v>No</v>
      </c>
      <c r="M413" s="1" t="str">
        <f>IF(Back_End_Data!N413="", "No", Back_End_Data!N413)</f>
        <v>No</v>
      </c>
      <c r="N413" s="1" t="str">
        <f>IF(Back_End_Data!M413="", "No", Back_End_Data!M413)</f>
        <v>No</v>
      </c>
      <c r="O413" s="1" t="str">
        <f>IF(Back_End_Data!O413="Completed","Yes","No")</f>
        <v>No</v>
      </c>
      <c r="P413" s="1" t="str">
        <f>IF(Back_End_Data!H413="Completed","Yes","No")</f>
        <v>No</v>
      </c>
      <c r="Q413" s="1" t="str">
        <f>IF(Back_End_Data!P413="Completed","Yes","No")</f>
        <v>No</v>
      </c>
      <c r="R413" s="1" t="s">
        <v>2369</v>
      </c>
      <c r="S413" s="1" t="str">
        <f>IF(Back_End_Data!R413="Completed","Yes","No")</f>
        <v>No</v>
      </c>
      <c r="T413" s="1" t="str">
        <f>IF(Back_End_Data!S413="Yes","Yes","No")</f>
        <v>No</v>
      </c>
      <c r="U413" s="1" t="str">
        <f>IF(Back_End_Data!Q412="Completed","Yes","No")</f>
        <v>No</v>
      </c>
      <c r="V413" s="1" t="e">
        <f ca="1">IF(INDEX(MIS_Backend_Data!L:L, MATCH(D413, MIS_Backend_Data!B:B, 1)) = "WT", "Yes", "No")</f>
        <v>#N/A</v>
      </c>
      <c r="W413" s="2" t="str">
        <f t="shared" ca="1" si="18"/>
        <v/>
      </c>
      <c r="AA413" s="1">
        <f t="shared" ca="1" si="19"/>
        <v>0</v>
      </c>
      <c r="AG413" s="1" t="str">
        <f t="shared" si="20"/>
        <v/>
      </c>
    </row>
    <row r="414" spans="1:33" ht="20.25" customHeight="1">
      <c r="A414" s="13">
        <v>413</v>
      </c>
      <c r="H414" s="1" t="str">
        <f>IF(Back_End_Data!G414="Completed","Yes","No")</f>
        <v>No</v>
      </c>
      <c r="I414" s="1" t="str">
        <f>IF(Back_End_Data!I414="Completed","Yes","No")</f>
        <v>No</v>
      </c>
      <c r="J414" s="1" t="str">
        <f>IF(Back_End_Data!J414="Completed","Yes","No")</f>
        <v>No</v>
      </c>
      <c r="K414" s="1" t="str">
        <f>IF(Back_End_Data!K414="Completed","Yes","No")</f>
        <v>No</v>
      </c>
      <c r="L414" s="1" t="str">
        <f>IF(Back_End_Data!L414="", "No", Back_End_Data!L414)</f>
        <v>No</v>
      </c>
      <c r="M414" s="1" t="str">
        <f>IF(Back_End_Data!N414="", "No", Back_End_Data!N414)</f>
        <v>No</v>
      </c>
      <c r="N414" s="1" t="str">
        <f>IF(Back_End_Data!M414="", "No", Back_End_Data!M414)</f>
        <v>No</v>
      </c>
      <c r="O414" s="1" t="str">
        <f>IF(Back_End_Data!O414="Completed","Yes","No")</f>
        <v>No</v>
      </c>
      <c r="P414" s="1" t="str">
        <f>IF(Back_End_Data!H414="Completed","Yes","No")</f>
        <v>No</v>
      </c>
      <c r="Q414" s="1" t="str">
        <f>IF(Back_End_Data!P414="Completed","Yes","No")</f>
        <v>No</v>
      </c>
      <c r="R414" s="1" t="s">
        <v>2369</v>
      </c>
      <c r="S414" s="1" t="str">
        <f>IF(Back_End_Data!R414="Completed","Yes","No")</f>
        <v>No</v>
      </c>
      <c r="T414" s="1" t="str">
        <f>IF(Back_End_Data!S414="Yes","Yes","No")</f>
        <v>No</v>
      </c>
      <c r="U414" s="1" t="str">
        <f>IF(Back_End_Data!Q413="Completed","Yes","No")</f>
        <v>No</v>
      </c>
      <c r="V414" s="1" t="e">
        <f ca="1">IF(INDEX(MIS_Backend_Data!L:L, MATCH(D414, MIS_Backend_Data!B:B, 1)) = "WT", "Yes", "No")</f>
        <v>#N/A</v>
      </c>
      <c r="W414" s="2" t="str">
        <f t="shared" ca="1" si="18"/>
        <v/>
      </c>
      <c r="AA414" s="1">
        <f t="shared" ca="1" si="19"/>
        <v>0</v>
      </c>
      <c r="AG414" s="1" t="str">
        <f t="shared" si="20"/>
        <v/>
      </c>
    </row>
    <row r="415" spans="1:33" ht="20.25" customHeight="1">
      <c r="A415" s="13">
        <v>414</v>
      </c>
      <c r="H415" s="1" t="str">
        <f>IF(Back_End_Data!G415="Completed","Yes","No")</f>
        <v>No</v>
      </c>
      <c r="I415" s="1" t="str">
        <f>IF(Back_End_Data!I415="Completed","Yes","No")</f>
        <v>No</v>
      </c>
      <c r="J415" s="1" t="str">
        <f>IF(Back_End_Data!J415="Completed","Yes","No")</f>
        <v>No</v>
      </c>
      <c r="K415" s="1" t="str">
        <f>IF(Back_End_Data!K415="Completed","Yes","No")</f>
        <v>No</v>
      </c>
      <c r="L415" s="1" t="str">
        <f>IF(Back_End_Data!L415="", "No", Back_End_Data!L415)</f>
        <v>No</v>
      </c>
      <c r="M415" s="1" t="str">
        <f>IF(Back_End_Data!N415="", "No", Back_End_Data!N415)</f>
        <v>No</v>
      </c>
      <c r="N415" s="1" t="str">
        <f>IF(Back_End_Data!M415="", "No", Back_End_Data!M415)</f>
        <v>No</v>
      </c>
      <c r="O415" s="1" t="str">
        <f>IF(Back_End_Data!O415="Completed","Yes","No")</f>
        <v>No</v>
      </c>
      <c r="P415" s="1" t="str">
        <f>IF(Back_End_Data!H415="Completed","Yes","No")</f>
        <v>No</v>
      </c>
      <c r="Q415" s="1" t="str">
        <f>IF(Back_End_Data!P415="Completed","Yes","No")</f>
        <v>No</v>
      </c>
      <c r="R415" s="1" t="s">
        <v>2369</v>
      </c>
      <c r="S415" s="1" t="str">
        <f>IF(Back_End_Data!R415="Completed","Yes","No")</f>
        <v>No</v>
      </c>
      <c r="T415" s="1" t="str">
        <f>IF(Back_End_Data!S415="Yes","Yes","No")</f>
        <v>No</v>
      </c>
      <c r="U415" s="1" t="str">
        <f>IF(Back_End_Data!Q414="Completed","Yes","No")</f>
        <v>No</v>
      </c>
      <c r="V415" s="1" t="e">
        <f ca="1">IF(INDEX(MIS_Backend_Data!L:L, MATCH(D415, MIS_Backend_Data!B:B, 1)) = "WT", "Yes", "No")</f>
        <v>#N/A</v>
      </c>
      <c r="W415" s="2" t="str">
        <f t="shared" ca="1" si="18"/>
        <v/>
      </c>
      <c r="AA415" s="1">
        <f t="shared" ca="1" si="19"/>
        <v>0</v>
      </c>
      <c r="AG415" s="1" t="str">
        <f t="shared" si="20"/>
        <v/>
      </c>
    </row>
    <row r="416" spans="1:33" ht="20.25" customHeight="1">
      <c r="A416" s="13">
        <v>415</v>
      </c>
      <c r="H416" s="1" t="str">
        <f>IF(Back_End_Data!G416="Completed","Yes","No")</f>
        <v>No</v>
      </c>
      <c r="I416" s="1" t="str">
        <f>IF(Back_End_Data!I416="Completed","Yes","No")</f>
        <v>No</v>
      </c>
      <c r="J416" s="1" t="str">
        <f>IF(Back_End_Data!J416="Completed","Yes","No")</f>
        <v>No</v>
      </c>
      <c r="K416" s="1" t="str">
        <f>IF(Back_End_Data!K416="Completed","Yes","No")</f>
        <v>No</v>
      </c>
      <c r="L416" s="1" t="str">
        <f>IF(Back_End_Data!L416="", "No", Back_End_Data!L416)</f>
        <v>No</v>
      </c>
      <c r="M416" s="1" t="str">
        <f>IF(Back_End_Data!N416="", "No", Back_End_Data!N416)</f>
        <v>No</v>
      </c>
      <c r="N416" s="1" t="str">
        <f>IF(Back_End_Data!M416="", "No", Back_End_Data!M416)</f>
        <v>No</v>
      </c>
      <c r="O416" s="1" t="str">
        <f>IF(Back_End_Data!O416="Completed","Yes","No")</f>
        <v>No</v>
      </c>
      <c r="P416" s="1" t="str">
        <f>IF(Back_End_Data!H416="Completed","Yes","No")</f>
        <v>No</v>
      </c>
      <c r="Q416" s="1" t="str">
        <f>IF(Back_End_Data!P416="Completed","Yes","No")</f>
        <v>No</v>
      </c>
      <c r="R416" s="1" t="s">
        <v>2369</v>
      </c>
      <c r="S416" s="1" t="str">
        <f>IF(Back_End_Data!R416="Completed","Yes","No")</f>
        <v>No</v>
      </c>
      <c r="T416" s="1" t="str">
        <f>IF(Back_End_Data!S416="Yes","Yes","No")</f>
        <v>No</v>
      </c>
      <c r="U416" s="1" t="str">
        <f>IF(Back_End_Data!Q415="Completed","Yes","No")</f>
        <v>No</v>
      </c>
      <c r="V416" s="1" t="e">
        <f ca="1">IF(INDEX(MIS_Backend_Data!L:L, MATCH(D416, MIS_Backend_Data!B:B, 1)) = "WT", "Yes", "No")</f>
        <v>#N/A</v>
      </c>
      <c r="W416" s="2" t="str">
        <f t="shared" ca="1" si="18"/>
        <v/>
      </c>
      <c r="AA416" s="1">
        <f t="shared" ca="1" si="19"/>
        <v>0</v>
      </c>
      <c r="AG416" s="1" t="str">
        <f t="shared" si="20"/>
        <v/>
      </c>
    </row>
    <row r="417" spans="1:33" ht="20.25" customHeight="1">
      <c r="A417" s="13">
        <v>416</v>
      </c>
      <c r="H417" s="1" t="str">
        <f>IF(Back_End_Data!G417="Completed","Yes","No")</f>
        <v>No</v>
      </c>
      <c r="I417" s="1" t="str">
        <f>IF(Back_End_Data!I417="Completed","Yes","No")</f>
        <v>No</v>
      </c>
      <c r="J417" s="1" t="str">
        <f>IF(Back_End_Data!J417="Completed","Yes","No")</f>
        <v>No</v>
      </c>
      <c r="K417" s="1" t="str">
        <f>IF(Back_End_Data!K417="Completed","Yes","No")</f>
        <v>No</v>
      </c>
      <c r="L417" s="1" t="str">
        <f>IF(Back_End_Data!L417="", "No", Back_End_Data!L417)</f>
        <v>No</v>
      </c>
      <c r="M417" s="1" t="str">
        <f>IF(Back_End_Data!N417="", "No", Back_End_Data!N417)</f>
        <v>No</v>
      </c>
      <c r="N417" s="1" t="str">
        <f>IF(Back_End_Data!M417="", "No", Back_End_Data!M417)</f>
        <v>No</v>
      </c>
      <c r="O417" s="1" t="str">
        <f>IF(Back_End_Data!O417="Completed","Yes","No")</f>
        <v>No</v>
      </c>
      <c r="P417" s="1" t="str">
        <f>IF(Back_End_Data!H417="Completed","Yes","No")</f>
        <v>No</v>
      </c>
      <c r="Q417" s="1" t="str">
        <f>IF(Back_End_Data!P417="Completed","Yes","No")</f>
        <v>No</v>
      </c>
      <c r="R417" s="1" t="s">
        <v>2369</v>
      </c>
      <c r="S417" s="1" t="str">
        <f>IF(Back_End_Data!R417="Completed","Yes","No")</f>
        <v>No</v>
      </c>
      <c r="T417" s="1" t="str">
        <f>IF(Back_End_Data!S417="Yes","Yes","No")</f>
        <v>No</v>
      </c>
      <c r="U417" s="1" t="str">
        <f>IF(Back_End_Data!Q416="Completed","Yes","No")</f>
        <v>No</v>
      </c>
      <c r="V417" s="1" t="e">
        <f ca="1">IF(INDEX(MIS_Backend_Data!L:L, MATCH(D417, MIS_Backend_Data!B:B, 1)) = "WT", "Yes", "No")</f>
        <v>#N/A</v>
      </c>
      <c r="W417" s="2" t="str">
        <f t="shared" ca="1" si="18"/>
        <v/>
      </c>
      <c r="AA417" s="1">
        <f t="shared" ca="1" si="19"/>
        <v>0</v>
      </c>
      <c r="AG417" s="1" t="str">
        <f t="shared" si="20"/>
        <v/>
      </c>
    </row>
    <row r="418" spans="1:33" ht="20.25" customHeight="1">
      <c r="A418" s="13">
        <v>417</v>
      </c>
      <c r="H418" s="1" t="str">
        <f>IF(Back_End_Data!G418="Completed","Yes","No")</f>
        <v>No</v>
      </c>
      <c r="I418" s="1" t="str">
        <f>IF(Back_End_Data!I418="Completed","Yes","No")</f>
        <v>No</v>
      </c>
      <c r="J418" s="1" t="str">
        <f>IF(Back_End_Data!J418="Completed","Yes","No")</f>
        <v>No</v>
      </c>
      <c r="K418" s="1" t="str">
        <f>IF(Back_End_Data!K418="Completed","Yes","No")</f>
        <v>No</v>
      </c>
      <c r="L418" s="1" t="str">
        <f>IF(Back_End_Data!L418="", "No", Back_End_Data!L418)</f>
        <v>No</v>
      </c>
      <c r="M418" s="1" t="str">
        <f>IF(Back_End_Data!N418="", "No", Back_End_Data!N418)</f>
        <v>No</v>
      </c>
      <c r="N418" s="1" t="str">
        <f>IF(Back_End_Data!M418="", "No", Back_End_Data!M418)</f>
        <v>No</v>
      </c>
      <c r="O418" s="1" t="str">
        <f>IF(Back_End_Data!O418="Completed","Yes","No")</f>
        <v>No</v>
      </c>
      <c r="P418" s="1" t="str">
        <f>IF(Back_End_Data!H418="Completed","Yes","No")</f>
        <v>No</v>
      </c>
      <c r="Q418" s="1" t="str">
        <f>IF(Back_End_Data!P418="Completed","Yes","No")</f>
        <v>No</v>
      </c>
      <c r="R418" s="1" t="s">
        <v>2369</v>
      </c>
      <c r="S418" s="1" t="str">
        <f>IF(Back_End_Data!R418="Completed","Yes","No")</f>
        <v>No</v>
      </c>
      <c r="T418" s="1" t="str">
        <f>IF(Back_End_Data!S418="Yes","Yes","No")</f>
        <v>No</v>
      </c>
      <c r="U418" s="1" t="str">
        <f>IF(Back_End_Data!Q417="Completed","Yes","No")</f>
        <v>No</v>
      </c>
      <c r="V418" s="1" t="e">
        <f ca="1">IF(INDEX(MIS_Backend_Data!L:L, MATCH(D418, MIS_Backend_Data!B:B, 1)) = "WT", "Yes", "No")</f>
        <v>#N/A</v>
      </c>
      <c r="W418" s="2" t="str">
        <f t="shared" ca="1" si="18"/>
        <v/>
      </c>
      <c r="AA418" s="1">
        <f t="shared" ca="1" si="19"/>
        <v>0</v>
      </c>
      <c r="AG418" s="1" t="str">
        <f t="shared" si="20"/>
        <v/>
      </c>
    </row>
    <row r="419" spans="1:33" ht="20.25" customHeight="1">
      <c r="A419" s="13">
        <v>418</v>
      </c>
      <c r="H419" s="1" t="str">
        <f>IF(Back_End_Data!G419="Completed","Yes","No")</f>
        <v>No</v>
      </c>
      <c r="I419" s="1" t="str">
        <f>IF(Back_End_Data!I419="Completed","Yes","No")</f>
        <v>No</v>
      </c>
      <c r="J419" s="1" t="str">
        <f>IF(Back_End_Data!J419="Completed","Yes","No")</f>
        <v>No</v>
      </c>
      <c r="K419" s="1" t="str">
        <f>IF(Back_End_Data!K419="Completed","Yes","No")</f>
        <v>No</v>
      </c>
      <c r="L419" s="1" t="str">
        <f>IF(Back_End_Data!L419="", "No", Back_End_Data!L419)</f>
        <v>No</v>
      </c>
      <c r="M419" s="1" t="str">
        <f>IF(Back_End_Data!N419="", "No", Back_End_Data!N419)</f>
        <v>No</v>
      </c>
      <c r="N419" s="1" t="str">
        <f>IF(Back_End_Data!M419="", "No", Back_End_Data!M419)</f>
        <v>No</v>
      </c>
      <c r="O419" s="1" t="str">
        <f>IF(Back_End_Data!O419="Completed","Yes","No")</f>
        <v>No</v>
      </c>
      <c r="P419" s="1" t="str">
        <f>IF(Back_End_Data!H419="Completed","Yes","No")</f>
        <v>No</v>
      </c>
      <c r="Q419" s="1" t="str">
        <f>IF(Back_End_Data!P419="Completed","Yes","No")</f>
        <v>No</v>
      </c>
      <c r="R419" s="1" t="s">
        <v>2369</v>
      </c>
      <c r="S419" s="1" t="str">
        <f>IF(Back_End_Data!R419="Completed","Yes","No")</f>
        <v>No</v>
      </c>
      <c r="T419" s="1" t="str">
        <f>IF(Back_End_Data!S419="Yes","Yes","No")</f>
        <v>No</v>
      </c>
      <c r="U419" s="1" t="str">
        <f>IF(Back_End_Data!Q418="Completed","Yes","No")</f>
        <v>No</v>
      </c>
      <c r="V419" s="1" t="e">
        <f ca="1">IF(INDEX(MIS_Backend_Data!L:L, MATCH(D419, MIS_Backend_Data!B:B, 1)) = "WT", "Yes", "No")</f>
        <v>#N/A</v>
      </c>
      <c r="W419" s="2" t="str">
        <f t="shared" ca="1" si="18"/>
        <v/>
      </c>
      <c r="AA419" s="1">
        <f t="shared" ca="1" si="19"/>
        <v>0</v>
      </c>
      <c r="AG419" s="1" t="str">
        <f t="shared" si="20"/>
        <v/>
      </c>
    </row>
    <row r="420" spans="1:33" ht="20.25" customHeight="1">
      <c r="A420" s="13">
        <v>419</v>
      </c>
      <c r="H420" s="1" t="str">
        <f>IF(Back_End_Data!G420="Completed","Yes","No")</f>
        <v>No</v>
      </c>
      <c r="I420" s="1" t="str">
        <f>IF(Back_End_Data!I420="Completed","Yes","No")</f>
        <v>No</v>
      </c>
      <c r="J420" s="1" t="str">
        <f>IF(Back_End_Data!J420="Completed","Yes","No")</f>
        <v>No</v>
      </c>
      <c r="K420" s="1" t="str">
        <f>IF(Back_End_Data!K420="Completed","Yes","No")</f>
        <v>No</v>
      </c>
      <c r="L420" s="1" t="str">
        <f>IF(Back_End_Data!L420="", "No", Back_End_Data!L420)</f>
        <v>No</v>
      </c>
      <c r="M420" s="1" t="str">
        <f>IF(Back_End_Data!N420="", "No", Back_End_Data!N420)</f>
        <v>No</v>
      </c>
      <c r="N420" s="1" t="str">
        <f>IF(Back_End_Data!M420="", "No", Back_End_Data!M420)</f>
        <v>No</v>
      </c>
      <c r="O420" s="1" t="str">
        <f>IF(Back_End_Data!O420="Completed","Yes","No")</f>
        <v>No</v>
      </c>
      <c r="P420" s="1" t="str">
        <f>IF(Back_End_Data!H420="Completed","Yes","No")</f>
        <v>No</v>
      </c>
      <c r="Q420" s="1" t="str">
        <f>IF(Back_End_Data!P420="Completed","Yes","No")</f>
        <v>No</v>
      </c>
      <c r="R420" s="1" t="s">
        <v>2369</v>
      </c>
      <c r="S420" s="1" t="str">
        <f>IF(Back_End_Data!R420="Completed","Yes","No")</f>
        <v>No</v>
      </c>
      <c r="T420" s="1" t="str">
        <f>IF(Back_End_Data!S420="Yes","Yes","No")</f>
        <v>No</v>
      </c>
      <c r="U420" s="1" t="str">
        <f>IF(Back_End_Data!Q419="Completed","Yes","No")</f>
        <v>No</v>
      </c>
      <c r="V420" s="1" t="e">
        <f ca="1">IF(INDEX(MIS_Backend_Data!L:L, MATCH(D420, MIS_Backend_Data!B:B, 1)) = "WT", "Yes", "No")</f>
        <v>#N/A</v>
      </c>
      <c r="W420" s="2" t="str">
        <f t="shared" ca="1" si="18"/>
        <v/>
      </c>
      <c r="AA420" s="1">
        <f t="shared" ca="1" si="19"/>
        <v>0</v>
      </c>
      <c r="AG420" s="1" t="str">
        <f t="shared" si="20"/>
        <v/>
      </c>
    </row>
    <row r="421" spans="1:33" ht="20.25" customHeight="1">
      <c r="A421" s="13">
        <v>420</v>
      </c>
      <c r="H421" s="1" t="str">
        <f>IF(Back_End_Data!G421="Completed","Yes","No")</f>
        <v>No</v>
      </c>
      <c r="I421" s="1" t="str">
        <f>IF(Back_End_Data!I421="Completed","Yes","No")</f>
        <v>No</v>
      </c>
      <c r="J421" s="1" t="str">
        <f>IF(Back_End_Data!J421="Completed","Yes","No")</f>
        <v>No</v>
      </c>
      <c r="K421" s="1" t="str">
        <f>IF(Back_End_Data!K421="Completed","Yes","No")</f>
        <v>No</v>
      </c>
      <c r="L421" s="1" t="str">
        <f>IF(Back_End_Data!L421="", "No", Back_End_Data!L421)</f>
        <v>No</v>
      </c>
      <c r="M421" s="1" t="str">
        <f>IF(Back_End_Data!N421="", "No", Back_End_Data!N421)</f>
        <v>No</v>
      </c>
      <c r="N421" s="1" t="str">
        <f>IF(Back_End_Data!M421="", "No", Back_End_Data!M421)</f>
        <v>No</v>
      </c>
      <c r="O421" s="1" t="str">
        <f>IF(Back_End_Data!O421="Completed","Yes","No")</f>
        <v>No</v>
      </c>
      <c r="P421" s="1" t="str">
        <f>IF(Back_End_Data!H421="Completed","Yes","No")</f>
        <v>No</v>
      </c>
      <c r="Q421" s="1" t="str">
        <f>IF(Back_End_Data!P421="Completed","Yes","No")</f>
        <v>No</v>
      </c>
      <c r="R421" s="1" t="s">
        <v>2369</v>
      </c>
      <c r="S421" s="1" t="str">
        <f>IF(Back_End_Data!R421="Completed","Yes","No")</f>
        <v>No</v>
      </c>
      <c r="T421" s="1" t="str">
        <f>IF(Back_End_Data!S421="Yes","Yes","No")</f>
        <v>No</v>
      </c>
      <c r="U421" s="1" t="str">
        <f>IF(Back_End_Data!Q420="Completed","Yes","No")</f>
        <v>No</v>
      </c>
      <c r="V421" s="1" t="e">
        <f ca="1">IF(INDEX(MIS_Backend_Data!L:L, MATCH(D421, MIS_Backend_Data!B:B, 1)) = "WT", "Yes", "No")</f>
        <v>#N/A</v>
      </c>
      <c r="W421" s="2" t="str">
        <f t="shared" ca="1" si="18"/>
        <v/>
      </c>
      <c r="AA421" s="1">
        <f t="shared" ca="1" si="19"/>
        <v>0</v>
      </c>
      <c r="AG421" s="1" t="str">
        <f t="shared" si="20"/>
        <v/>
      </c>
    </row>
    <row r="422" spans="1:33" ht="20.25" customHeight="1">
      <c r="A422" s="13">
        <v>421</v>
      </c>
      <c r="H422" s="1" t="str">
        <f>IF(Back_End_Data!G422="Completed","Yes","No")</f>
        <v>No</v>
      </c>
      <c r="I422" s="1" t="str">
        <f>IF(Back_End_Data!I422="Completed","Yes","No")</f>
        <v>No</v>
      </c>
      <c r="J422" s="1" t="str">
        <f>IF(Back_End_Data!J422="Completed","Yes","No")</f>
        <v>No</v>
      </c>
      <c r="K422" s="1" t="str">
        <f>IF(Back_End_Data!K422="Completed","Yes","No")</f>
        <v>No</v>
      </c>
      <c r="L422" s="1" t="str">
        <f>IF(Back_End_Data!L422="", "No", Back_End_Data!L422)</f>
        <v>No</v>
      </c>
      <c r="M422" s="1" t="str">
        <f>IF(Back_End_Data!N422="", "No", Back_End_Data!N422)</f>
        <v>No</v>
      </c>
      <c r="N422" s="1" t="str">
        <f>IF(Back_End_Data!M422="", "No", Back_End_Data!M422)</f>
        <v>No</v>
      </c>
      <c r="O422" s="1" t="str">
        <f>IF(Back_End_Data!O422="Completed","Yes","No")</f>
        <v>No</v>
      </c>
      <c r="P422" s="1" t="str">
        <f>IF(Back_End_Data!H422="Completed","Yes","No")</f>
        <v>No</v>
      </c>
      <c r="Q422" s="1" t="str">
        <f>IF(Back_End_Data!P422="Completed","Yes","No")</f>
        <v>No</v>
      </c>
      <c r="R422" s="1" t="s">
        <v>2369</v>
      </c>
      <c r="S422" s="1" t="str">
        <f>IF(Back_End_Data!R422="Completed","Yes","No")</f>
        <v>No</v>
      </c>
      <c r="T422" s="1" t="str">
        <f>IF(Back_End_Data!S422="Yes","Yes","No")</f>
        <v>No</v>
      </c>
      <c r="U422" s="1" t="str">
        <f>IF(Back_End_Data!Q421="Completed","Yes","No")</f>
        <v>No</v>
      </c>
      <c r="V422" s="1" t="e">
        <f ca="1">IF(INDEX(MIS_Backend_Data!L:L, MATCH(D422, MIS_Backend_Data!B:B, 1)) = "WT", "Yes", "No")</f>
        <v>#N/A</v>
      </c>
      <c r="W422" s="2" t="str">
        <f t="shared" ca="1" si="18"/>
        <v/>
      </c>
      <c r="AA422" s="1">
        <f t="shared" ca="1" si="19"/>
        <v>0</v>
      </c>
      <c r="AG422" s="1" t="str">
        <f t="shared" si="20"/>
        <v/>
      </c>
    </row>
    <row r="423" spans="1:33" ht="20.25" customHeight="1">
      <c r="A423" s="13">
        <v>422</v>
      </c>
      <c r="H423" s="1" t="str">
        <f>IF(Back_End_Data!G423="Completed","Yes","No")</f>
        <v>No</v>
      </c>
      <c r="I423" s="1" t="str">
        <f>IF(Back_End_Data!I423="Completed","Yes","No")</f>
        <v>No</v>
      </c>
      <c r="J423" s="1" t="str">
        <f>IF(Back_End_Data!J423="Completed","Yes","No")</f>
        <v>No</v>
      </c>
      <c r="K423" s="1" t="str">
        <f>IF(Back_End_Data!K423="Completed","Yes","No")</f>
        <v>No</v>
      </c>
      <c r="L423" s="1" t="str">
        <f>IF(Back_End_Data!L423="", "No", Back_End_Data!L423)</f>
        <v>No</v>
      </c>
      <c r="M423" s="1" t="str">
        <f>IF(Back_End_Data!N423="", "No", Back_End_Data!N423)</f>
        <v>No</v>
      </c>
      <c r="N423" s="1" t="str">
        <f>IF(Back_End_Data!M423="", "No", Back_End_Data!M423)</f>
        <v>No</v>
      </c>
      <c r="O423" s="1" t="str">
        <f>IF(Back_End_Data!O423="Completed","Yes","No")</f>
        <v>No</v>
      </c>
      <c r="P423" s="1" t="str">
        <f>IF(Back_End_Data!H423="Completed","Yes","No")</f>
        <v>No</v>
      </c>
      <c r="Q423" s="1" t="str">
        <f>IF(Back_End_Data!P423="Completed","Yes","No")</f>
        <v>No</v>
      </c>
      <c r="R423" s="1" t="s">
        <v>2369</v>
      </c>
      <c r="S423" s="1" t="str">
        <f>IF(Back_End_Data!R423="Completed","Yes","No")</f>
        <v>No</v>
      </c>
      <c r="T423" s="1" t="str">
        <f>IF(Back_End_Data!S423="Yes","Yes","No")</f>
        <v>No</v>
      </c>
      <c r="U423" s="1" t="str">
        <f>IF(Back_End_Data!Q422="Completed","Yes","No")</f>
        <v>No</v>
      </c>
      <c r="V423" s="1" t="e">
        <f ca="1">IF(INDEX(MIS_Backend_Data!L:L, MATCH(D423, MIS_Backend_Data!B:B, 1)) = "WT", "Yes", "No")</f>
        <v>#N/A</v>
      </c>
      <c r="W423" s="2" t="str">
        <f t="shared" ca="1" si="18"/>
        <v/>
      </c>
      <c r="AA423" s="1">
        <f t="shared" ca="1" si="19"/>
        <v>0</v>
      </c>
      <c r="AG423" s="1" t="str">
        <f t="shared" si="20"/>
        <v/>
      </c>
    </row>
    <row r="424" spans="1:33" ht="20.25" customHeight="1">
      <c r="A424" s="13">
        <v>423</v>
      </c>
      <c r="H424" s="1" t="str">
        <f>IF(Back_End_Data!G424="Completed","Yes","No")</f>
        <v>No</v>
      </c>
      <c r="I424" s="1" t="str">
        <f>IF(Back_End_Data!I424="Completed","Yes","No")</f>
        <v>No</v>
      </c>
      <c r="J424" s="1" t="str">
        <f>IF(Back_End_Data!J424="Completed","Yes","No")</f>
        <v>No</v>
      </c>
      <c r="K424" s="1" t="str">
        <f>IF(Back_End_Data!K424="Completed","Yes","No")</f>
        <v>No</v>
      </c>
      <c r="L424" s="1" t="str">
        <f>IF(Back_End_Data!L424="", "No", Back_End_Data!L424)</f>
        <v>No</v>
      </c>
      <c r="M424" s="1" t="str">
        <f>IF(Back_End_Data!N424="", "No", Back_End_Data!N424)</f>
        <v>No</v>
      </c>
      <c r="N424" s="1" t="str">
        <f>IF(Back_End_Data!M424="", "No", Back_End_Data!M424)</f>
        <v>No</v>
      </c>
      <c r="O424" s="1" t="str">
        <f>IF(Back_End_Data!O424="Completed","Yes","No")</f>
        <v>No</v>
      </c>
      <c r="P424" s="1" t="str">
        <f>IF(Back_End_Data!H424="Completed","Yes","No")</f>
        <v>No</v>
      </c>
      <c r="Q424" s="1" t="str">
        <f>IF(Back_End_Data!P424="Completed","Yes","No")</f>
        <v>No</v>
      </c>
      <c r="R424" s="1" t="s">
        <v>2369</v>
      </c>
      <c r="S424" s="1" t="str">
        <f>IF(Back_End_Data!R424="Completed","Yes","No")</f>
        <v>No</v>
      </c>
      <c r="T424" s="1" t="str">
        <f>IF(Back_End_Data!S424="Yes","Yes","No")</f>
        <v>No</v>
      </c>
      <c r="U424" s="1" t="str">
        <f>IF(Back_End_Data!Q423="Completed","Yes","No")</f>
        <v>No</v>
      </c>
      <c r="V424" s="1" t="e">
        <f ca="1">IF(INDEX(MIS_Backend_Data!L:L, MATCH(D424, MIS_Backend_Data!B:B, 1)) = "WT", "Yes", "No")</f>
        <v>#N/A</v>
      </c>
      <c r="W424" s="2" t="str">
        <f t="shared" ca="1" si="18"/>
        <v/>
      </c>
      <c r="AA424" s="1">
        <f t="shared" ca="1" si="19"/>
        <v>0</v>
      </c>
      <c r="AG424" s="1" t="str">
        <f t="shared" si="20"/>
        <v/>
      </c>
    </row>
    <row r="425" spans="1:33" ht="20.25" customHeight="1">
      <c r="A425" s="13">
        <v>424</v>
      </c>
      <c r="H425" s="1" t="str">
        <f>IF(Back_End_Data!G425="Completed","Yes","No")</f>
        <v>No</v>
      </c>
      <c r="I425" s="1" t="str">
        <f>IF(Back_End_Data!I425="Completed","Yes","No")</f>
        <v>No</v>
      </c>
      <c r="J425" s="1" t="str">
        <f>IF(Back_End_Data!J425="Completed","Yes","No")</f>
        <v>No</v>
      </c>
      <c r="K425" s="1" t="str">
        <f>IF(Back_End_Data!K425="Completed","Yes","No")</f>
        <v>No</v>
      </c>
      <c r="L425" s="1" t="str">
        <f>IF(Back_End_Data!L425="", "No", Back_End_Data!L425)</f>
        <v>No</v>
      </c>
      <c r="M425" s="1" t="str">
        <f>IF(Back_End_Data!N425="", "No", Back_End_Data!N425)</f>
        <v>No</v>
      </c>
      <c r="N425" s="1" t="str">
        <f>IF(Back_End_Data!M425="", "No", Back_End_Data!M425)</f>
        <v>No</v>
      </c>
      <c r="O425" s="1" t="str">
        <f>IF(Back_End_Data!O425="Completed","Yes","No")</f>
        <v>No</v>
      </c>
      <c r="P425" s="1" t="str">
        <f>IF(Back_End_Data!H425="Completed","Yes","No")</f>
        <v>No</v>
      </c>
      <c r="Q425" s="1" t="str">
        <f>IF(Back_End_Data!P425="Completed","Yes","No")</f>
        <v>No</v>
      </c>
      <c r="R425" s="1" t="s">
        <v>2369</v>
      </c>
      <c r="S425" s="1" t="str">
        <f>IF(Back_End_Data!R425="Completed","Yes","No")</f>
        <v>No</v>
      </c>
      <c r="T425" s="1" t="str">
        <f>IF(Back_End_Data!S425="Yes","Yes","No")</f>
        <v>No</v>
      </c>
      <c r="U425" s="1" t="str">
        <f>IF(Back_End_Data!Q424="Completed","Yes","No")</f>
        <v>No</v>
      </c>
      <c r="V425" s="1" t="e">
        <f ca="1">IF(INDEX(MIS_Backend_Data!L:L, MATCH(D425, MIS_Backend_Data!B:B, 1)) = "WT", "Yes", "No")</f>
        <v>#N/A</v>
      </c>
      <c r="W425" s="2" t="str">
        <f t="shared" ca="1" si="18"/>
        <v/>
      </c>
      <c r="AA425" s="1">
        <f t="shared" ca="1" si="19"/>
        <v>0</v>
      </c>
      <c r="AG425" s="1" t="str">
        <f t="shared" si="20"/>
        <v/>
      </c>
    </row>
    <row r="426" spans="1:33" ht="20.25" customHeight="1">
      <c r="A426" s="13">
        <v>425</v>
      </c>
      <c r="H426" s="1" t="str">
        <f>IF(Back_End_Data!G426="Completed","Yes","No")</f>
        <v>No</v>
      </c>
      <c r="I426" s="1" t="str">
        <f>IF(Back_End_Data!I426="Completed","Yes","No")</f>
        <v>No</v>
      </c>
      <c r="J426" s="1" t="str">
        <f>IF(Back_End_Data!J426="Completed","Yes","No")</f>
        <v>No</v>
      </c>
      <c r="K426" s="1" t="str">
        <f>IF(Back_End_Data!K426="Completed","Yes","No")</f>
        <v>No</v>
      </c>
      <c r="L426" s="1" t="str">
        <f>IF(Back_End_Data!L426="", "No", Back_End_Data!L426)</f>
        <v>No</v>
      </c>
      <c r="M426" s="1" t="str">
        <f>IF(Back_End_Data!N426="", "No", Back_End_Data!N426)</f>
        <v>No</v>
      </c>
      <c r="N426" s="1" t="str">
        <f>IF(Back_End_Data!M426="", "No", Back_End_Data!M426)</f>
        <v>No</v>
      </c>
      <c r="O426" s="1" t="str">
        <f>IF(Back_End_Data!O426="Completed","Yes","No")</f>
        <v>No</v>
      </c>
      <c r="P426" s="1" t="str">
        <f>IF(Back_End_Data!H426="Completed","Yes","No")</f>
        <v>No</v>
      </c>
      <c r="Q426" s="1" t="str">
        <f>IF(Back_End_Data!P426="Completed","Yes","No")</f>
        <v>No</v>
      </c>
      <c r="R426" s="1" t="s">
        <v>2369</v>
      </c>
      <c r="S426" s="1" t="str">
        <f>IF(Back_End_Data!R426="Completed","Yes","No")</f>
        <v>No</v>
      </c>
      <c r="T426" s="1" t="str">
        <f>IF(Back_End_Data!S426="Yes","Yes","No")</f>
        <v>No</v>
      </c>
      <c r="U426" s="1" t="str">
        <f>IF(Back_End_Data!Q425="Completed","Yes","No")</f>
        <v>No</v>
      </c>
      <c r="V426" s="1" t="e">
        <f ca="1">IF(INDEX(MIS_Backend_Data!L:L, MATCH(D426, MIS_Backend_Data!B:B, 1)) = "WT", "Yes", "No")</f>
        <v>#N/A</v>
      </c>
      <c r="W426" s="2" t="str">
        <f t="shared" ca="1" si="18"/>
        <v/>
      </c>
      <c r="AA426" s="1">
        <f t="shared" ca="1" si="19"/>
        <v>0</v>
      </c>
      <c r="AG426" s="1" t="str">
        <f t="shared" si="20"/>
        <v/>
      </c>
    </row>
    <row r="427" spans="1:33" ht="20.25" customHeight="1">
      <c r="A427" s="13">
        <v>426</v>
      </c>
      <c r="H427" s="1" t="str">
        <f>IF(Back_End_Data!G427="Completed","Yes","No")</f>
        <v>No</v>
      </c>
      <c r="I427" s="1" t="str">
        <f>IF(Back_End_Data!I427="Completed","Yes","No")</f>
        <v>No</v>
      </c>
      <c r="J427" s="1" t="str">
        <f>IF(Back_End_Data!J427="Completed","Yes","No")</f>
        <v>No</v>
      </c>
      <c r="K427" s="1" t="str">
        <f>IF(Back_End_Data!K427="Completed","Yes","No")</f>
        <v>No</v>
      </c>
      <c r="L427" s="1" t="str">
        <f>IF(Back_End_Data!L427="", "No", Back_End_Data!L427)</f>
        <v>No</v>
      </c>
      <c r="M427" s="1" t="str">
        <f>IF(Back_End_Data!N427="", "No", Back_End_Data!N427)</f>
        <v>No</v>
      </c>
      <c r="N427" s="1" t="str">
        <f>IF(Back_End_Data!M427="", "No", Back_End_Data!M427)</f>
        <v>No</v>
      </c>
      <c r="O427" s="1" t="str">
        <f>IF(Back_End_Data!O427="Completed","Yes","No")</f>
        <v>No</v>
      </c>
      <c r="P427" s="1" t="str">
        <f>IF(Back_End_Data!H427="Completed","Yes","No")</f>
        <v>No</v>
      </c>
      <c r="Q427" s="1" t="str">
        <f>IF(Back_End_Data!P427="Completed","Yes","No")</f>
        <v>No</v>
      </c>
      <c r="R427" s="1" t="s">
        <v>2369</v>
      </c>
      <c r="S427" s="1" t="str">
        <f>IF(Back_End_Data!R427="Completed","Yes","No")</f>
        <v>No</v>
      </c>
      <c r="T427" s="1" t="str">
        <f>IF(Back_End_Data!S427="Yes","Yes","No")</f>
        <v>No</v>
      </c>
      <c r="U427" s="1" t="str">
        <f>IF(Back_End_Data!Q426="Completed","Yes","No")</f>
        <v>No</v>
      </c>
      <c r="V427" s="1" t="e">
        <f ca="1">IF(INDEX(MIS_Backend_Data!L:L, MATCH(D427, MIS_Backend_Data!B:B, 1)) = "WT", "Yes", "No")</f>
        <v>#N/A</v>
      </c>
      <c r="W427" s="2" t="str">
        <f t="shared" ca="1" si="18"/>
        <v/>
      </c>
      <c r="AA427" s="1">
        <f t="shared" ca="1" si="19"/>
        <v>0</v>
      </c>
      <c r="AG427" s="1" t="str">
        <f t="shared" si="20"/>
        <v/>
      </c>
    </row>
    <row r="428" spans="1:33" ht="20.25" customHeight="1">
      <c r="A428" s="13">
        <v>427</v>
      </c>
      <c r="H428" s="1" t="str">
        <f>IF(Back_End_Data!G428="Completed","Yes","No")</f>
        <v>No</v>
      </c>
      <c r="I428" s="1" t="str">
        <f>IF(Back_End_Data!I428="Completed","Yes","No")</f>
        <v>No</v>
      </c>
      <c r="J428" s="1" t="str">
        <f>IF(Back_End_Data!J428="Completed","Yes","No")</f>
        <v>No</v>
      </c>
      <c r="K428" s="1" t="str">
        <f>IF(Back_End_Data!K428="Completed","Yes","No")</f>
        <v>No</v>
      </c>
      <c r="L428" s="1" t="str">
        <f>IF(Back_End_Data!L428="", "No", Back_End_Data!L428)</f>
        <v>No</v>
      </c>
      <c r="M428" s="1" t="str">
        <f>IF(Back_End_Data!N428="", "No", Back_End_Data!N428)</f>
        <v>No</v>
      </c>
      <c r="N428" s="1" t="str">
        <f>IF(Back_End_Data!M428="", "No", Back_End_Data!M428)</f>
        <v>No</v>
      </c>
      <c r="O428" s="1" t="str">
        <f>IF(Back_End_Data!O428="Completed","Yes","No")</f>
        <v>No</v>
      </c>
      <c r="P428" s="1" t="str">
        <f>IF(Back_End_Data!H428="Completed","Yes","No")</f>
        <v>No</v>
      </c>
      <c r="Q428" s="1" t="str">
        <f>IF(Back_End_Data!P428="Completed","Yes","No")</f>
        <v>No</v>
      </c>
      <c r="R428" s="1" t="s">
        <v>2369</v>
      </c>
      <c r="S428" s="1" t="str">
        <f>IF(Back_End_Data!R428="Completed","Yes","No")</f>
        <v>No</v>
      </c>
      <c r="T428" s="1" t="str">
        <f>IF(Back_End_Data!S428="Yes","Yes","No")</f>
        <v>No</v>
      </c>
      <c r="U428" s="1" t="str">
        <f>IF(Back_End_Data!Q427="Completed","Yes","No")</f>
        <v>No</v>
      </c>
      <c r="V428" s="1" t="e">
        <f ca="1">IF(INDEX(MIS_Backend_Data!L:L, MATCH(D428, MIS_Backend_Data!B:B, 1)) = "WT", "Yes", "No")</f>
        <v>#N/A</v>
      </c>
      <c r="W428" s="2" t="str">
        <f t="shared" ca="1" si="18"/>
        <v/>
      </c>
      <c r="AA428" s="1">
        <f t="shared" ca="1" si="19"/>
        <v>0</v>
      </c>
      <c r="AG428" s="1" t="str">
        <f t="shared" si="20"/>
        <v/>
      </c>
    </row>
    <row r="429" spans="1:33" ht="20.25" customHeight="1">
      <c r="A429" s="13">
        <v>428</v>
      </c>
      <c r="H429" s="1" t="str">
        <f>IF(Back_End_Data!G429="Completed","Yes","No")</f>
        <v>No</v>
      </c>
      <c r="I429" s="1" t="str">
        <f>IF(Back_End_Data!I429="Completed","Yes","No")</f>
        <v>No</v>
      </c>
      <c r="J429" s="1" t="str">
        <f>IF(Back_End_Data!J429="Completed","Yes","No")</f>
        <v>No</v>
      </c>
      <c r="K429" s="1" t="str">
        <f>IF(Back_End_Data!K429="Completed","Yes","No")</f>
        <v>No</v>
      </c>
      <c r="L429" s="1" t="str">
        <f>IF(Back_End_Data!L429="", "No", Back_End_Data!L429)</f>
        <v>No</v>
      </c>
      <c r="M429" s="1" t="str">
        <f>IF(Back_End_Data!N429="", "No", Back_End_Data!N429)</f>
        <v>No</v>
      </c>
      <c r="N429" s="1" t="str">
        <f>IF(Back_End_Data!M429="", "No", Back_End_Data!M429)</f>
        <v>No</v>
      </c>
      <c r="O429" s="1" t="str">
        <f>IF(Back_End_Data!O429="Completed","Yes","No")</f>
        <v>No</v>
      </c>
      <c r="P429" s="1" t="str">
        <f>IF(Back_End_Data!H429="Completed","Yes","No")</f>
        <v>No</v>
      </c>
      <c r="Q429" s="1" t="str">
        <f>IF(Back_End_Data!P429="Completed","Yes","No")</f>
        <v>No</v>
      </c>
      <c r="R429" s="1" t="s">
        <v>2369</v>
      </c>
      <c r="S429" s="1" t="str">
        <f>IF(Back_End_Data!R429="Completed","Yes","No")</f>
        <v>No</v>
      </c>
      <c r="T429" s="1" t="str">
        <f>IF(Back_End_Data!S429="Yes","Yes","No")</f>
        <v>No</v>
      </c>
      <c r="U429" s="1" t="str">
        <f>IF(Back_End_Data!Q428="Completed","Yes","No")</f>
        <v>No</v>
      </c>
      <c r="V429" s="1" t="e">
        <f ca="1">IF(INDEX(MIS_Backend_Data!L:L, MATCH(D429, MIS_Backend_Data!B:B, 1)) = "WT", "Yes", "No")</f>
        <v>#N/A</v>
      </c>
      <c r="W429" s="2" t="str">
        <f t="shared" ca="1" si="18"/>
        <v/>
      </c>
      <c r="AA429" s="1">
        <f t="shared" ca="1" si="19"/>
        <v>0</v>
      </c>
      <c r="AG429" s="1" t="str">
        <f t="shared" si="20"/>
        <v/>
      </c>
    </row>
    <row r="430" spans="1:33" ht="20.25" customHeight="1">
      <c r="A430" s="13">
        <v>429</v>
      </c>
      <c r="H430" s="1" t="str">
        <f>IF(Back_End_Data!G430="Completed","Yes","No")</f>
        <v>No</v>
      </c>
      <c r="I430" s="1" t="str">
        <f>IF(Back_End_Data!I430="Completed","Yes","No")</f>
        <v>No</v>
      </c>
      <c r="J430" s="1" t="str">
        <f>IF(Back_End_Data!J430="Completed","Yes","No")</f>
        <v>No</v>
      </c>
      <c r="K430" s="1" t="str">
        <f>IF(Back_End_Data!K430="Completed","Yes","No")</f>
        <v>No</v>
      </c>
      <c r="L430" s="1" t="str">
        <f>IF(Back_End_Data!L430="", "No", Back_End_Data!L430)</f>
        <v>No</v>
      </c>
      <c r="M430" s="1" t="str">
        <f>IF(Back_End_Data!N430="", "No", Back_End_Data!N430)</f>
        <v>No</v>
      </c>
      <c r="N430" s="1" t="str">
        <f>IF(Back_End_Data!M430="", "No", Back_End_Data!M430)</f>
        <v>No</v>
      </c>
      <c r="O430" s="1" t="str">
        <f>IF(Back_End_Data!O430="Completed","Yes","No")</f>
        <v>No</v>
      </c>
      <c r="P430" s="1" t="str">
        <f>IF(Back_End_Data!H430="Completed","Yes","No")</f>
        <v>No</v>
      </c>
      <c r="Q430" s="1" t="str">
        <f>IF(Back_End_Data!P430="Completed","Yes","No")</f>
        <v>No</v>
      </c>
      <c r="R430" s="1" t="s">
        <v>2369</v>
      </c>
      <c r="S430" s="1" t="str">
        <f>IF(Back_End_Data!R430="Completed","Yes","No")</f>
        <v>No</v>
      </c>
      <c r="T430" s="1" t="str">
        <f>IF(Back_End_Data!S430="Yes","Yes","No")</f>
        <v>No</v>
      </c>
      <c r="U430" s="1" t="str">
        <f>IF(Back_End_Data!Q429="Completed","Yes","No")</f>
        <v>No</v>
      </c>
      <c r="V430" s="1" t="e">
        <f ca="1">IF(INDEX(MIS_Backend_Data!L:L, MATCH(D430, MIS_Backend_Data!B:B, 1)) = "WT", "Yes", "No")</f>
        <v>#N/A</v>
      </c>
      <c r="W430" s="2" t="str">
        <f t="shared" ca="1" si="18"/>
        <v/>
      </c>
      <c r="AA430" s="1">
        <f t="shared" ca="1" si="19"/>
        <v>0</v>
      </c>
      <c r="AG430" s="1" t="str">
        <f t="shared" si="20"/>
        <v/>
      </c>
    </row>
    <row r="431" spans="1:33" ht="20.25" customHeight="1">
      <c r="A431" s="13">
        <v>430</v>
      </c>
      <c r="H431" s="1" t="str">
        <f>IF(Back_End_Data!G431="Completed","Yes","No")</f>
        <v>No</v>
      </c>
      <c r="I431" s="1" t="str">
        <f>IF(Back_End_Data!I431="Completed","Yes","No")</f>
        <v>No</v>
      </c>
      <c r="J431" s="1" t="str">
        <f>IF(Back_End_Data!J431="Completed","Yes","No")</f>
        <v>No</v>
      </c>
      <c r="K431" s="1" t="str">
        <f>IF(Back_End_Data!K431="Completed","Yes","No")</f>
        <v>No</v>
      </c>
      <c r="L431" s="1" t="str">
        <f>IF(Back_End_Data!L431="", "No", Back_End_Data!L431)</f>
        <v>No</v>
      </c>
      <c r="M431" s="1" t="str">
        <f>IF(Back_End_Data!N431="", "No", Back_End_Data!N431)</f>
        <v>No</v>
      </c>
      <c r="N431" s="1" t="str">
        <f>IF(Back_End_Data!M431="", "No", Back_End_Data!M431)</f>
        <v>No</v>
      </c>
      <c r="O431" s="1" t="str">
        <f>IF(Back_End_Data!O431="Completed","Yes","No")</f>
        <v>No</v>
      </c>
      <c r="P431" s="1" t="str">
        <f>IF(Back_End_Data!H431="Completed","Yes","No")</f>
        <v>No</v>
      </c>
      <c r="Q431" s="1" t="str">
        <f>IF(Back_End_Data!P431="Completed","Yes","No")</f>
        <v>No</v>
      </c>
      <c r="R431" s="1" t="s">
        <v>2369</v>
      </c>
      <c r="S431" s="1" t="str">
        <f>IF(Back_End_Data!R431="Completed","Yes","No")</f>
        <v>No</v>
      </c>
      <c r="T431" s="1" t="str">
        <f>IF(Back_End_Data!S431="Yes","Yes","No")</f>
        <v>No</v>
      </c>
      <c r="U431" s="1" t="str">
        <f>IF(Back_End_Data!Q430="Completed","Yes","No")</f>
        <v>No</v>
      </c>
      <c r="V431" s="1" t="e">
        <f ca="1">IF(INDEX(MIS_Backend_Data!L:L, MATCH(D431, MIS_Backend_Data!B:B, 1)) = "WT", "Yes", "No")</f>
        <v>#N/A</v>
      </c>
      <c r="W431" s="2" t="str">
        <f t="shared" ca="1" si="18"/>
        <v/>
      </c>
      <c r="AA431" s="1">
        <f t="shared" ca="1" si="19"/>
        <v>0</v>
      </c>
      <c r="AG431" s="1" t="str">
        <f t="shared" si="20"/>
        <v/>
      </c>
    </row>
    <row r="432" spans="1:33" ht="20.25" customHeight="1">
      <c r="A432" s="13">
        <v>431</v>
      </c>
      <c r="H432" s="1" t="str">
        <f>IF(Back_End_Data!G432="Completed","Yes","No")</f>
        <v>No</v>
      </c>
      <c r="I432" s="1" t="str">
        <f>IF(Back_End_Data!I432="Completed","Yes","No")</f>
        <v>No</v>
      </c>
      <c r="J432" s="1" t="str">
        <f>IF(Back_End_Data!J432="Completed","Yes","No")</f>
        <v>No</v>
      </c>
      <c r="K432" s="1" t="str">
        <f>IF(Back_End_Data!K432="Completed","Yes","No")</f>
        <v>No</v>
      </c>
      <c r="L432" s="1" t="str">
        <f>IF(Back_End_Data!L432="", "No", Back_End_Data!L432)</f>
        <v>No</v>
      </c>
      <c r="M432" s="1" t="str">
        <f>IF(Back_End_Data!N432="", "No", Back_End_Data!N432)</f>
        <v>No</v>
      </c>
      <c r="N432" s="1" t="str">
        <f>IF(Back_End_Data!M432="", "No", Back_End_Data!M432)</f>
        <v>No</v>
      </c>
      <c r="O432" s="1" t="str">
        <f>IF(Back_End_Data!O432="Completed","Yes","No")</f>
        <v>No</v>
      </c>
      <c r="P432" s="1" t="str">
        <f>IF(Back_End_Data!H432="Completed","Yes","No")</f>
        <v>No</v>
      </c>
      <c r="Q432" s="1" t="str">
        <f>IF(Back_End_Data!P432="Completed","Yes","No")</f>
        <v>No</v>
      </c>
      <c r="R432" s="1" t="s">
        <v>2369</v>
      </c>
      <c r="S432" s="1" t="str">
        <f>IF(Back_End_Data!R432="Completed","Yes","No")</f>
        <v>No</v>
      </c>
      <c r="T432" s="1" t="str">
        <f>IF(Back_End_Data!S432="Yes","Yes","No")</f>
        <v>No</v>
      </c>
      <c r="U432" s="1" t="str">
        <f>IF(Back_End_Data!Q431="Completed","Yes","No")</f>
        <v>No</v>
      </c>
      <c r="V432" s="1" t="e">
        <f ca="1">IF(INDEX(MIS_Backend_Data!L:L, MATCH(D432, MIS_Backend_Data!B:B, 1)) = "WT", "Yes", "No")</f>
        <v>#N/A</v>
      </c>
      <c r="W432" s="2" t="str">
        <f t="shared" ca="1" si="18"/>
        <v/>
      </c>
      <c r="AA432" s="1">
        <f t="shared" ca="1" si="19"/>
        <v>0</v>
      </c>
      <c r="AG432" s="1" t="str">
        <f t="shared" si="20"/>
        <v/>
      </c>
    </row>
    <row r="433" spans="1:33" ht="20.25" customHeight="1">
      <c r="A433" s="13">
        <v>432</v>
      </c>
      <c r="H433" s="1" t="str">
        <f>IF(Back_End_Data!G433="Completed","Yes","No")</f>
        <v>No</v>
      </c>
      <c r="I433" s="1" t="str">
        <f>IF(Back_End_Data!I433="Completed","Yes","No")</f>
        <v>No</v>
      </c>
      <c r="J433" s="1" t="str">
        <f>IF(Back_End_Data!J433="Completed","Yes","No")</f>
        <v>No</v>
      </c>
      <c r="K433" s="1" t="str">
        <f>IF(Back_End_Data!K433="Completed","Yes","No")</f>
        <v>No</v>
      </c>
      <c r="L433" s="1" t="str">
        <f>IF(Back_End_Data!L433="", "No", Back_End_Data!L433)</f>
        <v>No</v>
      </c>
      <c r="M433" s="1" t="str">
        <f>IF(Back_End_Data!N433="", "No", Back_End_Data!N433)</f>
        <v>No</v>
      </c>
      <c r="N433" s="1" t="str">
        <f>IF(Back_End_Data!M433="", "No", Back_End_Data!M433)</f>
        <v>No</v>
      </c>
      <c r="O433" s="1" t="str">
        <f>IF(Back_End_Data!O433="Completed","Yes","No")</f>
        <v>No</v>
      </c>
      <c r="P433" s="1" t="str">
        <f>IF(Back_End_Data!H433="Completed","Yes","No")</f>
        <v>No</v>
      </c>
      <c r="Q433" s="1" t="str">
        <f>IF(Back_End_Data!P433="Completed","Yes","No")</f>
        <v>No</v>
      </c>
      <c r="R433" s="1" t="s">
        <v>2369</v>
      </c>
      <c r="S433" s="1" t="str">
        <f>IF(Back_End_Data!R433="Completed","Yes","No")</f>
        <v>No</v>
      </c>
      <c r="T433" s="1" t="str">
        <f>IF(Back_End_Data!S433="Yes","Yes","No")</f>
        <v>No</v>
      </c>
      <c r="U433" s="1" t="str">
        <f>IF(Back_End_Data!Q432="Completed","Yes","No")</f>
        <v>No</v>
      </c>
      <c r="V433" s="1" t="e">
        <f ca="1">IF(INDEX(MIS_Backend_Data!L:L, MATCH(D433, MIS_Backend_Data!B:B, 1)) = "WT", "Yes", "No")</f>
        <v>#N/A</v>
      </c>
      <c r="W433" s="2" t="str">
        <f t="shared" ca="1" si="18"/>
        <v/>
      </c>
      <c r="AA433" s="1">
        <f t="shared" ca="1" si="19"/>
        <v>0</v>
      </c>
      <c r="AG433" s="1" t="str">
        <f t="shared" si="20"/>
        <v/>
      </c>
    </row>
    <row r="434" spans="1:33" ht="20.25" customHeight="1">
      <c r="A434" s="13">
        <v>433</v>
      </c>
      <c r="H434" s="1" t="str">
        <f>IF(Back_End_Data!G434="Completed","Yes","No")</f>
        <v>No</v>
      </c>
      <c r="I434" s="1" t="str">
        <f>IF(Back_End_Data!I434="Completed","Yes","No")</f>
        <v>No</v>
      </c>
      <c r="J434" s="1" t="str">
        <f>IF(Back_End_Data!J434="Completed","Yes","No")</f>
        <v>No</v>
      </c>
      <c r="K434" s="1" t="str">
        <f>IF(Back_End_Data!K434="Completed","Yes","No")</f>
        <v>No</v>
      </c>
      <c r="L434" s="1" t="str">
        <f>IF(Back_End_Data!L434="", "No", Back_End_Data!L434)</f>
        <v>No</v>
      </c>
      <c r="M434" s="1" t="str">
        <f>IF(Back_End_Data!N434="", "No", Back_End_Data!N434)</f>
        <v>No</v>
      </c>
      <c r="N434" s="1" t="str">
        <f>IF(Back_End_Data!M434="", "No", Back_End_Data!M434)</f>
        <v>No</v>
      </c>
      <c r="O434" s="1" t="str">
        <f>IF(Back_End_Data!O434="Completed","Yes","No")</f>
        <v>No</v>
      </c>
      <c r="P434" s="1" t="str">
        <f>IF(Back_End_Data!H434="Completed","Yes","No")</f>
        <v>No</v>
      </c>
      <c r="Q434" s="1" t="str">
        <f>IF(Back_End_Data!P434="Completed","Yes","No")</f>
        <v>No</v>
      </c>
      <c r="R434" s="1" t="s">
        <v>2369</v>
      </c>
      <c r="S434" s="1" t="str">
        <f>IF(Back_End_Data!R434="Completed","Yes","No")</f>
        <v>No</v>
      </c>
      <c r="T434" s="1" t="str">
        <f>IF(Back_End_Data!S434="Yes","Yes","No")</f>
        <v>No</v>
      </c>
      <c r="U434" s="1" t="str">
        <f>IF(Back_End_Data!Q433="Completed","Yes","No")</f>
        <v>No</v>
      </c>
      <c r="V434" s="1" t="e">
        <f ca="1">IF(INDEX(MIS_Backend_Data!L:L, MATCH(D434, MIS_Backend_Data!B:B, 1)) = "WT", "Yes", "No")</f>
        <v>#N/A</v>
      </c>
      <c r="W434" s="2" t="str">
        <f t="shared" ca="1" si="18"/>
        <v/>
      </c>
      <c r="AA434" s="1">
        <f t="shared" ca="1" si="19"/>
        <v>0</v>
      </c>
      <c r="AG434" s="1" t="str">
        <f t="shared" si="20"/>
        <v/>
      </c>
    </row>
    <row r="435" spans="1:33" ht="20.25" customHeight="1">
      <c r="A435" s="13">
        <v>434</v>
      </c>
      <c r="H435" s="1" t="str">
        <f>IF(Back_End_Data!G435="Completed","Yes","No")</f>
        <v>No</v>
      </c>
      <c r="I435" s="1" t="str">
        <f>IF(Back_End_Data!I435="Completed","Yes","No")</f>
        <v>No</v>
      </c>
      <c r="J435" s="1" t="str">
        <f>IF(Back_End_Data!J435="Completed","Yes","No")</f>
        <v>No</v>
      </c>
      <c r="K435" s="1" t="str">
        <f>IF(Back_End_Data!K435="Completed","Yes","No")</f>
        <v>No</v>
      </c>
      <c r="L435" s="1" t="str">
        <f>IF(Back_End_Data!L435="", "No", Back_End_Data!L435)</f>
        <v>No</v>
      </c>
      <c r="M435" s="1" t="str">
        <f>IF(Back_End_Data!N435="", "No", Back_End_Data!N435)</f>
        <v>No</v>
      </c>
      <c r="N435" s="1" t="str">
        <f>IF(Back_End_Data!M435="", "No", Back_End_Data!M435)</f>
        <v>No</v>
      </c>
      <c r="O435" s="1" t="str">
        <f>IF(Back_End_Data!O435="Completed","Yes","No")</f>
        <v>No</v>
      </c>
      <c r="P435" s="1" t="str">
        <f>IF(Back_End_Data!H435="Completed","Yes","No")</f>
        <v>No</v>
      </c>
      <c r="Q435" s="1" t="str">
        <f>IF(Back_End_Data!P435="Completed","Yes","No")</f>
        <v>No</v>
      </c>
      <c r="R435" s="1" t="s">
        <v>2369</v>
      </c>
      <c r="S435" s="1" t="str">
        <f>IF(Back_End_Data!R435="Completed","Yes","No")</f>
        <v>No</v>
      </c>
      <c r="T435" s="1" t="str">
        <f>IF(Back_End_Data!S435="Yes","Yes","No")</f>
        <v>No</v>
      </c>
      <c r="U435" s="1" t="str">
        <f>IF(Back_End_Data!Q434="Completed","Yes","No")</f>
        <v>No</v>
      </c>
      <c r="V435" s="1" t="e">
        <f ca="1">IF(INDEX(MIS_Backend_Data!L:L, MATCH(D435, MIS_Backend_Data!B:B, 1)) = "WT", "Yes", "No")</f>
        <v>#N/A</v>
      </c>
      <c r="W435" s="2" t="str">
        <f t="shared" ca="1" si="18"/>
        <v/>
      </c>
      <c r="AA435" s="1">
        <f t="shared" ca="1" si="19"/>
        <v>0</v>
      </c>
      <c r="AG435" s="1" t="str">
        <f t="shared" si="20"/>
        <v/>
      </c>
    </row>
    <row r="436" spans="1:33" ht="20.25" customHeight="1">
      <c r="A436" s="13">
        <v>435</v>
      </c>
      <c r="H436" s="1" t="str">
        <f>IF(Back_End_Data!G436="Completed","Yes","No")</f>
        <v>No</v>
      </c>
      <c r="I436" s="1" t="str">
        <f>IF(Back_End_Data!I436="Completed","Yes","No")</f>
        <v>No</v>
      </c>
      <c r="J436" s="1" t="str">
        <f>IF(Back_End_Data!J436="Completed","Yes","No")</f>
        <v>No</v>
      </c>
      <c r="K436" s="1" t="str">
        <f>IF(Back_End_Data!K436="Completed","Yes","No")</f>
        <v>No</v>
      </c>
      <c r="L436" s="1" t="str">
        <f>IF(Back_End_Data!L436="", "No", Back_End_Data!L436)</f>
        <v>No</v>
      </c>
      <c r="M436" s="1" t="str">
        <f>IF(Back_End_Data!N436="", "No", Back_End_Data!N436)</f>
        <v>No</v>
      </c>
      <c r="N436" s="1" t="str">
        <f>IF(Back_End_Data!M436="", "No", Back_End_Data!M436)</f>
        <v>No</v>
      </c>
      <c r="O436" s="1" t="str">
        <f>IF(Back_End_Data!O436="Completed","Yes","No")</f>
        <v>No</v>
      </c>
      <c r="P436" s="1" t="str">
        <f>IF(Back_End_Data!H436="Completed","Yes","No")</f>
        <v>No</v>
      </c>
      <c r="Q436" s="1" t="str">
        <f>IF(Back_End_Data!P436="Completed","Yes","No")</f>
        <v>No</v>
      </c>
      <c r="R436" s="1" t="s">
        <v>2369</v>
      </c>
      <c r="S436" s="1" t="str">
        <f>IF(Back_End_Data!R436="Completed","Yes","No")</f>
        <v>No</v>
      </c>
      <c r="T436" s="1" t="str">
        <f>IF(Back_End_Data!S436="Yes","Yes","No")</f>
        <v>No</v>
      </c>
      <c r="U436" s="1" t="str">
        <f>IF(Back_End_Data!Q435="Completed","Yes","No")</f>
        <v>No</v>
      </c>
      <c r="V436" s="1" t="e">
        <f ca="1">IF(INDEX(MIS_Backend_Data!L:L, MATCH(D436, MIS_Backend_Data!B:B, 1)) = "WT", "Yes", "No")</f>
        <v>#N/A</v>
      </c>
      <c r="W436" s="2" t="str">
        <f t="shared" ca="1" si="18"/>
        <v/>
      </c>
      <c r="AA436" s="1">
        <f t="shared" ca="1" si="19"/>
        <v>0</v>
      </c>
      <c r="AG436" s="1" t="str">
        <f t="shared" si="20"/>
        <v/>
      </c>
    </row>
    <row r="437" spans="1:33" ht="20.25" customHeight="1">
      <c r="A437" s="13">
        <v>436</v>
      </c>
      <c r="H437" s="1" t="str">
        <f>IF(Back_End_Data!G437="Completed","Yes","No")</f>
        <v>No</v>
      </c>
      <c r="I437" s="1" t="str">
        <f>IF(Back_End_Data!I437="Completed","Yes","No")</f>
        <v>No</v>
      </c>
      <c r="J437" s="1" t="str">
        <f>IF(Back_End_Data!J437="Completed","Yes","No")</f>
        <v>No</v>
      </c>
      <c r="K437" s="1" t="str">
        <f>IF(Back_End_Data!K437="Completed","Yes","No")</f>
        <v>No</v>
      </c>
      <c r="L437" s="1" t="str">
        <f>IF(Back_End_Data!L437="", "No", Back_End_Data!L437)</f>
        <v>No</v>
      </c>
      <c r="M437" s="1" t="str">
        <f>IF(Back_End_Data!N437="", "No", Back_End_Data!N437)</f>
        <v>No</v>
      </c>
      <c r="N437" s="1" t="str">
        <f>IF(Back_End_Data!M437="", "No", Back_End_Data!M437)</f>
        <v>No</v>
      </c>
      <c r="O437" s="1" t="str">
        <f>IF(Back_End_Data!O437="Completed","Yes","No")</f>
        <v>No</v>
      </c>
      <c r="P437" s="1" t="str">
        <f>IF(Back_End_Data!H437="Completed","Yes","No")</f>
        <v>No</v>
      </c>
      <c r="Q437" s="1" t="str">
        <f>IF(Back_End_Data!P437="Completed","Yes","No")</f>
        <v>No</v>
      </c>
      <c r="R437" s="1" t="s">
        <v>2369</v>
      </c>
      <c r="S437" s="1" t="str">
        <f>IF(Back_End_Data!R437="Completed","Yes","No")</f>
        <v>No</v>
      </c>
      <c r="T437" s="1" t="str">
        <f>IF(Back_End_Data!S437="Yes","Yes","No")</f>
        <v>No</v>
      </c>
      <c r="U437" s="1" t="str">
        <f>IF(Back_End_Data!Q436="Completed","Yes","No")</f>
        <v>No</v>
      </c>
      <c r="V437" s="1" t="e">
        <f ca="1">IF(INDEX(MIS_Backend_Data!L:L, MATCH(D437, MIS_Backend_Data!B:B, 1)) = "WT", "Yes", "No")</f>
        <v>#N/A</v>
      </c>
      <c r="W437" s="2" t="str">
        <f t="shared" ca="1" si="18"/>
        <v/>
      </c>
      <c r="AA437" s="1">
        <f t="shared" ca="1" si="19"/>
        <v>0</v>
      </c>
      <c r="AG437" s="1" t="str">
        <f t="shared" si="20"/>
        <v/>
      </c>
    </row>
    <row r="438" spans="1:33" ht="20.25" customHeight="1">
      <c r="A438" s="13">
        <v>437</v>
      </c>
      <c r="H438" s="1" t="str">
        <f>IF(Back_End_Data!G438="Completed","Yes","No")</f>
        <v>No</v>
      </c>
      <c r="I438" s="1" t="str">
        <f>IF(Back_End_Data!I438="Completed","Yes","No")</f>
        <v>No</v>
      </c>
      <c r="J438" s="1" t="str">
        <f>IF(Back_End_Data!J438="Completed","Yes","No")</f>
        <v>No</v>
      </c>
      <c r="K438" s="1" t="str">
        <f>IF(Back_End_Data!K438="Completed","Yes","No")</f>
        <v>No</v>
      </c>
      <c r="L438" s="1" t="str">
        <f>IF(Back_End_Data!L438="", "No", Back_End_Data!L438)</f>
        <v>No</v>
      </c>
      <c r="M438" s="1" t="str">
        <f>IF(Back_End_Data!N438="", "No", Back_End_Data!N438)</f>
        <v>No</v>
      </c>
      <c r="N438" s="1" t="str">
        <f>IF(Back_End_Data!M438="", "No", Back_End_Data!M438)</f>
        <v>No</v>
      </c>
      <c r="O438" s="1" t="str">
        <f>IF(Back_End_Data!O438="Completed","Yes","No")</f>
        <v>No</v>
      </c>
      <c r="P438" s="1" t="str">
        <f>IF(Back_End_Data!H438="Completed","Yes","No")</f>
        <v>No</v>
      </c>
      <c r="Q438" s="1" t="str">
        <f>IF(Back_End_Data!P438="Completed","Yes","No")</f>
        <v>No</v>
      </c>
      <c r="R438" s="1" t="s">
        <v>2369</v>
      </c>
      <c r="S438" s="1" t="str">
        <f>IF(Back_End_Data!R438="Completed","Yes","No")</f>
        <v>No</v>
      </c>
      <c r="T438" s="1" t="str">
        <f>IF(Back_End_Data!S438="Yes","Yes","No")</f>
        <v>No</v>
      </c>
      <c r="U438" s="1" t="str">
        <f>IF(Back_End_Data!Q437="Completed","Yes","No")</f>
        <v>No</v>
      </c>
      <c r="V438" s="1" t="e">
        <f ca="1">IF(INDEX(MIS_Backend_Data!L:L, MATCH(D438, MIS_Backend_Data!B:B, 1)) = "WT", "Yes", "No")</f>
        <v>#N/A</v>
      </c>
      <c r="W438" s="2" t="str">
        <f t="shared" ca="1" si="18"/>
        <v/>
      </c>
      <c r="AA438" s="1">
        <f t="shared" ca="1" si="19"/>
        <v>0</v>
      </c>
      <c r="AG438" s="1" t="str">
        <f t="shared" si="20"/>
        <v/>
      </c>
    </row>
    <row r="439" spans="1:33" ht="20.25" customHeight="1">
      <c r="A439" s="13">
        <v>438</v>
      </c>
      <c r="H439" s="1" t="str">
        <f>IF(Back_End_Data!G439="Completed","Yes","No")</f>
        <v>No</v>
      </c>
      <c r="I439" s="1" t="str">
        <f>IF(Back_End_Data!I439="Completed","Yes","No")</f>
        <v>No</v>
      </c>
      <c r="J439" s="1" t="str">
        <f>IF(Back_End_Data!J439="Completed","Yes","No")</f>
        <v>No</v>
      </c>
      <c r="K439" s="1" t="str">
        <f>IF(Back_End_Data!K439="Completed","Yes","No")</f>
        <v>No</v>
      </c>
      <c r="L439" s="1" t="str">
        <f>IF(Back_End_Data!L439="", "No", Back_End_Data!L439)</f>
        <v>No</v>
      </c>
      <c r="M439" s="1" t="str">
        <f>IF(Back_End_Data!N439="", "No", Back_End_Data!N439)</f>
        <v>No</v>
      </c>
      <c r="N439" s="1" t="str">
        <f>IF(Back_End_Data!M439="", "No", Back_End_Data!M439)</f>
        <v>No</v>
      </c>
      <c r="O439" s="1" t="str">
        <f>IF(Back_End_Data!O439="Completed","Yes","No")</f>
        <v>No</v>
      </c>
      <c r="P439" s="1" t="str">
        <f>IF(Back_End_Data!H439="Completed","Yes","No")</f>
        <v>No</v>
      </c>
      <c r="Q439" s="1" t="str">
        <f>IF(Back_End_Data!P439="Completed","Yes","No")</f>
        <v>No</v>
      </c>
      <c r="R439" s="1" t="s">
        <v>2369</v>
      </c>
      <c r="S439" s="1" t="str">
        <f>IF(Back_End_Data!R439="Completed","Yes","No")</f>
        <v>No</v>
      </c>
      <c r="T439" s="1" t="str">
        <f>IF(Back_End_Data!S439="Yes","Yes","No")</f>
        <v>No</v>
      </c>
      <c r="U439" s="1" t="str">
        <f>IF(Back_End_Data!Q438="Completed","Yes","No")</f>
        <v>No</v>
      </c>
      <c r="V439" s="1" t="e">
        <f ca="1">IF(INDEX(MIS_Backend_Data!L:L, MATCH(D439, MIS_Backend_Data!B:B, 1)) = "WT", "Yes", "No")</f>
        <v>#N/A</v>
      </c>
      <c r="W439" s="2" t="str">
        <f t="shared" ca="1" si="18"/>
        <v/>
      </c>
      <c r="AA439" s="1">
        <f t="shared" ca="1" si="19"/>
        <v>0</v>
      </c>
      <c r="AG439" s="1" t="str">
        <f t="shared" si="20"/>
        <v/>
      </c>
    </row>
    <row r="440" spans="1:33" ht="20.25" customHeight="1">
      <c r="A440" s="13">
        <v>439</v>
      </c>
      <c r="H440" s="1" t="str">
        <f>IF(Back_End_Data!G440="Completed","Yes","No")</f>
        <v>No</v>
      </c>
      <c r="I440" s="1" t="str">
        <f>IF(Back_End_Data!I440="Completed","Yes","No")</f>
        <v>No</v>
      </c>
      <c r="J440" s="1" t="str">
        <f>IF(Back_End_Data!J440="Completed","Yes","No")</f>
        <v>No</v>
      </c>
      <c r="K440" s="1" t="str">
        <f>IF(Back_End_Data!K440="Completed","Yes","No")</f>
        <v>No</v>
      </c>
      <c r="L440" s="1" t="str">
        <f>IF(Back_End_Data!L440="", "No", Back_End_Data!L440)</f>
        <v>No</v>
      </c>
      <c r="M440" s="1" t="str">
        <f>IF(Back_End_Data!N440="", "No", Back_End_Data!N440)</f>
        <v>No</v>
      </c>
      <c r="N440" s="1" t="str">
        <f>IF(Back_End_Data!M440="", "No", Back_End_Data!M440)</f>
        <v>No</v>
      </c>
      <c r="O440" s="1" t="str">
        <f>IF(Back_End_Data!O440="Completed","Yes","No")</f>
        <v>No</v>
      </c>
      <c r="P440" s="1" t="str">
        <f>IF(Back_End_Data!H440="Completed","Yes","No")</f>
        <v>No</v>
      </c>
      <c r="Q440" s="1" t="str">
        <f>IF(Back_End_Data!P440="Completed","Yes","No")</f>
        <v>No</v>
      </c>
      <c r="R440" s="1" t="s">
        <v>2369</v>
      </c>
      <c r="S440" s="1" t="str">
        <f>IF(Back_End_Data!R440="Completed","Yes","No")</f>
        <v>No</v>
      </c>
      <c r="T440" s="1" t="str">
        <f>IF(Back_End_Data!S440="Yes","Yes","No")</f>
        <v>No</v>
      </c>
      <c r="U440" s="1" t="str">
        <f>IF(Back_End_Data!Q439="Completed","Yes","No")</f>
        <v>No</v>
      </c>
      <c r="V440" s="1" t="e">
        <f ca="1">IF(INDEX(MIS_Backend_Data!L:L, MATCH(D440, MIS_Backend_Data!B:B, 1)) = "WT", "Yes", "No")</f>
        <v>#N/A</v>
      </c>
      <c r="W440" s="2" t="str">
        <f t="shared" ca="1" si="18"/>
        <v/>
      </c>
      <c r="AA440" s="1">
        <f t="shared" ca="1" si="19"/>
        <v>0</v>
      </c>
      <c r="AG440" s="1" t="str">
        <f t="shared" si="20"/>
        <v/>
      </c>
    </row>
    <row r="441" spans="1:33" ht="20.25" customHeight="1">
      <c r="A441" s="13">
        <v>440</v>
      </c>
      <c r="H441" s="1" t="str">
        <f>IF(Back_End_Data!G441="Completed","Yes","No")</f>
        <v>No</v>
      </c>
      <c r="I441" s="1" t="str">
        <f>IF(Back_End_Data!I441="Completed","Yes","No")</f>
        <v>No</v>
      </c>
      <c r="J441" s="1" t="str">
        <f>IF(Back_End_Data!J441="Completed","Yes","No")</f>
        <v>No</v>
      </c>
      <c r="K441" s="1" t="str">
        <f>IF(Back_End_Data!K441="Completed","Yes","No")</f>
        <v>No</v>
      </c>
      <c r="L441" s="1" t="str">
        <f>IF(Back_End_Data!L441="", "No", Back_End_Data!L441)</f>
        <v>No</v>
      </c>
      <c r="M441" s="1" t="str">
        <f>IF(Back_End_Data!N441="", "No", Back_End_Data!N441)</f>
        <v>No</v>
      </c>
      <c r="N441" s="1" t="str">
        <f>IF(Back_End_Data!M441="", "No", Back_End_Data!M441)</f>
        <v>No</v>
      </c>
      <c r="O441" s="1" t="str">
        <f>IF(Back_End_Data!O441="Completed","Yes","No")</f>
        <v>No</v>
      </c>
      <c r="P441" s="1" t="str">
        <f>IF(Back_End_Data!H441="Completed","Yes","No")</f>
        <v>No</v>
      </c>
      <c r="Q441" s="1" t="str">
        <f>IF(Back_End_Data!P441="Completed","Yes","No")</f>
        <v>No</v>
      </c>
      <c r="R441" s="1" t="s">
        <v>2369</v>
      </c>
      <c r="S441" s="1" t="str">
        <f>IF(Back_End_Data!R441="Completed","Yes","No")</f>
        <v>No</v>
      </c>
      <c r="T441" s="1" t="str">
        <f>IF(Back_End_Data!S441="Yes","Yes","No")</f>
        <v>No</v>
      </c>
      <c r="U441" s="1" t="str">
        <f>IF(Back_End_Data!Q440="Completed","Yes","No")</f>
        <v>No</v>
      </c>
      <c r="V441" s="1" t="e">
        <f ca="1">IF(INDEX(MIS_Backend_Data!L:L, MATCH(D441, MIS_Backend_Data!B:B, 1)) = "WT", "Yes", "No")</f>
        <v>#N/A</v>
      </c>
      <c r="W441" s="2" t="str">
        <f t="shared" ca="1" si="18"/>
        <v/>
      </c>
      <c r="AA441" s="1">
        <f t="shared" ca="1" si="19"/>
        <v>0</v>
      </c>
      <c r="AG441" s="1" t="str">
        <f t="shared" si="20"/>
        <v/>
      </c>
    </row>
    <row r="442" spans="1:33" ht="20.25" customHeight="1">
      <c r="A442" s="13">
        <v>441</v>
      </c>
      <c r="H442" s="1" t="str">
        <f>IF(Back_End_Data!G442="Completed","Yes","No")</f>
        <v>No</v>
      </c>
      <c r="I442" s="1" t="str">
        <f>IF(Back_End_Data!I442="Completed","Yes","No")</f>
        <v>No</v>
      </c>
      <c r="J442" s="1" t="str">
        <f>IF(Back_End_Data!J442="Completed","Yes","No")</f>
        <v>No</v>
      </c>
      <c r="K442" s="1" t="str">
        <f>IF(Back_End_Data!K442="Completed","Yes","No")</f>
        <v>No</v>
      </c>
      <c r="L442" s="1" t="str">
        <f>IF(Back_End_Data!L442="", "No", Back_End_Data!L442)</f>
        <v>No</v>
      </c>
      <c r="M442" s="1" t="str">
        <f>IF(Back_End_Data!N442="", "No", Back_End_Data!N442)</f>
        <v>No</v>
      </c>
      <c r="N442" s="1" t="str">
        <f>IF(Back_End_Data!M442="", "No", Back_End_Data!M442)</f>
        <v>No</v>
      </c>
      <c r="O442" s="1" t="str">
        <f>IF(Back_End_Data!O442="Completed","Yes","No")</f>
        <v>No</v>
      </c>
      <c r="P442" s="1" t="str">
        <f>IF(Back_End_Data!H442="Completed","Yes","No")</f>
        <v>No</v>
      </c>
      <c r="Q442" s="1" t="str">
        <f>IF(Back_End_Data!P442="Completed","Yes","No")</f>
        <v>No</v>
      </c>
      <c r="R442" s="1" t="s">
        <v>2369</v>
      </c>
      <c r="S442" s="1" t="str">
        <f>IF(Back_End_Data!R442="Completed","Yes","No")</f>
        <v>No</v>
      </c>
      <c r="T442" s="1" t="str">
        <f>IF(Back_End_Data!S442="Yes","Yes","No")</f>
        <v>No</v>
      </c>
      <c r="U442" s="1" t="str">
        <f>IF(Back_End_Data!Q441="Completed","Yes","No")</f>
        <v>No</v>
      </c>
      <c r="V442" s="1" t="e">
        <f ca="1">IF(INDEX(MIS_Backend_Data!L:L, MATCH(D442, MIS_Backend_Data!B:B, 1)) = "WT", "Yes", "No")</f>
        <v>#N/A</v>
      </c>
      <c r="W442" s="2" t="str">
        <f t="shared" ca="1" si="18"/>
        <v/>
      </c>
      <c r="AA442" s="1">
        <f t="shared" ca="1" si="19"/>
        <v>0</v>
      </c>
      <c r="AG442" s="1" t="str">
        <f t="shared" si="20"/>
        <v/>
      </c>
    </row>
    <row r="443" spans="1:33" ht="20.25" customHeight="1">
      <c r="A443" s="13">
        <v>442</v>
      </c>
      <c r="H443" s="1" t="str">
        <f>IF(Back_End_Data!G443="Completed","Yes","No")</f>
        <v>No</v>
      </c>
      <c r="I443" s="1" t="str">
        <f>IF(Back_End_Data!I443="Completed","Yes","No")</f>
        <v>No</v>
      </c>
      <c r="J443" s="1" t="str">
        <f>IF(Back_End_Data!J443="Completed","Yes","No")</f>
        <v>No</v>
      </c>
      <c r="K443" s="1" t="str">
        <f>IF(Back_End_Data!K443="Completed","Yes","No")</f>
        <v>No</v>
      </c>
      <c r="L443" s="1" t="str">
        <f>IF(Back_End_Data!L443="", "No", Back_End_Data!L443)</f>
        <v>No</v>
      </c>
      <c r="M443" s="1" t="str">
        <f>IF(Back_End_Data!N443="", "No", Back_End_Data!N443)</f>
        <v>No</v>
      </c>
      <c r="N443" s="1" t="str">
        <f>IF(Back_End_Data!M443="", "No", Back_End_Data!M443)</f>
        <v>No</v>
      </c>
      <c r="O443" s="1" t="str">
        <f>IF(Back_End_Data!O443="Completed","Yes","No")</f>
        <v>No</v>
      </c>
      <c r="P443" s="1" t="str">
        <f>IF(Back_End_Data!H443="Completed","Yes","No")</f>
        <v>No</v>
      </c>
      <c r="Q443" s="1" t="str">
        <f>IF(Back_End_Data!P443="Completed","Yes","No")</f>
        <v>No</v>
      </c>
      <c r="R443" s="1" t="s">
        <v>2369</v>
      </c>
      <c r="S443" s="1" t="str">
        <f>IF(Back_End_Data!R443="Completed","Yes","No")</f>
        <v>No</v>
      </c>
      <c r="T443" s="1" t="str">
        <f>IF(Back_End_Data!S443="Yes","Yes","No")</f>
        <v>No</v>
      </c>
      <c r="U443" s="1" t="str">
        <f>IF(Back_End_Data!Q442="Completed","Yes","No")</f>
        <v>No</v>
      </c>
      <c r="V443" s="1" t="e">
        <f ca="1">IF(INDEX(MIS_Backend_Data!L:L, MATCH(D443, MIS_Backend_Data!B:B, 1)) = "WT", "Yes", "No")</f>
        <v>#N/A</v>
      </c>
      <c r="W443" s="2" t="str">
        <f t="shared" ca="1" si="18"/>
        <v/>
      </c>
      <c r="AA443" s="1">
        <f t="shared" ca="1" si="19"/>
        <v>0</v>
      </c>
      <c r="AG443" s="1" t="str">
        <f t="shared" si="20"/>
        <v/>
      </c>
    </row>
    <row r="444" spans="1:33" ht="20.25" customHeight="1">
      <c r="A444" s="13">
        <v>443</v>
      </c>
      <c r="H444" s="1" t="str">
        <f>IF(Back_End_Data!G444="Completed","Yes","No")</f>
        <v>No</v>
      </c>
      <c r="I444" s="1" t="str">
        <f>IF(Back_End_Data!I444="Completed","Yes","No")</f>
        <v>No</v>
      </c>
      <c r="J444" s="1" t="str">
        <f>IF(Back_End_Data!J444="Completed","Yes","No")</f>
        <v>No</v>
      </c>
      <c r="K444" s="1" t="str">
        <f>IF(Back_End_Data!K444="Completed","Yes","No")</f>
        <v>No</v>
      </c>
      <c r="L444" s="1" t="str">
        <f>IF(Back_End_Data!L444="", "No", Back_End_Data!L444)</f>
        <v>No</v>
      </c>
      <c r="M444" s="1" t="str">
        <f>IF(Back_End_Data!N444="", "No", Back_End_Data!N444)</f>
        <v>No</v>
      </c>
      <c r="N444" s="1" t="str">
        <f>IF(Back_End_Data!M444="", "No", Back_End_Data!M444)</f>
        <v>No</v>
      </c>
      <c r="O444" s="1" t="str">
        <f>IF(Back_End_Data!O444="Completed","Yes","No")</f>
        <v>No</v>
      </c>
      <c r="P444" s="1" t="str">
        <f>IF(Back_End_Data!H444="Completed","Yes","No")</f>
        <v>No</v>
      </c>
      <c r="Q444" s="1" t="str">
        <f>IF(Back_End_Data!P444="Completed","Yes","No")</f>
        <v>No</v>
      </c>
      <c r="R444" s="1" t="s">
        <v>2369</v>
      </c>
      <c r="S444" s="1" t="str">
        <f>IF(Back_End_Data!R444="Completed","Yes","No")</f>
        <v>No</v>
      </c>
      <c r="T444" s="1" t="str">
        <f>IF(Back_End_Data!S444="Yes","Yes","No")</f>
        <v>No</v>
      </c>
      <c r="U444" s="1" t="str">
        <f>IF(Back_End_Data!Q443="Completed","Yes","No")</f>
        <v>No</v>
      </c>
      <c r="V444" s="1" t="e">
        <f ca="1">IF(INDEX(MIS_Backend_Data!L:L, MATCH(D444, MIS_Backend_Data!B:B, 1)) = "WT", "Yes", "No")</f>
        <v>#N/A</v>
      </c>
      <c r="W444" s="2" t="str">
        <f t="shared" ca="1" si="18"/>
        <v/>
      </c>
      <c r="AA444" s="1">
        <f t="shared" ca="1" si="19"/>
        <v>0</v>
      </c>
      <c r="AG444" s="1" t="str">
        <f t="shared" si="20"/>
        <v/>
      </c>
    </row>
    <row r="445" spans="1:33" ht="20.25" customHeight="1">
      <c r="A445" s="13">
        <v>444</v>
      </c>
      <c r="H445" s="1" t="str">
        <f>IF(Back_End_Data!G445="Completed","Yes","No")</f>
        <v>No</v>
      </c>
      <c r="I445" s="1" t="str">
        <f>IF(Back_End_Data!I445="Completed","Yes","No")</f>
        <v>No</v>
      </c>
      <c r="J445" s="1" t="str">
        <f>IF(Back_End_Data!J445="Completed","Yes","No")</f>
        <v>No</v>
      </c>
      <c r="K445" s="1" t="str">
        <f>IF(Back_End_Data!K445="Completed","Yes","No")</f>
        <v>No</v>
      </c>
      <c r="L445" s="1" t="str">
        <f>IF(Back_End_Data!L445="", "No", Back_End_Data!L445)</f>
        <v>No</v>
      </c>
      <c r="M445" s="1" t="str">
        <f>IF(Back_End_Data!N445="", "No", Back_End_Data!N445)</f>
        <v>No</v>
      </c>
      <c r="N445" s="1" t="str">
        <f>IF(Back_End_Data!M445="", "No", Back_End_Data!M445)</f>
        <v>No</v>
      </c>
      <c r="O445" s="1" t="str">
        <f>IF(Back_End_Data!O445="Completed","Yes","No")</f>
        <v>No</v>
      </c>
      <c r="P445" s="1" t="str">
        <f>IF(Back_End_Data!H445="Completed","Yes","No")</f>
        <v>No</v>
      </c>
      <c r="Q445" s="1" t="str">
        <f>IF(Back_End_Data!P445="Completed","Yes","No")</f>
        <v>No</v>
      </c>
      <c r="R445" s="1" t="s">
        <v>2369</v>
      </c>
      <c r="S445" s="1" t="str">
        <f>IF(Back_End_Data!R445="Completed","Yes","No")</f>
        <v>No</v>
      </c>
      <c r="T445" s="1" t="str">
        <f>IF(Back_End_Data!S445="Yes","Yes","No")</f>
        <v>No</v>
      </c>
      <c r="U445" s="1" t="str">
        <f>IF(Back_End_Data!Q444="Completed","Yes","No")</f>
        <v>No</v>
      </c>
      <c r="V445" s="1" t="e">
        <f ca="1">IF(INDEX(MIS_Backend_Data!L:L, MATCH(D445, MIS_Backend_Data!B:B, 1)) = "WT", "Yes", "No")</f>
        <v>#N/A</v>
      </c>
      <c r="W445" s="2" t="str">
        <f t="shared" ca="1" si="18"/>
        <v/>
      </c>
      <c r="AA445" s="1">
        <f t="shared" ca="1" si="19"/>
        <v>0</v>
      </c>
      <c r="AG445" s="1" t="str">
        <f t="shared" si="20"/>
        <v/>
      </c>
    </row>
    <row r="446" spans="1:33" ht="20.25" customHeight="1">
      <c r="A446" s="13">
        <v>445</v>
      </c>
      <c r="H446" s="1" t="str">
        <f>IF(Back_End_Data!G446="Completed","Yes","No")</f>
        <v>No</v>
      </c>
      <c r="I446" s="1" t="str">
        <f>IF(Back_End_Data!I446="Completed","Yes","No")</f>
        <v>No</v>
      </c>
      <c r="J446" s="1" t="str">
        <f>IF(Back_End_Data!J446="Completed","Yes","No")</f>
        <v>No</v>
      </c>
      <c r="K446" s="1" t="str">
        <f>IF(Back_End_Data!K446="Completed","Yes","No")</f>
        <v>No</v>
      </c>
      <c r="L446" s="1" t="str">
        <f>IF(Back_End_Data!L446="", "No", Back_End_Data!L446)</f>
        <v>No</v>
      </c>
      <c r="M446" s="1" t="str">
        <f>IF(Back_End_Data!N446="", "No", Back_End_Data!N446)</f>
        <v>No</v>
      </c>
      <c r="N446" s="1" t="str">
        <f>IF(Back_End_Data!M446="", "No", Back_End_Data!M446)</f>
        <v>No</v>
      </c>
      <c r="O446" s="1" t="str">
        <f>IF(Back_End_Data!O446="Completed","Yes","No")</f>
        <v>No</v>
      </c>
      <c r="P446" s="1" t="str">
        <f>IF(Back_End_Data!H446="Completed","Yes","No")</f>
        <v>No</v>
      </c>
      <c r="Q446" s="1" t="str">
        <f>IF(Back_End_Data!P446="Completed","Yes","No")</f>
        <v>No</v>
      </c>
      <c r="R446" s="1" t="s">
        <v>2369</v>
      </c>
      <c r="S446" s="1" t="str">
        <f>IF(Back_End_Data!R446="Completed","Yes","No")</f>
        <v>No</v>
      </c>
      <c r="T446" s="1" t="str">
        <f>IF(Back_End_Data!S446="Yes","Yes","No")</f>
        <v>No</v>
      </c>
      <c r="U446" s="1" t="str">
        <f>IF(Back_End_Data!Q445="Completed","Yes","No")</f>
        <v>No</v>
      </c>
      <c r="V446" s="1" t="e">
        <f ca="1">IF(INDEX(MIS_Backend_Data!L:L, MATCH(D446, MIS_Backend_Data!B:B, 1)) = "WT", "Yes", "No")</f>
        <v>#N/A</v>
      </c>
      <c r="W446" s="2" t="str">
        <f t="shared" ca="1" si="18"/>
        <v/>
      </c>
      <c r="AA446" s="1">
        <f t="shared" ca="1" si="19"/>
        <v>0</v>
      </c>
      <c r="AG446" s="1" t="str">
        <f t="shared" si="20"/>
        <v/>
      </c>
    </row>
    <row r="447" spans="1:33" ht="20.25" customHeight="1">
      <c r="A447" s="13">
        <v>446</v>
      </c>
      <c r="H447" s="1" t="str">
        <f>IF(Back_End_Data!G447="Completed","Yes","No")</f>
        <v>No</v>
      </c>
      <c r="I447" s="1" t="str">
        <f>IF(Back_End_Data!I447="Completed","Yes","No")</f>
        <v>No</v>
      </c>
      <c r="J447" s="1" t="str">
        <f>IF(Back_End_Data!J447="Completed","Yes","No")</f>
        <v>No</v>
      </c>
      <c r="K447" s="1" t="str">
        <f>IF(Back_End_Data!K447="Completed","Yes","No")</f>
        <v>No</v>
      </c>
      <c r="L447" s="1" t="str">
        <f>IF(Back_End_Data!L447="", "No", Back_End_Data!L447)</f>
        <v>No</v>
      </c>
      <c r="M447" s="1" t="str">
        <f>IF(Back_End_Data!N447="", "No", Back_End_Data!N447)</f>
        <v>No</v>
      </c>
      <c r="N447" s="1" t="str">
        <f>IF(Back_End_Data!M447="", "No", Back_End_Data!M447)</f>
        <v>No</v>
      </c>
      <c r="O447" s="1" t="str">
        <f>IF(Back_End_Data!O447="Completed","Yes","No")</f>
        <v>No</v>
      </c>
      <c r="P447" s="1" t="str">
        <f>IF(Back_End_Data!H447="Completed","Yes","No")</f>
        <v>No</v>
      </c>
      <c r="Q447" s="1" t="str">
        <f>IF(Back_End_Data!P447="Completed","Yes","No")</f>
        <v>No</v>
      </c>
      <c r="R447" s="1" t="s">
        <v>2369</v>
      </c>
      <c r="S447" s="1" t="str">
        <f>IF(Back_End_Data!R447="Completed","Yes","No")</f>
        <v>No</v>
      </c>
      <c r="T447" s="1" t="str">
        <f>IF(Back_End_Data!S447="Yes","Yes","No")</f>
        <v>No</v>
      </c>
      <c r="U447" s="1" t="str">
        <f>IF(Back_End_Data!Q446="Completed","Yes","No")</f>
        <v>No</v>
      </c>
      <c r="V447" s="1" t="e">
        <f ca="1">IF(INDEX(MIS_Backend_Data!L:L, MATCH(D447, MIS_Backend_Data!B:B, 1)) = "WT", "Yes", "No")</f>
        <v>#N/A</v>
      </c>
      <c r="W447" s="2" t="str">
        <f t="shared" ca="1" si="18"/>
        <v/>
      </c>
      <c r="AA447" s="1">
        <f t="shared" ca="1" si="19"/>
        <v>0</v>
      </c>
      <c r="AG447" s="1" t="str">
        <f t="shared" si="20"/>
        <v/>
      </c>
    </row>
    <row r="448" spans="1:33" ht="20.25" customHeight="1">
      <c r="A448" s="13">
        <v>447</v>
      </c>
      <c r="H448" s="1" t="str">
        <f>IF(Back_End_Data!G448="Completed","Yes","No")</f>
        <v>No</v>
      </c>
      <c r="I448" s="1" t="str">
        <f>IF(Back_End_Data!I448="Completed","Yes","No")</f>
        <v>No</v>
      </c>
      <c r="J448" s="1" t="str">
        <f>IF(Back_End_Data!J448="Completed","Yes","No")</f>
        <v>No</v>
      </c>
      <c r="K448" s="1" t="str">
        <f>IF(Back_End_Data!K448="Completed","Yes","No")</f>
        <v>No</v>
      </c>
      <c r="L448" s="1" t="str">
        <f>IF(Back_End_Data!L448="", "No", Back_End_Data!L448)</f>
        <v>No</v>
      </c>
      <c r="M448" s="1" t="str">
        <f>IF(Back_End_Data!N448="", "No", Back_End_Data!N448)</f>
        <v>No</v>
      </c>
      <c r="N448" s="1" t="str">
        <f>IF(Back_End_Data!M448="", "No", Back_End_Data!M448)</f>
        <v>No</v>
      </c>
      <c r="O448" s="1" t="str">
        <f>IF(Back_End_Data!O448="Completed","Yes","No")</f>
        <v>No</v>
      </c>
      <c r="P448" s="1" t="str">
        <f>IF(Back_End_Data!H448="Completed","Yes","No")</f>
        <v>No</v>
      </c>
      <c r="Q448" s="1" t="str">
        <f>IF(Back_End_Data!P448="Completed","Yes","No")</f>
        <v>No</v>
      </c>
      <c r="R448" s="1" t="s">
        <v>2369</v>
      </c>
      <c r="S448" s="1" t="str">
        <f>IF(Back_End_Data!R448="Completed","Yes","No")</f>
        <v>No</v>
      </c>
      <c r="T448" s="1" t="str">
        <f>IF(Back_End_Data!S448="Yes","Yes","No")</f>
        <v>No</v>
      </c>
      <c r="U448" s="1" t="str">
        <f>IF(Back_End_Data!Q447="Completed","Yes","No")</f>
        <v>No</v>
      </c>
      <c r="V448" s="1" t="e">
        <f ca="1">IF(INDEX(MIS_Backend_Data!L:L, MATCH(D448, MIS_Backend_Data!B:B, 1)) = "WT", "Yes", "No")</f>
        <v>#N/A</v>
      </c>
      <c r="W448" s="2" t="str">
        <f t="shared" ca="1" si="18"/>
        <v/>
      </c>
      <c r="AA448" s="1">
        <f t="shared" ca="1" si="19"/>
        <v>0</v>
      </c>
      <c r="AG448" s="1" t="str">
        <f t="shared" si="20"/>
        <v/>
      </c>
    </row>
    <row r="449" spans="1:33" ht="20.25" customHeight="1">
      <c r="A449" s="13">
        <v>448</v>
      </c>
      <c r="H449" s="1" t="str">
        <f>IF(Back_End_Data!G449="Completed","Yes","No")</f>
        <v>No</v>
      </c>
      <c r="I449" s="1" t="str">
        <f>IF(Back_End_Data!I449="Completed","Yes","No")</f>
        <v>No</v>
      </c>
      <c r="J449" s="1" t="str">
        <f>IF(Back_End_Data!J449="Completed","Yes","No")</f>
        <v>No</v>
      </c>
      <c r="K449" s="1" t="str">
        <f>IF(Back_End_Data!K449="Completed","Yes","No")</f>
        <v>No</v>
      </c>
      <c r="L449" s="1" t="str">
        <f>IF(Back_End_Data!L449="", "No", Back_End_Data!L449)</f>
        <v>No</v>
      </c>
      <c r="M449" s="1" t="str">
        <f>IF(Back_End_Data!N449="", "No", Back_End_Data!N449)</f>
        <v>No</v>
      </c>
      <c r="N449" s="1" t="str">
        <f>IF(Back_End_Data!M449="", "No", Back_End_Data!M449)</f>
        <v>No</v>
      </c>
      <c r="O449" s="1" t="str">
        <f>IF(Back_End_Data!O449="Completed","Yes","No")</f>
        <v>No</v>
      </c>
      <c r="P449" s="1" t="str">
        <f>IF(Back_End_Data!H449="Completed","Yes","No")</f>
        <v>No</v>
      </c>
      <c r="Q449" s="1" t="str">
        <f>IF(Back_End_Data!P449="Completed","Yes","No")</f>
        <v>No</v>
      </c>
      <c r="R449" s="1" t="s">
        <v>2369</v>
      </c>
      <c r="S449" s="1" t="str">
        <f>IF(Back_End_Data!R449="Completed","Yes","No")</f>
        <v>No</v>
      </c>
      <c r="T449" s="1" t="str">
        <f>IF(Back_End_Data!S449="Yes","Yes","No")</f>
        <v>No</v>
      </c>
      <c r="U449" s="1" t="str">
        <f>IF(Back_End_Data!Q448="Completed","Yes","No")</f>
        <v>No</v>
      </c>
      <c r="V449" s="1" t="e">
        <f ca="1">IF(INDEX(MIS_Backend_Data!L:L, MATCH(D449, MIS_Backend_Data!B:B, 1)) = "WT", "Yes", "No")</f>
        <v>#N/A</v>
      </c>
      <c r="W449" s="2" t="str">
        <f t="shared" ca="1" si="18"/>
        <v/>
      </c>
      <c r="AA449" s="1">
        <f t="shared" ca="1" si="19"/>
        <v>0</v>
      </c>
      <c r="AG449" s="1" t="str">
        <f t="shared" si="20"/>
        <v/>
      </c>
    </row>
    <row r="450" spans="1:33" ht="20.25" customHeight="1">
      <c r="A450" s="13">
        <v>449</v>
      </c>
      <c r="H450" s="1" t="str">
        <f>IF(Back_End_Data!G450="Completed","Yes","No")</f>
        <v>No</v>
      </c>
      <c r="I450" s="1" t="str">
        <f>IF(Back_End_Data!I450="Completed","Yes","No")</f>
        <v>No</v>
      </c>
      <c r="J450" s="1" t="str">
        <f>IF(Back_End_Data!J450="Completed","Yes","No")</f>
        <v>No</v>
      </c>
      <c r="K450" s="1" t="str">
        <f>IF(Back_End_Data!K450="Completed","Yes","No")</f>
        <v>No</v>
      </c>
      <c r="L450" s="1" t="str">
        <f>IF(Back_End_Data!L450="", "No", Back_End_Data!L450)</f>
        <v>No</v>
      </c>
      <c r="M450" s="1" t="str">
        <f>IF(Back_End_Data!N450="", "No", Back_End_Data!N450)</f>
        <v>No</v>
      </c>
      <c r="N450" s="1" t="str">
        <f>IF(Back_End_Data!M450="", "No", Back_End_Data!M450)</f>
        <v>No</v>
      </c>
      <c r="O450" s="1" t="str">
        <f>IF(Back_End_Data!O450="Completed","Yes","No")</f>
        <v>No</v>
      </c>
      <c r="P450" s="1" t="str">
        <f>IF(Back_End_Data!H450="Completed","Yes","No")</f>
        <v>No</v>
      </c>
      <c r="Q450" s="1" t="str">
        <f>IF(Back_End_Data!P450="Completed","Yes","No")</f>
        <v>No</v>
      </c>
      <c r="R450" s="1" t="s">
        <v>2369</v>
      </c>
      <c r="S450" s="1" t="str">
        <f>IF(Back_End_Data!R450="Completed","Yes","No")</f>
        <v>No</v>
      </c>
      <c r="T450" s="1" t="str">
        <f>IF(Back_End_Data!S450="Yes","Yes","No")</f>
        <v>No</v>
      </c>
      <c r="U450" s="1" t="str">
        <f>IF(Back_End_Data!Q449="Completed","Yes","No")</f>
        <v>No</v>
      </c>
      <c r="V450" s="1" t="e">
        <f ca="1">IF(INDEX(MIS_Backend_Data!L:L, MATCH(D450, MIS_Backend_Data!B:B, 1)) = "WT", "Yes", "No")</f>
        <v>#N/A</v>
      </c>
      <c r="W450" s="2" t="str">
        <f t="shared" ca="1" si="18"/>
        <v/>
      </c>
      <c r="AA450" s="1">
        <f t="shared" ca="1" si="19"/>
        <v>0</v>
      </c>
      <c r="AG450" s="1" t="str">
        <f t="shared" si="20"/>
        <v/>
      </c>
    </row>
    <row r="451" spans="1:33" ht="20.25" customHeight="1">
      <c r="A451" s="13">
        <v>450</v>
      </c>
      <c r="H451" s="1" t="str">
        <f>IF(Back_End_Data!G451="Completed","Yes","No")</f>
        <v>No</v>
      </c>
      <c r="I451" s="1" t="str">
        <f>IF(Back_End_Data!I451="Completed","Yes","No")</f>
        <v>No</v>
      </c>
      <c r="J451" s="1" t="str">
        <f>IF(Back_End_Data!J451="Completed","Yes","No")</f>
        <v>No</v>
      </c>
      <c r="K451" s="1" t="str">
        <f>IF(Back_End_Data!K451="Completed","Yes","No")</f>
        <v>No</v>
      </c>
      <c r="L451" s="1" t="str">
        <f>IF(Back_End_Data!L451="", "No", Back_End_Data!L451)</f>
        <v>No</v>
      </c>
      <c r="M451" s="1" t="str">
        <f>IF(Back_End_Data!N451="", "No", Back_End_Data!N451)</f>
        <v>No</v>
      </c>
      <c r="N451" s="1" t="str">
        <f>IF(Back_End_Data!M451="", "No", Back_End_Data!M451)</f>
        <v>No</v>
      </c>
      <c r="O451" s="1" t="str">
        <f>IF(Back_End_Data!O451="Completed","Yes","No")</f>
        <v>No</v>
      </c>
      <c r="P451" s="1" t="str">
        <f>IF(Back_End_Data!H451="Completed","Yes","No")</f>
        <v>No</v>
      </c>
      <c r="Q451" s="1" t="str">
        <f>IF(Back_End_Data!P451="Completed","Yes","No")</f>
        <v>No</v>
      </c>
      <c r="R451" s="1" t="s">
        <v>2369</v>
      </c>
      <c r="S451" s="1" t="str">
        <f>IF(Back_End_Data!R451="Completed","Yes","No")</f>
        <v>No</v>
      </c>
      <c r="T451" s="1" t="str">
        <f>IF(Back_End_Data!S451="Yes","Yes","No")</f>
        <v>No</v>
      </c>
      <c r="U451" s="1" t="str">
        <f>IF(Back_End_Data!Q450="Completed","Yes","No")</f>
        <v>No</v>
      </c>
      <c r="V451" s="1" t="e">
        <f ca="1">IF(INDEX(MIS_Backend_Data!L:L, MATCH(D451, MIS_Backend_Data!B:B, 1)) = "WT", "Yes", "No")</f>
        <v>#N/A</v>
      </c>
      <c r="W451" s="2" t="str">
        <f t="shared" ref="W451:W500" ca="1" si="21">IF(OR(Z451="", AA451=""), "", IF(Z451=AA451, "Approved", "Reject"))</f>
        <v/>
      </c>
      <c r="AA451" s="1">
        <f t="shared" ref="AA451:AA500" ca="1" si="22">COUNTIF(H451:V451,"Yes")</f>
        <v>0</v>
      </c>
      <c r="AG451" s="1" t="str">
        <f t="shared" si="20"/>
        <v/>
      </c>
    </row>
    <row r="452" spans="1:33" ht="20.25" customHeight="1">
      <c r="A452" s="13">
        <v>451</v>
      </c>
      <c r="H452" s="1" t="str">
        <f>IF(Back_End_Data!G452="Completed","Yes","No")</f>
        <v>No</v>
      </c>
      <c r="I452" s="1" t="str">
        <f>IF(Back_End_Data!I452="Completed","Yes","No")</f>
        <v>No</v>
      </c>
      <c r="J452" s="1" t="str">
        <f>IF(Back_End_Data!J452="Completed","Yes","No")</f>
        <v>No</v>
      </c>
      <c r="K452" s="1" t="str">
        <f>IF(Back_End_Data!K452="Completed","Yes","No")</f>
        <v>No</v>
      </c>
      <c r="L452" s="1" t="str">
        <f>IF(Back_End_Data!L452="", "No", Back_End_Data!L452)</f>
        <v>No</v>
      </c>
      <c r="M452" s="1" t="str">
        <f>IF(Back_End_Data!N452="", "No", Back_End_Data!N452)</f>
        <v>No</v>
      </c>
      <c r="N452" s="1" t="str">
        <f>IF(Back_End_Data!M452="", "No", Back_End_Data!M452)</f>
        <v>No</v>
      </c>
      <c r="O452" s="1" t="str">
        <f>IF(Back_End_Data!O452="Completed","Yes","No")</f>
        <v>No</v>
      </c>
      <c r="P452" s="1" t="str">
        <f>IF(Back_End_Data!H452="Completed","Yes","No")</f>
        <v>No</v>
      </c>
      <c r="Q452" s="1" t="str">
        <f>IF(Back_End_Data!P452="Completed","Yes","No")</f>
        <v>No</v>
      </c>
      <c r="R452" s="1" t="s">
        <v>2369</v>
      </c>
      <c r="S452" s="1" t="str">
        <f>IF(Back_End_Data!R452="Completed","Yes","No")</f>
        <v>No</v>
      </c>
      <c r="T452" s="1" t="str">
        <f>IF(Back_End_Data!S452="Yes","Yes","No")</f>
        <v>No</v>
      </c>
      <c r="U452" s="1" t="str">
        <f>IF(Back_End_Data!Q451="Completed","Yes","No")</f>
        <v>No</v>
      </c>
      <c r="V452" s="1" t="e">
        <f ca="1">IF(INDEX(MIS_Backend_Data!L:L, MATCH(D452, MIS_Backend_Data!B:B, 1)) = "WT", "Yes", "No")</f>
        <v>#N/A</v>
      </c>
      <c r="W452" s="2" t="str">
        <f t="shared" ca="1" si="21"/>
        <v/>
      </c>
      <c r="AA452" s="1">
        <f t="shared" ca="1" si="22"/>
        <v>0</v>
      </c>
      <c r="AG452" s="1" t="str">
        <f t="shared" ref="AG452:AG500" si="23">IF(AND(AE452="Dispatch",AF452="Pending"),"Pending","")</f>
        <v/>
      </c>
    </row>
    <row r="453" spans="1:33" ht="20.25" customHeight="1">
      <c r="A453" s="13">
        <v>452</v>
      </c>
      <c r="H453" s="1" t="str">
        <f>IF(Back_End_Data!G453="Completed","Yes","No")</f>
        <v>No</v>
      </c>
      <c r="I453" s="1" t="str">
        <f>IF(Back_End_Data!I453="Completed","Yes","No")</f>
        <v>No</v>
      </c>
      <c r="J453" s="1" t="str">
        <f>IF(Back_End_Data!J453="Completed","Yes","No")</f>
        <v>No</v>
      </c>
      <c r="K453" s="1" t="str">
        <f>IF(Back_End_Data!K453="Completed","Yes","No")</f>
        <v>No</v>
      </c>
      <c r="L453" s="1" t="str">
        <f>IF(Back_End_Data!L453="", "No", Back_End_Data!L453)</f>
        <v>No</v>
      </c>
      <c r="M453" s="1" t="str">
        <f>IF(Back_End_Data!N453="", "No", Back_End_Data!N453)</f>
        <v>No</v>
      </c>
      <c r="N453" s="1" t="str">
        <f>IF(Back_End_Data!M453="", "No", Back_End_Data!M453)</f>
        <v>No</v>
      </c>
      <c r="O453" s="1" t="str">
        <f>IF(Back_End_Data!O453="Completed","Yes","No")</f>
        <v>No</v>
      </c>
      <c r="P453" s="1" t="str">
        <f>IF(Back_End_Data!H453="Completed","Yes","No")</f>
        <v>No</v>
      </c>
      <c r="Q453" s="1" t="str">
        <f>IF(Back_End_Data!P453="Completed","Yes","No")</f>
        <v>No</v>
      </c>
      <c r="R453" s="1" t="s">
        <v>2369</v>
      </c>
      <c r="S453" s="1" t="str">
        <f>IF(Back_End_Data!R453="Completed","Yes","No")</f>
        <v>No</v>
      </c>
      <c r="T453" s="1" t="str">
        <f>IF(Back_End_Data!S453="Yes","Yes","No")</f>
        <v>No</v>
      </c>
      <c r="U453" s="1" t="str">
        <f>IF(Back_End_Data!Q452="Completed","Yes","No")</f>
        <v>No</v>
      </c>
      <c r="V453" s="1" t="e">
        <f ca="1">IF(INDEX(MIS_Backend_Data!L:L, MATCH(D453, MIS_Backend_Data!B:B, 1)) = "WT", "Yes", "No")</f>
        <v>#N/A</v>
      </c>
      <c r="W453" s="2" t="str">
        <f t="shared" ca="1" si="21"/>
        <v/>
      </c>
      <c r="AA453" s="1">
        <f t="shared" ca="1" si="22"/>
        <v>0</v>
      </c>
      <c r="AG453" s="1" t="str">
        <f t="shared" si="23"/>
        <v/>
      </c>
    </row>
    <row r="454" spans="1:33" ht="20.25" customHeight="1">
      <c r="A454" s="13">
        <v>453</v>
      </c>
      <c r="H454" s="1" t="str">
        <f>IF(Back_End_Data!G454="Completed","Yes","No")</f>
        <v>No</v>
      </c>
      <c r="I454" s="1" t="str">
        <f>IF(Back_End_Data!I454="Completed","Yes","No")</f>
        <v>No</v>
      </c>
      <c r="J454" s="1" t="str">
        <f>IF(Back_End_Data!J454="Completed","Yes","No")</f>
        <v>No</v>
      </c>
      <c r="K454" s="1" t="str">
        <f>IF(Back_End_Data!K454="Completed","Yes","No")</f>
        <v>No</v>
      </c>
      <c r="L454" s="1" t="str">
        <f>IF(Back_End_Data!L454="", "No", Back_End_Data!L454)</f>
        <v>No</v>
      </c>
      <c r="M454" s="1" t="str">
        <f>IF(Back_End_Data!N454="", "No", Back_End_Data!N454)</f>
        <v>No</v>
      </c>
      <c r="N454" s="1" t="str">
        <f>IF(Back_End_Data!M454="", "No", Back_End_Data!M454)</f>
        <v>No</v>
      </c>
      <c r="O454" s="1" t="str">
        <f>IF(Back_End_Data!O454="Completed","Yes","No")</f>
        <v>No</v>
      </c>
      <c r="P454" s="1" t="str">
        <f>IF(Back_End_Data!H454="Completed","Yes","No")</f>
        <v>No</v>
      </c>
      <c r="Q454" s="1" t="str">
        <f>IF(Back_End_Data!P454="Completed","Yes","No")</f>
        <v>No</v>
      </c>
      <c r="R454" s="1" t="s">
        <v>2369</v>
      </c>
      <c r="S454" s="1" t="str">
        <f>IF(Back_End_Data!R454="Completed","Yes","No")</f>
        <v>No</v>
      </c>
      <c r="T454" s="1" t="str">
        <f>IF(Back_End_Data!S454="Yes","Yes","No")</f>
        <v>No</v>
      </c>
      <c r="U454" s="1" t="str">
        <f>IF(Back_End_Data!Q453="Completed","Yes","No")</f>
        <v>No</v>
      </c>
      <c r="V454" s="1" t="e">
        <f ca="1">IF(INDEX(MIS_Backend_Data!L:L, MATCH(D454, MIS_Backend_Data!B:B, 1)) = "WT", "Yes", "No")</f>
        <v>#N/A</v>
      </c>
      <c r="W454" s="2" t="str">
        <f t="shared" ca="1" si="21"/>
        <v/>
      </c>
      <c r="AA454" s="1">
        <f t="shared" ca="1" si="22"/>
        <v>0</v>
      </c>
      <c r="AG454" s="1" t="str">
        <f t="shared" si="23"/>
        <v/>
      </c>
    </row>
    <row r="455" spans="1:33" ht="20.25" customHeight="1">
      <c r="A455" s="13">
        <v>454</v>
      </c>
      <c r="H455" s="1" t="str">
        <f>IF(Back_End_Data!G455="Completed","Yes","No")</f>
        <v>No</v>
      </c>
      <c r="I455" s="1" t="str">
        <f>IF(Back_End_Data!I455="Completed","Yes","No")</f>
        <v>No</v>
      </c>
      <c r="J455" s="1" t="str">
        <f>IF(Back_End_Data!J455="Completed","Yes","No")</f>
        <v>No</v>
      </c>
      <c r="K455" s="1" t="str">
        <f>IF(Back_End_Data!K455="Completed","Yes","No")</f>
        <v>No</v>
      </c>
      <c r="L455" s="1" t="str">
        <f>IF(Back_End_Data!L455="", "No", Back_End_Data!L455)</f>
        <v>No</v>
      </c>
      <c r="M455" s="1" t="str">
        <f>IF(Back_End_Data!N455="", "No", Back_End_Data!N455)</f>
        <v>No</v>
      </c>
      <c r="N455" s="1" t="str">
        <f>IF(Back_End_Data!M455="", "No", Back_End_Data!M455)</f>
        <v>No</v>
      </c>
      <c r="O455" s="1" t="str">
        <f>IF(Back_End_Data!O455="Completed","Yes","No")</f>
        <v>No</v>
      </c>
      <c r="P455" s="1" t="str">
        <f>IF(Back_End_Data!H455="Completed","Yes","No")</f>
        <v>No</v>
      </c>
      <c r="Q455" s="1" t="str">
        <f>IF(Back_End_Data!P455="Completed","Yes","No")</f>
        <v>No</v>
      </c>
      <c r="R455" s="1" t="s">
        <v>2369</v>
      </c>
      <c r="S455" s="1" t="str">
        <f>IF(Back_End_Data!R455="Completed","Yes","No")</f>
        <v>No</v>
      </c>
      <c r="T455" s="1" t="str">
        <f>IF(Back_End_Data!S455="Yes","Yes","No")</f>
        <v>No</v>
      </c>
      <c r="U455" s="1" t="str">
        <f>IF(Back_End_Data!Q454="Completed","Yes","No")</f>
        <v>No</v>
      </c>
      <c r="V455" s="1" t="e">
        <f ca="1">IF(INDEX(MIS_Backend_Data!L:L, MATCH(D455, MIS_Backend_Data!B:B, 1)) = "WT", "Yes", "No")</f>
        <v>#N/A</v>
      </c>
      <c r="W455" s="2" t="str">
        <f t="shared" ca="1" si="21"/>
        <v/>
      </c>
      <c r="AA455" s="1">
        <f t="shared" ca="1" si="22"/>
        <v>0</v>
      </c>
      <c r="AG455" s="1" t="str">
        <f t="shared" si="23"/>
        <v/>
      </c>
    </row>
    <row r="456" spans="1:33" ht="20.25" customHeight="1">
      <c r="A456" s="13">
        <v>455</v>
      </c>
      <c r="H456" s="1" t="str">
        <f>IF(Back_End_Data!G456="Completed","Yes","No")</f>
        <v>No</v>
      </c>
      <c r="I456" s="1" t="str">
        <f>IF(Back_End_Data!I456="Completed","Yes","No")</f>
        <v>No</v>
      </c>
      <c r="J456" s="1" t="str">
        <f>IF(Back_End_Data!J456="Completed","Yes","No")</f>
        <v>No</v>
      </c>
      <c r="K456" s="1" t="str">
        <f>IF(Back_End_Data!K456="Completed","Yes","No")</f>
        <v>No</v>
      </c>
      <c r="L456" s="1" t="str">
        <f>IF(Back_End_Data!L456="", "No", Back_End_Data!L456)</f>
        <v>No</v>
      </c>
      <c r="M456" s="1" t="str">
        <f>IF(Back_End_Data!N456="", "No", Back_End_Data!N456)</f>
        <v>No</v>
      </c>
      <c r="N456" s="1" t="str">
        <f>IF(Back_End_Data!M456="", "No", Back_End_Data!M456)</f>
        <v>No</v>
      </c>
      <c r="O456" s="1" t="str">
        <f>IF(Back_End_Data!O456="Completed","Yes","No")</f>
        <v>No</v>
      </c>
      <c r="P456" s="1" t="str">
        <f>IF(Back_End_Data!H456="Completed","Yes","No")</f>
        <v>No</v>
      </c>
      <c r="Q456" s="1" t="str">
        <f>IF(Back_End_Data!P456="Completed","Yes","No")</f>
        <v>No</v>
      </c>
      <c r="R456" s="1" t="s">
        <v>2369</v>
      </c>
      <c r="S456" s="1" t="str">
        <f>IF(Back_End_Data!R456="Completed","Yes","No")</f>
        <v>No</v>
      </c>
      <c r="T456" s="1" t="str">
        <f>IF(Back_End_Data!S456="Yes","Yes","No")</f>
        <v>No</v>
      </c>
      <c r="U456" s="1" t="str">
        <f>IF(Back_End_Data!Q455="Completed","Yes","No")</f>
        <v>No</v>
      </c>
      <c r="V456" s="1" t="e">
        <f ca="1">IF(INDEX(MIS_Backend_Data!L:L, MATCH(D456, MIS_Backend_Data!B:B, 1)) = "WT", "Yes", "No")</f>
        <v>#N/A</v>
      </c>
      <c r="W456" s="2" t="str">
        <f t="shared" ca="1" si="21"/>
        <v/>
      </c>
      <c r="AA456" s="1">
        <f t="shared" ca="1" si="22"/>
        <v>0</v>
      </c>
      <c r="AG456" s="1" t="str">
        <f t="shared" si="23"/>
        <v/>
      </c>
    </row>
    <row r="457" spans="1:33" ht="20.25" customHeight="1">
      <c r="A457" s="13">
        <v>456</v>
      </c>
      <c r="H457" s="1" t="str">
        <f>IF(Back_End_Data!G457="Completed","Yes","No")</f>
        <v>No</v>
      </c>
      <c r="I457" s="1" t="str">
        <f>IF(Back_End_Data!I457="Completed","Yes","No")</f>
        <v>No</v>
      </c>
      <c r="J457" s="1" t="str">
        <f>IF(Back_End_Data!J457="Completed","Yes","No")</f>
        <v>No</v>
      </c>
      <c r="K457" s="1" t="str">
        <f>IF(Back_End_Data!K457="Completed","Yes","No")</f>
        <v>No</v>
      </c>
      <c r="L457" s="1" t="str">
        <f>IF(Back_End_Data!L457="", "No", Back_End_Data!L457)</f>
        <v>No</v>
      </c>
      <c r="M457" s="1" t="str">
        <f>IF(Back_End_Data!N457="", "No", Back_End_Data!N457)</f>
        <v>No</v>
      </c>
      <c r="N457" s="1" t="str">
        <f>IF(Back_End_Data!M457="", "No", Back_End_Data!M457)</f>
        <v>No</v>
      </c>
      <c r="O457" s="1" t="str">
        <f>IF(Back_End_Data!O457="Completed","Yes","No")</f>
        <v>No</v>
      </c>
      <c r="P457" s="1" t="str">
        <f>IF(Back_End_Data!H457="Completed","Yes","No")</f>
        <v>No</v>
      </c>
      <c r="Q457" s="1" t="str">
        <f>IF(Back_End_Data!P457="Completed","Yes","No")</f>
        <v>No</v>
      </c>
      <c r="R457" s="1" t="s">
        <v>2369</v>
      </c>
      <c r="S457" s="1" t="str">
        <f>IF(Back_End_Data!R457="Completed","Yes","No")</f>
        <v>No</v>
      </c>
      <c r="T457" s="1" t="str">
        <f>IF(Back_End_Data!S457="Yes","Yes","No")</f>
        <v>No</v>
      </c>
      <c r="U457" s="1" t="str">
        <f>IF(Back_End_Data!Q456="Completed","Yes","No")</f>
        <v>No</v>
      </c>
      <c r="V457" s="1" t="e">
        <f ca="1">IF(INDEX(MIS_Backend_Data!L:L, MATCH(D457, MIS_Backend_Data!B:B, 1)) = "WT", "Yes", "No")</f>
        <v>#N/A</v>
      </c>
      <c r="W457" s="2" t="str">
        <f t="shared" ca="1" si="21"/>
        <v/>
      </c>
      <c r="AA457" s="1">
        <f t="shared" ca="1" si="22"/>
        <v>0</v>
      </c>
      <c r="AG457" s="1" t="str">
        <f t="shared" si="23"/>
        <v/>
      </c>
    </row>
    <row r="458" spans="1:33" ht="20.25" customHeight="1">
      <c r="A458" s="13">
        <v>457</v>
      </c>
      <c r="H458" s="1" t="str">
        <f>IF(Back_End_Data!G458="Completed","Yes","No")</f>
        <v>No</v>
      </c>
      <c r="I458" s="1" t="str">
        <f>IF(Back_End_Data!I458="Completed","Yes","No")</f>
        <v>No</v>
      </c>
      <c r="J458" s="1" t="str">
        <f>IF(Back_End_Data!J458="Completed","Yes","No")</f>
        <v>No</v>
      </c>
      <c r="K458" s="1" t="str">
        <f>IF(Back_End_Data!K458="Completed","Yes","No")</f>
        <v>No</v>
      </c>
      <c r="L458" s="1" t="str">
        <f>IF(Back_End_Data!L458="", "No", Back_End_Data!L458)</f>
        <v>No</v>
      </c>
      <c r="M458" s="1" t="str">
        <f>IF(Back_End_Data!N458="", "No", Back_End_Data!N458)</f>
        <v>No</v>
      </c>
      <c r="N458" s="1" t="str">
        <f>IF(Back_End_Data!M458="", "No", Back_End_Data!M458)</f>
        <v>No</v>
      </c>
      <c r="O458" s="1" t="str">
        <f>IF(Back_End_Data!O458="Completed","Yes","No")</f>
        <v>No</v>
      </c>
      <c r="P458" s="1" t="str">
        <f>IF(Back_End_Data!H458="Completed","Yes","No")</f>
        <v>No</v>
      </c>
      <c r="Q458" s="1" t="str">
        <f>IF(Back_End_Data!P458="Completed","Yes","No")</f>
        <v>No</v>
      </c>
      <c r="R458" s="1" t="s">
        <v>2369</v>
      </c>
      <c r="S458" s="1" t="str">
        <f>IF(Back_End_Data!R458="Completed","Yes","No")</f>
        <v>No</v>
      </c>
      <c r="T458" s="1" t="str">
        <f>IF(Back_End_Data!S458="Yes","Yes","No")</f>
        <v>No</v>
      </c>
      <c r="U458" s="1" t="str">
        <f>IF(Back_End_Data!Q457="Completed","Yes","No")</f>
        <v>No</v>
      </c>
      <c r="V458" s="1" t="e">
        <f ca="1">IF(INDEX(MIS_Backend_Data!L:L, MATCH(D458, MIS_Backend_Data!B:B, 1)) = "WT", "Yes", "No")</f>
        <v>#N/A</v>
      </c>
      <c r="W458" s="2" t="str">
        <f t="shared" ca="1" si="21"/>
        <v/>
      </c>
      <c r="AA458" s="1">
        <f t="shared" ca="1" si="22"/>
        <v>0</v>
      </c>
      <c r="AG458" s="1" t="str">
        <f t="shared" si="23"/>
        <v/>
      </c>
    </row>
    <row r="459" spans="1:33" ht="20.25" customHeight="1">
      <c r="A459" s="13">
        <v>458</v>
      </c>
      <c r="H459" s="1" t="str">
        <f>IF(Back_End_Data!G459="Completed","Yes","No")</f>
        <v>No</v>
      </c>
      <c r="I459" s="1" t="str">
        <f>IF(Back_End_Data!I459="Completed","Yes","No")</f>
        <v>No</v>
      </c>
      <c r="J459" s="1" t="str">
        <f>IF(Back_End_Data!J459="Completed","Yes","No")</f>
        <v>No</v>
      </c>
      <c r="K459" s="1" t="str">
        <f>IF(Back_End_Data!K459="Completed","Yes","No")</f>
        <v>No</v>
      </c>
      <c r="L459" s="1" t="str">
        <f>IF(Back_End_Data!L459="", "No", Back_End_Data!L459)</f>
        <v>No</v>
      </c>
      <c r="M459" s="1" t="str">
        <f>IF(Back_End_Data!N459="", "No", Back_End_Data!N459)</f>
        <v>No</v>
      </c>
      <c r="N459" s="1" t="str">
        <f>IF(Back_End_Data!M459="", "No", Back_End_Data!M459)</f>
        <v>No</v>
      </c>
      <c r="O459" s="1" t="str">
        <f>IF(Back_End_Data!O459="Completed","Yes","No")</f>
        <v>No</v>
      </c>
      <c r="P459" s="1" t="str">
        <f>IF(Back_End_Data!H459="Completed","Yes","No")</f>
        <v>No</v>
      </c>
      <c r="Q459" s="1" t="str">
        <f>IF(Back_End_Data!P459="Completed","Yes","No")</f>
        <v>No</v>
      </c>
      <c r="R459" s="1" t="s">
        <v>2369</v>
      </c>
      <c r="S459" s="1" t="str">
        <f>IF(Back_End_Data!R459="Completed","Yes","No")</f>
        <v>No</v>
      </c>
      <c r="T459" s="1" t="str">
        <f>IF(Back_End_Data!S459="Yes","Yes","No")</f>
        <v>No</v>
      </c>
      <c r="U459" s="1" t="str">
        <f>IF(Back_End_Data!Q458="Completed","Yes","No")</f>
        <v>No</v>
      </c>
      <c r="V459" s="1" t="e">
        <f ca="1">IF(INDEX(MIS_Backend_Data!L:L, MATCH(D459, MIS_Backend_Data!B:B, 1)) = "WT", "Yes", "No")</f>
        <v>#N/A</v>
      </c>
      <c r="W459" s="2" t="str">
        <f t="shared" ca="1" si="21"/>
        <v/>
      </c>
      <c r="AA459" s="1">
        <f t="shared" ca="1" si="22"/>
        <v>0</v>
      </c>
      <c r="AG459" s="1" t="str">
        <f t="shared" si="23"/>
        <v/>
      </c>
    </row>
    <row r="460" spans="1:33" ht="20.25" customHeight="1">
      <c r="A460" s="13">
        <v>459</v>
      </c>
      <c r="H460" s="1" t="str">
        <f>IF(Back_End_Data!G460="Completed","Yes","No")</f>
        <v>No</v>
      </c>
      <c r="I460" s="1" t="str">
        <f>IF(Back_End_Data!I460="Completed","Yes","No")</f>
        <v>No</v>
      </c>
      <c r="J460" s="1" t="str">
        <f>IF(Back_End_Data!J460="Completed","Yes","No")</f>
        <v>No</v>
      </c>
      <c r="K460" s="1" t="str">
        <f>IF(Back_End_Data!K460="Completed","Yes","No")</f>
        <v>No</v>
      </c>
      <c r="L460" s="1" t="str">
        <f>IF(Back_End_Data!L460="", "No", Back_End_Data!L460)</f>
        <v>No</v>
      </c>
      <c r="M460" s="1" t="str">
        <f>IF(Back_End_Data!N460="", "No", Back_End_Data!N460)</f>
        <v>No</v>
      </c>
      <c r="N460" s="1" t="str">
        <f>IF(Back_End_Data!M460="", "No", Back_End_Data!M460)</f>
        <v>No</v>
      </c>
      <c r="O460" s="1" t="str">
        <f>IF(Back_End_Data!O460="Completed","Yes","No")</f>
        <v>No</v>
      </c>
      <c r="P460" s="1" t="str">
        <f>IF(Back_End_Data!H460="Completed","Yes","No")</f>
        <v>No</v>
      </c>
      <c r="Q460" s="1" t="str">
        <f>IF(Back_End_Data!P460="Completed","Yes","No")</f>
        <v>No</v>
      </c>
      <c r="R460" s="1" t="s">
        <v>2369</v>
      </c>
      <c r="S460" s="1" t="str">
        <f>IF(Back_End_Data!R460="Completed","Yes","No")</f>
        <v>No</v>
      </c>
      <c r="T460" s="1" t="str">
        <f>IF(Back_End_Data!S460="Yes","Yes","No")</f>
        <v>No</v>
      </c>
      <c r="U460" s="1" t="str">
        <f>IF(Back_End_Data!Q459="Completed","Yes","No")</f>
        <v>No</v>
      </c>
      <c r="V460" s="1" t="e">
        <f ca="1">IF(INDEX(MIS_Backend_Data!L:L, MATCH(D460, MIS_Backend_Data!B:B, 1)) = "WT", "Yes", "No")</f>
        <v>#N/A</v>
      </c>
      <c r="W460" s="2" t="str">
        <f t="shared" ca="1" si="21"/>
        <v/>
      </c>
      <c r="AA460" s="1">
        <f t="shared" ca="1" si="22"/>
        <v>0</v>
      </c>
      <c r="AG460" s="1" t="str">
        <f t="shared" si="23"/>
        <v/>
      </c>
    </row>
    <row r="461" spans="1:33" ht="20.25" customHeight="1">
      <c r="A461" s="13">
        <v>460</v>
      </c>
      <c r="H461" s="1" t="str">
        <f>IF(Back_End_Data!G461="Completed","Yes","No")</f>
        <v>No</v>
      </c>
      <c r="I461" s="1" t="str">
        <f>IF(Back_End_Data!I461="Completed","Yes","No")</f>
        <v>No</v>
      </c>
      <c r="J461" s="1" t="str">
        <f>IF(Back_End_Data!J461="Completed","Yes","No")</f>
        <v>No</v>
      </c>
      <c r="K461" s="1" t="str">
        <f>IF(Back_End_Data!K461="Completed","Yes","No")</f>
        <v>No</v>
      </c>
      <c r="L461" s="1" t="str">
        <f>IF(Back_End_Data!L461="", "No", Back_End_Data!L461)</f>
        <v>No</v>
      </c>
      <c r="M461" s="1" t="str">
        <f>IF(Back_End_Data!N461="", "No", Back_End_Data!N461)</f>
        <v>No</v>
      </c>
      <c r="N461" s="1" t="str">
        <f>IF(Back_End_Data!M461="", "No", Back_End_Data!M461)</f>
        <v>No</v>
      </c>
      <c r="O461" s="1" t="str">
        <f>IF(Back_End_Data!O461="Completed","Yes","No")</f>
        <v>No</v>
      </c>
      <c r="P461" s="1" t="str">
        <f>IF(Back_End_Data!H461="Completed","Yes","No")</f>
        <v>No</v>
      </c>
      <c r="Q461" s="1" t="str">
        <f>IF(Back_End_Data!P461="Completed","Yes","No")</f>
        <v>No</v>
      </c>
      <c r="R461" s="1" t="s">
        <v>2369</v>
      </c>
      <c r="S461" s="1" t="str">
        <f>IF(Back_End_Data!R461="Completed","Yes","No")</f>
        <v>No</v>
      </c>
      <c r="T461" s="1" t="str">
        <f>IF(Back_End_Data!S461="Yes","Yes","No")</f>
        <v>No</v>
      </c>
      <c r="U461" s="1" t="str">
        <f>IF(Back_End_Data!Q460="Completed","Yes","No")</f>
        <v>No</v>
      </c>
      <c r="V461" s="1" t="e">
        <f ca="1">IF(INDEX(MIS_Backend_Data!L:L, MATCH(D461, MIS_Backend_Data!B:B, 1)) = "WT", "Yes", "No")</f>
        <v>#N/A</v>
      </c>
      <c r="W461" s="2" t="str">
        <f t="shared" ca="1" si="21"/>
        <v/>
      </c>
      <c r="AA461" s="1">
        <f t="shared" ca="1" si="22"/>
        <v>0</v>
      </c>
      <c r="AG461" s="1" t="str">
        <f t="shared" si="23"/>
        <v/>
      </c>
    </row>
    <row r="462" spans="1:33" ht="20.25" customHeight="1">
      <c r="A462" s="13">
        <v>461</v>
      </c>
      <c r="H462" s="1" t="str">
        <f>IF(Back_End_Data!G462="Completed","Yes","No")</f>
        <v>No</v>
      </c>
      <c r="I462" s="1" t="str">
        <f>IF(Back_End_Data!I462="Completed","Yes","No")</f>
        <v>No</v>
      </c>
      <c r="J462" s="1" t="str">
        <f>IF(Back_End_Data!J462="Completed","Yes","No")</f>
        <v>No</v>
      </c>
      <c r="K462" s="1" t="str">
        <f>IF(Back_End_Data!K462="Completed","Yes","No")</f>
        <v>No</v>
      </c>
      <c r="L462" s="1" t="str">
        <f>IF(Back_End_Data!L462="", "No", Back_End_Data!L462)</f>
        <v>No</v>
      </c>
      <c r="M462" s="1" t="str">
        <f>IF(Back_End_Data!N462="", "No", Back_End_Data!N462)</f>
        <v>No</v>
      </c>
      <c r="N462" s="1" t="str">
        <f>IF(Back_End_Data!M462="", "No", Back_End_Data!M462)</f>
        <v>No</v>
      </c>
      <c r="O462" s="1" t="str">
        <f>IF(Back_End_Data!O462="Completed","Yes","No")</f>
        <v>No</v>
      </c>
      <c r="P462" s="1" t="str">
        <f>IF(Back_End_Data!H462="Completed","Yes","No")</f>
        <v>No</v>
      </c>
      <c r="Q462" s="1" t="str">
        <f>IF(Back_End_Data!P462="Completed","Yes","No")</f>
        <v>No</v>
      </c>
      <c r="R462" s="1" t="s">
        <v>2369</v>
      </c>
      <c r="S462" s="1" t="str">
        <f>IF(Back_End_Data!R462="Completed","Yes","No")</f>
        <v>No</v>
      </c>
      <c r="T462" s="1" t="str">
        <f>IF(Back_End_Data!S462="Yes","Yes","No")</f>
        <v>No</v>
      </c>
      <c r="U462" s="1" t="str">
        <f>IF(Back_End_Data!Q461="Completed","Yes","No")</f>
        <v>No</v>
      </c>
      <c r="V462" s="1" t="e">
        <f ca="1">IF(INDEX(MIS_Backend_Data!L:L, MATCH(D462, MIS_Backend_Data!B:B, 1)) = "WT", "Yes", "No")</f>
        <v>#N/A</v>
      </c>
      <c r="W462" s="2" t="str">
        <f t="shared" ca="1" si="21"/>
        <v/>
      </c>
      <c r="AA462" s="1">
        <f t="shared" ca="1" si="22"/>
        <v>0</v>
      </c>
      <c r="AG462" s="1" t="str">
        <f t="shared" si="23"/>
        <v/>
      </c>
    </row>
    <row r="463" spans="1:33" ht="20.25" customHeight="1">
      <c r="A463" s="13">
        <v>462</v>
      </c>
      <c r="H463" s="1" t="str">
        <f>IF(Back_End_Data!G463="Completed","Yes","No")</f>
        <v>No</v>
      </c>
      <c r="I463" s="1" t="str">
        <f>IF(Back_End_Data!I463="Completed","Yes","No")</f>
        <v>No</v>
      </c>
      <c r="J463" s="1" t="str">
        <f>IF(Back_End_Data!J463="Completed","Yes","No")</f>
        <v>No</v>
      </c>
      <c r="K463" s="1" t="str">
        <f>IF(Back_End_Data!K463="Completed","Yes","No")</f>
        <v>No</v>
      </c>
      <c r="L463" s="1" t="str">
        <f>IF(Back_End_Data!L463="", "No", Back_End_Data!L463)</f>
        <v>No</v>
      </c>
      <c r="M463" s="1" t="str">
        <f>IF(Back_End_Data!N463="", "No", Back_End_Data!N463)</f>
        <v>No</v>
      </c>
      <c r="N463" s="1" t="str">
        <f>IF(Back_End_Data!M463="", "No", Back_End_Data!M463)</f>
        <v>No</v>
      </c>
      <c r="O463" s="1" t="str">
        <f>IF(Back_End_Data!O463="Completed","Yes","No")</f>
        <v>No</v>
      </c>
      <c r="P463" s="1" t="str">
        <f>IF(Back_End_Data!H463="Completed","Yes","No")</f>
        <v>No</v>
      </c>
      <c r="Q463" s="1" t="str">
        <f>IF(Back_End_Data!P463="Completed","Yes","No")</f>
        <v>No</v>
      </c>
      <c r="R463" s="1" t="s">
        <v>2369</v>
      </c>
      <c r="S463" s="1" t="str">
        <f>IF(Back_End_Data!R463="Completed","Yes","No")</f>
        <v>No</v>
      </c>
      <c r="T463" s="1" t="str">
        <f>IF(Back_End_Data!S463="Yes","Yes","No")</f>
        <v>No</v>
      </c>
      <c r="U463" s="1" t="str">
        <f>IF(Back_End_Data!Q462="Completed","Yes","No")</f>
        <v>No</v>
      </c>
      <c r="V463" s="1" t="e">
        <f ca="1">IF(INDEX(MIS_Backend_Data!L:L, MATCH(D463, MIS_Backend_Data!B:B, 1)) = "WT", "Yes", "No")</f>
        <v>#N/A</v>
      </c>
      <c r="W463" s="2" t="str">
        <f t="shared" ca="1" si="21"/>
        <v/>
      </c>
      <c r="AA463" s="1">
        <f t="shared" ca="1" si="22"/>
        <v>0</v>
      </c>
      <c r="AG463" s="1" t="str">
        <f t="shared" si="23"/>
        <v/>
      </c>
    </row>
    <row r="464" spans="1:33" ht="20.25" customHeight="1">
      <c r="A464" s="13">
        <v>463</v>
      </c>
      <c r="H464" s="1" t="str">
        <f>IF(Back_End_Data!G464="Completed","Yes","No")</f>
        <v>No</v>
      </c>
      <c r="I464" s="1" t="str">
        <f>IF(Back_End_Data!I464="Completed","Yes","No")</f>
        <v>No</v>
      </c>
      <c r="J464" s="1" t="str">
        <f>IF(Back_End_Data!J464="Completed","Yes","No")</f>
        <v>No</v>
      </c>
      <c r="K464" s="1" t="str">
        <f>IF(Back_End_Data!K464="Completed","Yes","No")</f>
        <v>No</v>
      </c>
      <c r="L464" s="1" t="str">
        <f>IF(Back_End_Data!L464="", "No", Back_End_Data!L464)</f>
        <v>No</v>
      </c>
      <c r="M464" s="1" t="str">
        <f>IF(Back_End_Data!N464="", "No", Back_End_Data!N464)</f>
        <v>No</v>
      </c>
      <c r="N464" s="1" t="str">
        <f>IF(Back_End_Data!M464="", "No", Back_End_Data!M464)</f>
        <v>No</v>
      </c>
      <c r="O464" s="1" t="str">
        <f>IF(Back_End_Data!O464="Completed","Yes","No")</f>
        <v>No</v>
      </c>
      <c r="P464" s="1" t="str">
        <f>IF(Back_End_Data!H464="Completed","Yes","No")</f>
        <v>No</v>
      </c>
      <c r="Q464" s="1" t="str">
        <f>IF(Back_End_Data!P464="Completed","Yes","No")</f>
        <v>No</v>
      </c>
      <c r="R464" s="1" t="s">
        <v>2369</v>
      </c>
      <c r="S464" s="1" t="str">
        <f>IF(Back_End_Data!R464="Completed","Yes","No")</f>
        <v>No</v>
      </c>
      <c r="T464" s="1" t="str">
        <f>IF(Back_End_Data!S464="Yes","Yes","No")</f>
        <v>No</v>
      </c>
      <c r="U464" s="1" t="str">
        <f>IF(Back_End_Data!Q463="Completed","Yes","No")</f>
        <v>No</v>
      </c>
      <c r="V464" s="1" t="e">
        <f ca="1">IF(INDEX(MIS_Backend_Data!L:L, MATCH(D464, MIS_Backend_Data!B:B, 1)) = "WT", "Yes", "No")</f>
        <v>#N/A</v>
      </c>
      <c r="W464" s="2" t="str">
        <f t="shared" ca="1" si="21"/>
        <v/>
      </c>
      <c r="AA464" s="1">
        <f t="shared" ca="1" si="22"/>
        <v>0</v>
      </c>
      <c r="AG464" s="1" t="str">
        <f t="shared" si="23"/>
        <v/>
      </c>
    </row>
    <row r="465" spans="1:33" ht="20.25" customHeight="1">
      <c r="A465" s="13">
        <v>464</v>
      </c>
      <c r="H465" s="1" t="str">
        <f>IF(Back_End_Data!G465="Completed","Yes","No")</f>
        <v>No</v>
      </c>
      <c r="I465" s="1" t="str">
        <f>IF(Back_End_Data!I465="Completed","Yes","No")</f>
        <v>No</v>
      </c>
      <c r="J465" s="1" t="str">
        <f>IF(Back_End_Data!J465="Completed","Yes","No")</f>
        <v>No</v>
      </c>
      <c r="K465" s="1" t="str">
        <f>IF(Back_End_Data!K465="Completed","Yes","No")</f>
        <v>No</v>
      </c>
      <c r="L465" s="1" t="str">
        <f>IF(Back_End_Data!L465="", "No", Back_End_Data!L465)</f>
        <v>No</v>
      </c>
      <c r="M465" s="1" t="str">
        <f>IF(Back_End_Data!N465="", "No", Back_End_Data!N465)</f>
        <v>No</v>
      </c>
      <c r="N465" s="1" t="str">
        <f>IF(Back_End_Data!M465="", "No", Back_End_Data!M465)</f>
        <v>No</v>
      </c>
      <c r="O465" s="1" t="str">
        <f>IF(Back_End_Data!O465="Completed","Yes","No")</f>
        <v>No</v>
      </c>
      <c r="P465" s="1" t="str">
        <f>IF(Back_End_Data!H465="Completed","Yes","No")</f>
        <v>No</v>
      </c>
      <c r="Q465" s="1" t="str">
        <f>IF(Back_End_Data!P465="Completed","Yes","No")</f>
        <v>No</v>
      </c>
      <c r="R465" s="1" t="s">
        <v>2369</v>
      </c>
      <c r="S465" s="1" t="str">
        <f>IF(Back_End_Data!R465="Completed","Yes","No")</f>
        <v>No</v>
      </c>
      <c r="T465" s="1" t="str">
        <f>IF(Back_End_Data!S465="Yes","Yes","No")</f>
        <v>No</v>
      </c>
      <c r="U465" s="1" t="str">
        <f>IF(Back_End_Data!Q464="Completed","Yes","No")</f>
        <v>No</v>
      </c>
      <c r="V465" s="1" t="e">
        <f ca="1">IF(INDEX(MIS_Backend_Data!L:L, MATCH(D465, MIS_Backend_Data!B:B, 1)) = "WT", "Yes", "No")</f>
        <v>#N/A</v>
      </c>
      <c r="W465" s="2" t="str">
        <f t="shared" ca="1" si="21"/>
        <v/>
      </c>
      <c r="AA465" s="1">
        <f t="shared" ca="1" si="22"/>
        <v>0</v>
      </c>
      <c r="AG465" s="1" t="str">
        <f t="shared" si="23"/>
        <v/>
      </c>
    </row>
    <row r="466" spans="1:33" ht="20.25" customHeight="1">
      <c r="A466" s="13">
        <v>465</v>
      </c>
      <c r="H466" s="1" t="str">
        <f>IF(Back_End_Data!G466="Completed","Yes","No")</f>
        <v>No</v>
      </c>
      <c r="I466" s="1" t="str">
        <f>IF(Back_End_Data!I466="Completed","Yes","No")</f>
        <v>No</v>
      </c>
      <c r="J466" s="1" t="str">
        <f>IF(Back_End_Data!J466="Completed","Yes","No")</f>
        <v>No</v>
      </c>
      <c r="K466" s="1" t="str">
        <f>IF(Back_End_Data!K466="Completed","Yes","No")</f>
        <v>No</v>
      </c>
      <c r="L466" s="1" t="str">
        <f>IF(Back_End_Data!L466="", "No", Back_End_Data!L466)</f>
        <v>No</v>
      </c>
      <c r="M466" s="1" t="str">
        <f>IF(Back_End_Data!N466="", "No", Back_End_Data!N466)</f>
        <v>No</v>
      </c>
      <c r="N466" s="1" t="str">
        <f>IF(Back_End_Data!M466="", "No", Back_End_Data!M466)</f>
        <v>No</v>
      </c>
      <c r="O466" s="1" t="str">
        <f>IF(Back_End_Data!O466="Completed","Yes","No")</f>
        <v>No</v>
      </c>
      <c r="P466" s="1" t="str">
        <f>IF(Back_End_Data!H466="Completed","Yes","No")</f>
        <v>No</v>
      </c>
      <c r="Q466" s="1" t="str">
        <f>IF(Back_End_Data!P466="Completed","Yes","No")</f>
        <v>No</v>
      </c>
      <c r="R466" s="1" t="s">
        <v>2369</v>
      </c>
      <c r="S466" s="1" t="str">
        <f>IF(Back_End_Data!R466="Completed","Yes","No")</f>
        <v>No</v>
      </c>
      <c r="T466" s="1" t="str">
        <f>IF(Back_End_Data!S466="Yes","Yes","No")</f>
        <v>No</v>
      </c>
      <c r="U466" s="1" t="str">
        <f>IF(Back_End_Data!Q465="Completed","Yes","No")</f>
        <v>No</v>
      </c>
      <c r="V466" s="1" t="e">
        <f ca="1">IF(INDEX(MIS_Backend_Data!L:L, MATCH(D466, MIS_Backend_Data!B:B, 1)) = "WT", "Yes", "No")</f>
        <v>#N/A</v>
      </c>
      <c r="W466" s="2" t="str">
        <f t="shared" ca="1" si="21"/>
        <v/>
      </c>
      <c r="AA466" s="1">
        <f t="shared" ca="1" si="22"/>
        <v>0</v>
      </c>
      <c r="AG466" s="1" t="str">
        <f t="shared" si="23"/>
        <v/>
      </c>
    </row>
    <row r="467" spans="1:33" ht="20.25" customHeight="1">
      <c r="A467" s="13">
        <v>466</v>
      </c>
      <c r="H467" s="1" t="str">
        <f>IF(Back_End_Data!G467="Completed","Yes","No")</f>
        <v>No</v>
      </c>
      <c r="I467" s="1" t="str">
        <f>IF(Back_End_Data!I467="Completed","Yes","No")</f>
        <v>No</v>
      </c>
      <c r="J467" s="1" t="str">
        <f>IF(Back_End_Data!J467="Completed","Yes","No")</f>
        <v>No</v>
      </c>
      <c r="K467" s="1" t="str">
        <f>IF(Back_End_Data!K467="Completed","Yes","No")</f>
        <v>No</v>
      </c>
      <c r="L467" s="1" t="str">
        <f>IF(Back_End_Data!L467="", "No", Back_End_Data!L467)</f>
        <v>No</v>
      </c>
      <c r="M467" s="1" t="str">
        <f>IF(Back_End_Data!N467="", "No", Back_End_Data!N467)</f>
        <v>No</v>
      </c>
      <c r="N467" s="1" t="str">
        <f>IF(Back_End_Data!M467="", "No", Back_End_Data!M467)</f>
        <v>No</v>
      </c>
      <c r="O467" s="1" t="str">
        <f>IF(Back_End_Data!O467="Completed","Yes","No")</f>
        <v>No</v>
      </c>
      <c r="P467" s="1" t="str">
        <f>IF(Back_End_Data!H467="Completed","Yes","No")</f>
        <v>No</v>
      </c>
      <c r="Q467" s="1" t="str">
        <f>IF(Back_End_Data!P467="Completed","Yes","No")</f>
        <v>No</v>
      </c>
      <c r="R467" s="1" t="s">
        <v>2369</v>
      </c>
      <c r="S467" s="1" t="str">
        <f>IF(Back_End_Data!R467="Completed","Yes","No")</f>
        <v>No</v>
      </c>
      <c r="T467" s="1" t="str">
        <f>IF(Back_End_Data!S467="Yes","Yes","No")</f>
        <v>No</v>
      </c>
      <c r="U467" s="1" t="str">
        <f>IF(Back_End_Data!Q466="Completed","Yes","No")</f>
        <v>No</v>
      </c>
      <c r="V467" s="1" t="e">
        <f ca="1">IF(INDEX(MIS_Backend_Data!L:L, MATCH(D467, MIS_Backend_Data!B:B, 1)) = "WT", "Yes", "No")</f>
        <v>#N/A</v>
      </c>
      <c r="W467" s="2" t="str">
        <f t="shared" ca="1" si="21"/>
        <v/>
      </c>
      <c r="AA467" s="1">
        <f t="shared" ca="1" si="22"/>
        <v>0</v>
      </c>
      <c r="AG467" s="1" t="str">
        <f t="shared" si="23"/>
        <v/>
      </c>
    </row>
    <row r="468" spans="1:33" ht="20.25" customHeight="1">
      <c r="A468" s="13">
        <v>467</v>
      </c>
      <c r="H468" s="1" t="str">
        <f>IF(Back_End_Data!G468="Completed","Yes","No")</f>
        <v>No</v>
      </c>
      <c r="I468" s="1" t="str">
        <f>IF(Back_End_Data!I468="Completed","Yes","No")</f>
        <v>No</v>
      </c>
      <c r="J468" s="1" t="str">
        <f>IF(Back_End_Data!J468="Completed","Yes","No")</f>
        <v>No</v>
      </c>
      <c r="K468" s="1" t="str">
        <f>IF(Back_End_Data!K468="Completed","Yes","No")</f>
        <v>No</v>
      </c>
      <c r="L468" s="1" t="str">
        <f>IF(Back_End_Data!L468="", "No", Back_End_Data!L468)</f>
        <v>No</v>
      </c>
      <c r="M468" s="1" t="str">
        <f>IF(Back_End_Data!N468="", "No", Back_End_Data!N468)</f>
        <v>No</v>
      </c>
      <c r="N468" s="1" t="str">
        <f>IF(Back_End_Data!M468="", "No", Back_End_Data!M468)</f>
        <v>No</v>
      </c>
      <c r="O468" s="1" t="str">
        <f>IF(Back_End_Data!O468="Completed","Yes","No")</f>
        <v>No</v>
      </c>
      <c r="P468" s="1" t="str">
        <f>IF(Back_End_Data!H468="Completed","Yes","No")</f>
        <v>No</v>
      </c>
      <c r="Q468" s="1" t="str">
        <f>IF(Back_End_Data!P468="Completed","Yes","No")</f>
        <v>No</v>
      </c>
      <c r="R468" s="1" t="s">
        <v>2369</v>
      </c>
      <c r="S468" s="1" t="str">
        <f>IF(Back_End_Data!R468="Completed","Yes","No")</f>
        <v>No</v>
      </c>
      <c r="T468" s="1" t="str">
        <f>IF(Back_End_Data!S468="Yes","Yes","No")</f>
        <v>No</v>
      </c>
      <c r="U468" s="1" t="str">
        <f>IF(Back_End_Data!Q467="Completed","Yes","No")</f>
        <v>No</v>
      </c>
      <c r="V468" s="1" t="e">
        <f ca="1">IF(INDEX(MIS_Backend_Data!L:L, MATCH(D468, MIS_Backend_Data!B:B, 1)) = "WT", "Yes", "No")</f>
        <v>#N/A</v>
      </c>
      <c r="W468" s="2" t="str">
        <f t="shared" ca="1" si="21"/>
        <v/>
      </c>
      <c r="AA468" s="1">
        <f t="shared" ca="1" si="22"/>
        <v>0</v>
      </c>
      <c r="AG468" s="1" t="str">
        <f t="shared" si="23"/>
        <v/>
      </c>
    </row>
    <row r="469" spans="1:33" ht="20.25" customHeight="1">
      <c r="A469" s="13">
        <v>468</v>
      </c>
      <c r="H469" s="1" t="str">
        <f>IF(Back_End_Data!G469="Completed","Yes","No")</f>
        <v>No</v>
      </c>
      <c r="I469" s="1" t="str">
        <f>IF(Back_End_Data!I469="Completed","Yes","No")</f>
        <v>No</v>
      </c>
      <c r="J469" s="1" t="str">
        <f>IF(Back_End_Data!J469="Completed","Yes","No")</f>
        <v>No</v>
      </c>
      <c r="K469" s="1" t="str">
        <f>IF(Back_End_Data!K469="Completed","Yes","No")</f>
        <v>No</v>
      </c>
      <c r="L469" s="1" t="str">
        <f>IF(Back_End_Data!L469="", "No", Back_End_Data!L469)</f>
        <v>No</v>
      </c>
      <c r="M469" s="1" t="str">
        <f>IF(Back_End_Data!N469="", "No", Back_End_Data!N469)</f>
        <v>No</v>
      </c>
      <c r="N469" s="1" t="str">
        <f>IF(Back_End_Data!M469="", "No", Back_End_Data!M469)</f>
        <v>No</v>
      </c>
      <c r="O469" s="1" t="str">
        <f>IF(Back_End_Data!O469="Completed","Yes","No")</f>
        <v>No</v>
      </c>
      <c r="P469" s="1" t="str">
        <f>IF(Back_End_Data!H469="Completed","Yes","No")</f>
        <v>No</v>
      </c>
      <c r="Q469" s="1" t="str">
        <f>IF(Back_End_Data!P469="Completed","Yes","No")</f>
        <v>No</v>
      </c>
      <c r="R469" s="1" t="s">
        <v>2369</v>
      </c>
      <c r="S469" s="1" t="str">
        <f>IF(Back_End_Data!R469="Completed","Yes","No")</f>
        <v>No</v>
      </c>
      <c r="T469" s="1" t="str">
        <f>IF(Back_End_Data!S469="Yes","Yes","No")</f>
        <v>No</v>
      </c>
      <c r="U469" s="1" t="str">
        <f>IF(Back_End_Data!Q468="Completed","Yes","No")</f>
        <v>No</v>
      </c>
      <c r="V469" s="1" t="e">
        <f ca="1">IF(INDEX(MIS_Backend_Data!L:L, MATCH(D469, MIS_Backend_Data!B:B, 1)) = "WT", "Yes", "No")</f>
        <v>#N/A</v>
      </c>
      <c r="W469" s="2" t="str">
        <f t="shared" ca="1" si="21"/>
        <v/>
      </c>
      <c r="AA469" s="1">
        <f t="shared" ca="1" si="22"/>
        <v>0</v>
      </c>
      <c r="AG469" s="1" t="str">
        <f t="shared" si="23"/>
        <v/>
      </c>
    </row>
    <row r="470" spans="1:33" ht="20.25" customHeight="1">
      <c r="A470" s="13">
        <v>469</v>
      </c>
      <c r="H470" s="1" t="str">
        <f>IF(Back_End_Data!G470="Completed","Yes","No")</f>
        <v>No</v>
      </c>
      <c r="I470" s="1" t="str">
        <f>IF(Back_End_Data!I470="Completed","Yes","No")</f>
        <v>No</v>
      </c>
      <c r="J470" s="1" t="str">
        <f>IF(Back_End_Data!J470="Completed","Yes","No")</f>
        <v>No</v>
      </c>
      <c r="K470" s="1" t="str">
        <f>IF(Back_End_Data!K470="Completed","Yes","No")</f>
        <v>No</v>
      </c>
      <c r="L470" s="1" t="str">
        <f>IF(Back_End_Data!L470="", "No", Back_End_Data!L470)</f>
        <v>No</v>
      </c>
      <c r="M470" s="1" t="str">
        <f>IF(Back_End_Data!N470="", "No", Back_End_Data!N470)</f>
        <v>No</v>
      </c>
      <c r="N470" s="1" t="str">
        <f>IF(Back_End_Data!M470="", "No", Back_End_Data!M470)</f>
        <v>No</v>
      </c>
      <c r="O470" s="1" t="str">
        <f>IF(Back_End_Data!O470="Completed","Yes","No")</f>
        <v>No</v>
      </c>
      <c r="P470" s="1" t="str">
        <f>IF(Back_End_Data!H470="Completed","Yes","No")</f>
        <v>No</v>
      </c>
      <c r="Q470" s="1" t="str">
        <f>IF(Back_End_Data!P470="Completed","Yes","No")</f>
        <v>No</v>
      </c>
      <c r="R470" s="1" t="s">
        <v>2369</v>
      </c>
      <c r="S470" s="1" t="str">
        <f>IF(Back_End_Data!R470="Completed","Yes","No")</f>
        <v>No</v>
      </c>
      <c r="T470" s="1" t="str">
        <f>IF(Back_End_Data!S470="Yes","Yes","No")</f>
        <v>No</v>
      </c>
      <c r="U470" s="1" t="str">
        <f>IF(Back_End_Data!Q469="Completed","Yes","No")</f>
        <v>No</v>
      </c>
      <c r="V470" s="1" t="e">
        <f ca="1">IF(INDEX(MIS_Backend_Data!L:L, MATCH(D470, MIS_Backend_Data!B:B, 1)) = "WT", "Yes", "No")</f>
        <v>#N/A</v>
      </c>
      <c r="W470" s="2" t="str">
        <f t="shared" ca="1" si="21"/>
        <v/>
      </c>
      <c r="AA470" s="1">
        <f t="shared" ca="1" si="22"/>
        <v>0</v>
      </c>
      <c r="AG470" s="1" t="str">
        <f t="shared" si="23"/>
        <v/>
      </c>
    </row>
    <row r="471" spans="1:33" ht="20.25" customHeight="1">
      <c r="A471" s="13">
        <v>470</v>
      </c>
      <c r="H471" s="1" t="str">
        <f>IF(Back_End_Data!G471="Completed","Yes","No")</f>
        <v>No</v>
      </c>
      <c r="I471" s="1" t="str">
        <f>IF(Back_End_Data!I471="Completed","Yes","No")</f>
        <v>No</v>
      </c>
      <c r="J471" s="1" t="str">
        <f>IF(Back_End_Data!J471="Completed","Yes","No")</f>
        <v>No</v>
      </c>
      <c r="K471" s="1" t="str">
        <f>IF(Back_End_Data!K471="Completed","Yes","No")</f>
        <v>No</v>
      </c>
      <c r="L471" s="1" t="str">
        <f>IF(Back_End_Data!L471="", "No", Back_End_Data!L471)</f>
        <v>No</v>
      </c>
      <c r="M471" s="1" t="str">
        <f>IF(Back_End_Data!N471="", "No", Back_End_Data!N471)</f>
        <v>No</v>
      </c>
      <c r="N471" s="1" t="str">
        <f>IF(Back_End_Data!M471="", "No", Back_End_Data!M471)</f>
        <v>No</v>
      </c>
      <c r="O471" s="1" t="str">
        <f>IF(Back_End_Data!O471="Completed","Yes","No")</f>
        <v>No</v>
      </c>
      <c r="P471" s="1" t="str">
        <f>IF(Back_End_Data!H471="Completed","Yes","No")</f>
        <v>No</v>
      </c>
      <c r="Q471" s="1" t="str">
        <f>IF(Back_End_Data!P471="Completed","Yes","No")</f>
        <v>No</v>
      </c>
      <c r="R471" s="1" t="s">
        <v>2369</v>
      </c>
      <c r="S471" s="1" t="str">
        <f>IF(Back_End_Data!R471="Completed","Yes","No")</f>
        <v>No</v>
      </c>
      <c r="T471" s="1" t="str">
        <f>IF(Back_End_Data!S471="Yes","Yes","No")</f>
        <v>No</v>
      </c>
      <c r="U471" s="1" t="str">
        <f>IF(Back_End_Data!Q470="Completed","Yes","No")</f>
        <v>No</v>
      </c>
      <c r="V471" s="1" t="e">
        <f ca="1">IF(INDEX(MIS_Backend_Data!L:L, MATCH(D471, MIS_Backend_Data!B:B, 1)) = "WT", "Yes", "No")</f>
        <v>#N/A</v>
      </c>
      <c r="W471" s="2" t="str">
        <f t="shared" ca="1" si="21"/>
        <v/>
      </c>
      <c r="AA471" s="1">
        <f t="shared" ca="1" si="22"/>
        <v>0</v>
      </c>
      <c r="AG471" s="1" t="str">
        <f t="shared" si="23"/>
        <v/>
      </c>
    </row>
    <row r="472" spans="1:33" ht="20.25" customHeight="1">
      <c r="A472" s="13">
        <v>471</v>
      </c>
      <c r="H472" s="1" t="str">
        <f>IF(Back_End_Data!G472="Completed","Yes","No")</f>
        <v>No</v>
      </c>
      <c r="I472" s="1" t="str">
        <f>IF(Back_End_Data!I472="Completed","Yes","No")</f>
        <v>No</v>
      </c>
      <c r="J472" s="1" t="str">
        <f>IF(Back_End_Data!J472="Completed","Yes","No")</f>
        <v>No</v>
      </c>
      <c r="K472" s="1" t="str">
        <f>IF(Back_End_Data!K472="Completed","Yes","No")</f>
        <v>No</v>
      </c>
      <c r="L472" s="1" t="str">
        <f>IF(Back_End_Data!L472="", "No", Back_End_Data!L472)</f>
        <v>No</v>
      </c>
      <c r="M472" s="1" t="str">
        <f>IF(Back_End_Data!N472="", "No", Back_End_Data!N472)</f>
        <v>No</v>
      </c>
      <c r="N472" s="1" t="str">
        <f>IF(Back_End_Data!M472="", "No", Back_End_Data!M472)</f>
        <v>No</v>
      </c>
      <c r="O472" s="1" t="str">
        <f>IF(Back_End_Data!O472="Completed","Yes","No")</f>
        <v>No</v>
      </c>
      <c r="P472" s="1" t="str">
        <f>IF(Back_End_Data!H472="Completed","Yes","No")</f>
        <v>No</v>
      </c>
      <c r="Q472" s="1" t="str">
        <f>IF(Back_End_Data!P472="Completed","Yes","No")</f>
        <v>No</v>
      </c>
      <c r="R472" s="1" t="s">
        <v>2369</v>
      </c>
      <c r="S472" s="1" t="str">
        <f>IF(Back_End_Data!R472="Completed","Yes","No")</f>
        <v>No</v>
      </c>
      <c r="T472" s="1" t="str">
        <f>IF(Back_End_Data!S472="Yes","Yes","No")</f>
        <v>No</v>
      </c>
      <c r="U472" s="1" t="str">
        <f>IF(Back_End_Data!Q471="Completed","Yes","No")</f>
        <v>No</v>
      </c>
      <c r="V472" s="1" t="e">
        <f ca="1">IF(INDEX(MIS_Backend_Data!L:L, MATCH(D472, MIS_Backend_Data!B:B, 1)) = "WT", "Yes", "No")</f>
        <v>#N/A</v>
      </c>
      <c r="W472" s="2" t="str">
        <f t="shared" ca="1" si="21"/>
        <v/>
      </c>
      <c r="AA472" s="1">
        <f t="shared" ca="1" si="22"/>
        <v>0</v>
      </c>
      <c r="AG472" s="1" t="str">
        <f t="shared" si="23"/>
        <v/>
      </c>
    </row>
    <row r="473" spans="1:33" ht="20.25" customHeight="1">
      <c r="A473" s="13">
        <v>472</v>
      </c>
      <c r="H473" s="1" t="str">
        <f>IF(Back_End_Data!G473="Completed","Yes","No")</f>
        <v>No</v>
      </c>
      <c r="I473" s="1" t="str">
        <f>IF(Back_End_Data!I473="Completed","Yes","No")</f>
        <v>No</v>
      </c>
      <c r="J473" s="1" t="str">
        <f>IF(Back_End_Data!J473="Completed","Yes","No")</f>
        <v>No</v>
      </c>
      <c r="K473" s="1" t="str">
        <f>IF(Back_End_Data!K473="Completed","Yes","No")</f>
        <v>No</v>
      </c>
      <c r="L473" s="1" t="str">
        <f>IF(Back_End_Data!L473="", "No", Back_End_Data!L473)</f>
        <v>No</v>
      </c>
      <c r="M473" s="1" t="str">
        <f>IF(Back_End_Data!N473="", "No", Back_End_Data!N473)</f>
        <v>No</v>
      </c>
      <c r="N473" s="1" t="str">
        <f>IF(Back_End_Data!M473="", "No", Back_End_Data!M473)</f>
        <v>No</v>
      </c>
      <c r="O473" s="1" t="str">
        <f>IF(Back_End_Data!O473="Completed","Yes","No")</f>
        <v>No</v>
      </c>
      <c r="P473" s="1" t="str">
        <f>IF(Back_End_Data!H473="Completed","Yes","No")</f>
        <v>No</v>
      </c>
      <c r="Q473" s="1" t="str">
        <f>IF(Back_End_Data!P473="Completed","Yes","No")</f>
        <v>No</v>
      </c>
      <c r="R473" s="1" t="s">
        <v>2369</v>
      </c>
      <c r="S473" s="1" t="str">
        <f>IF(Back_End_Data!R473="Completed","Yes","No")</f>
        <v>No</v>
      </c>
      <c r="T473" s="1" t="str">
        <f>IF(Back_End_Data!S473="Yes","Yes","No")</f>
        <v>No</v>
      </c>
      <c r="U473" s="1" t="str">
        <f>IF(Back_End_Data!Q472="Completed","Yes","No")</f>
        <v>No</v>
      </c>
      <c r="V473" s="1" t="e">
        <f ca="1">IF(INDEX(MIS_Backend_Data!L:L, MATCH(D473, MIS_Backend_Data!B:B, 1)) = "WT", "Yes", "No")</f>
        <v>#N/A</v>
      </c>
      <c r="W473" s="2" t="str">
        <f t="shared" ca="1" si="21"/>
        <v/>
      </c>
      <c r="AA473" s="1">
        <f t="shared" ca="1" si="22"/>
        <v>0</v>
      </c>
      <c r="AG473" s="1" t="str">
        <f t="shared" si="23"/>
        <v/>
      </c>
    </row>
    <row r="474" spans="1:33" ht="20.25" customHeight="1">
      <c r="A474" s="13">
        <v>473</v>
      </c>
      <c r="H474" s="1" t="str">
        <f>IF(Back_End_Data!G474="Completed","Yes","No")</f>
        <v>No</v>
      </c>
      <c r="I474" s="1" t="str">
        <f>IF(Back_End_Data!I474="Completed","Yes","No")</f>
        <v>No</v>
      </c>
      <c r="J474" s="1" t="str">
        <f>IF(Back_End_Data!J474="Completed","Yes","No")</f>
        <v>No</v>
      </c>
      <c r="K474" s="1" t="str">
        <f>IF(Back_End_Data!K474="Completed","Yes","No")</f>
        <v>No</v>
      </c>
      <c r="L474" s="1" t="str">
        <f>IF(Back_End_Data!L474="", "No", Back_End_Data!L474)</f>
        <v>No</v>
      </c>
      <c r="M474" s="1" t="str">
        <f>IF(Back_End_Data!N474="", "No", Back_End_Data!N474)</f>
        <v>No</v>
      </c>
      <c r="N474" s="1" t="str">
        <f>IF(Back_End_Data!M474="", "No", Back_End_Data!M474)</f>
        <v>No</v>
      </c>
      <c r="O474" s="1" t="str">
        <f>IF(Back_End_Data!O474="Completed","Yes","No")</f>
        <v>No</v>
      </c>
      <c r="P474" s="1" t="str">
        <f>IF(Back_End_Data!H474="Completed","Yes","No")</f>
        <v>No</v>
      </c>
      <c r="Q474" s="1" t="str">
        <f>IF(Back_End_Data!P474="Completed","Yes","No")</f>
        <v>No</v>
      </c>
      <c r="R474" s="1" t="s">
        <v>2369</v>
      </c>
      <c r="S474" s="1" t="str">
        <f>IF(Back_End_Data!R474="Completed","Yes","No")</f>
        <v>No</v>
      </c>
      <c r="T474" s="1" t="str">
        <f>IF(Back_End_Data!S474="Yes","Yes","No")</f>
        <v>No</v>
      </c>
      <c r="U474" s="1" t="str">
        <f>IF(Back_End_Data!Q473="Completed","Yes","No")</f>
        <v>No</v>
      </c>
      <c r="V474" s="1" t="e">
        <f ca="1">IF(INDEX(MIS_Backend_Data!L:L, MATCH(D474, MIS_Backend_Data!B:B, 1)) = "WT", "Yes", "No")</f>
        <v>#N/A</v>
      </c>
      <c r="W474" s="2" t="str">
        <f t="shared" ca="1" si="21"/>
        <v/>
      </c>
      <c r="AA474" s="1">
        <f t="shared" ca="1" si="22"/>
        <v>0</v>
      </c>
      <c r="AG474" s="1" t="str">
        <f t="shared" si="23"/>
        <v/>
      </c>
    </row>
    <row r="475" spans="1:33" ht="20.25" customHeight="1">
      <c r="A475" s="13">
        <v>474</v>
      </c>
      <c r="H475" s="1" t="str">
        <f>IF(Back_End_Data!G475="Completed","Yes","No")</f>
        <v>No</v>
      </c>
      <c r="I475" s="1" t="str">
        <f>IF(Back_End_Data!I475="Completed","Yes","No")</f>
        <v>No</v>
      </c>
      <c r="J475" s="1" t="str">
        <f>IF(Back_End_Data!J475="Completed","Yes","No")</f>
        <v>No</v>
      </c>
      <c r="K475" s="1" t="str">
        <f>IF(Back_End_Data!K475="Completed","Yes","No")</f>
        <v>No</v>
      </c>
      <c r="L475" s="1" t="str">
        <f>IF(Back_End_Data!L475="", "No", Back_End_Data!L475)</f>
        <v>No</v>
      </c>
      <c r="M475" s="1" t="str">
        <f>IF(Back_End_Data!N475="", "No", Back_End_Data!N475)</f>
        <v>No</v>
      </c>
      <c r="N475" s="1" t="str">
        <f>IF(Back_End_Data!M475="", "No", Back_End_Data!M475)</f>
        <v>No</v>
      </c>
      <c r="O475" s="1" t="str">
        <f>IF(Back_End_Data!O475="Completed","Yes","No")</f>
        <v>No</v>
      </c>
      <c r="P475" s="1" t="str">
        <f>IF(Back_End_Data!H475="Completed","Yes","No")</f>
        <v>No</v>
      </c>
      <c r="Q475" s="1" t="str">
        <f>IF(Back_End_Data!P475="Completed","Yes","No")</f>
        <v>No</v>
      </c>
      <c r="R475" s="1" t="s">
        <v>2369</v>
      </c>
      <c r="S475" s="1" t="str">
        <f>IF(Back_End_Data!R475="Completed","Yes","No")</f>
        <v>No</v>
      </c>
      <c r="T475" s="1" t="str">
        <f>IF(Back_End_Data!S475="Yes","Yes","No")</f>
        <v>No</v>
      </c>
      <c r="U475" s="1" t="str">
        <f>IF(Back_End_Data!Q474="Completed","Yes","No")</f>
        <v>No</v>
      </c>
      <c r="V475" s="1" t="e">
        <f ca="1">IF(INDEX(MIS_Backend_Data!L:L, MATCH(D475, MIS_Backend_Data!B:B, 1)) = "WT", "Yes", "No")</f>
        <v>#N/A</v>
      </c>
      <c r="W475" s="2" t="str">
        <f t="shared" ca="1" si="21"/>
        <v/>
      </c>
      <c r="AA475" s="1">
        <f t="shared" ca="1" si="22"/>
        <v>0</v>
      </c>
      <c r="AG475" s="1" t="str">
        <f t="shared" si="23"/>
        <v/>
      </c>
    </row>
    <row r="476" spans="1:33" ht="20.25" customHeight="1">
      <c r="A476" s="13">
        <v>475</v>
      </c>
      <c r="H476" s="1" t="str">
        <f>IF(Back_End_Data!G476="Completed","Yes","No")</f>
        <v>No</v>
      </c>
      <c r="I476" s="1" t="str">
        <f>IF(Back_End_Data!I476="Completed","Yes","No")</f>
        <v>No</v>
      </c>
      <c r="J476" s="1" t="str">
        <f>IF(Back_End_Data!J476="Completed","Yes","No")</f>
        <v>No</v>
      </c>
      <c r="K476" s="1" t="str">
        <f>IF(Back_End_Data!K476="Completed","Yes","No")</f>
        <v>No</v>
      </c>
      <c r="L476" s="1" t="str">
        <f>IF(Back_End_Data!L476="", "No", Back_End_Data!L476)</f>
        <v>No</v>
      </c>
      <c r="M476" s="1" t="str">
        <f>IF(Back_End_Data!N476="", "No", Back_End_Data!N476)</f>
        <v>No</v>
      </c>
      <c r="N476" s="1" t="str">
        <f>IF(Back_End_Data!M476="", "No", Back_End_Data!M476)</f>
        <v>No</v>
      </c>
      <c r="O476" s="1" t="str">
        <f>IF(Back_End_Data!O476="Completed","Yes","No")</f>
        <v>No</v>
      </c>
      <c r="P476" s="1" t="str">
        <f>IF(Back_End_Data!H476="Completed","Yes","No")</f>
        <v>No</v>
      </c>
      <c r="Q476" s="1" t="str">
        <f>IF(Back_End_Data!P476="Completed","Yes","No")</f>
        <v>No</v>
      </c>
      <c r="R476" s="1" t="s">
        <v>2369</v>
      </c>
      <c r="S476" s="1" t="str">
        <f>IF(Back_End_Data!R476="Completed","Yes","No")</f>
        <v>No</v>
      </c>
      <c r="T476" s="1" t="str">
        <f>IF(Back_End_Data!S476="Yes","Yes","No")</f>
        <v>No</v>
      </c>
      <c r="U476" s="1" t="str">
        <f>IF(Back_End_Data!Q475="Completed","Yes","No")</f>
        <v>No</v>
      </c>
      <c r="V476" s="1" t="e">
        <f ca="1">IF(INDEX(MIS_Backend_Data!L:L, MATCH(D476, MIS_Backend_Data!B:B, 1)) = "WT", "Yes", "No")</f>
        <v>#N/A</v>
      </c>
      <c r="W476" s="2" t="str">
        <f t="shared" ca="1" si="21"/>
        <v/>
      </c>
      <c r="AA476" s="1">
        <f t="shared" ca="1" si="22"/>
        <v>0</v>
      </c>
      <c r="AG476" s="1" t="str">
        <f t="shared" si="23"/>
        <v/>
      </c>
    </row>
    <row r="477" spans="1:33" ht="20.25" customHeight="1">
      <c r="A477" s="13">
        <v>476</v>
      </c>
      <c r="H477" s="1" t="str">
        <f>IF(Back_End_Data!G477="Completed","Yes","No")</f>
        <v>No</v>
      </c>
      <c r="I477" s="1" t="str">
        <f>IF(Back_End_Data!I477="Completed","Yes","No")</f>
        <v>No</v>
      </c>
      <c r="J477" s="1" t="str">
        <f>IF(Back_End_Data!J477="Completed","Yes","No")</f>
        <v>No</v>
      </c>
      <c r="K477" s="1" t="str">
        <f>IF(Back_End_Data!K477="Completed","Yes","No")</f>
        <v>No</v>
      </c>
      <c r="L477" s="1" t="str">
        <f>IF(Back_End_Data!L477="", "No", Back_End_Data!L477)</f>
        <v>No</v>
      </c>
      <c r="M477" s="1" t="str">
        <f>IF(Back_End_Data!N477="", "No", Back_End_Data!N477)</f>
        <v>No</v>
      </c>
      <c r="N477" s="1" t="str">
        <f>IF(Back_End_Data!M477="", "No", Back_End_Data!M477)</f>
        <v>No</v>
      </c>
      <c r="O477" s="1" t="str">
        <f>IF(Back_End_Data!O477="Completed","Yes","No")</f>
        <v>No</v>
      </c>
      <c r="P477" s="1" t="str">
        <f>IF(Back_End_Data!H477="Completed","Yes","No")</f>
        <v>No</v>
      </c>
      <c r="Q477" s="1" t="str">
        <f>IF(Back_End_Data!P477="Completed","Yes","No")</f>
        <v>No</v>
      </c>
      <c r="R477" s="1" t="s">
        <v>2369</v>
      </c>
      <c r="S477" s="1" t="str">
        <f>IF(Back_End_Data!R477="Completed","Yes","No")</f>
        <v>No</v>
      </c>
      <c r="T477" s="1" t="str">
        <f>IF(Back_End_Data!S477="Yes","Yes","No")</f>
        <v>No</v>
      </c>
      <c r="U477" s="1" t="str">
        <f>IF(Back_End_Data!Q476="Completed","Yes","No")</f>
        <v>No</v>
      </c>
      <c r="V477" s="1" t="e">
        <f ca="1">IF(INDEX(MIS_Backend_Data!L:L, MATCH(D477, MIS_Backend_Data!B:B, 1)) = "WT", "Yes", "No")</f>
        <v>#N/A</v>
      </c>
      <c r="W477" s="2" t="str">
        <f t="shared" ca="1" si="21"/>
        <v/>
      </c>
      <c r="AA477" s="1">
        <f t="shared" ca="1" si="22"/>
        <v>0</v>
      </c>
      <c r="AG477" s="1" t="str">
        <f t="shared" si="23"/>
        <v/>
      </c>
    </row>
    <row r="478" spans="1:33" ht="20.25" customHeight="1">
      <c r="A478" s="13">
        <v>477</v>
      </c>
      <c r="H478" s="1" t="str">
        <f>IF(Back_End_Data!G478="Completed","Yes","No")</f>
        <v>No</v>
      </c>
      <c r="I478" s="1" t="str">
        <f>IF(Back_End_Data!I478="Completed","Yes","No")</f>
        <v>No</v>
      </c>
      <c r="J478" s="1" t="str">
        <f>IF(Back_End_Data!J478="Completed","Yes","No")</f>
        <v>No</v>
      </c>
      <c r="K478" s="1" t="str">
        <f>IF(Back_End_Data!K478="Completed","Yes","No")</f>
        <v>No</v>
      </c>
      <c r="L478" s="1" t="str">
        <f>IF(Back_End_Data!L478="", "No", Back_End_Data!L478)</f>
        <v>No</v>
      </c>
      <c r="M478" s="1" t="str">
        <f>IF(Back_End_Data!N478="", "No", Back_End_Data!N478)</f>
        <v>No</v>
      </c>
      <c r="N478" s="1" t="str">
        <f>IF(Back_End_Data!M478="", "No", Back_End_Data!M478)</f>
        <v>No</v>
      </c>
      <c r="O478" s="1" t="str">
        <f>IF(Back_End_Data!O478="Completed","Yes","No")</f>
        <v>No</v>
      </c>
      <c r="P478" s="1" t="str">
        <f>IF(Back_End_Data!H478="Completed","Yes","No")</f>
        <v>No</v>
      </c>
      <c r="Q478" s="1" t="str">
        <f>IF(Back_End_Data!P478="Completed","Yes","No")</f>
        <v>No</v>
      </c>
      <c r="R478" s="1" t="s">
        <v>2369</v>
      </c>
      <c r="S478" s="1" t="str">
        <f>IF(Back_End_Data!R478="Completed","Yes","No")</f>
        <v>No</v>
      </c>
      <c r="T478" s="1" t="str">
        <f>IF(Back_End_Data!S478="Yes","Yes","No")</f>
        <v>No</v>
      </c>
      <c r="U478" s="1" t="str">
        <f>IF(Back_End_Data!Q477="Completed","Yes","No")</f>
        <v>No</v>
      </c>
      <c r="V478" s="1" t="e">
        <f ca="1">IF(INDEX(MIS_Backend_Data!L:L, MATCH(D478, MIS_Backend_Data!B:B, 1)) = "WT", "Yes", "No")</f>
        <v>#N/A</v>
      </c>
      <c r="W478" s="2" t="str">
        <f t="shared" ca="1" si="21"/>
        <v/>
      </c>
      <c r="AA478" s="1">
        <f t="shared" ca="1" si="22"/>
        <v>0</v>
      </c>
      <c r="AG478" s="1" t="str">
        <f t="shared" si="23"/>
        <v/>
      </c>
    </row>
    <row r="479" spans="1:33" ht="20.25" customHeight="1">
      <c r="A479" s="13">
        <v>478</v>
      </c>
      <c r="H479" s="1" t="str">
        <f>IF(Back_End_Data!G479="Completed","Yes","No")</f>
        <v>No</v>
      </c>
      <c r="I479" s="1" t="str">
        <f>IF(Back_End_Data!I479="Completed","Yes","No")</f>
        <v>No</v>
      </c>
      <c r="J479" s="1" t="str">
        <f>IF(Back_End_Data!J479="Completed","Yes","No")</f>
        <v>No</v>
      </c>
      <c r="K479" s="1" t="str">
        <f>IF(Back_End_Data!K479="Completed","Yes","No")</f>
        <v>No</v>
      </c>
      <c r="L479" s="1" t="str">
        <f>IF(Back_End_Data!L479="", "No", Back_End_Data!L479)</f>
        <v>No</v>
      </c>
      <c r="M479" s="1" t="str">
        <f>IF(Back_End_Data!N479="", "No", Back_End_Data!N479)</f>
        <v>No</v>
      </c>
      <c r="N479" s="1" t="str">
        <f>IF(Back_End_Data!M479="", "No", Back_End_Data!M479)</f>
        <v>No</v>
      </c>
      <c r="O479" s="1" t="str">
        <f>IF(Back_End_Data!O479="Completed","Yes","No")</f>
        <v>No</v>
      </c>
      <c r="P479" s="1" t="str">
        <f>IF(Back_End_Data!H479="Completed","Yes","No")</f>
        <v>No</v>
      </c>
      <c r="Q479" s="1" t="str">
        <f>IF(Back_End_Data!P479="Completed","Yes","No")</f>
        <v>No</v>
      </c>
      <c r="R479" s="1" t="s">
        <v>2369</v>
      </c>
      <c r="S479" s="1" t="str">
        <f>IF(Back_End_Data!R479="Completed","Yes","No")</f>
        <v>No</v>
      </c>
      <c r="T479" s="1" t="str">
        <f>IF(Back_End_Data!S479="Yes","Yes","No")</f>
        <v>No</v>
      </c>
      <c r="U479" s="1" t="str">
        <f>IF(Back_End_Data!Q478="Completed","Yes","No")</f>
        <v>No</v>
      </c>
      <c r="V479" s="1" t="e">
        <f ca="1">IF(INDEX(MIS_Backend_Data!L:L, MATCH(D479, MIS_Backend_Data!B:B, 1)) = "WT", "Yes", "No")</f>
        <v>#N/A</v>
      </c>
      <c r="W479" s="2" t="str">
        <f t="shared" ca="1" si="21"/>
        <v/>
      </c>
      <c r="AA479" s="1">
        <f t="shared" ca="1" si="22"/>
        <v>0</v>
      </c>
      <c r="AG479" s="1" t="str">
        <f t="shared" si="23"/>
        <v/>
      </c>
    </row>
    <row r="480" spans="1:33" ht="20.25" customHeight="1">
      <c r="A480" s="13">
        <v>479</v>
      </c>
      <c r="H480" s="1" t="str">
        <f>IF(Back_End_Data!G480="Completed","Yes","No")</f>
        <v>No</v>
      </c>
      <c r="I480" s="1" t="str">
        <f>IF(Back_End_Data!I480="Completed","Yes","No")</f>
        <v>No</v>
      </c>
      <c r="J480" s="1" t="str">
        <f>IF(Back_End_Data!J480="Completed","Yes","No")</f>
        <v>No</v>
      </c>
      <c r="K480" s="1" t="str">
        <f>IF(Back_End_Data!K480="Completed","Yes","No")</f>
        <v>No</v>
      </c>
      <c r="L480" s="1" t="str">
        <f>IF(Back_End_Data!L480="", "No", Back_End_Data!L480)</f>
        <v>No</v>
      </c>
      <c r="M480" s="1" t="str">
        <f>IF(Back_End_Data!N480="", "No", Back_End_Data!N480)</f>
        <v>No</v>
      </c>
      <c r="N480" s="1" t="str">
        <f>IF(Back_End_Data!M480="", "No", Back_End_Data!M480)</f>
        <v>No</v>
      </c>
      <c r="O480" s="1" t="str">
        <f>IF(Back_End_Data!O480="Completed","Yes","No")</f>
        <v>No</v>
      </c>
      <c r="P480" s="1" t="str">
        <f>IF(Back_End_Data!H480="Completed","Yes","No")</f>
        <v>No</v>
      </c>
      <c r="Q480" s="1" t="str">
        <f>IF(Back_End_Data!P480="Completed","Yes","No")</f>
        <v>No</v>
      </c>
      <c r="R480" s="1" t="s">
        <v>2369</v>
      </c>
      <c r="S480" s="1" t="str">
        <f>IF(Back_End_Data!R480="Completed","Yes","No")</f>
        <v>No</v>
      </c>
      <c r="T480" s="1" t="str">
        <f>IF(Back_End_Data!S480="Yes","Yes","No")</f>
        <v>No</v>
      </c>
      <c r="U480" s="1" t="str">
        <f>IF(Back_End_Data!Q479="Completed","Yes","No")</f>
        <v>No</v>
      </c>
      <c r="V480" s="1" t="e">
        <f ca="1">IF(INDEX(MIS_Backend_Data!L:L, MATCH(D480, MIS_Backend_Data!B:B, 1)) = "WT", "Yes", "No")</f>
        <v>#N/A</v>
      </c>
      <c r="W480" s="2" t="str">
        <f t="shared" ca="1" si="21"/>
        <v/>
      </c>
      <c r="AA480" s="1">
        <f t="shared" ca="1" si="22"/>
        <v>0</v>
      </c>
      <c r="AG480" s="1" t="str">
        <f t="shared" si="23"/>
        <v/>
      </c>
    </row>
    <row r="481" spans="1:33" ht="20.25" customHeight="1">
      <c r="A481" s="13">
        <v>480</v>
      </c>
      <c r="H481" s="1" t="str">
        <f>IF(Back_End_Data!G481="Completed","Yes","No")</f>
        <v>No</v>
      </c>
      <c r="I481" s="1" t="str">
        <f>IF(Back_End_Data!I481="Completed","Yes","No")</f>
        <v>No</v>
      </c>
      <c r="J481" s="1" t="str">
        <f>IF(Back_End_Data!J481="Completed","Yes","No")</f>
        <v>No</v>
      </c>
      <c r="K481" s="1" t="str">
        <f>IF(Back_End_Data!K481="Completed","Yes","No")</f>
        <v>No</v>
      </c>
      <c r="L481" s="1" t="str">
        <f>IF(Back_End_Data!L481="", "No", Back_End_Data!L481)</f>
        <v>No</v>
      </c>
      <c r="M481" s="1" t="str">
        <f>IF(Back_End_Data!N481="", "No", Back_End_Data!N481)</f>
        <v>No</v>
      </c>
      <c r="N481" s="1" t="str">
        <f>IF(Back_End_Data!M481="", "No", Back_End_Data!M481)</f>
        <v>No</v>
      </c>
      <c r="O481" s="1" t="str">
        <f>IF(Back_End_Data!O481="Completed","Yes","No")</f>
        <v>No</v>
      </c>
      <c r="P481" s="1" t="str">
        <f>IF(Back_End_Data!H481="Completed","Yes","No")</f>
        <v>No</v>
      </c>
      <c r="Q481" s="1" t="str">
        <f>IF(Back_End_Data!P481="Completed","Yes","No")</f>
        <v>No</v>
      </c>
      <c r="R481" s="1" t="s">
        <v>2369</v>
      </c>
      <c r="S481" s="1" t="str">
        <f>IF(Back_End_Data!R481="Completed","Yes","No")</f>
        <v>No</v>
      </c>
      <c r="T481" s="1" t="str">
        <f>IF(Back_End_Data!S481="Yes","Yes","No")</f>
        <v>No</v>
      </c>
      <c r="U481" s="1" t="str">
        <f>IF(Back_End_Data!Q480="Completed","Yes","No")</f>
        <v>No</v>
      </c>
      <c r="V481" s="1" t="e">
        <f ca="1">IF(INDEX(MIS_Backend_Data!L:L, MATCH(D481, MIS_Backend_Data!B:B, 1)) = "WT", "Yes", "No")</f>
        <v>#N/A</v>
      </c>
      <c r="W481" s="2" t="str">
        <f t="shared" ca="1" si="21"/>
        <v/>
      </c>
      <c r="AA481" s="1">
        <f t="shared" ca="1" si="22"/>
        <v>0</v>
      </c>
      <c r="AG481" s="1" t="str">
        <f t="shared" si="23"/>
        <v/>
      </c>
    </row>
    <row r="482" spans="1:33" ht="20.25" customHeight="1">
      <c r="A482" s="13">
        <v>481</v>
      </c>
      <c r="H482" s="1" t="str">
        <f>IF(Back_End_Data!G482="Completed","Yes","No")</f>
        <v>No</v>
      </c>
      <c r="I482" s="1" t="str">
        <f>IF(Back_End_Data!I482="Completed","Yes","No")</f>
        <v>No</v>
      </c>
      <c r="J482" s="1" t="str">
        <f>IF(Back_End_Data!J482="Completed","Yes","No")</f>
        <v>No</v>
      </c>
      <c r="K482" s="1" t="str">
        <f>IF(Back_End_Data!K482="Completed","Yes","No")</f>
        <v>No</v>
      </c>
      <c r="L482" s="1" t="str">
        <f>IF(Back_End_Data!L482="", "No", Back_End_Data!L482)</f>
        <v>No</v>
      </c>
      <c r="M482" s="1" t="str">
        <f>IF(Back_End_Data!N482="", "No", Back_End_Data!N482)</f>
        <v>No</v>
      </c>
      <c r="N482" s="1" t="str">
        <f>IF(Back_End_Data!M482="", "No", Back_End_Data!M482)</f>
        <v>No</v>
      </c>
      <c r="O482" s="1" t="str">
        <f>IF(Back_End_Data!O482="Completed","Yes","No")</f>
        <v>No</v>
      </c>
      <c r="P482" s="1" t="str">
        <f>IF(Back_End_Data!H482="Completed","Yes","No")</f>
        <v>No</v>
      </c>
      <c r="Q482" s="1" t="str">
        <f>IF(Back_End_Data!P482="Completed","Yes","No")</f>
        <v>No</v>
      </c>
      <c r="R482" s="1" t="s">
        <v>2369</v>
      </c>
      <c r="S482" s="1" t="str">
        <f>IF(Back_End_Data!R482="Completed","Yes","No")</f>
        <v>No</v>
      </c>
      <c r="T482" s="1" t="str">
        <f>IF(Back_End_Data!S482="Yes","Yes","No")</f>
        <v>No</v>
      </c>
      <c r="U482" s="1" t="str">
        <f>IF(Back_End_Data!Q481="Completed","Yes","No")</f>
        <v>No</v>
      </c>
      <c r="V482" s="1" t="e">
        <f ca="1">IF(INDEX(MIS_Backend_Data!L:L, MATCH(D482, MIS_Backend_Data!B:B, 1)) = "WT", "Yes", "No")</f>
        <v>#N/A</v>
      </c>
      <c r="W482" s="2" t="str">
        <f t="shared" ca="1" si="21"/>
        <v/>
      </c>
      <c r="AA482" s="1">
        <f t="shared" ca="1" si="22"/>
        <v>0</v>
      </c>
      <c r="AG482" s="1" t="str">
        <f t="shared" si="23"/>
        <v/>
      </c>
    </row>
    <row r="483" spans="1:33" ht="20.25" customHeight="1">
      <c r="A483" s="13">
        <v>482</v>
      </c>
      <c r="H483" s="1" t="str">
        <f>IF(Back_End_Data!G483="Completed","Yes","No")</f>
        <v>No</v>
      </c>
      <c r="I483" s="1" t="str">
        <f>IF(Back_End_Data!I483="Completed","Yes","No")</f>
        <v>No</v>
      </c>
      <c r="J483" s="1" t="str">
        <f>IF(Back_End_Data!J483="Completed","Yes","No")</f>
        <v>No</v>
      </c>
      <c r="K483" s="1" t="str">
        <f>IF(Back_End_Data!K483="Completed","Yes","No")</f>
        <v>No</v>
      </c>
      <c r="L483" s="1" t="str">
        <f>IF(Back_End_Data!L483="", "No", Back_End_Data!L483)</f>
        <v>No</v>
      </c>
      <c r="M483" s="1" t="str">
        <f>IF(Back_End_Data!N483="", "No", Back_End_Data!N483)</f>
        <v>No</v>
      </c>
      <c r="N483" s="1" t="str">
        <f>IF(Back_End_Data!M483="", "No", Back_End_Data!M483)</f>
        <v>No</v>
      </c>
      <c r="O483" s="1" t="str">
        <f>IF(Back_End_Data!O483="Completed","Yes","No")</f>
        <v>No</v>
      </c>
      <c r="P483" s="1" t="str">
        <f>IF(Back_End_Data!H483="Completed","Yes","No")</f>
        <v>No</v>
      </c>
      <c r="Q483" s="1" t="str">
        <f>IF(Back_End_Data!P483="Completed","Yes","No")</f>
        <v>No</v>
      </c>
      <c r="R483" s="1" t="s">
        <v>2369</v>
      </c>
      <c r="S483" s="1" t="str">
        <f>IF(Back_End_Data!R483="Completed","Yes","No")</f>
        <v>No</v>
      </c>
      <c r="T483" s="1" t="str">
        <f>IF(Back_End_Data!S483="Yes","Yes","No")</f>
        <v>No</v>
      </c>
      <c r="U483" s="1" t="str">
        <f>IF(Back_End_Data!Q482="Completed","Yes","No")</f>
        <v>No</v>
      </c>
      <c r="V483" s="1" t="e">
        <f ca="1">IF(INDEX(MIS_Backend_Data!L:L, MATCH(D483, MIS_Backend_Data!B:B, 1)) = "WT", "Yes", "No")</f>
        <v>#N/A</v>
      </c>
      <c r="W483" s="2" t="str">
        <f t="shared" ca="1" si="21"/>
        <v/>
      </c>
      <c r="AA483" s="1">
        <f t="shared" ca="1" si="22"/>
        <v>0</v>
      </c>
      <c r="AG483" s="1" t="str">
        <f t="shared" si="23"/>
        <v/>
      </c>
    </row>
    <row r="484" spans="1:33" ht="20.25" customHeight="1">
      <c r="A484" s="13">
        <v>483</v>
      </c>
      <c r="H484" s="1" t="str">
        <f>IF(Back_End_Data!G484="Completed","Yes","No")</f>
        <v>No</v>
      </c>
      <c r="I484" s="1" t="str">
        <f>IF(Back_End_Data!I484="Completed","Yes","No")</f>
        <v>No</v>
      </c>
      <c r="J484" s="1" t="str">
        <f>IF(Back_End_Data!J484="Completed","Yes","No")</f>
        <v>No</v>
      </c>
      <c r="K484" s="1" t="str">
        <f>IF(Back_End_Data!K484="Completed","Yes","No")</f>
        <v>No</v>
      </c>
      <c r="L484" s="1" t="str">
        <f>IF(Back_End_Data!L484="", "No", Back_End_Data!L484)</f>
        <v>No</v>
      </c>
      <c r="M484" s="1" t="str">
        <f>IF(Back_End_Data!N484="", "No", Back_End_Data!N484)</f>
        <v>No</v>
      </c>
      <c r="N484" s="1" t="str">
        <f>IF(Back_End_Data!M484="", "No", Back_End_Data!M484)</f>
        <v>No</v>
      </c>
      <c r="O484" s="1" t="str">
        <f>IF(Back_End_Data!O484="Completed","Yes","No")</f>
        <v>No</v>
      </c>
      <c r="P484" s="1" t="str">
        <f>IF(Back_End_Data!H484="Completed","Yes","No")</f>
        <v>No</v>
      </c>
      <c r="Q484" s="1" t="str">
        <f>IF(Back_End_Data!P484="Completed","Yes","No")</f>
        <v>No</v>
      </c>
      <c r="R484" s="1" t="s">
        <v>2369</v>
      </c>
      <c r="S484" s="1" t="str">
        <f>IF(Back_End_Data!R484="Completed","Yes","No")</f>
        <v>No</v>
      </c>
      <c r="T484" s="1" t="str">
        <f>IF(Back_End_Data!S484="Yes","Yes","No")</f>
        <v>No</v>
      </c>
      <c r="U484" s="1" t="str">
        <f>IF(Back_End_Data!Q483="Completed","Yes","No")</f>
        <v>No</v>
      </c>
      <c r="V484" s="1" t="e">
        <f ca="1">IF(INDEX(MIS_Backend_Data!L:L, MATCH(D484, MIS_Backend_Data!B:B, 1)) = "WT", "Yes", "No")</f>
        <v>#N/A</v>
      </c>
      <c r="W484" s="2" t="str">
        <f t="shared" ca="1" si="21"/>
        <v/>
      </c>
      <c r="AA484" s="1">
        <f t="shared" ca="1" si="22"/>
        <v>0</v>
      </c>
      <c r="AG484" s="1" t="str">
        <f t="shared" si="23"/>
        <v/>
      </c>
    </row>
    <row r="485" spans="1:33" ht="20.25" customHeight="1">
      <c r="A485" s="13">
        <v>484</v>
      </c>
      <c r="H485" s="1" t="str">
        <f>IF(Back_End_Data!G485="Completed","Yes","No")</f>
        <v>No</v>
      </c>
      <c r="I485" s="1" t="str">
        <f>IF(Back_End_Data!I485="Completed","Yes","No")</f>
        <v>No</v>
      </c>
      <c r="J485" s="1" t="str">
        <f>IF(Back_End_Data!J485="Completed","Yes","No")</f>
        <v>No</v>
      </c>
      <c r="K485" s="1" t="str">
        <f>IF(Back_End_Data!K485="Completed","Yes","No")</f>
        <v>No</v>
      </c>
      <c r="L485" s="1" t="str">
        <f>IF(Back_End_Data!L485="", "No", Back_End_Data!L485)</f>
        <v>No</v>
      </c>
      <c r="M485" s="1" t="str">
        <f>IF(Back_End_Data!N485="", "No", Back_End_Data!N485)</f>
        <v>No</v>
      </c>
      <c r="N485" s="1" t="str">
        <f>IF(Back_End_Data!M485="", "No", Back_End_Data!M485)</f>
        <v>No</v>
      </c>
      <c r="O485" s="1" t="str">
        <f>IF(Back_End_Data!O485="Completed","Yes","No")</f>
        <v>No</v>
      </c>
      <c r="P485" s="1" t="str">
        <f>IF(Back_End_Data!H485="Completed","Yes","No")</f>
        <v>No</v>
      </c>
      <c r="Q485" s="1" t="str">
        <f>IF(Back_End_Data!P485="Completed","Yes","No")</f>
        <v>No</v>
      </c>
      <c r="R485" s="1" t="s">
        <v>2369</v>
      </c>
      <c r="S485" s="1" t="str">
        <f>IF(Back_End_Data!R485="Completed","Yes","No")</f>
        <v>No</v>
      </c>
      <c r="T485" s="1" t="str">
        <f>IF(Back_End_Data!S485="Yes","Yes","No")</f>
        <v>No</v>
      </c>
      <c r="U485" s="1" t="str">
        <f>IF(Back_End_Data!Q484="Completed","Yes","No")</f>
        <v>No</v>
      </c>
      <c r="V485" s="1" t="e">
        <f ca="1">IF(INDEX(MIS_Backend_Data!L:L, MATCH(D485, MIS_Backend_Data!B:B, 1)) = "WT", "Yes", "No")</f>
        <v>#N/A</v>
      </c>
      <c r="W485" s="2" t="str">
        <f t="shared" ca="1" si="21"/>
        <v/>
      </c>
      <c r="AA485" s="1">
        <f t="shared" ca="1" si="22"/>
        <v>0</v>
      </c>
      <c r="AG485" s="1" t="str">
        <f t="shared" si="23"/>
        <v/>
      </c>
    </row>
    <row r="486" spans="1:33" ht="20.25" customHeight="1">
      <c r="A486" s="13">
        <v>485</v>
      </c>
      <c r="H486" s="1" t="str">
        <f>IF(Back_End_Data!G486="Completed","Yes","No")</f>
        <v>No</v>
      </c>
      <c r="I486" s="1" t="str">
        <f>IF(Back_End_Data!I486="Completed","Yes","No")</f>
        <v>No</v>
      </c>
      <c r="J486" s="1" t="str">
        <f>IF(Back_End_Data!J486="Completed","Yes","No")</f>
        <v>No</v>
      </c>
      <c r="K486" s="1" t="str">
        <f>IF(Back_End_Data!K486="Completed","Yes","No")</f>
        <v>No</v>
      </c>
      <c r="L486" s="1" t="str">
        <f>IF(Back_End_Data!L486="", "No", Back_End_Data!L486)</f>
        <v>No</v>
      </c>
      <c r="M486" s="1" t="str">
        <f>IF(Back_End_Data!N486="", "No", Back_End_Data!N486)</f>
        <v>No</v>
      </c>
      <c r="N486" s="1" t="str">
        <f>IF(Back_End_Data!M486="", "No", Back_End_Data!M486)</f>
        <v>No</v>
      </c>
      <c r="O486" s="1" t="str">
        <f>IF(Back_End_Data!O486="Completed","Yes","No")</f>
        <v>No</v>
      </c>
      <c r="P486" s="1" t="str">
        <f>IF(Back_End_Data!H486="Completed","Yes","No")</f>
        <v>No</v>
      </c>
      <c r="Q486" s="1" t="str">
        <f>IF(Back_End_Data!P486="Completed","Yes","No")</f>
        <v>No</v>
      </c>
      <c r="R486" s="1" t="s">
        <v>2369</v>
      </c>
      <c r="S486" s="1" t="str">
        <f>IF(Back_End_Data!R486="Completed","Yes","No")</f>
        <v>No</v>
      </c>
      <c r="T486" s="1" t="str">
        <f>IF(Back_End_Data!S486="Yes","Yes","No")</f>
        <v>No</v>
      </c>
      <c r="U486" s="1" t="str">
        <f>IF(Back_End_Data!Q485="Completed","Yes","No")</f>
        <v>No</v>
      </c>
      <c r="V486" s="1" t="e">
        <f ca="1">IF(INDEX(MIS_Backend_Data!L:L, MATCH(D486, MIS_Backend_Data!B:B, 1)) = "WT", "Yes", "No")</f>
        <v>#N/A</v>
      </c>
      <c r="W486" s="2" t="str">
        <f t="shared" ca="1" si="21"/>
        <v/>
      </c>
      <c r="AA486" s="1">
        <f t="shared" ca="1" si="22"/>
        <v>0</v>
      </c>
      <c r="AG486" s="1" t="str">
        <f t="shared" si="23"/>
        <v/>
      </c>
    </row>
    <row r="487" spans="1:33" ht="20.25" customHeight="1">
      <c r="A487" s="13">
        <v>486</v>
      </c>
      <c r="H487" s="1" t="str">
        <f>IF(Back_End_Data!G487="Completed","Yes","No")</f>
        <v>No</v>
      </c>
      <c r="I487" s="1" t="str">
        <f>IF(Back_End_Data!I487="Completed","Yes","No")</f>
        <v>No</v>
      </c>
      <c r="J487" s="1" t="str">
        <f>IF(Back_End_Data!J487="Completed","Yes","No")</f>
        <v>No</v>
      </c>
      <c r="K487" s="1" t="str">
        <f>IF(Back_End_Data!K487="Completed","Yes","No")</f>
        <v>No</v>
      </c>
      <c r="L487" s="1" t="str">
        <f>IF(Back_End_Data!L487="", "No", Back_End_Data!L487)</f>
        <v>No</v>
      </c>
      <c r="M487" s="1" t="str">
        <f>IF(Back_End_Data!N487="", "No", Back_End_Data!N487)</f>
        <v>No</v>
      </c>
      <c r="N487" s="1" t="str">
        <f>IF(Back_End_Data!M487="", "No", Back_End_Data!M487)</f>
        <v>No</v>
      </c>
      <c r="O487" s="1" t="str">
        <f>IF(Back_End_Data!O487="Completed","Yes","No")</f>
        <v>No</v>
      </c>
      <c r="P487" s="1" t="str">
        <f>IF(Back_End_Data!H487="Completed","Yes","No")</f>
        <v>No</v>
      </c>
      <c r="Q487" s="1" t="str">
        <f>IF(Back_End_Data!P487="Completed","Yes","No")</f>
        <v>No</v>
      </c>
      <c r="R487" s="1" t="s">
        <v>2369</v>
      </c>
      <c r="S487" s="1" t="str">
        <f>IF(Back_End_Data!R487="Completed","Yes","No")</f>
        <v>No</v>
      </c>
      <c r="T487" s="1" t="str">
        <f>IF(Back_End_Data!S487="Yes","Yes","No")</f>
        <v>No</v>
      </c>
      <c r="U487" s="1" t="str">
        <f>IF(Back_End_Data!Q486="Completed","Yes","No")</f>
        <v>No</v>
      </c>
      <c r="V487" s="1" t="e">
        <f ca="1">IF(INDEX(MIS_Backend_Data!L:L, MATCH(D487, MIS_Backend_Data!B:B, 1)) = "WT", "Yes", "No")</f>
        <v>#N/A</v>
      </c>
      <c r="W487" s="2" t="str">
        <f t="shared" ca="1" si="21"/>
        <v/>
      </c>
      <c r="AA487" s="1">
        <f t="shared" ca="1" si="22"/>
        <v>0</v>
      </c>
      <c r="AG487" s="1" t="str">
        <f t="shared" si="23"/>
        <v/>
      </c>
    </row>
    <row r="488" spans="1:33" ht="20.25" customHeight="1">
      <c r="A488" s="13">
        <v>487</v>
      </c>
      <c r="H488" s="1" t="str">
        <f>IF(Back_End_Data!G488="Completed","Yes","No")</f>
        <v>No</v>
      </c>
      <c r="I488" s="1" t="str">
        <f>IF(Back_End_Data!I488="Completed","Yes","No")</f>
        <v>No</v>
      </c>
      <c r="J488" s="1" t="str">
        <f>IF(Back_End_Data!J488="Completed","Yes","No")</f>
        <v>No</v>
      </c>
      <c r="K488" s="1" t="str">
        <f>IF(Back_End_Data!K488="Completed","Yes","No")</f>
        <v>No</v>
      </c>
      <c r="L488" s="1" t="str">
        <f>IF(Back_End_Data!L488="", "No", Back_End_Data!L488)</f>
        <v>No</v>
      </c>
      <c r="M488" s="1" t="str">
        <f>IF(Back_End_Data!N488="", "No", Back_End_Data!N488)</f>
        <v>No</v>
      </c>
      <c r="N488" s="1" t="str">
        <f>IF(Back_End_Data!M488="", "No", Back_End_Data!M488)</f>
        <v>No</v>
      </c>
      <c r="O488" s="1" t="str">
        <f>IF(Back_End_Data!O488="Completed","Yes","No")</f>
        <v>No</v>
      </c>
      <c r="P488" s="1" t="str">
        <f>IF(Back_End_Data!H488="Completed","Yes","No")</f>
        <v>No</v>
      </c>
      <c r="Q488" s="1" t="str">
        <f>IF(Back_End_Data!P488="Completed","Yes","No")</f>
        <v>No</v>
      </c>
      <c r="R488" s="1" t="s">
        <v>2369</v>
      </c>
      <c r="S488" s="1" t="str">
        <f>IF(Back_End_Data!R488="Completed","Yes","No")</f>
        <v>No</v>
      </c>
      <c r="T488" s="1" t="str">
        <f>IF(Back_End_Data!S488="Yes","Yes","No")</f>
        <v>No</v>
      </c>
      <c r="U488" s="1" t="str">
        <f>IF(Back_End_Data!Q487="Completed","Yes","No")</f>
        <v>No</v>
      </c>
      <c r="V488" s="1" t="e">
        <f ca="1">IF(INDEX(MIS_Backend_Data!L:L, MATCH(D488, MIS_Backend_Data!B:B, 1)) = "WT", "Yes", "No")</f>
        <v>#N/A</v>
      </c>
      <c r="W488" s="2" t="str">
        <f t="shared" ca="1" si="21"/>
        <v/>
      </c>
      <c r="AA488" s="1">
        <f t="shared" ca="1" si="22"/>
        <v>0</v>
      </c>
      <c r="AG488" s="1" t="str">
        <f t="shared" si="23"/>
        <v/>
      </c>
    </row>
    <row r="489" spans="1:33" ht="20.25" customHeight="1">
      <c r="A489" s="13">
        <v>488</v>
      </c>
      <c r="H489" s="1" t="str">
        <f>IF(Back_End_Data!G489="Completed","Yes","No")</f>
        <v>No</v>
      </c>
      <c r="I489" s="1" t="str">
        <f>IF(Back_End_Data!I489="Completed","Yes","No")</f>
        <v>No</v>
      </c>
      <c r="J489" s="1" t="str">
        <f>IF(Back_End_Data!J489="Completed","Yes","No")</f>
        <v>No</v>
      </c>
      <c r="K489" s="1" t="str">
        <f>IF(Back_End_Data!K489="Completed","Yes","No")</f>
        <v>No</v>
      </c>
      <c r="L489" s="1" t="str">
        <f>IF(Back_End_Data!L489="", "No", Back_End_Data!L489)</f>
        <v>No</v>
      </c>
      <c r="M489" s="1" t="str">
        <f>IF(Back_End_Data!N489="", "No", Back_End_Data!N489)</f>
        <v>No</v>
      </c>
      <c r="N489" s="1" t="str">
        <f>IF(Back_End_Data!M489="", "No", Back_End_Data!M489)</f>
        <v>No</v>
      </c>
      <c r="O489" s="1" t="str">
        <f>IF(Back_End_Data!O489="Completed","Yes","No")</f>
        <v>No</v>
      </c>
      <c r="P489" s="1" t="str">
        <f>IF(Back_End_Data!H489="Completed","Yes","No")</f>
        <v>No</v>
      </c>
      <c r="Q489" s="1" t="str">
        <f>IF(Back_End_Data!P489="Completed","Yes","No")</f>
        <v>No</v>
      </c>
      <c r="R489" s="1" t="s">
        <v>2369</v>
      </c>
      <c r="S489" s="1" t="str">
        <f>IF(Back_End_Data!R489="Completed","Yes","No")</f>
        <v>No</v>
      </c>
      <c r="T489" s="1" t="str">
        <f>IF(Back_End_Data!S489="Yes","Yes","No")</f>
        <v>No</v>
      </c>
      <c r="U489" s="1" t="str">
        <f>IF(Back_End_Data!Q488="Completed","Yes","No")</f>
        <v>No</v>
      </c>
      <c r="V489" s="1" t="e">
        <f ca="1">IF(INDEX(MIS_Backend_Data!L:L, MATCH(D489, MIS_Backend_Data!B:B, 1)) = "WT", "Yes", "No")</f>
        <v>#N/A</v>
      </c>
      <c r="W489" s="2" t="str">
        <f t="shared" ca="1" si="21"/>
        <v/>
      </c>
      <c r="AA489" s="1">
        <f t="shared" ca="1" si="22"/>
        <v>0</v>
      </c>
      <c r="AG489" s="1" t="str">
        <f t="shared" si="23"/>
        <v/>
      </c>
    </row>
    <row r="490" spans="1:33" ht="20.25" customHeight="1">
      <c r="A490" s="13">
        <v>489</v>
      </c>
      <c r="H490" s="1" t="str">
        <f>IF(Back_End_Data!G490="Completed","Yes","No")</f>
        <v>No</v>
      </c>
      <c r="I490" s="1" t="str">
        <f>IF(Back_End_Data!I490="Completed","Yes","No")</f>
        <v>No</v>
      </c>
      <c r="J490" s="1" t="str">
        <f>IF(Back_End_Data!J490="Completed","Yes","No")</f>
        <v>No</v>
      </c>
      <c r="K490" s="1" t="str">
        <f>IF(Back_End_Data!K490="Completed","Yes","No")</f>
        <v>No</v>
      </c>
      <c r="L490" s="1" t="str">
        <f>IF(Back_End_Data!L490="", "No", Back_End_Data!L490)</f>
        <v>No</v>
      </c>
      <c r="M490" s="1" t="str">
        <f>IF(Back_End_Data!N490="", "No", Back_End_Data!N490)</f>
        <v>No</v>
      </c>
      <c r="N490" s="1" t="str">
        <f>IF(Back_End_Data!M490="", "No", Back_End_Data!M490)</f>
        <v>No</v>
      </c>
      <c r="O490" s="1" t="str">
        <f>IF(Back_End_Data!O490="Completed","Yes","No")</f>
        <v>No</v>
      </c>
      <c r="P490" s="1" t="str">
        <f>IF(Back_End_Data!H490="Completed","Yes","No")</f>
        <v>No</v>
      </c>
      <c r="Q490" s="1" t="str">
        <f>IF(Back_End_Data!P490="Completed","Yes","No")</f>
        <v>No</v>
      </c>
      <c r="R490" s="1" t="s">
        <v>2369</v>
      </c>
      <c r="S490" s="1" t="str">
        <f>IF(Back_End_Data!R490="Completed","Yes","No")</f>
        <v>No</v>
      </c>
      <c r="T490" s="1" t="str">
        <f>IF(Back_End_Data!S490="Yes","Yes","No")</f>
        <v>No</v>
      </c>
      <c r="U490" s="1" t="str">
        <f>IF(Back_End_Data!Q489="Completed","Yes","No")</f>
        <v>No</v>
      </c>
      <c r="V490" s="1" t="e">
        <f ca="1">IF(INDEX(MIS_Backend_Data!L:L, MATCH(D490, MIS_Backend_Data!B:B, 1)) = "WT", "Yes", "No")</f>
        <v>#N/A</v>
      </c>
      <c r="W490" s="2" t="str">
        <f t="shared" ca="1" si="21"/>
        <v/>
      </c>
      <c r="AA490" s="1">
        <f t="shared" ca="1" si="22"/>
        <v>0</v>
      </c>
      <c r="AG490" s="1" t="str">
        <f t="shared" si="23"/>
        <v/>
      </c>
    </row>
    <row r="491" spans="1:33" ht="20.25" customHeight="1">
      <c r="A491" s="13">
        <v>490</v>
      </c>
      <c r="H491" s="1" t="str">
        <f>IF(Back_End_Data!G491="Completed","Yes","No")</f>
        <v>No</v>
      </c>
      <c r="I491" s="1" t="str">
        <f>IF(Back_End_Data!I491="Completed","Yes","No")</f>
        <v>No</v>
      </c>
      <c r="J491" s="1" t="str">
        <f>IF(Back_End_Data!J491="Completed","Yes","No")</f>
        <v>No</v>
      </c>
      <c r="K491" s="1" t="str">
        <f>IF(Back_End_Data!K491="Completed","Yes","No")</f>
        <v>No</v>
      </c>
      <c r="L491" s="1" t="str">
        <f>IF(Back_End_Data!L491="", "No", Back_End_Data!L491)</f>
        <v>No</v>
      </c>
      <c r="M491" s="1" t="str">
        <f>IF(Back_End_Data!N491="", "No", Back_End_Data!N491)</f>
        <v>No</v>
      </c>
      <c r="N491" s="1" t="str">
        <f>IF(Back_End_Data!M491="", "No", Back_End_Data!M491)</f>
        <v>No</v>
      </c>
      <c r="O491" s="1" t="str">
        <f>IF(Back_End_Data!O491="Completed","Yes","No")</f>
        <v>No</v>
      </c>
      <c r="P491" s="1" t="str">
        <f>IF(Back_End_Data!H491="Completed","Yes","No")</f>
        <v>No</v>
      </c>
      <c r="Q491" s="1" t="str">
        <f>IF(Back_End_Data!P491="Completed","Yes","No")</f>
        <v>No</v>
      </c>
      <c r="R491" s="1" t="s">
        <v>2369</v>
      </c>
      <c r="S491" s="1" t="str">
        <f>IF(Back_End_Data!R491="Completed","Yes","No")</f>
        <v>No</v>
      </c>
      <c r="T491" s="1" t="str">
        <f>IF(Back_End_Data!S491="Yes","Yes","No")</f>
        <v>No</v>
      </c>
      <c r="U491" s="1" t="str">
        <f>IF(Back_End_Data!Q490="Completed","Yes","No")</f>
        <v>No</v>
      </c>
      <c r="V491" s="1" t="e">
        <f ca="1">IF(INDEX(MIS_Backend_Data!L:L, MATCH(D491, MIS_Backend_Data!B:B, 1)) = "WT", "Yes", "No")</f>
        <v>#N/A</v>
      </c>
      <c r="W491" s="2" t="str">
        <f t="shared" ca="1" si="21"/>
        <v/>
      </c>
      <c r="AA491" s="1">
        <f t="shared" ca="1" si="22"/>
        <v>0</v>
      </c>
      <c r="AG491" s="1" t="str">
        <f t="shared" si="23"/>
        <v/>
      </c>
    </row>
    <row r="492" spans="1:33" ht="20.25" customHeight="1">
      <c r="A492" s="13">
        <v>491</v>
      </c>
      <c r="H492" s="1" t="str">
        <f>IF(Back_End_Data!G492="Completed","Yes","No")</f>
        <v>No</v>
      </c>
      <c r="I492" s="1" t="str">
        <f>IF(Back_End_Data!I492="Completed","Yes","No")</f>
        <v>No</v>
      </c>
      <c r="J492" s="1" t="str">
        <f>IF(Back_End_Data!J492="Completed","Yes","No")</f>
        <v>No</v>
      </c>
      <c r="K492" s="1" t="str">
        <f>IF(Back_End_Data!K492="Completed","Yes","No")</f>
        <v>No</v>
      </c>
      <c r="L492" s="1" t="str">
        <f>IF(Back_End_Data!L492="", "No", Back_End_Data!L492)</f>
        <v>No</v>
      </c>
      <c r="M492" s="1" t="str">
        <f>IF(Back_End_Data!N492="", "No", Back_End_Data!N492)</f>
        <v>No</v>
      </c>
      <c r="N492" s="1" t="str">
        <f>IF(Back_End_Data!M492="", "No", Back_End_Data!M492)</f>
        <v>No</v>
      </c>
      <c r="O492" s="1" t="str">
        <f>IF(Back_End_Data!O492="Completed","Yes","No")</f>
        <v>No</v>
      </c>
      <c r="P492" s="1" t="str">
        <f>IF(Back_End_Data!H492="Completed","Yes","No")</f>
        <v>No</v>
      </c>
      <c r="Q492" s="1" t="str">
        <f>IF(Back_End_Data!P492="Completed","Yes","No")</f>
        <v>No</v>
      </c>
      <c r="R492" s="1" t="s">
        <v>2369</v>
      </c>
      <c r="S492" s="1" t="str">
        <f>IF(Back_End_Data!R492="Completed","Yes","No")</f>
        <v>No</v>
      </c>
      <c r="T492" s="1" t="str">
        <f>IF(Back_End_Data!S492="Yes","Yes","No")</f>
        <v>No</v>
      </c>
      <c r="U492" s="1" t="str">
        <f>IF(Back_End_Data!Q491="Completed","Yes","No")</f>
        <v>No</v>
      </c>
      <c r="V492" s="1" t="e">
        <f ca="1">IF(INDEX(MIS_Backend_Data!L:L, MATCH(D492, MIS_Backend_Data!B:B, 1)) = "WT", "Yes", "No")</f>
        <v>#N/A</v>
      </c>
      <c r="W492" s="2" t="str">
        <f t="shared" ca="1" si="21"/>
        <v/>
      </c>
      <c r="AA492" s="1">
        <f t="shared" ca="1" si="22"/>
        <v>0</v>
      </c>
      <c r="AG492" s="1" t="str">
        <f t="shared" si="23"/>
        <v/>
      </c>
    </row>
    <row r="493" spans="1:33" ht="20.25" customHeight="1">
      <c r="A493" s="13">
        <v>492</v>
      </c>
      <c r="H493" s="1" t="str">
        <f>IF(Back_End_Data!G493="Completed","Yes","No")</f>
        <v>No</v>
      </c>
      <c r="I493" s="1" t="str">
        <f>IF(Back_End_Data!I493="Completed","Yes","No")</f>
        <v>No</v>
      </c>
      <c r="J493" s="1" t="str">
        <f>IF(Back_End_Data!J493="Completed","Yes","No")</f>
        <v>No</v>
      </c>
      <c r="K493" s="1" t="str">
        <f>IF(Back_End_Data!K493="Completed","Yes","No")</f>
        <v>No</v>
      </c>
      <c r="L493" s="1" t="str">
        <f>IF(Back_End_Data!L493="", "No", Back_End_Data!L493)</f>
        <v>No</v>
      </c>
      <c r="M493" s="1" t="str">
        <f>IF(Back_End_Data!N493="", "No", Back_End_Data!N493)</f>
        <v>No</v>
      </c>
      <c r="N493" s="1" t="str">
        <f>IF(Back_End_Data!M493="", "No", Back_End_Data!M493)</f>
        <v>No</v>
      </c>
      <c r="O493" s="1" t="str">
        <f>IF(Back_End_Data!O493="Completed","Yes","No")</f>
        <v>No</v>
      </c>
      <c r="P493" s="1" t="str">
        <f>IF(Back_End_Data!H493="Completed","Yes","No")</f>
        <v>No</v>
      </c>
      <c r="Q493" s="1" t="str">
        <f>IF(Back_End_Data!P493="Completed","Yes","No")</f>
        <v>No</v>
      </c>
      <c r="R493" s="1" t="s">
        <v>2369</v>
      </c>
      <c r="S493" s="1" t="str">
        <f>IF(Back_End_Data!R493="Completed","Yes","No")</f>
        <v>No</v>
      </c>
      <c r="T493" s="1" t="str">
        <f>IF(Back_End_Data!S493="Yes","Yes","No")</f>
        <v>No</v>
      </c>
      <c r="U493" s="1" t="str">
        <f>IF(Back_End_Data!Q492="Completed","Yes","No")</f>
        <v>No</v>
      </c>
      <c r="V493" s="1" t="e">
        <f ca="1">IF(INDEX(MIS_Backend_Data!L:L, MATCH(D493, MIS_Backend_Data!B:B, 1)) = "WT", "Yes", "No")</f>
        <v>#N/A</v>
      </c>
      <c r="W493" s="2" t="str">
        <f t="shared" ca="1" si="21"/>
        <v/>
      </c>
      <c r="AA493" s="1">
        <f t="shared" ca="1" si="22"/>
        <v>0</v>
      </c>
      <c r="AG493" s="1" t="str">
        <f t="shared" si="23"/>
        <v/>
      </c>
    </row>
    <row r="494" spans="1:33" ht="20.25" customHeight="1">
      <c r="A494" s="13">
        <v>493</v>
      </c>
      <c r="H494" s="1" t="str">
        <f>IF(Back_End_Data!G494="Completed","Yes","No")</f>
        <v>No</v>
      </c>
      <c r="I494" s="1" t="str">
        <f>IF(Back_End_Data!I494="Completed","Yes","No")</f>
        <v>No</v>
      </c>
      <c r="J494" s="1" t="str">
        <f>IF(Back_End_Data!J494="Completed","Yes","No")</f>
        <v>No</v>
      </c>
      <c r="K494" s="1" t="str">
        <f>IF(Back_End_Data!K494="Completed","Yes","No")</f>
        <v>No</v>
      </c>
      <c r="L494" s="1" t="str">
        <f>IF(Back_End_Data!L494="", "No", Back_End_Data!L494)</f>
        <v>No</v>
      </c>
      <c r="M494" s="1" t="str">
        <f>IF(Back_End_Data!N494="", "No", Back_End_Data!N494)</f>
        <v>No</v>
      </c>
      <c r="N494" s="1" t="str">
        <f>IF(Back_End_Data!M494="", "No", Back_End_Data!M494)</f>
        <v>No</v>
      </c>
      <c r="O494" s="1" t="str">
        <f>IF(Back_End_Data!O494="Completed","Yes","No")</f>
        <v>No</v>
      </c>
      <c r="P494" s="1" t="str">
        <f>IF(Back_End_Data!H494="Completed","Yes","No")</f>
        <v>No</v>
      </c>
      <c r="Q494" s="1" t="str">
        <f>IF(Back_End_Data!P494="Completed","Yes","No")</f>
        <v>No</v>
      </c>
      <c r="R494" s="1" t="s">
        <v>2369</v>
      </c>
      <c r="S494" s="1" t="str">
        <f>IF(Back_End_Data!R494="Completed","Yes","No")</f>
        <v>No</v>
      </c>
      <c r="T494" s="1" t="str">
        <f>IF(Back_End_Data!S494="Yes","Yes","No")</f>
        <v>No</v>
      </c>
      <c r="U494" s="1" t="str">
        <f>IF(Back_End_Data!Q493="Completed","Yes","No")</f>
        <v>No</v>
      </c>
      <c r="V494" s="1" t="e">
        <f ca="1">IF(INDEX(MIS_Backend_Data!L:L, MATCH(D494, MIS_Backend_Data!B:B, 1)) = "WT", "Yes", "No")</f>
        <v>#N/A</v>
      </c>
      <c r="W494" s="2" t="str">
        <f t="shared" ca="1" si="21"/>
        <v/>
      </c>
      <c r="AA494" s="1">
        <f t="shared" ca="1" si="22"/>
        <v>0</v>
      </c>
      <c r="AG494" s="1" t="str">
        <f t="shared" si="23"/>
        <v/>
      </c>
    </row>
    <row r="495" spans="1:33" ht="20.25" customHeight="1">
      <c r="A495" s="13">
        <v>494</v>
      </c>
      <c r="H495" s="1" t="str">
        <f>IF(Back_End_Data!G495="Completed","Yes","No")</f>
        <v>No</v>
      </c>
      <c r="I495" s="1" t="str">
        <f>IF(Back_End_Data!I495="Completed","Yes","No")</f>
        <v>No</v>
      </c>
      <c r="J495" s="1" t="str">
        <f>IF(Back_End_Data!J495="Completed","Yes","No")</f>
        <v>No</v>
      </c>
      <c r="K495" s="1" t="str">
        <f>IF(Back_End_Data!K495="Completed","Yes","No")</f>
        <v>No</v>
      </c>
      <c r="L495" s="1" t="str">
        <f>IF(Back_End_Data!L495="", "No", Back_End_Data!L495)</f>
        <v>No</v>
      </c>
      <c r="M495" s="1" t="str">
        <f>IF(Back_End_Data!N495="", "No", Back_End_Data!N495)</f>
        <v>No</v>
      </c>
      <c r="N495" s="1" t="str">
        <f>IF(Back_End_Data!M495="", "No", Back_End_Data!M495)</f>
        <v>No</v>
      </c>
      <c r="O495" s="1" t="str">
        <f>IF(Back_End_Data!O495="Completed","Yes","No")</f>
        <v>No</v>
      </c>
      <c r="P495" s="1" t="str">
        <f>IF(Back_End_Data!H495="Completed","Yes","No")</f>
        <v>No</v>
      </c>
      <c r="Q495" s="1" t="str">
        <f>IF(Back_End_Data!P495="Completed","Yes","No")</f>
        <v>No</v>
      </c>
      <c r="R495" s="1" t="s">
        <v>2369</v>
      </c>
      <c r="S495" s="1" t="str">
        <f>IF(Back_End_Data!R495="Completed","Yes","No")</f>
        <v>No</v>
      </c>
      <c r="T495" s="1" t="str">
        <f>IF(Back_End_Data!S495="Yes","Yes","No")</f>
        <v>No</v>
      </c>
      <c r="U495" s="1" t="str">
        <f>IF(Back_End_Data!Q494="Completed","Yes","No")</f>
        <v>No</v>
      </c>
      <c r="V495" s="1" t="e">
        <f ca="1">IF(INDEX(MIS_Backend_Data!L:L, MATCH(D495, MIS_Backend_Data!B:B, 1)) = "WT", "Yes", "No")</f>
        <v>#N/A</v>
      </c>
      <c r="W495" s="2" t="str">
        <f t="shared" ca="1" si="21"/>
        <v/>
      </c>
      <c r="AA495" s="1">
        <f t="shared" ca="1" si="22"/>
        <v>0</v>
      </c>
      <c r="AG495" s="1" t="str">
        <f t="shared" si="23"/>
        <v/>
      </c>
    </row>
    <row r="496" spans="1:33" ht="20.25" customHeight="1">
      <c r="A496" s="13">
        <v>495</v>
      </c>
      <c r="H496" s="1" t="str">
        <f>IF(Back_End_Data!G496="Completed","Yes","No")</f>
        <v>No</v>
      </c>
      <c r="I496" s="1" t="str">
        <f>IF(Back_End_Data!I496="Completed","Yes","No")</f>
        <v>No</v>
      </c>
      <c r="J496" s="1" t="str">
        <f>IF(Back_End_Data!J496="Completed","Yes","No")</f>
        <v>No</v>
      </c>
      <c r="K496" s="1" t="str">
        <f>IF(Back_End_Data!K496="Completed","Yes","No")</f>
        <v>No</v>
      </c>
      <c r="L496" s="1" t="str">
        <f>IF(Back_End_Data!L496="", "No", Back_End_Data!L496)</f>
        <v>No</v>
      </c>
      <c r="M496" s="1" t="str">
        <f>IF(Back_End_Data!N496="", "No", Back_End_Data!N496)</f>
        <v>No</v>
      </c>
      <c r="N496" s="1" t="str">
        <f>IF(Back_End_Data!M496="", "No", Back_End_Data!M496)</f>
        <v>No</v>
      </c>
      <c r="O496" s="1" t="str">
        <f>IF(Back_End_Data!O496="Completed","Yes","No")</f>
        <v>No</v>
      </c>
      <c r="P496" s="1" t="str">
        <f>IF(Back_End_Data!H496="Completed","Yes","No")</f>
        <v>No</v>
      </c>
      <c r="Q496" s="1" t="str">
        <f>IF(Back_End_Data!P496="Completed","Yes","No")</f>
        <v>No</v>
      </c>
      <c r="R496" s="1" t="s">
        <v>2369</v>
      </c>
      <c r="S496" s="1" t="str">
        <f>IF(Back_End_Data!R496="Completed","Yes","No")</f>
        <v>No</v>
      </c>
      <c r="T496" s="1" t="str">
        <f>IF(Back_End_Data!S496="Yes","Yes","No")</f>
        <v>No</v>
      </c>
      <c r="U496" s="1" t="str">
        <f>IF(Back_End_Data!Q495="Completed","Yes","No")</f>
        <v>No</v>
      </c>
      <c r="V496" s="1" t="e">
        <f ca="1">IF(INDEX(MIS_Backend_Data!L:L, MATCH(D496, MIS_Backend_Data!B:B, 1)) = "WT", "Yes", "No")</f>
        <v>#N/A</v>
      </c>
      <c r="W496" s="2" t="str">
        <f t="shared" ca="1" si="21"/>
        <v/>
      </c>
      <c r="AA496" s="1">
        <f t="shared" ca="1" si="22"/>
        <v>0</v>
      </c>
      <c r="AG496" s="1" t="str">
        <f t="shared" si="23"/>
        <v/>
      </c>
    </row>
    <row r="497" spans="1:33" ht="20.25" customHeight="1">
      <c r="A497" s="13">
        <v>496</v>
      </c>
      <c r="H497" s="1" t="str">
        <f>IF(Back_End_Data!G497="Completed","Yes","No")</f>
        <v>No</v>
      </c>
      <c r="I497" s="1" t="str">
        <f>IF(Back_End_Data!I497="Completed","Yes","No")</f>
        <v>No</v>
      </c>
      <c r="J497" s="1" t="str">
        <f>IF(Back_End_Data!J497="Completed","Yes","No")</f>
        <v>No</v>
      </c>
      <c r="K497" s="1" t="str">
        <f>IF(Back_End_Data!K497="Completed","Yes","No")</f>
        <v>No</v>
      </c>
      <c r="L497" s="1" t="str">
        <f>IF(Back_End_Data!L497="", "No", Back_End_Data!L497)</f>
        <v>No</v>
      </c>
      <c r="M497" s="1" t="str">
        <f>IF(Back_End_Data!N497="", "No", Back_End_Data!N497)</f>
        <v>No</v>
      </c>
      <c r="N497" s="1" t="str">
        <f>IF(Back_End_Data!M497="", "No", Back_End_Data!M497)</f>
        <v>No</v>
      </c>
      <c r="O497" s="1" t="str">
        <f>IF(Back_End_Data!O497="Completed","Yes","No")</f>
        <v>No</v>
      </c>
      <c r="P497" s="1" t="str">
        <f>IF(Back_End_Data!H497="Completed","Yes","No")</f>
        <v>No</v>
      </c>
      <c r="Q497" s="1" t="str">
        <f>IF(Back_End_Data!P497="Completed","Yes","No")</f>
        <v>No</v>
      </c>
      <c r="R497" s="1" t="s">
        <v>2369</v>
      </c>
      <c r="S497" s="1" t="str">
        <f>IF(Back_End_Data!R497="Completed","Yes","No")</f>
        <v>No</v>
      </c>
      <c r="T497" s="1" t="str">
        <f>IF(Back_End_Data!S497="Yes","Yes","No")</f>
        <v>No</v>
      </c>
      <c r="U497" s="1" t="str">
        <f>IF(Back_End_Data!Q496="Completed","Yes","No")</f>
        <v>No</v>
      </c>
      <c r="V497" s="1" t="e">
        <f ca="1">IF(INDEX(MIS_Backend_Data!L:L, MATCH(D497, MIS_Backend_Data!B:B, 1)) = "WT", "Yes", "No")</f>
        <v>#N/A</v>
      </c>
      <c r="W497" s="2" t="str">
        <f t="shared" ca="1" si="21"/>
        <v/>
      </c>
      <c r="AA497" s="1">
        <f t="shared" ca="1" si="22"/>
        <v>0</v>
      </c>
      <c r="AG497" s="1" t="str">
        <f t="shared" si="23"/>
        <v/>
      </c>
    </row>
    <row r="498" spans="1:33" ht="20.25" customHeight="1">
      <c r="A498" s="13">
        <v>497</v>
      </c>
      <c r="H498" s="1" t="str">
        <f>IF(Back_End_Data!G498="Completed","Yes","No")</f>
        <v>No</v>
      </c>
      <c r="I498" s="1" t="str">
        <f>IF(Back_End_Data!I498="Completed","Yes","No")</f>
        <v>No</v>
      </c>
      <c r="J498" s="1" t="str">
        <f>IF(Back_End_Data!J498="Completed","Yes","No")</f>
        <v>No</v>
      </c>
      <c r="K498" s="1" t="str">
        <f>IF(Back_End_Data!K498="Completed","Yes","No")</f>
        <v>No</v>
      </c>
      <c r="L498" s="1" t="str">
        <f>IF(Back_End_Data!L498="", "No", Back_End_Data!L498)</f>
        <v>No</v>
      </c>
      <c r="M498" s="1" t="str">
        <f>IF(Back_End_Data!N498="", "No", Back_End_Data!N498)</f>
        <v>No</v>
      </c>
      <c r="N498" s="1" t="str">
        <f>IF(Back_End_Data!M498="", "No", Back_End_Data!M498)</f>
        <v>No</v>
      </c>
      <c r="O498" s="1" t="str">
        <f>IF(Back_End_Data!O498="Completed","Yes","No")</f>
        <v>No</v>
      </c>
      <c r="P498" s="1" t="str">
        <f>IF(Back_End_Data!H498="Completed","Yes","No")</f>
        <v>No</v>
      </c>
      <c r="Q498" s="1" t="str">
        <f>IF(Back_End_Data!P498="Completed","Yes","No")</f>
        <v>No</v>
      </c>
      <c r="R498" s="1" t="s">
        <v>2369</v>
      </c>
      <c r="S498" s="1" t="str">
        <f>IF(Back_End_Data!R498="Completed","Yes","No")</f>
        <v>No</v>
      </c>
      <c r="T498" s="1" t="str">
        <f>IF(Back_End_Data!S498="Yes","Yes","No")</f>
        <v>No</v>
      </c>
      <c r="U498" s="1" t="str">
        <f>IF(Back_End_Data!Q497="Completed","Yes","No")</f>
        <v>No</v>
      </c>
      <c r="V498" s="1" t="e">
        <f ca="1">IF(INDEX(MIS_Backend_Data!L:L, MATCH(D498, MIS_Backend_Data!B:B, 1)) = "WT", "Yes", "No")</f>
        <v>#N/A</v>
      </c>
      <c r="W498" s="2" t="str">
        <f t="shared" ca="1" si="21"/>
        <v/>
      </c>
      <c r="AA498" s="1">
        <f t="shared" ca="1" si="22"/>
        <v>0</v>
      </c>
      <c r="AG498" s="1" t="str">
        <f t="shared" si="23"/>
        <v/>
      </c>
    </row>
    <row r="499" spans="1:33" ht="20.25" customHeight="1">
      <c r="A499" s="13">
        <v>498</v>
      </c>
      <c r="H499" s="1" t="str">
        <f>IF(Back_End_Data!G499="Completed","Yes","No")</f>
        <v>No</v>
      </c>
      <c r="I499" s="1" t="str">
        <f>IF(Back_End_Data!I499="Completed","Yes","No")</f>
        <v>No</v>
      </c>
      <c r="J499" s="1" t="str">
        <f>IF(Back_End_Data!J499="Completed","Yes","No")</f>
        <v>No</v>
      </c>
      <c r="K499" s="1" t="str">
        <f>IF(Back_End_Data!K499="Completed","Yes","No")</f>
        <v>No</v>
      </c>
      <c r="L499" s="1" t="str">
        <f>IF(Back_End_Data!L499="", "No", Back_End_Data!L499)</f>
        <v>No</v>
      </c>
      <c r="M499" s="1" t="str">
        <f>IF(Back_End_Data!N499="", "No", Back_End_Data!N499)</f>
        <v>No</v>
      </c>
      <c r="N499" s="1" t="str">
        <f>IF(Back_End_Data!M499="", "No", Back_End_Data!M499)</f>
        <v>No</v>
      </c>
      <c r="O499" s="1" t="str">
        <f>IF(Back_End_Data!O499="Completed","Yes","No")</f>
        <v>No</v>
      </c>
      <c r="P499" s="1" t="str">
        <f>IF(Back_End_Data!H499="Completed","Yes","No")</f>
        <v>No</v>
      </c>
      <c r="Q499" s="1" t="str">
        <f>IF(Back_End_Data!P499="Completed","Yes","No")</f>
        <v>No</v>
      </c>
      <c r="R499" s="1" t="s">
        <v>2369</v>
      </c>
      <c r="S499" s="1" t="str">
        <f>IF(Back_End_Data!R499="Completed","Yes","No")</f>
        <v>No</v>
      </c>
      <c r="T499" s="1" t="str">
        <f>IF(Back_End_Data!S499="Yes","Yes","No")</f>
        <v>No</v>
      </c>
      <c r="U499" s="1" t="str">
        <f>IF(Back_End_Data!Q498="Completed","Yes","No")</f>
        <v>No</v>
      </c>
      <c r="V499" s="1" t="e">
        <f ca="1">IF(INDEX(MIS_Backend_Data!L:L, MATCH(D499, MIS_Backend_Data!B:B, 1)) = "WT", "Yes", "No")</f>
        <v>#N/A</v>
      </c>
      <c r="W499" s="2" t="str">
        <f t="shared" ca="1" si="21"/>
        <v/>
      </c>
      <c r="AA499" s="1">
        <f t="shared" ca="1" si="22"/>
        <v>0</v>
      </c>
      <c r="AG499" s="1" t="str">
        <f t="shared" si="23"/>
        <v/>
      </c>
    </row>
    <row r="500" spans="1:33" ht="20.25" customHeight="1">
      <c r="A500" s="13">
        <v>499</v>
      </c>
      <c r="H500" s="1" t="str">
        <f>IF(Back_End_Data!G500="Completed","Yes","No")</f>
        <v>No</v>
      </c>
      <c r="I500" s="1" t="str">
        <f>IF(Back_End_Data!I500="Completed","Yes","No")</f>
        <v>No</v>
      </c>
      <c r="J500" s="1" t="str">
        <f>IF(Back_End_Data!J500="Completed","Yes","No")</f>
        <v>No</v>
      </c>
      <c r="K500" s="1" t="str">
        <f>IF(Back_End_Data!K500="Completed","Yes","No")</f>
        <v>No</v>
      </c>
      <c r="L500" s="1" t="str">
        <f>IF(Back_End_Data!L500="", "No", Back_End_Data!L500)</f>
        <v>No</v>
      </c>
      <c r="M500" s="1" t="str">
        <f>IF(Back_End_Data!N500="", "No", Back_End_Data!N500)</f>
        <v>No</v>
      </c>
      <c r="N500" s="1" t="str">
        <f>IF(Back_End_Data!M500="", "No", Back_End_Data!M500)</f>
        <v>No</v>
      </c>
      <c r="O500" s="1" t="str">
        <f>IF(Back_End_Data!O500="Completed","Yes","No")</f>
        <v>No</v>
      </c>
      <c r="P500" s="1" t="str">
        <f>IF(Back_End_Data!H500="Completed","Yes","No")</f>
        <v>No</v>
      </c>
      <c r="Q500" s="1" t="str">
        <f>IF(Back_End_Data!P500="Completed","Yes","No")</f>
        <v>No</v>
      </c>
      <c r="R500" s="1" t="s">
        <v>2369</v>
      </c>
      <c r="S500" s="1" t="str">
        <f>IF(Back_End_Data!R500="Completed","Yes","No")</f>
        <v>No</v>
      </c>
      <c r="T500" s="1" t="str">
        <f>IF(Back_End_Data!S500="Yes","Yes","No")</f>
        <v>No</v>
      </c>
      <c r="U500" s="1" t="str">
        <f>IF(Back_End_Data!Q499="Completed","Yes","No")</f>
        <v>No</v>
      </c>
      <c r="V500" s="1" t="e">
        <f ca="1">IF(INDEX(MIS_Backend_Data!L:L, MATCH(D500, MIS_Backend_Data!B:B, 1)) = "WT", "Yes", "No")</f>
        <v>#N/A</v>
      </c>
      <c r="W500" s="2" t="str">
        <f t="shared" ca="1" si="21"/>
        <v/>
      </c>
      <c r="AA500" s="1">
        <f t="shared" ca="1" si="22"/>
        <v>0</v>
      </c>
      <c r="AG500" s="1" t="str">
        <f t="shared" si="23"/>
        <v/>
      </c>
    </row>
  </sheetData>
  <conditionalFormatting sqref="W1:X1048576">
    <cfRule type="containsText" dxfId="25" priority="1" operator="containsText" text="Rejcted">
      <formula>NOT(ISERROR(SEARCH("Rejcted",W1)))</formula>
    </cfRule>
    <cfRule type="containsText" dxfId="24" priority="2" operator="containsText" text="Approved">
      <formula>NOT(ISERROR(SEARCH("Approved",W1)))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3062-AE8C-4673-8817-06EA14B052F6}">
  <sheetPr codeName="Sheet13"/>
  <dimension ref="A1:V2"/>
  <sheetViews>
    <sheetView workbookViewId="0">
      <selection activeCell="B2" sqref="B2"/>
    </sheetView>
  </sheetViews>
  <sheetFormatPr defaultColWidth="9.1796875" defaultRowHeight="20.25" customHeight="1"/>
  <cols>
    <col min="1" max="1" width="9.1796875" style="222"/>
    <col min="2" max="2" width="51.7265625" style="222" customWidth="1"/>
    <col min="3" max="3" width="25.453125" style="222" customWidth="1"/>
    <col min="4" max="4" width="31.26953125" style="222" customWidth="1"/>
    <col min="5" max="5" width="17.26953125" style="226" customWidth="1"/>
    <col min="6" max="6" width="13.7265625" style="222" customWidth="1"/>
    <col min="7" max="21" width="9.1796875" style="222"/>
    <col min="22" max="22" width="15.26953125" style="223" customWidth="1"/>
    <col min="23" max="16384" width="9.1796875" style="222"/>
  </cols>
  <sheetData>
    <row r="1" spans="1:22" ht="36.75" customHeight="1">
      <c r="A1" s="218" t="s">
        <v>0</v>
      </c>
      <c r="B1" s="219" t="s">
        <v>5</v>
      </c>
      <c r="C1" s="218" t="s">
        <v>2370</v>
      </c>
      <c r="D1" s="218" t="s">
        <v>4</v>
      </c>
      <c r="E1" s="225" t="s">
        <v>7</v>
      </c>
      <c r="F1" s="220" t="s">
        <v>659</v>
      </c>
      <c r="G1" s="221" t="s">
        <v>2355</v>
      </c>
      <c r="H1" s="221" t="s">
        <v>2356</v>
      </c>
      <c r="I1" s="221" t="s">
        <v>650</v>
      </c>
      <c r="J1" s="221" t="s">
        <v>2357</v>
      </c>
      <c r="K1" s="221" t="s">
        <v>2358</v>
      </c>
      <c r="L1" s="221" t="s">
        <v>2139</v>
      </c>
      <c r="M1" s="221" t="s">
        <v>2359</v>
      </c>
      <c r="N1" s="221" t="s">
        <v>652</v>
      </c>
      <c r="O1" s="221" t="s">
        <v>636</v>
      </c>
      <c r="P1" s="221" t="s">
        <v>2360</v>
      </c>
      <c r="Q1" s="221" t="s">
        <v>2361</v>
      </c>
      <c r="R1" s="221" t="s">
        <v>647</v>
      </c>
      <c r="S1" s="221" t="s">
        <v>2362</v>
      </c>
      <c r="T1" s="221" t="s">
        <v>2363</v>
      </c>
      <c r="U1" s="221" t="s">
        <v>2364</v>
      </c>
      <c r="V1" s="224" t="s">
        <v>2365</v>
      </c>
    </row>
    <row r="2" spans="1:22" ht="20.25" customHeight="1">
      <c r="A2" s="223">
        <v>1</v>
      </c>
      <c r="B2" s="222" t="str" cm="1">
        <f t="array" ref="B2">_xlfn._xlws.FILTER(Invoice_Backend_Data!B:D,Invoice_Backend_Data!AG:AG="Pending","")</f>
        <v/>
      </c>
      <c r="E2" s="227" t="str" cm="1">
        <f t="array" ref="E2">_xlfn._xlws.FILTER(Invoice_Backend_Data!F:W,Invoice_Backend_Data!AG:AG="Pending","")</f>
        <v/>
      </c>
      <c r="F2" s="22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1C4B-569F-4291-811E-784993F8CE46}">
  <sheetPr codeName="Sheet14"/>
  <dimension ref="B2:N9"/>
  <sheetViews>
    <sheetView zoomScale="80" workbookViewId="0">
      <selection activeCell="B2" sqref="B2:N9"/>
    </sheetView>
  </sheetViews>
  <sheetFormatPr defaultRowHeight="14.5"/>
  <cols>
    <col min="2" max="2" width="39.1796875" bestFit="1" customWidth="1"/>
    <col min="3" max="3" width="18.453125" bestFit="1" customWidth="1"/>
    <col min="4" max="14" width="8.26953125" customWidth="1"/>
    <col min="15" max="15" width="10.7265625" bestFit="1" customWidth="1"/>
    <col min="16" max="16" width="16.54296875" bestFit="1" customWidth="1"/>
    <col min="17" max="17" width="10.1796875" bestFit="1" customWidth="1"/>
    <col min="18" max="20" width="10.81640625" bestFit="1" customWidth="1"/>
    <col min="21" max="24" width="9.81640625" bestFit="1" customWidth="1"/>
    <col min="25" max="37" width="10.81640625" bestFit="1" customWidth="1"/>
    <col min="38" max="38" width="10.7265625" bestFit="1" customWidth="1"/>
  </cols>
  <sheetData>
    <row r="2" spans="2:14">
      <c r="B2" s="21" t="s">
        <v>2371</v>
      </c>
      <c r="C2" s="21" t="s">
        <v>8</v>
      </c>
    </row>
    <row r="3" spans="2:14">
      <c r="B3" s="21" t="s">
        <v>5</v>
      </c>
      <c r="C3" t="s">
        <v>2372</v>
      </c>
      <c r="D3" t="s">
        <v>2373</v>
      </c>
      <c r="E3" t="s">
        <v>2374</v>
      </c>
      <c r="F3" t="s">
        <v>2375</v>
      </c>
      <c r="G3" t="s">
        <v>2315</v>
      </c>
      <c r="H3" t="s">
        <v>2376</v>
      </c>
      <c r="I3" t="s">
        <v>2377</v>
      </c>
      <c r="J3" t="s">
        <v>2378</v>
      </c>
      <c r="K3" t="s">
        <v>2379</v>
      </c>
      <c r="L3" t="s">
        <v>2380</v>
      </c>
      <c r="M3" t="s">
        <v>2381</v>
      </c>
      <c r="N3" t="s">
        <v>2301</v>
      </c>
    </row>
    <row r="4" spans="2:14">
      <c r="B4" t="s">
        <v>2304</v>
      </c>
      <c r="D4">
        <v>4</v>
      </c>
      <c r="E4">
        <v>6</v>
      </c>
      <c r="F4">
        <v>3</v>
      </c>
      <c r="G4">
        <v>12</v>
      </c>
      <c r="H4">
        <v>5</v>
      </c>
      <c r="N4">
        <v>30</v>
      </c>
    </row>
    <row r="5" spans="2:14">
      <c r="B5" t="s">
        <v>2310</v>
      </c>
      <c r="C5">
        <v>1</v>
      </c>
      <c r="D5">
        <v>3</v>
      </c>
      <c r="N5">
        <v>4</v>
      </c>
    </row>
    <row r="6" spans="2:14">
      <c r="B6" t="s">
        <v>2312</v>
      </c>
      <c r="G6">
        <v>8</v>
      </c>
      <c r="H6">
        <v>15</v>
      </c>
      <c r="N6">
        <v>23</v>
      </c>
    </row>
    <row r="7" spans="2:14">
      <c r="B7" t="s">
        <v>2328</v>
      </c>
      <c r="C7">
        <v>3</v>
      </c>
      <c r="E7">
        <v>10</v>
      </c>
      <c r="F7">
        <v>22</v>
      </c>
      <c r="G7">
        <v>72</v>
      </c>
      <c r="H7">
        <v>29</v>
      </c>
      <c r="I7">
        <v>1</v>
      </c>
      <c r="J7">
        <v>1</v>
      </c>
      <c r="K7">
        <v>8</v>
      </c>
      <c r="L7">
        <v>1</v>
      </c>
      <c r="M7">
        <v>1</v>
      </c>
      <c r="N7">
        <v>148</v>
      </c>
    </row>
    <row r="8" spans="2:14">
      <c r="B8" t="s">
        <v>2329</v>
      </c>
      <c r="H8">
        <v>1</v>
      </c>
      <c r="N8">
        <v>1</v>
      </c>
    </row>
    <row r="9" spans="2:14">
      <c r="B9" t="s">
        <v>2301</v>
      </c>
      <c r="C9">
        <v>4</v>
      </c>
      <c r="D9">
        <v>7</v>
      </c>
      <c r="E9">
        <v>16</v>
      </c>
      <c r="F9">
        <v>25</v>
      </c>
      <c r="G9">
        <v>92</v>
      </c>
      <c r="H9">
        <v>50</v>
      </c>
      <c r="I9">
        <v>1</v>
      </c>
      <c r="J9">
        <v>1</v>
      </c>
      <c r="K9">
        <v>8</v>
      </c>
      <c r="L9">
        <v>1</v>
      </c>
      <c r="M9">
        <v>1</v>
      </c>
      <c r="N9">
        <v>206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373D-455A-4E33-9F18-5112F2917764}">
  <sheetPr codeName="Sheet15"/>
  <dimension ref="A1:S620"/>
  <sheetViews>
    <sheetView zoomScale="70" zoomScaleNormal="70" workbookViewId="0">
      <pane xSplit="7" ySplit="1" topLeftCell="H145" activePane="bottomRight" state="frozen"/>
      <selection pane="topRight"/>
      <selection pane="bottomLeft"/>
      <selection pane="bottomRight" activeCell="G155" sqref="G155"/>
    </sheetView>
  </sheetViews>
  <sheetFormatPr defaultColWidth="9.1796875" defaultRowHeight="20.25" customHeight="1"/>
  <cols>
    <col min="1" max="1" width="5.1796875" style="400" customWidth="1"/>
    <col min="2" max="2" width="24" style="483" customWidth="1"/>
    <col min="3" max="3" width="8.26953125" style="453" customWidth="1"/>
    <col min="4" max="4" width="21.26953125" style="453" customWidth="1"/>
    <col min="5" max="5" width="6.26953125" style="453" customWidth="1"/>
    <col min="6" max="6" width="13.453125" style="453" customWidth="1"/>
    <col min="7" max="7" width="14.7265625" style="478" customWidth="1"/>
    <col min="8" max="8" width="18.54296875" style="479" customWidth="1"/>
    <col min="9" max="9" width="18.54296875" style="453" customWidth="1"/>
    <col min="10" max="10" width="14.54296875" style="400" customWidth="1"/>
    <col min="11" max="11" width="25.7265625" style="483" customWidth="1"/>
    <col min="12" max="12" width="39.1796875" style="485" customWidth="1"/>
    <col min="13" max="13" width="15.453125" style="400" customWidth="1"/>
    <col min="14" max="14" width="18.54296875" style="453" customWidth="1"/>
    <col min="15" max="15" width="23.1796875" style="453" customWidth="1"/>
    <col min="16" max="16" width="18.26953125" style="400" customWidth="1"/>
    <col min="17" max="17" width="18.81640625" style="400" customWidth="1"/>
    <col min="18" max="18" width="18.1796875" style="400" customWidth="1"/>
    <col min="19" max="16384" width="9.1796875" style="400"/>
  </cols>
  <sheetData>
    <row r="1" spans="1:18" ht="20.25" customHeight="1">
      <c r="A1" s="395" t="s">
        <v>0</v>
      </c>
      <c r="B1" s="482" t="s">
        <v>2382</v>
      </c>
      <c r="C1" s="397" t="s">
        <v>2383</v>
      </c>
      <c r="D1" s="397" t="s">
        <v>2037</v>
      </c>
      <c r="E1" s="397" t="s">
        <v>2384</v>
      </c>
      <c r="F1" s="397" t="s">
        <v>2385</v>
      </c>
      <c r="G1" s="398" t="s">
        <v>2305</v>
      </c>
      <c r="H1" s="399" t="s">
        <v>2386</v>
      </c>
      <c r="I1" s="397" t="s">
        <v>662</v>
      </c>
      <c r="J1" s="396" t="s">
        <v>2387</v>
      </c>
      <c r="K1" s="482" t="s">
        <v>2388</v>
      </c>
      <c r="L1" s="484" t="s">
        <v>2389</v>
      </c>
      <c r="M1" s="396" t="s">
        <v>695</v>
      </c>
      <c r="N1" s="397" t="s">
        <v>2390</v>
      </c>
      <c r="O1" s="397" t="s">
        <v>2391</v>
      </c>
      <c r="P1" s="396" t="s">
        <v>2392</v>
      </c>
      <c r="Q1" s="396" t="s">
        <v>2393</v>
      </c>
      <c r="R1" s="396" t="s">
        <v>2394</v>
      </c>
    </row>
    <row r="2" spans="1:18" ht="20.25" customHeight="1">
      <c r="A2" s="401"/>
      <c r="B2" s="497" t="s">
        <v>2395</v>
      </c>
      <c r="C2" s="508"/>
      <c r="D2" s="496">
        <v>2025202883</v>
      </c>
      <c r="E2" s="393" t="s">
        <v>41</v>
      </c>
      <c r="F2" s="393" t="s">
        <v>653</v>
      </c>
      <c r="G2" s="402" t="s">
        <v>706</v>
      </c>
      <c r="H2" s="403"/>
      <c r="I2" s="393" t="str">
        <f t="shared" ref="I2:I19" ca="1" si="0">IF(H2="", "", IF(OR(G2="Completed", G2="STOP"), IF(J2="", "", J2-H2), TODAY()-H2))</f>
        <v/>
      </c>
      <c r="J2" s="401" t="s">
        <v>2396</v>
      </c>
      <c r="K2" s="401" t="s">
        <v>41</v>
      </c>
      <c r="L2" s="401" t="s">
        <v>1680</v>
      </c>
      <c r="M2" s="401" t="s">
        <v>2397</v>
      </c>
      <c r="N2" s="393" t="s">
        <v>41</v>
      </c>
      <c r="O2" s="393" t="s">
        <v>2398</v>
      </c>
      <c r="P2" s="404"/>
      <c r="Q2" s="401"/>
      <c r="R2" s="401"/>
    </row>
    <row r="3" spans="1:18" ht="20.25" customHeight="1">
      <c r="A3" s="401"/>
      <c r="B3" s="500" t="s">
        <v>2399</v>
      </c>
      <c r="C3" s="528"/>
      <c r="D3" s="496">
        <v>2025202883</v>
      </c>
      <c r="E3" s="393" t="s">
        <v>41</v>
      </c>
      <c r="F3" s="393" t="s">
        <v>654</v>
      </c>
      <c r="G3" s="393" t="s">
        <v>2400</v>
      </c>
      <c r="H3" s="403">
        <v>45917</v>
      </c>
      <c r="I3" s="393">
        <f t="shared" ca="1" si="0"/>
        <v>110</v>
      </c>
      <c r="J3" s="405"/>
      <c r="K3" s="401" t="s">
        <v>1682</v>
      </c>
      <c r="L3" s="393" t="s">
        <v>1681</v>
      </c>
      <c r="M3" s="401" t="s">
        <v>2401</v>
      </c>
      <c r="N3" s="393" t="s">
        <v>41</v>
      </c>
      <c r="O3" s="406" t="s">
        <v>2402</v>
      </c>
      <c r="P3" s="404"/>
      <c r="Q3" s="401"/>
      <c r="R3" s="401"/>
    </row>
    <row r="4" spans="1:18" ht="20.25" customHeight="1">
      <c r="A4" s="401"/>
      <c r="B4" s="497" t="s">
        <v>2403</v>
      </c>
      <c r="C4" s="508"/>
      <c r="D4" s="496">
        <v>2025201119</v>
      </c>
      <c r="E4" s="393" t="s">
        <v>41</v>
      </c>
      <c r="F4" s="393" t="s">
        <v>654</v>
      </c>
      <c r="G4" s="408" t="s">
        <v>2311</v>
      </c>
      <c r="H4" s="403">
        <v>46054</v>
      </c>
      <c r="I4" s="393">
        <f t="shared" ca="1" si="0"/>
        <v>-27</v>
      </c>
      <c r="J4" s="401"/>
      <c r="K4" s="401" t="s">
        <v>2096</v>
      </c>
      <c r="L4" s="393" t="s">
        <v>2095</v>
      </c>
      <c r="M4" s="401" t="s">
        <v>791</v>
      </c>
      <c r="N4" s="393" t="s">
        <v>41</v>
      </c>
      <c r="O4" s="393"/>
      <c r="P4" s="404"/>
      <c r="Q4" s="401"/>
      <c r="R4" s="401"/>
    </row>
    <row r="5" spans="1:18" ht="20.25" customHeight="1">
      <c r="A5" s="401"/>
      <c r="B5" s="497" t="s">
        <v>2146</v>
      </c>
      <c r="C5" s="508"/>
      <c r="D5" s="496" t="s">
        <v>2404</v>
      </c>
      <c r="E5" s="393" t="s">
        <v>41</v>
      </c>
      <c r="F5" s="393" t="s">
        <v>654</v>
      </c>
      <c r="G5" s="408" t="s">
        <v>2311</v>
      </c>
      <c r="H5" s="403" t="s">
        <v>2405</v>
      </c>
      <c r="I5" s="393" t="e">
        <f t="shared" ca="1" si="0"/>
        <v>#VALUE!</v>
      </c>
      <c r="J5" s="401"/>
      <c r="K5" s="401" t="s">
        <v>2406</v>
      </c>
      <c r="L5" s="393" t="s">
        <v>2407</v>
      </c>
      <c r="M5" s="401" t="s">
        <v>939</v>
      </c>
      <c r="N5" s="393" t="s">
        <v>41</v>
      </c>
      <c r="O5" s="393"/>
      <c r="P5" s="404"/>
      <c r="Q5" s="401"/>
      <c r="R5" s="401"/>
    </row>
    <row r="6" spans="1:18" ht="20.25" customHeight="1">
      <c r="A6" s="401"/>
      <c r="B6" s="497" t="s">
        <v>2408</v>
      </c>
      <c r="C6" s="508"/>
      <c r="D6" s="496">
        <v>2024215425</v>
      </c>
      <c r="E6" s="393" t="s">
        <v>41</v>
      </c>
      <c r="F6" s="393" t="s">
        <v>654</v>
      </c>
      <c r="G6" s="408" t="s">
        <v>2311</v>
      </c>
      <c r="H6" s="403" t="s">
        <v>2409</v>
      </c>
      <c r="I6" s="393" t="e">
        <f t="shared" ca="1" si="0"/>
        <v>#VALUE!</v>
      </c>
      <c r="J6" s="401"/>
      <c r="K6" s="401" t="s">
        <v>2410</v>
      </c>
      <c r="L6" s="393" t="s">
        <v>2411</v>
      </c>
      <c r="M6" s="401" t="s">
        <v>791</v>
      </c>
      <c r="N6" s="393" t="s">
        <v>41</v>
      </c>
      <c r="O6" s="393"/>
      <c r="P6" s="404"/>
      <c r="Q6" s="401"/>
      <c r="R6" s="401"/>
    </row>
    <row r="7" spans="1:18" ht="20.25" customHeight="1">
      <c r="A7" s="401"/>
      <c r="B7" s="497" t="s">
        <v>2200</v>
      </c>
      <c r="C7" s="508"/>
      <c r="D7" s="496">
        <v>2025200082</v>
      </c>
      <c r="E7" s="393" t="s">
        <v>41</v>
      </c>
      <c r="F7" s="393" t="s">
        <v>654</v>
      </c>
      <c r="G7" s="409" t="s">
        <v>2313</v>
      </c>
      <c r="H7" s="403">
        <v>45972</v>
      </c>
      <c r="I7" s="393">
        <f t="shared" ca="1" si="0"/>
        <v>55</v>
      </c>
      <c r="J7" s="401"/>
      <c r="K7" s="401" t="s">
        <v>2412</v>
      </c>
      <c r="L7" s="393" t="s">
        <v>2413</v>
      </c>
      <c r="M7" s="401" t="s">
        <v>791</v>
      </c>
      <c r="N7" s="393" t="s">
        <v>41</v>
      </c>
      <c r="O7" s="393"/>
      <c r="P7" s="404"/>
      <c r="Q7" s="401"/>
      <c r="R7" s="401"/>
    </row>
    <row r="8" spans="1:18" ht="20.25" customHeight="1">
      <c r="A8" s="401"/>
      <c r="B8" s="497" t="s">
        <v>2200</v>
      </c>
      <c r="C8" s="508"/>
      <c r="D8" s="496">
        <v>2024207043</v>
      </c>
      <c r="E8" s="393" t="s">
        <v>41</v>
      </c>
      <c r="F8" s="393" t="s">
        <v>654</v>
      </c>
      <c r="G8" s="409" t="s">
        <v>2317</v>
      </c>
      <c r="H8" s="403">
        <v>45972</v>
      </c>
      <c r="I8" s="393">
        <f t="shared" ca="1" si="0"/>
        <v>55</v>
      </c>
      <c r="J8" s="401"/>
      <c r="K8" s="401" t="s">
        <v>2412</v>
      </c>
      <c r="L8" s="393" t="s">
        <v>2414</v>
      </c>
      <c r="M8" s="401" t="s">
        <v>791</v>
      </c>
      <c r="N8" s="393" t="s">
        <v>41</v>
      </c>
      <c r="O8" s="393"/>
      <c r="P8" s="404"/>
      <c r="Q8" s="401"/>
      <c r="R8" s="401"/>
    </row>
    <row r="9" spans="1:18" ht="20.25" customHeight="1">
      <c r="A9" s="401"/>
      <c r="B9" s="497" t="s">
        <v>2200</v>
      </c>
      <c r="C9" s="508"/>
      <c r="D9" s="496">
        <v>2024215423</v>
      </c>
      <c r="E9" s="393" t="s">
        <v>41</v>
      </c>
      <c r="F9" s="393" t="s">
        <v>654</v>
      </c>
      <c r="G9" s="409" t="s">
        <v>2317</v>
      </c>
      <c r="H9" s="403">
        <v>45972</v>
      </c>
      <c r="I9" s="393">
        <f t="shared" ca="1" si="0"/>
        <v>55</v>
      </c>
      <c r="J9" s="401"/>
      <c r="K9" s="401" t="s">
        <v>2415</v>
      </c>
      <c r="L9" s="393" t="s">
        <v>2416</v>
      </c>
      <c r="M9" s="401" t="s">
        <v>791</v>
      </c>
      <c r="N9" s="393" t="s">
        <v>41</v>
      </c>
      <c r="O9" s="393"/>
      <c r="P9" s="404"/>
      <c r="Q9" s="401"/>
      <c r="R9" s="401"/>
    </row>
    <row r="10" spans="1:18" ht="20.25" customHeight="1">
      <c r="A10" s="401"/>
      <c r="B10" s="497" t="s">
        <v>2417</v>
      </c>
      <c r="C10" s="508"/>
      <c r="D10" s="496">
        <v>2025200765</v>
      </c>
      <c r="E10" s="393" t="s">
        <v>41</v>
      </c>
      <c r="F10" s="393" t="s">
        <v>654</v>
      </c>
      <c r="G10" s="410" t="s">
        <v>2314</v>
      </c>
      <c r="H10" s="403" t="s">
        <v>2418</v>
      </c>
      <c r="I10" s="393" t="e">
        <f t="shared" ca="1" si="0"/>
        <v>#VALUE!</v>
      </c>
      <c r="J10" s="401"/>
      <c r="K10" s="401" t="s">
        <v>1710</v>
      </c>
      <c r="L10" s="393" t="s">
        <v>1709</v>
      </c>
      <c r="M10" s="401" t="s">
        <v>2419</v>
      </c>
      <c r="N10" s="393" t="s">
        <v>41</v>
      </c>
      <c r="O10" s="393"/>
      <c r="P10" s="404"/>
      <c r="Q10" s="401"/>
      <c r="R10" s="401"/>
    </row>
    <row r="11" spans="1:18" ht="20.25" customHeight="1">
      <c r="A11" s="401"/>
      <c r="B11" s="497" t="s">
        <v>2420</v>
      </c>
      <c r="C11" s="508"/>
      <c r="D11" s="496"/>
      <c r="E11" s="393" t="s">
        <v>41</v>
      </c>
      <c r="F11" s="393" t="s">
        <v>654</v>
      </c>
      <c r="G11" s="409" t="s">
        <v>2317</v>
      </c>
      <c r="H11" s="403">
        <v>45723</v>
      </c>
      <c r="I11" s="393">
        <f t="shared" ca="1" si="0"/>
        <v>304</v>
      </c>
      <c r="J11" s="401"/>
      <c r="K11" s="401" t="s">
        <v>1695</v>
      </c>
      <c r="L11" s="393" t="s">
        <v>1694</v>
      </c>
      <c r="M11" s="401" t="s">
        <v>2421</v>
      </c>
      <c r="N11" s="393" t="s">
        <v>41</v>
      </c>
      <c r="O11" s="393"/>
      <c r="P11" s="404"/>
      <c r="Q11" s="401"/>
      <c r="R11" s="401"/>
    </row>
    <row r="12" spans="1:18" ht="20.25" customHeight="1">
      <c r="A12" s="401"/>
      <c r="B12" s="497" t="s">
        <v>2422</v>
      </c>
      <c r="C12" s="508"/>
      <c r="D12" s="496">
        <v>2025201616</v>
      </c>
      <c r="E12" s="393" t="s">
        <v>41</v>
      </c>
      <c r="F12" s="393" t="s">
        <v>654</v>
      </c>
      <c r="G12" s="409" t="s">
        <v>2317</v>
      </c>
      <c r="H12" s="403" t="s">
        <v>2423</v>
      </c>
      <c r="I12" s="393" t="e">
        <f t="shared" ca="1" si="0"/>
        <v>#VALUE!</v>
      </c>
      <c r="J12" s="401"/>
      <c r="K12" s="401" t="s">
        <v>2424</v>
      </c>
      <c r="L12" s="393" t="s">
        <v>2425</v>
      </c>
      <c r="M12" s="401" t="s">
        <v>791</v>
      </c>
      <c r="N12" s="393" t="s">
        <v>41</v>
      </c>
      <c r="O12" s="393"/>
      <c r="P12" s="404"/>
      <c r="Q12" s="401"/>
      <c r="R12" s="401"/>
    </row>
    <row r="13" spans="1:18" ht="20.25" customHeight="1">
      <c r="A13" s="401"/>
      <c r="B13" s="497" t="s">
        <v>2426</v>
      </c>
      <c r="C13" s="508"/>
      <c r="D13" s="496">
        <v>2024213331</v>
      </c>
      <c r="E13" s="393" t="s">
        <v>41</v>
      </c>
      <c r="F13" s="409" t="s">
        <v>2427</v>
      </c>
      <c r="G13" s="409" t="s">
        <v>2317</v>
      </c>
      <c r="H13" s="403" t="s">
        <v>2428</v>
      </c>
      <c r="I13" s="393" t="e">
        <f t="shared" ca="1" si="0"/>
        <v>#VALUE!</v>
      </c>
      <c r="J13" s="401" t="s">
        <v>2429</v>
      </c>
      <c r="K13" s="401" t="s">
        <v>2430</v>
      </c>
      <c r="L13" s="393" t="s">
        <v>2431</v>
      </c>
      <c r="M13" s="411" t="s">
        <v>2421</v>
      </c>
      <c r="N13" s="393" t="s">
        <v>41</v>
      </c>
      <c r="O13" s="393"/>
      <c r="P13" s="404"/>
      <c r="Q13" s="401"/>
      <c r="R13" s="401"/>
    </row>
    <row r="14" spans="1:18" ht="20.25" customHeight="1">
      <c r="A14" s="401"/>
      <c r="B14" s="497" t="s">
        <v>2432</v>
      </c>
      <c r="C14" s="508"/>
      <c r="D14" s="496">
        <v>2024210698</v>
      </c>
      <c r="E14" s="393" t="s">
        <v>41</v>
      </c>
      <c r="F14" s="393" t="s">
        <v>654</v>
      </c>
      <c r="G14" s="412" t="s">
        <v>706</v>
      </c>
      <c r="H14" s="403" t="s">
        <v>2428</v>
      </c>
      <c r="I14" s="393" t="e">
        <f t="shared" ca="1" si="0"/>
        <v>#VALUE!</v>
      </c>
      <c r="J14" s="401" t="s">
        <v>2429</v>
      </c>
      <c r="K14" s="401" t="s">
        <v>2433</v>
      </c>
      <c r="L14" s="393" t="s">
        <v>1965</v>
      </c>
      <c r="M14" s="401" t="s">
        <v>2434</v>
      </c>
      <c r="N14" s="393" t="s">
        <v>41</v>
      </c>
      <c r="O14" s="393"/>
      <c r="P14" s="404"/>
      <c r="Q14" s="401"/>
      <c r="R14" s="401"/>
    </row>
    <row r="15" spans="1:18" ht="20.25" customHeight="1">
      <c r="A15" s="401"/>
      <c r="B15" s="497" t="s">
        <v>2435</v>
      </c>
      <c r="C15" s="508"/>
      <c r="D15" s="496">
        <v>2024205781</v>
      </c>
      <c r="E15" s="393" t="s">
        <v>41</v>
      </c>
      <c r="F15" s="393" t="s">
        <v>654</v>
      </c>
      <c r="G15" s="408" t="s">
        <v>2311</v>
      </c>
      <c r="H15" s="403" t="s">
        <v>2405</v>
      </c>
      <c r="I15" s="393" t="e">
        <f t="shared" ca="1" si="0"/>
        <v>#VALUE!</v>
      </c>
      <c r="J15" s="401"/>
      <c r="K15" s="401" t="s">
        <v>2436</v>
      </c>
      <c r="L15" s="393" t="s">
        <v>2437</v>
      </c>
      <c r="M15" s="401" t="s">
        <v>963</v>
      </c>
      <c r="N15" s="393" t="s">
        <v>41</v>
      </c>
      <c r="O15" s="393"/>
      <c r="P15" s="404"/>
      <c r="Q15" s="401"/>
      <c r="R15" s="401"/>
    </row>
    <row r="16" spans="1:18" ht="20.25" customHeight="1">
      <c r="A16" s="401"/>
      <c r="B16" s="497" t="s">
        <v>2143</v>
      </c>
      <c r="C16" s="508"/>
      <c r="D16" s="496" t="s">
        <v>48</v>
      </c>
      <c r="E16" s="393" t="s">
        <v>41</v>
      </c>
      <c r="F16" s="393" t="s">
        <v>654</v>
      </c>
      <c r="G16" s="408" t="s">
        <v>2311</v>
      </c>
      <c r="H16" s="403"/>
      <c r="I16" s="393" t="str">
        <f t="shared" ca="1" si="0"/>
        <v/>
      </c>
      <c r="J16" s="401"/>
      <c r="K16" s="401" t="s">
        <v>876</v>
      </c>
      <c r="L16" s="393" t="s">
        <v>2079</v>
      </c>
      <c r="M16" s="401" t="s">
        <v>763</v>
      </c>
      <c r="N16" s="393" t="s">
        <v>41</v>
      </c>
      <c r="O16" s="393" t="s">
        <v>2438</v>
      </c>
      <c r="P16" s="404"/>
      <c r="Q16" s="401"/>
      <c r="R16" s="401"/>
    </row>
    <row r="17" spans="1:18" ht="20.25" customHeight="1">
      <c r="A17" s="401"/>
      <c r="B17" s="497" t="s">
        <v>2092</v>
      </c>
      <c r="C17" s="508"/>
      <c r="D17" s="496">
        <v>2025209654</v>
      </c>
      <c r="E17" s="393" t="s">
        <v>41</v>
      </c>
      <c r="F17" s="393" t="s">
        <v>654</v>
      </c>
      <c r="G17" s="409" t="s">
        <v>2313</v>
      </c>
      <c r="H17" s="403" t="s">
        <v>2439</v>
      </c>
      <c r="I17" s="393" t="e">
        <f t="shared" ca="1" si="0"/>
        <v>#VALUE!</v>
      </c>
      <c r="J17" s="401"/>
      <c r="K17" s="401" t="s">
        <v>2113</v>
      </c>
      <c r="L17" s="393" t="s">
        <v>2112</v>
      </c>
      <c r="M17" s="401" t="s">
        <v>774</v>
      </c>
      <c r="N17" s="393" t="s">
        <v>41</v>
      </c>
      <c r="O17" s="393"/>
      <c r="P17" s="404"/>
      <c r="Q17" s="401"/>
      <c r="R17" s="401"/>
    </row>
    <row r="18" spans="1:18" ht="20.25" customHeight="1">
      <c r="A18" s="401"/>
      <c r="B18" s="497" t="s">
        <v>2171</v>
      </c>
      <c r="C18" s="508"/>
      <c r="D18" s="496" t="s">
        <v>2122</v>
      </c>
      <c r="E18" s="393" t="s">
        <v>41</v>
      </c>
      <c r="F18" s="393" t="s">
        <v>654</v>
      </c>
      <c r="G18" s="409" t="s">
        <v>2318</v>
      </c>
      <c r="H18" s="403" t="s">
        <v>2439</v>
      </c>
      <c r="I18" s="393" t="e">
        <f t="shared" ca="1" si="0"/>
        <v>#VALUE!</v>
      </c>
      <c r="J18" s="401"/>
      <c r="K18" s="401" t="s">
        <v>2128</v>
      </c>
      <c r="L18" s="393" t="s">
        <v>2127</v>
      </c>
      <c r="M18" s="401" t="s">
        <v>709</v>
      </c>
      <c r="N18" s="393" t="s">
        <v>41</v>
      </c>
      <c r="O18" s="393"/>
      <c r="P18" s="404"/>
      <c r="Q18" s="401"/>
      <c r="R18" s="401"/>
    </row>
    <row r="19" spans="1:18" ht="20.25" customHeight="1">
      <c r="A19" s="401"/>
      <c r="B19" s="535" t="s">
        <v>2143</v>
      </c>
      <c r="C19" s="536"/>
      <c r="D19" s="537">
        <v>2025202327</v>
      </c>
      <c r="E19" s="393" t="s">
        <v>41</v>
      </c>
      <c r="F19" s="393" t="s">
        <v>654</v>
      </c>
      <c r="G19" s="408" t="s">
        <v>716</v>
      </c>
      <c r="H19" s="403">
        <v>45879</v>
      </c>
      <c r="I19" s="393">
        <f t="shared" ca="1" si="0"/>
        <v>148</v>
      </c>
      <c r="J19" s="401"/>
      <c r="K19" s="401" t="s">
        <v>876</v>
      </c>
      <c r="L19" s="393" t="s">
        <v>875</v>
      </c>
      <c r="M19" s="401" t="s">
        <v>763</v>
      </c>
      <c r="N19" s="393" t="s">
        <v>41</v>
      </c>
      <c r="O19" s="393" t="s">
        <v>721</v>
      </c>
      <c r="P19" s="404"/>
      <c r="Q19" s="401"/>
      <c r="R19" s="401"/>
    </row>
    <row r="20" spans="1:18" ht="20.25" customHeight="1">
      <c r="A20" s="401"/>
      <c r="B20" s="535" t="s">
        <v>2440</v>
      </c>
      <c r="C20" s="536"/>
      <c r="D20" s="537">
        <v>2025202327</v>
      </c>
      <c r="E20" s="393"/>
      <c r="F20" s="393" t="s">
        <v>2441</v>
      </c>
      <c r="G20" s="408" t="s">
        <v>716</v>
      </c>
      <c r="H20" s="403"/>
      <c r="I20" s="393"/>
      <c r="J20" s="401"/>
      <c r="K20" s="401" t="s">
        <v>2442</v>
      </c>
      <c r="L20" s="430" t="s">
        <v>2443</v>
      </c>
      <c r="M20" s="401" t="s">
        <v>2401</v>
      </c>
      <c r="N20" s="393"/>
      <c r="O20" s="393"/>
      <c r="P20" s="404"/>
      <c r="Q20" s="401"/>
      <c r="R20" s="401"/>
    </row>
    <row r="21" spans="1:18" ht="20.25" customHeight="1">
      <c r="A21" s="401"/>
      <c r="B21" s="497" t="s">
        <v>2143</v>
      </c>
      <c r="C21" s="508"/>
      <c r="D21" s="496">
        <v>2025206296</v>
      </c>
      <c r="E21" s="393" t="s">
        <v>41</v>
      </c>
      <c r="F21" s="393" t="s">
        <v>654</v>
      </c>
      <c r="G21" s="408" t="s">
        <v>716</v>
      </c>
      <c r="H21" s="403">
        <v>45879</v>
      </c>
      <c r="I21" s="393">
        <f t="shared" ref="I21:I44" ca="1" si="1">IF(H21="", "", IF(OR(G21="Completed", G21="STOP"), IF(J21="", "", J21-H21), TODAY()-H21))</f>
        <v>148</v>
      </c>
      <c r="J21" s="401"/>
      <c r="K21" s="401" t="s">
        <v>888</v>
      </c>
      <c r="L21" s="393" t="s">
        <v>887</v>
      </c>
      <c r="M21" s="401" t="s">
        <v>763</v>
      </c>
      <c r="N21" s="393" t="s">
        <v>41</v>
      </c>
      <c r="O21" s="413" t="s">
        <v>721</v>
      </c>
      <c r="P21" s="404"/>
      <c r="Q21" s="401"/>
      <c r="R21" s="401"/>
    </row>
    <row r="22" spans="1:18" ht="20.25" customHeight="1">
      <c r="A22" s="401"/>
      <c r="B22" s="497" t="s">
        <v>2444</v>
      </c>
      <c r="C22" s="508"/>
      <c r="D22" s="496">
        <v>2025211210</v>
      </c>
      <c r="E22" s="393" t="s">
        <v>41</v>
      </c>
      <c r="F22" s="393" t="s">
        <v>654</v>
      </c>
      <c r="G22" s="408" t="s">
        <v>716</v>
      </c>
      <c r="H22" s="403" t="s">
        <v>2445</v>
      </c>
      <c r="I22" s="393" t="e">
        <f t="shared" ca="1" si="1"/>
        <v>#VALUE!</v>
      </c>
      <c r="J22" s="401"/>
      <c r="K22" s="401" t="s">
        <v>901</v>
      </c>
      <c r="L22" s="393" t="s">
        <v>900</v>
      </c>
      <c r="M22" s="401" t="s">
        <v>2446</v>
      </c>
      <c r="N22" s="393" t="s">
        <v>41</v>
      </c>
      <c r="O22" s="393" t="s">
        <v>736</v>
      </c>
      <c r="P22" s="404"/>
      <c r="Q22" s="401"/>
      <c r="R22" s="401"/>
    </row>
    <row r="23" spans="1:18" ht="20.25" customHeight="1">
      <c r="A23" s="401"/>
      <c r="B23" s="497" t="s">
        <v>2447</v>
      </c>
      <c r="C23" s="508"/>
      <c r="D23" s="496">
        <v>2025211101</v>
      </c>
      <c r="E23" s="393" t="s">
        <v>41</v>
      </c>
      <c r="F23" s="393" t="s">
        <v>654</v>
      </c>
      <c r="G23" s="408" t="s">
        <v>716</v>
      </c>
      <c r="H23" s="403">
        <v>45879</v>
      </c>
      <c r="I23" s="393">
        <f t="shared" ca="1" si="1"/>
        <v>148</v>
      </c>
      <c r="J23" s="401"/>
      <c r="K23" s="401" t="s">
        <v>908</v>
      </c>
      <c r="L23" s="393" t="s">
        <v>907</v>
      </c>
      <c r="M23" s="401" t="s">
        <v>763</v>
      </c>
      <c r="N23" s="393" t="s">
        <v>41</v>
      </c>
      <c r="O23" s="413" t="s">
        <v>721</v>
      </c>
      <c r="P23" s="404"/>
      <c r="Q23" s="401"/>
      <c r="R23" s="401"/>
    </row>
    <row r="24" spans="1:18" ht="20.25" customHeight="1">
      <c r="A24" s="401"/>
      <c r="B24" s="497" t="s">
        <v>2448</v>
      </c>
      <c r="C24" s="508"/>
      <c r="D24" s="496">
        <v>2025207292</v>
      </c>
      <c r="E24" s="393" t="s">
        <v>41</v>
      </c>
      <c r="F24" s="393" t="s">
        <v>654</v>
      </c>
      <c r="G24" s="409" t="s">
        <v>2317</v>
      </c>
      <c r="H24" s="403" t="s">
        <v>2449</v>
      </c>
      <c r="I24" s="393" t="e">
        <f t="shared" ca="1" si="1"/>
        <v>#VALUE!</v>
      </c>
      <c r="J24" s="401"/>
      <c r="K24" s="401" t="s">
        <v>2450</v>
      </c>
      <c r="L24" s="393" t="s">
        <v>933</v>
      </c>
      <c r="M24" s="401" t="s">
        <v>763</v>
      </c>
      <c r="N24" s="393" t="s">
        <v>41</v>
      </c>
      <c r="O24" s="393" t="s">
        <v>2438</v>
      </c>
      <c r="P24" s="404"/>
      <c r="Q24" s="401"/>
      <c r="R24" s="401"/>
    </row>
    <row r="25" spans="1:18" ht="20.25" customHeight="1">
      <c r="A25" s="401"/>
      <c r="B25" s="497" t="s">
        <v>1031</v>
      </c>
      <c r="C25" s="508"/>
      <c r="D25" s="496" t="s">
        <v>2451</v>
      </c>
      <c r="E25" s="393" t="s">
        <v>41</v>
      </c>
      <c r="F25" s="393" t="s">
        <v>631</v>
      </c>
      <c r="G25" s="402" t="s">
        <v>706</v>
      </c>
      <c r="H25" s="403"/>
      <c r="I25" s="393" t="str">
        <f t="shared" ca="1" si="1"/>
        <v/>
      </c>
      <c r="J25" s="415">
        <v>46022</v>
      </c>
      <c r="K25" s="401" t="s">
        <v>2452</v>
      </c>
      <c r="L25" s="401" t="s">
        <v>2453</v>
      </c>
      <c r="M25" s="401" t="s">
        <v>849</v>
      </c>
      <c r="N25" s="393" t="s">
        <v>41</v>
      </c>
      <c r="O25" s="393"/>
      <c r="P25" s="404"/>
      <c r="Q25" s="401"/>
      <c r="R25" s="401"/>
    </row>
    <row r="26" spans="1:18" ht="20.25" customHeight="1">
      <c r="A26" s="401"/>
      <c r="B26" s="497" t="s">
        <v>1031</v>
      </c>
      <c r="C26" s="540"/>
      <c r="D26" s="496" t="s">
        <v>2451</v>
      </c>
      <c r="E26" s="393" t="s">
        <v>41</v>
      </c>
      <c r="F26" s="393" t="s">
        <v>638</v>
      </c>
      <c r="G26" s="408" t="s">
        <v>2454</v>
      </c>
      <c r="H26" s="403"/>
      <c r="I26" s="393" t="str">
        <f t="shared" ca="1" si="1"/>
        <v/>
      </c>
      <c r="J26" s="415">
        <v>46022</v>
      </c>
      <c r="K26" s="401" t="s">
        <v>2455</v>
      </c>
      <c r="L26" s="401" t="s">
        <v>2453</v>
      </c>
      <c r="M26" s="401" t="s">
        <v>849</v>
      </c>
      <c r="N26" s="393" t="s">
        <v>41</v>
      </c>
      <c r="O26" s="393"/>
      <c r="P26" s="404"/>
      <c r="Q26" s="401"/>
      <c r="R26" s="401"/>
    </row>
    <row r="27" spans="1:18" ht="20.25" customHeight="1">
      <c r="A27" s="401"/>
      <c r="B27" s="500" t="s">
        <v>2456</v>
      </c>
      <c r="C27" s="508"/>
      <c r="D27" s="496">
        <v>2024216011</v>
      </c>
      <c r="E27" s="393" t="s">
        <v>41</v>
      </c>
      <c r="F27" s="393" t="s">
        <v>654</v>
      </c>
      <c r="G27" s="408" t="s">
        <v>716</v>
      </c>
      <c r="H27" s="403"/>
      <c r="I27" s="393" t="str">
        <f t="shared" ca="1" si="1"/>
        <v/>
      </c>
      <c r="J27" s="401"/>
      <c r="K27" s="401" t="s">
        <v>2457</v>
      </c>
      <c r="L27" s="393" t="s">
        <v>1554</v>
      </c>
      <c r="M27" s="401" t="s">
        <v>926</v>
      </c>
      <c r="N27" s="393" t="s">
        <v>41</v>
      </c>
      <c r="O27" s="393"/>
      <c r="P27" s="404"/>
      <c r="Q27" s="401"/>
      <c r="R27" s="401"/>
    </row>
    <row r="28" spans="1:18" ht="20.25" customHeight="1">
      <c r="A28" s="401"/>
      <c r="B28" s="497" t="s">
        <v>2192</v>
      </c>
      <c r="C28" s="508"/>
      <c r="D28" s="496" t="s">
        <v>2458</v>
      </c>
      <c r="E28" s="393" t="s">
        <v>41</v>
      </c>
      <c r="F28" s="393" t="s">
        <v>634</v>
      </c>
      <c r="G28" s="408" t="s">
        <v>716</v>
      </c>
      <c r="H28" s="403" t="s">
        <v>2459</v>
      </c>
      <c r="I28" s="393" t="e">
        <f t="shared" ca="1" si="1"/>
        <v>#VALUE!</v>
      </c>
      <c r="J28" s="401"/>
      <c r="K28" s="401" t="s">
        <v>2460</v>
      </c>
      <c r="L28" s="401" t="s">
        <v>2461</v>
      </c>
      <c r="M28" s="401" t="s">
        <v>774</v>
      </c>
      <c r="N28" s="393" t="s">
        <v>41</v>
      </c>
      <c r="O28" s="393"/>
      <c r="P28" s="404"/>
      <c r="Q28" s="401"/>
      <c r="R28" s="401"/>
    </row>
    <row r="29" spans="1:18" ht="20.25" customHeight="1">
      <c r="A29" s="401"/>
      <c r="B29" s="497" t="s">
        <v>2462</v>
      </c>
      <c r="C29" s="508"/>
      <c r="D29" s="501" t="s">
        <v>33</v>
      </c>
      <c r="E29" s="393" t="s">
        <v>41</v>
      </c>
      <c r="F29" s="393" t="s">
        <v>634</v>
      </c>
      <c r="G29" s="408" t="s">
        <v>2305</v>
      </c>
      <c r="H29" s="403"/>
      <c r="I29" s="393" t="str">
        <f t="shared" ca="1" si="1"/>
        <v/>
      </c>
      <c r="J29" s="401"/>
      <c r="K29" s="401" t="s">
        <v>722</v>
      </c>
      <c r="L29" s="401" t="s">
        <v>723</v>
      </c>
      <c r="M29" s="401" t="s">
        <v>2397</v>
      </c>
      <c r="N29" s="393" t="s">
        <v>41</v>
      </c>
      <c r="O29" s="393"/>
      <c r="P29" s="404"/>
      <c r="Q29" s="401"/>
      <c r="R29" s="401"/>
    </row>
    <row r="30" spans="1:18" ht="20.25" customHeight="1">
      <c r="A30" s="401"/>
      <c r="B30" s="497" t="s">
        <v>2462</v>
      </c>
      <c r="C30" s="508"/>
      <c r="D30" s="496" t="s">
        <v>33</v>
      </c>
      <c r="E30" s="393" t="s">
        <v>41</v>
      </c>
      <c r="F30" s="393" t="s">
        <v>631</v>
      </c>
      <c r="G30" s="408" t="s">
        <v>2305</v>
      </c>
      <c r="H30" s="403"/>
      <c r="I30" s="393" t="str">
        <f t="shared" ca="1" si="1"/>
        <v/>
      </c>
      <c r="J30" s="401"/>
      <c r="K30" s="401" t="s">
        <v>724</v>
      </c>
      <c r="L30" s="401" t="s">
        <v>725</v>
      </c>
      <c r="M30" s="401" t="s">
        <v>2397</v>
      </c>
      <c r="N30" s="393" t="s">
        <v>41</v>
      </c>
      <c r="O30" s="393"/>
      <c r="P30" s="404"/>
      <c r="Q30" s="401"/>
      <c r="R30" s="401"/>
    </row>
    <row r="31" spans="1:18" ht="20.25" customHeight="1">
      <c r="A31" s="401"/>
      <c r="B31" s="497" t="s">
        <v>2462</v>
      </c>
      <c r="C31" s="508"/>
      <c r="D31" s="496" t="s">
        <v>33</v>
      </c>
      <c r="E31" s="393" t="s">
        <v>41</v>
      </c>
      <c r="F31" s="393" t="s">
        <v>653</v>
      </c>
      <c r="G31" s="408" t="s">
        <v>2305</v>
      </c>
      <c r="H31" s="403"/>
      <c r="I31" s="393" t="str">
        <f t="shared" ca="1" si="1"/>
        <v/>
      </c>
      <c r="J31" s="401"/>
      <c r="K31" s="401" t="s">
        <v>41</v>
      </c>
      <c r="L31" s="401" t="s">
        <v>727</v>
      </c>
      <c r="M31" s="401" t="s">
        <v>2397</v>
      </c>
      <c r="N31" s="393" t="s">
        <v>41</v>
      </c>
      <c r="O31" s="393"/>
      <c r="P31" s="404"/>
      <c r="Q31" s="401"/>
      <c r="R31" s="401"/>
    </row>
    <row r="32" spans="1:18" ht="20.25" customHeight="1">
      <c r="A32" s="401"/>
      <c r="B32" s="497" t="s">
        <v>2463</v>
      </c>
      <c r="C32" s="508"/>
      <c r="D32" s="496" t="s">
        <v>36</v>
      </c>
      <c r="E32" s="393" t="s">
        <v>41</v>
      </c>
      <c r="F32" s="393" t="s">
        <v>638</v>
      </c>
      <c r="G32" s="412" t="s">
        <v>706</v>
      </c>
      <c r="H32" s="403"/>
      <c r="I32" s="393" t="str">
        <f t="shared" ca="1" si="1"/>
        <v/>
      </c>
      <c r="J32" s="401"/>
      <c r="K32" s="401" t="s">
        <v>734</v>
      </c>
      <c r="L32" s="401" t="s">
        <v>2067</v>
      </c>
      <c r="M32" s="401" t="s">
        <v>733</v>
      </c>
      <c r="N32" s="393" t="s">
        <v>41</v>
      </c>
      <c r="O32" s="393"/>
      <c r="P32" s="404"/>
      <c r="Q32" s="401"/>
      <c r="R32" s="401"/>
    </row>
    <row r="33" spans="1:18" ht="20.25" customHeight="1">
      <c r="A33" s="401"/>
      <c r="B33" s="497" t="s">
        <v>2464</v>
      </c>
      <c r="C33" s="508"/>
      <c r="D33" s="496" t="s">
        <v>2465</v>
      </c>
      <c r="E33" s="393" t="s">
        <v>41</v>
      </c>
      <c r="F33" s="393" t="s">
        <v>15</v>
      </c>
      <c r="G33" s="408" t="s">
        <v>2316</v>
      </c>
      <c r="H33" s="403"/>
      <c r="I33" s="393" t="str">
        <f t="shared" ca="1" si="1"/>
        <v/>
      </c>
      <c r="J33" s="401"/>
      <c r="K33" s="401" t="s">
        <v>2466</v>
      </c>
      <c r="L33" s="401" t="s">
        <v>2467</v>
      </c>
      <c r="M33" s="401" t="s">
        <v>2468</v>
      </c>
      <c r="N33" s="393" t="s">
        <v>41</v>
      </c>
      <c r="O33" s="393"/>
      <c r="P33" s="404"/>
      <c r="Q33" s="401"/>
      <c r="R33" s="401"/>
    </row>
    <row r="34" spans="1:18" ht="20.25" customHeight="1">
      <c r="A34" s="401"/>
      <c r="B34" s="497" t="s">
        <v>785</v>
      </c>
      <c r="C34" s="508"/>
      <c r="D34" s="496" t="s">
        <v>58</v>
      </c>
      <c r="E34" s="393" t="s">
        <v>41</v>
      </c>
      <c r="F34" s="393" t="s">
        <v>631</v>
      </c>
      <c r="G34" s="408" t="s">
        <v>2305</v>
      </c>
      <c r="H34" s="403"/>
      <c r="I34" s="393" t="str">
        <f t="shared" ca="1" si="1"/>
        <v/>
      </c>
      <c r="J34" s="401"/>
      <c r="K34" s="401" t="s">
        <v>782</v>
      </c>
      <c r="L34" s="401" t="s">
        <v>783</v>
      </c>
      <c r="M34" s="401" t="s">
        <v>714</v>
      </c>
      <c r="N34" s="393" t="s">
        <v>41</v>
      </c>
      <c r="O34" s="393"/>
      <c r="P34" s="404"/>
      <c r="Q34" s="401"/>
      <c r="R34" s="401"/>
    </row>
    <row r="35" spans="1:18" ht="20.25" customHeight="1">
      <c r="A35" s="401"/>
      <c r="B35" s="497" t="s">
        <v>2469</v>
      </c>
      <c r="C35" s="508"/>
      <c r="D35" s="496" t="s">
        <v>58</v>
      </c>
      <c r="E35" s="393" t="s">
        <v>41</v>
      </c>
      <c r="F35" s="393" t="s">
        <v>653</v>
      </c>
      <c r="G35" s="408" t="s">
        <v>2305</v>
      </c>
      <c r="H35" s="403"/>
      <c r="I35" s="393" t="str">
        <f t="shared" ca="1" si="1"/>
        <v/>
      </c>
      <c r="J35" s="401" t="s">
        <v>2470</v>
      </c>
      <c r="K35" s="401" t="s">
        <v>2471</v>
      </c>
      <c r="L35" s="411" t="s">
        <v>786</v>
      </c>
      <c r="M35" s="401" t="s">
        <v>2472</v>
      </c>
      <c r="N35" s="393" t="s">
        <v>41</v>
      </c>
      <c r="O35" s="393"/>
      <c r="P35" s="404"/>
      <c r="Q35" s="401"/>
      <c r="R35" s="401"/>
    </row>
    <row r="36" spans="1:18" ht="20.25" customHeight="1">
      <c r="A36" s="401"/>
      <c r="B36" s="497" t="s">
        <v>785</v>
      </c>
      <c r="C36" s="508"/>
      <c r="D36" s="496" t="s">
        <v>58</v>
      </c>
      <c r="E36" s="393" t="s">
        <v>41</v>
      </c>
      <c r="F36" s="393" t="s">
        <v>2308</v>
      </c>
      <c r="G36" s="408" t="s">
        <v>721</v>
      </c>
      <c r="H36" s="403"/>
      <c r="I36" s="393" t="str">
        <f t="shared" ca="1" si="1"/>
        <v/>
      </c>
      <c r="J36" s="401"/>
      <c r="K36" s="401" t="s">
        <v>2473</v>
      </c>
      <c r="L36" s="401" t="s">
        <v>2474</v>
      </c>
      <c r="M36" s="401" t="s">
        <v>714</v>
      </c>
      <c r="N36" s="393" t="s">
        <v>41</v>
      </c>
      <c r="O36" s="393"/>
      <c r="P36" s="404"/>
      <c r="Q36" s="401"/>
      <c r="R36" s="401"/>
    </row>
    <row r="37" spans="1:18" ht="20.25" customHeight="1">
      <c r="A37" s="401"/>
      <c r="B37" s="497" t="s">
        <v>2192</v>
      </c>
      <c r="C37" s="508"/>
      <c r="D37" s="496">
        <v>2025209111</v>
      </c>
      <c r="E37" s="393" t="s">
        <v>41</v>
      </c>
      <c r="F37" s="393" t="s">
        <v>634</v>
      </c>
      <c r="G37" s="408" t="s">
        <v>747</v>
      </c>
      <c r="H37" s="403">
        <v>45818</v>
      </c>
      <c r="I37" s="393">
        <f t="shared" ca="1" si="1"/>
        <v>30</v>
      </c>
      <c r="J37" s="415">
        <v>45848</v>
      </c>
      <c r="K37" s="401" t="s">
        <v>2475</v>
      </c>
      <c r="L37" s="401" t="s">
        <v>773</v>
      </c>
      <c r="M37" s="401" t="s">
        <v>774</v>
      </c>
      <c r="N37" s="393" t="s">
        <v>706</v>
      </c>
      <c r="O37" s="393"/>
      <c r="P37" s="404"/>
      <c r="Q37" s="401"/>
      <c r="R37" s="401"/>
    </row>
    <row r="38" spans="1:18" ht="20.25" customHeight="1">
      <c r="A38" s="401"/>
      <c r="B38" s="497" t="s">
        <v>2476</v>
      </c>
      <c r="C38" s="508"/>
      <c r="D38" s="496">
        <v>2024214888</v>
      </c>
      <c r="E38" s="414" t="s">
        <v>41</v>
      </c>
      <c r="F38" s="414" t="s">
        <v>634</v>
      </c>
      <c r="G38" s="416" t="s">
        <v>747</v>
      </c>
      <c r="H38" s="403"/>
      <c r="I38" s="393" t="str">
        <f t="shared" ca="1" si="1"/>
        <v/>
      </c>
      <c r="J38" s="401"/>
      <c r="K38" s="401" t="s">
        <v>2477</v>
      </c>
      <c r="L38" s="401" t="s">
        <v>844</v>
      </c>
      <c r="M38" s="401" t="s">
        <v>774</v>
      </c>
      <c r="N38" s="393" t="s">
        <v>41</v>
      </c>
      <c r="O38" s="393"/>
      <c r="P38" s="404"/>
      <c r="Q38" s="401"/>
      <c r="R38" s="401"/>
    </row>
    <row r="39" spans="1:18" ht="20.25" customHeight="1">
      <c r="A39" s="401"/>
      <c r="B39" s="497" t="s">
        <v>948</v>
      </c>
      <c r="C39" s="508"/>
      <c r="D39" s="496">
        <v>2025209769</v>
      </c>
      <c r="E39" s="393" t="s">
        <v>41</v>
      </c>
      <c r="F39" s="393" t="s">
        <v>634</v>
      </c>
      <c r="G39" s="412" t="s">
        <v>706</v>
      </c>
      <c r="H39" s="403"/>
      <c r="I39" s="393" t="str">
        <f t="shared" ca="1" si="1"/>
        <v/>
      </c>
      <c r="J39" s="401" t="s">
        <v>2429</v>
      </c>
      <c r="K39" s="411" t="s">
        <v>2478</v>
      </c>
      <c r="L39" s="401" t="s">
        <v>826</v>
      </c>
      <c r="M39" s="401" t="s">
        <v>2479</v>
      </c>
      <c r="N39" s="393" t="s">
        <v>41</v>
      </c>
      <c r="O39" s="393"/>
      <c r="P39" s="404"/>
      <c r="Q39" s="401"/>
      <c r="R39" s="401"/>
    </row>
    <row r="40" spans="1:18" ht="20.25" customHeight="1">
      <c r="A40" s="401"/>
      <c r="B40" s="497" t="s">
        <v>2480</v>
      </c>
      <c r="C40" s="508"/>
      <c r="D40" s="496">
        <v>2025209769</v>
      </c>
      <c r="E40" s="393" t="s">
        <v>41</v>
      </c>
      <c r="F40" s="393" t="s">
        <v>631</v>
      </c>
      <c r="G40" s="408" t="s">
        <v>2305</v>
      </c>
      <c r="H40" s="403"/>
      <c r="I40" s="393" t="str">
        <f t="shared" ca="1" si="1"/>
        <v/>
      </c>
      <c r="J40" s="401"/>
      <c r="K40" s="401" t="s">
        <v>827</v>
      </c>
      <c r="L40" s="401" t="s">
        <v>828</v>
      </c>
      <c r="M40" s="401" t="s">
        <v>791</v>
      </c>
      <c r="N40" s="393" t="s">
        <v>41</v>
      </c>
      <c r="O40" s="393"/>
      <c r="P40" s="404"/>
      <c r="Q40" s="401"/>
      <c r="R40" s="401"/>
    </row>
    <row r="41" spans="1:18" ht="20.25" customHeight="1">
      <c r="A41" s="401"/>
      <c r="B41" s="497" t="s">
        <v>2481</v>
      </c>
      <c r="C41" s="508"/>
      <c r="D41" s="496">
        <v>2025209769</v>
      </c>
      <c r="E41" s="393" t="s">
        <v>41</v>
      </c>
      <c r="F41" s="393" t="s">
        <v>653</v>
      </c>
      <c r="G41" s="412" t="s">
        <v>706</v>
      </c>
      <c r="H41" s="403"/>
      <c r="I41" s="393" t="str">
        <f t="shared" ca="1" si="1"/>
        <v/>
      </c>
      <c r="J41" s="401"/>
      <c r="K41" s="401" t="s">
        <v>41</v>
      </c>
      <c r="L41" s="401" t="s">
        <v>830</v>
      </c>
      <c r="M41" s="401" t="s">
        <v>865</v>
      </c>
      <c r="N41" s="403">
        <v>45789</v>
      </c>
      <c r="O41" s="393"/>
      <c r="P41" s="404"/>
      <c r="Q41" s="401"/>
      <c r="R41" s="401"/>
    </row>
    <row r="42" spans="1:18" ht="20.25" customHeight="1">
      <c r="A42" s="401"/>
      <c r="B42" s="500" t="s">
        <v>2482</v>
      </c>
      <c r="C42" s="528"/>
      <c r="D42" s="496">
        <v>2025209769</v>
      </c>
      <c r="E42" s="393" t="s">
        <v>41</v>
      </c>
      <c r="F42" s="393" t="s">
        <v>654</v>
      </c>
      <c r="G42" s="408" t="s">
        <v>721</v>
      </c>
      <c r="H42" s="403" t="s">
        <v>2483</v>
      </c>
      <c r="I42" s="393" t="e">
        <f t="shared" ca="1" si="1"/>
        <v>#VALUE!</v>
      </c>
      <c r="J42" s="401"/>
      <c r="K42" s="401" t="s">
        <v>2120</v>
      </c>
      <c r="L42" s="393" t="s">
        <v>2119</v>
      </c>
      <c r="M42" s="401" t="s">
        <v>733</v>
      </c>
      <c r="N42" s="393" t="s">
        <v>41</v>
      </c>
      <c r="O42" s="393"/>
      <c r="P42" s="404"/>
      <c r="Q42" s="401"/>
      <c r="R42" s="401"/>
    </row>
    <row r="43" spans="1:18" ht="20.25" customHeight="1">
      <c r="A43" s="401"/>
      <c r="B43" s="515" t="s">
        <v>2440</v>
      </c>
      <c r="C43" s="529"/>
      <c r="D43" s="431">
        <v>2025210107</v>
      </c>
      <c r="E43" s="393" t="s">
        <v>41</v>
      </c>
      <c r="F43" s="393" t="s">
        <v>631</v>
      </c>
      <c r="G43" s="412" t="s">
        <v>706</v>
      </c>
      <c r="H43" s="403">
        <v>45818</v>
      </c>
      <c r="I43" s="393">
        <f t="shared" ca="1" si="1"/>
        <v>61</v>
      </c>
      <c r="J43" s="415">
        <v>45879</v>
      </c>
      <c r="K43" s="401" t="s">
        <v>2484</v>
      </c>
      <c r="L43" s="401" t="s">
        <v>799</v>
      </c>
      <c r="M43" s="401" t="s">
        <v>774</v>
      </c>
      <c r="N43" s="393" t="s">
        <v>41</v>
      </c>
      <c r="O43" s="393"/>
      <c r="P43" s="404"/>
      <c r="Q43" s="401"/>
      <c r="R43" s="401"/>
    </row>
    <row r="44" spans="1:18" ht="20.25" customHeight="1">
      <c r="A44" s="401"/>
      <c r="B44" s="515" t="s">
        <v>2440</v>
      </c>
      <c r="C44" s="529"/>
      <c r="D44" s="431">
        <v>2025210107</v>
      </c>
      <c r="E44" s="393" t="s">
        <v>41</v>
      </c>
      <c r="F44" s="393" t="s">
        <v>638</v>
      </c>
      <c r="G44" s="412" t="s">
        <v>706</v>
      </c>
      <c r="H44" s="403" t="s">
        <v>2459</v>
      </c>
      <c r="I44" s="393" t="str">
        <f t="shared" ca="1" si="1"/>
        <v/>
      </c>
      <c r="J44" s="401"/>
      <c r="K44" s="401" t="s">
        <v>2485</v>
      </c>
      <c r="L44" s="401" t="s">
        <v>2100</v>
      </c>
      <c r="M44" s="401" t="s">
        <v>774</v>
      </c>
      <c r="N44" s="393" t="s">
        <v>41</v>
      </c>
      <c r="O44" s="393"/>
      <c r="P44" s="404"/>
      <c r="Q44" s="401"/>
      <c r="R44" s="401"/>
    </row>
    <row r="45" spans="1:18" ht="20.25" customHeight="1">
      <c r="A45" s="401"/>
      <c r="B45" s="515" t="s">
        <v>2440</v>
      </c>
      <c r="C45" s="529" t="s">
        <v>2486</v>
      </c>
      <c r="D45" s="431">
        <v>2025210107</v>
      </c>
      <c r="E45" s="393" t="s">
        <v>41</v>
      </c>
      <c r="F45" s="393" t="s">
        <v>2139</v>
      </c>
      <c r="G45" s="418" t="s">
        <v>716</v>
      </c>
      <c r="H45" s="403"/>
      <c r="I45" s="393"/>
      <c r="J45" s="401"/>
      <c r="K45" s="401" t="s">
        <v>2487</v>
      </c>
      <c r="L45" s="401" t="s">
        <v>2488</v>
      </c>
      <c r="M45" s="401" t="s">
        <v>774</v>
      </c>
      <c r="N45" s="393"/>
      <c r="O45" s="393"/>
      <c r="P45" s="404"/>
      <c r="Q45" s="401"/>
      <c r="R45" s="401"/>
    </row>
    <row r="46" spans="1:18" ht="20.25" customHeight="1">
      <c r="A46" s="401"/>
      <c r="B46" s="497" t="s">
        <v>2489</v>
      </c>
      <c r="C46" s="508"/>
      <c r="D46" s="496" t="s">
        <v>98</v>
      </c>
      <c r="E46" s="393" t="s">
        <v>41</v>
      </c>
      <c r="F46" s="393" t="s">
        <v>634</v>
      </c>
      <c r="G46" s="412" t="s">
        <v>706</v>
      </c>
      <c r="H46" s="403"/>
      <c r="I46" s="393" t="str">
        <f t="shared" ref="I46:I57" ca="1" si="2">IF(H46="", "", IF(OR(G46="Completed", G46="STOP"), IF(J46="", "", J46-H46), TODAY()-H46))</f>
        <v/>
      </c>
      <c r="J46" s="401"/>
      <c r="K46" s="401" t="s">
        <v>2490</v>
      </c>
      <c r="L46" s="401" t="s">
        <v>2491</v>
      </c>
      <c r="M46" s="401" t="s">
        <v>865</v>
      </c>
      <c r="N46" s="393" t="s">
        <v>41</v>
      </c>
      <c r="O46" s="393" t="s">
        <v>2492</v>
      </c>
      <c r="P46" s="404"/>
      <c r="Q46" s="401"/>
      <c r="R46" s="401"/>
    </row>
    <row r="47" spans="1:18" ht="20.25" customHeight="1">
      <c r="A47" s="401"/>
      <c r="B47" s="497" t="s">
        <v>2489</v>
      </c>
      <c r="C47" s="508"/>
      <c r="D47" s="496" t="s">
        <v>98</v>
      </c>
      <c r="E47" s="393" t="s">
        <v>41</v>
      </c>
      <c r="F47" s="393" t="s">
        <v>631</v>
      </c>
      <c r="G47" s="412" t="s">
        <v>706</v>
      </c>
      <c r="H47" s="403"/>
      <c r="I47" s="393" t="str">
        <f t="shared" ca="1" si="2"/>
        <v/>
      </c>
      <c r="J47" s="401"/>
      <c r="K47" s="401" t="s">
        <v>2493</v>
      </c>
      <c r="L47" s="401" t="s">
        <v>2494</v>
      </c>
      <c r="M47" s="401" t="s">
        <v>865</v>
      </c>
      <c r="N47" s="393" t="s">
        <v>41</v>
      </c>
      <c r="O47" s="393" t="s">
        <v>2492</v>
      </c>
      <c r="P47" s="404"/>
      <c r="Q47" s="401"/>
      <c r="R47" s="401"/>
    </row>
    <row r="48" spans="1:18" ht="20.25" customHeight="1">
      <c r="A48" s="401"/>
      <c r="B48" s="497" t="s">
        <v>2489</v>
      </c>
      <c r="C48" s="508"/>
      <c r="D48" s="496" t="s">
        <v>98</v>
      </c>
      <c r="E48" s="393" t="s">
        <v>41</v>
      </c>
      <c r="F48" s="393" t="s">
        <v>634</v>
      </c>
      <c r="G48" s="412" t="s">
        <v>706</v>
      </c>
      <c r="H48" s="403"/>
      <c r="I48" s="393" t="str">
        <f t="shared" ca="1" si="2"/>
        <v/>
      </c>
      <c r="J48" s="401"/>
      <c r="K48" s="401" t="s">
        <v>859</v>
      </c>
      <c r="L48" s="401" t="s">
        <v>2495</v>
      </c>
      <c r="M48" s="401" t="s">
        <v>865</v>
      </c>
      <c r="N48" s="393" t="s">
        <v>41</v>
      </c>
      <c r="O48" s="393"/>
      <c r="P48" s="404"/>
      <c r="Q48" s="401"/>
      <c r="R48" s="401"/>
    </row>
    <row r="49" spans="1:18" ht="20.25" customHeight="1">
      <c r="A49" s="401"/>
      <c r="B49" s="497" t="s">
        <v>2496</v>
      </c>
      <c r="C49" s="508"/>
      <c r="D49" s="496" t="s">
        <v>98</v>
      </c>
      <c r="E49" s="393" t="s">
        <v>41</v>
      </c>
      <c r="F49" s="393" t="s">
        <v>638</v>
      </c>
      <c r="G49" s="408" t="s">
        <v>2305</v>
      </c>
      <c r="H49" s="403"/>
      <c r="I49" s="393" t="str">
        <f t="shared" ca="1" si="2"/>
        <v/>
      </c>
      <c r="J49" s="401"/>
      <c r="K49" s="401" t="s">
        <v>2497</v>
      </c>
      <c r="L49" s="401" t="s">
        <v>2498</v>
      </c>
      <c r="M49" s="401" t="s">
        <v>741</v>
      </c>
      <c r="N49" s="393" t="s">
        <v>41</v>
      </c>
      <c r="O49" s="393" t="s">
        <v>2499</v>
      </c>
      <c r="P49" s="404"/>
      <c r="Q49" s="401"/>
      <c r="R49" s="401"/>
    </row>
    <row r="50" spans="1:18" ht="20.25" customHeight="1">
      <c r="A50" s="401"/>
      <c r="B50" s="497" t="s">
        <v>2489</v>
      </c>
      <c r="C50" s="508"/>
      <c r="D50" s="496" t="s">
        <v>98</v>
      </c>
      <c r="E50" s="393" t="s">
        <v>41</v>
      </c>
      <c r="F50" s="393" t="s">
        <v>653</v>
      </c>
      <c r="G50" s="412" t="s">
        <v>706</v>
      </c>
      <c r="H50" s="403"/>
      <c r="I50" s="393" t="str">
        <f t="shared" ca="1" si="2"/>
        <v/>
      </c>
      <c r="J50" s="401"/>
      <c r="K50" s="401" t="s">
        <v>41</v>
      </c>
      <c r="L50" s="401" t="s">
        <v>862</v>
      </c>
      <c r="M50" s="401" t="s">
        <v>865</v>
      </c>
      <c r="N50" s="393" t="s">
        <v>41</v>
      </c>
      <c r="O50" s="393"/>
      <c r="P50" s="404"/>
      <c r="Q50" s="401"/>
      <c r="R50" s="401"/>
    </row>
    <row r="51" spans="1:18" ht="20.25" customHeight="1">
      <c r="A51" s="401"/>
      <c r="B51" s="497" t="s">
        <v>2500</v>
      </c>
      <c r="C51" s="508"/>
      <c r="D51" s="496" t="s">
        <v>98</v>
      </c>
      <c r="E51" s="393" t="s">
        <v>41</v>
      </c>
      <c r="F51" s="393" t="s">
        <v>654</v>
      </c>
      <c r="G51" s="408" t="s">
        <v>2319</v>
      </c>
      <c r="H51" s="403">
        <v>45879</v>
      </c>
      <c r="I51" s="393">
        <f t="shared" ca="1" si="2"/>
        <v>148</v>
      </c>
      <c r="J51" s="401"/>
      <c r="K51" s="401" t="s">
        <v>2501</v>
      </c>
      <c r="L51" s="420" t="s">
        <v>863</v>
      </c>
      <c r="M51" s="401" t="s">
        <v>733</v>
      </c>
      <c r="N51" s="393" t="s">
        <v>41</v>
      </c>
      <c r="O51" s="393"/>
      <c r="P51" s="404"/>
      <c r="Q51" s="401"/>
      <c r="R51" s="401"/>
    </row>
    <row r="52" spans="1:18" ht="20.25" customHeight="1">
      <c r="A52" s="401"/>
      <c r="B52" s="497" t="s">
        <v>2254</v>
      </c>
      <c r="C52" s="508"/>
      <c r="D52" s="496">
        <v>2022201759</v>
      </c>
      <c r="E52" s="393" t="s">
        <v>41</v>
      </c>
      <c r="F52" s="393" t="s">
        <v>651</v>
      </c>
      <c r="G52" s="412" t="s">
        <v>706</v>
      </c>
      <c r="H52" s="403">
        <v>45879</v>
      </c>
      <c r="I52" s="393" t="e">
        <f t="shared" ca="1" si="2"/>
        <v>#VALUE!</v>
      </c>
      <c r="J52" s="401" t="s">
        <v>2502</v>
      </c>
      <c r="K52" s="401"/>
      <c r="L52" s="401" t="s">
        <v>2503</v>
      </c>
      <c r="M52" s="401" t="s">
        <v>763</v>
      </c>
      <c r="N52" s="393" t="s">
        <v>41</v>
      </c>
      <c r="O52" s="393"/>
      <c r="P52" s="404"/>
      <c r="Q52" s="401"/>
      <c r="R52" s="401"/>
    </row>
    <row r="53" spans="1:18" ht="20.25" customHeight="1">
      <c r="A53" s="401"/>
      <c r="B53" s="497" t="s">
        <v>2504</v>
      </c>
      <c r="C53" s="508"/>
      <c r="D53" s="496">
        <v>2025200573</v>
      </c>
      <c r="E53" s="393" t="s">
        <v>41</v>
      </c>
      <c r="F53" s="393" t="s">
        <v>634</v>
      </c>
      <c r="G53" s="408" t="s">
        <v>2305</v>
      </c>
      <c r="H53" s="403">
        <v>45879</v>
      </c>
      <c r="I53" s="393">
        <f t="shared" ca="1" si="2"/>
        <v>148</v>
      </c>
      <c r="J53" s="415" t="s">
        <v>112</v>
      </c>
      <c r="K53" s="401" t="s">
        <v>878</v>
      </c>
      <c r="L53" s="411" t="s">
        <v>879</v>
      </c>
      <c r="M53" s="401" t="s">
        <v>849</v>
      </c>
      <c r="N53" s="393" t="s">
        <v>41</v>
      </c>
      <c r="O53" s="393"/>
      <c r="P53" s="404"/>
      <c r="Q53" s="401"/>
      <c r="R53" s="401"/>
    </row>
    <row r="54" spans="1:18" ht="20.25" customHeight="1">
      <c r="A54" s="401"/>
      <c r="B54" s="497" t="s">
        <v>2504</v>
      </c>
      <c r="C54" s="508"/>
      <c r="D54" s="496">
        <v>2025200573</v>
      </c>
      <c r="E54" s="393" t="s">
        <v>41</v>
      </c>
      <c r="F54" s="393" t="s">
        <v>631</v>
      </c>
      <c r="G54" s="408" t="s">
        <v>2305</v>
      </c>
      <c r="H54" s="403">
        <v>45879</v>
      </c>
      <c r="I54" s="393">
        <f t="shared" ca="1" si="2"/>
        <v>148</v>
      </c>
      <c r="J54" s="415">
        <v>45940</v>
      </c>
      <c r="K54" s="401" t="s">
        <v>104</v>
      </c>
      <c r="L54" s="401" t="s">
        <v>41</v>
      </c>
      <c r="M54" s="401" t="s">
        <v>849</v>
      </c>
      <c r="N54" s="393" t="s">
        <v>41</v>
      </c>
      <c r="O54" s="393"/>
      <c r="P54" s="404"/>
      <c r="Q54" s="401"/>
      <c r="R54" s="401"/>
    </row>
    <row r="55" spans="1:18" ht="20.25" customHeight="1">
      <c r="A55" s="401"/>
      <c r="B55" s="497" t="s">
        <v>2505</v>
      </c>
      <c r="C55" s="508"/>
      <c r="D55" s="496">
        <v>2025200573</v>
      </c>
      <c r="E55" s="393" t="s">
        <v>41</v>
      </c>
      <c r="F55" s="393" t="s">
        <v>654</v>
      </c>
      <c r="G55" s="408" t="s">
        <v>721</v>
      </c>
      <c r="H55" s="403" t="s">
        <v>2506</v>
      </c>
      <c r="I55" s="393" t="e">
        <f t="shared" ca="1" si="2"/>
        <v>#VALUE!</v>
      </c>
      <c r="J55" s="401"/>
      <c r="K55" s="401" t="s">
        <v>882</v>
      </c>
      <c r="L55" s="393" t="s">
        <v>881</v>
      </c>
      <c r="M55" s="401" t="s">
        <v>939</v>
      </c>
      <c r="N55" s="393" t="s">
        <v>41</v>
      </c>
      <c r="O55" s="393"/>
      <c r="P55" s="404"/>
      <c r="Q55" s="401"/>
      <c r="R55" s="401"/>
    </row>
    <row r="56" spans="1:18" ht="20.25" customHeight="1">
      <c r="A56" s="401"/>
      <c r="B56" s="497" t="s">
        <v>2099</v>
      </c>
      <c r="C56" s="508"/>
      <c r="D56" s="496" t="s">
        <v>2151</v>
      </c>
      <c r="E56" s="393" t="s">
        <v>41</v>
      </c>
      <c r="F56" s="393" t="s">
        <v>2308</v>
      </c>
      <c r="G56" s="408" t="s">
        <v>2316</v>
      </c>
      <c r="H56" s="403">
        <v>45879</v>
      </c>
      <c r="I56" s="393">
        <f t="shared" ca="1" si="2"/>
        <v>148</v>
      </c>
      <c r="J56" s="401" t="s">
        <v>2507</v>
      </c>
      <c r="K56" s="401"/>
      <c r="L56" s="401"/>
      <c r="M56" s="401" t="s">
        <v>849</v>
      </c>
      <c r="N56" s="393" t="s">
        <v>41</v>
      </c>
      <c r="O56" s="393"/>
      <c r="P56" s="404"/>
      <c r="Q56" s="401"/>
      <c r="R56" s="401"/>
    </row>
    <row r="57" spans="1:18" ht="32.25" customHeight="1">
      <c r="A57" s="401"/>
      <c r="B57" s="515" t="s">
        <v>2508</v>
      </c>
      <c r="C57" s="529" t="s">
        <v>2486</v>
      </c>
      <c r="D57" s="431">
        <v>2025211134</v>
      </c>
      <c r="E57" s="393" t="s">
        <v>41</v>
      </c>
      <c r="F57" s="393" t="s">
        <v>634</v>
      </c>
      <c r="G57" s="501" t="s">
        <v>721</v>
      </c>
      <c r="H57" s="403" t="s">
        <v>2509</v>
      </c>
      <c r="I57" s="393" t="e">
        <f t="shared" ca="1" si="2"/>
        <v>#VALUE!</v>
      </c>
      <c r="J57" s="401" t="s">
        <v>2396</v>
      </c>
      <c r="K57" s="421" t="s">
        <v>2510</v>
      </c>
      <c r="L57" s="401" t="s">
        <v>921</v>
      </c>
      <c r="M57" s="401" t="s">
        <v>2511</v>
      </c>
      <c r="N57" s="393" t="s">
        <v>41</v>
      </c>
      <c r="O57" s="409" t="s">
        <v>2512</v>
      </c>
      <c r="P57" s="404"/>
      <c r="Q57" s="401"/>
      <c r="R57" s="401"/>
    </row>
    <row r="58" spans="1:18" ht="30.75" customHeight="1">
      <c r="A58" s="401"/>
      <c r="B58" s="515" t="s">
        <v>2513</v>
      </c>
      <c r="C58" s="529"/>
      <c r="D58" s="431">
        <v>2025211134</v>
      </c>
      <c r="E58" s="393" t="s">
        <v>41</v>
      </c>
      <c r="F58" s="393" t="s">
        <v>2514</v>
      </c>
      <c r="G58" s="412" t="s">
        <v>706</v>
      </c>
      <c r="H58" s="403">
        <v>45973</v>
      </c>
      <c r="I58" s="393"/>
      <c r="J58" s="401"/>
      <c r="K58" s="421" t="s">
        <v>2515</v>
      </c>
      <c r="L58" s="411" t="s">
        <v>2516</v>
      </c>
      <c r="M58" s="401" t="s">
        <v>924</v>
      </c>
      <c r="N58" s="393" t="s">
        <v>41</v>
      </c>
      <c r="O58" s="393"/>
      <c r="P58" s="404"/>
      <c r="Q58" s="401"/>
      <c r="R58" s="401"/>
    </row>
    <row r="59" spans="1:18" ht="32.25" customHeight="1">
      <c r="A59" s="401"/>
      <c r="B59" s="515" t="s">
        <v>2508</v>
      </c>
      <c r="C59" s="529"/>
      <c r="D59" s="431">
        <v>2025211134</v>
      </c>
      <c r="E59" s="393" t="s">
        <v>41</v>
      </c>
      <c r="F59" s="393" t="s">
        <v>653</v>
      </c>
      <c r="G59" s="412" t="s">
        <v>706</v>
      </c>
      <c r="H59" s="403" t="s">
        <v>2509</v>
      </c>
      <c r="I59" s="393" t="e">
        <f t="shared" ref="I59:I78" ca="1" si="3">IF(H59="", "", IF(OR(G59="Completed", G59="STOP"), IF(J59="", "", J59-H59), TODAY()-H59))</f>
        <v>#VALUE!</v>
      </c>
      <c r="J59" s="401" t="s">
        <v>2396</v>
      </c>
      <c r="K59" s="401" t="s">
        <v>41</v>
      </c>
      <c r="L59" s="411" t="s">
        <v>925</v>
      </c>
      <c r="M59" s="401" t="s">
        <v>2511</v>
      </c>
      <c r="N59" s="393" t="s">
        <v>41</v>
      </c>
      <c r="O59" s="393"/>
      <c r="P59" s="404"/>
      <c r="Q59" s="401"/>
      <c r="R59" s="401"/>
    </row>
    <row r="60" spans="1:18" ht="20.25" customHeight="1">
      <c r="A60" s="411" t="s">
        <v>2517</v>
      </c>
      <c r="B60" s="497" t="s">
        <v>2518</v>
      </c>
      <c r="C60" s="508"/>
      <c r="D60" s="496">
        <v>2025211134</v>
      </c>
      <c r="E60" s="393" t="s">
        <v>41</v>
      </c>
      <c r="F60" s="393" t="s">
        <v>654</v>
      </c>
      <c r="G60" s="409" t="s">
        <v>2313</v>
      </c>
      <c r="H60" s="403">
        <v>45668</v>
      </c>
      <c r="I60" s="393">
        <f t="shared" ca="1" si="3"/>
        <v>359</v>
      </c>
      <c r="J60" s="401"/>
      <c r="K60" s="422" t="s">
        <v>928</v>
      </c>
      <c r="L60" s="423" t="s">
        <v>2156</v>
      </c>
      <c r="M60" s="401" t="s">
        <v>2511</v>
      </c>
      <c r="N60" s="393" t="s">
        <v>41</v>
      </c>
      <c r="O60" s="393"/>
      <c r="P60" s="404"/>
      <c r="Q60" s="401"/>
      <c r="R60" s="401"/>
    </row>
    <row r="61" spans="1:18" ht="27.75" customHeight="1">
      <c r="A61" s="401"/>
      <c r="B61" s="500" t="s">
        <v>2519</v>
      </c>
      <c r="C61" s="528"/>
      <c r="D61" s="496">
        <v>2025211462</v>
      </c>
      <c r="E61" s="393" t="s">
        <v>41</v>
      </c>
      <c r="F61" s="393" t="s">
        <v>631</v>
      </c>
      <c r="G61" s="408" t="s">
        <v>2305</v>
      </c>
      <c r="H61" s="403" t="s">
        <v>2509</v>
      </c>
      <c r="I61" s="393" t="e">
        <f t="shared" ca="1" si="3"/>
        <v>#VALUE!</v>
      </c>
      <c r="J61" s="401"/>
      <c r="K61" s="401" t="s">
        <v>127</v>
      </c>
      <c r="L61" s="401" t="s">
        <v>938</v>
      </c>
      <c r="M61" s="401" t="s">
        <v>939</v>
      </c>
      <c r="N61" s="393" t="s">
        <v>41</v>
      </c>
      <c r="O61" s="393"/>
      <c r="P61" s="404"/>
      <c r="Q61" s="401"/>
      <c r="R61" s="401"/>
    </row>
    <row r="62" spans="1:18" ht="27.75" customHeight="1">
      <c r="A62" s="401"/>
      <c r="B62" s="497" t="s">
        <v>2520</v>
      </c>
      <c r="C62" s="508"/>
      <c r="D62" s="496">
        <v>2025211462</v>
      </c>
      <c r="E62" s="393" t="s">
        <v>41</v>
      </c>
      <c r="F62" s="393" t="s">
        <v>654</v>
      </c>
      <c r="G62" s="408" t="s">
        <v>2311</v>
      </c>
      <c r="H62" s="403" t="s">
        <v>2483</v>
      </c>
      <c r="I62" s="393" t="e">
        <f t="shared" ca="1" si="3"/>
        <v>#VALUE!</v>
      </c>
      <c r="J62" s="401"/>
      <c r="K62" s="401" t="s">
        <v>943</v>
      </c>
      <c r="L62" s="393" t="s">
        <v>942</v>
      </c>
      <c r="M62" s="401" t="s">
        <v>849</v>
      </c>
      <c r="N62" s="393" t="s">
        <v>41</v>
      </c>
      <c r="O62" s="393"/>
      <c r="P62" s="404"/>
      <c r="Q62" s="401"/>
      <c r="R62" s="401"/>
    </row>
    <row r="63" spans="1:18" ht="27.75" customHeight="1">
      <c r="A63" s="401"/>
      <c r="B63" s="535" t="s">
        <v>2504</v>
      </c>
      <c r="C63" s="536"/>
      <c r="D63" s="537">
        <v>2025211454</v>
      </c>
      <c r="E63" s="393" t="s">
        <v>41</v>
      </c>
      <c r="F63" s="393" t="s">
        <v>631</v>
      </c>
      <c r="G63" s="408" t="s">
        <v>2521</v>
      </c>
      <c r="H63" s="403" t="s">
        <v>2509</v>
      </c>
      <c r="I63" s="393" t="e">
        <f t="shared" ca="1" si="3"/>
        <v>#VALUE!</v>
      </c>
      <c r="J63" s="401"/>
      <c r="K63" s="401" t="s">
        <v>133</v>
      </c>
      <c r="L63" s="401" t="s">
        <v>955</v>
      </c>
      <c r="M63" s="401" t="s">
        <v>849</v>
      </c>
      <c r="N63" s="393" t="s">
        <v>41</v>
      </c>
      <c r="O63" s="393"/>
      <c r="P63" s="404"/>
      <c r="Q63" s="401"/>
      <c r="R63" s="401"/>
    </row>
    <row r="64" spans="1:18" ht="27.75" customHeight="1">
      <c r="A64" s="401"/>
      <c r="B64" s="535" t="s">
        <v>2504</v>
      </c>
      <c r="C64" s="536"/>
      <c r="D64" s="537">
        <v>2025211454</v>
      </c>
      <c r="E64" s="393" t="s">
        <v>41</v>
      </c>
      <c r="F64" s="393" t="s">
        <v>638</v>
      </c>
      <c r="G64" s="408" t="s">
        <v>2305</v>
      </c>
      <c r="H64" s="403" t="s">
        <v>2509</v>
      </c>
      <c r="I64" s="393" t="e">
        <f t="shared" ca="1" si="3"/>
        <v>#VALUE!</v>
      </c>
      <c r="J64" s="401"/>
      <c r="K64" s="401" t="s">
        <v>956</v>
      </c>
      <c r="L64" s="401" t="s">
        <v>2161</v>
      </c>
      <c r="M64" s="401" t="s">
        <v>849</v>
      </c>
      <c r="N64" s="393" t="s">
        <v>41</v>
      </c>
      <c r="O64" s="393"/>
      <c r="P64" s="404"/>
      <c r="Q64" s="401"/>
      <c r="R64" s="401"/>
    </row>
    <row r="65" spans="1:18" ht="27.75" customHeight="1">
      <c r="A65" s="401"/>
      <c r="B65" s="497" t="s">
        <v>2522</v>
      </c>
      <c r="C65" s="508"/>
      <c r="D65" s="496">
        <v>2025211475</v>
      </c>
      <c r="E65" s="393" t="s">
        <v>41</v>
      </c>
      <c r="F65" s="393" t="s">
        <v>653</v>
      </c>
      <c r="G65" s="408" t="s">
        <v>2305</v>
      </c>
      <c r="H65" s="403" t="s">
        <v>2509</v>
      </c>
      <c r="I65" s="393" t="e">
        <f t="shared" ca="1" si="3"/>
        <v>#VALUE!</v>
      </c>
      <c r="J65" s="401"/>
      <c r="K65" s="401" t="s">
        <v>41</v>
      </c>
      <c r="L65" s="411" t="s">
        <v>2162</v>
      </c>
      <c r="M65" s="401" t="s">
        <v>2523</v>
      </c>
      <c r="N65" s="393" t="s">
        <v>41</v>
      </c>
      <c r="O65" s="393"/>
      <c r="P65" s="404"/>
      <c r="Q65" s="401"/>
      <c r="R65" s="401"/>
    </row>
    <row r="66" spans="1:18" ht="27.75" customHeight="1">
      <c r="A66" s="401"/>
      <c r="B66" s="497" t="s">
        <v>2168</v>
      </c>
      <c r="C66" s="508"/>
      <c r="D66" s="496" t="s">
        <v>148</v>
      </c>
      <c r="E66" s="393" t="s">
        <v>41</v>
      </c>
      <c r="F66" s="393" t="s">
        <v>647</v>
      </c>
      <c r="G66" s="408" t="s">
        <v>2316</v>
      </c>
      <c r="H66" s="403" t="s">
        <v>2509</v>
      </c>
      <c r="I66" s="393" t="e">
        <f t="shared" ca="1" si="3"/>
        <v>#VALUE!</v>
      </c>
      <c r="J66" s="401"/>
      <c r="K66" s="401"/>
      <c r="L66" s="401" t="s">
        <v>2524</v>
      </c>
      <c r="M66" s="401" t="s">
        <v>986</v>
      </c>
      <c r="N66" s="393" t="s">
        <v>41</v>
      </c>
      <c r="O66" s="393"/>
      <c r="P66" s="404"/>
      <c r="Q66" s="401"/>
      <c r="R66" s="401"/>
    </row>
    <row r="67" spans="1:18" ht="27.75" customHeight="1">
      <c r="A67" s="401"/>
      <c r="B67" s="497" t="s">
        <v>2168</v>
      </c>
      <c r="C67" s="508"/>
      <c r="D67" s="496" t="s">
        <v>148</v>
      </c>
      <c r="E67" s="393" t="s">
        <v>41</v>
      </c>
      <c r="F67" s="393" t="s">
        <v>2306</v>
      </c>
      <c r="G67" s="408" t="s">
        <v>2316</v>
      </c>
      <c r="H67" s="403" t="s">
        <v>2509</v>
      </c>
      <c r="I67" s="393" t="e">
        <f t="shared" ca="1" si="3"/>
        <v>#VALUE!</v>
      </c>
      <c r="J67" s="401"/>
      <c r="K67" s="401" t="s">
        <v>2525</v>
      </c>
      <c r="L67" s="401" t="s">
        <v>2166</v>
      </c>
      <c r="M67" s="401" t="s">
        <v>986</v>
      </c>
      <c r="N67" s="393" t="s">
        <v>41</v>
      </c>
      <c r="O67" s="393" t="s">
        <v>2526</v>
      </c>
      <c r="P67" s="404"/>
      <c r="Q67" s="401"/>
      <c r="R67" s="401"/>
    </row>
    <row r="68" spans="1:18" ht="27.75" customHeight="1">
      <c r="A68" s="401"/>
      <c r="B68" s="497" t="s">
        <v>948</v>
      </c>
      <c r="C68" s="508"/>
      <c r="D68" s="496" t="s">
        <v>151</v>
      </c>
      <c r="E68" s="393" t="s">
        <v>41</v>
      </c>
      <c r="F68" s="393" t="s">
        <v>634</v>
      </c>
      <c r="G68" s="412" t="s">
        <v>706</v>
      </c>
      <c r="H68" s="403" t="s">
        <v>2483</v>
      </c>
      <c r="I68" s="393" t="e">
        <f t="shared" ca="1" si="3"/>
        <v>#VALUE!</v>
      </c>
      <c r="J68" s="401" t="s">
        <v>2527</v>
      </c>
      <c r="K68" s="401" t="s">
        <v>989</v>
      </c>
      <c r="L68" s="401" t="s">
        <v>990</v>
      </c>
      <c r="M68" s="401" t="s">
        <v>939</v>
      </c>
      <c r="N68" s="393" t="s">
        <v>41</v>
      </c>
      <c r="O68" s="393"/>
      <c r="P68" s="404"/>
      <c r="Q68" s="401"/>
      <c r="R68" s="401"/>
    </row>
    <row r="69" spans="1:18" ht="27.75" customHeight="1">
      <c r="A69" s="401"/>
      <c r="B69" s="500" t="s">
        <v>948</v>
      </c>
      <c r="C69" s="528"/>
      <c r="D69" s="496" t="s">
        <v>151</v>
      </c>
      <c r="E69" s="393" t="s">
        <v>41</v>
      </c>
      <c r="F69" s="424" t="s">
        <v>2528</v>
      </c>
      <c r="G69" s="412" t="s">
        <v>706</v>
      </c>
      <c r="H69" s="403" t="s">
        <v>2483</v>
      </c>
      <c r="I69" s="393" t="e">
        <f t="shared" ca="1" si="3"/>
        <v>#VALUE!</v>
      </c>
      <c r="J69" s="401" t="s">
        <v>2527</v>
      </c>
      <c r="K69" s="401" t="s">
        <v>149</v>
      </c>
      <c r="L69" s="401" t="s">
        <v>992</v>
      </c>
      <c r="M69" s="401" t="s">
        <v>939</v>
      </c>
      <c r="N69" s="393" t="s">
        <v>41</v>
      </c>
      <c r="O69" s="393"/>
      <c r="P69" s="404"/>
      <c r="Q69" s="401"/>
      <c r="R69" s="401"/>
    </row>
    <row r="70" spans="1:18" ht="27.75" customHeight="1">
      <c r="A70" s="401"/>
      <c r="B70" s="497" t="s">
        <v>2529</v>
      </c>
      <c r="C70" s="508"/>
      <c r="D70" s="496" t="s">
        <v>151</v>
      </c>
      <c r="E70" s="393" t="s">
        <v>41</v>
      </c>
      <c r="F70" s="393" t="s">
        <v>653</v>
      </c>
      <c r="G70" s="408" t="s">
        <v>2530</v>
      </c>
      <c r="H70" s="403" t="s">
        <v>2483</v>
      </c>
      <c r="I70" s="393" t="e">
        <f t="shared" ca="1" si="3"/>
        <v>#VALUE!</v>
      </c>
      <c r="J70" s="401"/>
      <c r="K70" s="401" t="s">
        <v>41</v>
      </c>
      <c r="L70" s="401" t="s">
        <v>993</v>
      </c>
      <c r="M70" s="401" t="s">
        <v>2531</v>
      </c>
      <c r="N70" s="393" t="s">
        <v>41</v>
      </c>
      <c r="O70" s="393"/>
      <c r="P70" s="404"/>
      <c r="Q70" s="401"/>
      <c r="R70" s="401"/>
    </row>
    <row r="71" spans="1:18" ht="27.75" customHeight="1">
      <c r="A71" s="401"/>
      <c r="B71" s="500" t="s">
        <v>2532</v>
      </c>
      <c r="C71" s="528"/>
      <c r="D71" s="496" t="s">
        <v>151</v>
      </c>
      <c r="E71" s="393" t="s">
        <v>41</v>
      </c>
      <c r="F71" s="393" t="s">
        <v>14</v>
      </c>
      <c r="G71" s="408" t="s">
        <v>2530</v>
      </c>
      <c r="H71" s="403" t="s">
        <v>2483</v>
      </c>
      <c r="I71" s="393" t="e">
        <f t="shared" ca="1" si="3"/>
        <v>#VALUE!</v>
      </c>
      <c r="J71" s="401"/>
      <c r="K71" s="401"/>
      <c r="L71" s="401"/>
      <c r="M71" s="401" t="s">
        <v>939</v>
      </c>
      <c r="N71" s="393" t="s">
        <v>41</v>
      </c>
      <c r="O71" s="393"/>
      <c r="P71" s="404"/>
      <c r="Q71" s="401"/>
      <c r="R71" s="401"/>
    </row>
    <row r="72" spans="1:18" ht="20.25" customHeight="1">
      <c r="A72" s="401"/>
      <c r="B72" s="497" t="s">
        <v>847</v>
      </c>
      <c r="C72" s="508"/>
      <c r="D72" s="496">
        <v>2025212068</v>
      </c>
      <c r="E72" s="393" t="s">
        <v>41</v>
      </c>
      <c r="F72" s="393" t="s">
        <v>634</v>
      </c>
      <c r="G72" s="412" t="s">
        <v>706</v>
      </c>
      <c r="H72" s="403" t="s">
        <v>2483</v>
      </c>
      <c r="I72" s="393" t="str">
        <f t="shared" ca="1" si="3"/>
        <v/>
      </c>
      <c r="J72" s="401"/>
      <c r="K72" s="401" t="s">
        <v>1006</v>
      </c>
      <c r="L72" s="401" t="s">
        <v>2533</v>
      </c>
      <c r="M72" s="401" t="s">
        <v>2534</v>
      </c>
      <c r="N72" s="393" t="s">
        <v>41</v>
      </c>
      <c r="O72" s="393"/>
      <c r="P72" s="404"/>
      <c r="Q72" s="401"/>
      <c r="R72" s="401"/>
    </row>
    <row r="73" spans="1:18" ht="20.25" customHeight="1">
      <c r="A73" s="401"/>
      <c r="B73" s="497" t="s">
        <v>847</v>
      </c>
      <c r="C73" s="508"/>
      <c r="D73" s="496">
        <v>2025212068</v>
      </c>
      <c r="E73" s="393" t="s">
        <v>41</v>
      </c>
      <c r="F73" s="393" t="s">
        <v>2528</v>
      </c>
      <c r="G73" s="412" t="s">
        <v>706</v>
      </c>
      <c r="H73" s="403" t="s">
        <v>2483</v>
      </c>
      <c r="I73" s="393" t="str">
        <f t="shared" ca="1" si="3"/>
        <v/>
      </c>
      <c r="J73" s="401"/>
      <c r="K73" s="401" t="s">
        <v>154</v>
      </c>
      <c r="L73" s="401" t="s">
        <v>2535</v>
      </c>
      <c r="M73" s="401" t="s">
        <v>2534</v>
      </c>
      <c r="N73" s="393" t="s">
        <v>41</v>
      </c>
      <c r="O73" s="393"/>
      <c r="P73" s="404"/>
      <c r="Q73" s="401"/>
      <c r="R73" s="401"/>
    </row>
    <row r="74" spans="1:18" ht="20.25" customHeight="1">
      <c r="A74" s="401"/>
      <c r="B74" s="497" t="s">
        <v>847</v>
      </c>
      <c r="C74" s="508"/>
      <c r="D74" s="496">
        <v>2025212068</v>
      </c>
      <c r="E74" s="393" t="s">
        <v>41</v>
      </c>
      <c r="F74" s="393" t="s">
        <v>653</v>
      </c>
      <c r="G74" s="412" t="s">
        <v>706</v>
      </c>
      <c r="H74" s="403" t="s">
        <v>2483</v>
      </c>
      <c r="I74" s="393" t="str">
        <f t="shared" ca="1" si="3"/>
        <v/>
      </c>
      <c r="J74" s="401"/>
      <c r="K74" s="401" t="s">
        <v>41</v>
      </c>
      <c r="L74" s="401" t="s">
        <v>1009</v>
      </c>
      <c r="M74" s="401" t="s">
        <v>849</v>
      </c>
      <c r="N74" s="393" t="s">
        <v>41</v>
      </c>
      <c r="O74" s="393"/>
      <c r="P74" s="404"/>
      <c r="Q74" s="401"/>
      <c r="R74" s="401"/>
    </row>
    <row r="75" spans="1:18" ht="20.25" customHeight="1">
      <c r="A75" s="401"/>
      <c r="B75" s="497" t="s">
        <v>2536</v>
      </c>
      <c r="C75" s="508"/>
      <c r="D75" s="496">
        <v>2025212053</v>
      </c>
      <c r="E75" s="393" t="s">
        <v>41</v>
      </c>
      <c r="F75" s="393" t="s">
        <v>638</v>
      </c>
      <c r="G75" s="412" t="s">
        <v>2454</v>
      </c>
      <c r="H75" s="403" t="s">
        <v>2483</v>
      </c>
      <c r="I75" s="393" t="e">
        <f t="shared" ca="1" si="3"/>
        <v>#VALUE!</v>
      </c>
      <c r="J75" s="401"/>
      <c r="K75" s="401" t="s">
        <v>162</v>
      </c>
      <c r="L75" s="401" t="s">
        <v>2175</v>
      </c>
      <c r="M75" s="401" t="s">
        <v>849</v>
      </c>
      <c r="N75" s="393" t="s">
        <v>41</v>
      </c>
      <c r="O75" s="393"/>
      <c r="P75" s="404"/>
      <c r="Q75" s="401"/>
      <c r="R75" s="401"/>
    </row>
    <row r="76" spans="1:18" ht="48" customHeight="1">
      <c r="A76" s="401"/>
      <c r="B76" s="524" t="s">
        <v>2537</v>
      </c>
      <c r="C76" s="530" t="s">
        <v>2538</v>
      </c>
      <c r="D76" s="431">
        <v>2025212047</v>
      </c>
      <c r="E76" s="393" t="s">
        <v>41</v>
      </c>
      <c r="F76" s="393" t="s">
        <v>634</v>
      </c>
      <c r="G76" s="412" t="s">
        <v>2454</v>
      </c>
      <c r="H76" s="403" t="s">
        <v>2483</v>
      </c>
      <c r="I76" s="393" t="e">
        <f t="shared" ca="1" si="3"/>
        <v>#VALUE!</v>
      </c>
      <c r="J76" s="415">
        <v>45974</v>
      </c>
      <c r="K76" s="411" t="s">
        <v>2539</v>
      </c>
      <c r="L76" s="401" t="s">
        <v>2540</v>
      </c>
      <c r="M76" s="401" t="s">
        <v>849</v>
      </c>
      <c r="N76" s="393" t="s">
        <v>41</v>
      </c>
      <c r="O76" s="393"/>
      <c r="P76" s="404"/>
      <c r="Q76" s="401"/>
      <c r="R76" s="401"/>
    </row>
    <row r="77" spans="1:18" ht="20.25" customHeight="1">
      <c r="A77" s="401"/>
      <c r="B77" s="515" t="s">
        <v>2536</v>
      </c>
      <c r="C77" s="529"/>
      <c r="D77" s="431">
        <v>2025212047</v>
      </c>
      <c r="E77" s="393" t="s">
        <v>41</v>
      </c>
      <c r="F77" s="393" t="s">
        <v>653</v>
      </c>
      <c r="G77" s="412" t="s">
        <v>706</v>
      </c>
      <c r="H77" s="403" t="s">
        <v>2483</v>
      </c>
      <c r="I77" s="393" t="e">
        <f t="shared" ca="1" si="3"/>
        <v>#VALUE!</v>
      </c>
      <c r="J77" s="415">
        <v>45974</v>
      </c>
      <c r="K77" s="401" t="s">
        <v>41</v>
      </c>
      <c r="L77" s="401" t="s">
        <v>1048</v>
      </c>
      <c r="M77" s="401" t="s">
        <v>849</v>
      </c>
      <c r="N77" s="393" t="s">
        <v>41</v>
      </c>
      <c r="O77" s="393"/>
      <c r="P77" s="404"/>
      <c r="Q77" s="401"/>
      <c r="R77" s="401"/>
    </row>
    <row r="78" spans="1:18" ht="20.25" customHeight="1">
      <c r="A78" s="401"/>
      <c r="B78" s="497" t="s">
        <v>2541</v>
      </c>
      <c r="C78" s="508"/>
      <c r="D78" s="496" t="s">
        <v>172</v>
      </c>
      <c r="E78" s="393" t="s">
        <v>41</v>
      </c>
      <c r="F78" s="393" t="s">
        <v>634</v>
      </c>
      <c r="G78" s="417" t="s">
        <v>2521</v>
      </c>
      <c r="H78" s="403" t="s">
        <v>2428</v>
      </c>
      <c r="I78" s="393" t="e">
        <f t="shared" ca="1" si="3"/>
        <v>#VALUE!</v>
      </c>
      <c r="J78" s="401"/>
      <c r="K78" s="426" t="s">
        <v>1052</v>
      </c>
      <c r="L78" s="427" t="s">
        <v>1053</v>
      </c>
      <c r="M78" s="401" t="s">
        <v>2542</v>
      </c>
      <c r="N78" s="393" t="s">
        <v>41</v>
      </c>
      <c r="O78" s="393" t="s">
        <v>2543</v>
      </c>
      <c r="P78" s="404"/>
      <c r="Q78" s="401"/>
      <c r="R78" s="401"/>
    </row>
    <row r="79" spans="1:18" ht="20.25" customHeight="1">
      <c r="A79" s="401"/>
      <c r="B79" s="497" t="s">
        <v>2541</v>
      </c>
      <c r="C79" s="508"/>
      <c r="D79" s="496" t="s">
        <v>172</v>
      </c>
      <c r="E79" s="393" t="s">
        <v>41</v>
      </c>
      <c r="F79" s="393" t="s">
        <v>2544</v>
      </c>
      <c r="G79" s="408" t="s">
        <v>721</v>
      </c>
      <c r="H79" s="403"/>
      <c r="I79" s="393"/>
      <c r="J79" s="401"/>
      <c r="K79" s="401"/>
      <c r="L79" s="428"/>
      <c r="M79" s="401"/>
      <c r="N79" s="393"/>
      <c r="O79" s="393"/>
      <c r="P79" s="404"/>
      <c r="Q79" s="401"/>
      <c r="R79" s="401"/>
    </row>
    <row r="80" spans="1:18" ht="20.25" customHeight="1">
      <c r="A80" s="401"/>
      <c r="B80" s="497" t="s">
        <v>2541</v>
      </c>
      <c r="C80" s="508"/>
      <c r="D80" s="496" t="s">
        <v>172</v>
      </c>
      <c r="E80" s="393" t="s">
        <v>41</v>
      </c>
      <c r="F80" s="393" t="s">
        <v>2545</v>
      </c>
      <c r="G80" s="408" t="s">
        <v>721</v>
      </c>
      <c r="H80" s="403"/>
      <c r="I80" s="393"/>
      <c r="J80" s="401"/>
      <c r="K80" s="401"/>
      <c r="L80" s="428"/>
      <c r="M80" s="401"/>
      <c r="N80" s="393"/>
      <c r="O80" s="393"/>
      <c r="P80" s="404"/>
      <c r="Q80" s="401"/>
      <c r="R80" s="401"/>
    </row>
    <row r="81" spans="1:18" ht="20.25" customHeight="1">
      <c r="A81" s="401"/>
      <c r="B81" s="497" t="s">
        <v>2184</v>
      </c>
      <c r="C81" s="508"/>
      <c r="D81" s="517" t="s">
        <v>172</v>
      </c>
      <c r="E81" s="393" t="s">
        <v>41</v>
      </c>
      <c r="F81" s="393" t="s">
        <v>654</v>
      </c>
      <c r="G81" s="408"/>
      <c r="H81" s="403"/>
      <c r="I81" s="393"/>
      <c r="J81" s="401"/>
      <c r="K81" s="401" t="s">
        <v>2546</v>
      </c>
      <c r="L81" s="429" t="s">
        <v>2547</v>
      </c>
      <c r="M81" s="401" t="s">
        <v>709</v>
      </c>
      <c r="N81" s="393"/>
      <c r="O81" s="393"/>
      <c r="P81" s="404"/>
      <c r="Q81" s="401"/>
      <c r="R81" s="401"/>
    </row>
    <row r="82" spans="1:18" ht="20.25" customHeight="1">
      <c r="A82" s="401"/>
      <c r="B82" s="497" t="s">
        <v>2185</v>
      </c>
      <c r="C82" s="508"/>
      <c r="D82" s="496">
        <v>2025212181</v>
      </c>
      <c r="E82" s="393" t="s">
        <v>41</v>
      </c>
      <c r="F82" s="393" t="s">
        <v>631</v>
      </c>
      <c r="G82" s="412" t="s">
        <v>706</v>
      </c>
      <c r="H82" s="403">
        <v>45819</v>
      </c>
      <c r="I82" s="393" t="str">
        <f ca="1">IF(H82="", "", IF(OR(G82="Completed", G82="STOP"), IF(J82="", "", J82-H82), TODAY()-H82))</f>
        <v/>
      </c>
      <c r="J82" s="401"/>
      <c r="K82" s="401" t="s">
        <v>2548</v>
      </c>
      <c r="L82" s="411" t="s">
        <v>2549</v>
      </c>
      <c r="M82" s="401" t="s">
        <v>2550</v>
      </c>
      <c r="N82" s="393" t="s">
        <v>41</v>
      </c>
      <c r="O82" s="393"/>
      <c r="P82" s="404"/>
      <c r="Q82" s="401"/>
      <c r="R82" s="401"/>
    </row>
    <row r="83" spans="1:18" ht="20.25" customHeight="1">
      <c r="A83" s="401"/>
      <c r="B83" s="497" t="s">
        <v>2185</v>
      </c>
      <c r="C83" s="508"/>
      <c r="D83" s="496">
        <v>2025212170</v>
      </c>
      <c r="E83" s="393" t="s">
        <v>41</v>
      </c>
      <c r="F83" s="393" t="s">
        <v>634</v>
      </c>
      <c r="G83" s="412" t="s">
        <v>706</v>
      </c>
      <c r="H83" s="403">
        <v>45819</v>
      </c>
      <c r="I83" s="393" t="e">
        <f ca="1">IF(H83="", "", IF(OR(G83="Completed", G83="STOP"), IF(J83="", "", J83-H83), TODAY()-H83))</f>
        <v>#VALUE!</v>
      </c>
      <c r="J83" s="401" t="s">
        <v>2551</v>
      </c>
      <c r="K83" s="401" t="s">
        <v>1068</v>
      </c>
      <c r="L83" s="401" t="s">
        <v>2552</v>
      </c>
      <c r="M83" s="401" t="s">
        <v>2550</v>
      </c>
      <c r="N83" s="393" t="s">
        <v>41</v>
      </c>
      <c r="O83" s="393"/>
      <c r="P83" s="404"/>
      <c r="Q83" s="401"/>
      <c r="R83" s="401"/>
    </row>
    <row r="84" spans="1:18" ht="20.25" customHeight="1">
      <c r="A84" s="401"/>
      <c r="B84" s="497" t="s">
        <v>2553</v>
      </c>
      <c r="C84" s="508"/>
      <c r="D84" s="496">
        <v>2025212170</v>
      </c>
      <c r="E84" s="393" t="s">
        <v>41</v>
      </c>
      <c r="F84" s="393" t="s">
        <v>653</v>
      </c>
      <c r="G84" s="408" t="s">
        <v>2305</v>
      </c>
      <c r="H84" s="403">
        <v>45819</v>
      </c>
      <c r="I84" s="393">
        <f ca="1">IF(H84="", "", IF(OR(G84="Completed", G84="STOP"), IF(J84="", "", J84-H84), TODAY()-H84))</f>
        <v>208</v>
      </c>
      <c r="J84" s="401"/>
      <c r="K84" s="401" t="s">
        <v>41</v>
      </c>
      <c r="L84" s="401" t="s">
        <v>1073</v>
      </c>
      <c r="M84" s="401" t="s">
        <v>2550</v>
      </c>
      <c r="N84" s="393" t="s">
        <v>41</v>
      </c>
      <c r="O84" s="393"/>
      <c r="P84" s="404"/>
      <c r="Q84" s="401"/>
      <c r="R84" s="401"/>
    </row>
    <row r="85" spans="1:18" ht="20.25" customHeight="1">
      <c r="A85" s="401"/>
      <c r="B85" s="497" t="s">
        <v>2185</v>
      </c>
      <c r="C85" s="508"/>
      <c r="D85" s="496">
        <v>2025212168</v>
      </c>
      <c r="E85" s="393"/>
      <c r="F85" s="393" t="s">
        <v>638</v>
      </c>
      <c r="G85" s="412" t="s">
        <v>706</v>
      </c>
      <c r="H85" s="403"/>
      <c r="I85" s="393"/>
      <c r="J85" s="556">
        <v>46381</v>
      </c>
      <c r="K85" s="401" t="s">
        <v>2554</v>
      </c>
      <c r="L85" s="401" t="s">
        <v>1079</v>
      </c>
      <c r="M85" s="401"/>
      <c r="N85" s="393"/>
      <c r="O85" s="393"/>
      <c r="P85" s="404"/>
      <c r="Q85" s="401"/>
      <c r="R85" s="401"/>
    </row>
    <row r="86" spans="1:18" ht="20.25" customHeight="1">
      <c r="A86" s="401"/>
      <c r="B86" s="497" t="s">
        <v>2185</v>
      </c>
      <c r="C86" s="508"/>
      <c r="D86" s="496">
        <v>2025212168</v>
      </c>
      <c r="E86" s="393" t="s">
        <v>41</v>
      </c>
      <c r="F86" s="393" t="s">
        <v>631</v>
      </c>
      <c r="G86" s="412" t="s">
        <v>706</v>
      </c>
      <c r="H86" s="403">
        <v>45819</v>
      </c>
      <c r="I86" s="393">
        <f t="shared" ref="I86:I117" ca="1" si="4">IF(H86="", "", IF(OR(G86="Completed", G86="STOP"), IF(J86="", "", J86-H86), TODAY()-H86))</f>
        <v>562</v>
      </c>
      <c r="J86" s="556">
        <v>46381</v>
      </c>
      <c r="K86" s="401" t="s">
        <v>179</v>
      </c>
      <c r="L86" s="401" t="s">
        <v>1079</v>
      </c>
      <c r="M86" s="401" t="s">
        <v>2550</v>
      </c>
      <c r="N86" s="403">
        <v>45789</v>
      </c>
      <c r="O86" s="393"/>
      <c r="P86" s="404"/>
      <c r="Q86" s="401"/>
      <c r="R86" s="401"/>
    </row>
    <row r="87" spans="1:18" ht="20.25" customHeight="1">
      <c r="A87" s="401"/>
      <c r="B87" s="497" t="s">
        <v>2192</v>
      </c>
      <c r="C87" s="508"/>
      <c r="D87" s="496">
        <v>2025212191</v>
      </c>
      <c r="E87" s="393" t="s">
        <v>41</v>
      </c>
      <c r="F87" s="393" t="s">
        <v>634</v>
      </c>
      <c r="G87" s="408" t="s">
        <v>2305</v>
      </c>
      <c r="H87" s="403">
        <v>45819</v>
      </c>
      <c r="I87" s="393">
        <f t="shared" ca="1" si="4"/>
        <v>208</v>
      </c>
      <c r="J87" s="401"/>
      <c r="K87" s="401" t="s">
        <v>1090</v>
      </c>
      <c r="L87" s="401" t="s">
        <v>1091</v>
      </c>
      <c r="M87" s="401" t="s">
        <v>2555</v>
      </c>
      <c r="N87" s="393" t="s">
        <v>41</v>
      </c>
      <c r="O87" s="393"/>
      <c r="P87" s="404"/>
      <c r="Q87" s="401"/>
      <c r="R87" s="401"/>
    </row>
    <row r="88" spans="1:18" ht="20.25" customHeight="1">
      <c r="A88" s="401"/>
      <c r="B88" s="497" t="s">
        <v>2192</v>
      </c>
      <c r="C88" s="508"/>
      <c r="D88" s="496">
        <v>2025212191</v>
      </c>
      <c r="E88" s="393" t="s">
        <v>41</v>
      </c>
      <c r="F88" s="393" t="s">
        <v>631</v>
      </c>
      <c r="G88" s="408" t="s">
        <v>2305</v>
      </c>
      <c r="H88" s="403">
        <v>45819</v>
      </c>
      <c r="I88" s="393">
        <f t="shared" ca="1" si="4"/>
        <v>208</v>
      </c>
      <c r="J88" s="401"/>
      <c r="K88" s="401" t="s">
        <v>185</v>
      </c>
      <c r="L88" s="401" t="s">
        <v>1092</v>
      </c>
      <c r="M88" s="401" t="s">
        <v>2555</v>
      </c>
      <c r="N88" s="393" t="s">
        <v>41</v>
      </c>
      <c r="O88" s="393"/>
      <c r="P88" s="404"/>
      <c r="Q88" s="401"/>
      <c r="R88" s="401"/>
    </row>
    <row r="89" spans="1:18" ht="20.25" customHeight="1">
      <c r="A89" s="401"/>
      <c r="B89" s="497" t="s">
        <v>2192</v>
      </c>
      <c r="C89" s="508"/>
      <c r="D89" s="496">
        <v>2025212191</v>
      </c>
      <c r="E89" s="393" t="s">
        <v>41</v>
      </c>
      <c r="F89" s="393" t="s">
        <v>638</v>
      </c>
      <c r="G89" s="408" t="s">
        <v>2305</v>
      </c>
      <c r="H89" s="403">
        <v>45819</v>
      </c>
      <c r="I89" s="393">
        <f t="shared" ca="1" si="4"/>
        <v>208</v>
      </c>
      <c r="J89" s="401"/>
      <c r="K89" s="401" t="s">
        <v>1093</v>
      </c>
      <c r="L89" s="401" t="s">
        <v>1092</v>
      </c>
      <c r="M89" s="401" t="s">
        <v>2555</v>
      </c>
      <c r="N89" s="393" t="s">
        <v>41</v>
      </c>
      <c r="O89" s="393"/>
      <c r="P89" s="404"/>
      <c r="Q89" s="401"/>
      <c r="R89" s="401"/>
    </row>
    <row r="90" spans="1:18" ht="20.25" customHeight="1">
      <c r="A90" s="401"/>
      <c r="B90" s="497" t="s">
        <v>2192</v>
      </c>
      <c r="C90" s="508"/>
      <c r="D90" s="496">
        <v>2025212191</v>
      </c>
      <c r="E90" s="393" t="s">
        <v>41</v>
      </c>
      <c r="F90" s="393" t="s">
        <v>653</v>
      </c>
      <c r="G90" s="408" t="s">
        <v>2305</v>
      </c>
      <c r="H90" s="403">
        <v>45819</v>
      </c>
      <c r="I90" s="393">
        <f t="shared" ca="1" si="4"/>
        <v>208</v>
      </c>
      <c r="J90" s="401"/>
      <c r="K90" s="401" t="s">
        <v>41</v>
      </c>
      <c r="L90" s="401" t="s">
        <v>1095</v>
      </c>
      <c r="M90" s="401" t="s">
        <v>2555</v>
      </c>
      <c r="N90" s="393" t="s">
        <v>41</v>
      </c>
      <c r="O90" s="393"/>
      <c r="P90" s="404"/>
      <c r="Q90" s="401"/>
      <c r="R90" s="401"/>
    </row>
    <row r="91" spans="1:18" ht="20.25" customHeight="1">
      <c r="A91" s="401"/>
      <c r="B91" s="497" t="s">
        <v>2476</v>
      </c>
      <c r="C91" s="508"/>
      <c r="D91" s="496">
        <v>2025212189</v>
      </c>
      <c r="E91" s="414" t="s">
        <v>41</v>
      </c>
      <c r="F91" s="414" t="s">
        <v>634</v>
      </c>
      <c r="G91" s="416" t="s">
        <v>747</v>
      </c>
      <c r="H91" s="403" t="s">
        <v>2459</v>
      </c>
      <c r="I91" s="393" t="str">
        <f t="shared" ca="1" si="4"/>
        <v/>
      </c>
      <c r="J91" s="401"/>
      <c r="K91" s="401" t="s">
        <v>2556</v>
      </c>
      <c r="L91" s="401" t="s">
        <v>2557</v>
      </c>
      <c r="M91" s="401" t="s">
        <v>774</v>
      </c>
      <c r="N91" s="393" t="s">
        <v>41</v>
      </c>
      <c r="O91" s="393"/>
      <c r="P91" s="404"/>
      <c r="Q91" s="401"/>
      <c r="R91" s="401"/>
    </row>
    <row r="92" spans="1:18" ht="20.25" customHeight="1">
      <c r="A92" s="401"/>
      <c r="B92" s="497" t="s">
        <v>2476</v>
      </c>
      <c r="C92" s="508"/>
      <c r="D92" s="496">
        <v>2025212189</v>
      </c>
      <c r="E92" s="414" t="s">
        <v>41</v>
      </c>
      <c r="F92" s="414" t="s">
        <v>631</v>
      </c>
      <c r="G92" s="416" t="s">
        <v>747</v>
      </c>
      <c r="H92" s="403">
        <v>45819</v>
      </c>
      <c r="I92" s="393" t="str">
        <f t="shared" ca="1" si="4"/>
        <v/>
      </c>
      <c r="J92" s="401"/>
      <c r="K92" s="401" t="s">
        <v>2558</v>
      </c>
      <c r="L92" s="401" t="s">
        <v>2559</v>
      </c>
      <c r="M92" s="401" t="s">
        <v>774</v>
      </c>
      <c r="N92" s="393" t="s">
        <v>41</v>
      </c>
      <c r="O92" s="393"/>
      <c r="P92" s="404"/>
      <c r="Q92" s="401"/>
      <c r="R92" s="401"/>
    </row>
    <row r="93" spans="1:18" ht="20.25" customHeight="1">
      <c r="A93" s="401"/>
      <c r="B93" s="497" t="s">
        <v>2476</v>
      </c>
      <c r="C93" s="508"/>
      <c r="D93" s="496">
        <v>2025212189</v>
      </c>
      <c r="E93" s="414" t="s">
        <v>41</v>
      </c>
      <c r="F93" s="414" t="s">
        <v>638</v>
      </c>
      <c r="G93" s="416" t="s">
        <v>747</v>
      </c>
      <c r="H93" s="403" t="s">
        <v>2459</v>
      </c>
      <c r="I93" s="393" t="str">
        <f t="shared" ca="1" si="4"/>
        <v/>
      </c>
      <c r="J93" s="401"/>
      <c r="K93" s="401" t="s">
        <v>1102</v>
      </c>
      <c r="L93" s="401" t="s">
        <v>2188</v>
      </c>
      <c r="M93" s="401" t="s">
        <v>774</v>
      </c>
      <c r="N93" s="393" t="s">
        <v>41</v>
      </c>
      <c r="O93" s="393"/>
      <c r="P93" s="404"/>
      <c r="Q93" s="401"/>
      <c r="R93" s="401"/>
    </row>
    <row r="94" spans="1:18" ht="20.25" customHeight="1">
      <c r="A94" s="401"/>
      <c r="B94" s="497" t="s">
        <v>2476</v>
      </c>
      <c r="C94" s="508"/>
      <c r="D94" s="496">
        <v>2025212189</v>
      </c>
      <c r="E94" s="414" t="s">
        <v>41</v>
      </c>
      <c r="F94" s="414" t="s">
        <v>653</v>
      </c>
      <c r="G94" s="416" t="s">
        <v>747</v>
      </c>
      <c r="H94" s="403" t="s">
        <v>2459</v>
      </c>
      <c r="I94" s="393" t="str">
        <f t="shared" ca="1" si="4"/>
        <v/>
      </c>
      <c r="J94" s="401"/>
      <c r="K94" s="401" t="s">
        <v>41</v>
      </c>
      <c r="L94" s="401" t="s">
        <v>1103</v>
      </c>
      <c r="M94" s="401" t="s">
        <v>774</v>
      </c>
      <c r="N94" s="393" t="s">
        <v>41</v>
      </c>
      <c r="O94" s="393"/>
      <c r="P94" s="404"/>
      <c r="Q94" s="401"/>
      <c r="R94" s="401"/>
    </row>
    <row r="95" spans="1:18" ht="20.25" customHeight="1">
      <c r="A95" s="401"/>
      <c r="B95" s="515" t="s">
        <v>2476</v>
      </c>
      <c r="C95" s="529"/>
      <c r="D95" s="431">
        <v>2025212179</v>
      </c>
      <c r="E95" s="393" t="s">
        <v>41</v>
      </c>
      <c r="F95" s="413" t="s">
        <v>634</v>
      </c>
      <c r="G95" s="412" t="s">
        <v>706</v>
      </c>
      <c r="H95" s="403" t="s">
        <v>2459</v>
      </c>
      <c r="I95" s="393" t="e">
        <f t="shared" ca="1" si="4"/>
        <v>#VALUE!</v>
      </c>
      <c r="J95" s="556">
        <v>46381</v>
      </c>
      <c r="K95" s="411" t="s">
        <v>2560</v>
      </c>
      <c r="L95" s="411" t="s">
        <v>1108</v>
      </c>
      <c r="M95" s="401" t="s">
        <v>774</v>
      </c>
      <c r="N95" s="393" t="s">
        <v>41</v>
      </c>
      <c r="O95" s="393"/>
      <c r="P95" s="404"/>
      <c r="Q95" s="401"/>
      <c r="R95" s="401"/>
    </row>
    <row r="96" spans="1:18" ht="20.25" customHeight="1">
      <c r="A96" s="401"/>
      <c r="B96" s="515" t="s">
        <v>2561</v>
      </c>
      <c r="C96" s="530" t="s">
        <v>2562</v>
      </c>
      <c r="D96" s="431">
        <v>2025212179</v>
      </c>
      <c r="E96" s="393" t="s">
        <v>41</v>
      </c>
      <c r="F96" s="393" t="s">
        <v>631</v>
      </c>
      <c r="G96" s="402" t="s">
        <v>706</v>
      </c>
      <c r="H96" s="403">
        <v>45819</v>
      </c>
      <c r="I96" s="393">
        <f t="shared" ca="1" si="4"/>
        <v>202</v>
      </c>
      <c r="J96" s="415">
        <v>46021</v>
      </c>
      <c r="K96" s="430" t="s">
        <v>2563</v>
      </c>
      <c r="L96" s="401" t="s">
        <v>2564</v>
      </c>
      <c r="M96" s="401" t="s">
        <v>736</v>
      </c>
      <c r="N96" s="393" t="s">
        <v>41</v>
      </c>
      <c r="O96" s="393"/>
      <c r="P96" s="404"/>
      <c r="Q96" s="401"/>
      <c r="R96" s="401"/>
    </row>
    <row r="97" spans="1:18" ht="20.25" customHeight="1">
      <c r="A97" s="401"/>
      <c r="B97" s="515" t="s">
        <v>2561</v>
      </c>
      <c r="C97" s="530" t="s">
        <v>2562</v>
      </c>
      <c r="D97" s="431">
        <v>2025212179</v>
      </c>
      <c r="E97" s="393" t="s">
        <v>41</v>
      </c>
      <c r="F97" s="393" t="s">
        <v>638</v>
      </c>
      <c r="G97" s="402" t="s">
        <v>706</v>
      </c>
      <c r="H97" s="403">
        <v>45819</v>
      </c>
      <c r="I97" s="393">
        <f t="shared" ca="1" si="4"/>
        <v>202</v>
      </c>
      <c r="J97" s="415">
        <v>46021</v>
      </c>
      <c r="K97" s="411" t="s">
        <v>2565</v>
      </c>
      <c r="L97" s="411" t="s">
        <v>2566</v>
      </c>
      <c r="M97" s="401" t="s">
        <v>736</v>
      </c>
      <c r="N97" s="393" t="s">
        <v>41</v>
      </c>
      <c r="O97" s="393"/>
      <c r="P97" s="404"/>
      <c r="Q97" s="401"/>
      <c r="R97" s="401"/>
    </row>
    <row r="98" spans="1:18" ht="20.25" customHeight="1">
      <c r="A98" s="401"/>
      <c r="B98" s="515" t="s">
        <v>2476</v>
      </c>
      <c r="C98" s="529"/>
      <c r="D98" s="431">
        <v>2025212179</v>
      </c>
      <c r="E98" s="393" t="s">
        <v>41</v>
      </c>
      <c r="F98" s="393" t="s">
        <v>653</v>
      </c>
      <c r="G98" s="412" t="s">
        <v>706</v>
      </c>
      <c r="H98" s="403" t="s">
        <v>2459</v>
      </c>
      <c r="I98" s="393" t="e">
        <f t="shared" ca="1" si="4"/>
        <v>#VALUE!</v>
      </c>
      <c r="J98" s="556">
        <v>46381</v>
      </c>
      <c r="K98" s="401" t="s">
        <v>41</v>
      </c>
      <c r="L98" s="401" t="s">
        <v>2567</v>
      </c>
      <c r="M98" s="401" t="s">
        <v>774</v>
      </c>
      <c r="N98" s="403">
        <v>45759</v>
      </c>
      <c r="O98" s="393"/>
      <c r="P98" s="404"/>
      <c r="Q98" s="401"/>
      <c r="R98" s="401"/>
    </row>
    <row r="99" spans="1:18" ht="20.25" customHeight="1">
      <c r="A99" s="401"/>
      <c r="B99" s="515" t="s">
        <v>2192</v>
      </c>
      <c r="C99" s="529"/>
      <c r="D99" s="431">
        <v>2025212145</v>
      </c>
      <c r="E99" s="393" t="s">
        <v>41</v>
      </c>
      <c r="F99" s="413" t="s">
        <v>634</v>
      </c>
      <c r="G99" s="412" t="s">
        <v>706</v>
      </c>
      <c r="H99" s="403" t="s">
        <v>2428</v>
      </c>
      <c r="I99" s="393" t="e">
        <f t="shared" ca="1" si="4"/>
        <v>#VALUE!</v>
      </c>
      <c r="J99" s="415">
        <v>46082</v>
      </c>
      <c r="K99" s="401" t="s">
        <v>2568</v>
      </c>
      <c r="L99" s="401" t="s">
        <v>2569</v>
      </c>
      <c r="M99" s="401" t="s">
        <v>774</v>
      </c>
      <c r="N99" s="393" t="s">
        <v>41</v>
      </c>
      <c r="O99" s="393"/>
      <c r="P99" s="404"/>
      <c r="Q99" s="401"/>
      <c r="R99" s="401"/>
    </row>
    <row r="100" spans="1:18" ht="20.25" customHeight="1">
      <c r="A100" s="401"/>
      <c r="B100" s="515" t="s">
        <v>2192</v>
      </c>
      <c r="C100" s="529"/>
      <c r="D100" s="431">
        <v>2025212145</v>
      </c>
      <c r="E100" s="393" t="s">
        <v>41</v>
      </c>
      <c r="F100" s="413" t="s">
        <v>631</v>
      </c>
      <c r="G100" s="412" t="s">
        <v>706</v>
      </c>
      <c r="H100" s="403" t="s">
        <v>2428</v>
      </c>
      <c r="I100" s="393" t="e">
        <f t="shared" ca="1" si="4"/>
        <v>#VALUE!</v>
      </c>
      <c r="J100" s="415">
        <v>46082</v>
      </c>
      <c r="K100" s="401" t="s">
        <v>194</v>
      </c>
      <c r="L100" s="401" t="s">
        <v>2570</v>
      </c>
      <c r="M100" s="401" t="s">
        <v>774</v>
      </c>
      <c r="N100" s="393" t="s">
        <v>41</v>
      </c>
      <c r="O100" s="393"/>
      <c r="P100" s="404"/>
      <c r="Q100" s="401"/>
      <c r="R100" s="401"/>
    </row>
    <row r="101" spans="1:18" ht="20.25" customHeight="1">
      <c r="A101" s="401"/>
      <c r="B101" s="515" t="s">
        <v>2192</v>
      </c>
      <c r="C101" s="529"/>
      <c r="D101" s="431">
        <v>2025212145</v>
      </c>
      <c r="E101" s="393" t="s">
        <v>41</v>
      </c>
      <c r="F101" s="413" t="s">
        <v>638</v>
      </c>
      <c r="G101" s="412" t="s">
        <v>706</v>
      </c>
      <c r="H101" s="403" t="s">
        <v>2428</v>
      </c>
      <c r="I101" s="393" t="e">
        <f t="shared" ca="1" si="4"/>
        <v>#VALUE!</v>
      </c>
      <c r="J101" s="415">
        <v>46082</v>
      </c>
      <c r="K101" s="401" t="s">
        <v>1118</v>
      </c>
      <c r="L101" s="401" t="s">
        <v>2571</v>
      </c>
      <c r="M101" s="401" t="s">
        <v>774</v>
      </c>
      <c r="N101" s="393" t="s">
        <v>41</v>
      </c>
      <c r="O101" s="393"/>
      <c r="P101" s="404"/>
      <c r="Q101" s="401"/>
      <c r="R101" s="401"/>
    </row>
    <row r="102" spans="1:18" ht="20.25" customHeight="1">
      <c r="A102" s="401"/>
      <c r="B102" s="515" t="s">
        <v>2192</v>
      </c>
      <c r="C102" s="529"/>
      <c r="D102" s="431">
        <v>2025212145</v>
      </c>
      <c r="E102" s="393" t="s">
        <v>41</v>
      </c>
      <c r="F102" s="413" t="s">
        <v>653</v>
      </c>
      <c r="G102" s="412" t="s">
        <v>706</v>
      </c>
      <c r="H102" s="403" t="s">
        <v>2428</v>
      </c>
      <c r="I102" s="393" t="e">
        <f t="shared" ca="1" si="4"/>
        <v>#VALUE!</v>
      </c>
      <c r="J102" s="415">
        <v>46082</v>
      </c>
      <c r="K102" s="401" t="s">
        <v>41</v>
      </c>
      <c r="L102" s="401" t="s">
        <v>2572</v>
      </c>
      <c r="M102" s="401" t="s">
        <v>774</v>
      </c>
      <c r="N102" s="393" t="s">
        <v>41</v>
      </c>
      <c r="O102" s="393"/>
      <c r="P102" s="404"/>
      <c r="Q102" s="401"/>
      <c r="R102" s="401"/>
    </row>
    <row r="103" spans="1:18" ht="20.25" customHeight="1">
      <c r="A103" s="401"/>
      <c r="B103" s="497" t="s">
        <v>2476</v>
      </c>
      <c r="C103" s="508"/>
      <c r="D103" s="496">
        <v>2025212140</v>
      </c>
      <c r="E103" s="393" t="s">
        <v>41</v>
      </c>
      <c r="F103" s="393" t="s">
        <v>634</v>
      </c>
      <c r="G103" s="412" t="s">
        <v>706</v>
      </c>
      <c r="H103" s="403" t="s">
        <v>2428</v>
      </c>
      <c r="I103" s="393" t="e">
        <f t="shared" ca="1" si="4"/>
        <v>#VALUE!</v>
      </c>
      <c r="J103" s="556">
        <v>46381</v>
      </c>
      <c r="K103" s="401" t="s">
        <v>1122</v>
      </c>
      <c r="L103" s="401" t="s">
        <v>1123</v>
      </c>
      <c r="M103" s="401" t="s">
        <v>774</v>
      </c>
      <c r="N103" s="403">
        <v>45669</v>
      </c>
      <c r="O103" s="393"/>
      <c r="P103" s="404"/>
      <c r="Q103" s="401"/>
      <c r="R103" s="401"/>
    </row>
    <row r="104" spans="1:18" ht="20.25" customHeight="1">
      <c r="A104" s="401"/>
      <c r="B104" s="497" t="s">
        <v>2476</v>
      </c>
      <c r="C104" s="508"/>
      <c r="D104" s="496">
        <v>2025212140</v>
      </c>
      <c r="E104" s="393" t="s">
        <v>41</v>
      </c>
      <c r="F104" s="393" t="s">
        <v>631</v>
      </c>
      <c r="G104" s="412" t="s">
        <v>706</v>
      </c>
      <c r="H104" s="403" t="s">
        <v>2428</v>
      </c>
      <c r="I104" s="393" t="e">
        <f t="shared" ca="1" si="4"/>
        <v>#VALUE!</v>
      </c>
      <c r="J104" s="556">
        <v>46381</v>
      </c>
      <c r="K104" s="401" t="s">
        <v>197</v>
      </c>
      <c r="L104" s="401" t="s">
        <v>1124</v>
      </c>
      <c r="M104" s="401" t="s">
        <v>774</v>
      </c>
      <c r="N104" s="403">
        <v>45669</v>
      </c>
      <c r="O104" s="393"/>
      <c r="P104" s="404"/>
      <c r="Q104" s="401"/>
      <c r="R104" s="401"/>
    </row>
    <row r="105" spans="1:18" ht="20.25" customHeight="1">
      <c r="A105" s="401"/>
      <c r="B105" s="497" t="s">
        <v>2476</v>
      </c>
      <c r="C105" s="508"/>
      <c r="D105" s="496">
        <v>2025212140</v>
      </c>
      <c r="E105" s="393" t="s">
        <v>41</v>
      </c>
      <c r="F105" s="393" t="s">
        <v>653</v>
      </c>
      <c r="G105" s="412" t="s">
        <v>706</v>
      </c>
      <c r="H105" s="403" t="s">
        <v>2428</v>
      </c>
      <c r="I105" s="393" t="e">
        <f t="shared" ca="1" si="4"/>
        <v>#VALUE!</v>
      </c>
      <c r="J105" s="556">
        <v>46381</v>
      </c>
      <c r="K105" s="401" t="s">
        <v>41</v>
      </c>
      <c r="L105" s="401" t="s">
        <v>1125</v>
      </c>
      <c r="M105" s="401" t="s">
        <v>774</v>
      </c>
      <c r="N105" s="403">
        <v>45669</v>
      </c>
      <c r="O105" s="393"/>
      <c r="P105" s="404"/>
      <c r="Q105" s="401"/>
      <c r="R105" s="401"/>
    </row>
    <row r="106" spans="1:18" ht="20.25" customHeight="1">
      <c r="A106" s="401"/>
      <c r="B106" s="497" t="s">
        <v>2573</v>
      </c>
      <c r="C106" s="508"/>
      <c r="D106" s="496">
        <v>2025212222</v>
      </c>
      <c r="E106" s="393" t="s">
        <v>41</v>
      </c>
      <c r="F106" s="393" t="s">
        <v>634</v>
      </c>
      <c r="G106" s="402" t="s">
        <v>706</v>
      </c>
      <c r="H106" s="403" t="s">
        <v>2459</v>
      </c>
      <c r="I106" s="393" t="str">
        <f t="shared" ca="1" si="4"/>
        <v/>
      </c>
      <c r="J106" s="401"/>
      <c r="K106" s="401" t="s">
        <v>1133</v>
      </c>
      <c r="L106" s="401" t="s">
        <v>2574</v>
      </c>
      <c r="M106" s="401" t="s">
        <v>774</v>
      </c>
      <c r="N106" s="393" t="s">
        <v>41</v>
      </c>
      <c r="O106" s="393"/>
      <c r="P106" s="404"/>
      <c r="Q106" s="401"/>
      <c r="R106" s="401"/>
    </row>
    <row r="107" spans="1:18" ht="20.25" customHeight="1">
      <c r="A107" s="401"/>
      <c r="B107" s="515" t="s">
        <v>2573</v>
      </c>
      <c r="C107" s="529" t="s">
        <v>2486</v>
      </c>
      <c r="D107" s="431">
        <v>2025212162</v>
      </c>
      <c r="E107" s="393" t="s">
        <v>41</v>
      </c>
      <c r="F107" s="393" t="s">
        <v>634</v>
      </c>
      <c r="G107" s="412" t="s">
        <v>706</v>
      </c>
      <c r="H107" s="403" t="s">
        <v>2459</v>
      </c>
      <c r="I107" s="393" t="str">
        <f t="shared" ca="1" si="4"/>
        <v/>
      </c>
      <c r="J107" s="401"/>
      <c r="K107" s="401" t="s">
        <v>1139</v>
      </c>
      <c r="L107" s="401" t="s">
        <v>2575</v>
      </c>
      <c r="M107" s="401" t="s">
        <v>774</v>
      </c>
      <c r="N107" s="393" t="s">
        <v>41</v>
      </c>
      <c r="O107" s="393"/>
      <c r="P107" s="404"/>
      <c r="Q107" s="401"/>
      <c r="R107" s="401"/>
    </row>
    <row r="108" spans="1:18" ht="20.25" customHeight="1">
      <c r="A108" s="401"/>
      <c r="B108" s="497" t="s">
        <v>2576</v>
      </c>
      <c r="C108" s="508"/>
      <c r="D108" s="496" t="s">
        <v>251</v>
      </c>
      <c r="E108" s="393" t="s">
        <v>41</v>
      </c>
      <c r="F108" s="393" t="s">
        <v>15</v>
      </c>
      <c r="G108" s="408" t="s">
        <v>2316</v>
      </c>
      <c r="H108" s="403">
        <v>45880</v>
      </c>
      <c r="I108" s="393">
        <f t="shared" ca="1" si="4"/>
        <v>147</v>
      </c>
      <c r="J108" s="401"/>
      <c r="K108" s="401" t="s">
        <v>2576</v>
      </c>
      <c r="L108" s="401" t="s">
        <v>1609</v>
      </c>
      <c r="M108" s="401" t="s">
        <v>1609</v>
      </c>
      <c r="N108" s="393" t="s">
        <v>41</v>
      </c>
      <c r="O108" s="393"/>
      <c r="P108" s="404"/>
      <c r="Q108" s="401"/>
      <c r="R108" s="401"/>
    </row>
    <row r="109" spans="1:18" ht="20.25" customHeight="1">
      <c r="A109" s="401"/>
      <c r="B109" s="497" t="s">
        <v>2577</v>
      </c>
      <c r="C109" s="508"/>
      <c r="D109" s="496">
        <v>2025212410</v>
      </c>
      <c r="E109" s="414" t="s">
        <v>41</v>
      </c>
      <c r="F109" s="414" t="s">
        <v>634</v>
      </c>
      <c r="G109" s="416" t="s">
        <v>747</v>
      </c>
      <c r="H109" s="403">
        <v>45911</v>
      </c>
      <c r="I109" s="393" t="str">
        <f t="shared" ca="1" si="4"/>
        <v/>
      </c>
      <c r="J109" s="401"/>
      <c r="K109" s="401" t="s">
        <v>1150</v>
      </c>
      <c r="L109" s="401" t="s">
        <v>1151</v>
      </c>
      <c r="M109" s="401" t="s">
        <v>871</v>
      </c>
      <c r="N109" s="393" t="s">
        <v>41</v>
      </c>
      <c r="O109" s="393"/>
      <c r="P109" s="404"/>
      <c r="Q109" s="401"/>
      <c r="R109" s="401"/>
    </row>
    <row r="110" spans="1:18" ht="20.25" customHeight="1">
      <c r="A110" s="401"/>
      <c r="B110" s="497" t="s">
        <v>2577</v>
      </c>
      <c r="C110" s="508"/>
      <c r="D110" s="496">
        <v>2025212410</v>
      </c>
      <c r="E110" s="414" t="s">
        <v>41</v>
      </c>
      <c r="F110" s="414" t="s">
        <v>631</v>
      </c>
      <c r="G110" s="416" t="s">
        <v>747</v>
      </c>
      <c r="H110" s="403">
        <v>45911</v>
      </c>
      <c r="I110" s="393" t="str">
        <f t="shared" ca="1" si="4"/>
        <v/>
      </c>
      <c r="J110" s="401"/>
      <c r="K110" s="401" t="s">
        <v>213</v>
      </c>
      <c r="L110" s="401" t="s">
        <v>1152</v>
      </c>
      <c r="M110" s="401" t="s">
        <v>871</v>
      </c>
      <c r="N110" s="393" t="s">
        <v>41</v>
      </c>
      <c r="O110" s="393"/>
      <c r="P110" s="404"/>
      <c r="Q110" s="401"/>
      <c r="R110" s="401"/>
    </row>
    <row r="111" spans="1:18" ht="20.25" customHeight="1">
      <c r="A111" s="401"/>
      <c r="B111" s="497" t="s">
        <v>2577</v>
      </c>
      <c r="C111" s="508"/>
      <c r="D111" s="496">
        <v>2025212410</v>
      </c>
      <c r="E111" s="414" t="s">
        <v>41</v>
      </c>
      <c r="F111" s="414" t="s">
        <v>638</v>
      </c>
      <c r="G111" s="416" t="s">
        <v>747</v>
      </c>
      <c r="H111" s="403">
        <v>45911</v>
      </c>
      <c r="I111" s="393" t="str">
        <f t="shared" ca="1" si="4"/>
        <v/>
      </c>
      <c r="J111" s="401"/>
      <c r="K111" s="401" t="s">
        <v>2578</v>
      </c>
      <c r="L111" s="401" t="s">
        <v>721</v>
      </c>
      <c r="M111" s="401" t="s">
        <v>871</v>
      </c>
      <c r="N111" s="393" t="s">
        <v>41</v>
      </c>
      <c r="O111" s="393"/>
      <c r="P111" s="404"/>
      <c r="Q111" s="401"/>
      <c r="R111" s="401"/>
    </row>
    <row r="112" spans="1:18" ht="20.25" customHeight="1">
      <c r="A112" s="401"/>
      <c r="B112" s="497" t="s">
        <v>2577</v>
      </c>
      <c r="C112" s="508"/>
      <c r="D112" s="496">
        <v>2025212410</v>
      </c>
      <c r="E112" s="414" t="s">
        <v>41</v>
      </c>
      <c r="F112" s="414" t="s">
        <v>653</v>
      </c>
      <c r="G112" s="416" t="s">
        <v>747</v>
      </c>
      <c r="H112" s="403">
        <v>45911</v>
      </c>
      <c r="I112" s="393" t="str">
        <f t="shared" ca="1" si="4"/>
        <v/>
      </c>
      <c r="J112" s="401"/>
      <c r="K112" s="401" t="s">
        <v>721</v>
      </c>
      <c r="L112" s="401" t="s">
        <v>2579</v>
      </c>
      <c r="M112" s="401" t="s">
        <v>871</v>
      </c>
      <c r="N112" s="393" t="s">
        <v>41</v>
      </c>
      <c r="O112" s="393"/>
      <c r="P112" s="404"/>
      <c r="Q112" s="401"/>
      <c r="R112" s="401"/>
    </row>
    <row r="113" spans="1:18" ht="20.25" customHeight="1">
      <c r="A113" s="401"/>
      <c r="B113" s="497" t="s">
        <v>2254</v>
      </c>
      <c r="C113" s="508"/>
      <c r="D113" s="496">
        <v>2025212250</v>
      </c>
      <c r="E113" s="393" t="s">
        <v>41</v>
      </c>
      <c r="F113" s="393" t="s">
        <v>634</v>
      </c>
      <c r="G113" s="412" t="s">
        <v>706</v>
      </c>
      <c r="H113" s="403">
        <v>45911</v>
      </c>
      <c r="I113" s="393" t="str">
        <f t="shared" ca="1" si="4"/>
        <v/>
      </c>
      <c r="J113" s="401"/>
      <c r="K113" s="401" t="s">
        <v>1157</v>
      </c>
      <c r="L113" s="401" t="s">
        <v>1158</v>
      </c>
      <c r="M113" s="401" t="s">
        <v>1163</v>
      </c>
      <c r="N113" s="393" t="s">
        <v>41</v>
      </c>
      <c r="O113" s="393"/>
      <c r="P113" s="404"/>
      <c r="Q113" s="401"/>
      <c r="R113" s="401"/>
    </row>
    <row r="114" spans="1:18" ht="20.25" customHeight="1">
      <c r="A114" s="401"/>
      <c r="B114" s="497" t="s">
        <v>2254</v>
      </c>
      <c r="C114" s="508"/>
      <c r="D114" s="496">
        <v>2025212250</v>
      </c>
      <c r="E114" s="393" t="s">
        <v>41</v>
      </c>
      <c r="F114" s="393" t="s">
        <v>631</v>
      </c>
      <c r="G114" s="412" t="s">
        <v>706</v>
      </c>
      <c r="H114" s="403">
        <v>45911</v>
      </c>
      <c r="I114" s="393" t="str">
        <f t="shared" ca="1" si="4"/>
        <v/>
      </c>
      <c r="J114" s="401"/>
      <c r="K114" s="401" t="s">
        <v>216</v>
      </c>
      <c r="L114" s="401" t="s">
        <v>1159</v>
      </c>
      <c r="M114" s="401" t="s">
        <v>1163</v>
      </c>
      <c r="N114" s="393" t="s">
        <v>41</v>
      </c>
      <c r="O114" s="393"/>
      <c r="P114" s="404"/>
      <c r="Q114" s="401"/>
      <c r="R114" s="401"/>
    </row>
    <row r="115" spans="1:18" ht="20.25" customHeight="1">
      <c r="A115" s="401"/>
      <c r="B115" s="497" t="s">
        <v>2254</v>
      </c>
      <c r="C115" s="508"/>
      <c r="D115" s="496">
        <v>2025212250</v>
      </c>
      <c r="E115" s="393" t="s">
        <v>41</v>
      </c>
      <c r="F115" s="393" t="s">
        <v>638</v>
      </c>
      <c r="G115" s="412" t="s">
        <v>706</v>
      </c>
      <c r="H115" s="403">
        <v>45911</v>
      </c>
      <c r="I115" s="393" t="str">
        <f t="shared" ca="1" si="4"/>
        <v/>
      </c>
      <c r="J115" s="401"/>
      <c r="K115" s="401" t="s">
        <v>721</v>
      </c>
      <c r="L115" s="401" t="s">
        <v>721</v>
      </c>
      <c r="M115" s="401" t="s">
        <v>1163</v>
      </c>
      <c r="N115" s="393" t="s">
        <v>41</v>
      </c>
      <c r="O115" s="393"/>
      <c r="P115" s="404"/>
      <c r="Q115" s="401"/>
      <c r="R115" s="401"/>
    </row>
    <row r="116" spans="1:18" ht="20.25" customHeight="1">
      <c r="A116" s="401"/>
      <c r="B116" s="497" t="s">
        <v>2254</v>
      </c>
      <c r="C116" s="508"/>
      <c r="D116" s="496">
        <v>2025212250</v>
      </c>
      <c r="E116" s="393" t="s">
        <v>41</v>
      </c>
      <c r="F116" s="393" t="s">
        <v>653</v>
      </c>
      <c r="G116" s="412" t="s">
        <v>706</v>
      </c>
      <c r="H116" s="403">
        <v>45911</v>
      </c>
      <c r="I116" s="393" t="str">
        <f t="shared" ca="1" si="4"/>
        <v/>
      </c>
      <c r="J116" s="401"/>
      <c r="K116" s="401" t="s">
        <v>721</v>
      </c>
      <c r="L116" s="401" t="s">
        <v>1160</v>
      </c>
      <c r="M116" s="401" t="s">
        <v>1163</v>
      </c>
      <c r="N116" s="393" t="s">
        <v>41</v>
      </c>
      <c r="O116" s="393"/>
      <c r="P116" s="404"/>
      <c r="Q116" s="401"/>
      <c r="R116" s="401"/>
    </row>
    <row r="117" spans="1:18" ht="20.25" customHeight="1">
      <c r="A117" s="401"/>
      <c r="B117" s="502" t="s">
        <v>2513</v>
      </c>
      <c r="C117" s="531"/>
      <c r="D117" s="496">
        <v>2025212219</v>
      </c>
      <c r="E117" s="393" t="s">
        <v>41</v>
      </c>
      <c r="F117" s="393" t="s">
        <v>634</v>
      </c>
      <c r="G117" s="431" t="s">
        <v>706</v>
      </c>
      <c r="H117" s="403">
        <v>45911</v>
      </c>
      <c r="I117" s="393" t="str">
        <f t="shared" ca="1" si="4"/>
        <v/>
      </c>
      <c r="J117" s="401"/>
      <c r="K117" s="401" t="s">
        <v>1164</v>
      </c>
      <c r="L117" s="401" t="s">
        <v>1165</v>
      </c>
      <c r="M117" s="401" t="s">
        <v>2580</v>
      </c>
      <c r="N117" s="393" t="s">
        <v>41</v>
      </c>
      <c r="O117" s="393"/>
      <c r="P117" s="404"/>
      <c r="Q117" s="401"/>
      <c r="R117" s="401"/>
    </row>
    <row r="118" spans="1:18" ht="20.25" customHeight="1">
      <c r="A118" s="401"/>
      <c r="B118" s="502" t="s">
        <v>2513</v>
      </c>
      <c r="C118" s="531"/>
      <c r="D118" s="496">
        <v>2025212219</v>
      </c>
      <c r="E118" s="393" t="s">
        <v>41</v>
      </c>
      <c r="F118" s="393" t="s">
        <v>631</v>
      </c>
      <c r="G118" s="431" t="s">
        <v>706</v>
      </c>
      <c r="H118" s="403">
        <v>45911</v>
      </c>
      <c r="I118" s="393" t="str">
        <f t="shared" ref="I118:I143" ca="1" si="5">IF(H118="", "", IF(OR(G118="Completed", G118="STOP"), IF(J118="", "", J118-H118), TODAY()-H118))</f>
        <v/>
      </c>
      <c r="J118" s="401"/>
      <c r="K118" s="401" t="s">
        <v>219</v>
      </c>
      <c r="L118" s="401" t="s">
        <v>1165</v>
      </c>
      <c r="M118" s="401" t="s">
        <v>2580</v>
      </c>
      <c r="N118" s="393" t="s">
        <v>41</v>
      </c>
      <c r="O118" s="393"/>
      <c r="P118" s="404"/>
      <c r="Q118" s="401"/>
      <c r="R118" s="401"/>
    </row>
    <row r="119" spans="1:18" ht="20.25" customHeight="1">
      <c r="A119" s="401"/>
      <c r="B119" s="502" t="s">
        <v>2513</v>
      </c>
      <c r="C119" s="531"/>
      <c r="D119" s="496">
        <v>2025212219</v>
      </c>
      <c r="E119" s="393" t="s">
        <v>41</v>
      </c>
      <c r="F119" s="393" t="s">
        <v>638</v>
      </c>
      <c r="G119" s="408" t="s">
        <v>2521</v>
      </c>
      <c r="H119" s="403">
        <v>45911</v>
      </c>
      <c r="I119" s="393">
        <f t="shared" ca="1" si="5"/>
        <v>116</v>
      </c>
      <c r="J119" s="401"/>
      <c r="K119" s="401" t="s">
        <v>2581</v>
      </c>
      <c r="L119" s="401" t="s">
        <v>1165</v>
      </c>
      <c r="M119" s="401" t="s">
        <v>2580</v>
      </c>
      <c r="N119" s="393" t="s">
        <v>41</v>
      </c>
      <c r="O119" s="393"/>
      <c r="P119" s="404"/>
      <c r="Q119" s="401"/>
      <c r="R119" s="401"/>
    </row>
    <row r="120" spans="1:18" ht="20.25" customHeight="1">
      <c r="A120" s="401"/>
      <c r="B120" s="503" t="s">
        <v>2582</v>
      </c>
      <c r="C120" s="532"/>
      <c r="D120" s="496">
        <v>2025212219</v>
      </c>
      <c r="E120" s="393" t="s">
        <v>41</v>
      </c>
      <c r="F120" s="393" t="s">
        <v>653</v>
      </c>
      <c r="G120" s="402" t="s">
        <v>706</v>
      </c>
      <c r="H120" s="403">
        <v>45911</v>
      </c>
      <c r="I120" s="393">
        <f t="shared" ca="1" si="5"/>
        <v>111</v>
      </c>
      <c r="J120" s="415">
        <v>46022</v>
      </c>
      <c r="K120" s="401" t="s">
        <v>721</v>
      </c>
      <c r="L120" s="411" t="s">
        <v>1167</v>
      </c>
      <c r="M120" s="401" t="s">
        <v>791</v>
      </c>
      <c r="N120" s="393" t="s">
        <v>41</v>
      </c>
      <c r="O120" s="393"/>
      <c r="P120" s="404"/>
      <c r="Q120" s="401"/>
      <c r="R120" s="401"/>
    </row>
    <row r="121" spans="1:18" ht="20.25" customHeight="1">
      <c r="A121" s="401"/>
      <c r="B121" s="497" t="s">
        <v>2522</v>
      </c>
      <c r="C121" s="508"/>
      <c r="D121" s="496">
        <v>2025212215</v>
      </c>
      <c r="E121" s="393" t="s">
        <v>41</v>
      </c>
      <c r="F121" s="393" t="s">
        <v>634</v>
      </c>
      <c r="G121" s="402" t="s">
        <v>706</v>
      </c>
      <c r="H121" s="403">
        <v>45911</v>
      </c>
      <c r="I121" s="393" t="str">
        <f t="shared" ca="1" si="5"/>
        <v/>
      </c>
      <c r="J121" s="401"/>
      <c r="K121" s="401" t="s">
        <v>1171</v>
      </c>
      <c r="L121" s="401" t="s">
        <v>1172</v>
      </c>
      <c r="M121" s="401" t="s">
        <v>791</v>
      </c>
      <c r="N121" s="393" t="s">
        <v>41</v>
      </c>
      <c r="O121" s="393"/>
      <c r="P121" s="404"/>
      <c r="Q121" s="401"/>
      <c r="R121" s="401"/>
    </row>
    <row r="122" spans="1:18" ht="20.25" customHeight="1">
      <c r="A122" s="401"/>
      <c r="B122" s="497" t="s">
        <v>1236</v>
      </c>
      <c r="C122" s="508"/>
      <c r="D122" s="496">
        <v>2025212215</v>
      </c>
      <c r="E122" s="393" t="s">
        <v>41</v>
      </c>
      <c r="F122" s="393" t="s">
        <v>631</v>
      </c>
      <c r="G122" s="408" t="s">
        <v>2305</v>
      </c>
      <c r="H122" s="403">
        <v>45911</v>
      </c>
      <c r="I122" s="393">
        <f t="shared" ca="1" si="5"/>
        <v>116</v>
      </c>
      <c r="J122" s="401"/>
      <c r="K122" s="401" t="s">
        <v>222</v>
      </c>
      <c r="L122" s="401" t="s">
        <v>1173</v>
      </c>
      <c r="M122" s="401" t="s">
        <v>741</v>
      </c>
      <c r="N122" s="393" t="s">
        <v>41</v>
      </c>
      <c r="O122" s="393"/>
      <c r="P122" s="404"/>
      <c r="Q122" s="401"/>
      <c r="R122" s="401"/>
    </row>
    <row r="123" spans="1:18" ht="20.25" customHeight="1">
      <c r="A123" s="401"/>
      <c r="B123" s="497" t="s">
        <v>1236</v>
      </c>
      <c r="C123" s="508"/>
      <c r="D123" s="496">
        <v>2025212215</v>
      </c>
      <c r="E123" s="393" t="s">
        <v>41</v>
      </c>
      <c r="F123" s="393" t="s">
        <v>638</v>
      </c>
      <c r="G123" s="408" t="s">
        <v>2305</v>
      </c>
      <c r="H123" s="403">
        <v>45911</v>
      </c>
      <c r="I123" s="393">
        <f t="shared" ca="1" si="5"/>
        <v>116</v>
      </c>
      <c r="J123" s="401"/>
      <c r="K123" s="401" t="s">
        <v>2583</v>
      </c>
      <c r="L123" s="401" t="s">
        <v>2201</v>
      </c>
      <c r="M123" s="401" t="s">
        <v>741</v>
      </c>
      <c r="N123" s="393" t="s">
        <v>41</v>
      </c>
      <c r="O123" s="393"/>
      <c r="P123" s="404"/>
      <c r="Q123" s="401"/>
      <c r="R123" s="401"/>
    </row>
    <row r="124" spans="1:18" ht="20.25" customHeight="1">
      <c r="A124" s="401"/>
      <c r="B124" s="497" t="s">
        <v>1236</v>
      </c>
      <c r="C124" s="508"/>
      <c r="D124" s="496">
        <v>2025212215</v>
      </c>
      <c r="E124" s="393" t="s">
        <v>41</v>
      </c>
      <c r="F124" s="393" t="s">
        <v>653</v>
      </c>
      <c r="G124" s="408" t="s">
        <v>2305</v>
      </c>
      <c r="H124" s="403">
        <v>45911</v>
      </c>
      <c r="I124" s="393">
        <f t="shared" ca="1" si="5"/>
        <v>116</v>
      </c>
      <c r="J124" s="401"/>
      <c r="K124" s="401" t="s">
        <v>721</v>
      </c>
      <c r="L124" s="401" t="s">
        <v>1176</v>
      </c>
      <c r="M124" s="401" t="s">
        <v>741</v>
      </c>
      <c r="N124" s="393" t="s">
        <v>41</v>
      </c>
      <c r="O124" s="393"/>
      <c r="P124" s="404"/>
      <c r="Q124" s="401"/>
      <c r="R124" s="401"/>
    </row>
    <row r="125" spans="1:18" ht="20.25" customHeight="1">
      <c r="A125" s="401"/>
      <c r="B125" s="515" t="s">
        <v>2202</v>
      </c>
      <c r="C125" s="529" t="s">
        <v>2486</v>
      </c>
      <c r="D125" s="431">
        <v>2025212407</v>
      </c>
      <c r="E125" s="393" t="s">
        <v>41</v>
      </c>
      <c r="F125" s="393" t="s">
        <v>634</v>
      </c>
      <c r="G125" s="408" t="s">
        <v>2305</v>
      </c>
      <c r="H125" s="403">
        <v>45911</v>
      </c>
      <c r="I125" s="393">
        <f t="shared" ca="1" si="5"/>
        <v>116</v>
      </c>
      <c r="J125" s="401"/>
      <c r="K125" s="401" t="s">
        <v>1181</v>
      </c>
      <c r="L125" s="432" t="s">
        <v>1182</v>
      </c>
      <c r="M125" s="401" t="s">
        <v>849</v>
      </c>
      <c r="N125" s="393" t="s">
        <v>41</v>
      </c>
      <c r="O125" s="393"/>
      <c r="P125" s="404"/>
      <c r="Q125" s="401"/>
      <c r="R125" s="401"/>
    </row>
    <row r="126" spans="1:18" ht="20.25" customHeight="1">
      <c r="A126" s="401"/>
      <c r="B126" s="497" t="s">
        <v>2522</v>
      </c>
      <c r="C126" s="508"/>
      <c r="D126" s="496">
        <v>2025212443</v>
      </c>
      <c r="E126" s="393" t="s">
        <v>41</v>
      </c>
      <c r="F126" s="393" t="s">
        <v>634</v>
      </c>
      <c r="G126" s="408" t="s">
        <v>2305</v>
      </c>
      <c r="H126" s="403">
        <v>45911</v>
      </c>
      <c r="I126" s="393">
        <f t="shared" ca="1" si="5"/>
        <v>116</v>
      </c>
      <c r="J126" s="401"/>
      <c r="K126" s="401" t="s">
        <v>1185</v>
      </c>
      <c r="L126" s="401" t="s">
        <v>1186</v>
      </c>
      <c r="M126" s="401" t="s">
        <v>791</v>
      </c>
      <c r="N126" s="393" t="s">
        <v>41</v>
      </c>
      <c r="O126" s="393"/>
      <c r="P126" s="404"/>
      <c r="Q126" s="401"/>
      <c r="R126" s="401"/>
    </row>
    <row r="127" spans="1:18" ht="20.25" customHeight="1">
      <c r="A127" s="401"/>
      <c r="B127" s="497" t="s">
        <v>2522</v>
      </c>
      <c r="C127" s="508"/>
      <c r="D127" s="496">
        <v>2025212443</v>
      </c>
      <c r="E127" s="393" t="s">
        <v>41</v>
      </c>
      <c r="F127" s="393" t="s">
        <v>631</v>
      </c>
      <c r="G127" s="408" t="s">
        <v>2305</v>
      </c>
      <c r="H127" s="403">
        <v>45911</v>
      </c>
      <c r="I127" s="393">
        <f t="shared" ca="1" si="5"/>
        <v>116</v>
      </c>
      <c r="J127" s="401"/>
      <c r="K127" s="401" t="s">
        <v>228</v>
      </c>
      <c r="L127" s="401" t="s">
        <v>1187</v>
      </c>
      <c r="M127" s="401" t="s">
        <v>791</v>
      </c>
      <c r="N127" s="393" t="s">
        <v>41</v>
      </c>
      <c r="O127" s="393"/>
      <c r="P127" s="404"/>
      <c r="Q127" s="401"/>
      <c r="R127" s="401"/>
    </row>
    <row r="128" spans="1:18" ht="20.25" customHeight="1">
      <c r="A128" s="401"/>
      <c r="B128" s="497" t="s">
        <v>2522</v>
      </c>
      <c r="C128" s="508"/>
      <c r="D128" s="496">
        <v>2025212443</v>
      </c>
      <c r="E128" s="393" t="s">
        <v>41</v>
      </c>
      <c r="F128" s="393" t="s">
        <v>653</v>
      </c>
      <c r="G128" s="408" t="s">
        <v>2305</v>
      </c>
      <c r="H128" s="403">
        <v>45911</v>
      </c>
      <c r="I128" s="393">
        <f t="shared" ca="1" si="5"/>
        <v>116</v>
      </c>
      <c r="J128" s="401"/>
      <c r="K128" s="401" t="s">
        <v>721</v>
      </c>
      <c r="L128" s="401" t="s">
        <v>1188</v>
      </c>
      <c r="M128" s="401" t="s">
        <v>791</v>
      </c>
      <c r="N128" s="393" t="s">
        <v>41</v>
      </c>
      <c r="O128" s="393"/>
      <c r="P128" s="404"/>
      <c r="Q128" s="401"/>
      <c r="R128" s="401"/>
    </row>
    <row r="129" spans="1:18" ht="20.25" customHeight="1">
      <c r="A129" s="401"/>
      <c r="B129" s="497" t="s">
        <v>721</v>
      </c>
      <c r="C129" s="508"/>
      <c r="D129" s="496">
        <v>2025212467</v>
      </c>
      <c r="E129" s="393" t="s">
        <v>41</v>
      </c>
      <c r="F129" s="393" t="s">
        <v>634</v>
      </c>
      <c r="G129" s="408" t="s">
        <v>2305</v>
      </c>
      <c r="H129" s="403">
        <v>45911</v>
      </c>
      <c r="I129" s="393">
        <f t="shared" ca="1" si="5"/>
        <v>116</v>
      </c>
      <c r="J129" s="401"/>
      <c r="K129" s="401" t="s">
        <v>1192</v>
      </c>
      <c r="L129" s="401" t="s">
        <v>1193</v>
      </c>
      <c r="M129" s="401" t="s">
        <v>736</v>
      </c>
      <c r="N129" s="393" t="s">
        <v>41</v>
      </c>
      <c r="O129" s="393"/>
      <c r="P129" s="404"/>
      <c r="Q129" s="401"/>
      <c r="R129" s="401"/>
    </row>
    <row r="130" spans="1:18" ht="20.25" customHeight="1">
      <c r="A130" s="401"/>
      <c r="B130" s="497" t="s">
        <v>721</v>
      </c>
      <c r="C130" s="508"/>
      <c r="D130" s="496">
        <v>2025212467</v>
      </c>
      <c r="E130" s="393" t="s">
        <v>41</v>
      </c>
      <c r="F130" s="393" t="s">
        <v>631</v>
      </c>
      <c r="G130" s="408" t="s">
        <v>2305</v>
      </c>
      <c r="H130" s="403">
        <v>45911</v>
      </c>
      <c r="I130" s="393">
        <f t="shared" ca="1" si="5"/>
        <v>116</v>
      </c>
      <c r="J130" s="401"/>
      <c r="K130" s="401" t="s">
        <v>231</v>
      </c>
      <c r="L130" s="401" t="s">
        <v>1194</v>
      </c>
      <c r="M130" s="401" t="s">
        <v>736</v>
      </c>
      <c r="N130" s="393" t="s">
        <v>41</v>
      </c>
      <c r="O130" s="393"/>
      <c r="P130" s="404"/>
      <c r="Q130" s="401"/>
      <c r="R130" s="401"/>
    </row>
    <row r="131" spans="1:18" ht="20.25" customHeight="1">
      <c r="A131" s="401"/>
      <c r="B131" s="497" t="s">
        <v>721</v>
      </c>
      <c r="C131" s="508"/>
      <c r="D131" s="496">
        <v>2025212467</v>
      </c>
      <c r="E131" s="393" t="s">
        <v>41</v>
      </c>
      <c r="F131" s="393" t="s">
        <v>653</v>
      </c>
      <c r="G131" s="408" t="s">
        <v>2305</v>
      </c>
      <c r="H131" s="403">
        <v>45911</v>
      </c>
      <c r="I131" s="393">
        <f t="shared" ca="1" si="5"/>
        <v>116</v>
      </c>
      <c r="J131" s="401"/>
      <c r="K131" s="401" t="s">
        <v>721</v>
      </c>
      <c r="L131" s="401" t="s">
        <v>1195</v>
      </c>
      <c r="M131" s="401" t="s">
        <v>736</v>
      </c>
      <c r="N131" s="393" t="s">
        <v>41</v>
      </c>
      <c r="O131" s="393"/>
      <c r="P131" s="404"/>
      <c r="Q131" s="401"/>
      <c r="R131" s="401"/>
    </row>
    <row r="132" spans="1:18" ht="20.25" customHeight="1">
      <c r="A132" s="401"/>
      <c r="B132" s="497" t="s">
        <v>2192</v>
      </c>
      <c r="C132" s="508"/>
      <c r="D132" s="496">
        <v>2025212380</v>
      </c>
      <c r="E132" s="393" t="s">
        <v>41</v>
      </c>
      <c r="F132" s="393" t="s">
        <v>634</v>
      </c>
      <c r="G132" s="402" t="s">
        <v>706</v>
      </c>
      <c r="H132" s="403" t="s">
        <v>2459</v>
      </c>
      <c r="I132" s="393" t="str">
        <f t="shared" ca="1" si="5"/>
        <v/>
      </c>
      <c r="J132" s="401"/>
      <c r="K132" s="401" t="s">
        <v>1198</v>
      </c>
      <c r="L132" s="401" t="s">
        <v>2584</v>
      </c>
      <c r="M132" s="401" t="s">
        <v>774</v>
      </c>
      <c r="N132" s="393" t="s">
        <v>41</v>
      </c>
      <c r="O132" s="393"/>
      <c r="P132" s="404"/>
      <c r="Q132" s="401"/>
      <c r="R132" s="401"/>
    </row>
    <row r="133" spans="1:18" ht="20.25" customHeight="1">
      <c r="A133" s="401"/>
      <c r="B133" s="497" t="s">
        <v>2185</v>
      </c>
      <c r="C133" s="508"/>
      <c r="D133" s="496">
        <v>2025212380</v>
      </c>
      <c r="E133" s="393" t="s">
        <v>41</v>
      </c>
      <c r="F133" s="393" t="s">
        <v>631</v>
      </c>
      <c r="G133" s="412" t="s">
        <v>706</v>
      </c>
      <c r="H133" s="403" t="s">
        <v>2459</v>
      </c>
      <c r="I133" s="393" t="e">
        <f t="shared" ca="1" si="5"/>
        <v>#VALUE!</v>
      </c>
      <c r="J133" s="401" t="s">
        <v>2396</v>
      </c>
      <c r="K133" s="401" t="s">
        <v>234</v>
      </c>
      <c r="L133" s="411" t="s">
        <v>1200</v>
      </c>
      <c r="M133" s="401" t="s">
        <v>709</v>
      </c>
      <c r="N133" s="393" t="s">
        <v>41</v>
      </c>
      <c r="O133" s="393"/>
      <c r="P133" s="404"/>
      <c r="Q133" s="401"/>
      <c r="R133" s="401"/>
    </row>
    <row r="134" spans="1:18" ht="20.25" customHeight="1">
      <c r="A134" s="401"/>
      <c r="B134" s="497" t="s">
        <v>2192</v>
      </c>
      <c r="C134" s="508"/>
      <c r="D134" s="496">
        <v>2025212380</v>
      </c>
      <c r="E134" s="393" t="s">
        <v>41</v>
      </c>
      <c r="F134" s="393" t="s">
        <v>653</v>
      </c>
      <c r="G134" s="402" t="s">
        <v>706</v>
      </c>
      <c r="H134" s="403" t="s">
        <v>2459</v>
      </c>
      <c r="I134" s="393" t="str">
        <f t="shared" ca="1" si="5"/>
        <v/>
      </c>
      <c r="J134" s="401"/>
      <c r="K134" s="401" t="s">
        <v>721</v>
      </c>
      <c r="L134" s="401" t="s">
        <v>1201</v>
      </c>
      <c r="M134" s="401" t="s">
        <v>774</v>
      </c>
      <c r="N134" s="393" t="s">
        <v>41</v>
      </c>
      <c r="O134" s="393"/>
      <c r="P134" s="404"/>
      <c r="Q134" s="401"/>
      <c r="R134" s="401"/>
    </row>
    <row r="135" spans="1:18" ht="20.25" customHeight="1">
      <c r="A135" s="401"/>
      <c r="B135" s="497" t="s">
        <v>2476</v>
      </c>
      <c r="C135" s="508"/>
      <c r="D135" s="496">
        <v>2025212399</v>
      </c>
      <c r="E135" s="393" t="s">
        <v>41</v>
      </c>
      <c r="F135" s="393" t="s">
        <v>634</v>
      </c>
      <c r="G135" s="412" t="s">
        <v>706</v>
      </c>
      <c r="H135" s="403" t="s">
        <v>2459</v>
      </c>
      <c r="I135" s="393" t="e">
        <f t="shared" ca="1" si="5"/>
        <v>#VALUE!</v>
      </c>
      <c r="J135" s="556">
        <v>46381</v>
      </c>
      <c r="K135" s="401" t="s">
        <v>1204</v>
      </c>
      <c r="L135" s="401" t="s">
        <v>1205</v>
      </c>
      <c r="M135" s="401" t="s">
        <v>2585</v>
      </c>
      <c r="N135" s="393" t="s">
        <v>2586</v>
      </c>
      <c r="O135" s="393"/>
      <c r="P135" s="404"/>
      <c r="Q135" s="401"/>
      <c r="R135" s="401"/>
    </row>
    <row r="136" spans="1:18" ht="20.25" customHeight="1">
      <c r="A136" s="401"/>
      <c r="B136" s="504" t="s">
        <v>2192</v>
      </c>
      <c r="C136" s="508"/>
      <c r="D136" s="496">
        <v>2025212399</v>
      </c>
      <c r="E136" s="393" t="s">
        <v>41</v>
      </c>
      <c r="F136" s="393" t="s">
        <v>631</v>
      </c>
      <c r="G136" s="402" t="s">
        <v>706</v>
      </c>
      <c r="H136" s="403" t="s">
        <v>2459</v>
      </c>
      <c r="I136" s="393" t="str">
        <f t="shared" ca="1" si="5"/>
        <v/>
      </c>
      <c r="J136" s="401"/>
      <c r="K136" s="401" t="s">
        <v>237</v>
      </c>
      <c r="L136" s="401" t="s">
        <v>1206</v>
      </c>
      <c r="M136" s="401" t="s">
        <v>2585</v>
      </c>
      <c r="N136" s="393" t="s">
        <v>41</v>
      </c>
      <c r="O136" s="393"/>
      <c r="P136" s="404"/>
      <c r="Q136" s="401"/>
      <c r="R136" s="401"/>
    </row>
    <row r="137" spans="1:18" ht="20.25" customHeight="1">
      <c r="A137" s="401"/>
      <c r="B137" s="504" t="s">
        <v>2192</v>
      </c>
      <c r="C137" s="508"/>
      <c r="D137" s="496">
        <v>2025212399</v>
      </c>
      <c r="E137" s="393" t="s">
        <v>41</v>
      </c>
      <c r="F137" s="393" t="s">
        <v>653</v>
      </c>
      <c r="G137" s="402" t="s">
        <v>706</v>
      </c>
      <c r="H137" s="403" t="s">
        <v>2459</v>
      </c>
      <c r="I137" s="393" t="str">
        <f t="shared" ca="1" si="5"/>
        <v/>
      </c>
      <c r="J137" s="401"/>
      <c r="K137" s="401" t="s">
        <v>721</v>
      </c>
      <c r="L137" s="401" t="s">
        <v>1208</v>
      </c>
      <c r="M137" s="401" t="s">
        <v>2585</v>
      </c>
      <c r="N137" s="393" t="s">
        <v>41</v>
      </c>
      <c r="O137" s="393"/>
      <c r="P137" s="404"/>
      <c r="Q137" s="401"/>
      <c r="R137" s="401"/>
    </row>
    <row r="138" spans="1:18" ht="20.25" customHeight="1">
      <c r="A138" s="401"/>
      <c r="B138" s="497" t="s">
        <v>2587</v>
      </c>
      <c r="C138" s="508"/>
      <c r="D138" s="496">
        <v>2025212401</v>
      </c>
      <c r="E138" s="393" t="s">
        <v>41</v>
      </c>
      <c r="F138" s="393" t="s">
        <v>634</v>
      </c>
      <c r="G138" s="412" t="s">
        <v>706</v>
      </c>
      <c r="H138" s="403">
        <v>45941</v>
      </c>
      <c r="I138" s="393" t="e">
        <f t="shared" ca="1" si="5"/>
        <v>#VALUE!</v>
      </c>
      <c r="J138" s="401" t="s">
        <v>2588</v>
      </c>
      <c r="K138" s="401" t="s">
        <v>1212</v>
      </c>
      <c r="L138" s="401" t="s">
        <v>1213</v>
      </c>
      <c r="M138" s="401" t="s">
        <v>709</v>
      </c>
      <c r="N138" s="403">
        <v>45669</v>
      </c>
      <c r="O138" s="393"/>
      <c r="P138" s="404"/>
      <c r="Q138" s="401"/>
      <c r="R138" s="401"/>
    </row>
    <row r="139" spans="1:18" ht="20.25" customHeight="1">
      <c r="A139" s="401"/>
      <c r="B139" s="497" t="s">
        <v>2587</v>
      </c>
      <c r="C139" s="508"/>
      <c r="D139" s="496">
        <v>2025212401</v>
      </c>
      <c r="E139" s="393" t="s">
        <v>41</v>
      </c>
      <c r="F139" s="393" t="s">
        <v>631</v>
      </c>
      <c r="G139" s="412" t="s">
        <v>706</v>
      </c>
      <c r="H139" s="403">
        <v>45941</v>
      </c>
      <c r="I139" s="393" t="e">
        <f t="shared" ca="1" si="5"/>
        <v>#VALUE!</v>
      </c>
      <c r="J139" s="401" t="s">
        <v>2588</v>
      </c>
      <c r="K139" s="401" t="s">
        <v>240</v>
      </c>
      <c r="L139" s="401" t="s">
        <v>1214</v>
      </c>
      <c r="M139" s="401" t="s">
        <v>709</v>
      </c>
      <c r="N139" s="403">
        <v>45669</v>
      </c>
      <c r="O139" s="393" t="s">
        <v>2589</v>
      </c>
      <c r="P139" s="404"/>
      <c r="Q139" s="401"/>
      <c r="R139" s="401"/>
    </row>
    <row r="140" spans="1:18" ht="20.25" customHeight="1">
      <c r="A140" s="401"/>
      <c r="B140" s="497" t="s">
        <v>2587</v>
      </c>
      <c r="C140" s="508"/>
      <c r="D140" s="496">
        <v>2025212401</v>
      </c>
      <c r="E140" s="393" t="s">
        <v>41</v>
      </c>
      <c r="F140" s="393" t="s">
        <v>638</v>
      </c>
      <c r="G140" s="412" t="s">
        <v>706</v>
      </c>
      <c r="H140" s="403">
        <v>45941</v>
      </c>
      <c r="I140" s="393" t="e">
        <f t="shared" ca="1" si="5"/>
        <v>#VALUE!</v>
      </c>
      <c r="J140" s="401" t="s">
        <v>2588</v>
      </c>
      <c r="K140" s="401" t="s">
        <v>2590</v>
      </c>
      <c r="L140" s="401" t="s">
        <v>240</v>
      </c>
      <c r="M140" s="401" t="s">
        <v>709</v>
      </c>
      <c r="N140" s="403">
        <v>45669</v>
      </c>
      <c r="O140" s="393"/>
      <c r="P140" s="404"/>
      <c r="Q140" s="401"/>
      <c r="R140" s="401"/>
    </row>
    <row r="141" spans="1:18" ht="20.25" customHeight="1">
      <c r="A141" s="401"/>
      <c r="B141" s="497" t="s">
        <v>2587</v>
      </c>
      <c r="C141" s="508"/>
      <c r="D141" s="496">
        <v>2025212401</v>
      </c>
      <c r="E141" s="393" t="s">
        <v>41</v>
      </c>
      <c r="F141" s="393" t="s">
        <v>653</v>
      </c>
      <c r="G141" s="412" t="s">
        <v>706</v>
      </c>
      <c r="H141" s="403">
        <v>45941</v>
      </c>
      <c r="I141" s="393" t="e">
        <f t="shared" ca="1" si="5"/>
        <v>#VALUE!</v>
      </c>
      <c r="J141" s="401" t="s">
        <v>2588</v>
      </c>
      <c r="K141" s="401" t="s">
        <v>721</v>
      </c>
      <c r="L141" s="401" t="s">
        <v>1215</v>
      </c>
      <c r="M141" s="401" t="s">
        <v>709</v>
      </c>
      <c r="N141" s="403">
        <v>45669</v>
      </c>
      <c r="O141" s="393"/>
      <c r="P141" s="404"/>
      <c r="Q141" s="401"/>
      <c r="R141" s="401"/>
    </row>
    <row r="142" spans="1:18" ht="20.25" customHeight="1">
      <c r="A142" s="401"/>
      <c r="B142" s="524" t="s">
        <v>2591</v>
      </c>
      <c r="C142" s="530"/>
      <c r="D142" s="431">
        <v>2025212349</v>
      </c>
      <c r="E142" s="393" t="s">
        <v>41</v>
      </c>
      <c r="F142" s="393" t="s">
        <v>634</v>
      </c>
      <c r="G142" s="412" t="s">
        <v>706</v>
      </c>
      <c r="H142" s="403">
        <v>45941</v>
      </c>
      <c r="I142" s="393" t="e">
        <f t="shared" ca="1" si="5"/>
        <v>#VALUE!</v>
      </c>
      <c r="J142" s="401" t="s">
        <v>2588</v>
      </c>
      <c r="K142" s="411" t="s">
        <v>2592</v>
      </c>
      <c r="L142" s="401" t="s">
        <v>2593</v>
      </c>
      <c r="M142" s="401" t="s">
        <v>915</v>
      </c>
      <c r="N142" s="393" t="s">
        <v>41</v>
      </c>
      <c r="O142" s="393"/>
      <c r="P142" s="404"/>
      <c r="Q142" s="401"/>
      <c r="R142" s="401"/>
    </row>
    <row r="143" spans="1:18" ht="31.5" customHeight="1">
      <c r="A143" s="401"/>
      <c r="B143" s="524" t="s">
        <v>2594</v>
      </c>
      <c r="C143" s="530"/>
      <c r="D143" s="431">
        <v>2025212349</v>
      </c>
      <c r="E143" s="393" t="s">
        <v>41</v>
      </c>
      <c r="F143" s="393" t="s">
        <v>631</v>
      </c>
      <c r="G143" s="558" t="s">
        <v>721</v>
      </c>
      <c r="H143" s="403">
        <v>45941</v>
      </c>
      <c r="I143" s="393">
        <f t="shared" ca="1" si="5"/>
        <v>86</v>
      </c>
      <c r="J143" s="401"/>
      <c r="K143" s="401" t="s">
        <v>243</v>
      </c>
      <c r="L143" s="411" t="s">
        <v>2595</v>
      </c>
      <c r="M143" s="401" t="s">
        <v>915</v>
      </c>
      <c r="N143" s="393" t="s">
        <v>41</v>
      </c>
      <c r="O143" s="393"/>
      <c r="P143" s="404"/>
      <c r="Q143" s="401"/>
      <c r="R143" s="401"/>
    </row>
    <row r="144" spans="1:18" ht="31.5" customHeight="1">
      <c r="A144" s="401"/>
      <c r="B144" s="524" t="s">
        <v>2594</v>
      </c>
      <c r="C144" s="530"/>
      <c r="D144" s="431">
        <v>2025212349</v>
      </c>
      <c r="E144" s="393"/>
      <c r="F144" s="393" t="s">
        <v>638</v>
      </c>
      <c r="G144" s="412" t="s">
        <v>706</v>
      </c>
      <c r="H144" s="403">
        <v>45941</v>
      </c>
      <c r="I144" s="393"/>
      <c r="J144" s="415">
        <v>46054</v>
      </c>
      <c r="K144" s="401" t="s">
        <v>2596</v>
      </c>
      <c r="L144" s="411" t="s">
        <v>2597</v>
      </c>
      <c r="M144" s="411" t="s">
        <v>2597</v>
      </c>
      <c r="N144" s="393"/>
      <c r="O144" s="393"/>
      <c r="P144" s="404"/>
      <c r="Q144" s="401"/>
      <c r="R144" s="401"/>
    </row>
    <row r="145" spans="1:18" ht="20.25" customHeight="1">
      <c r="A145" s="401"/>
      <c r="B145" s="524" t="s">
        <v>2591</v>
      </c>
      <c r="C145" s="530"/>
      <c r="D145" s="431">
        <v>2025212349</v>
      </c>
      <c r="E145" s="393" t="s">
        <v>41</v>
      </c>
      <c r="F145" s="393" t="s">
        <v>653</v>
      </c>
      <c r="G145" s="412" t="s">
        <v>706</v>
      </c>
      <c r="H145" s="403">
        <v>45941</v>
      </c>
      <c r="I145" s="393" t="e">
        <f t="shared" ref="I145:I176" ca="1" si="6">IF(H145="", "", IF(OR(G145="Completed", G145="STOP"), IF(J145="", "", J145-H145), TODAY()-H145))</f>
        <v>#VALUE!</v>
      </c>
      <c r="J145" s="401" t="s">
        <v>2588</v>
      </c>
      <c r="K145" s="401" t="s">
        <v>721</v>
      </c>
      <c r="L145" s="401" t="s">
        <v>1221</v>
      </c>
      <c r="M145" s="401" t="s">
        <v>915</v>
      </c>
      <c r="N145" s="393" t="s">
        <v>41</v>
      </c>
      <c r="O145" s="393"/>
      <c r="P145" s="404"/>
      <c r="Q145" s="401"/>
      <c r="R145" s="401"/>
    </row>
    <row r="146" spans="1:18" ht="20.25" customHeight="1">
      <c r="A146" s="401"/>
      <c r="B146" s="515" t="s">
        <v>2598</v>
      </c>
      <c r="C146" s="530" t="s">
        <v>2599</v>
      </c>
      <c r="D146" s="431">
        <v>2025212447</v>
      </c>
      <c r="E146" s="393" t="s">
        <v>41</v>
      </c>
      <c r="F146" s="393" t="s">
        <v>634</v>
      </c>
      <c r="G146" s="412" t="s">
        <v>706</v>
      </c>
      <c r="H146" s="403" t="s">
        <v>2459</v>
      </c>
      <c r="I146" s="393" t="e">
        <f t="shared" ca="1" si="6"/>
        <v>#VALUE!</v>
      </c>
      <c r="J146" s="556">
        <v>46381</v>
      </c>
      <c r="K146" s="401" t="s">
        <v>1225</v>
      </c>
      <c r="L146" s="401" t="s">
        <v>1226</v>
      </c>
      <c r="M146" s="401" t="s">
        <v>774</v>
      </c>
      <c r="N146" s="403">
        <v>45700</v>
      </c>
      <c r="O146" s="393"/>
      <c r="P146" s="404"/>
      <c r="Q146" s="401"/>
      <c r="R146" s="401"/>
    </row>
    <row r="147" spans="1:18" ht="20.25" customHeight="1">
      <c r="A147" s="401"/>
      <c r="B147" s="515" t="s">
        <v>2600</v>
      </c>
      <c r="C147" s="529"/>
      <c r="D147" s="431">
        <v>2025212447</v>
      </c>
      <c r="E147" s="393" t="s">
        <v>41</v>
      </c>
      <c r="F147" s="393" t="s">
        <v>638</v>
      </c>
      <c r="G147" s="412" t="s">
        <v>706</v>
      </c>
      <c r="H147" s="403" t="s">
        <v>2459</v>
      </c>
      <c r="I147" s="393" t="str">
        <f t="shared" ca="1" si="6"/>
        <v/>
      </c>
      <c r="J147" s="401"/>
      <c r="K147" s="401" t="s">
        <v>2601</v>
      </c>
      <c r="L147" s="401" t="s">
        <v>721</v>
      </c>
      <c r="M147" s="401" t="s">
        <v>871</v>
      </c>
      <c r="N147" s="393" t="s">
        <v>41</v>
      </c>
      <c r="O147" s="393" t="s">
        <v>2602</v>
      </c>
      <c r="P147" s="404"/>
      <c r="Q147" s="401"/>
      <c r="R147" s="401"/>
    </row>
    <row r="148" spans="1:18" ht="20.25" customHeight="1">
      <c r="A148" s="401"/>
      <c r="B148" s="515" t="s">
        <v>2598</v>
      </c>
      <c r="C148" s="529"/>
      <c r="D148" s="431">
        <v>2025212447</v>
      </c>
      <c r="E148" s="393" t="s">
        <v>41</v>
      </c>
      <c r="F148" s="393" t="s">
        <v>653</v>
      </c>
      <c r="G148" s="412" t="s">
        <v>706</v>
      </c>
      <c r="H148" s="403" t="s">
        <v>2459</v>
      </c>
      <c r="I148" s="393" t="e">
        <f t="shared" ca="1" si="6"/>
        <v>#VALUE!</v>
      </c>
      <c r="J148" s="556">
        <v>46381</v>
      </c>
      <c r="K148" s="401" t="s">
        <v>721</v>
      </c>
      <c r="L148" s="401" t="s">
        <v>1228</v>
      </c>
      <c r="M148" s="401" t="s">
        <v>774</v>
      </c>
      <c r="N148" s="403">
        <v>45700</v>
      </c>
      <c r="O148" s="393"/>
      <c r="P148" s="404"/>
      <c r="Q148" s="401"/>
      <c r="R148" s="401"/>
    </row>
    <row r="149" spans="1:18" ht="20.25" customHeight="1">
      <c r="A149" s="401"/>
      <c r="B149" s="502" t="s">
        <v>2480</v>
      </c>
      <c r="C149" s="531"/>
      <c r="D149" s="496">
        <v>2025212533</v>
      </c>
      <c r="E149" s="393" t="s">
        <v>41</v>
      </c>
      <c r="F149" s="393" t="s">
        <v>634</v>
      </c>
      <c r="G149" s="402" t="s">
        <v>706</v>
      </c>
      <c r="H149" s="403"/>
      <c r="I149" s="393" t="str">
        <f t="shared" ca="1" si="6"/>
        <v/>
      </c>
      <c r="J149" s="415">
        <v>46023</v>
      </c>
      <c r="K149" s="401" t="s">
        <v>1245</v>
      </c>
      <c r="L149" s="401" t="s">
        <v>1246</v>
      </c>
      <c r="M149" s="401" t="s">
        <v>791</v>
      </c>
      <c r="N149" s="393" t="s">
        <v>41</v>
      </c>
      <c r="O149" s="393"/>
      <c r="P149" s="404"/>
      <c r="Q149" s="401"/>
      <c r="R149" s="401"/>
    </row>
    <row r="150" spans="1:18" ht="20.25" customHeight="1">
      <c r="A150" s="401"/>
      <c r="B150" s="502" t="s">
        <v>2603</v>
      </c>
      <c r="C150" s="531"/>
      <c r="D150" s="496">
        <v>2025212533</v>
      </c>
      <c r="E150" s="393" t="s">
        <v>41</v>
      </c>
      <c r="F150" s="393" t="s">
        <v>631</v>
      </c>
      <c r="G150" s="412" t="s">
        <v>706</v>
      </c>
      <c r="H150" s="403" t="s">
        <v>2604</v>
      </c>
      <c r="I150" s="393" t="e">
        <f t="shared" ca="1" si="6"/>
        <v>#VALUE!</v>
      </c>
      <c r="J150" s="401" t="s">
        <v>2396</v>
      </c>
      <c r="K150" s="411" t="s">
        <v>2605</v>
      </c>
      <c r="L150" s="411" t="s">
        <v>1247</v>
      </c>
      <c r="M150" s="401" t="s">
        <v>741</v>
      </c>
      <c r="N150" s="393" t="s">
        <v>41</v>
      </c>
      <c r="O150" s="409" t="s">
        <v>2521</v>
      </c>
      <c r="P150" s="404"/>
      <c r="Q150" s="401"/>
      <c r="R150" s="401"/>
    </row>
    <row r="151" spans="1:18" ht="20.25" customHeight="1">
      <c r="A151" s="401"/>
      <c r="B151" s="502" t="s">
        <v>2480</v>
      </c>
      <c r="C151" s="531"/>
      <c r="D151" s="496">
        <v>2025212533</v>
      </c>
      <c r="E151" s="393" t="s">
        <v>41</v>
      </c>
      <c r="F151" s="393" t="s">
        <v>653</v>
      </c>
      <c r="G151" s="408" t="s">
        <v>2305</v>
      </c>
      <c r="H151" s="403"/>
      <c r="I151" s="393" t="str">
        <f t="shared" ca="1" si="6"/>
        <v/>
      </c>
      <c r="J151" s="401"/>
      <c r="K151" s="401"/>
      <c r="L151" s="411" t="s">
        <v>2606</v>
      </c>
      <c r="M151" s="401" t="s">
        <v>791</v>
      </c>
      <c r="N151" s="393" t="s">
        <v>41</v>
      </c>
      <c r="O151" s="393"/>
      <c r="P151" s="404"/>
      <c r="Q151" s="401"/>
      <c r="R151" s="401"/>
    </row>
    <row r="152" spans="1:18" s="439" customFormat="1" ht="20.25" customHeight="1">
      <c r="A152" s="433"/>
      <c r="B152" s="497" t="s">
        <v>2607</v>
      </c>
      <c r="C152" s="508"/>
      <c r="D152" s="496">
        <v>2023205098</v>
      </c>
      <c r="E152" s="434" t="s">
        <v>41</v>
      </c>
      <c r="F152" s="435" t="s">
        <v>2218</v>
      </c>
      <c r="G152" s="416" t="s">
        <v>747</v>
      </c>
      <c r="H152" s="436" t="s">
        <v>2604</v>
      </c>
      <c r="I152" s="393" t="str">
        <f t="shared" ca="1" si="6"/>
        <v/>
      </c>
      <c r="J152" s="433"/>
      <c r="K152" s="433" t="s">
        <v>1253</v>
      </c>
      <c r="L152" s="433" t="s">
        <v>112</v>
      </c>
      <c r="M152" s="433" t="s">
        <v>924</v>
      </c>
      <c r="N152" s="436">
        <v>45789</v>
      </c>
      <c r="O152" s="437"/>
      <c r="P152" s="438"/>
      <c r="Q152" s="433"/>
      <c r="R152" s="433"/>
    </row>
    <row r="153" spans="1:18" ht="20.25" customHeight="1">
      <c r="A153" s="401"/>
      <c r="B153" s="497" t="s">
        <v>2233</v>
      </c>
      <c r="C153" s="508"/>
      <c r="D153" s="496">
        <v>2019201744</v>
      </c>
      <c r="E153" s="393" t="s">
        <v>41</v>
      </c>
      <c r="F153" s="393" t="s">
        <v>1252</v>
      </c>
      <c r="G153" s="412" t="s">
        <v>706</v>
      </c>
      <c r="H153" s="403" t="s">
        <v>2608</v>
      </c>
      <c r="I153" s="393" t="str">
        <f t="shared" ca="1" si="6"/>
        <v/>
      </c>
      <c r="J153" s="401"/>
      <c r="K153" s="401" t="s">
        <v>1264</v>
      </c>
      <c r="L153" s="401" t="s">
        <v>1265</v>
      </c>
      <c r="M153" s="401" t="s">
        <v>871</v>
      </c>
      <c r="N153" s="403">
        <v>45789</v>
      </c>
      <c r="O153" s="393"/>
      <c r="P153" s="404"/>
      <c r="Q153" s="401"/>
      <c r="R153" s="401"/>
    </row>
    <row r="154" spans="1:18" ht="20.25" customHeight="1">
      <c r="A154" s="401"/>
      <c r="B154" s="497" t="s">
        <v>2609</v>
      </c>
      <c r="C154" s="508"/>
      <c r="D154" s="496">
        <v>2022209063</v>
      </c>
      <c r="E154" s="393" t="s">
        <v>41</v>
      </c>
      <c r="F154" s="393" t="s">
        <v>1252</v>
      </c>
      <c r="G154" s="408" t="s">
        <v>2316</v>
      </c>
      <c r="H154" s="403" t="s">
        <v>2608</v>
      </c>
      <c r="I154" s="393" t="e">
        <f t="shared" ca="1" si="6"/>
        <v>#VALUE!</v>
      </c>
      <c r="J154" s="401"/>
      <c r="K154" s="401" t="s">
        <v>1267</v>
      </c>
      <c r="L154" s="401" t="s">
        <v>1268</v>
      </c>
      <c r="M154" s="401" t="s">
        <v>963</v>
      </c>
      <c r="N154" s="393" t="s">
        <v>41</v>
      </c>
      <c r="O154" s="393"/>
      <c r="P154" s="404"/>
      <c r="Q154" s="401"/>
      <c r="R154" s="401"/>
    </row>
    <row r="155" spans="1:18" ht="20.25" customHeight="1">
      <c r="A155" s="401"/>
      <c r="B155" s="502" t="s">
        <v>2609</v>
      </c>
      <c r="C155" s="531"/>
      <c r="D155" s="496">
        <v>2017212612</v>
      </c>
      <c r="E155" s="393" t="s">
        <v>41</v>
      </c>
      <c r="F155" s="393" t="s">
        <v>1252</v>
      </c>
      <c r="G155" s="408" t="s">
        <v>2530</v>
      </c>
      <c r="H155" s="403" t="s">
        <v>2608</v>
      </c>
      <c r="I155" s="393" t="e">
        <f t="shared" ca="1" si="6"/>
        <v>#VALUE!</v>
      </c>
      <c r="J155" s="401"/>
      <c r="K155" s="401" t="s">
        <v>1274</v>
      </c>
      <c r="L155" s="401" t="s">
        <v>1275</v>
      </c>
      <c r="M155" s="401" t="s">
        <v>963</v>
      </c>
      <c r="N155" s="393" t="s">
        <v>41</v>
      </c>
      <c r="O155" s="393"/>
      <c r="P155" s="404"/>
      <c r="Q155" s="401"/>
      <c r="R155" s="401"/>
    </row>
    <row r="156" spans="1:18" ht="20.25" customHeight="1">
      <c r="A156" s="401"/>
      <c r="B156" s="497" t="s">
        <v>1031</v>
      </c>
      <c r="C156" s="508"/>
      <c r="D156" s="496">
        <v>2025212670</v>
      </c>
      <c r="E156" s="393">
        <v>2025212673</v>
      </c>
      <c r="F156" s="393" t="s">
        <v>634</v>
      </c>
      <c r="G156" s="412" t="s">
        <v>706</v>
      </c>
      <c r="H156" s="403" t="s">
        <v>2608</v>
      </c>
      <c r="I156" s="393" t="e">
        <f t="shared" ca="1" si="6"/>
        <v>#VALUE!</v>
      </c>
      <c r="J156" s="415">
        <v>45972</v>
      </c>
      <c r="K156" s="401" t="s">
        <v>1282</v>
      </c>
      <c r="L156" s="401" t="s">
        <v>1283</v>
      </c>
      <c r="M156" s="401" t="s">
        <v>849</v>
      </c>
      <c r="N156" s="393" t="s">
        <v>2610</v>
      </c>
      <c r="O156" s="393"/>
      <c r="P156" s="404"/>
      <c r="Q156" s="401"/>
      <c r="R156" s="401"/>
    </row>
    <row r="157" spans="1:18" ht="20.25" customHeight="1">
      <c r="A157" s="401"/>
      <c r="B157" s="497" t="s">
        <v>1031</v>
      </c>
      <c r="C157" s="508"/>
      <c r="D157" s="496">
        <v>2025212671</v>
      </c>
      <c r="E157" s="393">
        <v>2025212673</v>
      </c>
      <c r="F157" s="393" t="s">
        <v>634</v>
      </c>
      <c r="G157" s="412" t="s">
        <v>706</v>
      </c>
      <c r="H157" s="403" t="s">
        <v>2608</v>
      </c>
      <c r="I157" s="393" t="e">
        <f t="shared" ca="1" si="6"/>
        <v>#VALUE!</v>
      </c>
      <c r="J157" s="415">
        <v>45972</v>
      </c>
      <c r="K157" s="401" t="s">
        <v>1287</v>
      </c>
      <c r="L157" s="401" t="s">
        <v>1283</v>
      </c>
      <c r="M157" s="401" t="s">
        <v>849</v>
      </c>
      <c r="N157" s="393" t="s">
        <v>2610</v>
      </c>
      <c r="O157" s="393"/>
      <c r="P157" s="404"/>
      <c r="Q157" s="401"/>
      <c r="R157" s="401"/>
    </row>
    <row r="158" spans="1:18" ht="20.25" customHeight="1">
      <c r="A158" s="401"/>
      <c r="B158" s="497" t="s">
        <v>1031</v>
      </c>
      <c r="C158" s="508"/>
      <c r="D158" s="496">
        <v>2025212673</v>
      </c>
      <c r="E158" s="393" t="s">
        <v>41</v>
      </c>
      <c r="F158" s="393" t="s">
        <v>634</v>
      </c>
      <c r="G158" s="412" t="s">
        <v>706</v>
      </c>
      <c r="H158" s="403" t="s">
        <v>2608</v>
      </c>
      <c r="I158" s="393" t="e">
        <f t="shared" ca="1" si="6"/>
        <v>#VALUE!</v>
      </c>
      <c r="J158" s="415">
        <v>45972</v>
      </c>
      <c r="K158" s="401" t="s">
        <v>1289</v>
      </c>
      <c r="L158" s="401" t="s">
        <v>1283</v>
      </c>
      <c r="M158" s="401" t="s">
        <v>849</v>
      </c>
      <c r="N158" s="393" t="s">
        <v>2610</v>
      </c>
      <c r="O158" s="393"/>
      <c r="P158" s="404"/>
      <c r="Q158" s="401"/>
      <c r="R158" s="401"/>
    </row>
    <row r="159" spans="1:18" ht="20.25" customHeight="1">
      <c r="A159" s="401"/>
      <c r="B159" s="497" t="s">
        <v>2226</v>
      </c>
      <c r="C159" s="508"/>
      <c r="D159" s="496">
        <v>2025212673</v>
      </c>
      <c r="E159" s="393" t="s">
        <v>41</v>
      </c>
      <c r="F159" s="393" t="s">
        <v>631</v>
      </c>
      <c r="G159" s="408" t="s">
        <v>2305</v>
      </c>
      <c r="H159" s="403" t="s">
        <v>2608</v>
      </c>
      <c r="I159" s="393" t="e">
        <f t="shared" ca="1" si="6"/>
        <v>#VALUE!</v>
      </c>
      <c r="J159" s="401"/>
      <c r="K159" s="401" t="s">
        <v>280</v>
      </c>
      <c r="L159" s="401" t="s">
        <v>1284</v>
      </c>
      <c r="M159" s="401" t="s">
        <v>741</v>
      </c>
      <c r="N159" s="393" t="s">
        <v>41</v>
      </c>
      <c r="O159" s="393"/>
      <c r="P159" s="404"/>
      <c r="Q159" s="401"/>
      <c r="R159" s="401"/>
    </row>
    <row r="160" spans="1:18" ht="20.25" customHeight="1">
      <c r="A160" s="401"/>
      <c r="B160" s="497" t="s">
        <v>2226</v>
      </c>
      <c r="C160" s="508"/>
      <c r="D160" s="496">
        <v>2025212673</v>
      </c>
      <c r="E160" s="393" t="s">
        <v>41</v>
      </c>
      <c r="F160" s="393" t="s">
        <v>638</v>
      </c>
      <c r="G160" s="408" t="s">
        <v>2305</v>
      </c>
      <c r="H160" s="403" t="s">
        <v>2608</v>
      </c>
      <c r="I160" s="393" t="e">
        <f t="shared" ca="1" si="6"/>
        <v>#VALUE!</v>
      </c>
      <c r="J160" s="401"/>
      <c r="K160" s="401"/>
      <c r="L160" s="401"/>
      <c r="M160" s="401" t="s">
        <v>741</v>
      </c>
      <c r="N160" s="393" t="s">
        <v>41</v>
      </c>
      <c r="O160" s="393"/>
      <c r="P160" s="404"/>
      <c r="Q160" s="401"/>
      <c r="R160" s="401"/>
    </row>
    <row r="161" spans="1:18" ht="20.25" customHeight="1">
      <c r="A161" s="401"/>
      <c r="B161" s="504" t="s">
        <v>2192</v>
      </c>
      <c r="C161" s="508"/>
      <c r="D161" s="496">
        <v>2025212673</v>
      </c>
      <c r="E161" s="393" t="s">
        <v>41</v>
      </c>
      <c r="F161" s="393" t="s">
        <v>653</v>
      </c>
      <c r="G161" s="412" t="s">
        <v>706</v>
      </c>
      <c r="H161" s="403" t="s">
        <v>2608</v>
      </c>
      <c r="I161" s="393" t="str">
        <f t="shared" ca="1" si="6"/>
        <v/>
      </c>
      <c r="J161" s="401"/>
      <c r="K161" s="401"/>
      <c r="L161" s="411" t="s">
        <v>1285</v>
      </c>
      <c r="M161" s="401" t="s">
        <v>774</v>
      </c>
      <c r="N161" s="393" t="s">
        <v>41</v>
      </c>
      <c r="O161" s="393"/>
      <c r="P161" s="404"/>
      <c r="Q161" s="401"/>
      <c r="R161" s="401"/>
    </row>
    <row r="162" spans="1:18" ht="20.25" customHeight="1">
      <c r="A162" s="401"/>
      <c r="B162" s="497" t="s">
        <v>2504</v>
      </c>
      <c r="C162" s="508"/>
      <c r="D162" s="496">
        <v>2025212540</v>
      </c>
      <c r="E162" s="393" t="s">
        <v>41</v>
      </c>
      <c r="F162" s="393" t="s">
        <v>634</v>
      </c>
      <c r="G162" s="412" t="s">
        <v>706</v>
      </c>
      <c r="H162" s="403" t="s">
        <v>2611</v>
      </c>
      <c r="I162" s="393" t="str">
        <f t="shared" ca="1" si="6"/>
        <v/>
      </c>
      <c r="J162" s="401"/>
      <c r="K162" s="401" t="s">
        <v>1293</v>
      </c>
      <c r="L162" s="401" t="s">
        <v>1294</v>
      </c>
      <c r="M162" s="401" t="s">
        <v>849</v>
      </c>
      <c r="N162" s="393" t="s">
        <v>41</v>
      </c>
      <c r="O162" s="393"/>
      <c r="P162" s="404"/>
      <c r="Q162" s="401"/>
      <c r="R162" s="401"/>
    </row>
    <row r="163" spans="1:18" ht="20.25" customHeight="1">
      <c r="A163" s="401"/>
      <c r="B163" s="497" t="s">
        <v>2504</v>
      </c>
      <c r="C163" s="508"/>
      <c r="D163" s="496">
        <v>2025212540</v>
      </c>
      <c r="E163" s="393" t="s">
        <v>41</v>
      </c>
      <c r="F163" s="393" t="s">
        <v>631</v>
      </c>
      <c r="G163" s="412" t="s">
        <v>706</v>
      </c>
      <c r="H163" s="403" t="s">
        <v>2611</v>
      </c>
      <c r="I163" s="393" t="str">
        <f t="shared" ca="1" si="6"/>
        <v/>
      </c>
      <c r="J163" s="401"/>
      <c r="K163" s="401" t="s">
        <v>287</v>
      </c>
      <c r="L163" s="401" t="s">
        <v>1295</v>
      </c>
      <c r="M163" s="401" t="s">
        <v>849</v>
      </c>
      <c r="N163" s="393" t="s">
        <v>41</v>
      </c>
      <c r="O163" s="393"/>
      <c r="P163" s="404"/>
      <c r="Q163" s="401"/>
      <c r="R163" s="401"/>
    </row>
    <row r="164" spans="1:18" ht="20.25" customHeight="1">
      <c r="A164" s="401"/>
      <c r="B164" s="535" t="s">
        <v>2504</v>
      </c>
      <c r="C164" s="536"/>
      <c r="D164" s="537">
        <v>2025212540</v>
      </c>
      <c r="E164" s="393" t="s">
        <v>41</v>
      </c>
      <c r="F164" s="393" t="s">
        <v>638</v>
      </c>
      <c r="G164" s="408" t="s">
        <v>716</v>
      </c>
      <c r="H164" s="403" t="s">
        <v>2611</v>
      </c>
      <c r="I164" s="393" t="e">
        <f t="shared" ca="1" si="6"/>
        <v>#VALUE!</v>
      </c>
      <c r="J164" s="401"/>
      <c r="K164" s="401"/>
      <c r="L164" s="401"/>
      <c r="M164" s="401" t="s">
        <v>849</v>
      </c>
      <c r="N164" s="393" t="s">
        <v>41</v>
      </c>
      <c r="O164" s="393"/>
      <c r="P164" s="404"/>
      <c r="Q164" s="401"/>
      <c r="R164" s="401"/>
    </row>
    <row r="165" spans="1:18" ht="20.25" customHeight="1">
      <c r="A165" s="401"/>
      <c r="B165" s="535" t="s">
        <v>2504</v>
      </c>
      <c r="C165" s="536"/>
      <c r="D165" s="537">
        <v>2025212540</v>
      </c>
      <c r="E165" s="393" t="s">
        <v>41</v>
      </c>
      <c r="F165" s="393" t="s">
        <v>653</v>
      </c>
      <c r="G165" s="408" t="s">
        <v>716</v>
      </c>
      <c r="H165" s="403" t="s">
        <v>2611</v>
      </c>
      <c r="I165" s="393" t="e">
        <f t="shared" ca="1" si="6"/>
        <v>#VALUE!</v>
      </c>
      <c r="J165" s="401"/>
      <c r="K165" s="401"/>
      <c r="L165" s="411" t="s">
        <v>1297</v>
      </c>
      <c r="M165" s="401" t="s">
        <v>849</v>
      </c>
      <c r="N165" s="393" t="s">
        <v>41</v>
      </c>
      <c r="O165" s="393"/>
      <c r="P165" s="404"/>
      <c r="Q165" s="401"/>
      <c r="R165" s="401"/>
    </row>
    <row r="166" spans="1:18" ht="20.25" customHeight="1">
      <c r="A166" s="401"/>
      <c r="B166" s="497" t="s">
        <v>2168</v>
      </c>
      <c r="C166" s="508"/>
      <c r="D166" s="496">
        <v>2025212595</v>
      </c>
      <c r="E166" s="393" t="s">
        <v>41</v>
      </c>
      <c r="F166" s="393" t="s">
        <v>631</v>
      </c>
      <c r="G166" s="412" t="s">
        <v>706</v>
      </c>
      <c r="H166" s="403" t="s">
        <v>2428</v>
      </c>
      <c r="I166" s="393" t="str">
        <f t="shared" ca="1" si="6"/>
        <v/>
      </c>
      <c r="J166" s="401"/>
      <c r="K166" s="401" t="s">
        <v>290</v>
      </c>
      <c r="L166" s="401" t="s">
        <v>1304</v>
      </c>
      <c r="M166" s="401" t="s">
        <v>986</v>
      </c>
      <c r="N166" s="393" t="s">
        <v>41</v>
      </c>
      <c r="O166" s="393"/>
      <c r="P166" s="404"/>
      <c r="Q166" s="401"/>
      <c r="R166" s="401"/>
    </row>
    <row r="167" spans="1:18" ht="20.25" customHeight="1">
      <c r="A167" s="401"/>
      <c r="B167" s="497" t="s">
        <v>2168</v>
      </c>
      <c r="C167" s="508"/>
      <c r="D167" s="496">
        <v>2025212595</v>
      </c>
      <c r="E167" s="393" t="s">
        <v>41</v>
      </c>
      <c r="F167" s="393" t="s">
        <v>653</v>
      </c>
      <c r="G167" s="412" t="s">
        <v>706</v>
      </c>
      <c r="H167" s="403" t="s">
        <v>2428</v>
      </c>
      <c r="I167" s="393" t="str">
        <f t="shared" ca="1" si="6"/>
        <v/>
      </c>
      <c r="J167" s="401"/>
      <c r="K167" s="401"/>
      <c r="L167" s="401" t="s">
        <v>2230</v>
      </c>
      <c r="M167" s="401" t="s">
        <v>986</v>
      </c>
      <c r="N167" s="393" t="s">
        <v>41</v>
      </c>
      <c r="O167" s="393"/>
      <c r="P167" s="404"/>
      <c r="Q167" s="401"/>
      <c r="R167" s="401"/>
    </row>
    <row r="168" spans="1:18" ht="20.25" customHeight="1">
      <c r="A168" s="401"/>
      <c r="B168" s="497" t="s">
        <v>2480</v>
      </c>
      <c r="C168" s="508"/>
      <c r="D168" s="496">
        <v>2025212716</v>
      </c>
      <c r="E168" s="393" t="s">
        <v>41</v>
      </c>
      <c r="F168" s="393" t="s">
        <v>634</v>
      </c>
      <c r="G168" s="402" t="s">
        <v>2521</v>
      </c>
      <c r="H168" s="403" t="s">
        <v>2612</v>
      </c>
      <c r="I168" s="393" t="e">
        <f t="shared" ca="1" si="6"/>
        <v>#VALUE!</v>
      </c>
      <c r="J168" s="415">
        <v>45820</v>
      </c>
      <c r="K168" s="401" t="s">
        <v>1310</v>
      </c>
      <c r="L168" s="401" t="s">
        <v>1311</v>
      </c>
      <c r="M168" s="401" t="s">
        <v>791</v>
      </c>
      <c r="N168" s="393" t="s">
        <v>41</v>
      </c>
      <c r="O168" s="393"/>
      <c r="P168" s="404"/>
      <c r="Q168" s="401"/>
      <c r="R168" s="401"/>
    </row>
    <row r="169" spans="1:18" ht="20.25" customHeight="1">
      <c r="A169" s="401"/>
      <c r="B169" s="497" t="s">
        <v>2480</v>
      </c>
      <c r="C169" s="508"/>
      <c r="D169" s="496">
        <v>2025212716</v>
      </c>
      <c r="E169" s="393" t="s">
        <v>41</v>
      </c>
      <c r="F169" s="393" t="s">
        <v>631</v>
      </c>
      <c r="G169" s="408" t="s">
        <v>2305</v>
      </c>
      <c r="H169" s="403" t="s">
        <v>2612</v>
      </c>
      <c r="I169" s="393" t="e">
        <f t="shared" ca="1" si="6"/>
        <v>#VALUE!</v>
      </c>
      <c r="J169" s="401"/>
      <c r="K169" s="401" t="s">
        <v>1312</v>
      </c>
      <c r="L169" s="401" t="s">
        <v>1313</v>
      </c>
      <c r="M169" s="401" t="s">
        <v>791</v>
      </c>
      <c r="N169" s="393" t="s">
        <v>41</v>
      </c>
      <c r="O169" s="393"/>
      <c r="P169" s="404"/>
      <c r="Q169" s="401"/>
      <c r="R169" s="401"/>
    </row>
    <row r="170" spans="1:18" ht="20.25" customHeight="1">
      <c r="A170" s="401"/>
      <c r="B170" s="497" t="s">
        <v>2480</v>
      </c>
      <c r="C170" s="508"/>
      <c r="D170" s="496">
        <v>2025212716</v>
      </c>
      <c r="E170" s="393" t="s">
        <v>41</v>
      </c>
      <c r="F170" s="393" t="s">
        <v>653</v>
      </c>
      <c r="G170" s="408" t="s">
        <v>2305</v>
      </c>
      <c r="H170" s="403" t="s">
        <v>2612</v>
      </c>
      <c r="I170" s="393" t="e">
        <f t="shared" ca="1" si="6"/>
        <v>#VALUE!</v>
      </c>
      <c r="J170" s="401"/>
      <c r="K170" s="401"/>
      <c r="L170" s="401" t="s">
        <v>1314</v>
      </c>
      <c r="M170" s="401" t="s">
        <v>791</v>
      </c>
      <c r="N170" s="393" t="s">
        <v>41</v>
      </c>
      <c r="O170" s="393"/>
      <c r="P170" s="404"/>
      <c r="Q170" s="401"/>
      <c r="R170" s="401"/>
    </row>
    <row r="171" spans="1:18" ht="20.25" customHeight="1">
      <c r="A171" s="401"/>
      <c r="B171" s="497" t="s">
        <v>2613</v>
      </c>
      <c r="C171" s="508"/>
      <c r="D171" s="496">
        <v>2025208486</v>
      </c>
      <c r="E171" s="393" t="s">
        <v>41</v>
      </c>
      <c r="F171" s="393" t="s">
        <v>634</v>
      </c>
      <c r="G171" s="408" t="s">
        <v>2305</v>
      </c>
      <c r="H171" s="403" t="s">
        <v>2614</v>
      </c>
      <c r="I171" s="393" t="e">
        <f t="shared" ca="1" si="6"/>
        <v>#VALUE!</v>
      </c>
      <c r="J171" s="401"/>
      <c r="K171" s="401" t="s">
        <v>2232</v>
      </c>
      <c r="L171" s="401" t="s">
        <v>1319</v>
      </c>
      <c r="M171" s="401" t="s">
        <v>763</v>
      </c>
      <c r="N171" s="393" t="s">
        <v>41</v>
      </c>
      <c r="O171" s="393"/>
      <c r="P171" s="404"/>
      <c r="Q171" s="401"/>
      <c r="R171" s="401"/>
    </row>
    <row r="172" spans="1:18" ht="20.25" customHeight="1">
      <c r="A172" s="401"/>
      <c r="B172" s="497" t="s">
        <v>2613</v>
      </c>
      <c r="C172" s="508"/>
      <c r="D172" s="496">
        <v>2025208486</v>
      </c>
      <c r="E172" s="393" t="s">
        <v>41</v>
      </c>
      <c r="F172" s="393" t="s">
        <v>631</v>
      </c>
      <c r="G172" s="408" t="s">
        <v>2305</v>
      </c>
      <c r="H172" s="403" t="s">
        <v>2614</v>
      </c>
      <c r="I172" s="393" t="e">
        <f t="shared" ca="1" si="6"/>
        <v>#VALUE!</v>
      </c>
      <c r="J172" s="401"/>
      <c r="K172" s="401" t="s">
        <v>296</v>
      </c>
      <c r="L172" s="401" t="s">
        <v>1320</v>
      </c>
      <c r="M172" s="401" t="s">
        <v>763</v>
      </c>
      <c r="N172" s="393" t="s">
        <v>41</v>
      </c>
      <c r="O172" s="393"/>
      <c r="P172" s="404"/>
      <c r="Q172" s="401"/>
      <c r="R172" s="401"/>
    </row>
    <row r="173" spans="1:18" ht="20.25" customHeight="1">
      <c r="A173" s="401"/>
      <c r="B173" s="497" t="s">
        <v>2613</v>
      </c>
      <c r="C173" s="508"/>
      <c r="D173" s="496">
        <v>2025208486</v>
      </c>
      <c r="E173" s="393" t="s">
        <v>41</v>
      </c>
      <c r="F173" s="393" t="s">
        <v>638</v>
      </c>
      <c r="G173" s="408" t="s">
        <v>2305</v>
      </c>
      <c r="H173" s="403" t="s">
        <v>2614</v>
      </c>
      <c r="I173" s="393" t="e">
        <f t="shared" ca="1" si="6"/>
        <v>#VALUE!</v>
      </c>
      <c r="J173" s="401"/>
      <c r="K173" s="401"/>
      <c r="L173" s="401"/>
      <c r="M173" s="401" t="s">
        <v>763</v>
      </c>
      <c r="N173" s="393" t="s">
        <v>41</v>
      </c>
      <c r="O173" s="393"/>
      <c r="P173" s="404"/>
      <c r="Q173" s="401"/>
      <c r="R173" s="401"/>
    </row>
    <row r="174" spans="1:18" ht="20.25" customHeight="1">
      <c r="A174" s="401"/>
      <c r="B174" s="497" t="s">
        <v>2613</v>
      </c>
      <c r="C174" s="508"/>
      <c r="D174" s="496">
        <v>2025208486</v>
      </c>
      <c r="E174" s="393" t="s">
        <v>41</v>
      </c>
      <c r="F174" s="393" t="s">
        <v>653</v>
      </c>
      <c r="G174" s="408" t="s">
        <v>2305</v>
      </c>
      <c r="H174" s="403" t="s">
        <v>2614</v>
      </c>
      <c r="I174" s="393" t="e">
        <f t="shared" ca="1" si="6"/>
        <v>#VALUE!</v>
      </c>
      <c r="J174" s="401"/>
      <c r="K174" s="401"/>
      <c r="L174" s="401" t="s">
        <v>1321</v>
      </c>
      <c r="M174" s="401" t="s">
        <v>763</v>
      </c>
      <c r="N174" s="393" t="s">
        <v>41</v>
      </c>
      <c r="O174" s="393"/>
      <c r="P174" s="404"/>
      <c r="Q174" s="401"/>
      <c r="R174" s="401"/>
    </row>
    <row r="175" spans="1:18" ht="20.25" customHeight="1">
      <c r="A175" s="401"/>
      <c r="B175" s="535" t="s">
        <v>2600</v>
      </c>
      <c r="C175" s="536"/>
      <c r="D175" s="537">
        <v>2025209152</v>
      </c>
      <c r="E175" s="393" t="s">
        <v>41</v>
      </c>
      <c r="F175" s="393" t="s">
        <v>634</v>
      </c>
      <c r="G175" s="412" t="s">
        <v>706</v>
      </c>
      <c r="H175" s="403" t="s">
        <v>2614</v>
      </c>
      <c r="I175" s="393" t="e">
        <f t="shared" ca="1" si="6"/>
        <v>#VALUE!</v>
      </c>
      <c r="J175" s="415">
        <v>46021</v>
      </c>
      <c r="K175" s="401" t="s">
        <v>1324</v>
      </c>
      <c r="L175" s="401" t="s">
        <v>2615</v>
      </c>
      <c r="M175" s="401" t="s">
        <v>849</v>
      </c>
      <c r="N175" s="393" t="s">
        <v>41</v>
      </c>
      <c r="O175" s="393"/>
      <c r="P175" s="404"/>
      <c r="Q175" s="401"/>
      <c r="R175" s="401"/>
    </row>
    <row r="176" spans="1:18" ht="20.25" customHeight="1">
      <c r="A176" s="401"/>
      <c r="B176" s="535" t="s">
        <v>2600</v>
      </c>
      <c r="C176" s="536"/>
      <c r="D176" s="537">
        <v>2025209152</v>
      </c>
      <c r="E176" s="393" t="s">
        <v>41</v>
      </c>
      <c r="F176" s="393" t="s">
        <v>631</v>
      </c>
      <c r="G176" s="412" t="s">
        <v>706</v>
      </c>
      <c r="H176" s="403" t="s">
        <v>2614</v>
      </c>
      <c r="I176" s="393" t="e">
        <f t="shared" ca="1" si="6"/>
        <v>#VALUE!</v>
      </c>
      <c r="J176" s="415">
        <v>46021</v>
      </c>
      <c r="K176" s="401" t="s">
        <v>2234</v>
      </c>
      <c r="L176" s="401" t="s">
        <v>1327</v>
      </c>
      <c r="M176" s="401" t="s">
        <v>871</v>
      </c>
      <c r="N176" s="393" t="s">
        <v>41</v>
      </c>
      <c r="O176" s="393"/>
      <c r="P176" s="404"/>
      <c r="Q176" s="401"/>
      <c r="R176" s="401"/>
    </row>
    <row r="177" spans="1:18" ht="20.25" customHeight="1">
      <c r="A177" s="401"/>
      <c r="B177" s="535" t="s">
        <v>2600</v>
      </c>
      <c r="C177" s="536"/>
      <c r="D177" s="537">
        <v>2025209152</v>
      </c>
      <c r="E177" s="393" t="s">
        <v>41</v>
      </c>
      <c r="F177" s="393" t="s">
        <v>653</v>
      </c>
      <c r="G177" s="412" t="s">
        <v>706</v>
      </c>
      <c r="H177" s="403" t="s">
        <v>2614</v>
      </c>
      <c r="I177" s="393" t="e">
        <f t="shared" ref="I177:I208" ca="1" si="7">IF(H177="", "", IF(OR(G177="Completed", G177="STOP"), IF(J177="", "", J177-H177), TODAY()-H177))</f>
        <v>#VALUE!</v>
      </c>
      <c r="J177" s="415">
        <v>46021</v>
      </c>
      <c r="K177" s="401"/>
      <c r="L177" s="401" t="s">
        <v>1328</v>
      </c>
      <c r="M177" s="401" t="s">
        <v>871</v>
      </c>
      <c r="N177" s="393" t="s">
        <v>41</v>
      </c>
      <c r="O177" s="393"/>
      <c r="P177" s="404"/>
      <c r="Q177" s="401"/>
      <c r="R177" s="401"/>
    </row>
    <row r="178" spans="1:18" ht="20.25" customHeight="1">
      <c r="A178" s="401"/>
      <c r="B178" s="497" t="s">
        <v>2440</v>
      </c>
      <c r="C178" s="508"/>
      <c r="D178" s="496">
        <v>2025212593</v>
      </c>
      <c r="E178" s="393">
        <v>2025212721</v>
      </c>
      <c r="F178" s="393" t="s">
        <v>634</v>
      </c>
      <c r="G178" s="412" t="s">
        <v>706</v>
      </c>
      <c r="H178" s="403"/>
      <c r="I178" s="393" t="str">
        <f t="shared" ca="1" si="7"/>
        <v/>
      </c>
      <c r="J178" s="401" t="s">
        <v>2527</v>
      </c>
      <c r="K178" s="401" t="s">
        <v>1333</v>
      </c>
      <c r="L178" s="401" t="s">
        <v>1334</v>
      </c>
      <c r="M178" s="401" t="s">
        <v>774</v>
      </c>
      <c r="N178" s="393" t="s">
        <v>41</v>
      </c>
      <c r="O178" s="393"/>
      <c r="P178" s="404"/>
      <c r="Q178" s="401"/>
      <c r="R178" s="401"/>
    </row>
    <row r="179" spans="1:18" ht="20.25" customHeight="1">
      <c r="A179" s="401"/>
      <c r="B179" s="497" t="s">
        <v>2440</v>
      </c>
      <c r="C179" s="508"/>
      <c r="D179" s="496">
        <v>2025212721</v>
      </c>
      <c r="E179" s="393" t="s">
        <v>41</v>
      </c>
      <c r="F179" s="393" t="s">
        <v>634</v>
      </c>
      <c r="G179" s="412" t="s">
        <v>706</v>
      </c>
      <c r="H179" s="403" t="s">
        <v>2616</v>
      </c>
      <c r="I179" s="393" t="e">
        <f t="shared" ca="1" si="7"/>
        <v>#VALUE!</v>
      </c>
      <c r="J179" s="401" t="s">
        <v>2527</v>
      </c>
      <c r="K179" s="401" t="s">
        <v>2237</v>
      </c>
      <c r="L179" s="401" t="s">
        <v>1338</v>
      </c>
      <c r="M179" s="401" t="s">
        <v>774</v>
      </c>
      <c r="N179" s="393" t="s">
        <v>41</v>
      </c>
      <c r="O179" s="393"/>
      <c r="P179" s="404"/>
      <c r="Q179" s="401"/>
      <c r="R179" s="401"/>
    </row>
    <row r="180" spans="1:18" ht="20.25" customHeight="1">
      <c r="A180" s="401"/>
      <c r="B180" s="497" t="s">
        <v>2504</v>
      </c>
      <c r="C180" s="508"/>
      <c r="D180" s="496">
        <v>2025212721</v>
      </c>
      <c r="E180" s="393" t="s">
        <v>41</v>
      </c>
      <c r="F180" s="393" t="s">
        <v>631</v>
      </c>
      <c r="G180" s="408" t="s">
        <v>2305</v>
      </c>
      <c r="H180" s="403" t="s">
        <v>2614</v>
      </c>
      <c r="I180" s="393" t="e">
        <f t="shared" ca="1" si="7"/>
        <v>#VALUE!</v>
      </c>
      <c r="J180" s="401"/>
      <c r="K180" s="401" t="s">
        <v>2238</v>
      </c>
      <c r="L180" s="401" t="s">
        <v>1339</v>
      </c>
      <c r="M180" s="401" t="s">
        <v>849</v>
      </c>
      <c r="N180" s="393" t="s">
        <v>41</v>
      </c>
      <c r="O180" s="393"/>
      <c r="P180" s="404"/>
      <c r="Q180" s="401"/>
      <c r="R180" s="401"/>
    </row>
    <row r="181" spans="1:18" ht="20.25" customHeight="1">
      <c r="A181" s="401"/>
      <c r="B181" s="497" t="s">
        <v>2504</v>
      </c>
      <c r="C181" s="508"/>
      <c r="D181" s="496">
        <v>2025212721</v>
      </c>
      <c r="E181" s="393" t="s">
        <v>41</v>
      </c>
      <c r="F181" s="393" t="s">
        <v>638</v>
      </c>
      <c r="G181" s="408" t="s">
        <v>2305</v>
      </c>
      <c r="H181" s="403" t="s">
        <v>2614</v>
      </c>
      <c r="I181" s="393" t="e">
        <f t="shared" ca="1" si="7"/>
        <v>#VALUE!</v>
      </c>
      <c r="J181" s="401"/>
      <c r="K181" s="401" t="s">
        <v>1340</v>
      </c>
      <c r="L181" s="401" t="s">
        <v>1341</v>
      </c>
      <c r="M181" s="401" t="s">
        <v>849</v>
      </c>
      <c r="N181" s="393" t="s">
        <v>41</v>
      </c>
      <c r="O181" s="393"/>
      <c r="P181" s="404"/>
      <c r="Q181" s="401"/>
      <c r="R181" s="401"/>
    </row>
    <row r="182" spans="1:18" ht="20.25" customHeight="1">
      <c r="A182" s="401"/>
      <c r="B182" s="497" t="s">
        <v>2440</v>
      </c>
      <c r="C182" s="508"/>
      <c r="D182" s="496">
        <v>2025212721</v>
      </c>
      <c r="E182" s="393" t="s">
        <v>41</v>
      </c>
      <c r="F182" s="393" t="s">
        <v>653</v>
      </c>
      <c r="G182" s="412" t="s">
        <v>706</v>
      </c>
      <c r="H182" s="403" t="s">
        <v>2616</v>
      </c>
      <c r="I182" s="393" t="str">
        <f t="shared" ca="1" si="7"/>
        <v/>
      </c>
      <c r="J182" s="401"/>
      <c r="K182" s="401"/>
      <c r="L182" s="401" t="s">
        <v>1342</v>
      </c>
      <c r="M182" s="401"/>
      <c r="N182" s="393" t="s">
        <v>41</v>
      </c>
      <c r="O182" s="393"/>
      <c r="P182" s="404"/>
      <c r="Q182" s="401"/>
      <c r="R182" s="401"/>
    </row>
    <row r="183" spans="1:18" ht="20.25" customHeight="1">
      <c r="A183" s="401"/>
      <c r="B183" s="515" t="s">
        <v>2617</v>
      </c>
      <c r="C183" s="529"/>
      <c r="D183" s="431">
        <v>2025209441</v>
      </c>
      <c r="E183" s="393" t="s">
        <v>41</v>
      </c>
      <c r="F183" s="393" t="s">
        <v>634</v>
      </c>
      <c r="G183" s="412" t="s">
        <v>706</v>
      </c>
      <c r="H183" s="403" t="s">
        <v>2614</v>
      </c>
      <c r="I183" s="393" t="str">
        <f t="shared" ca="1" si="7"/>
        <v/>
      </c>
      <c r="J183" s="401"/>
      <c r="K183" s="401" t="s">
        <v>2241</v>
      </c>
      <c r="L183" s="401" t="s">
        <v>1344</v>
      </c>
      <c r="M183" s="401" t="s">
        <v>763</v>
      </c>
      <c r="N183" s="393" t="s">
        <v>41</v>
      </c>
      <c r="O183" s="393"/>
      <c r="P183" s="404"/>
      <c r="Q183" s="401"/>
      <c r="R183" s="401"/>
    </row>
    <row r="184" spans="1:18" ht="20.25" customHeight="1">
      <c r="A184" s="401"/>
      <c r="B184" s="539" t="s">
        <v>948</v>
      </c>
      <c r="C184" s="541" t="s">
        <v>2486</v>
      </c>
      <c r="D184" s="431">
        <v>2025209441</v>
      </c>
      <c r="E184" s="393" t="s">
        <v>41</v>
      </c>
      <c r="F184" s="393" t="s">
        <v>631</v>
      </c>
      <c r="G184" s="408" t="s">
        <v>2305</v>
      </c>
      <c r="H184" s="403"/>
      <c r="I184" s="393" t="str">
        <f t="shared" ca="1" si="7"/>
        <v/>
      </c>
      <c r="J184" s="401"/>
      <c r="K184" s="411" t="s">
        <v>2618</v>
      </c>
      <c r="L184" s="538" t="s">
        <v>2619</v>
      </c>
      <c r="M184" s="401" t="s">
        <v>763</v>
      </c>
      <c r="N184" s="393" t="s">
        <v>41</v>
      </c>
      <c r="O184" s="393"/>
      <c r="P184" s="404"/>
      <c r="Q184" s="401"/>
      <c r="R184" s="401"/>
    </row>
    <row r="185" spans="1:18" ht="20.25" customHeight="1">
      <c r="A185" s="401"/>
      <c r="B185" s="515" t="s">
        <v>2617</v>
      </c>
      <c r="C185" s="529"/>
      <c r="D185" s="431">
        <v>2025209441</v>
      </c>
      <c r="E185" s="393" t="s">
        <v>41</v>
      </c>
      <c r="F185" s="393" t="s">
        <v>653</v>
      </c>
      <c r="G185" s="412" t="s">
        <v>706</v>
      </c>
      <c r="H185" s="403"/>
      <c r="I185" s="393" t="str">
        <f t="shared" ca="1" si="7"/>
        <v/>
      </c>
      <c r="J185" s="401"/>
      <c r="K185" s="401"/>
      <c r="L185" s="401" t="s">
        <v>2620</v>
      </c>
      <c r="M185" s="401" t="s">
        <v>2621</v>
      </c>
      <c r="N185" s="393" t="s">
        <v>41</v>
      </c>
      <c r="O185" s="393"/>
      <c r="P185" s="404"/>
      <c r="Q185" s="401"/>
      <c r="R185" s="401"/>
    </row>
    <row r="186" spans="1:18" ht="20.25" customHeight="1">
      <c r="A186" s="401"/>
      <c r="B186" s="497" t="s">
        <v>2613</v>
      </c>
      <c r="C186" s="508"/>
      <c r="D186" s="496">
        <v>2025209731</v>
      </c>
      <c r="E186" s="393" t="s">
        <v>41</v>
      </c>
      <c r="F186" s="393" t="s">
        <v>634</v>
      </c>
      <c r="G186" s="408" t="s">
        <v>2305</v>
      </c>
      <c r="H186" s="403" t="s">
        <v>2614</v>
      </c>
      <c r="I186" s="393" t="e">
        <f t="shared" ca="1" si="7"/>
        <v>#VALUE!</v>
      </c>
      <c r="J186" s="401"/>
      <c r="K186" s="401" t="s">
        <v>2243</v>
      </c>
      <c r="L186" s="401" t="s">
        <v>1350</v>
      </c>
      <c r="M186" s="401" t="s">
        <v>763</v>
      </c>
      <c r="N186" s="393" t="s">
        <v>41</v>
      </c>
      <c r="O186" s="393"/>
      <c r="P186" s="404"/>
      <c r="Q186" s="401"/>
      <c r="R186" s="401"/>
    </row>
    <row r="187" spans="1:18" ht="20.25" customHeight="1">
      <c r="A187" s="401"/>
      <c r="B187" s="497" t="s">
        <v>2613</v>
      </c>
      <c r="C187" s="508"/>
      <c r="D187" s="496">
        <v>2025209731</v>
      </c>
      <c r="E187" s="393" t="s">
        <v>41</v>
      </c>
      <c r="F187" s="393" t="s">
        <v>631</v>
      </c>
      <c r="G187" s="408" t="s">
        <v>2305</v>
      </c>
      <c r="H187" s="403" t="s">
        <v>2614</v>
      </c>
      <c r="I187" s="393" t="e">
        <f t="shared" ca="1" si="7"/>
        <v>#VALUE!</v>
      </c>
      <c r="J187" s="401"/>
      <c r="K187" s="401" t="s">
        <v>2244</v>
      </c>
      <c r="L187" s="401" t="s">
        <v>1351</v>
      </c>
      <c r="M187" s="401" t="s">
        <v>763</v>
      </c>
      <c r="N187" s="393" t="s">
        <v>41</v>
      </c>
      <c r="O187" s="393"/>
      <c r="P187" s="404"/>
      <c r="Q187" s="401"/>
      <c r="R187" s="401"/>
    </row>
    <row r="188" spans="1:18" ht="20.25" customHeight="1">
      <c r="A188" s="401"/>
      <c r="B188" s="497" t="s">
        <v>2613</v>
      </c>
      <c r="C188" s="508"/>
      <c r="D188" s="496">
        <v>2025209731</v>
      </c>
      <c r="E188" s="393" t="s">
        <v>41</v>
      </c>
      <c r="F188" s="393" t="s">
        <v>638</v>
      </c>
      <c r="G188" s="408" t="s">
        <v>2305</v>
      </c>
      <c r="H188" s="403" t="s">
        <v>2614</v>
      </c>
      <c r="I188" s="393" t="e">
        <f t="shared" ca="1" si="7"/>
        <v>#VALUE!</v>
      </c>
      <c r="J188" s="401"/>
      <c r="K188" s="401"/>
      <c r="L188" s="401"/>
      <c r="M188" s="401" t="s">
        <v>763</v>
      </c>
      <c r="N188" s="393" t="s">
        <v>41</v>
      </c>
      <c r="O188" s="393"/>
      <c r="P188" s="404"/>
      <c r="Q188" s="401"/>
      <c r="R188" s="401"/>
    </row>
    <row r="189" spans="1:18" ht="20.25" customHeight="1">
      <c r="A189" s="401"/>
      <c r="B189" s="497" t="s">
        <v>2613</v>
      </c>
      <c r="C189" s="508"/>
      <c r="D189" s="496">
        <v>2025209731</v>
      </c>
      <c r="E189" s="393" t="s">
        <v>41</v>
      </c>
      <c r="F189" s="393" t="s">
        <v>653</v>
      </c>
      <c r="G189" s="408" t="s">
        <v>2305</v>
      </c>
      <c r="H189" s="403" t="s">
        <v>2614</v>
      </c>
      <c r="I189" s="393" t="e">
        <f t="shared" ca="1" si="7"/>
        <v>#VALUE!</v>
      </c>
      <c r="J189" s="401"/>
      <c r="K189" s="401"/>
      <c r="L189" s="401" t="s">
        <v>1352</v>
      </c>
      <c r="M189" s="401" t="s">
        <v>763</v>
      </c>
      <c r="N189" s="393" t="s">
        <v>41</v>
      </c>
      <c r="O189" s="393"/>
      <c r="P189" s="404"/>
      <c r="Q189" s="401"/>
      <c r="R189" s="401"/>
    </row>
    <row r="190" spans="1:18" ht="20.25" customHeight="1">
      <c r="A190" s="401"/>
      <c r="B190" s="535" t="s">
        <v>2622</v>
      </c>
      <c r="C190" s="536" t="s">
        <v>2623</v>
      </c>
      <c r="D190" s="537">
        <v>2025210423</v>
      </c>
      <c r="E190" s="393" t="s">
        <v>41</v>
      </c>
      <c r="F190" s="393" t="s">
        <v>634</v>
      </c>
      <c r="G190" s="412" t="s">
        <v>706</v>
      </c>
      <c r="H190" s="403" t="s">
        <v>2614</v>
      </c>
      <c r="I190" s="393" t="e">
        <f t="shared" ca="1" si="7"/>
        <v>#VALUE!</v>
      </c>
      <c r="J190" s="415">
        <v>46003</v>
      </c>
      <c r="K190" s="401" t="s">
        <v>1355</v>
      </c>
      <c r="L190" s="401" t="s">
        <v>1356</v>
      </c>
      <c r="M190" s="401" t="s">
        <v>763</v>
      </c>
      <c r="N190" s="393" t="s">
        <v>41</v>
      </c>
      <c r="O190" s="393"/>
      <c r="P190" s="404"/>
      <c r="Q190" s="401"/>
      <c r="R190" s="401"/>
    </row>
    <row r="191" spans="1:18" ht="20.25" customHeight="1">
      <c r="A191" s="401"/>
      <c r="B191" s="535" t="s">
        <v>721</v>
      </c>
      <c r="C191" s="536"/>
      <c r="D191" s="537">
        <v>2025210423</v>
      </c>
      <c r="E191" s="393" t="s">
        <v>41</v>
      </c>
      <c r="F191" s="393" t="s">
        <v>631</v>
      </c>
      <c r="G191" s="408" t="s">
        <v>716</v>
      </c>
      <c r="H191" s="403" t="s">
        <v>2614</v>
      </c>
      <c r="I191" s="393" t="e">
        <f t="shared" ca="1" si="7"/>
        <v>#VALUE!</v>
      </c>
      <c r="J191" s="401"/>
      <c r="K191" s="401" t="s">
        <v>313</v>
      </c>
      <c r="L191" s="411" t="s">
        <v>1357</v>
      </c>
      <c r="M191" s="401" t="s">
        <v>2624</v>
      </c>
      <c r="N191" s="393" t="s">
        <v>41</v>
      </c>
      <c r="O191" s="393" t="s">
        <v>2625</v>
      </c>
      <c r="P191" s="404"/>
      <c r="Q191" s="401"/>
      <c r="R191" s="401"/>
    </row>
    <row r="192" spans="1:18" ht="20.25" customHeight="1">
      <c r="A192" s="401"/>
      <c r="B192" s="535" t="s">
        <v>2622</v>
      </c>
      <c r="C192" s="536"/>
      <c r="D192" s="537">
        <v>2025210423</v>
      </c>
      <c r="E192" s="393" t="s">
        <v>41</v>
      </c>
      <c r="F192" s="393" t="s">
        <v>653</v>
      </c>
      <c r="G192" s="412" t="s">
        <v>706</v>
      </c>
      <c r="H192" s="403" t="s">
        <v>2614</v>
      </c>
      <c r="I192" s="393" t="e">
        <f t="shared" ca="1" si="7"/>
        <v>#VALUE!</v>
      </c>
      <c r="J192" s="401" t="s">
        <v>2626</v>
      </c>
      <c r="K192" s="401"/>
      <c r="L192" s="401" t="s">
        <v>2627</v>
      </c>
      <c r="M192" s="401"/>
      <c r="N192" s="393" t="s">
        <v>41</v>
      </c>
      <c r="O192" s="393"/>
      <c r="P192" s="404"/>
      <c r="Q192" s="401"/>
      <c r="R192" s="401"/>
    </row>
    <row r="193" spans="1:18" ht="20.25" customHeight="1">
      <c r="A193" s="401"/>
      <c r="B193" s="497" t="s">
        <v>2613</v>
      </c>
      <c r="C193" s="508"/>
      <c r="D193" s="496">
        <v>2025210175</v>
      </c>
      <c r="E193" s="393" t="s">
        <v>41</v>
      </c>
      <c r="F193" s="393" t="s">
        <v>634</v>
      </c>
      <c r="G193" s="408" t="s">
        <v>721</v>
      </c>
      <c r="H193" s="403" t="s">
        <v>2616</v>
      </c>
      <c r="I193" s="393" t="e">
        <f t="shared" ca="1" si="7"/>
        <v>#VALUE!</v>
      </c>
      <c r="J193" s="401"/>
      <c r="K193" s="401" t="s">
        <v>1361</v>
      </c>
      <c r="L193" s="401" t="s">
        <v>1362</v>
      </c>
      <c r="M193" s="401" t="s">
        <v>763</v>
      </c>
      <c r="N193" s="393" t="s">
        <v>41</v>
      </c>
      <c r="O193" s="393"/>
      <c r="P193" s="404"/>
      <c r="Q193" s="401"/>
      <c r="R193" s="401"/>
    </row>
    <row r="194" spans="1:18" ht="20.25" customHeight="1">
      <c r="A194" s="401"/>
      <c r="B194" s="497" t="s">
        <v>2613</v>
      </c>
      <c r="C194" s="508"/>
      <c r="D194" s="554">
        <v>2025210175</v>
      </c>
      <c r="E194" s="393" t="s">
        <v>41</v>
      </c>
      <c r="F194" s="393" t="s">
        <v>631</v>
      </c>
      <c r="G194" s="408" t="s">
        <v>721</v>
      </c>
      <c r="H194" s="403" t="s">
        <v>2616</v>
      </c>
      <c r="I194" s="393" t="e">
        <f t="shared" ca="1" si="7"/>
        <v>#VALUE!</v>
      </c>
      <c r="J194" s="401"/>
      <c r="K194" s="401" t="s">
        <v>2246</v>
      </c>
      <c r="L194" s="401" t="s">
        <v>1363</v>
      </c>
      <c r="M194" s="401" t="s">
        <v>763</v>
      </c>
      <c r="N194" s="393" t="s">
        <v>41</v>
      </c>
      <c r="O194" s="393"/>
      <c r="P194" s="404"/>
      <c r="Q194" s="401"/>
      <c r="R194" s="401"/>
    </row>
    <row r="195" spans="1:18" ht="20.25" customHeight="1">
      <c r="A195" s="401"/>
      <c r="B195" s="497" t="s">
        <v>2613</v>
      </c>
      <c r="C195" s="508"/>
      <c r="D195" s="496">
        <v>2025210175</v>
      </c>
      <c r="E195" s="393" t="s">
        <v>41</v>
      </c>
      <c r="F195" s="393" t="s">
        <v>638</v>
      </c>
      <c r="G195" s="408" t="s">
        <v>2305</v>
      </c>
      <c r="H195" s="403" t="s">
        <v>2616</v>
      </c>
      <c r="I195" s="393" t="e">
        <f t="shared" ca="1" si="7"/>
        <v>#VALUE!</v>
      </c>
      <c r="J195" s="401"/>
      <c r="K195" s="401"/>
      <c r="L195" s="401"/>
      <c r="M195" s="401" t="s">
        <v>763</v>
      </c>
      <c r="N195" s="393" t="s">
        <v>41</v>
      </c>
      <c r="O195" s="393"/>
      <c r="P195" s="404"/>
      <c r="Q195" s="401"/>
      <c r="R195" s="401"/>
    </row>
    <row r="196" spans="1:18" ht="20.25" customHeight="1">
      <c r="A196" s="401"/>
      <c r="B196" s="497" t="s">
        <v>2613</v>
      </c>
      <c r="C196" s="508"/>
      <c r="D196" s="496">
        <v>2025210175</v>
      </c>
      <c r="E196" s="393" t="s">
        <v>41</v>
      </c>
      <c r="F196" s="393" t="s">
        <v>653</v>
      </c>
      <c r="G196" s="402" t="s">
        <v>706</v>
      </c>
      <c r="H196" s="403" t="s">
        <v>2616</v>
      </c>
      <c r="I196" s="393" t="str">
        <f t="shared" ca="1" si="7"/>
        <v/>
      </c>
      <c r="J196" s="401"/>
      <c r="K196" s="401"/>
      <c r="L196" s="401" t="s">
        <v>1365</v>
      </c>
      <c r="M196" s="401" t="s">
        <v>763</v>
      </c>
      <c r="N196" s="393" t="s">
        <v>41</v>
      </c>
      <c r="O196" s="393"/>
      <c r="P196" s="404"/>
      <c r="Q196" s="401"/>
      <c r="R196" s="401"/>
    </row>
    <row r="197" spans="1:18" ht="20.25" customHeight="1">
      <c r="A197" s="401"/>
      <c r="B197" s="515" t="s">
        <v>2613</v>
      </c>
      <c r="C197" s="529"/>
      <c r="D197" s="431">
        <v>2025210211</v>
      </c>
      <c r="E197" s="393" t="s">
        <v>41</v>
      </c>
      <c r="F197" s="393" t="s">
        <v>634</v>
      </c>
      <c r="G197" s="402" t="s">
        <v>706</v>
      </c>
      <c r="H197" s="403" t="s">
        <v>2614</v>
      </c>
      <c r="I197" s="393" t="e">
        <f t="shared" ca="1" si="7"/>
        <v>#VALUE!</v>
      </c>
      <c r="J197" s="415">
        <v>46022</v>
      </c>
      <c r="K197" s="401" t="s">
        <v>2247</v>
      </c>
      <c r="L197" s="401" t="s">
        <v>1368</v>
      </c>
      <c r="M197" s="401" t="s">
        <v>763</v>
      </c>
      <c r="N197" s="393" t="s">
        <v>41</v>
      </c>
      <c r="O197" s="393"/>
      <c r="P197" s="404"/>
      <c r="Q197" s="401"/>
      <c r="R197" s="401"/>
    </row>
    <row r="198" spans="1:18" ht="20.25" customHeight="1">
      <c r="A198" s="401"/>
      <c r="B198" s="515" t="s">
        <v>2613</v>
      </c>
      <c r="C198" s="529"/>
      <c r="D198" s="431">
        <v>2025210211</v>
      </c>
      <c r="E198" s="393" t="s">
        <v>41</v>
      </c>
      <c r="F198" s="393" t="s">
        <v>631</v>
      </c>
      <c r="G198" s="402" t="s">
        <v>706</v>
      </c>
      <c r="H198" s="403" t="s">
        <v>2614</v>
      </c>
      <c r="I198" s="393" t="e">
        <f t="shared" ca="1" si="7"/>
        <v>#VALUE!</v>
      </c>
      <c r="J198" s="415">
        <v>46022</v>
      </c>
      <c r="K198" s="401" t="s">
        <v>319</v>
      </c>
      <c r="L198" s="401" t="s">
        <v>2628</v>
      </c>
      <c r="M198" s="401" t="s">
        <v>763</v>
      </c>
      <c r="N198" s="393" t="s">
        <v>41</v>
      </c>
      <c r="O198" s="393"/>
      <c r="P198" s="404"/>
      <c r="Q198" s="401"/>
      <c r="R198" s="401"/>
    </row>
    <row r="199" spans="1:18" ht="20.25" customHeight="1">
      <c r="A199" s="401"/>
      <c r="B199" s="515" t="s">
        <v>2613</v>
      </c>
      <c r="C199" s="529" t="s">
        <v>2486</v>
      </c>
      <c r="D199" s="431">
        <v>2025210211</v>
      </c>
      <c r="E199" s="393" t="s">
        <v>41</v>
      </c>
      <c r="F199" s="393" t="s">
        <v>638</v>
      </c>
      <c r="G199" s="408" t="s">
        <v>2305</v>
      </c>
      <c r="H199" s="403" t="s">
        <v>2614</v>
      </c>
      <c r="I199" s="393" t="e">
        <f t="shared" ca="1" si="7"/>
        <v>#VALUE!</v>
      </c>
      <c r="J199" s="401"/>
      <c r="K199" s="401"/>
      <c r="L199" s="401"/>
      <c r="M199" s="401" t="s">
        <v>763</v>
      </c>
      <c r="N199" s="393" t="s">
        <v>41</v>
      </c>
      <c r="O199" s="393"/>
      <c r="P199" s="404"/>
      <c r="Q199" s="401"/>
      <c r="R199" s="401"/>
    </row>
    <row r="200" spans="1:18" ht="20.25" customHeight="1">
      <c r="A200" s="401"/>
      <c r="B200" s="515" t="s">
        <v>2613</v>
      </c>
      <c r="C200" s="529"/>
      <c r="D200" s="431">
        <v>2025210211</v>
      </c>
      <c r="E200" s="393" t="s">
        <v>41</v>
      </c>
      <c r="F200" s="393" t="s">
        <v>653</v>
      </c>
      <c r="G200" s="402" t="s">
        <v>706</v>
      </c>
      <c r="H200" s="403" t="s">
        <v>2614</v>
      </c>
      <c r="I200" s="393" t="str">
        <f t="shared" ca="1" si="7"/>
        <v/>
      </c>
      <c r="J200" s="401"/>
      <c r="K200" s="401"/>
      <c r="L200" s="401" t="s">
        <v>2248</v>
      </c>
      <c r="M200" s="401" t="s">
        <v>763</v>
      </c>
      <c r="N200" s="393" t="s">
        <v>41</v>
      </c>
      <c r="O200" s="393"/>
      <c r="P200" s="404"/>
      <c r="Q200" s="401"/>
      <c r="R200" s="401"/>
    </row>
    <row r="201" spans="1:18" ht="20.25" customHeight="1">
      <c r="A201" s="401"/>
      <c r="B201" s="497" t="s">
        <v>2622</v>
      </c>
      <c r="C201" s="508" t="s">
        <v>2623</v>
      </c>
      <c r="D201" s="496">
        <v>2025209709</v>
      </c>
      <c r="E201" s="393" t="s">
        <v>41</v>
      </c>
      <c r="F201" s="393" t="s">
        <v>634</v>
      </c>
      <c r="G201" s="412" t="s">
        <v>706</v>
      </c>
      <c r="H201" s="403" t="s">
        <v>2614</v>
      </c>
      <c r="I201" s="393" t="e">
        <f t="shared" ca="1" si="7"/>
        <v>#VALUE!</v>
      </c>
      <c r="J201" s="415">
        <v>46003</v>
      </c>
      <c r="K201" s="401" t="s">
        <v>2249</v>
      </c>
      <c r="L201" s="411" t="s">
        <v>2629</v>
      </c>
      <c r="M201" s="401" t="s">
        <v>763</v>
      </c>
      <c r="N201" s="393" t="s">
        <v>41</v>
      </c>
      <c r="O201" s="393"/>
      <c r="P201" s="404"/>
      <c r="Q201" s="401"/>
      <c r="R201" s="401"/>
    </row>
    <row r="202" spans="1:18" ht="20.25" customHeight="1">
      <c r="A202" s="401"/>
      <c r="B202" s="497" t="s">
        <v>2622</v>
      </c>
      <c r="C202" s="508"/>
      <c r="D202" s="496">
        <v>2025209709</v>
      </c>
      <c r="E202" s="393" t="s">
        <v>41</v>
      </c>
      <c r="F202" s="393" t="s">
        <v>631</v>
      </c>
      <c r="G202" s="418" t="s">
        <v>2630</v>
      </c>
      <c r="H202" s="403" t="s">
        <v>2614</v>
      </c>
      <c r="I202" s="393" t="e">
        <f t="shared" ca="1" si="7"/>
        <v>#VALUE!</v>
      </c>
      <c r="J202" s="401"/>
      <c r="K202" s="401" t="s">
        <v>2250</v>
      </c>
      <c r="L202" s="401" t="s">
        <v>2631</v>
      </c>
      <c r="M202" s="401" t="s">
        <v>871</v>
      </c>
      <c r="N202" s="393" t="s">
        <v>41</v>
      </c>
      <c r="O202" s="393"/>
      <c r="P202" s="404"/>
      <c r="Q202" s="401"/>
      <c r="R202" s="401"/>
    </row>
    <row r="203" spans="1:18" ht="20.25" customHeight="1">
      <c r="A203" s="401"/>
      <c r="B203" s="497" t="s">
        <v>2254</v>
      </c>
      <c r="C203" s="508"/>
      <c r="D203" s="496">
        <v>2025209709</v>
      </c>
      <c r="E203" s="393" t="s">
        <v>41</v>
      </c>
      <c r="F203" s="393" t="s">
        <v>653</v>
      </c>
      <c r="G203" s="412" t="s">
        <v>706</v>
      </c>
      <c r="H203" s="403" t="s">
        <v>2614</v>
      </c>
      <c r="I203" s="393" t="str">
        <f t="shared" ca="1" si="7"/>
        <v/>
      </c>
      <c r="J203" s="401"/>
      <c r="K203" s="401"/>
      <c r="L203" s="401" t="s">
        <v>1375</v>
      </c>
      <c r="M203" s="401" t="s">
        <v>763</v>
      </c>
      <c r="N203" s="393" t="s">
        <v>41</v>
      </c>
      <c r="O203" s="393"/>
      <c r="P203" s="404"/>
      <c r="Q203" s="401"/>
      <c r="R203" s="401"/>
    </row>
    <row r="204" spans="1:18" ht="20.25" customHeight="1">
      <c r="A204" s="401"/>
      <c r="B204" s="497" t="s">
        <v>2622</v>
      </c>
      <c r="C204" s="508" t="s">
        <v>2623</v>
      </c>
      <c r="D204" s="496">
        <v>2025210102</v>
      </c>
      <c r="E204" s="393" t="s">
        <v>41</v>
      </c>
      <c r="F204" s="393" t="s">
        <v>634</v>
      </c>
      <c r="G204" s="412" t="s">
        <v>706</v>
      </c>
      <c r="H204" s="403" t="s">
        <v>2428</v>
      </c>
      <c r="I204" s="393" t="str">
        <f t="shared" ca="1" si="7"/>
        <v/>
      </c>
      <c r="J204" s="401"/>
      <c r="K204" s="401" t="s">
        <v>1378</v>
      </c>
      <c r="L204" s="401" t="s">
        <v>1379</v>
      </c>
      <c r="M204" s="401" t="s">
        <v>763</v>
      </c>
      <c r="N204" s="393" t="s">
        <v>41</v>
      </c>
      <c r="O204" s="393"/>
      <c r="P204" s="404">
        <v>500</v>
      </c>
      <c r="Q204" s="401"/>
      <c r="R204" s="401"/>
    </row>
    <row r="205" spans="1:18" ht="20.25" customHeight="1">
      <c r="A205" s="401"/>
      <c r="B205" s="497" t="s">
        <v>2622</v>
      </c>
      <c r="C205" s="508" t="s">
        <v>2623</v>
      </c>
      <c r="D205" s="496">
        <v>2025210102</v>
      </c>
      <c r="E205" s="393" t="s">
        <v>41</v>
      </c>
      <c r="F205" s="393" t="s">
        <v>631</v>
      </c>
      <c r="G205" s="412" t="s">
        <v>706</v>
      </c>
      <c r="H205" s="403" t="s">
        <v>2428</v>
      </c>
      <c r="I205" s="393" t="str">
        <f t="shared" ca="1" si="7"/>
        <v/>
      </c>
      <c r="J205" s="401"/>
      <c r="K205" s="401" t="s">
        <v>2253</v>
      </c>
      <c r="L205" s="401" t="s">
        <v>1380</v>
      </c>
      <c r="M205" s="401" t="s">
        <v>763</v>
      </c>
      <c r="N205" s="393" t="s">
        <v>41</v>
      </c>
      <c r="O205" s="393"/>
      <c r="P205" s="404">
        <v>450</v>
      </c>
      <c r="Q205" s="401"/>
      <c r="R205" s="401"/>
    </row>
    <row r="206" spans="1:18" ht="20.25" customHeight="1">
      <c r="A206" s="401"/>
      <c r="B206" s="497" t="s">
        <v>2622</v>
      </c>
      <c r="C206" s="508" t="s">
        <v>2623</v>
      </c>
      <c r="D206" s="496">
        <v>2025210102</v>
      </c>
      <c r="E206" s="393" t="s">
        <v>41</v>
      </c>
      <c r="F206" s="393" t="s">
        <v>653</v>
      </c>
      <c r="G206" s="412" t="s">
        <v>706</v>
      </c>
      <c r="H206" s="403" t="s">
        <v>2428</v>
      </c>
      <c r="I206" s="393" t="str">
        <f t="shared" ca="1" si="7"/>
        <v/>
      </c>
      <c r="J206" s="401"/>
      <c r="K206" s="401"/>
      <c r="L206" s="401" t="s">
        <v>1381</v>
      </c>
      <c r="M206" s="401" t="s">
        <v>763</v>
      </c>
      <c r="N206" s="393" t="s">
        <v>41</v>
      </c>
      <c r="O206" s="393"/>
      <c r="P206" s="404">
        <v>300</v>
      </c>
      <c r="Q206" s="401"/>
      <c r="R206" s="401"/>
    </row>
    <row r="207" spans="1:18" ht="20.25" customHeight="1">
      <c r="A207" s="401"/>
      <c r="B207" s="535" t="s">
        <v>2622</v>
      </c>
      <c r="C207" s="536" t="s">
        <v>2623</v>
      </c>
      <c r="D207" s="537">
        <v>2025212758</v>
      </c>
      <c r="E207" s="393" t="s">
        <v>41</v>
      </c>
      <c r="F207" s="393" t="s">
        <v>631</v>
      </c>
      <c r="G207" s="412" t="s">
        <v>706</v>
      </c>
      <c r="H207" s="403" t="s">
        <v>2614</v>
      </c>
      <c r="I207" s="393" t="e">
        <f t="shared" ca="1" si="7"/>
        <v>#VALUE!</v>
      </c>
      <c r="J207" s="415">
        <v>46000</v>
      </c>
      <c r="K207" s="401" t="s">
        <v>328</v>
      </c>
      <c r="L207" s="401" t="s">
        <v>1384</v>
      </c>
      <c r="M207" s="401" t="s">
        <v>763</v>
      </c>
      <c r="N207" s="393" t="s">
        <v>41</v>
      </c>
      <c r="O207" s="393"/>
      <c r="P207" s="404"/>
      <c r="Q207" s="401"/>
      <c r="R207" s="401"/>
    </row>
    <row r="208" spans="1:18" ht="20.25" customHeight="1">
      <c r="A208" s="401"/>
      <c r="B208" s="535" t="s">
        <v>2622</v>
      </c>
      <c r="C208" s="536"/>
      <c r="D208" s="537">
        <v>2025212758</v>
      </c>
      <c r="E208" s="393" t="s">
        <v>41</v>
      </c>
      <c r="F208" s="393" t="s">
        <v>638</v>
      </c>
      <c r="G208" s="408" t="s">
        <v>2521</v>
      </c>
      <c r="H208" s="403" t="s">
        <v>2614</v>
      </c>
      <c r="I208" s="393" t="e">
        <f t="shared" ca="1" si="7"/>
        <v>#VALUE!</v>
      </c>
      <c r="J208" s="415">
        <v>46000</v>
      </c>
      <c r="K208" s="401"/>
      <c r="L208" s="401"/>
      <c r="M208" s="401" t="s">
        <v>763</v>
      </c>
      <c r="N208" s="393" t="s">
        <v>41</v>
      </c>
      <c r="O208" s="393"/>
      <c r="P208" s="404">
        <v>450</v>
      </c>
      <c r="Q208" s="401"/>
      <c r="R208" s="401"/>
    </row>
    <row r="209" spans="1:18" ht="20.25" customHeight="1">
      <c r="A209" s="401"/>
      <c r="B209" s="535" t="s">
        <v>2622</v>
      </c>
      <c r="C209" s="536" t="s">
        <v>2623</v>
      </c>
      <c r="D209" s="537">
        <v>2025212758</v>
      </c>
      <c r="E209" s="393" t="s">
        <v>41</v>
      </c>
      <c r="F209" s="393" t="s">
        <v>653</v>
      </c>
      <c r="G209" s="412" t="s">
        <v>706</v>
      </c>
      <c r="H209" s="403" t="s">
        <v>2614</v>
      </c>
      <c r="I209" s="393" t="e">
        <f t="shared" ref="I209:I215" ca="1" si="8">IF(H209="", "", IF(OR(G209="Completed", G209="STOP"), IF(J209="", "", J209-H209), TODAY()-H209))</f>
        <v>#VALUE!</v>
      </c>
      <c r="J209" s="415">
        <v>46000</v>
      </c>
      <c r="K209" s="401"/>
      <c r="L209" s="401" t="s">
        <v>1385</v>
      </c>
      <c r="M209" s="401" t="s">
        <v>1163</v>
      </c>
      <c r="N209" s="393" t="s">
        <v>41</v>
      </c>
      <c r="O209" s="393"/>
      <c r="P209" s="404">
        <v>300</v>
      </c>
      <c r="Q209" s="401"/>
      <c r="R209" s="401"/>
    </row>
    <row r="210" spans="1:18" ht="20.25" customHeight="1">
      <c r="A210" s="401"/>
      <c r="B210" s="497" t="s">
        <v>2233</v>
      </c>
      <c r="C210" s="508"/>
      <c r="D210" s="496">
        <v>2025209132</v>
      </c>
      <c r="E210" s="393"/>
      <c r="F210" s="393" t="s">
        <v>634</v>
      </c>
      <c r="G210" s="412" t="s">
        <v>706</v>
      </c>
      <c r="H210" s="403" t="s">
        <v>2614</v>
      </c>
      <c r="I210" s="393" t="str">
        <f t="shared" ca="1" si="8"/>
        <v/>
      </c>
      <c r="J210" s="401"/>
      <c r="K210" s="401" t="s">
        <v>1389</v>
      </c>
      <c r="L210" s="401" t="s">
        <v>1390</v>
      </c>
      <c r="M210" s="401" t="s">
        <v>871</v>
      </c>
      <c r="N210" s="403">
        <v>45789</v>
      </c>
      <c r="O210" s="393"/>
      <c r="P210" s="404"/>
      <c r="Q210" s="401"/>
      <c r="R210" s="401"/>
    </row>
    <row r="211" spans="1:18" ht="20.25" customHeight="1">
      <c r="A211" s="401"/>
      <c r="B211" s="497" t="s">
        <v>2233</v>
      </c>
      <c r="C211" s="508"/>
      <c r="D211" s="496">
        <v>2025209145</v>
      </c>
      <c r="E211" s="393" t="s">
        <v>41</v>
      </c>
      <c r="F211" s="393" t="s">
        <v>634</v>
      </c>
      <c r="G211" s="412" t="s">
        <v>706</v>
      </c>
      <c r="H211" s="403" t="s">
        <v>2614</v>
      </c>
      <c r="I211" s="393" t="str">
        <f t="shared" ca="1" si="8"/>
        <v/>
      </c>
      <c r="J211" s="401"/>
      <c r="K211" s="401" t="s">
        <v>1394</v>
      </c>
      <c r="L211" s="401" t="s">
        <v>1390</v>
      </c>
      <c r="M211" s="401" t="s">
        <v>871</v>
      </c>
      <c r="N211" s="403">
        <v>45789</v>
      </c>
      <c r="O211" s="393"/>
      <c r="P211" s="404"/>
      <c r="Q211" s="401"/>
      <c r="R211" s="401"/>
    </row>
    <row r="212" spans="1:18" ht="20.25" customHeight="1">
      <c r="A212" s="401"/>
      <c r="B212" s="497" t="s">
        <v>2233</v>
      </c>
      <c r="C212" s="508"/>
      <c r="D212" s="496">
        <v>2025206806</v>
      </c>
      <c r="E212" s="393" t="s">
        <v>41</v>
      </c>
      <c r="F212" s="393" t="s">
        <v>634</v>
      </c>
      <c r="G212" s="412" t="s">
        <v>706</v>
      </c>
      <c r="H212" s="403" t="s">
        <v>2614</v>
      </c>
      <c r="I212" s="393" t="str">
        <f t="shared" ca="1" si="8"/>
        <v/>
      </c>
      <c r="J212" s="401"/>
      <c r="K212" s="401" t="s">
        <v>2258</v>
      </c>
      <c r="L212" s="401" t="s">
        <v>1390</v>
      </c>
      <c r="M212" s="401" t="s">
        <v>871</v>
      </c>
      <c r="N212" s="393" t="s">
        <v>41</v>
      </c>
      <c r="O212" s="393"/>
      <c r="P212" s="404"/>
      <c r="Q212" s="401"/>
      <c r="R212" s="401"/>
    </row>
    <row r="213" spans="1:18" ht="20.25" customHeight="1">
      <c r="A213" s="401"/>
      <c r="B213" s="497" t="s">
        <v>2233</v>
      </c>
      <c r="C213" s="508"/>
      <c r="D213" s="496">
        <v>2025206806</v>
      </c>
      <c r="E213" s="393" t="s">
        <v>41</v>
      </c>
      <c r="F213" s="393" t="s">
        <v>631</v>
      </c>
      <c r="G213" s="412" t="s">
        <v>706</v>
      </c>
      <c r="H213" s="403" t="s">
        <v>2614</v>
      </c>
      <c r="I213" s="393" t="str">
        <f t="shared" ca="1" si="8"/>
        <v/>
      </c>
      <c r="J213" s="401"/>
      <c r="K213" s="411" t="s">
        <v>2259</v>
      </c>
      <c r="L213" s="401" t="s">
        <v>2632</v>
      </c>
      <c r="M213" s="401" t="s">
        <v>871</v>
      </c>
      <c r="N213" s="393" t="s">
        <v>41</v>
      </c>
      <c r="O213" s="393"/>
      <c r="P213" s="404"/>
      <c r="Q213" s="401"/>
      <c r="R213" s="401"/>
    </row>
    <row r="214" spans="1:18" ht="20.25" customHeight="1">
      <c r="A214" s="401"/>
      <c r="B214" s="497" t="s">
        <v>2233</v>
      </c>
      <c r="C214" s="508"/>
      <c r="D214" s="496">
        <v>2025206806</v>
      </c>
      <c r="E214" s="393" t="s">
        <v>41</v>
      </c>
      <c r="F214" s="393" t="s">
        <v>653</v>
      </c>
      <c r="G214" s="412" t="s">
        <v>706</v>
      </c>
      <c r="H214" s="403" t="s">
        <v>2614</v>
      </c>
      <c r="I214" s="393" t="str">
        <f t="shared" ca="1" si="8"/>
        <v/>
      </c>
      <c r="J214" s="401"/>
      <c r="K214" s="401"/>
      <c r="L214" s="401" t="s">
        <v>1391</v>
      </c>
      <c r="M214" s="401" t="s">
        <v>871</v>
      </c>
      <c r="N214" s="403">
        <v>45789</v>
      </c>
      <c r="O214" s="393"/>
      <c r="P214" s="404"/>
      <c r="Q214" s="401"/>
      <c r="R214" s="401"/>
    </row>
    <row r="215" spans="1:18" ht="20.25" customHeight="1">
      <c r="A215" s="401"/>
      <c r="B215" s="497" t="s">
        <v>2254</v>
      </c>
      <c r="C215" s="508" t="s">
        <v>2623</v>
      </c>
      <c r="D215" s="496">
        <v>2025210434</v>
      </c>
      <c r="E215" s="393" t="s">
        <v>41</v>
      </c>
      <c r="F215" s="393" t="s">
        <v>634</v>
      </c>
      <c r="G215" s="412" t="s">
        <v>706</v>
      </c>
      <c r="H215" s="403" t="s">
        <v>2614</v>
      </c>
      <c r="I215" s="393" t="str">
        <f t="shared" ca="1" si="8"/>
        <v/>
      </c>
      <c r="J215" s="401"/>
      <c r="K215" s="401" t="s">
        <v>2261</v>
      </c>
      <c r="L215" s="401"/>
      <c r="M215" s="401" t="s">
        <v>763</v>
      </c>
      <c r="N215" s="393" t="s">
        <v>41</v>
      </c>
      <c r="O215" s="393"/>
      <c r="P215" s="404"/>
      <c r="Q215" s="401"/>
      <c r="R215" s="401"/>
    </row>
    <row r="216" spans="1:18" s="444" customFormat="1" ht="20.25" customHeight="1">
      <c r="A216" s="441"/>
      <c r="B216" s="497" t="s">
        <v>2254</v>
      </c>
      <c r="C216" s="508"/>
      <c r="D216" s="496">
        <v>2025210434</v>
      </c>
      <c r="E216" s="414" t="s">
        <v>41</v>
      </c>
      <c r="F216" s="414" t="s">
        <v>631</v>
      </c>
      <c r="G216" s="416" t="s">
        <v>747</v>
      </c>
      <c r="H216" s="442"/>
      <c r="I216" s="414"/>
      <c r="J216" s="441"/>
      <c r="K216" s="441"/>
      <c r="L216" s="441"/>
      <c r="M216" s="441"/>
      <c r="N216" s="414"/>
      <c r="O216" s="414" t="s">
        <v>2633</v>
      </c>
      <c r="P216" s="443"/>
      <c r="Q216" s="441"/>
      <c r="R216" s="441"/>
    </row>
    <row r="217" spans="1:18" s="444" customFormat="1" ht="20.25" customHeight="1">
      <c r="A217" s="441"/>
      <c r="B217" s="497" t="s">
        <v>2254</v>
      </c>
      <c r="C217" s="508"/>
      <c r="D217" s="496">
        <v>2025210434</v>
      </c>
      <c r="E217" s="414" t="s">
        <v>41</v>
      </c>
      <c r="F217" s="414" t="s">
        <v>638</v>
      </c>
      <c r="G217" s="416" t="s">
        <v>747</v>
      </c>
      <c r="H217" s="442"/>
      <c r="I217" s="414"/>
      <c r="J217" s="441"/>
      <c r="K217" s="441"/>
      <c r="L217" s="441"/>
      <c r="M217" s="441"/>
      <c r="N217" s="414"/>
      <c r="O217" s="414" t="s">
        <v>2633</v>
      </c>
      <c r="P217" s="443"/>
      <c r="Q217" s="441"/>
      <c r="R217" s="441"/>
    </row>
    <row r="218" spans="1:18" s="444" customFormat="1" ht="20.25" customHeight="1">
      <c r="A218" s="441"/>
      <c r="B218" s="497" t="s">
        <v>2254</v>
      </c>
      <c r="C218" s="508"/>
      <c r="D218" s="496">
        <v>2025210434</v>
      </c>
      <c r="E218" s="414" t="s">
        <v>41</v>
      </c>
      <c r="F218" s="414" t="s">
        <v>653</v>
      </c>
      <c r="G218" s="416" t="s">
        <v>747</v>
      </c>
      <c r="H218" s="442"/>
      <c r="I218" s="414"/>
      <c r="J218" s="441"/>
      <c r="K218" s="441"/>
      <c r="L218" s="441"/>
      <c r="M218" s="441"/>
      <c r="N218" s="414"/>
      <c r="O218" s="414" t="s">
        <v>2633</v>
      </c>
      <c r="P218" s="443"/>
      <c r="Q218" s="441"/>
      <c r="R218" s="441"/>
    </row>
    <row r="219" spans="1:18" ht="20.25" customHeight="1">
      <c r="A219" s="401"/>
      <c r="B219" s="515" t="s">
        <v>2622</v>
      </c>
      <c r="C219" s="529" t="s">
        <v>2634</v>
      </c>
      <c r="D219" s="431">
        <v>2025209745</v>
      </c>
      <c r="E219" s="393" t="s">
        <v>41</v>
      </c>
      <c r="F219" s="393" t="s">
        <v>634</v>
      </c>
      <c r="G219" s="413" t="s">
        <v>706</v>
      </c>
      <c r="H219" s="403" t="s">
        <v>2614</v>
      </c>
      <c r="I219" s="393" t="str">
        <f t="shared" ref="I219:I242" ca="1" si="9">IF(H219="", "", IF(OR(G219="Completed", G219="STOP"), IF(J219="", "", J219-H219), TODAY()-H219))</f>
        <v/>
      </c>
      <c r="J219" s="401"/>
      <c r="K219" s="411" t="s">
        <v>2635</v>
      </c>
      <c r="L219" s="401" t="s">
        <v>1405</v>
      </c>
      <c r="M219" s="401" t="s">
        <v>763</v>
      </c>
      <c r="N219" s="393" t="s">
        <v>41</v>
      </c>
      <c r="O219" s="393"/>
      <c r="P219" s="404"/>
      <c r="Q219" s="401"/>
      <c r="R219" s="401"/>
    </row>
    <row r="220" spans="1:18" ht="20.25" customHeight="1">
      <c r="A220" s="401"/>
      <c r="B220" s="515" t="s">
        <v>948</v>
      </c>
      <c r="C220" s="529"/>
      <c r="D220" s="431">
        <v>2025209745</v>
      </c>
      <c r="E220" s="393" t="s">
        <v>41</v>
      </c>
      <c r="F220" s="393" t="s">
        <v>653</v>
      </c>
      <c r="G220" s="412" t="s">
        <v>706</v>
      </c>
      <c r="H220" s="403"/>
      <c r="I220" s="393" t="str">
        <f t="shared" ca="1" si="9"/>
        <v/>
      </c>
      <c r="J220" s="401" t="s">
        <v>2636</v>
      </c>
      <c r="K220" s="401"/>
      <c r="L220" s="401" t="s">
        <v>1407</v>
      </c>
      <c r="M220" s="401"/>
      <c r="N220" s="393" t="s">
        <v>41</v>
      </c>
      <c r="O220" s="393"/>
      <c r="P220" s="404"/>
      <c r="Q220" s="401"/>
      <c r="R220" s="401"/>
    </row>
    <row r="221" spans="1:18" ht="20.25" customHeight="1">
      <c r="A221" s="401"/>
      <c r="B221" s="515" t="s">
        <v>794</v>
      </c>
      <c r="C221" s="529" t="s">
        <v>2486</v>
      </c>
      <c r="D221" s="431">
        <v>2023210048</v>
      </c>
      <c r="E221" s="393" t="s">
        <v>41</v>
      </c>
      <c r="F221" s="393" t="s">
        <v>638</v>
      </c>
      <c r="G221" s="408" t="s">
        <v>716</v>
      </c>
      <c r="H221" s="403" t="s">
        <v>2614</v>
      </c>
      <c r="I221" s="393" t="e">
        <f t="shared" ca="1" si="9"/>
        <v>#VALUE!</v>
      </c>
      <c r="J221" s="401"/>
      <c r="K221" s="401" t="s">
        <v>1412</v>
      </c>
      <c r="L221" s="401" t="s">
        <v>1405</v>
      </c>
      <c r="M221" s="401" t="s">
        <v>763</v>
      </c>
      <c r="N221" s="393" t="s">
        <v>41</v>
      </c>
      <c r="O221" s="393"/>
      <c r="P221" s="404"/>
      <c r="Q221" s="401"/>
      <c r="R221" s="401"/>
    </row>
    <row r="222" spans="1:18" ht="20.25" customHeight="1">
      <c r="A222" s="401"/>
      <c r="B222" s="497" t="s">
        <v>2637</v>
      </c>
      <c r="C222" s="508"/>
      <c r="D222" s="496" t="s">
        <v>352</v>
      </c>
      <c r="E222" s="393" t="s">
        <v>41</v>
      </c>
      <c r="F222" s="393" t="s">
        <v>634</v>
      </c>
      <c r="G222" s="408" t="s">
        <v>721</v>
      </c>
      <c r="H222" s="403" t="s">
        <v>2616</v>
      </c>
      <c r="I222" s="393" t="e">
        <f t="shared" ca="1" si="9"/>
        <v>#VALUE!</v>
      </c>
      <c r="J222" s="401"/>
      <c r="K222" s="401" t="s">
        <v>1419</v>
      </c>
      <c r="L222" s="401" t="s">
        <v>2638</v>
      </c>
      <c r="M222" s="401" t="s">
        <v>774</v>
      </c>
      <c r="N222" s="393" t="s">
        <v>41</v>
      </c>
      <c r="O222" s="393"/>
      <c r="P222" s="404"/>
      <c r="Q222" s="401"/>
      <c r="R222" s="401"/>
    </row>
    <row r="223" spans="1:18" ht="20.25" customHeight="1">
      <c r="A223" s="401"/>
      <c r="B223" s="497" t="s">
        <v>2637</v>
      </c>
      <c r="C223" s="508"/>
      <c r="D223" s="496" t="s">
        <v>352</v>
      </c>
      <c r="E223" s="393" t="s">
        <v>41</v>
      </c>
      <c r="F223" s="393" t="s">
        <v>631</v>
      </c>
      <c r="G223" s="412" t="s">
        <v>2521</v>
      </c>
      <c r="H223" s="403"/>
      <c r="I223" s="393" t="str">
        <f t="shared" ca="1" si="9"/>
        <v/>
      </c>
      <c r="J223" s="401" t="s">
        <v>2396</v>
      </c>
      <c r="K223" s="401" t="s">
        <v>350</v>
      </c>
      <c r="L223" s="401" t="s">
        <v>1421</v>
      </c>
      <c r="M223" s="401" t="s">
        <v>2639</v>
      </c>
      <c r="N223" s="393" t="s">
        <v>41</v>
      </c>
      <c r="O223" s="393" t="s">
        <v>2640</v>
      </c>
      <c r="P223" s="404"/>
      <c r="Q223" s="401"/>
      <c r="R223" s="401"/>
    </row>
    <row r="224" spans="1:18" ht="20.25" customHeight="1">
      <c r="A224" s="401"/>
      <c r="B224" s="497" t="s">
        <v>2641</v>
      </c>
      <c r="C224" s="508"/>
      <c r="D224" s="496" t="s">
        <v>352</v>
      </c>
      <c r="E224" s="393" t="s">
        <v>41</v>
      </c>
      <c r="F224" s="393" t="s">
        <v>653</v>
      </c>
      <c r="G224" s="408" t="s">
        <v>2305</v>
      </c>
      <c r="H224" s="403"/>
      <c r="I224" s="393" t="str">
        <f t="shared" ca="1" si="9"/>
        <v/>
      </c>
      <c r="J224" s="401"/>
      <c r="K224" s="401"/>
      <c r="L224" s="401" t="s">
        <v>1422</v>
      </c>
      <c r="M224" s="401" t="s">
        <v>2639</v>
      </c>
      <c r="N224" s="393" t="s">
        <v>41</v>
      </c>
      <c r="O224" s="425" t="s">
        <v>2641</v>
      </c>
      <c r="P224" s="404"/>
      <c r="Q224" s="401"/>
      <c r="R224" s="401"/>
    </row>
    <row r="225" spans="1:18" ht="20.25" customHeight="1">
      <c r="A225" s="401"/>
      <c r="B225" s="497" t="s">
        <v>2642</v>
      </c>
      <c r="C225" s="508"/>
      <c r="D225" s="496" t="s">
        <v>355</v>
      </c>
      <c r="E225" s="393" t="s">
        <v>41</v>
      </c>
      <c r="F225" s="393" t="s">
        <v>634</v>
      </c>
      <c r="G225" s="412" t="s">
        <v>706</v>
      </c>
      <c r="H225" s="403"/>
      <c r="I225" s="393" t="str">
        <f t="shared" ca="1" si="9"/>
        <v/>
      </c>
      <c r="J225" s="401" t="s">
        <v>2643</v>
      </c>
      <c r="K225" s="401" t="s">
        <v>1426</v>
      </c>
      <c r="L225" s="401" t="s">
        <v>1427</v>
      </c>
      <c r="M225" s="401" t="s">
        <v>871</v>
      </c>
      <c r="N225" s="393" t="s">
        <v>41</v>
      </c>
      <c r="O225" s="393"/>
      <c r="P225" s="404"/>
      <c r="Q225" s="401"/>
      <c r="R225" s="401"/>
    </row>
    <row r="226" spans="1:18" ht="20.25" customHeight="1">
      <c r="A226" s="401"/>
      <c r="B226" s="497" t="s">
        <v>2642</v>
      </c>
      <c r="C226" s="508"/>
      <c r="D226" s="496" t="s">
        <v>355</v>
      </c>
      <c r="E226" s="393" t="s">
        <v>41</v>
      </c>
      <c r="F226" s="393" t="s">
        <v>631</v>
      </c>
      <c r="G226" s="408" t="s">
        <v>2305</v>
      </c>
      <c r="H226" s="403" t="s">
        <v>2614</v>
      </c>
      <c r="I226" s="393" t="e">
        <f t="shared" ca="1" si="9"/>
        <v>#VALUE!</v>
      </c>
      <c r="J226" s="401"/>
      <c r="K226" s="401" t="s">
        <v>353</v>
      </c>
      <c r="L226" s="401" t="s">
        <v>1428</v>
      </c>
      <c r="M226" s="401" t="s">
        <v>871</v>
      </c>
      <c r="N226" s="393" t="s">
        <v>41</v>
      </c>
      <c r="O226" s="393"/>
      <c r="P226" s="404"/>
      <c r="Q226" s="401"/>
      <c r="R226" s="401"/>
    </row>
    <row r="227" spans="1:18" ht="20.25" customHeight="1">
      <c r="A227" s="401"/>
      <c r="B227" s="497" t="s">
        <v>2233</v>
      </c>
      <c r="C227" s="508"/>
      <c r="D227" s="496" t="s">
        <v>355</v>
      </c>
      <c r="E227" s="393" t="s">
        <v>41</v>
      </c>
      <c r="F227" s="393" t="s">
        <v>653</v>
      </c>
      <c r="G227" s="408" t="s">
        <v>2305</v>
      </c>
      <c r="H227" s="403" t="s">
        <v>2614</v>
      </c>
      <c r="I227" s="393" t="e">
        <f t="shared" ca="1" si="9"/>
        <v>#VALUE!</v>
      </c>
      <c r="J227" s="401"/>
      <c r="K227" s="401"/>
      <c r="L227" s="420" t="s">
        <v>1429</v>
      </c>
      <c r="M227" s="401" t="s">
        <v>2621</v>
      </c>
      <c r="N227" s="393" t="s">
        <v>41</v>
      </c>
      <c r="O227" s="393"/>
      <c r="P227" s="404"/>
      <c r="Q227" s="401"/>
      <c r="R227" s="401"/>
    </row>
    <row r="228" spans="1:18" ht="20.25" customHeight="1">
      <c r="A228" s="401"/>
      <c r="B228" s="535" t="s">
        <v>2644</v>
      </c>
      <c r="C228" s="536"/>
      <c r="D228" s="537" t="s">
        <v>358</v>
      </c>
      <c r="E228" s="419" t="s">
        <v>41</v>
      </c>
      <c r="F228" s="419" t="s">
        <v>634</v>
      </c>
      <c r="G228" s="408" t="s">
        <v>2521</v>
      </c>
      <c r="H228" s="403" t="s">
        <v>2616</v>
      </c>
      <c r="I228" s="393" t="e">
        <f t="shared" ca="1" si="9"/>
        <v>#VALUE!</v>
      </c>
      <c r="J228" s="401"/>
      <c r="K228" s="401" t="s">
        <v>1432</v>
      </c>
      <c r="L228" s="401" t="s">
        <v>1433</v>
      </c>
      <c r="M228" s="401" t="s">
        <v>2645</v>
      </c>
      <c r="N228" s="393" t="s">
        <v>41</v>
      </c>
      <c r="O228" s="393"/>
      <c r="P228" s="404"/>
      <c r="Q228" s="401"/>
      <c r="R228" s="401"/>
    </row>
    <row r="229" spans="1:18" ht="20.25" customHeight="1">
      <c r="A229" s="401"/>
      <c r="B229" s="497" t="s">
        <v>2099</v>
      </c>
      <c r="C229" s="508"/>
      <c r="D229" s="496" t="s">
        <v>358</v>
      </c>
      <c r="E229" s="393" t="s">
        <v>41</v>
      </c>
      <c r="F229" s="393" t="s">
        <v>631</v>
      </c>
      <c r="G229" s="412" t="s">
        <v>706</v>
      </c>
      <c r="H229" s="403" t="s">
        <v>2616</v>
      </c>
      <c r="I229" s="393" t="str">
        <f t="shared" ca="1" si="9"/>
        <v/>
      </c>
      <c r="J229" s="401"/>
      <c r="K229" s="401" t="s">
        <v>356</v>
      </c>
      <c r="L229" s="401" t="s">
        <v>1434</v>
      </c>
      <c r="M229" s="401" t="s">
        <v>1435</v>
      </c>
      <c r="N229" s="393" t="s">
        <v>41</v>
      </c>
      <c r="O229" s="393" t="s">
        <v>2646</v>
      </c>
      <c r="P229" s="404"/>
      <c r="Q229" s="401"/>
      <c r="R229" s="401"/>
    </row>
    <row r="230" spans="1:18" ht="20.25" customHeight="1">
      <c r="A230" s="401"/>
      <c r="B230" s="497" t="s">
        <v>2099</v>
      </c>
      <c r="C230" s="508"/>
      <c r="D230" s="496" t="s">
        <v>358</v>
      </c>
      <c r="E230" s="393" t="s">
        <v>41</v>
      </c>
      <c r="F230" s="393" t="s">
        <v>638</v>
      </c>
      <c r="G230" s="412" t="s">
        <v>706</v>
      </c>
      <c r="H230" s="403" t="s">
        <v>2616</v>
      </c>
      <c r="I230" s="393" t="str">
        <f t="shared" ca="1" si="9"/>
        <v/>
      </c>
      <c r="J230" s="401"/>
      <c r="K230" s="401"/>
      <c r="L230" s="401"/>
      <c r="M230" s="401" t="s">
        <v>1435</v>
      </c>
      <c r="N230" s="393" t="s">
        <v>41</v>
      </c>
      <c r="O230" s="393" t="s">
        <v>2646</v>
      </c>
      <c r="P230" s="404"/>
      <c r="Q230" s="401"/>
      <c r="R230" s="401"/>
    </row>
    <row r="231" spans="1:18" ht="20.25" customHeight="1">
      <c r="A231" s="401"/>
      <c r="B231" s="535" t="s">
        <v>2644</v>
      </c>
      <c r="C231" s="536"/>
      <c r="D231" s="537" t="s">
        <v>358</v>
      </c>
      <c r="E231" s="419" t="s">
        <v>41</v>
      </c>
      <c r="F231" s="419" t="s">
        <v>653</v>
      </c>
      <c r="G231" s="408" t="s">
        <v>2305</v>
      </c>
      <c r="H231" s="403" t="s">
        <v>2616</v>
      </c>
      <c r="I231" s="393" t="e">
        <f t="shared" ca="1" si="9"/>
        <v>#VALUE!</v>
      </c>
      <c r="J231" s="401"/>
      <c r="K231" s="401"/>
      <c r="L231" s="411" t="s">
        <v>2647</v>
      </c>
      <c r="M231" s="401" t="s">
        <v>2648</v>
      </c>
      <c r="N231" s="393" t="s">
        <v>41</v>
      </c>
      <c r="O231" s="393"/>
      <c r="P231" s="404"/>
      <c r="Q231" s="401"/>
      <c r="R231" s="401"/>
    </row>
    <row r="232" spans="1:18" ht="20.25" customHeight="1">
      <c r="A232" s="401"/>
      <c r="B232" s="497" t="s">
        <v>2226</v>
      </c>
      <c r="C232" s="508"/>
      <c r="D232" s="496" t="s">
        <v>364</v>
      </c>
      <c r="E232" s="393" t="s">
        <v>41</v>
      </c>
      <c r="F232" s="393" t="s">
        <v>2309</v>
      </c>
      <c r="G232" s="408" t="s">
        <v>2316</v>
      </c>
      <c r="H232" s="403" t="s">
        <v>2611</v>
      </c>
      <c r="I232" s="393" t="e">
        <f t="shared" ca="1" si="9"/>
        <v>#VALUE!</v>
      </c>
      <c r="J232" s="401"/>
      <c r="K232" s="401" t="s">
        <v>362</v>
      </c>
      <c r="L232" s="401" t="s">
        <v>1454</v>
      </c>
      <c r="M232" s="401" t="s">
        <v>741</v>
      </c>
      <c r="N232" s="393" t="s">
        <v>41</v>
      </c>
      <c r="O232" s="393"/>
      <c r="P232" s="404"/>
      <c r="Q232" s="401"/>
      <c r="R232" s="401"/>
    </row>
    <row r="233" spans="1:18" ht="20.25" customHeight="1">
      <c r="A233" s="401"/>
      <c r="B233" s="497" t="s">
        <v>2099</v>
      </c>
      <c r="C233" s="508"/>
      <c r="D233" s="496">
        <v>2002429</v>
      </c>
      <c r="E233" s="393" t="s">
        <v>41</v>
      </c>
      <c r="F233" s="393" t="s">
        <v>634</v>
      </c>
      <c r="G233" s="412" t="s">
        <v>706</v>
      </c>
      <c r="H233" s="403" t="s">
        <v>2611</v>
      </c>
      <c r="I233" s="393" t="str">
        <f t="shared" ca="1" si="9"/>
        <v/>
      </c>
      <c r="J233" s="401"/>
      <c r="K233" s="401" t="s">
        <v>1455</v>
      </c>
      <c r="L233" s="401" t="s">
        <v>1456</v>
      </c>
      <c r="M233" s="401" t="s">
        <v>1435</v>
      </c>
      <c r="N233" s="393" t="s">
        <v>41</v>
      </c>
      <c r="O233" s="393"/>
      <c r="P233" s="404"/>
      <c r="Q233" s="401"/>
      <c r="R233" s="401"/>
    </row>
    <row r="234" spans="1:18" ht="20.25" customHeight="1">
      <c r="A234" s="411" t="s">
        <v>2649</v>
      </c>
      <c r="B234" s="497" t="s">
        <v>2099</v>
      </c>
      <c r="C234" s="508"/>
      <c r="D234" s="496">
        <v>2002429</v>
      </c>
      <c r="E234" s="393" t="s">
        <v>41</v>
      </c>
      <c r="F234" s="393" t="s">
        <v>631</v>
      </c>
      <c r="G234" s="412" t="s">
        <v>706</v>
      </c>
      <c r="H234" s="403" t="s">
        <v>2611</v>
      </c>
      <c r="I234" s="393" t="str">
        <f t="shared" ca="1" si="9"/>
        <v/>
      </c>
      <c r="J234" s="401"/>
      <c r="K234" s="401" t="s">
        <v>365</v>
      </c>
      <c r="L234" s="401" t="s">
        <v>1457</v>
      </c>
      <c r="M234" s="401" t="s">
        <v>1435</v>
      </c>
      <c r="N234" s="393" t="s">
        <v>41</v>
      </c>
      <c r="O234" s="393"/>
      <c r="P234" s="404"/>
      <c r="Q234" s="401"/>
      <c r="R234" s="401"/>
    </row>
    <row r="235" spans="1:18" ht="20.25" customHeight="1">
      <c r="A235" s="401"/>
      <c r="B235" s="516" t="s">
        <v>2099</v>
      </c>
      <c r="C235" s="545"/>
      <c r="D235" s="517">
        <v>2002429</v>
      </c>
      <c r="E235" s="393" t="s">
        <v>41</v>
      </c>
      <c r="F235" s="393" t="s">
        <v>638</v>
      </c>
      <c r="G235" s="408" t="s">
        <v>2305</v>
      </c>
      <c r="H235" s="403" t="s">
        <v>2611</v>
      </c>
      <c r="I235" s="393" t="e">
        <f t="shared" ca="1" si="9"/>
        <v>#VALUE!</v>
      </c>
      <c r="J235" s="401"/>
      <c r="K235" s="401"/>
      <c r="L235" s="401"/>
      <c r="M235" s="401" t="s">
        <v>1435</v>
      </c>
      <c r="N235" s="393" t="s">
        <v>41</v>
      </c>
      <c r="O235" s="393"/>
      <c r="P235" s="404"/>
      <c r="Q235" s="401"/>
      <c r="R235" s="401"/>
    </row>
    <row r="236" spans="1:18" ht="20.25" customHeight="1">
      <c r="A236" s="401"/>
      <c r="B236" s="497" t="s">
        <v>2099</v>
      </c>
      <c r="C236" s="508"/>
      <c r="D236" s="496">
        <v>2002429</v>
      </c>
      <c r="E236" s="393" t="s">
        <v>41</v>
      </c>
      <c r="F236" s="393" t="s">
        <v>653</v>
      </c>
      <c r="G236" s="412" t="s">
        <v>706</v>
      </c>
      <c r="H236" s="403" t="s">
        <v>2611</v>
      </c>
      <c r="I236" s="393" t="str">
        <f t="shared" ca="1" si="9"/>
        <v/>
      </c>
      <c r="J236" s="401"/>
      <c r="K236" s="401"/>
      <c r="L236" s="401" t="s">
        <v>1458</v>
      </c>
      <c r="M236" s="401" t="s">
        <v>1435</v>
      </c>
      <c r="N236" s="393" t="s">
        <v>41</v>
      </c>
      <c r="O236" s="393"/>
      <c r="P236" s="404"/>
      <c r="Q236" s="401"/>
      <c r="R236" s="401"/>
    </row>
    <row r="237" spans="1:18" ht="20.25" customHeight="1">
      <c r="A237" s="401"/>
      <c r="B237" s="497" t="s">
        <v>2099</v>
      </c>
      <c r="C237" s="508"/>
      <c r="D237" s="496">
        <v>2745855</v>
      </c>
      <c r="E237" s="393" t="s">
        <v>41</v>
      </c>
      <c r="F237" s="393" t="s">
        <v>634</v>
      </c>
      <c r="G237" s="412" t="s">
        <v>706</v>
      </c>
      <c r="H237" s="403" t="s">
        <v>2611</v>
      </c>
      <c r="I237" s="393" t="str">
        <f t="shared" ca="1" si="9"/>
        <v/>
      </c>
      <c r="J237" s="401"/>
      <c r="K237" s="401" t="s">
        <v>1463</v>
      </c>
      <c r="L237" s="401" t="s">
        <v>1464</v>
      </c>
      <c r="M237" s="401" t="s">
        <v>2650</v>
      </c>
      <c r="N237" s="403">
        <v>45728</v>
      </c>
      <c r="O237" s="393"/>
      <c r="P237" s="404"/>
      <c r="Q237" s="401"/>
      <c r="R237" s="401"/>
    </row>
    <row r="238" spans="1:18" ht="20.25" customHeight="1">
      <c r="A238" s="401"/>
      <c r="B238" s="497" t="s">
        <v>2099</v>
      </c>
      <c r="C238" s="508"/>
      <c r="D238" s="496">
        <v>2745855</v>
      </c>
      <c r="E238" s="393" t="s">
        <v>41</v>
      </c>
      <c r="F238" s="393" t="s">
        <v>631</v>
      </c>
      <c r="G238" s="412" t="s">
        <v>706</v>
      </c>
      <c r="H238" s="403" t="s">
        <v>2611</v>
      </c>
      <c r="I238" s="393" t="str">
        <f t="shared" ca="1" si="9"/>
        <v/>
      </c>
      <c r="J238" s="401"/>
      <c r="K238" s="401" t="s">
        <v>369</v>
      </c>
      <c r="L238" s="411" t="s">
        <v>2651</v>
      </c>
      <c r="M238" s="401" t="s">
        <v>2652</v>
      </c>
      <c r="N238" s="403">
        <v>45728</v>
      </c>
      <c r="O238" s="393"/>
      <c r="P238" s="404"/>
      <c r="Q238" s="401"/>
      <c r="R238" s="401"/>
    </row>
    <row r="239" spans="1:18" ht="20.25" customHeight="1">
      <c r="A239" s="401"/>
      <c r="B239" s="497" t="s">
        <v>2099</v>
      </c>
      <c r="C239" s="508"/>
      <c r="D239" s="496">
        <v>2745855</v>
      </c>
      <c r="E239" s="393" t="s">
        <v>41</v>
      </c>
      <c r="F239" s="393" t="s">
        <v>653</v>
      </c>
      <c r="G239" s="412" t="s">
        <v>706</v>
      </c>
      <c r="H239" s="403" t="s">
        <v>2611</v>
      </c>
      <c r="I239" s="393" t="str">
        <f t="shared" ca="1" si="9"/>
        <v/>
      </c>
      <c r="J239" s="401"/>
      <c r="K239" s="401"/>
      <c r="L239" s="401" t="s">
        <v>2653</v>
      </c>
      <c r="M239" s="401" t="s">
        <v>2654</v>
      </c>
      <c r="N239" s="403">
        <v>45728</v>
      </c>
      <c r="O239" s="393"/>
      <c r="P239" s="404"/>
      <c r="Q239" s="401"/>
      <c r="R239" s="401"/>
    </row>
    <row r="240" spans="1:18" ht="20.25" customHeight="1">
      <c r="A240" s="401"/>
      <c r="B240" s="516" t="s">
        <v>2099</v>
      </c>
      <c r="C240" s="545"/>
      <c r="D240" s="517">
        <v>2748309</v>
      </c>
      <c r="E240" s="393" t="s">
        <v>41</v>
      </c>
      <c r="F240" s="393" t="s">
        <v>634</v>
      </c>
      <c r="G240" s="412" t="s">
        <v>706</v>
      </c>
      <c r="H240" s="403" t="s">
        <v>2611</v>
      </c>
      <c r="I240" s="393" t="str">
        <f t="shared" ca="1" si="9"/>
        <v/>
      </c>
      <c r="J240" s="401"/>
      <c r="K240" s="401" t="s">
        <v>1470</v>
      </c>
      <c r="L240" s="401" t="s">
        <v>2655</v>
      </c>
      <c r="M240" s="401" t="s">
        <v>2656</v>
      </c>
      <c r="N240" s="393" t="s">
        <v>41</v>
      </c>
      <c r="O240" s="393"/>
      <c r="P240" s="404"/>
      <c r="Q240" s="401"/>
      <c r="R240" s="401"/>
    </row>
    <row r="241" spans="1:18" ht="20.25" customHeight="1">
      <c r="A241" s="401"/>
      <c r="B241" s="516" t="s">
        <v>2099</v>
      </c>
      <c r="C241" s="545"/>
      <c r="D241" s="517">
        <v>2748309</v>
      </c>
      <c r="E241" s="393" t="s">
        <v>41</v>
      </c>
      <c r="F241" s="393" t="s">
        <v>653</v>
      </c>
      <c r="G241" s="412" t="s">
        <v>706</v>
      </c>
      <c r="H241" s="403" t="s">
        <v>2611</v>
      </c>
      <c r="I241" s="393" t="str">
        <f t="shared" ca="1" si="9"/>
        <v/>
      </c>
      <c r="J241" s="401"/>
      <c r="K241" s="401"/>
      <c r="L241" s="401" t="s">
        <v>1473</v>
      </c>
      <c r="M241" s="401" t="s">
        <v>2657</v>
      </c>
      <c r="N241" s="393" t="s">
        <v>41</v>
      </c>
      <c r="O241" s="393"/>
      <c r="P241" s="404"/>
      <c r="Q241" s="401"/>
      <c r="R241" s="401"/>
    </row>
    <row r="242" spans="1:18" ht="20.25" customHeight="1">
      <c r="A242" s="401"/>
      <c r="B242" s="497" t="s">
        <v>2099</v>
      </c>
      <c r="C242" s="508"/>
      <c r="D242" s="496">
        <v>2748311</v>
      </c>
      <c r="E242" s="393" t="s">
        <v>41</v>
      </c>
      <c r="F242" s="393" t="s">
        <v>634</v>
      </c>
      <c r="G242" s="412" t="s">
        <v>706</v>
      </c>
      <c r="H242" s="403" t="s">
        <v>2611</v>
      </c>
      <c r="I242" s="393" t="str">
        <f t="shared" ca="1" si="9"/>
        <v/>
      </c>
      <c r="J242" s="401"/>
      <c r="K242" s="401" t="s">
        <v>1477</v>
      </c>
      <c r="L242" s="401" t="s">
        <v>2658</v>
      </c>
      <c r="M242" s="401" t="s">
        <v>2656</v>
      </c>
      <c r="N242" s="393" t="s">
        <v>41</v>
      </c>
      <c r="O242" s="393"/>
      <c r="P242" s="404"/>
      <c r="Q242" s="401"/>
      <c r="R242" s="401"/>
    </row>
    <row r="243" spans="1:18" ht="20.25" customHeight="1">
      <c r="A243" s="401"/>
      <c r="B243" s="497" t="s">
        <v>2099</v>
      </c>
      <c r="C243" s="508"/>
      <c r="D243" s="496">
        <v>2748311</v>
      </c>
      <c r="E243" s="393" t="s">
        <v>41</v>
      </c>
      <c r="F243" s="393" t="s">
        <v>631</v>
      </c>
      <c r="G243" s="412" t="s">
        <v>706</v>
      </c>
      <c r="H243" s="403"/>
      <c r="I243" s="393"/>
      <c r="J243" s="401"/>
      <c r="K243" s="401" t="s">
        <v>2659</v>
      </c>
      <c r="L243" s="411" t="s">
        <v>2660</v>
      </c>
      <c r="M243" s="401" t="s">
        <v>837</v>
      </c>
      <c r="N243" s="393"/>
      <c r="O243" s="393"/>
      <c r="P243" s="404"/>
      <c r="Q243" s="401"/>
      <c r="R243" s="401"/>
    </row>
    <row r="244" spans="1:18" ht="20.25" customHeight="1">
      <c r="A244" s="401"/>
      <c r="B244" s="535" t="s">
        <v>2099</v>
      </c>
      <c r="C244" s="536"/>
      <c r="D244" s="537">
        <v>2748311</v>
      </c>
      <c r="E244" s="393" t="s">
        <v>41</v>
      </c>
      <c r="F244" s="393" t="s">
        <v>653</v>
      </c>
      <c r="G244" s="402" t="s">
        <v>706</v>
      </c>
      <c r="H244" s="403"/>
      <c r="I244" s="393"/>
      <c r="J244" s="401"/>
      <c r="K244" s="401"/>
      <c r="L244" s="411" t="s">
        <v>1473</v>
      </c>
      <c r="M244" s="401" t="s">
        <v>837</v>
      </c>
      <c r="N244" s="393"/>
      <c r="O244" s="393"/>
      <c r="P244" s="404"/>
      <c r="Q244" s="401"/>
      <c r="R244" s="401"/>
    </row>
    <row r="245" spans="1:18" ht="20.25" customHeight="1">
      <c r="A245" s="401"/>
      <c r="B245" s="497" t="s">
        <v>2099</v>
      </c>
      <c r="C245" s="508"/>
      <c r="D245" s="496">
        <v>2748142</v>
      </c>
      <c r="E245" s="393" t="s">
        <v>41</v>
      </c>
      <c r="F245" s="393" t="s">
        <v>634</v>
      </c>
      <c r="G245" s="412" t="s">
        <v>706</v>
      </c>
      <c r="H245" s="403" t="s">
        <v>2611</v>
      </c>
      <c r="I245" s="393" t="str">
        <f t="shared" ref="I245:I252" ca="1" si="10">IF(H245="", "", IF(OR(G245="Completed", G245="STOP"), IF(J245="", "", J245-H245), TODAY()-H245))</f>
        <v/>
      </c>
      <c r="J245" s="401"/>
      <c r="K245" s="401" t="s">
        <v>1478</v>
      </c>
      <c r="L245" s="401" t="s">
        <v>1479</v>
      </c>
      <c r="M245" s="401" t="s">
        <v>2661</v>
      </c>
      <c r="N245" s="393" t="s">
        <v>41</v>
      </c>
      <c r="O245" s="393"/>
      <c r="P245" s="404"/>
      <c r="Q245" s="401"/>
      <c r="R245" s="401"/>
    </row>
    <row r="246" spans="1:18" ht="20.25" customHeight="1">
      <c r="A246" s="401"/>
      <c r="B246" s="497" t="s">
        <v>2099</v>
      </c>
      <c r="C246" s="508"/>
      <c r="D246" s="496">
        <v>2748142</v>
      </c>
      <c r="E246" s="393" t="s">
        <v>41</v>
      </c>
      <c r="F246" s="393" t="s">
        <v>631</v>
      </c>
      <c r="G246" s="412" t="s">
        <v>706</v>
      </c>
      <c r="H246" s="403" t="s">
        <v>2611</v>
      </c>
      <c r="I246" s="393" t="str">
        <f t="shared" ca="1" si="10"/>
        <v/>
      </c>
      <c r="J246" s="401"/>
      <c r="K246" s="411" t="s">
        <v>377</v>
      </c>
      <c r="L246" s="401" t="s">
        <v>2662</v>
      </c>
      <c r="M246" s="401" t="s">
        <v>2663</v>
      </c>
      <c r="N246" s="393" t="s">
        <v>41</v>
      </c>
      <c r="O246" s="393"/>
      <c r="P246" s="404"/>
      <c r="Q246" s="401"/>
      <c r="R246" s="401"/>
    </row>
    <row r="247" spans="1:18" ht="20.25" customHeight="1">
      <c r="A247" s="401"/>
      <c r="B247" s="535" t="s">
        <v>2099</v>
      </c>
      <c r="C247" s="536"/>
      <c r="D247" s="537">
        <v>2748142</v>
      </c>
      <c r="E247" s="393" t="s">
        <v>41</v>
      </c>
      <c r="F247" s="393" t="s">
        <v>638</v>
      </c>
      <c r="G247" s="408" t="s">
        <v>2305</v>
      </c>
      <c r="H247" s="403" t="s">
        <v>2611</v>
      </c>
      <c r="I247" s="393" t="e">
        <f t="shared" ca="1" si="10"/>
        <v>#VALUE!</v>
      </c>
      <c r="J247" s="401"/>
      <c r="K247" s="401"/>
      <c r="L247" s="401"/>
      <c r="M247" s="401" t="s">
        <v>2663</v>
      </c>
      <c r="N247" s="393" t="s">
        <v>41</v>
      </c>
      <c r="O247" s="393"/>
      <c r="P247" s="404"/>
      <c r="Q247" s="401"/>
      <c r="R247" s="401"/>
    </row>
    <row r="248" spans="1:18" ht="20.25" customHeight="1">
      <c r="A248" s="401"/>
      <c r="B248" s="497" t="s">
        <v>2099</v>
      </c>
      <c r="C248" s="508"/>
      <c r="D248" s="496">
        <v>2748142</v>
      </c>
      <c r="E248" s="393" t="s">
        <v>41</v>
      </c>
      <c r="F248" s="393" t="s">
        <v>653</v>
      </c>
      <c r="G248" s="412" t="s">
        <v>706</v>
      </c>
      <c r="H248" s="403" t="s">
        <v>2611</v>
      </c>
      <c r="I248" s="393" t="str">
        <f t="shared" ca="1" si="10"/>
        <v/>
      </c>
      <c r="J248" s="401"/>
      <c r="K248" s="401"/>
      <c r="L248" s="401" t="s">
        <v>2664</v>
      </c>
      <c r="M248" s="401" t="s">
        <v>2665</v>
      </c>
      <c r="N248" s="393" t="s">
        <v>41</v>
      </c>
      <c r="O248" s="393"/>
      <c r="P248" s="404"/>
      <c r="Q248" s="401"/>
      <c r="R248" s="401"/>
    </row>
    <row r="249" spans="1:18" s="448" customFormat="1" ht="20.25" customHeight="1">
      <c r="A249" s="406"/>
      <c r="B249" s="497" t="s">
        <v>2666</v>
      </c>
      <c r="C249" s="508"/>
      <c r="D249" s="496">
        <v>2025212933</v>
      </c>
      <c r="E249" s="445" t="s">
        <v>41</v>
      </c>
      <c r="F249" s="445" t="s">
        <v>634</v>
      </c>
      <c r="G249" s="445" t="s">
        <v>2305</v>
      </c>
      <c r="H249" s="446" t="s">
        <v>2616</v>
      </c>
      <c r="I249" s="445" t="e">
        <f t="shared" ca="1" si="10"/>
        <v>#VALUE!</v>
      </c>
      <c r="J249" s="406"/>
      <c r="K249" s="406" t="s">
        <v>1485</v>
      </c>
      <c r="L249" s="406" t="s">
        <v>2667</v>
      </c>
      <c r="M249" s="406" t="s">
        <v>963</v>
      </c>
      <c r="N249" s="445" t="s">
        <v>41</v>
      </c>
      <c r="O249" s="445"/>
      <c r="P249" s="447"/>
      <c r="Q249" s="406"/>
      <c r="R249" s="406"/>
    </row>
    <row r="250" spans="1:18" ht="20.25" customHeight="1">
      <c r="A250" s="401"/>
      <c r="B250" s="497" t="s">
        <v>2600</v>
      </c>
      <c r="C250" s="508"/>
      <c r="D250" s="496">
        <v>2025212933</v>
      </c>
      <c r="E250" s="393" t="s">
        <v>41</v>
      </c>
      <c r="F250" s="393" t="s">
        <v>631</v>
      </c>
      <c r="G250" s="408" t="s">
        <v>2305</v>
      </c>
      <c r="H250" s="403" t="s">
        <v>2616</v>
      </c>
      <c r="I250" s="393" t="e">
        <f t="shared" ca="1" si="10"/>
        <v>#VALUE!</v>
      </c>
      <c r="J250" s="401"/>
      <c r="K250" s="401" t="s">
        <v>380</v>
      </c>
      <c r="L250" s="401" t="s">
        <v>2668</v>
      </c>
      <c r="M250" s="401" t="s">
        <v>871</v>
      </c>
      <c r="N250" s="393" t="s">
        <v>41</v>
      </c>
      <c r="O250" s="393"/>
      <c r="P250" s="404"/>
      <c r="Q250" s="401"/>
      <c r="R250" s="401"/>
    </row>
    <row r="251" spans="1:18" ht="20.25" customHeight="1">
      <c r="A251" s="401"/>
      <c r="B251" s="497" t="s">
        <v>2666</v>
      </c>
      <c r="C251" s="508"/>
      <c r="D251" s="496">
        <v>2025212933</v>
      </c>
      <c r="E251" s="393" t="s">
        <v>41</v>
      </c>
      <c r="F251" s="393" t="s">
        <v>653</v>
      </c>
      <c r="G251" s="408" t="s">
        <v>2305</v>
      </c>
      <c r="H251" s="403" t="s">
        <v>2616</v>
      </c>
      <c r="I251" s="393" t="e">
        <f t="shared" ca="1" si="10"/>
        <v>#VALUE!</v>
      </c>
      <c r="J251" s="401"/>
      <c r="K251" s="401"/>
      <c r="L251" s="401" t="s">
        <v>1488</v>
      </c>
      <c r="M251" s="401" t="s">
        <v>963</v>
      </c>
      <c r="N251" s="393" t="s">
        <v>41</v>
      </c>
      <c r="O251" s="393"/>
      <c r="P251" s="404"/>
      <c r="Q251" s="401"/>
      <c r="R251" s="401"/>
    </row>
    <row r="252" spans="1:18" ht="20.25" customHeight="1">
      <c r="A252" s="401"/>
      <c r="B252" s="497" t="s">
        <v>2669</v>
      </c>
      <c r="C252" s="508"/>
      <c r="D252" s="496">
        <v>2025210107</v>
      </c>
      <c r="E252" s="393" t="s">
        <v>41</v>
      </c>
      <c r="F252" s="393" t="s">
        <v>651</v>
      </c>
      <c r="G252" s="408" t="s">
        <v>2316</v>
      </c>
      <c r="H252" s="403"/>
      <c r="I252" s="393" t="str">
        <f t="shared" ca="1" si="10"/>
        <v/>
      </c>
      <c r="J252" s="467"/>
      <c r="K252" s="401"/>
      <c r="L252" s="401"/>
      <c r="M252" s="401"/>
      <c r="N252" s="393" t="s">
        <v>41</v>
      </c>
      <c r="O252" s="393"/>
      <c r="P252" s="404"/>
      <c r="Q252" s="401"/>
      <c r="R252" s="401"/>
    </row>
    <row r="253" spans="1:18" ht="20.25" customHeight="1">
      <c r="A253" s="401"/>
      <c r="B253" s="547" t="s">
        <v>2480</v>
      </c>
      <c r="C253" s="548"/>
      <c r="D253" s="431">
        <v>2025212966</v>
      </c>
      <c r="E253" s="393" t="s">
        <v>41</v>
      </c>
      <c r="F253" s="393" t="s">
        <v>634</v>
      </c>
      <c r="G253" s="402" t="s">
        <v>706</v>
      </c>
      <c r="H253" s="403" t="s">
        <v>2612</v>
      </c>
      <c r="I253" s="465" t="e">
        <f ca="1">IF(H253="", "", IF(OR(G253="Completed", G253="STOP"), IF(J254="", "", J254-H253), TODAY()-H253))</f>
        <v>#VALUE!</v>
      </c>
      <c r="J253" s="415">
        <v>46022</v>
      </c>
      <c r="K253" s="407" t="s">
        <v>1494</v>
      </c>
      <c r="L253" s="401" t="s">
        <v>1495</v>
      </c>
      <c r="M253" s="401" t="s">
        <v>791</v>
      </c>
      <c r="N253" s="393" t="s">
        <v>41</v>
      </c>
      <c r="O253" s="393"/>
      <c r="P253" s="404"/>
      <c r="Q253" s="401"/>
      <c r="R253" s="401"/>
    </row>
    <row r="254" spans="1:18" ht="20.25" customHeight="1">
      <c r="A254" s="401"/>
      <c r="B254" s="549" t="s">
        <v>2480</v>
      </c>
      <c r="C254" s="550"/>
      <c r="D254" s="431">
        <v>2025212966</v>
      </c>
      <c r="E254" s="393" t="s">
        <v>41</v>
      </c>
      <c r="F254" s="393" t="s">
        <v>631</v>
      </c>
      <c r="G254" s="402" t="s">
        <v>706</v>
      </c>
      <c r="H254" s="403" t="s">
        <v>2612</v>
      </c>
      <c r="I254" s="465" t="e">
        <f ca="1">IF(H254="", "", IF(OR(G254="Completed", G254="STOP"), IF(#REF!="", "",#REF!- H254), TODAY()-H254))</f>
        <v>#REF!</v>
      </c>
      <c r="J254" s="415">
        <v>46022</v>
      </c>
      <c r="K254" s="546" t="s">
        <v>2670</v>
      </c>
      <c r="L254" s="401" t="s">
        <v>1496</v>
      </c>
      <c r="M254" s="401" t="s">
        <v>791</v>
      </c>
      <c r="N254" s="393" t="s">
        <v>41</v>
      </c>
      <c r="O254" s="393"/>
      <c r="P254" s="404"/>
      <c r="Q254" s="401"/>
      <c r="R254" s="401"/>
    </row>
    <row r="255" spans="1:18" ht="26.25" customHeight="1">
      <c r="A255" s="401"/>
      <c r="B255" s="549" t="s">
        <v>2671</v>
      </c>
      <c r="C255" s="551"/>
      <c r="D255" s="431">
        <v>2025212966</v>
      </c>
      <c r="E255" s="393"/>
      <c r="F255" s="393" t="s">
        <v>638</v>
      </c>
      <c r="G255" s="402" t="s">
        <v>706</v>
      </c>
      <c r="H255" s="403"/>
      <c r="I255" s="465"/>
      <c r="J255" s="415">
        <v>46082</v>
      </c>
      <c r="K255" s="407" t="s">
        <v>2672</v>
      </c>
      <c r="L255" s="401"/>
      <c r="M255" s="401" t="s">
        <v>791</v>
      </c>
      <c r="N255" s="393"/>
      <c r="O255" s="393"/>
      <c r="P255" s="404"/>
      <c r="Q255" s="401"/>
      <c r="R255" s="401"/>
    </row>
    <row r="256" spans="1:18" ht="28.5" customHeight="1">
      <c r="A256" s="401"/>
      <c r="B256" s="547" t="s">
        <v>2480</v>
      </c>
      <c r="C256" s="548"/>
      <c r="D256" s="431">
        <v>2025212966</v>
      </c>
      <c r="E256" s="393" t="s">
        <v>41</v>
      </c>
      <c r="F256" s="393" t="s">
        <v>653</v>
      </c>
      <c r="G256" s="402" t="s">
        <v>706</v>
      </c>
      <c r="H256" s="403" t="s">
        <v>2612</v>
      </c>
      <c r="I256" s="393" t="e">
        <f ca="1">IF(H256="", "", IF(OR(G256="Completed", G256="STOP"), IF(J256="", "", J256-H256), TODAY()-H256))</f>
        <v>#VALUE!</v>
      </c>
      <c r="J256" s="543">
        <v>46022</v>
      </c>
      <c r="K256" s="401"/>
      <c r="L256" s="411" t="s">
        <v>1497</v>
      </c>
      <c r="M256" s="401" t="s">
        <v>791</v>
      </c>
      <c r="N256" s="393" t="s">
        <v>41</v>
      </c>
      <c r="O256" s="393"/>
      <c r="P256" s="404"/>
      <c r="Q256" s="401"/>
      <c r="R256" s="401"/>
    </row>
    <row r="257" spans="1:18" ht="20.25" customHeight="1">
      <c r="A257" s="401"/>
      <c r="B257" s="515" t="s">
        <v>2622</v>
      </c>
      <c r="C257" s="529"/>
      <c r="D257" s="431">
        <v>2025212965</v>
      </c>
      <c r="E257" s="393" t="s">
        <v>41</v>
      </c>
      <c r="F257" s="393" t="s">
        <v>634</v>
      </c>
      <c r="G257" s="412" t="s">
        <v>706</v>
      </c>
      <c r="H257" s="403" t="s">
        <v>2428</v>
      </c>
      <c r="I257" s="393" t="str">
        <f ca="1">IF(H257="", "", IF(OR(G257="Completed", G257="STOP"), IF(J257="", "", J257-H257), TODAY()-H257))</f>
        <v/>
      </c>
      <c r="J257" s="401"/>
      <c r="K257" s="401" t="s">
        <v>1501</v>
      </c>
      <c r="L257" s="401" t="s">
        <v>1502</v>
      </c>
      <c r="M257" s="401" t="s">
        <v>1163</v>
      </c>
      <c r="N257" s="393" t="s">
        <v>41</v>
      </c>
      <c r="O257" s="393"/>
      <c r="P257" s="404"/>
      <c r="Q257" s="401"/>
      <c r="R257" s="401"/>
    </row>
    <row r="258" spans="1:18" ht="20.25" customHeight="1">
      <c r="A258" s="401"/>
      <c r="B258" s="515" t="s">
        <v>2622</v>
      </c>
      <c r="C258" s="529"/>
      <c r="D258" s="431">
        <v>2025212965</v>
      </c>
      <c r="E258" s="393" t="s">
        <v>41</v>
      </c>
      <c r="F258" s="393" t="s">
        <v>631</v>
      </c>
      <c r="G258" s="412" t="s">
        <v>706</v>
      </c>
      <c r="H258" s="403" t="s">
        <v>2428</v>
      </c>
      <c r="I258" s="393" t="str">
        <f ca="1">IF(H258="", "", IF(OR(G258="Completed", G258="STOP"), IF(J258="", "", J258-H258), TODAY()-H258))</f>
        <v/>
      </c>
      <c r="J258" s="401"/>
      <c r="K258" s="401" t="s">
        <v>389</v>
      </c>
      <c r="L258" s="401" t="s">
        <v>1503</v>
      </c>
      <c r="M258" s="401" t="s">
        <v>1163</v>
      </c>
      <c r="N258" s="393" t="s">
        <v>41</v>
      </c>
      <c r="O258" s="393"/>
      <c r="P258" s="404"/>
      <c r="Q258" s="401"/>
      <c r="R258" s="401"/>
    </row>
    <row r="259" spans="1:18" ht="20.25" customHeight="1">
      <c r="A259" s="401"/>
      <c r="B259" s="515" t="s">
        <v>2622</v>
      </c>
      <c r="C259" s="529"/>
      <c r="D259" s="431">
        <v>2025212965</v>
      </c>
      <c r="E259" s="393" t="s">
        <v>41</v>
      </c>
      <c r="F259" s="393" t="s">
        <v>638</v>
      </c>
      <c r="G259" s="412" t="s">
        <v>706</v>
      </c>
      <c r="H259" s="403" t="s">
        <v>2428</v>
      </c>
      <c r="I259" s="393" t="str">
        <f ca="1">IF(H259="", "", IF(OR(G259="Completed", G259="STOP"), IF(J259="", "", J259-H259), TODAY()-H259))</f>
        <v/>
      </c>
      <c r="J259" s="401"/>
      <c r="K259" s="401"/>
      <c r="L259" s="401"/>
      <c r="M259" s="401" t="s">
        <v>1163</v>
      </c>
      <c r="N259" s="393" t="s">
        <v>41</v>
      </c>
      <c r="O259" s="393"/>
      <c r="P259" s="404"/>
      <c r="Q259" s="401"/>
      <c r="R259" s="401"/>
    </row>
    <row r="260" spans="1:18" ht="20.25" customHeight="1">
      <c r="A260" s="401"/>
      <c r="B260" s="515" t="s">
        <v>2622</v>
      </c>
      <c r="C260" s="529"/>
      <c r="D260" s="431">
        <v>2025212965</v>
      </c>
      <c r="E260" s="393" t="s">
        <v>41</v>
      </c>
      <c r="F260" s="393" t="s">
        <v>653</v>
      </c>
      <c r="G260" s="412" t="s">
        <v>706</v>
      </c>
      <c r="H260" s="403" t="s">
        <v>2428</v>
      </c>
      <c r="I260" s="393" t="str">
        <f ca="1">IF(H260="", "", IF(OR(G260="Completed", G260="STOP"), IF(J260="", "", J260-H260), TODAY()-H260))</f>
        <v/>
      </c>
      <c r="J260" s="401"/>
      <c r="K260" s="401"/>
      <c r="L260" s="401" t="s">
        <v>2275</v>
      </c>
      <c r="M260" s="401" t="s">
        <v>1163</v>
      </c>
      <c r="N260" s="393" t="s">
        <v>41</v>
      </c>
      <c r="O260" s="393"/>
      <c r="P260" s="404"/>
      <c r="Q260" s="401"/>
      <c r="R260" s="401"/>
    </row>
    <row r="261" spans="1:18" ht="20.25" customHeight="1">
      <c r="A261" s="401"/>
      <c r="B261" s="497" t="s">
        <v>2622</v>
      </c>
      <c r="C261" s="508" t="s">
        <v>2623</v>
      </c>
      <c r="D261" s="496">
        <v>2025212927</v>
      </c>
      <c r="E261" s="393" t="s">
        <v>41</v>
      </c>
      <c r="F261" s="393" t="s">
        <v>634</v>
      </c>
      <c r="G261" s="412" t="s">
        <v>706</v>
      </c>
      <c r="H261" s="403"/>
      <c r="I261" s="403">
        <v>45992</v>
      </c>
      <c r="J261" s="401"/>
      <c r="K261" s="401" t="s">
        <v>1506</v>
      </c>
      <c r="L261" s="401" t="s">
        <v>1507</v>
      </c>
      <c r="M261" s="401" t="s">
        <v>763</v>
      </c>
      <c r="N261" s="393" t="s">
        <v>41</v>
      </c>
      <c r="O261" s="393"/>
      <c r="P261" s="404">
        <v>500</v>
      </c>
      <c r="Q261" s="401"/>
      <c r="R261" s="401"/>
    </row>
    <row r="262" spans="1:18" ht="20.25" customHeight="1">
      <c r="A262" s="401"/>
      <c r="B262" s="497" t="s">
        <v>2622</v>
      </c>
      <c r="C262" s="508" t="s">
        <v>2623</v>
      </c>
      <c r="D262" s="496">
        <v>2025212927</v>
      </c>
      <c r="E262" s="393" t="s">
        <v>41</v>
      </c>
      <c r="F262" s="393" t="s">
        <v>631</v>
      </c>
      <c r="G262" s="412" t="s">
        <v>706</v>
      </c>
      <c r="H262" s="403"/>
      <c r="I262" s="403">
        <v>45992</v>
      </c>
      <c r="J262" s="401"/>
      <c r="K262" s="401" t="s">
        <v>392</v>
      </c>
      <c r="L262" s="401" t="s">
        <v>1508</v>
      </c>
      <c r="M262" s="401" t="s">
        <v>763</v>
      </c>
      <c r="N262" s="393" t="s">
        <v>41</v>
      </c>
      <c r="O262" s="393"/>
      <c r="P262" s="404">
        <v>450</v>
      </c>
      <c r="Q262" s="401"/>
      <c r="R262" s="401"/>
    </row>
    <row r="263" spans="1:18" ht="20.25" customHeight="1">
      <c r="A263" s="401"/>
      <c r="B263" s="497" t="s">
        <v>2622</v>
      </c>
      <c r="C263" s="508"/>
      <c r="D263" s="496">
        <v>2025212927</v>
      </c>
      <c r="E263" s="393" t="s">
        <v>41</v>
      </c>
      <c r="F263" s="393" t="s">
        <v>638</v>
      </c>
      <c r="G263" s="408" t="s">
        <v>2521</v>
      </c>
      <c r="H263" s="403"/>
      <c r="I263" s="403">
        <v>45992</v>
      </c>
      <c r="J263" s="401"/>
      <c r="K263" s="401"/>
      <c r="L263" s="401"/>
      <c r="M263" s="401" t="s">
        <v>763</v>
      </c>
      <c r="N263" s="393" t="s">
        <v>41</v>
      </c>
      <c r="O263" s="393"/>
      <c r="P263" s="404">
        <v>450</v>
      </c>
      <c r="Q263" s="401"/>
      <c r="R263" s="401"/>
    </row>
    <row r="264" spans="1:18" ht="20.25" customHeight="1">
      <c r="A264" s="401"/>
      <c r="B264" s="497" t="s">
        <v>2622</v>
      </c>
      <c r="C264" s="508" t="s">
        <v>2623</v>
      </c>
      <c r="D264" s="496">
        <v>2025212927</v>
      </c>
      <c r="E264" s="393" t="s">
        <v>41</v>
      </c>
      <c r="F264" s="393" t="s">
        <v>653</v>
      </c>
      <c r="G264" s="412" t="s">
        <v>706</v>
      </c>
      <c r="H264" s="403"/>
      <c r="I264" s="403">
        <v>45992</v>
      </c>
      <c r="J264" s="401"/>
      <c r="K264" s="401"/>
      <c r="L264" s="401" t="s">
        <v>1509</v>
      </c>
      <c r="M264" s="401" t="s">
        <v>763</v>
      </c>
      <c r="N264" s="393" t="s">
        <v>41</v>
      </c>
      <c r="O264" s="393"/>
      <c r="P264" s="404">
        <v>300</v>
      </c>
      <c r="Q264" s="401"/>
      <c r="R264" s="401"/>
    </row>
    <row r="265" spans="1:18" ht="20.25" customHeight="1">
      <c r="A265" s="401"/>
      <c r="B265" s="497" t="s">
        <v>2622</v>
      </c>
      <c r="C265" s="508" t="s">
        <v>2623</v>
      </c>
      <c r="D265" s="496">
        <v>2025212925</v>
      </c>
      <c r="E265" s="393" t="s">
        <v>41</v>
      </c>
      <c r="F265" s="393" t="s">
        <v>634</v>
      </c>
      <c r="G265" s="412" t="s">
        <v>706</v>
      </c>
      <c r="H265" s="403" t="s">
        <v>2428</v>
      </c>
      <c r="I265" s="403">
        <v>46000</v>
      </c>
      <c r="J265" s="401"/>
      <c r="K265" s="401" t="s">
        <v>1512</v>
      </c>
      <c r="L265" s="401" t="s">
        <v>1513</v>
      </c>
      <c r="M265" s="401" t="s">
        <v>763</v>
      </c>
      <c r="N265" s="403">
        <v>45700</v>
      </c>
      <c r="O265" s="393"/>
      <c r="P265" s="404">
        <v>500</v>
      </c>
      <c r="Q265" s="401"/>
      <c r="R265" s="401"/>
    </row>
    <row r="266" spans="1:18" ht="20.25" customHeight="1">
      <c r="A266" s="401"/>
      <c r="B266" s="497" t="s">
        <v>2622</v>
      </c>
      <c r="C266" s="508" t="s">
        <v>2623</v>
      </c>
      <c r="D266" s="496">
        <v>2025212925</v>
      </c>
      <c r="E266" s="393" t="s">
        <v>41</v>
      </c>
      <c r="F266" s="393" t="s">
        <v>631</v>
      </c>
      <c r="G266" s="412" t="s">
        <v>706</v>
      </c>
      <c r="H266" s="403" t="s">
        <v>2428</v>
      </c>
      <c r="I266" s="403">
        <v>46000</v>
      </c>
      <c r="J266" s="401"/>
      <c r="K266" s="401" t="s">
        <v>395</v>
      </c>
      <c r="L266" s="401" t="s">
        <v>1514</v>
      </c>
      <c r="M266" s="401" t="s">
        <v>763</v>
      </c>
      <c r="N266" s="393" t="s">
        <v>41</v>
      </c>
      <c r="O266" s="393"/>
      <c r="P266" s="404">
        <v>450</v>
      </c>
      <c r="Q266" s="401"/>
      <c r="R266" s="401"/>
    </row>
    <row r="267" spans="1:18" ht="20.25" customHeight="1">
      <c r="A267" s="401"/>
      <c r="B267" s="497" t="s">
        <v>2622</v>
      </c>
      <c r="C267" s="508" t="s">
        <v>2623</v>
      </c>
      <c r="D267" s="496">
        <v>2025212925</v>
      </c>
      <c r="E267" s="393" t="s">
        <v>41</v>
      </c>
      <c r="F267" s="393" t="s">
        <v>653</v>
      </c>
      <c r="G267" s="412" t="s">
        <v>706</v>
      </c>
      <c r="H267" s="412" t="s">
        <v>706</v>
      </c>
      <c r="I267" s="403">
        <v>46000</v>
      </c>
      <c r="J267" s="401"/>
      <c r="K267" s="401"/>
      <c r="L267" s="411" t="s">
        <v>112</v>
      </c>
      <c r="M267" s="401" t="s">
        <v>763</v>
      </c>
      <c r="N267" s="403">
        <v>45700</v>
      </c>
      <c r="O267" s="393"/>
      <c r="P267" s="404">
        <v>300</v>
      </c>
      <c r="Q267" s="401"/>
      <c r="R267" s="401"/>
    </row>
    <row r="268" spans="1:18" ht="20.25" customHeight="1">
      <c r="A268" s="401"/>
      <c r="B268" s="497" t="s">
        <v>2607</v>
      </c>
      <c r="C268" s="508"/>
      <c r="D268" s="496">
        <v>2752072</v>
      </c>
      <c r="E268" s="393" t="s">
        <v>41</v>
      </c>
      <c r="F268" s="393" t="s">
        <v>634</v>
      </c>
      <c r="G268" s="408" t="s">
        <v>2305</v>
      </c>
      <c r="H268" s="403"/>
      <c r="I268" s="393" t="str">
        <f ca="1">IF(H268="", "", IF(OR(G268="Completed", G268="STOP"), IF(J268="", "", J268-H268), TODAY()-H268))</f>
        <v/>
      </c>
      <c r="J268" s="401"/>
      <c r="K268" s="401" t="s">
        <v>1518</v>
      </c>
      <c r="L268" s="401" t="s">
        <v>1519</v>
      </c>
      <c r="M268" s="401" t="s">
        <v>924</v>
      </c>
      <c r="N268" s="393" t="s">
        <v>41</v>
      </c>
      <c r="O268" s="393"/>
      <c r="P268" s="404"/>
      <c r="Q268" s="401"/>
      <c r="R268" s="401"/>
    </row>
    <row r="269" spans="1:18" ht="20.25" customHeight="1">
      <c r="A269" s="401"/>
      <c r="B269" s="497" t="s">
        <v>2607</v>
      </c>
      <c r="C269" s="508"/>
      <c r="D269" s="496">
        <v>2752072</v>
      </c>
      <c r="E269" s="393" t="s">
        <v>41</v>
      </c>
      <c r="F269" s="393" t="s">
        <v>631</v>
      </c>
      <c r="G269" s="408" t="s">
        <v>2305</v>
      </c>
      <c r="H269" s="403"/>
      <c r="I269" s="393" t="str">
        <f ca="1">IF(H269="", "", IF(OR(G269="Completed", G269="STOP"), IF(J269="", "", J269-H269), TODAY()-H269))</f>
        <v/>
      </c>
      <c r="J269" s="401"/>
      <c r="K269" s="401" t="s">
        <v>398</v>
      </c>
      <c r="L269" s="401" t="s">
        <v>1520</v>
      </c>
      <c r="M269" s="401" t="s">
        <v>924</v>
      </c>
      <c r="N269" s="393" t="s">
        <v>41</v>
      </c>
      <c r="O269" s="393"/>
      <c r="P269" s="404"/>
      <c r="Q269" s="401"/>
      <c r="R269" s="401"/>
    </row>
    <row r="270" spans="1:18" ht="20.25" customHeight="1">
      <c r="A270" s="401"/>
      <c r="B270" s="497" t="s">
        <v>2607</v>
      </c>
      <c r="C270" s="508"/>
      <c r="D270" s="496">
        <v>2752072</v>
      </c>
      <c r="E270" s="393" t="s">
        <v>41</v>
      </c>
      <c r="F270" s="393" t="s">
        <v>653</v>
      </c>
      <c r="G270" s="408" t="s">
        <v>2305</v>
      </c>
      <c r="H270" s="403"/>
      <c r="I270" s="393" t="str">
        <f ca="1">IF(H270="", "", IF(OR(G270="Completed", G270="STOP"), IF(J270="", "", J270-H270), TODAY()-H270))</f>
        <v/>
      </c>
      <c r="J270" s="401"/>
      <c r="K270" s="401"/>
      <c r="L270" s="411" t="s">
        <v>1521</v>
      </c>
      <c r="M270" s="401" t="s">
        <v>924</v>
      </c>
      <c r="N270" s="393" t="s">
        <v>41</v>
      </c>
      <c r="O270" s="393"/>
      <c r="P270" s="404"/>
      <c r="Q270" s="401"/>
      <c r="R270" s="401"/>
    </row>
    <row r="271" spans="1:18" ht="20.25" customHeight="1">
      <c r="A271" s="401"/>
      <c r="B271" s="497" t="s">
        <v>2673</v>
      </c>
      <c r="C271" s="508"/>
      <c r="D271" s="496">
        <v>2312792</v>
      </c>
      <c r="E271" s="393" t="s">
        <v>41</v>
      </c>
      <c r="F271" s="393" t="s">
        <v>2307</v>
      </c>
      <c r="G271" s="412" t="s">
        <v>706</v>
      </c>
      <c r="H271" s="403" t="s">
        <v>2674</v>
      </c>
      <c r="I271" s="393" t="str">
        <f ca="1">IF(H271="", "", IF(OR(G271="Completed", G271="STOP"), IF(J271="", "", J271-H271), TODAY()-H271))</f>
        <v/>
      </c>
      <c r="J271" s="401"/>
      <c r="K271" s="401" t="s">
        <v>2675</v>
      </c>
      <c r="L271" s="401" t="s">
        <v>2676</v>
      </c>
      <c r="M271" s="401" t="s">
        <v>741</v>
      </c>
      <c r="N271" s="393" t="s">
        <v>41</v>
      </c>
      <c r="O271" s="424" t="s">
        <v>2677</v>
      </c>
      <c r="P271" s="404"/>
      <c r="Q271" s="401"/>
      <c r="R271" s="401"/>
    </row>
    <row r="272" spans="1:18" ht="20.25" customHeight="1">
      <c r="A272" s="401"/>
      <c r="B272" s="497" t="s">
        <v>2254</v>
      </c>
      <c r="C272" s="508" t="s">
        <v>2623</v>
      </c>
      <c r="D272" s="496" t="s">
        <v>405</v>
      </c>
      <c r="E272" s="393" t="s">
        <v>41</v>
      </c>
      <c r="F272" s="393" t="s">
        <v>634</v>
      </c>
      <c r="G272" s="412" t="s">
        <v>706</v>
      </c>
      <c r="H272" s="403" t="s">
        <v>2674</v>
      </c>
      <c r="I272" s="403">
        <v>45992</v>
      </c>
      <c r="J272" s="401"/>
      <c r="K272" s="401" t="s">
        <v>1527</v>
      </c>
      <c r="L272" s="401" t="s">
        <v>1528</v>
      </c>
      <c r="M272" s="401" t="s">
        <v>763</v>
      </c>
      <c r="N272" s="403">
        <v>45700</v>
      </c>
      <c r="O272" s="393"/>
      <c r="P272" s="404">
        <v>500</v>
      </c>
      <c r="Q272" s="401"/>
      <c r="R272" s="401"/>
    </row>
    <row r="273" spans="1:18" ht="20.25" customHeight="1">
      <c r="A273" s="401"/>
      <c r="B273" s="497" t="s">
        <v>2254</v>
      </c>
      <c r="C273" s="508" t="s">
        <v>2623</v>
      </c>
      <c r="D273" s="496" t="s">
        <v>405</v>
      </c>
      <c r="E273" s="393" t="s">
        <v>41</v>
      </c>
      <c r="F273" s="393" t="s">
        <v>631</v>
      </c>
      <c r="G273" s="412" t="s">
        <v>706</v>
      </c>
      <c r="H273" s="403" t="s">
        <v>2674</v>
      </c>
      <c r="I273" s="403">
        <v>45992</v>
      </c>
      <c r="J273" s="401"/>
      <c r="K273" s="401" t="s">
        <v>403</v>
      </c>
      <c r="L273" s="411" t="s">
        <v>2678</v>
      </c>
      <c r="M273" s="401" t="s">
        <v>741</v>
      </c>
      <c r="N273" s="403">
        <v>45700</v>
      </c>
      <c r="O273" s="393"/>
      <c r="P273" s="404">
        <v>450</v>
      </c>
      <c r="Q273" s="401"/>
      <c r="R273" s="401"/>
    </row>
    <row r="274" spans="1:18" ht="20.25" customHeight="1">
      <c r="A274" s="401"/>
      <c r="B274" s="497" t="s">
        <v>2254</v>
      </c>
      <c r="C274" s="508" t="s">
        <v>2623</v>
      </c>
      <c r="D274" s="496" t="s">
        <v>405</v>
      </c>
      <c r="E274" s="393" t="s">
        <v>41</v>
      </c>
      <c r="F274" s="393" t="s">
        <v>638</v>
      </c>
      <c r="G274" s="412" t="s">
        <v>706</v>
      </c>
      <c r="H274" s="403" t="s">
        <v>2674</v>
      </c>
      <c r="I274" s="403">
        <v>45992</v>
      </c>
      <c r="J274" s="401"/>
      <c r="K274" s="401" t="s">
        <v>721</v>
      </c>
      <c r="L274" s="401" t="s">
        <v>721</v>
      </c>
      <c r="M274" s="401" t="s">
        <v>741</v>
      </c>
      <c r="N274" s="403">
        <v>45700</v>
      </c>
      <c r="O274" s="393"/>
      <c r="P274" s="404">
        <v>450</v>
      </c>
      <c r="Q274" s="401"/>
      <c r="R274" s="401"/>
    </row>
    <row r="275" spans="1:18" ht="20.25" customHeight="1">
      <c r="A275" s="401"/>
      <c r="B275" s="497" t="s">
        <v>2254</v>
      </c>
      <c r="C275" s="508" t="s">
        <v>2623</v>
      </c>
      <c r="D275" s="496" t="s">
        <v>405</v>
      </c>
      <c r="E275" s="393" t="s">
        <v>41</v>
      </c>
      <c r="F275" s="393" t="s">
        <v>653</v>
      </c>
      <c r="G275" s="412" t="s">
        <v>706</v>
      </c>
      <c r="H275" s="403" t="s">
        <v>2674</v>
      </c>
      <c r="I275" s="403">
        <v>45992</v>
      </c>
      <c r="J275" s="401"/>
      <c r="K275" s="401" t="s">
        <v>41</v>
      </c>
      <c r="L275" s="411" t="s">
        <v>1531</v>
      </c>
      <c r="M275" s="401" t="s">
        <v>763</v>
      </c>
      <c r="N275" s="403">
        <v>45700</v>
      </c>
      <c r="O275" s="393"/>
      <c r="P275" s="404">
        <v>300</v>
      </c>
      <c r="Q275" s="401"/>
      <c r="R275" s="401"/>
    </row>
    <row r="276" spans="1:18" ht="20.25" customHeight="1">
      <c r="A276" s="401"/>
      <c r="B276" s="535" t="s">
        <v>2669</v>
      </c>
      <c r="C276" s="536"/>
      <c r="D276" s="537">
        <v>2024200689</v>
      </c>
      <c r="E276" s="393" t="s">
        <v>41</v>
      </c>
      <c r="F276" s="393" t="s">
        <v>647</v>
      </c>
      <c r="G276" s="408" t="s">
        <v>2316</v>
      </c>
      <c r="H276" s="403" t="s">
        <v>2674</v>
      </c>
      <c r="I276" s="393" t="e">
        <f t="shared" ref="I276:I294" ca="1" si="11">IF(H276="", "", IF(OR(G276="Completed", G276="STOP"), IF(J276="", "", J276-H276), TODAY()-H276))</f>
        <v>#VALUE!</v>
      </c>
      <c r="J276" s="401"/>
      <c r="K276" s="401" t="s">
        <v>2679</v>
      </c>
      <c r="L276" s="401" t="s">
        <v>2680</v>
      </c>
      <c r="M276" s="401" t="s">
        <v>963</v>
      </c>
      <c r="N276" s="393" t="s">
        <v>41</v>
      </c>
      <c r="O276" s="393"/>
      <c r="P276" s="404"/>
      <c r="Q276" s="401"/>
      <c r="R276" s="401"/>
    </row>
    <row r="277" spans="1:18" ht="20.25" customHeight="1">
      <c r="A277" s="401"/>
      <c r="B277" s="497" t="s">
        <v>794</v>
      </c>
      <c r="C277" s="508"/>
      <c r="D277" s="496">
        <v>2024216011</v>
      </c>
      <c r="E277" s="393" t="s">
        <v>41</v>
      </c>
      <c r="F277" s="393" t="s">
        <v>634</v>
      </c>
      <c r="G277" s="418" t="s">
        <v>2530</v>
      </c>
      <c r="H277" s="403" t="s">
        <v>2616</v>
      </c>
      <c r="I277" s="393" t="e">
        <f t="shared" ca="1" si="11"/>
        <v>#VALUE!</v>
      </c>
      <c r="J277" s="401"/>
      <c r="K277" s="401" t="s">
        <v>1546</v>
      </c>
      <c r="L277" s="401" t="s">
        <v>1547</v>
      </c>
      <c r="M277" s="401" t="s">
        <v>733</v>
      </c>
      <c r="N277" s="393" t="s">
        <v>41</v>
      </c>
      <c r="O277" s="393"/>
      <c r="P277" s="404"/>
      <c r="Q277" s="401"/>
      <c r="R277" s="401"/>
    </row>
    <row r="278" spans="1:18" ht="20.25" customHeight="1">
      <c r="A278" s="401"/>
      <c r="B278" s="497" t="s">
        <v>2671</v>
      </c>
      <c r="C278" s="508"/>
      <c r="D278" s="496">
        <v>2024216011</v>
      </c>
      <c r="E278" s="393" t="s">
        <v>41</v>
      </c>
      <c r="F278" s="393" t="s">
        <v>631</v>
      </c>
      <c r="G278" s="408" t="s">
        <v>2305</v>
      </c>
      <c r="H278" s="403"/>
      <c r="I278" s="393" t="str">
        <f t="shared" ca="1" si="11"/>
        <v/>
      </c>
      <c r="J278" s="401"/>
      <c r="K278" s="401" t="s">
        <v>1548</v>
      </c>
      <c r="L278" s="401" t="s">
        <v>1549</v>
      </c>
      <c r="M278" s="401" t="s">
        <v>1550</v>
      </c>
      <c r="N278" s="393" t="s">
        <v>41</v>
      </c>
      <c r="O278" s="393"/>
      <c r="P278" s="404"/>
      <c r="Q278" s="401"/>
      <c r="R278" s="401"/>
    </row>
    <row r="279" spans="1:18" ht="20.25" customHeight="1">
      <c r="A279" s="401"/>
      <c r="B279" s="497" t="s">
        <v>2480</v>
      </c>
      <c r="C279" s="508"/>
      <c r="D279" s="496">
        <v>2024216011</v>
      </c>
      <c r="E279" s="393" t="s">
        <v>41</v>
      </c>
      <c r="F279" s="393" t="s">
        <v>638</v>
      </c>
      <c r="G279" s="408" t="s">
        <v>2305</v>
      </c>
      <c r="H279" s="403"/>
      <c r="I279" s="393" t="str">
        <f t="shared" ca="1" si="11"/>
        <v/>
      </c>
      <c r="J279" s="401"/>
      <c r="K279" s="401" t="s">
        <v>1551</v>
      </c>
      <c r="L279" s="401" t="s">
        <v>2681</v>
      </c>
      <c r="M279" s="401" t="s">
        <v>791</v>
      </c>
      <c r="N279" s="393" t="s">
        <v>41</v>
      </c>
      <c r="O279" s="393"/>
      <c r="P279" s="404"/>
      <c r="Q279" s="401"/>
      <c r="R279" s="401"/>
    </row>
    <row r="280" spans="1:18" ht="20.25" customHeight="1">
      <c r="A280" s="401"/>
      <c r="B280" s="497" t="s">
        <v>2682</v>
      </c>
      <c r="C280" s="508"/>
      <c r="D280" s="496">
        <v>2024216011</v>
      </c>
      <c r="E280" s="393" t="s">
        <v>41</v>
      </c>
      <c r="F280" s="393" t="s">
        <v>653</v>
      </c>
      <c r="G280" s="408" t="s">
        <v>2305</v>
      </c>
      <c r="H280" s="403"/>
      <c r="I280" s="393" t="str">
        <f t="shared" ca="1" si="11"/>
        <v/>
      </c>
      <c r="J280" s="401"/>
      <c r="K280" s="401" t="s">
        <v>41</v>
      </c>
      <c r="L280" s="411" t="s">
        <v>2282</v>
      </c>
      <c r="M280" s="401" t="s">
        <v>2683</v>
      </c>
      <c r="N280" s="393" t="s">
        <v>41</v>
      </c>
      <c r="O280" s="393"/>
      <c r="P280" s="404"/>
      <c r="Q280" s="401"/>
      <c r="R280" s="401"/>
    </row>
    <row r="281" spans="1:18" ht="20.25" customHeight="1">
      <c r="A281" s="401"/>
      <c r="B281" s="497" t="s">
        <v>1031</v>
      </c>
      <c r="C281" s="508"/>
      <c r="D281" s="496">
        <v>2585893</v>
      </c>
      <c r="E281" s="393" t="s">
        <v>41</v>
      </c>
      <c r="F281" s="393" t="s">
        <v>631</v>
      </c>
      <c r="G281" s="412" t="s">
        <v>706</v>
      </c>
      <c r="H281" s="403" t="s">
        <v>2674</v>
      </c>
      <c r="I281" s="393" t="e">
        <f t="shared" ca="1" si="11"/>
        <v>#VALUE!</v>
      </c>
      <c r="J281" s="415">
        <v>45974</v>
      </c>
      <c r="K281" s="401" t="s">
        <v>418</v>
      </c>
      <c r="L281" s="411" t="s">
        <v>1562</v>
      </c>
      <c r="M281" s="401" t="s">
        <v>736</v>
      </c>
      <c r="N281" s="403">
        <v>45700</v>
      </c>
      <c r="O281" s="393"/>
      <c r="P281" s="404"/>
      <c r="Q281" s="401"/>
      <c r="R281" s="401"/>
    </row>
    <row r="282" spans="1:18" ht="20.25" customHeight="1">
      <c r="A282" s="401"/>
      <c r="B282" s="497" t="s">
        <v>1031</v>
      </c>
      <c r="C282" s="508"/>
      <c r="D282" s="496">
        <v>2585893</v>
      </c>
      <c r="E282" s="393" t="s">
        <v>41</v>
      </c>
      <c r="F282" s="393" t="s">
        <v>638</v>
      </c>
      <c r="G282" s="412" t="s">
        <v>706</v>
      </c>
      <c r="H282" s="403" t="s">
        <v>2674</v>
      </c>
      <c r="I282" s="393" t="e">
        <f t="shared" ca="1" si="11"/>
        <v>#VALUE!</v>
      </c>
      <c r="J282" s="415">
        <v>45974</v>
      </c>
      <c r="K282" s="401" t="s">
        <v>2684</v>
      </c>
      <c r="L282" s="401" t="s">
        <v>2685</v>
      </c>
      <c r="M282" s="401" t="s">
        <v>736</v>
      </c>
      <c r="N282" s="403">
        <v>45700</v>
      </c>
      <c r="O282" s="393"/>
      <c r="P282" s="404"/>
      <c r="Q282" s="401"/>
      <c r="R282" s="401"/>
    </row>
    <row r="283" spans="1:18" s="444" customFormat="1" ht="20.25" customHeight="1">
      <c r="A283" s="441"/>
      <c r="B283" s="516" t="s">
        <v>41</v>
      </c>
      <c r="C283" s="533" t="s">
        <v>1557</v>
      </c>
      <c r="D283" s="517">
        <v>2025213092</v>
      </c>
      <c r="E283" s="414" t="s">
        <v>41</v>
      </c>
      <c r="F283" s="414" t="s">
        <v>638</v>
      </c>
      <c r="G283" s="414" t="s">
        <v>716</v>
      </c>
      <c r="H283" s="442" t="s">
        <v>2616</v>
      </c>
      <c r="I283" s="414" t="e">
        <f t="shared" ca="1" si="11"/>
        <v>#VALUE!</v>
      </c>
      <c r="J283" s="518">
        <v>46054</v>
      </c>
      <c r="K283" s="441" t="s">
        <v>421</v>
      </c>
      <c r="L283" s="519" t="s">
        <v>1567</v>
      </c>
      <c r="M283" s="441" t="s">
        <v>763</v>
      </c>
      <c r="N283" s="414" t="s">
        <v>41</v>
      </c>
      <c r="O283" s="414"/>
      <c r="P283" s="443"/>
      <c r="Q283" s="441"/>
      <c r="R283" s="441"/>
    </row>
    <row r="284" spans="1:18" ht="20.25" customHeight="1">
      <c r="A284" s="401"/>
      <c r="B284" s="535" t="s">
        <v>2686</v>
      </c>
      <c r="C284" s="536"/>
      <c r="D284" s="537">
        <v>2025204832</v>
      </c>
      <c r="E284" s="393" t="s">
        <v>41</v>
      </c>
      <c r="F284" s="393" t="s">
        <v>634</v>
      </c>
      <c r="G284" s="408" t="s">
        <v>2305</v>
      </c>
      <c r="H284" s="403">
        <v>45669</v>
      </c>
      <c r="I284" s="393">
        <f t="shared" ca="1" si="11"/>
        <v>358</v>
      </c>
      <c r="J284" s="401"/>
      <c r="K284" s="401" t="s">
        <v>1572</v>
      </c>
      <c r="L284" s="401" t="s">
        <v>1573</v>
      </c>
      <c r="M284" s="401" t="s">
        <v>849</v>
      </c>
      <c r="N284" s="393" t="s">
        <v>41</v>
      </c>
      <c r="O284" s="393"/>
      <c r="P284" s="404"/>
      <c r="Q284" s="401"/>
      <c r="R284" s="401"/>
    </row>
    <row r="285" spans="1:18" ht="20.25" customHeight="1">
      <c r="A285" s="401"/>
      <c r="B285" s="497" t="s">
        <v>2480</v>
      </c>
      <c r="C285" s="508"/>
      <c r="D285" s="496">
        <v>2025213146</v>
      </c>
      <c r="E285" s="393" t="s">
        <v>41</v>
      </c>
      <c r="F285" s="393" t="s">
        <v>634</v>
      </c>
      <c r="G285" s="408" t="s">
        <v>2305</v>
      </c>
      <c r="H285" s="403"/>
      <c r="I285" s="393" t="str">
        <f t="shared" ca="1" si="11"/>
        <v/>
      </c>
      <c r="J285" s="401"/>
      <c r="K285" s="411" t="s">
        <v>2687</v>
      </c>
      <c r="L285" s="401" t="s">
        <v>1579</v>
      </c>
      <c r="M285" s="401" t="s">
        <v>791</v>
      </c>
      <c r="N285" s="393" t="s">
        <v>41</v>
      </c>
      <c r="O285" s="393"/>
      <c r="P285" s="404"/>
      <c r="Q285" s="401"/>
      <c r="R285" s="401"/>
    </row>
    <row r="286" spans="1:18" ht="20.25" customHeight="1">
      <c r="A286" s="401"/>
      <c r="B286" s="497" t="s">
        <v>2688</v>
      </c>
      <c r="C286" s="508"/>
      <c r="D286" s="496">
        <v>2025213146</v>
      </c>
      <c r="E286" s="393" t="s">
        <v>41</v>
      </c>
      <c r="F286" s="393" t="s">
        <v>631</v>
      </c>
      <c r="G286" s="408" t="s">
        <v>2305</v>
      </c>
      <c r="H286" s="403" t="s">
        <v>2616</v>
      </c>
      <c r="I286" s="393" t="e">
        <f t="shared" ca="1" si="11"/>
        <v>#VALUE!</v>
      </c>
      <c r="J286" s="401"/>
      <c r="K286" s="401" t="s">
        <v>426</v>
      </c>
      <c r="L286" s="401" t="s">
        <v>1580</v>
      </c>
      <c r="M286" s="401" t="s">
        <v>2689</v>
      </c>
      <c r="N286" s="393" t="s">
        <v>41</v>
      </c>
      <c r="O286" s="393"/>
      <c r="P286" s="404"/>
      <c r="Q286" s="401"/>
      <c r="R286" s="401"/>
    </row>
    <row r="287" spans="1:18" ht="20.25" customHeight="1">
      <c r="A287" s="401"/>
      <c r="B287" s="497" t="s">
        <v>2671</v>
      </c>
      <c r="C287" s="508"/>
      <c r="D287" s="496">
        <v>2025213146</v>
      </c>
      <c r="E287" s="393" t="s">
        <v>41</v>
      </c>
      <c r="F287" s="393" t="s">
        <v>638</v>
      </c>
      <c r="G287" s="408"/>
      <c r="H287" s="403" t="s">
        <v>2616</v>
      </c>
      <c r="I287" s="393" t="e">
        <f t="shared" ca="1" si="11"/>
        <v>#VALUE!</v>
      </c>
      <c r="J287" s="401"/>
      <c r="K287" s="401" t="s">
        <v>1581</v>
      </c>
      <c r="L287" s="401" t="s">
        <v>2291</v>
      </c>
      <c r="M287" s="401" t="s">
        <v>2690</v>
      </c>
      <c r="N287" s="393" t="s">
        <v>41</v>
      </c>
      <c r="O287" s="393"/>
      <c r="P287" s="404"/>
      <c r="Q287" s="401"/>
      <c r="R287" s="401"/>
    </row>
    <row r="288" spans="1:18" ht="20.25" customHeight="1">
      <c r="A288" s="401"/>
      <c r="B288" s="497" t="s">
        <v>2669</v>
      </c>
      <c r="C288" s="508"/>
      <c r="D288" s="496">
        <v>2025213146</v>
      </c>
      <c r="E288" s="393" t="s">
        <v>41</v>
      </c>
      <c r="F288" s="393" t="s">
        <v>653</v>
      </c>
      <c r="G288" s="408" t="s">
        <v>2305</v>
      </c>
      <c r="H288" s="403"/>
      <c r="I288" s="393" t="str">
        <f t="shared" ca="1" si="11"/>
        <v/>
      </c>
      <c r="J288" s="401"/>
      <c r="K288" s="401" t="s">
        <v>41</v>
      </c>
      <c r="L288" s="401" t="s">
        <v>1583</v>
      </c>
      <c r="M288" s="401" t="s">
        <v>2691</v>
      </c>
      <c r="N288" s="393" t="s">
        <v>41</v>
      </c>
      <c r="O288" s="393"/>
      <c r="P288" s="404"/>
      <c r="Q288" s="401"/>
      <c r="R288" s="401"/>
    </row>
    <row r="289" spans="1:18" ht="20.25" customHeight="1">
      <c r="A289" s="401"/>
      <c r="B289" s="497" t="s">
        <v>2160</v>
      </c>
      <c r="C289" s="508"/>
      <c r="D289" s="496">
        <v>2025211458</v>
      </c>
      <c r="E289" s="393" t="s">
        <v>41</v>
      </c>
      <c r="F289" s="393" t="s">
        <v>654</v>
      </c>
      <c r="G289" s="408" t="s">
        <v>2313</v>
      </c>
      <c r="H289" s="403" t="s">
        <v>2483</v>
      </c>
      <c r="I289" s="393" t="e">
        <f t="shared" ca="1" si="11"/>
        <v>#VALUE!</v>
      </c>
      <c r="J289" s="401"/>
      <c r="K289" s="401" t="s">
        <v>951</v>
      </c>
      <c r="L289" s="393" t="s">
        <v>950</v>
      </c>
      <c r="M289" s="401" t="s">
        <v>849</v>
      </c>
      <c r="N289" s="393" t="s">
        <v>41</v>
      </c>
      <c r="O289" s="393"/>
      <c r="P289" s="404"/>
      <c r="Q289" s="401"/>
      <c r="R289" s="401"/>
    </row>
    <row r="290" spans="1:18" ht="20.25" customHeight="1">
      <c r="A290" s="401"/>
      <c r="B290" s="505" t="s">
        <v>794</v>
      </c>
      <c r="C290" s="508"/>
      <c r="D290" s="496">
        <v>2025211454</v>
      </c>
      <c r="E290" s="393" t="s">
        <v>41</v>
      </c>
      <c r="F290" s="393" t="s">
        <v>654</v>
      </c>
      <c r="G290" s="408" t="s">
        <v>2313</v>
      </c>
      <c r="H290" s="403" t="s">
        <v>2483</v>
      </c>
      <c r="I290" s="393" t="e">
        <f t="shared" ca="1" si="11"/>
        <v>#VALUE!</v>
      </c>
      <c r="J290" s="401"/>
      <c r="K290" s="420" t="s">
        <v>959</v>
      </c>
      <c r="L290" s="457" t="s">
        <v>958</v>
      </c>
      <c r="M290" s="401" t="s">
        <v>849</v>
      </c>
      <c r="N290" s="393" t="s">
        <v>41</v>
      </c>
      <c r="O290" s="393"/>
      <c r="P290" s="404"/>
      <c r="Q290" s="401"/>
      <c r="R290" s="401"/>
    </row>
    <row r="291" spans="1:18" ht="20.25" customHeight="1">
      <c r="A291" s="401"/>
      <c r="B291" s="497" t="s">
        <v>2692</v>
      </c>
      <c r="C291" s="508"/>
      <c r="D291" s="496">
        <v>2025211475</v>
      </c>
      <c r="E291" s="393" t="s">
        <v>41</v>
      </c>
      <c r="F291" s="393" t="s">
        <v>654</v>
      </c>
      <c r="G291" s="409" t="s">
        <v>2317</v>
      </c>
      <c r="H291" s="403" t="s">
        <v>2423</v>
      </c>
      <c r="I291" s="393" t="e">
        <f t="shared" ca="1" si="11"/>
        <v>#VALUE!</v>
      </c>
      <c r="J291" s="401"/>
      <c r="K291" s="401" t="s">
        <v>966</v>
      </c>
      <c r="L291" s="393" t="s">
        <v>965</v>
      </c>
      <c r="M291" s="401" t="s">
        <v>791</v>
      </c>
      <c r="N291" s="393" t="s">
        <v>41</v>
      </c>
      <c r="O291" s="393"/>
      <c r="P291" s="404"/>
      <c r="Q291" s="401"/>
      <c r="R291" s="401"/>
    </row>
    <row r="292" spans="1:18" ht="20.25" customHeight="1">
      <c r="A292" s="401"/>
      <c r="B292" s="497" t="s">
        <v>2444</v>
      </c>
      <c r="C292" s="508"/>
      <c r="D292" s="496">
        <v>2025211478</v>
      </c>
      <c r="E292" s="393" t="s">
        <v>41</v>
      </c>
      <c r="F292" s="393" t="s">
        <v>654</v>
      </c>
      <c r="G292" s="408" t="s">
        <v>716</v>
      </c>
      <c r="H292" s="403" t="s">
        <v>2445</v>
      </c>
      <c r="I292" s="393" t="e">
        <f t="shared" ca="1" si="11"/>
        <v>#VALUE!</v>
      </c>
      <c r="J292" s="401"/>
      <c r="K292" s="401" t="s">
        <v>973</v>
      </c>
      <c r="L292" s="393" t="s">
        <v>972</v>
      </c>
      <c r="M292" s="401" t="s">
        <v>763</v>
      </c>
      <c r="N292" s="393" t="s">
        <v>41</v>
      </c>
      <c r="O292" s="393" t="s">
        <v>721</v>
      </c>
      <c r="P292" s="404"/>
      <c r="Q292" s="401"/>
      <c r="R292" s="401"/>
    </row>
    <row r="293" spans="1:18" ht="20.25" customHeight="1">
      <c r="A293" s="401"/>
      <c r="B293" s="497" t="s">
        <v>2693</v>
      </c>
      <c r="C293" s="508"/>
      <c r="D293" s="496">
        <v>2025210709</v>
      </c>
      <c r="E293" s="393" t="s">
        <v>41</v>
      </c>
      <c r="F293" s="393" t="s">
        <v>654</v>
      </c>
      <c r="G293" s="408" t="s">
        <v>2313</v>
      </c>
      <c r="H293" s="403" t="s">
        <v>2483</v>
      </c>
      <c r="I293" s="393" t="e">
        <f t="shared" ca="1" si="11"/>
        <v>#VALUE!</v>
      </c>
      <c r="J293" s="401"/>
      <c r="K293" s="401" t="s">
        <v>980</v>
      </c>
      <c r="L293" s="393" t="s">
        <v>979</v>
      </c>
      <c r="M293" s="401" t="s">
        <v>849</v>
      </c>
      <c r="N293" s="393" t="s">
        <v>41</v>
      </c>
      <c r="O293" s="409" t="s">
        <v>2694</v>
      </c>
      <c r="P293" s="404"/>
      <c r="Q293" s="401"/>
      <c r="R293" s="401"/>
    </row>
    <row r="294" spans="1:18" ht="20.25" customHeight="1">
      <c r="A294" s="401"/>
      <c r="B294" s="535" t="s">
        <v>2171</v>
      </c>
      <c r="C294" s="536"/>
      <c r="D294" s="537" t="s">
        <v>151</v>
      </c>
      <c r="E294" s="419" t="s">
        <v>41</v>
      </c>
      <c r="F294" s="419" t="s">
        <v>654</v>
      </c>
      <c r="G294" s="449" t="s">
        <v>716</v>
      </c>
      <c r="H294" s="450" t="s">
        <v>2483</v>
      </c>
      <c r="I294" s="419" t="e">
        <f t="shared" ca="1" si="11"/>
        <v>#VALUE!</v>
      </c>
      <c r="J294" s="451"/>
      <c r="K294" s="451" t="s">
        <v>994</v>
      </c>
      <c r="L294" s="419" t="s">
        <v>2170</v>
      </c>
      <c r="M294" s="451" t="s">
        <v>709</v>
      </c>
      <c r="N294" s="419" t="s">
        <v>41</v>
      </c>
      <c r="O294" s="419" t="s">
        <v>2311</v>
      </c>
      <c r="P294" s="452"/>
      <c r="Q294" s="451"/>
      <c r="R294" s="451"/>
    </row>
    <row r="295" spans="1:18" ht="20.25" customHeight="1">
      <c r="A295" s="401"/>
      <c r="B295" s="497" t="s">
        <v>2132</v>
      </c>
      <c r="C295" s="508"/>
      <c r="D295" s="496">
        <v>2025212068</v>
      </c>
      <c r="E295" s="393" t="s">
        <v>41</v>
      </c>
      <c r="F295" s="393" t="s">
        <v>654</v>
      </c>
      <c r="G295" s="412" t="s">
        <v>706</v>
      </c>
      <c r="H295" s="403">
        <v>45668</v>
      </c>
      <c r="I295" s="393"/>
      <c r="J295" s="401" t="s">
        <v>2502</v>
      </c>
      <c r="K295" s="401" t="s">
        <v>1011</v>
      </c>
      <c r="L295" s="393" t="s">
        <v>1010</v>
      </c>
      <c r="M295" s="401" t="s">
        <v>849</v>
      </c>
      <c r="N295" s="393" t="s">
        <v>41</v>
      </c>
      <c r="O295" s="393" t="s">
        <v>2695</v>
      </c>
      <c r="P295" s="393" t="s">
        <v>2695</v>
      </c>
      <c r="Q295" s="401"/>
      <c r="R295" s="401"/>
    </row>
    <row r="296" spans="1:18" ht="20.25" customHeight="1">
      <c r="A296" s="401"/>
      <c r="B296" s="535" t="s">
        <v>2693</v>
      </c>
      <c r="C296" s="536"/>
      <c r="D296" s="537">
        <v>2025212058</v>
      </c>
      <c r="E296" s="393" t="s">
        <v>41</v>
      </c>
      <c r="F296" s="393" t="s">
        <v>654</v>
      </c>
      <c r="G296" s="408" t="s">
        <v>2313</v>
      </c>
      <c r="H296" s="403">
        <v>45668</v>
      </c>
      <c r="I296" s="393">
        <f t="shared" ref="I296:I327" ca="1" si="12">IF(H296="", "", IF(OR(G296="Completed", G296="STOP"), IF(J296="", "", J296-H296), TODAY()-H296))</f>
        <v>359</v>
      </c>
      <c r="J296" s="401"/>
      <c r="K296" s="401" t="s">
        <v>1018</v>
      </c>
      <c r="L296" s="393" t="s">
        <v>1017</v>
      </c>
      <c r="M296" s="401" t="s">
        <v>849</v>
      </c>
      <c r="N296" s="393" t="s">
        <v>41</v>
      </c>
      <c r="O296" s="393"/>
      <c r="P296" s="404"/>
      <c r="Q296" s="401"/>
      <c r="R296" s="401"/>
    </row>
    <row r="297" spans="1:18" ht="20.25" customHeight="1">
      <c r="A297" s="401"/>
      <c r="B297" s="497" t="s">
        <v>2160</v>
      </c>
      <c r="C297" s="508"/>
      <c r="D297" s="496">
        <v>2025212053</v>
      </c>
      <c r="E297" s="393" t="s">
        <v>41</v>
      </c>
      <c r="F297" s="393" t="s">
        <v>654</v>
      </c>
      <c r="G297" s="408" t="s">
        <v>2313</v>
      </c>
      <c r="H297" s="403">
        <v>45668</v>
      </c>
      <c r="I297" s="393">
        <f t="shared" ca="1" si="12"/>
        <v>359</v>
      </c>
      <c r="J297" s="401"/>
      <c r="K297" s="401" t="s">
        <v>1034</v>
      </c>
      <c r="L297" s="393" t="s">
        <v>1033</v>
      </c>
      <c r="M297" s="401" t="s">
        <v>849</v>
      </c>
      <c r="N297" s="393" t="s">
        <v>41</v>
      </c>
      <c r="O297" s="393"/>
      <c r="P297" s="404"/>
      <c r="Q297" s="401"/>
      <c r="R297" s="401"/>
    </row>
    <row r="298" spans="1:18" ht="20.25" customHeight="1">
      <c r="A298" s="401"/>
      <c r="B298" s="515" t="s">
        <v>2160</v>
      </c>
      <c r="C298" s="529"/>
      <c r="D298" s="431">
        <v>2025212047</v>
      </c>
      <c r="E298" s="393" t="s">
        <v>41</v>
      </c>
      <c r="F298" s="393" t="s">
        <v>654</v>
      </c>
      <c r="G298" s="408" t="s">
        <v>2311</v>
      </c>
      <c r="H298" s="403">
        <v>45668</v>
      </c>
      <c r="I298" s="393">
        <f t="shared" ca="1" si="12"/>
        <v>359</v>
      </c>
      <c r="J298" s="401"/>
      <c r="K298" s="401" t="s">
        <v>1050</v>
      </c>
      <c r="L298" s="393" t="s">
        <v>1049</v>
      </c>
      <c r="M298" s="401" t="s">
        <v>849</v>
      </c>
      <c r="N298" s="393" t="s">
        <v>41</v>
      </c>
      <c r="O298" s="393"/>
      <c r="P298" s="404"/>
      <c r="Q298" s="401"/>
      <c r="R298" s="401"/>
    </row>
    <row r="299" spans="1:18" ht="20.25" customHeight="1">
      <c r="A299" s="401"/>
      <c r="B299" s="497" t="s">
        <v>2171</v>
      </c>
      <c r="C299" s="508"/>
      <c r="D299" s="496">
        <v>2025212181</v>
      </c>
      <c r="E299" s="393" t="s">
        <v>41</v>
      </c>
      <c r="F299" s="393" t="s">
        <v>654</v>
      </c>
      <c r="G299" s="408" t="s">
        <v>2317</v>
      </c>
      <c r="H299" s="403">
        <v>45819</v>
      </c>
      <c r="I299" s="393">
        <f t="shared" ca="1" si="12"/>
        <v>208</v>
      </c>
      <c r="J299" s="401"/>
      <c r="K299" s="401" t="s">
        <v>1066</v>
      </c>
      <c r="L299" s="393" t="s">
        <v>933</v>
      </c>
      <c r="M299" s="401" t="s">
        <v>709</v>
      </c>
      <c r="N299" s="393" t="s">
        <v>41</v>
      </c>
      <c r="O299" s="393"/>
      <c r="P299" s="404"/>
      <c r="Q299" s="401"/>
      <c r="R299" s="401"/>
    </row>
    <row r="300" spans="1:18" ht="20.25" customHeight="1">
      <c r="A300" s="401"/>
      <c r="B300" s="497" t="s">
        <v>2171</v>
      </c>
      <c r="C300" s="508"/>
      <c r="D300" s="496">
        <v>2025212170</v>
      </c>
      <c r="E300" s="393" t="s">
        <v>41</v>
      </c>
      <c r="F300" s="393" t="s">
        <v>654</v>
      </c>
      <c r="G300" s="412" t="s">
        <v>706</v>
      </c>
      <c r="H300" s="403">
        <v>45819</v>
      </c>
      <c r="I300" s="393" t="str">
        <f t="shared" ca="1" si="12"/>
        <v/>
      </c>
      <c r="J300" s="401"/>
      <c r="K300" s="401" t="s">
        <v>1075</v>
      </c>
      <c r="L300" s="393" t="s">
        <v>1074</v>
      </c>
      <c r="M300" s="401" t="s">
        <v>709</v>
      </c>
      <c r="N300" s="393" t="s">
        <v>41</v>
      </c>
      <c r="O300" s="393"/>
      <c r="P300" s="404"/>
      <c r="Q300" s="401"/>
      <c r="R300" s="401"/>
    </row>
    <row r="301" spans="1:18" ht="20.25" customHeight="1">
      <c r="A301" s="401"/>
      <c r="B301" s="497" t="s">
        <v>2171</v>
      </c>
      <c r="C301" s="508"/>
      <c r="D301" s="496">
        <v>2025212168</v>
      </c>
      <c r="E301" s="393" t="s">
        <v>41</v>
      </c>
      <c r="F301" s="393" t="s">
        <v>654</v>
      </c>
      <c r="G301" s="408" t="s">
        <v>716</v>
      </c>
      <c r="H301" s="403">
        <v>45819</v>
      </c>
      <c r="I301" s="393">
        <f t="shared" ca="1" si="12"/>
        <v>208</v>
      </c>
      <c r="J301" s="401"/>
      <c r="K301" s="401" t="s">
        <v>1082</v>
      </c>
      <c r="L301" s="393" t="s">
        <v>1081</v>
      </c>
      <c r="M301" s="401" t="s">
        <v>709</v>
      </c>
      <c r="N301" s="393" t="s">
        <v>41</v>
      </c>
      <c r="O301" s="393" t="s">
        <v>2311</v>
      </c>
      <c r="P301" s="404"/>
      <c r="Q301" s="401"/>
      <c r="R301" s="401"/>
    </row>
    <row r="302" spans="1:18" ht="20.25" customHeight="1">
      <c r="A302" s="401"/>
      <c r="B302" s="497" t="s">
        <v>2696</v>
      </c>
      <c r="C302" s="508"/>
      <c r="D302" s="496">
        <v>2025212148</v>
      </c>
      <c r="E302" s="393" t="s">
        <v>41</v>
      </c>
      <c r="F302" s="393" t="s">
        <v>654</v>
      </c>
      <c r="G302" s="408" t="s">
        <v>2311</v>
      </c>
      <c r="H302" s="403">
        <v>45819</v>
      </c>
      <c r="I302" s="393">
        <f t="shared" ca="1" si="12"/>
        <v>208</v>
      </c>
      <c r="J302" s="401"/>
      <c r="K302" s="401" t="s">
        <v>2697</v>
      </c>
      <c r="L302" s="393" t="s">
        <v>1087</v>
      </c>
      <c r="M302" s="401" t="s">
        <v>849</v>
      </c>
      <c r="N302" s="393" t="s">
        <v>41</v>
      </c>
      <c r="O302" s="393"/>
      <c r="P302" s="404"/>
      <c r="Q302" s="401"/>
      <c r="R302" s="401"/>
    </row>
    <row r="303" spans="1:18" ht="20.25" customHeight="1">
      <c r="A303" s="401"/>
      <c r="B303" s="497" t="s">
        <v>2092</v>
      </c>
      <c r="C303" s="508"/>
      <c r="D303" s="496">
        <v>2025212191</v>
      </c>
      <c r="E303" s="393" t="s">
        <v>41</v>
      </c>
      <c r="F303" s="393" t="s">
        <v>654</v>
      </c>
      <c r="G303" s="408" t="s">
        <v>2313</v>
      </c>
      <c r="H303" s="403">
        <v>45819</v>
      </c>
      <c r="I303" s="393">
        <f t="shared" ca="1" si="12"/>
        <v>208</v>
      </c>
      <c r="J303" s="401"/>
      <c r="K303" s="401" t="s">
        <v>2698</v>
      </c>
      <c r="L303" s="393" t="s">
        <v>1096</v>
      </c>
      <c r="M303" s="401" t="s">
        <v>1098</v>
      </c>
      <c r="N303" s="393" t="s">
        <v>41</v>
      </c>
      <c r="O303" s="393"/>
      <c r="P303" s="404"/>
      <c r="Q303" s="401"/>
      <c r="R303" s="401"/>
    </row>
    <row r="304" spans="1:18" ht="20.25" customHeight="1">
      <c r="A304" s="401"/>
      <c r="B304" s="497" t="s">
        <v>2092</v>
      </c>
      <c r="C304" s="508"/>
      <c r="D304" s="496">
        <v>2025212189</v>
      </c>
      <c r="E304" s="393" t="s">
        <v>41</v>
      </c>
      <c r="F304" s="393" t="s">
        <v>654</v>
      </c>
      <c r="G304" s="412" t="s">
        <v>706</v>
      </c>
      <c r="H304" s="403">
        <v>45819</v>
      </c>
      <c r="I304" s="393" t="e">
        <f t="shared" ca="1" si="12"/>
        <v>#VALUE!</v>
      </c>
      <c r="J304" s="401" t="s">
        <v>2429</v>
      </c>
      <c r="K304" s="401" t="s">
        <v>1105</v>
      </c>
      <c r="L304" s="393" t="s">
        <v>1104</v>
      </c>
      <c r="M304" s="401" t="s">
        <v>774</v>
      </c>
      <c r="N304" s="393" t="s">
        <v>41</v>
      </c>
      <c r="O304" s="393"/>
      <c r="P304" s="404"/>
      <c r="Q304" s="401"/>
      <c r="R304" s="401"/>
    </row>
    <row r="305" spans="1:18" ht="20.25" customHeight="1">
      <c r="A305" s="401"/>
      <c r="B305" s="497" t="s">
        <v>2092</v>
      </c>
      <c r="C305" s="508"/>
      <c r="D305" s="496"/>
      <c r="E305" s="393" t="s">
        <v>41</v>
      </c>
      <c r="F305" s="393" t="s">
        <v>654</v>
      </c>
      <c r="G305" s="408" t="s">
        <v>716</v>
      </c>
      <c r="H305" s="403">
        <v>45819</v>
      </c>
      <c r="I305" s="393">
        <f t="shared" ca="1" si="12"/>
        <v>208</v>
      </c>
      <c r="J305" s="401"/>
      <c r="K305" s="401" t="s">
        <v>1113</v>
      </c>
      <c r="L305" s="393" t="s">
        <v>2699</v>
      </c>
      <c r="M305" s="401" t="s">
        <v>774</v>
      </c>
      <c r="N305" s="393" t="s">
        <v>41</v>
      </c>
      <c r="O305" s="393"/>
      <c r="P305" s="404"/>
      <c r="Q305" s="401"/>
      <c r="R305" s="401"/>
    </row>
    <row r="306" spans="1:18" ht="20.25" customHeight="1">
      <c r="A306" s="401"/>
      <c r="B306" s="515" t="s">
        <v>2092</v>
      </c>
      <c r="C306" s="529"/>
      <c r="D306" s="431">
        <v>2025212145</v>
      </c>
      <c r="E306" s="393" t="s">
        <v>41</v>
      </c>
      <c r="F306" s="393" t="s">
        <v>654</v>
      </c>
      <c r="G306" s="408" t="s">
        <v>716</v>
      </c>
      <c r="H306" s="403">
        <v>45819</v>
      </c>
      <c r="I306" s="393">
        <f t="shared" ca="1" si="12"/>
        <v>208</v>
      </c>
      <c r="J306" s="401"/>
      <c r="K306" s="401" t="s">
        <v>1121</v>
      </c>
      <c r="L306" s="393" t="s">
        <v>1120</v>
      </c>
      <c r="M306" s="401" t="s">
        <v>774</v>
      </c>
      <c r="N306" s="393" t="s">
        <v>41</v>
      </c>
      <c r="O306" s="393"/>
      <c r="P306" s="404"/>
      <c r="Q306" s="401"/>
      <c r="R306" s="401"/>
    </row>
    <row r="307" spans="1:18" ht="20.25" customHeight="1">
      <c r="A307" s="401"/>
      <c r="B307" s="497" t="s">
        <v>2092</v>
      </c>
      <c r="C307" s="508"/>
      <c r="D307" s="496">
        <v>2025212140</v>
      </c>
      <c r="E307" s="393" t="s">
        <v>41</v>
      </c>
      <c r="F307" s="393" t="s">
        <v>654</v>
      </c>
      <c r="G307" s="412" t="s">
        <v>706</v>
      </c>
      <c r="H307" s="403">
        <v>45819</v>
      </c>
      <c r="I307" s="393" t="e">
        <f t="shared" ca="1" si="12"/>
        <v>#VALUE!</v>
      </c>
      <c r="J307" s="401" t="s">
        <v>2429</v>
      </c>
      <c r="K307" s="401" t="s">
        <v>1127</v>
      </c>
      <c r="L307" s="393" t="s">
        <v>1126</v>
      </c>
      <c r="M307" s="401" t="s">
        <v>774</v>
      </c>
      <c r="N307" s="393" t="s">
        <v>41</v>
      </c>
      <c r="O307" s="393"/>
      <c r="P307" s="404"/>
      <c r="Q307" s="401"/>
      <c r="R307" s="401"/>
    </row>
    <row r="308" spans="1:18" ht="20.25" customHeight="1">
      <c r="A308" s="401"/>
      <c r="B308" s="497" t="s">
        <v>2700</v>
      </c>
      <c r="C308" s="508"/>
      <c r="D308" s="496">
        <v>2025212222</v>
      </c>
      <c r="E308" s="393" t="s">
        <v>41</v>
      </c>
      <c r="F308" s="393" t="s">
        <v>654</v>
      </c>
      <c r="G308" s="409" t="s">
        <v>2317</v>
      </c>
      <c r="H308" s="403" t="s">
        <v>2423</v>
      </c>
      <c r="I308" s="393" t="e">
        <f t="shared" ca="1" si="12"/>
        <v>#VALUE!</v>
      </c>
      <c r="J308" s="401"/>
      <c r="K308" s="401" t="s">
        <v>1137</v>
      </c>
      <c r="L308" s="393" t="s">
        <v>1136</v>
      </c>
      <c r="M308" s="401" t="s">
        <v>2701</v>
      </c>
      <c r="N308" s="393" t="s">
        <v>41</v>
      </c>
      <c r="O308" s="414" t="s">
        <v>2317</v>
      </c>
      <c r="P308" s="404"/>
      <c r="Q308" s="401"/>
      <c r="R308" s="401"/>
    </row>
    <row r="309" spans="1:18" ht="20.25" customHeight="1">
      <c r="A309" s="401"/>
      <c r="B309" s="497" t="s">
        <v>2197</v>
      </c>
      <c r="C309" s="508"/>
      <c r="D309" s="506">
        <v>2025212410</v>
      </c>
      <c r="E309" s="393" t="s">
        <v>41</v>
      </c>
      <c r="F309" s="393" t="s">
        <v>654</v>
      </c>
      <c r="G309" s="412" t="s">
        <v>706</v>
      </c>
      <c r="H309" s="403">
        <v>46002</v>
      </c>
      <c r="I309" s="393" t="str">
        <f t="shared" ca="1" si="12"/>
        <v/>
      </c>
      <c r="J309" s="401"/>
      <c r="K309" s="401" t="s">
        <v>1155</v>
      </c>
      <c r="L309" s="393" t="s">
        <v>1154</v>
      </c>
      <c r="M309" s="401" t="s">
        <v>1156</v>
      </c>
      <c r="N309" s="393" t="s">
        <v>41</v>
      </c>
      <c r="O309" s="393"/>
      <c r="P309" s="404"/>
      <c r="Q309" s="401"/>
      <c r="R309" s="401"/>
    </row>
    <row r="310" spans="1:18" ht="20.25" customHeight="1">
      <c r="A310" s="401"/>
      <c r="B310" s="497" t="s">
        <v>2198</v>
      </c>
      <c r="C310" s="508"/>
      <c r="D310" s="496">
        <v>2025212250</v>
      </c>
      <c r="E310" s="393" t="s">
        <v>41</v>
      </c>
      <c r="F310" s="393" t="s">
        <v>654</v>
      </c>
      <c r="G310" s="408" t="s">
        <v>716</v>
      </c>
      <c r="H310" s="403">
        <v>46002</v>
      </c>
      <c r="I310" s="393">
        <f t="shared" ca="1" si="12"/>
        <v>25</v>
      </c>
      <c r="J310" s="401"/>
      <c r="K310" s="401" t="s">
        <v>1162</v>
      </c>
      <c r="L310" s="393" t="s">
        <v>1161</v>
      </c>
      <c r="M310" s="401" t="s">
        <v>1163</v>
      </c>
      <c r="N310" s="393" t="s">
        <v>41</v>
      </c>
      <c r="O310" s="393"/>
      <c r="P310" s="404"/>
      <c r="Q310" s="401"/>
      <c r="R310" s="401"/>
    </row>
    <row r="311" spans="1:18" ht="20.25" customHeight="1">
      <c r="A311" s="401"/>
      <c r="B311" s="497" t="s">
        <v>2200</v>
      </c>
      <c r="C311" s="508"/>
      <c r="D311" s="496">
        <v>2025212219</v>
      </c>
      <c r="E311" s="393" t="s">
        <v>41</v>
      </c>
      <c r="F311" s="393" t="s">
        <v>654</v>
      </c>
      <c r="G311" s="412" t="s">
        <v>706</v>
      </c>
      <c r="H311" s="403">
        <v>46002</v>
      </c>
      <c r="I311" s="393" t="e">
        <f t="shared" ca="1" si="12"/>
        <v>#VALUE!</v>
      </c>
      <c r="J311" s="401" t="s">
        <v>2527</v>
      </c>
      <c r="K311" s="401" t="s">
        <v>1169</v>
      </c>
      <c r="L311" s="393" t="s">
        <v>1168</v>
      </c>
      <c r="M311" s="401" t="s">
        <v>1170</v>
      </c>
      <c r="N311" s="393" t="s">
        <v>41</v>
      </c>
      <c r="O311" s="393" t="s">
        <v>2702</v>
      </c>
      <c r="P311" s="393" t="s">
        <v>2695</v>
      </c>
      <c r="Q311" s="401"/>
      <c r="R311" s="401"/>
    </row>
    <row r="312" spans="1:18" ht="20.25" customHeight="1">
      <c r="A312" s="401"/>
      <c r="B312" s="497" t="s">
        <v>2703</v>
      </c>
      <c r="C312" s="508"/>
      <c r="D312" s="496">
        <v>2025212215</v>
      </c>
      <c r="E312" s="393" t="s">
        <v>41</v>
      </c>
      <c r="F312" s="393" t="s">
        <v>654</v>
      </c>
      <c r="G312" s="408" t="s">
        <v>2317</v>
      </c>
      <c r="H312" s="403" t="s">
        <v>2423</v>
      </c>
      <c r="I312" s="393" t="e">
        <f t="shared" ca="1" si="12"/>
        <v>#VALUE!</v>
      </c>
      <c r="J312" s="401"/>
      <c r="K312" s="401" t="s">
        <v>2704</v>
      </c>
      <c r="L312" s="393" t="s">
        <v>1177</v>
      </c>
      <c r="M312" s="401" t="s">
        <v>2705</v>
      </c>
      <c r="N312" s="393" t="s">
        <v>41</v>
      </c>
      <c r="O312" s="408" t="s">
        <v>2317</v>
      </c>
      <c r="P312" s="404"/>
      <c r="Q312" s="401"/>
      <c r="R312" s="401"/>
    </row>
    <row r="313" spans="1:18" ht="20.25" customHeight="1">
      <c r="A313" s="401"/>
      <c r="B313" s="497" t="s">
        <v>2200</v>
      </c>
      <c r="C313" s="508"/>
      <c r="D313" s="496">
        <v>2025212443</v>
      </c>
      <c r="E313" s="393" t="s">
        <v>41</v>
      </c>
      <c r="F313" s="393" t="s">
        <v>654</v>
      </c>
      <c r="G313" s="408" t="s">
        <v>716</v>
      </c>
      <c r="H313" s="403">
        <v>46002</v>
      </c>
      <c r="I313" s="393">
        <f t="shared" ca="1" si="12"/>
        <v>25</v>
      </c>
      <c r="J313" s="401"/>
      <c r="K313" s="401" t="s">
        <v>2706</v>
      </c>
      <c r="L313" s="393" t="s">
        <v>1189</v>
      </c>
      <c r="M313" s="401" t="s">
        <v>791</v>
      </c>
      <c r="N313" s="393" t="s">
        <v>41</v>
      </c>
      <c r="O313" s="393"/>
      <c r="P313" s="404"/>
      <c r="Q313" s="401"/>
      <c r="R313" s="401"/>
    </row>
    <row r="314" spans="1:18" ht="20.25" customHeight="1">
      <c r="A314" s="401"/>
      <c r="B314" s="500" t="s">
        <v>2707</v>
      </c>
      <c r="C314" s="528"/>
      <c r="D314" s="496">
        <v>2025212467</v>
      </c>
      <c r="E314" s="393" t="s">
        <v>41</v>
      </c>
      <c r="F314" s="393" t="s">
        <v>654</v>
      </c>
      <c r="G314" s="408" t="s">
        <v>2316</v>
      </c>
      <c r="H314" s="403"/>
      <c r="I314" s="393" t="str">
        <f t="shared" ca="1" si="12"/>
        <v/>
      </c>
      <c r="J314" s="401"/>
      <c r="K314" s="401" t="s">
        <v>2708</v>
      </c>
      <c r="L314" s="393" t="s">
        <v>1196</v>
      </c>
      <c r="M314" s="401" t="s">
        <v>736</v>
      </c>
      <c r="N314" s="393" t="s">
        <v>41</v>
      </c>
      <c r="O314" s="393"/>
      <c r="P314" s="404"/>
      <c r="Q314" s="401"/>
      <c r="R314" s="401"/>
    </row>
    <row r="315" spans="1:18" ht="20.25" customHeight="1">
      <c r="A315" s="401"/>
      <c r="B315" s="497" t="s">
        <v>2092</v>
      </c>
      <c r="C315" s="508"/>
      <c r="D315" s="496">
        <v>2025212380</v>
      </c>
      <c r="E315" s="393" t="s">
        <v>41</v>
      </c>
      <c r="F315" s="393" t="s">
        <v>654</v>
      </c>
      <c r="G315" s="408" t="s">
        <v>2313</v>
      </c>
      <c r="H315" s="403">
        <v>46002</v>
      </c>
      <c r="I315" s="393">
        <f t="shared" ca="1" si="12"/>
        <v>25</v>
      </c>
      <c r="J315" s="401"/>
      <c r="K315" s="401" t="s">
        <v>1203</v>
      </c>
      <c r="L315" s="393" t="s">
        <v>1202</v>
      </c>
      <c r="M315" s="401" t="s">
        <v>774</v>
      </c>
      <c r="N315" s="393" t="s">
        <v>41</v>
      </c>
      <c r="O315" s="393"/>
      <c r="P315" s="404"/>
      <c r="Q315" s="401"/>
      <c r="R315" s="401"/>
    </row>
    <row r="316" spans="1:18" ht="20.25" customHeight="1">
      <c r="A316" s="401"/>
      <c r="B316" s="497" t="s">
        <v>2092</v>
      </c>
      <c r="C316" s="508"/>
      <c r="D316" s="496">
        <v>2025212399</v>
      </c>
      <c r="E316" s="393" t="s">
        <v>41</v>
      </c>
      <c r="F316" s="393" t="s">
        <v>654</v>
      </c>
      <c r="G316" s="412" t="s">
        <v>706</v>
      </c>
      <c r="H316" s="403">
        <v>46002</v>
      </c>
      <c r="I316" s="393" t="e">
        <f t="shared" ca="1" si="12"/>
        <v>#VALUE!</v>
      </c>
      <c r="J316" s="401" t="s">
        <v>2429</v>
      </c>
      <c r="K316" s="401" t="s">
        <v>1210</v>
      </c>
      <c r="L316" s="393" t="s">
        <v>1209</v>
      </c>
      <c r="M316" s="401" t="s">
        <v>1211</v>
      </c>
      <c r="N316" s="393" t="s">
        <v>41</v>
      </c>
      <c r="O316" s="393"/>
      <c r="P316" s="404"/>
      <c r="Q316" s="401"/>
      <c r="R316" s="401"/>
    </row>
    <row r="317" spans="1:18" ht="20.25" customHeight="1">
      <c r="A317" s="401"/>
      <c r="B317" s="497" t="s">
        <v>2171</v>
      </c>
      <c r="C317" s="508"/>
      <c r="D317" s="496">
        <v>2025212401</v>
      </c>
      <c r="E317" s="393" t="s">
        <v>41</v>
      </c>
      <c r="F317" s="393" t="s">
        <v>654</v>
      </c>
      <c r="G317" s="408" t="s">
        <v>716</v>
      </c>
      <c r="H317" s="403">
        <v>46002</v>
      </c>
      <c r="I317" s="393">
        <f t="shared" ca="1" si="12"/>
        <v>25</v>
      </c>
      <c r="J317" s="401"/>
      <c r="K317" s="401" t="s">
        <v>1217</v>
      </c>
      <c r="L317" s="393" t="s">
        <v>1216</v>
      </c>
      <c r="M317" s="401" t="s">
        <v>709</v>
      </c>
      <c r="N317" s="393" t="s">
        <v>41</v>
      </c>
      <c r="O317" s="393" t="s">
        <v>2709</v>
      </c>
      <c r="P317" s="404"/>
      <c r="Q317" s="401"/>
      <c r="R317" s="401"/>
    </row>
    <row r="318" spans="1:18" ht="20.25" customHeight="1">
      <c r="A318" s="401"/>
      <c r="B318" s="515" t="s">
        <v>2208</v>
      </c>
      <c r="C318" s="529"/>
      <c r="D318" s="431">
        <v>2025212349</v>
      </c>
      <c r="E318" s="393" t="s">
        <v>41</v>
      </c>
      <c r="F318" s="393" t="s">
        <v>654</v>
      </c>
      <c r="G318" s="408" t="s">
        <v>716</v>
      </c>
      <c r="H318" s="403" t="s">
        <v>2423</v>
      </c>
      <c r="I318" s="393" t="e">
        <f t="shared" ca="1" si="12"/>
        <v>#VALUE!</v>
      </c>
      <c r="J318" s="401"/>
      <c r="K318" s="401" t="s">
        <v>1223</v>
      </c>
      <c r="L318" s="393" t="s">
        <v>1222</v>
      </c>
      <c r="M318" s="401" t="s">
        <v>1224</v>
      </c>
      <c r="N318" s="393" t="s">
        <v>41</v>
      </c>
      <c r="O318" s="393"/>
      <c r="P318" s="404"/>
      <c r="Q318" s="401"/>
      <c r="R318" s="401"/>
    </row>
    <row r="319" spans="1:18" ht="20.25" customHeight="1">
      <c r="A319" s="401"/>
      <c r="B319" s="515" t="s">
        <v>2399</v>
      </c>
      <c r="C319" s="529"/>
      <c r="D319" s="431">
        <v>2025212447</v>
      </c>
      <c r="E319" s="393" t="s">
        <v>41</v>
      </c>
      <c r="F319" s="393" t="s">
        <v>654</v>
      </c>
      <c r="G319" s="408" t="s">
        <v>716</v>
      </c>
      <c r="H319" s="403">
        <v>46002</v>
      </c>
      <c r="I319" s="393">
        <f t="shared" ca="1" si="12"/>
        <v>25</v>
      </c>
      <c r="J319" s="401"/>
      <c r="K319" s="401" t="s">
        <v>1230</v>
      </c>
      <c r="L319" s="393" t="s">
        <v>1229</v>
      </c>
      <c r="M319" s="401" t="s">
        <v>774</v>
      </c>
      <c r="N319" s="393" t="s">
        <v>41</v>
      </c>
      <c r="O319" s="393"/>
      <c r="P319" s="404"/>
      <c r="Q319" s="401"/>
      <c r="R319" s="401"/>
    </row>
    <row r="320" spans="1:18" ht="20.25" customHeight="1">
      <c r="A320" s="401"/>
      <c r="B320" s="497" t="s">
        <v>2710</v>
      </c>
      <c r="C320" s="508"/>
      <c r="D320" s="496">
        <v>2024213743</v>
      </c>
      <c r="E320" s="393" t="s">
        <v>41</v>
      </c>
      <c r="F320" s="393" t="s">
        <v>654</v>
      </c>
      <c r="G320" s="408" t="s">
        <v>2313</v>
      </c>
      <c r="H320" s="403" t="s">
        <v>2423</v>
      </c>
      <c r="I320" s="393" t="e">
        <f t="shared" ca="1" si="12"/>
        <v>#VALUE!</v>
      </c>
      <c r="J320" s="401"/>
      <c r="K320" s="401" t="s">
        <v>1244</v>
      </c>
      <c r="L320" s="393" t="s">
        <v>1243</v>
      </c>
      <c r="M320" s="401" t="s">
        <v>849</v>
      </c>
      <c r="N320" s="393" t="s">
        <v>41</v>
      </c>
      <c r="O320" s="393"/>
      <c r="P320" s="404"/>
      <c r="Q320" s="401"/>
      <c r="R320" s="401"/>
    </row>
    <row r="321" spans="1:18" ht="20.25" customHeight="1">
      <c r="A321" s="401"/>
      <c r="B321" s="505" t="s">
        <v>794</v>
      </c>
      <c r="C321" s="508"/>
      <c r="D321" s="496" t="s">
        <v>251</v>
      </c>
      <c r="E321" s="393" t="s">
        <v>41</v>
      </c>
      <c r="F321" s="393" t="s">
        <v>654</v>
      </c>
      <c r="G321" s="408" t="s">
        <v>2316</v>
      </c>
      <c r="H321" s="403"/>
      <c r="I321" s="393" t="str">
        <f t="shared" ca="1" si="12"/>
        <v/>
      </c>
      <c r="J321" s="401"/>
      <c r="K321" s="420" t="s">
        <v>1239</v>
      </c>
      <c r="L321" s="457" t="s">
        <v>1238</v>
      </c>
      <c r="M321" s="401" t="s">
        <v>2711</v>
      </c>
      <c r="N321" s="393" t="s">
        <v>41</v>
      </c>
      <c r="O321" s="393"/>
      <c r="P321" s="404"/>
      <c r="Q321" s="401"/>
      <c r="R321" s="401"/>
    </row>
    <row r="322" spans="1:18" ht="20.25" customHeight="1">
      <c r="A322" s="401"/>
      <c r="B322" s="497" t="s">
        <v>2712</v>
      </c>
      <c r="C322" s="508"/>
      <c r="D322" s="496">
        <v>2025212533</v>
      </c>
      <c r="E322" s="393" t="s">
        <v>41</v>
      </c>
      <c r="F322" s="393" t="s">
        <v>654</v>
      </c>
      <c r="G322" s="402" t="s">
        <v>706</v>
      </c>
      <c r="H322" s="403" t="s">
        <v>2423</v>
      </c>
      <c r="I322" s="393" t="e">
        <f t="shared" ca="1" si="12"/>
        <v>#VALUE!</v>
      </c>
      <c r="J322" s="401" t="s">
        <v>2527</v>
      </c>
      <c r="K322" s="401" t="s">
        <v>2713</v>
      </c>
      <c r="L322" s="393" t="s">
        <v>1249</v>
      </c>
      <c r="M322" s="401" t="s">
        <v>791</v>
      </c>
      <c r="N322" s="393" t="s">
        <v>41</v>
      </c>
      <c r="O322" s="393" t="s">
        <v>2702</v>
      </c>
      <c r="P322" s="393" t="s">
        <v>2695</v>
      </c>
      <c r="Q322" s="401"/>
      <c r="R322" s="401"/>
    </row>
    <row r="323" spans="1:18" ht="20.25" customHeight="1">
      <c r="A323" s="401"/>
      <c r="B323" s="497" t="s">
        <v>2092</v>
      </c>
      <c r="C323" s="508"/>
      <c r="D323" s="496">
        <v>2025212673</v>
      </c>
      <c r="E323" s="393" t="s">
        <v>41</v>
      </c>
      <c r="F323" s="393" t="s">
        <v>654</v>
      </c>
      <c r="G323" s="408" t="s">
        <v>716</v>
      </c>
      <c r="H323" s="403" t="s">
        <v>2428</v>
      </c>
      <c r="I323" s="393" t="e">
        <f t="shared" ca="1" si="12"/>
        <v>#VALUE!</v>
      </c>
      <c r="J323" s="401"/>
      <c r="K323" s="401" t="s">
        <v>1291</v>
      </c>
      <c r="L323" s="393" t="s">
        <v>1290</v>
      </c>
      <c r="M323" s="401" t="s">
        <v>774</v>
      </c>
      <c r="N323" s="393" t="s">
        <v>41</v>
      </c>
      <c r="O323" s="393"/>
      <c r="P323" s="404"/>
      <c r="Q323" s="401"/>
      <c r="R323" s="401"/>
    </row>
    <row r="324" spans="1:18" ht="20.25" customHeight="1">
      <c r="A324" s="401"/>
      <c r="B324" s="500" t="s">
        <v>2707</v>
      </c>
      <c r="C324" s="528"/>
      <c r="D324" s="496">
        <v>2025212540</v>
      </c>
      <c r="E324" s="393" t="s">
        <v>41</v>
      </c>
      <c r="F324" s="393" t="s">
        <v>654</v>
      </c>
      <c r="G324" s="408" t="s">
        <v>2316</v>
      </c>
      <c r="H324" s="403"/>
      <c r="I324" s="393" t="str">
        <f t="shared" ca="1" si="12"/>
        <v/>
      </c>
      <c r="J324" s="401"/>
      <c r="K324" s="401" t="s">
        <v>1299</v>
      </c>
      <c r="L324" s="393" t="s">
        <v>1298</v>
      </c>
      <c r="M324" s="401" t="s">
        <v>736</v>
      </c>
      <c r="N324" s="393" t="s">
        <v>41</v>
      </c>
      <c r="O324" s="393"/>
      <c r="P324" s="404"/>
      <c r="Q324" s="401"/>
      <c r="R324" s="401"/>
    </row>
    <row r="325" spans="1:18" ht="20.25" customHeight="1">
      <c r="A325" s="401"/>
      <c r="B325" s="497" t="s">
        <v>2714</v>
      </c>
      <c r="C325" s="508"/>
      <c r="D325" s="496">
        <v>2025212595</v>
      </c>
      <c r="E325" s="393" t="s">
        <v>41</v>
      </c>
      <c r="F325" s="393" t="s">
        <v>654</v>
      </c>
      <c r="G325" s="408" t="s">
        <v>2316</v>
      </c>
      <c r="H325" s="403"/>
      <c r="I325" s="393" t="str">
        <f t="shared" ca="1" si="12"/>
        <v/>
      </c>
      <c r="J325" s="401"/>
      <c r="K325" s="401" t="s">
        <v>1307</v>
      </c>
      <c r="L325" s="393" t="s">
        <v>1306</v>
      </c>
      <c r="M325" s="401" t="s">
        <v>1308</v>
      </c>
      <c r="N325" s="393" t="s">
        <v>41</v>
      </c>
      <c r="O325" s="393"/>
      <c r="P325" s="404"/>
      <c r="Q325" s="401"/>
      <c r="R325" s="401"/>
    </row>
    <row r="326" spans="1:18" ht="20.25" customHeight="1">
      <c r="A326" s="401"/>
      <c r="B326" s="505" t="s">
        <v>794</v>
      </c>
      <c r="C326" s="508"/>
      <c r="D326" s="496">
        <v>2025212716</v>
      </c>
      <c r="E326" s="393" t="s">
        <v>41</v>
      </c>
      <c r="F326" s="393" t="s">
        <v>654</v>
      </c>
      <c r="G326" s="408" t="s">
        <v>2316</v>
      </c>
      <c r="H326" s="403"/>
      <c r="I326" s="393" t="str">
        <f t="shared" ca="1" si="12"/>
        <v/>
      </c>
      <c r="J326" s="401"/>
      <c r="K326" s="420" t="s">
        <v>1316</v>
      </c>
      <c r="L326" s="457" t="s">
        <v>1315</v>
      </c>
      <c r="M326" s="401" t="s">
        <v>1317</v>
      </c>
      <c r="N326" s="393" t="s">
        <v>41</v>
      </c>
      <c r="O326" s="393"/>
      <c r="P326" s="404"/>
      <c r="Q326" s="401"/>
      <c r="R326" s="401"/>
    </row>
    <row r="327" spans="1:18" ht="20.25" customHeight="1">
      <c r="A327" s="401"/>
      <c r="B327" s="497" t="s">
        <v>2447</v>
      </c>
      <c r="C327" s="508"/>
      <c r="D327" s="496">
        <v>2025208486</v>
      </c>
      <c r="E327" s="393" t="s">
        <v>41</v>
      </c>
      <c r="F327" s="393" t="s">
        <v>654</v>
      </c>
      <c r="G327" s="408" t="s">
        <v>716</v>
      </c>
      <c r="H327" s="403" t="s">
        <v>2428</v>
      </c>
      <c r="I327" s="393" t="e">
        <f t="shared" ca="1" si="12"/>
        <v>#VALUE!</v>
      </c>
      <c r="J327" s="401"/>
      <c r="K327" s="401" t="s">
        <v>1323</v>
      </c>
      <c r="L327" s="393" t="s">
        <v>1322</v>
      </c>
      <c r="M327" s="401" t="s">
        <v>763</v>
      </c>
      <c r="N327" s="393" t="s">
        <v>41</v>
      </c>
      <c r="O327" s="393" t="s">
        <v>2715</v>
      </c>
      <c r="P327" s="404"/>
      <c r="Q327" s="401"/>
      <c r="R327" s="401"/>
    </row>
    <row r="328" spans="1:18" ht="20.25" customHeight="1">
      <c r="A328" s="401"/>
      <c r="B328" s="535" t="s">
        <v>2716</v>
      </c>
      <c r="C328" s="536"/>
      <c r="D328" s="537">
        <v>2025209152</v>
      </c>
      <c r="E328" s="393" t="s">
        <v>41</v>
      </c>
      <c r="F328" s="393" t="s">
        <v>654</v>
      </c>
      <c r="G328" s="408" t="s">
        <v>716</v>
      </c>
      <c r="H328" s="403" t="s">
        <v>2445</v>
      </c>
      <c r="I328" s="393" t="e">
        <f t="shared" ref="I328:I357" ca="1" si="13">IF(H328="", "", IF(OR(G328="Completed", G328="STOP"), IF(J328="", "", J328-H328), TODAY()-H328))</f>
        <v>#VALUE!</v>
      </c>
      <c r="J328" s="401"/>
      <c r="K328" s="401" t="s">
        <v>1330</v>
      </c>
      <c r="L328" s="393" t="s">
        <v>1329</v>
      </c>
      <c r="M328" s="401" t="s">
        <v>871</v>
      </c>
      <c r="N328" s="393" t="s">
        <v>41</v>
      </c>
      <c r="O328" s="393"/>
      <c r="P328" s="404"/>
      <c r="Q328" s="401"/>
      <c r="R328" s="401"/>
    </row>
    <row r="329" spans="1:18" ht="20.25" customHeight="1">
      <c r="A329" s="401"/>
      <c r="B329" s="497" t="s">
        <v>2399</v>
      </c>
      <c r="C329" s="508"/>
      <c r="D329" s="496">
        <v>2025212721</v>
      </c>
      <c r="E329" s="393" t="s">
        <v>41</v>
      </c>
      <c r="F329" s="393" t="s">
        <v>654</v>
      </c>
      <c r="G329" s="408" t="s">
        <v>716</v>
      </c>
      <c r="H329" s="403" t="s">
        <v>2428</v>
      </c>
      <c r="I329" s="393" t="e">
        <f t="shared" ca="1" si="13"/>
        <v>#VALUE!</v>
      </c>
      <c r="J329" s="401"/>
      <c r="K329" s="401" t="s">
        <v>1336</v>
      </c>
      <c r="L329" s="393" t="s">
        <v>1335</v>
      </c>
      <c r="M329" s="401" t="s">
        <v>774</v>
      </c>
      <c r="N329" s="393" t="s">
        <v>41</v>
      </c>
      <c r="O329" s="393"/>
      <c r="P329" s="404"/>
      <c r="Q329" s="401"/>
      <c r="R329" s="401"/>
    </row>
    <row r="330" spans="1:18" ht="20.25" customHeight="1">
      <c r="A330" s="401"/>
      <c r="B330" s="497" t="s">
        <v>2716</v>
      </c>
      <c r="C330" s="508"/>
      <c r="D330" s="496">
        <v>2025209441</v>
      </c>
      <c r="E330" s="393" t="s">
        <v>41</v>
      </c>
      <c r="F330" s="393" t="s">
        <v>654</v>
      </c>
      <c r="G330" s="408" t="s">
        <v>716</v>
      </c>
      <c r="H330" s="403" t="s">
        <v>2445</v>
      </c>
      <c r="I330" s="393" t="e">
        <f t="shared" ca="1" si="13"/>
        <v>#VALUE!</v>
      </c>
      <c r="J330" s="401"/>
      <c r="K330" s="401" t="s">
        <v>1348</v>
      </c>
      <c r="L330" s="393" t="s">
        <v>1347</v>
      </c>
      <c r="M330" s="401" t="s">
        <v>763</v>
      </c>
      <c r="N330" s="393" t="s">
        <v>41</v>
      </c>
      <c r="O330" s="393" t="s">
        <v>721</v>
      </c>
      <c r="P330" s="404"/>
      <c r="Q330" s="401"/>
      <c r="R330" s="401"/>
    </row>
    <row r="331" spans="1:18" ht="20.25" customHeight="1">
      <c r="A331" s="401"/>
      <c r="B331" s="497" t="s">
        <v>2716</v>
      </c>
      <c r="C331" s="508"/>
      <c r="D331" s="496">
        <v>2025209731</v>
      </c>
      <c r="E331" s="393" t="s">
        <v>41</v>
      </c>
      <c r="F331" s="393" t="s">
        <v>654</v>
      </c>
      <c r="G331" s="408" t="s">
        <v>716</v>
      </c>
      <c r="H331" s="403" t="s">
        <v>2428</v>
      </c>
      <c r="I331" s="393" t="e">
        <f t="shared" ca="1" si="13"/>
        <v>#VALUE!</v>
      </c>
      <c r="J331" s="401"/>
      <c r="K331" s="401" t="s">
        <v>1354</v>
      </c>
      <c r="L331" s="393" t="s">
        <v>1353</v>
      </c>
      <c r="M331" s="401" t="s">
        <v>763</v>
      </c>
      <c r="N331" s="393" t="s">
        <v>41</v>
      </c>
      <c r="O331" s="393" t="s">
        <v>721</v>
      </c>
      <c r="P331" s="404"/>
      <c r="Q331" s="401"/>
      <c r="R331" s="401"/>
    </row>
    <row r="332" spans="1:18" ht="20.25" customHeight="1">
      <c r="A332" s="401"/>
      <c r="B332" s="535" t="s">
        <v>2447</v>
      </c>
      <c r="C332" s="536"/>
      <c r="D332" s="537">
        <v>2025210423</v>
      </c>
      <c r="E332" s="393" t="s">
        <v>41</v>
      </c>
      <c r="F332" s="393" t="s">
        <v>654</v>
      </c>
      <c r="G332" s="408" t="s">
        <v>716</v>
      </c>
      <c r="H332" s="403" t="s">
        <v>2428</v>
      </c>
      <c r="I332" s="393" t="e">
        <f t="shared" ca="1" si="13"/>
        <v>#VALUE!</v>
      </c>
      <c r="J332" s="401"/>
      <c r="K332" s="401" t="s">
        <v>1360</v>
      </c>
      <c r="L332" s="393" t="s">
        <v>1359</v>
      </c>
      <c r="M332" s="401" t="s">
        <v>763</v>
      </c>
      <c r="N332" s="393" t="s">
        <v>41</v>
      </c>
      <c r="O332" s="393" t="s">
        <v>721</v>
      </c>
      <c r="P332" s="404"/>
      <c r="Q332" s="401"/>
      <c r="R332" s="401"/>
    </row>
    <row r="333" spans="1:18" ht="20.25" customHeight="1">
      <c r="A333" s="401"/>
      <c r="B333" s="515" t="s">
        <v>2716</v>
      </c>
      <c r="C333" s="529"/>
      <c r="D333" s="431">
        <v>2025210175</v>
      </c>
      <c r="E333" s="393" t="s">
        <v>41</v>
      </c>
      <c r="F333" s="393" t="s">
        <v>654</v>
      </c>
      <c r="G333" s="408" t="s">
        <v>716</v>
      </c>
      <c r="H333" s="403" t="s">
        <v>2445</v>
      </c>
      <c r="I333" s="393" t="e">
        <f t="shared" ca="1" si="13"/>
        <v>#VALUE!</v>
      </c>
      <c r="J333" s="401"/>
      <c r="K333" s="401" t="s">
        <v>1366</v>
      </c>
      <c r="L333" s="393" t="s">
        <v>2717</v>
      </c>
      <c r="M333" s="401" t="s">
        <v>763</v>
      </c>
      <c r="N333" s="393" t="s">
        <v>41</v>
      </c>
      <c r="O333" s="393" t="s">
        <v>721</v>
      </c>
      <c r="P333" s="404"/>
      <c r="Q333" s="401"/>
      <c r="R333" s="401"/>
    </row>
    <row r="334" spans="1:18" ht="20.25" customHeight="1">
      <c r="A334" s="401"/>
      <c r="B334" s="497" t="s">
        <v>2716</v>
      </c>
      <c r="C334" s="508"/>
      <c r="D334" s="496">
        <v>2025210211</v>
      </c>
      <c r="E334" s="393" t="s">
        <v>41</v>
      </c>
      <c r="F334" s="393" t="s">
        <v>654</v>
      </c>
      <c r="G334" s="408" t="s">
        <v>716</v>
      </c>
      <c r="H334" s="403" t="s">
        <v>2445</v>
      </c>
      <c r="I334" s="393" t="e">
        <f t="shared" ca="1" si="13"/>
        <v>#VALUE!</v>
      </c>
      <c r="J334" s="401"/>
      <c r="K334" s="401" t="s">
        <v>1348</v>
      </c>
      <c r="L334" s="393" t="s">
        <v>1371</v>
      </c>
      <c r="M334" s="401" t="s">
        <v>763</v>
      </c>
      <c r="N334" s="393" t="s">
        <v>41</v>
      </c>
      <c r="O334" s="393" t="s">
        <v>721</v>
      </c>
      <c r="P334" s="404"/>
      <c r="Q334" s="401"/>
      <c r="R334" s="401"/>
    </row>
    <row r="335" spans="1:18" ht="20.25" customHeight="1">
      <c r="A335" s="401"/>
      <c r="B335" s="497" t="s">
        <v>2447</v>
      </c>
      <c r="C335" s="508"/>
      <c r="D335" s="496">
        <v>2025209709</v>
      </c>
      <c r="E335" s="393" t="s">
        <v>41</v>
      </c>
      <c r="F335" s="393" t="s">
        <v>654</v>
      </c>
      <c r="G335" s="408" t="s">
        <v>716</v>
      </c>
      <c r="H335" s="403" t="s">
        <v>2428</v>
      </c>
      <c r="I335" s="393" t="e">
        <f t="shared" ca="1" si="13"/>
        <v>#VALUE!</v>
      </c>
      <c r="J335" s="401"/>
      <c r="K335" s="401" t="s">
        <v>762</v>
      </c>
      <c r="L335" s="393" t="s">
        <v>1376</v>
      </c>
      <c r="M335" s="401" t="s">
        <v>763</v>
      </c>
      <c r="N335" s="393" t="s">
        <v>41</v>
      </c>
      <c r="O335" s="393" t="s">
        <v>721</v>
      </c>
      <c r="P335" s="404"/>
      <c r="Q335" s="401"/>
      <c r="R335" s="401"/>
    </row>
    <row r="336" spans="1:18" ht="20.25" customHeight="1">
      <c r="A336" s="401"/>
      <c r="B336" s="497" t="s">
        <v>2716</v>
      </c>
      <c r="C336" s="508"/>
      <c r="D336" s="496">
        <v>2025210102</v>
      </c>
      <c r="E336" s="393" t="s">
        <v>41</v>
      </c>
      <c r="F336" s="393" t="s">
        <v>654</v>
      </c>
      <c r="G336" s="408" t="s">
        <v>716</v>
      </c>
      <c r="H336" s="403" t="s">
        <v>2445</v>
      </c>
      <c r="I336" s="393" t="e">
        <f t="shared" ca="1" si="13"/>
        <v>#VALUE!</v>
      </c>
      <c r="J336" s="401"/>
      <c r="K336" s="401" t="s">
        <v>1323</v>
      </c>
      <c r="L336" s="393" t="s">
        <v>1382</v>
      </c>
      <c r="M336" s="401" t="s">
        <v>763</v>
      </c>
      <c r="N336" s="393" t="s">
        <v>41</v>
      </c>
      <c r="O336" s="393" t="s">
        <v>2715</v>
      </c>
      <c r="P336" s="404"/>
      <c r="Q336" s="401"/>
      <c r="R336" s="401"/>
    </row>
    <row r="337" spans="1:18" ht="20.25" customHeight="1">
      <c r="A337" s="401"/>
      <c r="B337" s="535" t="s">
        <v>2716</v>
      </c>
      <c r="C337" s="536"/>
      <c r="D337" s="537">
        <v>2025212758</v>
      </c>
      <c r="E337" s="393" t="s">
        <v>41</v>
      </c>
      <c r="F337" s="393" t="s">
        <v>654</v>
      </c>
      <c r="G337" s="408" t="s">
        <v>716</v>
      </c>
      <c r="H337" s="403" t="s">
        <v>2445</v>
      </c>
      <c r="I337" s="393" t="e">
        <f t="shared" ca="1" si="13"/>
        <v>#VALUE!</v>
      </c>
      <c r="J337" s="401"/>
      <c r="K337" s="401" t="s">
        <v>1387</v>
      </c>
      <c r="L337" s="393" t="s">
        <v>1386</v>
      </c>
      <c r="M337" s="401" t="s">
        <v>754</v>
      </c>
      <c r="N337" s="393" t="s">
        <v>41</v>
      </c>
      <c r="O337" s="393"/>
      <c r="P337" s="404"/>
      <c r="Q337" s="401"/>
      <c r="R337" s="401"/>
    </row>
    <row r="338" spans="1:18" ht="20.25" customHeight="1">
      <c r="A338" s="401"/>
      <c r="B338" s="497" t="s">
        <v>2444</v>
      </c>
      <c r="C338" s="508"/>
      <c r="D338" s="496">
        <v>2025206806</v>
      </c>
      <c r="E338" s="393" t="s">
        <v>41</v>
      </c>
      <c r="F338" s="393" t="s">
        <v>654</v>
      </c>
      <c r="G338" s="408" t="s">
        <v>716</v>
      </c>
      <c r="H338" s="403" t="s">
        <v>2445</v>
      </c>
      <c r="I338" s="393" t="e">
        <f t="shared" ca="1" si="13"/>
        <v>#VALUE!</v>
      </c>
      <c r="J338" s="401"/>
      <c r="K338" s="401" t="s">
        <v>1393</v>
      </c>
      <c r="L338" s="393" t="s">
        <v>1392</v>
      </c>
      <c r="M338" s="401" t="s">
        <v>871</v>
      </c>
      <c r="N338" s="393" t="s">
        <v>41</v>
      </c>
      <c r="O338" s="393"/>
      <c r="P338" s="404" t="s">
        <v>112</v>
      </c>
      <c r="Q338" s="401"/>
      <c r="R338" s="401"/>
    </row>
    <row r="339" spans="1:18" ht="20.25" customHeight="1">
      <c r="A339" s="401"/>
      <c r="B339" s="505" t="s">
        <v>794</v>
      </c>
      <c r="C339" s="508"/>
      <c r="D339" s="496" t="s">
        <v>352</v>
      </c>
      <c r="E339" s="393" t="s">
        <v>41</v>
      </c>
      <c r="F339" s="393" t="s">
        <v>654</v>
      </c>
      <c r="G339" s="408" t="s">
        <v>2316</v>
      </c>
      <c r="H339" s="403"/>
      <c r="I339" s="393" t="str">
        <f t="shared" ca="1" si="13"/>
        <v/>
      </c>
      <c r="J339" s="401"/>
      <c r="K339" s="420" t="s">
        <v>2718</v>
      </c>
      <c r="L339" s="457" t="s">
        <v>1423</v>
      </c>
      <c r="M339" s="401" t="s">
        <v>728</v>
      </c>
      <c r="N339" s="393" t="s">
        <v>41</v>
      </c>
      <c r="O339" s="393"/>
      <c r="P339" s="404"/>
      <c r="Q339" s="401"/>
      <c r="R339" s="401"/>
    </row>
    <row r="340" spans="1:18" ht="20.25" customHeight="1">
      <c r="A340" s="401"/>
      <c r="B340" s="497" t="s">
        <v>2417</v>
      </c>
      <c r="C340" s="508"/>
      <c r="D340" s="496" t="s">
        <v>355</v>
      </c>
      <c r="E340" s="393" t="s">
        <v>41</v>
      </c>
      <c r="F340" s="393" t="s">
        <v>654</v>
      </c>
      <c r="G340" s="408" t="s">
        <v>2316</v>
      </c>
      <c r="H340" s="403" t="s">
        <v>2719</v>
      </c>
      <c r="I340" s="393" t="e">
        <f t="shared" ca="1" si="13"/>
        <v>#VALUE!</v>
      </c>
      <c r="J340" s="401"/>
      <c r="K340" s="401" t="s">
        <v>1490</v>
      </c>
      <c r="L340" s="393" t="s">
        <v>1430</v>
      </c>
      <c r="M340" s="401" t="s">
        <v>963</v>
      </c>
      <c r="N340" s="393" t="s">
        <v>41</v>
      </c>
      <c r="O340" s="393"/>
      <c r="P340" s="404"/>
      <c r="Q340" s="401"/>
      <c r="R340" s="401"/>
    </row>
    <row r="341" spans="1:18" ht="20.25" customHeight="1">
      <c r="A341" s="401"/>
      <c r="B341" s="497" t="s">
        <v>2432</v>
      </c>
      <c r="C341" s="508"/>
      <c r="D341" s="496" t="s">
        <v>358</v>
      </c>
      <c r="E341" s="393" t="s">
        <v>41</v>
      </c>
      <c r="F341" s="393" t="s">
        <v>654</v>
      </c>
      <c r="G341" s="412" t="s">
        <v>706</v>
      </c>
      <c r="H341" s="403" t="s">
        <v>2428</v>
      </c>
      <c r="I341" s="393" t="e">
        <f t="shared" ca="1" si="13"/>
        <v>#VALUE!</v>
      </c>
      <c r="J341" s="401" t="s">
        <v>2429</v>
      </c>
      <c r="K341" s="401" t="s">
        <v>1439</v>
      </c>
      <c r="L341" s="393" t="s">
        <v>1438</v>
      </c>
      <c r="M341" s="401" t="s">
        <v>1440</v>
      </c>
      <c r="N341" s="393" t="s">
        <v>41</v>
      </c>
      <c r="O341" s="393" t="s">
        <v>2311</v>
      </c>
      <c r="P341" s="404"/>
      <c r="Q341" s="401"/>
      <c r="R341" s="401"/>
    </row>
    <row r="342" spans="1:18" ht="20.25" customHeight="1">
      <c r="A342" s="401"/>
      <c r="B342" s="497" t="s">
        <v>2720</v>
      </c>
      <c r="C342" s="508"/>
      <c r="D342" s="496">
        <v>2002429</v>
      </c>
      <c r="E342" s="414" t="s">
        <v>41</v>
      </c>
      <c r="F342" s="414" t="s">
        <v>654</v>
      </c>
      <c r="G342" s="416" t="s">
        <v>747</v>
      </c>
      <c r="H342" s="403" t="s">
        <v>2428</v>
      </c>
      <c r="I342" s="393" t="str">
        <f t="shared" ca="1" si="13"/>
        <v/>
      </c>
      <c r="J342" s="401"/>
      <c r="K342" s="401" t="s">
        <v>1460</v>
      </c>
      <c r="L342" s="393" t="s">
        <v>1459</v>
      </c>
      <c r="M342" s="401" t="s">
        <v>1461</v>
      </c>
      <c r="N342" s="403">
        <v>45789</v>
      </c>
      <c r="O342" s="393"/>
      <c r="P342" s="404"/>
      <c r="Q342" s="401"/>
      <c r="R342" s="401"/>
    </row>
    <row r="343" spans="1:18" ht="20.25" customHeight="1">
      <c r="A343" s="401"/>
      <c r="B343" s="497" t="s">
        <v>2720</v>
      </c>
      <c r="C343" s="508"/>
      <c r="D343" s="496">
        <v>2745855</v>
      </c>
      <c r="E343" s="414" t="s">
        <v>41</v>
      </c>
      <c r="F343" s="414" t="s">
        <v>654</v>
      </c>
      <c r="G343" s="416" t="s">
        <v>747</v>
      </c>
      <c r="H343" s="403" t="s">
        <v>2428</v>
      </c>
      <c r="I343" s="393" t="str">
        <f t="shared" ca="1" si="13"/>
        <v/>
      </c>
      <c r="J343" s="401"/>
      <c r="K343" s="401" t="s">
        <v>1468</v>
      </c>
      <c r="L343" s="393" t="s">
        <v>1467</v>
      </c>
      <c r="M343" s="401" t="s">
        <v>1461</v>
      </c>
      <c r="N343" s="403">
        <v>45789</v>
      </c>
      <c r="O343" s="393"/>
      <c r="P343" s="404"/>
      <c r="Q343" s="401"/>
      <c r="R343" s="401"/>
    </row>
    <row r="344" spans="1:18" ht="20.25" customHeight="1">
      <c r="A344" s="401"/>
      <c r="B344" s="497" t="s">
        <v>794</v>
      </c>
      <c r="C344" s="508"/>
      <c r="D344" s="496">
        <v>2748309</v>
      </c>
      <c r="E344" s="393" t="s">
        <v>41</v>
      </c>
      <c r="F344" s="393" t="s">
        <v>654</v>
      </c>
      <c r="G344" s="418" t="s">
        <v>2630</v>
      </c>
      <c r="H344" s="403" t="s">
        <v>2428</v>
      </c>
      <c r="I344" s="393" t="e">
        <f t="shared" ca="1" si="13"/>
        <v>#VALUE!</v>
      </c>
      <c r="J344" s="401"/>
      <c r="K344" s="401" t="s">
        <v>1475</v>
      </c>
      <c r="L344" s="393" t="s">
        <v>1474</v>
      </c>
      <c r="M344" s="401" t="s">
        <v>2721</v>
      </c>
      <c r="N344" s="393" t="s">
        <v>41</v>
      </c>
      <c r="O344" s="393"/>
      <c r="P344" s="404"/>
      <c r="Q344" s="401"/>
      <c r="R344" s="401"/>
    </row>
    <row r="345" spans="1:18" ht="20.25" customHeight="1">
      <c r="A345" s="401"/>
      <c r="B345" s="535" t="s">
        <v>2722</v>
      </c>
      <c r="C345" s="536"/>
      <c r="D345" s="537">
        <v>2748142</v>
      </c>
      <c r="E345" s="393" t="s">
        <v>41</v>
      </c>
      <c r="F345" s="393" t="s">
        <v>654</v>
      </c>
      <c r="G345" s="408" t="s">
        <v>716</v>
      </c>
      <c r="H345" s="403" t="s">
        <v>2428</v>
      </c>
      <c r="I345" s="393" t="e">
        <f t="shared" ca="1" si="13"/>
        <v>#VALUE!</v>
      </c>
      <c r="J345" s="401"/>
      <c r="K345" s="401" t="s">
        <v>1483</v>
      </c>
      <c r="L345" s="393" t="s">
        <v>1482</v>
      </c>
      <c r="M345" s="401" t="s">
        <v>2665</v>
      </c>
      <c r="N345" s="393" t="s">
        <v>41</v>
      </c>
      <c r="O345" s="393"/>
      <c r="P345" s="404"/>
      <c r="Q345" s="401"/>
      <c r="R345" s="401"/>
    </row>
    <row r="346" spans="1:18" ht="20.25" customHeight="1">
      <c r="A346" s="401"/>
      <c r="B346" s="497" t="s">
        <v>2417</v>
      </c>
      <c r="C346" s="508"/>
      <c r="D346" s="496">
        <v>2025212933</v>
      </c>
      <c r="E346" s="393" t="s">
        <v>41</v>
      </c>
      <c r="F346" s="393" t="s">
        <v>654</v>
      </c>
      <c r="G346" s="408" t="s">
        <v>2316</v>
      </c>
      <c r="H346" s="403" t="s">
        <v>2719</v>
      </c>
      <c r="I346" s="393" t="e">
        <f t="shared" ca="1" si="13"/>
        <v>#VALUE!</v>
      </c>
      <c r="J346" s="401"/>
      <c r="K346" s="401" t="s">
        <v>1490</v>
      </c>
      <c r="L346" s="393" t="s">
        <v>1489</v>
      </c>
      <c r="M346" s="401" t="s">
        <v>963</v>
      </c>
      <c r="N346" s="393" t="s">
        <v>41</v>
      </c>
      <c r="O346" s="393"/>
      <c r="P346" s="404"/>
      <c r="Q346" s="401"/>
      <c r="R346" s="401"/>
    </row>
    <row r="347" spans="1:18" ht="20.25" customHeight="1">
      <c r="A347" s="401"/>
      <c r="B347" s="497" t="s">
        <v>2444</v>
      </c>
      <c r="C347" s="508"/>
      <c r="D347" s="496">
        <v>2022213651</v>
      </c>
      <c r="E347" s="393" t="s">
        <v>41</v>
      </c>
      <c r="F347" s="393" t="s">
        <v>654</v>
      </c>
      <c r="G347" s="408" t="s">
        <v>716</v>
      </c>
      <c r="H347" s="403" t="s">
        <v>2445</v>
      </c>
      <c r="I347" s="393" t="e">
        <f t="shared" ca="1" si="13"/>
        <v>#VALUE!</v>
      </c>
      <c r="J347" s="401"/>
      <c r="K347" s="401" t="s">
        <v>2450</v>
      </c>
      <c r="L347" s="393" t="s">
        <v>1493</v>
      </c>
      <c r="M347" s="401" t="s">
        <v>763</v>
      </c>
      <c r="N347" s="393" t="s">
        <v>41</v>
      </c>
      <c r="O347" s="393" t="s">
        <v>721</v>
      </c>
      <c r="P347" s="404"/>
      <c r="Q347" s="401"/>
      <c r="R347" s="401"/>
    </row>
    <row r="348" spans="1:18" ht="20.25" customHeight="1">
      <c r="A348" s="401"/>
      <c r="B348" s="497" t="s">
        <v>2522</v>
      </c>
      <c r="C348" s="508"/>
      <c r="D348" s="496">
        <v>2025212966</v>
      </c>
      <c r="E348" s="393" t="s">
        <v>41</v>
      </c>
      <c r="F348" s="393" t="s">
        <v>654</v>
      </c>
      <c r="G348" s="412" t="s">
        <v>706</v>
      </c>
      <c r="H348" s="403"/>
      <c r="I348" s="393" t="str">
        <f t="shared" ca="1" si="13"/>
        <v/>
      </c>
      <c r="J348" s="401" t="s">
        <v>2527</v>
      </c>
      <c r="K348" s="401" t="s">
        <v>1499</v>
      </c>
      <c r="L348" s="393" t="s">
        <v>1498</v>
      </c>
      <c r="M348" s="401" t="s">
        <v>791</v>
      </c>
      <c r="N348" s="393" t="s">
        <v>41</v>
      </c>
      <c r="O348" s="393" t="s">
        <v>2702</v>
      </c>
      <c r="P348" s="393" t="s">
        <v>2695</v>
      </c>
      <c r="Q348" s="401"/>
      <c r="R348" s="401"/>
    </row>
    <row r="349" spans="1:18" ht="20.25" customHeight="1">
      <c r="A349" s="401"/>
      <c r="B349" s="515" t="s">
        <v>2716</v>
      </c>
      <c r="C349" s="529" t="s">
        <v>2486</v>
      </c>
      <c r="D349" s="431">
        <v>2025212965</v>
      </c>
      <c r="E349" s="393" t="s">
        <v>41</v>
      </c>
      <c r="F349" s="393" t="s">
        <v>654</v>
      </c>
      <c r="G349" s="408" t="s">
        <v>716</v>
      </c>
      <c r="H349" s="403" t="s">
        <v>2445</v>
      </c>
      <c r="I349" s="393" t="e">
        <f t="shared" ca="1" si="13"/>
        <v>#VALUE!</v>
      </c>
      <c r="J349" s="401"/>
      <c r="K349" s="401" t="s">
        <v>1505</v>
      </c>
      <c r="L349" s="393" t="s">
        <v>1504</v>
      </c>
      <c r="M349" s="401" t="s">
        <v>754</v>
      </c>
      <c r="N349" s="393" t="s">
        <v>41</v>
      </c>
      <c r="O349" s="393"/>
      <c r="P349" s="404"/>
      <c r="Q349" s="401"/>
      <c r="R349" s="401"/>
    </row>
    <row r="350" spans="1:18" ht="20.25" customHeight="1">
      <c r="A350" s="401"/>
      <c r="B350" s="515" t="s">
        <v>2447</v>
      </c>
      <c r="C350" s="529"/>
      <c r="D350" s="431">
        <v>2025212927</v>
      </c>
      <c r="E350" s="393" t="s">
        <v>41</v>
      </c>
      <c r="F350" s="393" t="s">
        <v>654</v>
      </c>
      <c r="G350" s="408" t="s">
        <v>716</v>
      </c>
      <c r="H350" s="403" t="s">
        <v>2428</v>
      </c>
      <c r="I350" s="393" t="e">
        <f t="shared" ca="1" si="13"/>
        <v>#VALUE!</v>
      </c>
      <c r="J350" s="401"/>
      <c r="K350" s="401" t="s">
        <v>1511</v>
      </c>
      <c r="L350" s="393" t="s">
        <v>1510</v>
      </c>
      <c r="M350" s="401" t="s">
        <v>763</v>
      </c>
      <c r="N350" s="393" t="s">
        <v>41</v>
      </c>
      <c r="O350" s="393" t="s">
        <v>721</v>
      </c>
      <c r="P350" s="404"/>
      <c r="Q350" s="401"/>
      <c r="R350" s="401"/>
    </row>
    <row r="351" spans="1:18" ht="20.25" customHeight="1">
      <c r="A351" s="401"/>
      <c r="B351" s="515" t="s">
        <v>2716</v>
      </c>
      <c r="C351" s="529"/>
      <c r="D351" s="431">
        <v>2025212925</v>
      </c>
      <c r="E351" s="393" t="s">
        <v>41</v>
      </c>
      <c r="F351" s="393" t="s">
        <v>654</v>
      </c>
      <c r="G351" s="408" t="s">
        <v>716</v>
      </c>
      <c r="H351" s="403" t="s">
        <v>2445</v>
      </c>
      <c r="I351" s="393" t="e">
        <f t="shared" ca="1" si="13"/>
        <v>#VALUE!</v>
      </c>
      <c r="J351" s="401"/>
      <c r="K351" s="401" t="s">
        <v>1517</v>
      </c>
      <c r="L351" s="393" t="s">
        <v>1516</v>
      </c>
      <c r="M351" s="401" t="s">
        <v>763</v>
      </c>
      <c r="N351" s="393" t="s">
        <v>41</v>
      </c>
      <c r="O351" s="393" t="s">
        <v>2715</v>
      </c>
      <c r="P351" s="404"/>
      <c r="Q351" s="401"/>
      <c r="R351" s="401"/>
    </row>
    <row r="352" spans="1:18" ht="20.25" customHeight="1">
      <c r="A352" s="401"/>
      <c r="B352" s="497" t="s">
        <v>794</v>
      </c>
      <c r="C352" s="508"/>
      <c r="D352" s="496">
        <v>2752072</v>
      </c>
      <c r="E352" s="393" t="s">
        <v>41</v>
      </c>
      <c r="F352" s="393" t="s">
        <v>654</v>
      </c>
      <c r="G352" s="408" t="s">
        <v>2316</v>
      </c>
      <c r="H352" s="403"/>
      <c r="I352" s="393" t="str">
        <f t="shared" ca="1" si="13"/>
        <v/>
      </c>
      <c r="J352" s="401"/>
      <c r="K352" s="401" t="s">
        <v>1523</v>
      </c>
      <c r="L352" s="393" t="s">
        <v>1522</v>
      </c>
      <c r="M352" s="401" t="s">
        <v>924</v>
      </c>
      <c r="N352" s="393" t="s">
        <v>41</v>
      </c>
      <c r="O352" s="393"/>
      <c r="P352" s="404"/>
      <c r="Q352" s="401"/>
      <c r="R352" s="401"/>
    </row>
    <row r="353" spans="1:18" ht="34.5" customHeight="1">
      <c r="A353" s="401"/>
      <c r="B353" s="515" t="s">
        <v>948</v>
      </c>
      <c r="C353" s="530" t="s">
        <v>2723</v>
      </c>
      <c r="D353" s="431">
        <v>2025213359</v>
      </c>
      <c r="E353" s="393" t="s">
        <v>41</v>
      </c>
      <c r="F353" s="393" t="s">
        <v>634</v>
      </c>
      <c r="G353" s="412" t="s">
        <v>706</v>
      </c>
      <c r="H353" s="403"/>
      <c r="I353" s="393" t="str">
        <f t="shared" ca="1" si="13"/>
        <v/>
      </c>
      <c r="J353" s="415">
        <v>46143</v>
      </c>
      <c r="K353" s="411" t="s">
        <v>2724</v>
      </c>
      <c r="L353" s="401" t="s">
        <v>1587</v>
      </c>
      <c r="M353" s="401" t="s">
        <v>1565</v>
      </c>
      <c r="N353" s="393" t="s">
        <v>41</v>
      </c>
      <c r="O353" s="393"/>
      <c r="P353" s="404"/>
      <c r="Q353" s="401"/>
      <c r="R353" s="401"/>
    </row>
    <row r="354" spans="1:18" ht="20.25" customHeight="1">
      <c r="A354" s="401"/>
      <c r="B354" s="524" t="s">
        <v>2725</v>
      </c>
      <c r="C354" s="530" t="s">
        <v>2562</v>
      </c>
      <c r="D354" s="431">
        <v>2025213359</v>
      </c>
      <c r="E354" s="393" t="s">
        <v>41</v>
      </c>
      <c r="F354" s="393" t="s">
        <v>631</v>
      </c>
      <c r="G354" s="418" t="s">
        <v>2454</v>
      </c>
      <c r="H354" s="403"/>
      <c r="I354" s="393" t="str">
        <f t="shared" ca="1" si="13"/>
        <v/>
      </c>
      <c r="J354" s="415">
        <v>46015</v>
      </c>
      <c r="K354" s="411" t="s">
        <v>429</v>
      </c>
      <c r="L354" s="401" t="s">
        <v>1588</v>
      </c>
      <c r="M354" s="401" t="s">
        <v>837</v>
      </c>
      <c r="N354" s="393" t="s">
        <v>41</v>
      </c>
      <c r="O354" s="393"/>
      <c r="P354" s="404"/>
      <c r="Q354" s="401"/>
      <c r="R354" s="401"/>
    </row>
    <row r="355" spans="1:18" ht="20.25" customHeight="1">
      <c r="A355" s="401"/>
      <c r="B355" s="515" t="s">
        <v>847</v>
      </c>
      <c r="C355" s="529"/>
      <c r="D355" s="431">
        <v>2025213359</v>
      </c>
      <c r="E355" s="393" t="s">
        <v>41</v>
      </c>
      <c r="F355" s="393" t="s">
        <v>638</v>
      </c>
      <c r="G355" s="408" t="s">
        <v>2521</v>
      </c>
      <c r="H355" s="403"/>
      <c r="I355" s="393" t="str">
        <f t="shared" ca="1" si="13"/>
        <v/>
      </c>
      <c r="J355" s="415">
        <v>46015</v>
      </c>
      <c r="K355" s="401" t="s">
        <v>1589</v>
      </c>
      <c r="L355" s="483" t="s">
        <v>2726</v>
      </c>
      <c r="M355" s="411" t="s">
        <v>2727</v>
      </c>
      <c r="N355" s="393" t="s">
        <v>41</v>
      </c>
      <c r="O355" s="393"/>
      <c r="P355" s="404"/>
      <c r="Q355" s="401"/>
      <c r="R355" s="401"/>
    </row>
    <row r="356" spans="1:18" ht="20.25" customHeight="1">
      <c r="A356" s="401"/>
      <c r="B356" s="515" t="s">
        <v>847</v>
      </c>
      <c r="C356" s="529"/>
      <c r="D356" s="431">
        <v>2025213359</v>
      </c>
      <c r="E356" s="393" t="s">
        <v>41</v>
      </c>
      <c r="F356" s="393" t="s">
        <v>653</v>
      </c>
      <c r="G356" s="412" t="s">
        <v>706</v>
      </c>
      <c r="H356" s="403"/>
      <c r="I356" s="393" t="str">
        <f t="shared" ca="1" si="13"/>
        <v/>
      </c>
      <c r="J356" s="415">
        <v>46082</v>
      </c>
      <c r="K356" s="401"/>
      <c r="L356" s="420" t="s">
        <v>1592</v>
      </c>
      <c r="M356" s="401" t="s">
        <v>845</v>
      </c>
      <c r="N356" s="393" t="s">
        <v>41</v>
      </c>
      <c r="O356" s="393"/>
      <c r="P356" s="404"/>
      <c r="Q356" s="401"/>
      <c r="R356" s="401"/>
    </row>
    <row r="357" spans="1:18" ht="20.25" customHeight="1">
      <c r="A357" s="401"/>
      <c r="B357" s="525" t="s">
        <v>794</v>
      </c>
      <c r="C357" s="529"/>
      <c r="D357" s="431">
        <v>2025213359</v>
      </c>
      <c r="E357" s="393" t="s">
        <v>41</v>
      </c>
      <c r="F357" s="393" t="s">
        <v>654</v>
      </c>
      <c r="G357" s="408" t="s">
        <v>2316</v>
      </c>
      <c r="H357" s="403"/>
      <c r="I357" s="393" t="str">
        <f t="shared" ca="1" si="13"/>
        <v/>
      </c>
      <c r="J357" s="401"/>
      <c r="K357" s="420" t="s">
        <v>1594</v>
      </c>
      <c r="L357" s="457" t="s">
        <v>1593</v>
      </c>
      <c r="M357" s="401" t="s">
        <v>845</v>
      </c>
      <c r="N357" s="393" t="s">
        <v>41</v>
      </c>
      <c r="O357" s="393"/>
      <c r="P357" s="404"/>
      <c r="Q357" s="401"/>
      <c r="R357" s="401"/>
    </row>
    <row r="358" spans="1:18" ht="20.25" customHeight="1">
      <c r="A358" s="401"/>
      <c r="B358" s="497" t="s">
        <v>2254</v>
      </c>
      <c r="C358" s="508" t="s">
        <v>2623</v>
      </c>
      <c r="D358" s="496">
        <v>2752851</v>
      </c>
      <c r="E358" s="393" t="s">
        <v>41</v>
      </c>
      <c r="F358" s="393" t="s">
        <v>634</v>
      </c>
      <c r="G358" s="412" t="s">
        <v>706</v>
      </c>
      <c r="H358" s="403"/>
      <c r="I358" s="403"/>
      <c r="J358" s="403">
        <v>45995</v>
      </c>
      <c r="K358" s="401" t="s">
        <v>1595</v>
      </c>
      <c r="L358" s="401" t="s">
        <v>1596</v>
      </c>
      <c r="M358" s="401" t="s">
        <v>754</v>
      </c>
      <c r="N358" s="403">
        <v>45759</v>
      </c>
      <c r="O358" s="393"/>
      <c r="P358" s="404">
        <v>500</v>
      </c>
      <c r="Q358" s="401"/>
      <c r="R358" s="401"/>
    </row>
    <row r="359" spans="1:18" ht="20.25" customHeight="1">
      <c r="A359" s="401"/>
      <c r="B359" s="497" t="s">
        <v>41</v>
      </c>
      <c r="C359" s="508"/>
      <c r="D359" s="496">
        <v>2752851</v>
      </c>
      <c r="E359" s="393" t="s">
        <v>41</v>
      </c>
      <c r="F359" s="393" t="s">
        <v>631</v>
      </c>
      <c r="G359" s="412" t="s">
        <v>706</v>
      </c>
      <c r="H359" s="403"/>
      <c r="I359" s="403"/>
      <c r="J359" s="403">
        <v>45995</v>
      </c>
      <c r="K359" s="401" t="s">
        <v>432</v>
      </c>
      <c r="L359" s="401" t="s">
        <v>1597</v>
      </c>
      <c r="M359" s="401" t="s">
        <v>763</v>
      </c>
      <c r="N359" s="403">
        <v>45759</v>
      </c>
      <c r="O359" s="393"/>
      <c r="P359" s="404"/>
      <c r="Q359" s="401"/>
      <c r="R359" s="401"/>
    </row>
    <row r="360" spans="1:18" ht="20.25" customHeight="1">
      <c r="A360" s="401"/>
      <c r="B360" s="497" t="s">
        <v>41</v>
      </c>
      <c r="C360" s="508"/>
      <c r="D360" s="496">
        <v>2752851</v>
      </c>
      <c r="E360" s="393" t="s">
        <v>41</v>
      </c>
      <c r="F360" s="393" t="s">
        <v>653</v>
      </c>
      <c r="G360" s="412" t="s">
        <v>706</v>
      </c>
      <c r="H360" s="403"/>
      <c r="I360" s="403"/>
      <c r="J360" s="403">
        <v>45995</v>
      </c>
      <c r="K360" s="401"/>
      <c r="L360" s="401" t="s">
        <v>1598</v>
      </c>
      <c r="M360" s="401" t="s">
        <v>763</v>
      </c>
      <c r="N360" s="403">
        <v>45759</v>
      </c>
      <c r="O360" s="393"/>
      <c r="P360" s="404"/>
      <c r="Q360" s="401"/>
      <c r="R360" s="401"/>
    </row>
    <row r="361" spans="1:18" ht="20.25" customHeight="1">
      <c r="A361" s="401"/>
      <c r="B361" s="497" t="s">
        <v>2444</v>
      </c>
      <c r="C361" s="508"/>
      <c r="D361" s="496">
        <v>2752851</v>
      </c>
      <c r="E361" s="393" t="s">
        <v>41</v>
      </c>
      <c r="F361" s="416" t="s">
        <v>654</v>
      </c>
      <c r="G361" s="408" t="s">
        <v>716</v>
      </c>
      <c r="H361" s="403" t="s">
        <v>2445</v>
      </c>
      <c r="I361" s="393" t="e">
        <f t="shared" ref="I361:I368" ca="1" si="14">IF(H361="", "", IF(OR(G361="Completed", G361="STOP"), IF(J361="", "", J361-H361), TODAY()-H361))</f>
        <v>#VALUE!</v>
      </c>
      <c r="J361" s="401"/>
      <c r="K361" s="401" t="s">
        <v>1600</v>
      </c>
      <c r="L361" s="393" t="s">
        <v>2728</v>
      </c>
      <c r="M361" s="401" t="s">
        <v>763</v>
      </c>
      <c r="N361" s="393" t="s">
        <v>41</v>
      </c>
      <c r="O361" s="393"/>
      <c r="P361" s="404"/>
      <c r="Q361" s="401"/>
      <c r="R361" s="401"/>
    </row>
    <row r="362" spans="1:18" ht="20.25" customHeight="1">
      <c r="A362" s="401"/>
      <c r="B362" s="497" t="s">
        <v>2522</v>
      </c>
      <c r="C362" s="508"/>
      <c r="D362" s="496">
        <v>2752855</v>
      </c>
      <c r="E362" s="393" t="s">
        <v>41</v>
      </c>
      <c r="F362" s="393" t="s">
        <v>634</v>
      </c>
      <c r="G362" s="408" t="s">
        <v>2305</v>
      </c>
      <c r="H362" s="403"/>
      <c r="I362" s="393" t="str">
        <f t="shared" ca="1" si="14"/>
        <v/>
      </c>
      <c r="J362" s="401"/>
      <c r="K362" s="401" t="s">
        <v>1601</v>
      </c>
      <c r="L362" s="411" t="s">
        <v>1602</v>
      </c>
      <c r="M362" s="401" t="s">
        <v>791</v>
      </c>
      <c r="N362" s="393" t="s">
        <v>41</v>
      </c>
      <c r="O362" s="393"/>
      <c r="P362" s="404"/>
      <c r="Q362" s="401"/>
      <c r="R362" s="401"/>
    </row>
    <row r="363" spans="1:18" ht="20.25" customHeight="1">
      <c r="A363" s="401"/>
      <c r="B363" s="497" t="s">
        <v>2522</v>
      </c>
      <c r="C363" s="508"/>
      <c r="D363" s="496">
        <v>2752855</v>
      </c>
      <c r="E363" s="393" t="s">
        <v>41</v>
      </c>
      <c r="F363" s="393" t="s">
        <v>631</v>
      </c>
      <c r="G363" s="408" t="s">
        <v>2305</v>
      </c>
      <c r="H363" s="403"/>
      <c r="I363" s="393" t="str">
        <f t="shared" ca="1" si="14"/>
        <v/>
      </c>
      <c r="J363" s="401"/>
      <c r="K363" s="401" t="s">
        <v>435</v>
      </c>
      <c r="L363" s="401" t="s">
        <v>1603</v>
      </c>
      <c r="M363" s="401" t="s">
        <v>791</v>
      </c>
      <c r="N363" s="393" t="s">
        <v>41</v>
      </c>
      <c r="O363" s="393"/>
      <c r="P363" s="404"/>
      <c r="Q363" s="401"/>
      <c r="R363" s="401"/>
    </row>
    <row r="364" spans="1:18" ht="20.25" customHeight="1">
      <c r="A364" s="401"/>
      <c r="B364" s="497" t="s">
        <v>2729</v>
      </c>
      <c r="C364" s="508"/>
      <c r="D364" s="496">
        <v>2752855</v>
      </c>
      <c r="E364" s="393" t="s">
        <v>41</v>
      </c>
      <c r="F364" s="393" t="s">
        <v>653</v>
      </c>
      <c r="G364" s="408" t="s">
        <v>2305</v>
      </c>
      <c r="H364" s="403"/>
      <c r="I364" s="393" t="str">
        <f t="shared" ca="1" si="14"/>
        <v/>
      </c>
      <c r="J364" s="401"/>
      <c r="K364" s="401"/>
      <c r="L364" s="411" t="s">
        <v>1604</v>
      </c>
      <c r="M364" s="401" t="s">
        <v>733</v>
      </c>
      <c r="N364" s="393" t="s">
        <v>41</v>
      </c>
      <c r="O364" s="393"/>
      <c r="P364" s="404"/>
      <c r="Q364" s="401"/>
      <c r="R364" s="401"/>
    </row>
    <row r="365" spans="1:18" ht="20.25" customHeight="1">
      <c r="A365" s="401"/>
      <c r="B365" s="505" t="s">
        <v>794</v>
      </c>
      <c r="C365" s="508"/>
      <c r="D365" s="496">
        <v>2752855</v>
      </c>
      <c r="E365" s="393" t="s">
        <v>41</v>
      </c>
      <c r="F365" s="393" t="s">
        <v>654</v>
      </c>
      <c r="G365" s="408" t="s">
        <v>2316</v>
      </c>
      <c r="H365" s="403"/>
      <c r="I365" s="393" t="str">
        <f t="shared" ca="1" si="14"/>
        <v/>
      </c>
      <c r="J365" s="401"/>
      <c r="K365" s="420" t="s">
        <v>2730</v>
      </c>
      <c r="L365" s="457" t="s">
        <v>1605</v>
      </c>
      <c r="M365" s="401" t="s">
        <v>733</v>
      </c>
      <c r="N365" s="393" t="s">
        <v>41</v>
      </c>
      <c r="O365" s="393"/>
      <c r="P365" s="404"/>
      <c r="Q365" s="401"/>
      <c r="R365" s="401"/>
    </row>
    <row r="366" spans="1:18" ht="20.25" customHeight="1">
      <c r="A366" s="401"/>
      <c r="B366" s="497" t="s">
        <v>2233</v>
      </c>
      <c r="C366" s="508"/>
      <c r="D366" s="496">
        <v>2025212410</v>
      </c>
      <c r="E366" s="393" t="s">
        <v>41</v>
      </c>
      <c r="F366" s="393" t="s">
        <v>634</v>
      </c>
      <c r="G366" s="412" t="s">
        <v>706</v>
      </c>
      <c r="H366" s="403">
        <v>45699</v>
      </c>
      <c r="I366" s="393" t="str">
        <f t="shared" ca="1" si="14"/>
        <v/>
      </c>
      <c r="J366" s="401"/>
      <c r="K366" s="401" t="s">
        <v>1150</v>
      </c>
      <c r="L366" s="401" t="s">
        <v>1151</v>
      </c>
      <c r="M366" s="401" t="s">
        <v>871</v>
      </c>
      <c r="N366" s="393" t="s">
        <v>41</v>
      </c>
      <c r="O366" s="393"/>
      <c r="P366" s="404"/>
      <c r="Q366" s="401"/>
      <c r="R366" s="401"/>
    </row>
    <row r="367" spans="1:18" ht="20.25" customHeight="1">
      <c r="A367" s="401"/>
      <c r="B367" s="497" t="s">
        <v>2233</v>
      </c>
      <c r="C367" s="508"/>
      <c r="D367" s="496">
        <v>2025212410</v>
      </c>
      <c r="E367" s="393" t="s">
        <v>41</v>
      </c>
      <c r="F367" s="393" t="s">
        <v>631</v>
      </c>
      <c r="G367" s="408" t="s">
        <v>716</v>
      </c>
      <c r="H367" s="403">
        <v>45699</v>
      </c>
      <c r="I367" s="393">
        <f t="shared" ca="1" si="14"/>
        <v>328</v>
      </c>
      <c r="J367" s="401"/>
      <c r="K367" s="401" t="s">
        <v>213</v>
      </c>
      <c r="L367" s="411" t="s">
        <v>1152</v>
      </c>
      <c r="M367" s="401" t="s">
        <v>871</v>
      </c>
      <c r="N367" s="393" t="s">
        <v>41</v>
      </c>
      <c r="O367" s="393"/>
      <c r="P367" s="404"/>
      <c r="Q367" s="401"/>
      <c r="R367" s="401"/>
    </row>
    <row r="368" spans="1:18" ht="20.25" customHeight="1">
      <c r="A368" s="401"/>
      <c r="B368" s="497" t="s">
        <v>2233</v>
      </c>
      <c r="C368" s="508"/>
      <c r="D368" s="496">
        <v>2025212410</v>
      </c>
      <c r="E368" s="393" t="s">
        <v>41</v>
      </c>
      <c r="F368" s="393" t="s">
        <v>638</v>
      </c>
      <c r="G368" s="408" t="s">
        <v>716</v>
      </c>
      <c r="H368" s="403">
        <v>45699</v>
      </c>
      <c r="I368" s="393">
        <f t="shared" ca="1" si="14"/>
        <v>328</v>
      </c>
      <c r="J368" s="401"/>
      <c r="K368" s="401" t="s">
        <v>2578</v>
      </c>
      <c r="L368" s="401" t="s">
        <v>721</v>
      </c>
      <c r="M368" s="401" t="s">
        <v>871</v>
      </c>
      <c r="N368" s="393" t="s">
        <v>41</v>
      </c>
      <c r="O368" s="393"/>
      <c r="P368" s="404"/>
      <c r="Q368" s="401"/>
      <c r="R368" s="401"/>
    </row>
    <row r="369" spans="1:18" ht="20.25" customHeight="1">
      <c r="A369" s="401"/>
      <c r="B369" s="497" t="s">
        <v>2233</v>
      </c>
      <c r="C369" s="508"/>
      <c r="D369" s="496">
        <v>2025212410</v>
      </c>
      <c r="E369" s="393" t="s">
        <v>41</v>
      </c>
      <c r="F369" s="393" t="s">
        <v>653</v>
      </c>
      <c r="G369" s="402" t="s">
        <v>706</v>
      </c>
      <c r="H369" s="403">
        <v>45699</v>
      </c>
      <c r="I369" s="403"/>
      <c r="J369" s="403">
        <v>46021</v>
      </c>
      <c r="K369" s="401" t="s">
        <v>721</v>
      </c>
      <c r="L369" s="401" t="s">
        <v>2579</v>
      </c>
      <c r="M369" s="401" t="s">
        <v>871</v>
      </c>
      <c r="N369" s="393" t="s">
        <v>41</v>
      </c>
      <c r="O369" s="393"/>
      <c r="P369" s="404"/>
      <c r="Q369" s="401"/>
      <c r="R369" s="401"/>
    </row>
    <row r="370" spans="1:18" ht="20.25" customHeight="1">
      <c r="A370" s="401"/>
      <c r="B370" s="504" t="s">
        <v>2731</v>
      </c>
      <c r="C370" s="508"/>
      <c r="D370" s="496">
        <v>2750504</v>
      </c>
      <c r="E370" s="393" t="s">
        <v>41</v>
      </c>
      <c r="F370" s="393" t="s">
        <v>634</v>
      </c>
      <c r="G370" s="412" t="s">
        <v>706</v>
      </c>
      <c r="H370" s="403">
        <v>45993</v>
      </c>
      <c r="I370" s="393">
        <f t="shared" ref="I370:I401" ca="1" si="15">IF(H370="", "", IF(OR(G370="Completed", G370="STOP"), IF(J370="", "", J370-H370), TODAY()-H370))</f>
        <v>2</v>
      </c>
      <c r="J370" s="415">
        <v>45995</v>
      </c>
      <c r="K370" s="454" t="s">
        <v>1607</v>
      </c>
      <c r="L370" s="454" t="s">
        <v>1608</v>
      </c>
      <c r="M370" s="454" t="s">
        <v>1609</v>
      </c>
      <c r="N370" s="393" t="s">
        <v>41</v>
      </c>
      <c r="O370" s="393"/>
      <c r="P370" s="404"/>
      <c r="Q370" s="401"/>
      <c r="R370" s="401"/>
    </row>
    <row r="371" spans="1:18" ht="20.25" customHeight="1">
      <c r="A371" s="401"/>
      <c r="B371" s="507" t="s">
        <v>2732</v>
      </c>
      <c r="C371" s="528"/>
      <c r="D371" s="496">
        <v>2750504</v>
      </c>
      <c r="E371" s="393" t="s">
        <v>41</v>
      </c>
      <c r="F371" s="393" t="s">
        <v>631</v>
      </c>
      <c r="G371" s="408" t="s">
        <v>2305</v>
      </c>
      <c r="H371" s="403">
        <v>45993</v>
      </c>
      <c r="I371" s="393">
        <f t="shared" ca="1" si="15"/>
        <v>34</v>
      </c>
      <c r="J371" s="401"/>
      <c r="K371" s="454" t="s">
        <v>438</v>
      </c>
      <c r="L371" s="454" t="s">
        <v>1610</v>
      </c>
      <c r="M371" s="455" t="s">
        <v>1004</v>
      </c>
      <c r="N371" s="393" t="s">
        <v>41</v>
      </c>
      <c r="O371" s="393"/>
      <c r="P371" s="404"/>
      <c r="Q371" s="401"/>
      <c r="R371" s="401"/>
    </row>
    <row r="372" spans="1:18" ht="20.25" customHeight="1">
      <c r="A372" s="401"/>
      <c r="B372" s="507" t="s">
        <v>2732</v>
      </c>
      <c r="C372" s="528"/>
      <c r="D372" s="496">
        <v>2750504</v>
      </c>
      <c r="E372" s="393" t="s">
        <v>41</v>
      </c>
      <c r="F372" s="393" t="s">
        <v>638</v>
      </c>
      <c r="G372" s="408" t="s">
        <v>2305</v>
      </c>
      <c r="H372" s="403">
        <v>45993</v>
      </c>
      <c r="I372" s="393">
        <f t="shared" ca="1" si="15"/>
        <v>34</v>
      </c>
      <c r="J372" s="401"/>
      <c r="K372" s="454" t="s">
        <v>1611</v>
      </c>
      <c r="L372" s="428" t="s">
        <v>1612</v>
      </c>
      <c r="M372" s="455" t="s">
        <v>1004</v>
      </c>
      <c r="N372" s="393" t="s">
        <v>41</v>
      </c>
      <c r="O372" s="393"/>
      <c r="P372" s="404"/>
      <c r="Q372" s="401"/>
      <c r="R372" s="401"/>
    </row>
    <row r="373" spans="1:18" ht="20.25" customHeight="1">
      <c r="A373" s="401"/>
      <c r="B373" s="504" t="s">
        <v>2731</v>
      </c>
      <c r="C373" s="508"/>
      <c r="D373" s="496">
        <v>2750504</v>
      </c>
      <c r="E373" s="393" t="s">
        <v>41</v>
      </c>
      <c r="F373" s="393" t="s">
        <v>653</v>
      </c>
      <c r="G373" s="412" t="s">
        <v>706</v>
      </c>
      <c r="H373" s="403">
        <v>45993</v>
      </c>
      <c r="I373" s="393">
        <f t="shared" ca="1" si="15"/>
        <v>2</v>
      </c>
      <c r="J373" s="415">
        <v>45995</v>
      </c>
      <c r="K373" s="401"/>
      <c r="L373" s="454" t="s">
        <v>1613</v>
      </c>
      <c r="M373" s="401" t="s">
        <v>1614</v>
      </c>
      <c r="N373" s="393" t="s">
        <v>41</v>
      </c>
      <c r="O373" s="393"/>
      <c r="P373" s="404"/>
      <c r="Q373" s="401"/>
      <c r="R373" s="401"/>
    </row>
    <row r="374" spans="1:18" ht="20.25" customHeight="1">
      <c r="A374" s="401"/>
      <c r="B374" s="497" t="s">
        <v>2714</v>
      </c>
      <c r="C374" s="508"/>
      <c r="D374" s="496">
        <v>2750504</v>
      </c>
      <c r="E374" s="393" t="s">
        <v>41</v>
      </c>
      <c r="F374" s="393" t="s">
        <v>654</v>
      </c>
      <c r="G374" s="408" t="s">
        <v>2305</v>
      </c>
      <c r="H374" s="403">
        <v>45993</v>
      </c>
      <c r="I374" s="393">
        <f t="shared" ca="1" si="15"/>
        <v>34</v>
      </c>
      <c r="J374" s="401"/>
      <c r="K374" s="456" t="s">
        <v>2733</v>
      </c>
      <c r="L374" s="455" t="s">
        <v>1615</v>
      </c>
      <c r="M374" s="457" t="s">
        <v>1609</v>
      </c>
      <c r="N374" s="393" t="s">
        <v>41</v>
      </c>
      <c r="O374" s="393"/>
      <c r="P374" s="404"/>
      <c r="Q374" s="401"/>
      <c r="R374" s="401"/>
    </row>
    <row r="375" spans="1:18" ht="20.25" customHeight="1">
      <c r="A375" s="401"/>
      <c r="B375" s="497"/>
      <c r="C375" s="508"/>
      <c r="D375" s="496" t="s">
        <v>2071</v>
      </c>
      <c r="E375" s="393"/>
      <c r="F375" s="393" t="s">
        <v>2734</v>
      </c>
      <c r="G375" s="408"/>
      <c r="H375" s="403"/>
      <c r="I375" s="393" t="str">
        <f t="shared" ca="1" si="15"/>
        <v/>
      </c>
      <c r="J375" s="401"/>
      <c r="K375" s="401"/>
      <c r="L375" s="401"/>
      <c r="M375" s="401"/>
      <c r="N375" s="393"/>
      <c r="O375" s="393"/>
      <c r="P375" s="404"/>
      <c r="Q375" s="401"/>
      <c r="R375" s="401"/>
    </row>
    <row r="376" spans="1:18" ht="20.25" customHeight="1">
      <c r="A376" s="401"/>
      <c r="B376" s="497"/>
      <c r="C376" s="508"/>
      <c r="D376" s="496" t="s">
        <v>2071</v>
      </c>
      <c r="E376" s="393"/>
      <c r="F376" s="393" t="s">
        <v>2358</v>
      </c>
      <c r="G376" s="408" t="s">
        <v>2316</v>
      </c>
      <c r="H376" s="403"/>
      <c r="I376" s="393" t="str">
        <f t="shared" ca="1" si="15"/>
        <v/>
      </c>
      <c r="J376" s="401"/>
      <c r="K376" s="401"/>
      <c r="L376" s="401"/>
      <c r="M376" s="401"/>
      <c r="N376" s="393"/>
      <c r="O376" s="393"/>
      <c r="P376" s="404"/>
      <c r="Q376" s="401"/>
      <c r="R376" s="401"/>
    </row>
    <row r="377" spans="1:18" ht="20.25" customHeight="1">
      <c r="A377" s="401"/>
      <c r="B377" s="500" t="s">
        <v>2735</v>
      </c>
      <c r="C377" s="528"/>
      <c r="D377" s="496" t="s">
        <v>407</v>
      </c>
      <c r="E377" s="393"/>
      <c r="F377" s="393" t="s">
        <v>654</v>
      </c>
      <c r="G377" s="408" t="s">
        <v>2313</v>
      </c>
      <c r="H377" s="403"/>
      <c r="I377" s="393" t="str">
        <f t="shared" ca="1" si="15"/>
        <v/>
      </c>
      <c r="J377" s="401"/>
      <c r="K377" s="451" t="s">
        <v>2736</v>
      </c>
      <c r="L377" s="393" t="s">
        <v>2737</v>
      </c>
      <c r="M377" s="411" t="s">
        <v>2738</v>
      </c>
      <c r="N377" s="393"/>
      <c r="O377" s="393"/>
      <c r="P377" s="404"/>
      <c r="Q377" s="401"/>
      <c r="R377" s="401"/>
    </row>
    <row r="378" spans="1:18" ht="27.75" customHeight="1">
      <c r="A378" s="401"/>
      <c r="B378" s="535" t="s">
        <v>2739</v>
      </c>
      <c r="C378" s="536"/>
      <c r="D378" s="537">
        <v>2025212050</v>
      </c>
      <c r="E378" s="393"/>
      <c r="F378" s="393" t="s">
        <v>2740</v>
      </c>
      <c r="G378" s="418" t="s">
        <v>721</v>
      </c>
      <c r="H378" s="403"/>
      <c r="I378" s="393" t="str">
        <f t="shared" ca="1" si="15"/>
        <v/>
      </c>
      <c r="J378" s="401"/>
      <c r="K378" s="421" t="s">
        <v>2741</v>
      </c>
      <c r="L378" s="401" t="s">
        <v>1037</v>
      </c>
      <c r="M378" s="401" t="s">
        <v>924</v>
      </c>
      <c r="N378" s="393"/>
      <c r="O378" s="393"/>
      <c r="P378" s="404"/>
      <c r="Q378" s="401"/>
      <c r="R378" s="401"/>
    </row>
    <row r="379" spans="1:18" ht="27.75" customHeight="1">
      <c r="A379" s="401"/>
      <c r="B379" s="535" t="s">
        <v>794</v>
      </c>
      <c r="C379" s="536"/>
      <c r="D379" s="537">
        <v>2025212050</v>
      </c>
      <c r="E379" s="393"/>
      <c r="F379" s="393" t="s">
        <v>638</v>
      </c>
      <c r="G379" s="418" t="s">
        <v>2454</v>
      </c>
      <c r="H379" s="403"/>
      <c r="I379" s="393" t="str">
        <f t="shared" ca="1" si="15"/>
        <v/>
      </c>
      <c r="J379" s="401"/>
      <c r="K379" s="411" t="s">
        <v>2742</v>
      </c>
      <c r="L379" s="401" t="s">
        <v>849</v>
      </c>
      <c r="M379" s="401" t="s">
        <v>924</v>
      </c>
      <c r="N379" s="393"/>
      <c r="O379" s="393"/>
      <c r="P379" s="404"/>
      <c r="Q379" s="401"/>
      <c r="R379" s="401"/>
    </row>
    <row r="380" spans="1:18" ht="20.25" customHeight="1">
      <c r="A380" s="401"/>
      <c r="B380" s="500" t="s">
        <v>2743</v>
      </c>
      <c r="C380" s="528"/>
      <c r="D380" s="496">
        <v>2002429</v>
      </c>
      <c r="E380" s="393" t="s">
        <v>41</v>
      </c>
      <c r="F380" s="393" t="s">
        <v>654</v>
      </c>
      <c r="G380" s="408" t="s">
        <v>721</v>
      </c>
      <c r="H380" s="403">
        <v>45996</v>
      </c>
      <c r="I380" s="393">
        <f t="shared" ca="1" si="15"/>
        <v>31</v>
      </c>
      <c r="J380" s="401"/>
      <c r="K380" s="401" t="s">
        <v>1460</v>
      </c>
      <c r="L380" s="393" t="s">
        <v>1459</v>
      </c>
      <c r="M380" s="401" t="s">
        <v>1461</v>
      </c>
      <c r="N380" s="403" t="s">
        <v>41</v>
      </c>
      <c r="O380" s="424" t="s">
        <v>2744</v>
      </c>
      <c r="P380" s="404"/>
      <c r="Q380" s="401"/>
      <c r="R380" s="401"/>
    </row>
    <row r="381" spans="1:18" ht="20.25" customHeight="1">
      <c r="A381" s="401"/>
      <c r="B381" s="500" t="s">
        <v>2745</v>
      </c>
      <c r="C381" s="528"/>
      <c r="D381" s="496">
        <v>2745855</v>
      </c>
      <c r="E381" s="393" t="s">
        <v>41</v>
      </c>
      <c r="F381" s="393" t="s">
        <v>654</v>
      </c>
      <c r="G381" s="408" t="s">
        <v>721</v>
      </c>
      <c r="H381" s="403">
        <v>45996</v>
      </c>
      <c r="I381" s="393">
        <f t="shared" ca="1" si="15"/>
        <v>31</v>
      </c>
      <c r="J381" s="401"/>
      <c r="K381" s="401" t="s">
        <v>1468</v>
      </c>
      <c r="L381" s="393" t="s">
        <v>1467</v>
      </c>
      <c r="M381" s="401" t="s">
        <v>1461</v>
      </c>
      <c r="N381" s="393" t="s">
        <v>41</v>
      </c>
      <c r="O381" s="393"/>
      <c r="P381" s="404"/>
      <c r="Q381" s="401"/>
      <c r="R381" s="401"/>
    </row>
    <row r="382" spans="1:18" ht="20.25" customHeight="1">
      <c r="A382" s="401"/>
      <c r="B382" s="497" t="s">
        <v>2746</v>
      </c>
      <c r="C382" s="508"/>
      <c r="D382" s="496">
        <v>2023205098</v>
      </c>
      <c r="E382" s="393" t="s">
        <v>41</v>
      </c>
      <c r="F382" s="421" t="s">
        <v>2218</v>
      </c>
      <c r="G382" s="408" t="s">
        <v>706</v>
      </c>
      <c r="H382" s="403">
        <v>45996</v>
      </c>
      <c r="I382" s="393" t="str">
        <f t="shared" ca="1" si="15"/>
        <v/>
      </c>
      <c r="J382" s="401"/>
      <c r="K382" s="411" t="s">
        <v>2747</v>
      </c>
      <c r="L382" s="401" t="s">
        <v>1254</v>
      </c>
      <c r="M382" s="401" t="s">
        <v>924</v>
      </c>
      <c r="N382" s="393" t="s">
        <v>41</v>
      </c>
      <c r="O382" s="393" t="s">
        <v>2748</v>
      </c>
      <c r="P382" s="404"/>
      <c r="Q382" s="401"/>
      <c r="R382" s="401"/>
    </row>
    <row r="383" spans="1:18" ht="20.25" customHeight="1">
      <c r="A383" s="401"/>
      <c r="B383" s="497" t="s">
        <v>2749</v>
      </c>
      <c r="C383" s="508"/>
      <c r="D383" s="496" t="s">
        <v>58</v>
      </c>
      <c r="E383" s="542" t="s">
        <v>41</v>
      </c>
      <c r="F383" s="393" t="s">
        <v>2358</v>
      </c>
      <c r="G383" s="408" t="s">
        <v>2630</v>
      </c>
      <c r="H383" s="403">
        <v>45997</v>
      </c>
      <c r="I383" s="393">
        <f t="shared" ca="1" si="15"/>
        <v>30</v>
      </c>
      <c r="J383" s="401"/>
      <c r="K383" s="401"/>
      <c r="L383" s="401"/>
      <c r="M383" s="401"/>
      <c r="N383" s="393" t="s">
        <v>41</v>
      </c>
      <c r="O383" s="393"/>
      <c r="P383" s="404"/>
      <c r="Q383" s="401"/>
      <c r="R383" s="401"/>
    </row>
    <row r="384" spans="1:18" ht="20.25" customHeight="1">
      <c r="A384" s="401"/>
      <c r="B384" s="497" t="s">
        <v>2749</v>
      </c>
      <c r="C384" s="508"/>
      <c r="D384" s="496" t="s">
        <v>58</v>
      </c>
      <c r="E384" s="458" t="s">
        <v>2750</v>
      </c>
      <c r="F384" s="393" t="s">
        <v>2751</v>
      </c>
      <c r="G384" s="408" t="s">
        <v>2630</v>
      </c>
      <c r="H384" s="403">
        <v>45997</v>
      </c>
      <c r="I384" s="393">
        <f t="shared" ca="1" si="15"/>
        <v>30</v>
      </c>
      <c r="J384" s="401"/>
      <c r="K384" s="401"/>
      <c r="L384" s="401" t="s">
        <v>2752</v>
      </c>
      <c r="M384" s="401"/>
      <c r="N384" s="393" t="s">
        <v>41</v>
      </c>
      <c r="O384" s="393" t="s">
        <v>2753</v>
      </c>
      <c r="P384" s="404"/>
      <c r="Q384" s="401"/>
      <c r="R384" s="401"/>
    </row>
    <row r="385" spans="1:18" ht="20.25" customHeight="1">
      <c r="A385" s="401"/>
      <c r="B385" s="497" t="s">
        <v>2432</v>
      </c>
      <c r="C385" s="508"/>
      <c r="D385" s="496">
        <v>2024212277</v>
      </c>
      <c r="E385" s="393" t="s">
        <v>41</v>
      </c>
      <c r="F385" s="393" t="s">
        <v>654</v>
      </c>
      <c r="G385" s="412" t="s">
        <v>706</v>
      </c>
      <c r="H385" s="403"/>
      <c r="I385" s="393" t="str">
        <f t="shared" ca="1" si="15"/>
        <v/>
      </c>
      <c r="J385" s="401" t="s">
        <v>2429</v>
      </c>
      <c r="K385" s="459" t="s">
        <v>2754</v>
      </c>
      <c r="L385" s="445" t="s">
        <v>2755</v>
      </c>
      <c r="M385" s="401" t="s">
        <v>2434</v>
      </c>
      <c r="N385" s="393"/>
      <c r="O385" s="393"/>
      <c r="P385" s="404"/>
      <c r="Q385" s="401"/>
      <c r="R385" s="401"/>
    </row>
    <row r="386" spans="1:18" ht="20.25" customHeight="1">
      <c r="A386" s="401"/>
      <c r="B386" s="515" t="s">
        <v>948</v>
      </c>
      <c r="C386" s="526" t="s">
        <v>2756</v>
      </c>
      <c r="D386" s="431">
        <v>2025213437</v>
      </c>
      <c r="E386" s="393" t="s">
        <v>41</v>
      </c>
      <c r="F386" s="393" t="s">
        <v>634</v>
      </c>
      <c r="G386" s="412" t="s">
        <v>706</v>
      </c>
      <c r="H386" s="403"/>
      <c r="I386" s="393" t="str">
        <f t="shared" ca="1" si="15"/>
        <v/>
      </c>
      <c r="J386" s="415">
        <v>46024</v>
      </c>
      <c r="K386" s="411" t="s">
        <v>2757</v>
      </c>
      <c r="L386" s="411" t="s">
        <v>2758</v>
      </c>
      <c r="M386" s="401" t="s">
        <v>714</v>
      </c>
      <c r="N386" s="393"/>
      <c r="O386" s="393"/>
      <c r="P386" s="404"/>
      <c r="Q386" s="401"/>
      <c r="R386" s="401"/>
    </row>
    <row r="387" spans="1:18" ht="19.5" customHeight="1">
      <c r="A387" s="401"/>
      <c r="B387" s="527" t="s">
        <v>2759</v>
      </c>
      <c r="C387" s="431" t="s">
        <v>2486</v>
      </c>
      <c r="D387" s="431">
        <v>2025206275</v>
      </c>
      <c r="E387" s="393" t="s">
        <v>41</v>
      </c>
      <c r="F387" s="393" t="s">
        <v>654</v>
      </c>
      <c r="G387" s="408" t="s">
        <v>716</v>
      </c>
      <c r="H387" s="403"/>
      <c r="I387" s="393" t="str">
        <f t="shared" ca="1" si="15"/>
        <v/>
      </c>
      <c r="J387" s="401"/>
      <c r="K387" s="401" t="s">
        <v>2415</v>
      </c>
      <c r="L387" s="393" t="s">
        <v>791</v>
      </c>
      <c r="M387" s="401" t="s">
        <v>2760</v>
      </c>
      <c r="N387" s="393"/>
      <c r="O387" s="393"/>
      <c r="P387" s="404"/>
      <c r="Q387" s="401"/>
      <c r="R387" s="401"/>
    </row>
    <row r="388" spans="1:18" ht="20.25" customHeight="1">
      <c r="A388" s="401"/>
      <c r="B388" s="500" t="s">
        <v>2761</v>
      </c>
      <c r="C388" s="532"/>
      <c r="D388" s="496">
        <v>2021205783</v>
      </c>
      <c r="E388" s="458" t="s">
        <v>2762</v>
      </c>
      <c r="F388" s="393" t="s">
        <v>2763</v>
      </c>
      <c r="G388" s="408" t="s">
        <v>716</v>
      </c>
      <c r="H388" s="403"/>
      <c r="I388" s="393" t="str">
        <f t="shared" ca="1" si="15"/>
        <v/>
      </c>
      <c r="J388" s="401"/>
      <c r="K388" s="460" t="s">
        <v>2764</v>
      </c>
      <c r="L388" s="401" t="s">
        <v>2765</v>
      </c>
      <c r="M388" s="401" t="s">
        <v>2766</v>
      </c>
      <c r="N388" s="393"/>
      <c r="O388" s="393"/>
      <c r="P388" s="404"/>
      <c r="Q388" s="401"/>
      <c r="R388" s="401"/>
    </row>
    <row r="389" spans="1:18" ht="20.25" customHeight="1">
      <c r="A389" s="401"/>
      <c r="B389" s="497" t="s">
        <v>2767</v>
      </c>
      <c r="C389" s="508"/>
      <c r="D389" s="496">
        <v>2025212189</v>
      </c>
      <c r="E389" s="393" t="s">
        <v>41</v>
      </c>
      <c r="F389" s="393" t="s">
        <v>634</v>
      </c>
      <c r="G389" s="408" t="s">
        <v>2530</v>
      </c>
      <c r="H389" s="403"/>
      <c r="I389" s="393" t="str">
        <f t="shared" ca="1" si="15"/>
        <v/>
      </c>
      <c r="J389" s="404"/>
      <c r="K389" s="411" t="s">
        <v>2556</v>
      </c>
      <c r="L389" s="440" t="s">
        <v>2557</v>
      </c>
      <c r="M389" s="401" t="s">
        <v>2768</v>
      </c>
      <c r="N389" s="393"/>
      <c r="O389" s="393"/>
      <c r="P389" s="404"/>
      <c r="Q389" s="401"/>
      <c r="R389" s="401"/>
    </row>
    <row r="390" spans="1:18" ht="20.25" customHeight="1">
      <c r="A390" s="401"/>
      <c r="B390" s="497" t="s">
        <v>41</v>
      </c>
      <c r="C390" s="508"/>
      <c r="D390" s="496">
        <v>2025212189</v>
      </c>
      <c r="E390" s="393" t="s">
        <v>41</v>
      </c>
      <c r="F390" s="393" t="s">
        <v>631</v>
      </c>
      <c r="G390" s="408" t="s">
        <v>2530</v>
      </c>
      <c r="H390" s="403"/>
      <c r="I390" s="393" t="str">
        <f t="shared" ca="1" si="15"/>
        <v/>
      </c>
      <c r="J390" s="404"/>
      <c r="K390" s="401" t="s">
        <v>2558</v>
      </c>
      <c r="L390" s="440" t="s">
        <v>2559</v>
      </c>
      <c r="M390" s="401" t="s">
        <v>2769</v>
      </c>
      <c r="N390" s="393"/>
      <c r="O390" s="393"/>
      <c r="P390" s="404"/>
      <c r="Q390" s="401"/>
      <c r="R390" s="401"/>
    </row>
    <row r="391" spans="1:18" ht="20.25" customHeight="1">
      <c r="A391" s="401"/>
      <c r="B391" s="497"/>
      <c r="C391" s="508"/>
      <c r="D391" s="496">
        <v>2025212189</v>
      </c>
      <c r="E391" s="393" t="s">
        <v>41</v>
      </c>
      <c r="F391" s="393" t="s">
        <v>638</v>
      </c>
      <c r="G391" s="408" t="s">
        <v>2530</v>
      </c>
      <c r="H391" s="403"/>
      <c r="I391" s="393" t="str">
        <f t="shared" ca="1" si="15"/>
        <v/>
      </c>
      <c r="J391" s="404"/>
      <c r="K391" s="401" t="s">
        <v>2770</v>
      </c>
      <c r="L391" s="440" t="s">
        <v>2771</v>
      </c>
      <c r="M391" s="401" t="s">
        <v>924</v>
      </c>
      <c r="N391" s="393"/>
      <c r="O391" s="393"/>
      <c r="P391" s="404"/>
      <c r="Q391" s="401"/>
      <c r="R391" s="401"/>
    </row>
    <row r="392" spans="1:18" ht="20.25" customHeight="1">
      <c r="A392" s="401"/>
      <c r="B392" s="497" t="s">
        <v>2772</v>
      </c>
      <c r="C392" s="508"/>
      <c r="D392" s="496">
        <v>2025212189</v>
      </c>
      <c r="E392" s="393" t="s">
        <v>41</v>
      </c>
      <c r="F392" s="393" t="s">
        <v>653</v>
      </c>
      <c r="G392" s="412" t="s">
        <v>706</v>
      </c>
      <c r="H392" s="403"/>
      <c r="I392" s="393" t="str">
        <f t="shared" ca="1" si="15"/>
        <v/>
      </c>
      <c r="J392" s="404"/>
      <c r="K392" s="401" t="s">
        <v>41</v>
      </c>
      <c r="L392" s="440" t="s">
        <v>1103</v>
      </c>
      <c r="M392" s="401" t="s">
        <v>774</v>
      </c>
      <c r="N392" s="393"/>
      <c r="O392" s="393"/>
      <c r="P392" s="404"/>
      <c r="Q392" s="401"/>
      <c r="R392" s="401"/>
    </row>
    <row r="393" spans="1:18" ht="20.25" customHeight="1">
      <c r="A393" s="401"/>
      <c r="B393" s="497" t="s">
        <v>2192</v>
      </c>
      <c r="C393" s="508"/>
      <c r="D393" s="496">
        <v>2025212028</v>
      </c>
      <c r="E393" s="393" t="s">
        <v>41</v>
      </c>
      <c r="F393" s="393" t="s">
        <v>2773</v>
      </c>
      <c r="G393" s="412" t="s">
        <v>706</v>
      </c>
      <c r="H393" s="403">
        <v>46000</v>
      </c>
      <c r="I393" s="393">
        <f t="shared" ca="1" si="15"/>
        <v>1</v>
      </c>
      <c r="J393" s="415">
        <v>46001</v>
      </c>
      <c r="K393" s="454" t="s">
        <v>200</v>
      </c>
      <c r="L393" s="428" t="s">
        <v>1130</v>
      </c>
      <c r="M393" s="401"/>
      <c r="N393" s="393"/>
      <c r="O393" s="393"/>
      <c r="P393" s="404"/>
      <c r="Q393" s="401"/>
      <c r="R393" s="401"/>
    </row>
    <row r="394" spans="1:18" ht="20.25" customHeight="1">
      <c r="A394" s="401"/>
      <c r="B394" s="497" t="s">
        <v>847</v>
      </c>
      <c r="C394" s="508"/>
      <c r="D394" s="499" t="s">
        <v>449</v>
      </c>
      <c r="E394" s="393" t="s">
        <v>41</v>
      </c>
      <c r="F394" s="393" t="s">
        <v>2774</v>
      </c>
      <c r="G394" s="412" t="s">
        <v>706</v>
      </c>
      <c r="H394" s="403"/>
      <c r="I394" s="393" t="str">
        <f t="shared" ca="1" si="15"/>
        <v/>
      </c>
      <c r="J394" s="415">
        <v>46000</v>
      </c>
      <c r="K394" s="454" t="s">
        <v>1628</v>
      </c>
      <c r="L394" s="454" t="s">
        <v>1629</v>
      </c>
      <c r="M394" s="454" t="s">
        <v>845</v>
      </c>
      <c r="N394" s="454"/>
      <c r="O394" s="393"/>
      <c r="P394" s="404"/>
      <c r="Q394" s="401"/>
      <c r="R394" s="401"/>
    </row>
    <row r="395" spans="1:18" ht="20.25" customHeight="1">
      <c r="A395" s="401"/>
      <c r="B395" s="497" t="s">
        <v>847</v>
      </c>
      <c r="C395" s="508"/>
      <c r="D395" s="506">
        <v>1033504</v>
      </c>
      <c r="E395" s="393" t="s">
        <v>41</v>
      </c>
      <c r="F395" s="393" t="s">
        <v>2775</v>
      </c>
      <c r="G395" s="412" t="s">
        <v>706</v>
      </c>
      <c r="H395" s="403"/>
      <c r="I395" s="393" t="str">
        <f t="shared" ca="1" si="15"/>
        <v/>
      </c>
      <c r="J395" s="415">
        <v>46000</v>
      </c>
      <c r="K395" s="454" t="s">
        <v>1630</v>
      </c>
      <c r="L395" s="454" t="s">
        <v>1631</v>
      </c>
      <c r="M395" s="454"/>
      <c r="N395" s="454"/>
      <c r="O395" s="393"/>
      <c r="P395" s="404"/>
      <c r="Q395" s="401"/>
      <c r="R395" s="401"/>
    </row>
    <row r="396" spans="1:18" ht="24.75" customHeight="1">
      <c r="A396" s="401"/>
      <c r="B396" s="508" t="s">
        <v>41</v>
      </c>
      <c r="C396" s="508"/>
      <c r="D396" s="499" t="s">
        <v>30</v>
      </c>
      <c r="E396" s="393" t="s">
        <v>41</v>
      </c>
      <c r="F396" s="393" t="s">
        <v>2773</v>
      </c>
      <c r="G396" s="402" t="s">
        <v>706</v>
      </c>
      <c r="H396" s="403"/>
      <c r="I396" s="393" t="str">
        <f t="shared" ca="1" si="15"/>
        <v/>
      </c>
      <c r="J396" s="401"/>
      <c r="K396" s="463" t="s">
        <v>26</v>
      </c>
      <c r="L396" s="428" t="s">
        <v>710</v>
      </c>
      <c r="M396" s="464" t="s">
        <v>711</v>
      </c>
      <c r="N396" s="393"/>
      <c r="O396" s="393"/>
      <c r="P396" s="404"/>
      <c r="Q396" s="401"/>
      <c r="R396" s="401"/>
    </row>
    <row r="397" spans="1:18" ht="20.25" customHeight="1">
      <c r="A397" s="401"/>
      <c r="B397" s="508" t="s">
        <v>41</v>
      </c>
      <c r="C397" s="508"/>
      <c r="D397" s="499" t="s">
        <v>30</v>
      </c>
      <c r="E397" s="393" t="s">
        <v>41</v>
      </c>
      <c r="F397" s="393" t="s">
        <v>638</v>
      </c>
      <c r="G397" s="408" t="s">
        <v>721</v>
      </c>
      <c r="H397" s="403"/>
      <c r="I397" s="393" t="str">
        <f t="shared" ca="1" si="15"/>
        <v/>
      </c>
      <c r="J397" s="401"/>
      <c r="K397" s="393" t="s">
        <v>41</v>
      </c>
      <c r="L397" s="393" t="s">
        <v>41</v>
      </c>
      <c r="M397" s="401"/>
      <c r="N397" s="393"/>
      <c r="O397" s="393"/>
      <c r="P397" s="404"/>
      <c r="Q397" s="401"/>
      <c r="R397" s="401"/>
    </row>
    <row r="398" spans="1:18" ht="20.25" customHeight="1">
      <c r="A398" s="401"/>
      <c r="B398" s="497" t="s">
        <v>2254</v>
      </c>
      <c r="C398" s="508"/>
      <c r="D398" s="496">
        <v>2023202836</v>
      </c>
      <c r="E398" s="393" t="s">
        <v>41</v>
      </c>
      <c r="F398" s="393" t="s">
        <v>634</v>
      </c>
      <c r="G398" s="412" t="s">
        <v>706</v>
      </c>
      <c r="H398" s="403" t="s">
        <v>2614</v>
      </c>
      <c r="I398" s="393" t="e">
        <f t="shared" ca="1" si="15"/>
        <v>#VALUE!</v>
      </c>
      <c r="J398" s="415">
        <v>46003</v>
      </c>
      <c r="K398" s="401" t="s">
        <v>1414</v>
      </c>
      <c r="L398" s="401" t="s">
        <v>1415</v>
      </c>
      <c r="M398" s="401" t="s">
        <v>763</v>
      </c>
      <c r="N398" s="393" t="s">
        <v>41</v>
      </c>
      <c r="O398" s="393"/>
      <c r="P398" s="404"/>
      <c r="Q398" s="401"/>
      <c r="R398" s="401"/>
    </row>
    <row r="399" spans="1:18" ht="20.25" customHeight="1">
      <c r="A399" s="401"/>
      <c r="B399" s="509" t="s">
        <v>2226</v>
      </c>
      <c r="C399" s="509"/>
      <c r="D399" s="496">
        <v>2025213611</v>
      </c>
      <c r="E399" s="462" t="s">
        <v>41</v>
      </c>
      <c r="F399" s="393" t="s">
        <v>634</v>
      </c>
      <c r="G399" s="408" t="s">
        <v>721</v>
      </c>
      <c r="H399" s="403"/>
      <c r="I399" s="393" t="str">
        <f t="shared" ca="1" si="15"/>
        <v/>
      </c>
      <c r="J399" s="401"/>
      <c r="K399" s="401" t="s">
        <v>1641</v>
      </c>
      <c r="L399" s="544" t="s">
        <v>1642</v>
      </c>
      <c r="M399" s="401" t="s">
        <v>2776</v>
      </c>
      <c r="N399" s="393"/>
      <c r="O399" s="393"/>
      <c r="P399" s="404"/>
      <c r="Q399" s="401"/>
      <c r="R399" s="401"/>
    </row>
    <row r="400" spans="1:18" ht="20.25" customHeight="1">
      <c r="A400" s="401"/>
      <c r="B400" s="509" t="s">
        <v>2099</v>
      </c>
      <c r="C400" s="509"/>
      <c r="D400" s="496">
        <v>2025213611</v>
      </c>
      <c r="E400" s="462" t="s">
        <v>41</v>
      </c>
      <c r="F400" s="393" t="s">
        <v>631</v>
      </c>
      <c r="G400" s="412" t="s">
        <v>2589</v>
      </c>
      <c r="H400" s="403"/>
      <c r="I400" s="393" t="str">
        <f t="shared" ca="1" si="15"/>
        <v/>
      </c>
      <c r="J400" s="401"/>
      <c r="K400" s="401" t="s">
        <v>461</v>
      </c>
      <c r="L400" s="481" t="s">
        <v>2777</v>
      </c>
      <c r="M400" s="401" t="s">
        <v>2778</v>
      </c>
      <c r="N400" s="393"/>
      <c r="O400" s="393"/>
      <c r="P400" s="404"/>
      <c r="Q400" s="401"/>
      <c r="R400" s="401"/>
    </row>
    <row r="401" spans="1:19" ht="20.25" customHeight="1">
      <c r="A401" s="401"/>
      <c r="B401" s="509"/>
      <c r="C401" s="509"/>
      <c r="D401" s="496">
        <v>2025213611</v>
      </c>
      <c r="E401" s="462" t="s">
        <v>41</v>
      </c>
      <c r="F401" s="393" t="s">
        <v>638</v>
      </c>
      <c r="G401" s="412" t="s">
        <v>2589</v>
      </c>
      <c r="H401" s="403"/>
      <c r="I401" s="393" t="str">
        <f t="shared" ca="1" si="15"/>
        <v/>
      </c>
      <c r="J401" s="401"/>
      <c r="K401" s="401"/>
      <c r="L401" s="401"/>
      <c r="M401" s="401"/>
      <c r="N401" s="393"/>
      <c r="O401" s="393"/>
      <c r="P401" s="404"/>
      <c r="Q401" s="401"/>
      <c r="R401" s="401"/>
    </row>
    <row r="402" spans="1:19" ht="20.25" customHeight="1">
      <c r="A402" s="401"/>
      <c r="B402" s="509" t="s">
        <v>2637</v>
      </c>
      <c r="C402" s="509"/>
      <c r="D402" s="496">
        <v>2025213611</v>
      </c>
      <c r="E402" s="462" t="s">
        <v>41</v>
      </c>
      <c r="F402" s="393" t="s">
        <v>653</v>
      </c>
      <c r="G402" s="408"/>
      <c r="H402" s="403"/>
      <c r="I402" s="393"/>
      <c r="J402" s="401"/>
      <c r="K402" s="400"/>
      <c r="L402" s="544" t="s">
        <v>1645</v>
      </c>
      <c r="M402" s="401" t="s">
        <v>926</v>
      </c>
      <c r="N402" s="393"/>
      <c r="O402" s="393"/>
      <c r="P402" s="404"/>
      <c r="Q402" s="401"/>
      <c r="R402" s="401"/>
    </row>
    <row r="403" spans="1:19" ht="20.25" customHeight="1">
      <c r="A403" s="401"/>
      <c r="B403" s="509" t="s">
        <v>41</v>
      </c>
      <c r="C403" s="509"/>
      <c r="D403" s="496">
        <v>2531991</v>
      </c>
      <c r="E403" s="462" t="s">
        <v>41</v>
      </c>
      <c r="F403" s="393" t="s">
        <v>2775</v>
      </c>
      <c r="G403" s="412" t="s">
        <v>706</v>
      </c>
      <c r="H403" s="403"/>
      <c r="I403" s="393"/>
      <c r="J403" s="401"/>
      <c r="K403" s="400" t="s">
        <v>2779</v>
      </c>
      <c r="L403" s="411" t="s">
        <v>2780</v>
      </c>
      <c r="M403" s="401"/>
      <c r="N403" s="393"/>
      <c r="O403" s="393"/>
      <c r="P403" s="404"/>
      <c r="Q403" s="401"/>
      <c r="R403" s="401"/>
    </row>
    <row r="404" spans="1:19" ht="20.25" customHeight="1">
      <c r="A404" s="401"/>
      <c r="B404" s="496" t="s">
        <v>41</v>
      </c>
      <c r="C404" s="510"/>
      <c r="D404" s="510">
        <v>2688503</v>
      </c>
      <c r="E404" s="393" t="s">
        <v>41</v>
      </c>
      <c r="F404" s="393" t="s">
        <v>2775</v>
      </c>
      <c r="G404" s="412" t="s">
        <v>706</v>
      </c>
      <c r="H404" s="403"/>
      <c r="I404" s="393" t="str">
        <f t="shared" ref="I404:I409" ca="1" si="16">IF(H404="", "", IF(OR(G404="Completed", G404="STOP"), IF(J404="", "", J404-H404), TODAY()-H404))</f>
        <v/>
      </c>
      <c r="J404" s="401"/>
      <c r="K404" s="538" t="s">
        <v>2781</v>
      </c>
      <c r="L404" s="411" t="s">
        <v>2782</v>
      </c>
      <c r="M404" s="401"/>
      <c r="N404" s="393"/>
      <c r="O404" s="393"/>
      <c r="P404" s="404"/>
      <c r="Q404" s="401"/>
      <c r="R404" s="401"/>
    </row>
    <row r="405" spans="1:19" ht="20.25" customHeight="1">
      <c r="A405" s="401"/>
      <c r="B405" s="496" t="s">
        <v>41</v>
      </c>
      <c r="C405" s="496"/>
      <c r="D405" s="496">
        <v>2675217</v>
      </c>
      <c r="E405" s="393" t="s">
        <v>41</v>
      </c>
      <c r="F405" s="393" t="s">
        <v>2775</v>
      </c>
      <c r="G405" s="412" t="s">
        <v>706</v>
      </c>
      <c r="H405" s="403"/>
      <c r="I405" s="393" t="str">
        <f t="shared" ca="1" si="16"/>
        <v/>
      </c>
      <c r="J405" s="401"/>
      <c r="K405" s="401" t="s">
        <v>2783</v>
      </c>
      <c r="L405" s="411" t="s">
        <v>2784</v>
      </c>
      <c r="M405" s="401"/>
      <c r="N405" s="393"/>
      <c r="O405" s="393"/>
      <c r="P405" s="404"/>
      <c r="Q405" s="401"/>
      <c r="R405" s="401"/>
    </row>
    <row r="406" spans="1:19" ht="49.5" customHeight="1">
      <c r="A406" s="401"/>
      <c r="B406" s="431" t="s">
        <v>2785</v>
      </c>
      <c r="C406" s="431"/>
      <c r="D406" s="431">
        <v>2025204393</v>
      </c>
      <c r="E406" s="393" t="s">
        <v>41</v>
      </c>
      <c r="F406" s="393" t="s">
        <v>2786</v>
      </c>
      <c r="G406" s="412" t="s">
        <v>706</v>
      </c>
      <c r="H406" s="403"/>
      <c r="I406" s="393" t="str">
        <f t="shared" ca="1" si="16"/>
        <v/>
      </c>
      <c r="J406" s="401" t="s">
        <v>2636</v>
      </c>
      <c r="K406" s="401" t="s">
        <v>2787</v>
      </c>
      <c r="L406" s="538">
        <v>4</v>
      </c>
      <c r="M406" s="401" t="s">
        <v>774</v>
      </c>
      <c r="N406" s="393"/>
      <c r="O406" s="393"/>
      <c r="P406" s="404"/>
      <c r="Q406" s="401"/>
      <c r="R406" s="401" t="s">
        <v>2788</v>
      </c>
    </row>
    <row r="407" spans="1:19" ht="20.25" customHeight="1">
      <c r="A407" s="401"/>
      <c r="B407" s="431" t="s">
        <v>2785</v>
      </c>
      <c r="C407" s="431" t="s">
        <v>2486</v>
      </c>
      <c r="D407" s="431">
        <v>2025204393</v>
      </c>
      <c r="E407" s="393" t="s">
        <v>41</v>
      </c>
      <c r="F407" s="393" t="s">
        <v>2789</v>
      </c>
      <c r="G407" s="402" t="s">
        <v>706</v>
      </c>
      <c r="H407" s="403"/>
      <c r="I407" s="393" t="str">
        <f t="shared" ca="1" si="16"/>
        <v/>
      </c>
      <c r="J407" s="403">
        <v>46022</v>
      </c>
      <c r="K407" s="401"/>
      <c r="L407" s="401"/>
      <c r="M407" s="401" t="s">
        <v>774</v>
      </c>
      <c r="N407" s="393"/>
      <c r="O407" s="393"/>
      <c r="P407" s="404"/>
      <c r="Q407" s="401"/>
      <c r="R407" s="401"/>
    </row>
    <row r="408" spans="1:19" ht="20.25" customHeight="1">
      <c r="A408" s="401"/>
      <c r="B408" s="496" t="s">
        <v>41</v>
      </c>
      <c r="C408" s="496"/>
      <c r="D408" s="496" t="s">
        <v>41</v>
      </c>
      <c r="E408" s="393" t="s">
        <v>41</v>
      </c>
      <c r="F408" s="393" t="s">
        <v>2790</v>
      </c>
      <c r="G408" s="408"/>
      <c r="H408" s="403"/>
      <c r="I408" s="393" t="str">
        <f t="shared" ca="1" si="16"/>
        <v/>
      </c>
      <c r="J408" s="403"/>
      <c r="K408" s="401" t="s">
        <v>2791</v>
      </c>
      <c r="L408" s="401" t="s">
        <v>2792</v>
      </c>
      <c r="M408" s="401" t="s">
        <v>2793</v>
      </c>
      <c r="N408" s="393"/>
      <c r="O408" s="393"/>
      <c r="P408" s="404"/>
      <c r="Q408" s="401"/>
      <c r="R408" s="401"/>
    </row>
    <row r="409" spans="1:19" ht="20.25" customHeight="1">
      <c r="A409" s="467"/>
      <c r="B409" s="496" t="s">
        <v>41</v>
      </c>
      <c r="C409" s="511"/>
      <c r="D409" s="511">
        <v>2688502</v>
      </c>
      <c r="E409" s="394"/>
      <c r="F409" s="394" t="s">
        <v>2775</v>
      </c>
      <c r="G409" s="412" t="s">
        <v>706</v>
      </c>
      <c r="H409" s="468"/>
      <c r="I409" s="394" t="str">
        <f t="shared" ca="1" si="16"/>
        <v/>
      </c>
      <c r="J409" s="467"/>
      <c r="K409" s="467"/>
      <c r="L409" s="467" t="s">
        <v>2794</v>
      </c>
      <c r="M409" s="467"/>
      <c r="N409" s="394"/>
      <c r="O409" s="394"/>
      <c r="P409" s="469"/>
      <c r="Q409" s="401"/>
      <c r="R409" s="401"/>
    </row>
    <row r="410" spans="1:19" s="401" customFormat="1" ht="20.25" customHeight="1">
      <c r="B410" s="496" t="s">
        <v>41</v>
      </c>
      <c r="C410" s="496"/>
      <c r="D410" s="496">
        <v>2024214888</v>
      </c>
      <c r="E410" s="393" t="s">
        <v>41</v>
      </c>
      <c r="F410" s="393" t="s">
        <v>634</v>
      </c>
      <c r="G410" s="408" t="s">
        <v>2530</v>
      </c>
      <c r="H410" s="403"/>
      <c r="I410" s="393"/>
      <c r="K410" s="401" t="s">
        <v>2477</v>
      </c>
      <c r="L410" s="401" t="s">
        <v>844</v>
      </c>
      <c r="M410" s="401" t="s">
        <v>774</v>
      </c>
      <c r="N410" s="393"/>
      <c r="O410" s="393"/>
      <c r="P410" s="404"/>
      <c r="S410" s="407"/>
    </row>
    <row r="411" spans="1:19" ht="20.25" customHeight="1">
      <c r="A411" s="461"/>
      <c r="B411" s="496" t="s">
        <v>41</v>
      </c>
      <c r="C411" s="496"/>
      <c r="D411" s="496">
        <v>2719063</v>
      </c>
      <c r="E411" s="466"/>
      <c r="F411" s="466" t="s">
        <v>2775</v>
      </c>
      <c r="G411" s="470" t="s">
        <v>721</v>
      </c>
      <c r="H411" s="471"/>
      <c r="I411" s="466" t="str">
        <f t="shared" ref="I411:I442" ca="1" si="17">IF(H411="", "", IF(OR(G411="Completed", G411="STOP"), IF(J411="", "", J411-H411), TODAY()-H411))</f>
        <v/>
      </c>
      <c r="J411" s="461"/>
      <c r="K411" s="461" t="s">
        <v>2795</v>
      </c>
      <c r="L411" s="461"/>
      <c r="M411" s="461"/>
      <c r="N411" s="466"/>
      <c r="O411" s="466"/>
      <c r="P411" s="472"/>
      <c r="Q411" s="401"/>
      <c r="R411" s="401"/>
    </row>
    <row r="412" spans="1:19" ht="20.25" customHeight="1">
      <c r="A412" s="401"/>
      <c r="B412" s="496" t="s">
        <v>41</v>
      </c>
      <c r="C412" s="496"/>
      <c r="D412" s="496">
        <v>2719062</v>
      </c>
      <c r="E412" s="393"/>
      <c r="F412" s="466" t="s">
        <v>2775</v>
      </c>
      <c r="G412" s="408" t="s">
        <v>721</v>
      </c>
      <c r="H412" s="403"/>
      <c r="I412" s="393" t="str">
        <f t="shared" ca="1" si="17"/>
        <v/>
      </c>
      <c r="J412" s="401"/>
      <c r="K412" s="461" t="s">
        <v>2795</v>
      </c>
      <c r="L412" s="401"/>
      <c r="M412" s="401"/>
      <c r="N412" s="393"/>
      <c r="O412" s="393"/>
      <c r="P412" s="404"/>
      <c r="Q412" s="401"/>
      <c r="R412" s="401"/>
    </row>
    <row r="413" spans="1:19" ht="20.25" customHeight="1">
      <c r="A413" s="401"/>
      <c r="B413" s="496" t="s">
        <v>41</v>
      </c>
      <c r="C413" s="496"/>
      <c r="D413" s="496">
        <v>2687368</v>
      </c>
      <c r="E413" s="393"/>
      <c r="F413" s="466" t="s">
        <v>2775</v>
      </c>
      <c r="G413" s="408" t="s">
        <v>721</v>
      </c>
      <c r="H413" s="403"/>
      <c r="I413" s="393" t="str">
        <f t="shared" ca="1" si="17"/>
        <v/>
      </c>
      <c r="J413" s="401"/>
      <c r="K413" s="401" t="s">
        <v>2796</v>
      </c>
      <c r="L413" s="401"/>
      <c r="M413" s="401"/>
      <c r="N413" s="393"/>
      <c r="O413" s="393"/>
      <c r="P413" s="404"/>
      <c r="Q413" s="401"/>
      <c r="R413" s="401"/>
    </row>
    <row r="414" spans="1:19" ht="20.25" customHeight="1">
      <c r="A414" s="401"/>
      <c r="B414" s="497" t="s">
        <v>948</v>
      </c>
      <c r="C414" s="508"/>
      <c r="D414" s="496">
        <v>2025202958</v>
      </c>
      <c r="E414" s="393"/>
      <c r="F414" s="393" t="s">
        <v>634</v>
      </c>
      <c r="G414" s="412" t="s">
        <v>706</v>
      </c>
      <c r="H414" s="403"/>
      <c r="I414" s="393" t="str">
        <f t="shared" ca="1" si="17"/>
        <v/>
      </c>
      <c r="J414" s="401" t="s">
        <v>2626</v>
      </c>
      <c r="K414" s="401" t="s">
        <v>2797</v>
      </c>
      <c r="L414" s="401" t="s">
        <v>2798</v>
      </c>
      <c r="M414" s="401" t="s">
        <v>2768</v>
      </c>
      <c r="N414" s="393"/>
      <c r="O414" s="393"/>
      <c r="P414" s="404"/>
      <c r="Q414" s="401"/>
      <c r="R414" s="401"/>
    </row>
    <row r="415" spans="1:19" ht="20.25" customHeight="1">
      <c r="A415" s="401"/>
      <c r="B415" s="505" t="s">
        <v>2799</v>
      </c>
      <c r="C415" s="496"/>
      <c r="D415" s="496" t="s">
        <v>30</v>
      </c>
      <c r="E415" s="393"/>
      <c r="F415" s="393" t="s">
        <v>654</v>
      </c>
      <c r="G415" s="412" t="s">
        <v>706</v>
      </c>
      <c r="H415" s="403"/>
      <c r="I415" s="393" t="str">
        <f t="shared" ca="1" si="17"/>
        <v/>
      </c>
      <c r="J415" s="401" t="s">
        <v>2800</v>
      </c>
      <c r="K415" s="401" t="s">
        <v>2801</v>
      </c>
      <c r="L415" s="393" t="s">
        <v>2802</v>
      </c>
      <c r="M415" s="401" t="s">
        <v>709</v>
      </c>
      <c r="N415" s="393"/>
      <c r="O415" s="393"/>
      <c r="P415" s="404"/>
      <c r="Q415" s="401"/>
      <c r="R415" s="401"/>
    </row>
    <row r="416" spans="1:19" ht="20.25" customHeight="1">
      <c r="A416" s="401"/>
      <c r="B416" s="497" t="s">
        <v>1031</v>
      </c>
      <c r="C416" s="508"/>
      <c r="D416" s="496">
        <v>2025212071</v>
      </c>
      <c r="E416" s="393"/>
      <c r="F416" s="393" t="s">
        <v>634</v>
      </c>
      <c r="G416" s="412" t="s">
        <v>706</v>
      </c>
      <c r="H416" s="403"/>
      <c r="I416" s="393" t="str">
        <f t="shared" ca="1" si="17"/>
        <v/>
      </c>
      <c r="J416" s="401"/>
      <c r="K416" s="473" t="s">
        <v>2803</v>
      </c>
      <c r="L416" s="474" t="s">
        <v>2804</v>
      </c>
      <c r="M416" s="401" t="s">
        <v>849</v>
      </c>
      <c r="N416" s="393"/>
      <c r="O416" s="393"/>
      <c r="P416" s="404"/>
      <c r="Q416" s="401"/>
      <c r="R416" s="401"/>
    </row>
    <row r="417" spans="1:18" ht="20.25" customHeight="1">
      <c r="A417" s="401"/>
      <c r="B417" s="497" t="s">
        <v>1031</v>
      </c>
      <c r="C417" s="508"/>
      <c r="D417" s="496">
        <v>2025212055</v>
      </c>
      <c r="E417" s="393"/>
      <c r="F417" s="393" t="s">
        <v>634</v>
      </c>
      <c r="G417" s="412" t="s">
        <v>706</v>
      </c>
      <c r="H417" s="403"/>
      <c r="I417" s="393" t="str">
        <f t="shared" ca="1" si="17"/>
        <v/>
      </c>
      <c r="J417" s="401"/>
      <c r="K417" s="473" t="s">
        <v>1021</v>
      </c>
      <c r="L417" s="474" t="s">
        <v>1022</v>
      </c>
      <c r="M417" s="401" t="s">
        <v>849</v>
      </c>
      <c r="N417" s="393"/>
      <c r="O417" s="393"/>
      <c r="P417" s="404"/>
      <c r="Q417" s="401"/>
      <c r="R417" s="401"/>
    </row>
    <row r="418" spans="1:18" ht="20.25" customHeight="1">
      <c r="A418" s="401"/>
      <c r="B418" s="505" t="s">
        <v>2129</v>
      </c>
      <c r="C418" s="496"/>
      <c r="D418" s="496">
        <v>2024215795</v>
      </c>
      <c r="E418" s="393"/>
      <c r="F418" s="393" t="s">
        <v>654</v>
      </c>
      <c r="G418" s="408" t="s">
        <v>721</v>
      </c>
      <c r="H418" s="403"/>
      <c r="I418" s="393" t="str">
        <f t="shared" ca="1" si="17"/>
        <v/>
      </c>
      <c r="J418" s="401"/>
      <c r="K418" s="401" t="s">
        <v>2805</v>
      </c>
      <c r="L418" s="453" t="s">
        <v>1728</v>
      </c>
      <c r="M418" s="401" t="s">
        <v>709</v>
      </c>
      <c r="N418" s="393"/>
      <c r="O418" s="393"/>
      <c r="P418" s="404"/>
      <c r="Q418" s="401"/>
      <c r="R418" s="401"/>
    </row>
    <row r="419" spans="1:18" ht="20.25" customHeight="1">
      <c r="A419" s="401"/>
      <c r="B419" s="497" t="s">
        <v>2637</v>
      </c>
      <c r="C419" s="496"/>
      <c r="D419" s="496" t="s">
        <v>514</v>
      </c>
      <c r="E419" s="393"/>
      <c r="F419" s="393" t="s">
        <v>634</v>
      </c>
      <c r="G419" s="408" t="s">
        <v>721</v>
      </c>
      <c r="H419" s="403"/>
      <c r="I419" s="393" t="str">
        <f t="shared" ca="1" si="17"/>
        <v/>
      </c>
      <c r="J419" s="401"/>
      <c r="K419" s="401" t="s">
        <v>2806</v>
      </c>
      <c r="L419" s="411" t="s">
        <v>2807</v>
      </c>
      <c r="M419" s="411" t="s">
        <v>2808</v>
      </c>
      <c r="N419" s="393"/>
      <c r="O419" s="393"/>
      <c r="P419" s="404"/>
      <c r="Q419" s="401"/>
      <c r="R419" s="401"/>
    </row>
    <row r="420" spans="1:18" ht="20.25" customHeight="1">
      <c r="A420" s="401"/>
      <c r="B420" s="497" t="s">
        <v>2637</v>
      </c>
      <c r="C420" s="508"/>
      <c r="D420" s="496" t="s">
        <v>514</v>
      </c>
      <c r="E420" s="393"/>
      <c r="F420" s="393" t="s">
        <v>2740</v>
      </c>
      <c r="G420" s="408" t="s">
        <v>721</v>
      </c>
      <c r="H420" s="403"/>
      <c r="I420" s="393" t="str">
        <f t="shared" ca="1" si="17"/>
        <v/>
      </c>
      <c r="J420" s="401"/>
      <c r="K420" s="401" t="s">
        <v>2809</v>
      </c>
      <c r="L420" s="411" t="s">
        <v>2810</v>
      </c>
      <c r="M420" s="401" t="s">
        <v>926</v>
      </c>
      <c r="N420" s="393"/>
      <c r="O420" s="393"/>
      <c r="P420" s="404"/>
      <c r="Q420" s="401"/>
      <c r="R420" s="401"/>
    </row>
    <row r="421" spans="1:18" ht="27.75" customHeight="1">
      <c r="A421" s="401"/>
      <c r="B421" s="497" t="s">
        <v>2637</v>
      </c>
      <c r="C421" s="508"/>
      <c r="D421" s="496" t="s">
        <v>514</v>
      </c>
      <c r="E421" s="393"/>
      <c r="F421" s="393" t="s">
        <v>653</v>
      </c>
      <c r="G421" s="408" t="s">
        <v>721</v>
      </c>
      <c r="H421" s="403"/>
      <c r="I421" s="393" t="str">
        <f t="shared" ca="1" si="17"/>
        <v/>
      </c>
      <c r="J421" s="401"/>
      <c r="K421" s="401"/>
      <c r="L421" s="411" t="s">
        <v>2811</v>
      </c>
      <c r="M421" s="401" t="s">
        <v>2812</v>
      </c>
      <c r="N421" s="393"/>
      <c r="O421" s="393"/>
      <c r="P421" s="404"/>
      <c r="Q421" s="401"/>
      <c r="R421" s="401"/>
    </row>
    <row r="422" spans="1:18" ht="20.25" customHeight="1">
      <c r="A422" s="401"/>
      <c r="B422" s="497" t="s">
        <v>2703</v>
      </c>
      <c r="C422" s="508"/>
      <c r="D422" s="496" t="s">
        <v>514</v>
      </c>
      <c r="E422" s="393"/>
      <c r="F422" s="393" t="s">
        <v>654</v>
      </c>
      <c r="G422" s="408" t="s">
        <v>721</v>
      </c>
      <c r="H422" s="403"/>
      <c r="I422" s="393" t="str">
        <f t="shared" ca="1" si="17"/>
        <v/>
      </c>
      <c r="J422" s="401"/>
      <c r="K422" s="401" t="s">
        <v>2813</v>
      </c>
      <c r="L422" s="393" t="s">
        <v>1744</v>
      </c>
      <c r="M422" s="401" t="s">
        <v>2814</v>
      </c>
      <c r="N422" s="393"/>
      <c r="O422" s="393"/>
      <c r="P422" s="404"/>
      <c r="Q422" s="401"/>
      <c r="R422" s="401"/>
    </row>
    <row r="423" spans="1:18" ht="20.25" customHeight="1">
      <c r="A423" s="401"/>
      <c r="B423" s="496" t="s">
        <v>41</v>
      </c>
      <c r="C423" s="496"/>
      <c r="D423" s="496" t="s">
        <v>514</v>
      </c>
      <c r="E423" s="393"/>
      <c r="F423" s="393" t="s">
        <v>2308</v>
      </c>
      <c r="G423" s="408"/>
      <c r="H423" s="403"/>
      <c r="I423" s="393" t="str">
        <f t="shared" ca="1" si="17"/>
        <v/>
      </c>
      <c r="J423" s="401"/>
      <c r="K423" s="401" t="s">
        <v>2815</v>
      </c>
      <c r="L423" s="401" t="s">
        <v>2816</v>
      </c>
      <c r="M423" s="401" t="s">
        <v>926</v>
      </c>
      <c r="N423" s="393"/>
      <c r="O423" s="393"/>
      <c r="P423" s="404"/>
      <c r="Q423" s="401"/>
      <c r="R423" s="401"/>
    </row>
    <row r="424" spans="1:18" ht="20.25" customHeight="1">
      <c r="A424" s="401"/>
      <c r="B424" s="496" t="s">
        <v>41</v>
      </c>
      <c r="C424" s="496"/>
      <c r="D424" s="496" t="s">
        <v>514</v>
      </c>
      <c r="E424" s="393"/>
      <c r="F424" s="393" t="s">
        <v>2817</v>
      </c>
      <c r="G424" s="408"/>
      <c r="H424" s="403"/>
      <c r="I424" s="393" t="str">
        <f t="shared" ca="1" si="17"/>
        <v/>
      </c>
      <c r="J424" s="401"/>
      <c r="K424" s="401"/>
      <c r="L424" s="401"/>
      <c r="M424" s="401"/>
      <c r="N424" s="393"/>
      <c r="O424" s="393"/>
      <c r="P424" s="404"/>
      <c r="Q424" s="401"/>
      <c r="R424" s="401"/>
    </row>
    <row r="425" spans="1:18" ht="20.25" customHeight="1">
      <c r="A425" s="401"/>
      <c r="B425" s="496" t="s">
        <v>41</v>
      </c>
      <c r="C425" s="496"/>
      <c r="D425" s="496" t="s">
        <v>514</v>
      </c>
      <c r="E425" s="393"/>
      <c r="F425" s="393" t="s">
        <v>2818</v>
      </c>
      <c r="G425" s="408"/>
      <c r="H425" s="403"/>
      <c r="I425" s="393" t="str">
        <f t="shared" ca="1" si="17"/>
        <v/>
      </c>
      <c r="J425" s="401"/>
      <c r="K425" s="401"/>
      <c r="L425" s="401"/>
      <c r="M425" s="401"/>
      <c r="N425" s="393"/>
      <c r="O425" s="393"/>
      <c r="P425" s="404"/>
      <c r="Q425" s="401"/>
      <c r="R425" s="401"/>
    </row>
    <row r="426" spans="1:18" ht="20.25" customHeight="1">
      <c r="A426" s="401"/>
      <c r="B426" s="505" t="s">
        <v>41</v>
      </c>
      <c r="C426" s="512"/>
      <c r="D426" s="496">
        <v>2024215431</v>
      </c>
      <c r="E426" s="393"/>
      <c r="F426" s="393" t="s">
        <v>2819</v>
      </c>
      <c r="G426" s="408" t="s">
        <v>716</v>
      </c>
      <c r="H426" s="403"/>
      <c r="I426" s="393" t="str">
        <f t="shared" ca="1" si="17"/>
        <v/>
      </c>
      <c r="J426" s="401"/>
      <c r="K426" s="401" t="s">
        <v>2820</v>
      </c>
      <c r="L426" s="401" t="s">
        <v>1715</v>
      </c>
      <c r="M426" s="401" t="s">
        <v>741</v>
      </c>
      <c r="N426" s="393"/>
      <c r="O426" s="393"/>
      <c r="P426" s="404"/>
      <c r="Q426" s="401"/>
      <c r="R426" s="401"/>
    </row>
    <row r="427" spans="1:18" ht="20.25" customHeight="1">
      <c r="A427" s="401"/>
      <c r="B427" s="505" t="s">
        <v>2821</v>
      </c>
      <c r="C427" s="496"/>
      <c r="D427" s="496">
        <v>2025213611</v>
      </c>
      <c r="E427" s="393" t="s">
        <v>41</v>
      </c>
      <c r="F427" s="393" t="s">
        <v>654</v>
      </c>
      <c r="G427" s="408" t="s">
        <v>2316</v>
      </c>
      <c r="H427" s="403">
        <v>46054</v>
      </c>
      <c r="I427" s="393">
        <f t="shared" ca="1" si="17"/>
        <v>-27</v>
      </c>
      <c r="J427" s="401"/>
      <c r="K427" s="420" t="s">
        <v>2822</v>
      </c>
      <c r="L427" s="457" t="s">
        <v>1646</v>
      </c>
      <c r="M427" s="401" t="s">
        <v>926</v>
      </c>
      <c r="N427" s="393"/>
      <c r="O427" s="393"/>
      <c r="P427" s="404"/>
      <c r="Q427" s="401"/>
      <c r="R427" s="401"/>
    </row>
    <row r="428" spans="1:18" ht="20.25" customHeight="1">
      <c r="A428" s="401"/>
      <c r="B428" s="505" t="s">
        <v>2823</v>
      </c>
      <c r="C428" s="496"/>
      <c r="D428" s="496">
        <v>2025213146</v>
      </c>
      <c r="E428" s="393"/>
      <c r="F428" s="393" t="s">
        <v>654</v>
      </c>
      <c r="G428" s="408"/>
      <c r="H428" s="403" t="s">
        <v>2824</v>
      </c>
      <c r="I428" s="393" t="e">
        <f t="shared" ca="1" si="17"/>
        <v>#VALUE!</v>
      </c>
      <c r="J428" s="401"/>
      <c r="K428" s="401" t="s">
        <v>2825</v>
      </c>
      <c r="L428" s="393" t="s">
        <v>2826</v>
      </c>
      <c r="M428" s="401" t="s">
        <v>741</v>
      </c>
      <c r="N428" s="393"/>
      <c r="O428" s="393"/>
      <c r="P428" s="404"/>
      <c r="Q428" s="401"/>
      <c r="R428" s="401"/>
    </row>
    <row r="429" spans="1:18" ht="20.25" customHeight="1">
      <c r="A429" s="401"/>
      <c r="B429" s="535" t="s">
        <v>2403</v>
      </c>
      <c r="C429" s="537"/>
      <c r="D429" s="537">
        <v>2025204832</v>
      </c>
      <c r="E429" s="393" t="s">
        <v>41</v>
      </c>
      <c r="F429" s="393" t="s">
        <v>654</v>
      </c>
      <c r="G429" s="408" t="s">
        <v>721</v>
      </c>
      <c r="H429" s="403">
        <v>46054</v>
      </c>
      <c r="I429" s="393">
        <f t="shared" ca="1" si="17"/>
        <v>-27</v>
      </c>
      <c r="J429" s="401"/>
      <c r="K429" s="420" t="s">
        <v>2827</v>
      </c>
      <c r="L429" s="457" t="s">
        <v>2828</v>
      </c>
      <c r="M429" s="401" t="s">
        <v>791</v>
      </c>
      <c r="N429" s="393"/>
      <c r="O429" s="393"/>
      <c r="P429" s="404"/>
      <c r="Q429" s="401"/>
      <c r="R429" s="401"/>
    </row>
    <row r="430" spans="1:18" s="444" customFormat="1" ht="20.25" customHeight="1">
      <c r="A430" s="441"/>
      <c r="B430" s="520" t="s">
        <v>41</v>
      </c>
      <c r="C430" s="523" t="s">
        <v>1557</v>
      </c>
      <c r="D430" s="517">
        <v>2025213092</v>
      </c>
      <c r="E430" s="414" t="s">
        <v>41</v>
      </c>
      <c r="F430" s="414" t="s">
        <v>654</v>
      </c>
      <c r="G430" s="414" t="s">
        <v>2316</v>
      </c>
      <c r="H430" s="442"/>
      <c r="I430" s="414" t="str">
        <f t="shared" ca="1" si="17"/>
        <v/>
      </c>
      <c r="J430" s="518">
        <v>46054</v>
      </c>
      <c r="K430" s="521" t="s">
        <v>2829</v>
      </c>
      <c r="L430" s="522" t="s">
        <v>1568</v>
      </c>
      <c r="M430" s="441" t="s">
        <v>1570</v>
      </c>
      <c r="N430" s="414"/>
      <c r="O430" s="414"/>
      <c r="P430" s="443"/>
      <c r="Q430" s="441"/>
      <c r="R430" s="441"/>
    </row>
    <row r="431" spans="1:18" ht="20.25" customHeight="1">
      <c r="A431" s="401"/>
      <c r="B431" s="513" t="s">
        <v>2830</v>
      </c>
      <c r="C431" s="501"/>
      <c r="D431" s="496">
        <v>2585893</v>
      </c>
      <c r="E431" s="393"/>
      <c r="F431" s="393" t="s">
        <v>654</v>
      </c>
      <c r="G431" s="408"/>
      <c r="H431" s="403" t="s">
        <v>2824</v>
      </c>
      <c r="I431" s="393" t="e">
        <f t="shared" ca="1" si="17"/>
        <v>#VALUE!</v>
      </c>
      <c r="J431" s="401"/>
      <c r="K431" s="401" t="s">
        <v>2831</v>
      </c>
      <c r="L431" s="393" t="s">
        <v>1563</v>
      </c>
      <c r="M431" s="401" t="s">
        <v>714</v>
      </c>
      <c r="N431" s="393"/>
      <c r="O431" s="393"/>
      <c r="P431" s="404"/>
      <c r="Q431" s="401"/>
      <c r="R431" s="401"/>
    </row>
    <row r="432" spans="1:18" ht="20.25" customHeight="1">
      <c r="A432" s="401"/>
      <c r="B432" s="497" t="s">
        <v>2444</v>
      </c>
      <c r="C432" s="508"/>
      <c r="D432" s="496">
        <v>2025202308</v>
      </c>
      <c r="E432" s="393"/>
      <c r="F432" s="393" t="s">
        <v>654</v>
      </c>
      <c r="G432" s="408" t="s">
        <v>716</v>
      </c>
      <c r="H432" s="403" t="s">
        <v>2445</v>
      </c>
      <c r="I432" s="393" t="e">
        <f t="shared" ca="1" si="17"/>
        <v>#VALUE!</v>
      </c>
      <c r="J432" s="401"/>
      <c r="K432" s="401" t="s">
        <v>2832</v>
      </c>
      <c r="L432" s="393" t="s">
        <v>958</v>
      </c>
      <c r="M432" s="401" t="s">
        <v>763</v>
      </c>
      <c r="N432" s="393"/>
      <c r="O432" s="393"/>
      <c r="P432" s="404"/>
      <c r="Q432" s="401"/>
      <c r="R432" s="401"/>
    </row>
    <row r="433" spans="1:18" ht="20.25" customHeight="1">
      <c r="A433" s="401"/>
      <c r="B433" s="535" t="s">
        <v>2403</v>
      </c>
      <c r="C433" s="537"/>
      <c r="D433" s="537">
        <v>2024200689</v>
      </c>
      <c r="E433" s="393" t="s">
        <v>41</v>
      </c>
      <c r="F433" s="393" t="s">
        <v>654</v>
      </c>
      <c r="G433" s="408" t="s">
        <v>721</v>
      </c>
      <c r="H433" s="403">
        <v>46054</v>
      </c>
      <c r="I433" s="393">
        <f t="shared" ca="1" si="17"/>
        <v>-27</v>
      </c>
      <c r="J433" s="401"/>
      <c r="K433" s="420" t="s">
        <v>2833</v>
      </c>
      <c r="L433" s="485" t="s">
        <v>1542</v>
      </c>
      <c r="M433" s="401" t="s">
        <v>791</v>
      </c>
      <c r="N433" s="393"/>
      <c r="O433" s="393"/>
      <c r="P433" s="404"/>
      <c r="Q433" s="401"/>
      <c r="R433" s="401"/>
    </row>
    <row r="434" spans="1:18" ht="20.25" customHeight="1">
      <c r="A434" s="401"/>
      <c r="B434" s="505" t="s">
        <v>2834</v>
      </c>
      <c r="C434" s="496"/>
      <c r="D434" s="496">
        <v>2025200081</v>
      </c>
      <c r="E434" s="393" t="s">
        <v>41</v>
      </c>
      <c r="F434" s="393" t="s">
        <v>654</v>
      </c>
      <c r="G434" s="408" t="s">
        <v>2316</v>
      </c>
      <c r="H434" s="403"/>
      <c r="I434" s="393" t="str">
        <f t="shared" ca="1" si="17"/>
        <v/>
      </c>
      <c r="J434" s="401"/>
      <c r="K434" s="420" t="s">
        <v>2835</v>
      </c>
      <c r="L434" s="457" t="s">
        <v>1538</v>
      </c>
      <c r="M434" s="401" t="s">
        <v>763</v>
      </c>
      <c r="N434" s="393"/>
      <c r="O434" s="393"/>
      <c r="P434" s="404"/>
      <c r="Q434" s="401"/>
      <c r="R434" s="401"/>
    </row>
    <row r="435" spans="1:18" ht="20.25" customHeight="1">
      <c r="A435" s="401"/>
      <c r="B435" s="505" t="s">
        <v>794</v>
      </c>
      <c r="C435" s="496"/>
      <c r="D435" s="496">
        <v>2023209914</v>
      </c>
      <c r="E435" s="393" t="s">
        <v>41</v>
      </c>
      <c r="F435" s="393" t="s">
        <v>654</v>
      </c>
      <c r="G435" s="408" t="s">
        <v>2316</v>
      </c>
      <c r="H435" s="403"/>
      <c r="I435" s="393" t="str">
        <f t="shared" ca="1" si="17"/>
        <v/>
      </c>
      <c r="J435" s="401"/>
      <c r="K435" s="420" t="s">
        <v>2836</v>
      </c>
      <c r="L435" s="457" t="s">
        <v>2837</v>
      </c>
      <c r="M435" s="401" t="s">
        <v>763</v>
      </c>
      <c r="N435" s="393"/>
      <c r="O435" s="393"/>
      <c r="P435" s="404"/>
      <c r="Q435" s="401"/>
      <c r="R435" s="401"/>
    </row>
    <row r="436" spans="1:18" ht="20.25" customHeight="1">
      <c r="A436" s="401"/>
      <c r="B436" s="497" t="s">
        <v>2444</v>
      </c>
      <c r="C436" s="508"/>
      <c r="D436" s="496" t="s">
        <v>405</v>
      </c>
      <c r="E436" s="393"/>
      <c r="F436" s="393" t="s">
        <v>654</v>
      </c>
      <c r="G436" s="408" t="s">
        <v>716</v>
      </c>
      <c r="H436" s="403" t="s">
        <v>2445</v>
      </c>
      <c r="I436" s="393" t="e">
        <f t="shared" ca="1" si="17"/>
        <v>#VALUE!</v>
      </c>
      <c r="J436" s="401"/>
      <c r="K436" s="401" t="s">
        <v>2838</v>
      </c>
      <c r="L436" s="393" t="s">
        <v>2839</v>
      </c>
      <c r="M436" s="401" t="s">
        <v>763</v>
      </c>
      <c r="N436" s="393"/>
      <c r="O436" s="393"/>
      <c r="P436" s="404"/>
      <c r="Q436" s="401"/>
      <c r="R436" s="401"/>
    </row>
    <row r="437" spans="1:18" ht="20.25" customHeight="1">
      <c r="A437" s="401"/>
      <c r="B437" s="497" t="s">
        <v>2622</v>
      </c>
      <c r="C437" s="508"/>
      <c r="D437" s="496">
        <v>2025213982</v>
      </c>
      <c r="E437" s="393"/>
      <c r="F437" s="393" t="s">
        <v>634</v>
      </c>
      <c r="G437" s="412" t="s">
        <v>706</v>
      </c>
      <c r="H437" s="403"/>
      <c r="I437" s="393" t="str">
        <f t="shared" ca="1" si="17"/>
        <v/>
      </c>
      <c r="J437" s="401"/>
      <c r="K437" s="428" t="s">
        <v>1748</v>
      </c>
      <c r="L437" s="428" t="s">
        <v>1749</v>
      </c>
      <c r="M437" s="401" t="s">
        <v>763</v>
      </c>
      <c r="N437" s="393"/>
      <c r="O437" s="393"/>
      <c r="P437" s="404"/>
      <c r="Q437" s="401"/>
      <c r="R437" s="401"/>
    </row>
    <row r="438" spans="1:18" ht="20.25" customHeight="1">
      <c r="A438" s="401"/>
      <c r="B438" s="497" t="s">
        <v>2622</v>
      </c>
      <c r="C438" s="508"/>
      <c r="D438" s="496">
        <v>2025213982</v>
      </c>
      <c r="E438" s="393"/>
      <c r="F438" s="393" t="s">
        <v>631</v>
      </c>
      <c r="G438" s="412" t="s">
        <v>706</v>
      </c>
      <c r="H438" s="403"/>
      <c r="I438" s="393" t="str">
        <f t="shared" ca="1" si="17"/>
        <v/>
      </c>
      <c r="J438" s="401"/>
      <c r="K438" s="454" t="s">
        <v>1750</v>
      </c>
      <c r="L438" s="428" t="s">
        <v>1751</v>
      </c>
      <c r="M438" s="401" t="s">
        <v>763</v>
      </c>
      <c r="N438" s="393"/>
      <c r="O438" s="393"/>
      <c r="P438" s="404"/>
      <c r="Q438" s="401"/>
      <c r="R438" s="401"/>
    </row>
    <row r="439" spans="1:18" ht="20.25" customHeight="1">
      <c r="A439" s="401"/>
      <c r="B439" s="497" t="s">
        <v>2622</v>
      </c>
      <c r="C439" s="508"/>
      <c r="D439" s="496">
        <v>2025213982</v>
      </c>
      <c r="E439" s="393"/>
      <c r="F439" s="393" t="s">
        <v>638</v>
      </c>
      <c r="G439" s="408" t="s">
        <v>716</v>
      </c>
      <c r="H439" s="403"/>
      <c r="I439" s="393" t="str">
        <f t="shared" ca="1" si="17"/>
        <v/>
      </c>
      <c r="J439" s="401"/>
      <c r="K439" s="401" t="s">
        <v>66</v>
      </c>
      <c r="L439" s="401" t="s">
        <v>41</v>
      </c>
      <c r="M439" s="401" t="s">
        <v>763</v>
      </c>
      <c r="N439" s="393"/>
      <c r="O439" s="393"/>
      <c r="P439" s="404"/>
      <c r="Q439" s="401"/>
      <c r="R439" s="401"/>
    </row>
    <row r="440" spans="1:18" ht="20.25" customHeight="1">
      <c r="A440" s="401"/>
      <c r="B440" s="497" t="s">
        <v>2622</v>
      </c>
      <c r="C440" s="508"/>
      <c r="D440" s="496">
        <v>2025213982</v>
      </c>
      <c r="E440" s="393"/>
      <c r="F440" s="393" t="s">
        <v>653</v>
      </c>
      <c r="G440" s="412" t="s">
        <v>706</v>
      </c>
      <c r="H440" s="403"/>
      <c r="I440" s="393" t="str">
        <f t="shared" ca="1" si="17"/>
        <v/>
      </c>
      <c r="J440" s="401"/>
      <c r="K440" s="454" t="s">
        <v>41</v>
      </c>
      <c r="L440" s="454" t="s">
        <v>1752</v>
      </c>
      <c r="M440" s="401" t="s">
        <v>763</v>
      </c>
      <c r="N440" s="393"/>
      <c r="O440" s="393"/>
      <c r="P440" s="404"/>
      <c r="Q440" s="401"/>
      <c r="R440" s="401"/>
    </row>
    <row r="441" spans="1:18" ht="20.25" customHeight="1">
      <c r="A441" s="401"/>
      <c r="B441" s="497" t="s">
        <v>2716</v>
      </c>
      <c r="C441" s="508"/>
      <c r="D441" s="506">
        <v>2025213982</v>
      </c>
      <c r="E441" s="393"/>
      <c r="F441" s="393" t="s">
        <v>654</v>
      </c>
      <c r="G441" s="408" t="s">
        <v>716</v>
      </c>
      <c r="H441" s="403" t="s">
        <v>2445</v>
      </c>
      <c r="I441" s="393" t="e">
        <f t="shared" ca="1" si="17"/>
        <v>#VALUE!</v>
      </c>
      <c r="J441" s="401"/>
      <c r="K441" s="401" t="s">
        <v>1754</v>
      </c>
      <c r="L441" s="393" t="s">
        <v>1753</v>
      </c>
      <c r="M441" s="401" t="s">
        <v>763</v>
      </c>
      <c r="N441" s="393"/>
      <c r="O441" s="393"/>
      <c r="P441" s="404"/>
      <c r="Q441" s="401"/>
      <c r="R441" s="401"/>
    </row>
    <row r="442" spans="1:18" ht="20.25" customHeight="1">
      <c r="A442" s="401"/>
      <c r="B442" s="497" t="s">
        <v>2504</v>
      </c>
      <c r="C442" s="508"/>
      <c r="D442" s="506">
        <v>2025213945</v>
      </c>
      <c r="E442" s="393"/>
      <c r="F442" s="393" t="s">
        <v>634</v>
      </c>
      <c r="G442" s="402" t="s">
        <v>706</v>
      </c>
      <c r="H442" s="403"/>
      <c r="I442" s="393" t="str">
        <f t="shared" ca="1" si="17"/>
        <v/>
      </c>
      <c r="J442" s="415">
        <v>46021</v>
      </c>
      <c r="K442" s="454" t="s">
        <v>1755</v>
      </c>
      <c r="L442" s="428" t="s">
        <v>1756</v>
      </c>
      <c r="M442" s="401" t="s">
        <v>849</v>
      </c>
      <c r="N442" s="393"/>
      <c r="O442" s="393"/>
      <c r="P442" s="404"/>
      <c r="Q442" s="401"/>
      <c r="R442" s="401"/>
    </row>
    <row r="443" spans="1:18" ht="20.25" customHeight="1">
      <c r="A443" s="401"/>
      <c r="B443" s="497" t="s">
        <v>2669</v>
      </c>
      <c r="C443" s="508"/>
      <c r="D443" s="506">
        <v>2025213945</v>
      </c>
      <c r="E443" s="393"/>
      <c r="F443" s="393" t="s">
        <v>631</v>
      </c>
      <c r="G443" s="408"/>
      <c r="H443" s="403"/>
      <c r="I443" s="393" t="str">
        <f t="shared" ref="I443:I474" ca="1" si="18">IF(H443="", "", IF(OR(G443="Completed", G443="STOP"), IF(J443="", "", J443-H443), TODAY()-H443))</f>
        <v/>
      </c>
      <c r="J443" s="401"/>
      <c r="K443" s="454" t="s">
        <v>1757</v>
      </c>
      <c r="L443" s="428" t="s">
        <v>1758</v>
      </c>
      <c r="M443" s="401" t="s">
        <v>2840</v>
      </c>
      <c r="N443" s="393"/>
      <c r="O443" s="393"/>
      <c r="P443" s="404"/>
      <c r="Q443" s="401"/>
      <c r="R443" s="401"/>
    </row>
    <row r="444" spans="1:18" ht="20.25" customHeight="1">
      <c r="A444" s="401"/>
      <c r="B444" s="497" t="s">
        <v>2669</v>
      </c>
      <c r="C444" s="508"/>
      <c r="D444" s="506">
        <v>2025213945</v>
      </c>
      <c r="E444" s="393"/>
      <c r="F444" s="393" t="s">
        <v>638</v>
      </c>
      <c r="G444" s="408"/>
      <c r="H444" s="403"/>
      <c r="I444" s="393" t="str">
        <f t="shared" ca="1" si="18"/>
        <v/>
      </c>
      <c r="J444" s="401"/>
      <c r="K444" s="428" t="s">
        <v>1759</v>
      </c>
      <c r="L444" s="428" t="s">
        <v>1760</v>
      </c>
      <c r="M444" s="401" t="s">
        <v>709</v>
      </c>
      <c r="N444" s="393"/>
      <c r="O444" s="393"/>
      <c r="P444" s="404"/>
      <c r="Q444" s="401"/>
      <c r="R444" s="401"/>
    </row>
    <row r="445" spans="1:18" ht="20.25" customHeight="1">
      <c r="A445" s="401"/>
      <c r="B445" s="497" t="s">
        <v>2504</v>
      </c>
      <c r="C445" s="508"/>
      <c r="D445" s="506">
        <v>2025213945</v>
      </c>
      <c r="E445" s="393"/>
      <c r="F445" s="393" t="s">
        <v>653</v>
      </c>
      <c r="G445" s="402" t="s">
        <v>706</v>
      </c>
      <c r="H445" s="403"/>
      <c r="I445" s="393" t="str">
        <f t="shared" ca="1" si="18"/>
        <v/>
      </c>
      <c r="J445" s="415">
        <v>46021</v>
      </c>
      <c r="K445" s="454"/>
      <c r="L445" s="454" t="s">
        <v>1761</v>
      </c>
      <c r="M445" s="401" t="s">
        <v>849</v>
      </c>
      <c r="N445" s="393"/>
      <c r="O445" s="393"/>
      <c r="P445" s="404"/>
      <c r="Q445" s="401"/>
      <c r="R445" s="401"/>
    </row>
    <row r="446" spans="1:18" ht="20.25" customHeight="1">
      <c r="A446" s="401"/>
      <c r="B446" s="497" t="s">
        <v>2179</v>
      </c>
      <c r="C446" s="508"/>
      <c r="D446" s="496">
        <v>2025213945</v>
      </c>
      <c r="E446" s="393"/>
      <c r="F446" s="393" t="s">
        <v>654</v>
      </c>
      <c r="G446" s="408" t="s">
        <v>716</v>
      </c>
      <c r="H446" s="403" t="s">
        <v>2824</v>
      </c>
      <c r="I446" s="393" t="e">
        <f t="shared" ca="1" si="18"/>
        <v>#VALUE!</v>
      </c>
      <c r="J446" s="401"/>
      <c r="K446" s="401" t="s">
        <v>2841</v>
      </c>
      <c r="L446" s="393" t="s">
        <v>2842</v>
      </c>
      <c r="M446" s="401" t="s">
        <v>845</v>
      </c>
      <c r="N446" s="393"/>
      <c r="O446" s="393"/>
      <c r="P446" s="404"/>
      <c r="Q446" s="401"/>
      <c r="R446" s="401"/>
    </row>
    <row r="447" spans="1:18" ht="20.25" customHeight="1">
      <c r="A447" s="401"/>
      <c r="B447" s="497" t="s">
        <v>2522</v>
      </c>
      <c r="C447" s="508"/>
      <c r="D447" s="496">
        <v>2025213947</v>
      </c>
      <c r="E447" s="393"/>
      <c r="F447" s="393" t="s">
        <v>634</v>
      </c>
      <c r="G447" s="408"/>
      <c r="H447" s="403"/>
      <c r="I447" s="393" t="str">
        <f t="shared" ca="1" si="18"/>
        <v/>
      </c>
      <c r="J447" s="401"/>
      <c r="K447" s="454" t="s">
        <v>1764</v>
      </c>
      <c r="L447" s="401" t="s">
        <v>1765</v>
      </c>
      <c r="M447" s="401" t="s">
        <v>791</v>
      </c>
      <c r="N447" s="393"/>
      <c r="O447" s="393"/>
      <c r="P447" s="404"/>
      <c r="Q447" s="401"/>
      <c r="R447" s="401"/>
    </row>
    <row r="448" spans="1:18" ht="20.25" customHeight="1">
      <c r="A448" s="401"/>
      <c r="B448" s="497"/>
      <c r="C448" s="508"/>
      <c r="D448" s="496">
        <v>2025213947</v>
      </c>
      <c r="E448" s="393"/>
      <c r="F448" s="393" t="s">
        <v>631</v>
      </c>
      <c r="G448" s="408"/>
      <c r="H448" s="403"/>
      <c r="I448" s="393" t="str">
        <f t="shared" ca="1" si="18"/>
        <v/>
      </c>
      <c r="J448" s="401"/>
      <c r="K448" s="454" t="s">
        <v>1766</v>
      </c>
      <c r="L448" s="401" t="s">
        <v>1767</v>
      </c>
      <c r="M448" s="401" t="s">
        <v>963</v>
      </c>
      <c r="N448" s="393"/>
      <c r="O448" s="393"/>
      <c r="P448" s="404"/>
      <c r="Q448" s="401"/>
      <c r="R448" s="401"/>
    </row>
    <row r="449" spans="1:18" ht="20.25" customHeight="1">
      <c r="A449" s="401"/>
      <c r="B449" s="497" t="s">
        <v>2522</v>
      </c>
      <c r="C449" s="508"/>
      <c r="D449" s="496">
        <v>2025213947</v>
      </c>
      <c r="E449" s="393"/>
      <c r="F449" s="393" t="s">
        <v>638</v>
      </c>
      <c r="G449" s="408"/>
      <c r="H449" s="403"/>
      <c r="I449" s="393" t="str">
        <f t="shared" ca="1" si="18"/>
        <v/>
      </c>
      <c r="J449" s="401"/>
      <c r="K449" s="454" t="s">
        <v>1768</v>
      </c>
      <c r="L449" s="401" t="s">
        <v>1769</v>
      </c>
      <c r="M449" s="401" t="s">
        <v>791</v>
      </c>
      <c r="N449" s="393"/>
      <c r="O449" s="393"/>
      <c r="P449" s="404"/>
      <c r="Q449" s="401"/>
      <c r="R449" s="401"/>
    </row>
    <row r="450" spans="1:18" ht="20.25" customHeight="1">
      <c r="A450" s="401"/>
      <c r="B450" s="497"/>
      <c r="C450" s="508"/>
      <c r="D450" s="496">
        <v>2025213947</v>
      </c>
      <c r="E450" s="393"/>
      <c r="F450" s="393" t="s">
        <v>653</v>
      </c>
      <c r="G450" s="408"/>
      <c r="H450" s="403"/>
      <c r="I450" s="393" t="str">
        <f t="shared" ca="1" si="18"/>
        <v/>
      </c>
      <c r="J450" s="401"/>
      <c r="K450" s="428"/>
      <c r="L450" s="401" t="s">
        <v>1770</v>
      </c>
      <c r="M450" s="401" t="s">
        <v>963</v>
      </c>
      <c r="N450" s="393"/>
      <c r="O450" s="393"/>
      <c r="P450" s="404"/>
      <c r="Q450" s="401"/>
      <c r="R450" s="401"/>
    </row>
    <row r="451" spans="1:18" ht="20.25" customHeight="1">
      <c r="A451" s="401"/>
      <c r="B451" s="505" t="s">
        <v>794</v>
      </c>
      <c r="C451" s="508"/>
      <c r="D451" s="496">
        <v>2025213947</v>
      </c>
      <c r="E451" s="393" t="s">
        <v>41</v>
      </c>
      <c r="F451" s="393" t="s">
        <v>654</v>
      </c>
      <c r="G451" s="408" t="s">
        <v>2316</v>
      </c>
      <c r="H451" s="403"/>
      <c r="I451" s="393" t="str">
        <f t="shared" ca="1" si="18"/>
        <v/>
      </c>
      <c r="J451" s="401"/>
      <c r="K451" s="430" t="s">
        <v>1772</v>
      </c>
      <c r="L451" s="457" t="s">
        <v>1771</v>
      </c>
      <c r="M451" s="401" t="s">
        <v>963</v>
      </c>
      <c r="N451" s="393"/>
      <c r="O451" s="393"/>
      <c r="P451" s="404"/>
      <c r="Q451" s="401"/>
      <c r="R451" s="401"/>
    </row>
    <row r="452" spans="1:18" ht="20.25" customHeight="1">
      <c r="A452" s="401"/>
      <c r="B452" s="497" t="s">
        <v>2843</v>
      </c>
      <c r="C452" s="508"/>
      <c r="D452" s="506">
        <v>2025213937</v>
      </c>
      <c r="E452" s="393"/>
      <c r="F452" s="393" t="s">
        <v>634</v>
      </c>
      <c r="G452" s="408"/>
      <c r="H452" s="403"/>
      <c r="I452" s="393" t="str">
        <f t="shared" ca="1" si="18"/>
        <v/>
      </c>
      <c r="J452" s="401"/>
      <c r="K452" s="454" t="s">
        <v>1773</v>
      </c>
      <c r="L452" s="401" t="s">
        <v>1774</v>
      </c>
      <c r="M452" s="401" t="s">
        <v>1570</v>
      </c>
      <c r="N452" s="393"/>
      <c r="O452" s="393"/>
      <c r="P452" s="404"/>
      <c r="Q452" s="401"/>
      <c r="R452" s="401"/>
    </row>
    <row r="453" spans="1:18" ht="20.25" customHeight="1">
      <c r="A453" s="401"/>
      <c r="B453" s="497" t="s">
        <v>2622</v>
      </c>
      <c r="C453" s="508"/>
      <c r="D453" s="496">
        <v>2025213937</v>
      </c>
      <c r="E453" s="393"/>
      <c r="F453" s="393" t="s">
        <v>631</v>
      </c>
      <c r="G453" s="412" t="s">
        <v>706</v>
      </c>
      <c r="H453" s="403"/>
      <c r="I453" s="393" t="str">
        <f t="shared" ca="1" si="18"/>
        <v/>
      </c>
      <c r="J453" s="401"/>
      <c r="K453" s="454" t="s">
        <v>1776</v>
      </c>
      <c r="L453" s="401" t="s">
        <v>1777</v>
      </c>
      <c r="M453" s="401" t="s">
        <v>763</v>
      </c>
      <c r="N453" s="393"/>
      <c r="O453" s="393"/>
      <c r="P453" s="404"/>
      <c r="Q453" s="401"/>
      <c r="R453" s="401"/>
    </row>
    <row r="454" spans="1:18" ht="20.25" customHeight="1">
      <c r="A454" s="401"/>
      <c r="B454" s="497" t="s">
        <v>2622</v>
      </c>
      <c r="C454" s="508"/>
      <c r="D454" s="496">
        <v>2025213937</v>
      </c>
      <c r="E454" s="393"/>
      <c r="F454" s="393" t="s">
        <v>638</v>
      </c>
      <c r="G454" s="408" t="s">
        <v>716</v>
      </c>
      <c r="H454" s="403"/>
      <c r="I454" s="393" t="str">
        <f t="shared" ca="1" si="18"/>
        <v/>
      </c>
      <c r="J454" s="401"/>
      <c r="K454" s="401" t="s">
        <v>66</v>
      </c>
      <c r="L454" s="401" t="s">
        <v>41</v>
      </c>
      <c r="M454" s="401" t="s">
        <v>763</v>
      </c>
      <c r="N454" s="393"/>
      <c r="O454" s="393"/>
      <c r="P454" s="404"/>
      <c r="Q454" s="401"/>
      <c r="R454" s="401"/>
    </row>
    <row r="455" spans="1:18" ht="20.25" customHeight="1">
      <c r="A455" s="401"/>
      <c r="B455" s="497" t="s">
        <v>2622</v>
      </c>
      <c r="C455" s="508"/>
      <c r="D455" s="496">
        <v>2025213937</v>
      </c>
      <c r="E455" s="393"/>
      <c r="F455" s="393" t="s">
        <v>653</v>
      </c>
      <c r="G455" s="412" t="s">
        <v>706</v>
      </c>
      <c r="H455" s="403"/>
      <c r="I455" s="393" t="str">
        <f t="shared" ca="1" si="18"/>
        <v/>
      </c>
      <c r="J455" s="401"/>
      <c r="K455" s="454"/>
      <c r="L455" s="411" t="s">
        <v>1778</v>
      </c>
      <c r="M455" s="401" t="s">
        <v>763</v>
      </c>
      <c r="N455" s="393"/>
      <c r="O455" s="393"/>
      <c r="P455" s="404"/>
      <c r="Q455" s="401"/>
      <c r="R455" s="401"/>
    </row>
    <row r="456" spans="1:18" ht="20.25" customHeight="1">
      <c r="A456" s="401"/>
      <c r="B456" s="505" t="s">
        <v>2834</v>
      </c>
      <c r="C456" s="508"/>
      <c r="D456" s="496">
        <v>2025213937</v>
      </c>
      <c r="E456" s="393" t="s">
        <v>41</v>
      </c>
      <c r="F456" s="393" t="s">
        <v>654</v>
      </c>
      <c r="G456" s="408" t="s">
        <v>2316</v>
      </c>
      <c r="H456" s="403"/>
      <c r="I456" s="393" t="str">
        <f t="shared" ca="1" si="18"/>
        <v/>
      </c>
      <c r="J456" s="401"/>
      <c r="K456" s="430" t="s">
        <v>1781</v>
      </c>
      <c r="L456" s="457" t="s">
        <v>1780</v>
      </c>
      <c r="M456" s="401" t="s">
        <v>763</v>
      </c>
      <c r="N456" s="393"/>
      <c r="O456" s="393"/>
      <c r="P456" s="404"/>
      <c r="Q456" s="401"/>
      <c r="R456" s="401"/>
    </row>
    <row r="457" spans="1:18" ht="20.25" customHeight="1">
      <c r="A457" s="401"/>
      <c r="B457" s="497" t="s">
        <v>2844</v>
      </c>
      <c r="C457" s="508"/>
      <c r="D457" s="496">
        <v>2025213914</v>
      </c>
      <c r="E457" s="393"/>
      <c r="F457" s="393" t="s">
        <v>634</v>
      </c>
      <c r="G457" s="408" t="s">
        <v>721</v>
      </c>
      <c r="H457" s="403"/>
      <c r="I457" s="393" t="str">
        <f t="shared" ca="1" si="18"/>
        <v/>
      </c>
      <c r="J457" s="401"/>
      <c r="K457" s="454" t="s">
        <v>1782</v>
      </c>
      <c r="L457" s="401" t="s">
        <v>1783</v>
      </c>
      <c r="M457" s="401" t="s">
        <v>754</v>
      </c>
      <c r="N457" s="393"/>
      <c r="O457" s="393"/>
      <c r="P457" s="404"/>
      <c r="Q457" s="401"/>
      <c r="R457" s="401"/>
    </row>
    <row r="458" spans="1:18" ht="20.25" customHeight="1">
      <c r="A458" s="401"/>
      <c r="B458" s="497" t="s">
        <v>2844</v>
      </c>
      <c r="C458" s="508"/>
      <c r="D458" s="496">
        <v>2025213914</v>
      </c>
      <c r="E458" s="393"/>
      <c r="F458" s="393" t="s">
        <v>631</v>
      </c>
      <c r="G458" s="408" t="s">
        <v>721</v>
      </c>
      <c r="H458" s="403"/>
      <c r="I458" s="393" t="str">
        <f t="shared" ca="1" si="18"/>
        <v/>
      </c>
      <c r="J458" s="401"/>
      <c r="K458" s="454" t="s">
        <v>527</v>
      </c>
      <c r="L458" s="401" t="s">
        <v>1784</v>
      </c>
      <c r="M458" s="401" t="s">
        <v>754</v>
      </c>
      <c r="N458" s="393"/>
      <c r="O458" s="393"/>
      <c r="P458" s="404"/>
      <c r="Q458" s="401"/>
      <c r="R458" s="401"/>
    </row>
    <row r="459" spans="1:18" ht="20.25" customHeight="1">
      <c r="A459" s="401"/>
      <c r="B459" s="497" t="s">
        <v>2844</v>
      </c>
      <c r="C459" s="508"/>
      <c r="D459" s="496">
        <v>2025213914</v>
      </c>
      <c r="E459" s="393"/>
      <c r="F459" s="393" t="s">
        <v>638</v>
      </c>
      <c r="G459" s="408" t="s">
        <v>721</v>
      </c>
      <c r="H459" s="403"/>
      <c r="I459" s="393" t="str">
        <f t="shared" ca="1" si="18"/>
        <v/>
      </c>
      <c r="J459" s="401"/>
      <c r="K459" s="401" t="s">
        <v>66</v>
      </c>
      <c r="L459" s="401" t="s">
        <v>41</v>
      </c>
      <c r="M459" s="401" t="s">
        <v>754</v>
      </c>
      <c r="N459" s="393"/>
      <c r="O459" s="393"/>
      <c r="P459" s="404"/>
      <c r="Q459" s="401"/>
      <c r="R459" s="401"/>
    </row>
    <row r="460" spans="1:18" ht="20.25" customHeight="1">
      <c r="A460" s="401"/>
      <c r="B460" s="497" t="s">
        <v>2844</v>
      </c>
      <c r="C460" s="508"/>
      <c r="D460" s="496">
        <v>2025213914</v>
      </c>
      <c r="E460" s="393"/>
      <c r="F460" s="393" t="s">
        <v>653</v>
      </c>
      <c r="G460" s="408" t="s">
        <v>721</v>
      </c>
      <c r="H460" s="403"/>
      <c r="I460" s="393" t="str">
        <f t="shared" ca="1" si="18"/>
        <v/>
      </c>
      <c r="J460" s="401"/>
      <c r="K460" s="454"/>
      <c r="L460" s="401" t="s">
        <v>1785</v>
      </c>
      <c r="M460" s="401" t="s">
        <v>754</v>
      </c>
      <c r="N460" s="393"/>
      <c r="O460" s="393"/>
      <c r="P460" s="404"/>
      <c r="Q460" s="401"/>
      <c r="R460" s="401"/>
    </row>
    <row r="461" spans="1:18" ht="20.25" customHeight="1">
      <c r="A461" s="401"/>
      <c r="B461" s="497" t="s">
        <v>2444</v>
      </c>
      <c r="C461" s="508"/>
      <c r="D461" s="496">
        <v>2025213914</v>
      </c>
      <c r="E461" s="393"/>
      <c r="F461" s="393" t="s">
        <v>654</v>
      </c>
      <c r="G461" s="408" t="s">
        <v>716</v>
      </c>
      <c r="H461" s="403" t="s">
        <v>2445</v>
      </c>
      <c r="I461" s="393" t="e">
        <f t="shared" ca="1" si="18"/>
        <v>#VALUE!</v>
      </c>
      <c r="J461" s="401"/>
      <c r="K461" s="411" t="s">
        <v>1787</v>
      </c>
      <c r="L461" s="393" t="s">
        <v>1786</v>
      </c>
      <c r="M461" s="401" t="s">
        <v>754</v>
      </c>
      <c r="N461" s="393"/>
      <c r="O461" s="393"/>
      <c r="P461" s="404"/>
      <c r="Q461" s="401"/>
      <c r="R461" s="401"/>
    </row>
    <row r="462" spans="1:18" ht="20.25" customHeight="1">
      <c r="A462" s="401"/>
      <c r="B462" s="497" t="s">
        <v>2622</v>
      </c>
      <c r="C462" s="508"/>
      <c r="D462" s="496">
        <v>2025213905</v>
      </c>
      <c r="E462" s="393"/>
      <c r="F462" s="393" t="s">
        <v>634</v>
      </c>
      <c r="G462" s="408" t="s">
        <v>716</v>
      </c>
      <c r="H462" s="403"/>
      <c r="I462" s="393" t="str">
        <f t="shared" ca="1" si="18"/>
        <v/>
      </c>
      <c r="J462" s="401"/>
      <c r="K462" s="454" t="s">
        <v>1790</v>
      </c>
      <c r="L462" s="401" t="s">
        <v>1791</v>
      </c>
      <c r="M462" s="401"/>
      <c r="N462" s="393"/>
      <c r="O462" s="393"/>
      <c r="P462" s="404"/>
      <c r="Q462" s="401"/>
      <c r="R462" s="401"/>
    </row>
    <row r="463" spans="1:18" ht="20.25" customHeight="1">
      <c r="A463" s="401"/>
      <c r="B463" s="497" t="s">
        <v>2622</v>
      </c>
      <c r="C463" s="508"/>
      <c r="D463" s="496">
        <v>2025213905</v>
      </c>
      <c r="E463" s="393"/>
      <c r="F463" s="393" t="s">
        <v>631</v>
      </c>
      <c r="G463" s="412" t="s">
        <v>706</v>
      </c>
      <c r="H463" s="403"/>
      <c r="I463" s="393" t="str">
        <f t="shared" ca="1" si="18"/>
        <v/>
      </c>
      <c r="J463" s="401"/>
      <c r="K463" s="454" t="s">
        <v>1790</v>
      </c>
      <c r="L463" s="401" t="s">
        <v>1791</v>
      </c>
      <c r="M463" s="401" t="s">
        <v>763</v>
      </c>
      <c r="N463" s="393"/>
      <c r="O463" s="393"/>
      <c r="P463" s="404"/>
      <c r="Q463" s="401"/>
      <c r="R463" s="401"/>
    </row>
    <row r="464" spans="1:18" ht="20.25" customHeight="1">
      <c r="A464" s="401"/>
      <c r="B464" s="497" t="s">
        <v>2622</v>
      </c>
      <c r="C464" s="508"/>
      <c r="D464" s="496">
        <v>2025213905</v>
      </c>
      <c r="E464" s="393"/>
      <c r="F464" s="393" t="s">
        <v>638</v>
      </c>
      <c r="G464" s="408" t="s">
        <v>716</v>
      </c>
      <c r="H464" s="403"/>
      <c r="I464" s="393" t="str">
        <f t="shared" ca="1" si="18"/>
        <v/>
      </c>
      <c r="J464" s="401"/>
      <c r="K464" s="401" t="s">
        <v>66</v>
      </c>
      <c r="L464" s="401" t="s">
        <v>41</v>
      </c>
      <c r="M464" s="401" t="s">
        <v>763</v>
      </c>
      <c r="N464" s="393"/>
      <c r="O464" s="393"/>
      <c r="P464" s="404"/>
      <c r="Q464" s="401"/>
      <c r="R464" s="401"/>
    </row>
    <row r="465" spans="1:18" ht="20.25" customHeight="1">
      <c r="A465" s="401"/>
      <c r="B465" s="497" t="s">
        <v>2622</v>
      </c>
      <c r="C465" s="508"/>
      <c r="D465" s="496">
        <v>2025213905</v>
      </c>
      <c r="E465" s="393"/>
      <c r="F465" s="393" t="s">
        <v>653</v>
      </c>
      <c r="G465" s="412" t="s">
        <v>706</v>
      </c>
      <c r="H465" s="403"/>
      <c r="I465" s="393" t="str">
        <f t="shared" ca="1" si="18"/>
        <v/>
      </c>
      <c r="J465" s="401"/>
      <c r="K465" s="454" t="s">
        <v>1792</v>
      </c>
      <c r="L465" s="401" t="s">
        <v>1792</v>
      </c>
      <c r="M465" s="401" t="s">
        <v>871</v>
      </c>
      <c r="N465" s="393"/>
      <c r="O465" s="393"/>
      <c r="P465" s="404"/>
      <c r="Q465" s="401"/>
      <c r="R465" s="401"/>
    </row>
    <row r="466" spans="1:18" ht="20.25" customHeight="1">
      <c r="A466" s="401"/>
      <c r="B466" s="497" t="s">
        <v>2716</v>
      </c>
      <c r="C466" s="508"/>
      <c r="D466" s="496">
        <v>2025213905</v>
      </c>
      <c r="E466" s="393"/>
      <c r="F466" s="393" t="s">
        <v>654</v>
      </c>
      <c r="G466" s="408" t="s">
        <v>716</v>
      </c>
      <c r="H466" s="403" t="s">
        <v>2445</v>
      </c>
      <c r="I466" s="393" t="e">
        <f t="shared" ca="1" si="18"/>
        <v>#VALUE!</v>
      </c>
      <c r="J466" s="401"/>
      <c r="K466" s="411" t="s">
        <v>1794</v>
      </c>
      <c r="L466" s="393" t="s">
        <v>1793</v>
      </c>
      <c r="M466" s="401" t="s">
        <v>871</v>
      </c>
      <c r="N466" s="393"/>
      <c r="O466" s="393"/>
      <c r="P466" s="404"/>
      <c r="Q466" s="401"/>
      <c r="R466" s="401"/>
    </row>
    <row r="467" spans="1:18" ht="20.25" customHeight="1">
      <c r="A467" s="401"/>
      <c r="B467" s="497" t="s">
        <v>2845</v>
      </c>
      <c r="C467" s="508"/>
      <c r="D467" s="496">
        <v>2025213901</v>
      </c>
      <c r="E467" s="393"/>
      <c r="F467" s="393" t="s">
        <v>634</v>
      </c>
      <c r="G467" s="408" t="s">
        <v>721</v>
      </c>
      <c r="H467" s="403"/>
      <c r="I467" s="393" t="str">
        <f t="shared" ca="1" si="18"/>
        <v/>
      </c>
      <c r="J467" s="401"/>
      <c r="K467" s="428" t="s">
        <v>1795</v>
      </c>
      <c r="L467" s="401" t="s">
        <v>1796</v>
      </c>
      <c r="M467" s="401" t="s">
        <v>754</v>
      </c>
      <c r="N467" s="393"/>
      <c r="O467" s="393"/>
      <c r="P467" s="404"/>
      <c r="Q467" s="401"/>
      <c r="R467" s="401"/>
    </row>
    <row r="468" spans="1:18" ht="20.25" customHeight="1">
      <c r="A468" s="401"/>
      <c r="B468" s="497" t="s">
        <v>2845</v>
      </c>
      <c r="C468" s="508"/>
      <c r="D468" s="496">
        <v>2025213901</v>
      </c>
      <c r="E468" s="393"/>
      <c r="F468" s="393" t="s">
        <v>631</v>
      </c>
      <c r="G468" s="408" t="s">
        <v>721</v>
      </c>
      <c r="H468" s="403"/>
      <c r="I468" s="393" t="str">
        <f t="shared" ca="1" si="18"/>
        <v/>
      </c>
      <c r="J468" s="401"/>
      <c r="K468" s="454" t="s">
        <v>1797</v>
      </c>
      <c r="L468" s="401" t="s">
        <v>1798</v>
      </c>
      <c r="M468" s="401" t="s">
        <v>754</v>
      </c>
      <c r="N468" s="393"/>
      <c r="O468" s="393"/>
      <c r="P468" s="404"/>
      <c r="Q468" s="401"/>
      <c r="R468" s="401"/>
    </row>
    <row r="469" spans="1:18" ht="20.25" customHeight="1">
      <c r="A469" s="401"/>
      <c r="B469" s="497" t="s">
        <v>2845</v>
      </c>
      <c r="C469" s="508"/>
      <c r="D469" s="496">
        <v>2025213901</v>
      </c>
      <c r="E469" s="393"/>
      <c r="F469" s="393" t="s">
        <v>638</v>
      </c>
      <c r="G469" s="408" t="s">
        <v>721</v>
      </c>
      <c r="H469" s="403"/>
      <c r="I469" s="393" t="str">
        <f t="shared" ca="1" si="18"/>
        <v/>
      </c>
      <c r="J469" s="401"/>
      <c r="K469" s="401" t="s">
        <v>66</v>
      </c>
      <c r="L469" s="401" t="s">
        <v>41</v>
      </c>
      <c r="M469" s="401" t="s">
        <v>754</v>
      </c>
      <c r="N469" s="393"/>
      <c r="O469" s="393"/>
      <c r="P469" s="404"/>
      <c r="Q469" s="401"/>
      <c r="R469" s="401"/>
    </row>
    <row r="470" spans="1:18" ht="20.25" customHeight="1">
      <c r="A470" s="401"/>
      <c r="B470" s="497" t="s">
        <v>2845</v>
      </c>
      <c r="C470" s="508"/>
      <c r="D470" s="496">
        <v>2025213901</v>
      </c>
      <c r="E470" s="393"/>
      <c r="F470" s="393" t="s">
        <v>653</v>
      </c>
      <c r="G470" s="408" t="s">
        <v>721</v>
      </c>
      <c r="H470" s="403"/>
      <c r="I470" s="393" t="str">
        <f t="shared" ca="1" si="18"/>
        <v/>
      </c>
      <c r="J470" s="401"/>
      <c r="K470" s="428"/>
      <c r="L470" s="401" t="s">
        <v>1799</v>
      </c>
      <c r="M470" s="401" t="s">
        <v>754</v>
      </c>
      <c r="N470" s="393"/>
      <c r="O470" s="393"/>
      <c r="P470" s="404"/>
      <c r="Q470" s="401"/>
      <c r="R470" s="401"/>
    </row>
    <row r="471" spans="1:18" ht="20.25" customHeight="1">
      <c r="A471" s="401"/>
      <c r="B471" s="497" t="s">
        <v>2846</v>
      </c>
      <c r="C471" s="508"/>
      <c r="D471" s="496">
        <v>2025213901</v>
      </c>
      <c r="E471" s="393"/>
      <c r="F471" s="393" t="s">
        <v>654</v>
      </c>
      <c r="G471" s="408" t="s">
        <v>2311</v>
      </c>
      <c r="H471" s="403" t="s">
        <v>2445</v>
      </c>
      <c r="I471" s="393" t="e">
        <f t="shared" ca="1" si="18"/>
        <v>#VALUE!</v>
      </c>
      <c r="J471" s="401"/>
      <c r="K471" s="411" t="s">
        <v>1801</v>
      </c>
      <c r="L471" s="393" t="s">
        <v>1800</v>
      </c>
      <c r="M471" s="401" t="s">
        <v>754</v>
      </c>
      <c r="N471" s="393"/>
      <c r="O471" s="393"/>
      <c r="P471" s="404"/>
      <c r="Q471" s="401"/>
      <c r="R471" s="401"/>
    </row>
    <row r="472" spans="1:18" ht="20.25" customHeight="1">
      <c r="A472" s="401"/>
      <c r="B472" s="497" t="s">
        <v>2845</v>
      </c>
      <c r="C472" s="508"/>
      <c r="D472" s="506">
        <v>2025213898</v>
      </c>
      <c r="E472" s="393"/>
      <c r="F472" s="393" t="s">
        <v>634</v>
      </c>
      <c r="G472" s="408" t="s">
        <v>721</v>
      </c>
      <c r="H472" s="403"/>
      <c r="I472" s="393" t="str">
        <f t="shared" ca="1" si="18"/>
        <v/>
      </c>
      <c r="J472" s="401"/>
      <c r="K472" s="454" t="s">
        <v>1802</v>
      </c>
      <c r="L472" s="401" t="s">
        <v>1803</v>
      </c>
      <c r="M472" s="401" t="s">
        <v>754</v>
      </c>
      <c r="N472" s="393"/>
      <c r="O472" s="393"/>
      <c r="P472" s="404"/>
      <c r="Q472" s="401"/>
      <c r="R472" s="401"/>
    </row>
    <row r="473" spans="1:18" ht="20.25" customHeight="1">
      <c r="A473" s="401"/>
      <c r="B473" s="497" t="s">
        <v>2845</v>
      </c>
      <c r="C473" s="508"/>
      <c r="D473" s="506">
        <v>2025213898</v>
      </c>
      <c r="E473" s="393"/>
      <c r="F473" s="393" t="s">
        <v>631</v>
      </c>
      <c r="G473" s="408" t="s">
        <v>721</v>
      </c>
      <c r="H473" s="403"/>
      <c r="I473" s="393" t="str">
        <f t="shared" ca="1" si="18"/>
        <v/>
      </c>
      <c r="J473" s="401"/>
      <c r="K473" s="454" t="s">
        <v>1804</v>
      </c>
      <c r="L473" s="401" t="s">
        <v>1805</v>
      </c>
      <c r="M473" s="401" t="s">
        <v>754</v>
      </c>
      <c r="N473" s="393"/>
      <c r="O473" s="393"/>
      <c r="P473" s="404"/>
      <c r="Q473" s="401"/>
      <c r="R473" s="401"/>
    </row>
    <row r="474" spans="1:18" ht="20.25" customHeight="1">
      <c r="A474" s="401"/>
      <c r="B474" s="497" t="s">
        <v>2845</v>
      </c>
      <c r="C474" s="508"/>
      <c r="D474" s="506">
        <v>2025213898</v>
      </c>
      <c r="E474" s="393"/>
      <c r="F474" s="393" t="s">
        <v>638</v>
      </c>
      <c r="G474" s="408" t="s">
        <v>721</v>
      </c>
      <c r="H474" s="403"/>
      <c r="I474" s="393" t="str">
        <f t="shared" ca="1" si="18"/>
        <v/>
      </c>
      <c r="J474" s="401"/>
      <c r="K474" s="401" t="s">
        <v>66</v>
      </c>
      <c r="L474" s="401" t="s">
        <v>41</v>
      </c>
      <c r="M474" s="401" t="s">
        <v>754</v>
      </c>
      <c r="N474" s="393"/>
      <c r="O474" s="393"/>
      <c r="P474" s="404"/>
      <c r="Q474" s="401"/>
      <c r="R474" s="401"/>
    </row>
    <row r="475" spans="1:18" ht="20.25" customHeight="1">
      <c r="A475" s="401"/>
      <c r="B475" s="497" t="s">
        <v>2845</v>
      </c>
      <c r="C475" s="508"/>
      <c r="D475" s="506">
        <v>2025213898</v>
      </c>
      <c r="E475" s="393"/>
      <c r="F475" s="393" t="s">
        <v>653</v>
      </c>
      <c r="G475" s="408" t="s">
        <v>721</v>
      </c>
      <c r="H475" s="403"/>
      <c r="I475" s="393" t="str">
        <f t="shared" ref="I475:I503" ca="1" si="19">IF(H475="", "", IF(OR(G475="Completed", G475="STOP"), IF(J475="", "", J475-H475), TODAY()-H475))</f>
        <v/>
      </c>
      <c r="J475" s="401"/>
      <c r="K475" s="428"/>
      <c r="L475" s="401" t="s">
        <v>1806</v>
      </c>
      <c r="M475" s="401" t="s">
        <v>754</v>
      </c>
      <c r="N475" s="393"/>
      <c r="O475" s="393"/>
      <c r="P475" s="404"/>
      <c r="Q475" s="401"/>
      <c r="R475" s="401"/>
    </row>
    <row r="476" spans="1:18" ht="20.25" customHeight="1">
      <c r="A476" s="401"/>
      <c r="B476" s="497" t="s">
        <v>2846</v>
      </c>
      <c r="C476" s="508"/>
      <c r="D476" s="506">
        <v>2025213898</v>
      </c>
      <c r="E476" s="393"/>
      <c r="F476" s="393" t="s">
        <v>654</v>
      </c>
      <c r="G476" s="408" t="s">
        <v>721</v>
      </c>
      <c r="H476" s="403" t="s">
        <v>2445</v>
      </c>
      <c r="I476" s="393" t="e">
        <f t="shared" ca="1" si="19"/>
        <v>#VALUE!</v>
      </c>
      <c r="J476" s="401"/>
      <c r="K476" s="411" t="s">
        <v>1801</v>
      </c>
      <c r="L476" s="393" t="s">
        <v>1807</v>
      </c>
      <c r="M476" s="401" t="s">
        <v>754</v>
      </c>
      <c r="N476" s="393"/>
      <c r="O476" s="393"/>
      <c r="P476" s="404"/>
      <c r="Q476" s="401"/>
      <c r="R476" s="401"/>
    </row>
    <row r="477" spans="1:18" ht="20.25" customHeight="1">
      <c r="A477" s="401"/>
      <c r="B477" s="497" t="s">
        <v>2845</v>
      </c>
      <c r="C477" s="508"/>
      <c r="D477" s="496">
        <v>2025213881</v>
      </c>
      <c r="E477" s="393"/>
      <c r="F477" s="393" t="s">
        <v>634</v>
      </c>
      <c r="G477" s="408" t="s">
        <v>721</v>
      </c>
      <c r="H477" s="403"/>
      <c r="I477" s="393" t="str">
        <f t="shared" ca="1" si="19"/>
        <v/>
      </c>
      <c r="J477" s="401"/>
      <c r="K477" s="428" t="s">
        <v>1808</v>
      </c>
      <c r="L477" s="401" t="s">
        <v>1809</v>
      </c>
      <c r="M477" s="401" t="s">
        <v>754</v>
      </c>
      <c r="N477" s="393"/>
      <c r="O477" s="393"/>
      <c r="P477" s="404"/>
      <c r="Q477" s="401"/>
      <c r="R477" s="401"/>
    </row>
    <row r="478" spans="1:18" ht="20.25" customHeight="1">
      <c r="A478" s="467"/>
      <c r="B478" s="497" t="s">
        <v>2845</v>
      </c>
      <c r="C478" s="534"/>
      <c r="D478" s="511">
        <v>2025213881</v>
      </c>
      <c r="E478" s="394"/>
      <c r="F478" s="394" t="s">
        <v>631</v>
      </c>
      <c r="G478" s="408" t="s">
        <v>721</v>
      </c>
      <c r="H478" s="468"/>
      <c r="I478" s="394" t="str">
        <f t="shared" ca="1" si="19"/>
        <v/>
      </c>
      <c r="J478" s="467"/>
      <c r="K478" s="475" t="s">
        <v>1810</v>
      </c>
      <c r="L478" s="401" t="s">
        <v>1811</v>
      </c>
      <c r="M478" s="401" t="s">
        <v>754</v>
      </c>
      <c r="N478" s="394"/>
      <c r="O478" s="394"/>
      <c r="P478" s="469"/>
      <c r="Q478" s="401"/>
      <c r="R478" s="401"/>
    </row>
    <row r="479" spans="1:18" ht="20.25" customHeight="1">
      <c r="A479" s="401"/>
      <c r="B479" s="497" t="s">
        <v>2845</v>
      </c>
      <c r="C479" s="508"/>
      <c r="D479" s="496">
        <v>2025213881</v>
      </c>
      <c r="E479" s="393"/>
      <c r="F479" s="393" t="s">
        <v>653</v>
      </c>
      <c r="G479" s="408" t="s">
        <v>721</v>
      </c>
      <c r="H479" s="403"/>
      <c r="I479" s="393" t="str">
        <f t="shared" ca="1" si="19"/>
        <v/>
      </c>
      <c r="J479" s="401"/>
      <c r="K479" s="454"/>
      <c r="L479" s="401" t="s">
        <v>1812</v>
      </c>
      <c r="M479" s="401" t="s">
        <v>754</v>
      </c>
      <c r="N479" s="393"/>
      <c r="O479" s="393"/>
      <c r="P479" s="401"/>
      <c r="Q479" s="401"/>
      <c r="R479" s="401"/>
    </row>
    <row r="480" spans="1:18" ht="20.25" customHeight="1">
      <c r="A480" s="401"/>
      <c r="B480" s="497" t="s">
        <v>2846</v>
      </c>
      <c r="C480" s="508"/>
      <c r="D480" s="496">
        <v>2025213881</v>
      </c>
      <c r="E480" s="393"/>
      <c r="F480" s="393" t="s">
        <v>654</v>
      </c>
      <c r="G480" s="408" t="s">
        <v>2311</v>
      </c>
      <c r="H480" s="403" t="s">
        <v>2445</v>
      </c>
      <c r="I480" s="393" t="e">
        <f t="shared" ca="1" si="19"/>
        <v>#VALUE!</v>
      </c>
      <c r="J480" s="401"/>
      <c r="K480" s="411" t="s">
        <v>1814</v>
      </c>
      <c r="L480" s="393" t="s">
        <v>1813</v>
      </c>
      <c r="M480" s="401" t="s">
        <v>754</v>
      </c>
      <c r="N480" s="393"/>
      <c r="O480" s="393"/>
      <c r="P480" s="401"/>
      <c r="Q480" s="401"/>
      <c r="R480" s="401"/>
    </row>
    <row r="481" spans="1:18" ht="20.25" customHeight="1">
      <c r="A481" s="401"/>
      <c r="B481" s="497" t="s">
        <v>2847</v>
      </c>
      <c r="C481" s="508"/>
      <c r="D481" s="496">
        <v>2025213869</v>
      </c>
      <c r="E481" s="393"/>
      <c r="F481" s="393" t="s">
        <v>634</v>
      </c>
      <c r="G481" s="408" t="s">
        <v>721</v>
      </c>
      <c r="H481" s="403"/>
      <c r="I481" s="393" t="str">
        <f t="shared" ca="1" si="19"/>
        <v/>
      </c>
      <c r="J481" s="401"/>
      <c r="K481" s="454" t="s">
        <v>1815</v>
      </c>
      <c r="L481" s="401" t="s">
        <v>1816</v>
      </c>
      <c r="M481" s="401" t="s">
        <v>754</v>
      </c>
      <c r="N481" s="393"/>
      <c r="O481" s="393"/>
      <c r="P481" s="401"/>
      <c r="Q481" s="401"/>
      <c r="R481" s="401"/>
    </row>
    <row r="482" spans="1:18" ht="20.25" customHeight="1">
      <c r="A482" s="401"/>
      <c r="B482" s="497" t="s">
        <v>2847</v>
      </c>
      <c r="C482" s="508"/>
      <c r="D482" s="496">
        <v>2025213869</v>
      </c>
      <c r="E482" s="401"/>
      <c r="F482" s="393" t="s">
        <v>631</v>
      </c>
      <c r="G482" s="408" t="s">
        <v>721</v>
      </c>
      <c r="H482" s="403"/>
      <c r="I482" s="393" t="str">
        <f t="shared" ca="1" si="19"/>
        <v/>
      </c>
      <c r="J482" s="401"/>
      <c r="K482" s="454" t="s">
        <v>1817</v>
      </c>
      <c r="L482" s="401" t="s">
        <v>1818</v>
      </c>
      <c r="M482" s="401" t="s">
        <v>754</v>
      </c>
      <c r="N482" s="393"/>
      <c r="O482" s="393"/>
      <c r="P482" s="401"/>
      <c r="Q482" s="401"/>
      <c r="R482" s="401"/>
    </row>
    <row r="483" spans="1:18" ht="20.25" customHeight="1">
      <c r="A483" s="401"/>
      <c r="B483" s="497" t="s">
        <v>2847</v>
      </c>
      <c r="C483" s="508"/>
      <c r="D483" s="496">
        <v>2025213869</v>
      </c>
      <c r="E483" s="401"/>
      <c r="F483" s="393" t="s">
        <v>638</v>
      </c>
      <c r="G483" s="408" t="s">
        <v>721</v>
      </c>
      <c r="H483" s="403"/>
      <c r="I483" s="393" t="str">
        <f t="shared" ca="1" si="19"/>
        <v/>
      </c>
      <c r="J483" s="401"/>
      <c r="K483" s="455" t="s">
        <v>41</v>
      </c>
      <c r="L483" s="401" t="s">
        <v>41</v>
      </c>
      <c r="M483" s="401" t="s">
        <v>754</v>
      </c>
      <c r="N483" s="393"/>
      <c r="O483" s="393"/>
      <c r="P483" s="401"/>
      <c r="Q483" s="401"/>
      <c r="R483" s="401"/>
    </row>
    <row r="484" spans="1:18" ht="20.25" customHeight="1">
      <c r="A484" s="401"/>
      <c r="B484" s="497" t="s">
        <v>2847</v>
      </c>
      <c r="C484" s="508"/>
      <c r="D484" s="496">
        <v>2025213869</v>
      </c>
      <c r="E484" s="401"/>
      <c r="F484" s="393" t="s">
        <v>653</v>
      </c>
      <c r="G484" s="408" t="s">
        <v>721</v>
      </c>
      <c r="H484" s="403"/>
      <c r="I484" s="393" t="str">
        <f t="shared" ca="1" si="19"/>
        <v/>
      </c>
      <c r="J484" s="401"/>
      <c r="K484" s="454"/>
      <c r="L484" s="401" t="s">
        <v>1819</v>
      </c>
      <c r="M484" s="401" t="s">
        <v>754</v>
      </c>
      <c r="N484" s="393"/>
      <c r="O484" s="393"/>
      <c r="P484" s="401"/>
      <c r="Q484" s="401"/>
      <c r="R484" s="401"/>
    </row>
    <row r="485" spans="1:18" ht="20.25" customHeight="1">
      <c r="A485" s="401"/>
      <c r="B485" s="497" t="s">
        <v>2846</v>
      </c>
      <c r="C485" s="508"/>
      <c r="D485" s="496">
        <v>2025213869</v>
      </c>
      <c r="E485" s="401"/>
      <c r="F485" s="393" t="s">
        <v>654</v>
      </c>
      <c r="G485" s="408" t="s">
        <v>2311</v>
      </c>
      <c r="H485" s="403" t="s">
        <v>2445</v>
      </c>
      <c r="I485" s="393" t="e">
        <f t="shared" ca="1" si="19"/>
        <v>#VALUE!</v>
      </c>
      <c r="J485" s="401"/>
      <c r="K485" s="411" t="s">
        <v>1821</v>
      </c>
      <c r="L485" s="393" t="s">
        <v>1820</v>
      </c>
      <c r="M485" s="401" t="s">
        <v>754</v>
      </c>
      <c r="N485" s="393"/>
      <c r="O485" s="393"/>
      <c r="P485" s="401"/>
      <c r="Q485" s="401"/>
      <c r="R485" s="401"/>
    </row>
    <row r="486" spans="1:18" ht="20.25" customHeight="1">
      <c r="A486" s="401"/>
      <c r="B486" s="497" t="s">
        <v>2848</v>
      </c>
      <c r="C486" s="508"/>
      <c r="D486" s="496">
        <v>2025213864</v>
      </c>
      <c r="E486" s="393"/>
      <c r="F486" s="393" t="s">
        <v>634</v>
      </c>
      <c r="G486" s="408" t="s">
        <v>721</v>
      </c>
      <c r="H486" s="403"/>
      <c r="I486" s="393" t="str">
        <f t="shared" ca="1" si="19"/>
        <v/>
      </c>
      <c r="J486" s="401"/>
      <c r="K486" s="454" t="s">
        <v>1822</v>
      </c>
      <c r="L486" s="401" t="s">
        <v>1823</v>
      </c>
      <c r="M486" s="401" t="s">
        <v>754</v>
      </c>
      <c r="N486" s="393"/>
      <c r="O486" s="393"/>
      <c r="P486" s="401"/>
      <c r="Q486" s="401"/>
      <c r="R486" s="401"/>
    </row>
    <row r="487" spans="1:18" ht="20.25" customHeight="1">
      <c r="A487" s="401"/>
      <c r="B487" s="497" t="s">
        <v>2848</v>
      </c>
      <c r="C487" s="508"/>
      <c r="D487" s="496">
        <v>2025213864</v>
      </c>
      <c r="E487" s="393"/>
      <c r="F487" s="393" t="s">
        <v>631</v>
      </c>
      <c r="G487" s="408" t="s">
        <v>721</v>
      </c>
      <c r="H487" s="403"/>
      <c r="I487" s="393" t="str">
        <f t="shared" ca="1" si="19"/>
        <v/>
      </c>
      <c r="J487" s="401"/>
      <c r="K487" s="454" t="s">
        <v>545</v>
      </c>
      <c r="L487" s="401" t="s">
        <v>1824</v>
      </c>
      <c r="M487" s="401" t="s">
        <v>754</v>
      </c>
      <c r="N487" s="393"/>
      <c r="O487" s="393"/>
      <c r="P487" s="401"/>
      <c r="Q487" s="401"/>
      <c r="R487" s="401"/>
    </row>
    <row r="488" spans="1:18" ht="20.25" customHeight="1">
      <c r="A488" s="401"/>
      <c r="B488" s="497" t="s">
        <v>2848</v>
      </c>
      <c r="C488" s="508"/>
      <c r="D488" s="496">
        <v>2025213864</v>
      </c>
      <c r="E488" s="393"/>
      <c r="F488" s="393" t="s">
        <v>638</v>
      </c>
      <c r="G488" s="408" t="s">
        <v>721</v>
      </c>
      <c r="H488" s="403"/>
      <c r="I488" s="393" t="str">
        <f t="shared" ca="1" si="19"/>
        <v/>
      </c>
      <c r="J488" s="401"/>
      <c r="K488" s="455" t="s">
        <v>41</v>
      </c>
      <c r="L488" s="401" t="s">
        <v>41</v>
      </c>
      <c r="M488" s="401" t="s">
        <v>754</v>
      </c>
      <c r="N488" s="393"/>
      <c r="O488" s="393"/>
      <c r="P488" s="401"/>
      <c r="Q488" s="401"/>
      <c r="R488" s="401"/>
    </row>
    <row r="489" spans="1:18" ht="20.25" customHeight="1">
      <c r="A489" s="401"/>
      <c r="B489" s="497" t="s">
        <v>2848</v>
      </c>
      <c r="C489" s="508"/>
      <c r="D489" s="496">
        <v>2025213864</v>
      </c>
      <c r="E489" s="393"/>
      <c r="F489" s="393" t="s">
        <v>653</v>
      </c>
      <c r="G489" s="408" t="s">
        <v>721</v>
      </c>
      <c r="H489" s="403"/>
      <c r="I489" s="393" t="str">
        <f t="shared" ca="1" si="19"/>
        <v/>
      </c>
      <c r="J489" s="401"/>
      <c r="K489" s="454"/>
      <c r="L489" s="401" t="s">
        <v>1825</v>
      </c>
      <c r="M489" s="401" t="s">
        <v>754</v>
      </c>
      <c r="N489" s="393"/>
      <c r="O489" s="393"/>
      <c r="P489" s="401"/>
      <c r="Q489" s="401"/>
      <c r="R489" s="401"/>
    </row>
    <row r="490" spans="1:18" ht="20.25" customHeight="1">
      <c r="A490" s="401"/>
      <c r="B490" s="497" t="s">
        <v>2846</v>
      </c>
      <c r="C490" s="508"/>
      <c r="D490" s="496">
        <v>2025213864</v>
      </c>
      <c r="E490" s="393"/>
      <c r="F490" s="393" t="s">
        <v>654</v>
      </c>
      <c r="G490" s="408" t="s">
        <v>721</v>
      </c>
      <c r="H490" s="403" t="s">
        <v>2445</v>
      </c>
      <c r="I490" s="393" t="e">
        <f t="shared" ca="1" si="19"/>
        <v>#VALUE!</v>
      </c>
      <c r="J490" s="401"/>
      <c r="K490" s="411" t="s">
        <v>1827</v>
      </c>
      <c r="L490" s="393" t="s">
        <v>1826</v>
      </c>
      <c r="M490" s="401" t="s">
        <v>754</v>
      </c>
      <c r="N490" s="393"/>
      <c r="O490" s="393"/>
      <c r="P490" s="401"/>
      <c r="Q490" s="401"/>
      <c r="R490" s="401"/>
    </row>
    <row r="491" spans="1:18" ht="20.25" customHeight="1">
      <c r="A491" s="401"/>
      <c r="B491" s="497" t="s">
        <v>2847</v>
      </c>
      <c r="C491" s="508"/>
      <c r="D491" s="496">
        <v>2025213860</v>
      </c>
      <c r="E491" s="393"/>
      <c r="F491" s="393" t="s">
        <v>634</v>
      </c>
      <c r="G491" s="408" t="s">
        <v>721</v>
      </c>
      <c r="H491" s="403"/>
      <c r="I491" s="393" t="str">
        <f t="shared" ca="1" si="19"/>
        <v/>
      </c>
      <c r="J491" s="401"/>
      <c r="K491" s="454" t="s">
        <v>1828</v>
      </c>
      <c r="L491" s="401" t="s">
        <v>1829</v>
      </c>
      <c r="M491" s="401" t="s">
        <v>754</v>
      </c>
      <c r="N491" s="393"/>
      <c r="O491" s="393"/>
      <c r="P491" s="401"/>
      <c r="Q491" s="401"/>
      <c r="R491" s="401"/>
    </row>
    <row r="492" spans="1:18" ht="20.25" customHeight="1">
      <c r="A492" s="401"/>
      <c r="B492" s="497" t="s">
        <v>2847</v>
      </c>
      <c r="C492" s="508"/>
      <c r="D492" s="496">
        <v>2025213860</v>
      </c>
      <c r="E492" s="393"/>
      <c r="F492" s="393" t="s">
        <v>631</v>
      </c>
      <c r="G492" s="408" t="s">
        <v>721</v>
      </c>
      <c r="H492" s="403"/>
      <c r="I492" s="393" t="str">
        <f t="shared" ca="1" si="19"/>
        <v/>
      </c>
      <c r="J492" s="401"/>
      <c r="K492" s="454" t="s">
        <v>1830</v>
      </c>
      <c r="L492" s="401" t="s">
        <v>1831</v>
      </c>
      <c r="M492" s="401" t="s">
        <v>754</v>
      </c>
      <c r="N492" s="393"/>
      <c r="O492" s="393"/>
      <c r="P492" s="401"/>
      <c r="Q492" s="401"/>
      <c r="R492" s="401"/>
    </row>
    <row r="493" spans="1:18" ht="20.25" customHeight="1">
      <c r="A493" s="401"/>
      <c r="B493" s="497" t="s">
        <v>2847</v>
      </c>
      <c r="C493" s="508"/>
      <c r="D493" s="496">
        <v>2025213860</v>
      </c>
      <c r="E493" s="393"/>
      <c r="F493" s="393" t="s">
        <v>638</v>
      </c>
      <c r="G493" s="408" t="s">
        <v>721</v>
      </c>
      <c r="H493" s="403"/>
      <c r="I493" s="393" t="str">
        <f t="shared" ca="1" si="19"/>
        <v/>
      </c>
      <c r="J493" s="401"/>
      <c r="K493" s="455" t="s">
        <v>41</v>
      </c>
      <c r="L493" s="401" t="s">
        <v>41</v>
      </c>
      <c r="M493" s="401" t="s">
        <v>754</v>
      </c>
      <c r="N493" s="393"/>
      <c r="O493" s="393"/>
      <c r="P493" s="401"/>
      <c r="Q493" s="401"/>
      <c r="R493" s="401"/>
    </row>
    <row r="494" spans="1:18" ht="20.25" customHeight="1">
      <c r="A494" s="401"/>
      <c r="B494" s="497" t="s">
        <v>2847</v>
      </c>
      <c r="C494" s="508"/>
      <c r="D494" s="496">
        <v>2025213860</v>
      </c>
      <c r="E494" s="393"/>
      <c r="F494" s="393" t="s">
        <v>653</v>
      </c>
      <c r="G494" s="408" t="s">
        <v>721</v>
      </c>
      <c r="H494" s="403"/>
      <c r="I494" s="393" t="str">
        <f t="shared" ca="1" si="19"/>
        <v/>
      </c>
      <c r="J494" s="401"/>
      <c r="K494" s="428"/>
      <c r="L494" s="401" t="s">
        <v>1832</v>
      </c>
      <c r="M494" s="401" t="s">
        <v>754</v>
      </c>
      <c r="N494" s="393"/>
      <c r="O494" s="393"/>
      <c r="P494" s="401"/>
      <c r="Q494" s="401"/>
      <c r="R494" s="401"/>
    </row>
    <row r="495" spans="1:18" ht="20.25" customHeight="1">
      <c r="A495" s="401"/>
      <c r="B495" s="497" t="s">
        <v>2846</v>
      </c>
      <c r="C495" s="508"/>
      <c r="D495" s="496">
        <v>2025213860</v>
      </c>
      <c r="E495" s="393"/>
      <c r="F495" s="393" t="s">
        <v>654</v>
      </c>
      <c r="G495" s="408" t="s">
        <v>721</v>
      </c>
      <c r="H495" s="403" t="s">
        <v>2445</v>
      </c>
      <c r="I495" s="393" t="e">
        <f t="shared" ca="1" si="19"/>
        <v>#VALUE!</v>
      </c>
      <c r="J495" s="401"/>
      <c r="K495" s="428" t="s">
        <v>1834</v>
      </c>
      <c r="L495" s="393" t="s">
        <v>1833</v>
      </c>
      <c r="M495" s="401" t="s">
        <v>754</v>
      </c>
      <c r="N495" s="393"/>
      <c r="O495" s="393"/>
      <c r="P495" s="401"/>
      <c r="Q495" s="401"/>
      <c r="R495" s="401"/>
    </row>
    <row r="496" spans="1:18" ht="20.25" customHeight="1">
      <c r="A496" s="401"/>
      <c r="B496" s="497" t="s">
        <v>2847</v>
      </c>
      <c r="C496" s="508"/>
      <c r="D496" s="496">
        <v>2025213854</v>
      </c>
      <c r="E496" s="393"/>
      <c r="F496" s="393" t="s">
        <v>634</v>
      </c>
      <c r="G496" s="408" t="s">
        <v>721</v>
      </c>
      <c r="H496" s="403"/>
      <c r="I496" s="393" t="str">
        <f t="shared" ca="1" si="19"/>
        <v/>
      </c>
      <c r="J496" s="401"/>
      <c r="K496" s="428" t="s">
        <v>1835</v>
      </c>
      <c r="L496" s="401" t="s">
        <v>1836</v>
      </c>
      <c r="M496" s="401" t="s">
        <v>754</v>
      </c>
      <c r="N496" s="393"/>
      <c r="O496" s="393"/>
      <c r="P496" s="401"/>
      <c r="Q496" s="401"/>
      <c r="R496" s="401"/>
    </row>
    <row r="497" spans="1:18" ht="20.25" customHeight="1">
      <c r="A497" s="401"/>
      <c r="B497" s="497" t="s">
        <v>2847</v>
      </c>
      <c r="C497" s="508"/>
      <c r="D497" s="496">
        <v>2025213854</v>
      </c>
      <c r="E497" s="393"/>
      <c r="F497" s="393" t="s">
        <v>631</v>
      </c>
      <c r="G497" s="408" t="s">
        <v>721</v>
      </c>
      <c r="H497" s="403"/>
      <c r="I497" s="393" t="str">
        <f t="shared" ca="1" si="19"/>
        <v/>
      </c>
      <c r="J497" s="401"/>
      <c r="K497" s="454" t="s">
        <v>551</v>
      </c>
      <c r="L497" s="401" t="s">
        <v>1837</v>
      </c>
      <c r="M497" s="401" t="s">
        <v>754</v>
      </c>
      <c r="N497" s="393"/>
      <c r="O497" s="393"/>
      <c r="P497" s="401"/>
      <c r="Q497" s="401"/>
      <c r="R497" s="401"/>
    </row>
    <row r="498" spans="1:18" ht="20.25" customHeight="1">
      <c r="A498" s="401"/>
      <c r="B498" s="497" t="s">
        <v>2847</v>
      </c>
      <c r="C498" s="508"/>
      <c r="D498" s="496">
        <v>2025213854</v>
      </c>
      <c r="E498" s="393"/>
      <c r="F498" s="393" t="s">
        <v>638</v>
      </c>
      <c r="G498" s="408" t="s">
        <v>721</v>
      </c>
      <c r="H498" s="403"/>
      <c r="I498" s="393" t="str">
        <f t="shared" ca="1" si="19"/>
        <v/>
      </c>
      <c r="J498" s="401"/>
      <c r="K498" s="455" t="s">
        <v>41</v>
      </c>
      <c r="L498" s="401" t="s">
        <v>41</v>
      </c>
      <c r="M498" s="401" t="s">
        <v>754</v>
      </c>
      <c r="N498" s="393"/>
      <c r="O498" s="393"/>
      <c r="P498" s="401"/>
      <c r="Q498" s="401"/>
      <c r="R498" s="401"/>
    </row>
    <row r="499" spans="1:18" ht="20.25" customHeight="1">
      <c r="A499" s="401"/>
      <c r="B499" s="497" t="s">
        <v>2847</v>
      </c>
      <c r="C499" s="508"/>
      <c r="D499" s="496">
        <v>2025213854</v>
      </c>
      <c r="E499" s="393"/>
      <c r="F499" s="393" t="s">
        <v>653</v>
      </c>
      <c r="G499" s="408" t="s">
        <v>721</v>
      </c>
      <c r="H499" s="403"/>
      <c r="I499" s="393" t="str">
        <f t="shared" ca="1" si="19"/>
        <v/>
      </c>
      <c r="J499" s="401"/>
      <c r="K499" s="454"/>
      <c r="L499" s="401" t="s">
        <v>1838</v>
      </c>
      <c r="M499" s="401" t="s">
        <v>754</v>
      </c>
      <c r="N499" s="393"/>
      <c r="O499" s="393"/>
      <c r="P499" s="401"/>
      <c r="Q499" s="401"/>
      <c r="R499" s="401"/>
    </row>
    <row r="500" spans="1:18" ht="20.25" customHeight="1">
      <c r="A500" s="401"/>
      <c r="B500" s="497" t="s">
        <v>2846</v>
      </c>
      <c r="C500" s="508"/>
      <c r="D500" s="496">
        <v>2025213854</v>
      </c>
      <c r="E500" s="393"/>
      <c r="F500" s="393" t="s">
        <v>654</v>
      </c>
      <c r="G500" s="408" t="s">
        <v>721</v>
      </c>
      <c r="H500" s="403" t="s">
        <v>2445</v>
      </c>
      <c r="I500" s="393" t="e">
        <f t="shared" ca="1" si="19"/>
        <v>#VALUE!</v>
      </c>
      <c r="J500" s="401"/>
      <c r="K500" s="428" t="s">
        <v>1840</v>
      </c>
      <c r="L500" s="393" t="s">
        <v>1839</v>
      </c>
      <c r="M500" s="401" t="s">
        <v>754</v>
      </c>
      <c r="N500" s="393"/>
      <c r="O500" s="393"/>
      <c r="P500" s="401"/>
      <c r="Q500" s="401"/>
      <c r="R500" s="401"/>
    </row>
    <row r="501" spans="1:18" ht="20.25" customHeight="1">
      <c r="A501" s="401"/>
      <c r="B501" s="497" t="s">
        <v>2848</v>
      </c>
      <c r="C501" s="508"/>
      <c r="D501" s="496">
        <v>2025213836</v>
      </c>
      <c r="E501" s="393"/>
      <c r="F501" s="393" t="s">
        <v>634</v>
      </c>
      <c r="G501" s="408" t="s">
        <v>721</v>
      </c>
      <c r="H501" s="403"/>
      <c r="I501" s="393" t="str">
        <f t="shared" ca="1" si="19"/>
        <v/>
      </c>
      <c r="J501" s="401"/>
      <c r="K501" s="428" t="s">
        <v>1841</v>
      </c>
      <c r="L501" s="401" t="s">
        <v>1842</v>
      </c>
      <c r="M501" s="401" t="s">
        <v>754</v>
      </c>
      <c r="N501" s="393"/>
      <c r="O501" s="393"/>
      <c r="P501" s="401"/>
      <c r="Q501" s="401"/>
      <c r="R501" s="401"/>
    </row>
    <row r="502" spans="1:18" ht="20.25" customHeight="1">
      <c r="A502" s="401"/>
      <c r="B502" s="497" t="s">
        <v>2848</v>
      </c>
      <c r="C502" s="508"/>
      <c r="D502" s="496">
        <v>2025213836</v>
      </c>
      <c r="E502" s="393"/>
      <c r="F502" s="393" t="s">
        <v>631</v>
      </c>
      <c r="G502" s="408" t="s">
        <v>721</v>
      </c>
      <c r="H502" s="403"/>
      <c r="I502" s="393" t="str">
        <f t="shared" ca="1" si="19"/>
        <v/>
      </c>
      <c r="J502" s="401"/>
      <c r="K502" s="454" t="s">
        <v>1843</v>
      </c>
      <c r="L502" s="401" t="s">
        <v>1844</v>
      </c>
      <c r="M502" s="401" t="s">
        <v>754</v>
      </c>
      <c r="N502" s="393"/>
      <c r="O502" s="393"/>
      <c r="P502" s="401"/>
      <c r="Q502" s="401"/>
      <c r="R502" s="401"/>
    </row>
    <row r="503" spans="1:18" ht="20.25" customHeight="1">
      <c r="A503" s="401"/>
      <c r="B503" s="497" t="s">
        <v>2848</v>
      </c>
      <c r="C503" s="508"/>
      <c r="D503" s="496">
        <v>2025213836</v>
      </c>
      <c r="E503" s="393"/>
      <c r="F503" s="393" t="s">
        <v>638</v>
      </c>
      <c r="G503" s="408" t="s">
        <v>721</v>
      </c>
      <c r="H503" s="403"/>
      <c r="I503" s="393" t="str">
        <f t="shared" ca="1" si="19"/>
        <v/>
      </c>
      <c r="J503" s="401"/>
      <c r="K503" s="455" t="s">
        <v>41</v>
      </c>
      <c r="L503" s="401" t="s">
        <v>41</v>
      </c>
      <c r="M503" s="401" t="s">
        <v>754</v>
      </c>
      <c r="N503" s="393"/>
      <c r="O503" s="393"/>
      <c r="P503" s="401"/>
      <c r="Q503" s="401"/>
      <c r="R503" s="401"/>
    </row>
    <row r="504" spans="1:18" ht="20.25" customHeight="1">
      <c r="A504" s="401"/>
      <c r="B504" s="497" t="s">
        <v>2848</v>
      </c>
      <c r="C504" s="508"/>
      <c r="D504" s="496">
        <v>2025213836</v>
      </c>
      <c r="E504" s="393"/>
      <c r="F504" s="393" t="s">
        <v>653</v>
      </c>
      <c r="G504" s="408" t="s">
        <v>721</v>
      </c>
      <c r="H504" s="403"/>
      <c r="I504" s="393"/>
      <c r="J504" s="401"/>
      <c r="K504" s="428"/>
      <c r="L504" s="401" t="s">
        <v>1845</v>
      </c>
      <c r="M504" s="401" t="s">
        <v>754</v>
      </c>
      <c r="N504" s="393"/>
      <c r="O504" s="393"/>
      <c r="P504" s="401"/>
      <c r="Q504" s="401"/>
      <c r="R504" s="401"/>
    </row>
    <row r="505" spans="1:18" ht="20.25" customHeight="1">
      <c r="A505" s="401"/>
      <c r="B505" s="497" t="s">
        <v>2846</v>
      </c>
      <c r="C505" s="508"/>
      <c r="D505" s="496">
        <v>2025213836</v>
      </c>
      <c r="E505" s="393"/>
      <c r="F505" s="393" t="s">
        <v>654</v>
      </c>
      <c r="G505" s="408" t="s">
        <v>721</v>
      </c>
      <c r="H505" s="403" t="s">
        <v>2445</v>
      </c>
      <c r="I505" s="393"/>
      <c r="J505" s="401"/>
      <c r="K505" s="428" t="s">
        <v>1847</v>
      </c>
      <c r="L505" s="393" t="s">
        <v>1846</v>
      </c>
      <c r="M505" s="401" t="s">
        <v>754</v>
      </c>
      <c r="N505" s="393"/>
      <c r="O505" s="393"/>
      <c r="P505" s="401"/>
      <c r="Q505" s="401"/>
      <c r="R505" s="401"/>
    </row>
    <row r="506" spans="1:18" ht="20.25" customHeight="1">
      <c r="A506" s="401"/>
      <c r="B506" s="496" t="s">
        <v>41</v>
      </c>
      <c r="C506" s="496"/>
      <c r="D506" s="496">
        <v>2024214888</v>
      </c>
      <c r="E506" s="393" t="s">
        <v>41</v>
      </c>
      <c r="F506" s="393" t="s">
        <v>634</v>
      </c>
      <c r="G506" s="408" t="s">
        <v>2530</v>
      </c>
      <c r="H506" s="403"/>
      <c r="I506" s="393"/>
      <c r="J506" s="401"/>
      <c r="K506" s="401" t="s">
        <v>2477</v>
      </c>
      <c r="L506" s="420" t="s">
        <v>844</v>
      </c>
      <c r="M506" s="401" t="s">
        <v>774</v>
      </c>
      <c r="N506" s="393"/>
      <c r="O506" s="393"/>
      <c r="P506" s="401"/>
      <c r="Q506" s="401"/>
      <c r="R506" s="401"/>
    </row>
    <row r="507" spans="1:18" ht="20.25" customHeight="1">
      <c r="A507" s="401"/>
      <c r="B507" s="498"/>
      <c r="C507" s="496"/>
      <c r="D507" s="496">
        <v>2025213495</v>
      </c>
      <c r="E507" s="393"/>
      <c r="F507" s="393" t="s">
        <v>634</v>
      </c>
      <c r="G507" s="408"/>
      <c r="H507" s="403"/>
      <c r="I507" s="393"/>
      <c r="J507" s="401"/>
      <c r="K507" s="454" t="s">
        <v>1848</v>
      </c>
      <c r="L507" s="428" t="s">
        <v>1849</v>
      </c>
      <c r="M507" s="448" t="s">
        <v>1850</v>
      </c>
      <c r="N507" s="393"/>
      <c r="O507" s="393"/>
      <c r="P507" s="401"/>
      <c r="Q507" s="401"/>
      <c r="R507" s="401"/>
    </row>
    <row r="508" spans="1:18" ht="20.25" customHeight="1">
      <c r="A508" s="401"/>
      <c r="B508" s="498" t="s">
        <v>1436</v>
      </c>
      <c r="C508" s="496"/>
      <c r="D508" s="496">
        <v>2025213495</v>
      </c>
      <c r="E508" s="393"/>
      <c r="F508" s="393" t="s">
        <v>631</v>
      </c>
      <c r="G508" s="408" t="s">
        <v>721</v>
      </c>
      <c r="H508" s="403"/>
      <c r="I508" s="393"/>
      <c r="J508" s="401"/>
      <c r="K508" s="454" t="s">
        <v>557</v>
      </c>
      <c r="L508" s="428" t="s">
        <v>1851</v>
      </c>
      <c r="M508" s="454" t="s">
        <v>837</v>
      </c>
      <c r="N508" s="393"/>
      <c r="O508" s="393"/>
      <c r="P508" s="401"/>
      <c r="Q508" s="401"/>
      <c r="R508" s="401"/>
    </row>
    <row r="509" spans="1:18" ht="20.25" customHeight="1">
      <c r="A509" s="401"/>
      <c r="B509" s="498" t="s">
        <v>2637</v>
      </c>
      <c r="C509" s="496"/>
      <c r="D509" s="496">
        <v>2025213495</v>
      </c>
      <c r="E509" s="393"/>
      <c r="F509" s="393" t="s">
        <v>638</v>
      </c>
      <c r="G509" s="412" t="s">
        <v>2521</v>
      </c>
      <c r="H509" s="403"/>
      <c r="I509" s="393"/>
      <c r="J509" s="415">
        <v>46021</v>
      </c>
      <c r="K509" s="454" t="s">
        <v>1852</v>
      </c>
      <c r="L509" s="428" t="s">
        <v>1853</v>
      </c>
      <c r="M509" s="455" t="s">
        <v>1854</v>
      </c>
      <c r="N509" s="393"/>
      <c r="O509" s="393"/>
      <c r="P509" s="401"/>
      <c r="Q509" s="401"/>
      <c r="R509" s="401"/>
    </row>
    <row r="510" spans="1:18" ht="20.25" customHeight="1">
      <c r="A510" s="467"/>
      <c r="B510" s="514" t="s">
        <v>2849</v>
      </c>
      <c r="C510" s="511"/>
      <c r="D510" s="496">
        <v>2025213495</v>
      </c>
      <c r="E510" s="394"/>
      <c r="F510" s="393" t="s">
        <v>653</v>
      </c>
      <c r="G510" s="476" t="s">
        <v>721</v>
      </c>
      <c r="H510" s="468"/>
      <c r="I510" s="394"/>
      <c r="J510" s="467"/>
      <c r="K510" s="454"/>
      <c r="L510" s="454" t="s">
        <v>1855</v>
      </c>
      <c r="M510" s="467" t="s">
        <v>741</v>
      </c>
      <c r="N510" s="394"/>
      <c r="O510" s="394"/>
      <c r="P510" s="467"/>
      <c r="Q510" s="467"/>
      <c r="R510" s="467"/>
    </row>
    <row r="511" spans="1:18" ht="20.25" customHeight="1">
      <c r="A511" s="401"/>
      <c r="B511" s="498" t="s">
        <v>2850</v>
      </c>
      <c r="C511" s="496"/>
      <c r="D511" s="496">
        <v>2025213495</v>
      </c>
      <c r="E511" s="393"/>
      <c r="F511" s="393" t="s">
        <v>654</v>
      </c>
      <c r="G511" s="408" t="s">
        <v>721</v>
      </c>
      <c r="H511" s="403"/>
      <c r="I511" s="393"/>
      <c r="J511" s="401"/>
      <c r="K511" s="401" t="s">
        <v>1857</v>
      </c>
      <c r="L511" s="455" t="s">
        <v>1856</v>
      </c>
      <c r="M511" s="401" t="s">
        <v>2851</v>
      </c>
      <c r="N511" s="393"/>
      <c r="O511" s="393"/>
      <c r="P511" s="401"/>
      <c r="Q511" s="401"/>
      <c r="R511" s="401"/>
    </row>
    <row r="512" spans="1:18" ht="20.25" customHeight="1">
      <c r="A512" s="401"/>
      <c r="B512" s="498"/>
      <c r="C512" s="496"/>
      <c r="D512" s="506">
        <v>2025213494</v>
      </c>
      <c r="E512" s="393"/>
      <c r="F512" s="393" t="s">
        <v>634</v>
      </c>
      <c r="G512" s="408"/>
      <c r="H512" s="403"/>
      <c r="I512" s="393"/>
      <c r="J512" s="401"/>
      <c r="K512" s="454" t="s">
        <v>1859</v>
      </c>
      <c r="L512" s="428" t="s">
        <v>1860</v>
      </c>
      <c r="M512" s="448" t="s">
        <v>1850</v>
      </c>
      <c r="N512" s="393"/>
      <c r="O512" s="393"/>
      <c r="P512" s="401"/>
      <c r="Q512" s="401"/>
      <c r="R512" s="401"/>
    </row>
    <row r="513" spans="1:18" ht="20.25" customHeight="1">
      <c r="A513" s="401"/>
      <c r="B513" s="498"/>
      <c r="C513" s="496"/>
      <c r="D513" s="496">
        <v>2025213493</v>
      </c>
      <c r="E513" s="393"/>
      <c r="F513" s="393" t="s">
        <v>634</v>
      </c>
      <c r="G513" s="408"/>
      <c r="H513" s="403"/>
      <c r="I513" s="393"/>
      <c r="J513" s="401"/>
      <c r="K513" s="454" t="s">
        <v>1861</v>
      </c>
      <c r="L513" s="428" t="s">
        <v>1862</v>
      </c>
      <c r="M513" s="448" t="s">
        <v>1850</v>
      </c>
      <c r="N513" s="393"/>
      <c r="O513" s="393"/>
      <c r="P513" s="401"/>
      <c r="Q513" s="401"/>
      <c r="R513" s="401"/>
    </row>
    <row r="514" spans="1:18" ht="20.25" customHeight="1">
      <c r="A514" s="401"/>
      <c r="B514" s="498"/>
      <c r="C514" s="496"/>
      <c r="D514" s="496">
        <v>2025213492</v>
      </c>
      <c r="E514" s="393"/>
      <c r="F514" s="393" t="s">
        <v>634</v>
      </c>
      <c r="G514" s="408"/>
      <c r="H514" s="403"/>
      <c r="I514" s="393"/>
      <c r="J514" s="401"/>
      <c r="K514" s="454" t="s">
        <v>1863</v>
      </c>
      <c r="L514" s="428" t="s">
        <v>1864</v>
      </c>
      <c r="M514" s="448" t="s">
        <v>1850</v>
      </c>
      <c r="N514" s="393"/>
      <c r="O514" s="393"/>
      <c r="P514" s="401"/>
      <c r="Q514" s="401"/>
      <c r="R514" s="401"/>
    </row>
    <row r="515" spans="1:18" ht="20.25" customHeight="1">
      <c r="A515" s="401"/>
      <c r="B515" s="498" t="s">
        <v>2637</v>
      </c>
      <c r="C515" s="496"/>
      <c r="D515" s="496">
        <v>2025214146</v>
      </c>
      <c r="E515" s="393"/>
      <c r="F515" s="393" t="s">
        <v>2818</v>
      </c>
      <c r="G515" s="408" t="s">
        <v>721</v>
      </c>
      <c r="H515" s="403"/>
      <c r="I515" s="393"/>
      <c r="J515" s="401"/>
      <c r="K515" s="401" t="s">
        <v>1906</v>
      </c>
      <c r="L515" s="420" t="s">
        <v>2852</v>
      </c>
      <c r="M515" s="401" t="s">
        <v>926</v>
      </c>
      <c r="N515" s="393"/>
      <c r="O515" s="393"/>
      <c r="P515" s="401"/>
      <c r="Q515" s="401"/>
      <c r="R515" s="401"/>
    </row>
    <row r="516" spans="1:18" ht="20.25" customHeight="1">
      <c r="A516" s="401"/>
      <c r="B516" s="498" t="s">
        <v>2669</v>
      </c>
      <c r="C516" s="496"/>
      <c r="D516" s="496">
        <v>2024216007</v>
      </c>
      <c r="E516" s="393"/>
      <c r="F516" s="393" t="s">
        <v>2853</v>
      </c>
      <c r="G516" s="408"/>
      <c r="H516" s="403"/>
      <c r="I516" s="393"/>
      <c r="J516" s="401"/>
      <c r="K516" s="473" t="s">
        <v>2854</v>
      </c>
      <c r="L516" s="474" t="s">
        <v>2855</v>
      </c>
      <c r="M516" s="401"/>
      <c r="N516" s="393"/>
      <c r="O516" s="393"/>
      <c r="P516" s="401"/>
      <c r="Q516" s="401"/>
      <c r="R516" s="401"/>
    </row>
    <row r="517" spans="1:18" ht="20.25" customHeight="1">
      <c r="A517" s="401"/>
      <c r="B517" s="498" t="s">
        <v>41</v>
      </c>
      <c r="C517" s="496"/>
      <c r="D517" s="496">
        <v>2024209819</v>
      </c>
      <c r="E517" s="393"/>
      <c r="F517" s="393"/>
      <c r="G517" s="409" t="s">
        <v>2454</v>
      </c>
      <c r="H517" s="403"/>
      <c r="I517" s="393"/>
      <c r="J517" s="401"/>
      <c r="K517" s="477" t="s">
        <v>2856</v>
      </c>
      <c r="L517" s="474"/>
      <c r="M517" s="401"/>
      <c r="N517" s="393"/>
      <c r="O517" s="393"/>
      <c r="P517" s="401"/>
      <c r="Q517" s="401"/>
      <c r="R517" s="401"/>
    </row>
    <row r="518" spans="1:18" ht="20.25" customHeight="1">
      <c r="A518" s="401"/>
      <c r="B518" s="498" t="s">
        <v>2073</v>
      </c>
      <c r="C518" s="496"/>
      <c r="D518" s="496" t="s">
        <v>587</v>
      </c>
      <c r="E518" s="393"/>
      <c r="F518" s="393" t="s">
        <v>2857</v>
      </c>
      <c r="G518" s="408" t="s">
        <v>2316</v>
      </c>
      <c r="H518" s="403"/>
      <c r="I518" s="393"/>
      <c r="J518" s="401"/>
      <c r="K518" s="430" t="s">
        <v>2858</v>
      </c>
      <c r="L518" s="420" t="s">
        <v>1911</v>
      </c>
      <c r="M518" s="401" t="s">
        <v>741</v>
      </c>
      <c r="N518" s="393"/>
      <c r="O518" s="393"/>
      <c r="P518" s="401"/>
      <c r="Q518" s="401"/>
      <c r="R518" s="401"/>
    </row>
    <row r="519" spans="1:18" ht="20.25" customHeight="1">
      <c r="A519" s="401"/>
      <c r="B519" s="498" t="s">
        <v>2073</v>
      </c>
      <c r="C519" s="496"/>
      <c r="D519" s="496" t="s">
        <v>587</v>
      </c>
      <c r="E519" s="393"/>
      <c r="F519" s="393" t="s">
        <v>638</v>
      </c>
      <c r="G519" s="408" t="s">
        <v>2316</v>
      </c>
      <c r="H519" s="403"/>
      <c r="I519" s="393"/>
      <c r="J519" s="401"/>
      <c r="K519" s="401" t="s">
        <v>1912</v>
      </c>
      <c r="L519" s="420" t="s">
        <v>1913</v>
      </c>
      <c r="M519" s="401" t="s">
        <v>741</v>
      </c>
      <c r="N519" s="393"/>
      <c r="O519" s="393"/>
      <c r="P519" s="401"/>
      <c r="Q519" s="401"/>
      <c r="R519" s="401"/>
    </row>
    <row r="520" spans="1:18" ht="20.25" customHeight="1">
      <c r="A520" s="401"/>
      <c r="B520" s="498" t="s">
        <v>2573</v>
      </c>
      <c r="C520" s="496"/>
      <c r="D520" s="496" t="s">
        <v>587</v>
      </c>
      <c r="E520" s="393"/>
      <c r="F520" s="393" t="s">
        <v>653</v>
      </c>
      <c r="G520" s="408" t="s">
        <v>2316</v>
      </c>
      <c r="H520" s="403"/>
      <c r="I520" s="393"/>
      <c r="J520" s="401"/>
      <c r="K520" s="401" t="s">
        <v>41</v>
      </c>
      <c r="L520" s="420" t="s">
        <v>1914</v>
      </c>
      <c r="M520" s="401" t="s">
        <v>1098</v>
      </c>
      <c r="N520" s="393"/>
      <c r="O520" s="393"/>
      <c r="P520" s="401"/>
      <c r="Q520" s="401"/>
      <c r="R520" s="401"/>
    </row>
    <row r="521" spans="1:18" ht="20.25" customHeight="1">
      <c r="A521" s="401"/>
      <c r="B521" s="498" t="s">
        <v>2092</v>
      </c>
      <c r="C521" s="496"/>
      <c r="D521" s="496" t="s">
        <v>587</v>
      </c>
      <c r="E521" s="393"/>
      <c r="F521" s="393" t="s">
        <v>654</v>
      </c>
      <c r="G521" s="408" t="s">
        <v>2316</v>
      </c>
      <c r="H521" s="403"/>
      <c r="I521" s="393"/>
      <c r="J521" s="401"/>
      <c r="K521" s="401" t="s">
        <v>1917</v>
      </c>
      <c r="L521" s="420" t="s">
        <v>1916</v>
      </c>
      <c r="M521" s="401" t="s">
        <v>774</v>
      </c>
      <c r="N521" s="393"/>
      <c r="O521" s="393"/>
      <c r="P521" s="401"/>
      <c r="Q521" s="401"/>
      <c r="R521" s="401"/>
    </row>
    <row r="522" spans="1:18" ht="20.25" customHeight="1">
      <c r="A522" s="401"/>
      <c r="B522" s="498" t="s">
        <v>794</v>
      </c>
      <c r="C522" s="496"/>
      <c r="D522" s="496" t="s">
        <v>587</v>
      </c>
      <c r="E522" s="393"/>
      <c r="F522" s="424" t="s">
        <v>2859</v>
      </c>
      <c r="G522" s="408" t="s">
        <v>2316</v>
      </c>
      <c r="H522" s="403"/>
      <c r="I522" s="393"/>
      <c r="J522" s="401"/>
      <c r="K522" s="401"/>
      <c r="L522" s="393"/>
      <c r="M522" s="401"/>
      <c r="N522" s="393"/>
      <c r="O522" s="393"/>
      <c r="P522" s="401"/>
      <c r="Q522" s="401"/>
      <c r="R522" s="401"/>
    </row>
    <row r="523" spans="1:18" ht="20.25" customHeight="1">
      <c r="A523" s="401"/>
      <c r="B523" s="498" t="s">
        <v>2209</v>
      </c>
      <c r="C523" s="496"/>
      <c r="D523" s="496">
        <v>2757549</v>
      </c>
      <c r="E523" s="393"/>
      <c r="F523" s="393" t="s">
        <v>634</v>
      </c>
      <c r="G523" s="402" t="s">
        <v>706</v>
      </c>
      <c r="H523" s="403"/>
      <c r="I523" s="393"/>
      <c r="J523" s="415">
        <v>46019</v>
      </c>
      <c r="K523" s="401" t="s">
        <v>1919</v>
      </c>
      <c r="L523" s="420" t="s">
        <v>1920</v>
      </c>
      <c r="M523" s="401" t="s">
        <v>871</v>
      </c>
      <c r="N523" s="393"/>
      <c r="O523" s="393"/>
      <c r="P523" s="401"/>
      <c r="Q523" s="401"/>
      <c r="R523" s="401"/>
    </row>
    <row r="524" spans="1:18" ht="20.25" customHeight="1">
      <c r="A524" s="401"/>
      <c r="B524" s="498" t="s">
        <v>2860</v>
      </c>
      <c r="C524" s="496"/>
      <c r="D524" s="496">
        <v>2757549</v>
      </c>
      <c r="E524" s="393"/>
      <c r="F524" s="393" t="s">
        <v>2857</v>
      </c>
      <c r="G524" s="408" t="s">
        <v>721</v>
      </c>
      <c r="H524" s="403"/>
      <c r="I524" s="393"/>
      <c r="J524" s="401"/>
      <c r="K524" s="420" t="s">
        <v>2861</v>
      </c>
      <c r="L524" s="420" t="s">
        <v>1921</v>
      </c>
      <c r="M524" s="420" t="s">
        <v>924</v>
      </c>
      <c r="N524" s="393"/>
      <c r="O524" s="393"/>
      <c r="P524" s="401"/>
      <c r="Q524" s="401"/>
      <c r="R524" s="401"/>
    </row>
    <row r="525" spans="1:18" ht="20.25" customHeight="1">
      <c r="A525" s="401"/>
      <c r="B525" s="498" t="s">
        <v>2860</v>
      </c>
      <c r="C525" s="496"/>
      <c r="D525" s="496">
        <v>2757549</v>
      </c>
      <c r="E525" s="393"/>
      <c r="F525" s="393" t="s">
        <v>638</v>
      </c>
      <c r="G525" s="408" t="s">
        <v>721</v>
      </c>
      <c r="H525" s="403"/>
      <c r="I525" s="393"/>
      <c r="J525" s="401"/>
      <c r="K525" s="420" t="s">
        <v>1922</v>
      </c>
      <c r="L525" s="420" t="s">
        <v>1923</v>
      </c>
      <c r="M525" s="420" t="s">
        <v>924</v>
      </c>
      <c r="N525" s="393"/>
      <c r="O525" s="393"/>
      <c r="P525" s="401"/>
      <c r="Q525" s="401"/>
      <c r="R525" s="401"/>
    </row>
    <row r="526" spans="1:18" ht="20.25" customHeight="1">
      <c r="A526" s="401"/>
      <c r="B526" s="557" t="s">
        <v>2513</v>
      </c>
      <c r="C526" s="496"/>
      <c r="D526" s="496">
        <v>2757549</v>
      </c>
      <c r="E526" s="393"/>
      <c r="F526" s="393" t="s">
        <v>653</v>
      </c>
      <c r="G526" s="402" t="s">
        <v>706</v>
      </c>
      <c r="H526" s="403"/>
      <c r="I526" s="393"/>
      <c r="J526" s="415">
        <v>46025</v>
      </c>
      <c r="K526" s="401"/>
      <c r="L526" s="420" t="s">
        <v>1924</v>
      </c>
      <c r="M526" s="401" t="s">
        <v>924</v>
      </c>
      <c r="N526" s="393"/>
      <c r="O526" s="393"/>
      <c r="P526" s="401"/>
      <c r="Q526" s="401"/>
      <c r="R526" s="401"/>
    </row>
    <row r="527" spans="1:18" ht="20.25" customHeight="1">
      <c r="A527" s="401"/>
      <c r="B527" s="505" t="s">
        <v>794</v>
      </c>
      <c r="C527" s="496"/>
      <c r="D527" s="496">
        <v>2757549</v>
      </c>
      <c r="E527" s="393" t="s">
        <v>41</v>
      </c>
      <c r="F527" s="413" t="s">
        <v>654</v>
      </c>
      <c r="G527" s="408" t="s">
        <v>2316</v>
      </c>
      <c r="H527" s="403"/>
      <c r="I527" s="393"/>
      <c r="J527" s="401"/>
      <c r="K527" s="420" t="s">
        <v>1926</v>
      </c>
      <c r="L527" s="457" t="s">
        <v>1925</v>
      </c>
      <c r="M527" s="401" t="s">
        <v>924</v>
      </c>
      <c r="N527" s="393"/>
      <c r="O527" s="393"/>
      <c r="P527" s="401"/>
      <c r="Q527" s="401"/>
      <c r="R527" s="401"/>
    </row>
    <row r="528" spans="1:18" ht="20.25" customHeight="1">
      <c r="A528" s="401"/>
      <c r="B528" s="498" t="s">
        <v>948</v>
      </c>
      <c r="C528" s="496"/>
      <c r="D528" s="496"/>
      <c r="E528" s="393"/>
      <c r="F528" s="393" t="s">
        <v>631</v>
      </c>
      <c r="G528" s="408" t="s">
        <v>2521</v>
      </c>
      <c r="H528" s="403"/>
      <c r="I528" s="393"/>
      <c r="J528" s="401"/>
      <c r="K528" s="401" t="s">
        <v>2862</v>
      </c>
      <c r="L528" s="420" t="s">
        <v>2863</v>
      </c>
      <c r="M528" s="401" t="s">
        <v>2864</v>
      </c>
      <c r="N528" s="393"/>
      <c r="O528" s="393"/>
      <c r="P528" s="401"/>
      <c r="Q528" s="401"/>
      <c r="R528" s="401"/>
    </row>
    <row r="529" spans="1:18" ht="20.25" customHeight="1">
      <c r="A529" s="401"/>
      <c r="B529" s="505" t="s">
        <v>794</v>
      </c>
      <c r="C529" s="496"/>
      <c r="D529" s="496" t="s">
        <v>582</v>
      </c>
      <c r="E529" s="393" t="s">
        <v>41</v>
      </c>
      <c r="F529" s="393" t="s">
        <v>654</v>
      </c>
      <c r="G529" s="408" t="s">
        <v>2316</v>
      </c>
      <c r="H529" s="403"/>
      <c r="I529" s="393"/>
      <c r="J529" s="401"/>
      <c r="K529" s="420" t="s">
        <v>2865</v>
      </c>
      <c r="L529" s="457" t="s">
        <v>1902</v>
      </c>
      <c r="M529" s="401" t="s">
        <v>733</v>
      </c>
      <c r="N529" s="393"/>
      <c r="O529" s="393"/>
      <c r="P529" s="401"/>
      <c r="Q529" s="401"/>
      <c r="R529" s="401"/>
    </row>
    <row r="530" spans="1:18" ht="20.25" customHeight="1">
      <c r="A530" s="467"/>
      <c r="B530" s="514"/>
      <c r="C530" s="511"/>
      <c r="D530" s="511">
        <v>2759892</v>
      </c>
      <c r="E530" s="394"/>
      <c r="F530" s="394"/>
      <c r="G530" s="476"/>
      <c r="H530" s="468"/>
      <c r="I530" s="394"/>
      <c r="J530" s="467"/>
      <c r="K530" s="467"/>
      <c r="L530" s="394"/>
      <c r="M530" s="467"/>
      <c r="N530" s="394"/>
      <c r="O530" s="394"/>
      <c r="P530" s="467"/>
      <c r="Q530" s="467"/>
      <c r="R530" s="467"/>
    </row>
    <row r="531" spans="1:18" s="401" customFormat="1" ht="20.25" customHeight="1">
      <c r="B531" s="505" t="s">
        <v>2129</v>
      </c>
      <c r="C531" s="496"/>
      <c r="D531" s="496">
        <v>2024213740</v>
      </c>
      <c r="E531" s="393" t="s">
        <v>41</v>
      </c>
      <c r="F531" s="393" t="s">
        <v>654</v>
      </c>
      <c r="G531" s="408" t="s">
        <v>721</v>
      </c>
      <c r="H531" s="403" t="s">
        <v>2643</v>
      </c>
      <c r="I531" s="465"/>
      <c r="K531" s="401" t="s">
        <v>2128</v>
      </c>
      <c r="L531" s="462" t="s">
        <v>1978</v>
      </c>
      <c r="M531" s="401" t="s">
        <v>709</v>
      </c>
      <c r="N531" s="393"/>
      <c r="O531" s="393"/>
    </row>
    <row r="532" spans="1:18" s="401" customFormat="1" ht="20.25" customHeight="1">
      <c r="B532" s="498" t="s">
        <v>41</v>
      </c>
      <c r="C532" s="496"/>
      <c r="D532" s="496">
        <v>2024205707</v>
      </c>
      <c r="E532" s="393"/>
      <c r="F532" s="393" t="s">
        <v>634</v>
      </c>
      <c r="G532" s="408" t="s">
        <v>2530</v>
      </c>
      <c r="H532" s="403"/>
      <c r="I532" s="465"/>
      <c r="K532" s="401" t="s">
        <v>2866</v>
      </c>
      <c r="L532" s="462" t="s">
        <v>2867</v>
      </c>
      <c r="M532" s="401" t="s">
        <v>849</v>
      </c>
      <c r="N532" s="393"/>
      <c r="O532" s="393"/>
    </row>
    <row r="533" spans="1:18" ht="20.25" customHeight="1">
      <c r="A533" s="461"/>
      <c r="B533" s="498" t="s">
        <v>41</v>
      </c>
      <c r="C533" s="510"/>
      <c r="D533" s="510">
        <v>2025210107</v>
      </c>
      <c r="E533" s="466"/>
      <c r="F533" s="466" t="s">
        <v>651</v>
      </c>
      <c r="G533" s="470" t="s">
        <v>2630</v>
      </c>
      <c r="H533" s="471"/>
      <c r="I533" s="466"/>
      <c r="J533" s="461"/>
      <c r="K533" s="461" t="s">
        <v>2868</v>
      </c>
      <c r="L533" s="466" t="s">
        <v>2869</v>
      </c>
      <c r="M533" s="461" t="s">
        <v>2401</v>
      </c>
      <c r="N533" s="466"/>
      <c r="O533" s="466"/>
      <c r="P533" s="461"/>
      <c r="Q533" s="461"/>
      <c r="R533" s="461"/>
    </row>
    <row r="534" spans="1:18" ht="20.25" customHeight="1">
      <c r="A534" s="401"/>
      <c r="B534" s="498"/>
      <c r="C534" s="496"/>
      <c r="D534" s="510">
        <v>2025214537</v>
      </c>
      <c r="E534" s="393"/>
      <c r="F534" s="393" t="s">
        <v>634</v>
      </c>
      <c r="G534" s="408"/>
      <c r="H534" s="403"/>
      <c r="I534" s="393"/>
      <c r="J534" s="401"/>
      <c r="K534" s="401" t="s">
        <v>1983</v>
      </c>
      <c r="L534" s="393" t="s">
        <v>1984</v>
      </c>
      <c r="M534" s="401" t="s">
        <v>709</v>
      </c>
      <c r="N534" s="393"/>
      <c r="O534" s="393"/>
      <c r="P534" s="401"/>
      <c r="Q534" s="401"/>
      <c r="R534" s="401"/>
    </row>
    <row r="535" spans="1:18" ht="20.25" customHeight="1">
      <c r="A535" s="401"/>
      <c r="B535" s="498"/>
      <c r="C535" s="496"/>
      <c r="D535" s="510">
        <v>2025214537</v>
      </c>
      <c r="E535" s="393"/>
      <c r="F535" s="393" t="s">
        <v>631</v>
      </c>
      <c r="G535" s="408"/>
      <c r="H535" s="403"/>
      <c r="I535" s="393"/>
      <c r="J535" s="401"/>
      <c r="K535" s="401" t="s">
        <v>1985</v>
      </c>
      <c r="L535" s="420" t="s">
        <v>1986</v>
      </c>
      <c r="M535" s="401" t="s">
        <v>774</v>
      </c>
      <c r="N535" s="393"/>
      <c r="O535" s="393"/>
      <c r="P535" s="401"/>
      <c r="Q535" s="401"/>
      <c r="R535" s="401"/>
    </row>
    <row r="536" spans="1:18" ht="20.25" customHeight="1">
      <c r="A536" s="401"/>
      <c r="B536" s="498"/>
      <c r="C536" s="510"/>
      <c r="D536" s="510">
        <v>2025214537</v>
      </c>
      <c r="E536" s="393"/>
      <c r="F536" s="393" t="s">
        <v>653</v>
      </c>
      <c r="G536" s="408"/>
      <c r="H536" s="403"/>
      <c r="I536" s="393"/>
      <c r="J536" s="401"/>
      <c r="K536" s="401"/>
      <c r="L536" t="s">
        <v>1988</v>
      </c>
      <c r="M536" s="401" t="s">
        <v>774</v>
      </c>
      <c r="N536" s="393"/>
      <c r="O536" s="393"/>
      <c r="P536" s="401"/>
      <c r="Q536" s="401"/>
      <c r="R536" s="401"/>
    </row>
    <row r="537" spans="1:18" ht="20.25" customHeight="1">
      <c r="A537" s="401"/>
      <c r="B537" s="505" t="s">
        <v>794</v>
      </c>
      <c r="C537" s="510"/>
      <c r="D537" s="496">
        <v>2025214537</v>
      </c>
      <c r="E537" s="393" t="s">
        <v>41</v>
      </c>
      <c r="F537" s="393" t="s">
        <v>654</v>
      </c>
      <c r="G537" s="408" t="s">
        <v>2316</v>
      </c>
      <c r="H537" s="403"/>
      <c r="I537" s="393"/>
      <c r="J537" s="401"/>
      <c r="K537" s="420" t="s">
        <v>1336</v>
      </c>
      <c r="L537" s="457" t="s">
        <v>2870</v>
      </c>
      <c r="M537" s="401" t="s">
        <v>774</v>
      </c>
      <c r="N537" s="393"/>
      <c r="O537" s="393"/>
      <c r="P537" s="401"/>
      <c r="Q537" s="401"/>
      <c r="R537" s="401"/>
    </row>
    <row r="538" spans="1:18" ht="20.25" customHeight="1">
      <c r="A538" s="401"/>
      <c r="B538" s="498"/>
      <c r="C538" s="510"/>
      <c r="D538" s="510">
        <v>2762824</v>
      </c>
      <c r="E538" s="393"/>
      <c r="F538" s="393" t="s">
        <v>634</v>
      </c>
      <c r="G538" s="408"/>
      <c r="H538" s="403"/>
      <c r="I538" s="393"/>
      <c r="J538" s="401"/>
      <c r="K538" s="401" t="s">
        <v>1990</v>
      </c>
      <c r="L538" s="420" t="s">
        <v>1991</v>
      </c>
      <c r="M538" s="401" t="s">
        <v>791</v>
      </c>
      <c r="N538" s="393"/>
      <c r="O538" s="393"/>
      <c r="P538" s="401"/>
      <c r="Q538" s="401"/>
      <c r="R538" s="401"/>
    </row>
    <row r="539" spans="1:18" ht="20.25" customHeight="1">
      <c r="A539" s="401"/>
      <c r="B539" s="498"/>
      <c r="C539" s="496"/>
      <c r="D539" s="510">
        <v>2762824</v>
      </c>
      <c r="E539" s="393"/>
      <c r="F539" s="393" t="s">
        <v>631</v>
      </c>
      <c r="G539" s="408"/>
      <c r="H539" s="403"/>
      <c r="I539" s="393"/>
      <c r="J539" s="401"/>
      <c r="K539" s="401" t="s">
        <v>1992</v>
      </c>
      <c r="L539" s="420" t="s">
        <v>1993</v>
      </c>
      <c r="M539" s="401" t="s">
        <v>733</v>
      </c>
      <c r="N539" s="393"/>
      <c r="O539" s="393"/>
      <c r="P539" s="401"/>
      <c r="Q539" s="401"/>
      <c r="R539" s="401"/>
    </row>
    <row r="540" spans="1:18" ht="20.25" customHeight="1">
      <c r="A540" s="401"/>
      <c r="B540" s="498"/>
      <c r="C540" s="496"/>
      <c r="D540" s="510">
        <v>2762824</v>
      </c>
      <c r="E540" s="393"/>
      <c r="F540" s="393" t="s">
        <v>653</v>
      </c>
      <c r="G540" s="408"/>
      <c r="H540" s="403"/>
      <c r="I540" s="393"/>
      <c r="J540" s="401"/>
      <c r="K540" s="401"/>
      <c r="L540" t="s">
        <v>1994</v>
      </c>
      <c r="M540" s="401" t="s">
        <v>733</v>
      </c>
      <c r="N540" s="393"/>
      <c r="O540" s="393"/>
      <c r="P540" s="401"/>
      <c r="Q540" s="401"/>
      <c r="R540" s="401"/>
    </row>
    <row r="541" spans="1:18" ht="20.25" customHeight="1">
      <c r="A541" s="401"/>
      <c r="B541" s="505" t="s">
        <v>794</v>
      </c>
      <c r="C541" s="496"/>
      <c r="D541" s="496">
        <v>2762824</v>
      </c>
      <c r="E541" s="393" t="s">
        <v>41</v>
      </c>
      <c r="F541" s="393" t="s">
        <v>654</v>
      </c>
      <c r="G541" s="408" t="s">
        <v>2316</v>
      </c>
      <c r="H541" s="403"/>
      <c r="I541" s="393"/>
      <c r="J541" s="401"/>
      <c r="K541" s="420" t="s">
        <v>1996</v>
      </c>
      <c r="L541" s="457" t="s">
        <v>2871</v>
      </c>
      <c r="M541" s="401" t="s">
        <v>733</v>
      </c>
      <c r="N541" s="393"/>
      <c r="O541" s="393"/>
      <c r="P541" s="401"/>
      <c r="Q541" s="401"/>
      <c r="R541" s="401"/>
    </row>
    <row r="542" spans="1:18" ht="20.25" customHeight="1">
      <c r="A542" s="401"/>
      <c r="B542" s="498"/>
      <c r="C542" s="496"/>
      <c r="D542" s="496">
        <v>2761243</v>
      </c>
      <c r="E542" s="393"/>
      <c r="F542" s="393" t="s">
        <v>634</v>
      </c>
      <c r="G542" s="408"/>
      <c r="H542" s="403"/>
      <c r="I542" s="393"/>
      <c r="J542" s="401"/>
      <c r="K542" s="401" t="s">
        <v>1997</v>
      </c>
      <c r="L542" s="393" t="s">
        <v>1998</v>
      </c>
      <c r="M542" s="401" t="s">
        <v>763</v>
      </c>
      <c r="N542" s="393"/>
      <c r="O542" s="393"/>
      <c r="P542" s="401"/>
      <c r="Q542" s="401"/>
      <c r="R542" s="401"/>
    </row>
    <row r="543" spans="1:18" ht="20.25" customHeight="1">
      <c r="A543" s="401"/>
      <c r="B543" s="498"/>
      <c r="C543" s="496"/>
      <c r="D543" s="496">
        <v>2761243</v>
      </c>
      <c r="E543" s="393"/>
      <c r="F543" s="393" t="s">
        <v>631</v>
      </c>
      <c r="G543" s="408"/>
      <c r="H543" s="403"/>
      <c r="I543" s="393"/>
      <c r="J543" s="401"/>
      <c r="K543" s="401" t="s">
        <v>620</v>
      </c>
      <c r="L543" s="393" t="s">
        <v>1999</v>
      </c>
      <c r="M543" s="401" t="s">
        <v>763</v>
      </c>
      <c r="N543" s="393"/>
      <c r="O543" s="393"/>
      <c r="P543" s="401"/>
      <c r="Q543" s="401"/>
      <c r="R543" s="401"/>
    </row>
    <row r="544" spans="1:18" ht="20.25" customHeight="1">
      <c r="A544" s="401"/>
      <c r="B544" s="498"/>
      <c r="C544" s="496"/>
      <c r="D544" s="496">
        <v>2761243</v>
      </c>
      <c r="E544" s="393"/>
      <c r="F544" s="393" t="s">
        <v>653</v>
      </c>
      <c r="G544" s="408"/>
      <c r="H544" s="403"/>
      <c r="I544" s="393"/>
      <c r="J544" s="401"/>
      <c r="K544" s="401"/>
      <c r="L544" s="420" t="s">
        <v>2000</v>
      </c>
      <c r="M544" s="401" t="s">
        <v>763</v>
      </c>
      <c r="N544" s="393"/>
      <c r="O544" s="393"/>
      <c r="P544" s="401"/>
      <c r="Q544" s="401"/>
      <c r="R544" s="401"/>
    </row>
    <row r="545" spans="1:18" ht="20.25" customHeight="1">
      <c r="A545" s="401"/>
      <c r="B545" s="498"/>
      <c r="C545" s="496"/>
      <c r="D545" s="496">
        <v>2002673</v>
      </c>
      <c r="E545" s="393"/>
      <c r="F545" s="393" t="s">
        <v>634</v>
      </c>
      <c r="G545" s="408"/>
      <c r="H545" s="403"/>
      <c r="I545" s="393"/>
      <c r="J545" s="401"/>
      <c r="K545" s="401" t="s">
        <v>2001</v>
      </c>
      <c r="L545" s="420" t="s">
        <v>2002</v>
      </c>
      <c r="M545" s="401" t="s">
        <v>763</v>
      </c>
      <c r="N545" s="393"/>
      <c r="O545" s="393"/>
      <c r="P545" s="401"/>
      <c r="Q545" s="401"/>
      <c r="R545" s="401"/>
    </row>
    <row r="546" spans="1:18" ht="20.25" customHeight="1">
      <c r="A546" s="401"/>
      <c r="B546" s="498" t="s">
        <v>2761</v>
      </c>
      <c r="C546" s="496"/>
      <c r="D546" s="496">
        <v>2002673</v>
      </c>
      <c r="E546" s="393"/>
      <c r="F546" s="393" t="s">
        <v>631</v>
      </c>
      <c r="G546" s="408"/>
      <c r="H546" s="403"/>
      <c r="I546" s="393"/>
      <c r="J546" s="401"/>
      <c r="K546" s="401" t="s">
        <v>2003</v>
      </c>
      <c r="L546" t="s">
        <v>2004</v>
      </c>
      <c r="M546" s="401" t="s">
        <v>2872</v>
      </c>
      <c r="N546" s="393"/>
      <c r="O546" s="393"/>
      <c r="P546" s="401"/>
      <c r="Q546" s="401"/>
      <c r="R546" s="401"/>
    </row>
    <row r="547" spans="1:18" ht="20.25" customHeight="1">
      <c r="A547" s="401"/>
      <c r="B547" s="498"/>
      <c r="C547" s="496"/>
      <c r="D547" s="496">
        <v>2002673</v>
      </c>
      <c r="E547" s="393"/>
      <c r="F547" s="393" t="s">
        <v>653</v>
      </c>
      <c r="G547" s="408"/>
      <c r="H547" s="403"/>
      <c r="I547" s="393"/>
      <c r="J547" s="401"/>
      <c r="K547" s="401"/>
      <c r="L547" s="420" t="s">
        <v>2005</v>
      </c>
      <c r="M547" s="401"/>
      <c r="N547" s="393"/>
      <c r="O547" s="393"/>
      <c r="P547" s="401"/>
      <c r="Q547" s="401"/>
      <c r="R547" s="401"/>
    </row>
    <row r="548" spans="1:18" ht="20.25" customHeight="1">
      <c r="A548" s="401"/>
      <c r="B548" s="505" t="s">
        <v>794</v>
      </c>
      <c r="C548" s="496"/>
      <c r="D548" s="496">
        <v>2002673</v>
      </c>
      <c r="E548" s="393" t="s">
        <v>41</v>
      </c>
      <c r="F548" s="393" t="s">
        <v>654</v>
      </c>
      <c r="G548" s="408" t="s">
        <v>2316</v>
      </c>
      <c r="H548" s="403"/>
      <c r="I548" s="393"/>
      <c r="J548" s="401"/>
      <c r="K548" s="420" t="s">
        <v>2873</v>
      </c>
      <c r="L548" s="486" t="s">
        <v>2874</v>
      </c>
      <c r="M548" s="401" t="s">
        <v>763</v>
      </c>
      <c r="N548" s="393"/>
      <c r="O548" s="393"/>
      <c r="P548" s="401"/>
      <c r="Q548" s="401"/>
      <c r="R548" s="401"/>
    </row>
    <row r="549" spans="1:18" ht="31.5" customHeight="1">
      <c r="A549" s="401"/>
      <c r="B549" s="498" t="s">
        <v>948</v>
      </c>
      <c r="C549" s="496"/>
      <c r="D549" s="496" t="s">
        <v>2875</v>
      </c>
      <c r="E549" s="393"/>
      <c r="F549" s="393" t="s">
        <v>634</v>
      </c>
      <c r="G549" s="408"/>
      <c r="H549" s="403"/>
      <c r="I549" s="393"/>
      <c r="J549" s="401"/>
      <c r="K549" s="401" t="s">
        <v>2876</v>
      </c>
      <c r="L549" s="430" t="s">
        <v>2877</v>
      </c>
      <c r="M549" s="401" t="s">
        <v>741</v>
      </c>
      <c r="N549" s="393"/>
      <c r="O549" s="393"/>
      <c r="P549" s="401"/>
      <c r="Q549" s="401"/>
      <c r="R549" s="401"/>
    </row>
    <row r="550" spans="1:18" ht="20.25" customHeight="1">
      <c r="A550" s="401"/>
      <c r="B550" s="505"/>
      <c r="C550" s="496"/>
      <c r="D550" s="496">
        <v>2025214177</v>
      </c>
      <c r="E550" s="393"/>
      <c r="F550" s="393"/>
      <c r="G550" s="408"/>
      <c r="H550" s="403"/>
      <c r="I550" s="393"/>
      <c r="J550" s="401"/>
      <c r="K550" s="420"/>
      <c r="L550" s="457"/>
      <c r="M550" s="401"/>
      <c r="N550" s="393"/>
      <c r="O550" s="393"/>
      <c r="P550" s="401"/>
      <c r="Q550" s="401"/>
      <c r="R550" s="401"/>
    </row>
    <row r="551" spans="1:18" ht="20.25" customHeight="1">
      <c r="A551" s="401"/>
      <c r="B551" s="496" t="s">
        <v>3003</v>
      </c>
      <c r="C551" s="496"/>
      <c r="D551" s="27" t="s">
        <v>3000</v>
      </c>
      <c r="E551" s="393"/>
      <c r="F551" s="393" t="s">
        <v>631</v>
      </c>
      <c r="G551" s="408"/>
      <c r="H551" s="403">
        <v>46027</v>
      </c>
      <c r="I551" s="393"/>
      <c r="J551" s="401"/>
      <c r="K551" s="420" t="s">
        <v>3001</v>
      </c>
      <c r="L551" s="456" t="s">
        <v>3002</v>
      </c>
      <c r="M551" s="401" t="s">
        <v>733</v>
      </c>
      <c r="N551" s="393"/>
      <c r="O551" s="393"/>
      <c r="P551" s="401"/>
      <c r="Q551" s="401"/>
      <c r="R551" s="401"/>
    </row>
    <row r="552" spans="1:18" ht="20.25" customHeight="1">
      <c r="A552" s="401"/>
      <c r="B552" s="496" t="s">
        <v>3003</v>
      </c>
      <c r="C552" s="496"/>
      <c r="D552" s="27" t="s">
        <v>3000</v>
      </c>
      <c r="E552" s="393"/>
      <c r="F552" s="393" t="s">
        <v>638</v>
      </c>
      <c r="G552" s="408"/>
      <c r="H552" s="403">
        <v>46027</v>
      </c>
      <c r="I552" s="393"/>
      <c r="J552" s="401"/>
      <c r="K552" s="420" t="s">
        <v>41</v>
      </c>
      <c r="L552" s="420" t="s">
        <v>41</v>
      </c>
      <c r="M552" s="401" t="s">
        <v>733</v>
      </c>
      <c r="N552" s="393"/>
      <c r="O552" s="393"/>
      <c r="P552" s="401"/>
      <c r="Q552" s="401"/>
      <c r="R552" s="401"/>
    </row>
    <row r="553" spans="1:18" ht="20.25" customHeight="1">
      <c r="A553" s="401"/>
      <c r="B553" s="496" t="s">
        <v>3003</v>
      </c>
      <c r="C553" s="496"/>
      <c r="D553" s="27" t="s">
        <v>3000</v>
      </c>
      <c r="E553" s="393"/>
      <c r="F553" s="393" t="s">
        <v>653</v>
      </c>
      <c r="G553" s="408"/>
      <c r="H553" s="403">
        <v>46027</v>
      </c>
      <c r="I553" s="393"/>
      <c r="J553" s="401"/>
      <c r="K553" s="420" t="s">
        <v>41</v>
      </c>
      <c r="L553" s="456" t="s">
        <v>3006</v>
      </c>
      <c r="M553" s="401" t="s">
        <v>733</v>
      </c>
      <c r="N553" s="393"/>
      <c r="O553" s="393"/>
      <c r="P553" s="401"/>
      <c r="Q553" s="401"/>
      <c r="R553" s="401"/>
    </row>
    <row r="554" spans="1:18" ht="20.25" customHeight="1">
      <c r="A554" s="401"/>
      <c r="B554" s="505"/>
      <c r="C554" s="496"/>
      <c r="D554" s="496"/>
      <c r="E554" s="393"/>
      <c r="F554" s="393"/>
      <c r="G554" s="408"/>
      <c r="H554" s="403"/>
      <c r="I554" s="393"/>
      <c r="J554" s="401"/>
      <c r="K554" s="420"/>
      <c r="L554" s="457"/>
      <c r="M554" s="401"/>
      <c r="N554" s="393"/>
      <c r="O554" s="393"/>
      <c r="P554" s="401"/>
      <c r="Q554" s="401"/>
      <c r="R554" s="401"/>
    </row>
    <row r="555" spans="1:18" ht="20.25" customHeight="1">
      <c r="A555" s="401"/>
      <c r="B555" s="505"/>
      <c r="C555" s="496"/>
      <c r="D555" s="496"/>
      <c r="E555" s="393"/>
      <c r="F555" s="393"/>
      <c r="G555" s="408"/>
      <c r="H555" s="403"/>
      <c r="I555" s="393"/>
      <c r="J555" s="401"/>
      <c r="K555" s="420"/>
      <c r="L555" s="457"/>
      <c r="M555" s="401"/>
      <c r="N555" s="393"/>
      <c r="O555" s="393"/>
      <c r="P555" s="401"/>
      <c r="Q555" s="401"/>
      <c r="R555" s="401"/>
    </row>
    <row r="556" spans="1:18" ht="20.25" customHeight="1">
      <c r="A556" s="401"/>
      <c r="B556" s="505"/>
      <c r="C556" s="496"/>
      <c r="D556" s="496"/>
      <c r="E556" s="393"/>
      <c r="F556" s="393"/>
      <c r="G556" s="408"/>
      <c r="H556" s="403"/>
      <c r="I556" s="393"/>
      <c r="J556" s="401"/>
      <c r="K556" s="420"/>
      <c r="L556" s="457"/>
      <c r="M556" s="401"/>
      <c r="N556" s="393"/>
      <c r="O556" s="393"/>
      <c r="P556" s="401"/>
      <c r="Q556" s="401"/>
      <c r="R556" s="401"/>
    </row>
    <row r="557" spans="1:18" ht="20.25" customHeight="1">
      <c r="A557" s="401"/>
      <c r="B557" s="505"/>
      <c r="C557" s="496"/>
      <c r="D557" s="496"/>
      <c r="E557" s="393"/>
      <c r="F557" s="393"/>
      <c r="G557" s="408"/>
      <c r="H557" s="403"/>
      <c r="I557" s="393"/>
      <c r="J557" s="401"/>
      <c r="K557" s="420"/>
      <c r="L557" s="457"/>
      <c r="M557" s="401"/>
      <c r="N557" s="393"/>
      <c r="O557" s="393"/>
      <c r="P557" s="401"/>
      <c r="Q557" s="401"/>
      <c r="R557" s="401"/>
    </row>
    <row r="558" spans="1:18" ht="20.25" customHeight="1">
      <c r="A558" s="401"/>
      <c r="B558" s="505"/>
      <c r="C558" s="496"/>
      <c r="D558" s="496"/>
      <c r="E558" s="393"/>
      <c r="F558" s="393"/>
      <c r="G558" s="408"/>
      <c r="H558" s="403"/>
      <c r="I558" s="393"/>
      <c r="J558" s="401"/>
      <c r="K558" s="420"/>
      <c r="L558" s="457"/>
      <c r="M558" s="401"/>
      <c r="N558" s="393"/>
      <c r="O558" s="393"/>
      <c r="P558" s="401"/>
      <c r="Q558" s="401"/>
      <c r="R558" s="401"/>
    </row>
    <row r="559" spans="1:18" ht="20.25" customHeight="1">
      <c r="A559" s="401"/>
      <c r="B559" s="505"/>
      <c r="C559" s="496"/>
      <c r="D559" s="496"/>
      <c r="E559" s="393"/>
      <c r="F559" s="393"/>
      <c r="G559" s="408"/>
      <c r="H559" s="403"/>
      <c r="I559" s="393"/>
      <c r="J559" s="401"/>
      <c r="K559" s="420"/>
      <c r="L559" s="457"/>
      <c r="M559" s="401"/>
      <c r="N559" s="393"/>
      <c r="O559" s="393"/>
      <c r="P559" s="401"/>
      <c r="Q559" s="401"/>
      <c r="R559" s="401"/>
    </row>
    <row r="560" spans="1:18" ht="20.25" customHeight="1">
      <c r="A560" s="401"/>
      <c r="B560" s="505"/>
      <c r="C560" s="496"/>
      <c r="D560" s="496"/>
      <c r="E560" s="393"/>
      <c r="F560" s="393"/>
      <c r="G560" s="408"/>
      <c r="H560" s="403"/>
      <c r="I560" s="393"/>
      <c r="J560" s="401"/>
      <c r="K560" s="420"/>
      <c r="L560" s="457"/>
      <c r="M560" s="401"/>
      <c r="N560" s="393"/>
      <c r="O560" s="393"/>
      <c r="P560" s="401"/>
      <c r="Q560" s="401"/>
      <c r="R560" s="401"/>
    </row>
    <row r="561" spans="1:18" ht="20.25" customHeight="1">
      <c r="A561" s="401"/>
      <c r="B561" s="505"/>
      <c r="C561" s="496"/>
      <c r="D561" s="496"/>
      <c r="E561" s="393"/>
      <c r="F561" s="393"/>
      <c r="G561" s="408"/>
      <c r="H561" s="403"/>
      <c r="I561" s="393"/>
      <c r="J561" s="401"/>
      <c r="K561" s="420"/>
      <c r="L561" s="457"/>
      <c r="M561" s="401"/>
      <c r="N561" s="393"/>
      <c r="O561" s="393"/>
      <c r="P561" s="401"/>
      <c r="Q561" s="401"/>
      <c r="R561" s="401"/>
    </row>
    <row r="562" spans="1:18" ht="20.25" customHeight="1">
      <c r="A562" s="401"/>
      <c r="B562" s="505"/>
      <c r="C562" s="496"/>
      <c r="D562" s="496"/>
      <c r="E562" s="393"/>
      <c r="F562" s="393"/>
      <c r="G562" s="408"/>
      <c r="H562" s="403"/>
      <c r="I562" s="393"/>
      <c r="J562" s="401"/>
      <c r="K562" s="420"/>
      <c r="L562" s="457"/>
      <c r="M562" s="401"/>
      <c r="N562" s="393"/>
      <c r="O562" s="393"/>
      <c r="P562" s="401"/>
      <c r="Q562" s="401"/>
      <c r="R562" s="401"/>
    </row>
    <row r="563" spans="1:18" ht="20.25" customHeight="1">
      <c r="A563" s="401"/>
      <c r="B563" s="505"/>
      <c r="C563" s="496"/>
      <c r="D563" s="496"/>
      <c r="E563" s="393"/>
      <c r="F563" s="393"/>
      <c r="G563" s="408"/>
      <c r="H563" s="403"/>
      <c r="I563" s="393"/>
      <c r="J563" s="401"/>
      <c r="K563" s="420"/>
      <c r="L563" s="457"/>
      <c r="M563" s="401"/>
      <c r="N563" s="393"/>
      <c r="O563" s="393"/>
      <c r="P563" s="401"/>
      <c r="Q563" s="401"/>
      <c r="R563" s="401"/>
    </row>
    <row r="564" spans="1:18" ht="20.25" customHeight="1">
      <c r="A564" s="401"/>
      <c r="B564" s="505"/>
      <c r="C564" s="496"/>
      <c r="D564" s="496"/>
      <c r="E564" s="393"/>
      <c r="F564" s="393"/>
      <c r="G564" s="408"/>
      <c r="H564" s="403"/>
      <c r="I564" s="393"/>
      <c r="J564" s="401"/>
      <c r="K564" s="420"/>
      <c r="L564" s="457"/>
      <c r="M564" s="401"/>
      <c r="N564" s="393"/>
      <c r="O564" s="393"/>
      <c r="P564" s="401"/>
      <c r="Q564" s="401"/>
      <c r="R564" s="401"/>
    </row>
    <row r="565" spans="1:18" ht="20.25" customHeight="1">
      <c r="A565" s="401"/>
      <c r="B565" s="505"/>
      <c r="C565" s="496"/>
      <c r="D565" s="496"/>
      <c r="E565" s="393"/>
      <c r="F565" s="393"/>
      <c r="G565" s="408"/>
      <c r="H565" s="403"/>
      <c r="I565" s="393"/>
      <c r="J565" s="401"/>
      <c r="K565" s="420"/>
      <c r="L565" s="457"/>
      <c r="M565" s="401"/>
      <c r="N565" s="393"/>
      <c r="O565" s="393"/>
      <c r="P565" s="401"/>
      <c r="Q565" s="401"/>
      <c r="R565" s="401"/>
    </row>
    <row r="566" spans="1:18" ht="20.25" customHeight="1">
      <c r="A566" s="401"/>
      <c r="B566" s="420"/>
      <c r="C566" s="393"/>
      <c r="D566" s="393"/>
      <c r="E566" s="393"/>
      <c r="F566" s="393"/>
      <c r="G566" s="408"/>
      <c r="H566" s="403"/>
      <c r="I566" s="393"/>
      <c r="J566" s="401"/>
      <c r="K566" s="420"/>
      <c r="L566" s="457"/>
      <c r="M566" s="401"/>
      <c r="N566" s="393"/>
      <c r="O566" s="393"/>
      <c r="P566" s="401"/>
      <c r="Q566" s="401"/>
      <c r="R566" s="401"/>
    </row>
    <row r="567" spans="1:18" ht="20.25" customHeight="1">
      <c r="A567" s="401"/>
      <c r="B567" s="420"/>
      <c r="C567" s="393"/>
      <c r="D567" s="393"/>
      <c r="E567" s="393"/>
      <c r="F567" s="393"/>
      <c r="G567" s="408"/>
      <c r="H567" s="403"/>
      <c r="I567" s="393"/>
      <c r="J567" s="401"/>
      <c r="K567" s="420"/>
      <c r="L567" s="457"/>
      <c r="M567" s="401"/>
      <c r="N567" s="393"/>
      <c r="O567" s="393"/>
      <c r="P567" s="401"/>
      <c r="Q567" s="401"/>
      <c r="R567" s="401"/>
    </row>
    <row r="568" spans="1:18" ht="20.25" customHeight="1">
      <c r="A568" s="401"/>
      <c r="B568" s="420"/>
      <c r="C568" s="393"/>
      <c r="D568" s="393"/>
      <c r="E568" s="393"/>
      <c r="F568" s="393"/>
      <c r="G568" s="408"/>
      <c r="H568" s="403"/>
      <c r="I568" s="393"/>
      <c r="J568" s="401"/>
      <c r="K568" s="420"/>
      <c r="L568" s="457"/>
      <c r="M568" s="401"/>
      <c r="N568" s="393"/>
      <c r="O568" s="393"/>
      <c r="P568" s="401"/>
      <c r="Q568" s="401"/>
      <c r="R568" s="401"/>
    </row>
    <row r="569" spans="1:18" ht="20.25" customHeight="1">
      <c r="A569" s="401"/>
      <c r="B569" s="420"/>
      <c r="C569" s="393"/>
      <c r="D569" s="393"/>
      <c r="E569" s="393"/>
      <c r="F569" s="393"/>
      <c r="G569" s="408"/>
      <c r="H569" s="403"/>
      <c r="I569" s="393"/>
      <c r="J569" s="401"/>
      <c r="K569" s="420"/>
      <c r="L569" s="457"/>
      <c r="M569" s="401"/>
      <c r="N569" s="393"/>
      <c r="O569" s="393"/>
      <c r="P569" s="401"/>
      <c r="Q569" s="401"/>
      <c r="R569" s="401"/>
    </row>
    <row r="570" spans="1:18" ht="20.25" customHeight="1">
      <c r="A570" s="401"/>
      <c r="B570" s="420"/>
      <c r="C570" s="393"/>
      <c r="D570" s="393"/>
      <c r="E570" s="393"/>
      <c r="F570" s="393"/>
      <c r="G570" s="408"/>
      <c r="H570" s="403"/>
      <c r="I570" s="393"/>
      <c r="J570" s="401"/>
      <c r="K570" s="420"/>
      <c r="L570" s="457"/>
      <c r="M570" s="401"/>
      <c r="N570" s="393"/>
      <c r="O570" s="393"/>
      <c r="P570" s="401"/>
      <c r="Q570" s="401"/>
      <c r="R570" s="401"/>
    </row>
    <row r="571" spans="1:18" ht="20.25" customHeight="1">
      <c r="A571" s="401"/>
      <c r="B571" s="420"/>
      <c r="C571" s="393"/>
      <c r="D571" s="393"/>
      <c r="E571" s="393"/>
      <c r="F571" s="393"/>
      <c r="G571" s="408"/>
      <c r="H571" s="403"/>
      <c r="I571" s="393"/>
      <c r="J571" s="401"/>
      <c r="K571" s="420"/>
      <c r="L571" s="457"/>
      <c r="M571" s="401"/>
      <c r="N571" s="393"/>
      <c r="O571" s="393"/>
      <c r="P571" s="401"/>
      <c r="Q571" s="401"/>
      <c r="R571" s="401"/>
    </row>
    <row r="572" spans="1:18" ht="20.25" customHeight="1">
      <c r="A572" s="401"/>
      <c r="B572" s="420"/>
      <c r="C572" s="393"/>
      <c r="D572" s="393"/>
      <c r="E572" s="393"/>
      <c r="F572" s="393"/>
      <c r="G572" s="408"/>
      <c r="H572" s="403"/>
      <c r="I572" s="393"/>
      <c r="J572" s="401"/>
      <c r="K572" s="420"/>
      <c r="L572" s="457"/>
      <c r="M572" s="401"/>
      <c r="N572" s="393"/>
      <c r="O572" s="393"/>
      <c r="P572" s="401"/>
      <c r="Q572" s="401"/>
      <c r="R572" s="401"/>
    </row>
    <row r="573" spans="1:18" ht="20.25" customHeight="1">
      <c r="A573" s="401"/>
      <c r="B573" s="420"/>
      <c r="C573" s="393"/>
      <c r="D573" s="393"/>
      <c r="E573" s="393"/>
      <c r="F573" s="393"/>
      <c r="G573" s="408"/>
      <c r="H573" s="403"/>
      <c r="I573" s="393"/>
      <c r="J573" s="401"/>
      <c r="K573" s="420"/>
      <c r="L573" s="457"/>
      <c r="M573" s="401"/>
      <c r="N573" s="393"/>
      <c r="O573" s="393"/>
      <c r="P573" s="401"/>
      <c r="Q573" s="401"/>
      <c r="R573" s="401"/>
    </row>
    <row r="574" spans="1:18" ht="20.25" customHeight="1">
      <c r="A574" s="401"/>
      <c r="B574" s="420"/>
      <c r="C574" s="393"/>
      <c r="D574" s="393"/>
      <c r="E574" s="393"/>
      <c r="F574" s="393"/>
      <c r="G574" s="408"/>
      <c r="H574" s="403"/>
      <c r="I574" s="393"/>
      <c r="J574" s="401"/>
      <c r="K574" s="420"/>
      <c r="L574" s="457"/>
      <c r="M574" s="401"/>
      <c r="N574" s="393"/>
      <c r="O574" s="393"/>
      <c r="P574" s="401"/>
      <c r="Q574" s="401"/>
      <c r="R574" s="401"/>
    </row>
    <row r="575" spans="1:18" ht="20.25" customHeight="1">
      <c r="A575" s="401"/>
      <c r="B575" s="420"/>
      <c r="C575" s="393"/>
      <c r="D575" s="393"/>
      <c r="E575" s="393"/>
      <c r="F575" s="393"/>
      <c r="G575" s="408"/>
      <c r="H575" s="403"/>
      <c r="I575" s="393"/>
      <c r="J575" s="401"/>
      <c r="K575" s="420"/>
      <c r="L575" s="457"/>
      <c r="M575" s="401"/>
      <c r="N575" s="393"/>
      <c r="O575" s="393"/>
      <c r="P575" s="401"/>
      <c r="Q575" s="401"/>
      <c r="R575" s="401"/>
    </row>
    <row r="576" spans="1:18" ht="20.25" customHeight="1">
      <c r="A576" s="401"/>
      <c r="B576" s="420"/>
      <c r="C576" s="393"/>
      <c r="D576" s="393"/>
      <c r="E576" s="393"/>
      <c r="F576" s="393"/>
      <c r="G576" s="408"/>
      <c r="H576" s="403"/>
      <c r="I576" s="393"/>
      <c r="J576" s="401"/>
      <c r="K576" s="420"/>
      <c r="L576" s="457"/>
      <c r="M576" s="401"/>
      <c r="N576" s="393"/>
      <c r="O576" s="393"/>
      <c r="P576" s="401"/>
      <c r="Q576" s="401"/>
      <c r="R576" s="401"/>
    </row>
    <row r="577" spans="1:18" ht="20.25" customHeight="1">
      <c r="A577" s="401"/>
      <c r="B577" s="420"/>
      <c r="C577" s="393"/>
      <c r="D577" s="393"/>
      <c r="E577" s="393"/>
      <c r="F577" s="393"/>
      <c r="G577" s="408"/>
      <c r="H577" s="403"/>
      <c r="I577" s="393"/>
      <c r="J577" s="401"/>
      <c r="K577" s="420"/>
      <c r="L577" s="457"/>
      <c r="M577" s="401"/>
      <c r="N577" s="393"/>
      <c r="O577" s="393"/>
      <c r="P577" s="401"/>
      <c r="Q577" s="401"/>
      <c r="R577" s="401"/>
    </row>
    <row r="578" spans="1:18" ht="20.25" customHeight="1">
      <c r="A578" s="401"/>
      <c r="B578" s="420"/>
      <c r="C578" s="393"/>
      <c r="D578" s="393"/>
      <c r="E578" s="393"/>
      <c r="F578" s="393"/>
      <c r="G578" s="408"/>
      <c r="H578" s="403"/>
      <c r="I578" s="393"/>
      <c r="J578" s="401"/>
      <c r="K578" s="420"/>
      <c r="L578" s="457"/>
      <c r="M578" s="401"/>
      <c r="N578" s="393"/>
      <c r="O578" s="393"/>
      <c r="P578" s="401"/>
      <c r="Q578" s="401"/>
      <c r="R578" s="401"/>
    </row>
    <row r="579" spans="1:18" ht="20.25" customHeight="1">
      <c r="A579" s="401"/>
      <c r="B579" s="420"/>
      <c r="C579" s="393"/>
      <c r="D579" s="393"/>
      <c r="E579" s="393"/>
      <c r="F579" s="393"/>
      <c r="G579" s="408"/>
      <c r="H579" s="403"/>
      <c r="I579" s="393"/>
      <c r="J579" s="401"/>
      <c r="K579" s="420"/>
      <c r="L579" s="457"/>
      <c r="M579" s="401"/>
      <c r="N579" s="393"/>
      <c r="O579" s="393"/>
      <c r="P579" s="401"/>
      <c r="Q579" s="401"/>
      <c r="R579" s="401"/>
    </row>
    <row r="580" spans="1:18" ht="20.25" customHeight="1">
      <c r="A580" s="401"/>
      <c r="B580" s="420"/>
      <c r="C580" s="393"/>
      <c r="D580" s="393"/>
      <c r="E580" s="393"/>
      <c r="F580" s="393"/>
      <c r="G580" s="408"/>
      <c r="H580" s="403"/>
      <c r="I580" s="393"/>
      <c r="J580" s="401"/>
      <c r="K580" s="420"/>
      <c r="L580" s="457"/>
      <c r="M580" s="401"/>
      <c r="N580" s="393"/>
      <c r="O580" s="393"/>
      <c r="P580" s="401"/>
      <c r="Q580" s="401"/>
      <c r="R580" s="401"/>
    </row>
    <row r="581" spans="1:18" ht="20.25" customHeight="1">
      <c r="A581" s="401"/>
      <c r="B581" s="420"/>
      <c r="C581" s="393"/>
      <c r="D581" s="393"/>
      <c r="E581" s="393"/>
      <c r="F581" s="393"/>
      <c r="G581" s="408"/>
      <c r="H581" s="403"/>
      <c r="I581" s="393"/>
      <c r="J581" s="401"/>
      <c r="K581" s="420"/>
      <c r="L581" s="457"/>
      <c r="M581" s="401"/>
      <c r="N581" s="393"/>
      <c r="O581" s="393"/>
      <c r="P581" s="401"/>
      <c r="Q581" s="401"/>
      <c r="R581" s="401"/>
    </row>
    <row r="582" spans="1:18" ht="20.25" customHeight="1">
      <c r="A582" s="401"/>
      <c r="B582" s="420"/>
      <c r="C582" s="393"/>
      <c r="D582" s="393"/>
      <c r="E582" s="393"/>
      <c r="F582" s="393"/>
      <c r="G582" s="408"/>
      <c r="H582" s="403"/>
      <c r="I582" s="393"/>
      <c r="J582" s="401"/>
      <c r="K582" s="420"/>
      <c r="L582" s="457"/>
      <c r="M582" s="401"/>
      <c r="N582" s="393"/>
      <c r="O582" s="393"/>
      <c r="P582" s="401"/>
      <c r="Q582" s="401"/>
      <c r="R582" s="401"/>
    </row>
    <row r="583" spans="1:18" ht="20.25" customHeight="1">
      <c r="A583" s="401"/>
      <c r="B583" s="420"/>
      <c r="C583" s="393"/>
      <c r="D583" s="393"/>
      <c r="E583" s="393"/>
      <c r="F583" s="393"/>
      <c r="G583" s="408"/>
      <c r="H583" s="403"/>
      <c r="I583" s="393"/>
      <c r="J583" s="401"/>
      <c r="K583" s="420"/>
      <c r="L583" s="457"/>
      <c r="M583" s="401"/>
      <c r="N583" s="393"/>
      <c r="O583" s="393"/>
      <c r="P583" s="401"/>
      <c r="Q583" s="401"/>
      <c r="R583" s="401"/>
    </row>
    <row r="584" spans="1:18" ht="20.25" customHeight="1">
      <c r="A584" s="401"/>
      <c r="B584" s="420"/>
      <c r="C584" s="393"/>
      <c r="D584" s="393"/>
      <c r="E584" s="393"/>
      <c r="F584" s="393"/>
      <c r="G584" s="408"/>
      <c r="H584" s="403"/>
      <c r="I584" s="393"/>
      <c r="J584" s="401"/>
      <c r="K584" s="420"/>
      <c r="L584" s="457"/>
      <c r="M584" s="401"/>
      <c r="N584" s="393"/>
      <c r="O584" s="393"/>
      <c r="P584" s="401"/>
      <c r="Q584" s="401"/>
      <c r="R584" s="401"/>
    </row>
    <row r="585" spans="1:18" ht="20.25" customHeight="1">
      <c r="A585" s="401"/>
      <c r="B585" s="420"/>
      <c r="C585" s="393"/>
      <c r="D585" s="393"/>
      <c r="E585" s="393"/>
      <c r="F585" s="393"/>
      <c r="G585" s="408"/>
      <c r="H585" s="403"/>
      <c r="I585" s="393"/>
      <c r="J585" s="401"/>
      <c r="K585" s="420"/>
      <c r="L585" s="457"/>
      <c r="M585" s="401"/>
      <c r="N585" s="393"/>
      <c r="O585" s="393"/>
      <c r="P585" s="401"/>
      <c r="Q585" s="401"/>
      <c r="R585" s="401"/>
    </row>
    <row r="586" spans="1:18" ht="20.25" customHeight="1">
      <c r="A586" s="401"/>
      <c r="B586" s="420"/>
      <c r="C586" s="393"/>
      <c r="D586" s="393"/>
      <c r="E586" s="393"/>
      <c r="F586" s="393"/>
      <c r="G586" s="408"/>
      <c r="H586" s="403"/>
      <c r="I586" s="393"/>
      <c r="J586" s="401"/>
      <c r="K586" s="420"/>
      <c r="L586" s="457"/>
      <c r="M586" s="401"/>
      <c r="N586" s="393"/>
      <c r="O586" s="393"/>
      <c r="P586" s="401"/>
      <c r="Q586" s="401"/>
      <c r="R586" s="401"/>
    </row>
    <row r="587" spans="1:18" ht="20.25" customHeight="1">
      <c r="A587" s="401"/>
      <c r="B587" s="420"/>
      <c r="C587" s="393"/>
      <c r="D587" s="393"/>
      <c r="E587" s="393"/>
      <c r="F587" s="393"/>
      <c r="G587" s="408"/>
      <c r="H587" s="403"/>
      <c r="I587" s="393"/>
      <c r="J587" s="401"/>
      <c r="K587" s="420"/>
      <c r="L587" s="457"/>
      <c r="M587" s="401"/>
      <c r="N587" s="393"/>
      <c r="O587" s="393"/>
      <c r="P587" s="401"/>
      <c r="Q587" s="401"/>
      <c r="R587" s="401"/>
    </row>
    <row r="588" spans="1:18" ht="20.25" customHeight="1">
      <c r="A588" s="401"/>
      <c r="B588" s="420"/>
      <c r="C588" s="393"/>
      <c r="D588" s="393"/>
      <c r="E588" s="393"/>
      <c r="F588" s="393"/>
      <c r="G588" s="408"/>
      <c r="H588" s="403"/>
      <c r="I588" s="393"/>
      <c r="J588" s="401"/>
      <c r="K588" s="420"/>
      <c r="L588" s="457"/>
      <c r="M588" s="401"/>
      <c r="N588" s="393"/>
      <c r="O588" s="393"/>
      <c r="P588" s="401"/>
      <c r="Q588" s="401"/>
      <c r="R588" s="401"/>
    </row>
    <row r="589" spans="1:18" ht="20.25" customHeight="1">
      <c r="A589" s="401"/>
      <c r="B589" s="420"/>
      <c r="C589" s="393"/>
      <c r="D589" s="393"/>
      <c r="E589" s="393"/>
      <c r="F589" s="393"/>
      <c r="G589" s="408"/>
      <c r="H589" s="403"/>
      <c r="I589" s="393"/>
      <c r="J589" s="401"/>
      <c r="K589" s="420"/>
      <c r="L589" s="457"/>
      <c r="M589" s="401"/>
      <c r="N589" s="393"/>
      <c r="O589" s="393"/>
      <c r="P589" s="401"/>
      <c r="Q589" s="401"/>
      <c r="R589" s="401"/>
    </row>
    <row r="590" spans="1:18" ht="20.25" customHeight="1">
      <c r="A590" s="401"/>
      <c r="B590" s="420"/>
      <c r="C590" s="393"/>
      <c r="D590" s="393"/>
      <c r="E590" s="393"/>
      <c r="F590" s="393"/>
      <c r="G590" s="408"/>
      <c r="H590" s="403"/>
      <c r="I590" s="393"/>
      <c r="J590" s="401"/>
      <c r="K590" s="420"/>
      <c r="L590" s="457"/>
      <c r="M590" s="401"/>
      <c r="N590" s="393"/>
      <c r="O590" s="393"/>
      <c r="P590" s="401"/>
      <c r="Q590" s="401"/>
      <c r="R590" s="401"/>
    </row>
    <row r="591" spans="1:18" ht="20.25" customHeight="1">
      <c r="A591" s="401"/>
      <c r="B591" s="420"/>
      <c r="C591" s="393"/>
      <c r="D591" s="393"/>
      <c r="E591" s="393"/>
      <c r="F591" s="393"/>
      <c r="G591" s="408"/>
      <c r="H591" s="403"/>
      <c r="I591" s="393"/>
      <c r="J591" s="401"/>
      <c r="K591" s="420"/>
      <c r="L591" s="457"/>
      <c r="M591" s="401"/>
      <c r="N591" s="393"/>
      <c r="O591" s="393"/>
      <c r="P591" s="401"/>
      <c r="Q591" s="401"/>
      <c r="R591" s="401"/>
    </row>
    <row r="592" spans="1:18" ht="20.25" customHeight="1">
      <c r="A592" s="401"/>
      <c r="B592" s="420"/>
      <c r="C592" s="393"/>
      <c r="D592" s="393"/>
      <c r="E592" s="393"/>
      <c r="F592" s="393"/>
      <c r="G592" s="408"/>
      <c r="H592" s="403"/>
      <c r="I592" s="393"/>
      <c r="J592" s="401"/>
      <c r="K592" s="420"/>
      <c r="L592" s="457"/>
      <c r="M592" s="401"/>
      <c r="N592" s="393"/>
      <c r="O592" s="393"/>
      <c r="P592" s="401"/>
      <c r="Q592" s="401"/>
      <c r="R592" s="401"/>
    </row>
    <row r="593" spans="1:18" ht="20.25" customHeight="1">
      <c r="A593" s="401"/>
      <c r="B593" s="420"/>
      <c r="C593" s="393"/>
      <c r="D593" s="393"/>
      <c r="E593" s="393"/>
      <c r="F593" s="393"/>
      <c r="G593" s="408"/>
      <c r="H593" s="403"/>
      <c r="I593" s="393"/>
      <c r="J593" s="401"/>
      <c r="K593" s="420"/>
      <c r="L593" s="457"/>
      <c r="M593" s="401"/>
      <c r="N593" s="393"/>
      <c r="O593" s="393"/>
      <c r="P593" s="401"/>
      <c r="Q593" s="401"/>
      <c r="R593" s="401"/>
    </row>
    <row r="594" spans="1:18" ht="20.25" customHeight="1">
      <c r="A594" s="401"/>
      <c r="B594" s="420"/>
      <c r="C594" s="393"/>
      <c r="D594" s="393"/>
      <c r="E594" s="393"/>
      <c r="F594" s="393"/>
      <c r="G594" s="408"/>
      <c r="H594" s="403"/>
      <c r="I594" s="393"/>
      <c r="J594" s="401"/>
      <c r="K594" s="420"/>
      <c r="L594" s="457"/>
      <c r="M594" s="401"/>
      <c r="N594" s="393"/>
      <c r="O594" s="393"/>
      <c r="P594" s="401"/>
      <c r="Q594" s="401"/>
      <c r="R594" s="401"/>
    </row>
    <row r="595" spans="1:18" ht="20.25" customHeight="1">
      <c r="A595" s="401"/>
      <c r="B595" s="420"/>
      <c r="C595" s="393"/>
      <c r="D595" s="393"/>
      <c r="E595" s="393"/>
      <c r="F595" s="393"/>
      <c r="G595" s="408"/>
      <c r="H595" s="403"/>
      <c r="I595" s="393"/>
      <c r="J595" s="401"/>
      <c r="K595" s="420"/>
      <c r="L595" s="457"/>
      <c r="M595" s="401"/>
      <c r="N595" s="393"/>
      <c r="O595" s="393"/>
      <c r="P595" s="401"/>
      <c r="Q595" s="401"/>
      <c r="R595" s="401"/>
    </row>
    <row r="596" spans="1:18" ht="20.25" customHeight="1">
      <c r="A596" s="401"/>
      <c r="B596" s="420"/>
      <c r="C596" s="393"/>
      <c r="D596" s="393"/>
      <c r="E596" s="393"/>
      <c r="F596" s="393"/>
      <c r="G596" s="408"/>
      <c r="H596" s="403"/>
      <c r="I596" s="393"/>
      <c r="J596" s="401"/>
      <c r="K596" s="420"/>
      <c r="L596" s="457"/>
      <c r="M596" s="401"/>
      <c r="N596" s="393"/>
      <c r="O596" s="393"/>
      <c r="P596" s="401"/>
      <c r="Q596" s="401"/>
      <c r="R596" s="401"/>
    </row>
    <row r="597" spans="1:18" ht="20.25" customHeight="1">
      <c r="A597" s="401"/>
      <c r="B597" s="420"/>
      <c r="C597" s="393"/>
      <c r="D597" s="393"/>
      <c r="E597" s="393"/>
      <c r="F597" s="393"/>
      <c r="G597" s="408"/>
      <c r="H597" s="403"/>
      <c r="I597" s="393"/>
      <c r="J597" s="401"/>
      <c r="K597" s="420"/>
      <c r="L597" s="457"/>
      <c r="M597" s="401"/>
      <c r="N597" s="393"/>
      <c r="O597" s="393"/>
      <c r="P597" s="401"/>
      <c r="Q597" s="401"/>
      <c r="R597" s="401"/>
    </row>
    <row r="598" spans="1:18" ht="20.25" customHeight="1">
      <c r="A598" s="401"/>
      <c r="B598" s="420"/>
      <c r="C598" s="393"/>
      <c r="D598" s="393"/>
      <c r="E598" s="393"/>
      <c r="F598" s="393"/>
      <c r="G598" s="408"/>
      <c r="H598" s="403"/>
      <c r="I598" s="393"/>
      <c r="J598" s="401"/>
      <c r="K598" s="420"/>
      <c r="L598" s="457"/>
      <c r="M598" s="401"/>
      <c r="N598" s="393"/>
      <c r="O598" s="393"/>
      <c r="P598" s="401"/>
      <c r="Q598" s="401"/>
      <c r="R598" s="401"/>
    </row>
    <row r="599" spans="1:18" ht="20.25" customHeight="1">
      <c r="A599" s="401"/>
      <c r="B599" s="420"/>
      <c r="C599" s="393"/>
      <c r="D599" s="393"/>
      <c r="E599" s="393"/>
      <c r="F599" s="393"/>
      <c r="G599" s="408"/>
      <c r="H599" s="403"/>
      <c r="I599" s="393"/>
      <c r="J599" s="401"/>
      <c r="K599" s="420"/>
      <c r="L599" s="457"/>
      <c r="M599" s="401"/>
      <c r="N599" s="393"/>
      <c r="O599" s="393"/>
      <c r="P599" s="401"/>
      <c r="Q599" s="401"/>
      <c r="R599" s="401"/>
    </row>
    <row r="600" spans="1:18" ht="20.25" customHeight="1">
      <c r="A600" s="401"/>
      <c r="B600" s="420"/>
      <c r="C600" s="393"/>
      <c r="D600" s="393"/>
      <c r="E600" s="393"/>
      <c r="F600" s="393"/>
      <c r="G600" s="408"/>
      <c r="H600" s="403"/>
      <c r="I600" s="393"/>
      <c r="J600" s="401"/>
      <c r="K600" s="420"/>
      <c r="L600" s="457"/>
      <c r="M600" s="401"/>
      <c r="N600" s="393"/>
      <c r="O600" s="393"/>
      <c r="P600" s="401"/>
      <c r="Q600" s="401"/>
      <c r="R600" s="401"/>
    </row>
    <row r="601" spans="1:18" ht="20.25" customHeight="1">
      <c r="A601" s="401"/>
      <c r="B601" s="420"/>
      <c r="C601" s="393"/>
      <c r="D601" s="393"/>
      <c r="E601" s="393"/>
      <c r="F601" s="393"/>
      <c r="G601" s="408"/>
      <c r="H601" s="403"/>
      <c r="I601" s="393"/>
      <c r="J601" s="401"/>
      <c r="K601" s="420"/>
      <c r="L601" s="457"/>
      <c r="M601" s="401"/>
      <c r="N601" s="393"/>
      <c r="O601" s="393"/>
      <c r="P601" s="401"/>
      <c r="Q601" s="401"/>
      <c r="R601" s="401"/>
    </row>
    <row r="602" spans="1:18" ht="20.25" customHeight="1">
      <c r="A602" s="401"/>
      <c r="B602" s="420"/>
      <c r="C602" s="393"/>
      <c r="D602" s="393"/>
      <c r="E602" s="393"/>
      <c r="F602" s="393"/>
      <c r="G602" s="408"/>
      <c r="H602" s="403"/>
      <c r="I602" s="393"/>
      <c r="J602" s="401"/>
      <c r="K602" s="420"/>
      <c r="L602" s="457"/>
      <c r="M602" s="401"/>
      <c r="N602" s="393"/>
      <c r="O602" s="393"/>
      <c r="P602" s="401"/>
      <c r="Q602" s="401"/>
      <c r="R602" s="401"/>
    </row>
    <row r="603" spans="1:18" ht="20.25" customHeight="1">
      <c r="A603" s="401"/>
      <c r="B603" s="420"/>
      <c r="C603" s="393"/>
      <c r="D603" s="393"/>
      <c r="E603" s="393"/>
      <c r="F603" s="393"/>
      <c r="G603" s="408"/>
      <c r="H603" s="403"/>
      <c r="I603" s="393"/>
      <c r="J603" s="401"/>
      <c r="K603" s="420"/>
      <c r="L603" s="457"/>
      <c r="M603" s="401"/>
      <c r="N603" s="393"/>
      <c r="O603" s="393"/>
      <c r="P603" s="401"/>
      <c r="Q603" s="401"/>
      <c r="R603" s="401"/>
    </row>
    <row r="604" spans="1:18" ht="20.25" customHeight="1">
      <c r="A604" s="401"/>
      <c r="B604" s="420"/>
      <c r="C604" s="393"/>
      <c r="D604" s="393"/>
      <c r="E604" s="393"/>
      <c r="F604" s="393"/>
      <c r="G604" s="408"/>
      <c r="H604" s="403"/>
      <c r="I604" s="393"/>
      <c r="J604" s="401"/>
      <c r="K604" s="420"/>
      <c r="L604" s="457"/>
      <c r="M604" s="401"/>
      <c r="N604" s="393"/>
      <c r="O604" s="393"/>
      <c r="P604" s="401"/>
      <c r="Q604" s="401"/>
      <c r="R604" s="401"/>
    </row>
    <row r="605" spans="1:18" ht="20.25" customHeight="1">
      <c r="A605" s="401"/>
      <c r="B605" s="420"/>
      <c r="C605" s="393"/>
      <c r="D605" s="393"/>
      <c r="E605" s="393"/>
      <c r="F605" s="393"/>
      <c r="G605" s="408"/>
      <c r="H605" s="403"/>
      <c r="I605" s="393"/>
      <c r="J605" s="401"/>
      <c r="K605" s="420"/>
      <c r="L605" s="457"/>
      <c r="M605" s="401"/>
      <c r="N605" s="393"/>
      <c r="O605" s="393"/>
      <c r="P605" s="401"/>
      <c r="Q605" s="401"/>
      <c r="R605" s="401"/>
    </row>
    <row r="606" spans="1:18" ht="20.25" customHeight="1">
      <c r="A606" s="401"/>
      <c r="B606" s="420"/>
      <c r="C606" s="393"/>
      <c r="D606" s="393"/>
      <c r="E606" s="393"/>
      <c r="F606" s="393"/>
      <c r="G606" s="408"/>
      <c r="H606" s="403"/>
      <c r="I606" s="393"/>
      <c r="J606" s="401"/>
      <c r="K606" s="420"/>
      <c r="L606" s="457"/>
      <c r="M606" s="401"/>
      <c r="N606" s="393"/>
      <c r="O606" s="393"/>
      <c r="P606" s="401"/>
      <c r="Q606" s="401"/>
      <c r="R606" s="401"/>
    </row>
    <row r="607" spans="1:18" ht="20.25" customHeight="1">
      <c r="A607" s="401"/>
      <c r="B607" s="420"/>
      <c r="C607" s="393"/>
      <c r="D607" s="393"/>
      <c r="E607" s="393"/>
      <c r="F607" s="393"/>
      <c r="G607" s="408"/>
      <c r="H607" s="403"/>
      <c r="I607" s="393"/>
      <c r="J607" s="401"/>
      <c r="K607" s="420"/>
      <c r="L607" s="457"/>
      <c r="M607" s="401"/>
      <c r="N607" s="393"/>
      <c r="O607" s="393"/>
      <c r="P607" s="401"/>
      <c r="Q607" s="401"/>
      <c r="R607" s="401"/>
    </row>
    <row r="608" spans="1:18" ht="20.25" customHeight="1">
      <c r="A608" s="401"/>
      <c r="B608" s="420"/>
      <c r="C608" s="393"/>
      <c r="D608" s="393"/>
      <c r="E608" s="393"/>
      <c r="F608" s="393"/>
      <c r="G608" s="408"/>
      <c r="H608" s="403"/>
      <c r="I608" s="393"/>
      <c r="J608" s="401"/>
      <c r="K608" s="420"/>
      <c r="L608" s="457"/>
      <c r="M608" s="401"/>
      <c r="N608" s="393"/>
      <c r="O608" s="393"/>
      <c r="P608" s="401"/>
      <c r="Q608" s="401"/>
      <c r="R608" s="401"/>
    </row>
    <row r="609" spans="1:18" ht="20.25" customHeight="1">
      <c r="A609" s="401"/>
      <c r="B609" s="420"/>
      <c r="C609" s="393"/>
      <c r="D609" s="393"/>
      <c r="E609" s="393"/>
      <c r="F609" s="393"/>
      <c r="G609" s="408"/>
      <c r="H609" s="403"/>
      <c r="I609" s="393"/>
      <c r="J609" s="401"/>
      <c r="K609" s="420"/>
      <c r="L609" s="457"/>
      <c r="M609" s="401"/>
      <c r="N609" s="393"/>
      <c r="O609" s="393"/>
      <c r="P609" s="401"/>
      <c r="Q609" s="401"/>
      <c r="R609" s="401"/>
    </row>
    <row r="610" spans="1:18" ht="20.25" customHeight="1">
      <c r="A610" s="401"/>
      <c r="B610" s="420"/>
      <c r="C610" s="393"/>
      <c r="D610" s="393"/>
      <c r="E610" s="393"/>
      <c r="F610" s="393"/>
      <c r="G610" s="408"/>
      <c r="H610" s="403"/>
      <c r="I610" s="393"/>
      <c r="J610" s="401"/>
      <c r="K610" s="420"/>
      <c r="L610" s="457"/>
      <c r="M610" s="401"/>
      <c r="N610" s="393"/>
      <c r="O610" s="393"/>
      <c r="P610" s="401"/>
      <c r="Q610" s="401"/>
      <c r="R610" s="401"/>
    </row>
    <row r="611" spans="1:18" ht="20.25" customHeight="1">
      <c r="A611" s="401"/>
      <c r="B611" s="420"/>
      <c r="C611" s="393"/>
      <c r="D611" s="393"/>
      <c r="E611" s="393"/>
      <c r="F611" s="393"/>
      <c r="G611" s="408"/>
      <c r="H611" s="403"/>
      <c r="I611" s="393"/>
      <c r="J611" s="401"/>
      <c r="K611" s="420"/>
      <c r="L611" s="457"/>
      <c r="M611" s="401"/>
      <c r="N611" s="393"/>
      <c r="O611" s="393"/>
      <c r="P611" s="401"/>
      <c r="Q611" s="401"/>
      <c r="R611" s="401"/>
    </row>
    <row r="612" spans="1:18" ht="20.25" customHeight="1">
      <c r="A612" s="401"/>
      <c r="B612" s="420"/>
      <c r="C612" s="393"/>
      <c r="D612" s="393"/>
      <c r="E612" s="393"/>
      <c r="F612" s="393"/>
      <c r="G612" s="408"/>
      <c r="H612" s="403"/>
      <c r="I612" s="393"/>
      <c r="J612" s="401"/>
      <c r="K612" s="420"/>
      <c r="L612" s="457"/>
      <c r="M612" s="401"/>
      <c r="N612" s="393"/>
      <c r="O612" s="393"/>
      <c r="P612" s="401"/>
      <c r="Q612" s="401"/>
      <c r="R612" s="401"/>
    </row>
    <row r="613" spans="1:18" ht="20.25" customHeight="1">
      <c r="A613" s="401"/>
      <c r="B613" s="420"/>
      <c r="C613" s="393"/>
      <c r="D613" s="393"/>
      <c r="E613" s="393"/>
      <c r="F613" s="393"/>
      <c r="G613" s="408"/>
      <c r="H613" s="403"/>
      <c r="I613" s="393"/>
      <c r="J613" s="401"/>
      <c r="K613" s="420"/>
      <c r="L613" s="457"/>
      <c r="M613" s="401"/>
      <c r="N613" s="393"/>
      <c r="O613" s="393"/>
      <c r="P613" s="401"/>
      <c r="Q613" s="401"/>
      <c r="R613" s="401"/>
    </row>
    <row r="614" spans="1:18" ht="20.25" customHeight="1">
      <c r="A614" s="401"/>
      <c r="B614" s="420"/>
      <c r="C614" s="393"/>
      <c r="D614" s="393"/>
      <c r="E614" s="393"/>
      <c r="F614" s="393"/>
      <c r="G614" s="408"/>
      <c r="H614" s="403"/>
      <c r="I614" s="393"/>
      <c r="J614" s="401"/>
      <c r="K614" s="420"/>
      <c r="L614" s="457"/>
      <c r="M614" s="401"/>
      <c r="N614" s="393"/>
      <c r="O614" s="393"/>
      <c r="P614" s="401"/>
      <c r="Q614" s="401"/>
      <c r="R614" s="401"/>
    </row>
    <row r="615" spans="1:18" ht="20.25" customHeight="1">
      <c r="A615" s="401"/>
      <c r="B615" s="420"/>
      <c r="C615" s="393"/>
      <c r="D615" s="393"/>
      <c r="E615" s="393"/>
      <c r="F615" s="393"/>
      <c r="G615" s="408"/>
      <c r="H615" s="403"/>
      <c r="I615" s="393"/>
      <c r="J615" s="401"/>
      <c r="K615" s="420"/>
      <c r="L615" s="457"/>
      <c r="M615" s="401"/>
      <c r="N615" s="393"/>
      <c r="O615" s="393"/>
      <c r="P615" s="401"/>
      <c r="Q615" s="401"/>
      <c r="R615" s="401"/>
    </row>
    <row r="616" spans="1:18" ht="20.25" customHeight="1">
      <c r="A616" s="401"/>
      <c r="B616" s="420"/>
      <c r="C616" s="393"/>
      <c r="D616" s="393"/>
      <c r="E616" s="393"/>
      <c r="F616" s="393"/>
      <c r="G616" s="408"/>
      <c r="H616" s="403"/>
      <c r="I616" s="393"/>
      <c r="J616" s="401"/>
      <c r="K616" s="420"/>
      <c r="L616" s="457"/>
      <c r="M616" s="401"/>
      <c r="N616" s="393"/>
      <c r="O616" s="393"/>
      <c r="P616" s="401"/>
      <c r="Q616" s="401"/>
      <c r="R616" s="401"/>
    </row>
    <row r="617" spans="1:18" ht="20.25" customHeight="1">
      <c r="A617" s="401"/>
      <c r="B617" s="420"/>
      <c r="C617" s="393"/>
      <c r="D617" s="393"/>
      <c r="E617" s="393"/>
      <c r="F617" s="393"/>
      <c r="G617" s="408"/>
      <c r="H617" s="403"/>
      <c r="I617" s="393"/>
      <c r="J617" s="401"/>
      <c r="K617" s="420"/>
      <c r="L617" s="457"/>
      <c r="M617" s="401"/>
      <c r="N617" s="393"/>
      <c r="O617" s="393"/>
      <c r="P617" s="401"/>
      <c r="Q617" s="401"/>
      <c r="R617" s="401"/>
    </row>
    <row r="618" spans="1:18" ht="20.25" customHeight="1">
      <c r="A618" s="401"/>
      <c r="B618" s="420"/>
      <c r="C618" s="393"/>
      <c r="D618" s="393"/>
      <c r="E618" s="393"/>
      <c r="F618" s="393"/>
      <c r="G618" s="408"/>
      <c r="H618" s="403"/>
      <c r="I618" s="393"/>
      <c r="J618" s="401"/>
      <c r="K618" s="420"/>
      <c r="L618" s="457"/>
      <c r="M618" s="401"/>
      <c r="N618" s="393"/>
      <c r="O618" s="393"/>
      <c r="P618" s="401"/>
      <c r="Q618" s="401"/>
      <c r="R618" s="401"/>
    </row>
    <row r="619" spans="1:18" ht="20.25" customHeight="1">
      <c r="A619" s="401"/>
      <c r="B619" s="420"/>
      <c r="C619" s="393"/>
      <c r="D619" s="393"/>
      <c r="E619" s="393"/>
      <c r="F619" s="393"/>
      <c r="G619" s="408"/>
      <c r="H619" s="403"/>
      <c r="I619" s="393"/>
      <c r="J619" s="401"/>
      <c r="K619" s="420"/>
      <c r="L619" s="457"/>
      <c r="M619" s="401"/>
      <c r="N619" s="393"/>
      <c r="O619" s="393"/>
      <c r="P619" s="401"/>
      <c r="Q619" s="401"/>
      <c r="R619" s="401"/>
    </row>
    <row r="620" spans="1:18" ht="20.25" customHeight="1">
      <c r="A620" s="401"/>
      <c r="B620" s="420"/>
      <c r="C620" s="393"/>
      <c r="D620" s="393"/>
      <c r="E620" s="393"/>
      <c r="F620" s="393"/>
      <c r="G620" s="408"/>
      <c r="H620" s="403"/>
      <c r="I620" s="393"/>
      <c r="J620" s="401"/>
      <c r="K620" s="420"/>
      <c r="L620" s="457"/>
      <c r="M620" s="401"/>
      <c r="N620" s="393"/>
      <c r="O620" s="393"/>
      <c r="P620" s="401"/>
      <c r="Q620" s="401"/>
      <c r="R620" s="401"/>
    </row>
  </sheetData>
  <protectedRanges>
    <protectedRange sqref="M370" name="Range1_2"/>
    <protectedRange sqref="K371" name="Range1_3"/>
    <protectedRange sqref="L371" name="Range1_4"/>
    <protectedRange sqref="M371" name="Range1_5"/>
    <protectedRange sqref="K372" name="Range1_6"/>
    <protectedRange sqref="L372" name="Range1_7"/>
    <protectedRange sqref="M372" name="Range1_8"/>
    <protectedRange sqref="L373" name="Range1_9"/>
    <protectedRange sqref="K374" name="Range1_10"/>
    <protectedRange sqref="L374" name="Range1_11"/>
    <protectedRange sqref="M374" name="Range1_12"/>
    <protectedRange sqref="L378" name="Range1_13"/>
    <protectedRange sqref="K393" name="Range1_14"/>
    <protectedRange sqref="L393" name="Range1_15"/>
    <protectedRange sqref="K394:N394 M395:N395" name="Range1_16"/>
    <protectedRange sqref="K395" name="Range1_17"/>
    <protectedRange sqref="L395" name="Range1_18"/>
    <protectedRange sqref="K396" name="Range1_19"/>
    <protectedRange sqref="L396" name="Range1_20"/>
    <protectedRange sqref="M396" name="Range1_21"/>
    <protectedRange sqref="L78:L81" name="Range1_22"/>
    <protectedRange sqref="K437" name="Range1_25"/>
    <protectedRange sqref="L437" name="Range1_26"/>
    <protectedRange sqref="K438" name="Range1_27"/>
    <protectedRange sqref="L438" name="Range1_28"/>
    <protectedRange sqref="K440:L440" name="Range1_29"/>
    <protectedRange sqref="K441" name="Range1_30"/>
    <protectedRange sqref="K442" name="Range1_31"/>
    <protectedRange sqref="L442" name="Range1_32"/>
    <protectedRange sqref="K443" name="Range1_33"/>
    <protectedRange sqref="L443" name="Range1_34"/>
    <protectedRange sqref="K444:L444" name="Range1_35"/>
    <protectedRange sqref="K445:L445" name="Range1_36"/>
    <protectedRange sqref="K446" name="Range1_38"/>
    <protectedRange sqref="L446" name="Range1_39"/>
    <protectedRange sqref="K447:L447" name="Range1_40"/>
    <protectedRange sqref="K448:L448" name="Range1_41"/>
    <protectedRange sqref="K449:L449" name="Range1_42"/>
    <protectedRange sqref="K450:L450" name="Range1_43"/>
    <protectedRange sqref="L451" name="Range1_44"/>
    <protectedRange sqref="K452:L452" name="Range1_45"/>
    <protectedRange sqref="L453" name="Range1_46"/>
    <protectedRange sqref="K453" name="Range1_47"/>
    <protectedRange sqref="K455:L455" name="Range1_48"/>
    <protectedRange sqref="K456" name="Range1_49"/>
    <protectedRange sqref="L456" name="Range1_50"/>
    <protectedRange sqref="K457:L457" name="Range1_51"/>
    <protectedRange sqref="K458:L458" name="Range1_52"/>
    <protectedRange sqref="K460:L460" name="Range1_53"/>
    <protectedRange sqref="K461" name="Range1_54"/>
    <protectedRange sqref="L461" name="Range1_55"/>
    <protectedRange sqref="K462:L463" name="Range1_57"/>
    <protectedRange sqref="K465:L465" name="Range1_58"/>
    <protectedRange sqref="K466" name="Range1_59"/>
    <protectedRange sqref="L466" name="Range1_60"/>
    <protectedRange sqref="K467" name="Range1_61"/>
    <protectedRange sqref="L467" name="Range1_62"/>
    <protectedRange sqref="K468" name="Range1_63"/>
    <protectedRange sqref="L468" name="Range1_64"/>
    <protectedRange sqref="K470:L470" name="Range1_65"/>
    <protectedRange sqref="K471 K476" name="Range1_66"/>
    <protectedRange sqref="L471" name="Range1_67"/>
    <protectedRange sqref="K472:L472" name="Range1_68"/>
    <protectedRange sqref="K473:L473" name="Range1_69"/>
    <protectedRange sqref="K475:L475" name="Range1_70"/>
    <protectedRange sqref="L476" name="Range1_72"/>
    <protectedRange sqref="K477:L477" name="Range1_73"/>
    <protectedRange sqref="K478:L478" name="Range1_75"/>
    <protectedRange sqref="K479:L479" name="Range1_76"/>
    <protectedRange sqref="L480" name="Range1_77"/>
    <protectedRange sqref="K481:L481 K508:M509 K510:L511" name="Range1"/>
    <protectedRange sqref="K482:L482" name="Range1_23"/>
    <protectedRange sqref="K484:L484" name="Range1_24"/>
    <protectedRange sqref="L485" name="Range1_56"/>
    <protectedRange sqref="K483 K488 K493 K498 K503" name="Range1_74"/>
    <protectedRange sqref="L483 L488 L493 L498 L503" name="Range1_78"/>
    <protectedRange sqref="L490" name="Range1_79"/>
    <protectedRange sqref="K489:L489" name="Range1_80"/>
    <protectedRange sqref="K487:L487" name="Range1_81"/>
    <protectedRange sqref="K486:L486" name="Range1_82"/>
    <protectedRange sqref="K491:L491" name="Range1_83"/>
    <protectedRange sqref="K492:L492" name="Range1_84"/>
    <protectedRange sqref="K494:L494" name="Range1_85"/>
    <protectedRange sqref="K495" name="Range1_86"/>
    <protectedRange sqref="L495" name="Range1_87"/>
    <protectedRange sqref="K496:L496" name="Range1_88"/>
    <protectedRange sqref="K497:L497" name="Range1_89"/>
    <protectedRange sqref="K499:L499" name="Range1_90"/>
    <protectedRange sqref="K500" name="Range1_91"/>
    <protectedRange sqref="L500" name="Range1_92"/>
    <protectedRange sqref="K501:L501" name="Range1_93"/>
    <protectedRange sqref="K502:L502" name="Range1_94"/>
    <protectedRange sqref="K504:L504" name="Range1_95"/>
    <protectedRange sqref="K505" name="Range1_96"/>
    <protectedRange sqref="L505" name="Range1_97"/>
    <protectedRange sqref="K507:M507" name="Range1_37"/>
    <protectedRange sqref="K512:M512" name="Range1_1"/>
    <protectedRange sqref="K513:M514" name="Range1_98"/>
  </protectedRanges>
  <autoFilter ref="A1:S1" xr:uid="{56E2373D-455A-4E33-9F18-5112F2917764}"/>
  <conditionalFormatting sqref="N1 G1:J2 I2:I392 H3 J3:J4 G4:I4 B119 G119:I119 G120:J252 G253:I255 N289:N290 N293 N296:N297 N302 G304:I304 G305:J306 G307:I307 G308:J315 G316:I316 N375:N379 N383:N393 N396:N397 N399:N402 N404:N1048576 G5:J118 G317:J1048576 G256:J303">
    <cfRule type="containsText" dxfId="2" priority="3" operator="containsText" text="Not Initiated">
      <formula>NOT(ISERROR(SEARCH("Not Initiated",B1)))</formula>
    </cfRule>
  </conditionalFormatting>
  <conditionalFormatting sqref="O308">
    <cfRule type="containsText" dxfId="1" priority="1" operator="containsText" text="Not Initiated">
      <formula>NOT(ISERROR(SEARCH("Not Initiated",O308)))</formula>
    </cfRule>
  </conditionalFormatting>
  <conditionalFormatting sqref="O312">
    <cfRule type="containsText" dxfId="0" priority="2" operator="containsText" text="Not Initiated">
      <formula>NOT(ISERROR(SEARCH("Not Initiated",O312)))</formula>
    </cfRule>
  </conditionalFormatting>
  <dataValidations count="3">
    <dataValidation type="list" allowBlank="1" showInputMessage="1" showErrorMessage="1" sqref="D1" xr:uid="{3E7E4B07-66BD-433F-BB04-855CC67875C5}">
      <formula1>"Not Initiated,Not Allocated,WIP,Completed,STOP"</formula1>
    </dataValidation>
    <dataValidation allowBlank="1" showInputMessage="1" showErrorMessage="1" sqref="B408:D408 B431 K397:L397 B396:C397 B399:C407 B415:C415 B506:C506 D212:D214 E1:E382 C433:C435 C418:C419 B418 B531 C423:C431 B423:B426 B428 E486:E1048576 N1:N393 B409:C413 N396:N1048576 E384:E481" xr:uid="{7D3AB9D1-1058-470B-BC30-6697BB655096}"/>
    <dataValidation type="list" allowBlank="1" showInputMessage="1" showErrorMessage="1" sqref="O308 O312 G1:G2 G402:G1048576 G4:G399 H267" xr:uid="{DA9113E1-380A-4DF6-A72F-E198813AFBA0}">
      <formula1>"STOP,Not Inititaed,Allocation Pending,Find Investigator,Non-Coopration,Non Treacable,Pending,WIP,Completed,CS Not Filed,CS Not Found, Settlement, Exibite Pending,Applied,GD Entery"</formula1>
    </dataValidation>
  </dataValidations>
  <hyperlinks>
    <hyperlink ref="E384" r:id="rId1" xr:uid="{6D18A938-5620-4066-A325-72F8CA898F70}"/>
    <hyperlink ref="E388" r:id="rId2" xr:uid="{F93740FF-7A0A-45E1-A4ED-B3FA3811597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190E4-D2C8-42BF-9160-68DD39A84663}">
  <dimension ref="A1:F77"/>
  <sheetViews>
    <sheetView topLeftCell="A49" workbookViewId="0">
      <selection activeCell="C51" sqref="C51"/>
    </sheetView>
  </sheetViews>
  <sheetFormatPr defaultColWidth="8.7265625" defaultRowHeight="18" customHeight="1"/>
  <cols>
    <col min="1" max="1" width="8.26953125" style="381" customWidth="1"/>
    <col min="2" max="2" width="30.26953125" style="362" customWidth="1"/>
    <col min="3" max="3" width="50.1796875" style="381" customWidth="1"/>
    <col min="4" max="4" width="25.81640625" style="385" customWidth="1"/>
    <col min="5" max="5" width="35.81640625" style="385" bestFit="1" customWidth="1"/>
    <col min="6" max="6" width="26.1796875" style="362" bestFit="1" customWidth="1"/>
    <col min="7" max="16384" width="8.7265625" style="362"/>
  </cols>
  <sheetData>
    <row r="1" spans="1:5" ht="18" customHeight="1">
      <c r="A1" s="377" t="s">
        <v>0</v>
      </c>
      <c r="B1" s="366" t="s">
        <v>2878</v>
      </c>
      <c r="C1" s="383" t="s">
        <v>2879</v>
      </c>
      <c r="D1" s="384" t="s">
        <v>2880</v>
      </c>
      <c r="E1" s="384" t="s">
        <v>2384</v>
      </c>
    </row>
    <row r="2" spans="1:5" ht="18" customHeight="1">
      <c r="A2" s="378">
        <v>1</v>
      </c>
      <c r="B2" s="367" t="s">
        <v>2881</v>
      </c>
      <c r="C2" s="380" t="s">
        <v>2882</v>
      </c>
      <c r="D2" s="367">
        <v>9435469001</v>
      </c>
      <c r="E2" s="367" t="s">
        <v>2883</v>
      </c>
    </row>
    <row r="3" spans="1:5" s="376" customFormat="1" ht="18" customHeight="1">
      <c r="A3" s="379">
        <v>2</v>
      </c>
      <c r="B3" s="375" t="s">
        <v>2884</v>
      </c>
      <c r="C3" s="379" t="s">
        <v>2885</v>
      </c>
      <c r="D3" s="375" t="s">
        <v>2886</v>
      </c>
      <c r="E3" s="375" t="s">
        <v>41</v>
      </c>
    </row>
    <row r="4" spans="1:5" ht="18" customHeight="1">
      <c r="A4" s="378">
        <v>3</v>
      </c>
      <c r="B4" s="367" t="s">
        <v>2887</v>
      </c>
      <c r="C4" s="380" t="s">
        <v>845</v>
      </c>
      <c r="D4" s="367" t="s">
        <v>2888</v>
      </c>
      <c r="E4" s="367" t="s">
        <v>41</v>
      </c>
    </row>
    <row r="5" spans="1:5" ht="18" customHeight="1">
      <c r="A5" s="378">
        <v>4</v>
      </c>
      <c r="B5" s="367" t="s">
        <v>2889</v>
      </c>
      <c r="C5" s="380" t="s">
        <v>2890</v>
      </c>
      <c r="D5" s="367">
        <v>9595749565</v>
      </c>
      <c r="E5" s="367" t="s">
        <v>2891</v>
      </c>
    </row>
    <row r="6" spans="1:5" ht="18" customHeight="1">
      <c r="A6" s="380">
        <v>5</v>
      </c>
      <c r="B6" s="367" t="s">
        <v>2892</v>
      </c>
      <c r="C6" s="380" t="s">
        <v>2768</v>
      </c>
      <c r="D6" s="367">
        <v>9021034474</v>
      </c>
      <c r="E6" s="367" t="s">
        <v>41</v>
      </c>
    </row>
    <row r="7" spans="1:5" ht="18" customHeight="1">
      <c r="A7" s="378">
        <v>6</v>
      </c>
      <c r="B7" s="367" t="s">
        <v>2893</v>
      </c>
      <c r="C7" s="380" t="s">
        <v>791</v>
      </c>
      <c r="D7" s="367">
        <v>8275272891</v>
      </c>
      <c r="E7" s="367" t="s">
        <v>2894</v>
      </c>
    </row>
    <row r="8" spans="1:5" ht="18" customHeight="1">
      <c r="A8" s="378">
        <v>7</v>
      </c>
      <c r="B8" s="367" t="s">
        <v>2895</v>
      </c>
      <c r="C8" s="380" t="s">
        <v>2885</v>
      </c>
      <c r="D8" s="367" t="s">
        <v>2896</v>
      </c>
      <c r="E8" s="367" t="s">
        <v>41</v>
      </c>
    </row>
    <row r="9" spans="1:5" ht="18" customHeight="1">
      <c r="A9" s="380">
        <v>8</v>
      </c>
      <c r="B9" s="367" t="s">
        <v>2897</v>
      </c>
      <c r="C9" s="380" t="s">
        <v>2898</v>
      </c>
      <c r="D9" s="367">
        <v>9156316493</v>
      </c>
      <c r="E9" s="367" t="s">
        <v>41</v>
      </c>
    </row>
    <row r="10" spans="1:5" ht="18" customHeight="1">
      <c r="A10" s="378">
        <v>9</v>
      </c>
      <c r="B10" s="367" t="s">
        <v>2899</v>
      </c>
      <c r="C10" s="380" t="s">
        <v>963</v>
      </c>
      <c r="D10" s="367" t="s">
        <v>2900</v>
      </c>
      <c r="E10" s="367" t="s">
        <v>2901</v>
      </c>
    </row>
    <row r="11" spans="1:5" ht="18" customHeight="1">
      <c r="A11" s="378">
        <v>10</v>
      </c>
      <c r="B11" s="367" t="s">
        <v>2902</v>
      </c>
      <c r="C11" s="380" t="s">
        <v>736</v>
      </c>
      <c r="D11" s="367" t="s">
        <v>2903</v>
      </c>
      <c r="E11" s="367" t="s">
        <v>2904</v>
      </c>
    </row>
    <row r="12" spans="1:5" ht="18" customHeight="1">
      <c r="A12" s="380">
        <v>11</v>
      </c>
      <c r="B12" s="367" t="s">
        <v>2905</v>
      </c>
      <c r="C12" s="380" t="s">
        <v>711</v>
      </c>
      <c r="D12" s="367">
        <v>8999897659</v>
      </c>
      <c r="E12" s="367" t="s">
        <v>41</v>
      </c>
    </row>
    <row r="13" spans="1:5" ht="18" customHeight="1">
      <c r="A13" s="378">
        <v>12</v>
      </c>
      <c r="B13" s="367" t="s">
        <v>2906</v>
      </c>
      <c r="C13" s="380" t="s">
        <v>41</v>
      </c>
      <c r="D13" s="367">
        <v>7359130668</v>
      </c>
      <c r="E13" s="367" t="s">
        <v>2907</v>
      </c>
    </row>
    <row r="14" spans="1:5" ht="18" customHeight="1">
      <c r="A14" s="378">
        <v>13</v>
      </c>
      <c r="B14" s="367" t="s">
        <v>2908</v>
      </c>
      <c r="C14" s="380" t="s">
        <v>41</v>
      </c>
      <c r="D14" s="367">
        <v>8865908869</v>
      </c>
      <c r="E14" s="367" t="s">
        <v>41</v>
      </c>
    </row>
    <row r="15" spans="1:5" ht="18" customHeight="1">
      <c r="A15" s="380">
        <v>14</v>
      </c>
      <c r="B15" s="367" t="s">
        <v>756</v>
      </c>
      <c r="C15" s="380" t="s">
        <v>2885</v>
      </c>
      <c r="D15" s="367">
        <v>8788040969</v>
      </c>
      <c r="E15" s="367" t="s">
        <v>2909</v>
      </c>
    </row>
    <row r="16" spans="1:5" ht="18" customHeight="1">
      <c r="A16" s="378">
        <v>15</v>
      </c>
      <c r="B16" s="367" t="s">
        <v>2910</v>
      </c>
      <c r="C16" s="380" t="s">
        <v>963</v>
      </c>
      <c r="D16" s="367">
        <v>9356764063</v>
      </c>
      <c r="E16" s="367" t="s">
        <v>41</v>
      </c>
    </row>
    <row r="17" spans="1:5" ht="18" customHeight="1">
      <c r="A17" s="378">
        <v>16</v>
      </c>
      <c r="B17" s="367" t="s">
        <v>2911</v>
      </c>
      <c r="C17" s="380" t="s">
        <v>709</v>
      </c>
      <c r="D17" s="367" t="s">
        <v>41</v>
      </c>
      <c r="E17" s="367" t="s">
        <v>41</v>
      </c>
    </row>
    <row r="18" spans="1:5" ht="18" customHeight="1">
      <c r="A18" s="380">
        <v>17</v>
      </c>
      <c r="B18" s="367" t="s">
        <v>2912</v>
      </c>
      <c r="C18" s="380" t="s">
        <v>2913</v>
      </c>
      <c r="D18" s="367">
        <v>8888080325</v>
      </c>
      <c r="E18" s="367" t="s">
        <v>2914</v>
      </c>
    </row>
    <row r="19" spans="1:5" ht="18" customHeight="1">
      <c r="A19" s="378">
        <v>18</v>
      </c>
      <c r="B19" s="367" t="s">
        <v>2915</v>
      </c>
      <c r="C19" s="380" t="s">
        <v>736</v>
      </c>
      <c r="D19" s="367">
        <v>9960404335</v>
      </c>
      <c r="E19" s="367" t="s">
        <v>2916</v>
      </c>
    </row>
    <row r="20" spans="1:5" ht="18" customHeight="1">
      <c r="A20" s="378">
        <v>19</v>
      </c>
      <c r="B20" s="367" t="s">
        <v>2917</v>
      </c>
      <c r="C20" s="380" t="s">
        <v>2597</v>
      </c>
      <c r="D20" s="367">
        <v>9163355797</v>
      </c>
      <c r="E20" s="367" t="s">
        <v>2918</v>
      </c>
    </row>
    <row r="21" spans="1:5" ht="18" customHeight="1">
      <c r="A21" s="380">
        <v>20</v>
      </c>
      <c r="B21" s="367" t="s">
        <v>2919</v>
      </c>
      <c r="C21" s="380" t="s">
        <v>741</v>
      </c>
      <c r="D21" s="367">
        <v>988111710</v>
      </c>
      <c r="E21" s="367" t="s">
        <v>2920</v>
      </c>
    </row>
    <row r="22" spans="1:5" ht="18" customHeight="1">
      <c r="A22" s="378">
        <v>21</v>
      </c>
      <c r="B22" s="367" t="s">
        <v>2921</v>
      </c>
      <c r="C22" s="380" t="s">
        <v>2922</v>
      </c>
      <c r="D22" s="367">
        <v>9864026587</v>
      </c>
      <c r="E22" s="367" t="s">
        <v>2923</v>
      </c>
    </row>
    <row r="23" spans="1:5" ht="18" customHeight="1">
      <c r="A23" s="378">
        <v>22</v>
      </c>
      <c r="B23" s="367" t="s">
        <v>2924</v>
      </c>
      <c r="C23" s="380" t="s">
        <v>2925</v>
      </c>
      <c r="D23" s="367">
        <v>9890823042</v>
      </c>
      <c r="E23" s="367" t="s">
        <v>41</v>
      </c>
    </row>
    <row r="24" spans="1:5" ht="18" customHeight="1">
      <c r="A24" s="380">
        <v>23</v>
      </c>
      <c r="B24" s="367" t="s">
        <v>2926</v>
      </c>
      <c r="C24" s="380" t="s">
        <v>736</v>
      </c>
      <c r="D24" s="367" t="s">
        <v>2927</v>
      </c>
      <c r="E24" s="367" t="s">
        <v>2928</v>
      </c>
    </row>
    <row r="25" spans="1:5" ht="18" customHeight="1">
      <c r="A25" s="378">
        <v>24</v>
      </c>
      <c r="B25" s="367" t="s">
        <v>785</v>
      </c>
      <c r="C25" s="380" t="s">
        <v>2929</v>
      </c>
      <c r="D25" s="367">
        <v>9730441100</v>
      </c>
      <c r="E25" s="367" t="s">
        <v>2750</v>
      </c>
    </row>
    <row r="26" spans="1:5" ht="18" customHeight="1">
      <c r="A26" s="378">
        <v>25</v>
      </c>
      <c r="B26" s="367" t="s">
        <v>2930</v>
      </c>
      <c r="C26" s="380" t="s">
        <v>709</v>
      </c>
      <c r="D26" s="367">
        <v>7448060530</v>
      </c>
      <c r="E26" s="367" t="s">
        <v>2931</v>
      </c>
    </row>
    <row r="27" spans="1:5" ht="18" customHeight="1">
      <c r="A27" s="380">
        <v>26</v>
      </c>
      <c r="B27" s="367" t="s">
        <v>2136</v>
      </c>
      <c r="C27" s="380" t="s">
        <v>709</v>
      </c>
      <c r="D27" s="367">
        <v>7249883966</v>
      </c>
      <c r="E27" s="367" t="s">
        <v>2932</v>
      </c>
    </row>
    <row r="28" spans="1:5" ht="18" customHeight="1">
      <c r="A28" s="378">
        <v>27</v>
      </c>
      <c r="B28" s="367" t="s">
        <v>2933</v>
      </c>
      <c r="C28" s="380" t="s">
        <v>2934</v>
      </c>
      <c r="D28" s="367">
        <v>9970238371</v>
      </c>
      <c r="E28" s="367" t="s">
        <v>2935</v>
      </c>
    </row>
    <row r="29" spans="1:5" ht="18" customHeight="1">
      <c r="A29" s="378">
        <v>28</v>
      </c>
      <c r="B29" s="367" t="s">
        <v>2936</v>
      </c>
      <c r="C29" s="380" t="s">
        <v>2925</v>
      </c>
      <c r="D29" s="367">
        <v>8625809382</v>
      </c>
      <c r="E29" s="367" t="s">
        <v>41</v>
      </c>
    </row>
    <row r="30" spans="1:5" ht="18" customHeight="1">
      <c r="A30" s="380">
        <v>29</v>
      </c>
      <c r="B30" s="367" t="s">
        <v>2937</v>
      </c>
      <c r="C30" s="380" t="s">
        <v>924</v>
      </c>
      <c r="D30" s="367">
        <v>976436204</v>
      </c>
      <c r="E30" s="367" t="s">
        <v>2938</v>
      </c>
    </row>
    <row r="31" spans="1:5" ht="18" customHeight="1">
      <c r="A31" s="378">
        <v>30</v>
      </c>
      <c r="B31" s="367" t="s">
        <v>2939</v>
      </c>
      <c r="C31" s="380" t="s">
        <v>2940</v>
      </c>
      <c r="D31" s="367">
        <v>8815726431</v>
      </c>
      <c r="E31" s="367" t="s">
        <v>2941</v>
      </c>
    </row>
    <row r="32" spans="1:5" ht="18" customHeight="1">
      <c r="A32" s="378">
        <v>31</v>
      </c>
      <c r="B32" s="367" t="s">
        <v>2942</v>
      </c>
      <c r="C32" s="380" t="s">
        <v>915</v>
      </c>
      <c r="D32" s="367">
        <v>9730099883</v>
      </c>
      <c r="E32" s="367" t="s">
        <v>41</v>
      </c>
    </row>
    <row r="33" spans="1:5" ht="18" customHeight="1">
      <c r="A33" s="380">
        <v>32</v>
      </c>
      <c r="B33" s="367" t="s">
        <v>2943</v>
      </c>
      <c r="C33" s="380" t="s">
        <v>2929</v>
      </c>
      <c r="D33" s="367">
        <v>8668975655</v>
      </c>
      <c r="E33" s="367" t="s">
        <v>2944</v>
      </c>
    </row>
    <row r="34" spans="1:5" ht="18" customHeight="1">
      <c r="A34" s="378">
        <v>33</v>
      </c>
      <c r="B34" s="367" t="s">
        <v>2945</v>
      </c>
      <c r="C34" s="380" t="s">
        <v>2946</v>
      </c>
      <c r="D34" s="367">
        <v>8788764717</v>
      </c>
      <c r="E34" s="367" t="s">
        <v>2947</v>
      </c>
    </row>
    <row r="35" spans="1:5" ht="18" customHeight="1">
      <c r="A35" s="378">
        <v>34</v>
      </c>
      <c r="B35" s="367" t="s">
        <v>2948</v>
      </c>
      <c r="C35" s="380" t="s">
        <v>2925</v>
      </c>
      <c r="D35" s="367">
        <v>9423516766</v>
      </c>
      <c r="E35" s="367" t="s">
        <v>2949</v>
      </c>
    </row>
    <row r="36" spans="1:5" ht="18" customHeight="1">
      <c r="A36" s="380">
        <v>35</v>
      </c>
      <c r="B36" s="367" t="s">
        <v>2950</v>
      </c>
      <c r="C36" s="380" t="s">
        <v>2925</v>
      </c>
      <c r="D36" s="367">
        <v>9607676076</v>
      </c>
      <c r="E36" s="367" t="s">
        <v>2951</v>
      </c>
    </row>
    <row r="37" spans="1:5" ht="18" customHeight="1">
      <c r="A37" s="378">
        <v>36</v>
      </c>
      <c r="B37" s="367" t="s">
        <v>2233</v>
      </c>
      <c r="C37" s="380" t="s">
        <v>924</v>
      </c>
      <c r="D37" s="367">
        <v>9404573380</v>
      </c>
      <c r="E37" s="367" t="s">
        <v>2952</v>
      </c>
    </row>
    <row r="38" spans="1:5" ht="18" customHeight="1">
      <c r="A38" s="378">
        <v>37</v>
      </c>
      <c r="B38" s="367" t="s">
        <v>2953</v>
      </c>
      <c r="C38" s="380" t="s">
        <v>714</v>
      </c>
      <c r="D38" s="367">
        <v>8830946398</v>
      </c>
      <c r="E38" s="367" t="s">
        <v>41</v>
      </c>
    </row>
    <row r="39" spans="1:5" ht="18" customHeight="1">
      <c r="A39" s="380">
        <v>38</v>
      </c>
      <c r="B39" s="367" t="s">
        <v>2954</v>
      </c>
      <c r="C39" s="380" t="s">
        <v>845</v>
      </c>
      <c r="D39" s="367">
        <v>9960505143</v>
      </c>
      <c r="E39" s="367" t="s">
        <v>41</v>
      </c>
    </row>
    <row r="40" spans="1:5" ht="18" customHeight="1">
      <c r="A40" s="378">
        <v>39</v>
      </c>
      <c r="B40" s="367" t="s">
        <v>2955</v>
      </c>
      <c r="C40" s="380" t="s">
        <v>741</v>
      </c>
      <c r="D40" s="367" t="s">
        <v>2956</v>
      </c>
      <c r="E40" s="367" t="s">
        <v>2957</v>
      </c>
    </row>
    <row r="41" spans="1:5" ht="18" customHeight="1">
      <c r="A41" s="378">
        <v>40</v>
      </c>
      <c r="B41" s="367" t="s">
        <v>2089</v>
      </c>
      <c r="C41" s="380" t="s">
        <v>2934</v>
      </c>
      <c r="D41" s="367">
        <v>8237706797</v>
      </c>
      <c r="E41" s="367" t="s">
        <v>41</v>
      </c>
    </row>
    <row r="42" spans="1:5" ht="18" customHeight="1">
      <c r="A42" s="380">
        <v>41</v>
      </c>
      <c r="B42" s="367" t="s">
        <v>2958</v>
      </c>
      <c r="C42" s="380" t="s">
        <v>2885</v>
      </c>
      <c r="D42" s="367">
        <v>8530389792</v>
      </c>
      <c r="E42" s="367" t="s">
        <v>2959</v>
      </c>
    </row>
    <row r="43" spans="1:5" ht="18" customHeight="1">
      <c r="A43" s="378">
        <v>42</v>
      </c>
      <c r="B43" s="367" t="s">
        <v>2960</v>
      </c>
      <c r="C43" s="380" t="s">
        <v>963</v>
      </c>
      <c r="D43" s="367">
        <v>7385434825</v>
      </c>
      <c r="E43" s="367" t="s">
        <v>2961</v>
      </c>
    </row>
    <row r="44" spans="1:5" ht="18" customHeight="1">
      <c r="A44" s="378">
        <v>43</v>
      </c>
      <c r="B44" s="367" t="s">
        <v>2962</v>
      </c>
      <c r="C44" s="380" t="s">
        <v>963</v>
      </c>
      <c r="D44" s="367" t="s">
        <v>41</v>
      </c>
      <c r="E44" s="367" t="s">
        <v>41</v>
      </c>
    </row>
    <row r="45" spans="1:5" ht="18" customHeight="1">
      <c r="A45" s="380">
        <v>44</v>
      </c>
      <c r="B45" s="367" t="s">
        <v>2963</v>
      </c>
      <c r="C45" s="380" t="s">
        <v>924</v>
      </c>
      <c r="D45" s="367">
        <v>9175125071</v>
      </c>
      <c r="E45" s="367" t="s">
        <v>41</v>
      </c>
    </row>
    <row r="46" spans="1:5" ht="18" customHeight="1">
      <c r="A46" s="378">
        <v>45</v>
      </c>
      <c r="B46" s="367" t="s">
        <v>2964</v>
      </c>
      <c r="C46" s="380" t="s">
        <v>741</v>
      </c>
      <c r="D46" s="367">
        <v>9527478036</v>
      </c>
      <c r="E46" s="367" t="s">
        <v>41</v>
      </c>
    </row>
    <row r="47" spans="1:5" ht="18" customHeight="1">
      <c r="A47" s="378">
        <v>46</v>
      </c>
      <c r="B47" s="367" t="s">
        <v>2965</v>
      </c>
      <c r="C47" s="380" t="s">
        <v>2925</v>
      </c>
      <c r="D47" s="367">
        <v>7620426541</v>
      </c>
      <c r="E47" s="367" t="s">
        <v>2966</v>
      </c>
    </row>
    <row r="48" spans="1:5" s="376" customFormat="1" ht="18" customHeight="1">
      <c r="A48" s="379">
        <v>47</v>
      </c>
      <c r="B48" s="375" t="s">
        <v>2967</v>
      </c>
      <c r="C48" s="379" t="s">
        <v>963</v>
      </c>
      <c r="D48" s="375">
        <v>9146822663</v>
      </c>
      <c r="E48" s="375" t="s">
        <v>2968</v>
      </c>
    </row>
    <row r="49" spans="1:6" ht="18" customHeight="1">
      <c r="A49" s="378">
        <v>48</v>
      </c>
      <c r="B49" s="367" t="s">
        <v>2969</v>
      </c>
      <c r="C49" s="380" t="s">
        <v>837</v>
      </c>
      <c r="D49" s="367">
        <v>7776042444</v>
      </c>
      <c r="E49" s="382" t="s">
        <v>2970</v>
      </c>
    </row>
    <row r="50" spans="1:6" s="376" customFormat="1" ht="18" customHeight="1">
      <c r="A50" s="379">
        <v>49</v>
      </c>
      <c r="B50" s="375" t="s">
        <v>2971</v>
      </c>
      <c r="C50" s="379" t="s">
        <v>754</v>
      </c>
      <c r="D50" s="375" t="s">
        <v>2972</v>
      </c>
      <c r="E50" s="375" t="s">
        <v>41</v>
      </c>
      <c r="F50" s="372" t="s">
        <v>2973</v>
      </c>
    </row>
    <row r="51" spans="1:6" ht="18" customHeight="1">
      <c r="A51" s="380">
        <v>50</v>
      </c>
      <c r="B51" s="367" t="s">
        <v>2637</v>
      </c>
      <c r="C51" s="380" t="s">
        <v>2974</v>
      </c>
      <c r="D51" s="367">
        <v>9158987979</v>
      </c>
      <c r="E51" s="382" t="s">
        <v>2975</v>
      </c>
    </row>
    <row r="52" spans="1:6" ht="18" customHeight="1">
      <c r="A52" s="380">
        <v>51</v>
      </c>
      <c r="B52" s="367" t="s">
        <v>2522</v>
      </c>
      <c r="C52" s="380" t="s">
        <v>791</v>
      </c>
      <c r="D52" s="367">
        <v>9588476891</v>
      </c>
      <c r="E52" s="382" t="s">
        <v>2976</v>
      </c>
    </row>
    <row r="53" spans="1:6" ht="18" customHeight="1">
      <c r="A53" s="380">
        <v>52</v>
      </c>
      <c r="B53" s="367" t="s">
        <v>2977</v>
      </c>
      <c r="C53" s="367" t="s">
        <v>2978</v>
      </c>
      <c r="D53" s="367">
        <v>9011193818</v>
      </c>
      <c r="E53" s="367" t="s">
        <v>2979</v>
      </c>
    </row>
    <row r="54" spans="1:6" ht="18" customHeight="1">
      <c r="A54" s="380">
        <v>53</v>
      </c>
      <c r="B54" s="367" t="s">
        <v>2980</v>
      </c>
      <c r="C54" s="367" t="s">
        <v>2981</v>
      </c>
      <c r="D54" s="367">
        <v>8669448369</v>
      </c>
      <c r="E54" s="367" t="s">
        <v>2982</v>
      </c>
    </row>
    <row r="55" spans="1:6" ht="18" customHeight="1">
      <c r="A55" s="380">
        <v>54</v>
      </c>
      <c r="B55" s="367" t="s">
        <v>2983</v>
      </c>
      <c r="C55" s="367" t="s">
        <v>2984</v>
      </c>
      <c r="D55" s="367">
        <v>9699949962</v>
      </c>
      <c r="E55" s="367"/>
    </row>
    <row r="56" spans="1:6" ht="18" customHeight="1">
      <c r="A56" s="380">
        <v>55</v>
      </c>
      <c r="B56" s="367" t="s">
        <v>2985</v>
      </c>
      <c r="C56" s="367" t="s">
        <v>733</v>
      </c>
      <c r="D56" s="494" t="s">
        <v>2986</v>
      </c>
      <c r="E56" s="382" t="s">
        <v>2987</v>
      </c>
    </row>
    <row r="57" spans="1:6" ht="18" customHeight="1">
      <c r="A57" s="492">
        <v>56</v>
      </c>
      <c r="B57" s="493" t="s">
        <v>2988</v>
      </c>
      <c r="C57" s="493" t="s">
        <v>849</v>
      </c>
      <c r="D57" s="493">
        <v>8698774483</v>
      </c>
      <c r="E57" s="493"/>
    </row>
    <row r="58" spans="1:6" ht="27" customHeight="1">
      <c r="A58" s="487">
        <v>57</v>
      </c>
      <c r="B58" s="488" t="s">
        <v>2989</v>
      </c>
      <c r="C58" s="489" t="s">
        <v>2990</v>
      </c>
      <c r="D58" s="488">
        <v>9139373833</v>
      </c>
      <c r="E58" s="490" t="s">
        <v>2991</v>
      </c>
    </row>
    <row r="59" spans="1:6" ht="18" customHeight="1">
      <c r="A59" s="487">
        <v>58</v>
      </c>
      <c r="B59" s="488" t="s">
        <v>2992</v>
      </c>
      <c r="C59" s="487" t="s">
        <v>2993</v>
      </c>
      <c r="D59" s="488">
        <v>8485841339</v>
      </c>
      <c r="E59" s="490" t="s">
        <v>2994</v>
      </c>
    </row>
    <row r="60" spans="1:6" ht="18" customHeight="1">
      <c r="A60" s="487">
        <v>59</v>
      </c>
      <c r="B60" s="488" t="s">
        <v>2995</v>
      </c>
      <c r="C60" s="487" t="s">
        <v>2996</v>
      </c>
      <c r="D60" s="488">
        <v>9921057876</v>
      </c>
      <c r="E60" s="488"/>
    </row>
    <row r="61" spans="1:6" ht="18" customHeight="1">
      <c r="A61" s="487">
        <v>60</v>
      </c>
      <c r="B61" s="488" t="s">
        <v>2274</v>
      </c>
      <c r="C61" s="487" t="s">
        <v>2997</v>
      </c>
      <c r="D61" s="488">
        <v>9226962610</v>
      </c>
      <c r="E61" s="490" t="s">
        <v>2998</v>
      </c>
    </row>
    <row r="62" spans="1:6" ht="18" customHeight="1">
      <c r="A62" s="487">
        <v>61</v>
      </c>
      <c r="B62" s="488" t="s">
        <v>2999</v>
      </c>
      <c r="C62" s="487" t="s">
        <v>733</v>
      </c>
      <c r="D62" s="488">
        <v>9881333800</v>
      </c>
      <c r="E62" s="488"/>
    </row>
    <row r="63" spans="1:6" ht="18" customHeight="1">
      <c r="A63" s="487">
        <v>62</v>
      </c>
      <c r="B63" s="488"/>
      <c r="C63" s="487"/>
      <c r="D63" s="488"/>
      <c r="E63" s="488"/>
    </row>
    <row r="64" spans="1:6" ht="18" customHeight="1">
      <c r="A64" s="487">
        <v>63</v>
      </c>
      <c r="B64" s="488"/>
      <c r="C64" s="487"/>
      <c r="D64" s="488"/>
      <c r="E64" s="488"/>
    </row>
    <row r="65" spans="1:5" ht="18" customHeight="1">
      <c r="A65" s="487">
        <v>64</v>
      </c>
      <c r="B65" s="488"/>
      <c r="C65" s="487"/>
      <c r="D65" s="488"/>
      <c r="E65" s="488"/>
    </row>
    <row r="66" spans="1:5" ht="18" customHeight="1">
      <c r="A66" s="487">
        <v>65</v>
      </c>
      <c r="B66" s="488"/>
      <c r="C66" s="487"/>
      <c r="D66" s="488"/>
      <c r="E66" s="488"/>
    </row>
    <row r="67" spans="1:5" ht="18" customHeight="1">
      <c r="A67" s="487">
        <v>66</v>
      </c>
      <c r="B67" s="488"/>
      <c r="C67" s="487"/>
      <c r="D67" s="488"/>
      <c r="E67" s="488"/>
    </row>
    <row r="68" spans="1:5" ht="18" customHeight="1">
      <c r="A68" s="487">
        <v>67</v>
      </c>
      <c r="B68" s="488"/>
      <c r="C68" s="487"/>
      <c r="D68" s="488"/>
      <c r="E68" s="488"/>
    </row>
    <row r="69" spans="1:5" ht="18" customHeight="1">
      <c r="A69" s="487">
        <v>68</v>
      </c>
      <c r="B69" s="488"/>
      <c r="C69" s="487"/>
      <c r="D69" s="488"/>
      <c r="E69" s="488"/>
    </row>
    <row r="70" spans="1:5" ht="18" customHeight="1">
      <c r="A70" s="487">
        <v>69</v>
      </c>
      <c r="B70" s="488"/>
      <c r="C70" s="487"/>
      <c r="D70" s="488"/>
      <c r="E70" s="488"/>
    </row>
    <row r="71" spans="1:5" ht="18" customHeight="1">
      <c r="A71" s="487">
        <v>70</v>
      </c>
      <c r="B71" s="488"/>
      <c r="C71" s="487"/>
      <c r="D71" s="488"/>
      <c r="E71" s="488"/>
    </row>
    <row r="72" spans="1:5" ht="18" customHeight="1">
      <c r="A72" s="487">
        <v>71</v>
      </c>
      <c r="B72" s="488"/>
      <c r="C72" s="487"/>
      <c r="D72" s="488"/>
      <c r="E72" s="488"/>
    </row>
    <row r="73" spans="1:5" ht="18" customHeight="1">
      <c r="A73" s="487">
        <v>72</v>
      </c>
      <c r="B73" s="488"/>
      <c r="C73" s="487"/>
      <c r="D73" s="488"/>
      <c r="E73" s="488"/>
    </row>
    <row r="74" spans="1:5" ht="18" customHeight="1">
      <c r="A74" s="487">
        <v>73</v>
      </c>
      <c r="B74" s="488"/>
      <c r="C74" s="487"/>
      <c r="D74" s="488"/>
      <c r="E74" s="488"/>
    </row>
    <row r="75" spans="1:5" ht="18" customHeight="1">
      <c r="A75" s="487">
        <v>74</v>
      </c>
      <c r="B75" s="488"/>
      <c r="C75" s="487"/>
      <c r="D75" s="488"/>
      <c r="E75" s="488"/>
    </row>
    <row r="76" spans="1:5" ht="18" customHeight="1">
      <c r="A76" s="487">
        <v>75</v>
      </c>
      <c r="B76" s="488"/>
      <c r="C76" s="487"/>
      <c r="D76" s="488"/>
      <c r="E76" s="488"/>
    </row>
    <row r="77" spans="1:5" ht="18" customHeight="1">
      <c r="A77" s="487">
        <v>76</v>
      </c>
      <c r="B77" s="491"/>
      <c r="C77" s="487"/>
      <c r="D77" s="488"/>
      <c r="E77" s="488"/>
    </row>
  </sheetData>
  <hyperlinks>
    <hyperlink ref="E51" r:id="rId1" xr:uid="{D38CD058-E0B1-4E88-8498-AC06E22447A5}"/>
    <hyperlink ref="E49" r:id="rId2" xr:uid="{C5ED21C5-F272-4D57-B651-42BC1EEB45D9}"/>
    <hyperlink ref="E52" r:id="rId3" xr:uid="{FB73BE51-1D0F-46B8-B969-435A93F4F873}"/>
    <hyperlink ref="E53" r:id="rId4" xr:uid="{227A03D9-42E6-424A-9228-1D53106BE64D}"/>
    <hyperlink ref="E54" r:id="rId5" xr:uid="{3E36FC55-67C6-41DF-9B79-41F51CF772ED}"/>
    <hyperlink ref="E58" r:id="rId6" xr:uid="{672D3423-133F-46EB-AFB2-5358B4E62A43}"/>
    <hyperlink ref="E61" r:id="rId7" xr:uid="{7A57CA54-D572-4DD8-B9E6-30035B8E54F7}"/>
    <hyperlink ref="E56" r:id="rId8" xr:uid="{44A89A14-CA15-46C9-B61C-0302BDC55935}"/>
    <hyperlink ref="E59" r:id="rId9" xr:uid="{F471C893-3463-4F41-80F5-2C3336DFD4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CRN</vt:lpstr>
      <vt:lpstr>Ganesh</vt:lpstr>
      <vt:lpstr>Back_End_Data</vt:lpstr>
      <vt:lpstr>MIS_Backend_Data</vt:lpstr>
      <vt:lpstr>Case_Status</vt:lpstr>
      <vt:lpstr>MIS</vt:lpstr>
      <vt:lpstr>GTG</vt:lpstr>
      <vt:lpstr>Case_Details</vt:lpstr>
      <vt:lpstr>On-Boarding</vt:lpstr>
      <vt:lpstr>Cases_Summary</vt:lpstr>
      <vt:lpstr>CLIENT_CODE</vt:lpstr>
      <vt:lpstr>Invoice_Backend_Data</vt:lpstr>
      <vt:lpstr>Invoice_Data</vt:lpstr>
      <vt:lpstr>Client_Summary</vt:lpstr>
      <vt:lpstr>Allocation Sheet</vt:lpstr>
      <vt:lpstr>FE_List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Ganesh Gaudase</dc:creator>
  <cp:keywords/>
  <dc:description/>
  <cp:lastModifiedBy>Ganesh Gaudase</cp:lastModifiedBy>
  <cp:revision/>
  <dcterms:created xsi:type="dcterms:W3CDTF">2025-08-01T08:41:18Z</dcterms:created>
  <dcterms:modified xsi:type="dcterms:W3CDTF">2026-01-05T11:08:24Z</dcterms:modified>
  <cp:category/>
  <cp:contentStatus/>
</cp:coreProperties>
</file>